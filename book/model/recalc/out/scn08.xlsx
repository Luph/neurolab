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<sst xmlns="http://schemas.openxmlformats.org/spreadsheetml/2006/main" count="2268" uniqueCount="840">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</sst>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8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1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6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76.5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1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0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2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44501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53631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39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7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8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41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57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44501</v>
      </c>
      <c r="K23" s="8" t="n">
        <f aca="false">MAX(K18,$F$8)</f>
        <v>44501</v>
      </c>
      <c r="L23" s="8" t="n">
        <f aca="false">MAX(L18,$F$8)</f>
        <v>44501</v>
      </c>
      <c r="M23" s="8" t="n">
        <f aca="false">MAX(M18,$F$8)</f>
        <v>44501</v>
      </c>
      <c r="N23" s="8" t="n">
        <f aca="false">MAX(N18,$F$8)</f>
        <v>44501</v>
      </c>
      <c r="O23" s="8" t="n">
        <f aca="false">MAX(O18,$F$8)</f>
        <v>44501</v>
      </c>
      <c r="P23" s="8" t="n">
        <f aca="false">MAX(P18,$F$8)</f>
        <v>44501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53508</v>
      </c>
      <c r="BN24" s="8" t="n">
        <f aca="false">MIN(BN19,$F$9)</f>
        <v>53631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0</v>
      </c>
      <c r="P25" s="9" t="n">
        <f aca="false">IF(P24&gt;=P23,(YEAR(P24)-YEAR(P23))*12+MONTH(P24)-MONTH(P23)+1,0)</f>
        <v>2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6</v>
      </c>
      <c r="BN25" s="9" t="n">
        <f aca="false">IF(BN24&gt;=BN23,(YEAR(BN24)-YEAR(BN23))*12+MONTH(BN24)-MONTH(BN23)+1,0)</f>
        <v>4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0</v>
      </c>
      <c r="P26" s="9" t="n">
        <f aca="false">IF(P24&gt;=P23,P24-P23+1,0)</f>
        <v>61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181</v>
      </c>
      <c r="BN26" s="9" t="n">
        <f aca="false">IF(BN24&gt;=BN23,BN24-BN23+1,0)</f>
        <v>123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0</v>
      </c>
      <c r="Q27" s="9" t="n">
        <f aca="false">MIN(MAX((YEAR(Q18)-YEAR($F$8))*12+MONTH(Q18)-MONTH($F$8),0),300)</f>
        <v>2</v>
      </c>
      <c r="R27" s="9" t="n">
        <f aca="false">MIN(MAX((YEAR(R18)-YEAR($F$8))*12+MONTH(R18)-MONTH($F$8),0),300)</f>
        <v>8</v>
      </c>
      <c r="S27" s="9" t="n">
        <f aca="false">MIN(MAX((YEAR(S18)-YEAR($F$8))*12+MONTH(S18)-MONTH($F$8),0),300)</f>
        <v>14</v>
      </c>
      <c r="T27" s="9" t="n">
        <f aca="false">MIN(MAX((YEAR(T18)-YEAR($F$8))*12+MONTH(T18)-MONTH($F$8),0),300)</f>
        <v>20</v>
      </c>
      <c r="U27" s="9" t="n">
        <f aca="false">MIN(MAX((YEAR(U18)-YEAR($F$8))*12+MONTH(U18)-MONTH($F$8),0),300)</f>
        <v>26</v>
      </c>
      <c r="V27" s="9" t="n">
        <f aca="false">MIN(MAX((YEAR(V18)-YEAR($F$8))*12+MONTH(V18)-MONTH($F$8),0),300)</f>
        <v>32</v>
      </c>
      <c r="W27" s="9" t="n">
        <f aca="false">MIN(MAX((YEAR(W18)-YEAR($F$8))*12+MONTH(W18)-MONTH($F$8),0),300)</f>
        <v>38</v>
      </c>
      <c r="X27" s="9" t="n">
        <f aca="false">MIN(MAX((YEAR(X18)-YEAR($F$8))*12+MONTH(X18)-MONTH($F$8),0),300)</f>
        <v>44</v>
      </c>
      <c r="Y27" s="9" t="n">
        <f aca="false">MIN(MAX((YEAR(Y18)-YEAR($F$8))*12+MONTH(Y18)-MONTH($F$8),0),300)</f>
        <v>50</v>
      </c>
      <c r="Z27" s="9" t="n">
        <f aca="false">MIN(MAX((YEAR(Z18)-YEAR($F$8))*12+MONTH(Z18)-MONTH($F$8),0),300)</f>
        <v>56</v>
      </c>
      <c r="AA27" s="9" t="n">
        <f aca="false">MIN(MAX((YEAR(AA18)-YEAR($F$8))*12+MONTH(AA18)-MONTH($F$8),0),300)</f>
        <v>62</v>
      </c>
      <c r="AB27" s="9" t="n">
        <f aca="false">MIN(MAX((YEAR(AB18)-YEAR($F$8))*12+MONTH(AB18)-MONTH($F$8),0),300)</f>
        <v>68</v>
      </c>
      <c r="AC27" s="9" t="n">
        <f aca="false">MIN(MAX((YEAR(AC18)-YEAR($F$8))*12+MONTH(AC18)-MONTH($F$8),0),300)</f>
        <v>74</v>
      </c>
      <c r="AD27" s="9" t="n">
        <f aca="false">MIN(MAX((YEAR(AD18)-YEAR($F$8))*12+MONTH(AD18)-MONTH($F$8),0),300)</f>
        <v>80</v>
      </c>
      <c r="AE27" s="9" t="n">
        <f aca="false">MIN(MAX((YEAR(AE18)-YEAR($F$8))*12+MONTH(AE18)-MONTH($F$8),0),300)</f>
        <v>86</v>
      </c>
      <c r="AF27" s="9" t="n">
        <f aca="false">MIN(MAX((YEAR(AF18)-YEAR($F$8))*12+MONTH(AF18)-MONTH($F$8),0),300)</f>
        <v>92</v>
      </c>
      <c r="AG27" s="9" t="n">
        <f aca="false">MIN(MAX((YEAR(AG18)-YEAR($F$8))*12+MONTH(AG18)-MONTH($F$8),0),300)</f>
        <v>98</v>
      </c>
      <c r="AH27" s="9" t="n">
        <f aca="false">MIN(MAX((YEAR(AH18)-YEAR($F$8))*12+MONTH(AH18)-MONTH($F$8),0),300)</f>
        <v>104</v>
      </c>
      <c r="AI27" s="9" t="n">
        <f aca="false">MIN(MAX((YEAR(AI18)-YEAR($F$8))*12+MONTH(AI18)-MONTH($F$8),0),300)</f>
        <v>110</v>
      </c>
      <c r="AJ27" s="9" t="n">
        <f aca="false">MIN(MAX((YEAR(AJ18)-YEAR($F$8))*12+MONTH(AJ18)-MONTH($F$8),0),300)</f>
        <v>116</v>
      </c>
      <c r="AK27" s="9" t="n">
        <f aca="false">MIN(MAX((YEAR(AK18)-YEAR($F$8))*12+MONTH(AK18)-MONTH($F$8),0),300)</f>
        <v>122</v>
      </c>
      <c r="AL27" s="9" t="n">
        <f aca="false">MIN(MAX((YEAR(AL18)-YEAR($F$8))*12+MONTH(AL18)-MONTH($F$8),0),300)</f>
        <v>128</v>
      </c>
      <c r="AM27" s="9" t="n">
        <f aca="false">MIN(MAX((YEAR(AM18)-YEAR($F$8))*12+MONTH(AM18)-MONTH($F$8),0),300)</f>
        <v>134</v>
      </c>
      <c r="AN27" s="9" t="n">
        <f aca="false">MIN(MAX((YEAR(AN18)-YEAR($F$8))*12+MONTH(AN18)-MONTH($F$8),0),300)</f>
        <v>140</v>
      </c>
      <c r="AO27" s="9" t="n">
        <f aca="false">MIN(MAX((YEAR(AO18)-YEAR($F$8))*12+MONTH(AO18)-MONTH($F$8),0),300)</f>
        <v>146</v>
      </c>
      <c r="AP27" s="9" t="n">
        <f aca="false">MIN(MAX((YEAR(AP18)-YEAR($F$8))*12+MONTH(AP18)-MONTH($F$8),0),300)</f>
        <v>152</v>
      </c>
      <c r="AQ27" s="9" t="n">
        <f aca="false">MIN(MAX((YEAR(AQ18)-YEAR($F$8))*12+MONTH(AQ18)-MONTH($F$8),0),300)</f>
        <v>158</v>
      </c>
      <c r="AR27" s="9" t="n">
        <f aca="false">MIN(MAX((YEAR(AR18)-YEAR($F$8))*12+MONTH(AR18)-MONTH($F$8),0),300)</f>
        <v>164</v>
      </c>
      <c r="AS27" s="9" t="n">
        <f aca="false">MIN(MAX((YEAR(AS18)-YEAR($F$8))*12+MONTH(AS18)-MONTH($F$8),0),300)</f>
        <v>170</v>
      </c>
      <c r="AT27" s="9" t="n">
        <f aca="false">MIN(MAX((YEAR(AT18)-YEAR($F$8))*12+MONTH(AT18)-MONTH($F$8),0),300)</f>
        <v>176</v>
      </c>
      <c r="AU27" s="9" t="n">
        <f aca="false">MIN(MAX((YEAR(AU18)-YEAR($F$8))*12+MONTH(AU18)-MONTH($F$8),0),300)</f>
        <v>182</v>
      </c>
      <c r="AV27" s="9" t="n">
        <f aca="false">MIN(MAX((YEAR(AV18)-YEAR($F$8))*12+MONTH(AV18)-MONTH($F$8),0),300)</f>
        <v>188</v>
      </c>
      <c r="AW27" s="9" t="n">
        <f aca="false">MIN(MAX((YEAR(AW18)-YEAR($F$8))*12+MONTH(AW18)-MONTH($F$8),0),300)</f>
        <v>194</v>
      </c>
      <c r="AX27" s="9" t="n">
        <f aca="false">MIN(MAX((YEAR(AX18)-YEAR($F$8))*12+MONTH(AX18)-MONTH($F$8),0),300)</f>
        <v>200</v>
      </c>
      <c r="AY27" s="9" t="n">
        <f aca="false">MIN(MAX((YEAR(AY18)-YEAR($F$8))*12+MONTH(AY18)-MONTH($F$8),0),300)</f>
        <v>206</v>
      </c>
      <c r="AZ27" s="9" t="n">
        <f aca="false">MIN(MAX((YEAR(AZ18)-YEAR($F$8))*12+MONTH(AZ18)-MONTH($F$8),0),300)</f>
        <v>212</v>
      </c>
      <c r="BA27" s="9" t="n">
        <f aca="false">MIN(MAX((YEAR(BA18)-YEAR($F$8))*12+MONTH(BA18)-MONTH($F$8),0),300)</f>
        <v>218</v>
      </c>
      <c r="BB27" s="9" t="n">
        <f aca="false">MIN(MAX((YEAR(BB18)-YEAR($F$8))*12+MONTH(BB18)-MONTH($F$8),0),300)</f>
        <v>224</v>
      </c>
      <c r="BC27" s="9" t="n">
        <f aca="false">MIN(MAX((YEAR(BC18)-YEAR($F$8))*12+MONTH(BC18)-MONTH($F$8),0),300)</f>
        <v>230</v>
      </c>
      <c r="BD27" s="9" t="n">
        <f aca="false">MIN(MAX((YEAR(BD18)-YEAR($F$8))*12+MONTH(BD18)-MONTH($F$8),0),300)</f>
        <v>236</v>
      </c>
      <c r="BE27" s="9" t="n">
        <f aca="false">MIN(MAX((YEAR(BE18)-YEAR($F$8))*12+MONTH(BE18)-MONTH($F$8),0),300)</f>
        <v>242</v>
      </c>
      <c r="BF27" s="9" t="n">
        <f aca="false">MIN(MAX((YEAR(BF18)-YEAR($F$8))*12+MONTH(BF18)-MONTH($F$8),0),300)</f>
        <v>248</v>
      </c>
      <c r="BG27" s="9" t="n">
        <f aca="false">MIN(MAX((YEAR(BG18)-YEAR($F$8))*12+MONTH(BG18)-MONTH($F$8),0),300)</f>
        <v>254</v>
      </c>
      <c r="BH27" s="9" t="n">
        <f aca="false">MIN(MAX((YEAR(BH18)-YEAR($F$8))*12+MONTH(BH18)-MONTH($F$8),0),300)</f>
        <v>260</v>
      </c>
      <c r="BI27" s="9" t="n">
        <f aca="false">MIN(MAX((YEAR(BI18)-YEAR($F$8))*12+MONTH(BI18)-MONTH($F$8),0),300)</f>
        <v>266</v>
      </c>
      <c r="BJ27" s="9" t="n">
        <f aca="false">MIN(MAX((YEAR(BJ18)-YEAR($F$8))*12+MONTH(BJ18)-MONTH($F$8),0),300)</f>
        <v>272</v>
      </c>
      <c r="BK27" s="9" t="n">
        <f aca="false">MIN(MAX((YEAR(BK18)-YEAR($F$8))*12+MONTH(BK18)-MONTH($F$8),0),300)</f>
        <v>278</v>
      </c>
      <c r="BL27" s="9" t="n">
        <f aca="false">MIN(MAX((YEAR(BL18)-YEAR($F$8))*12+MONTH(BL18)-MONTH($F$8),0),300)</f>
        <v>284</v>
      </c>
      <c r="BM27" s="9" t="n">
        <f aca="false">MIN(MAX((YEAR(BM18)-YEAR($F$8))*12+MONTH(BM18)-MONTH($F$8),0),300)</f>
        <v>290</v>
      </c>
      <c r="BN27" s="9" t="n">
        <f aca="false">MIN(MAX((YEAR(BN18)-YEAR($F$8))*12+MONTH(BN18)-MONTH($F$8),0),300)</f>
        <v>296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0</v>
      </c>
      <c r="P28" s="9" t="n">
        <f aca="false">P27+P25</f>
        <v>2</v>
      </c>
      <c r="Q28" s="9" t="n">
        <f aca="false">Q27+Q25</f>
        <v>8</v>
      </c>
      <c r="R28" s="9" t="n">
        <f aca="false">R27+R25</f>
        <v>14</v>
      </c>
      <c r="S28" s="9" t="n">
        <f aca="false">S27+S25</f>
        <v>20</v>
      </c>
      <c r="T28" s="9" t="n">
        <f aca="false">T27+T25</f>
        <v>26</v>
      </c>
      <c r="U28" s="9" t="n">
        <f aca="false">U27+U25</f>
        <v>32</v>
      </c>
      <c r="V28" s="9" t="n">
        <f aca="false">V27+V25</f>
        <v>38</v>
      </c>
      <c r="W28" s="9" t="n">
        <f aca="false">W27+W25</f>
        <v>44</v>
      </c>
      <c r="X28" s="9" t="n">
        <f aca="false">X27+X25</f>
        <v>50</v>
      </c>
      <c r="Y28" s="9" t="n">
        <f aca="false">Y27+Y25</f>
        <v>56</v>
      </c>
      <c r="Z28" s="9" t="n">
        <f aca="false">Z27+Z25</f>
        <v>62</v>
      </c>
      <c r="AA28" s="9" t="n">
        <f aca="false">AA27+AA25</f>
        <v>68</v>
      </c>
      <c r="AB28" s="9" t="n">
        <f aca="false">AB27+AB25</f>
        <v>74</v>
      </c>
      <c r="AC28" s="9" t="n">
        <f aca="false">AC27+AC25</f>
        <v>80</v>
      </c>
      <c r="AD28" s="9" t="n">
        <f aca="false">AD27+AD25</f>
        <v>86</v>
      </c>
      <c r="AE28" s="9" t="n">
        <f aca="false">AE27+AE25</f>
        <v>92</v>
      </c>
      <c r="AF28" s="9" t="n">
        <f aca="false">AF27+AF25</f>
        <v>98</v>
      </c>
      <c r="AG28" s="9" t="n">
        <f aca="false">AG27+AG25</f>
        <v>104</v>
      </c>
      <c r="AH28" s="9" t="n">
        <f aca="false">AH27+AH25</f>
        <v>110</v>
      </c>
      <c r="AI28" s="9" t="n">
        <f aca="false">AI27+AI25</f>
        <v>116</v>
      </c>
      <c r="AJ28" s="9" t="n">
        <f aca="false">AJ27+AJ25</f>
        <v>122</v>
      </c>
      <c r="AK28" s="9" t="n">
        <f aca="false">AK27+AK25</f>
        <v>128</v>
      </c>
      <c r="AL28" s="9" t="n">
        <f aca="false">AL27+AL25</f>
        <v>134</v>
      </c>
      <c r="AM28" s="9" t="n">
        <f aca="false">AM27+AM25</f>
        <v>140</v>
      </c>
      <c r="AN28" s="9" t="n">
        <f aca="false">AN27+AN25</f>
        <v>146</v>
      </c>
      <c r="AO28" s="9" t="n">
        <f aca="false">AO27+AO25</f>
        <v>152</v>
      </c>
      <c r="AP28" s="9" t="n">
        <f aca="false">AP27+AP25</f>
        <v>158</v>
      </c>
      <c r="AQ28" s="9" t="n">
        <f aca="false">AQ27+AQ25</f>
        <v>164</v>
      </c>
      <c r="AR28" s="9" t="n">
        <f aca="false">AR27+AR25</f>
        <v>170</v>
      </c>
      <c r="AS28" s="9" t="n">
        <f aca="false">AS27+AS25</f>
        <v>176</v>
      </c>
      <c r="AT28" s="9" t="n">
        <f aca="false">AT27+AT25</f>
        <v>182</v>
      </c>
      <c r="AU28" s="9" t="n">
        <f aca="false">AU27+AU25</f>
        <v>188</v>
      </c>
      <c r="AV28" s="9" t="n">
        <f aca="false">AV27+AV25</f>
        <v>194</v>
      </c>
      <c r="AW28" s="9" t="n">
        <f aca="false">AW27+AW25</f>
        <v>200</v>
      </c>
      <c r="AX28" s="9" t="n">
        <f aca="false">AX27+AX25</f>
        <v>206</v>
      </c>
      <c r="AY28" s="9" t="n">
        <f aca="false">AY27+AY25</f>
        <v>212</v>
      </c>
      <c r="AZ28" s="9" t="n">
        <f aca="false">AZ27+AZ25</f>
        <v>218</v>
      </c>
      <c r="BA28" s="9" t="n">
        <f aca="false">BA27+BA25</f>
        <v>224</v>
      </c>
      <c r="BB28" s="9" t="n">
        <f aca="false">BB27+BB25</f>
        <v>230</v>
      </c>
      <c r="BC28" s="9" t="n">
        <f aca="false">BC27+BC25</f>
        <v>236</v>
      </c>
      <c r="BD28" s="9" t="n">
        <f aca="false">BD27+BD25</f>
        <v>242</v>
      </c>
      <c r="BE28" s="9" t="n">
        <f aca="false">BE27+BE25</f>
        <v>248</v>
      </c>
      <c r="BF28" s="9" t="n">
        <f aca="false">BF27+BF25</f>
        <v>254</v>
      </c>
      <c r="BG28" s="9" t="n">
        <f aca="false">BG27+BG25</f>
        <v>260</v>
      </c>
      <c r="BH28" s="9" t="n">
        <f aca="false">BH27+BH25</f>
        <v>266</v>
      </c>
      <c r="BI28" s="9" t="n">
        <f aca="false">BI27+BI25</f>
        <v>272</v>
      </c>
      <c r="BJ28" s="9" t="n">
        <f aca="false">BJ27+BJ25</f>
        <v>278</v>
      </c>
      <c r="BK28" s="9" t="n">
        <f aca="false">BK27+BK25</f>
        <v>284</v>
      </c>
      <c r="BL28" s="9" t="n">
        <f aca="false">BL27+BL25</f>
        <v>290</v>
      </c>
      <c r="BM28" s="9" t="n">
        <f aca="false">BM27+BM25</f>
        <v>296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0</v>
      </c>
      <c r="P29" s="9" t="n">
        <f aca="false">IF(P17=$F$11,1,0)</f>
        <v>1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0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0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1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0</v>
      </c>
      <c r="BN32" s="9" t="n">
        <f aca="false">IF(AND(BN25&gt;0,0=0),1,0)</f>
        <v>1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1</v>
      </c>
      <c r="AR13" s="9" t="n">
        <f aca="false">IF(AR8&lt;=Time!$F$10,1,0)</f>
        <v>1</v>
      </c>
      <c r="AS13" s="9" t="n">
        <f aca="false">IF(AS8&lt;=Time!$F$10,1,0)</f>
        <v>1</v>
      </c>
      <c r="AT13" s="9" t="n">
        <f aca="false">IF(AT8&lt;=Time!$F$10,1,0)</f>
        <v>1</v>
      </c>
      <c r="AU13" s="9" t="n">
        <f aca="false">IF(AU8&lt;=Time!$F$10,1,0)</f>
        <v>1</v>
      </c>
      <c r="AV13" s="9" t="n">
        <f aca="false">IF(AV8&lt;=Time!$F$10,1,0)</f>
        <v>1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1</v>
      </c>
      <c r="AT14" s="9" t="n">
        <f aca="false">IF(AT8&lt;=Time!$F$13,1,0)</f>
        <v>1</v>
      </c>
      <c r="AU14" s="9" t="n">
        <f aca="false">IF(AU8&lt;=Time!$F$13,1,0)</f>
        <v>1</v>
      </c>
      <c r="AV14" s="9" t="n">
        <f aca="false">IF(AV8&lt;=Time!$F$13,1,0)</f>
        <v>1</v>
      </c>
      <c r="AW14" s="9" t="n">
        <f aca="false">IF(AW8&lt;=Time!$F$13,1,0)</f>
        <v>1</v>
      </c>
      <c r="AX14" s="9" t="n">
        <f aca="false">IF(AX8&lt;=Time!$F$13,1,0)</f>
        <v>1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0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1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520.495338031746</v>
      </c>
      <c r="K16" s="11" t="n">
        <f aca="false">IF(Inputs!$F$32=1,Inputs!$F$58*Time!$F$15^((K8-0.5)/12),INDEX(Operations!$J$11:$BN$11,1,K12))</f>
        <v>522.692948685804</v>
      </c>
      <c r="L16" s="11" t="n">
        <f aca="false">IF(Inputs!$F$32=1,Inputs!$F$58*Time!$F$15^((L8-0.5)/12),INDEX(Operations!$J$11:$BN$11,1,L12))</f>
        <v>524.899837987016</v>
      </c>
      <c r="M16" s="11" t="n">
        <f aca="false">IF(Inputs!$F$32=1,Inputs!$F$58*Time!$F$15^((M8-0.5)/12),INDEX(Operations!$J$11:$BN$11,1,M12))</f>
        <v>527.116045111244</v>
      </c>
      <c r="N16" s="11" t="n">
        <f aca="false">IF(Inputs!$F$32=1,Inputs!$F$58*Time!$F$15^((N8-0.5)/12),INDEX(Operations!$J$11:$BN$11,1,N12))</f>
        <v>529.341609399758</v>
      </c>
      <c r="O16" s="11" t="n">
        <f aca="false">IF(Inputs!$F$32=1,Inputs!$F$58*Time!$F$15^((O8-0.5)/12),INDEX(Operations!$J$11:$BN$11,1,O12))</f>
        <v>531.576570359931</v>
      </c>
      <c r="P16" s="11" t="n">
        <f aca="false">IF(Inputs!$F$32=1,Inputs!$F$58*Time!$F$15^((P8-0.5)/12),INDEX(Operations!$J$11:$BN$11,1,P12))</f>
        <v>533.820967665944</v>
      </c>
      <c r="Q16" s="11" t="n">
        <f aca="false">IF(Inputs!$F$32=1,Inputs!$F$58*Time!$F$15^((Q8-0.5)/12),INDEX(Operations!$J$11:$BN$11,1,Q12))</f>
        <v>536.074841159486</v>
      </c>
      <c r="R16" s="11" t="n">
        <f aca="false">IF(Inputs!$F$32=1,Inputs!$F$58*Time!$F$15^((R8-0.5)/12),INDEX(Operations!$J$11:$BN$11,1,R12))</f>
        <v>538.338230850467</v>
      </c>
      <c r="S16" s="11" t="n">
        <f aca="false">IF(Inputs!$F$32=1,Inputs!$F$58*Time!$F$15^((S8-0.5)/12),INDEX(Operations!$J$11:$BN$11,1,S12))</f>
        <v>540.611176917722</v>
      </c>
      <c r="T16" s="11" t="n">
        <f aca="false">IF(Inputs!$F$32=1,Inputs!$F$58*Time!$F$15^((T8-0.5)/12),INDEX(Operations!$J$11:$BN$11,1,T12))</f>
        <v>542.893719709728</v>
      </c>
      <c r="U16" s="11" t="n">
        <f aca="false">IF(Inputs!$F$32=1,Inputs!$F$58*Time!$F$15^((U8-0.5)/12),INDEX(Operations!$J$11:$BN$11,1,U12))</f>
        <v>545.18589974532</v>
      </c>
      <c r="V16" s="11" t="n">
        <f aca="false">IF(Inputs!$F$32=1,Inputs!$F$58*Time!$F$15^((V8-0.5)/12),INDEX(Operations!$J$11:$BN$11,1,V12))</f>
        <v>547.48775771441</v>
      </c>
      <c r="W16" s="11" t="n">
        <f aca="false">IF(Inputs!$F$32=1,Inputs!$F$58*Time!$F$15^((W8-0.5)/12),INDEX(Operations!$J$11:$BN$11,1,W12))</f>
        <v>549.799334478708</v>
      </c>
      <c r="X16" s="11" t="n">
        <f aca="false">IF(Inputs!$F$32=1,Inputs!$F$58*Time!$F$15^((X8-0.5)/12),INDEX(Operations!$J$11:$BN$11,1,X12))</f>
        <v>552.120671072448</v>
      </c>
      <c r="Y16" s="11" t="n">
        <f aca="false">IF(Inputs!$F$32=1,Inputs!$F$58*Time!$F$15^((Y8-0.5)/12),INDEX(Operations!$J$11:$BN$11,1,Y12))</f>
        <v>554.451808703119</v>
      </c>
      <c r="Z16" s="11" t="n">
        <f aca="false">IF(Inputs!$F$32=1,Inputs!$F$58*Time!$F$15^((Z8-0.5)/12),INDEX(Operations!$J$11:$BN$11,1,Z12))</f>
        <v>556.792788752192</v>
      </c>
      <c r="AA16" s="11" t="n">
        <f aca="false">IF(Inputs!$F$32=1,Inputs!$F$58*Time!$F$15^((AA8-0.5)/12),INDEX(Operations!$J$11:$BN$11,1,AA12))</f>
        <v>559.143652775857</v>
      </c>
      <c r="AB16" s="11" t="n">
        <f aca="false">IF(Inputs!$F$32=1,Inputs!$F$58*Time!$F$15^((AB8-0.5)/12),INDEX(Operations!$J$11:$BN$11,1,AB12))</f>
        <v>561.504442505763</v>
      </c>
      <c r="AC16" s="11" t="n">
        <f aca="false">IF(Inputs!$F$32=1,Inputs!$F$58*Time!$F$15^((AC8-0.5)/12),INDEX(Operations!$J$11:$BN$11,1,AC12))</f>
        <v>563.875199849753</v>
      </c>
      <c r="AD16" s="11" t="n">
        <f aca="false">IF(Inputs!$F$32=1,Inputs!$F$58*Time!$F$15^((AD8-0.5)/12),INDEX(Operations!$J$11:$BN$11,1,AD12))</f>
        <v>566.255966892614</v>
      </c>
      <c r="AE16" s="11" t="n">
        <f aca="false">IF(Inputs!$F$32=1,Inputs!$F$58*Time!$F$15^((AE8-0.5)/12),INDEX(Operations!$J$11:$BN$11,1,AE12))</f>
        <v>568.646785896821</v>
      </c>
      <c r="AF16" s="11" t="n">
        <f aca="false">IF(Inputs!$F$32=1,Inputs!$F$58*Time!$F$15^((AF8-0.5)/12),INDEX(Operations!$J$11:$BN$11,1,AF12))</f>
        <v>571.047699303285</v>
      </c>
      <c r="AG16" s="11" t="n">
        <f aca="false">IF(Inputs!$F$32=1,Inputs!$F$58*Time!$F$15^((AG8-0.5)/12),INDEX(Operations!$J$11:$BN$11,1,AG12))</f>
        <v>573.458749732113</v>
      </c>
      <c r="AH16" s="11" t="n">
        <f aca="false">IF(Inputs!$F$32=1,Inputs!$F$58*Time!$F$15^((AH8-0.5)/12),INDEX(Operations!$J$11:$BN$11,1,AH12))</f>
        <v>575.879979983357</v>
      </c>
      <c r="AI16" s="11" t="n">
        <f aca="false">IF(Inputs!$F$32=1,Inputs!$F$58*Time!$F$15^((AI8-0.5)/12),INDEX(Operations!$J$11:$BN$11,1,AI12))</f>
        <v>578.31143303778</v>
      </c>
      <c r="AJ16" s="11" t="n">
        <f aca="false">IF(Inputs!$F$32=1,Inputs!$F$58*Time!$F$15^((AJ8-0.5)/12),INDEX(Operations!$J$11:$BN$11,1,AJ12))</f>
        <v>580.753152057614</v>
      </c>
      <c r="AK16" s="11" t="n">
        <f aca="false">IF(Inputs!$F$32=1,Inputs!$F$58*Time!$F$15^((AK8-0.5)/12),INDEX(Operations!$J$11:$BN$11,1,AK12))</f>
        <v>583.205180387331</v>
      </c>
      <c r="AL16" s="11" t="n">
        <f aca="false">IF(Inputs!$F$32=1,Inputs!$F$58*Time!$F$15^((AL8-0.5)/12),INDEX(Operations!$J$11:$BN$11,1,AL12))</f>
        <v>585.667561554409</v>
      </c>
      <c r="AM16" s="11" t="n">
        <f aca="false">IF(Inputs!$F$32=1,Inputs!$F$58*Time!$F$15^((AM8-0.5)/12),INDEX(Operations!$J$11:$BN$11,1,AM12))</f>
        <v>588.140339270104</v>
      </c>
      <c r="AN16" s="11" t="n">
        <f aca="false">IF(Inputs!$F$32=1,Inputs!$F$58*Time!$F$15^((AN8-0.5)/12),INDEX(Operations!$J$11:$BN$11,1,AN12))</f>
        <v>590.62355743023</v>
      </c>
      <c r="AO16" s="11" t="n">
        <f aca="false">IF(Inputs!$F$32=1,Inputs!$F$58*Time!$F$15^((AO8-0.5)/12),INDEX(Operations!$J$11:$BN$11,1,AO12))</f>
        <v>593.117260115934</v>
      </c>
      <c r="AP16" s="11" t="n">
        <f aca="false">IF(Inputs!$F$32=1,Inputs!$F$58*Time!$F$15^((AP8-0.5)/12),INDEX(Operations!$J$11:$BN$11,1,AP12))</f>
        <v>595.621491594482</v>
      </c>
      <c r="AQ16" s="11" t="n">
        <f aca="false">IF(Inputs!$F$32=1,Inputs!$F$58*Time!$F$15^((AQ8-0.5)/12),INDEX(Operations!$J$11:$BN$11,1,AQ12))</f>
        <v>598.136296320041</v>
      </c>
      <c r="AR16" s="11" t="n">
        <f aca="false">IF(Inputs!$F$32=1,Inputs!$F$58*Time!$F$15^((AR8-0.5)/12),INDEX(Operations!$J$11:$BN$11,1,AR12))</f>
        <v>600.661718934473</v>
      </c>
      <c r="AS16" s="11" t="n">
        <f aca="false">IF(Inputs!$F$32=1,Inputs!$F$58*Time!$F$15^((AS8-0.5)/12),INDEX(Operations!$J$11:$BN$11,1,AS12))</f>
        <v>603.197804268122</v>
      </c>
      <c r="AT16" s="11" t="n">
        <f aca="false">IF(Inputs!$F$32=1,Inputs!$F$58*Time!$F$15^((AT8-0.5)/12),INDEX(Operations!$J$11:$BN$11,1,AT12))</f>
        <v>605.744597340615</v>
      </c>
      <c r="AU16" s="11" t="n">
        <f aca="false">IF(Inputs!$F$32=1,Inputs!$F$58*Time!$F$15^((AU8-0.5)/12),INDEX(Operations!$J$11:$BN$11,1,AU12))</f>
        <v>608.302143361657</v>
      </c>
      <c r="AV16" s="11" t="n">
        <f aca="false">IF(Inputs!$F$32=1,Inputs!$F$58*Time!$F$15^((AV8-0.5)/12),INDEX(Operations!$J$11:$BN$11,1,AV12))</f>
        <v>610.870487731835</v>
      </c>
      <c r="AW16" s="11" t="n">
        <f aca="false">IF(Inputs!$F$32=1,Inputs!$F$58*Time!$F$15^((AW8-0.5)/12),INDEX(Operations!$J$11:$BN$11,1,AW12))</f>
        <v>613.449676043426</v>
      </c>
      <c r="AX16" s="11" t="n">
        <f aca="false">IF(Inputs!$F$32=1,Inputs!$F$58*Time!$F$15^((AX8-0.5)/12),INDEX(Operations!$J$11:$BN$11,1,AX12))</f>
        <v>616.039754081203</v>
      </c>
      <c r="AY16" s="11" t="n">
        <f aca="false">IF(Inputs!$F$32=1,Inputs!$F$58*Time!$F$15^((AY8-0.5)/12),INDEX(Operations!$J$11:$BN$11,1,AY12))</f>
        <v>618.64076782325</v>
      </c>
      <c r="AZ16" s="11" t="n">
        <f aca="false">IF(Inputs!$F$32=1,Inputs!$F$58*Time!$F$15^((AZ8-0.5)/12),INDEX(Operations!$J$11:$BN$11,1,AZ12))</f>
        <v>621.252763441778</v>
      </c>
      <c r="BA16" s="11" t="n">
        <f aca="false">IF(Inputs!$F$32=1,Inputs!$F$58*Time!$F$15^((BA8-0.5)/12),INDEX(Operations!$J$11:$BN$11,1,BA12))</f>
        <v>623.875787303942</v>
      </c>
      <c r="BB16" s="11" t="n">
        <f aca="false">IF(Inputs!$F$32=1,Inputs!$F$58*Time!$F$15^((BB8-0.5)/12),INDEX(Operations!$J$11:$BN$11,1,BB12))</f>
        <v>626.509885972669</v>
      </c>
      <c r="BC16" s="11" t="n">
        <f aca="false">IF(Inputs!$F$32=1,Inputs!$F$58*Time!$F$15^((BC8-0.5)/12),INDEX(Operations!$J$11:$BN$11,1,BC12))</f>
        <v>629.15510620748</v>
      </c>
      <c r="BD16" s="11" t="n">
        <f aca="false">IF(Inputs!$F$32=1,Inputs!$F$58*Time!$F$15^((BD8-0.5)/12),INDEX(Operations!$J$11:$BN$11,1,BD12))</f>
        <v>631.811494965321</v>
      </c>
      <c r="BE16" s="11" t="n">
        <f aca="false">IF(Inputs!$F$32=1,Inputs!$F$58*Time!$F$15^((BE8-0.5)/12),INDEX(Operations!$J$11:$BN$11,1,BE12))</f>
        <v>634.479099401401</v>
      </c>
      <c r="BF16" s="11" t="n">
        <f aca="false">IF(Inputs!$F$32=1,Inputs!$F$58*Time!$F$15^((BF8-0.5)/12),INDEX(Operations!$J$11:$BN$11,1,BF12))</f>
        <v>637.157966870021</v>
      </c>
      <c r="BG16" s="11" t="n">
        <f aca="false">IF(Inputs!$F$32=1,Inputs!$F$58*Time!$F$15^((BG8-0.5)/12),INDEX(Operations!$J$11:$BN$11,1,BG12))</f>
        <v>639.848144925422</v>
      </c>
      <c r="BH16" s="11" t="n">
        <f aca="false">IF(Inputs!$F$32=1,Inputs!$F$58*Time!$F$15^((BH8-0.5)/12),INDEX(Operations!$J$11:$BN$11,1,BH12))</f>
        <v>642.549681322625</v>
      </c>
      <c r="BI16" s="11" t="n">
        <f aca="false">IF(Inputs!$F$32=1,Inputs!$F$58*Time!$F$15^((BI8-0.5)/12),INDEX(Operations!$J$11:$BN$11,1,BI12))</f>
        <v>645.262624018281</v>
      </c>
      <c r="BJ16" s="11" t="n">
        <f aca="false">IF(Inputs!$F$32=1,Inputs!$F$58*Time!$F$15^((BJ8-0.5)/12),INDEX(Operations!$J$11:$BN$11,1,BJ12))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13.5</v>
      </c>
      <c r="AZ18" s="11" t="n">
        <f aca="false">IF(Inputs!$F$32=1,Inputs!$F$71,INDEX(Inputs!$J$210:$AR$210,1,YEAR(AZ9)-2014))</f>
        <v>13.5</v>
      </c>
      <c r="BA18" s="11" t="n">
        <f aca="false">IF(Inputs!$F$32=1,Inputs!$F$71,INDEX(Inputs!$J$210:$AR$210,1,YEAR(BA9)-2014))</f>
        <v>13.5</v>
      </c>
      <c r="BB18" s="11" t="n">
        <f aca="false">IF(Inputs!$F$32=1,Inputs!$F$71,INDEX(Inputs!$J$210:$AR$210,1,YEAR(BB9)-2014))</f>
        <v>13.5</v>
      </c>
      <c r="BC18" s="11" t="n">
        <f aca="false">IF(Inputs!$F$32=1,Inputs!$F$71,INDEX(Inputs!$J$210:$AR$210,1,YEAR(BC9)-2014))</f>
        <v>13.5</v>
      </c>
      <c r="BD18" s="11" t="n">
        <f aca="false">IF(Inputs!$F$32=1,Inputs!$F$71,INDEX(Inputs!$J$210:$AR$210,1,YEAR(BD9)-2014))</f>
        <v>13.5</v>
      </c>
      <c r="BE18" s="11" t="n">
        <f aca="false">IF(Inputs!$F$32=1,Inputs!$F$71,INDEX(Inputs!$J$210:$AR$210,1,YEAR(BE9)-2014))</f>
        <v>13.5</v>
      </c>
      <c r="BF18" s="11" t="n">
        <f aca="false">IF(Inputs!$F$32=1,Inputs!$F$71,INDEX(Inputs!$J$210:$AR$210,1,YEAR(BF9)-2014))</f>
        <v>13.5</v>
      </c>
      <c r="BG18" s="11" t="n">
        <f aca="false">IF(Inputs!$F$32=1,Inputs!$F$71,INDEX(Inputs!$J$210:$AR$210,1,YEAR(BG9)-2014))</f>
        <v>13.5</v>
      </c>
      <c r="BH18" s="11" t="n">
        <f aca="false">IF(Inputs!$F$32=1,Inputs!$F$71,INDEX(Inputs!$J$210:$AR$210,1,YEAR(BH9)-2014))</f>
        <v>13.5</v>
      </c>
      <c r="BI18" s="11" t="n">
        <f aca="false">IF(Inputs!$F$32=1,Inputs!$F$71,INDEX(Inputs!$J$210:$AR$210,1,YEAR(BI9)-2014))</f>
        <v>13.5</v>
      </c>
      <c r="BJ18" s="11" t="n">
        <f aca="false">IF(Inputs!$F$32=1,Inputs!$F$71,INDEX(Inputs!$J$210:$AR$210,1,YEAR(BJ9)-2014))</f>
        <v>13.5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0.0108</v>
      </c>
      <c r="L20" s="11" t="n">
        <f aca="false">IF(Inputs!$F$33=2,Inputs!L226,Inputs!L225+IF(Inputs!$F$34&gt;0,IF(L8=33,-7.5,0)+IF(L8=33+Inputs!$F$34,7.5,0),0))</f>
        <v>0.1133</v>
      </c>
      <c r="M20" s="11" t="n">
        <f aca="false">IF(Inputs!$F$33=2,Inputs!M226,Inputs!M225+IF(Inputs!$F$34&gt;0,IF(M8=33,-7.5,0)+IF(M8=33+Inputs!$F$34,7.5,0),0))</f>
        <v>0.3239</v>
      </c>
      <c r="N20" s="11" t="n">
        <f aca="false">IF(Inputs!$F$33=2,Inputs!N226,Inputs!N225+IF(Inputs!$F$34&gt;0,IF(N8=33,-7.5,0)+IF(N8=33+Inputs!$F$34,7.5,0),0))</f>
        <v>0.6294</v>
      </c>
      <c r="O20" s="11" t="n">
        <f aca="false">IF(Inputs!$F$33=2,Inputs!O226,Inputs!O225+IF(Inputs!$F$34&gt;0,IF(O8=33,-7.5,0)+IF(O8=33+Inputs!$F$34,7.5,0),0))</f>
        <v>1.0114</v>
      </c>
      <c r="P20" s="11" t="n">
        <f aca="false">IF(Inputs!$F$33=2,Inputs!P226,Inputs!P225+IF(Inputs!$F$34&gt;0,IF(P8=33,-7.5,0)+IF(P8=33+Inputs!$F$34,7.5,0),0))</f>
        <v>1.4496</v>
      </c>
      <c r="Q20" s="11" t="n">
        <f aca="false">IF(Inputs!$F$33=2,Inputs!Q226,Inputs!Q225+IF(Inputs!$F$34&gt;0,IF(Q8=33,-7.5,0)+IF(Q8=33+Inputs!$F$34,7.5,0),0))</f>
        <v>1.9236</v>
      </c>
      <c r="R20" s="11" t="n">
        <f aca="false">IF(Inputs!$F$33=2,Inputs!R226,Inputs!R225+IF(Inputs!$F$34&gt;0,IF(R8=33,-7.5,0)+IF(R8=33+Inputs!$F$34,7.5,0),0))</f>
        <v>2.4133</v>
      </c>
      <c r="S20" s="11" t="n">
        <f aca="false">IF(Inputs!$F$33=2,Inputs!S226,Inputs!S225+IF(Inputs!$F$34&gt;0,IF(S8=33,-7.5,0)+IF(S8=33+Inputs!$F$34,7.5,0),0))</f>
        <v>2.8999</v>
      </c>
      <c r="T20" s="11" t="n">
        <f aca="false">IF(Inputs!$F$33=2,Inputs!T226,Inputs!T225+IF(Inputs!$F$34&gt;0,IF(T8=33,-7.5,0)+IF(T8=33+Inputs!$F$34,7.5,0),0))</f>
        <v>3.3659</v>
      </c>
      <c r="U20" s="11" t="n">
        <f aca="false">IF(Inputs!$F$33=2,Inputs!U226,Inputs!U225+IF(Inputs!$F$34&gt;0,IF(U8=33,-7.5,0)+IF(U8=33+Inputs!$F$34,7.5,0),0))</f>
        <v>3.7957</v>
      </c>
      <c r="V20" s="11" t="n">
        <f aca="false">IF(Inputs!$F$33=2,Inputs!V226,Inputs!V225+IF(Inputs!$F$34&gt;0,IF(V8=33,-7.5,0)+IF(V8=33+Inputs!$F$34,7.5,0),0))</f>
        <v>4.1755</v>
      </c>
      <c r="W20" s="11" t="n">
        <f aca="false">IF(Inputs!$F$33=2,Inputs!W226,Inputs!W225+IF(Inputs!$F$34&gt;0,IF(W8=33,-7.5,0)+IF(W8=33+Inputs!$F$34,7.5,0),0))</f>
        <v>4.4935</v>
      </c>
      <c r="X20" s="11" t="n">
        <f aca="false">IF(Inputs!$F$33=2,Inputs!X226,Inputs!X225+IF(Inputs!$F$34&gt;0,IF(X8=33,-7.5,0)+IF(X8=33+Inputs!$F$34,7.5,0),0))</f>
        <v>4.7405</v>
      </c>
      <c r="Y20" s="11" t="n">
        <f aca="false">IF(Inputs!$F$33=2,Inputs!Y226,Inputs!Y225+IF(Inputs!$F$34&gt;0,IF(Y8=33,-7.5,0)+IF(Y8=33+Inputs!$F$34,7.5,0),0))</f>
        <v>4.9091</v>
      </c>
      <c r="Z20" s="11" t="n">
        <f aca="false">IF(Inputs!$F$33=2,Inputs!Z226,Inputs!Z225+IF(Inputs!$F$34&gt;0,IF(Z8=33,-7.5,0)+IF(Z8=33+Inputs!$F$34,7.5,0),0))</f>
        <v>4.9946</v>
      </c>
      <c r="AA20" s="11" t="n">
        <f aca="false">IF(Inputs!$F$33=2,Inputs!AA226,Inputs!AA225+IF(Inputs!$F$34&gt;0,IF(AA8=33,-7.5,0)+IF(AA8=33+Inputs!$F$34,7.5,0),0))</f>
        <v>4.9946</v>
      </c>
      <c r="AB20" s="11" t="n">
        <f aca="false">IF(Inputs!$F$33=2,Inputs!AB226,Inputs!AB225+IF(Inputs!$F$34&gt;0,IF(AB8=33,-7.5,0)+IF(AB8=33+Inputs!$F$34,7.5,0),0))</f>
        <v>4.9091</v>
      </c>
      <c r="AC20" s="11" t="n">
        <f aca="false">IF(Inputs!$F$33=2,Inputs!AC226,Inputs!AC225+IF(Inputs!$F$34&gt;0,IF(AC8=33,-7.5,0)+IF(AC8=33+Inputs!$F$34,7.5,0),0))</f>
        <v>4.7405</v>
      </c>
      <c r="AD20" s="11" t="n">
        <f aca="false">IF(Inputs!$F$33=2,Inputs!AD226,Inputs!AD225+IF(Inputs!$F$34&gt;0,IF(AD8=33,-7.5,0)+IF(AD8=33+Inputs!$F$34,7.5,0),0))</f>
        <v>4.4935</v>
      </c>
      <c r="AE20" s="11" t="n">
        <f aca="false">IF(Inputs!$F$33=2,Inputs!AE226,Inputs!AE225+IF(Inputs!$F$34&gt;0,IF(AE8=33,-7.5,0)+IF(AE8=33+Inputs!$F$34,7.5,0),0))</f>
        <v>4.1755</v>
      </c>
      <c r="AF20" s="11" t="n">
        <f aca="false">IF(Inputs!$F$33=2,Inputs!AF226,Inputs!AF225+IF(Inputs!$F$34&gt;0,IF(AF8=33,-7.5,0)+IF(AF8=33+Inputs!$F$34,7.5,0),0))</f>
        <v>3.7957</v>
      </c>
      <c r="AG20" s="11" t="n">
        <f aca="false">IF(Inputs!$F$33=2,Inputs!AG226,Inputs!AG225+IF(Inputs!$F$34&gt;0,IF(AG8=33,-7.5,0)+IF(AG8=33+Inputs!$F$34,7.5,0),0))</f>
        <v>3.3659</v>
      </c>
      <c r="AH20" s="11" t="n">
        <f aca="false">IF(Inputs!$F$33=2,Inputs!AH226,Inputs!AH225+IF(Inputs!$F$34&gt;0,IF(AH8=33,-7.5,0)+IF(AH8=33+Inputs!$F$34,7.5,0),0))</f>
        <v>2.8999</v>
      </c>
      <c r="AI20" s="11" t="n">
        <f aca="false">IF(Inputs!$F$33=2,Inputs!AI226,Inputs!AI225+IF(Inputs!$F$34&gt;0,IF(AI8=33,-7.5,0)+IF(AI8=33+Inputs!$F$34,7.5,0),0))</f>
        <v>2.4133</v>
      </c>
      <c r="AJ20" s="11" t="n">
        <f aca="false">IF(Inputs!$F$33=2,Inputs!AJ226,Inputs!AJ225+IF(Inputs!$F$34&gt;0,IF(AJ8=33,-7.5,0)+IF(AJ8=33+Inputs!$F$34,7.5,0),0))</f>
        <v>1.9236</v>
      </c>
      <c r="AK20" s="11" t="n">
        <f aca="false">IF(Inputs!$F$33=2,Inputs!AK226,Inputs!AK225+IF(Inputs!$F$34&gt;0,IF(AK8=33,-7.5,0)+IF(AK8=33+Inputs!$F$34,7.5,0),0))</f>
        <v>1.4496</v>
      </c>
      <c r="AL20" s="11" t="n">
        <f aca="false">IF(Inputs!$F$33=2,Inputs!AL226,Inputs!AL225+IF(Inputs!$F$34&gt;0,IF(AL8=33,-7.5,0)+IF(AL8=33+Inputs!$F$34,7.5,0),0))</f>
        <v>1.0114</v>
      </c>
      <c r="AM20" s="11" t="n">
        <f aca="false">IF(Inputs!$F$33=2,Inputs!AM226,Inputs!AM225+IF(Inputs!$F$34&gt;0,IF(AM8=33,-7.5,0)+IF(AM8=33+Inputs!$F$34,7.5,0),0))</f>
        <v>0.6294</v>
      </c>
      <c r="AN20" s="11" t="n">
        <f aca="false">IF(Inputs!$F$33=2,Inputs!AN226,Inputs!AN225+IF(Inputs!$F$34&gt;0,IF(AN8=33,-7.5,0)+IF(AN8=33+Inputs!$F$34,7.5,0),0))</f>
        <v>0.3239</v>
      </c>
      <c r="AO20" s="11" t="n">
        <f aca="false">IF(Inputs!$F$33=2,Inputs!AO226,Inputs!AO225+IF(Inputs!$F$34&gt;0,IF(AO8=33,-7.5,0)+IF(AO8=33+Inputs!$F$34,7.5,0),0))</f>
        <v>0.1133</v>
      </c>
      <c r="AP20" s="11" t="n">
        <f aca="false">IF(Inputs!$F$33=2,Inputs!AP226,Inputs!AP225+IF(Inputs!$F$34&gt;0,IF(AP8=33,-7.5,0)+IF(AP8=33+Inputs!$F$34,7.5,0),0))</f>
        <v>0.0107999999999997</v>
      </c>
      <c r="AQ20" s="11" t="n">
        <f aca="false">IF(Inputs!$F$33=2,Inputs!AQ226,Inputs!AQ225+IF(Inputs!$F$34&gt;0,IF(AQ8=33,-7.5,0)+IF(AQ8=33+Inputs!$F$34,7.5,0),0))</f>
        <v>0</v>
      </c>
      <c r="AR20" s="11" t="n">
        <f aca="false">IF(Inputs!$F$33=2,Inputs!AR226,Inputs!AR225+IF(Inputs!$F$34&gt;0,IF(AR8=33,-7.5,0)+IF(AR8=33+Inputs!$F$34,7.5,0),0))</f>
        <v>0</v>
      </c>
      <c r="AS20" s="11" t="n">
        <f aca="false">IF(Inputs!$F$33=2,Inputs!AS226,Inputs!AS225+IF(Inputs!$F$34&gt;0,IF(AS8=33,-7.5,0)+IF(AS8=33+Inputs!$F$34,7.5,0),0))</f>
        <v>0</v>
      </c>
      <c r="AT20" s="11" t="n">
        <f aca="false">IF(Inputs!$F$33=2,Inputs!AT226,Inputs!AT225+IF(Inputs!$F$34&gt;0,IF(AT8=33,-7.5,0)+IF(AT8=33+Inputs!$F$34,7.5,0),0))</f>
        <v>0</v>
      </c>
      <c r="AU20" s="11" t="n">
        <f aca="false">IF(Inputs!$F$33=2,Inputs!AU226,Inputs!AU225+IF(Inputs!$F$34&gt;0,IF(AU8=33,-7.5,0)+IF(AU8=33+Inputs!$F$34,7.5,0),0))</f>
        <v>0</v>
      </c>
      <c r="AV20" s="11" t="n">
        <f aca="false">IF(Inputs!$F$33=2,Inputs!AV226,Inputs!AV225+IF(Inputs!$F$34&gt;0,IF(AV8=33,-7.5,0)+IF(AV8=33+Inputs!$F$34,7.5,0),0))</f>
        <v>7.5</v>
      </c>
      <c r="AW20" s="11" t="n">
        <f aca="false">IF(Inputs!$F$33=2,Inputs!AW226,Inputs!AW225+IF(Inputs!$F$34&gt;0,IF(AW8=33,-7.5,0)+IF(AW8=33+Inputs!$F$34,7.5,0),0))</f>
        <v>0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571.84</v>
      </c>
      <c r="J22" s="11" t="n">
        <f aca="false">IF(Inputs!$F$33=2,J20/100*Inputs!$F$56+J20/100*Inputs!$F$57*Inputs!$F$58/J16,Inputs!$F$55*Inputs!$F$35*J20/100)</f>
        <v>57.184</v>
      </c>
      <c r="K22" s="11" t="n">
        <f aca="false">IF(Inputs!$F$33=2,K20/100*Inputs!$F$56+K20/100*Inputs!$F$57*Inputs!$F$58/K16,Inputs!$F$55*Inputs!$F$35*K20/100)</f>
        <v>0.06175872</v>
      </c>
      <c r="L22" s="11" t="n">
        <f aca="false">IF(Inputs!$F$33=2,L20/100*Inputs!$F$56+L20/100*Inputs!$F$57*Inputs!$F$58/L16,Inputs!$F$55*Inputs!$F$35*L20/100)</f>
        <v>0.64789472</v>
      </c>
      <c r="M22" s="11" t="n">
        <f aca="false">IF(Inputs!$F$33=2,M20/100*Inputs!$F$56+M20/100*Inputs!$F$57*Inputs!$F$58/M16,Inputs!$F$55*Inputs!$F$35*M20/100)</f>
        <v>1.85218976</v>
      </c>
      <c r="N22" s="11" t="n">
        <f aca="false">IF(Inputs!$F$33=2,N20/100*Inputs!$F$56+N20/100*Inputs!$F$57*Inputs!$F$58/N16,Inputs!$F$55*Inputs!$F$35*N20/100)</f>
        <v>3.59916096</v>
      </c>
      <c r="O22" s="11" t="n">
        <f aca="false">IF(Inputs!$F$33=2,O20/100*Inputs!$F$56+O20/100*Inputs!$F$57*Inputs!$F$58/O16,Inputs!$F$55*Inputs!$F$35*O20/100)</f>
        <v>5.78358976</v>
      </c>
      <c r="P22" s="11" t="n">
        <f aca="false">IF(Inputs!$F$33=2,P20/100*Inputs!$F$56+P20/100*Inputs!$F$57*Inputs!$F$58/P16,Inputs!$F$55*Inputs!$F$35*P20/100)</f>
        <v>8.28939264</v>
      </c>
      <c r="Q22" s="11" t="n">
        <f aca="false">IF(Inputs!$F$33=2,Q20/100*Inputs!$F$56+Q20/100*Inputs!$F$57*Inputs!$F$58/Q16,Inputs!$F$55*Inputs!$F$35*Q20/100)</f>
        <v>10.99991424</v>
      </c>
      <c r="R22" s="11" t="n">
        <f aca="false">IF(Inputs!$F$33=2,R20/100*Inputs!$F$56+R20/100*Inputs!$F$57*Inputs!$F$58/R16,Inputs!$F$55*Inputs!$F$35*R20/100)</f>
        <v>13.80021472</v>
      </c>
      <c r="S22" s="11" t="n">
        <f aca="false">IF(Inputs!$F$33=2,S20/100*Inputs!$F$56+S20/100*Inputs!$F$57*Inputs!$F$58/S16,Inputs!$F$55*Inputs!$F$35*S20/100)</f>
        <v>16.58278816</v>
      </c>
      <c r="T22" s="11" t="n">
        <f aca="false">IF(Inputs!$F$33=2,T20/100*Inputs!$F$56+T20/100*Inputs!$F$57*Inputs!$F$58/T16,Inputs!$F$55*Inputs!$F$35*T20/100)</f>
        <v>19.24756256</v>
      </c>
      <c r="U22" s="11" t="n">
        <f aca="false">IF(Inputs!$F$33=2,U20/100*Inputs!$F$56+U20/100*Inputs!$F$57*Inputs!$F$58/U16,Inputs!$F$55*Inputs!$F$35*U20/100)</f>
        <v>21.70533088</v>
      </c>
      <c r="V22" s="11" t="n">
        <f aca="false">IF(Inputs!$F$33=2,V20/100*Inputs!$F$56+V20/100*Inputs!$F$57*Inputs!$F$58/V16,Inputs!$F$55*Inputs!$F$35*V20/100)</f>
        <v>23.8771792</v>
      </c>
      <c r="W22" s="11" t="n">
        <f aca="false">IF(Inputs!$F$33=2,W20/100*Inputs!$F$56+W20/100*Inputs!$F$57*Inputs!$F$58/W16,Inputs!$F$55*Inputs!$F$35*W20/100)</f>
        <v>25.6956304</v>
      </c>
      <c r="X22" s="11" t="n">
        <f aca="false">IF(Inputs!$F$33=2,X20/100*Inputs!$F$56+X20/100*Inputs!$F$57*Inputs!$F$58/X16,Inputs!$F$55*Inputs!$F$35*X20/100)</f>
        <v>27.1080752</v>
      </c>
      <c r="Y22" s="11" t="n">
        <f aca="false">IF(Inputs!$F$33=2,Y20/100*Inputs!$F$56+Y20/100*Inputs!$F$57*Inputs!$F$58/Y16,Inputs!$F$55*Inputs!$F$35*Y20/100)</f>
        <v>28.07219744</v>
      </c>
      <c r="Z22" s="11" t="n">
        <f aca="false">IF(Inputs!$F$33=2,Z20/100*Inputs!$F$56+Z20/100*Inputs!$F$57*Inputs!$F$58/Z16,Inputs!$F$55*Inputs!$F$35*Z20/100)</f>
        <v>28.56112064</v>
      </c>
      <c r="AA22" s="11" t="n">
        <f aca="false">IF(Inputs!$F$33=2,AA20/100*Inputs!$F$56+AA20/100*Inputs!$F$57*Inputs!$F$58/AA16,Inputs!$F$55*Inputs!$F$35*AA20/100)</f>
        <v>28.56112064</v>
      </c>
      <c r="AB22" s="11" t="n">
        <f aca="false">IF(Inputs!$F$33=2,AB20/100*Inputs!$F$56+AB20/100*Inputs!$F$57*Inputs!$F$58/AB16,Inputs!$F$55*Inputs!$F$35*AB20/100)</f>
        <v>28.07219744</v>
      </c>
      <c r="AC22" s="11" t="n">
        <f aca="false">IF(Inputs!$F$33=2,AC20/100*Inputs!$F$56+AC20/100*Inputs!$F$57*Inputs!$F$58/AC16,Inputs!$F$55*Inputs!$F$35*AC20/100)</f>
        <v>27.1080752</v>
      </c>
      <c r="AD22" s="11" t="n">
        <f aca="false">IF(Inputs!$F$33=2,AD20/100*Inputs!$F$56+AD20/100*Inputs!$F$57*Inputs!$F$58/AD16,Inputs!$F$55*Inputs!$F$35*AD20/100)</f>
        <v>25.6956304</v>
      </c>
      <c r="AE22" s="11" t="n">
        <f aca="false">IF(Inputs!$F$33=2,AE20/100*Inputs!$F$56+AE20/100*Inputs!$F$57*Inputs!$F$58/AE16,Inputs!$F$55*Inputs!$F$35*AE20/100)</f>
        <v>23.8771792</v>
      </c>
      <c r="AF22" s="11" t="n">
        <f aca="false">IF(Inputs!$F$33=2,AF20/100*Inputs!$F$56+AF20/100*Inputs!$F$57*Inputs!$F$58/AF16,Inputs!$F$55*Inputs!$F$35*AF20/100)</f>
        <v>21.70533088</v>
      </c>
      <c r="AG22" s="11" t="n">
        <f aca="false">IF(Inputs!$F$33=2,AG20/100*Inputs!$F$56+AG20/100*Inputs!$F$57*Inputs!$F$58/AG16,Inputs!$F$55*Inputs!$F$35*AG20/100)</f>
        <v>19.24756256</v>
      </c>
      <c r="AH22" s="11" t="n">
        <f aca="false">IF(Inputs!$F$33=2,AH20/100*Inputs!$F$56+AH20/100*Inputs!$F$57*Inputs!$F$58/AH16,Inputs!$F$55*Inputs!$F$35*AH20/100)</f>
        <v>16.58278816</v>
      </c>
      <c r="AI22" s="11" t="n">
        <f aca="false">IF(Inputs!$F$33=2,AI20/100*Inputs!$F$56+AI20/100*Inputs!$F$57*Inputs!$F$58/AI16,Inputs!$F$55*Inputs!$F$35*AI20/100)</f>
        <v>13.80021472</v>
      </c>
      <c r="AJ22" s="11" t="n">
        <f aca="false">IF(Inputs!$F$33=2,AJ20/100*Inputs!$F$56+AJ20/100*Inputs!$F$57*Inputs!$F$58/AJ16,Inputs!$F$55*Inputs!$F$35*AJ20/100)</f>
        <v>10.99991424</v>
      </c>
      <c r="AK22" s="11" t="n">
        <f aca="false">IF(Inputs!$F$33=2,AK20/100*Inputs!$F$56+AK20/100*Inputs!$F$57*Inputs!$F$58/AK16,Inputs!$F$55*Inputs!$F$35*AK20/100)</f>
        <v>8.28939264</v>
      </c>
      <c r="AL22" s="11" t="n">
        <f aca="false">IF(Inputs!$F$33=2,AL20/100*Inputs!$F$56+AL20/100*Inputs!$F$57*Inputs!$F$58/AL16,Inputs!$F$55*Inputs!$F$35*AL20/100)</f>
        <v>5.78358976</v>
      </c>
      <c r="AM22" s="11" t="n">
        <f aca="false">IF(Inputs!$F$33=2,AM20/100*Inputs!$F$56+AM20/100*Inputs!$F$57*Inputs!$F$58/AM16,Inputs!$F$55*Inputs!$F$35*AM20/100)</f>
        <v>3.59916096</v>
      </c>
      <c r="AN22" s="11" t="n">
        <f aca="false">IF(Inputs!$F$33=2,AN20/100*Inputs!$F$56+AN20/100*Inputs!$F$57*Inputs!$F$58/AN16,Inputs!$F$55*Inputs!$F$35*AN20/100)</f>
        <v>1.85218976</v>
      </c>
      <c r="AO22" s="11" t="n">
        <f aca="false">IF(Inputs!$F$33=2,AO20/100*Inputs!$F$56+AO20/100*Inputs!$F$57*Inputs!$F$58/AO16,Inputs!$F$55*Inputs!$F$35*AO20/100)</f>
        <v>0.64789472</v>
      </c>
      <c r="AP22" s="11" t="n">
        <f aca="false">IF(Inputs!$F$33=2,AP20/100*Inputs!$F$56+AP20/100*Inputs!$F$57*Inputs!$F$58/AP16,Inputs!$F$55*Inputs!$F$35*AP20/100)</f>
        <v>0.0617587199999983</v>
      </c>
      <c r="AQ22" s="11" t="n">
        <f aca="false">IF(Inputs!$F$33=2,AQ20/100*Inputs!$F$56+AQ20/100*Inputs!$F$57*Inputs!$F$58/AQ16,Inputs!$F$55*Inputs!$F$35*AQ20/100)</f>
        <v>0</v>
      </c>
      <c r="AR22" s="11" t="n">
        <f aca="false">IF(Inputs!$F$33=2,AR20/100*Inputs!$F$56+AR20/100*Inputs!$F$57*Inputs!$F$58/AR16,Inputs!$F$55*Inputs!$F$35*AR20/100)</f>
        <v>0</v>
      </c>
      <c r="AS22" s="11" t="n">
        <f aca="false">IF(Inputs!$F$33=2,AS20/100*Inputs!$F$56+AS20/100*Inputs!$F$57*Inputs!$F$58/AS16,Inputs!$F$55*Inputs!$F$35*AS20/100)</f>
        <v>0</v>
      </c>
      <c r="AT22" s="11" t="n">
        <f aca="false">IF(Inputs!$F$33=2,AT20/100*Inputs!$F$56+AT20/100*Inputs!$F$57*Inputs!$F$58/AT16,Inputs!$F$55*Inputs!$F$35*AT20/100)</f>
        <v>0</v>
      </c>
      <c r="AU22" s="11" t="n">
        <f aca="false">IF(Inputs!$F$33=2,AU20/100*Inputs!$F$56+AU20/100*Inputs!$F$57*Inputs!$F$58/AU16,Inputs!$F$55*Inputs!$F$35*AU20/100)</f>
        <v>0</v>
      </c>
      <c r="AV22" s="11" t="n">
        <f aca="false">IF(Inputs!$F$33=2,AV20/100*Inputs!$F$56+AV20/100*Inputs!$F$57*Inputs!$F$58/AV16,Inputs!$F$55*Inputs!$F$35*AV20/100)</f>
        <v>42.888</v>
      </c>
      <c r="AW22" s="11" t="n">
        <f aca="false">IF(Inputs!$F$33=2,AW20/100*Inputs!$F$56+AW20/100*Inputs!$F$57*Inputs!$F$58/AW16,Inputs!$F$55*Inputs!$F$35*AW20/100)</f>
        <v>0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53.7997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1.26995</v>
      </c>
      <c r="AR23" s="11" t="n">
        <f aca="false">Inputs!$F$59*IF(Inputs!$F$33=1,Inputs!$F$35,1)*(Inputs!AR227+IF(AND(Inputs!$F$33=1,AR8&gt;33,AR8&lt;=Time!$F$10),2.75,0))/100+IF(AND(Inputs!$F$33=2,AR8&gt;=34,AR8&lt;=40),Inputs!$F$67/7,0)</f>
        <v>1.26995</v>
      </c>
      <c r="AS23" s="11" t="n">
        <f aca="false">Inputs!$F$59*IF(Inputs!$F$33=1,Inputs!$F$35,1)*(Inputs!AS227+IF(AND(Inputs!$F$33=1,AS8&gt;33,AS8&lt;=Time!$F$10),2.75,0))/100+IF(AND(Inputs!$F$33=2,AS8&gt;=34,AS8&lt;=40),Inputs!$F$67/7,0)</f>
        <v>1.26995</v>
      </c>
      <c r="AT23" s="11" t="n">
        <f aca="false">Inputs!$F$59*IF(Inputs!$F$33=1,Inputs!$F$35,1)*(Inputs!AT227+IF(AND(Inputs!$F$33=1,AT8&gt;33,AT8&lt;=Time!$F$10),2.75,0))/100+IF(AND(Inputs!$F$33=2,AT8&gt;=34,AT8&lt;=40),Inputs!$F$67/7,0)</f>
        <v>1.26995</v>
      </c>
      <c r="AU23" s="11" t="n">
        <f aca="false">Inputs!$F$59*IF(Inputs!$F$33=1,Inputs!$F$35,1)*(Inputs!AU227+IF(AND(Inputs!$F$33=1,AU8&gt;33,AU8&lt;=Time!$F$10),2.75,0))/100+IF(AND(Inputs!$F$33=2,AU8&gt;=34,AU8&lt;=40),Inputs!$F$67/7,0)</f>
        <v>1.26995</v>
      </c>
      <c r="AV23" s="11" t="n">
        <f aca="false">Inputs!$F$59*IF(Inputs!$F$33=1,Inputs!$F$35,1)*(Inputs!AV227+IF(AND(Inputs!$F$33=1,AV8&gt;33,AV8&lt;=Time!$F$10),2.75,0))/100+IF(AND(Inputs!$F$33=2,AV8&gt;=34,AV8&lt;=40),Inputs!$F$67/7,0)</f>
        <v>1.26995</v>
      </c>
      <c r="AW23" s="11" t="n">
        <f aca="false">Inputs!$F$59*IF(Inputs!$F$33=1,Inputs!$F$35,1)*(Inputs!AW227+IF(AND(Inputs!$F$33=1,AW8&gt;33,AW8&lt;=Time!$F$10),2.75,0))/100+IF(AND(Inputs!$F$33=2,AW8&gt;=34,AW8&lt;=40),Inputs!$F$67/7,0)</f>
        <v>0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0.0708157894736842</v>
      </c>
      <c r="L26" s="11" t="n">
        <f aca="false">Inputs!$F$63*Inputs!$F$35*(0.7*IF(L8=1,1,0)+0.3/(Time!$F$10-1)*IF(AND(L8&gt;=2,L8&lt;=Time!$F$10),1,0))</f>
        <v>0.0708157894736842</v>
      </c>
      <c r="M26" s="11" t="n">
        <f aca="false">Inputs!$F$63*Inputs!$F$35*(0.7*IF(M8=1,1,0)+0.3/(Time!$F$10-1)*IF(AND(M8&gt;=2,M8&lt;=Time!$F$10),1,0))</f>
        <v>0.0708157894736842</v>
      </c>
      <c r="N26" s="11" t="n">
        <f aca="false">Inputs!$F$63*Inputs!$F$35*(0.7*IF(N8=1,1,0)+0.3/(Time!$F$10-1)*IF(AND(N8&gt;=2,N8&lt;=Time!$F$10),1,0))</f>
        <v>0.0708157894736842</v>
      </c>
      <c r="O26" s="11" t="n">
        <f aca="false">Inputs!$F$63*Inputs!$F$35*(0.7*IF(O8=1,1,0)+0.3/(Time!$F$10-1)*IF(AND(O8&gt;=2,O8&lt;=Time!$F$10),1,0))</f>
        <v>0.0708157894736842</v>
      </c>
      <c r="P26" s="11" t="n">
        <f aca="false">Inputs!$F$63*Inputs!$F$35*(0.7*IF(P8=1,1,0)+0.3/(Time!$F$10-1)*IF(AND(P8&gt;=2,P8&lt;=Time!$F$10),1,0))</f>
        <v>0.0708157894736842</v>
      </c>
      <c r="Q26" s="11" t="n">
        <f aca="false">Inputs!$F$63*Inputs!$F$35*(0.7*IF(Q8=1,1,0)+0.3/(Time!$F$10-1)*IF(AND(Q8&gt;=2,Q8&lt;=Time!$F$10),1,0))</f>
        <v>0.0708157894736842</v>
      </c>
      <c r="R26" s="11" t="n">
        <f aca="false">Inputs!$F$63*Inputs!$F$35*(0.7*IF(R8=1,1,0)+0.3/(Time!$F$10-1)*IF(AND(R8&gt;=2,R8&lt;=Time!$F$10),1,0))</f>
        <v>0.0708157894736842</v>
      </c>
      <c r="S26" s="11" t="n">
        <f aca="false">Inputs!$F$63*Inputs!$F$35*(0.7*IF(S8=1,1,0)+0.3/(Time!$F$10-1)*IF(AND(S8&gt;=2,S8&lt;=Time!$F$10),1,0))</f>
        <v>0.0708157894736842</v>
      </c>
      <c r="T26" s="11" t="n">
        <f aca="false">Inputs!$F$63*Inputs!$F$35*(0.7*IF(T8=1,1,0)+0.3/(Time!$F$10-1)*IF(AND(T8&gt;=2,T8&lt;=Time!$F$10),1,0))</f>
        <v>0.0708157894736842</v>
      </c>
      <c r="U26" s="11" t="n">
        <f aca="false">Inputs!$F$63*Inputs!$F$35*(0.7*IF(U8=1,1,0)+0.3/(Time!$F$10-1)*IF(AND(U8&gt;=2,U8&lt;=Time!$F$10),1,0))</f>
        <v>0.0708157894736842</v>
      </c>
      <c r="V26" s="11" t="n">
        <f aca="false">Inputs!$F$63*Inputs!$F$35*(0.7*IF(V8=1,1,0)+0.3/(Time!$F$10-1)*IF(AND(V8&gt;=2,V8&lt;=Time!$F$10),1,0))</f>
        <v>0.0708157894736842</v>
      </c>
      <c r="W26" s="11" t="n">
        <f aca="false">Inputs!$F$63*Inputs!$F$35*(0.7*IF(W8=1,1,0)+0.3/(Time!$F$10-1)*IF(AND(W8&gt;=2,W8&lt;=Time!$F$10),1,0))</f>
        <v>0.0708157894736842</v>
      </c>
      <c r="X26" s="11" t="n">
        <f aca="false">Inputs!$F$63*Inputs!$F$35*(0.7*IF(X8=1,1,0)+0.3/(Time!$F$10-1)*IF(AND(X8&gt;=2,X8&lt;=Time!$F$10),1,0))</f>
        <v>0.0708157894736842</v>
      </c>
      <c r="Y26" s="11" t="n">
        <f aca="false">Inputs!$F$63*Inputs!$F$35*(0.7*IF(Y8=1,1,0)+0.3/(Time!$F$10-1)*IF(AND(Y8&gt;=2,Y8&lt;=Time!$F$10),1,0))</f>
        <v>0.0708157894736842</v>
      </c>
      <c r="Z26" s="11" t="n">
        <f aca="false">Inputs!$F$63*Inputs!$F$35*(0.7*IF(Z8=1,1,0)+0.3/(Time!$F$10-1)*IF(AND(Z8&gt;=2,Z8&lt;=Time!$F$10),1,0))</f>
        <v>0.0708157894736842</v>
      </c>
      <c r="AA26" s="11" t="n">
        <f aca="false">Inputs!$F$63*Inputs!$F$35*(0.7*IF(AA8=1,1,0)+0.3/(Time!$F$10-1)*IF(AND(AA8&gt;=2,AA8&lt;=Time!$F$10),1,0))</f>
        <v>0.0708157894736842</v>
      </c>
      <c r="AB26" s="11" t="n">
        <f aca="false">Inputs!$F$63*Inputs!$F$35*(0.7*IF(AB8=1,1,0)+0.3/(Time!$F$10-1)*IF(AND(AB8&gt;=2,AB8&lt;=Time!$F$10),1,0))</f>
        <v>0.0708157894736842</v>
      </c>
      <c r="AC26" s="11" t="n">
        <f aca="false">Inputs!$F$63*Inputs!$F$35*(0.7*IF(AC8=1,1,0)+0.3/(Time!$F$10-1)*IF(AND(AC8&gt;=2,AC8&lt;=Time!$F$10),1,0))</f>
        <v>0.0708157894736842</v>
      </c>
      <c r="AD26" s="11" t="n">
        <f aca="false">Inputs!$F$63*Inputs!$F$35*(0.7*IF(AD8=1,1,0)+0.3/(Time!$F$10-1)*IF(AND(AD8&gt;=2,AD8&lt;=Time!$F$10),1,0))</f>
        <v>0.0708157894736842</v>
      </c>
      <c r="AE26" s="11" t="n">
        <f aca="false">Inputs!$F$63*Inputs!$F$35*(0.7*IF(AE8=1,1,0)+0.3/(Time!$F$10-1)*IF(AND(AE8&gt;=2,AE8&lt;=Time!$F$10),1,0))</f>
        <v>0.0708157894736842</v>
      </c>
      <c r="AF26" s="11" t="n">
        <f aca="false">Inputs!$F$63*Inputs!$F$35*(0.7*IF(AF8=1,1,0)+0.3/(Time!$F$10-1)*IF(AND(AF8&gt;=2,AF8&lt;=Time!$F$10),1,0))</f>
        <v>0.0708157894736842</v>
      </c>
      <c r="AG26" s="11" t="n">
        <f aca="false">Inputs!$F$63*Inputs!$F$35*(0.7*IF(AG8=1,1,0)+0.3/(Time!$F$10-1)*IF(AND(AG8&gt;=2,AG8&lt;=Time!$F$10),1,0))</f>
        <v>0.0708157894736842</v>
      </c>
      <c r="AH26" s="11" t="n">
        <f aca="false">Inputs!$F$63*Inputs!$F$35*(0.7*IF(AH8=1,1,0)+0.3/(Time!$F$10-1)*IF(AND(AH8&gt;=2,AH8&lt;=Time!$F$10),1,0))</f>
        <v>0.0708157894736842</v>
      </c>
      <c r="AI26" s="11" t="n">
        <f aca="false">Inputs!$F$63*Inputs!$F$35*(0.7*IF(AI8=1,1,0)+0.3/(Time!$F$10-1)*IF(AND(AI8&gt;=2,AI8&lt;=Time!$F$10),1,0))</f>
        <v>0.0708157894736842</v>
      </c>
      <c r="AJ26" s="11" t="n">
        <f aca="false">Inputs!$F$63*Inputs!$F$35*(0.7*IF(AJ8=1,1,0)+0.3/(Time!$F$10-1)*IF(AND(AJ8&gt;=2,AJ8&lt;=Time!$F$10),1,0))</f>
        <v>0.0708157894736842</v>
      </c>
      <c r="AK26" s="11" t="n">
        <f aca="false">Inputs!$F$63*Inputs!$F$35*(0.7*IF(AK8=1,1,0)+0.3/(Time!$F$10-1)*IF(AND(AK8&gt;=2,AK8&lt;=Time!$F$10),1,0))</f>
        <v>0.0708157894736842</v>
      </c>
      <c r="AL26" s="11" t="n">
        <f aca="false">Inputs!$F$63*Inputs!$F$35*(0.7*IF(AL8=1,1,0)+0.3/(Time!$F$10-1)*IF(AND(AL8&gt;=2,AL8&lt;=Time!$F$10),1,0))</f>
        <v>0.0708157894736842</v>
      </c>
      <c r="AM26" s="11" t="n">
        <f aca="false">Inputs!$F$63*Inputs!$F$35*(0.7*IF(AM8=1,1,0)+0.3/(Time!$F$10-1)*IF(AND(AM8&gt;=2,AM8&lt;=Time!$F$10),1,0))</f>
        <v>0.0708157894736842</v>
      </c>
      <c r="AN26" s="11" t="n">
        <f aca="false">Inputs!$F$63*Inputs!$F$35*(0.7*IF(AN8=1,1,0)+0.3/(Time!$F$10-1)*IF(AND(AN8&gt;=2,AN8&lt;=Time!$F$10),1,0))</f>
        <v>0.0708157894736842</v>
      </c>
      <c r="AO26" s="11" t="n">
        <f aca="false">Inputs!$F$63*Inputs!$F$35*(0.7*IF(AO8=1,1,0)+0.3/(Time!$F$10-1)*IF(AND(AO8&gt;=2,AO8&lt;=Time!$F$10),1,0))</f>
        <v>0.0708157894736842</v>
      </c>
      <c r="AP26" s="11" t="n">
        <f aca="false">Inputs!$F$63*Inputs!$F$35*(0.7*IF(AP8=1,1,0)+0.3/(Time!$F$10-1)*IF(AND(AP8&gt;=2,AP8&lt;=Time!$F$10),1,0))</f>
        <v>0.0708157894736842</v>
      </c>
      <c r="AQ26" s="11" t="n">
        <f aca="false">Inputs!$F$63*Inputs!$F$35*(0.7*IF(AQ8=1,1,0)+0.3/(Time!$F$10-1)*IF(AND(AQ8&gt;=2,AQ8&lt;=Time!$F$10),1,0))</f>
        <v>0.0708157894736842</v>
      </c>
      <c r="AR26" s="11" t="n">
        <f aca="false">Inputs!$F$63*Inputs!$F$35*(0.7*IF(AR8=1,1,0)+0.3/(Time!$F$10-1)*IF(AND(AR8&gt;=2,AR8&lt;=Time!$F$10),1,0))</f>
        <v>0.0708157894736842</v>
      </c>
      <c r="AS26" s="11" t="n">
        <f aca="false">Inputs!$F$63*Inputs!$F$35*(0.7*IF(AS8=1,1,0)+0.3/(Time!$F$10-1)*IF(AND(AS8&gt;=2,AS8&lt;=Time!$F$10),1,0))</f>
        <v>0.0708157894736842</v>
      </c>
      <c r="AT26" s="11" t="n">
        <f aca="false">Inputs!$F$63*Inputs!$F$35*(0.7*IF(AT8=1,1,0)+0.3/(Time!$F$10-1)*IF(AND(AT8&gt;=2,AT8&lt;=Time!$F$10),1,0))</f>
        <v>0.0708157894736842</v>
      </c>
      <c r="AU26" s="11" t="n">
        <f aca="false">Inputs!$F$63*Inputs!$F$35*(0.7*IF(AU8=1,1,0)+0.3/(Time!$F$10-1)*IF(AND(AU8&gt;=2,AU8&lt;=Time!$F$10),1,0))</f>
        <v>0.0708157894736842</v>
      </c>
      <c r="AV26" s="11" t="n">
        <f aca="false">Inputs!$F$63*Inputs!$F$35*(0.7*IF(AV8=1,1,0)+0.3/(Time!$F$10-1)*IF(AND(AV8&gt;=2,AV8&lt;=Time!$F$10),1,0))</f>
        <v>0.0708157894736842</v>
      </c>
      <c r="AW26" s="11" t="n">
        <f aca="false">Inputs!$F$63*Inputs!$F$35*(0.7*IF(AW8=1,1,0)+0.3/(Time!$F$10-1)*IF(AND(AW8&gt;=2,AW8&lt;=Time!$F$10),1,0))</f>
        <v>0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38.4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0.00502690909090909</v>
      </c>
      <c r="L27" s="11" t="n">
        <f aca="false">IF(Inputs!$F$33=1,Inputs!$F$64*Inputs!$F$35*L21/SUM($J$21:$BJ$21),0)</f>
        <v>0.052736</v>
      </c>
      <c r="M27" s="11" t="n">
        <f aca="false">IF(Inputs!$F$33=1,Inputs!$F$64*Inputs!$F$35*M21/SUM($J$21:$BJ$21),0)</f>
        <v>0.150760727272727</v>
      </c>
      <c r="N27" s="11" t="n">
        <f aca="false">IF(Inputs!$F$33=1,Inputs!$F$64*Inputs!$F$35*N21/SUM($J$21:$BJ$21),0)</f>
        <v>0.292957090909091</v>
      </c>
      <c r="O27" s="11" t="n">
        <f aca="false">IF(Inputs!$F$33=1,Inputs!$F$64*Inputs!$F$35*O21/SUM($J$21:$BJ$21),0)</f>
        <v>0.470760727272727</v>
      </c>
      <c r="P27" s="11" t="n">
        <f aca="false">IF(Inputs!$F$33=1,Inputs!$F$64*Inputs!$F$35*P21/SUM($J$21:$BJ$21),0)</f>
        <v>0.674722909090909</v>
      </c>
      <c r="Q27" s="11" t="n">
        <f aca="false">IF(Inputs!$F$33=1,Inputs!$F$64*Inputs!$F$35*Q21/SUM($J$21:$BJ$21),0)</f>
        <v>0.895348363636364</v>
      </c>
      <c r="R27" s="11" t="n">
        <f aca="false">IF(Inputs!$F$33=1,Inputs!$F$64*Inputs!$F$35*R21/SUM($J$21:$BJ$21),0)</f>
        <v>1.12328145454545</v>
      </c>
      <c r="S27" s="11" t="n">
        <f aca="false">IF(Inputs!$F$33=1,Inputs!$F$64*Inputs!$F$35*S21/SUM($J$21:$BJ$21),0)</f>
        <v>1.34977163636364</v>
      </c>
      <c r="T27" s="11" t="n">
        <f aca="false">IF(Inputs!$F$33=1,Inputs!$F$64*Inputs!$F$35*T21/SUM($J$21:$BJ$21),0)</f>
        <v>1.56667345454545</v>
      </c>
      <c r="U27" s="11" t="n">
        <f aca="false">IF(Inputs!$F$33=1,Inputs!$F$64*Inputs!$F$35*U21/SUM($J$21:$BJ$21),0)</f>
        <v>1.76672581818182</v>
      </c>
      <c r="V27" s="11" t="n">
        <f aca="false">IF(Inputs!$F$33=1,Inputs!$F$64*Inputs!$F$35*V21/SUM($J$21:$BJ$21),0)</f>
        <v>1.94350545454545</v>
      </c>
      <c r="W27" s="11" t="n">
        <f aca="false">IF(Inputs!$F$33=1,Inputs!$F$64*Inputs!$F$35*W21/SUM($J$21:$BJ$21),0)</f>
        <v>2.09152</v>
      </c>
      <c r="X27" s="11" t="n">
        <f aca="false">IF(Inputs!$F$33=1,Inputs!$F$64*Inputs!$F$35*X21/SUM($J$21:$BJ$21),0)</f>
        <v>2.20648727272727</v>
      </c>
      <c r="Y27" s="11" t="n">
        <f aca="false">IF(Inputs!$F$33=1,Inputs!$F$64*Inputs!$F$35*Y21/SUM($J$21:$BJ$21),0)</f>
        <v>2.28496290909091</v>
      </c>
      <c r="Z27" s="11" t="n">
        <f aca="false">IF(Inputs!$F$33=1,Inputs!$F$64*Inputs!$F$35*Z21/SUM($J$21:$BJ$21),0)</f>
        <v>2.32475927272727</v>
      </c>
      <c r="AA27" s="11" t="n">
        <f aca="false">IF(Inputs!$F$33=1,Inputs!$F$64*Inputs!$F$35*AA21/SUM($J$21:$BJ$21),0)</f>
        <v>2.32475927272727</v>
      </c>
      <c r="AB27" s="11" t="n">
        <f aca="false">IF(Inputs!$F$33=1,Inputs!$F$64*Inputs!$F$35*AB21/SUM($J$21:$BJ$21),0)</f>
        <v>2.28496290909091</v>
      </c>
      <c r="AC27" s="11" t="n">
        <f aca="false">IF(Inputs!$F$33=1,Inputs!$F$64*Inputs!$F$35*AC21/SUM($J$21:$BJ$21),0)</f>
        <v>2.20648727272727</v>
      </c>
      <c r="AD27" s="11" t="n">
        <f aca="false">IF(Inputs!$F$33=1,Inputs!$F$64*Inputs!$F$35*AD21/SUM($J$21:$BJ$21),0)</f>
        <v>2.09152</v>
      </c>
      <c r="AE27" s="11" t="n">
        <f aca="false">IF(Inputs!$F$33=1,Inputs!$F$64*Inputs!$F$35*AE21/SUM($J$21:$BJ$21),0)</f>
        <v>1.94350545454545</v>
      </c>
      <c r="AF27" s="11" t="n">
        <f aca="false">IF(Inputs!$F$33=1,Inputs!$F$64*Inputs!$F$35*AF21/SUM($J$21:$BJ$21),0)</f>
        <v>1.76672581818182</v>
      </c>
      <c r="AG27" s="11" t="n">
        <f aca="false">IF(Inputs!$F$33=1,Inputs!$F$64*Inputs!$F$35*AG21/SUM($J$21:$BJ$21),0)</f>
        <v>1.56667345454545</v>
      </c>
      <c r="AH27" s="11" t="n">
        <f aca="false">IF(Inputs!$F$33=1,Inputs!$F$64*Inputs!$F$35*AH21/SUM($J$21:$BJ$21),0)</f>
        <v>1.34977163636364</v>
      </c>
      <c r="AI27" s="11" t="n">
        <f aca="false">IF(Inputs!$F$33=1,Inputs!$F$64*Inputs!$F$35*AI21/SUM($J$21:$BJ$21),0)</f>
        <v>1.12328145454545</v>
      </c>
      <c r="AJ27" s="11" t="n">
        <f aca="false">IF(Inputs!$F$33=1,Inputs!$F$64*Inputs!$F$35*AJ21/SUM($J$21:$BJ$21),0)</f>
        <v>0.895348363636364</v>
      </c>
      <c r="AK27" s="11" t="n">
        <f aca="false">IF(Inputs!$F$33=1,Inputs!$F$64*Inputs!$F$35*AK21/SUM($J$21:$BJ$21),0)</f>
        <v>0.674722909090909</v>
      </c>
      <c r="AL27" s="11" t="n">
        <f aca="false">IF(Inputs!$F$33=1,Inputs!$F$64*Inputs!$F$35*AL21/SUM($J$21:$BJ$21),0)</f>
        <v>0.470760727272727</v>
      </c>
      <c r="AM27" s="11" t="n">
        <f aca="false">IF(Inputs!$F$33=1,Inputs!$F$64*Inputs!$F$35*AM21/SUM($J$21:$BJ$21),0)</f>
        <v>0.292957090909091</v>
      </c>
      <c r="AN27" s="11" t="n">
        <f aca="false">IF(Inputs!$F$33=1,Inputs!$F$64*Inputs!$F$35*AN21/SUM($J$21:$BJ$21),0)</f>
        <v>0.150760727272727</v>
      </c>
      <c r="AO27" s="11" t="n">
        <f aca="false">IF(Inputs!$F$33=1,Inputs!$F$64*Inputs!$F$35*AO21/SUM($J$21:$BJ$21),0)</f>
        <v>0.052736</v>
      </c>
      <c r="AP27" s="11" t="n">
        <f aca="false">IF(Inputs!$F$33=1,Inputs!$F$64*Inputs!$F$35*AP21/SUM($J$21:$BJ$21),0)</f>
        <v>0.00502690909090895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0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5.35</v>
      </c>
      <c r="AW28" s="11" t="n">
        <f aca="false">IF(AW8=Time!$F$10,Inputs!$F$65*Inputs!$F$35,0)</f>
        <v>0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0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</v>
      </c>
      <c r="AE29" s="11" t="n">
        <f aca="false">IF(Inputs!$F$33=2,Inputs!AE228,0)</f>
        <v>0</v>
      </c>
      <c r="AF29" s="11" t="n">
        <f aca="false">IF(Inputs!$F$33=2,Inputs!AF228,0)</f>
        <v>0</v>
      </c>
      <c r="AG29" s="11" t="n">
        <f aca="false">IF(Inputs!$F$33=2,Inputs!AG228,0)</f>
        <v>0</v>
      </c>
      <c r="AH29" s="11" t="n">
        <f aca="false">IF(Inputs!$F$33=2,Inputs!AH228,0)</f>
        <v>0</v>
      </c>
      <c r="AI29" s="11" t="n">
        <f aca="false">IF(Inputs!$F$33=2,Inputs!AI228,0)</f>
        <v>0</v>
      </c>
      <c r="AJ29" s="11" t="n">
        <f aca="false">IF(Inputs!$F$33=2,Inputs!AJ228,0)</f>
        <v>0</v>
      </c>
      <c r="AK29" s="11" t="n">
        <f aca="false">IF(Inputs!$F$33=2,Inputs!AK228,0)</f>
        <v>0</v>
      </c>
      <c r="AL29" s="11" t="n">
        <f aca="false">IF(Inputs!$F$33=2,Inputs!AL228,0)</f>
        <v>0</v>
      </c>
      <c r="AM29" s="11" t="n">
        <f aca="false">IF(Inputs!$F$33=2,Inputs!AM228,0)</f>
        <v>0</v>
      </c>
      <c r="AN29" s="11" t="n">
        <f aca="false">IF(Inputs!$F$33=2,Inputs!AN228,0)</f>
        <v>0</v>
      </c>
      <c r="AO29" s="11" t="n">
        <f aca="false">IF(Inputs!$F$33=2,Inputs!AO228,0)</f>
        <v>0</v>
      </c>
      <c r="AP29" s="11" t="n">
        <f aca="false">IF(Inputs!$F$33=2,Inputs!AP228,0)</f>
        <v>0</v>
      </c>
      <c r="AQ29" s="11" t="n">
        <f aca="false">IF(Inputs!$F$33=2,Inputs!AQ228,0)</f>
        <v>0</v>
      </c>
      <c r="AR29" s="11" t="n">
        <f aca="false">IF(Inputs!$F$33=2,Inputs!AR228,0)</f>
        <v>0</v>
      </c>
      <c r="AS29" s="11" t="n">
        <f aca="false">IF(Inputs!$F$33=2,Inputs!AS228,0)</f>
        <v>0</v>
      </c>
      <c r="AT29" s="11" t="n">
        <f aca="false">IF(Inputs!$F$33=2,Inputs!AT228,0)</f>
        <v>0</v>
      </c>
      <c r="AU29" s="11" t="n">
        <f aca="false">IF(Inputs!$F$33=2,Inputs!AU228,0)</f>
        <v>0</v>
      </c>
      <c r="AV29" s="11" t="n">
        <f aca="false">IF(Inputs!$F$33=2,Inputs!AV228,0)</f>
        <v>0</v>
      </c>
      <c r="AW29" s="11" t="n">
        <f aca="false">IF(Inputs!$F$33=2,Inputs!AW228,0)</f>
        <v>0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718.6097</v>
      </c>
      <c r="J30" s="11" t="n">
        <f aca="false">J22+J23+J24+J25+J26+J27+J28+J29</f>
        <v>108.1116</v>
      </c>
      <c r="K30" s="11" t="n">
        <f aca="false">K22+K23+K24+K25+K26+K27+K28+K29</f>
        <v>1.40755141856459</v>
      </c>
      <c r="L30" s="11" t="n">
        <f aca="false">L22+L23+L24+L25+L26+L27+L28+L29</f>
        <v>2.04139650947368</v>
      </c>
      <c r="M30" s="11" t="n">
        <f aca="false">M22+M23+M24+M25+M26+M27+M28+M29</f>
        <v>3.34371627674641</v>
      </c>
      <c r="N30" s="11" t="n">
        <f aca="false">N22+N23+N24+N25+N26+N27+N28+N29</f>
        <v>5.23288384038278</v>
      </c>
      <c r="O30" s="11" t="n">
        <f aca="false">O22+O23+O24+O25+O26+O27+O28+O29</f>
        <v>7.59511627674641</v>
      </c>
      <c r="P30" s="11" t="n">
        <f aca="false">P22+P23+P24+P25+P26+P27+P28+P29</f>
        <v>10.3048813385646</v>
      </c>
      <c r="Q30" s="11" t="n">
        <f aca="false">Q22+Q23+Q24+Q25+Q26+Q27+Q28+Q29</f>
        <v>13.23602839311</v>
      </c>
      <c r="R30" s="11" t="n">
        <f aca="false">R22+R23+R24+R25+R26+R27+R28+R29</f>
        <v>16.2642619640191</v>
      </c>
      <c r="S30" s="11" t="n">
        <f aca="false">S22+S23+S24+S25+S26+S27+S28+S29</f>
        <v>19.2733255858373</v>
      </c>
      <c r="T30" s="11" t="n">
        <f aca="false">T22+T23+T24+T25+T26+T27+T28+T29</f>
        <v>22.1550018040191</v>
      </c>
      <c r="U30" s="11" t="n">
        <f aca="false">U22+U23+U24+U25+U26+U27+U28+U29</f>
        <v>24.8128224876555</v>
      </c>
      <c r="V30" s="11" t="n">
        <f aca="false">V22+V23+V24+V25+V26+V27+V28+V29</f>
        <v>27.1614504440191</v>
      </c>
      <c r="W30" s="11" t="n">
        <f aca="false">W22+W23+W24+W25+W26+W27+W28+W29</f>
        <v>29.1279161894737</v>
      </c>
      <c r="X30" s="11" t="n">
        <f aca="false">X22+X23+X24+X25+X26+X27+X28+X29</f>
        <v>30.655328262201</v>
      </c>
      <c r="Y30" s="11" t="n">
        <f aca="false">Y22+Y23+Y24+Y25+Y26+Y27+Y28+Y29</f>
        <v>31.6979261385646</v>
      </c>
      <c r="Z30" s="11" t="n">
        <f aca="false">Z22+Z23+Z24+Z25+Z26+Z27+Z28+Z29</f>
        <v>32.226645702201</v>
      </c>
      <c r="AA30" s="11" t="n">
        <f aca="false">AA22+AA23+AA24+AA25+AA26+AA27+AA28+AA29</f>
        <v>33.369645702201</v>
      </c>
      <c r="AB30" s="11" t="n">
        <f aca="false">AB22+AB23+AB24+AB25+AB26+AB27+AB28+AB29</f>
        <v>31.6979261385646</v>
      </c>
      <c r="AC30" s="11" t="n">
        <f aca="false">AC22+AC23+AC24+AC25+AC26+AC27+AC28+AC29</f>
        <v>30.655328262201</v>
      </c>
      <c r="AD30" s="11" t="n">
        <f aca="false">AD22+AD23+AD24+AD25+AD26+AD27+AD28+AD29</f>
        <v>29.1279161894737</v>
      </c>
      <c r="AE30" s="11" t="n">
        <f aca="false">AE22+AE23+AE24+AE25+AE26+AE27+AE28+AE29</f>
        <v>27.1614504440191</v>
      </c>
      <c r="AF30" s="11" t="n">
        <f aca="false">AF22+AF23+AF24+AF25+AF26+AF27+AF28+AF29</f>
        <v>24.8128224876555</v>
      </c>
      <c r="AG30" s="11" t="n">
        <f aca="false">AG22+AG23+AG24+AG25+AG26+AG27+AG28+AG29</f>
        <v>22.1550018040191</v>
      </c>
      <c r="AH30" s="11" t="n">
        <f aca="false">AH22+AH23+AH24+AH25+AH26+AH27+AH28+AH29</f>
        <v>19.2733255858373</v>
      </c>
      <c r="AI30" s="11" t="n">
        <f aca="false">AI22+AI23+AI24+AI25+AI26+AI27+AI28+AI29</f>
        <v>16.2642619640191</v>
      </c>
      <c r="AJ30" s="11" t="n">
        <f aca="false">AJ22+AJ23+AJ24+AJ25+AJ26+AJ27+AJ28+AJ29</f>
        <v>13.23602839311</v>
      </c>
      <c r="AK30" s="11" t="n">
        <f aca="false">AK22+AK23+AK24+AK25+AK26+AK27+AK28+AK29</f>
        <v>10.3048813385646</v>
      </c>
      <c r="AL30" s="11" t="n">
        <f aca="false">AL22+AL23+AL24+AL25+AL26+AL27+AL28+AL29</f>
        <v>7.59511627674641</v>
      </c>
      <c r="AM30" s="11" t="n">
        <f aca="false">AM22+AM23+AM24+AM25+AM26+AM27+AM28+AM29</f>
        <v>5.23288384038278</v>
      </c>
      <c r="AN30" s="11" t="n">
        <f aca="false">AN22+AN23+AN24+AN25+AN26+AN27+AN28+AN29</f>
        <v>3.34371627674641</v>
      </c>
      <c r="AO30" s="11" t="n">
        <f aca="false">AO22+AO23+AO24+AO25+AO26+AO27+AO28+AO29</f>
        <v>2.04139650947368</v>
      </c>
      <c r="AP30" s="11" t="n">
        <f aca="false">AP22+AP23+AP24+AP25+AP26+AP27+AP28+AP29</f>
        <v>1.40755141856459</v>
      </c>
      <c r="AQ30" s="11" t="n">
        <f aca="false">AQ22+AQ23+AQ24+AQ25+AQ26+AQ27+AQ28+AQ29</f>
        <v>1.34076578947368</v>
      </c>
      <c r="AR30" s="11" t="n">
        <f aca="false">AR22+AR23+AR24+AR25+AR26+AR27+AR28+AR29</f>
        <v>1.34076578947368</v>
      </c>
      <c r="AS30" s="11" t="n">
        <f aca="false">AS22+AS23+AS24+AS25+AS26+AS27+AS28+AS29</f>
        <v>1.34076578947368</v>
      </c>
      <c r="AT30" s="11" t="n">
        <f aca="false">AT22+AT23+AT24+AT25+AT26+AT27+AT28+AT29</f>
        <v>1.34076578947368</v>
      </c>
      <c r="AU30" s="11" t="n">
        <f aca="false">AU22+AU23+AU24+AU25+AU26+AU27+AU28+AU29</f>
        <v>1.34076578947368</v>
      </c>
      <c r="AV30" s="11" t="n">
        <f aca="false">AV22+AV23+AV24+AV25+AV26+AV27+AV28+AV29</f>
        <v>49.5787657894737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4.637390184</v>
      </c>
      <c r="L32" s="11" t="n">
        <f aca="false">L20/100*Inputs!$F$57*Inputs!$F$58*Inputs!$F$35</f>
        <v>48.649658134</v>
      </c>
      <c r="M32" s="11" t="n">
        <f aca="false">M20/100*Inputs!$F$57*Inputs!$F$58*Inputs!$F$35</f>
        <v>139.078766722</v>
      </c>
      <c r="N32" s="11" t="n">
        <f aca="false">N20/100*Inputs!$F$57*Inputs!$F$58*Inputs!$F$35</f>
        <v>270.256794612</v>
      </c>
      <c r="O32" s="11" t="n">
        <f aca="false">O20/100*Inputs!$F$57*Inputs!$F$58*Inputs!$F$35</f>
        <v>434.283002972</v>
      </c>
      <c r="P32" s="11" t="n">
        <f aca="false">P20/100*Inputs!$F$57*Inputs!$F$58*Inputs!$F$35</f>
        <v>622.440815808</v>
      </c>
      <c r="Q32" s="11" t="n">
        <f aca="false">Q20/100*Inputs!$F$57*Inputs!$F$58*Inputs!$F$35</f>
        <v>825.970718328</v>
      </c>
      <c r="R32" s="11" t="n">
        <f aca="false">R20/100*Inputs!$F$57*Inputs!$F$58*Inputs!$F$35</f>
        <v>1036.242012134</v>
      </c>
      <c r="S32" s="11" t="n">
        <f aca="false">S20/100*Inputs!$F$57*Inputs!$F$58*Inputs!$F$35</f>
        <v>1245.182203202</v>
      </c>
      <c r="T32" s="11" t="n">
        <f aca="false">T20/100*Inputs!$F$57*Inputs!$F$58*Inputs!$F$35</f>
        <v>1445.277001882</v>
      </c>
      <c r="U32" s="11" t="n">
        <f aca="false">U20/100*Inputs!$F$57*Inputs!$F$58*Inputs!$F$35</f>
        <v>1629.827955686</v>
      </c>
      <c r="V32" s="11" t="n">
        <f aca="false">V20/100*Inputs!$F$57*Inputs!$F$58*Inputs!$F$35</f>
        <v>1792.90951049</v>
      </c>
      <c r="W32" s="11" t="n">
        <f aca="false">W20/100*Inputs!$F$57*Inputs!$F$58*Inputs!$F$35</f>
        <v>1929.45488813</v>
      </c>
      <c r="X32" s="11" t="n">
        <f aca="false">X20/100*Inputs!$F$57*Inputs!$F$58*Inputs!$F$35</f>
        <v>2035.51371919</v>
      </c>
      <c r="Y32" s="11" t="n">
        <f aca="false">Y20/100*Inputs!$F$57*Inputs!$F$58*Inputs!$F$35</f>
        <v>2107.908532618</v>
      </c>
      <c r="Z32" s="11" t="n">
        <f aca="false">Z20/100*Inputs!$F$57*Inputs!$F$58*Inputs!$F$35</f>
        <v>2144.621204908</v>
      </c>
      <c r="AA32" s="11" t="n">
        <f aca="false">AA20/100*Inputs!$F$57*Inputs!$F$58*Inputs!$F$35</f>
        <v>2144.621204908</v>
      </c>
      <c r="AB32" s="11" t="n">
        <f aca="false">AB20/100*Inputs!$F$57*Inputs!$F$58*Inputs!$F$35</f>
        <v>2107.908532618</v>
      </c>
      <c r="AC32" s="11" t="n">
        <f aca="false">AC20/100*Inputs!$F$57*Inputs!$F$58*Inputs!$F$35</f>
        <v>2035.51371919</v>
      </c>
      <c r="AD32" s="11" t="n">
        <f aca="false">AD20/100*Inputs!$F$57*Inputs!$F$58*Inputs!$F$35</f>
        <v>1929.45488813</v>
      </c>
      <c r="AE32" s="11" t="n">
        <f aca="false">AE20/100*Inputs!$F$57*Inputs!$F$58*Inputs!$F$35</f>
        <v>1792.90951049</v>
      </c>
      <c r="AF32" s="11" t="n">
        <f aca="false">AF20/100*Inputs!$F$57*Inputs!$F$58*Inputs!$F$35</f>
        <v>1629.827955686</v>
      </c>
      <c r="AG32" s="11" t="n">
        <f aca="false">AG20/100*Inputs!$F$57*Inputs!$F$58*Inputs!$F$35</f>
        <v>1445.277001882</v>
      </c>
      <c r="AH32" s="11" t="n">
        <f aca="false">AH20/100*Inputs!$F$57*Inputs!$F$58*Inputs!$F$35</f>
        <v>1245.182203202</v>
      </c>
      <c r="AI32" s="11" t="n">
        <f aca="false">AI20/100*Inputs!$F$57*Inputs!$F$58*Inputs!$F$35</f>
        <v>1036.242012134</v>
      </c>
      <c r="AJ32" s="11" t="n">
        <f aca="false">AJ20/100*Inputs!$F$57*Inputs!$F$58*Inputs!$F$35</f>
        <v>825.970718328</v>
      </c>
      <c r="AK32" s="11" t="n">
        <f aca="false">AK20/100*Inputs!$F$57*Inputs!$F$58*Inputs!$F$35</f>
        <v>622.440815808</v>
      </c>
      <c r="AL32" s="11" t="n">
        <f aca="false">AL20/100*Inputs!$F$57*Inputs!$F$58*Inputs!$F$35</f>
        <v>434.283002972</v>
      </c>
      <c r="AM32" s="11" t="n">
        <f aca="false">AM20/100*Inputs!$F$57*Inputs!$F$58*Inputs!$F$35</f>
        <v>270.256794612</v>
      </c>
      <c r="AN32" s="11" t="n">
        <f aca="false">AN20/100*Inputs!$F$57*Inputs!$F$58*Inputs!$F$35</f>
        <v>139.078766722</v>
      </c>
      <c r="AO32" s="11" t="n">
        <f aca="false">AO20/100*Inputs!$F$57*Inputs!$F$58*Inputs!$F$35</f>
        <v>48.649658134</v>
      </c>
      <c r="AP32" s="11" t="n">
        <f aca="false">AP20/100*Inputs!$F$57*Inputs!$F$58*Inputs!$F$35</f>
        <v>4.63739018399987</v>
      </c>
      <c r="AQ32" s="11" t="n">
        <f aca="false">AQ20/100*Inputs!$F$57*Inputs!$F$58*Inputs!$F$35</f>
        <v>0</v>
      </c>
      <c r="AR32" s="11" t="n">
        <f aca="false">AR20/100*Inputs!$F$57*Inputs!$F$58*Inputs!$F$35</f>
        <v>0</v>
      </c>
      <c r="AS32" s="11" t="n">
        <f aca="false">AS20/100*Inputs!$F$57*Inputs!$F$58*Inputs!$F$35</f>
        <v>0</v>
      </c>
      <c r="AT32" s="11" t="n">
        <f aca="false">AT20/100*Inputs!$F$57*Inputs!$F$58*Inputs!$F$35</f>
        <v>0</v>
      </c>
      <c r="AU32" s="11" t="n">
        <f aca="false">AU20/100*Inputs!$F$57*Inputs!$F$58*Inputs!$F$35</f>
        <v>0</v>
      </c>
      <c r="AV32" s="11" t="n">
        <f aca="false">AV20/100*Inputs!$F$57*Inputs!$F$58*Inputs!$F$35</f>
        <v>3220.40985</v>
      </c>
      <c r="AW32" s="11" t="n">
        <f aca="false">AW20/100*Inputs!$F$57*Inputs!$F$58*Inputs!$F$35</f>
        <v>0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0.83473023312</v>
      </c>
      <c r="L33" s="11" t="n">
        <f aca="false">Inputs!$F$68/100*L32</f>
        <v>8.75693846412</v>
      </c>
      <c r="M33" s="11" t="n">
        <f aca="false">Inputs!$F$68/100*M32</f>
        <v>25.03417800996</v>
      </c>
      <c r="N33" s="11" t="n">
        <f aca="false">Inputs!$F$68/100*N32</f>
        <v>48.64622303016</v>
      </c>
      <c r="O33" s="11" t="n">
        <f aca="false">Inputs!$F$68/100*O32</f>
        <v>78.17094053496</v>
      </c>
      <c r="P33" s="11" t="n">
        <f aca="false">Inputs!$F$68/100*P32</f>
        <v>112.03934684544</v>
      </c>
      <c r="Q33" s="11" t="n">
        <f aca="false">Inputs!$F$68/100*Q32</f>
        <v>148.67472929904</v>
      </c>
      <c r="R33" s="11" t="n">
        <f aca="false">Inputs!$F$68/100*R32</f>
        <v>186.52356218412</v>
      </c>
      <c r="S33" s="11" t="n">
        <f aca="false">Inputs!$F$68/100*S32</f>
        <v>224.13279657636</v>
      </c>
      <c r="T33" s="11" t="n">
        <f aca="false">Inputs!$F$68/100*T32</f>
        <v>260.14986033876</v>
      </c>
      <c r="U33" s="11" t="n">
        <f aca="false">Inputs!$F$68/100*U32</f>
        <v>293.36903202348</v>
      </c>
      <c r="V33" s="11" t="n">
        <f aca="false">Inputs!$F$68/100*V32</f>
        <v>322.7237118882</v>
      </c>
      <c r="W33" s="11" t="n">
        <f aca="false">Inputs!$F$68/100*W32</f>
        <v>347.3018798634</v>
      </c>
      <c r="X33" s="11" t="n">
        <f aca="false">Inputs!$F$68/100*X32</f>
        <v>366.3924694542</v>
      </c>
      <c r="Y33" s="11" t="n">
        <f aca="false">Inputs!$F$68/100*Y32</f>
        <v>379.42353587124</v>
      </c>
      <c r="Z33" s="11" t="n">
        <f aca="false">Inputs!$F$68/100*Z32</f>
        <v>386.03181688344</v>
      </c>
      <c r="AA33" s="11" t="n">
        <f aca="false">Inputs!$F$68/100*AA32</f>
        <v>386.03181688344</v>
      </c>
      <c r="AB33" s="11" t="n">
        <f aca="false">Inputs!$F$68/100*AB32</f>
        <v>379.42353587124</v>
      </c>
      <c r="AC33" s="11" t="n">
        <f aca="false">Inputs!$F$68/100*AC32</f>
        <v>366.3924694542</v>
      </c>
      <c r="AD33" s="11" t="n">
        <f aca="false">Inputs!$F$68/100*AD32</f>
        <v>347.3018798634</v>
      </c>
      <c r="AE33" s="11" t="n">
        <f aca="false">Inputs!$F$68/100*AE32</f>
        <v>322.7237118882</v>
      </c>
      <c r="AF33" s="11" t="n">
        <f aca="false">Inputs!$F$68/100*AF32</f>
        <v>293.36903202348</v>
      </c>
      <c r="AG33" s="11" t="n">
        <f aca="false">Inputs!$F$68/100*AG32</f>
        <v>260.14986033876</v>
      </c>
      <c r="AH33" s="11" t="n">
        <f aca="false">Inputs!$F$68/100*AH32</f>
        <v>224.13279657636</v>
      </c>
      <c r="AI33" s="11" t="n">
        <f aca="false">Inputs!$F$68/100*AI32</f>
        <v>186.52356218412</v>
      </c>
      <c r="AJ33" s="11" t="n">
        <f aca="false">Inputs!$F$68/100*AJ32</f>
        <v>148.67472929904</v>
      </c>
      <c r="AK33" s="11" t="n">
        <f aca="false">Inputs!$F$68/100*AK32</f>
        <v>112.03934684544</v>
      </c>
      <c r="AL33" s="11" t="n">
        <f aca="false">Inputs!$F$68/100*AL32</f>
        <v>78.17094053496</v>
      </c>
      <c r="AM33" s="11" t="n">
        <f aca="false">Inputs!$F$68/100*AM32</f>
        <v>48.64622303016</v>
      </c>
      <c r="AN33" s="11" t="n">
        <f aca="false">Inputs!$F$68/100*AN32</f>
        <v>25.03417800996</v>
      </c>
      <c r="AO33" s="11" t="n">
        <f aca="false">Inputs!$F$68/100*AO32</f>
        <v>8.75693846412</v>
      </c>
      <c r="AP33" s="11" t="n">
        <f aca="false">Inputs!$F$68/100*AP32</f>
        <v>0.834730233119977</v>
      </c>
      <c r="AQ33" s="11" t="n">
        <f aca="false">Inputs!$F$68/100*AQ32</f>
        <v>0</v>
      </c>
      <c r="AR33" s="11" t="n">
        <f aca="false">Inputs!$F$68/100*AR32</f>
        <v>0</v>
      </c>
      <c r="AS33" s="11" t="n">
        <f aca="false">Inputs!$F$68/100*AS32</f>
        <v>0</v>
      </c>
      <c r="AT33" s="11" t="n">
        <f aca="false">Inputs!$F$68/100*AT32</f>
        <v>0</v>
      </c>
      <c r="AU33" s="11" t="n">
        <f aca="false">Inputs!$F$68/100*AU32</f>
        <v>0</v>
      </c>
      <c r="AV33" s="11" t="n">
        <f aca="false">Inputs!$F$68/100*AV32</f>
        <v>579.673773</v>
      </c>
      <c r="AW33" s="11" t="n">
        <f aca="false">Inputs!$F$68/100*AW32</f>
        <v>0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0.83473023312</v>
      </c>
      <c r="U34" s="11" t="n">
        <f aca="false">L33</f>
        <v>8.75693846412</v>
      </c>
      <c r="V34" s="11" t="n">
        <f aca="false">M33</f>
        <v>25.03417800996</v>
      </c>
      <c r="W34" s="11" t="n">
        <f aca="false">N33</f>
        <v>48.64622303016</v>
      </c>
      <c r="X34" s="11" t="n">
        <f aca="false">O33</f>
        <v>78.17094053496</v>
      </c>
      <c r="Y34" s="11" t="n">
        <f aca="false">P33</f>
        <v>112.03934684544</v>
      </c>
      <c r="Z34" s="11" t="n">
        <f aca="false">Q33</f>
        <v>148.67472929904</v>
      </c>
      <c r="AA34" s="11" t="n">
        <f aca="false">R33</f>
        <v>186.52356218412</v>
      </c>
      <c r="AB34" s="11" t="n">
        <f aca="false">S33</f>
        <v>224.13279657636</v>
      </c>
      <c r="AC34" s="11" t="n">
        <f aca="false">T33</f>
        <v>260.14986033876</v>
      </c>
      <c r="AD34" s="11" t="n">
        <f aca="false">U33</f>
        <v>293.36903202348</v>
      </c>
      <c r="AE34" s="11" t="n">
        <f aca="false">V33</f>
        <v>322.7237118882</v>
      </c>
      <c r="AF34" s="11" t="n">
        <f aca="false">W33</f>
        <v>347.3018798634</v>
      </c>
      <c r="AG34" s="11" t="n">
        <f aca="false">X33</f>
        <v>366.3924694542</v>
      </c>
      <c r="AH34" s="11" t="n">
        <f aca="false">Y33</f>
        <v>379.42353587124</v>
      </c>
      <c r="AI34" s="11" t="n">
        <f aca="false">Z33</f>
        <v>386.03181688344</v>
      </c>
      <c r="AJ34" s="11" t="n">
        <f aca="false">AA33</f>
        <v>386.03181688344</v>
      </c>
      <c r="AK34" s="11" t="n">
        <f aca="false">AB33</f>
        <v>379.42353587124</v>
      </c>
      <c r="AL34" s="11" t="n">
        <f aca="false">AC33</f>
        <v>366.3924694542</v>
      </c>
      <c r="AM34" s="11" t="n">
        <f aca="false">AD33</f>
        <v>347.3018798634</v>
      </c>
      <c r="AN34" s="11" t="n">
        <f aca="false">AE33</f>
        <v>322.7237118882</v>
      </c>
      <c r="AO34" s="11" t="n">
        <f aca="false">AF33</f>
        <v>293.36903202348</v>
      </c>
      <c r="AP34" s="11" t="n">
        <f aca="false">AG33</f>
        <v>260.14986033876</v>
      </c>
      <c r="AQ34" s="11" t="n">
        <f aca="false">AH33</f>
        <v>224.13279657636</v>
      </c>
      <c r="AR34" s="11" t="n">
        <f aca="false">AI33</f>
        <v>186.52356218412</v>
      </c>
      <c r="AS34" s="11" t="n">
        <f aca="false">AJ33</f>
        <v>148.67472929904</v>
      </c>
      <c r="AT34" s="11" t="n">
        <f aca="false">AK33</f>
        <v>112.03934684544</v>
      </c>
      <c r="AU34" s="11" t="n">
        <f aca="false">AL33</f>
        <v>78.17094053496</v>
      </c>
      <c r="AV34" s="11" t="n">
        <f aca="false">AM33</f>
        <v>48.64622303016</v>
      </c>
      <c r="AW34" s="11" t="n">
        <f aca="false">AN33</f>
        <v>25.03417800996</v>
      </c>
      <c r="AX34" s="11" t="n">
        <f aca="false">AO33</f>
        <v>8.75693846412</v>
      </c>
      <c r="AY34" s="11" t="n">
        <f aca="false">AP33</f>
        <v>0.834730233119977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579.673773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773.73309423312</v>
      </c>
      <c r="L35" s="11" t="n">
        <f aca="false">K35+L33-L34</f>
        <v>782.49003269724</v>
      </c>
      <c r="M35" s="11" t="n">
        <f aca="false">L35+M33-M34</f>
        <v>807.5242107072</v>
      </c>
      <c r="N35" s="11" t="n">
        <f aca="false">M35+N33-N34</f>
        <v>856.17043373736</v>
      </c>
      <c r="O35" s="11" t="n">
        <f aca="false">N35+O33-O34</f>
        <v>934.34137427232</v>
      </c>
      <c r="P35" s="11" t="n">
        <f aca="false">O35+P33-P34</f>
        <v>1046.38072111776</v>
      </c>
      <c r="Q35" s="11" t="n">
        <f aca="false">P35+Q33-Q34</f>
        <v>1195.0554504168</v>
      </c>
      <c r="R35" s="11" t="n">
        <f aca="false">Q35+R33-R34</f>
        <v>1381.57901260092</v>
      </c>
      <c r="S35" s="11" t="n">
        <f aca="false">R35+S33-S34</f>
        <v>832.81344517728</v>
      </c>
      <c r="T35" s="11" t="n">
        <f aca="false">S35+T33-T34</f>
        <v>1092.12857528292</v>
      </c>
      <c r="U35" s="11" t="n">
        <f aca="false">T35+U33-U34</f>
        <v>1376.74066884228</v>
      </c>
      <c r="V35" s="11" t="n">
        <f aca="false">U35+V33-V34</f>
        <v>1674.43020272052</v>
      </c>
      <c r="W35" s="11" t="n">
        <f aca="false">V35+W33-W34</f>
        <v>1973.08585955376</v>
      </c>
      <c r="X35" s="11" t="n">
        <f aca="false">W35+X33-X34</f>
        <v>2261.307388473</v>
      </c>
      <c r="Y35" s="11" t="n">
        <f aca="false">X35+Y33-Y34</f>
        <v>2528.6915774988</v>
      </c>
      <c r="Z35" s="11" t="n">
        <f aca="false">Y35+Z33-Z34</f>
        <v>2766.0486650832</v>
      </c>
      <c r="AA35" s="11" t="n">
        <f aca="false">Z35+AA33-AA34</f>
        <v>2965.55691978252</v>
      </c>
      <c r="AB35" s="11" t="n">
        <f aca="false">AA35+AB33-AB34</f>
        <v>3120.8476590774</v>
      </c>
      <c r="AC35" s="11" t="n">
        <f aca="false">AB35+AC33-AC34</f>
        <v>3227.09026819284</v>
      </c>
      <c r="AD35" s="11" t="n">
        <f aca="false">AC35+AD33-AD34</f>
        <v>3281.02311603276</v>
      </c>
      <c r="AE35" s="11" t="n">
        <f aca="false">AD35+AE33-AE34</f>
        <v>3281.02311603276</v>
      </c>
      <c r="AF35" s="11" t="n">
        <f aca="false">AE35+AF33-AF34</f>
        <v>3227.09026819284</v>
      </c>
      <c r="AG35" s="11" t="n">
        <f aca="false">AF35+AG33-AG34</f>
        <v>3120.8476590774</v>
      </c>
      <c r="AH35" s="11" t="n">
        <f aca="false">AG35+AH33-AH34</f>
        <v>2965.55691978252</v>
      </c>
      <c r="AI35" s="11" t="n">
        <f aca="false">AH35+AI33-AI34</f>
        <v>2766.0486650832</v>
      </c>
      <c r="AJ35" s="11" t="n">
        <f aca="false">AI35+AJ33-AJ34</f>
        <v>2528.6915774988</v>
      </c>
      <c r="AK35" s="11" t="n">
        <f aca="false">AJ35+AK33-AK34</f>
        <v>2261.307388473</v>
      </c>
      <c r="AL35" s="11" t="n">
        <f aca="false">AK35+AL33-AL34</f>
        <v>1973.08585955376</v>
      </c>
      <c r="AM35" s="11" t="n">
        <f aca="false">AL35+AM33-AM34</f>
        <v>1674.43020272052</v>
      </c>
      <c r="AN35" s="11" t="n">
        <f aca="false">AM35+AN33-AN34</f>
        <v>1376.74066884228</v>
      </c>
      <c r="AO35" s="11" t="n">
        <f aca="false">AN35+AO33-AO34</f>
        <v>1092.12857528292</v>
      </c>
      <c r="AP35" s="11" t="n">
        <f aca="false">AO35+AP33-AP34</f>
        <v>832.813445177281</v>
      </c>
      <c r="AQ35" s="11" t="n">
        <f aca="false">AP35+AQ33-AQ34</f>
        <v>608.680648600921</v>
      </c>
      <c r="AR35" s="11" t="n">
        <f aca="false">AQ35+AR33-AR34</f>
        <v>422.157086416801</v>
      </c>
      <c r="AS35" s="11" t="n">
        <f aca="false">AR35+AS33-AS34</f>
        <v>273.482357117761</v>
      </c>
      <c r="AT35" s="11" t="n">
        <f aca="false">AS35+AT33-AT34</f>
        <v>161.443010272321</v>
      </c>
      <c r="AU35" s="11" t="n">
        <f aca="false">AT35+AU33-AU34</f>
        <v>83.2720697373606</v>
      </c>
      <c r="AV35" s="11" t="n">
        <f aca="false">AU35+AV33-AV34</f>
        <v>614.299619707201</v>
      </c>
      <c r="AW35" s="11" t="n">
        <f aca="false">AV35+AW33-AW34</f>
        <v>589.265441697241</v>
      </c>
      <c r="AX35" s="11" t="n">
        <f aca="false">AW35+AX33-AX34</f>
        <v>580.508503233121</v>
      </c>
      <c r="AY35" s="11" t="n">
        <f aca="false">AX35+AY33-AY34</f>
        <v>579.673773</v>
      </c>
      <c r="AZ35" s="11" t="n">
        <f aca="false">AY35+AZ33-AZ34</f>
        <v>579.673773</v>
      </c>
      <c r="BA35" s="11" t="n">
        <f aca="false">AZ35+BA33-BA34</f>
        <v>579.673773</v>
      </c>
      <c r="BB35" s="11" t="n">
        <f aca="false">BA35+BB33-BB34</f>
        <v>579.673773</v>
      </c>
      <c r="BC35" s="11" t="n">
        <f aca="false">BB35+BC33-BC34</f>
        <v>579.673773</v>
      </c>
      <c r="BD35" s="11" t="n">
        <f aca="false">BC35+BD33-BD34</f>
        <v>579.673773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1.63076356999541</v>
      </c>
      <c r="J36" s="11" t="n">
        <f aca="false">0*(J18+Inputs!$F$69)/100*J11/365/J16</f>
        <v>0</v>
      </c>
      <c r="K36" s="11" t="n">
        <f aca="false">J35*(K18+Inputs!$F$69)/100*K11/365/K16</f>
        <v>0.0194457240997733</v>
      </c>
      <c r="L36" s="11" t="n">
        <f aca="false">K35*(L18+Inputs!$F$69)/100*L11/365/L16</f>
        <v>0.0200310422177048</v>
      </c>
      <c r="M36" s="11" t="n">
        <f aca="false">L35*(M18+Inputs!$F$69)/100*M11/365/M16</f>
        <v>0.0195218490832966</v>
      </c>
      <c r="N36" s="11" t="n">
        <f aca="false">M35*(N18+Inputs!$F$69)/100*N11/365/N16</f>
        <v>0.0207304309549175</v>
      </c>
      <c r="O36" s="11" t="n">
        <f aca="false">N35*(O18+Inputs!$F$69)/100*O11/365/O16</f>
        <v>0.021886847272568</v>
      </c>
      <c r="P36" s="11" t="n">
        <f aca="false">O35*(P18+Inputs!$F$69)/100*P11/365/P16</f>
        <v>0.0214830085816359</v>
      </c>
      <c r="Q36" s="11" t="n">
        <f aca="false">P35*(Q18+Inputs!$F$69)/100*Q11/365/Q16</f>
        <v>0.026524860951246</v>
      </c>
      <c r="R36" s="11" t="n">
        <f aca="false">Q35*(R18+Inputs!$F$69)/100*R11/365/R16</f>
        <v>0.0291931666812582</v>
      </c>
      <c r="S36" s="11" t="n">
        <f aca="false">R35*(S18+Inputs!$F$69)/100*S11/365/S16</f>
        <v>0.034727979703444</v>
      </c>
      <c r="T36" s="11" t="n">
        <f aca="false">S35*(T18+Inputs!$F$69)/100*T11/365/T16</f>
        <v>0.0201735014177452</v>
      </c>
      <c r="U36" s="11" t="n">
        <f aca="false">T35*(U18+Inputs!$F$69)/100*U11/365/U16</f>
        <v>0.0272218707388594</v>
      </c>
      <c r="V36" s="11" t="n">
        <f aca="false">U35*(V18+Inputs!$F$69)/100*V11/365/V16</f>
        <v>0.0341716965606389</v>
      </c>
      <c r="W36" s="11" t="n">
        <f aca="false">V35*(W18+Inputs!$F$69)/100*W11/365/W16</f>
        <v>0.0400508015468132</v>
      </c>
      <c r="X36" s="11" t="n">
        <f aca="false">W35*(X18+Inputs!$F$69)/100*X11/365/X16</f>
        <v>0.0485624723651726</v>
      </c>
      <c r="Y36" s="11" t="n">
        <f aca="false">X35*(Y18+Inputs!$F$69)/100*Y11/365/Y16</f>
        <v>0.0536344918211279</v>
      </c>
      <c r="Z36" s="11" t="n">
        <f aca="false">Y35*(Z18+Inputs!$F$69)/100*Z11/365/Z16</f>
        <v>0.0617150481464958</v>
      </c>
      <c r="AA36" s="11" t="n">
        <f aca="false">Z35*(AA18+Inputs!$F$69)/100*AA11/365/AA16</f>
        <v>0.0672241360452611</v>
      </c>
      <c r="AB36" s="11" t="n">
        <f aca="false">AA35*(AB18+Inputs!$F$69)/100*AB11/365/AB16</f>
        <v>0.0671395125097447</v>
      </c>
      <c r="AC36" s="11" t="n">
        <f aca="false">AB35*(AC18+Inputs!$F$69)/100*AC11/365/AC16</f>
        <v>0.0752104847039138</v>
      </c>
      <c r="AD36" s="11" t="n">
        <f aca="false">AC35*(AD18+Inputs!$F$69)/100*AD11/365/AD16</f>
        <v>0.0749456956637847</v>
      </c>
      <c r="AE36" s="11" t="n">
        <f aca="false">AD35*(AE18+Inputs!$F$69)/100*AE11/365/AE16</f>
        <v>0.0784071220767009</v>
      </c>
      <c r="AF36" s="11" t="n">
        <f aca="false">AE35*(AF18+Inputs!$F$69)/100*AF11/365/AF16</f>
        <v>0.0755588391382728</v>
      </c>
      <c r="AG36" s="11" t="n">
        <f aca="false">AF35*(AG18+Inputs!$F$69)/100*AG11/365/AG16</f>
        <v>0.0764711712832112</v>
      </c>
      <c r="AH36" s="11" t="n">
        <f aca="false">AG35*(AH18+Inputs!$F$69)/100*AH11/365/AH16</f>
        <v>0.0736426487589338</v>
      </c>
      <c r="AI36" s="11" t="n">
        <f aca="false">AH35*(AI18+Inputs!$F$69)/100*AI11/365/AI16</f>
        <v>0.0674361640987342</v>
      </c>
      <c r="AJ36" s="11" t="n">
        <f aca="false">AI35*(AJ18+Inputs!$F$69)/100*AJ11/365/AJ16</f>
        <v>0.0647227636214697</v>
      </c>
      <c r="AK36" s="11" t="n">
        <f aca="false">AJ35*(AK18+Inputs!$F$69)/100*AK11/365/AK16</f>
        <v>0.0570194287412817</v>
      </c>
      <c r="AL36" s="11" t="n">
        <f aca="false">AK35*(AL18+Inputs!$F$69)/100*AL11/365/AL16</f>
        <v>0.0524683302432578</v>
      </c>
      <c r="AM36" s="11" t="n">
        <f aca="false">AL35*(AM18+Inputs!$F$69)/100*AM11/365/AM16</f>
        <v>0.0455883452314648</v>
      </c>
      <c r="AN36" s="11" t="n">
        <f aca="false">AM35*(AN18+Inputs!$F$69)/100*AN11/365/AN16</f>
        <v>0.0347969703795965</v>
      </c>
      <c r="AO36" s="11" t="n">
        <f aca="false">AN35*(AO18+Inputs!$F$69)/100*AO11/365/AO16</f>
        <v>0.031542810815562</v>
      </c>
      <c r="AP36" s="11" t="n">
        <f aca="false">AO35*(AP18+Inputs!$F$69)/100*AP11/365/AP16</f>
        <v>0.0241130298367733</v>
      </c>
      <c r="AQ36" s="11" t="n">
        <f aca="false">AP35*(AQ18+Inputs!$F$69)/100*AQ11/365/AQ16</f>
        <v>0.0189206644060081</v>
      </c>
      <c r="AR36" s="11" t="n">
        <f aca="false">AQ35*(AR18+Inputs!$F$69)/100*AR11/365/AR16</f>
        <v>0.0133262486709748</v>
      </c>
      <c r="AS36" s="11" t="n">
        <f aca="false">AR35*(AS18+Inputs!$F$69)/100*AS11/365/AS16</f>
        <v>0.00951049548862297</v>
      </c>
      <c r="AT36" s="11" t="n">
        <f aca="false">AS35*(AT18+Inputs!$F$69)/100*AT11/365/AT16</f>
        <v>0.00613519791375784</v>
      </c>
      <c r="AU36" s="11" t="n">
        <f aca="false">AT35*(AU18+Inputs!$F$69)/100*AU11/365/AU16</f>
        <v>0.00349018359651425</v>
      </c>
      <c r="AV36" s="11" t="n">
        <f aca="false">AU35*(AV18+Inputs!$F$69)/100*AV11/365/AV16</f>
        <v>0.00185241814840726</v>
      </c>
      <c r="AW36" s="11" t="n">
        <f aca="false">AV35*(AW18+Inputs!$F$69)/100*AW11/365/AW16</f>
        <v>0.013168905401365</v>
      </c>
      <c r="AX36" s="11" t="n">
        <f aca="false">AW35*(AX18+Inputs!$F$69)/100*AX11/365/AX16</f>
        <v>0.0129984343551899</v>
      </c>
      <c r="AY36" s="11" t="n">
        <f aca="false">AX35*(AY18+Inputs!$F$69)/100*AY11/365/AY16</f>
        <v>0.0127514291285803</v>
      </c>
      <c r="AZ36" s="11" t="n">
        <f aca="false">AY35*(AZ18+Inputs!$F$69)/100*AZ11/365/AZ16</f>
        <v>0.0114525044024139</v>
      </c>
      <c r="BA36" s="11" t="n">
        <f aca="false">AZ35*(BA18+Inputs!$F$69)/100*BA11/365/BA16</f>
        <v>0.0126262484997983</v>
      </c>
      <c r="BB36" s="11" t="n">
        <f aca="false">BA35*(BB18+Inputs!$F$69)/100*BB11/365/BB16</f>
        <v>0.0121675767972054</v>
      </c>
      <c r="BC36" s="11" t="n">
        <f aca="false">BB35*(BC18+Inputs!$F$69)/100*BC11/365/BC16</f>
        <v>0.0125203000751124</v>
      </c>
      <c r="BD36" s="11" t="n">
        <f aca="false">BC35*(BD18+Inputs!$F$69)/100*BD11/365/BD16</f>
        <v>0.0120654771439371</v>
      </c>
      <c r="BE36" s="11" t="n">
        <f aca="false">BD35*(BE18+Inputs!$F$69)/100*BE11/365/BE16</f>
        <v>0.0124152406768617</v>
      </c>
      <c r="BF36" s="11" t="n">
        <f aca="false">BE35*(BF18+Inputs!$F$69)/100*BF11/365/BF16</f>
        <v>0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2.79</v>
      </c>
      <c r="L8" s="11" t="n">
        <f aca="false">CHOOSE(Inputs!$F$32,Inputs!L212,Inputs!L213,Inputs!L214)</f>
        <v>2.94</v>
      </c>
      <c r="M8" s="11" t="n">
        <f aca="false">CHOOSE(Inputs!$F$32,Inputs!M212,Inputs!M213,Inputs!M214)</f>
        <v>3.02</v>
      </c>
      <c r="N8" s="11" t="n">
        <f aca="false">CHOOSE(Inputs!$F$32,Inputs!N212,Inputs!N213,Inputs!N214)</f>
        <v>3.06</v>
      </c>
      <c r="O8" s="11" t="n">
        <f aca="false">CHOOSE(Inputs!$F$32,Inputs!O212,Inputs!O213,Inputs!O214)</f>
        <v>3.09</v>
      </c>
      <c r="P8" s="11" t="n">
        <f aca="false">CHOOSE(Inputs!$F$32,Inputs!P212,Inputs!P213,Inputs!P214)</f>
        <v>3.09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2.79</v>
      </c>
      <c r="L9" s="11" t="n">
        <f aca="false">L8+Inputs!$F$41*Time!L34</f>
        <v>2.94</v>
      </c>
      <c r="M9" s="11" t="n">
        <f aca="false">M8+Inputs!$F$41*Time!M34</f>
        <v>3.02</v>
      </c>
      <c r="N9" s="11" t="n">
        <f aca="false">N8+Inputs!$F$41*Time!N34</f>
        <v>3.06</v>
      </c>
      <c r="O9" s="11" t="n">
        <f aca="false">O8+Inputs!$F$41*Time!O34</f>
        <v>3.09</v>
      </c>
      <c r="P9" s="11" t="n">
        <f aca="false">P8+Inputs!$F$41*Time!P34</f>
        <v>3.09</v>
      </c>
      <c r="Q9" s="11" t="n">
        <f aca="false">Q8+Inputs!$F$41*Time!Q34</f>
        <v>3.11</v>
      </c>
      <c r="R9" s="11" t="n">
        <f aca="false">R8+Inputs!$F$41*Time!R34</f>
        <v>3.11</v>
      </c>
      <c r="S9" s="11" t="n">
        <f aca="false">S8+Inputs!$F$41*Time!S34</f>
        <v>3.12</v>
      </c>
      <c r="T9" s="11" t="n">
        <f aca="false">T8+Inputs!$F$41*Time!T34</f>
        <v>3.12</v>
      </c>
      <c r="U9" s="11" t="n">
        <f aca="false">U8+Inputs!$F$41*Time!U34</f>
        <v>3.12</v>
      </c>
      <c r="V9" s="11" t="n">
        <f aca="false">V8+Inputs!$F$41*Time!V34</f>
        <v>3.12</v>
      </c>
      <c r="W9" s="11" t="n">
        <f aca="false">W8+Inputs!$F$41*Time!W34</f>
        <v>3.12</v>
      </c>
      <c r="X9" s="11" t="n">
        <f aca="false">X8+Inputs!$F$41*Time!X34</f>
        <v>3.12</v>
      </c>
      <c r="Y9" s="11" t="n">
        <f aca="false">Y8+Inputs!$F$41*Time!Y34</f>
        <v>3.12</v>
      </c>
      <c r="Z9" s="11" t="n">
        <f aca="false">Z8+Inputs!$F$41*Time!Z34</f>
        <v>3.12</v>
      </c>
      <c r="AA9" s="11" t="n">
        <f aca="false">AA8+Inputs!$F$41*Time!AA34</f>
        <v>3.12</v>
      </c>
      <c r="AB9" s="11" t="n">
        <f aca="false">AB8+Inputs!$F$41*Time!AB34</f>
        <v>3.12</v>
      </c>
      <c r="AC9" s="11" t="n">
        <f aca="false">AC8+Inputs!$F$41*Time!AC34</f>
        <v>3.12</v>
      </c>
      <c r="AD9" s="11" t="n">
        <f aca="false">AD8+Inputs!$F$41*Time!AD34</f>
        <v>3.12</v>
      </c>
      <c r="AE9" s="11" t="n">
        <f aca="false">AE8+Inputs!$F$41*Time!AE34</f>
        <v>3.12</v>
      </c>
      <c r="AF9" s="11" t="n">
        <f aca="false">AF8+Inputs!$F$41*Time!AF34</f>
        <v>3.12</v>
      </c>
      <c r="AG9" s="11" t="n">
        <f aca="false">AG8+Inputs!$F$41*Time!AG34</f>
        <v>3.12</v>
      </c>
      <c r="AH9" s="11" t="n">
        <f aca="false">AH8+Inputs!$F$41*Time!AH34</f>
        <v>3.12</v>
      </c>
      <c r="AI9" s="11" t="n">
        <f aca="false">AI8+Inputs!$F$41*Time!AI34</f>
        <v>3.12</v>
      </c>
      <c r="AJ9" s="11" t="n">
        <f aca="false">AJ8+Inputs!$F$41*Time!AJ34</f>
        <v>3.12</v>
      </c>
      <c r="AK9" s="11" t="n">
        <f aca="false">AK8+Inputs!$F$41*Time!AK34</f>
        <v>3.12</v>
      </c>
      <c r="AL9" s="11" t="n">
        <f aca="false">AL8+Inputs!$F$41*Time!AL34</f>
        <v>3.12</v>
      </c>
      <c r="AM9" s="11" t="n">
        <f aca="false">AM8+Inputs!$F$41*Time!AM34</f>
        <v>3.12</v>
      </c>
      <c r="AN9" s="11" t="n">
        <f aca="false">AN8+Inputs!$F$41*Time!AN34</f>
        <v>3.12</v>
      </c>
      <c r="AO9" s="11" t="n">
        <f aca="false">AO8+Inputs!$F$41*Time!AO34</f>
        <v>3.12</v>
      </c>
      <c r="AP9" s="11" t="n">
        <f aca="false">AP8+Inputs!$F$41*Time!AP34</f>
        <v>3.12</v>
      </c>
      <c r="AQ9" s="11" t="n">
        <f aca="false">AQ8+Inputs!$F$41*Time!AQ34</f>
        <v>3.12</v>
      </c>
      <c r="AR9" s="11" t="n">
        <f aca="false">AR8+Inputs!$F$41*Time!AR34</f>
        <v>3.12</v>
      </c>
      <c r="AS9" s="11" t="n">
        <f aca="false">AS8+Inputs!$F$41*Time!AS34</f>
        <v>3.12</v>
      </c>
      <c r="AT9" s="11" t="n">
        <f aca="false">AT8+Inputs!$F$41*Time!AT34</f>
        <v>3.12</v>
      </c>
      <c r="AU9" s="11" t="n">
        <f aca="false">AU8+Inputs!$F$41*Time!AU34</f>
        <v>3.12</v>
      </c>
      <c r="AV9" s="11" t="n">
        <f aca="false">AV8+Inputs!$F$41*Time!AV34</f>
        <v>3.12</v>
      </c>
      <c r="AW9" s="11" t="n">
        <f aca="false">AW8+Inputs!$F$41*Time!AW34</f>
        <v>3.12</v>
      </c>
      <c r="AX9" s="11" t="n">
        <f aca="false">AX8+Inputs!$F$41*Time!AX34</f>
        <v>3.12</v>
      </c>
      <c r="AY9" s="11" t="n">
        <f aca="false">AY8+Inputs!$F$41*Time!AY34</f>
        <v>3.12</v>
      </c>
      <c r="AZ9" s="11" t="n">
        <f aca="false">AZ8+Inputs!$F$41*Time!AZ34</f>
        <v>3.12</v>
      </c>
      <c r="BA9" s="11" t="n">
        <f aca="false">BA8+Inputs!$F$41*Time!BA34</f>
        <v>3.12</v>
      </c>
      <c r="BB9" s="11" t="n">
        <f aca="false">BB8+Inputs!$F$41*Time!BB34</f>
        <v>3.12</v>
      </c>
      <c r="BC9" s="11" t="n">
        <f aca="false">BC8+Inputs!$F$41*Time!BC34</f>
        <v>3.12</v>
      </c>
      <c r="BD9" s="11" t="n">
        <f aca="false">BD8+Inputs!$F$41*Time!BD34</f>
        <v>3.12</v>
      </c>
      <c r="BE9" s="11" t="n">
        <f aca="false">BE8+Inputs!$F$41*Time!BE34</f>
        <v>3.12</v>
      </c>
      <c r="BF9" s="11" t="n">
        <f aca="false">BF8+Inputs!$F$41*Time!BF34</f>
        <v>3.12</v>
      </c>
      <c r="BG9" s="11" t="n">
        <f aca="false">BG8+Inputs!$F$41*Time!BG34</f>
        <v>3.12</v>
      </c>
      <c r="BH9" s="11" t="n">
        <f aca="false">BH8+Inputs!$F$41*Time!BH34</f>
        <v>3.12</v>
      </c>
      <c r="BI9" s="11" t="n">
        <f aca="false">BI8+Inputs!$F$41*Time!BI34</f>
        <v>3.12</v>
      </c>
      <c r="BJ9" s="11" t="n">
        <f aca="false">BJ8+Inputs!$F$41*Time!BJ34</f>
        <v>3.12</v>
      </c>
      <c r="BK9" s="11" t="n">
        <f aca="false">BK8+Inputs!$F$41*Time!BK34</f>
        <v>3.12</v>
      </c>
      <c r="BL9" s="11" t="n">
        <f aca="false">BL8+Inputs!$F$41*Time!BL34</f>
        <v>3.12</v>
      </c>
      <c r="BM9" s="11" t="n">
        <f aca="false">BM8+Inputs!$F$41*Time!BM34</f>
        <v>3.12</v>
      </c>
      <c r="BN9" s="11" t="n">
        <f aca="false">BN8+Inputs!$F$41*Time!BN34</f>
        <v>3.12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526.006774366309</v>
      </c>
      <c r="K10" s="11" t="n">
        <f aca="false">CHOOSE(Inputs!$F$32,Inputs!$F$58*Time!$F$15^((Time!K17-0.5)/2),Inputs!K215,Inputs!K215)</f>
        <v>539.473506819265</v>
      </c>
      <c r="L10" s="11" t="n">
        <f aca="false">CHOOSE(Inputs!$F$32,Inputs!$F$58*Time!$F$15^((Time!L17-0.5)/2),Inputs!L215,Inputs!L215)</f>
        <v>553.285012175912</v>
      </c>
      <c r="M10" s="11" t="n">
        <f aca="false">CHOOSE(Inputs!$F$32,Inputs!$F$58*Time!$F$15^((Time!M17-0.5)/2),Inputs!M215,Inputs!M215)</f>
        <v>567.450117251183</v>
      </c>
      <c r="N10" s="11" t="n">
        <f aca="false">CHOOSE(Inputs!$F$32,Inputs!$F$58*Time!$F$15^((Time!N17-0.5)/2),Inputs!N215,Inputs!N215)</f>
        <v>581.977874842568</v>
      </c>
      <c r="O10" s="11" t="n">
        <f aca="false">CHOOSE(Inputs!$F$32,Inputs!$F$58*Time!$F$15^((Time!O17-0.5)/2),Inputs!O215,Inputs!O215)</f>
        <v>596.877569515677</v>
      </c>
      <c r="P10" s="11" t="n">
        <f aca="false">CHOOSE(Inputs!$F$32,Inputs!$F$58*Time!$F$15^((Time!P17-0.5)/2),Inputs!P215,Inputs!P215)</f>
        <v>612.158723537927</v>
      </c>
      <c r="Q10" s="11" t="n">
        <f aca="false">CHOOSE(Inputs!$F$32,Inputs!$F$58*Time!$F$15^((Time!Q17-0.5)/2),Inputs!Q215,P10*Time!$F$15^0.5)</f>
        <v>627.831102964142</v>
      </c>
      <c r="R10" s="11" t="n">
        <f aca="false">CHOOSE(Inputs!$F$32,Inputs!$F$58*Time!$F$15^((Time!R17-0.5)/2),Inputs!R215,Q10*Time!$F$15^0.5)</f>
        <v>643.904723877956</v>
      </c>
      <c r="S10" s="11" t="n">
        <f aca="false">CHOOSE(Inputs!$F$32,Inputs!$F$58*Time!$F$15^((Time!S17-0.5)/2),Inputs!S215,R10*Time!$F$15^0.5)</f>
        <v>660.389858793006</v>
      </c>
      <c r="T10" s="11" t="n">
        <f aca="false">CHOOSE(Inputs!$F$32,Inputs!$F$58*Time!$F$15^((Time!T17-0.5)/2),Inputs!T215,S10*Time!$F$15^0.5)</f>
        <v>677.297043218007</v>
      </c>
      <c r="U10" s="11" t="n">
        <f aca="false">CHOOSE(Inputs!$F$32,Inputs!$F$58*Time!$F$15^((Time!U17-0.5)/2),Inputs!U215,T10*Time!$F$15^0.5)</f>
        <v>694.637082389903</v>
      </c>
      <c r="V10" s="11" t="n">
        <f aca="false">CHOOSE(Inputs!$F$32,Inputs!$F$58*Time!$F$15^((Time!V17-0.5)/2),Inputs!V215,U10*Time!$F$15^0.5)</f>
        <v>712.42105817941</v>
      </c>
      <c r="W10" s="11" t="n">
        <f aca="false">CHOOSE(Inputs!$F$32,Inputs!$F$58*Time!$F$15^((Time!W17-0.5)/2),Inputs!W215,V10*Time!$F$15^0.5)</f>
        <v>730.660336173333</v>
      </c>
      <c r="X10" s="11" t="n">
        <f aca="false">CHOOSE(Inputs!$F$32,Inputs!$F$58*Time!$F$15^((Time!X17-0.5)/2),Inputs!X215,W10*Time!$F$15^0.5)</f>
        <v>749.366572938224</v>
      </c>
      <c r="Y10" s="11" t="n">
        <f aca="false">CHOOSE(Inputs!$F$32,Inputs!$F$58*Time!$F$15^((Time!Y17-0.5)/2),Inputs!Y215,X10*Time!$F$15^0.5)</f>
        <v>768.551723469993</v>
      </c>
      <c r="Z10" s="11" t="n">
        <f aca="false">CHOOSE(Inputs!$F$32,Inputs!$F$58*Time!$F$15^((Time!Z17-0.5)/2),Inputs!Z215,Y10*Time!$F$15^0.5)</f>
        <v>788.228048834238</v>
      </c>
      <c r="AA10" s="11" t="n">
        <f aca="false">CHOOSE(Inputs!$F$32,Inputs!$F$58*Time!$F$15^((Time!AA17-0.5)/2),Z10*((1+AA13/100)/(1+AA12/100))^0.5,Z10*Time!$F$15^0.5)</f>
        <v>808.408124002194</v>
      </c>
      <c r="AB10" s="11" t="n">
        <f aca="false">CHOOSE(Inputs!$F$32,Inputs!$F$58*Time!$F$15^((Time!AB17-0.5)/2),AA10*((1+AB13/100)/(1+AB12/100))^0.5,AA10*Time!$F$15^0.5)</f>
        <v>829.104845887285</v>
      </c>
      <c r="AC10" s="11" t="n">
        <f aca="false">CHOOSE(Inputs!$F$32,Inputs!$F$58*Time!$F$15^((Time!AC17-0.5)/2),AB10*((1+AC13/100)/(1+AC12/100))^0.5,AB10*Time!$F$15^0.5)</f>
        <v>850.331441587435</v>
      </c>
      <c r="AD10" s="11" t="n">
        <f aca="false">CHOOSE(Inputs!$F$32,Inputs!$F$58*Time!$F$15^((Time!AD17-0.5)/2),AC10*((1+AD13/100)/(1+AD12/100))^0.5,AC10*Time!$F$15^0.5)</f>
        <v>872.101476838387</v>
      </c>
      <c r="AE10" s="11" t="n">
        <f aca="false">CHOOSE(Inputs!$F$32,Inputs!$F$58*Time!$F$15^((Time!AE17-0.5)/2),AD10*((1+AE13/100)/(1+AE12/100))^0.5,AD10*Time!$F$15^0.5)</f>
        <v>894.428864683456</v>
      </c>
      <c r="AF10" s="11" t="n">
        <f aca="false">CHOOSE(Inputs!$F$32,Inputs!$F$58*Time!$F$15^((Time!AF17-0.5)/2),AE10*((1+AF13/100)/(1+AF12/100))^0.5,AE10*Time!$F$15^0.5)</f>
        <v>917.327874365231</v>
      </c>
      <c r="AG10" s="11" t="n">
        <f aca="false">CHOOSE(Inputs!$F$32,Inputs!$F$58*Time!$F$15^((Time!AG17-0.5)/2),AF10*((1+AG13/100)/(1+AG12/100))^0.5,AF10*Time!$F$15^0.5)</f>
        <v>940.813140444927</v>
      </c>
      <c r="AH10" s="11" t="n">
        <f aca="false">CHOOSE(Inputs!$F$32,Inputs!$F$58*Time!$F$15^((Time!AH17-0.5)/2),AG10*((1+AH13/100)/(1+AH12/100))^0.5,AG10*Time!$F$15^0.5)</f>
        <v>964.899672155209</v>
      </c>
      <c r="AI10" s="11" t="n">
        <f aca="false">CHOOSE(Inputs!$F$32,Inputs!$F$58*Time!$F$15^((Time!AI17-0.5)/2),AH10*((1+AI13/100)/(1+AI12/100))^0.5,AH10*Time!$F$15^0.5)</f>
        <v>989.602862992462</v>
      </c>
      <c r="AJ10" s="11" t="n">
        <f aca="false">CHOOSE(Inputs!$F$32,Inputs!$F$58*Time!$F$15^((Time!AJ17-0.5)/2),AI10*((1+AJ13/100)/(1+AJ12/100))^0.5,AI10*Time!$F$15^0.5)</f>
        <v>1014.93850055465</v>
      </c>
      <c r="AK10" s="11" t="n">
        <f aca="false">CHOOSE(Inputs!$F$32,Inputs!$F$58*Time!$F$15^((Time!AK17-0.5)/2),AJ10*((1+AK13/100)/(1+AK12/100))^0.5,AJ10*Time!$F$15^0.5)</f>
        <v>1040.92277663101</v>
      </c>
      <c r="AL10" s="11" t="n">
        <f aca="false">CHOOSE(Inputs!$F$32,Inputs!$F$58*Time!$F$15^((Time!AL17-0.5)/2),AK10*((1+AL13/100)/(1+AL12/100))^0.5,AK10*Time!$F$15^0.5)</f>
        <v>1067.57229755014</v>
      </c>
      <c r="AM10" s="11" t="n">
        <f aca="false">CHOOSE(Inputs!$F$32,Inputs!$F$58*Time!$F$15^((Time!AM17-0.5)/2),AL10*((1+AM13/100)/(1+AM12/100))^0.5,AL10*Time!$F$15^0.5)</f>
        <v>1094.9040947929</v>
      </c>
      <c r="AN10" s="11" t="n">
        <f aca="false">CHOOSE(Inputs!$F$32,Inputs!$F$58*Time!$F$15^((Time!AN17-0.5)/2),AM10*((1+AN13/100)/(1+AN12/100))^0.5,AM10*Time!$F$15^0.5)</f>
        <v>1122.93563587711</v>
      </c>
      <c r="AO10" s="11" t="n">
        <f aca="false">CHOOSE(Inputs!$F$32,Inputs!$F$58*Time!$F$15^((Time!AO17-0.5)/2),AN10*((1+AO13/100)/(1+AO12/100))^0.5,AN10*Time!$F$15^0.5)</f>
        <v>1151.6848355209</v>
      </c>
      <c r="AP10" s="11" t="n">
        <f aca="false">CHOOSE(Inputs!$F$32,Inputs!$F$58*Time!$F$15^((Time!AP17-0.5)/2),AO10*((1+AP13/100)/(1+AP12/100))^0.5,AO10*Time!$F$15^0.5)</f>
        <v>1181.17006709187</v>
      </c>
      <c r="AQ10" s="11" t="n">
        <f aca="false">CHOOSE(Inputs!$F$32,Inputs!$F$58*Time!$F$15^((Time!AQ17-0.5)/2),AP10*((1+AQ13/100)/(1+AQ12/100))^0.5,AP10*Time!$F$15^0.5)</f>
        <v>1211.41017434929</v>
      </c>
      <c r="AR10" s="11" t="n">
        <f aca="false">CHOOSE(Inputs!$F$32,Inputs!$F$58*Time!$F$15^((Time!AR17-0.5)/2),AQ10*((1+AR13/100)/(1+AR12/100))^0.5,AQ10*Time!$F$15^0.5)</f>
        <v>1242.42448348704</v>
      </c>
      <c r="AS10" s="11" t="n">
        <f aca="false">CHOOSE(Inputs!$F$32,Inputs!$F$58*Time!$F$15^((Time!AS17-0.5)/2),AR10*((1+AS13/100)/(1+AS12/100))^0.5,AR10*Time!$F$15^0.5)</f>
        <v>1274.23281548482</v>
      </c>
      <c r="AT10" s="11" t="n">
        <f aca="false">CHOOSE(Inputs!$F$32,Inputs!$F$58*Time!$F$15^((Time!AT17-0.5)/2),AS10*((1+AT13/100)/(1+AT12/100))^0.5,AS10*Time!$F$15^0.5)</f>
        <v>1306.85549877551</v>
      </c>
      <c r="AU10" s="11" t="n">
        <f aca="false">CHOOSE(Inputs!$F$32,Inputs!$F$58*Time!$F$15^((Time!AU17-0.5)/2),AT10*((1+AU13/100)/(1+AU12/100))^0.5,AT10*Time!$F$15^0.5)</f>
        <v>1340.31338223697</v>
      </c>
      <c r="AV10" s="11" t="n">
        <f aca="false">CHOOSE(Inputs!$F$32,Inputs!$F$58*Time!$F$15^((Time!AV17-0.5)/2),AU10*((1+AV13/100)/(1+AV12/100))^0.5,AU10*Time!$F$15^0.5)</f>
        <v>1374.62784851631</v>
      </c>
      <c r="AW10" s="11" t="n">
        <f aca="false">CHOOSE(Inputs!$F$32,Inputs!$F$58*Time!$F$15^((Time!AW17-0.5)/2),AV10*((1+AW13/100)/(1+AW12/100))^0.5,AV10*Time!$F$15^0.5)</f>
        <v>1409.82082769544</v>
      </c>
      <c r="AX10" s="11" t="n">
        <f aca="false">CHOOSE(Inputs!$F$32,Inputs!$F$58*Time!$F$15^((Time!AX17-0.5)/2),AW10*((1+AX13/100)/(1+AX12/100))^0.5,AW10*Time!$F$15^0.5)</f>
        <v>1445.9148113063</v>
      </c>
      <c r="AY10" s="11" t="n">
        <f aca="false">CHOOSE(Inputs!$F$32,Inputs!$F$58*Time!$F$15^((Time!AY17-0.5)/2),AX10*((1+AY13/100)/(1+AY12/100))^0.5,AX10*Time!$F$15^0.5)</f>
        <v>1482.93286670508</v>
      </c>
      <c r="AZ10" s="11" t="n">
        <f aca="false">CHOOSE(Inputs!$F$32,Inputs!$F$58*Time!$F$15^((Time!AZ17-0.5)/2),AY10*((1+AZ13/100)/(1+AZ12/100))^0.5,AY10*Time!$F$15^0.5)</f>
        <v>1520.89865181436</v>
      </c>
      <c r="BA10" s="11" t="n">
        <f aca="false">CHOOSE(Inputs!$F$32,Inputs!$F$58*Time!$F$15^((Time!BA17-0.5)/2),AZ10*((1+BA13/100)/(1+BA12/100))^0.5,AZ10*Time!$F$15^0.5)</f>
        <v>1559.83643024263</v>
      </c>
      <c r="BB10" s="11" t="n">
        <f aca="false">CHOOSE(Inputs!$F$32,Inputs!$F$58*Time!$F$15^((Time!BB17-0.5)/2),BA10*((1+BB13/100)/(1+BB12/100))^0.5,BA10*Time!$F$15^0.5)</f>
        <v>1599.77108679103</v>
      </c>
      <c r="BC10" s="11" t="n">
        <f aca="false">CHOOSE(Inputs!$F$32,Inputs!$F$58*Time!$F$15^((Time!BC17-0.5)/2),BB10*((1+BC13/100)/(1+BC12/100))^0.5,BB10*Time!$F$15^0.5)</f>
        <v>1640.72814335697</v>
      </c>
      <c r="BD10" s="11" t="n">
        <f aca="false">CHOOSE(Inputs!$F$32,Inputs!$F$58*Time!$F$15^((Time!BD17-0.5)/2),BC10*((1+BD13/100)/(1+BD12/100))^0.5,BC10*Time!$F$15^0.5)</f>
        <v>1682.73377524497</v>
      </c>
      <c r="BE10" s="11" t="n">
        <f aca="false">CHOOSE(Inputs!$F$32,Inputs!$F$58*Time!$F$15^((Time!BE17-0.5)/2),BD10*((1+BE13/100)/(1+BE12/100))^0.5,BD10*Time!$F$15^0.5)</f>
        <v>1725.81482789505</v>
      </c>
      <c r="BF10" s="11" t="n">
        <f aca="false">CHOOSE(Inputs!$F$32,Inputs!$F$58*Time!$F$15^((Time!BF17-0.5)/2),BE10*((1+BF13/100)/(1+BF12/100))^0.5,BE10*Time!$F$15^0.5)</f>
        <v>1769.99883403947</v>
      </c>
      <c r="BG10" s="11" t="n">
        <f aca="false">CHOOSE(Inputs!$F$32,Inputs!$F$58*Time!$F$15^((Time!BG17-0.5)/2),BF10*((1+BG13/100)/(1+BG12/100))^0.5,BF10*Time!$F$15^0.5)</f>
        <v>1815.31403129861</v>
      </c>
      <c r="BH10" s="11" t="n">
        <f aca="false">CHOOSE(Inputs!$F$32,Inputs!$F$58*Time!$F$15^((Time!BH17-0.5)/2),BG10*((1+BH13/100)/(1+BH12/100))^0.5,BG10*Time!$F$15^0.5)</f>
        <v>1861.78938022743</v>
      </c>
      <c r="BI10" s="11" t="n">
        <f aca="false">CHOOSE(Inputs!$F$32,Inputs!$F$58*Time!$F$15^((Time!BI17-0.5)/2),BH10*((1+BI13/100)/(1+BI12/100))^0.5,BH10*Time!$F$15^0.5)</f>
        <v>1909.45458282388</v>
      </c>
      <c r="BJ10" s="11" t="n">
        <f aca="false">CHOOSE(Inputs!$F$32,Inputs!$F$58*Time!$F$15^((Time!BJ17-0.5)/2),BI10*((1+BJ13/100)/(1+BJ12/100))^0.5,BI10*Time!$F$15^0.5)</f>
        <v>1958.34010151124</v>
      </c>
      <c r="BK10" s="11" t="n">
        <f aca="false">CHOOSE(Inputs!$F$32,Inputs!$F$58*Time!$F$15^((Time!BK17-0.5)/2),BJ10*((1+BK13/100)/(1+BK12/100))^0.5,BJ10*Time!$F$15^0.5)</f>
        <v>2008.47717860633</v>
      </c>
      <c r="BL10" s="11" t="n">
        <f aca="false">CHOOSE(Inputs!$F$32,Inputs!$F$58*Time!$F$15^((Time!BL17-0.5)/2),BK10*((1+BL13/100)/(1+BL12/100))^0.5,BK10*Time!$F$15^0.5)</f>
        <v>2059.89785628628</v>
      </c>
      <c r="BM10" s="11" t="n">
        <f aca="false">CHOOSE(Inputs!$F$32,Inputs!$F$58*Time!$F$15^((Time!BM17-0.5)/2),BL10*((1+BM13/100)/(1+BM12/100))^0.5,BL10*Time!$F$15^0.5)</f>
        <v>2112.63499706635</v>
      </c>
      <c r="BN10" s="11" t="n">
        <f aca="false">CHOOSE(Inputs!$F$32,Inputs!$F$58*Time!$F$15^((Time!BN17-0.5)/2),BM10*((1+BN13/100)/(1+BN12/100))^0.5,BM10*Time!$F$15^0.5)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526.006774366309</v>
      </c>
      <c r="K11" s="11" t="n">
        <f aca="false">K10/(1-Inputs!$F$42*Time!K34)</f>
        <v>539.473506819265</v>
      </c>
      <c r="L11" s="11" t="n">
        <f aca="false">L10/(1-Inputs!$F$42*Time!L34)</f>
        <v>553.285012175912</v>
      </c>
      <c r="M11" s="11" t="n">
        <f aca="false">M10/(1-Inputs!$F$42*Time!M34)</f>
        <v>567.450117251183</v>
      </c>
      <c r="N11" s="11" t="n">
        <f aca="false">N10/(1-Inputs!$F$42*Time!N34)</f>
        <v>581.977874842568</v>
      </c>
      <c r="O11" s="11" t="n">
        <f aca="false">O10/(1-Inputs!$F$42*Time!O34)</f>
        <v>596.877569515677</v>
      </c>
      <c r="P11" s="11" t="n">
        <f aca="false">P10/(1-Inputs!$F$42*Time!P34)</f>
        <v>612.158723537927</v>
      </c>
      <c r="Q11" s="11" t="n">
        <f aca="false">Q10/(1-Inputs!$F$42*Time!Q34)</f>
        <v>627.831102964142</v>
      </c>
      <c r="R11" s="11" t="n">
        <f aca="false">R10/(1-Inputs!$F$42*Time!R34)</f>
        <v>643.904723877956</v>
      </c>
      <c r="S11" s="11" t="n">
        <f aca="false">S10/(1-Inputs!$F$42*Time!S34)</f>
        <v>660.389858793006</v>
      </c>
      <c r="T11" s="11" t="n">
        <f aca="false">T10/(1-Inputs!$F$42*Time!T34)</f>
        <v>677.297043218007</v>
      </c>
      <c r="U11" s="11" t="n">
        <f aca="false">U10/(1-Inputs!$F$42*Time!U34)</f>
        <v>694.637082389903</v>
      </c>
      <c r="V11" s="11" t="n">
        <f aca="false">V10/(1-Inputs!$F$42*Time!V34)</f>
        <v>712.42105817941</v>
      </c>
      <c r="W11" s="11" t="n">
        <f aca="false">W10/(1-Inputs!$F$42*Time!W34)</f>
        <v>730.660336173333</v>
      </c>
      <c r="X11" s="11" t="n">
        <f aca="false">X10/(1-Inputs!$F$42*Time!X34)</f>
        <v>749.366572938224</v>
      </c>
      <c r="Y11" s="11" t="n">
        <f aca="false">Y10/(1-Inputs!$F$42*Time!Y34)</f>
        <v>768.551723469993</v>
      </c>
      <c r="Z11" s="11" t="n">
        <f aca="false">Z10/(1-Inputs!$F$42*Time!Z34)</f>
        <v>788.228048834238</v>
      </c>
      <c r="AA11" s="11" t="n">
        <f aca="false">AA10/(1-Inputs!$F$42*Time!AA34)</f>
        <v>808.408124002194</v>
      </c>
      <c r="AB11" s="11" t="n">
        <f aca="false">AB10/(1-Inputs!$F$42*Time!AB34)</f>
        <v>829.104845887285</v>
      </c>
      <c r="AC11" s="11" t="n">
        <f aca="false">AC10/(1-Inputs!$F$42*Time!AC34)</f>
        <v>850.331441587435</v>
      </c>
      <c r="AD11" s="11" t="n">
        <f aca="false">AD10/(1-Inputs!$F$42*Time!AD34)</f>
        <v>872.101476838387</v>
      </c>
      <c r="AE11" s="11" t="n">
        <f aca="false">AE10/(1-Inputs!$F$42*Time!AE34)</f>
        <v>894.428864683456</v>
      </c>
      <c r="AF11" s="11" t="n">
        <f aca="false">AF10/(1-Inputs!$F$42*Time!AF34)</f>
        <v>917.327874365231</v>
      </c>
      <c r="AG11" s="11" t="n">
        <f aca="false">AG10/(1-Inputs!$F$42*Time!AG34)</f>
        <v>940.813140444927</v>
      </c>
      <c r="AH11" s="11" t="n">
        <f aca="false">AH10/(1-Inputs!$F$42*Time!AH34)</f>
        <v>964.899672155209</v>
      </c>
      <c r="AI11" s="11" t="n">
        <f aca="false">AI10/(1-Inputs!$F$42*Time!AI34)</f>
        <v>989.602862992462</v>
      </c>
      <c r="AJ11" s="11" t="n">
        <f aca="false">AJ10/(1-Inputs!$F$42*Time!AJ34)</f>
        <v>1014.93850055465</v>
      </c>
      <c r="AK11" s="11" t="n">
        <f aca="false">AK10/(1-Inputs!$F$42*Time!AK34)</f>
        <v>1040.92277663101</v>
      </c>
      <c r="AL11" s="11" t="n">
        <f aca="false">AL10/(1-Inputs!$F$42*Time!AL34)</f>
        <v>1067.57229755014</v>
      </c>
      <c r="AM11" s="11" t="n">
        <f aca="false">AM10/(1-Inputs!$F$42*Time!AM34)</f>
        <v>1094.9040947929</v>
      </c>
      <c r="AN11" s="11" t="n">
        <f aca="false">AN10/(1-Inputs!$F$42*Time!AN34)</f>
        <v>1122.93563587711</v>
      </c>
      <c r="AO11" s="11" t="n">
        <f aca="false">AO10/(1-Inputs!$F$42*Time!AO34)</f>
        <v>1151.6848355209</v>
      </c>
      <c r="AP11" s="11" t="n">
        <f aca="false">AP10/(1-Inputs!$F$42*Time!AP34)</f>
        <v>1181.17006709187</v>
      </c>
      <c r="AQ11" s="11" t="n">
        <f aca="false">AQ10/(1-Inputs!$F$42*Time!AQ34)</f>
        <v>1211.41017434929</v>
      </c>
      <c r="AR11" s="11" t="n">
        <f aca="false">AR10/(1-Inputs!$F$42*Time!AR34)</f>
        <v>1242.42448348704</v>
      </c>
      <c r="AS11" s="11" t="n">
        <f aca="false">AS10/(1-Inputs!$F$42*Time!AS34)</f>
        <v>1274.23281548482</v>
      </c>
      <c r="AT11" s="11" t="n">
        <f aca="false">AT10/(1-Inputs!$F$42*Time!AT34)</f>
        <v>1306.85549877551</v>
      </c>
      <c r="AU11" s="11" t="n">
        <f aca="false">AU10/(1-Inputs!$F$42*Time!AU34)</f>
        <v>1340.31338223697</v>
      </c>
      <c r="AV11" s="11" t="n">
        <f aca="false">AV10/(1-Inputs!$F$42*Time!AV34)</f>
        <v>1374.62784851631</v>
      </c>
      <c r="AW11" s="11" t="n">
        <f aca="false">AW10/(1-Inputs!$F$42*Time!AW34)</f>
        <v>1409.82082769544</v>
      </c>
      <c r="AX11" s="11" t="n">
        <f aca="false">AX10/(1-Inputs!$F$42*Time!AX34)</f>
        <v>1445.9148113063</v>
      </c>
      <c r="AY11" s="11" t="n">
        <f aca="false">AY10/(1-Inputs!$F$42*Time!AY34)</f>
        <v>1482.93286670508</v>
      </c>
      <c r="AZ11" s="11" t="n">
        <f aca="false">AZ10/(1-Inputs!$F$42*Time!AZ34)</f>
        <v>1520.89865181436</v>
      </c>
      <c r="BA11" s="11" t="n">
        <f aca="false">BA10/(1-Inputs!$F$42*Time!BA34)</f>
        <v>1559.83643024263</v>
      </c>
      <c r="BB11" s="11" t="n">
        <f aca="false">BB10/(1-Inputs!$F$42*Time!BB34)</f>
        <v>1599.77108679103</v>
      </c>
      <c r="BC11" s="11" t="n">
        <f aca="false">BC10/(1-Inputs!$F$42*Time!BC34)</f>
        <v>1640.72814335697</v>
      </c>
      <c r="BD11" s="11" t="n">
        <f aca="false">BD10/(1-Inputs!$F$42*Time!BD34)</f>
        <v>1682.73377524497</v>
      </c>
      <c r="BE11" s="11" t="n">
        <f aca="false">BE10/(1-Inputs!$F$42*Time!BE34)</f>
        <v>1725.81482789505</v>
      </c>
      <c r="BF11" s="11" t="n">
        <f aca="false">BF10/(1-Inputs!$F$42*Time!BF34)</f>
        <v>1769.99883403947</v>
      </c>
      <c r="BG11" s="11" t="n">
        <f aca="false">BG10/(1-Inputs!$F$42*Time!BG34)</f>
        <v>1815.31403129861</v>
      </c>
      <c r="BH11" s="11" t="n">
        <f aca="false">BH10/(1-Inputs!$F$42*Time!BH34)</f>
        <v>1861.78938022743</v>
      </c>
      <c r="BI11" s="11" t="n">
        <f aca="false">BI10/(1-Inputs!$F$42*Time!BI34)</f>
        <v>1909.45458282388</v>
      </c>
      <c r="BJ11" s="11" t="n">
        <f aca="false">BJ10/(1-Inputs!$F$42*Time!BJ34)</f>
        <v>1958.34010151124</v>
      </c>
      <c r="BK11" s="11" t="n">
        <f aca="false">BK10/(1-Inputs!$F$42*Time!BK34)</f>
        <v>2008.47717860633</v>
      </c>
      <c r="BL11" s="11" t="n">
        <f aca="false">BL10/(1-Inputs!$F$42*Time!BL34)</f>
        <v>2059.89785628628</v>
      </c>
      <c r="BM11" s="11" t="n">
        <f aca="false">BM10/(1-Inputs!$F$42*Time!BM34)</f>
        <v>2112.63499706635</v>
      </c>
      <c r="BN11" s="11" t="n">
        <f aca="false">BN10/(1-Inputs!$F$42*Time!BN34)</f>
        <v>2166.72230480211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2.2</v>
      </c>
      <c r="K12" s="11" t="n">
        <f aca="false">CHOOSE(Inputs!$F$32,INDEX(Inputs!$J$204:$AR$204,1,(Time!K21-0)-2014),INDEX(Inputs!$J$206:$AR$206,1,(Time!K21-0)-2014),INDEX(Inputs!$J$208:$AR$208,1,(Time!K21-0)-2014))</f>
        <v>2.2</v>
      </c>
      <c r="L12" s="11" t="n">
        <f aca="false">CHOOSE(Inputs!$F$32,INDEX(Inputs!$J$204:$AR$204,1,(Time!L21-0)-2014),INDEX(Inputs!$J$206:$AR$206,1,(Time!L21-0)-2014),INDEX(Inputs!$J$208:$AR$208,1,(Time!L21-0)-2014))</f>
        <v>2.2</v>
      </c>
      <c r="M12" s="11" t="n">
        <f aca="false">CHOOSE(Inputs!$F$32,INDEX(Inputs!$J$204:$AR$204,1,(Time!M21-0)-2014),INDEX(Inputs!$J$206:$AR$206,1,(Time!M21-0)-2014),INDEX(Inputs!$J$208:$AR$208,1,(Time!M21-0)-2014))</f>
        <v>2.2</v>
      </c>
      <c r="N12" s="11" t="n">
        <f aca="false">CHOOSE(Inputs!$F$32,INDEX(Inputs!$J$204:$AR$204,1,(Time!N21-0)-2014),INDEX(Inputs!$J$206:$AR$206,1,(Time!N21-0)-2014),INDEX(Inputs!$J$208:$AR$208,1,(Time!N21-0)-2014))</f>
        <v>2.2</v>
      </c>
      <c r="O12" s="11" t="n">
        <f aca="false">CHOOSE(Inputs!$F$32,INDEX(Inputs!$J$204:$AR$204,1,(Time!O21-0)-2014),INDEX(Inputs!$J$206:$AR$206,1,(Time!O21-0)-2014),INDEX(Inputs!$J$208:$AR$208,1,(Time!O21-0)-2014))</f>
        <v>2.2</v>
      </c>
      <c r="P12" s="11" t="n">
        <f aca="false">CHOOSE(Inputs!$F$32,INDEX(Inputs!$J$204:$AR$204,1,(Time!P21-0)-2014),INDEX(Inputs!$J$206:$AR$206,1,(Time!P21-0)-2014),INDEX(Inputs!$J$208:$AR$208,1,(Time!P21-0)-2014))</f>
        <v>2.2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7.5</v>
      </c>
      <c r="K13" s="11" t="n">
        <f aca="false">CHOOSE(Inputs!$F$32,INDEX(Inputs!$J$205:$AR$205,1,(Time!K21-0)-2014),INDEX(Inputs!$J$207:$AR$207,1,(Time!K21-0)-2014),INDEX(Inputs!$J$209:$AR$209,1,(Time!K21-0)-2014))</f>
        <v>7.5</v>
      </c>
      <c r="L13" s="11" t="n">
        <f aca="false">CHOOSE(Inputs!$F$32,INDEX(Inputs!$J$205:$AR$205,1,(Time!L21-0)-2014),INDEX(Inputs!$J$207:$AR$207,1,(Time!L21-0)-2014),INDEX(Inputs!$J$209:$AR$209,1,(Time!L21-0)-2014))</f>
        <v>7.5</v>
      </c>
      <c r="M13" s="11" t="n">
        <f aca="false">CHOOSE(Inputs!$F$32,INDEX(Inputs!$J$205:$AR$205,1,(Time!M21-0)-2014),INDEX(Inputs!$J$207:$AR$207,1,(Time!M21-0)-2014),INDEX(Inputs!$J$209:$AR$209,1,(Time!M21-0)-2014))</f>
        <v>7.5</v>
      </c>
      <c r="N13" s="11" t="n">
        <f aca="false">CHOOSE(Inputs!$F$32,INDEX(Inputs!$J$205:$AR$205,1,(Time!N21-0)-2014),INDEX(Inputs!$J$207:$AR$207,1,(Time!N21-0)-2014),INDEX(Inputs!$J$209:$AR$209,1,(Time!N21-0)-2014))</f>
        <v>7.5</v>
      </c>
      <c r="O13" s="11" t="n">
        <f aca="false">CHOOSE(Inputs!$F$32,INDEX(Inputs!$J$205:$AR$205,1,(Time!O21-0)-2014),INDEX(Inputs!$J$207:$AR$207,1,(Time!O21-0)-2014),INDEX(Inputs!$J$209:$AR$209,1,(Time!O21-0)-2014))</f>
        <v>7.5</v>
      </c>
      <c r="P13" s="11" t="n">
        <f aca="false">CHOOSE(Inputs!$F$32,INDEX(Inputs!$J$205:$AR$205,1,(Time!P21-0)-2014),INDEX(Inputs!$J$207:$AR$207,1,(Time!P21-0)-2014),INDEX(Inputs!$J$209:$AR$209,1,(Time!P21-0)-2014))</f>
        <v>7.5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2.2</v>
      </c>
      <c r="L14" s="11" t="n">
        <f aca="false">CHOOSE(Inputs!$F$32,INDEX(Inputs!$J$204:$AR$204,1,(Time!L21-1)-2014),INDEX(Inputs!$J$206:$AR$206,1,(Time!L21-1)-2014),INDEX(Inputs!$J$208:$AR$208,1,(Time!L21-1)-2014))</f>
        <v>2.2</v>
      </c>
      <c r="M14" s="11" t="n">
        <f aca="false">CHOOSE(Inputs!$F$32,INDEX(Inputs!$J$204:$AR$204,1,(Time!M21-1)-2014),INDEX(Inputs!$J$206:$AR$206,1,(Time!M21-1)-2014),INDEX(Inputs!$J$208:$AR$208,1,(Time!M21-1)-2014))</f>
        <v>2.2</v>
      </c>
      <c r="N14" s="11" t="n">
        <f aca="false">CHOOSE(Inputs!$F$32,INDEX(Inputs!$J$204:$AR$204,1,(Time!N21-1)-2014),INDEX(Inputs!$J$206:$AR$206,1,(Time!N21-1)-2014),INDEX(Inputs!$J$208:$AR$208,1,(Time!N21-1)-2014))</f>
        <v>2.2</v>
      </c>
      <c r="O14" s="11" t="n">
        <f aca="false">CHOOSE(Inputs!$F$32,INDEX(Inputs!$J$204:$AR$204,1,(Time!O21-1)-2014),INDEX(Inputs!$J$206:$AR$206,1,(Time!O21-1)-2014),INDEX(Inputs!$J$208:$AR$208,1,(Time!O21-1)-2014))</f>
        <v>2.2</v>
      </c>
      <c r="P14" s="11" t="n">
        <f aca="false">CHOOSE(Inputs!$F$32,INDEX(Inputs!$J$204:$AR$204,1,(Time!P21-1)-2014),INDEX(Inputs!$J$206:$AR$206,1,(Time!P21-1)-2014),INDEX(Inputs!$J$208:$AR$208,1,(Time!P21-1)-2014))</f>
        <v>2.2</v>
      </c>
      <c r="Q14" s="11" t="n">
        <f aca="false">CHOOSE(Inputs!$F$32,INDEX(Inputs!$J$204:$AR$204,1,(Time!Q21-1)-2014),INDEX(Inputs!$J$206:$AR$206,1,(Time!Q21-1)-2014),INDEX(Inputs!$J$208:$AR$208,1,(Time!Q21-1)-2014))</f>
        <v>2.2</v>
      </c>
      <c r="R14" s="11" t="n">
        <f aca="false">CHOOSE(Inputs!$F$32,INDEX(Inputs!$J$204:$AR$204,1,(Time!R21-1)-2014),INDEX(Inputs!$J$206:$AR$206,1,(Time!R21-1)-2014),INDEX(Inputs!$J$208:$AR$208,1,(Time!R21-1)-2014))</f>
        <v>2.2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7.5</v>
      </c>
      <c r="L15" s="11" t="n">
        <f aca="false">CHOOSE(Inputs!$F$32,INDEX(Inputs!$J$205:$AR$205,1,(Time!L21-1)-2014),INDEX(Inputs!$J$207:$AR$207,1,(Time!L21-1)-2014),INDEX(Inputs!$J$209:$AR$209,1,(Time!L21-1)-2014))</f>
        <v>7.5</v>
      </c>
      <c r="M15" s="11" t="n">
        <f aca="false">CHOOSE(Inputs!$F$32,INDEX(Inputs!$J$205:$AR$205,1,(Time!M21-1)-2014),INDEX(Inputs!$J$207:$AR$207,1,(Time!M21-1)-2014),INDEX(Inputs!$J$209:$AR$209,1,(Time!M21-1)-2014))</f>
        <v>7.5</v>
      </c>
      <c r="N15" s="11" t="n">
        <f aca="false">CHOOSE(Inputs!$F$32,INDEX(Inputs!$J$205:$AR$205,1,(Time!N21-1)-2014),INDEX(Inputs!$J$207:$AR$207,1,(Time!N21-1)-2014),INDEX(Inputs!$J$209:$AR$209,1,(Time!N21-1)-2014))</f>
        <v>7.5</v>
      </c>
      <c r="O15" s="11" t="n">
        <f aca="false">CHOOSE(Inputs!$F$32,INDEX(Inputs!$J$205:$AR$205,1,(Time!O21-1)-2014),INDEX(Inputs!$J$207:$AR$207,1,(Time!O21-1)-2014),INDEX(Inputs!$J$209:$AR$209,1,(Time!O21-1)-2014))</f>
        <v>7.5</v>
      </c>
      <c r="P15" s="11" t="n">
        <f aca="false">CHOOSE(Inputs!$F$32,INDEX(Inputs!$J$205:$AR$205,1,(Time!P21-1)-2014),INDEX(Inputs!$J$207:$AR$207,1,(Time!P21-1)-2014),INDEX(Inputs!$J$209:$AR$209,1,(Time!P21-1)-2014))</f>
        <v>7.5</v>
      </c>
      <c r="Q15" s="11" t="n">
        <f aca="false">CHOOSE(Inputs!$F$32,INDEX(Inputs!$J$205:$AR$205,1,(Time!Q21-1)-2014),INDEX(Inputs!$J$207:$AR$207,1,(Time!Q21-1)-2014),INDEX(Inputs!$J$209:$AR$209,1,(Time!Q21-1)-2014))</f>
        <v>7.5</v>
      </c>
      <c r="R15" s="11" t="n">
        <f aca="false">CHOOSE(Inputs!$F$32,INDEX(Inputs!$J$205:$AR$205,1,(Time!R21-1)-2014),INDEX(Inputs!$J$207:$AR$207,1,(Time!R21-1)-2014),INDEX(Inputs!$J$209:$AR$209,1,(Time!R21-1)-2014))</f>
        <v>7.5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103.328147613562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102.76753032111</v>
      </c>
      <c r="K18" s="11" t="n">
        <f aca="false">J17</f>
        <v>103.89182318471</v>
      </c>
      <c r="L18" s="11" t="n">
        <f aca="false">K17</f>
        <v>105.028415988175</v>
      </c>
      <c r="M18" s="11" t="n">
        <f aca="false">L17</f>
        <v>106.177443294773</v>
      </c>
      <c r="N18" s="11" t="n">
        <f aca="false">M17</f>
        <v>107.339041139915</v>
      </c>
      <c r="O18" s="11" t="n">
        <f aca="false">N17</f>
        <v>108.513347047258</v>
      </c>
      <c r="P18" s="11" t="n">
        <f aca="false">O17</f>
        <v>109.700500044993</v>
      </c>
      <c r="Q18" s="11" t="n">
        <f aca="false">P17</f>
        <v>110.900640682298</v>
      </c>
      <c r="R18" s="11" t="n">
        <f aca="false">Q17</f>
        <v>112.113911045983</v>
      </c>
      <c r="S18" s="11" t="n">
        <f aca="false">R17</f>
        <v>113.340454777308</v>
      </c>
      <c r="T18" s="11" t="n">
        <f aca="false">S17</f>
        <v>114.580417088994</v>
      </c>
      <c r="U18" s="11" t="n">
        <f aca="false">T17</f>
        <v>115.833944782409</v>
      </c>
      <c r="V18" s="11" t="n">
        <f aca="false">U17</f>
        <v>117.101186264952</v>
      </c>
      <c r="W18" s="11" t="n">
        <f aca="false">V17</f>
        <v>118.382291567622</v>
      </c>
      <c r="X18" s="11" t="n">
        <f aca="false">W17</f>
        <v>119.677412362781</v>
      </c>
      <c r="Y18" s="11" t="n">
        <f aca="false">X17</f>
        <v>120.98670198211</v>
      </c>
      <c r="Z18" s="11" t="n">
        <f aca="false">Y17</f>
        <v>122.310315434762</v>
      </c>
      <c r="AA18" s="11" t="n">
        <f aca="false">Z17</f>
        <v>123.648409425716</v>
      </c>
      <c r="AB18" s="11" t="n">
        <f aca="false">AA17</f>
        <v>125.001142374327</v>
      </c>
      <c r="AC18" s="11" t="n">
        <f aca="false">AB17</f>
        <v>126.368674433082</v>
      </c>
      <c r="AD18" s="11" t="n">
        <f aca="false">AC17</f>
        <v>127.751167506562</v>
      </c>
      <c r="AE18" s="11" t="n">
        <f aca="false">AD17</f>
        <v>129.14878527061</v>
      </c>
      <c r="AF18" s="11" t="n">
        <f aca="false">AE17</f>
        <v>130.561693191706</v>
      </c>
      <c r="AG18" s="11" t="n">
        <f aca="false">AF17</f>
        <v>131.990058546563</v>
      </c>
      <c r="AH18" s="11" t="n">
        <f aca="false">AG17</f>
        <v>133.434050441924</v>
      </c>
      <c r="AI18" s="11" t="n">
        <f aca="false">AH17</f>
        <v>134.893839834587</v>
      </c>
      <c r="AJ18" s="11" t="n">
        <f aca="false">AI17</f>
        <v>136.369599551646</v>
      </c>
      <c r="AK18" s="11" t="n">
        <f aca="false">AJ17</f>
        <v>137.861504310948</v>
      </c>
      <c r="AL18" s="11" t="n">
        <f aca="false">AK17</f>
        <v>139.369730741782</v>
      </c>
      <c r="AM18" s="11" t="n">
        <f aca="false">AL17</f>
        <v>140.894457405789</v>
      </c>
      <c r="AN18" s="11" t="n">
        <f aca="false">AM17</f>
        <v>142.435864818102</v>
      </c>
      <c r="AO18" s="11" t="n">
        <f aca="false">AN17</f>
        <v>143.994135468717</v>
      </c>
      <c r="AP18" s="11" t="n">
        <f aca="false">AO17</f>
        <v>145.5694538441</v>
      </c>
      <c r="AQ18" s="11" t="n">
        <f aca="false">AP17</f>
        <v>147.162006449028</v>
      </c>
      <c r="AR18" s="11" t="n">
        <f aca="false">AQ17</f>
        <v>148.77198182867</v>
      </c>
      <c r="AS18" s="11" t="n">
        <f aca="false">AR17</f>
        <v>150.399570590907</v>
      </c>
      <c r="AT18" s="11" t="n">
        <f aca="false">AS17</f>
        <v>152.044965428901</v>
      </c>
      <c r="AU18" s="11" t="n">
        <f aca="false">AT17</f>
        <v>153.708361143907</v>
      </c>
      <c r="AV18" s="11" t="n">
        <f aca="false">AU17</f>
        <v>155.389954668337</v>
      </c>
      <c r="AW18" s="11" t="n">
        <f aca="false">AV17</f>
        <v>157.089945089073</v>
      </c>
      <c r="AX18" s="11" t="n">
        <f aca="false">AW17</f>
        <v>158.80853367104</v>
      </c>
      <c r="AY18" s="11" t="n">
        <f aca="false">AX17</f>
        <v>160.545923881032</v>
      </c>
      <c r="AZ18" s="11" t="n">
        <f aca="false">AY17</f>
        <v>162.302321411803</v>
      </c>
      <c r="BA18" s="11" t="n">
        <f aca="false">AZ17</f>
        <v>164.077934206415</v>
      </c>
      <c r="BB18" s="11" t="n">
        <f aca="false">BA17</f>
        <v>165.872972482862</v>
      </c>
      <c r="BC18" s="11" t="n">
        <f aca="false">BB17</f>
        <v>167.687648758956</v>
      </c>
      <c r="BD18" s="11" t="n">
        <f aca="false">BC17</f>
        <v>169.522177877485</v>
      </c>
      <c r="BE18" s="11" t="n">
        <f aca="false">BD17</f>
        <v>171.376777031653</v>
      </c>
      <c r="BF18" s="11" t="n">
        <f aca="false">BE17</f>
        <v>173.25166579079</v>
      </c>
      <c r="BG18" s="11" t="n">
        <f aca="false">BF17</f>
        <v>175.147066126349</v>
      </c>
      <c r="BH18" s="11" t="n">
        <f aca="false">BG17</f>
        <v>177.063202438187</v>
      </c>
      <c r="BI18" s="11" t="n">
        <f aca="false">BH17</f>
        <v>179.000301581129</v>
      </c>
      <c r="BJ18" s="11" t="n">
        <f aca="false">BI17</f>
        <v>180.958592891827</v>
      </c>
      <c r="BK18" s="11" t="n">
        <f aca="false">BJ17</f>
        <v>182.938308215914</v>
      </c>
      <c r="BL18" s="11" t="n">
        <f aca="false">BK17</f>
        <v>184.939681935447</v>
      </c>
      <c r="BM18" s="11" t="n">
        <f aca="false">BL17</f>
        <v>186.962950996664</v>
      </c>
      <c r="BN18" s="11" t="n">
        <f aca="false">BM17</f>
        <v>189.008354938027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112.922730143092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110.899414562338</v>
      </c>
      <c r="K22" s="11" t="n">
        <f aca="false">J21</f>
        <v>114.982960309515</v>
      </c>
      <c r="L22" s="11" t="n">
        <f aca="false">K21</f>
        <v>119.216870654513</v>
      </c>
      <c r="M22" s="11" t="n">
        <f aca="false">L21</f>
        <v>123.606682332728</v>
      </c>
      <c r="N22" s="11" t="n">
        <f aca="false">M21</f>
        <v>128.158135953601</v>
      </c>
      <c r="O22" s="11" t="n">
        <f aca="false">N21</f>
        <v>132.877183507683</v>
      </c>
      <c r="P22" s="11" t="n">
        <f aca="false">O21</f>
        <v>137.769996150121</v>
      </c>
      <c r="Q22" s="11" t="n">
        <f aca="false">P21</f>
        <v>142.842972270759</v>
      </c>
      <c r="R22" s="11" t="n">
        <f aca="false">Q21</f>
        <v>148.102745861381</v>
      </c>
      <c r="S22" s="11" t="n">
        <f aca="false">R21</f>
        <v>153.556195191066</v>
      </c>
      <c r="T22" s="11" t="n">
        <f aca="false">S21</f>
        <v>159.210451800984</v>
      </c>
      <c r="U22" s="11" t="n">
        <f aca="false">T21</f>
        <v>165.072909830396</v>
      </c>
      <c r="V22" s="11" t="n">
        <f aca="false">U21</f>
        <v>171.151235686058</v>
      </c>
      <c r="W22" s="11" t="n">
        <f aca="false">V21</f>
        <v>177.453378067675</v>
      </c>
      <c r="X22" s="11" t="n">
        <f aca="false">W21</f>
        <v>183.987578362512</v>
      </c>
      <c r="Y22" s="11" t="n">
        <f aca="false">X21</f>
        <v>190.762381422751</v>
      </c>
      <c r="Z22" s="11" t="n">
        <f aca="false">Y21</f>
        <v>197.786646739701</v>
      </c>
      <c r="AA22" s="11" t="n">
        <f aca="false">Z21</f>
        <v>205.069560029457</v>
      </c>
      <c r="AB22" s="11" t="n">
        <f aca="false">AA21</f>
        <v>212.620645245178</v>
      </c>
      <c r="AC22" s="11" t="n">
        <f aca="false">AB21</f>
        <v>220.449777031667</v>
      </c>
      <c r="AD22" s="11" t="n">
        <f aca="false">AC21</f>
        <v>228.567193638566</v>
      </c>
      <c r="AE22" s="11" t="n">
        <f aca="false">AD21</f>
        <v>236.983510309042</v>
      </c>
      <c r="AF22" s="11" t="n">
        <f aca="false">AE21</f>
        <v>245.709733161459</v>
      </c>
      <c r="AG22" s="11" t="n">
        <f aca="false">AF21</f>
        <v>254.75727358222</v>
      </c>
      <c r="AH22" s="11" t="n">
        <f aca="false">AG21</f>
        <v>264.137963148568</v>
      </c>
      <c r="AI22" s="11" t="n">
        <f aca="false">AH21</f>
        <v>273.864069100886</v>
      </c>
      <c r="AJ22" s="11" t="n">
        <f aca="false">AI21</f>
        <v>283.948310384711</v>
      </c>
      <c r="AK22" s="11" t="n">
        <f aca="false">AJ21</f>
        <v>294.403874283453</v>
      </c>
      <c r="AL22" s="11" t="n">
        <f aca="false">AK21</f>
        <v>305.244433663564</v>
      </c>
      <c r="AM22" s="11" t="n">
        <f aca="false">AL21</f>
        <v>316.484164854711</v>
      </c>
      <c r="AN22" s="11" t="n">
        <f aca="false">AM21</f>
        <v>328.137766188331</v>
      </c>
      <c r="AO22" s="11" t="n">
        <f aca="false">AN21</f>
        <v>340.220477218815</v>
      </c>
      <c r="AP22" s="11" t="n">
        <f aca="false">AO21</f>
        <v>352.748098652456</v>
      </c>
      <c r="AQ22" s="11" t="n">
        <f aca="false">AP21</f>
        <v>365.737013010226</v>
      </c>
      <c r="AR22" s="11" t="n">
        <f aca="false">AQ21</f>
        <v>379.20420605139</v>
      </c>
      <c r="AS22" s="11" t="n">
        <f aca="false">AR21</f>
        <v>393.167288985993</v>
      </c>
      <c r="AT22" s="11" t="n">
        <f aca="false">AS21</f>
        <v>407.644521505245</v>
      </c>
      <c r="AU22" s="11" t="n">
        <f aca="false">AT21</f>
        <v>422.654835659942</v>
      </c>
      <c r="AV22" s="11" t="n">
        <f aca="false">AU21</f>
        <v>438.217860618138</v>
      </c>
      <c r="AW22" s="11" t="n">
        <f aca="false">AV21</f>
        <v>454.353948334438</v>
      </c>
      <c r="AX22" s="11" t="n">
        <f aca="false">AW21</f>
        <v>471.084200164498</v>
      </c>
      <c r="AY22" s="11" t="n">
        <f aca="false">AX21</f>
        <v>488.430494459521</v>
      </c>
      <c r="AZ22" s="11" t="n">
        <f aca="false">AY21</f>
        <v>506.415515176835</v>
      </c>
      <c r="BA22" s="11" t="n">
        <f aca="false">AZ21</f>
        <v>525.062781543984</v>
      </c>
      <c r="BB22" s="11" t="n">
        <f aca="false">BA21</f>
        <v>544.396678815098</v>
      </c>
      <c r="BC22" s="11" t="n">
        <f aca="false">BB21</f>
        <v>564.442490159783</v>
      </c>
      <c r="BD22" s="11" t="n">
        <f aca="false">BC21</f>
        <v>585.22642972623</v>
      </c>
      <c r="BE22" s="11" t="n">
        <f aca="false">BD21</f>
        <v>606.775676921767</v>
      </c>
      <c r="BF22" s="11" t="n">
        <f aca="false">BE21</f>
        <v>629.118411955697</v>
      </c>
      <c r="BG22" s="11" t="n">
        <f aca="false">BF21</f>
        <v>652.283852690899</v>
      </c>
      <c r="BH22" s="11" t="n">
        <f aca="false">BG21</f>
        <v>676.302292852375</v>
      </c>
      <c r="BI22" s="11" t="n">
        <f aca="false">BH21</f>
        <v>701.205141642717</v>
      </c>
      <c r="BJ22" s="11" t="n">
        <f aca="false">BI21</f>
        <v>727.024964816303</v>
      </c>
      <c r="BK22" s="11" t="n">
        <f aca="false">BJ21</f>
        <v>753.79552726592</v>
      </c>
      <c r="BL22" s="11" t="n">
        <f aca="false">BK21</f>
        <v>781.551837177525</v>
      </c>
      <c r="BM22" s="11" t="n">
        <f aca="false">BL21</f>
        <v>810.330191810864</v>
      </c>
      <c r="BN22" s="11" t="n">
        <f aca="false">BM21</f>
        <v>840.168224965839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1</v>
      </c>
      <c r="S25" s="9" t="n">
        <f aca="false">INT(Time!S27/12)+1</f>
        <v>2</v>
      </c>
      <c r="T25" s="9" t="n">
        <f aca="false">INT(Time!T27/12)+1</f>
        <v>2</v>
      </c>
      <c r="U25" s="9" t="n">
        <f aca="false">INT(Time!U27/12)+1</f>
        <v>3</v>
      </c>
      <c r="V25" s="9" t="n">
        <f aca="false">INT(Time!V27/12)+1</f>
        <v>3</v>
      </c>
      <c r="W25" s="9" t="n">
        <f aca="false">INT(Time!W27/12)+1</f>
        <v>4</v>
      </c>
      <c r="X25" s="9" t="n">
        <f aca="false">INT(Time!X27/12)+1</f>
        <v>4</v>
      </c>
      <c r="Y25" s="9" t="n">
        <f aca="false">INT(Time!Y27/12)+1</f>
        <v>5</v>
      </c>
      <c r="Z25" s="9" t="n">
        <f aca="false">INT(Time!Z27/12)+1</f>
        <v>5</v>
      </c>
      <c r="AA25" s="9" t="n">
        <f aca="false">INT(Time!AA27/12)+1</f>
        <v>6</v>
      </c>
      <c r="AB25" s="9" t="n">
        <f aca="false">INT(Time!AB27/12)+1</f>
        <v>6</v>
      </c>
      <c r="AC25" s="9" t="n">
        <f aca="false">INT(Time!AC27/12)+1</f>
        <v>7</v>
      </c>
      <c r="AD25" s="9" t="n">
        <f aca="false">INT(Time!AD27/12)+1</f>
        <v>7</v>
      </c>
      <c r="AE25" s="9" t="n">
        <f aca="false">INT(Time!AE27/12)+1</f>
        <v>8</v>
      </c>
      <c r="AF25" s="9" t="n">
        <f aca="false">INT(Time!AF27/12)+1</f>
        <v>8</v>
      </c>
      <c r="AG25" s="9" t="n">
        <f aca="false">INT(Time!AG27/12)+1</f>
        <v>9</v>
      </c>
      <c r="AH25" s="9" t="n">
        <f aca="false">INT(Time!AH27/12)+1</f>
        <v>9</v>
      </c>
      <c r="AI25" s="9" t="n">
        <f aca="false">INT(Time!AI27/12)+1</f>
        <v>10</v>
      </c>
      <c r="AJ25" s="9" t="n">
        <f aca="false">INT(Time!AJ27/12)+1</f>
        <v>10</v>
      </c>
      <c r="AK25" s="9" t="n">
        <f aca="false">INT(Time!AK27/12)+1</f>
        <v>11</v>
      </c>
      <c r="AL25" s="9" t="n">
        <f aca="false">INT(Time!AL27/12)+1</f>
        <v>11</v>
      </c>
      <c r="AM25" s="9" t="n">
        <f aca="false">INT(Time!AM27/12)+1</f>
        <v>12</v>
      </c>
      <c r="AN25" s="9" t="n">
        <f aca="false">INT(Time!AN27/12)+1</f>
        <v>12</v>
      </c>
      <c r="AO25" s="9" t="n">
        <f aca="false">INT(Time!AO27/12)+1</f>
        <v>13</v>
      </c>
      <c r="AP25" s="9" t="n">
        <f aca="false">INT(Time!AP27/12)+1</f>
        <v>13</v>
      </c>
      <c r="AQ25" s="9" t="n">
        <f aca="false">INT(Time!AQ27/12)+1</f>
        <v>14</v>
      </c>
      <c r="AR25" s="9" t="n">
        <f aca="false">INT(Time!AR27/12)+1</f>
        <v>14</v>
      </c>
      <c r="AS25" s="9" t="n">
        <f aca="false">INT(Time!AS27/12)+1</f>
        <v>15</v>
      </c>
      <c r="AT25" s="9" t="n">
        <f aca="false">INT(Time!AT27/12)+1</f>
        <v>15</v>
      </c>
      <c r="AU25" s="9" t="n">
        <f aca="false">INT(Time!AU27/12)+1</f>
        <v>16</v>
      </c>
      <c r="AV25" s="9" t="n">
        <f aca="false">INT(Time!AV27/12)+1</f>
        <v>16</v>
      </c>
      <c r="AW25" s="9" t="n">
        <f aca="false">INT(Time!AW27/12)+1</f>
        <v>17</v>
      </c>
      <c r="AX25" s="9" t="n">
        <f aca="false">INT(Time!AX27/12)+1</f>
        <v>17</v>
      </c>
      <c r="AY25" s="9" t="n">
        <f aca="false">INT(Time!AY27/12)+1</f>
        <v>18</v>
      </c>
      <c r="AZ25" s="9" t="n">
        <f aca="false">INT(Time!AZ27/12)+1</f>
        <v>18</v>
      </c>
      <c r="BA25" s="9" t="n">
        <f aca="false">INT(Time!BA27/12)+1</f>
        <v>19</v>
      </c>
      <c r="BB25" s="9" t="n">
        <f aca="false">INT(Time!BB27/12)+1</f>
        <v>19</v>
      </c>
      <c r="BC25" s="9" t="n">
        <f aca="false">INT(Time!BC27/12)+1</f>
        <v>20</v>
      </c>
      <c r="BD25" s="9" t="n">
        <f aca="false">INT(Time!BD27/12)+1</f>
        <v>20</v>
      </c>
      <c r="BE25" s="9" t="n">
        <f aca="false">INT(Time!BE27/12)+1</f>
        <v>21</v>
      </c>
      <c r="BF25" s="9" t="n">
        <f aca="false">INT(Time!BF27/12)+1</f>
        <v>21</v>
      </c>
      <c r="BG25" s="9" t="n">
        <f aca="false">INT(Time!BG27/12)+1</f>
        <v>22</v>
      </c>
      <c r="BH25" s="9" t="n">
        <f aca="false">INT(Time!BH27/12)+1</f>
        <v>22</v>
      </c>
      <c r="BI25" s="9" t="n">
        <f aca="false">INT(Time!BI27/12)+1</f>
        <v>23</v>
      </c>
      <c r="BJ25" s="9" t="n">
        <f aca="false">INT(Time!BJ27/12)+1</f>
        <v>23</v>
      </c>
      <c r="BK25" s="9" t="n">
        <f aca="false">INT(Time!BK27/12)+1</f>
        <v>24</v>
      </c>
      <c r="BL25" s="9" t="n">
        <f aca="false">INT(Time!BL27/12)+1</f>
        <v>24</v>
      </c>
      <c r="BM25" s="9" t="n">
        <f aca="false">INT(Time!BM27/12)+1</f>
        <v>25</v>
      </c>
      <c r="BN25" s="9" t="n">
        <f aca="false">INT(Time!BN27/12)+1</f>
        <v>25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0</v>
      </c>
      <c r="P26" s="9" t="n">
        <f aca="false">MIN(Time!P28,P25*12)-Time!P27</f>
        <v>2</v>
      </c>
      <c r="Q26" s="9" t="n">
        <f aca="false">MIN(Time!Q28,Q25*12)-Time!Q27</f>
        <v>6</v>
      </c>
      <c r="R26" s="9" t="n">
        <f aca="false">MIN(Time!R28,R25*12)-Time!R27</f>
        <v>4</v>
      </c>
      <c r="S26" s="9" t="n">
        <f aca="false">MIN(Time!S28,S25*12)-Time!S27</f>
        <v>6</v>
      </c>
      <c r="T26" s="9" t="n">
        <f aca="false">MIN(Time!T28,T25*12)-Time!T27</f>
        <v>4</v>
      </c>
      <c r="U26" s="9" t="n">
        <f aca="false">MIN(Time!U28,U25*12)-Time!U27</f>
        <v>6</v>
      </c>
      <c r="V26" s="9" t="n">
        <f aca="false">MIN(Time!V28,V25*12)-Time!V27</f>
        <v>4</v>
      </c>
      <c r="W26" s="9" t="n">
        <f aca="false">MIN(Time!W28,W25*12)-Time!W27</f>
        <v>6</v>
      </c>
      <c r="X26" s="9" t="n">
        <f aca="false">MIN(Time!X28,X25*12)-Time!X27</f>
        <v>4</v>
      </c>
      <c r="Y26" s="9" t="n">
        <f aca="false">MIN(Time!Y28,Y25*12)-Time!Y27</f>
        <v>6</v>
      </c>
      <c r="Z26" s="9" t="n">
        <f aca="false">MIN(Time!Z28,Z25*12)-Time!Z27</f>
        <v>4</v>
      </c>
      <c r="AA26" s="9" t="n">
        <f aca="false">MIN(Time!AA28,AA25*12)-Time!AA27</f>
        <v>6</v>
      </c>
      <c r="AB26" s="9" t="n">
        <f aca="false">MIN(Time!AB28,AB25*12)-Time!AB27</f>
        <v>4</v>
      </c>
      <c r="AC26" s="9" t="n">
        <f aca="false">MIN(Time!AC28,AC25*12)-Time!AC27</f>
        <v>6</v>
      </c>
      <c r="AD26" s="9" t="n">
        <f aca="false">MIN(Time!AD28,AD25*12)-Time!AD27</f>
        <v>4</v>
      </c>
      <c r="AE26" s="9" t="n">
        <f aca="false">MIN(Time!AE28,AE25*12)-Time!AE27</f>
        <v>6</v>
      </c>
      <c r="AF26" s="9" t="n">
        <f aca="false">MIN(Time!AF28,AF25*12)-Time!AF27</f>
        <v>4</v>
      </c>
      <c r="AG26" s="9" t="n">
        <f aca="false">MIN(Time!AG28,AG25*12)-Time!AG27</f>
        <v>6</v>
      </c>
      <c r="AH26" s="9" t="n">
        <f aca="false">MIN(Time!AH28,AH25*12)-Time!AH27</f>
        <v>4</v>
      </c>
      <c r="AI26" s="9" t="n">
        <f aca="false">MIN(Time!AI28,AI25*12)-Time!AI27</f>
        <v>6</v>
      </c>
      <c r="AJ26" s="9" t="n">
        <f aca="false">MIN(Time!AJ28,AJ25*12)-Time!AJ27</f>
        <v>4</v>
      </c>
      <c r="AK26" s="9" t="n">
        <f aca="false">MIN(Time!AK28,AK25*12)-Time!AK27</f>
        <v>6</v>
      </c>
      <c r="AL26" s="9" t="n">
        <f aca="false">MIN(Time!AL28,AL25*12)-Time!AL27</f>
        <v>4</v>
      </c>
      <c r="AM26" s="9" t="n">
        <f aca="false">MIN(Time!AM28,AM25*12)-Time!AM27</f>
        <v>6</v>
      </c>
      <c r="AN26" s="9" t="n">
        <f aca="false">MIN(Time!AN28,AN25*12)-Time!AN27</f>
        <v>4</v>
      </c>
      <c r="AO26" s="9" t="n">
        <f aca="false">MIN(Time!AO28,AO25*12)-Time!AO27</f>
        <v>6</v>
      </c>
      <c r="AP26" s="9" t="n">
        <f aca="false">MIN(Time!AP28,AP25*12)-Time!AP27</f>
        <v>4</v>
      </c>
      <c r="AQ26" s="9" t="n">
        <f aca="false">MIN(Time!AQ28,AQ25*12)-Time!AQ27</f>
        <v>6</v>
      </c>
      <c r="AR26" s="9" t="n">
        <f aca="false">MIN(Time!AR28,AR25*12)-Time!AR27</f>
        <v>4</v>
      </c>
      <c r="AS26" s="9" t="n">
        <f aca="false">MIN(Time!AS28,AS25*12)-Time!AS27</f>
        <v>6</v>
      </c>
      <c r="AT26" s="9" t="n">
        <f aca="false">MIN(Time!AT28,AT25*12)-Time!AT27</f>
        <v>4</v>
      </c>
      <c r="AU26" s="9" t="n">
        <f aca="false">MIN(Time!AU28,AU25*12)-Time!AU27</f>
        <v>6</v>
      </c>
      <c r="AV26" s="9" t="n">
        <f aca="false">MIN(Time!AV28,AV25*12)-Time!AV27</f>
        <v>4</v>
      </c>
      <c r="AW26" s="9" t="n">
        <f aca="false">MIN(Time!AW28,AW25*12)-Time!AW27</f>
        <v>6</v>
      </c>
      <c r="AX26" s="9" t="n">
        <f aca="false">MIN(Time!AX28,AX25*12)-Time!AX27</f>
        <v>4</v>
      </c>
      <c r="AY26" s="9" t="n">
        <f aca="false">MIN(Time!AY28,AY25*12)-Time!AY27</f>
        <v>6</v>
      </c>
      <c r="AZ26" s="9" t="n">
        <f aca="false">MIN(Time!AZ28,AZ25*12)-Time!AZ27</f>
        <v>4</v>
      </c>
      <c r="BA26" s="9" t="n">
        <f aca="false">MIN(Time!BA28,BA25*12)-Time!BA27</f>
        <v>6</v>
      </c>
      <c r="BB26" s="9" t="n">
        <f aca="false">MIN(Time!BB28,BB25*12)-Time!BB27</f>
        <v>4</v>
      </c>
      <c r="BC26" s="9" t="n">
        <f aca="false">MIN(Time!BC28,BC25*12)-Time!BC27</f>
        <v>6</v>
      </c>
      <c r="BD26" s="9" t="n">
        <f aca="false">MIN(Time!BD28,BD25*12)-Time!BD27</f>
        <v>4</v>
      </c>
      <c r="BE26" s="9" t="n">
        <f aca="false">MIN(Time!BE28,BE25*12)-Time!BE27</f>
        <v>6</v>
      </c>
      <c r="BF26" s="9" t="n">
        <f aca="false">MIN(Time!BF28,BF25*12)-Time!BF27</f>
        <v>4</v>
      </c>
      <c r="BG26" s="9" t="n">
        <f aca="false">MIN(Time!BG28,BG25*12)-Time!BG27</f>
        <v>6</v>
      </c>
      <c r="BH26" s="9" t="n">
        <f aca="false">MIN(Time!BH28,BH25*12)-Time!BH27</f>
        <v>4</v>
      </c>
      <c r="BI26" s="9" t="n">
        <f aca="false">MIN(Time!BI28,BI25*12)-Time!BI27</f>
        <v>6</v>
      </c>
      <c r="BJ26" s="9" t="n">
        <f aca="false">MIN(Time!BJ28,BJ25*12)-Time!BJ27</f>
        <v>4</v>
      </c>
      <c r="BK26" s="9" t="n">
        <f aca="false">MIN(Time!BK28,BK25*12)-Time!BK27</f>
        <v>6</v>
      </c>
      <c r="BL26" s="9" t="n">
        <f aca="false">MIN(Time!BL28,BL25*12)-Time!BL27</f>
        <v>4</v>
      </c>
      <c r="BM26" s="9" t="n">
        <f aca="false">MIN(Time!BM28,BM25*12)-Time!BM27</f>
        <v>6</v>
      </c>
      <c r="BN26" s="9" t="n">
        <f aca="false">MIN(Time!BN28,BN25*12)-Time!BN27</f>
        <v>4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0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93.8</v>
      </c>
      <c r="R27" s="11" t="n">
        <f aca="false">IF(Time!R25&gt;0,(R26*INDEX(Inputs!$J$223:$Q$223,1,MOD(R25-1,8)+1)+(Time!R25-R26)*INDEX(Inputs!$J$223:$Q$223,1,MOD(R25,8)+1))/Time!R25,0)</f>
        <v>93.5</v>
      </c>
      <c r="S27" s="11" t="n">
        <f aca="false">IF(Time!S25&gt;0,(S26*INDEX(Inputs!$J$223:$Q$223,1,MOD(S25-1,8)+1)+(Time!S25-S26)*INDEX(Inputs!$J$223:$Q$223,1,MOD(S25,8)+1))/Time!S25,0)</f>
        <v>92.9</v>
      </c>
      <c r="T27" s="11" t="n">
        <f aca="false">IF(Time!T25&gt;0,(T26*INDEX(Inputs!$J$223:$Q$223,1,MOD(T25-1,8)+1)+(Time!T25-T26)*INDEX(Inputs!$J$223:$Q$223,1,MOD(T25,8)+1))/Time!T25,0)</f>
        <v>93.2</v>
      </c>
      <c r="U27" s="11" t="n">
        <f aca="false">IF(Time!U25&gt;0,(U26*INDEX(Inputs!$J$223:$Q$223,1,MOD(U25-1,8)+1)+(Time!U25-U26)*INDEX(Inputs!$J$223:$Q$223,1,MOD(U25,8)+1))/Time!U25,0)</f>
        <v>93.8</v>
      </c>
      <c r="V27" s="11" t="n">
        <f aca="false">IF(Time!V25&gt;0,(V26*INDEX(Inputs!$J$223:$Q$223,1,MOD(V25-1,8)+1)+(Time!V25-V26)*INDEX(Inputs!$J$223:$Q$223,1,MOD(V25,8)+1))/Time!V25,0)</f>
        <v>92.7333333333333</v>
      </c>
      <c r="W27" s="11" t="n">
        <f aca="false">IF(Time!W25&gt;0,(W26*INDEX(Inputs!$J$223:$Q$223,1,MOD(W25-1,8)+1)+(Time!W25-W26)*INDEX(Inputs!$J$223:$Q$223,1,MOD(W25,8)+1))/Time!W25,0)</f>
        <v>90.6</v>
      </c>
      <c r="X27" s="11" t="n">
        <f aca="false">IF(Time!X25&gt;0,(X26*INDEX(Inputs!$J$223:$Q$223,1,MOD(X25-1,8)+1)+(Time!X25-X26)*INDEX(Inputs!$J$223:$Q$223,1,MOD(X25,8)+1))/Time!X25,0)</f>
        <v>91.6666666666667</v>
      </c>
      <c r="Y27" s="11" t="n">
        <f aca="false">IF(Time!Y25&gt;0,(Y26*INDEX(Inputs!$J$223:$Q$223,1,MOD(Y25-1,8)+1)+(Time!Y25-Y26)*INDEX(Inputs!$J$223:$Q$223,1,MOD(Y25,8)+1))/Time!Y25,0)</f>
        <v>93.8</v>
      </c>
      <c r="Z27" s="11" t="n">
        <f aca="false">IF(Time!Z25&gt;0,(Z26*INDEX(Inputs!$J$223:$Q$223,1,MOD(Z25-1,8)+1)+(Time!Z25-Z26)*INDEX(Inputs!$J$223:$Q$223,1,MOD(Z25,8)+1))/Time!Z25,0)</f>
        <v>93.5</v>
      </c>
      <c r="AA27" s="11" t="n">
        <f aca="false">IF(Time!AA25&gt;0,(AA26*INDEX(Inputs!$J$223:$Q$223,1,MOD(AA25-1,8)+1)+(Time!AA25-AA26)*INDEX(Inputs!$J$223:$Q$223,1,MOD(AA25,8)+1))/Time!AA25,0)</f>
        <v>92.9</v>
      </c>
      <c r="AB27" s="11" t="n">
        <f aca="false">IF(Time!AB25&gt;0,(AB26*INDEX(Inputs!$J$223:$Q$223,1,MOD(AB25-1,8)+1)+(Time!AB25-AB26)*INDEX(Inputs!$J$223:$Q$223,1,MOD(AB25,8)+1))/Time!AB25,0)</f>
        <v>93.2</v>
      </c>
      <c r="AC27" s="11" t="n">
        <f aca="false">IF(Time!AC25&gt;0,(AC26*INDEX(Inputs!$J$223:$Q$223,1,MOD(AC25-1,8)+1)+(Time!AC25-AC26)*INDEX(Inputs!$J$223:$Q$223,1,MOD(AC25,8)+1))/Time!AC25,0)</f>
        <v>93.8</v>
      </c>
      <c r="AD27" s="11" t="n">
        <f aca="false">IF(Time!AD25&gt;0,(AD26*INDEX(Inputs!$J$223:$Q$223,1,MOD(AD25-1,8)+1)+(Time!AD25-AD26)*INDEX(Inputs!$J$223:$Q$223,1,MOD(AD25,8)+1))/Time!AD25,0)</f>
        <v>92.1</v>
      </c>
      <c r="AE27" s="11" t="n">
        <f aca="false">IF(Time!AE25&gt;0,(AE26*INDEX(Inputs!$J$223:$Q$223,1,MOD(AE25-1,8)+1)+(Time!AE25-AE26)*INDEX(Inputs!$J$223:$Q$223,1,MOD(AE25,8)+1))/Time!AE25,0)</f>
        <v>88.7</v>
      </c>
      <c r="AF27" s="11" t="n">
        <f aca="false">IF(Time!AF25&gt;0,(AF26*INDEX(Inputs!$J$223:$Q$223,1,MOD(AF25-1,8)+1)+(Time!AF25-AF26)*INDEX(Inputs!$J$223:$Q$223,1,MOD(AF25,8)+1))/Time!AF25,0)</f>
        <v>90.4</v>
      </c>
      <c r="AG27" s="11" t="n">
        <f aca="false">IF(Time!AG25&gt;0,(AG26*INDEX(Inputs!$J$223:$Q$223,1,MOD(AG25-1,8)+1)+(Time!AG25-AG26)*INDEX(Inputs!$J$223:$Q$223,1,MOD(AG25,8)+1))/Time!AG25,0)</f>
        <v>93.8</v>
      </c>
      <c r="AH27" s="11" t="n">
        <f aca="false">IF(Time!AH25&gt;0,(AH26*INDEX(Inputs!$J$223:$Q$223,1,MOD(AH25-1,8)+1)+(Time!AH25-AH26)*INDEX(Inputs!$J$223:$Q$223,1,MOD(AH25,8)+1))/Time!AH25,0)</f>
        <v>93.5</v>
      </c>
      <c r="AI27" s="11" t="n">
        <f aca="false">IF(Time!AI25&gt;0,(AI26*INDEX(Inputs!$J$223:$Q$223,1,MOD(AI25-1,8)+1)+(Time!AI25-AI26)*INDEX(Inputs!$J$223:$Q$223,1,MOD(AI25,8)+1))/Time!AI25,0)</f>
        <v>92.9</v>
      </c>
      <c r="AJ27" s="11" t="n">
        <f aca="false">IF(Time!AJ25&gt;0,(AJ26*INDEX(Inputs!$J$223:$Q$223,1,MOD(AJ25-1,8)+1)+(Time!AJ25-AJ26)*INDEX(Inputs!$J$223:$Q$223,1,MOD(AJ25,8)+1))/Time!AJ25,0)</f>
        <v>93.2</v>
      </c>
      <c r="AK27" s="11" t="n">
        <f aca="false">IF(Time!AK25&gt;0,(AK26*INDEX(Inputs!$J$223:$Q$223,1,MOD(AK25-1,8)+1)+(Time!AK25-AK26)*INDEX(Inputs!$J$223:$Q$223,1,MOD(AK25,8)+1))/Time!AK25,0)</f>
        <v>93.8</v>
      </c>
      <c r="AL27" s="11" t="n">
        <f aca="false">IF(Time!AL25&gt;0,(AL26*INDEX(Inputs!$J$223:$Q$223,1,MOD(AL25-1,8)+1)+(Time!AL25-AL26)*INDEX(Inputs!$J$223:$Q$223,1,MOD(AL25,8)+1))/Time!AL25,0)</f>
        <v>92.7333333333333</v>
      </c>
      <c r="AM27" s="11" t="n">
        <f aca="false">IF(Time!AM25&gt;0,(AM26*INDEX(Inputs!$J$223:$Q$223,1,MOD(AM25-1,8)+1)+(Time!AM25-AM26)*INDEX(Inputs!$J$223:$Q$223,1,MOD(AM25,8)+1))/Time!AM25,0)</f>
        <v>90.6</v>
      </c>
      <c r="AN27" s="11" t="n">
        <f aca="false">IF(Time!AN25&gt;0,(AN26*INDEX(Inputs!$J$223:$Q$223,1,MOD(AN25-1,8)+1)+(Time!AN25-AN26)*INDEX(Inputs!$J$223:$Q$223,1,MOD(AN25,8)+1))/Time!AN25,0)</f>
        <v>91.6666666666667</v>
      </c>
      <c r="AO27" s="11" t="n">
        <f aca="false">IF(Time!AO25&gt;0,(AO26*INDEX(Inputs!$J$223:$Q$223,1,MOD(AO25-1,8)+1)+(Time!AO25-AO26)*INDEX(Inputs!$J$223:$Q$223,1,MOD(AO25,8)+1))/Time!AO25,0)</f>
        <v>93.8</v>
      </c>
      <c r="AP27" s="11" t="n">
        <f aca="false">IF(Time!AP25&gt;0,(AP26*INDEX(Inputs!$J$223:$Q$223,1,MOD(AP25-1,8)+1)+(Time!AP25-AP26)*INDEX(Inputs!$J$223:$Q$223,1,MOD(AP25,8)+1))/Time!AP25,0)</f>
        <v>93.5</v>
      </c>
      <c r="AQ27" s="11" t="n">
        <f aca="false">IF(Time!AQ25&gt;0,(AQ26*INDEX(Inputs!$J$223:$Q$223,1,MOD(AQ25-1,8)+1)+(Time!AQ25-AQ26)*INDEX(Inputs!$J$223:$Q$223,1,MOD(AQ25,8)+1))/Time!AQ25,0)</f>
        <v>92.9</v>
      </c>
      <c r="AR27" s="11" t="n">
        <f aca="false">IF(Time!AR25&gt;0,(AR26*INDEX(Inputs!$J$223:$Q$223,1,MOD(AR25-1,8)+1)+(Time!AR25-AR26)*INDEX(Inputs!$J$223:$Q$223,1,MOD(AR25,8)+1))/Time!AR25,0)</f>
        <v>93.2</v>
      </c>
      <c r="AS27" s="11" t="n">
        <f aca="false">IF(Time!AS25&gt;0,(AS26*INDEX(Inputs!$J$223:$Q$223,1,MOD(AS25-1,8)+1)+(Time!AS25-AS26)*INDEX(Inputs!$J$223:$Q$223,1,MOD(AS25,8)+1))/Time!AS25,0)</f>
        <v>93.8</v>
      </c>
      <c r="AT27" s="11" t="n">
        <f aca="false">IF(Time!AT25&gt;0,(AT26*INDEX(Inputs!$J$223:$Q$223,1,MOD(AT25-1,8)+1)+(Time!AT25-AT26)*INDEX(Inputs!$J$223:$Q$223,1,MOD(AT25,8)+1))/Time!AT25,0)</f>
        <v>92.1</v>
      </c>
      <c r="AU27" s="11" t="n">
        <f aca="false">IF(Time!AU25&gt;0,(AU26*INDEX(Inputs!$J$223:$Q$223,1,MOD(AU25-1,8)+1)+(Time!AU25-AU26)*INDEX(Inputs!$J$223:$Q$223,1,MOD(AU25,8)+1))/Time!AU25,0)</f>
        <v>88.7</v>
      </c>
      <c r="AV27" s="11" t="n">
        <f aca="false">IF(Time!AV25&gt;0,(AV26*INDEX(Inputs!$J$223:$Q$223,1,MOD(AV25-1,8)+1)+(Time!AV25-AV26)*INDEX(Inputs!$J$223:$Q$223,1,MOD(AV25,8)+1))/Time!AV25,0)</f>
        <v>90.4</v>
      </c>
      <c r="AW27" s="11" t="n">
        <f aca="false">IF(Time!AW25&gt;0,(AW26*INDEX(Inputs!$J$223:$Q$223,1,MOD(AW25-1,8)+1)+(Time!AW25-AW26)*INDEX(Inputs!$J$223:$Q$223,1,MOD(AW25,8)+1))/Time!AW25,0)</f>
        <v>93.8</v>
      </c>
      <c r="AX27" s="11" t="n">
        <f aca="false">IF(Time!AX25&gt;0,(AX26*INDEX(Inputs!$J$223:$Q$223,1,MOD(AX25-1,8)+1)+(Time!AX25-AX26)*INDEX(Inputs!$J$223:$Q$223,1,MOD(AX25,8)+1))/Time!AX25,0)</f>
        <v>93.5</v>
      </c>
      <c r="AY27" s="11" t="n">
        <f aca="false">IF(Time!AY25&gt;0,(AY26*INDEX(Inputs!$J$223:$Q$223,1,MOD(AY25-1,8)+1)+(Time!AY25-AY26)*INDEX(Inputs!$J$223:$Q$223,1,MOD(AY25,8)+1))/Time!AY25,0)</f>
        <v>92.9</v>
      </c>
      <c r="AZ27" s="11" t="n">
        <f aca="false">IF(Time!AZ25&gt;0,(AZ26*INDEX(Inputs!$J$223:$Q$223,1,MOD(AZ25-1,8)+1)+(Time!AZ25-AZ26)*INDEX(Inputs!$J$223:$Q$223,1,MOD(AZ25,8)+1))/Time!AZ25,0)</f>
        <v>93.2</v>
      </c>
      <c r="BA27" s="11" t="n">
        <f aca="false">IF(Time!BA25&gt;0,(BA26*INDEX(Inputs!$J$223:$Q$223,1,MOD(BA25-1,8)+1)+(Time!BA25-BA26)*INDEX(Inputs!$J$223:$Q$223,1,MOD(BA25,8)+1))/Time!BA25,0)</f>
        <v>93.8</v>
      </c>
      <c r="BB27" s="11" t="n">
        <f aca="false">IF(Time!BB25&gt;0,(BB26*INDEX(Inputs!$J$223:$Q$223,1,MOD(BB25-1,8)+1)+(Time!BB25-BB26)*INDEX(Inputs!$J$223:$Q$223,1,MOD(BB25,8)+1))/Time!BB25,0)</f>
        <v>92.7333333333333</v>
      </c>
      <c r="BC27" s="11" t="n">
        <f aca="false">IF(Time!BC25&gt;0,(BC26*INDEX(Inputs!$J$223:$Q$223,1,MOD(BC25-1,8)+1)+(Time!BC25-BC26)*INDEX(Inputs!$J$223:$Q$223,1,MOD(BC25,8)+1))/Time!BC25,0)</f>
        <v>90.6</v>
      </c>
      <c r="BD27" s="11" t="n">
        <f aca="false">IF(Time!BD25&gt;0,(BD26*INDEX(Inputs!$J$223:$Q$223,1,MOD(BD25-1,8)+1)+(Time!BD25-BD26)*INDEX(Inputs!$J$223:$Q$223,1,MOD(BD25,8)+1))/Time!BD25,0)</f>
        <v>91.6666666666667</v>
      </c>
      <c r="BE27" s="11" t="n">
        <f aca="false">IF(Time!BE25&gt;0,(BE26*INDEX(Inputs!$J$223:$Q$223,1,MOD(BE25-1,8)+1)+(Time!BE25-BE26)*INDEX(Inputs!$J$223:$Q$223,1,MOD(BE25,8)+1))/Time!BE25,0)</f>
        <v>93.8</v>
      </c>
      <c r="BF27" s="11" t="n">
        <f aca="false">IF(Time!BF25&gt;0,(BF26*INDEX(Inputs!$J$223:$Q$223,1,MOD(BF25-1,8)+1)+(Time!BF25-BF26)*INDEX(Inputs!$J$223:$Q$223,1,MOD(BF25,8)+1))/Time!BF25,0)</f>
        <v>93.5</v>
      </c>
      <c r="BG27" s="11" t="n">
        <f aca="false">IF(Time!BG25&gt;0,(BG26*INDEX(Inputs!$J$223:$Q$223,1,MOD(BG25-1,8)+1)+(Time!BG25-BG26)*INDEX(Inputs!$J$223:$Q$223,1,MOD(BG25,8)+1))/Time!BG25,0)</f>
        <v>92.9</v>
      </c>
      <c r="BH27" s="11" t="n">
        <f aca="false">IF(Time!BH25&gt;0,(BH26*INDEX(Inputs!$J$223:$Q$223,1,MOD(BH25-1,8)+1)+(Time!BH25-BH26)*INDEX(Inputs!$J$223:$Q$223,1,MOD(BH25,8)+1))/Time!BH25,0)</f>
        <v>93.2</v>
      </c>
      <c r="BI27" s="11" t="n">
        <f aca="false">IF(Time!BI25&gt;0,(BI26*INDEX(Inputs!$J$223:$Q$223,1,MOD(BI25-1,8)+1)+(Time!BI25-BI26)*INDEX(Inputs!$J$223:$Q$223,1,MOD(BI25,8)+1))/Time!BI25,0)</f>
        <v>93.8</v>
      </c>
      <c r="BJ27" s="11" t="n">
        <f aca="false">IF(Time!BJ25&gt;0,(BJ26*INDEX(Inputs!$J$223:$Q$223,1,MOD(BJ25-1,8)+1)+(Time!BJ25-BJ26)*INDEX(Inputs!$J$223:$Q$223,1,MOD(BJ25,8)+1))/Time!BJ25,0)</f>
        <v>92.1</v>
      </c>
      <c r="BK27" s="11" t="n">
        <f aca="false">IF(Time!BK25&gt;0,(BK26*INDEX(Inputs!$J$223:$Q$223,1,MOD(BK25-1,8)+1)+(Time!BK25-BK26)*INDEX(Inputs!$J$223:$Q$223,1,MOD(BK25,8)+1))/Time!BK25,0)</f>
        <v>88.7</v>
      </c>
      <c r="BL27" s="11" t="n">
        <f aca="false">IF(Time!BL25&gt;0,(BL26*INDEX(Inputs!$J$223:$Q$223,1,MOD(BL25-1,8)+1)+(Time!BL25-BL26)*INDEX(Inputs!$J$223:$Q$223,1,MOD(BL25,8)+1))/Time!BL25,0)</f>
        <v>90.4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93.8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0</v>
      </c>
      <c r="P28" s="11" t="n">
        <f aca="false">IF(Time!P25&gt;0,P27+Inputs!$F$36,0)</f>
        <v>93.8</v>
      </c>
      <c r="Q28" s="11" t="n">
        <f aca="false">IF(Time!Q25&gt;0,Q27+Inputs!$F$36,0)</f>
        <v>93.8</v>
      </c>
      <c r="R28" s="11" t="n">
        <f aca="false">IF(Time!R25&gt;0,R27+Inputs!$F$36,0)</f>
        <v>93.5</v>
      </c>
      <c r="S28" s="11" t="n">
        <f aca="false">IF(Time!S25&gt;0,S27+Inputs!$F$36,0)</f>
        <v>92.9</v>
      </c>
      <c r="T28" s="11" t="n">
        <f aca="false">IF(Time!T25&gt;0,T27+Inputs!$F$36,0)</f>
        <v>93.2</v>
      </c>
      <c r="U28" s="11" t="n">
        <f aca="false">IF(Time!U25&gt;0,U27+Inputs!$F$36,0)</f>
        <v>93.8</v>
      </c>
      <c r="V28" s="11" t="n">
        <f aca="false">IF(Time!V25&gt;0,V27+Inputs!$F$36,0)</f>
        <v>92.7333333333333</v>
      </c>
      <c r="W28" s="11" t="n">
        <f aca="false">IF(Time!W25&gt;0,W27+Inputs!$F$36,0)</f>
        <v>90.6</v>
      </c>
      <c r="X28" s="11" t="n">
        <f aca="false">IF(Time!X25&gt;0,X27+Inputs!$F$36,0)</f>
        <v>91.6666666666667</v>
      </c>
      <c r="Y28" s="11" t="n">
        <f aca="false">IF(Time!Y25&gt;0,Y27+Inputs!$F$36,0)</f>
        <v>93.8</v>
      </c>
      <c r="Z28" s="11" t="n">
        <f aca="false">IF(Time!Z25&gt;0,Z27+Inputs!$F$36,0)</f>
        <v>93.5</v>
      </c>
      <c r="AA28" s="11" t="n">
        <f aca="false">IF(Time!AA25&gt;0,AA27+Inputs!$F$36,0)</f>
        <v>92.9</v>
      </c>
      <c r="AB28" s="11" t="n">
        <f aca="false">IF(Time!AB25&gt;0,AB27+Inputs!$F$36,0)</f>
        <v>93.2</v>
      </c>
      <c r="AC28" s="11" t="n">
        <f aca="false">IF(Time!AC25&gt;0,AC27+Inputs!$F$36,0)</f>
        <v>93.8</v>
      </c>
      <c r="AD28" s="11" t="n">
        <f aca="false">IF(Time!AD25&gt;0,AD27+Inputs!$F$36,0)</f>
        <v>92.1</v>
      </c>
      <c r="AE28" s="11" t="n">
        <f aca="false">IF(Time!AE25&gt;0,AE27+Inputs!$F$36,0)</f>
        <v>88.7</v>
      </c>
      <c r="AF28" s="11" t="n">
        <f aca="false">IF(Time!AF25&gt;0,AF27+Inputs!$F$36,0)</f>
        <v>90.4</v>
      </c>
      <c r="AG28" s="11" t="n">
        <f aca="false">IF(Time!AG25&gt;0,AG27+Inputs!$F$36,0)</f>
        <v>93.8</v>
      </c>
      <c r="AH28" s="11" t="n">
        <f aca="false">IF(Time!AH25&gt;0,AH27+Inputs!$F$36,0)</f>
        <v>93.5</v>
      </c>
      <c r="AI28" s="11" t="n">
        <f aca="false">IF(Time!AI25&gt;0,AI27+Inputs!$F$36,0)</f>
        <v>92.9</v>
      </c>
      <c r="AJ28" s="11" t="n">
        <f aca="false">IF(Time!AJ25&gt;0,AJ27+Inputs!$F$36,0)</f>
        <v>93.2</v>
      </c>
      <c r="AK28" s="11" t="n">
        <f aca="false">IF(Time!AK25&gt;0,AK27+Inputs!$F$36,0)</f>
        <v>93.8</v>
      </c>
      <c r="AL28" s="11" t="n">
        <f aca="false">IF(Time!AL25&gt;0,AL27+Inputs!$F$36,0)</f>
        <v>92.7333333333333</v>
      </c>
      <c r="AM28" s="11" t="n">
        <f aca="false">IF(Time!AM25&gt;0,AM27+Inputs!$F$36,0)</f>
        <v>90.6</v>
      </c>
      <c r="AN28" s="11" t="n">
        <f aca="false">IF(Time!AN25&gt;0,AN27+Inputs!$F$36,0)</f>
        <v>91.6666666666667</v>
      </c>
      <c r="AO28" s="11" t="n">
        <f aca="false">IF(Time!AO25&gt;0,AO27+Inputs!$F$36,0)</f>
        <v>93.8</v>
      </c>
      <c r="AP28" s="11" t="n">
        <f aca="false">IF(Time!AP25&gt;0,AP27+Inputs!$F$36,0)</f>
        <v>93.5</v>
      </c>
      <c r="AQ28" s="11" t="n">
        <f aca="false">IF(Time!AQ25&gt;0,AQ27+Inputs!$F$36,0)</f>
        <v>92.9</v>
      </c>
      <c r="AR28" s="11" t="n">
        <f aca="false">IF(Time!AR25&gt;0,AR27+Inputs!$F$36,0)</f>
        <v>93.2</v>
      </c>
      <c r="AS28" s="11" t="n">
        <f aca="false">IF(Time!AS25&gt;0,AS27+Inputs!$F$36,0)</f>
        <v>93.8</v>
      </c>
      <c r="AT28" s="11" t="n">
        <f aca="false">IF(Time!AT25&gt;0,AT27+Inputs!$F$36,0)</f>
        <v>92.1</v>
      </c>
      <c r="AU28" s="11" t="n">
        <f aca="false">IF(Time!AU25&gt;0,AU27+Inputs!$F$36,0)</f>
        <v>88.7</v>
      </c>
      <c r="AV28" s="11" t="n">
        <f aca="false">IF(Time!AV25&gt;0,AV27+Inputs!$F$36,0)</f>
        <v>90.4</v>
      </c>
      <c r="AW28" s="11" t="n">
        <f aca="false">IF(Time!AW25&gt;0,AW27+Inputs!$F$36,0)</f>
        <v>93.8</v>
      </c>
      <c r="AX28" s="11" t="n">
        <f aca="false">IF(Time!AX25&gt;0,AX27+Inputs!$F$36,0)</f>
        <v>93.5</v>
      </c>
      <c r="AY28" s="11" t="n">
        <f aca="false">IF(Time!AY25&gt;0,AY27+Inputs!$F$36,0)</f>
        <v>92.9</v>
      </c>
      <c r="AZ28" s="11" t="n">
        <f aca="false">IF(Time!AZ25&gt;0,AZ27+Inputs!$F$36,0)</f>
        <v>93.2</v>
      </c>
      <c r="BA28" s="11" t="n">
        <f aca="false">IF(Time!BA25&gt;0,BA27+Inputs!$F$36,0)</f>
        <v>93.8</v>
      </c>
      <c r="BB28" s="11" t="n">
        <f aca="false">IF(Time!BB25&gt;0,BB27+Inputs!$F$36,0)</f>
        <v>92.7333333333333</v>
      </c>
      <c r="BC28" s="11" t="n">
        <f aca="false">IF(Time!BC25&gt;0,BC27+Inputs!$F$36,0)</f>
        <v>90.6</v>
      </c>
      <c r="BD28" s="11" t="n">
        <f aca="false">IF(Time!BD25&gt;0,BD27+Inputs!$F$36,0)</f>
        <v>91.6666666666667</v>
      </c>
      <c r="BE28" s="11" t="n">
        <f aca="false">IF(Time!BE25&gt;0,BE27+Inputs!$F$36,0)</f>
        <v>93.8</v>
      </c>
      <c r="BF28" s="11" t="n">
        <f aca="false">IF(Time!BF25&gt;0,BF27+Inputs!$F$36,0)</f>
        <v>93.5</v>
      </c>
      <c r="BG28" s="11" t="n">
        <f aca="false">IF(Time!BG25&gt;0,BG27+Inputs!$F$36,0)</f>
        <v>92.9</v>
      </c>
      <c r="BH28" s="11" t="n">
        <f aca="false">IF(Time!BH25&gt;0,BH27+Inputs!$F$36,0)</f>
        <v>93.2</v>
      </c>
      <c r="BI28" s="11" t="n">
        <f aca="false">IF(Time!BI25&gt;0,BI27+Inputs!$F$36,0)</f>
        <v>93.8</v>
      </c>
      <c r="BJ28" s="11" t="n">
        <f aca="false">IF(Time!BJ25&gt;0,BJ27+Inputs!$F$36,0)</f>
        <v>92.1</v>
      </c>
      <c r="BK28" s="11" t="n">
        <f aca="false">IF(Time!BK25&gt;0,BK27+Inputs!$F$36,0)</f>
        <v>88.7</v>
      </c>
      <c r="BL28" s="11" t="n">
        <f aca="false">IF(Time!BL25&gt;0,BL27+Inputs!$F$36,0)</f>
        <v>90.4</v>
      </c>
      <c r="BM28" s="11" t="n">
        <f aca="false">IF(Time!BM25&gt;0,BM27+Inputs!$F$36,0)</f>
        <v>93.8</v>
      </c>
      <c r="BN28" s="11" t="n">
        <f aca="false">IF(Time!BN25&gt;0,BN27+Inputs!$F$36,0)</f>
        <v>93.8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</v>
      </c>
      <c r="P29" s="11" t="n">
        <f aca="false">IF(Time!P25&gt;0,(Time!P27+Time!P28)/24,0)</f>
        <v>0.0833333333333333</v>
      </c>
      <c r="Q29" s="11" t="n">
        <f aca="false">IF(Time!Q25&gt;0,(Time!Q27+Time!Q28)/24,0)</f>
        <v>0.416666666666667</v>
      </c>
      <c r="R29" s="11" t="n">
        <f aca="false">IF(Time!R25&gt;0,(Time!R27+Time!R28)/24,0)</f>
        <v>0.916666666666667</v>
      </c>
      <c r="S29" s="11" t="n">
        <f aca="false">IF(Time!S25&gt;0,(Time!S27+Time!S28)/24,0)</f>
        <v>1.41666666666667</v>
      </c>
      <c r="T29" s="11" t="n">
        <f aca="false">IF(Time!T25&gt;0,(Time!T27+Time!T28)/24,0)</f>
        <v>1.91666666666667</v>
      </c>
      <c r="U29" s="11" t="n">
        <f aca="false">IF(Time!U25&gt;0,(Time!U27+Time!U28)/24,0)</f>
        <v>2.41666666666667</v>
      </c>
      <c r="V29" s="11" t="n">
        <f aca="false">IF(Time!V25&gt;0,(Time!V27+Time!V28)/24,0)</f>
        <v>2.91666666666667</v>
      </c>
      <c r="W29" s="11" t="n">
        <f aca="false">IF(Time!W25&gt;0,(Time!W27+Time!W28)/24,0)</f>
        <v>3.41666666666667</v>
      </c>
      <c r="X29" s="11" t="n">
        <f aca="false">IF(Time!X25&gt;0,(Time!X27+Time!X28)/24,0)</f>
        <v>3.91666666666667</v>
      </c>
      <c r="Y29" s="11" t="n">
        <f aca="false">IF(Time!Y25&gt;0,(Time!Y27+Time!Y28)/24,0)</f>
        <v>4.41666666666667</v>
      </c>
      <c r="Z29" s="11" t="n">
        <f aca="false">IF(Time!Z25&gt;0,(Time!Z27+Time!Z28)/24,0)</f>
        <v>4.91666666666667</v>
      </c>
      <c r="AA29" s="11" t="n">
        <f aca="false">IF(Time!AA25&gt;0,(Time!AA27+Time!AA28)/24,0)</f>
        <v>5.41666666666667</v>
      </c>
      <c r="AB29" s="11" t="n">
        <f aca="false">IF(Time!AB25&gt;0,(Time!AB27+Time!AB28)/24,0)</f>
        <v>5.91666666666667</v>
      </c>
      <c r="AC29" s="11" t="n">
        <f aca="false">IF(Time!AC25&gt;0,(Time!AC27+Time!AC28)/24,0)</f>
        <v>6.41666666666667</v>
      </c>
      <c r="AD29" s="11" t="n">
        <f aca="false">IF(Time!AD25&gt;0,(Time!AD27+Time!AD28)/24,0)</f>
        <v>6.91666666666667</v>
      </c>
      <c r="AE29" s="11" t="n">
        <f aca="false">IF(Time!AE25&gt;0,(Time!AE27+Time!AE28)/24,0)</f>
        <v>7.41666666666667</v>
      </c>
      <c r="AF29" s="11" t="n">
        <f aca="false">IF(Time!AF25&gt;0,(Time!AF27+Time!AF28)/24,0)</f>
        <v>7.91666666666667</v>
      </c>
      <c r="AG29" s="11" t="n">
        <f aca="false">IF(Time!AG25&gt;0,(Time!AG27+Time!AG28)/24,0)</f>
        <v>8.41666666666667</v>
      </c>
      <c r="AH29" s="11" t="n">
        <f aca="false">IF(Time!AH25&gt;0,(Time!AH27+Time!AH28)/24,0)</f>
        <v>8.91666666666667</v>
      </c>
      <c r="AI29" s="11" t="n">
        <f aca="false">IF(Time!AI25&gt;0,(Time!AI27+Time!AI28)/24,0)</f>
        <v>9.41666666666667</v>
      </c>
      <c r="AJ29" s="11" t="n">
        <f aca="false">IF(Time!AJ25&gt;0,(Time!AJ27+Time!AJ28)/24,0)</f>
        <v>9.91666666666667</v>
      </c>
      <c r="AK29" s="11" t="n">
        <f aca="false">IF(Time!AK25&gt;0,(Time!AK27+Time!AK28)/24,0)</f>
        <v>10.4166666666667</v>
      </c>
      <c r="AL29" s="11" t="n">
        <f aca="false">IF(Time!AL25&gt;0,(Time!AL27+Time!AL28)/24,0)</f>
        <v>10.9166666666667</v>
      </c>
      <c r="AM29" s="11" t="n">
        <f aca="false">IF(Time!AM25&gt;0,(Time!AM27+Time!AM28)/24,0)</f>
        <v>11.4166666666667</v>
      </c>
      <c r="AN29" s="11" t="n">
        <f aca="false">IF(Time!AN25&gt;0,(Time!AN27+Time!AN28)/24,0)</f>
        <v>11.9166666666667</v>
      </c>
      <c r="AO29" s="11" t="n">
        <f aca="false">IF(Time!AO25&gt;0,(Time!AO27+Time!AO28)/24,0)</f>
        <v>12.4166666666667</v>
      </c>
      <c r="AP29" s="11" t="n">
        <f aca="false">IF(Time!AP25&gt;0,(Time!AP27+Time!AP28)/24,0)</f>
        <v>12.9166666666667</v>
      </c>
      <c r="AQ29" s="11" t="n">
        <f aca="false">IF(Time!AQ25&gt;0,(Time!AQ27+Time!AQ28)/24,0)</f>
        <v>13.4166666666667</v>
      </c>
      <c r="AR29" s="11" t="n">
        <f aca="false">IF(Time!AR25&gt;0,(Time!AR27+Time!AR28)/24,0)</f>
        <v>13.9166666666667</v>
      </c>
      <c r="AS29" s="11" t="n">
        <f aca="false">IF(Time!AS25&gt;0,(Time!AS27+Time!AS28)/24,0)</f>
        <v>14.4166666666667</v>
      </c>
      <c r="AT29" s="11" t="n">
        <f aca="false">IF(Time!AT25&gt;0,(Time!AT27+Time!AT28)/24,0)</f>
        <v>14.9166666666667</v>
      </c>
      <c r="AU29" s="11" t="n">
        <f aca="false">IF(Time!AU25&gt;0,(Time!AU27+Time!AU28)/24,0)</f>
        <v>15.4166666666667</v>
      </c>
      <c r="AV29" s="11" t="n">
        <f aca="false">IF(Time!AV25&gt;0,(Time!AV27+Time!AV28)/24,0)</f>
        <v>15.9166666666667</v>
      </c>
      <c r="AW29" s="11" t="n">
        <f aca="false">IF(Time!AW25&gt;0,(Time!AW27+Time!AW28)/24,0)</f>
        <v>16.4166666666667</v>
      </c>
      <c r="AX29" s="11" t="n">
        <f aca="false">IF(Time!AX25&gt;0,(Time!AX27+Time!AX28)/24,0)</f>
        <v>16.9166666666667</v>
      </c>
      <c r="AY29" s="11" t="n">
        <f aca="false">IF(Time!AY25&gt;0,(Time!AY27+Time!AY28)/24,0)</f>
        <v>17.4166666666667</v>
      </c>
      <c r="AZ29" s="11" t="n">
        <f aca="false">IF(Time!AZ25&gt;0,(Time!AZ27+Time!AZ28)/24,0)</f>
        <v>17.9166666666667</v>
      </c>
      <c r="BA29" s="11" t="n">
        <f aca="false">IF(Time!BA25&gt;0,(Time!BA27+Time!BA28)/24,0)</f>
        <v>18.4166666666667</v>
      </c>
      <c r="BB29" s="11" t="n">
        <f aca="false">IF(Time!BB25&gt;0,(Time!BB27+Time!BB28)/24,0)</f>
        <v>18.9166666666667</v>
      </c>
      <c r="BC29" s="11" t="n">
        <f aca="false">IF(Time!BC25&gt;0,(Time!BC27+Time!BC28)/24,0)</f>
        <v>19.4166666666667</v>
      </c>
      <c r="BD29" s="11" t="n">
        <f aca="false">IF(Time!BD25&gt;0,(Time!BD27+Time!BD28)/24,0)</f>
        <v>19.9166666666667</v>
      </c>
      <c r="BE29" s="11" t="n">
        <f aca="false">IF(Time!BE25&gt;0,(Time!BE27+Time!BE28)/24,0)</f>
        <v>20.4166666666667</v>
      </c>
      <c r="BF29" s="11" t="n">
        <f aca="false">IF(Time!BF25&gt;0,(Time!BF27+Time!BF28)/24,0)</f>
        <v>20.9166666666667</v>
      </c>
      <c r="BG29" s="11" t="n">
        <f aca="false">IF(Time!BG25&gt;0,(Time!BG27+Time!BG28)/24,0)</f>
        <v>21.4166666666667</v>
      </c>
      <c r="BH29" s="11" t="n">
        <f aca="false">IF(Time!BH25&gt;0,(Time!BH27+Time!BH28)/24,0)</f>
        <v>21.9166666666667</v>
      </c>
      <c r="BI29" s="11" t="n">
        <f aca="false">IF(Time!BI25&gt;0,(Time!BI27+Time!BI28)/24,0)</f>
        <v>22.4166666666667</v>
      </c>
      <c r="BJ29" s="11" t="n">
        <f aca="false">IF(Time!BJ25&gt;0,(Time!BJ27+Time!BJ28)/24,0)</f>
        <v>22.9166666666667</v>
      </c>
      <c r="BK29" s="11" t="n">
        <f aca="false">IF(Time!BK25&gt;0,(Time!BK27+Time!BK28)/24,0)</f>
        <v>23.4166666666667</v>
      </c>
      <c r="BL29" s="11" t="n">
        <f aca="false">IF(Time!BL25&gt;0,(Time!BL27+Time!BL28)/24,0)</f>
        <v>23.9166666666667</v>
      </c>
      <c r="BM29" s="11" t="n">
        <f aca="false">IF(Time!BM25&gt;0,(Time!BM27+Time!BM28)/24,0)</f>
        <v>24.4166666666667</v>
      </c>
      <c r="BN29" s="11" t="n">
        <f aca="false">IF(Time!BN25&gt;0,(Time!BN27+Time!BN28)/24,0)</f>
        <v>24.8333333333333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588.4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6261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0.99</v>
      </c>
      <c r="P32" s="11" t="n">
        <f aca="false">(1-Inputs!$F$123/100*P29)*(1-Inputs!$F$124/100)</f>
        <v>0.98987625</v>
      </c>
      <c r="Q32" s="11" t="n">
        <f aca="false">(1-Inputs!$F$123/100*Q29)*(1-Inputs!$F$124/100)</f>
        <v>0.98938125</v>
      </c>
      <c r="R32" s="11" t="n">
        <f aca="false">(1-Inputs!$F$123/100*R29)*(1-Inputs!$F$124/100)</f>
        <v>0.98863875</v>
      </c>
      <c r="S32" s="11" t="n">
        <f aca="false">(1-Inputs!$F$123/100*S29)*(1-Inputs!$F$124/100)</f>
        <v>0.98789625</v>
      </c>
      <c r="T32" s="11" t="n">
        <f aca="false">(1-Inputs!$F$123/100*T29)*(1-Inputs!$F$124/100)</f>
        <v>0.98715375</v>
      </c>
      <c r="U32" s="11" t="n">
        <f aca="false">(1-Inputs!$F$123/100*U29)*(1-Inputs!$F$124/100)</f>
        <v>0.98641125</v>
      </c>
      <c r="V32" s="11" t="n">
        <f aca="false">(1-Inputs!$F$123/100*V29)*(1-Inputs!$F$124/100)</f>
        <v>0.98566875</v>
      </c>
      <c r="W32" s="11" t="n">
        <f aca="false">(1-Inputs!$F$123/100*W29)*(1-Inputs!$F$124/100)</f>
        <v>0.98492625</v>
      </c>
      <c r="X32" s="11" t="n">
        <f aca="false">(1-Inputs!$F$123/100*X29)*(1-Inputs!$F$124/100)</f>
        <v>0.98418375</v>
      </c>
      <c r="Y32" s="11" t="n">
        <f aca="false">(1-Inputs!$F$123/100*Y29)*(1-Inputs!$F$124/100)</f>
        <v>0.98344125</v>
      </c>
      <c r="Z32" s="11" t="n">
        <f aca="false">(1-Inputs!$F$123/100*Z29)*(1-Inputs!$F$124/100)</f>
        <v>0.98269875</v>
      </c>
      <c r="AA32" s="11" t="n">
        <f aca="false">(1-Inputs!$F$123/100*AA29)*(1-Inputs!$F$124/100)</f>
        <v>0.98195625</v>
      </c>
      <c r="AB32" s="11" t="n">
        <f aca="false">(1-Inputs!$F$123/100*AB29)*(1-Inputs!$F$124/100)</f>
        <v>0.98121375</v>
      </c>
      <c r="AC32" s="11" t="n">
        <f aca="false">(1-Inputs!$F$123/100*AC29)*(1-Inputs!$F$124/100)</f>
        <v>0.98047125</v>
      </c>
      <c r="AD32" s="11" t="n">
        <f aca="false">(1-Inputs!$F$123/100*AD29)*(1-Inputs!$F$124/100)</f>
        <v>0.97972875</v>
      </c>
      <c r="AE32" s="11" t="n">
        <f aca="false">(1-Inputs!$F$123/100*AE29)*(1-Inputs!$F$124/100)</f>
        <v>0.97898625</v>
      </c>
      <c r="AF32" s="11" t="n">
        <f aca="false">(1-Inputs!$F$123/100*AF29)*(1-Inputs!$F$124/100)</f>
        <v>0.97824375</v>
      </c>
      <c r="AG32" s="11" t="n">
        <f aca="false">(1-Inputs!$F$123/100*AG29)*(1-Inputs!$F$124/100)</f>
        <v>0.97750125</v>
      </c>
      <c r="AH32" s="11" t="n">
        <f aca="false">(1-Inputs!$F$123/100*AH29)*(1-Inputs!$F$124/100)</f>
        <v>0.97675875</v>
      </c>
      <c r="AI32" s="11" t="n">
        <f aca="false">(1-Inputs!$F$123/100*AI29)*(1-Inputs!$F$124/100)</f>
        <v>0.97601625</v>
      </c>
      <c r="AJ32" s="11" t="n">
        <f aca="false">(1-Inputs!$F$123/100*AJ29)*(1-Inputs!$F$124/100)</f>
        <v>0.97527375</v>
      </c>
      <c r="AK32" s="11" t="n">
        <f aca="false">(1-Inputs!$F$123/100*AK29)*(1-Inputs!$F$124/100)</f>
        <v>0.97453125</v>
      </c>
      <c r="AL32" s="11" t="n">
        <f aca="false">(1-Inputs!$F$123/100*AL29)*(1-Inputs!$F$124/100)</f>
        <v>0.97378875</v>
      </c>
      <c r="AM32" s="11" t="n">
        <f aca="false">(1-Inputs!$F$123/100*AM29)*(1-Inputs!$F$124/100)</f>
        <v>0.97304625</v>
      </c>
      <c r="AN32" s="11" t="n">
        <f aca="false">(1-Inputs!$F$123/100*AN29)*(1-Inputs!$F$124/100)</f>
        <v>0.97230375</v>
      </c>
      <c r="AO32" s="11" t="n">
        <f aca="false">(1-Inputs!$F$123/100*AO29)*(1-Inputs!$F$124/100)</f>
        <v>0.97156125</v>
      </c>
      <c r="AP32" s="11" t="n">
        <f aca="false">(1-Inputs!$F$123/100*AP29)*(1-Inputs!$F$124/100)</f>
        <v>0.97081875</v>
      </c>
      <c r="AQ32" s="11" t="n">
        <f aca="false">(1-Inputs!$F$123/100*AQ29)*(1-Inputs!$F$124/100)</f>
        <v>0.97007625</v>
      </c>
      <c r="AR32" s="11" t="n">
        <f aca="false">(1-Inputs!$F$123/100*AR29)*(1-Inputs!$F$124/100)</f>
        <v>0.96933375</v>
      </c>
      <c r="AS32" s="11" t="n">
        <f aca="false">(1-Inputs!$F$123/100*AS29)*(1-Inputs!$F$124/100)</f>
        <v>0.96859125</v>
      </c>
      <c r="AT32" s="11" t="n">
        <f aca="false">(1-Inputs!$F$123/100*AT29)*(1-Inputs!$F$124/100)</f>
        <v>0.96784875</v>
      </c>
      <c r="AU32" s="11" t="n">
        <f aca="false">(1-Inputs!$F$123/100*AU29)*(1-Inputs!$F$124/100)</f>
        <v>0.96710625</v>
      </c>
      <c r="AV32" s="11" t="n">
        <f aca="false">(1-Inputs!$F$123/100*AV29)*(1-Inputs!$F$124/100)</f>
        <v>0.96636375</v>
      </c>
      <c r="AW32" s="11" t="n">
        <f aca="false">(1-Inputs!$F$123/100*AW29)*(1-Inputs!$F$124/100)</f>
        <v>0.96562125</v>
      </c>
      <c r="AX32" s="11" t="n">
        <f aca="false">(1-Inputs!$F$123/100*AX29)*(1-Inputs!$F$124/100)</f>
        <v>0.96487875</v>
      </c>
      <c r="AY32" s="11" t="n">
        <f aca="false">(1-Inputs!$F$123/100*AY29)*(1-Inputs!$F$124/100)</f>
        <v>0.96413625</v>
      </c>
      <c r="AZ32" s="11" t="n">
        <f aca="false">(1-Inputs!$F$123/100*AZ29)*(1-Inputs!$F$124/100)</f>
        <v>0.96339375</v>
      </c>
      <c r="BA32" s="11" t="n">
        <f aca="false">(1-Inputs!$F$123/100*BA29)*(1-Inputs!$F$124/100)</f>
        <v>0.96265125</v>
      </c>
      <c r="BB32" s="11" t="n">
        <f aca="false">(1-Inputs!$F$123/100*BB29)*(1-Inputs!$F$124/100)</f>
        <v>0.96190875</v>
      </c>
      <c r="BC32" s="11" t="n">
        <f aca="false">(1-Inputs!$F$123/100*BC29)*(1-Inputs!$F$124/100)</f>
        <v>0.96116625</v>
      </c>
      <c r="BD32" s="11" t="n">
        <f aca="false">(1-Inputs!$F$123/100*BD29)*(1-Inputs!$F$124/100)</f>
        <v>0.96042375</v>
      </c>
      <c r="BE32" s="11" t="n">
        <f aca="false">(1-Inputs!$F$123/100*BE29)*(1-Inputs!$F$124/100)</f>
        <v>0.95968125</v>
      </c>
      <c r="BF32" s="11" t="n">
        <f aca="false">(1-Inputs!$F$123/100*BF29)*(1-Inputs!$F$124/100)</f>
        <v>0.95893875</v>
      </c>
      <c r="BG32" s="11" t="n">
        <f aca="false">(1-Inputs!$F$123/100*BG29)*(1-Inputs!$F$124/100)</f>
        <v>0.95819625</v>
      </c>
      <c r="BH32" s="11" t="n">
        <f aca="false">(1-Inputs!$F$123/100*BH29)*(1-Inputs!$F$124/100)</f>
        <v>0.95745375</v>
      </c>
      <c r="BI32" s="11" t="n">
        <f aca="false">(1-Inputs!$F$123/100*BI29)*(1-Inputs!$F$124/100)</f>
        <v>0.95671125</v>
      </c>
      <c r="BJ32" s="11" t="n">
        <f aca="false">(1-Inputs!$F$123/100*BJ29)*(1-Inputs!$F$124/100)</f>
        <v>0.95596875</v>
      </c>
      <c r="BK32" s="11" t="n">
        <f aca="false">(1-Inputs!$F$123/100*BK29)*(1-Inputs!$F$124/100)</f>
        <v>0.95522625</v>
      </c>
      <c r="BL32" s="11" t="n">
        <f aca="false">(1-Inputs!$F$123/100*BL29)*(1-Inputs!$F$124/100)</f>
        <v>0.95448375</v>
      </c>
      <c r="BM32" s="11" t="n">
        <f aca="false">(1-Inputs!$F$123/100*BM29)*(1-Inputs!$F$124/100)</f>
        <v>0.95374125</v>
      </c>
      <c r="BN32" s="11" t="n">
        <f aca="false">(1-Inputs!$F$123/100*BN29)*(1-Inputs!$F$124/100)</f>
        <v>0.9531225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0</v>
      </c>
      <c r="P33" s="13" t="n">
        <f aca="false">$F$30*730*Time!P25*P28/100*Inputs!$F$37/100*P32</f>
        <v>610197.884664083</v>
      </c>
      <c r="Q33" s="13" t="n">
        <f aca="false">$F$30*730*Time!Q25*Q28/100*Inputs!$F$37/100*Q32</f>
        <v>1829678.24273885</v>
      </c>
      <c r="R33" s="13" t="n">
        <f aca="false">$F$30*730*Time!R25*R28/100*Inputs!$F$37/100*R32</f>
        <v>1822457.66810013</v>
      </c>
      <c r="S33" s="13" t="n">
        <f aca="false">$F$30*730*Time!S25*S28/100*Inputs!$F$37/100*S32</f>
        <v>1809402.81059825</v>
      </c>
      <c r="T33" s="13" t="n">
        <f aca="false">$F$30*730*Time!T25*T28/100*Inputs!$F$37/100*T32</f>
        <v>1813881.54310857</v>
      </c>
      <c r="U33" s="13" t="n">
        <f aca="false">$F$30*730*Time!U25*U28/100*Inputs!$F$37/100*U32</f>
        <v>1824185.77521843</v>
      </c>
      <c r="V33" s="13" t="n">
        <f aca="false">$F$30*730*Time!V25*V28/100*Inputs!$F$37/100*V32</f>
        <v>1802084.15618238</v>
      </c>
      <c r="W33" s="13" t="n">
        <f aca="false">$F$30*730*Time!W25*W28/100*Inputs!$F$37/100*W32</f>
        <v>1759300.87906306</v>
      </c>
      <c r="X33" s="13" t="n">
        <f aca="false">$F$30*730*Time!X25*X28/100*Inputs!$F$37/100*X32</f>
        <v>1778671.87902979</v>
      </c>
      <c r="Y33" s="13" t="n">
        <f aca="false">$F$30*730*Time!Y25*Y28/100*Inputs!$F$37/100*Y32</f>
        <v>1818693.30769801</v>
      </c>
      <c r="Z33" s="13" t="n">
        <f aca="false">$F$30*730*Time!Z25*Z28/100*Inputs!$F$37/100*Z32</f>
        <v>1811507.8661138</v>
      </c>
      <c r="AA33" s="13" t="n">
        <f aca="false">$F$30*730*Time!AA25*AA28/100*Inputs!$F$37/100*AA32</f>
        <v>1798523.27472092</v>
      </c>
      <c r="AB33" s="13" t="n">
        <f aca="false">$F$30*730*Time!AB25*AB28/100*Inputs!$F$37/100*AB32</f>
        <v>1802966.87417673</v>
      </c>
      <c r="AC33" s="13" t="n">
        <f aca="false">$F$30*730*Time!AC25*AC28/100*Inputs!$F$37/100*AC32</f>
        <v>1813200.8401776</v>
      </c>
      <c r="AD33" s="13" t="n">
        <f aca="false">$F$30*730*Time!AD25*AD28/100*Inputs!$F$37/100*AD32</f>
        <v>1778990.7602953</v>
      </c>
      <c r="AE33" s="13" t="n">
        <f aca="false">$F$30*730*Time!AE25*AE28/100*Inputs!$F$37/100*AE32</f>
        <v>1712018.37515162</v>
      </c>
      <c r="AF33" s="13" t="n">
        <f aca="false">$F$30*730*Time!AF25*AF28/100*Inputs!$F$37/100*AF32</f>
        <v>1743507.10718732</v>
      </c>
      <c r="AG33" s="13" t="n">
        <f aca="false">$F$30*730*Time!AG25*AG28/100*Inputs!$F$37/100*AG32</f>
        <v>1807708.37265718</v>
      </c>
      <c r="AH33" s="13" t="n">
        <f aca="false">$F$30*730*Time!AH25*AH28/100*Inputs!$F$37/100*AH32</f>
        <v>1800558.06412747</v>
      </c>
      <c r="AI33" s="13" t="n">
        <f aca="false">$F$30*730*Time!AI25*AI28/100*Inputs!$F$37/100*AI32</f>
        <v>1787643.73884359</v>
      </c>
      <c r="AJ33" s="13" t="n">
        <f aca="false">$F$30*730*Time!AJ25*AJ28/100*Inputs!$F$37/100*AJ32</f>
        <v>1792052.2052449</v>
      </c>
      <c r="AK33" s="13" t="n">
        <f aca="false">$F$30*730*Time!AK25*AK28/100*Inputs!$F$37/100*AK32</f>
        <v>1802215.90513676</v>
      </c>
      <c r="AL33" s="13" t="n">
        <f aca="false">$F$30*730*Time!AL25*AL28/100*Inputs!$F$37/100*AL32</f>
        <v>1780364.12115495</v>
      </c>
      <c r="AM33" s="13" t="n">
        <f aca="false">$F$30*730*Time!AM25*AM28/100*Inputs!$F$37/100*AM32</f>
        <v>1738080.51414409</v>
      </c>
      <c r="AN33" s="13" t="n">
        <f aca="false">$F$30*730*Time!AN25*AN28/100*Inputs!$F$37/100*AN32</f>
        <v>1757201.67905659</v>
      </c>
      <c r="AO33" s="13" t="n">
        <f aca="false">$F$30*730*Time!AO25*AO28/100*Inputs!$F$37/100*AO32</f>
        <v>1796723.43761635</v>
      </c>
      <c r="AP33" s="13" t="n">
        <f aca="false">$F$30*730*Time!AP25*AP28/100*Inputs!$F$37/100*AP32</f>
        <v>1789608.26214114</v>
      </c>
      <c r="AQ33" s="13" t="n">
        <f aca="false">$F$30*730*Time!AQ25*AQ28/100*Inputs!$F$37/100*AQ32</f>
        <v>1776764.20296626</v>
      </c>
      <c r="AR33" s="13" t="n">
        <f aca="false">$F$30*730*Time!AR25*AR28/100*Inputs!$F$37/100*AR32</f>
        <v>1781137.53631307</v>
      </c>
      <c r="AS33" s="13" t="n">
        <f aca="false">$F$30*730*Time!AS25*AS28/100*Inputs!$F$37/100*AS32</f>
        <v>1791230.97009593</v>
      </c>
      <c r="AT33" s="13" t="n">
        <f aca="false">$F$30*730*Time!AT25*AT28/100*Inputs!$F$37/100*AT32</f>
        <v>1757419.06483132</v>
      </c>
      <c r="AU33" s="13" t="n">
        <f aca="false">$F$30*730*Time!AU25*AU28/100*Inputs!$F$37/100*AU32</f>
        <v>1691243.02892301</v>
      </c>
      <c r="AV33" s="13" t="n">
        <f aca="false">$F$30*730*Time!AV25*AV28/100*Inputs!$F$37/100*AV32</f>
        <v>1722333.58634102</v>
      </c>
      <c r="AW33" s="13" t="n">
        <f aca="false">$F$30*730*Time!AW25*AW28/100*Inputs!$F$37/100*AW32</f>
        <v>1785738.50257551</v>
      </c>
      <c r="AX33" s="13" t="n">
        <f aca="false">$F$30*730*Time!AX25*AX28/100*Inputs!$F$37/100*AX32</f>
        <v>1778658.4601548</v>
      </c>
      <c r="AY33" s="13" t="n">
        <f aca="false">$F$30*730*Time!AY25*AY28/100*Inputs!$F$37/100*AY32</f>
        <v>1765884.66708893</v>
      </c>
      <c r="AZ33" s="13" t="n">
        <f aca="false">$F$30*730*Time!AZ25*AZ28/100*Inputs!$F$37/100*AZ32</f>
        <v>1770222.86738124</v>
      </c>
      <c r="BA33" s="13" t="n">
        <f aca="false">$F$30*730*Time!BA25*BA28/100*Inputs!$F$37/100*BA32</f>
        <v>1780246.0350551</v>
      </c>
      <c r="BB33" s="13" t="n">
        <f aca="false">$F$30*730*Time!BB25*BB28/100*Inputs!$F$37/100*BB32</f>
        <v>1758644.08612751</v>
      </c>
      <c r="BC33" s="13" t="n">
        <f aca="false">$F$30*730*Time!BC25*BC28/100*Inputs!$F$37/100*BC32</f>
        <v>1716860.14922513</v>
      </c>
      <c r="BD33" s="13" t="n">
        <f aca="false">$F$30*730*Time!BD25*BD28/100*Inputs!$F$37/100*BD32</f>
        <v>1735731.47908339</v>
      </c>
      <c r="BE33" s="13" t="n">
        <f aca="false">$F$30*730*Time!BE25*BE28/100*Inputs!$F$37/100*BE32</f>
        <v>1774753.56753468</v>
      </c>
      <c r="BF33" s="13" t="n">
        <f aca="false">$F$30*730*Time!BF25*BF28/100*Inputs!$F$37/100*BF32</f>
        <v>1767708.65816847</v>
      </c>
      <c r="BG33" s="13" t="n">
        <f aca="false">$F$30*730*Time!BG25*BG28/100*Inputs!$F$37/100*BG32</f>
        <v>1755005.1312116</v>
      </c>
      <c r="BH33" s="13" t="n">
        <f aca="false">$F$30*730*Time!BH25*BH28/100*Inputs!$F$37/100*BH32</f>
        <v>1759308.19844941</v>
      </c>
      <c r="BI33" s="13" t="n">
        <f aca="false">$F$30*730*Time!BI25*BI28/100*Inputs!$F$37/100*BI32</f>
        <v>1769261.10001426</v>
      </c>
      <c r="BJ33" s="13" t="n">
        <f aca="false">$F$30*730*Time!BJ25*BJ28/100*Inputs!$F$37/100*BJ32</f>
        <v>1735847.36936733</v>
      </c>
      <c r="BK33" s="13" t="n">
        <f aca="false">$F$30*730*Time!BK25*BK28/100*Inputs!$F$37/100*BK32</f>
        <v>1670467.6826944</v>
      </c>
      <c r="BL33" s="13" t="n">
        <f aca="false">$F$30*730*Time!BL25*BL28/100*Inputs!$F$37/100*BL32</f>
        <v>1701160.06549472</v>
      </c>
      <c r="BM33" s="13" t="n">
        <f aca="false">$F$30*730*Time!BM25*BM28/100*Inputs!$F$37/100*BM32</f>
        <v>1763768.63249384</v>
      </c>
      <c r="BN33" s="13" t="n">
        <f aca="false">$F$30*730*Time!BN25*BN28/100*Inputs!$F$37/100*BN32</f>
        <v>1175082.91228473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6456.243024</v>
      </c>
      <c r="K34" s="11" t="n">
        <f aca="false">$F$31*(1+Inputs!$F$125/100*K29)*(1+Inputs!$F$126/100)*(1+Inputs!$F$120/100)*Inputs!$F$38</f>
        <v>6456.243024</v>
      </c>
      <c r="L34" s="11" t="n">
        <f aca="false">$F$31*(1+Inputs!$F$125/100*L29)*(1+Inputs!$F$126/100)*(1+Inputs!$F$120/100)*Inputs!$F$38</f>
        <v>6456.243024</v>
      </c>
      <c r="M34" s="11" t="n">
        <f aca="false">$F$31*(1+Inputs!$F$125/100*M29)*(1+Inputs!$F$126/100)*(1+Inputs!$F$120/100)*Inputs!$F$38</f>
        <v>6456.243024</v>
      </c>
      <c r="N34" s="11" t="n">
        <f aca="false">$F$31*(1+Inputs!$F$125/100*N29)*(1+Inputs!$F$126/100)*(1+Inputs!$F$120/100)*Inputs!$F$38</f>
        <v>6456.243024</v>
      </c>
      <c r="O34" s="11" t="n">
        <f aca="false">$F$31*(1+Inputs!$F$125/100*O29)*(1+Inputs!$F$126/100)*(1+Inputs!$F$120/100)*Inputs!$F$38</f>
        <v>6456.243024</v>
      </c>
      <c r="P34" s="11" t="n">
        <f aca="false">$F$31*(1+Inputs!$F$125/100*P29)*(1+Inputs!$F$126/100)*(1+Inputs!$F$120/100)*Inputs!$F$38</f>
        <v>6456.8886483024</v>
      </c>
      <c r="Q34" s="11" t="n">
        <f aca="false">$F$31*(1+Inputs!$F$125/100*Q29)*(1+Inputs!$F$126/100)*(1+Inputs!$F$120/100)*Inputs!$F$38</f>
        <v>6459.471145512</v>
      </c>
      <c r="R34" s="11" t="n">
        <f aca="false">$F$31*(1+Inputs!$F$125/100*R29)*(1+Inputs!$F$126/100)*(1+Inputs!$F$120/100)*Inputs!$F$38</f>
        <v>6463.3448913264</v>
      </c>
      <c r="S34" s="11" t="n">
        <f aca="false">$F$31*(1+Inputs!$F$125/100*S29)*(1+Inputs!$F$126/100)*(1+Inputs!$F$120/100)*Inputs!$F$38</f>
        <v>6467.2186371408</v>
      </c>
      <c r="T34" s="11" t="n">
        <f aca="false">$F$31*(1+Inputs!$F$125/100*T29)*(1+Inputs!$F$126/100)*(1+Inputs!$F$120/100)*Inputs!$F$38</f>
        <v>6471.0923829552</v>
      </c>
      <c r="U34" s="11" t="n">
        <f aca="false">$F$31*(1+Inputs!$F$125/100*U29)*(1+Inputs!$F$126/100)*(1+Inputs!$F$120/100)*Inputs!$F$38</f>
        <v>6474.9661287696</v>
      </c>
      <c r="V34" s="11" t="n">
        <f aca="false">$F$31*(1+Inputs!$F$125/100*V29)*(1+Inputs!$F$126/100)*(1+Inputs!$F$120/100)*Inputs!$F$38</f>
        <v>6478.839874584</v>
      </c>
      <c r="W34" s="11" t="n">
        <f aca="false">$F$31*(1+Inputs!$F$125/100*W29)*(1+Inputs!$F$126/100)*(1+Inputs!$F$120/100)*Inputs!$F$38</f>
        <v>6482.7136203984</v>
      </c>
      <c r="X34" s="11" t="n">
        <f aca="false">$F$31*(1+Inputs!$F$125/100*X29)*(1+Inputs!$F$126/100)*(1+Inputs!$F$120/100)*Inputs!$F$38</f>
        <v>6486.5873662128</v>
      </c>
      <c r="Y34" s="11" t="n">
        <f aca="false">$F$31*(1+Inputs!$F$125/100*Y29)*(1+Inputs!$F$126/100)*(1+Inputs!$F$120/100)*Inputs!$F$38</f>
        <v>6490.4611120272</v>
      </c>
      <c r="Z34" s="11" t="n">
        <f aca="false">$F$31*(1+Inputs!$F$125/100*Z29)*(1+Inputs!$F$126/100)*(1+Inputs!$F$120/100)*Inputs!$F$38</f>
        <v>6494.3348578416</v>
      </c>
      <c r="AA34" s="11" t="n">
        <f aca="false">$F$31*(1+Inputs!$F$125/100*AA29)*(1+Inputs!$F$126/100)*(1+Inputs!$F$120/100)*Inputs!$F$38</f>
        <v>6498.208603656</v>
      </c>
      <c r="AB34" s="11" t="n">
        <f aca="false">$F$31*(1+Inputs!$F$125/100*AB29)*(1+Inputs!$F$126/100)*(1+Inputs!$F$120/100)*Inputs!$F$38</f>
        <v>6502.0823494704</v>
      </c>
      <c r="AC34" s="11" t="n">
        <f aca="false">$F$31*(1+Inputs!$F$125/100*AC29)*(1+Inputs!$F$126/100)*(1+Inputs!$F$120/100)*Inputs!$F$38</f>
        <v>6505.9560952848</v>
      </c>
      <c r="AD34" s="11" t="n">
        <f aca="false">$F$31*(1+Inputs!$F$125/100*AD29)*(1+Inputs!$F$126/100)*(1+Inputs!$F$120/100)*Inputs!$F$38</f>
        <v>6509.8298410992</v>
      </c>
      <c r="AE34" s="11" t="n">
        <f aca="false">$F$31*(1+Inputs!$F$125/100*AE29)*(1+Inputs!$F$126/100)*(1+Inputs!$F$120/100)*Inputs!$F$38</f>
        <v>6513.7035869136</v>
      </c>
      <c r="AF34" s="11" t="n">
        <f aca="false">$F$31*(1+Inputs!$F$125/100*AF29)*(1+Inputs!$F$126/100)*(1+Inputs!$F$120/100)*Inputs!$F$38</f>
        <v>6517.577332728</v>
      </c>
      <c r="AG34" s="11" t="n">
        <f aca="false">$F$31*(1+Inputs!$F$125/100*AG29)*(1+Inputs!$F$126/100)*(1+Inputs!$F$120/100)*Inputs!$F$38</f>
        <v>6521.4510785424</v>
      </c>
      <c r="AH34" s="11" t="n">
        <f aca="false">$F$31*(1+Inputs!$F$125/100*AH29)*(1+Inputs!$F$126/100)*(1+Inputs!$F$120/100)*Inputs!$F$38</f>
        <v>6525.3248243568</v>
      </c>
      <c r="AI34" s="11" t="n">
        <f aca="false">$F$31*(1+Inputs!$F$125/100*AI29)*(1+Inputs!$F$126/100)*(1+Inputs!$F$120/100)*Inputs!$F$38</f>
        <v>6529.1985701712</v>
      </c>
      <c r="AJ34" s="11" t="n">
        <f aca="false">$F$31*(1+Inputs!$F$125/100*AJ29)*(1+Inputs!$F$126/100)*(1+Inputs!$F$120/100)*Inputs!$F$38</f>
        <v>6533.0723159856</v>
      </c>
      <c r="AK34" s="11" t="n">
        <f aca="false">$F$31*(1+Inputs!$F$125/100*AK29)*(1+Inputs!$F$126/100)*(1+Inputs!$F$120/100)*Inputs!$F$38</f>
        <v>6536.9460618</v>
      </c>
      <c r="AL34" s="11" t="n">
        <f aca="false">$F$31*(1+Inputs!$F$125/100*AL29)*(1+Inputs!$F$126/100)*(1+Inputs!$F$120/100)*Inputs!$F$38</f>
        <v>6540.8198076144</v>
      </c>
      <c r="AM34" s="11" t="n">
        <f aca="false">$F$31*(1+Inputs!$F$125/100*AM29)*(1+Inputs!$F$126/100)*(1+Inputs!$F$120/100)*Inputs!$F$38</f>
        <v>6544.6935534288</v>
      </c>
      <c r="AN34" s="11" t="n">
        <f aca="false">$F$31*(1+Inputs!$F$125/100*AN29)*(1+Inputs!$F$126/100)*(1+Inputs!$F$120/100)*Inputs!$F$38</f>
        <v>6548.5672992432</v>
      </c>
      <c r="AO34" s="11" t="n">
        <f aca="false">$F$31*(1+Inputs!$F$125/100*AO29)*(1+Inputs!$F$126/100)*(1+Inputs!$F$120/100)*Inputs!$F$38</f>
        <v>6552.4410450576</v>
      </c>
      <c r="AP34" s="11" t="n">
        <f aca="false">$F$31*(1+Inputs!$F$125/100*AP29)*(1+Inputs!$F$126/100)*(1+Inputs!$F$120/100)*Inputs!$F$38</f>
        <v>6556.314790872</v>
      </c>
      <c r="AQ34" s="11" t="n">
        <f aca="false">$F$31*(1+Inputs!$F$125/100*AQ29)*(1+Inputs!$F$126/100)*(1+Inputs!$F$120/100)*Inputs!$F$38</f>
        <v>6560.1885366864</v>
      </c>
      <c r="AR34" s="11" t="n">
        <f aca="false">$F$31*(1+Inputs!$F$125/100*AR29)*(1+Inputs!$F$126/100)*(1+Inputs!$F$120/100)*Inputs!$F$38</f>
        <v>6564.0622825008</v>
      </c>
      <c r="AS34" s="11" t="n">
        <f aca="false">$F$31*(1+Inputs!$F$125/100*AS29)*(1+Inputs!$F$126/100)*(1+Inputs!$F$120/100)*Inputs!$F$38</f>
        <v>6567.9360283152</v>
      </c>
      <c r="AT34" s="11" t="n">
        <f aca="false">$F$31*(1+Inputs!$F$125/100*AT29)*(1+Inputs!$F$126/100)*(1+Inputs!$F$120/100)*Inputs!$F$38</f>
        <v>6571.8097741296</v>
      </c>
      <c r="AU34" s="11" t="n">
        <f aca="false">$F$31*(1+Inputs!$F$125/100*AU29)*(1+Inputs!$F$126/100)*(1+Inputs!$F$120/100)*Inputs!$F$38</f>
        <v>6575.683519944</v>
      </c>
      <c r="AV34" s="11" t="n">
        <f aca="false">$F$31*(1+Inputs!$F$125/100*AV29)*(1+Inputs!$F$126/100)*(1+Inputs!$F$120/100)*Inputs!$F$38</f>
        <v>6579.5572657584</v>
      </c>
      <c r="AW34" s="11" t="n">
        <f aca="false">$F$31*(1+Inputs!$F$125/100*AW29)*(1+Inputs!$F$126/100)*(1+Inputs!$F$120/100)*Inputs!$F$38</f>
        <v>6583.4310115728</v>
      </c>
      <c r="AX34" s="11" t="n">
        <f aca="false">$F$31*(1+Inputs!$F$125/100*AX29)*(1+Inputs!$F$126/100)*(1+Inputs!$F$120/100)*Inputs!$F$38</f>
        <v>6587.3047573872</v>
      </c>
      <c r="AY34" s="11" t="n">
        <f aca="false">$F$31*(1+Inputs!$F$125/100*AY29)*(1+Inputs!$F$126/100)*(1+Inputs!$F$120/100)*Inputs!$F$38</f>
        <v>6591.1785032016</v>
      </c>
      <c r="AZ34" s="11" t="n">
        <f aca="false">$F$31*(1+Inputs!$F$125/100*AZ29)*(1+Inputs!$F$126/100)*(1+Inputs!$F$120/100)*Inputs!$F$38</f>
        <v>6595.052249016</v>
      </c>
      <c r="BA34" s="11" t="n">
        <f aca="false">$F$31*(1+Inputs!$F$125/100*BA29)*(1+Inputs!$F$126/100)*(1+Inputs!$F$120/100)*Inputs!$F$38</f>
        <v>6598.9259948304</v>
      </c>
      <c r="BB34" s="11" t="n">
        <f aca="false">$F$31*(1+Inputs!$F$125/100*BB29)*(1+Inputs!$F$126/100)*(1+Inputs!$F$120/100)*Inputs!$F$38</f>
        <v>6602.7997406448</v>
      </c>
      <c r="BC34" s="11" t="n">
        <f aca="false">$F$31*(1+Inputs!$F$125/100*BC29)*(1+Inputs!$F$126/100)*(1+Inputs!$F$120/100)*Inputs!$F$38</f>
        <v>6606.6734864592</v>
      </c>
      <c r="BD34" s="11" t="n">
        <f aca="false">$F$31*(1+Inputs!$F$125/100*BD29)*(1+Inputs!$F$126/100)*(1+Inputs!$F$120/100)*Inputs!$F$38</f>
        <v>6610.5472322736</v>
      </c>
      <c r="BE34" s="11" t="n">
        <f aca="false">$F$31*(1+Inputs!$F$125/100*BE29)*(1+Inputs!$F$126/100)*(1+Inputs!$F$120/100)*Inputs!$F$38</f>
        <v>6614.420978088</v>
      </c>
      <c r="BF34" s="11" t="n">
        <f aca="false">$F$31*(1+Inputs!$F$125/100*BF29)*(1+Inputs!$F$126/100)*(1+Inputs!$F$120/100)*Inputs!$F$38</f>
        <v>6618.2947239024</v>
      </c>
      <c r="BG34" s="11" t="n">
        <f aca="false">$F$31*(1+Inputs!$F$125/100*BG29)*(1+Inputs!$F$126/100)*(1+Inputs!$F$120/100)*Inputs!$F$38</f>
        <v>6622.1684697168</v>
      </c>
      <c r="BH34" s="11" t="n">
        <f aca="false">$F$31*(1+Inputs!$F$125/100*BH29)*(1+Inputs!$F$126/100)*(1+Inputs!$F$120/100)*Inputs!$F$38</f>
        <v>6626.0422155312</v>
      </c>
      <c r="BI34" s="11" t="n">
        <f aca="false">$F$31*(1+Inputs!$F$125/100*BI29)*(1+Inputs!$F$126/100)*(1+Inputs!$F$120/100)*Inputs!$F$38</f>
        <v>6629.9159613456</v>
      </c>
      <c r="BJ34" s="11" t="n">
        <f aca="false">$F$31*(1+Inputs!$F$125/100*BJ29)*(1+Inputs!$F$126/100)*(1+Inputs!$F$120/100)*Inputs!$F$38</f>
        <v>6633.78970716</v>
      </c>
      <c r="BK34" s="11" t="n">
        <f aca="false">$F$31*(1+Inputs!$F$125/100*BK29)*(1+Inputs!$F$126/100)*(1+Inputs!$F$120/100)*Inputs!$F$38</f>
        <v>6637.6634529744</v>
      </c>
      <c r="BL34" s="11" t="n">
        <f aca="false">$F$31*(1+Inputs!$F$125/100*BL29)*(1+Inputs!$F$126/100)*(1+Inputs!$F$120/100)*Inputs!$F$38</f>
        <v>6641.5371987888</v>
      </c>
      <c r="BM34" s="11" t="n">
        <f aca="false">$F$31*(1+Inputs!$F$125/100*BM29)*(1+Inputs!$F$126/100)*(1+Inputs!$F$120/100)*Inputs!$F$38</f>
        <v>6645.4109446032</v>
      </c>
      <c r="BN34" s="11" t="n">
        <f aca="false">$F$31*(1+Inputs!$F$125/100*BN29)*(1+Inputs!$F$126/100)*(1+Inputs!$F$120/100)*Inputs!$F$38</f>
        <v>6648.6390661152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6468.429</v>
      </c>
      <c r="P35" s="11" t="n">
        <f aca="false">Inputs!$F$118*(1+Inputs!$F$119/100*P29)*(1+Inputs!$F$120/100)</f>
        <v>6468.96803575</v>
      </c>
      <c r="Q35" s="11" t="n">
        <f aca="false">Inputs!$F$118*(1+Inputs!$F$119/100*Q29)*(1+Inputs!$F$120/100)</f>
        <v>6471.12417875</v>
      </c>
      <c r="R35" s="11" t="n">
        <f aca="false">Inputs!$F$118*(1+Inputs!$F$119/100*R29)*(1+Inputs!$F$120/100)</f>
        <v>6474.35839325</v>
      </c>
      <c r="S35" s="11" t="n">
        <f aca="false">Inputs!$F$118*(1+Inputs!$F$119/100*S29)*(1+Inputs!$F$120/100)</f>
        <v>6477.59260775</v>
      </c>
      <c r="T35" s="11" t="n">
        <f aca="false">Inputs!$F$118*(1+Inputs!$F$119/100*T29)*(1+Inputs!$F$120/100)</f>
        <v>6480.82682225</v>
      </c>
      <c r="U35" s="11" t="n">
        <f aca="false">Inputs!$F$118*(1+Inputs!$F$119/100*U29)*(1+Inputs!$F$120/100)</f>
        <v>6484.06103675</v>
      </c>
      <c r="V35" s="11" t="n">
        <f aca="false">Inputs!$F$118*(1+Inputs!$F$119/100*V29)*(1+Inputs!$F$120/100)</f>
        <v>6487.29525125</v>
      </c>
      <c r="W35" s="11" t="n">
        <f aca="false">Inputs!$F$118*(1+Inputs!$F$119/100*W29)*(1+Inputs!$F$120/100)</f>
        <v>6490.52946575</v>
      </c>
      <c r="X35" s="11" t="n">
        <f aca="false">Inputs!$F$118*(1+Inputs!$F$119/100*X29)*(1+Inputs!$F$120/100)</f>
        <v>6493.76368025</v>
      </c>
      <c r="Y35" s="11" t="n">
        <f aca="false">Inputs!$F$118*(1+Inputs!$F$119/100*Y29)*(1+Inputs!$F$120/100)</f>
        <v>6496.99789475</v>
      </c>
      <c r="Z35" s="11" t="n">
        <f aca="false">Inputs!$F$118*(1+Inputs!$F$119/100*Z29)*(1+Inputs!$F$120/100)</f>
        <v>6500.23210925</v>
      </c>
      <c r="AA35" s="11" t="n">
        <f aca="false">Inputs!$F$118*(1+Inputs!$F$119/100*AA29)*(1+Inputs!$F$120/100)</f>
        <v>6503.46632375</v>
      </c>
      <c r="AB35" s="11" t="n">
        <f aca="false">Inputs!$F$118*(1+Inputs!$F$119/100*AB29)*(1+Inputs!$F$120/100)</f>
        <v>6506.70053825</v>
      </c>
      <c r="AC35" s="11" t="n">
        <f aca="false">Inputs!$F$118*(1+Inputs!$F$119/100*AC29)*(1+Inputs!$F$120/100)</f>
        <v>6509.93475275</v>
      </c>
      <c r="AD35" s="11" t="n">
        <f aca="false">Inputs!$F$118*(1+Inputs!$F$119/100*AD29)*(1+Inputs!$F$120/100)</f>
        <v>6513.16896725</v>
      </c>
      <c r="AE35" s="11" t="n">
        <f aca="false">Inputs!$F$118*(1+Inputs!$F$119/100*AE29)*(1+Inputs!$F$120/100)</f>
        <v>6516.40318175</v>
      </c>
      <c r="AF35" s="11" t="n">
        <f aca="false">Inputs!$F$118*(1+Inputs!$F$119/100*AF29)*(1+Inputs!$F$120/100)</f>
        <v>6519.63739625</v>
      </c>
      <c r="AG35" s="11" t="n">
        <f aca="false">Inputs!$F$118*(1+Inputs!$F$119/100*AG29)*(1+Inputs!$F$120/100)</f>
        <v>6522.87161075</v>
      </c>
      <c r="AH35" s="11" t="n">
        <f aca="false">Inputs!$F$118*(1+Inputs!$F$119/100*AH29)*(1+Inputs!$F$120/100)</f>
        <v>6526.10582525</v>
      </c>
      <c r="AI35" s="11" t="n">
        <f aca="false">Inputs!$F$118*(1+Inputs!$F$119/100*AI29)*(1+Inputs!$F$120/100)</f>
        <v>6529.34003975</v>
      </c>
      <c r="AJ35" s="11" t="n">
        <f aca="false">Inputs!$F$118*(1+Inputs!$F$119/100*AJ29)*(1+Inputs!$F$120/100)</f>
        <v>6532.57425425</v>
      </c>
      <c r="AK35" s="11" t="n">
        <f aca="false">Inputs!$F$118*(1+Inputs!$F$119/100*AK29)*(1+Inputs!$F$120/100)</f>
        <v>6535.80846875</v>
      </c>
      <c r="AL35" s="11" t="n">
        <f aca="false">Inputs!$F$118*(1+Inputs!$F$119/100*AL29)*(1+Inputs!$F$120/100)</f>
        <v>6539.04268325</v>
      </c>
      <c r="AM35" s="11" t="n">
        <f aca="false">Inputs!$F$118*(1+Inputs!$F$119/100*AM29)*(1+Inputs!$F$120/100)</f>
        <v>6542.27689775</v>
      </c>
      <c r="AN35" s="11" t="n">
        <f aca="false">Inputs!$F$118*(1+Inputs!$F$119/100*AN29)*(1+Inputs!$F$120/100)</f>
        <v>6545.51111225</v>
      </c>
      <c r="AO35" s="11" t="n">
        <f aca="false">Inputs!$F$118*(1+Inputs!$F$119/100*AO29)*(1+Inputs!$F$120/100)</f>
        <v>6548.74532675</v>
      </c>
      <c r="AP35" s="11" t="n">
        <f aca="false">Inputs!$F$118*(1+Inputs!$F$119/100*AP29)*(1+Inputs!$F$120/100)</f>
        <v>6551.97954125</v>
      </c>
      <c r="AQ35" s="11" t="n">
        <f aca="false">Inputs!$F$118*(1+Inputs!$F$119/100*AQ29)*(1+Inputs!$F$120/100)</f>
        <v>6555.21375575</v>
      </c>
      <c r="AR35" s="11" t="n">
        <f aca="false">Inputs!$F$118*(1+Inputs!$F$119/100*AR29)*(1+Inputs!$F$120/100)</f>
        <v>6558.44797025</v>
      </c>
      <c r="AS35" s="11" t="n">
        <f aca="false">Inputs!$F$118*(1+Inputs!$F$119/100*AS29)*(1+Inputs!$F$120/100)</f>
        <v>6561.68218475</v>
      </c>
      <c r="AT35" s="11" t="n">
        <f aca="false">Inputs!$F$118*(1+Inputs!$F$119/100*AT29)*(1+Inputs!$F$120/100)</f>
        <v>6564.91639925</v>
      </c>
      <c r="AU35" s="11" t="n">
        <f aca="false">Inputs!$F$118*(1+Inputs!$F$119/100*AU29)*(1+Inputs!$F$120/100)</f>
        <v>6568.15061375</v>
      </c>
      <c r="AV35" s="11" t="n">
        <f aca="false">Inputs!$F$118*(1+Inputs!$F$119/100*AV29)*(1+Inputs!$F$120/100)</f>
        <v>6571.38482825</v>
      </c>
      <c r="AW35" s="11" t="n">
        <f aca="false">Inputs!$F$118*(1+Inputs!$F$119/100*AW29)*(1+Inputs!$F$120/100)</f>
        <v>6574.61904275</v>
      </c>
      <c r="AX35" s="11" t="n">
        <f aca="false">Inputs!$F$118*(1+Inputs!$F$119/100*AX29)*(1+Inputs!$F$120/100)</f>
        <v>6577.85325725</v>
      </c>
      <c r="AY35" s="11" t="n">
        <f aca="false">Inputs!$F$118*(1+Inputs!$F$119/100*AY29)*(1+Inputs!$F$120/100)</f>
        <v>6581.08747175</v>
      </c>
      <c r="AZ35" s="11" t="n">
        <f aca="false">Inputs!$F$118*(1+Inputs!$F$119/100*AZ29)*(1+Inputs!$F$120/100)</f>
        <v>6584.32168625</v>
      </c>
      <c r="BA35" s="11" t="n">
        <f aca="false">Inputs!$F$118*(1+Inputs!$F$119/100*BA29)*(1+Inputs!$F$120/100)</f>
        <v>6587.55590075</v>
      </c>
      <c r="BB35" s="11" t="n">
        <f aca="false">Inputs!$F$118*(1+Inputs!$F$119/100*BB29)*(1+Inputs!$F$120/100)</f>
        <v>6590.79011525</v>
      </c>
      <c r="BC35" s="11" t="n">
        <f aca="false">Inputs!$F$118*(1+Inputs!$F$119/100*BC29)*(1+Inputs!$F$120/100)</f>
        <v>6594.02432975</v>
      </c>
      <c r="BD35" s="11" t="n">
        <f aca="false">Inputs!$F$118*(1+Inputs!$F$119/100*BD29)*(1+Inputs!$F$120/100)</f>
        <v>6597.25854425</v>
      </c>
      <c r="BE35" s="11" t="n">
        <f aca="false">Inputs!$F$118*(1+Inputs!$F$119/100*BE29)*(1+Inputs!$F$120/100)</f>
        <v>6600.49275875</v>
      </c>
      <c r="BF35" s="11" t="n">
        <f aca="false">Inputs!$F$118*(1+Inputs!$F$119/100*BF29)*(1+Inputs!$F$120/100)</f>
        <v>6603.72697325</v>
      </c>
      <c r="BG35" s="11" t="n">
        <f aca="false">Inputs!$F$118*(1+Inputs!$F$119/100*BG29)*(1+Inputs!$F$120/100)</f>
        <v>6606.96118775</v>
      </c>
      <c r="BH35" s="11" t="n">
        <f aca="false">Inputs!$F$118*(1+Inputs!$F$119/100*BH29)*(1+Inputs!$F$120/100)</f>
        <v>6610.19540225</v>
      </c>
      <c r="BI35" s="11" t="n">
        <f aca="false">Inputs!$F$118*(1+Inputs!$F$119/100*BI29)*(1+Inputs!$F$120/100)</f>
        <v>6613.42961675</v>
      </c>
      <c r="BJ35" s="11" t="n">
        <f aca="false">Inputs!$F$118*(1+Inputs!$F$119/100*BJ29)*(1+Inputs!$F$120/100)</f>
        <v>6616.66383125</v>
      </c>
      <c r="BK35" s="11" t="n">
        <f aca="false">Inputs!$F$118*(1+Inputs!$F$119/100*BK29)*(1+Inputs!$F$120/100)</f>
        <v>6619.89804575</v>
      </c>
      <c r="BL35" s="11" t="n">
        <f aca="false">Inputs!$F$118*(1+Inputs!$F$119/100*BL29)*(1+Inputs!$F$120/100)</f>
        <v>6623.13226025</v>
      </c>
      <c r="BM35" s="11" t="n">
        <f aca="false">Inputs!$F$118*(1+Inputs!$F$119/100*BM29)*(1+Inputs!$F$120/100)</f>
        <v>6626.36647475</v>
      </c>
      <c r="BN35" s="11" t="n">
        <f aca="false">Inputs!$F$118*(1+Inputs!$F$119/100*BN29)*(1+Inputs!$F$120/100)</f>
        <v>6629.0616535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0</v>
      </c>
      <c r="P37" s="13" t="n">
        <f aca="false">P33*P34*(1000*Inputs!$F$121/Inputs!$F$122)</f>
        <v>4137692.79785515</v>
      </c>
      <c r="Q37" s="13" t="n">
        <f aca="false">Q33*Q34*(1000*Inputs!$F$121/Inputs!$F$122)</f>
        <v>12411833.3306604</v>
      </c>
      <c r="R37" s="13" t="n">
        <f aca="false">R33*R34*(1000*Inputs!$F$121/Inputs!$F$122)</f>
        <v>12370265.7340664</v>
      </c>
      <c r="S37" s="13" t="n">
        <f aca="false">S33*S34*(1000*Inputs!$F$121/Inputs!$F$122)</f>
        <v>12289014.3890996</v>
      </c>
      <c r="T37" s="13" t="n">
        <f aca="false">T33*T34*(1000*Inputs!$F$121/Inputs!$F$122)</f>
        <v>12326811.9428824</v>
      </c>
      <c r="U37" s="13" t="n">
        <f aca="false">U33*U34*(1000*Inputs!$F$121/Inputs!$F$122)</f>
        <v>12404258.6807638</v>
      </c>
      <c r="V37" s="13" t="n">
        <f aca="false">V33*V34*(1000*Inputs!$F$121/Inputs!$F$122)</f>
        <v>12261301.2719524</v>
      </c>
      <c r="W37" s="13" t="n">
        <f aca="false">W33*W34*(1000*Inputs!$F$121/Inputs!$F$122)</f>
        <v>11977362.8114126</v>
      </c>
      <c r="X37" s="13" t="n">
        <f aca="false">X33*X34*(1000*Inputs!$F$121/Inputs!$F$122)</f>
        <v>12116476.923861</v>
      </c>
      <c r="Y37" s="13" t="n">
        <f aca="false">Y33*Y34*(1000*Inputs!$F$121/Inputs!$F$122)</f>
        <v>12396505.2780672</v>
      </c>
      <c r="Z37" s="13" t="n">
        <f aca="false">Z33*Z34*(1000*Inputs!$F$121/Inputs!$F$122)</f>
        <v>12354897.6145475</v>
      </c>
      <c r="AA37" s="13" t="n">
        <f aca="false">AA33*AA34*(1000*Inputs!$F$121/Inputs!$F$122)</f>
        <v>12273656.3696857</v>
      </c>
      <c r="AB37" s="13" t="n">
        <f aca="false">AB33*AB34*(1000*Inputs!$F$121/Inputs!$F$122)</f>
        <v>12311315.5234461</v>
      </c>
      <c r="AC37" s="13" t="n">
        <f aca="false">AC33*AC34*(1000*Inputs!$F$121/Inputs!$F$122)</f>
        <v>12388573.1225706</v>
      </c>
      <c r="AD37" s="13" t="n">
        <f aca="false">AD33*AD34*(1000*Inputs!$F$121/Inputs!$F$122)</f>
        <v>12162072.2211507</v>
      </c>
      <c r="AE37" s="13" t="n">
        <f aca="false">AE33*AE34*(1000*Inputs!$F$121/Inputs!$F$122)</f>
        <v>11711180.1610953</v>
      </c>
      <c r="AF37" s="13" t="n">
        <f aca="false">AF33*AF34*(1000*Inputs!$F$121/Inputs!$F$122)</f>
        <v>11933673.8339858</v>
      </c>
      <c r="AG37" s="13" t="n">
        <f aca="false">AG33*AG34*(1000*Inputs!$F$121/Inputs!$F$122)</f>
        <v>12380462.2142742</v>
      </c>
      <c r="AH37" s="13" t="n">
        <f aca="false">AH33*AH34*(1000*Inputs!$F$121/Inputs!$F$122)</f>
        <v>12338816.7706452</v>
      </c>
      <c r="AI37" s="13" t="n">
        <f aca="false">AI33*AI34*(1000*Inputs!$F$121/Inputs!$F$122)</f>
        <v>12257590.1995206</v>
      </c>
      <c r="AJ37" s="13" t="n">
        <f aca="false">AJ33*AJ34*(1000*Inputs!$F$121/Inputs!$F$122)</f>
        <v>12295108.6664425</v>
      </c>
      <c r="AK37" s="13" t="n">
        <f aca="false">AK33*AK34*(1000*Inputs!$F$121/Inputs!$F$122)</f>
        <v>12372172.5531778</v>
      </c>
      <c r="AL37" s="13" t="n">
        <f aca="false">AL33*AL34*(1000*Inputs!$F$121/Inputs!$F$122)</f>
        <v>12229403.2985218</v>
      </c>
      <c r="AM37" s="13" t="n">
        <f aca="false">AM33*AM34*(1000*Inputs!$F$121/Inputs!$F$122)</f>
        <v>11946025.9972694</v>
      </c>
      <c r="AN37" s="13" t="n">
        <f aca="false">AN33*AN34*(1000*Inputs!$F$121/Inputs!$F$122)</f>
        <v>12084596.482688</v>
      </c>
      <c r="AO37" s="13" t="n">
        <f aca="false">AO33*AO34*(1000*Inputs!$F$121/Inputs!$F$122)</f>
        <v>12363704.1392815</v>
      </c>
      <c r="AP37" s="13" t="n">
        <f aca="false">AP33*AP34*(1000*Inputs!$F$121/Inputs!$F$122)</f>
        <v>12322023.2023594</v>
      </c>
      <c r="AQ37" s="13" t="n">
        <f aca="false">AQ33*AQ34*(1000*Inputs!$F$121/Inputs!$F$122)</f>
        <v>12240815.8786045</v>
      </c>
      <c r="AR37" s="13" t="n">
        <f aca="false">AR33*AR34*(1000*Inputs!$F$121/Inputs!$F$122)</f>
        <v>12278191.3718717</v>
      </c>
      <c r="AS37" s="13" t="n">
        <f aca="false">AS33*AS34*(1000*Inputs!$F$121/Inputs!$F$122)</f>
        <v>12355056.9725853</v>
      </c>
      <c r="AT37" s="13" t="n">
        <f aca="false">AT33*AT34*(1000*Inputs!$F$121/Inputs!$F$122)</f>
        <v>12128987.9935759</v>
      </c>
      <c r="AU37" s="13" t="n">
        <f aca="false">AU33*AU34*(1000*Inputs!$F$121/Inputs!$F$122)</f>
        <v>11679148.2501102</v>
      </c>
      <c r="AV37" s="13" t="n">
        <f aca="false">AV33*AV34*(1000*Inputs!$F$121/Inputs!$F$122)</f>
        <v>11900855.7346466</v>
      </c>
      <c r="AW37" s="13" t="n">
        <f aca="false">AW33*AW34*(1000*Inputs!$F$121/Inputs!$F$122)</f>
        <v>12346231.0530892</v>
      </c>
      <c r="AX37" s="13" t="n">
        <f aca="false">AX33*AX34*(1000*Inputs!$F$121/Inputs!$F$122)</f>
        <v>12304516.9096901</v>
      </c>
      <c r="AY37" s="13" t="n">
        <f aca="false">AY33*AY34*(1000*Inputs!$F$121/Inputs!$F$122)</f>
        <v>12223333.4069373</v>
      </c>
      <c r="AZ37" s="13" t="n">
        <f aca="false">AZ33*AZ34*(1000*Inputs!$F$121/Inputs!$F$122)</f>
        <v>12260563.6397335</v>
      </c>
      <c r="BA37" s="13" t="n">
        <f aca="false">BA33*BA34*(1000*Inputs!$F$121/Inputs!$F$122)</f>
        <v>12337226.3807931</v>
      </c>
      <c r="BB37" s="13" t="n">
        <f aca="false">BB33*BB34*(1000*Inputs!$F$121/Inputs!$F$122)</f>
        <v>12194677.8039008</v>
      </c>
      <c r="BC37" s="13" t="n">
        <f aca="false">BC33*BC34*(1000*Inputs!$F$121/Inputs!$F$122)</f>
        <v>11911926.7091521</v>
      </c>
      <c r="BD37" s="13" t="n">
        <f aca="false">BD33*BD34*(1000*Inputs!$F$121/Inputs!$F$122)</f>
        <v>12049921.0439328</v>
      </c>
      <c r="BE37" s="13" t="n">
        <f aca="false">BE33*BE34*(1000*Inputs!$F$121/Inputs!$F$122)</f>
        <v>12328042.9556971</v>
      </c>
      <c r="BF37" s="13" t="n">
        <f aca="false">BF33*BF34*(1000*Inputs!$F$121/Inputs!$F$122)</f>
        <v>12286297.8926373</v>
      </c>
      <c r="BG37" s="13" t="n">
        <f aca="false">BG33*BG34*(1000*Inputs!$F$121/Inputs!$F$122)</f>
        <v>12205142.7845191</v>
      </c>
      <c r="BH37" s="13" t="n">
        <f aca="false">BH33*BH34*(1000*Inputs!$F$121/Inputs!$F$122)</f>
        <v>12242225.4700281</v>
      </c>
      <c r="BI37" s="13" t="n">
        <f aca="false">BI33*BI34*(1000*Inputs!$F$121/Inputs!$F$122)</f>
        <v>12318680.7778012</v>
      </c>
      <c r="BJ37" s="13" t="n">
        <f aca="false">BJ33*BJ34*(1000*Inputs!$F$121/Inputs!$F$122)</f>
        <v>12093095.5557029</v>
      </c>
      <c r="BK37" s="13" t="n">
        <f aca="false">BK33*BK34*(1000*Inputs!$F$121/Inputs!$F$122)</f>
        <v>11644411.7978281</v>
      </c>
      <c r="BL37" s="13" t="n">
        <f aca="false">BL33*BL34*(1000*Inputs!$F$121/Inputs!$F$122)</f>
        <v>11865281.2595099</v>
      </c>
      <c r="BM37" s="13" t="n">
        <f aca="false">BM33*BM34*(1000*Inputs!$F$121/Inputs!$F$122)</f>
        <v>12309139.8471054</v>
      </c>
      <c r="BN37" s="13" t="n">
        <f aca="false">BN33*BN34*(1000*Inputs!$F$121/Inputs!$F$122)</f>
        <v>8204753.10262872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0</v>
      </c>
      <c r="P38" s="13" t="n">
        <f aca="false">Inputs!$F$142*Inputs!$F$141*Time!P26</f>
        <v>3533120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10483520</v>
      </c>
      <c r="BN38" s="13" t="n">
        <f aca="false">Inputs!$F$142*Inputs!$F$141*Time!BN26</f>
        <v>7124160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14.4394834708223</v>
      </c>
      <c r="K40" s="11" t="n">
        <f aca="false">Inputs!$F$131*Inputs!$F$53*(1-Inputs!$F$132+Inputs!$F$132*K18/100)</f>
        <v>14.4717731618649</v>
      </c>
      <c r="L40" s="11" t="n">
        <f aca="false">Inputs!$F$131*Inputs!$F$53*(1-Inputs!$F$132+Inputs!$F$132*L18/100)</f>
        <v>14.5044161071804</v>
      </c>
      <c r="M40" s="11" t="n">
        <f aca="false">Inputs!$F$131*Inputs!$F$53*(1-Inputs!$F$132+Inputs!$F$132*M18/100)</f>
        <v>14.5374161714259</v>
      </c>
      <c r="N40" s="11" t="n">
        <f aca="false">Inputs!$F$131*Inputs!$F$53*(1-Inputs!$F$132+Inputs!$F$132*N18/100)</f>
        <v>14.5707772615384</v>
      </c>
      <c r="O40" s="11" t="n">
        <f aca="false">Inputs!$F$131*Inputs!$F$53*(1-Inputs!$F$132+Inputs!$F$132*O18/100)</f>
        <v>14.6045033271973</v>
      </c>
      <c r="P40" s="11" t="n">
        <f aca="false">Inputs!$F$131*Inputs!$F$53*(1-Inputs!$F$132+Inputs!$F$132*P18/100)</f>
        <v>14.6385983612922</v>
      </c>
      <c r="Q40" s="11" t="n">
        <f aca="false">Inputs!$F$131*Inputs!$F$53*(1-Inputs!$F$132+Inputs!$F$132*Q18/100)</f>
        <v>14.6730664003956</v>
      </c>
      <c r="R40" s="11" t="n">
        <f aca="false">Inputs!$F$131*Inputs!$F$53*(1-Inputs!$F$132+Inputs!$F$132*R18/100)</f>
        <v>14.7079115252406</v>
      </c>
      <c r="S40" s="11" t="n">
        <f aca="false">Inputs!$F$131*Inputs!$F$53*(1-Inputs!$F$132+Inputs!$F$132*S18/100)</f>
        <v>14.7431378612043</v>
      </c>
      <c r="T40" s="11" t="n">
        <f aca="false">Inputs!$F$131*Inputs!$F$53*(1-Inputs!$F$132+Inputs!$F$132*T18/100)</f>
        <v>14.7787495787959</v>
      </c>
      <c r="U40" s="11" t="n">
        <f aca="false">Inputs!$F$131*Inputs!$F$53*(1-Inputs!$F$132+Inputs!$F$132*U18/100)</f>
        <v>14.8147508941508</v>
      </c>
      <c r="V40" s="11" t="n">
        <f aca="false">Inputs!$F$131*Inputs!$F$53*(1-Inputs!$F$132+Inputs!$F$132*V18/100)</f>
        <v>14.8511460695294</v>
      </c>
      <c r="W40" s="11" t="n">
        <f aca="false">Inputs!$F$131*Inputs!$F$53*(1-Inputs!$F$132+Inputs!$F$132*W18/100)</f>
        <v>14.8879394138221</v>
      </c>
      <c r="X40" s="11" t="n">
        <f aca="false">Inputs!$F$131*Inputs!$F$53*(1-Inputs!$F$132+Inputs!$F$132*X18/100)</f>
        <v>14.9251352830591</v>
      </c>
      <c r="Y40" s="11" t="n">
        <f aca="false">Inputs!$F$131*Inputs!$F$53*(1-Inputs!$F$132+Inputs!$F$132*Y18/100)</f>
        <v>14.9627380809262</v>
      </c>
      <c r="Z40" s="11" t="n">
        <f aca="false">Inputs!$F$131*Inputs!$F$53*(1-Inputs!$F$132+Inputs!$F$132*Z18/100)</f>
        <v>15.0007522592864</v>
      </c>
      <c r="AA40" s="11" t="n">
        <f aca="false">Inputs!$F$131*Inputs!$F$53*(1-Inputs!$F$132+Inputs!$F$132*AA18/100)</f>
        <v>15.0391823187066</v>
      </c>
      <c r="AB40" s="11" t="n">
        <f aca="false">Inputs!$F$131*Inputs!$F$53*(1-Inputs!$F$132+Inputs!$F$132*AB18/100)</f>
        <v>15.0780328089907</v>
      </c>
      <c r="AC40" s="11" t="n">
        <f aca="false">Inputs!$F$131*Inputs!$F$53*(1-Inputs!$F$132+Inputs!$F$132*AC18/100)</f>
        <v>15.1173083297181</v>
      </c>
      <c r="AD40" s="11" t="n">
        <f aca="false">Inputs!$F$131*Inputs!$F$53*(1-Inputs!$F$132+Inputs!$F$132*AD18/100)</f>
        <v>15.1570135307885</v>
      </c>
      <c r="AE40" s="11" t="n">
        <f aca="false">Inputs!$F$131*Inputs!$F$53*(1-Inputs!$F$132+Inputs!$F$132*AE18/100)</f>
        <v>15.1971531129719</v>
      </c>
      <c r="AF40" s="11" t="n">
        <f aca="false">Inputs!$F$131*Inputs!$F$53*(1-Inputs!$F$132+Inputs!$F$132*AF18/100)</f>
        <v>15.2377318284658</v>
      </c>
      <c r="AG40" s="11" t="n">
        <f aca="false">Inputs!$F$131*Inputs!$F$53*(1-Inputs!$F$132+Inputs!$F$132*AG18/100)</f>
        <v>15.2787544814573</v>
      </c>
      <c r="AH40" s="11" t="n">
        <f aca="false">Inputs!$F$131*Inputs!$F$53*(1-Inputs!$F$132+Inputs!$F$132*AH18/100)</f>
        <v>15.3202259286921</v>
      </c>
      <c r="AI40" s="11" t="n">
        <f aca="false">Inputs!$F$131*Inputs!$F$53*(1-Inputs!$F$132+Inputs!$F$132*AI18/100)</f>
        <v>15.3621510800494</v>
      </c>
      <c r="AJ40" s="11" t="n">
        <f aca="false">Inputs!$F$131*Inputs!$F$53*(1-Inputs!$F$132+Inputs!$F$132*AJ18/100)</f>
        <v>15.4045348991233</v>
      </c>
      <c r="AK40" s="11" t="n">
        <f aca="false">Inputs!$F$131*Inputs!$F$53*(1-Inputs!$F$132+Inputs!$F$132*AK18/100)</f>
        <v>15.4473824038104</v>
      </c>
      <c r="AL40" s="11" t="n">
        <f aca="false">Inputs!$F$131*Inputs!$F$53*(1-Inputs!$F$132+Inputs!$F$132*AL18/100)</f>
        <v>15.490698666904</v>
      </c>
      <c r="AM40" s="11" t="n">
        <f aca="false">Inputs!$F$131*Inputs!$F$53*(1-Inputs!$F$132+Inputs!$F$132*AM18/100)</f>
        <v>15.5344888166943</v>
      </c>
      <c r="AN40" s="11" t="n">
        <f aca="false">Inputs!$F$131*Inputs!$F$53*(1-Inputs!$F$132+Inputs!$F$132*AN18/100)</f>
        <v>15.5787580375759</v>
      </c>
      <c r="AO40" s="11" t="n">
        <f aca="false">Inputs!$F$131*Inputs!$F$53*(1-Inputs!$F$132+Inputs!$F$132*AO18/100)</f>
        <v>15.6235115706615</v>
      </c>
      <c r="AP40" s="11" t="n">
        <f aca="false">Inputs!$F$131*Inputs!$F$53*(1-Inputs!$F$132+Inputs!$F$132*AP18/100)</f>
        <v>15.6687547144025</v>
      </c>
      <c r="AQ40" s="11" t="n">
        <f aca="false">Inputs!$F$131*Inputs!$F$53*(1-Inputs!$F$132+Inputs!$F$132*AQ18/100)</f>
        <v>15.7144928252161</v>
      </c>
      <c r="AR40" s="11" t="n">
        <f aca="false">Inputs!$F$131*Inputs!$F$53*(1-Inputs!$F$132+Inputs!$F$132*AR18/100)</f>
        <v>15.7607313181194</v>
      </c>
      <c r="AS40" s="11" t="n">
        <f aca="false">Inputs!$F$131*Inputs!$F$53*(1-Inputs!$F$132+Inputs!$F$132*AS18/100)</f>
        <v>15.8074756673708</v>
      </c>
      <c r="AT40" s="11" t="n">
        <f aca="false">Inputs!$F$131*Inputs!$F$53*(1-Inputs!$F$132+Inputs!$F$132*AT18/100)</f>
        <v>15.854731407118</v>
      </c>
      <c r="AU40" s="11" t="n">
        <f aca="false">Inputs!$F$131*Inputs!$F$53*(1-Inputs!$F$132+Inputs!$F$132*AU18/100)</f>
        <v>15.902504132053</v>
      </c>
      <c r="AV40" s="11" t="n">
        <f aca="false">Inputs!$F$131*Inputs!$F$53*(1-Inputs!$F$132+Inputs!$F$132*AV18/100)</f>
        <v>15.9507994980746</v>
      </c>
      <c r="AW40" s="11" t="n">
        <f aca="false">Inputs!$F$131*Inputs!$F$53*(1-Inputs!$F$132+Inputs!$F$132*AW18/100)</f>
        <v>15.9996232229582</v>
      </c>
      <c r="AX40" s="11" t="n">
        <f aca="false">Inputs!$F$131*Inputs!$F$53*(1-Inputs!$F$132+Inputs!$F$132*AX18/100)</f>
        <v>16.0489810870323</v>
      </c>
      <c r="AY40" s="11" t="n">
        <f aca="false">Inputs!$F$131*Inputs!$F$53*(1-Inputs!$F$132+Inputs!$F$132*AY18/100)</f>
        <v>16.0988789338632</v>
      </c>
      <c r="AZ40" s="11" t="n">
        <f aca="false">Inputs!$F$131*Inputs!$F$53*(1-Inputs!$F$132+Inputs!$F$132*AZ18/100)</f>
        <v>16.149322670947</v>
      </c>
      <c r="BA40" s="11" t="n">
        <f aca="false">Inputs!$F$131*Inputs!$F$53*(1-Inputs!$F$132+Inputs!$F$132*BA18/100)</f>
        <v>16.2003182704082</v>
      </c>
      <c r="BB40" s="11" t="n">
        <f aca="false">Inputs!$F$131*Inputs!$F$53*(1-Inputs!$F$132+Inputs!$F$132*BB18/100)</f>
        <v>16.2518717697078</v>
      </c>
      <c r="BC40" s="11" t="n">
        <f aca="false">Inputs!$F$131*Inputs!$F$53*(1-Inputs!$F$132+Inputs!$F$132*BC18/100)</f>
        <v>16.3039892723572</v>
      </c>
      <c r="BD40" s="11" t="n">
        <f aca="false">Inputs!$F$131*Inputs!$F$53*(1-Inputs!$F$132+Inputs!$F$132*BD18/100)</f>
        <v>16.3566769486414</v>
      </c>
      <c r="BE40" s="11" t="n">
        <f aca="false">Inputs!$F$131*Inputs!$F$53*(1-Inputs!$F$132+Inputs!$F$132*BE18/100)</f>
        <v>16.4099410363491</v>
      </c>
      <c r="BF40" s="11" t="n">
        <f aca="false">Inputs!$F$131*Inputs!$F$53*(1-Inputs!$F$132+Inputs!$F$132*BF18/100)</f>
        <v>16.4637878415115</v>
      </c>
      <c r="BG40" s="11" t="n">
        <f aca="false">Inputs!$F$131*Inputs!$F$53*(1-Inputs!$F$132+Inputs!$F$132*BG18/100)</f>
        <v>16.5182237391488</v>
      </c>
      <c r="BH40" s="11" t="n">
        <f aca="false">Inputs!$F$131*Inputs!$F$53*(1-Inputs!$F$132+Inputs!$F$132*BH18/100)</f>
        <v>16.5732551740247</v>
      </c>
      <c r="BI40" s="11" t="n">
        <f aca="false">Inputs!$F$131*Inputs!$F$53*(1-Inputs!$F$132+Inputs!$F$132*BI18/100)</f>
        <v>16.62888866141</v>
      </c>
      <c r="BJ40" s="11" t="n">
        <f aca="false">Inputs!$F$131*Inputs!$F$53*(1-Inputs!$F$132+Inputs!$F$132*BJ18/100)</f>
        <v>16.6851307878533</v>
      </c>
      <c r="BK40" s="11" t="n">
        <f aca="false">Inputs!$F$131*Inputs!$F$53*(1-Inputs!$F$132+Inputs!$F$132*BK18/100)</f>
        <v>16.741988211961</v>
      </c>
      <c r="BL40" s="11" t="n">
        <f aca="false">Inputs!$F$131*Inputs!$F$53*(1-Inputs!$F$132+Inputs!$F$132*BL18/100)</f>
        <v>16.7994676651861</v>
      </c>
      <c r="BM40" s="11" t="n">
        <f aca="false">Inputs!$F$131*Inputs!$F$53*(1-Inputs!$F$132+Inputs!$F$132*BM18/100)</f>
        <v>16.8575759526242</v>
      </c>
      <c r="BN40" s="11" t="n">
        <f aca="false">Inputs!$F$131*Inputs!$F$53*(1-Inputs!$F$132+Inputs!$F$132*BN18/100)</f>
        <v>16.9163199538201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2.32750272490611</v>
      </c>
      <c r="K41" s="11" t="n">
        <f aca="false">Inputs!$F$133*(Inputs!$F$134*K18/100+(1-Inputs!$F$134)*K22/100*Inputs!$F$135/K11)</f>
        <v>2.35296596894285</v>
      </c>
      <c r="L41" s="11" t="n">
        <f aca="false">Inputs!$F$133*(Inputs!$F$134*L18/100+(1-Inputs!$F$134)*L22/100*Inputs!$F$135/L11)</f>
        <v>2.37870778485405</v>
      </c>
      <c r="M41" s="11" t="n">
        <f aca="false">Inputs!$F$133*(Inputs!$F$134*M18/100+(1-Inputs!$F$134)*M22/100*Inputs!$F$135/M11)</f>
        <v>2.4047312202596</v>
      </c>
      <c r="N41" s="11" t="n">
        <f aca="false">Inputs!$F$133*(Inputs!$F$134*N18/100+(1-Inputs!$F$134)*N22/100*Inputs!$F$135/N11)</f>
        <v>2.43103935612084</v>
      </c>
      <c r="O41" s="11" t="n">
        <f aca="false">Inputs!$F$133*(Inputs!$F$134*O18/100+(1-Inputs!$F$134)*O22/100*Inputs!$F$135/O11)</f>
        <v>2.45763530710531</v>
      </c>
      <c r="P41" s="11" t="n">
        <f aca="false">Inputs!$F$133*(Inputs!$F$134*P18/100+(1-Inputs!$F$134)*P22/100*Inputs!$F$135/P11)</f>
        <v>2.4845222219555</v>
      </c>
      <c r="Q41" s="11" t="n">
        <f aca="false">Inputs!$F$133*(Inputs!$F$134*Q18/100+(1-Inputs!$F$134)*Q22/100*Inputs!$F$135/Q11)</f>
        <v>2.51170328386162</v>
      </c>
      <c r="R41" s="11" t="n">
        <f aca="false">Inputs!$F$133*(Inputs!$F$134*R18/100+(1-Inputs!$F$134)*R22/100*Inputs!$F$135/R11)</f>
        <v>2.53918171083852</v>
      </c>
      <c r="S41" s="11" t="n">
        <f aca="false">Inputs!$F$133*(Inputs!$F$134*S18/100+(1-Inputs!$F$134)*S22/100*Inputs!$F$135/S11)</f>
        <v>2.56696075610658</v>
      </c>
      <c r="T41" s="11" t="n">
        <f aca="false">Inputs!$F$133*(Inputs!$F$134*T18/100+(1-Inputs!$F$134)*T22/100*Inputs!$F$135/T11)</f>
        <v>2.59504370847696</v>
      </c>
      <c r="U41" s="11" t="n">
        <f aca="false">Inputs!$F$133*(Inputs!$F$134*U18/100+(1-Inputs!$F$134)*U22/100*Inputs!$F$135/U11)</f>
        <v>2.62343389274092</v>
      </c>
      <c r="V41" s="11" t="n">
        <f aca="false">Inputs!$F$133*(Inputs!$F$134*V18/100+(1-Inputs!$F$134)*V22/100*Inputs!$F$135/V11)</f>
        <v>2.65213467006346</v>
      </c>
      <c r="W41" s="11" t="n">
        <f aca="false">Inputs!$F$133*(Inputs!$F$134*W18/100+(1-Inputs!$F$134)*W22/100*Inputs!$F$135/W11)</f>
        <v>2.68114943838122</v>
      </c>
      <c r="X41" s="11" t="n">
        <f aca="false">Inputs!$F$133*(Inputs!$F$134*X18/100+(1-Inputs!$F$134)*X22/100*Inputs!$F$135/X11)</f>
        <v>2.71048163280485</v>
      </c>
      <c r="Y41" s="11" t="n">
        <f aca="false">Inputs!$F$133*(Inputs!$F$134*Y18/100+(1-Inputs!$F$134)*Y22/100*Inputs!$F$135/Y11)</f>
        <v>2.74013472602561</v>
      </c>
      <c r="Z41" s="11" t="n">
        <f aca="false">Inputs!$F$133*(Inputs!$F$134*Z18/100+(1-Inputs!$F$134)*Z22/100*Inputs!$F$135/Z11)</f>
        <v>2.77011222872656</v>
      </c>
      <c r="AA41" s="11" t="n">
        <f aca="false">Inputs!$F$133*(Inputs!$F$134*AA18/100+(1-Inputs!$F$134)*AA22/100*Inputs!$F$135/AA11)</f>
        <v>2.80041768999817</v>
      </c>
      <c r="AB41" s="11" t="n">
        <f aca="false">Inputs!$F$133*(Inputs!$F$134*AB18/100+(1-Inputs!$F$134)*AB22/100*Inputs!$F$135/AB11)</f>
        <v>2.83105469775854</v>
      </c>
      <c r="AC41" s="11" t="n">
        <f aca="false">Inputs!$F$133*(Inputs!$F$134*AC18/100+(1-Inputs!$F$134)*AC22/100*Inputs!$F$135/AC11)</f>
        <v>2.86202687917813</v>
      </c>
      <c r="AD41" s="11" t="n">
        <f aca="false">Inputs!$F$133*(Inputs!$F$134*AD18/100+(1-Inputs!$F$134)*AD22/100*Inputs!$F$135/AD11)</f>
        <v>2.89333790110923</v>
      </c>
      <c r="AE41" s="11" t="n">
        <f aca="false">Inputs!$F$133*(Inputs!$F$134*AE18/100+(1-Inputs!$F$134)*AE22/100*Inputs!$F$135/AE11)</f>
        <v>2.92499147052005</v>
      </c>
      <c r="AF41" s="11" t="n">
        <f aca="false">Inputs!$F$133*(Inputs!$F$134*AF18/100+(1-Inputs!$F$134)*AF22/100*Inputs!$F$135/AF11)</f>
        <v>2.95699133493363</v>
      </c>
      <c r="AG41" s="11" t="n">
        <f aca="false">Inputs!$F$133*(Inputs!$F$134*AG18/100+(1-Inputs!$F$134)*AG22/100*Inputs!$F$135/AG11)</f>
        <v>2.98934128287149</v>
      </c>
      <c r="AH41" s="11" t="n">
        <f aca="false">Inputs!$F$133*(Inputs!$F$134*AH18/100+(1-Inputs!$F$134)*AH22/100*Inputs!$F$135/AH11)</f>
        <v>3.02204514430217</v>
      </c>
      <c r="AI41" s="11" t="n">
        <f aca="false">Inputs!$F$133*(Inputs!$F$134*AI18/100+(1-Inputs!$F$134)*AI22/100*Inputs!$F$135/AI11)</f>
        <v>3.05510679109467</v>
      </c>
      <c r="AJ41" s="11" t="n">
        <f aca="false">Inputs!$F$133*(Inputs!$F$134*AJ18/100+(1-Inputs!$F$134)*AJ22/100*Inputs!$F$135/AJ11)</f>
        <v>3.08853013747682</v>
      </c>
      <c r="AK41" s="11" t="n">
        <f aca="false">Inputs!$F$133*(Inputs!$F$134*AK18/100+(1-Inputs!$F$134)*AK22/100*Inputs!$F$135/AK11)</f>
        <v>3.12231914049875</v>
      </c>
      <c r="AL41" s="11" t="n">
        <f aca="false">Inputs!$F$133*(Inputs!$F$134*AL18/100+(1-Inputs!$F$134)*AL22/100*Inputs!$F$135/AL11)</f>
        <v>3.15647780050131</v>
      </c>
      <c r="AM41" s="11" t="n">
        <f aca="false">Inputs!$F$133*(Inputs!$F$134*AM18/100+(1-Inputs!$F$134)*AM22/100*Inputs!$F$135/AM11)</f>
        <v>3.19101016158972</v>
      </c>
      <c r="AN41" s="11" t="n">
        <f aca="false">Inputs!$F$133*(Inputs!$F$134*AN18/100+(1-Inputs!$F$134)*AN22/100*Inputs!$F$135/AN11)</f>
        <v>3.22592031211234</v>
      </c>
      <c r="AO41" s="11" t="n">
        <f aca="false">Inputs!$F$133*(Inputs!$F$134*AO18/100+(1-Inputs!$F$134)*AO22/100*Inputs!$F$135/AO11)</f>
        <v>3.26121238514469</v>
      </c>
      <c r="AP41" s="11" t="n">
        <f aca="false">Inputs!$F$133*(Inputs!$F$134*AP18/100+(1-Inputs!$F$134)*AP22/100*Inputs!$F$135/AP11)</f>
        <v>3.29689055897881</v>
      </c>
      <c r="AQ41" s="11" t="n">
        <f aca="false">Inputs!$F$133*(Inputs!$F$134*AQ18/100+(1-Inputs!$F$134)*AQ22/100*Inputs!$F$135/AQ11)</f>
        <v>3.33295905761788</v>
      </c>
      <c r="AR41" s="11" t="n">
        <f aca="false">Inputs!$F$133*(Inputs!$F$134*AR18/100+(1-Inputs!$F$134)*AR22/100*Inputs!$F$135/AR11)</f>
        <v>3.36942215127634</v>
      </c>
      <c r="AS41" s="11" t="n">
        <f aca="false">Inputs!$F$133*(Inputs!$F$134*AS18/100+(1-Inputs!$F$134)*AS22/100*Inputs!$F$135/AS11)</f>
        <v>3.40628415688547</v>
      </c>
      <c r="AT41" s="11" t="n">
        <f aca="false">Inputs!$F$133*(Inputs!$F$134*AT18/100+(1-Inputs!$F$134)*AT22/100*Inputs!$F$135/AT11)</f>
        <v>3.44354943860442</v>
      </c>
      <c r="AU41" s="11" t="n">
        <f aca="false">Inputs!$F$133*(Inputs!$F$134*AU18/100+(1-Inputs!$F$134)*AU22/100*Inputs!$F$135/AU11)</f>
        <v>3.48122240833695</v>
      </c>
      <c r="AV41" s="11" t="n">
        <f aca="false">Inputs!$F$133*(Inputs!$F$134*AV18/100+(1-Inputs!$F$134)*AV22/100*Inputs!$F$135/AV11)</f>
        <v>3.51930752625372</v>
      </c>
      <c r="AW41" s="11" t="n">
        <f aca="false">Inputs!$F$133*(Inputs!$F$134*AW18/100+(1-Inputs!$F$134)*AW22/100*Inputs!$F$135/AW11)</f>
        <v>3.55780930132036</v>
      </c>
      <c r="AX41" s="11" t="n">
        <f aca="false">Inputs!$F$133*(Inputs!$F$134*AX18/100+(1-Inputs!$F$134)*AX22/100*Inputs!$F$135/AX11)</f>
        <v>3.5967322918313</v>
      </c>
      <c r="AY41" s="11" t="n">
        <f aca="false">Inputs!$F$133*(Inputs!$F$134*AY18/100+(1-Inputs!$F$134)*AY22/100*Inputs!$F$135/AY11)</f>
        <v>3.63608110594941</v>
      </c>
      <c r="AZ41" s="11" t="n">
        <f aca="false">Inputs!$F$133*(Inputs!$F$134*AZ18/100+(1-Inputs!$F$134)*AZ22/100*Inputs!$F$135/AZ11)</f>
        <v>3.67586040225159</v>
      </c>
      <c r="BA41" s="11" t="n">
        <f aca="false">Inputs!$F$133*(Inputs!$F$134*BA18/100+(1-Inputs!$F$134)*BA22/100*Inputs!$F$135/BA11)</f>
        <v>3.7160748902803</v>
      </c>
      <c r="BB41" s="11" t="n">
        <f aca="false">Inputs!$F$133*(Inputs!$F$134*BB18/100+(1-Inputs!$F$134)*BB22/100*Inputs!$F$135/BB11)</f>
        <v>3.75672933110112</v>
      </c>
      <c r="BC41" s="11" t="n">
        <f aca="false">Inputs!$F$133*(Inputs!$F$134*BC18/100+(1-Inputs!$F$134)*BC22/100*Inputs!$F$135/BC11)</f>
        <v>3.79782853786646</v>
      </c>
      <c r="BD41" s="11" t="n">
        <f aca="false">Inputs!$F$133*(Inputs!$F$134*BD18/100+(1-Inputs!$F$134)*BD22/100*Inputs!$F$135/BD11)</f>
        <v>3.83937737638535</v>
      </c>
      <c r="BE41" s="11" t="n">
        <f aca="false">Inputs!$F$133*(Inputs!$F$134*BE18/100+(1-Inputs!$F$134)*BE22/100*Inputs!$F$135/BE11)</f>
        <v>3.88138076569952</v>
      </c>
      <c r="BF41" s="11" t="n">
        <f aca="false">Inputs!$F$133*(Inputs!$F$134*BF18/100+(1-Inputs!$F$134)*BF22/100*Inputs!$F$135/BF11)</f>
        <v>3.92384367866582</v>
      </c>
      <c r="BG41" s="11" t="n">
        <f aca="false">Inputs!$F$133*(Inputs!$F$134*BG18/100+(1-Inputs!$F$134)*BG22/100*Inputs!$F$135/BG11)</f>
        <v>3.96677114254491</v>
      </c>
      <c r="BH41" s="11" t="n">
        <f aca="false">Inputs!$F$133*(Inputs!$F$134*BH18/100+(1-Inputs!$F$134)*BH22/100*Inputs!$F$135/BH11)</f>
        <v>4.01016823959647</v>
      </c>
      <c r="BI41" s="11" t="n">
        <f aca="false">Inputs!$F$133*(Inputs!$F$134*BI18/100+(1-Inputs!$F$134)*BI22/100*Inputs!$F$135/BI11)</f>
        <v>4.0540401076809</v>
      </c>
      <c r="BJ41" s="11" t="n">
        <f aca="false">Inputs!$F$133*(Inputs!$F$134*BJ18/100+(1-Inputs!$F$134)*BJ22/100*Inputs!$F$135/BJ11)</f>
        <v>4.09839194086759</v>
      </c>
      <c r="BK41" s="11" t="n">
        <f aca="false">Inputs!$F$133*(Inputs!$F$134*BK18/100+(1-Inputs!$F$134)*BK22/100*Inputs!$F$135/BK11)</f>
        <v>4.14322899004988</v>
      </c>
      <c r="BL41" s="11" t="n">
        <f aca="false">Inputs!$F$133*(Inputs!$F$134*BL18/100+(1-Inputs!$F$134)*BL22/100*Inputs!$F$135/BL11)</f>
        <v>4.18855656356668</v>
      </c>
      <c r="BM41" s="11" t="n">
        <f aca="false">Inputs!$F$133*(Inputs!$F$134*BM18/100+(1-Inputs!$F$134)*BM22/100*Inputs!$F$135/BM11)</f>
        <v>4.23438002783098</v>
      </c>
      <c r="BN41" s="11" t="n">
        <f aca="false">Inputs!$F$133*(Inputs!$F$134*BN18/100+(1-Inputs!$F$134)*BN22/100*Inputs!$F$135/BN11)</f>
        <v>4.28070480796515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0</v>
      </c>
      <c r="P42" s="11" t="n">
        <f aca="false">MIN(1,P28/Inputs!$F$130)</f>
        <v>1</v>
      </c>
      <c r="Q42" s="11" t="n">
        <f aca="false">MIN(1,Q28/Inputs!$F$130)</f>
        <v>1</v>
      </c>
      <c r="R42" s="11" t="n">
        <f aca="false">MIN(1,R28/Inputs!$F$130)</f>
        <v>1</v>
      </c>
      <c r="S42" s="11" t="n">
        <f aca="false">MIN(1,S28/Inputs!$F$130)</f>
        <v>1</v>
      </c>
      <c r="T42" s="11" t="n">
        <f aca="false">MIN(1,T28/Inputs!$F$130)</f>
        <v>1</v>
      </c>
      <c r="U42" s="11" t="n">
        <f aca="false">MIN(1,U28/Inputs!$F$130)</f>
        <v>1</v>
      </c>
      <c r="V42" s="11" t="n">
        <f aca="false">MIN(1,V28/Inputs!$F$130)</f>
        <v>1</v>
      </c>
      <c r="W42" s="11" t="n">
        <f aca="false">MIN(1,W28/Inputs!$F$130)</f>
        <v>1</v>
      </c>
      <c r="X42" s="11" t="n">
        <f aca="false">MIN(1,X28/Inputs!$F$130)</f>
        <v>1</v>
      </c>
      <c r="Y42" s="11" t="n">
        <f aca="false">MIN(1,Y28/Inputs!$F$130)</f>
        <v>1</v>
      </c>
      <c r="Z42" s="11" t="n">
        <f aca="false">MIN(1,Z28/Inputs!$F$130)</f>
        <v>1</v>
      </c>
      <c r="AA42" s="11" t="n">
        <f aca="false">MIN(1,AA28/Inputs!$F$130)</f>
        <v>1</v>
      </c>
      <c r="AB42" s="11" t="n">
        <f aca="false">MIN(1,AB28/Inputs!$F$130)</f>
        <v>1</v>
      </c>
      <c r="AC42" s="11" t="n">
        <f aca="false">MIN(1,AC28/Inputs!$F$130)</f>
        <v>1</v>
      </c>
      <c r="AD42" s="11" t="n">
        <f aca="false">MIN(1,AD28/Inputs!$F$130)</f>
        <v>1</v>
      </c>
      <c r="AE42" s="11" t="n">
        <f aca="false">MIN(1,AE28/Inputs!$F$130)</f>
        <v>0.985555555555556</v>
      </c>
      <c r="AF42" s="11" t="n">
        <f aca="false">MIN(1,AF28/Inputs!$F$130)</f>
        <v>1</v>
      </c>
      <c r="AG42" s="11" t="n">
        <f aca="false">MIN(1,AG28/Inputs!$F$130)</f>
        <v>1</v>
      </c>
      <c r="AH42" s="11" t="n">
        <f aca="false">MIN(1,AH28/Inputs!$F$130)</f>
        <v>1</v>
      </c>
      <c r="AI42" s="11" t="n">
        <f aca="false">MIN(1,AI28/Inputs!$F$130)</f>
        <v>1</v>
      </c>
      <c r="AJ42" s="11" t="n">
        <f aca="false">MIN(1,AJ28/Inputs!$F$130)</f>
        <v>1</v>
      </c>
      <c r="AK42" s="11" t="n">
        <f aca="false">MIN(1,AK28/Inputs!$F$130)</f>
        <v>1</v>
      </c>
      <c r="AL42" s="11" t="n">
        <f aca="false">MIN(1,AL28/Inputs!$F$130)</f>
        <v>1</v>
      </c>
      <c r="AM42" s="11" t="n">
        <f aca="false">MIN(1,AM28/Inputs!$F$130)</f>
        <v>1</v>
      </c>
      <c r="AN42" s="11" t="n">
        <f aca="false">MIN(1,AN28/Inputs!$F$130)</f>
        <v>1</v>
      </c>
      <c r="AO42" s="11" t="n">
        <f aca="false">MIN(1,AO28/Inputs!$F$130)</f>
        <v>1</v>
      </c>
      <c r="AP42" s="11" t="n">
        <f aca="false">MIN(1,AP28/Inputs!$F$130)</f>
        <v>1</v>
      </c>
      <c r="AQ42" s="11" t="n">
        <f aca="false">MIN(1,AQ28/Inputs!$F$130)</f>
        <v>1</v>
      </c>
      <c r="AR42" s="11" t="n">
        <f aca="false">MIN(1,AR28/Inputs!$F$130)</f>
        <v>1</v>
      </c>
      <c r="AS42" s="11" t="n">
        <f aca="false">MIN(1,AS28/Inputs!$F$130)</f>
        <v>1</v>
      </c>
      <c r="AT42" s="11" t="n">
        <f aca="false">MIN(1,AT28/Inputs!$F$130)</f>
        <v>1</v>
      </c>
      <c r="AU42" s="11" t="n">
        <f aca="false">MIN(1,AU28/Inputs!$F$130)</f>
        <v>0.985555555555556</v>
      </c>
      <c r="AV42" s="11" t="n">
        <f aca="false">MIN(1,AV28/Inputs!$F$130)</f>
        <v>1</v>
      </c>
      <c r="AW42" s="11" t="n">
        <f aca="false">MIN(1,AW28/Inputs!$F$130)</f>
        <v>1</v>
      </c>
      <c r="AX42" s="11" t="n">
        <f aca="false">MIN(1,AX28/Inputs!$F$130)</f>
        <v>1</v>
      </c>
      <c r="AY42" s="11" t="n">
        <f aca="false">MIN(1,AY28/Inputs!$F$130)</f>
        <v>1</v>
      </c>
      <c r="AZ42" s="11" t="n">
        <f aca="false">MIN(1,AZ28/Inputs!$F$130)</f>
        <v>1</v>
      </c>
      <c r="BA42" s="11" t="n">
        <f aca="false">MIN(1,BA28/Inputs!$F$130)</f>
        <v>1</v>
      </c>
      <c r="BB42" s="11" t="n">
        <f aca="false">MIN(1,BB28/Inputs!$F$130)</f>
        <v>1</v>
      </c>
      <c r="BC42" s="11" t="n">
        <f aca="false">MIN(1,BC28/Inputs!$F$130)</f>
        <v>1</v>
      </c>
      <c r="BD42" s="11" t="n">
        <f aca="false">MIN(1,BD28/Inputs!$F$130)</f>
        <v>1</v>
      </c>
      <c r="BE42" s="11" t="n">
        <f aca="false">MIN(1,BE28/Inputs!$F$130)</f>
        <v>1</v>
      </c>
      <c r="BF42" s="11" t="n">
        <f aca="false">MIN(1,BF28/Inputs!$F$130)</f>
        <v>1</v>
      </c>
      <c r="BG42" s="11" t="n">
        <f aca="false">MIN(1,BG28/Inputs!$F$130)</f>
        <v>1</v>
      </c>
      <c r="BH42" s="11" t="n">
        <f aca="false">MIN(1,BH28/Inputs!$F$130)</f>
        <v>1</v>
      </c>
      <c r="BI42" s="11" t="n">
        <f aca="false">MIN(1,BI28/Inputs!$F$130)</f>
        <v>1</v>
      </c>
      <c r="BJ42" s="11" t="n">
        <f aca="false">MIN(1,BJ28/Inputs!$F$130)</f>
        <v>1</v>
      </c>
      <c r="BK42" s="11" t="n">
        <f aca="false">MIN(1,BK28/Inputs!$F$130)</f>
        <v>0.985555555555556</v>
      </c>
      <c r="BL42" s="11" t="n">
        <f aca="false">MIN(1,BL28/Inputs!$F$130)</f>
        <v>1</v>
      </c>
      <c r="BM42" s="11" t="n">
        <f aca="false">MIN(1,BM28/Inputs!$F$130)</f>
        <v>1</v>
      </c>
      <c r="BN42" s="11" t="n">
        <f aca="false">MIN(1,BN28/Inputs!$F$130)</f>
        <v>1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3349.12562807373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0</v>
      </c>
      <c r="P43" s="11" t="n">
        <f aca="false">$F$30*1000*Time!P25*(P40+P41)*P42/1000000</f>
        <v>20.1504883023659</v>
      </c>
      <c r="Q43" s="11" t="n">
        <f aca="false">$F$30*1000*Time!Q25*(Q40+Q41)*Q42/1000000</f>
        <v>60.6691108933017</v>
      </c>
      <c r="R43" s="11" t="n">
        <f aca="false">$F$30*1000*Time!R25*(R40+R41)*R42/1000000</f>
        <v>60.8891379606538</v>
      </c>
      <c r="S43" s="11" t="n">
        <f aca="false">$F$30*1000*Time!S25*(S40+S41)*S42/1000000</f>
        <v>61.1115721585543</v>
      </c>
      <c r="T43" s="11" t="n">
        <f aca="false">$F$30*1000*Time!T25*(T40+T41)*T42/1000000</f>
        <v>61.3364398213882</v>
      </c>
      <c r="U43" s="11" t="n">
        <f aca="false">$F$30*1000*Time!U25*(U40+U41)*U42/1000000</f>
        <v>61.5637675716425</v>
      </c>
      <c r="V43" s="11" t="n">
        <f aca="false">$F$30*1000*Time!V25*(V40+V41)*V42/1000000</f>
        <v>61.7935823230587</v>
      </c>
      <c r="W43" s="11" t="n">
        <f aca="false">$F$30*1000*Time!W25*(W40+W41)*W42/1000000</f>
        <v>62.0259112838186</v>
      </c>
      <c r="X43" s="11" t="n">
        <f aca="false">$F$30*1000*Time!X25*(X40+X41)*X42/1000000</f>
        <v>62.260781959766</v>
      </c>
      <c r="Y43" s="11" t="n">
        <f aca="false">$F$30*1000*Time!Y25*(Y40+Y41)*Y42/1000000</f>
        <v>62.4982221576627</v>
      </c>
      <c r="Z43" s="11" t="n">
        <f aca="false">$F$30*1000*Time!Z25*(Z40+Z41)*Z42/1000000</f>
        <v>62.7382599884808</v>
      </c>
      <c r="AA43" s="11" t="n">
        <f aca="false">$F$30*1000*Time!AA25*(AA40+AA41)*AA42/1000000</f>
        <v>62.9809238707312</v>
      </c>
      <c r="AB43" s="11" t="n">
        <f aca="false">$F$30*1000*Time!AB25*(AB40+AB41)*AB42/1000000</f>
        <v>63.2262425338274</v>
      </c>
      <c r="AC43" s="11" t="n">
        <f aca="false">$F$30*1000*Time!AC25*(AC40+AC41)*AC42/1000000</f>
        <v>63.4742450214873</v>
      </c>
      <c r="AD43" s="11" t="n">
        <f aca="false">$F$30*1000*Time!AD25*(AD40+AD41)*AD42/1000000</f>
        <v>63.7249606951716</v>
      </c>
      <c r="AE43" s="11" t="n">
        <f aca="false">$F$30*1000*Time!AE25*(AE40+AE41)*AE42/1000000</f>
        <v>63.0542865152397</v>
      </c>
      <c r="AF43" s="11" t="n">
        <f aca="false">$F$30*1000*Time!AF25*(AF40+AF41)*AF42/1000000</f>
        <v>64.2346506560654</v>
      </c>
      <c r="AG43" s="11" t="n">
        <f aca="false">$F$30*1000*Time!AG25*(AG40+AG41)*AG42/1000000</f>
        <v>64.4936852863863</v>
      </c>
      <c r="AH43" s="11" t="n">
        <f aca="false">$F$30*1000*Time!AH25*(AH40+AH41)*AH42/1000000</f>
        <v>64.7555537960988</v>
      </c>
      <c r="AI43" s="11" t="n">
        <f aca="false">$F$30*1000*Time!AI25*(AI40+AI41)*AI42/1000000</f>
        <v>65.0202871882868</v>
      </c>
      <c r="AJ43" s="11" t="n">
        <f aca="false">$F$30*1000*Time!AJ25*(AJ40+AJ41)*AJ42/1000000</f>
        <v>65.287916805213</v>
      </c>
      <c r="AK43" s="11" t="n">
        <f aca="false">$F$30*1000*Time!AK25*(AK40+AK41)*AK42/1000000</f>
        <v>65.5584743320291</v>
      </c>
      <c r="AL43" s="11" t="n">
        <f aca="false">$F$30*1000*Time!AL25*(AL40+AL41)*AL42/1000000</f>
        <v>65.8319918005277</v>
      </c>
      <c r="AM43" s="11" t="n">
        <f aca="false">$F$30*1000*Time!AM25*(AM40+AM41)*AM42/1000000</f>
        <v>66.1085015929338</v>
      </c>
      <c r="AN43" s="11" t="n">
        <f aca="false">$F$30*1000*Time!AN25*(AN40+AN41)*AN42/1000000</f>
        <v>66.3880364457393</v>
      </c>
      <c r="AO43" s="11" t="n">
        <f aca="false">$F$30*1000*Time!AO25*(AO40+AO41)*AO42/1000000</f>
        <v>66.6706294535783</v>
      </c>
      <c r="AP43" s="11" t="n">
        <f aca="false">$F$30*1000*Time!AP25*(AP40+AP41)*AP42/1000000</f>
        <v>66.9563140731455</v>
      </c>
      <c r="AQ43" s="11" t="n">
        <f aca="false">$F$30*1000*Time!AQ25*(AQ40+AQ41)*AQ42/1000000</f>
        <v>67.245124127157</v>
      </c>
      <c r="AR43" s="11" t="n">
        <f aca="false">$F$30*1000*Time!AR25*(AR40+AR41)*AR42/1000000</f>
        <v>67.5370938083547</v>
      </c>
      <c r="AS43" s="11" t="n">
        <f aca="false">$F$30*1000*Time!AS25*(AS40+AS41)*AS42/1000000</f>
        <v>67.8322576835545</v>
      </c>
      <c r="AT43" s="11" t="n">
        <f aca="false">$F$30*1000*Time!AT25*(AT40+AT41)*AT42/1000000</f>
        <v>68.1306506977385</v>
      </c>
      <c r="AU43" s="11" t="n">
        <f aca="false">$F$30*1000*Time!AU25*(AU40+AU41)*AU42/1000000</f>
        <v>67.4438415045077</v>
      </c>
      <c r="AV43" s="11" t="n">
        <f aca="false">$F$30*1000*Time!AV25*(AV40+AV41)*AV42/1000000</f>
        <v>68.7372658386888</v>
      </c>
      <c r="AW43" s="11" t="n">
        <f aca="false">$F$30*1000*Time!AW25*(AW40+AW41)*AW42/1000000</f>
        <v>69.0455597837129</v>
      </c>
      <c r="AX43" s="11" t="n">
        <f aca="false">$F$30*1000*Time!AX25*(AX40+AX41)*AX42/1000000</f>
        <v>69.3572265127399</v>
      </c>
      <c r="AY43" s="11" t="n">
        <f aca="false">$F$30*1000*Time!AY25*(AY40+AY41)*AY42/1000000</f>
        <v>69.6723029245546</v>
      </c>
      <c r="AZ43" s="11" t="n">
        <f aca="false">$F$30*1000*Time!AZ25*(AZ40+AZ41)*AZ42/1000000</f>
        <v>69.9908263216202</v>
      </c>
      <c r="BA43" s="11" t="n">
        <f aca="false">$F$30*1000*Time!BA25*(BA40+BA41)*BA42/1000000</f>
        <v>70.3128344144948</v>
      </c>
      <c r="BB43" s="11" t="n">
        <f aca="false">$F$30*1000*Time!BB25*(BB40+BB41)*BB42/1000000</f>
        <v>70.6383653262959</v>
      </c>
      <c r="BC43" s="11" t="n">
        <f aca="false">$F$30*1000*Time!BC25*(BC40+BC41)*BC42/1000000</f>
        <v>70.9674575972137</v>
      </c>
      <c r="BD43" s="11" t="n">
        <f aca="false">$F$30*1000*Time!BD25*(BD40+BD41)*BD42/1000000</f>
        <v>71.3001501890743</v>
      </c>
      <c r="BE43" s="11" t="n">
        <f aca="false">$F$30*1000*Time!BE25*(BE40+BE41)*BE42/1000000</f>
        <v>71.6364824899524</v>
      </c>
      <c r="BF43" s="11" t="n">
        <f aca="false">$F$30*1000*Time!BF25*(BF40+BF41)*BF42/1000000</f>
        <v>71.976494318834</v>
      </c>
      <c r="BG43" s="11" t="n">
        <f aca="false">$F$30*1000*Time!BG25*(BG40+BG41)*BG42/1000000</f>
        <v>72.3202259303313</v>
      </c>
      <c r="BH43" s="11" t="n">
        <f aca="false">$F$30*1000*Time!BH25*(BH40+BH41)*BH42/1000000</f>
        <v>72.6677180194483</v>
      </c>
      <c r="BI43" s="11" t="n">
        <f aca="false">$F$30*1000*Time!BI25*(BI40+BI41)*BI42/1000000</f>
        <v>73.0190117263986</v>
      </c>
      <c r="BJ43" s="11" t="n">
        <f aca="false">$F$30*1000*Time!BJ25*(BJ40+BJ41)*BJ42/1000000</f>
        <v>73.3741486414762</v>
      </c>
      <c r="BK43" s="11" t="n">
        <f aca="false">$F$30*1000*Time!BK25*(BK40+BK41)*BK42/1000000</f>
        <v>72.6681361205019</v>
      </c>
      <c r="BL43" s="11" t="n">
        <f aca="false">$F$30*1000*Time!BL25*(BL40+BL41)*BL42/1000000</f>
        <v>74.0961207371887</v>
      </c>
      <c r="BM43" s="11" t="n">
        <f aca="false">$F$30*1000*Time!BM25*(BM40+BM41)*BM42/1000000</f>
        <v>74.4630413933989</v>
      </c>
      <c r="BN43" s="11" t="n">
        <f aca="false">$F$30*1000*Time!BN25*(BN40+BN41)*BN42/1000000</f>
        <v>49.8893174793379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3.90557954446372</v>
      </c>
      <c r="K44" s="11" t="n">
        <f aca="false">Inputs!$F$136*(Inputs!$F$137*K18/100+(1-Inputs!$F$137)*K22/100*Inputs!$F$135/K11)</f>
        <v>3.94830719585652</v>
      </c>
      <c r="L44" s="11" t="n">
        <f aca="false">Inputs!$F$136*(Inputs!$F$137*L18/100+(1-Inputs!$F$137)*L22/100*Inputs!$F$135/L11)</f>
        <v>3.99150229444192</v>
      </c>
      <c r="M44" s="11" t="n">
        <f aca="false">Inputs!$F$136*(Inputs!$F$137*M18/100+(1-Inputs!$F$137)*M22/100*Inputs!$F$135/M11)</f>
        <v>4.03516995416536</v>
      </c>
      <c r="N44" s="11" t="n">
        <f aca="false">Inputs!$F$136*(Inputs!$F$137*N18/100+(1-Inputs!$F$137)*N22/100*Inputs!$F$135/N11)</f>
        <v>4.07931534491964</v>
      </c>
      <c r="O44" s="11" t="n">
        <f aca="false">Inputs!$F$136*(Inputs!$F$137*O18/100+(1-Inputs!$F$137)*O22/100*Inputs!$F$135/O11)</f>
        <v>4.123943693157</v>
      </c>
      <c r="P44" s="11" t="n">
        <f aca="false">Inputs!$F$136*(Inputs!$F$137*P18/100+(1-Inputs!$F$137)*P22/100*Inputs!$F$135/P11)</f>
        <v>4.16906028250787</v>
      </c>
      <c r="Q44" s="11" t="n">
        <f aca="false">Inputs!$F$136*(Inputs!$F$137*Q18/100+(1-Inputs!$F$137)*Q22/100*Inputs!$F$135/Q11)</f>
        <v>4.21467045440645</v>
      </c>
      <c r="R44" s="11" t="n">
        <f aca="false">Inputs!$F$136*(Inputs!$F$137*R18/100+(1-Inputs!$F$137)*R22/100*Inputs!$F$135/R11)</f>
        <v>4.26077960872305</v>
      </c>
      <c r="S44" s="11" t="n">
        <f aca="false">Inputs!$F$136*(Inputs!$F$137*S18/100+(1-Inputs!$F$137)*S22/100*Inputs!$F$135/S11)</f>
        <v>4.30739320440339</v>
      </c>
      <c r="T44" s="11" t="n">
        <f aca="false">Inputs!$F$136*(Inputs!$F$137*T18/100+(1-Inputs!$F$137)*T22/100*Inputs!$F$135/T11)</f>
        <v>4.35451676011495</v>
      </c>
      <c r="U44" s="11" t="n">
        <f aca="false">Inputs!$F$136*(Inputs!$F$137*U18/100+(1-Inputs!$F$137)*U22/100*Inputs!$F$135/U11)</f>
        <v>4.40215585490027</v>
      </c>
      <c r="V44" s="11" t="n">
        <f aca="false">Inputs!$F$136*(Inputs!$F$137*V18/100+(1-Inputs!$F$137)*V22/100*Inputs!$F$135/V11)</f>
        <v>4.45031612883748</v>
      </c>
      <c r="W44" s="11" t="n">
        <f aca="false">Inputs!$F$136*(Inputs!$F$137*W18/100+(1-Inputs!$F$137)*W22/100*Inputs!$F$135/W11)</f>
        <v>4.49900328370807</v>
      </c>
      <c r="X44" s="11" t="n">
        <f aca="false">Inputs!$F$136*(Inputs!$F$137*X18/100+(1-Inputs!$F$137)*X22/100*Inputs!$F$135/X11)</f>
        <v>4.5482230836719</v>
      </c>
      <c r="Y44" s="11" t="n">
        <f aca="false">Inputs!$F$136*(Inputs!$F$137*Y18/100+(1-Inputs!$F$137)*Y22/100*Inputs!$F$135/Y11)</f>
        <v>4.59798135594965</v>
      </c>
      <c r="Z44" s="11" t="n">
        <f aca="false">Inputs!$F$136*(Inputs!$F$137*Z18/100+(1-Inputs!$F$137)*Z22/100*Inputs!$F$135/Z11)</f>
        <v>4.64828399151269</v>
      </c>
      <c r="AA44" s="11" t="n">
        <f aca="false">Inputs!$F$136*(Inputs!$F$137*AA18/100+(1-Inputs!$F$137)*AA22/100*Inputs!$F$135/AA11)</f>
        <v>4.69913694578054</v>
      </c>
      <c r="AB44" s="11" t="n">
        <f aca="false">Inputs!$F$136*(Inputs!$F$137*AB18/100+(1-Inputs!$F$137)*AB22/100*Inputs!$F$135/AB11)</f>
        <v>4.75054623932596</v>
      </c>
      <c r="AC44" s="11" t="n">
        <f aca="false">Inputs!$F$136*(Inputs!$F$137*AC18/100+(1-Inputs!$F$137)*AC22/100*Inputs!$F$135/AC11)</f>
        <v>4.80251795858771</v>
      </c>
      <c r="AD44" s="11" t="n">
        <f aca="false">Inputs!$F$136*(Inputs!$F$137*AD18/100+(1-Inputs!$F$137)*AD22/100*Inputs!$F$135/AD11)</f>
        <v>4.85505825659113</v>
      </c>
      <c r="AE44" s="11" t="n">
        <f aca="false">Inputs!$F$136*(Inputs!$F$137*AE18/100+(1-Inputs!$F$137)*AE22/100*Inputs!$F$135/AE11)</f>
        <v>4.90817335367664</v>
      </c>
      <c r="AF44" s="11" t="n">
        <f aca="false">Inputs!$F$136*(Inputs!$F$137*AF18/100+(1-Inputs!$F$137)*AF22/100*Inputs!$F$135/AF11)</f>
        <v>4.96186953823614</v>
      </c>
      <c r="AG44" s="11" t="n">
        <f aca="false">Inputs!$F$136*(Inputs!$F$137*AG18/100+(1-Inputs!$F$137)*AG22/100*Inputs!$F$135/AG11)</f>
        <v>5.01615316745753</v>
      </c>
      <c r="AH44" s="11" t="n">
        <f aca="false">Inputs!$F$136*(Inputs!$F$137*AH18/100+(1-Inputs!$F$137)*AH22/100*Inputs!$F$135/AH11)</f>
        <v>5.07103066807733</v>
      </c>
      <c r="AI44" s="11" t="n">
        <f aca="false">Inputs!$F$136*(Inputs!$F$137*AI18/100+(1-Inputs!$F$137)*AI22/100*Inputs!$F$135/AI11)</f>
        <v>5.12650853714159</v>
      </c>
      <c r="AJ44" s="11" t="n">
        <f aca="false">Inputs!$F$136*(Inputs!$F$137*AJ18/100+(1-Inputs!$F$137)*AJ22/100*Inputs!$F$135/AJ11)</f>
        <v>5.18259334277503</v>
      </c>
      <c r="AK44" s="11" t="n">
        <f aca="false">Inputs!$F$136*(Inputs!$F$137*AK18/100+(1-Inputs!$F$137)*AK22/100*Inputs!$F$135/AK11)</f>
        <v>5.2392917249587</v>
      </c>
      <c r="AL44" s="11" t="n">
        <f aca="false">Inputs!$F$136*(Inputs!$F$137*AL18/100+(1-Inputs!$F$137)*AL22/100*Inputs!$F$135/AL11)</f>
        <v>5.29661039631608</v>
      </c>
      <c r="AM44" s="11" t="n">
        <f aca="false">Inputs!$F$136*(Inputs!$F$137*AM18/100+(1-Inputs!$F$137)*AM22/100*Inputs!$F$135/AM11)</f>
        <v>5.3545561429078</v>
      </c>
      <c r="AN44" s="11" t="n">
        <f aca="false">Inputs!$F$136*(Inputs!$F$137*AN18/100+(1-Inputs!$F$137)*AN22/100*Inputs!$F$135/AN11)</f>
        <v>5.41313582503504</v>
      </c>
      <c r="AO44" s="11" t="n">
        <f aca="false">Inputs!$F$136*(Inputs!$F$137*AO18/100+(1-Inputs!$F$137)*AO22/100*Inputs!$F$135/AO11)</f>
        <v>5.47235637805177</v>
      </c>
      <c r="AP44" s="11" t="n">
        <f aca="false">Inputs!$F$136*(Inputs!$F$137*AP18/100+(1-Inputs!$F$137)*AP22/100*Inputs!$F$135/AP11)</f>
        <v>5.53222481318581</v>
      </c>
      <c r="AQ44" s="11" t="n">
        <f aca="false">Inputs!$F$136*(Inputs!$F$137*AQ18/100+(1-Inputs!$F$137)*AQ22/100*Inputs!$F$135/AQ11)</f>
        <v>5.59274821836891</v>
      </c>
      <c r="AR44" s="11" t="n">
        <f aca="false">Inputs!$F$136*(Inputs!$F$137*AR18/100+(1-Inputs!$F$137)*AR22/100*Inputs!$F$135/AR11)</f>
        <v>5.65393375907589</v>
      </c>
      <c r="AS44" s="11" t="n">
        <f aca="false">Inputs!$F$136*(Inputs!$F$137*AS18/100+(1-Inputs!$F$137)*AS22/100*Inputs!$F$135/AS11)</f>
        <v>5.71578867917302</v>
      </c>
      <c r="AT44" s="11" t="n">
        <f aca="false">Inputs!$F$136*(Inputs!$F$137*AT18/100+(1-Inputs!$F$137)*AT22/100*Inputs!$F$135/AT11)</f>
        <v>5.77832030177556</v>
      </c>
      <c r="AU44" s="11" t="n">
        <f aca="false">Inputs!$F$136*(Inputs!$F$137*AU18/100+(1-Inputs!$F$137)*AU22/100*Inputs!$F$135/AU11)</f>
        <v>5.84153603011483</v>
      </c>
      <c r="AV44" s="11" t="n">
        <f aca="false">Inputs!$F$136*(Inputs!$F$137*AV18/100+(1-Inputs!$F$137)*AV22/100*Inputs!$F$135/AV11)</f>
        <v>5.90544334841462</v>
      </c>
      <c r="AW44" s="11" t="n">
        <f aca="false">Inputs!$F$136*(Inputs!$F$137*AW18/100+(1-Inputs!$F$137)*AW22/100*Inputs!$F$135/AW11)</f>
        <v>5.97004982277735</v>
      </c>
      <c r="AX44" s="11" t="n">
        <f aca="false">Inputs!$F$136*(Inputs!$F$137*AX18/100+(1-Inputs!$F$137)*AX22/100*Inputs!$F$135/AX11)</f>
        <v>6.03536310207975</v>
      </c>
      <c r="AY44" s="11" t="n">
        <f aca="false">Inputs!$F$136*(Inputs!$F$137*AY18/100+(1-Inputs!$F$137)*AY22/100*Inputs!$F$135/AY11)</f>
        <v>6.10139091887845</v>
      </c>
      <c r="AZ44" s="11" t="n">
        <f aca="false">Inputs!$F$136*(Inputs!$F$137*AZ18/100+(1-Inputs!$F$137)*AZ22/100*Inputs!$F$135/AZ11)</f>
        <v>6.1681410903255</v>
      </c>
      <c r="BA44" s="11" t="n">
        <f aca="false">Inputs!$F$136*(Inputs!$F$137*BA18/100+(1-Inputs!$F$137)*BA22/100*Inputs!$F$135/BA11)</f>
        <v>6.23562151909378</v>
      </c>
      <c r="BB44" s="11" t="n">
        <f aca="false">Inputs!$F$136*(Inputs!$F$137*BB18/100+(1-Inputs!$F$137)*BB22/100*Inputs!$F$135/BB11)</f>
        <v>6.30384019431266</v>
      </c>
      <c r="BC44" s="11" t="n">
        <f aca="false">Inputs!$F$136*(Inputs!$F$137*BC18/100+(1-Inputs!$F$137)*BC22/100*Inputs!$F$135/BC11)</f>
        <v>6.37280519251384</v>
      </c>
      <c r="BD44" s="11" t="n">
        <f aca="false">Inputs!$F$136*(Inputs!$F$137*BD18/100+(1-Inputs!$F$137)*BD22/100*Inputs!$F$135/BD11)</f>
        <v>6.44252467858754</v>
      </c>
      <c r="BE44" s="11" t="n">
        <f aca="false">Inputs!$F$136*(Inputs!$F$137*BE18/100+(1-Inputs!$F$137)*BE22/100*Inputs!$F$135/BE11)</f>
        <v>6.51300690674914</v>
      </c>
      <c r="BF44" s="11" t="n">
        <f aca="false">Inputs!$F$136*(Inputs!$F$137*BF18/100+(1-Inputs!$F$137)*BF22/100*Inputs!$F$135/BF11)</f>
        <v>6.58426022151646</v>
      </c>
      <c r="BG44" s="11" t="n">
        <f aca="false">Inputs!$F$136*(Inputs!$F$137*BG18/100+(1-Inputs!$F$137)*BG22/100*Inputs!$F$135/BG11)</f>
        <v>6.65629305869762</v>
      </c>
      <c r="BH44" s="11" t="n">
        <f aca="false">Inputs!$F$136*(Inputs!$F$137*BH18/100+(1-Inputs!$F$137)*BH22/100*Inputs!$F$135/BH11)</f>
        <v>6.72911394638982</v>
      </c>
      <c r="BI44" s="11" t="n">
        <f aca="false">Inputs!$F$136*(Inputs!$F$137*BI18/100+(1-Inputs!$F$137)*BI22/100*Inputs!$F$135/BI11)</f>
        <v>6.80273150598897</v>
      </c>
      <c r="BJ44" s="11" t="n">
        <f aca="false">Inputs!$F$136*(Inputs!$F$137*BJ18/100+(1-Inputs!$F$137)*BJ22/100*Inputs!$F$135/BJ11)</f>
        <v>6.8771544532104</v>
      </c>
      <c r="BK44" s="11" t="n">
        <f aca="false">Inputs!$F$136*(Inputs!$F$137*BK18/100+(1-Inputs!$F$137)*BK22/100*Inputs!$F$135/BK11)</f>
        <v>6.95239159912073</v>
      </c>
      <c r="BL44" s="11" t="n">
        <f aca="false">Inputs!$F$136*(Inputs!$F$137*BL18/100+(1-Inputs!$F$137)*BL22/100*Inputs!$F$135/BL11)</f>
        <v>7.02845185118103</v>
      </c>
      <c r="BM44" s="11" t="n">
        <f aca="false">Inputs!$F$136*(Inputs!$F$137*BM18/100+(1-Inputs!$F$137)*BM22/100*Inputs!$F$135/BM11)</f>
        <v>7.10534421430138</v>
      </c>
      <c r="BN44" s="11" t="n">
        <f aca="false">Inputs!$F$136*(Inputs!$F$137*BN18/100+(1-Inputs!$F$137)*BN22/100*Inputs!$F$135/BN11)</f>
        <v>7.18307779190701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491.126603471572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0</v>
      </c>
      <c r="P45" s="11" t="n">
        <f aca="false">P33*P44/1000000</f>
        <v>2.54395176542335</v>
      </c>
      <c r="Q45" s="11" t="n">
        <f aca="false">Q33*Q44/1000000</f>
        <v>7.71149083074173</v>
      </c>
      <c r="R45" s="11" t="n">
        <f aca="false">R33*R44/1000000</f>
        <v>7.76509047000199</v>
      </c>
      <c r="S45" s="11" t="n">
        <f aca="false">S33*S44/1000000</f>
        <v>7.79380937039928</v>
      </c>
      <c r="T45" s="11" t="n">
        <f aca="false">T33*T44/1000000</f>
        <v>7.89857758032942</v>
      </c>
      <c r="U45" s="11" t="n">
        <f aca="false">U33*U44/1000000</f>
        <v>8.03035009080359</v>
      </c>
      <c r="V45" s="11" t="n">
        <f aca="false">V33*V44/1000000</f>
        <v>8.01984418578093</v>
      </c>
      <c r="W45" s="11" t="n">
        <f aca="false">W33*W44/1000000</f>
        <v>7.91510043193519</v>
      </c>
      <c r="X45" s="11" t="n">
        <f aca="false">X33*X44/1000000</f>
        <v>8.08979649848136</v>
      </c>
      <c r="Y45" s="11" t="n">
        <f aca="false">Y33*Y44/1000000</f>
        <v>8.36231792098586</v>
      </c>
      <c r="Z45" s="11" t="n">
        <f aca="false">Z33*Z44/1000000</f>
        <v>8.42040301455608</v>
      </c>
      <c r="AA45" s="11" t="n">
        <f aca="false">AA33*AA44/1000000</f>
        <v>8.45150716808727</v>
      </c>
      <c r="AB45" s="11" t="n">
        <f aca="false">AB33*AB44/1000000</f>
        <v>8.56507750374957</v>
      </c>
      <c r="AC45" s="11" t="n">
        <f aca="false">AC33*AC44/1000000</f>
        <v>8.70792959747923</v>
      </c>
      <c r="AD45" s="11" t="n">
        <f aca="false">AD33*AD44/1000000</f>
        <v>8.63710377917103</v>
      </c>
      <c r="AE45" s="11" t="n">
        <f aca="false">AE33*AE44/1000000</f>
        <v>8.40288296992398</v>
      </c>
      <c r="AF45" s="11" t="n">
        <f aca="false">AF33*AF44/1000000</f>
        <v>8.65105480485096</v>
      </c>
      <c r="AG45" s="11" t="n">
        <f aca="false">AG33*AG44/1000000</f>
        <v>9.0677420793438</v>
      </c>
      <c r="AH45" s="11" t="n">
        <f aca="false">AH33*AH44/1000000</f>
        <v>9.13068516284434</v>
      </c>
      <c r="AI45" s="11" t="n">
        <f aca="false">AI33*AI44/1000000</f>
        <v>9.16437088854937</v>
      </c>
      <c r="AJ45" s="11" t="n">
        <f aca="false">AJ33*AJ44/1000000</f>
        <v>9.28747782880755</v>
      </c>
      <c r="AK45" s="11" t="n">
        <f aca="false">AK33*AK44/1000000</f>
        <v>9.442334878372</v>
      </c>
      <c r="AL45" s="11" t="n">
        <f aca="false">AL33*AL44/1000000</f>
        <v>9.42989511333744</v>
      </c>
      <c r="AM45" s="11" t="n">
        <f aca="false">AM33*AM44/1000000</f>
        <v>9.30664969387859</v>
      </c>
      <c r="AN45" s="11" t="n">
        <f aca="false">AN33*AN44/1000000</f>
        <v>9.51197136071293</v>
      </c>
      <c r="AO45" s="11" t="n">
        <f aca="false">AO33*AO44/1000000</f>
        <v>9.83231096343491</v>
      </c>
      <c r="AP45" s="11" t="n">
        <f aca="false">AP33*AP44/1000000</f>
        <v>9.90051523369952</v>
      </c>
      <c r="AQ45" s="11" t="n">
        <f aca="false">AQ33*AQ44/1000000</f>
        <v>9.9369948306012</v>
      </c>
      <c r="AR45" s="11" t="n">
        <f aca="false">AR33*AR44/1000000</f>
        <v>10.0704336461178</v>
      </c>
      <c r="AS45" s="11" t="n">
        <f aca="false">AS33*AS44/1000000</f>
        <v>10.2382977006584</v>
      </c>
      <c r="AT45" s="11" t="n">
        <f aca="false">AT33*AT44/1000000</f>
        <v>10.1549302610422</v>
      </c>
      <c r="AU45" s="11" t="n">
        <f aca="false">AU33*AU44/1000000</f>
        <v>9.8794570891343</v>
      </c>
      <c r="AV45" s="11" t="n">
        <f aca="false">AV33*AV44/1000000</f>
        <v>10.1711434212087</v>
      </c>
      <c r="AW45" s="11" t="n">
        <f aca="false">AW33*AW44/1000000</f>
        <v>10.6609478308276</v>
      </c>
      <c r="AX45" s="11" t="n">
        <f aca="false">AX33*AX44/1000000</f>
        <v>10.7348496416203</v>
      </c>
      <c r="AY45" s="11" t="n">
        <f aca="false">AY33*AY44/1000000</f>
        <v>10.7743526715631</v>
      </c>
      <c r="AZ45" s="11" t="n">
        <f aca="false">AZ33*AZ44/1000000</f>
        <v>10.9189844073281</v>
      </c>
      <c r="BA45" s="11" t="n">
        <f aca="false">BA33*BA44/1000000</f>
        <v>11.1009404854709</v>
      </c>
      <c r="BB45" s="11" t="n">
        <f aca="false">BB33*BB44/1000000</f>
        <v>11.0862112776209</v>
      </c>
      <c r="BC45" s="11" t="n">
        <f aca="false">BC33*BC44/1000000</f>
        <v>10.941215273802</v>
      </c>
      <c r="BD45" s="11" t="n">
        <f aca="false">BD33*BD44/1000000</f>
        <v>11.182492889396</v>
      </c>
      <c r="BE45" s="11" t="n">
        <f aca="false">BE33*BE44/1000000</f>
        <v>11.558982243131</v>
      </c>
      <c r="BF45" s="11" t="n">
        <f aca="false">BF33*BF44/1000000</f>
        <v>11.6390538012089</v>
      </c>
      <c r="BG45" s="11" t="n">
        <f aca="false">BG33*BG44/1000000</f>
        <v>11.6818284728625</v>
      </c>
      <c r="BH45" s="11" t="n">
        <f aca="false">BH33*BH44/1000000</f>
        <v>11.8385853341839</v>
      </c>
      <c r="BI45" s="11" t="n">
        <f aca="false">BI33*BI44/1000000</f>
        <v>12.0358082273877</v>
      </c>
      <c r="BJ45" s="11" t="n">
        <f aca="false">BJ33*BJ44/1000000</f>
        <v>11.9376904663381</v>
      </c>
      <c r="BK45" s="11" t="n">
        <f aca="false">BK33*BK44/1000000</f>
        <v>11.6137454837672</v>
      </c>
      <c r="BL45" s="11" t="n">
        <f aca="false">BL33*BL44/1000000</f>
        <v>11.9565216114816</v>
      </c>
      <c r="BM45" s="11" t="n">
        <f aca="false">BM33*BM44/1000000</f>
        <v>12.5321832482564</v>
      </c>
      <c r="BN45" s="11" t="n">
        <f aca="false">BN33*BN44/1000000</f>
        <v>8.44071197088183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4935.37303329242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0</v>
      </c>
      <c r="P46" s="11" t="n">
        <f aca="false">P33*P35*(1000*Inputs!$F$121/Inputs!$F$122)*P36/1000000</f>
        <v>25.7791196996463</v>
      </c>
      <c r="Q46" s="11" t="n">
        <f aca="false">Q33*Q35*(1000*Inputs!$F$121/Inputs!$F$122)*Q36/1000000</f>
        <v>78.8709386600562</v>
      </c>
      <c r="R46" s="11" t="n">
        <f aca="false">R33*R35*(1000*Inputs!$F$121/Inputs!$F$122)*R36/1000000</f>
        <v>78.5989487836604</v>
      </c>
      <c r="S46" s="11" t="n">
        <f aca="false">S33*S35*(1000*Inputs!$F$121/Inputs!$F$122)*S36/1000000</f>
        <v>79.6363991777555</v>
      </c>
      <c r="T46" s="11" t="n">
        <f aca="false">T33*T35*(1000*Inputs!$F$121/Inputs!$F$122)*T36/1000000</f>
        <v>79.8733798268943</v>
      </c>
      <c r="U46" s="11" t="n">
        <f aca="false">U33*U35*(1000*Inputs!$F$121/Inputs!$F$122)*U36/1000000</f>
        <v>81.9745525043435</v>
      </c>
      <c r="V46" s="11" t="n">
        <f aca="false">V33*V35*(1000*Inputs!$F$121/Inputs!$F$122)*V36/1000000</f>
        <v>81.021751587173</v>
      </c>
      <c r="W46" s="11" t="n">
        <f aca="false">W33*W35*(1000*Inputs!$F$121/Inputs!$F$122)*W36/1000000</f>
        <v>80.720401369175</v>
      </c>
      <c r="X46" s="11" t="n">
        <f aca="false">X33*X35*(1000*Inputs!$F$121/Inputs!$F$122)*X36/1000000</f>
        <v>81.6498489848216</v>
      </c>
      <c r="Y46" s="11" t="n">
        <f aca="false">Y33*Y35*(1000*Inputs!$F$121/Inputs!$F$122)*Y36/1000000</f>
        <v>85.1991836729775</v>
      </c>
      <c r="Z46" s="11" t="n">
        <f aca="false">Z33*Z35*(1000*Inputs!$F$121/Inputs!$F$122)*Z36/1000000</f>
        <v>84.9048165069735</v>
      </c>
      <c r="AA46" s="11" t="n">
        <f aca="false">AA33*AA35*(1000*Inputs!$F$121/Inputs!$F$122)*AA36/1000000</f>
        <v>86.0249380962306</v>
      </c>
      <c r="AB46" s="11" t="n">
        <f aca="false">AB33*AB35*(1000*Inputs!$F$121/Inputs!$F$122)*AB36/1000000</f>
        <v>86.2803657749892</v>
      </c>
      <c r="AC46" s="11" t="n">
        <f aca="false">AC33*AC35*(1000*Inputs!$F$121/Inputs!$F$122)*AC36/1000000</f>
        <v>88.5495033741988</v>
      </c>
      <c r="AD46" s="11" t="n">
        <f aca="false">AD33*AD35*(1000*Inputs!$F$121/Inputs!$F$122)*AD36/1000000</f>
        <v>86.9219818515905</v>
      </c>
      <c r="AE46" s="11" t="n">
        <f aca="false">AE33*AE35*(1000*Inputs!$F$121/Inputs!$F$122)*AE36/1000000</f>
        <v>85.365054689092</v>
      </c>
      <c r="AF46" s="11" t="n">
        <f aca="false">AF33*AF35*(1000*Inputs!$F$121/Inputs!$F$122)*AF36/1000000</f>
        <v>86.9783006666355</v>
      </c>
      <c r="AG46" s="11" t="n">
        <f aca="false">AG33*AG35*(1000*Inputs!$F$121/Inputs!$F$122)*AG36/1000000</f>
        <v>92.0303610577914</v>
      </c>
      <c r="AH46" s="11" t="n">
        <f aca="false">AH33*AH35*(1000*Inputs!$F$121/Inputs!$F$122)*AH36/1000000</f>
        <v>91.7117897628972</v>
      </c>
      <c r="AI46" s="11" t="n">
        <f aca="false">AI33*AI35*(1000*Inputs!$F$121/Inputs!$F$122)*AI36/1000000</f>
        <v>92.9211030374604</v>
      </c>
      <c r="AJ46" s="11" t="n">
        <f aca="false">AJ33*AJ35*(1000*Inputs!$F$121/Inputs!$F$122)*AJ36/1000000</f>
        <v>93.1963942315242</v>
      </c>
      <c r="AK46" s="11" t="n">
        <f aca="false">AK33*AK35*(1000*Inputs!$F$121/Inputs!$F$122)*AK36/1000000</f>
        <v>95.6467911252727</v>
      </c>
      <c r="AL46" s="11" t="n">
        <f aca="false">AL33*AL35*(1000*Inputs!$F$121/Inputs!$F$122)*AL36/1000000</f>
        <v>94.5338347262224</v>
      </c>
      <c r="AM46" s="11" t="n">
        <f aca="false">AM33*AM35*(1000*Inputs!$F$121/Inputs!$F$122)*AM36/1000000</f>
        <v>94.1809904350741</v>
      </c>
      <c r="AN46" s="11" t="n">
        <f aca="false">AN33*AN35*(1000*Inputs!$F$121/Inputs!$F$122)*AN36/1000000</f>
        <v>95.2641759921699</v>
      </c>
      <c r="AO46" s="11" t="n">
        <f aca="false">AO33*AO35*(1000*Inputs!$F$121/Inputs!$F$122)*AO36/1000000</f>
        <v>99.4040198886196</v>
      </c>
      <c r="AP46" s="11" t="n">
        <f aca="false">AP33*AP35*(1000*Inputs!$F$121/Inputs!$F$122)*AP36/1000000</f>
        <v>99.0592696696603</v>
      </c>
      <c r="AQ46" s="11" t="n">
        <f aca="false">AQ33*AQ35*(1000*Inputs!$F$121/Inputs!$F$122)*AQ36/1000000</f>
        <v>100.364803455195</v>
      </c>
      <c r="AR46" s="11" t="n">
        <f aca="false">AR33*AR35*(1000*Inputs!$F$121/Inputs!$F$122)*AR36/1000000</f>
        <v>100.661481636439</v>
      </c>
      <c r="AS46" s="11" t="n">
        <f aca="false">AS33*AS35*(1000*Inputs!$F$121/Inputs!$F$122)*AS36/1000000</f>
        <v>103.307472786548</v>
      </c>
      <c r="AT46" s="11" t="n">
        <f aca="false">AT33*AT35*(1000*Inputs!$F$121/Inputs!$F$122)*AT36/1000000</f>
        <v>101.407363093729</v>
      </c>
      <c r="AU46" s="11" t="n">
        <f aca="false">AU33*AU35*(1000*Inputs!$F$121/Inputs!$F$122)*AU36/1000000</f>
        <v>99.5896602483417</v>
      </c>
      <c r="AV46" s="11" t="n">
        <f aca="false">AV33*AV35*(1000*Inputs!$F$121/Inputs!$F$122)*AV36/1000000</f>
        <v>101.470383003147</v>
      </c>
      <c r="AW46" s="11" t="n">
        <f aca="false">AW33*AW35*(1000*Inputs!$F$121/Inputs!$F$122)*AW36/1000000</f>
        <v>107.362781867685</v>
      </c>
      <c r="AX46" s="11" t="n">
        <f aca="false">AX33*AX35*(1000*Inputs!$F$121/Inputs!$F$122)*AX36/1000000</f>
        <v>106.989718090849</v>
      </c>
      <c r="AY46" s="11" t="n">
        <f aca="false">AY33*AY35*(1000*Inputs!$F$121/Inputs!$F$122)*AY36/1000000</f>
        <v>108.399048643486</v>
      </c>
      <c r="AZ46" s="11" t="n">
        <f aca="false">AZ33*AZ35*(1000*Inputs!$F$121/Inputs!$F$122)*AZ36/1000000</f>
        <v>108.718752184724</v>
      </c>
      <c r="BA46" s="11" t="n">
        <f aca="false">BA33*BA35*(1000*Inputs!$F$121/Inputs!$F$122)*BA36/1000000</f>
        <v>111.5757935503</v>
      </c>
      <c r="BB46" s="11" t="n">
        <f aca="false">BB33*BB35*(1000*Inputs!$F$121/Inputs!$F$122)*BB36/1000000</f>
        <v>110.276019419535</v>
      </c>
      <c r="BC46" s="11" t="n">
        <f aca="false">BC33*BC35*(1000*Inputs!$F$121/Inputs!$F$122)*BC36/1000000</f>
        <v>109.862956151477</v>
      </c>
      <c r="BD46" s="11" t="n">
        <f aca="false">BD33*BD35*(1000*Inputs!$F$121/Inputs!$F$122)*BD36/1000000</f>
        <v>111.125021868197</v>
      </c>
      <c r="BE46" s="11" t="n">
        <f aca="false">BE33*BE35*(1000*Inputs!$F$121/Inputs!$F$122)*BE36/1000000</f>
        <v>115.952576668602</v>
      </c>
      <c r="BF46" s="11" t="n">
        <f aca="false">BF33*BF35*(1000*Inputs!$F$121/Inputs!$F$122)*BF36/1000000</f>
        <v>115.548892032972</v>
      </c>
      <c r="BG46" s="11" t="n">
        <f aca="false">BG33*BG35*(1000*Inputs!$F$121/Inputs!$F$122)*BG36/1000000</f>
        <v>117.070185092118</v>
      </c>
      <c r="BH46" s="11" t="n">
        <f aca="false">BH33*BH35*(1000*Inputs!$F$121/Inputs!$F$122)*BH36/1000000</f>
        <v>117.414675751632</v>
      </c>
      <c r="BI46" s="11" t="n">
        <f aca="false">BI33*BI35*(1000*Inputs!$F$121/Inputs!$F$122)*BI36/1000000</f>
        <v>120.499430815973</v>
      </c>
      <c r="BJ46" s="11" t="n">
        <f aca="false">BJ33*BJ35*(1000*Inputs!$F$121/Inputs!$F$122)*BJ36/1000000</f>
        <v>118.281530787593</v>
      </c>
      <c r="BK46" s="11" t="n">
        <f aca="false">BK33*BK35*(1000*Inputs!$F$121/Inputs!$F$122)*BK36/1000000</f>
        <v>116.159806869325</v>
      </c>
      <c r="BL46" s="11" t="n">
        <f aca="false">BL33*BL35*(1000*Inputs!$F$121/Inputs!$F$122)*BL36/1000000</f>
        <v>118.351865898643</v>
      </c>
      <c r="BM46" s="11" t="n">
        <f aca="false">BM33*BM35*(1000*Inputs!$F$121/Inputs!$F$122)*BM36/1000000</f>
        <v>125.222894995838</v>
      </c>
      <c r="BN46" s="11" t="n">
        <f aca="false">BN33*BN35*(1000*Inputs!$F$121/Inputs!$F$122)*BN36/1000000</f>
        <v>83.4617032271672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695.537825674145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0</v>
      </c>
      <c r="P47" s="11" t="n">
        <f aca="false">Inputs!$F$143*Time!P26*Inputs!$F$144*(1+Inputs!$F$146/100)^(Time!P21-2018)/1000000</f>
        <v>3.81633916775125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16.4303479493762</v>
      </c>
      <c r="BN47" s="11" t="n">
        <f aca="false">Inputs!$F$143*Time!BN26*Inputs!$F$144*(1+Inputs!$F$146/100)^(Time!BN21-2018)/1000000</f>
        <v>11.165374573333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147.52233298824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</v>
      </c>
      <c r="P48" s="11" t="n">
        <f aca="false">P37*Inputs!$F$145*(1+Inputs!$F$146/100)^(Time!P21-2018)/1000000</f>
        <v>0.822072217410972</v>
      </c>
      <c r="Q48" s="11" t="n">
        <f aca="false">Q37*Inputs!$F$145*(1+Inputs!$F$146/100)^(Time!Q21-2018)/1000000</f>
        <v>2.50295882378314</v>
      </c>
      <c r="R48" s="11" t="n">
        <f aca="false">R37*Inputs!$F$145*(1+Inputs!$F$146/100)^(Time!R21-2018)/1000000</f>
        <v>2.49457634071986</v>
      </c>
      <c r="S48" s="11" t="n">
        <f aca="false">S37*Inputs!$F$145*(1+Inputs!$F$146/100)^(Time!S21-2018)/1000000</f>
        <v>2.51536413872757</v>
      </c>
      <c r="T48" s="11" t="n">
        <f aca="false">T37*Inputs!$F$145*(1+Inputs!$F$146/100)^(Time!T21-2018)/1000000</f>
        <v>2.52310069174203</v>
      </c>
      <c r="U48" s="11" t="n">
        <f aca="false">U37*Inputs!$F$145*(1+Inputs!$F$146/100)^(Time!U21-2018)/1000000</f>
        <v>2.5770370887498</v>
      </c>
      <c r="V48" s="11" t="n">
        <f aca="false">V37*Inputs!$F$145*(1+Inputs!$F$146/100)^(Time!V21-2018)/1000000</f>
        <v>2.54733708376765</v>
      </c>
      <c r="W48" s="11" t="n">
        <f aca="false">W37*Inputs!$F$145*(1+Inputs!$F$146/100)^(Time!W21-2018)/1000000</f>
        <v>2.52567288538279</v>
      </c>
      <c r="X48" s="11" t="n">
        <f aca="false">X37*Inputs!$F$145*(1+Inputs!$F$146/100)^(Time!X21-2018)/1000000</f>
        <v>2.5550079524854</v>
      </c>
      <c r="Y48" s="11" t="n">
        <f aca="false">Y37*Inputs!$F$145*(1+Inputs!$F$146/100)^(Time!Y21-2018)/1000000</f>
        <v>2.65326854613213</v>
      </c>
      <c r="Z48" s="11" t="n">
        <f aca="false">Z37*Inputs!$F$145*(1+Inputs!$F$146/100)^(Time!Z21-2018)/1000000</f>
        <v>2.64436310847705</v>
      </c>
      <c r="AA48" s="11" t="n">
        <f aca="false">AA37*Inputs!$F$145*(1+Inputs!$F$146/100)^(Time!AA21-2018)/1000000</f>
        <v>2.66637937436111</v>
      </c>
      <c r="AB48" s="11" t="n">
        <f aca="false">AB37*Inputs!$F$145*(1+Inputs!$F$146/100)^(Time!AB21-2018)/1000000</f>
        <v>2.6745606031505</v>
      </c>
      <c r="AC48" s="11" t="n">
        <f aca="false">AC37*Inputs!$F$145*(1+Inputs!$F$146/100)^(Time!AC21-2018)/1000000</f>
        <v>2.73171452578498</v>
      </c>
      <c r="AD48" s="11" t="n">
        <f aca="false">AD37*Inputs!$F$145*(1+Inputs!$F$146/100)^(Time!AD21-2018)/1000000</f>
        <v>2.68177045261444</v>
      </c>
      <c r="AE48" s="11" t="n">
        <f aca="false">AE37*Inputs!$F$145*(1+Inputs!$F$146/100)^(Time!AE21-2018)/1000000</f>
        <v>2.62108272302898</v>
      </c>
      <c r="AF48" s="11" t="n">
        <f aca="false">AF37*Inputs!$F$145*(1+Inputs!$F$146/100)^(Time!AF21-2018)/1000000</f>
        <v>2.67087909828532</v>
      </c>
      <c r="AG48" s="11" t="n">
        <f aca="false">AG37*Inputs!$F$145*(1+Inputs!$F$146/100)^(Time!AG21-2018)/1000000</f>
        <v>2.81243806295103</v>
      </c>
      <c r="AH48" s="11" t="n">
        <f aca="false">AH37*Inputs!$F$145*(1+Inputs!$F$146/100)^(Time!AH21-2018)/1000000</f>
        <v>2.80297757361037</v>
      </c>
      <c r="AI48" s="11" t="n">
        <f aca="false">AI37*Inputs!$F$145*(1+Inputs!$F$146/100)^(Time!AI21-2018)/1000000</f>
        <v>2.82629342347187</v>
      </c>
      <c r="AJ48" s="11" t="n">
        <f aca="false">AJ37*Inputs!$F$145*(1+Inputs!$F$146/100)^(Time!AJ21-2018)/1000000</f>
        <v>2.83494424264546</v>
      </c>
      <c r="AK48" s="11" t="n">
        <f aca="false">AK37*Inputs!$F$145*(1+Inputs!$F$146/100)^(Time!AK21-2018)/1000000</f>
        <v>2.89550394426714</v>
      </c>
      <c r="AL48" s="11" t="n">
        <f aca="false">AL37*Inputs!$F$145*(1+Inputs!$F$146/100)^(Time!AL21-2018)/1000000</f>
        <v>2.86209114322515</v>
      </c>
      <c r="AM48" s="11" t="n">
        <f aca="false">AM37*Inputs!$F$145*(1+Inputs!$F$146/100)^(Time!AM21-2018)/1000000</f>
        <v>2.83770790646585</v>
      </c>
      <c r="AN48" s="11" t="n">
        <f aca="false">AN37*Inputs!$F$145*(1+Inputs!$F$146/100)^(Time!AN21-2018)/1000000</f>
        <v>2.87062450669468</v>
      </c>
      <c r="AO48" s="11" t="n">
        <f aca="false">AO37*Inputs!$F$145*(1+Inputs!$F$146/100)^(Time!AO21-2018)/1000000</f>
        <v>2.98097875496188</v>
      </c>
      <c r="AP48" s="11" t="n">
        <f aca="false">AP37*Inputs!$F$145*(1+Inputs!$F$146/100)^(Time!AP21-2018)/1000000</f>
        <v>2.97092917871418</v>
      </c>
      <c r="AQ48" s="11" t="n">
        <f aca="false">AQ37*Inputs!$F$145*(1+Inputs!$F$146/100)^(Time!AQ21-2018)/1000000</f>
        <v>2.99561974643266</v>
      </c>
      <c r="AR48" s="11" t="n">
        <f aca="false">AR37*Inputs!$F$145*(1+Inputs!$F$146/100)^(Time!AR21-2018)/1000000</f>
        <v>3.00476642152149</v>
      </c>
      <c r="AS48" s="11" t="n">
        <f aca="false">AS37*Inputs!$F$145*(1+Inputs!$F$146/100)^(Time!AS21-2018)/1000000</f>
        <v>3.06893092727332</v>
      </c>
      <c r="AT48" s="11" t="n">
        <f aca="false">AT37*Inputs!$F$145*(1+Inputs!$F$146/100)^(Time!AT21-2018)/1000000</f>
        <v>3.0127765863489</v>
      </c>
      <c r="AU48" s="11" t="n">
        <f aca="false">AU37*Inputs!$F$145*(1+Inputs!$F$146/100)^(Time!AU21-2018)/1000000</f>
        <v>2.94455435039529</v>
      </c>
      <c r="AV48" s="11" t="n">
        <f aca="false">AV37*Inputs!$F$145*(1+Inputs!$F$146/100)^(Time!AV21-2018)/1000000</f>
        <v>3.00045138364863</v>
      </c>
      <c r="AW48" s="11" t="n">
        <f aca="false">AW37*Inputs!$F$145*(1+Inputs!$F$146/100)^(Time!AW21-2018)/1000000</f>
        <v>3.15943079011661</v>
      </c>
      <c r="AX48" s="11" t="n">
        <f aca="false">AX37*Inputs!$F$145*(1+Inputs!$F$146/100)^(Time!AX21-2018)/1000000</f>
        <v>3.14875603856921</v>
      </c>
      <c r="AY48" s="11" t="n">
        <f aca="false">AY37*Inputs!$F$145*(1+Inputs!$F$146/100)^(Time!AY21-2018)/1000000</f>
        <v>3.17490069593238</v>
      </c>
      <c r="AZ48" s="11" t="n">
        <f aca="false">AZ37*Inputs!$F$145*(1+Inputs!$F$146/100)^(Time!AZ21-2018)/1000000</f>
        <v>3.18457091338283</v>
      </c>
      <c r="BA48" s="11" t="n">
        <f aca="false">BA37*Inputs!$F$145*(1+Inputs!$F$146/100)^(Time!BA21-2018)/1000000</f>
        <v>3.25255062003178</v>
      </c>
      <c r="BB48" s="11" t="n">
        <f aca="false">BB37*Inputs!$F$145*(1+Inputs!$F$146/100)^(Time!BB21-2018)/1000000</f>
        <v>3.21496952620687</v>
      </c>
      <c r="BC48" s="11" t="n">
        <f aca="false">BC37*Inputs!$F$145*(1+Inputs!$F$146/100)^(Time!BC21-2018)/1000000</f>
        <v>3.18753223446583</v>
      </c>
      <c r="BD48" s="11" t="n">
        <f aca="false">BD37*Inputs!$F$145*(1+Inputs!$F$146/100)^(Time!BD21-2018)/1000000</f>
        <v>3.22445836749426</v>
      </c>
      <c r="BE48" s="11" t="n">
        <f aca="false">BE37*Inputs!$F$145*(1+Inputs!$F$146/100)^(Time!BE21-2018)/1000000</f>
        <v>3.34836469344265</v>
      </c>
      <c r="BF48" s="11" t="n">
        <f aca="false">BF37*Inputs!$F$145*(1+Inputs!$F$146/100)^(Time!BF21-2018)/1000000</f>
        <v>3.33702650328729</v>
      </c>
      <c r="BG48" s="11" t="n">
        <f aca="false">BG37*Inputs!$F$145*(1+Inputs!$F$146/100)^(Time!BG21-2018)/1000000</f>
        <v>3.36470909169022</v>
      </c>
      <c r="BH48" s="11" t="n">
        <f aca="false">BH37*Inputs!$F$145*(1+Inputs!$F$146/100)^(Time!BH21-2018)/1000000</f>
        <v>3.37493203223909</v>
      </c>
      <c r="BI48" s="11" t="n">
        <f aca="false">BI37*Inputs!$F$145*(1+Inputs!$F$146/100)^(Time!BI21-2018)/1000000</f>
        <v>3.44694934025841</v>
      </c>
      <c r="BJ48" s="11" t="n">
        <f aca="false">BJ37*Inputs!$F$145*(1+Inputs!$F$146/100)^(Time!BJ21-2018)/1000000</f>
        <v>3.38382725385082</v>
      </c>
      <c r="BK48" s="11" t="n">
        <f aca="false">BK37*Inputs!$F$145*(1+Inputs!$F$146/100)^(Time!BK21-2018)/1000000</f>
        <v>3.30715307609067</v>
      </c>
      <c r="BL48" s="11" t="n">
        <f aca="false">BL37*Inputs!$F$145*(1+Inputs!$F$146/100)^(Time!BL21-2018)/1000000</f>
        <v>3.36988266108797</v>
      </c>
      <c r="BM48" s="11" t="n">
        <f aca="false">BM37*Inputs!$F$145*(1+Inputs!$F$146/100)^(Time!BM21-2018)/1000000</f>
        <v>3.54838299885033</v>
      </c>
      <c r="BN48" s="11" t="n">
        <f aca="false">BN37*Inputs!$F$145*(1+Inputs!$F$146/100)^(Time!BN21-2018)/1000000</f>
        <v>2.36520234401095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3840.2522315453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0</v>
      </c>
      <c r="P50" s="11" t="n">
        <f aca="false">P43+P45</f>
        <v>22.6944400677892</v>
      </c>
      <c r="Q50" s="11" t="n">
        <f aca="false">Q43+Q45</f>
        <v>68.3806017240434</v>
      </c>
      <c r="R50" s="11" t="n">
        <f aca="false">R43+R45</f>
        <v>68.6542284306558</v>
      </c>
      <c r="S50" s="11" t="n">
        <f aca="false">S43+S45</f>
        <v>68.9053815289536</v>
      </c>
      <c r="T50" s="11" t="n">
        <f aca="false">T43+T45</f>
        <v>69.2350174017176</v>
      </c>
      <c r="U50" s="11" t="n">
        <f aca="false">U43+U45</f>
        <v>69.5941176624461</v>
      </c>
      <c r="V50" s="11" t="n">
        <f aca="false">V43+V45</f>
        <v>69.8134265088396</v>
      </c>
      <c r="W50" s="11" t="n">
        <f aca="false">W43+W45</f>
        <v>69.9410117157538</v>
      </c>
      <c r="X50" s="11" t="n">
        <f aca="false">X43+X45</f>
        <v>70.3505784582473</v>
      </c>
      <c r="Y50" s="11" t="n">
        <f aca="false">Y43+Y45</f>
        <v>70.8605400786485</v>
      </c>
      <c r="Z50" s="11" t="n">
        <f aca="false">Z43+Z45</f>
        <v>71.1586630030369</v>
      </c>
      <c r="AA50" s="11" t="n">
        <f aca="false">AA43+AA45</f>
        <v>71.4324310388185</v>
      </c>
      <c r="AB50" s="11" t="n">
        <f aca="false">AB43+AB45</f>
        <v>71.791320037577</v>
      </c>
      <c r="AC50" s="11" t="n">
        <f aca="false">AC43+AC45</f>
        <v>72.1821746189666</v>
      </c>
      <c r="AD50" s="11" t="n">
        <f aca="false">AD43+AD45</f>
        <v>72.3620644743427</v>
      </c>
      <c r="AE50" s="11" t="n">
        <f aca="false">AE43+AE45</f>
        <v>71.4571694851637</v>
      </c>
      <c r="AF50" s="11" t="n">
        <f aca="false">AF43+AF45</f>
        <v>72.8857054609163</v>
      </c>
      <c r="AG50" s="11" t="n">
        <f aca="false">AG43+AG45</f>
        <v>73.5614273657301</v>
      </c>
      <c r="AH50" s="11" t="n">
        <f aca="false">AH43+AH45</f>
        <v>73.8862389589432</v>
      </c>
      <c r="AI50" s="11" t="n">
        <f aca="false">AI43+AI45</f>
        <v>74.1846580768362</v>
      </c>
      <c r="AJ50" s="11" t="n">
        <f aca="false">AJ43+AJ45</f>
        <v>74.5753946340206</v>
      </c>
      <c r="AK50" s="11" t="n">
        <f aca="false">AK43+AK45</f>
        <v>75.0008092104011</v>
      </c>
      <c r="AL50" s="11" t="n">
        <f aca="false">AL43+AL45</f>
        <v>75.2618869138651</v>
      </c>
      <c r="AM50" s="11" t="n">
        <f aca="false">AM43+AM45</f>
        <v>75.4151512868124</v>
      </c>
      <c r="AN50" s="11" t="n">
        <f aca="false">AN43+AN45</f>
        <v>75.9000078064522</v>
      </c>
      <c r="AO50" s="11" t="n">
        <f aca="false">AO43+AO45</f>
        <v>76.5029404170132</v>
      </c>
      <c r="AP50" s="11" t="n">
        <f aca="false">AP43+AP45</f>
        <v>76.8568293068451</v>
      </c>
      <c r="AQ50" s="11" t="n">
        <f aca="false">AQ43+AQ45</f>
        <v>77.1821189577582</v>
      </c>
      <c r="AR50" s="11" t="n">
        <f aca="false">AR43+AR45</f>
        <v>77.6075274544725</v>
      </c>
      <c r="AS50" s="11" t="n">
        <f aca="false">AS43+AS45</f>
        <v>78.0705553842129</v>
      </c>
      <c r="AT50" s="11" t="n">
        <f aca="false">AT43+AT45</f>
        <v>78.2855809587808</v>
      </c>
      <c r="AU50" s="11" t="n">
        <f aca="false">AU43+AU45</f>
        <v>77.323298593642</v>
      </c>
      <c r="AV50" s="11" t="n">
        <f aca="false">AV43+AV45</f>
        <v>78.9084092598975</v>
      </c>
      <c r="AW50" s="11" t="n">
        <f aca="false">AW43+AW45</f>
        <v>79.7065076145405</v>
      </c>
      <c r="AX50" s="11" t="n">
        <f aca="false">AX43+AX45</f>
        <v>80.0920761543602</v>
      </c>
      <c r="AY50" s="11" t="n">
        <f aca="false">AY43+AY45</f>
        <v>80.4466555961177</v>
      </c>
      <c r="AZ50" s="11" t="n">
        <f aca="false">AZ43+AZ45</f>
        <v>80.9098107289483</v>
      </c>
      <c r="BA50" s="11" t="n">
        <f aca="false">BA43+BA45</f>
        <v>81.4137748999657</v>
      </c>
      <c r="BB50" s="11" t="n">
        <f aca="false">BB43+BB45</f>
        <v>81.7245766039167</v>
      </c>
      <c r="BC50" s="11" t="n">
        <f aca="false">BC43+BC45</f>
        <v>81.9086728710156</v>
      </c>
      <c r="BD50" s="11" t="n">
        <f aca="false">BD43+BD45</f>
        <v>82.4826430784703</v>
      </c>
      <c r="BE50" s="11" t="n">
        <f aca="false">BE43+BE45</f>
        <v>83.1954647330834</v>
      </c>
      <c r="BF50" s="11" t="n">
        <f aca="false">BF43+BF45</f>
        <v>83.6155481200429</v>
      </c>
      <c r="BG50" s="11" t="n">
        <f aca="false">BG43+BG45</f>
        <v>84.0020544031938</v>
      </c>
      <c r="BH50" s="11" t="n">
        <f aca="false">BH43+BH45</f>
        <v>84.5063033536322</v>
      </c>
      <c r="BI50" s="11" t="n">
        <f aca="false">BI43+BI45</f>
        <v>85.0548199537863</v>
      </c>
      <c r="BJ50" s="11" t="n">
        <f aca="false">BJ43+BJ45</f>
        <v>85.3118391078143</v>
      </c>
      <c r="BK50" s="11" t="n">
        <f aca="false">BK43+BK45</f>
        <v>84.2818816042691</v>
      </c>
      <c r="BL50" s="11" t="n">
        <f aca="false">BL43+BL45</f>
        <v>86.0526423486703</v>
      </c>
      <c r="BM50" s="11" t="n">
        <f aca="false">BM43+BM45</f>
        <v>86.9952246416553</v>
      </c>
      <c r="BN50" s="11" t="n">
        <f aca="false">BN43+BN45</f>
        <v>58.3300294502197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9618.68542350011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0</v>
      </c>
      <c r="P51" s="11" t="n">
        <f aca="false">P50+P46+P47+P48+P49</f>
        <v>53.1119711525977</v>
      </c>
      <c r="Q51" s="11" t="n">
        <f aca="false">Q50+Q46+Q47+Q48+Q49</f>
        <v>161.248249211217</v>
      </c>
      <c r="R51" s="11" t="n">
        <f aca="false">R50+R46+R47+R48+R49</f>
        <v>161.432007702073</v>
      </c>
      <c r="S51" s="11" t="n">
        <f aca="false">S50+S46+S47+S48+S49</f>
        <v>162.723301098821</v>
      </c>
      <c r="T51" s="11" t="n">
        <f aca="false">T50+T46+T47+T48+T49</f>
        <v>163.491015879596</v>
      </c>
      <c r="U51" s="11" t="n">
        <f aca="false">U50+U46+U47+U48+U49</f>
        <v>166.052276563207</v>
      </c>
      <c r="V51" s="11" t="n">
        <f aca="false">V50+V46+V47+V48+V49</f>
        <v>165.419925908411</v>
      </c>
      <c r="W51" s="11" t="n">
        <f aca="false">W50+W46+W47+W48+W49</f>
        <v>165.205851796455</v>
      </c>
      <c r="X51" s="11" t="n">
        <f aca="false">X50+X46+X47+X48+X49</f>
        <v>166.773407285114</v>
      </c>
      <c r="Y51" s="11" t="n">
        <f aca="false">Y50+Y46+Y47+Y48+Y49</f>
        <v>170.912039611294</v>
      </c>
      <c r="Z51" s="11" t="n">
        <f aca="false">Z50+Z46+Z47+Z48+Z49</f>
        <v>171.109084086391</v>
      </c>
      <c r="AA51" s="11" t="n">
        <f aca="false">AA50+AA46+AA47+AA48+AA49</f>
        <v>172.505781532649</v>
      </c>
      <c r="AB51" s="11" t="n">
        <f aca="false">AB50+AB46+AB47+AB48+AB49</f>
        <v>173.333506505639</v>
      </c>
      <c r="AC51" s="11" t="n">
        <f aca="false">AC50+AC46+AC47+AC48+AC49</f>
        <v>176.100591195099</v>
      </c>
      <c r="AD51" s="11" t="n">
        <f aca="false">AD50+AD46+AD47+AD48+AD49</f>
        <v>174.741885769818</v>
      </c>
      <c r="AE51" s="11" t="n">
        <f aca="false">AE50+AE46+AE47+AE48+AE49</f>
        <v>172.199586868651</v>
      </c>
      <c r="AF51" s="11" t="n">
        <f aca="false">AF50+AF46+AF47+AF48+AF49</f>
        <v>175.502595251977</v>
      </c>
      <c r="AG51" s="11" t="n">
        <f aca="false">AG50+AG46+AG47+AG48+AG49</f>
        <v>181.351850657409</v>
      </c>
      <c r="AH51" s="11" t="n">
        <f aca="false">AH50+AH46+AH47+AH48+AH49</f>
        <v>181.563231971983</v>
      </c>
      <c r="AI51" s="11" t="n">
        <f aca="false">AI50+AI46+AI47+AI48+AI49</f>
        <v>183.073893071269</v>
      </c>
      <c r="AJ51" s="11" t="n">
        <f aca="false">AJ50+AJ46+AJ47+AJ48+AJ49</f>
        <v>183.96639216987</v>
      </c>
      <c r="AK51" s="11" t="n">
        <f aca="false">AK50+AK46+AK47+AK48+AK49</f>
        <v>186.955766336811</v>
      </c>
      <c r="AL51" s="11" t="n">
        <f aca="false">AL50+AL46+AL47+AL48+AL49</f>
        <v>186.217866730918</v>
      </c>
      <c r="AM51" s="11" t="n">
        <f aca="false">AM50+AM46+AM47+AM48+AM49</f>
        <v>185.972900231528</v>
      </c>
      <c r="AN51" s="11" t="n">
        <f aca="false">AN50+AN46+AN47+AN48+AN49</f>
        <v>187.798263062136</v>
      </c>
      <c r="AO51" s="11" t="n">
        <f aca="false">AO50+AO46+AO47+AO48+AO49</f>
        <v>192.630075422818</v>
      </c>
      <c r="AP51" s="11" t="n">
        <f aca="false">AP50+AP46+AP47+AP48+AP49</f>
        <v>192.856934733391</v>
      </c>
      <c r="AQ51" s="11" t="n">
        <f aca="false">AQ50+AQ46+AQ47+AQ48+AQ49</f>
        <v>194.490810567042</v>
      </c>
      <c r="AR51" s="11" t="n">
        <f aca="false">AR50+AR46+AR47+AR48+AR49</f>
        <v>195.453230689277</v>
      </c>
      <c r="AS51" s="11" t="n">
        <f aca="false">AS50+AS46+AS47+AS48+AS49</f>
        <v>198.682669722047</v>
      </c>
      <c r="AT51" s="11" t="n">
        <f aca="false">AT50+AT46+AT47+AT48+AT49</f>
        <v>197.097867643355</v>
      </c>
      <c r="AU51" s="11" t="n">
        <f aca="false">AU50+AU46+AU47+AU48+AU49</f>
        <v>194.227368012657</v>
      </c>
      <c r="AV51" s="11" t="n">
        <f aca="false">AV50+AV46+AV47+AV48+AV49</f>
        <v>197.987272856257</v>
      </c>
      <c r="AW51" s="11" t="n">
        <f aca="false">AW50+AW46+AW47+AW48+AW49</f>
        <v>204.814122914924</v>
      </c>
      <c r="AX51" s="11" t="n">
        <f aca="false">AX50+AX46+AX47+AX48+AX49</f>
        <v>205.057699931486</v>
      </c>
      <c r="AY51" s="11" t="n">
        <f aca="false">AY50+AY46+AY47+AY48+AY49</f>
        <v>206.824788617757</v>
      </c>
      <c r="AZ51" s="11" t="n">
        <f aca="false">AZ50+AZ46+AZ47+AZ48+AZ49</f>
        <v>207.862690719479</v>
      </c>
      <c r="BA51" s="11" t="n">
        <f aca="false">BA50+BA46+BA47+BA48+BA49</f>
        <v>211.35138344387</v>
      </c>
      <c r="BB51" s="11" t="n">
        <f aca="false">BB50+BB46+BB47+BB48+BB49</f>
        <v>210.490865795468</v>
      </c>
      <c r="BC51" s="11" t="n">
        <f aca="false">BC50+BC46+BC47+BC48+BC49</f>
        <v>210.210801390974</v>
      </c>
      <c r="BD51" s="11" t="n">
        <f aca="false">BD50+BD46+BD47+BD48+BD49</f>
        <v>212.336553063658</v>
      </c>
      <c r="BE51" s="11" t="n">
        <f aca="false">BE50+BE46+BE47+BE48+BE49</f>
        <v>217.976820831155</v>
      </c>
      <c r="BF51" s="11" t="n">
        <f aca="false">BF50+BF46+BF47+BF48+BF49</f>
        <v>218.238462852042</v>
      </c>
      <c r="BG51" s="11" t="n">
        <f aca="false">BG50+BG46+BG47+BG48+BG49</f>
        <v>220.149569544068</v>
      </c>
      <c r="BH51" s="11" t="n">
        <f aca="false">BH50+BH46+BH47+BH48+BH49</f>
        <v>221.268962276179</v>
      </c>
      <c r="BI51" s="11" t="n">
        <f aca="false">BI50+BI46+BI47+BI48+BI49</f>
        <v>225.037622592885</v>
      </c>
      <c r="BJ51" s="11" t="n">
        <f aca="false">BJ50+BJ46+BJ47+BJ48+BJ49</f>
        <v>223.189844055013</v>
      </c>
      <c r="BK51" s="11" t="n">
        <f aca="false">BK50+BK46+BK47+BK48+BK49</f>
        <v>219.936376475179</v>
      </c>
      <c r="BL51" s="11" t="n">
        <f aca="false">BL50+BL46+BL47+BL48+BL49</f>
        <v>224.230227517743</v>
      </c>
      <c r="BM51" s="11" t="n">
        <f aca="false">BM50+BM46+BM47+BM48+BM49</f>
        <v>232.19685058572</v>
      </c>
      <c r="BN51" s="11" t="n">
        <f aca="false">BN50+BN46+BN47+BN48+BN49</f>
        <v>155.322309594731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282.415873551671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0</v>
      </c>
      <c r="P55" s="11" t="n">
        <f aca="false">Inputs!$F$148*(Inputs!$F$149*P19+(1-Inputs!$F$149)*P23*Inputs!$F$150/P11)*Time!P25/12*Inputs!$F$39</f>
        <v>1.41425519242689</v>
      </c>
      <c r="Q55" s="11" t="n">
        <f aca="false">Inputs!$F$148*(Inputs!$F$149*Q19+(1-Inputs!$F$149)*Q23*Inputs!$F$150/Q11)*Time!Q25/12*Inputs!$F$39</f>
        <v>4.28918209663807</v>
      </c>
      <c r="R55" s="11" t="n">
        <f aca="false">Inputs!$F$148*(Inputs!$F$149*R19+(1-Inputs!$F$149)*R23*Inputs!$F$150/R11)*Time!R25/12*Inputs!$F$39</f>
        <v>4.33610641998086</v>
      </c>
      <c r="S55" s="11" t="n">
        <f aca="false">Inputs!$F$148*(Inputs!$F$149*S19+(1-Inputs!$F$149)*S23*Inputs!$F$150/S11)*Time!S25/12*Inputs!$F$39</f>
        <v>4.38354410276411</v>
      </c>
      <c r="T55" s="11" t="n">
        <f aca="false">Inputs!$F$148*(Inputs!$F$149*T19+(1-Inputs!$F$149)*T23*Inputs!$F$150/T11)*Time!T25/12*Inputs!$F$39</f>
        <v>4.43150076122044</v>
      </c>
      <c r="U55" s="11" t="n">
        <f aca="false">Inputs!$F$148*(Inputs!$F$149*U19+(1-Inputs!$F$149)*U23*Inputs!$F$150/U11)*Time!U25/12*Inputs!$F$39</f>
        <v>4.47998207302492</v>
      </c>
      <c r="V55" s="11" t="n">
        <f aca="false">Inputs!$F$148*(Inputs!$F$149*V19+(1-Inputs!$F$149)*V23*Inputs!$F$150/V11)*Time!V25/12*Inputs!$F$39</f>
        <v>4.52899377796729</v>
      </c>
      <c r="W55" s="11" t="n">
        <f aca="false">Inputs!$F$148*(Inputs!$F$149*W19+(1-Inputs!$F$149)*W23*Inputs!$F$150/W11)*Time!W25/12*Inputs!$F$39</f>
        <v>4.57854167863147</v>
      </c>
      <c r="X55" s="11" t="n">
        <f aca="false">Inputs!$F$148*(Inputs!$F$149*X19+(1-Inputs!$F$149)*X23*Inputs!$F$150/X11)*Time!X25/12*Inputs!$F$39</f>
        <v>4.62863164108256</v>
      </c>
      <c r="Y55" s="11" t="n">
        <f aca="false">Inputs!$F$148*(Inputs!$F$149*Y19+(1-Inputs!$F$149)*Y23*Inputs!$F$150/Y11)*Time!Y25/12*Inputs!$F$39</f>
        <v>4.67926959556136</v>
      </c>
      <c r="Z55" s="11" t="n">
        <f aca="false">Inputs!$F$148*(Inputs!$F$149*Z19+(1-Inputs!$F$149)*Z23*Inputs!$F$150/Z11)*Time!Z25/12*Inputs!$F$39</f>
        <v>4.73046153718638</v>
      </c>
      <c r="AA55" s="11" t="n">
        <f aca="false">Inputs!$F$148*(Inputs!$F$149*AA19+(1-Inputs!$F$149)*AA23*Inputs!$F$150/AA11)*Time!AA25/12*Inputs!$F$39</f>
        <v>4.78221352666371</v>
      </c>
      <c r="AB55" s="11" t="n">
        <f aca="false">Inputs!$F$148*(Inputs!$F$149*AB19+(1-Inputs!$F$149)*AB23*Inputs!$F$150/AB11)*Time!AB25/12*Inputs!$F$39</f>
        <v>4.83453169100448</v>
      </c>
      <c r="AC55" s="11" t="n">
        <f aca="false">Inputs!$F$148*(Inputs!$F$149*AC19+(1-Inputs!$F$149)*AC23*Inputs!$F$150/AC11)*Time!AC25/12*Inputs!$F$39</f>
        <v>4.88742222425031</v>
      </c>
      <c r="AD55" s="11" t="n">
        <f aca="false">Inputs!$F$148*(Inputs!$F$149*AD19+(1-Inputs!$F$149)*AD23*Inputs!$F$150/AD11)*Time!AD25/12*Inputs!$F$39</f>
        <v>4.94089138820658</v>
      </c>
      <c r="AE55" s="11" t="n">
        <f aca="false">Inputs!$F$148*(Inputs!$F$149*AE19+(1-Inputs!$F$149)*AE23*Inputs!$F$150/AE11)*Time!AE25/12*Inputs!$F$39</f>
        <v>4.99494551318381</v>
      </c>
      <c r="AF55" s="11" t="n">
        <f aca="false">Inputs!$F$148*(Inputs!$F$149*AF19+(1-Inputs!$F$149)*AF23*Inputs!$F$150/AF11)*Time!AF25/12*Inputs!$F$39</f>
        <v>5.04959099874712</v>
      </c>
      <c r="AG55" s="11" t="n">
        <f aca="false">Inputs!$F$148*(Inputs!$F$149*AG19+(1-Inputs!$F$149)*AG23*Inputs!$F$150/AG11)*Time!AG25/12*Inputs!$F$39</f>
        <v>5.10483431447386</v>
      </c>
      <c r="AH55" s="11" t="n">
        <f aca="false">Inputs!$F$148*(Inputs!$F$149*AH19+(1-Inputs!$F$149)*AH23*Inputs!$F$150/AH11)*Time!AH25/12*Inputs!$F$39</f>
        <v>5.16068200071956</v>
      </c>
      <c r="AI55" s="11" t="n">
        <f aca="false">Inputs!$F$148*(Inputs!$F$149*AI19+(1-Inputs!$F$149)*AI23*Inputs!$F$150/AI11)*Time!AI25/12*Inputs!$F$39</f>
        <v>5.21714066939228</v>
      </c>
      <c r="AJ55" s="11" t="n">
        <f aca="false">Inputs!$F$148*(Inputs!$F$149*AJ19+(1-Inputs!$F$149)*AJ23*Inputs!$F$150/AJ11)*Time!AJ25/12*Inputs!$F$39</f>
        <v>5.27421700473539</v>
      </c>
      <c r="AK55" s="11" t="n">
        <f aca="false">Inputs!$F$148*(Inputs!$F$149*AK19+(1-Inputs!$F$149)*AK23*Inputs!$F$150/AK11)*Time!AK25/12*Inputs!$F$39</f>
        <v>5.33191776411891</v>
      </c>
      <c r="AL55" s="11" t="n">
        <f aca="false">Inputs!$F$148*(Inputs!$F$149*AL19+(1-Inputs!$F$149)*AL23*Inputs!$F$150/AL11)*Time!AL25/12*Inputs!$F$39</f>
        <v>5.39024977883957</v>
      </c>
      <c r="AM55" s="11" t="n">
        <f aca="false">Inputs!$F$148*(Inputs!$F$149*AM19+(1-Inputs!$F$149)*AM23*Inputs!$F$150/AM11)*Time!AM25/12*Inputs!$F$39</f>
        <v>5.44921995492953</v>
      </c>
      <c r="AN55" s="11" t="n">
        <f aca="false">Inputs!$F$148*(Inputs!$F$149*AN19+(1-Inputs!$F$149)*AN23*Inputs!$F$150/AN11)*Time!AN25/12*Inputs!$F$39</f>
        <v>5.50883527397404</v>
      </c>
      <c r="AO55" s="11" t="n">
        <f aca="false">Inputs!$F$148*(Inputs!$F$149*AO19+(1-Inputs!$F$149)*AO23*Inputs!$F$150/AO11)*Time!AO25/12*Inputs!$F$39</f>
        <v>5.56910279393798</v>
      </c>
      <c r="AP55" s="11" t="n">
        <f aca="false">Inputs!$F$148*(Inputs!$F$149*AP19+(1-Inputs!$F$149)*AP23*Inputs!$F$150/AP11)*Time!AP25/12*Inputs!$F$39</f>
        <v>5.63002965000146</v>
      </c>
      <c r="AQ55" s="11" t="n">
        <f aca="false">Inputs!$F$148*(Inputs!$F$149*AQ19+(1-Inputs!$F$149)*AQ23*Inputs!$F$150/AQ11)*Time!AQ25/12*Inputs!$F$39</f>
        <v>5.69162305540461</v>
      </c>
      <c r="AR55" s="11" t="n">
        <f aca="false">Inputs!$F$148*(Inputs!$F$149*AR19+(1-Inputs!$F$149)*AR23*Inputs!$F$150/AR11)*Time!AR25/12*Inputs!$F$39</f>
        <v>5.7538903023015</v>
      </c>
      <c r="AS55" s="11" t="n">
        <f aca="false">Inputs!$F$148*(Inputs!$F$149*AS19+(1-Inputs!$F$149)*AS23*Inputs!$F$150/AS11)*Time!AS25/12*Inputs!$F$39</f>
        <v>5.81683876262351</v>
      </c>
      <c r="AT55" s="11" t="n">
        <f aca="false">Inputs!$F$148*(Inputs!$F$149*AT19+(1-Inputs!$F$149)*AT23*Inputs!$F$150/AT11)*Time!AT25/12*Inputs!$F$39</f>
        <v>5.88047588895213</v>
      </c>
      <c r="AU55" s="11" t="n">
        <f aca="false">Inputs!$F$148*(Inputs!$F$149*AU19+(1-Inputs!$F$149)*AU23*Inputs!$F$150/AU11)*Time!AU25/12*Inputs!$F$39</f>
        <v>5.94480921540123</v>
      </c>
      <c r="AV55" s="11" t="n">
        <f aca="false">Inputs!$F$148*(Inputs!$F$149*AV19+(1-Inputs!$F$149)*AV23*Inputs!$F$150/AV11)*Time!AV25/12*Inputs!$F$39</f>
        <v>6.00984635850908</v>
      </c>
      <c r="AW55" s="11" t="n">
        <f aca="false">Inputs!$F$148*(Inputs!$F$149*AW19+(1-Inputs!$F$149)*AW23*Inputs!$F$150/AW11)*Time!AW25/12*Inputs!$F$39</f>
        <v>6.07559501814005</v>
      </c>
      <c r="AX55" s="11" t="n">
        <f aca="false">Inputs!$F$148*(Inputs!$F$149*AX19+(1-Inputs!$F$149)*AX23*Inputs!$F$150/AX11)*Time!AX25/12*Inputs!$F$39</f>
        <v>6.14206297839627</v>
      </c>
      <c r="AY55" s="11" t="n">
        <f aca="false">Inputs!$F$148*(Inputs!$F$149*AY19+(1-Inputs!$F$149)*AY23*Inputs!$F$150/AY11)*Time!AY25/12*Inputs!$F$39</f>
        <v>6.20925810853913</v>
      </c>
      <c r="AZ55" s="11" t="n">
        <f aca="false">Inputs!$F$148*(Inputs!$F$149*AZ19+(1-Inputs!$F$149)*AZ23*Inputs!$F$150/AZ11)*Time!AZ25/12*Inputs!$F$39</f>
        <v>6.27718836392099</v>
      </c>
      <c r="BA55" s="11" t="n">
        <f aca="false">Inputs!$F$148*(Inputs!$F$149*BA19+(1-Inputs!$F$149)*BA23*Inputs!$F$150/BA11)*Time!BA25/12*Inputs!$F$39</f>
        <v>6.34586178692699</v>
      </c>
      <c r="BB55" s="11" t="n">
        <f aca="false">Inputs!$F$148*(Inputs!$F$149*BB19+(1-Inputs!$F$149)*BB23*Inputs!$F$150/BB11)*Time!BB25/12*Inputs!$F$39</f>
        <v>6.41528650792725</v>
      </c>
      <c r="BC55" s="11" t="n">
        <f aca="false">Inputs!$F$148*(Inputs!$F$149*BC19+(1-Inputs!$F$149)*BC23*Inputs!$F$150/BC11)*Time!BC25/12*Inputs!$F$39</f>
        <v>6.48547074623939</v>
      </c>
      <c r="BD55" s="11" t="n">
        <f aca="false">Inputs!$F$148*(Inputs!$F$149*BD19+(1-Inputs!$F$149)*BD23*Inputs!$F$150/BD11)*Time!BD25/12*Inputs!$F$39</f>
        <v>6.55642281110165</v>
      </c>
      <c r="BE55" s="11" t="n">
        <f aca="false">Inputs!$F$148*(Inputs!$F$149*BE19+(1-Inputs!$F$149)*BE23*Inputs!$F$150/BE11)*Time!BE25/12*Inputs!$F$39</f>
        <v>6.62815110265665</v>
      </c>
      <c r="BF55" s="11" t="n">
        <f aca="false">Inputs!$F$148*(Inputs!$F$149*BF19+(1-Inputs!$F$149)*BF23*Inputs!$F$150/BF11)*Time!BF25/12*Inputs!$F$39</f>
        <v>6.70066411294588</v>
      </c>
      <c r="BG55" s="11" t="n">
        <f aca="false">Inputs!$F$148*(Inputs!$F$149*BG19+(1-Inputs!$F$149)*BG23*Inputs!$F$150/BG11)*Time!BG25/12*Inputs!$F$39</f>
        <v>6.7739704269151</v>
      </c>
      <c r="BH55" s="11" t="n">
        <f aca="false">Inputs!$F$148*(Inputs!$F$149*BH19+(1-Inputs!$F$149)*BH23*Inputs!$F$150/BH11)*Time!BH25/12*Inputs!$F$39</f>
        <v>6.84807872343069</v>
      </c>
      <c r="BI55" s="11" t="n">
        <f aca="false">Inputs!$F$148*(Inputs!$F$149*BI19+(1-Inputs!$F$149)*BI23*Inputs!$F$150/BI11)*Time!BI25/12*Inputs!$F$39</f>
        <v>6.92299777630723</v>
      </c>
      <c r="BJ55" s="11" t="n">
        <f aca="false">Inputs!$F$148*(Inputs!$F$149*BJ19+(1-Inputs!$F$149)*BJ23*Inputs!$F$150/BJ11)*Time!BJ25/12*Inputs!$F$39</f>
        <v>6.99873645534617</v>
      </c>
      <c r="BK55" s="11" t="n">
        <f aca="false">Inputs!$F$148*(Inputs!$F$149*BK19+(1-Inputs!$F$149)*BK23*Inputs!$F$150/BK11)*Time!BK25/12*Inputs!$F$39</f>
        <v>7.07530372738599</v>
      </c>
      <c r="BL55" s="11" t="n">
        <f aca="false">Inputs!$F$148*(Inputs!$F$149*BL19+(1-Inputs!$F$149)*BL23*Inputs!$F$150/BL11)*Time!BL25/12*Inputs!$F$39</f>
        <v>7.15270865736378</v>
      </c>
      <c r="BM55" s="11" t="n">
        <f aca="false">Inputs!$F$148*(Inputs!$F$149*BM19+(1-Inputs!$F$149)*BM23*Inputs!$F$150/BM11)*Time!BM25/12*Inputs!$F$39</f>
        <v>7.23096040938848</v>
      </c>
      <c r="BN55" s="11" t="n">
        <f aca="false">Inputs!$F$148*(Inputs!$F$149*BN19+(1-Inputs!$F$149)*BN23*Inputs!$F$150/BN11)*Time!BN25/12*Inputs!$F$39</f>
        <v>4.87337883188386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4.15292561684909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</v>
      </c>
      <c r="P56" s="11" t="n">
        <f aca="false">IF(Time!P25&gt;0,Inputs!$F$151*MAX(-1,MIN(1,(P28-92)/3))*P19*Time!P25/12,0)</f>
        <v>0.0643971521276405</v>
      </c>
      <c r="Q56" s="11" t="n">
        <f aca="false">IF(Time!Q25&gt;0,Inputs!$F$151*MAX(-1,MIN(1,(Q28-92)/3))*Q19*Time!Q25/12,0)</f>
        <v>0.195305001147897</v>
      </c>
      <c r="R56" s="11" t="n">
        <f aca="false">IF(Time!R25&gt;0,Inputs!$F$151*MAX(-1,MIN(1,(R28-92)/3))*R19*Time!R25/12,0)</f>
        <v>0.164534723686122</v>
      </c>
      <c r="S56" s="11" t="n">
        <f aca="false">IF(Time!S25&gt;0,Inputs!$F$151*MAX(-1,MIN(1,(S28-92)/3))*S19*Time!S25/12,0)</f>
        <v>0.0998008555865778</v>
      </c>
      <c r="T56" s="11" t="n">
        <f aca="false">IF(Time!T25&gt;0,Inputs!$F$151*MAX(-1,MIN(1,(T28-92)/3))*T19*Time!T25/12,0)</f>
        <v>0.134523590085774</v>
      </c>
      <c r="U56" s="11" t="n">
        <f aca="false">IF(Time!U25&gt;0,Inputs!$F$151*MAX(-1,MIN(1,(U28-92)/3))*U19*Time!U25/12,0)</f>
        <v>0.20399294881896</v>
      </c>
      <c r="V56" s="11" t="n">
        <f aca="false">IF(Time!V25&gt;0,Inputs!$F$151*MAX(-1,MIN(1,(V28-92)/3))*V19*Time!V25/12,0)</f>
        <v>0.084017455541348</v>
      </c>
      <c r="W56" s="11" t="n">
        <f aca="false">IF(Time!W25&gt;0,Inputs!$F$151*MAX(-1,MIN(1,(W28-92)/3))*W19*Time!W25/12,0)</f>
        <v>-0.162151728427874</v>
      </c>
      <c r="X56" s="11" t="n">
        <f aca="false">IF(Time!X25&gt;0,Inputs!$F$151*MAX(-1,MIN(1,(X28-92)/3))*X19*Time!X25/12,0)</f>
        <v>-0.0390299270742074</v>
      </c>
      <c r="Y56" s="11" t="n">
        <f aca="false">IF(Time!Y25&gt;0,Inputs!$F$151*MAX(-1,MIN(1,(Y28-92)/3))*Y19*Time!Y25/12,0)</f>
        <v>0.213067371154223</v>
      </c>
      <c r="Z56" s="11" t="n">
        <f aca="false">IF(Time!Z25&gt;0,Inputs!$F$151*MAX(-1,MIN(1,(Z28-92)/3))*Z19*Time!Z25/12,0)</f>
        <v>0.179498634614282</v>
      </c>
      <c r="AA56" s="11" t="n">
        <f aca="false">IF(Time!AA25&gt;0,Inputs!$F$151*MAX(-1,MIN(1,(AA28-92)/3))*AA19*Time!AA25/12,0)</f>
        <v>0.10887742665981</v>
      </c>
      <c r="AB56" s="11" t="n">
        <f aca="false">IF(Time!AB25&gt;0,Inputs!$F$151*MAX(-1,MIN(1,(AB28-92)/3))*AB19*Time!AB25/12,0)</f>
        <v>0.146758083660638</v>
      </c>
      <c r="AC56" s="11" t="n">
        <f aca="false">IF(Time!AC25&gt;0,Inputs!$F$151*MAX(-1,MIN(1,(AC28-92)/3))*AC19*Time!AC25/12,0)</f>
        <v>0.222545460092647</v>
      </c>
      <c r="AD56" s="11" t="n">
        <f aca="false">IF(Time!AD25&gt;0,Inputs!$F$151*MAX(-1,MIN(1,(AD28-92)/3))*AD19*Time!AD25/12,0)</f>
        <v>0.0124988967917653</v>
      </c>
      <c r="AE56" s="11" t="n">
        <f aca="false">IF(Time!AE25&gt;0,Inputs!$F$151*MAX(-1,MIN(1,(AE28-92)/3))*AE19*Time!AE25/12,0)</f>
        <v>-0.379069100357809</v>
      </c>
      <c r="AF56" s="11" t="n">
        <f aca="false">IF(Time!AF25&gt;0,Inputs!$F$151*MAX(-1,MIN(1,(AF28-92)/3))*AF19*Time!AF25/12,0)</f>
        <v>-0.20438196033893</v>
      </c>
      <c r="AG56" s="11" t="n">
        <f aca="false">IF(Time!AG25&gt;0,Inputs!$F$151*MAX(-1,MIN(1,(AG28-92)/3))*AG19*Time!AG25/12,0)</f>
        <v>0.232445172339408</v>
      </c>
      <c r="AH56" s="11" t="n">
        <f aca="false">IF(Time!AH25&gt;0,Inputs!$F$151*MAX(-1,MIN(1,(AH28-92)/3))*AH19*Time!AH25/12,0)</f>
        <v>0.195823465749737</v>
      </c>
      <c r="AI56" s="11" t="n">
        <f aca="false">IF(Time!AI25&gt;0,Inputs!$F$151*MAX(-1,MIN(1,(AI28-92)/3))*AI19*Time!AI25/12,0)</f>
        <v>0.11877948306544</v>
      </c>
      <c r="AJ56" s="11" t="n">
        <f aca="false">IF(Time!AJ25&gt;0,Inputs!$F$151*MAX(-1,MIN(1,(AJ28-92)/3))*AJ19*Time!AJ25/12,0)</f>
        <v>0.160105265596985</v>
      </c>
      <c r="AK56" s="11" t="n">
        <f aca="false">IF(Time!AK25&gt;0,Inputs!$F$151*MAX(-1,MIN(1,(AK28-92)/3))*AK19*Time!AK25/12,0)</f>
        <v>0.242785263385754</v>
      </c>
      <c r="AL56" s="11" t="n">
        <f aca="false">IF(Time!AL25&gt;0,Inputs!$F$151*MAX(-1,MIN(1,(AL28-92)/3))*AL19*Time!AL25/12,0)</f>
        <v>0.0999946331022946</v>
      </c>
      <c r="AM56" s="11" t="n">
        <f aca="false">IF(Time!AM25&gt;0,Inputs!$F$151*MAX(-1,MIN(1,(AM28-92)/3))*AM19*Time!AM25/12,0)</f>
        <v>-0.192987308251301</v>
      </c>
      <c r="AN56" s="11" t="n">
        <f aca="false">IF(Time!AN25&gt;0,Inputs!$F$151*MAX(-1,MIN(1,(AN28-92)/3))*AN19*Time!AN25/12,0)</f>
        <v>-0.0464520522866107</v>
      </c>
      <c r="AO56" s="11" t="n">
        <f aca="false">IF(Time!AO25&gt;0,Inputs!$F$151*MAX(-1,MIN(1,(AO28-92)/3))*AO19*Time!AO25/12,0)</f>
        <v>0.253585323042206</v>
      </c>
      <c r="AP56" s="11" t="n">
        <f aca="false">IF(Time!AP25&gt;0,Inputs!$F$151*MAX(-1,MIN(1,(AP28-92)/3))*AP19*Time!AP25/12,0)</f>
        <v>0.213632988466125</v>
      </c>
      <c r="AQ56" s="11" t="n">
        <f aca="false">IF(Time!AQ25&gt;0,Inputs!$F$151*MAX(-1,MIN(1,(AQ28-92)/3))*AQ19*Time!AQ25/12,0)</f>
        <v>0.12958210007457</v>
      </c>
      <c r="AR56" s="11" t="n">
        <f aca="false">IF(Time!AR25&gt;0,Inputs!$F$151*MAX(-1,MIN(1,(AR28-92)/3))*AR19*Time!AR25/12,0)</f>
        <v>0.174666331369905</v>
      </c>
      <c r="AS56" s="11" t="n">
        <f aca="false">IF(Time!AS25&gt;0,Inputs!$F$151*MAX(-1,MIN(1,(AS28-92)/3))*AS19*Time!AS25/12,0)</f>
        <v>0.264865812552416</v>
      </c>
      <c r="AT56" s="11" t="n">
        <f aca="false">IF(Time!AT25&gt;0,Inputs!$F$151*MAX(-1,MIN(1,(AT28-92)/3))*AT19*Time!AT25/12,0)</f>
        <v>0.0148757492216714</v>
      </c>
      <c r="AU56" s="11" t="n">
        <f aca="false">IF(Time!AU25&gt;0,Inputs!$F$151*MAX(-1,MIN(1,(AU28-92)/3))*AU19*Time!AU25/12,0)</f>
        <v>-0.451154767380948</v>
      </c>
      <c r="AV56" s="11" t="n">
        <f aca="false">IF(Time!AV25&gt;0,Inputs!$F$151*MAX(-1,MIN(1,(AV28-92)/3))*AV19*Time!AV25/12,0)</f>
        <v>-0.243248251272752</v>
      </c>
      <c r="AW56" s="11" t="n">
        <f aca="false">IF(Time!AW25&gt;0,Inputs!$F$151*MAX(-1,MIN(1,(AW28-92)/3))*AW19*Time!AW25/12,0)</f>
        <v>0.276648103357997</v>
      </c>
      <c r="AX56" s="11" t="n">
        <f aca="false">IF(Time!AX25&gt;0,Inputs!$F$151*MAX(-1,MIN(1,(AX28-92)/3))*AX19*Time!AX25/12,0)</f>
        <v>0.233062230750704</v>
      </c>
      <c r="AY56" s="11" t="n">
        <f aca="false">IF(Time!AY25&gt;0,Inputs!$F$151*MAX(-1,MIN(1,(AY28-92)/3))*AY19*Time!AY25/12,0)</f>
        <v>0.14136718081594</v>
      </c>
      <c r="AZ56" s="11" t="n">
        <f aca="false">IF(Time!AZ25&gt;0,Inputs!$F$151*MAX(-1,MIN(1,(AZ28-92)/3))*AZ19*Time!AZ25/12,0)</f>
        <v>0.190551679861776</v>
      </c>
      <c r="BA56" s="11" t="n">
        <f aca="false">IF(Time!BA25&gt;0,Inputs!$F$151*MAX(-1,MIN(1,(BA28-92)/3))*BA19*Time!BA25/12,0)</f>
        <v>0.288954517587774</v>
      </c>
      <c r="BB56" s="11" t="n">
        <f aca="false">IF(Time!BB25&gt;0,Inputs!$F$151*MAX(-1,MIN(1,(BB28-92)/3))*BB19*Time!BB25/12,0)</f>
        <v>0.119010110278116</v>
      </c>
      <c r="BC56" s="11" t="n">
        <f aca="false">IF(Time!BC25&gt;0,Inputs!$F$151*MAX(-1,MIN(1,(BC28-92)/3))*BC19*Time!BC25/12,0)</f>
        <v>-0.229686735424774</v>
      </c>
      <c r="BD56" s="11" t="n">
        <f aca="false">IF(Time!BD25&gt;0,Inputs!$F$151*MAX(-1,MIN(1,(BD28-92)/3))*BD19*Time!BD25/12,0)</f>
        <v>-0.0552856057746511</v>
      </c>
      <c r="BE56" s="11" t="n">
        <f aca="false">IF(Time!BE25&gt;0,Inputs!$F$151*MAX(-1,MIN(1,(BE28-92)/3))*BE19*Time!BE25/12,0)</f>
        <v>0.301808370348149</v>
      </c>
      <c r="BF56" s="11" t="n">
        <f aca="false">IF(Time!BF25&gt;0,Inputs!$F$151*MAX(-1,MIN(1,(BF28-92)/3))*BF19*Time!BF25/12,0)</f>
        <v>0.254258500957624</v>
      </c>
      <c r="BG56" s="11" t="n">
        <f aca="false">IF(Time!BG25&gt;0,Inputs!$F$151*MAX(-1,MIN(1,(BG28-92)/3))*BG19*Time!BG25/12,0)</f>
        <v>0.154224077247908</v>
      </c>
      <c r="BH56" s="11" t="n">
        <f aca="false">IF(Time!BH25&gt;0,Inputs!$F$151*MAX(-1,MIN(1,(BH28-92)/3))*BH19*Time!BH25/12,0)</f>
        <v>0.207881750382954</v>
      </c>
      <c r="BI56" s="11" t="n">
        <f aca="false">IF(Time!BI25&gt;0,Inputs!$F$151*MAX(-1,MIN(1,(BI28-92)/3))*BI19*Time!BI25/12,0)</f>
        <v>0.315234013894715</v>
      </c>
      <c r="BJ56" s="11" t="n">
        <f aca="false">IF(Time!BJ25&gt;0,Inputs!$F$151*MAX(-1,MIN(1,(BJ28-92)/3))*BJ19*Time!BJ25/12,0)</f>
        <v>0.0177045957409497</v>
      </c>
      <c r="BK56" s="11" t="n">
        <f aca="false">IF(Time!BK25&gt;0,Inputs!$F$151*MAX(-1,MIN(1,(BK28-92)/3))*BK19*Time!BK25/12,0)</f>
        <v>-0.536948603667333</v>
      </c>
      <c r="BL56" s="11" t="n">
        <f aca="false">IF(Time!BL25&gt;0,Inputs!$F$151*MAX(-1,MIN(1,(BL28-92)/3))*BL19*Time!BL25/12,0)</f>
        <v>-0.289505549555986</v>
      </c>
      <c r="BM56" s="11" t="n">
        <f aca="false">IF(Time!BM25&gt;0,Inputs!$F$151*MAX(-1,MIN(1,(BM28-92)/3))*BM19*Time!BM25/12,0)</f>
        <v>0.329256883768808</v>
      </c>
      <c r="BN56" s="11" t="n">
        <f aca="false">IF(Time!BN25&gt;0,Inputs!$F$151*MAX(-1,MIN(1,(BN28-92)/3))*BN19*Time!BN25/12,0)</f>
        <v>0.221906003734662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94.3038468904816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</v>
      </c>
      <c r="P57" s="11" t="n">
        <f aca="false">Inputs!$F$152*P19*Time!P25/12*Inputs!$F$39</f>
        <v>0.472245782269365</v>
      </c>
      <c r="Q57" s="11" t="n">
        <f aca="false">Inputs!$F$152*Q19*Time!Q25/12*Inputs!$F$39</f>
        <v>1.43223667508458</v>
      </c>
      <c r="R57" s="11" t="n">
        <f aca="false">Inputs!$F$152*R19*Time!R25/12*Inputs!$F$39</f>
        <v>1.44790556843787</v>
      </c>
      <c r="S57" s="11" t="n">
        <f aca="false">Inputs!$F$152*S19*Time!S25/12*Inputs!$F$39</f>
        <v>1.46374588193644</v>
      </c>
      <c r="T57" s="11" t="n">
        <f aca="false">Inputs!$F$152*T19*Time!T25/12*Inputs!$F$39</f>
        <v>1.47975949094351</v>
      </c>
      <c r="U57" s="11" t="n">
        <f aca="false">Inputs!$F$152*U19*Time!U25/12*Inputs!$F$39</f>
        <v>1.49594829133904</v>
      </c>
      <c r="V57" s="11" t="n">
        <f aca="false">Inputs!$F$152*V19*Time!V25/12*Inputs!$F$39</f>
        <v>1.51231419974426</v>
      </c>
      <c r="W57" s="11" t="n">
        <f aca="false">Inputs!$F$152*W19*Time!W25/12*Inputs!$F$39</f>
        <v>1.5288591537485</v>
      </c>
      <c r="X57" s="11" t="n">
        <f aca="false">Inputs!$F$152*X19*Time!X25/12*Inputs!$F$39</f>
        <v>1.54558511213864</v>
      </c>
      <c r="Y57" s="11" t="n">
        <f aca="false">Inputs!$F$152*Y19*Time!Y25/12*Inputs!$F$39</f>
        <v>1.56249405513097</v>
      </c>
      <c r="Z57" s="11" t="n">
        <f aca="false">Inputs!$F$152*Z19*Time!Z25/12*Inputs!$F$39</f>
        <v>1.57958798460568</v>
      </c>
      <c r="AA57" s="11" t="n">
        <f aca="false">Inputs!$F$152*AA19*Time!AA25/12*Inputs!$F$39</f>
        <v>1.59686892434385</v>
      </c>
      <c r="AB57" s="11" t="n">
        <f aca="false">Inputs!$F$152*AB19*Time!AB25/12*Inputs!$F$39</f>
        <v>1.61433892026701</v>
      </c>
      <c r="AC57" s="11" t="n">
        <f aca="false">Inputs!$F$152*AC19*Time!AC25/12*Inputs!$F$39</f>
        <v>1.63200004067941</v>
      </c>
      <c r="AD57" s="11" t="n">
        <f aca="false">Inputs!$F$152*AD19*Time!AD25/12*Inputs!$F$39</f>
        <v>1.64985437651288</v>
      </c>
      <c r="AE57" s="11" t="n">
        <f aca="false">Inputs!$F$152*AE19*Time!AE25/12*Inputs!$F$39</f>
        <v>1.66790404157436</v>
      </c>
      <c r="AF57" s="11" t="n">
        <f aca="false">Inputs!$F$152*AF19*Time!AF25/12*Inputs!$F$39</f>
        <v>1.68615117279617</v>
      </c>
      <c r="AG57" s="11" t="n">
        <f aca="false">Inputs!$F$152*AG19*Time!AG25/12*Inputs!$F$39</f>
        <v>1.704597930489</v>
      </c>
      <c r="AH57" s="11" t="n">
        <f aca="false">Inputs!$F$152*AH19*Time!AH25/12*Inputs!$F$39</f>
        <v>1.72324649859768</v>
      </c>
      <c r="AI57" s="11" t="n">
        <f aca="false">Inputs!$F$152*AI19*Time!AI25/12*Inputs!$F$39</f>
        <v>1.74209908495975</v>
      </c>
      <c r="AJ57" s="11" t="n">
        <f aca="false">Inputs!$F$152*AJ19*Time!AJ25/12*Inputs!$F$39</f>
        <v>1.76115792156683</v>
      </c>
      <c r="AK57" s="11" t="n">
        <f aca="false">Inputs!$F$152*AK19*Time!AK25/12*Inputs!$F$39</f>
        <v>1.78042526482887</v>
      </c>
      <c r="AL57" s="11" t="n">
        <f aca="false">Inputs!$F$152*AL19*Time!AL25/12*Inputs!$F$39</f>
        <v>1.7999033958413</v>
      </c>
      <c r="AM57" s="11" t="n">
        <f aca="false">Inputs!$F$152*AM19*Time!AM25/12*Inputs!$F$39</f>
        <v>1.8195946206551</v>
      </c>
      <c r="AN57" s="11" t="n">
        <f aca="false">Inputs!$F$152*AN19*Time!AN25/12*Inputs!$F$39</f>
        <v>1.83950127054981</v>
      </c>
      <c r="AO57" s="11" t="n">
        <f aca="false">Inputs!$F$152*AO19*Time!AO25/12*Inputs!$F$39</f>
        <v>1.85962570230951</v>
      </c>
      <c r="AP57" s="11" t="n">
        <f aca="false">Inputs!$F$152*AP19*Time!AP25/12*Inputs!$F$39</f>
        <v>1.8799702985019</v>
      </c>
      <c r="AQ57" s="11" t="n">
        <f aca="false">Inputs!$F$152*AQ19*Time!AQ25/12*Inputs!$F$39</f>
        <v>1.90053746776032</v>
      </c>
      <c r="AR57" s="11" t="n">
        <f aca="false">Inputs!$F$152*AR19*Time!AR25/12*Inputs!$F$39</f>
        <v>1.92132964506895</v>
      </c>
      <c r="AS57" s="11" t="n">
        <f aca="false">Inputs!$F$152*AS19*Time!AS25/12*Inputs!$F$39</f>
        <v>1.94234929205105</v>
      </c>
      <c r="AT57" s="11" t="n">
        <f aca="false">Inputs!$F$152*AT19*Time!AT25/12*Inputs!$F$39</f>
        <v>1.96359889726046</v>
      </c>
      <c r="AU57" s="11" t="n">
        <f aca="false">Inputs!$F$152*AU19*Time!AU25/12*Inputs!$F$39</f>
        <v>1.98508097647617</v>
      </c>
      <c r="AV57" s="11" t="n">
        <f aca="false">Inputs!$F$152*AV19*Time!AV25/12*Inputs!$F$39</f>
        <v>2.00679807300019</v>
      </c>
      <c r="AW57" s="11" t="n">
        <f aca="false">Inputs!$F$152*AW19*Time!AW25/12*Inputs!$F$39</f>
        <v>2.02875275795865</v>
      </c>
      <c r="AX57" s="11" t="n">
        <f aca="false">Inputs!$F$152*AX19*Time!AX25/12*Inputs!$F$39</f>
        <v>2.0509476306062</v>
      </c>
      <c r="AY57" s="11" t="n">
        <f aca="false">Inputs!$F$152*AY19*Time!AY25/12*Inputs!$F$39</f>
        <v>2.07338531863374</v>
      </c>
      <c r="AZ57" s="11" t="n">
        <f aca="false">Inputs!$F$152*AZ19*Time!AZ25/12*Inputs!$F$39</f>
        <v>2.09606847847953</v>
      </c>
      <c r="BA57" s="11" t="n">
        <f aca="false">Inputs!$F$152*BA19*Time!BA25/12*Inputs!$F$39</f>
        <v>2.11899979564368</v>
      </c>
      <c r="BB57" s="11" t="n">
        <f aca="false">Inputs!$F$152*BB19*Time!BB25/12*Inputs!$F$39</f>
        <v>2.14218198500608</v>
      </c>
      <c r="BC57" s="11" t="n">
        <f aca="false">Inputs!$F$152*BC19*Time!BC25/12*Inputs!$F$39</f>
        <v>2.16561779114784</v>
      </c>
      <c r="BD57" s="11" t="n">
        <f aca="false">Inputs!$F$152*BD19*Time!BD25/12*Inputs!$F$39</f>
        <v>2.18930998867621</v>
      </c>
      <c r="BE57" s="11" t="n">
        <f aca="false">Inputs!$F$152*BE19*Time!BE25/12*Inputs!$F$39</f>
        <v>2.21326138255309</v>
      </c>
      <c r="BF57" s="11" t="n">
        <f aca="false">Inputs!$F$152*BF19*Time!BF25/12*Inputs!$F$39</f>
        <v>2.23747480842709</v>
      </c>
      <c r="BG57" s="11" t="n">
        <f aca="false">Inputs!$F$152*BG19*Time!BG25/12*Inputs!$F$39</f>
        <v>2.26195313296926</v>
      </c>
      <c r="BH57" s="11" t="n">
        <f aca="false">Inputs!$F$152*BH19*Time!BH25/12*Inputs!$F$39</f>
        <v>2.28669925421249</v>
      </c>
      <c r="BI57" s="11" t="n">
        <f aca="false">Inputs!$F$152*BI19*Time!BI25/12*Inputs!$F$39</f>
        <v>2.31171610189458</v>
      </c>
      <c r="BJ57" s="11" t="n">
        <f aca="false">Inputs!$F$152*BJ19*Time!BJ25/12*Inputs!$F$39</f>
        <v>2.33700663780516</v>
      </c>
      <c r="BK57" s="11" t="n">
        <f aca="false">Inputs!$F$152*BK19*Time!BK25/12*Inputs!$F$39</f>
        <v>2.36257385613626</v>
      </c>
      <c r="BL57" s="11" t="n">
        <f aca="false">Inputs!$F$152*BL19*Time!BL25/12*Inputs!$F$39</f>
        <v>2.38842078383687</v>
      </c>
      <c r="BM57" s="11" t="n">
        <f aca="false">Inputs!$F$152*BM19*Time!BM25/12*Inputs!$F$39</f>
        <v>2.41455048097126</v>
      </c>
      <c r="BN57" s="11" t="n">
        <f aca="false">Inputs!$F$152*BN19*Time!BN25/12*Inputs!$F$39</f>
        <v>1.62731069405419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0</v>
      </c>
      <c r="P58" s="13" t="n">
        <f aca="false">IF(P27&gt;0,2*(Inputs!$F$127*P28/P27+Inputs!$F$128*Inputs!$F$129)*Time!P25/12,0)</f>
        <v>2813</v>
      </c>
      <c r="Q58" s="13" t="n">
        <f aca="false">IF(Q27&gt;0,2*(Inputs!$F$127*Q28/Q27+Inputs!$F$128*Inputs!$F$129)*Time!Q25/12,0)</f>
        <v>8439</v>
      </c>
      <c r="R58" s="13" t="n">
        <f aca="false">IF(R27&gt;0,2*(Inputs!$F$127*R28/R27+Inputs!$F$128*Inputs!$F$129)*Time!R25/12,0)</f>
        <v>8439</v>
      </c>
      <c r="S58" s="13" t="n">
        <f aca="false">IF(S27&gt;0,2*(Inputs!$F$127*S28/S27+Inputs!$F$128*Inputs!$F$129)*Time!S25/12,0)</f>
        <v>8439</v>
      </c>
      <c r="T58" s="13" t="n">
        <f aca="false">IF(T27&gt;0,2*(Inputs!$F$127*T28/T27+Inputs!$F$128*Inputs!$F$129)*Time!T25/12,0)</f>
        <v>8439</v>
      </c>
      <c r="U58" s="13" t="n">
        <f aca="false">IF(U27&gt;0,2*(Inputs!$F$127*U28/U27+Inputs!$F$128*Inputs!$F$129)*Time!U25/12,0)</f>
        <v>8439</v>
      </c>
      <c r="V58" s="13" t="n">
        <f aca="false">IF(V27&gt;0,2*(Inputs!$F$127*V28/V27+Inputs!$F$128*Inputs!$F$129)*Time!V25/12,0)</f>
        <v>8439</v>
      </c>
      <c r="W58" s="13" t="n">
        <f aca="false">IF(W27&gt;0,2*(Inputs!$F$127*W28/W27+Inputs!$F$128*Inputs!$F$129)*Time!W25/12,0)</f>
        <v>8439</v>
      </c>
      <c r="X58" s="13" t="n">
        <f aca="false">IF(X27&gt;0,2*(Inputs!$F$127*X28/X27+Inputs!$F$128*Inputs!$F$129)*Time!X25/12,0)</f>
        <v>8439</v>
      </c>
      <c r="Y58" s="13" t="n">
        <f aca="false">IF(Y27&gt;0,2*(Inputs!$F$127*Y28/Y27+Inputs!$F$128*Inputs!$F$129)*Time!Y25/12,0)</f>
        <v>8439</v>
      </c>
      <c r="Z58" s="13" t="n">
        <f aca="false">IF(Z27&gt;0,2*(Inputs!$F$127*Z28/Z27+Inputs!$F$128*Inputs!$F$129)*Time!Z25/12,0)</f>
        <v>8439</v>
      </c>
      <c r="AA58" s="13" t="n">
        <f aca="false">IF(AA27&gt;0,2*(Inputs!$F$127*AA28/AA27+Inputs!$F$128*Inputs!$F$129)*Time!AA25/12,0)</f>
        <v>8439</v>
      </c>
      <c r="AB58" s="13" t="n">
        <f aca="false">IF(AB27&gt;0,2*(Inputs!$F$127*AB28/AB27+Inputs!$F$128*Inputs!$F$129)*Time!AB25/12,0)</f>
        <v>8439</v>
      </c>
      <c r="AC58" s="13" t="n">
        <f aca="false">IF(AC27&gt;0,2*(Inputs!$F$127*AC28/AC27+Inputs!$F$128*Inputs!$F$129)*Time!AC25/12,0)</f>
        <v>8439</v>
      </c>
      <c r="AD58" s="13" t="n">
        <f aca="false">IF(AD27&gt;0,2*(Inputs!$F$127*AD28/AD27+Inputs!$F$128*Inputs!$F$129)*Time!AD25/12,0)</f>
        <v>8439</v>
      </c>
      <c r="AE58" s="13" t="n">
        <f aca="false">IF(AE27&gt;0,2*(Inputs!$F$127*AE28/AE27+Inputs!$F$128*Inputs!$F$129)*Time!AE25/12,0)</f>
        <v>8439</v>
      </c>
      <c r="AF58" s="13" t="n">
        <f aca="false">IF(AF27&gt;0,2*(Inputs!$F$127*AF28/AF27+Inputs!$F$128*Inputs!$F$129)*Time!AF25/12,0)</f>
        <v>8439</v>
      </c>
      <c r="AG58" s="13" t="n">
        <f aca="false">IF(AG27&gt;0,2*(Inputs!$F$127*AG28/AG27+Inputs!$F$128*Inputs!$F$129)*Time!AG25/12,0)</f>
        <v>8439</v>
      </c>
      <c r="AH58" s="13" t="n">
        <f aca="false">IF(AH27&gt;0,2*(Inputs!$F$127*AH28/AH27+Inputs!$F$128*Inputs!$F$129)*Time!AH25/12,0)</f>
        <v>8439</v>
      </c>
      <c r="AI58" s="13" t="n">
        <f aca="false">IF(AI27&gt;0,2*(Inputs!$F$127*AI28/AI27+Inputs!$F$128*Inputs!$F$129)*Time!AI25/12,0)</f>
        <v>8439</v>
      </c>
      <c r="AJ58" s="13" t="n">
        <f aca="false">IF(AJ27&gt;0,2*(Inputs!$F$127*AJ28/AJ27+Inputs!$F$128*Inputs!$F$129)*Time!AJ25/12,0)</f>
        <v>8439</v>
      </c>
      <c r="AK58" s="13" t="n">
        <f aca="false">IF(AK27&gt;0,2*(Inputs!$F$127*AK28/AK27+Inputs!$F$128*Inputs!$F$129)*Time!AK25/12,0)</f>
        <v>8439</v>
      </c>
      <c r="AL58" s="13" t="n">
        <f aca="false">IF(AL27&gt;0,2*(Inputs!$F$127*AL28/AL27+Inputs!$F$128*Inputs!$F$129)*Time!AL25/12,0)</f>
        <v>8439</v>
      </c>
      <c r="AM58" s="13" t="n">
        <f aca="false">IF(AM27&gt;0,2*(Inputs!$F$127*AM28/AM27+Inputs!$F$128*Inputs!$F$129)*Time!AM25/12,0)</f>
        <v>8439</v>
      </c>
      <c r="AN58" s="13" t="n">
        <f aca="false">IF(AN27&gt;0,2*(Inputs!$F$127*AN28/AN27+Inputs!$F$128*Inputs!$F$129)*Time!AN25/12,0)</f>
        <v>8439</v>
      </c>
      <c r="AO58" s="13" t="n">
        <f aca="false">IF(AO27&gt;0,2*(Inputs!$F$127*AO28/AO27+Inputs!$F$128*Inputs!$F$129)*Time!AO25/12,0)</f>
        <v>8439</v>
      </c>
      <c r="AP58" s="13" t="n">
        <f aca="false">IF(AP27&gt;0,2*(Inputs!$F$127*AP28/AP27+Inputs!$F$128*Inputs!$F$129)*Time!AP25/12,0)</f>
        <v>8439</v>
      </c>
      <c r="AQ58" s="13" t="n">
        <f aca="false">IF(AQ27&gt;0,2*(Inputs!$F$127*AQ28/AQ27+Inputs!$F$128*Inputs!$F$129)*Time!AQ25/12,0)</f>
        <v>8439</v>
      </c>
      <c r="AR58" s="13" t="n">
        <f aca="false">IF(AR27&gt;0,2*(Inputs!$F$127*AR28/AR27+Inputs!$F$128*Inputs!$F$129)*Time!AR25/12,0)</f>
        <v>8439</v>
      </c>
      <c r="AS58" s="13" t="n">
        <f aca="false">IF(AS27&gt;0,2*(Inputs!$F$127*AS28/AS27+Inputs!$F$128*Inputs!$F$129)*Time!AS25/12,0)</f>
        <v>8439</v>
      </c>
      <c r="AT58" s="13" t="n">
        <f aca="false">IF(AT27&gt;0,2*(Inputs!$F$127*AT28/AT27+Inputs!$F$128*Inputs!$F$129)*Time!AT25/12,0)</f>
        <v>8439</v>
      </c>
      <c r="AU58" s="13" t="n">
        <f aca="false">IF(AU27&gt;0,2*(Inputs!$F$127*AU28/AU27+Inputs!$F$128*Inputs!$F$129)*Time!AU25/12,0)</f>
        <v>8439</v>
      </c>
      <c r="AV58" s="13" t="n">
        <f aca="false">IF(AV27&gt;0,2*(Inputs!$F$127*AV28/AV27+Inputs!$F$128*Inputs!$F$129)*Time!AV25/12,0)</f>
        <v>8439</v>
      </c>
      <c r="AW58" s="13" t="n">
        <f aca="false">IF(AW27&gt;0,2*(Inputs!$F$127*AW28/AW27+Inputs!$F$128*Inputs!$F$129)*Time!AW25/12,0)</f>
        <v>8439</v>
      </c>
      <c r="AX58" s="13" t="n">
        <f aca="false">IF(AX27&gt;0,2*(Inputs!$F$127*AX28/AX27+Inputs!$F$128*Inputs!$F$129)*Time!AX25/12,0)</f>
        <v>8439</v>
      </c>
      <c r="AY58" s="13" t="n">
        <f aca="false">IF(AY27&gt;0,2*(Inputs!$F$127*AY28/AY27+Inputs!$F$128*Inputs!$F$129)*Time!AY25/12,0)</f>
        <v>8439</v>
      </c>
      <c r="AZ58" s="13" t="n">
        <f aca="false">IF(AZ27&gt;0,2*(Inputs!$F$127*AZ28/AZ27+Inputs!$F$128*Inputs!$F$129)*Time!AZ25/12,0)</f>
        <v>8439</v>
      </c>
      <c r="BA58" s="13" t="n">
        <f aca="false">IF(BA27&gt;0,2*(Inputs!$F$127*BA28/BA27+Inputs!$F$128*Inputs!$F$129)*Time!BA25/12,0)</f>
        <v>8439</v>
      </c>
      <c r="BB58" s="13" t="n">
        <f aca="false">IF(BB27&gt;0,2*(Inputs!$F$127*BB28/BB27+Inputs!$F$128*Inputs!$F$129)*Time!BB25/12,0)</f>
        <v>8439</v>
      </c>
      <c r="BC58" s="13" t="n">
        <f aca="false">IF(BC27&gt;0,2*(Inputs!$F$127*BC28/BC27+Inputs!$F$128*Inputs!$F$129)*Time!BC25/12,0)</f>
        <v>8439</v>
      </c>
      <c r="BD58" s="13" t="n">
        <f aca="false">IF(BD27&gt;0,2*(Inputs!$F$127*BD28/BD27+Inputs!$F$128*Inputs!$F$129)*Time!BD25/12,0)</f>
        <v>8439</v>
      </c>
      <c r="BE58" s="13" t="n">
        <f aca="false">IF(BE27&gt;0,2*(Inputs!$F$127*BE28/BE27+Inputs!$F$128*Inputs!$F$129)*Time!BE25/12,0)</f>
        <v>8439</v>
      </c>
      <c r="BF58" s="13" t="n">
        <f aca="false">IF(BF27&gt;0,2*(Inputs!$F$127*BF28/BF27+Inputs!$F$128*Inputs!$F$129)*Time!BF25/12,0)</f>
        <v>8439</v>
      </c>
      <c r="BG58" s="13" t="n">
        <f aca="false">IF(BG27&gt;0,2*(Inputs!$F$127*BG28/BG27+Inputs!$F$128*Inputs!$F$129)*Time!BG25/12,0)</f>
        <v>8439</v>
      </c>
      <c r="BH58" s="13" t="n">
        <f aca="false">IF(BH27&gt;0,2*(Inputs!$F$127*BH28/BH27+Inputs!$F$128*Inputs!$F$129)*Time!BH25/12,0)</f>
        <v>8439</v>
      </c>
      <c r="BI58" s="13" t="n">
        <f aca="false">IF(BI27&gt;0,2*(Inputs!$F$127*BI28/BI27+Inputs!$F$128*Inputs!$F$129)*Time!BI25/12,0)</f>
        <v>8439</v>
      </c>
      <c r="BJ58" s="13" t="n">
        <f aca="false">IF(BJ27&gt;0,2*(Inputs!$F$127*BJ28/BJ27+Inputs!$F$128*Inputs!$F$129)*Time!BJ25/12,0)</f>
        <v>8439</v>
      </c>
      <c r="BK58" s="13" t="n">
        <f aca="false">IF(BK27&gt;0,2*(Inputs!$F$127*BK28/BK27+Inputs!$F$128*Inputs!$F$129)*Time!BK25/12,0)</f>
        <v>8439</v>
      </c>
      <c r="BL58" s="13" t="n">
        <f aca="false">IF(BL27&gt;0,2*(Inputs!$F$127*BL28/BL27+Inputs!$F$128*Inputs!$F$129)*Time!BL25/12,0)</f>
        <v>8439</v>
      </c>
      <c r="BM58" s="13" t="n">
        <f aca="false">IF(BM27&gt;0,2*(Inputs!$F$127*BM28/BM27+Inputs!$F$128*Inputs!$F$129)*Time!BM25/12,0)</f>
        <v>8439</v>
      </c>
      <c r="BN58" s="13" t="n">
        <f aca="false">IF(BN27&gt;0,2*(Inputs!$F$127*BN28/BN27+Inputs!$F$128*Inputs!$F$129)*Time!BN25/12,0)</f>
        <v>5626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293.010196711867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0</v>
      </c>
      <c r="P59" s="11" t="n">
        <f aca="false">P58*Inputs!$F$153*P19/1000000</f>
        <v>1.46730843037393</v>
      </c>
      <c r="Q59" s="11" t="n">
        <f aca="false">Q58*Inputs!$F$153*Q19/1000000</f>
        <v>4.45008304265519</v>
      </c>
      <c r="R59" s="11" t="n">
        <f aca="false">R58*Inputs!$F$153*R19/1000000</f>
        <v>4.49876764752647</v>
      </c>
      <c r="S59" s="11" t="n">
        <f aca="false">S58*Inputs!$F$153*S19/1000000</f>
        <v>4.5479848695936</v>
      </c>
      <c r="T59" s="11" t="n">
        <f aca="false">T58*Inputs!$F$153*T19/1000000</f>
        <v>4.59774053577205</v>
      </c>
      <c r="U59" s="11" t="n">
        <f aca="false">U58*Inputs!$F$153*U19/1000000</f>
        <v>4.64804053672466</v>
      </c>
      <c r="V59" s="11" t="n">
        <f aca="false">V58*Inputs!$F$153*V19/1000000</f>
        <v>4.69889082755904</v>
      </c>
      <c r="W59" s="11" t="n">
        <f aca="false">W58*Inputs!$F$153*W19/1000000</f>
        <v>4.7502974285326</v>
      </c>
      <c r="X59" s="11" t="n">
        <f aca="false">X58*Inputs!$F$153*X19/1000000</f>
        <v>4.80226642576533</v>
      </c>
      <c r="Y59" s="11" t="n">
        <f aca="false">Y58*Inputs!$F$153*Y19/1000000</f>
        <v>4.85480397196032</v>
      </c>
      <c r="Z59" s="11" t="n">
        <f aca="false">Z58*Inputs!$F$153*Z19/1000000</f>
        <v>4.90791628713217</v>
      </c>
      <c r="AA59" s="11" t="n">
        <f aca="false">AA58*Inputs!$F$153*AA19/1000000</f>
        <v>4.96160965934344</v>
      </c>
      <c r="AB59" s="11" t="n">
        <f aca="false">AB58*Inputs!$F$153*AB19/1000000</f>
        <v>5.01589044544908</v>
      </c>
      <c r="AC59" s="11" t="n">
        <f aca="false">AC58*Inputs!$F$153*AC19/1000000</f>
        <v>5.070765071849</v>
      </c>
      <c r="AD59" s="11" t="n">
        <f aca="false">AD58*Inputs!$F$153*AD19/1000000</f>
        <v>5.12624003524895</v>
      </c>
      <c r="AE59" s="11" t="n">
        <f aca="false">AE58*Inputs!$F$153*AE19/1000000</f>
        <v>5.18232190342967</v>
      </c>
      <c r="AF59" s="11" t="n">
        <f aca="false">AF58*Inputs!$F$153*AF19/1000000</f>
        <v>5.23901731602443</v>
      </c>
      <c r="AG59" s="11" t="n">
        <f aca="false">AG58*Inputs!$F$153*AG19/1000000</f>
        <v>5.29633298530513</v>
      </c>
      <c r="AH59" s="11" t="n">
        <f aca="false">AH58*Inputs!$F$153*AH19/1000000</f>
        <v>5.35427569697697</v>
      </c>
      <c r="AI59" s="11" t="n">
        <f aca="false">AI58*Inputs!$F$153*AI19/1000000</f>
        <v>5.41285231098184</v>
      </c>
      <c r="AJ59" s="11" t="n">
        <f aca="false">AJ58*Inputs!$F$153*AJ19/1000000</f>
        <v>5.47206976231046</v>
      </c>
      <c r="AK59" s="11" t="n">
        <f aca="false">AK58*Inputs!$F$153*AK19/1000000</f>
        <v>5.53193506182344</v>
      </c>
      <c r="AL59" s="11" t="n">
        <f aca="false">AL58*Inputs!$F$153*AL19/1000000</f>
        <v>5.59245529708129</v>
      </c>
      <c r="AM59" s="11" t="n">
        <f aca="false">AM58*Inputs!$F$153*AM19/1000000</f>
        <v>5.65363763318355</v>
      </c>
      <c r="AN59" s="11" t="n">
        <f aca="false">AN58*Inputs!$F$153*AN19/1000000</f>
        <v>5.71548931361708</v>
      </c>
      <c r="AO59" s="11" t="n">
        <f aca="false">AO58*Inputs!$F$153*AO19/1000000</f>
        <v>5.77801766111359</v>
      </c>
      <c r="AP59" s="11" t="n">
        <f aca="false">AP58*Inputs!$F$153*AP19/1000000</f>
        <v>5.84123007851665</v>
      </c>
      <c r="AQ59" s="11" t="n">
        <f aca="false">AQ58*Inputs!$F$153*AQ19/1000000</f>
        <v>5.90513404965809</v>
      </c>
      <c r="AR59" s="11" t="n">
        <f aca="false">AR58*Inputs!$F$153*AR19/1000000</f>
        <v>5.96973714024402</v>
      </c>
      <c r="AS59" s="11" t="n">
        <f aca="false">AS58*Inputs!$F$153*AS19/1000000</f>
        <v>6.03504699875056</v>
      </c>
      <c r="AT59" s="11" t="n">
        <f aca="false">AT58*Inputs!$F$153*AT19/1000000</f>
        <v>6.10107135732938</v>
      </c>
      <c r="AU59" s="11" t="n">
        <f aca="false">AU58*Inputs!$F$153*AU19/1000000</f>
        <v>6.16781803272308</v>
      </c>
      <c r="AV59" s="11" t="n">
        <f aca="false">AV58*Inputs!$F$153*AV19/1000000</f>
        <v>6.23529492719063</v>
      </c>
      <c r="AW59" s="11" t="n">
        <f aca="false">AW58*Inputs!$F$153*AW19/1000000</f>
        <v>6.30351002944298</v>
      </c>
      <c r="AX59" s="11" t="n">
        <f aca="false">AX58*Inputs!$F$153*AX19/1000000</f>
        <v>6.37247141558882</v>
      </c>
      <c r="AY59" s="11" t="n">
        <f aca="false">AY58*Inputs!$F$153*AY19/1000000</f>
        <v>6.44218725009073</v>
      </c>
      <c r="AZ59" s="11" t="n">
        <f aca="false">AZ58*Inputs!$F$153*AZ19/1000000</f>
        <v>6.51266578673177</v>
      </c>
      <c r="BA59" s="11" t="n">
        <f aca="false">BA58*Inputs!$F$153*BA19/1000000</f>
        <v>6.58391536959272</v>
      </c>
      <c r="BB59" s="11" t="n">
        <f aca="false">BB58*Inputs!$F$153*BB19/1000000</f>
        <v>6.65594443403987</v>
      </c>
      <c r="BC59" s="11" t="n">
        <f aca="false">BC58*Inputs!$F$153*BC19/1000000</f>
        <v>6.72876150772376</v>
      </c>
      <c r="BD59" s="11" t="n">
        <f aca="false">BD58*Inputs!$F$153*BD19/1000000</f>
        <v>6.80237521158875</v>
      </c>
      <c r="BE59" s="11" t="n">
        <f aca="false">BE58*Inputs!$F$153*BE19/1000000</f>
        <v>6.87679426089368</v>
      </c>
      <c r="BF59" s="11" t="n">
        <f aca="false">BF58*Inputs!$F$153*BF19/1000000</f>
        <v>6.9520274662437</v>
      </c>
      <c r="BG59" s="11" t="n">
        <f aca="false">BG58*Inputs!$F$153*BG19/1000000</f>
        <v>7.02808373463334</v>
      </c>
      <c r="BH59" s="11" t="n">
        <f aca="false">BH58*Inputs!$F$153*BH19/1000000</f>
        <v>7.10497207050106</v>
      </c>
      <c r="BI59" s="11" t="n">
        <f aca="false">BI58*Inputs!$F$153*BI19/1000000</f>
        <v>7.18270157679527</v>
      </c>
      <c r="BJ59" s="11" t="n">
        <f aca="false">BJ58*Inputs!$F$153*BJ19/1000000</f>
        <v>7.26128145605208</v>
      </c>
      <c r="BK59" s="11" t="n">
        <f aca="false">BK58*Inputs!$F$153*BK19/1000000</f>
        <v>7.34072101148476</v>
      </c>
      <c r="BL59" s="11" t="n">
        <f aca="false">BL58*Inputs!$F$153*BL19/1000000</f>
        <v>7.42102964808522</v>
      </c>
      <c r="BM59" s="11" t="n">
        <f aca="false">BM58*Inputs!$F$153*BM19/1000000</f>
        <v>7.50221687373743</v>
      </c>
      <c r="BN59" s="11" t="n">
        <f aca="false">BN58*Inputs!$F$153*BN19/1000000</f>
        <v>5.0561948668954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156.101443527047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</v>
      </c>
      <c r="P60" s="11" t="n">
        <f aca="false">Inputs!$F$154*P19*Time!P25/12*(1+Inputs!$F$155*Inputs!$F$45*IF(Time!P17&gt;=9,1,0))*Inputs!$F$39</f>
        <v>0.781709874438304</v>
      </c>
      <c r="Q60" s="11" t="n">
        <f aca="false">Inputs!$F$154*Q19*Time!Q25/12*(1+Inputs!$F$155*Inputs!$F$45*IF(Time!Q17&gt;=9,1,0))*Inputs!$F$39</f>
        <v>2.37078570837864</v>
      </c>
      <c r="R60" s="11" t="n">
        <f aca="false">Inputs!$F$154*R19*Time!R25/12*(1+Inputs!$F$155*Inputs!$F$45*IF(Time!R17&gt;=9,1,0))*Inputs!$F$39</f>
        <v>2.39672247502784</v>
      </c>
      <c r="S60" s="11" t="n">
        <f aca="false">Inputs!$F$154*S19*Time!S25/12*(1+Inputs!$F$155*Inputs!$F$45*IF(Time!S17&gt;=9,1,0))*Inputs!$F$39</f>
        <v>2.42294299396297</v>
      </c>
      <c r="T60" s="11" t="n">
        <f aca="false">Inputs!$F$154*T19*Time!T25/12*(1+Inputs!$F$155*Inputs!$F$45*IF(Time!T17&gt;=9,1,0))*Inputs!$F$39</f>
        <v>2.44945036947845</v>
      </c>
      <c r="U60" s="11" t="n">
        <f aca="false">Inputs!$F$154*U19*Time!U25/12*(1+Inputs!$F$155*Inputs!$F$45*IF(Time!U17&gt;=9,1,0))*Inputs!$F$39</f>
        <v>2.47624773983016</v>
      </c>
      <c r="V60" s="11" t="n">
        <f aca="false">Inputs!$F$154*V19*Time!V25/12*(1+Inputs!$F$155*Inputs!$F$45*IF(Time!V17&gt;=9,1,0))*Inputs!$F$39</f>
        <v>2.50333827760698</v>
      </c>
      <c r="W60" s="11" t="n">
        <f aca="false">Inputs!$F$154*W19*Time!W25/12*(1+Inputs!$F$155*Inputs!$F$45*IF(Time!W17&gt;=9,1,0))*Inputs!$F$39</f>
        <v>2.53072519010642</v>
      </c>
      <c r="X60" s="11" t="n">
        <f aca="false">Inputs!$F$154*X19*Time!X25/12*(1+Inputs!$F$155*Inputs!$F$45*IF(Time!X17&gt;=9,1,0))*Inputs!$F$39</f>
        <v>2.55841171971433</v>
      </c>
      <c r="Y60" s="11" t="n">
        <f aca="false">Inputs!$F$154*Y19*Time!Y25/12*(1+Inputs!$F$155*Inputs!$F$45*IF(Time!Y17&gt;=9,1,0))*Inputs!$F$39</f>
        <v>2.58640114428876</v>
      </c>
      <c r="Z60" s="11" t="n">
        <f aca="false">Inputs!$F$154*Z19*Time!Z25/12*(1+Inputs!$F$155*Inputs!$F$45*IF(Time!Z17&gt;=9,1,0))*Inputs!$F$39</f>
        <v>2.61469677754805</v>
      </c>
      <c r="AA60" s="11" t="n">
        <f aca="false">Inputs!$F$154*AA19*Time!AA25/12*(1+Inputs!$F$155*Inputs!$F$45*IF(Time!AA17&gt;=9,1,0))*Inputs!$F$39</f>
        <v>2.64330196946311</v>
      </c>
      <c r="AB60" s="11" t="n">
        <f aca="false">Inputs!$F$154*AB19*Time!AB25/12*(1+Inputs!$F$155*Inputs!$F$45*IF(Time!AB17&gt;=9,1,0))*Inputs!$F$39</f>
        <v>2.6722201066541</v>
      </c>
      <c r="AC60" s="11" t="n">
        <f aca="false">Inputs!$F$154*AC19*Time!AC25/12*(1+Inputs!$F$155*Inputs!$F$45*IF(Time!AC17&gt;=9,1,0))*Inputs!$F$39</f>
        <v>2.7014546127913</v>
      </c>
      <c r="AD60" s="11" t="n">
        <f aca="false">Inputs!$F$154*AD19*Time!AD25/12*(1+Inputs!$F$155*Inputs!$F$45*IF(Time!AD17&gt;=9,1,0))*Inputs!$F$39</f>
        <v>2.73100894900049</v>
      </c>
      <c r="AE60" s="11" t="n">
        <f aca="false">Inputs!$F$154*AE19*Time!AE25/12*(1+Inputs!$F$155*Inputs!$F$45*IF(Time!AE17&gt;=9,1,0))*Inputs!$F$39</f>
        <v>2.76088661427271</v>
      </c>
      <c r="AF60" s="11" t="n">
        <f aca="false">Inputs!$F$154*AF19*Time!AF25/12*(1+Inputs!$F$155*Inputs!$F$45*IF(Time!AF17&gt;=9,1,0))*Inputs!$F$39</f>
        <v>2.7910911458785</v>
      </c>
      <c r="AG60" s="11" t="n">
        <f aca="false">Inputs!$F$154*AG19*Time!AG25/12*(1+Inputs!$F$155*Inputs!$F$45*IF(Time!AG17&gt;=9,1,0))*Inputs!$F$39</f>
        <v>2.82162611978671</v>
      </c>
      <c r="AH60" s="11" t="n">
        <f aca="false">Inputs!$F$154*AH19*Time!AH25/12*(1+Inputs!$F$155*Inputs!$F$45*IF(Time!AH17&gt;=9,1,0))*Inputs!$F$39</f>
        <v>2.85249515108783</v>
      </c>
      <c r="AI60" s="11" t="n">
        <f aca="false">Inputs!$F$154*AI19*Time!AI25/12*(1+Inputs!$F$155*Inputs!$F$45*IF(Time!AI17&gt;=9,1,0))*Inputs!$F$39</f>
        <v>2.88370189442202</v>
      </c>
      <c r="AJ60" s="11" t="n">
        <f aca="false">Inputs!$F$154*AJ19*Time!AJ25/12*(1+Inputs!$F$155*Inputs!$F$45*IF(Time!AJ17&gt;=9,1,0))*Inputs!$F$39</f>
        <v>2.91525004441176</v>
      </c>
      <c r="AK60" s="11" t="n">
        <f aca="false">Inputs!$F$154*AK19*Time!AK25/12*(1+Inputs!$F$155*Inputs!$F$45*IF(Time!AK17&gt;=9,1,0))*Inputs!$F$39</f>
        <v>2.9471433360993</v>
      </c>
      <c r="AL60" s="11" t="n">
        <f aca="false">Inputs!$F$154*AL19*Time!AL25/12*(1+Inputs!$F$155*Inputs!$F$45*IF(Time!AL17&gt;=9,1,0))*Inputs!$F$39</f>
        <v>2.97938554538882</v>
      </c>
      <c r="AM60" s="11" t="n">
        <f aca="false">Inputs!$F$154*AM19*Time!AM25/12*(1+Inputs!$F$155*Inputs!$F$45*IF(Time!AM17&gt;=9,1,0))*Inputs!$F$39</f>
        <v>3.01198048949348</v>
      </c>
      <c r="AN60" s="11" t="n">
        <f aca="false">Inputs!$F$154*AN19*Time!AN25/12*(1+Inputs!$F$155*Inputs!$F$45*IF(Time!AN17&gt;=9,1,0))*Inputs!$F$39</f>
        <v>3.04493202738737</v>
      </c>
      <c r="AO60" s="11" t="n">
        <f aca="false">Inputs!$F$154*AO19*Time!AO25/12*(1+Inputs!$F$155*Inputs!$F$45*IF(Time!AO17&gt;=9,1,0))*Inputs!$F$39</f>
        <v>3.07824406026234</v>
      </c>
      <c r="AP60" s="11" t="n">
        <f aca="false">Inputs!$F$154*AP19*Time!AP25/12*(1+Inputs!$F$155*Inputs!$F$45*IF(Time!AP17&gt;=9,1,0))*Inputs!$F$39</f>
        <v>3.1119205319899</v>
      </c>
      <c r="AQ60" s="11" t="n">
        <f aca="false">Inputs!$F$154*AQ19*Time!AQ25/12*(1+Inputs!$F$155*Inputs!$F$45*IF(Time!AQ17&gt;=9,1,0))*Inputs!$F$39</f>
        <v>3.14596542958811</v>
      </c>
      <c r="AR60" s="11" t="n">
        <f aca="false">Inputs!$F$154*AR19*Time!AR25/12*(1+Inputs!$F$155*Inputs!$F$45*IF(Time!AR17&gt;=9,1,0))*Inputs!$F$39</f>
        <v>3.18038278369367</v>
      </c>
      <c r="AS60" s="11" t="n">
        <f aca="false">Inputs!$F$154*AS19*Time!AS25/12*(1+Inputs!$F$155*Inputs!$F$45*IF(Time!AS17&gt;=9,1,0))*Inputs!$F$39</f>
        <v>3.21517666903905</v>
      </c>
      <c r="AT60" s="11" t="n">
        <f aca="false">Inputs!$F$154*AT19*Time!AT25/12*(1+Inputs!$F$155*Inputs!$F$45*IF(Time!AT17&gt;=9,1,0))*Inputs!$F$39</f>
        <v>3.25035120493493</v>
      </c>
      <c r="AU60" s="11" t="n">
        <f aca="false">Inputs!$F$154*AU19*Time!AU25/12*(1+Inputs!$F$155*Inputs!$F$45*IF(Time!AU17&gt;=9,1,0))*Inputs!$F$39</f>
        <v>3.28591055575791</v>
      </c>
      <c r="AV60" s="11" t="n">
        <f aca="false">Inputs!$F$154*AV19*Time!AV25/12*(1+Inputs!$F$155*Inputs!$F$45*IF(Time!AV17&gt;=9,1,0))*Inputs!$F$39</f>
        <v>3.3218589314435</v>
      </c>
      <c r="AW60" s="11" t="n">
        <f aca="false">Inputs!$F$154*AW19*Time!AW25/12*(1+Inputs!$F$155*Inputs!$F$45*IF(Time!AW17&gt;=9,1,0))*Inputs!$F$39</f>
        <v>3.35820058798458</v>
      </c>
      <c r="AX60" s="11" t="n">
        <f aca="false">Inputs!$F$154*AX19*Time!AX25/12*(1+Inputs!$F$155*Inputs!$F$45*IF(Time!AX17&gt;=9,1,0))*Inputs!$F$39</f>
        <v>3.39493982793526</v>
      </c>
      <c r="AY60" s="11" t="n">
        <f aca="false">Inputs!$F$154*AY19*Time!AY25/12*(1+Inputs!$F$155*Inputs!$F$45*IF(Time!AY17&gt;=9,1,0))*Inputs!$F$39</f>
        <v>3.43208100092024</v>
      </c>
      <c r="AZ60" s="11" t="n">
        <f aca="false">Inputs!$F$154*AZ19*Time!AZ25/12*(1+Inputs!$F$155*Inputs!$F$45*IF(Time!AZ17&gt;=9,1,0))*Inputs!$F$39</f>
        <v>3.46962850414983</v>
      </c>
      <c r="BA60" s="11" t="n">
        <f aca="false">Inputs!$F$154*BA19*Time!BA25/12*(1+Inputs!$F$155*Inputs!$F$45*IF(Time!BA17&gt;=9,1,0))*Inputs!$F$39</f>
        <v>3.50758678294049</v>
      </c>
      <c r="BB60" s="11" t="n">
        <f aca="false">Inputs!$F$154*BB19*Time!BB25/12*(1+Inputs!$F$155*Inputs!$F$45*IF(Time!BB17&gt;=9,1,0))*Inputs!$F$39</f>
        <v>3.54596033124113</v>
      </c>
      <c r="BC60" s="11" t="n">
        <f aca="false">Inputs!$F$154*BC19*Time!BC25/12*(1+Inputs!$F$155*Inputs!$F$45*IF(Time!BC17&gt;=9,1,0))*Inputs!$F$39</f>
        <v>3.58475369216518</v>
      </c>
      <c r="BD60" s="11" t="n">
        <f aca="false">Inputs!$F$154*BD19*Time!BD25/12*(1+Inputs!$F$155*Inputs!$F$45*IF(Time!BD17&gt;=9,1,0))*Inputs!$F$39</f>
        <v>3.62397145852843</v>
      </c>
      <c r="BE60" s="11" t="n">
        <f aca="false">Inputs!$F$154*BE19*Time!BE25/12*(1+Inputs!$F$155*Inputs!$F$45*IF(Time!BE17&gt;=9,1,0))*Inputs!$F$39</f>
        <v>3.66361827339281</v>
      </c>
      <c r="BF60" s="11" t="n">
        <f aca="false">Inputs!$F$154*BF19*Time!BF25/12*(1+Inputs!$F$155*Inputs!$F$45*IF(Time!BF17&gt;=9,1,0))*Inputs!$F$39</f>
        <v>3.70369883061606</v>
      </c>
      <c r="BG60" s="11" t="n">
        <f aca="false">Inputs!$F$154*BG19*Time!BG25/12*(1+Inputs!$F$155*Inputs!$F$45*IF(Time!BG17&gt;=9,1,0))*Inputs!$F$39</f>
        <v>3.74421787540745</v>
      </c>
      <c r="BH60" s="11" t="n">
        <f aca="false">Inputs!$F$154*BH19*Time!BH25/12*(1+Inputs!$F$155*Inputs!$F$45*IF(Time!BH17&gt;=9,1,0))*Inputs!$F$39</f>
        <v>3.78518020488961</v>
      </c>
      <c r="BI60" s="11" t="n">
        <f aca="false">Inputs!$F$154*BI19*Time!BI25/12*(1+Inputs!$F$155*Inputs!$F$45*IF(Time!BI17&gt;=9,1,0))*Inputs!$F$39</f>
        <v>3.82659066866641</v>
      </c>
      <c r="BJ60" s="11" t="n">
        <f aca="false">Inputs!$F$154*BJ19*Time!BJ25/12*(1+Inputs!$F$155*Inputs!$F$45*IF(Time!BJ17&gt;=9,1,0))*Inputs!$F$39</f>
        <v>3.86845416939718</v>
      </c>
      <c r="BK60" s="11" t="n">
        <f aca="false">Inputs!$F$154*BK19*Time!BK25/12*(1+Inputs!$F$155*Inputs!$F$45*IF(Time!BK17&gt;=9,1,0))*Inputs!$F$39</f>
        <v>3.91077566337707</v>
      </c>
      <c r="BL60" s="11" t="n">
        <f aca="false">Inputs!$F$154*BL19*Time!BL25/12*(1+Inputs!$F$155*Inputs!$F$45*IF(Time!BL17&gt;=9,1,0))*Inputs!$F$39</f>
        <v>3.95356016112392</v>
      </c>
      <c r="BM60" s="11" t="n">
        <f aca="false">Inputs!$F$154*BM19*Time!BM25/12*(1+Inputs!$F$155*Inputs!$F$45*IF(Time!BM17&gt;=9,1,0))*Inputs!$F$39</f>
        <v>3.99681272797137</v>
      </c>
      <c r="BN60" s="11" t="n">
        <f aca="false">Inputs!$F$154*BN19*Time!BN25/12*(1+Inputs!$F$155*Inputs!$F$45*IF(Time!BN17&gt;=9,1,0))*Inputs!$F$39</f>
        <v>2.69369232311243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113.30895889137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</v>
      </c>
      <c r="P61" s="11" t="n">
        <f aca="false">Inputs!$F$156*(0.5*P19+0.5*P23*Inputs!$F$150/P11)*Time!P25/12*Inputs!$F$39</f>
        <v>0.567417763900181</v>
      </c>
      <c r="Q61" s="11" t="n">
        <f aca="false">Inputs!$F$156*(0.5*Q19+0.5*Q23*Inputs!$F$150/Q11)*Time!Q25/12*Inputs!$F$39</f>
        <v>1.72087620909397</v>
      </c>
      <c r="R61" s="11" t="n">
        <f aca="false">Inputs!$F$156*(0.5*R19+0.5*R23*Inputs!$F$150/R11)*Time!R25/12*Inputs!$F$39</f>
        <v>1.73970286411795</v>
      </c>
      <c r="S61" s="11" t="n">
        <f aca="false">Inputs!$F$156*(0.5*S19+0.5*S23*Inputs!$F$150/S11)*Time!S25/12*Inputs!$F$39</f>
        <v>1.75873548569404</v>
      </c>
      <c r="T61" s="11" t="n">
        <f aca="false">Inputs!$F$156*(0.5*T19+0.5*T23*Inputs!$F$150/T11)*Time!T25/12*Inputs!$F$39</f>
        <v>1.77797632712855</v>
      </c>
      <c r="U61" s="11" t="n">
        <f aca="false">Inputs!$F$156*(0.5*U19+0.5*U23*Inputs!$F$150/U11)*Time!U25/12*Inputs!$F$39</f>
        <v>1.79742766637931</v>
      </c>
      <c r="V61" s="11" t="n">
        <f aca="false">Inputs!$F$156*(0.5*V19+0.5*V23*Inputs!$F$150/V11)*Time!V25/12*Inputs!$F$39</f>
        <v>1.81709180632538</v>
      </c>
      <c r="W61" s="11" t="n">
        <f aca="false">Inputs!$F$156*(0.5*W19+0.5*W23*Inputs!$F$150/W11)*Time!W25/12*Inputs!$F$39</f>
        <v>1.83697107503966</v>
      </c>
      <c r="X61" s="11" t="n">
        <f aca="false">Inputs!$F$156*(0.5*X19+0.5*X23*Inputs!$F$150/X11)*Time!X25/12*Inputs!$F$39</f>
        <v>1.85706782606454</v>
      </c>
      <c r="Y61" s="11" t="n">
        <f aca="false">Inputs!$F$156*(0.5*Y19+0.5*Y23*Inputs!$F$150/Y11)*Time!Y25/12*Inputs!$F$39</f>
        <v>1.87738443869053</v>
      </c>
      <c r="Z61" s="11" t="n">
        <f aca="false">Inputs!$F$156*(0.5*Z19+0.5*Z23*Inputs!$F$150/Z11)*Time!Z25/12*Inputs!$F$39</f>
        <v>1.89792331823795</v>
      </c>
      <c r="AA61" s="11" t="n">
        <f aca="false">Inputs!$F$156*(0.5*AA19+0.5*AA23*Inputs!$F$150/AA11)*Time!AA25/12*Inputs!$F$39</f>
        <v>1.91868689634172</v>
      </c>
      <c r="AB61" s="11" t="n">
        <f aca="false">Inputs!$F$156*(0.5*AB19+0.5*AB23*Inputs!$F$150/AB11)*Time!AB25/12*Inputs!$F$39</f>
        <v>1.93967763123919</v>
      </c>
      <c r="AC61" s="11" t="n">
        <f aca="false">Inputs!$F$156*(0.5*AC19+0.5*AC23*Inputs!$F$150/AC11)*Time!AC25/12*Inputs!$F$39</f>
        <v>1.96089800806124</v>
      </c>
      <c r="AD61" s="11" t="n">
        <f aca="false">Inputs!$F$156*(0.5*AD19+0.5*AD23*Inputs!$F$150/AD11)*Time!AD25/12*Inputs!$F$39</f>
        <v>1.98235053912645</v>
      </c>
      <c r="AE61" s="11" t="n">
        <f aca="false">Inputs!$F$156*(0.5*AE19+0.5*AE23*Inputs!$F$150/AE11)*Time!AE25/12*Inputs!$F$39</f>
        <v>2.00403776423858</v>
      </c>
      <c r="AF61" s="11" t="n">
        <f aca="false">Inputs!$F$156*(0.5*AF19+0.5*AF23*Inputs!$F$150/AF11)*Time!AF25/12*Inputs!$F$39</f>
        <v>2.02596225098723</v>
      </c>
      <c r="AG61" s="11" t="n">
        <f aca="false">Inputs!$F$156*(0.5*AG19+0.5*AG23*Inputs!$F$150/AG11)*Time!AG25/12*Inputs!$F$39</f>
        <v>2.04812659505183</v>
      </c>
      <c r="AH61" s="11" t="n">
        <f aca="false">Inputs!$F$156*(0.5*AH19+0.5*AH23*Inputs!$F$150/AH11)*Time!AH25/12*Inputs!$F$39</f>
        <v>2.07053342050895</v>
      </c>
      <c r="AI61" s="11" t="n">
        <f aca="false">Inputs!$F$156*(0.5*AI19+0.5*AI23*Inputs!$F$150/AI11)*Time!AI25/12*Inputs!$F$39</f>
        <v>2.09318538014297</v>
      </c>
      <c r="AJ61" s="11" t="n">
        <f aca="false">Inputs!$F$156*(0.5*AJ19+0.5*AJ23*Inputs!$F$150/AJ11)*Time!AJ25/12*Inputs!$F$39</f>
        <v>2.11608515576015</v>
      </c>
      <c r="AK61" s="11" t="n">
        <f aca="false">Inputs!$F$156*(0.5*AK19+0.5*AK23*Inputs!$F$150/AK11)*Time!AK25/12*Inputs!$F$39</f>
        <v>2.13923545850612</v>
      </c>
      <c r="AL61" s="11" t="n">
        <f aca="false">Inputs!$F$156*(0.5*AL19+0.5*AL23*Inputs!$F$150/AL11)*Time!AL25/12*Inputs!$F$39</f>
        <v>2.16263902918687</v>
      </c>
      <c r="AM61" s="11" t="n">
        <f aca="false">Inputs!$F$156*(0.5*AM19+0.5*AM23*Inputs!$F$150/AM11)*Time!AM25/12*Inputs!$F$39</f>
        <v>2.18629863859325</v>
      </c>
      <c r="AN61" s="11" t="n">
        <f aca="false">Inputs!$F$156*(0.5*AN19+0.5*AN23*Inputs!$F$150/AN11)*Time!AN25/12*Inputs!$F$39</f>
        <v>2.21021708782898</v>
      </c>
      <c r="AO61" s="11" t="n">
        <f aca="false">Inputs!$F$156*(0.5*AO19+0.5*AO23*Inputs!$F$150/AO11)*Time!AO25/12*Inputs!$F$39</f>
        <v>2.2343972086423</v>
      </c>
      <c r="AP61" s="11" t="n">
        <f aca="false">Inputs!$F$156*(0.5*AP19+0.5*AP23*Inputs!$F$150/AP11)*Time!AP25/12*Inputs!$F$39</f>
        <v>2.25884186376122</v>
      </c>
      <c r="AQ61" s="11" t="n">
        <f aca="false">Inputs!$F$156*(0.5*AQ19+0.5*AQ23*Inputs!$F$150/AQ11)*Time!AQ25/12*Inputs!$F$39</f>
        <v>2.28355394723243</v>
      </c>
      <c r="AR61" s="11" t="n">
        <f aca="false">Inputs!$F$156*(0.5*AR19+0.5*AR23*Inputs!$F$150/AR11)*Time!AR25/12*Inputs!$F$39</f>
        <v>2.30853638476397</v>
      </c>
      <c r="AS61" s="11" t="n">
        <f aca="false">Inputs!$F$156*(0.5*AS19+0.5*AS23*Inputs!$F$150/AS11)*Time!AS25/12*Inputs!$F$39</f>
        <v>2.33379213407155</v>
      </c>
      <c r="AT61" s="11" t="n">
        <f aca="false">Inputs!$F$156*(0.5*AT19+0.5*AT23*Inputs!$F$150/AT11)*Time!AT25/12*Inputs!$F$39</f>
        <v>2.35932418522877</v>
      </c>
      <c r="AU61" s="11" t="n">
        <f aca="false">Inputs!$F$156*(0.5*AU19+0.5*AU23*Inputs!$F$150/AU11)*Time!AU25/12*Inputs!$F$39</f>
        <v>2.38513556102112</v>
      </c>
      <c r="AV61" s="11" t="n">
        <f aca="false">Inputs!$F$156*(0.5*AV19+0.5*AV23*Inputs!$F$150/AV11)*Time!AV25/12*Inputs!$F$39</f>
        <v>2.41122931730381</v>
      </c>
      <c r="AW61" s="11" t="n">
        <f aca="false">Inputs!$F$156*(0.5*AW19+0.5*AW23*Inputs!$F$150/AW11)*Time!AW25/12*Inputs!$F$39</f>
        <v>2.43760854336359</v>
      </c>
      <c r="AX61" s="11" t="n">
        <f aca="false">Inputs!$F$156*(0.5*AX19+0.5*AX23*Inputs!$F$150/AX11)*Time!AX25/12*Inputs!$F$39</f>
        <v>2.46427636228449</v>
      </c>
      <c r="AY61" s="11" t="n">
        <f aca="false">Inputs!$F$156*(0.5*AY19+0.5*AY23*Inputs!$F$150/AY11)*Time!AY25/12*Inputs!$F$39</f>
        <v>2.49123593131758</v>
      </c>
      <c r="AZ61" s="11" t="n">
        <f aca="false">Inputs!$F$156*(0.5*AZ19+0.5*AZ23*Inputs!$F$150/AZ11)*Time!AZ25/12*Inputs!$F$39</f>
        <v>2.51849044225475</v>
      </c>
      <c r="BA61" s="11" t="n">
        <f aca="false">Inputs!$F$156*(0.5*BA19+0.5*BA23*Inputs!$F$150/BA11)*Time!BA25/12*Inputs!$F$39</f>
        <v>2.54604312180657</v>
      </c>
      <c r="BB61" s="11" t="n">
        <f aca="false">Inputs!$F$156*(0.5*BB19+0.5*BB23*Inputs!$F$150/BB11)*Time!BB25/12*Inputs!$F$39</f>
        <v>2.57389723198435</v>
      </c>
      <c r="BC61" s="11" t="n">
        <f aca="false">Inputs!$F$156*(0.5*BC19+0.5*BC23*Inputs!$F$150/BC11)*Time!BC25/12*Inputs!$F$39</f>
        <v>2.60205607048631</v>
      </c>
      <c r="BD61" s="11" t="n">
        <f aca="false">Inputs!$F$156*(0.5*BD19+0.5*BD23*Inputs!$F$150/BD11)*Time!BD25/12*Inputs!$F$39</f>
        <v>2.63052297108801</v>
      </c>
      <c r="BE61" s="11" t="n">
        <f aca="false">Inputs!$F$156*(0.5*BE19+0.5*BE23*Inputs!$F$150/BE11)*Time!BE25/12*Inputs!$F$39</f>
        <v>2.65930130403701</v>
      </c>
      <c r="BF61" s="11" t="n">
        <f aca="false">Inputs!$F$156*(0.5*BF19+0.5*BF23*Inputs!$F$150/BF11)*Time!BF25/12*Inputs!$F$39</f>
        <v>2.68839447645194</v>
      </c>
      <c r="BG61" s="11" t="n">
        <f aca="false">Inputs!$F$156*(0.5*BG19+0.5*BG23*Inputs!$F$150/BG11)*Time!BG25/12*Inputs!$F$39</f>
        <v>2.71780593272583</v>
      </c>
      <c r="BH61" s="11" t="n">
        <f aca="false">Inputs!$F$156*(0.5*BH19+0.5*BH23*Inputs!$F$150/BH11)*Time!BH25/12*Inputs!$F$39</f>
        <v>2.74753915493389</v>
      </c>
      <c r="BI61" s="11" t="n">
        <f aca="false">Inputs!$F$156*(0.5*BI19+0.5*BI23*Inputs!$F$150/BI11)*Time!BI25/12*Inputs!$F$39</f>
        <v>2.7775976632458</v>
      </c>
      <c r="BJ61" s="11" t="n">
        <f aca="false">Inputs!$F$156*(0.5*BJ19+0.5*BJ23*Inputs!$F$150/BJ11)*Time!BJ25/12*Inputs!$F$39</f>
        <v>2.80798501634243</v>
      </c>
      <c r="BK61" s="11" t="n">
        <f aca="false">Inputs!$F$156*(0.5*BK19+0.5*BK23*Inputs!$F$150/BK11)*Time!BK25/12*Inputs!$F$39</f>
        <v>2.8387048118372</v>
      </c>
      <c r="BL61" s="11" t="n">
        <f aca="false">Inputs!$F$156*(0.5*BL19+0.5*BL23*Inputs!$F$150/BL11)*Time!BL25/12*Inputs!$F$39</f>
        <v>2.86976068670197</v>
      </c>
      <c r="BM61" s="11" t="n">
        <f aca="false">Inputs!$F$156*(0.5*BM19+0.5*BM23*Inputs!$F$150/BM11)*Time!BM25/12*Inputs!$F$39</f>
        <v>2.90115631769762</v>
      </c>
      <c r="BN61" s="11" t="n">
        <f aca="false">Inputs!$F$156*(0.5*BN19+0.5*BN23*Inputs!$F$150/BN11)*Time!BN25/12*Inputs!$F$39</f>
        <v>1.95526361453961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25.3087884444882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</v>
      </c>
      <c r="P62" s="11" t="n">
        <f aca="false">Inputs!$F$157*P23/P11*Time!P25/12*Inputs!$F$39</f>
        <v>0.12673892944301</v>
      </c>
      <c r="Q62" s="11" t="n">
        <f aca="false">Inputs!$F$157*Q23/Q11*Time!Q25/12*Inputs!$F$39</f>
        <v>0.384376419492718</v>
      </c>
      <c r="R62" s="11" t="n">
        <f aca="false">Inputs!$F$157*R23/R11*Time!R25/12*Inputs!$F$39</f>
        <v>0.388581557672269</v>
      </c>
      <c r="S62" s="11" t="n">
        <f aca="false">Inputs!$F$157*S23/S11*Time!S25/12*Inputs!$F$39</f>
        <v>0.392832700721557</v>
      </c>
      <c r="T62" s="11" t="n">
        <f aca="false">Inputs!$F$157*T23/T11*Time!T25/12*Inputs!$F$39</f>
        <v>0.397130351941059</v>
      </c>
      <c r="U62" s="11" t="n">
        <f aca="false">Inputs!$F$157*U23/U11*Time!U25/12*Inputs!$F$39</f>
        <v>0.401475020137432</v>
      </c>
      <c r="V62" s="11" t="n">
        <f aca="false">Inputs!$F$157*V23/V11*Time!V25/12*Inputs!$F$39</f>
        <v>0.405867219683762</v>
      </c>
      <c r="W62" s="11" t="n">
        <f aca="false">Inputs!$F$157*W23/W11*Time!W25/12*Inputs!$F$39</f>
        <v>0.410307470580455</v>
      </c>
      <c r="X62" s="11" t="n">
        <f aca="false">Inputs!$F$157*X23/X11*Time!X25/12*Inputs!$F$39</f>
        <v>0.414796298516805</v>
      </c>
      <c r="Y62" s="11" t="n">
        <f aca="false">Inputs!$F$157*Y23/Y11*Time!Y25/12*Inputs!$F$39</f>
        <v>0.419334234933225</v>
      </c>
      <c r="Z62" s="11" t="n">
        <f aca="false">Inputs!$F$157*Z23/Z11*Time!Z25/12*Inputs!$F$39</f>
        <v>0.423921817084174</v>
      </c>
      <c r="AA62" s="11" t="n">
        <f aca="false">Inputs!$F$157*AA23/AA11*Time!AA25/12*Inputs!$F$39</f>
        <v>0.428559588101756</v>
      </c>
      <c r="AB62" s="11" t="n">
        <f aca="false">Inputs!$F$157*AB23/AB11*Time!AB25/12*Inputs!$F$39</f>
        <v>0.433248097060026</v>
      </c>
      <c r="AC62" s="11" t="n">
        <f aca="false">Inputs!$F$157*AC23/AC11*Time!AC25/12*Inputs!$F$39</f>
        <v>0.437987899039995</v>
      </c>
      <c r="AD62" s="11" t="n">
        <f aca="false">Inputs!$F$157*AD23/AD11*Time!AD25/12*Inputs!$F$39</f>
        <v>0.442779555195347</v>
      </c>
      <c r="AE62" s="11" t="n">
        <f aca="false">Inputs!$F$157*AE23/AE11*Time!AE25/12*Inputs!$F$39</f>
        <v>0.447623632818875</v>
      </c>
      <c r="AF62" s="11" t="n">
        <f aca="false">Inputs!$F$157*AF23/AF11*Time!AF25/12*Inputs!$F$39</f>
        <v>0.452520705409644</v>
      </c>
      <c r="AG62" s="11" t="n">
        <f aca="false">Inputs!$F$157*AG23/AG11*Time!AG25/12*Inputs!$F$39</f>
        <v>0.45747135274089</v>
      </c>
      <c r="AH62" s="11" t="n">
        <f aca="false">Inputs!$F$157*AH23/AH11*Time!AH25/12*Inputs!$F$39</f>
        <v>0.462476160928656</v>
      </c>
      <c r="AI62" s="11" t="n">
        <f aca="false">Inputs!$F$157*AI23/AI11*Time!AI25/12*Inputs!$F$39</f>
        <v>0.46753572250119</v>
      </c>
      <c r="AJ62" s="11" t="n">
        <f aca="false">Inputs!$F$157*AJ23/AJ11*Time!AJ25/12*Inputs!$F$39</f>
        <v>0.472650636469087</v>
      </c>
      <c r="AK62" s="11" t="n">
        <f aca="false">Inputs!$F$157*AK23/AK11*Time!AK25/12*Inputs!$F$39</f>
        <v>0.477821508396216</v>
      </c>
      <c r="AL62" s="11" t="n">
        <f aca="false">Inputs!$F$157*AL23/AL11*Time!AL25/12*Inputs!$F$39</f>
        <v>0.483048950471407</v>
      </c>
      <c r="AM62" s="11" t="n">
        <f aca="false">Inputs!$F$157*AM23/AM11*Time!AM25/12*Inputs!$F$39</f>
        <v>0.488333581580932</v>
      </c>
      <c r="AN62" s="11" t="n">
        <f aca="false">Inputs!$F$157*AN23/AN11*Time!AN25/12*Inputs!$F$39</f>
        <v>0.493676027381778</v>
      </c>
      <c r="AO62" s="11" t="n">
        <f aca="false">Inputs!$F$157*AO23/AO11*Time!AO25/12*Inputs!$F$39</f>
        <v>0.499076920375713</v>
      </c>
      <c r="AP62" s="11" t="n">
        <f aca="false">Inputs!$F$157*AP23/AP11*Time!AP25/12*Inputs!$F$39</f>
        <v>0.504536899984177</v>
      </c>
      <c r="AQ62" s="11" t="n">
        <f aca="false">Inputs!$F$157*AQ23/AQ11*Time!AQ25/12*Inputs!$F$39</f>
        <v>0.510056612623979</v>
      </c>
      <c r="AR62" s="11" t="n">
        <f aca="false">Inputs!$F$157*AR23/AR11*Time!AR25/12*Inputs!$F$39</f>
        <v>0.515636711783829</v>
      </c>
      <c r="AS62" s="11" t="n">
        <f aca="false">Inputs!$F$157*AS23/AS11*Time!AS25/12*Inputs!$F$39</f>
        <v>0.521277858101706</v>
      </c>
      <c r="AT62" s="11" t="n">
        <f aca="false">Inputs!$F$157*AT23/AT11*Time!AT25/12*Inputs!$F$39</f>
        <v>0.526980719443073</v>
      </c>
      <c r="AU62" s="11" t="n">
        <f aca="false">Inputs!$F$157*AU23/AU11*Time!AU25/12*Inputs!$F$39</f>
        <v>0.532745970979944</v>
      </c>
      <c r="AV62" s="11" t="n">
        <f aca="false">Inputs!$F$157*AV23/AV11*Time!AV25/12*Inputs!$F$39</f>
        <v>0.538574295270821</v>
      </c>
      <c r="AW62" s="11" t="n">
        <f aca="false">Inputs!$F$157*AW23/AW11*Time!AW25/12*Inputs!$F$39</f>
        <v>0.544466382341503</v>
      </c>
      <c r="AX62" s="11" t="n">
        <f aca="false">Inputs!$F$157*AX23/AX11*Time!AX25/12*Inputs!$F$39</f>
        <v>0.550422929766779</v>
      </c>
      <c r="AY62" s="11" t="n">
        <f aca="false">Inputs!$F$157*AY23/AY11*Time!AY25/12*Inputs!$F$39</f>
        <v>0.556444642753016</v>
      </c>
      <c r="AZ62" s="11" t="n">
        <f aca="false">Inputs!$F$157*AZ23/AZ11*Time!AZ25/12*Inputs!$F$39</f>
        <v>0.562532234221648</v>
      </c>
      <c r="BA62" s="11" t="n">
        <f aca="false">Inputs!$F$157*BA23/BA11*Time!BA25/12*Inputs!$F$39</f>
        <v>0.568686424893582</v>
      </c>
      <c r="BB62" s="11" t="n">
        <f aca="false">Inputs!$F$157*BB23/BB11*Time!BB25/12*Inputs!$F$39</f>
        <v>0.574907943374524</v>
      </c>
      <c r="BC62" s="11" t="n">
        <f aca="false">Inputs!$F$157*BC23/BC11*Time!BC25/12*Inputs!$F$39</f>
        <v>0.581197526241241</v>
      </c>
      <c r="BD62" s="11" t="n">
        <f aca="false">Inputs!$F$157*BD23/BD11*Time!BD25/12*Inputs!$F$39</f>
        <v>0.587555918128764</v>
      </c>
      <c r="BE62" s="11" t="n">
        <f aca="false">Inputs!$F$157*BE23/BE11*Time!BE25/12*Inputs!$F$39</f>
        <v>0.593983871818548</v>
      </c>
      <c r="BF62" s="11" t="n">
        <f aca="false">Inputs!$F$157*BF23/BF11*Time!BF25/12*Inputs!$F$39</f>
        <v>0.600482148327596</v>
      </c>
      <c r="BG62" s="11" t="n">
        <f aca="false">Inputs!$F$157*BG23/BG11*Time!BG25/12*Inputs!$F$39</f>
        <v>0.607051516998556</v>
      </c>
      <c r="BH62" s="11" t="n">
        <f aca="false">Inputs!$F$157*BH23/BH11*Time!BH25/12*Inputs!$F$39</f>
        <v>0.613692755590804</v>
      </c>
      <c r="BI62" s="11" t="n">
        <f aca="false">Inputs!$F$157*BI23/BI11*Time!BI25/12*Inputs!$F$39</f>
        <v>0.620406650372524</v>
      </c>
      <c r="BJ62" s="11" t="n">
        <f aca="false">Inputs!$F$157*BJ23/BJ11*Time!BJ25/12*Inputs!$F$39</f>
        <v>0.627193996213801</v>
      </c>
      <c r="BK62" s="11" t="n">
        <f aca="false">Inputs!$F$157*BK23/BK11*Time!BK25/12*Inputs!$F$39</f>
        <v>0.63405559668072</v>
      </c>
      <c r="BL62" s="11" t="n">
        <f aca="false">Inputs!$F$157*BL23/BL11*Time!BL25/12*Inputs!$F$39</f>
        <v>0.640992264130505</v>
      </c>
      <c r="BM62" s="11" t="n">
        <f aca="false">Inputs!$F$157*BM23/BM11*Time!BM25/12*Inputs!$F$39</f>
        <v>0.648004819807696</v>
      </c>
      <c r="BN62" s="11" t="n">
        <f aca="false">Inputs!$F$157*BN23/BN11*Time!BN25/12*Inputs!$F$39</f>
        <v>0.436729395960917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21.1213872734992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</v>
      </c>
      <c r="P63" s="11" t="n">
        <f aca="false">Inputs!$F$158/100*P50</f>
        <v>0.124819420372841</v>
      </c>
      <c r="Q63" s="11" t="n">
        <f aca="false">Inputs!$F$158/100*Q50</f>
        <v>0.376093309482239</v>
      </c>
      <c r="R63" s="11" t="n">
        <f aca="false">Inputs!$F$158/100*R50</f>
        <v>0.377598256368607</v>
      </c>
      <c r="S63" s="11" t="n">
        <f aca="false">Inputs!$F$158/100*S50</f>
        <v>0.378979598409245</v>
      </c>
      <c r="T63" s="11" t="n">
        <f aca="false">Inputs!$F$158/100*T50</f>
        <v>0.380792595709447</v>
      </c>
      <c r="U63" s="11" t="n">
        <f aca="false">Inputs!$F$158/100*U50</f>
        <v>0.382767647143454</v>
      </c>
      <c r="V63" s="11" t="n">
        <f aca="false">Inputs!$F$158/100*V50</f>
        <v>0.383973845798618</v>
      </c>
      <c r="W63" s="11" t="n">
        <f aca="false">Inputs!$F$158/100*W50</f>
        <v>0.384675564436646</v>
      </c>
      <c r="X63" s="11" t="n">
        <f aca="false">Inputs!$F$158/100*X50</f>
        <v>0.38692818152036</v>
      </c>
      <c r="Y63" s="11" t="n">
        <f aca="false">Inputs!$F$158/100*Y50</f>
        <v>0.389732970432567</v>
      </c>
      <c r="Z63" s="11" t="n">
        <f aca="false">Inputs!$F$158/100*Z50</f>
        <v>0.391372646516703</v>
      </c>
      <c r="AA63" s="11" t="n">
        <f aca="false">Inputs!$F$158/100*AA50</f>
        <v>0.392878370713502</v>
      </c>
      <c r="AB63" s="11" t="n">
        <f aca="false">Inputs!$F$158/100*AB50</f>
        <v>0.394852260206674</v>
      </c>
      <c r="AC63" s="11" t="n">
        <f aca="false">Inputs!$F$158/100*AC50</f>
        <v>0.397001960404316</v>
      </c>
      <c r="AD63" s="11" t="n">
        <f aca="false">Inputs!$F$158/100*AD50</f>
        <v>0.397991354608885</v>
      </c>
      <c r="AE63" s="11" t="n">
        <f aca="false">Inputs!$F$158/100*AE50</f>
        <v>0.3930144321684</v>
      </c>
      <c r="AF63" s="11" t="n">
        <f aca="false">Inputs!$F$158/100*AF50</f>
        <v>0.40087138003504</v>
      </c>
      <c r="AG63" s="11" t="n">
        <f aca="false">Inputs!$F$158/100*AG50</f>
        <v>0.404587850511516</v>
      </c>
      <c r="AH63" s="11" t="n">
        <f aca="false">Inputs!$F$158/100*AH50</f>
        <v>0.406374314274187</v>
      </c>
      <c r="AI63" s="11" t="n">
        <f aca="false">Inputs!$F$158/100*AI50</f>
        <v>0.408015619422599</v>
      </c>
      <c r="AJ63" s="11" t="n">
        <f aca="false">Inputs!$F$158/100*AJ50</f>
        <v>0.410164670487113</v>
      </c>
      <c r="AK63" s="11" t="n">
        <f aca="false">Inputs!$F$158/100*AK50</f>
        <v>0.412504450657206</v>
      </c>
      <c r="AL63" s="11" t="n">
        <f aca="false">Inputs!$F$158/100*AL50</f>
        <v>0.413940378026258</v>
      </c>
      <c r="AM63" s="11" t="n">
        <f aca="false">Inputs!$F$158/100*AM50</f>
        <v>0.414783332077468</v>
      </c>
      <c r="AN63" s="11" t="n">
        <f aca="false">Inputs!$F$158/100*AN50</f>
        <v>0.417450042935487</v>
      </c>
      <c r="AO63" s="11" t="n">
        <f aca="false">Inputs!$F$158/100*AO50</f>
        <v>0.420766172293573</v>
      </c>
      <c r="AP63" s="11" t="n">
        <f aca="false">Inputs!$F$158/100*AP50</f>
        <v>0.422712561187648</v>
      </c>
      <c r="AQ63" s="11" t="n">
        <f aca="false">Inputs!$F$158/100*AQ50</f>
        <v>0.42450165426767</v>
      </c>
      <c r="AR63" s="11" t="n">
        <f aca="false">Inputs!$F$158/100*AR50</f>
        <v>0.426841400999599</v>
      </c>
      <c r="AS63" s="11" t="n">
        <f aca="false">Inputs!$F$158/100*AS50</f>
        <v>0.429388054613171</v>
      </c>
      <c r="AT63" s="11" t="n">
        <f aca="false">Inputs!$F$158/100*AT50</f>
        <v>0.430570695273294</v>
      </c>
      <c r="AU63" s="11" t="n">
        <f aca="false">Inputs!$F$158/100*AU50</f>
        <v>0.425278142265031</v>
      </c>
      <c r="AV63" s="11" t="n">
        <f aca="false">Inputs!$F$158/100*AV50</f>
        <v>0.433996250929436</v>
      </c>
      <c r="AW63" s="11" t="n">
        <f aca="false">Inputs!$F$158/100*AW50</f>
        <v>0.438385791879973</v>
      </c>
      <c r="AX63" s="11" t="n">
        <f aca="false">Inputs!$F$158/100*AX50</f>
        <v>0.440506418848981</v>
      </c>
      <c r="AY63" s="11" t="n">
        <f aca="false">Inputs!$F$158/100*AY50</f>
        <v>0.442456605778647</v>
      </c>
      <c r="AZ63" s="11" t="n">
        <f aca="false">Inputs!$F$158/100*AZ50</f>
        <v>0.445003959009215</v>
      </c>
      <c r="BA63" s="11" t="n">
        <f aca="false">Inputs!$F$158/100*BA50</f>
        <v>0.447775761949812</v>
      </c>
      <c r="BB63" s="11" t="n">
        <f aca="false">Inputs!$F$158/100*BB50</f>
        <v>0.449485171321542</v>
      </c>
      <c r="BC63" s="11" t="n">
        <f aca="false">Inputs!$F$158/100*BC50</f>
        <v>0.450497700790586</v>
      </c>
      <c r="BD63" s="11" t="n">
        <f aca="false">Inputs!$F$158/100*BD50</f>
        <v>0.453654536931587</v>
      </c>
      <c r="BE63" s="11" t="n">
        <f aca="false">Inputs!$F$158/100*BE50</f>
        <v>0.457575056031959</v>
      </c>
      <c r="BF63" s="11" t="n">
        <f aca="false">Inputs!$F$158/100*BF50</f>
        <v>0.459885514660236</v>
      </c>
      <c r="BG63" s="11" t="n">
        <f aca="false">Inputs!$F$158/100*BG50</f>
        <v>0.462011299217566</v>
      </c>
      <c r="BH63" s="11" t="n">
        <f aca="false">Inputs!$F$158/100*BH50</f>
        <v>0.464784668444977</v>
      </c>
      <c r="BI63" s="11" t="n">
        <f aca="false">Inputs!$F$158/100*BI50</f>
        <v>0.467801509745825</v>
      </c>
      <c r="BJ63" s="11" t="n">
        <f aca="false">Inputs!$F$158/100*BJ50</f>
        <v>0.469215115092979</v>
      </c>
      <c r="BK63" s="11" t="n">
        <f aca="false">Inputs!$F$158/100*BK50</f>
        <v>0.46355034882348</v>
      </c>
      <c r="BL63" s="11" t="n">
        <f aca="false">Inputs!$F$158/100*BL50</f>
        <v>0.473289532917687</v>
      </c>
      <c r="BM63" s="11" t="n">
        <f aca="false">Inputs!$F$158/100*BM50</f>
        <v>0.478473735529104</v>
      </c>
      <c r="BN63" s="11" t="n">
        <f aca="false">Inputs!$F$158/100*BN50</f>
        <v>0.320815161976208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136.345800880728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</v>
      </c>
      <c r="P64" s="11" t="n">
        <f aca="false">Inputs!$F$159*(0.7*P19+0.3*P23*Inputs!$F$150/P11)*P33/1000000</f>
        <v>0.706247917353283</v>
      </c>
      <c r="Q64" s="11" t="n">
        <f aca="false">Inputs!$F$159*(0.7*Q19+0.3*Q23*Inputs!$F$150/Q11)*Q33/1000000</f>
        <v>2.14085204480831</v>
      </c>
      <c r="R64" s="11" t="n">
        <f aca="false">Inputs!$F$159*(0.7*R19+0.3*R23*Inputs!$F$150/R11)*R33/1000000</f>
        <v>2.15573229297691</v>
      </c>
      <c r="S64" s="11" t="n">
        <f aca="false">Inputs!$F$159*(0.7*S19+0.3*S23*Inputs!$F$150/S11)*S33/1000000</f>
        <v>2.16370518926761</v>
      </c>
      <c r="T64" s="11" t="n">
        <f aca="false">Inputs!$F$159*(0.7*T19+0.3*T23*Inputs!$F$150/T11)*T33/1000000</f>
        <v>2.19279077613827</v>
      </c>
      <c r="U64" s="11" t="n">
        <f aca="false">Inputs!$F$159*(0.7*U19+0.3*U23*Inputs!$F$150/U11)*U33/1000000</f>
        <v>2.2293732547653</v>
      </c>
      <c r="V64" s="11" t="n">
        <f aca="false">Inputs!$F$159*(0.7*V19+0.3*V23*Inputs!$F$150/V11)*V33/1000000</f>
        <v>2.22645662181533</v>
      </c>
      <c r="W64" s="11" t="n">
        <f aca="false">Inputs!$F$159*(0.7*W19+0.3*W23*Inputs!$F$150/W11)*W33/1000000</f>
        <v>2.19737782440464</v>
      </c>
      <c r="X64" s="11" t="n">
        <f aca="false">Inputs!$F$159*(0.7*X19+0.3*X23*Inputs!$F$150/X11)*X33/1000000</f>
        <v>2.24587667365366</v>
      </c>
      <c r="Y64" s="11" t="n">
        <f aca="false">Inputs!$F$159*(0.7*Y19+0.3*Y23*Inputs!$F$150/Y11)*Y33/1000000</f>
        <v>2.32153364549327</v>
      </c>
      <c r="Z64" s="11" t="n">
        <f aca="false">Inputs!$F$159*(0.7*Z19+0.3*Z23*Inputs!$F$150/Z11)*Z33/1000000</f>
        <v>2.33765913848445</v>
      </c>
      <c r="AA64" s="11" t="n">
        <f aca="false">Inputs!$F$159*(0.7*AA19+0.3*AA23*Inputs!$F$150/AA11)*AA33/1000000</f>
        <v>2.34629422502619</v>
      </c>
      <c r="AB64" s="11" t="n">
        <f aca="false">Inputs!$F$159*(0.7*AB19+0.3*AB23*Inputs!$F$150/AB11)*AB33/1000000</f>
        <v>2.37782344430023</v>
      </c>
      <c r="AC64" s="11" t="n">
        <f aca="false">Inputs!$F$159*(0.7*AC19+0.3*AC23*Inputs!$F$150/AC11)*AC33/1000000</f>
        <v>2.41748181953257</v>
      </c>
      <c r="AD64" s="11" t="n">
        <f aca="false">Inputs!$F$159*(0.7*AD19+0.3*AD23*Inputs!$F$150/AD11)*AD33/1000000</f>
        <v>2.39781926643118</v>
      </c>
      <c r="AE64" s="11" t="n">
        <f aca="false">Inputs!$F$159*(0.7*AE19+0.3*AE23*Inputs!$F$150/AE11)*AE33/1000000</f>
        <v>2.33279525104699</v>
      </c>
      <c r="AF64" s="11" t="n">
        <f aca="false">Inputs!$F$159*(0.7*AF19+0.3*AF23*Inputs!$F$150/AF11)*AF33/1000000</f>
        <v>2.4016923283993</v>
      </c>
      <c r="AG64" s="11" t="n">
        <f aca="false">Inputs!$F$159*(0.7*AG19+0.3*AG23*Inputs!$F$150/AG11)*AG33/1000000</f>
        <v>2.5173723989879</v>
      </c>
      <c r="AH64" s="11" t="n">
        <f aca="false">Inputs!$F$159*(0.7*AH19+0.3*AH23*Inputs!$F$150/AH11)*AH33/1000000</f>
        <v>2.53484655955897</v>
      </c>
      <c r="AI64" s="11" t="n">
        <f aca="false">Inputs!$F$159*(0.7*AI19+0.3*AI23*Inputs!$F$150/AI11)*AI33/1000000</f>
        <v>2.54419833813711</v>
      </c>
      <c r="AJ64" s="11" t="n">
        <f aca="false">Inputs!$F$159*(0.7*AJ19+0.3*AJ23*Inputs!$F$150/AJ11)*AJ33/1000000</f>
        <v>2.57837509468997</v>
      </c>
      <c r="AK64" s="11" t="n">
        <f aca="false">Inputs!$F$159*(0.7*AK19+0.3*AK23*Inputs!$F$150/AK11)*AK33/1000000</f>
        <v>2.62136626701833</v>
      </c>
      <c r="AL64" s="11" t="n">
        <f aca="false">Inputs!$F$159*(0.7*AL19+0.3*AL23*Inputs!$F$150/AL11)*AL33/1000000</f>
        <v>2.61791275887111</v>
      </c>
      <c r="AM64" s="11" t="n">
        <f aca="false">Inputs!$F$159*(0.7*AM19+0.3*AM23*Inputs!$F$150/AM11)*AM33/1000000</f>
        <v>2.58369755793877</v>
      </c>
      <c r="AN64" s="11" t="n">
        <f aca="false">Inputs!$F$159*(0.7*AN19+0.3*AN23*Inputs!$F$150/AN11)*AN33/1000000</f>
        <v>2.64069863852535</v>
      </c>
      <c r="AO64" s="11" t="n">
        <f aca="false">Inputs!$F$159*(0.7*AO19+0.3*AO23*Inputs!$F$150/AO11)*AO33/1000000</f>
        <v>2.72963081890044</v>
      </c>
      <c r="AP64" s="11" t="n">
        <f aca="false">Inputs!$F$159*(0.7*AP19+0.3*AP23*Inputs!$F$150/AP11)*AP33/1000000</f>
        <v>2.74856558192688</v>
      </c>
      <c r="AQ64" s="11" t="n">
        <f aca="false">Inputs!$F$159*(0.7*AQ19+0.3*AQ23*Inputs!$F$150/AQ11)*AQ33/1000000</f>
        <v>2.75869299066468</v>
      </c>
      <c r="AR64" s="11" t="n">
        <f aca="false">Inputs!$F$159*(0.7*AR19+0.3*AR23*Inputs!$F$150/AR11)*AR33/1000000</f>
        <v>2.79573806629605</v>
      </c>
      <c r="AS64" s="11" t="n">
        <f aca="false">Inputs!$F$159*(0.7*AS19+0.3*AS23*Inputs!$F$150/AS11)*AS33/1000000</f>
        <v>2.84234022303863</v>
      </c>
      <c r="AT64" s="11" t="n">
        <f aca="false">Inputs!$F$159*(0.7*AT19+0.3*AT23*Inputs!$F$150/AT11)*AT33/1000000</f>
        <v>2.81919588461041</v>
      </c>
      <c r="AU64" s="11" t="n">
        <f aca="false">Inputs!$F$159*(0.7*AU19+0.3*AU23*Inputs!$F$150/AU11)*AU33/1000000</f>
        <v>2.74271945270987</v>
      </c>
      <c r="AV64" s="11" t="n">
        <f aca="false">Inputs!$F$159*(0.7*AV19+0.3*AV23*Inputs!$F$150/AV11)*AV33/1000000</f>
        <v>2.82369695682291</v>
      </c>
      <c r="AW64" s="11" t="n">
        <f aca="false">Inputs!$F$159*(0.7*AW19+0.3*AW23*Inputs!$F$150/AW11)*AW33/1000000</f>
        <v>2.95967569231056</v>
      </c>
      <c r="AX64" s="11" t="n">
        <f aca="false">Inputs!$F$159*(0.7*AX19+0.3*AX23*Inputs!$F$150/AX11)*AX33/1000000</f>
        <v>2.98019219764307</v>
      </c>
      <c r="AY64" s="11" t="n">
        <f aca="false">Inputs!$F$159*(0.7*AY19+0.3*AY23*Inputs!$F$150/AY11)*AY33/1000000</f>
        <v>2.99115896714139</v>
      </c>
      <c r="AZ64" s="11" t="n">
        <f aca="false">Inputs!$F$159*(0.7*AZ19+0.3*AZ23*Inputs!$F$150/AZ11)*AZ33/1000000</f>
        <v>3.0313114038171</v>
      </c>
      <c r="BA64" s="11" t="n">
        <f aca="false">Inputs!$F$159*(0.7*BA19+0.3*BA23*Inputs!$F$150/BA11)*BA33/1000000</f>
        <v>3.08182576615084</v>
      </c>
      <c r="BB64" s="11" t="n">
        <f aca="false">Inputs!$F$159*(0.7*BB19+0.3*BB23*Inputs!$F$150/BB11)*BB33/1000000</f>
        <v>3.07773666646359</v>
      </c>
      <c r="BC64" s="11" t="n">
        <f aca="false">Inputs!$F$159*(0.7*BC19+0.3*BC23*Inputs!$F$150/BC11)*BC33/1000000</f>
        <v>3.03748310225947</v>
      </c>
      <c r="BD64" s="11" t="n">
        <f aca="false">Inputs!$F$159*(0.7*BD19+0.3*BD23*Inputs!$F$150/BD11)*BD33/1000000</f>
        <v>3.10446621720421</v>
      </c>
      <c r="BE64" s="11" t="n">
        <f aca="false">Inputs!$F$159*(0.7*BE19+0.3*BE23*Inputs!$F$150/BE11)*BE33/1000000</f>
        <v>3.20898660379135</v>
      </c>
      <c r="BF64" s="11" t="n">
        <f aca="false">Inputs!$F$159*(0.7*BF19+0.3*BF23*Inputs!$F$150/BF11)*BF33/1000000</f>
        <v>3.23121594473262</v>
      </c>
      <c r="BG64" s="11" t="n">
        <f aca="false">Inputs!$F$159*(0.7*BG19+0.3*BG23*Inputs!$F$150/BG11)*BG33/1000000</f>
        <v>3.24309098229481</v>
      </c>
      <c r="BH64" s="11" t="n">
        <f aca="false">Inputs!$F$159*(0.7*BH19+0.3*BH23*Inputs!$F$150/BH11)*BH33/1000000</f>
        <v>3.28660957739705</v>
      </c>
      <c r="BI64" s="11" t="n">
        <f aca="false">Inputs!$F$159*(0.7*BI19+0.3*BI23*Inputs!$F$150/BI11)*BI33/1000000</f>
        <v>3.34136228909259</v>
      </c>
      <c r="BJ64" s="11" t="n">
        <f aca="false">Inputs!$F$159*(0.7*BJ19+0.3*BJ23*Inputs!$F$150/BJ11)*BJ33/1000000</f>
        <v>3.31412298945708</v>
      </c>
      <c r="BK64" s="11" t="n">
        <f aca="false">Inputs!$F$159*(0.7*BK19+0.3*BK23*Inputs!$F$150/BK11)*BK33/1000000</f>
        <v>3.22418988915725</v>
      </c>
      <c r="BL64" s="11" t="n">
        <f aca="false">Inputs!$F$159*(0.7*BL19+0.3*BL23*Inputs!$F$150/BL11)*BL33/1000000</f>
        <v>3.31935086257155</v>
      </c>
      <c r="BM64" s="11" t="n">
        <f aca="false">Inputs!$F$159*(0.7*BM19+0.3*BM23*Inputs!$F$150/BM11)*BM33/1000000</f>
        <v>3.47916514741697</v>
      </c>
      <c r="BN64" s="11" t="n">
        <f aca="false">Inputs!$F$159*(0.7*BN19+0.3*BN23*Inputs!$F$150/BN11)*BN33/1000000</f>
        <v>2.3432972792321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</v>
      </c>
      <c r="P65" s="11" t="n">
        <f aca="false">Inputs!$F$105*Time!P25/12</f>
        <v>0.0425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0.1275</v>
      </c>
      <c r="BN65" s="11" t="n">
        <f aca="false">Inputs!$F$105*Time!BN25/12</f>
        <v>0.085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</v>
      </c>
      <c r="P66" s="11" t="n">
        <f aca="false">Inputs!$F$160*Time!P25/12</f>
        <v>0.051875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0.155625</v>
      </c>
      <c r="BN66" s="11" t="n">
        <f aca="false">Inputs!$F$160*Time!BN25/12</f>
        <v>0.10375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1140.225471788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0</v>
      </c>
      <c r="P67" s="11" t="n">
        <f aca="false">P55+P56+P57+P59+P60+P61+P62+P63+P64+P65+P66</f>
        <v>5.81951546270545</v>
      </c>
      <c r="Q67" s="11" t="n">
        <f aca="false">Q55+Q56+Q57+Q59+Q60+Q61+Q62+Q63+Q64+Q65+Q66</f>
        <v>17.6429155067816</v>
      </c>
      <c r="R67" s="11" t="n">
        <f aca="false">R55+R56+R57+R59+R60+R61+R62+R63+R64+R65+R66</f>
        <v>17.7887768057949</v>
      </c>
      <c r="S67" s="11" t="n">
        <f aca="false">S55+S56+S57+S59+S60+S61+S62+S63+S64+S65+S66</f>
        <v>17.8953966779362</v>
      </c>
      <c r="T67" s="11" t="n">
        <f aca="false">T55+T56+T57+T59+T60+T61+T62+T63+T64+T65+T66</f>
        <v>18.1247897984175</v>
      </c>
      <c r="U67" s="11" t="n">
        <f aca="false">U55+U56+U57+U59+U60+U61+U62+U63+U64+U65+U66</f>
        <v>18.3983801781632</v>
      </c>
      <c r="V67" s="11" t="n">
        <f aca="false">V55+V56+V57+V59+V60+V61+V62+V63+V64+V65+V66</f>
        <v>18.444069032042</v>
      </c>
      <c r="W67" s="11" t="n">
        <f aca="false">W55+W56+W57+W59+W60+W61+W62+W63+W64+W65+W66</f>
        <v>18.3387286570525</v>
      </c>
      <c r="X67" s="11" t="n">
        <f aca="false">X55+X56+X57+X59+X60+X61+X62+X63+X64+X65+X66</f>
        <v>18.683658951382</v>
      </c>
      <c r="Y67" s="11" t="n">
        <f aca="false">Y55+Y56+Y57+Y59+Y60+Y61+Y62+Y63+Y64+Y65+Y66</f>
        <v>19.1871464276452</v>
      </c>
      <c r="Z67" s="11" t="n">
        <f aca="false">Z55+Z56+Z57+Z59+Z60+Z61+Z62+Z63+Z64+Z65+Z66</f>
        <v>19.3461631414099</v>
      </c>
      <c r="AA67" s="11" t="n">
        <f aca="false">AA55+AA56+AA57+AA59+AA60+AA61+AA62+AA63+AA64+AA65+AA66</f>
        <v>19.4624155866571</v>
      </c>
      <c r="AB67" s="11" t="n">
        <f aca="false">AB55+AB56+AB57+AB59+AB60+AB61+AB62+AB63+AB64+AB65+AB66</f>
        <v>19.7124656798414</v>
      </c>
      <c r="AC67" s="11" t="n">
        <f aca="false">AC55+AC56+AC57+AC59+AC60+AC61+AC62+AC63+AC64+AC65+AC66</f>
        <v>20.0106820967008</v>
      </c>
      <c r="AD67" s="11" t="n">
        <f aca="false">AD55+AD56+AD57+AD59+AD60+AD61+AD62+AD63+AD64+AD65+AD66</f>
        <v>19.9645593611225</v>
      </c>
      <c r="AE67" s="11" t="n">
        <f aca="false">AE55+AE56+AE57+AE59+AE60+AE61+AE62+AE63+AE64+AE65+AE66</f>
        <v>19.6875850523756</v>
      </c>
      <c r="AF67" s="11" t="n">
        <f aca="false">AF55+AF56+AF57+AF59+AF60+AF61+AF62+AF63+AF64+AF65+AF66</f>
        <v>20.1256403379385</v>
      </c>
      <c r="AG67" s="11" t="n">
        <f aca="false">AG55+AG56+AG57+AG59+AG60+AG61+AG62+AG63+AG64+AG65+AG66</f>
        <v>20.8705197196862</v>
      </c>
      <c r="AH67" s="11" t="n">
        <f aca="false">AH55+AH56+AH57+AH59+AH60+AH61+AH62+AH63+AH64+AH65+AH66</f>
        <v>21.0438782684025</v>
      </c>
      <c r="AI67" s="11" t="n">
        <f aca="false">AI55+AI56+AI57+AI59+AI60+AI61+AI62+AI63+AI64+AI65+AI66</f>
        <v>21.1706335030252</v>
      </c>
      <c r="AJ67" s="11" t="n">
        <f aca="false">AJ55+AJ56+AJ57+AJ59+AJ60+AJ61+AJ62+AJ63+AJ64+AJ65+AJ66</f>
        <v>21.4432005560277</v>
      </c>
      <c r="AK67" s="11" t="n">
        <f aca="false">AK55+AK56+AK57+AK59+AK60+AK61+AK62+AK63+AK64+AK65+AK66</f>
        <v>21.7682593748341</v>
      </c>
      <c r="AL67" s="11" t="n">
        <f aca="false">AL55+AL56+AL57+AL59+AL60+AL61+AL62+AL63+AL64+AL65+AL66</f>
        <v>21.8226547668089</v>
      </c>
      <c r="AM67" s="11" t="n">
        <f aca="false">AM55+AM56+AM57+AM59+AM60+AM61+AM62+AM63+AM64+AM65+AM66</f>
        <v>21.6976835002008</v>
      </c>
      <c r="AN67" s="11" t="n">
        <f aca="false">AN55+AN56+AN57+AN59+AN60+AN61+AN62+AN63+AN64+AN65+AN66</f>
        <v>22.1074726299133</v>
      </c>
      <c r="AO67" s="11" t="n">
        <f aca="false">AO55+AO56+AO57+AO59+AO60+AO61+AO62+AO63+AO64+AO65+AO66</f>
        <v>22.7055716608777</v>
      </c>
      <c r="AP67" s="11" t="n">
        <f aca="false">AP55+AP56+AP57+AP59+AP60+AP61+AP62+AP63+AP64+AP65+AP66</f>
        <v>22.894565454336</v>
      </c>
      <c r="AQ67" s="11" t="n">
        <f aca="false">AQ55+AQ56+AQ57+AQ59+AQ60+AQ61+AQ62+AQ63+AQ64+AQ65+AQ66</f>
        <v>23.0327723072745</v>
      </c>
      <c r="AR67" s="11" t="n">
        <f aca="false">AR55+AR56+AR57+AR59+AR60+AR61+AR62+AR63+AR64+AR65+AR66</f>
        <v>23.3298837665215</v>
      </c>
      <c r="AS67" s="11" t="n">
        <f aca="false">AS55+AS56+AS57+AS59+AS60+AS61+AS62+AS63+AS64+AS65+AS66</f>
        <v>23.6842008048416</v>
      </c>
      <c r="AT67" s="11" t="n">
        <f aca="false">AT55+AT56+AT57+AT59+AT60+AT61+AT62+AT63+AT64+AT65+AT66</f>
        <v>23.6295695822541</v>
      </c>
      <c r="AU67" s="11" t="n">
        <f aca="false">AU55+AU56+AU57+AU59+AU60+AU61+AU62+AU63+AU64+AU65+AU66</f>
        <v>23.3014681399534</v>
      </c>
      <c r="AV67" s="11" t="n">
        <f aca="false">AV55+AV56+AV57+AV59+AV60+AV61+AV62+AV63+AV64+AV65+AV66</f>
        <v>23.8211718591976</v>
      </c>
      <c r="AW67" s="11" t="n">
        <f aca="false">AW55+AW56+AW57+AW59+AW60+AW61+AW62+AW63+AW64+AW65+AW66</f>
        <v>24.7059679067799</v>
      </c>
      <c r="AX67" s="11" t="n">
        <f aca="false">AX55+AX56+AX57+AX59+AX60+AX61+AX62+AX63+AX64+AX65+AX66</f>
        <v>24.9120069918206</v>
      </c>
      <c r="AY67" s="11" t="n">
        <f aca="false">AY55+AY56+AY57+AY59+AY60+AY61+AY62+AY63+AY64+AY65+AY66</f>
        <v>25.0627000059904</v>
      </c>
      <c r="AZ67" s="11" t="n">
        <f aca="false">AZ55+AZ56+AZ57+AZ59+AZ60+AZ61+AZ62+AZ63+AZ64+AZ65+AZ66</f>
        <v>25.3865658524466</v>
      </c>
      <c r="BA67" s="11" t="n">
        <f aca="false">BA55+BA56+BA57+BA59+BA60+BA61+BA62+BA63+BA64+BA65+BA66</f>
        <v>25.7727743274925</v>
      </c>
      <c r="BB67" s="11" t="n">
        <f aca="false">BB55+BB56+BB57+BB59+BB60+BB61+BB62+BB63+BB64+BB65+BB66</f>
        <v>25.8375353816365</v>
      </c>
      <c r="BC67" s="11" t="n">
        <f aca="false">BC55+BC56+BC57+BC59+BC60+BC61+BC62+BC63+BC64+BC65+BC66</f>
        <v>25.689276401629</v>
      </c>
      <c r="BD67" s="11" t="n">
        <f aca="false">BD55+BD56+BD57+BD59+BD60+BD61+BD62+BD63+BD64+BD65+BD66</f>
        <v>26.176118507473</v>
      </c>
      <c r="BE67" s="11" t="n">
        <f aca="false">BE55+BE56+BE57+BE59+BE60+BE61+BE62+BE63+BE64+BE65+BE66</f>
        <v>26.8866052255233</v>
      </c>
      <c r="BF67" s="11" t="n">
        <f aca="false">BF55+BF56+BF57+BF59+BF60+BF61+BF62+BF63+BF64+BF65+BF66</f>
        <v>27.1112268033627</v>
      </c>
      <c r="BG67" s="11" t="n">
        <f aca="false">BG55+BG56+BG57+BG59+BG60+BG61+BG62+BG63+BG64+BG65+BG66</f>
        <v>27.2755339784098</v>
      </c>
      <c r="BH67" s="11" t="n">
        <f aca="false">BH55+BH56+BH57+BH59+BH60+BH61+BH62+BH63+BH64+BH65+BH66</f>
        <v>27.6285631597835</v>
      </c>
      <c r="BI67" s="11" t="n">
        <f aca="false">BI55+BI56+BI57+BI59+BI60+BI61+BI62+BI63+BI64+BI65+BI66</f>
        <v>28.0495332500149</v>
      </c>
      <c r="BJ67" s="11" t="n">
        <f aca="false">BJ55+BJ56+BJ57+BJ59+BJ60+BJ61+BJ62+BJ63+BJ64+BJ65+BJ66</f>
        <v>27.9848254314478</v>
      </c>
      <c r="BK67" s="11" t="n">
        <f aca="false">BK55+BK56+BK57+BK59+BK60+BK61+BK62+BK63+BK64+BK65+BK66</f>
        <v>27.5960513012154</v>
      </c>
      <c r="BL67" s="11" t="n">
        <f aca="false">BL55+BL56+BL57+BL59+BL60+BL61+BL62+BL63+BL64+BL65+BL66</f>
        <v>28.2127320471755</v>
      </c>
      <c r="BM67" s="11" t="n">
        <f aca="false">BM55+BM56+BM57+BM59+BM60+BM61+BM62+BM63+BM64+BM65+BM66</f>
        <v>29.2637223962887</v>
      </c>
      <c r="BN67" s="11" t="n">
        <f aca="false">BN55+BN56+BN57+BN59+BN60+BN61+BN62+BN63+BN64+BN65+BN66</f>
        <v>19.7173381713894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4939.13676971039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0</v>
      </c>
      <c r="P68" s="11" t="n">
        <f aca="false">P37*P36/1000000</f>
        <v>25.73098281395</v>
      </c>
      <c r="Q68" s="11" t="n">
        <f aca="false">Q37*Q36/1000000</f>
        <v>78.7289099113673</v>
      </c>
      <c r="R68" s="11" t="n">
        <f aca="false">R37*R36/1000000</f>
        <v>78.465244465635</v>
      </c>
      <c r="S68" s="11" t="n">
        <f aca="false">S37*S36/1000000</f>
        <v>79.5088601807053</v>
      </c>
      <c r="T68" s="11" t="n">
        <f aca="false">T37*T36/1000000</f>
        <v>79.7534070844464</v>
      </c>
      <c r="U68" s="11" t="n">
        <f aca="false">U37*U36/1000000</f>
        <v>81.8595703955176</v>
      </c>
      <c r="V68" s="11" t="n">
        <f aca="false">V37*V36/1000000</f>
        <v>80.9161498839552</v>
      </c>
      <c r="W68" s="11" t="n">
        <f aca="false">W37*W36/1000000</f>
        <v>80.623198486552</v>
      </c>
      <c r="X68" s="11" t="n">
        <f aca="false">X37*X36/1000000</f>
        <v>81.5596170351762</v>
      </c>
      <c r="Y68" s="11" t="n">
        <f aca="false">Y37*Y36/1000000</f>
        <v>85.1134627660521</v>
      </c>
      <c r="Z68" s="11" t="n">
        <f aca="false">Z37*Z36/1000000</f>
        <v>84.8277877116459</v>
      </c>
      <c r="AA68" s="11" t="n">
        <f aca="false">AA37*AA36/1000000</f>
        <v>85.9553913309984</v>
      </c>
      <c r="AB68" s="11" t="n">
        <f aca="false">AB37*AB36/1000000</f>
        <v>86.2191275153245</v>
      </c>
      <c r="AC68" s="11" t="n">
        <f aca="false">AC37*AC36/1000000</f>
        <v>88.4953848375283</v>
      </c>
      <c r="AD68" s="11" t="n">
        <f aca="false">AD37*AD36/1000000</f>
        <v>86.8774192946939</v>
      </c>
      <c r="AE68" s="11" t="n">
        <f aca="false">AE37*AE36/1000000</f>
        <v>85.3296899250619</v>
      </c>
      <c r="AF68" s="11" t="n">
        <f aca="false">AF37*AF36/1000000</f>
        <v>86.950817416645</v>
      </c>
      <c r="AG68" s="11" t="n">
        <f aca="false">AG37*AG36/1000000</f>
        <v>92.010318950609</v>
      </c>
      <c r="AH68" s="11" t="n">
        <f aca="false">AH37*AH36/1000000</f>
        <v>91.7008143065316</v>
      </c>
      <c r="AI68" s="11" t="n">
        <f aca="false">AI37*AI36/1000000</f>
        <v>92.9190897391441</v>
      </c>
      <c r="AJ68" s="11" t="n">
        <f aca="false">AJ37*AJ36/1000000</f>
        <v>93.2034997853314</v>
      </c>
      <c r="AK68" s="11" t="n">
        <f aca="false">AK37*AK36/1000000</f>
        <v>95.6634389700434</v>
      </c>
      <c r="AL68" s="11" t="n">
        <f aca="false">AL37*AL36/1000000</f>
        <v>94.5595263127573</v>
      </c>
      <c r="AM68" s="11" t="n">
        <f aca="false">AM37*AM36/1000000</f>
        <v>94.2157800089376</v>
      </c>
      <c r="AN68" s="11" t="n">
        <f aca="false">AN37*AN36/1000000</f>
        <v>95.3086561145915</v>
      </c>
      <c r="AO68" s="11" t="n">
        <f aca="false">AO37*AO36/1000000</f>
        <v>99.4601175436392</v>
      </c>
      <c r="AP68" s="11" t="n">
        <f aca="false">AP37*AP36/1000000</f>
        <v>99.1248142365637</v>
      </c>
      <c r="AQ68" s="11" t="n">
        <f aca="false">AQ37*AQ36/1000000</f>
        <v>100.440970751872</v>
      </c>
      <c r="AR68" s="11" t="n">
        <f aca="false">AR37*AR36/1000000</f>
        <v>100.747652174361</v>
      </c>
      <c r="AS68" s="11" t="n">
        <f aca="false">AS37*AS36/1000000</f>
        <v>103.40593363176</v>
      </c>
      <c r="AT68" s="11" t="n">
        <f aca="false">AT37*AT36/1000000</f>
        <v>101.513844109913</v>
      </c>
      <c r="AU68" s="11" t="n">
        <f aca="false">AU37*AU36/1000000</f>
        <v>99.7038780263221</v>
      </c>
      <c r="AV68" s="11" t="n">
        <f aca="false">AV37*AV36/1000000</f>
        <v>101.596575637686</v>
      </c>
      <c r="AW68" s="11" t="n">
        <f aca="false">AW37*AW36/1000000</f>
        <v>107.506680317222</v>
      </c>
      <c r="AX68" s="11" t="n">
        <f aca="false">AX37*AX36/1000000</f>
        <v>107.143448083852</v>
      </c>
      <c r="AY68" s="11" t="n">
        <f aca="false">AY37*AY36/1000000</f>
        <v>108.565261023109</v>
      </c>
      <c r="AZ68" s="11" t="n">
        <f aca="false">AZ37*AZ36/1000000</f>
        <v>108.895932682542</v>
      </c>
      <c r="BA68" s="11" t="n">
        <f aca="false">BA37*BA36/1000000</f>
        <v>111.768372905811</v>
      </c>
      <c r="BB68" s="11" t="n">
        <f aca="false">BB37*BB36/1000000</f>
        <v>110.476962502246</v>
      </c>
      <c r="BC68" s="11" t="n">
        <f aca="false">BC37*BC36/1000000</f>
        <v>110.073703591796</v>
      </c>
      <c r="BD68" s="11" t="n">
        <f aca="false">BD37*BD36/1000000</f>
        <v>111.348858138568</v>
      </c>
      <c r="BE68" s="11" t="n">
        <f aca="false">BE37*BE36/1000000</f>
        <v>116.197257328013</v>
      </c>
      <c r="BF68" s="11" t="n">
        <f aca="false">BF37*BF36/1000000</f>
        <v>115.803791645587</v>
      </c>
      <c r="BG68" s="11" t="n">
        <f aca="false">BG37*BG36/1000000</f>
        <v>117.339646235298</v>
      </c>
      <c r="BH68" s="11" t="n">
        <f aca="false">BH37*BH36/1000000</f>
        <v>117.696157361461</v>
      </c>
      <c r="BI68" s="11" t="n">
        <f aca="false">BI37*BI36/1000000</f>
        <v>120.799818852911</v>
      </c>
      <c r="BJ68" s="11" t="n">
        <f aca="false">BJ37*BJ36/1000000</f>
        <v>118.58767824655</v>
      </c>
      <c r="BK68" s="11" t="n">
        <f aca="false">BK37*BK36/1000000</f>
        <v>116.471537693256</v>
      </c>
      <c r="BL68" s="11" t="n">
        <f aca="false">BL37*BL36/1000000</f>
        <v>118.680752403128</v>
      </c>
      <c r="BM68" s="11" t="n">
        <f aca="false">BM37*BM36/1000000</f>
        <v>125.582791125605</v>
      </c>
      <c r="BN68" s="11" t="n">
        <f aca="false">BN37*BN36/1000000</f>
        <v>83.7081882181135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5782.19692837277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0</v>
      </c>
      <c r="P69" s="11" t="n">
        <f aca="false">P68+P47+P48+P49</f>
        <v>30.3693941991122</v>
      </c>
      <c r="Q69" s="11" t="n">
        <f aca="false">Q68+Q47+Q48+Q49</f>
        <v>92.7256187384852</v>
      </c>
      <c r="R69" s="11" t="n">
        <f aca="false">R68+R47+R48+R49</f>
        <v>92.6440749533913</v>
      </c>
      <c r="S69" s="11" t="n">
        <f aca="false">S68+S47+S48+S49</f>
        <v>93.6903805728176</v>
      </c>
      <c r="T69" s="11" t="n">
        <f aca="false">T68+T47+T48+T49</f>
        <v>94.1360257354305</v>
      </c>
      <c r="U69" s="11" t="n">
        <f aca="false">U68+U47+U48+U49</f>
        <v>96.3431767919347</v>
      </c>
      <c r="V69" s="11" t="n">
        <f aca="false">V68+V47+V48+V49</f>
        <v>95.5008976963535</v>
      </c>
      <c r="W69" s="11" t="n">
        <f aca="false">W68+W47+W48+W49</f>
        <v>95.1676371980781</v>
      </c>
      <c r="X69" s="11" t="n">
        <f aca="false">X68+X47+X48+X49</f>
        <v>96.3325968772217</v>
      </c>
      <c r="Y69" s="11" t="n">
        <f aca="false">Y68+Y47+Y48+Y49</f>
        <v>99.9657786257197</v>
      </c>
      <c r="Z69" s="11" t="n">
        <f aca="false">Z68+Z47+Z48+Z49</f>
        <v>99.8733922880264</v>
      </c>
      <c r="AA69" s="11" t="n">
        <f aca="false">AA68+AA47+AA48+AA49</f>
        <v>101.003803728598</v>
      </c>
      <c r="AB69" s="11" t="n">
        <f aca="false">AB68+AB47+AB48+AB49</f>
        <v>101.480948208397</v>
      </c>
      <c r="AC69" s="11" t="n">
        <f aca="false">AC68+AC47+AC48+AC49</f>
        <v>103.864298039462</v>
      </c>
      <c r="AD69" s="11" t="n">
        <f aca="false">AD68+AD47+AD48+AD49</f>
        <v>102.335258738579</v>
      </c>
      <c r="AE69" s="11" t="n">
        <f aca="false">AE68+AE47+AE48+AE49</f>
        <v>100.707052619457</v>
      </c>
      <c r="AF69" s="11" t="n">
        <f aca="false">AF68+AF47+AF48+AF49</f>
        <v>102.58940654107</v>
      </c>
      <c r="AG69" s="11" t="n">
        <f aca="false">AG68+AG47+AG48+AG49</f>
        <v>107.770381184496</v>
      </c>
      <c r="AH69" s="11" t="n">
        <f aca="false">AH68+AH47+AH48+AH49</f>
        <v>107.666017556674</v>
      </c>
      <c r="AI69" s="11" t="n">
        <f aca="false">AI68+AI47+AI48+AI49</f>
        <v>108.887221696116</v>
      </c>
      <c r="AJ69" s="11" t="n">
        <f aca="false">AJ68+AJ47+AJ48+AJ49</f>
        <v>109.398103089657</v>
      </c>
      <c r="AK69" s="11" t="n">
        <f aca="false">AK68+AK47+AK48+AK49</f>
        <v>111.971604971181</v>
      </c>
      <c r="AL69" s="11" t="n">
        <f aca="false">AL68+AL47+AL48+AL49</f>
        <v>110.981671403588</v>
      </c>
      <c r="AM69" s="11" t="n">
        <f aca="false">AM68+AM47+AM48+AM49</f>
        <v>110.592538518579</v>
      </c>
      <c r="AN69" s="11" t="n">
        <f aca="false">AN68+AN47+AN48+AN49</f>
        <v>111.942735378105</v>
      </c>
      <c r="AO69" s="11" t="n">
        <f aca="false">AO68+AO47+AO48+AO49</f>
        <v>116.183232660824</v>
      </c>
      <c r="AP69" s="11" t="n">
        <f aca="false">AP68+AP47+AP48+AP49</f>
        <v>116.065649993449</v>
      </c>
      <c r="AQ69" s="11" t="n">
        <f aca="false">AQ68+AQ47+AQ48+AQ49</f>
        <v>117.384858905961</v>
      </c>
      <c r="AR69" s="11" t="n">
        <f aca="false">AR68+AR47+AR48+AR49</f>
        <v>117.931873772727</v>
      </c>
      <c r="AS69" s="11" t="n">
        <f aca="false">AS68+AS47+AS48+AS49</f>
        <v>120.710575183047</v>
      </c>
      <c r="AT69" s="11" t="n">
        <f aca="false">AT68+AT47+AT48+AT49</f>
        <v>118.918767700759</v>
      </c>
      <c r="AU69" s="11" t="n">
        <f aca="false">AU68+AU47+AU48+AU49</f>
        <v>117.018287196995</v>
      </c>
      <c r="AV69" s="11" t="n">
        <f aca="false">AV68+AV47+AV48+AV49</f>
        <v>119.205056230899</v>
      </c>
      <c r="AW69" s="11" t="n">
        <f aca="false">AW68+AW47+AW48+AW49</f>
        <v>125.25151374992</v>
      </c>
      <c r="AX69" s="11" t="n">
        <f aca="false">AX68+AX47+AX48+AX49</f>
        <v>125.119353770129</v>
      </c>
      <c r="AY69" s="11" t="n">
        <f aca="false">AY68+AY47+AY48+AY49</f>
        <v>126.544345401262</v>
      </c>
      <c r="AZ69" s="11" t="n">
        <f aca="false">AZ68+AZ47+AZ48+AZ49</f>
        <v>127.130060488348</v>
      </c>
      <c r="BA69" s="11" t="n">
        <f aca="false">BA68+BA47+BA48+BA49</f>
        <v>130.130187899415</v>
      </c>
      <c r="BB69" s="11" t="n">
        <f aca="false">BB68+BB47+BB48+BB49</f>
        <v>128.967232274262</v>
      </c>
      <c r="BC69" s="11" t="n">
        <f aca="false">BC68+BC47+BC48+BC49</f>
        <v>128.512875960278</v>
      </c>
      <c r="BD69" s="11" t="n">
        <f aca="false">BD68+BD47+BD48+BD49</f>
        <v>130.077746255559</v>
      </c>
      <c r="BE69" s="11" t="n">
        <f aca="false">BE68+BE47+BE48+BE49</f>
        <v>135.026036757482</v>
      </c>
      <c r="BF69" s="11" t="n">
        <f aca="false">BF68+BF47+BF48+BF49</f>
        <v>134.877814344614</v>
      </c>
      <c r="BG69" s="11" t="n">
        <f aca="false">BG68+BG47+BG48+BG49</f>
        <v>136.416976284055</v>
      </c>
      <c r="BH69" s="11" t="n">
        <f aca="false">BH68+BH47+BH48+BH49</f>
        <v>137.044140532376</v>
      </c>
      <c r="BI69" s="11" t="n">
        <f aca="false">BI68+BI47+BI48+BI49</f>
        <v>140.283190676037</v>
      </c>
      <c r="BJ69" s="11" t="n">
        <f aca="false">BJ68+BJ47+BJ48+BJ49</f>
        <v>138.184152406157</v>
      </c>
      <c r="BK69" s="11" t="n">
        <f aca="false">BK68+BK47+BK48+BK49</f>
        <v>135.966225694841</v>
      </c>
      <c r="BL69" s="11" t="n">
        <f aca="false">BL68+BL47+BL48+BL49</f>
        <v>138.506471673558</v>
      </c>
      <c r="BM69" s="11" t="n">
        <f aca="false">BM68+BM47+BM48+BM49</f>
        <v>145.561522073831</v>
      </c>
      <c r="BN69" s="11" t="n">
        <f aca="false">BN68+BN47+BN48+BN49</f>
        <v>97.2387651354575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0.0859987767239091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</v>
      </c>
      <c r="Q70" s="11" t="n">
        <f aca="false">SUMIFS(Construction!$J$36:$BJ$36,Construction!$J$12:$BJ$12,Time!Q17,Construction!$J$8:$BJ$8,"&gt;"&amp;Time!$F$13)</f>
        <v>0.0735835360470474</v>
      </c>
      <c r="R70" s="11" t="n">
        <f aca="false">SUMIFS(Construction!$J$36:$BJ$36,Construction!$J$12:$BJ$12,Time!R17,Construction!$J$8:$BJ$8,"&gt;"&amp;Time!$F$13)</f>
        <v>0.0124152406768617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0</v>
      </c>
      <c r="Q72" s="9" t="n">
        <f aca="false">INT((Time!Q28-7)/12)+1</f>
        <v>1</v>
      </c>
      <c r="R72" s="9" t="n">
        <f aca="false">INT((Time!R28-7)/12)+1</f>
        <v>1</v>
      </c>
      <c r="S72" s="9" t="n">
        <f aca="false">INT((Time!S28-7)/12)+1</f>
        <v>2</v>
      </c>
      <c r="T72" s="9" t="n">
        <f aca="false">INT((Time!T28-7)/12)+1</f>
        <v>2</v>
      </c>
      <c r="U72" s="9" t="n">
        <f aca="false">INT((Time!U28-7)/12)+1</f>
        <v>3</v>
      </c>
      <c r="V72" s="9" t="n">
        <f aca="false">INT((Time!V28-7)/12)+1</f>
        <v>3</v>
      </c>
      <c r="W72" s="9" t="n">
        <f aca="false">INT((Time!W28-7)/12)+1</f>
        <v>4</v>
      </c>
      <c r="X72" s="9" t="n">
        <f aca="false">INT((Time!X28-7)/12)+1</f>
        <v>4</v>
      </c>
      <c r="Y72" s="9" t="n">
        <f aca="false">INT((Time!Y28-7)/12)+1</f>
        <v>5</v>
      </c>
      <c r="Z72" s="9" t="n">
        <f aca="false">INT((Time!Z28-7)/12)+1</f>
        <v>5</v>
      </c>
      <c r="AA72" s="9" t="n">
        <f aca="false">INT((Time!AA28-7)/12)+1</f>
        <v>6</v>
      </c>
      <c r="AB72" s="9" t="n">
        <f aca="false">INT((Time!AB28-7)/12)+1</f>
        <v>6</v>
      </c>
      <c r="AC72" s="9" t="n">
        <f aca="false">INT((Time!AC28-7)/12)+1</f>
        <v>7</v>
      </c>
      <c r="AD72" s="9" t="n">
        <f aca="false">INT((Time!AD28-7)/12)+1</f>
        <v>7</v>
      </c>
      <c r="AE72" s="9" t="n">
        <f aca="false">INT((Time!AE28-7)/12)+1</f>
        <v>8</v>
      </c>
      <c r="AF72" s="9" t="n">
        <f aca="false">INT((Time!AF28-7)/12)+1</f>
        <v>8</v>
      </c>
      <c r="AG72" s="9" t="n">
        <f aca="false">INT((Time!AG28-7)/12)+1</f>
        <v>9</v>
      </c>
      <c r="AH72" s="9" t="n">
        <f aca="false">INT((Time!AH28-7)/12)+1</f>
        <v>9</v>
      </c>
      <c r="AI72" s="9" t="n">
        <f aca="false">INT((Time!AI28-7)/12)+1</f>
        <v>10</v>
      </c>
      <c r="AJ72" s="9" t="n">
        <f aca="false">INT((Time!AJ28-7)/12)+1</f>
        <v>10</v>
      </c>
      <c r="AK72" s="9" t="n">
        <f aca="false">INT((Time!AK28-7)/12)+1</f>
        <v>11</v>
      </c>
      <c r="AL72" s="9" t="n">
        <f aca="false">INT((Time!AL28-7)/12)+1</f>
        <v>11</v>
      </c>
      <c r="AM72" s="9" t="n">
        <f aca="false">INT((Time!AM28-7)/12)+1</f>
        <v>12</v>
      </c>
      <c r="AN72" s="9" t="n">
        <f aca="false">INT((Time!AN28-7)/12)+1</f>
        <v>12</v>
      </c>
      <c r="AO72" s="9" t="n">
        <f aca="false">INT((Time!AO28-7)/12)+1</f>
        <v>13</v>
      </c>
      <c r="AP72" s="9" t="n">
        <f aca="false">INT((Time!AP28-7)/12)+1</f>
        <v>13</v>
      </c>
      <c r="AQ72" s="9" t="n">
        <f aca="false">INT((Time!AQ28-7)/12)+1</f>
        <v>14</v>
      </c>
      <c r="AR72" s="9" t="n">
        <f aca="false">INT((Time!AR28-7)/12)+1</f>
        <v>14</v>
      </c>
      <c r="AS72" s="9" t="n">
        <f aca="false">INT((Time!AS28-7)/12)+1</f>
        <v>15</v>
      </c>
      <c r="AT72" s="9" t="n">
        <f aca="false">INT((Time!AT28-7)/12)+1</f>
        <v>15</v>
      </c>
      <c r="AU72" s="9" t="n">
        <f aca="false">INT((Time!AU28-7)/12)+1</f>
        <v>16</v>
      </c>
      <c r="AV72" s="9" t="n">
        <f aca="false">INT((Time!AV28-7)/12)+1</f>
        <v>16</v>
      </c>
      <c r="AW72" s="9" t="n">
        <f aca="false">INT((Time!AW28-7)/12)+1</f>
        <v>17</v>
      </c>
      <c r="AX72" s="9" t="n">
        <f aca="false">INT((Time!AX28-7)/12)+1</f>
        <v>17</v>
      </c>
      <c r="AY72" s="9" t="n">
        <f aca="false">INT((Time!AY28-7)/12)+1</f>
        <v>18</v>
      </c>
      <c r="AZ72" s="9" t="n">
        <f aca="false">INT((Time!AZ28-7)/12)+1</f>
        <v>18</v>
      </c>
      <c r="BA72" s="9" t="n">
        <f aca="false">INT((Time!BA28-7)/12)+1</f>
        <v>19</v>
      </c>
      <c r="BB72" s="9" t="n">
        <f aca="false">INT((Time!BB28-7)/12)+1</f>
        <v>19</v>
      </c>
      <c r="BC72" s="9" t="n">
        <f aca="false">INT((Time!BC28-7)/12)+1</f>
        <v>20</v>
      </c>
      <c r="BD72" s="9" t="n">
        <f aca="false">INT((Time!BD28-7)/12)+1</f>
        <v>20</v>
      </c>
      <c r="BE72" s="9" t="n">
        <f aca="false">INT((Time!BE28-7)/12)+1</f>
        <v>21</v>
      </c>
      <c r="BF72" s="9" t="n">
        <f aca="false">INT((Time!BF28-7)/12)+1</f>
        <v>21</v>
      </c>
      <c r="BG72" s="9" t="n">
        <f aca="false">INT((Time!BG28-7)/12)+1</f>
        <v>22</v>
      </c>
      <c r="BH72" s="9" t="n">
        <f aca="false">INT((Time!BH28-7)/12)+1</f>
        <v>22</v>
      </c>
      <c r="BI72" s="9" t="n">
        <f aca="false">INT((Time!BI28-7)/12)+1</f>
        <v>23</v>
      </c>
      <c r="BJ72" s="9" t="n">
        <f aca="false">INT((Time!BJ28-7)/12)+1</f>
        <v>23</v>
      </c>
      <c r="BK72" s="9" t="n">
        <f aca="false">INT((Time!BK28-7)/12)+1</f>
        <v>24</v>
      </c>
      <c r="BL72" s="9" t="n">
        <f aca="false">INT((Time!BL28-7)/12)+1</f>
        <v>24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0</v>
      </c>
      <c r="W73" s="11" t="n">
        <f aca="false">IF(AND(Time!W25&gt;0,W72&gt;=1,W72&lt;=24,Time!W27&lt;(W72-1)*12+7,(W72-1)*12+7&lt;=Time!W28),IF(MOD(W72,8)=0,Inputs!$F$161,IF(MOD(W72,4)=0,Inputs!$F$162,0)),0)</f>
        <v>2.18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0</v>
      </c>
      <c r="AE73" s="11" t="n">
        <f aca="false">IF(AND(Time!AE25&gt;0,AE72&gt;=1,AE72&lt;=24,Time!AE27&lt;(AE72-1)*12+7,(AE72-1)*12+7&lt;=Time!AE28),IF(MOD(AE72,8)=0,Inputs!$F$161,IF(MOD(AE72,4)=0,Inputs!$F$162,0)),0)</f>
        <v>9.47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0</v>
      </c>
      <c r="AM73" s="11" t="n">
        <f aca="false">IF(AND(Time!AM25&gt;0,AM72&gt;=1,AM72&lt;=24,Time!AM27&lt;(AM72-1)*12+7,(AM72-1)*12+7&lt;=Time!AM28),IF(MOD(AM72,8)=0,Inputs!$F$161,IF(MOD(AM72,4)=0,Inputs!$F$162,0)),0)</f>
        <v>2.18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0</v>
      </c>
      <c r="AU73" s="11" t="n">
        <f aca="false">IF(AND(Time!AU25&gt;0,AU72&gt;=1,AU72&lt;=24,Time!AU27&lt;(AU72-1)*12+7,(AU72-1)*12+7&lt;=Time!AU28),IF(MOD(AU72,8)=0,Inputs!$F$161,IF(MOD(AU72,4)=0,Inputs!$F$162,0)),0)</f>
        <v>9.47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0</v>
      </c>
      <c r="BC73" s="11" t="n">
        <f aca="false">IF(AND(Time!BC25&gt;0,BC72&gt;=1,BC72&lt;=24,Time!BC27&lt;(BC72-1)*12+7,(BC72-1)*12+7&lt;=Time!BC28),IF(MOD(BC72,8)=0,Inputs!$F$161,IF(MOD(BC72,4)=0,Inputs!$F$162,0)),0)</f>
        <v>2.18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0</v>
      </c>
      <c r="BK73" s="11" t="n">
        <f aca="false">IF(AND(Time!BK25&gt;0,BK72&gt;=1,BK72&lt;=24,Time!BK27&lt;(BK72-1)*12+7,(BK72-1)*12+7&lt;=Time!BK28),IF(MOD(BK72,8)=0,Inputs!$F$161,IF(MOD(BK72,4)=0,Inputs!$F$162,0)),0)</f>
        <v>9.47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52.263650417766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0</v>
      </c>
      <c r="W74" s="11" t="n">
        <f aca="false">W73*W19</f>
        <v>2.52493405694828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0</v>
      </c>
      <c r="AE74" s="11" t="n">
        <f aca="false">AE73*AE19</f>
        <v>11.9659479346282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0</v>
      </c>
      <c r="AM74" s="11" t="n">
        <f aca="false">AM73*AM19</f>
        <v>3.00508808562737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0</v>
      </c>
      <c r="AU74" s="11" t="n">
        <f aca="false">AU73*AU19</f>
        <v>14.2414521569919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0</v>
      </c>
      <c r="BC74" s="11" t="n">
        <f aca="false">BC73*BC19</f>
        <v>3.57655059447143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0</v>
      </c>
      <c r="BK74" s="11" t="n">
        <f aca="false">BK73*BK19</f>
        <v>16.9496775890988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0</v>
      </c>
      <c r="BB75" s="9" t="n">
        <f aca="false">MAX(0,MIN(Time!BB28,300)-MAX(Time!BB27,228))</f>
        <v>2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6</v>
      </c>
      <c r="BN75" s="9" t="n">
        <f aca="false">MAX(0,MIN(Time!BN28,300)-MAX(Time!BN27,228))</f>
        <v>4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19.2778097774822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</v>
      </c>
      <c r="BB76" s="11" t="n">
        <f aca="false">Inputs!$F$163*BB19*BB75/12</f>
        <v>0.500383418214804</v>
      </c>
      <c r="BC76" s="11" t="n">
        <f aca="false">Inputs!$F$163*BC19*BC75/12</f>
        <v>1.51757307334224</v>
      </c>
      <c r="BD76" s="11" t="n">
        <f aca="false">Inputs!$F$163*BD19*BD75/12</f>
        <v>1.53417556024659</v>
      </c>
      <c r="BE76" s="11" t="n">
        <f aca="false">Inputs!$F$163*BE19*BE75/12</f>
        <v>1.55095968095577</v>
      </c>
      <c r="BF76" s="11" t="n">
        <f aca="false">Inputs!$F$163*BF19*BF75/12</f>
        <v>1.56792742257201</v>
      </c>
      <c r="BG76" s="11" t="n">
        <f aca="false">Inputs!$F$163*BG19*BG75/12</f>
        <v>1.58508079393679</v>
      </c>
      <c r="BH76" s="11" t="n">
        <f aca="false">Inputs!$F$163*BH19*BH75/12</f>
        <v>1.6024218258686</v>
      </c>
      <c r="BI76" s="11" t="n">
        <f aca="false">Inputs!$F$163*BI19*BI75/12</f>
        <v>1.6199525714034</v>
      </c>
      <c r="BJ76" s="11" t="n">
        <f aca="false">Inputs!$F$163*BJ19*BJ75/12</f>
        <v>1.63767510603771</v>
      </c>
      <c r="BK76" s="11" t="n">
        <f aca="false">Inputs!$F$163*BK19*BK75/12</f>
        <v>1.65559152797428</v>
      </c>
      <c r="BL76" s="11" t="n">
        <f aca="false">Inputs!$F$163*BL19*BL75/12</f>
        <v>1.67370395837054</v>
      </c>
      <c r="BM76" s="11" t="n">
        <f aca="false">Inputs!$F$163*BM19*BM75/12</f>
        <v>1.69201454158971</v>
      </c>
      <c r="BN76" s="11" t="n">
        <f aca="false">Inputs!$F$163*BN19*BN75/12</f>
        <v>1.14035029696979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19.2778097774822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0</v>
      </c>
      <c r="BN77" s="11" t="n">
        <f aca="false">Time!BN32*SUM($J$76:$BN$76)</f>
        <v>19.2778097774822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6994.04985913275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0</v>
      </c>
      <c r="P78" s="11" t="n">
        <f aca="false">P67+P69+P70+P71+P74+P77</f>
        <v>36.1889096618176</v>
      </c>
      <c r="Q78" s="11" t="n">
        <f aca="false">Q67+Q69+Q70+Q71+Q74+Q77</f>
        <v>110.442117781314</v>
      </c>
      <c r="R78" s="11" t="n">
        <f aca="false">R67+R69+R70+R71+R74+R77</f>
        <v>110.445266999863</v>
      </c>
      <c r="S78" s="11" t="n">
        <f aca="false">S67+S69+S70+S71+S74+S77</f>
        <v>111.585777250754</v>
      </c>
      <c r="T78" s="11" t="n">
        <f aca="false">T67+T69+T70+T71+T74+T77</f>
        <v>112.260815533848</v>
      </c>
      <c r="U78" s="11" t="n">
        <f aca="false">U67+U69+U70+U71+U74+U77</f>
        <v>114.741556970098</v>
      </c>
      <c r="V78" s="11" t="n">
        <f aca="false">V67+V69+V70+V71+V74+V77</f>
        <v>113.944966728396</v>
      </c>
      <c r="W78" s="11" t="n">
        <f aca="false">W67+W69+W70+W71+W74+W77</f>
        <v>116.031299912079</v>
      </c>
      <c r="X78" s="11" t="n">
        <f aca="false">X67+X69+X70+X71+X74+X77</f>
        <v>115.016255828604</v>
      </c>
      <c r="Y78" s="11" t="n">
        <f aca="false">Y67+Y69+Y70+Y71+Y74+Y77</f>
        <v>119.152925053365</v>
      </c>
      <c r="Z78" s="11" t="n">
        <f aca="false">Z67+Z69+Z70+Z71+Z74+Z77</f>
        <v>119.219555429436</v>
      </c>
      <c r="AA78" s="11" t="n">
        <f aca="false">AA67+AA69+AA70+AA71+AA74+AA77</f>
        <v>120.466219315255</v>
      </c>
      <c r="AB78" s="11" t="n">
        <f aca="false">AB67+AB69+AB70+AB71+AB74+AB77</f>
        <v>121.193413888238</v>
      </c>
      <c r="AC78" s="11" t="n">
        <f aca="false">AC67+AC69+AC70+AC71+AC74+AC77</f>
        <v>123.874980136162</v>
      </c>
      <c r="AD78" s="11" t="n">
        <f aca="false">AD67+AD69+AD70+AD71+AD74+AD77</f>
        <v>122.299818099702</v>
      </c>
      <c r="AE78" s="11" t="n">
        <f aca="false">AE67+AE69+AE70+AE71+AE74+AE77</f>
        <v>132.360585606461</v>
      </c>
      <c r="AF78" s="11" t="n">
        <f aca="false">AF67+AF69+AF70+AF71+AF74+AF77</f>
        <v>122.715046879009</v>
      </c>
      <c r="AG78" s="11" t="n">
        <f aca="false">AG67+AG69+AG70+AG71+AG74+AG77</f>
        <v>128.640900904183</v>
      </c>
      <c r="AH78" s="11" t="n">
        <f aca="false">AH67+AH69+AH70+AH71+AH74+AH77</f>
        <v>128.709895825077</v>
      </c>
      <c r="AI78" s="11" t="n">
        <f aca="false">AI67+AI69+AI70+AI71+AI74+AI77</f>
        <v>130.057855199142</v>
      </c>
      <c r="AJ78" s="11" t="n">
        <f aca="false">AJ67+AJ69+AJ70+AJ71+AJ74+AJ77</f>
        <v>130.841303645685</v>
      </c>
      <c r="AK78" s="11" t="n">
        <f aca="false">AK67+AK69+AK70+AK71+AK74+AK77</f>
        <v>133.739864346015</v>
      </c>
      <c r="AL78" s="11" t="n">
        <f aca="false">AL67+AL69+AL70+AL71+AL74+AL77</f>
        <v>132.804326170397</v>
      </c>
      <c r="AM78" s="11" t="n">
        <f aca="false">AM67+AM69+AM70+AM71+AM74+AM77</f>
        <v>135.295310104407</v>
      </c>
      <c r="AN78" s="11" t="n">
        <f aca="false">AN67+AN69+AN70+AN71+AN74+AN77</f>
        <v>134.050208008019</v>
      </c>
      <c r="AO78" s="11" t="n">
        <f aca="false">AO67+AO69+AO70+AO71+AO74+AO77</f>
        <v>138.888804321702</v>
      </c>
      <c r="AP78" s="11" t="n">
        <f aca="false">AP67+AP69+AP70+AP71+AP74+AP77</f>
        <v>138.960215447785</v>
      </c>
      <c r="AQ78" s="11" t="n">
        <f aca="false">AQ67+AQ69+AQ70+AQ71+AQ74+AQ77</f>
        <v>140.417631213235</v>
      </c>
      <c r="AR78" s="11" t="n">
        <f aca="false">AR67+AR69+AR70+AR71+AR74+AR77</f>
        <v>141.261757539248</v>
      </c>
      <c r="AS78" s="11" t="n">
        <f aca="false">AS67+AS69+AS70+AS71+AS74+AS77</f>
        <v>144.394775987888</v>
      </c>
      <c r="AT78" s="11" t="n">
        <f aca="false">AT67+AT69+AT70+AT71+AT74+AT77</f>
        <v>142.548337283013</v>
      </c>
      <c r="AU78" s="11" t="n">
        <f aca="false">AU67+AU69+AU70+AU71+AU74+AU77</f>
        <v>154.561207493941</v>
      </c>
      <c r="AV78" s="11" t="n">
        <f aca="false">AV67+AV69+AV70+AV71+AV74+AV77</f>
        <v>143.026228090096</v>
      </c>
      <c r="AW78" s="11" t="n">
        <f aca="false">AW67+AW69+AW70+AW71+AW74+AW77</f>
        <v>149.9574816567</v>
      </c>
      <c r="AX78" s="11" t="n">
        <f aca="false">AX67+AX69+AX70+AX71+AX74+AX77</f>
        <v>150.031360761949</v>
      </c>
      <c r="AY78" s="11" t="n">
        <f aca="false">AY67+AY69+AY70+AY71+AY74+AY77</f>
        <v>151.607045407252</v>
      </c>
      <c r="AZ78" s="11" t="n">
        <f aca="false">AZ67+AZ69+AZ70+AZ71+AZ74+AZ77</f>
        <v>152.516626340794</v>
      </c>
      <c r="BA78" s="11" t="n">
        <f aca="false">BA67+BA69+BA70+BA71+BA74+BA77</f>
        <v>155.902962226908</v>
      </c>
      <c r="BB78" s="11" t="n">
        <f aca="false">BB67+BB69+BB70+BB71+BB74+BB77</f>
        <v>154.804767655899</v>
      </c>
      <c r="BC78" s="11" t="n">
        <f aca="false">BC67+BC69+BC70+BC71+BC74+BC77</f>
        <v>157.778702956378</v>
      </c>
      <c r="BD78" s="11" t="n">
        <f aca="false">BD67+BD69+BD70+BD71+BD74+BD77</f>
        <v>156.253864763032</v>
      </c>
      <c r="BE78" s="11" t="n">
        <f aca="false">BE67+BE69+BE70+BE71+BE74+BE77</f>
        <v>161.912641983005</v>
      </c>
      <c r="BF78" s="11" t="n">
        <f aca="false">BF67+BF69+BF70+BF71+BF74+BF77</f>
        <v>161.989041147977</v>
      </c>
      <c r="BG78" s="11" t="n">
        <f aca="false">BG67+BG69+BG70+BG71+BG74+BG77</f>
        <v>163.692510262465</v>
      </c>
      <c r="BH78" s="11" t="n">
        <f aca="false">BH67+BH69+BH70+BH71+BH74+BH77</f>
        <v>164.672703692159</v>
      </c>
      <c r="BI78" s="11" t="n">
        <f aca="false">BI67+BI69+BI70+BI71+BI74+BI77</f>
        <v>168.332723926052</v>
      </c>
      <c r="BJ78" s="11" t="n">
        <f aca="false">BJ67+BJ69+BJ70+BJ71+BJ74+BJ77</f>
        <v>166.168977837604</v>
      </c>
      <c r="BK78" s="11" t="n">
        <f aca="false">BK67+BK69+BK70+BK71+BK74+BK77</f>
        <v>180.511954585155</v>
      </c>
      <c r="BL78" s="11" t="n">
        <f aca="false">BL67+BL69+BL70+BL71+BL74+BL77</f>
        <v>166.719203720733</v>
      </c>
      <c r="BM78" s="11" t="n">
        <f aca="false">BM67+BM69+BM70+BM71+BM74+BM77</f>
        <v>174.82524447012</v>
      </c>
      <c r="BN78" s="11" t="n">
        <f aca="false">BN67+BN69+BN70+BN71+BN74+BN77</f>
        <v>136.233913084329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2624.63556436736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0</v>
      </c>
      <c r="P79" s="11" t="n">
        <f aca="false">P51-P78+P53</f>
        <v>16.9230614907801</v>
      </c>
      <c r="Q79" s="11" t="n">
        <f aca="false">Q51-Q78+Q53</f>
        <v>50.8061314299036</v>
      </c>
      <c r="R79" s="11" t="n">
        <f aca="false">R51-R78+R53</f>
        <v>50.9867407022095</v>
      </c>
      <c r="S79" s="11" t="n">
        <f aca="false">S51-S78+S53</f>
        <v>51.1375238480677</v>
      </c>
      <c r="T79" s="11" t="n">
        <f aca="false">T51-T78+T53</f>
        <v>51.230200345748</v>
      </c>
      <c r="U79" s="11" t="n">
        <f aca="false">U51-U78+U53</f>
        <v>51.3107195931088</v>
      </c>
      <c r="V79" s="11" t="n">
        <f aca="false">V51-V78+V53</f>
        <v>51.4749591800154</v>
      </c>
      <c r="W79" s="11" t="n">
        <f aca="false">W51-W78+W53</f>
        <v>49.1745518843761</v>
      </c>
      <c r="X79" s="11" t="n">
        <f aca="false">X51-X78+X53</f>
        <v>51.7571514565107</v>
      </c>
      <c r="Y79" s="11" t="n">
        <f aca="false">Y51-Y78+Y53</f>
        <v>51.7591145579287</v>
      </c>
      <c r="Z79" s="11" t="n">
        <f aca="false">Z51-Z78+Z53</f>
        <v>51.8895286569547</v>
      </c>
      <c r="AA79" s="11" t="n">
        <f aca="false">AA51-AA78+AA53</f>
        <v>52.0395622173936</v>
      </c>
      <c r="AB79" s="11" t="n">
        <f aca="false">AB51-AB78+AB53</f>
        <v>52.1400926174002</v>
      </c>
      <c r="AC79" s="11" t="n">
        <f aca="false">AC51-AC78+AC53</f>
        <v>52.2256110589363</v>
      </c>
      <c r="AD79" s="11" t="n">
        <f aca="false">AD51-AD78+AD53</f>
        <v>52.4420676701167</v>
      </c>
      <c r="AE79" s="11" t="n">
        <f aca="false">AE51-AE78+AE53</f>
        <v>39.8390012621901</v>
      </c>
      <c r="AF79" s="11" t="n">
        <f aca="false">AF51-AF78+AF53</f>
        <v>52.7875483729684</v>
      </c>
      <c r="AG79" s="11" t="n">
        <f aca="false">AG51-AG78+AG53</f>
        <v>52.7109497532263</v>
      </c>
      <c r="AH79" s="11" t="n">
        <f aca="false">AH51-AH78+AH53</f>
        <v>52.8533361469062</v>
      </c>
      <c r="AI79" s="11" t="n">
        <f aca="false">AI51-AI78+AI53</f>
        <v>53.0160378721272</v>
      </c>
      <c r="AJ79" s="11" t="n">
        <f aca="false">AJ51-AJ78+AJ53</f>
        <v>53.1250885241857</v>
      </c>
      <c r="AK79" s="11" t="n">
        <f aca="false">AK51-AK78+AK53</f>
        <v>53.2159019907963</v>
      </c>
      <c r="AL79" s="11" t="n">
        <f aca="false">AL51-AL78+AL53</f>
        <v>53.4135405605213</v>
      </c>
      <c r="AM79" s="11" t="n">
        <f aca="false">AM51-AM78+AM53</f>
        <v>50.6775901271207</v>
      </c>
      <c r="AN79" s="11" t="n">
        <f aca="false">AN51-AN78+AN53</f>
        <v>53.7480550541173</v>
      </c>
      <c r="AO79" s="11" t="n">
        <f aca="false">AO51-AO78+AO53</f>
        <v>53.741271101116</v>
      </c>
      <c r="AP79" s="11" t="n">
        <f aca="false">AP51-AP78+AP53</f>
        <v>53.8967192856058</v>
      </c>
      <c r="AQ79" s="11" t="n">
        <f aca="false">AQ51-AQ78+AQ53</f>
        <v>54.0731793538069</v>
      </c>
      <c r="AR79" s="11" t="n">
        <f aca="false">AR51-AR78+AR53</f>
        <v>54.1914731500282</v>
      </c>
      <c r="AS79" s="11" t="n">
        <f aca="false">AS51-AS78+AS53</f>
        <v>54.2878937341593</v>
      </c>
      <c r="AT79" s="11" t="n">
        <f aca="false">AT51-AT78+AT53</f>
        <v>54.5495303603424</v>
      </c>
      <c r="AU79" s="11" t="n">
        <f aca="false">AU51-AU78+AU53</f>
        <v>39.6661605187162</v>
      </c>
      <c r="AV79" s="11" t="n">
        <f aca="false">AV51-AV78+AV53</f>
        <v>54.9610447661608</v>
      </c>
      <c r="AW79" s="11" t="n">
        <f aca="false">AW51-AW78+AW53</f>
        <v>54.8566412582238</v>
      </c>
      <c r="AX79" s="11" t="n">
        <f aca="false">AX51-AX78+AX53</f>
        <v>55.0263391695362</v>
      </c>
      <c r="AY79" s="11" t="n">
        <f aca="false">AY51-AY78+AY53</f>
        <v>55.2177432105046</v>
      </c>
      <c r="AZ79" s="11" t="n">
        <f aca="false">AZ51-AZ78+AZ53</f>
        <v>55.3460643786843</v>
      </c>
      <c r="BA79" s="11" t="n">
        <f aca="false">BA51-BA78+BA53</f>
        <v>55.4484212169618</v>
      </c>
      <c r="BB79" s="11" t="n">
        <f aca="false">BB51-BB78+BB53</f>
        <v>55.6860981395695</v>
      </c>
      <c r="BC79" s="11" t="n">
        <f aca="false">BC51-BC78+BC53</f>
        <v>52.4320984345962</v>
      </c>
      <c r="BD79" s="11" t="n">
        <f aca="false">BD51-BD78+BD53</f>
        <v>56.0826883006257</v>
      </c>
      <c r="BE79" s="11" t="n">
        <f aca="false">BE51-BE78+BE53</f>
        <v>56.0641788481495</v>
      </c>
      <c r="BF79" s="11" t="n">
        <f aca="false">BF51-BF78+BF53</f>
        <v>56.249421704065</v>
      </c>
      <c r="BG79" s="11" t="n">
        <f aca="false">BG51-BG78+BG53</f>
        <v>56.4570592816034</v>
      </c>
      <c r="BH79" s="11" t="n">
        <f aca="false">BH51-BH78+BH53</f>
        <v>56.5962585840198</v>
      </c>
      <c r="BI79" s="11" t="n">
        <f aca="false">BI51-BI78+BI53</f>
        <v>56.704898666833</v>
      </c>
      <c r="BJ79" s="11" t="n">
        <f aca="false">BJ51-BJ78+BJ53</f>
        <v>57.0208662174089</v>
      </c>
      <c r="BK79" s="11" t="n">
        <f aca="false">BK51-BK78+BK53</f>
        <v>39.4244218900238</v>
      </c>
      <c r="BL79" s="11" t="n">
        <f aca="false">BL51-BL78+BL53</f>
        <v>57.5110237970095</v>
      </c>
      <c r="BM79" s="11" t="n">
        <f aca="false">BM51-BM78+BM53</f>
        <v>57.3716061155998</v>
      </c>
      <c r="BN79" s="11" t="n">
        <f aca="false">BN51-BN78+BN53</f>
        <v>19.0883965104018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0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0</v>
      </c>
      <c r="R82" s="9" t="n">
        <f aca="false">Inputs!$F$43*Time!R33</f>
        <v>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0</v>
      </c>
      <c r="P83" s="11" t="n">
        <f aca="false">(1-P81)*(P51/MAX(Time!P26,1)*Inputs!$F$165+P50/MAX(Time!P26,1)*P82)</f>
        <v>39.1809623256869</v>
      </c>
      <c r="Q83" s="11" t="n">
        <f aca="false">(1-Q81)*(Q51/MAX(Time!Q26,1)*Inputs!$F$165+Q50/MAX(Time!Q26,1)*Q82)</f>
        <v>40.0893437265458</v>
      </c>
      <c r="R83" s="11" t="n">
        <f aca="false">(1-R81)*(R51/MAX(Time!R26,1)*Inputs!$F$165+R50/MAX(Time!R26,1)*R82)</f>
        <v>39.4806540575721</v>
      </c>
      <c r="S83" s="11" t="n">
        <f aca="false">(1-S81)*(S51/MAX(Time!S26,1)*Inputs!$F$165+S50/MAX(Time!S26,1)*S82)</f>
        <v>40.4560693339611</v>
      </c>
      <c r="T83" s="11" t="n">
        <f aca="false">(1-T81)*(T51/MAX(Time!T26,1)*Inputs!$F$165+T50/MAX(Time!T26,1)*T82)</f>
        <v>39.9842158401186</v>
      </c>
      <c r="U83" s="11" t="n">
        <f aca="false">(1-U81)*(U51/MAX(Time!U26,1)*Inputs!$F$165+U50/MAX(Time!U26,1)*U82)</f>
        <v>41.0568815678258</v>
      </c>
      <c r="V83" s="11" t="n">
        <f aca="false">(1-V81)*(V51/MAX(Time!V26,1)*Inputs!$F$165+V50/MAX(Time!V26,1)*V82)</f>
        <v>40.455960140644</v>
      </c>
      <c r="W83" s="11" t="n">
        <f aca="false">(1-W81)*(W51/MAX(Time!W26,1)*Inputs!$F$165+W50/MAX(Time!W26,1)*W82)</f>
        <v>41.0732780709418</v>
      </c>
      <c r="X83" s="11" t="n">
        <f aca="false">(1-X81)*(X51/MAX(Time!X26,1)*Inputs!$F$165+X50/MAX(Time!X26,1)*X82)</f>
        <v>40.7869746077725</v>
      </c>
      <c r="Y83" s="11" t="n">
        <f aca="false">(1-Y81)*(Y51/MAX(Time!Y26,1)*Inputs!$F$165+Y50/MAX(Time!Y26,1)*Y82)</f>
        <v>42.4919435497691</v>
      </c>
      <c r="Z83" s="11" t="n">
        <f aca="false">(1-Z81)*(Z51/MAX(Time!Z26,1)*Inputs!$F$165+Z50/MAX(Time!Z26,1)*Z82)</f>
        <v>41.8473303472152</v>
      </c>
      <c r="AA83" s="11" t="n">
        <f aca="false">(1-AA81)*(AA51/MAX(Time!AA26,1)*Inputs!$F$165+AA50/MAX(Time!AA26,1)*AA82)</f>
        <v>42.8881777291116</v>
      </c>
      <c r="AB83" s="11" t="n">
        <f aca="false">(1-AB81)*(AB51/MAX(Time!AB26,1)*Inputs!$F$165+AB50/MAX(Time!AB26,1)*AB82)</f>
        <v>42.3913466997486</v>
      </c>
      <c r="AC83" s="11" t="n">
        <f aca="false">(1-AC81)*(AC51/MAX(Time!AC26,1)*Inputs!$F$165+AC50/MAX(Time!AC26,1)*AC82)</f>
        <v>43.5413549658211</v>
      </c>
      <c r="AD83" s="11" t="n">
        <f aca="false">(1-AD81)*(AD51/MAX(Time!AD26,1)*Inputs!$F$165+AD50/MAX(Time!AD26,1)*AD82)</f>
        <v>42.7357872806621</v>
      </c>
      <c r="AE83" s="11" t="n">
        <f aca="false">(1-AE81)*(AE51/MAX(Time!AE26,1)*Inputs!$F$165+AE50/MAX(Time!AE26,1)*AE82)</f>
        <v>42.8120519839187</v>
      </c>
      <c r="AF83" s="11" t="n">
        <f aca="false">(1-AF81)*(AF51/MAX(Time!AF26,1)*Inputs!$F$165+AF50/MAX(Time!AF26,1)*AF82)</f>
        <v>42.9218303605379</v>
      </c>
      <c r="AG83" s="11" t="n">
        <f aca="false">(1-AG81)*(AG51/MAX(Time!AG26,1)*Inputs!$F$165+AG50/MAX(Time!AG26,1)*AG82)</f>
        <v>45.0874766827812</v>
      </c>
      <c r="AH83" s="11" t="n">
        <f aca="false">(1-AH81)*(AH51/MAX(Time!AH26,1)*Inputs!$F$165+AH50/MAX(Time!AH26,1)*AH82)</f>
        <v>44.4040512974958</v>
      </c>
      <c r="AI83" s="11" t="n">
        <f aca="false">(1-AI81)*(AI51/MAX(Time!AI26,1)*Inputs!$F$165+AI50/MAX(Time!AI26,1)*AI82)</f>
        <v>45.5156087746249</v>
      </c>
      <c r="AJ83" s="11" t="n">
        <f aca="false">(1-AJ81)*(AJ51/MAX(Time!AJ26,1)*Inputs!$F$165+AJ50/MAX(Time!AJ26,1)*AJ82)</f>
        <v>44.9917806937183</v>
      </c>
      <c r="AK83" s="11" t="n">
        <f aca="false">(1-AK81)*(AK51/MAX(Time!AK26,1)*Inputs!$F$165+AK50/MAX(Time!AK26,1)*AK82)</f>
        <v>46.2253268415193</v>
      </c>
      <c r="AL83" s="11" t="n">
        <f aca="false">(1-AL81)*(AL51/MAX(Time!AL26,1)*Inputs!$F$165+AL50/MAX(Time!AL26,1)*AL82)</f>
        <v>45.5424130591919</v>
      </c>
      <c r="AM83" s="11" t="n">
        <f aca="false">(1-AM81)*(AM51/MAX(Time!AM26,1)*Inputs!$F$165+AM50/MAX(Time!AM26,1)*AM82)</f>
        <v>46.2363564111533</v>
      </c>
      <c r="AN83" s="11" t="n">
        <f aca="false">(1-AN81)*(AN51/MAX(Time!AN26,1)*Inputs!$F$165+AN50/MAX(Time!AN26,1)*AN82)</f>
        <v>45.9289230315007</v>
      </c>
      <c r="AO83" s="11" t="n">
        <f aca="false">(1-AO81)*(AO51/MAX(Time!AO26,1)*Inputs!$F$165+AO50/MAX(Time!AO26,1)*AO82)</f>
        <v>47.8914552156177</v>
      </c>
      <c r="AP83" s="11" t="n">
        <f aca="false">(1-AP81)*(AP51/MAX(Time!AP26,1)*Inputs!$F$165+AP50/MAX(Time!AP26,1)*AP82)</f>
        <v>47.1660981684924</v>
      </c>
      <c r="AQ83" s="11" t="n">
        <f aca="false">(1-AQ81)*(AQ51/MAX(Time!AQ26,1)*Inputs!$F$165+AQ50/MAX(Time!AQ26,1)*AQ82)</f>
        <v>48.3540689255078</v>
      </c>
      <c r="AR83" s="11" t="n">
        <f aca="false">(1-AR81)*(AR51/MAX(Time!AR26,1)*Inputs!$F$165+AR50/MAX(Time!AR26,1)*AR82)</f>
        <v>47.8010618533557</v>
      </c>
      <c r="AS83" s="11" t="n">
        <f aca="false">(1-AS81)*(AS51/MAX(Time!AS26,1)*Inputs!$F$165+AS50/MAX(Time!AS26,1)*AS82)</f>
        <v>49.1248359202865</v>
      </c>
      <c r="AT83" s="11" t="n">
        <f aca="false">(1-AT81)*(AT51/MAX(Time!AT26,1)*Inputs!$F$165+AT50/MAX(Time!AT26,1)*AT82)</f>
        <v>48.2032828475597</v>
      </c>
      <c r="AU83" s="11" t="n">
        <f aca="false">(1-AU81)*(AU51/MAX(Time!AU26,1)*Inputs!$F$165+AU50/MAX(Time!AU26,1)*AU82)</f>
        <v>48.2885721578429</v>
      </c>
      <c r="AV83" s="11" t="n">
        <f aca="false">(1-AV81)*(AV51/MAX(Time!AV26,1)*Inputs!$F$165+AV50/MAX(Time!AV26,1)*AV82)</f>
        <v>48.420800426802</v>
      </c>
      <c r="AW83" s="11" t="n">
        <f aca="false">(1-AW81)*(AW51/MAX(Time!AW26,1)*Inputs!$F$165+AW50/MAX(Time!AW26,1)*AW82)</f>
        <v>50.9206382937657</v>
      </c>
      <c r="AX83" s="11" t="n">
        <f aca="false">(1-AX81)*(AX51/MAX(Time!AX26,1)*Inputs!$F$165+AX50/MAX(Time!AX26,1)*AX82)</f>
        <v>50.1499809615046</v>
      </c>
      <c r="AY83" s="11" t="n">
        <f aca="false">(1-AY81)*(AY51/MAX(Time!AY26,1)*Inputs!$F$165+AY50/MAX(Time!AY26,1)*AY82)</f>
        <v>51.4205275569009</v>
      </c>
      <c r="AZ83" s="11" t="n">
        <f aca="false">(1-AZ81)*(AZ51/MAX(Time!AZ26,1)*Inputs!$F$165+AZ50/MAX(Time!AZ26,1)*AZ82)</f>
        <v>50.8359841433507</v>
      </c>
      <c r="BA83" s="11" t="n">
        <f aca="false">(1-BA81)*(BA51/MAX(Time!BA26,1)*Inputs!$F$165+BA50/MAX(Time!BA26,1)*BA82)</f>
        <v>52.2572101921656</v>
      </c>
      <c r="BB83" s="11" t="n">
        <f aca="false">(1-BB81)*(BB51/MAX(Time!BB26,1)*Inputs!$F$165+BB50/MAX(Time!BB26,1)*BB82)</f>
        <v>51.4787443521526</v>
      </c>
      <c r="BC83" s="11" t="n">
        <f aca="false">(1-BC81)*(BC51/MAX(Time!BC26,1)*Inputs!$F$165+BC50/MAX(Time!BC26,1)*BC82)</f>
        <v>52.2623539369825</v>
      </c>
      <c r="BD83" s="11" t="n">
        <f aca="false">(1-BD81)*(BD51/MAX(Time!BD26,1)*Inputs!$F$165+BD50/MAX(Time!BD26,1)*BD82)</f>
        <v>51.9301352601338</v>
      </c>
      <c r="BE83" s="11" t="n">
        <f aca="false">(1-BE81)*(BE51/MAX(Time!BE26,1)*Inputs!$F$165+BE50/MAX(Time!BE26,1)*BE82)</f>
        <v>54.1931322508396</v>
      </c>
      <c r="BF83" s="11" t="n">
        <f aca="false">(1-BF81)*(BF51/MAX(Time!BF26,1)*Inputs!$F$165+BF50/MAX(Time!BF26,1)*BF82)</f>
        <v>53.3735371105536</v>
      </c>
      <c r="BG83" s="11" t="n">
        <f aca="false">(1-BG81)*(BG51/MAX(Time!BG26,1)*Inputs!$F$165+BG50/MAX(Time!BG26,1)*BG82)</f>
        <v>54.7333183949341</v>
      </c>
      <c r="BH83" s="11" t="n">
        <f aca="false">(1-BH81)*(BH51/MAX(Time!BH26,1)*Inputs!$F$165+BH50/MAX(Time!BH26,1)*BH82)</f>
        <v>54.1146918610221</v>
      </c>
      <c r="BI83" s="11" t="n">
        <f aca="false">(1-BI81)*(BI51/MAX(Time!BI26,1)*Inputs!$F$165+BI50/MAX(Time!BI26,1)*BI82)</f>
        <v>55.6411704213176</v>
      </c>
      <c r="BJ83" s="11" t="n">
        <f aca="false">(1-BJ81)*(BJ51/MAX(Time!BJ26,1)*Inputs!$F$165+BJ50/MAX(Time!BJ26,1)*BJ82)</f>
        <v>54.5844727308456</v>
      </c>
      <c r="BK83" s="11" t="n">
        <f aca="false">(1-BK81)*(BK51/MAX(Time!BK26,1)*Inputs!$F$165+BK50/MAX(Time!BK26,1)*BK82)</f>
        <v>54.6803145932766</v>
      </c>
      <c r="BL83" s="11" t="n">
        <f aca="false">(1-BL81)*(BL51/MAX(Time!BL26,1)*Inputs!$F$165+BL50/MAX(Time!BL26,1)*BL82)</f>
        <v>54.8389143385784</v>
      </c>
      <c r="BM83" s="11" t="n">
        <f aca="false">(1-BM81)*(BM51/MAX(Time!BM26,1)*Inputs!$F$165+BM50/MAX(Time!BM26,1)*BM82)</f>
        <v>57.7284987644055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0</v>
      </c>
      <c r="P85" s="11" t="n">
        <f aca="false">(1-P81)*(P68+P49)/MAX(Time!P26,1)*Inputs!$F$166</f>
        <v>18.981872567668</v>
      </c>
      <c r="Q85" s="11" t="n">
        <f aca="false">(1-Q81)*(Q68+Q49)/MAX(Time!Q26,1)*Inputs!$F$166</f>
        <v>19.5734858895665</v>
      </c>
      <c r="R85" s="11" t="n">
        <f aca="false">(1-R81)*(R68+R49)/MAX(Time!R26,1)*Inputs!$F$166</f>
        <v>19.1898695703999</v>
      </c>
      <c r="S85" s="11" t="n">
        <f aca="false">(1-S81)*(S68+S49)/MAX(Time!S26,1)*Inputs!$F$166</f>
        <v>19.7673961775234</v>
      </c>
      <c r="T85" s="11" t="n">
        <f aca="false">(1-T81)*(T68+T49)/MAX(Time!T26,1)*Inputs!$F$166</f>
        <v>19.5049093413048</v>
      </c>
      <c r="U85" s="11" t="n">
        <f aca="false">(1-U81)*(U68+U49)/MAX(Time!U26,1)*Inputs!$F$166</f>
        <v>20.2400036692214</v>
      </c>
      <c r="V85" s="11" t="n">
        <f aca="false">(1-V81)*(V68+V49)/MAX(Time!V26,1)*Inputs!$F$166</f>
        <v>19.7892757868369</v>
      </c>
      <c r="W85" s="11" t="n">
        <f aca="false">(1-W81)*(W68+W49)/MAX(Time!W26,1)*Inputs!$F$166</f>
        <v>20.0444416126787</v>
      </c>
      <c r="X85" s="11" t="n">
        <f aca="false">(1-X81)*(X68+X49)/MAX(Time!X26,1)*Inputs!$F$166</f>
        <v>19.9466454705594</v>
      </c>
      <c r="Y85" s="11" t="n">
        <f aca="false">(1-Y81)*(Y68+Y49)/MAX(Time!Y26,1)*Inputs!$F$166</f>
        <v>21.1608056600682</v>
      </c>
      <c r="Z85" s="11" t="n">
        <f aca="false">(1-Z81)*(Z68+Z49)/MAX(Time!Z26,1)*Inputs!$F$166</f>
        <v>20.7459263425221</v>
      </c>
      <c r="AA85" s="11" t="n">
        <f aca="false">(1-AA81)*(AA68+AA49)/MAX(Time!AA26,1)*Inputs!$F$166</f>
        <v>21.3701249165466</v>
      </c>
      <c r="AB85" s="11" t="n">
        <f aca="false">(1-AB81)*(AB68+AB49)/MAX(Time!AB26,1)*Inputs!$F$166</f>
        <v>21.0861996640739</v>
      </c>
      <c r="AC85" s="11" t="n">
        <f aca="false">(1-AC81)*(AC68+AC49)/MAX(Time!AC26,1)*Inputs!$F$166</f>
        <v>21.880727020268</v>
      </c>
      <c r="AD85" s="11" t="n">
        <f aca="false">(1-AD81)*(AD68+AD49)/MAX(Time!AD26,1)*Inputs!$F$166</f>
        <v>21.2471949362023</v>
      </c>
      <c r="AE85" s="11" t="n">
        <f aca="false">(1-AE81)*(AE68+AE49)/MAX(Time!AE26,1)*Inputs!$F$166</f>
        <v>21.2145637935237</v>
      </c>
      <c r="AF85" s="11" t="n">
        <f aca="false">(1-AF81)*(AF68+AF49)/MAX(Time!AF26,1)*Inputs!$F$166</f>
        <v>21.2651455638534</v>
      </c>
      <c r="AG85" s="11" t="n">
        <f aca="false">(1-AG81)*(AG68+AG49)/MAX(Time!AG26,1)*Inputs!$F$166</f>
        <v>22.8754936617536</v>
      </c>
      <c r="AH85" s="11" t="n">
        <f aca="false">(1-AH81)*(AH68+AH49)/MAX(Time!AH26,1)*Inputs!$F$166</f>
        <v>22.4268295858365</v>
      </c>
      <c r="AI85" s="11" t="n">
        <f aca="false">(1-AI81)*(AI68+AI49)/MAX(Time!AI26,1)*Inputs!$F$166</f>
        <v>23.1014311506159</v>
      </c>
      <c r="AJ85" s="11" t="n">
        <f aca="false">(1-AJ81)*(AJ68+AJ49)/MAX(Time!AJ26,1)*Inputs!$F$166</f>
        <v>22.79433418663</v>
      </c>
      <c r="AK85" s="11" t="n">
        <f aca="false">(1-AK81)*(AK68+AK49)/MAX(Time!AK26,1)*Inputs!$F$166</f>
        <v>23.6530480969888</v>
      </c>
      <c r="AL85" s="11" t="n">
        <f aca="false">(1-AL81)*(AL68+AL49)/MAX(Time!AL26,1)*Inputs!$F$166</f>
        <v>23.1259711090982</v>
      </c>
      <c r="AM85" s="11" t="n">
        <f aca="false">(1-AM81)*(AM68+AM49)/MAX(Time!AM26,1)*Inputs!$F$166</f>
        <v>23.4238127094044</v>
      </c>
      <c r="AN85" s="11" t="n">
        <f aca="false">(1-AN81)*(AN68+AN49)/MAX(Time!AN26,1)*Inputs!$F$166</f>
        <v>23.3091822019381</v>
      </c>
      <c r="AO85" s="11" t="n">
        <f aca="false">(1-AO81)*(AO68+AO49)/MAX(Time!AO26,1)*Inputs!$F$166</f>
        <v>24.727653532949</v>
      </c>
      <c r="AP85" s="11" t="n">
        <f aca="false">(1-AP81)*(AP68+AP49)/MAX(Time!AP26,1)*Inputs!$F$166</f>
        <v>24.2424817426379</v>
      </c>
      <c r="AQ85" s="11" t="n">
        <f aca="false">(1-AQ81)*(AQ68+AQ49)/MAX(Time!AQ26,1)*Inputs!$F$166</f>
        <v>24.9715120653825</v>
      </c>
      <c r="AR85" s="11" t="n">
        <f aca="false">(1-AR81)*(AR68+AR49)/MAX(Time!AR26,1)*Inputs!$F$166</f>
        <v>24.6393714556862</v>
      </c>
      <c r="AS85" s="11" t="n">
        <f aca="false">(1-AS81)*(AS68+AS49)/MAX(Time!AS26,1)*Inputs!$F$166</f>
        <v>25.5674011726879</v>
      </c>
      <c r="AT85" s="11" t="n">
        <f aca="false">(1-AT81)*(AT68+AT49)/MAX(Time!AT26,1)*Inputs!$F$166</f>
        <v>24.8267553529679</v>
      </c>
      <c r="AU85" s="11" t="n">
        <f aca="false">(1-AU81)*(AU68+AU49)/MAX(Time!AU26,1)*Inputs!$F$166</f>
        <v>24.7882569678701</v>
      </c>
      <c r="AV85" s="11" t="n">
        <f aca="false">(1-AV81)*(AV68+AV49)/MAX(Time!AV26,1)*Inputs!$F$166</f>
        <v>24.8469886070427</v>
      </c>
      <c r="AW85" s="11" t="n">
        <f aca="false">(1-AW81)*(AW68+AW49)/MAX(Time!AW26,1)*Inputs!$F$166</f>
        <v>26.7281801893645</v>
      </c>
      <c r="AX85" s="11" t="n">
        <f aca="false">(1-AX81)*(AX68+AX49)/MAX(Time!AX26,1)*Inputs!$F$166</f>
        <v>26.2035606726812</v>
      </c>
      <c r="AY85" s="11" t="n">
        <f aca="false">(1-AY81)*(AY68+AY49)/MAX(Time!AY26,1)*Inputs!$F$166</f>
        <v>26.9913632377895</v>
      </c>
      <c r="AZ85" s="11" t="n">
        <f aca="false">(1-AZ81)*(AZ68+AZ49)/MAX(Time!AZ26,1)*Inputs!$F$166</f>
        <v>26.6321574495346</v>
      </c>
      <c r="BA85" s="11" t="n">
        <f aca="false">(1-BA81)*(BA68+BA49)/MAX(Time!BA26,1)*Inputs!$F$166</f>
        <v>27.6350372569313</v>
      </c>
      <c r="BB85" s="11" t="n">
        <f aca="false">(1-BB81)*(BB68+BB49)/MAX(Time!BB26,1)*Inputs!$F$166</f>
        <v>27.0188223510927</v>
      </c>
      <c r="BC85" s="11" t="n">
        <f aca="false">(1-BC81)*(BC68+BC49)/MAX(Time!BC26,1)*Inputs!$F$166</f>
        <v>27.3663903957504</v>
      </c>
      <c r="BD85" s="11" t="n">
        <f aca="false">(1-BD81)*(BD68+BD49)/MAX(Time!BD26,1)*Inputs!$F$166</f>
        <v>27.2320576969325</v>
      </c>
      <c r="BE85" s="11" t="n">
        <f aca="false">(1-BE81)*(BE68+BE49)/MAX(Time!BE26,1)*Inputs!$F$166</f>
        <v>28.8888208826552</v>
      </c>
      <c r="BF85" s="11" t="n">
        <f aca="false">(1-BF81)*(BF68+BF49)/MAX(Time!BF26,1)*Inputs!$F$166</f>
        <v>28.3215794785404</v>
      </c>
      <c r="BG85" s="11" t="n">
        <f aca="false">(1-BG81)*(BG68+BG49)/MAX(Time!BG26,1)*Inputs!$F$166</f>
        <v>29.1728402242454</v>
      </c>
      <c r="BH85" s="11" t="n">
        <f aca="false">(1-BH81)*(BH68+BH49)/MAX(Time!BH26,1)*Inputs!$F$166</f>
        <v>28.784386311227</v>
      </c>
      <c r="BI85" s="11" t="n">
        <f aca="false">(1-BI81)*(BI68+BI49)/MAX(Time!BI26,1)*Inputs!$F$166</f>
        <v>29.8680870790166</v>
      </c>
      <c r="BJ85" s="11" t="n">
        <f aca="false">(1-BJ81)*(BJ68+BJ49)/MAX(Time!BJ26,1)*Inputs!$F$166</f>
        <v>29.0024213102976</v>
      </c>
      <c r="BK85" s="11" t="n">
        <f aca="false">(1-BK81)*(BK68+BK49)/MAX(Time!BK26,1)*Inputs!$F$166</f>
        <v>28.9570121336825</v>
      </c>
      <c r="BL85" s="11" t="n">
        <f aca="false">(1-BL81)*(BL68+BL49)/MAX(Time!BL26,1)*Inputs!$F$166</f>
        <v>29.0251840116346</v>
      </c>
      <c r="BM85" s="11" t="n">
        <f aca="false">(1-BM81)*(BM68+BM49)/MAX(Time!BM26,1)*Inputs!$F$166</f>
        <v>31.2222408875813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0</v>
      </c>
      <c r="P86" s="11" t="n">
        <f aca="false">(1-P81)*(P47+P48)/MAX(Time!P26,1)*Inputs!$F$167</f>
        <v>2.28118592712896</v>
      </c>
      <c r="Q86" s="11" t="n">
        <f aca="false">(1-Q81)*(Q47+Q48)/MAX(Time!Q26,1)*Inputs!$F$167</f>
        <v>2.31989649068253</v>
      </c>
      <c r="R86" s="11" t="n">
        <f aca="false">(1-R81)*(R47+R48)/MAX(Time!R26,1)*Inputs!$F$167</f>
        <v>2.31176584039505</v>
      </c>
      <c r="S86" s="11" t="n">
        <f aca="false">(1-S81)*(S47+S48)/MAX(Time!S26,1)*Inputs!$F$167</f>
        <v>2.35052824178658</v>
      </c>
      <c r="T86" s="11" t="n">
        <f aca="false">(1-T81)*(T47+T48)/MAX(Time!T26,1)*Inputs!$F$167</f>
        <v>2.34499217135609</v>
      </c>
      <c r="U86" s="11" t="n">
        <f aca="false">(1-U81)*(U47+U48)/MAX(Time!U26,1)*Inputs!$F$167</f>
        <v>2.38740764776105</v>
      </c>
      <c r="V86" s="11" t="n">
        <f aca="false">(1-V81)*(V47+V48)/MAX(Time!V26,1)*Inputs!$F$167</f>
        <v>2.37794801289102</v>
      </c>
      <c r="W86" s="11" t="n">
        <f aca="false">(1-W81)*(W47+W48)/MAX(Time!W26,1)*Inputs!$F$167</f>
        <v>2.41068044942422</v>
      </c>
      <c r="X86" s="11" t="n">
        <f aca="false">(1-X81)*(X47+X48)/MAX(Time!X26,1)*Inputs!$F$167</f>
        <v>2.40863801772481</v>
      </c>
      <c r="Y86" s="11" t="n">
        <f aca="false">(1-Y81)*(Y47+Y48)/MAX(Time!Y26,1)*Inputs!$F$167</f>
        <v>2.46170981099463</v>
      </c>
      <c r="Z86" s="11" t="n">
        <f aca="false">(1-Z81)*(Z47+Z48)/MAX(Time!Z26,1)*Inputs!$F$167</f>
        <v>2.45308770267074</v>
      </c>
      <c r="AA86" s="11" t="n">
        <f aca="false">(1-AA81)*(AA47+AA48)/MAX(Time!AA26,1)*Inputs!$F$167</f>
        <v>2.49421199960215</v>
      </c>
      <c r="AB86" s="11" t="n">
        <f aca="false">(1-AB81)*(AB47+AB48)/MAX(Time!AB26,1)*Inputs!$F$167</f>
        <v>2.48834033039226</v>
      </c>
      <c r="AC86" s="11" t="n">
        <f aca="false">(1-AC81)*(AC47+AC48)/MAX(Time!AC26,1)*Inputs!$F$167</f>
        <v>2.53333734097802</v>
      </c>
      <c r="AD86" s="11" t="n">
        <f aca="false">(1-AD81)*(AD47+AD48)/MAX(Time!AD26,1)*Inputs!$F$167</f>
        <v>2.52029990932913</v>
      </c>
      <c r="AE86" s="11" t="n">
        <f aca="false">(1-AE81)*(AE47+AE48)/MAX(Time!AE26,1)*Inputs!$F$167</f>
        <v>2.54873414824224</v>
      </c>
      <c r="AF86" s="11" t="n">
        <f aca="false">(1-AF81)*(AF47+AF48)/MAX(Time!AF26,1)*Inputs!$F$167</f>
        <v>2.5497699659389</v>
      </c>
      <c r="AG86" s="11" t="n">
        <f aca="false">(1-AG81)*(AG47+AG48)/MAX(Time!AG26,1)*Inputs!$F$167</f>
        <v>2.61216501114156</v>
      </c>
      <c r="AH86" s="11" t="n">
        <f aca="false">(1-AH81)*(AH47+AH48)/MAX(Time!AH26,1)*Inputs!$F$167</f>
        <v>2.60302226904495</v>
      </c>
      <c r="AI86" s="11" t="n">
        <f aca="false">(1-AI81)*(AI47+AI48)/MAX(Time!AI26,1)*Inputs!$F$167</f>
        <v>2.64665170557552</v>
      </c>
      <c r="AJ86" s="11" t="n">
        <f aca="false">(1-AJ81)*(AJ47+AJ48)/MAX(Time!AJ26,1)*Inputs!$F$167</f>
        <v>2.64042445179219</v>
      </c>
      <c r="AK86" s="11" t="n">
        <f aca="false">(1-AK81)*(AK47+AK48)/MAX(Time!AK26,1)*Inputs!$F$167</f>
        <v>2.68815923095673</v>
      </c>
      <c r="AL86" s="11" t="n">
        <f aca="false">(1-AL81)*(AL47+AL48)/MAX(Time!AL26,1)*Inputs!$F$167</f>
        <v>2.67752365611364</v>
      </c>
      <c r="AM86" s="11" t="n">
        <f aca="false">(1-AM81)*(AM47+AM48)/MAX(Time!AM26,1)*Inputs!$F$167</f>
        <v>2.71437986347646</v>
      </c>
      <c r="AN86" s="11" t="n">
        <f aca="false">(1-AN81)*(AN47+AN48)/MAX(Time!AN26,1)*Inputs!$F$167</f>
        <v>2.71207814079032</v>
      </c>
      <c r="AO86" s="11" t="n">
        <f aca="false">(1-AO81)*(AO47+AO48)/MAX(Time!AO26,1)*Inputs!$F$167</f>
        <v>2.77178703599751</v>
      </c>
      <c r="AP86" s="11" t="n">
        <f aca="false">(1-AP81)*(AP47+AP48)/MAX(Time!AP26,1)*Inputs!$F$167</f>
        <v>2.76209278644876</v>
      </c>
      <c r="AQ86" s="11" t="n">
        <f aca="false">(1-AQ81)*(AQ47+AQ48)/MAX(Time!AQ26,1)*Inputs!$F$167</f>
        <v>2.80837925205897</v>
      </c>
      <c r="AR86" s="11" t="n">
        <f aca="false">(1-AR81)*(AR47+AR48)/MAX(Time!AR26,1)*Inputs!$F$167</f>
        <v>2.80177526060309</v>
      </c>
      <c r="AS86" s="11" t="n">
        <f aca="false">(1-AS81)*(AS47+AS48)/MAX(Time!AS26,1)*Inputs!$F$167</f>
        <v>2.85241344251974</v>
      </c>
      <c r="AT86" s="11" t="n">
        <f aca="false">(1-AT81)*(AT47+AT48)/MAX(Time!AT26,1)*Inputs!$F$167</f>
        <v>2.83775928111615</v>
      </c>
      <c r="AU86" s="11" t="n">
        <f aca="false">(1-AU81)*(AU47+AU48)/MAX(Time!AU26,1)*Inputs!$F$167</f>
        <v>2.86979157524969</v>
      </c>
      <c r="AV86" s="11" t="n">
        <f aca="false">(1-AV81)*(AV47+AV48)/MAX(Time!AV26,1)*Inputs!$F$167</f>
        <v>2.87094792280645</v>
      </c>
      <c r="AW86" s="11" t="n">
        <f aca="false">(1-AW81)*(AW47+AW48)/MAX(Time!AW26,1)*Inputs!$F$167</f>
        <v>2.94113261315447</v>
      </c>
      <c r="AX86" s="11" t="n">
        <f aca="false">(1-AX81)*(AX47+AX48)/MAX(Time!AX26,1)*Inputs!$F$167</f>
        <v>2.93085418797993</v>
      </c>
      <c r="AY86" s="11" t="n">
        <f aca="false">(1-AY81)*(AY47+AY48)/MAX(Time!AY26,1)*Inputs!$F$167</f>
        <v>2.97995873671047</v>
      </c>
      <c r="AZ86" s="11" t="n">
        <f aca="false">(1-AZ81)*(AZ47+AZ48)/MAX(Time!AZ26,1)*Inputs!$F$167</f>
        <v>2.97295562051187</v>
      </c>
      <c r="BA86" s="11" t="n">
        <f aca="false">(1-BA81)*(BA47+BA48)/MAX(Time!BA26,1)*Inputs!$F$167</f>
        <v>3.02667280114358</v>
      </c>
      <c r="BB86" s="11" t="n">
        <f aca="false">(1-BB81)*(BB47+BB48)/MAX(Time!BB26,1)*Inputs!$F$167</f>
        <v>3.01471789761139</v>
      </c>
      <c r="BC86" s="11" t="n">
        <f aca="false">(1-BC81)*(BC47+BC48)/MAX(Time!BC26,1)*Inputs!$F$167</f>
        <v>3.05621641466548</v>
      </c>
      <c r="BD86" s="11" t="n">
        <f aca="false">(1-BD81)*(BD47+BD48)/MAX(Time!BD26,1)*Inputs!$F$167</f>
        <v>3.05362306255289</v>
      </c>
      <c r="BE86" s="11" t="n">
        <f aca="false">(1-BE81)*(BE47+BE48)/MAX(Time!BE26,1)*Inputs!$F$167</f>
        <v>3.12079217063018</v>
      </c>
      <c r="BF86" s="11" t="n">
        <f aca="false">(1-BF81)*(BF47+BF48)/MAX(Time!BF26,1)*Inputs!$F$167</f>
        <v>3.10989500527607</v>
      </c>
      <c r="BG86" s="11" t="n">
        <f aca="false">(1-BG81)*(BG47+BG48)/MAX(Time!BG26,1)*Inputs!$F$167</f>
        <v>3.16198840587128</v>
      </c>
      <c r="BH86" s="11" t="n">
        <f aca="false">(1-BH81)*(BH47+BH48)/MAX(Time!BH26,1)*Inputs!$F$167</f>
        <v>3.15456247351866</v>
      </c>
      <c r="BI86" s="11" t="n">
        <f aca="false">(1-BI81)*(BI47+BI48)/MAX(Time!BI26,1)*Inputs!$F$167</f>
        <v>3.21154480600966</v>
      </c>
      <c r="BJ86" s="11" t="n">
        <f aca="false">(1-BJ81)*(BJ47+BJ48)/MAX(Time!BJ26,1)*Inputs!$F$167</f>
        <v>3.19507730863146</v>
      </c>
      <c r="BK86" s="11" t="n">
        <f aca="false">(1-BK81)*(BK47+BK48)/MAX(Time!BK26,1)*Inputs!$F$167</f>
        <v>3.2311637571687</v>
      </c>
      <c r="BL86" s="11" t="n">
        <f aca="false">(1-BL81)*(BL47+BL48)/MAX(Time!BL26,1)*Inputs!$F$167</f>
        <v>3.23245422887442</v>
      </c>
      <c r="BM86" s="11" t="n">
        <f aca="false">(1-BM81)*(BM47+BM48)/MAX(Time!BM26,1)*Inputs!$F$167</f>
        <v>3.31139186987181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0</v>
      </c>
      <c r="P87" s="11" t="n">
        <f aca="false">(1-P81)*(P55+P56+P57+P59)/MAX(Time!P26,1)*Inputs!$F$168</f>
        <v>1.68108519206451</v>
      </c>
      <c r="Q87" s="11" t="n">
        <f aca="false">(1-Q81)*(Q55+Q56+Q57+Q59)/MAX(Time!Q26,1)*Inputs!$F$168</f>
        <v>1.71825527329156</v>
      </c>
      <c r="R87" s="11" t="n">
        <f aca="false">(1-R81)*(R55+R56+R57+R59)/MAX(Time!R26,1)*Inputs!$F$168</f>
        <v>1.70336647167902</v>
      </c>
      <c r="S87" s="11" t="n">
        <f aca="false">(1-S81)*(S55+S56+S57+S59)/MAX(Time!S26,1)*Inputs!$F$168</f>
        <v>1.73951531102995</v>
      </c>
      <c r="T87" s="11" t="n">
        <f aca="false">(1-T81)*(T55+T56+T57+T59)/MAX(Time!T26,1)*Inputs!$F$168</f>
        <v>1.73535723554703</v>
      </c>
      <c r="U87" s="11" t="n">
        <f aca="false">(1-U81)*(U55+U56+U57+U59)/MAX(Time!U26,1)*Inputs!$F$168</f>
        <v>1.78482920602872</v>
      </c>
      <c r="V87" s="11" t="n">
        <f aca="false">(1-V81)*(V55+V56+V57+V59)/MAX(Time!V26,1)*Inputs!$F$168</f>
        <v>1.76481786861064</v>
      </c>
      <c r="W87" s="11" t="n">
        <f aca="false">(1-W81)*(W55+W56+W57+W59)/MAX(Time!W26,1)*Inputs!$F$168</f>
        <v>1.77274251919636</v>
      </c>
      <c r="X87" s="11" t="n">
        <f aca="false">(1-X81)*(X55+X56+X57+X59)/MAX(Time!X26,1)*Inputs!$F$168</f>
        <v>1.78328042150744</v>
      </c>
      <c r="Y87" s="11" t="n">
        <f aca="false">(1-Y81)*(Y55+Y56+Y57+Y59)/MAX(Time!Y26,1)*Inputs!$F$168</f>
        <v>1.87452513709506</v>
      </c>
      <c r="Z87" s="11" t="n">
        <f aca="false">(1-Z81)*(Z55+Z56+Z57+Z59)/MAX(Time!Z26,1)*Inputs!$F$168</f>
        <v>1.85828224622911</v>
      </c>
      <c r="AA87" s="11" t="n">
        <f aca="false">(1-AA81)*(AA55+AA56+AA57+AA59)/MAX(Time!AA26,1)*Inputs!$F$168</f>
        <v>1.89771870779185</v>
      </c>
      <c r="AB87" s="11" t="n">
        <f aca="false">(1-AB81)*(AB55+AB56+AB57+AB59)/MAX(Time!AB26,1)*Inputs!$F$168</f>
        <v>1.89318246854041</v>
      </c>
      <c r="AC87" s="11" t="n">
        <f aca="false">(1-AC81)*(AC55+AC56+AC57+AC59)/MAX(Time!AC26,1)*Inputs!$F$168</f>
        <v>1.94715375772605</v>
      </c>
      <c r="AD87" s="11" t="n">
        <f aca="false">(1-AD81)*(AD55+AD56+AD57+AD59)/MAX(Time!AD26,1)*Inputs!$F$168</f>
        <v>1.91241598316742</v>
      </c>
      <c r="AE87" s="11" t="n">
        <f aca="false">(1-AE81)*(AE55+AE56+AE57+AE59)/MAX(Time!AE26,1)*Inputs!$F$168</f>
        <v>1.90045895433647</v>
      </c>
      <c r="AF87" s="11" t="n">
        <f aca="false">(1-AF81)*(AF55+AF56+AF57+AF59)/MAX(Time!AF26,1)*Inputs!$F$168</f>
        <v>1.91908329248295</v>
      </c>
      <c r="AG87" s="11" t="n">
        <f aca="false">(1-AG81)*(AG55+AG56+AG57+AG59)/MAX(Time!AG26,1)*Inputs!$F$168</f>
        <v>2.04500724905095</v>
      </c>
      <c r="AH87" s="11" t="n">
        <f aca="false">(1-AH81)*(AH55+AH56+AH57+AH59)/MAX(Time!AH26,1)*Inputs!$F$168</f>
        <v>2.02728711881151</v>
      </c>
      <c r="AI87" s="11" t="n">
        <f aca="false">(1-AI81)*(AI55+AI56+AI57+AI59)/MAX(Time!AI26,1)*Inputs!$F$168</f>
        <v>2.07031020139215</v>
      </c>
      <c r="AJ87" s="11" t="n">
        <f aca="false">(1-AJ81)*(AJ55+AJ56+AJ57+AJ59)/MAX(Time!AJ26,1)*Inputs!$F$168</f>
        <v>2.06536140557766</v>
      </c>
      <c r="AK87" s="11" t="n">
        <f aca="false">(1-AK81)*(AK55+AK56+AK57+AK59)/MAX(Time!AK26,1)*Inputs!$F$168</f>
        <v>2.12424121222368</v>
      </c>
      <c r="AL87" s="11" t="n">
        <f aca="false">(1-AL81)*(AL55+AL56+AL57+AL59)/MAX(Time!AL26,1)*Inputs!$F$168</f>
        <v>2.10042441927138</v>
      </c>
      <c r="AM87" s="11" t="n">
        <f aca="false">(1-AM81)*(AM55+AM56+AM57+AM59)/MAX(Time!AM26,1)*Inputs!$F$168</f>
        <v>2.10985606085915</v>
      </c>
      <c r="AN87" s="11" t="n">
        <f aca="false">(1-AN81)*(AN55+AN56+AN57+AN59)/MAX(Time!AN26,1)*Inputs!$F$168</f>
        <v>2.12239790312842</v>
      </c>
      <c r="AO87" s="11" t="n">
        <f aca="false">(1-AO81)*(AO55+AO56+AO57+AO59)/MAX(Time!AO26,1)*Inputs!$F$168</f>
        <v>2.23099416802264</v>
      </c>
      <c r="AP87" s="11" t="n">
        <f aca="false">(1-AP81)*(AP55+AP56+AP57+AP59)/MAX(Time!AP26,1)*Inputs!$F$168</f>
        <v>2.21166244817709</v>
      </c>
      <c r="AQ87" s="11" t="n">
        <f aca="false">(1-AQ81)*(AQ55+AQ56+AQ57+AQ59)/MAX(Time!AQ26,1)*Inputs!$F$168</f>
        <v>2.25859834357419</v>
      </c>
      <c r="AR87" s="11" t="n">
        <f aca="false">(1-AR81)*(AR55+AR56+AR57+AR59)/MAX(Time!AR26,1)*Inputs!$F$168</f>
        <v>2.25319947048658</v>
      </c>
      <c r="AS87" s="11" t="n">
        <f aca="false">(1-AS81)*(AS55+AS56+AS57+AS59)/MAX(Time!AS26,1)*Inputs!$F$168</f>
        <v>2.31743420867762</v>
      </c>
      <c r="AT87" s="11" t="n">
        <f aca="false">(1-AT81)*(AT55+AT56+AT57+AT59)/MAX(Time!AT26,1)*Inputs!$F$168</f>
        <v>2.27609052599407</v>
      </c>
      <c r="AU87" s="11" t="n">
        <f aca="false">(1-AU81)*(AU55+AU56+AU57+AU59)/MAX(Time!AU26,1)*Inputs!$F$168</f>
        <v>2.26185968904191</v>
      </c>
      <c r="AV87" s="11" t="n">
        <f aca="false">(1-AV81)*(AV55+AV56+AV57+AV59)/MAX(Time!AV26,1)*Inputs!$F$168</f>
        <v>2.28402572403703</v>
      </c>
      <c r="AW87" s="11" t="n">
        <f aca="false">(1-AW81)*(AW55+AW56+AW57+AW59)/MAX(Time!AW26,1)*Inputs!$F$168</f>
        <v>2.43389600699995</v>
      </c>
      <c r="AX87" s="11" t="n">
        <f aca="false">(1-AX81)*(AX55+AX56+AX57+AX59)/MAX(Time!AX26,1)*Inputs!$F$168</f>
        <v>2.41280612858837</v>
      </c>
      <c r="AY87" s="11" t="n">
        <f aca="false">(1-AY81)*(AY55+AY56+AY57+AY59)/MAX(Time!AY26,1)*Inputs!$F$168</f>
        <v>2.46401069470932</v>
      </c>
      <c r="AZ87" s="11" t="n">
        <f aca="false">(1-AZ81)*(AZ55+AZ56+AZ57+AZ59)/MAX(Time!AZ26,1)*Inputs!$F$168</f>
        <v>2.45812081124903</v>
      </c>
      <c r="BA87" s="11" t="n">
        <f aca="false">(1-BA81)*(BA55+BA56+BA57+BA59)/MAX(Time!BA26,1)*Inputs!$F$168</f>
        <v>2.52819749501393</v>
      </c>
      <c r="BB87" s="11" t="n">
        <f aca="false">(1-BB81)*(BB55+BB56+BB57+BB59)/MAX(Time!BB26,1)*Inputs!$F$168</f>
        <v>2.49985158216054</v>
      </c>
      <c r="BC87" s="11" t="n">
        <f aca="false">(1-BC81)*(BC55+BC56+BC57+BC59)/MAX(Time!BC26,1)*Inputs!$F$168</f>
        <v>2.5110767916607</v>
      </c>
      <c r="BD87" s="11" t="n">
        <f aca="false">(1-BD81)*(BD55+BD56+BD57+BD59)/MAX(Time!BD26,1)*Inputs!$F$168</f>
        <v>2.52600365308565</v>
      </c>
      <c r="BE87" s="11" t="n">
        <f aca="false">(1-BE81)*(BE55+BE56+BE57+BE59)/MAX(Time!BE26,1)*Inputs!$F$168</f>
        <v>2.65525112427374</v>
      </c>
      <c r="BF87" s="11" t="n">
        <f aca="false">(1-BF81)*(BF55+BF56+BF57+BF59)/MAX(Time!BF26,1)*Inputs!$F$168</f>
        <v>2.6322431883545</v>
      </c>
      <c r="BG87" s="11" t="n">
        <f aca="false">(1-BG81)*(BG55+BG56+BG57+BG59)/MAX(Time!BG26,1)*Inputs!$F$168</f>
        <v>2.68810464725397</v>
      </c>
      <c r="BH87" s="11" t="n">
        <f aca="false">(1-BH81)*(BH55+BH56+BH57+BH59)/MAX(Time!BH26,1)*Inputs!$F$168</f>
        <v>2.68167909758596</v>
      </c>
      <c r="BI87" s="11" t="n">
        <f aca="false">(1-BI81)*(BI55+BI56+BI57+BI59)/MAX(Time!BI26,1)*Inputs!$F$168</f>
        <v>2.75812903333381</v>
      </c>
      <c r="BJ87" s="11" t="n">
        <f aca="false">(1-BJ81)*(BJ55+BJ56+BJ57+BJ59)/MAX(Time!BJ26,1)*Inputs!$F$168</f>
        <v>2.70892323015397</v>
      </c>
      <c r="BK87" s="11" t="n">
        <f aca="false">(1-BK81)*(BK55+BK56+BK57+BK59)/MAX(Time!BK26,1)*Inputs!$F$168</f>
        <v>2.69198618640989</v>
      </c>
      <c r="BL87" s="11" t="n">
        <f aca="false">(1-BL81)*(BL55+BL56+BL57+BL59)/MAX(Time!BL26,1)*Inputs!$F$168</f>
        <v>2.71836742495596</v>
      </c>
      <c r="BM87" s="11" t="n">
        <f aca="false">(1-BM81)*(BM55+BM56+BM57+BM59)/MAX(Time!BM26,1)*Inputs!$F$168</f>
        <v>2.89673778693911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0</v>
      </c>
      <c r="P88" s="11" t="n">
        <f aca="false">(1-P81)*(P60+P61+P62+P63+P64+P65+P66)/MAX(Time!P26,1)*Inputs!$F$169</f>
        <v>1.1809715928726</v>
      </c>
      <c r="Q88" s="11" t="n">
        <f aca="false">(1-Q81)*(Q60+Q61+Q62+Q63+Q64+Q65+Q66)/MAX(Time!Q26,1)*Inputs!$F$169</f>
        <v>1.20598486595401</v>
      </c>
      <c r="R88" s="11" t="n">
        <f aca="false">(1-R81)*(R60+R61+R62+R63+R64+R65+R66)/MAX(Time!R26,1)*Inputs!$F$169</f>
        <v>1.19697757274406</v>
      </c>
      <c r="S88" s="11" t="n">
        <f aca="false">(1-S81)*(S60+S61+S62+S63+S64+S65+S66)/MAX(Time!S26,1)*Inputs!$F$169</f>
        <v>1.22657253614178</v>
      </c>
      <c r="T88" s="11" t="n">
        <f aca="false">(1-T81)*(T60+T61+T62+T63+T64+T65+T66)/MAX(Time!T26,1)*Inputs!$F$169</f>
        <v>1.21977153593409</v>
      </c>
      <c r="U88" s="11" t="n">
        <f aca="false">(1-U81)*(U60+U61+U62+U63+U64+U65+U66)/MAX(Time!U26,1)*Inputs!$F$169</f>
        <v>1.24787082333884</v>
      </c>
      <c r="V88" s="11" t="n">
        <f aca="false">(1-V81)*(V60+V61+V62+V63+V64+V65+V66)/MAX(Time!V26,1)*Inputs!$F$169</f>
        <v>1.24236729965708</v>
      </c>
      <c r="W88" s="11" t="n">
        <f aca="false">(1-W81)*(W60+W61+W62+W63+W64+W65+W66)/MAX(Time!W26,1)*Inputs!$F$169</f>
        <v>1.26682576650295</v>
      </c>
      <c r="X88" s="11" t="n">
        <f aca="false">(1-X81)*(X60+X61+X62+X63+X64+X65+X66)/MAX(Time!X26,1)*Inputs!$F$169</f>
        <v>1.26296832056571</v>
      </c>
      <c r="Y88" s="11" t="n">
        <f aca="false">(1-Y81)*(Y60+Y61+Y62+Y63+Y64+Y65+Y66)/MAX(Time!Y26,1)*Inputs!$F$169</f>
        <v>1.30566487853674</v>
      </c>
      <c r="Z88" s="11" t="n">
        <f aca="false">(1-Z81)*(Z60+Z61+Z62+Z63+Z64+Z65+Z66)/MAX(Time!Z26,1)*Inputs!$F$169</f>
        <v>1.29598348334859</v>
      </c>
      <c r="AA88" s="11" t="n">
        <f aca="false">(1-AA81)*(AA60+AA61+AA62+AA63+AA64+AA65+AA66)/MAX(Time!AA26,1)*Inputs!$F$169</f>
        <v>1.32809603032811</v>
      </c>
      <c r="AB88" s="11" t="n">
        <f aca="false">(1-AB81)*(AB60+AB61+AB62+AB63+AB64+AB65+AB66)/MAX(Time!AB26,1)*Inputs!$F$169</f>
        <v>1.32080650099895</v>
      </c>
      <c r="AC88" s="11" t="n">
        <f aca="false">(1-AC81)*(AC60+AC61+AC62+AC63+AC64+AC65+AC66)/MAX(Time!AC26,1)*Inputs!$F$169</f>
        <v>1.35131032414771</v>
      </c>
      <c r="AD88" s="11" t="n">
        <f aca="false">(1-AD81)*(AD60+AD61+AD62+AD63+AD64+AD65+AD66)/MAX(Time!AD26,1)*Inputs!$F$169</f>
        <v>1.3426752170156</v>
      </c>
      <c r="AE88" s="11" t="n">
        <f aca="false">(1-AE81)*(AE60+AE61+AE62+AE63+AE64+AE65+AE66)/MAX(Time!AE26,1)*Inputs!$F$169</f>
        <v>1.36267668970368</v>
      </c>
      <c r="AF88" s="11" t="n">
        <f aca="false">(1-AF81)*(AF60+AF61+AF62+AF63+AF64+AF65+AF66)/MAX(Time!AF26,1)*Inputs!$F$169</f>
        <v>1.3622711104418</v>
      </c>
      <c r="AG88" s="11" t="n">
        <f aca="false">(1-AG81)*(AG60+AG61+AG62+AG63+AG64+AG65+AG66)/MAX(Time!AG26,1)*Inputs!$F$169</f>
        <v>1.41419491443296</v>
      </c>
      <c r="AH88" s="11" t="n">
        <f aca="false">(1-AH81)*(AH60+AH61+AH62+AH63+AH64+AH65+AH66)/MAX(Time!AH26,1)*Inputs!$F$169</f>
        <v>1.40377999016716</v>
      </c>
      <c r="AI88" s="11" t="n">
        <f aca="false">(1-AI81)*(AI60+AI61+AI62+AI63+AI64+AI65+AI66)/MAX(Time!AI26,1)*Inputs!$F$169</f>
        <v>1.43863457811479</v>
      </c>
      <c r="AJ88" s="11" t="n">
        <f aca="false">(1-AJ81)*(AJ60+AJ61+AJ62+AJ63+AJ64+AJ65+AJ66)/MAX(Time!AJ26,1)*Inputs!$F$169</f>
        <v>1.43081259812251</v>
      </c>
      <c r="AK88" s="11" t="n">
        <f aca="false">(1-AK81)*(AK60+AK61+AK62+AK63+AK64+AK65+AK66)/MAX(Time!AK26,1)*Inputs!$F$169</f>
        <v>1.46393341000173</v>
      </c>
      <c r="AL88" s="11" t="n">
        <f aca="false">(1-AL81)*(AL60+AL61+AL62+AL63+AL64+AL65+AL66)/MAX(Time!AL26,1)*Inputs!$F$169</f>
        <v>1.45761711879529</v>
      </c>
      <c r="AM88" s="11" t="n">
        <f aca="false">(1-AM81)*(AM60+AM61+AM62+AM63+AM64+AM65+AM66)/MAX(Time!AM26,1)*Inputs!$F$169</f>
        <v>1.48644507177081</v>
      </c>
      <c r="AN88" s="11" t="n">
        <f aca="false">(1-AN81)*(AN60+AN61+AN62+AN63+AN64+AN65+AN66)/MAX(Time!AN26,1)*Inputs!$F$169</f>
        <v>1.48208133000961</v>
      </c>
      <c r="AO88" s="11" t="n">
        <f aca="false">(1-AO81)*(AO60+AO61+AO62+AO63+AO64+AO65+AO66)/MAX(Time!AO26,1)*Inputs!$F$169</f>
        <v>1.53236025090735</v>
      </c>
      <c r="AP88" s="11" t="n">
        <f aca="false">(1-AP81)*(AP60+AP61+AP62+AP63+AP64+AP65+AP66)/MAX(Time!AP26,1)*Inputs!$F$169</f>
        <v>1.52114713676899</v>
      </c>
      <c r="AQ88" s="11" t="n">
        <f aca="false">(1-AQ81)*(AQ60+AQ61+AQ62+AQ63+AQ64+AQ65+AQ66)/MAX(Time!AQ26,1)*Inputs!$F$169</f>
        <v>1.5589882266923</v>
      </c>
      <c r="AR88" s="11" t="n">
        <f aca="false">(1-AR81)*(AR60+AR61+AR62+AR63+AR64+AR65+AR66)/MAX(Time!AR26,1)*Inputs!$F$169</f>
        <v>1.55058592622888</v>
      </c>
      <c r="AS88" s="11" t="n">
        <f aca="false">(1-AS81)*(AS60+AS61+AS62+AS63+AS64+AS65+AS66)/MAX(Time!AS26,1)*Inputs!$F$169</f>
        <v>1.5865549349776</v>
      </c>
      <c r="AT88" s="11" t="n">
        <f aca="false">(1-AT81)*(AT60+AT61+AT62+AT63+AT64+AT65+AT66)/MAX(Time!AT26,1)*Inputs!$F$169</f>
        <v>1.57655668850388</v>
      </c>
      <c r="AU88" s="11" t="n">
        <f aca="false">(1-AU81)*(AU60+AU61+AU62+AU63+AU64+AU65+AU66)/MAX(Time!AU26,1)*Inputs!$F$169</f>
        <v>1.60026210211059</v>
      </c>
      <c r="AV88" s="11" t="n">
        <f aca="false">(1-AV81)*(AV60+AV61+AV62+AV63+AV64+AV65+AV66)/MAX(Time!AV26,1)*Inputs!$F$169</f>
        <v>1.59986099213649</v>
      </c>
      <c r="AW88" s="11" t="n">
        <f aca="false">(1-AW81)*(AW60+AW61+AW62+AW63+AW64+AW65+AW66)/MAX(Time!AW26,1)*Inputs!$F$169</f>
        <v>1.66101580075362</v>
      </c>
      <c r="AX88" s="11" t="n">
        <f aca="false">(1-AX81)*(AX60+AX61+AX62+AX63+AX64+AX65+AX66)/MAX(Time!AX26,1)*Inputs!$F$169</f>
        <v>1.64893414181716</v>
      </c>
      <c r="AY88" s="11" t="n">
        <f aca="false">(1-AY81)*(AY60+AY61+AY62+AY63+AY64+AY65+AY66)/MAX(Time!AY26,1)*Inputs!$F$169</f>
        <v>1.69002798031672</v>
      </c>
      <c r="AZ88" s="11" t="n">
        <f aca="false">(1-AZ81)*(AZ60+AZ61+AZ62+AZ63+AZ64+AZ65+AZ66)/MAX(Time!AZ26,1)*Inputs!$F$169</f>
        <v>1.68099318643248</v>
      </c>
      <c r="BA88" s="11" t="n">
        <f aca="false">(1-BA81)*(BA60+BA61+BA62+BA63+BA64+BA65+BA66)/MAX(Time!BA26,1)*Inputs!$F$169</f>
        <v>1.7200620095178</v>
      </c>
      <c r="BB88" s="11" t="n">
        <f aca="false">(1-BB81)*(BB60+BB61+BB62+BB63+BB64+BB65+BB66)/MAX(Time!BB26,1)*Inputs!$F$169</f>
        <v>1.71279005614975</v>
      </c>
      <c r="BC88" s="11" t="n">
        <f aca="false">(1-BC81)*(BC60+BC61+BC62+BC63+BC64+BC65+BC66)/MAX(Time!BC26,1)*Inputs!$F$169</f>
        <v>1.7468143246314</v>
      </c>
      <c r="BD88" s="11" t="n">
        <f aca="false">(1-BD81)*(BD60+BD61+BD62+BD63+BD64+BD65+BD66)/MAX(Time!BD26,1)*Inputs!$F$169</f>
        <v>1.74184175574147</v>
      </c>
      <c r="BE88" s="11" t="n">
        <f aca="false">(1-BE81)*(BE60+BE61+BE62+BE63+BE64+BE65+BE66)/MAX(Time!BE26,1)*Inputs!$F$169</f>
        <v>1.80109228327155</v>
      </c>
      <c r="BF88" s="11" t="n">
        <f aca="false">(1-BF81)*(BF60+BF61+BF62+BF63+BF64+BF65+BF66)/MAX(Time!BF26,1)*Inputs!$F$169</f>
        <v>1.78806552958507</v>
      </c>
      <c r="BG88" s="11" t="n">
        <f aca="false">(1-BG81)*(BG60+BG61+BG62+BG63+BG64+BG65+BG66)/MAX(Time!BG26,1)*Inputs!$F$169</f>
        <v>1.83270208949904</v>
      </c>
      <c r="BH88" s="11" t="n">
        <f aca="false">(1-BH81)*(BH60+BH61+BH62+BH63+BH64+BH65+BH66)/MAX(Time!BH26,1)*Inputs!$F$169</f>
        <v>1.82297793933527</v>
      </c>
      <c r="BI88" s="11" t="n">
        <f aca="false">(1-BI81)*(BI60+BI61+BI62+BI63+BI64+BI65+BI66)/MAX(Time!BI26,1)*Inputs!$F$169</f>
        <v>1.86542040348184</v>
      </c>
      <c r="BJ88" s="11" t="n">
        <f aca="false">(1-BJ81)*(BJ60+BJ61+BJ62+BJ63+BJ64+BJ65+BJ66)/MAX(Time!BJ26,1)*Inputs!$F$169</f>
        <v>1.85382004671252</v>
      </c>
      <c r="BK88" s="11" t="n">
        <f aca="false">(1-BK81)*(BK60+BK61+BK62+BK63+BK64+BK65+BK66)/MAX(Time!BK26,1)*Inputs!$F$169</f>
        <v>1.88194496848769</v>
      </c>
      <c r="BL88" s="11" t="n">
        <f aca="false">(1-BL81)*(BL60+BL61+BL62+BL63+BL64+BL65+BL66)/MAX(Time!BL26,1)*Inputs!$F$169</f>
        <v>1.88153453925744</v>
      </c>
      <c r="BM88" s="11" t="n">
        <f aca="false">(1-BM81)*(BM60+BM61+BM62+BM63+BM64+BM65+BM66)/MAX(Time!BM26,1)*Inputs!$F$169</f>
        <v>1.95360294172753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0</v>
      </c>
      <c r="P90" s="11" t="n">
        <f aca="false">P83+P84-P85-P86-P87-P88-P89</f>
        <v>15.0558470459528</v>
      </c>
      <c r="Q90" s="11" t="n">
        <f aca="false">Q83+Q84-Q85-Q86-Q87-Q88-Q89</f>
        <v>15.2717212070512</v>
      </c>
      <c r="R90" s="11" t="n">
        <f aca="false">R83+R84-R85-R86-R87-R88-R89</f>
        <v>15.0786746023541</v>
      </c>
      <c r="S90" s="11" t="n">
        <f aca="false">S83+S84-S85-S86-S87-S88-S89</f>
        <v>15.3720570674794</v>
      </c>
      <c r="T90" s="11" t="n">
        <f aca="false">T83+T84-T85-T86-T87-T88-T89</f>
        <v>15.1791855559765</v>
      </c>
      <c r="U90" s="11" t="n">
        <f aca="false">U83+U84-U85-U86-U87-U88-U89</f>
        <v>15.3967702214758</v>
      </c>
      <c r="V90" s="11" t="n">
        <f aca="false">V83+V84-V85-V86-V87-V88-V89</f>
        <v>15.2815511726484</v>
      </c>
      <c r="W90" s="11" t="n">
        <f aca="false">W83+W84-W85-W86-W87-W88-W89</f>
        <v>15.5785877231396</v>
      </c>
      <c r="X90" s="11" t="n">
        <f aca="false">X83+X84-X85-X86-X87-X88-X89</f>
        <v>15.3854423774152</v>
      </c>
      <c r="Y90" s="11" t="n">
        <f aca="false">Y83+Y84-Y85-Y86-Y87-Y88-Y89</f>
        <v>15.6892380630745</v>
      </c>
      <c r="Z90" s="11" t="n">
        <f aca="false">Z83+Z84-Z85-Z86-Z87-Z88-Z89</f>
        <v>15.4940505724447</v>
      </c>
      <c r="AA90" s="11" t="n">
        <f aca="false">AA83+AA84-AA85-AA86-AA87-AA88-AA89</f>
        <v>15.7980260748429</v>
      </c>
      <c r="AB90" s="11" t="n">
        <f aca="false">AB83+AB84-AB85-AB86-AB87-AB88-AB89</f>
        <v>15.602817735743</v>
      </c>
      <c r="AC90" s="11" t="n">
        <f aca="false">AC83+AC84-AC85-AC86-AC87-AC88-AC89</f>
        <v>15.8288265227014</v>
      </c>
      <c r="AD90" s="11" t="n">
        <f aca="false">AD83+AD84-AD85-AD86-AD87-AD88-AD89</f>
        <v>15.7132012349477</v>
      </c>
      <c r="AE90" s="11" t="n">
        <f aca="false">AE83+AE84-AE85-AE86-AE87-AE88-AE89</f>
        <v>15.7856183981126</v>
      </c>
      <c r="AF90" s="11" t="n">
        <f aca="false">AF83+AF84-AF85-AF86-AF87-AF88-AF89</f>
        <v>15.8255604278208</v>
      </c>
      <c r="AG90" s="11" t="n">
        <f aca="false">AG83+AG84-AG85-AG86-AG87-AG88-AG89</f>
        <v>16.1406158464022</v>
      </c>
      <c r="AH90" s="11" t="n">
        <f aca="false">AH83+AH84-AH85-AH86-AH87-AH88-AH89</f>
        <v>15.9431323336356</v>
      </c>
      <c r="AI90" s="11" t="n">
        <f aca="false">AI83+AI84-AI85-AI86-AI87-AI88-AI89</f>
        <v>16.2585811389265</v>
      </c>
      <c r="AJ90" s="11" t="n">
        <f aca="false">AJ83+AJ84-AJ85-AJ86-AJ87-AJ88-AJ89</f>
        <v>16.0608480515959</v>
      </c>
      <c r="AK90" s="11" t="n">
        <f aca="false">AK83+AK84-AK85-AK86-AK87-AK88-AK89</f>
        <v>16.2959448913484</v>
      </c>
      <c r="AL90" s="11" t="n">
        <f aca="false">AL83+AL84-AL85-AL86-AL87-AL88-AL89</f>
        <v>16.1808767559133</v>
      </c>
      <c r="AM90" s="11" t="n">
        <f aca="false">AM83+AM84-AM85-AM86-AM87-AM88-AM89</f>
        <v>16.5018627056425</v>
      </c>
      <c r="AN90" s="11" t="n">
        <f aca="false">AN83+AN84-AN85-AN86-AN87-AN88-AN89</f>
        <v>16.3031834556342</v>
      </c>
      <c r="AO90" s="11" t="n">
        <f aca="false">AO83+AO84-AO85-AO86-AO87-AO88-AO89</f>
        <v>16.6286602277412</v>
      </c>
      <c r="AP90" s="11" t="n">
        <f aca="false">AP83+AP84-AP85-AP86-AP87-AP88-AP89</f>
        <v>16.4287140544597</v>
      </c>
      <c r="AQ90" s="11" t="n">
        <f aca="false">AQ83+AQ84-AQ85-AQ86-AQ87-AQ88-AQ89</f>
        <v>16.7565910377998</v>
      </c>
      <c r="AR90" s="11" t="n">
        <f aca="false">AR83+AR84-AR85-AR86-AR87-AR88-AR89</f>
        <v>16.5561297403509</v>
      </c>
      <c r="AS90" s="11" t="n">
        <f aca="false">AS83+AS84-AS85-AS86-AS87-AS88-AS89</f>
        <v>16.8010321614236</v>
      </c>
      <c r="AT90" s="11" t="n">
        <f aca="false">AT83+AT84-AT85-AT86-AT87-AT88-AT89</f>
        <v>16.6861209989777</v>
      </c>
      <c r="AU90" s="11" t="n">
        <f aca="false">AU83+AU84-AU85-AU86-AU87-AU88-AU89</f>
        <v>16.7684018235705</v>
      </c>
      <c r="AV90" s="11" t="n">
        <f aca="false">AV83+AV84-AV85-AV86-AV87-AV88-AV89</f>
        <v>16.8189771807793</v>
      </c>
      <c r="AW90" s="11" t="n">
        <f aca="false">AW83+AW84-AW85-AW86-AW87-AW88-AW89</f>
        <v>17.1564136834931</v>
      </c>
      <c r="AX90" s="11" t="n">
        <f aca="false">AX83+AX84-AX85-AX86-AX87-AX88-AX89</f>
        <v>16.953825830438</v>
      </c>
      <c r="AY90" s="11" t="n">
        <f aca="false">AY83+AY84-AY85-AY86-AY87-AY88-AY89</f>
        <v>17.2951669073749</v>
      </c>
      <c r="AZ90" s="11" t="n">
        <f aca="false">AZ83+AZ84-AZ85-AZ86-AZ87-AZ88-AZ89</f>
        <v>17.0917570756227</v>
      </c>
      <c r="BA90" s="11" t="n">
        <f aca="false">BA83+BA84-BA85-BA86-BA87-BA88-BA89</f>
        <v>17.347240629559</v>
      </c>
      <c r="BB90" s="11" t="n">
        <f aca="false">BB83+BB84-BB85-BB86-BB87-BB88-BB89</f>
        <v>17.2325624651382</v>
      </c>
      <c r="BC90" s="11" t="n">
        <f aca="false">BC83+BC84-BC85-BC86-BC87-BC88-BC89</f>
        <v>17.5818560102746</v>
      </c>
      <c r="BD90" s="11" t="n">
        <f aca="false">BD83+BD84-BD85-BD86-BD87-BD88-BD89</f>
        <v>17.3766090918213</v>
      </c>
      <c r="BE90" s="11" t="n">
        <f aca="false">BE83+BE84-BE85-BE86-BE87-BE88-BE89</f>
        <v>17.7271757900089</v>
      </c>
      <c r="BF90" s="11" t="n">
        <f aca="false">BF83+BF84-BF85-BF86-BF87-BF88-BF89</f>
        <v>17.5217539087976</v>
      </c>
      <c r="BG90" s="11" t="n">
        <f aca="false">BG83+BG84-BG85-BG86-BG87-BG88-BG89</f>
        <v>17.8776830280644</v>
      </c>
      <c r="BH90" s="11" t="n">
        <f aca="false">BH83+BH84-BH85-BH86-BH87-BH88-BH89</f>
        <v>17.6710860393552</v>
      </c>
      <c r="BI90" s="11" t="n">
        <f aca="false">BI83+BI84-BI85-BI86-BI87-BI88-BI89</f>
        <v>17.9379890994758</v>
      </c>
      <c r="BJ90" s="11" t="n">
        <f aca="false">BJ83+BJ84-BJ85-BJ86-BJ87-BJ88-BJ89</f>
        <v>17.8242308350501</v>
      </c>
      <c r="BK90" s="11" t="n">
        <f aca="false">BK83+BK84-BK85-BK86-BK87-BK88-BK89</f>
        <v>17.9182075475277</v>
      </c>
      <c r="BL90" s="11" t="n">
        <f aca="false">BL83+BL84-BL85-BL86-BL87-BL88-BL89</f>
        <v>17.981374133856</v>
      </c>
      <c r="BM90" s="11" t="n">
        <f aca="false">BM83+BM84-BM85-BM86-BM87-BM88-BM89</f>
        <v>18.3445252782858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0</v>
      </c>
      <c r="P91" s="11" t="n">
        <f aca="false">P90-O90</f>
        <v>15.0558470459528</v>
      </c>
      <c r="Q91" s="11" t="n">
        <f aca="false">Q90-P90</f>
        <v>0.215874161098427</v>
      </c>
      <c r="R91" s="11" t="n">
        <f aca="false">R90-Q90</f>
        <v>-0.193046604697125</v>
      </c>
      <c r="S91" s="11" t="n">
        <f aca="false">S90-R90</f>
        <v>0.293382465125317</v>
      </c>
      <c r="T91" s="11" t="n">
        <f aca="false">T90-S90</f>
        <v>-0.192871511502883</v>
      </c>
      <c r="U91" s="11" t="n">
        <f aca="false">U90-T90</f>
        <v>0.217584665499286</v>
      </c>
      <c r="V91" s="11" t="n">
        <f aca="false">V90-U90</f>
        <v>-0.115219048827461</v>
      </c>
      <c r="W91" s="11" t="n">
        <f aca="false">W90-V90</f>
        <v>0.297036550491288</v>
      </c>
      <c r="X91" s="11" t="n">
        <f aca="false">X90-W90</f>
        <v>-0.193145345724462</v>
      </c>
      <c r="Y91" s="11" t="n">
        <f aca="false">Y90-X90</f>
        <v>0.303795685659312</v>
      </c>
      <c r="Z91" s="11" t="n">
        <f aca="false">Z90-Y90</f>
        <v>-0.195187490629834</v>
      </c>
      <c r="AA91" s="11" t="n">
        <f aca="false">AA90-Z90</f>
        <v>0.303975502398245</v>
      </c>
      <c r="AB91" s="11" t="n">
        <f aca="false">AB90-AA90</f>
        <v>-0.195208339099855</v>
      </c>
      <c r="AC91" s="11" t="n">
        <f aca="false">AC90-AB90</f>
        <v>0.226008786958307</v>
      </c>
      <c r="AD91" s="11" t="n">
        <f aca="false">AD90-AC90</f>
        <v>-0.1156252877537</v>
      </c>
      <c r="AE91" s="11" t="n">
        <f aca="false">AE90-AD90</f>
        <v>0.0724171631649284</v>
      </c>
      <c r="AF91" s="11" t="n">
        <f aca="false">AF90-AE90</f>
        <v>0.0399420297082553</v>
      </c>
      <c r="AG91" s="11" t="n">
        <f aca="false">AG90-AF90</f>
        <v>0.315055418581322</v>
      </c>
      <c r="AH91" s="11" t="n">
        <f aca="false">AH90-AG90</f>
        <v>-0.197483512766553</v>
      </c>
      <c r="AI91" s="11" t="n">
        <f aca="false">AI90-AH90</f>
        <v>0.315448805290849</v>
      </c>
      <c r="AJ91" s="11" t="n">
        <f aca="false">AJ90-AI90</f>
        <v>-0.197733087330512</v>
      </c>
      <c r="AK91" s="11" t="n">
        <f aca="false">AK90-AJ90</f>
        <v>0.235096839752455</v>
      </c>
      <c r="AL91" s="11" t="n">
        <f aca="false">AL90-AK90</f>
        <v>-0.115068135435106</v>
      </c>
      <c r="AM91" s="11" t="n">
        <f aca="false">AM90-AL90</f>
        <v>0.320985949729216</v>
      </c>
      <c r="AN91" s="11" t="n">
        <f aca="false">AN90-AM90</f>
        <v>-0.198679250008347</v>
      </c>
      <c r="AO91" s="11" t="n">
        <f aca="false">AO90-AN90</f>
        <v>0.325476772107031</v>
      </c>
      <c r="AP91" s="11" t="n">
        <f aca="false">AP90-AO90</f>
        <v>-0.199946173281493</v>
      </c>
      <c r="AQ91" s="11" t="n">
        <f aca="false">AQ90-AP90</f>
        <v>0.327876983340101</v>
      </c>
      <c r="AR91" s="11" t="n">
        <f aca="false">AR90-AQ90</f>
        <v>-0.200461297448854</v>
      </c>
      <c r="AS91" s="11" t="n">
        <f aca="false">AS90-AR90</f>
        <v>0.244902421072624</v>
      </c>
      <c r="AT91" s="11" t="n">
        <f aca="false">AT90-AS90</f>
        <v>-0.114911162445825</v>
      </c>
      <c r="AU91" s="11" t="n">
        <f aca="false">AU90-AT90</f>
        <v>0.0822808245927966</v>
      </c>
      <c r="AV91" s="11" t="n">
        <f aca="false">AV90-AU90</f>
        <v>0.0505753572087642</v>
      </c>
      <c r="AW91" s="11" t="n">
        <f aca="false">AW90-AV90</f>
        <v>0.337436502713789</v>
      </c>
      <c r="AX91" s="11" t="n">
        <f aca="false">AX90-AW90</f>
        <v>-0.2025878530551</v>
      </c>
      <c r="AY91" s="11" t="n">
        <f aca="false">AY90-AX90</f>
        <v>0.341341076936917</v>
      </c>
      <c r="AZ91" s="11" t="n">
        <f aca="false">AZ90-AY90</f>
        <v>-0.203409831752175</v>
      </c>
      <c r="BA91" s="11" t="n">
        <f aca="false">BA90-AZ90</f>
        <v>0.255483553936251</v>
      </c>
      <c r="BB91" s="11" t="n">
        <f aca="false">BB90-BA90</f>
        <v>-0.114678164420837</v>
      </c>
      <c r="BC91" s="11" t="n">
        <f aca="false">BC90-BB90</f>
        <v>0.34929354513644</v>
      </c>
      <c r="BD91" s="11" t="n">
        <f aca="false">BD90-BC90</f>
        <v>-0.205246918453305</v>
      </c>
      <c r="BE91" s="11" t="n">
        <f aca="false">BE90-BD90</f>
        <v>0.350566698187595</v>
      </c>
      <c r="BF91" s="11" t="n">
        <f aca="false">BF90-BE90</f>
        <v>-0.205421881211247</v>
      </c>
      <c r="BG91" s="11" t="n">
        <f aca="false">BG90-BF90</f>
        <v>0.355929119266726</v>
      </c>
      <c r="BH91" s="11" t="n">
        <f aca="false">BH90-BG90</f>
        <v>-0.206596988709137</v>
      </c>
      <c r="BI91" s="11" t="n">
        <f aca="false">BI90-BH90</f>
        <v>0.266903060120537</v>
      </c>
      <c r="BJ91" s="11" t="n">
        <f aca="false">BJ90-BI90</f>
        <v>-0.113758264425687</v>
      </c>
      <c r="BK91" s="11" t="n">
        <f aca="false">BK90-BJ90</f>
        <v>0.0939767124776516</v>
      </c>
      <c r="BL91" s="11" t="n">
        <f aca="false">BL90-BK90</f>
        <v>0.063166586328304</v>
      </c>
      <c r="BM91" s="11" t="n">
        <f aca="false">BM90-BL90</f>
        <v>0.363151144429725</v>
      </c>
      <c r="BN91" s="11" t="n">
        <f aca="false">BN90-BM90</f>
        <v>-18.3445252782858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0</v>
      </c>
      <c r="BN92" s="11" t="n">
        <f aca="false">Time!BN32*Inputs!$F$65*Inputs!$F$35</f>
        <v>5.35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0</v>
      </c>
      <c r="P7" s="9" t="n">
        <f aca="false">MAX(0,MIN(Time!P28,60)-MIN(Time!P27,60))</f>
        <v>2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6</v>
      </c>
      <c r="Z7" s="9" t="n">
        <f aca="false">MAX(0,MIN(Time!Z28,60)-MIN(Time!Z27,60))</f>
        <v>4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0</v>
      </c>
      <c r="Z8" s="9" t="n">
        <f aca="false">MAX(0,MIN(Time!Z28,96)-MIN(MAX(Time!Z27,60),96))</f>
        <v>2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6</v>
      </c>
      <c r="AF8" s="9" t="n">
        <f aca="false">MAX(0,MIN(Time!AF28,96)-MIN(MAX(Time!AF27,60),96))</f>
        <v>4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0</v>
      </c>
      <c r="AF9" s="9" t="n">
        <f aca="false">Time!AF25-AF7-AF8</f>
        <v>2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6</v>
      </c>
      <c r="BN9" s="9" t="n">
        <f aca="false">Time!BN25-BN7-BN8</f>
        <v>4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876.457393195604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0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7.88811653876043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23.6643496162813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23.6643496162813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23.6643496162813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23.6643496162813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23.6643496162813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23.6643496162813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23.6643496162813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23.6643496162813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23.6643496162813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22.7878922230857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21.0349774366945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21.0349774366945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21.0349774366945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21.0349774366945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21.0349774366945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21.0349774366945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21.0349774366945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21.0349774366945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21.0349774366945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21.0349774366945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21.0349774366945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21.0349774366945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21.0349774366945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21.0349774366945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21.0349774366945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21.0349774366945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21.0349774366945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21.0349774366945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21.0349774366945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21.0349774366945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21.0349774366945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21.0349774366945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21.0349774366945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21.0349774366945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21.0349774366945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21.0349774366945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21.0349774366945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21.0349774366945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21.0349774366945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14.3154707555282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0.876457393195604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0.876457393195604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0.876457393195604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0.876457393195604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0.876457393195604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0.876457393195604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0.876457393195604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0.876457393195604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0.876457393195604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0.584304928797069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236.643496162813</v>
      </c>
      <c r="J11" s="11" t="n">
        <f aca="false">(Inputs!$F$174*Funding!$F$76/Inputs!$F$175+Inputs!$F$176*Funding!$F$76/Inputs!$F$177+Inputs!$F$178*Funding!$F$76/Inputs!$F$179)*J7</f>
        <v>0</v>
      </c>
      <c r="K11" s="11" t="n">
        <f aca="false">(Inputs!$F$174*Funding!$F$76/Inputs!$F$175+Inputs!$F$176*Funding!$F$76/Inputs!$F$177+Inputs!$F$178*Funding!$F$76/Inputs!$F$179)*K7</f>
        <v>0</v>
      </c>
      <c r="L11" s="11" t="n">
        <f aca="false">(Inputs!$F$174*Funding!$F$76/Inputs!$F$175+Inputs!$F$176*Funding!$F$76/Inputs!$F$177+Inputs!$F$178*Funding!$F$76/Inputs!$F$179)*L7</f>
        <v>0</v>
      </c>
      <c r="M11" s="11" t="n">
        <f aca="false">(Inputs!$F$174*Funding!$F$76/Inputs!$F$175+Inputs!$F$176*Funding!$F$76/Inputs!$F$177+Inputs!$F$178*Funding!$F$76/Inputs!$F$179)*M7</f>
        <v>0</v>
      </c>
      <c r="N11" s="11" t="n">
        <f aca="false">(Inputs!$F$174*Funding!$F$76/Inputs!$F$175+Inputs!$F$176*Funding!$F$76/Inputs!$F$177+Inputs!$F$178*Funding!$F$76/Inputs!$F$179)*N7</f>
        <v>0</v>
      </c>
      <c r="O11" s="11" t="n">
        <f aca="false">(Inputs!$F$174*Funding!$F$76/Inputs!$F$175+Inputs!$F$176*Funding!$F$76/Inputs!$F$177+Inputs!$F$178*Funding!$F$76/Inputs!$F$179)*O7</f>
        <v>0</v>
      </c>
      <c r="P11" s="11" t="n">
        <f aca="false">(Inputs!$F$174*Funding!$F$76/Inputs!$F$175+Inputs!$F$176*Funding!$F$76/Inputs!$F$177+Inputs!$F$178*Funding!$F$76/Inputs!$F$179)*P7</f>
        <v>7.88811653876043</v>
      </c>
      <c r="Q11" s="11" t="n">
        <f aca="false">(Inputs!$F$174*Funding!$F$76/Inputs!$F$175+Inputs!$F$176*Funding!$F$76/Inputs!$F$177+Inputs!$F$178*Funding!$F$76/Inputs!$F$179)*Q7</f>
        <v>23.6643496162813</v>
      </c>
      <c r="R11" s="11" t="n">
        <f aca="false">(Inputs!$F$174*Funding!$F$76/Inputs!$F$175+Inputs!$F$176*Funding!$F$76/Inputs!$F$177+Inputs!$F$178*Funding!$F$76/Inputs!$F$179)*R7</f>
        <v>23.6643496162813</v>
      </c>
      <c r="S11" s="11" t="n">
        <f aca="false">(Inputs!$F$174*Funding!$F$76/Inputs!$F$175+Inputs!$F$176*Funding!$F$76/Inputs!$F$177+Inputs!$F$178*Funding!$F$76/Inputs!$F$179)*S7</f>
        <v>23.6643496162813</v>
      </c>
      <c r="T11" s="11" t="n">
        <f aca="false">(Inputs!$F$174*Funding!$F$76/Inputs!$F$175+Inputs!$F$176*Funding!$F$76/Inputs!$F$177+Inputs!$F$178*Funding!$F$76/Inputs!$F$179)*T7</f>
        <v>23.6643496162813</v>
      </c>
      <c r="U11" s="11" t="n">
        <f aca="false">(Inputs!$F$174*Funding!$F$76/Inputs!$F$175+Inputs!$F$176*Funding!$F$76/Inputs!$F$177+Inputs!$F$178*Funding!$F$76/Inputs!$F$179)*U7</f>
        <v>23.6643496162813</v>
      </c>
      <c r="V11" s="11" t="n">
        <f aca="false">(Inputs!$F$174*Funding!$F$76/Inputs!$F$175+Inputs!$F$176*Funding!$F$76/Inputs!$F$177+Inputs!$F$178*Funding!$F$76/Inputs!$F$179)*V7</f>
        <v>23.6643496162813</v>
      </c>
      <c r="W11" s="11" t="n">
        <f aca="false">(Inputs!$F$174*Funding!$F$76/Inputs!$F$175+Inputs!$F$176*Funding!$F$76/Inputs!$F$177+Inputs!$F$178*Funding!$F$76/Inputs!$F$179)*W7</f>
        <v>23.6643496162813</v>
      </c>
      <c r="X11" s="11" t="n">
        <f aca="false">(Inputs!$F$174*Funding!$F$76/Inputs!$F$175+Inputs!$F$176*Funding!$F$76/Inputs!$F$177+Inputs!$F$178*Funding!$F$76/Inputs!$F$179)*X7</f>
        <v>23.6643496162813</v>
      </c>
      <c r="Y11" s="11" t="n">
        <f aca="false">(Inputs!$F$174*Funding!$F$76/Inputs!$F$175+Inputs!$F$176*Funding!$F$76/Inputs!$F$177+Inputs!$F$178*Funding!$F$76/Inputs!$F$179)*Y7</f>
        <v>23.6643496162813</v>
      </c>
      <c r="Z11" s="11" t="n">
        <f aca="false">(Inputs!$F$174*Funding!$F$76/Inputs!$F$175+Inputs!$F$176*Funding!$F$76/Inputs!$F$177+Inputs!$F$178*Funding!$F$76/Inputs!$F$179)*Z7</f>
        <v>15.7762330775209</v>
      </c>
      <c r="AA11" s="11" t="n">
        <f aca="false">(Inputs!$F$174*Funding!$F$76/Inputs!$F$175+Inputs!$F$176*Funding!$F$76/Inputs!$F$177+Inputs!$F$178*Funding!$F$76/Inputs!$F$179)*AA7</f>
        <v>0</v>
      </c>
      <c r="AB11" s="11" t="n">
        <f aca="false">(Inputs!$F$174*Funding!$F$76/Inputs!$F$175+Inputs!$F$176*Funding!$F$76/Inputs!$F$177+Inputs!$F$178*Funding!$F$76/Inputs!$F$179)*AB7</f>
        <v>0</v>
      </c>
      <c r="AC11" s="11" t="n">
        <f aca="false">(Inputs!$F$174*Funding!$F$76/Inputs!$F$175+Inputs!$F$176*Funding!$F$76/Inputs!$F$177+Inputs!$F$178*Funding!$F$76/Inputs!$F$179)*AC7</f>
        <v>0</v>
      </c>
      <c r="AD11" s="11" t="n">
        <f aca="false">(Inputs!$F$174*Funding!$F$76/Inputs!$F$175+Inputs!$F$176*Funding!$F$76/Inputs!$F$177+Inputs!$F$178*Funding!$F$76/Inputs!$F$179)*AD7</f>
        <v>0</v>
      </c>
      <c r="AE11" s="11" t="n">
        <f aca="false">(Inputs!$F$174*Funding!$F$76/Inputs!$F$175+Inputs!$F$176*Funding!$F$76/Inputs!$F$177+Inputs!$F$178*Funding!$F$76/Inputs!$F$179)*AE7</f>
        <v>0</v>
      </c>
      <c r="AF11" s="11" t="n">
        <f aca="false">(Inputs!$F$174*Funding!$F$76/Inputs!$F$175+Inputs!$F$176*Funding!$F$76/Inputs!$F$177+Inputs!$F$178*Funding!$F$76/Inputs!$F$179)*AF7</f>
        <v>0</v>
      </c>
      <c r="AG11" s="11" t="n">
        <f aca="false">(Inputs!$F$174*Funding!$F$76/Inputs!$F$175+Inputs!$F$176*Funding!$F$76/Inputs!$F$177+Inputs!$F$178*Funding!$F$76/Inputs!$F$179)*AG7</f>
        <v>0</v>
      </c>
      <c r="AH11" s="11" t="n">
        <f aca="false">(Inputs!$F$174*Funding!$F$76/Inputs!$F$175+Inputs!$F$176*Funding!$F$76/Inputs!$F$177+Inputs!$F$178*Funding!$F$76/Inputs!$F$179)*AH7</f>
        <v>0</v>
      </c>
      <c r="AI11" s="11" t="n">
        <f aca="false">(Inputs!$F$174*Funding!$F$76/Inputs!$F$175+Inputs!$F$176*Funding!$F$76/Inputs!$F$177+Inputs!$F$178*Funding!$F$76/Inputs!$F$179)*AI7</f>
        <v>0</v>
      </c>
      <c r="AJ11" s="11" t="n">
        <f aca="false">(Inputs!$F$174*Funding!$F$76/Inputs!$F$175+Inputs!$F$176*Funding!$F$76/Inputs!$F$177+Inputs!$F$178*Funding!$F$76/Inputs!$F$179)*AJ7</f>
        <v>0</v>
      </c>
      <c r="AK11" s="11" t="n">
        <f aca="false">(Inputs!$F$174*Funding!$F$76/Inputs!$F$175+Inputs!$F$176*Funding!$F$76/Inputs!$F$177+Inputs!$F$178*Funding!$F$76/Inputs!$F$179)*AK7</f>
        <v>0</v>
      </c>
      <c r="AL11" s="11" t="n">
        <f aca="false">(Inputs!$F$174*Funding!$F$76/Inputs!$F$175+Inputs!$F$176*Funding!$F$76/Inputs!$F$177+Inputs!$F$178*Funding!$F$76/Inputs!$F$179)*AL7</f>
        <v>0</v>
      </c>
      <c r="AM11" s="11" t="n">
        <f aca="false">(Inputs!$F$174*Funding!$F$76/Inputs!$F$175+Inputs!$F$176*Funding!$F$76/Inputs!$F$177+Inputs!$F$178*Funding!$F$76/Inputs!$F$179)*AM7</f>
        <v>0</v>
      </c>
      <c r="AN11" s="11" t="n">
        <f aca="false">(Inputs!$F$174*Funding!$F$76/Inputs!$F$175+Inputs!$F$176*Funding!$F$76/Inputs!$F$177+Inputs!$F$178*Funding!$F$76/Inputs!$F$179)*AN7</f>
        <v>0</v>
      </c>
      <c r="AO11" s="11" t="n">
        <f aca="false">(Inputs!$F$174*Funding!$F$76/Inputs!$F$175+Inputs!$F$176*Funding!$F$76/Inputs!$F$177+Inputs!$F$178*Funding!$F$76/Inputs!$F$179)*AO7</f>
        <v>0</v>
      </c>
      <c r="AP11" s="11" t="n">
        <f aca="false">(Inputs!$F$174*Funding!$F$76/Inputs!$F$175+Inputs!$F$176*Funding!$F$76/Inputs!$F$177+Inputs!$F$178*Funding!$F$76/Inputs!$F$179)*AP7</f>
        <v>0</v>
      </c>
      <c r="AQ11" s="11" t="n">
        <f aca="false">(Inputs!$F$174*Funding!$F$76/Inputs!$F$175+Inputs!$F$176*Funding!$F$76/Inputs!$F$177+Inputs!$F$178*Funding!$F$76/Inputs!$F$179)*AQ7</f>
        <v>0</v>
      </c>
      <c r="AR11" s="11" t="n">
        <f aca="false">(Inputs!$F$174*Funding!$F$76/Inputs!$F$175+Inputs!$F$176*Funding!$F$76/Inputs!$F$177+Inputs!$F$178*Funding!$F$76/Inputs!$F$179)*AR7</f>
        <v>0</v>
      </c>
      <c r="AS11" s="11" t="n">
        <f aca="false">(Inputs!$F$174*Funding!$F$76/Inputs!$F$175+Inputs!$F$176*Funding!$F$76/Inputs!$F$177+Inputs!$F$178*Funding!$F$76/Inputs!$F$179)*AS7</f>
        <v>0</v>
      </c>
      <c r="AT11" s="11" t="n">
        <f aca="false">(Inputs!$F$174*Funding!$F$76/Inputs!$F$175+Inputs!$F$176*Funding!$F$76/Inputs!$F$177+Inputs!$F$178*Funding!$F$76/Inputs!$F$179)*AT7</f>
        <v>0</v>
      </c>
      <c r="AU11" s="11" t="n">
        <f aca="false">(Inputs!$F$174*Funding!$F$76/Inputs!$F$175+Inputs!$F$176*Funding!$F$76/Inputs!$F$177+Inputs!$F$178*Funding!$F$76/Inputs!$F$179)*AU7</f>
        <v>0</v>
      </c>
      <c r="AV11" s="11" t="n">
        <f aca="false">(Inputs!$F$174*Funding!$F$76/Inputs!$F$175+Inputs!$F$176*Funding!$F$76/Inputs!$F$177+Inputs!$F$178*Funding!$F$76/Inputs!$F$179)*AV7</f>
        <v>0</v>
      </c>
      <c r="AW11" s="11" t="n">
        <f aca="false">(Inputs!$F$174*Funding!$F$76/Inputs!$F$175+Inputs!$F$176*Funding!$F$76/Inputs!$F$177+Inputs!$F$178*Funding!$F$76/Inputs!$F$179)*AW7</f>
        <v>0</v>
      </c>
      <c r="AX11" s="11" t="n">
        <f aca="false">(Inputs!$F$174*Funding!$F$76/Inputs!$F$175+Inputs!$F$176*Funding!$F$76/Inputs!$F$177+Inputs!$F$178*Funding!$F$76/Inputs!$F$179)*AX7</f>
        <v>0</v>
      </c>
      <c r="AY11" s="11" t="n">
        <f aca="false">(Inputs!$F$174*Funding!$F$76/Inputs!$F$175+Inputs!$F$176*Funding!$F$76/Inputs!$F$177+Inputs!$F$178*Funding!$F$76/Inputs!$F$179)*AY7</f>
        <v>0</v>
      </c>
      <c r="AZ11" s="11" t="n">
        <f aca="false">(Inputs!$F$174*Funding!$F$76/Inputs!$F$175+Inputs!$F$176*Funding!$F$76/Inputs!$F$177+Inputs!$F$178*Funding!$F$76/Inputs!$F$179)*AZ7</f>
        <v>0</v>
      </c>
      <c r="BA11" s="11" t="n">
        <f aca="false">(Inputs!$F$174*Funding!$F$76/Inputs!$F$175+Inputs!$F$176*Funding!$F$76/Inputs!$F$177+Inputs!$F$178*Funding!$F$76/Inputs!$F$179)*BA7</f>
        <v>0</v>
      </c>
      <c r="BB11" s="11" t="n">
        <f aca="false">(Inputs!$F$174*Funding!$F$76/Inputs!$F$175+Inputs!$F$176*Funding!$F$76/Inputs!$F$177+Inputs!$F$178*Funding!$F$76/Inputs!$F$179)*BB7</f>
        <v>0</v>
      </c>
      <c r="BC11" s="11" t="n">
        <f aca="false">(Inputs!$F$174*Funding!$F$76/Inputs!$F$175+Inputs!$F$176*Funding!$F$76/Inputs!$F$177+Inputs!$F$178*Funding!$F$76/Inputs!$F$179)*BC7</f>
        <v>0</v>
      </c>
      <c r="BD11" s="11" t="n">
        <f aca="false">(Inputs!$F$174*Funding!$F$76/Inputs!$F$175+Inputs!$F$176*Funding!$F$76/Inputs!$F$177+Inputs!$F$178*Funding!$F$76/Inputs!$F$179)*BD7</f>
        <v>0</v>
      </c>
      <c r="BE11" s="11" t="n">
        <f aca="false">(Inputs!$F$174*Funding!$F$76/Inputs!$F$175+Inputs!$F$176*Funding!$F$76/Inputs!$F$177+Inputs!$F$178*Funding!$F$76/Inputs!$F$179)*BE7</f>
        <v>0</v>
      </c>
      <c r="BF11" s="11" t="n">
        <f aca="false">(Inputs!$F$174*Funding!$F$76/Inputs!$F$175+Inputs!$F$176*Funding!$F$76/Inputs!$F$177+Inputs!$F$178*Funding!$F$76/Inputs!$F$179)*BF7</f>
        <v>0</v>
      </c>
      <c r="BG11" s="11" t="n">
        <f aca="false">(Inputs!$F$174*Funding!$F$76/Inputs!$F$175+Inputs!$F$176*Funding!$F$76/Inputs!$F$177+Inputs!$F$178*Funding!$F$76/Inputs!$F$179)*BG7</f>
        <v>0</v>
      </c>
      <c r="BH11" s="11" t="n">
        <f aca="false">(Inputs!$F$174*Funding!$F$76/Inputs!$F$175+Inputs!$F$176*Funding!$F$76/Inputs!$F$177+Inputs!$F$178*Funding!$F$76/Inputs!$F$179)*BH7</f>
        <v>0</v>
      </c>
      <c r="BI11" s="11" t="n">
        <f aca="false">(Inputs!$F$174*Funding!$F$76/Inputs!$F$175+Inputs!$F$176*Funding!$F$76/Inputs!$F$177+Inputs!$F$178*Funding!$F$76/Inputs!$F$179)*BI7</f>
        <v>0</v>
      </c>
      <c r="BJ11" s="11" t="n">
        <f aca="false">(Inputs!$F$174*Funding!$F$76/Inputs!$F$175+Inputs!$F$176*Funding!$F$76/Inputs!$F$177+Inputs!$F$178*Funding!$F$76/Inputs!$F$179)*BJ7</f>
        <v>0</v>
      </c>
      <c r="BK11" s="11" t="n">
        <f aca="false">(Inputs!$F$174*Funding!$F$76/Inputs!$F$175+Inputs!$F$176*Funding!$F$76/Inputs!$F$177+Inputs!$F$178*Funding!$F$76/Inputs!$F$179)*BK7</f>
        <v>0</v>
      </c>
      <c r="BL11" s="11" t="n">
        <f aca="false">(Inputs!$F$174*Funding!$F$76/Inputs!$F$175+Inputs!$F$176*Funding!$F$76/Inputs!$F$177+Inputs!$F$178*Funding!$F$76/Inputs!$F$179)*BL7</f>
        <v>0</v>
      </c>
      <c r="BM11" s="11" t="n">
        <f aca="false">(Inputs!$F$174*Funding!$F$76/Inputs!$F$175+Inputs!$F$176*Funding!$F$76/Inputs!$F$177+Inputs!$F$178*Funding!$F$76/Inputs!$F$179)*BM7</f>
        <v>0</v>
      </c>
      <c r="BN11" s="11" t="n">
        <f aca="false">(Inputs!$F$174*Funding!$F$76/Inputs!$F$175+Inputs!$F$176*Funding!$F$76/Inputs!$F$177+Inputs!$F$178*Funding!$F$76/Inputs!$F$179)*BN7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639.813897032791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0</v>
      </c>
      <c r="Z12" s="11" t="n">
        <f aca="false">Z10-Z11</f>
        <v>7.01165914556484</v>
      </c>
      <c r="AA12" s="11" t="n">
        <f aca="false">AA10-AA11</f>
        <v>21.0349774366945</v>
      </c>
      <c r="AB12" s="11" t="n">
        <f aca="false">AB10-AB11</f>
        <v>21.0349774366945</v>
      </c>
      <c r="AC12" s="11" t="n">
        <f aca="false">AC10-AC11</f>
        <v>21.0349774366945</v>
      </c>
      <c r="AD12" s="11" t="n">
        <f aca="false">AD10-AD11</f>
        <v>21.0349774366945</v>
      </c>
      <c r="AE12" s="11" t="n">
        <f aca="false">AE10-AE11</f>
        <v>21.0349774366945</v>
      </c>
      <c r="AF12" s="11" t="n">
        <f aca="false">AF10-AF11</f>
        <v>21.0349774366945</v>
      </c>
      <c r="AG12" s="11" t="n">
        <f aca="false">AG10-AG11</f>
        <v>21.0349774366945</v>
      </c>
      <c r="AH12" s="11" t="n">
        <f aca="false">AH10-AH11</f>
        <v>21.0349774366945</v>
      </c>
      <c r="AI12" s="11" t="n">
        <f aca="false">AI10-AI11</f>
        <v>21.0349774366945</v>
      </c>
      <c r="AJ12" s="11" t="n">
        <f aca="false">AJ10-AJ11</f>
        <v>21.0349774366945</v>
      </c>
      <c r="AK12" s="11" t="n">
        <f aca="false">AK10-AK11</f>
        <v>21.0349774366945</v>
      </c>
      <c r="AL12" s="11" t="n">
        <f aca="false">AL10-AL11</f>
        <v>21.0349774366945</v>
      </c>
      <c r="AM12" s="11" t="n">
        <f aca="false">AM10-AM11</f>
        <v>21.0349774366945</v>
      </c>
      <c r="AN12" s="11" t="n">
        <f aca="false">AN10-AN11</f>
        <v>21.0349774366945</v>
      </c>
      <c r="AO12" s="11" t="n">
        <f aca="false">AO10-AO11</f>
        <v>21.0349774366945</v>
      </c>
      <c r="AP12" s="11" t="n">
        <f aca="false">AP10-AP11</f>
        <v>21.0349774366945</v>
      </c>
      <c r="AQ12" s="11" t="n">
        <f aca="false">AQ10-AQ11</f>
        <v>21.0349774366945</v>
      </c>
      <c r="AR12" s="11" t="n">
        <f aca="false">AR10-AR11</f>
        <v>21.0349774366945</v>
      </c>
      <c r="AS12" s="11" t="n">
        <f aca="false">AS10-AS11</f>
        <v>21.0349774366945</v>
      </c>
      <c r="AT12" s="11" t="n">
        <f aca="false">AT10-AT11</f>
        <v>21.0349774366945</v>
      </c>
      <c r="AU12" s="11" t="n">
        <f aca="false">AU10-AU11</f>
        <v>21.0349774366945</v>
      </c>
      <c r="AV12" s="11" t="n">
        <f aca="false">AV10-AV11</f>
        <v>21.0349774366945</v>
      </c>
      <c r="AW12" s="11" t="n">
        <f aca="false">AW10-AW11</f>
        <v>21.0349774366945</v>
      </c>
      <c r="AX12" s="11" t="n">
        <f aca="false">AX10-AX11</f>
        <v>21.0349774366945</v>
      </c>
      <c r="AY12" s="11" t="n">
        <f aca="false">AY10-AY11</f>
        <v>21.0349774366945</v>
      </c>
      <c r="AZ12" s="11" t="n">
        <f aca="false">AZ10-AZ11</f>
        <v>21.0349774366945</v>
      </c>
      <c r="BA12" s="11" t="n">
        <f aca="false">BA10-BA11</f>
        <v>21.0349774366945</v>
      </c>
      <c r="BB12" s="11" t="n">
        <f aca="false">BB10-BB11</f>
        <v>21.0349774366945</v>
      </c>
      <c r="BC12" s="11" t="n">
        <f aca="false">BC10-BC11</f>
        <v>21.0349774366945</v>
      </c>
      <c r="BD12" s="11" t="n">
        <f aca="false">BD10-BD11</f>
        <v>14.3154707555282</v>
      </c>
      <c r="BE12" s="11" t="n">
        <f aca="false">BE10-BE11</f>
        <v>0.876457393195604</v>
      </c>
      <c r="BF12" s="11" t="n">
        <f aca="false">BF10-BF11</f>
        <v>0.876457393195604</v>
      </c>
      <c r="BG12" s="11" t="n">
        <f aca="false">BG10-BG11</f>
        <v>0.876457393195604</v>
      </c>
      <c r="BH12" s="11" t="n">
        <f aca="false">BH10-BH11</f>
        <v>0.876457393195604</v>
      </c>
      <c r="BI12" s="11" t="n">
        <f aca="false">BI10-BI11</f>
        <v>0.876457393195604</v>
      </c>
      <c r="BJ12" s="11" t="n">
        <f aca="false">BJ10-BJ11</f>
        <v>0.876457393195604</v>
      </c>
      <c r="BK12" s="11" t="n">
        <f aca="false">BK10-BK11</f>
        <v>0.876457393195604</v>
      </c>
      <c r="BL12" s="11" t="n">
        <f aca="false">BL10-BL11</f>
        <v>0.876457393195604</v>
      </c>
      <c r="BM12" s="11" t="n">
        <f aca="false">BM10-BM11</f>
        <v>0.876457393195604</v>
      </c>
      <c r="BN12" s="11" t="n">
        <f aca="false">BN10-BN11</f>
        <v>0.584304928797069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285.122376559517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0</v>
      </c>
      <c r="P13" s="11" t="n">
        <f aca="false">IF(Time!P17&gt;=Time!$F$11,Waterfall!P33*Inputs!$F$102/100*Time!P26/365,0)</f>
        <v>3.45438227917857</v>
      </c>
      <c r="Q13" s="11" t="n">
        <f aca="false">IF(Time!Q17&gt;=Time!$F$11,Waterfall!Q33*Inputs!$F$102/100*Time!Q26/365,0)</f>
        <v>10.4126229317157</v>
      </c>
      <c r="R13" s="11" t="n">
        <f aca="false">IF(Time!R17&gt;=Time!$F$11,Waterfall!R33*Inputs!$F$102/100*Time!R26/365,0)</f>
        <v>10.5120066389733</v>
      </c>
      <c r="S13" s="11" t="n">
        <f aca="false">IF(Time!S17&gt;=Time!$F$11,Waterfall!S33*Inputs!$F$102/100*Time!S26/365,0)</f>
        <v>10.3185151938829</v>
      </c>
      <c r="T13" s="11" t="n">
        <f aca="false">IF(Time!T17&gt;=Time!$F$11,Waterfall!T33*Inputs!$F$102/100*Time!T26/365,0)</f>
        <v>10.4955149653593</v>
      </c>
      <c r="U13" s="11" t="n">
        <f aca="false">IF(Time!U17&gt;=Time!$F$11,Waterfall!U33*Inputs!$F$102/100*Time!U26/365,0)</f>
        <v>10.3589112675818</v>
      </c>
      <c r="V13" s="11" t="n">
        <f aca="false">IF(Time!V17&gt;=Time!$F$11,Waterfall!V33*Inputs!$F$102/100*Time!V26/365,0)</f>
        <v>10.4959850140566</v>
      </c>
      <c r="W13" s="11" t="n">
        <f aca="false">IF(Time!W17&gt;=Time!$F$11,Waterfall!W33*Inputs!$F$102/100*Time!W26/365,0)</f>
        <v>10.3170983230733</v>
      </c>
      <c r="X13" s="11" t="n">
        <f aca="false">IF(Time!X17&gt;=Time!$F$11,Waterfall!X33*Inputs!$F$102/100*Time!X26/365,0)</f>
        <v>10.4048454512177</v>
      </c>
      <c r="Y13" s="11" t="n">
        <f aca="false">IF(Time!Y17&gt;=Time!$F$11,Waterfall!Y33*Inputs!$F$102/100*Time!Y26/365,0)</f>
        <v>10.1133956065035</v>
      </c>
      <c r="Z13" s="11" t="n">
        <f aca="false">IF(Time!Z17&gt;=Time!$F$11,Waterfall!Z33*Inputs!$F$102/100*Time!Z26/365,0)</f>
        <v>10.2780409527403</v>
      </c>
      <c r="AA13" s="11" t="n">
        <f aca="false">IF(Time!AA17&gt;=Time!$F$11,Waterfall!AA33*Inputs!$F$102/100*Time!AA26/365,0)</f>
        <v>10.0759914734989</v>
      </c>
      <c r="AB13" s="11" t="n">
        <f aca="false">IF(Time!AB17&gt;=Time!$F$11,Waterfall!AB33*Inputs!$F$102/100*Time!AB26/365,0)</f>
        <v>10.4870609573484</v>
      </c>
      <c r="AC13" s="11" t="n">
        <f aca="false">IF(Time!AC17&gt;=Time!$F$11,Waterfall!AC33*Inputs!$F$102/100*Time!AC26/365,0)</f>
        <v>10.5913492139629</v>
      </c>
      <c r="AD13" s="11" t="n">
        <f aca="false">IF(Time!AD17&gt;=Time!$F$11,Waterfall!AD33*Inputs!$F$102/100*Time!AD26/365,0)</f>
        <v>10.9585504855809</v>
      </c>
      <c r="AE13" s="11" t="n">
        <f aca="false">IF(Time!AE17&gt;=Time!$F$11,Waterfall!AE33*Inputs!$F$102/100*Time!AE26/365,0)</f>
        <v>11.0175540929296</v>
      </c>
      <c r="AF13" s="11" t="n">
        <f aca="false">IF(Time!AF17&gt;=Time!$F$11,Waterfall!AF33*Inputs!$F$102/100*Time!AF26/365,0)</f>
        <v>11.3989995120288</v>
      </c>
      <c r="AG13" s="11" t="n">
        <f aca="false">IF(Time!AG17&gt;=Time!$F$11,Waterfall!AG33*Inputs!$F$102/100*Time!AG26/365,0)</f>
        <v>11.3696360353827</v>
      </c>
      <c r="AH13" s="11" t="n">
        <f aca="false">IF(Time!AH17&gt;=Time!$F$11,Waterfall!AH33*Inputs!$F$102/100*Time!AH26/365,0)</f>
        <v>11.7128883627642</v>
      </c>
      <c r="AI13" s="11" t="n">
        <f aca="false">IF(Time!AI17&gt;=Time!$F$11,Waterfall!AI33*Inputs!$F$102/100*Time!AI26/365,0)</f>
        <v>11.6344213378817</v>
      </c>
      <c r="AJ13" s="11" t="n">
        <f aca="false">IF(Time!AJ17&gt;=Time!$F$11,Waterfall!AJ33*Inputs!$F$102/100*Time!AJ26/365,0)</f>
        <v>11.9068784121604</v>
      </c>
      <c r="AK13" s="11" t="n">
        <f aca="false">IF(Time!AK17&gt;=Time!$F$11,Waterfall!AK33*Inputs!$F$102/100*Time!AK26/365,0)</f>
        <v>11.7930830217101</v>
      </c>
      <c r="AL13" s="11" t="n">
        <f aca="false">IF(Time!AL17&gt;=Time!$F$11,Waterfall!AL33*Inputs!$F$102/100*Time!AL26/365,0)</f>
        <v>11.852662553665</v>
      </c>
      <c r="AM13" s="11" t="n">
        <f aca="false">IF(Time!AM17&gt;=Time!$F$11,Waterfall!AM33*Inputs!$F$102/100*Time!AM26/365,0)</f>
        <v>10.7306205867095</v>
      </c>
      <c r="AN13" s="11" t="n">
        <f aca="false">IF(Time!AN17&gt;=Time!$F$11,Waterfall!AN33*Inputs!$F$102/100*Time!AN26/365,0)</f>
        <v>9.86061924661184</v>
      </c>
      <c r="AO13" s="11" t="n">
        <f aca="false">IF(Time!AO17&gt;=Time!$F$11,Waterfall!AO33*Inputs!$F$102/100*Time!AO26/365,0)</f>
        <v>8.58919722859563</v>
      </c>
      <c r="AP13" s="11" t="n">
        <f aca="false">IF(Time!AP17&gt;=Time!$F$11,Waterfall!AP33*Inputs!$F$102/100*Time!AP26/365,0)</f>
        <v>6.71678574226097</v>
      </c>
      <c r="AQ13" s="11" t="n">
        <f aca="false">IF(Time!AQ17&gt;=Time!$F$11,Waterfall!AQ33*Inputs!$F$102/100*Time!AQ26/365,0)</f>
        <v>4.50514789694131</v>
      </c>
      <c r="AR13" s="11" t="n">
        <f aca="false">IF(Time!AR17&gt;=Time!$F$11,Waterfall!AR33*Inputs!$F$102/100*Time!AR26/365,0)</f>
        <v>2.35384053952822</v>
      </c>
      <c r="AS13" s="11" t="n">
        <f aca="false">IF(Time!AS17&gt;=Time!$F$11,Waterfall!AS33*Inputs!$F$102/100*Time!AS26/365,0)</f>
        <v>0.405771235672654</v>
      </c>
      <c r="AT13" s="11" t="n">
        <f aca="false">IF(Time!AT17&gt;=Time!$F$11,Waterfall!AT33*Inputs!$F$102/100*Time!AT26/365,0)</f>
        <v>0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1</v>
      </c>
      <c r="P14" s="6" t="n">
        <f aca="false">IF(Waterfall!P33&gt;0,MIN(1,Inputs!$F$180*(Waterfall!$F$32+MAX(0,Waterfall!O43))/Waterfall!P33),1)</f>
        <v>0.635395362469034</v>
      </c>
      <c r="Q14" s="6" t="n">
        <f aca="false">IF(Waterfall!Q33&gt;0,MIN(1,Inputs!$F$180*(Waterfall!$F$32+MAX(0,Waterfall!P43))/Waterfall!Q33),1)</f>
        <v>0.752758432647818</v>
      </c>
      <c r="R14" s="6" t="n">
        <f aca="false">IF(Waterfall!R33&gt;0,MIN(1,Inputs!$F$180*(Waterfall!$F$32+MAX(0,Waterfall!Q43))/Waterfall!R33),1)</f>
        <v>0.836217512416345</v>
      </c>
      <c r="S14" s="6" t="n">
        <f aca="false">IF(Waterfall!S33&gt;0,MIN(1,Inputs!$F$180*(Waterfall!$F$32+MAX(0,Waterfall!R43))/Waterfall!S33),1)</f>
        <v>0.922181784087699</v>
      </c>
      <c r="T14" s="6" t="n">
        <f aca="false">IF(Waterfall!T33&gt;0,MIN(1,Inputs!$F$180*(Waterfall!$F$32+MAX(0,Waterfall!S43))/Waterfall!T33),1)</f>
        <v>1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278.76380850676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0</v>
      </c>
      <c r="P15" s="11" t="n">
        <f aca="false">P13*P14</f>
        <v>2.19489848038527</v>
      </c>
      <c r="Q15" s="11" t="n">
        <f aca="false">Q13*Q14</f>
        <v>7.83818971783107</v>
      </c>
      <c r="R15" s="11" t="n">
        <f aca="false">R13*R14</f>
        <v>8.79032404214632</v>
      </c>
      <c r="S15" s="11" t="n">
        <f aca="false">S13*S14</f>
        <v>9.51554675063098</v>
      </c>
      <c r="T15" s="11" t="n">
        <f aca="false">T13*T14</f>
        <v>10.4955149653593</v>
      </c>
      <c r="U15" s="11" t="n">
        <f aca="false">U13*U14</f>
        <v>10.3589112675818</v>
      </c>
      <c r="V15" s="11" t="n">
        <f aca="false">V13*V14</f>
        <v>10.4959850140566</v>
      </c>
      <c r="W15" s="11" t="n">
        <f aca="false">W13*W14</f>
        <v>10.3170983230733</v>
      </c>
      <c r="X15" s="11" t="n">
        <f aca="false">X13*X14</f>
        <v>10.4048454512177</v>
      </c>
      <c r="Y15" s="11" t="n">
        <f aca="false">Y13*Y14</f>
        <v>10.1133956065035</v>
      </c>
      <c r="Z15" s="11" t="n">
        <f aca="false">Z13*Z14</f>
        <v>10.2780409527403</v>
      </c>
      <c r="AA15" s="11" t="n">
        <f aca="false">AA13*AA14</f>
        <v>10.0759914734989</v>
      </c>
      <c r="AB15" s="11" t="n">
        <f aca="false">AB13*AB14</f>
        <v>10.4870609573484</v>
      </c>
      <c r="AC15" s="11" t="n">
        <f aca="false">AC13*AC14</f>
        <v>10.5913492139629</v>
      </c>
      <c r="AD15" s="11" t="n">
        <f aca="false">AD13*AD14</f>
        <v>10.9585504855809</v>
      </c>
      <c r="AE15" s="11" t="n">
        <f aca="false">AE13*AE14</f>
        <v>11.0175540929296</v>
      </c>
      <c r="AF15" s="11" t="n">
        <f aca="false">AF13*AF14</f>
        <v>11.3989995120288</v>
      </c>
      <c r="AG15" s="11" t="n">
        <f aca="false">AG13*AG14</f>
        <v>11.3696360353827</v>
      </c>
      <c r="AH15" s="11" t="n">
        <f aca="false">AH13*AH14</f>
        <v>11.7128883627642</v>
      </c>
      <c r="AI15" s="11" t="n">
        <f aca="false">AI13*AI14</f>
        <v>11.6344213378817</v>
      </c>
      <c r="AJ15" s="11" t="n">
        <f aca="false">AJ13*AJ14</f>
        <v>11.9068784121604</v>
      </c>
      <c r="AK15" s="11" t="n">
        <f aca="false">AK13*AK14</f>
        <v>11.7930830217101</v>
      </c>
      <c r="AL15" s="11" t="n">
        <f aca="false">AL13*AL14</f>
        <v>11.852662553665</v>
      </c>
      <c r="AM15" s="11" t="n">
        <f aca="false">AM13*AM14</f>
        <v>10.7306205867095</v>
      </c>
      <c r="AN15" s="11" t="n">
        <f aca="false">AN13*AN14</f>
        <v>9.86061924661184</v>
      </c>
      <c r="AO15" s="11" t="n">
        <f aca="false">AO13*AO14</f>
        <v>8.58919722859563</v>
      </c>
      <c r="AP15" s="11" t="n">
        <f aca="false">AP13*AP14</f>
        <v>6.71678574226097</v>
      </c>
      <c r="AQ15" s="11" t="n">
        <f aca="false">AQ13*AQ14</f>
        <v>4.50514789694131</v>
      </c>
      <c r="AR15" s="11" t="n">
        <f aca="false">AR13*AR14</f>
        <v>2.35384053952822</v>
      </c>
      <c r="AS15" s="11" t="n">
        <f aca="false">AS13*AS14</f>
        <v>0.405771235672654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315.15966870259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0</v>
      </c>
      <c r="Q16" s="11" t="n">
        <f aca="false">Debt!Q119+Debt!Q117+Debt!Q111-Debt!Q110</f>
        <v>22.4001807785758</v>
      </c>
      <c r="R16" s="11" t="n">
        <f aca="false">Debt!R119+Debt!R117+Debt!R111-Debt!R110</f>
        <v>22.0587791123852</v>
      </c>
      <c r="S16" s="11" t="n">
        <f aca="false">Debt!S119+Debt!S117+Debt!S111-Debt!S110</f>
        <v>21.2095928780123</v>
      </c>
      <c r="T16" s="11" t="n">
        <f aca="false">Debt!T119+Debt!T117+Debt!T111-Debt!T110</f>
        <v>20.807182234581</v>
      </c>
      <c r="U16" s="11" t="n">
        <f aca="false">Debt!U119+Debt!U117+Debt!U111-Debt!U110</f>
        <v>19.9894919729728</v>
      </c>
      <c r="V16" s="11" t="n">
        <f aca="false">Debt!V119+Debt!V117+Debt!V111-Debt!V110</f>
        <v>19.4475582054411</v>
      </c>
      <c r="W16" s="11" t="n">
        <f aca="false">Debt!W119+Debt!W117+Debt!W111-Debt!W110</f>
        <v>18.5049241155856</v>
      </c>
      <c r="X16" s="11" t="n">
        <f aca="false">Debt!X119+Debt!X117+Debt!X111-Debt!X110</f>
        <v>17.9538900908398</v>
      </c>
      <c r="Y16" s="11" t="n">
        <f aca="false">Debt!Y119+Debt!Y117+Debt!Y111-Debt!Y110</f>
        <v>17.5567814153101</v>
      </c>
      <c r="Z16" s="11" t="n">
        <f aca="false">Debt!Z119+Debt!Z117+Debt!Z111-Debt!Z110</f>
        <v>16.9955974399418</v>
      </c>
      <c r="AA16" s="11" t="n">
        <f aca="false">Debt!AA119+Debt!AA117+Debt!AA111-Debt!AA110</f>
        <v>16.0217493536458</v>
      </c>
      <c r="AB16" s="11" t="n">
        <f aca="false">Debt!AB119+Debt!AB117+Debt!AB111-Debt!AB110</f>
        <v>15.1442228449405</v>
      </c>
      <c r="AC16" s="11" t="n">
        <f aca="false">Debt!AC119+Debt!AC117+Debt!AC111-Debt!AC110</f>
        <v>13.9122092620998</v>
      </c>
      <c r="AD16" s="11" t="n">
        <f aca="false">Debt!AD119+Debt!AD117+Debt!AD111-Debt!AD110</f>
        <v>12.9018413057305</v>
      </c>
      <c r="AE16" s="11" t="n">
        <f aca="false">Debt!AE119+Debt!AE117+Debt!AE111-Debt!AE110</f>
        <v>11.5749318416118</v>
      </c>
      <c r="AF16" s="11" t="n">
        <f aca="false">Debt!AF119+Debt!AF117+Debt!AF111-Debt!AF110</f>
        <v>10.4377762291912</v>
      </c>
      <c r="AG16" s="11" t="n">
        <f aca="false">Debt!AG119+Debt!AG117+Debt!AG111-Debt!AG110</f>
        <v>9.24861901230396</v>
      </c>
      <c r="AH16" s="11" t="n">
        <f aca="false">Debt!AH119+Debt!AH117+Debt!AH111-Debt!AH110</f>
        <v>7.99421285823143</v>
      </c>
      <c r="AI16" s="11" t="n">
        <f aca="false">Debt!AI119+Debt!AI117+Debt!AI111-Debt!AI110</f>
        <v>6.51789252959128</v>
      </c>
      <c r="AJ16" s="11" t="n">
        <f aca="false">Debt!AJ119+Debt!AJ117+Debt!AJ111-Debt!AJ110</f>
        <v>5.17472417864407</v>
      </c>
      <c r="AK16" s="11" t="n">
        <f aca="false">Debt!AK119+Debt!AK117+Debt!AK111-Debt!AK110</f>
        <v>3.70607433433069</v>
      </c>
      <c r="AL16" s="11" t="n">
        <f aca="false">Debt!AL119+Debt!AL117+Debt!AL111-Debt!AL110</f>
        <v>2.32240463708052</v>
      </c>
      <c r="AM16" s="11" t="n">
        <f aca="false">Debt!AM119+Debt!AM117+Debt!AM111-Debt!AM110</f>
        <v>1.68815405182471</v>
      </c>
      <c r="AN16" s="11" t="n">
        <f aca="false">Debt!AN119+Debt!AN117+Debt!AN111-Debt!AN110</f>
        <v>1.05998621057513</v>
      </c>
      <c r="AO16" s="11" t="n">
        <f aca="false">Debt!AO119+Debt!AO117+Debt!AO111-Debt!AO110</f>
        <v>0.530891809143661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</v>
      </c>
      <c r="Z17" s="11" t="n">
        <f aca="false">IF(Time!Z25&gt;0,(Time!Z25-Z7)/Time!Z25,0)</f>
        <v>0.333333333333333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1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1168.38053254955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0</v>
      </c>
      <c r="Z18" s="11" t="n">
        <f aca="false">(Operations!Z79-Z16-Z15)*Z17-Z12</f>
        <v>1.19363760919268</v>
      </c>
      <c r="AA18" s="11" t="n">
        <f aca="false">(Operations!AA79-AA16-AA15)*AA17-AA12</f>
        <v>4.90684395355441</v>
      </c>
      <c r="AB18" s="11" t="n">
        <f aca="false">(Operations!AB79-AB16-AB15)*AB17-AB12</f>
        <v>5.47383137841685</v>
      </c>
      <c r="AC18" s="11" t="n">
        <f aca="false">(Operations!AC79-AC16-AC15)*AC17-AC12</f>
        <v>6.68707514617911</v>
      </c>
      <c r="AD18" s="11" t="n">
        <f aca="false">(Operations!AD79-AD16-AD15)*AD17-AD12</f>
        <v>7.54669844211078</v>
      </c>
      <c r="AE18" s="11" t="n">
        <f aca="false">(Operations!AE79-AE16-AE15)*AE17-AE12</f>
        <v>-3.7884621090458</v>
      </c>
      <c r="AF18" s="11" t="n">
        <f aca="false">(Operations!AF79-AF16-AF15)*AF17-AF12</f>
        <v>9.91579519505391</v>
      </c>
      <c r="AG18" s="11" t="n">
        <f aca="false">(Operations!AG79-AG16-AG15)*AG17-AG12</f>
        <v>11.0577172688452</v>
      </c>
      <c r="AH18" s="11" t="n">
        <f aca="false">(Operations!AH79-AH16-AH15)*AH17-AH12</f>
        <v>12.1112574892161</v>
      </c>
      <c r="AI18" s="11" t="n">
        <f aca="false">(Operations!AI79-AI16-AI15)*AI17-AI12</f>
        <v>13.8287465679598</v>
      </c>
      <c r="AJ18" s="11" t="n">
        <f aca="false">(Operations!AJ79-AJ16-AJ15)*AJ17-AJ12</f>
        <v>15.0085084966867</v>
      </c>
      <c r="AK18" s="11" t="n">
        <f aca="false">(Operations!AK79-AK16-AK15)*AK17-AK12</f>
        <v>16.681767198061</v>
      </c>
      <c r="AL18" s="11" t="n">
        <f aca="false">(Operations!AL79-AL16-AL15)*AL17-AL12</f>
        <v>18.2034959330813</v>
      </c>
      <c r="AM18" s="11" t="n">
        <f aca="false">(Operations!AM79-AM16-AM15)*AM17-AM12</f>
        <v>17.2238380518919</v>
      </c>
      <c r="AN18" s="11" t="n">
        <f aca="false">(Operations!AN79-AN16-AN15)*AN17-AN12</f>
        <v>21.7924721602358</v>
      </c>
      <c r="AO18" s="11" t="n">
        <f aca="false">(Operations!AO79-AO16-AO15)*AO17-AO12</f>
        <v>23.5862046266822</v>
      </c>
      <c r="AP18" s="11" t="n">
        <f aca="false">(Operations!AP79-AP16-AP15)*AP17-AP12</f>
        <v>26.1449561066503</v>
      </c>
      <c r="AQ18" s="11" t="n">
        <f aca="false">(Operations!AQ79-AQ16-AQ15)*AQ17-AQ12</f>
        <v>28.5330540201711</v>
      </c>
      <c r="AR18" s="11" t="n">
        <f aca="false">(Operations!AR79-AR16-AR15)*AR17-AR12</f>
        <v>30.8026551738055</v>
      </c>
      <c r="AS18" s="11" t="n">
        <f aca="false">(Operations!AS79-AS16-AS15)*AS17-AS12</f>
        <v>32.8471450617921</v>
      </c>
      <c r="AT18" s="11" t="n">
        <f aca="false">(Operations!AT79-AT16-AT15)*AT17-AT12</f>
        <v>33.5145529236479</v>
      </c>
      <c r="AU18" s="11" t="n">
        <f aca="false">(Operations!AU79-AU16-AU15)*AU17-AU12</f>
        <v>18.6311830820217</v>
      </c>
      <c r="AV18" s="11" t="n">
        <f aca="false">(Operations!AV79-AV16-AV15)*AV17-AV12</f>
        <v>33.9260673294663</v>
      </c>
      <c r="AW18" s="11" t="n">
        <f aca="false">(Operations!AW79-AW16-AW15)*AW17-AW12</f>
        <v>33.8216638215293</v>
      </c>
      <c r="AX18" s="11" t="n">
        <f aca="false">(Operations!AX79-AX16-AX15)*AX17-AX12</f>
        <v>33.9913617328417</v>
      </c>
      <c r="AY18" s="11" t="n">
        <f aca="false">(Operations!AY79-AY16-AY15)*AY17-AY12</f>
        <v>34.1827657738101</v>
      </c>
      <c r="AZ18" s="11" t="n">
        <f aca="false">(Operations!AZ79-AZ16-AZ15)*AZ17-AZ12</f>
        <v>34.3110869419898</v>
      </c>
      <c r="BA18" s="11" t="n">
        <f aca="false">(Operations!BA79-BA16-BA15)*BA17-BA12</f>
        <v>34.4134437802673</v>
      </c>
      <c r="BB18" s="11" t="n">
        <f aca="false">(Operations!BB79-BB16-BB15)*BB17-BB12</f>
        <v>34.651120702875</v>
      </c>
      <c r="BC18" s="11" t="n">
        <f aca="false">(Operations!BC79-BC16-BC15)*BC17-BC12</f>
        <v>31.3971209979017</v>
      </c>
      <c r="BD18" s="11" t="n">
        <f aca="false">(Operations!BD79-BD16-BD15)*BD17-BD12</f>
        <v>41.7672175450975</v>
      </c>
      <c r="BE18" s="11" t="n">
        <f aca="false">(Operations!BE79-BE16-BE15)*BE17-BE12</f>
        <v>55.1877214549539</v>
      </c>
      <c r="BF18" s="11" t="n">
        <f aca="false">(Operations!BF79-BF16-BF15)*BF17-BF12</f>
        <v>55.3729643108694</v>
      </c>
      <c r="BG18" s="11" t="n">
        <f aca="false">(Operations!BG79-BG16-BG15)*BG17-BG12</f>
        <v>55.5806018884078</v>
      </c>
      <c r="BH18" s="11" t="n">
        <f aca="false">(Operations!BH79-BH16-BH15)*BH17-BH12</f>
        <v>55.7198011908242</v>
      </c>
      <c r="BI18" s="11" t="n">
        <f aca="false">(Operations!BI79-BI16-BI15)*BI17-BI12</f>
        <v>55.8284412736374</v>
      </c>
      <c r="BJ18" s="11" t="n">
        <f aca="false">(Operations!BJ79-BJ16-BJ15)*BJ17-BJ12</f>
        <v>56.1444088242133</v>
      </c>
      <c r="BK18" s="11" t="n">
        <f aca="false">(Operations!BK79-BK16-BK15)*BK17-BK12</f>
        <v>38.5479644968282</v>
      </c>
      <c r="BL18" s="11" t="n">
        <f aca="false">(Operations!BL79-BL16-BL15)*BL17-BL12</f>
        <v>56.6345664038139</v>
      </c>
      <c r="BM18" s="11" t="n">
        <f aca="false">(Operations!BM79-BM16-BM15)*BM17-BM12</f>
        <v>56.4951487224042</v>
      </c>
      <c r="BN18" s="11" t="n">
        <f aca="false">(Operations!BN79-BN16-BN15)*BN17-BN12</f>
        <v>18.5040915816047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3.7884621090458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0</v>
      </c>
      <c r="AF19" s="11" t="n">
        <f aca="false">MIN(AE22,MAX(0,AF18))</f>
        <v>3.7884621090458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236.643496162813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0</v>
      </c>
      <c r="Z20" s="11" t="n">
        <f aca="false">MIN(Y21,MAX(0,Z18-Z19))</f>
        <v>1.19363760919268</v>
      </c>
      <c r="AA20" s="11" t="n">
        <f aca="false">MIN(Z21,MAX(0,AA18-AA19))</f>
        <v>4.90684395355441</v>
      </c>
      <c r="AB20" s="11" t="n">
        <f aca="false">MIN(AA21,MAX(0,AB18-AB19))</f>
        <v>5.47383137841685</v>
      </c>
      <c r="AC20" s="11" t="n">
        <f aca="false">MIN(AB21,MAX(0,AC18-AC19))</f>
        <v>6.68707514617911</v>
      </c>
      <c r="AD20" s="11" t="n">
        <f aca="false">MIN(AC21,MAX(0,AD18-AD19))</f>
        <v>7.54669844211078</v>
      </c>
      <c r="AE20" s="11" t="n">
        <f aca="false">MIN(AD21,MAX(0,AE18-AE19))</f>
        <v>0</v>
      </c>
      <c r="AF20" s="11" t="n">
        <f aca="false">MIN(AE21,MAX(0,AF18-AF19))</f>
        <v>6.12733308600811</v>
      </c>
      <c r="AG20" s="11" t="n">
        <f aca="false">MIN(AF21,MAX(0,AG18-AG19))</f>
        <v>11.0577172688452</v>
      </c>
      <c r="AH20" s="11" t="n">
        <f aca="false">MIN(AG21,MAX(0,AH18-AH19))</f>
        <v>12.1112574892161</v>
      </c>
      <c r="AI20" s="11" t="n">
        <f aca="false">MIN(AH21,MAX(0,AI18-AI19))</f>
        <v>13.8287465679598</v>
      </c>
      <c r="AJ20" s="11" t="n">
        <f aca="false">MIN(AI21,MAX(0,AJ18-AJ19))</f>
        <v>15.0085084966867</v>
      </c>
      <c r="AK20" s="11" t="n">
        <f aca="false">MIN(AJ21,MAX(0,AK18-AK19))</f>
        <v>16.681767198061</v>
      </c>
      <c r="AL20" s="11" t="n">
        <f aca="false">MIN(AK21,MAX(0,AL18-AL19))</f>
        <v>18.2034959330813</v>
      </c>
      <c r="AM20" s="11" t="n">
        <f aca="false">MIN(AL21,MAX(0,AM18-AM19))</f>
        <v>17.2238380518919</v>
      </c>
      <c r="AN20" s="11" t="n">
        <f aca="false">MIN(AM21,MAX(0,AN18-AN19))</f>
        <v>21.7924721602358</v>
      </c>
      <c r="AO20" s="11" t="n">
        <f aca="false">MIN(AN21,MAX(0,AO18-AO19))</f>
        <v>23.5862046266822</v>
      </c>
      <c r="AP20" s="11" t="n">
        <f aca="false">MIN(AO21,MAX(0,AP18-AP19))</f>
        <v>26.1449561066503</v>
      </c>
      <c r="AQ20" s="11" t="n">
        <f aca="false">MIN(AP21,MAX(0,AQ18-AQ19))</f>
        <v>28.5330540201711</v>
      </c>
      <c r="AR20" s="11" t="n">
        <f aca="false">MIN(AQ21,MAX(0,AR18-AR19))</f>
        <v>0.536058627869686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0</v>
      </c>
      <c r="P21" s="11" t="n">
        <f aca="false">O21+P11-P20</f>
        <v>7.88811653876043</v>
      </c>
      <c r="Q21" s="11" t="n">
        <f aca="false">P21+Q11-Q20</f>
        <v>31.5524661550417</v>
      </c>
      <c r="R21" s="11" t="n">
        <f aca="false">Q21+R11-R20</f>
        <v>55.216815771323</v>
      </c>
      <c r="S21" s="11" t="n">
        <f aca="false">R21+S11-S20</f>
        <v>78.8811653876043</v>
      </c>
      <c r="T21" s="11" t="n">
        <f aca="false">S21+T11-T20</f>
        <v>102.545515003886</v>
      </c>
      <c r="U21" s="11" t="n">
        <f aca="false">T21+U11-U20</f>
        <v>126.209864620167</v>
      </c>
      <c r="V21" s="11" t="n">
        <f aca="false">U21+V11-V20</f>
        <v>149.874214236448</v>
      </c>
      <c r="W21" s="11" t="n">
        <f aca="false">V21+W11-W20</f>
        <v>173.53856385273</v>
      </c>
      <c r="X21" s="11" t="n">
        <f aca="false">W21+X11-X20</f>
        <v>197.202913469011</v>
      </c>
      <c r="Y21" s="11" t="n">
        <f aca="false">X21+Y11-Y20</f>
        <v>220.867263085292</v>
      </c>
      <c r="Z21" s="11" t="n">
        <f aca="false">Y21+Z11-Z20</f>
        <v>235.44985855362</v>
      </c>
      <c r="AA21" s="11" t="n">
        <f aca="false">Z21+AA11-AA20</f>
        <v>230.543014600066</v>
      </c>
      <c r="AB21" s="11" t="n">
        <f aca="false">AA21+AB11-AB20</f>
        <v>225.069183221649</v>
      </c>
      <c r="AC21" s="11" t="n">
        <f aca="false">AB21+AC11-AC20</f>
        <v>218.38210807547</v>
      </c>
      <c r="AD21" s="11" t="n">
        <f aca="false">AC21+AD11-AD20</f>
        <v>210.835409633359</v>
      </c>
      <c r="AE21" s="11" t="n">
        <f aca="false">AD21+AE11-AE20</f>
        <v>210.835409633359</v>
      </c>
      <c r="AF21" s="11" t="n">
        <f aca="false">AE21+AF11-AF20</f>
        <v>204.708076547351</v>
      </c>
      <c r="AG21" s="11" t="n">
        <f aca="false">AF21+AG11-AG20</f>
        <v>193.650359278506</v>
      </c>
      <c r="AH21" s="11" t="n">
        <f aca="false">AG21+AH11-AH20</f>
        <v>181.53910178929</v>
      </c>
      <c r="AI21" s="11" t="n">
        <f aca="false">AH21+AI11-AI20</f>
        <v>167.71035522133</v>
      </c>
      <c r="AJ21" s="11" t="n">
        <f aca="false">AI21+AJ11-AJ20</f>
        <v>152.701846724643</v>
      </c>
      <c r="AK21" s="11" t="n">
        <f aca="false">AJ21+AK11-AK20</f>
        <v>136.020079526582</v>
      </c>
      <c r="AL21" s="11" t="n">
        <f aca="false">AK21+AL11-AL20</f>
        <v>117.816583593501</v>
      </c>
      <c r="AM21" s="11" t="n">
        <f aca="false">AL21+AM11-AM20</f>
        <v>100.592745541609</v>
      </c>
      <c r="AN21" s="11" t="n">
        <f aca="false">AM21+AN11-AN20</f>
        <v>78.8002733813733</v>
      </c>
      <c r="AO21" s="11" t="n">
        <f aca="false">AN21+AO11-AO20</f>
        <v>55.2140687546911</v>
      </c>
      <c r="AP21" s="11" t="n">
        <f aca="false">AO21+AP11-AP20</f>
        <v>29.0691126480408</v>
      </c>
      <c r="AQ21" s="11" t="n">
        <f aca="false">AP21+AQ11-AQ20</f>
        <v>0.536058627869686</v>
      </c>
      <c r="AR21" s="11" t="n">
        <f aca="false">AQ21+AR11-AR20</f>
        <v>0</v>
      </c>
      <c r="AS21" s="11" t="n">
        <f aca="false">AR21+AS11-AS20</f>
        <v>0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0</v>
      </c>
      <c r="AE22" s="11" t="n">
        <f aca="false">AD22-AE19+MAX(0,-AE18)</f>
        <v>3.7884621090458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931.737036386733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0</v>
      </c>
      <c r="AN23" s="11" t="n">
        <f aca="false">MAX(0,AN18-AN19-AN20)</f>
        <v>0</v>
      </c>
      <c r="AO23" s="11" t="n">
        <f aca="false">MAX(0,AO18-AO19-AO20)</f>
        <v>0</v>
      </c>
      <c r="AP23" s="11" t="n">
        <f aca="false">MAX(0,AP18-AP19-AP20)</f>
        <v>0</v>
      </c>
      <c r="AQ23" s="11" t="n">
        <f aca="false">MAX(0,AQ18-AQ19-AQ20)</f>
        <v>0</v>
      </c>
      <c r="AR23" s="11" t="n">
        <f aca="false">MAX(0,AR18-AR19-AR20)</f>
        <v>30.2665965459358</v>
      </c>
      <c r="AS23" s="11" t="n">
        <f aca="false">MAX(0,AS18-AS19-AS20)</f>
        <v>32.8471450617921</v>
      </c>
      <c r="AT23" s="11" t="n">
        <f aca="false">MAX(0,AT18-AT19-AT20)</f>
        <v>33.5145529236479</v>
      </c>
      <c r="AU23" s="11" t="n">
        <f aca="false">MAX(0,AU18-AU19-AU20)</f>
        <v>18.6311830820217</v>
      </c>
      <c r="AV23" s="11" t="n">
        <f aca="false">MAX(0,AV18-AV19-AV20)</f>
        <v>33.9260673294663</v>
      </c>
      <c r="AW23" s="11" t="n">
        <f aca="false">MAX(0,AW18-AW19-AW20)</f>
        <v>33.8216638215293</v>
      </c>
      <c r="AX23" s="11" t="n">
        <f aca="false">MAX(0,AX18-AX19-AX20)</f>
        <v>33.9913617328417</v>
      </c>
      <c r="AY23" s="11" t="n">
        <f aca="false">MAX(0,AY18-AY19-AY20)</f>
        <v>34.1827657738101</v>
      </c>
      <c r="AZ23" s="11" t="n">
        <f aca="false">MAX(0,AZ18-AZ19-AZ20)</f>
        <v>34.3110869419898</v>
      </c>
      <c r="BA23" s="11" t="n">
        <f aca="false">MAX(0,BA18-BA19-BA20)</f>
        <v>34.4134437802673</v>
      </c>
      <c r="BB23" s="11" t="n">
        <f aca="false">MAX(0,BB18-BB19-BB20)</f>
        <v>34.651120702875</v>
      </c>
      <c r="BC23" s="11" t="n">
        <f aca="false">MAX(0,BC18-BC19-BC20)</f>
        <v>31.3971209979017</v>
      </c>
      <c r="BD23" s="11" t="n">
        <f aca="false">MAX(0,BD18-BD19-BD20)</f>
        <v>41.7672175450975</v>
      </c>
      <c r="BE23" s="11" t="n">
        <f aca="false">MAX(0,BE18-BE19-BE20)</f>
        <v>55.1877214549539</v>
      </c>
      <c r="BF23" s="11" t="n">
        <f aca="false">MAX(0,BF18-BF19-BF20)</f>
        <v>55.3729643108694</v>
      </c>
      <c r="BG23" s="11" t="n">
        <f aca="false">MAX(0,BG18-BG19-BG20)</f>
        <v>55.5806018884078</v>
      </c>
      <c r="BH23" s="11" t="n">
        <f aca="false">MAX(0,BH18-BH19-BH20)</f>
        <v>55.7198011908242</v>
      </c>
      <c r="BI23" s="11" t="n">
        <f aca="false">MAX(0,BI18-BI19-BI20)</f>
        <v>55.8284412736374</v>
      </c>
      <c r="BJ23" s="11" t="n">
        <f aca="false">MAX(0,BJ18-BJ19-BJ20)</f>
        <v>56.1444088242133</v>
      </c>
      <c r="BK23" s="11" t="n">
        <f aca="false">MAX(0,BK18-BK19-BK20)</f>
        <v>38.5479644968282</v>
      </c>
      <c r="BL23" s="11" t="n">
        <f aca="false">MAX(0,BL18-BL19-BL20)</f>
        <v>56.6345664038139</v>
      </c>
      <c r="BM23" s="11" t="n">
        <f aca="false">MAX(0,BM18-BM19-BM20)</f>
        <v>56.4951487224042</v>
      </c>
      <c r="BN23" s="11" t="n">
        <f aca="false">MAX(0,BN18-BN19-BN20)</f>
        <v>18.5040915816047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0.15</v>
      </c>
      <c r="AF24" s="6" t="n">
        <f aca="false">IF(AF8+AF9&gt;0,(AF8*Inputs!$F$172+AF9*Inputs!$F$171)/(AF8+AF9)/100,0)</f>
        <v>0.2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0.3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279.52111091602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</v>
      </c>
      <c r="AN25" s="11" t="n">
        <f aca="false">AN23*AN24</f>
        <v>0</v>
      </c>
      <c r="AO25" s="11" t="n">
        <f aca="false">AO23*AO24</f>
        <v>0</v>
      </c>
      <c r="AP25" s="11" t="n">
        <f aca="false">AP23*AP24</f>
        <v>0</v>
      </c>
      <c r="AQ25" s="11" t="n">
        <f aca="false">AQ23*AQ24</f>
        <v>0</v>
      </c>
      <c r="AR25" s="11" t="n">
        <f aca="false">AR23*AR24</f>
        <v>9.07997896378074</v>
      </c>
      <c r="AS25" s="11" t="n">
        <f aca="false">AS23*AS24</f>
        <v>9.85414351853764</v>
      </c>
      <c r="AT25" s="11" t="n">
        <f aca="false">AT23*AT24</f>
        <v>10.0543658770944</v>
      </c>
      <c r="AU25" s="11" t="n">
        <f aca="false">AU23*AU24</f>
        <v>5.58935492460651</v>
      </c>
      <c r="AV25" s="11" t="n">
        <f aca="false">AV23*AV24</f>
        <v>10.1778201988399</v>
      </c>
      <c r="AW25" s="11" t="n">
        <f aca="false">AW23*AW24</f>
        <v>10.1464991464588</v>
      </c>
      <c r="AX25" s="11" t="n">
        <f aca="false">AX23*AX24</f>
        <v>10.1974085198525</v>
      </c>
      <c r="AY25" s="11" t="n">
        <f aca="false">AY23*AY24</f>
        <v>10.254829732143</v>
      </c>
      <c r="AZ25" s="11" t="n">
        <f aca="false">AZ23*AZ24</f>
        <v>10.2933260825969</v>
      </c>
      <c r="BA25" s="11" t="n">
        <f aca="false">BA23*BA24</f>
        <v>10.3240331340802</v>
      </c>
      <c r="BB25" s="11" t="n">
        <f aca="false">BB23*BB24</f>
        <v>10.3953362108625</v>
      </c>
      <c r="BC25" s="11" t="n">
        <f aca="false">BC23*BC24</f>
        <v>9.4191362993705</v>
      </c>
      <c r="BD25" s="11" t="n">
        <f aca="false">BD23*BD24</f>
        <v>12.5301652635293</v>
      </c>
      <c r="BE25" s="11" t="n">
        <f aca="false">BE23*BE24</f>
        <v>16.5563164364862</v>
      </c>
      <c r="BF25" s="11" t="n">
        <f aca="false">BF23*BF24</f>
        <v>16.6118892932608</v>
      </c>
      <c r="BG25" s="11" t="n">
        <f aca="false">BG23*BG24</f>
        <v>16.6741805665223</v>
      </c>
      <c r="BH25" s="11" t="n">
        <f aca="false">BH23*BH24</f>
        <v>16.7159403572473</v>
      </c>
      <c r="BI25" s="11" t="n">
        <f aca="false">BI23*BI24</f>
        <v>16.7485323820912</v>
      </c>
      <c r="BJ25" s="11" t="n">
        <f aca="false">BJ23*BJ24</f>
        <v>16.843322647264</v>
      </c>
      <c r="BK25" s="11" t="n">
        <f aca="false">BK23*BK24</f>
        <v>11.5643893490485</v>
      </c>
      <c r="BL25" s="11" t="n">
        <f aca="false">BL23*BL24</f>
        <v>16.9903699211442</v>
      </c>
      <c r="BM25" s="11" t="n">
        <f aca="false">BM23*BM24</f>
        <v>16.9485446167213</v>
      </c>
      <c r="BN25" s="11" t="n">
        <f aca="false">BN23*BN24</f>
        <v>5.55122747448142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15.7219188964976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</v>
      </c>
      <c r="Z26" s="11" t="n">
        <f aca="false">IF(Time!Z25&gt;0,Inputs!$F$173/100*Operations!Z50*(Z8+Z9)/Time!Z25,0)</f>
        <v>0.118597771671728</v>
      </c>
      <c r="AA26" s="11" t="n">
        <f aca="false">IF(Time!AA25&gt;0,Inputs!$F$173/100*Operations!AA50*(AA8+AA9)/Time!AA25,0)</f>
        <v>0.357162155194092</v>
      </c>
      <c r="AB26" s="11" t="n">
        <f aca="false">IF(Time!AB25&gt;0,Inputs!$F$173/100*Operations!AB50*(AB8+AB9)/Time!AB25,0)</f>
        <v>0.358956600187885</v>
      </c>
      <c r="AC26" s="11" t="n">
        <f aca="false">IF(Time!AC25&gt;0,Inputs!$F$173/100*Operations!AC50*(AC8+AC9)/Time!AC25,0)</f>
        <v>0.360910873094833</v>
      </c>
      <c r="AD26" s="11" t="n">
        <f aca="false">IF(Time!AD25&gt;0,Inputs!$F$173/100*Operations!AD50*(AD8+AD9)/Time!AD25,0)</f>
        <v>0.361810322371713</v>
      </c>
      <c r="AE26" s="11" t="n">
        <f aca="false">IF(Time!AE25&gt;0,Inputs!$F$173/100*Operations!AE50*(AE8+AE9)/Time!AE25,0)</f>
        <v>0.357285847425819</v>
      </c>
      <c r="AF26" s="11" t="n">
        <f aca="false">IF(Time!AF25&gt;0,Inputs!$F$173/100*Operations!AF50*(AF8+AF9)/Time!AF25,0)</f>
        <v>0.364428527304582</v>
      </c>
      <c r="AG26" s="11" t="n">
        <f aca="false">IF(Time!AG25&gt;0,Inputs!$F$173/100*Operations!AG50*(AG8+AG9)/Time!AG25,0)</f>
        <v>0.367807136828651</v>
      </c>
      <c r="AH26" s="11" t="n">
        <f aca="false">IF(Time!AH25&gt;0,Inputs!$F$173/100*Operations!AH50*(AH8+AH9)/Time!AH25,0)</f>
        <v>0.369431194794716</v>
      </c>
      <c r="AI26" s="11" t="n">
        <f aca="false">IF(Time!AI25&gt;0,Inputs!$F$173/100*Operations!AI50*(AI8+AI9)/Time!AI25,0)</f>
        <v>0.370923290384181</v>
      </c>
      <c r="AJ26" s="11" t="n">
        <f aca="false">IF(Time!AJ25&gt;0,Inputs!$F$173/100*Operations!AJ50*(AJ8+AJ9)/Time!AJ25,0)</f>
        <v>0.372876973170103</v>
      </c>
      <c r="AK26" s="11" t="n">
        <f aca="false">IF(Time!AK25&gt;0,Inputs!$F$173/100*Operations!AK50*(AK8+AK9)/Time!AK25,0)</f>
        <v>0.375004046052006</v>
      </c>
      <c r="AL26" s="11" t="n">
        <f aca="false">IF(Time!AL25&gt;0,Inputs!$F$173/100*Operations!AL50*(AL8+AL9)/Time!AL25,0)</f>
        <v>0.376309434569326</v>
      </c>
      <c r="AM26" s="11" t="n">
        <f aca="false">IF(Time!AM25&gt;0,Inputs!$F$173/100*Operations!AM50*(AM8+AM9)/Time!AM25,0)</f>
        <v>0.377075756434062</v>
      </c>
      <c r="AN26" s="11" t="n">
        <f aca="false">IF(Time!AN25&gt;0,Inputs!$F$173/100*Operations!AN50*(AN8+AN9)/Time!AN25,0)</f>
        <v>0.379500039032261</v>
      </c>
      <c r="AO26" s="11" t="n">
        <f aca="false">IF(Time!AO25&gt;0,Inputs!$F$173/100*Operations!AO50*(AO8+AO9)/Time!AO25,0)</f>
        <v>0.382514702085066</v>
      </c>
      <c r="AP26" s="11" t="n">
        <f aca="false">IF(Time!AP25&gt;0,Inputs!$F$173/100*Operations!AP50*(AP8+AP9)/Time!AP25,0)</f>
        <v>0.384284146534225</v>
      </c>
      <c r="AQ26" s="11" t="n">
        <f aca="false">IF(Time!AQ25&gt;0,Inputs!$F$173/100*Operations!AQ50*(AQ8+AQ9)/Time!AQ25,0)</f>
        <v>0.385910594788791</v>
      </c>
      <c r="AR26" s="11" t="n">
        <f aca="false">IF(Time!AR25&gt;0,Inputs!$F$173/100*Operations!AR50*(AR8+AR9)/Time!AR25,0)</f>
        <v>0.388037637272362</v>
      </c>
      <c r="AS26" s="11" t="n">
        <f aca="false">IF(Time!AS25&gt;0,Inputs!$F$173/100*Operations!AS50*(AS8+AS9)/Time!AS25,0)</f>
        <v>0.390352776921065</v>
      </c>
      <c r="AT26" s="11" t="n">
        <f aca="false">IF(Time!AT25&gt;0,Inputs!$F$173/100*Operations!AT50*(AT8+AT9)/Time!AT25,0)</f>
        <v>0.391427904793904</v>
      </c>
      <c r="AU26" s="11" t="n">
        <f aca="false">IF(Time!AU25&gt;0,Inputs!$F$173/100*Operations!AU50*(AU8+AU9)/Time!AU25,0)</f>
        <v>0.38661649296821</v>
      </c>
      <c r="AV26" s="11" t="n">
        <f aca="false">IF(Time!AV25&gt;0,Inputs!$F$173/100*Operations!AV50*(AV8+AV9)/Time!AV25,0)</f>
        <v>0.394542046299487</v>
      </c>
      <c r="AW26" s="11" t="n">
        <f aca="false">IF(Time!AW25&gt;0,Inputs!$F$173/100*Operations!AW50*(AW8+AW9)/Time!AW25,0)</f>
        <v>0.398532538072703</v>
      </c>
      <c r="AX26" s="11" t="n">
        <f aca="false">IF(Time!AX25&gt;0,Inputs!$F$173/100*Operations!AX50*(AX8+AX9)/Time!AX25,0)</f>
        <v>0.400460380771801</v>
      </c>
      <c r="AY26" s="11" t="n">
        <f aca="false">IF(Time!AY25&gt;0,Inputs!$F$173/100*Operations!AY50*(AY8+AY9)/Time!AY25,0)</f>
        <v>0.402233277980589</v>
      </c>
      <c r="AZ26" s="11" t="n">
        <f aca="false">IF(Time!AZ25&gt;0,Inputs!$F$173/100*Operations!AZ50*(AZ8+AZ9)/Time!AZ25,0)</f>
        <v>0.404549053644741</v>
      </c>
      <c r="BA26" s="11" t="n">
        <f aca="false">IF(Time!BA25&gt;0,Inputs!$F$173/100*Operations!BA50*(BA8+BA9)/Time!BA25,0)</f>
        <v>0.407068874499829</v>
      </c>
      <c r="BB26" s="11" t="n">
        <f aca="false">IF(Time!BB25&gt;0,Inputs!$F$173/100*Operations!BB50*(BB8+BB9)/Time!BB25,0)</f>
        <v>0.408622883019584</v>
      </c>
      <c r="BC26" s="11" t="n">
        <f aca="false">IF(Time!BC25&gt;0,Inputs!$F$173/100*Operations!BC50*(BC8+BC9)/Time!BC25,0)</f>
        <v>0.409543364355078</v>
      </c>
      <c r="BD26" s="11" t="n">
        <f aca="false">IF(Time!BD25&gt;0,Inputs!$F$173/100*Operations!BD50*(BD8+BD9)/Time!BD25,0)</f>
        <v>0.412413215392352</v>
      </c>
      <c r="BE26" s="11" t="n">
        <f aca="false">IF(Time!BE25&gt;0,Inputs!$F$173/100*Operations!BE50*(BE8+BE9)/Time!BE25,0)</f>
        <v>0.415977323665417</v>
      </c>
      <c r="BF26" s="11" t="n">
        <f aca="false">IF(Time!BF25&gt;0,Inputs!$F$173/100*Operations!BF50*(BF8+BF9)/Time!BF25,0)</f>
        <v>0.418077740600214</v>
      </c>
      <c r="BG26" s="11" t="n">
        <f aca="false">IF(Time!BG25&gt;0,Inputs!$F$173/100*Operations!BG50*(BG8+BG9)/Time!BG25,0)</f>
        <v>0.420010272015969</v>
      </c>
      <c r="BH26" s="11" t="n">
        <f aca="false">IF(Time!BH25&gt;0,Inputs!$F$173/100*Operations!BH50*(BH8+BH9)/Time!BH25,0)</f>
        <v>0.422531516768161</v>
      </c>
      <c r="BI26" s="11" t="n">
        <f aca="false">IF(Time!BI25&gt;0,Inputs!$F$173/100*Operations!BI50*(BI8+BI9)/Time!BI25,0)</f>
        <v>0.425274099768932</v>
      </c>
      <c r="BJ26" s="11" t="n">
        <f aca="false">IF(Time!BJ25&gt;0,Inputs!$F$173/100*Operations!BJ50*(BJ8+BJ9)/Time!BJ25,0)</f>
        <v>0.426559195539071</v>
      </c>
      <c r="BK26" s="11" t="n">
        <f aca="false">IF(Time!BK25&gt;0,Inputs!$F$173/100*Operations!BK50*(BK8+BK9)/Time!BK25,0)</f>
        <v>0.421409408021346</v>
      </c>
      <c r="BL26" s="11" t="n">
        <f aca="false">IF(Time!BL25&gt;0,Inputs!$F$173/100*Operations!BL50*(BL8+BL9)/Time!BL25,0)</f>
        <v>0.430263211743351</v>
      </c>
      <c r="BM26" s="11" t="n">
        <f aca="false">IF(Time!BM25&gt;0,Inputs!$F$173/100*Operations!BM50*(BM8+BM9)/Time!BM25,0)</f>
        <v>0.434976123208277</v>
      </c>
      <c r="BN26" s="11" t="n">
        <f aca="false">IF(Time!BN25&gt;0,Inputs!$F$173/100*Operations!BN50*(BN8+BN9)/Time!BN25,0)</f>
        <v>0.291650147251098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285.941900327944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</v>
      </c>
      <c r="Z27" s="11" t="n">
        <f aca="false">MAX(Z25,Z26)</f>
        <v>0.118597771671728</v>
      </c>
      <c r="AA27" s="11" t="n">
        <f aca="false">MAX(AA25,AA26)</f>
        <v>0.357162155194092</v>
      </c>
      <c r="AB27" s="11" t="n">
        <f aca="false">MAX(AB25,AB26)</f>
        <v>0.358956600187885</v>
      </c>
      <c r="AC27" s="11" t="n">
        <f aca="false">MAX(AC25,AC26)</f>
        <v>0.360910873094833</v>
      </c>
      <c r="AD27" s="11" t="n">
        <f aca="false">MAX(AD25,AD26)</f>
        <v>0.361810322371713</v>
      </c>
      <c r="AE27" s="11" t="n">
        <f aca="false">MAX(AE25,AE26)</f>
        <v>0.357285847425819</v>
      </c>
      <c r="AF27" s="11" t="n">
        <f aca="false">MAX(AF25,AF26)</f>
        <v>0.364428527304582</v>
      </c>
      <c r="AG27" s="11" t="n">
        <f aca="false">MAX(AG25,AG26)</f>
        <v>0.367807136828651</v>
      </c>
      <c r="AH27" s="11" t="n">
        <f aca="false">MAX(AH25,AH26)</f>
        <v>0.369431194794716</v>
      </c>
      <c r="AI27" s="11" t="n">
        <f aca="false">MAX(AI25,AI26)</f>
        <v>0.370923290384181</v>
      </c>
      <c r="AJ27" s="11" t="n">
        <f aca="false">MAX(AJ25,AJ26)</f>
        <v>0.372876973170103</v>
      </c>
      <c r="AK27" s="11" t="n">
        <f aca="false">MAX(AK25,AK26)</f>
        <v>0.375004046052006</v>
      </c>
      <c r="AL27" s="11" t="n">
        <f aca="false">MAX(AL25,AL26)</f>
        <v>0.376309434569326</v>
      </c>
      <c r="AM27" s="11" t="n">
        <f aca="false">MAX(AM25,AM26)</f>
        <v>0.377075756434062</v>
      </c>
      <c r="AN27" s="11" t="n">
        <f aca="false">MAX(AN25,AN26)</f>
        <v>0.379500039032261</v>
      </c>
      <c r="AO27" s="11" t="n">
        <f aca="false">MAX(AO25,AO26)</f>
        <v>0.382514702085066</v>
      </c>
      <c r="AP27" s="11" t="n">
        <f aca="false">MAX(AP25,AP26)</f>
        <v>0.384284146534225</v>
      </c>
      <c r="AQ27" s="11" t="n">
        <f aca="false">MAX(AQ25,AQ26)</f>
        <v>0.385910594788791</v>
      </c>
      <c r="AR27" s="11" t="n">
        <f aca="false">MAX(AR25,AR26)</f>
        <v>9.07997896378074</v>
      </c>
      <c r="AS27" s="11" t="n">
        <f aca="false">MAX(AS25,AS26)</f>
        <v>9.85414351853764</v>
      </c>
      <c r="AT27" s="11" t="n">
        <f aca="false">MAX(AT25,AT26)</f>
        <v>10.0543658770944</v>
      </c>
      <c r="AU27" s="11" t="n">
        <f aca="false">MAX(AU25,AU26)</f>
        <v>5.58935492460651</v>
      </c>
      <c r="AV27" s="11" t="n">
        <f aca="false">MAX(AV25,AV26)</f>
        <v>10.1778201988399</v>
      </c>
      <c r="AW27" s="11" t="n">
        <f aca="false">MAX(AW25,AW26)</f>
        <v>10.1464991464588</v>
      </c>
      <c r="AX27" s="11" t="n">
        <f aca="false">MAX(AX25,AX26)</f>
        <v>10.1974085198525</v>
      </c>
      <c r="AY27" s="11" t="n">
        <f aca="false">MAX(AY25,AY26)</f>
        <v>10.254829732143</v>
      </c>
      <c r="AZ27" s="11" t="n">
        <f aca="false">MAX(AZ25,AZ26)</f>
        <v>10.2933260825969</v>
      </c>
      <c r="BA27" s="11" t="n">
        <f aca="false">MAX(BA25,BA26)</f>
        <v>10.3240331340802</v>
      </c>
      <c r="BB27" s="11" t="n">
        <f aca="false">MAX(BB25,BB26)</f>
        <v>10.3953362108625</v>
      </c>
      <c r="BC27" s="11" t="n">
        <f aca="false">MAX(BC25,BC26)</f>
        <v>9.4191362993705</v>
      </c>
      <c r="BD27" s="11" t="n">
        <f aca="false">MAX(BD25,BD26)</f>
        <v>12.5301652635293</v>
      </c>
      <c r="BE27" s="11" t="n">
        <f aca="false">MAX(BE25,BE26)</f>
        <v>16.5563164364862</v>
      </c>
      <c r="BF27" s="11" t="n">
        <f aca="false">MAX(BF25,BF26)</f>
        <v>16.6118892932608</v>
      </c>
      <c r="BG27" s="11" t="n">
        <f aca="false">MAX(BG25,BG26)</f>
        <v>16.6741805665223</v>
      </c>
      <c r="BH27" s="11" t="n">
        <f aca="false">MAX(BH25,BH26)</f>
        <v>16.7159403572473</v>
      </c>
      <c r="BI27" s="11" t="n">
        <f aca="false">MAX(BI25,BI26)</f>
        <v>16.7485323820912</v>
      </c>
      <c r="BJ27" s="11" t="n">
        <f aca="false">MAX(BJ25,BJ26)</f>
        <v>16.843322647264</v>
      </c>
      <c r="BK27" s="11" t="n">
        <f aca="false">MAX(BK25,BK26)</f>
        <v>11.5643893490485</v>
      </c>
      <c r="BL27" s="11" t="n">
        <f aca="false">MAX(BL25,BL26)</f>
        <v>16.9903699211442</v>
      </c>
      <c r="BM27" s="11" t="n">
        <f aca="false">MAX(BM25,BM26)</f>
        <v>16.9485446167213</v>
      </c>
      <c r="BN27" s="11" t="n">
        <f aca="false">MAX(BN25,BN26)</f>
        <v>5.55122747448142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6.35856805275685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0</v>
      </c>
      <c r="P28" s="11" t="n">
        <f aca="false">P13-P15</f>
        <v>1.25948379879329</v>
      </c>
      <c r="Q28" s="11" t="n">
        <f aca="false">Q13-Q15</f>
        <v>2.57443321388467</v>
      </c>
      <c r="R28" s="11" t="n">
        <f aca="false">R13-R15</f>
        <v>1.72168259682694</v>
      </c>
      <c r="S28" s="11" t="n">
        <f aca="false">S13-S15</f>
        <v>0.802968443251936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0.740572531284416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0.975894364106692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0.026134911139682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0.0485588000285709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0.0601226889174598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0.0588657444730153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0.0715454633128597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0.0652376148433857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-0.445478114360217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0.00566165351767292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0.00511375156434974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0.00566165351767292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0.00547901953323186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0.00566165351767292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0.00547901953323186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0.00579627388804329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0.00579627388804329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0.00560929731100964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0.00579627388804329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0.00560929731100964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0.00579627388804329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0.00586807141890749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0.00548948616607475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0.00586807141890749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0.00567877879249112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0.00586807141890749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0.00567877879249112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0.00590397018433959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0.00590397018433959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0.00571351953323186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0.00590397018433959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0.00571351953323186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0.00590397018433959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0.00593089425841366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0.00535693674953492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0.00593089425841366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0.00573957508878742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0.00593089425841366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0.00573957508878742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0.00593089425841366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0.00593089425841366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0.00573957508878742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0.00593089425841366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0.00573957508878742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0.00593089425841366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0.00594884364112971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0.00537314909521394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0.00594884364112971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0.00575694545915779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0.00594884364112971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0.00575694545915779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0.00594884364112971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0.00594884364112971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0.00575694545915779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0.00594884364112971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0.00575694545915779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0.00594884364112971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108.156616666667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1.49688076921121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2.12745836282294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3.43432015662568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5.32094715105007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7.66638864364994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10.3940085395791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13.312589450703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16.3511655703919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19.3591236850786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22.2359115770793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24.8744228506793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27.2287897621722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29.2132302859515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30.7343168736937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31.7970480116135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32.3157442712718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33.4452203983301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31.8148883978607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30.7327793818237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29.2279071492451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27.2364026257248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24.9111525239396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22.2102289558029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19.3229939341148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16.3384123477266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13.2722496145638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10.3665723680561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7.61583185466907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5.23429678561636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3.44434431644154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2.02689443260237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1.42258955355705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1.30637999719264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1.33823434069202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1.39529295162897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1.39191765405411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1.3885059730702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49.6256348742888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-0.388059208958852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0.0580151010218565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82.0763212966303</v>
      </c>
      <c r="K22" s="11" t="n">
        <f aca="false">J22+Construction!K14*$F$9/$F$10*(K21+(K19-K20)*J22)</f>
        <v>83.486577034267</v>
      </c>
      <c r="L22" s="11" t="n">
        <f aca="false">K22+Construction!L14*$F$9/$F$10*(L21+(L19-L20)*K22)</f>
        <v>85.3893711159045</v>
      </c>
      <c r="M22" s="11" t="n">
        <f aca="false">L22+Construction!M14*$F$9/$F$10*(M21+(M19-M20)*L22)</f>
        <v>88.2809559407349</v>
      </c>
      <c r="N22" s="11" t="n">
        <f aca="false">M22+Construction!N14*$F$9/$F$10*(N21+(N19-N20)*M22)</f>
        <v>92.6237368297944</v>
      </c>
      <c r="O22" s="11" t="n">
        <f aca="false">N22+Construction!O14*$F$9/$F$10*(O21+(O19-O20)*N22)</f>
        <v>98.7784232116479</v>
      </c>
      <c r="P22" s="11" t="n">
        <f aca="false">O22+Construction!P14*$F$9/$F$10*(P21+(P19-P20)*O22)</f>
        <v>106.990621844458</v>
      </c>
      <c r="Q22" s="11" t="n">
        <f aca="false">P22+Construction!Q14*$F$9/$F$10*(Q21+(Q19-Q20)*P22)</f>
        <v>117.482276119788</v>
      </c>
      <c r="R22" s="11" t="n">
        <f aca="false">Q22+Construction!R14*$F$9/$F$10*(R21+(R19-R20)*Q22)</f>
        <v>130.304179771482</v>
      </c>
      <c r="S22" s="11" t="n">
        <f aca="false">R22+Construction!S14*$F$9/$F$10*(S21+(S19-S20)*R22)</f>
        <v>145.469145636866</v>
      </c>
      <c r="T22" s="11" t="n">
        <f aca="false">S22+Construction!T14*$F$9/$F$10*(T21+(T19-T20)*S22)</f>
        <v>162.855301012601</v>
      </c>
      <c r="U22" s="11" t="n">
        <f aca="false">T22+Construction!U14*$F$9/$F$10*(U21+(U19-U20)*T22)</f>
        <v>182.340682242891</v>
      </c>
      <c r="V22" s="11" t="n">
        <f aca="false">U22+Construction!V14*$F$9/$F$10*(V21+(V19-V20)*U22)</f>
        <v>203.685581985834</v>
      </c>
      <c r="W22" s="11" t="n">
        <f aca="false">V22+Construction!W14*$F$9/$F$10*(W21+(W19-W20)*V22)</f>
        <v>226.5916579018</v>
      </c>
      <c r="X22" s="11" t="n">
        <f aca="false">W22+Construction!X14*$F$9/$F$10*(X21+(X19-X20)*W22)</f>
        <v>250.762269411052</v>
      </c>
      <c r="Y22" s="11" t="n">
        <f aca="false">X22+Construction!Y14*$F$9/$F$10*(Y21+(Y19-Y20)*X22)</f>
        <v>275.799491952618</v>
      </c>
      <c r="Z22" s="11" t="n">
        <f aca="false">Y22+Construction!Z14*$F$9/$F$10*(Z21+(Z19-Z20)*Y22)</f>
        <v>301.354219893633</v>
      </c>
      <c r="AA22" s="11" t="n">
        <f aca="false">Z22+Construction!AA14*$F$9/$F$10*(AA21+(AA19-AA20)*Z22)</f>
        <v>327.87805615321</v>
      </c>
      <c r="AB22" s="11" t="n">
        <f aca="false">AA22+Construction!AB14*$F$9/$F$10*(AB21+(AB19-AB20)*AA22)</f>
        <v>353.185066454755</v>
      </c>
      <c r="AC22" s="11" t="n">
        <f aca="false">AB22+Construction!AC14*$F$9/$F$10*(AC21+(AC19-AC20)*AB22)</f>
        <v>377.847184131379</v>
      </c>
      <c r="AD22" s="11" t="n">
        <f aca="false">AC22+Construction!AD14*$F$9/$F$10*(AD21+(AD19-AD20)*AC22)</f>
        <v>401.414633823456</v>
      </c>
      <c r="AE22" s="11" t="n">
        <f aca="false">AD22+Construction!AE14*$F$9/$F$10*(AE21+(AE19-AE20)*AD22)</f>
        <v>423.606467000291</v>
      </c>
      <c r="AF22" s="11" t="n">
        <f aca="false">AE22+Construction!AF14*$F$9/$F$10*(AF21+(AF19-AF20)*AE22)</f>
        <v>444.066102163592</v>
      </c>
      <c r="AG22" s="11" t="n">
        <f aca="false">AF22+Construction!AG14*$F$9/$F$10*(AG21+(AG19-AG20)*AF22)</f>
        <v>462.617673482799</v>
      </c>
      <c r="AH22" s="11" t="n">
        <f aca="false">AG22+Construction!AH14*$F$9/$F$10*(AH21+(AH19-AH20)*AG22)</f>
        <v>479.049116555146</v>
      </c>
      <c r="AI22" s="11" t="n">
        <f aca="false">AH22+Construction!AI14*$F$9/$F$10*(AI21+(AI19-AI20)*AH22)</f>
        <v>493.219402090932</v>
      </c>
      <c r="AJ22" s="11" t="n">
        <f aca="false">AI22+Construction!AJ14*$F$9/$F$10*(AJ21+(AJ19-AJ20)*AI22)</f>
        <v>505.176088552962</v>
      </c>
      <c r="AK22" s="11" t="n">
        <f aca="false">AJ22+Construction!AK14*$F$9/$F$10*(AK21+(AK19-AK20)*AJ22)</f>
        <v>514.911174229624</v>
      </c>
      <c r="AL22" s="11" t="n">
        <f aca="false">AK22+Construction!AL14*$F$9/$F$10*(AL21+(AL19-AL20)*AK22)</f>
        <v>522.658295551982</v>
      </c>
      <c r="AM22" s="11" t="n">
        <f aca="false">AL22+Construction!AM14*$F$9/$F$10*(AM21+(AM19-AM20)*AL22)</f>
        <v>528.638436549447</v>
      </c>
      <c r="AN22" s="11" t="n">
        <f aca="false">AM22+Construction!AN14*$F$9/$F$10*(AN21+(AN19-AN20)*AM22)</f>
        <v>533.086672345034</v>
      </c>
      <c r="AO22" s="11" t="n">
        <f aca="false">AN22+Construction!AO14*$F$9/$F$10*(AO21+(AO19-AO20)*AN22)</f>
        <v>536.6728915022</v>
      </c>
      <c r="AP22" s="11" t="n">
        <f aca="false">AO22+Construction!AP14*$F$9/$F$10*(AP21+(AP19-AP20)*AO22)</f>
        <v>539.747791025878</v>
      </c>
      <c r="AQ22" s="11" t="n">
        <f aca="false">AP22+Construction!AQ14*$F$9/$F$10*(AQ21+(AQ19-AQ20)*AP22)</f>
        <v>542.812828178164</v>
      </c>
      <c r="AR22" s="11" t="n">
        <f aca="false">AQ22+Construction!AR14*$F$9/$F$10*(AR21+(AR19-AR20)*AQ22)</f>
        <v>545.846541678481</v>
      </c>
      <c r="AS22" s="11" t="n">
        <f aca="false">AR22+Construction!AS14*$F$9/$F$10*(AS21+(AS19-AS20)*AR22)</f>
        <v>549.002482743453</v>
      </c>
      <c r="AT22" s="11" t="n">
        <f aca="false">AS22+Construction!AT14*$F$9/$F$10*(AT21+(AT19-AT20)*AS22)</f>
        <v>552.167987300271</v>
      </c>
      <c r="AU22" s="11" t="n">
        <f aca="false">AT22+Construction!AU14*$F$9/$F$10*(AU21+(AU19-AU20)*AT22)</f>
        <v>555.274632611731</v>
      </c>
      <c r="AV22" s="11" t="n">
        <f aca="false">AU22+Construction!AV14*$F$9/$F$10*(AV21+(AV19-AV20)*AU22)</f>
        <v>595.067136587704</v>
      </c>
      <c r="AW22" s="11" t="n">
        <f aca="false">AV22+Construction!AW14*$F$9/$F$10*(AW21+(AW19-AW20)*AV22)</f>
        <v>596.985106622238</v>
      </c>
      <c r="AX22" s="11" t="n">
        <f aca="false">AW22+Construction!AX14*$F$9/$F$10*(AX21+(AX19-AX20)*AW22)</f>
        <v>599.322704234936</v>
      </c>
      <c r="AY22" s="11" t="n">
        <f aca="false">AX22+Construction!AY14*$F$9/$F$10*(AY21+(AY19-AY20)*AX22)</f>
        <v>599.322704234936</v>
      </c>
      <c r="AZ22" s="11" t="n">
        <f aca="false">AY22+Construction!AZ14*$F$9/$F$10*(AZ21+(AZ19-AZ20)*AY22)</f>
        <v>599.322704234936</v>
      </c>
      <c r="BA22" s="11" t="n">
        <f aca="false">AZ22+Construction!BA14*$F$9/$F$10*(BA21+(BA19-BA20)*AZ22)</f>
        <v>599.322704234936</v>
      </c>
      <c r="BB22" s="11" t="n">
        <f aca="false">BA22+Construction!BB14*$F$9/$F$10*(BB21+(BB19-BB20)*BA22)</f>
        <v>599.322704234936</v>
      </c>
      <c r="BC22" s="11" t="n">
        <f aca="false">BB22+Construction!BC14*$F$9/$F$10*(BC21+(BC19-BC20)*BB22)</f>
        <v>599.322704234936</v>
      </c>
      <c r="BD22" s="11" t="n">
        <f aca="false">BC22+Construction!BD14*$F$9/$F$10*(BD21+(BD19-BD20)*BC22)</f>
        <v>599.322704234936</v>
      </c>
      <c r="BE22" s="11" t="n">
        <f aca="false">BD22+Construction!BE14*$F$9/$F$10*(BE21+(BE19-BE20)*BD22)</f>
        <v>599.322704234936</v>
      </c>
      <c r="BF22" s="11" t="n">
        <f aca="false">BE22+Construction!BF14*$F$9/$F$10*(BF21+(BF19-BF20)*BE22)</f>
        <v>599.322704234936</v>
      </c>
      <c r="BG22" s="11" t="n">
        <f aca="false">BF22+Construction!BG14*$F$9/$F$10*(BG21+(BG19-BG20)*BF22)</f>
        <v>599.322704234936</v>
      </c>
      <c r="BH22" s="11" t="n">
        <f aca="false">BG22+Construction!BH14*$F$9/$F$10*(BH21+(BH19-BH20)*BG22)</f>
        <v>599.322704234936</v>
      </c>
      <c r="BI22" s="11" t="n">
        <f aca="false">BH22+Construction!BI14*$F$9/$F$10*(BI21+(BI19-BI20)*BH22)</f>
        <v>599.322704234936</v>
      </c>
      <c r="BJ22" s="11" t="n">
        <f aca="false">BI22+Construction!BJ14*$F$9/$F$10*(BJ21+(BJ19-BJ20)*BI22)</f>
        <v>599.322704234936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0.00932246850411913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0.00982579649361803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0.0103476404375495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0.0108543948707758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0.0113797913072085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0.0119090948981582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0.0123889146307161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0.0129218890161516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0.01343954689068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0.0139763430638164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0.014497712896278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0.0150398393301528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0.015583993190123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0.0161125630625409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0.0166607286584316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0.0171931953749219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0.017745402282973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0.0183006411680649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0.0188220289880693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0.0193813528649341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0.0199246877926284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0.0204881954335813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0.0210355945274096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0.0216038902858452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0.0221743577826383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0.0227285328159614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0.0233032981264983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0.0238616482286695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0.0244407437320131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0.0250225516120317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0.0255500744501565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0.0261361442955021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0.0267054876648769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0.0272959965210412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0.0278696522115434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0.0284646337004867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0.0290619010636373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0.0296421223728453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0.0302439135590654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0.0650363072344174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0.0657740802213635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0.0657740802213635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0.0657740802213635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0.0657740802213635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0.0657740802213635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0.0657740802213635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0.0657740802213635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0.0657740802213635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0.0657740802213635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0.0657740802213635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0.0657740802213635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0.0657740802213635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0.0657740802213635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888.150681571343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657.739998413269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Funding!$F$8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27.1068234157473</v>
      </c>
      <c r="L28" s="11" t="n">
        <f aca="false">K61</f>
        <v>27.6640094661166</v>
      </c>
      <c r="M28" s="11" t="n">
        <f aca="false">L61</f>
        <v>28.3738905069508</v>
      </c>
      <c r="N28" s="11" t="n">
        <f aca="false">M61</f>
        <v>29.3763882429777</v>
      </c>
      <c r="O28" s="11" t="n">
        <f aca="false">N61</f>
        <v>30.8192118706294</v>
      </c>
      <c r="P28" s="11" t="n">
        <f aca="false">O61</f>
        <v>32.8066481887035</v>
      </c>
      <c r="Q28" s="11" t="n">
        <f aca="false">P61</f>
        <v>35.3981534452974</v>
      </c>
      <c r="R28" s="11" t="n">
        <f aca="false">Q61</f>
        <v>38.6876581970017</v>
      </c>
      <c r="S28" s="11" t="n">
        <f aca="false">R61</f>
        <v>42.6721567507348</v>
      </c>
      <c r="T28" s="11" t="n">
        <f aca="false">S61</f>
        <v>47.364673276461</v>
      </c>
      <c r="U28" s="11" t="n">
        <f aca="false">T61</f>
        <v>52.7194363807967</v>
      </c>
      <c r="V28" s="11" t="n">
        <f aca="false">U61</f>
        <v>58.7094977384069</v>
      </c>
      <c r="W28" s="11" t="n">
        <f aca="false">V61</f>
        <v>65.2579548477734</v>
      </c>
      <c r="X28" s="11" t="n">
        <f aca="false">W61</f>
        <v>72.270612530297</v>
      </c>
      <c r="Y28" s="11" t="n">
        <f aca="false">X61</f>
        <v>79.667852077354</v>
      </c>
      <c r="Z28" s="11" t="n">
        <f aca="false">Y61</f>
        <v>87.3208920429734</v>
      </c>
      <c r="AA28" s="11" t="n">
        <f aca="false">Z61</f>
        <v>95.1344433078039</v>
      </c>
      <c r="AB28" s="11" t="n">
        <f aca="false">AA61</f>
        <v>103.239534923946</v>
      </c>
      <c r="AC28" s="11" t="n">
        <f aca="false">AB61</f>
        <v>110.970559298719</v>
      </c>
      <c r="AD28" s="11" t="n">
        <f aca="false">AC61</f>
        <v>118.518223766444</v>
      </c>
      <c r="AE28" s="11" t="n">
        <f aca="false">AD61</f>
        <v>125.733227659973</v>
      </c>
      <c r="AF28" s="11" t="n">
        <f aca="false">AE61</f>
        <v>132.540921521638</v>
      </c>
      <c r="AG28" s="11" t="n">
        <f aca="false">AF61</f>
        <v>138.824663934111</v>
      </c>
      <c r="AH28" s="11" t="n">
        <f aca="false">AG61</f>
        <v>144.541555009429</v>
      </c>
      <c r="AI28" s="11" t="n">
        <f aca="false">AH61</f>
        <v>149.622986259961</v>
      </c>
      <c r="AJ28" s="11" t="n">
        <f aca="false">AI61</f>
        <v>154.021729200764</v>
      </c>
      <c r="AK28" s="11" t="n">
        <f aca="false">AJ61</f>
        <v>157.761878600062</v>
      </c>
      <c r="AL28" s="11" t="n">
        <f aca="false">AK61</f>
        <v>160.8311740102</v>
      </c>
      <c r="AM28" s="11" t="n">
        <f aca="false">AL61</f>
        <v>163.309607626704</v>
      </c>
      <c r="AN28" s="11" t="n">
        <f aca="false">AM61</f>
        <v>165.258669845498</v>
      </c>
      <c r="AO28" s="11" t="n">
        <f aca="false">AN61</f>
        <v>166.733696514642</v>
      </c>
      <c r="AP28" s="11" t="n">
        <f aca="false">AO61</f>
        <v>167.965717761569</v>
      </c>
      <c r="AQ28" s="11" t="n">
        <f aca="false">AP61</f>
        <v>169.03988642914</v>
      </c>
      <c r="AR28" s="11" t="n">
        <f aca="false">AQ61</f>
        <v>170.116735827749</v>
      </c>
      <c r="AS28" s="11" t="n">
        <f aca="false">AR61</f>
        <v>171.179697685596</v>
      </c>
      <c r="AT28" s="11" t="n">
        <f aca="false">AS61</f>
        <v>172.285009969566</v>
      </c>
      <c r="AU28" s="11" t="n">
        <f aca="false">AT61</f>
        <v>173.39380036131</v>
      </c>
      <c r="AV28" s="11" t="n">
        <f aca="false">AU61</f>
        <v>174.480391140118</v>
      </c>
      <c r="AW28" s="11" t="n">
        <f aca="false">AV61</f>
        <v>186.578486708572</v>
      </c>
      <c r="AX28" s="11" t="n">
        <f aca="false">AW61</f>
        <v>196.424144165811</v>
      </c>
      <c r="AY28" s="11" t="n">
        <f aca="false">AX61</f>
        <v>197.321999523981</v>
      </c>
      <c r="AZ28" s="11" t="n">
        <f aca="false">AY61</f>
        <v>197.321999523981</v>
      </c>
      <c r="BA28" s="11" t="n">
        <f aca="false">AZ61</f>
        <v>197.321999523981</v>
      </c>
      <c r="BB28" s="11" t="n">
        <f aca="false">BA61</f>
        <v>197.321999523981</v>
      </c>
      <c r="BC28" s="11" t="n">
        <f aca="false">BB61</f>
        <v>197.321999523981</v>
      </c>
      <c r="BD28" s="11" t="n">
        <f aca="false">BC61</f>
        <v>197.321999523981</v>
      </c>
      <c r="BE28" s="11" t="n">
        <f aca="false">BD61</f>
        <v>197.321999523981</v>
      </c>
      <c r="BF28" s="11" t="n">
        <f aca="false">BE61</f>
        <v>197.321999523981</v>
      </c>
      <c r="BG28" s="11" t="n">
        <f aca="false">BF61</f>
        <v>197.321999523981</v>
      </c>
      <c r="BH28" s="11" t="n">
        <f aca="false">BG61</f>
        <v>197.321999523981</v>
      </c>
      <c r="BI28" s="11" t="n">
        <f aca="false">BH61</f>
        <v>197.321999523981</v>
      </c>
      <c r="BJ28" s="11" t="n">
        <f aca="false">BI61</f>
        <v>197.321999523981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19.878337171548</v>
      </c>
      <c r="L29" s="11" t="n">
        <f aca="false">K62</f>
        <v>20.2869402751521</v>
      </c>
      <c r="M29" s="11" t="n">
        <f aca="false">L62</f>
        <v>20.8075197050972</v>
      </c>
      <c r="N29" s="11" t="n">
        <f aca="false">M62</f>
        <v>21.5426847115169</v>
      </c>
      <c r="O29" s="11" t="n">
        <f aca="false">N62</f>
        <v>22.6007553717949</v>
      </c>
      <c r="P29" s="11" t="n">
        <f aca="false">O62</f>
        <v>24.0582086717159</v>
      </c>
      <c r="Q29" s="11" t="n">
        <f aca="false">P62</f>
        <v>25.9586458598847</v>
      </c>
      <c r="R29" s="11" t="n">
        <f aca="false">Q62</f>
        <v>28.3709493444679</v>
      </c>
      <c r="S29" s="11" t="n">
        <f aca="false">R62</f>
        <v>31.2929149505388</v>
      </c>
      <c r="T29" s="11" t="n">
        <f aca="false">S62</f>
        <v>34.7340937360714</v>
      </c>
      <c r="U29" s="11" t="n">
        <f aca="false">T62</f>
        <v>38.6609200125843</v>
      </c>
      <c r="V29" s="11" t="n">
        <f aca="false">U62</f>
        <v>43.0536316748318</v>
      </c>
      <c r="W29" s="11" t="n">
        <f aca="false">V62</f>
        <v>47.8558335550338</v>
      </c>
      <c r="X29" s="11" t="n">
        <f aca="false">W62</f>
        <v>52.9984491888844</v>
      </c>
      <c r="Y29" s="11" t="n">
        <f aca="false">X62</f>
        <v>58.4230915233929</v>
      </c>
      <c r="Z29" s="11" t="n">
        <f aca="false">Y62</f>
        <v>64.0353208315138</v>
      </c>
      <c r="AA29" s="11" t="n">
        <f aca="false">Z62</f>
        <v>69.7652584257228</v>
      </c>
      <c r="AB29" s="11" t="n">
        <f aca="false">AA62</f>
        <v>75.7089922775603</v>
      </c>
      <c r="AC29" s="11" t="n">
        <f aca="false">AB62</f>
        <v>81.3784101523941</v>
      </c>
      <c r="AD29" s="11" t="n">
        <f aca="false">AC62</f>
        <v>86.9133640953919</v>
      </c>
      <c r="AE29" s="11" t="n">
        <f aca="false">AD62</f>
        <v>92.2043669506465</v>
      </c>
      <c r="AF29" s="11" t="n">
        <f aca="false">AE62</f>
        <v>97.1966757825344</v>
      </c>
      <c r="AG29" s="11" t="n">
        <f aca="false">AF62</f>
        <v>101.804753551681</v>
      </c>
      <c r="AH29" s="11" t="n">
        <f aca="false">AG62</f>
        <v>105.997140340248</v>
      </c>
      <c r="AI29" s="11" t="n">
        <f aca="false">AH62</f>
        <v>109.723523257305</v>
      </c>
      <c r="AJ29" s="11" t="n">
        <f aca="false">AI62</f>
        <v>112.94926808056</v>
      </c>
      <c r="AK29" s="11" t="n">
        <f aca="false">AJ62</f>
        <v>115.692044306712</v>
      </c>
      <c r="AL29" s="11" t="n">
        <f aca="false">AK62</f>
        <v>117.942860940813</v>
      </c>
      <c r="AM29" s="11" t="n">
        <f aca="false">AL62</f>
        <v>119.76037892625</v>
      </c>
      <c r="AN29" s="11" t="n">
        <f aca="false">AM62</f>
        <v>121.189691220032</v>
      </c>
      <c r="AO29" s="11" t="n">
        <f aca="false">AN62</f>
        <v>122.271377444071</v>
      </c>
      <c r="AP29" s="11" t="n">
        <f aca="false">AO62</f>
        <v>123.174859691817</v>
      </c>
      <c r="AQ29" s="11" t="n">
        <f aca="false">AP62</f>
        <v>123.962583381369</v>
      </c>
      <c r="AR29" s="11" t="n">
        <f aca="false">AQ62</f>
        <v>124.752272940349</v>
      </c>
      <c r="AS29" s="11" t="n">
        <f aca="false">AR62</f>
        <v>125.53177830277</v>
      </c>
      <c r="AT29" s="11" t="n">
        <f aca="false">AS62</f>
        <v>126.342340644348</v>
      </c>
      <c r="AU29" s="11" t="n">
        <f aca="false">AT62</f>
        <v>127.155453598294</v>
      </c>
      <c r="AV29" s="11" t="n">
        <f aca="false">AU62</f>
        <v>127.952286836087</v>
      </c>
      <c r="AW29" s="11" t="n">
        <f aca="false">AV62</f>
        <v>136.824223586286</v>
      </c>
      <c r="AX29" s="11" t="n">
        <f aca="false">AW62</f>
        <v>144.044372388261</v>
      </c>
      <c r="AY29" s="11" t="n">
        <f aca="false">AX62</f>
        <v>144.702799650919</v>
      </c>
      <c r="AZ29" s="11" t="n">
        <f aca="false">AY62</f>
        <v>144.702799650919</v>
      </c>
      <c r="BA29" s="11" t="n">
        <f aca="false">AZ62</f>
        <v>144.702799650919</v>
      </c>
      <c r="BB29" s="11" t="n">
        <f aca="false">BA62</f>
        <v>144.702799650919</v>
      </c>
      <c r="BC29" s="11" t="n">
        <f aca="false">BB62</f>
        <v>144.702799650919</v>
      </c>
      <c r="BD29" s="11" t="n">
        <f aca="false">BC62</f>
        <v>144.702799650919</v>
      </c>
      <c r="BE29" s="11" t="n">
        <f aca="false">BD62</f>
        <v>144.702799650919</v>
      </c>
      <c r="BF29" s="11" t="n">
        <f aca="false">BE62</f>
        <v>144.702799650919</v>
      </c>
      <c r="BG29" s="11" t="n">
        <f aca="false">BF62</f>
        <v>144.702799650919</v>
      </c>
      <c r="BH29" s="11" t="n">
        <f aca="false">BG62</f>
        <v>144.702799650919</v>
      </c>
      <c r="BI29" s="11" t="n">
        <f aca="false">BH62</f>
        <v>144.702799650919</v>
      </c>
      <c r="BJ29" s="11" t="n">
        <f aca="false">BI62</f>
        <v>144.702799650919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9.03560780524911</v>
      </c>
      <c r="L30" s="11" t="n">
        <f aca="false">K63</f>
        <v>9.22133648870552</v>
      </c>
      <c r="M30" s="11" t="n">
        <f aca="false">L63</f>
        <v>9.45796350231693</v>
      </c>
      <c r="N30" s="11" t="n">
        <f aca="false">M63</f>
        <v>9.79212941432589</v>
      </c>
      <c r="O30" s="11" t="n">
        <f aca="false">N63</f>
        <v>10.2730706235431</v>
      </c>
      <c r="P30" s="11" t="n">
        <f aca="false">O63</f>
        <v>10.9355493962345</v>
      </c>
      <c r="Q30" s="11" t="n">
        <f aca="false">P63</f>
        <v>11.7993844817658</v>
      </c>
      <c r="R30" s="11" t="n">
        <f aca="false">Q63</f>
        <v>12.8958860656672</v>
      </c>
      <c r="S30" s="11" t="n">
        <f aca="false">R63</f>
        <v>14.2240522502449</v>
      </c>
      <c r="T30" s="11" t="n">
        <f aca="false">S63</f>
        <v>15.788224425487</v>
      </c>
      <c r="U30" s="11" t="n">
        <f aca="false">T63</f>
        <v>17.5731454602656</v>
      </c>
      <c r="V30" s="11" t="n">
        <f aca="false">U63</f>
        <v>19.569832579469</v>
      </c>
      <c r="W30" s="11" t="n">
        <f aca="false">V63</f>
        <v>21.7526516159244</v>
      </c>
      <c r="X30" s="11" t="n">
        <f aca="false">W63</f>
        <v>24.0902041767657</v>
      </c>
      <c r="Y30" s="11" t="n">
        <f aca="false">X63</f>
        <v>26.5559506924513</v>
      </c>
      <c r="Z30" s="11" t="n">
        <f aca="false">Y63</f>
        <v>29.1069640143245</v>
      </c>
      <c r="AA30" s="11" t="n">
        <f aca="false">Z63</f>
        <v>31.7114811026013</v>
      </c>
      <c r="AB30" s="11" t="n">
        <f aca="false">AA63</f>
        <v>34.413178307982</v>
      </c>
      <c r="AC30" s="11" t="n">
        <f aca="false">AB63</f>
        <v>36.9901864329064</v>
      </c>
      <c r="AD30" s="11" t="n">
        <f aca="false">AC63</f>
        <v>39.5060745888145</v>
      </c>
      <c r="AE30" s="11" t="n">
        <f aca="false">AD63</f>
        <v>41.9110758866575</v>
      </c>
      <c r="AF30" s="11" t="n">
        <f aca="false">AE63</f>
        <v>44.1803071738793</v>
      </c>
      <c r="AG30" s="11" t="n">
        <f aca="false">AF63</f>
        <v>46.2748879780369</v>
      </c>
      <c r="AH30" s="11" t="n">
        <f aca="false">AG63</f>
        <v>48.1805183364765</v>
      </c>
      <c r="AI30" s="11" t="n">
        <f aca="false">AH63</f>
        <v>49.8743287533203</v>
      </c>
      <c r="AJ30" s="11" t="n">
        <f aca="false">AI63</f>
        <v>51.3405764002545</v>
      </c>
      <c r="AK30" s="11" t="n">
        <f aca="false">AJ63</f>
        <v>52.5872928666872</v>
      </c>
      <c r="AL30" s="11" t="n">
        <f aca="false">AK63</f>
        <v>53.6103913367332</v>
      </c>
      <c r="AM30" s="11" t="n">
        <f aca="false">AL63</f>
        <v>54.436535875568</v>
      </c>
      <c r="AN30" s="11" t="n">
        <f aca="false">AM63</f>
        <v>55.0862232818327</v>
      </c>
      <c r="AO30" s="11" t="n">
        <f aca="false">AN63</f>
        <v>55.5778988382139</v>
      </c>
      <c r="AP30" s="11" t="n">
        <f aca="false">AO63</f>
        <v>55.9885725871897</v>
      </c>
      <c r="AQ30" s="11" t="n">
        <f aca="false">AP63</f>
        <v>56.3466288097133</v>
      </c>
      <c r="AR30" s="11" t="n">
        <f aca="false">AQ63</f>
        <v>56.7055786092496</v>
      </c>
      <c r="AS30" s="11" t="n">
        <f aca="false">AR63</f>
        <v>57.0598992285319</v>
      </c>
      <c r="AT30" s="11" t="n">
        <f aca="false">AS63</f>
        <v>57.4283366565219</v>
      </c>
      <c r="AU30" s="11" t="n">
        <f aca="false">AT63</f>
        <v>57.79793345377</v>
      </c>
      <c r="AV30" s="11" t="n">
        <f aca="false">AU63</f>
        <v>58.1601303800395</v>
      </c>
      <c r="AW30" s="11" t="n">
        <f aca="false">AV63</f>
        <v>62.1928289028573</v>
      </c>
      <c r="AX30" s="11" t="n">
        <f aca="false">AW63</f>
        <v>65.4747147219369</v>
      </c>
      <c r="AY30" s="11" t="n">
        <f aca="false">AX63</f>
        <v>65.7739998413268</v>
      </c>
      <c r="AZ30" s="11" t="n">
        <f aca="false">AY63</f>
        <v>65.7739998413268</v>
      </c>
      <c r="BA30" s="11" t="n">
        <f aca="false">AZ63</f>
        <v>65.7739998413268</v>
      </c>
      <c r="BB30" s="11" t="n">
        <f aca="false">BA63</f>
        <v>65.7739998413268</v>
      </c>
      <c r="BC30" s="11" t="n">
        <f aca="false">BB63</f>
        <v>65.7739998413268</v>
      </c>
      <c r="BD30" s="11" t="n">
        <f aca="false">BC63</f>
        <v>65.7739998413268</v>
      </c>
      <c r="BE30" s="11" t="n">
        <f aca="false">BD63</f>
        <v>65.7739998413268</v>
      </c>
      <c r="BF30" s="11" t="n">
        <f aca="false">BE63</f>
        <v>65.7739998413268</v>
      </c>
      <c r="BG30" s="11" t="n">
        <f aca="false">BF63</f>
        <v>65.7739998413268</v>
      </c>
      <c r="BH30" s="11" t="n">
        <f aca="false">BG63</f>
        <v>65.7739998413268</v>
      </c>
      <c r="BI30" s="11" t="n">
        <f aca="false">BH63</f>
        <v>65.7739998413268</v>
      </c>
      <c r="BJ30" s="11" t="n">
        <f aca="false">BI63</f>
        <v>65.7739998413268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34.3353096599466</v>
      </c>
      <c r="L31" s="11" t="n">
        <f aca="false">K64</f>
        <v>35.041078657081</v>
      </c>
      <c r="M31" s="11" t="n">
        <f aca="false">L64</f>
        <v>35.9402613088043</v>
      </c>
      <c r="N31" s="11" t="n">
        <f aca="false">M64</f>
        <v>37.2100917744384</v>
      </c>
      <c r="O31" s="11" t="n">
        <f aca="false">N64</f>
        <v>39.0376683694639</v>
      </c>
      <c r="P31" s="11" t="n">
        <f aca="false">O64</f>
        <v>41.555087705691</v>
      </c>
      <c r="Q31" s="11" t="n">
        <f aca="false">P64</f>
        <v>44.83766103071</v>
      </c>
      <c r="R31" s="11" t="n">
        <f aca="false">Q64</f>
        <v>49.0043670495354</v>
      </c>
      <c r="S31" s="11" t="n">
        <f aca="false">R64</f>
        <v>54.0513985509307</v>
      </c>
      <c r="T31" s="11" t="n">
        <f aca="false">S64</f>
        <v>59.9952528168505</v>
      </c>
      <c r="U31" s="11" t="n">
        <f aca="false">T64</f>
        <v>66.7779527490092</v>
      </c>
      <c r="V31" s="11" t="n">
        <f aca="false">U64</f>
        <v>74.3653638019821</v>
      </c>
      <c r="W31" s="11" t="n">
        <f aca="false">V64</f>
        <v>82.6600761405129</v>
      </c>
      <c r="X31" s="11" t="n">
        <f aca="false">W64</f>
        <v>91.5427758717095</v>
      </c>
      <c r="Y31" s="11" t="n">
        <f aca="false">X64</f>
        <v>100.912612631315</v>
      </c>
      <c r="Z31" s="11" t="n">
        <f aca="false">Y64</f>
        <v>110.606463254433</v>
      </c>
      <c r="AA31" s="11" t="n">
        <f aca="false">Z64</f>
        <v>120.503628189885</v>
      </c>
      <c r="AB31" s="11" t="n">
        <f aca="false">AA64</f>
        <v>130.770077570332</v>
      </c>
      <c r="AC31" s="11" t="n">
        <f aca="false">AB64</f>
        <v>140.562708445044</v>
      </c>
      <c r="AD31" s="11" t="n">
        <f aca="false">AC64</f>
        <v>150.123083437495</v>
      </c>
      <c r="AE31" s="11" t="n">
        <f aca="false">AD64</f>
        <v>159.262088369299</v>
      </c>
      <c r="AF31" s="11" t="n">
        <f aca="false">AE64</f>
        <v>167.885167260741</v>
      </c>
      <c r="AG31" s="11" t="n">
        <f aca="false">AF64</f>
        <v>175.84457431654</v>
      </c>
      <c r="AH31" s="11" t="n">
        <f aca="false">AG64</f>
        <v>183.085969678611</v>
      </c>
      <c r="AI31" s="11" t="n">
        <f aca="false">AH64</f>
        <v>189.522449262617</v>
      </c>
      <c r="AJ31" s="11" t="n">
        <f aca="false">AI64</f>
        <v>195.094190320967</v>
      </c>
      <c r="AK31" s="11" t="n">
        <f aca="false">AJ64</f>
        <v>199.831712893411</v>
      </c>
      <c r="AL31" s="11" t="n">
        <f aca="false">AK64</f>
        <v>203.719487079586</v>
      </c>
      <c r="AM31" s="11" t="n">
        <f aca="false">AL64</f>
        <v>206.858836327158</v>
      </c>
      <c r="AN31" s="11" t="n">
        <f aca="false">AM64</f>
        <v>209.327648470964</v>
      </c>
      <c r="AO31" s="11" t="n">
        <f aca="false">AN64</f>
        <v>211.196015585213</v>
      </c>
      <c r="AP31" s="11" t="n">
        <f aca="false">AO64</f>
        <v>212.756575831321</v>
      </c>
      <c r="AQ31" s="11" t="n">
        <f aca="false">AP64</f>
        <v>214.117189476911</v>
      </c>
      <c r="AR31" s="11" t="n">
        <f aca="false">AQ64</f>
        <v>215.481198715148</v>
      </c>
      <c r="AS31" s="11" t="n">
        <f aca="false">AR64</f>
        <v>216.827617068421</v>
      </c>
      <c r="AT31" s="11" t="n">
        <f aca="false">AS64</f>
        <v>218.227679294783</v>
      </c>
      <c r="AU31" s="11" t="n">
        <f aca="false">AT64</f>
        <v>219.632147124326</v>
      </c>
      <c r="AV31" s="11" t="n">
        <f aca="false">AU64</f>
        <v>221.00849544415</v>
      </c>
      <c r="AW31" s="11" t="n">
        <f aca="false">AV64</f>
        <v>236.332749830858</v>
      </c>
      <c r="AX31" s="11" t="n">
        <f aca="false">AW64</f>
        <v>248.80391594336</v>
      </c>
      <c r="AY31" s="11" t="n">
        <f aca="false">AX64</f>
        <v>249.941199397042</v>
      </c>
      <c r="AZ31" s="11" t="n">
        <f aca="false">AY64</f>
        <v>249.941199397042</v>
      </c>
      <c r="BA31" s="11" t="n">
        <f aca="false">AZ64</f>
        <v>249.941199397042</v>
      </c>
      <c r="BB31" s="11" t="n">
        <f aca="false">BA64</f>
        <v>249.941199397042</v>
      </c>
      <c r="BC31" s="11" t="n">
        <f aca="false">BB64</f>
        <v>249.941199397042</v>
      </c>
      <c r="BD31" s="11" t="n">
        <f aca="false">BC64</f>
        <v>249.941199397042</v>
      </c>
      <c r="BE31" s="11" t="n">
        <f aca="false">BD64</f>
        <v>249.941199397042</v>
      </c>
      <c r="BF31" s="11" t="n">
        <f aca="false">BE64</f>
        <v>249.941199397042</v>
      </c>
      <c r="BG31" s="11" t="n">
        <f aca="false">BF64</f>
        <v>249.941199397042</v>
      </c>
      <c r="BH31" s="11" t="n">
        <f aca="false">BG64</f>
        <v>249.941199397042</v>
      </c>
      <c r="BI31" s="11" t="n">
        <f aca="false">BH64</f>
        <v>249.941199397042</v>
      </c>
      <c r="BJ31" s="11" t="n">
        <f aca="false">BI64</f>
        <v>249.941199397042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0</v>
      </c>
      <c r="AT32" s="11" t="n">
        <f aca="false">AS65</f>
        <v>0</v>
      </c>
      <c r="AU32" s="11" t="n">
        <f aca="false">AT65</f>
        <v>0</v>
      </c>
      <c r="AV32" s="11" t="n">
        <f aca="false">AU65</f>
        <v>0</v>
      </c>
      <c r="AW32" s="11" t="n">
        <f aca="false">AV65</f>
        <v>0</v>
      </c>
      <c r="AX32" s="11" t="n">
        <f aca="false">AW65</f>
        <v>0</v>
      </c>
      <c r="AY32" s="11" t="n">
        <f aca="false">AX65</f>
        <v>1.99840144432528E-013</v>
      </c>
      <c r="AZ32" s="11" t="n">
        <f aca="false">AY65</f>
        <v>1.99840144432528E-013</v>
      </c>
      <c r="BA32" s="11" t="n">
        <f aca="false">AZ65</f>
        <v>1.99840144432528E-013</v>
      </c>
      <c r="BB32" s="11" t="n">
        <f aca="false">BA65</f>
        <v>1.99840144432528E-013</v>
      </c>
      <c r="BC32" s="11" t="n">
        <f aca="false">BB65</f>
        <v>1.99840144432528E-013</v>
      </c>
      <c r="BD32" s="11" t="n">
        <f aca="false">BC65</f>
        <v>1.99840144432528E-013</v>
      </c>
      <c r="BE32" s="11" t="n">
        <f aca="false">BD65</f>
        <v>1.99840144432528E-013</v>
      </c>
      <c r="BF32" s="11" t="n">
        <f aca="false">BE65</f>
        <v>1.99840144432528E-013</v>
      </c>
      <c r="BG32" s="11" t="n">
        <f aca="false">BF65</f>
        <v>1.99840144432528E-013</v>
      </c>
      <c r="BH32" s="11" t="n">
        <f aca="false">BG65</f>
        <v>1.99840144432528E-013</v>
      </c>
      <c r="BI32" s="11" t="n">
        <f aca="false">BH65</f>
        <v>1.99840144432528E-013</v>
      </c>
      <c r="BJ32" s="11" t="n">
        <f aca="false">BI65</f>
        <v>1.99840144432528E-013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16.3997626582507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0.0874195055157851</v>
      </c>
      <c r="L33" s="11" t="n">
        <f aca="false">Construction!L14*L28*(Construction!L17+Inputs!$F$77)/100*Construction!L11/360*1</f>
        <v>0.0921903115458334</v>
      </c>
      <c r="M33" s="11" t="n">
        <f aca="false">Construction!M14*M28*(Construction!M17+Inputs!$F$77)/100*Construction!M11/360*1</f>
        <v>0.0915057968849163</v>
      </c>
      <c r="N33" s="11" t="n">
        <f aca="false">Construction!N14*N28*(Construction!N17+Inputs!$F$77)/100*Construction!N11/360*1</f>
        <v>0.097896813819723</v>
      </c>
      <c r="O33" s="11" t="n">
        <f aca="false">Construction!O14*O28*(Construction!O17+Inputs!$F$77)/100*Construction!O11/360*1</f>
        <v>0.109870490318794</v>
      </c>
      <c r="P33" s="11" t="n">
        <f aca="false">Construction!P14*P28*(Construction!P17+Inputs!$F$77)/100*Construction!P11/360*1</f>
        <v>0.105637407167625</v>
      </c>
      <c r="Q33" s="11" t="n">
        <f aca="false">Construction!Q14*Q28*(Construction!Q17+Inputs!$F$77)/100*Construction!Q11/360*1</f>
        <v>0.126194417032485</v>
      </c>
      <c r="R33" s="11" t="n">
        <f aca="false">Construction!R14*R28*(Construction!R17+Inputs!$F$77)/100*Construction!R11/360*1</f>
        <v>0.133472420779656</v>
      </c>
      <c r="S33" s="11" t="n">
        <f aca="false">Construction!S14*S28*(Construction!S17+Inputs!$F$77)/100*Construction!S11/360*1</f>
        <v>0.15212623881637</v>
      </c>
      <c r="T33" s="11" t="n">
        <f aca="false">Construction!T14*T28*(Construction!T17+Inputs!$F$77)/100*Construction!T11/360*1</f>
        <v>0.16340812280379</v>
      </c>
      <c r="U33" s="11" t="n">
        <f aca="false">Construction!U14*U28*(Construction!U17+Inputs!$F$77)/100*Construction!U11/360*1</f>
        <v>0.194754384563393</v>
      </c>
      <c r="V33" s="11" t="n">
        <f aca="false">Construction!V14*V28*(Construction!V17+Inputs!$F$77)/100*Construction!V11/360*1</f>
        <v>0.216882669561965</v>
      </c>
      <c r="W33" s="11" t="n">
        <f aca="false">Construction!W14*W28*(Construction!W17+Inputs!$F$77)/100*Construction!W11/360*1</f>
        <v>0.23329718858079</v>
      </c>
      <c r="X33" s="11" t="n">
        <f aca="false">Construction!X14*X28*(Construction!X17+Inputs!$F$77)/100*Construction!X11/360*1</f>
        <v>0.266979687789005</v>
      </c>
      <c r="Y33" s="11" t="n">
        <f aca="false">Construction!Y14*Y28*(Construction!Y17+Inputs!$F$77)/100*Construction!Y11/360*1</f>
        <v>0.28481257117654</v>
      </c>
      <c r="Z33" s="11" t="n">
        <f aca="false">Construction!Z14*Z28*(Construction!Z17+Inputs!$F$77)/100*Construction!Z11/360*1</f>
        <v>0.322577928688751</v>
      </c>
      <c r="AA33" s="11" t="n">
        <f aca="false">Construction!AA14*AA28*(Construction!AA17+Inputs!$F$77)/100*Construction!AA11/360*1</f>
        <v>0.357996195414116</v>
      </c>
      <c r="AB33" s="11" t="n">
        <f aca="false">Construction!AB14*AB28*(Construction!AB17+Inputs!$F$77)/100*Construction!AB11/360*1</f>
        <v>0.36343184058088</v>
      </c>
      <c r="AC33" s="11" t="n">
        <f aca="false">Construction!AC14*AC28*(Construction!AC17+Inputs!$F$77)/100*Construction!AC11/360*1</f>
        <v>0.417588379672153</v>
      </c>
      <c r="AD33" s="11" t="n">
        <f aca="false">Construction!AD14*AD28*(Construction!AD17+Inputs!$F$77)/100*Construction!AD11/360*1</f>
        <v>0.431603864882799</v>
      </c>
      <c r="AE33" s="11" t="n">
        <f aca="false">Construction!AE14*AE28*(Construction!AE17+Inputs!$F$77)/100*Construction!AE11/360*1</f>
        <v>0.473141120863791</v>
      </c>
      <c r="AF33" s="11" t="n">
        <f aca="false">Construction!AF14*AF28*(Construction!AF17+Inputs!$F$77)/100*Construction!AF11/360*1</f>
        <v>0.482669855874631</v>
      </c>
      <c r="AG33" s="11" t="n">
        <f aca="false">Construction!AG14*AG28*(Construction!AG17+Inputs!$F$77)/100*Construction!AG11/360*1</f>
        <v>0.527186661289785</v>
      </c>
      <c r="AH33" s="11" t="n">
        <f aca="false">Construction!AH14*AH28*(Construction!AH17+Inputs!$F$77)/100*Construction!AH11/360*1</f>
        <v>0.548896555148309</v>
      </c>
      <c r="AI33" s="11" t="n">
        <f aca="false">Construction!AI14*AI28*(Construction!AI17+Inputs!$F$77)/100*Construction!AI11/360*1</f>
        <v>0.549864474505356</v>
      </c>
      <c r="AJ33" s="11" t="n">
        <f aca="false">Construction!AJ14*AJ28*(Construction!AJ17+Inputs!$F$77)/100*Construction!AJ11/360*1</f>
        <v>0.584897516639899</v>
      </c>
      <c r="AK33" s="11" t="n">
        <f aca="false">Construction!AK14*AK28*(Construction!AK17+Inputs!$F$77)/100*Construction!AK11/360*1</f>
        <v>0.579774903855226</v>
      </c>
      <c r="AL33" s="11" t="n">
        <f aca="false">Construction!AL14*AL28*(Construction!AL17+Inputs!$F$77)/100*Construction!AL11/360*1</f>
        <v>0.610756383303733</v>
      </c>
      <c r="AM33" s="11" t="n">
        <f aca="false">Construction!AM14*AM28*(Construction!AM17+Inputs!$F$77)/100*Construction!AM11/360*1</f>
        <v>0.624387066492765</v>
      </c>
      <c r="AN33" s="11" t="n">
        <f aca="false">Construction!AN14*AN28*(Construction!AN17+Inputs!$F$77)/100*Construction!AN11/360*1</f>
        <v>0.570693273199787</v>
      </c>
      <c r="AO33" s="11" t="n">
        <f aca="false">Construction!AO14*AO28*(Construction!AO17+Inputs!$F$77)/100*Construction!AO11/360*1</f>
        <v>0.637478499674313</v>
      </c>
      <c r="AP33" s="11" t="n">
        <f aca="false">Construction!AP14*AP28*(Construction!AP17+Inputs!$F$77)/100*Construction!AP11/360*1</f>
        <v>0.621473155717806</v>
      </c>
      <c r="AQ33" s="11" t="n">
        <f aca="false">Construction!AQ14*AQ28*(Construction!AQ17+Inputs!$F$77)/100*Construction!AQ11/360*1</f>
        <v>0.646295832447412</v>
      </c>
      <c r="AR33" s="11" t="n">
        <f aca="false">Construction!AR14*AR28*(Construction!AR17+Inputs!$F$77)/100*Construction!AR11/360*1</f>
        <v>0.62943192256267</v>
      </c>
      <c r="AS33" s="11" t="n">
        <f aca="false">Construction!AS14*AS28*(Construction!AS17+Inputs!$F$77)/100*Construction!AS11/360*1</f>
        <v>0.654477044151261</v>
      </c>
      <c r="AT33" s="11" t="n">
        <f aca="false">Construction!AT14*AT28*(Construction!AT17+Inputs!$F$77)/100*Construction!AT11/360*1</f>
        <v>0.658703021450306</v>
      </c>
      <c r="AU33" s="11" t="n">
        <f aca="false">Construction!AU14*AU28*(Construction!AU17+Inputs!$F$77)/100*Construction!AU11/360*1</f>
        <v>0.641557061336847</v>
      </c>
      <c r="AV33" s="11" t="n">
        <f aca="false">Construction!AV14*AV28*(Construction!AV17+Inputs!$F$77)/100*Construction!AV11/360*1</f>
        <v>0.667096695459053</v>
      </c>
      <c r="AW33" s="11" t="n">
        <f aca="false">Construction!AW14*AW28*(Construction!AW17+Inputs!$F$77)/100*Construction!AW11/360*1</f>
        <v>0.690340400821715</v>
      </c>
      <c r="AX33" s="11" t="n">
        <f aca="false">Construction!AX14*AX28*(Construction!AX17+Inputs!$F$77)/100*Construction!AX11/360*1</f>
        <v>0.750994977860616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18.3431889681115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0.102207783623709</v>
      </c>
      <c r="L34" s="11" t="n">
        <f aca="false">Construction!L14*L29*(Construction!L17+Inputs!$F$78)/100*Construction!L11/360*1</f>
        <v>0.107785640734121</v>
      </c>
      <c r="M34" s="11" t="n">
        <f aca="false">Construction!M14*M29*(Construction!M17+Inputs!$F$78)/100*Construction!M11/360*1</f>
        <v>0.106985330483708</v>
      </c>
      <c r="N34" s="11" t="n">
        <f aca="false">Construction!N14*N29*(Construction!N17+Inputs!$F$78)/100*Construction!N11/360*1</f>
        <v>0.114457480688107</v>
      </c>
      <c r="O34" s="11" t="n">
        <f aca="false">Construction!O14*O29*(Construction!O17+Inputs!$F$78)/100*Construction!O11/360*1</f>
        <v>0.125333744511809</v>
      </c>
      <c r="P34" s="11" t="n">
        <f aca="false">Construction!P14*P29*(Construction!P17+Inputs!$F$78)/100*Construction!P11/360*1</f>
        <v>0.120504894102328</v>
      </c>
      <c r="Q34" s="11" t="n">
        <f aca="false">Construction!Q14*Q29*(Construction!Q17+Inputs!$F$78)/100*Construction!Q11/360*1</f>
        <v>0.143955112762983</v>
      </c>
      <c r="R34" s="11" t="n">
        <f aca="false">Construction!R14*R29*(Construction!R17+Inputs!$F$78)/100*Construction!R11/360*1</f>
        <v>0.152257428148644</v>
      </c>
      <c r="S34" s="11" t="n">
        <f aca="false">Construction!S14*S29*(Construction!S17+Inputs!$F$78)/100*Construction!S11/360*1</f>
        <v>0.173536598353488</v>
      </c>
      <c r="T34" s="11" t="n">
        <f aca="false">Construction!T14*T29*(Construction!T17+Inputs!$F$78)/100*Construction!T11/360*1</f>
        <v>0.18640630305025</v>
      </c>
      <c r="U34" s="11" t="n">
        <f aca="false">Construction!U14*U29*(Construction!U17+Inputs!$F$78)/100*Construction!U11/360*1</f>
        <v>0.219389981926968</v>
      </c>
      <c r="V34" s="11" t="n">
        <f aca="false">Construction!V14*V29*(Construction!V17+Inputs!$F$78)/100*Construction!V11/360*1</f>
        <v>0.244317400412538</v>
      </c>
      <c r="W34" s="11" t="n">
        <f aca="false">Construction!W14*W29*(Construction!W17+Inputs!$F$78)/100*Construction!W11/360*1</f>
        <v>0.262808285939727</v>
      </c>
      <c r="X34" s="11" t="n">
        <f aca="false">Construction!X14*X29*(Construction!X17+Inputs!$F$78)/100*Construction!X11/360*1</f>
        <v>0.300751477355478</v>
      </c>
      <c r="Y34" s="11" t="n">
        <f aca="false">Construction!Y14*Y29*(Construction!Y17+Inputs!$F$78)/100*Construction!Y11/360*1</f>
        <v>0.320840144282633</v>
      </c>
      <c r="Z34" s="11" t="n">
        <f aca="false">Construction!Z14*Z29*(Construction!Z17+Inputs!$F$78)/100*Construction!Z11/360*1</f>
        <v>0.363382658129721</v>
      </c>
      <c r="AA34" s="11" t="n">
        <f aca="false">Construction!AA14*AA29*(Construction!AA17+Inputs!$F$78)/100*Construction!AA11/360*1</f>
        <v>0.40070451346352</v>
      </c>
      <c r="AB34" s="11" t="n">
        <f aca="false">Construction!AB14*AB29*(Construction!AB17+Inputs!$F$78)/100*Construction!AB11/360*1</f>
        <v>0.406788621562458</v>
      </c>
      <c r="AC34" s="11" t="n">
        <f aca="false">Construction!AC14*AC29*(Construction!AC17+Inputs!$F$78)/100*Construction!AC11/360*1</f>
        <v>0.467405940755848</v>
      </c>
      <c r="AD34" s="11" t="n">
        <f aca="false">Construction!AD14*AD29*(Construction!AD17+Inputs!$F$78)/100*Construction!AD11/360*1</f>
        <v>0.483093448763554</v>
      </c>
      <c r="AE34" s="11" t="n">
        <f aca="false">Construction!AE14*AE29*(Construction!AE17+Inputs!$F$78)/100*Construction!AE11/360*1</f>
        <v>0.5295860265107</v>
      </c>
      <c r="AF34" s="11" t="n">
        <f aca="false">Construction!AF14*AF29*(Construction!AF17+Inputs!$F$78)/100*Construction!AF11/360*1</f>
        <v>0.540251522891254</v>
      </c>
      <c r="AG34" s="11" t="n">
        <f aca="false">Construction!AG14*AG29*(Construction!AG17+Inputs!$F$78)/100*Construction!AG11/360*1</f>
        <v>0.588233521841255</v>
      </c>
      <c r="AH34" s="11" t="n">
        <f aca="false">Construction!AH14*AH29*(Construction!AH17+Inputs!$F$78)/100*Construction!AH11/360*1</f>
        <v>0.612457365615973</v>
      </c>
      <c r="AI34" s="11" t="n">
        <f aca="false">Construction!AI14*AI29*(Construction!AI17+Inputs!$F$78)/100*Construction!AI11/360*1</f>
        <v>0.613537367547095</v>
      </c>
      <c r="AJ34" s="11" t="n">
        <f aca="false">Construction!AJ14*AJ29*(Construction!AJ17+Inputs!$F$78)/100*Construction!AJ11/360*1</f>
        <v>0.652627145928813</v>
      </c>
      <c r="AK34" s="11" t="n">
        <f aca="false">Construction!AK14*AK29*(Construction!AK17+Inputs!$F$78)/100*Construction!AK11/360*1</f>
        <v>0.646911347748363</v>
      </c>
      <c r="AL34" s="11" t="n">
        <f aca="false">Construction!AL14*AL29*(Construction!AL17+Inputs!$F$78)/100*Construction!AL11/360*1</f>
        <v>0.681480402897181</v>
      </c>
      <c r="AM34" s="11" t="n">
        <f aca="false">Construction!AM14*AM29*(Construction!AM17+Inputs!$F$78)/100*Construction!AM11/360*1</f>
        <v>0.695075932579183</v>
      </c>
      <c r="AN34" s="11" t="n">
        <f aca="false">Construction!AN14*AN29*(Construction!AN17+Inputs!$F$78)/100*Construction!AN11/360*1</f>
        <v>0.635303292417901</v>
      </c>
      <c r="AO34" s="11" t="n">
        <f aca="false">Construction!AO14*AO29*(Construction!AO17+Inputs!$F$78)/100*Construction!AO11/360*1</f>
        <v>0.709649488976781</v>
      </c>
      <c r="AP34" s="11" t="n">
        <f aca="false">Construction!AP14*AP29*(Construction!AP17+Inputs!$F$78)/100*Construction!AP11/360*1</f>
        <v>0.691832128602374</v>
      </c>
      <c r="AQ34" s="11" t="n">
        <f aca="false">Construction!AQ14*AQ29*(Construction!AQ17+Inputs!$F$78)/100*Construction!AQ11/360*1</f>
        <v>0.719465060325092</v>
      </c>
      <c r="AR34" s="11" t="n">
        <f aca="false">Construction!AR14*AR29*(Construction!AR17+Inputs!$F$78)/100*Construction!AR11/360*1</f>
        <v>0.700691933014961</v>
      </c>
      <c r="AS34" s="11" t="n">
        <f aca="false">Construction!AS14*AS29*(Construction!AS17+Inputs!$F$78)/100*Construction!AS11/360*1</f>
        <v>0.728572493293912</v>
      </c>
      <c r="AT34" s="11" t="n">
        <f aca="false">Construction!AT14*AT29*(Construction!AT17+Inputs!$F$78)/100*Construction!AT11/360*1</f>
        <v>0.733276907061947</v>
      </c>
      <c r="AU34" s="11" t="n">
        <f aca="false">Construction!AU14*AU29*(Construction!AU17+Inputs!$F$78)/100*Construction!AU11/360*1</f>
        <v>0.714189797710418</v>
      </c>
      <c r="AV34" s="11" t="n">
        <f aca="false">Construction!AV14*AV29*(Construction!AV17+Inputs!$F$78)/100*Construction!AV11/360*1</f>
        <v>0.742620855875889</v>
      </c>
      <c r="AW34" s="11" t="n">
        <f aca="false">Construction!AW14*AW29*(Construction!AW17+Inputs!$F$78)/100*Construction!AW11/360*1</f>
        <v>0.76849605580964</v>
      </c>
      <c r="AX34" s="11" t="n">
        <f aca="false">Construction!AX14*AX29*(Construction!AX17+Inputs!$F$78)/100*Construction!AX11/360*1</f>
        <v>0.836017532411203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8.02572342660894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0.0445756651725623</v>
      </c>
      <c r="L35" s="11" t="n">
        <f aca="false">Construction!L14*L30*(Construction!L17+Inputs!$F$79)/100*Construction!L11/360*1</f>
        <v>0.0470083242335344</v>
      </c>
      <c r="M35" s="11" t="n">
        <f aca="false">Construction!M14*M30*(Construction!M17+Inputs!$F$79)/100*Construction!M11/360*1</f>
        <v>0.0466592866114302</v>
      </c>
      <c r="N35" s="11" t="n">
        <f aca="false">Construction!N14*N30*(Construction!N17+Inputs!$F$79)/100*Construction!N11/360*1</f>
        <v>0.0499180997254746</v>
      </c>
      <c r="O35" s="11" t="n">
        <f aca="false">Construction!O14*O30*(Construction!O17+Inputs!$F$79)/100*Construction!O11/360*1</f>
        <v>0.0547583200542136</v>
      </c>
      <c r="P35" s="11" t="n">
        <f aca="false">Construction!P14*P30*(Construction!P17+Inputs!$F$79)/100*Construction!P11/360*1</f>
        <v>0.0526485950376489</v>
      </c>
      <c r="Q35" s="11" t="n">
        <f aca="false">Construction!Q14*Q30*(Construction!Q17+Inputs!$F$79)/100*Construction!Q11/360*1</f>
        <v>0.0628939968946122</v>
      </c>
      <c r="R35" s="11" t="n">
        <f aca="false">Construction!R14*R30*(Construction!R17+Inputs!$F$79)/100*Construction!R11/360*1</f>
        <v>0.0665212789554001</v>
      </c>
      <c r="S35" s="11" t="n">
        <f aca="false">Construction!S14*S30*(Construction!S17+Inputs!$F$79)/100*Construction!S11/360*1</f>
        <v>0.0758181496194305</v>
      </c>
      <c r="T35" s="11" t="n">
        <f aca="false">Construction!T14*T30*(Construction!T17+Inputs!$F$79)/100*Construction!T11/360*1</f>
        <v>0.081440924328137</v>
      </c>
      <c r="U35" s="11" t="n">
        <f aca="false">Construction!U14*U30*(Construction!U17+Inputs!$F$79)/100*Construction!U11/360*1</f>
        <v>0.095939611354461</v>
      </c>
      <c r="V35" s="11" t="n">
        <f aca="false">Construction!V14*V30*(Construction!V17+Inputs!$F$79)/100*Construction!V11/360*1</f>
        <v>0.10684041375469</v>
      </c>
      <c r="W35" s="11" t="n">
        <f aca="false">Construction!W14*W30*(Construction!W17+Inputs!$F$79)/100*Construction!W11/360*1</f>
        <v>0.114926509370801</v>
      </c>
      <c r="X35" s="11" t="n">
        <f aca="false">Construction!X14*X30*(Construction!X17+Inputs!$F$79)/100*Construction!X11/360*1</f>
        <v>0.131519131358376</v>
      </c>
      <c r="Y35" s="11" t="n">
        <f aca="false">Construction!Y14*Y30*(Construction!Y17+Inputs!$F$79)/100*Construction!Y11/360*1</f>
        <v>0.140303939491784</v>
      </c>
      <c r="Z35" s="11" t="n">
        <f aca="false">Construction!Z14*Z30*(Construction!Z17+Inputs!$F$79)/100*Construction!Z11/360*1</f>
        <v>0.158907852982648</v>
      </c>
      <c r="AA35" s="11" t="n">
        <f aca="false">Construction!AA14*AA30*(Construction!AA17+Inputs!$F$79)/100*Construction!AA11/360*1</f>
        <v>0.175311638028881</v>
      </c>
      <c r="AB35" s="11" t="n">
        <f aca="false">Construction!AB14*AB30*(Construction!AB17+Inputs!$F$79)/100*Construction!AB11/360*1</f>
        <v>0.177973487149447</v>
      </c>
      <c r="AC35" s="11" t="n">
        <f aca="false">Construction!AC14*AC30*(Construction!AC17+Inputs!$F$79)/100*Construction!AC11/360*1</f>
        <v>0.204494080663251</v>
      </c>
      <c r="AD35" s="11" t="n">
        <f aca="false">Construction!AD14*AD30*(Construction!AD17+Inputs!$F$79)/100*Construction!AD11/360*1</f>
        <v>0.211357499050158</v>
      </c>
      <c r="AE35" s="11" t="n">
        <f aca="false">Construction!AE14*AE30*(Construction!AE17+Inputs!$F$79)/100*Construction!AE11/360*1</f>
        <v>0.231698397860072</v>
      </c>
      <c r="AF35" s="11" t="n">
        <f aca="false">Construction!AF14*AF30*(Construction!AF17+Inputs!$F$79)/100*Construction!AF11/360*1</f>
        <v>0.236364643380254</v>
      </c>
      <c r="AG35" s="11" t="n">
        <f aca="false">Construction!AG14*AG30*(Construction!AG17+Inputs!$F$79)/100*Construction!AG11/360*1</f>
        <v>0.25741691851338</v>
      </c>
      <c r="AH35" s="11" t="n">
        <f aca="false">Construction!AH14*AH30*(Construction!AH17+Inputs!$F$79)/100*Construction!AH11/360*1</f>
        <v>0.268017516723966</v>
      </c>
      <c r="AI35" s="11" t="n">
        <f aca="false">Construction!AI14*AI30*(Construction!AI17+Inputs!$F$79)/100*Construction!AI11/360*1</f>
        <v>0.268490136455374</v>
      </c>
      <c r="AJ35" s="11" t="n">
        <f aca="false">Construction!AJ14*AJ30*(Construction!AJ17+Inputs!$F$79)/100*Construction!AJ11/360*1</f>
        <v>0.285596217497638</v>
      </c>
      <c r="AK35" s="11" t="n">
        <f aca="false">Construction!AK14*AK30*(Construction!AK17+Inputs!$F$79)/100*Construction!AK11/360*1</f>
        <v>0.283094926598999</v>
      </c>
      <c r="AL35" s="11" t="n">
        <f aca="false">Construction!AL14*AL30*(Construction!AL17+Inputs!$F$79)/100*Construction!AL11/360*1</f>
        <v>0.29822269358595</v>
      </c>
      <c r="AM35" s="11" t="n">
        <f aca="false">Construction!AM14*AM30*(Construction!AM17+Inputs!$F$79)/100*Construction!AM11/360*1</f>
        <v>0.304224629244598</v>
      </c>
      <c r="AN35" s="11" t="n">
        <f aca="false">Construction!AN14*AN30*(Construction!AN17+Inputs!$F$79)/100*Construction!AN11/360*1</f>
        <v>0.27806301374374</v>
      </c>
      <c r="AO35" s="11" t="n">
        <f aca="false">Construction!AO14*AO30*(Construction!AO17+Inputs!$F$79)/100*Construction!AO11/360*1</f>
        <v>0.310603262979451</v>
      </c>
      <c r="AP35" s="11" t="n">
        <f aca="false">Construction!AP14*AP30*(Construction!AP17+Inputs!$F$79)/100*Construction!AP11/360*1</f>
        <v>0.302804863409051</v>
      </c>
      <c r="AQ35" s="11" t="n">
        <f aca="false">Construction!AQ14*AQ30*(Construction!AQ17+Inputs!$F$79)/100*Construction!AQ11/360*1</f>
        <v>0.314899395839617</v>
      </c>
      <c r="AR35" s="11" t="n">
        <f aca="false">Construction!AR14*AR30*(Construction!AR17+Inputs!$F$79)/100*Construction!AR11/360*1</f>
        <v>0.306682670978358</v>
      </c>
      <c r="AS35" s="11" t="n">
        <f aca="false">Construction!AS14*AS30*(Construction!AS17+Inputs!$F$79)/100*Construction!AS11/360*1</f>
        <v>0.318885586827454</v>
      </c>
      <c r="AT35" s="11" t="n">
        <f aca="false">Construction!AT14*AT30*(Construction!AT17+Inputs!$F$79)/100*Construction!AT11/360*1</f>
        <v>0.320944640331268</v>
      </c>
      <c r="AU35" s="11" t="n">
        <f aca="false">Construction!AU14*AU30*(Construction!AU17+Inputs!$F$79)/100*Construction!AU11/360*1</f>
        <v>0.312590490095806</v>
      </c>
      <c r="AV35" s="11" t="n">
        <f aca="false">Construction!AV14*AV30*(Construction!AV17+Inputs!$F$79)/100*Construction!AV11/360*1</f>
        <v>0.32503435086556</v>
      </c>
      <c r="AW35" s="11" t="n">
        <f aca="false">Construction!AW14*AW30*(Construction!AW17+Inputs!$F$79)/100*Construction!AW11/360*1</f>
        <v>0.33635954964962</v>
      </c>
      <c r="AX35" s="11" t="n">
        <f aca="false">Construction!AX14*AX30*(Construction!AX17+Inputs!$F$79)/100*Construction!AX11/360*1</f>
        <v>0.365912718191847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37.57598206924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0.210462731434117</v>
      </c>
      <c r="L36" s="11" t="n">
        <f aca="false">Construction!L14*L31*(Construction!L17+Inputs!$F$80)/100*Construction!L11/360*(1/(1-Inputs!$F$91/100))</f>
        <v>0.221948461790313</v>
      </c>
      <c r="M36" s="11" t="n">
        <f aca="false">Construction!M14*M31*(Construction!M17+Inputs!$F$80)/100*Construction!M11/360*(1/(1-Inputs!$F$91/100))</f>
        <v>0.220300490615078</v>
      </c>
      <c r="N36" s="11" t="n">
        <f aca="false">Construction!N14*N31*(Construction!N17+Inputs!$F$80)/100*Construction!N11/360*(1/(1-Inputs!$F$91/100))</f>
        <v>0.235686883763896</v>
      </c>
      <c r="O36" s="11" t="n">
        <f aca="false">Construction!O14*O31*(Construction!O17+Inputs!$F$80)/100*Construction!O11/360*(1/(1-Inputs!$F$91/100))</f>
        <v>0.257347394661537</v>
      </c>
      <c r="P36" s="11" t="n">
        <f aca="false">Construction!P14*P31*(Construction!P17+Inputs!$F$80)/100*Construction!P11/360*(1/(1-Inputs!$F$91/100))</f>
        <v>0.247432330869812</v>
      </c>
      <c r="Q36" s="11" t="n">
        <f aca="false">Construction!Q14*Q31*(Construction!Q17+Inputs!$F$80)/100*Construction!Q11/360*(1/(1-Inputs!$F$91/100))</f>
        <v>0.295582593195968</v>
      </c>
      <c r="R36" s="11" t="n">
        <f aca="false">Construction!R14*R31*(Construction!R17+Inputs!$F$80)/100*Construction!R11/360*(1/(1-Inputs!$F$91/100))</f>
        <v>0.312629712010462</v>
      </c>
      <c r="S36" s="11" t="n">
        <f aca="false">Construction!S14*S31*(Construction!S17+Inputs!$F$80)/100*Construction!S11/360*(1/(1-Inputs!$F$91/100))</f>
        <v>0.356322167175719</v>
      </c>
      <c r="T36" s="11" t="n">
        <f aca="false">Construction!T14*T31*(Construction!T17+Inputs!$F$80)/100*Construction!T11/360*(1/(1-Inputs!$F$91/100))</f>
        <v>0.3827474925075</v>
      </c>
      <c r="U36" s="11" t="n">
        <f aca="false">Construction!U14*U31*(Construction!U17+Inputs!$F$80)/100*Construction!U11/360*(1/(1-Inputs!$F$91/100))</f>
        <v>0.44980309901061</v>
      </c>
      <c r="V36" s="11" t="n">
        <f aca="false">Construction!V14*V31*(Construction!V17+Inputs!$F$80)/100*Construction!V11/360*(1/(1-Inputs!$F$91/100))</f>
        <v>0.500910401115573</v>
      </c>
      <c r="W36" s="11" t="n">
        <f aca="false">Construction!W14*W31*(Construction!W17+Inputs!$F$80)/100*Construction!W11/360*(1/(1-Inputs!$F$91/100))</f>
        <v>0.538821237064084</v>
      </c>
      <c r="X36" s="11" t="n">
        <f aca="false">Construction!X14*X31*(Construction!X17+Inputs!$F$80)/100*Construction!X11/360*(1/(1-Inputs!$F$91/100))</f>
        <v>0.616614055748206</v>
      </c>
      <c r="Y36" s="11" t="n">
        <f aca="false">Construction!Y14*Y31*(Construction!Y17+Inputs!$F$80)/100*Construction!Y11/360*(1/(1-Inputs!$F$91/100))</f>
        <v>0.657800734189313</v>
      </c>
      <c r="Z36" s="11" t="n">
        <f aca="false">Construction!Z14*Z31*(Construction!Z17+Inputs!$F$80)/100*Construction!Z11/360*(1/(1-Inputs!$F$91/100))</f>
        <v>0.745023288291588</v>
      </c>
      <c r="AA36" s="11" t="n">
        <f aca="false">Construction!AA14*AA31*(Construction!AA17+Inputs!$F$80)/100*Construction!AA11/360*(1/(1-Inputs!$F$91/100))</f>
        <v>0.820912370804673</v>
      </c>
      <c r="AB36" s="11" t="n">
        <f aca="false">Construction!AB14*AB31*(Construction!AB17+Inputs!$F$80)/100*Construction!AB11/360*(1/(1-Inputs!$F$91/100))</f>
        <v>0.833376716565495</v>
      </c>
      <c r="AC36" s="11" t="n">
        <f aca="false">Construction!AC14*AC31*(Construction!AC17+Inputs!$F$80)/100*Construction!AC11/360*(1/(1-Inputs!$F$91/100))</f>
        <v>0.95756175950587</v>
      </c>
      <c r="AD36" s="11" t="n">
        <f aca="false">Construction!AD14*AD31*(Construction!AD17+Inputs!$F$80)/100*Construction!AD11/360*(1/(1-Inputs!$F$91/100))</f>
        <v>0.98970032784719</v>
      </c>
      <c r="AE36" s="11" t="n">
        <f aca="false">Construction!AE14*AE31*(Construction!AE17+Inputs!$F$80)/100*Construction!AE11/360*(1/(1-Inputs!$F$91/100))</f>
        <v>1.08494839953307</v>
      </c>
      <c r="AF36" s="11" t="n">
        <f aca="false">Construction!AF14*AF31*(Construction!AF17+Inputs!$F$80)/100*Construction!AF11/360*(1/(1-Inputs!$F$91/100))</f>
        <v>1.10679851008933</v>
      </c>
      <c r="AG36" s="11" t="n">
        <f aca="false">Construction!AG14*AG31*(Construction!AG17+Inputs!$F$80)/100*Construction!AG11/360*(1/(1-Inputs!$F$91/100))</f>
        <v>1.20464388010183</v>
      </c>
      <c r="AH36" s="11" t="n">
        <f aca="false">Construction!AH14*AH31*(Construction!AH17+Inputs!$F$80)/100*Construction!AH11/360*(1/(1-Inputs!$F$91/100))</f>
        <v>1.25425190832915</v>
      </c>
      <c r="AI36" s="11" t="n">
        <f aca="false">Construction!AI14*AI31*(Construction!AI17+Inputs!$F$80)/100*Construction!AI11/360*(1/(1-Inputs!$F$91/100))</f>
        <v>1.25646364511142</v>
      </c>
      <c r="AJ36" s="11" t="n">
        <f aca="false">Construction!AJ14*AJ31*(Construction!AJ17+Inputs!$F$80)/100*Construction!AJ11/360*(1/(1-Inputs!$F$91/100))</f>
        <v>1.33651563221117</v>
      </c>
      <c r="AK36" s="11" t="n">
        <f aca="false">Construction!AK14*AK31*(Construction!AK17+Inputs!$F$80)/100*Construction!AK11/360*(1/(1-Inputs!$F$91/100))</f>
        <v>1.3248102447378</v>
      </c>
      <c r="AL36" s="11" t="n">
        <f aca="false">Construction!AL14*AL31*(Construction!AL17+Inputs!$F$80)/100*Construction!AL11/360*(1/(1-Inputs!$F$91/100))</f>
        <v>1.39560423926497</v>
      </c>
      <c r="AM36" s="11" t="n">
        <f aca="false">Construction!AM14*AM31*(Construction!AM17+Inputs!$F$80)/100*Construction!AM11/360*(1/(1-Inputs!$F$91/100))</f>
        <v>1.42304833422717</v>
      </c>
      <c r="AN36" s="11" t="n">
        <f aca="false">Construction!AN14*AN31*(Construction!AN17+Inputs!$F$80)/100*Construction!AN11/360*(1/(1-Inputs!$F$91/100))</f>
        <v>1.30067414167205</v>
      </c>
      <c r="AO36" s="11" t="n">
        <f aca="false">Construction!AO14*AO31*(Construction!AO17+Inputs!$F$80)/100*Construction!AO11/360*(1/(1-Inputs!$F$91/100))</f>
        <v>1.45288518252432</v>
      </c>
      <c r="AP36" s="11" t="n">
        <f aca="false">Construction!AP14*AP31*(Construction!AP17+Inputs!$F$80)/100*Construction!AP11/360*(1/(1-Inputs!$F$91/100))</f>
        <v>1.41640720391407</v>
      </c>
      <c r="AQ36" s="11" t="n">
        <f aca="false">Construction!AQ14*AQ31*(Construction!AQ17+Inputs!$F$80)/100*Construction!AQ11/360*(1/(1-Inputs!$F$91/100))</f>
        <v>1.47298087538607</v>
      </c>
      <c r="AR36" s="11" t="n">
        <f aca="false">Construction!AR14*AR31*(Construction!AR17+Inputs!$F$80)/100*Construction!AR11/360*(1/(1-Inputs!$F$91/100))</f>
        <v>1.43454612848326</v>
      </c>
      <c r="AS36" s="11" t="n">
        <f aca="false">Construction!AS14*AS31*(Construction!AS17+Inputs!$F$80)/100*Construction!AS11/360*(1/(1-Inputs!$F$91/100))</f>
        <v>1.49162677680187</v>
      </c>
      <c r="AT36" s="11" t="n">
        <f aca="false">Construction!AT14*AT31*(Construction!AT17+Inputs!$F$80)/100*Construction!AT11/360*(1/(1-Inputs!$F$91/100))</f>
        <v>1.5012582542597</v>
      </c>
      <c r="AU36" s="11" t="n">
        <f aca="false">Construction!AU14*AU31*(Construction!AU17+Inputs!$F$80)/100*Construction!AU11/360*(1/(1-Inputs!$F$91/100))</f>
        <v>1.46218068317028</v>
      </c>
      <c r="AV36" s="11" t="n">
        <f aca="false">Construction!AV14*AV31*(Construction!AV17+Inputs!$F$80)/100*Construction!AV11/360*(1/(1-Inputs!$F$91/100))</f>
        <v>1.52038838115885</v>
      </c>
      <c r="AW36" s="11" t="n">
        <f aca="false">Construction!AW14*AW31*(Construction!AW17+Inputs!$F$80)/100*Construction!AW11/360*(1/(1-Inputs!$F$91/100))</f>
        <v>1.57336339933691</v>
      </c>
      <c r="AX36" s="11" t="n">
        <f aca="false">Construction!AX14*AX31*(Construction!AX17+Inputs!$F$80)/100*Construction!AX11/360*(1/(1-Inputs!$F$91/100))</f>
        <v>1.71160200075974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4.84253832419524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0.0292085305463381</v>
      </c>
      <c r="L38" s="11" t="n">
        <f aca="false">Construction!L14*(Inputs!$F$93/100*Inputs!$F$94/100)*L31*Construction!L11/365</f>
        <v>0.0308025481839025</v>
      </c>
      <c r="M38" s="11" t="n">
        <f aca="false">Construction!M14*(Inputs!$F$93/100*Inputs!$F$94/100)*M31*Construction!M11/365</f>
        <v>0.0305738387298185</v>
      </c>
      <c r="N38" s="11" t="n">
        <f aca="false">Construction!N14*(Inputs!$F$93/100*Inputs!$F$94/100)*N31*Construction!N11/365</f>
        <v>0.0327091998515851</v>
      </c>
      <c r="O38" s="11" t="n">
        <f aca="false">Construction!O14*(Inputs!$F$93/100*Inputs!$F$94/100)*O31*Construction!O11/365</f>
        <v>0.0343157147845</v>
      </c>
      <c r="P38" s="11" t="n">
        <f aca="false">Construction!P14*(Inputs!$F$93/100*Inputs!$F$94/100)*P31*Construction!P11/365</f>
        <v>0.0329936011427651</v>
      </c>
      <c r="Q38" s="11" t="n">
        <f aca="false">Construction!Q14*(Inputs!$F$93/100*Inputs!$F$94/100)*Q31*Construction!Q11/365</f>
        <v>0.0394141466895981</v>
      </c>
      <c r="R38" s="11" t="n">
        <f aca="false">Construction!R14*(Inputs!$F$93/100*Inputs!$F$94/100)*R31*Construction!R11/365</f>
        <v>0.0416872766270705</v>
      </c>
      <c r="S38" s="11" t="n">
        <f aca="false">Construction!S14*(Inputs!$F$93/100*Inputs!$F$94/100)*S31*Construction!S11/365</f>
        <v>0.0475134006166195</v>
      </c>
      <c r="T38" s="11" t="n">
        <f aca="false">Construction!T14*(Inputs!$F$93/100*Inputs!$F$94/100)*T31*Construction!T11/365</f>
        <v>0.0510370575332386</v>
      </c>
      <c r="U38" s="11" t="n">
        <f aca="false">Construction!U14*(Inputs!$F$93/100*Inputs!$F$94/100)*U31*Construction!U11/365</f>
        <v>0.0587005647658071</v>
      </c>
      <c r="V38" s="11" t="n">
        <f aca="false">Construction!V14*(Inputs!$F$93/100*Inputs!$F$94/100)*V31*Construction!V11/365</f>
        <v>0.0653702108927835</v>
      </c>
      <c r="W38" s="11" t="n">
        <f aca="false">Construction!W14*(Inputs!$F$93/100*Inputs!$F$94/100)*W31*Construction!W11/365</f>
        <v>0.0703176812099432</v>
      </c>
      <c r="X38" s="11" t="n">
        <f aca="false">Construction!X14*(Inputs!$F$93/100*Inputs!$F$94/100)*X31*Construction!X11/365</f>
        <v>0.0804698620231178</v>
      </c>
      <c r="Y38" s="11" t="n">
        <f aca="false">Construction!Y14*(Inputs!$F$93/100*Inputs!$F$94/100)*Y31*Construction!Y11/365</f>
        <v>0.0858448389644474</v>
      </c>
      <c r="Z38" s="11" t="n">
        <f aca="false">Construction!Z14*(Inputs!$F$93/100*Inputs!$F$94/100)*Z31*Construction!Z11/365</f>
        <v>0.0972276266717392</v>
      </c>
      <c r="AA38" s="11" t="n">
        <f aca="false">Construction!AA14*(Inputs!$F$93/100*Inputs!$F$94/100)*AA31*Construction!AA11/365</f>
        <v>0.105927641382807</v>
      </c>
      <c r="AB38" s="11" t="n">
        <f aca="false">Construction!AB14*(Inputs!$F$93/100*Inputs!$F$94/100)*AB31*Construction!AB11/365</f>
        <v>0.107535996665027</v>
      </c>
      <c r="AC38" s="11" t="n">
        <f aca="false">Construction!AC14*(Inputs!$F$93/100*Inputs!$F$94/100)*AC31*Construction!AC11/365</f>
        <v>0.123560397272856</v>
      </c>
      <c r="AD38" s="11" t="n">
        <f aca="false">Construction!AD14*(Inputs!$F$93/100*Inputs!$F$94/100)*AD31*Construction!AD11/365</f>
        <v>0.127707444951623</v>
      </c>
      <c r="AE38" s="11" t="n">
        <f aca="false">Construction!AE14*(Inputs!$F$93/100*Inputs!$F$94/100)*AE31*Construction!AE11/365</f>
        <v>0.139997920693944</v>
      </c>
      <c r="AF38" s="11" t="n">
        <f aca="false">Construction!AF14*(Inputs!$F$93/100*Inputs!$F$94/100)*AF31*Construction!AF11/365</f>
        <v>0.14281738201222</v>
      </c>
      <c r="AG38" s="11" t="n">
        <f aca="false">Construction!AG14*(Inputs!$F$93/100*Inputs!$F$94/100)*AG31*Construction!AG11/365</f>
        <v>0.154574607313594</v>
      </c>
      <c r="AH38" s="11" t="n">
        <f aca="false">Construction!AH14*(Inputs!$F$93/100*Inputs!$F$94/100)*AH31*Construction!AH11/365</f>
        <v>0.160940091428444</v>
      </c>
      <c r="AI38" s="11" t="n">
        <f aca="false">Construction!AI14*(Inputs!$F$93/100*Inputs!$F$94/100)*AI31*Construction!AI11/365</f>
        <v>0.16122389176998</v>
      </c>
      <c r="AJ38" s="11" t="n">
        <f aca="false">Construction!AJ14*(Inputs!$F$93/100*Inputs!$F$94/100)*AJ31*Construction!AJ11/365</f>
        <v>0.171495810861595</v>
      </c>
      <c r="AK38" s="11" t="n">
        <f aca="false">Construction!AK14*(Inputs!$F$93/100*Inputs!$F$94/100)*AK31*Construction!AK11/365</f>
        <v>0.169993826995628</v>
      </c>
      <c r="AL38" s="11" t="n">
        <f aca="false">Construction!AL14*(Inputs!$F$93/100*Inputs!$F$94/100)*AL31*Construction!AL11/365</f>
        <v>0.179077801176672</v>
      </c>
      <c r="AM38" s="11" t="n">
        <f aca="false">Construction!AM14*(Inputs!$F$93/100*Inputs!$F$94/100)*AM31*Construction!AM11/365</f>
        <v>0.181837418179641</v>
      </c>
      <c r="AN38" s="11" t="n">
        <f aca="false">Construction!AN14*(Inputs!$F$93/100*Inputs!$F$94/100)*AN31*Construction!AN11/365</f>
        <v>0.166200417881878</v>
      </c>
      <c r="AO38" s="11" t="n">
        <f aca="false">Construction!AO14*(Inputs!$F$93/100*Inputs!$F$94/100)*AO31*Construction!AO11/365</f>
        <v>0.185649976987714</v>
      </c>
      <c r="AP38" s="11" t="n">
        <f aca="false">Construction!AP14*(Inputs!$F$93/100*Inputs!$F$94/100)*AP31*Construction!AP11/365</f>
        <v>0.180988813138699</v>
      </c>
      <c r="AQ38" s="11" t="n">
        <f aca="false">Construction!AQ14*(Inputs!$F$93/100*Inputs!$F$94/100)*AQ31*Construction!AQ11/365</f>
        <v>0.188217808886758</v>
      </c>
      <c r="AR38" s="11" t="n">
        <f aca="false">Construction!AR14*(Inputs!$F$93/100*Inputs!$F$94/100)*AR31*Construction!AR11/365</f>
        <v>0.18330660877001</v>
      </c>
      <c r="AS38" s="11" t="n">
        <f aca="false">Construction!AS14*(Inputs!$F$93/100*Inputs!$F$94/100)*AS31*Construction!AS11/365</f>
        <v>0.190600386127131</v>
      </c>
      <c r="AT38" s="11" t="n">
        <f aca="false">Construction!AT14*(Inputs!$F$93/100*Inputs!$F$94/100)*AT31*Construction!AT11/365</f>
        <v>0.191831098360907</v>
      </c>
      <c r="AU38" s="11" t="n">
        <f aca="false">Construction!AU14*(Inputs!$F$93/100*Inputs!$F$94/100)*AU31*Construction!AU11/365</f>
        <v>0.186837758033159</v>
      </c>
      <c r="AV38" s="11" t="n">
        <f aca="false">Construction!AV14*(Inputs!$F$93/100*Inputs!$F$94/100)*AV31*Construction!AV11/365</f>
        <v>0.194275550036317</v>
      </c>
      <c r="AW38" s="11" t="n">
        <f aca="false">Construction!AW14*(Inputs!$F$93/100*Inputs!$F$94/100)*AW31*Construction!AW11/365</f>
        <v>0.201044709102688</v>
      </c>
      <c r="AX38" s="11" t="n">
        <f aca="false">Construction!AX14*(Inputs!$F$93/100*Inputs!$F$94/100)*AX31*Construction!AX11/365</f>
        <v>0.218708866932677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-0.780154394273374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0.00436885296429229</v>
      </c>
      <c r="P39" s="11" t="n">
        <f aca="false">Construction!P14*Inputs!P229*(Inputs!$F$95/100/12-Construction!P17/100*Construction!P11/360)</f>
        <v>0.0249275257662273</v>
      </c>
      <c r="Q39" s="11" t="n">
        <f aca="false">Construction!Q14*Inputs!Q229*(Inputs!$F$95/100/12-Construction!Q17/100*Construction!Q11/360)</f>
        <v>0.00501952997504109</v>
      </c>
      <c r="R39" s="11" t="n">
        <f aca="false">Construction!R14*Inputs!R229*(Inputs!$F$95/100/12-Construction!R17/100*Construction!R11/360)</f>
        <v>0.0134604396914615</v>
      </c>
      <c r="S39" s="11" t="n">
        <f aca="false">Construction!S14*Inputs!S229*(Inputs!$F$95/100/12-Construction!S17/100*Construction!S11/360)</f>
        <v>0.0060534528711158</v>
      </c>
      <c r="T39" s="11" t="n">
        <f aca="false">Construction!T14*Inputs!T229*(Inputs!$F$95/100/12-Construction!T17/100*Construction!T11/360)</f>
        <v>0.0164862716424018</v>
      </c>
      <c r="U39" s="11" t="n">
        <f aca="false">Construction!U14*Inputs!U229*(Inputs!$F$95/100/12-Construction!U17/100*Construction!U11/360)</f>
        <v>-0.0106381743817501</v>
      </c>
      <c r="V39" s="11" t="n">
        <f aca="false">Construction!V14*Inputs!V229*(Inputs!$F$95/100/12-Construction!V17/100*Construction!V11/360)</f>
        <v>-0.0118490450742335</v>
      </c>
      <c r="W39" s="11" t="n">
        <f aca="false">Construction!W14*Inputs!W229*(Inputs!$F$95/100/12-Construction!W17/100*Construction!W11/360)</f>
        <v>0.00101329493099842</v>
      </c>
      <c r="X39" s="11" t="n">
        <f aca="false">Construction!X14*Inputs!X229*(Inputs!$F$95/100/12-Construction!X17/100*Construction!X11/360)</f>
        <v>-0.0145905275390518</v>
      </c>
      <c r="Y39" s="11" t="n">
        <f aca="false">Construction!Y14*Inputs!Y229*(Inputs!$F$95/100/12-Construction!Y17/100*Construction!Y11/360)</f>
        <v>0.00123738122778837</v>
      </c>
      <c r="Z39" s="11" t="n">
        <f aca="false">Construction!Z14*Inputs!Z229*(Inputs!$F$95/100/12-Construction!Z17/100*Construction!Z11/360)</f>
        <v>-0.017633145742279</v>
      </c>
      <c r="AA39" s="11" t="n">
        <f aca="false">Construction!AA14*Inputs!AA229*(Inputs!$F$95/100/12-Construction!AA17/100*Construction!AA11/360)</f>
        <v>-0.0366661065828445</v>
      </c>
      <c r="AB39" s="11" t="n">
        <f aca="false">Construction!AB14*Inputs!AB229*(Inputs!$F$95/100/12-Construction!AB17/100*Construction!AB11/360)</f>
        <v>0.0063394134529816</v>
      </c>
      <c r="AC39" s="11" t="n">
        <f aca="false">Construction!AC14*Inputs!AC229*(Inputs!$F$95/100/12-Construction!AC17/100*Construction!AC11/360)</f>
        <v>-0.0427760317478335</v>
      </c>
      <c r="AD39" s="11" t="n">
        <f aca="false">Construction!AD14*Inputs!AD229*(Inputs!$F$95/100/12-Construction!AD17/100*Construction!AD11/360)</f>
        <v>-0.0192047358923709</v>
      </c>
      <c r="AE39" s="11" t="n">
        <f aca="false">Construction!AE14*Inputs!AE229*(Inputs!$F$95/100/12-Construction!AE17/100*Construction!AE11/360)</f>
        <v>-0.0484716070376672</v>
      </c>
      <c r="AF39" s="11" t="n">
        <f aca="false">Construction!AF14*Inputs!AF229*(Inputs!$F$95/100/12-Construction!AF17/100*Construction!AF11/360)</f>
        <v>-0.0214788028541397</v>
      </c>
      <c r="AG39" s="11" t="n">
        <f aca="false">Construction!AG14*Inputs!AG229*(Inputs!$F$95/100/12-Construction!AG17/100*Construction!AG11/360)</f>
        <v>-0.0662606861661246</v>
      </c>
      <c r="AH39" s="11" t="n">
        <f aca="false">Construction!AH14*Inputs!AH229*(Inputs!$F$95/100/12-Construction!AH17/100*Construction!AH11/360)</f>
        <v>-0.0689909671481443</v>
      </c>
      <c r="AI39" s="11" t="n">
        <f aca="false">Construction!AI14*Inputs!AI229*(Inputs!$F$95/100/12-Construction!AI17/100*Construction!AI11/360)</f>
        <v>-0.0375357803912348</v>
      </c>
      <c r="AJ39" s="11" t="n">
        <f aca="false">Construction!AJ14*Inputs!AJ229*(Inputs!$F$95/100/12-Construction!AJ17/100*Construction!AJ11/360)</f>
        <v>-0.0735182088344329</v>
      </c>
      <c r="AK39" s="11" t="n">
        <f aca="false">Construction!AK14*Inputs!AK229*(Inputs!$F$95/100/12-Construction!AK17/100*Construction!AK11/360)</f>
        <v>-0.0395783992497945</v>
      </c>
      <c r="AL39" s="11" t="n">
        <f aca="false">Construction!AL14*Inputs!AL229*(Inputs!$F$95/100/12-Construction!AL17/100*Construction!AL11/360)</f>
        <v>-0.0767694189872691</v>
      </c>
      <c r="AM39" s="11" t="n">
        <f aca="false">Construction!AM14*Inputs!AM229*(Inputs!$F$95/100/12-Construction!AM17/100*Construction!AM11/360)</f>
        <v>-0.089192066664552</v>
      </c>
      <c r="AN39" s="11" t="n">
        <f aca="false">Construction!AN14*Inputs!AN229*(Inputs!$F$95/100/12-Construction!AN17/100*Construction!AN11/360)</f>
        <v>0.0231144026488669</v>
      </c>
      <c r="AO39" s="11" t="n">
        <f aca="false">Construction!AO14*Inputs!AO229*(Inputs!$F$95/100/12-Construction!AO17/100*Construction!AO11/360)</f>
        <v>-0.0910615543535457</v>
      </c>
      <c r="AP39" s="11" t="n">
        <f aca="false">Construction!AP14*Inputs!AP229*(Inputs!$F$95/100/12-Construction!AP17/100*Construction!AP11/360)</f>
        <v>-0.0533248948443183</v>
      </c>
      <c r="AQ39" s="11" t="n">
        <f aca="false">Construction!AQ14*Inputs!AQ229*(Inputs!$F$95/100/12-Construction!AQ17/100*Construction!AQ11/360)</f>
        <v>-0.0983231233537221</v>
      </c>
      <c r="AR39" s="11" t="n">
        <f aca="false">Construction!AR14*Inputs!AR229*(Inputs!$F$95/100/12-Construction!AR17/100*Construction!AR11/360)</f>
        <v>-0.0601076974526416</v>
      </c>
      <c r="AS39" s="11" t="n">
        <f aca="false">Construction!AS14*Inputs!AS229*(Inputs!$F$95/100/12-Construction!AS17/100*Construction!AS11/360)</f>
        <v>-0</v>
      </c>
      <c r="AT39" s="11" t="n">
        <f aca="false">Construction!AT14*Inputs!AT229*(Inputs!$F$95/100/12-Construction!AT17/100*Construction!AT11/360)</f>
        <v>-0</v>
      </c>
      <c r="AU39" s="11" t="n">
        <f aca="false">Construction!AU14*Inputs!AU229*(Inputs!$F$95/100/12-Construction!AU17/100*Construction!AU11/360)</f>
        <v>-0</v>
      </c>
      <c r="AV39" s="11" t="n">
        <f aca="false">Construction!AV14*Inputs!AV229*(Inputs!$F$95/100/12-Construction!AV17/100*Construction!AV11/360)</f>
        <v>-0</v>
      </c>
      <c r="AW39" s="11" t="n">
        <f aca="false">Construction!AW14*Inputs!AW229*(Inputs!$F$95/100/12-Construction!AW17/100*Construction!AW11/360)</f>
        <v>-0</v>
      </c>
      <c r="AX39" s="11" t="n">
        <f aca="false">Construction!AX14*Inputs!AX229*(Inputs!$F$95/100/12-Construction!AX17/100*Construction!AX11/360)</f>
        <v>-0</v>
      </c>
      <c r="AY39" s="11" t="n">
        <f aca="false">Construction!AY14*Inputs!AY229*(Inputs!$F$95/100/12-Construction!AY17/100*Construction!AY11/360)</f>
        <v>-0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-0</v>
      </c>
      <c r="BB39" s="11" t="n">
        <f aca="false">Construction!BB14*Inputs!BB229*(Inputs!$F$95/100/12-Construction!BB17/100*Construction!BB11/360)</f>
        <v>-0</v>
      </c>
      <c r="BC39" s="11" t="n">
        <f aca="false">Construction!BC14*Inputs!BC229*(Inputs!$F$95/100/12-Construction!BC17/100*Construction!BC11/360)</f>
        <v>-0</v>
      </c>
      <c r="BD39" s="11" t="n">
        <f aca="false">Construction!BD14*Inputs!BD229*(Inputs!$F$95/100/12-Construction!BD17/100*Construction!BD11/360)</f>
        <v>-0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-0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-0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10.4210921457421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0.571031596066888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0.47669705708978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0.490974514154305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0.473148565308248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0.486019048527659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0.481843650544016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0.430018755745772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0.468592617602998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0.444264285905167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0.447542325555887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0.419963823118748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0.418466428610157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0.401131745676544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0.369852694007089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0.361887135127591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0.329496976265803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0.318333019762305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0.295721325878855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0.254700396618786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0.249893072508182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0.220694351996524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0.207171277184452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0.181423007894339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0.169285872777122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0.152741719346915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0.133583736591069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0.125306973031101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0.110790316431931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0.105601070256742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0.0984287128551721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0.0838087936566379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0.088519716658748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0.0822138979801753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0.0818458165822931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0.0761898523848358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0.0756534009367819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0.0724547295307033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0.0670122510994571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0.0661014996991577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0.0300878045013754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0.0025983102717883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0.957566666666667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0.0237666666666667</v>
      </c>
      <c r="AT41" s="11" t="n">
        <f aca="false">Construction!AT14*(Inputs!$F$97-AT32)*Inputs!$F$98/100*Construction!AT11/360</f>
        <v>0.0237666666666667</v>
      </c>
      <c r="AU41" s="11" t="n">
        <f aca="false">Construction!AU14*(Inputs!$F$97-AU32)*Inputs!$F$98/100*Construction!AU11/360</f>
        <v>0.023</v>
      </c>
      <c r="AV41" s="11" t="n">
        <f aca="false">Construction!AV14*(Inputs!$F$97-AV32)*Inputs!$F$98/100*Construction!AV11/360</f>
        <v>0.0237666666666667</v>
      </c>
      <c r="AW41" s="11" t="n">
        <f aca="false">Construction!AW14*(Inputs!$F$97-AW32)*Inputs!$F$98/100*Construction!AW11/360</f>
        <v>0.023</v>
      </c>
      <c r="AX41" s="11" t="n">
        <f aca="false">Construction!AX14*(Inputs!$F$97-AX32)*Inputs!$F$98/100*Construction!AX11/360</f>
        <v>0.0237666666666667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10.3396727750566</v>
      </c>
      <c r="J42" s="11" t="n">
        <f aca="false">IF(Construction!J8=1,Inputs!$F$73*$F$25*Inputs!$F$87/100+Inputs!$F$74*$F$25*Inputs!$F$88/100+Inputs!$F$75*$F$25*Inputs!$F$89/100+Inputs!$F$76*$F$25*Inputs!$F$90/100,0)</f>
        <v>10.3396727750566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0.87125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0.02125</v>
      </c>
      <c r="AT43" s="11" t="n">
        <f aca="false">Construction!AT14*Inputs!$F$105/12</f>
        <v>0.02125</v>
      </c>
      <c r="AU43" s="11" t="n">
        <f aca="false">Construction!AU14*Inputs!$F$105/12</f>
        <v>0.02125</v>
      </c>
      <c r="AV43" s="11" t="n">
        <f aca="false">Construction!AV14*Inputs!$F$105/12</f>
        <v>0.02125</v>
      </c>
      <c r="AW43" s="11" t="n">
        <f aca="false">Construction!AW14*Inputs!$F$105/12</f>
        <v>0.02125</v>
      </c>
      <c r="AX43" s="11" t="n">
        <f aca="false">Construction!AX14*Inputs!$F$105/12</f>
        <v>0.02125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39.5901571901212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0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39.5901571901212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0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119.06732103779</v>
      </c>
      <c r="K45" s="11" t="n">
        <f aca="false">Construction!K14*(Construction!K30+Construction!K36)+K33+K34+K35+K36+K37+K38+K39+K40+K41+K42+K43+K44</f>
        <v>2.4474520425935</v>
      </c>
      <c r="L45" s="11" t="n">
        <f aca="false">Construction!L14*(Construction!L30+Construction!L36)+L33+L34+L35+L36+L37+L38+L39+L40+L41+L42+L43+L44</f>
        <v>3.11816816346495</v>
      </c>
      <c r="M45" s="11" t="n">
        <f aca="false">Construction!M14*(Construction!M30+Construction!M36)+M33+M34+M35+M36+M37+M38+M39+M40+M41+M42+M43+M44</f>
        <v>4.40349346525888</v>
      </c>
      <c r="N45" s="11" t="n">
        <f aca="false">Construction!N14*(Construction!N30+Construction!N36)+N33+N34+N35+N36+N37+N38+N39+N40+N41+N42+N43+N44</f>
        <v>6.33763467742651</v>
      </c>
      <c r="O45" s="11" t="n">
        <f aca="false">Construction!O14*(Construction!O30+Construction!O36)+O33+O34+O35+O36+O37+O38+O39+O40+O41+O42+O43+O44</f>
        <v>8.72985795852481</v>
      </c>
      <c r="P45" s="11" t="n">
        <f aca="false">Construction!P14*(Construction!P30+Construction!P36)+P33+P34+P35+P36+P37+P38+P39+P40+P41+P42+P43+P44</f>
        <v>11.3832441236451</v>
      </c>
      <c r="Q45" s="11" t="n">
        <f aca="false">Construction!Q14*(Construction!Q30+Construction!Q36)+Q33+Q34+Q35+Q36+Q37+Q38+Q39+Q40+Q41+Q42+Q43+Q44</f>
        <v>14.4492223348816</v>
      </c>
      <c r="R45" s="11" t="n">
        <f aca="false">Construction!R14*(Construction!R30+Construction!R36)+R33+R34+R35+R36+R37+R38+R39+R40+R41+R42+R43+R44</f>
        <v>17.5019979728183</v>
      </c>
      <c r="S45" s="11" t="n">
        <f aca="false">Construction!S14*(Construction!S30+Construction!S36)+S33+S34+S35+S36+S37+S38+S39+S40+S41+S42+S43+S44</f>
        <v>20.6119825652161</v>
      </c>
      <c r="T45" s="11" t="n">
        <f aca="false">Construction!T14*(Construction!T30+Construction!T36)+T33+T34+T35+T36+T37+T38+T39+T40+T41+T42+T43+T44</f>
        <v>23.520915300421</v>
      </c>
      <c r="U45" s="11" t="n">
        <f aca="false">Construction!U14*(Construction!U30+Construction!U36)+U33+U34+U35+U36+U37+U38+U39+U40+U41+U42+U43+U44</f>
        <v>26.3114769209107</v>
      </c>
      <c r="V45" s="11" t="n">
        <f aca="false">Construction!V14*(Construction!V30+Construction!V36)+V33+V34+V35+V36+V37+V38+V39+V40+V41+V42+V43+V44</f>
        <v>28.7642426035863</v>
      </c>
      <c r="W45" s="11" t="n">
        <f aca="false">Construction!W14*(Construction!W30+Construction!W36)+W33+W34+W35+W36+W37+W38+W39+W40+W41+W42+W43+W44</f>
        <v>30.8032538821239</v>
      </c>
      <c r="X45" s="11" t="n">
        <f aca="false">Construction!X14*(Construction!X30+Construction!X36)+X33+X34+X35+X36+X37+X38+X39+X40+X41+X42+X43+X44</f>
        <v>32.4925382230955</v>
      </c>
      <c r="Y45" s="11" t="n">
        <f aca="false">Construction!Y14*(Construction!Y30+Construction!Y36)+Y33+Y34+Y35+Y36+Y37+Y38+Y39+Y40+Y41+Y42+Y43+Y44</f>
        <v>33.616147215984</v>
      </c>
      <c r="Z45" s="11" t="n">
        <f aca="false">Construction!Z14*(Construction!Z30+Construction!Z36)+Z33+Z34+Z35+Z36+Z37+Z38+Z39+Z40+Z41+Z42+Z43+Z44</f>
        <v>34.3211966457986</v>
      </c>
      <c r="AA45" s="11" t="n">
        <f aca="false">Construction!AA14*(Construction!AA30+Construction!AA36)+AA33+AA34+AA35+AA36+AA37+AA38+AA39+AA40+AA41+AA42+AA43+AA44</f>
        <v>35.6017940833029</v>
      </c>
      <c r="AB45" s="11" t="n">
        <f aca="false">Construction!AB14*(Construction!AB30+Construction!AB36)+AB33+AB34+AB35+AB36+AB37+AB38+AB39+AB40+AB41+AB42+AB43+AB44</f>
        <v>33.9586954570028</v>
      </c>
      <c r="AC45" s="11" t="n">
        <f aca="false">Construction!AC14*(Construction!AC30+Construction!AC36)+AC33+AC34+AC35+AC36+AC37+AC38+AC39+AC40+AC41+AC42+AC43+AC44</f>
        <v>33.1532830122019</v>
      </c>
      <c r="AD45" s="11" t="n">
        <f aca="false">Construction!AD14*(Construction!AD30+Construction!AD36)+AD33+AD34+AD35+AD36+AD37+AD38+AD39+AD40+AD41+AD42+AD43+AD44</f>
        <v>31.6920640867369</v>
      </c>
      <c r="AE45" s="11" t="n">
        <f aca="false">Construction!AE14*(Construction!AE30+Construction!AE36)+AE33+AE34+AE35+AE36+AE37+AE38+AE39+AE40+AE41+AE42+AE43+AE44</f>
        <v>29.9029457683709</v>
      </c>
      <c r="AF45" s="11" t="n">
        <f aca="false">Construction!AF14*(Construction!AF30+Construction!AF36)+AF33+AF34+AF35+AF36+AF37+AF38+AF39+AF40+AF41+AF42+AF43+AF44</f>
        <v>27.6014774460817</v>
      </c>
      <c r="AG45" s="11" t="n">
        <f aca="false">Construction!AG14*(Construction!AG30+Construction!AG36)+AG33+AG34+AG35+AG36+AG37+AG38+AG39+AG40+AG41+AG42+AG43+AG44</f>
        <v>25.1115704176399</v>
      </c>
      <c r="AH45" s="11" t="n">
        <f aca="false">Construction!AH14*(Construction!AH30+Construction!AH36)+AH33+AH34+AH35+AH36+AH37+AH38+AH39+AH40+AH41+AH42+AH43+AH44</f>
        <v>22.3202990907075</v>
      </c>
      <c r="AI45" s="11" t="n">
        <f aca="false">Construction!AI14*(Construction!AI30+Construction!AI36)+AI33+AI34+AI35+AI36+AI37+AI38+AI39+AI40+AI41+AI42+AI43+AI44</f>
        <v>19.3215755997069</v>
      </c>
      <c r="AJ45" s="11" t="n">
        <f aca="false">Construction!AJ14*(Construction!AJ30+Construction!AJ36)+AJ33+AJ34+AJ35+AJ36+AJ37+AJ38+AJ39+AJ40+AJ41+AJ42+AJ43+AJ44</f>
        <v>16.428688910734</v>
      </c>
      <c r="AK45" s="11" t="n">
        <f aca="false">Construction!AK14*(Construction!AK30+Construction!AK36)+AK33+AK34+AK35+AK36+AK37+AK38+AK39+AK40+AK41+AK42+AK43+AK44</f>
        <v>13.481947934424</v>
      </c>
      <c r="AL45" s="11" t="n">
        <f aca="false">Construction!AL14*(Construction!AL30+Construction!AL36)+AL33+AL34+AL35+AL36+AL37+AL38+AL39+AL40+AL41+AL42+AL43+AL44</f>
        <v>10.8865744451543</v>
      </c>
      <c r="AM45" s="11" t="n">
        <f aca="false">Construction!AM14*(Construction!AM30+Construction!AM36)+AM33+AM34+AM35+AM36+AM37+AM38+AM39+AM40+AM41+AM42+AM43+AM44</f>
        <v>8.56129887919489</v>
      </c>
      <c r="AN45" s="11" t="n">
        <f aca="false">Construction!AN14*(Construction!AN30+Construction!AN36)+AN33+AN34+AN35+AN36+AN37+AN38+AN39+AN40+AN41+AN42+AN43+AN44</f>
        <v>6.47908724901354</v>
      </c>
      <c r="AO45" s="11" t="n">
        <f aca="false">Construction!AO14*(Construction!AO30+Construction!AO36)+AO33+AO34+AO35+AO36+AO37+AO38+AO39+AO40+AO41+AO42+AO43+AO44</f>
        <v>5.4116805604037</v>
      </c>
      <c r="AP45" s="11" t="n">
        <f aca="false">Construction!AP14*(Construction!AP30+Construction!AP36)+AP33+AP34+AP35+AP36+AP37+AP38+AP39+AP40+AP41+AP42+AP43+AP44</f>
        <v>4.71830961631922</v>
      </c>
      <c r="AQ45" s="11" t="n">
        <f aca="false">Construction!AQ14*(Construction!AQ30+Construction!AQ36)+AQ33+AQ34+AQ35+AQ36+AQ37+AQ38+AQ39+AQ40+AQ41+AQ42+AQ43+AQ44</f>
        <v>4.73008478665988</v>
      </c>
      <c r="AR45" s="11" t="n">
        <f aca="false">Construction!AR14*(Construction!AR30+Construction!AR36)+AR33+AR34+AR35+AR36+AR37+AR38+AR39+AR40+AR41+AR42+AR43+AR44</f>
        <v>4.66908345688611</v>
      </c>
      <c r="AS45" s="11" t="n">
        <f aca="false">Construction!AS14*(Construction!AS30+Construction!AS36)+AS33+AS34+AS35+AS36+AS37+AS38+AS39+AS40+AS41+AS42+AS43+AS44</f>
        <v>4.85510863976738</v>
      </c>
      <c r="AT45" s="11" t="n">
        <f aca="false">Construction!AT14*(Construction!AT30+Construction!AT36)+AT33+AT34+AT35+AT36+AT37+AT38+AT39+AT40+AT41+AT42+AT43+AT44</f>
        <v>4.87038630504894</v>
      </c>
      <c r="AU45" s="11" t="n">
        <f aca="false">Construction!AU14*(Construction!AU30+Construction!AU36)+AU33+AU34+AU35+AU36+AU37+AU38+AU39+AU40+AU41+AU42+AU43+AU44</f>
        <v>4.77287401451617</v>
      </c>
      <c r="AV45" s="11" t="n">
        <f aca="false">Construction!AV14*(Construction!AV30+Construction!AV36)+AV33+AV34+AV35+AV36+AV37+AV38+AV39+AV40+AV41+AV42+AV43+AV44</f>
        <v>53.1411522073836</v>
      </c>
      <c r="AW45" s="11" t="n">
        <f aca="false">Construction!AW14*(Construction!AW30+Construction!AW36)+AW33+AW34+AW35+AW36+AW37+AW38+AW39+AW40+AW41+AW42+AW43+AW44</f>
        <v>43.2472680147445</v>
      </c>
      <c r="AX45" s="11" t="n">
        <f aca="false">Construction!AX14*(Construction!AX30+Construction!AX36)+AX33+AX34+AX35+AX36+AX37+AX38+AX39+AX40+AX41+AX42+AX43+AX44</f>
        <v>3.94384950744973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657.739998413269</v>
      </c>
      <c r="K46" s="11" t="n">
        <f aca="false">$F$25-K28-K29-K30-K31</f>
        <v>567.383920360777</v>
      </c>
      <c r="L46" s="11" t="n">
        <f aca="false">$F$25-L28-L29-L30-L31</f>
        <v>565.526633526213</v>
      </c>
      <c r="M46" s="11" t="n">
        <f aca="false">$F$25-M28-M29-M30-M31</f>
        <v>563.160363390099</v>
      </c>
      <c r="N46" s="11" t="n">
        <f aca="false">$F$25-N28-N29-N30-N31</f>
        <v>559.81870427001</v>
      </c>
      <c r="O46" s="11" t="n">
        <f aca="false">$F$25-O28-O29-O30-O31</f>
        <v>555.009292177837</v>
      </c>
      <c r="P46" s="11" t="n">
        <f aca="false">$F$25-P28-P29-P30-P31</f>
        <v>548.384504450924</v>
      </c>
      <c r="Q46" s="11" t="n">
        <f aca="false">$F$25-Q28-Q29-Q30-Q31</f>
        <v>539.746153595611</v>
      </c>
      <c r="R46" s="11" t="n">
        <f aca="false">$F$25-R28-R29-R30-R31</f>
        <v>528.781137756596</v>
      </c>
      <c r="S46" s="11" t="n">
        <f aca="false">$F$25-S28-S29-S30-S31</f>
        <v>515.499475910819</v>
      </c>
      <c r="T46" s="11" t="n">
        <f aca="false">$F$25-T28-T29-T30-T31</f>
        <v>499.857754158399</v>
      </c>
      <c r="U46" s="11" t="n">
        <f aca="false">$F$25-U28-U29-U30-U31</f>
        <v>482.008543810613</v>
      </c>
      <c r="V46" s="11" t="n">
        <f aca="false">$F$25-V28-V29-V30-V31</f>
        <v>462.041672618579</v>
      </c>
      <c r="W46" s="11" t="n">
        <f aca="false">$F$25-W28-W29-W30-W31</f>
        <v>440.213482254024</v>
      </c>
      <c r="X46" s="11" t="n">
        <f aca="false">$F$25-X28-X29-X30-X31</f>
        <v>416.837956645612</v>
      </c>
      <c r="Y46" s="11" t="n">
        <f aca="false">$F$25-Y28-Y29-Y30-Y31</f>
        <v>392.180491488755</v>
      </c>
      <c r="Z46" s="11" t="n">
        <f aca="false">$F$25-Z28-Z29-Z30-Z31</f>
        <v>366.670358270024</v>
      </c>
      <c r="AA46" s="11" t="n">
        <f aca="false">$F$25-AA28-AA29-AA30-AA31</f>
        <v>340.625187387256</v>
      </c>
      <c r="AB46" s="11" t="n">
        <f aca="false">$F$25-AB28-AB29-AB30-AB31</f>
        <v>313.608215333449</v>
      </c>
      <c r="AC46" s="11" t="n">
        <f aca="false">$F$25-AC28-AC29-AC30-AC31</f>
        <v>287.838134084204</v>
      </c>
      <c r="AD46" s="11" t="n">
        <f aca="false">$F$25-AD28-AD29-AD30-AD31</f>
        <v>262.679252525123</v>
      </c>
      <c r="AE46" s="11" t="n">
        <f aca="false">$F$25-AE28-AE29-AE30-AE31</f>
        <v>238.629239546693</v>
      </c>
      <c r="AF46" s="11" t="n">
        <f aca="false">$F$25-AF28-AF29-AF30-AF31</f>
        <v>215.936926674476</v>
      </c>
      <c r="AG46" s="11" t="n">
        <f aca="false">$F$25-AG28-AG29-AG30-AG31</f>
        <v>194.9911186329</v>
      </c>
      <c r="AH46" s="11" t="n">
        <f aca="false">$F$25-AH28-AH29-AH30-AH31</f>
        <v>175.934815048504</v>
      </c>
      <c r="AI46" s="11" t="n">
        <f aca="false">$F$25-AI28-AI29-AI30-AI31</f>
        <v>158.996710880066</v>
      </c>
      <c r="AJ46" s="11" t="n">
        <f aca="false">$F$25-AJ28-AJ29-AJ30-AJ31</f>
        <v>144.334234410724</v>
      </c>
      <c r="AK46" s="11" t="n">
        <f aca="false">$F$25-AK28-AK29-AK30-AK31</f>
        <v>131.867069746397</v>
      </c>
      <c r="AL46" s="11" t="n">
        <f aca="false">$F$25-AL28-AL29-AL30-AL31</f>
        <v>121.636085045936</v>
      </c>
      <c r="AM46" s="11" t="n">
        <f aca="false">$F$25-AM28-AM29-AM30-AM31</f>
        <v>113.374639657588</v>
      </c>
      <c r="AN46" s="11" t="n">
        <f aca="false">$F$25-AN28-AN29-AN30-AN31</f>
        <v>106.877765594942</v>
      </c>
      <c r="AO46" s="11" t="n">
        <f aca="false">$F$25-AO28-AO29-AO30-AO31</f>
        <v>101.961010031129</v>
      </c>
      <c r="AP46" s="11" t="n">
        <f aca="false">$F$25-AP28-AP29-AP30-AP31</f>
        <v>97.8542725413712</v>
      </c>
      <c r="AQ46" s="11" t="n">
        <f aca="false">$F$25-AQ28-AQ29-AQ30-AQ31</f>
        <v>94.2737103161352</v>
      </c>
      <c r="AR46" s="11" t="n">
        <f aca="false">$F$25-AR28-AR29-AR30-AR31</f>
        <v>90.6842123207726</v>
      </c>
      <c r="AS46" s="11" t="n">
        <f aca="false">$F$25-AS28-AS29-AS30-AS31</f>
        <v>87.1410061279492</v>
      </c>
      <c r="AT46" s="11" t="n">
        <f aca="false">$F$25-AT28-AT29-AT30-AT31</f>
        <v>83.4566318480498</v>
      </c>
      <c r="AU46" s="11" t="n">
        <f aca="false">$F$25-AU28-AU29-AU30-AU31</f>
        <v>79.7606638755688</v>
      </c>
      <c r="AV46" s="11" t="n">
        <f aca="false">$F$25-AV28-AV29-AV30-AV31</f>
        <v>76.1386946128737</v>
      </c>
      <c r="AW46" s="11" t="n">
        <f aca="false">$F$25-AW28-AW29-AW30-AW31</f>
        <v>35.811709384696</v>
      </c>
      <c r="AX46" s="11" t="n">
        <f aca="false">$F$25-AX28-AX29-AX30-AX31</f>
        <v>2.99285119389964</v>
      </c>
      <c r="AY46" s="11" t="n">
        <f aca="false">$F$25-AY28-AY29-AY30-AY31</f>
        <v>0</v>
      </c>
      <c r="AZ46" s="11" t="n">
        <f aca="false">$F$25-AZ28-AZ29-AZ30-AZ31</f>
        <v>0</v>
      </c>
      <c r="BA46" s="11" t="n">
        <f aca="false">$F$25-BA28-BA29-BA30-BA31</f>
        <v>0</v>
      </c>
      <c r="BB46" s="11" t="n">
        <f aca="false">$F$25-BB28-BB29-BB30-BB31</f>
        <v>0</v>
      </c>
      <c r="BC46" s="11" t="n">
        <f aca="false">$F$25-BC28-BC29-BC30-BC31</f>
        <v>0</v>
      </c>
      <c r="BD46" s="11" t="n">
        <f aca="false">$F$25-BD28-BD29-BD30-BD31</f>
        <v>0</v>
      </c>
      <c r="BE46" s="11" t="n">
        <f aca="false">$F$25-BE28-BE29-BE30-BE31</f>
        <v>0</v>
      </c>
      <c r="BF46" s="11" t="n">
        <f aca="false">$F$25-BF28-BF29-BF30-BF31</f>
        <v>0</v>
      </c>
      <c r="BG46" s="11" t="n">
        <f aca="false">$F$25-BG28-BG29-BG30-BG31</f>
        <v>0</v>
      </c>
      <c r="BH46" s="11" t="n">
        <f aca="false">$F$25-BH28-BH29-BH30-BH31</f>
        <v>0</v>
      </c>
      <c r="BI46" s="11" t="n">
        <f aca="false">$F$25-BI28-BI29-BI30-BI31</f>
        <v>0</v>
      </c>
      <c r="BJ46" s="11" t="n">
        <f aca="false">$F$25-BJ28-BJ29-BJ30-BJ31</f>
        <v>0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657.739998413269</v>
      </c>
      <c r="J47" s="11" t="n">
        <f aca="false">MIN($F$26*J45/(1-Inputs!$F$92/100*Inputs!$F$73*$F$26),J46)</f>
        <v>90.3560780524911</v>
      </c>
      <c r="K47" s="11" t="n">
        <f aca="false">MIN($F$26*K45/(1-Inputs!$F$92/100*Inputs!$F$73*$F$26),K46)</f>
        <v>1.85728683456412</v>
      </c>
      <c r="L47" s="11" t="n">
        <f aca="false">MIN($F$26*L45/(1-Inputs!$F$92/100*Inputs!$F$73*$F$26),L46)</f>
        <v>2.36627013611409</v>
      </c>
      <c r="M47" s="11" t="n">
        <f aca="false">MIN($F$26*M45/(1-Inputs!$F$92/100*Inputs!$F$73*$F$26),M46)</f>
        <v>3.34165912008958</v>
      </c>
      <c r="N47" s="11" t="n">
        <f aca="false">MIN($F$26*N45/(1-Inputs!$F$92/100*Inputs!$F$73*$F$26),N46)</f>
        <v>4.80941209217243</v>
      </c>
      <c r="O47" s="11" t="n">
        <f aca="false">MIN($F$26*O45/(1-Inputs!$F$92/100*Inputs!$F$73*$F$26),O46)</f>
        <v>6.62478772691356</v>
      </c>
      <c r="P47" s="11" t="n">
        <f aca="false">MIN($F$26*P45/(1-Inputs!$F$92/100*Inputs!$F$73*$F$26),P46)</f>
        <v>8.63835085531311</v>
      </c>
      <c r="Q47" s="11" t="n">
        <f aca="false">MIN($F$26*Q45/(1-Inputs!$F$92/100*Inputs!$F$73*$F$26),Q46)</f>
        <v>10.9650158390143</v>
      </c>
      <c r="R47" s="11" t="n">
        <f aca="false">MIN($F$26*R45/(1-Inputs!$F$92/100*Inputs!$F$73*$F$26),R46)</f>
        <v>13.2816618457771</v>
      </c>
      <c r="S47" s="11" t="n">
        <f aca="false">MIN($F$26*S45/(1-Inputs!$F$92/100*Inputs!$F$73*$F$26),S46)</f>
        <v>15.6417217524206</v>
      </c>
      <c r="T47" s="11" t="n">
        <f aca="false">MIN($F$26*T45/(1-Inputs!$F$92/100*Inputs!$F$73*$F$26),T46)</f>
        <v>17.8492103477859</v>
      </c>
      <c r="U47" s="11" t="n">
        <f aca="false">MIN($F$26*U45/(1-Inputs!$F$92/100*Inputs!$F$73*$F$26),U46)</f>
        <v>19.9668711920341</v>
      </c>
      <c r="V47" s="11" t="n">
        <f aca="false">MIN($F$26*V45/(1-Inputs!$F$92/100*Inputs!$F$73*$F$26),V46)</f>
        <v>21.8281903645547</v>
      </c>
      <c r="W47" s="11" t="n">
        <f aca="false">MIN($F$26*W45/(1-Inputs!$F$92/100*Inputs!$F$73*$F$26),W46)</f>
        <v>23.3755256084121</v>
      </c>
      <c r="X47" s="11" t="n">
        <f aca="false">MIN($F$26*X45/(1-Inputs!$F$92/100*Inputs!$F$73*$F$26),X46)</f>
        <v>24.6574651568566</v>
      </c>
      <c r="Y47" s="11" t="n">
        <f aca="false">MIN($F$26*Y45/(1-Inputs!$F$92/100*Inputs!$F$73*$F$26),Y46)</f>
        <v>25.5101332187314</v>
      </c>
      <c r="Z47" s="11" t="n">
        <f aca="false">MIN($F$26*Z45/(1-Inputs!$F$92/100*Inputs!$F$73*$F$26),Z46)</f>
        <v>26.0451708827683</v>
      </c>
      <c r="AA47" s="11" t="n">
        <f aca="false">MIN($F$26*AA45/(1-Inputs!$F$92/100*Inputs!$F$73*$F$26),AA46)</f>
        <v>27.0169720538069</v>
      </c>
      <c r="AB47" s="11" t="n">
        <f aca="false">MIN($F$26*AB45/(1-Inputs!$F$92/100*Inputs!$F$73*$F$26),AB46)</f>
        <v>25.7700812492444</v>
      </c>
      <c r="AC47" s="11" t="n">
        <f aca="false">MIN($F$26*AC45/(1-Inputs!$F$92/100*Inputs!$F$73*$F$26),AC46)</f>
        <v>25.158881559081</v>
      </c>
      <c r="AD47" s="11" t="n">
        <f aca="false">MIN($F$26*AD45/(1-Inputs!$F$92/100*Inputs!$F$73*$F$26),AD46)</f>
        <v>24.0500129784301</v>
      </c>
      <c r="AE47" s="11" t="n">
        <f aca="false">MIN($F$26*AE45/(1-Inputs!$F$92/100*Inputs!$F$73*$F$26),AE46)</f>
        <v>22.6923128722177</v>
      </c>
      <c r="AF47" s="11" t="n">
        <f aca="false">MIN($F$26*AF45/(1-Inputs!$F$92/100*Inputs!$F$73*$F$26),AF46)</f>
        <v>20.9458080415758</v>
      </c>
      <c r="AG47" s="11" t="n">
        <f aca="false">MIN($F$26*AG45/(1-Inputs!$F$92/100*Inputs!$F$73*$F$26),AG46)</f>
        <v>19.0563035843962</v>
      </c>
      <c r="AH47" s="11" t="n">
        <f aca="false">MIN($F$26*AH45/(1-Inputs!$F$92/100*Inputs!$F$73*$F$26),AH46)</f>
        <v>16.9381041684378</v>
      </c>
      <c r="AI47" s="11" t="n">
        <f aca="false">MIN($F$26*AI45/(1-Inputs!$F$92/100*Inputs!$F$73*$F$26),AI46)</f>
        <v>14.6624764693423</v>
      </c>
      <c r="AJ47" s="11" t="n">
        <f aca="false">MIN($F$26*AJ45/(1-Inputs!$F$92/100*Inputs!$F$73*$F$26),AJ46)</f>
        <v>12.4671646643266</v>
      </c>
      <c r="AK47" s="11" t="n">
        <f aca="false">MIN($F$26*AK45/(1-Inputs!$F$92/100*Inputs!$F$73*$F$26),AK46)</f>
        <v>10.2309847004604</v>
      </c>
      <c r="AL47" s="11" t="n">
        <f aca="false">MIN($F$26*AL45/(1-Inputs!$F$92/100*Inputs!$F$73*$F$26),AL46)</f>
        <v>8.26144538834813</v>
      </c>
      <c r="AM47" s="11" t="n">
        <f aca="false">MIN($F$26*AM45/(1-Inputs!$F$92/100*Inputs!$F$73*$F$26),AM46)</f>
        <v>6.49687406264663</v>
      </c>
      <c r="AN47" s="11" t="n">
        <f aca="false">MIN($F$26*AN45/(1-Inputs!$F$92/100*Inputs!$F$73*$F$26),AN46)</f>
        <v>4.91675556381219</v>
      </c>
      <c r="AO47" s="11" t="n">
        <f aca="false">MIN($F$26*AO45/(1-Inputs!$F$92/100*Inputs!$F$73*$F$26),AO46)</f>
        <v>4.10673748975834</v>
      </c>
      <c r="AP47" s="11" t="n">
        <f aca="false">MIN($F$26*AP45/(1-Inputs!$F$92/100*Inputs!$F$73*$F$26),AP46)</f>
        <v>3.580562225236</v>
      </c>
      <c r="AQ47" s="11" t="n">
        <f aca="false">MIN($F$26*AQ45/(1-Inputs!$F$92/100*Inputs!$F$73*$F$26),AQ46)</f>
        <v>3.58949799536258</v>
      </c>
      <c r="AR47" s="11" t="n">
        <f aca="false">MIN($F$26*AR45/(1-Inputs!$F$92/100*Inputs!$F$73*$F$26),AR46)</f>
        <v>3.54320619282345</v>
      </c>
      <c r="AS47" s="11" t="n">
        <f aca="false">MIN($F$26*AS45/(1-Inputs!$F$92/100*Inputs!$F$73*$F$26),AS46)</f>
        <v>3.68437427989929</v>
      </c>
      <c r="AT47" s="11" t="n">
        <f aca="false">MIN($F$26*AT45/(1-Inputs!$F$92/100*Inputs!$F$73*$F$26),AT46)</f>
        <v>3.695967972481</v>
      </c>
      <c r="AU47" s="11" t="n">
        <f aca="false">MIN($F$26*AU45/(1-Inputs!$F$92/100*Inputs!$F$73*$F$26),AU46)</f>
        <v>3.62196926269513</v>
      </c>
      <c r="AV47" s="11" t="n">
        <f aca="false">MIN($F$26*AV45/(1-Inputs!$F$92/100*Inputs!$F$73*$F$26),AV46)</f>
        <v>40.3269852281777</v>
      </c>
      <c r="AW47" s="11" t="n">
        <f aca="false">MIN($F$26*AW45/(1-Inputs!$F$92/100*Inputs!$F$73*$F$26),AW46)</f>
        <v>32.8188581907963</v>
      </c>
      <c r="AX47" s="11" t="n">
        <f aca="false">MIN($F$26*AX45/(1-Inputs!$F$92/100*Inputs!$F$73*$F$26),AX46)</f>
        <v>2.99285119389964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21.4094369483519</v>
      </c>
      <c r="J48" s="11" t="n">
        <f aca="false">Inputs!$F$92/100*Inputs!$F$73*J47</f>
        <v>2.94109034060858</v>
      </c>
      <c r="K48" s="11" t="n">
        <f aca="false">Inputs!$F$92/100*Inputs!$F$73*K47</f>
        <v>0.0604546864650621</v>
      </c>
      <c r="L48" s="11" t="n">
        <f aca="false">Inputs!$F$92/100*Inputs!$F$73*L47</f>
        <v>0.0770220929305135</v>
      </c>
      <c r="M48" s="11" t="n">
        <f aca="false">Inputs!$F$92/100*Inputs!$F$73*M47</f>
        <v>0.108771004358916</v>
      </c>
      <c r="N48" s="11" t="n">
        <f aca="false">Inputs!$F$92/100*Inputs!$F$73*N47</f>
        <v>0.156546363600212</v>
      </c>
      <c r="O48" s="11" t="n">
        <f aca="false">Inputs!$F$92/100*Inputs!$F$73*O47</f>
        <v>0.215636840511036</v>
      </c>
      <c r="P48" s="11" t="n">
        <f aca="false">Inputs!$F$92/100*Inputs!$F$73*P47</f>
        <v>0.281178320340442</v>
      </c>
      <c r="Q48" s="11" t="n">
        <f aca="false">Inputs!$F$92/100*Inputs!$F$73*Q47</f>
        <v>0.356911265559914</v>
      </c>
      <c r="R48" s="11" t="n">
        <f aca="false">Inputs!$F$92/100*Inputs!$F$73*R47</f>
        <v>0.432318093080044</v>
      </c>
      <c r="S48" s="11" t="n">
        <f aca="false">Inputs!$F$92/100*Inputs!$F$73*S47</f>
        <v>0.50913804304129</v>
      </c>
      <c r="T48" s="11" t="n">
        <f aca="false">Inputs!$F$92/100*Inputs!$F$73*T47</f>
        <v>0.580991796820431</v>
      </c>
      <c r="U48" s="11" t="n">
        <f aca="false">Inputs!$F$92/100*Inputs!$F$73*U47</f>
        <v>0.649921657300708</v>
      </c>
      <c r="V48" s="11" t="n">
        <f aca="false">Inputs!$F$92/100*Inputs!$F$73*V47</f>
        <v>0.710507596366256</v>
      </c>
      <c r="W48" s="11" t="n">
        <f aca="false">Inputs!$F$92/100*Inputs!$F$73*W47</f>
        <v>0.760873358553814</v>
      </c>
      <c r="X48" s="11" t="n">
        <f aca="false">Inputs!$F$92/100*Inputs!$F$73*X47</f>
        <v>0.802600490855682</v>
      </c>
      <c r="Y48" s="11" t="n">
        <f aca="false">Inputs!$F$92/100*Inputs!$F$73*Y47</f>
        <v>0.830354836269707</v>
      </c>
      <c r="Z48" s="11" t="n">
        <f aca="false">Inputs!$F$92/100*Inputs!$F$73*Z47</f>
        <v>0.847770312234107</v>
      </c>
      <c r="AA48" s="11" t="n">
        <f aca="false">Inputs!$F$92/100*Inputs!$F$73*AA47</f>
        <v>0.879402440351415</v>
      </c>
      <c r="AB48" s="11" t="n">
        <f aca="false">Inputs!$F$92/100*Inputs!$F$73*AB47</f>
        <v>0.838816144662904</v>
      </c>
      <c r="AC48" s="11" t="n">
        <f aca="false">Inputs!$F$92/100*Inputs!$F$73*AC47</f>
        <v>0.818921594748087</v>
      </c>
      <c r="AD48" s="11" t="n">
        <f aca="false">Inputs!$F$92/100*Inputs!$F$73*AD47</f>
        <v>0.782827922447899</v>
      </c>
      <c r="AE48" s="11" t="n">
        <f aca="false">Inputs!$F$92/100*Inputs!$F$73*AE47</f>
        <v>0.738634783990687</v>
      </c>
      <c r="AF48" s="11" t="n">
        <f aca="false">Inputs!$F$92/100*Inputs!$F$73*AF47</f>
        <v>0.681786051753291</v>
      </c>
      <c r="AG48" s="11" t="n">
        <f aca="false">Inputs!$F$92/100*Inputs!$F$73*AG47</f>
        <v>0.620282681672096</v>
      </c>
      <c r="AH48" s="11" t="n">
        <f aca="false">Inputs!$F$92/100*Inputs!$F$73*AH47</f>
        <v>0.55133529068265</v>
      </c>
      <c r="AI48" s="11" t="n">
        <f aca="false">Inputs!$F$92/100*Inputs!$F$73*AI47</f>
        <v>0.477263609077093</v>
      </c>
      <c r="AJ48" s="11" t="n">
        <f aca="false">Inputs!$F$92/100*Inputs!$F$73*AJ47</f>
        <v>0.405806209823832</v>
      </c>
      <c r="AK48" s="11" t="n">
        <f aca="false">Inputs!$F$92/100*Inputs!$F$73*AK47</f>
        <v>0.333018551999986</v>
      </c>
      <c r="AL48" s="11" t="n">
        <f aca="false">Inputs!$F$92/100*Inputs!$F$73*AL47</f>
        <v>0.268910047390732</v>
      </c>
      <c r="AM48" s="11" t="n">
        <f aca="false">Inputs!$F$92/100*Inputs!$F$73*AM47</f>
        <v>0.211473250739148</v>
      </c>
      <c r="AN48" s="11" t="n">
        <f aca="false">Inputs!$F$92/100*Inputs!$F$73*AN47</f>
        <v>0.160040393602087</v>
      </c>
      <c r="AO48" s="11" t="n">
        <f aca="false">Inputs!$F$92/100*Inputs!$F$73*AO47</f>
        <v>0.133674305291634</v>
      </c>
      <c r="AP48" s="11" t="n">
        <f aca="false">Inputs!$F$92/100*Inputs!$F$73*AP47</f>
        <v>0.116547300431432</v>
      </c>
      <c r="AQ48" s="11" t="n">
        <f aca="false">Inputs!$F$92/100*Inputs!$F$73*AQ47</f>
        <v>0.116838159749052</v>
      </c>
      <c r="AR48" s="11" t="n">
        <f aca="false">Inputs!$F$92/100*Inputs!$F$73*AR47</f>
        <v>0.115331361576403</v>
      </c>
      <c r="AS48" s="11" t="n">
        <f aca="false">Inputs!$F$92/100*Inputs!$F$73*AS47</f>
        <v>0.119926382810722</v>
      </c>
      <c r="AT48" s="11" t="n">
        <f aca="false">Inputs!$F$92/100*Inputs!$F$73*AT47</f>
        <v>0.120303757504257</v>
      </c>
      <c r="AU48" s="11" t="n">
        <f aca="false">Inputs!$F$92/100*Inputs!$F$73*AU47</f>
        <v>0.117895099500726</v>
      </c>
      <c r="AV48" s="11" t="n">
        <f aca="false">Inputs!$F$92/100*Inputs!$F$73*AV47</f>
        <v>1.31264336917719</v>
      </c>
      <c r="AW48" s="11" t="n">
        <f aca="false">Inputs!$F$92/100*Inputs!$F$73*AW47</f>
        <v>1.06825383411042</v>
      </c>
      <c r="AX48" s="11" t="n">
        <f aca="false">Inputs!$F$92/100*Inputs!$F$73*AX47</f>
        <v>0.0974173063614333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888.150681571343</v>
      </c>
      <c r="J49" s="11" t="n">
        <f aca="false">J45+J48</f>
        <v>122.008411378399</v>
      </c>
      <c r="K49" s="11" t="n">
        <f aca="false">K45+K48</f>
        <v>2.50790672905856</v>
      </c>
      <c r="L49" s="11" t="n">
        <f aca="false">L45+L48</f>
        <v>3.19519025639546</v>
      </c>
      <c r="M49" s="11" t="n">
        <f aca="false">M45+M48</f>
        <v>4.5122644696178</v>
      </c>
      <c r="N49" s="11" t="n">
        <f aca="false">N45+N48</f>
        <v>6.49418104102673</v>
      </c>
      <c r="O49" s="11" t="n">
        <f aca="false">O45+O48</f>
        <v>8.94549479903585</v>
      </c>
      <c r="P49" s="11" t="n">
        <f aca="false">P45+P48</f>
        <v>11.6644224439855</v>
      </c>
      <c r="Q49" s="11" t="n">
        <f aca="false">Q45+Q48</f>
        <v>14.8061336004416</v>
      </c>
      <c r="R49" s="11" t="n">
        <f aca="false">R45+R48</f>
        <v>17.9343160658983</v>
      </c>
      <c r="S49" s="11" t="n">
        <f aca="false">S45+S48</f>
        <v>21.1211206082574</v>
      </c>
      <c r="T49" s="11" t="n">
        <f aca="false">T45+T48</f>
        <v>24.1019070972414</v>
      </c>
      <c r="U49" s="11" t="n">
        <f aca="false">U45+U48</f>
        <v>26.9613985782114</v>
      </c>
      <c r="V49" s="11" t="n">
        <f aca="false">V45+V48</f>
        <v>29.4747501999526</v>
      </c>
      <c r="W49" s="11" t="n">
        <f aca="false">W45+W48</f>
        <v>31.5641272406777</v>
      </c>
      <c r="X49" s="11" t="n">
        <f aca="false">X45+X48</f>
        <v>33.2951387139512</v>
      </c>
      <c r="Y49" s="11" t="n">
        <f aca="false">Y45+Y48</f>
        <v>34.4465020522538</v>
      </c>
      <c r="Z49" s="11" t="n">
        <f aca="false">Z45+Z48</f>
        <v>35.1689669580327</v>
      </c>
      <c r="AA49" s="11" t="n">
        <f aca="false">AA45+AA48</f>
        <v>36.4811965236543</v>
      </c>
      <c r="AB49" s="11" t="n">
        <f aca="false">AB45+AB48</f>
        <v>34.7975116016657</v>
      </c>
      <c r="AC49" s="11" t="n">
        <f aca="false">AC45+AC48</f>
        <v>33.97220460695</v>
      </c>
      <c r="AD49" s="11" t="n">
        <f aca="false">AD45+AD48</f>
        <v>32.4748920091848</v>
      </c>
      <c r="AE49" s="11" t="n">
        <f aca="false">AE45+AE48</f>
        <v>30.6415805523616</v>
      </c>
      <c r="AF49" s="11" t="n">
        <f aca="false">AF45+AF48</f>
        <v>28.283263497835</v>
      </c>
      <c r="AG49" s="11" t="n">
        <f aca="false">AG45+AG48</f>
        <v>25.7318530993119</v>
      </c>
      <c r="AH49" s="11" t="n">
        <f aca="false">AH45+AH48</f>
        <v>22.8716343813902</v>
      </c>
      <c r="AI49" s="11" t="n">
        <f aca="false">AI45+AI48</f>
        <v>19.798839208784</v>
      </c>
      <c r="AJ49" s="11" t="n">
        <f aca="false">AJ45+AJ48</f>
        <v>16.8344951205578</v>
      </c>
      <c r="AK49" s="11" t="n">
        <f aca="false">AK45+AK48</f>
        <v>13.814966486424</v>
      </c>
      <c r="AL49" s="11" t="n">
        <f aca="false">AL45+AL48</f>
        <v>11.155484492545</v>
      </c>
      <c r="AM49" s="11" t="n">
        <f aca="false">AM45+AM48</f>
        <v>8.77277212993404</v>
      </c>
      <c r="AN49" s="11" t="n">
        <f aca="false">AN45+AN48</f>
        <v>6.63912764261562</v>
      </c>
      <c r="AO49" s="11" t="n">
        <f aca="false">AO45+AO48</f>
        <v>5.54535486569533</v>
      </c>
      <c r="AP49" s="11" t="n">
        <f aca="false">AP45+AP48</f>
        <v>4.83485691675066</v>
      </c>
      <c r="AQ49" s="11" t="n">
        <f aca="false">AQ45+AQ48</f>
        <v>4.84692294640893</v>
      </c>
      <c r="AR49" s="11" t="n">
        <f aca="false">AR45+AR48</f>
        <v>4.78441481846251</v>
      </c>
      <c r="AS49" s="11" t="n">
        <f aca="false">AS45+AS48</f>
        <v>4.9750350225781</v>
      </c>
      <c r="AT49" s="11" t="n">
        <f aca="false">AT45+AT48</f>
        <v>4.99069006255319</v>
      </c>
      <c r="AU49" s="11" t="n">
        <f aca="false">AU45+AU48</f>
        <v>4.89076911401689</v>
      </c>
      <c r="AV49" s="11" t="n">
        <f aca="false">AV45+AV48</f>
        <v>54.4537955765608</v>
      </c>
      <c r="AW49" s="11" t="n">
        <f aca="false">AW45+AW48</f>
        <v>44.3155218488549</v>
      </c>
      <c r="AX49" s="11" t="n">
        <f aca="false">AX45+AX48</f>
        <v>4.04126681381116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888.150681571343</v>
      </c>
      <c r="J50" s="11" t="n">
        <f aca="false">J47/$F$26</f>
        <v>122.008411378399</v>
      </c>
      <c r="K50" s="11" t="n">
        <f aca="false">K47/$F$26</f>
        <v>2.50790672905856</v>
      </c>
      <c r="L50" s="11" t="n">
        <f aca="false">L47/$F$26</f>
        <v>3.19519025639546</v>
      </c>
      <c r="M50" s="11" t="n">
        <f aca="false">M47/$F$26</f>
        <v>4.5122644696178</v>
      </c>
      <c r="N50" s="11" t="n">
        <f aca="false">N47/$F$26</f>
        <v>6.49418104102673</v>
      </c>
      <c r="O50" s="11" t="n">
        <f aca="false">O47/$F$26</f>
        <v>8.94549479903585</v>
      </c>
      <c r="P50" s="11" t="n">
        <f aca="false">P47/$F$26</f>
        <v>11.6644224439855</v>
      </c>
      <c r="Q50" s="11" t="n">
        <f aca="false">Q47/$F$26</f>
        <v>14.8061336004416</v>
      </c>
      <c r="R50" s="11" t="n">
        <f aca="false">R47/$F$26</f>
        <v>17.9343160658983</v>
      </c>
      <c r="S50" s="11" t="n">
        <f aca="false">S47/$F$26</f>
        <v>21.1211206082574</v>
      </c>
      <c r="T50" s="11" t="n">
        <f aca="false">T47/$F$26</f>
        <v>24.1019070972414</v>
      </c>
      <c r="U50" s="11" t="n">
        <f aca="false">U47/$F$26</f>
        <v>26.9613985782114</v>
      </c>
      <c r="V50" s="11" t="n">
        <f aca="false">V47/$F$26</f>
        <v>29.4747501999526</v>
      </c>
      <c r="W50" s="11" t="n">
        <f aca="false">W47/$F$26</f>
        <v>31.5641272406777</v>
      </c>
      <c r="X50" s="11" t="n">
        <f aca="false">X47/$F$26</f>
        <v>33.2951387139512</v>
      </c>
      <c r="Y50" s="11" t="n">
        <f aca="false">Y47/$F$26</f>
        <v>34.4465020522538</v>
      </c>
      <c r="Z50" s="11" t="n">
        <f aca="false">Z47/$F$26</f>
        <v>35.1689669580327</v>
      </c>
      <c r="AA50" s="11" t="n">
        <f aca="false">AA47/$F$26</f>
        <v>36.4811965236543</v>
      </c>
      <c r="AB50" s="11" t="n">
        <f aca="false">AB47/$F$26</f>
        <v>34.7975116016657</v>
      </c>
      <c r="AC50" s="11" t="n">
        <f aca="false">AC47/$F$26</f>
        <v>33.97220460695</v>
      </c>
      <c r="AD50" s="11" t="n">
        <f aca="false">AD47/$F$26</f>
        <v>32.4748920091848</v>
      </c>
      <c r="AE50" s="11" t="n">
        <f aca="false">AE47/$F$26</f>
        <v>30.6415805523616</v>
      </c>
      <c r="AF50" s="11" t="n">
        <f aca="false">AF47/$F$26</f>
        <v>28.283263497835</v>
      </c>
      <c r="AG50" s="11" t="n">
        <f aca="false">AG47/$F$26</f>
        <v>25.7318530993119</v>
      </c>
      <c r="AH50" s="11" t="n">
        <f aca="false">AH47/$F$26</f>
        <v>22.8716343813902</v>
      </c>
      <c r="AI50" s="11" t="n">
        <f aca="false">AI47/$F$26</f>
        <v>19.798839208784</v>
      </c>
      <c r="AJ50" s="11" t="n">
        <f aca="false">AJ47/$F$26</f>
        <v>16.8344951205578</v>
      </c>
      <c r="AK50" s="11" t="n">
        <f aca="false">AK47/$F$26</f>
        <v>13.814966486424</v>
      </c>
      <c r="AL50" s="11" t="n">
        <f aca="false">AL47/$F$26</f>
        <v>11.155484492545</v>
      </c>
      <c r="AM50" s="11" t="n">
        <f aca="false">AM47/$F$26</f>
        <v>8.77277212993404</v>
      </c>
      <c r="AN50" s="11" t="n">
        <f aca="false">AN47/$F$26</f>
        <v>6.63912764261562</v>
      </c>
      <c r="AO50" s="11" t="n">
        <f aca="false">AO47/$F$26</f>
        <v>5.54535486569533</v>
      </c>
      <c r="AP50" s="11" t="n">
        <f aca="false">AP47/$F$26</f>
        <v>4.83485691675066</v>
      </c>
      <c r="AQ50" s="11" t="n">
        <f aca="false">AQ47/$F$26</f>
        <v>4.84692294640893</v>
      </c>
      <c r="AR50" s="11" t="n">
        <f aca="false">AR47/$F$26</f>
        <v>4.78441481846251</v>
      </c>
      <c r="AS50" s="11" t="n">
        <f aca="false">AS47/$F$26</f>
        <v>4.9750350225781</v>
      </c>
      <c r="AT50" s="11" t="n">
        <f aca="false">AT47/$F$26</f>
        <v>4.99069006255319</v>
      </c>
      <c r="AU50" s="11" t="n">
        <f aca="false">AU47/$F$26</f>
        <v>4.89076911401689</v>
      </c>
      <c r="AV50" s="11" t="n">
        <f aca="false">AV47/$F$26</f>
        <v>54.4537955765608</v>
      </c>
      <c r="AW50" s="11" t="n">
        <f aca="false">AW47/$F$26</f>
        <v>44.3155218488549</v>
      </c>
      <c r="AX50" s="11" t="n">
        <f aca="false">AX47/$F$26</f>
        <v>4.04126681381089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0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2.66453525910038E-013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0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0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1.99840144432528E-013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0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1.99840144432528E-013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6.66133814775094E-014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0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6.66133814775094E-014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197.321999523981</v>
      </c>
      <c r="J57" s="11" t="n">
        <f aca="false">Inputs!$F$73*J47</f>
        <v>27.1068234157473</v>
      </c>
      <c r="K57" s="11" t="n">
        <f aca="false">Inputs!$F$73*K47</f>
        <v>0.557186050369236</v>
      </c>
      <c r="L57" s="11" t="n">
        <f aca="false">Inputs!$F$73*L47</f>
        <v>0.709881040834226</v>
      </c>
      <c r="M57" s="11" t="n">
        <f aca="false">Inputs!$F$73*M47</f>
        <v>1.00249773602688</v>
      </c>
      <c r="N57" s="11" t="n">
        <f aca="false">Inputs!$F$73*N47</f>
        <v>1.44282362765173</v>
      </c>
      <c r="O57" s="11" t="n">
        <f aca="false">Inputs!$F$73*O47</f>
        <v>1.98743631807407</v>
      </c>
      <c r="P57" s="11" t="n">
        <f aca="false">Inputs!$F$73*P47</f>
        <v>2.59150525659393</v>
      </c>
      <c r="Q57" s="11" t="n">
        <f aca="false">Inputs!$F$73*Q47</f>
        <v>3.28950475170428</v>
      </c>
      <c r="R57" s="11" t="n">
        <f aca="false">Inputs!$F$73*R47</f>
        <v>3.98449855373312</v>
      </c>
      <c r="S57" s="11" t="n">
        <f aca="false">Inputs!$F$73*S47</f>
        <v>4.69251652572618</v>
      </c>
      <c r="T57" s="11" t="n">
        <f aca="false">Inputs!$F$73*T47</f>
        <v>5.35476310433577</v>
      </c>
      <c r="U57" s="11" t="n">
        <f aca="false">Inputs!$F$73*U47</f>
        <v>5.99006135761022</v>
      </c>
      <c r="V57" s="11" t="n">
        <f aca="false">Inputs!$F$73*V47</f>
        <v>6.54845710936642</v>
      </c>
      <c r="W57" s="11" t="n">
        <f aca="false">Inputs!$F$73*W47</f>
        <v>7.01265768252363</v>
      </c>
      <c r="X57" s="11" t="n">
        <f aca="false">Inputs!$F$73*X47</f>
        <v>7.39723954705698</v>
      </c>
      <c r="Y57" s="11" t="n">
        <f aca="false">Inputs!$F$73*Y47</f>
        <v>7.65303996561942</v>
      </c>
      <c r="Z57" s="11" t="n">
        <f aca="false">Inputs!$F$73*Z47</f>
        <v>7.81355126483048</v>
      </c>
      <c r="AA57" s="11" t="n">
        <f aca="false">Inputs!$F$73*AA47</f>
        <v>8.10509161614207</v>
      </c>
      <c r="AB57" s="11" t="n">
        <f aca="false">Inputs!$F$73*AB47</f>
        <v>7.73102437477331</v>
      </c>
      <c r="AC57" s="11" t="n">
        <f aca="false">Inputs!$F$73*AC47</f>
        <v>7.54766446772431</v>
      </c>
      <c r="AD57" s="11" t="n">
        <f aca="false">Inputs!$F$73*AD47</f>
        <v>7.21500389352902</v>
      </c>
      <c r="AE57" s="11" t="n">
        <f aca="false">Inputs!$F$73*AE47</f>
        <v>6.80769386166532</v>
      </c>
      <c r="AF57" s="11" t="n">
        <f aca="false">Inputs!$F$73*AF47</f>
        <v>6.28374241247273</v>
      </c>
      <c r="AG57" s="11" t="n">
        <f aca="false">Inputs!$F$73*AG47</f>
        <v>5.71689107531886</v>
      </c>
      <c r="AH57" s="11" t="n">
        <f aca="false">Inputs!$F$73*AH47</f>
        <v>5.08143125053134</v>
      </c>
      <c r="AI57" s="11" t="n">
        <f aca="false">Inputs!$F$73*AI47</f>
        <v>4.3987429408027</v>
      </c>
      <c r="AJ57" s="11" t="n">
        <f aca="false">Inputs!$F$73*AJ47</f>
        <v>3.74014939929799</v>
      </c>
      <c r="AK57" s="11" t="n">
        <f aca="false">Inputs!$F$73*AK47</f>
        <v>3.06929541013812</v>
      </c>
      <c r="AL57" s="11" t="n">
        <f aca="false">Inputs!$F$73*AL47</f>
        <v>2.47843361650444</v>
      </c>
      <c r="AM57" s="11" t="n">
        <f aca="false">Inputs!$F$73*AM47</f>
        <v>1.94906221879399</v>
      </c>
      <c r="AN57" s="11" t="n">
        <f aca="false">Inputs!$F$73*AN47</f>
        <v>1.47502666914366</v>
      </c>
      <c r="AO57" s="11" t="n">
        <f aca="false">Inputs!$F$73*AO47</f>
        <v>1.2320212469275</v>
      </c>
      <c r="AP57" s="11" t="n">
        <f aca="false">Inputs!$F$73*AP47</f>
        <v>1.0741686675708</v>
      </c>
      <c r="AQ57" s="11" t="n">
        <f aca="false">Inputs!$F$73*AQ47</f>
        <v>1.07684939860877</v>
      </c>
      <c r="AR57" s="11" t="n">
        <f aca="false">Inputs!$F$73*AR47</f>
        <v>1.06296185784704</v>
      </c>
      <c r="AS57" s="11" t="n">
        <f aca="false">Inputs!$F$73*AS47</f>
        <v>1.10531228396979</v>
      </c>
      <c r="AT57" s="11" t="n">
        <f aca="false">Inputs!$F$73*AT47</f>
        <v>1.1087903917443</v>
      </c>
      <c r="AU57" s="11" t="n">
        <f aca="false">Inputs!$F$73*AU47</f>
        <v>1.08659077880854</v>
      </c>
      <c r="AV57" s="11" t="n">
        <f aca="false">Inputs!$F$73*AV47</f>
        <v>12.0980955684533</v>
      </c>
      <c r="AW57" s="11" t="n">
        <f aca="false">Inputs!$F$73*AW47</f>
        <v>9.84565745723889</v>
      </c>
      <c r="AX57" s="11" t="n">
        <f aca="false">Inputs!$F$73*AX47</f>
        <v>0.897855358169892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144.702799650919</v>
      </c>
      <c r="J58" s="11" t="n">
        <f aca="false">Inputs!$F$74*J47</f>
        <v>19.878337171548</v>
      </c>
      <c r="K58" s="11" t="n">
        <f aca="false">Inputs!$F$74*K47</f>
        <v>0.408603103604106</v>
      </c>
      <c r="L58" s="11" t="n">
        <f aca="false">Inputs!$F$74*L47</f>
        <v>0.520579429945099</v>
      </c>
      <c r="M58" s="11" t="n">
        <f aca="false">Inputs!$F$74*M47</f>
        <v>0.735165006419708</v>
      </c>
      <c r="N58" s="11" t="n">
        <f aca="false">Inputs!$F$74*N47</f>
        <v>1.05807066027793</v>
      </c>
      <c r="O58" s="11" t="n">
        <f aca="false">Inputs!$F$74*O47</f>
        <v>1.45745329992098</v>
      </c>
      <c r="P58" s="11" t="n">
        <f aca="false">Inputs!$F$74*P47</f>
        <v>1.90043718816888</v>
      </c>
      <c r="Q58" s="11" t="n">
        <f aca="false">Inputs!$F$74*Q47</f>
        <v>2.41230348458314</v>
      </c>
      <c r="R58" s="11" t="n">
        <f aca="false">Inputs!$F$74*R47</f>
        <v>2.92196560607096</v>
      </c>
      <c r="S58" s="11" t="n">
        <f aca="false">Inputs!$F$74*S47</f>
        <v>3.44117878553253</v>
      </c>
      <c r="T58" s="11" t="n">
        <f aca="false">Inputs!$F$74*T47</f>
        <v>3.92682627651289</v>
      </c>
      <c r="U58" s="11" t="n">
        <f aca="false">Inputs!$F$74*U47</f>
        <v>4.39271166224749</v>
      </c>
      <c r="V58" s="11" t="n">
        <f aca="false">Inputs!$F$74*V47</f>
        <v>4.80220188020204</v>
      </c>
      <c r="W58" s="11" t="n">
        <f aca="false">Inputs!$F$74*W47</f>
        <v>5.14261563385066</v>
      </c>
      <c r="X58" s="11" t="n">
        <f aca="false">Inputs!$F$74*X47</f>
        <v>5.42464233450845</v>
      </c>
      <c r="Y58" s="11" t="n">
        <f aca="false">Inputs!$F$74*Y47</f>
        <v>5.61222930812091</v>
      </c>
      <c r="Z58" s="11" t="n">
        <f aca="false">Inputs!$F$74*Z47</f>
        <v>5.72993759420902</v>
      </c>
      <c r="AA58" s="11" t="n">
        <f aca="false">Inputs!$F$74*AA47</f>
        <v>5.94373385183752</v>
      </c>
      <c r="AB58" s="11" t="n">
        <f aca="false">Inputs!$F$74*AB47</f>
        <v>5.66941787483376</v>
      </c>
      <c r="AC58" s="11" t="n">
        <f aca="false">Inputs!$F$74*AC47</f>
        <v>5.53495394299783</v>
      </c>
      <c r="AD58" s="11" t="n">
        <f aca="false">Inputs!$F$74*AD47</f>
        <v>5.29100285525462</v>
      </c>
      <c r="AE58" s="11" t="n">
        <f aca="false">Inputs!$F$74*AE47</f>
        <v>4.9923088318879</v>
      </c>
      <c r="AF58" s="11" t="n">
        <f aca="false">Inputs!$F$74*AF47</f>
        <v>4.60807776914667</v>
      </c>
      <c r="AG58" s="11" t="n">
        <f aca="false">Inputs!$F$74*AG47</f>
        <v>4.19238678856716</v>
      </c>
      <c r="AH58" s="11" t="n">
        <f aca="false">Inputs!$F$74*AH47</f>
        <v>3.72638291705632</v>
      </c>
      <c r="AI58" s="11" t="n">
        <f aca="false">Inputs!$F$74*AI47</f>
        <v>3.22574482325531</v>
      </c>
      <c r="AJ58" s="11" t="n">
        <f aca="false">Inputs!$F$74*AJ47</f>
        <v>2.74277622615186</v>
      </c>
      <c r="AK58" s="11" t="n">
        <f aca="false">Inputs!$F$74*AK47</f>
        <v>2.25081663410129</v>
      </c>
      <c r="AL58" s="11" t="n">
        <f aca="false">Inputs!$F$74*AL47</f>
        <v>1.81751798543659</v>
      </c>
      <c r="AM58" s="11" t="n">
        <f aca="false">Inputs!$F$74*AM47</f>
        <v>1.42931229378226</v>
      </c>
      <c r="AN58" s="11" t="n">
        <f aca="false">Inputs!$F$74*AN47</f>
        <v>1.08168622403868</v>
      </c>
      <c r="AO58" s="11" t="n">
        <f aca="false">Inputs!$F$74*AO47</f>
        <v>0.903482247746836</v>
      </c>
      <c r="AP58" s="11" t="n">
        <f aca="false">Inputs!$F$74*AP47</f>
        <v>0.78772368955192</v>
      </c>
      <c r="AQ58" s="11" t="n">
        <f aca="false">Inputs!$F$74*AQ47</f>
        <v>0.789689558979768</v>
      </c>
      <c r="AR58" s="11" t="n">
        <f aca="false">Inputs!$F$74*AR47</f>
        <v>0.779505362421159</v>
      </c>
      <c r="AS58" s="11" t="n">
        <f aca="false">Inputs!$F$74*AS47</f>
        <v>0.810562341577843</v>
      </c>
      <c r="AT58" s="11" t="n">
        <f aca="false">Inputs!$F$74*AT47</f>
        <v>0.81311295394582</v>
      </c>
      <c r="AU58" s="11" t="n">
        <f aca="false">Inputs!$F$74*AU47</f>
        <v>0.796833237792929</v>
      </c>
      <c r="AV58" s="11" t="n">
        <f aca="false">Inputs!$F$74*AV47</f>
        <v>8.8719367501991</v>
      </c>
      <c r="AW58" s="11" t="n">
        <f aca="false">Inputs!$F$74*AW47</f>
        <v>7.22014880197519</v>
      </c>
      <c r="AX58" s="11" t="n">
        <f aca="false">Inputs!$F$74*AX47</f>
        <v>0.658427262657921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65.7739998413269</v>
      </c>
      <c r="J59" s="11" t="n">
        <f aca="false">Inputs!$F$75*J47</f>
        <v>9.03560780524911</v>
      </c>
      <c r="K59" s="11" t="n">
        <f aca="false">Inputs!$F$75*K47</f>
        <v>0.185728683456412</v>
      </c>
      <c r="L59" s="11" t="n">
        <f aca="false">Inputs!$F$75*L47</f>
        <v>0.236627013611409</v>
      </c>
      <c r="M59" s="11" t="n">
        <f aca="false">Inputs!$F$75*M47</f>
        <v>0.334165912008958</v>
      </c>
      <c r="N59" s="11" t="n">
        <f aca="false">Inputs!$F$75*N47</f>
        <v>0.480941209217243</v>
      </c>
      <c r="O59" s="11" t="n">
        <f aca="false">Inputs!$F$75*O47</f>
        <v>0.662478772691356</v>
      </c>
      <c r="P59" s="11" t="n">
        <f aca="false">Inputs!$F$75*P47</f>
        <v>0.863835085531311</v>
      </c>
      <c r="Q59" s="11" t="n">
        <f aca="false">Inputs!$F$75*Q47</f>
        <v>1.09650158390143</v>
      </c>
      <c r="R59" s="11" t="n">
        <f aca="false">Inputs!$F$75*R47</f>
        <v>1.32816618457771</v>
      </c>
      <c r="S59" s="11" t="n">
        <f aca="false">Inputs!$F$75*S47</f>
        <v>1.56417217524206</v>
      </c>
      <c r="T59" s="11" t="n">
        <f aca="false">Inputs!$F$75*T47</f>
        <v>1.78492103477859</v>
      </c>
      <c r="U59" s="11" t="n">
        <f aca="false">Inputs!$F$75*U47</f>
        <v>1.99668711920341</v>
      </c>
      <c r="V59" s="11" t="n">
        <f aca="false">Inputs!$F$75*V47</f>
        <v>2.18281903645547</v>
      </c>
      <c r="W59" s="11" t="n">
        <f aca="false">Inputs!$F$75*W47</f>
        <v>2.33755256084121</v>
      </c>
      <c r="X59" s="11" t="n">
        <f aca="false">Inputs!$F$75*X47</f>
        <v>2.46574651568566</v>
      </c>
      <c r="Y59" s="11" t="n">
        <f aca="false">Inputs!$F$75*Y47</f>
        <v>2.55101332187314</v>
      </c>
      <c r="Z59" s="11" t="n">
        <f aca="false">Inputs!$F$75*Z47</f>
        <v>2.60451708827683</v>
      </c>
      <c r="AA59" s="11" t="n">
        <f aca="false">Inputs!$F$75*AA47</f>
        <v>2.70169720538069</v>
      </c>
      <c r="AB59" s="11" t="n">
        <f aca="false">Inputs!$F$75*AB47</f>
        <v>2.57700812492444</v>
      </c>
      <c r="AC59" s="11" t="n">
        <f aca="false">Inputs!$F$75*AC47</f>
        <v>2.5158881559081</v>
      </c>
      <c r="AD59" s="11" t="n">
        <f aca="false">Inputs!$F$75*AD47</f>
        <v>2.40500129784301</v>
      </c>
      <c r="AE59" s="11" t="n">
        <f aca="false">Inputs!$F$75*AE47</f>
        <v>2.26923128722177</v>
      </c>
      <c r="AF59" s="11" t="n">
        <f aca="false">Inputs!$F$75*AF47</f>
        <v>2.09458080415758</v>
      </c>
      <c r="AG59" s="11" t="n">
        <f aca="false">Inputs!$F$75*AG47</f>
        <v>1.90563035843962</v>
      </c>
      <c r="AH59" s="11" t="n">
        <f aca="false">Inputs!$F$75*AH47</f>
        <v>1.69381041684378</v>
      </c>
      <c r="AI59" s="11" t="n">
        <f aca="false">Inputs!$F$75*AI47</f>
        <v>1.46624764693423</v>
      </c>
      <c r="AJ59" s="11" t="n">
        <f aca="false">Inputs!$F$75*AJ47</f>
        <v>1.24671646643266</v>
      </c>
      <c r="AK59" s="11" t="n">
        <f aca="false">Inputs!$F$75*AK47</f>
        <v>1.02309847004604</v>
      </c>
      <c r="AL59" s="11" t="n">
        <f aca="false">Inputs!$F$75*AL47</f>
        <v>0.826144538834813</v>
      </c>
      <c r="AM59" s="11" t="n">
        <f aca="false">Inputs!$F$75*AM47</f>
        <v>0.649687406264663</v>
      </c>
      <c r="AN59" s="11" t="n">
        <f aca="false">Inputs!$F$75*AN47</f>
        <v>0.491675556381219</v>
      </c>
      <c r="AO59" s="11" t="n">
        <f aca="false">Inputs!$F$75*AO47</f>
        <v>0.410673748975834</v>
      </c>
      <c r="AP59" s="11" t="n">
        <f aca="false">Inputs!$F$75*AP47</f>
        <v>0.3580562225236</v>
      </c>
      <c r="AQ59" s="11" t="n">
        <f aca="false">Inputs!$F$75*AQ47</f>
        <v>0.358949799536258</v>
      </c>
      <c r="AR59" s="11" t="n">
        <f aca="false">Inputs!$F$75*AR47</f>
        <v>0.354320619282345</v>
      </c>
      <c r="AS59" s="11" t="n">
        <f aca="false">Inputs!$F$75*AS47</f>
        <v>0.368437427989929</v>
      </c>
      <c r="AT59" s="11" t="n">
        <f aca="false">Inputs!$F$75*AT47</f>
        <v>0.3695967972481</v>
      </c>
      <c r="AU59" s="11" t="n">
        <f aca="false">Inputs!$F$75*AU47</f>
        <v>0.362196926269513</v>
      </c>
      <c r="AV59" s="11" t="n">
        <f aca="false">Inputs!$F$75*AV47</f>
        <v>4.03269852281777</v>
      </c>
      <c r="AW59" s="11" t="n">
        <f aca="false">Inputs!$F$75*AW47</f>
        <v>3.28188581907963</v>
      </c>
      <c r="AX59" s="11" t="n">
        <f aca="false">Inputs!$F$75*AX47</f>
        <v>0.299285119389964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249.941199397042</v>
      </c>
      <c r="J60" s="11" t="n">
        <f aca="false">Inputs!$F$76*J47</f>
        <v>34.3353096599466</v>
      </c>
      <c r="K60" s="11" t="n">
        <f aca="false">Inputs!$F$76*K47</f>
        <v>0.705768997134365</v>
      </c>
      <c r="L60" s="11" t="n">
        <f aca="false">Inputs!$F$76*L47</f>
        <v>0.899182651723353</v>
      </c>
      <c r="M60" s="11" t="n">
        <f aca="false">Inputs!$F$76*M47</f>
        <v>1.26983046563404</v>
      </c>
      <c r="N60" s="11" t="n">
        <f aca="false">Inputs!$F$76*N47</f>
        <v>1.82757659502552</v>
      </c>
      <c r="O60" s="11" t="n">
        <f aca="false">Inputs!$F$76*O47</f>
        <v>2.51741933622715</v>
      </c>
      <c r="P60" s="11" t="n">
        <f aca="false">Inputs!$F$76*P47</f>
        <v>3.28257332501898</v>
      </c>
      <c r="Q60" s="11" t="n">
        <f aca="false">Inputs!$F$76*Q47</f>
        <v>4.16670601882542</v>
      </c>
      <c r="R60" s="11" t="n">
        <f aca="false">Inputs!$F$76*R47</f>
        <v>5.04703150139529</v>
      </c>
      <c r="S60" s="11" t="n">
        <f aca="false">Inputs!$F$76*S47</f>
        <v>5.94385426591983</v>
      </c>
      <c r="T60" s="11" t="n">
        <f aca="false">Inputs!$F$76*T47</f>
        <v>6.78269993215864</v>
      </c>
      <c r="U60" s="11" t="n">
        <f aca="false">Inputs!$F$76*U47</f>
        <v>7.58741105297294</v>
      </c>
      <c r="V60" s="11" t="n">
        <f aca="false">Inputs!$F$76*V47</f>
        <v>8.29471233853079</v>
      </c>
      <c r="W60" s="11" t="n">
        <f aca="false">Inputs!$F$76*W47</f>
        <v>8.8826997311966</v>
      </c>
      <c r="X60" s="11" t="n">
        <f aca="false">Inputs!$F$76*X47</f>
        <v>9.36983675960551</v>
      </c>
      <c r="Y60" s="11" t="n">
        <f aca="false">Inputs!$F$76*Y47</f>
        <v>9.69385062311793</v>
      </c>
      <c r="Z60" s="11" t="n">
        <f aca="false">Inputs!$F$76*Z47</f>
        <v>9.89716493545194</v>
      </c>
      <c r="AA60" s="11" t="n">
        <f aca="false">Inputs!$F$76*AA47</f>
        <v>10.2664493804466</v>
      </c>
      <c r="AB60" s="11" t="n">
        <f aca="false">Inputs!$F$76*AB47</f>
        <v>9.79263087471286</v>
      </c>
      <c r="AC60" s="11" t="n">
        <f aca="false">Inputs!$F$76*AC47</f>
        <v>9.56037499245079</v>
      </c>
      <c r="AD60" s="11" t="n">
        <f aca="false">Inputs!$F$76*AD47</f>
        <v>9.13900493180343</v>
      </c>
      <c r="AE60" s="11" t="n">
        <f aca="false">Inputs!$F$76*AE47</f>
        <v>8.62307889144274</v>
      </c>
      <c r="AF60" s="11" t="n">
        <f aca="false">Inputs!$F$76*AF47</f>
        <v>7.95940705579879</v>
      </c>
      <c r="AG60" s="11" t="n">
        <f aca="false">Inputs!$F$76*AG47</f>
        <v>7.24139536207055</v>
      </c>
      <c r="AH60" s="11" t="n">
        <f aca="false">Inputs!$F$76*AH47</f>
        <v>6.43647958400637</v>
      </c>
      <c r="AI60" s="11" t="n">
        <f aca="false">Inputs!$F$76*AI47</f>
        <v>5.57174105835009</v>
      </c>
      <c r="AJ60" s="11" t="n">
        <f aca="false">Inputs!$F$76*AJ47</f>
        <v>4.73752257244412</v>
      </c>
      <c r="AK60" s="11" t="n">
        <f aca="false">Inputs!$F$76*AK47</f>
        <v>3.88777418617495</v>
      </c>
      <c r="AL60" s="11" t="n">
        <f aca="false">Inputs!$F$76*AL47</f>
        <v>3.13934924757229</v>
      </c>
      <c r="AM60" s="11" t="n">
        <f aca="false">Inputs!$F$76*AM47</f>
        <v>2.46881214380572</v>
      </c>
      <c r="AN60" s="11" t="n">
        <f aca="false">Inputs!$F$76*AN47</f>
        <v>1.86836711424863</v>
      </c>
      <c r="AO60" s="11" t="n">
        <f aca="false">Inputs!$F$76*AO47</f>
        <v>1.56056024610817</v>
      </c>
      <c r="AP60" s="11" t="n">
        <f aca="false">Inputs!$F$76*AP47</f>
        <v>1.36061364558968</v>
      </c>
      <c r="AQ60" s="11" t="n">
        <f aca="false">Inputs!$F$76*AQ47</f>
        <v>1.36400923823778</v>
      </c>
      <c r="AR60" s="11" t="n">
        <f aca="false">Inputs!$F$76*AR47</f>
        <v>1.34641835327291</v>
      </c>
      <c r="AS60" s="11" t="n">
        <f aca="false">Inputs!$F$76*AS47</f>
        <v>1.40006222636173</v>
      </c>
      <c r="AT60" s="11" t="n">
        <f aca="false">Inputs!$F$76*AT47</f>
        <v>1.40446782954278</v>
      </c>
      <c r="AU60" s="11" t="n">
        <f aca="false">Inputs!$F$76*AU47</f>
        <v>1.37634831982415</v>
      </c>
      <c r="AV60" s="11" t="n">
        <f aca="false">Inputs!$F$76*AV47</f>
        <v>15.3242543867075</v>
      </c>
      <c r="AW60" s="11" t="n">
        <f aca="false">Inputs!$F$76*AW47</f>
        <v>12.4711661125026</v>
      </c>
      <c r="AX60" s="11" t="n">
        <f aca="false">Inputs!$F$76*AX47</f>
        <v>1.13728345368186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27.1068234157473</v>
      </c>
      <c r="K61" s="11" t="n">
        <f aca="false">K28+K57</f>
        <v>27.6640094661166</v>
      </c>
      <c r="L61" s="11" t="n">
        <f aca="false">L28+L57</f>
        <v>28.3738905069508</v>
      </c>
      <c r="M61" s="11" t="n">
        <f aca="false">M28+M57</f>
        <v>29.3763882429777</v>
      </c>
      <c r="N61" s="11" t="n">
        <f aca="false">N28+N57</f>
        <v>30.8192118706294</v>
      </c>
      <c r="O61" s="11" t="n">
        <f aca="false">O28+O57</f>
        <v>32.8066481887035</v>
      </c>
      <c r="P61" s="11" t="n">
        <f aca="false">P28+P57</f>
        <v>35.3981534452974</v>
      </c>
      <c r="Q61" s="11" t="n">
        <f aca="false">Q28+Q57</f>
        <v>38.6876581970017</v>
      </c>
      <c r="R61" s="11" t="n">
        <f aca="false">R28+R57</f>
        <v>42.6721567507348</v>
      </c>
      <c r="S61" s="11" t="n">
        <f aca="false">S28+S57</f>
        <v>47.364673276461</v>
      </c>
      <c r="T61" s="11" t="n">
        <f aca="false">T28+T57</f>
        <v>52.7194363807967</v>
      </c>
      <c r="U61" s="11" t="n">
        <f aca="false">U28+U57</f>
        <v>58.7094977384069</v>
      </c>
      <c r="V61" s="11" t="n">
        <f aca="false">V28+V57</f>
        <v>65.2579548477734</v>
      </c>
      <c r="W61" s="11" t="n">
        <f aca="false">W28+W57</f>
        <v>72.270612530297</v>
      </c>
      <c r="X61" s="11" t="n">
        <f aca="false">X28+X57</f>
        <v>79.667852077354</v>
      </c>
      <c r="Y61" s="11" t="n">
        <f aca="false">Y28+Y57</f>
        <v>87.3208920429734</v>
      </c>
      <c r="Z61" s="11" t="n">
        <f aca="false">Z28+Z57</f>
        <v>95.1344433078039</v>
      </c>
      <c r="AA61" s="11" t="n">
        <f aca="false">AA28+AA57</f>
        <v>103.239534923946</v>
      </c>
      <c r="AB61" s="11" t="n">
        <f aca="false">AB28+AB57</f>
        <v>110.970559298719</v>
      </c>
      <c r="AC61" s="11" t="n">
        <f aca="false">AC28+AC57</f>
        <v>118.518223766444</v>
      </c>
      <c r="AD61" s="11" t="n">
        <f aca="false">AD28+AD57</f>
        <v>125.733227659973</v>
      </c>
      <c r="AE61" s="11" t="n">
        <f aca="false">AE28+AE57</f>
        <v>132.540921521638</v>
      </c>
      <c r="AF61" s="11" t="n">
        <f aca="false">AF28+AF57</f>
        <v>138.824663934111</v>
      </c>
      <c r="AG61" s="11" t="n">
        <f aca="false">AG28+AG57</f>
        <v>144.541555009429</v>
      </c>
      <c r="AH61" s="11" t="n">
        <f aca="false">AH28+AH57</f>
        <v>149.622986259961</v>
      </c>
      <c r="AI61" s="11" t="n">
        <f aca="false">AI28+AI57</f>
        <v>154.021729200764</v>
      </c>
      <c r="AJ61" s="11" t="n">
        <f aca="false">AJ28+AJ57</f>
        <v>157.761878600062</v>
      </c>
      <c r="AK61" s="11" t="n">
        <f aca="false">AK28+AK57</f>
        <v>160.8311740102</v>
      </c>
      <c r="AL61" s="11" t="n">
        <f aca="false">AL28+AL57</f>
        <v>163.309607626704</v>
      </c>
      <c r="AM61" s="11" t="n">
        <f aca="false">AM28+AM57</f>
        <v>165.258669845498</v>
      </c>
      <c r="AN61" s="11" t="n">
        <f aca="false">AN28+AN57</f>
        <v>166.733696514642</v>
      </c>
      <c r="AO61" s="11" t="n">
        <f aca="false">AO28+AO57</f>
        <v>167.965717761569</v>
      </c>
      <c r="AP61" s="11" t="n">
        <f aca="false">AP28+AP57</f>
        <v>169.03988642914</v>
      </c>
      <c r="AQ61" s="11" t="n">
        <f aca="false">AQ28+AQ57</f>
        <v>170.116735827749</v>
      </c>
      <c r="AR61" s="11" t="n">
        <f aca="false">AR28+AR57</f>
        <v>171.179697685596</v>
      </c>
      <c r="AS61" s="11" t="n">
        <f aca="false">AS28+AS57</f>
        <v>172.285009969566</v>
      </c>
      <c r="AT61" s="11" t="n">
        <f aca="false">AT28+AT57</f>
        <v>173.39380036131</v>
      </c>
      <c r="AU61" s="11" t="n">
        <f aca="false">AU28+AU57</f>
        <v>174.480391140118</v>
      </c>
      <c r="AV61" s="11" t="n">
        <f aca="false">AV28+AV57</f>
        <v>186.578486708572</v>
      </c>
      <c r="AW61" s="11" t="n">
        <f aca="false">AW28+AW57</f>
        <v>196.424144165811</v>
      </c>
      <c r="AX61" s="11" t="n">
        <f aca="false">AX28+AX57</f>
        <v>197.321999523981</v>
      </c>
      <c r="AY61" s="11" t="n">
        <f aca="false">AY28+AY57</f>
        <v>197.321999523981</v>
      </c>
      <c r="AZ61" s="11" t="n">
        <f aca="false">AZ28+AZ57</f>
        <v>197.321999523981</v>
      </c>
      <c r="BA61" s="11" t="n">
        <f aca="false">BA28+BA57</f>
        <v>197.321999523981</v>
      </c>
      <c r="BB61" s="11" t="n">
        <f aca="false">BB28+BB57</f>
        <v>197.321999523981</v>
      </c>
      <c r="BC61" s="11" t="n">
        <f aca="false">BC28+BC57</f>
        <v>197.321999523981</v>
      </c>
      <c r="BD61" s="11" t="n">
        <f aca="false">BD28+BD57</f>
        <v>197.321999523981</v>
      </c>
      <c r="BE61" s="11" t="n">
        <f aca="false">BE28+BE57</f>
        <v>197.321999523981</v>
      </c>
      <c r="BF61" s="11" t="n">
        <f aca="false">BF28+BF57</f>
        <v>197.321999523981</v>
      </c>
      <c r="BG61" s="11" t="n">
        <f aca="false">BG28+BG57</f>
        <v>197.321999523981</v>
      </c>
      <c r="BH61" s="11" t="n">
        <f aca="false">BH28+BH57</f>
        <v>197.321999523981</v>
      </c>
      <c r="BI61" s="11" t="n">
        <f aca="false">BI28+BI57</f>
        <v>197.321999523981</v>
      </c>
      <c r="BJ61" s="11" t="n">
        <f aca="false">BJ28+BJ57</f>
        <v>197.321999523981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19.878337171548</v>
      </c>
      <c r="K62" s="11" t="n">
        <f aca="false">K29+K58</f>
        <v>20.2869402751521</v>
      </c>
      <c r="L62" s="11" t="n">
        <f aca="false">L29+L58</f>
        <v>20.8075197050972</v>
      </c>
      <c r="M62" s="11" t="n">
        <f aca="false">M29+M58</f>
        <v>21.5426847115169</v>
      </c>
      <c r="N62" s="11" t="n">
        <f aca="false">N29+N58</f>
        <v>22.6007553717949</v>
      </c>
      <c r="O62" s="11" t="n">
        <f aca="false">O29+O58</f>
        <v>24.0582086717159</v>
      </c>
      <c r="P62" s="11" t="n">
        <f aca="false">P29+P58</f>
        <v>25.9586458598847</v>
      </c>
      <c r="Q62" s="11" t="n">
        <f aca="false">Q29+Q58</f>
        <v>28.3709493444679</v>
      </c>
      <c r="R62" s="11" t="n">
        <f aca="false">R29+R58</f>
        <v>31.2929149505388</v>
      </c>
      <c r="S62" s="11" t="n">
        <f aca="false">S29+S58</f>
        <v>34.7340937360714</v>
      </c>
      <c r="T62" s="11" t="n">
        <f aca="false">T29+T58</f>
        <v>38.6609200125843</v>
      </c>
      <c r="U62" s="11" t="n">
        <f aca="false">U29+U58</f>
        <v>43.0536316748318</v>
      </c>
      <c r="V62" s="11" t="n">
        <f aca="false">V29+V58</f>
        <v>47.8558335550338</v>
      </c>
      <c r="W62" s="11" t="n">
        <f aca="false">W29+W58</f>
        <v>52.9984491888844</v>
      </c>
      <c r="X62" s="11" t="n">
        <f aca="false">X29+X58</f>
        <v>58.4230915233929</v>
      </c>
      <c r="Y62" s="11" t="n">
        <f aca="false">Y29+Y58</f>
        <v>64.0353208315138</v>
      </c>
      <c r="Z62" s="11" t="n">
        <f aca="false">Z29+Z58</f>
        <v>69.7652584257228</v>
      </c>
      <c r="AA62" s="11" t="n">
        <f aca="false">AA29+AA58</f>
        <v>75.7089922775603</v>
      </c>
      <c r="AB62" s="11" t="n">
        <f aca="false">AB29+AB58</f>
        <v>81.3784101523941</v>
      </c>
      <c r="AC62" s="11" t="n">
        <f aca="false">AC29+AC58</f>
        <v>86.9133640953919</v>
      </c>
      <c r="AD62" s="11" t="n">
        <f aca="false">AD29+AD58</f>
        <v>92.2043669506465</v>
      </c>
      <c r="AE62" s="11" t="n">
        <f aca="false">AE29+AE58</f>
        <v>97.1966757825344</v>
      </c>
      <c r="AF62" s="11" t="n">
        <f aca="false">AF29+AF58</f>
        <v>101.804753551681</v>
      </c>
      <c r="AG62" s="11" t="n">
        <f aca="false">AG29+AG58</f>
        <v>105.997140340248</v>
      </c>
      <c r="AH62" s="11" t="n">
        <f aca="false">AH29+AH58</f>
        <v>109.723523257305</v>
      </c>
      <c r="AI62" s="11" t="n">
        <f aca="false">AI29+AI58</f>
        <v>112.94926808056</v>
      </c>
      <c r="AJ62" s="11" t="n">
        <f aca="false">AJ29+AJ58</f>
        <v>115.692044306712</v>
      </c>
      <c r="AK62" s="11" t="n">
        <f aca="false">AK29+AK58</f>
        <v>117.942860940813</v>
      </c>
      <c r="AL62" s="11" t="n">
        <f aca="false">AL29+AL58</f>
        <v>119.76037892625</v>
      </c>
      <c r="AM62" s="11" t="n">
        <f aca="false">AM29+AM58</f>
        <v>121.189691220032</v>
      </c>
      <c r="AN62" s="11" t="n">
        <f aca="false">AN29+AN58</f>
        <v>122.271377444071</v>
      </c>
      <c r="AO62" s="11" t="n">
        <f aca="false">AO29+AO58</f>
        <v>123.174859691817</v>
      </c>
      <c r="AP62" s="11" t="n">
        <f aca="false">AP29+AP58</f>
        <v>123.962583381369</v>
      </c>
      <c r="AQ62" s="11" t="n">
        <f aca="false">AQ29+AQ58</f>
        <v>124.752272940349</v>
      </c>
      <c r="AR62" s="11" t="n">
        <f aca="false">AR29+AR58</f>
        <v>125.53177830277</v>
      </c>
      <c r="AS62" s="11" t="n">
        <f aca="false">AS29+AS58</f>
        <v>126.342340644348</v>
      </c>
      <c r="AT62" s="11" t="n">
        <f aca="false">AT29+AT58</f>
        <v>127.155453598294</v>
      </c>
      <c r="AU62" s="11" t="n">
        <f aca="false">AU29+AU58</f>
        <v>127.952286836087</v>
      </c>
      <c r="AV62" s="11" t="n">
        <f aca="false">AV29+AV58</f>
        <v>136.824223586286</v>
      </c>
      <c r="AW62" s="11" t="n">
        <f aca="false">AW29+AW58</f>
        <v>144.044372388261</v>
      </c>
      <c r="AX62" s="11" t="n">
        <f aca="false">AX29+AX58</f>
        <v>144.702799650919</v>
      </c>
      <c r="AY62" s="11" t="n">
        <f aca="false">AY29+AY58</f>
        <v>144.702799650919</v>
      </c>
      <c r="AZ62" s="11" t="n">
        <f aca="false">AZ29+AZ58</f>
        <v>144.702799650919</v>
      </c>
      <c r="BA62" s="11" t="n">
        <f aca="false">BA29+BA58</f>
        <v>144.702799650919</v>
      </c>
      <c r="BB62" s="11" t="n">
        <f aca="false">BB29+BB58</f>
        <v>144.702799650919</v>
      </c>
      <c r="BC62" s="11" t="n">
        <f aca="false">BC29+BC58</f>
        <v>144.702799650919</v>
      </c>
      <c r="BD62" s="11" t="n">
        <f aca="false">BD29+BD58</f>
        <v>144.702799650919</v>
      </c>
      <c r="BE62" s="11" t="n">
        <f aca="false">BE29+BE58</f>
        <v>144.702799650919</v>
      </c>
      <c r="BF62" s="11" t="n">
        <f aca="false">BF29+BF58</f>
        <v>144.702799650919</v>
      </c>
      <c r="BG62" s="11" t="n">
        <f aca="false">BG29+BG58</f>
        <v>144.702799650919</v>
      </c>
      <c r="BH62" s="11" t="n">
        <f aca="false">BH29+BH58</f>
        <v>144.702799650919</v>
      </c>
      <c r="BI62" s="11" t="n">
        <f aca="false">BI29+BI58</f>
        <v>144.702799650919</v>
      </c>
      <c r="BJ62" s="11" t="n">
        <f aca="false">BJ29+BJ58</f>
        <v>144.702799650919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9.03560780524911</v>
      </c>
      <c r="K63" s="11" t="n">
        <f aca="false">K30+K59</f>
        <v>9.22133648870552</v>
      </c>
      <c r="L63" s="11" t="n">
        <f aca="false">L30+L59</f>
        <v>9.45796350231693</v>
      </c>
      <c r="M63" s="11" t="n">
        <f aca="false">M30+M59</f>
        <v>9.79212941432589</v>
      </c>
      <c r="N63" s="11" t="n">
        <f aca="false">N30+N59</f>
        <v>10.2730706235431</v>
      </c>
      <c r="O63" s="11" t="n">
        <f aca="false">O30+O59</f>
        <v>10.9355493962345</v>
      </c>
      <c r="P63" s="11" t="n">
        <f aca="false">P30+P59</f>
        <v>11.7993844817658</v>
      </c>
      <c r="Q63" s="11" t="n">
        <f aca="false">Q30+Q59</f>
        <v>12.8958860656672</v>
      </c>
      <c r="R63" s="11" t="n">
        <f aca="false">R30+R59</f>
        <v>14.2240522502449</v>
      </c>
      <c r="S63" s="11" t="n">
        <f aca="false">S30+S59</f>
        <v>15.788224425487</v>
      </c>
      <c r="T63" s="11" t="n">
        <f aca="false">T30+T59</f>
        <v>17.5731454602656</v>
      </c>
      <c r="U63" s="11" t="n">
        <f aca="false">U30+U59</f>
        <v>19.569832579469</v>
      </c>
      <c r="V63" s="11" t="n">
        <f aca="false">V30+V59</f>
        <v>21.7526516159244</v>
      </c>
      <c r="W63" s="11" t="n">
        <f aca="false">W30+W59</f>
        <v>24.0902041767657</v>
      </c>
      <c r="X63" s="11" t="n">
        <f aca="false">X30+X59</f>
        <v>26.5559506924513</v>
      </c>
      <c r="Y63" s="11" t="n">
        <f aca="false">Y30+Y59</f>
        <v>29.1069640143245</v>
      </c>
      <c r="Z63" s="11" t="n">
        <f aca="false">Z30+Z59</f>
        <v>31.7114811026013</v>
      </c>
      <c r="AA63" s="11" t="n">
        <f aca="false">AA30+AA59</f>
        <v>34.413178307982</v>
      </c>
      <c r="AB63" s="11" t="n">
        <f aca="false">AB30+AB59</f>
        <v>36.9901864329064</v>
      </c>
      <c r="AC63" s="11" t="n">
        <f aca="false">AC30+AC59</f>
        <v>39.5060745888145</v>
      </c>
      <c r="AD63" s="11" t="n">
        <f aca="false">AD30+AD59</f>
        <v>41.9110758866575</v>
      </c>
      <c r="AE63" s="11" t="n">
        <f aca="false">AE30+AE59</f>
        <v>44.1803071738793</v>
      </c>
      <c r="AF63" s="11" t="n">
        <f aca="false">AF30+AF59</f>
        <v>46.2748879780369</v>
      </c>
      <c r="AG63" s="11" t="n">
        <f aca="false">AG30+AG59</f>
        <v>48.1805183364765</v>
      </c>
      <c r="AH63" s="11" t="n">
        <f aca="false">AH30+AH59</f>
        <v>49.8743287533203</v>
      </c>
      <c r="AI63" s="11" t="n">
        <f aca="false">AI30+AI59</f>
        <v>51.3405764002545</v>
      </c>
      <c r="AJ63" s="11" t="n">
        <f aca="false">AJ30+AJ59</f>
        <v>52.5872928666872</v>
      </c>
      <c r="AK63" s="11" t="n">
        <f aca="false">AK30+AK59</f>
        <v>53.6103913367332</v>
      </c>
      <c r="AL63" s="11" t="n">
        <f aca="false">AL30+AL59</f>
        <v>54.436535875568</v>
      </c>
      <c r="AM63" s="11" t="n">
        <f aca="false">AM30+AM59</f>
        <v>55.0862232818327</v>
      </c>
      <c r="AN63" s="11" t="n">
        <f aca="false">AN30+AN59</f>
        <v>55.5778988382139</v>
      </c>
      <c r="AO63" s="11" t="n">
        <f aca="false">AO30+AO59</f>
        <v>55.9885725871897</v>
      </c>
      <c r="AP63" s="11" t="n">
        <f aca="false">AP30+AP59</f>
        <v>56.3466288097133</v>
      </c>
      <c r="AQ63" s="11" t="n">
        <f aca="false">AQ30+AQ59</f>
        <v>56.7055786092496</v>
      </c>
      <c r="AR63" s="11" t="n">
        <f aca="false">AR30+AR59</f>
        <v>57.0598992285319</v>
      </c>
      <c r="AS63" s="11" t="n">
        <f aca="false">AS30+AS59</f>
        <v>57.4283366565219</v>
      </c>
      <c r="AT63" s="11" t="n">
        <f aca="false">AT30+AT59</f>
        <v>57.79793345377</v>
      </c>
      <c r="AU63" s="11" t="n">
        <f aca="false">AU30+AU59</f>
        <v>58.1601303800395</v>
      </c>
      <c r="AV63" s="11" t="n">
        <f aca="false">AV30+AV59</f>
        <v>62.1928289028573</v>
      </c>
      <c r="AW63" s="11" t="n">
        <f aca="false">AW30+AW59</f>
        <v>65.4747147219369</v>
      </c>
      <c r="AX63" s="11" t="n">
        <f aca="false">AX30+AX59</f>
        <v>65.7739998413268</v>
      </c>
      <c r="AY63" s="11" t="n">
        <f aca="false">AY30+AY59</f>
        <v>65.7739998413268</v>
      </c>
      <c r="AZ63" s="11" t="n">
        <f aca="false">AZ30+AZ59</f>
        <v>65.7739998413268</v>
      </c>
      <c r="BA63" s="11" t="n">
        <f aca="false">BA30+BA59</f>
        <v>65.7739998413268</v>
      </c>
      <c r="BB63" s="11" t="n">
        <f aca="false">BB30+BB59</f>
        <v>65.7739998413268</v>
      </c>
      <c r="BC63" s="11" t="n">
        <f aca="false">BC30+BC59</f>
        <v>65.7739998413268</v>
      </c>
      <c r="BD63" s="11" t="n">
        <f aca="false">BD30+BD59</f>
        <v>65.7739998413268</v>
      </c>
      <c r="BE63" s="11" t="n">
        <f aca="false">BE30+BE59</f>
        <v>65.7739998413268</v>
      </c>
      <c r="BF63" s="11" t="n">
        <f aca="false">BF30+BF59</f>
        <v>65.7739998413268</v>
      </c>
      <c r="BG63" s="11" t="n">
        <f aca="false">BG30+BG59</f>
        <v>65.7739998413268</v>
      </c>
      <c r="BH63" s="11" t="n">
        <f aca="false">BH30+BH59</f>
        <v>65.7739998413268</v>
      </c>
      <c r="BI63" s="11" t="n">
        <f aca="false">BI30+BI59</f>
        <v>65.7739998413268</v>
      </c>
      <c r="BJ63" s="11" t="n">
        <f aca="false">BJ30+BJ59</f>
        <v>65.7739998413268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34.3353096599466</v>
      </c>
      <c r="K64" s="11" t="n">
        <f aca="false">K31+K60</f>
        <v>35.041078657081</v>
      </c>
      <c r="L64" s="11" t="n">
        <f aca="false">L31+L60</f>
        <v>35.9402613088043</v>
      </c>
      <c r="M64" s="11" t="n">
        <f aca="false">M31+M60</f>
        <v>37.2100917744384</v>
      </c>
      <c r="N64" s="11" t="n">
        <f aca="false">N31+N60</f>
        <v>39.0376683694639</v>
      </c>
      <c r="O64" s="11" t="n">
        <f aca="false">O31+O60</f>
        <v>41.555087705691</v>
      </c>
      <c r="P64" s="11" t="n">
        <f aca="false">P31+P60</f>
        <v>44.83766103071</v>
      </c>
      <c r="Q64" s="11" t="n">
        <f aca="false">Q31+Q60</f>
        <v>49.0043670495354</v>
      </c>
      <c r="R64" s="11" t="n">
        <f aca="false">R31+R60</f>
        <v>54.0513985509307</v>
      </c>
      <c r="S64" s="11" t="n">
        <f aca="false">S31+S60</f>
        <v>59.9952528168505</v>
      </c>
      <c r="T64" s="11" t="n">
        <f aca="false">T31+T60</f>
        <v>66.7779527490092</v>
      </c>
      <c r="U64" s="11" t="n">
        <f aca="false">U31+U60</f>
        <v>74.3653638019821</v>
      </c>
      <c r="V64" s="11" t="n">
        <f aca="false">V31+V60</f>
        <v>82.6600761405129</v>
      </c>
      <c r="W64" s="11" t="n">
        <f aca="false">W31+W60</f>
        <v>91.5427758717095</v>
      </c>
      <c r="X64" s="11" t="n">
        <f aca="false">X31+X60</f>
        <v>100.912612631315</v>
      </c>
      <c r="Y64" s="11" t="n">
        <f aca="false">Y31+Y60</f>
        <v>110.606463254433</v>
      </c>
      <c r="Z64" s="11" t="n">
        <f aca="false">Z31+Z60</f>
        <v>120.503628189885</v>
      </c>
      <c r="AA64" s="11" t="n">
        <f aca="false">AA31+AA60</f>
        <v>130.770077570332</v>
      </c>
      <c r="AB64" s="11" t="n">
        <f aca="false">AB31+AB60</f>
        <v>140.562708445044</v>
      </c>
      <c r="AC64" s="11" t="n">
        <f aca="false">AC31+AC60</f>
        <v>150.123083437495</v>
      </c>
      <c r="AD64" s="11" t="n">
        <f aca="false">AD31+AD60</f>
        <v>159.262088369299</v>
      </c>
      <c r="AE64" s="11" t="n">
        <f aca="false">AE31+AE60</f>
        <v>167.885167260741</v>
      </c>
      <c r="AF64" s="11" t="n">
        <f aca="false">AF31+AF60</f>
        <v>175.84457431654</v>
      </c>
      <c r="AG64" s="11" t="n">
        <f aca="false">AG31+AG60</f>
        <v>183.085969678611</v>
      </c>
      <c r="AH64" s="11" t="n">
        <f aca="false">AH31+AH60</f>
        <v>189.522449262617</v>
      </c>
      <c r="AI64" s="11" t="n">
        <f aca="false">AI31+AI60</f>
        <v>195.094190320967</v>
      </c>
      <c r="AJ64" s="11" t="n">
        <f aca="false">AJ31+AJ60</f>
        <v>199.831712893411</v>
      </c>
      <c r="AK64" s="11" t="n">
        <f aca="false">AK31+AK60</f>
        <v>203.719487079586</v>
      </c>
      <c r="AL64" s="11" t="n">
        <f aca="false">AL31+AL60</f>
        <v>206.858836327158</v>
      </c>
      <c r="AM64" s="11" t="n">
        <f aca="false">AM31+AM60</f>
        <v>209.327648470964</v>
      </c>
      <c r="AN64" s="11" t="n">
        <f aca="false">AN31+AN60</f>
        <v>211.196015585213</v>
      </c>
      <c r="AO64" s="11" t="n">
        <f aca="false">AO31+AO60</f>
        <v>212.756575831321</v>
      </c>
      <c r="AP64" s="11" t="n">
        <f aca="false">AP31+AP60</f>
        <v>214.117189476911</v>
      </c>
      <c r="AQ64" s="11" t="n">
        <f aca="false">AQ31+AQ60</f>
        <v>215.481198715148</v>
      </c>
      <c r="AR64" s="11" t="n">
        <f aca="false">AR31+AR60</f>
        <v>216.827617068421</v>
      </c>
      <c r="AS64" s="11" t="n">
        <f aca="false">AS31+AS60</f>
        <v>218.227679294783</v>
      </c>
      <c r="AT64" s="11" t="n">
        <f aca="false">AT31+AT60</f>
        <v>219.632147124326</v>
      </c>
      <c r="AU64" s="11" t="n">
        <f aca="false">AU31+AU60</f>
        <v>221.00849544415</v>
      </c>
      <c r="AV64" s="11" t="n">
        <f aca="false">AV31+AV60</f>
        <v>236.332749830858</v>
      </c>
      <c r="AW64" s="11" t="n">
        <f aca="false">AW31+AW60</f>
        <v>248.80391594336</v>
      </c>
      <c r="AX64" s="11" t="n">
        <f aca="false">AX31+AX60</f>
        <v>249.941199397042</v>
      </c>
      <c r="AY64" s="11" t="n">
        <f aca="false">AY31+AY60</f>
        <v>249.941199397042</v>
      </c>
      <c r="AZ64" s="11" t="n">
        <f aca="false">AZ31+AZ60</f>
        <v>249.941199397042</v>
      </c>
      <c r="BA64" s="11" t="n">
        <f aca="false">BA31+BA60</f>
        <v>249.941199397042</v>
      </c>
      <c r="BB64" s="11" t="n">
        <f aca="false">BB31+BB60</f>
        <v>249.941199397042</v>
      </c>
      <c r="BC64" s="11" t="n">
        <f aca="false">BC31+BC60</f>
        <v>249.941199397042</v>
      </c>
      <c r="BD64" s="11" t="n">
        <f aca="false">BD31+BD60</f>
        <v>249.941199397042</v>
      </c>
      <c r="BE64" s="11" t="n">
        <f aca="false">BE31+BE60</f>
        <v>249.941199397042</v>
      </c>
      <c r="BF64" s="11" t="n">
        <f aca="false">BF31+BF60</f>
        <v>249.941199397042</v>
      </c>
      <c r="BG64" s="11" t="n">
        <f aca="false">BG31+BG60</f>
        <v>249.941199397042</v>
      </c>
      <c r="BH64" s="11" t="n">
        <f aca="false">BH31+BH60</f>
        <v>249.941199397042</v>
      </c>
      <c r="BI64" s="11" t="n">
        <f aca="false">BI31+BI60</f>
        <v>249.941199397042</v>
      </c>
      <c r="BJ64" s="11" t="n">
        <f aca="false">BJ31+BJ60</f>
        <v>249.941199397042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0</v>
      </c>
      <c r="AS65" s="11" t="n">
        <f aca="false">AS32+AS55</f>
        <v>0</v>
      </c>
      <c r="AT65" s="11" t="n">
        <f aca="false">AT32+AT55</f>
        <v>0</v>
      </c>
      <c r="AU65" s="11" t="n">
        <f aca="false">AU32+AU55</f>
        <v>0</v>
      </c>
      <c r="AV65" s="11" t="n">
        <f aca="false">AV32+AV55</f>
        <v>0</v>
      </c>
      <c r="AW65" s="11" t="n">
        <f aca="false">AW32+AW55</f>
        <v>0</v>
      </c>
      <c r="AX65" s="11" t="n">
        <f aca="false">AX32+AX55</f>
        <v>1.99840144432528E-013</v>
      </c>
      <c r="AY65" s="11" t="n">
        <f aca="false">AY32+AY55</f>
        <v>1.99840144432528E-013</v>
      </c>
      <c r="AZ65" s="11" t="n">
        <f aca="false">AZ32+AZ55</f>
        <v>1.99840144432528E-013</v>
      </c>
      <c r="BA65" s="11" t="n">
        <f aca="false">BA32+BA55</f>
        <v>1.99840144432528E-013</v>
      </c>
      <c r="BB65" s="11" t="n">
        <f aca="false">BB32+BB55</f>
        <v>1.99840144432528E-013</v>
      </c>
      <c r="BC65" s="11" t="n">
        <f aca="false">BC32+BC55</f>
        <v>1.99840144432528E-013</v>
      </c>
      <c r="BD65" s="11" t="n">
        <f aca="false">BD32+BD55</f>
        <v>1.99840144432528E-013</v>
      </c>
      <c r="BE65" s="11" t="n">
        <f aca="false">BE32+BE55</f>
        <v>1.99840144432528E-013</v>
      </c>
      <c r="BF65" s="11" t="n">
        <f aca="false">BF32+BF55</f>
        <v>1.99840144432528E-013</v>
      </c>
      <c r="BG65" s="11" t="n">
        <f aca="false">BG32+BG55</f>
        <v>1.99840144432528E-013</v>
      </c>
      <c r="BH65" s="11" t="n">
        <f aca="false">BH32+BH55</f>
        <v>1.99840144432528E-013</v>
      </c>
      <c r="BI65" s="11" t="n">
        <f aca="false">BI32+BI55</f>
        <v>1.99840144432528E-013</v>
      </c>
      <c r="BJ65" s="11" t="n">
        <f aca="false">BJ32+BJ55</f>
        <v>1.99840144432528E-013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230.410683158074</v>
      </c>
      <c r="J67" s="11" t="n">
        <f aca="false">J50-J47+J56</f>
        <v>31.6523333259076</v>
      </c>
      <c r="K67" s="11" t="n">
        <f aca="false">K50-K47+K56</f>
        <v>0.650619894494443</v>
      </c>
      <c r="L67" s="11" t="n">
        <f aca="false">L50-L47+L56</f>
        <v>0.828920120281372</v>
      </c>
      <c r="M67" s="11" t="n">
        <f aca="false">M50-M47+M56</f>
        <v>1.17060534952821</v>
      </c>
      <c r="N67" s="11" t="n">
        <f aca="false">N50-N47+N56</f>
        <v>1.6847689488543</v>
      </c>
      <c r="O67" s="11" t="n">
        <f aca="false">O50-O47+O56</f>
        <v>2.32070707212229</v>
      </c>
      <c r="P67" s="11" t="n">
        <f aca="false">P50-P47+P56</f>
        <v>3.02607158867241</v>
      </c>
      <c r="Q67" s="11" t="n">
        <f aca="false">Q50-Q47+Q56</f>
        <v>3.84111776142731</v>
      </c>
      <c r="R67" s="11" t="n">
        <f aca="false">R50-R47+R56</f>
        <v>4.65265422012123</v>
      </c>
      <c r="S67" s="11" t="n">
        <f aca="false">S50-S47+S56</f>
        <v>5.47939885583676</v>
      </c>
      <c r="T67" s="11" t="n">
        <f aca="false">T50-T47+T56</f>
        <v>6.25269674945551</v>
      </c>
      <c r="U67" s="11" t="n">
        <f aca="false">U50-U47+U56</f>
        <v>6.99452738617733</v>
      </c>
      <c r="V67" s="11" t="n">
        <f aca="false">V50-V47+V56</f>
        <v>7.64655983539785</v>
      </c>
      <c r="W67" s="11" t="n">
        <f aca="false">W50-W47+W56</f>
        <v>8.18860163226564</v>
      </c>
      <c r="X67" s="11" t="n">
        <f aca="false">X50-X47+X56</f>
        <v>8.63767355709461</v>
      </c>
      <c r="Y67" s="11" t="n">
        <f aca="false">Y50-Y47+Y56</f>
        <v>8.93636883352236</v>
      </c>
      <c r="Z67" s="11" t="n">
        <f aca="false">Z50-Z47+Z56</f>
        <v>9.12379607526444</v>
      </c>
      <c r="AA67" s="11" t="n">
        <f aca="false">AA50-AA47+AA56</f>
        <v>9.4642244698474</v>
      </c>
      <c r="AB67" s="11" t="n">
        <f aca="false">AB50-AB47+AB56</f>
        <v>9.02743035242129</v>
      </c>
      <c r="AC67" s="11" t="n">
        <f aca="false">AC50-AC47+AC56</f>
        <v>8.81332304786893</v>
      </c>
      <c r="AD67" s="11" t="n">
        <f aca="false">AD50-AD47+AD56</f>
        <v>8.42487903075477</v>
      </c>
      <c r="AE67" s="11" t="n">
        <f aca="false">AE50-AE47+AE56</f>
        <v>7.94926768014383</v>
      </c>
      <c r="AF67" s="11" t="n">
        <f aca="false">AF50-AF47+AF56</f>
        <v>7.3374554562592</v>
      </c>
      <c r="AG67" s="11" t="n">
        <f aca="false">AG50-AG47+AG56</f>
        <v>6.67554951491576</v>
      </c>
      <c r="AH67" s="11" t="n">
        <f aca="false">AH50-AH47+AH56</f>
        <v>5.93353021295238</v>
      </c>
      <c r="AI67" s="11" t="n">
        <f aca="false">AI50-AI47+AI56</f>
        <v>5.1363627394417</v>
      </c>
      <c r="AJ67" s="11" t="n">
        <f aca="false">AJ50-AJ47+AJ56</f>
        <v>4.36733045623116</v>
      </c>
      <c r="AK67" s="11" t="n">
        <f aca="false">AK50-AK47+AK56</f>
        <v>3.58398178596361</v>
      </c>
      <c r="AL67" s="11" t="n">
        <f aca="false">AL50-AL47+AL56</f>
        <v>2.89403910419691</v>
      </c>
      <c r="AM67" s="11" t="n">
        <f aca="false">AM50-AM47+AM56</f>
        <v>2.27589806728741</v>
      </c>
      <c r="AN67" s="11" t="n">
        <f aca="false">AN50-AN47+AN56</f>
        <v>1.72237207880343</v>
      </c>
      <c r="AO67" s="11" t="n">
        <f aca="false">AO50-AO47+AO56</f>
        <v>1.43861737593699</v>
      </c>
      <c r="AP67" s="11" t="n">
        <f aca="false">AP50-AP47+AP56</f>
        <v>1.25429469151466</v>
      </c>
      <c r="AQ67" s="11" t="n">
        <f aca="false">AQ50-AQ47+AQ56</f>
        <v>1.25742495104635</v>
      </c>
      <c r="AR67" s="11" t="n">
        <f aca="false">AR50-AR47+AR56</f>
        <v>1.24120862563906</v>
      </c>
      <c r="AS67" s="11" t="n">
        <f aca="false">AS50-AS47+AS56</f>
        <v>1.29066074267882</v>
      </c>
      <c r="AT67" s="11" t="n">
        <f aca="false">AT50-AT47+AT56</f>
        <v>1.29472209007219</v>
      </c>
      <c r="AU67" s="11" t="n">
        <f aca="false">AU50-AU47+AU56</f>
        <v>1.26879985132176</v>
      </c>
      <c r="AV67" s="11" t="n">
        <f aca="false">AV50-AV47+AV56</f>
        <v>14.126810348383</v>
      </c>
      <c r="AW67" s="11" t="n">
        <f aca="false">AW50-AW47+AW56</f>
        <v>11.4966636580586</v>
      </c>
      <c r="AX67" s="11" t="n">
        <f aca="false">AX50-AX47+AX56</f>
        <v>1.04841561991132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216.210683158074</v>
      </c>
      <c r="J68" s="11" t="n">
        <f aca="false">J67-IF(Construction!J8=1,Inputs!$F$66,0)</f>
        <v>17.4523333259077</v>
      </c>
      <c r="K68" s="11" t="n">
        <f aca="false">K67-IF(Construction!K8=1,Inputs!$F$66,0)</f>
        <v>0.650619894494443</v>
      </c>
      <c r="L68" s="11" t="n">
        <f aca="false">L67-IF(Construction!L8=1,Inputs!$F$66,0)</f>
        <v>0.828920120281372</v>
      </c>
      <c r="M68" s="11" t="n">
        <f aca="false">M67-IF(Construction!M8=1,Inputs!$F$66,0)</f>
        <v>1.17060534952821</v>
      </c>
      <c r="N68" s="11" t="n">
        <f aca="false">N67-IF(Construction!N8=1,Inputs!$F$66,0)</f>
        <v>1.6847689488543</v>
      </c>
      <c r="O68" s="11" t="n">
        <f aca="false">O67-IF(Construction!O8=1,Inputs!$F$66,0)</f>
        <v>2.32070707212229</v>
      </c>
      <c r="P68" s="11" t="n">
        <f aca="false">P67-IF(Construction!P8=1,Inputs!$F$66,0)</f>
        <v>3.02607158867241</v>
      </c>
      <c r="Q68" s="11" t="n">
        <f aca="false">Q67-IF(Construction!Q8=1,Inputs!$F$66,0)</f>
        <v>3.84111776142731</v>
      </c>
      <c r="R68" s="11" t="n">
        <f aca="false">R67-IF(Construction!R8=1,Inputs!$F$66,0)</f>
        <v>4.65265422012123</v>
      </c>
      <c r="S68" s="11" t="n">
        <f aca="false">S67-IF(Construction!S8=1,Inputs!$F$66,0)</f>
        <v>5.47939885583676</v>
      </c>
      <c r="T68" s="11" t="n">
        <f aca="false">T67-IF(Construction!T8=1,Inputs!$F$66,0)</f>
        <v>6.25269674945551</v>
      </c>
      <c r="U68" s="11" t="n">
        <f aca="false">U67-IF(Construction!U8=1,Inputs!$F$66,0)</f>
        <v>6.99452738617733</v>
      </c>
      <c r="V68" s="11" t="n">
        <f aca="false">V67-IF(Construction!V8=1,Inputs!$F$66,0)</f>
        <v>7.64655983539785</v>
      </c>
      <c r="W68" s="11" t="n">
        <f aca="false">W67-IF(Construction!W8=1,Inputs!$F$66,0)</f>
        <v>8.18860163226564</v>
      </c>
      <c r="X68" s="11" t="n">
        <f aca="false">X67-IF(Construction!X8=1,Inputs!$F$66,0)</f>
        <v>8.63767355709461</v>
      </c>
      <c r="Y68" s="11" t="n">
        <f aca="false">Y67-IF(Construction!Y8=1,Inputs!$F$66,0)</f>
        <v>8.93636883352236</v>
      </c>
      <c r="Z68" s="11" t="n">
        <f aca="false">Z67-IF(Construction!Z8=1,Inputs!$F$66,0)</f>
        <v>9.12379607526444</v>
      </c>
      <c r="AA68" s="11" t="n">
        <f aca="false">AA67-IF(Construction!AA8=1,Inputs!$F$66,0)</f>
        <v>9.4642244698474</v>
      </c>
      <c r="AB68" s="11" t="n">
        <f aca="false">AB67-IF(Construction!AB8=1,Inputs!$F$66,0)</f>
        <v>9.02743035242129</v>
      </c>
      <c r="AC68" s="11" t="n">
        <f aca="false">AC67-IF(Construction!AC8=1,Inputs!$F$66,0)</f>
        <v>8.81332304786893</v>
      </c>
      <c r="AD68" s="11" t="n">
        <f aca="false">AD67-IF(Construction!AD8=1,Inputs!$F$66,0)</f>
        <v>8.42487903075477</v>
      </c>
      <c r="AE68" s="11" t="n">
        <f aca="false">AE67-IF(Construction!AE8=1,Inputs!$F$66,0)</f>
        <v>7.94926768014383</v>
      </c>
      <c r="AF68" s="11" t="n">
        <f aca="false">AF67-IF(Construction!AF8=1,Inputs!$F$66,0)</f>
        <v>7.3374554562592</v>
      </c>
      <c r="AG68" s="11" t="n">
        <f aca="false">AG67-IF(Construction!AG8=1,Inputs!$F$66,0)</f>
        <v>6.67554951491576</v>
      </c>
      <c r="AH68" s="11" t="n">
        <f aca="false">AH67-IF(Construction!AH8=1,Inputs!$F$66,0)</f>
        <v>5.93353021295238</v>
      </c>
      <c r="AI68" s="11" t="n">
        <f aca="false">AI67-IF(Construction!AI8=1,Inputs!$F$66,0)</f>
        <v>5.1363627394417</v>
      </c>
      <c r="AJ68" s="11" t="n">
        <f aca="false">AJ67-IF(Construction!AJ8=1,Inputs!$F$66,0)</f>
        <v>4.36733045623116</v>
      </c>
      <c r="AK68" s="11" t="n">
        <f aca="false">AK67-IF(Construction!AK8=1,Inputs!$F$66,0)</f>
        <v>3.58398178596361</v>
      </c>
      <c r="AL68" s="11" t="n">
        <f aca="false">AL67-IF(Construction!AL8=1,Inputs!$F$66,0)</f>
        <v>2.89403910419691</v>
      </c>
      <c r="AM68" s="11" t="n">
        <f aca="false">AM67-IF(Construction!AM8=1,Inputs!$F$66,0)</f>
        <v>2.27589806728741</v>
      </c>
      <c r="AN68" s="11" t="n">
        <f aca="false">AN67-IF(Construction!AN8=1,Inputs!$F$66,0)</f>
        <v>1.72237207880343</v>
      </c>
      <c r="AO68" s="11" t="n">
        <f aca="false">AO67-IF(Construction!AO8=1,Inputs!$F$66,0)</f>
        <v>1.43861737593699</v>
      </c>
      <c r="AP68" s="11" t="n">
        <f aca="false">AP67-IF(Construction!AP8=1,Inputs!$F$66,0)</f>
        <v>1.25429469151466</v>
      </c>
      <c r="AQ68" s="11" t="n">
        <f aca="false">AQ67-IF(Construction!AQ8=1,Inputs!$F$66,0)</f>
        <v>1.25742495104635</v>
      </c>
      <c r="AR68" s="11" t="n">
        <f aca="false">AR67-IF(Construction!AR8=1,Inputs!$F$66,0)</f>
        <v>1.24120862563906</v>
      </c>
      <c r="AS68" s="11" t="n">
        <f aca="false">AS67-IF(Construction!AS8=1,Inputs!$F$66,0)</f>
        <v>1.29066074267882</v>
      </c>
      <c r="AT68" s="11" t="n">
        <f aca="false">AT67-IF(Construction!AT8=1,Inputs!$F$66,0)</f>
        <v>1.29472209007219</v>
      </c>
      <c r="AU68" s="11" t="n">
        <f aca="false">AU67-IF(Construction!AU8=1,Inputs!$F$66,0)</f>
        <v>1.26879985132176</v>
      </c>
      <c r="AV68" s="11" t="n">
        <f aca="false">AV67-IF(Construction!AV8=1,Inputs!$F$66,0)</f>
        <v>14.126810348383</v>
      </c>
      <c r="AW68" s="11" t="n">
        <f aca="false">AW67-IF(Construction!AW8=1,Inputs!$F$66,0)</f>
        <v>11.4966636580586</v>
      </c>
      <c r="AX68" s="11" t="n">
        <f aca="false">AX67-IF(Construction!AX8=1,Inputs!$F$66,0)</f>
        <v>1.04841561991132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46.0821366316148</v>
      </c>
      <c r="J69" s="11" t="n">
        <f aca="false">(1-Inputs!$F$52)*J67</f>
        <v>6.33046666518153</v>
      </c>
      <c r="K69" s="11" t="n">
        <f aca="false">(1-Inputs!$F$52)*K67</f>
        <v>0.130123978898889</v>
      </c>
      <c r="L69" s="11" t="n">
        <f aca="false">(1-Inputs!$F$52)*L67</f>
        <v>0.165784024056274</v>
      </c>
      <c r="M69" s="11" t="n">
        <f aca="false">(1-Inputs!$F$52)*M67</f>
        <v>0.234121069905643</v>
      </c>
      <c r="N69" s="11" t="n">
        <f aca="false">(1-Inputs!$F$52)*N67</f>
        <v>0.33695378977086</v>
      </c>
      <c r="O69" s="11" t="n">
        <f aca="false">(1-Inputs!$F$52)*O67</f>
        <v>0.464141414424458</v>
      </c>
      <c r="P69" s="11" t="n">
        <f aca="false">(1-Inputs!$F$52)*P67</f>
        <v>0.605214317734482</v>
      </c>
      <c r="Q69" s="11" t="n">
        <f aca="false">(1-Inputs!$F$52)*Q67</f>
        <v>0.768223552285462</v>
      </c>
      <c r="R69" s="11" t="n">
        <f aca="false">(1-Inputs!$F$52)*R67</f>
        <v>0.930530844024245</v>
      </c>
      <c r="S69" s="11" t="n">
        <f aca="false">(1-Inputs!$F$52)*S67</f>
        <v>1.09587977116735</v>
      </c>
      <c r="T69" s="11" t="n">
        <f aca="false">(1-Inputs!$F$52)*T67</f>
        <v>1.2505393498911</v>
      </c>
      <c r="U69" s="11" t="n">
        <f aca="false">(1-Inputs!$F$52)*U67</f>
        <v>1.39890547723547</v>
      </c>
      <c r="V69" s="11" t="n">
        <f aca="false">(1-Inputs!$F$52)*V67</f>
        <v>1.52931196707957</v>
      </c>
      <c r="W69" s="11" t="n">
        <f aca="false">(1-Inputs!$F$52)*W67</f>
        <v>1.63772032645313</v>
      </c>
      <c r="X69" s="11" t="n">
        <f aca="false">(1-Inputs!$F$52)*X67</f>
        <v>1.72753471141892</v>
      </c>
      <c r="Y69" s="11" t="n">
        <f aca="false">(1-Inputs!$F$52)*Y67</f>
        <v>1.78727376670447</v>
      </c>
      <c r="Z69" s="11" t="n">
        <f aca="false">(1-Inputs!$F$52)*Z67</f>
        <v>1.82475921505289</v>
      </c>
      <c r="AA69" s="11" t="n">
        <f aca="false">(1-Inputs!$F$52)*AA67</f>
        <v>1.89284489396948</v>
      </c>
      <c r="AB69" s="11" t="n">
        <f aca="false">(1-Inputs!$F$52)*AB67</f>
        <v>1.80548607048426</v>
      </c>
      <c r="AC69" s="11" t="n">
        <f aca="false">(1-Inputs!$F$52)*AC67</f>
        <v>1.76266460957379</v>
      </c>
      <c r="AD69" s="11" t="n">
        <f aca="false">(1-Inputs!$F$52)*AD67</f>
        <v>1.68497580615095</v>
      </c>
      <c r="AE69" s="11" t="n">
        <f aca="false">(1-Inputs!$F$52)*AE67</f>
        <v>1.58985353602877</v>
      </c>
      <c r="AF69" s="11" t="n">
        <f aca="false">(1-Inputs!$F$52)*AF67</f>
        <v>1.46749109125184</v>
      </c>
      <c r="AG69" s="11" t="n">
        <f aca="false">(1-Inputs!$F$52)*AG67</f>
        <v>1.33510990298315</v>
      </c>
      <c r="AH69" s="11" t="n">
        <f aca="false">(1-Inputs!$F$52)*AH67</f>
        <v>1.18670604259048</v>
      </c>
      <c r="AI69" s="11" t="n">
        <f aca="false">(1-Inputs!$F$52)*AI67</f>
        <v>1.02727254788834</v>
      </c>
      <c r="AJ69" s="11" t="n">
        <f aca="false">(1-Inputs!$F$52)*AJ67</f>
        <v>0.873466091246232</v>
      </c>
      <c r="AK69" s="11" t="n">
        <f aca="false">(1-Inputs!$F$52)*AK67</f>
        <v>0.716796357192722</v>
      </c>
      <c r="AL69" s="11" t="n">
        <f aca="false">(1-Inputs!$F$52)*AL67</f>
        <v>0.578807820839383</v>
      </c>
      <c r="AM69" s="11" t="n">
        <f aca="false">(1-Inputs!$F$52)*AM67</f>
        <v>0.455179613457482</v>
      </c>
      <c r="AN69" s="11" t="n">
        <f aca="false">(1-Inputs!$F$52)*AN67</f>
        <v>0.344474415760687</v>
      </c>
      <c r="AO69" s="11" t="n">
        <f aca="false">(1-Inputs!$F$52)*AO67</f>
        <v>0.287723475187398</v>
      </c>
      <c r="AP69" s="11" t="n">
        <f aca="false">(1-Inputs!$F$52)*AP67</f>
        <v>0.250858938302931</v>
      </c>
      <c r="AQ69" s="11" t="n">
        <f aca="false">(1-Inputs!$F$52)*AQ67</f>
        <v>0.25148499020927</v>
      </c>
      <c r="AR69" s="11" t="n">
        <f aca="false">(1-Inputs!$F$52)*AR67</f>
        <v>0.248241725127812</v>
      </c>
      <c r="AS69" s="11" t="n">
        <f aca="false">(1-Inputs!$F$52)*AS67</f>
        <v>0.258132148535763</v>
      </c>
      <c r="AT69" s="11" t="n">
        <f aca="false">(1-Inputs!$F$52)*AT67</f>
        <v>0.258944418014439</v>
      </c>
      <c r="AU69" s="11" t="n">
        <f aca="false">(1-Inputs!$F$52)*AU67</f>
        <v>0.253759970264352</v>
      </c>
      <c r="AV69" s="11" t="n">
        <f aca="false">(1-Inputs!$F$52)*AV67</f>
        <v>2.82536206967661</v>
      </c>
      <c r="AW69" s="11" t="n">
        <f aca="false">(1-Inputs!$F$52)*AW67</f>
        <v>2.29933273161172</v>
      </c>
      <c r="AX69" s="11" t="n">
        <f aca="false">(1-Inputs!$F$52)*AX67</f>
        <v>0.209683123982264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184.328546526459</v>
      </c>
      <c r="J70" s="11" t="n">
        <f aca="false">Inputs!$F$52*J67</f>
        <v>25.3218666607261</v>
      </c>
      <c r="K70" s="11" t="n">
        <f aca="false">Inputs!$F$52*K67</f>
        <v>0.520495915595554</v>
      </c>
      <c r="L70" s="11" t="n">
        <f aca="false">Inputs!$F$52*L67</f>
        <v>0.663136096225098</v>
      </c>
      <c r="M70" s="11" t="n">
        <f aca="false">Inputs!$F$52*M67</f>
        <v>0.93648427962257</v>
      </c>
      <c r="N70" s="11" t="n">
        <f aca="false">Inputs!$F$52*N67</f>
        <v>1.34781515908344</v>
      </c>
      <c r="O70" s="11" t="n">
        <f aca="false">Inputs!$F$52*O67</f>
        <v>1.85656565769783</v>
      </c>
      <c r="P70" s="11" t="n">
        <f aca="false">Inputs!$F$52*P67</f>
        <v>2.42085727093793</v>
      </c>
      <c r="Q70" s="11" t="n">
        <f aca="false">Inputs!$F$52*Q67</f>
        <v>3.07289420914185</v>
      </c>
      <c r="R70" s="11" t="n">
        <f aca="false">Inputs!$F$52*R67</f>
        <v>3.72212337609698</v>
      </c>
      <c r="S70" s="11" t="n">
        <f aca="false">Inputs!$F$52*S67</f>
        <v>4.38351908466941</v>
      </c>
      <c r="T70" s="11" t="n">
        <f aca="false">Inputs!$F$52*T67</f>
        <v>5.00215739956441</v>
      </c>
      <c r="U70" s="11" t="n">
        <f aca="false">Inputs!$F$52*U67</f>
        <v>5.59562190894186</v>
      </c>
      <c r="V70" s="11" t="n">
        <f aca="false">Inputs!$F$52*V67</f>
        <v>6.11724786831828</v>
      </c>
      <c r="W70" s="11" t="n">
        <f aca="false">Inputs!$F$52*W67</f>
        <v>6.55088130581251</v>
      </c>
      <c r="X70" s="11" t="n">
        <f aca="false">Inputs!$F$52*X67</f>
        <v>6.91013884567569</v>
      </c>
      <c r="Y70" s="11" t="n">
        <f aca="false">Inputs!$F$52*Y67</f>
        <v>7.14909506681789</v>
      </c>
      <c r="Z70" s="11" t="n">
        <f aca="false">Inputs!$F$52*Z67</f>
        <v>7.29903686021155</v>
      </c>
      <c r="AA70" s="11" t="n">
        <f aca="false">Inputs!$F$52*AA67</f>
        <v>7.57137957587792</v>
      </c>
      <c r="AB70" s="11" t="n">
        <f aca="false">Inputs!$F$52*AB67</f>
        <v>7.22194428193703</v>
      </c>
      <c r="AC70" s="11" t="n">
        <f aca="false">Inputs!$F$52*AC67</f>
        <v>7.05065843829515</v>
      </c>
      <c r="AD70" s="11" t="n">
        <f aca="false">Inputs!$F$52*AD67</f>
        <v>6.73990322460382</v>
      </c>
      <c r="AE70" s="11" t="n">
        <f aca="false">Inputs!$F$52*AE67</f>
        <v>6.35941414411506</v>
      </c>
      <c r="AF70" s="11" t="n">
        <f aca="false">Inputs!$F$52*AF67</f>
        <v>5.86996436500736</v>
      </c>
      <c r="AG70" s="11" t="n">
        <f aca="false">Inputs!$F$52*AG67</f>
        <v>5.3404396119326</v>
      </c>
      <c r="AH70" s="11" t="n">
        <f aca="false">Inputs!$F$52*AH67</f>
        <v>4.7468241703619</v>
      </c>
      <c r="AI70" s="11" t="n">
        <f aca="false">Inputs!$F$52*AI67</f>
        <v>4.10909019155336</v>
      </c>
      <c r="AJ70" s="11" t="n">
        <f aca="false">Inputs!$F$52*AJ67</f>
        <v>3.49386436498493</v>
      </c>
      <c r="AK70" s="11" t="n">
        <f aca="false">Inputs!$F$52*AK67</f>
        <v>2.86718542877089</v>
      </c>
      <c r="AL70" s="11" t="n">
        <f aca="false">Inputs!$F$52*AL67</f>
        <v>2.31523128335753</v>
      </c>
      <c r="AM70" s="11" t="n">
        <f aca="false">Inputs!$F$52*AM67</f>
        <v>1.82071845382993</v>
      </c>
      <c r="AN70" s="11" t="n">
        <f aca="false">Inputs!$F$52*AN67</f>
        <v>1.37789766304275</v>
      </c>
      <c r="AO70" s="11" t="n">
        <f aca="false">Inputs!$F$52*AO67</f>
        <v>1.15089390074959</v>
      </c>
      <c r="AP70" s="11" t="n">
        <f aca="false">Inputs!$F$52*AP67</f>
        <v>1.00343575321172</v>
      </c>
      <c r="AQ70" s="11" t="n">
        <f aca="false">Inputs!$F$52*AQ67</f>
        <v>1.00593996083708</v>
      </c>
      <c r="AR70" s="11" t="n">
        <f aca="false">Inputs!$F$52*AR67</f>
        <v>0.992966900511248</v>
      </c>
      <c r="AS70" s="11" t="n">
        <f aca="false">Inputs!$F$52*AS67</f>
        <v>1.03252859414305</v>
      </c>
      <c r="AT70" s="11" t="n">
        <f aca="false">Inputs!$F$52*AT67</f>
        <v>1.03577767205776</v>
      </c>
      <c r="AU70" s="11" t="n">
        <f aca="false">Inputs!$F$52*AU67</f>
        <v>1.01503988105741</v>
      </c>
      <c r="AV70" s="11" t="n">
        <f aca="false">Inputs!$F$52*AV67</f>
        <v>11.3014482787064</v>
      </c>
      <c r="AW70" s="11" t="n">
        <f aca="false">Inputs!$F$52*AW67</f>
        <v>9.19733092644687</v>
      </c>
      <c r="AX70" s="11" t="n">
        <f aca="false">Inputs!$F$52*AX67</f>
        <v>0.838732495929056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33.2468688143821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0.197718684885122</v>
      </c>
      <c r="L71" s="11" t="n">
        <f aca="false">IF(Construction!L8&lt;=Time!$F$10,K72*Inputs!$F$102/100*Construction!L11/365,0)</f>
        <v>0.210104217299326</v>
      </c>
      <c r="M71" s="11" t="n">
        <f aca="false">IF(Construction!M8&lt;=Time!$F$10,L72*Inputs!$F$102/100*Construction!M11/365,0)</f>
        <v>0.21014511366571</v>
      </c>
      <c r="N71" s="11" t="n">
        <f aca="false">IF(Construction!N8&lt;=Time!$F$10,M72*Inputs!$F$102/100*Construction!N11/365,0)</f>
        <v>0.22640152219402</v>
      </c>
      <c r="O71" s="11" t="n">
        <f aca="false">IF(Construction!O8&lt;=Time!$F$10,N72*Inputs!$F$102/100*Construction!O11/365,0)</f>
        <v>0.239103078704601</v>
      </c>
      <c r="P71" s="11" t="n">
        <f aca="false">IF(Construction!P8&lt;=Time!$F$10,O72*Inputs!$F$102/100*Construction!P11/365,0)</f>
        <v>0.231236615851946</v>
      </c>
      <c r="Q71" s="11" t="n">
        <f aca="false">IF(Construction!Q8&lt;=Time!$F$10,P72*Inputs!$F$102/100*Construction!Q11/365,0)</f>
        <v>0.277410368910907</v>
      </c>
      <c r="R71" s="11" t="n">
        <f aca="false">IF(Construction!R8&lt;=Time!$F$10,Q72*Inputs!$F$102/100*Construction!R11/365,0)</f>
        <v>0.294621559791903</v>
      </c>
      <c r="S71" s="11" t="n">
        <f aca="false">IF(Construction!S8&lt;=Time!$F$10,R72*Inputs!$F$102/100*Construction!S11/365,0)</f>
        <v>0.336851357454901</v>
      </c>
      <c r="T71" s="11" t="n">
        <f aca="false">IF(Construction!T8&lt;=Time!$F$10,S72*Inputs!$F$102/100*Construction!T11/365,0)</f>
        <v>0.362842871647623</v>
      </c>
      <c r="U71" s="11" t="n">
        <f aca="false">IF(Construction!U8&lt;=Time!$F$10,T72*Inputs!$F$102/100*Construction!U11/365,0)</f>
        <v>0.418225101977574</v>
      </c>
      <c r="V71" s="11" t="n">
        <f aca="false">IF(Construction!V8&lt;=Time!$F$10,U72*Inputs!$F$102/100*Construction!V11/365,0)</f>
        <v>0.466747785394445</v>
      </c>
      <c r="W71" s="11" t="n">
        <f aca="false">IF(Construction!W8&lt;=Time!$F$10,V72*Inputs!$F$102/100*Construction!W11/365,0)</f>
        <v>0.50310068635216</v>
      </c>
      <c r="X71" s="11" t="n">
        <f aca="false">IF(Construction!X8&lt;=Time!$F$10,W72*Inputs!$F$102/100*Construction!X11/365,0)</f>
        <v>0.576785714619401</v>
      </c>
      <c r="Y71" s="11" t="n">
        <f aca="false">IF(Construction!Y8&lt;=Time!$F$10,X72*Inputs!$F$102/100*Construction!Y11/365,0)</f>
        <v>0.616639271761777</v>
      </c>
      <c r="Z71" s="11" t="n">
        <f aca="false">IF(Construction!Z8&lt;=Time!$F$10,Y72*Inputs!$F$102/100*Construction!Z11/365,0)</f>
        <v>0.699851688474705</v>
      </c>
      <c r="AA71" s="11" t="n">
        <f aca="false">IF(Construction!AA8&lt;=Time!$F$10,Z72*Inputs!$F$102/100*Construction!AA11/365,0)</f>
        <v>0.764390665942873</v>
      </c>
      <c r="AB71" s="11" t="n">
        <f aca="false">IF(Construction!AB8&lt;=Time!$F$10,AA72*Inputs!$F$102/100*Construction!AB11/365,0)</f>
        <v>0.777993076138578</v>
      </c>
      <c r="AC71" s="11" t="n">
        <f aca="false">IF(Construction!AC8&lt;=Time!$F$10,AB72*Inputs!$F$102/100*Construction!AC11/365,0)</f>
        <v>0.896195210824228</v>
      </c>
      <c r="AD71" s="11" t="n">
        <f aca="false">IF(Construction!AD8&lt;=Time!$F$10,AC72*Inputs!$F$102/100*Construction!AD11/365,0)</f>
        <v>0.929336462962881</v>
      </c>
      <c r="AE71" s="11" t="n">
        <f aca="false">IF(Construction!AE8&lt;=Time!$F$10,AD72*Inputs!$F$102/100*Construction!AE11/365,0)</f>
        <v>1.02219355295174</v>
      </c>
      <c r="AF71" s="11" t="n">
        <f aca="false">IF(Construction!AF8&lt;=Time!$F$10,AE72*Inputs!$F$102/100*Construction!AF11/365,0)</f>
        <v>1.04685677815796</v>
      </c>
      <c r="AG71" s="11" t="n">
        <f aca="false">IF(Construction!AG8&lt;=Time!$F$10,AF72*Inputs!$F$102/100*Construction!AG11/365,0)</f>
        <v>1.13756032811471</v>
      </c>
      <c r="AH71" s="11" t="n">
        <f aca="false">IF(Construction!AH8&lt;=Time!$F$10,AG72*Inputs!$F$102/100*Construction!AH11/365,0)</f>
        <v>1.18982802626111</v>
      </c>
      <c r="AI71" s="11" t="n">
        <f aca="false">IF(Construction!AI8&lt;=Time!$F$10,AH72*Inputs!$F$102/100*Construction!AI11/365,0)</f>
        <v>1.19780115856216</v>
      </c>
      <c r="AJ71" s="11" t="n">
        <f aca="false">IF(Construction!AJ8&lt;=Time!$F$10,AI72*Inputs!$F$102/100*Construction!AJ11/365,0)</f>
        <v>1.2805464803574</v>
      </c>
      <c r="AK71" s="11" t="n">
        <f aca="false">IF(Construction!AK8&lt;=Time!$F$10,AJ72*Inputs!$F$102/100*Construction!AK11/365,0)</f>
        <v>1.27651817570478</v>
      </c>
      <c r="AL71" s="11" t="n">
        <f aca="false">IF(Construction!AL8&lt;=Time!$F$10,AK72*Inputs!$F$102/100*Construction!AL11/365,0)</f>
        <v>1.35250222571278</v>
      </c>
      <c r="AM71" s="11" t="n">
        <f aca="false">IF(Construction!AM8&lt;=Time!$F$10,AL72*Inputs!$F$102/100*Construction!AM11/365,0)</f>
        <v>1.38209530840925</v>
      </c>
      <c r="AN71" s="11" t="n">
        <f aca="false">IF(Construction!AN8&lt;=Time!$F$10,AM72*Inputs!$F$102/100*Construction!AN11/365,0)</f>
        <v>1.27168520325027</v>
      </c>
      <c r="AO71" s="11" t="n">
        <f aca="false">IF(Construction!AO8&lt;=Time!$F$10,AN72*Inputs!$F$102/100*Construction!AO11/365,0)</f>
        <v>1.42931533052166</v>
      </c>
      <c r="AP71" s="11" t="n">
        <f aca="false">IF(Construction!AP8&lt;=Time!$F$10,AO72*Inputs!$F$102/100*Construction!AP11/365,0)</f>
        <v>1.40335522357887</v>
      </c>
      <c r="AQ71" s="11" t="n">
        <f aca="false">IF(Construction!AQ8&lt;=Time!$F$10,AP72*Inputs!$F$102/100*Construction!AQ11/365,0)</f>
        <v>1.46955290754287</v>
      </c>
      <c r="AR71" s="11" t="n">
        <f aca="false">IF(Construction!AR8&lt;=Time!$F$10,AQ72*Inputs!$F$102/100*Construction!AR11/365,0)</f>
        <v>1.44147716593158</v>
      </c>
      <c r="AS71" s="11" t="n">
        <f aca="false">IF(Construction!AS8&lt;=Time!$F$10,AR72*Inputs!$F$102/100*Construction!AS11/365,0)</f>
        <v>1.50916870007178</v>
      </c>
      <c r="AT71" s="11" t="n">
        <f aca="false">IF(Construction!AT8&lt;=Time!$F$10,AS72*Inputs!$F$102/100*Construction!AT11/365,0)</f>
        <v>1.52967636728127</v>
      </c>
      <c r="AU71" s="11" t="n">
        <f aca="false">IF(Construction!AU8&lt;=Time!$F$10,AT72*Inputs!$F$102/100*Construction!AU11/365,0)</f>
        <v>1.50036359576717</v>
      </c>
      <c r="AV71" s="11" t="n">
        <f aca="false">IF(Construction!AV8&lt;=Time!$F$10,AU72*Inputs!$F$102/100*Construction!AV11/365,0)</f>
        <v>1.57067123135004</v>
      </c>
      <c r="AW71" s="11" t="n">
        <f aca="false">IF(Construction!AW8&lt;=Time!$F$10,AV72*Inputs!$F$102/100*Construction!AW11/365,0)</f>
        <v>0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25.3218666607261</v>
      </c>
      <c r="K72" s="11" t="n">
        <f aca="false">J72+K71+K70</f>
        <v>26.0400812612068</v>
      </c>
      <c r="L72" s="11" t="n">
        <f aca="false">K72+L71+L70</f>
        <v>26.9133215747312</v>
      </c>
      <c r="M72" s="11" t="n">
        <f aca="false">L72+M71+M70</f>
        <v>28.0599509680195</v>
      </c>
      <c r="N72" s="11" t="n">
        <f aca="false">M72+N71+N70</f>
        <v>29.634167649297</v>
      </c>
      <c r="O72" s="11" t="n">
        <f aca="false">N72+O71+O70</f>
        <v>31.7298363856994</v>
      </c>
      <c r="P72" s="11" t="n">
        <f aca="false">O72+P71+P70</f>
        <v>34.3819302724893</v>
      </c>
      <c r="Q72" s="11" t="n">
        <f aca="false">P72+Q71+Q70</f>
        <v>37.732234850542</v>
      </c>
      <c r="R72" s="11" t="n">
        <f aca="false">Q72+R71+R70</f>
        <v>41.7489797864309</v>
      </c>
      <c r="S72" s="11" t="n">
        <f aca="false">R72+S71+S70</f>
        <v>46.4693502285552</v>
      </c>
      <c r="T72" s="11" t="n">
        <f aca="false">S72+T71+T70</f>
        <v>51.8343504997673</v>
      </c>
      <c r="U72" s="11" t="n">
        <f aca="false">T72+U71+U70</f>
        <v>57.8481975106867</v>
      </c>
      <c r="V72" s="11" t="n">
        <f aca="false">U72+V71+V70</f>
        <v>64.4321931643994</v>
      </c>
      <c r="W72" s="11" t="n">
        <f aca="false">V72+W71+W70</f>
        <v>71.4861751565641</v>
      </c>
      <c r="X72" s="11" t="n">
        <f aca="false">W72+X71+X70</f>
        <v>78.9730997168592</v>
      </c>
      <c r="Y72" s="11" t="n">
        <f aca="false">X72+Y71+Y70</f>
        <v>86.7388340554388</v>
      </c>
      <c r="Z72" s="11" t="n">
        <f aca="false">Y72+Z71+Z70</f>
        <v>94.7377226041251</v>
      </c>
      <c r="AA72" s="11" t="n">
        <f aca="false">Z72+AA71+AA70</f>
        <v>103.073492845946</v>
      </c>
      <c r="AB72" s="11" t="n">
        <f aca="false">AA72+AB71+AB70</f>
        <v>111.073430204022</v>
      </c>
      <c r="AC72" s="11" t="n">
        <f aca="false">AB72+AC71+AC70</f>
        <v>119.020283853141</v>
      </c>
      <c r="AD72" s="11" t="n">
        <f aca="false">AC72+AD71+AD70</f>
        <v>126.689523540708</v>
      </c>
      <c r="AE72" s="11" t="n">
        <f aca="false">AD72+AE71+AE70</f>
        <v>134.071131237774</v>
      </c>
      <c r="AF72" s="11" t="n">
        <f aca="false">AE72+AF71+AF70</f>
        <v>140.98795238094</v>
      </c>
      <c r="AG72" s="11" t="n">
        <f aca="false">AF72+AG71+AG70</f>
        <v>147.465952320987</v>
      </c>
      <c r="AH72" s="11" t="n">
        <f aca="false">AG72+AH71+AH70</f>
        <v>153.40260451761</v>
      </c>
      <c r="AI72" s="11" t="n">
        <f aca="false">AH72+AI71+AI70</f>
        <v>158.709495867726</v>
      </c>
      <c r="AJ72" s="11" t="n">
        <f aca="false">AI72+AJ71+AJ70</f>
        <v>163.483906713068</v>
      </c>
      <c r="AK72" s="11" t="n">
        <f aca="false">AJ72+AK71+AK70</f>
        <v>167.627610317544</v>
      </c>
      <c r="AL72" s="11" t="n">
        <f aca="false">AK72+AL71+AL70</f>
        <v>171.295343826614</v>
      </c>
      <c r="AM72" s="11" t="n">
        <f aca="false">AL72+AM71+AM70</f>
        <v>174.498157588853</v>
      </c>
      <c r="AN72" s="11" t="n">
        <f aca="false">AM72+AN71+AN70</f>
        <v>177.147740455146</v>
      </c>
      <c r="AO72" s="11" t="n">
        <f aca="false">AN72+AO71+AO70</f>
        <v>179.727949686417</v>
      </c>
      <c r="AP72" s="11" t="n">
        <f aca="false">AO72+AP71+AP70</f>
        <v>182.134740663208</v>
      </c>
      <c r="AQ72" s="11" t="n">
        <f aca="false">AP72+AQ71+AQ70</f>
        <v>184.610233531588</v>
      </c>
      <c r="AR72" s="11" t="n">
        <f aca="false">AQ72+AR71+AR70</f>
        <v>187.044677598031</v>
      </c>
      <c r="AS72" s="11" t="n">
        <f aca="false">AR72+AS71+AS70</f>
        <v>189.586374892245</v>
      </c>
      <c r="AT72" s="11" t="n">
        <f aca="false">AS72+AT71+AT70</f>
        <v>192.151828931584</v>
      </c>
      <c r="AU72" s="11" t="n">
        <f aca="false">AT72+AU71+AU70</f>
        <v>194.667232408409</v>
      </c>
      <c r="AV72" s="11" t="n">
        <f aca="false">AU72+AV71+AV70</f>
        <v>207.539351918466</v>
      </c>
      <c r="AW72" s="11" t="n">
        <f aca="false">AV72+AW71+AW70</f>
        <v>216.736682844912</v>
      </c>
      <c r="AX72" s="11" t="n">
        <f aca="false">AW72+AX71+AX70</f>
        <v>217.575415340841</v>
      </c>
      <c r="AY72" s="11" t="n">
        <f aca="false">AX72+AY71+AY70</f>
        <v>217.575415340841</v>
      </c>
      <c r="AZ72" s="11" t="n">
        <f aca="false">AY72+AZ71+AZ70</f>
        <v>217.575415340841</v>
      </c>
      <c r="BA72" s="11" t="n">
        <f aca="false">AZ72+BA71+BA70</f>
        <v>217.575415340841</v>
      </c>
      <c r="BB72" s="11" t="n">
        <f aca="false">BA72+BB71+BB70</f>
        <v>217.575415340841</v>
      </c>
      <c r="BC72" s="11" t="n">
        <f aca="false">BB72+BC71+BC70</f>
        <v>217.575415340841</v>
      </c>
      <c r="BD72" s="11" t="n">
        <f aca="false">BC72+BD71+BD70</f>
        <v>217.575415340841</v>
      </c>
      <c r="BE72" s="11" t="n">
        <f aca="false">BD72+BE71+BE70</f>
        <v>217.575415340841</v>
      </c>
      <c r="BF72" s="11" t="n">
        <f aca="false">BE72+BF71+BF70</f>
        <v>217.575415340841</v>
      </c>
      <c r="BG72" s="11" t="n">
        <f aca="false">BF72+BG71+BG70</f>
        <v>217.575415340841</v>
      </c>
      <c r="BH72" s="11" t="n">
        <f aca="false">BG72+BH71+BH70</f>
        <v>217.575415340841</v>
      </c>
      <c r="BI72" s="11" t="n">
        <f aca="false">BH72+BI71+BI70</f>
        <v>217.575415340841</v>
      </c>
      <c r="BJ72" s="11" t="n">
        <f aca="false">BI72+BJ71+BJ70</f>
        <v>217.575415340841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657.739998413269</v>
      </c>
      <c r="J73" s="11" t="n">
        <f aca="false">J47+J55</f>
        <v>90.3560780524911</v>
      </c>
      <c r="K73" s="11" t="n">
        <f aca="false">K47+K55</f>
        <v>1.85728683456412</v>
      </c>
      <c r="L73" s="11" t="n">
        <f aca="false">L47+L55</f>
        <v>2.36627013611409</v>
      </c>
      <c r="M73" s="11" t="n">
        <f aca="false">M47+M55</f>
        <v>3.34165912008958</v>
      </c>
      <c r="N73" s="11" t="n">
        <f aca="false">N47+N55</f>
        <v>4.80941209217243</v>
      </c>
      <c r="O73" s="11" t="n">
        <f aca="false">O47+O55</f>
        <v>6.62478772691356</v>
      </c>
      <c r="P73" s="11" t="n">
        <f aca="false">P47+P55</f>
        <v>8.63835085531311</v>
      </c>
      <c r="Q73" s="11" t="n">
        <f aca="false">Q47+Q55</f>
        <v>10.9650158390143</v>
      </c>
      <c r="R73" s="11" t="n">
        <f aca="false">R47+R55</f>
        <v>13.2816618457771</v>
      </c>
      <c r="S73" s="11" t="n">
        <f aca="false">S47+S55</f>
        <v>15.6417217524206</v>
      </c>
      <c r="T73" s="11" t="n">
        <f aca="false">T47+T55</f>
        <v>17.8492103477859</v>
      </c>
      <c r="U73" s="11" t="n">
        <f aca="false">U47+U55</f>
        <v>19.9668711920341</v>
      </c>
      <c r="V73" s="11" t="n">
        <f aca="false">V47+V55</f>
        <v>21.8281903645547</v>
      </c>
      <c r="W73" s="11" t="n">
        <f aca="false">W47+W55</f>
        <v>23.3755256084121</v>
      </c>
      <c r="X73" s="11" t="n">
        <f aca="false">X47+X55</f>
        <v>24.6574651568566</v>
      </c>
      <c r="Y73" s="11" t="n">
        <f aca="false">Y47+Y55</f>
        <v>25.5101332187314</v>
      </c>
      <c r="Z73" s="11" t="n">
        <f aca="false">Z47+Z55</f>
        <v>26.0451708827683</v>
      </c>
      <c r="AA73" s="11" t="n">
        <f aca="false">AA47+AA55</f>
        <v>27.0169720538069</v>
      </c>
      <c r="AB73" s="11" t="n">
        <f aca="false">AB47+AB55</f>
        <v>25.7700812492444</v>
      </c>
      <c r="AC73" s="11" t="n">
        <f aca="false">AC47+AC55</f>
        <v>25.158881559081</v>
      </c>
      <c r="AD73" s="11" t="n">
        <f aca="false">AD47+AD55</f>
        <v>24.0500129784301</v>
      </c>
      <c r="AE73" s="11" t="n">
        <f aca="false">AE47+AE55</f>
        <v>22.6923128722177</v>
      </c>
      <c r="AF73" s="11" t="n">
        <f aca="false">AF47+AF55</f>
        <v>20.9458080415758</v>
      </c>
      <c r="AG73" s="11" t="n">
        <f aca="false">AG47+AG55</f>
        <v>19.0563035843962</v>
      </c>
      <c r="AH73" s="11" t="n">
        <f aca="false">AH47+AH55</f>
        <v>16.9381041684378</v>
      </c>
      <c r="AI73" s="11" t="n">
        <f aca="false">AI47+AI55</f>
        <v>14.6624764693423</v>
      </c>
      <c r="AJ73" s="11" t="n">
        <f aca="false">AJ47+AJ55</f>
        <v>12.4671646643266</v>
      </c>
      <c r="AK73" s="11" t="n">
        <f aca="false">AK47+AK55</f>
        <v>10.2309847004604</v>
      </c>
      <c r="AL73" s="11" t="n">
        <f aca="false">AL47+AL55</f>
        <v>8.26144538834813</v>
      </c>
      <c r="AM73" s="11" t="n">
        <f aca="false">AM47+AM55</f>
        <v>6.49687406264663</v>
      </c>
      <c r="AN73" s="11" t="n">
        <f aca="false">AN47+AN55</f>
        <v>4.91675556381219</v>
      </c>
      <c r="AO73" s="11" t="n">
        <f aca="false">AO47+AO55</f>
        <v>4.10673748975834</v>
      </c>
      <c r="AP73" s="11" t="n">
        <f aca="false">AP47+AP55</f>
        <v>3.580562225236</v>
      </c>
      <c r="AQ73" s="11" t="n">
        <f aca="false">AQ47+AQ55</f>
        <v>3.58949799536258</v>
      </c>
      <c r="AR73" s="11" t="n">
        <f aca="false">AR47+AR55</f>
        <v>3.54320619282345</v>
      </c>
      <c r="AS73" s="11" t="n">
        <f aca="false">AS47+AS55</f>
        <v>3.68437427989929</v>
      </c>
      <c r="AT73" s="11" t="n">
        <f aca="false">AT47+AT55</f>
        <v>3.695967972481</v>
      </c>
      <c r="AU73" s="11" t="n">
        <f aca="false">AU47+AU55</f>
        <v>3.62196926269513</v>
      </c>
      <c r="AV73" s="11" t="n">
        <f aca="false">AV47+AV55</f>
        <v>40.3269852281777</v>
      </c>
      <c r="AW73" s="11" t="n">
        <f aca="false">AW47+AW55</f>
        <v>32.8188581907963</v>
      </c>
      <c r="AX73" s="11" t="n">
        <f aca="false">AX47+AX55</f>
        <v>2.99285119389984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129.950824381222</v>
      </c>
      <c r="J74" s="11" t="n">
        <f aca="false">J33+J34+J35+J36+J37+J38+J39+J40+J41+J42+J43+J48+Construction!J14*Construction!J36</f>
        <v>13.8968113783987</v>
      </c>
      <c r="K74" s="11" t="n">
        <f aca="false">K33+K34+K35+K36+K37+K38+K39+K40+K41+K42+K43+K48+Construction!K14*Construction!K36</f>
        <v>1.10035531049397</v>
      </c>
      <c r="L74" s="11" t="n">
        <f aca="false">L33+L34+L35+L36+L37+L38+L39+L40+L41+L42+L43+L48+Construction!L14*Construction!L36</f>
        <v>1.15379374692177</v>
      </c>
      <c r="M74" s="11" t="n">
        <f aca="false">M33+M34+M35+M36+M37+M38+M39+M40+M41+M42+M43+M48+Construction!M14*Construction!M36</f>
        <v>1.16854819287138</v>
      </c>
      <c r="N74" s="11" t="n">
        <f aca="false">N33+N34+N35+N36+N37+N38+N39+N40+N41+N42+N43+N48+Construction!N14*Construction!N36</f>
        <v>1.26129720064395</v>
      </c>
      <c r="O74" s="11" t="n">
        <f aca="false">O33+O34+O35+O36+O37+O38+O39+O40+O41+O42+O43+O48+Construction!O14*Construction!O36</f>
        <v>1.35037852228943</v>
      </c>
      <c r="P74" s="11" t="n">
        <f aca="false">P33+P34+P35+P36+P37+P38+P39+P40+P41+P42+P43+P48+Construction!P14*Construction!P36</f>
        <v>1.35954110542092</v>
      </c>
      <c r="Q74" s="11" t="n">
        <f aca="false">Q33+Q34+Q35+Q36+Q37+Q38+Q39+Q40+Q41+Q42+Q43+Q48+Construction!Q14*Construction!Q36</f>
        <v>1.57010520733151</v>
      </c>
      <c r="R74" s="11" t="n">
        <f aca="false">R33+R34+R35+R36+R37+R38+R39+R40+R41+R42+R43+R48+Construction!R14*Construction!R36</f>
        <v>1.67005410187916</v>
      </c>
      <c r="S74" s="11" t="n">
        <f aca="false">S33+S34+S35+S36+S37+S38+S39+S40+S41+S42+S43+S48+Construction!S14*Construction!S36</f>
        <v>1.84779502242003</v>
      </c>
      <c r="T74" s="11" t="n">
        <f aca="false">T33+T34+T35+T36+T37+T38+T39+T40+T41+T42+T43+T48+Construction!T14*Construction!T36</f>
        <v>1.94690529322224</v>
      </c>
      <c r="U74" s="11" t="n">
        <f aca="false">U33+U34+U35+U36+U37+U38+U39+U40+U41+U42+U43+U48+Construction!U14*Construction!U36</f>
        <v>2.14857609055588</v>
      </c>
      <c r="V74" s="11" t="n">
        <f aca="false">V33+V34+V35+V36+V37+V38+V39+V40+V41+V42+V43+V48+Construction!V14*Construction!V36</f>
        <v>2.31329975593342</v>
      </c>
      <c r="W74" s="11" t="n">
        <f aca="false">W33+W34+W35+W36+W37+W38+W39+W40+W41+W42+W43+W48+Construction!W14*Construction!W36</f>
        <v>2.43621105120406</v>
      </c>
      <c r="X74" s="11" t="n">
        <f aca="false">X33+X34+X35+X36+X37+X38+X39+X40+X41+X42+X43+X48+Construction!X14*Construction!X36</f>
        <v>2.63981045175024</v>
      </c>
      <c r="Y74" s="11" t="n">
        <f aca="false">Y33+Y34+Y35+Y36+Y37+Y38+Y39+Y40+Y41+Y42+Y43+Y48+Construction!Y14*Construction!Y36</f>
        <v>2.74857591368914</v>
      </c>
      <c r="Z74" s="11" t="n">
        <f aca="false">Z33+Z34+Z35+Z36+Z37+Z38+Z39+Z40+Z41+Z42+Z43+Z48+Construction!Z14*Construction!Z36</f>
        <v>2.94232125583174</v>
      </c>
      <c r="AA74" s="11" t="n">
        <f aca="false">AA33+AA34+AA35+AA36+AA37+AA38+AA39+AA40+AA41+AA42+AA43+AA48+Construction!AA14*Construction!AA36</f>
        <v>3.11155082145335</v>
      </c>
      <c r="AB74" s="11" t="n">
        <f aca="false">AB33+AB34+AB35+AB36+AB37+AB38+AB39+AB40+AB41+AB42+AB43+AB48+Construction!AB14*Construction!AB36</f>
        <v>3.09958546310106</v>
      </c>
      <c r="AC74" s="11" t="n">
        <f aca="false">AC33+AC34+AC35+AC36+AC37+AC38+AC39+AC40+AC41+AC42+AC43+AC48+Construction!AC14*Construction!AC36</f>
        <v>3.31687634474899</v>
      </c>
      <c r="AD74" s="11" t="n">
        <f aca="false">AD33+AD34+AD35+AD36+AD37+AD38+AD39+AD40+AD41+AD42+AD43+AD48+Construction!AD14*Construction!AD36</f>
        <v>3.34697581971116</v>
      </c>
      <c r="AE74" s="11" t="n">
        <f aca="false">AE33+AE34+AE35+AE36+AE37+AE38+AE39+AE40+AE41+AE42+AE43+AE48+Construction!AE14*Construction!AE36</f>
        <v>3.48013010834242</v>
      </c>
      <c r="AF74" s="11" t="n">
        <f aca="false">AF33+AF34+AF35+AF36+AF37+AF38+AF39+AF40+AF41+AF42+AF43+AF48+Construction!AF14*Construction!AF36</f>
        <v>3.47044101017945</v>
      </c>
      <c r="AG74" s="11" t="n">
        <f aca="false">AG33+AG34+AG35+AG36+AG37+AG38+AG39+AG40+AG41+AG42+AG43+AG48+Construction!AG14*Construction!AG36</f>
        <v>3.57685129529281</v>
      </c>
      <c r="AH74" s="11" t="n">
        <f aca="false">AH33+AH34+AH35+AH36+AH37+AH38+AH39+AH40+AH41+AH42+AH43+AH48+Construction!AH14*Construction!AH36</f>
        <v>3.59830879555286</v>
      </c>
      <c r="AI74" s="11" t="n">
        <f aca="false">AI33+AI34+AI35+AI36+AI37+AI38+AI39+AI40+AI41+AI42+AI43+AI48+Construction!AI14*Construction!AI36</f>
        <v>3.53457724476489</v>
      </c>
      <c r="AJ74" s="11" t="n">
        <f aca="false">AJ33+AJ34+AJ35+AJ36+AJ37+AJ38+AJ39+AJ40+AJ41+AJ42+AJ43+AJ48+Construction!AJ14*Construction!AJ36</f>
        <v>3.59846672744775</v>
      </c>
      <c r="AK74" s="11" t="n">
        <f aca="false">AK33+AK34+AK35+AK36+AK37+AK38+AK39+AK40+AK41+AK42+AK43+AK48+Construction!AK14*Construction!AK36</f>
        <v>3.51008514785942</v>
      </c>
      <c r="AL74" s="11" t="n">
        <f aca="false">AL33+AL34+AL35+AL36+AL37+AL38+AL39+AL40+AL41+AL42+AL43+AL48+Construction!AL14*Construction!AL36</f>
        <v>3.56036821579863</v>
      </c>
      <c r="AM74" s="11" t="n">
        <f aca="false">AM33+AM34+AM35+AM36+AM37+AM38+AM39+AM40+AM41+AM42+AM43+AM48+Construction!AM14*Construction!AM36</f>
        <v>3.53988828955126</v>
      </c>
      <c r="AN74" s="11" t="n">
        <f aca="false">AN33+AN34+AN35+AN36+AN37+AN38+AN39+AN40+AN41+AN42+AN43+AN48+Construction!AN14*Construction!AN36</f>
        <v>3.29541136586921</v>
      </c>
      <c r="AO74" s="11" t="n">
        <f aca="false">AO33+AO34+AO35+AO36+AO37+AO38+AO39+AO40+AO41+AO42+AO43+AO48+Construction!AO14*Construction!AO36</f>
        <v>3.50395835622165</v>
      </c>
      <c r="AP74" s="11" t="n">
        <f aca="false">AP33+AP34+AP35+AP36+AP37+AP38+AP39+AP40+AP41+AP42+AP43+AP48+Construction!AP14*Construction!AP36</f>
        <v>3.42730549818607</v>
      </c>
      <c r="AQ74" s="11" t="n">
        <f aca="false">AQ33+AQ34+AQ35+AQ36+AQ37+AQ38+AQ39+AQ40+AQ41+AQ42+AQ43+AQ48+Construction!AQ14*Construction!AQ36</f>
        <v>3.50615715693525</v>
      </c>
      <c r="AR74" s="11" t="n">
        <f aca="false">AR33+AR34+AR35+AR36+AR37+AR38+AR39+AR40+AR41+AR42+AR43+AR48+Construction!AR14*Construction!AR36</f>
        <v>3.44364902898883</v>
      </c>
      <c r="AS74" s="11" t="n">
        <f aca="false">AS33+AS34+AS35+AS36+AS37+AS38+AS39+AS40+AS41+AS42+AS43+AS48+Construction!AS14*Construction!AS36</f>
        <v>3.63426923310442</v>
      </c>
      <c r="AT74" s="11" t="n">
        <f aca="false">AT33+AT34+AT35+AT36+AT37+AT38+AT39+AT40+AT41+AT42+AT43+AT48+Construction!AT14*Construction!AT36</f>
        <v>3.64992427307951</v>
      </c>
      <c r="AU74" s="11" t="n">
        <f aca="false">AU33+AU34+AU35+AU36+AU37+AU38+AU39+AU40+AU41+AU42+AU43+AU48+Construction!AU14*Construction!AU36</f>
        <v>3.55000332454321</v>
      </c>
      <c r="AV74" s="11" t="n">
        <f aca="false">AV33+AV34+AV35+AV36+AV37+AV38+AV39+AV40+AV41+AV42+AV43+AV48+Construction!AV14*Construction!AV36</f>
        <v>4.87502978708708</v>
      </c>
      <c r="AW74" s="11" t="n">
        <f aca="false">AW33+AW34+AW35+AW36+AW37+AW38+AW39+AW40+AW41+AW42+AW43+AW48+Construction!AW14*Construction!AW36</f>
        <v>4.72536465873374</v>
      </c>
      <c r="AX74" s="11" t="n">
        <f aca="false">AX33+AX34+AX35+AX36+AX37+AX38+AX39+AX40+AX41+AX42+AX43+AX48+Construction!AX14*Construction!AX36</f>
        <v>4.04126681381116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888.150681571343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876.457393195604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0.020815</v>
      </c>
      <c r="L10" s="14" t="n">
        <f aca="false">(Operations!L9+Inputs!$F$77+L9)/100*Time!L20/360</f>
        <v>0.0219266666666667</v>
      </c>
      <c r="M10" s="14" t="n">
        <f aca="false">(Operations!M9+Inputs!$F$77+M9)/100*Time!M20/360</f>
        <v>0.0220927777777778</v>
      </c>
      <c r="N10" s="14" t="n">
        <f aca="false">(Operations!N9+Inputs!$F$77+N9)/100*Time!N20/360</f>
        <v>0.02254</v>
      </c>
      <c r="O10" s="14" t="n">
        <f aca="false">(Operations!O9+Inputs!$F$77+O9)/100*Time!O20/360</f>
        <v>0.0223233333333333</v>
      </c>
      <c r="P10" s="14" t="n">
        <f aca="false">(Operations!P9+Inputs!$F$77+P9)/100*Time!P20/360</f>
        <v>0.0226933333333333</v>
      </c>
      <c r="Q10" s="14" t="n">
        <f aca="false">(Operations!Q9+Inputs!$F$77+Q9)/100*Time!Q20/360</f>
        <v>0.0224238888888889</v>
      </c>
      <c r="R10" s="14" t="n">
        <f aca="false">(Operations!R9+Inputs!$F$77+R9)/100*Time!R20/360</f>
        <v>0.0227955555555556</v>
      </c>
      <c r="S10" s="14" t="n">
        <f aca="false">(Operations!S9+Inputs!$F$77+S9)/100*Time!S20/360</f>
        <v>0.0224741666666667</v>
      </c>
      <c r="T10" s="14" t="n">
        <f aca="false">(Operations!T9+Inputs!$F$77+T9)/100*Time!T20/360</f>
        <v>0.0228466666666667</v>
      </c>
      <c r="U10" s="14" t="n">
        <f aca="false">(Operations!U9+Inputs!$F$77+U9)/100*Time!U20/360</f>
        <v>0.0225983333333333</v>
      </c>
      <c r="V10" s="14" t="n">
        <f aca="false">(Operations!V9+Inputs!$F$77+V9)/100*Time!V20/360</f>
        <v>0.0228466666666667</v>
      </c>
      <c r="W10" s="14" t="n">
        <f aca="false">(Operations!W9+Inputs!$F$77+W9)/100*Time!W20/360</f>
        <v>0.0224741666666667</v>
      </c>
      <c r="X10" s="14" t="n">
        <f aca="false">(Operations!X9+Inputs!$F$77+X9)/100*Time!X20/360</f>
        <v>0.0228466666666667</v>
      </c>
      <c r="Y10" s="14" t="n">
        <f aca="false">(Operations!Y9+Inputs!$F$77+Y9)/100*Time!Y20/360</f>
        <v>0.0224741666666667</v>
      </c>
      <c r="Z10" s="14" t="n">
        <f aca="false">(Operations!Z9+Inputs!$F$77+Z9)/100*Time!Z20/360</f>
        <v>0.0228466666666667</v>
      </c>
      <c r="AA10" s="14" t="n">
        <f aca="false">(Operations!AA9+Inputs!$F$77+AA9)/100*Time!AA20/360</f>
        <v>0.0224741666666667</v>
      </c>
      <c r="AB10" s="14" t="n">
        <f aca="false">(Operations!AB9+Inputs!$F$77+AB9)/100*Time!AB20/360</f>
        <v>0.0228466666666667</v>
      </c>
      <c r="AC10" s="14" t="n">
        <f aca="false">(Operations!AC9+Inputs!$F$77+AC9)/100*Time!AC20/360</f>
        <v>0.0225983333333333</v>
      </c>
      <c r="AD10" s="14" t="n">
        <f aca="false">(Operations!AD9+Inputs!$F$77+AD9)/100*Time!AD20/360</f>
        <v>0.0228466666666667</v>
      </c>
      <c r="AE10" s="14" t="n">
        <f aca="false">(Operations!AE9+Inputs!$F$77+AE9)/100*Time!AE20/360</f>
        <v>0.0224741666666667</v>
      </c>
      <c r="AF10" s="14" t="n">
        <f aca="false">(Operations!AF9+Inputs!$F$77+AF9)/100*Time!AF20/360</f>
        <v>0.0228466666666667</v>
      </c>
      <c r="AG10" s="14" t="n">
        <f aca="false">(Operations!AG9+Inputs!$F$77+AG9)/100*Time!AG20/360</f>
        <v>0.0224741666666667</v>
      </c>
      <c r="AH10" s="14" t="n">
        <f aca="false">(Operations!AH9+Inputs!$F$77+AH9)/100*Time!AH20/360</f>
        <v>0.0228466666666667</v>
      </c>
      <c r="AI10" s="14" t="n">
        <f aca="false">(Operations!AI9+Inputs!$F$77+AI9)/100*Time!AI20/360</f>
        <v>0.0224741666666667</v>
      </c>
      <c r="AJ10" s="14" t="n">
        <f aca="false">(Operations!AJ9+Inputs!$F$77+AJ9)/100*Time!AJ20/360</f>
        <v>0.0228466666666667</v>
      </c>
      <c r="AK10" s="14" t="n">
        <f aca="false">(Operations!AK9+Inputs!$F$77+AK9)/100*Time!AK20/360</f>
        <v>0.0225983333333333</v>
      </c>
      <c r="AL10" s="14" t="n">
        <f aca="false">(Operations!AL9+Inputs!$F$77+AL9)/100*Time!AL20/360</f>
        <v>0.0228466666666667</v>
      </c>
      <c r="AM10" s="14" t="n">
        <f aca="false">(Operations!AM9+Inputs!$F$77+AM9)/100*Time!AM20/360</f>
        <v>0.0224741666666667</v>
      </c>
      <c r="AN10" s="14" t="n">
        <f aca="false">(Operations!AN9+Inputs!$F$77+AN9)/100*Time!AN20/360</f>
        <v>0.0228466666666667</v>
      </c>
      <c r="AO10" s="14" t="n">
        <f aca="false">(Operations!AO9+Inputs!$F$77+AO9)/100*Time!AO20/360</f>
        <v>0.0224741666666667</v>
      </c>
      <c r="AP10" s="14" t="n">
        <f aca="false">(Operations!AP9+Inputs!$F$77+AP9)/100*Time!AP20/360</f>
        <v>0.0228466666666667</v>
      </c>
      <c r="AQ10" s="14" t="n">
        <f aca="false">(Operations!AQ9+Inputs!$F$77+AQ9)/100*Time!AQ20/360</f>
        <v>0.0224741666666667</v>
      </c>
      <c r="AR10" s="14" t="n">
        <f aca="false">(Operations!AR9+Inputs!$F$77+AR9)/100*Time!AR20/360</f>
        <v>0.0228466666666667</v>
      </c>
      <c r="AS10" s="14" t="n">
        <f aca="false">(Operations!AS9+Inputs!$F$77+AS9)/100*Time!AS20/360</f>
        <v>0.0225983333333333</v>
      </c>
      <c r="AT10" s="14" t="n">
        <f aca="false">(Operations!AT9+Inputs!$F$77+AT9)/100*Time!AT20/360</f>
        <v>0.0228466666666667</v>
      </c>
      <c r="AU10" s="14" t="n">
        <f aca="false">(Operations!AU9+Inputs!$F$77+AU9)/100*Time!AU20/360</f>
        <v>0.0224741666666667</v>
      </c>
      <c r="AV10" s="14" t="n">
        <f aca="false">(Operations!AV9+Inputs!$F$77+AV9)/100*Time!AV20/360</f>
        <v>0.0228466666666667</v>
      </c>
      <c r="AW10" s="14" t="n">
        <f aca="false">(Operations!AW9+Inputs!$F$77+AW9)/100*Time!AW20/360</f>
        <v>0.0224741666666667</v>
      </c>
      <c r="AX10" s="14" t="n">
        <f aca="false">(Operations!AX9+Inputs!$F$77+AX9)/100*Time!AX20/360</f>
        <v>0.0228466666666667</v>
      </c>
      <c r="AY10" s="14" t="n">
        <f aca="false">(Operations!AY9+Inputs!$F$77+AY9)/100*Time!AY20/360</f>
        <v>0.0224741666666667</v>
      </c>
      <c r="AZ10" s="14" t="n">
        <f aca="false">(Operations!AZ9+Inputs!$F$77+AZ9)/100*Time!AZ20/360</f>
        <v>0.0228466666666667</v>
      </c>
      <c r="BA10" s="14" t="n">
        <f aca="false">(Operations!BA9+Inputs!$F$77+BA9)/100*Time!BA20/360</f>
        <v>0.0225983333333333</v>
      </c>
      <c r="BB10" s="14" t="n">
        <f aca="false">(Operations!BB9+Inputs!$F$77+BB9)/100*Time!BB20/360</f>
        <v>0.0228466666666667</v>
      </c>
      <c r="BC10" s="14" t="n">
        <f aca="false">(Operations!BC9+Inputs!$F$77+BC9)/100*Time!BC20/360</f>
        <v>0.0224741666666667</v>
      </c>
      <c r="BD10" s="14" t="n">
        <f aca="false">(Operations!BD9+Inputs!$F$77+BD9)/100*Time!BD20/360</f>
        <v>0.0228466666666667</v>
      </c>
      <c r="BE10" s="14" t="n">
        <f aca="false">(Operations!BE9+Inputs!$F$77+BE9)/100*Time!BE20/360</f>
        <v>0.0224741666666667</v>
      </c>
      <c r="BF10" s="14" t="n">
        <f aca="false">(Operations!BF9+Inputs!$F$77+BF9)/100*Time!BF20/360</f>
        <v>0.0228466666666667</v>
      </c>
      <c r="BG10" s="14" t="n">
        <f aca="false">(Operations!BG9+Inputs!$F$77+BG9)/100*Time!BG20/360</f>
        <v>0.0224741666666667</v>
      </c>
      <c r="BH10" s="14" t="n">
        <f aca="false">(Operations!BH9+Inputs!$F$77+BH9)/100*Time!BH20/360</f>
        <v>0.0228466666666667</v>
      </c>
      <c r="BI10" s="14" t="n">
        <f aca="false">(Operations!BI9+Inputs!$F$77+BI9)/100*Time!BI20/360</f>
        <v>0.0225983333333333</v>
      </c>
      <c r="BJ10" s="14" t="n">
        <f aca="false">(Operations!BJ9+Inputs!$F$77+BJ9)/100*Time!BJ20/360</f>
        <v>0.0228466666666667</v>
      </c>
      <c r="BK10" s="14" t="n">
        <f aca="false">(Operations!BK9+Inputs!$F$77+BK9)/100*Time!BK20/360</f>
        <v>0.0224741666666667</v>
      </c>
      <c r="BL10" s="14" t="n">
        <f aca="false">(Operations!BL9+Inputs!$F$77+BL9)/100*Time!BL20/360</f>
        <v>0.0228466666666667</v>
      </c>
      <c r="BM10" s="14" t="n">
        <f aca="false">(Operations!BM9+Inputs!$F$77+BM9)/100*Time!BM20/360</f>
        <v>0.0224741666666667</v>
      </c>
      <c r="BN10" s="14" t="n">
        <f aca="false">(Operations!BN9+Inputs!$F$77+BN9)/100*Time!BN20/360</f>
        <v>0.0228466666666667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0.0323788888888889</v>
      </c>
      <c r="L11" s="14" t="n">
        <f aca="false">(Operations!L9+Inputs!$F$78+L9)/100*Time!L20/360</f>
        <v>0.0336822222222222</v>
      </c>
      <c r="M11" s="14" t="n">
        <f aca="false">(Operations!M9+Inputs!$F$78+M9)/100*Time!M20/360</f>
        <v>0.0337205555555556</v>
      </c>
      <c r="N11" s="14" t="n">
        <f aca="false">(Operations!N9+Inputs!$F$78+N9)/100*Time!N20/360</f>
        <v>0.0342955555555556</v>
      </c>
      <c r="O11" s="14" t="n">
        <f aca="false">(Operations!O9+Inputs!$F$78+O9)/100*Time!O20/360</f>
        <v>0.0338872222222222</v>
      </c>
      <c r="P11" s="14" t="n">
        <f aca="false">(Operations!P9+Inputs!$F$78+P9)/100*Time!P20/360</f>
        <v>0.0344488888888889</v>
      </c>
      <c r="Q11" s="14" t="n">
        <f aca="false">(Operations!Q9+Inputs!$F$78+Q9)/100*Time!Q20/360</f>
        <v>0.0339877777777778</v>
      </c>
      <c r="R11" s="14" t="n">
        <f aca="false">(Operations!R9+Inputs!$F$78+R9)/100*Time!R20/360</f>
        <v>0.0345511111111111</v>
      </c>
      <c r="S11" s="14" t="n">
        <f aca="false">(Operations!S9+Inputs!$F$78+S9)/100*Time!S20/360</f>
        <v>0.0340380555555556</v>
      </c>
      <c r="T11" s="14" t="n">
        <f aca="false">(Operations!T9+Inputs!$F$78+T9)/100*Time!T20/360</f>
        <v>0.0346022222222222</v>
      </c>
      <c r="U11" s="14" t="n">
        <f aca="false">(Operations!U9+Inputs!$F$78+U9)/100*Time!U20/360</f>
        <v>0.0342261111111111</v>
      </c>
      <c r="V11" s="14" t="n">
        <f aca="false">(Operations!V9+Inputs!$F$78+V9)/100*Time!V20/360</f>
        <v>0.0346022222222222</v>
      </c>
      <c r="W11" s="14" t="n">
        <f aca="false">(Operations!W9+Inputs!$F$78+W9)/100*Time!W20/360</f>
        <v>0.0340380555555556</v>
      </c>
      <c r="X11" s="14" t="n">
        <f aca="false">(Operations!X9+Inputs!$F$78+X9)/100*Time!X20/360</f>
        <v>0.0346022222222222</v>
      </c>
      <c r="Y11" s="14" t="n">
        <f aca="false">(Operations!Y9+Inputs!$F$78+Y9)/100*Time!Y20/360</f>
        <v>0.0340380555555556</v>
      </c>
      <c r="Z11" s="14" t="n">
        <f aca="false">(Operations!Z9+Inputs!$F$78+Z9)/100*Time!Z20/360</f>
        <v>0.0346022222222222</v>
      </c>
      <c r="AA11" s="14" t="n">
        <f aca="false">(Operations!AA9+Inputs!$F$78+AA9)/100*Time!AA20/360</f>
        <v>0.0340380555555556</v>
      </c>
      <c r="AB11" s="14" t="n">
        <f aca="false">(Operations!AB9+Inputs!$F$78+AB9)/100*Time!AB20/360</f>
        <v>0.0346022222222222</v>
      </c>
      <c r="AC11" s="14" t="n">
        <f aca="false">(Operations!AC9+Inputs!$F$78+AC9)/100*Time!AC20/360</f>
        <v>0.0342261111111111</v>
      </c>
      <c r="AD11" s="14" t="n">
        <f aca="false">(Operations!AD9+Inputs!$F$78+AD9)/100*Time!AD20/360</f>
        <v>0.0346022222222222</v>
      </c>
      <c r="AE11" s="14" t="n">
        <f aca="false">(Operations!AE9+Inputs!$F$78+AE9)/100*Time!AE20/360</f>
        <v>0.0340380555555556</v>
      </c>
      <c r="AF11" s="14" t="n">
        <f aca="false">(Operations!AF9+Inputs!$F$78+AF9)/100*Time!AF20/360</f>
        <v>0.0346022222222222</v>
      </c>
      <c r="AG11" s="14" t="n">
        <f aca="false">(Operations!AG9+Inputs!$F$78+AG9)/100*Time!AG20/360</f>
        <v>0.0340380555555556</v>
      </c>
      <c r="AH11" s="14" t="n">
        <f aca="false">(Operations!AH9+Inputs!$F$78+AH9)/100*Time!AH20/360</f>
        <v>0.0346022222222222</v>
      </c>
      <c r="AI11" s="14" t="n">
        <f aca="false">(Operations!AI9+Inputs!$F$78+AI9)/100*Time!AI20/360</f>
        <v>0.0340380555555556</v>
      </c>
      <c r="AJ11" s="14" t="n">
        <f aca="false">(Operations!AJ9+Inputs!$F$78+AJ9)/100*Time!AJ20/360</f>
        <v>0.0346022222222222</v>
      </c>
      <c r="AK11" s="14" t="n">
        <f aca="false">(Operations!AK9+Inputs!$F$78+AK9)/100*Time!AK20/360</f>
        <v>0.0342261111111111</v>
      </c>
      <c r="AL11" s="14" t="n">
        <f aca="false">(Operations!AL9+Inputs!$F$78+AL9)/100*Time!AL20/360</f>
        <v>0.0346022222222222</v>
      </c>
      <c r="AM11" s="14" t="n">
        <f aca="false">(Operations!AM9+Inputs!$F$78+AM9)/100*Time!AM20/360</f>
        <v>0.0340380555555556</v>
      </c>
      <c r="AN11" s="14" t="n">
        <f aca="false">(Operations!AN9+Inputs!$F$78+AN9)/100*Time!AN20/360</f>
        <v>0.0346022222222222</v>
      </c>
      <c r="AO11" s="14" t="n">
        <f aca="false">(Operations!AO9+Inputs!$F$78+AO9)/100*Time!AO20/360</f>
        <v>0.0340380555555556</v>
      </c>
      <c r="AP11" s="14" t="n">
        <f aca="false">(Operations!AP9+Inputs!$F$78+AP9)/100*Time!AP20/360</f>
        <v>0.0346022222222222</v>
      </c>
      <c r="AQ11" s="14" t="n">
        <f aca="false">(Operations!AQ9+Inputs!$F$78+AQ9)/100*Time!AQ20/360</f>
        <v>0.0340380555555556</v>
      </c>
      <c r="AR11" s="14" t="n">
        <f aca="false">(Operations!AR9+Inputs!$F$78+AR9)/100*Time!AR20/360</f>
        <v>0.0346022222222222</v>
      </c>
      <c r="AS11" s="14" t="n">
        <f aca="false">(Operations!AS9+Inputs!$F$78+AS9)/100*Time!AS20/360</f>
        <v>0.0342261111111111</v>
      </c>
      <c r="AT11" s="14" t="n">
        <f aca="false">(Operations!AT9+Inputs!$F$78+AT9)/100*Time!AT20/360</f>
        <v>0.0346022222222222</v>
      </c>
      <c r="AU11" s="14" t="n">
        <f aca="false">(Operations!AU9+Inputs!$F$78+AU9)/100*Time!AU20/360</f>
        <v>0.0340380555555556</v>
      </c>
      <c r="AV11" s="14" t="n">
        <f aca="false">(Operations!AV9+Inputs!$F$78+AV9)/100*Time!AV20/360</f>
        <v>0.0346022222222222</v>
      </c>
      <c r="AW11" s="14" t="n">
        <f aca="false">(Operations!AW9+Inputs!$F$78+AW9)/100*Time!AW20/360</f>
        <v>0.0340380555555556</v>
      </c>
      <c r="AX11" s="14" t="n">
        <f aca="false">(Operations!AX9+Inputs!$F$78+AX9)/100*Time!AX20/360</f>
        <v>0.0346022222222222</v>
      </c>
      <c r="AY11" s="14" t="n">
        <f aca="false">(Operations!AY9+Inputs!$F$78+AY9)/100*Time!AY20/360</f>
        <v>0.0340380555555556</v>
      </c>
      <c r="AZ11" s="14" t="n">
        <f aca="false">(Operations!AZ9+Inputs!$F$78+AZ9)/100*Time!AZ20/360</f>
        <v>0.0346022222222222</v>
      </c>
      <c r="BA11" s="14" t="n">
        <f aca="false">(Operations!BA9+Inputs!$F$78+BA9)/100*Time!BA20/360</f>
        <v>0.0342261111111111</v>
      </c>
      <c r="BB11" s="14" t="n">
        <f aca="false">(Operations!BB9+Inputs!$F$78+BB9)/100*Time!BB20/360</f>
        <v>0.0346022222222222</v>
      </c>
      <c r="BC11" s="14" t="n">
        <f aca="false">(Operations!BC9+Inputs!$F$78+BC9)/100*Time!BC20/360</f>
        <v>0.0340380555555556</v>
      </c>
      <c r="BD11" s="14" t="n">
        <f aca="false">(Operations!BD9+Inputs!$F$78+BD9)/100*Time!BD20/360</f>
        <v>0.0346022222222222</v>
      </c>
      <c r="BE11" s="14" t="n">
        <f aca="false">(Operations!BE9+Inputs!$F$78+BE9)/100*Time!BE20/360</f>
        <v>0.0340380555555556</v>
      </c>
      <c r="BF11" s="14" t="n">
        <f aca="false">(Operations!BF9+Inputs!$F$78+BF9)/100*Time!BF20/360</f>
        <v>0.0346022222222222</v>
      </c>
      <c r="BG11" s="14" t="n">
        <f aca="false">(Operations!BG9+Inputs!$F$78+BG9)/100*Time!BG20/360</f>
        <v>0.0340380555555556</v>
      </c>
      <c r="BH11" s="14" t="n">
        <f aca="false">(Operations!BH9+Inputs!$F$78+BH9)/100*Time!BH20/360</f>
        <v>0.0346022222222222</v>
      </c>
      <c r="BI11" s="14" t="n">
        <f aca="false">(Operations!BI9+Inputs!$F$78+BI9)/100*Time!BI20/360</f>
        <v>0.0342261111111111</v>
      </c>
      <c r="BJ11" s="14" t="n">
        <f aca="false">(Operations!BJ9+Inputs!$F$78+BJ9)/100*Time!BJ20/360</f>
        <v>0.0346022222222222</v>
      </c>
      <c r="BK11" s="14" t="n">
        <f aca="false">(Operations!BK9+Inputs!$F$78+BK9)/100*Time!BK20/360</f>
        <v>0.0340380555555556</v>
      </c>
      <c r="BL11" s="14" t="n">
        <f aca="false">(Operations!BL9+Inputs!$F$78+BL9)/100*Time!BL20/360</f>
        <v>0.0346022222222222</v>
      </c>
      <c r="BM11" s="14" t="n">
        <f aca="false">(Operations!BM9+Inputs!$F$78+BM9)/100*Time!BM20/360</f>
        <v>0.0340380555555556</v>
      </c>
      <c r="BN11" s="14" t="n">
        <f aca="false">(Operations!BN9+Inputs!$F$78+BN9)/100*Time!BN20/360</f>
        <v>0.0346022222222222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0.0311219444444444</v>
      </c>
      <c r="L12" s="14" t="n">
        <f aca="false">(Operations!L9+Inputs!$F$79+L9)/100*Time!L20/360</f>
        <v>0.0324044444444444</v>
      </c>
      <c r="M12" s="14" t="n">
        <f aca="false">(Operations!M9+Inputs!$F$79+M9)/100*Time!M20/360</f>
        <v>0.0324566666666667</v>
      </c>
      <c r="N12" s="14" t="n">
        <f aca="false">(Operations!N9+Inputs!$F$79+N9)/100*Time!N20/360</f>
        <v>0.0330177777777778</v>
      </c>
      <c r="O12" s="14" t="n">
        <f aca="false">(Operations!O9+Inputs!$F$79+O9)/100*Time!O20/360</f>
        <v>0.0326302777777778</v>
      </c>
      <c r="P12" s="14" t="n">
        <f aca="false">(Operations!P9+Inputs!$F$79+P9)/100*Time!P20/360</f>
        <v>0.0331711111111111</v>
      </c>
      <c r="Q12" s="14" t="n">
        <f aca="false">(Operations!Q9+Inputs!$F$79+Q9)/100*Time!Q20/360</f>
        <v>0.0327308333333333</v>
      </c>
      <c r="R12" s="14" t="n">
        <f aca="false">(Operations!R9+Inputs!$F$79+R9)/100*Time!R20/360</f>
        <v>0.0332733333333333</v>
      </c>
      <c r="S12" s="14" t="n">
        <f aca="false">(Operations!S9+Inputs!$F$79+S9)/100*Time!S20/360</f>
        <v>0.0327811111111111</v>
      </c>
      <c r="T12" s="14" t="n">
        <f aca="false">(Operations!T9+Inputs!$F$79+T9)/100*Time!T20/360</f>
        <v>0.0333244444444444</v>
      </c>
      <c r="U12" s="14" t="n">
        <f aca="false">(Operations!U9+Inputs!$F$79+U9)/100*Time!U20/360</f>
        <v>0.0329622222222222</v>
      </c>
      <c r="V12" s="14" t="n">
        <f aca="false">(Operations!V9+Inputs!$F$79+V9)/100*Time!V20/360</f>
        <v>0.0333244444444444</v>
      </c>
      <c r="W12" s="14" t="n">
        <f aca="false">(Operations!W9+Inputs!$F$79+W9)/100*Time!W20/360</f>
        <v>0.0327811111111111</v>
      </c>
      <c r="X12" s="14" t="n">
        <f aca="false">(Operations!X9+Inputs!$F$79+X9)/100*Time!X20/360</f>
        <v>0.0333244444444444</v>
      </c>
      <c r="Y12" s="14" t="n">
        <f aca="false">(Operations!Y9+Inputs!$F$79+Y9)/100*Time!Y20/360</f>
        <v>0.0327811111111111</v>
      </c>
      <c r="Z12" s="14" t="n">
        <f aca="false">(Operations!Z9+Inputs!$F$79+Z9)/100*Time!Z20/360</f>
        <v>0.0333244444444444</v>
      </c>
      <c r="AA12" s="14" t="n">
        <f aca="false">(Operations!AA9+Inputs!$F$79+AA9)/100*Time!AA20/360</f>
        <v>0.0327811111111111</v>
      </c>
      <c r="AB12" s="14" t="n">
        <f aca="false">(Operations!AB9+Inputs!$F$79+AB9)/100*Time!AB20/360</f>
        <v>0.0333244444444444</v>
      </c>
      <c r="AC12" s="14" t="n">
        <f aca="false">(Operations!AC9+Inputs!$F$79+AC9)/100*Time!AC20/360</f>
        <v>0.0329622222222222</v>
      </c>
      <c r="AD12" s="14" t="n">
        <f aca="false">(Operations!AD9+Inputs!$F$79+AD9)/100*Time!AD20/360</f>
        <v>0.0333244444444444</v>
      </c>
      <c r="AE12" s="14" t="n">
        <f aca="false">(Operations!AE9+Inputs!$F$79+AE9)/100*Time!AE20/360</f>
        <v>0.0327811111111111</v>
      </c>
      <c r="AF12" s="14" t="n">
        <f aca="false">(Operations!AF9+Inputs!$F$79+AF9)/100*Time!AF20/360</f>
        <v>0.0333244444444444</v>
      </c>
      <c r="AG12" s="14" t="n">
        <f aca="false">(Operations!AG9+Inputs!$F$79+AG9)/100*Time!AG20/360</f>
        <v>0.0327811111111111</v>
      </c>
      <c r="AH12" s="14" t="n">
        <f aca="false">(Operations!AH9+Inputs!$F$79+AH9)/100*Time!AH20/360</f>
        <v>0.0333244444444444</v>
      </c>
      <c r="AI12" s="14" t="n">
        <f aca="false">(Operations!AI9+Inputs!$F$79+AI9)/100*Time!AI20/360</f>
        <v>0.0327811111111111</v>
      </c>
      <c r="AJ12" s="14" t="n">
        <f aca="false">(Operations!AJ9+Inputs!$F$79+AJ9)/100*Time!AJ20/360</f>
        <v>0.0333244444444444</v>
      </c>
      <c r="AK12" s="14" t="n">
        <f aca="false">(Operations!AK9+Inputs!$F$79+AK9)/100*Time!AK20/360</f>
        <v>0.0329622222222222</v>
      </c>
      <c r="AL12" s="14" t="n">
        <f aca="false">(Operations!AL9+Inputs!$F$79+AL9)/100*Time!AL20/360</f>
        <v>0.0333244444444444</v>
      </c>
      <c r="AM12" s="14" t="n">
        <f aca="false">(Operations!AM9+Inputs!$F$79+AM9)/100*Time!AM20/360</f>
        <v>0.0327811111111111</v>
      </c>
      <c r="AN12" s="14" t="n">
        <f aca="false">(Operations!AN9+Inputs!$F$79+AN9)/100*Time!AN20/360</f>
        <v>0.0333244444444444</v>
      </c>
      <c r="AO12" s="14" t="n">
        <f aca="false">(Operations!AO9+Inputs!$F$79+AO9)/100*Time!AO20/360</f>
        <v>0.0327811111111111</v>
      </c>
      <c r="AP12" s="14" t="n">
        <f aca="false">(Operations!AP9+Inputs!$F$79+AP9)/100*Time!AP20/360</f>
        <v>0.0333244444444444</v>
      </c>
      <c r="AQ12" s="14" t="n">
        <f aca="false">(Operations!AQ9+Inputs!$F$79+AQ9)/100*Time!AQ20/360</f>
        <v>0.0327811111111111</v>
      </c>
      <c r="AR12" s="14" t="n">
        <f aca="false">(Operations!AR9+Inputs!$F$79+AR9)/100*Time!AR20/360</f>
        <v>0.0333244444444444</v>
      </c>
      <c r="AS12" s="14" t="n">
        <f aca="false">(Operations!AS9+Inputs!$F$79+AS9)/100*Time!AS20/360</f>
        <v>0.0329622222222222</v>
      </c>
      <c r="AT12" s="14" t="n">
        <f aca="false">(Operations!AT9+Inputs!$F$79+AT9)/100*Time!AT20/360</f>
        <v>0.0333244444444444</v>
      </c>
      <c r="AU12" s="14" t="n">
        <f aca="false">(Operations!AU9+Inputs!$F$79+AU9)/100*Time!AU20/360</f>
        <v>0.0327811111111111</v>
      </c>
      <c r="AV12" s="14" t="n">
        <f aca="false">(Operations!AV9+Inputs!$F$79+AV9)/100*Time!AV20/360</f>
        <v>0.0333244444444444</v>
      </c>
      <c r="AW12" s="14" t="n">
        <f aca="false">(Operations!AW9+Inputs!$F$79+AW9)/100*Time!AW20/360</f>
        <v>0.0327811111111111</v>
      </c>
      <c r="AX12" s="14" t="n">
        <f aca="false">(Operations!AX9+Inputs!$F$79+AX9)/100*Time!AX20/360</f>
        <v>0.0333244444444444</v>
      </c>
      <c r="AY12" s="14" t="n">
        <f aca="false">(Operations!AY9+Inputs!$F$79+AY9)/100*Time!AY20/360</f>
        <v>0.0327811111111111</v>
      </c>
      <c r="AZ12" s="14" t="n">
        <f aca="false">(Operations!AZ9+Inputs!$F$79+AZ9)/100*Time!AZ20/360</f>
        <v>0.0333244444444444</v>
      </c>
      <c r="BA12" s="14" t="n">
        <f aca="false">(Operations!BA9+Inputs!$F$79+BA9)/100*Time!BA20/360</f>
        <v>0.0329622222222222</v>
      </c>
      <c r="BB12" s="14" t="n">
        <f aca="false">(Operations!BB9+Inputs!$F$79+BB9)/100*Time!BB20/360</f>
        <v>0.0333244444444444</v>
      </c>
      <c r="BC12" s="14" t="n">
        <f aca="false">(Operations!BC9+Inputs!$F$79+BC9)/100*Time!BC20/360</f>
        <v>0.0327811111111111</v>
      </c>
      <c r="BD12" s="14" t="n">
        <f aca="false">(Operations!BD9+Inputs!$F$79+BD9)/100*Time!BD20/360</f>
        <v>0.0333244444444444</v>
      </c>
      <c r="BE12" s="14" t="n">
        <f aca="false">(Operations!BE9+Inputs!$F$79+BE9)/100*Time!BE20/360</f>
        <v>0.0327811111111111</v>
      </c>
      <c r="BF12" s="14" t="n">
        <f aca="false">(Operations!BF9+Inputs!$F$79+BF9)/100*Time!BF20/360</f>
        <v>0.0333244444444444</v>
      </c>
      <c r="BG12" s="14" t="n">
        <f aca="false">(Operations!BG9+Inputs!$F$79+BG9)/100*Time!BG20/360</f>
        <v>0.0327811111111111</v>
      </c>
      <c r="BH12" s="14" t="n">
        <f aca="false">(Operations!BH9+Inputs!$F$79+BH9)/100*Time!BH20/360</f>
        <v>0.0333244444444444</v>
      </c>
      <c r="BI12" s="14" t="n">
        <f aca="false">(Operations!BI9+Inputs!$F$79+BI9)/100*Time!BI20/360</f>
        <v>0.0329622222222222</v>
      </c>
      <c r="BJ12" s="14" t="n">
        <f aca="false">(Operations!BJ9+Inputs!$F$79+BJ9)/100*Time!BJ20/360</f>
        <v>0.0333244444444444</v>
      </c>
      <c r="BK12" s="14" t="n">
        <f aca="false">(Operations!BK9+Inputs!$F$79+BK9)/100*Time!BK20/360</f>
        <v>0.0327811111111111</v>
      </c>
      <c r="BL12" s="14" t="n">
        <f aca="false">(Operations!BL9+Inputs!$F$79+BL9)/100*Time!BL20/360</f>
        <v>0.0333244444444444</v>
      </c>
      <c r="BM12" s="14" t="n">
        <f aca="false">(Operations!BM9+Inputs!$F$79+BM9)/100*Time!BM20/360</f>
        <v>0.0327811111111111</v>
      </c>
      <c r="BN12" s="14" t="n">
        <f aca="false">(Operations!BN9+Inputs!$F$79+BN9)/100*Time!BN20/360</f>
        <v>0.0333244444444444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0.0384904320987654</v>
      </c>
      <c r="L13" s="14" t="n">
        <f aca="false">(Operations!L9+L8+L9)/100*Time!L20/360/(1-Inputs!$F$91/100)</f>
        <v>0.0399802469135802</v>
      </c>
      <c r="M13" s="14" t="n">
        <f aca="false">(Operations!M9+M8+M9)/100*Time!M20/360/(1-Inputs!$F$91/100)</f>
        <v>0.0399950617283951</v>
      </c>
      <c r="N13" s="14" t="n">
        <f aca="false">(Operations!N9+N8+N9)/100*Time!N20/360/(1-Inputs!$F$91/100)</f>
        <v>0.0406617283950617</v>
      </c>
      <c r="O13" s="14" t="n">
        <f aca="false">(Operations!O9+O8+O9)/100*Time!O20/360/(1-Inputs!$F$91/100)</f>
        <v>0.0401663580246914</v>
      </c>
      <c r="P13" s="14" t="n">
        <f aca="false">(Operations!P9+P8+P9)/100*Time!P20/360/(1-Inputs!$F$91/100)</f>
        <v>0.0408320987654321</v>
      </c>
      <c r="Q13" s="14" t="n">
        <f aca="false">(Operations!Q9+Q8+Q9)/100*Time!Q20/360/(1-Inputs!$F$91/100)</f>
        <v>0.0402780864197531</v>
      </c>
      <c r="R13" s="14" t="n">
        <f aca="false">(Operations!R9+R8+R9)/100*Time!R20/360/(1-Inputs!$F$91/100)</f>
        <v>0.0409456790123457</v>
      </c>
      <c r="S13" s="14" t="n">
        <f aca="false">(Operations!S9+S8+S9)/100*Time!S20/360/(1-Inputs!$F$91/100)</f>
        <v>0.040333950617284</v>
      </c>
      <c r="T13" s="14" t="n">
        <f aca="false">(Operations!T9+T8+T9)/100*Time!T20/360/(1-Inputs!$F$91/100)</f>
        <v>0.0410024691358025</v>
      </c>
      <c r="U13" s="14" t="n">
        <f aca="false">(Operations!U9+U8+U9)/100*Time!U20/360/(1-Inputs!$F$91/100)</f>
        <v>0.0405567901234568</v>
      </c>
      <c r="V13" s="14" t="n">
        <f aca="false">(Operations!V9+V8+V9)/100*Time!V20/360/(1-Inputs!$F$91/100)</f>
        <v>0.0410024691358025</v>
      </c>
      <c r="W13" s="14" t="n">
        <f aca="false">(Operations!W9+W8+W9)/100*Time!W20/360/(1-Inputs!$F$91/100)</f>
        <v>0.040333950617284</v>
      </c>
      <c r="X13" s="14" t="n">
        <f aca="false">(Operations!X9+X8+X9)/100*Time!X20/360/(1-Inputs!$F$91/100)</f>
        <v>0.0410024691358025</v>
      </c>
      <c r="Y13" s="14" t="n">
        <f aca="false">(Operations!Y9+Y8+Y9)/100*Time!Y20/360/(1-Inputs!$F$91/100)</f>
        <v>0.0431271604938272</v>
      </c>
      <c r="Z13" s="14" t="n">
        <f aca="false">(Operations!Z9+Z8+Z9)/100*Time!Z20/360/(1-Inputs!$F$91/100)</f>
        <v>0.043841975308642</v>
      </c>
      <c r="AA13" s="14" t="n">
        <f aca="false">(Operations!AA9+AA8+AA9)/100*Time!AA20/360/(1-Inputs!$F$91/100)</f>
        <v>0.0431271604938272</v>
      </c>
      <c r="AB13" s="14" t="n">
        <f aca="false">(Operations!AB9+AB8+AB9)/100*Time!AB20/360/(1-Inputs!$F$91/100)</f>
        <v>0.043841975308642</v>
      </c>
      <c r="AC13" s="14" t="n">
        <f aca="false">(Operations!AC9+AC8+AC9)/100*Time!AC20/360/(1-Inputs!$F$91/100)</f>
        <v>0.0433654320987654</v>
      </c>
      <c r="AD13" s="14" t="n">
        <f aca="false">(Operations!AD9+AD8+AD9)/100*Time!AD20/360/(1-Inputs!$F$91/100)</f>
        <v>0.043841975308642</v>
      </c>
      <c r="AE13" s="14" t="n">
        <f aca="false">(Operations!AE9+AE8+AE9)/100*Time!AE20/360/(1-Inputs!$F$91/100)</f>
        <v>0.0431271604938272</v>
      </c>
      <c r="AF13" s="14" t="n">
        <f aca="false">(Operations!AF9+AF8+AF9)/100*Time!AF20/360/(1-Inputs!$F$91/100)</f>
        <v>0.043841975308642</v>
      </c>
      <c r="AG13" s="14" t="n">
        <f aca="false">(Operations!AG9+AG8+AG9)/100*Time!AG20/360/(1-Inputs!$F$91/100)</f>
        <v>0.0459203703703704</v>
      </c>
      <c r="AH13" s="14" t="n">
        <f aca="false">(Operations!AH9+AH8+AH9)/100*Time!AH20/360/(1-Inputs!$F$91/100)</f>
        <v>0.0466814814814815</v>
      </c>
      <c r="AI13" s="14" t="n">
        <f aca="false">(Operations!AI9+AI8+AI9)/100*Time!AI20/360/(1-Inputs!$F$91/100)</f>
        <v>0.0459203703703704</v>
      </c>
      <c r="AJ13" s="14" t="n">
        <f aca="false">(Operations!AJ9+AJ8+AJ9)/100*Time!AJ20/360/(1-Inputs!$F$91/100)</f>
        <v>0.0466814814814815</v>
      </c>
      <c r="AK13" s="14" t="n">
        <f aca="false">(Operations!AK9+AK8+AK9)/100*Time!AK20/360/(1-Inputs!$F$91/100)</f>
        <v>0.0461740740740741</v>
      </c>
      <c r="AL13" s="14" t="n">
        <f aca="false">(Operations!AL9+AL8+AL9)/100*Time!AL20/360/(1-Inputs!$F$91/100)</f>
        <v>0.0466814814814815</v>
      </c>
      <c r="AM13" s="14" t="n">
        <f aca="false">(Operations!AM9+AM8+AM9)/100*Time!AM20/360/(1-Inputs!$F$91/100)</f>
        <v>0.0459203703703704</v>
      </c>
      <c r="AN13" s="14" t="n">
        <f aca="false">(Operations!AN9+AN8+AN9)/100*Time!AN20/360/(1-Inputs!$F$91/100)</f>
        <v>0.0466814814814815</v>
      </c>
      <c r="AO13" s="14" t="n">
        <f aca="false">(Operations!AO9+AO8+AO9)/100*Time!AO20/360/(1-Inputs!$F$91/100)</f>
        <v>0.0459203703703704</v>
      </c>
      <c r="AP13" s="14" t="n">
        <f aca="false">(Operations!AP9+AP8+AP9)/100*Time!AP20/360/(1-Inputs!$F$91/100)</f>
        <v>0.0466814814814815</v>
      </c>
      <c r="AQ13" s="14" t="n">
        <f aca="false">(Operations!AQ9+AQ8+AQ9)/100*Time!AQ20/360/(1-Inputs!$F$91/100)</f>
        <v>0.0459203703703704</v>
      </c>
      <c r="AR13" s="14" t="n">
        <f aca="false">(Operations!AR9+AR8+AR9)/100*Time!AR20/360/(1-Inputs!$F$91/100)</f>
        <v>0.0466814814814815</v>
      </c>
      <c r="AS13" s="14" t="n">
        <f aca="false">(Operations!AS9+AS8+AS9)/100*Time!AS20/360/(1-Inputs!$F$91/100)</f>
        <v>0.0461740740740741</v>
      </c>
      <c r="AT13" s="14" t="n">
        <f aca="false">(Operations!AT9+AT8+AT9)/100*Time!AT20/360/(1-Inputs!$F$91/100)</f>
        <v>0.0466814814814815</v>
      </c>
      <c r="AU13" s="14" t="n">
        <f aca="false">(Operations!AU9+AU8+AU9)/100*Time!AU20/360/(1-Inputs!$F$91/100)</f>
        <v>0.0459203703703704</v>
      </c>
      <c r="AV13" s="14" t="n">
        <f aca="false">(Operations!AV9+AV8+AV9)/100*Time!AV20/360/(1-Inputs!$F$91/100)</f>
        <v>0.0466814814814815</v>
      </c>
      <c r="AW13" s="14" t="n">
        <f aca="false">(Operations!AW9+AW8+AW9)/100*Time!AW20/360/(1-Inputs!$F$91/100)</f>
        <v>0.0459203703703704</v>
      </c>
      <c r="AX13" s="14" t="n">
        <f aca="false">(Operations!AX9+AX8+AX9)/100*Time!AX20/360/(1-Inputs!$F$91/100)</f>
        <v>0.0466814814814815</v>
      </c>
      <c r="AY13" s="14" t="n">
        <f aca="false">(Operations!AY9+AY8+AY9)/100*Time!AY20/360/(1-Inputs!$F$91/100)</f>
        <v>0.0459203703703704</v>
      </c>
      <c r="AZ13" s="14" t="n">
        <f aca="false">(Operations!AZ9+AZ8+AZ9)/100*Time!AZ20/360/(1-Inputs!$F$91/100)</f>
        <v>0.0466814814814815</v>
      </c>
      <c r="BA13" s="14" t="n">
        <f aca="false">(Operations!BA9+BA8+BA9)/100*Time!BA20/360/(1-Inputs!$F$91/100)</f>
        <v>0.0461740740740741</v>
      </c>
      <c r="BB13" s="14" t="n">
        <f aca="false">(Operations!BB9+BB8+BB9)/100*Time!BB20/360/(1-Inputs!$F$91/100)</f>
        <v>0.0466814814814815</v>
      </c>
      <c r="BC13" s="14" t="n">
        <f aca="false">(Operations!BC9+BC8+BC9)/100*Time!BC20/360/(1-Inputs!$F$91/100)</f>
        <v>0.0459203703703704</v>
      </c>
      <c r="BD13" s="14" t="n">
        <f aca="false">(Operations!BD9+BD8+BD9)/100*Time!BD20/360/(1-Inputs!$F$91/100)</f>
        <v>0.0466814814814815</v>
      </c>
      <c r="BE13" s="14" t="n">
        <f aca="false">(Operations!BE9+BE8+BE9)/100*Time!BE20/360/(1-Inputs!$F$91/100)</f>
        <v>0.0459203703703704</v>
      </c>
      <c r="BF13" s="14" t="n">
        <f aca="false">(Operations!BF9+BF8+BF9)/100*Time!BF20/360/(1-Inputs!$F$91/100)</f>
        <v>0.0466814814814815</v>
      </c>
      <c r="BG13" s="14" t="n">
        <f aca="false">(Operations!BG9+BG8+BG9)/100*Time!BG20/360/(1-Inputs!$F$91/100)</f>
        <v>0.0459203703703704</v>
      </c>
      <c r="BH13" s="14" t="n">
        <f aca="false">(Operations!BH9+BH8+BH9)/100*Time!BH20/360/(1-Inputs!$F$91/100)</f>
        <v>0.0466814814814815</v>
      </c>
      <c r="BI13" s="14" t="n">
        <f aca="false">(Operations!BI9+BI8+BI9)/100*Time!BI20/360/(1-Inputs!$F$91/100)</f>
        <v>0.0461740740740741</v>
      </c>
      <c r="BJ13" s="14" t="n">
        <f aca="false">(Operations!BJ9+BJ8+BJ9)/100*Time!BJ20/360/(1-Inputs!$F$91/100)</f>
        <v>0.0466814814814815</v>
      </c>
      <c r="BK13" s="14" t="n">
        <f aca="false">(Operations!BK9+BK8+BK9)/100*Time!BK20/360/(1-Inputs!$F$91/100)</f>
        <v>0.0459203703703704</v>
      </c>
      <c r="BL13" s="14" t="n">
        <f aca="false">(Operations!BL9+BL8+BL9)/100*Time!BL20/360/(1-Inputs!$F$91/100)</f>
        <v>0.0466814814814815</v>
      </c>
      <c r="BM13" s="14" t="n">
        <f aca="false">(Operations!BM9+BM8+BM9)/100*Time!BM20/360/(1-Inputs!$F$91/100)</f>
        <v>0.0459203703703704</v>
      </c>
      <c r="BN13" s="14" t="n">
        <f aca="false">(Operations!BN9+BN8+BN9)/100*Time!BN20/360/(1-Inputs!$F$91/100)</f>
        <v>0.0466814814814815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0.0373865555555556</v>
      </c>
      <c r="L14" s="14" t="n">
        <f aca="false">(Inputs!$F$100*(Operations!L9+L8+Inputs!$F$99+L9)/(1-Inputs!$F$91/100)+(1-Inputs!$F$100)*(Operations!L9+Inputs!$F$78+Inputs!$F$99+L9))/100*Time!L20/360</f>
        <v>0.038824</v>
      </c>
      <c r="M14" s="14" t="n">
        <f aca="false">(Inputs!$F$100*(Operations!M9+M8+Inputs!$F$99+M9)/(1-Inputs!$F$91/100)+(1-Inputs!$F$100)*(Operations!M9+Inputs!$F$78+Inputs!$F$99+M9))/100*Time!M20/360</f>
        <v>0.0388334074074074</v>
      </c>
      <c r="N14" s="14" t="n">
        <f aca="false">(Inputs!$F$100*(Operations!N9+N8+Inputs!$F$99+N9)/(1-Inputs!$F$91/100)+(1-Inputs!$F$100)*(Operations!N9+Inputs!$F$78+Inputs!$F$99+N9))/100*Time!N20/360</f>
        <v>0.0394782222222222</v>
      </c>
      <c r="O14" s="14" t="n">
        <f aca="false">(Inputs!$F$100*(Operations!O9+O8+Inputs!$F$99+O9)/(1-Inputs!$F$91/100)+(1-Inputs!$F$100)*(Operations!O9+Inputs!$F$78+Inputs!$F$99+O9))/100*Time!O20/360</f>
        <v>0.0389954444444444</v>
      </c>
      <c r="P14" s="14" t="n">
        <f aca="false">(Inputs!$F$100*(Operations!P9+P8+Inputs!$F$99+P9)/(1-Inputs!$F$91/100)+(1-Inputs!$F$100)*(Operations!P9+Inputs!$F$78+Inputs!$F$99+P9))/100*Time!P20/360</f>
        <v>0.0396417777777778</v>
      </c>
      <c r="Q14" s="14" t="n">
        <f aca="false">(Inputs!$F$100*(Operations!Q9+Q8+Inputs!$F$99+Q9)/(1-Inputs!$F$91/100)+(1-Inputs!$F$100)*(Operations!Q9+Inputs!$F$78+Inputs!$F$99+Q9))/100*Time!Q20/360</f>
        <v>0.0391027037037037</v>
      </c>
      <c r="R14" s="14" t="n">
        <f aca="false">(Inputs!$F$100*(Operations!R9+R8+Inputs!$F$99+R9)/(1-Inputs!$F$91/100)+(1-Inputs!$F$100)*(Operations!R9+Inputs!$F$78+Inputs!$F$99+R9))/100*Time!R20/360</f>
        <v>0.0397508148148148</v>
      </c>
      <c r="S14" s="14" t="n">
        <f aca="false">(Inputs!$F$100*(Operations!S9+S8+Inputs!$F$99+S9)/(1-Inputs!$F$91/100)+(1-Inputs!$F$100)*(Operations!S9+Inputs!$F$78+Inputs!$F$99+S9))/100*Time!S20/360</f>
        <v>0.0391563333333333</v>
      </c>
      <c r="T14" s="14" t="n">
        <f aca="false">(Inputs!$F$100*(Operations!T9+T8+Inputs!$F$99+T9)/(1-Inputs!$F$91/100)+(1-Inputs!$F$100)*(Operations!T9+Inputs!$F$78+Inputs!$F$99+T9))/100*Time!T20/360</f>
        <v>0.0398053333333333</v>
      </c>
      <c r="U14" s="14" t="n">
        <f aca="false">(Inputs!$F$100*(Operations!U9+U8+Inputs!$F$99+U9)/(1-Inputs!$F$91/100)+(1-Inputs!$F$100)*(Operations!U9+Inputs!$F$78+Inputs!$F$99+U9))/100*Time!U20/360</f>
        <v>0.0393726666666667</v>
      </c>
      <c r="V14" s="14" t="n">
        <f aca="false">(Inputs!$F$100*(Operations!V9+V8+Inputs!$F$99+V9)/(1-Inputs!$F$91/100)+(1-Inputs!$F$100)*(Operations!V9+Inputs!$F$78+Inputs!$F$99+V9))/100*Time!V20/360</f>
        <v>0.0398053333333333</v>
      </c>
      <c r="W14" s="14" t="n">
        <f aca="false">(Inputs!$F$100*(Operations!W9+W8+Inputs!$F$99+W9)/(1-Inputs!$F$91/100)+(1-Inputs!$F$100)*(Operations!W9+Inputs!$F$78+Inputs!$F$99+W9))/100*Time!W20/360</f>
        <v>0.0391563333333333</v>
      </c>
      <c r="X14" s="14" t="n">
        <f aca="false">(Inputs!$F$100*(Operations!X9+X8+Inputs!$F$99+X9)/(1-Inputs!$F$91/100)+(1-Inputs!$F$100)*(Operations!X9+Inputs!$F$78+Inputs!$F$99+X9))/100*Time!X20/360</f>
        <v>0.0398053333333333</v>
      </c>
      <c r="Y14" s="14" t="n">
        <f aca="false">(Inputs!$F$100*(Operations!Y9+Y8+Inputs!$F$99+Y9)/(1-Inputs!$F$91/100)+(1-Inputs!$F$100)*(Operations!Y9+Inputs!$F$78+Inputs!$F$99+Y9))/100*Time!Y20/360</f>
        <v>0.0408322592592593</v>
      </c>
      <c r="Z14" s="14" t="n">
        <f aca="false">(Inputs!$F$100*(Operations!Z9+Z8+Inputs!$F$99+Z9)/(1-Inputs!$F$91/100)+(1-Inputs!$F$100)*(Operations!Z9+Inputs!$F$78+Inputs!$F$99+Z9))/100*Time!Z20/360</f>
        <v>0.041509037037037</v>
      </c>
      <c r="AA14" s="14" t="n">
        <f aca="false">(Inputs!$F$100*(Operations!AA9+AA8+Inputs!$F$99+AA9)/(1-Inputs!$F$91/100)+(1-Inputs!$F$100)*(Operations!AA9+Inputs!$F$78+Inputs!$F$99+AA9))/100*Time!AA20/360</f>
        <v>0.0408322592592593</v>
      </c>
      <c r="AB14" s="14" t="n">
        <f aca="false">(Inputs!$F$100*(Operations!AB9+AB8+Inputs!$F$99+AB9)/(1-Inputs!$F$91/100)+(1-Inputs!$F$100)*(Operations!AB9+Inputs!$F$78+Inputs!$F$99+AB9))/100*Time!AB20/360</f>
        <v>0.041509037037037</v>
      </c>
      <c r="AC14" s="14" t="n">
        <f aca="false">(Inputs!$F$100*(Operations!AC9+AC8+Inputs!$F$99+AC9)/(1-Inputs!$F$91/100)+(1-Inputs!$F$100)*(Operations!AC9+Inputs!$F$78+Inputs!$F$99+AC9))/100*Time!AC20/360</f>
        <v>0.0410578518518518</v>
      </c>
      <c r="AD14" s="14" t="n">
        <f aca="false">(Inputs!$F$100*(Operations!AD9+AD8+Inputs!$F$99+AD9)/(1-Inputs!$F$91/100)+(1-Inputs!$F$100)*(Operations!AD9+Inputs!$F$78+Inputs!$F$99+AD9))/100*Time!AD20/360</f>
        <v>0.041509037037037</v>
      </c>
      <c r="AE14" s="14" t="n">
        <f aca="false">(Inputs!$F$100*(Operations!AE9+AE8+Inputs!$F$99+AE9)/(1-Inputs!$F$91/100)+(1-Inputs!$F$100)*(Operations!AE9+Inputs!$F$78+Inputs!$F$99+AE9))/100*Time!AE20/360</f>
        <v>0.0408322592592593</v>
      </c>
      <c r="AF14" s="14" t="n">
        <f aca="false">(Inputs!$F$100*(Operations!AF9+AF8+Inputs!$F$99+AF9)/(1-Inputs!$F$91/100)+(1-Inputs!$F$100)*(Operations!AF9+Inputs!$F$78+Inputs!$F$99+AF9))/100*Time!AF20/360</f>
        <v>0.041509037037037</v>
      </c>
      <c r="AG14" s="14" t="n">
        <f aca="false">(Inputs!$F$100*(Operations!AG9+AG8+Inputs!$F$99+AG9)/(1-Inputs!$F$91/100)+(1-Inputs!$F$100)*(Operations!AG9+Inputs!$F$78+Inputs!$F$99+AG9))/100*Time!AG20/360</f>
        <v>0.0425081851851852</v>
      </c>
      <c r="AH14" s="14" t="n">
        <f aca="false">(Inputs!$F$100*(Operations!AH9+AH8+Inputs!$F$99+AH9)/(1-Inputs!$F$91/100)+(1-Inputs!$F$100)*(Operations!AH9+Inputs!$F$78+Inputs!$F$99+AH9))/100*Time!AH20/360</f>
        <v>0.0432127407407407</v>
      </c>
      <c r="AI14" s="14" t="n">
        <f aca="false">(Inputs!$F$100*(Operations!AI9+AI8+Inputs!$F$99+AI9)/(1-Inputs!$F$91/100)+(1-Inputs!$F$100)*(Operations!AI9+Inputs!$F$78+Inputs!$F$99+AI9))/100*Time!AI20/360</f>
        <v>0.0425081851851852</v>
      </c>
      <c r="AJ14" s="14" t="n">
        <f aca="false">(Inputs!$F$100*(Operations!AJ9+AJ8+Inputs!$F$99+AJ9)/(1-Inputs!$F$91/100)+(1-Inputs!$F$100)*(Operations!AJ9+Inputs!$F$78+Inputs!$F$99+AJ9))/100*Time!AJ20/360</f>
        <v>0.0432127407407407</v>
      </c>
      <c r="AK14" s="14" t="n">
        <f aca="false">(Inputs!$F$100*(Operations!AK9+AK8+Inputs!$F$99+AK9)/(1-Inputs!$F$91/100)+(1-Inputs!$F$100)*(Operations!AK9+Inputs!$F$78+Inputs!$F$99+AK9))/100*Time!AK20/360</f>
        <v>0.042743037037037</v>
      </c>
      <c r="AL14" s="14" t="n">
        <f aca="false">(Inputs!$F$100*(Operations!AL9+AL8+Inputs!$F$99+AL9)/(1-Inputs!$F$91/100)+(1-Inputs!$F$100)*(Operations!AL9+Inputs!$F$78+Inputs!$F$99+AL9))/100*Time!AL20/360</f>
        <v>0.0432127407407407</v>
      </c>
      <c r="AM14" s="14" t="n">
        <f aca="false">(Inputs!$F$100*(Operations!AM9+AM8+Inputs!$F$99+AM9)/(1-Inputs!$F$91/100)+(1-Inputs!$F$100)*(Operations!AM9+Inputs!$F$78+Inputs!$F$99+AM9))/100*Time!AM20/360</f>
        <v>0.0425081851851852</v>
      </c>
      <c r="AN14" s="14" t="n">
        <f aca="false">(Inputs!$F$100*(Operations!AN9+AN8+Inputs!$F$99+AN9)/(1-Inputs!$F$91/100)+(1-Inputs!$F$100)*(Operations!AN9+Inputs!$F$78+Inputs!$F$99+AN9))/100*Time!AN20/360</f>
        <v>0.0432127407407407</v>
      </c>
      <c r="AO14" s="14" t="n">
        <f aca="false">(Inputs!$F$100*(Operations!AO9+AO8+Inputs!$F$99+AO9)/(1-Inputs!$F$91/100)+(1-Inputs!$F$100)*(Operations!AO9+Inputs!$F$78+Inputs!$F$99+AO9))/100*Time!AO20/360</f>
        <v>0.0425081851851852</v>
      </c>
      <c r="AP14" s="14" t="n">
        <f aca="false">(Inputs!$F$100*(Operations!AP9+AP8+Inputs!$F$99+AP9)/(1-Inputs!$F$91/100)+(1-Inputs!$F$100)*(Operations!AP9+Inputs!$F$78+Inputs!$F$99+AP9))/100*Time!AP20/360</f>
        <v>0.0432127407407407</v>
      </c>
      <c r="AQ14" s="14" t="n">
        <f aca="false">(Inputs!$F$100*(Operations!AQ9+AQ8+Inputs!$F$99+AQ9)/(1-Inputs!$F$91/100)+(1-Inputs!$F$100)*(Operations!AQ9+Inputs!$F$78+Inputs!$F$99+AQ9))/100*Time!AQ20/360</f>
        <v>0.0425081851851852</v>
      </c>
      <c r="AR14" s="14" t="n">
        <f aca="false">(Inputs!$F$100*(Operations!AR9+AR8+Inputs!$F$99+AR9)/(1-Inputs!$F$91/100)+(1-Inputs!$F$100)*(Operations!AR9+Inputs!$F$78+Inputs!$F$99+AR9))/100*Time!AR20/360</f>
        <v>0.0432127407407407</v>
      </c>
      <c r="AS14" s="14" t="n">
        <f aca="false">(Inputs!$F$100*(Operations!AS9+AS8+Inputs!$F$99+AS9)/(1-Inputs!$F$91/100)+(1-Inputs!$F$100)*(Operations!AS9+Inputs!$F$78+Inputs!$F$99+AS9))/100*Time!AS20/360</f>
        <v>0.042743037037037</v>
      </c>
      <c r="AT14" s="14" t="n">
        <f aca="false">(Inputs!$F$100*(Operations!AT9+AT8+Inputs!$F$99+AT9)/(1-Inputs!$F$91/100)+(1-Inputs!$F$100)*(Operations!AT9+Inputs!$F$78+Inputs!$F$99+AT9))/100*Time!AT20/360</f>
        <v>0.0432127407407407</v>
      </c>
      <c r="AU14" s="14" t="n">
        <f aca="false">(Inputs!$F$100*(Operations!AU9+AU8+Inputs!$F$99+AU9)/(1-Inputs!$F$91/100)+(1-Inputs!$F$100)*(Operations!AU9+Inputs!$F$78+Inputs!$F$99+AU9))/100*Time!AU20/360</f>
        <v>0.0425081851851852</v>
      </c>
      <c r="AV14" s="14" t="n">
        <f aca="false">(Inputs!$F$100*(Operations!AV9+AV8+Inputs!$F$99+AV9)/(1-Inputs!$F$91/100)+(1-Inputs!$F$100)*(Operations!AV9+Inputs!$F$78+Inputs!$F$99+AV9))/100*Time!AV20/360</f>
        <v>0.0432127407407407</v>
      </c>
      <c r="AW14" s="14" t="n">
        <f aca="false">(Inputs!$F$100*(Operations!AW9+AW8+Inputs!$F$99+AW9)/(1-Inputs!$F$91/100)+(1-Inputs!$F$100)*(Operations!AW9+Inputs!$F$78+Inputs!$F$99+AW9))/100*Time!AW20/360</f>
        <v>0.0425081851851852</v>
      </c>
      <c r="AX14" s="14" t="n">
        <f aca="false">(Inputs!$F$100*(Operations!AX9+AX8+Inputs!$F$99+AX9)/(1-Inputs!$F$91/100)+(1-Inputs!$F$100)*(Operations!AX9+Inputs!$F$78+Inputs!$F$99+AX9))/100*Time!AX20/360</f>
        <v>0.0432127407407407</v>
      </c>
      <c r="AY14" s="14" t="n">
        <f aca="false">(Inputs!$F$100*(Operations!AY9+AY8+Inputs!$F$99+AY9)/(1-Inputs!$F$91/100)+(1-Inputs!$F$100)*(Operations!AY9+Inputs!$F$78+Inputs!$F$99+AY9))/100*Time!AY20/360</f>
        <v>0.0425081851851852</v>
      </c>
      <c r="AZ14" s="14" t="n">
        <f aca="false">(Inputs!$F$100*(Operations!AZ9+AZ8+Inputs!$F$99+AZ9)/(1-Inputs!$F$91/100)+(1-Inputs!$F$100)*(Operations!AZ9+Inputs!$F$78+Inputs!$F$99+AZ9))/100*Time!AZ20/360</f>
        <v>0.0432127407407407</v>
      </c>
      <c r="BA14" s="14" t="n">
        <f aca="false">(Inputs!$F$100*(Operations!BA9+BA8+Inputs!$F$99+BA9)/(1-Inputs!$F$91/100)+(1-Inputs!$F$100)*(Operations!BA9+Inputs!$F$78+Inputs!$F$99+BA9))/100*Time!BA20/360</f>
        <v>0.042743037037037</v>
      </c>
      <c r="BB14" s="14" t="n">
        <f aca="false">(Inputs!$F$100*(Operations!BB9+BB8+Inputs!$F$99+BB9)/(1-Inputs!$F$91/100)+(1-Inputs!$F$100)*(Operations!BB9+Inputs!$F$78+Inputs!$F$99+BB9))/100*Time!BB20/360</f>
        <v>0.0432127407407407</v>
      </c>
      <c r="BC14" s="14" t="n">
        <f aca="false">(Inputs!$F$100*(Operations!BC9+BC8+Inputs!$F$99+BC9)/(1-Inputs!$F$91/100)+(1-Inputs!$F$100)*(Operations!BC9+Inputs!$F$78+Inputs!$F$99+BC9))/100*Time!BC20/360</f>
        <v>0.0425081851851852</v>
      </c>
      <c r="BD14" s="14" t="n">
        <f aca="false">(Inputs!$F$100*(Operations!BD9+BD8+Inputs!$F$99+BD9)/(1-Inputs!$F$91/100)+(1-Inputs!$F$100)*(Operations!BD9+Inputs!$F$78+Inputs!$F$99+BD9))/100*Time!BD20/360</f>
        <v>0.0432127407407407</v>
      </c>
      <c r="BE14" s="14" t="n">
        <f aca="false">(Inputs!$F$100*(Operations!BE9+BE8+Inputs!$F$99+BE9)/(1-Inputs!$F$91/100)+(1-Inputs!$F$100)*(Operations!BE9+Inputs!$F$78+Inputs!$F$99+BE9))/100*Time!BE20/360</f>
        <v>0.0425081851851852</v>
      </c>
      <c r="BF14" s="14" t="n">
        <f aca="false">(Inputs!$F$100*(Operations!BF9+BF8+Inputs!$F$99+BF9)/(1-Inputs!$F$91/100)+(1-Inputs!$F$100)*(Operations!BF9+Inputs!$F$78+Inputs!$F$99+BF9))/100*Time!BF20/360</f>
        <v>0.0432127407407407</v>
      </c>
      <c r="BG14" s="14" t="n">
        <f aca="false">(Inputs!$F$100*(Operations!BG9+BG8+Inputs!$F$99+BG9)/(1-Inputs!$F$91/100)+(1-Inputs!$F$100)*(Operations!BG9+Inputs!$F$78+Inputs!$F$99+BG9))/100*Time!BG20/360</f>
        <v>0.0425081851851852</v>
      </c>
      <c r="BH14" s="14" t="n">
        <f aca="false">(Inputs!$F$100*(Operations!BH9+BH8+Inputs!$F$99+BH9)/(1-Inputs!$F$91/100)+(1-Inputs!$F$100)*(Operations!BH9+Inputs!$F$78+Inputs!$F$99+BH9))/100*Time!BH20/360</f>
        <v>0.0432127407407407</v>
      </c>
      <c r="BI14" s="14" t="n">
        <f aca="false">(Inputs!$F$100*(Operations!BI9+BI8+Inputs!$F$99+BI9)/(1-Inputs!$F$91/100)+(1-Inputs!$F$100)*(Operations!BI9+Inputs!$F$78+Inputs!$F$99+BI9))/100*Time!BI20/360</f>
        <v>0.042743037037037</v>
      </c>
      <c r="BJ14" s="14" t="n">
        <f aca="false">(Inputs!$F$100*(Operations!BJ9+BJ8+Inputs!$F$99+BJ9)/(1-Inputs!$F$91/100)+(1-Inputs!$F$100)*(Operations!BJ9+Inputs!$F$78+Inputs!$F$99+BJ9))/100*Time!BJ20/360</f>
        <v>0.0432127407407407</v>
      </c>
      <c r="BK14" s="14" t="n">
        <f aca="false">(Inputs!$F$100*(Operations!BK9+BK8+Inputs!$F$99+BK9)/(1-Inputs!$F$91/100)+(1-Inputs!$F$100)*(Operations!BK9+Inputs!$F$78+Inputs!$F$99+BK9))/100*Time!BK20/360</f>
        <v>0.0425081851851852</v>
      </c>
      <c r="BL14" s="14" t="n">
        <f aca="false">(Inputs!$F$100*(Operations!BL9+BL8+Inputs!$F$99+BL9)/(1-Inputs!$F$91/100)+(1-Inputs!$F$100)*(Operations!BL9+Inputs!$F$78+Inputs!$F$99+BL9))/100*Time!BL20/360</f>
        <v>0.0432127407407407</v>
      </c>
      <c r="BM14" s="14" t="n">
        <f aca="false">(Inputs!$F$100*(Operations!BM9+BM8+Inputs!$F$99+BM9)/(1-Inputs!$F$91/100)+(1-Inputs!$F$100)*(Operations!BM9+Inputs!$F$78+Inputs!$F$99+BM9))/100*Time!BM20/360</f>
        <v>0.0425081851851852</v>
      </c>
      <c r="BN14" s="14" t="n">
        <f aca="false">(Inputs!$F$100*(Operations!BN9+BN8+Inputs!$F$99+BN9)/(1-Inputs!$F$91/100)+(1-Inputs!$F$100)*(Operations!BN9+Inputs!$F$78+Inputs!$F$99+BN9))/100*Time!BN20/360</f>
        <v>0.0432127407407407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0.024460432114308</v>
      </c>
      <c r="Q17" s="10" t="n">
        <f aca="false">IF(Inputs!$F$46=1,Inputs!Q219,Inputs!Q220)</f>
        <v>0.0254956399199363</v>
      </c>
      <c r="R17" s="10" t="n">
        <f aca="false">IF(Inputs!$F$46=1,Inputs!R219,Inputs!R220)</f>
        <v>0.0267515222906662</v>
      </c>
      <c r="S17" s="10" t="n">
        <f aca="false">IF(Inputs!$F$46=1,Inputs!S219,Inputs!S220)</f>
        <v>0.0275398463746851</v>
      </c>
      <c r="T17" s="10" t="n">
        <f aca="false">IF(Inputs!$F$46=1,Inputs!T219,Inputs!T220)</f>
        <v>0.0288066694390464</v>
      </c>
      <c r="U17" s="10" t="n">
        <f aca="false">IF(Inputs!$F$46=1,Inputs!U219,Inputs!U220)</f>
        <v>0.0297253648392077</v>
      </c>
      <c r="V17" s="10" t="n">
        <f aca="false">IF(Inputs!$F$46=1,Inputs!V219,Inputs!V220)</f>
        <v>0.0316673019225092</v>
      </c>
      <c r="W17" s="10" t="n">
        <f aca="false">IF(Inputs!$F$46=1,Inputs!W219,Inputs!W220)</f>
        <v>0.0326353519070817</v>
      </c>
      <c r="X17" s="10" t="n">
        <f aca="false">IF(Inputs!$F$46=1,Inputs!X219,Inputs!X220)</f>
        <v>0.0317294685115491</v>
      </c>
      <c r="Y17" s="10" t="n">
        <f aca="false">IF(Inputs!$F$46=1,Inputs!Y219,Inputs!Y220)</f>
        <v>0.0317443987963029</v>
      </c>
      <c r="Z17" s="10" t="n">
        <f aca="false">IF(Inputs!$F$46=1,Inputs!Z219,Inputs!Z220)</f>
        <v>0.0330595043187038</v>
      </c>
      <c r="AA17" s="10" t="n">
        <f aca="false">IF(Inputs!$F$46=1,Inputs!AA219,Inputs!AA220)</f>
        <v>0.0340242635392698</v>
      </c>
      <c r="AB17" s="10" t="n">
        <f aca="false">IF(Inputs!$F$46=1,Inputs!AB219,Inputs!AB220)</f>
        <v>0.035649748512346</v>
      </c>
      <c r="AC17" s="10" t="n">
        <f aca="false">IF(Inputs!$F$46=1,Inputs!AC219,Inputs!AC220)</f>
        <v>0.036830769646369</v>
      </c>
      <c r="AD17" s="10" t="n">
        <f aca="false">IF(Inputs!$F$46=1,Inputs!AD219,Inputs!AD220)</f>
        <v>0.0402165127561107</v>
      </c>
      <c r="AE17" s="10" t="n">
        <f aca="false">IF(Inputs!$F$46=1,Inputs!AE219,Inputs!AE220)</f>
        <v>0.0419450401653678</v>
      </c>
      <c r="AF17" s="10" t="n">
        <f aca="false">IF(Inputs!$F$46=1,Inputs!AF219,Inputs!AF220)</f>
        <v>0.0434165471296656</v>
      </c>
      <c r="AG17" s="10" t="n">
        <f aca="false">IF(Inputs!$F$46=1,Inputs!AG219,Inputs!AG220)</f>
        <v>0.0442268395359645</v>
      </c>
      <c r="AH17" s="10" t="n">
        <f aca="false">IF(Inputs!$F$46=1,Inputs!AH219,Inputs!AH220)</f>
        <v>0.0464470950071792</v>
      </c>
      <c r="AI17" s="10" t="n">
        <f aca="false">IF(Inputs!$F$46=1,Inputs!AI219,Inputs!AI220)</f>
        <v>0.0478108988283702</v>
      </c>
      <c r="AJ17" s="10" t="n">
        <f aca="false">IF(Inputs!$F$46=1,Inputs!AJ219,Inputs!AJ220)</f>
        <v>0.0501190973065472</v>
      </c>
      <c r="AK17" s="10" t="n">
        <f aca="false">IF(Inputs!$F$46=1,Inputs!AK219,Inputs!AK220)</f>
        <v>0.0517413637371501</v>
      </c>
      <c r="AL17" s="10" t="n">
        <f aca="false">IF(Inputs!$F$46=1,Inputs!AL219,Inputs!AL220)</f>
        <v>0.0548633733406637</v>
      </c>
      <c r="AM17" s="10" t="n">
        <f aca="false">IF(Inputs!$F$46=1,Inputs!AM219,Inputs!AM220)</f>
        <v>0.0560037067338176</v>
      </c>
      <c r="AN17" s="10" t="n">
        <f aca="false">IF(Inputs!$F$46=1,Inputs!AN219,Inputs!AN220)</f>
        <v>0.0462023932183935</v>
      </c>
      <c r="AO17" s="10" t="n">
        <f aca="false">IF(Inputs!$F$46=1,Inputs!AO219,Inputs!AO220)</f>
        <v>0.0468868501087888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0.975539567885692</v>
      </c>
      <c r="R18" s="10" t="n">
        <f aca="false">SUM(R17:BN17)</f>
        <v>0.950043927965756</v>
      </c>
      <c r="S18" s="10" t="n">
        <f aca="false">SUM(S17:BN17)</f>
        <v>0.92329240567509</v>
      </c>
      <c r="T18" s="10" t="n">
        <f aca="false">SUM(T17:BN17)</f>
        <v>0.895752559300404</v>
      </c>
      <c r="U18" s="10" t="n">
        <f aca="false">SUM(U17:BN17)</f>
        <v>0.866945889861358</v>
      </c>
      <c r="V18" s="10" t="n">
        <f aca="false">SUM(V17:BN17)</f>
        <v>0.83722052502215</v>
      </c>
      <c r="W18" s="10" t="n">
        <f aca="false">SUM(W17:BN17)</f>
        <v>0.805553223099641</v>
      </c>
      <c r="X18" s="10" t="n">
        <f aca="false">SUM(X17:BN17)</f>
        <v>0.772917871192559</v>
      </c>
      <c r="Y18" s="10" t="n">
        <f aca="false">SUM(Y17:BN17)</f>
        <v>0.74118840268101</v>
      </c>
      <c r="Z18" s="10" t="n">
        <f aca="false">SUM(Z17:BN17)</f>
        <v>0.709444003884707</v>
      </c>
      <c r="AA18" s="10" t="n">
        <f aca="false">SUM(AA17:BN17)</f>
        <v>0.676384499566004</v>
      </c>
      <c r="AB18" s="10" t="n">
        <f aca="false">SUM(AB17:BN17)</f>
        <v>0.642360236026734</v>
      </c>
      <c r="AC18" s="10" t="n">
        <f aca="false">SUM(AC17:BN17)</f>
        <v>0.606710487514388</v>
      </c>
      <c r="AD18" s="10" t="n">
        <f aca="false">SUM(AD17:BN17)</f>
        <v>0.569879717868019</v>
      </c>
      <c r="AE18" s="10" t="n">
        <f aca="false">SUM(AE17:BN17)</f>
        <v>0.529663205111908</v>
      </c>
      <c r="AF18" s="10" t="n">
        <f aca="false">SUM(AF17:BN17)</f>
        <v>0.48771816494654</v>
      </c>
      <c r="AG18" s="10" t="n">
        <f aca="false">SUM(AG17:BN17)</f>
        <v>0.444301617816875</v>
      </c>
      <c r="AH18" s="10" t="n">
        <f aca="false">SUM(AH17:BN17)</f>
        <v>0.40007477828091</v>
      </c>
      <c r="AI18" s="10" t="n">
        <f aca="false">SUM(AI17:BN17)</f>
        <v>0.353627683273731</v>
      </c>
      <c r="AJ18" s="10" t="n">
        <f aca="false">SUM(AJ17:BN17)</f>
        <v>0.305816784445361</v>
      </c>
      <c r="AK18" s="10" t="n">
        <f aca="false">SUM(AK17:BN17)</f>
        <v>0.255697687138814</v>
      </c>
      <c r="AL18" s="10" t="n">
        <f aca="false">SUM(AL17:BN17)</f>
        <v>0.203956323401664</v>
      </c>
      <c r="AM18" s="10" t="n">
        <f aca="false">SUM(AM17:BN17)</f>
        <v>0.149092950061</v>
      </c>
      <c r="AN18" s="10" t="n">
        <f aca="false">SUM(AN17:BN17)</f>
        <v>0.0930892433271823</v>
      </c>
      <c r="AO18" s="10" t="n">
        <f aca="false">SUM(AO17:BN17)</f>
        <v>0.0468868501087888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0.024460432114308</v>
      </c>
      <c r="Q19" s="10" t="n">
        <f aca="false">IF(Q18&gt;0.000000000001,Q17/Q18,0)</f>
        <v>0.026134911139682</v>
      </c>
      <c r="R19" s="10" t="n">
        <f aca="false">IF(R18&gt;0.000000000001,R17/R18,0)</f>
        <v>0.0281581951141426</v>
      </c>
      <c r="S19" s="10" t="n">
        <f aca="false">IF(S18&gt;0.000000000001,S17/S18,0)</f>
        <v>0.02982787056994</v>
      </c>
      <c r="T19" s="10" t="n">
        <f aca="false">IF(T18&gt;0.000000000001,T17/T18,0)</f>
        <v>0.0321591818409593</v>
      </c>
      <c r="U19" s="10" t="n">
        <f aca="false">IF(U18&gt;0.000000000001,U17/U18,0)</f>
        <v>0.0342874511394955</v>
      </c>
      <c r="V19" s="10" t="n">
        <f aca="false">IF(V18&gt;0.000000000001,V17/V18,0)</f>
        <v>0.0378243258210511</v>
      </c>
      <c r="W19" s="10" t="n">
        <f aca="false">IF(W18&gt;0.000000000001,W17/W18,0)</f>
        <v>0.0405129679470539</v>
      </c>
      <c r="X19" s="10" t="n">
        <f aca="false">IF(X18&gt;0.000000000001,X17/X18,0)</f>
        <v>0.0410515394896908</v>
      </c>
      <c r="Y19" s="10" t="n">
        <f aca="false">IF(Y18&gt;0.000000000001,Y17/Y18,0)</f>
        <v>0.0428290549089513</v>
      </c>
      <c r="Z19" s="10" t="n">
        <f aca="false">IF(Z18&gt;0.000000000001,Z17/Z18,0)</f>
        <v>0.0465991736312938</v>
      </c>
      <c r="AA19" s="10" t="n">
        <f aca="false">IF(AA18&gt;0.000000000001,AA17/AA18,0)</f>
        <v>0.0503031390593681</v>
      </c>
      <c r="AB19" s="10" t="n">
        <f aca="false">IF(AB18&gt;0.000000000001,AB17/AB18,0)</f>
        <v>0.0554980624779245</v>
      </c>
      <c r="AC19" s="10" t="n">
        <f aca="false">IF(AC18&gt;0.000000000001,AC17/AC18,0)</f>
        <v>0.0607056749542269</v>
      </c>
      <c r="AD19" s="10" t="n">
        <f aca="false">IF(AD18&gt;0.000000000001,AD17/AD18,0)</f>
        <v>0.0705701773464846</v>
      </c>
      <c r="AE19" s="10" t="n">
        <f aca="false">IF(AE18&gt;0.000000000001,AE17/AE18,0)</f>
        <v>0.0791919086705401</v>
      </c>
      <c r="AF19" s="10" t="n">
        <f aca="false">IF(AF18&gt;0.000000000001,AF17/AF18,0)</f>
        <v>0.0890197459313916</v>
      </c>
      <c r="AG19" s="10" t="n">
        <f aca="false">IF(AG18&gt;0.000000000001,AG17/AG18,0)</f>
        <v>0.0995423778857209</v>
      </c>
      <c r="AH19" s="10" t="n">
        <f aca="false">IF(AH18&gt;0.000000000001,AH17/AH18,0)</f>
        <v>0.116096033863366</v>
      </c>
      <c r="AI19" s="10" t="n">
        <f aca="false">IF(AI18&gt;0.000000000001,AI17/AI18,0)</f>
        <v>0.135201233075866</v>
      </c>
      <c r="AJ19" s="10" t="n">
        <f aca="false">IF(AJ18&gt;0.000000000001,AJ17/AJ18,0)</f>
        <v>0.163886025410426</v>
      </c>
      <c r="AK19" s="10" t="n">
        <f aca="false">IF(AK18&gt;0.000000000001,AK17/AK18,0)</f>
        <v>0.202353663484882</v>
      </c>
      <c r="AL19" s="10" t="n">
        <f aca="false">IF(AL18&gt;0.000000000001,AL17/AL18,0)</f>
        <v>0.26899569685132</v>
      </c>
      <c r="AM19" s="10" t="n">
        <f aca="false">IF(AM18&gt;0.000000000001,AM17/AM18,0)</f>
        <v>0.375629476181833</v>
      </c>
      <c r="AN19" s="10" t="n">
        <f aca="false">IF(AN18&gt;0.000000000001,AN17/AN18,0)</f>
        <v>0.496323652089481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Inputs!$F$49*IF(Time!J17=15,1,0)</f>
        <v>0</v>
      </c>
      <c r="K20" s="9" t="n">
        <f aca="false">Inputs!$F$49*IF(Time!K17=15,1,0)</f>
        <v>0</v>
      </c>
      <c r="L20" s="9" t="n">
        <f aca="false">Inputs!$F$49*IF(Time!L17=15,1,0)</f>
        <v>0</v>
      </c>
      <c r="M20" s="9" t="n">
        <f aca="false">Inputs!$F$49*IF(Time!M17=15,1,0)</f>
        <v>0</v>
      </c>
      <c r="N20" s="9" t="n">
        <f aca="false">Inputs!$F$49*IF(Time!N17=15,1,0)</f>
        <v>0</v>
      </c>
      <c r="O20" s="9" t="n">
        <f aca="false">Inputs!$F$49*IF(Time!O17=15,1,0)</f>
        <v>0</v>
      </c>
      <c r="P20" s="9" t="n">
        <f aca="false">Inputs!$F$49*IF(Time!P17=15,1,0)</f>
        <v>0</v>
      </c>
      <c r="Q20" s="9" t="n">
        <f aca="false">Inputs!$F$49*IF(Time!Q17=15,1,0)</f>
        <v>0</v>
      </c>
      <c r="R20" s="9" t="n">
        <f aca="false">Inputs!$F$49*IF(Time!R17=15,1,0)</f>
        <v>0</v>
      </c>
      <c r="S20" s="9" t="n">
        <f aca="false">Inputs!$F$49*IF(Time!S17=15,1,0)</f>
        <v>0</v>
      </c>
      <c r="T20" s="9" t="n">
        <f aca="false">Inputs!$F$49*IF(Time!T17=15,1,0)</f>
        <v>0</v>
      </c>
      <c r="U20" s="9" t="n">
        <f aca="false">Inputs!$F$49*IF(Time!U17=15,1,0)</f>
        <v>0</v>
      </c>
      <c r="V20" s="9" t="n">
        <f aca="false">Inputs!$F$49*IF(Time!V17=15,1,0)</f>
        <v>0</v>
      </c>
      <c r="W20" s="9" t="n">
        <f aca="false">Inputs!$F$49*IF(Time!W17=15,1,0)</f>
        <v>0</v>
      </c>
      <c r="X20" s="9" t="n">
        <f aca="false">Inputs!$F$49*IF(Time!X17=15,1,0)</f>
        <v>0</v>
      </c>
      <c r="Y20" s="9" t="n">
        <f aca="false">Inputs!$F$49*IF(Time!Y17=15,1,0)</f>
        <v>0</v>
      </c>
      <c r="Z20" s="9" t="n">
        <f aca="false">Inputs!$F$49*IF(Time!Z17=15,1,0)</f>
        <v>0</v>
      </c>
      <c r="AA20" s="9" t="n">
        <f aca="false">Inputs!$F$49*IF(Time!AA17=15,1,0)</f>
        <v>0</v>
      </c>
      <c r="AB20" s="9" t="n">
        <f aca="false">Inputs!$F$49*IF(Time!AB17=15,1,0)</f>
        <v>0</v>
      </c>
      <c r="AC20" s="9" t="n">
        <f aca="false">Inputs!$F$49*IF(Time!AC17=15,1,0)</f>
        <v>0</v>
      </c>
      <c r="AD20" s="9" t="n">
        <f aca="false">Inputs!$F$49*IF(Time!AD17=15,1,0)</f>
        <v>0</v>
      </c>
      <c r="AE20" s="9" t="n">
        <f aca="false">Inputs!$F$49*IF(Time!AE17=15,1,0)</f>
        <v>0</v>
      </c>
      <c r="AF20" s="9" t="n">
        <f aca="false">Inputs!$F$49*IF(Time!AF17=15,1,0)</f>
        <v>0</v>
      </c>
      <c r="AG20" s="9" t="n">
        <f aca="false">Inputs!$F$49*IF(Time!AG17=15,1,0)</f>
        <v>0</v>
      </c>
      <c r="AH20" s="9" t="n">
        <f aca="false">Inputs!$F$49*IF(Time!AH17=15,1,0)</f>
        <v>0</v>
      </c>
      <c r="AI20" s="9" t="n">
        <f aca="false">Inputs!$F$49*IF(Time!AI17=15,1,0)</f>
        <v>0</v>
      </c>
      <c r="AJ20" s="9" t="n">
        <f aca="false">Inputs!$F$49*IF(Time!AJ17=15,1,0)</f>
        <v>0</v>
      </c>
      <c r="AK20" s="9" t="n">
        <f aca="false">Inputs!$F$49*IF(Time!AK17=15,1,0)</f>
        <v>0</v>
      </c>
      <c r="AL20" s="9" t="n">
        <f aca="false">Inputs!$F$49*IF(Time!AL17=15,1,0)</f>
        <v>0</v>
      </c>
      <c r="AM20" s="9" t="n">
        <f aca="false">Inputs!$F$49*IF(Time!AM17=15,1,0)</f>
        <v>0</v>
      </c>
      <c r="AN20" s="9" t="n">
        <f aca="false">Inputs!$F$49*IF(Time!AN17=15,1,0)</f>
        <v>0</v>
      </c>
      <c r="AO20" s="9" t="n">
        <f aca="false">Inputs!$F$49*IF(Time!AO17=15,1,0)</f>
        <v>0</v>
      </c>
      <c r="AP20" s="9" t="n">
        <f aca="false">Inputs!$F$49*IF(Time!AP17=15,1,0)</f>
        <v>0</v>
      </c>
      <c r="AQ20" s="9" t="n">
        <f aca="false">Inputs!$F$49*IF(Time!AQ17=15,1,0)</f>
        <v>0</v>
      </c>
      <c r="AR20" s="9" t="n">
        <f aca="false">Inputs!$F$49*IF(Time!AR17=15,1,0)</f>
        <v>0</v>
      </c>
      <c r="AS20" s="9" t="n">
        <f aca="false">Inputs!$F$49*IF(Time!AS17=15,1,0)</f>
        <v>0</v>
      </c>
      <c r="AT20" s="9" t="n">
        <f aca="false">Inputs!$F$49*IF(Time!AT17=15,1,0)</f>
        <v>0</v>
      </c>
      <c r="AU20" s="9" t="n">
        <f aca="false">Inputs!$F$49*IF(Time!AU17=15,1,0)</f>
        <v>0</v>
      </c>
      <c r="AV20" s="9" t="n">
        <f aca="false">Inputs!$F$49*IF(Time!AV17=15,1,0)</f>
        <v>0</v>
      </c>
      <c r="AW20" s="9" t="n">
        <f aca="false">Inputs!$F$49*IF(Time!AW17=15,1,0)</f>
        <v>0</v>
      </c>
      <c r="AX20" s="9" t="n">
        <f aca="false">Inputs!$F$49*IF(Time!AX17=15,1,0)</f>
        <v>0</v>
      </c>
      <c r="AY20" s="9" t="n">
        <f aca="false">Inputs!$F$49*IF(Time!AY17=15,1,0)</f>
        <v>0</v>
      </c>
      <c r="AZ20" s="9" t="n">
        <f aca="false">Inputs!$F$49*IF(Time!AZ17=15,1,0)</f>
        <v>0</v>
      </c>
      <c r="BA20" s="9" t="n">
        <f aca="false">Inputs!$F$49*IF(Time!BA17=15,1,0)</f>
        <v>0</v>
      </c>
      <c r="BB20" s="9" t="n">
        <f aca="false">Inputs!$F$49*IF(Time!BB17=15,1,0)</f>
        <v>0</v>
      </c>
      <c r="BC20" s="9" t="n">
        <f aca="false">Inputs!$F$49*IF(Time!BC17=15,1,0)</f>
        <v>0</v>
      </c>
      <c r="BD20" s="9" t="n">
        <f aca="false">Inputs!$F$49*IF(Time!BD17=15,1,0)</f>
        <v>0</v>
      </c>
      <c r="BE20" s="9" t="n">
        <f aca="false">Inputs!$F$49*IF(Time!BE17=15,1,0)</f>
        <v>0</v>
      </c>
      <c r="BF20" s="9" t="n">
        <f aca="false">Inputs!$F$49*IF(Time!BF17=15,1,0)</f>
        <v>0</v>
      </c>
      <c r="BG20" s="9" t="n">
        <f aca="false">Inputs!$F$49*IF(Time!BG17=15,1,0)</f>
        <v>0</v>
      </c>
      <c r="BH20" s="9" t="n">
        <f aca="false">Inputs!$F$49*IF(Time!BH17=15,1,0)</f>
        <v>0</v>
      </c>
      <c r="BI20" s="9" t="n">
        <f aca="false">Inputs!$F$49*IF(Time!BI17=15,1,0)</f>
        <v>0</v>
      </c>
      <c r="BJ20" s="9" t="n">
        <f aca="false">Inputs!$F$49*IF(Time!BJ17=15,1,0)</f>
        <v>0</v>
      </c>
      <c r="BK20" s="9" t="n">
        <f aca="false">Inputs!$F$49*IF(Time!BK17=15,1,0)</f>
        <v>0</v>
      </c>
      <c r="BL20" s="9" t="n">
        <f aca="false">Inputs!$F$49*IF(Time!BL17=15,1,0)</f>
        <v>0</v>
      </c>
      <c r="BM20" s="9" t="n">
        <f aca="false">Inputs!$F$49*IF(Time!BM17=15,1,0)</f>
        <v>0</v>
      </c>
      <c r="BN20" s="9" t="n">
        <f aca="false">Inputs!$F$49*IF(Time!BN17=15,1,0)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0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0</v>
      </c>
      <c r="Q25" s="11" t="n">
        <f aca="false">Time!Q30*P38</f>
        <v>197.321999523981</v>
      </c>
      <c r="R25" s="11" t="n">
        <f aca="false">Time!R30*Q38</f>
        <v>192.165006600517</v>
      </c>
      <c r="S25" s="11" t="n">
        <f aca="false">Time!S30*R38</f>
        <v>186.753986850549</v>
      </c>
      <c r="T25" s="11" t="n">
        <f aca="false">Time!T30*S38</f>
        <v>181.183513102351</v>
      </c>
      <c r="U25" s="11" t="n">
        <f aca="false">Time!U30*T38</f>
        <v>175.356799557908</v>
      </c>
      <c r="V25" s="11" t="n">
        <f aca="false">Time!V30*U38</f>
        <v>169.344261861088</v>
      </c>
      <c r="W25" s="11" t="n">
        <f aca="false">Time!W30*V38</f>
        <v>162.938929324529</v>
      </c>
      <c r="X25" s="11" t="n">
        <f aca="false">Time!X30*W38</f>
        <v>156.337789703477</v>
      </c>
      <c r="Y25" s="11" t="n">
        <f aca="false">Time!Y30*X38</f>
        <v>149.919882755734</v>
      </c>
      <c r="Z25" s="11" t="n">
        <f aca="false">Time!Z30*Y38</f>
        <v>143.498955865245</v>
      </c>
      <c r="AA25" s="11" t="n">
        <f aca="false">Time!AA30*Z38</f>
        <v>136.812023104971</v>
      </c>
      <c r="AB25" s="11" t="n">
        <f aca="false">Time!AB30*AA38</f>
        <v>129.929948881728</v>
      </c>
      <c r="AC25" s="11" t="n">
        <f aca="false">Time!AC30*AB38</f>
        <v>122.719088460937</v>
      </c>
      <c r="AD25" s="11" t="n">
        <f aca="false">Time!AD30*AC38</f>
        <v>115.269343366148</v>
      </c>
      <c r="AE25" s="11" t="n">
        <f aca="false">Time!AE30*AD38</f>
        <v>107.134765362186</v>
      </c>
      <c r="AF25" s="11" t="n">
        <f aca="false">Time!AF30*AE38</f>
        <v>98.650558808184</v>
      </c>
      <c r="AG25" s="11" t="n">
        <f aca="false">Time!AG30*AF38</f>
        <v>89.8687111270897</v>
      </c>
      <c r="AH25" s="11" t="n">
        <f aca="false">Time!AH30*AG38</f>
        <v>80.9229659239743</v>
      </c>
      <c r="AI25" s="11" t="n">
        <f aca="false">Time!AI30*AH38</f>
        <v>71.5281305317405</v>
      </c>
      <c r="AJ25" s="11" t="n">
        <f aca="false">Time!AJ30*AI38</f>
        <v>61.8574390842377</v>
      </c>
      <c r="AK25" s="11" t="n">
        <f aca="false">Time!AK30*AJ38</f>
        <v>51.7198692506544</v>
      </c>
      <c r="AL25" s="11" t="n">
        <f aca="false">Time!AL30*AK38</f>
        <v>41.2541642328254</v>
      </c>
      <c r="AM25" s="11" t="n">
        <f aca="false">Time!AM30*AL38</f>
        <v>30.1569715769977</v>
      </c>
      <c r="AN25" s="11" t="n">
        <f aca="false">Time!AN30*AM38</f>
        <v>18.8291241402997</v>
      </c>
      <c r="AO25" s="11" t="n">
        <f aca="false">Time!AO30*AN38</f>
        <v>9.48378448133992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65.2883138932964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0</v>
      </c>
      <c r="Q27" s="11" t="n">
        <f aca="false">Q25*Q10</f>
        <v>4.42472659265913</v>
      </c>
      <c r="R27" s="11" t="n">
        <f aca="false">R25*R10</f>
        <v>4.38050808379578</v>
      </c>
      <c r="S27" s="11" t="n">
        <f aca="false">S25*S10</f>
        <v>4.19714022614371</v>
      </c>
      <c r="T27" s="11" t="n">
        <f aca="false">T25*T10</f>
        <v>4.13943932934504</v>
      </c>
      <c r="U27" s="11" t="n">
        <f aca="false">U25*U10</f>
        <v>3.96277140867613</v>
      </c>
      <c r="V27" s="11" t="n">
        <f aca="false">V25*V10</f>
        <v>3.868951902653</v>
      </c>
      <c r="W27" s="11" t="n">
        <f aca="false">W25*W10</f>
        <v>3.66191665412769</v>
      </c>
      <c r="X27" s="11" t="n">
        <f aca="false">X25*X10</f>
        <v>3.57179736875877</v>
      </c>
      <c r="Y27" s="11" t="n">
        <f aca="false">Y25*Y10</f>
        <v>3.36932443169949</v>
      </c>
      <c r="Z27" s="11" t="n">
        <f aca="false">Z25*Z10</f>
        <v>3.27847281166796</v>
      </c>
      <c r="AA27" s="11" t="n">
        <f aca="false">AA25*AA10</f>
        <v>3.07473620926497</v>
      </c>
      <c r="AB27" s="11" t="n">
        <f aca="false">AB25*AB10</f>
        <v>2.96846623211788</v>
      </c>
      <c r="AC27" s="11" t="n">
        <f aca="false">AC25*AC10</f>
        <v>2.77324686740306</v>
      </c>
      <c r="AD27" s="11" t="n">
        <f aca="false">AD25*AD10</f>
        <v>2.63352026477193</v>
      </c>
      <c r="AE27" s="11" t="n">
        <f aca="false">AE25*AE10</f>
        <v>2.407764572544</v>
      </c>
      <c r="AF27" s="11" t="n">
        <f aca="false">AF25*AF10</f>
        <v>2.25383643357098</v>
      </c>
      <c r="AG27" s="11" t="n">
        <f aca="false">AG25*AG10</f>
        <v>2.01972439198874</v>
      </c>
      <c r="AH27" s="11" t="n">
        <f aca="false">AH25*AH10</f>
        <v>1.84882002814307</v>
      </c>
      <c r="AI27" s="11" t="n">
        <f aca="false">AI25*AI10</f>
        <v>1.60753512692543</v>
      </c>
      <c r="AJ27" s="11" t="n">
        <f aca="false">AJ25*AJ10</f>
        <v>1.41323629161122</v>
      </c>
      <c r="AK27" s="11" t="n">
        <f aca="false">AK25*AK10</f>
        <v>1.16878284528271</v>
      </c>
      <c r="AL27" s="11" t="n">
        <f aca="false">AL25*AL10</f>
        <v>0.942520138839285</v>
      </c>
      <c r="AM27" s="11" t="n">
        <f aca="false">AM25*AM10</f>
        <v>0.677752805383377</v>
      </c>
      <c r="AN27" s="11" t="n">
        <f aca="false">AN25*AN10</f>
        <v>0.430182722858713</v>
      </c>
      <c r="AO27" s="11" t="n">
        <f aca="false">AO25*AO10</f>
        <v>0.21314015306438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197.321999523981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0</v>
      </c>
      <c r="Q28" s="11" t="n">
        <f aca="false">Time!Q30*(Q25-Q26)*Q19</f>
        <v>5.1569929234636</v>
      </c>
      <c r="R28" s="11" t="n">
        <f aca="false">Time!R30*(R25-R26)*R19</f>
        <v>5.41101974996786</v>
      </c>
      <c r="S28" s="11" t="n">
        <f aca="false">Time!S30*(S25-S26)*S19</f>
        <v>5.57047374819846</v>
      </c>
      <c r="T28" s="11" t="n">
        <f aca="false">Time!T30*(T25-T26)*T19</f>
        <v>5.82671354444233</v>
      </c>
      <c r="U28" s="11" t="n">
        <f aca="false">Time!U30*(U25-U26)*U19</f>
        <v>6.01253769682008</v>
      </c>
      <c r="V28" s="11" t="n">
        <f aca="false">Time!V30*(V25-V26)*V19</f>
        <v>6.40533253655919</v>
      </c>
      <c r="W28" s="11" t="n">
        <f aca="false">Time!W30*(W25-W26)*W19</f>
        <v>6.60113962105192</v>
      </c>
      <c r="X28" s="11" t="n">
        <f aca="false">Time!X30*(X25-X26)*X19</f>
        <v>6.41790694774327</v>
      </c>
      <c r="Y28" s="11" t="n">
        <f aca="false">Time!Y30*(Y25-Y26)*Y19</f>
        <v>6.42092689048887</v>
      </c>
      <c r="Z28" s="11" t="n">
        <f aca="false">Time!Z30*(Z25-Z26)*Z19</f>
        <v>6.68693276027392</v>
      </c>
      <c r="AA28" s="11" t="n">
        <f aca="false">Time!AA30*(AA25-AA26)*AA19</f>
        <v>6.88207422324284</v>
      </c>
      <c r="AB28" s="11" t="n">
        <f aca="false">Time!AB30*(AB25-AB26)*AB19</f>
        <v>7.21086042079169</v>
      </c>
      <c r="AC28" s="11" t="n">
        <f aca="false">Time!AC30*(AC25-AC26)*AC19</f>
        <v>7.44974509478864</v>
      </c>
      <c r="AD28" s="11" t="n">
        <f aca="false">Time!AD30*(AD25-AD26)*AD19</f>
        <v>8.13457800396188</v>
      </c>
      <c r="AE28" s="11" t="n">
        <f aca="false">Time!AE30*(AE25-AE26)*AE19</f>
        <v>8.48420655400198</v>
      </c>
      <c r="AF28" s="11" t="n">
        <f aca="false">Time!AF30*(AF25-AF26)*AF19</f>
        <v>8.78184768109435</v>
      </c>
      <c r="AG28" s="11" t="n">
        <f aca="false">Time!AG30*(AG25-AG26)*AG19</f>
        <v>8.94574520311545</v>
      </c>
      <c r="AH28" s="11" t="n">
        <f aca="false">Time!AH30*(AH25-AH26)*AH19</f>
        <v>9.39483539223373</v>
      </c>
      <c r="AI28" s="11" t="n">
        <f aca="false">Time!AI30*(AI25-AI26)*AI19</f>
        <v>9.67069144750282</v>
      </c>
      <c r="AJ28" s="11" t="n">
        <f aca="false">Time!AJ30*(AJ25-AJ26)*AJ19</f>
        <v>10.1375698335833</v>
      </c>
      <c r="AK28" s="11" t="n">
        <f aca="false">Time!AK30*(AK25-AK26)*AK19</f>
        <v>10.465705017829</v>
      </c>
      <c r="AL28" s="11" t="n">
        <f aca="false">Time!AL30*(AL25-AL26)*AL19</f>
        <v>11.0971926558277</v>
      </c>
      <c r="AM28" s="11" t="n">
        <f aca="false">Time!AM30*(AM25-AM26)*AM19</f>
        <v>11.3278474366981</v>
      </c>
      <c r="AN28" s="11" t="n">
        <f aca="false">Time!AN30*(AN25-AN26)*AN19</f>
        <v>9.34533965895973</v>
      </c>
      <c r="AO28" s="11" t="n">
        <f aca="false">Time!AO30*(AO25-AO26)*AO19</f>
        <v>9.48378448133992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197.321999523981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0</v>
      </c>
      <c r="Q32" s="11" t="n">
        <f aca="false">Q28-Q29+Q31</f>
        <v>5.1569929234636</v>
      </c>
      <c r="R32" s="11" t="n">
        <f aca="false">R28-R29+R31</f>
        <v>5.41101974996786</v>
      </c>
      <c r="S32" s="11" t="n">
        <f aca="false">S28-S29+S31</f>
        <v>5.57047374819846</v>
      </c>
      <c r="T32" s="11" t="n">
        <f aca="false">T28-T29+T31</f>
        <v>5.82671354444233</v>
      </c>
      <c r="U32" s="11" t="n">
        <f aca="false">U28-U29+U31</f>
        <v>6.01253769682008</v>
      </c>
      <c r="V32" s="11" t="n">
        <f aca="false">V28-V29+V31</f>
        <v>6.40533253655919</v>
      </c>
      <c r="W32" s="11" t="n">
        <f aca="false">W28-W29+W31</f>
        <v>6.60113962105192</v>
      </c>
      <c r="X32" s="11" t="n">
        <f aca="false">X28-X29+X31</f>
        <v>6.41790694774327</v>
      </c>
      <c r="Y32" s="11" t="n">
        <f aca="false">Y28-Y29+Y31</f>
        <v>6.42092689048887</v>
      </c>
      <c r="Z32" s="11" t="n">
        <f aca="false">Z28-Z29+Z31</f>
        <v>6.68693276027392</v>
      </c>
      <c r="AA32" s="11" t="n">
        <f aca="false">AA28-AA29+AA31</f>
        <v>6.88207422324284</v>
      </c>
      <c r="AB32" s="11" t="n">
        <f aca="false">AB28-AB29+AB31</f>
        <v>7.21086042079169</v>
      </c>
      <c r="AC32" s="11" t="n">
        <f aca="false">AC28-AC29+AC31</f>
        <v>7.44974509478864</v>
      </c>
      <c r="AD32" s="11" t="n">
        <f aca="false">AD28-AD29+AD31</f>
        <v>8.13457800396188</v>
      </c>
      <c r="AE32" s="11" t="n">
        <f aca="false">AE28-AE29+AE31</f>
        <v>8.48420655400198</v>
      </c>
      <c r="AF32" s="11" t="n">
        <f aca="false">AF28-AF29+AF31</f>
        <v>8.78184768109435</v>
      </c>
      <c r="AG32" s="11" t="n">
        <f aca="false">AG28-AG29+AG31</f>
        <v>8.94574520311545</v>
      </c>
      <c r="AH32" s="11" t="n">
        <f aca="false">AH28-AH29+AH31</f>
        <v>9.39483539223373</v>
      </c>
      <c r="AI32" s="11" t="n">
        <f aca="false">AI28-AI29+AI31</f>
        <v>9.67069144750282</v>
      </c>
      <c r="AJ32" s="11" t="n">
        <f aca="false">AJ28-AJ29+AJ31</f>
        <v>10.1375698335833</v>
      </c>
      <c r="AK32" s="11" t="n">
        <f aca="false">AK28-AK29+AK31</f>
        <v>10.465705017829</v>
      </c>
      <c r="AL32" s="11" t="n">
        <f aca="false">AL28-AL29+AL31</f>
        <v>11.0971926558277</v>
      </c>
      <c r="AM32" s="11" t="n">
        <f aca="false">AM28-AM29+AM31</f>
        <v>11.3278474366981</v>
      </c>
      <c r="AN32" s="11" t="n">
        <f aca="false">AN28-AN29+AN31</f>
        <v>9.34533965895973</v>
      </c>
      <c r="AO32" s="11" t="n">
        <f aca="false">AO28-AO29+AO31</f>
        <v>9.48378448133992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0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0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0</v>
      </c>
      <c r="Q36" s="11" t="n">
        <f aca="false">Q25-Q32-Q33-Q34</f>
        <v>192.165006600517</v>
      </c>
      <c r="R36" s="11" t="n">
        <f aca="false">R25-R32-R33-R34</f>
        <v>186.753986850549</v>
      </c>
      <c r="S36" s="11" t="n">
        <f aca="false">S25-S32-S33-S34</f>
        <v>181.183513102351</v>
      </c>
      <c r="T36" s="11" t="n">
        <f aca="false">T25-T32-T33-T34</f>
        <v>175.356799557908</v>
      </c>
      <c r="U36" s="11" t="n">
        <f aca="false">U25-U32-U33-U34</f>
        <v>169.344261861088</v>
      </c>
      <c r="V36" s="11" t="n">
        <f aca="false">V25-V32-V33-V34</f>
        <v>162.938929324529</v>
      </c>
      <c r="W36" s="11" t="n">
        <f aca="false">W25-W32-W33-W34</f>
        <v>156.337789703477</v>
      </c>
      <c r="X36" s="11" t="n">
        <f aca="false">X25-X32-X33-X34</f>
        <v>149.919882755734</v>
      </c>
      <c r="Y36" s="11" t="n">
        <f aca="false">Y25-Y32-Y33-Y34</f>
        <v>143.498955865245</v>
      </c>
      <c r="Z36" s="11" t="n">
        <f aca="false">Z25-Z32-Z33-Z34</f>
        <v>136.812023104971</v>
      </c>
      <c r="AA36" s="11" t="n">
        <f aca="false">AA25-AA32-AA33-AA34</f>
        <v>129.929948881728</v>
      </c>
      <c r="AB36" s="11" t="n">
        <f aca="false">AB25-AB32-AB33-AB34</f>
        <v>122.719088460937</v>
      </c>
      <c r="AC36" s="11" t="n">
        <f aca="false">AC25-AC32-AC33-AC34</f>
        <v>115.269343366148</v>
      </c>
      <c r="AD36" s="11" t="n">
        <f aca="false">AD25-AD32-AD33-AD34</f>
        <v>107.134765362186</v>
      </c>
      <c r="AE36" s="11" t="n">
        <f aca="false">AE25-AE32-AE33-AE34</f>
        <v>98.650558808184</v>
      </c>
      <c r="AF36" s="11" t="n">
        <f aca="false">AF25-AF32-AF33-AF34</f>
        <v>89.8687111270897</v>
      </c>
      <c r="AG36" s="11" t="n">
        <f aca="false">AG25-AG32-AG33-AG34</f>
        <v>80.9229659239743</v>
      </c>
      <c r="AH36" s="11" t="n">
        <f aca="false">AH25-AH32-AH33-AH34</f>
        <v>71.5281305317405</v>
      </c>
      <c r="AI36" s="11" t="n">
        <f aca="false">AI25-AI32-AI33-AI34</f>
        <v>61.8574390842377</v>
      </c>
      <c r="AJ36" s="11" t="n">
        <f aca="false">AJ25-AJ32-AJ33-AJ34</f>
        <v>51.7198692506544</v>
      </c>
      <c r="AK36" s="11" t="n">
        <f aca="false">AK25-AK32-AK33-AK34</f>
        <v>41.2541642328254</v>
      </c>
      <c r="AL36" s="11" t="n">
        <f aca="false">AL25-AL32-AL33-AL34</f>
        <v>30.1569715769977</v>
      </c>
      <c r="AM36" s="11" t="n">
        <f aca="false">AM25-AM32-AM33-AM34</f>
        <v>18.8291241402997</v>
      </c>
      <c r="AN36" s="11" t="n">
        <f aca="false">AN25-AN32-AN33-AN34</f>
        <v>9.48378448133992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0</v>
      </c>
      <c r="P38" s="11" t="n">
        <f aca="false">IF(Time!P29=1,INDEX(Funding!$J$61:$BJ$61,1,Time!$F$13),Time!P30*(P36-P37))</f>
        <v>197.321999523981</v>
      </c>
      <c r="Q38" s="11" t="n">
        <f aca="false">IF(Time!Q29=1,INDEX(Funding!$J$61:$BJ$61,1,Time!$F$13),Time!Q30*(Q36-Q37))</f>
        <v>192.165006600517</v>
      </c>
      <c r="R38" s="11" t="n">
        <f aca="false">IF(Time!R29=1,INDEX(Funding!$J$61:$BJ$61,1,Time!$F$13),Time!R30*(R36-R37))</f>
        <v>186.753986850549</v>
      </c>
      <c r="S38" s="11" t="n">
        <f aca="false">IF(Time!S29=1,INDEX(Funding!$J$61:$BJ$61,1,Time!$F$13),Time!S30*(S36-S37))</f>
        <v>181.183513102351</v>
      </c>
      <c r="T38" s="11" t="n">
        <f aca="false">IF(Time!T29=1,INDEX(Funding!$J$61:$BJ$61,1,Time!$F$13),Time!T30*(T36-T37))</f>
        <v>175.356799557908</v>
      </c>
      <c r="U38" s="11" t="n">
        <f aca="false">IF(Time!U29=1,INDEX(Funding!$J$61:$BJ$61,1,Time!$F$13),Time!U30*(U36-U37))</f>
        <v>169.344261861088</v>
      </c>
      <c r="V38" s="11" t="n">
        <f aca="false">IF(Time!V29=1,INDEX(Funding!$J$61:$BJ$61,1,Time!$F$13),Time!V30*(V36-V37))</f>
        <v>162.938929324529</v>
      </c>
      <c r="W38" s="11" t="n">
        <f aca="false">IF(Time!W29=1,INDEX(Funding!$J$61:$BJ$61,1,Time!$F$13),Time!W30*(W36-W37))</f>
        <v>156.337789703477</v>
      </c>
      <c r="X38" s="11" t="n">
        <f aca="false">IF(Time!X29=1,INDEX(Funding!$J$61:$BJ$61,1,Time!$F$13),Time!X30*(X36-X37))</f>
        <v>149.919882755734</v>
      </c>
      <c r="Y38" s="11" t="n">
        <f aca="false">IF(Time!Y29=1,INDEX(Funding!$J$61:$BJ$61,1,Time!$F$13),Time!Y30*(Y36-Y37))</f>
        <v>143.498955865245</v>
      </c>
      <c r="Z38" s="11" t="n">
        <f aca="false">IF(Time!Z29=1,INDEX(Funding!$J$61:$BJ$61,1,Time!$F$13),Time!Z30*(Z36-Z37))</f>
        <v>136.812023104971</v>
      </c>
      <c r="AA38" s="11" t="n">
        <f aca="false">IF(Time!AA29=1,INDEX(Funding!$J$61:$BJ$61,1,Time!$F$13),Time!AA30*(AA36-AA37))</f>
        <v>129.929948881728</v>
      </c>
      <c r="AB38" s="11" t="n">
        <f aca="false">IF(Time!AB29=1,INDEX(Funding!$J$61:$BJ$61,1,Time!$F$13),Time!AB30*(AB36-AB37))</f>
        <v>122.719088460937</v>
      </c>
      <c r="AC38" s="11" t="n">
        <f aca="false">IF(Time!AC29=1,INDEX(Funding!$J$61:$BJ$61,1,Time!$F$13),Time!AC30*(AC36-AC37))</f>
        <v>115.269343366148</v>
      </c>
      <c r="AD38" s="11" t="n">
        <f aca="false">IF(Time!AD29=1,INDEX(Funding!$J$61:$BJ$61,1,Time!$F$13),Time!AD30*(AD36-AD37))</f>
        <v>107.134765362186</v>
      </c>
      <c r="AE38" s="11" t="n">
        <f aca="false">IF(Time!AE29=1,INDEX(Funding!$J$61:$BJ$61,1,Time!$F$13),Time!AE30*(AE36-AE37))</f>
        <v>98.650558808184</v>
      </c>
      <c r="AF38" s="11" t="n">
        <f aca="false">IF(Time!AF29=1,INDEX(Funding!$J$61:$BJ$61,1,Time!$F$13),Time!AF30*(AF36-AF37))</f>
        <v>89.8687111270897</v>
      </c>
      <c r="AG38" s="11" t="n">
        <f aca="false">IF(Time!AG29=1,INDEX(Funding!$J$61:$BJ$61,1,Time!$F$13),Time!AG30*(AG36-AG37))</f>
        <v>80.9229659239743</v>
      </c>
      <c r="AH38" s="11" t="n">
        <f aca="false">IF(Time!AH29=1,INDEX(Funding!$J$61:$BJ$61,1,Time!$F$13),Time!AH30*(AH36-AH37))</f>
        <v>71.5281305317405</v>
      </c>
      <c r="AI38" s="11" t="n">
        <f aca="false">IF(Time!AI29=1,INDEX(Funding!$J$61:$BJ$61,1,Time!$F$13),Time!AI30*(AI36-AI37))</f>
        <v>61.8574390842377</v>
      </c>
      <c r="AJ38" s="11" t="n">
        <f aca="false">IF(Time!AJ29=1,INDEX(Funding!$J$61:$BJ$61,1,Time!$F$13),Time!AJ30*(AJ36-AJ37))</f>
        <v>51.7198692506544</v>
      </c>
      <c r="AK38" s="11" t="n">
        <f aca="false">IF(Time!AK29=1,INDEX(Funding!$J$61:$BJ$61,1,Time!$F$13),Time!AK30*(AK36-AK37))</f>
        <v>41.2541642328254</v>
      </c>
      <c r="AL38" s="11" t="n">
        <f aca="false">IF(Time!AL29=1,INDEX(Funding!$J$61:$BJ$61,1,Time!$F$13),Time!AL30*(AL36-AL37))</f>
        <v>30.1569715769977</v>
      </c>
      <c r="AM38" s="11" t="n">
        <f aca="false">IF(Time!AM29=1,INDEX(Funding!$J$61:$BJ$61,1,Time!$F$13),Time!AM30*(AM36-AM37))</f>
        <v>18.8291241402997</v>
      </c>
      <c r="AN38" s="11" t="n">
        <f aca="false">IF(Time!AN29=1,INDEX(Funding!$J$61:$BJ$61,1,Time!$F$13),Time!AN30*(AN36-AN37))</f>
        <v>9.48378448133992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0</v>
      </c>
      <c r="Q40" s="11" t="n">
        <f aca="false">Time!Q30*P53</f>
        <v>144.702799650919</v>
      </c>
      <c r="R40" s="11" t="n">
        <f aca="false">Time!R30*Q53</f>
        <v>140.921004840379</v>
      </c>
      <c r="S40" s="11" t="n">
        <f aca="false">Time!S30*R53</f>
        <v>136.952923690403</v>
      </c>
      <c r="T40" s="11" t="n">
        <f aca="false">Time!T30*S53</f>
        <v>132.86790960839</v>
      </c>
      <c r="U40" s="11" t="n">
        <f aca="false">Time!U30*T53</f>
        <v>128.594986342466</v>
      </c>
      <c r="V40" s="11" t="n">
        <f aca="false">Time!V30*U53</f>
        <v>124.185792031465</v>
      </c>
      <c r="W40" s="11" t="n">
        <f aca="false">Time!W30*V53</f>
        <v>119.488548171321</v>
      </c>
      <c r="X40" s="11" t="n">
        <f aca="false">Time!X30*W53</f>
        <v>114.647712449217</v>
      </c>
      <c r="Y40" s="11" t="n">
        <f aca="false">Time!Y30*X53</f>
        <v>109.941247354205</v>
      </c>
      <c r="Z40" s="11" t="n">
        <f aca="false">Time!Z30*Y53</f>
        <v>105.232567634513</v>
      </c>
      <c r="AA40" s="11" t="n">
        <f aca="false">Time!AA30*Z53</f>
        <v>100.328816943645</v>
      </c>
      <c r="AB40" s="11" t="n">
        <f aca="false">Time!AB30*AA53</f>
        <v>95.2819625132674</v>
      </c>
      <c r="AC40" s="11" t="n">
        <f aca="false">Time!AC30*AB53</f>
        <v>89.9939982046868</v>
      </c>
      <c r="AD40" s="11" t="n">
        <f aca="false">Time!AD30*AC53</f>
        <v>84.5308518018418</v>
      </c>
      <c r="AE40" s="11" t="n">
        <f aca="false">Time!AE30*AD53</f>
        <v>78.5654945989364</v>
      </c>
      <c r="AF40" s="11" t="n">
        <f aca="false">Time!AF30*AE53</f>
        <v>72.3437431260017</v>
      </c>
      <c r="AG40" s="11" t="n">
        <f aca="false">Time!AG30*AF53</f>
        <v>65.9037214931991</v>
      </c>
      <c r="AH40" s="11" t="n">
        <f aca="false">Time!AH30*AG53</f>
        <v>59.3435083442478</v>
      </c>
      <c r="AI40" s="11" t="n">
        <f aca="false">Time!AI30*AH53</f>
        <v>52.4539623899431</v>
      </c>
      <c r="AJ40" s="11" t="n">
        <f aca="false">Time!AJ30*AI53</f>
        <v>45.3621219951077</v>
      </c>
      <c r="AK40" s="11" t="n">
        <f aca="false">Time!AK30*AJ53</f>
        <v>37.9279041171466</v>
      </c>
      <c r="AL40" s="11" t="n">
        <f aca="false">Time!AL30*AK53</f>
        <v>30.2530537707386</v>
      </c>
      <c r="AM40" s="11" t="n">
        <f aca="false">Time!AM30*AL53</f>
        <v>22.1151124897984</v>
      </c>
      <c r="AN40" s="11" t="n">
        <f aca="false">Time!AN30*AM53</f>
        <v>13.8080243695531</v>
      </c>
      <c r="AO40" s="11" t="n">
        <f aca="false">Time!AO30*AN53</f>
        <v>6.95477528631594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72.5208087308508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0</v>
      </c>
      <c r="Q42" s="11" t="n">
        <f aca="false">Q40*Q11</f>
        <v>4.91812659835774</v>
      </c>
      <c r="R42" s="11" t="n">
        <f aca="false">R40*R11</f>
        <v>4.86897729612936</v>
      </c>
      <c r="S42" s="11" t="n">
        <f aca="false">S40*S11</f>
        <v>4.66161122506969</v>
      </c>
      <c r="T42" s="11" t="n">
        <f aca="false">T40*T11</f>
        <v>4.59752493447166</v>
      </c>
      <c r="U42" s="11" t="n">
        <f aca="false">U40*U11</f>
        <v>4.40130629088906</v>
      </c>
      <c r="V42" s="11" t="n">
        <f aca="false">V40*V11</f>
        <v>4.29710437271542</v>
      </c>
      <c r="W42" s="11" t="n">
        <f aca="false">W40*W11</f>
        <v>4.06715784090811</v>
      </c>
      <c r="X42" s="11" t="n">
        <f aca="false">X40*X11</f>
        <v>3.96706562343723</v>
      </c>
      <c r="Y42" s="11" t="n">
        <f aca="false">Y40*Y11</f>
        <v>3.7421862852895</v>
      </c>
      <c r="Z42" s="11" t="n">
        <f aca="false">Z40*Z11</f>
        <v>3.64128069030445</v>
      </c>
      <c r="AA42" s="11" t="n">
        <f aca="false">AA40*AA11</f>
        <v>3.41499784495097</v>
      </c>
      <c r="AB42" s="11" t="n">
        <f aca="false">AB40*AB11</f>
        <v>3.29696764065353</v>
      </c>
      <c r="AC42" s="11" t="n">
        <f aca="false">AC40*AC11</f>
        <v>3.08014458188675</v>
      </c>
      <c r="AD42" s="11" t="n">
        <f aca="false">AD40*AD11</f>
        <v>2.92495531868106</v>
      </c>
      <c r="AE42" s="11" t="n">
        <f aca="false">AE40*AE11</f>
        <v>2.6742166699083</v>
      </c>
      <c r="AF42" s="11" t="n">
        <f aca="false">AF40*AF11</f>
        <v>2.50325427603327</v>
      </c>
      <c r="AG42" s="11" t="n">
        <f aca="false">AG40*AG11</f>
        <v>2.24323453350337</v>
      </c>
      <c r="AH42" s="11" t="n">
        <f aca="false">AH40*AH11</f>
        <v>2.05341726317396</v>
      </c>
      <c r="AI42" s="11" t="n">
        <f aca="false">AI40*AI11</f>
        <v>1.7854308859379</v>
      </c>
      <c r="AJ42" s="11" t="n">
        <f aca="false">AJ40*AJ11</f>
        <v>1.56963022574627</v>
      </c>
      <c r="AK42" s="11" t="n">
        <f aca="false">AK40*AK11</f>
        <v>1.29812466052503</v>
      </c>
      <c r="AL42" s="11" t="n">
        <f aca="false">AL40*AL11</f>
        <v>1.04682288947594</v>
      </c>
      <c r="AM42" s="11" t="n">
        <f aca="false">AM40*AM11</f>
        <v>0.752755427545117</v>
      </c>
      <c r="AN42" s="11" t="n">
        <f aca="false">AN40*AN11</f>
        <v>0.477788327685136</v>
      </c>
      <c r="AO42" s="11" t="n">
        <f aca="false">AO40*AO11</f>
        <v>0.236727027572027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144.702799650919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0</v>
      </c>
      <c r="Q43" s="11" t="n">
        <f aca="false">Time!Q30*(Q40-Q41)*Q19</f>
        <v>3.78179481053998</v>
      </c>
      <c r="R43" s="11" t="n">
        <f aca="false">Time!R30*(R40-R41)*R19</f>
        <v>3.96808114997643</v>
      </c>
      <c r="S43" s="11" t="n">
        <f aca="false">Time!S30*(S40-S41)*S19</f>
        <v>4.0850140820122</v>
      </c>
      <c r="T43" s="11" t="n">
        <f aca="false">Time!T30*(T40-T41)*T19</f>
        <v>4.27292326592438</v>
      </c>
      <c r="U43" s="11" t="n">
        <f aca="false">Time!U30*(U40-U41)*U19</f>
        <v>4.40919431100139</v>
      </c>
      <c r="V43" s="11" t="n">
        <f aca="false">Time!V30*(V40-V41)*V19</f>
        <v>4.69724386014341</v>
      </c>
      <c r="W43" s="11" t="n">
        <f aca="false">Time!W30*(W40-W41)*W19</f>
        <v>4.84083572210474</v>
      </c>
      <c r="X43" s="11" t="n">
        <f aca="false">Time!X30*(X40-X41)*X19</f>
        <v>4.70646509501173</v>
      </c>
      <c r="Y43" s="11" t="n">
        <f aca="false">Time!Y30*(Y40-Y41)*Y19</f>
        <v>4.70867971969184</v>
      </c>
      <c r="Z43" s="11" t="n">
        <f aca="false">Time!Z30*(Z40-Z41)*Z19</f>
        <v>4.90375069086754</v>
      </c>
      <c r="AA43" s="11" t="n">
        <f aca="false">Time!AA30*(AA40-AA41)*AA19</f>
        <v>5.04685443037808</v>
      </c>
      <c r="AB43" s="11" t="n">
        <f aca="false">Time!AB30*(AB40-AB41)*AB19</f>
        <v>5.28796430858057</v>
      </c>
      <c r="AC43" s="11" t="n">
        <f aca="false">Time!AC30*(AC40-AC41)*AC19</f>
        <v>5.463146402845</v>
      </c>
      <c r="AD43" s="11" t="n">
        <f aca="false">Time!AD30*(AD40-AD41)*AD19</f>
        <v>5.96535720290539</v>
      </c>
      <c r="AE43" s="11" t="n">
        <f aca="false">Time!AE30*(AE40-AE41)*AE19</f>
        <v>6.22175147293479</v>
      </c>
      <c r="AF43" s="11" t="n">
        <f aca="false">Time!AF30*(AF40-AF41)*AF19</f>
        <v>6.44002163280253</v>
      </c>
      <c r="AG43" s="11" t="n">
        <f aca="false">Time!AG30*(AG40-AG41)*AG19</f>
        <v>6.56021314895133</v>
      </c>
      <c r="AH43" s="11" t="n">
        <f aca="false">Time!AH30*(AH40-AH41)*AH19</f>
        <v>6.88954595430473</v>
      </c>
      <c r="AI43" s="11" t="n">
        <f aca="false">Time!AI30*(AI40-AI41)*AI19</f>
        <v>7.0918403948354</v>
      </c>
      <c r="AJ43" s="11" t="n">
        <f aca="false">Time!AJ30*(AJ40-AJ41)*AJ19</f>
        <v>7.43421787796106</v>
      </c>
      <c r="AK43" s="11" t="n">
        <f aca="false">Time!AK30*(AK40-AK41)*AK19</f>
        <v>7.67485034640795</v>
      </c>
      <c r="AL43" s="11" t="n">
        <f aca="false">Time!AL30*(AL40-AL41)*AL19</f>
        <v>8.1379412809403</v>
      </c>
      <c r="AM43" s="11" t="n">
        <f aca="false">Time!AM30*(AM40-AM41)*AM19</f>
        <v>8.30708812024527</v>
      </c>
      <c r="AN43" s="11" t="n">
        <f aca="false">Time!AN30*(AN40-AN41)*AN19</f>
        <v>6.85324908323714</v>
      </c>
      <c r="AO43" s="11" t="n">
        <f aca="false">Time!AO30*(AO40-AO41)*AO19</f>
        <v>6.95477528631594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144.702799650919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0</v>
      </c>
      <c r="Q47" s="11" t="n">
        <f aca="false">Q43-Q44+Q46</f>
        <v>3.78179481053998</v>
      </c>
      <c r="R47" s="11" t="n">
        <f aca="false">R43-R44+R46</f>
        <v>3.96808114997643</v>
      </c>
      <c r="S47" s="11" t="n">
        <f aca="false">S43-S44+S46</f>
        <v>4.0850140820122</v>
      </c>
      <c r="T47" s="11" t="n">
        <f aca="false">T43-T44+T46</f>
        <v>4.27292326592438</v>
      </c>
      <c r="U47" s="11" t="n">
        <f aca="false">U43-U44+U46</f>
        <v>4.40919431100139</v>
      </c>
      <c r="V47" s="11" t="n">
        <f aca="false">V43-V44+V46</f>
        <v>4.69724386014341</v>
      </c>
      <c r="W47" s="11" t="n">
        <f aca="false">W43-W44+W46</f>
        <v>4.84083572210474</v>
      </c>
      <c r="X47" s="11" t="n">
        <f aca="false">X43-X44+X46</f>
        <v>4.70646509501173</v>
      </c>
      <c r="Y47" s="11" t="n">
        <f aca="false">Y43-Y44+Y46</f>
        <v>4.70867971969184</v>
      </c>
      <c r="Z47" s="11" t="n">
        <f aca="false">Z43-Z44+Z46</f>
        <v>4.90375069086754</v>
      </c>
      <c r="AA47" s="11" t="n">
        <f aca="false">AA43-AA44+AA46</f>
        <v>5.04685443037808</v>
      </c>
      <c r="AB47" s="11" t="n">
        <f aca="false">AB43-AB44+AB46</f>
        <v>5.28796430858057</v>
      </c>
      <c r="AC47" s="11" t="n">
        <f aca="false">AC43-AC44+AC46</f>
        <v>5.463146402845</v>
      </c>
      <c r="AD47" s="11" t="n">
        <f aca="false">AD43-AD44+AD46</f>
        <v>5.96535720290539</v>
      </c>
      <c r="AE47" s="11" t="n">
        <f aca="false">AE43-AE44+AE46</f>
        <v>6.22175147293479</v>
      </c>
      <c r="AF47" s="11" t="n">
        <f aca="false">AF43-AF44+AF46</f>
        <v>6.44002163280253</v>
      </c>
      <c r="AG47" s="11" t="n">
        <f aca="false">AG43-AG44+AG46</f>
        <v>6.56021314895133</v>
      </c>
      <c r="AH47" s="11" t="n">
        <f aca="false">AH43-AH44+AH46</f>
        <v>6.88954595430473</v>
      </c>
      <c r="AI47" s="11" t="n">
        <f aca="false">AI43-AI44+AI46</f>
        <v>7.0918403948354</v>
      </c>
      <c r="AJ47" s="11" t="n">
        <f aca="false">AJ43-AJ44+AJ46</f>
        <v>7.43421787796106</v>
      </c>
      <c r="AK47" s="11" t="n">
        <f aca="false">AK43-AK44+AK46</f>
        <v>7.67485034640795</v>
      </c>
      <c r="AL47" s="11" t="n">
        <f aca="false">AL43-AL44+AL46</f>
        <v>8.1379412809403</v>
      </c>
      <c r="AM47" s="11" t="n">
        <f aca="false">AM43-AM44+AM46</f>
        <v>8.30708812024527</v>
      </c>
      <c r="AN47" s="11" t="n">
        <f aca="false">AN43-AN44+AN46</f>
        <v>6.85324908323714</v>
      </c>
      <c r="AO47" s="11" t="n">
        <f aca="false">AO43-AO44+AO46</f>
        <v>6.95477528631594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0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0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0</v>
      </c>
      <c r="Q51" s="11" t="n">
        <f aca="false">Q40-Q47-Q48-Q49</f>
        <v>140.921004840379</v>
      </c>
      <c r="R51" s="11" t="n">
        <f aca="false">R40-R47-R48-R49</f>
        <v>136.952923690403</v>
      </c>
      <c r="S51" s="11" t="n">
        <f aca="false">S40-S47-S48-S49</f>
        <v>132.86790960839</v>
      </c>
      <c r="T51" s="11" t="n">
        <f aca="false">T40-T47-T48-T49</f>
        <v>128.594986342466</v>
      </c>
      <c r="U51" s="11" t="n">
        <f aca="false">U40-U47-U48-U49</f>
        <v>124.185792031465</v>
      </c>
      <c r="V51" s="11" t="n">
        <f aca="false">V40-V47-V48-V49</f>
        <v>119.488548171321</v>
      </c>
      <c r="W51" s="11" t="n">
        <f aca="false">W40-W47-W48-W49</f>
        <v>114.647712449217</v>
      </c>
      <c r="X51" s="11" t="n">
        <f aca="false">X40-X47-X48-X49</f>
        <v>109.941247354205</v>
      </c>
      <c r="Y51" s="11" t="n">
        <f aca="false">Y40-Y47-Y48-Y49</f>
        <v>105.232567634513</v>
      </c>
      <c r="Z51" s="11" t="n">
        <f aca="false">Z40-Z47-Z48-Z49</f>
        <v>100.328816943645</v>
      </c>
      <c r="AA51" s="11" t="n">
        <f aca="false">AA40-AA47-AA48-AA49</f>
        <v>95.2819625132674</v>
      </c>
      <c r="AB51" s="11" t="n">
        <f aca="false">AB40-AB47-AB48-AB49</f>
        <v>89.9939982046868</v>
      </c>
      <c r="AC51" s="11" t="n">
        <f aca="false">AC40-AC47-AC48-AC49</f>
        <v>84.5308518018418</v>
      </c>
      <c r="AD51" s="11" t="n">
        <f aca="false">AD40-AD47-AD48-AD49</f>
        <v>78.5654945989364</v>
      </c>
      <c r="AE51" s="11" t="n">
        <f aca="false">AE40-AE47-AE48-AE49</f>
        <v>72.3437431260017</v>
      </c>
      <c r="AF51" s="11" t="n">
        <f aca="false">AF40-AF47-AF48-AF49</f>
        <v>65.9037214931991</v>
      </c>
      <c r="AG51" s="11" t="n">
        <f aca="false">AG40-AG47-AG48-AG49</f>
        <v>59.3435083442478</v>
      </c>
      <c r="AH51" s="11" t="n">
        <f aca="false">AH40-AH47-AH48-AH49</f>
        <v>52.4539623899431</v>
      </c>
      <c r="AI51" s="11" t="n">
        <f aca="false">AI40-AI47-AI48-AI49</f>
        <v>45.3621219951077</v>
      </c>
      <c r="AJ51" s="11" t="n">
        <f aca="false">AJ40-AJ47-AJ48-AJ49</f>
        <v>37.9279041171466</v>
      </c>
      <c r="AK51" s="11" t="n">
        <f aca="false">AK40-AK47-AK48-AK49</f>
        <v>30.2530537707386</v>
      </c>
      <c r="AL51" s="11" t="n">
        <f aca="false">AL40-AL47-AL48-AL49</f>
        <v>22.1151124897984</v>
      </c>
      <c r="AM51" s="11" t="n">
        <f aca="false">AM40-AM47-AM48-AM49</f>
        <v>13.8080243695531</v>
      </c>
      <c r="AN51" s="11" t="n">
        <f aca="false">AN40-AN47-AN48-AN49</f>
        <v>6.95477528631594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0</v>
      </c>
      <c r="P53" s="11" t="n">
        <f aca="false">IF(Time!P29=1,INDEX(Funding!$J$62:$BJ$62,1,Time!$F$13),Time!P30*(P51-P52))</f>
        <v>144.702799650919</v>
      </c>
      <c r="Q53" s="11" t="n">
        <f aca="false">IF(Time!Q29=1,INDEX(Funding!$J$62:$BJ$62,1,Time!$F$13),Time!Q30*(Q51-Q52))</f>
        <v>140.921004840379</v>
      </c>
      <c r="R53" s="11" t="n">
        <f aca="false">IF(Time!R29=1,INDEX(Funding!$J$62:$BJ$62,1,Time!$F$13),Time!R30*(R51-R52))</f>
        <v>136.952923690403</v>
      </c>
      <c r="S53" s="11" t="n">
        <f aca="false">IF(Time!S29=1,INDEX(Funding!$J$62:$BJ$62,1,Time!$F$13),Time!S30*(S51-S52))</f>
        <v>132.86790960839</v>
      </c>
      <c r="T53" s="11" t="n">
        <f aca="false">IF(Time!T29=1,INDEX(Funding!$J$62:$BJ$62,1,Time!$F$13),Time!T30*(T51-T52))</f>
        <v>128.594986342466</v>
      </c>
      <c r="U53" s="11" t="n">
        <f aca="false">IF(Time!U29=1,INDEX(Funding!$J$62:$BJ$62,1,Time!$F$13),Time!U30*(U51-U52))</f>
        <v>124.185792031465</v>
      </c>
      <c r="V53" s="11" t="n">
        <f aca="false">IF(Time!V29=1,INDEX(Funding!$J$62:$BJ$62,1,Time!$F$13),Time!V30*(V51-V52))</f>
        <v>119.488548171321</v>
      </c>
      <c r="W53" s="11" t="n">
        <f aca="false">IF(Time!W29=1,INDEX(Funding!$J$62:$BJ$62,1,Time!$F$13),Time!W30*(W51-W52))</f>
        <v>114.647712449217</v>
      </c>
      <c r="X53" s="11" t="n">
        <f aca="false">IF(Time!X29=1,INDEX(Funding!$J$62:$BJ$62,1,Time!$F$13),Time!X30*(X51-X52))</f>
        <v>109.941247354205</v>
      </c>
      <c r="Y53" s="11" t="n">
        <f aca="false">IF(Time!Y29=1,INDEX(Funding!$J$62:$BJ$62,1,Time!$F$13),Time!Y30*(Y51-Y52))</f>
        <v>105.232567634513</v>
      </c>
      <c r="Z53" s="11" t="n">
        <f aca="false">IF(Time!Z29=1,INDEX(Funding!$J$62:$BJ$62,1,Time!$F$13),Time!Z30*(Z51-Z52))</f>
        <v>100.328816943645</v>
      </c>
      <c r="AA53" s="11" t="n">
        <f aca="false">IF(Time!AA29=1,INDEX(Funding!$J$62:$BJ$62,1,Time!$F$13),Time!AA30*(AA51-AA52))</f>
        <v>95.2819625132674</v>
      </c>
      <c r="AB53" s="11" t="n">
        <f aca="false">IF(Time!AB29=1,INDEX(Funding!$J$62:$BJ$62,1,Time!$F$13),Time!AB30*(AB51-AB52))</f>
        <v>89.9939982046868</v>
      </c>
      <c r="AC53" s="11" t="n">
        <f aca="false">IF(Time!AC29=1,INDEX(Funding!$J$62:$BJ$62,1,Time!$F$13),Time!AC30*(AC51-AC52))</f>
        <v>84.5308518018418</v>
      </c>
      <c r="AD53" s="11" t="n">
        <f aca="false">IF(Time!AD29=1,INDEX(Funding!$J$62:$BJ$62,1,Time!$F$13),Time!AD30*(AD51-AD52))</f>
        <v>78.5654945989364</v>
      </c>
      <c r="AE53" s="11" t="n">
        <f aca="false">IF(Time!AE29=1,INDEX(Funding!$J$62:$BJ$62,1,Time!$F$13),Time!AE30*(AE51-AE52))</f>
        <v>72.3437431260017</v>
      </c>
      <c r="AF53" s="11" t="n">
        <f aca="false">IF(Time!AF29=1,INDEX(Funding!$J$62:$BJ$62,1,Time!$F$13),Time!AF30*(AF51-AF52))</f>
        <v>65.9037214931991</v>
      </c>
      <c r="AG53" s="11" t="n">
        <f aca="false">IF(Time!AG29=1,INDEX(Funding!$J$62:$BJ$62,1,Time!$F$13),Time!AG30*(AG51-AG52))</f>
        <v>59.3435083442478</v>
      </c>
      <c r="AH53" s="11" t="n">
        <f aca="false">IF(Time!AH29=1,INDEX(Funding!$J$62:$BJ$62,1,Time!$F$13),Time!AH30*(AH51-AH52))</f>
        <v>52.4539623899431</v>
      </c>
      <c r="AI53" s="11" t="n">
        <f aca="false">IF(Time!AI29=1,INDEX(Funding!$J$62:$BJ$62,1,Time!$F$13),Time!AI30*(AI51-AI52))</f>
        <v>45.3621219951077</v>
      </c>
      <c r="AJ53" s="11" t="n">
        <f aca="false">IF(Time!AJ29=1,INDEX(Funding!$J$62:$BJ$62,1,Time!$F$13),Time!AJ30*(AJ51-AJ52))</f>
        <v>37.9279041171466</v>
      </c>
      <c r="AK53" s="11" t="n">
        <f aca="false">IF(Time!AK29=1,INDEX(Funding!$J$62:$BJ$62,1,Time!$F$13),Time!AK30*(AK51-AK52))</f>
        <v>30.2530537707386</v>
      </c>
      <c r="AL53" s="11" t="n">
        <f aca="false">IF(Time!AL29=1,INDEX(Funding!$J$62:$BJ$62,1,Time!$F$13),Time!AL30*(AL51-AL52))</f>
        <v>22.1151124897984</v>
      </c>
      <c r="AM53" s="11" t="n">
        <f aca="false">IF(Time!AM29=1,INDEX(Funding!$J$62:$BJ$62,1,Time!$F$13),Time!AM30*(AM51-AM52))</f>
        <v>13.8080243695531</v>
      </c>
      <c r="AN53" s="11" t="n">
        <f aca="false">IF(Time!AN29=1,INDEX(Funding!$J$62:$BJ$62,1,Time!$F$13),Time!AN30*(AN51-AN52))</f>
        <v>6.95477528631594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0</v>
      </c>
      <c r="Q55" s="11" t="n">
        <f aca="false">Time!Q30*P68</f>
        <v>65.7739998413268</v>
      </c>
      <c r="R55" s="11" t="n">
        <f aca="false">Time!R30*Q68</f>
        <v>64.0550022001723</v>
      </c>
      <c r="S55" s="11" t="n">
        <f aca="false">Time!S30*R68</f>
        <v>62.251328950183</v>
      </c>
      <c r="T55" s="11" t="n">
        <f aca="false">Time!T30*S68</f>
        <v>60.3945043674502</v>
      </c>
      <c r="U55" s="11" t="n">
        <f aca="false">Time!U30*T68</f>
        <v>58.4522665193028</v>
      </c>
      <c r="V55" s="11" t="n">
        <f aca="false">Time!V30*U68</f>
        <v>56.4480872870294</v>
      </c>
      <c r="W55" s="11" t="n">
        <f aca="false">Time!W30*V68</f>
        <v>54.3129764415097</v>
      </c>
      <c r="X55" s="11" t="n">
        <f aca="false">Time!X30*W68</f>
        <v>52.1125965678257</v>
      </c>
      <c r="Y55" s="11" t="n">
        <f aca="false">Time!Y30*X68</f>
        <v>49.9732942519113</v>
      </c>
      <c r="Z55" s="11" t="n">
        <f aca="false">Time!Z30*Y68</f>
        <v>47.832985288415</v>
      </c>
      <c r="AA55" s="11" t="n">
        <f aca="false">Time!AA30*Z68</f>
        <v>45.604007701657</v>
      </c>
      <c r="AB55" s="11" t="n">
        <f aca="false">Time!AB30*AA68</f>
        <v>43.3099829605761</v>
      </c>
      <c r="AC55" s="11" t="n">
        <f aca="false">Time!AC30*AB68</f>
        <v>40.9063628203122</v>
      </c>
      <c r="AD55" s="11" t="n">
        <f aca="false">Time!AD30*AC68</f>
        <v>38.4231144553826</v>
      </c>
      <c r="AE55" s="11" t="n">
        <f aca="false">Time!AE30*AD68</f>
        <v>35.711588454062</v>
      </c>
      <c r="AF55" s="11" t="n">
        <f aca="false">Time!AF30*AE68</f>
        <v>32.883519602728</v>
      </c>
      <c r="AG55" s="11" t="n">
        <f aca="false">Time!AG30*AF68</f>
        <v>29.9562370423632</v>
      </c>
      <c r="AH55" s="11" t="n">
        <f aca="false">Time!AH30*AG68</f>
        <v>26.9743219746581</v>
      </c>
      <c r="AI55" s="11" t="n">
        <f aca="false">Time!AI30*AH68</f>
        <v>23.8427101772468</v>
      </c>
      <c r="AJ55" s="11" t="n">
        <f aca="false">Time!AJ30*AI68</f>
        <v>20.6191463614126</v>
      </c>
      <c r="AK55" s="11" t="n">
        <f aca="false">Time!AK30*AJ68</f>
        <v>17.2399564168848</v>
      </c>
      <c r="AL55" s="11" t="n">
        <f aca="false">Time!AL30*AK68</f>
        <v>13.7513880776085</v>
      </c>
      <c r="AM55" s="11" t="n">
        <f aca="false">Time!AM30*AL68</f>
        <v>10.0523238589992</v>
      </c>
      <c r="AN55" s="11" t="n">
        <f aca="false">Time!AN30*AM68</f>
        <v>6.27637471343322</v>
      </c>
      <c r="AO55" s="11" t="n">
        <f aca="false">Time!AO30*AN68</f>
        <v>3.16126149377997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31.7464786782639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0</v>
      </c>
      <c r="Q57" s="11" t="n">
        <f aca="false">Q55*Q12</f>
        <v>2.15283782647316</v>
      </c>
      <c r="R57" s="11" t="n">
        <f aca="false">R55*R12</f>
        <v>2.13132343987373</v>
      </c>
      <c r="S57" s="11" t="n">
        <f aca="false">S55*S12</f>
        <v>2.04066773113028</v>
      </c>
      <c r="T57" s="11" t="n">
        <f aca="false">T55*T12</f>
        <v>2.01261330554285</v>
      </c>
      <c r="U57" s="11" t="n">
        <f aca="false">U55*U12</f>
        <v>1.92671659840182</v>
      </c>
      <c r="V57" s="11" t="n">
        <f aca="false">V55*V12</f>
        <v>1.88110114879176</v>
      </c>
      <c r="W57" s="11" t="n">
        <f aca="false">W55*W12</f>
        <v>1.78043971550429</v>
      </c>
      <c r="X57" s="11" t="n">
        <f aca="false">X55*X12</f>
        <v>1.73662332918025</v>
      </c>
      <c r="Y57" s="11" t="n">
        <f aca="false">Y55*Y12</f>
        <v>1.63818011146015</v>
      </c>
      <c r="Z57" s="11" t="n">
        <f aca="false">Z55*Z12</f>
        <v>1.59400766085571</v>
      </c>
      <c r="AA57" s="11" t="n">
        <f aca="false">AA55*AA12</f>
        <v>1.49495004357999</v>
      </c>
      <c r="AB57" s="11" t="n">
        <f aca="false">AB55*AB12</f>
        <v>1.44328112105955</v>
      </c>
      <c r="AC57" s="11" t="n">
        <f aca="false">AC55*AC12</f>
        <v>1.34836462158598</v>
      </c>
      <c r="AD57" s="11" t="n">
        <f aca="false">AD55*AD12</f>
        <v>1.28042894305093</v>
      </c>
      <c r="AE57" s="11" t="n">
        <f aca="false">AE55*AE12</f>
        <v>1.17066554906688</v>
      </c>
      <c r="AF57" s="11" t="n">
        <f aca="false">AF55*AF12</f>
        <v>1.09582502213891</v>
      </c>
      <c r="AG57" s="11" t="n">
        <f aca="false">AG55*AG12</f>
        <v>0.981998734956492</v>
      </c>
      <c r="AH57" s="11" t="n">
        <f aca="false">AH55*AH12</f>
        <v>0.89890429407105</v>
      </c>
      <c r="AI57" s="11" t="n">
        <f aca="false">AI55*AI12</f>
        <v>0.781590531510348</v>
      </c>
      <c r="AJ57" s="11" t="n">
        <f aca="false">AJ55*AJ12</f>
        <v>0.687121597412762</v>
      </c>
      <c r="AK57" s="11" t="n">
        <f aca="false">AK55*AK12</f>
        <v>0.568267274514783</v>
      </c>
      <c r="AL57" s="11" t="n">
        <f aca="false">AL55*AL12</f>
        <v>0.458257368026259</v>
      </c>
      <c r="AM57" s="11" t="n">
        <f aca="false">AM55*AM12</f>
        <v>0.329526345346728</v>
      </c>
      <c r="AN57" s="11" t="n">
        <f aca="false">AN55*AN12</f>
        <v>0.209156700450321</v>
      </c>
      <c r="AO57" s="11" t="n">
        <f aca="false">AO55*AO12</f>
        <v>0.103629664278878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65.7739998413269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0</v>
      </c>
      <c r="Q58" s="11" t="n">
        <f aca="false">Time!Q30*(Q55-Q56)*Q19</f>
        <v>1.71899764115453</v>
      </c>
      <c r="R58" s="11" t="n">
        <f aca="false">Time!R30*(R55-R56)*R19</f>
        <v>1.80367324998929</v>
      </c>
      <c r="S58" s="11" t="n">
        <f aca="false">Time!S30*(S55-S56)*S19</f>
        <v>1.85682458273282</v>
      </c>
      <c r="T58" s="11" t="n">
        <f aca="false">Time!T30*(T55-T56)*T19</f>
        <v>1.94223784814744</v>
      </c>
      <c r="U58" s="11" t="n">
        <f aca="false">Time!U30*(U55-U56)*U19</f>
        <v>2.00417923227336</v>
      </c>
      <c r="V58" s="11" t="n">
        <f aca="false">Time!V30*(V55-V56)*V19</f>
        <v>2.13511084551973</v>
      </c>
      <c r="W58" s="11" t="n">
        <f aca="false">Time!W30*(W55-W56)*W19</f>
        <v>2.20037987368397</v>
      </c>
      <c r="X58" s="11" t="n">
        <f aca="false">Time!X30*(X55-X56)*X19</f>
        <v>2.13930231591442</v>
      </c>
      <c r="Y58" s="11" t="n">
        <f aca="false">Time!Y30*(Y55-Y56)*Y19</f>
        <v>2.14030896349629</v>
      </c>
      <c r="Z58" s="11" t="n">
        <f aca="false">Time!Z30*(Z55-Z56)*Z19</f>
        <v>2.22897758675797</v>
      </c>
      <c r="AA58" s="11" t="n">
        <f aca="false">Time!AA30*(AA55-AA56)*AA19</f>
        <v>2.29402474108095</v>
      </c>
      <c r="AB58" s="11" t="n">
        <f aca="false">Time!AB30*(AB55-AB56)*AB19</f>
        <v>2.4036201402639</v>
      </c>
      <c r="AC58" s="11" t="n">
        <f aca="false">Time!AC30*(AC55-AC56)*AC19</f>
        <v>2.48324836492955</v>
      </c>
      <c r="AD58" s="11" t="n">
        <f aca="false">Time!AD30*(AD55-AD56)*AD19</f>
        <v>2.71152600132063</v>
      </c>
      <c r="AE58" s="11" t="n">
        <f aca="false">Time!AE30*(AE55-AE56)*AE19</f>
        <v>2.82806885133399</v>
      </c>
      <c r="AF58" s="11" t="n">
        <f aca="false">Time!AF30*(AF55-AF56)*AF19</f>
        <v>2.92728256036478</v>
      </c>
      <c r="AG58" s="11" t="n">
        <f aca="false">Time!AG30*(AG55-AG56)*AG19</f>
        <v>2.98191506770515</v>
      </c>
      <c r="AH58" s="11" t="n">
        <f aca="false">Time!AH30*(AH55-AH56)*AH19</f>
        <v>3.13161179741124</v>
      </c>
      <c r="AI58" s="11" t="n">
        <f aca="false">Time!AI30*(AI55-AI56)*AI19</f>
        <v>3.22356381583427</v>
      </c>
      <c r="AJ58" s="11" t="n">
        <f aca="false">Time!AJ30*(AJ55-AJ56)*AJ19</f>
        <v>3.37918994452776</v>
      </c>
      <c r="AK58" s="11" t="n">
        <f aca="false">Time!AK30*(AK55-AK56)*AK19</f>
        <v>3.48856833927634</v>
      </c>
      <c r="AL58" s="11" t="n">
        <f aca="false">Time!AL30*(AL55-AL56)*AL19</f>
        <v>3.69906421860923</v>
      </c>
      <c r="AM58" s="11" t="n">
        <f aca="false">Time!AM30*(AM55-AM56)*AM19</f>
        <v>3.77594914556603</v>
      </c>
      <c r="AN58" s="11" t="n">
        <f aca="false">Time!AN30*(AN55-AN56)*AN19</f>
        <v>3.11511321965325</v>
      </c>
      <c r="AO58" s="11" t="n">
        <f aca="false">Time!AO30*(AO55-AO56)*AO19</f>
        <v>3.16126149377997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65.7739998413269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0</v>
      </c>
      <c r="Q62" s="11" t="n">
        <f aca="false">Q58-Q59+Q61</f>
        <v>1.71899764115453</v>
      </c>
      <c r="R62" s="11" t="n">
        <f aca="false">R58-R59+R61</f>
        <v>1.80367324998929</v>
      </c>
      <c r="S62" s="11" t="n">
        <f aca="false">S58-S59+S61</f>
        <v>1.85682458273282</v>
      </c>
      <c r="T62" s="11" t="n">
        <f aca="false">T58-T59+T61</f>
        <v>1.94223784814744</v>
      </c>
      <c r="U62" s="11" t="n">
        <f aca="false">U58-U59+U61</f>
        <v>2.00417923227336</v>
      </c>
      <c r="V62" s="11" t="n">
        <f aca="false">V58-V59+V61</f>
        <v>2.13511084551973</v>
      </c>
      <c r="W62" s="11" t="n">
        <f aca="false">W58-W59+W61</f>
        <v>2.20037987368397</v>
      </c>
      <c r="X62" s="11" t="n">
        <f aca="false">X58-X59+X61</f>
        <v>2.13930231591442</v>
      </c>
      <c r="Y62" s="11" t="n">
        <f aca="false">Y58-Y59+Y61</f>
        <v>2.14030896349629</v>
      </c>
      <c r="Z62" s="11" t="n">
        <f aca="false">Z58-Z59+Z61</f>
        <v>2.22897758675797</v>
      </c>
      <c r="AA62" s="11" t="n">
        <f aca="false">AA58-AA59+AA61</f>
        <v>2.29402474108095</v>
      </c>
      <c r="AB62" s="11" t="n">
        <f aca="false">AB58-AB59+AB61</f>
        <v>2.4036201402639</v>
      </c>
      <c r="AC62" s="11" t="n">
        <f aca="false">AC58-AC59+AC61</f>
        <v>2.48324836492955</v>
      </c>
      <c r="AD62" s="11" t="n">
        <f aca="false">AD58-AD59+AD61</f>
        <v>2.71152600132063</v>
      </c>
      <c r="AE62" s="11" t="n">
        <f aca="false">AE58-AE59+AE61</f>
        <v>2.82806885133399</v>
      </c>
      <c r="AF62" s="11" t="n">
        <f aca="false">AF58-AF59+AF61</f>
        <v>2.92728256036478</v>
      </c>
      <c r="AG62" s="11" t="n">
        <f aca="false">AG58-AG59+AG61</f>
        <v>2.98191506770515</v>
      </c>
      <c r="AH62" s="11" t="n">
        <f aca="false">AH58-AH59+AH61</f>
        <v>3.13161179741124</v>
      </c>
      <c r="AI62" s="11" t="n">
        <f aca="false">AI58-AI59+AI61</f>
        <v>3.22356381583427</v>
      </c>
      <c r="AJ62" s="11" t="n">
        <f aca="false">AJ58-AJ59+AJ61</f>
        <v>3.37918994452776</v>
      </c>
      <c r="AK62" s="11" t="n">
        <f aca="false">AK58-AK59+AK61</f>
        <v>3.48856833927634</v>
      </c>
      <c r="AL62" s="11" t="n">
        <f aca="false">AL58-AL59+AL61</f>
        <v>3.69906421860923</v>
      </c>
      <c r="AM62" s="11" t="n">
        <f aca="false">AM58-AM59+AM61</f>
        <v>3.77594914556603</v>
      </c>
      <c r="AN62" s="11" t="n">
        <f aca="false">AN58-AN59+AN61</f>
        <v>3.11511321965325</v>
      </c>
      <c r="AO62" s="11" t="n">
        <f aca="false">AO58-AO59+AO61</f>
        <v>3.16126149377997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0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0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0</v>
      </c>
      <c r="Q66" s="11" t="n">
        <f aca="false">Q55-Q62-Q63-Q64</f>
        <v>64.0550022001723</v>
      </c>
      <c r="R66" s="11" t="n">
        <f aca="false">R55-R62-R63-R64</f>
        <v>62.251328950183</v>
      </c>
      <c r="S66" s="11" t="n">
        <f aca="false">S55-S62-S63-S64</f>
        <v>60.3945043674502</v>
      </c>
      <c r="T66" s="11" t="n">
        <f aca="false">T55-T62-T63-T64</f>
        <v>58.4522665193028</v>
      </c>
      <c r="U66" s="11" t="n">
        <f aca="false">U55-U62-U63-U64</f>
        <v>56.4480872870294</v>
      </c>
      <c r="V66" s="11" t="n">
        <f aca="false">V55-V62-V63-V64</f>
        <v>54.3129764415097</v>
      </c>
      <c r="W66" s="11" t="n">
        <f aca="false">W55-W62-W63-W64</f>
        <v>52.1125965678257</v>
      </c>
      <c r="X66" s="11" t="n">
        <f aca="false">X55-X62-X63-X64</f>
        <v>49.9732942519113</v>
      </c>
      <c r="Y66" s="11" t="n">
        <f aca="false">Y55-Y62-Y63-Y64</f>
        <v>47.832985288415</v>
      </c>
      <c r="Z66" s="11" t="n">
        <f aca="false">Z55-Z62-Z63-Z64</f>
        <v>45.604007701657</v>
      </c>
      <c r="AA66" s="11" t="n">
        <f aca="false">AA55-AA62-AA63-AA64</f>
        <v>43.3099829605761</v>
      </c>
      <c r="AB66" s="11" t="n">
        <f aca="false">AB55-AB62-AB63-AB64</f>
        <v>40.9063628203122</v>
      </c>
      <c r="AC66" s="11" t="n">
        <f aca="false">AC55-AC62-AC63-AC64</f>
        <v>38.4231144553826</v>
      </c>
      <c r="AD66" s="11" t="n">
        <f aca="false">AD55-AD62-AD63-AD64</f>
        <v>35.711588454062</v>
      </c>
      <c r="AE66" s="11" t="n">
        <f aca="false">AE55-AE62-AE63-AE64</f>
        <v>32.883519602728</v>
      </c>
      <c r="AF66" s="11" t="n">
        <f aca="false">AF55-AF62-AF63-AF64</f>
        <v>29.9562370423632</v>
      </c>
      <c r="AG66" s="11" t="n">
        <f aca="false">AG55-AG62-AG63-AG64</f>
        <v>26.9743219746581</v>
      </c>
      <c r="AH66" s="11" t="n">
        <f aca="false">AH55-AH62-AH63-AH64</f>
        <v>23.8427101772468</v>
      </c>
      <c r="AI66" s="11" t="n">
        <f aca="false">AI55-AI62-AI63-AI64</f>
        <v>20.6191463614126</v>
      </c>
      <c r="AJ66" s="11" t="n">
        <f aca="false">AJ55-AJ62-AJ63-AJ64</f>
        <v>17.2399564168848</v>
      </c>
      <c r="AK66" s="11" t="n">
        <f aca="false">AK55-AK62-AK63-AK64</f>
        <v>13.7513880776085</v>
      </c>
      <c r="AL66" s="11" t="n">
        <f aca="false">AL55-AL62-AL63-AL64</f>
        <v>10.0523238589992</v>
      </c>
      <c r="AM66" s="11" t="n">
        <f aca="false">AM55-AM62-AM63-AM64</f>
        <v>6.27637471343322</v>
      </c>
      <c r="AN66" s="11" t="n">
        <f aca="false">AN55-AN62-AN63-AN64</f>
        <v>3.16126149377997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0</v>
      </c>
      <c r="P68" s="11" t="n">
        <f aca="false">IF(Time!P29=1,INDEX(Funding!$J$63:$BJ$63,1,Time!$F$13),Time!P30*(P66-P67))</f>
        <v>65.7739998413268</v>
      </c>
      <c r="Q68" s="11" t="n">
        <f aca="false">IF(Time!Q29=1,INDEX(Funding!$J$63:$BJ$63,1,Time!$F$13),Time!Q30*(Q66-Q67))</f>
        <v>64.0550022001723</v>
      </c>
      <c r="R68" s="11" t="n">
        <f aca="false">IF(Time!R29=1,INDEX(Funding!$J$63:$BJ$63,1,Time!$F$13),Time!R30*(R66-R67))</f>
        <v>62.251328950183</v>
      </c>
      <c r="S68" s="11" t="n">
        <f aca="false">IF(Time!S29=1,INDEX(Funding!$J$63:$BJ$63,1,Time!$F$13),Time!S30*(S66-S67))</f>
        <v>60.3945043674502</v>
      </c>
      <c r="T68" s="11" t="n">
        <f aca="false">IF(Time!T29=1,INDEX(Funding!$J$63:$BJ$63,1,Time!$F$13),Time!T30*(T66-T67))</f>
        <v>58.4522665193028</v>
      </c>
      <c r="U68" s="11" t="n">
        <f aca="false">IF(Time!U29=1,INDEX(Funding!$J$63:$BJ$63,1,Time!$F$13),Time!U30*(U66-U67))</f>
        <v>56.4480872870294</v>
      </c>
      <c r="V68" s="11" t="n">
        <f aca="false">IF(Time!V29=1,INDEX(Funding!$J$63:$BJ$63,1,Time!$F$13),Time!V30*(V66-V67))</f>
        <v>54.3129764415097</v>
      </c>
      <c r="W68" s="11" t="n">
        <f aca="false">IF(Time!W29=1,INDEX(Funding!$J$63:$BJ$63,1,Time!$F$13),Time!W30*(W66-W67))</f>
        <v>52.1125965678257</v>
      </c>
      <c r="X68" s="11" t="n">
        <f aca="false">IF(Time!X29=1,INDEX(Funding!$J$63:$BJ$63,1,Time!$F$13),Time!X30*(X66-X67))</f>
        <v>49.9732942519113</v>
      </c>
      <c r="Y68" s="11" t="n">
        <f aca="false">IF(Time!Y29=1,INDEX(Funding!$J$63:$BJ$63,1,Time!$F$13),Time!Y30*(Y66-Y67))</f>
        <v>47.832985288415</v>
      </c>
      <c r="Z68" s="11" t="n">
        <f aca="false">IF(Time!Z29=1,INDEX(Funding!$J$63:$BJ$63,1,Time!$F$13),Time!Z30*(Z66-Z67))</f>
        <v>45.604007701657</v>
      </c>
      <c r="AA68" s="11" t="n">
        <f aca="false">IF(Time!AA29=1,INDEX(Funding!$J$63:$BJ$63,1,Time!$F$13),Time!AA30*(AA66-AA67))</f>
        <v>43.3099829605761</v>
      </c>
      <c r="AB68" s="11" t="n">
        <f aca="false">IF(Time!AB29=1,INDEX(Funding!$J$63:$BJ$63,1,Time!$F$13),Time!AB30*(AB66-AB67))</f>
        <v>40.9063628203122</v>
      </c>
      <c r="AC68" s="11" t="n">
        <f aca="false">IF(Time!AC29=1,INDEX(Funding!$J$63:$BJ$63,1,Time!$F$13),Time!AC30*(AC66-AC67))</f>
        <v>38.4231144553826</v>
      </c>
      <c r="AD68" s="11" t="n">
        <f aca="false">IF(Time!AD29=1,INDEX(Funding!$J$63:$BJ$63,1,Time!$F$13),Time!AD30*(AD66-AD67))</f>
        <v>35.711588454062</v>
      </c>
      <c r="AE68" s="11" t="n">
        <f aca="false">IF(Time!AE29=1,INDEX(Funding!$J$63:$BJ$63,1,Time!$F$13),Time!AE30*(AE66-AE67))</f>
        <v>32.883519602728</v>
      </c>
      <c r="AF68" s="11" t="n">
        <f aca="false">IF(Time!AF29=1,INDEX(Funding!$J$63:$BJ$63,1,Time!$F$13),Time!AF30*(AF66-AF67))</f>
        <v>29.9562370423632</v>
      </c>
      <c r="AG68" s="11" t="n">
        <f aca="false">IF(Time!AG29=1,INDEX(Funding!$J$63:$BJ$63,1,Time!$F$13),Time!AG30*(AG66-AG67))</f>
        <v>26.9743219746581</v>
      </c>
      <c r="AH68" s="11" t="n">
        <f aca="false">IF(Time!AH29=1,INDEX(Funding!$J$63:$BJ$63,1,Time!$F$13),Time!AH30*(AH66-AH67))</f>
        <v>23.8427101772468</v>
      </c>
      <c r="AI68" s="11" t="n">
        <f aca="false">IF(Time!AI29=1,INDEX(Funding!$J$63:$BJ$63,1,Time!$F$13),Time!AI30*(AI66-AI67))</f>
        <v>20.6191463614126</v>
      </c>
      <c r="AJ68" s="11" t="n">
        <f aca="false">IF(Time!AJ29=1,INDEX(Funding!$J$63:$BJ$63,1,Time!$F$13),Time!AJ30*(AJ66-AJ67))</f>
        <v>17.2399564168848</v>
      </c>
      <c r="AK68" s="11" t="n">
        <f aca="false">IF(Time!AK29=1,INDEX(Funding!$J$63:$BJ$63,1,Time!$F$13),Time!AK30*(AK66-AK67))</f>
        <v>13.7513880776085</v>
      </c>
      <c r="AL68" s="11" t="n">
        <f aca="false">IF(Time!AL29=1,INDEX(Funding!$J$63:$BJ$63,1,Time!$F$13),Time!AL30*(AL66-AL67))</f>
        <v>10.0523238589992</v>
      </c>
      <c r="AM68" s="11" t="n">
        <f aca="false">IF(Time!AM29=1,INDEX(Funding!$J$63:$BJ$63,1,Time!$F$13),Time!AM30*(AM66-AM67))</f>
        <v>6.27637471343322</v>
      </c>
      <c r="AN68" s="11" t="n">
        <f aca="false">IF(Time!AN29=1,INDEX(Funding!$J$63:$BJ$63,1,Time!$F$13),Time!AN30*(AN66-AN67))</f>
        <v>3.16126149377997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0</v>
      </c>
      <c r="Q70" s="11" t="n">
        <f aca="false">Time!Q30*P83</f>
        <v>249.941199397042</v>
      </c>
      <c r="R70" s="11" t="n">
        <f aca="false">Time!R30*Q83</f>
        <v>243.409008360655</v>
      </c>
      <c r="S70" s="11" t="n">
        <f aca="false">Time!S30*R83</f>
        <v>236.555050010696</v>
      </c>
      <c r="T70" s="11" t="n">
        <f aca="false">Time!T30*S83</f>
        <v>229.499116596311</v>
      </c>
      <c r="U70" s="11" t="n">
        <f aca="false">Time!U30*T83</f>
        <v>222.118612773351</v>
      </c>
      <c r="V70" s="11" t="n">
        <f aca="false">Time!V30*U83</f>
        <v>214.502731690712</v>
      </c>
      <c r="W70" s="11" t="n">
        <f aca="false">Time!W30*V83</f>
        <v>206.389310477737</v>
      </c>
      <c r="X70" s="11" t="n">
        <f aca="false">Time!X30*W83</f>
        <v>198.027866957738</v>
      </c>
      <c r="Y70" s="11" t="n">
        <f aca="false">Time!Y30*X83</f>
        <v>189.898518157263</v>
      </c>
      <c r="Z70" s="11" t="n">
        <f aca="false">Time!Z30*Y83</f>
        <v>181.765344095977</v>
      </c>
      <c r="AA70" s="11" t="n">
        <f aca="false">Time!AA30*Z83</f>
        <v>173.295229266297</v>
      </c>
      <c r="AB70" s="11" t="n">
        <f aca="false">Time!AB30*AA83</f>
        <v>159.598247930778</v>
      </c>
      <c r="AC70" s="11" t="n">
        <f aca="false">Time!AC30*AB83</f>
        <v>144.86174532473</v>
      </c>
      <c r="AD70" s="11" t="n">
        <f aca="false">Time!AD30*AC83</f>
        <v>130.713690275245</v>
      </c>
      <c r="AE70" s="11" t="n">
        <f aca="false">Time!AE30*AD83</f>
        <v>115.57581598311</v>
      </c>
      <c r="AF70" s="11" t="n">
        <f aca="false">Time!AF30*AE83</f>
        <v>99.5574470734754</v>
      </c>
      <c r="AG70" s="11" t="n">
        <f aca="false">Time!AG30*AF83</f>
        <v>82.6176931882564</v>
      </c>
      <c r="AH70" s="11" t="n">
        <f aca="false">Time!AH30*AG83</f>
        <v>66.2565864936613</v>
      </c>
      <c r="AI70" s="11" t="n">
        <f aca="false">Time!AI30*AH83</f>
        <v>49.239704578839</v>
      </c>
      <c r="AJ70" s="11" t="n">
        <f aca="false">Time!AJ30*AI83</f>
        <v>32.6105886616076</v>
      </c>
      <c r="AK70" s="11" t="n">
        <f aca="false">Time!AK30*AJ83</f>
        <v>15.6891880212347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136.618818010277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0</v>
      </c>
      <c r="Q72" s="11" t="n">
        <f aca="false">Q70*Q13</f>
        <v>10.0671532291708</v>
      </c>
      <c r="R72" s="11" t="n">
        <f aca="false">R70*R13</f>
        <v>9.96654712504874</v>
      </c>
      <c r="S72" s="11" t="n">
        <f aca="false">S70*S13</f>
        <v>9.54119970540053</v>
      </c>
      <c r="T72" s="11" t="n">
        <f aca="false">T70*T13</f>
        <v>9.41003044493417</v>
      </c>
      <c r="U72" s="11" t="n">
        <f aca="false">U70*U13</f>
        <v>9.00841796076214</v>
      </c>
      <c r="V72" s="11" t="n">
        <f aca="false">V70*V13</f>
        <v>8.79514163569373</v>
      </c>
      <c r="W72" s="11" t="n">
        <f aca="false">W70*W13</f>
        <v>8.32449625674432</v>
      </c>
      <c r="X72" s="11" t="n">
        <f aca="false">X70*X13</f>
        <v>8.11963150296344</v>
      </c>
      <c r="Y72" s="11" t="n">
        <f aca="false">Y70*Y13</f>
        <v>8.18978387010823</v>
      </c>
      <c r="Z72" s="11" t="n">
        <f aca="false">Z70*Z13</f>
        <v>7.96895172782263</v>
      </c>
      <c r="AA72" s="11" t="n">
        <f aca="false">AA70*AA13</f>
        <v>7.47373116538215</v>
      </c>
      <c r="AB72" s="11" t="n">
        <f aca="false">AB70*AB13</f>
        <v>6.9971024450837</v>
      </c>
      <c r="AC72" s="11" t="n">
        <f aca="false">AC70*AC13</f>
        <v>6.28199218058822</v>
      </c>
      <c r="AD72" s="11" t="n">
        <f aca="false">AD70*AD13</f>
        <v>5.73074638154876</v>
      </c>
      <c r="AE72" s="11" t="n">
        <f aca="false">AE70*AE13</f>
        <v>4.98445676510863</v>
      </c>
      <c r="AF72" s="11" t="n">
        <f aca="false">AF70*AF13</f>
        <v>4.36479513638674</v>
      </c>
      <c r="AG72" s="11" t="n">
        <f aca="false">AG70*AG13</f>
        <v>3.79383507035036</v>
      </c>
      <c r="AH72" s="11" t="n">
        <f aca="false">AH70*AH13</f>
        <v>3.09295561543002</v>
      </c>
      <c r="AI72" s="11" t="n">
        <f aca="false">AI70*AI13</f>
        <v>2.26110547118791</v>
      </c>
      <c r="AJ72" s="11" t="n">
        <f aca="false">AJ70*AJ13</f>
        <v>1.52231059070704</v>
      </c>
      <c r="AK72" s="11" t="n">
        <f aca="false">AK70*AK13</f>
        <v>0.724433729854568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161.346865874348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0</v>
      </c>
      <c r="Q73" s="11" t="n">
        <f aca="false">Time!Q30*(Q70-Q71)*Q19</f>
        <v>6.53219103638723</v>
      </c>
      <c r="R73" s="11" t="n">
        <f aca="false">Time!R30*(R70-R71)*R19</f>
        <v>6.85395834995929</v>
      </c>
      <c r="S73" s="11" t="n">
        <f aca="false">Time!S30*(S70-S71)*S19</f>
        <v>7.05593341438472</v>
      </c>
      <c r="T73" s="11" t="n">
        <f aca="false">Time!T30*(T70-T71)*T19</f>
        <v>7.38050382296028</v>
      </c>
      <c r="U73" s="11" t="n">
        <f aca="false">Time!U30*(U70-U71)*U19</f>
        <v>7.61588108263877</v>
      </c>
      <c r="V73" s="11" t="n">
        <f aca="false">Time!V30*(V70-V71)*V19</f>
        <v>8.11342121297497</v>
      </c>
      <c r="W73" s="11" t="n">
        <f aca="false">Time!W30*(W70-W71)*W19</f>
        <v>8.3614435199991</v>
      </c>
      <c r="X73" s="11" t="n">
        <f aca="false">Time!X30*(X70-X71)*X19</f>
        <v>8.1293488004748</v>
      </c>
      <c r="Y73" s="11" t="n">
        <f aca="false">Time!Y30*(Y70-Y71)*Y19</f>
        <v>8.1331740612859</v>
      </c>
      <c r="Z73" s="11" t="n">
        <f aca="false">Time!Z30*(Z70-Z71)*Z19</f>
        <v>8.4701148296803</v>
      </c>
      <c r="AA73" s="11" t="n">
        <f aca="false">Time!AA30*(AA70-AA71)*AA19</f>
        <v>8.71729401610759</v>
      </c>
      <c r="AB73" s="11" t="n">
        <f aca="false">Time!AB30*(AB70-AB71)*AB19</f>
        <v>8.85739353502961</v>
      </c>
      <c r="AC73" s="11" t="n">
        <f aca="false">Time!AC30*(AC70-AC71)*AC19</f>
        <v>8.79393002498505</v>
      </c>
      <c r="AD73" s="11" t="n">
        <f aca="false">Time!AD30*(AD70-AD71)*AD19</f>
        <v>9.22448830433749</v>
      </c>
      <c r="AE73" s="11" t="n">
        <f aca="false">Time!AE30*(AE70-AE71)*AE19</f>
        <v>9.15266946385761</v>
      </c>
      <c r="AF73" s="11" t="n">
        <f aca="false">Time!AF30*(AF70-AF71)*AF19</f>
        <v>8.86257864405875</v>
      </c>
      <c r="AG73" s="11" t="n">
        <f aca="false">Time!AG30*(AG70-AG71)*AG19</f>
        <v>8.22396163539196</v>
      </c>
      <c r="AH73" s="11" t="n">
        <f aca="false">Time!AH30*(AH70-AH71)*AH19</f>
        <v>7.69212690923913</v>
      </c>
      <c r="AI73" s="11" t="n">
        <f aca="false">Time!AI30*(AI70-AI71)*AI19</f>
        <v>6.65726877535039</v>
      </c>
      <c r="AJ73" s="11" t="n">
        <f aca="false">Time!AJ30*(AJ70-AJ71)*AJ19</f>
        <v>5.34441976204518</v>
      </c>
      <c r="AK73" s="11" t="n">
        <f aca="false">Time!AK30*(AK70-AK71)*AK19</f>
        <v>3.17476467319997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161.346865874348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0</v>
      </c>
      <c r="Q77" s="11" t="n">
        <f aca="false">Q73-Q74+Q76</f>
        <v>6.53219103638723</v>
      </c>
      <c r="R77" s="11" t="n">
        <f aca="false">R73-R74+R76</f>
        <v>6.85395834995929</v>
      </c>
      <c r="S77" s="11" t="n">
        <f aca="false">S73-S74+S76</f>
        <v>7.05593341438472</v>
      </c>
      <c r="T77" s="11" t="n">
        <f aca="false">T73-T74+T76</f>
        <v>7.38050382296028</v>
      </c>
      <c r="U77" s="11" t="n">
        <f aca="false">U73-U74+U76</f>
        <v>7.61588108263877</v>
      </c>
      <c r="V77" s="11" t="n">
        <f aca="false">V73-V74+V76</f>
        <v>8.11342121297497</v>
      </c>
      <c r="W77" s="11" t="n">
        <f aca="false">W73-W74+W76</f>
        <v>8.3614435199991</v>
      </c>
      <c r="X77" s="11" t="n">
        <f aca="false">X73-X74+X76</f>
        <v>8.1293488004748</v>
      </c>
      <c r="Y77" s="11" t="n">
        <f aca="false">Y73-Y74+Y76</f>
        <v>8.1331740612859</v>
      </c>
      <c r="Z77" s="11" t="n">
        <f aca="false">Z73-Z74+Z76</f>
        <v>8.4701148296803</v>
      </c>
      <c r="AA77" s="11" t="n">
        <f aca="false">AA73-AA74+AA76</f>
        <v>8.71729401610759</v>
      </c>
      <c r="AB77" s="11" t="n">
        <f aca="false">AB73-AB74+AB76</f>
        <v>8.85739353502961</v>
      </c>
      <c r="AC77" s="11" t="n">
        <f aca="false">AC73-AC74+AC76</f>
        <v>8.79393002498505</v>
      </c>
      <c r="AD77" s="11" t="n">
        <f aca="false">AD73-AD74+AD76</f>
        <v>9.22448830433749</v>
      </c>
      <c r="AE77" s="11" t="n">
        <f aca="false">AE73-AE74+AE76</f>
        <v>9.15266946385761</v>
      </c>
      <c r="AF77" s="11" t="n">
        <f aca="false">AF73-AF74+AF76</f>
        <v>8.86257864405875</v>
      </c>
      <c r="AG77" s="11" t="n">
        <f aca="false">AG73-AG74+AG76</f>
        <v>8.22396163539196</v>
      </c>
      <c r="AH77" s="11" t="n">
        <f aca="false">AH73-AH74+AH76</f>
        <v>7.69212690923913</v>
      </c>
      <c r="AI77" s="11" t="n">
        <f aca="false">AI73-AI74+AI76</f>
        <v>6.65726877535039</v>
      </c>
      <c r="AJ77" s="11" t="n">
        <f aca="false">AJ73-AJ74+AJ76</f>
        <v>5.34441976204518</v>
      </c>
      <c r="AK77" s="11" t="n">
        <f aca="false">AK73-AK74+AK76</f>
        <v>3.17476467319997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0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0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0</v>
      </c>
      <c r="Q81" s="11" t="n">
        <f aca="false">Q70-Q77-Q78-Q79</f>
        <v>243.409008360655</v>
      </c>
      <c r="R81" s="11" t="n">
        <f aca="false">R70-R77-R78-R79</f>
        <v>236.555050010696</v>
      </c>
      <c r="S81" s="11" t="n">
        <f aca="false">S70-S77-S78-S79</f>
        <v>229.499116596311</v>
      </c>
      <c r="T81" s="11" t="n">
        <f aca="false">T70-T77-T78-T79</f>
        <v>222.118612773351</v>
      </c>
      <c r="U81" s="11" t="n">
        <f aca="false">U70-U77-U78-U79</f>
        <v>214.502731690712</v>
      </c>
      <c r="V81" s="11" t="n">
        <f aca="false">V70-V77-V78-V79</f>
        <v>206.389310477737</v>
      </c>
      <c r="W81" s="11" t="n">
        <f aca="false">W70-W77-W78-W79</f>
        <v>198.027866957738</v>
      </c>
      <c r="X81" s="11" t="n">
        <f aca="false">X70-X77-X78-X79</f>
        <v>189.898518157263</v>
      </c>
      <c r="Y81" s="11" t="n">
        <f aca="false">Y70-Y77-Y78-Y79</f>
        <v>181.765344095977</v>
      </c>
      <c r="Z81" s="11" t="n">
        <f aca="false">Z70-Z77-Z78-Z79</f>
        <v>173.295229266297</v>
      </c>
      <c r="AA81" s="11" t="n">
        <f aca="false">AA70-AA77-AA78-AA79</f>
        <v>164.577935250189</v>
      </c>
      <c r="AB81" s="11" t="n">
        <f aca="false">AB70-AB77-AB78-AB79</f>
        <v>150.740854395749</v>
      </c>
      <c r="AC81" s="11" t="n">
        <f aca="false">AC70-AC77-AC78-AC79</f>
        <v>136.067815299745</v>
      </c>
      <c r="AD81" s="11" t="n">
        <f aca="false">AD70-AD77-AD78-AD79</f>
        <v>121.489201970907</v>
      </c>
      <c r="AE81" s="11" t="n">
        <f aca="false">AE70-AE77-AE78-AE79</f>
        <v>106.423146519253</v>
      </c>
      <c r="AF81" s="11" t="n">
        <f aca="false">AF70-AF77-AF78-AF79</f>
        <v>90.6948684294166</v>
      </c>
      <c r="AG81" s="11" t="n">
        <f aca="false">AG70-AG77-AG78-AG79</f>
        <v>74.3937315528644</v>
      </c>
      <c r="AH81" s="11" t="n">
        <f aca="false">AH70-AH77-AH78-AH79</f>
        <v>58.5644595844221</v>
      </c>
      <c r="AI81" s="11" t="n">
        <f aca="false">AI70-AI77-AI78-AI79</f>
        <v>42.5824358034886</v>
      </c>
      <c r="AJ81" s="11" t="n">
        <f aca="false">AJ70-AJ77-AJ78-AJ79</f>
        <v>27.2661688995624</v>
      </c>
      <c r="AK81" s="11" t="n">
        <f aca="false">AK70-AK77-AK78-AK79</f>
        <v>12.5144233480348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88.5943335226939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4.97968731941094</v>
      </c>
      <c r="AB82" s="11" t="n">
        <f aca="false">Waterfall!AB28*AB81/(AB36+AB51+AB66+AB81+AB96+0.000000001)+Waterfall!AB29</f>
        <v>5.87910907101877</v>
      </c>
      <c r="AC82" s="11" t="n">
        <f aca="false">Waterfall!AC28*AC81/(AC36+AC51+AC66+AC81+AC96+0.000000001)+Waterfall!AC29</f>
        <v>5.3541250244998</v>
      </c>
      <c r="AD82" s="11" t="n">
        <f aca="false">Waterfall!AD28*AD81/(AD36+AD51+AD66+AD81+AD96+0.000000001)+Waterfall!AD29</f>
        <v>5.91338598779726</v>
      </c>
      <c r="AE82" s="11" t="n">
        <f aca="false">Waterfall!AE28*AE81/(AE36+AE51+AE66+AE81+AE96+0.000000001)+Waterfall!AE29</f>
        <v>6.86569944577716</v>
      </c>
      <c r="AF82" s="11" t="n">
        <f aca="false">Waterfall!AF28*AF81/(AF36+AF51+AF66+AF81+AF96+0.000000001)+Waterfall!AF29</f>
        <v>8.07717524116026</v>
      </c>
      <c r="AG82" s="11" t="n">
        <f aca="false">Waterfall!AG28*AG81/(AG36+AG51+AG66+AG81+AG96+0.000000001)+Waterfall!AG29</f>
        <v>8.13714505920316</v>
      </c>
      <c r="AH82" s="11" t="n">
        <f aca="false">Waterfall!AH28*AH81/(AH36+AH51+AH66+AH81+AH96+0.000000001)+Waterfall!AH29</f>
        <v>9.32475500558314</v>
      </c>
      <c r="AI82" s="11" t="n">
        <f aca="false">Waterfall!AI28*AI81/(AI36+AI51+AI66+AI81+AI96+0.000000001)+Waterfall!AI29</f>
        <v>9.97184714188098</v>
      </c>
      <c r="AJ82" s="11" t="n">
        <f aca="false">Waterfall!AJ28*AJ81/(AJ36+AJ51+AJ66+AJ81+AJ96+0.000000001)+Waterfall!AJ29</f>
        <v>11.5769808783277</v>
      </c>
      <c r="AK82" s="11" t="n">
        <f aca="false">Waterfall!AK28*AK81/(AK36+AK51+AK66+AK81+AK96+0.000000001)+Waterfall!AK29</f>
        <v>12.5144233480348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0</v>
      </c>
      <c r="P83" s="11" t="n">
        <f aca="false">IF(Time!P29=1,INDEX(Funding!$J$64:$BJ$64,1,Time!$F$13),Time!P30*(P81-P82))</f>
        <v>249.941199397042</v>
      </c>
      <c r="Q83" s="11" t="n">
        <f aca="false">IF(Time!Q29=1,INDEX(Funding!$J$64:$BJ$64,1,Time!$F$13),Time!Q30*(Q81-Q82))</f>
        <v>243.409008360655</v>
      </c>
      <c r="R83" s="11" t="n">
        <f aca="false">IF(Time!R29=1,INDEX(Funding!$J$64:$BJ$64,1,Time!$F$13),Time!R30*(R81-R82))</f>
        <v>236.555050010696</v>
      </c>
      <c r="S83" s="11" t="n">
        <f aca="false">IF(Time!S29=1,INDEX(Funding!$J$64:$BJ$64,1,Time!$F$13),Time!S30*(S81-S82))</f>
        <v>229.499116596311</v>
      </c>
      <c r="T83" s="11" t="n">
        <f aca="false">IF(Time!T29=1,INDEX(Funding!$J$64:$BJ$64,1,Time!$F$13),Time!T30*(T81-T82))</f>
        <v>222.118612773351</v>
      </c>
      <c r="U83" s="11" t="n">
        <f aca="false">IF(Time!U29=1,INDEX(Funding!$J$64:$BJ$64,1,Time!$F$13),Time!U30*(U81-U82))</f>
        <v>214.502731690712</v>
      </c>
      <c r="V83" s="11" t="n">
        <f aca="false">IF(Time!V29=1,INDEX(Funding!$J$64:$BJ$64,1,Time!$F$13),Time!V30*(V81-V82))</f>
        <v>206.389310477737</v>
      </c>
      <c r="W83" s="11" t="n">
        <f aca="false">IF(Time!W29=1,INDEX(Funding!$J$64:$BJ$64,1,Time!$F$13),Time!W30*(W81-W82))</f>
        <v>198.027866957738</v>
      </c>
      <c r="X83" s="11" t="n">
        <f aca="false">IF(Time!X29=1,INDEX(Funding!$J$64:$BJ$64,1,Time!$F$13),Time!X30*(X81-X82))</f>
        <v>189.898518157263</v>
      </c>
      <c r="Y83" s="11" t="n">
        <f aca="false">IF(Time!Y29=1,INDEX(Funding!$J$64:$BJ$64,1,Time!$F$13),Time!Y30*(Y81-Y82))</f>
        <v>181.765344095977</v>
      </c>
      <c r="Z83" s="11" t="n">
        <f aca="false">IF(Time!Z29=1,INDEX(Funding!$J$64:$BJ$64,1,Time!$F$13),Time!Z30*(Z81-Z82))</f>
        <v>173.295229266297</v>
      </c>
      <c r="AA83" s="11" t="n">
        <f aca="false">IF(Time!AA29=1,INDEX(Funding!$J$64:$BJ$64,1,Time!$F$13),Time!AA30*(AA81-AA82))</f>
        <v>159.598247930778</v>
      </c>
      <c r="AB83" s="11" t="n">
        <f aca="false">IF(Time!AB29=1,INDEX(Funding!$J$64:$BJ$64,1,Time!$F$13),Time!AB30*(AB81-AB82))</f>
        <v>144.86174532473</v>
      </c>
      <c r="AC83" s="11" t="n">
        <f aca="false">IF(Time!AC29=1,INDEX(Funding!$J$64:$BJ$64,1,Time!$F$13),Time!AC30*(AC81-AC82))</f>
        <v>130.713690275245</v>
      </c>
      <c r="AD83" s="11" t="n">
        <f aca="false">IF(Time!AD29=1,INDEX(Funding!$J$64:$BJ$64,1,Time!$F$13),Time!AD30*(AD81-AD82))</f>
        <v>115.57581598311</v>
      </c>
      <c r="AE83" s="11" t="n">
        <f aca="false">IF(Time!AE29=1,INDEX(Funding!$J$64:$BJ$64,1,Time!$F$13),Time!AE30*(AE81-AE82))</f>
        <v>99.5574470734754</v>
      </c>
      <c r="AF83" s="11" t="n">
        <f aca="false">IF(Time!AF29=1,INDEX(Funding!$J$64:$BJ$64,1,Time!$F$13),Time!AF30*(AF81-AF82))</f>
        <v>82.6176931882564</v>
      </c>
      <c r="AG83" s="11" t="n">
        <f aca="false">IF(Time!AG29=1,INDEX(Funding!$J$64:$BJ$64,1,Time!$F$13),Time!AG30*(AG81-AG82))</f>
        <v>66.2565864936613</v>
      </c>
      <c r="AH83" s="11" t="n">
        <f aca="false">IF(Time!AH29=1,INDEX(Funding!$J$64:$BJ$64,1,Time!$F$13),Time!AH30*(AH81-AH82))</f>
        <v>49.239704578839</v>
      </c>
      <c r="AI83" s="11" t="n">
        <f aca="false">IF(Time!AI29=1,INDEX(Funding!$J$64:$BJ$64,1,Time!$F$13),Time!AI30*(AI81-AI82))</f>
        <v>32.6105886616076</v>
      </c>
      <c r="AJ83" s="11" t="n">
        <f aca="false">IF(Time!AJ29=1,INDEX(Funding!$J$64:$BJ$64,1,Time!$F$13),Time!AJ30*(AJ81-AJ82))</f>
        <v>15.6891880212347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0</v>
      </c>
      <c r="Q85" s="11" t="n">
        <f aca="false">Time!Q30*P98</f>
        <v>1.99840144432528E-013</v>
      </c>
      <c r="R85" s="11" t="n">
        <f aca="false">Time!R30*Q98</f>
        <v>1.94617340015643E-013</v>
      </c>
      <c r="S85" s="11" t="n">
        <f aca="false">Time!S30*R98</f>
        <v>1.89137266982887E-013</v>
      </c>
      <c r="T85" s="11" t="n">
        <f aca="false">Time!T30*S98</f>
        <v>1.83495705063369E-013</v>
      </c>
      <c r="U85" s="11" t="n">
        <f aca="false">Time!U30*T98</f>
        <v>1.77594633317201E-013</v>
      </c>
      <c r="V85" s="11" t="n">
        <f aca="false">Time!V30*U98</f>
        <v>1.71505366004701E-013</v>
      </c>
      <c r="W85" s="11" t="n">
        <f aca="false">Time!W30*V98</f>
        <v>1.65018291160881E-013</v>
      </c>
      <c r="X85" s="11" t="n">
        <f aca="false">Time!X30*W98</f>
        <v>1.58332910420402E-013</v>
      </c>
      <c r="Y85" s="11" t="n">
        <f aca="false">Time!Y30*X98</f>
        <v>1.51833100695762E-013</v>
      </c>
      <c r="Z85" s="11" t="n">
        <f aca="false">Time!Z30*Y98</f>
        <v>1.45330232489066E-013</v>
      </c>
      <c r="AA85" s="11" t="n">
        <f aca="false">Time!AA30*Z98</f>
        <v>1.38557963751432E-013</v>
      </c>
      <c r="AB85" s="11" t="n">
        <f aca="false">Time!AB30*AA98</f>
        <v>1.31588063233061E-013</v>
      </c>
      <c r="AC85" s="11" t="n">
        <f aca="false">Time!AC30*AB98</f>
        <v>1.24285180678403E-013</v>
      </c>
      <c r="AD85" s="11" t="n">
        <f aca="false">Time!AD30*AC98</f>
        <v>1.16740364898513E-013</v>
      </c>
      <c r="AE85" s="11" t="n">
        <f aca="false">Time!AE30*AD98</f>
        <v>1.08501976644132E-013</v>
      </c>
      <c r="AF85" s="11" t="n">
        <f aca="false">Time!AF30*AE98</f>
        <v>9.99094980191564E-014</v>
      </c>
      <c r="AG85" s="11" t="n">
        <f aca="false">Time!AG30*AF98</f>
        <v>9.10155798893582E-014</v>
      </c>
      <c r="AH85" s="11" t="n">
        <f aca="false">Time!AH30*AG98</f>
        <v>8.19556726425237E-014</v>
      </c>
      <c r="AI85" s="11" t="n">
        <f aca="false">Time!AI30*AH98</f>
        <v>7.24409440961224E-014</v>
      </c>
      <c r="AJ85" s="11" t="n">
        <f aca="false">Time!AJ30*AI98</f>
        <v>6.26468391291467E-014</v>
      </c>
      <c r="AK85" s="11" t="n">
        <f aca="false">Time!AK30*AJ98</f>
        <v>5.23798976597445E-014</v>
      </c>
      <c r="AL85" s="11" t="n">
        <f aca="false">Time!AL30*AK98</f>
        <v>4.1780633475332E-014</v>
      </c>
      <c r="AM85" s="11" t="n">
        <f aca="false">Time!AM30*AL98</f>
        <v>3.05418228587455E-014</v>
      </c>
      <c r="AN85" s="11" t="n">
        <f aca="false">Time!AN30*AM98</f>
        <v>1.90694139366766E-014</v>
      </c>
      <c r="AO85" s="11" t="n">
        <f aca="false">Time!AO30*AN98</f>
        <v>9.60481276841922E-015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1.18493695905764E-013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0</v>
      </c>
      <c r="Q87" s="11" t="n">
        <f aca="false">Q85*Q14</f>
        <v>7.8142899558505E-015</v>
      </c>
      <c r="R87" s="11" t="n">
        <f aca="false">R85*R14</f>
        <v>7.73619784271367E-015</v>
      </c>
      <c r="S87" s="11" t="n">
        <f aca="false">S85*S14</f>
        <v>7.40592187173758E-015</v>
      </c>
      <c r="T87" s="11" t="n">
        <f aca="false">T85*T14</f>
        <v>7.30410770528243E-015</v>
      </c>
      <c r="U87" s="11" t="n">
        <f aca="false">U85*U14</f>
        <v>6.99237429938706E-015</v>
      </c>
      <c r="V87" s="11" t="n">
        <f aca="false">V85*V14</f>
        <v>6.82682826227246E-015</v>
      </c>
      <c r="W87" s="11" t="n">
        <f aca="false">W85*W14</f>
        <v>6.4615112147925E-015</v>
      </c>
      <c r="X87" s="11" t="n">
        <f aca="false">X85*X14</f>
        <v>6.30249427692092E-015</v>
      </c>
      <c r="Y87" s="11" t="n">
        <f aca="false">Y85*Y14</f>
        <v>6.19968853174655E-015</v>
      </c>
      <c r="Z87" s="11" t="n">
        <f aca="false">Z85*Z14</f>
        <v>6.03251800298986E-015</v>
      </c>
      <c r="AA87" s="11" t="n">
        <f aca="false">AA85*AA14</f>
        <v>5.65763469833352E-015</v>
      </c>
      <c r="AB87" s="11" t="n">
        <f aca="false">AB85*AB14</f>
        <v>5.4620937903731E-015</v>
      </c>
      <c r="AC87" s="11" t="n">
        <f aca="false">AC85*AC14</f>
        <v>5.10288253567453E-015</v>
      </c>
      <c r="AD87" s="11" t="n">
        <f aca="false">AD85*AD14</f>
        <v>4.84578013028959E-015</v>
      </c>
      <c r="AE87" s="11" t="n">
        <f aca="false">AE85*AE14</f>
        <v>4.43038084047527E-015</v>
      </c>
      <c r="AF87" s="11" t="n">
        <f aca="false">AF85*AF14</f>
        <v>4.14714705362894E-015</v>
      </c>
      <c r="AG87" s="11" t="n">
        <f aca="false">AG85*AG14</f>
        <v>3.86890712467386E-015</v>
      </c>
      <c r="AH87" s="11" t="n">
        <f aca="false">AH85*AH14</f>
        <v>3.5415292341344E-015</v>
      </c>
      <c r="AI87" s="11" t="n">
        <f aca="false">AI85*AI14</f>
        <v>3.07933306662762E-015</v>
      </c>
      <c r="AJ87" s="11" t="n">
        <f aca="false">AJ85*AJ14</f>
        <v>2.70714161751471E-015</v>
      </c>
      <c r="AK87" s="11" t="n">
        <f aca="false">AK85*AK14</f>
        <v>2.23887590566667E-015</v>
      </c>
      <c r="AL87" s="11" t="n">
        <f aca="false">AL85*AL14</f>
        <v>1.80545568235344E-015</v>
      </c>
      <c r="AM87" s="11" t="n">
        <f aca="false">AM85*AM14</f>
        <v>1.29827746197268E-015</v>
      </c>
      <c r="AN87" s="11" t="n">
        <f aca="false">AN85*AN14</f>
        <v>8.24041640523474E-016</v>
      </c>
      <c r="AO87" s="11" t="n">
        <f aca="false">AO85*AO14</f>
        <v>4.08283159828995E-016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1.99840144432528E-013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0</v>
      </c>
      <c r="Q88" s="11" t="n">
        <f aca="false">Time!Q30*(Q85-Q86)*Q19</f>
        <v>5.22280441688534E-015</v>
      </c>
      <c r="R88" s="11" t="n">
        <f aca="false">Time!R30*(R85-R86)*R19</f>
        <v>5.48007303275591E-015</v>
      </c>
      <c r="S88" s="11" t="n">
        <f aca="false">Time!S30*(S85-S86)*S19</f>
        <v>5.64156191951774E-015</v>
      </c>
      <c r="T88" s="11" t="n">
        <f aca="false">Time!T30*(T85-T86)*T19</f>
        <v>5.90107174616793E-015</v>
      </c>
      <c r="U88" s="11" t="n">
        <f aca="false">Time!U30*(U85-U86)*U19</f>
        <v>6.08926731250015E-015</v>
      </c>
      <c r="V88" s="11" t="n">
        <f aca="false">Time!V30*(V85-V86)*V19</f>
        <v>6.48707484382043E-015</v>
      </c>
      <c r="W88" s="11" t="n">
        <f aca="false">Time!W30*(W85-W86)*W19</f>
        <v>6.68538074047836E-015</v>
      </c>
      <c r="X88" s="11" t="n">
        <f aca="false">Time!X30*(X85-X86)*X19</f>
        <v>6.49980972464082E-015</v>
      </c>
      <c r="Y88" s="11" t="n">
        <f aca="false">Time!Y30*(Y85-Y86)*Y19</f>
        <v>6.50286820669511E-015</v>
      </c>
      <c r="Z88" s="11" t="n">
        <f aca="false">Time!Z30*(Z85-Z86)*Z19</f>
        <v>6.7722687376343E-015</v>
      </c>
      <c r="AA88" s="11" t="n">
        <f aca="false">Time!AA30*(AA85-AA86)*AA19</f>
        <v>6.96990051837117E-015</v>
      </c>
      <c r="AB88" s="11" t="n">
        <f aca="false">Time!AB30*(AB85-AB86)*AB19</f>
        <v>7.3028825546575E-015</v>
      </c>
      <c r="AC88" s="11" t="n">
        <f aca="false">Time!AC30*(AC85-AC86)*AC19</f>
        <v>7.54481577989053E-015</v>
      </c>
      <c r="AD88" s="11" t="n">
        <f aca="false">Time!AD30*(AD85-AD86)*AD19</f>
        <v>8.23838825438139E-015</v>
      </c>
      <c r="AE88" s="11" t="n">
        <f aca="false">Time!AE30*(AE85-AE86)*AE19</f>
        <v>8.59247862497514E-015</v>
      </c>
      <c r="AF88" s="11" t="n">
        <f aca="false">Time!AF30*(AF85-AF86)*AF19</f>
        <v>8.89391812979818E-015</v>
      </c>
      <c r="AG88" s="11" t="n">
        <f aca="false">Time!AG30*(AG85-AG86)*AG19</f>
        <v>9.05990724683451E-015</v>
      </c>
      <c r="AH88" s="11" t="n">
        <f aca="false">Time!AH30*(AH85-AH86)*AH19</f>
        <v>9.51472854640137E-015</v>
      </c>
      <c r="AI88" s="11" t="n">
        <f aca="false">Time!AI30*(AI85-AI86)*AI19</f>
        <v>9.79410496697562E-015</v>
      </c>
      <c r="AJ88" s="11" t="n">
        <f aca="false">Time!AJ30*(AJ85-AJ86)*AJ19</f>
        <v>1.02669414694022E-014</v>
      </c>
      <c r="AK88" s="11" t="n">
        <f aca="false">Time!AK30*(AK85-AK86)*AK19</f>
        <v>1.05992641844125E-014</v>
      </c>
      <c r="AL88" s="11" t="n">
        <f aca="false">Time!AL30*(AL85-AL86)*AL19</f>
        <v>1.12388106165865E-014</v>
      </c>
      <c r="AM88" s="11" t="n">
        <f aca="false">Time!AM30*(AM85-AM86)*AM19</f>
        <v>1.14724089220689E-014</v>
      </c>
      <c r="AN88" s="11" t="n">
        <f aca="false">Time!AN30*(AN85-AN86)*AN19</f>
        <v>9.46460116825737E-015</v>
      </c>
      <c r="AO88" s="11" t="n">
        <f aca="false">Time!AO30*(AO85-AO86)*AO19</f>
        <v>9.60481276841922E-015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1.99840144432528E-013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0</v>
      </c>
      <c r="Q92" s="11" t="n">
        <f aca="false">Q88-Q89+Q91</f>
        <v>5.22280441688534E-015</v>
      </c>
      <c r="R92" s="11" t="n">
        <f aca="false">R88-R89+R91</f>
        <v>5.48007303275591E-015</v>
      </c>
      <c r="S92" s="11" t="n">
        <f aca="false">S88-S89+S91</f>
        <v>5.64156191951774E-015</v>
      </c>
      <c r="T92" s="11" t="n">
        <f aca="false">T88-T89+T91</f>
        <v>5.90107174616793E-015</v>
      </c>
      <c r="U92" s="11" t="n">
        <f aca="false">U88-U89+U91</f>
        <v>6.08926731250015E-015</v>
      </c>
      <c r="V92" s="11" t="n">
        <f aca="false">V88-V89+V91</f>
        <v>6.48707484382043E-015</v>
      </c>
      <c r="W92" s="11" t="n">
        <f aca="false">W88-W89+W91</f>
        <v>6.68538074047836E-015</v>
      </c>
      <c r="X92" s="11" t="n">
        <f aca="false">X88-X89+X91</f>
        <v>6.49980972464082E-015</v>
      </c>
      <c r="Y92" s="11" t="n">
        <f aca="false">Y88-Y89+Y91</f>
        <v>6.50286820669511E-015</v>
      </c>
      <c r="Z92" s="11" t="n">
        <f aca="false">Z88-Z89+Z91</f>
        <v>6.7722687376343E-015</v>
      </c>
      <c r="AA92" s="11" t="n">
        <f aca="false">AA88-AA89+AA91</f>
        <v>6.96990051837117E-015</v>
      </c>
      <c r="AB92" s="11" t="n">
        <f aca="false">AB88-AB89+AB91</f>
        <v>7.3028825546575E-015</v>
      </c>
      <c r="AC92" s="11" t="n">
        <f aca="false">AC88-AC89+AC91</f>
        <v>7.54481577989053E-015</v>
      </c>
      <c r="AD92" s="11" t="n">
        <f aca="false">AD88-AD89+AD91</f>
        <v>8.23838825438139E-015</v>
      </c>
      <c r="AE92" s="11" t="n">
        <f aca="false">AE88-AE89+AE91</f>
        <v>8.59247862497514E-015</v>
      </c>
      <c r="AF92" s="11" t="n">
        <f aca="false">AF88-AF89+AF91</f>
        <v>8.89391812979818E-015</v>
      </c>
      <c r="AG92" s="11" t="n">
        <f aca="false">AG88-AG89+AG91</f>
        <v>9.05990724683451E-015</v>
      </c>
      <c r="AH92" s="11" t="n">
        <f aca="false">AH88-AH89+AH91</f>
        <v>9.51472854640137E-015</v>
      </c>
      <c r="AI92" s="11" t="n">
        <f aca="false">AI88-AI89+AI91</f>
        <v>9.79410496697562E-015</v>
      </c>
      <c r="AJ92" s="11" t="n">
        <f aca="false">AJ88-AJ89+AJ91</f>
        <v>1.02669414694022E-014</v>
      </c>
      <c r="AK92" s="11" t="n">
        <f aca="false">AK88-AK89+AK91</f>
        <v>1.05992641844125E-014</v>
      </c>
      <c r="AL92" s="11" t="n">
        <f aca="false">AL88-AL89+AL91</f>
        <v>1.12388106165865E-014</v>
      </c>
      <c r="AM92" s="11" t="n">
        <f aca="false">AM88-AM89+AM91</f>
        <v>1.14724089220689E-014</v>
      </c>
      <c r="AN92" s="11" t="n">
        <f aca="false">AN88-AN89+AN91</f>
        <v>9.46460116825737E-015</v>
      </c>
      <c r="AO92" s="11" t="n">
        <f aca="false">AO88-AO89+AO91</f>
        <v>9.60481276841922E-015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0</v>
      </c>
      <c r="Q96" s="11" t="n">
        <f aca="false">Q85-Q92-Q93-Q94</f>
        <v>1.94617340015643E-013</v>
      </c>
      <c r="R96" s="11" t="n">
        <f aca="false">R85-R92-R93-R94</f>
        <v>1.89137266982887E-013</v>
      </c>
      <c r="S96" s="11" t="n">
        <f aca="false">S85-S92-S93-S94</f>
        <v>1.83495705063369E-013</v>
      </c>
      <c r="T96" s="11" t="n">
        <f aca="false">T85-T92-T93-T94</f>
        <v>1.77594633317201E-013</v>
      </c>
      <c r="U96" s="11" t="n">
        <f aca="false">U85-U92-U93-U94</f>
        <v>1.71505366004701E-013</v>
      </c>
      <c r="V96" s="11" t="n">
        <f aca="false">V85-V92-V93-V94</f>
        <v>1.65018291160881E-013</v>
      </c>
      <c r="W96" s="11" t="n">
        <f aca="false">W85-W92-W93-W94</f>
        <v>1.58332910420402E-013</v>
      </c>
      <c r="X96" s="11" t="n">
        <f aca="false">X85-X92-X93-X94</f>
        <v>1.51833100695762E-013</v>
      </c>
      <c r="Y96" s="11" t="n">
        <f aca="false">Y85-Y92-Y93-Y94</f>
        <v>1.45330232489066E-013</v>
      </c>
      <c r="Z96" s="11" t="n">
        <f aca="false">Z85-Z92-Z93-Z94</f>
        <v>1.38557963751432E-013</v>
      </c>
      <c r="AA96" s="11" t="n">
        <f aca="false">AA85-AA92-AA93-AA94</f>
        <v>1.31588063233061E-013</v>
      </c>
      <c r="AB96" s="11" t="n">
        <f aca="false">AB85-AB92-AB93-AB94</f>
        <v>1.24285180678403E-013</v>
      </c>
      <c r="AC96" s="11" t="n">
        <f aca="false">AC85-AC92-AC93-AC94</f>
        <v>1.16740364898513E-013</v>
      </c>
      <c r="AD96" s="11" t="n">
        <f aca="false">AD85-AD92-AD93-AD94</f>
        <v>1.08501976644132E-013</v>
      </c>
      <c r="AE96" s="11" t="n">
        <f aca="false">AE85-AE92-AE93-AE94</f>
        <v>9.99094980191564E-014</v>
      </c>
      <c r="AF96" s="11" t="n">
        <f aca="false">AF85-AF92-AF93-AF94</f>
        <v>9.10155798893582E-014</v>
      </c>
      <c r="AG96" s="11" t="n">
        <f aca="false">AG85-AG92-AG93-AG94</f>
        <v>8.19556726425237E-014</v>
      </c>
      <c r="AH96" s="11" t="n">
        <f aca="false">AH85-AH92-AH93-AH94</f>
        <v>7.24409440961224E-014</v>
      </c>
      <c r="AI96" s="11" t="n">
        <f aca="false">AI85-AI92-AI93-AI94</f>
        <v>6.26468391291467E-014</v>
      </c>
      <c r="AJ96" s="11" t="n">
        <f aca="false">AJ85-AJ92-AJ93-AJ94</f>
        <v>5.23798976597445E-014</v>
      </c>
      <c r="AK96" s="11" t="n">
        <f aca="false">AK85-AK92-AK93-AK94</f>
        <v>4.1780633475332E-014</v>
      </c>
      <c r="AL96" s="11" t="n">
        <f aca="false">AL85-AL92-AL93-AL94</f>
        <v>3.05418228587455E-014</v>
      </c>
      <c r="AM96" s="11" t="n">
        <f aca="false">AM85-AM92-AM93-AM94</f>
        <v>1.90694139366766E-014</v>
      </c>
      <c r="AN96" s="11" t="n">
        <f aca="false">AN85-AN92-AN93-AN94</f>
        <v>9.60481276841922E-015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0</v>
      </c>
      <c r="P98" s="11" t="n">
        <f aca="false">IF(Time!P29=1,INDEX(Funding!$J$65:$BJ$65,1,Time!$F$13),Time!P30*(P96-P97))</f>
        <v>1.99840144432528E-013</v>
      </c>
      <c r="Q98" s="11" t="n">
        <f aca="false">IF(Time!Q29=1,INDEX(Funding!$J$65:$BJ$65,1,Time!$F$13),Time!Q30*(Q96-Q97))</f>
        <v>1.94617340015643E-013</v>
      </c>
      <c r="R98" s="11" t="n">
        <f aca="false">IF(Time!R29=1,INDEX(Funding!$J$65:$BJ$65,1,Time!$F$13),Time!R30*(R96-R97))</f>
        <v>1.89137266982887E-013</v>
      </c>
      <c r="S98" s="11" t="n">
        <f aca="false">IF(Time!S29=1,INDEX(Funding!$J$65:$BJ$65,1,Time!$F$13),Time!S30*(S96-S97))</f>
        <v>1.83495705063369E-013</v>
      </c>
      <c r="T98" s="11" t="n">
        <f aca="false">IF(Time!T29=1,INDEX(Funding!$J$65:$BJ$65,1,Time!$F$13),Time!T30*(T96-T97))</f>
        <v>1.77594633317201E-013</v>
      </c>
      <c r="U98" s="11" t="n">
        <f aca="false">IF(Time!U29=1,INDEX(Funding!$J$65:$BJ$65,1,Time!$F$13),Time!U30*(U96-U97))</f>
        <v>1.71505366004701E-013</v>
      </c>
      <c r="V98" s="11" t="n">
        <f aca="false">IF(Time!V29=1,INDEX(Funding!$J$65:$BJ$65,1,Time!$F$13),Time!V30*(V96-V97))</f>
        <v>1.65018291160881E-013</v>
      </c>
      <c r="W98" s="11" t="n">
        <f aca="false">IF(Time!W29=1,INDEX(Funding!$J$65:$BJ$65,1,Time!$F$13),Time!W30*(W96-W97))</f>
        <v>1.58332910420402E-013</v>
      </c>
      <c r="X98" s="11" t="n">
        <f aca="false">IF(Time!X29=1,INDEX(Funding!$J$65:$BJ$65,1,Time!$F$13),Time!X30*(X96-X97))</f>
        <v>1.51833100695762E-013</v>
      </c>
      <c r="Y98" s="11" t="n">
        <f aca="false">IF(Time!Y29=1,INDEX(Funding!$J$65:$BJ$65,1,Time!$F$13),Time!Y30*(Y96-Y97))</f>
        <v>1.45330232489066E-013</v>
      </c>
      <c r="Z98" s="11" t="n">
        <f aca="false">IF(Time!Z29=1,INDEX(Funding!$J$65:$BJ$65,1,Time!$F$13),Time!Z30*(Z96-Z97))</f>
        <v>1.38557963751432E-013</v>
      </c>
      <c r="AA98" s="11" t="n">
        <f aca="false">IF(Time!AA29=1,INDEX(Funding!$J$65:$BJ$65,1,Time!$F$13),Time!AA30*(AA96-AA97))</f>
        <v>1.31588063233061E-013</v>
      </c>
      <c r="AB98" s="11" t="n">
        <f aca="false">IF(Time!AB29=1,INDEX(Funding!$J$65:$BJ$65,1,Time!$F$13),Time!AB30*(AB96-AB97))</f>
        <v>1.24285180678403E-013</v>
      </c>
      <c r="AC98" s="11" t="n">
        <f aca="false">IF(Time!AC29=1,INDEX(Funding!$J$65:$BJ$65,1,Time!$F$13),Time!AC30*(AC96-AC97))</f>
        <v>1.16740364898513E-013</v>
      </c>
      <c r="AD98" s="11" t="n">
        <f aca="false">IF(Time!AD29=1,INDEX(Funding!$J$65:$BJ$65,1,Time!$F$13),Time!AD30*(AD96-AD97))</f>
        <v>1.08501976644132E-013</v>
      </c>
      <c r="AE98" s="11" t="n">
        <f aca="false">IF(Time!AE29=1,INDEX(Funding!$J$65:$BJ$65,1,Time!$F$13),Time!AE30*(AE96-AE97))</f>
        <v>9.99094980191564E-014</v>
      </c>
      <c r="AF98" s="11" t="n">
        <f aca="false">IF(Time!AF29=1,INDEX(Funding!$J$65:$BJ$65,1,Time!$F$13),Time!AF30*(AF96-AF97))</f>
        <v>9.10155798893582E-014</v>
      </c>
      <c r="AG98" s="11" t="n">
        <f aca="false">IF(Time!AG29=1,INDEX(Funding!$J$65:$BJ$65,1,Time!$F$13),Time!AG30*(AG96-AG97))</f>
        <v>8.19556726425237E-014</v>
      </c>
      <c r="AH98" s="11" t="n">
        <f aca="false">IF(Time!AH29=1,INDEX(Funding!$J$65:$BJ$65,1,Time!$F$13),Time!AH30*(AH96-AH97))</f>
        <v>7.24409440961224E-014</v>
      </c>
      <c r="AI98" s="11" t="n">
        <f aca="false">IF(Time!AI29=1,INDEX(Funding!$J$65:$BJ$65,1,Time!$F$13),Time!AI30*(AI96-AI97))</f>
        <v>6.26468391291467E-014</v>
      </c>
      <c r="AJ98" s="11" t="n">
        <f aca="false">IF(Time!AJ29=1,INDEX(Funding!$J$65:$BJ$65,1,Time!$F$13),Time!AJ30*(AJ96-AJ97))</f>
        <v>5.23798976597445E-014</v>
      </c>
      <c r="AK98" s="11" t="n">
        <f aca="false">IF(Time!AK29=1,INDEX(Funding!$J$65:$BJ$65,1,Time!$F$13),Time!AK30*(AK96-AK97))</f>
        <v>4.1780633475332E-014</v>
      </c>
      <c r="AL98" s="11" t="n">
        <f aca="false">IF(Time!AL29=1,INDEX(Funding!$J$65:$BJ$65,1,Time!$F$13),Time!AL30*(AL96-AL97))</f>
        <v>3.05418228587455E-014</v>
      </c>
      <c r="AM98" s="11" t="n">
        <f aca="false">IF(Time!AM29=1,INDEX(Funding!$J$65:$BJ$65,1,Time!$F$13),Time!AM30*(AM96-AM97))</f>
        <v>1.90694139366766E-014</v>
      </c>
      <c r="AN98" s="11" t="n">
        <f aca="false">IF(Time!AN29=1,INDEX(Funding!$J$65:$BJ$65,1,Time!$F$13),Time!AN30*(AN96-AN97))</f>
        <v>9.60481276841922E-015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IF(Time!J17&gt;15,(1+Inputs!$F$199/200)^-(Time!J17-15),0)</f>
        <v>0</v>
      </c>
      <c r="K106" s="10" t="n">
        <f aca="false">IF(Time!K17&gt;15,(1+Inputs!$F$199/200)^-(Time!K17-15),0)</f>
        <v>0</v>
      </c>
      <c r="L106" s="10" t="n">
        <f aca="false">IF(Time!L17&gt;15,(1+Inputs!$F$199/200)^-(Time!L17-15),0)</f>
        <v>0</v>
      </c>
      <c r="M106" s="10" t="n">
        <f aca="false">IF(Time!M17&gt;15,(1+Inputs!$F$199/200)^-(Time!M17-15),0)</f>
        <v>0</v>
      </c>
      <c r="N106" s="10" t="n">
        <f aca="false">IF(Time!N17&gt;15,(1+Inputs!$F$199/200)^-(Time!N17-15),0)</f>
        <v>0</v>
      </c>
      <c r="O106" s="10" t="n">
        <f aca="false">IF(Time!O17&gt;15,(1+Inputs!$F$199/200)^-(Time!O17-15),0)</f>
        <v>0</v>
      </c>
      <c r="P106" s="10" t="n">
        <f aca="false">IF(Time!P17&gt;15,(1+Inputs!$F$199/200)^-(Time!P17-15),0)</f>
        <v>0</v>
      </c>
      <c r="Q106" s="10" t="n">
        <f aca="false">IF(Time!Q17&gt;15,(1+Inputs!$F$199/200)^-(Time!Q17-15),0)</f>
        <v>0</v>
      </c>
      <c r="R106" s="10" t="n">
        <f aca="false">IF(Time!R17&gt;15,(1+Inputs!$F$199/200)^-(Time!R17-15),0)</f>
        <v>0</v>
      </c>
      <c r="S106" s="10" t="n">
        <f aca="false">IF(Time!S17&gt;15,(1+Inputs!$F$199/200)^-(Time!S17-15),0)</f>
        <v>0</v>
      </c>
      <c r="T106" s="10" t="n">
        <f aca="false">IF(Time!T17&gt;15,(1+Inputs!$F$199/200)^-(Time!T17-15),0)</f>
        <v>0</v>
      </c>
      <c r="U106" s="10" t="n">
        <f aca="false">IF(Time!U17&gt;15,(1+Inputs!$F$199/200)^-(Time!U17-15),0)</f>
        <v>0</v>
      </c>
      <c r="V106" s="10" t="n">
        <f aca="false">IF(Time!V17&gt;15,(1+Inputs!$F$199/200)^-(Time!V17-15),0)</f>
        <v>0</v>
      </c>
      <c r="W106" s="10" t="n">
        <f aca="false">IF(Time!W17&gt;15,(1+Inputs!$F$199/200)^-(Time!W17-15),0)</f>
        <v>0</v>
      </c>
      <c r="X106" s="10" t="n">
        <f aca="false">IF(Time!X17&gt;15,(1+Inputs!$F$199/200)^-(Time!X17-15),0)</f>
        <v>0</v>
      </c>
      <c r="Y106" s="10" t="n">
        <f aca="false">IF(Time!Y17&gt;15,(1+Inputs!$F$199/200)^-(Time!Y17-15),0)</f>
        <v>0.981932443047918</v>
      </c>
      <c r="Z106" s="10" t="n">
        <f aca="false">IF(Time!Z17&gt;15,(1+Inputs!$F$199/200)^-(Time!Z17-15),0)</f>
        <v>0.964191322710053</v>
      </c>
      <c r="AA106" s="10" t="n">
        <f aca="false">IF(Time!AA17&gt;15,(1+Inputs!$F$199/200)^-(Time!AA17-15),0)</f>
        <v>0.946770741074287</v>
      </c>
      <c r="AB106" s="10" t="n">
        <f aca="false">IF(Time!AB17&gt;15,(1+Inputs!$F$199/200)^-(Time!AB17-15),0)</f>
        <v>0.929664906789362</v>
      </c>
      <c r="AC106" s="10" t="n">
        <f aca="false">IF(Time!AC17&gt;15,(1+Inputs!$F$199/200)^-(Time!AC17-15),0)</f>
        <v>0.912868133139594</v>
      </c>
      <c r="AD106" s="10" t="n">
        <f aca="false">IF(Time!AD17&gt;15,(1+Inputs!$F$199/200)^-(Time!AD17-15),0)</f>
        <v>0.896374836154354</v>
      </c>
      <c r="AE106" s="10" t="n">
        <f aca="false">IF(Time!AE17&gt;15,(1+Inputs!$F$199/200)^-(Time!AE17-15),0)</f>
        <v>0.880179532751722</v>
      </c>
      <c r="AF106" s="10" t="n">
        <f aca="false">IF(Time!AF17&gt;15,(1+Inputs!$F$199/200)^-(Time!AF17-15),0)</f>
        <v>0.864276838915674</v>
      </c>
      <c r="AG106" s="10" t="n">
        <f aca="false">IF(Time!AG17&gt;15,(1+Inputs!$F$199/200)^-(Time!AG17-15),0)</f>
        <v>0.8486614679062</v>
      </c>
      <c r="AH106" s="10" t="n">
        <f aca="false">IF(Time!AH17&gt;15,(1+Inputs!$F$199/200)^-(Time!AH17-15),0)</f>
        <v>0.833328228501767</v>
      </c>
      <c r="AI106" s="10" t="n">
        <f aca="false">IF(Time!AI17&gt;15,(1+Inputs!$F$199/200)^-(Time!AI17-15),0)</f>
        <v>0.818272023273534</v>
      </c>
      <c r="AJ106" s="10" t="n">
        <f aca="false">IF(Time!AJ17&gt;15,(1+Inputs!$F$199/200)^-(Time!AJ17-15),0)</f>
        <v>0.803487846890745</v>
      </c>
      <c r="AK106" s="10" t="n">
        <f aca="false">IF(Time!AK17&gt;15,(1+Inputs!$F$199/200)^-(Time!AK17-15),0)</f>
        <v>0.78897078445674</v>
      </c>
      <c r="AL106" s="10" t="n">
        <f aca="false">IF(Time!AL17&gt;15,(1+Inputs!$F$199/200)^-(Time!AL17-15),0)</f>
        <v>0.77471600987504</v>
      </c>
      <c r="AM106" s="10" t="n">
        <f aca="false">IF(Time!AM17&gt;15,(1+Inputs!$F$199/200)^-(Time!AM17-15),0)</f>
        <v>0.760718784244933</v>
      </c>
      <c r="AN106" s="10" t="n">
        <f aca="false">IF(Time!AN17&gt;15,(1+Inputs!$F$199/200)^-(Time!AN17-15),0)</f>
        <v>0.746974454286069</v>
      </c>
      <c r="AO106" s="10" t="n">
        <f aca="false">IF(Time!AO17&gt;15,(1+Inputs!$F$199/200)^-(Time!AO17-15),0)</f>
        <v>0.733478450791506</v>
      </c>
      <c r="AP106" s="10" t="n">
        <f aca="false">IF(Time!AP17&gt;15,(1+Inputs!$F$199/200)^-(Time!AP17-15),0)</f>
        <v>0.720226287108706</v>
      </c>
      <c r="AQ106" s="10" t="n">
        <f aca="false">IF(Time!AQ17&gt;15,(1+Inputs!$F$199/200)^-(Time!AQ17-15),0)</f>
        <v>0.707213557647983</v>
      </c>
      <c r="AR106" s="10" t="n">
        <f aca="false">IF(Time!AR17&gt;15,(1+Inputs!$F$199/200)^-(Time!AR17-15),0)</f>
        <v>0.694435936417893</v>
      </c>
      <c r="AS106" s="10" t="n">
        <f aca="false">IF(Time!AS17&gt;15,(1+Inputs!$F$199/200)^-(Time!AS17-15),0)</f>
        <v>0.681889175587091</v>
      </c>
      <c r="AT106" s="10" t="n">
        <f aca="false">IF(Time!AT17&gt;15,(1+Inputs!$F$199/200)^-(Time!AT17-15),0)</f>
        <v>0.669569104072163</v>
      </c>
      <c r="AU106" s="10" t="n">
        <f aca="false">IF(Time!AU17&gt;15,(1+Inputs!$F$199/200)^-(Time!AU17-15),0)</f>
        <v>0.657471626150985</v>
      </c>
      <c r="AV106" s="10" t="n">
        <f aca="false">IF(Time!AV17&gt;15,(1+Inputs!$F$199/200)^-(Time!AV17-15),0)</f>
        <v>0.645592720101125</v>
      </c>
      <c r="AW106" s="10" t="n">
        <f aca="false">IF(Time!AW17&gt;15,(1+Inputs!$F$199/200)^-(Time!AW17-15),0)</f>
        <v>0.633928436862848</v>
      </c>
      <c r="AX106" s="10" t="n">
        <f aca="false">IF(Time!AX17&gt;15,(1+Inputs!$F$199/200)^-(Time!AX17-15),0)</f>
        <v>0.622474898726284</v>
      </c>
      <c r="AY106" s="10" t="n">
        <f aca="false">IF(Time!AY17&gt;15,(1+Inputs!$F$199/200)^-(Time!AY17-15),0)</f>
        <v>0.611228298042306</v>
      </c>
      <c r="AZ106" s="10" t="n">
        <f aca="false">IF(Time!AZ17&gt;15,(1+Inputs!$F$199/200)^-(Time!AZ17-15),0)</f>
        <v>0.600184895956703</v>
      </c>
      <c r="BA106" s="10" t="n">
        <f aca="false">IF(Time!BA17&gt;15,(1+Inputs!$F$199/200)^-(Time!BA17-15),0)</f>
        <v>0.589341021167226</v>
      </c>
      <c r="BB106" s="10" t="n">
        <f aca="false">IF(Time!BB17&gt;15,(1+Inputs!$F$199/200)^-(Time!BB17-15),0)</f>
        <v>0.578693068703089</v>
      </c>
      <c r="BC106" s="10" t="n">
        <f aca="false">IF(Time!BC17&gt;15,(1+Inputs!$F$199/200)^-(Time!BC17-15),0)</f>
        <v>0.568237498726521</v>
      </c>
      <c r="BD106" s="10" t="n">
        <f aca="false">IF(Time!BD17&gt;15,(1+Inputs!$F$199/200)^-(Time!BD17-15),0)</f>
        <v>0.557970835355971</v>
      </c>
      <c r="BE106" s="10" t="n">
        <f aca="false">IF(Time!BE17&gt;15,(1+Inputs!$F$199/200)^-(Time!BE17-15),0)</f>
        <v>0.547889665510577</v>
      </c>
      <c r="BF106" s="10" t="n">
        <f aca="false">IF(Time!BF17&gt;15,(1+Inputs!$F$199/200)^-(Time!BF17-15),0)</f>
        <v>0.537990637775507</v>
      </c>
      <c r="BG106" s="10" t="n">
        <f aca="false">IF(Time!BG17&gt;15,(1+Inputs!$F$199/200)^-(Time!BG17-15),0)</f>
        <v>0.528270461287812</v>
      </c>
      <c r="BH106" s="10" t="n">
        <f aca="false">IF(Time!BH17&gt;15,(1+Inputs!$F$199/200)^-(Time!BH17-15),0)</f>
        <v>0.518725904642391</v>
      </c>
      <c r="BI106" s="10" t="n">
        <f aca="false">IF(Time!BI17&gt;15,(1+Inputs!$F$199/200)^-(Time!BI17-15),0)</f>
        <v>0.509353794817745</v>
      </c>
      <c r="BJ106" s="10" t="n">
        <f aca="false">IF(Time!BJ17&gt;15,(1+Inputs!$F$199/200)^-(Time!BJ17-15),0)</f>
        <v>0.500151016121117</v>
      </c>
      <c r="BK106" s="10" t="n">
        <f aca="false">IF(Time!BK17&gt;15,(1+Inputs!$F$199/200)^-(Time!BK17-15),0)</f>
        <v>0.491114509152707</v>
      </c>
      <c r="BL106" s="10" t="n">
        <f aca="false">IF(Time!BL17&gt;15,(1+Inputs!$F$199/200)^-(Time!BL17-15),0)</f>
        <v>0.482241269788597</v>
      </c>
      <c r="BM106" s="10" t="n">
        <f aca="false">IF(Time!BM17&gt;15,(1+Inputs!$F$199/200)^-(Time!BM17-15),0)</f>
        <v>0.473528348182047</v>
      </c>
      <c r="BN106" s="10" t="n">
        <f aca="false">IF(Time!BN17&gt;15,(1+Inputs!$F$199/200)^-(Time!BN17-15),0)</f>
        <v>0.464972847782843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IF(AND(Inputs!$F$49=1,Time!J17&gt;15),Inputs!$F$201,1)</f>
        <v>1</v>
      </c>
      <c r="K113" s="11" t="n">
        <f aca="false">IF(AND(Inputs!$F$49=1,Time!K17&gt;15),Inputs!$F$201,1)</f>
        <v>1</v>
      </c>
      <c r="L113" s="11" t="n">
        <f aca="false">IF(AND(Inputs!$F$49=1,Time!L17&gt;15),Inputs!$F$201,1)</f>
        <v>1</v>
      </c>
      <c r="M113" s="11" t="n">
        <f aca="false">IF(AND(Inputs!$F$49=1,Time!M17&gt;15),Inputs!$F$201,1)</f>
        <v>1</v>
      </c>
      <c r="N113" s="11" t="n">
        <f aca="false">IF(AND(Inputs!$F$49=1,Time!N17&gt;15),Inputs!$F$201,1)</f>
        <v>1</v>
      </c>
      <c r="O113" s="11" t="n">
        <f aca="false">IF(AND(Inputs!$F$49=1,Time!O17&gt;15),Inputs!$F$201,1)</f>
        <v>1</v>
      </c>
      <c r="P113" s="11" t="n">
        <f aca="false">IF(AND(Inputs!$F$49=1,Time!P17&gt;15),Inputs!$F$201,1)</f>
        <v>1</v>
      </c>
      <c r="Q113" s="11" t="n">
        <f aca="false">IF(AND(Inputs!$F$49=1,Time!Q17&gt;15),Inputs!$F$201,1)</f>
        <v>1</v>
      </c>
      <c r="R113" s="11" t="n">
        <f aca="false">IF(AND(Inputs!$F$49=1,Time!R17&gt;15),Inputs!$F$201,1)</f>
        <v>1</v>
      </c>
      <c r="S113" s="11" t="n">
        <f aca="false">IF(AND(Inputs!$F$49=1,Time!S17&gt;15),Inputs!$F$201,1)</f>
        <v>1</v>
      </c>
      <c r="T113" s="11" t="n">
        <f aca="false">IF(AND(Inputs!$F$49=1,Time!T17&gt;15),Inputs!$F$201,1)</f>
        <v>1</v>
      </c>
      <c r="U113" s="11" t="n">
        <f aca="false">IF(AND(Inputs!$F$49=1,Time!U17&gt;15),Inputs!$F$201,1)</f>
        <v>1</v>
      </c>
      <c r="V113" s="11" t="n">
        <f aca="false">IF(AND(Inputs!$F$49=1,Time!V17&gt;15),Inputs!$F$201,1)</f>
        <v>1</v>
      </c>
      <c r="W113" s="11" t="n">
        <f aca="false">IF(AND(Inputs!$F$49=1,Time!W17&gt;15),Inputs!$F$201,1)</f>
        <v>1</v>
      </c>
      <c r="X113" s="11" t="n">
        <f aca="false">IF(AND(Inputs!$F$49=1,Time!X17&gt;15),Inputs!$F$201,1)</f>
        <v>1</v>
      </c>
      <c r="Y113" s="11" t="n">
        <f aca="false">IF(AND(Inputs!$F$49=1,Time!Y17&gt;15),Inputs!$F$201,1)</f>
        <v>1</v>
      </c>
      <c r="Z113" s="11" t="n">
        <f aca="false">IF(AND(Inputs!$F$49=1,Time!Z17&gt;15),Inputs!$F$201,1)</f>
        <v>1</v>
      </c>
      <c r="AA113" s="11" t="n">
        <f aca="false">IF(AND(Inputs!$F$49=1,Time!AA17&gt;15),Inputs!$F$201,1)</f>
        <v>1</v>
      </c>
      <c r="AB113" s="11" t="n">
        <f aca="false">IF(AND(Inputs!$F$49=1,Time!AB17&gt;15),Inputs!$F$201,1)</f>
        <v>1</v>
      </c>
      <c r="AC113" s="11" t="n">
        <f aca="false">IF(AND(Inputs!$F$49=1,Time!AC17&gt;15),Inputs!$F$201,1)</f>
        <v>1</v>
      </c>
      <c r="AD113" s="11" t="n">
        <f aca="false">IF(AND(Inputs!$F$49=1,Time!AD17&gt;15),Inputs!$F$201,1)</f>
        <v>1</v>
      </c>
      <c r="AE113" s="11" t="n">
        <f aca="false">IF(AND(Inputs!$F$49=1,Time!AE17&gt;15),Inputs!$F$201,1)</f>
        <v>1</v>
      </c>
      <c r="AF113" s="11" t="n">
        <f aca="false">IF(AND(Inputs!$F$49=1,Time!AF17&gt;15),Inputs!$F$201,1)</f>
        <v>1</v>
      </c>
      <c r="AG113" s="11" t="n">
        <f aca="false">IF(AND(Inputs!$F$49=1,Time!AG17&gt;15),Inputs!$F$201,1)</f>
        <v>1</v>
      </c>
      <c r="AH113" s="11" t="n">
        <f aca="false">IF(AND(Inputs!$F$49=1,Time!AH17&gt;15),Inputs!$F$201,1)</f>
        <v>1</v>
      </c>
      <c r="AI113" s="11" t="n">
        <f aca="false">IF(AND(Inputs!$F$49=1,Time!AI17&gt;15),Inputs!$F$201,1)</f>
        <v>1</v>
      </c>
      <c r="AJ113" s="11" t="n">
        <f aca="false">IF(AND(Inputs!$F$49=1,Time!AJ17&gt;15),Inputs!$F$201,1)</f>
        <v>1</v>
      </c>
      <c r="AK113" s="11" t="n">
        <f aca="false">IF(AND(Inputs!$F$49=1,Time!AK17&gt;15),Inputs!$F$201,1)</f>
        <v>1</v>
      </c>
      <c r="AL113" s="11" t="n">
        <f aca="false">IF(AND(Inputs!$F$49=1,Time!AL17&gt;15),Inputs!$F$201,1)</f>
        <v>1</v>
      </c>
      <c r="AM113" s="11" t="n">
        <f aca="false">IF(AND(Inputs!$F$49=1,Time!AM17&gt;15),Inputs!$F$201,1)</f>
        <v>1</v>
      </c>
      <c r="AN113" s="11" t="n">
        <f aca="false">IF(AND(Inputs!$F$49=1,Time!AN17&gt;15),Inputs!$F$201,1)</f>
        <v>1</v>
      </c>
      <c r="AO113" s="11" t="n">
        <f aca="false">IF(AND(Inputs!$F$49=1,Time!AO17&gt;15),Inputs!$F$201,1)</f>
        <v>1</v>
      </c>
      <c r="AP113" s="11" t="n">
        <f aca="false">IF(AND(Inputs!$F$49=1,Time!AP17&gt;15),Inputs!$F$201,1)</f>
        <v>1</v>
      </c>
      <c r="AQ113" s="11" t="n">
        <f aca="false">IF(AND(Inputs!$F$49=1,Time!AQ17&gt;15),Inputs!$F$201,1)</f>
        <v>1</v>
      </c>
      <c r="AR113" s="11" t="n">
        <f aca="false">IF(AND(Inputs!$F$49=1,Time!AR17&gt;15),Inputs!$F$201,1)</f>
        <v>1</v>
      </c>
      <c r="AS113" s="11" t="n">
        <f aca="false">IF(AND(Inputs!$F$49=1,Time!AS17&gt;15),Inputs!$F$201,1)</f>
        <v>1</v>
      </c>
      <c r="AT113" s="11" t="n">
        <f aca="false">IF(AND(Inputs!$F$49=1,Time!AT17&gt;15),Inputs!$F$201,1)</f>
        <v>1</v>
      </c>
      <c r="AU113" s="11" t="n">
        <f aca="false">IF(AND(Inputs!$F$49=1,Time!AU17&gt;15),Inputs!$F$201,1)</f>
        <v>1</v>
      </c>
      <c r="AV113" s="11" t="n">
        <f aca="false">IF(AND(Inputs!$F$49=1,Time!AV17&gt;15),Inputs!$F$201,1)</f>
        <v>1</v>
      </c>
      <c r="AW113" s="11" t="n">
        <f aca="false">IF(AND(Inputs!$F$49=1,Time!AW17&gt;15),Inputs!$F$201,1)</f>
        <v>1</v>
      </c>
      <c r="AX113" s="11" t="n">
        <f aca="false">IF(AND(Inputs!$F$49=1,Time!AX17&gt;15),Inputs!$F$201,1)</f>
        <v>1</v>
      </c>
      <c r="AY113" s="11" t="n">
        <f aca="false">IF(AND(Inputs!$F$49=1,Time!AY17&gt;15),Inputs!$F$201,1)</f>
        <v>1</v>
      </c>
      <c r="AZ113" s="11" t="n">
        <f aca="false">IF(AND(Inputs!$F$49=1,Time!AZ17&gt;15),Inputs!$F$201,1)</f>
        <v>1</v>
      </c>
      <c r="BA113" s="11" t="n">
        <f aca="false">IF(AND(Inputs!$F$49=1,Time!BA17&gt;15),Inputs!$F$201,1)</f>
        <v>1</v>
      </c>
      <c r="BB113" s="11" t="n">
        <f aca="false">IF(AND(Inputs!$F$49=1,Time!BB17&gt;15),Inputs!$F$201,1)</f>
        <v>1</v>
      </c>
      <c r="BC113" s="11" t="n">
        <f aca="false">IF(AND(Inputs!$F$49=1,Time!BC17&gt;15),Inputs!$F$201,1)</f>
        <v>1</v>
      </c>
      <c r="BD113" s="11" t="n">
        <f aca="false">IF(AND(Inputs!$F$49=1,Time!BD17&gt;15),Inputs!$F$201,1)</f>
        <v>1</v>
      </c>
      <c r="BE113" s="11" t="n">
        <f aca="false">IF(AND(Inputs!$F$49=1,Time!BE17&gt;15),Inputs!$F$201,1)</f>
        <v>1</v>
      </c>
      <c r="BF113" s="11" t="n">
        <f aca="false">IF(AND(Inputs!$F$49=1,Time!BF17&gt;15),Inputs!$F$201,1)</f>
        <v>1</v>
      </c>
      <c r="BG113" s="11" t="n">
        <f aca="false">IF(AND(Inputs!$F$49=1,Time!BG17&gt;15),Inputs!$F$201,1)</f>
        <v>1</v>
      </c>
      <c r="BH113" s="11" t="n">
        <f aca="false">IF(AND(Inputs!$F$49=1,Time!BH17&gt;15),Inputs!$F$201,1)</f>
        <v>1</v>
      </c>
      <c r="BI113" s="11" t="n">
        <f aca="false">IF(AND(Inputs!$F$49=1,Time!BI17&gt;15),Inputs!$F$201,1)</f>
        <v>1</v>
      </c>
      <c r="BJ113" s="11" t="n">
        <f aca="false">IF(AND(Inputs!$F$49=1,Time!BJ17&gt;15),Inputs!$F$201,1)</f>
        <v>1</v>
      </c>
      <c r="BK113" s="11" t="n">
        <f aca="false">IF(AND(Inputs!$F$49=1,Time!BK17&gt;15),Inputs!$F$201,1)</f>
        <v>1</v>
      </c>
      <c r="BL113" s="11" t="n">
        <f aca="false">IF(AND(Inputs!$F$49=1,Time!BL17&gt;15),Inputs!$F$201,1)</f>
        <v>1</v>
      </c>
      <c r="BM113" s="11" t="n">
        <f aca="false">IF(AND(Inputs!$F$49=1,Time!BM17&gt;15),Inputs!$F$201,1)</f>
        <v>1</v>
      </c>
      <c r="BN113" s="11" t="n">
        <f aca="false">IF(AND(Inputs!$F$49=1,Time!BN17&gt;15),Inputs!$F$201,1)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-7.79804687742323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-0</v>
      </c>
      <c r="M114" s="11" t="n">
        <f aca="false">Time!M30*Inputs!M222*M113*(Inputs!$F$95/100*0.5-Operations!M9/100*Time!M20/360)</f>
        <v>-0</v>
      </c>
      <c r="N114" s="11" t="n">
        <f aca="false">Time!N30*Inputs!N222*N113*(Inputs!$F$95/100*0.5-Operations!N9/100*Time!N20/360)</f>
        <v>-0</v>
      </c>
      <c r="O114" s="11" t="n">
        <f aca="false">Time!O30*Inputs!O222*O113*(Inputs!$F$95/100*0.5-Operations!O9/100*Time!O20/360)</f>
        <v>-0</v>
      </c>
      <c r="P114" s="11" t="n">
        <f aca="false">Time!P30*Inputs!P222*P113*(Inputs!$F$95/100*0.5-Operations!P9/100*Time!P20/360)</f>
        <v>-0</v>
      </c>
      <c r="Q114" s="11" t="n">
        <f aca="false">Time!Q30*Inputs!Q222*Q113*(Inputs!$F$95/100*0.5-Operations!Q9/100*Time!Q20/360)</f>
        <v>-0.445478114360217</v>
      </c>
      <c r="R114" s="11" t="n">
        <f aca="false">Time!R30*Inputs!R222*R113*(Inputs!$F$95/100*0.5-Operations!R9/100*Time!R20/360)</f>
        <v>-0.558571669509065</v>
      </c>
      <c r="S114" s="11" t="n">
        <f aca="false">Time!S30*Inputs!S222*S113*(Inputs!$F$95/100*0.5-Operations!S9/100*Time!S20/360)</f>
        <v>-0.445136702711515</v>
      </c>
      <c r="T114" s="11" t="n">
        <f aca="false">Time!T30*Inputs!T222*T113*(Inputs!$F$95/100*0.5-Operations!T9/100*Time!T20/360)</f>
        <v>-0.549845280112812</v>
      </c>
      <c r="U114" s="11" t="n">
        <f aca="false">Time!U30*Inputs!U222*U113*(Inputs!$F$95/100*0.5-Operations!U9/100*Time!U20/360)</f>
        <v>-0.456034890910268</v>
      </c>
      <c r="V114" s="11" t="n">
        <f aca="false">Time!V30*Inputs!V222*V113*(Inputs!$F$95/100*0.5-Operations!V9/100*Time!V20/360)</f>
        <v>-0.513916202993083</v>
      </c>
      <c r="W114" s="11" t="n">
        <f aca="false">Time!W30*Inputs!W222*W113*(Inputs!$F$95/100*0.5-Operations!W9/100*Time!W20/360)</f>
        <v>-0.388372419598774</v>
      </c>
      <c r="X114" s="11" t="n">
        <f aca="false">Time!X30*Inputs!X222*X113*(Inputs!$F$95/100*0.5-Operations!X9/100*Time!X20/360)</f>
        <v>-0.474444911128126</v>
      </c>
      <c r="Y114" s="11" t="n">
        <f aca="false">Time!Y30*Inputs!Y222*Y113*(Inputs!$F$95/100*0.5-Operations!Y9/100*Time!Y20/360)</f>
        <v>-0.357340924315523</v>
      </c>
      <c r="Z114" s="11" t="n">
        <f aca="false">Time!Z30*Inputs!Z222*Z113*(Inputs!$F$95/100*0.5-Operations!Z9/100*Time!Z20/360)</f>
        <v>-0.435482358370267</v>
      </c>
      <c r="AA114" s="11" t="n">
        <f aca="false">Time!AA30*Inputs!AA222*AA113*(Inputs!$F$95/100*0.5-Operations!AA9/100*Time!AA20/360)</f>
        <v>-0.326097738973434</v>
      </c>
      <c r="AB114" s="11" t="n">
        <f aca="false">Time!AB30*Inputs!AB222*AB113*(Inputs!$F$95/100*0.5-Operations!AB9/100*Time!AB20/360)</f>
        <v>-0.394303918246469</v>
      </c>
      <c r="AC114" s="11" t="n">
        <f aca="false">Time!AC30*Inputs!AC222*AC113*(Inputs!$F$95/100*0.5-Operations!AC9/100*Time!AC20/360)</f>
        <v>-0.31914465968803</v>
      </c>
      <c r="AD114" s="11" t="n">
        <f aca="false">Time!AD30*Inputs!AD222*AD113*(Inputs!$F$95/100*0.5-Operations!AD9/100*Time!AD20/360)</f>
        <v>-0.349812757829549</v>
      </c>
      <c r="AE114" s="11" t="n">
        <f aca="false">Time!AE30*Inputs!AE222*AE113*(Inputs!$F$95/100*0.5-Operations!AE9/100*Time!AE20/360)</f>
        <v>-0.255360632473454</v>
      </c>
      <c r="AF114" s="11" t="n">
        <f aca="false">Time!AF30*Inputs!AF222*AF113*(Inputs!$F$95/100*0.5-Operations!AF9/100*Time!AF20/360)</f>
        <v>-0.299379028546211</v>
      </c>
      <c r="AG114" s="11" t="n">
        <f aca="false">Time!AG30*Inputs!AG222*AG113*(Inputs!$F$95/100*0.5-Operations!AG9/100*Time!AG20/360)</f>
        <v>-0.21420619941067</v>
      </c>
      <c r="AH114" s="11" t="n">
        <f aca="false">Time!AH30*Inputs!AH222*AH113*(Inputs!$F$95/100*0.5-Operations!AH9/100*Time!AH20/360)</f>
        <v>-0.245580351678532</v>
      </c>
      <c r="AI114" s="11" t="n">
        <f aca="false">Time!AI30*Inputs!AI222*AI113*(Inputs!$F$95/100*0.5-Operations!AI9/100*Time!AI20/360)</f>
        <v>-0.170490583429942</v>
      </c>
      <c r="AJ114" s="11" t="n">
        <f aca="false">Time!AJ30*Inputs!AJ222*AJ113*(Inputs!$F$95/100*0.5-Operations!AJ9/100*Time!AJ20/360)</f>
        <v>-0.187721389976143</v>
      </c>
      <c r="AK114" s="11" t="n">
        <f aca="false">Time!AK30*Inputs!AK222*AK113*(Inputs!$F$95/100*0.5-Operations!AK9/100*Time!AK20/360)</f>
        <v>-0.134503281259001</v>
      </c>
      <c r="AL114" s="11" t="n">
        <f aca="false">Time!AL30*Inputs!AL222*AL113*(Inputs!$F$95/100*0.5-Operations!AL9/100*Time!AL20/360)</f>
        <v>-0.125195759260965</v>
      </c>
      <c r="AM114" s="11" t="n">
        <f aca="false">Time!AM30*Inputs!AM222*AM113*(Inputs!$F$95/100*0.5-Operations!AM9/100*Time!AM20/360)</f>
        <v>-0.071880526450513</v>
      </c>
      <c r="AN114" s="11" t="n">
        <f aca="false">Time!AN30*Inputs!AN222*AN113*(Inputs!$F$95/100*0.5-Operations!AN9/100*Time!AN20/360)</f>
        <v>-0.0571415404190419</v>
      </c>
      <c r="AO114" s="11" t="n">
        <f aca="false">Time!AO30*Inputs!AO222*AO113*(Inputs!$F$95/100*0.5-Operations!AO9/100*Time!AO20/360)</f>
        <v>-0.0226050357716252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16.7832962673254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0</v>
      </c>
      <c r="Q115" s="11" t="n">
        <f aca="false">(Inputs!$F$93/100*Inputs!$F$94/100)*Q70*Time!Q20/365</f>
        <v>1.2828146462752</v>
      </c>
      <c r="R115" s="11" t="n">
        <f aca="false">(Inputs!$F$93/100*Inputs!$F$94/100)*R70*Time!R20/365</f>
        <v>1.26999483704666</v>
      </c>
      <c r="S115" s="11" t="n">
        <f aca="false">(Inputs!$F$93/100*Inputs!$F$94/100)*S70*Time!S20/365</f>
        <v>1.21411069297955</v>
      </c>
      <c r="T115" s="11" t="n">
        <f aca="false">(Inputs!$F$93/100*Inputs!$F$94/100)*T70*Time!T20/365</f>
        <v>1.19741950040004</v>
      </c>
      <c r="U115" s="11" t="n">
        <f aca="false">(Inputs!$F$93/100*Inputs!$F$94/100)*U70*Time!U20/365</f>
        <v>1.14631460515386</v>
      </c>
      <c r="V115" s="11" t="n">
        <f aca="false">(Inputs!$F$93/100*Inputs!$F$94/100)*V70*Time!V20/365</f>
        <v>1.11917534858025</v>
      </c>
      <c r="W115" s="11" t="n">
        <f aca="false">(Inputs!$F$93/100*Inputs!$F$94/100)*W70*Time!W20/365</f>
        <v>1.05928606789991</v>
      </c>
      <c r="X115" s="11" t="n">
        <f aca="false">(Inputs!$F$93/100*Inputs!$F$94/100)*X70*Time!X20/365</f>
        <v>1.03321717762826</v>
      </c>
      <c r="Y115" s="11" t="n">
        <f aca="false">(Inputs!$F$93/100*Inputs!$F$94/100)*Y70*Time!Y20/365</f>
        <v>0.974647641068242</v>
      </c>
      <c r="Z115" s="11" t="n">
        <f aca="false">(Inputs!$F$93/100*Inputs!$F$94/100)*Z70*Time!Z20/365</f>
        <v>0.948366907661311</v>
      </c>
      <c r="AA115" s="11" t="n">
        <f aca="false">(Inputs!$F$93/100*Inputs!$F$94/100)*AA70*Time!AA20/365</f>
        <v>0.889431829441142</v>
      </c>
      <c r="AB115" s="11" t="n">
        <f aca="false">(Inputs!$F$93/100*Inputs!$F$94/100)*AB70*Time!AB20/365</f>
        <v>0.832709324272257</v>
      </c>
      <c r="AC115" s="11" t="n">
        <f aca="false">(Inputs!$F$93/100*Inputs!$F$94/100)*AC70*Time!AC20/365</f>
        <v>0.747605670323818</v>
      </c>
      <c r="AD115" s="11" t="n">
        <f aca="false">(Inputs!$F$93/100*Inputs!$F$94/100)*AD70*Time!AD20/365</f>
        <v>0.682003155507333</v>
      </c>
      <c r="AE115" s="11" t="n">
        <f aca="false">(Inputs!$F$93/100*Inputs!$F$94/100)*AE70*Time!AE20/365</f>
        <v>0.593188917457423</v>
      </c>
      <c r="AF115" s="11" t="n">
        <f aca="false">(Inputs!$F$93/100*Inputs!$F$94/100)*AF70*Time!AF20/365</f>
        <v>0.51944438960747</v>
      </c>
      <c r="AG115" s="11" t="n">
        <f aca="false">(Inputs!$F$93/100*Inputs!$F$94/100)*AG70*Time!AG20/365</f>
        <v>0.424032480915671</v>
      </c>
      <c r="AH115" s="11" t="n">
        <f aca="false">(Inputs!$F$93/100*Inputs!$F$94/100)*AH70*Time!AH20/365</f>
        <v>0.345696009091859</v>
      </c>
      <c r="AI115" s="11" t="n">
        <f aca="false">(Inputs!$F$93/100*Inputs!$F$94/100)*AI70*Time!AI20/365</f>
        <v>0.252721097459638</v>
      </c>
      <c r="AJ115" s="11" t="n">
        <f aca="false">(Inputs!$F$93/100*Inputs!$F$94/100)*AJ70*Time!AJ20/365</f>
        <v>0.170146863142919</v>
      </c>
      <c r="AK115" s="11" t="n">
        <f aca="false">(Inputs!$F$93/100*Inputs!$F$94/100)*AK70*Time!AK20/365</f>
        <v>0.0809691054126024</v>
      </c>
      <c r="AL115" s="11" t="n">
        <f aca="false">(Inputs!$F$93/100*Inputs!$F$94/100)*AL70*Time!AL20/365</f>
        <v>0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306.174419312688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0</v>
      </c>
      <c r="Q118" s="11" t="n">
        <f aca="false">Q27+Q42+Q57+Q72+Q87+Q101</f>
        <v>21.5628442466608</v>
      </c>
      <c r="R118" s="11" t="n">
        <f aca="false">R27+R42+R57+R72+R87+R101</f>
        <v>21.3473559448476</v>
      </c>
      <c r="S118" s="11" t="n">
        <f aca="false">S27+S42+S57+S72+S87+S101</f>
        <v>20.4406188877442</v>
      </c>
      <c r="T118" s="11" t="n">
        <f aca="false">T27+T42+T57+T72+T87+T101</f>
        <v>20.1596080142937</v>
      </c>
      <c r="U118" s="11" t="n">
        <f aca="false">U27+U42+U57+U72+U87+U101</f>
        <v>19.2992122587292</v>
      </c>
      <c r="V118" s="11" t="n">
        <f aca="false">V27+V42+V57+V72+V87+V101</f>
        <v>18.8422990598539</v>
      </c>
      <c r="W118" s="11" t="n">
        <f aca="false">W27+W42+W57+W72+W87+W101</f>
        <v>17.8340104672844</v>
      </c>
      <c r="X118" s="11" t="n">
        <f aca="false">X27+X42+X57+X72+X87+X101</f>
        <v>17.3951178243397</v>
      </c>
      <c r="Y118" s="11" t="n">
        <f aca="false">Y27+Y42+Y57+Y72+Y87+Y101</f>
        <v>16.9394746985574</v>
      </c>
      <c r="Z118" s="11" t="n">
        <f aca="false">Z27+Z42+Z57+Z72+Z87+Z101</f>
        <v>16.4827128906508</v>
      </c>
      <c r="AA118" s="11" t="n">
        <f aca="false">AA27+AA42+AA57+AA72+AA87+AA101</f>
        <v>15.4584152631781</v>
      </c>
      <c r="AB118" s="11" t="n">
        <f aca="false">AB27+AB42+AB57+AB72+AB87+AB101</f>
        <v>14.7058174389147</v>
      </c>
      <c r="AC118" s="11" t="n">
        <f aca="false">AC27+AC42+AC57+AC72+AC87+AC101</f>
        <v>13.483748251464</v>
      </c>
      <c r="AD118" s="11" t="n">
        <f aca="false">AD27+AD42+AD57+AD72+AD87+AD101</f>
        <v>12.5696509080527</v>
      </c>
      <c r="AE118" s="11" t="n">
        <f aca="false">AE27+AE42+AE57+AE72+AE87+AE101</f>
        <v>11.2371035566278</v>
      </c>
      <c r="AF118" s="11" t="n">
        <f aca="false">AF27+AF42+AF57+AF72+AF87+AF101</f>
        <v>10.2177108681299</v>
      </c>
      <c r="AG118" s="11" t="n">
        <f aca="false">AG27+AG42+AG57+AG72+AG87+AG101</f>
        <v>9.03879273079896</v>
      </c>
      <c r="AH118" s="11" t="n">
        <f aca="false">AH27+AH42+AH57+AH72+AH87+AH101</f>
        <v>7.8940972008181</v>
      </c>
      <c r="AI118" s="11" t="n">
        <f aca="false">AI27+AI42+AI57+AI72+AI87+AI101</f>
        <v>6.43566201556159</v>
      </c>
      <c r="AJ118" s="11" t="n">
        <f aca="false">AJ27+AJ42+AJ57+AJ72+AJ87+AJ101</f>
        <v>5.1922987054773</v>
      </c>
      <c r="AK118" s="11" t="n">
        <f aca="false">AK27+AK42+AK57+AK72+AK87+AK101</f>
        <v>3.75960851017709</v>
      </c>
      <c r="AL118" s="11" t="n">
        <f aca="false">AL27+AL42+AL57+AL72+AL87+AL101</f>
        <v>2.44760039634148</v>
      </c>
      <c r="AM118" s="11" t="n">
        <f aca="false">AM27+AM42+AM57+AM72+AM87+AM101</f>
        <v>1.76003457827522</v>
      </c>
      <c r="AN118" s="11" t="n">
        <f aca="false">AN27+AN42+AN57+AN72+AN87+AN101</f>
        <v>1.11712775099417</v>
      </c>
      <c r="AO118" s="11" t="n">
        <f aca="false">AO27+AO42+AO57+AO72+AO87+AO101</f>
        <v>0.553496844915286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315.15966870259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0</v>
      </c>
      <c r="Q119" s="11" t="n">
        <f aca="false">Q118+Q114+Q115+Q116</f>
        <v>22.4001807785758</v>
      </c>
      <c r="R119" s="11" t="n">
        <f aca="false">R118+R114+R115+R116</f>
        <v>22.0587791123852</v>
      </c>
      <c r="S119" s="11" t="n">
        <f aca="false">S118+S114+S115+S116</f>
        <v>21.2095928780123</v>
      </c>
      <c r="T119" s="11" t="n">
        <f aca="false">T118+T114+T115+T116</f>
        <v>20.807182234581</v>
      </c>
      <c r="U119" s="11" t="n">
        <f aca="false">U118+U114+U115+U116</f>
        <v>19.9894919729728</v>
      </c>
      <c r="V119" s="11" t="n">
        <f aca="false">V118+V114+V115+V116</f>
        <v>19.4475582054411</v>
      </c>
      <c r="W119" s="11" t="n">
        <f aca="false">W118+W114+W115+W116</f>
        <v>18.5049241155856</v>
      </c>
      <c r="X119" s="11" t="n">
        <f aca="false">X118+X114+X115+X116</f>
        <v>17.9538900908398</v>
      </c>
      <c r="Y119" s="11" t="n">
        <f aca="false">Y118+Y114+Y115+Y116</f>
        <v>17.5567814153101</v>
      </c>
      <c r="Z119" s="11" t="n">
        <f aca="false">Z118+Z114+Z115+Z116</f>
        <v>16.9955974399418</v>
      </c>
      <c r="AA119" s="11" t="n">
        <f aca="false">AA118+AA114+AA115+AA116</f>
        <v>16.0217493536458</v>
      </c>
      <c r="AB119" s="11" t="n">
        <f aca="false">AB118+AB114+AB115+AB116</f>
        <v>15.1442228449405</v>
      </c>
      <c r="AC119" s="11" t="n">
        <f aca="false">AC118+AC114+AC115+AC116</f>
        <v>13.9122092620998</v>
      </c>
      <c r="AD119" s="11" t="n">
        <f aca="false">AD118+AD114+AD115+AD116</f>
        <v>12.9018413057305</v>
      </c>
      <c r="AE119" s="11" t="n">
        <f aca="false">AE118+AE114+AE115+AE116</f>
        <v>11.5749318416118</v>
      </c>
      <c r="AF119" s="11" t="n">
        <f aca="false">AF118+AF114+AF115+AF116</f>
        <v>10.4377762291912</v>
      </c>
      <c r="AG119" s="11" t="n">
        <f aca="false">AG118+AG114+AG115+AG116</f>
        <v>9.24861901230396</v>
      </c>
      <c r="AH119" s="11" t="n">
        <f aca="false">AH118+AH114+AH115+AH116</f>
        <v>7.99421285823143</v>
      </c>
      <c r="AI119" s="11" t="n">
        <f aca="false">AI118+AI114+AI115+AI116</f>
        <v>6.51789252959128</v>
      </c>
      <c r="AJ119" s="11" t="n">
        <f aca="false">AJ118+AJ114+AJ115+AJ116</f>
        <v>5.17472417864407</v>
      </c>
      <c r="AK119" s="11" t="n">
        <f aca="false">AK118+AK114+AK115+AK116</f>
        <v>3.70607433433069</v>
      </c>
      <c r="AL119" s="11" t="n">
        <f aca="false">AL118+AL114+AL115+AL116</f>
        <v>2.32240463708052</v>
      </c>
      <c r="AM119" s="11" t="n">
        <f aca="false">AM118+AM114+AM115+AM116</f>
        <v>1.68815405182471</v>
      </c>
      <c r="AN119" s="11" t="n">
        <f aca="false">AN118+AN114+AN115+AN116</f>
        <v>1.05998621057513</v>
      </c>
      <c r="AO119" s="11" t="n">
        <f aca="false">AO118+AO114+AO115+AO116</f>
        <v>0.530891809143661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569.145664890575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0</v>
      </c>
      <c r="Q120" s="11" t="n">
        <f aca="false">Q32+Q47+Q62+Q77+Q92+Q102</f>
        <v>17.1899764115454</v>
      </c>
      <c r="R120" s="11" t="n">
        <f aca="false">R32+R47+R62+R77+R92+R102</f>
        <v>18.0367324998929</v>
      </c>
      <c r="S120" s="11" t="n">
        <f aca="false">S32+S47+S62+S77+S92+S102</f>
        <v>18.5682458273282</v>
      </c>
      <c r="T120" s="11" t="n">
        <f aca="false">T32+T47+T62+T77+T92+T102</f>
        <v>19.4223784814744</v>
      </c>
      <c r="U120" s="11" t="n">
        <f aca="false">U32+U47+U62+U77+U92+U102</f>
        <v>20.0417923227336</v>
      </c>
      <c r="V120" s="11" t="n">
        <f aca="false">V32+V47+V62+V77+V92+V102</f>
        <v>21.3511084551973</v>
      </c>
      <c r="W120" s="11" t="n">
        <f aca="false">W32+W47+W62+W77+W92+W102</f>
        <v>22.0037987368397</v>
      </c>
      <c r="X120" s="11" t="n">
        <f aca="false">X32+X47+X62+X77+X92+X102</f>
        <v>21.3930231591442</v>
      </c>
      <c r="Y120" s="11" t="n">
        <f aca="false">Y32+Y47+Y62+Y77+Y92+Y102</f>
        <v>21.4030896349629</v>
      </c>
      <c r="Z120" s="11" t="n">
        <f aca="false">Z32+Z47+Z62+Z77+Z92+Z102</f>
        <v>22.2897758675797</v>
      </c>
      <c r="AA120" s="11" t="n">
        <f aca="false">AA32+AA47+AA62+AA77+AA92+AA102</f>
        <v>22.9402474108095</v>
      </c>
      <c r="AB120" s="11" t="n">
        <f aca="false">AB32+AB47+AB62+AB77+AB92+AB102</f>
        <v>23.7598384046658</v>
      </c>
      <c r="AC120" s="11" t="n">
        <f aca="false">AC32+AC47+AC62+AC77+AC92+AC102</f>
        <v>24.1900698875482</v>
      </c>
      <c r="AD120" s="11" t="n">
        <f aca="false">AD32+AD47+AD62+AD77+AD92+AD102</f>
        <v>26.0359495125254</v>
      </c>
      <c r="AE120" s="11" t="n">
        <f aca="false">AE32+AE47+AE62+AE77+AE92+AE102</f>
        <v>26.6866963421284</v>
      </c>
      <c r="AF120" s="11" t="n">
        <f aca="false">AF32+AF47+AF62+AF77+AF92+AF102</f>
        <v>27.0117305183204</v>
      </c>
      <c r="AG120" s="11" t="n">
        <f aca="false">AG32+AG47+AG62+AG77+AG92+AG102</f>
        <v>26.7118350551639</v>
      </c>
      <c r="AH120" s="11" t="n">
        <f aca="false">AH32+AH47+AH62+AH77+AH92+AH102</f>
        <v>27.1081200531888</v>
      </c>
      <c r="AI120" s="11" t="n">
        <f aca="false">AI32+AI47+AI62+AI77+AI92+AI102</f>
        <v>26.6433644335229</v>
      </c>
      <c r="AJ120" s="11" t="n">
        <f aca="false">AJ32+AJ47+AJ62+AJ77+AJ92+AJ102</f>
        <v>26.2953974181173</v>
      </c>
      <c r="AK120" s="11" t="n">
        <f aca="false">AK32+AK47+AK62+AK77+AK92+AK102</f>
        <v>24.8038883767133</v>
      </c>
      <c r="AL120" s="11" t="n">
        <f aca="false">AL32+AL47+AL62+AL77+AL92+AL102</f>
        <v>22.9341981553772</v>
      </c>
      <c r="AM120" s="11" t="n">
        <f aca="false">AM32+AM47+AM62+AM77+AM92+AM102</f>
        <v>23.4108847025094</v>
      </c>
      <c r="AN120" s="11" t="n">
        <f aca="false">AN32+AN47+AN62+AN77+AN92+AN102</f>
        <v>19.3137019618501</v>
      </c>
      <c r="AO120" s="11" t="n">
        <f aca="false">AO32+AO47+AO62+AO77+AO92+AO102</f>
        <v>19.5998212614359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884.305333593165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0</v>
      </c>
      <c r="Q121" s="11" t="n">
        <f aca="false">Q119+Q120</f>
        <v>39.5901571901212</v>
      </c>
      <c r="R121" s="11" t="n">
        <f aca="false">R119+R120</f>
        <v>40.0955116122781</v>
      </c>
      <c r="S121" s="11" t="n">
        <f aca="false">S119+S120</f>
        <v>39.7778387053405</v>
      </c>
      <c r="T121" s="11" t="n">
        <f aca="false">T119+T120</f>
        <v>40.2295607160554</v>
      </c>
      <c r="U121" s="11" t="n">
        <f aca="false">U119+U120</f>
        <v>40.0312842957064</v>
      </c>
      <c r="V121" s="11" t="n">
        <f aca="false">V119+V120</f>
        <v>40.7986666606384</v>
      </c>
      <c r="W121" s="11" t="n">
        <f aca="false">W119+W120</f>
        <v>40.5087228524253</v>
      </c>
      <c r="X121" s="11" t="n">
        <f aca="false">X119+X120</f>
        <v>39.3469132499841</v>
      </c>
      <c r="Y121" s="11" t="n">
        <f aca="false">Y119+Y120</f>
        <v>38.959871050273</v>
      </c>
      <c r="Z121" s="11" t="n">
        <f aca="false">Z119+Z120</f>
        <v>39.2853733075215</v>
      </c>
      <c r="AA121" s="11" t="n">
        <f aca="false">AA119+AA120</f>
        <v>38.9619967644553</v>
      </c>
      <c r="AB121" s="11" t="n">
        <f aca="false">AB119+AB120</f>
        <v>38.9040612496062</v>
      </c>
      <c r="AC121" s="11" t="n">
        <f aca="false">AC119+AC120</f>
        <v>38.102279149648</v>
      </c>
      <c r="AD121" s="11" t="n">
        <f aca="false">AD119+AD120</f>
        <v>38.9377908182559</v>
      </c>
      <c r="AE121" s="11" t="n">
        <f aca="false">AE119+AE120</f>
        <v>38.2616281837401</v>
      </c>
      <c r="AF121" s="11" t="n">
        <f aca="false">AF119+AF120</f>
        <v>37.4495067475116</v>
      </c>
      <c r="AG121" s="11" t="n">
        <f aca="false">AG119+AG120</f>
        <v>35.9604540674679</v>
      </c>
      <c r="AH121" s="11" t="n">
        <f aca="false">AH119+AH120</f>
        <v>35.1023329114203</v>
      </c>
      <c r="AI121" s="11" t="n">
        <f aca="false">AI119+AI120</f>
        <v>33.1612569631142</v>
      </c>
      <c r="AJ121" s="11" t="n">
        <f aca="false">AJ119+AJ120</f>
        <v>31.4701215967613</v>
      </c>
      <c r="AK121" s="11" t="n">
        <f aca="false">AK119+AK120</f>
        <v>28.509962711044</v>
      </c>
      <c r="AL121" s="11" t="n">
        <f aca="false">AL119+AL120</f>
        <v>25.2566027924577</v>
      </c>
      <c r="AM121" s="11" t="n">
        <f aca="false">AM119+AM120</f>
        <v>25.0990387543341</v>
      </c>
      <c r="AN121" s="11" t="n">
        <f aca="false">AN119+AN120</f>
        <v>20.3736881724253</v>
      </c>
      <c r="AO121" s="11" t="n">
        <f aca="false">AO119+AO120</f>
        <v>20.1307130705795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0</v>
      </c>
      <c r="Q122" s="11" t="n">
        <f aca="false">Q25+Q40+Q55+Q70+Q85+Q100</f>
        <v>657.739998413269</v>
      </c>
      <c r="R122" s="11" t="n">
        <f aca="false">R25+R40+R55+R70+R85+R100</f>
        <v>640.550022001723</v>
      </c>
      <c r="S122" s="11" t="n">
        <f aca="false">S25+S40+S55+S70+S85+S100</f>
        <v>622.513289501831</v>
      </c>
      <c r="T122" s="11" t="n">
        <f aca="false">T25+T40+T55+T70+T85+T100</f>
        <v>603.945043674502</v>
      </c>
      <c r="U122" s="11" t="n">
        <f aca="false">U25+U40+U55+U70+U85+U100</f>
        <v>584.522665193028</v>
      </c>
      <c r="V122" s="11" t="n">
        <f aca="false">V25+V40+V55+V70+V85+V100</f>
        <v>564.480872870294</v>
      </c>
      <c r="W122" s="11" t="n">
        <f aca="false">W25+W40+W55+W70+W85+W100</f>
        <v>543.129764415097</v>
      </c>
      <c r="X122" s="11" t="n">
        <f aca="false">X25+X40+X55+X70+X85+X100</f>
        <v>521.125965678257</v>
      </c>
      <c r="Y122" s="11" t="n">
        <f aca="false">Y25+Y40+Y55+Y70+Y85+Y100</f>
        <v>499.732942519113</v>
      </c>
      <c r="Z122" s="11" t="n">
        <f aca="false">Z25+Z40+Z55+Z70+Z85+Z100</f>
        <v>478.32985288415</v>
      </c>
      <c r="AA122" s="11" t="n">
        <f aca="false">AA25+AA40+AA55+AA70+AA85+AA100</f>
        <v>456.04007701657</v>
      </c>
      <c r="AB122" s="11" t="n">
        <f aca="false">AB25+AB40+AB55+AB70+AB85+AB100</f>
        <v>428.12014228635</v>
      </c>
      <c r="AC122" s="11" t="n">
        <f aca="false">AC25+AC40+AC55+AC70+AC85+AC100</f>
        <v>398.481194810665</v>
      </c>
      <c r="AD122" s="11" t="n">
        <f aca="false">AD25+AD40+AD55+AD70+AD85+AD100</f>
        <v>368.936999898617</v>
      </c>
      <c r="AE122" s="11" t="n">
        <f aca="false">AE25+AE40+AE55+AE70+AE85+AE100</f>
        <v>336.987664398295</v>
      </c>
      <c r="AF122" s="11" t="n">
        <f aca="false">AF25+AF40+AF55+AF70+AF85+AF100</f>
        <v>303.435268610389</v>
      </c>
      <c r="AG122" s="11" t="n">
        <f aca="false">AG25+AG40+AG55+AG70+AG85+AG100</f>
        <v>268.346362850909</v>
      </c>
      <c r="AH122" s="11" t="n">
        <f aca="false">AH25+AH40+AH55+AH70+AH85+AH100</f>
        <v>233.497382736541</v>
      </c>
      <c r="AI122" s="11" t="n">
        <f aca="false">AI25+AI40+AI55+AI70+AI85+AI100</f>
        <v>197.064507677769</v>
      </c>
      <c r="AJ122" s="11" t="n">
        <f aca="false">AJ25+AJ40+AJ55+AJ70+AJ85+AJ100</f>
        <v>160.449296102366</v>
      </c>
      <c r="AK122" s="11" t="n">
        <f aca="false">AK25+AK40+AK55+AK70+AK85+AK100</f>
        <v>122.576917805921</v>
      </c>
      <c r="AL122" s="11" t="n">
        <f aca="false">AL25+AL40+AL55+AL70+AL85+AL100</f>
        <v>85.2586060811726</v>
      </c>
      <c r="AM122" s="11" t="n">
        <f aca="false">AM25+AM40+AM55+AM70+AM85+AM100</f>
        <v>62.3244079257954</v>
      </c>
      <c r="AN122" s="11" t="n">
        <f aca="false">AN25+AN40+AN55+AN70+AN85+AN100</f>
        <v>38.913523223286</v>
      </c>
      <c r="AO122" s="11" t="n">
        <f aca="false">AO25+AO40+AO55+AO70+AO85+AO100</f>
        <v>19.5998212614359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0</v>
      </c>
      <c r="P123" s="11" t="n">
        <f aca="false">P38+P53+P68+P83+P98+P104</f>
        <v>657.739998413269</v>
      </c>
      <c r="Q123" s="11" t="n">
        <f aca="false">Q38+Q53+Q68+Q83+Q98+Q104</f>
        <v>640.550022001723</v>
      </c>
      <c r="R123" s="11" t="n">
        <f aca="false">R38+R53+R68+R83+R98+R104</f>
        <v>622.513289501831</v>
      </c>
      <c r="S123" s="11" t="n">
        <f aca="false">S38+S53+S68+S83+S98+S104</f>
        <v>603.945043674502</v>
      </c>
      <c r="T123" s="11" t="n">
        <f aca="false">T38+T53+T68+T83+T98+T104</f>
        <v>584.522665193028</v>
      </c>
      <c r="U123" s="11" t="n">
        <f aca="false">U38+U53+U68+U83+U98+U104</f>
        <v>564.480872870294</v>
      </c>
      <c r="V123" s="11" t="n">
        <f aca="false">V38+V53+V68+V83+V98+V104</f>
        <v>543.129764415097</v>
      </c>
      <c r="W123" s="11" t="n">
        <f aca="false">W38+W53+W68+W83+W98+W104</f>
        <v>521.125965678257</v>
      </c>
      <c r="X123" s="11" t="n">
        <f aca="false">X38+X53+X68+X83+X98+X104</f>
        <v>499.732942519113</v>
      </c>
      <c r="Y123" s="11" t="n">
        <f aca="false">Y38+Y53+Y68+Y83+Y98+Y104</f>
        <v>478.32985288415</v>
      </c>
      <c r="Z123" s="11" t="n">
        <f aca="false">Z38+Z53+Z68+Z83+Z98+Z104</f>
        <v>456.04007701657</v>
      </c>
      <c r="AA123" s="11" t="n">
        <f aca="false">AA38+AA53+AA68+AA83+AA98+AA104</f>
        <v>428.12014228635</v>
      </c>
      <c r="AB123" s="11" t="n">
        <f aca="false">AB38+AB53+AB68+AB83+AB98+AB104</f>
        <v>398.481194810665</v>
      </c>
      <c r="AC123" s="11" t="n">
        <f aca="false">AC38+AC53+AC68+AC83+AC98+AC104</f>
        <v>368.936999898617</v>
      </c>
      <c r="AD123" s="11" t="n">
        <f aca="false">AD38+AD53+AD68+AD83+AD98+AD104</f>
        <v>336.987664398295</v>
      </c>
      <c r="AE123" s="11" t="n">
        <f aca="false">AE38+AE53+AE68+AE83+AE98+AE104</f>
        <v>303.435268610389</v>
      </c>
      <c r="AF123" s="11" t="n">
        <f aca="false">AF38+AF53+AF68+AF83+AF98+AF104</f>
        <v>268.346362850909</v>
      </c>
      <c r="AG123" s="11" t="n">
        <f aca="false">AG38+AG53+AG68+AG83+AG98+AG104</f>
        <v>233.497382736541</v>
      </c>
      <c r="AH123" s="11" t="n">
        <f aca="false">AH38+AH53+AH68+AH83+AH98+AH104</f>
        <v>197.064507677769</v>
      </c>
      <c r="AI123" s="11" t="n">
        <f aca="false">AI38+AI53+AI68+AI83+AI98+AI104</f>
        <v>160.449296102366</v>
      </c>
      <c r="AJ123" s="11" t="n">
        <f aca="false">AJ38+AJ53+AJ68+AJ83+AJ98+AJ104</f>
        <v>122.576917805921</v>
      </c>
      <c r="AK123" s="11" t="n">
        <f aca="false">AK38+AK53+AK68+AK83+AK98+AK104</f>
        <v>85.2586060811726</v>
      </c>
      <c r="AL123" s="11" t="n">
        <f aca="false">AL38+AL53+AL68+AL83+AL98+AL104</f>
        <v>62.3244079257954</v>
      </c>
      <c r="AM123" s="11" t="n">
        <f aca="false">AM38+AM53+AM68+AM83+AM98+AM104</f>
        <v>38.913523223286</v>
      </c>
      <c r="AN123" s="11" t="n">
        <f aca="false">AN38+AN53+AN68+AN83+AN98+AN104</f>
        <v>19.5998212614359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0</v>
      </c>
      <c r="P125" s="11" t="n">
        <f aca="false">IF(Time!P29=1,P83,P81)</f>
        <v>249.941199397042</v>
      </c>
      <c r="Q125" s="11" t="n">
        <f aca="false">IF(Time!Q29=1,Q83,Q81)</f>
        <v>243.409008360655</v>
      </c>
      <c r="R125" s="11" t="n">
        <f aca="false">IF(Time!R29=1,R83,R81)</f>
        <v>236.555050010696</v>
      </c>
      <c r="S125" s="11" t="n">
        <f aca="false">IF(Time!S29=1,S83,S81)</f>
        <v>229.499116596311</v>
      </c>
      <c r="T125" s="11" t="n">
        <f aca="false">IF(Time!T29=1,T83,T81)</f>
        <v>222.118612773351</v>
      </c>
      <c r="U125" s="11" t="n">
        <f aca="false">IF(Time!U29=1,U83,U81)</f>
        <v>214.502731690712</v>
      </c>
      <c r="V125" s="11" t="n">
        <f aca="false">IF(Time!V29=1,V83,V81)</f>
        <v>206.389310477737</v>
      </c>
      <c r="W125" s="11" t="n">
        <f aca="false">IF(Time!W29=1,W83,W81)</f>
        <v>198.027866957738</v>
      </c>
      <c r="X125" s="11" t="n">
        <f aca="false">IF(Time!X29=1,X83,X81)</f>
        <v>189.898518157263</v>
      </c>
      <c r="Y125" s="11" t="n">
        <f aca="false">IF(Time!Y29=1,Y83,Y81)</f>
        <v>181.765344095977</v>
      </c>
      <c r="Z125" s="11" t="n">
        <f aca="false">IF(Time!Z29=1,Z83,Z81)</f>
        <v>173.295229266297</v>
      </c>
      <c r="AA125" s="11" t="n">
        <f aca="false">IF(Time!AA29=1,AA83,AA81)</f>
        <v>164.577935250189</v>
      </c>
      <c r="AB125" s="11" t="n">
        <f aca="false">IF(Time!AB29=1,AB83,AB81)</f>
        <v>150.740854395749</v>
      </c>
      <c r="AC125" s="11" t="n">
        <f aca="false">IF(Time!AC29=1,AC83,AC81)</f>
        <v>136.067815299745</v>
      </c>
      <c r="AD125" s="11" t="n">
        <f aca="false">IF(Time!AD29=1,AD83,AD81)</f>
        <v>121.489201970907</v>
      </c>
      <c r="AE125" s="11" t="n">
        <f aca="false">IF(Time!AE29=1,AE83,AE81)</f>
        <v>106.423146519253</v>
      </c>
      <c r="AF125" s="11" t="n">
        <f aca="false">IF(Time!AF29=1,AF83,AF81)</f>
        <v>90.6948684294166</v>
      </c>
      <c r="AG125" s="11" t="n">
        <f aca="false">IF(Time!AG29=1,AG83,AG81)</f>
        <v>74.3937315528644</v>
      </c>
      <c r="AH125" s="11" t="n">
        <f aca="false">IF(Time!AH29=1,AH83,AH81)</f>
        <v>58.5644595844221</v>
      </c>
      <c r="AI125" s="11" t="n">
        <f aca="false">IF(Time!AI29=1,AI83,AI81)</f>
        <v>42.5824358034886</v>
      </c>
      <c r="AJ125" s="11" t="n">
        <f aca="false">IF(Time!AJ29=1,AJ83,AJ81)</f>
        <v>27.2661688995624</v>
      </c>
      <c r="AK125" s="11" t="n">
        <f aca="false">IF(Time!AK29=1,AK83,AK81)</f>
        <v>12.5144233480348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0</v>
      </c>
      <c r="P126" s="11" t="n">
        <f aca="false">IF(AND(Time!P17&gt;=Time!$F$11,Time!P17&lt;57),(IF(Time!P29=1,P38,P36)-P35)*Q19+IF(Time!P29=1,P38,P36)*Q10,0)</f>
        <v>9.58171951612273</v>
      </c>
      <c r="Q126" s="11" t="n">
        <f aca="false">IF(AND(Time!Q17&gt;=Time!$F$11,Time!Q17&lt;57),(IF(Time!Q29=1,Q38,Q36)-Q35)*R19+IF(Time!Q29=1,Q38,Q36)*R10,0)</f>
        <v>9.79152783376365</v>
      </c>
      <c r="R126" s="11" t="n">
        <f aca="false">IF(AND(Time!R17&gt;=Time!$F$11,Time!R17&lt;57),(IF(Time!R29=1,R38,R36)-R35)*S19+IF(Time!R29=1,R38,R36)*S10,0)</f>
        <v>9.76761397434217</v>
      </c>
      <c r="S126" s="11" t="n">
        <f aca="false">IF(AND(Time!S17&gt;=Time!$F$11,Time!S17&lt;57),(IF(Time!S29=1,S38,S36)-S35)*T19+IF(Time!S29=1,S38,S36)*T10,0)</f>
        <v>9.96615287378737</v>
      </c>
      <c r="T126" s="11" t="n">
        <f aca="false">IF(AND(Time!T17&gt;=Time!$F$11,Time!T17&lt;57),(IF(Time!T29=1,T38,T36)-T35)*U19+U22*MIN($F$30/4,T35)+IF(Time!T29=1,T38,T36)*U10,0)</f>
        <v>9.97530910549621</v>
      </c>
      <c r="U126" s="11" t="n">
        <f aca="false">IF(AND(Time!U17&gt;=Time!$F$11,Time!U17&lt;57),(IF(Time!U29=1,U38,U36)-U35)*V19+V22*MIN($F$30/4,U35)+IF(Time!U29=1,U38,U36)*V10,0)</f>
        <v>10.2742844392122</v>
      </c>
      <c r="V126" s="11" t="n">
        <f aca="false">IF(AND(Time!V17&gt;=Time!$F$11,Time!V17&lt;57),(IF(Time!V29=1,V38,V36)-V35)*W19+W22*MIN($F$30/4,V35)+IF(Time!V29=1,V38,V36)*W10,0)</f>
        <v>10.2630562751796</v>
      </c>
      <c r="W126" s="11" t="n">
        <f aca="false">IF(AND(Time!W17&gt;=Time!$F$11,Time!W17&lt;57),(IF(Time!W29=1,W38,W36)-W35)*X19+X22*MIN($F$30/4,W35)+IF(Time!W29=1,W38,W36)*X10,0)</f>
        <v>9.98970431650204</v>
      </c>
      <c r="X126" s="11" t="n">
        <f aca="false">IF(AND(Time!X17&gt;=Time!$F$11,Time!X17&lt;57),(IF(Time!X29=1,X38,X36)-X35)*Y19+IF(Time!X29=1,X38,X36)*Y10,0)</f>
        <v>9.79025132218836</v>
      </c>
      <c r="Y126" s="11" t="n">
        <f aca="false">IF(AND(Time!Y17&gt;=Time!$F$11,Time!Y17&lt;57),(IF(Time!Y29=1,Y38,Y36)-Y35)*Z19+IF(Time!Y29=1,Y38,Y36)*Z10,0)</f>
        <v>9.96540557194188</v>
      </c>
      <c r="Z126" s="11" t="n">
        <f aca="false">IF(AND(Time!Z17&gt;=Time!$F$11,Time!Z17&lt;57),(IF(Time!Z29=1,Z38,Z36)-Z35)*AA19+IF(Time!Z29=1,Z38,Z36)*AA10,0)</f>
        <v>9.95681043250781</v>
      </c>
      <c r="AA126" s="11" t="n">
        <f aca="false">IF(AND(Time!AA17&gt;=Time!$F$11,Time!AA17&lt;57),(IF(Time!AA29=1,AA38,AA36)-AA35)*AB19+IF(Time!AA29=1,AA38,AA36)*AB10,0)</f>
        <v>10.1793266529096</v>
      </c>
      <c r="AB126" s="11" t="n">
        <f aca="false">IF(AND(Time!AB17&gt;=Time!$F$11,Time!AB17&lt;57),(IF(Time!AB29=1,AB38,AB36)-AB35)*AC19+IF(Time!AB29=1,AB38,AB36)*AC10,0)</f>
        <v>10.2229919621917</v>
      </c>
      <c r="AC126" s="11" t="n">
        <f aca="false">IF(AND(Time!AC17&gt;=Time!$F$11,Time!AC17&lt;57),(IF(Time!AC29=1,AC38,AC36)-AC35)*AD19+IF(Time!AC29=1,AC38,AC36)*AD10,0)</f>
        <v>10.7680982687338</v>
      </c>
      <c r="AD126" s="11" t="n">
        <f aca="false">IF(AND(Time!AD17&gt;=Time!$F$11,Time!AD17&lt;57),(IF(Time!AD29=1,AD38,AD36)-AD35)*AE19+IF(Time!AD29=1,AD38,AD36)*AE10,0)</f>
        <v>10.891971126546</v>
      </c>
      <c r="AE126" s="11" t="n">
        <f aca="false">IF(AND(Time!AE17&gt;=Time!$F$11,Time!AE17&lt;57),(IF(Time!AE29=1,AE38,AE36)-AE35)*AF19+IF(Time!AE29=1,AE38,AE36)*AF10,0)</f>
        <v>11.0356841146653</v>
      </c>
      <c r="AF126" s="11" t="n">
        <f aca="false">IF(AND(Time!AF17&gt;=Time!$F$11,Time!AF17&lt;57),(IF(Time!AF29=1,AF38,AF36)-AF35)*AG19+IF(Time!AF29=1,AF38,AF36)*AG10,0)</f>
        <v>10.9654695951042</v>
      </c>
      <c r="AG126" s="11" t="n">
        <f aca="false">IF(AND(Time!AG17&gt;=Time!$F$11,Time!AG17&lt;57),(IF(Time!AG29=1,AG38,AG36)-AG35)*AH19+IF(Time!AG29=1,AG38,AG36)*AH10,0)</f>
        <v>11.2436554203768</v>
      </c>
      <c r="AH126" s="11" t="n">
        <f aca="false">IF(AND(Time!AH17&gt;=Time!$F$11,Time!AH17&lt;57),(IF(Time!AH29=1,AH38,AH36)-AH35)*AI19+IF(Time!AH29=1,AH38,AH36)*AI10,0)</f>
        <v>11.2782265744282</v>
      </c>
      <c r="AI126" s="11" t="n">
        <f aca="false">IF(AND(Time!AI17&gt;=Time!$F$11,Time!AI17&lt;57),(IF(Time!AI29=1,AI38,AI36)-AI35)*AJ19+IF(Time!AI29=1,AI38,AI36)*AJ10,0)</f>
        <v>11.5508061251945</v>
      </c>
      <c r="AJ126" s="11" t="n">
        <f aca="false">IF(AND(Time!AJ17&gt;=Time!$F$11,Time!AJ17&lt;57),(IF(Time!AJ29=1,AJ38,AJ36)-AJ35)*AK19+IF(Time!AJ29=1,AJ38,AJ36)*AK10,0)</f>
        <v>11.6344878631117</v>
      </c>
      <c r="AK126" s="11" t="n">
        <f aca="false">IF(AND(Time!AK17&gt;=Time!$F$11,Time!AK17&lt;57),(IF(Time!AK29=1,AK38,AK36)-AK35)*AL19+IF(Time!AK29=1,AK38,AK36)*AL10,0)</f>
        <v>12.039712794667</v>
      </c>
      <c r="AL126" s="11" t="n">
        <f aca="false">IF(AND(Time!AL17&gt;=Time!$F$11,Time!AL17&lt;57),(IF(Time!AL29=1,AL38,AL36)-AL35)*AM19+IF(Time!AL29=1,AL38,AL36)*AM10,0)</f>
        <v>12.0056002420815</v>
      </c>
      <c r="AM126" s="11" t="n">
        <f aca="false">IF(AND(Time!AM17&gt;=Time!$F$11,Time!AM17&lt;57),(IF(Time!AM29=1,AM38,AM36)-AM35)*AN19+IF(Time!AM29=1,AM38,AM36)*AN10,0)</f>
        <v>9.77552238181845</v>
      </c>
      <c r="AN126" s="11" t="n">
        <f aca="false">IF(AND(Time!AN17&gt;=Time!$F$11,Time!AN17&lt;57),(IF(Time!AN29=1,AN38,AN36)-AN35)*AO19+IF(Time!AN29=1,AN38,AN36)*AO10,0)</f>
        <v>9.6969246344043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0</v>
      </c>
      <c r="P127" s="11" t="n">
        <f aca="false">IF(AND(Time!P17&gt;=Time!$F$11,Time!P17&lt;57),(IF(Time!P29=1,P53,P51)-P50)*Q19+IF(Time!P29=1,P53,P51)*Q11,0)</f>
        <v>8.69992140889771</v>
      </c>
      <c r="Q127" s="11" t="n">
        <f aca="false">IF(AND(Time!Q17&gt;=Time!$F$11,Time!Q17&lt;57),(IF(Time!Q29=1,Q53,Q51)-Q50)*R19+IF(Time!Q29=1,Q53,Q51)*R11,0)</f>
        <v>8.8370584461058</v>
      </c>
      <c r="R127" s="11" t="n">
        <f aca="false">IF(AND(Time!R17&gt;=Time!$F$11,Time!R17&lt;57),(IF(Time!R29=1,R53,R51)-R50)*S19+IF(Time!R29=1,R53,R51)*S11,0)</f>
        <v>8.74662530708189</v>
      </c>
      <c r="S127" s="11" t="n">
        <f aca="false">IF(AND(Time!S17&gt;=Time!$F$11,Time!S17&lt;57),(IF(Time!S29=1,S53,S51)-S50)*T19+IF(Time!S29=1,S53,S51)*T11,0)</f>
        <v>8.87044820039604</v>
      </c>
      <c r="T127" s="11" t="n">
        <f aca="false">IF(AND(Time!T17&gt;=Time!$F$11,Time!T17&lt;57),(IF(Time!T29=1,T53,T51)-T50)*U19+U22*MIN($F$45/4,T50)+IF(Time!T29=1,T53,T51)*U11,0)</f>
        <v>8.81050060189045</v>
      </c>
      <c r="U127" s="11" t="n">
        <f aca="false">IF(AND(Time!U17&gt;=Time!$F$11,Time!U17&lt;57),(IF(Time!U29=1,U53,U51)-U50)*V19+V22*MIN($F$45/4,U50)+IF(Time!U29=1,U53,U51)*V11,0)</f>
        <v>8.99434823285882</v>
      </c>
      <c r="V127" s="11" t="n">
        <f aca="false">IF(AND(Time!V17&gt;=Time!$F$11,Time!V17&lt;57),(IF(Time!V29=1,V53,V51)-V50)*W19+W22*MIN($F$45/4,V50)+IF(Time!V29=1,V53,V51)*W11,0)</f>
        <v>8.90799356301285</v>
      </c>
      <c r="W127" s="11" t="n">
        <f aca="false">IF(AND(Time!W17&gt;=Time!$F$11,Time!W17&lt;57),(IF(Time!W29=1,W53,W51)-W50)*X19+X22*MIN($F$45/4,W50)+IF(Time!W29=1,W53,W51)*X11,0)</f>
        <v>8.67353071844896</v>
      </c>
      <c r="X127" s="11" t="n">
        <f aca="false">IF(AND(Time!X17&gt;=Time!$F$11,Time!X17&lt;57),(IF(Time!X29=1,X53,X51)-X50)*Y19+IF(Time!X29=1,X53,X51)*Y11,0)</f>
        <v>8.45086600498134</v>
      </c>
      <c r="Y127" s="11" t="n">
        <f aca="false">IF(AND(Time!Y17&gt;=Time!$F$11,Time!Y17&lt;57),(IF(Time!Y29=1,Y53,Y51)-Y50)*Z19+IF(Time!Y29=1,Y53,Y51)*Z11,0)</f>
        <v>8.54503138117199</v>
      </c>
      <c r="Z127" s="11" t="n">
        <f aca="false">IF(AND(Time!Z17&gt;=Time!$F$11,Time!Z17&lt;57),(IF(Time!Z29=1,Z53,Z51)-Z50)*AA19+IF(Time!Z29=1,Z53,Z51)*AA11,0)</f>
        <v>8.46185227532905</v>
      </c>
      <c r="AA127" s="11" t="n">
        <f aca="false">IF(AND(Time!AA17&gt;=Time!$F$11,Time!AA17&lt;57),(IF(Time!AA29=1,AA53,AA51)-AA50)*AB19+IF(Time!AA29=1,AA53,AA51)*AB11,0)</f>
        <v>8.5849319492341</v>
      </c>
      <c r="AB127" s="11" t="n">
        <f aca="false">IF(AND(Time!AB17&gt;=Time!$F$11,Time!AB17&lt;57),(IF(Time!AB29=1,AB53,AB51)-AB50)*AC19+IF(Time!AB29=1,AB53,AB51)*AC11,0)</f>
        <v>8.54329098473175</v>
      </c>
      <c r="AC127" s="11" t="n">
        <f aca="false">IF(AND(Time!AC17&gt;=Time!$F$11,Time!AC17&lt;57),(IF(Time!AC29=1,AC53,AC51)-AC50)*AD19+IF(Time!AC29=1,AC53,AC51)*AD11,0)</f>
        <v>8.89031252158645</v>
      </c>
      <c r="AD127" s="11" t="n">
        <f aca="false">IF(AND(Time!AD17&gt;=Time!$F$11,Time!AD17&lt;57),(IF(Time!AD29=1,AD53,AD51)-AD50)*AE19+IF(Time!AD29=1,AD53,AD51)*AE11,0)</f>
        <v>8.89596814284308</v>
      </c>
      <c r="AE127" s="11" t="n">
        <f aca="false">IF(AND(Time!AE17&gt;=Time!$F$11,Time!AE17&lt;57),(IF(Time!AE29=1,AE53,AE51)-AE50)*AF19+IF(Time!AE29=1,AE53,AE51)*AF11,0)</f>
        <v>8.9432759088358</v>
      </c>
      <c r="AF127" s="11" t="n">
        <f aca="false">IF(AND(Time!AF17&gt;=Time!$F$11,Time!AF17&lt;57),(IF(Time!AF29=1,AF53,AF51)-AF50)*AG19+IF(Time!AF29=1,AF53,AF51)*AG11,0)</f>
        <v>8.8034476824547</v>
      </c>
      <c r="AG127" s="11" t="n">
        <f aca="false">IF(AND(Time!AG17&gt;=Time!$F$11,Time!AG17&lt;57),(IF(Time!AG29=1,AG53,AG51)-AG50)*AH19+IF(Time!AG29=1,AG53,AG51)*AH11,0)</f>
        <v>8.9429632174787</v>
      </c>
      <c r="AH127" s="11" t="n">
        <f aca="false">IF(AND(Time!AH17&gt;=Time!$F$11,Time!AH17&lt;57),(IF(Time!AH29=1,AH53,AH51)-AH50)*AI19+IF(Time!AH29=1,AH53,AH51)*AI11,0)</f>
        <v>8.8772712807733</v>
      </c>
      <c r="AI127" s="11" t="n">
        <f aca="false">IF(AND(Time!AI17&gt;=Time!$F$11,Time!AI17&lt;57),(IF(Time!AI29=1,AI53,AI51)-AI50)*AJ19+IF(Time!AI29=1,AI53,AI51)*AJ11,0)</f>
        <v>9.00384810370733</v>
      </c>
      <c r="AJ127" s="11" t="n">
        <f aca="false">IF(AND(Time!AJ17&gt;=Time!$F$11,Time!AJ17&lt;57),(IF(Time!AJ29=1,AJ53,AJ51)-AJ50)*AK19+IF(Time!AJ29=1,AJ53,AJ51)*AK11,0)</f>
        <v>8.97297500693298</v>
      </c>
      <c r="AK127" s="11" t="n">
        <f aca="false">IF(AND(Time!AK17&gt;=Time!$F$11,Time!AK17&lt;57),(IF(Time!AK29=1,AK53,AK51)-AK50)*AL19+IF(Time!AK29=1,AK53,AK51)*AL11,0)</f>
        <v>9.18476417041624</v>
      </c>
      <c r="AL127" s="11" t="n">
        <f aca="false">IF(AND(Time!AL17&gt;=Time!$F$11,Time!AL17&lt;57),(IF(Time!AL29=1,AL53,AL51)-AL50)*AM19+IF(Time!AL29=1,AL53,AL51)*AM11,0)</f>
        <v>9.05984354779038</v>
      </c>
      <c r="AM127" s="11" t="n">
        <f aca="false">IF(AND(Time!AM17&gt;=Time!$F$11,Time!AM17&lt;57),(IF(Time!AM29=1,AM53,AM51)-AM50)*AN19+IF(Time!AM29=1,AM53,AM51)*AN11,0)</f>
        <v>7.33103741092228</v>
      </c>
      <c r="AN127" s="11" t="n">
        <f aca="false">IF(AND(Time!AN17&gt;=Time!$F$11,Time!AN17&lt;57),(IF(Time!AN29=1,AN53,AN51)-AN50)*AO19+IF(Time!AN29=1,AN53,AN51)*AO11,0)</f>
        <v>7.19150231388797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0</v>
      </c>
      <c r="P128" s="11" t="n">
        <f aca="false">IF(AND(Time!P17&gt;=Time!$F$11,Time!P17&lt;57),(IF(Time!P29=1,P68,P66)-P65)*Q19+IF(Time!P29=1,P68,P66)*Q12,0)</f>
        <v>3.8718354676277</v>
      </c>
      <c r="Q128" s="11" t="n">
        <f aca="false">IF(AND(Time!Q17&gt;=Time!$F$11,Time!Q17&lt;57),(IF(Time!Q29=1,Q68,Q66)-Q65)*R19+IF(Time!Q29=1,Q68,Q66)*R12,0)</f>
        <v>3.93499668986302</v>
      </c>
      <c r="R128" s="11" t="n">
        <f aca="false">IF(AND(Time!R17&gt;=Time!$F$11,Time!R17&lt;57),(IF(Time!R29=1,R68,R66)-R65)*S19+IF(Time!R29=1,R68,R66)*S12,0)</f>
        <v>3.8974923138631</v>
      </c>
      <c r="S128" s="11" t="n">
        <f aca="false">IF(AND(Time!S17&gt;=Time!$F$11,Time!S17&lt;57),(IF(Time!S29=1,S68,S66)-S65)*T19+IF(Time!S29=1,S68,S66)*T12,0)</f>
        <v>3.95485115369029</v>
      </c>
      <c r="T128" s="11" t="n">
        <f aca="false">IF(AND(Time!T17&gt;=Time!$F$11,Time!T17&lt;57),(IF(Time!T29=1,T68,T66)-T65)*U19+U22*MIN($F$60/4,T65)+IF(Time!T29=1,T68,T66)*U12,0)</f>
        <v>3.93089583067518</v>
      </c>
      <c r="U128" s="11" t="n">
        <f aca="false">IF(AND(Time!U17&gt;=Time!$F$11,Time!U17&lt;57),(IF(Time!U29=1,U68,U66)-U65)*V19+V22*MIN($F$60/4,U65)+IF(Time!U29=1,U68,U66)*V12,0)</f>
        <v>4.01621199431149</v>
      </c>
      <c r="V128" s="11" t="n">
        <f aca="false">IF(AND(Time!V17&gt;=Time!$F$11,Time!V17&lt;57),(IF(Time!V29=1,V68,V66)-V65)*W19+W22*MIN($F$60/4,V65)+IF(Time!V29=1,V68,V66)*W12,0)</f>
        <v>3.98081958918826</v>
      </c>
      <c r="W128" s="11" t="n">
        <f aca="false">IF(AND(Time!W17&gt;=Time!$F$11,Time!W17&lt;57),(IF(Time!W29=1,W68,W66)-W65)*X19+X22*MIN($F$60/4,W65)+IF(Time!W29=1,W68,W66)*X12,0)</f>
        <v>3.87592564509468</v>
      </c>
      <c r="X128" s="11" t="n">
        <f aca="false">IF(AND(Time!X17&gt;=Time!$F$11,Time!X17&lt;57),(IF(Time!X29=1,X68,X66)-X65)*Y19+IF(Time!X29=1,X68,X66)*Y12,0)</f>
        <v>3.77848907495644</v>
      </c>
      <c r="Y128" s="11" t="n">
        <f aca="false">IF(AND(Time!Y17&gt;=Time!$F$11,Time!Y17&lt;57),(IF(Time!Y29=1,Y68,Y66)-Y65)*Z19+IF(Time!Y29=1,Y68,Y66)*Z12,0)</f>
        <v>3.82298524761369</v>
      </c>
      <c r="Z128" s="11" t="n">
        <f aca="false">IF(AND(Time!Z17&gt;=Time!$F$11,Time!Z17&lt;57),(IF(Time!Z29=1,Z68,Z66)-Z65)*AA19+IF(Time!Z29=1,Z68,Z66)*AA12,0)</f>
        <v>3.78897478466093</v>
      </c>
      <c r="AA128" s="11" t="n">
        <f aca="false">IF(AND(Time!AA17&gt;=Time!$F$11,Time!AA17&lt;57),(IF(Time!AA29=1,AA68,AA66)-AA65)*AB19+IF(Time!AA29=1,AA68,AA66)*AB12,0)</f>
        <v>3.84690126132345</v>
      </c>
      <c r="AB128" s="11" t="n">
        <f aca="false">IF(AND(Time!AB17&gt;=Time!$F$11,Time!AB17&lt;57),(IF(Time!AB29=1,AB68,AB66)-AB65)*AC19+IF(Time!AB29=1,AB68,AB66)*AC12,0)</f>
        <v>3.83161298651552</v>
      </c>
      <c r="AC128" s="11" t="n">
        <f aca="false">IF(AND(Time!AC17&gt;=Time!$F$11,Time!AC17&lt;57),(IF(Time!AC29=1,AC68,AC66)-AC65)*AD19+IF(Time!AC29=1,AC68,AC66)*AD12,0)</f>
        <v>3.99195494437156</v>
      </c>
      <c r="AD128" s="11" t="n">
        <f aca="false">IF(AND(Time!AD17&gt;=Time!$F$11,Time!AD17&lt;57),(IF(Time!AD29=1,AD68,AD66)-AD65)*AE19+IF(Time!AD29=1,AD68,AD66)*AE12,0)</f>
        <v>3.99873440040087</v>
      </c>
      <c r="AE128" s="11" t="n">
        <f aca="false">IF(AND(Time!AE17&gt;=Time!$F$11,Time!AE17&lt;57),(IF(Time!AE29=1,AE68,AE66)-AE65)*AF19+IF(Time!AE29=1,AE68,AE66)*AF12,0)</f>
        <v>4.02310758250369</v>
      </c>
      <c r="AF128" s="11" t="n">
        <f aca="false">IF(AND(Time!AF17&gt;=Time!$F$11,Time!AF17&lt;57),(IF(Time!AF29=1,AF68,AF66)-AF65)*AG19+IF(Time!AF29=1,AF68,AF66)*AG12,0)</f>
        <v>3.96391380266164</v>
      </c>
      <c r="AG128" s="11" t="n">
        <f aca="false">IF(AND(Time!AG17&gt;=Time!$F$11,Time!AG17&lt;57),(IF(Time!AG29=1,AG68,AG66)-AG65)*AH19+IF(Time!AG29=1,AG68,AG66)*AH12,0)</f>
        <v>4.03051609148229</v>
      </c>
      <c r="AH128" s="11" t="n">
        <f aca="false">IF(AND(Time!AH17&gt;=Time!$F$11,Time!AH17&lt;57),(IF(Time!AH29=1,AH68,AH66)-AH65)*AI19+IF(Time!AH29=1,AH68,AH66)*AI12,0)</f>
        <v>4.00515434734462</v>
      </c>
      <c r="AI128" s="11" t="n">
        <f aca="false">IF(AND(Time!AI17&gt;=Time!$F$11,Time!AI17&lt;57),(IF(Time!AI29=1,AI68,AI66)-AI65)*AJ19+IF(Time!AI29=1,AI68,AI66)*AJ12,0)</f>
        <v>4.06631154194052</v>
      </c>
      <c r="AJ128" s="11" t="n">
        <f aca="false">IF(AND(Time!AJ17&gt;=Time!$F$11,Time!AJ17&lt;57),(IF(Time!AJ29=1,AJ68,AJ66)-AJ65)*AK19+IF(Time!AJ29=1,AJ68,AJ66)*AK12,0)</f>
        <v>4.05683561379112</v>
      </c>
      <c r="AK128" s="11" t="n">
        <f aca="false">IF(AND(Time!AK17&gt;=Time!$F$11,Time!AK17&lt;57),(IF(Time!AK29=1,AK68,AK66)-AK65)*AL19+IF(Time!AK29=1,AK68,AK66)*AL12,0)</f>
        <v>4.15732158663549</v>
      </c>
      <c r="AL128" s="11" t="n">
        <f aca="false">IF(AND(Time!AL17&gt;=Time!$F$11,Time!AL17&lt;57),(IF(Time!AL29=1,AL68,AL66)-AL65)*AM19+IF(Time!AL29=1,AL68,AL66)*AM12,0)</f>
        <v>4.10547549091276</v>
      </c>
      <c r="AM128" s="11" t="n">
        <f aca="false">IF(AND(Time!AM17&gt;=Time!$F$11,Time!AM17&lt;57),(IF(Time!AM29=1,AM68,AM66)-AM65)*AN19+IF(Time!AM29=1,AM68,AM66)*AN12,0)</f>
        <v>3.32426992010357</v>
      </c>
      <c r="AN128" s="11" t="n">
        <f aca="false">IF(AND(Time!AN17&gt;=Time!$F$11,Time!AN17&lt;57),(IF(Time!AN29=1,AN68,AN66)-AN65)*AO19+IF(Time!AN29=1,AN68,AN66)*AO12,0)</f>
        <v>3.26489115805885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0</v>
      </c>
      <c r="P129" s="11" t="n">
        <f aca="false">IF(AND(Time!P17&gt;=Time!$F$11,Time!P17&lt;57),(IF(Time!P29=1,P83,P81)-P80)*Q19+IF(Time!P29=1,P83,P81)*Q13,0)</f>
        <v>16.599344265558</v>
      </c>
      <c r="Q129" s="11" t="n">
        <f aca="false">IF(AND(Time!Q17&gt;=Time!$F$11,Time!Q17&lt;57),(IF(Time!Q29=1,Q83,Q81)-Q80)*R19+IF(Time!Q29=1,Q83,Q81)*R13,0)</f>
        <v>16.820505475008</v>
      </c>
      <c r="R129" s="11" t="n">
        <f aca="false">IF(AND(Time!R17&gt;=Time!$F$11,Time!R17&lt;57),(IF(Time!R29=1,R83,R81)-R80)*S19+IF(Time!R29=1,R83,R81)*S13,0)</f>
        <v>16.5971331197852</v>
      </c>
      <c r="S129" s="11" t="n">
        <f aca="false">IF(AND(Time!S17&gt;=Time!$F$11,Time!S17&lt;57),(IF(Time!S29=1,S83,S81)-S80)*T19+IF(Time!S29=1,S83,S81)*T13,0)</f>
        <v>16.7905342678945</v>
      </c>
      <c r="T129" s="11" t="n">
        <f aca="false">IF(AND(Time!T17&gt;=Time!$F$11,Time!T17&lt;57),(IF(Time!T29=1,T83,T81)-T80)*U19+U22*MIN($F$75/4,T80)+IF(Time!T29=1,T83,T81)*U13,0)</f>
        <v>16.6242990434009</v>
      </c>
      <c r="U129" s="11" t="n">
        <f aca="false">IF(AND(Time!U17&gt;=Time!$F$11,Time!U17&lt;57),(IF(Time!U29=1,U83,U81)-U80)*V19+V22*MIN($F$75/4,U80)+IF(Time!U29=1,U83,U81)*V13,0)</f>
        <v>16.9085628486687</v>
      </c>
      <c r="V129" s="11" t="n">
        <f aca="false">IF(AND(Time!V17&gt;=Time!$F$11,Time!V17&lt;57),(IF(Time!V29=1,V83,V81)-V80)*W19+W22*MIN($F$75/4,V80)+IF(Time!V29=1,V83,V81)*W13,0)</f>
        <v>16.6859397767434</v>
      </c>
      <c r="W129" s="11" t="n">
        <f aca="false">IF(AND(Time!W17&gt;=Time!$F$11,Time!W17&lt;57),(IF(Time!W29=1,W83,W81)-W80)*X19+X22*MIN($F$75/4,W80)+IF(Time!W29=1,W83,W81)*X13,0)</f>
        <v>16.2489803034382</v>
      </c>
      <c r="X129" s="11" t="n">
        <f aca="false">IF(AND(Time!X17&gt;=Time!$F$11,Time!X17&lt;57),(IF(Time!X29=1,X83,X81)-X80)*Y19+IF(Time!X29=1,X83,X81)*Y13,0)</f>
        <v>16.3229579313941</v>
      </c>
      <c r="Y129" s="11" t="n">
        <f aca="false">IF(AND(Time!Y17&gt;=Time!$F$11,Time!Y17&lt;57),(IF(Time!Y29=1,Y83,Y81)-Y80)*Z19+IF(Time!Y29=1,Y83,Y81)*Z13,0)</f>
        <v>16.4390665575029</v>
      </c>
      <c r="Z129" s="11" t="n">
        <f aca="false">IF(AND(Time!Z17&gt;=Time!$F$11,Time!Z17&lt;57),(IF(Time!Z29=1,Z83,Z81)-Z80)*AA19+IF(Time!Z29=1,Z83,Z81)*AA13,0)</f>
        <v>16.1910251814897</v>
      </c>
      <c r="AA129" s="11" t="n">
        <f aca="false">IF(AND(Time!AA17&gt;=Time!$F$11,Time!AA17&lt;57),(IF(Time!AA29=1,AA83,AA81)-AA80)*AB19+IF(Time!AA29=1,AA83,AA81)*AB13,0)</f>
        <v>16.3491783065889</v>
      </c>
      <c r="AB129" s="11" t="n">
        <f aca="false">IF(AND(Time!AB17&gt;=Time!$F$11,Time!AB17&lt;57),(IF(Time!AB29=1,AB83,AB81)-AB80)*AC19+IF(Time!AB29=1,AB83,AB81)*AC13,0)</f>
        <v>15.6877675950795</v>
      </c>
      <c r="AC129" s="11" t="n">
        <f aca="false">IF(AND(Time!AC17&gt;=Time!$F$11,Time!AC17&lt;57),(IF(Time!AC29=1,AC83,AC81)-AC80)*AD19+IF(Time!AC29=1,AC83,AC81)*AD13,0)</f>
        <v>15.567811655524</v>
      </c>
      <c r="AD129" s="11" t="n">
        <f aca="false">IF(AND(Time!AD17&gt;=Time!$F$11,Time!AD17&lt;57),(IF(Time!AD29=1,AD83,AD81)-AD80)*AE19+IF(Time!AD29=1,AD83,AD81)*AE13,0)</f>
        <v>14.8604460986032</v>
      </c>
      <c r="AE129" s="11" t="n">
        <f aca="false">IF(AND(Time!AE17&gt;=Time!$F$11,Time!AE17&lt;57),(IF(Time!AE29=1,AE83,AE81)-AE80)*AF19+IF(Time!AE29=1,AE83,AE81)*AF13,0)</f>
        <v>14.1395624263282</v>
      </c>
      <c r="AF129" s="11" t="n">
        <f aca="false">IF(AND(Time!AF17&gt;=Time!$F$11,Time!AF17&lt;57),(IF(Time!AF29=1,AF83,AF81)-AF80)*AG19+IF(Time!AF29=1,AF83,AF81)*AG13,0)</f>
        <v>13.1927248144675</v>
      </c>
      <c r="AG129" s="11" t="n">
        <f aca="false">IF(AND(Time!AG17&gt;=Time!$F$11,Time!AG17&lt;57),(IF(Time!AG29=1,AG83,AG81)-AG80)*AH19+IF(Time!AG29=1,AG83,AG81)*AH13,0)</f>
        <v>12.1096267794069</v>
      </c>
      <c r="AH129" s="11" t="n">
        <f aca="false">IF(AND(Time!AH17&gt;=Time!$F$11,Time!AH17&lt;57),(IF(Time!AH29=1,AH83,AH81)-AH80)*AI19+IF(Time!AH29=1,AH83,AH81)*AI13,0)</f>
        <v>10.6072888248928</v>
      </c>
      <c r="AI129" s="11" t="n">
        <f aca="false">IF(AND(Time!AI17&gt;=Time!$F$11,Time!AI17&lt;57),(IF(Time!AI29=1,AI83,AI81)-AI80)*AJ19+IF(Time!AI29=1,AI83,AI81)*AJ13,0)</f>
        <v>8.96647734452529</v>
      </c>
      <c r="AJ129" s="11" t="n">
        <f aca="false">IF(AND(Time!AJ17&gt;=Time!$F$11,Time!AJ17&lt;57),(IF(Time!AJ29=1,AJ83,AJ81)-AJ80)*AK19+IF(Time!AJ29=1,AJ83,AJ81)*AK13,0)</f>
        <v>6.77639926850862</v>
      </c>
      <c r="AK129" s="11" t="n">
        <f aca="false">IF(AND(Time!AK17&gt;=Time!$F$11,Time!AK17&lt;57),(IF(Time!AK29=1,AK83,AK81)-AK80)*AL19+IF(Time!AK29=1,AK83,AK81)*AL13,0)</f>
        <v>3.95051785096975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0</v>
      </c>
      <c r="P130" s="11" t="n">
        <f aca="false">IF(AND(Time!P17&gt;=Time!$F$11,Time!P17&lt;57),(IF(Time!P29=1,P98,P96)-P95)*Q19+IF(Time!P29=1,P98,P96)*Q14,0)</f>
        <v>1.30370943727358E-014</v>
      </c>
      <c r="Q130" s="11" t="n">
        <f aca="false">IF(AND(Time!Q17&gt;=Time!$F$11,Time!Q17&lt;57),(IF(Time!Q29=1,Q98,Q96)-Q95)*R19+IF(Time!Q29=1,Q98,Q96)*R14,0)</f>
        <v>1.32162708754696E-014</v>
      </c>
      <c r="R130" s="11" t="n">
        <f aca="false">IF(AND(Time!R17&gt;=Time!$F$11,Time!R17&lt;57),(IF(Time!R29=1,R98,R96)-R95)*S19+IF(Time!R29=1,R98,R96)*S14,0)</f>
        <v>1.30474837912553E-014</v>
      </c>
      <c r="S130" s="11" t="n">
        <f aca="false">IF(AND(Time!S17&gt;=Time!$F$11,Time!S17&lt;57),(IF(Time!S29=1,S98,S96)-S95)*T19+IF(Time!S29=1,S98,S96)*T14,0)</f>
        <v>1.32051794514504E-014</v>
      </c>
      <c r="T130" s="11" t="n">
        <f aca="false">IF(AND(Time!T17&gt;=Time!$F$11,Time!T17&lt;57),(IF(Time!T29=1,T98,T96)-T95)*U19+U22*MIN($F$90/4,T95)+IF(Time!T29=1,T98,T96)*U14,0)</f>
        <v>1.30816416118872E-014</v>
      </c>
      <c r="U130" s="11" t="n">
        <f aca="false">IF(AND(Time!U17&gt;=Time!$F$11,Time!U17&lt;57),(IF(Time!U29=1,U98,U96)-U95)*V19+V22*MIN($F$90/4,U95)+IF(Time!U29=1,U98,U96)*V14,0)</f>
        <v>1.33139031060929E-014</v>
      </c>
      <c r="V130" s="11" t="n">
        <f aca="false">IF(AND(Time!V17&gt;=Time!$F$11,Time!V17&lt;57),(IF(Time!V29=1,V98,V96)-V95)*W19+W22*MIN($F$90/4,V95)+IF(Time!V29=1,V98,V96)*W14,0)</f>
        <v>1.31468919552709E-014</v>
      </c>
      <c r="W130" s="11" t="n">
        <f aca="false">IF(AND(Time!W17&gt;=Time!$F$11,Time!W17&lt;57),(IF(Time!W29=1,W98,W96)-W95)*X19+X22*MIN($F$90/4,W95)+IF(Time!W29=1,W98,W96)*X14,0)</f>
        <v>1.28023040015617E-014</v>
      </c>
      <c r="X130" s="11" t="n">
        <f aca="false">IF(AND(Time!X17&gt;=Time!$F$11,Time!X17&lt;57),(IF(Time!X29=1,X98,X96)-X95)*Y19+IF(Time!X29=1,X98,X96)*Y14,0)</f>
        <v>1.27025567384417E-014</v>
      </c>
      <c r="Y130" s="11" t="n">
        <f aca="false">IF(AND(Time!Y17&gt;=Time!$F$11,Time!Y17&lt;57),(IF(Time!Y29=1,Y98,Y96)-Y95)*Z19+IF(Time!Y29=1,Y98,Y96)*Z14,0)</f>
        <v>1.28047867406242E-014</v>
      </c>
      <c r="Z130" s="11" t="n">
        <f aca="false">IF(AND(Time!Z17&gt;=Time!$F$11,Time!Z17&lt;57),(IF(Time!Z29=1,Z98,Z96)-Z95)*AA19+IF(Time!Z29=1,Z98,Z96)*AA14,0)</f>
        <v>1.26275352167047E-014</v>
      </c>
      <c r="AA130" s="11" t="n">
        <f aca="false">IF(AND(Time!AA17&gt;=Time!$F$11,Time!AA17&lt;57),(IF(Time!AA29=1,AA98,AA96)-AA95)*AB19+IF(Time!AA29=1,AA98,AA96)*AB14,0)</f>
        <v>1.27649763450306E-014</v>
      </c>
      <c r="AB130" s="11" t="n">
        <f aca="false">IF(AND(Time!AB17&gt;=Time!$F$11,Time!AB17&lt;57),(IF(Time!AB29=1,AB98,AB96)-AB95)*AC19+IF(Time!AB29=1,AB98,AB96)*AC14,0)</f>
        <v>1.26476983155651E-014</v>
      </c>
      <c r="AC130" s="11" t="n">
        <f aca="false">IF(AND(Time!AC17&gt;=Time!$F$11,Time!AC17&lt;57),(IF(Time!AC29=1,AC98,AC96)-AC95)*AD19+IF(Time!AC29=1,AC98,AC96)*AD14,0)</f>
        <v>1.3084168384671E-014</v>
      </c>
      <c r="AD130" s="11" t="n">
        <f aca="false">IF(AND(Time!AD17&gt;=Time!$F$11,Time!AD17&lt;57),(IF(Time!AD29=1,AD98,AD96)-AD95)*AE19+IF(Time!AD29=1,AD98,AD96)*AE14,0)</f>
        <v>1.30228594654504E-014</v>
      </c>
      <c r="AE130" s="11" t="n">
        <f aca="false">IF(AND(Time!AE17&gt;=Time!$F$11,Time!AE17&lt;57),(IF(Time!AE29=1,AE98,AE96)-AE95)*AF19+IF(Time!AE29=1,AE98,AE96)*AF14,0)</f>
        <v>1.30410651834271E-014</v>
      </c>
      <c r="AF130" s="11" t="n">
        <f aca="false">IF(AND(Time!AF17&gt;=Time!$F$11,Time!AF17&lt;57),(IF(Time!AF29=1,AF98,AF96)-AF95)*AG19+IF(Time!AF29=1,AF98,AF96)*AG14,0)</f>
        <v>1.29288143715084E-014</v>
      </c>
      <c r="AG130" s="11" t="n">
        <f aca="false">IF(AND(Time!AG17&gt;=Time!$F$11,Time!AG17&lt;57),(IF(Time!AG29=1,AG98,AG96)-AG95)*AH19+IF(Time!AG29=1,AG98,AG96)*AH14,0)</f>
        <v>1.30562577805358E-014</v>
      </c>
      <c r="AH130" s="11" t="n">
        <f aca="false">IF(AND(Time!AH17&gt;=Time!$F$11,Time!AH17&lt;57),(IF(Time!AH29=1,AH98,AH96)-AH95)*AI19+IF(Time!AH29=1,AH98,AH96)*AI14,0)</f>
        <v>1.28734380336032E-014</v>
      </c>
      <c r="AI130" s="11" t="n">
        <f aca="false">IF(AND(Time!AI17&gt;=Time!$F$11,Time!AI17&lt;57),(IF(Time!AI29=1,AI98,AI96)-AI95)*AJ19+IF(Time!AI29=1,AI98,AI96)*AJ14,0)</f>
        <v>1.29740830869169E-014</v>
      </c>
      <c r="AJ130" s="11" t="n">
        <f aca="false">IF(AND(Time!AJ17&gt;=Time!$F$11,Time!AJ17&lt;57),(IF(Time!AJ29=1,AJ98,AJ96)-AJ95)*AK19+IF(Time!AJ29=1,AJ98,AJ96)*AK14,0)</f>
        <v>1.28381400900792E-014</v>
      </c>
      <c r="AK130" s="11" t="n">
        <f aca="false">IF(AND(Time!AK17&gt;=Time!$F$11,Time!AK17&lt;57),(IF(Time!AK29=1,AK98,AK96)-AK95)*AL19+IF(Time!AK29=1,AK98,AK96)*AL14,0)</f>
        <v>1.304426629894E-014</v>
      </c>
      <c r="AL130" s="11" t="n">
        <f aca="false">IF(AND(Time!AL17&gt;=Time!$F$11,Time!AL17&lt;57),(IF(Time!AL29=1,AL98,AL96)-AL95)*AM19+IF(Time!AL29=1,AL98,AL96)*AM14,0)</f>
        <v>1.27706863840416E-014</v>
      </c>
      <c r="AM130" s="11" t="n">
        <f aca="false">IF(AND(Time!AM17&gt;=Time!$F$11,Time!AM17&lt;57),(IF(Time!AM29=1,AM98,AM96)-AM95)*AN19+IF(Time!AM29=1,AM98,AM96)*AN14,0)</f>
        <v>1.02886428087808E-014</v>
      </c>
      <c r="AN130" s="11" t="n">
        <f aca="false">IF(AND(Time!AN17&gt;=Time!$F$11,Time!AN17&lt;57),(IF(Time!AN29=1,AN98,AN96)-AN95)*AO19+IF(Time!AN29=1,AN98,AN96)*AO14,0)</f>
        <v>1.00130959282482E-014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0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39.5901571901212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40.0955116122781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39.7778387053405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40.2295607160554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40.0312842957064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40.7986666606384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40.5087228524253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39.3469132499841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38.959871050273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39.2853733075215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38.9619967644553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39.4247252652081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38.7444655741052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39.5783031185693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39.0152983044463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38.3975174153793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37.1768380015028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36.4693329991737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34.8980305271939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33.6218970424988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31.446910313157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29.272415075822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25.0990387543341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20.3736881724253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20.1307130705795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0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0.0340393028052795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0.0344153818914667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0.0340529784512764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0.0344292842056293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0.0341784137027273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0.0344292842056293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0.0340529784512764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0.0344292842056293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0.0351143982043628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0.0355082965513083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0.0351143982043628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0.0355082965513083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0.0352456976533446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0.0355082965513083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0.0351143982043628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0.0355082965513083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0.0361758179574492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0.0365873088969873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0.0361758179574492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0.0365873088969873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0.0363129816039619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0.0365873088969873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0.0361758179574492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0.0365873088969873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0.0361758179574492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0</v>
      </c>
      <c r="Q136" s="11" t="n">
        <f aca="false">IF(Q134=1,(Waterfall!Q7+R136)/(1+Q135),0)</f>
        <v>842.828491809481</v>
      </c>
      <c r="R136" s="11" t="n">
        <f aca="false">IF(R134=1,(Waterfall!R7+S136)/(1+R135),0)</f>
        <v>821.348351129121</v>
      </c>
      <c r="S136" s="11" t="n">
        <f aca="false">IF(S134=1,(Waterfall!S7+T136)/(1+S135),0)</f>
        <v>798.856403335074</v>
      </c>
      <c r="T136" s="11" t="n">
        <f aca="false">IF(T134=1,(Waterfall!T7+U136)/(1+T135),0)</f>
        <v>775.63652418339</v>
      </c>
      <c r="U136" s="11" t="n">
        <f aca="false">IF(U134=1,(Waterfall!U7+V136)/(1+U135),0)</f>
        <v>751.33888500034</v>
      </c>
      <c r="V136" s="11" t="n">
        <f aca="false">IF(V134=1,(Waterfall!V7+W136)/(1+V135),0)</f>
        <v>726.346143658043</v>
      </c>
      <c r="W136" s="11" t="n">
        <f aca="false">IF(W134=1,(Waterfall!W7+X136)/(1+W135),0)</f>
        <v>700.184365583691</v>
      </c>
      <c r="X136" s="11" t="n">
        <f aca="false">IF(X134=1,(Waterfall!X7+Y136)/(1+X135),0)</f>
        <v>672.625279306</v>
      </c>
      <c r="Y136" s="11" t="n">
        <f aca="false">IF(Y134=1,(Waterfall!Y7+Z136)/(1+Y135),0)</f>
        <v>643.832989408882</v>
      </c>
      <c r="Z136" s="11" t="n">
        <f aca="false">IF(Z134=1,(Waterfall!Z7+AA136)/(1+Z135),0)</f>
        <v>616.979803159592</v>
      </c>
      <c r="AA136" s="11" t="n">
        <f aca="false">IF(AA134=1,(Waterfall!AA7+AB136)/(1+AA135),0)</f>
        <v>588.91591125621</v>
      </c>
      <c r="AB136" s="11" t="n">
        <f aca="false">IF(AB134=1,(Waterfall!AB7+AC136)/(1+AB135),0)</f>
        <v>560.211239168915</v>
      </c>
      <c r="AC136" s="11" t="n">
        <f aca="false">IF(AC134=1,(Waterfall!AC7+AD136)/(1+AC135),0)</f>
        <v>530.12136628016</v>
      </c>
      <c r="AD136" s="11" t="n">
        <f aca="false">IF(AD134=1,(Waterfall!AD7+AE136)/(1+AD135),0)</f>
        <v>499.161496932537</v>
      </c>
      <c r="AE136" s="11" t="n">
        <f aca="false">IF(AE134=1,(Waterfall!AE7+AF136)/(1+AE135),0)</f>
        <v>466.684313412885</v>
      </c>
      <c r="AF136" s="11" t="n">
        <f aca="false">IF(AF134=1,(Waterfall!AF7+AG136)/(1+AF135),0)</f>
        <v>431.696406043568</v>
      </c>
      <c r="AG136" s="11" t="n">
        <f aca="false">IF(AG134=1,(Waterfall!AG7+AH136)/(1+AG135),0)</f>
        <v>394.642032233541</v>
      </c>
      <c r="AH136" s="11" t="n">
        <f aca="false">IF(AH134=1,(Waterfall!AH7+AI136)/(1+AH135),0)</f>
        <v>357.391291366434</v>
      </c>
      <c r="AI136" s="11" t="n">
        <f aca="false">IF(AI134=1,(Waterfall!AI7+AJ136)/(1+AI135),0)</f>
        <v>318.286736490144</v>
      </c>
      <c r="AJ136" s="11" t="n">
        <f aca="false">IF(AJ134=1,(Waterfall!AJ7+AK136)/(1+AJ135),0)</f>
        <v>277.972201765501</v>
      </c>
      <c r="AK136" s="11" t="n">
        <f aca="false">IF(AK134=1,(Waterfall!AK7+AL136)/(1+AK135),0)</f>
        <v>235.693359952197</v>
      </c>
      <c r="AL136" s="11" t="n">
        <f aca="false">IF(AL134=1,(Waterfall!AL7+AM136)/(1+AL135),0)</f>
        <v>192.147135505596</v>
      </c>
      <c r="AM136" s="11" t="n">
        <f aca="false">IF(AM134=1,(Waterfall!AM7+AN136)/(1+AM135),0)</f>
        <v>146.525830858895</v>
      </c>
      <c r="AN136" s="11" t="n">
        <f aca="false">IF(AN134=1,(Waterfall!AN7+AO136)/(1+AN135),0)</f>
        <v>98.8419061355255</v>
      </c>
      <c r="AO136" s="11" t="n">
        <f aca="false">IF(AO134=1,(Waterfall!AO7+AP136)/(1+AO135),0)</f>
        <v>48.8910312221797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1.28140069608465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624.317401340357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666.113011178507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IF(J134=1,Waterfall!J7/$F$137,0)</f>
        <v>0</v>
      </c>
      <c r="K140" s="11" t="n">
        <f aca="false">IF(K134=1,Waterfall!K7/$F$137,0)</f>
        <v>0</v>
      </c>
      <c r="L140" s="11" t="n">
        <f aca="false">IF(L134=1,Waterfall!L7/$F$137,0)</f>
        <v>0</v>
      </c>
      <c r="M140" s="11" t="n">
        <f aca="false">IF(M134=1,Waterfall!M7/$F$137,0)</f>
        <v>0</v>
      </c>
      <c r="N140" s="11" t="n">
        <f aca="false">IF(N134=1,Waterfall!N7/$F$137,0)</f>
        <v>0</v>
      </c>
      <c r="O140" s="11" t="n">
        <f aca="false">IF(O134=1,Waterfall!O7/$F$137,0)</f>
        <v>0</v>
      </c>
      <c r="P140" s="11" t="n">
        <f aca="false">IF(P134=1,Waterfall!P7/$F$137,0)</f>
        <v>0</v>
      </c>
      <c r="Q140" s="11" t="n">
        <f aca="false">IF(Q134=1,Waterfall!Q7/$F$137,0)</f>
        <v>39.152027214652</v>
      </c>
      <c r="R140" s="11" t="n">
        <f aca="false">IF(R134=1,Waterfall!R7/$F$137,0)</f>
        <v>39.6120941085618</v>
      </c>
      <c r="S140" s="11" t="n">
        <f aca="false">IF(S134=1,Waterfall!S7/$F$137,0)</f>
        <v>39.3501573662221</v>
      </c>
      <c r="T140" s="11" t="n">
        <f aca="false">IF(T134=1,Waterfall!T7/$F$137,0)</f>
        <v>39.8019524027609</v>
      </c>
      <c r="U140" s="11" t="n">
        <f aca="false">IF(U134=1,Waterfall!U7/$F$137,0)</f>
        <v>39.5444709368545</v>
      </c>
      <c r="V140" s="11" t="n">
        <f aca="false">IF(V134=1,Waterfall!V7/$F$137,0)</f>
        <v>39.9323615496442</v>
      </c>
      <c r="W140" s="11" t="n">
        <f aca="false">IF(W134=1,Waterfall!W7/$F$137,0)</f>
        <v>40.1142667924985</v>
      </c>
      <c r="X140" s="11" t="n">
        <f aca="false">IF(X134=1,Waterfall!X7/$F$137,0)</f>
        <v>40.5418047305346</v>
      </c>
      <c r="Y140" s="11" t="n">
        <f aca="false">IF(Y134=1,Waterfall!Y7/$F$137,0)</f>
        <v>38.5991629063626</v>
      </c>
      <c r="Z140" s="11" t="n">
        <f aca="false">IF(Z134=1,Waterfall!Z7/$F$137,0)</f>
        <v>38.9977888047285</v>
      </c>
      <c r="AA140" s="11" t="n">
        <f aca="false">IF(AA134=1,Waterfall!AA7/$F$137,0)</f>
        <v>38.5391548911469</v>
      </c>
      <c r="AB140" s="11" t="n">
        <f aca="false">IF(AB134=1,Waterfall!AB7/$F$137,0)</f>
        <v>39.0057691191069</v>
      </c>
      <c r="AC140" s="11" t="n">
        <f aca="false">IF(AC134=1,Waterfall!AC7/$F$137,0)</f>
        <v>38.7422660958443</v>
      </c>
      <c r="AD140" s="11" t="n">
        <f aca="false">IF(AD134=1,Waterfall!AD7/$F$137,0)</f>
        <v>39.1770959178649</v>
      </c>
      <c r="AE140" s="11" t="n">
        <f aca="false">IF(AE134=1,Waterfall!AE7/$F$137,0)</f>
        <v>40.093037519962</v>
      </c>
      <c r="AF140" s="11" t="n">
        <f aca="false">IF(AF134=1,Waterfall!AF7/$F$137,0)</f>
        <v>40.8796233496778</v>
      </c>
      <c r="AG140" s="11" t="n">
        <f aca="false">IF(AG134=1,Waterfall!AG7/$F$137,0)</f>
        <v>40.2116522497511</v>
      </c>
      <c r="AH140" s="11" t="n">
        <f aca="false">IF(AH134=1,Waterfall!AH7/$F$137,0)</f>
        <v>40.7214859567702</v>
      </c>
      <c r="AI140" s="11" t="n">
        <f aca="false">IF(AI134=1,Waterfall!AI7/$F$137,0)</f>
        <v>40.447002971471</v>
      </c>
      <c r="AJ140" s="11" t="n">
        <f aca="false">IF(AJ134=1,Waterfall!AJ7/$F$137,0)</f>
        <v>40.93106612501</v>
      </c>
      <c r="AK140" s="11" t="n">
        <f aca="false">IF(AK134=1,Waterfall!AK7/$F$137,0)</f>
        <v>40.6624978821444</v>
      </c>
      <c r="AL140" s="11" t="n">
        <f aca="false">IF(AL134=1,Waterfall!AL7/$F$137,0)</f>
        <v>41.0889828669466</v>
      </c>
      <c r="AM140" s="11" t="n">
        <f aca="false">IF(AM134=1,Waterfall!AM7/$F$137,0)</f>
        <v>41.3489837085935</v>
      </c>
      <c r="AN140" s="11" t="n">
        <f aca="false">IF(AN134=1,Waterfall!AN7/$F$137,0)</f>
        <v>41.8036562870374</v>
      </c>
      <c r="AO140" s="11" t="n">
        <f aca="false">IF(AO134=1,Waterfall!AO7/$F$137,0)</f>
        <v>39.5346314562002</v>
      </c>
      <c r="AP140" s="11" t="n">
        <f aca="false">IF(AP134=1,Waterfall!AP7/$F$137,0)</f>
        <v>0</v>
      </c>
      <c r="AQ140" s="11" t="n">
        <f aca="false">IF(AQ134=1,Waterfall!AQ7/$F$137,0)</f>
        <v>0</v>
      </c>
      <c r="AR140" s="11" t="n">
        <f aca="false">IF(AR134=1,Waterfall!AR7/$F$137,0)</f>
        <v>0</v>
      </c>
      <c r="AS140" s="11" t="n">
        <f aca="false">IF(AS134=1,Waterfall!AS7/$F$137,0)</f>
        <v>0</v>
      </c>
      <c r="AT140" s="11" t="n">
        <f aca="false">IF(AT134=1,Waterfall!AT7/$F$137,0)</f>
        <v>0</v>
      </c>
      <c r="AU140" s="11" t="n">
        <f aca="false">IF(AU134=1,Waterfall!AU7/$F$137,0)</f>
        <v>0</v>
      </c>
      <c r="AV140" s="11" t="n">
        <f aca="false">IF(AV134=1,Waterfall!AV7/$F$137,0)</f>
        <v>0</v>
      </c>
      <c r="AW140" s="11" t="n">
        <f aca="false">IF(AW134=1,Waterfall!AW7/$F$137,0)</f>
        <v>0</v>
      </c>
      <c r="AX140" s="11" t="n">
        <f aca="false">IF(AX134=1,Waterfall!AX7/$F$137,0)</f>
        <v>0</v>
      </c>
      <c r="AY140" s="11" t="n">
        <f aca="false">IF(AY134=1,Waterfall!AY7/$F$137,0)</f>
        <v>0</v>
      </c>
      <c r="AZ140" s="11" t="n">
        <f aca="false">IF(AZ134=1,Waterfall!AZ7/$F$137,0)</f>
        <v>0</v>
      </c>
      <c r="BA140" s="11" t="n">
        <f aca="false">IF(BA134=1,Waterfall!BA7/$F$137,0)</f>
        <v>0</v>
      </c>
      <c r="BB140" s="11" t="n">
        <f aca="false">IF(BB134=1,Waterfall!BB7/$F$137,0)</f>
        <v>0</v>
      </c>
      <c r="BC140" s="11" t="n">
        <f aca="false">IF(BC134=1,Waterfall!BC7/$F$137,0)</f>
        <v>0</v>
      </c>
      <c r="BD140" s="11" t="n">
        <f aca="false">IF(BD134=1,Waterfall!BD7/$F$137,0)</f>
        <v>0</v>
      </c>
      <c r="BE140" s="11" t="n">
        <f aca="false">IF(BE134=1,Waterfall!BE7/$F$137,0)</f>
        <v>0</v>
      </c>
      <c r="BF140" s="11" t="n">
        <f aca="false">IF(BF134=1,Waterfall!BF7/$F$137,0)</f>
        <v>0</v>
      </c>
      <c r="BG140" s="11" t="n">
        <f aca="false">IF(BG134=1,Waterfall!BG7/$F$137,0)</f>
        <v>0</v>
      </c>
      <c r="BH140" s="11" t="n">
        <f aca="false">IF(BH134=1,Waterfall!BH7/$F$137,0)</f>
        <v>0</v>
      </c>
      <c r="BI140" s="11" t="n">
        <f aca="false">IF(BI134=1,Waterfall!BI7/$F$137,0)</f>
        <v>0</v>
      </c>
      <c r="BJ140" s="11" t="n">
        <f aca="false">IF(BJ134=1,Waterfall!BJ7/$F$137,0)</f>
        <v>0</v>
      </c>
      <c r="BK140" s="11" t="n">
        <f aca="false">IF(BK134=1,Waterfall!BK7/$F$137,0)</f>
        <v>0</v>
      </c>
      <c r="BL140" s="11" t="n">
        <f aca="false">IF(BL134=1,Waterfall!BL7/$F$137,0)</f>
        <v>0</v>
      </c>
      <c r="BM140" s="11" t="n">
        <f aca="false">IF(BM134=1,Waterfall!BM7/$F$137,0)</f>
        <v>0</v>
      </c>
      <c r="BN140" s="11" t="n">
        <f aca="false">IF(BN134=1,Waterfall!BN7/$F$137,0)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0</v>
      </c>
      <c r="Q141" s="11" t="n">
        <f aca="false">IF(Q134=1,IF(Time!Q17=Time!$F$12,Funding!$F$25,P141-P142),0)</f>
        <v>657.739998413269</v>
      </c>
      <c r="R141" s="11" t="n">
        <f aca="false">IF(R134=1,IF(Time!R17=Time!$F$12,Funding!$F$25,Q141-Q142),0)</f>
        <v>640.97698217175</v>
      </c>
      <c r="S141" s="11" t="n">
        <f aca="false">IF(S134=1,IF(Time!S17=Time!$F$12,Funding!$F$25,R141-R142),0)</f>
        <v>623.424355688269</v>
      </c>
      <c r="T141" s="11" t="n">
        <f aca="false">IF(T134=1,IF(Time!T17=Time!$F$12,Funding!$F$25,S141-S142),0)</f>
        <v>605.3036544723</v>
      </c>
      <c r="U141" s="11" t="n">
        <f aca="false">IF(U134=1,IF(Time!U17=Time!$F$12,Funding!$F$25,T141-T142),0)</f>
        <v>586.341873620072</v>
      </c>
      <c r="V141" s="11" t="n">
        <f aca="false">IF(V134=1,IF(Time!V17=Time!$F$12,Funding!$F$25,U141-U142),0)</f>
        <v>566.837637811036</v>
      </c>
      <c r="W141" s="11" t="n">
        <f aca="false">IF(W134=1,IF(Time!W17=Time!$F$12,Funding!$F$25,V141-V142),0)</f>
        <v>546.421090392036</v>
      </c>
      <c r="X141" s="11" t="n">
        <f aca="false">IF(X134=1,IF(Time!X17=Time!$F$12,Funding!$F$25,W141-W142),0)</f>
        <v>524.91408921598</v>
      </c>
      <c r="Y141" s="11" t="n">
        <f aca="false">IF(Y134=1,IF(Time!Y17=Time!$F$12,Funding!$F$25,X141-X142),0)</f>
        <v>502.444700846602</v>
      </c>
      <c r="Z141" s="11" t="n">
        <f aca="false">IF(Z134=1,IF(Time!Z17=Time!$F$12,Funding!$F$25,Y141-Y142),0)</f>
        <v>481.488581241439</v>
      </c>
      <c r="AA141" s="11" t="n">
        <f aca="false">IF(AA134=1,IF(Time!AA17=Time!$F$12,Funding!$F$25,Z141-Z142),0)</f>
        <v>459.5876317655</v>
      </c>
      <c r="AB141" s="11" t="n">
        <f aca="false">IF(AB134=1,IF(Time!AB17=Time!$F$12,Funding!$F$25,AA141-AA142),0)</f>
        <v>437.186619985967</v>
      </c>
      <c r="AC141" s="11" t="n">
        <f aca="false">IF(AC134=1,IF(Time!AC17=Time!$F$12,Funding!$F$25,AB141-AB142),0)</f>
        <v>413.704603017586</v>
      </c>
      <c r="AD141" s="11" t="n">
        <f aca="false">IF(AD134=1,IF(Time!AD17=Time!$F$12,Funding!$F$25,AC141-AC142),0)</f>
        <v>389.543644277496</v>
      </c>
      <c r="AE141" s="11" t="n">
        <f aca="false">IF(AE134=1,IF(Time!AE17=Time!$F$12,Funding!$F$25,AD141-AD142),0)</f>
        <v>364.198579600314</v>
      </c>
      <c r="AF141" s="11" t="n">
        <f aca="false">IF(AF134=1,IF(Time!AF17=Time!$F$12,Funding!$F$25,AE141-AE142),0)</f>
        <v>336.894156029901</v>
      </c>
      <c r="AG141" s="11" t="n">
        <f aca="false">IF(AG134=1,IF(Time!AG17=Time!$F$12,Funding!$F$25,AF141-AF142),0)</f>
        <v>307.977070278936</v>
      </c>
      <c r="AH141" s="11" t="n">
        <f aca="false">IF(AH134=1,IF(Time!AH17=Time!$F$12,Funding!$F$25,AG141-AG142),0)</f>
        <v>278.906740458664</v>
      </c>
      <c r="AI141" s="11" t="n">
        <f aca="false">IF(AI134=1,IF(Time!AI17=Time!$F$12,Funding!$F$25,AH141-AH142),0)</f>
        <v>248.389701568507</v>
      </c>
      <c r="AJ141" s="11" t="n">
        <f aca="false">IF(AJ134=1,IF(Time!AJ17=Time!$F$12,Funding!$F$25,AI141-AI142),0)</f>
        <v>216.928399223483</v>
      </c>
      <c r="AK141" s="11" t="n">
        <f aca="false">IF(AK134=1,IF(Time!AK17=Time!$F$12,Funding!$F$25,AJ141-AJ142),0)</f>
        <v>183.934159449391</v>
      </c>
      <c r="AL141" s="11" t="n">
        <f aca="false">IF(AL134=1,IF(Time!AL17=Time!$F$12,Funding!$F$25,AK141-AK142),0)</f>
        <v>149.950859315673</v>
      </c>
      <c r="AM141" s="11" t="n">
        <f aca="false">IF(AM134=1,IF(Time!AM17=Time!$F$12,Funding!$F$25,AL141-AL142),0)</f>
        <v>114.348174857878</v>
      </c>
      <c r="AN141" s="11" t="n">
        <f aca="false">IF(AN134=1,IF(Time!AN17=Time!$F$12,Funding!$F$25,AM141-AM142),0)</f>
        <v>77.1358299067093</v>
      </c>
      <c r="AO141" s="11" t="n">
        <f aca="false">IF(AO134=1,IF(Time!AO17=Time!$F$12,Funding!$F$25,AN141-AN142),0)</f>
        <v>38.1543660554942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0</v>
      </c>
      <c r="Q142" s="11" t="n">
        <f aca="false">Q140-Q141*Q135</f>
        <v>16.7630162415187</v>
      </c>
      <c r="R142" s="11" t="n">
        <f aca="false">R140-R141*R135</f>
        <v>17.5526264834812</v>
      </c>
      <c r="S142" s="11" t="n">
        <f aca="false">S140-S141*S135</f>
        <v>18.1207012159686</v>
      </c>
      <c r="T142" s="11" t="n">
        <f aca="false">T140-T141*T135</f>
        <v>18.9617808522281</v>
      </c>
      <c r="U142" s="11" t="n">
        <f aca="false">U140-U141*U135</f>
        <v>19.5042358090354</v>
      </c>
      <c r="V142" s="11" t="n">
        <f aca="false">V140-V141*V135</f>
        <v>20.4165474190005</v>
      </c>
      <c r="W142" s="11" t="n">
        <f aca="false">W140-W141*W135</f>
        <v>21.5070011760555</v>
      </c>
      <c r="X142" s="11" t="n">
        <f aca="false">X140-X141*X135</f>
        <v>22.4693883693786</v>
      </c>
      <c r="Y142" s="11" t="n">
        <f aca="false">Y140-Y141*Y135</f>
        <v>20.9561196051631</v>
      </c>
      <c r="Z142" s="11" t="n">
        <f aca="false">Z140-Z141*Z135</f>
        <v>21.9009494759388</v>
      </c>
      <c r="AA142" s="11" t="n">
        <f aca="false">AA140-AA141*AA135</f>
        <v>22.4010117795331</v>
      </c>
      <c r="AB142" s="11" t="n">
        <f aca="false">AB140-AB141*AB135</f>
        <v>23.482016968381</v>
      </c>
      <c r="AC142" s="11" t="n">
        <f aca="false">AC140-AC141*AC135</f>
        <v>24.1609587400895</v>
      </c>
      <c r="AD142" s="11" t="n">
        <f aca="false">AD140-AD141*AD135</f>
        <v>25.3450646771822</v>
      </c>
      <c r="AE142" s="11" t="n">
        <f aca="false">AE140-AE141*AE135</f>
        <v>27.3044235704133</v>
      </c>
      <c r="AF142" s="11" t="n">
        <f aca="false">AF140-AF141*AF135</f>
        <v>28.9170857509653</v>
      </c>
      <c r="AG142" s="11" t="n">
        <f aca="false">AG140-AG141*AG135</f>
        <v>29.0703298202718</v>
      </c>
      <c r="AH142" s="11" t="n">
        <f aca="false">AH140-AH141*AH135</f>
        <v>30.5170388901572</v>
      </c>
      <c r="AI142" s="11" t="n">
        <f aca="false">AI140-AI141*AI135</f>
        <v>31.4613023450236</v>
      </c>
      <c r="AJ142" s="11" t="n">
        <f aca="false">AJ140-AJ141*AJ135</f>
        <v>32.9942397740915</v>
      </c>
      <c r="AK142" s="11" t="n">
        <f aca="false">AK140-AK141*AK135</f>
        <v>33.9833001337184</v>
      </c>
      <c r="AL142" s="11" t="n">
        <f aca="false">AL140-AL141*AL135</f>
        <v>35.6026844577954</v>
      </c>
      <c r="AM142" s="11" t="n">
        <f aca="false">AM140-AM141*AM135</f>
        <v>37.2123449511684</v>
      </c>
      <c r="AN142" s="11" t="n">
        <f aca="false">AN140-AN141*AN135</f>
        <v>38.9814638512152</v>
      </c>
      <c r="AO142" s="11" t="n">
        <f aca="false">AO140-AO141*AO135</f>
        <v>38.1543660554948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0</v>
      </c>
      <c r="Q143" s="11" t="n">
        <f aca="false">IF(Inputs!$F$8=1,Q142-Q134*Inputs!Q219*Funding!$F$25,0)</f>
        <v>0</v>
      </c>
      <c r="R143" s="11" t="n">
        <f aca="false">IF(Inputs!$F$8=1,R142-R134*Inputs!R219*Funding!$F$25,0)</f>
        <v>0</v>
      </c>
      <c r="S143" s="11" t="n">
        <f aca="false">IF(Inputs!$F$8=1,S142-S134*Inputs!S219*Funding!$F$25,0)</f>
        <v>0</v>
      </c>
      <c r="T143" s="11" t="n">
        <f aca="false">IF(Inputs!$F$8=1,T142-T134*Inputs!T219*Funding!$F$25,0)</f>
        <v>0</v>
      </c>
      <c r="U143" s="11" t="n">
        <f aca="false">IF(Inputs!$F$8=1,U142-U134*Inputs!U219*Funding!$F$25,0)</f>
        <v>0</v>
      </c>
      <c r="V143" s="11" t="n">
        <f aca="false">IF(Inputs!$F$8=1,V142-V134*Inputs!V219*Funding!$F$25,0)</f>
        <v>0</v>
      </c>
      <c r="W143" s="11" t="n">
        <f aca="false">IF(Inputs!$F$8=1,W142-W134*Inputs!W219*Funding!$F$25,0)</f>
        <v>0</v>
      </c>
      <c r="X143" s="11" t="n">
        <f aca="false">IF(Inputs!$F$8=1,X142-X134*Inputs!X219*Funding!$F$25,0)</f>
        <v>0</v>
      </c>
      <c r="Y143" s="11" t="n">
        <f aca="false">IF(Inputs!$F$8=1,Y142-Y134*Inputs!Y219*Funding!$F$25,0)</f>
        <v>0</v>
      </c>
      <c r="Z143" s="11" t="n">
        <f aca="false">IF(Inputs!$F$8=1,Z142-Z134*Inputs!Z219*Funding!$F$25,0)</f>
        <v>0</v>
      </c>
      <c r="AA143" s="11" t="n">
        <f aca="false">IF(Inputs!$F$8=1,AA142-AA134*Inputs!AA219*Funding!$F$25,0)</f>
        <v>0</v>
      </c>
      <c r="AB143" s="11" t="n">
        <f aca="false">IF(Inputs!$F$8=1,AB142-AB134*Inputs!AB219*Funding!$F$25,0)</f>
        <v>0</v>
      </c>
      <c r="AC143" s="11" t="n">
        <f aca="false">IF(Inputs!$F$8=1,AC142-AC134*Inputs!AC219*Funding!$F$25,0)</f>
        <v>0</v>
      </c>
      <c r="AD143" s="11" t="n">
        <f aca="false">IF(Inputs!$F$8=1,AD142-AD134*Inputs!AD219*Funding!$F$25,0)</f>
        <v>0</v>
      </c>
      <c r="AE143" s="11" t="n">
        <f aca="false">IF(Inputs!$F$8=1,AE142-AE134*Inputs!AE219*Funding!$F$25,0)</f>
        <v>0</v>
      </c>
      <c r="AF143" s="11" t="n">
        <f aca="false">IF(Inputs!$F$8=1,AF142-AF134*Inputs!AF219*Funding!$F$25,0)</f>
        <v>0</v>
      </c>
      <c r="AG143" s="11" t="n">
        <f aca="false">IF(Inputs!$F$8=1,AG142-AG134*Inputs!AG219*Funding!$F$25,0)</f>
        <v>0</v>
      </c>
      <c r="AH143" s="11" t="n">
        <f aca="false">IF(Inputs!$F$8=1,AH142-AH134*Inputs!AH219*Funding!$F$25,0)</f>
        <v>0</v>
      </c>
      <c r="AI143" s="11" t="n">
        <f aca="false">IF(Inputs!$F$8=1,AI142-AI134*Inputs!AI219*Funding!$F$25,0)</f>
        <v>0</v>
      </c>
      <c r="AJ143" s="11" t="n">
        <f aca="false">IF(Inputs!$F$8=1,AJ142-AJ134*Inputs!AJ219*Funding!$F$25,0)</f>
        <v>0</v>
      </c>
      <c r="AK143" s="11" t="n">
        <f aca="false">IF(Inputs!$F$8=1,AK142-AK134*Inputs!AK219*Funding!$F$25,0)</f>
        <v>0</v>
      </c>
      <c r="AL143" s="11" t="n">
        <f aca="false">IF(Inputs!$F$8=1,AL142-AL134*Inputs!AL219*Funding!$F$25,0)</f>
        <v>0</v>
      </c>
      <c r="AM143" s="11" t="n">
        <f aca="false">IF(Inputs!$F$8=1,AM142-AM134*Inputs!AM219*Funding!$F$25,0)</f>
        <v>0</v>
      </c>
      <c r="AN143" s="11" t="n">
        <f aca="false">IF(Inputs!$F$8=1,AN142-AN134*Inputs!AN219*Funding!$F$25,0)</f>
        <v>0</v>
      </c>
      <c r="AO143" s="11" t="n">
        <f aca="false">IF(Inputs!$F$8=1,AO142-AO134*Inputs!AO219*Funding!$F$25,0)</f>
        <v>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52.263650417766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</v>
      </c>
      <c r="Q7" s="11" t="n">
        <f aca="false">SUM(Operations!R74:W74)/6</f>
        <v>0.420822342824714</v>
      </c>
      <c r="R7" s="11" t="n">
        <f aca="false">SUM(Operations!S74:X74)/6</f>
        <v>0.420822342824714</v>
      </c>
      <c r="S7" s="11" t="n">
        <f aca="false">SUM(Operations!T74:Y74)/6</f>
        <v>0.420822342824714</v>
      </c>
      <c r="T7" s="11" t="n">
        <f aca="false">SUM(Operations!U74:Z74)/6</f>
        <v>0.420822342824714</v>
      </c>
      <c r="U7" s="11" t="n">
        <f aca="false">SUM(Operations!V74:AA74)/6</f>
        <v>0.420822342824714</v>
      </c>
      <c r="V7" s="11" t="n">
        <f aca="false">SUM(Operations!W74:AB74)/6</f>
        <v>0.420822342824714</v>
      </c>
      <c r="W7" s="11" t="n">
        <f aca="false">SUM(Operations!X74:AC74)/6</f>
        <v>0</v>
      </c>
      <c r="X7" s="11" t="n">
        <f aca="false">SUM(Operations!Y74:AD74)/6</f>
        <v>0</v>
      </c>
      <c r="Y7" s="11" t="n">
        <f aca="false">SUM(Operations!Z74:AE74)/6</f>
        <v>1.99432465577136</v>
      </c>
      <c r="Z7" s="11" t="n">
        <f aca="false">SUM(Operations!AA74:AF74)/6</f>
        <v>1.99432465577136</v>
      </c>
      <c r="AA7" s="11" t="n">
        <f aca="false">SUM(Operations!AB74:AG74)/6</f>
        <v>1.99432465577136</v>
      </c>
      <c r="AB7" s="11" t="n">
        <f aca="false">SUM(Operations!AC74:AH74)/6</f>
        <v>1.99432465577136</v>
      </c>
      <c r="AC7" s="11" t="n">
        <f aca="false">SUM(Operations!AD74:AI74)/6</f>
        <v>1.99432465577136</v>
      </c>
      <c r="AD7" s="11" t="n">
        <f aca="false">SUM(Operations!AE74:AJ74)/6</f>
        <v>1.99432465577136</v>
      </c>
      <c r="AE7" s="11" t="n">
        <f aca="false">SUM(Operations!AF74:AK74)/6</f>
        <v>0</v>
      </c>
      <c r="AF7" s="11" t="n">
        <f aca="false">SUM(Operations!AG74:AL74)/6</f>
        <v>0</v>
      </c>
      <c r="AG7" s="11" t="n">
        <f aca="false">SUM(Operations!AH74:AM74)/6</f>
        <v>0.500848014271228</v>
      </c>
      <c r="AH7" s="11" t="n">
        <f aca="false">SUM(Operations!AI74:AN74)/6</f>
        <v>0.500848014271228</v>
      </c>
      <c r="AI7" s="11" t="n">
        <f aca="false">SUM(Operations!AJ74:AO74)/6</f>
        <v>0.500848014271228</v>
      </c>
      <c r="AJ7" s="11" t="n">
        <f aca="false">SUM(Operations!AK74:AP74)/6</f>
        <v>0.500848014271228</v>
      </c>
      <c r="AK7" s="11" t="n">
        <f aca="false">SUM(Operations!AL74:AQ74)/6</f>
        <v>0.500848014271228</v>
      </c>
      <c r="AL7" s="11" t="n">
        <f aca="false">SUM(Operations!AM74:AR74)/6</f>
        <v>0.500848014271228</v>
      </c>
      <c r="AM7" s="11" t="n">
        <f aca="false">SUM(Operations!AN74:AS74)/6</f>
        <v>0</v>
      </c>
      <c r="AN7" s="11" t="n">
        <f aca="false">SUM(Operations!AO74:AT74)/6</f>
        <v>0</v>
      </c>
      <c r="AO7" s="11" t="n">
        <f aca="false">SUM(Operations!AP74:AU74)/6</f>
        <v>2.37357535949866</v>
      </c>
      <c r="AP7" s="11" t="n">
        <f aca="false">SUM(Operations!AQ74:AV74)/6</f>
        <v>2.37357535949866</v>
      </c>
      <c r="AQ7" s="11" t="n">
        <f aca="false">SUM(Operations!AR74:AW74)/6</f>
        <v>2.37357535949866</v>
      </c>
      <c r="AR7" s="11" t="n">
        <f aca="false">SUM(Operations!AS74:AX74)/6</f>
        <v>2.37357535949866</v>
      </c>
      <c r="AS7" s="11" t="n">
        <f aca="false">SUM(Operations!AT74:AY74)/6</f>
        <v>2.37357535949866</v>
      </c>
      <c r="AT7" s="11" t="n">
        <f aca="false">SUM(Operations!AU74:AZ74)/6</f>
        <v>2.37357535949866</v>
      </c>
      <c r="AU7" s="11" t="n">
        <f aca="false">SUM(Operations!AV74:BA74)/6</f>
        <v>0</v>
      </c>
      <c r="AV7" s="11" t="n">
        <f aca="false">SUM(Operations!AW74:BB74)/6</f>
        <v>0</v>
      </c>
      <c r="AW7" s="11" t="n">
        <f aca="false">SUM(Operations!AX74:BC74)/6</f>
        <v>0.596091765745239</v>
      </c>
      <c r="AX7" s="11" t="n">
        <f aca="false">SUM(Operations!AY74:BD74)/6</f>
        <v>0.596091765745239</v>
      </c>
      <c r="AY7" s="11" t="n">
        <f aca="false">SUM(Operations!AZ74:BE74)/6</f>
        <v>0.596091765745239</v>
      </c>
      <c r="AZ7" s="11" t="n">
        <f aca="false">SUM(Operations!BA74:BF74)/6</f>
        <v>0.596091765745239</v>
      </c>
      <c r="BA7" s="11" t="n">
        <f aca="false">SUM(Operations!BB74:BG74)/6</f>
        <v>0.596091765745239</v>
      </c>
      <c r="BB7" s="11" t="n">
        <f aca="false">SUM(Operations!BC74:BH74)/6</f>
        <v>0.596091765745239</v>
      </c>
      <c r="BC7" s="11" t="n">
        <f aca="false">SUM(Operations!BD74:BI74)/6</f>
        <v>0</v>
      </c>
      <c r="BD7" s="11" t="n">
        <f aca="false">SUM(Operations!BE74:BJ74)/6</f>
        <v>0</v>
      </c>
      <c r="BE7" s="11" t="n">
        <f aca="false">SUM(Operations!BF74:BK74)/6</f>
        <v>2.8249462648498</v>
      </c>
      <c r="BF7" s="11" t="n">
        <f aca="false">SUM(Operations!BG74:BL74)/6</f>
        <v>2.8249462648498</v>
      </c>
      <c r="BG7" s="11" t="n">
        <f aca="false">SUM(Operations!BH74:BM74)/6</f>
        <v>2.8249462648498</v>
      </c>
      <c r="BH7" s="11" t="n">
        <f aca="false">SUM(Operations!BI74:BN74)/6</f>
        <v>2.8249462648498</v>
      </c>
      <c r="BI7" s="11" t="n">
        <f aca="false">SUM(Operations!BJ74:BN74)/6</f>
        <v>2.8249462648498</v>
      </c>
      <c r="BJ7" s="11" t="n">
        <f aca="false">SUM(Operations!BK74:BN74)/6</f>
        <v>2.8249462648498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</v>
      </c>
      <c r="Q8" s="11" t="n">
        <f aca="false">P8+Q7-Operations!Q74</f>
        <v>0.420822342824714</v>
      </c>
      <c r="R8" s="11" t="n">
        <f aca="false">Q8+R7-Operations!R74</f>
        <v>0.841644685649428</v>
      </c>
      <c r="S8" s="11" t="n">
        <f aca="false">R8+S7-Operations!S74</f>
        <v>1.26246702847414</v>
      </c>
      <c r="T8" s="11" t="n">
        <f aca="false">S8+T7-Operations!T74</f>
        <v>1.68328937129886</v>
      </c>
      <c r="U8" s="11" t="n">
        <f aca="false">T8+U7-Operations!U74</f>
        <v>2.10411171412357</v>
      </c>
      <c r="V8" s="11" t="n">
        <f aca="false">U8+V7-Operations!V74</f>
        <v>2.52493405694828</v>
      </c>
      <c r="W8" s="11" t="n">
        <f aca="false">V8+W7-Operations!W74</f>
        <v>0</v>
      </c>
      <c r="X8" s="11" t="n">
        <f aca="false">W8+X7-Operations!X74</f>
        <v>0</v>
      </c>
      <c r="Y8" s="11" t="n">
        <f aca="false">X8+Y7-Operations!Y74</f>
        <v>1.99432465577136</v>
      </c>
      <c r="Z8" s="11" t="n">
        <f aca="false">Y8+Z7-Operations!Z74</f>
        <v>3.98864931154273</v>
      </c>
      <c r="AA8" s="11" t="n">
        <f aca="false">Z8+AA7-Operations!AA74</f>
        <v>5.98297396731409</v>
      </c>
      <c r="AB8" s="11" t="n">
        <f aca="false">AA8+AB7-Operations!AB74</f>
        <v>7.97729862308545</v>
      </c>
      <c r="AC8" s="11" t="n">
        <f aca="false">AB8+AC7-Operations!AC74</f>
        <v>9.97162327885681</v>
      </c>
      <c r="AD8" s="11" t="n">
        <f aca="false">AC8+AD7-Operations!AD74</f>
        <v>11.9659479346282</v>
      </c>
      <c r="AE8" s="11" t="n">
        <f aca="false">AD8+AE7-Operations!AE74</f>
        <v>0</v>
      </c>
      <c r="AF8" s="11" t="n">
        <f aca="false">AE8+AF7-Operations!AF74</f>
        <v>0</v>
      </c>
      <c r="AG8" s="11" t="n">
        <f aca="false">AF8+AG7-Operations!AG74</f>
        <v>0.500848014271228</v>
      </c>
      <c r="AH8" s="11" t="n">
        <f aca="false">AG8+AH7-Operations!AH74</f>
        <v>1.00169602854246</v>
      </c>
      <c r="AI8" s="11" t="n">
        <f aca="false">AH8+AI7-Operations!AI74</f>
        <v>1.50254404281368</v>
      </c>
      <c r="AJ8" s="11" t="n">
        <f aca="false">AI8+AJ7-Operations!AJ74</f>
        <v>2.00339205708491</v>
      </c>
      <c r="AK8" s="11" t="n">
        <f aca="false">AJ8+AK7-Operations!AK74</f>
        <v>2.50424007135614</v>
      </c>
      <c r="AL8" s="11" t="n">
        <f aca="false">AK8+AL7-Operations!AL74</f>
        <v>3.00508808562737</v>
      </c>
      <c r="AM8" s="11" t="n">
        <f aca="false">AL8+AM7-Operations!AM74</f>
        <v>0</v>
      </c>
      <c r="AN8" s="11" t="n">
        <f aca="false">AM8+AN7-Operations!AN74</f>
        <v>0</v>
      </c>
      <c r="AO8" s="11" t="n">
        <f aca="false">AN8+AO7-Operations!AO74</f>
        <v>2.37357535949866</v>
      </c>
      <c r="AP8" s="11" t="n">
        <f aca="false">AO8+AP7-Operations!AP74</f>
        <v>4.74715071899731</v>
      </c>
      <c r="AQ8" s="11" t="n">
        <f aca="false">AP8+AQ7-Operations!AQ74</f>
        <v>7.12072607849597</v>
      </c>
      <c r="AR8" s="11" t="n">
        <f aca="false">AQ8+AR7-Operations!AR74</f>
        <v>9.49430143799463</v>
      </c>
      <c r="AS8" s="11" t="n">
        <f aca="false">AR8+AS7-Operations!AS74</f>
        <v>11.8678767974933</v>
      </c>
      <c r="AT8" s="11" t="n">
        <f aca="false">AS8+AT7-Operations!AT74</f>
        <v>14.2414521569919</v>
      </c>
      <c r="AU8" s="11" t="n">
        <f aca="false">AT8+AU7-Operations!AU74</f>
        <v>0</v>
      </c>
      <c r="AV8" s="11" t="n">
        <f aca="false">AU8+AV7-Operations!AV74</f>
        <v>0</v>
      </c>
      <c r="AW8" s="11" t="n">
        <f aca="false">AV8+AW7-Operations!AW74</f>
        <v>0.596091765745239</v>
      </c>
      <c r="AX8" s="11" t="n">
        <f aca="false">AW8+AX7-Operations!AX74</f>
        <v>1.19218353149048</v>
      </c>
      <c r="AY8" s="11" t="n">
        <f aca="false">AX8+AY7-Operations!AY74</f>
        <v>1.78827529723572</v>
      </c>
      <c r="AZ8" s="11" t="n">
        <f aca="false">AY8+AZ7-Operations!AZ74</f>
        <v>2.38436706298096</v>
      </c>
      <c r="BA8" s="11" t="n">
        <f aca="false">AZ8+BA7-Operations!BA74</f>
        <v>2.9804588287262</v>
      </c>
      <c r="BB8" s="11" t="n">
        <f aca="false">BA8+BB7-Operations!BB74</f>
        <v>3.57655059447143</v>
      </c>
      <c r="BC8" s="11" t="n">
        <f aca="false">BB8+BC7-Operations!BC74</f>
        <v>0</v>
      </c>
      <c r="BD8" s="11" t="n">
        <f aca="false">BC8+BD7-Operations!BD74</f>
        <v>0</v>
      </c>
      <c r="BE8" s="11" t="n">
        <f aca="false">BD8+BE7-Operations!BE74</f>
        <v>2.8249462648498</v>
      </c>
      <c r="BF8" s="11" t="n">
        <f aca="false">BE8+BF7-Operations!BF74</f>
        <v>5.6498925296996</v>
      </c>
      <c r="BG8" s="11" t="n">
        <f aca="false">BF8+BG7-Operations!BG74</f>
        <v>8.4748387945494</v>
      </c>
      <c r="BH8" s="11" t="n">
        <f aca="false">BG8+BH7-Operations!BH74</f>
        <v>11.2997850593992</v>
      </c>
      <c r="BI8" s="11" t="n">
        <f aca="false">BH8+BI7-Operations!BI74</f>
        <v>14.124731324249</v>
      </c>
      <c r="BJ8" s="11" t="n">
        <f aca="false">BI8+BJ7-Operations!BJ74</f>
        <v>16.9496775890988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0</v>
      </c>
      <c r="P9" s="11" t="n">
        <f aca="false">IF(Time!P29=1,SUM(Funding!$J$44:$BJ$44),O13)</f>
        <v>39.5901571901212</v>
      </c>
      <c r="Q9" s="11" t="n">
        <f aca="false">IF(Time!Q29=1,SUM(Funding!$J$44:$BJ$44),P13)</f>
        <v>39.5901571901212</v>
      </c>
      <c r="R9" s="11" t="n">
        <f aca="false">IF(Time!R29=1,SUM(Funding!$J$44:$BJ$44),Q13)</f>
        <v>40.0955116122781</v>
      </c>
      <c r="S9" s="11" t="n">
        <f aca="false">IF(Time!S29=1,SUM(Funding!$J$44:$BJ$44),R13)</f>
        <v>39.7778387053405</v>
      </c>
      <c r="T9" s="11" t="n">
        <f aca="false">IF(Time!T29=1,SUM(Funding!$J$44:$BJ$44),S13)</f>
        <v>40.2295607160554</v>
      </c>
      <c r="U9" s="11" t="n">
        <f aca="false">IF(Time!U29=1,SUM(Funding!$J$44:$BJ$44),T13)</f>
        <v>40.0312842957064</v>
      </c>
      <c r="V9" s="11" t="n">
        <f aca="false">IF(Time!V29=1,SUM(Funding!$J$44:$BJ$44),U13)</f>
        <v>40.7986666606384</v>
      </c>
      <c r="W9" s="11" t="n">
        <f aca="false">IF(Time!W29=1,SUM(Funding!$J$44:$BJ$44),V13)</f>
        <v>40.5087228524253</v>
      </c>
      <c r="X9" s="11" t="n">
        <f aca="false">IF(Time!X29=1,SUM(Funding!$J$44:$BJ$44),W13)</f>
        <v>39.3469132499841</v>
      </c>
      <c r="Y9" s="11" t="n">
        <f aca="false">IF(Time!Y29=1,SUM(Funding!$J$44:$BJ$44),X13)</f>
        <v>38.959871050273</v>
      </c>
      <c r="Z9" s="11" t="n">
        <f aca="false">IF(Time!Z29=1,SUM(Funding!$J$44:$BJ$44),Y13)</f>
        <v>39.2853733075215</v>
      </c>
      <c r="AA9" s="11" t="n">
        <f aca="false">IF(Time!AA29=1,SUM(Funding!$J$44:$BJ$44),Z13)</f>
        <v>38.9619967644553</v>
      </c>
      <c r="AB9" s="11" t="n">
        <f aca="false">IF(Time!AB29=1,SUM(Funding!$J$44:$BJ$44),AA13)</f>
        <v>39.4247252652081</v>
      </c>
      <c r="AC9" s="11" t="n">
        <f aca="false">IF(Time!AC29=1,SUM(Funding!$J$44:$BJ$44),AB13)</f>
        <v>38.7444655741052</v>
      </c>
      <c r="AD9" s="11" t="n">
        <f aca="false">IF(Time!AD29=1,SUM(Funding!$J$44:$BJ$44),AC13)</f>
        <v>39.5783031185693</v>
      </c>
      <c r="AE9" s="11" t="n">
        <f aca="false">IF(Time!AE29=1,SUM(Funding!$J$44:$BJ$44),AD13)</f>
        <v>39.0152983044463</v>
      </c>
      <c r="AF9" s="11" t="n">
        <f aca="false">IF(Time!AF29=1,SUM(Funding!$J$44:$BJ$44),AE13)</f>
        <v>38.3975174153793</v>
      </c>
      <c r="AG9" s="11" t="n">
        <f aca="false">IF(Time!AG29=1,SUM(Funding!$J$44:$BJ$44),AF13)</f>
        <v>37.1768380015028</v>
      </c>
      <c r="AH9" s="11" t="n">
        <f aca="false">IF(Time!AH29=1,SUM(Funding!$J$44:$BJ$44),AG13)</f>
        <v>36.4693329991737</v>
      </c>
      <c r="AI9" s="11" t="n">
        <f aca="false">IF(Time!AI29=1,SUM(Funding!$J$44:$BJ$44),AH13)</f>
        <v>34.8980305271939</v>
      </c>
      <c r="AJ9" s="11" t="n">
        <f aca="false">IF(Time!AJ29=1,SUM(Funding!$J$44:$BJ$44),AI13)</f>
        <v>33.6218970424988</v>
      </c>
      <c r="AK9" s="11" t="n">
        <f aca="false">IF(Time!AK29=1,SUM(Funding!$J$44:$BJ$44),AJ13)</f>
        <v>31.446910313157</v>
      </c>
      <c r="AL9" s="11" t="n">
        <f aca="false">IF(Time!AL29=1,SUM(Funding!$J$44:$BJ$44),AK13)</f>
        <v>29.272415075822</v>
      </c>
      <c r="AM9" s="11" t="n">
        <f aca="false">IF(Time!AM29=1,SUM(Funding!$J$44:$BJ$44),AL13)</f>
        <v>25.0990387543341</v>
      </c>
      <c r="AN9" s="11" t="n">
        <f aca="false">IF(Time!AN29=1,SUM(Funding!$J$44:$BJ$44),AM13)</f>
        <v>20.3736881724253</v>
      </c>
      <c r="AO9" s="11" t="n">
        <f aca="false">IF(Time!AO29=1,SUM(Funding!$J$44:$BJ$44),AN13)</f>
        <v>20.1307130705795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0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3.34652710026946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0</v>
      </c>
      <c r="P11" s="11" t="n">
        <f aca="false">MIN(Waterfall!P13,MAX(0,Debt!P132-(P9-P10)))</f>
        <v>0</v>
      </c>
      <c r="Q11" s="11" t="n">
        <f aca="false">MIN(Waterfall!Q13,MAX(0,Debt!Q132-(Q9-Q10)))</f>
        <v>0.505354422156948</v>
      </c>
      <c r="R11" s="11" t="n">
        <f aca="false">MIN(Waterfall!R13,MAX(0,Debt!R132-(R9-R10)))</f>
        <v>0</v>
      </c>
      <c r="S11" s="11" t="n">
        <f aca="false">MIN(Waterfall!S13,MAX(0,Debt!S132-(S9-S10)))</f>
        <v>0.451722010714931</v>
      </c>
      <c r="T11" s="11" t="n">
        <f aca="false">MIN(Waterfall!T13,MAX(0,Debt!T132-(T9-T10)))</f>
        <v>0</v>
      </c>
      <c r="U11" s="11" t="n">
        <f aca="false">MIN(Waterfall!U13,MAX(0,Debt!U132-(U9-U10)))</f>
        <v>0.767382364932026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0.325502257248544</v>
      </c>
      <c r="Z11" s="11" t="n">
        <f aca="false">MIN(Waterfall!Z13,MAX(0,Debt!Z132-(Z9-Z10)))</f>
        <v>0</v>
      </c>
      <c r="AA11" s="11" t="n">
        <f aca="false">MIN(Waterfall!AA13,MAX(0,Debt!AA132-(AA9-AA10)))</f>
        <v>0.462728500752817</v>
      </c>
      <c r="AB11" s="11" t="n">
        <f aca="false">MIN(Waterfall!AB13,MAX(0,Debt!AB132-(AB9-AB10)))</f>
        <v>0</v>
      </c>
      <c r="AC11" s="11" t="n">
        <f aca="false">MIN(Waterfall!AC13,MAX(0,Debt!AC132-(AC9-AC10)))</f>
        <v>0.833837544464195</v>
      </c>
      <c r="AD11" s="11" t="n">
        <f aca="false">MIN(Waterfall!AD13,MAX(0,Debt!AD132-(AD9-AD10)))</f>
        <v>0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42.9366842903906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</v>
      </c>
      <c r="Q12" s="11" t="n">
        <f aca="false">MAX(0,Q9-Q10-Debt!Q132)</f>
        <v>0</v>
      </c>
      <c r="R12" s="11" t="n">
        <f aca="false">MAX(0,R9-R10-Debt!R132)</f>
        <v>0.317672906937638</v>
      </c>
      <c r="S12" s="11" t="n">
        <f aca="false">MAX(0,S9-S10-Debt!S132)</f>
        <v>0</v>
      </c>
      <c r="T12" s="11" t="n">
        <f aca="false">MAX(0,T9-T10-Debt!T132)</f>
        <v>0.198276420349032</v>
      </c>
      <c r="U12" s="11" t="n">
        <f aca="false">MAX(0,U9-U10-Debt!U132)</f>
        <v>0</v>
      </c>
      <c r="V12" s="11" t="n">
        <f aca="false">MAX(0,V9-V10-Debt!V132)</f>
        <v>0.289943808213103</v>
      </c>
      <c r="W12" s="11" t="n">
        <f aca="false">MAX(0,W9-W10-Debt!W132)</f>
        <v>1.16180960244122</v>
      </c>
      <c r="X12" s="11" t="n">
        <f aca="false">MAX(0,X9-X10-Debt!X132)</f>
        <v>0.387042199711061</v>
      </c>
      <c r="Y12" s="11" t="n">
        <f aca="false">MAX(0,Y9-Y10-Debt!Y132)</f>
        <v>0</v>
      </c>
      <c r="Z12" s="11" t="n">
        <f aca="false">MAX(0,Z9-Z10-Debt!Z132)</f>
        <v>0.323376543066296</v>
      </c>
      <c r="AA12" s="11" t="n">
        <f aca="false">MAX(0,AA9-AA10-Debt!AA132)</f>
        <v>0</v>
      </c>
      <c r="AB12" s="11" t="n">
        <f aca="false">MAX(0,AB9-AB10-Debt!AB132)</f>
        <v>0.680259691102918</v>
      </c>
      <c r="AC12" s="11" t="n">
        <f aca="false">MAX(0,AC9-AC10-Debt!AC132)</f>
        <v>0</v>
      </c>
      <c r="AD12" s="11" t="n">
        <f aca="false">MAX(0,AD9-AD10-Debt!AD132)</f>
        <v>0.563004814123076</v>
      </c>
      <c r="AE12" s="11" t="n">
        <f aca="false">MAX(0,AE9-AE10-Debt!AE132)</f>
        <v>0.617780889066964</v>
      </c>
      <c r="AF12" s="11" t="n">
        <f aca="false">MAX(0,AF9-AF10-Debt!AF132)</f>
        <v>1.22067941387655</v>
      </c>
      <c r="AG12" s="11" t="n">
        <f aca="false">MAX(0,AG9-AG10-Debt!AG132)</f>
        <v>0.707505002329043</v>
      </c>
      <c r="AH12" s="11" t="n">
        <f aca="false">MAX(0,AH9-AH10-Debt!AH132)</f>
        <v>1.57130247197977</v>
      </c>
      <c r="AI12" s="11" t="n">
        <f aca="false">MAX(0,AI9-AI10-Debt!AI132)</f>
        <v>1.27613348469514</v>
      </c>
      <c r="AJ12" s="11" t="n">
        <f aca="false">MAX(0,AJ9-AJ10-Debt!AJ132)</f>
        <v>2.17498672934183</v>
      </c>
      <c r="AK12" s="11" t="n">
        <f aca="false">MAX(0,AK9-AK10-Debt!AK132)</f>
        <v>2.17449523733498</v>
      </c>
      <c r="AL12" s="11" t="n">
        <f aca="false">MAX(0,AL9-AL10-Debt!AL132)</f>
        <v>4.17337632148789</v>
      </c>
      <c r="AM12" s="11" t="n">
        <f aca="false">MAX(0,AM9-AM10-Debt!AM132)</f>
        <v>4.72535058190885</v>
      </c>
      <c r="AN12" s="11" t="n">
        <f aca="false">MAX(0,AN9-AN10-Debt!AN132)</f>
        <v>0.242975101845747</v>
      </c>
      <c r="AO12" s="11" t="n">
        <f aca="false">MAX(0,AO9-AO10-Debt!AO132)</f>
        <v>20.1307130705795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0</v>
      </c>
      <c r="P13" s="11" t="n">
        <f aca="false">(1-Time!P32)*(P9-P10+P11-P12)</f>
        <v>39.5901571901212</v>
      </c>
      <c r="Q13" s="11" t="n">
        <f aca="false">(1-Time!Q32)*(Q9-Q10+Q11-Q12)</f>
        <v>40.0955116122781</v>
      </c>
      <c r="R13" s="11" t="n">
        <f aca="false">(1-Time!R32)*(R9-R10+R11-R12)</f>
        <v>39.7778387053405</v>
      </c>
      <c r="S13" s="11" t="n">
        <f aca="false">(1-Time!S32)*(S9-S10+S11-S12)</f>
        <v>40.2295607160554</v>
      </c>
      <c r="T13" s="11" t="n">
        <f aca="false">(1-Time!T32)*(T9-T10+T11-T12)</f>
        <v>40.0312842957064</v>
      </c>
      <c r="U13" s="11" t="n">
        <f aca="false">(1-Time!U32)*(U9-U10+U11-U12)</f>
        <v>40.7986666606384</v>
      </c>
      <c r="V13" s="11" t="n">
        <f aca="false">(1-Time!V32)*(V9-V10+V11-V12)</f>
        <v>40.5087228524253</v>
      </c>
      <c r="W13" s="11" t="n">
        <f aca="false">(1-Time!W32)*(W9-W10+W11-W12)</f>
        <v>39.3469132499841</v>
      </c>
      <c r="X13" s="11" t="n">
        <f aca="false">(1-Time!X32)*(X9-X10+X11-X12)</f>
        <v>38.959871050273</v>
      </c>
      <c r="Y13" s="11" t="n">
        <f aca="false">(1-Time!Y32)*(Y9-Y10+Y11-Y12)</f>
        <v>39.2853733075215</v>
      </c>
      <c r="Z13" s="11" t="n">
        <f aca="false">(1-Time!Z32)*(Z9-Z10+Z11-Z12)</f>
        <v>38.9619967644553</v>
      </c>
      <c r="AA13" s="11" t="n">
        <f aca="false">(1-Time!AA32)*(AA9-AA10+AA11-AA12)</f>
        <v>39.4247252652081</v>
      </c>
      <c r="AB13" s="11" t="n">
        <f aca="false">(1-Time!AB32)*(AB9-AB10+AB11-AB12)</f>
        <v>38.7444655741052</v>
      </c>
      <c r="AC13" s="11" t="n">
        <f aca="false">(1-Time!AC32)*(AC9-AC10+AC11-AC12)</f>
        <v>39.5783031185693</v>
      </c>
      <c r="AD13" s="11" t="n">
        <f aca="false">(1-Time!AD32)*(AD9-AD10+AD11-AD12)</f>
        <v>39.0152983044463</v>
      </c>
      <c r="AE13" s="11" t="n">
        <f aca="false">(1-Time!AE32)*(AE9-AE10+AE11-AE12)</f>
        <v>38.3975174153793</v>
      </c>
      <c r="AF13" s="11" t="n">
        <f aca="false">(1-Time!AF32)*(AF9-AF10+AF11-AF12)</f>
        <v>37.1768380015028</v>
      </c>
      <c r="AG13" s="11" t="n">
        <f aca="false">(1-Time!AG32)*(AG9-AG10+AG11-AG12)</f>
        <v>36.4693329991737</v>
      </c>
      <c r="AH13" s="11" t="n">
        <f aca="false">(1-Time!AH32)*(AH9-AH10+AH11-AH12)</f>
        <v>34.8980305271939</v>
      </c>
      <c r="AI13" s="11" t="n">
        <f aca="false">(1-Time!AI32)*(AI9-AI10+AI11-AI12)</f>
        <v>33.6218970424988</v>
      </c>
      <c r="AJ13" s="11" t="n">
        <f aca="false">(1-Time!AJ32)*(AJ9-AJ10+AJ11-AJ12)</f>
        <v>31.446910313157</v>
      </c>
      <c r="AK13" s="11" t="n">
        <f aca="false">(1-Time!AK32)*(AK9-AK10+AK11-AK12)</f>
        <v>29.272415075822</v>
      </c>
      <c r="AL13" s="11" t="n">
        <f aca="false">(1-Time!AL32)*(AL9-AL10+AL11-AL12)</f>
        <v>25.0990387543341</v>
      </c>
      <c r="AM13" s="11" t="n">
        <f aca="false">(1-Time!AM32)*(AM9-AM10+AM11-AM12)</f>
        <v>20.3736881724253</v>
      </c>
      <c r="AN13" s="11" t="n">
        <f aca="false">(1-Time!AN32)*(AN9-AN10+AN11-AN12)</f>
        <v>20.1307130705795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19.2778097774822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</v>
      </c>
      <c r="BB14" s="11" t="n">
        <f aca="false">MIN(Waterfall!BB14,Operations!BB76)</f>
        <v>0.500383418214804</v>
      </c>
      <c r="BC14" s="11" t="n">
        <f aca="false">MIN(Waterfall!BC14,Operations!BC76)</f>
        <v>1.51757307334224</v>
      </c>
      <c r="BD14" s="11" t="n">
        <f aca="false">MIN(Waterfall!BD14,Operations!BD76)</f>
        <v>1.53417556024659</v>
      </c>
      <c r="BE14" s="11" t="n">
        <f aca="false">MIN(Waterfall!BE14,Operations!BE76)</f>
        <v>1.55095968095577</v>
      </c>
      <c r="BF14" s="11" t="n">
        <f aca="false">MIN(Waterfall!BF14,Operations!BF76)</f>
        <v>1.56792742257201</v>
      </c>
      <c r="BG14" s="11" t="n">
        <f aca="false">MIN(Waterfall!BG14,Operations!BG76)</f>
        <v>1.58508079393679</v>
      </c>
      <c r="BH14" s="11" t="n">
        <f aca="false">MIN(Waterfall!BH14,Operations!BH76)</f>
        <v>1.6024218258686</v>
      </c>
      <c r="BI14" s="11" t="n">
        <f aca="false">MIN(Waterfall!BI14,Operations!BI76)</f>
        <v>1.6199525714034</v>
      </c>
      <c r="BJ14" s="11" t="n">
        <f aca="false">MIN(Waterfall!BJ14,Operations!BJ76)</f>
        <v>1.63767510603771</v>
      </c>
      <c r="BK14" s="11" t="n">
        <f aca="false">MIN(Waterfall!BK14,Operations!BK76)</f>
        <v>1.65559152797428</v>
      </c>
      <c r="BL14" s="11" t="n">
        <f aca="false">MIN(Waterfall!BL14,Operations!BL76)</f>
        <v>1.67370395837054</v>
      </c>
      <c r="BM14" s="11" t="n">
        <f aca="false">MIN(Waterfall!BM14,Operations!BM76)</f>
        <v>1.69201454158971</v>
      </c>
      <c r="BN14" s="11" t="n">
        <f aca="false">MIN(Waterfall!BN14,Operations!BN76)</f>
        <v>1.14035029696979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19.2778097774822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0</v>
      </c>
      <c r="BN15" s="11" t="n">
        <f aca="false">Time!BN32*(BM16+BN14)</f>
        <v>19.2778097774822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</v>
      </c>
      <c r="BB16" s="11" t="n">
        <f aca="false">BA16+BB14-BB15</f>
        <v>0.500383418214804</v>
      </c>
      <c r="BC16" s="11" t="n">
        <f aca="false">BB16+BC14-BC15</f>
        <v>2.01795649155704</v>
      </c>
      <c r="BD16" s="11" t="n">
        <f aca="false">BC16+BD14-BD15</f>
        <v>3.55213205180363</v>
      </c>
      <c r="BE16" s="11" t="n">
        <f aca="false">BD16+BE14-BE15</f>
        <v>5.1030917327594</v>
      </c>
      <c r="BF16" s="11" t="n">
        <f aca="false">BE16+BF14-BF15</f>
        <v>6.67101915533141</v>
      </c>
      <c r="BG16" s="11" t="n">
        <f aca="false">BF16+BG14-BG15</f>
        <v>8.2560999492682</v>
      </c>
      <c r="BH16" s="11" t="n">
        <f aca="false">BG16+BH14-BH15</f>
        <v>9.8585217751368</v>
      </c>
      <c r="BI16" s="11" t="n">
        <f aca="false">BH16+BI14-BI15</f>
        <v>11.4784743465402</v>
      </c>
      <c r="BJ16" s="11" t="n">
        <f aca="false">BI16+BJ14-BJ15</f>
        <v>13.1161494525779</v>
      </c>
      <c r="BK16" s="11" t="n">
        <f aca="false">BJ16+BK14-BK15</f>
        <v>14.7717409805522</v>
      </c>
      <c r="BL16" s="11" t="n">
        <f aca="false">BK16+BL14-BL15</f>
        <v>16.4454449389227</v>
      </c>
      <c r="BM16" s="11" t="n">
        <f aca="false">BL16+BM14-BM15</f>
        <v>18.1374594805124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0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2344.04366403942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0</v>
      </c>
      <c r="P7" s="11" t="n">
        <f aca="false">Operations!P79-Tax!P27-Operations!P91-Reserves!P7+Operations!P74+Operations!P92</f>
        <v>1.86721444482732</v>
      </c>
      <c r="Q7" s="11" t="n">
        <f aca="false">Operations!Q79-Tax!Q27-Operations!Q91-Reserves!Q7+Operations!Q74+Operations!Q92</f>
        <v>50.1694349259804</v>
      </c>
      <c r="R7" s="11" t="n">
        <f aca="false">Operations!R79-Tax!R27-Operations!R91-Reserves!R7+Operations!R74+Operations!R92</f>
        <v>50.7589649640819</v>
      </c>
      <c r="S7" s="11" t="n">
        <f aca="false">Operations!S79-Tax!S27-Operations!S91-Reserves!S7+Operations!S74+Operations!S92</f>
        <v>50.4233190401177</v>
      </c>
      <c r="T7" s="11" t="n">
        <f aca="false">Operations!T79-Tax!T27-Operations!T91-Reserves!T7+Operations!T74+Operations!T92</f>
        <v>51.0022495144261</v>
      </c>
      <c r="U7" s="11" t="n">
        <f aca="false">Operations!U79-Tax!U27-Operations!U91-Reserves!U7+Operations!U74+Operations!U92</f>
        <v>50.6723125847848</v>
      </c>
      <c r="V7" s="11" t="n">
        <f aca="false">Operations!V79-Tax!V27-Operations!V91-Reserves!V7+Operations!V74+Operations!V92</f>
        <v>51.1693558860182</v>
      </c>
      <c r="W7" s="11" t="n">
        <f aca="false">Operations!W79-Tax!W27-Operations!W91-Reserves!W7+Operations!W74+Operations!W92</f>
        <v>51.4024493908331</v>
      </c>
      <c r="X7" s="11" t="n">
        <f aca="false">Operations!X79-Tax!X27-Operations!X91-Reserves!X7+Operations!X74+Operations!X92</f>
        <v>51.9502968022351</v>
      </c>
      <c r="Y7" s="11" t="n">
        <f aca="false">Operations!Y79-Tax!Y27-Operations!Y91-Reserves!Y7+Operations!Y74+Operations!Y92</f>
        <v>49.460994216498</v>
      </c>
      <c r="Z7" s="11" t="n">
        <f aca="false">Operations!Z79-Tax!Z27-Operations!Z91-Reserves!Z7+Operations!Z74+Operations!Z92</f>
        <v>49.9717937201414</v>
      </c>
      <c r="AA7" s="11" t="n">
        <f aca="false">Operations!AA79-Tax!AA27-Operations!AA91-Reserves!AA7+Operations!AA74+Operations!AA92</f>
        <v>49.3840999040299</v>
      </c>
      <c r="AB7" s="11" t="n">
        <f aca="false">Operations!AB79-Tax!AB27-Operations!AB91-Reserves!AB7+Operations!AB74+Operations!AB92</f>
        <v>49.9820197005408</v>
      </c>
      <c r="AC7" s="11" t="n">
        <f aca="false">Operations!AC79-Tax!AC27-Operations!AC91-Reserves!AC7+Operations!AC74+Operations!AC92</f>
        <v>49.6443667431118</v>
      </c>
      <c r="AD7" s="11" t="n">
        <f aca="false">Operations!AD79-Tax!AD27-Operations!AD91-Reserves!AD7+Operations!AD74+Operations!AD92</f>
        <v>50.2015579797273</v>
      </c>
      <c r="AE7" s="11" t="n">
        <f aca="false">Operations!AE79-Tax!AE27-Operations!AE91-Reserves!AE7+Operations!AE74+Operations!AE92</f>
        <v>51.3752461862275</v>
      </c>
      <c r="AF7" s="11" t="n">
        <f aca="false">Operations!AF79-Tax!AF27-Operations!AF91-Reserves!AF7+Operations!AF74+Operations!AF92</f>
        <v>52.3831778159556</v>
      </c>
      <c r="AG7" s="11" t="n">
        <f aca="false">Operations!AG79-Tax!AG27-Operations!AG91-Reserves!AG7+Operations!AG74+Operations!AG92</f>
        <v>51.5272391835451</v>
      </c>
      <c r="AH7" s="11" t="n">
        <f aca="false">Operations!AH79-Tax!AH27-Operations!AH91-Reserves!AH7+Operations!AH74+Operations!AH92</f>
        <v>52.1805404506068</v>
      </c>
      <c r="AI7" s="11" t="n">
        <f aca="false">Operations!AI79-Tax!AI27-Operations!AI91-Reserves!AI7+Operations!AI74+Operations!AI92</f>
        <v>51.828817762181</v>
      </c>
      <c r="AJ7" s="11" t="n">
        <f aca="false">Operations!AJ79-Tax!AJ27-Operations!AJ91-Reserves!AJ7+Operations!AJ74+Operations!AJ92</f>
        <v>52.4490966240749</v>
      </c>
      <c r="AK7" s="11" t="n">
        <f aca="false">Operations!AK79-Tax!AK27-Operations!AK91-Reserves!AK7+Operations!AK74+Operations!AK92</f>
        <v>52.1049530907206</v>
      </c>
      <c r="AL7" s="11" t="n">
        <f aca="false">Operations!AL79-Tax!AL27-Operations!AL91-Reserves!AL7+Operations!AL74+Operations!AL92</f>
        <v>52.6514512471158</v>
      </c>
      <c r="AM7" s="11" t="n">
        <f aca="false">Operations!AM79-Tax!AM27-Operations!AM91-Reserves!AM7+Operations!AM74+Operations!AM92</f>
        <v>52.9846165065847</v>
      </c>
      <c r="AN7" s="11" t="n">
        <f aca="false">Operations!AN79-Tax!AN27-Operations!AN91-Reserves!AN7+Operations!AN74+Operations!AN92</f>
        <v>53.5672342650934</v>
      </c>
      <c r="AO7" s="11" t="n">
        <f aca="false">Operations!AO79-Tax!AO27-Operations!AO91-Reserves!AO7+Operations!AO74+Operations!AO92</f>
        <v>50.6597042674252</v>
      </c>
      <c r="AP7" s="11" t="n">
        <f aca="false">Operations!AP79-Tax!AP27-Operations!AP91-Reserves!AP7+Operations!AP74+Operations!AP92</f>
        <v>51.3388059528544</v>
      </c>
      <c r="AQ7" s="11" t="n">
        <f aca="false">Operations!AQ79-Tax!AQ27-Operations!AQ91-Reserves!AQ7+Operations!AQ74+Operations!AQ92</f>
        <v>50.9858164161794</v>
      </c>
      <c r="AR7" s="11" t="n">
        <f aca="false">Operations!AR79-Tax!AR27-Operations!AR91-Reserves!AR7+Operations!AR74+Operations!AR92</f>
        <v>42.9383801241977</v>
      </c>
      <c r="AS7" s="11" t="n">
        <f aca="false">Operations!AS79-Tax!AS27-Operations!AS91-Reserves!AS7+Operations!AS74+Operations!AS92</f>
        <v>41.8152724350504</v>
      </c>
      <c r="AT7" s="11" t="n">
        <f aca="false">Operations!AT79-Tax!AT27-Operations!AT91-Reserves!AT7+Operations!AT74+Operations!AT92</f>
        <v>42.2365002861952</v>
      </c>
      <c r="AU7" s="11" t="n">
        <f aca="false">Operations!AU79-Tax!AU27-Operations!AU91-Reserves!AU7+Operations!AU74+Operations!AU92</f>
        <v>48.2359769265088</v>
      </c>
      <c r="AV7" s="11" t="n">
        <f aca="false">Operations!AV79-Tax!AV27-Operations!AV91-Reserves!AV7+Operations!AV74+Operations!AV92</f>
        <v>44.7326492101122</v>
      </c>
      <c r="AW7" s="11" t="n">
        <f aca="false">Operations!AW79-Tax!AW27-Operations!AW91-Reserves!AW7+Operations!AW74+Operations!AW92</f>
        <v>43.776613843306</v>
      </c>
      <c r="AX7" s="11" t="n">
        <f aca="false">Operations!AX79-Tax!AX27-Operations!AX91-Reserves!AX7+Operations!AX74+Operations!AX92</f>
        <v>44.4354267369936</v>
      </c>
      <c r="AY7" s="11" t="n">
        <f aca="false">Operations!AY79-Tax!AY27-Operations!AY91-Reserves!AY7+Operations!AY74+Operations!AY92</f>
        <v>44.0254806356794</v>
      </c>
      <c r="AZ7" s="11" t="n">
        <f aca="false">Operations!AZ79-Tax!AZ27-Operations!AZ91-Reserves!AZ7+Operations!AZ74+Operations!AZ92</f>
        <v>44.6600563620943</v>
      </c>
      <c r="BA7" s="11" t="n">
        <f aca="false">Operations!BA79-Tax!BA27-Operations!BA91-Reserves!BA7+Operations!BA74+Operations!BA92</f>
        <v>44.2728127632001</v>
      </c>
      <c r="BB7" s="11" t="n">
        <f aca="false">Operations!BB79-Tax!BB27-Operations!BB91-Reserves!BB7+Operations!BB74+Operations!BB92</f>
        <v>44.8093483273826</v>
      </c>
      <c r="BC7" s="11" t="n">
        <f aca="false">Operations!BC79-Tax!BC27-Operations!BC91-Reserves!BC7+Operations!BC74+Operations!BC92</f>
        <v>46.2402191845607</v>
      </c>
      <c r="BD7" s="11" t="n">
        <f aca="false">Operations!BD79-Tax!BD27-Operations!BD91-Reserves!BD7+Operations!BD74+Operations!BD92</f>
        <v>43.7577699555498</v>
      </c>
      <c r="BE7" s="11" t="n">
        <f aca="false">Operations!BE79-Tax!BE27-Operations!BE91-Reserves!BE7+Operations!BE74+Operations!BE92</f>
        <v>36.3323494486259</v>
      </c>
      <c r="BF7" s="11" t="n">
        <f aca="false">Operations!BF79-Tax!BF27-Operations!BF91-Reserves!BF7+Operations!BF74+Operations!BF92</f>
        <v>37.0180080271656</v>
      </c>
      <c r="BG7" s="11" t="n">
        <f aca="false">Operations!BG79-Tax!BG27-Operations!BG91-Reserves!BG7+Operations!BG74+Operations!BG92</f>
        <v>36.6020033309645</v>
      </c>
      <c r="BH7" s="11" t="n">
        <f aca="false">Operations!BH79-Tax!BH27-Operations!BH91-Reserves!BH7+Operations!BH74+Operations!BH92</f>
        <v>37.2619689506319</v>
      </c>
      <c r="BI7" s="11" t="n">
        <f aca="false">Operations!BI79-Tax!BI27-Operations!BI91-Reserves!BI7+Operations!BI74+Operations!BI92</f>
        <v>36.8645169597715</v>
      </c>
      <c r="BJ7" s="11" t="n">
        <f aca="false">Operations!BJ79-Tax!BJ27-Operations!BJ91-Reserves!BJ7+Operations!BJ74+Operations!BJ92</f>
        <v>37.4663555697208</v>
      </c>
      <c r="BK7" s="11" t="n">
        <f aca="false">Operations!BK79-Tax!BK27-Operations!BK91-Reserves!BK7+Operations!BK74+Operations!BK92</f>
        <v>44.7157334175965</v>
      </c>
      <c r="BL7" s="11" t="n">
        <f aca="false">Operations!BL79-Tax!BL27-Operations!BL91-Reserves!BL7+Operations!BL74+Operations!BL92</f>
        <v>40.457487289537</v>
      </c>
      <c r="BM7" s="11" t="n">
        <f aca="false">Operations!BM79-Tax!BM27-Operations!BM91-Reserves!BM7+Operations!BM74+Operations!BM92</f>
        <v>40.0599103544488</v>
      </c>
      <c r="BN7" s="11" t="n">
        <f aca="false">Operations!BN79-Tax!BN27-Operations!BN91-Reserves!BN7+Operations!BN74+Operations!BN92</f>
        <v>37.2316943142061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0</v>
      </c>
      <c r="Q8" s="11" t="n">
        <f aca="false">IF(Time!Q29=1,INDEX(Funding!$J$54:$BJ$54,1,Time!$F$13),0)+P30+P42</f>
        <v>1.86721444482732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0</v>
      </c>
      <c r="P9" s="11" t="n">
        <f aca="false">P7+P8</f>
        <v>1.86721444482732</v>
      </c>
      <c r="Q9" s="11" t="n">
        <f aca="false">Q7+Q8</f>
        <v>52.0366493708077</v>
      </c>
      <c r="R9" s="11" t="n">
        <f aca="false">R7+R8</f>
        <v>50.7589649640819</v>
      </c>
      <c r="S9" s="11" t="n">
        <f aca="false">S7+S8</f>
        <v>50.4233190401177</v>
      </c>
      <c r="T9" s="11" t="n">
        <f aca="false">T7+T8</f>
        <v>51.0022495144261</v>
      </c>
      <c r="U9" s="11" t="n">
        <f aca="false">U7+U8</f>
        <v>50.6723125847848</v>
      </c>
      <c r="V9" s="11" t="n">
        <f aca="false">V7+V8</f>
        <v>51.1693558860182</v>
      </c>
      <c r="W9" s="11" t="n">
        <f aca="false">W7+W8</f>
        <v>51.4024493908331</v>
      </c>
      <c r="X9" s="11" t="n">
        <f aca="false">X7+X8</f>
        <v>51.9502968022351</v>
      </c>
      <c r="Y9" s="11" t="n">
        <f aca="false">Y7+Y8</f>
        <v>49.460994216498</v>
      </c>
      <c r="Z9" s="11" t="n">
        <f aca="false">Z7+Z8</f>
        <v>49.9717937201414</v>
      </c>
      <c r="AA9" s="11" t="n">
        <f aca="false">AA7+AA8</f>
        <v>49.3840999040299</v>
      </c>
      <c r="AB9" s="11" t="n">
        <f aca="false">AB7+AB8</f>
        <v>49.9820197005408</v>
      </c>
      <c r="AC9" s="11" t="n">
        <f aca="false">AC7+AC8</f>
        <v>49.6443667431118</v>
      </c>
      <c r="AD9" s="11" t="n">
        <f aca="false">AD7+AD8</f>
        <v>50.2015579797273</v>
      </c>
      <c r="AE9" s="11" t="n">
        <f aca="false">AE7+AE8</f>
        <v>51.3752461862275</v>
      </c>
      <c r="AF9" s="11" t="n">
        <f aca="false">AF7+AF8</f>
        <v>52.3831778159556</v>
      </c>
      <c r="AG9" s="11" t="n">
        <f aca="false">AG7+AG8</f>
        <v>51.5272391835451</v>
      </c>
      <c r="AH9" s="11" t="n">
        <f aca="false">AH7+AH8</f>
        <v>52.1805404506068</v>
      </c>
      <c r="AI9" s="11" t="n">
        <f aca="false">AI7+AI8</f>
        <v>51.828817762181</v>
      </c>
      <c r="AJ9" s="11" t="n">
        <f aca="false">AJ7+AJ8</f>
        <v>52.4490966240749</v>
      </c>
      <c r="AK9" s="11" t="n">
        <f aca="false">AK7+AK8</f>
        <v>52.1049530907206</v>
      </c>
      <c r="AL9" s="11" t="n">
        <f aca="false">AL7+AL8</f>
        <v>52.6514512471158</v>
      </c>
      <c r="AM9" s="11" t="n">
        <f aca="false">AM7+AM8</f>
        <v>52.9846165065847</v>
      </c>
      <c r="AN9" s="11" t="n">
        <f aca="false">AN7+AN8</f>
        <v>53.5672342650934</v>
      </c>
      <c r="AO9" s="11" t="n">
        <f aca="false">AO7+AO8</f>
        <v>50.6597042674252</v>
      </c>
      <c r="AP9" s="11" t="n">
        <f aca="false">AP7+AP8</f>
        <v>51.3388059528544</v>
      </c>
      <c r="AQ9" s="11" t="n">
        <f aca="false">AQ7+AQ8</f>
        <v>50.9858164161794</v>
      </c>
      <c r="AR9" s="11" t="n">
        <f aca="false">AR7+AR8</f>
        <v>42.9383801241977</v>
      </c>
      <c r="AS9" s="11" t="n">
        <f aca="false">AS7+AS8</f>
        <v>41.8152724350504</v>
      </c>
      <c r="AT9" s="11" t="n">
        <f aca="false">AT7+AT8</f>
        <v>42.2365002861952</v>
      </c>
      <c r="AU9" s="11" t="n">
        <f aca="false">AU7+AU8</f>
        <v>48.2359769265088</v>
      </c>
      <c r="AV9" s="11" t="n">
        <f aca="false">AV7+AV8</f>
        <v>44.7326492101122</v>
      </c>
      <c r="AW9" s="11" t="n">
        <f aca="false">AW7+AW8</f>
        <v>43.776613843306</v>
      </c>
      <c r="AX9" s="11" t="n">
        <f aca="false">AX7+AX8</f>
        <v>44.4354267369936</v>
      </c>
      <c r="AY9" s="11" t="n">
        <f aca="false">AY7+AY8</f>
        <v>44.0254806356794</v>
      </c>
      <c r="AZ9" s="11" t="n">
        <f aca="false">AZ7+AZ8</f>
        <v>44.6600563620943</v>
      </c>
      <c r="BA9" s="11" t="n">
        <f aca="false">BA7+BA8</f>
        <v>44.2728127632001</v>
      </c>
      <c r="BB9" s="11" t="n">
        <f aca="false">BB7+BB8</f>
        <v>44.8093483273826</v>
      </c>
      <c r="BC9" s="11" t="n">
        <f aca="false">BC7+BC8</f>
        <v>46.2402191845607</v>
      </c>
      <c r="BD9" s="11" t="n">
        <f aca="false">BD7+BD8</f>
        <v>43.7577699555498</v>
      </c>
      <c r="BE9" s="11" t="n">
        <f aca="false">BE7+BE8</f>
        <v>36.3323494486259</v>
      </c>
      <c r="BF9" s="11" t="n">
        <f aca="false">BF7+BF8</f>
        <v>37.0180080271656</v>
      </c>
      <c r="BG9" s="11" t="n">
        <f aca="false">BG7+BG8</f>
        <v>36.6020033309645</v>
      </c>
      <c r="BH9" s="11" t="n">
        <f aca="false">BH7+BH8</f>
        <v>37.2619689506319</v>
      </c>
      <c r="BI9" s="11" t="n">
        <f aca="false">BI7+BI8</f>
        <v>36.8645169597715</v>
      </c>
      <c r="BJ9" s="11" t="n">
        <f aca="false">BJ7+BJ8</f>
        <v>37.4663555697208</v>
      </c>
      <c r="BK9" s="11" t="n">
        <f aca="false">BK7+BK8</f>
        <v>44.7157334175965</v>
      </c>
      <c r="BL9" s="11" t="n">
        <f aca="false">BL7+BL8</f>
        <v>40.457487289537</v>
      </c>
      <c r="BM9" s="11" t="n">
        <f aca="false">BM7+BM8</f>
        <v>40.0599103544488</v>
      </c>
      <c r="BN9" s="11" t="n">
        <f aca="false">BN7+BN8</f>
        <v>37.2316943142061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884.305333593165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0</v>
      </c>
      <c r="Q10" s="11" t="n">
        <f aca="false">Debt!Q121+Debt!Q117</f>
        <v>39.5901571901212</v>
      </c>
      <c r="R10" s="11" t="n">
        <f aca="false">Debt!R121+Debt!R117</f>
        <v>40.0955116122781</v>
      </c>
      <c r="S10" s="11" t="n">
        <f aca="false">Debt!S121+Debt!S117</f>
        <v>39.7778387053405</v>
      </c>
      <c r="T10" s="11" t="n">
        <f aca="false">Debt!T121+Debt!T117</f>
        <v>40.2295607160554</v>
      </c>
      <c r="U10" s="11" t="n">
        <f aca="false">Debt!U121+Debt!U117</f>
        <v>40.0312842957064</v>
      </c>
      <c r="V10" s="11" t="n">
        <f aca="false">Debt!V121+Debt!V117</f>
        <v>40.7986666606384</v>
      </c>
      <c r="W10" s="11" t="n">
        <f aca="false">Debt!W121+Debt!W117</f>
        <v>40.5087228524253</v>
      </c>
      <c r="X10" s="11" t="n">
        <f aca="false">Debt!X121+Debt!X117</f>
        <v>39.3469132499841</v>
      </c>
      <c r="Y10" s="11" t="n">
        <f aca="false">Debt!Y121+Debt!Y117</f>
        <v>38.959871050273</v>
      </c>
      <c r="Z10" s="11" t="n">
        <f aca="false">Debt!Z121+Debt!Z117</f>
        <v>39.2853733075215</v>
      </c>
      <c r="AA10" s="11" t="n">
        <f aca="false">Debt!AA121+Debt!AA117</f>
        <v>38.9619967644553</v>
      </c>
      <c r="AB10" s="11" t="n">
        <f aca="false">Debt!AB121+Debt!AB117</f>
        <v>38.9040612496062</v>
      </c>
      <c r="AC10" s="11" t="n">
        <f aca="false">Debt!AC121+Debt!AC117</f>
        <v>38.102279149648</v>
      </c>
      <c r="AD10" s="11" t="n">
        <f aca="false">Debt!AD121+Debt!AD117</f>
        <v>38.9377908182559</v>
      </c>
      <c r="AE10" s="11" t="n">
        <f aca="false">Debt!AE121+Debt!AE117</f>
        <v>38.2616281837401</v>
      </c>
      <c r="AF10" s="11" t="n">
        <f aca="false">Debt!AF121+Debt!AF117</f>
        <v>37.4495067475116</v>
      </c>
      <c r="AG10" s="11" t="n">
        <f aca="false">Debt!AG121+Debt!AG117</f>
        <v>35.9604540674679</v>
      </c>
      <c r="AH10" s="11" t="n">
        <f aca="false">Debt!AH121+Debt!AH117</f>
        <v>35.1023329114203</v>
      </c>
      <c r="AI10" s="11" t="n">
        <f aca="false">Debt!AI121+Debt!AI117</f>
        <v>33.1612569631142</v>
      </c>
      <c r="AJ10" s="11" t="n">
        <f aca="false">Debt!AJ121+Debt!AJ117</f>
        <v>31.4701215967613</v>
      </c>
      <c r="AK10" s="11" t="n">
        <f aca="false">Debt!AK121+Debt!AK117</f>
        <v>28.509962711044</v>
      </c>
      <c r="AL10" s="11" t="n">
        <f aca="false">Debt!AL121+Debt!AL117</f>
        <v>25.2566027924577</v>
      </c>
      <c r="AM10" s="11" t="n">
        <f aca="false">Debt!AM121+Debt!AM117</f>
        <v>25.0990387543341</v>
      </c>
      <c r="AN10" s="11" t="n">
        <f aca="false">Debt!AN121+Debt!AN117</f>
        <v>20.3736881724253</v>
      </c>
      <c r="AO10" s="11" t="n">
        <f aca="false">Debt!AO121+Debt!AO117</f>
        <v>20.1307130705795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0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0</v>
      </c>
      <c r="P13" s="11" t="n">
        <f aca="false">MAX(0,P9-P10)</f>
        <v>1.86721444482732</v>
      </c>
      <c r="Q13" s="11" t="n">
        <f aca="false">MAX(0,Q9-Q10)</f>
        <v>12.4464921806866</v>
      </c>
      <c r="R13" s="11" t="n">
        <f aca="false">MAX(0,R9-R10)</f>
        <v>10.6634533518038</v>
      </c>
      <c r="S13" s="11" t="n">
        <f aca="false">MAX(0,S9-S10)</f>
        <v>10.6454803347772</v>
      </c>
      <c r="T13" s="11" t="n">
        <f aca="false">MAX(0,T9-T10)</f>
        <v>10.7726887983707</v>
      </c>
      <c r="U13" s="11" t="n">
        <f aca="false">MAX(0,U9-U10)</f>
        <v>10.6410282890784</v>
      </c>
      <c r="V13" s="11" t="n">
        <f aca="false">MAX(0,V9-V10)</f>
        <v>10.3706892253798</v>
      </c>
      <c r="W13" s="11" t="n">
        <f aca="false">MAX(0,W9-W10)</f>
        <v>10.8937265384078</v>
      </c>
      <c r="X13" s="11" t="n">
        <f aca="false">MAX(0,X9-X10)</f>
        <v>12.6033835522511</v>
      </c>
      <c r="Y13" s="11" t="n">
        <f aca="false">MAX(0,Y9-Y10)</f>
        <v>10.501123166225</v>
      </c>
      <c r="Z13" s="11" t="n">
        <f aca="false">MAX(0,Z9-Z10)</f>
        <v>10.6864204126199</v>
      </c>
      <c r="AA13" s="11" t="n">
        <f aca="false">MAX(0,AA9-AA10)</f>
        <v>10.4221031395747</v>
      </c>
      <c r="AB13" s="11" t="n">
        <f aca="false">MAX(0,AB9-AB10)</f>
        <v>11.0779584509346</v>
      </c>
      <c r="AC13" s="11" t="n">
        <f aca="false">MAX(0,AC9-AC10)</f>
        <v>11.5420875934638</v>
      </c>
      <c r="AD13" s="11" t="n">
        <f aca="false">MAX(0,AD9-AD10)</f>
        <v>11.2637671614714</v>
      </c>
      <c r="AE13" s="11" t="n">
        <f aca="false">MAX(0,AE9-AE10)</f>
        <v>13.1136180024874</v>
      </c>
      <c r="AF13" s="11" t="n">
        <f aca="false">MAX(0,AF9-AF10)</f>
        <v>14.933671068444</v>
      </c>
      <c r="AG13" s="11" t="n">
        <f aca="false">MAX(0,AG9-AG10)</f>
        <v>15.5667851160773</v>
      </c>
      <c r="AH13" s="11" t="n">
        <f aca="false">MAX(0,AH9-AH10)</f>
        <v>17.0782075391865</v>
      </c>
      <c r="AI13" s="11" t="n">
        <f aca="false">MAX(0,AI9-AI10)</f>
        <v>18.6675607990668</v>
      </c>
      <c r="AJ13" s="11" t="n">
        <f aca="false">MAX(0,AJ9-AJ10)</f>
        <v>20.9789750273135</v>
      </c>
      <c r="AK13" s="11" t="n">
        <f aca="false">MAX(0,AK9-AK10)</f>
        <v>23.5949903796766</v>
      </c>
      <c r="AL13" s="11" t="n">
        <f aca="false">MAX(0,AL9-AL10)</f>
        <v>27.3948484546581</v>
      </c>
      <c r="AM13" s="11" t="n">
        <f aca="false">MAX(0,AM9-AM10)</f>
        <v>27.8855777522506</v>
      </c>
      <c r="AN13" s="11" t="n">
        <f aca="false">MAX(0,AN9-AN10)</f>
        <v>33.1935460926681</v>
      </c>
      <c r="AO13" s="11" t="n">
        <f aca="false">MAX(0,AO9-AO10)</f>
        <v>30.5289911968457</v>
      </c>
      <c r="AP13" s="11" t="n">
        <f aca="false">MAX(0,AP9-AP10)</f>
        <v>51.3388059528544</v>
      </c>
      <c r="AQ13" s="11" t="n">
        <f aca="false">MAX(0,AQ9-AQ10)</f>
        <v>50.9858164161794</v>
      </c>
      <c r="AR13" s="11" t="n">
        <f aca="false">MAX(0,AR9-AR10)</f>
        <v>42.9383801241977</v>
      </c>
      <c r="AS13" s="11" t="n">
        <f aca="false">MAX(0,AS9-AS10)</f>
        <v>41.8152724350504</v>
      </c>
      <c r="AT13" s="11" t="n">
        <f aca="false">MAX(0,AT9-AT10)</f>
        <v>42.2365002861952</v>
      </c>
      <c r="AU13" s="11" t="n">
        <f aca="false">MAX(0,AU9-AU10)</f>
        <v>48.2359769265088</v>
      </c>
      <c r="AV13" s="11" t="n">
        <f aca="false">MAX(0,AV9-AV10)</f>
        <v>44.7326492101122</v>
      </c>
      <c r="AW13" s="11" t="n">
        <f aca="false">MAX(0,AW9-AW10)</f>
        <v>43.776613843306</v>
      </c>
      <c r="AX13" s="11" t="n">
        <f aca="false">MAX(0,AX9-AX10)</f>
        <v>44.4354267369936</v>
      </c>
      <c r="AY13" s="11" t="n">
        <f aca="false">MAX(0,AY9-AY10)</f>
        <v>44.0254806356794</v>
      </c>
      <c r="AZ13" s="11" t="n">
        <f aca="false">MAX(0,AZ9-AZ10)</f>
        <v>44.6600563620943</v>
      </c>
      <c r="BA13" s="11" t="n">
        <f aca="false">MAX(0,BA9-BA10)</f>
        <v>44.2728127632001</v>
      </c>
      <c r="BB13" s="11" t="n">
        <f aca="false">MAX(0,BB9-BB10)</f>
        <v>44.8093483273826</v>
      </c>
      <c r="BC13" s="11" t="n">
        <f aca="false">MAX(0,BC9-BC10)</f>
        <v>46.2402191845607</v>
      </c>
      <c r="BD13" s="11" t="n">
        <f aca="false">MAX(0,BD9-BD10)</f>
        <v>43.7577699555498</v>
      </c>
      <c r="BE13" s="11" t="n">
        <f aca="false">MAX(0,BE9-BE10)</f>
        <v>36.3323494486259</v>
      </c>
      <c r="BF13" s="11" t="n">
        <f aca="false">MAX(0,BF9-BF10)</f>
        <v>37.0180080271656</v>
      </c>
      <c r="BG13" s="11" t="n">
        <f aca="false">MAX(0,BG9-BG10)</f>
        <v>36.6020033309645</v>
      </c>
      <c r="BH13" s="11" t="n">
        <f aca="false">MAX(0,BH9-BH10)</f>
        <v>37.2619689506319</v>
      </c>
      <c r="BI13" s="11" t="n">
        <f aca="false">MAX(0,BI9-BI10)</f>
        <v>36.8645169597715</v>
      </c>
      <c r="BJ13" s="11" t="n">
        <f aca="false">MAX(0,BJ9-BJ10)</f>
        <v>37.4663555697208</v>
      </c>
      <c r="BK13" s="11" t="n">
        <f aca="false">MAX(0,BK9-BK10)</f>
        <v>44.7157334175965</v>
      </c>
      <c r="BL13" s="11" t="n">
        <f aca="false">MAX(0,BL9-BL10)</f>
        <v>40.457487289537</v>
      </c>
      <c r="BM13" s="11" t="n">
        <f aca="false">MAX(0,BM9-BM10)</f>
        <v>40.0599103544488</v>
      </c>
      <c r="BN13" s="11" t="n">
        <f aca="false">MAX(0,BN9-BN10)</f>
        <v>37.2316943142061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0</v>
      </c>
      <c r="P14" s="11" t="n">
        <f aca="false">P13-Reserves!P11+Reserves!P12</f>
        <v>1.86721444482732</v>
      </c>
      <c r="Q14" s="11" t="n">
        <f aca="false">Q13-Reserves!Q11+Reserves!Q12</f>
        <v>11.9411377585296</v>
      </c>
      <c r="R14" s="11" t="n">
        <f aca="false">R13-Reserves!R11+Reserves!R12</f>
        <v>10.9811262587414</v>
      </c>
      <c r="S14" s="11" t="n">
        <f aca="false">S13-Reserves!S11+Reserves!S12</f>
        <v>10.1937583240623</v>
      </c>
      <c r="T14" s="11" t="n">
        <f aca="false">T13-Reserves!T11+Reserves!T12</f>
        <v>10.9709652187198</v>
      </c>
      <c r="U14" s="11" t="n">
        <f aca="false">U13-Reserves!U11+Reserves!U12</f>
        <v>9.87364592414637</v>
      </c>
      <c r="V14" s="11" t="n">
        <f aca="false">V13-Reserves!V11+Reserves!V12</f>
        <v>10.6606330335929</v>
      </c>
      <c r="W14" s="11" t="n">
        <f aca="false">W13-Reserves!W11+Reserves!W12</f>
        <v>12.055536140849</v>
      </c>
      <c r="X14" s="11" t="n">
        <f aca="false">X13-Reserves!X11+Reserves!X12</f>
        <v>12.9904257519621</v>
      </c>
      <c r="Y14" s="11" t="n">
        <f aca="false">Y13-Reserves!Y11+Reserves!Y12</f>
        <v>10.1756209089765</v>
      </c>
      <c r="Z14" s="11" t="n">
        <f aca="false">Z13-Reserves!Z11+Reserves!Z12</f>
        <v>11.0097969556862</v>
      </c>
      <c r="AA14" s="11" t="n">
        <f aca="false">AA13-Reserves!AA11+Reserves!AA12</f>
        <v>9.95937463882187</v>
      </c>
      <c r="AB14" s="11" t="n">
        <f aca="false">AB13-Reserves!AB11+Reserves!AB12</f>
        <v>11.7582181420375</v>
      </c>
      <c r="AC14" s="11" t="n">
        <f aca="false">AC13-Reserves!AC11+Reserves!AC12</f>
        <v>10.7082500489996</v>
      </c>
      <c r="AD14" s="11" t="n">
        <f aca="false">AD13-Reserves!AD11+Reserves!AD12</f>
        <v>11.8267719755945</v>
      </c>
      <c r="AE14" s="11" t="n">
        <f aca="false">AE13-Reserves!AE11+Reserves!AE12</f>
        <v>13.7313988915543</v>
      </c>
      <c r="AF14" s="11" t="n">
        <f aca="false">AF13-Reserves!AF11+Reserves!AF12</f>
        <v>16.1543504823205</v>
      </c>
      <c r="AG14" s="11" t="n">
        <f aca="false">AG13-Reserves!AG11+Reserves!AG12</f>
        <v>16.2742901184063</v>
      </c>
      <c r="AH14" s="11" t="n">
        <f aca="false">AH13-Reserves!AH11+Reserves!AH12</f>
        <v>18.6495100111663</v>
      </c>
      <c r="AI14" s="11" t="n">
        <f aca="false">AI13-Reserves!AI11+Reserves!AI12</f>
        <v>19.943694283762</v>
      </c>
      <c r="AJ14" s="11" t="n">
        <f aca="false">AJ13-Reserves!AJ11+Reserves!AJ12</f>
        <v>23.1539617566554</v>
      </c>
      <c r="AK14" s="11" t="n">
        <f aca="false">AK13-Reserves!AK11+Reserves!AK12</f>
        <v>25.7694856170116</v>
      </c>
      <c r="AL14" s="11" t="n">
        <f aca="false">AL13-Reserves!AL11+Reserves!AL12</f>
        <v>31.568224776146</v>
      </c>
      <c r="AM14" s="11" t="n">
        <f aca="false">AM13-Reserves!AM11+Reserves!AM12</f>
        <v>32.6109283341595</v>
      </c>
      <c r="AN14" s="11" t="n">
        <f aca="false">AN13-Reserves!AN11+Reserves!AN12</f>
        <v>33.4365211945138</v>
      </c>
      <c r="AO14" s="11" t="n">
        <f aca="false">AO13-Reserves!AO11+Reserves!AO12</f>
        <v>50.6597042674252</v>
      </c>
      <c r="AP14" s="11" t="n">
        <f aca="false">AP13-Reserves!AP11+Reserves!AP12</f>
        <v>51.3388059528544</v>
      </c>
      <c r="AQ14" s="11" t="n">
        <f aca="false">AQ13-Reserves!AQ11+Reserves!AQ12</f>
        <v>50.9858164161794</v>
      </c>
      <c r="AR14" s="11" t="n">
        <f aca="false">AR13-Reserves!AR11+Reserves!AR12</f>
        <v>42.9383801241977</v>
      </c>
      <c r="AS14" s="11" t="n">
        <f aca="false">AS13-Reserves!AS11+Reserves!AS12</f>
        <v>41.8152724350504</v>
      </c>
      <c r="AT14" s="11" t="n">
        <f aca="false">AT13-Reserves!AT11+Reserves!AT12</f>
        <v>42.2365002861952</v>
      </c>
      <c r="AU14" s="11" t="n">
        <f aca="false">AU13-Reserves!AU11+Reserves!AU12</f>
        <v>48.2359769265088</v>
      </c>
      <c r="AV14" s="11" t="n">
        <f aca="false">AV13-Reserves!AV11+Reserves!AV12</f>
        <v>44.7326492101122</v>
      </c>
      <c r="AW14" s="11" t="n">
        <f aca="false">AW13-Reserves!AW11+Reserves!AW12</f>
        <v>43.776613843306</v>
      </c>
      <c r="AX14" s="11" t="n">
        <f aca="false">AX13-Reserves!AX11+Reserves!AX12</f>
        <v>44.4354267369936</v>
      </c>
      <c r="AY14" s="11" t="n">
        <f aca="false">AY13-Reserves!AY11+Reserves!AY12</f>
        <v>44.0254806356794</v>
      </c>
      <c r="AZ14" s="11" t="n">
        <f aca="false">AZ13-Reserves!AZ11+Reserves!AZ12</f>
        <v>44.6600563620943</v>
      </c>
      <c r="BA14" s="11" t="n">
        <f aca="false">BA13-Reserves!BA11+Reserves!BA12</f>
        <v>44.2728127632001</v>
      </c>
      <c r="BB14" s="11" t="n">
        <f aca="false">BB13-Reserves!BB11+Reserves!BB12</f>
        <v>44.8093483273826</v>
      </c>
      <c r="BC14" s="11" t="n">
        <f aca="false">BC13-Reserves!BC11+Reserves!BC12</f>
        <v>46.2402191845607</v>
      </c>
      <c r="BD14" s="11" t="n">
        <f aca="false">BD13-Reserves!BD11+Reserves!BD12</f>
        <v>43.7577699555498</v>
      </c>
      <c r="BE14" s="11" t="n">
        <f aca="false">BE13-Reserves!BE11+Reserves!BE12</f>
        <v>36.3323494486259</v>
      </c>
      <c r="BF14" s="11" t="n">
        <f aca="false">BF13-Reserves!BF11+Reserves!BF12</f>
        <v>37.0180080271656</v>
      </c>
      <c r="BG14" s="11" t="n">
        <f aca="false">BG13-Reserves!BG11+Reserves!BG12</f>
        <v>36.6020033309645</v>
      </c>
      <c r="BH14" s="11" t="n">
        <f aca="false">BH13-Reserves!BH11+Reserves!BH12</f>
        <v>37.2619689506319</v>
      </c>
      <c r="BI14" s="11" t="n">
        <f aca="false">BI13-Reserves!BI11+Reserves!BI12</f>
        <v>36.8645169597715</v>
      </c>
      <c r="BJ14" s="11" t="n">
        <f aca="false">BJ13-Reserves!BJ11+Reserves!BJ12</f>
        <v>37.4663555697208</v>
      </c>
      <c r="BK14" s="11" t="n">
        <f aca="false">BK13-Reserves!BK11+Reserves!BK12</f>
        <v>44.7157334175965</v>
      </c>
      <c r="BL14" s="11" t="n">
        <f aca="false">BL13-Reserves!BL11+Reserves!BL12</f>
        <v>40.457487289537</v>
      </c>
      <c r="BM14" s="11" t="n">
        <f aca="false">BM13-Reserves!BM11+Reserves!BM12</f>
        <v>40.0599103544488</v>
      </c>
      <c r="BN14" s="11" t="n">
        <f aca="false">BN13-Reserves!BN11+Reserves!BN12</f>
        <v>37.2316943142061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0</v>
      </c>
      <c r="P15" s="11" t="n">
        <f aca="false">P14-Reserves!P14+Reserves!P15</f>
        <v>1.86721444482732</v>
      </c>
      <c r="Q15" s="11" t="n">
        <f aca="false">Q14-Reserves!Q14+Reserves!Q15</f>
        <v>11.9411377585296</v>
      </c>
      <c r="R15" s="11" t="n">
        <f aca="false">R14-Reserves!R14+Reserves!R15</f>
        <v>10.9811262587414</v>
      </c>
      <c r="S15" s="11" t="n">
        <f aca="false">S14-Reserves!S14+Reserves!S15</f>
        <v>10.1937583240623</v>
      </c>
      <c r="T15" s="11" t="n">
        <f aca="false">T14-Reserves!T14+Reserves!T15</f>
        <v>10.9709652187198</v>
      </c>
      <c r="U15" s="11" t="n">
        <f aca="false">U14-Reserves!U14+Reserves!U15</f>
        <v>9.87364592414637</v>
      </c>
      <c r="V15" s="11" t="n">
        <f aca="false">V14-Reserves!V14+Reserves!V15</f>
        <v>10.6606330335929</v>
      </c>
      <c r="W15" s="11" t="n">
        <f aca="false">W14-Reserves!W14+Reserves!W15</f>
        <v>12.055536140849</v>
      </c>
      <c r="X15" s="11" t="n">
        <f aca="false">X14-Reserves!X14+Reserves!X15</f>
        <v>12.9904257519621</v>
      </c>
      <c r="Y15" s="11" t="n">
        <f aca="false">Y14-Reserves!Y14+Reserves!Y15</f>
        <v>10.1756209089765</v>
      </c>
      <c r="Z15" s="11" t="n">
        <f aca="false">Z14-Reserves!Z14+Reserves!Z15</f>
        <v>11.0097969556862</v>
      </c>
      <c r="AA15" s="11" t="n">
        <f aca="false">AA14-Reserves!AA14+Reserves!AA15</f>
        <v>9.95937463882187</v>
      </c>
      <c r="AB15" s="11" t="n">
        <f aca="false">AB14-Reserves!AB14+Reserves!AB15</f>
        <v>11.7582181420375</v>
      </c>
      <c r="AC15" s="11" t="n">
        <f aca="false">AC14-Reserves!AC14+Reserves!AC15</f>
        <v>10.7082500489996</v>
      </c>
      <c r="AD15" s="11" t="n">
        <f aca="false">AD14-Reserves!AD14+Reserves!AD15</f>
        <v>11.8267719755945</v>
      </c>
      <c r="AE15" s="11" t="n">
        <f aca="false">AE14-Reserves!AE14+Reserves!AE15</f>
        <v>13.7313988915543</v>
      </c>
      <c r="AF15" s="11" t="n">
        <f aca="false">AF14-Reserves!AF14+Reserves!AF15</f>
        <v>16.1543504823205</v>
      </c>
      <c r="AG15" s="11" t="n">
        <f aca="false">AG14-Reserves!AG14+Reserves!AG15</f>
        <v>16.2742901184063</v>
      </c>
      <c r="AH15" s="11" t="n">
        <f aca="false">AH14-Reserves!AH14+Reserves!AH15</f>
        <v>18.6495100111663</v>
      </c>
      <c r="AI15" s="11" t="n">
        <f aca="false">AI14-Reserves!AI14+Reserves!AI15</f>
        <v>19.943694283762</v>
      </c>
      <c r="AJ15" s="11" t="n">
        <f aca="false">AJ14-Reserves!AJ14+Reserves!AJ15</f>
        <v>23.1539617566554</v>
      </c>
      <c r="AK15" s="11" t="n">
        <f aca="false">AK14-Reserves!AK14+Reserves!AK15</f>
        <v>25.7694856170116</v>
      </c>
      <c r="AL15" s="11" t="n">
        <f aca="false">AL14-Reserves!AL14+Reserves!AL15</f>
        <v>31.568224776146</v>
      </c>
      <c r="AM15" s="11" t="n">
        <f aca="false">AM14-Reserves!AM14+Reserves!AM15</f>
        <v>32.6109283341595</v>
      </c>
      <c r="AN15" s="11" t="n">
        <f aca="false">AN14-Reserves!AN14+Reserves!AN15</f>
        <v>33.4365211945138</v>
      </c>
      <c r="AO15" s="11" t="n">
        <f aca="false">AO14-Reserves!AO14+Reserves!AO15</f>
        <v>50.6597042674252</v>
      </c>
      <c r="AP15" s="11" t="n">
        <f aca="false">AP14-Reserves!AP14+Reserves!AP15</f>
        <v>51.3388059528544</v>
      </c>
      <c r="AQ15" s="11" t="n">
        <f aca="false">AQ14-Reserves!AQ14+Reserves!AQ15</f>
        <v>50.9858164161794</v>
      </c>
      <c r="AR15" s="11" t="n">
        <f aca="false">AR14-Reserves!AR14+Reserves!AR15</f>
        <v>42.9383801241977</v>
      </c>
      <c r="AS15" s="11" t="n">
        <f aca="false">AS14-Reserves!AS14+Reserves!AS15</f>
        <v>41.8152724350504</v>
      </c>
      <c r="AT15" s="11" t="n">
        <f aca="false">AT14-Reserves!AT14+Reserves!AT15</f>
        <v>42.2365002861952</v>
      </c>
      <c r="AU15" s="11" t="n">
        <f aca="false">AU14-Reserves!AU14+Reserves!AU15</f>
        <v>48.2359769265088</v>
      </c>
      <c r="AV15" s="11" t="n">
        <f aca="false">AV14-Reserves!AV14+Reserves!AV15</f>
        <v>44.7326492101122</v>
      </c>
      <c r="AW15" s="11" t="n">
        <f aca="false">AW14-Reserves!AW14+Reserves!AW15</f>
        <v>43.776613843306</v>
      </c>
      <c r="AX15" s="11" t="n">
        <f aca="false">AX14-Reserves!AX14+Reserves!AX15</f>
        <v>44.4354267369936</v>
      </c>
      <c r="AY15" s="11" t="n">
        <f aca="false">AY14-Reserves!AY14+Reserves!AY15</f>
        <v>44.0254806356794</v>
      </c>
      <c r="AZ15" s="11" t="n">
        <f aca="false">AZ14-Reserves!AZ14+Reserves!AZ15</f>
        <v>44.6600563620943</v>
      </c>
      <c r="BA15" s="11" t="n">
        <f aca="false">BA14-Reserves!BA14+Reserves!BA15</f>
        <v>44.2728127632001</v>
      </c>
      <c r="BB15" s="11" t="n">
        <f aca="false">BB14-Reserves!BB14+Reserves!BB15</f>
        <v>44.3089649091678</v>
      </c>
      <c r="BC15" s="11" t="n">
        <f aca="false">BC14-Reserves!BC14+Reserves!BC15</f>
        <v>44.7226461112184</v>
      </c>
      <c r="BD15" s="11" t="n">
        <f aca="false">BD14-Reserves!BD14+Reserves!BD15</f>
        <v>42.2235943953032</v>
      </c>
      <c r="BE15" s="11" t="n">
        <f aca="false">BE14-Reserves!BE14+Reserves!BE15</f>
        <v>34.7813897676701</v>
      </c>
      <c r="BF15" s="11" t="n">
        <f aca="false">BF14-Reserves!BF14+Reserves!BF15</f>
        <v>35.4500806045936</v>
      </c>
      <c r="BG15" s="11" t="n">
        <f aca="false">BG14-Reserves!BG14+Reserves!BG15</f>
        <v>35.0169225370277</v>
      </c>
      <c r="BH15" s="11" t="n">
        <f aca="false">BH14-Reserves!BH14+Reserves!BH15</f>
        <v>35.6595471247633</v>
      </c>
      <c r="BI15" s="11" t="n">
        <f aca="false">BI14-Reserves!BI14+Reserves!BI15</f>
        <v>35.2445643883681</v>
      </c>
      <c r="BJ15" s="11" t="n">
        <f aca="false">BJ14-Reserves!BJ14+Reserves!BJ15</f>
        <v>35.8286804636831</v>
      </c>
      <c r="BK15" s="11" t="n">
        <f aca="false">BK14-Reserves!BK14+Reserves!BK15</f>
        <v>43.0601418896222</v>
      </c>
      <c r="BL15" s="11" t="n">
        <f aca="false">BL14-Reserves!BL14+Reserves!BL15</f>
        <v>38.7837833311665</v>
      </c>
      <c r="BM15" s="11" t="n">
        <f aca="false">BM14-Reserves!BM14+Reserves!BM15</f>
        <v>38.3678958128591</v>
      </c>
      <c r="BN15" s="11" t="n">
        <f aca="false">BN14-Reserves!BN14+Reserves!BN15</f>
        <v>55.3691537947186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0</v>
      </c>
      <c r="Q17" s="6" t="n">
        <f aca="false">IF(Debt!Q121&gt;0.000000001,Q7/Debt!Q121,0)</f>
        <v>1.26721989723494</v>
      </c>
      <c r="R17" s="6" t="n">
        <f aca="false">IF(Debt!R121&gt;0.000000001,R7/Debt!R121,0)</f>
        <v>1.26595129786393</v>
      </c>
      <c r="S17" s="6" t="n">
        <f aca="false">IF(Debt!S121&gt;0.000000001,S7/Debt!S121,0)</f>
        <v>1.26762339738051</v>
      </c>
      <c r="T17" s="6" t="n">
        <f aca="false">IF(Debt!T121&gt;0.000000001,T7/Debt!T121,0)</f>
        <v>1.26778042331622</v>
      </c>
      <c r="U17" s="6" t="n">
        <f aca="false">IF(Debt!U121&gt;0.000000001,U7/Debt!U121,0)</f>
        <v>1.26581780915332</v>
      </c>
      <c r="V17" s="6" t="n">
        <f aca="false">IF(Debt!V121&gt;0.000000001,V7/Debt!V121,0)</f>
        <v>1.25419186640688</v>
      </c>
      <c r="W17" s="6" t="n">
        <f aca="false">IF(Debt!W121&gt;0.000000001,W7/Debt!W121,0)</f>
        <v>1.26892298180059</v>
      </c>
      <c r="X17" s="6" t="n">
        <f aca="false">IF(Debt!X121&gt;0.000000001,X7/Debt!X121,0)</f>
        <v>1.32031441633496</v>
      </c>
      <c r="Y17" s="6" t="n">
        <f aca="false">IF(Debt!Y121&gt;0.000000001,Y7/Debt!Y121,0)</f>
        <v>1.26953690767289</v>
      </c>
      <c r="Z17" s="6" t="n">
        <f aca="false">IF(Debt!Z121&gt;0.000000001,Z7/Debt!Z121,0)</f>
        <v>1.27202033512493</v>
      </c>
      <c r="AA17" s="6" t="n">
        <f aca="false">IF(Debt!AA121&gt;0.000000001,AA7/Debt!AA121,0)</f>
        <v>1.26749407127621</v>
      </c>
      <c r="AB17" s="6" t="n">
        <f aca="false">IF(Debt!AB121&gt;0.000000001,AB7/Debt!AB121,0)</f>
        <v>1.2847506942748</v>
      </c>
      <c r="AC17" s="6" t="n">
        <f aca="false">IF(Debt!AC121&gt;0.000000001,AC7/Debt!AC121,0)</f>
        <v>1.30292381062382</v>
      </c>
      <c r="AD17" s="6" t="n">
        <f aca="false">IF(Debt!AD121&gt;0.000000001,AD7/Debt!AD121,0)</f>
        <v>1.28927596878944</v>
      </c>
      <c r="AE17" s="6" t="n">
        <f aca="false">IF(Debt!AE121&gt;0.000000001,AE7/Debt!AE121,0)</f>
        <v>1.34273549310325</v>
      </c>
      <c r="AF17" s="6" t="n">
        <f aca="false">IF(Debt!AF121&gt;0.000000001,AF7/Debt!AF121,0)</f>
        <v>1.39876816453494</v>
      </c>
      <c r="AG17" s="6" t="n">
        <f aca="false">IF(Debt!AG121&gt;0.000000001,AG7/Debt!AG121,0)</f>
        <v>1.43288622237281</v>
      </c>
      <c r="AH17" s="6" t="n">
        <f aca="false">IF(Debt!AH121&gt;0.000000001,AH7/Debt!AH121,0)</f>
        <v>1.48652628252039</v>
      </c>
      <c r="AI17" s="6" t="n">
        <f aca="false">IF(Debt!AI121&gt;0.000000001,AI7/Debt!AI121,0)</f>
        <v>1.56293284720272</v>
      </c>
      <c r="AJ17" s="6" t="n">
        <f aca="false">IF(Debt!AJ121&gt;0.000000001,AJ7/Debt!AJ121,0)</f>
        <v>1.66663152103844</v>
      </c>
      <c r="AK17" s="6" t="n">
        <f aca="false">IF(Debt!AK121&gt;0.000000001,AK7/Debt!AK121,0)</f>
        <v>1.8276050943601</v>
      </c>
      <c r="AL17" s="6" t="n">
        <f aca="false">IF(Debt!AL121&gt;0.000000001,AL7/Debt!AL121,0)</f>
        <v>2.08466085798518</v>
      </c>
      <c r="AM17" s="6" t="n">
        <f aca="false">IF(Debt!AM121&gt;0.000000001,AM7/Debt!AM121,0)</f>
        <v>2.11102174171652</v>
      </c>
      <c r="AN17" s="6" t="n">
        <f aca="false">IF(Debt!AN121&gt;0.000000001,AN7/Debt!AN121,0)</f>
        <v>2.62923599358872</v>
      </c>
      <c r="AO17" s="6" t="n">
        <f aca="false">IF(Debt!AO121&gt;0.000000001,AO7/Debt!AO121,0)</f>
        <v>2.51653799295679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0</v>
      </c>
      <c r="Q18" s="6" t="n">
        <f aca="false">IF(Debt!Q121&gt;0.000000001,IF(Debt!P121&gt;0.000000001,(Q7+P7)/(Debt!Q121+Debt!P121),Q17),0)</f>
        <v>1.26721989723494</v>
      </c>
      <c r="R18" s="6" t="n">
        <f aca="false">IF(Debt!R121&gt;0.000000001,IF(Debt!Q121&gt;0.000000001,(R7+Q7)/(Debt!R121+Debt!Q121),R17),0)</f>
        <v>1.26658157491706</v>
      </c>
      <c r="S18" s="6" t="n">
        <f aca="false">IF(Debt!S121&gt;0.000000001,IF(Debt!R121&gt;0.000000001,(S7+R7)/(Debt!S121+Debt!R121),S17),0)</f>
        <v>1.26678402247865</v>
      </c>
      <c r="T18" s="6" t="n">
        <f aca="false">IF(Debt!T121&gt;0.000000001,IF(Debt!S121&gt;0.000000001,(T7+S7)/(Debt!T121+Debt!S121),T17),0)</f>
        <v>1.26770235363281</v>
      </c>
      <c r="U18" s="6" t="n">
        <f aca="false">IF(Debt!U121&gt;0.000000001,IF(Debt!T121&gt;0.000000001,(U7+T7)/(Debt!U121+Debt!T121),U17),0)</f>
        <v>1.26680154045614</v>
      </c>
      <c r="V18" s="6" t="n">
        <f aca="false">IF(Debt!V121&gt;0.000000001,IF(Debt!U121&gt;0.000000001,(V7+U7)/(Debt!V121+Debt!U121),V17),0)</f>
        <v>1.25994965066608</v>
      </c>
      <c r="W18" s="6" t="n">
        <f aca="false">IF(Debt!W121&gt;0.000000001,IF(Debt!V121&gt;0.000000001,(W7+V7)/(Debt!W121+Debt!V121),W17),0)</f>
        <v>1.26153115837486</v>
      </c>
      <c r="X18" s="6" t="n">
        <f aca="false">IF(Debt!X121&gt;0.000000001,IF(Debt!W121&gt;0.000000001,(X7+W7)/(Debt!X121+Debt!W121),X17),0)</f>
        <v>1.29424485531022</v>
      </c>
      <c r="Y18" s="6" t="n">
        <f aca="false">IF(Debt!Y121&gt;0.000000001,IF(Debt!X121&gt;0.000000001,(Y7+X7)/(Debt!Y121+Debt!X121),Y17),0)</f>
        <v>1.29505114946216</v>
      </c>
      <c r="Z18" s="6" t="n">
        <f aca="false">IF(Debt!Z121&gt;0.000000001,IF(Debt!Y121&gt;0.000000001,(Z7+Y7)/(Debt!Z121+Debt!Y121),Z17),0)</f>
        <v>1.27078378696039</v>
      </c>
      <c r="AA18" s="6" t="n">
        <f aca="false">IF(Debt!AA121&gt;0.000000001,IF(Debt!Z121&gt;0.000000001,(AA7+Z7)/(Debt!AA121+Debt!Z121),AA17),0)</f>
        <v>1.26976655615106</v>
      </c>
      <c r="AB18" s="6" t="n">
        <f aca="false">IF(Debt!AB121&gt;0.000000001,IF(Debt!AA121&gt;0.000000001,(AB7+AA7)/(Debt!AB121+Debt!AA121),AB17),0)</f>
        <v>1.27611596296074</v>
      </c>
      <c r="AC18" s="6" t="n">
        <f aca="false">IF(Debt!AC121&gt;0.000000001,IF(Debt!AB121&gt;0.000000001,(AC7+AB7)/(Debt!AC121+Debt!AB121),AC17),0)</f>
        <v>1.2937426441397</v>
      </c>
      <c r="AD18" s="6" t="n">
        <f aca="false">IF(Debt!AD121&gt;0.000000001,IF(Debt!AC121&gt;0.000000001,(AD7+AC7)/(Debt!AD121+Debt!AC121),AD17),0)</f>
        <v>1.29602588321164</v>
      </c>
      <c r="AE18" s="6" t="n">
        <f aca="false">IF(Debt!AE121&gt;0.000000001,IF(Debt!AD121&gt;0.000000001,(AE7+AD7)/(Debt!AE121+Debt!AD121),AE17),0)</f>
        <v>1.31577161433467</v>
      </c>
      <c r="AF18" s="6" t="n">
        <f aca="false">IF(Debt!AF121&gt;0.000000001,IF(Debt!AE121&gt;0.000000001,(AF7+AE7)/(Debt!AF121+Debt!AE121),AF17),0)</f>
        <v>1.37045130939325</v>
      </c>
      <c r="AG18" s="6" t="n">
        <f aca="false">IF(Debt!AG121&gt;0.000000001,IF(Debt!AF121&gt;0.000000001,(AG7+AF7)/(Debt!AG121+Debt!AF121),AG17),0)</f>
        <v>1.41548116694128</v>
      </c>
      <c r="AH18" s="6" t="n">
        <f aca="false">IF(Debt!AH121&gt;0.000000001,IF(Debt!AG121&gt;0.000000001,(AH7+AG7)/(Debt!AH121+Debt!AG121),AH17),0)</f>
        <v>1.45938238624053</v>
      </c>
      <c r="AI18" s="6" t="n">
        <f aca="false">IF(Debt!AI121&gt;0.000000001,IF(Debt!AH121&gt;0.000000001,(AI7+AH7)/(Debt!AI121+Debt!AH121),AI17),0)</f>
        <v>1.52364325409713</v>
      </c>
      <c r="AJ18" s="6" t="n">
        <f aca="false">IF(Debt!AJ121&gt;0.000000001,IF(Debt!AI121&gt;0.000000001,(AJ7+AI7)/(Debt!AJ121+Debt!AI121),AJ17),0)</f>
        <v>1.61342550181954</v>
      </c>
      <c r="AK18" s="6" t="n">
        <f aca="false">IF(Debt!AK121&gt;0.000000001,IF(Debt!AJ121&gt;0.000000001,(AK7+AJ7)/(Debt!AK121+Debt!AJ121),AK17),0)</f>
        <v>1.74314609459776</v>
      </c>
      <c r="AL18" s="6" t="n">
        <f aca="false">IF(Debt!AL121&gt;0.000000001,IF(Debt!AK121&gt;0.000000001,(AL7+AK7)/(Debt!AL121+Debt!AK121),AL17),0)</f>
        <v>1.948355885425</v>
      </c>
      <c r="AM18" s="6" t="n">
        <f aca="false">IF(Debt!AM121&gt;0.000000001,IF(Debt!AL121&gt;0.000000001,(AM7+AL7)/(Debt!AM121+Debt!AL121),AM17),0)</f>
        <v>2.0978000579248</v>
      </c>
      <c r="AN18" s="6" t="n">
        <f aca="false">IF(Debt!AN121&gt;0.000000001,IF(Debt!AM121&gt;0.000000001,(AN7+AM7)/(Debt!AN121+Debt!AM121),AN17),0)</f>
        <v>2.34320345343036</v>
      </c>
      <c r="AO18" s="6" t="n">
        <f aca="false">IF(Debt!AO121&gt;0.000000001,IF(Debt!AN121&gt;0.000000001,(AO7+AN7)/(Debt!AO121+Debt!AN121),AO17),0)</f>
        <v>2.5732250158992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0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0</v>
      </c>
      <c r="R20" s="9" t="n">
        <f aca="false">IF(AND(Debt!R121&gt;0.000000001,R18&lt;Inputs!$F$107),1,0)</f>
        <v>0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0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1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0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88.5943335226939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4.97968731941094</v>
      </c>
      <c r="AB29" s="11" t="n">
        <f aca="false">IF(AND(AB24=1,Time!AB21&gt;=2027,Inputs!$F$51=1),MIN(Inputs!$F$109*AB15,Debt!AB81),0)</f>
        <v>5.87910907101877</v>
      </c>
      <c r="AC29" s="11" t="n">
        <f aca="false">IF(AND(AC24=1,Time!AC21&gt;=2027,Inputs!$F$51=1),MIN(Inputs!$F$109*AC15,Debt!AC81),0)</f>
        <v>5.3541250244998</v>
      </c>
      <c r="AD29" s="11" t="n">
        <f aca="false">IF(AND(AD24=1,Time!AD21&gt;=2027,Inputs!$F$51=1),MIN(Inputs!$F$109*AD15,Debt!AD81),0)</f>
        <v>5.91338598779726</v>
      </c>
      <c r="AE29" s="11" t="n">
        <f aca="false">IF(AND(AE24=1,Time!AE21&gt;=2027,Inputs!$F$51=1),MIN(Inputs!$F$109*AE15,Debt!AE81),0)</f>
        <v>6.86569944577716</v>
      </c>
      <c r="AF29" s="11" t="n">
        <f aca="false">IF(AND(AF24=1,Time!AF21&gt;=2027,Inputs!$F$51=1),MIN(Inputs!$F$109*AF15,Debt!AF81),0)</f>
        <v>8.07717524116026</v>
      </c>
      <c r="AG29" s="11" t="n">
        <f aca="false">IF(AND(AG24=1,Time!AG21&gt;=2027,Inputs!$F$51=1),MIN(Inputs!$F$109*AG15,Debt!AG81),0)</f>
        <v>8.13714505920316</v>
      </c>
      <c r="AH29" s="11" t="n">
        <f aca="false">IF(AND(AH24=1,Time!AH21&gt;=2027,Inputs!$F$51=1),MIN(Inputs!$F$109*AH15,Debt!AH81),0)</f>
        <v>9.32475500558314</v>
      </c>
      <c r="AI29" s="11" t="n">
        <f aca="false">IF(AND(AI24=1,Time!AI21&gt;=2027,Inputs!$F$51=1),MIN(Inputs!$F$109*AI15,Debt!AI81),0)</f>
        <v>9.97184714188098</v>
      </c>
      <c r="AJ29" s="11" t="n">
        <f aca="false">IF(AND(AJ24=1,Time!AJ21&gt;=2027,Inputs!$F$51=1),MIN(Inputs!$F$109*AJ15,Debt!AJ81),0)</f>
        <v>11.5769808783277</v>
      </c>
      <c r="AK29" s="11" t="n">
        <f aca="false">IF(AND(AK24=1,Time!AK21&gt;=2027,Inputs!$F$51=1),MIN(Inputs!$F$109*AK15,Debt!AK81),0)</f>
        <v>12.5144233480348</v>
      </c>
      <c r="AL29" s="11" t="n">
        <f aca="false">IF(AND(AL24=1,Time!AL21&gt;=2027,Inputs!$F$51=1),MIN(Inputs!$F$109*AL15,Debt!AL81),0)</f>
        <v>0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0</v>
      </c>
      <c r="P30" s="11" t="n">
        <f aca="false">IF(P24=0,P15-P28,0)</f>
        <v>1.86721444482732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1410.73415411368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0</v>
      </c>
      <c r="Q31" s="11" t="n">
        <f aca="false">IF(Q24=1,Q15-Q29,0)</f>
        <v>11.9411377585296</v>
      </c>
      <c r="R31" s="11" t="n">
        <f aca="false">IF(R24=1,R15-R29,0)</f>
        <v>10.9811262587414</v>
      </c>
      <c r="S31" s="11" t="n">
        <f aca="false">IF(S24=1,S15-S29,0)</f>
        <v>10.1937583240623</v>
      </c>
      <c r="T31" s="11" t="n">
        <f aca="false">IF(T24=1,T15-T29,0)</f>
        <v>10.9709652187198</v>
      </c>
      <c r="U31" s="11" t="n">
        <f aca="false">IF(U24=1,U15-U29,0)</f>
        <v>9.87364592414637</v>
      </c>
      <c r="V31" s="11" t="n">
        <f aca="false">IF(V24=1,V15-V29,0)</f>
        <v>10.6606330335929</v>
      </c>
      <c r="W31" s="11" t="n">
        <f aca="false">IF(W24=1,W15-W29,0)</f>
        <v>12.055536140849</v>
      </c>
      <c r="X31" s="11" t="n">
        <f aca="false">IF(X24=1,X15-X29,0)</f>
        <v>12.9904257519621</v>
      </c>
      <c r="Y31" s="11" t="n">
        <f aca="false">IF(Y24=1,Y15-Y29,0)</f>
        <v>10.1756209089765</v>
      </c>
      <c r="Z31" s="11" t="n">
        <f aca="false">IF(Z24=1,Z15-Z29,0)</f>
        <v>11.0097969556862</v>
      </c>
      <c r="AA31" s="11" t="n">
        <f aca="false">IF(AA24=1,AA15-AA29,0)</f>
        <v>4.97968731941094</v>
      </c>
      <c r="AB31" s="11" t="n">
        <f aca="false">IF(AB24=1,AB15-AB29,0)</f>
        <v>5.87910907101877</v>
      </c>
      <c r="AC31" s="11" t="n">
        <f aca="false">IF(AC24=1,AC15-AC29,0)</f>
        <v>5.3541250244998</v>
      </c>
      <c r="AD31" s="11" t="n">
        <f aca="false">IF(AD24=1,AD15-AD29,0)</f>
        <v>5.91338598779726</v>
      </c>
      <c r="AE31" s="11" t="n">
        <f aca="false">IF(AE24=1,AE15-AE29,0)</f>
        <v>6.86569944577716</v>
      </c>
      <c r="AF31" s="11" t="n">
        <f aca="false">IF(AF24=1,AF15-AF29,0)</f>
        <v>8.07717524116026</v>
      </c>
      <c r="AG31" s="11" t="n">
        <f aca="false">IF(AG24=1,AG15-AG29,0)</f>
        <v>8.13714505920316</v>
      </c>
      <c r="AH31" s="11" t="n">
        <f aca="false">IF(AH24=1,AH15-AH29,0)</f>
        <v>9.32475500558314</v>
      </c>
      <c r="AI31" s="11" t="n">
        <f aca="false">IF(AI24=1,AI15-AI29,0)</f>
        <v>9.97184714188098</v>
      </c>
      <c r="AJ31" s="11" t="n">
        <f aca="false">IF(AJ24=1,AJ15-AJ29,0)</f>
        <v>11.5769808783277</v>
      </c>
      <c r="AK31" s="11" t="n">
        <f aca="false">IF(AK24=1,AK15-AK29,0)</f>
        <v>13.2550622689768</v>
      </c>
      <c r="AL31" s="11" t="n">
        <f aca="false">IF(AL24=1,AL15-AL29,0)</f>
        <v>31.568224776146</v>
      </c>
      <c r="AM31" s="11" t="n">
        <f aca="false">IF(AM24=1,AM15-AM29,0)</f>
        <v>32.6109283341595</v>
      </c>
      <c r="AN31" s="11" t="n">
        <f aca="false">IF(AN24=1,AN15-AN29,0)</f>
        <v>33.4365211945138</v>
      </c>
      <c r="AO31" s="11" t="n">
        <f aca="false">IF(AO24=1,AO15-AO29,0)</f>
        <v>50.6597042674252</v>
      </c>
      <c r="AP31" s="11" t="n">
        <f aca="false">IF(AP24=1,AP15-AP29,0)</f>
        <v>51.3388059528544</v>
      </c>
      <c r="AQ31" s="11" t="n">
        <f aca="false">IF(AQ24=1,AQ15-AQ29,0)</f>
        <v>50.9858164161794</v>
      </c>
      <c r="AR31" s="11" t="n">
        <f aca="false">IF(AR24=1,AR15-AR29,0)</f>
        <v>42.9383801241977</v>
      </c>
      <c r="AS31" s="11" t="n">
        <f aca="false">IF(AS24=1,AS15-AS29,0)</f>
        <v>41.8152724350504</v>
      </c>
      <c r="AT31" s="11" t="n">
        <f aca="false">IF(AT24=1,AT15-AT29,0)</f>
        <v>42.2365002861952</v>
      </c>
      <c r="AU31" s="11" t="n">
        <f aca="false">IF(AU24=1,AU15-AU29,0)</f>
        <v>48.2359769265088</v>
      </c>
      <c r="AV31" s="11" t="n">
        <f aca="false">IF(AV24=1,AV15-AV29,0)</f>
        <v>44.7326492101122</v>
      </c>
      <c r="AW31" s="11" t="n">
        <f aca="false">IF(AW24=1,AW15-AW29,0)</f>
        <v>43.776613843306</v>
      </c>
      <c r="AX31" s="11" t="n">
        <f aca="false">IF(AX24=1,AX15-AX29,0)</f>
        <v>44.4354267369936</v>
      </c>
      <c r="AY31" s="11" t="n">
        <f aca="false">IF(AY24=1,AY15-AY29,0)</f>
        <v>44.0254806356794</v>
      </c>
      <c r="AZ31" s="11" t="n">
        <f aca="false">IF(AZ24=1,AZ15-AZ29,0)</f>
        <v>44.6600563620943</v>
      </c>
      <c r="BA31" s="11" t="n">
        <f aca="false">IF(BA24=1,BA15-BA29,0)</f>
        <v>44.2728127632001</v>
      </c>
      <c r="BB31" s="11" t="n">
        <f aca="false">IF(BB24=1,BB15-BB29,0)</f>
        <v>44.3089649091678</v>
      </c>
      <c r="BC31" s="11" t="n">
        <f aca="false">IF(BC24=1,BC15-BC29,0)</f>
        <v>44.7226461112184</v>
      </c>
      <c r="BD31" s="11" t="n">
        <f aca="false">IF(BD24=1,BD15-BD29,0)</f>
        <v>42.2235943953032</v>
      </c>
      <c r="BE31" s="11" t="n">
        <f aca="false">IF(BE24=1,BE15-BE29,0)</f>
        <v>34.7813897676701</v>
      </c>
      <c r="BF31" s="11" t="n">
        <f aca="false">IF(BF24=1,BF15-BF29,0)</f>
        <v>35.4500806045936</v>
      </c>
      <c r="BG31" s="11" t="n">
        <f aca="false">IF(BG24=1,BG15-BG29,0)</f>
        <v>35.0169225370277</v>
      </c>
      <c r="BH31" s="11" t="n">
        <f aca="false">IF(BH24=1,BH15-BH29,0)</f>
        <v>35.6595471247633</v>
      </c>
      <c r="BI31" s="11" t="n">
        <f aca="false">IF(BI24=1,BI15-BI29,0)</f>
        <v>35.2445643883681</v>
      </c>
      <c r="BJ31" s="11" t="n">
        <f aca="false">IF(BJ24=1,BJ15-BJ29,0)</f>
        <v>35.8286804636831</v>
      </c>
      <c r="BK31" s="11" t="n">
        <f aca="false">IF(BK24=1,BK15-BK29,0)</f>
        <v>43.0601418896222</v>
      </c>
      <c r="BL31" s="11" t="n">
        <f aca="false">IF(BL24=1,BL15-BL29,0)</f>
        <v>38.7837833311665</v>
      </c>
      <c r="BM31" s="11" t="n">
        <f aca="false">IF(BM24=1,BM15-BM29,0)</f>
        <v>38.3678958128591</v>
      </c>
      <c r="BN31" s="11" t="n">
        <f aca="false">IF(BN24=1,BN15-BN29,0)</f>
        <v>55.3691537947186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46.0821366316148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0</v>
      </c>
      <c r="P33" s="11" t="n">
        <f aca="false">IF(Time!P17&lt;Time!$F$11,0,IF(Time!P29=1,INDEX(Funding!$J$72:$BJ$72,1,Time!$F$13),O36))</f>
        <v>217.575415340841</v>
      </c>
      <c r="Q33" s="11" t="n">
        <f aca="false">IF(Time!Q17&lt;Time!$F$11,0,IF(Time!Q29=1,INDEX(Funding!$J$72:$BJ$72,1,Time!$F$13),P36))</f>
        <v>221.02979762002</v>
      </c>
      <c r="R33" s="11" t="n">
        <f aca="false">IF(Time!R17&lt;Time!$F$11,0,IF(Time!R29=1,INDEX(Funding!$J$72:$BJ$72,1,Time!$F$13),Q36))</f>
        <v>219.501282793206</v>
      </c>
      <c r="S33" s="11" t="n">
        <f aca="false">IF(Time!S17&lt;Time!$F$11,0,IF(Time!S29=1,INDEX(Funding!$J$72:$BJ$72,1,Time!$F$13),R36))</f>
        <v>219.032163173438</v>
      </c>
      <c r="T33" s="11" t="n">
        <f aca="false">IF(Time!T17&lt;Time!$F$11,0,IF(Time!T29=1,INDEX(Funding!$J$72:$BJ$72,1,Time!$F$13),S36))</f>
        <v>219.156920043259</v>
      </c>
      <c r="U33" s="11" t="n">
        <f aca="false">IF(Time!U17&lt;Time!$F$11,0,IF(Time!U29=1,INDEX(Funding!$J$72:$BJ$72,1,Time!$F$13),T36))</f>
        <v>218.681469789898</v>
      </c>
      <c r="V33" s="11" t="n">
        <f aca="false">IF(Time!V17&lt;Time!$F$11,0,IF(Time!V29=1,INDEX(Funding!$J$72:$BJ$72,1,Time!$F$13),U36))</f>
        <v>219.166735133334</v>
      </c>
      <c r="W33" s="11" t="n">
        <f aca="false">IF(Time!W17&lt;Time!$F$11,0,IF(Time!W29=1,INDEX(Funding!$J$72:$BJ$72,1,Time!$F$13),V36))</f>
        <v>219.002087113797</v>
      </c>
      <c r="X33" s="11" t="n">
        <f aca="false">IF(Time!X17&lt;Time!$F$11,0,IF(Time!X29=1,INDEX(Funding!$J$72:$BJ$72,1,Time!$F$13),W36))</f>
        <v>217.263649296022</v>
      </c>
      <c r="Y33" s="11" t="n">
        <f aca="false">IF(Time!Y17&lt;Time!$F$11,0,IF(Time!Y29=1,INDEX(Funding!$J$72:$BJ$72,1,Time!$F$13),X36))</f>
        <v>214.678068995277</v>
      </c>
      <c r="Z33" s="11" t="n">
        <f aca="false">IF(Time!Z17&lt;Time!$F$11,0,IF(Time!Z29=1,INDEX(Funding!$J$72:$BJ$72,1,Time!$F$13),Y36))</f>
        <v>214.615843692804</v>
      </c>
      <c r="AA33" s="11" t="n">
        <f aca="false">IF(Time!AA17&lt;Time!$F$11,0,IF(Time!AA29=1,INDEX(Funding!$J$72:$BJ$72,1,Time!$F$13),Z36))</f>
        <v>213.884087689858</v>
      </c>
      <c r="AB33" s="11" t="n">
        <f aca="false">IF(Time!AB17&lt;Time!$F$11,0,IF(Time!AB29=1,INDEX(Funding!$J$72:$BJ$72,1,Time!$F$13),AA36))</f>
        <v>218.980391843946</v>
      </c>
      <c r="AC33" s="11" t="n">
        <f aca="false">IF(Time!AC17&lt;Time!$F$11,0,IF(Time!AC29=1,INDEX(Funding!$J$72:$BJ$72,1,Time!$F$13),AB36))</f>
        <v>223.588343730276</v>
      </c>
      <c r="AD33" s="11" t="n">
        <f aca="false">IF(Time!AD17&lt;Time!$F$11,0,IF(Time!AD29=1,INDEX(Funding!$J$72:$BJ$72,1,Time!$F$13),AC36))</f>
        <v>228.825567919739</v>
      </c>
      <c r="AE33" s="11" t="n">
        <f aca="false">IF(Time!AE17&lt;Time!$F$11,0,IF(Time!AE29=1,INDEX(Funding!$J$72:$BJ$72,1,Time!$F$13),AD36))</f>
        <v>233.870732417523</v>
      </c>
      <c r="AF33" s="11" t="n">
        <f aca="false">IF(Time!AF17&lt;Time!$F$11,0,IF(Time!AF29=1,INDEX(Funding!$J$72:$BJ$72,1,Time!$F$13),AE36))</f>
        <v>238.022587064675</v>
      </c>
      <c r="AG33" s="11" t="n">
        <f aca="false">IF(Time!AG17&lt;Time!$F$11,0,IF(Time!AG29=1,INDEX(Funding!$J$72:$BJ$72,1,Time!$F$13),AF36))</f>
        <v>241.344411335544</v>
      </c>
      <c r="AH33" s="11" t="n">
        <f aca="false">IF(Time!AH17&lt;Time!$F$11,0,IF(Time!AH29=1,INDEX(Funding!$J$72:$BJ$72,1,Time!$F$13),AG36))</f>
        <v>244.576902311723</v>
      </c>
      <c r="AI33" s="11" t="n">
        <f aca="false">IF(Time!AI17&lt;Time!$F$11,0,IF(Time!AI29=1,INDEX(Funding!$J$72:$BJ$72,1,Time!$F$13),AH36))</f>
        <v>246.965035668904</v>
      </c>
      <c r="AJ33" s="11" t="n">
        <f aca="false">IF(Time!AJ17&lt;Time!$F$11,0,IF(Time!AJ29=1,INDEX(Funding!$J$72:$BJ$72,1,Time!$F$13),AI36))</f>
        <v>248.627609864905</v>
      </c>
      <c r="AK33" s="11" t="n">
        <f aca="false">IF(Time!AK17&lt;Time!$F$11,0,IF(Time!AK29=1,INDEX(Funding!$J$72:$BJ$72,1,Time!$F$13),AJ36))</f>
        <v>248.957507398738</v>
      </c>
      <c r="AL33" s="11" t="n">
        <f aca="false">IF(Time!AL17&lt;Time!$F$11,0,IF(Time!AL29=1,INDEX(Funding!$J$72:$BJ$72,1,Time!$F$13),AK36))</f>
        <v>247.495528151471</v>
      </c>
      <c r="AM33" s="11" t="n">
        <f aca="false">IF(Time!AM17&lt;Time!$F$11,0,IF(Time!AM29=1,INDEX(Funding!$J$72:$BJ$72,1,Time!$F$13),AL36))</f>
        <v>227.77996592899</v>
      </c>
      <c r="AN33" s="11" t="n">
        <f aca="false">IF(Time!AN17&lt;Time!$F$11,0,IF(Time!AN29=1,INDEX(Funding!$J$72:$BJ$72,1,Time!$F$13),AM36))</f>
        <v>205.89965818154</v>
      </c>
      <c r="AO33" s="11" t="n">
        <f aca="false">IF(Time!AO17&lt;Time!$F$11,0,IF(Time!AO29=1,INDEX(Funding!$J$72:$BJ$72,1,Time!$F$13),AN36))</f>
        <v>182.323756233638</v>
      </c>
      <c r="AP33" s="11" t="n">
        <f aca="false">IF(Time!AP17&lt;Time!$F$11,0,IF(Time!AP29=1,INDEX(Funding!$J$72:$BJ$72,1,Time!$F$13),AO36))</f>
        <v>140.253249194809</v>
      </c>
      <c r="AQ33" s="11" t="n">
        <f aca="false">IF(Time!AQ17&lt;Time!$F$11,0,IF(Time!AQ29=1,INDEX(Funding!$J$72:$BJ$72,1,Time!$F$13),AP36))</f>
        <v>95.6312289842151</v>
      </c>
      <c r="AR33" s="11" t="n">
        <f aca="false">IF(Time!AR17&lt;Time!$F$11,0,IF(Time!AR29=1,INDEX(Funding!$J$72:$BJ$72,1,Time!$F$13),AQ36))</f>
        <v>49.1505604649771</v>
      </c>
      <c r="AS33" s="11" t="n">
        <f aca="false">IF(Time!AS17&lt;Time!$F$11,0,IF(Time!AS29=1,INDEX(Funding!$J$72:$BJ$72,1,Time!$F$13),AR36))</f>
        <v>8.56602088030761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245.984552358203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0</v>
      </c>
      <c r="Q34" s="11" t="n">
        <f aca="false">Q24*MIN(Q31,Tax!Q13)</f>
        <v>10.4126229317157</v>
      </c>
      <c r="R34" s="11" t="n">
        <f aca="false">R24*MIN(R31,Tax!R13)</f>
        <v>10.5120066389733</v>
      </c>
      <c r="S34" s="11" t="n">
        <f aca="false">S24*MIN(S31,Tax!S13)</f>
        <v>10.1937583240623</v>
      </c>
      <c r="T34" s="11" t="n">
        <f aca="false">T24*MIN(T31,Tax!T13)</f>
        <v>10.4955149653593</v>
      </c>
      <c r="U34" s="11" t="n">
        <f aca="false">U24*MIN(U31,Tax!U13)</f>
        <v>9.87364592414637</v>
      </c>
      <c r="V34" s="11" t="n">
        <f aca="false">V24*MIN(V31,Tax!V13)</f>
        <v>10.4959850140566</v>
      </c>
      <c r="W34" s="11" t="n">
        <f aca="false">W24*MIN(W31,Tax!W13)</f>
        <v>10.3170983230733</v>
      </c>
      <c r="X34" s="11" t="n">
        <f aca="false">X24*MIN(X31,Tax!X13)</f>
        <v>10.4048454512177</v>
      </c>
      <c r="Y34" s="11" t="n">
        <f aca="false">Y24*MIN(Y31,Tax!Y13)</f>
        <v>10.1133956065035</v>
      </c>
      <c r="Z34" s="11" t="n">
        <f aca="false">Z24*MIN(Z31,Tax!Z13)</f>
        <v>10.2780409527403</v>
      </c>
      <c r="AA34" s="11" t="n">
        <f aca="false">AA24*MIN(AA31,Tax!AA13)</f>
        <v>4.97968731941094</v>
      </c>
      <c r="AB34" s="11" t="n">
        <f aca="false">AB24*MIN(AB31,Tax!AB13)</f>
        <v>5.87910907101877</v>
      </c>
      <c r="AC34" s="11" t="n">
        <f aca="false">AC24*MIN(AC31,Tax!AC13)</f>
        <v>5.3541250244998</v>
      </c>
      <c r="AD34" s="11" t="n">
        <f aca="false">AD24*MIN(AD31,Tax!AD13)</f>
        <v>5.91338598779726</v>
      </c>
      <c r="AE34" s="11" t="n">
        <f aca="false">AE24*MIN(AE31,Tax!AE13)</f>
        <v>6.86569944577716</v>
      </c>
      <c r="AF34" s="11" t="n">
        <f aca="false">AF24*MIN(AF31,Tax!AF13)</f>
        <v>8.07717524116026</v>
      </c>
      <c r="AG34" s="11" t="n">
        <f aca="false">AG24*MIN(AG31,Tax!AG13)</f>
        <v>8.13714505920316</v>
      </c>
      <c r="AH34" s="11" t="n">
        <f aca="false">AH24*MIN(AH31,Tax!AH13)</f>
        <v>9.32475500558314</v>
      </c>
      <c r="AI34" s="11" t="n">
        <f aca="false">AI24*MIN(AI31,Tax!AI13)</f>
        <v>9.97184714188098</v>
      </c>
      <c r="AJ34" s="11" t="n">
        <f aca="false">AJ24*MIN(AJ31,Tax!AJ13)</f>
        <v>11.5769808783277</v>
      </c>
      <c r="AK34" s="11" t="n">
        <f aca="false">AK24*MIN(AK31,Tax!AK13)</f>
        <v>11.7930830217101</v>
      </c>
      <c r="AL34" s="11" t="n">
        <f aca="false">AL24*MIN(AL31,Tax!AL13)</f>
        <v>11.852662553665</v>
      </c>
      <c r="AM34" s="11" t="n">
        <f aca="false">AM24*MIN(AM31,Tax!AM13)</f>
        <v>10.7306205867095</v>
      </c>
      <c r="AN34" s="11" t="n">
        <f aca="false">AN24*MIN(AN31,Tax!AN13)</f>
        <v>9.86061924661184</v>
      </c>
      <c r="AO34" s="11" t="n">
        <f aca="false">AO24*MIN(AO31,Tax!AO13)</f>
        <v>8.58919722859563</v>
      </c>
      <c r="AP34" s="11" t="n">
        <f aca="false">AP24*MIN(AP31,Tax!AP13)</f>
        <v>6.71678574226097</v>
      </c>
      <c r="AQ34" s="11" t="n">
        <f aca="false">AQ24*MIN(AQ31,Tax!AQ13)</f>
        <v>4.50514789694131</v>
      </c>
      <c r="AR34" s="11" t="n">
        <f aca="false">AR24*MIN(AR31,Tax!AR13)</f>
        <v>2.35384053952822</v>
      </c>
      <c r="AS34" s="11" t="n">
        <f aca="false">AS24*MIN(AS31,Tax!AS13)</f>
        <v>0.405771235672654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256.713239542155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0</v>
      </c>
      <c r="Q35" s="11" t="n">
        <f aca="false">Q24*MIN(Q31-Q34,Q33+Tax!Q13-Q34)</f>
        <v>1.52851482681389</v>
      </c>
      <c r="R35" s="11" t="n">
        <f aca="false">R24*MIN(R31-R34,R33+Tax!R13-R34)</f>
        <v>0.469119619768172</v>
      </c>
      <c r="S35" s="11" t="n">
        <f aca="false">S24*MIN(S31-S34,S33+Tax!S13-S34)</f>
        <v>0</v>
      </c>
      <c r="T35" s="11" t="n">
        <f aca="false">T24*MIN(T31-T34,T33+Tax!T13-T34)</f>
        <v>0.475450253360435</v>
      </c>
      <c r="U35" s="11" t="n">
        <f aca="false">U24*MIN(U31-U34,U33+Tax!U13-U34)</f>
        <v>0</v>
      </c>
      <c r="V35" s="11" t="n">
        <f aca="false">V24*MIN(V31-V34,V33+Tax!V13-V34)</f>
        <v>0.164648019536264</v>
      </c>
      <c r="W35" s="11" t="n">
        <f aca="false">W24*MIN(W31-W34,W33+Tax!W13-W34)</f>
        <v>1.73843781777574</v>
      </c>
      <c r="X35" s="11" t="n">
        <f aca="false">X24*MIN(X31-X34,X33+Tax!X13-X34)</f>
        <v>2.58558030074445</v>
      </c>
      <c r="Y35" s="11" t="n">
        <f aca="false">Y24*MIN(Y31-Y34,Y33+Tax!Y13-Y34)</f>
        <v>0.0622253024729247</v>
      </c>
      <c r="Z35" s="11" t="n">
        <f aca="false">Z24*MIN(Z31-Z34,Z33+Tax!Z13-Z34)</f>
        <v>0.731756002945849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</v>
      </c>
      <c r="AE35" s="11" t="n">
        <f aca="false">AE24*MIN(AE31-AE34,AE33+Tax!AE13-AE34)</f>
        <v>0</v>
      </c>
      <c r="AF35" s="11" t="n">
        <f aca="false">AF24*MIN(AF31-AF34,AF33+Tax!AF13-AF34)</f>
        <v>0</v>
      </c>
      <c r="AG35" s="11" t="n">
        <f aca="false">AG24*MIN(AG31-AG34,AG33+Tax!AG13-AG34)</f>
        <v>0</v>
      </c>
      <c r="AH35" s="11" t="n">
        <f aca="false">AH24*MIN(AH31-AH34,AH33+Tax!AH13-AH34)</f>
        <v>0</v>
      </c>
      <c r="AI35" s="11" t="n">
        <f aca="false">AI24*MIN(AI31-AI34,AI33+Tax!AI13-AI34)</f>
        <v>0</v>
      </c>
      <c r="AJ35" s="11" t="n">
        <f aca="false">AJ24*MIN(AJ31-AJ34,AJ33+Tax!AJ13-AJ34)</f>
        <v>0</v>
      </c>
      <c r="AK35" s="11" t="n">
        <f aca="false">AK24*MIN(AK31-AK34,AK33+Tax!AK13-AK34)</f>
        <v>1.46197924726674</v>
      </c>
      <c r="AL35" s="11" t="n">
        <f aca="false">AL24*MIN(AL31-AL34,AL33+Tax!AL13-AL34)</f>
        <v>19.715562222481</v>
      </c>
      <c r="AM35" s="11" t="n">
        <f aca="false">AM24*MIN(AM31-AM34,AM33+Tax!AM13-AM34)</f>
        <v>21.8803077474499</v>
      </c>
      <c r="AN35" s="11" t="n">
        <f aca="false">AN24*MIN(AN31-AN34,AN33+Tax!AN13-AN34)</f>
        <v>23.575901947902</v>
      </c>
      <c r="AO35" s="11" t="n">
        <f aca="false">AO24*MIN(AO31-AO34,AO33+Tax!AO13-AO34)</f>
        <v>42.0705070388296</v>
      </c>
      <c r="AP35" s="11" t="n">
        <f aca="false">AP24*MIN(AP31-AP34,AP33+Tax!AP13-AP34)</f>
        <v>44.6220202105934</v>
      </c>
      <c r="AQ35" s="11" t="n">
        <f aca="false">AQ24*MIN(AQ31-AQ34,AQ33+Tax!AQ13-AQ34)</f>
        <v>46.480668519238</v>
      </c>
      <c r="AR35" s="11" t="n">
        <f aca="false">AR24*MIN(AR31-AR34,AR33+Tax!AR13-AR34)</f>
        <v>40.5845395846694</v>
      </c>
      <c r="AS35" s="11" t="n">
        <f aca="false">AS24*MIN(AS31-AS34,AS33+Tax!AS13-AS34)</f>
        <v>8.56602088030761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0</v>
      </c>
      <c r="P36" s="11" t="n">
        <f aca="false">P33+Tax!P13-P34-P35</f>
        <v>221.02979762002</v>
      </c>
      <c r="Q36" s="11" t="n">
        <f aca="false">Q33+Tax!Q13-Q34-Q35</f>
        <v>219.501282793206</v>
      </c>
      <c r="R36" s="11" t="n">
        <f aca="false">R33+Tax!R13-R34-R35</f>
        <v>219.032163173438</v>
      </c>
      <c r="S36" s="11" t="n">
        <f aca="false">S33+Tax!S13-S34-S35</f>
        <v>219.156920043259</v>
      </c>
      <c r="T36" s="11" t="n">
        <f aca="false">T33+Tax!T13-T34-T35</f>
        <v>218.681469789898</v>
      </c>
      <c r="U36" s="11" t="n">
        <f aca="false">U33+Tax!U13-U34-U35</f>
        <v>219.166735133334</v>
      </c>
      <c r="V36" s="11" t="n">
        <f aca="false">V33+Tax!V13-V34-V35</f>
        <v>219.002087113797</v>
      </c>
      <c r="W36" s="11" t="n">
        <f aca="false">W33+Tax!W13-W34-W35</f>
        <v>217.263649296022</v>
      </c>
      <c r="X36" s="11" t="n">
        <f aca="false">X33+Tax!X13-X34-X35</f>
        <v>214.678068995277</v>
      </c>
      <c r="Y36" s="11" t="n">
        <f aca="false">Y33+Tax!Y13-Y34-Y35</f>
        <v>214.615843692804</v>
      </c>
      <c r="Z36" s="11" t="n">
        <f aca="false">Z33+Tax!Z13-Z34-Z35</f>
        <v>213.884087689858</v>
      </c>
      <c r="AA36" s="11" t="n">
        <f aca="false">AA33+Tax!AA13-AA34-AA35</f>
        <v>218.980391843946</v>
      </c>
      <c r="AB36" s="11" t="n">
        <f aca="false">AB33+Tax!AB13-AB34-AB35</f>
        <v>223.588343730276</v>
      </c>
      <c r="AC36" s="11" t="n">
        <f aca="false">AC33+Tax!AC13-AC34-AC35</f>
        <v>228.825567919739</v>
      </c>
      <c r="AD36" s="11" t="n">
        <f aca="false">AD33+Tax!AD13-AD34-AD35</f>
        <v>233.870732417523</v>
      </c>
      <c r="AE36" s="11" t="n">
        <f aca="false">AE33+Tax!AE13-AE34-AE35</f>
        <v>238.022587064675</v>
      </c>
      <c r="AF36" s="11" t="n">
        <f aca="false">AF33+Tax!AF13-AF34-AF35</f>
        <v>241.344411335544</v>
      </c>
      <c r="AG36" s="11" t="n">
        <f aca="false">AG33+Tax!AG13-AG34-AG35</f>
        <v>244.576902311723</v>
      </c>
      <c r="AH36" s="11" t="n">
        <f aca="false">AH33+Tax!AH13-AH34-AH35</f>
        <v>246.965035668904</v>
      </c>
      <c r="AI36" s="11" t="n">
        <f aca="false">AI33+Tax!AI13-AI34-AI35</f>
        <v>248.627609864905</v>
      </c>
      <c r="AJ36" s="11" t="n">
        <f aca="false">AJ33+Tax!AJ13-AJ34-AJ35</f>
        <v>248.957507398738</v>
      </c>
      <c r="AK36" s="11" t="n">
        <f aca="false">AK33+Tax!AK13-AK34-AK35</f>
        <v>247.495528151471</v>
      </c>
      <c r="AL36" s="11" t="n">
        <f aca="false">AL33+Tax!AL13-AL34-AL35</f>
        <v>227.77996592899</v>
      </c>
      <c r="AM36" s="11" t="n">
        <f aca="false">AM33+Tax!AM13-AM34-AM35</f>
        <v>205.89965818154</v>
      </c>
      <c r="AN36" s="11" t="n">
        <f aca="false">AN33+Tax!AN13-AN34-AN35</f>
        <v>182.323756233638</v>
      </c>
      <c r="AO36" s="11" t="n">
        <f aca="false">AO33+Tax!AO13-AO34-AO35</f>
        <v>140.253249194809</v>
      </c>
      <c r="AP36" s="11" t="n">
        <f aca="false">AP33+Tax!AP13-AP34-AP35</f>
        <v>95.6312289842151</v>
      </c>
      <c r="AQ36" s="11" t="n">
        <f aca="false">AQ33+Tax!AQ13-AQ34-AQ35</f>
        <v>49.1505604649771</v>
      </c>
      <c r="AR36" s="11" t="n">
        <f aca="false">AR33+Tax!AR13-AR34-AR35</f>
        <v>8.56602088030761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0</v>
      </c>
      <c r="P37" s="11" t="n">
        <f aca="false">MAX(0,O43+Financials!P14)</f>
        <v>9.37854471002205</v>
      </c>
      <c r="Q37" s="11" t="n">
        <f aca="false">MAX(0,P43+Financials!Q14)</f>
        <v>15.1014689248956</v>
      </c>
      <c r="R37" s="11" t="n">
        <f aca="false">MAX(0,Q43+Financials!R14)</f>
        <v>21.2470203710082</v>
      </c>
      <c r="S37" s="11" t="n">
        <f aca="false">MAX(0,R43+Financials!S14)</f>
        <v>28.5860326424422</v>
      </c>
      <c r="T37" s="11" t="n">
        <f aca="false">MAX(0,S43+Financials!T14)</f>
        <v>36.2431322835115</v>
      </c>
      <c r="U37" s="11" t="n">
        <f aca="false">MAX(0,T43+Financials!U14)</f>
        <v>44.9350451313273</v>
      </c>
      <c r="V37" s="11" t="n">
        <f aca="false">MAX(0,U43+Financials!V14)</f>
        <v>54.1960575871065</v>
      </c>
      <c r="W37" s="11" t="n">
        <f aca="false">MAX(0,V43+Financials!W14)</f>
        <v>62.2781835280854</v>
      </c>
      <c r="X37" s="11" t="n">
        <f aca="false">MAX(0,W43+Financials!X14)</f>
        <v>73.4061959378001</v>
      </c>
      <c r="Y37" s="11" t="n">
        <f aca="false">MAX(0,X43+Financials!Y14)</f>
        <v>85.2247299691766</v>
      </c>
      <c r="Z37" s="11" t="n">
        <f aca="false">MAX(0,Y43+Financials!Z14)</f>
        <v>94.9900299306117</v>
      </c>
      <c r="AA37" s="11" t="n">
        <f aca="false">MAX(0,Z43+Financials!AA14)</f>
        <v>100.521739243853</v>
      </c>
      <c r="AB37" s="11" t="n">
        <f aca="false">MAX(0,AA43+Financials!AB14)</f>
        <v>106.448545309505</v>
      </c>
      <c r="AC37" s="11" t="n">
        <f aca="false">MAX(0,AB43+Financials!AC14)</f>
        <v>113.222667739683</v>
      </c>
      <c r="AD37" s="11" t="n">
        <f aca="false">MAX(0,AC43+Financials!AD14)</f>
        <v>120.597627027737</v>
      </c>
      <c r="AE37" s="11" t="n">
        <f aca="false">MAX(0,AD43+Financials!AE14)</f>
        <v>118.905959772213</v>
      </c>
      <c r="AF37" s="11" t="n">
        <f aca="false">MAX(0,AE43+Financials!AF14)</f>
        <v>129.073207215107</v>
      </c>
      <c r="AG37" s="11" t="n">
        <f aca="false">MAX(0,AF43+Financials!AG14)</f>
        <v>138.899882867418</v>
      </c>
      <c r="AH37" s="11" t="n">
        <f aca="false">MAX(0,AG43+Financials!AH14)</f>
        <v>149.462412616022</v>
      </c>
      <c r="AI37" s="11" t="n">
        <f aca="false">MAX(0,AH43+Financials!AI14)</f>
        <v>161.225692624158</v>
      </c>
      <c r="AJ37" s="11" t="n">
        <f aca="false">MAX(0,AI43+Financials!AJ14)</f>
        <v>173.812852299616</v>
      </c>
      <c r="AK37" s="11" t="n">
        <f aca="false">MAX(0,AJ43+Financials!AK14)</f>
        <v>187.569165993154</v>
      </c>
      <c r="AL37" s="11" t="n">
        <f aca="false">MAX(0,AK43+Financials!AL14)</f>
        <v>202.38938441269</v>
      </c>
      <c r="AM37" s="11" t="n">
        <f aca="false">MAX(0,AL43+Financials!AM14)</f>
        <v>216.523075993528</v>
      </c>
      <c r="AN37" s="11" t="n">
        <f aca="false">MAX(0,AM43+Financials!AN14)</f>
        <v>233.852387167608</v>
      </c>
      <c r="AO37" s="11" t="n">
        <f aca="false">MAX(0,AN43+Financials!AO14)</f>
        <v>252.434296405148</v>
      </c>
      <c r="AP37" s="11" t="n">
        <f aca="false">MAX(0,AO43+Financials!AP14)</f>
        <v>272.805562234217</v>
      </c>
      <c r="AQ37" s="11" t="n">
        <f aca="false">MAX(0,AP43+Financials!AQ14)</f>
        <v>294.846870154496</v>
      </c>
      <c r="AR37" s="11" t="n">
        <f aca="false">MAX(0,AQ43+Financials!AR14)</f>
        <v>318.862809477107</v>
      </c>
      <c r="AS37" s="11" t="n">
        <f aca="false">MAX(0,AR43+Financials!AS14)</f>
        <v>344.309891721309</v>
      </c>
      <c r="AT37" s="11" t="n">
        <f aca="false">MAX(0,AS43+Financials!AT14)</f>
        <v>337.380679149741</v>
      </c>
      <c r="AU37" s="11" t="n">
        <f aca="false">MAX(0,AT43+Financials!AU14)</f>
        <v>310.640087721908</v>
      </c>
      <c r="AV37" s="11" t="n">
        <f aca="false">MAX(0,AU43+Financials!AV14)</f>
        <v>288.606438626974</v>
      </c>
      <c r="AW37" s="11" t="n">
        <f aca="false">MAX(0,AV43+Financials!AW14)</f>
        <v>270.00303479288</v>
      </c>
      <c r="AX37" s="11" t="n">
        <f aca="false">MAX(0,AW43+Financials!AX14)</f>
        <v>252.47445486351</v>
      </c>
      <c r="AY37" s="11" t="n">
        <f aca="false">MAX(0,AX43+Financials!AY14)</f>
        <v>234.421044869132</v>
      </c>
      <c r="AZ37" s="11" t="n">
        <f aca="false">MAX(0,AY43+Financials!AZ14)</f>
        <v>216.867405793793</v>
      </c>
      <c r="BA37" s="11" t="n">
        <f aca="false">MAX(0,AZ43+Financials!BA14)</f>
        <v>198.750840778833</v>
      </c>
      <c r="BB37" s="11" t="n">
        <f aca="false">MAX(0,BA43+Financials!BB14)</f>
        <v>181.187893208593</v>
      </c>
      <c r="BC37" s="11" t="n">
        <f aca="false">MAX(0,BB43+Financials!BC14)</f>
        <v>161.310993698904</v>
      </c>
      <c r="BD37" s="11" t="n">
        <f aca="false">MAX(0,BC43+Financials!BD14)</f>
        <v>143.575825893386</v>
      </c>
      <c r="BE37" s="11" t="n">
        <f aca="false">MAX(0,BD43+Financials!BE14)</f>
        <v>128.326753187049</v>
      </c>
      <c r="BF37" s="11" t="n">
        <f aca="false">MAX(0,BE43+Financials!BF14)</f>
        <v>120.649555107486</v>
      </c>
      <c r="BG37" s="11" t="n">
        <f aca="false">MAX(0,BF43+Financials!BG14)</f>
        <v>112.449012495276</v>
      </c>
      <c r="BH37" s="11" t="n">
        <f aca="false">MAX(0,BG43+Financials!BH14)</f>
        <v>104.779067462324</v>
      </c>
      <c r="BI37" s="11" t="n">
        <f aca="false">MAX(0,BH43+Financials!BI14)</f>
        <v>96.5425458996049</v>
      </c>
      <c r="BJ37" s="11" t="n">
        <f aca="false">MAX(0,BI43+Financials!BJ14)</f>
        <v>88.9421843586846</v>
      </c>
      <c r="BK37" s="11" t="n">
        <f aca="false">MAX(0,BJ43+Financials!BK14)</f>
        <v>68.4401957132797</v>
      </c>
      <c r="BL37" s="11" t="n">
        <f aca="false">MAX(0,BK43+Financials!BL14)</f>
        <v>53.3673669768257</v>
      </c>
      <c r="BM37" s="11" t="n">
        <f aca="false">MAX(0,BL43+Financials!BM14)</f>
        <v>42.4733044218406</v>
      </c>
      <c r="BN37" s="11" t="n">
        <f aca="false">MAX(0,BM43+Financials!BN14)</f>
        <v>9.28701716310381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0</v>
      </c>
      <c r="AP38" s="11" t="n">
        <f aca="false">AP24*MIN(AP31-AP34-AP35,AP37)</f>
        <v>0</v>
      </c>
      <c r="AQ38" s="11" t="n">
        <f aca="false">AQ24*MIN(AQ31-AQ34-AQ35,AQ37)</f>
        <v>0</v>
      </c>
      <c r="AR38" s="11" t="n">
        <f aca="false">AR24*MIN(AR31-AR34-AR35,AR37)</f>
        <v>0</v>
      </c>
      <c r="AS38" s="11" t="n">
        <f aca="false">AS24*MIN(AS31-AS34-AS35,AS37)</f>
        <v>32.8434803190701</v>
      </c>
      <c r="AT38" s="11" t="n">
        <f aca="false">AT24*MIN(AT31-AT34-AT35,AT37)</f>
        <v>42.2365002861952</v>
      </c>
      <c r="AU38" s="11" t="n">
        <f aca="false">AU24*MIN(AU31-AU34-AU35,AU37)</f>
        <v>48.2359769265088</v>
      </c>
      <c r="AV38" s="11" t="n">
        <f aca="false">AV24*MIN(AV31-AV34-AV35,AV37)</f>
        <v>44.7326492101122</v>
      </c>
      <c r="AW38" s="11" t="n">
        <f aca="false">AW24*MIN(AW31-AW34-AW35,AW37)</f>
        <v>43.776613843306</v>
      </c>
      <c r="AX38" s="11" t="n">
        <f aca="false">AX24*MIN(AX31-AX34-AX35,AX37)</f>
        <v>44.4354267369936</v>
      </c>
      <c r="AY38" s="11" t="n">
        <f aca="false">AY24*MIN(AY31-AY34-AY35,AY37)</f>
        <v>44.0254806356794</v>
      </c>
      <c r="AZ38" s="11" t="n">
        <f aca="false">AZ24*MIN(AZ31-AZ34-AZ35,AZ37)</f>
        <v>44.6600563620943</v>
      </c>
      <c r="BA38" s="11" t="n">
        <f aca="false">BA24*MIN(BA31-BA34-BA35,BA37)</f>
        <v>44.2728127632001</v>
      </c>
      <c r="BB38" s="11" t="n">
        <f aca="false">BB24*MIN(BB31-BB34-BB35,BB37)</f>
        <v>44.3089649091678</v>
      </c>
      <c r="BC38" s="11" t="n">
        <f aca="false">BC24*MIN(BC31-BC34-BC35,BC37)</f>
        <v>44.7226461112184</v>
      </c>
      <c r="BD38" s="11" t="n">
        <f aca="false">BD24*MIN(BD31-BD34-BD35,BD37)</f>
        <v>42.2235943953032</v>
      </c>
      <c r="BE38" s="11" t="n">
        <f aca="false">BE24*MIN(BE31-BE34-BE35,BE37)</f>
        <v>34.7813897676701</v>
      </c>
      <c r="BF38" s="11" t="n">
        <f aca="false">BF24*MIN(BF31-BF34-BF35,BF37)</f>
        <v>35.4500806045936</v>
      </c>
      <c r="BG38" s="11" t="n">
        <f aca="false">BG24*MIN(BG31-BG34-BG35,BG37)</f>
        <v>35.0169225370277</v>
      </c>
      <c r="BH38" s="11" t="n">
        <f aca="false">BH24*MIN(BH31-BH34-BH35,BH37)</f>
        <v>35.6595471247633</v>
      </c>
      <c r="BI38" s="11" t="n">
        <f aca="false">BI24*MIN(BI31-BI34-BI35,BI37)</f>
        <v>35.2445643883681</v>
      </c>
      <c r="BJ38" s="11" t="n">
        <f aca="false">BJ24*MIN(BJ31-BJ34-BJ35,BJ37)</f>
        <v>35.8286804636831</v>
      </c>
      <c r="BK38" s="11" t="n">
        <f aca="false">BK24*MIN(BK31-BK34-BK35,BK37)</f>
        <v>43.0601418896222</v>
      </c>
      <c r="BL38" s="11" t="n">
        <f aca="false">BL24*MIN(BL31-BL34-BL35,BL37)</f>
        <v>38.7837833311665</v>
      </c>
      <c r="BM38" s="11" t="n">
        <f aca="false">BM24*MIN(BM31-BM34-BM35,BM37)</f>
        <v>38.3678958128591</v>
      </c>
      <c r="BN38" s="11" t="n">
        <f aca="false">BN24*MIN(BN31-BN34-BN35,BN37)</f>
        <v>9.28701716310381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0</v>
      </c>
      <c r="BN39" s="11" t="n">
        <f aca="false">BN24*(BN31-BN34-BN35-BN38)</f>
        <v>46.0821366316147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46.0821366316147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0</v>
      </c>
      <c r="BN40" s="11" t="n">
        <f aca="false">Time!BN32*(BN39+BN30+Reserves!BN9-Reserves!BN10+Reserves!BN11-Reserves!BN12)</f>
        <v>46.0821366316147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908.036362213321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0</v>
      </c>
      <c r="AP41" s="11" t="n">
        <f aca="false">AP38+AP40</f>
        <v>0</v>
      </c>
      <c r="AQ41" s="11" t="n">
        <f aca="false">AQ38+AQ40</f>
        <v>0</v>
      </c>
      <c r="AR41" s="11" t="n">
        <f aca="false">AR38+AR40</f>
        <v>0</v>
      </c>
      <c r="AS41" s="11" t="n">
        <f aca="false">AS38+AS40</f>
        <v>32.8434803190701</v>
      </c>
      <c r="AT41" s="11" t="n">
        <f aca="false">AT38+AT40</f>
        <v>42.2365002861952</v>
      </c>
      <c r="AU41" s="11" t="n">
        <f aca="false">AU38+AU40</f>
        <v>48.2359769265088</v>
      </c>
      <c r="AV41" s="11" t="n">
        <f aca="false">AV38+AV40</f>
        <v>44.7326492101122</v>
      </c>
      <c r="AW41" s="11" t="n">
        <f aca="false">AW38+AW40</f>
        <v>43.776613843306</v>
      </c>
      <c r="AX41" s="11" t="n">
        <f aca="false">AX38+AX40</f>
        <v>44.4354267369936</v>
      </c>
      <c r="AY41" s="11" t="n">
        <f aca="false">AY38+AY40</f>
        <v>44.0254806356794</v>
      </c>
      <c r="AZ41" s="11" t="n">
        <f aca="false">AZ38+AZ40</f>
        <v>44.6600563620943</v>
      </c>
      <c r="BA41" s="11" t="n">
        <f aca="false">BA38+BA40</f>
        <v>44.2728127632001</v>
      </c>
      <c r="BB41" s="11" t="n">
        <f aca="false">BB38+BB40</f>
        <v>44.3089649091678</v>
      </c>
      <c r="BC41" s="11" t="n">
        <f aca="false">BC38+BC40</f>
        <v>44.7226461112184</v>
      </c>
      <c r="BD41" s="11" t="n">
        <f aca="false">BD38+BD40</f>
        <v>42.2235943953032</v>
      </c>
      <c r="BE41" s="11" t="n">
        <f aca="false">BE38+BE40</f>
        <v>34.7813897676701</v>
      </c>
      <c r="BF41" s="11" t="n">
        <f aca="false">BF38+BF40</f>
        <v>35.4500806045936</v>
      </c>
      <c r="BG41" s="11" t="n">
        <f aca="false">BG38+BG40</f>
        <v>35.0169225370277</v>
      </c>
      <c r="BH41" s="11" t="n">
        <f aca="false">BH38+BH40</f>
        <v>35.6595471247633</v>
      </c>
      <c r="BI41" s="11" t="n">
        <f aca="false">BI38+BI40</f>
        <v>35.2445643883681</v>
      </c>
      <c r="BJ41" s="11" t="n">
        <f aca="false">BJ38+BJ40</f>
        <v>35.8286804636831</v>
      </c>
      <c r="BK41" s="11" t="n">
        <f aca="false">BK38+BK40</f>
        <v>43.0601418896222</v>
      </c>
      <c r="BL41" s="11" t="n">
        <f aca="false">BL38+BL40</f>
        <v>38.7837833311665</v>
      </c>
      <c r="BM41" s="11" t="n">
        <f aca="false">BM38+BM40</f>
        <v>38.3678958128591</v>
      </c>
      <c r="BN41" s="11" t="n">
        <f aca="false">BN38+BN40</f>
        <v>55.3691537947186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0</v>
      </c>
      <c r="P43" s="11" t="n">
        <f aca="false">IF(Time!P17&lt;Time!$F$11,0,O43+Financials!P14-P41)</f>
        <v>9.37854471002205</v>
      </c>
      <c r="Q43" s="11" t="n">
        <f aca="false">IF(Time!Q17&lt;Time!$F$11,0,P43+Financials!Q14-Q41)</f>
        <v>15.1014689248956</v>
      </c>
      <c r="R43" s="11" t="n">
        <f aca="false">IF(Time!R17&lt;Time!$F$11,0,Q43+Financials!R14-R41)</f>
        <v>21.2470203710082</v>
      </c>
      <c r="S43" s="11" t="n">
        <f aca="false">IF(Time!S17&lt;Time!$F$11,0,R43+Financials!S14-S41)</f>
        <v>28.5860326424422</v>
      </c>
      <c r="T43" s="11" t="n">
        <f aca="false">IF(Time!T17&lt;Time!$F$11,0,S43+Financials!T14-T41)</f>
        <v>36.2431322835115</v>
      </c>
      <c r="U43" s="11" t="n">
        <f aca="false">IF(Time!U17&lt;Time!$F$11,0,T43+Financials!U14-U41)</f>
        <v>44.9350451313273</v>
      </c>
      <c r="V43" s="11" t="n">
        <f aca="false">IF(Time!V17&lt;Time!$F$11,0,U43+Financials!V14-V41)</f>
        <v>54.1960575871065</v>
      </c>
      <c r="W43" s="11" t="n">
        <f aca="false">IF(Time!W17&lt;Time!$F$11,0,V43+Financials!W14-W41)</f>
        <v>62.2781835280854</v>
      </c>
      <c r="X43" s="11" t="n">
        <f aca="false">IF(Time!X17&lt;Time!$F$11,0,W43+Financials!X14-X41)</f>
        <v>73.4061959378001</v>
      </c>
      <c r="Y43" s="11" t="n">
        <f aca="false">IF(Time!Y17&lt;Time!$F$11,0,X43+Financials!Y14-Y41)</f>
        <v>85.2247299691766</v>
      </c>
      <c r="Z43" s="11" t="n">
        <f aca="false">IF(Time!Z17&lt;Time!$F$11,0,Y43+Financials!Z14-Z41)</f>
        <v>94.9900299306117</v>
      </c>
      <c r="AA43" s="11" t="n">
        <f aca="false">IF(Time!AA17&lt;Time!$F$11,0,Z43+Financials!AA14-AA41)</f>
        <v>100.521739243853</v>
      </c>
      <c r="AB43" s="11" t="n">
        <f aca="false">IF(Time!AB17&lt;Time!$F$11,0,AA43+Financials!AB14-AB41)</f>
        <v>106.448545309505</v>
      </c>
      <c r="AC43" s="11" t="n">
        <f aca="false">IF(Time!AC17&lt;Time!$F$11,0,AB43+Financials!AC14-AC41)</f>
        <v>113.222667739683</v>
      </c>
      <c r="AD43" s="11" t="n">
        <f aca="false">IF(Time!AD17&lt;Time!$F$11,0,AC43+Financials!AD14-AD41)</f>
        <v>120.597627027737</v>
      </c>
      <c r="AE43" s="11" t="n">
        <f aca="false">IF(Time!AE17&lt;Time!$F$11,0,AD43+Financials!AE14-AE41)</f>
        <v>118.905959772213</v>
      </c>
      <c r="AF43" s="11" t="n">
        <f aca="false">IF(Time!AF17&lt;Time!$F$11,0,AE43+Financials!AF14-AF41)</f>
        <v>129.073207215107</v>
      </c>
      <c r="AG43" s="11" t="n">
        <f aca="false">IF(Time!AG17&lt;Time!$F$11,0,AF43+Financials!AG14-AG41)</f>
        <v>138.899882867418</v>
      </c>
      <c r="AH43" s="11" t="n">
        <f aca="false">IF(Time!AH17&lt;Time!$F$11,0,AG43+Financials!AH14-AH41)</f>
        <v>149.462412616022</v>
      </c>
      <c r="AI43" s="11" t="n">
        <f aca="false">IF(Time!AI17&lt;Time!$F$11,0,AH43+Financials!AI14-AI41)</f>
        <v>161.225692624158</v>
      </c>
      <c r="AJ43" s="11" t="n">
        <f aca="false">IF(Time!AJ17&lt;Time!$F$11,0,AI43+Financials!AJ14-AJ41)</f>
        <v>173.812852299616</v>
      </c>
      <c r="AK43" s="11" t="n">
        <f aca="false">IF(Time!AK17&lt;Time!$F$11,0,AJ43+Financials!AK14-AK41)</f>
        <v>187.569165993154</v>
      </c>
      <c r="AL43" s="11" t="n">
        <f aca="false">IF(Time!AL17&lt;Time!$F$11,0,AK43+Financials!AL14-AL41)</f>
        <v>202.38938441269</v>
      </c>
      <c r="AM43" s="11" t="n">
        <f aca="false">IF(Time!AM17&lt;Time!$F$11,0,AL43+Financials!AM14-AM41)</f>
        <v>216.523075993528</v>
      </c>
      <c r="AN43" s="11" t="n">
        <f aca="false">IF(Time!AN17&lt;Time!$F$11,0,AM43+Financials!AN14-AN41)</f>
        <v>233.852387167608</v>
      </c>
      <c r="AO43" s="11" t="n">
        <f aca="false">IF(Time!AO17&lt;Time!$F$11,0,AN43+Financials!AO14-AO41)</f>
        <v>252.434296405148</v>
      </c>
      <c r="AP43" s="11" t="n">
        <f aca="false">IF(Time!AP17&lt;Time!$F$11,0,AO43+Financials!AP14-AP41)</f>
        <v>272.805562234217</v>
      </c>
      <c r="AQ43" s="11" t="n">
        <f aca="false">IF(Time!AQ17&lt;Time!$F$11,0,AP43+Financials!AQ14-AQ41)</f>
        <v>294.846870154496</v>
      </c>
      <c r="AR43" s="11" t="n">
        <f aca="false">IF(Time!AR17&lt;Time!$F$11,0,AQ43+Financials!AR14-AR41)</f>
        <v>318.862809477107</v>
      </c>
      <c r="AS43" s="11" t="n">
        <f aca="false">IF(Time!AS17&lt;Time!$F$11,0,AR43+Financials!AS14-AS41)</f>
        <v>311.466411402239</v>
      </c>
      <c r="AT43" s="11" t="n">
        <f aca="false">IF(Time!AT17&lt;Time!$F$11,0,AS43+Financials!AT14-AT41)</f>
        <v>295.144178863545</v>
      </c>
      <c r="AU43" s="11" t="n">
        <f aca="false">IF(Time!AU17&lt;Time!$F$11,0,AT43+Financials!AU14-AU41)</f>
        <v>262.404110795399</v>
      </c>
      <c r="AV43" s="11" t="n">
        <f aca="false">IF(Time!AV17&lt;Time!$F$11,0,AU43+Financials!AV14-AV41)</f>
        <v>243.873789416861</v>
      </c>
      <c r="AW43" s="11" t="n">
        <f aca="false">IF(Time!AW17&lt;Time!$F$11,0,AV43+Financials!AW14-AW41)</f>
        <v>226.226420949574</v>
      </c>
      <c r="AX43" s="11" t="n">
        <f aca="false">IF(Time!AX17&lt;Time!$F$11,0,AW43+Financials!AX14-AX41)</f>
        <v>208.039028126517</v>
      </c>
      <c r="AY43" s="11" t="n">
        <f aca="false">IF(Time!AY17&lt;Time!$F$11,0,AX43+Financials!AY14-AY41)</f>
        <v>190.395564233452</v>
      </c>
      <c r="AZ43" s="11" t="n">
        <f aca="false">IF(Time!AZ17&lt;Time!$F$11,0,AY43+Financials!AZ14-AZ41)</f>
        <v>172.207349431699</v>
      </c>
      <c r="BA43" s="11" t="n">
        <f aca="false">IF(Time!BA17&lt;Time!$F$11,0,AZ43+Financials!BA14-BA41)</f>
        <v>154.478028015633</v>
      </c>
      <c r="BB43" s="11" t="n">
        <f aca="false">IF(Time!BB17&lt;Time!$F$11,0,BA43+Financials!BB14-BB41)</f>
        <v>136.878928299426</v>
      </c>
      <c r="BC43" s="11" t="n">
        <f aca="false">IF(Time!BC17&lt;Time!$F$11,0,BB43+Financials!BC14-BC41)</f>
        <v>116.588347587686</v>
      </c>
      <c r="BD43" s="11" t="n">
        <f aca="false">IF(Time!BD17&lt;Time!$F$11,0,BC43+Financials!BD14-BD41)</f>
        <v>101.352231498082</v>
      </c>
      <c r="BE43" s="11" t="n">
        <f aca="false">IF(Time!BE17&lt;Time!$F$11,0,BD43+Financials!BE14-BE41)</f>
        <v>93.5453634193785</v>
      </c>
      <c r="BF43" s="11" t="n">
        <f aca="false">IF(Time!BF17&lt;Time!$F$11,0,BE43+Financials!BF14-BF41)</f>
        <v>85.1994745028919</v>
      </c>
      <c r="BG43" s="11" t="n">
        <f aca="false">IF(Time!BG17&lt;Time!$F$11,0,BF43+Financials!BG14-BG41)</f>
        <v>77.4320899582481</v>
      </c>
      <c r="BH43" s="11" t="n">
        <f aca="false">IF(Time!BH17&lt;Time!$F$11,0,BG43+Financials!BH14-BH41)</f>
        <v>69.1195203375602</v>
      </c>
      <c r="BI43" s="11" t="n">
        <f aca="false">IF(Time!BI17&lt;Time!$F$11,0,BH43+Financials!BI14-BI41)</f>
        <v>61.2979815112368</v>
      </c>
      <c r="BJ43" s="11" t="n">
        <f aca="false">IF(Time!BJ17&lt;Time!$F$11,0,BI43+Financials!BJ14-BJ41)</f>
        <v>53.1135038950015</v>
      </c>
      <c r="BK43" s="11" t="n">
        <f aca="false">IF(Time!BK17&lt;Time!$F$11,0,BJ43+Financials!BK14-BK41)</f>
        <v>25.3800538236575</v>
      </c>
      <c r="BL43" s="11" t="n">
        <f aca="false">IF(Time!BL17&lt;Time!$F$11,0,BK43+Financials!BL14-BL41)</f>
        <v>14.5835836456592</v>
      </c>
      <c r="BM43" s="11" t="n">
        <f aca="false">IF(Time!BM17&lt;Time!$F$11,0,BL43+Financials!BM14-BM41)</f>
        <v>4.1054086089815</v>
      </c>
      <c r="BN43" s="11" t="n">
        <f aca="false">IF(Time!BN17&lt;Time!$F$11,0,BM43+Financials!BN14-BN41)</f>
        <v>-46.0821366316147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1410.73415411368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0</v>
      </c>
      <c r="Q44" s="11" t="n">
        <f aca="false">Q34+Q35+Q41</f>
        <v>11.9411377585296</v>
      </c>
      <c r="R44" s="11" t="n">
        <f aca="false">R34+R35+R41</f>
        <v>10.9811262587414</v>
      </c>
      <c r="S44" s="11" t="n">
        <f aca="false">S34+S35+S41</f>
        <v>10.1937583240623</v>
      </c>
      <c r="T44" s="11" t="n">
        <f aca="false">T34+T35+T41</f>
        <v>10.9709652187198</v>
      </c>
      <c r="U44" s="11" t="n">
        <f aca="false">U34+U35+U41</f>
        <v>9.87364592414637</v>
      </c>
      <c r="V44" s="11" t="n">
        <f aca="false">V34+V35+V41</f>
        <v>10.6606330335929</v>
      </c>
      <c r="W44" s="11" t="n">
        <f aca="false">W34+W35+W41</f>
        <v>12.055536140849</v>
      </c>
      <c r="X44" s="11" t="n">
        <f aca="false">X34+X35+X41</f>
        <v>12.9904257519621</v>
      </c>
      <c r="Y44" s="11" t="n">
        <f aca="false">Y34+Y35+Y41</f>
        <v>10.1756209089765</v>
      </c>
      <c r="Z44" s="11" t="n">
        <f aca="false">Z34+Z35+Z41</f>
        <v>11.0097969556862</v>
      </c>
      <c r="AA44" s="11" t="n">
        <f aca="false">AA34+AA35+AA41</f>
        <v>4.97968731941094</v>
      </c>
      <c r="AB44" s="11" t="n">
        <f aca="false">AB34+AB35+AB41</f>
        <v>5.87910907101877</v>
      </c>
      <c r="AC44" s="11" t="n">
        <f aca="false">AC34+AC35+AC41</f>
        <v>5.3541250244998</v>
      </c>
      <c r="AD44" s="11" t="n">
        <f aca="false">AD34+AD35+AD41</f>
        <v>5.91338598779726</v>
      </c>
      <c r="AE44" s="11" t="n">
        <f aca="false">AE34+AE35+AE41</f>
        <v>6.86569944577716</v>
      </c>
      <c r="AF44" s="11" t="n">
        <f aca="false">AF34+AF35+AF41</f>
        <v>8.07717524116026</v>
      </c>
      <c r="AG44" s="11" t="n">
        <f aca="false">AG34+AG35+AG41</f>
        <v>8.13714505920316</v>
      </c>
      <c r="AH44" s="11" t="n">
        <f aca="false">AH34+AH35+AH41</f>
        <v>9.32475500558314</v>
      </c>
      <c r="AI44" s="11" t="n">
        <f aca="false">AI34+AI35+AI41</f>
        <v>9.97184714188098</v>
      </c>
      <c r="AJ44" s="11" t="n">
        <f aca="false">AJ34+AJ35+AJ41</f>
        <v>11.5769808783277</v>
      </c>
      <c r="AK44" s="11" t="n">
        <f aca="false">AK34+AK35+AK41</f>
        <v>13.2550622689768</v>
      </c>
      <c r="AL44" s="11" t="n">
        <f aca="false">AL34+AL35+AL41</f>
        <v>31.568224776146</v>
      </c>
      <c r="AM44" s="11" t="n">
        <f aca="false">AM34+AM35+AM41</f>
        <v>32.6109283341595</v>
      </c>
      <c r="AN44" s="11" t="n">
        <f aca="false">AN34+AN35+AN41</f>
        <v>33.4365211945138</v>
      </c>
      <c r="AO44" s="11" t="n">
        <f aca="false">AO34+AO35+AO41</f>
        <v>50.6597042674252</v>
      </c>
      <c r="AP44" s="11" t="n">
        <f aca="false">AP34+AP35+AP41</f>
        <v>51.3388059528544</v>
      </c>
      <c r="AQ44" s="11" t="n">
        <f aca="false">AQ34+AQ35+AQ41</f>
        <v>50.9858164161794</v>
      </c>
      <c r="AR44" s="11" t="n">
        <f aca="false">AR34+AR35+AR41</f>
        <v>42.9383801241977</v>
      </c>
      <c r="AS44" s="11" t="n">
        <f aca="false">AS34+AS35+AS41</f>
        <v>41.8152724350504</v>
      </c>
      <c r="AT44" s="11" t="n">
        <f aca="false">AT34+AT35+AT41</f>
        <v>42.2365002861952</v>
      </c>
      <c r="AU44" s="11" t="n">
        <f aca="false">AU34+AU35+AU41</f>
        <v>48.2359769265088</v>
      </c>
      <c r="AV44" s="11" t="n">
        <f aca="false">AV34+AV35+AV41</f>
        <v>44.7326492101122</v>
      </c>
      <c r="AW44" s="11" t="n">
        <f aca="false">AW34+AW35+AW41</f>
        <v>43.776613843306</v>
      </c>
      <c r="AX44" s="11" t="n">
        <f aca="false">AX34+AX35+AX41</f>
        <v>44.4354267369936</v>
      </c>
      <c r="AY44" s="11" t="n">
        <f aca="false">AY34+AY35+AY41</f>
        <v>44.0254806356794</v>
      </c>
      <c r="AZ44" s="11" t="n">
        <f aca="false">AZ34+AZ35+AZ41</f>
        <v>44.6600563620943</v>
      </c>
      <c r="BA44" s="11" t="n">
        <f aca="false">BA34+BA35+BA41</f>
        <v>44.2728127632001</v>
      </c>
      <c r="BB44" s="11" t="n">
        <f aca="false">BB34+BB35+BB41</f>
        <v>44.3089649091678</v>
      </c>
      <c r="BC44" s="11" t="n">
        <f aca="false">BC34+BC35+BC41</f>
        <v>44.7226461112184</v>
      </c>
      <c r="BD44" s="11" t="n">
        <f aca="false">BD34+BD35+BD41</f>
        <v>42.2235943953032</v>
      </c>
      <c r="BE44" s="11" t="n">
        <f aca="false">BE34+BE35+BE41</f>
        <v>34.7813897676701</v>
      </c>
      <c r="BF44" s="11" t="n">
        <f aca="false">BF34+BF35+BF41</f>
        <v>35.4500806045936</v>
      </c>
      <c r="BG44" s="11" t="n">
        <f aca="false">BG34+BG35+BG41</f>
        <v>35.0169225370277</v>
      </c>
      <c r="BH44" s="11" t="n">
        <f aca="false">BH34+BH35+BH41</f>
        <v>35.6595471247633</v>
      </c>
      <c r="BI44" s="11" t="n">
        <f aca="false">BI34+BI35+BI41</f>
        <v>35.2445643883681</v>
      </c>
      <c r="BJ44" s="11" t="n">
        <f aca="false">BJ34+BJ35+BJ41</f>
        <v>35.8286804636831</v>
      </c>
      <c r="BK44" s="11" t="n">
        <f aca="false">BK34+BK35+BK41</f>
        <v>43.0601418896222</v>
      </c>
      <c r="BL44" s="11" t="n">
        <f aca="false">BL34+BL35+BL41</f>
        <v>38.7837833311665</v>
      </c>
      <c r="BM44" s="11" t="n">
        <f aca="false">BM34+BM35+BM41</f>
        <v>38.3678958128591</v>
      </c>
      <c r="BN44" s="11" t="n">
        <f aca="false">BN34+BN35+BN41</f>
        <v>55.3691537947186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876.457393195604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0</v>
      </c>
      <c r="P8" s="11" t="n">
        <f aca="false">Funding!$F$76/300*Time!P25</f>
        <v>5.84304928797069</v>
      </c>
      <c r="Q8" s="11" t="n">
        <f aca="false">Funding!$F$76/300*Time!Q25</f>
        <v>17.5291478639121</v>
      </c>
      <c r="R8" s="11" t="n">
        <f aca="false">Funding!$F$76/300*Time!R25</f>
        <v>17.5291478639121</v>
      </c>
      <c r="S8" s="11" t="n">
        <f aca="false">Funding!$F$76/300*Time!S25</f>
        <v>17.5291478639121</v>
      </c>
      <c r="T8" s="11" t="n">
        <f aca="false">Funding!$F$76/300*Time!T25</f>
        <v>17.5291478639121</v>
      </c>
      <c r="U8" s="11" t="n">
        <f aca="false">Funding!$F$76/300*Time!U25</f>
        <v>17.5291478639121</v>
      </c>
      <c r="V8" s="11" t="n">
        <f aca="false">Funding!$F$76/300*Time!V25</f>
        <v>17.5291478639121</v>
      </c>
      <c r="W8" s="11" t="n">
        <f aca="false">Funding!$F$76/300*Time!W25</f>
        <v>17.5291478639121</v>
      </c>
      <c r="X8" s="11" t="n">
        <f aca="false">Funding!$F$76/300*Time!X25</f>
        <v>17.5291478639121</v>
      </c>
      <c r="Y8" s="11" t="n">
        <f aca="false">Funding!$F$76/300*Time!Y25</f>
        <v>17.5291478639121</v>
      </c>
      <c r="Z8" s="11" t="n">
        <f aca="false">Funding!$F$76/300*Time!Z25</f>
        <v>17.5291478639121</v>
      </c>
      <c r="AA8" s="11" t="n">
        <f aca="false">Funding!$F$76/300*Time!AA25</f>
        <v>17.5291478639121</v>
      </c>
      <c r="AB8" s="11" t="n">
        <f aca="false">Funding!$F$76/300*Time!AB25</f>
        <v>17.5291478639121</v>
      </c>
      <c r="AC8" s="11" t="n">
        <f aca="false">Funding!$F$76/300*Time!AC25</f>
        <v>17.5291478639121</v>
      </c>
      <c r="AD8" s="11" t="n">
        <f aca="false">Funding!$F$76/300*Time!AD25</f>
        <v>17.5291478639121</v>
      </c>
      <c r="AE8" s="11" t="n">
        <f aca="false">Funding!$F$76/300*Time!AE25</f>
        <v>17.5291478639121</v>
      </c>
      <c r="AF8" s="11" t="n">
        <f aca="false">Funding!$F$76/300*Time!AF25</f>
        <v>17.5291478639121</v>
      </c>
      <c r="AG8" s="11" t="n">
        <f aca="false">Funding!$F$76/300*Time!AG25</f>
        <v>17.5291478639121</v>
      </c>
      <c r="AH8" s="11" t="n">
        <f aca="false">Funding!$F$76/300*Time!AH25</f>
        <v>17.5291478639121</v>
      </c>
      <c r="AI8" s="11" t="n">
        <f aca="false">Funding!$F$76/300*Time!AI25</f>
        <v>17.5291478639121</v>
      </c>
      <c r="AJ8" s="11" t="n">
        <f aca="false">Funding!$F$76/300*Time!AJ25</f>
        <v>17.5291478639121</v>
      </c>
      <c r="AK8" s="11" t="n">
        <f aca="false">Funding!$F$76/300*Time!AK25</f>
        <v>17.5291478639121</v>
      </c>
      <c r="AL8" s="11" t="n">
        <f aca="false">Funding!$F$76/300*Time!AL25</f>
        <v>17.5291478639121</v>
      </c>
      <c r="AM8" s="11" t="n">
        <f aca="false">Funding!$F$76/300*Time!AM25</f>
        <v>17.5291478639121</v>
      </c>
      <c r="AN8" s="11" t="n">
        <f aca="false">Funding!$F$76/300*Time!AN25</f>
        <v>17.5291478639121</v>
      </c>
      <c r="AO8" s="11" t="n">
        <f aca="false">Funding!$F$76/300*Time!AO25</f>
        <v>17.5291478639121</v>
      </c>
      <c r="AP8" s="11" t="n">
        <f aca="false">Funding!$F$76/300*Time!AP25</f>
        <v>17.5291478639121</v>
      </c>
      <c r="AQ8" s="11" t="n">
        <f aca="false">Funding!$F$76/300*Time!AQ25</f>
        <v>17.5291478639121</v>
      </c>
      <c r="AR8" s="11" t="n">
        <f aca="false">Funding!$F$76/300*Time!AR25</f>
        <v>17.5291478639121</v>
      </c>
      <c r="AS8" s="11" t="n">
        <f aca="false">Funding!$F$76/300*Time!AS25</f>
        <v>17.5291478639121</v>
      </c>
      <c r="AT8" s="11" t="n">
        <f aca="false">Funding!$F$76/300*Time!AT25</f>
        <v>17.5291478639121</v>
      </c>
      <c r="AU8" s="11" t="n">
        <f aca="false">Funding!$F$76/300*Time!AU25</f>
        <v>17.5291478639121</v>
      </c>
      <c r="AV8" s="11" t="n">
        <f aca="false">Funding!$F$76/300*Time!AV25</f>
        <v>17.5291478639121</v>
      </c>
      <c r="AW8" s="11" t="n">
        <f aca="false">Funding!$F$76/300*Time!AW25</f>
        <v>17.5291478639121</v>
      </c>
      <c r="AX8" s="11" t="n">
        <f aca="false">Funding!$F$76/300*Time!AX25</f>
        <v>17.5291478639121</v>
      </c>
      <c r="AY8" s="11" t="n">
        <f aca="false">Funding!$F$76/300*Time!AY25</f>
        <v>17.5291478639121</v>
      </c>
      <c r="AZ8" s="11" t="n">
        <f aca="false">Funding!$F$76/300*Time!AZ25</f>
        <v>17.5291478639121</v>
      </c>
      <c r="BA8" s="11" t="n">
        <f aca="false">Funding!$F$76/300*Time!BA25</f>
        <v>17.5291478639121</v>
      </c>
      <c r="BB8" s="11" t="n">
        <f aca="false">Funding!$F$76/300*Time!BB25</f>
        <v>17.5291478639121</v>
      </c>
      <c r="BC8" s="11" t="n">
        <f aca="false">Funding!$F$76/300*Time!BC25</f>
        <v>17.5291478639121</v>
      </c>
      <c r="BD8" s="11" t="n">
        <f aca="false">Funding!$F$76/300*Time!BD25</f>
        <v>17.5291478639121</v>
      </c>
      <c r="BE8" s="11" t="n">
        <f aca="false">Funding!$F$76/300*Time!BE25</f>
        <v>17.5291478639121</v>
      </c>
      <c r="BF8" s="11" t="n">
        <f aca="false">Funding!$F$76/300*Time!BF25</f>
        <v>17.5291478639121</v>
      </c>
      <c r="BG8" s="11" t="n">
        <f aca="false">Funding!$F$76/300*Time!BG25</f>
        <v>17.5291478639121</v>
      </c>
      <c r="BH8" s="11" t="n">
        <f aca="false">Funding!$F$76/300*Time!BH25</f>
        <v>17.5291478639121</v>
      </c>
      <c r="BI8" s="11" t="n">
        <f aca="false">Funding!$F$76/300*Time!BI25</f>
        <v>17.5291478639121</v>
      </c>
      <c r="BJ8" s="11" t="n">
        <f aca="false">Funding!$F$76/300*Time!BJ25</f>
        <v>17.5291478639121</v>
      </c>
      <c r="BK8" s="11" t="n">
        <f aca="false">Funding!$F$76/300*Time!BK25</f>
        <v>17.5291478639121</v>
      </c>
      <c r="BL8" s="11" t="n">
        <f aca="false">Funding!$F$76/300*Time!BL25</f>
        <v>17.5291478639121</v>
      </c>
      <c r="BM8" s="11" t="n">
        <f aca="false">Funding!$F$76/300*Time!BM25</f>
        <v>17.5291478639121</v>
      </c>
      <c r="BN8" s="11" t="n">
        <f aca="false">Funding!$F$76/300*Time!BN25</f>
        <v>11.6860985759414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600.282045262107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0</v>
      </c>
      <c r="P9" s="11" t="n">
        <f aca="false">Debt!P119+Debt!P117+Debt!P111-Debt!P110+Tax!P13</f>
        <v>3.45438227917857</v>
      </c>
      <c r="Q9" s="11" t="n">
        <f aca="false">Debt!Q119+Debt!Q117+Debt!Q111-Debt!Q110+Tax!Q13</f>
        <v>32.8128037102916</v>
      </c>
      <c r="R9" s="11" t="n">
        <f aca="false">Debt!R119+Debt!R117+Debt!R111-Debt!R110+Tax!R13</f>
        <v>32.5707857513585</v>
      </c>
      <c r="S9" s="11" t="n">
        <f aca="false">Debt!S119+Debt!S117+Debt!S111-Debt!S110+Tax!S13</f>
        <v>31.5281080718952</v>
      </c>
      <c r="T9" s="11" t="n">
        <f aca="false">Debt!T119+Debt!T117+Debt!T111-Debt!T110+Tax!T13</f>
        <v>31.3026971999403</v>
      </c>
      <c r="U9" s="11" t="n">
        <f aca="false">Debt!U119+Debt!U117+Debt!U111-Debt!U110+Tax!U13</f>
        <v>30.3484032405545</v>
      </c>
      <c r="V9" s="11" t="n">
        <f aca="false">Debt!V119+Debt!V117+Debt!V111-Debt!V110+Tax!V13</f>
        <v>29.9435432194977</v>
      </c>
      <c r="W9" s="11" t="n">
        <f aca="false">Debt!W119+Debt!W117+Debt!W111-Debt!W110+Tax!W13</f>
        <v>28.8220224386588</v>
      </c>
      <c r="X9" s="11" t="n">
        <f aca="false">Debt!X119+Debt!X117+Debt!X111-Debt!X110+Tax!X13</f>
        <v>28.3587355420575</v>
      </c>
      <c r="Y9" s="11" t="n">
        <f aca="false">Debt!Y119+Debt!Y117+Debt!Y111-Debt!Y110+Tax!Y13</f>
        <v>27.6701770218136</v>
      </c>
      <c r="Z9" s="11" t="n">
        <f aca="false">Debt!Z119+Debt!Z117+Debt!Z111-Debt!Z110+Tax!Z13</f>
        <v>27.2736383926821</v>
      </c>
      <c r="AA9" s="11" t="n">
        <f aca="false">Debt!AA119+Debt!AA117+Debt!AA111-Debt!AA110+Tax!AA13</f>
        <v>26.0977408271447</v>
      </c>
      <c r="AB9" s="11" t="n">
        <f aca="false">Debt!AB119+Debt!AB117+Debt!AB111-Debt!AB110+Tax!AB13</f>
        <v>25.6312838022889</v>
      </c>
      <c r="AC9" s="11" t="n">
        <f aca="false">Debt!AC119+Debt!AC117+Debt!AC111-Debt!AC110+Tax!AC13</f>
        <v>24.5035584760627</v>
      </c>
      <c r="AD9" s="11" t="n">
        <f aca="false">Debt!AD119+Debt!AD117+Debt!AD111-Debt!AD110+Tax!AD13</f>
        <v>23.8603917913114</v>
      </c>
      <c r="AE9" s="11" t="n">
        <f aca="false">Debt!AE119+Debt!AE117+Debt!AE111-Debt!AE110+Tax!AE13</f>
        <v>22.5924859345414</v>
      </c>
      <c r="AF9" s="11" t="n">
        <f aca="false">Debt!AF119+Debt!AF117+Debt!AF111-Debt!AF110+Tax!AF13</f>
        <v>21.83677574122</v>
      </c>
      <c r="AG9" s="11" t="n">
        <f aca="false">Debt!AG119+Debt!AG117+Debt!AG111-Debt!AG110+Tax!AG13</f>
        <v>20.6182550476866</v>
      </c>
      <c r="AH9" s="11" t="n">
        <f aca="false">Debt!AH119+Debt!AH117+Debt!AH111-Debt!AH110+Tax!AH13</f>
        <v>19.7071012209956</v>
      </c>
      <c r="AI9" s="11" t="n">
        <f aca="false">Debt!AI119+Debt!AI117+Debt!AI111-Debt!AI110+Tax!AI13</f>
        <v>18.152313867473</v>
      </c>
      <c r="AJ9" s="11" t="n">
        <f aca="false">Debt!AJ119+Debt!AJ117+Debt!AJ111-Debt!AJ110+Tax!AJ13</f>
        <v>17.0816025908045</v>
      </c>
      <c r="AK9" s="11" t="n">
        <f aca="false">Debt!AK119+Debt!AK117+Debt!AK111-Debt!AK110+Tax!AK13</f>
        <v>15.4991573560408</v>
      </c>
      <c r="AL9" s="11" t="n">
        <f aca="false">Debt!AL119+Debt!AL117+Debt!AL111-Debt!AL110+Tax!AL13</f>
        <v>14.1750671907455</v>
      </c>
      <c r="AM9" s="11" t="n">
        <f aca="false">Debt!AM119+Debt!AM117+Debt!AM111-Debt!AM110+Tax!AM13</f>
        <v>12.4187746385342</v>
      </c>
      <c r="AN9" s="11" t="n">
        <f aca="false">Debt!AN119+Debt!AN117+Debt!AN111-Debt!AN110+Tax!AN13</f>
        <v>10.920605457187</v>
      </c>
      <c r="AO9" s="11" t="n">
        <f aca="false">Debt!AO119+Debt!AO117+Debt!AO111-Debt!AO110+Tax!AO13</f>
        <v>9.12008903773929</v>
      </c>
      <c r="AP9" s="11" t="n">
        <f aca="false">Debt!AP119+Debt!AP117+Debt!AP111-Debt!AP110+Tax!AP13</f>
        <v>6.71678574226097</v>
      </c>
      <c r="AQ9" s="11" t="n">
        <f aca="false">Debt!AQ119+Debt!AQ117+Debt!AQ111-Debt!AQ110+Tax!AQ13</f>
        <v>4.50514789694131</v>
      </c>
      <c r="AR9" s="11" t="n">
        <f aca="false">Debt!AR119+Debt!AR117+Debt!AR111-Debt!AR110+Tax!AR13</f>
        <v>2.35384053952822</v>
      </c>
      <c r="AS9" s="11" t="n">
        <f aca="false">Debt!AS119+Debt!AS117+Debt!AS111-Debt!AS110+Tax!AS13</f>
        <v>0.405771235672654</v>
      </c>
      <c r="AT9" s="11" t="n">
        <f aca="false">Debt!AT119+Debt!AT117+Debt!AT111-Debt!AT110+Tax!AT13</f>
        <v>0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876.457393195604</v>
      </c>
      <c r="K10" s="11" t="n">
        <f aca="false">Funding!$F$76-SUM(Tax!$J$10:K$10)</f>
        <v>876.457393195604</v>
      </c>
      <c r="L10" s="11" t="n">
        <f aca="false">Funding!$F$76-SUM(Tax!$J$10:L$10)</f>
        <v>876.457393195604</v>
      </c>
      <c r="M10" s="11" t="n">
        <f aca="false">Funding!$F$76-SUM(Tax!$J$10:M$10)</f>
        <v>876.457393195604</v>
      </c>
      <c r="N10" s="11" t="n">
        <f aca="false">Funding!$F$76-SUM(Tax!$J$10:N$10)</f>
        <v>876.457393195604</v>
      </c>
      <c r="O10" s="11" t="n">
        <f aca="false">Funding!$F$76-SUM(Tax!$J$10:O$10)</f>
        <v>876.457393195604</v>
      </c>
      <c r="P10" s="11" t="n">
        <f aca="false">Funding!$F$76-SUM(Tax!$J$10:P$10)</f>
        <v>868.569276656843</v>
      </c>
      <c r="Q10" s="11" t="n">
        <f aca="false">Funding!$F$76-SUM(Tax!$J$10:Q$10)</f>
        <v>844.904927040562</v>
      </c>
      <c r="R10" s="11" t="n">
        <f aca="false">Funding!$F$76-SUM(Tax!$J$10:R$10)</f>
        <v>821.240577424281</v>
      </c>
      <c r="S10" s="11" t="n">
        <f aca="false">Funding!$F$76-SUM(Tax!$J$10:S$10)</f>
        <v>797.576227807999</v>
      </c>
      <c r="T10" s="11" t="n">
        <f aca="false">Funding!$F$76-SUM(Tax!$J$10:T$10)</f>
        <v>773.911878191718</v>
      </c>
      <c r="U10" s="11" t="n">
        <f aca="false">Funding!$F$76-SUM(Tax!$J$10:U$10)</f>
        <v>750.247528575437</v>
      </c>
      <c r="V10" s="11" t="n">
        <f aca="false">Funding!$F$76-SUM(Tax!$J$10:V$10)</f>
        <v>726.583178959156</v>
      </c>
      <c r="W10" s="11" t="n">
        <f aca="false">Funding!$F$76-SUM(Tax!$J$10:W$10)</f>
        <v>702.918829342874</v>
      </c>
      <c r="X10" s="11" t="n">
        <f aca="false">Funding!$F$76-SUM(Tax!$J$10:X$10)</f>
        <v>679.254479726593</v>
      </c>
      <c r="Y10" s="11" t="n">
        <f aca="false">Funding!$F$76-SUM(Tax!$J$10:Y$10)</f>
        <v>655.590130110312</v>
      </c>
      <c r="Z10" s="11" t="n">
        <f aca="false">Funding!$F$76-SUM(Tax!$J$10:Z$10)</f>
        <v>632.802237887226</v>
      </c>
      <c r="AA10" s="11" t="n">
        <f aca="false">Funding!$F$76-SUM(Tax!$J$10:AA$10)</f>
        <v>611.767260450532</v>
      </c>
      <c r="AB10" s="11" t="n">
        <f aca="false">Funding!$F$76-SUM(Tax!$J$10:AB$10)</f>
        <v>590.732283013837</v>
      </c>
      <c r="AC10" s="11" t="n">
        <f aca="false">Funding!$F$76-SUM(Tax!$J$10:AC$10)</f>
        <v>569.697305577143</v>
      </c>
      <c r="AD10" s="11" t="n">
        <f aca="false">Funding!$F$76-SUM(Tax!$J$10:AD$10)</f>
        <v>548.662328140448</v>
      </c>
      <c r="AE10" s="11" t="n">
        <f aca="false">Funding!$F$76-SUM(Tax!$J$10:AE$10)</f>
        <v>527.627350703754</v>
      </c>
      <c r="AF10" s="11" t="n">
        <f aca="false">Funding!$F$76-SUM(Tax!$J$10:AF$10)</f>
        <v>506.592373267059</v>
      </c>
      <c r="AG10" s="11" t="n">
        <f aca="false">Funding!$F$76-SUM(Tax!$J$10:AG$10)</f>
        <v>485.557395830364</v>
      </c>
      <c r="AH10" s="11" t="n">
        <f aca="false">Funding!$F$76-SUM(Tax!$J$10:AH$10)</f>
        <v>464.52241839367</v>
      </c>
      <c r="AI10" s="11" t="n">
        <f aca="false">Funding!$F$76-SUM(Tax!$J$10:AI$10)</f>
        <v>443.487440956976</v>
      </c>
      <c r="AJ10" s="11" t="n">
        <f aca="false">Funding!$F$76-SUM(Tax!$J$10:AJ$10)</f>
        <v>422.452463520281</v>
      </c>
      <c r="AK10" s="11" t="n">
        <f aca="false">Funding!$F$76-SUM(Tax!$J$10:AK$10)</f>
        <v>401.417486083587</v>
      </c>
      <c r="AL10" s="11" t="n">
        <f aca="false">Funding!$F$76-SUM(Tax!$J$10:AL$10)</f>
        <v>380.382508646892</v>
      </c>
      <c r="AM10" s="11" t="n">
        <f aca="false">Funding!$F$76-SUM(Tax!$J$10:AM$10)</f>
        <v>359.347531210198</v>
      </c>
      <c r="AN10" s="11" t="n">
        <f aca="false">Funding!$F$76-SUM(Tax!$J$10:AN$10)</f>
        <v>338.312553773503</v>
      </c>
      <c r="AO10" s="11" t="n">
        <f aca="false">Funding!$F$76-SUM(Tax!$J$10:AO$10)</f>
        <v>317.277576336808</v>
      </c>
      <c r="AP10" s="11" t="n">
        <f aca="false">Funding!$F$76-SUM(Tax!$J$10:AP$10)</f>
        <v>296.242598900114</v>
      </c>
      <c r="AQ10" s="11" t="n">
        <f aca="false">Funding!$F$76-SUM(Tax!$J$10:AQ$10)</f>
        <v>275.20762146342</v>
      </c>
      <c r="AR10" s="11" t="n">
        <f aca="false">Funding!$F$76-SUM(Tax!$J$10:AR$10)</f>
        <v>254.172644026725</v>
      </c>
      <c r="AS10" s="11" t="n">
        <f aca="false">Funding!$F$76-SUM(Tax!$J$10:AS$10)</f>
        <v>233.137666590031</v>
      </c>
      <c r="AT10" s="11" t="n">
        <f aca="false">Funding!$F$76-SUM(Tax!$J$10:AT$10)</f>
        <v>212.102689153336</v>
      </c>
      <c r="AU10" s="11" t="n">
        <f aca="false">Funding!$F$76-SUM(Tax!$J$10:AU$10)</f>
        <v>191.067711716642</v>
      </c>
      <c r="AV10" s="11" t="n">
        <f aca="false">Funding!$F$76-SUM(Tax!$J$10:AV$10)</f>
        <v>170.032734279947</v>
      </c>
      <c r="AW10" s="11" t="n">
        <f aca="false">Funding!$F$76-SUM(Tax!$J$10:AW$10)</f>
        <v>148.997756843253</v>
      </c>
      <c r="AX10" s="11" t="n">
        <f aca="false">Funding!$F$76-SUM(Tax!$J$10:AX$10)</f>
        <v>127.962779406558</v>
      </c>
      <c r="AY10" s="11" t="n">
        <f aca="false">Funding!$F$76-SUM(Tax!$J$10:AY$10)</f>
        <v>106.927801969864</v>
      </c>
      <c r="AZ10" s="11" t="n">
        <f aca="false">Funding!$F$76-SUM(Tax!$J$10:AZ$10)</f>
        <v>85.8928245331691</v>
      </c>
      <c r="BA10" s="11" t="n">
        <f aca="false">Funding!$F$76-SUM(Tax!$J$10:BA$10)</f>
        <v>64.8578470964746</v>
      </c>
      <c r="BB10" s="11" t="n">
        <f aca="false">Funding!$F$76-SUM(Tax!$J$10:BB$10)</f>
        <v>43.8228696597801</v>
      </c>
      <c r="BC10" s="11" t="n">
        <f aca="false">Funding!$F$76-SUM(Tax!$J$10:BC$10)</f>
        <v>22.7878922230856</v>
      </c>
      <c r="BD10" s="11" t="n">
        <f aca="false">Funding!$F$76-SUM(Tax!$J$10:BD$10)</f>
        <v>8.47242146755741</v>
      </c>
      <c r="BE10" s="11" t="n">
        <f aca="false">Funding!$F$76-SUM(Tax!$J$10:BE$10)</f>
        <v>7.59596407436186</v>
      </c>
      <c r="BF10" s="11" t="n">
        <f aca="false">Funding!$F$76-SUM(Tax!$J$10:BF$10)</f>
        <v>6.71950668116619</v>
      </c>
      <c r="BG10" s="11" t="n">
        <f aca="false">Funding!$F$76-SUM(Tax!$J$10:BG$10)</f>
        <v>5.84304928797064</v>
      </c>
      <c r="BH10" s="11" t="n">
        <f aca="false">Funding!$F$76-SUM(Tax!$J$10:BH$10)</f>
        <v>4.96659189477498</v>
      </c>
      <c r="BI10" s="11" t="n">
        <f aca="false">Funding!$F$76-SUM(Tax!$J$10:BI$10)</f>
        <v>4.09013450157943</v>
      </c>
      <c r="BJ10" s="11" t="n">
        <f aca="false">Funding!$F$76-SUM(Tax!$J$10:BJ$10)</f>
        <v>3.21367710838388</v>
      </c>
      <c r="BK10" s="11" t="n">
        <f aca="false">Funding!$F$76-SUM(Tax!$J$10:BK$10)</f>
        <v>2.33721971518821</v>
      </c>
      <c r="BL10" s="11" t="n">
        <f aca="false">Funding!$F$76-SUM(Tax!$J$10:BL$10)</f>
        <v>1.46076232199266</v>
      </c>
      <c r="BM10" s="11" t="n">
        <f aca="false">Funding!$F$76-SUM(Tax!$J$10:BM$10)</f>
        <v>0.584304928796996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876.457393195604</v>
      </c>
      <c r="K11" s="11" t="n">
        <f aca="false">Funding!$F$76-SUM($J$8:K$8)</f>
        <v>876.457393195604</v>
      </c>
      <c r="L11" s="11" t="n">
        <f aca="false">Funding!$F$76-SUM($J$8:L$8)</f>
        <v>876.457393195604</v>
      </c>
      <c r="M11" s="11" t="n">
        <f aca="false">Funding!$F$76-SUM($J$8:M$8)</f>
        <v>876.457393195604</v>
      </c>
      <c r="N11" s="11" t="n">
        <f aca="false">Funding!$F$76-SUM($J$8:N$8)</f>
        <v>876.457393195604</v>
      </c>
      <c r="O11" s="11" t="n">
        <f aca="false">Funding!$F$76-SUM($J$8:O$8)</f>
        <v>876.457393195604</v>
      </c>
      <c r="P11" s="11" t="n">
        <f aca="false">Funding!$F$76-SUM($J$8:P$8)</f>
        <v>870.614343907633</v>
      </c>
      <c r="Q11" s="11" t="n">
        <f aca="false">Funding!$F$76-SUM($J$8:Q$8)</f>
        <v>853.085196043721</v>
      </c>
      <c r="R11" s="11" t="n">
        <f aca="false">Funding!$F$76-SUM($J$8:R$8)</f>
        <v>835.556048179809</v>
      </c>
      <c r="S11" s="11" t="n">
        <f aca="false">Funding!$F$76-SUM($J$8:S$8)</f>
        <v>818.026900315897</v>
      </c>
      <c r="T11" s="11" t="n">
        <f aca="false">Funding!$F$76-SUM($J$8:T$8)</f>
        <v>800.497752451985</v>
      </c>
      <c r="U11" s="11" t="n">
        <f aca="false">Funding!$F$76-SUM($J$8:U$8)</f>
        <v>782.968604588073</v>
      </c>
      <c r="V11" s="11" t="n">
        <f aca="false">Funding!$F$76-SUM($J$8:V$8)</f>
        <v>765.439456724161</v>
      </c>
      <c r="W11" s="11" t="n">
        <f aca="false">Funding!$F$76-SUM($J$8:W$8)</f>
        <v>747.910308860249</v>
      </c>
      <c r="X11" s="11" t="n">
        <f aca="false">Funding!$F$76-SUM($J$8:X$8)</f>
        <v>730.381160996337</v>
      </c>
      <c r="Y11" s="11" t="n">
        <f aca="false">Funding!$F$76-SUM($J$8:Y$8)</f>
        <v>712.852013132424</v>
      </c>
      <c r="Z11" s="11" t="n">
        <f aca="false">Funding!$F$76-SUM($J$8:Z$8)</f>
        <v>695.322865268512</v>
      </c>
      <c r="AA11" s="11" t="n">
        <f aca="false">Funding!$F$76-SUM($J$8:AA$8)</f>
        <v>677.7937174046</v>
      </c>
      <c r="AB11" s="11" t="n">
        <f aca="false">Funding!$F$76-SUM($J$8:AB$8)</f>
        <v>660.264569540688</v>
      </c>
      <c r="AC11" s="11" t="n">
        <f aca="false">Funding!$F$76-SUM($J$8:AC$8)</f>
        <v>642.735421676776</v>
      </c>
      <c r="AD11" s="11" t="n">
        <f aca="false">Funding!$F$76-SUM($J$8:AD$8)</f>
        <v>625.206273812864</v>
      </c>
      <c r="AE11" s="11" t="n">
        <f aca="false">Funding!$F$76-SUM($J$8:AE$8)</f>
        <v>607.677125948952</v>
      </c>
      <c r="AF11" s="11" t="n">
        <f aca="false">Funding!$F$76-SUM($J$8:AF$8)</f>
        <v>590.14797808504</v>
      </c>
      <c r="AG11" s="11" t="n">
        <f aca="false">Funding!$F$76-SUM($J$8:AG$8)</f>
        <v>572.618830221128</v>
      </c>
      <c r="AH11" s="11" t="n">
        <f aca="false">Funding!$F$76-SUM($J$8:AH$8)</f>
        <v>555.089682357216</v>
      </c>
      <c r="AI11" s="11" t="n">
        <f aca="false">Funding!$F$76-SUM($J$8:AI$8)</f>
        <v>537.560534493304</v>
      </c>
      <c r="AJ11" s="11" t="n">
        <f aca="false">Funding!$F$76-SUM($J$8:AJ$8)</f>
        <v>520.031386629392</v>
      </c>
      <c r="AK11" s="11" t="n">
        <f aca="false">Funding!$F$76-SUM($J$8:AK$8)</f>
        <v>502.50223876548</v>
      </c>
      <c r="AL11" s="11" t="n">
        <f aca="false">Funding!$F$76-SUM($J$8:AL$8)</f>
        <v>484.973090901567</v>
      </c>
      <c r="AM11" s="11" t="n">
        <f aca="false">Funding!$F$76-SUM($J$8:AM$8)</f>
        <v>467.443943037655</v>
      </c>
      <c r="AN11" s="11" t="n">
        <f aca="false">Funding!$F$76-SUM($J$8:AN$8)</f>
        <v>449.914795173743</v>
      </c>
      <c r="AO11" s="11" t="n">
        <f aca="false">Funding!$F$76-SUM($J$8:AO$8)</f>
        <v>432.385647309831</v>
      </c>
      <c r="AP11" s="11" t="n">
        <f aca="false">Funding!$F$76-SUM($J$8:AP$8)</f>
        <v>414.856499445919</v>
      </c>
      <c r="AQ11" s="11" t="n">
        <f aca="false">Funding!$F$76-SUM($J$8:AQ$8)</f>
        <v>397.327351582007</v>
      </c>
      <c r="AR11" s="11" t="n">
        <f aca="false">Funding!$F$76-SUM($J$8:AR$8)</f>
        <v>379.798203718095</v>
      </c>
      <c r="AS11" s="11" t="n">
        <f aca="false">Funding!$F$76-SUM($J$8:AS$8)</f>
        <v>362.269055854183</v>
      </c>
      <c r="AT11" s="11" t="n">
        <f aca="false">Funding!$F$76-SUM($J$8:AT$8)</f>
        <v>344.739907990271</v>
      </c>
      <c r="AU11" s="11" t="n">
        <f aca="false">Funding!$F$76-SUM($J$8:AU$8)</f>
        <v>327.210760126359</v>
      </c>
      <c r="AV11" s="11" t="n">
        <f aca="false">Funding!$F$76-SUM($J$8:AV$8)</f>
        <v>309.681612262447</v>
      </c>
      <c r="AW11" s="11" t="n">
        <f aca="false">Funding!$F$76-SUM($J$8:AW$8)</f>
        <v>292.152464398535</v>
      </c>
      <c r="AX11" s="11" t="n">
        <f aca="false">Funding!$F$76-SUM($J$8:AX$8)</f>
        <v>274.623316534623</v>
      </c>
      <c r="AY11" s="11" t="n">
        <f aca="false">Funding!$F$76-SUM($J$8:AY$8)</f>
        <v>257.094168670711</v>
      </c>
      <c r="AZ11" s="11" t="n">
        <f aca="false">Funding!$F$76-SUM($J$8:AZ$8)</f>
        <v>239.565020806798</v>
      </c>
      <c r="BA11" s="11" t="n">
        <f aca="false">Funding!$F$76-SUM($J$8:BA$8)</f>
        <v>222.035872942886</v>
      </c>
      <c r="BB11" s="11" t="n">
        <f aca="false">Funding!$F$76-SUM($J$8:BB$8)</f>
        <v>204.506725078974</v>
      </c>
      <c r="BC11" s="11" t="n">
        <f aca="false">Funding!$F$76-SUM($J$8:BC$8)</f>
        <v>186.977577215062</v>
      </c>
      <c r="BD11" s="11" t="n">
        <f aca="false">Funding!$F$76-SUM($J$8:BD$8)</f>
        <v>169.44842935115</v>
      </c>
      <c r="BE11" s="11" t="n">
        <f aca="false">Funding!$F$76-SUM($J$8:BE$8)</f>
        <v>151.919281487238</v>
      </c>
      <c r="BF11" s="11" t="n">
        <f aca="false">Funding!$F$76-SUM($J$8:BF$8)</f>
        <v>134.390133623326</v>
      </c>
      <c r="BG11" s="11" t="n">
        <f aca="false">Funding!$F$76-SUM($J$8:BG$8)</f>
        <v>116.860985759414</v>
      </c>
      <c r="BH11" s="11" t="n">
        <f aca="false">Funding!$F$76-SUM($J$8:BH$8)</f>
        <v>99.3318378955017</v>
      </c>
      <c r="BI11" s="11" t="n">
        <f aca="false">Funding!$F$76-SUM($J$8:BI$8)</f>
        <v>81.8026900315897</v>
      </c>
      <c r="BJ11" s="11" t="n">
        <f aca="false">Funding!$F$76-SUM($J$8:BJ$8)</f>
        <v>64.2735421676777</v>
      </c>
      <c r="BK11" s="11" t="n">
        <f aca="false">Funding!$F$76-SUM($J$8:BK$8)</f>
        <v>46.7443943037656</v>
      </c>
      <c r="BL11" s="11" t="n">
        <f aca="false">Funding!$F$76-SUM($J$8:BL$8)</f>
        <v>29.2152464398534</v>
      </c>
      <c r="BM11" s="11" t="n">
        <f aca="false">Funding!$F$76-SUM($J$8:BM$8)</f>
        <v>11.6860985759414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0</v>
      </c>
      <c r="P12" s="11" t="n">
        <f aca="false">IF(Time!P17&gt;=Time!$F$11,Inputs!$F$181/100*(P11-P10-Tax!P21),0)</f>
        <v>-1.7529147863912</v>
      </c>
      <c r="Q12" s="11" t="n">
        <f aca="false">IF(Time!Q17&gt;=Time!$F$11,Inputs!$F$181/100*(Q11-Q10-Tax!Q21),0)</f>
        <v>-7.01165914556483</v>
      </c>
      <c r="R12" s="11" t="n">
        <f aca="false">IF(Time!R17&gt;=Time!$F$11,Inputs!$F$181/100*(R11-R10-Tax!R21),0)</f>
        <v>-12.2704035047385</v>
      </c>
      <c r="S12" s="11" t="n">
        <f aca="false">IF(Time!S17&gt;=Time!$F$11,Inputs!$F$181/100*(S11-S10-Tax!S21),0)</f>
        <v>-17.5291478639121</v>
      </c>
      <c r="T12" s="11" t="n">
        <f aca="false">IF(Time!T17&gt;=Time!$F$11,Inputs!$F$181/100*(T11-T10-Tax!T21),0)</f>
        <v>-22.7878922230857</v>
      </c>
      <c r="U12" s="11" t="n">
        <f aca="false">IF(Time!U17&gt;=Time!$F$11,Inputs!$F$181/100*(U11-U10-Tax!U21),0)</f>
        <v>-28.0466365822593</v>
      </c>
      <c r="V12" s="11" t="n">
        <f aca="false">IF(Time!V17&gt;=Time!$F$11,Inputs!$F$181/100*(V11-V10-Tax!V21),0)</f>
        <v>-33.3053809414329</v>
      </c>
      <c r="W12" s="11" t="n">
        <f aca="false">IF(Time!W17&gt;=Time!$F$11,Inputs!$F$181/100*(W11-W10-Tax!W21),0)</f>
        <v>-38.5641253006066</v>
      </c>
      <c r="X12" s="11" t="n">
        <f aca="false">IF(Time!X17&gt;=Time!$F$11,Inputs!$F$181/100*(X11-X10-Tax!X21),0)</f>
        <v>-43.8228696597802</v>
      </c>
      <c r="Y12" s="11" t="n">
        <f aca="false">IF(Time!Y17&gt;=Time!$F$11,Inputs!$F$181/100*(Y11-Y10-Tax!Y21),0)</f>
        <v>-49.0816140189538</v>
      </c>
      <c r="Z12" s="11" t="n">
        <f aca="false">IF(Time!Z17&gt;=Time!$F$11,Inputs!$F$181/100*(Z11-Z10-Tax!Z21),0)</f>
        <v>-51.8787693517002</v>
      </c>
      <c r="AA12" s="11" t="n">
        <f aca="false">IF(Time!AA17&gt;=Time!$F$11,Inputs!$F$181/100*(AA11-AA10-Tax!AA21),0)</f>
        <v>-49.3549672937991</v>
      </c>
      <c r="AB12" s="11" t="n">
        <f aca="false">IF(Time!AB17&gt;=Time!$F$11,Inputs!$F$181/100*(AB11-AB10-Tax!AB21),0)</f>
        <v>-46.6610690084393</v>
      </c>
      <c r="AC12" s="11" t="n">
        <f aca="false">IF(Time!AC17&gt;=Time!$F$11,Inputs!$F$181/100*(AC11-AC10-Tax!AC21),0)</f>
        <v>-43.6031975927509</v>
      </c>
      <c r="AD12" s="11" t="n">
        <f aca="false">IF(Time!AD17&gt;=Time!$F$11,Inputs!$F$181/100*(AD11-AD10-Tax!AD21),0)</f>
        <v>-40.2874391882829</v>
      </c>
      <c r="AE12" s="11" t="n">
        <f aca="false">IF(Time!AE17&gt;=Time!$F$11,Inputs!$F$181/100*(AE11-AE10-Tax!AE21),0)</f>
        <v>-39.2356903164482</v>
      </c>
      <c r="AF12" s="11" t="n">
        <f aca="false">IF(Time!AF17&gt;=Time!$F$11,Inputs!$F$181/100*(AF11-AF10-Tax!AF21),0)</f>
        <v>-36.3457415188111</v>
      </c>
      <c r="AG12" s="11" t="n">
        <f aca="false">IF(Time!AG17&gt;=Time!$F$11,Inputs!$F$181/100*(AG11-AG10-Tax!AG21),0)</f>
        <v>-31.9766774663227</v>
      </c>
      <c r="AH12" s="11" t="n">
        <f aca="false">IF(Time!AH17&gt;=Time!$F$11,Inputs!$F$181/100*(AH11-AH10-Tax!AH21),0)</f>
        <v>-27.2915513477232</v>
      </c>
      <c r="AI12" s="11" t="n">
        <f aca="false">IF(Time!AI17&gt;=Time!$F$11,Inputs!$F$181/100*(AI11-AI10-Tax!AI21),0)</f>
        <v>-22.0911785055006</v>
      </c>
      <c r="AJ12" s="11" t="n">
        <f aca="false">IF(Time!AJ17&gt;=Time!$F$11,Inputs!$F$181/100*(AJ11-AJ10-Tax!AJ21),0)</f>
        <v>-16.5368770846598</v>
      </c>
      <c r="AK12" s="11" t="n">
        <f aca="false">IF(Time!AK17&gt;=Time!$F$11,Inputs!$F$181/100*(AK11-AK10-Tax!AK21),0)</f>
        <v>-10.4805980534068</v>
      </c>
      <c r="AL12" s="11" t="n">
        <f aca="false">IF(Time!AL17&gt;=Time!$F$11,Inputs!$F$181/100*(AL11-AL10-Tax!AL21),0)</f>
        <v>-3.96780040164767</v>
      </c>
      <c r="AM12" s="11" t="n">
        <f aca="false">IF(Time!AM17&gt;=Time!$F$11,Inputs!$F$181/100*(AM11-AM10-Tax!AM21),0)</f>
        <v>2.25109988575463</v>
      </c>
      <c r="AN12" s="11" t="n">
        <f aca="false">IF(Time!AN17&gt;=Time!$F$11,Inputs!$F$181/100*(AN11-AN10-Tax!AN21),0)</f>
        <v>9.84059040566008</v>
      </c>
      <c r="AO12" s="11" t="n">
        <f aca="false">IF(Time!AO17&gt;=Time!$F$11,Inputs!$F$181/100*(AO11-AO10-Tax!AO21),0)</f>
        <v>17.9682006654995</v>
      </c>
      <c r="AP12" s="11" t="n">
        <f aca="false">IF(Time!AP17&gt;=Time!$F$11,Inputs!$F$181/100*(AP11-AP10-Tax!AP21),0)</f>
        <v>26.8634363693293</v>
      </c>
      <c r="AQ12" s="11" t="n">
        <f aca="false">IF(Time!AQ17&gt;=Time!$F$11,Inputs!$F$181/100*(AQ11-AQ10-Tax!AQ21),0)</f>
        <v>36.4751014472154</v>
      </c>
      <c r="AR12" s="11" t="n">
        <f aca="false">IF(Time!AR17&gt;=Time!$F$11,Inputs!$F$181/100*(AR11-AR10-Tax!AR21),0)</f>
        <v>37.687667907411</v>
      </c>
      <c r="AS12" s="11" t="n">
        <f aca="false">IF(Time!AS17&gt;=Time!$F$11,Inputs!$F$181/100*(AS11-AS10-Tax!AS21),0)</f>
        <v>38.7394167792457</v>
      </c>
      <c r="AT12" s="11" t="n">
        <f aca="false">IF(Time!AT17&gt;=Time!$F$11,Inputs!$F$181/100*(AT11-AT10-Tax!AT21),0)</f>
        <v>39.7911656510804</v>
      </c>
      <c r="AU12" s="11" t="n">
        <f aca="false">IF(Time!AU17&gt;=Time!$F$11,Inputs!$F$181/100*(AU11-AU10-Tax!AU21),0)</f>
        <v>40.8429145229151</v>
      </c>
      <c r="AV12" s="11" t="n">
        <f aca="false">IF(Time!AV17&gt;=Time!$F$11,Inputs!$F$181/100*(AV11-AV10-Tax!AV21),0)</f>
        <v>41.8946633947499</v>
      </c>
      <c r="AW12" s="11" t="n">
        <f aca="false">IF(Time!AW17&gt;=Time!$F$11,Inputs!$F$181/100*(AW11-AW10-Tax!AW21),0)</f>
        <v>42.9464122665846</v>
      </c>
      <c r="AX12" s="11" t="n">
        <f aca="false">IF(Time!AX17&gt;=Time!$F$11,Inputs!$F$181/100*(AX11-AX10-Tax!AX21),0)</f>
        <v>43.9981611384193</v>
      </c>
      <c r="AY12" s="11" t="n">
        <f aca="false">IF(Time!AY17&gt;=Time!$F$11,Inputs!$F$181/100*(AY11-AY10-Tax!AY21),0)</f>
        <v>45.0499100102541</v>
      </c>
      <c r="AZ12" s="11" t="n">
        <f aca="false">IF(Time!AZ17&gt;=Time!$F$11,Inputs!$F$181/100*(AZ11-AZ10-Tax!AZ21),0)</f>
        <v>46.1016588820888</v>
      </c>
      <c r="BA12" s="11" t="n">
        <f aca="false">IF(Time!BA17&gt;=Time!$F$11,Inputs!$F$181/100*(BA11-BA10-Tax!BA21),0)</f>
        <v>47.1534077539235</v>
      </c>
      <c r="BB12" s="11" t="n">
        <f aca="false">IF(Time!BB17&gt;=Time!$F$11,Inputs!$F$181/100*(BB11-BB10-Tax!BB21),0)</f>
        <v>48.2051566257583</v>
      </c>
      <c r="BC12" s="11" t="n">
        <f aca="false">IF(Time!BC17&gt;=Time!$F$11,Inputs!$F$181/100*(BC11-BC10-Tax!BC21),0)</f>
        <v>49.256905497593</v>
      </c>
      <c r="BD12" s="11" t="n">
        <f aca="false">IF(Time!BD17&gt;=Time!$F$11,Inputs!$F$181/100*(BD11-BD10-Tax!BD21),0)</f>
        <v>48.2928023650778</v>
      </c>
      <c r="BE12" s="11" t="n">
        <f aca="false">IF(Time!BE17&gt;=Time!$F$11,Inputs!$F$181/100*(BE11-BE10-Tax!BE21),0)</f>
        <v>43.2969952238628</v>
      </c>
      <c r="BF12" s="11" t="n">
        <f aca="false">IF(Time!BF17&gt;=Time!$F$11,Inputs!$F$181/100*(BF11-BF10-Tax!BF21),0)</f>
        <v>38.3011880826479</v>
      </c>
      <c r="BG12" s="11" t="n">
        <f aca="false">IF(Time!BG17&gt;=Time!$F$11,Inputs!$F$181/100*(BG11-BG10-Tax!BG21),0)</f>
        <v>33.305380941433</v>
      </c>
      <c r="BH12" s="11" t="n">
        <f aca="false">IF(Time!BH17&gt;=Time!$F$11,Inputs!$F$181/100*(BH11-BH10-Tax!BH21),0)</f>
        <v>28.309573800218</v>
      </c>
      <c r="BI12" s="11" t="n">
        <f aca="false">IF(Time!BI17&gt;=Time!$F$11,Inputs!$F$181/100*(BI11-BI10-Tax!BI21),0)</f>
        <v>23.3137666590031</v>
      </c>
      <c r="BJ12" s="11" t="n">
        <f aca="false">IF(Time!BJ17&gt;=Time!$F$11,Inputs!$F$181/100*(BJ11-BJ10-Tax!BJ21),0)</f>
        <v>18.3179595177881</v>
      </c>
      <c r="BK12" s="11" t="n">
        <f aca="false">IF(Time!BK17&gt;=Time!$F$11,Inputs!$F$181/100*(BK11-BK10-Tax!BK21),0)</f>
        <v>13.3221523765732</v>
      </c>
      <c r="BL12" s="11" t="n">
        <f aca="false">IF(Time!BL17&gt;=Time!$F$11,Inputs!$F$181/100*(BL11-BL10-Tax!BL21),0)</f>
        <v>8.32634523535823</v>
      </c>
      <c r="BM12" s="11" t="n">
        <f aca="false">IF(Time!BM17&gt;=Time!$F$11,Inputs!$F$181/100*(BM11-BM10-Tax!BM21),0)</f>
        <v>3.33053809414332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0</v>
      </c>
      <c r="P13" s="11" t="n">
        <f aca="false">P12-O12</f>
        <v>-1.7529147863912</v>
      </c>
      <c r="Q13" s="11" t="n">
        <f aca="false">Q12-P12</f>
        <v>-5.25874435917363</v>
      </c>
      <c r="R13" s="11" t="n">
        <f aca="false">R12-Q12</f>
        <v>-5.25874435917363</v>
      </c>
      <c r="S13" s="11" t="n">
        <f aca="false">S12-R12</f>
        <v>-5.2587443591736</v>
      </c>
      <c r="T13" s="11" t="n">
        <f aca="false">T12-S12</f>
        <v>-5.25874435917367</v>
      </c>
      <c r="U13" s="11" t="n">
        <f aca="false">U12-T12</f>
        <v>-5.25874435917359</v>
      </c>
      <c r="V13" s="11" t="n">
        <f aca="false">V12-U12</f>
        <v>-5.2587443591736</v>
      </c>
      <c r="W13" s="11" t="n">
        <f aca="false">W12-V12</f>
        <v>-5.25874435917366</v>
      </c>
      <c r="X13" s="11" t="n">
        <f aca="false">X12-W12</f>
        <v>-5.25874435917363</v>
      </c>
      <c r="Y13" s="11" t="n">
        <f aca="false">Y12-X12</f>
        <v>-5.2587443591736</v>
      </c>
      <c r="Z13" s="11" t="n">
        <f aca="false">Z12-Y12</f>
        <v>-2.79715533274636</v>
      </c>
      <c r="AA13" s="11" t="n">
        <f aca="false">AA12-Z12</f>
        <v>2.52380205790105</v>
      </c>
      <c r="AB13" s="11" t="n">
        <f aca="false">AB12-AA12</f>
        <v>2.69389828535979</v>
      </c>
      <c r="AC13" s="11" t="n">
        <f aca="false">AC12-AB12</f>
        <v>3.05787141568842</v>
      </c>
      <c r="AD13" s="11" t="n">
        <f aca="false">AD12-AC12</f>
        <v>3.31575840446799</v>
      </c>
      <c r="AE13" s="11" t="n">
        <f aca="false">AE12-AD12</f>
        <v>1.0517488718347</v>
      </c>
      <c r="AF13" s="11" t="n">
        <f aca="false">AF12-AE12</f>
        <v>2.88994879763715</v>
      </c>
      <c r="AG13" s="11" t="n">
        <f aca="false">AG12-AF12</f>
        <v>4.36906405248831</v>
      </c>
      <c r="AH13" s="11" t="n">
        <f aca="false">AH12-AG12</f>
        <v>4.68512611859952</v>
      </c>
      <c r="AI13" s="11" t="n">
        <f aca="false">AI12-AH12</f>
        <v>5.20037284222267</v>
      </c>
      <c r="AJ13" s="11" t="n">
        <f aca="false">AJ12-AI12</f>
        <v>5.55430142084076</v>
      </c>
      <c r="AK13" s="11" t="n">
        <f aca="false">AK12-AJ12</f>
        <v>6.05627903125303</v>
      </c>
      <c r="AL13" s="11" t="n">
        <f aca="false">AL12-AK12</f>
        <v>6.51279765175909</v>
      </c>
      <c r="AM13" s="11" t="n">
        <f aca="false">AM12-AL12</f>
        <v>6.2189002874023</v>
      </c>
      <c r="AN13" s="11" t="n">
        <f aca="false">AN12-AM12</f>
        <v>7.58949051990545</v>
      </c>
      <c r="AO13" s="11" t="n">
        <f aca="false">AO12-AN12</f>
        <v>8.12761025983942</v>
      </c>
      <c r="AP13" s="11" t="n">
        <f aca="false">AP12-AO12</f>
        <v>8.89523570382981</v>
      </c>
      <c r="AQ13" s="11" t="n">
        <f aca="false">AQ12-AP12</f>
        <v>9.61166507788605</v>
      </c>
      <c r="AR13" s="11" t="n">
        <f aca="false">AR12-AQ12</f>
        <v>1.21256646019562</v>
      </c>
      <c r="AS13" s="11" t="n">
        <f aca="false">AS12-AR12</f>
        <v>1.05174887183471</v>
      </c>
      <c r="AT13" s="11" t="n">
        <f aca="false">AT12-AS12</f>
        <v>1.05174887183473</v>
      </c>
      <c r="AU13" s="11" t="n">
        <f aca="false">AU12-AT12</f>
        <v>1.05174887183473</v>
      </c>
      <c r="AV13" s="11" t="n">
        <f aca="false">AV12-AU12</f>
        <v>1.05174887183476</v>
      </c>
      <c r="AW13" s="11" t="n">
        <f aca="false">AW12-AV12</f>
        <v>1.05174887183473</v>
      </c>
      <c r="AX13" s="11" t="n">
        <f aca="false">AX12-AW12</f>
        <v>1.0517488718347</v>
      </c>
      <c r="AY13" s="11" t="n">
        <f aca="false">AY12-AX12</f>
        <v>1.05174887183473</v>
      </c>
      <c r="AZ13" s="11" t="n">
        <f aca="false">AZ12-AY12</f>
        <v>1.05174887183473</v>
      </c>
      <c r="BA13" s="11" t="n">
        <f aca="false">BA12-AZ12</f>
        <v>1.0517488718347</v>
      </c>
      <c r="BB13" s="11" t="n">
        <f aca="false">BB12-BA12</f>
        <v>1.05174887183476</v>
      </c>
      <c r="BC13" s="11" t="n">
        <f aca="false">BC12-BB12</f>
        <v>1.05174887183473</v>
      </c>
      <c r="BD13" s="11" t="n">
        <f aca="false">BD12-BC12</f>
        <v>-0.964103132515163</v>
      </c>
      <c r="BE13" s="11" t="n">
        <f aca="false">BE12-BD12</f>
        <v>-4.99580714121498</v>
      </c>
      <c r="BF13" s="11" t="n">
        <f aca="false">BF12-BE12</f>
        <v>-4.99580714121492</v>
      </c>
      <c r="BG13" s="11" t="n">
        <f aca="false">BG12-BF12</f>
        <v>-4.99580714121495</v>
      </c>
      <c r="BH13" s="11" t="n">
        <f aca="false">BH12-BG12</f>
        <v>-4.99580714121495</v>
      </c>
      <c r="BI13" s="11" t="n">
        <f aca="false">BI12-BH12</f>
        <v>-4.99580714121495</v>
      </c>
      <c r="BJ13" s="11" t="n">
        <f aca="false">BJ12-BI12</f>
        <v>-4.99580714121495</v>
      </c>
      <c r="BK13" s="11" t="n">
        <f aca="false">BK12-BJ12</f>
        <v>-4.99580714121491</v>
      </c>
      <c r="BL13" s="11" t="n">
        <f aca="false">BL12-BK12</f>
        <v>-4.99580714121498</v>
      </c>
      <c r="BM13" s="11" t="n">
        <f aca="false">BM12-BL12</f>
        <v>-4.99580714121491</v>
      </c>
      <c r="BN13" s="11" t="n">
        <f aca="false">BN12-BM12</f>
        <v>-3.33053809414332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861.954225581707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0</v>
      </c>
      <c r="P14" s="11" t="n">
        <f aca="false">Operations!P79-P8-P9-Tax!P27-P13</f>
        <v>9.37854471002205</v>
      </c>
      <c r="Q14" s="11" t="n">
        <f aca="false">Operations!Q79-Q8-Q9-Tax!Q27-Q13</f>
        <v>5.72292421487357</v>
      </c>
      <c r="R14" s="11" t="n">
        <f aca="false">Operations!R79-R8-R9-Tax!R27-R13</f>
        <v>6.14555144611256</v>
      </c>
      <c r="S14" s="11" t="n">
        <f aca="false">Operations!S79-S8-S9-Tax!S27-S13</f>
        <v>7.33901227143406</v>
      </c>
      <c r="T14" s="11" t="n">
        <f aca="false">Operations!T79-T8-T9-Tax!T27-T13</f>
        <v>7.65709964106926</v>
      </c>
      <c r="U14" s="11" t="n">
        <f aca="false">Operations!U79-U8-U9-Tax!U27-U13</f>
        <v>8.69191284781577</v>
      </c>
      <c r="V14" s="11" t="n">
        <f aca="false">Operations!V79-V8-V9-Tax!V27-V13</f>
        <v>9.26101245577924</v>
      </c>
      <c r="W14" s="11" t="n">
        <f aca="false">Operations!W79-W8-W9-Tax!W27-W13</f>
        <v>8.08212594097884</v>
      </c>
      <c r="X14" s="11" t="n">
        <f aca="false">Operations!X79-X8-X9-Tax!X27-X13</f>
        <v>11.1280124097147</v>
      </c>
      <c r="Y14" s="11" t="n">
        <f aca="false">Operations!Y79-Y8-Y9-Tax!Y27-Y13</f>
        <v>11.8185340313766</v>
      </c>
      <c r="Z14" s="11" t="n">
        <f aca="false">Operations!Z79-Z8-Z9-Tax!Z27-Z13</f>
        <v>9.76529996143511</v>
      </c>
      <c r="AA14" s="11" t="n">
        <f aca="false">Operations!AA79-AA8-AA9-Tax!AA27-AA13</f>
        <v>5.5317093132417</v>
      </c>
      <c r="AB14" s="11" t="n">
        <f aca="false">Operations!AB79-AB8-AB9-Tax!AB27-AB13</f>
        <v>5.9268060656516</v>
      </c>
      <c r="AC14" s="11" t="n">
        <f aca="false">Operations!AC79-AC8-AC9-Tax!AC27-AC13</f>
        <v>6.77412243017827</v>
      </c>
      <c r="AD14" s="11" t="n">
        <f aca="false">Operations!AD79-AD8-AD9-Tax!AD27-AD13</f>
        <v>7.37495928805349</v>
      </c>
      <c r="AE14" s="11" t="n">
        <f aca="false">Operations!AE79-AE8-AE9-Tax!AE27-AE13</f>
        <v>-1.6916672555239</v>
      </c>
      <c r="AF14" s="11" t="n">
        <f aca="false">Operations!AF79-AF8-AF9-Tax!AF27-AF13</f>
        <v>10.1672474428946</v>
      </c>
      <c r="AG14" s="11" t="n">
        <f aca="false">Operations!AG79-AG8-AG9-Tax!AG27-AG13</f>
        <v>9.82667565231068</v>
      </c>
      <c r="AH14" s="11" t="n">
        <f aca="false">Operations!AH79-AH8-AH9-Tax!AH27-AH13</f>
        <v>10.5625297486043</v>
      </c>
      <c r="AI14" s="11" t="n">
        <f aca="false">Operations!AI79-AI8-AI9-Tax!AI27-AI13</f>
        <v>11.7632800081354</v>
      </c>
      <c r="AJ14" s="11" t="n">
        <f aca="false">Operations!AJ79-AJ8-AJ9-Tax!AJ27-AJ13</f>
        <v>12.5871596754583</v>
      </c>
      <c r="AK14" s="11" t="n">
        <f aca="false">Operations!AK79-AK8-AK9-Tax!AK27-AK13</f>
        <v>13.7563136935384</v>
      </c>
      <c r="AL14" s="11" t="n">
        <f aca="false">Operations!AL79-AL8-AL9-Tax!AL27-AL13</f>
        <v>14.8202184195353</v>
      </c>
      <c r="AM14" s="11" t="n">
        <f aca="false">Operations!AM79-AM8-AM9-Tax!AM27-AM13</f>
        <v>14.133691580838</v>
      </c>
      <c r="AN14" s="11" t="n">
        <f aca="false">Operations!AN79-AN8-AN9-Tax!AN27-AN13</f>
        <v>17.3293111740805</v>
      </c>
      <c r="AO14" s="11" t="n">
        <f aca="false">Operations!AO79-AO8-AO9-Tax!AO27-AO13</f>
        <v>18.5819092375401</v>
      </c>
      <c r="AP14" s="11" t="n">
        <f aca="false">Operations!AP79-AP8-AP9-Tax!AP27-AP13</f>
        <v>20.3712658290687</v>
      </c>
      <c r="AQ14" s="11" t="n">
        <f aca="false">Operations!AQ79-AQ8-AQ9-Tax!AQ27-AQ13</f>
        <v>22.0413079202787</v>
      </c>
      <c r="AR14" s="11" t="n">
        <f aca="false">Operations!AR79-AR8-AR9-Tax!AR27-AR13</f>
        <v>24.0159393226115</v>
      </c>
      <c r="AS14" s="11" t="n">
        <f aca="false">Operations!AS79-AS8-AS9-Tax!AS27-AS13</f>
        <v>25.4470822442022</v>
      </c>
      <c r="AT14" s="11" t="n">
        <f aca="false">Operations!AT79-AT8-AT9-Tax!AT27-AT13</f>
        <v>25.9142677475012</v>
      </c>
      <c r="AU14" s="11" t="n">
        <f aca="false">Operations!AU79-AU8-AU9-Tax!AU27-AU13</f>
        <v>15.4959088583629</v>
      </c>
      <c r="AV14" s="11" t="n">
        <f aca="false">Operations!AV79-AV8-AV9-Tax!AV27-AV13</f>
        <v>26.2023278315741</v>
      </c>
      <c r="AW14" s="11" t="n">
        <f aca="false">Operations!AW79-AW8-AW9-Tax!AW27-AW13</f>
        <v>26.1292453760182</v>
      </c>
      <c r="AX14" s="11" t="n">
        <f aca="false">Operations!AX79-AX8-AX9-Tax!AX27-AX13</f>
        <v>26.2480339139369</v>
      </c>
      <c r="AY14" s="11" t="n">
        <f aca="false">Operations!AY79-AY8-AY9-Tax!AY27-AY13</f>
        <v>26.3820167426148</v>
      </c>
      <c r="AZ14" s="11" t="n">
        <f aca="false">Operations!AZ79-AZ8-AZ9-Tax!AZ27-AZ13</f>
        <v>26.4718415603405</v>
      </c>
      <c r="BA14" s="11" t="n">
        <f aca="false">Operations!BA79-BA8-BA9-Tax!BA27-BA13</f>
        <v>26.5434913471349</v>
      </c>
      <c r="BB14" s="11" t="n">
        <f aca="false">Operations!BB79-BB8-BB9-Tax!BB27-BB13</f>
        <v>26.7098651929602</v>
      </c>
      <c r="BC14" s="11" t="n">
        <f aca="false">Operations!BC79-BC8-BC9-Tax!BC27-BC13</f>
        <v>24.4320653994789</v>
      </c>
      <c r="BD14" s="11" t="n">
        <f aca="false">Operations!BD79-BD8-BD9-Tax!BD27-BD13</f>
        <v>26.9874783056996</v>
      </c>
      <c r="BE14" s="11" t="n">
        <f aca="false">Operations!BE79-BE8-BE9-Tax!BE27-BE13</f>
        <v>26.9745216889662</v>
      </c>
      <c r="BF14" s="11" t="n">
        <f aca="false">Operations!BF79-BF8-BF9-Tax!BF27-BF13</f>
        <v>27.104191688107</v>
      </c>
      <c r="BG14" s="11" t="n">
        <f aca="false">Operations!BG79-BG8-BG9-Tax!BG27-BG13</f>
        <v>27.2495379923839</v>
      </c>
      <c r="BH14" s="11" t="n">
        <f aca="false">Operations!BH79-BH8-BH9-Tax!BH27-BH13</f>
        <v>27.3469775040754</v>
      </c>
      <c r="BI14" s="11" t="n">
        <f aca="false">Operations!BI79-BI8-BI9-Tax!BI27-BI13</f>
        <v>27.4230255620447</v>
      </c>
      <c r="BJ14" s="11" t="n">
        <f aca="false">Operations!BJ79-BJ8-BJ9-Tax!BJ27-BJ13</f>
        <v>27.6442028474478</v>
      </c>
      <c r="BK14" s="11" t="n">
        <f aca="false">Operations!BK79-BK8-BK9-Tax!BK27-BK13</f>
        <v>15.3266918182782</v>
      </c>
      <c r="BL14" s="11" t="n">
        <f aca="false">Operations!BL79-BL8-BL9-Tax!BL27-BL13</f>
        <v>27.9873131531683</v>
      </c>
      <c r="BM14" s="11" t="n">
        <f aca="false">Operations!BM79-BM8-BM9-Tax!BM27-BM13</f>
        <v>27.8897207761814</v>
      </c>
      <c r="BN14" s="11" t="n">
        <f aca="false">Operations!BN79-BN8-BN9-Tax!BN27-BN13</f>
        <v>5.18160855412231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139.562323412541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239.877783879763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434.070017871423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636.157632410052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753.799661593778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797.62059205288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870.614343907633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853.085196043721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835.556048179809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818.026900315897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800.497752451985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782.968604588073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765.439456724161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747.910308860249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730.381160996337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712.852013132424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695.322865268512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677.7937174046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660.264569540688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642.735421676776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625.206273812864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607.677125948952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590.14797808504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572.618830221128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555.089682357216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537.560534493304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520.031386629392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502.50223876548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484.973090901567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467.443943037655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449.914795173743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432.385647309831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414.856499445919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397.327351582007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379.798203718095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362.269055854183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344.739907990271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327.210760126359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309.681612262447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292.152464398535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274.623316534623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257.094168670711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239.565020806798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222.035872942886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204.506725078974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186.977577215062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169.44842935115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151.919281487238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134.390133623326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116.860985759414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99.3318378955017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81.8026900315897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64.2735421676777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46.7443943037656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29.2152464398534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11.6860985759414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0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41.4573716349485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40.5163339551028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40.6194833909899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41.4920277445295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41.7145736670052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42.902778374762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43.0336569093736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39.3469132499841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38.959871050273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41.2796979632929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42.950646075998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45.4076992325222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46.7217641971906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49.5499263974262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50.9812462390744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38.3975174153793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37.1768380015028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36.9701810134449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35.8997265557364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35.1244410853125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33.4503023702419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31.7766551471781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28.1041268399615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20.3736881724253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20.1307130705795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2.37357535949866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4.74715071899731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7.12072607849597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9.49430143799463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11.8678767974933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14.2414521569919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0.596091765745239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1.19218353149048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1.78827529723572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2.38436706298096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2.9804588287262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4.07693401268624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2.01795649155704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3.55213205180363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7.9280379976092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12.320911685031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16.7309387438176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21.158306834536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25.6032056707892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30.0658270416767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14.7717409805522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16.4454449389227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18.1374594805124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0</v>
      </c>
      <c r="P18" s="11" t="n">
        <f aca="false">Operations!P83+Operations!P84</f>
        <v>39.1809623256869</v>
      </c>
      <c r="Q18" s="11" t="n">
        <f aca="false">Operations!Q83+Operations!Q84</f>
        <v>40.0893437265458</v>
      </c>
      <c r="R18" s="11" t="n">
        <f aca="false">Operations!R83+Operations!R84</f>
        <v>39.4806540575721</v>
      </c>
      <c r="S18" s="11" t="n">
        <f aca="false">Operations!S83+Operations!S84</f>
        <v>40.4560693339611</v>
      </c>
      <c r="T18" s="11" t="n">
        <f aca="false">Operations!T83+Operations!T84</f>
        <v>39.9842158401186</v>
      </c>
      <c r="U18" s="11" t="n">
        <f aca="false">Operations!U83+Operations!U84</f>
        <v>41.0568815678258</v>
      </c>
      <c r="V18" s="11" t="n">
        <f aca="false">Operations!V83+Operations!V84</f>
        <v>40.455960140644</v>
      </c>
      <c r="W18" s="11" t="n">
        <f aca="false">Operations!W83+Operations!W84</f>
        <v>41.0732780709418</v>
      </c>
      <c r="X18" s="11" t="n">
        <f aca="false">Operations!X83+Operations!X84</f>
        <v>40.7869746077725</v>
      </c>
      <c r="Y18" s="11" t="n">
        <f aca="false">Operations!Y83+Operations!Y84</f>
        <v>42.4919435497691</v>
      </c>
      <c r="Z18" s="11" t="n">
        <f aca="false">Operations!Z83+Operations!Z84</f>
        <v>41.8473303472152</v>
      </c>
      <c r="AA18" s="11" t="n">
        <f aca="false">Operations!AA83+Operations!AA84</f>
        <v>42.8881777291116</v>
      </c>
      <c r="AB18" s="11" t="n">
        <f aca="false">Operations!AB83+Operations!AB84</f>
        <v>42.3913466997486</v>
      </c>
      <c r="AC18" s="11" t="n">
        <f aca="false">Operations!AC83+Operations!AC84</f>
        <v>43.5413549658211</v>
      </c>
      <c r="AD18" s="11" t="n">
        <f aca="false">Operations!AD83+Operations!AD84</f>
        <v>42.7357872806621</v>
      </c>
      <c r="AE18" s="11" t="n">
        <f aca="false">Operations!AE83+Operations!AE84</f>
        <v>42.8120519839187</v>
      </c>
      <c r="AF18" s="11" t="n">
        <f aca="false">Operations!AF83+Operations!AF84</f>
        <v>42.9218303605379</v>
      </c>
      <c r="AG18" s="11" t="n">
        <f aca="false">Operations!AG83+Operations!AG84</f>
        <v>45.0874766827812</v>
      </c>
      <c r="AH18" s="11" t="n">
        <f aca="false">Operations!AH83+Operations!AH84</f>
        <v>44.4040512974958</v>
      </c>
      <c r="AI18" s="11" t="n">
        <f aca="false">Operations!AI83+Operations!AI84</f>
        <v>45.5156087746249</v>
      </c>
      <c r="AJ18" s="11" t="n">
        <f aca="false">Operations!AJ83+Operations!AJ84</f>
        <v>44.9917806937183</v>
      </c>
      <c r="AK18" s="11" t="n">
        <f aca="false">Operations!AK83+Operations!AK84</f>
        <v>46.2253268415193</v>
      </c>
      <c r="AL18" s="11" t="n">
        <f aca="false">Operations!AL83+Operations!AL84</f>
        <v>45.5424130591919</v>
      </c>
      <c r="AM18" s="11" t="n">
        <f aca="false">Operations!AM83+Operations!AM84</f>
        <v>46.2363564111533</v>
      </c>
      <c r="AN18" s="11" t="n">
        <f aca="false">Operations!AN83+Operations!AN84</f>
        <v>45.9289230315007</v>
      </c>
      <c r="AO18" s="11" t="n">
        <f aca="false">Operations!AO83+Operations!AO84</f>
        <v>47.8914552156177</v>
      </c>
      <c r="AP18" s="11" t="n">
        <f aca="false">Operations!AP83+Operations!AP84</f>
        <v>47.1660981684924</v>
      </c>
      <c r="AQ18" s="11" t="n">
        <f aca="false">Operations!AQ83+Operations!AQ84</f>
        <v>48.3540689255078</v>
      </c>
      <c r="AR18" s="11" t="n">
        <f aca="false">Operations!AR83+Operations!AR84</f>
        <v>47.8010618533557</v>
      </c>
      <c r="AS18" s="11" t="n">
        <f aca="false">Operations!AS83+Operations!AS84</f>
        <v>49.1248359202865</v>
      </c>
      <c r="AT18" s="11" t="n">
        <f aca="false">Operations!AT83+Operations!AT84</f>
        <v>48.2032828475597</v>
      </c>
      <c r="AU18" s="11" t="n">
        <f aca="false">Operations!AU83+Operations!AU84</f>
        <v>48.2885721578429</v>
      </c>
      <c r="AV18" s="11" t="n">
        <f aca="false">Operations!AV83+Operations!AV84</f>
        <v>48.420800426802</v>
      </c>
      <c r="AW18" s="11" t="n">
        <f aca="false">Operations!AW83+Operations!AW84</f>
        <v>50.9206382937657</v>
      </c>
      <c r="AX18" s="11" t="n">
        <f aca="false">Operations!AX83+Operations!AX84</f>
        <v>50.1499809615046</v>
      </c>
      <c r="AY18" s="11" t="n">
        <f aca="false">Operations!AY83+Operations!AY84</f>
        <v>51.4205275569009</v>
      </c>
      <c r="AZ18" s="11" t="n">
        <f aca="false">Operations!AZ83+Operations!AZ84</f>
        <v>50.8359841433507</v>
      </c>
      <c r="BA18" s="11" t="n">
        <f aca="false">Operations!BA83+Operations!BA84</f>
        <v>52.2572101921656</v>
      </c>
      <c r="BB18" s="11" t="n">
        <f aca="false">Operations!BB83+Operations!BB84</f>
        <v>51.4787443521526</v>
      </c>
      <c r="BC18" s="11" t="n">
        <f aca="false">Operations!BC83+Operations!BC84</f>
        <v>52.2623539369825</v>
      </c>
      <c r="BD18" s="11" t="n">
        <f aca="false">Operations!BD83+Operations!BD84</f>
        <v>51.9301352601338</v>
      </c>
      <c r="BE18" s="11" t="n">
        <f aca="false">Operations!BE83+Operations!BE84</f>
        <v>54.1931322508396</v>
      </c>
      <c r="BF18" s="11" t="n">
        <f aca="false">Operations!BF83+Operations!BF84</f>
        <v>53.3735371105536</v>
      </c>
      <c r="BG18" s="11" t="n">
        <f aca="false">Operations!BG83+Operations!BG84</f>
        <v>54.7333183949341</v>
      </c>
      <c r="BH18" s="11" t="n">
        <f aca="false">Operations!BH83+Operations!BH84</f>
        <v>54.1146918610221</v>
      </c>
      <c r="BI18" s="11" t="n">
        <f aca="false">Operations!BI83+Operations!BI84</f>
        <v>55.6411704213176</v>
      </c>
      <c r="BJ18" s="11" t="n">
        <f aca="false">Operations!BJ83+Operations!BJ84</f>
        <v>54.5844727308456</v>
      </c>
      <c r="BK18" s="11" t="n">
        <f aca="false">Operations!BK83+Operations!BK84</f>
        <v>54.6803145932766</v>
      </c>
      <c r="BL18" s="11" t="n">
        <f aca="false">Operations!BL83+Operations!BL84</f>
        <v>54.8389143385784</v>
      </c>
      <c r="BM18" s="11" t="n">
        <f aca="false">Operations!BM83+Operations!BM84</f>
        <v>57.7284987644055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0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5.35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-0</v>
      </c>
      <c r="P20" s="11" t="n">
        <f aca="false">MAX(0,-P12)</f>
        <v>1.7529147863912</v>
      </c>
      <c r="Q20" s="11" t="n">
        <f aca="false">MAX(0,-Q12)</f>
        <v>7.01165914556483</v>
      </c>
      <c r="R20" s="11" t="n">
        <f aca="false">MAX(0,-R12)</f>
        <v>12.2704035047385</v>
      </c>
      <c r="S20" s="11" t="n">
        <f aca="false">MAX(0,-S12)</f>
        <v>17.5291478639121</v>
      </c>
      <c r="T20" s="11" t="n">
        <f aca="false">MAX(0,-T12)</f>
        <v>22.7878922230857</v>
      </c>
      <c r="U20" s="11" t="n">
        <f aca="false">MAX(0,-U12)</f>
        <v>28.0466365822593</v>
      </c>
      <c r="V20" s="11" t="n">
        <f aca="false">MAX(0,-V12)</f>
        <v>33.3053809414329</v>
      </c>
      <c r="W20" s="11" t="n">
        <f aca="false">MAX(0,-W12)</f>
        <v>38.5641253006066</v>
      </c>
      <c r="X20" s="11" t="n">
        <f aca="false">MAX(0,-X12)</f>
        <v>43.8228696597802</v>
      </c>
      <c r="Y20" s="11" t="n">
        <f aca="false">MAX(0,-Y12)</f>
        <v>49.0816140189538</v>
      </c>
      <c r="Z20" s="11" t="n">
        <f aca="false">MAX(0,-Z12)</f>
        <v>51.8787693517002</v>
      </c>
      <c r="AA20" s="11" t="n">
        <f aca="false">MAX(0,-AA12)</f>
        <v>49.3549672937991</v>
      </c>
      <c r="AB20" s="11" t="n">
        <f aca="false">MAX(0,-AB12)</f>
        <v>46.6610690084393</v>
      </c>
      <c r="AC20" s="11" t="n">
        <f aca="false">MAX(0,-AC12)</f>
        <v>43.6031975927509</v>
      </c>
      <c r="AD20" s="11" t="n">
        <f aca="false">MAX(0,-AD12)</f>
        <v>40.2874391882829</v>
      </c>
      <c r="AE20" s="11" t="n">
        <f aca="false">MAX(0,-AE12)</f>
        <v>39.2356903164482</v>
      </c>
      <c r="AF20" s="11" t="n">
        <f aca="false">MAX(0,-AF12)</f>
        <v>36.3457415188111</v>
      </c>
      <c r="AG20" s="11" t="n">
        <f aca="false">MAX(0,-AG12)</f>
        <v>31.9766774663227</v>
      </c>
      <c r="AH20" s="11" t="n">
        <f aca="false">MAX(0,-AH12)</f>
        <v>27.2915513477232</v>
      </c>
      <c r="AI20" s="11" t="n">
        <f aca="false">MAX(0,-AI12)</f>
        <v>22.0911785055006</v>
      </c>
      <c r="AJ20" s="11" t="n">
        <f aca="false">MAX(0,-AJ12)</f>
        <v>16.5368770846598</v>
      </c>
      <c r="AK20" s="11" t="n">
        <f aca="false">MAX(0,-AK12)</f>
        <v>10.4805980534068</v>
      </c>
      <c r="AL20" s="11" t="n">
        <f aca="false">MAX(0,-AL12)</f>
        <v>3.96780040164767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139.562323412541</v>
      </c>
      <c r="K21" s="11" t="n">
        <f aca="false">K16+K17+K18+K19+K20</f>
        <v>239.877783879763</v>
      </c>
      <c r="L21" s="11" t="n">
        <f aca="false">L16+L17+L18+L19+L20</f>
        <v>434.070017871423</v>
      </c>
      <c r="M21" s="11" t="n">
        <f aca="false">M16+M17+M18+M19+M20</f>
        <v>636.157632410052</v>
      </c>
      <c r="N21" s="11" t="n">
        <f aca="false">N16+N17+N18+N19+N20</f>
        <v>753.799661593778</v>
      </c>
      <c r="O21" s="11" t="n">
        <f aca="false">O16+O17+O18+O19+O20</f>
        <v>797.62059205288</v>
      </c>
      <c r="P21" s="11" t="n">
        <f aca="false">P16+P17+P18+P19+P20</f>
        <v>958.35559265466</v>
      </c>
      <c r="Q21" s="11" t="n">
        <f aca="false">Q16+Q17+Q18+Q19+Q20</f>
        <v>946.052532870934</v>
      </c>
      <c r="R21" s="11" t="n">
        <f aca="false">R16+R17+R18+R19+R20</f>
        <v>933.27658913311</v>
      </c>
      <c r="S21" s="11" t="n">
        <f aca="false">S16+S17+S18+S19+S20</f>
        <v>922.8541452583</v>
      </c>
      <c r="T21" s="11" t="n">
        <f aca="false">T16+T17+T18+T19+T20</f>
        <v>910.334434182194</v>
      </c>
      <c r="U21" s="11" t="n">
        <f aca="false">U16+U17+U18+U19+U20</f>
        <v>900.32490111292</v>
      </c>
      <c r="V21" s="11" t="n">
        <f aca="false">V16+V17+V18+V19+V20</f>
        <v>887.584454715611</v>
      </c>
      <c r="W21" s="11" t="n">
        <f aca="false">W16+W17+W18+W19+W20</f>
        <v>872.244625481781</v>
      </c>
      <c r="X21" s="11" t="n">
        <f aca="false">X16+X17+X18+X19+X20</f>
        <v>859.300876314162</v>
      </c>
      <c r="Y21" s="11" t="n">
        <f aca="false">Y16+Y17+Y18+Y19+Y20</f>
        <v>851.05526866444</v>
      </c>
      <c r="Z21" s="11" t="n">
        <f aca="false">Z16+Z17+Z18+Z19+Z20</f>
        <v>837.349611043426</v>
      </c>
      <c r="AA21" s="11" t="n">
        <f aca="false">AA16+AA17+AA18+AA19+AA20</f>
        <v>820.794561660033</v>
      </c>
      <c r="AB21" s="11" t="n">
        <f aca="false">AB16+AB17+AB18+AB19+AB20</f>
        <v>801.388749446067</v>
      </c>
      <c r="AC21" s="11" t="n">
        <f aca="false">AC16+AC17+AC18+AC19+AC20</f>
        <v>784.779900632774</v>
      </c>
      <c r="AD21" s="11" t="n">
        <f aca="false">AD16+AD17+AD18+AD19+AD20</f>
        <v>764.560746520884</v>
      </c>
      <c r="AE21" s="11" t="n">
        <f aca="false">AE16+AE17+AE18+AE19+AE20</f>
        <v>733.472385664698</v>
      </c>
      <c r="AF21" s="11" t="n">
        <f aca="false">AF16+AF17+AF18+AF19+AF20</f>
        <v>711.942387965892</v>
      </c>
      <c r="AG21" s="11" t="n">
        <f aca="false">AG16+AG17+AG18+AG19+AG20</f>
        <v>692.003165383677</v>
      </c>
      <c r="AH21" s="11" t="n">
        <f aca="false">AH16+AH17+AH18+AH19+AH20</f>
        <v>668.035011558171</v>
      </c>
      <c r="AI21" s="11" t="n">
        <f aca="false">AI16+AI17+AI18+AI19+AI20</f>
        <v>645.641762858742</v>
      </c>
      <c r="AJ21" s="11" t="n">
        <f aca="false">AJ16+AJ17+AJ18+AJ19+AJ20</f>
        <v>620.360346778012</v>
      </c>
      <c r="AK21" s="11" t="n">
        <f aca="false">AK16+AK17+AK18+AK19+AK20</f>
        <v>596.334818807584</v>
      </c>
      <c r="AL21" s="11" t="n">
        <f aca="false">AL16+AL17+AL18+AL19+AL20</f>
        <v>567.937431202368</v>
      </c>
      <c r="AM21" s="11" t="n">
        <f aca="false">AM16+AM17+AM18+AM19+AM20</f>
        <v>539.403987621234</v>
      </c>
      <c r="AN21" s="11" t="n">
        <f aca="false">AN16+AN17+AN18+AN19+AN20</f>
        <v>521.324431275824</v>
      </c>
      <c r="AO21" s="11" t="n">
        <f aca="false">AO16+AO17+AO18+AO19+AO20</f>
        <v>488.000677884948</v>
      </c>
      <c r="AP21" s="11" t="n">
        <f aca="false">AP16+AP17+AP18+AP19+AP20</f>
        <v>472.119748333409</v>
      </c>
      <c r="AQ21" s="11" t="n">
        <f aca="false">AQ16+AQ17+AQ18+AQ19+AQ20</f>
        <v>458.152146586011</v>
      </c>
      <c r="AR21" s="11" t="n">
        <f aca="false">AR16+AR17+AR18+AR19+AR20</f>
        <v>442.443567009445</v>
      </c>
      <c r="AS21" s="11" t="n">
        <f aca="false">AS16+AS17+AS18+AS19+AS20</f>
        <v>428.611768571963</v>
      </c>
      <c r="AT21" s="11" t="n">
        <f aca="false">AT16+AT17+AT18+AT19+AT20</f>
        <v>412.534642994823</v>
      </c>
      <c r="AU21" s="11" t="n">
        <f aca="false">AU16+AU17+AU18+AU19+AU20</f>
        <v>380.849332284202</v>
      </c>
      <c r="AV21" s="11" t="n">
        <f aca="false">AV16+AV17+AV18+AV19+AV20</f>
        <v>363.452412689249</v>
      </c>
      <c r="AW21" s="11" t="n">
        <f aca="false">AW16+AW17+AW18+AW19+AW20</f>
        <v>349.019194458046</v>
      </c>
      <c r="AX21" s="11" t="n">
        <f aca="false">AX16+AX17+AX18+AX19+AX20</f>
        <v>331.315481027618</v>
      </c>
      <c r="AY21" s="11" t="n">
        <f aca="false">AY16+AY17+AY18+AY19+AY20</f>
        <v>315.652971524847</v>
      </c>
      <c r="AZ21" s="11" t="n">
        <f aca="false">AZ16+AZ17+AZ18+AZ19+AZ20</f>
        <v>298.13537201313</v>
      </c>
      <c r="BA21" s="11" t="n">
        <f aca="false">BA16+BA17+BA18+BA19+BA20</f>
        <v>282.623541963778</v>
      </c>
      <c r="BB21" s="11" t="n">
        <f aca="false">BB16+BB17+BB18+BB19+BB20</f>
        <v>265.412403443813</v>
      </c>
      <c r="BC21" s="11" t="n">
        <f aca="false">BC16+BC17+BC18+BC19+BC20</f>
        <v>246.607887643602</v>
      </c>
      <c r="BD21" s="11" t="n">
        <f aca="false">BD16+BD17+BD18+BD19+BD20</f>
        <v>230.280696663088</v>
      </c>
      <c r="BE21" s="11" t="n">
        <f aca="false">BE16+BE17+BE18+BE19+BE20</f>
        <v>219.390451735687</v>
      </c>
      <c r="BF21" s="11" t="n">
        <f aca="false">BF16+BF17+BF18+BF19+BF20</f>
        <v>205.434582418911</v>
      </c>
      <c r="BG21" s="11" t="n">
        <f aca="false">BG16+BG17+BG18+BG19+BG20</f>
        <v>193.675242898166</v>
      </c>
      <c r="BH21" s="11" t="n">
        <f aca="false">BH16+BH17+BH18+BH19+BH20</f>
        <v>179.95483659106</v>
      </c>
      <c r="BI21" s="11" t="n">
        <f aca="false">BI16+BI17+BI18+BI19+BI20</f>
        <v>168.397066123697</v>
      </c>
      <c r="BJ21" s="11" t="n">
        <f aca="false">BJ16+BJ17+BJ18+BJ19+BJ20</f>
        <v>154.2738419402</v>
      </c>
      <c r="BK21" s="11" t="n">
        <f aca="false">BK16+BK17+BK18+BK19+BK20</f>
        <v>121.546449877594</v>
      </c>
      <c r="BL21" s="11" t="n">
        <f aca="false">BL16+BL17+BL18+BL19+BL20</f>
        <v>105.849605717355</v>
      </c>
      <c r="BM21" s="11" t="n">
        <f aca="false">BM16+BM17+BM18+BM19+BM20</f>
        <v>92.9020568208593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102.730706235431</v>
      </c>
      <c r="K22" s="11" t="n">
        <f aca="false">IF(Time!K17&lt;Time!$F$11,SUMIFS(Funding!$J$73:$BJ$73,Construction!$J$12:$BJ$12,"&lt;="&amp;Time!K17),Debt!K123)</f>
        <v>175.731454602656</v>
      </c>
      <c r="L22" s="11" t="n">
        <f aca="false">IF(Time!L17&lt;Time!$F$11,SUMIFS(Funding!$J$73:$BJ$73,Construction!$J$12:$BJ$12,"&lt;="&amp;Time!L17),Debt!L123)</f>
        <v>317.114811026013</v>
      </c>
      <c r="M22" s="11" t="n">
        <f aca="false">IF(Time!M17&lt;Time!$F$11,SUMIFS(Funding!$J$73:$BJ$73,Construction!$J$12:$BJ$12,"&lt;="&amp;Time!M17),Debt!M123)</f>
        <v>462.748879780369</v>
      </c>
      <c r="N22" s="11" t="n">
        <f aca="false">IF(Time!N17&lt;Time!$F$11,SUMIFS(Funding!$J$73:$BJ$73,Construction!$J$12:$BJ$12,"&lt;="&amp;Time!N17),Debt!N123)</f>
        <v>544.36535875568</v>
      </c>
      <c r="O22" s="11" t="n">
        <f aca="false">IF(Time!O17&lt;Time!$F$11,SUMIFS(Funding!$J$73:$BJ$73,Construction!$J$12:$BJ$12,"&lt;="&amp;Time!O17),Debt!O123)</f>
        <v>570.598992285319</v>
      </c>
      <c r="P22" s="11" t="n">
        <f aca="false">IF(Time!P17&lt;Time!$F$11,SUMIFS(Funding!$J$73:$BJ$73,Construction!$J$12:$BJ$12,"&lt;="&amp;Time!P17),Debt!P123)</f>
        <v>657.739998413269</v>
      </c>
      <c r="Q22" s="11" t="n">
        <f aca="false">IF(Time!Q17&lt;Time!$F$11,SUMIFS(Funding!$J$73:$BJ$73,Construction!$J$12:$BJ$12,"&lt;="&amp;Time!Q17),Debt!Q123)</f>
        <v>640.550022001723</v>
      </c>
      <c r="R22" s="11" t="n">
        <f aca="false">IF(Time!R17&lt;Time!$F$11,SUMIFS(Funding!$J$73:$BJ$73,Construction!$J$12:$BJ$12,"&lt;="&amp;Time!R17),Debt!R123)</f>
        <v>622.513289501831</v>
      </c>
      <c r="S22" s="11" t="n">
        <f aca="false">IF(Time!S17&lt;Time!$F$11,SUMIFS(Funding!$J$73:$BJ$73,Construction!$J$12:$BJ$12,"&lt;="&amp;Time!S17),Debt!S123)</f>
        <v>603.945043674502</v>
      </c>
      <c r="T22" s="11" t="n">
        <f aca="false">IF(Time!T17&lt;Time!$F$11,SUMIFS(Funding!$J$73:$BJ$73,Construction!$J$12:$BJ$12,"&lt;="&amp;Time!T17),Debt!T123)</f>
        <v>584.522665193028</v>
      </c>
      <c r="U22" s="11" t="n">
        <f aca="false">IF(Time!U17&lt;Time!$F$11,SUMIFS(Funding!$J$73:$BJ$73,Construction!$J$12:$BJ$12,"&lt;="&amp;Time!U17),Debt!U123)</f>
        <v>564.480872870294</v>
      </c>
      <c r="V22" s="11" t="n">
        <f aca="false">IF(Time!V17&lt;Time!$F$11,SUMIFS(Funding!$J$73:$BJ$73,Construction!$J$12:$BJ$12,"&lt;="&amp;Time!V17),Debt!V123)</f>
        <v>543.129764415097</v>
      </c>
      <c r="W22" s="11" t="n">
        <f aca="false">IF(Time!W17&lt;Time!$F$11,SUMIFS(Funding!$J$73:$BJ$73,Construction!$J$12:$BJ$12,"&lt;="&amp;Time!W17),Debt!W123)</f>
        <v>521.125965678257</v>
      </c>
      <c r="X22" s="11" t="n">
        <f aca="false">IF(Time!X17&lt;Time!$F$11,SUMIFS(Funding!$J$73:$BJ$73,Construction!$J$12:$BJ$12,"&lt;="&amp;Time!X17),Debt!X123)</f>
        <v>499.732942519113</v>
      </c>
      <c r="Y22" s="11" t="n">
        <f aca="false">IF(Time!Y17&lt;Time!$F$11,SUMIFS(Funding!$J$73:$BJ$73,Construction!$J$12:$BJ$12,"&lt;="&amp;Time!Y17),Debt!Y123)</f>
        <v>478.32985288415</v>
      </c>
      <c r="Z22" s="11" t="n">
        <f aca="false">IF(Time!Z17&lt;Time!$F$11,SUMIFS(Funding!$J$73:$BJ$73,Construction!$J$12:$BJ$12,"&lt;="&amp;Time!Z17),Debt!Z123)</f>
        <v>456.04007701657</v>
      </c>
      <c r="AA22" s="11" t="n">
        <f aca="false">IF(Time!AA17&lt;Time!$F$11,SUMIFS(Funding!$J$73:$BJ$73,Construction!$J$12:$BJ$12,"&lt;="&amp;Time!AA17),Debt!AA123)</f>
        <v>428.12014228635</v>
      </c>
      <c r="AB22" s="11" t="n">
        <f aca="false">IF(Time!AB17&lt;Time!$F$11,SUMIFS(Funding!$J$73:$BJ$73,Construction!$J$12:$BJ$12,"&lt;="&amp;Time!AB17),Debt!AB123)</f>
        <v>398.481194810665</v>
      </c>
      <c r="AC22" s="11" t="n">
        <f aca="false">IF(Time!AC17&lt;Time!$F$11,SUMIFS(Funding!$J$73:$BJ$73,Construction!$J$12:$BJ$12,"&lt;="&amp;Time!AC17),Debt!AC123)</f>
        <v>368.936999898617</v>
      </c>
      <c r="AD22" s="11" t="n">
        <f aca="false">IF(Time!AD17&lt;Time!$F$11,SUMIFS(Funding!$J$73:$BJ$73,Construction!$J$12:$BJ$12,"&lt;="&amp;Time!AD17),Debt!AD123)</f>
        <v>336.987664398295</v>
      </c>
      <c r="AE22" s="11" t="n">
        <f aca="false">IF(Time!AE17&lt;Time!$F$11,SUMIFS(Funding!$J$73:$BJ$73,Construction!$J$12:$BJ$12,"&lt;="&amp;Time!AE17),Debt!AE123)</f>
        <v>303.435268610389</v>
      </c>
      <c r="AF22" s="11" t="n">
        <f aca="false">IF(Time!AF17&lt;Time!$F$11,SUMIFS(Funding!$J$73:$BJ$73,Construction!$J$12:$BJ$12,"&lt;="&amp;Time!AF17),Debt!AF123)</f>
        <v>268.346362850909</v>
      </c>
      <c r="AG22" s="11" t="n">
        <f aca="false">IF(Time!AG17&lt;Time!$F$11,SUMIFS(Funding!$J$73:$BJ$73,Construction!$J$12:$BJ$12,"&lt;="&amp;Time!AG17),Debt!AG123)</f>
        <v>233.497382736541</v>
      </c>
      <c r="AH22" s="11" t="n">
        <f aca="false">IF(Time!AH17&lt;Time!$F$11,SUMIFS(Funding!$J$73:$BJ$73,Construction!$J$12:$BJ$12,"&lt;="&amp;Time!AH17),Debt!AH123)</f>
        <v>197.064507677769</v>
      </c>
      <c r="AI22" s="11" t="n">
        <f aca="false">IF(Time!AI17&lt;Time!$F$11,SUMIFS(Funding!$J$73:$BJ$73,Construction!$J$12:$BJ$12,"&lt;="&amp;Time!AI17),Debt!AI123)</f>
        <v>160.449296102366</v>
      </c>
      <c r="AJ22" s="11" t="n">
        <f aca="false">IF(Time!AJ17&lt;Time!$F$11,SUMIFS(Funding!$J$73:$BJ$73,Construction!$J$12:$BJ$12,"&lt;="&amp;Time!AJ17),Debt!AJ123)</f>
        <v>122.576917805921</v>
      </c>
      <c r="AK22" s="11" t="n">
        <f aca="false">IF(Time!AK17&lt;Time!$F$11,SUMIFS(Funding!$J$73:$BJ$73,Construction!$J$12:$BJ$12,"&lt;="&amp;Time!AK17),Debt!AK123)</f>
        <v>85.2586060811726</v>
      </c>
      <c r="AL22" s="11" t="n">
        <f aca="false">IF(Time!AL17&lt;Time!$F$11,SUMIFS(Funding!$J$73:$BJ$73,Construction!$J$12:$BJ$12,"&lt;="&amp;Time!AL17),Debt!AL123)</f>
        <v>62.3244079257954</v>
      </c>
      <c r="AM22" s="11" t="n">
        <f aca="false">IF(Time!AM17&lt;Time!$F$11,SUMIFS(Funding!$J$73:$BJ$73,Construction!$J$12:$BJ$12,"&lt;="&amp;Time!AM17),Debt!AM123)</f>
        <v>38.913523223286</v>
      </c>
      <c r="AN22" s="11" t="n">
        <f aca="false">IF(Time!AN17&lt;Time!$F$11,SUMIFS(Funding!$J$73:$BJ$73,Construction!$J$12:$BJ$12,"&lt;="&amp;Time!AN17),Debt!AN123)</f>
        <v>19.5998212614359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29.634167649297</v>
      </c>
      <c r="K23" s="11" t="n">
        <f aca="false">IF(Time!K17&lt;Time!$F$11,SUMIFS(Funding!$J$70:$BJ$70,Construction!$J$12:$BJ$12,"&lt;="&amp;Time!K17)+SUMIFS(Funding!$J$71:$BJ$71,Construction!$J$12:$BJ$12,"&lt;="&amp;Time!K17),Waterfall!K36)</f>
        <v>51.8343504997673</v>
      </c>
      <c r="L23" s="11" t="n">
        <f aca="false">IF(Time!L17&lt;Time!$F$11,SUMIFS(Funding!$J$70:$BJ$70,Construction!$J$12:$BJ$12,"&lt;="&amp;Time!L17)+SUMIFS(Funding!$J$71:$BJ$71,Construction!$J$12:$BJ$12,"&lt;="&amp;Time!L17),Waterfall!L36)</f>
        <v>94.7377226041251</v>
      </c>
      <c r="M23" s="11" t="n">
        <f aca="false">IF(Time!M17&lt;Time!$F$11,SUMIFS(Funding!$J$70:$BJ$70,Construction!$J$12:$BJ$12,"&lt;="&amp;Time!M17)+SUMIFS(Funding!$J$71:$BJ$71,Construction!$J$12:$BJ$12,"&lt;="&amp;Time!M17),Waterfall!M36)</f>
        <v>140.98795238094</v>
      </c>
      <c r="N23" s="11" t="n">
        <f aca="false">IF(Time!N17&lt;Time!$F$11,SUMIFS(Funding!$J$70:$BJ$70,Construction!$J$12:$BJ$12,"&lt;="&amp;Time!N17)+SUMIFS(Funding!$J$71:$BJ$71,Construction!$J$12:$BJ$12,"&lt;="&amp;Time!N17),Waterfall!N36)</f>
        <v>171.295343826614</v>
      </c>
      <c r="O23" s="11" t="n">
        <f aca="false">IF(Time!O17&lt;Time!$F$11,SUMIFS(Funding!$J$70:$BJ$70,Construction!$J$12:$BJ$12,"&lt;="&amp;Time!O17)+SUMIFS(Funding!$J$71:$BJ$71,Construction!$J$12:$BJ$12,"&lt;="&amp;Time!O17),Waterfall!O36)</f>
        <v>187.044677598031</v>
      </c>
      <c r="P23" s="11" t="n">
        <f aca="false">IF(Time!P17&lt;Time!$F$11,SUMIFS(Funding!$J$70:$BJ$70,Construction!$J$12:$BJ$12,"&lt;="&amp;Time!P17)+SUMIFS(Funding!$J$71:$BJ$71,Construction!$J$12:$BJ$12,"&lt;="&amp;Time!P17),Waterfall!P36)</f>
        <v>221.02979762002</v>
      </c>
      <c r="Q23" s="11" t="n">
        <f aca="false">IF(Time!Q17&lt;Time!$F$11,SUMIFS(Funding!$J$70:$BJ$70,Construction!$J$12:$BJ$12,"&lt;="&amp;Time!Q17)+SUMIFS(Funding!$J$71:$BJ$71,Construction!$J$12:$BJ$12,"&lt;="&amp;Time!Q17),Waterfall!Q36)</f>
        <v>219.501282793206</v>
      </c>
      <c r="R23" s="11" t="n">
        <f aca="false">IF(Time!R17&lt;Time!$F$11,SUMIFS(Funding!$J$70:$BJ$70,Construction!$J$12:$BJ$12,"&lt;="&amp;Time!R17)+SUMIFS(Funding!$J$71:$BJ$71,Construction!$J$12:$BJ$12,"&lt;="&amp;Time!R17),Waterfall!R36)</f>
        <v>219.032163173438</v>
      </c>
      <c r="S23" s="11" t="n">
        <f aca="false">IF(Time!S17&lt;Time!$F$11,SUMIFS(Funding!$J$70:$BJ$70,Construction!$J$12:$BJ$12,"&lt;="&amp;Time!S17)+SUMIFS(Funding!$J$71:$BJ$71,Construction!$J$12:$BJ$12,"&lt;="&amp;Time!S17),Waterfall!S36)</f>
        <v>219.156920043259</v>
      </c>
      <c r="T23" s="11" t="n">
        <f aca="false">IF(Time!T17&lt;Time!$F$11,SUMIFS(Funding!$J$70:$BJ$70,Construction!$J$12:$BJ$12,"&lt;="&amp;Time!T17)+SUMIFS(Funding!$J$71:$BJ$71,Construction!$J$12:$BJ$12,"&lt;="&amp;Time!T17),Waterfall!T36)</f>
        <v>218.681469789898</v>
      </c>
      <c r="U23" s="11" t="n">
        <f aca="false">IF(Time!U17&lt;Time!$F$11,SUMIFS(Funding!$J$70:$BJ$70,Construction!$J$12:$BJ$12,"&lt;="&amp;Time!U17)+SUMIFS(Funding!$J$71:$BJ$71,Construction!$J$12:$BJ$12,"&lt;="&amp;Time!U17),Waterfall!U36)</f>
        <v>219.166735133334</v>
      </c>
      <c r="V23" s="11" t="n">
        <f aca="false">IF(Time!V17&lt;Time!$F$11,SUMIFS(Funding!$J$70:$BJ$70,Construction!$J$12:$BJ$12,"&lt;="&amp;Time!V17)+SUMIFS(Funding!$J$71:$BJ$71,Construction!$J$12:$BJ$12,"&lt;="&amp;Time!V17),Waterfall!V36)</f>
        <v>219.002087113797</v>
      </c>
      <c r="W23" s="11" t="n">
        <f aca="false">IF(Time!W17&lt;Time!$F$11,SUMIFS(Funding!$J$70:$BJ$70,Construction!$J$12:$BJ$12,"&lt;="&amp;Time!W17)+SUMIFS(Funding!$J$71:$BJ$71,Construction!$J$12:$BJ$12,"&lt;="&amp;Time!W17),Waterfall!W36)</f>
        <v>217.263649296022</v>
      </c>
      <c r="X23" s="11" t="n">
        <f aca="false">IF(Time!X17&lt;Time!$F$11,SUMIFS(Funding!$J$70:$BJ$70,Construction!$J$12:$BJ$12,"&lt;="&amp;Time!X17)+SUMIFS(Funding!$J$71:$BJ$71,Construction!$J$12:$BJ$12,"&lt;="&amp;Time!X17),Waterfall!X36)</f>
        <v>214.678068995277</v>
      </c>
      <c r="Y23" s="11" t="n">
        <f aca="false">IF(Time!Y17&lt;Time!$F$11,SUMIFS(Funding!$J$70:$BJ$70,Construction!$J$12:$BJ$12,"&lt;="&amp;Time!Y17)+SUMIFS(Funding!$J$71:$BJ$71,Construction!$J$12:$BJ$12,"&lt;="&amp;Time!Y17),Waterfall!Y36)</f>
        <v>214.615843692804</v>
      </c>
      <c r="Z23" s="11" t="n">
        <f aca="false">IF(Time!Z17&lt;Time!$F$11,SUMIFS(Funding!$J$70:$BJ$70,Construction!$J$12:$BJ$12,"&lt;="&amp;Time!Z17)+SUMIFS(Funding!$J$71:$BJ$71,Construction!$J$12:$BJ$12,"&lt;="&amp;Time!Z17),Waterfall!Z36)</f>
        <v>213.884087689858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218.980391843946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223.588343730276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228.825567919739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233.870732417523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238.022587064675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241.344411335544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244.576902311723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246.965035668904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248.627609864905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248.957507398738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247.495528151471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227.77996592899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205.89965818154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182.323756233638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140.253249194809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95.6312289842151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49.1505604649771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8.56602088030761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0</v>
      </c>
      <c r="P24" s="11" t="n">
        <f aca="false">Operations!P85+Operations!P86+Operations!P87+Operations!P88+Operations!P89</f>
        <v>24.1251152797341</v>
      </c>
      <c r="Q24" s="11" t="n">
        <f aca="false">Operations!Q85+Operations!Q86+Operations!Q87+Operations!Q88+Operations!Q89</f>
        <v>24.8176225194946</v>
      </c>
      <c r="R24" s="11" t="n">
        <f aca="false">Operations!R85+Operations!R86+Operations!R87+Operations!R88+Operations!R89</f>
        <v>24.401979455218</v>
      </c>
      <c r="S24" s="11" t="n">
        <f aca="false">Operations!S85+Operations!S86+Operations!S87+Operations!S88+Operations!S89</f>
        <v>25.0840122664817</v>
      </c>
      <c r="T24" s="11" t="n">
        <f aca="false">Operations!T85+Operations!T86+Operations!T87+Operations!T88+Operations!T89</f>
        <v>24.805030284142</v>
      </c>
      <c r="U24" s="11" t="n">
        <f aca="false">Operations!U85+Operations!U86+Operations!U87+Operations!U88+Operations!U89</f>
        <v>25.66011134635</v>
      </c>
      <c r="V24" s="11" t="n">
        <f aca="false">Operations!V85+Operations!V86+Operations!V87+Operations!V88+Operations!V89</f>
        <v>25.1744089679956</v>
      </c>
      <c r="W24" s="11" t="n">
        <f aca="false">Operations!W85+Operations!W86+Operations!W87+Operations!W88+Operations!W89</f>
        <v>25.4946903478022</v>
      </c>
      <c r="X24" s="11" t="n">
        <f aca="false">Operations!X85+Operations!X86+Operations!X87+Operations!X88+Operations!X89</f>
        <v>25.4015322303574</v>
      </c>
      <c r="Y24" s="11" t="n">
        <f aca="false">Operations!Y85+Operations!Y86+Operations!Y87+Operations!Y88+Operations!Y89</f>
        <v>26.8027054866946</v>
      </c>
      <c r="Z24" s="11" t="n">
        <f aca="false">Operations!Z85+Operations!Z86+Operations!Z87+Operations!Z88+Operations!Z89</f>
        <v>26.3532797747705</v>
      </c>
      <c r="AA24" s="11" t="n">
        <f aca="false">Operations!AA85+Operations!AA86+Operations!AA87+Operations!AA88+Operations!AA89</f>
        <v>27.0901516542687</v>
      </c>
      <c r="AB24" s="11" t="n">
        <f aca="false">Operations!AB85+Operations!AB86+Operations!AB87+Operations!AB88+Operations!AB89</f>
        <v>26.7885289640055</v>
      </c>
      <c r="AC24" s="11" t="n">
        <f aca="false">Operations!AC85+Operations!AC86+Operations!AC87+Operations!AC88+Operations!AC89</f>
        <v>27.7125284431198</v>
      </c>
      <c r="AD24" s="11" t="n">
        <f aca="false">Operations!AD85+Operations!AD86+Operations!AD87+Operations!AD88+Operations!AD89</f>
        <v>27.0225860457145</v>
      </c>
      <c r="AE24" s="11" t="n">
        <f aca="false">Operations!AE85+Operations!AE86+Operations!AE87+Operations!AE88+Operations!AE89</f>
        <v>27.0264335858061</v>
      </c>
      <c r="AF24" s="11" t="n">
        <f aca="false">Operations!AF85+Operations!AF86+Operations!AF87+Operations!AF88+Operations!AF89</f>
        <v>27.096269932717</v>
      </c>
      <c r="AG24" s="11" t="n">
        <f aca="false">Operations!AG85+Operations!AG86+Operations!AG87+Operations!AG88+Operations!AG89</f>
        <v>28.9468608363791</v>
      </c>
      <c r="AH24" s="11" t="n">
        <f aca="false">Operations!AH85+Operations!AH86+Operations!AH87+Operations!AH88+Operations!AH89</f>
        <v>28.4609189638602</v>
      </c>
      <c r="AI24" s="11" t="n">
        <f aca="false">Operations!AI85+Operations!AI86+Operations!AI87+Operations!AI88+Operations!AI89</f>
        <v>29.2570276356984</v>
      </c>
      <c r="AJ24" s="11" t="n">
        <f aca="false">Operations!AJ85+Operations!AJ86+Operations!AJ87+Operations!AJ88+Operations!AJ89</f>
        <v>28.9309326421223</v>
      </c>
      <c r="AK24" s="11" t="n">
        <f aca="false">Operations!AK85+Operations!AK86+Operations!AK87+Operations!AK88+Operations!AK89</f>
        <v>29.9293819501709</v>
      </c>
      <c r="AL24" s="11" t="n">
        <f aca="false">Operations!AL85+Operations!AL86+Operations!AL87+Operations!AL88+Operations!AL89</f>
        <v>29.3615363032786</v>
      </c>
      <c r="AM24" s="11" t="n">
        <f aca="false">Operations!AM85+Operations!AM86+Operations!AM87+Operations!AM88+Operations!AM89</f>
        <v>29.7344937055108</v>
      </c>
      <c r="AN24" s="11" t="n">
        <f aca="false">Operations!AN85+Operations!AN86+Operations!AN87+Operations!AN88+Operations!AN89</f>
        <v>29.6257395758665</v>
      </c>
      <c r="AO24" s="11" t="n">
        <f aca="false">Operations!AO85+Operations!AO86+Operations!AO87+Operations!AO88+Operations!AO89</f>
        <v>31.2627949878765</v>
      </c>
      <c r="AP24" s="11" t="n">
        <f aca="false">Operations!AP85+Operations!AP86+Operations!AP87+Operations!AP88+Operations!AP89</f>
        <v>30.7373841140327</v>
      </c>
      <c r="AQ24" s="11" t="n">
        <f aca="false">Operations!AQ85+Operations!AQ86+Operations!AQ87+Operations!AQ88+Operations!AQ89</f>
        <v>31.597477887708</v>
      </c>
      <c r="AR24" s="11" t="n">
        <f aca="false">Operations!AR85+Operations!AR86+Operations!AR87+Operations!AR88+Operations!AR89</f>
        <v>31.2449321130047</v>
      </c>
      <c r="AS24" s="11" t="n">
        <f aca="false">Operations!AS85+Operations!AS86+Operations!AS87+Operations!AS88+Operations!AS89</f>
        <v>32.3238037588629</v>
      </c>
      <c r="AT24" s="11" t="n">
        <f aca="false">Operations!AT85+Operations!AT86+Operations!AT87+Operations!AT88+Operations!AT89</f>
        <v>31.517161848582</v>
      </c>
      <c r="AU24" s="11" t="n">
        <f aca="false">Operations!AU85+Operations!AU86+Operations!AU87+Operations!AU88+Operations!AU89</f>
        <v>31.5201703342723</v>
      </c>
      <c r="AV24" s="11" t="n">
        <f aca="false">Operations!AV85+Operations!AV86+Operations!AV87+Operations!AV88+Operations!AV89</f>
        <v>31.6018232460227</v>
      </c>
      <c r="AW24" s="11" t="n">
        <f aca="false">Operations!AW85+Operations!AW86+Operations!AW87+Operations!AW88+Operations!AW89</f>
        <v>33.7642246102726</v>
      </c>
      <c r="AX24" s="11" t="n">
        <f aca="false">Operations!AX85+Operations!AX86+Operations!AX87+Operations!AX88+Operations!AX89</f>
        <v>33.1961551310667</v>
      </c>
      <c r="AY24" s="11" t="n">
        <f aca="false">Operations!AY85+Operations!AY86+Operations!AY87+Operations!AY88+Operations!AY89</f>
        <v>34.125360649526</v>
      </c>
      <c r="AZ24" s="11" t="n">
        <f aca="false">Operations!AZ85+Operations!AZ86+Operations!AZ87+Operations!AZ88+Operations!AZ89</f>
        <v>33.744227067728</v>
      </c>
      <c r="BA24" s="11" t="n">
        <f aca="false">Operations!BA85+Operations!BA86+Operations!BA87+Operations!BA88+Operations!BA89</f>
        <v>34.9099695626066</v>
      </c>
      <c r="BB24" s="11" t="n">
        <f aca="false">Operations!BB85+Operations!BB86+Operations!BB87+Operations!BB88+Operations!BB89</f>
        <v>34.2461818870144</v>
      </c>
      <c r="BC24" s="11" t="n">
        <f aca="false">Operations!BC85+Operations!BC86+Operations!BC87+Operations!BC88+Operations!BC89</f>
        <v>34.6804979267079</v>
      </c>
      <c r="BD24" s="11" t="n">
        <f aca="false">Operations!BD85+Operations!BD86+Operations!BD87+Operations!BD88+Operations!BD89</f>
        <v>34.5535261683125</v>
      </c>
      <c r="BE24" s="11" t="n">
        <f aca="false">Operations!BE85+Operations!BE86+Operations!BE87+Operations!BE88+Operations!BE89</f>
        <v>36.4659564608307</v>
      </c>
      <c r="BF24" s="11" t="n">
        <f aca="false">Operations!BF85+Operations!BF86+Operations!BF87+Operations!BF88+Operations!BF89</f>
        <v>35.851783201756</v>
      </c>
      <c r="BG24" s="11" t="n">
        <f aca="false">Operations!BG85+Operations!BG86+Operations!BG87+Operations!BG88+Operations!BG89</f>
        <v>36.8556353668697</v>
      </c>
      <c r="BH24" s="11" t="n">
        <f aca="false">Operations!BH85+Operations!BH86+Operations!BH87+Operations!BH88+Operations!BH89</f>
        <v>36.4436058216668</v>
      </c>
      <c r="BI24" s="11" t="n">
        <f aca="false">Operations!BI85+Operations!BI86+Operations!BI87+Operations!BI88+Operations!BI89</f>
        <v>37.7031813218419</v>
      </c>
      <c r="BJ24" s="11" t="n">
        <f aca="false">Operations!BJ85+Operations!BJ86+Operations!BJ87+Operations!BJ88+Operations!BJ89</f>
        <v>36.7602418957956</v>
      </c>
      <c r="BK24" s="11" t="n">
        <f aca="false">Operations!BK85+Operations!BK86+Operations!BK87+Operations!BK88+Operations!BK89</f>
        <v>36.7621070457488</v>
      </c>
      <c r="BL24" s="11" t="n">
        <f aca="false">Operations!BL85+Operations!BL86+Operations!BL87+Operations!BL88+Operations!BL89</f>
        <v>36.8575402047224</v>
      </c>
      <c r="BM24" s="11" t="n">
        <f aca="false">Operations!BM85+Operations!BM86+Operations!BM87+Operations!BM88+Operations!BM89</f>
        <v>39.3839734861197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0</v>
      </c>
      <c r="AK25" s="11" t="n">
        <f aca="false">MAX(0,AK12)</f>
        <v>0</v>
      </c>
      <c r="AL25" s="11" t="n">
        <f aca="false">MAX(0,AL12)</f>
        <v>0</v>
      </c>
      <c r="AM25" s="11" t="n">
        <f aca="false">MAX(0,AM12)</f>
        <v>2.25109988575463</v>
      </c>
      <c r="AN25" s="11" t="n">
        <f aca="false">MAX(0,AN12)</f>
        <v>9.84059040566008</v>
      </c>
      <c r="AO25" s="11" t="n">
        <f aca="false">MAX(0,AO12)</f>
        <v>17.9682006654995</v>
      </c>
      <c r="AP25" s="11" t="n">
        <f aca="false">MAX(0,AP12)</f>
        <v>26.8634363693293</v>
      </c>
      <c r="AQ25" s="11" t="n">
        <f aca="false">MAX(0,AQ12)</f>
        <v>36.4751014472154</v>
      </c>
      <c r="AR25" s="11" t="n">
        <f aca="false">MAX(0,AR12)</f>
        <v>37.687667907411</v>
      </c>
      <c r="AS25" s="11" t="n">
        <f aca="false">MAX(0,AS12)</f>
        <v>38.7394167792457</v>
      </c>
      <c r="AT25" s="11" t="n">
        <f aca="false">MAX(0,AT12)</f>
        <v>39.7911656510804</v>
      </c>
      <c r="AU25" s="11" t="n">
        <f aca="false">MAX(0,AU12)</f>
        <v>40.8429145229151</v>
      </c>
      <c r="AV25" s="11" t="n">
        <f aca="false">MAX(0,AV12)</f>
        <v>41.8946633947499</v>
      </c>
      <c r="AW25" s="11" t="n">
        <f aca="false">MAX(0,AW12)</f>
        <v>42.9464122665846</v>
      </c>
      <c r="AX25" s="11" t="n">
        <f aca="false">MAX(0,AX12)</f>
        <v>43.9981611384193</v>
      </c>
      <c r="AY25" s="11" t="n">
        <f aca="false">MAX(0,AY12)</f>
        <v>45.0499100102541</v>
      </c>
      <c r="AZ25" s="11" t="n">
        <f aca="false">MAX(0,AZ12)</f>
        <v>46.1016588820888</v>
      </c>
      <c r="BA25" s="11" t="n">
        <f aca="false">MAX(0,BA12)</f>
        <v>47.1534077539235</v>
      </c>
      <c r="BB25" s="11" t="n">
        <f aca="false">MAX(0,BB12)</f>
        <v>48.2051566257583</v>
      </c>
      <c r="BC25" s="11" t="n">
        <f aca="false">MAX(0,BC12)</f>
        <v>49.256905497593</v>
      </c>
      <c r="BD25" s="11" t="n">
        <f aca="false">MAX(0,BD12)</f>
        <v>48.2928023650778</v>
      </c>
      <c r="BE25" s="11" t="n">
        <f aca="false">MAX(0,BE12)</f>
        <v>43.2969952238628</v>
      </c>
      <c r="BF25" s="11" t="n">
        <f aca="false">MAX(0,BF12)</f>
        <v>38.3011880826479</v>
      </c>
      <c r="BG25" s="11" t="n">
        <f aca="false">MAX(0,BG12)</f>
        <v>33.305380941433</v>
      </c>
      <c r="BH25" s="11" t="n">
        <f aca="false">MAX(0,BH12)</f>
        <v>28.309573800218</v>
      </c>
      <c r="BI25" s="11" t="n">
        <f aca="false">MAX(0,BI12)</f>
        <v>23.3137666590031</v>
      </c>
      <c r="BJ25" s="11" t="n">
        <f aca="false">MAX(0,BJ12)</f>
        <v>18.3179595177881</v>
      </c>
      <c r="BK25" s="11" t="n">
        <f aca="false">MAX(0,BK12)</f>
        <v>13.3221523765732</v>
      </c>
      <c r="BL25" s="11" t="n">
        <f aca="false">MAX(0,BL12)</f>
        <v>8.32634523535823</v>
      </c>
      <c r="BM25" s="11" t="n">
        <f aca="false">MAX(0,BM12)</f>
        <v>3.33053809414332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7.19744952781319</v>
      </c>
      <c r="K26" s="11" t="n">
        <f aca="false">SUMIFS(Funding!$J$69:$BJ$69,Construction!$J$12:$BJ$12,"&lt;="&amp;Time!K17)</f>
        <v>12.3119787773403</v>
      </c>
      <c r="L26" s="11" t="n">
        <f aca="false">SUMIFS(Funding!$J$69:$BJ$69,Construction!$J$12:$BJ$12,"&lt;="&amp;Time!L17)</f>
        <v>22.2174842412847</v>
      </c>
      <c r="M26" s="11" t="n">
        <f aca="false">SUMIFS(Funding!$J$69:$BJ$69,Construction!$J$12:$BJ$12,"&lt;="&amp;Time!M17)</f>
        <v>32.4208002487438</v>
      </c>
      <c r="N26" s="11" t="n">
        <f aca="false">SUMIFS(Funding!$J$69:$BJ$69,Construction!$J$12:$BJ$12,"&lt;="&amp;Time!N17)</f>
        <v>38.1389590114841</v>
      </c>
      <c r="O26" s="11" t="n">
        <f aca="false">SUMIFS(Funding!$J$69:$BJ$69,Construction!$J$12:$BJ$12,"&lt;="&amp;Time!O17)</f>
        <v>39.9769221695297</v>
      </c>
      <c r="P26" s="11" t="n">
        <f aca="false">SUMIFS(Funding!$J$69:$BJ$69,Construction!$J$12:$BJ$12,"&lt;="&amp;Time!P17)</f>
        <v>46.0821366316148</v>
      </c>
      <c r="Q26" s="11" t="n">
        <f aca="false">SUMIFS(Funding!$J$69:$BJ$69,Construction!$J$12:$BJ$12,"&lt;="&amp;Time!Q17)</f>
        <v>46.0821366316148</v>
      </c>
      <c r="R26" s="11" t="n">
        <f aca="false">SUMIFS(Funding!$J$69:$BJ$69,Construction!$J$12:$BJ$12,"&lt;="&amp;Time!R17)</f>
        <v>46.0821366316148</v>
      </c>
      <c r="S26" s="11" t="n">
        <f aca="false">SUMIFS(Funding!$J$69:$BJ$69,Construction!$J$12:$BJ$12,"&lt;="&amp;Time!S17)</f>
        <v>46.0821366316148</v>
      </c>
      <c r="T26" s="11" t="n">
        <f aca="false">SUMIFS(Funding!$J$69:$BJ$69,Construction!$J$12:$BJ$12,"&lt;="&amp;Time!T17)</f>
        <v>46.0821366316148</v>
      </c>
      <c r="U26" s="11" t="n">
        <f aca="false">SUMIFS(Funding!$J$69:$BJ$69,Construction!$J$12:$BJ$12,"&lt;="&amp;Time!U17)</f>
        <v>46.0821366316148</v>
      </c>
      <c r="V26" s="11" t="n">
        <f aca="false">SUMIFS(Funding!$J$69:$BJ$69,Construction!$J$12:$BJ$12,"&lt;="&amp;Time!V17)</f>
        <v>46.0821366316148</v>
      </c>
      <c r="W26" s="11" t="n">
        <f aca="false">SUMIFS(Funding!$J$69:$BJ$69,Construction!$J$12:$BJ$12,"&lt;="&amp;Time!W17)</f>
        <v>46.0821366316148</v>
      </c>
      <c r="X26" s="11" t="n">
        <f aca="false">SUMIFS(Funding!$J$69:$BJ$69,Construction!$J$12:$BJ$12,"&lt;="&amp;Time!X17)</f>
        <v>46.0821366316148</v>
      </c>
      <c r="Y26" s="11" t="n">
        <f aca="false">SUMIFS(Funding!$J$69:$BJ$69,Construction!$J$12:$BJ$12,"&lt;="&amp;Time!Y17)</f>
        <v>46.0821366316148</v>
      </c>
      <c r="Z26" s="11" t="n">
        <f aca="false">SUMIFS(Funding!$J$69:$BJ$69,Construction!$J$12:$BJ$12,"&lt;="&amp;Time!Z17)</f>
        <v>46.0821366316148</v>
      </c>
      <c r="AA26" s="11" t="n">
        <f aca="false">SUMIFS(Funding!$J$69:$BJ$69,Construction!$J$12:$BJ$12,"&lt;="&amp;Time!AA17)</f>
        <v>46.0821366316148</v>
      </c>
      <c r="AB26" s="11" t="n">
        <f aca="false">SUMIFS(Funding!$J$69:$BJ$69,Construction!$J$12:$BJ$12,"&lt;="&amp;Time!AB17)</f>
        <v>46.0821366316148</v>
      </c>
      <c r="AC26" s="11" t="n">
        <f aca="false">SUMIFS(Funding!$J$69:$BJ$69,Construction!$J$12:$BJ$12,"&lt;="&amp;Time!AC17)</f>
        <v>46.0821366316148</v>
      </c>
      <c r="AD26" s="11" t="n">
        <f aca="false">SUMIFS(Funding!$J$69:$BJ$69,Construction!$J$12:$BJ$12,"&lt;="&amp;Time!AD17)</f>
        <v>46.0821366316148</v>
      </c>
      <c r="AE26" s="11" t="n">
        <f aca="false">SUMIFS(Funding!$J$69:$BJ$69,Construction!$J$12:$BJ$12,"&lt;="&amp;Time!AE17)</f>
        <v>46.0821366316148</v>
      </c>
      <c r="AF26" s="11" t="n">
        <f aca="false">SUMIFS(Funding!$J$69:$BJ$69,Construction!$J$12:$BJ$12,"&lt;="&amp;Time!AF17)</f>
        <v>46.0821366316148</v>
      </c>
      <c r="AG26" s="11" t="n">
        <f aca="false">SUMIFS(Funding!$J$69:$BJ$69,Construction!$J$12:$BJ$12,"&lt;="&amp;Time!AG17)</f>
        <v>46.0821366316148</v>
      </c>
      <c r="AH26" s="11" t="n">
        <f aca="false">SUMIFS(Funding!$J$69:$BJ$69,Construction!$J$12:$BJ$12,"&lt;="&amp;Time!AH17)</f>
        <v>46.0821366316148</v>
      </c>
      <c r="AI26" s="11" t="n">
        <f aca="false">SUMIFS(Funding!$J$69:$BJ$69,Construction!$J$12:$BJ$12,"&lt;="&amp;Time!AI17)</f>
        <v>46.0821366316148</v>
      </c>
      <c r="AJ26" s="11" t="n">
        <f aca="false">SUMIFS(Funding!$J$69:$BJ$69,Construction!$J$12:$BJ$12,"&lt;="&amp;Time!AJ17)</f>
        <v>46.0821366316148</v>
      </c>
      <c r="AK26" s="11" t="n">
        <f aca="false">SUMIFS(Funding!$J$69:$BJ$69,Construction!$J$12:$BJ$12,"&lt;="&amp;Time!AK17)</f>
        <v>46.0821366316148</v>
      </c>
      <c r="AL26" s="11" t="n">
        <f aca="false">SUMIFS(Funding!$J$69:$BJ$69,Construction!$J$12:$BJ$12,"&lt;="&amp;Time!AL17)</f>
        <v>46.0821366316148</v>
      </c>
      <c r="AM26" s="11" t="n">
        <f aca="false">SUMIFS(Funding!$J$69:$BJ$69,Construction!$J$12:$BJ$12,"&lt;="&amp;Time!AM17)</f>
        <v>46.0821366316148</v>
      </c>
      <c r="AN26" s="11" t="n">
        <f aca="false">SUMIFS(Funding!$J$69:$BJ$69,Construction!$J$12:$BJ$12,"&lt;="&amp;Time!AN17)</f>
        <v>46.0821366316148</v>
      </c>
      <c r="AO26" s="11" t="n">
        <f aca="false">SUMIFS(Funding!$J$69:$BJ$69,Construction!$J$12:$BJ$12,"&lt;="&amp;Time!AO17)</f>
        <v>46.0821366316148</v>
      </c>
      <c r="AP26" s="11" t="n">
        <f aca="false">SUMIFS(Funding!$J$69:$BJ$69,Construction!$J$12:$BJ$12,"&lt;="&amp;Time!AP17)</f>
        <v>46.0821366316148</v>
      </c>
      <c r="AQ26" s="11" t="n">
        <f aca="false">SUMIFS(Funding!$J$69:$BJ$69,Construction!$J$12:$BJ$12,"&lt;="&amp;Time!AQ17)</f>
        <v>46.0821366316148</v>
      </c>
      <c r="AR26" s="11" t="n">
        <f aca="false">SUMIFS(Funding!$J$69:$BJ$69,Construction!$J$12:$BJ$12,"&lt;="&amp;Time!AR17)</f>
        <v>46.0821366316148</v>
      </c>
      <c r="AS26" s="11" t="n">
        <f aca="false">SUMIFS(Funding!$J$69:$BJ$69,Construction!$J$12:$BJ$12,"&lt;="&amp;Time!AS17)</f>
        <v>46.0821366316148</v>
      </c>
      <c r="AT26" s="11" t="n">
        <f aca="false">SUMIFS(Funding!$J$69:$BJ$69,Construction!$J$12:$BJ$12,"&lt;="&amp;Time!AT17)</f>
        <v>46.0821366316148</v>
      </c>
      <c r="AU26" s="11" t="n">
        <f aca="false">SUMIFS(Funding!$J$69:$BJ$69,Construction!$J$12:$BJ$12,"&lt;="&amp;Time!AU17)</f>
        <v>46.0821366316148</v>
      </c>
      <c r="AV26" s="11" t="n">
        <f aca="false">SUMIFS(Funding!$J$69:$BJ$69,Construction!$J$12:$BJ$12,"&lt;="&amp;Time!AV17)</f>
        <v>46.0821366316148</v>
      </c>
      <c r="AW26" s="11" t="n">
        <f aca="false">SUMIFS(Funding!$J$69:$BJ$69,Construction!$J$12:$BJ$12,"&lt;="&amp;Time!AW17)</f>
        <v>46.0821366316148</v>
      </c>
      <c r="AX26" s="11" t="n">
        <f aca="false">SUMIFS(Funding!$J$69:$BJ$69,Construction!$J$12:$BJ$12,"&lt;="&amp;Time!AX17)</f>
        <v>46.0821366316148</v>
      </c>
      <c r="AY26" s="11" t="n">
        <f aca="false">SUMIFS(Funding!$J$69:$BJ$69,Construction!$J$12:$BJ$12,"&lt;="&amp;Time!AY17)</f>
        <v>46.0821366316148</v>
      </c>
      <c r="AZ26" s="11" t="n">
        <f aca="false">SUMIFS(Funding!$J$69:$BJ$69,Construction!$J$12:$BJ$12,"&lt;="&amp;Time!AZ17)</f>
        <v>46.0821366316148</v>
      </c>
      <c r="BA26" s="11" t="n">
        <f aca="false">SUMIFS(Funding!$J$69:$BJ$69,Construction!$J$12:$BJ$12,"&lt;="&amp;Time!BA17)</f>
        <v>46.0821366316148</v>
      </c>
      <c r="BB26" s="11" t="n">
        <f aca="false">SUMIFS(Funding!$J$69:$BJ$69,Construction!$J$12:$BJ$12,"&lt;="&amp;Time!BB17)</f>
        <v>46.0821366316148</v>
      </c>
      <c r="BC26" s="11" t="n">
        <f aca="false">SUMIFS(Funding!$J$69:$BJ$69,Construction!$J$12:$BJ$12,"&lt;="&amp;Time!BC17)</f>
        <v>46.0821366316148</v>
      </c>
      <c r="BD26" s="11" t="n">
        <f aca="false">SUMIFS(Funding!$J$69:$BJ$69,Construction!$J$12:$BJ$12,"&lt;="&amp;Time!BD17)</f>
        <v>46.0821366316148</v>
      </c>
      <c r="BE26" s="11" t="n">
        <f aca="false">SUMIFS(Funding!$J$69:$BJ$69,Construction!$J$12:$BJ$12,"&lt;="&amp;Time!BE17)</f>
        <v>46.0821366316148</v>
      </c>
      <c r="BF26" s="11" t="n">
        <f aca="false">SUMIFS(Funding!$J$69:$BJ$69,Construction!$J$12:$BJ$12,"&lt;="&amp;Time!BF17)</f>
        <v>46.0821366316148</v>
      </c>
      <c r="BG26" s="11" t="n">
        <f aca="false">SUMIFS(Funding!$J$69:$BJ$69,Construction!$J$12:$BJ$12,"&lt;="&amp;Time!BG17)</f>
        <v>46.0821366316148</v>
      </c>
      <c r="BH26" s="11" t="n">
        <f aca="false">SUMIFS(Funding!$J$69:$BJ$69,Construction!$J$12:$BJ$12,"&lt;="&amp;Time!BH17)</f>
        <v>46.0821366316148</v>
      </c>
      <c r="BI26" s="11" t="n">
        <f aca="false">SUMIFS(Funding!$J$69:$BJ$69,Construction!$J$12:$BJ$12,"&lt;="&amp;Time!BI17)</f>
        <v>46.0821366316148</v>
      </c>
      <c r="BJ26" s="11" t="n">
        <f aca="false">SUMIFS(Funding!$J$69:$BJ$69,Construction!$J$12:$BJ$12,"&lt;="&amp;Time!BJ17)</f>
        <v>46.0821366316148</v>
      </c>
      <c r="BK26" s="11" t="n">
        <f aca="false">SUMIFS(Funding!$J$69:$BJ$69,Construction!$J$12:$BJ$12,"&lt;="&amp;Time!BK17)</f>
        <v>46.0821366316148</v>
      </c>
      <c r="BL26" s="11" t="n">
        <f aca="false">SUMIFS(Funding!$J$69:$BJ$69,Construction!$J$12:$BJ$12,"&lt;="&amp;Time!BL17)</f>
        <v>46.0821366316148</v>
      </c>
      <c r="BM26" s="11" t="n">
        <f aca="false">SUMIFS(Funding!$J$69:$BJ$69,Construction!$J$12:$BJ$12,"&lt;="&amp;Time!BM17)</f>
        <v>46.0821366316148</v>
      </c>
      <c r="BN26" s="11" t="n">
        <f aca="false">SUMIFS(Funding!$J$69:$BJ$69,Construction!$J$12:$BJ$12,"&lt;="&amp;Time!BN17)</f>
        <v>46.0821366316148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0</v>
      </c>
      <c r="P27" s="16" t="n">
        <f aca="false">Waterfall!P43</f>
        <v>9.37854471002205</v>
      </c>
      <c r="Q27" s="16" t="n">
        <f aca="false">Waterfall!Q43</f>
        <v>15.1014689248956</v>
      </c>
      <c r="R27" s="16" t="n">
        <f aca="false">Waterfall!R43</f>
        <v>21.2470203710082</v>
      </c>
      <c r="S27" s="16" t="n">
        <f aca="false">Waterfall!S43</f>
        <v>28.5860326424422</v>
      </c>
      <c r="T27" s="16" t="n">
        <f aca="false">Waterfall!T43</f>
        <v>36.2431322835115</v>
      </c>
      <c r="U27" s="16" t="n">
        <f aca="false">Waterfall!U43</f>
        <v>44.9350451313273</v>
      </c>
      <c r="V27" s="16" t="n">
        <f aca="false">Waterfall!V43</f>
        <v>54.1960575871065</v>
      </c>
      <c r="W27" s="16" t="n">
        <f aca="false">Waterfall!W43</f>
        <v>62.2781835280854</v>
      </c>
      <c r="X27" s="16" t="n">
        <f aca="false">Waterfall!X43</f>
        <v>73.4061959378001</v>
      </c>
      <c r="Y27" s="16" t="n">
        <f aca="false">Waterfall!Y43</f>
        <v>85.2247299691766</v>
      </c>
      <c r="Z27" s="16" t="n">
        <f aca="false">Waterfall!Z43</f>
        <v>94.9900299306117</v>
      </c>
      <c r="AA27" s="16" t="n">
        <f aca="false">Waterfall!AA43</f>
        <v>100.521739243853</v>
      </c>
      <c r="AB27" s="16" t="n">
        <f aca="false">Waterfall!AB43</f>
        <v>106.448545309505</v>
      </c>
      <c r="AC27" s="16" t="n">
        <f aca="false">Waterfall!AC43</f>
        <v>113.222667739683</v>
      </c>
      <c r="AD27" s="16" t="n">
        <f aca="false">Waterfall!AD43</f>
        <v>120.597627027737</v>
      </c>
      <c r="AE27" s="16" t="n">
        <f aca="false">Waterfall!AE43</f>
        <v>118.905959772213</v>
      </c>
      <c r="AF27" s="16" t="n">
        <f aca="false">Waterfall!AF43</f>
        <v>129.073207215107</v>
      </c>
      <c r="AG27" s="16" t="n">
        <f aca="false">Waterfall!AG43</f>
        <v>138.899882867418</v>
      </c>
      <c r="AH27" s="16" t="n">
        <f aca="false">Waterfall!AH43</f>
        <v>149.462412616022</v>
      </c>
      <c r="AI27" s="16" t="n">
        <f aca="false">Waterfall!AI43</f>
        <v>161.225692624158</v>
      </c>
      <c r="AJ27" s="16" t="n">
        <f aca="false">Waterfall!AJ43</f>
        <v>173.812852299616</v>
      </c>
      <c r="AK27" s="16" t="n">
        <f aca="false">Waterfall!AK43</f>
        <v>187.569165993154</v>
      </c>
      <c r="AL27" s="16" t="n">
        <f aca="false">Waterfall!AL43</f>
        <v>202.38938441269</v>
      </c>
      <c r="AM27" s="16" t="n">
        <f aca="false">Waterfall!AM43</f>
        <v>216.523075993528</v>
      </c>
      <c r="AN27" s="16" t="n">
        <f aca="false">Waterfall!AN43</f>
        <v>233.852387167608</v>
      </c>
      <c r="AO27" s="16" t="n">
        <f aca="false">Waterfall!AO43</f>
        <v>252.434296405148</v>
      </c>
      <c r="AP27" s="16" t="n">
        <f aca="false">Waterfall!AP43</f>
        <v>272.805562234217</v>
      </c>
      <c r="AQ27" s="16" t="n">
        <f aca="false">Waterfall!AQ43</f>
        <v>294.846870154496</v>
      </c>
      <c r="AR27" s="16" t="n">
        <f aca="false">Waterfall!AR43</f>
        <v>318.862809477107</v>
      </c>
      <c r="AS27" s="16" t="n">
        <f aca="false">Waterfall!AS43</f>
        <v>311.466411402239</v>
      </c>
      <c r="AT27" s="16" t="n">
        <f aca="false">Waterfall!AT43</f>
        <v>295.144178863545</v>
      </c>
      <c r="AU27" s="16" t="n">
        <f aca="false">Waterfall!AU43</f>
        <v>262.404110795399</v>
      </c>
      <c r="AV27" s="16" t="n">
        <f aca="false">Waterfall!AV43</f>
        <v>243.873789416861</v>
      </c>
      <c r="AW27" s="16" t="n">
        <f aca="false">Waterfall!AW43</f>
        <v>226.226420949574</v>
      </c>
      <c r="AX27" s="16" t="n">
        <f aca="false">Waterfall!AX43</f>
        <v>208.039028126517</v>
      </c>
      <c r="AY27" s="16" t="n">
        <f aca="false">Waterfall!AY43</f>
        <v>190.395564233452</v>
      </c>
      <c r="AZ27" s="16" t="n">
        <f aca="false">Waterfall!AZ43</f>
        <v>172.207349431699</v>
      </c>
      <c r="BA27" s="16" t="n">
        <f aca="false">Waterfall!BA43</f>
        <v>154.478028015633</v>
      </c>
      <c r="BB27" s="16" t="n">
        <f aca="false">Waterfall!BB43</f>
        <v>136.878928299426</v>
      </c>
      <c r="BC27" s="16" t="n">
        <f aca="false">Waterfall!BC43</f>
        <v>116.588347587686</v>
      </c>
      <c r="BD27" s="16" t="n">
        <f aca="false">Waterfall!BD43</f>
        <v>101.352231498082</v>
      </c>
      <c r="BE27" s="16" t="n">
        <f aca="false">Waterfall!BE43</f>
        <v>93.5453634193785</v>
      </c>
      <c r="BF27" s="16" t="n">
        <f aca="false">Waterfall!BF43</f>
        <v>85.1994745028919</v>
      </c>
      <c r="BG27" s="16" t="n">
        <f aca="false">Waterfall!BG43</f>
        <v>77.4320899582481</v>
      </c>
      <c r="BH27" s="16" t="n">
        <f aca="false">Waterfall!BH43</f>
        <v>69.1195203375602</v>
      </c>
      <c r="BI27" s="16" t="n">
        <f aca="false">Waterfall!BI43</f>
        <v>61.2979815112368</v>
      </c>
      <c r="BJ27" s="16" t="n">
        <f aca="false">Waterfall!BJ43</f>
        <v>53.1135038950015</v>
      </c>
      <c r="BK27" s="16" t="n">
        <f aca="false">Waterfall!BK43</f>
        <v>25.3800538236575</v>
      </c>
      <c r="BL27" s="16" t="n">
        <f aca="false">Waterfall!BL43</f>
        <v>14.5835836456592</v>
      </c>
      <c r="BM27" s="16" t="n">
        <f aca="false">Waterfall!BM43</f>
        <v>4.1054086089815</v>
      </c>
      <c r="BN27" s="16" t="n">
        <f aca="false">Waterfall!BN43</f>
        <v>-46.0821366316147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139.562323412541</v>
      </c>
      <c r="K28" s="11" t="n">
        <f aca="false">K22+K23+K24+K25+K26+K27</f>
        <v>239.877783879763</v>
      </c>
      <c r="L28" s="11" t="n">
        <f aca="false">L22+L23+L24+L25+L26+L27</f>
        <v>434.070017871423</v>
      </c>
      <c r="M28" s="11" t="n">
        <f aca="false">M22+M23+M24+M25+M26+M27</f>
        <v>636.157632410052</v>
      </c>
      <c r="N28" s="11" t="n">
        <f aca="false">N22+N23+N24+N25+N26+N27</f>
        <v>753.799661593778</v>
      </c>
      <c r="O28" s="11" t="n">
        <f aca="false">O22+O23+O24+O25+O26+O27</f>
        <v>797.62059205288</v>
      </c>
      <c r="P28" s="11" t="n">
        <f aca="false">P22+P23+P24+P25+P26+P27</f>
        <v>958.35559265466</v>
      </c>
      <c r="Q28" s="11" t="n">
        <f aca="false">Q22+Q23+Q24+Q25+Q26+Q27</f>
        <v>946.052532870934</v>
      </c>
      <c r="R28" s="11" t="n">
        <f aca="false">R22+R23+R24+R25+R26+R27</f>
        <v>933.27658913311</v>
      </c>
      <c r="S28" s="11" t="n">
        <f aca="false">S22+S23+S24+S25+S26+S27</f>
        <v>922.8541452583</v>
      </c>
      <c r="T28" s="11" t="n">
        <f aca="false">T22+T23+T24+T25+T26+T27</f>
        <v>910.334434182194</v>
      </c>
      <c r="U28" s="11" t="n">
        <f aca="false">U22+U23+U24+U25+U26+U27</f>
        <v>900.32490111292</v>
      </c>
      <c r="V28" s="11" t="n">
        <f aca="false">V22+V23+V24+V25+V26+V27</f>
        <v>887.584454715611</v>
      </c>
      <c r="W28" s="11" t="n">
        <f aca="false">W22+W23+W24+W25+W26+W27</f>
        <v>872.244625481781</v>
      </c>
      <c r="X28" s="11" t="n">
        <f aca="false">X22+X23+X24+X25+X26+X27</f>
        <v>859.300876314162</v>
      </c>
      <c r="Y28" s="11" t="n">
        <f aca="false">Y22+Y23+Y24+Y25+Y26+Y27</f>
        <v>851.055268664441</v>
      </c>
      <c r="Z28" s="11" t="n">
        <f aca="false">Z22+Z23+Z24+Z25+Z26+Z27</f>
        <v>837.349611043426</v>
      </c>
      <c r="AA28" s="11" t="n">
        <f aca="false">AA22+AA23+AA24+AA25+AA26+AA27</f>
        <v>820.794561660033</v>
      </c>
      <c r="AB28" s="11" t="n">
        <f aca="false">AB22+AB23+AB24+AB25+AB26+AB27</f>
        <v>801.388749446067</v>
      </c>
      <c r="AC28" s="11" t="n">
        <f aca="false">AC22+AC23+AC24+AC25+AC26+AC27</f>
        <v>784.779900632774</v>
      </c>
      <c r="AD28" s="11" t="n">
        <f aca="false">AD22+AD23+AD24+AD25+AD26+AD27</f>
        <v>764.560746520884</v>
      </c>
      <c r="AE28" s="11" t="n">
        <f aca="false">AE22+AE23+AE24+AE25+AE26+AE27</f>
        <v>733.472385664698</v>
      </c>
      <c r="AF28" s="11" t="n">
        <f aca="false">AF22+AF23+AF24+AF25+AF26+AF27</f>
        <v>711.942387965892</v>
      </c>
      <c r="AG28" s="11" t="n">
        <f aca="false">AG22+AG23+AG24+AG25+AG26+AG27</f>
        <v>692.003165383677</v>
      </c>
      <c r="AH28" s="11" t="n">
        <f aca="false">AH22+AH23+AH24+AH25+AH26+AH27</f>
        <v>668.035011558171</v>
      </c>
      <c r="AI28" s="11" t="n">
        <f aca="false">AI22+AI23+AI24+AI25+AI26+AI27</f>
        <v>645.641762858742</v>
      </c>
      <c r="AJ28" s="11" t="n">
        <f aca="false">AJ22+AJ23+AJ24+AJ25+AJ26+AJ27</f>
        <v>620.360346778012</v>
      </c>
      <c r="AK28" s="11" t="n">
        <f aca="false">AK22+AK23+AK24+AK25+AK26+AK27</f>
        <v>596.334818807584</v>
      </c>
      <c r="AL28" s="11" t="n">
        <f aca="false">AL22+AL23+AL24+AL25+AL26+AL27</f>
        <v>567.937431202369</v>
      </c>
      <c r="AM28" s="11" t="n">
        <f aca="false">AM22+AM23+AM24+AM25+AM26+AM27</f>
        <v>539.403987621234</v>
      </c>
      <c r="AN28" s="11" t="n">
        <f aca="false">AN22+AN23+AN24+AN25+AN26+AN27</f>
        <v>521.324431275824</v>
      </c>
      <c r="AO28" s="11" t="n">
        <f aca="false">AO22+AO23+AO24+AO25+AO26+AO27</f>
        <v>488.000677884948</v>
      </c>
      <c r="AP28" s="11" t="n">
        <f aca="false">AP22+AP23+AP24+AP25+AP26+AP27</f>
        <v>472.119748333409</v>
      </c>
      <c r="AQ28" s="11" t="n">
        <f aca="false">AQ22+AQ23+AQ24+AQ25+AQ26+AQ27</f>
        <v>458.152146586011</v>
      </c>
      <c r="AR28" s="11" t="n">
        <f aca="false">AR22+AR23+AR24+AR25+AR26+AR27</f>
        <v>442.443567009445</v>
      </c>
      <c r="AS28" s="11" t="n">
        <f aca="false">AS22+AS23+AS24+AS25+AS26+AS27</f>
        <v>428.611768571963</v>
      </c>
      <c r="AT28" s="11" t="n">
        <f aca="false">AT22+AT23+AT24+AT25+AT26+AT27</f>
        <v>412.534642994823</v>
      </c>
      <c r="AU28" s="11" t="n">
        <f aca="false">AU22+AU23+AU24+AU25+AU26+AU27</f>
        <v>380.849332284202</v>
      </c>
      <c r="AV28" s="11" t="n">
        <f aca="false">AV22+AV23+AV24+AV25+AV26+AV27</f>
        <v>363.452412689249</v>
      </c>
      <c r="AW28" s="11" t="n">
        <f aca="false">AW22+AW23+AW24+AW25+AW26+AW27</f>
        <v>349.019194458046</v>
      </c>
      <c r="AX28" s="11" t="n">
        <f aca="false">AX22+AX23+AX24+AX25+AX26+AX27</f>
        <v>331.315481027618</v>
      </c>
      <c r="AY28" s="11" t="n">
        <f aca="false">AY22+AY23+AY24+AY25+AY26+AY27</f>
        <v>315.652971524847</v>
      </c>
      <c r="AZ28" s="11" t="n">
        <f aca="false">AZ22+AZ23+AZ24+AZ25+AZ26+AZ27</f>
        <v>298.13537201313</v>
      </c>
      <c r="BA28" s="11" t="n">
        <f aca="false">BA22+BA23+BA24+BA25+BA26+BA27</f>
        <v>282.623541963778</v>
      </c>
      <c r="BB28" s="11" t="n">
        <f aca="false">BB22+BB23+BB24+BB25+BB26+BB27</f>
        <v>265.412403443813</v>
      </c>
      <c r="BC28" s="11" t="n">
        <f aca="false">BC22+BC23+BC24+BC25+BC26+BC27</f>
        <v>246.607887643602</v>
      </c>
      <c r="BD28" s="11" t="n">
        <f aca="false">BD22+BD23+BD24+BD25+BD26+BD27</f>
        <v>230.280696663088</v>
      </c>
      <c r="BE28" s="11" t="n">
        <f aca="false">BE22+BE23+BE24+BE25+BE26+BE27</f>
        <v>219.390451735687</v>
      </c>
      <c r="BF28" s="11" t="n">
        <f aca="false">BF22+BF23+BF24+BF25+BF26+BF27</f>
        <v>205.434582418911</v>
      </c>
      <c r="BG28" s="11" t="n">
        <f aca="false">BG22+BG23+BG24+BG25+BG26+BG27</f>
        <v>193.675242898166</v>
      </c>
      <c r="BH28" s="11" t="n">
        <f aca="false">BH22+BH23+BH24+BH25+BH26+BH27</f>
        <v>179.95483659106</v>
      </c>
      <c r="BI28" s="11" t="n">
        <f aca="false">BI22+BI23+BI24+BI25+BI26+BI27</f>
        <v>168.397066123697</v>
      </c>
      <c r="BJ28" s="11" t="n">
        <f aca="false">BJ22+BJ23+BJ24+BJ25+BJ26+BJ27</f>
        <v>154.2738419402</v>
      </c>
      <c r="BK28" s="11" t="n">
        <f aca="false">BK22+BK23+BK24+BK25+BK26+BK27</f>
        <v>121.546449877594</v>
      </c>
      <c r="BL28" s="11" t="n">
        <f aca="false">BL22+BL23+BL24+BL25+BL26+BL27</f>
        <v>105.849605717355</v>
      </c>
      <c r="BM28" s="11" t="n">
        <f aca="false">BM22+BM23+BM24+BM25+BM26+BM27</f>
        <v>92.9020568208594</v>
      </c>
      <c r="BN28" s="11" t="n">
        <f aca="false">BN22+BN23+BN24+BN25+BN26+BN27</f>
        <v>0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</v>
      </c>
      <c r="Q7" s="14" t="n">
        <f aca="false">IF(Debt!Q122&gt;0.000000001,Debt!Q119/Debt!Q122,0)</f>
        <v>0.0340562849037826</v>
      </c>
      <c r="R7" s="14" t="n">
        <f aca="false">IF(Debt!R122&gt;0.000000001,Debt!R119/Debt!R122,0)</f>
        <v>0.0344372466703715</v>
      </c>
      <c r="S7" s="14" t="n">
        <f aca="false">IF(Debt!S122&gt;0.000000001,Debt!S119/Debt!S122,0)</f>
        <v>0.0340709077793108</v>
      </c>
      <c r="T7" s="14" t="n">
        <f aca="false">IF(Debt!T122&gt;0.000000001,Debt!T119/Debt!T122,0)</f>
        <v>0.0344521119140023</v>
      </c>
      <c r="U7" s="14" t="n">
        <f aca="false">IF(Debt!U122&gt;0.000000001,Debt!U119/Debt!U122,0)</f>
        <v>0.0341979758242079</v>
      </c>
      <c r="V7" s="14" t="n">
        <f aca="false">IF(Debt!V122&gt;0.000000001,Debt!V119/Debt!V122,0)</f>
        <v>0.0344521119140023</v>
      </c>
      <c r="W7" s="14" t="n">
        <f aca="false">IF(Debt!W122&gt;0.000000001,Debt!W119/Debt!W122,0)</f>
        <v>0.0340709077793108</v>
      </c>
      <c r="X7" s="14" t="n">
        <f aca="false">IF(Debt!X122&gt;0.000000001,Debt!X119/Debt!X122,0)</f>
        <v>0.0344521119140023</v>
      </c>
      <c r="Y7" s="14" t="n">
        <f aca="false">IF(Debt!Y122&gt;0.000000001,Debt!Y119/Debt!Y122,0)</f>
        <v>0.0351323275323972</v>
      </c>
      <c r="Z7" s="14" t="n">
        <f aca="false">IF(Debt!Z122&gt;0.000000001,Debt!Z119/Debt!Z122,0)</f>
        <v>0.0355311242596813</v>
      </c>
      <c r="AA7" s="14" t="n">
        <f aca="false">IF(Debt!AA122&gt;0.000000001,Debt!AA119/Debt!AA122,0)</f>
        <v>0.0351323275323972</v>
      </c>
      <c r="AB7" s="14" t="n">
        <f aca="false">IF(Debt!AB122&gt;0.000000001,Debt!AB119/Debt!AB122,0)</f>
        <v>0.0353737685969729</v>
      </c>
      <c r="AC7" s="14" t="n">
        <f aca="false">IF(Debt!AC122&gt;0.000000001,Debt!AC119/Debt!AC122,0)</f>
        <v>0.0349130886056243</v>
      </c>
      <c r="AD7" s="14" t="n">
        <f aca="false">IF(Debt!AD122&gt;0.000000001,Debt!AD119/Debt!AD122,0)</f>
        <v>0.0349703101322878</v>
      </c>
      <c r="AE7" s="14" t="n">
        <f aca="false">IF(Debt!AE122&gt;0.000000001,Debt!AE119/Debt!AE122,0)</f>
        <v>0.034348236046798</v>
      </c>
      <c r="AF7" s="14" t="n">
        <f aca="false">IF(Debt!AF122&gt;0.000000001,Debt!AF119/Debt!AF122,0)</f>
        <v>0.0343986916121911</v>
      </c>
      <c r="AG7" s="14" t="n">
        <f aca="false">IF(Debt!AG122&gt;0.000000001,Debt!AG119/Debt!AG122,0)</f>
        <v>0.0344652296161079</v>
      </c>
      <c r="AH7" s="14" t="n">
        <f aca="false">IF(Debt!AH122&gt;0.000000001,Debt!AH119/Debt!AH122,0)</f>
        <v>0.0342368413921428</v>
      </c>
      <c r="AI7" s="14" t="n">
        <f aca="false">IF(Debt!AI122&gt;0.000000001,Debt!AI119/Debt!AI122,0)</f>
        <v>0.0330749184944507</v>
      </c>
      <c r="AJ7" s="14" t="n">
        <f aca="false">IF(Debt!AJ122&gt;0.000000001,Debt!AJ119/Debt!AJ122,0)</f>
        <v>0.0322514607689063</v>
      </c>
      <c r="AK7" s="14" t="n">
        <f aca="false">IF(Debt!AK122&gt;0.000000001,Debt!AK119/Debt!AK122,0)</f>
        <v>0.0302346836636782</v>
      </c>
      <c r="AL7" s="14" t="n">
        <f aca="false">IF(Debt!AL122&gt;0.000000001,Debt!AL119/Debt!AL122,0)</f>
        <v>0.0272395332720947</v>
      </c>
      <c r="AM7" s="14" t="n">
        <f aca="false">IF(Debt!AM122&gt;0.000000001,Debt!AM119/Debt!AM122,0)</f>
        <v>0.0270865638039379</v>
      </c>
      <c r="AN7" s="14" t="n">
        <f aca="false">IF(Debt!AN122&gt;0.000000001,Debt!AN119/Debt!AN122,0)</f>
        <v>0.0272395332720947</v>
      </c>
      <c r="AO7" s="14" t="n">
        <f aca="false">IF(Debt!AO122&gt;0.000000001,Debt!AO119/Debt!AO122,0)</f>
        <v>0.0270865638039379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0.0270865638039379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0.0270865638039379</v>
      </c>
      <c r="K10" s="14" t="n">
        <f aca="false">IF(K7&gt;0,K7,$F$9)</f>
        <v>0.0270865638039379</v>
      </c>
      <c r="L10" s="14" t="n">
        <f aca="false">IF(L7&gt;0,L7,$F$9)</f>
        <v>0.0270865638039379</v>
      </c>
      <c r="M10" s="14" t="n">
        <f aca="false">IF(M7&gt;0,M7,$F$9)</f>
        <v>0.0270865638039379</v>
      </c>
      <c r="N10" s="14" t="n">
        <f aca="false">IF(N7&gt;0,N7,$F$9)</f>
        <v>0.0270865638039379</v>
      </c>
      <c r="O10" s="14" t="n">
        <f aca="false">IF(O7&gt;0,O7,$F$9)</f>
        <v>0.0270865638039379</v>
      </c>
      <c r="P10" s="14" t="n">
        <f aca="false">IF(P7&gt;0,P7,$F$9)</f>
        <v>0.0270865638039379</v>
      </c>
      <c r="Q10" s="14" t="n">
        <f aca="false">IF(Q7&gt;0,Q7,$F$9)</f>
        <v>0.0340562849037826</v>
      </c>
      <c r="R10" s="14" t="n">
        <f aca="false">IF(R7&gt;0,R7,$F$9)</f>
        <v>0.0344372466703715</v>
      </c>
      <c r="S10" s="14" t="n">
        <f aca="false">IF(S7&gt;0,S7,$F$9)</f>
        <v>0.0340709077793108</v>
      </c>
      <c r="T10" s="14" t="n">
        <f aca="false">IF(T7&gt;0,T7,$F$9)</f>
        <v>0.0344521119140023</v>
      </c>
      <c r="U10" s="14" t="n">
        <f aca="false">IF(U7&gt;0,U7,$F$9)</f>
        <v>0.0341979758242079</v>
      </c>
      <c r="V10" s="14" t="n">
        <f aca="false">IF(V7&gt;0,V7,$F$9)</f>
        <v>0.0344521119140023</v>
      </c>
      <c r="W10" s="14" t="n">
        <f aca="false">IF(W7&gt;0,W7,$F$9)</f>
        <v>0.0340709077793108</v>
      </c>
      <c r="X10" s="14" t="n">
        <f aca="false">IF(X7&gt;0,X7,$F$9)</f>
        <v>0.0344521119140023</v>
      </c>
      <c r="Y10" s="14" t="n">
        <f aca="false">IF(Y7&gt;0,Y7,$F$9)</f>
        <v>0.0351323275323972</v>
      </c>
      <c r="Z10" s="14" t="n">
        <f aca="false">IF(Z7&gt;0,Z7,$F$9)</f>
        <v>0.0355311242596813</v>
      </c>
      <c r="AA10" s="14" t="n">
        <f aca="false">IF(AA7&gt;0,AA7,$F$9)</f>
        <v>0.0351323275323972</v>
      </c>
      <c r="AB10" s="14" t="n">
        <f aca="false">IF(AB7&gt;0,AB7,$F$9)</f>
        <v>0.0353737685969729</v>
      </c>
      <c r="AC10" s="14" t="n">
        <f aca="false">IF(AC7&gt;0,AC7,$F$9)</f>
        <v>0.0349130886056243</v>
      </c>
      <c r="AD10" s="14" t="n">
        <f aca="false">IF(AD7&gt;0,AD7,$F$9)</f>
        <v>0.0349703101322878</v>
      </c>
      <c r="AE10" s="14" t="n">
        <f aca="false">IF(AE7&gt;0,AE7,$F$9)</f>
        <v>0.034348236046798</v>
      </c>
      <c r="AF10" s="14" t="n">
        <f aca="false">IF(AF7&gt;0,AF7,$F$9)</f>
        <v>0.0343986916121911</v>
      </c>
      <c r="AG10" s="14" t="n">
        <f aca="false">IF(AG7&gt;0,AG7,$F$9)</f>
        <v>0.0344652296161079</v>
      </c>
      <c r="AH10" s="14" t="n">
        <f aca="false">IF(AH7&gt;0,AH7,$F$9)</f>
        <v>0.0342368413921428</v>
      </c>
      <c r="AI10" s="14" t="n">
        <f aca="false">IF(AI7&gt;0,AI7,$F$9)</f>
        <v>0.0330749184944507</v>
      </c>
      <c r="AJ10" s="14" t="n">
        <f aca="false">IF(AJ7&gt;0,AJ7,$F$9)</f>
        <v>0.0322514607689063</v>
      </c>
      <c r="AK10" s="14" t="n">
        <f aca="false">IF(AK7&gt;0,AK7,$F$9)</f>
        <v>0.0302346836636782</v>
      </c>
      <c r="AL10" s="14" t="n">
        <f aca="false">IF(AL7&gt;0,AL7,$F$9)</f>
        <v>0.0272395332720947</v>
      </c>
      <c r="AM10" s="14" t="n">
        <f aca="false">IF(AM7&gt;0,AM7,$F$9)</f>
        <v>0.0270865638039379</v>
      </c>
      <c r="AN10" s="14" t="n">
        <f aca="false">IF(AN7&gt;0,AN7,$F$9)</f>
        <v>0.0272395332720947</v>
      </c>
      <c r="AO10" s="14" t="n">
        <f aca="false">IF(AO7&gt;0,AO7,$F$9)</f>
        <v>0.0270865638039379</v>
      </c>
      <c r="AP10" s="14" t="n">
        <f aca="false">IF(AP7&gt;0,AP7,$F$9)</f>
        <v>0.0270865638039379</v>
      </c>
      <c r="AQ10" s="14" t="n">
        <f aca="false">IF(AQ7&gt;0,AQ7,$F$9)</f>
        <v>0.0270865638039379</v>
      </c>
      <c r="AR10" s="14" t="n">
        <f aca="false">IF(AR7&gt;0,AR7,$F$9)</f>
        <v>0.0270865638039379</v>
      </c>
      <c r="AS10" s="14" t="n">
        <f aca="false">IF(AS7&gt;0,AS7,$F$9)</f>
        <v>0.0270865638039379</v>
      </c>
      <c r="AT10" s="14" t="n">
        <f aca="false">IF(AT7&gt;0,AT7,$F$9)</f>
        <v>0.0270865638039379</v>
      </c>
      <c r="AU10" s="14" t="n">
        <f aca="false">IF(AU7&gt;0,AU7,$F$9)</f>
        <v>0.0270865638039379</v>
      </c>
      <c r="AV10" s="14" t="n">
        <f aca="false">IF(AV7&gt;0,AV7,$F$9)</f>
        <v>0.0270865638039379</v>
      </c>
      <c r="AW10" s="14" t="n">
        <f aca="false">IF(AW7&gt;0,AW7,$F$9)</f>
        <v>0.0270865638039379</v>
      </c>
      <c r="AX10" s="14" t="n">
        <f aca="false">IF(AX7&gt;0,AX7,$F$9)</f>
        <v>0.0270865638039379</v>
      </c>
      <c r="AY10" s="14" t="n">
        <f aca="false">IF(AY7&gt;0,AY7,$F$9)</f>
        <v>0.0270865638039379</v>
      </c>
      <c r="AZ10" s="14" t="n">
        <f aca="false">IF(AZ7&gt;0,AZ7,$F$9)</f>
        <v>0.0270865638039379</v>
      </c>
      <c r="BA10" s="14" t="n">
        <f aca="false">IF(BA7&gt;0,BA7,$F$9)</f>
        <v>0.0270865638039379</v>
      </c>
      <c r="BB10" s="14" t="n">
        <f aca="false">IF(BB7&gt;0,BB7,$F$9)</f>
        <v>0.0270865638039379</v>
      </c>
      <c r="BC10" s="14" t="n">
        <f aca="false">IF(BC7&gt;0,BC7,$F$9)</f>
        <v>0.0270865638039379</v>
      </c>
      <c r="BD10" s="14" t="n">
        <f aca="false">IF(BD7&gt;0,BD7,$F$9)</f>
        <v>0.0270865638039379</v>
      </c>
      <c r="BE10" s="14" t="n">
        <f aca="false">IF(BE7&gt;0,BE7,$F$9)</f>
        <v>0.0270865638039379</v>
      </c>
      <c r="BF10" s="14" t="n">
        <f aca="false">IF(BF7&gt;0,BF7,$F$9)</f>
        <v>0.0270865638039379</v>
      </c>
      <c r="BG10" s="14" t="n">
        <f aca="false">IF(BG7&gt;0,BG7,$F$9)</f>
        <v>0.0270865638039379</v>
      </c>
      <c r="BH10" s="14" t="n">
        <f aca="false">IF(BH7&gt;0,BH7,$F$9)</f>
        <v>0.0270865638039379</v>
      </c>
      <c r="BI10" s="14" t="n">
        <f aca="false">IF(BI7&gt;0,BI7,$F$9)</f>
        <v>0.0270865638039379</v>
      </c>
      <c r="BJ10" s="14" t="n">
        <f aca="false">IF(BJ7&gt;0,BJ7,$F$9)</f>
        <v>0.0270865638039379</v>
      </c>
      <c r="BK10" s="14" t="n">
        <f aca="false">IF(BK7&gt;0,BK7,$F$9)</f>
        <v>0.0270865638039379</v>
      </c>
      <c r="BL10" s="14" t="n">
        <f aca="false">IF(BL7&gt;0,BL7,$F$9)</f>
        <v>0.0270865638039379</v>
      </c>
      <c r="BM10" s="14" t="n">
        <f aca="false">IF(BM7&gt;0,BM7,$F$9)</f>
        <v>0.0270865638039379</v>
      </c>
      <c r="BN10" s="14" t="n">
        <f aca="false">IF(BN7&gt;0,BN7,$F$9)</f>
        <v>0.0270865638039379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705.101797092773</v>
      </c>
      <c r="K11" s="11" t="n">
        <f aca="false">IF(Time!K17&lt;=$F$8,(Waterfall!K7+L11)/(1+K10),0)</f>
        <v>724.200581907998</v>
      </c>
      <c r="L11" s="11" t="n">
        <f aca="false">IF(Time!L17&lt;=$F$8,(Waterfall!L7+M11)/(1+L10),0)</f>
        <v>743.816687176698</v>
      </c>
      <c r="M11" s="11" t="n">
        <f aca="false">IF(Time!M17&lt;=$F$8,(Waterfall!M7+N11)/(1+M10),0)</f>
        <v>763.964125332343</v>
      </c>
      <c r="N11" s="11" t="n">
        <f aca="false">IF(Time!N17&lt;=$F$8,(Waterfall!N7+O11)/(1+N10),0)</f>
        <v>784.657288357077</v>
      </c>
      <c r="O11" s="11" t="n">
        <f aca="false">IF(Time!O17&lt;=$F$8,(Waterfall!O7+P11)/(1+O10),0)</f>
        <v>805.910958062386</v>
      </c>
      <c r="P11" s="11" t="n">
        <f aca="false">IF(Time!P17&lt;=$F$8,(Waterfall!P7+Q11)/(1+P10),0)</f>
        <v>827.740316648236</v>
      </c>
      <c r="Q11" s="11" t="n">
        <f aca="false">IF(Time!Q17&lt;=$F$8,(Waterfall!Q7+R11)/(1+Q10),0)</f>
        <v>848.293743103393</v>
      </c>
      <c r="R11" s="11" t="n">
        <f aca="false">IF(Time!R17&lt;=$F$8,(Waterfall!R7+S11)/(1+R10),0)</f>
        <v>827.014041574638</v>
      </c>
      <c r="S11" s="11" t="n">
        <f aca="false">IF(Time!S17&lt;=$F$8,(Waterfall!S7+T11)/(1+S10),0)</f>
        <v>804.735163160122</v>
      </c>
      <c r="T11" s="11" t="n">
        <f aca="false">IF(Time!T17&lt;=$F$8,(Waterfall!T7+U11)/(1+T10),0)</f>
        <v>781.729901650802</v>
      </c>
      <c r="U11" s="11" t="n">
        <f aca="false">IF(Time!U17&lt;=$F$8,(Waterfall!U7+V11)/(1+U10),0)</f>
        <v>757.659898194571</v>
      </c>
      <c r="V11" s="11" t="n">
        <f aca="false">IF(Time!V17&lt;=$F$8,(Waterfall!V7+W11)/(1+V10),0)</f>
        <v>732.898020491216</v>
      </c>
      <c r="W11" s="11" t="n">
        <f aca="false">IF(Time!W17&lt;=$F$8,(Waterfall!W7+X11)/(1+W10),0)</f>
        <v>706.978549228712</v>
      </c>
      <c r="X11" s="11" t="n">
        <f aca="false">IF(Time!X17&lt;=$F$8,(Waterfall!X7+Y11)/(1+X10),0)</f>
        <v>679.663500790601</v>
      </c>
      <c r="Y11" s="11" t="n">
        <f aca="false">IF(Time!Y17&lt;=$F$8,(Waterfall!Y7+Z11)/(1+Y10),0)</f>
        <v>651.129046981466</v>
      </c>
      <c r="Z11" s="11" t="n">
        <f aca="false">IF(Time!Z17&lt;=$F$8,(Waterfall!Z7+AA11)/(1+Z10),0)</f>
        <v>624.543731709379</v>
      </c>
      <c r="AA11" s="11" t="n">
        <f aca="false">IF(Time!AA17&lt;=$F$8,(Waterfall!AA7+AB11)/(1+AA10),0)</f>
        <v>596.762678926208</v>
      </c>
      <c r="AB11" s="11" t="n">
        <f aca="false">IF(Time!AB17&lt;=$F$8,(Waterfall!AB7+AC11)/(1+AB10),0)</f>
        <v>568.344240917324</v>
      </c>
      <c r="AC11" s="11" t="n">
        <f aca="false">IF(Time!AC17&lt;=$F$8,(Waterfall!AC7+AD11)/(1+AC10),0)</f>
        <v>538.466698878415</v>
      </c>
      <c r="AD11" s="11" t="n">
        <f aca="false">IF(Time!AD17&lt;=$F$8,(Waterfall!AD7+AE11)/(1+AD10),0)</f>
        <v>507.621867704424</v>
      </c>
      <c r="AE11" s="11" t="n">
        <f aca="false">IF(Time!AE17&lt;=$F$8,(Waterfall!AE7+AF11)/(1+AE10),0)</f>
        <v>475.172003868251</v>
      </c>
      <c r="AF11" s="11" t="n">
        <f aca="false">IF(Time!AF17&lt;=$F$8,(Waterfall!AF7+AG11)/(1+AF10),0)</f>
        <v>440.11807783372</v>
      </c>
      <c r="AG11" s="11" t="n">
        <f aca="false">IF(Time!AG17&lt;=$F$8,(Waterfall!AG7+AH11)/(1+AG10),0)</f>
        <v>402.874386050117</v>
      </c>
      <c r="AH11" s="11" t="n">
        <f aca="false">IF(Time!AH17&lt;=$F$8,(Waterfall!AH7+AI11)/(1+AH10),0)</f>
        <v>365.232305088238</v>
      </c>
      <c r="AI11" s="11" t="n">
        <f aca="false">IF(Time!AI17&lt;=$F$8,(Waterfall!AI7+AJ11)/(1+AI10),0)</f>
        <v>325.556165138224</v>
      </c>
      <c r="AJ11" s="11" t="n">
        <f aca="false">IF(Time!AJ17&lt;=$F$8,(Waterfall!AJ7+AK11)/(1+AJ10),0)</f>
        <v>284.495091003356</v>
      </c>
      <c r="AK11" s="11" t="n">
        <f aca="false">IF(Time!AK17&lt;=$F$8,(Waterfall!AK7+AL11)/(1+AK10),0)</f>
        <v>241.221376645722</v>
      </c>
      <c r="AL11" s="11" t="n">
        <f aca="false">IF(Time!AL17&lt;=$F$8,(Waterfall!AL7+AM11)/(1+AL10),0)</f>
        <v>196.409675570802</v>
      </c>
      <c r="AM11" s="11" t="n">
        <f aca="false">IF(Time!AM17&lt;=$F$8,(Waterfall!AM7+AN11)/(1+AM10),0)</f>
        <v>149.108332216358</v>
      </c>
      <c r="AN11" s="11" t="n">
        <f aca="false">IF(Time!AN17&lt;=$F$8,(Waterfall!AN7+AO11)/(1+AN10),0)</f>
        <v>100.16254806405</v>
      </c>
      <c r="AO11" s="11" t="n">
        <f aca="false">IF(Time!AO17&lt;=$F$8,(Waterfall!AO7+AP11)/(1+AO10),0)</f>
        <v>49.3236948595656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990.040807627998</v>
      </c>
      <c r="K12" s="11" t="n">
        <f aca="false">IF(Time!K17&lt;=Time!$F$14,(Waterfall!K7+L12)/(1+K10),0)</f>
        <v>1016.85761113232</v>
      </c>
      <c r="L12" s="11" t="n">
        <f aca="false">IF(Time!L17&lt;=Time!$F$14,(Waterfall!L7+M12)/(1+L10),0)</f>
        <v>1044.40078969577</v>
      </c>
      <c r="M12" s="11" t="n">
        <f aca="false">IF(Time!M17&lt;=Time!$F$14,(Waterfall!M7+N12)/(1+M10),0)</f>
        <v>1072.69001832275</v>
      </c>
      <c r="N12" s="11" t="n">
        <f aca="false">IF(Time!N17&lt;=Time!$F$14,(Waterfall!N7+O12)/(1+N10),0)</f>
        <v>1101.7455049459</v>
      </c>
      <c r="O12" s="11" t="n">
        <f aca="false">IF(Time!O17&lt;=Time!$F$14,(Waterfall!O7+P12)/(1+O10),0)</f>
        <v>1131.58800486131</v>
      </c>
      <c r="P12" s="11" t="n">
        <f aca="false">IF(Time!P17&lt;=Time!$F$14,(Waterfall!P7+Q12)/(1+P10),0)</f>
        <v>1162.23883555476</v>
      </c>
      <c r="Q12" s="11" t="n">
        <f aca="false">IF(Time!Q17&lt;=Time!$F$14,(Waterfall!Q7+R12)/(1+Q10),0)</f>
        <v>1191.8526774846</v>
      </c>
      <c r="R12" s="11" t="n">
        <f aca="false">IF(Time!R17&lt;=Time!$F$14,(Waterfall!R7+S12)/(1+R10),0)</f>
        <v>1182.27331690637</v>
      </c>
      <c r="S12" s="11" t="n">
        <f aca="false">IF(Time!S17&lt;=Time!$F$14,(Waterfall!S7+T12)/(1+S10),0)</f>
        <v>1172.2285897884</v>
      </c>
      <c r="T12" s="11" t="n">
        <f aca="false">IF(Time!T17&lt;=Time!$F$14,(Waterfall!T7+U12)/(1+T10),0)</f>
        <v>1161.74416292723</v>
      </c>
      <c r="U12" s="11" t="n">
        <f aca="false">IF(Time!U17&lt;=Time!$F$14,(Waterfall!U7+V12)/(1+U10),0)</f>
        <v>1150.76645332941</v>
      </c>
      <c r="V12" s="11" t="n">
        <f aca="false">IF(Time!V17&lt;=Time!$F$14,(Waterfall!V7+W12)/(1+V10),0)</f>
        <v>1139.4480240949</v>
      </c>
      <c r="W12" s="11" t="n">
        <f aca="false">IF(Time!W17&lt;=Time!$F$14,(Waterfall!W7+X12)/(1+W10),0)</f>
        <v>1127.53505905518</v>
      </c>
      <c r="X12" s="11" t="n">
        <f aca="false">IF(Time!X17&lt;=Time!$F$14,(Waterfall!X7+Y12)/(1+X10),0)</f>
        <v>1114.54875267936</v>
      </c>
      <c r="Y12" s="11" t="n">
        <f aca="false">IF(Time!Y17&lt;=Time!$F$14,(Waterfall!Y7+Z12)/(1+Y10),0)</f>
        <v>1100.99701423804</v>
      </c>
      <c r="Z12" s="11" t="n">
        <f aca="false">IF(Time!Z17&lt;=Time!$F$14,(Waterfall!Z7+AA12)/(1+Z10),0)</f>
        <v>1090.21660773795</v>
      </c>
      <c r="AA12" s="11" t="n">
        <f aca="false">IF(Time!AA17&lt;=Time!$F$14,(Waterfall!AA7+AB12)/(1+AA10),0)</f>
        <v>1078.98143577731</v>
      </c>
      <c r="AB12" s="11" t="n">
        <f aca="false">IF(Time!AB17&lt;=Time!$F$14,(Waterfall!AB7+AC12)/(1+AB10),0)</f>
        <v>1067.50446507639</v>
      </c>
      <c r="AC12" s="11" t="n">
        <f aca="false">IF(Time!AC17&lt;=Time!$F$14,(Waterfall!AC7+AD12)/(1+AC10),0)</f>
        <v>1055.28410129969</v>
      </c>
      <c r="AD12" s="11" t="n">
        <f aca="false">IF(Time!AD17&lt;=Time!$F$14,(Waterfall!AD7+AE12)/(1+AD10),0)</f>
        <v>1042.48296188936</v>
      </c>
      <c r="AE12" s="11" t="n">
        <f aca="false">IF(Time!AE17&lt;=Time!$F$14,(Waterfall!AE7+AF12)/(1+AE10),0)</f>
        <v>1028.73735639453</v>
      </c>
      <c r="AF12" s="11" t="n">
        <f aca="false">IF(Time!AF17&lt;=Time!$F$14,(Waterfall!AF7+AG12)/(1+AF10),0)</f>
        <v>1012.69742375591</v>
      </c>
      <c r="AG12" s="11" t="n">
        <f aca="false">IF(Time!AG17&lt;=Time!$F$14,(Waterfall!AG7+AH12)/(1+AG10),0)</f>
        <v>995.149712316189</v>
      </c>
      <c r="AH12" s="11" t="n">
        <f aca="false">IF(Time!AH17&lt;=Time!$F$14,(Waterfall!AH7+AI12)/(1+AH10),0)</f>
        <v>977.920536470025</v>
      </c>
      <c r="AI12" s="11" t="n">
        <f aca="false">IF(Time!AI17&lt;=Time!$F$14,(Waterfall!AI7+AJ12)/(1+AI10),0)</f>
        <v>959.220906320662</v>
      </c>
      <c r="AJ12" s="11" t="n">
        <f aca="false">IF(Time!AJ17&lt;=Time!$F$14,(Waterfall!AJ7+AK12)/(1+AJ10),0)</f>
        <v>939.11824185321</v>
      </c>
      <c r="AK12" s="11" t="n">
        <f aca="false">IF(Time!AK17&lt;=Time!$F$14,(Waterfall!AK7+AL12)/(1+AK10),0)</f>
        <v>916.957080363628</v>
      </c>
      <c r="AL12" s="11" t="n">
        <f aca="false">IF(Time!AL17&lt;=Time!$F$14,(Waterfall!AL7+AM12)/(1+AL10),0)</f>
        <v>892.576034530872</v>
      </c>
      <c r="AM12" s="11" t="n">
        <f aca="false">IF(Time!AM17&lt;=Time!$F$14,(Waterfall!AM7+AN12)/(1+AM10),0)</f>
        <v>864.237937874234</v>
      </c>
      <c r="AN12" s="11" t="n">
        <f aca="false">IF(Time!AN17&lt;=Time!$F$14,(Waterfall!AN7+AO12)/(1+AN10),0)</f>
        <v>834.662557413664</v>
      </c>
      <c r="AO12" s="11" t="n">
        <f aca="false">IF(Time!AO17&lt;=Time!$F$14,(Waterfall!AO7+AP12)/(1+AO10),0)</f>
        <v>803.831141652212</v>
      </c>
      <c r="AP12" s="11" t="n">
        <f aca="false">IF(Time!AP17&lt;=Time!$F$14,(Waterfall!AP7+AQ12)/(1+AP10),0)</f>
        <v>774.944460890741</v>
      </c>
      <c r="AQ12" s="11" t="n">
        <f aca="false">IF(Time!AQ17&lt;=Time!$F$14,(Waterfall!AQ7+AR12)/(1+AQ10),0)</f>
        <v>744.596237522312</v>
      </c>
      <c r="AR12" s="11" t="n">
        <f aca="false">IF(Time!AR17&lt;=Time!$F$14,(Waterfall!AR7+AS12)/(1+AR10),0)</f>
        <v>713.778974601953</v>
      </c>
      <c r="AS12" s="11" t="n">
        <f aca="false">IF(Time!AS17&lt;=Time!$F$14,(Waterfall!AS7+AT12)/(1+AS10),0)</f>
        <v>690.174414215221</v>
      </c>
      <c r="AT12" s="11" t="n">
        <f aca="false">IF(Time!AT17&lt;=Time!$F$14,(Waterfall!AT7+AU12)/(1+AT10),0)</f>
        <v>667.053595086656</v>
      </c>
      <c r="AU12" s="11" t="n">
        <f aca="false">IF(Time!AU17&lt;=Time!$F$14,(Waterfall!AU7+AV12)/(1+AU10),0)</f>
        <v>642.885284564422</v>
      </c>
      <c r="AV12" s="11" t="n">
        <f aca="false">IF(Time!AV17&lt;=Time!$F$14,(Waterfall!AV7+AW12)/(1+AV10),0)</f>
        <v>612.06286091688</v>
      </c>
      <c r="AW12" s="11" t="n">
        <f aca="false">IF(Time!AW17&lt;=Time!$F$14,(Waterfall!AW7+AX12)/(1+AW10),0)</f>
        <v>583.908891441014</v>
      </c>
      <c r="AX12" s="11" t="n">
        <f aca="false">IF(Time!AX17&lt;=Time!$F$14,(Waterfall!AX7+AY12)/(1+AX10),0)</f>
        <v>555.948363041412</v>
      </c>
      <c r="AY12" s="11" t="n">
        <f aca="false">IF(Time!AY17&lt;=Time!$F$14,(Waterfall!AY7+AZ12)/(1+AY10),0)</f>
        <v>526.571667111634</v>
      </c>
      <c r="AZ12" s="11" t="n">
        <f aca="false">IF(Time!AZ17&lt;=Time!$F$14,(Waterfall!AZ7+BA12)/(1+AZ10),0)</f>
        <v>496.80920353452</v>
      </c>
      <c r="BA12" s="11" t="n">
        <f aca="false">IF(Time!BA17&lt;=Time!$F$14,(Waterfall!BA7+BB12)/(1+BA10),0)</f>
        <v>465.606001362347</v>
      </c>
      <c r="BB12" s="11" t="n">
        <f aca="false">IF(Time!BB17&lt;=Time!$F$14,(Waterfall!BB7+BC12)/(1+BB10),0)</f>
        <v>433.944855262544</v>
      </c>
      <c r="BC12" s="11" t="n">
        <f aca="false">IF(Time!BC17&lt;=Time!$F$14,(Waterfall!BC7+BD12)/(1+BC10),0)</f>
        <v>400.889581944621</v>
      </c>
      <c r="BD12" s="11" t="n">
        <f aca="false">IF(Time!BD17&lt;=Time!$F$14,(Waterfall!BD7+BE12)/(1+BD10),0)</f>
        <v>365.508083999738</v>
      </c>
      <c r="BE12" s="11" t="n">
        <f aca="false">IF(Time!BE17&lt;=Time!$F$14,(Waterfall!BE7+BF12)/(1+BE10),0)</f>
        <v>331.650672082302</v>
      </c>
      <c r="BF12" s="11" t="n">
        <f aca="false">IF(Time!BF17&lt;=Time!$F$14,(Waterfall!BF7+BG12)/(1+BF10),0)</f>
        <v>304.301599723652</v>
      </c>
      <c r="BG12" s="11" t="n">
        <f aca="false">IF(Time!BG17&lt;=Time!$F$14,(Waterfall!BG7+BH12)/(1+BG10),0)</f>
        <v>275.526076393042</v>
      </c>
      <c r="BH12" s="11" t="n">
        <f aca="false">IF(Time!BH17&lt;=Time!$F$14,(Waterfall!BH7+BI12)/(1+BH10),0)</f>
        <v>246.387127709946</v>
      </c>
      <c r="BI12" s="11" t="n">
        <f aca="false">IF(Time!BI17&lt;=Time!$F$14,(Waterfall!BI7+BJ12)/(1+BI10),0)</f>
        <v>215.798939414499</v>
      </c>
      <c r="BJ12" s="11" t="n">
        <f aca="false">IF(Time!BJ17&lt;=Time!$F$14,(Waterfall!BJ7+BK12)/(1+BJ10),0)</f>
        <v>184.779674196</v>
      </c>
      <c r="BK12" s="11" t="n">
        <f aca="false">IF(Time!BK17&lt;=Time!$F$14,(Waterfall!BK7+BL12)/(1+BK10),0)</f>
        <v>152.31836506106</v>
      </c>
      <c r="BL12" s="11" t="n">
        <f aca="false">IF(Time!BL17&lt;=Time!$F$14,(Waterfall!BL7+BM12)/(1+BL10),0)</f>
        <v>111.728412757201</v>
      </c>
      <c r="BM12" s="11" t="n">
        <f aca="false">IF(Time!BM17&lt;=Time!$F$14,(Waterfall!BM7+BN12)/(1+BM10),0)</f>
        <v>74.2972642485251</v>
      </c>
      <c r="BN12" s="11" t="n">
        <f aca="false">IF(Time!BN17&lt;=Time!$F$14,(Waterfall!BN7+0)/(1+BN10),0)</f>
        <v>36.2498114826019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0</v>
      </c>
      <c r="Q13" s="6" t="n">
        <f aca="false">IF(Debt!Q122&gt;0.000000001,(Q11+Reserves!Q9)/Debt!Q122,0)</f>
        <v>1.34990102842376</v>
      </c>
      <c r="R13" s="6" t="n">
        <f aca="false">IF(Debt!R122&gt;0.000000001,(R11+Reserves!R9)/Debt!R122,0)</f>
        <v>1.35369529842055</v>
      </c>
      <c r="S13" s="6" t="n">
        <f aca="false">IF(Debt!S122&gt;0.000000001,(S11+Reserves!S9)/Debt!S122,0)</f>
        <v>1.35661843065437</v>
      </c>
      <c r="T13" s="6" t="n">
        <f aca="false">IF(Debt!T122&gt;0.000000001,(T11+Reserves!T9)/Debt!T122,0)</f>
        <v>1.36098386927049</v>
      </c>
      <c r="U13" s="6" t="n">
        <f aca="false">IF(Debt!U122&gt;0.000000001,(U11+Reserves!U9)/Debt!U122,0)</f>
        <v>1.36468819772259</v>
      </c>
      <c r="V13" s="6" t="n">
        <f aca="false">IF(Debt!V122&gt;0.000000001,(V11+Reserves!V9)/Debt!V122,0)</f>
        <v>1.37063401850577</v>
      </c>
      <c r="W13" s="6" t="n">
        <f aca="false">IF(Debt!W122&gt;0.000000001,(W11+Reserves!W9)/Debt!W122,0)</f>
        <v>1.37625908402592</v>
      </c>
      <c r="X13" s="6" t="n">
        <f aca="false">IF(Debt!X122&gt;0.000000001,(X11+Reserves!X9)/Debt!X122,0)</f>
        <v>1.37972479092416</v>
      </c>
      <c r="Y13" s="6" t="n">
        <f aca="false">IF(Debt!Y122&gt;0.000000001,(Y11+Reserves!Y9)/Debt!Y122,0)</f>
        <v>1.38091540364151</v>
      </c>
      <c r="Z13" s="6" t="n">
        <f aca="false">IF(Debt!Z122&gt;0.000000001,(Z11+Reserves!Z9)/Debt!Z122,0)</f>
        <v>1.3878061363184</v>
      </c>
      <c r="AA13" s="6" t="n">
        <f aca="false">IF(Debt!AA122&gt;0.000000001,(AA11+Reserves!AA9)/Debt!AA122,0)</f>
        <v>1.39401054365572</v>
      </c>
      <c r="AB13" s="6" t="n">
        <f aca="false">IF(Debt!AB122&gt;0.000000001,(AB11+Reserves!AB9)/Debt!AB122,0)</f>
        <v>1.41962245209202</v>
      </c>
      <c r="AC13" s="6" t="n">
        <f aca="false">IF(Debt!AC122&gt;0.000000001,(AC11+Reserves!AC9)/Debt!AC122,0)</f>
        <v>1.44852799070425</v>
      </c>
      <c r="AD13" s="6" t="n">
        <f aca="false">IF(Debt!AD122&gt;0.000000001,(AD11+Reserves!AD9)/Debt!AD122,0)</f>
        <v>1.48318051855293</v>
      </c>
      <c r="AE13" s="6" t="n">
        <f aca="false">IF(Debt!AE122&gt;0.000000001,(AE11+Reserves!AE9)/Debt!AE122,0)</f>
        <v>1.5258341966042</v>
      </c>
      <c r="AF13" s="6" t="n">
        <f aca="false">IF(Debt!AF122&gt;0.000000001,(AF11+Reserves!AF9)/Debt!AF122,0)</f>
        <v>1.57699399097708</v>
      </c>
      <c r="AG13" s="6" t="n">
        <f aca="false">IF(Debt!AG122&gt;0.000000001,(AG11+Reserves!AG9)/Debt!AG122,0)</f>
        <v>1.63986282272106</v>
      </c>
      <c r="AH13" s="6" t="n">
        <f aca="false">IF(Debt!AH122&gt;0.000000001,(AH11+Reserves!AH9)/Debt!AH122,0)</f>
        <v>1.72036891111819</v>
      </c>
      <c r="AI13" s="6" t="n">
        <f aca="false">IF(Debt!AI122&gt;0.000000001,(AI11+Reserves!AI9)/Debt!AI122,0)</f>
        <v>1.82911778438975</v>
      </c>
      <c r="AJ13" s="6" t="n">
        <f aca="false">IF(Debt!AJ122&gt;0.000000001,(AJ11+Reserves!AJ9)/Debt!AJ122,0)</f>
        <v>1.98266365620512</v>
      </c>
      <c r="AK13" s="6" t="n">
        <f aca="false">IF(Debt!AK122&gt;0.000000001,(AK11+Reserves!AK9)/Debt!AK122,0)</f>
        <v>2.22446682327746</v>
      </c>
      <c r="AL13" s="6" t="n">
        <f aca="false">IF(Debt!AL122&gt;0.000000001,(AL11+Reserves!AL9)/Debt!AL122,0)</f>
        <v>2.64703003039667</v>
      </c>
      <c r="AM13" s="6" t="n">
        <f aca="false">IF(Debt!AM122&gt;0.000000001,(AM11+Reserves!AM9)/Debt!AM122,0)</f>
        <v>2.79517089320939</v>
      </c>
      <c r="AN13" s="6" t="n">
        <f aca="false">IF(Debt!AN122&gt;0.000000001,(AN11+Reserves!AN9)/Debt!AN122,0)</f>
        <v>3.09754106676073</v>
      </c>
      <c r="AO13" s="6" t="n">
        <f aca="false">IF(Debt!AO122&gt;0.000000001,(AO11+Reserves!AO9)/Debt!AO122,0)</f>
        <v>3.54362455676073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0</v>
      </c>
      <c r="Q14" s="6" t="n">
        <f aca="false">IF(Debt!Q122&gt;0.000000001,Q11/Debt!Q122,0)</f>
        <v>1.2897098323803</v>
      </c>
      <c r="R14" s="6" t="n">
        <f aca="false">IF(Debt!R122&gt;0.000000001,R11/Debt!R122,0)</f>
        <v>1.29109985663604</v>
      </c>
      <c r="S14" s="6" t="n">
        <f aca="false">IF(Debt!S122&gt;0.000000001,S11/Debt!S122,0)</f>
        <v>1.29271965230512</v>
      </c>
      <c r="T14" s="6" t="n">
        <f aca="false">IF(Debt!T122&gt;0.000000001,T11/Debt!T122,0)</f>
        <v>1.29437257551552</v>
      </c>
      <c r="U14" s="6" t="n">
        <f aca="false">IF(Debt!U122&gt;0.000000001,U11/Debt!U122,0)</f>
        <v>1.29620277075889</v>
      </c>
      <c r="V14" s="6" t="n">
        <f aca="false">IF(Debt!V122&gt;0.000000001,V11/Debt!V122,0)</f>
        <v>1.29835758077071</v>
      </c>
      <c r="W14" s="6" t="n">
        <f aca="false">IF(Debt!W122&gt;0.000000001,W11/Debt!W122,0)</f>
        <v>1.30167520829956</v>
      </c>
      <c r="X14" s="6" t="n">
        <f aca="false">IF(Debt!X122&gt;0.000000001,X11/Debt!X122,0)</f>
        <v>1.30422113952047</v>
      </c>
      <c r="Y14" s="6" t="n">
        <f aca="false">IF(Debt!Y122&gt;0.000000001,Y11/Debt!Y122,0)</f>
        <v>1.30295402120016</v>
      </c>
      <c r="Z14" s="6" t="n">
        <f aca="false">IF(Debt!Z122&gt;0.000000001,Z11/Debt!Z122,0)</f>
        <v>1.30567583842742</v>
      </c>
      <c r="AA14" s="6" t="n">
        <f aca="false">IF(Debt!AA122&gt;0.000000001,AA11/Debt!AA122,0)</f>
        <v>1.30857507706395</v>
      </c>
      <c r="AB14" s="6" t="n">
        <f aca="false">IF(Debt!AB122&gt;0.000000001,AB11/Debt!AB122,0)</f>
        <v>1.32753445769245</v>
      </c>
      <c r="AC14" s="6" t="n">
        <f aca="false">IF(Debt!AC122&gt;0.000000001,AC11/Debt!AC122,0)</f>
        <v>1.35129764187307</v>
      </c>
      <c r="AD14" s="6" t="n">
        <f aca="false">IF(Debt!AD122&gt;0.000000001,AD11/Debt!AD122,0)</f>
        <v>1.3759039289741</v>
      </c>
      <c r="AE14" s="6" t="n">
        <f aca="false">IF(Debt!AE122&gt;0.000000001,AE11/Debt!AE122,0)</f>
        <v>1.41005756016823</v>
      </c>
      <c r="AF14" s="6" t="n">
        <f aca="false">IF(Debt!AF122&gt;0.000000001,AF11/Debt!AF122,0)</f>
        <v>1.45045129344813</v>
      </c>
      <c r="AG14" s="6" t="n">
        <f aca="false">IF(Debt!AG122&gt;0.000000001,AG11/Debt!AG122,0)</f>
        <v>1.5013223274949</v>
      </c>
      <c r="AH14" s="6" t="n">
        <f aca="false">IF(Debt!AH122&gt;0.000000001,AH11/Debt!AH122,0)</f>
        <v>1.5641815801436</v>
      </c>
      <c r="AI14" s="6" t="n">
        <f aca="false">IF(Debt!AI122&gt;0.000000001,AI11/Debt!AI122,0)</f>
        <v>1.6520284092484</v>
      </c>
      <c r="AJ14" s="6" t="n">
        <f aca="false">IF(Debt!AJ122&gt;0.000000001,AJ11/Debt!AJ122,0)</f>
        <v>1.77311523275147</v>
      </c>
      <c r="AK14" s="6" t="n">
        <f aca="false">IF(Debt!AK122&gt;0.000000001,AK11/Debt!AK122,0)</f>
        <v>1.96791843818144</v>
      </c>
      <c r="AL14" s="6" t="n">
        <f aca="false">IF(Debt!AL122&gt;0.000000001,AL11/Debt!AL122,0)</f>
        <v>2.30369325278207</v>
      </c>
      <c r="AM14" s="6" t="n">
        <f aca="false">IF(Debt!AM122&gt;0.000000001,AM11/Debt!AM122,0)</f>
        <v>2.39245485322362</v>
      </c>
      <c r="AN14" s="6" t="n">
        <f aca="false">IF(Debt!AN122&gt;0.000000001,AN11/Debt!AN122,0)</f>
        <v>2.57397788139916</v>
      </c>
      <c r="AO14" s="6" t="n">
        <f aca="false">IF(Debt!AO122&gt;0.000000001,AO11/Debt!AO122,0)</f>
        <v>2.51653799295679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0</v>
      </c>
      <c r="Q15" s="6" t="n">
        <f aca="false">IF(Debt!Q122&gt;0.000000001,Q12/Debt!Q122,0)</f>
        <v>1.81204226648802</v>
      </c>
      <c r="R15" s="6" t="n">
        <f aca="false">IF(Debt!R122&gt;0.000000001,R12/Debt!R122,0)</f>
        <v>1.84571583217149</v>
      </c>
      <c r="S15" s="6" t="n">
        <f aca="false">IF(Debt!S122&gt;0.000000001,S12/Debt!S122,0)</f>
        <v>1.88305793556066</v>
      </c>
      <c r="T15" s="6" t="n">
        <f aca="false">IF(Debt!T122&gt;0.000000001,T12/Debt!T122,0)</f>
        <v>1.92359251076718</v>
      </c>
      <c r="U15" s="6" t="n">
        <f aca="false">IF(Debt!U122&gt;0.000000001,U12/Debt!U122,0)</f>
        <v>1.96872854014889</v>
      </c>
      <c r="V15" s="6" t="n">
        <f aca="false">IF(Debt!V122&gt;0.000000001,V12/Debt!V122,0)</f>
        <v>2.01857685327934</v>
      </c>
      <c r="W15" s="6" t="n">
        <f aca="false">IF(Debt!W122&gt;0.000000001,W12/Debt!W122,0)</f>
        <v>2.0759957066051</v>
      </c>
      <c r="X15" s="6" t="n">
        <f aca="false">IF(Debt!X122&gt;0.000000001,X12/Debt!X122,0)</f>
        <v>2.13873194982474</v>
      </c>
      <c r="Y15" s="6" t="n">
        <f aca="false">IF(Debt!Y122&gt;0.000000001,Y12/Debt!Y122,0)</f>
        <v>2.20317077495033</v>
      </c>
      <c r="Z15" s="6" t="n">
        <f aca="false">IF(Debt!Z122&gt;0.000000001,Z12/Debt!Z122,0)</f>
        <v>2.27921506710139</v>
      </c>
      <c r="AA15" s="6" t="n">
        <f aca="false">IF(Debt!AA122&gt;0.000000001,AA12/Debt!AA122,0)</f>
        <v>2.36597941750217</v>
      </c>
      <c r="AB15" s="6" t="n">
        <f aca="false">IF(Debt!AB122&gt;0.000000001,AB12/Debt!AB122,0)</f>
        <v>2.49346937842131</v>
      </c>
      <c r="AC15" s="6" t="n">
        <f aca="false">IF(Debt!AC122&gt;0.000000001,AC12/Debt!AC122,0)</f>
        <v>2.64826575266896</v>
      </c>
      <c r="AD15" s="6" t="n">
        <f aca="false">IF(Debt!AD122&gt;0.000000001,AD12/Debt!AD122,0)</f>
        <v>2.82563950532431</v>
      </c>
      <c r="AE15" s="6" t="n">
        <f aca="false">IF(Debt!AE122&gt;0.000000001,AE12/Debt!AE122,0)</f>
        <v>3.05274484818721</v>
      </c>
      <c r="AF15" s="6" t="n">
        <f aca="false">IF(Debt!AF122&gt;0.000000001,AF12/Debt!AF122,0)</f>
        <v>3.33744138706634</v>
      </c>
      <c r="AG15" s="6" t="n">
        <f aca="false">IF(Debt!AG122&gt;0.000000001,AG12/Debt!AG122,0)</f>
        <v>3.70845239616342</v>
      </c>
      <c r="AH15" s="6" t="n">
        <f aca="false">IF(Debt!AH122&gt;0.000000001,AH12/Debt!AH122,0)</f>
        <v>4.18814346014931</v>
      </c>
      <c r="AI15" s="6" t="n">
        <f aca="false">IF(Debt!AI122&gt;0.000000001,AI12/Debt!AI122,0)</f>
        <v>4.86754777724426</v>
      </c>
      <c r="AJ15" s="6" t="n">
        <f aca="false">IF(Debt!AJ122&gt;0.000000001,AJ12/Debt!AJ122,0)</f>
        <v>5.85305304956937</v>
      </c>
      <c r="AK15" s="6" t="n">
        <f aca="false">IF(Debt!AK122&gt;0.000000001,AK12/Debt!AK122,0)</f>
        <v>7.48066680723259</v>
      </c>
      <c r="AL15" s="6" t="n">
        <f aca="false">IF(Debt!AL122&gt;0.000000001,AL12/Debt!AL122,0)</f>
        <v>10.4690432503796</v>
      </c>
      <c r="AM15" s="6" t="n">
        <f aca="false">IF(Debt!AM122&gt;0.000000001,AM12/Debt!AM122,0)</f>
        <v>13.8667653113241</v>
      </c>
      <c r="AN15" s="6" t="n">
        <f aca="false">IF(Debt!AN122&gt;0.000000001,AN12/Debt!AN122,0)</f>
        <v>21.4491644106437</v>
      </c>
      <c r="AO15" s="6" t="n">
        <f aca="false">IF(Debt!AO122&gt;0.000000001,AO12/Debt!AO122,0)</f>
        <v>41.012166944288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e">
        <f aca="false">MIN(IF(Debt!$J$121:$BN$121&gt;0.000000001,Waterfall!$J$17:$BN$17,999))</f>
        <v>#VALUE!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e">
        <f aca="false">SUM(Waterfall!$J$7:$BN$7*(Debt!$J$121:$BN$121&gt;0.000000001))/SUM(Debt!$J$121:$BN$121)</f>
        <v>#VALUE!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1.34990102842376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1.81204226648802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1180.32347095561</v>
      </c>
      <c r="J8" s="11" t="n">
        <f aca="false">-Inputs!$F$66</f>
        <v>-14.2</v>
      </c>
      <c r="K8" s="11" t="n">
        <f aca="false">-Funding!J68</f>
        <v>-17.4523333259077</v>
      </c>
      <c r="L8" s="11" t="n">
        <f aca="false">-Funding!K68</f>
        <v>-0.650619894494443</v>
      </c>
      <c r="M8" s="11" t="n">
        <f aca="false">-Funding!L68</f>
        <v>-0.828920120281372</v>
      </c>
      <c r="N8" s="11" t="n">
        <f aca="false">-Funding!M68</f>
        <v>-1.17060534952821</v>
      </c>
      <c r="O8" s="11" t="n">
        <f aca="false">-Funding!N68</f>
        <v>-1.6847689488543</v>
      </c>
      <c r="P8" s="11" t="n">
        <f aca="false">-Funding!O68</f>
        <v>-2.32070707212229</v>
      </c>
      <c r="Q8" s="11" t="n">
        <f aca="false">-Funding!P68</f>
        <v>-3.02607158867241</v>
      </c>
      <c r="R8" s="11" t="n">
        <f aca="false">-Funding!Q68</f>
        <v>-3.84111776142731</v>
      </c>
      <c r="S8" s="11" t="n">
        <f aca="false">-Funding!R68</f>
        <v>-4.65265422012123</v>
      </c>
      <c r="T8" s="11" t="n">
        <f aca="false">-Funding!S68</f>
        <v>-5.47939885583676</v>
      </c>
      <c r="U8" s="11" t="n">
        <f aca="false">-Funding!T68</f>
        <v>-6.25269674945551</v>
      </c>
      <c r="V8" s="11" t="n">
        <f aca="false">-Funding!U68</f>
        <v>-6.99452738617733</v>
      </c>
      <c r="W8" s="11" t="n">
        <f aca="false">-Funding!V68</f>
        <v>-7.64655983539785</v>
      </c>
      <c r="X8" s="11" t="n">
        <f aca="false">-Funding!W68</f>
        <v>-8.18860163226564</v>
      </c>
      <c r="Y8" s="11" t="n">
        <f aca="false">-Funding!X68</f>
        <v>-8.63767355709461</v>
      </c>
      <c r="Z8" s="11" t="n">
        <f aca="false">-Funding!Y68</f>
        <v>-8.93636883352236</v>
      </c>
      <c r="AA8" s="11" t="n">
        <f aca="false">-Funding!Z68</f>
        <v>-9.12379607526444</v>
      </c>
      <c r="AB8" s="11" t="n">
        <f aca="false">-Funding!AA68</f>
        <v>-9.4642244698474</v>
      </c>
      <c r="AC8" s="11" t="n">
        <f aca="false">-Funding!AB68</f>
        <v>-9.02743035242129</v>
      </c>
      <c r="AD8" s="11" t="n">
        <f aca="false">-Funding!AC68</f>
        <v>-8.81332304786893</v>
      </c>
      <c r="AE8" s="11" t="n">
        <f aca="false">-Funding!AD68</f>
        <v>-8.42487903075477</v>
      </c>
      <c r="AF8" s="11" t="n">
        <f aca="false">-Funding!AE68</f>
        <v>-7.94926768014383</v>
      </c>
      <c r="AG8" s="11" t="n">
        <f aca="false">-Funding!AF68</f>
        <v>-7.3374554562592</v>
      </c>
      <c r="AH8" s="11" t="n">
        <f aca="false">-Funding!AG68</f>
        <v>-6.67554951491576</v>
      </c>
      <c r="AI8" s="11" t="n">
        <f aca="false">-Funding!AH68</f>
        <v>-5.93353021295238</v>
      </c>
      <c r="AJ8" s="11" t="n">
        <f aca="false">-Funding!AI68</f>
        <v>-5.1363627394417</v>
      </c>
      <c r="AK8" s="11" t="n">
        <f aca="false">-Funding!AJ68</f>
        <v>-4.36733045623116</v>
      </c>
      <c r="AL8" s="11" t="n">
        <f aca="false">-Funding!AK68</f>
        <v>-3.58398178596361</v>
      </c>
      <c r="AM8" s="11" t="n">
        <f aca="false">-Funding!AL68</f>
        <v>-2.89403910419691</v>
      </c>
      <c r="AN8" s="11" t="n">
        <f aca="false">-Funding!AM68</f>
        <v>-2.27589806728741</v>
      </c>
      <c r="AO8" s="11" t="n">
        <f aca="false">-Funding!AN68</f>
        <v>-1.72237207880343</v>
      </c>
      <c r="AP8" s="11" t="n">
        <f aca="false">-Funding!AO68</f>
        <v>-1.43861737593699</v>
      </c>
      <c r="AQ8" s="11" t="n">
        <f aca="false">-Funding!AP68</f>
        <v>-1.25429469151466</v>
      </c>
      <c r="AR8" s="11" t="n">
        <f aca="false">-Funding!AQ68</f>
        <v>-1.25742495104635</v>
      </c>
      <c r="AS8" s="11" t="n">
        <f aca="false">-Funding!AR68</f>
        <v>-1.24120862563906</v>
      </c>
      <c r="AT8" s="11" t="n">
        <f aca="false">-Funding!AS68</f>
        <v>-1.29066074267882</v>
      </c>
      <c r="AU8" s="11" t="n">
        <f aca="false">-Funding!AT68</f>
        <v>-1.29472209007219</v>
      </c>
      <c r="AV8" s="11" t="n">
        <f aca="false">-Funding!AU68</f>
        <v>-1.26879985132176</v>
      </c>
      <c r="AW8" s="11" t="n">
        <f aca="false">-Funding!AV68</f>
        <v>-14.126810348383</v>
      </c>
      <c r="AX8" s="11" t="n">
        <f aca="false">-Funding!AW68</f>
        <v>-11.4966636580586</v>
      </c>
      <c r="AY8" s="11" t="n">
        <f aca="false">-Funding!AX68</f>
        <v>-1.04841561991132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0</v>
      </c>
      <c r="BS8" s="16" t="n">
        <f aca="false">Waterfall!Q44</f>
        <v>11.9411377585296</v>
      </c>
      <c r="BT8" s="16" t="n">
        <f aca="false">Waterfall!R44</f>
        <v>10.9811262587414</v>
      </c>
      <c r="BU8" s="16" t="n">
        <f aca="false">Waterfall!S44</f>
        <v>10.1937583240623</v>
      </c>
      <c r="BV8" s="16" t="n">
        <f aca="false">Waterfall!T44</f>
        <v>10.9709652187198</v>
      </c>
      <c r="BW8" s="16" t="n">
        <f aca="false">Waterfall!U44</f>
        <v>9.87364592414637</v>
      </c>
      <c r="BX8" s="16" t="n">
        <f aca="false">Waterfall!V44</f>
        <v>10.6606330335929</v>
      </c>
      <c r="BY8" s="16" t="n">
        <f aca="false">Waterfall!W44</f>
        <v>12.055536140849</v>
      </c>
      <c r="BZ8" s="16" t="n">
        <f aca="false">Waterfall!X44</f>
        <v>12.9904257519621</v>
      </c>
      <c r="CA8" s="16" t="n">
        <f aca="false">Waterfall!Y44</f>
        <v>10.1756209089765</v>
      </c>
      <c r="CB8" s="16" t="n">
        <f aca="false">Waterfall!Z44</f>
        <v>11.0097969556862</v>
      </c>
      <c r="CC8" s="16" t="n">
        <f aca="false">Waterfall!AA44</f>
        <v>4.97968731941094</v>
      </c>
      <c r="CD8" s="16" t="n">
        <f aca="false">Waterfall!AB44</f>
        <v>5.87910907101877</v>
      </c>
      <c r="CE8" s="16" t="n">
        <f aca="false">Waterfall!AC44</f>
        <v>5.3541250244998</v>
      </c>
      <c r="CF8" s="16" t="n">
        <f aca="false">Waterfall!AD44</f>
        <v>5.91338598779726</v>
      </c>
      <c r="CG8" s="16" t="n">
        <f aca="false">Waterfall!AE44</f>
        <v>6.86569944577716</v>
      </c>
      <c r="CH8" s="16" t="n">
        <f aca="false">Waterfall!AF44</f>
        <v>8.07717524116026</v>
      </c>
      <c r="CI8" s="16" t="n">
        <f aca="false">Waterfall!AG44</f>
        <v>8.13714505920316</v>
      </c>
      <c r="CJ8" s="16" t="n">
        <f aca="false">Waterfall!AH44</f>
        <v>9.32475500558314</v>
      </c>
      <c r="CK8" s="16" t="n">
        <f aca="false">Waterfall!AI44</f>
        <v>9.97184714188098</v>
      </c>
      <c r="CL8" s="16" t="n">
        <f aca="false">Waterfall!AJ44</f>
        <v>11.5769808783277</v>
      </c>
      <c r="CM8" s="16" t="n">
        <f aca="false">Waterfall!AK44</f>
        <v>13.2550622689768</v>
      </c>
      <c r="CN8" s="16" t="n">
        <f aca="false">Waterfall!AL44</f>
        <v>31.568224776146</v>
      </c>
      <c r="CO8" s="16" t="n">
        <f aca="false">Waterfall!AM44</f>
        <v>32.6109283341595</v>
      </c>
      <c r="CP8" s="16" t="n">
        <f aca="false">Waterfall!AN44</f>
        <v>33.4365211945138</v>
      </c>
      <c r="CQ8" s="16" t="n">
        <f aca="false">Waterfall!AO44</f>
        <v>50.6597042674252</v>
      </c>
      <c r="CR8" s="16" t="n">
        <f aca="false">Waterfall!AP44</f>
        <v>51.3388059528544</v>
      </c>
      <c r="CS8" s="16" t="n">
        <f aca="false">Waterfall!AQ44</f>
        <v>50.9858164161794</v>
      </c>
      <c r="CT8" s="16" t="n">
        <f aca="false">Waterfall!AR44</f>
        <v>42.9383801241977</v>
      </c>
      <c r="CU8" s="16" t="n">
        <f aca="false">Waterfall!AS44</f>
        <v>41.8152724350504</v>
      </c>
      <c r="CV8" s="16" t="n">
        <f aca="false">Waterfall!AT44</f>
        <v>42.2365002861952</v>
      </c>
      <c r="CW8" s="16" t="n">
        <f aca="false">Waterfall!AU44</f>
        <v>48.2359769265088</v>
      </c>
      <c r="CX8" s="16" t="n">
        <f aca="false">Waterfall!AV44</f>
        <v>44.7326492101122</v>
      </c>
      <c r="CY8" s="16" t="n">
        <f aca="false">Waterfall!AW44</f>
        <v>43.776613843306</v>
      </c>
      <c r="CZ8" s="16" t="n">
        <f aca="false">Waterfall!AX44</f>
        <v>44.4354267369936</v>
      </c>
      <c r="DA8" s="16" t="n">
        <f aca="false">Waterfall!AY44</f>
        <v>44.0254806356794</v>
      </c>
      <c r="DB8" s="16" t="n">
        <f aca="false">Waterfall!AZ44</f>
        <v>44.6600563620943</v>
      </c>
      <c r="DC8" s="16" t="n">
        <f aca="false">Waterfall!BA44</f>
        <v>44.2728127632001</v>
      </c>
      <c r="DD8" s="16" t="n">
        <f aca="false">Waterfall!BB44</f>
        <v>44.3089649091678</v>
      </c>
      <c r="DE8" s="16" t="n">
        <f aca="false">Waterfall!BC44</f>
        <v>44.7226461112184</v>
      </c>
      <c r="DF8" s="16" t="n">
        <f aca="false">Waterfall!BD44</f>
        <v>42.2235943953032</v>
      </c>
      <c r="DG8" s="16" t="n">
        <f aca="false">Waterfall!BE44</f>
        <v>34.7813897676701</v>
      </c>
      <c r="DH8" s="16" t="n">
        <f aca="false">Waterfall!BF44</f>
        <v>35.4500806045936</v>
      </c>
      <c r="DI8" s="16" t="n">
        <f aca="false">Waterfall!BG44</f>
        <v>35.0169225370277</v>
      </c>
      <c r="DJ8" s="16" t="n">
        <f aca="false">Waterfall!BH44</f>
        <v>35.6595471247633</v>
      </c>
      <c r="DK8" s="16" t="n">
        <f aca="false">Waterfall!BI44</f>
        <v>35.2445643883681</v>
      </c>
      <c r="DL8" s="16" t="n">
        <f aca="false">Waterfall!BJ44</f>
        <v>35.8286804636831</v>
      </c>
      <c r="DM8" s="16" t="n">
        <f aca="false">Waterfall!BK44</f>
        <v>43.0601418896222</v>
      </c>
      <c r="DN8" s="16" t="n">
        <f aca="false">Waterfall!BL44</f>
        <v>38.7837833311665</v>
      </c>
      <c r="DO8" s="16" t="n">
        <f aca="false">Waterfall!BM44</f>
        <v>38.3678958128591</v>
      </c>
      <c r="DP8" s="16" t="n">
        <f aca="false">Waterfall!BN44</f>
        <v>55.3691537947186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1625.43396403942</v>
      </c>
      <c r="J9" s="11" t="n">
        <f aca="false">0</f>
        <v>0</v>
      </c>
      <c r="K9" s="11" t="n">
        <f aca="false">-Construction!J30</f>
        <v>-108.1116</v>
      </c>
      <c r="L9" s="11" t="n">
        <f aca="false">-Construction!K30</f>
        <v>-1.40755141856459</v>
      </c>
      <c r="M9" s="11" t="n">
        <f aca="false">-Construction!L30</f>
        <v>-2.04139650947368</v>
      </c>
      <c r="N9" s="11" t="n">
        <f aca="false">-Construction!M30</f>
        <v>-3.34371627674641</v>
      </c>
      <c r="O9" s="11" t="n">
        <f aca="false">-Construction!N30</f>
        <v>-5.23288384038278</v>
      </c>
      <c r="P9" s="11" t="n">
        <f aca="false">-Construction!O30</f>
        <v>-7.59511627674641</v>
      </c>
      <c r="Q9" s="11" t="n">
        <f aca="false">-Construction!P30</f>
        <v>-10.3048813385646</v>
      </c>
      <c r="R9" s="11" t="n">
        <f aca="false">-Construction!Q30</f>
        <v>-13.23602839311</v>
      </c>
      <c r="S9" s="11" t="n">
        <f aca="false">-Construction!R30</f>
        <v>-16.2642619640191</v>
      </c>
      <c r="T9" s="11" t="n">
        <f aca="false">-Construction!S30</f>
        <v>-19.2733255858373</v>
      </c>
      <c r="U9" s="11" t="n">
        <f aca="false">-Construction!T30</f>
        <v>-22.1550018040191</v>
      </c>
      <c r="V9" s="11" t="n">
        <f aca="false">-Construction!U30</f>
        <v>-24.8128224876555</v>
      </c>
      <c r="W9" s="11" t="n">
        <f aca="false">-Construction!V30</f>
        <v>-27.1614504440191</v>
      </c>
      <c r="X9" s="11" t="n">
        <f aca="false">-Construction!W30</f>
        <v>-29.1279161894737</v>
      </c>
      <c r="Y9" s="11" t="n">
        <f aca="false">-Construction!X30</f>
        <v>-30.655328262201</v>
      </c>
      <c r="Z9" s="11" t="n">
        <f aca="false">-Construction!Y30</f>
        <v>-31.6979261385646</v>
      </c>
      <c r="AA9" s="11" t="n">
        <f aca="false">-Construction!Z30</f>
        <v>-32.226645702201</v>
      </c>
      <c r="AB9" s="11" t="n">
        <f aca="false">-Construction!AA30</f>
        <v>-33.369645702201</v>
      </c>
      <c r="AC9" s="11" t="n">
        <f aca="false">-Construction!AB30</f>
        <v>-31.6979261385646</v>
      </c>
      <c r="AD9" s="11" t="n">
        <f aca="false">-Construction!AC30</f>
        <v>-30.655328262201</v>
      </c>
      <c r="AE9" s="11" t="n">
        <f aca="false">-Construction!AD30</f>
        <v>-29.1279161894737</v>
      </c>
      <c r="AF9" s="11" t="n">
        <f aca="false">-Construction!AE30</f>
        <v>-27.1614504440191</v>
      </c>
      <c r="AG9" s="11" t="n">
        <f aca="false">-Construction!AF30</f>
        <v>-24.8128224876555</v>
      </c>
      <c r="AH9" s="11" t="n">
        <f aca="false">-Construction!AG30</f>
        <v>-22.1550018040191</v>
      </c>
      <c r="AI9" s="11" t="n">
        <f aca="false">-Construction!AH30</f>
        <v>-19.2733255858373</v>
      </c>
      <c r="AJ9" s="11" t="n">
        <f aca="false">-Construction!AI30</f>
        <v>-16.2642619640191</v>
      </c>
      <c r="AK9" s="11" t="n">
        <f aca="false">-Construction!AJ30</f>
        <v>-13.23602839311</v>
      </c>
      <c r="AL9" s="11" t="n">
        <f aca="false">-Construction!AK30</f>
        <v>-10.3048813385646</v>
      </c>
      <c r="AM9" s="11" t="n">
        <f aca="false">-Construction!AL30</f>
        <v>-7.59511627674641</v>
      </c>
      <c r="AN9" s="11" t="n">
        <f aca="false">-Construction!AM30</f>
        <v>-5.23288384038278</v>
      </c>
      <c r="AO9" s="11" t="n">
        <f aca="false">-Construction!AN30</f>
        <v>-3.34371627674641</v>
      </c>
      <c r="AP9" s="11" t="n">
        <f aca="false">-Construction!AO30</f>
        <v>-2.04139650947368</v>
      </c>
      <c r="AQ9" s="11" t="n">
        <f aca="false">-Construction!AP30</f>
        <v>-1.40755141856459</v>
      </c>
      <c r="AR9" s="11" t="n">
        <f aca="false">-Construction!AQ30</f>
        <v>-1.34076578947368</v>
      </c>
      <c r="AS9" s="11" t="n">
        <f aca="false">-Construction!AR30</f>
        <v>-1.34076578947368</v>
      </c>
      <c r="AT9" s="11" t="n">
        <f aca="false">-Construction!AS30</f>
        <v>-1.34076578947368</v>
      </c>
      <c r="AU9" s="11" t="n">
        <f aca="false">-Construction!AT30</f>
        <v>-1.34076578947368</v>
      </c>
      <c r="AV9" s="11" t="n">
        <f aca="false">-Construction!AU30</f>
        <v>-1.34076578947368</v>
      </c>
      <c r="AW9" s="11" t="n">
        <f aca="false">-Construction!AV30</f>
        <v>-49.5787657894737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0</v>
      </c>
      <c r="BR9" s="16" t="n">
        <f aca="false">Waterfall!P7</f>
        <v>1.86721444482732</v>
      </c>
      <c r="BS9" s="16" t="n">
        <f aca="false">Waterfall!Q7</f>
        <v>50.1694349259804</v>
      </c>
      <c r="BT9" s="16" t="n">
        <f aca="false">Waterfall!R7</f>
        <v>50.7589649640819</v>
      </c>
      <c r="BU9" s="16" t="n">
        <f aca="false">Waterfall!S7</f>
        <v>50.4233190401177</v>
      </c>
      <c r="BV9" s="16" t="n">
        <f aca="false">Waterfall!T7</f>
        <v>51.0022495144261</v>
      </c>
      <c r="BW9" s="16" t="n">
        <f aca="false">Waterfall!U7</f>
        <v>50.6723125847848</v>
      </c>
      <c r="BX9" s="16" t="n">
        <f aca="false">Waterfall!V7</f>
        <v>51.1693558860182</v>
      </c>
      <c r="BY9" s="16" t="n">
        <f aca="false">Waterfall!W7</f>
        <v>51.4024493908331</v>
      </c>
      <c r="BZ9" s="16" t="n">
        <f aca="false">Waterfall!X7</f>
        <v>51.9502968022351</v>
      </c>
      <c r="CA9" s="16" t="n">
        <f aca="false">Waterfall!Y7</f>
        <v>49.460994216498</v>
      </c>
      <c r="CB9" s="16" t="n">
        <f aca="false">Waterfall!Z7</f>
        <v>49.9717937201414</v>
      </c>
      <c r="CC9" s="16" t="n">
        <f aca="false">Waterfall!AA7</f>
        <v>49.3840999040299</v>
      </c>
      <c r="CD9" s="16" t="n">
        <f aca="false">Waterfall!AB7</f>
        <v>49.9820197005408</v>
      </c>
      <c r="CE9" s="16" t="n">
        <f aca="false">Waterfall!AC7</f>
        <v>49.6443667431118</v>
      </c>
      <c r="CF9" s="16" t="n">
        <f aca="false">Waterfall!AD7</f>
        <v>50.2015579797273</v>
      </c>
      <c r="CG9" s="16" t="n">
        <f aca="false">Waterfall!AE7</f>
        <v>51.3752461862275</v>
      </c>
      <c r="CH9" s="16" t="n">
        <f aca="false">Waterfall!AF7</f>
        <v>52.3831778159556</v>
      </c>
      <c r="CI9" s="16" t="n">
        <f aca="false">Waterfall!AG7</f>
        <v>51.5272391835451</v>
      </c>
      <c r="CJ9" s="16" t="n">
        <f aca="false">Waterfall!AH7</f>
        <v>52.1805404506068</v>
      </c>
      <c r="CK9" s="16" t="n">
        <f aca="false">Waterfall!AI7</f>
        <v>51.828817762181</v>
      </c>
      <c r="CL9" s="16" t="n">
        <f aca="false">Waterfall!AJ7</f>
        <v>52.4490966240749</v>
      </c>
      <c r="CM9" s="16" t="n">
        <f aca="false">Waterfall!AK7</f>
        <v>52.1049530907206</v>
      </c>
      <c r="CN9" s="16" t="n">
        <f aca="false">Waterfall!AL7</f>
        <v>52.6514512471158</v>
      </c>
      <c r="CO9" s="16" t="n">
        <f aca="false">Waterfall!AM7</f>
        <v>52.9846165065847</v>
      </c>
      <c r="CP9" s="16" t="n">
        <f aca="false">Waterfall!AN7</f>
        <v>53.5672342650934</v>
      </c>
      <c r="CQ9" s="16" t="n">
        <f aca="false">Waterfall!AO7</f>
        <v>50.6597042674252</v>
      </c>
      <c r="CR9" s="16" t="n">
        <f aca="false">Waterfall!AP7</f>
        <v>51.3388059528544</v>
      </c>
      <c r="CS9" s="16" t="n">
        <f aca="false">Waterfall!AQ7</f>
        <v>50.9858164161794</v>
      </c>
      <c r="CT9" s="16" t="n">
        <f aca="false">Waterfall!AR7</f>
        <v>42.9383801241977</v>
      </c>
      <c r="CU9" s="16" t="n">
        <f aca="false">Waterfall!AS7</f>
        <v>41.8152724350504</v>
      </c>
      <c r="CV9" s="16" t="n">
        <f aca="false">Waterfall!AT7</f>
        <v>42.2365002861952</v>
      </c>
      <c r="CW9" s="16" t="n">
        <f aca="false">Waterfall!AU7</f>
        <v>48.2359769265088</v>
      </c>
      <c r="CX9" s="16" t="n">
        <f aca="false">Waterfall!AV7</f>
        <v>44.7326492101122</v>
      </c>
      <c r="CY9" s="16" t="n">
        <f aca="false">Waterfall!AW7</f>
        <v>43.776613843306</v>
      </c>
      <c r="CZ9" s="16" t="n">
        <f aca="false">Waterfall!AX7</f>
        <v>44.4354267369936</v>
      </c>
      <c r="DA9" s="16" t="n">
        <f aca="false">Waterfall!AY7</f>
        <v>44.0254806356794</v>
      </c>
      <c r="DB9" s="16" t="n">
        <f aca="false">Waterfall!AZ7</f>
        <v>44.6600563620943</v>
      </c>
      <c r="DC9" s="16" t="n">
        <f aca="false">Waterfall!BA7</f>
        <v>44.2728127632001</v>
      </c>
      <c r="DD9" s="16" t="n">
        <f aca="false">Waterfall!BB7</f>
        <v>44.8093483273826</v>
      </c>
      <c r="DE9" s="16" t="n">
        <f aca="false">Waterfall!BC7</f>
        <v>46.2402191845607</v>
      </c>
      <c r="DF9" s="16" t="n">
        <f aca="false">Waterfall!BD7</f>
        <v>43.7577699555498</v>
      </c>
      <c r="DG9" s="16" t="n">
        <f aca="false">Waterfall!BE7</f>
        <v>36.3323494486259</v>
      </c>
      <c r="DH9" s="16" t="n">
        <f aca="false">Waterfall!BF7</f>
        <v>37.0180080271656</v>
      </c>
      <c r="DI9" s="16" t="n">
        <f aca="false">Waterfall!BG7</f>
        <v>36.6020033309645</v>
      </c>
      <c r="DJ9" s="16" t="n">
        <f aca="false">Waterfall!BH7</f>
        <v>37.2619689506319</v>
      </c>
      <c r="DK9" s="16" t="n">
        <f aca="false">Waterfall!BI7</f>
        <v>36.8645169597715</v>
      </c>
      <c r="DL9" s="16" t="n">
        <f aca="false">Waterfall!BJ7</f>
        <v>37.4663555697208</v>
      </c>
      <c r="DM9" s="16" t="n">
        <f aca="false">Waterfall!BK7</f>
        <v>44.7157334175965</v>
      </c>
      <c r="DN9" s="16" t="n">
        <f aca="false">Waterfall!BL7</f>
        <v>40.457487289537</v>
      </c>
      <c r="DO9" s="16" t="n">
        <f aca="false">Waterfall!BM7</f>
        <v>40.0599103544488</v>
      </c>
      <c r="DP9" s="16" t="n">
        <f aca="false">Waterfall!BN7</f>
        <v>37.2316943142061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1911.37586436736</v>
      </c>
      <c r="J10" s="11" t="n">
        <f aca="false">0</f>
        <v>0</v>
      </c>
      <c r="K10" s="11" t="n">
        <f aca="false">-Construction!J30</f>
        <v>-108.1116</v>
      </c>
      <c r="L10" s="11" t="n">
        <f aca="false">-Construction!K30</f>
        <v>-1.40755141856459</v>
      </c>
      <c r="M10" s="11" t="n">
        <f aca="false">-Construction!L30</f>
        <v>-2.04139650947368</v>
      </c>
      <c r="N10" s="11" t="n">
        <f aca="false">-Construction!M30</f>
        <v>-3.34371627674641</v>
      </c>
      <c r="O10" s="11" t="n">
        <f aca="false">-Construction!N30</f>
        <v>-5.23288384038278</v>
      </c>
      <c r="P10" s="11" t="n">
        <f aca="false">-Construction!O30</f>
        <v>-7.59511627674641</v>
      </c>
      <c r="Q10" s="11" t="n">
        <f aca="false">-Construction!P30</f>
        <v>-10.3048813385646</v>
      </c>
      <c r="R10" s="11" t="n">
        <f aca="false">-Construction!Q30</f>
        <v>-13.23602839311</v>
      </c>
      <c r="S10" s="11" t="n">
        <f aca="false">-Construction!R30</f>
        <v>-16.2642619640191</v>
      </c>
      <c r="T10" s="11" t="n">
        <f aca="false">-Construction!S30</f>
        <v>-19.2733255858373</v>
      </c>
      <c r="U10" s="11" t="n">
        <f aca="false">-Construction!T30</f>
        <v>-22.1550018040191</v>
      </c>
      <c r="V10" s="11" t="n">
        <f aca="false">-Construction!U30</f>
        <v>-24.8128224876555</v>
      </c>
      <c r="W10" s="11" t="n">
        <f aca="false">-Construction!V30</f>
        <v>-27.1614504440191</v>
      </c>
      <c r="X10" s="11" t="n">
        <f aca="false">-Construction!W30</f>
        <v>-29.1279161894737</v>
      </c>
      <c r="Y10" s="11" t="n">
        <f aca="false">-Construction!X30</f>
        <v>-30.655328262201</v>
      </c>
      <c r="Z10" s="11" t="n">
        <f aca="false">-Construction!Y30</f>
        <v>-31.6979261385646</v>
      </c>
      <c r="AA10" s="11" t="n">
        <f aca="false">-Construction!Z30</f>
        <v>-32.226645702201</v>
      </c>
      <c r="AB10" s="11" t="n">
        <f aca="false">-Construction!AA30</f>
        <v>-33.369645702201</v>
      </c>
      <c r="AC10" s="11" t="n">
        <f aca="false">-Construction!AB30</f>
        <v>-31.6979261385646</v>
      </c>
      <c r="AD10" s="11" t="n">
        <f aca="false">-Construction!AC30</f>
        <v>-30.655328262201</v>
      </c>
      <c r="AE10" s="11" t="n">
        <f aca="false">-Construction!AD30</f>
        <v>-29.1279161894737</v>
      </c>
      <c r="AF10" s="11" t="n">
        <f aca="false">-Construction!AE30</f>
        <v>-27.1614504440191</v>
      </c>
      <c r="AG10" s="11" t="n">
        <f aca="false">-Construction!AF30</f>
        <v>-24.8128224876555</v>
      </c>
      <c r="AH10" s="11" t="n">
        <f aca="false">-Construction!AG30</f>
        <v>-22.1550018040191</v>
      </c>
      <c r="AI10" s="11" t="n">
        <f aca="false">-Construction!AH30</f>
        <v>-19.2733255858373</v>
      </c>
      <c r="AJ10" s="11" t="n">
        <f aca="false">-Construction!AI30</f>
        <v>-16.2642619640191</v>
      </c>
      <c r="AK10" s="11" t="n">
        <f aca="false">-Construction!AJ30</f>
        <v>-13.23602839311</v>
      </c>
      <c r="AL10" s="11" t="n">
        <f aca="false">-Construction!AK30</f>
        <v>-10.3048813385646</v>
      </c>
      <c r="AM10" s="11" t="n">
        <f aca="false">-Construction!AL30</f>
        <v>-7.59511627674641</v>
      </c>
      <c r="AN10" s="11" t="n">
        <f aca="false">-Construction!AM30</f>
        <v>-5.23288384038278</v>
      </c>
      <c r="AO10" s="11" t="n">
        <f aca="false">-Construction!AN30</f>
        <v>-3.34371627674641</v>
      </c>
      <c r="AP10" s="11" t="n">
        <f aca="false">-Construction!AO30</f>
        <v>-2.04139650947368</v>
      </c>
      <c r="AQ10" s="11" t="n">
        <f aca="false">-Construction!AP30</f>
        <v>-1.40755141856459</v>
      </c>
      <c r="AR10" s="11" t="n">
        <f aca="false">-Construction!AQ30</f>
        <v>-1.34076578947368</v>
      </c>
      <c r="AS10" s="11" t="n">
        <f aca="false">-Construction!AR30</f>
        <v>-1.34076578947368</v>
      </c>
      <c r="AT10" s="11" t="n">
        <f aca="false">-Construction!AS30</f>
        <v>-1.34076578947368</v>
      </c>
      <c r="AU10" s="11" t="n">
        <f aca="false">-Construction!AT30</f>
        <v>-1.34076578947368</v>
      </c>
      <c r="AV10" s="11" t="n">
        <f aca="false">-Construction!AU30</f>
        <v>-1.34076578947368</v>
      </c>
      <c r="AW10" s="11" t="n">
        <f aca="false">-Construction!AV30</f>
        <v>-49.5787657894737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0</v>
      </c>
      <c r="BR10" s="11" t="n">
        <f aca="false">Waterfall!P7+Tax!P27</f>
        <v>1.86721444482732</v>
      </c>
      <c r="BS10" s="11" t="n">
        <f aca="false">Waterfall!Q7+Tax!Q27</f>
        <v>50.1694349259804</v>
      </c>
      <c r="BT10" s="11" t="n">
        <f aca="false">Waterfall!R7+Tax!R27</f>
        <v>50.7589649640819</v>
      </c>
      <c r="BU10" s="11" t="n">
        <f aca="false">Waterfall!S7+Tax!S27</f>
        <v>50.4233190401177</v>
      </c>
      <c r="BV10" s="11" t="n">
        <f aca="false">Waterfall!T7+Tax!T27</f>
        <v>51.0022495144261</v>
      </c>
      <c r="BW10" s="11" t="n">
        <f aca="false">Waterfall!U7+Tax!U27</f>
        <v>50.6723125847848</v>
      </c>
      <c r="BX10" s="11" t="n">
        <f aca="false">Waterfall!V7+Tax!V27</f>
        <v>51.1693558860182</v>
      </c>
      <c r="BY10" s="11" t="n">
        <f aca="false">Waterfall!W7+Tax!W27</f>
        <v>51.4024493908331</v>
      </c>
      <c r="BZ10" s="11" t="n">
        <f aca="false">Waterfall!X7+Tax!X27</f>
        <v>51.9502968022351</v>
      </c>
      <c r="CA10" s="11" t="n">
        <f aca="false">Waterfall!Y7+Tax!Y27</f>
        <v>49.460994216498</v>
      </c>
      <c r="CB10" s="11" t="n">
        <f aca="false">Waterfall!Z7+Tax!Z27</f>
        <v>50.0903914918132</v>
      </c>
      <c r="CC10" s="11" t="n">
        <f aca="false">Waterfall!AA7+Tax!AA27</f>
        <v>49.741262059224</v>
      </c>
      <c r="CD10" s="11" t="n">
        <f aca="false">Waterfall!AB7+Tax!AB27</f>
        <v>50.3409763007287</v>
      </c>
      <c r="CE10" s="11" t="n">
        <f aca="false">Waterfall!AC7+Tax!AC27</f>
        <v>50.0052776162067</v>
      </c>
      <c r="CF10" s="11" t="n">
        <f aca="false">Waterfall!AD7+Tax!AD27</f>
        <v>50.563368302099</v>
      </c>
      <c r="CG10" s="11" t="n">
        <f aca="false">Waterfall!AE7+Tax!AE27</f>
        <v>51.7325320336533</v>
      </c>
      <c r="CH10" s="11" t="n">
        <f aca="false">Waterfall!AF7+Tax!AF27</f>
        <v>52.7476063432601</v>
      </c>
      <c r="CI10" s="11" t="n">
        <f aca="false">Waterfall!AG7+Tax!AG27</f>
        <v>51.8950463203738</v>
      </c>
      <c r="CJ10" s="11" t="n">
        <f aca="false">Waterfall!AH7+Tax!AH27</f>
        <v>52.5499716454015</v>
      </c>
      <c r="CK10" s="11" t="n">
        <f aca="false">Waterfall!AI7+Tax!AI27</f>
        <v>52.1997410525652</v>
      </c>
      <c r="CL10" s="11" t="n">
        <f aca="false">Waterfall!AJ7+Tax!AJ27</f>
        <v>52.821973597245</v>
      </c>
      <c r="CM10" s="11" t="n">
        <f aca="false">Waterfall!AK7+Tax!AK27</f>
        <v>52.4799571367726</v>
      </c>
      <c r="CN10" s="11" t="n">
        <f aca="false">Waterfall!AL7+Tax!AL27</f>
        <v>53.0277606816851</v>
      </c>
      <c r="CO10" s="11" t="n">
        <f aca="false">Waterfall!AM7+Tax!AM27</f>
        <v>53.3616922630188</v>
      </c>
      <c r="CP10" s="11" t="n">
        <f aca="false">Waterfall!AN7+Tax!AN27</f>
        <v>53.9467343041256</v>
      </c>
      <c r="CQ10" s="11" t="n">
        <f aca="false">Waterfall!AO7+Tax!AO27</f>
        <v>51.0422189695103</v>
      </c>
      <c r="CR10" s="11" t="n">
        <f aca="false">Waterfall!AP7+Tax!AP27</f>
        <v>51.7230900993886</v>
      </c>
      <c r="CS10" s="11" t="n">
        <f aca="false">Waterfall!AQ7+Tax!AQ27</f>
        <v>51.3717270109681</v>
      </c>
      <c r="CT10" s="11" t="n">
        <f aca="false">Waterfall!AR7+Tax!AR27</f>
        <v>52.0183590879784</v>
      </c>
      <c r="CU10" s="11" t="n">
        <f aca="false">Waterfall!AS7+Tax!AS27</f>
        <v>51.669415953588</v>
      </c>
      <c r="CV10" s="11" t="n">
        <f aca="false">Waterfall!AT7+Tax!AT27</f>
        <v>52.2908661632896</v>
      </c>
      <c r="CW10" s="11" t="n">
        <f aca="false">Waterfall!AU7+Tax!AU27</f>
        <v>53.8253318511153</v>
      </c>
      <c r="CX10" s="11" t="n">
        <f aca="false">Waterfall!AV7+Tax!AV27</f>
        <v>54.9104694089521</v>
      </c>
      <c r="CY10" s="11" t="n">
        <f aca="false">Waterfall!AW7+Tax!AW27</f>
        <v>53.9231129897648</v>
      </c>
      <c r="CZ10" s="11" t="n">
        <f aca="false">Waterfall!AX7+Tax!AX27</f>
        <v>54.6328352568461</v>
      </c>
      <c r="DA10" s="11" t="n">
        <f aca="false">Waterfall!AY7+Tax!AY27</f>
        <v>54.2803103678224</v>
      </c>
      <c r="DB10" s="11" t="n">
        <f aca="false">Waterfall!AZ7+Tax!AZ27</f>
        <v>54.9533824446912</v>
      </c>
      <c r="DC10" s="11" t="n">
        <f aca="false">Waterfall!BA7+Tax!BA27</f>
        <v>54.5968458972803</v>
      </c>
      <c r="DD10" s="11" t="n">
        <f aca="false">Waterfall!BB7+Tax!BB27</f>
        <v>55.2046845382451</v>
      </c>
      <c r="DE10" s="11" t="n">
        <f aca="false">Waterfall!BC7+Tax!BC27</f>
        <v>55.6593554839312</v>
      </c>
      <c r="DF10" s="11" t="n">
        <f aca="false">Waterfall!BD7+Tax!BD27</f>
        <v>56.287935219079</v>
      </c>
      <c r="DG10" s="11" t="n">
        <f aca="false">Waterfall!BE7+Tax!BE27</f>
        <v>52.8886658851121</v>
      </c>
      <c r="DH10" s="11" t="n">
        <f aca="false">Waterfall!BF7+Tax!BF27</f>
        <v>53.6298973204265</v>
      </c>
      <c r="DI10" s="11" t="n">
        <f aca="false">Waterfall!BG7+Tax!BG27</f>
        <v>53.2761838974868</v>
      </c>
      <c r="DJ10" s="11" t="n">
        <f aca="false">Waterfall!BH7+Tax!BH27</f>
        <v>53.9779093078791</v>
      </c>
      <c r="DK10" s="11" t="n">
        <f aca="false">Waterfall!BI7+Tax!BI27</f>
        <v>53.6130493418627</v>
      </c>
      <c r="DL10" s="11" t="n">
        <f aca="false">Waterfall!BJ7+Tax!BJ27</f>
        <v>54.3096782169848</v>
      </c>
      <c r="DM10" s="11" t="n">
        <f aca="false">Waterfall!BK7+Tax!BK27</f>
        <v>56.280122766645</v>
      </c>
      <c r="DN10" s="11" t="n">
        <f aca="false">Waterfall!BL7+Tax!BL27</f>
        <v>57.4478572106812</v>
      </c>
      <c r="DO10" s="11" t="n">
        <f aca="false">Waterfall!BM7+Tax!BM27</f>
        <v>57.0084549711701</v>
      </c>
      <c r="DP10" s="11" t="n">
        <f aca="false">Waterfall!BN7+Tax!BN27</f>
        <v>42.7829217886875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-31.6523333259076</v>
      </c>
      <c r="L11" s="11" t="n">
        <f aca="false">K11+L8</f>
        <v>-32.3029532204021</v>
      </c>
      <c r="M11" s="11" t="n">
        <f aca="false">L11+M8</f>
        <v>-33.1318733406835</v>
      </c>
      <c r="N11" s="11" t="n">
        <f aca="false">M11+N8</f>
        <v>-34.3024786902117</v>
      </c>
      <c r="O11" s="11" t="n">
        <f aca="false">N11+O8</f>
        <v>-35.987247639066</v>
      </c>
      <c r="P11" s="11" t="n">
        <f aca="false">O11+P8</f>
        <v>-38.3079547111883</v>
      </c>
      <c r="Q11" s="11" t="n">
        <f aca="false">P11+Q8</f>
        <v>-41.3340262998607</v>
      </c>
      <c r="R11" s="11" t="n">
        <f aca="false">Q11+R8</f>
        <v>-45.175144061288</v>
      </c>
      <c r="S11" s="11" t="n">
        <f aca="false">R11+S8</f>
        <v>-49.8277982814092</v>
      </c>
      <c r="T11" s="11" t="n">
        <f aca="false">S11+T8</f>
        <v>-55.307197137246</v>
      </c>
      <c r="U11" s="11" t="n">
        <f aca="false">T11+U8</f>
        <v>-61.5598938867015</v>
      </c>
      <c r="V11" s="11" t="n">
        <f aca="false">U11+V8</f>
        <v>-68.5544212728788</v>
      </c>
      <c r="W11" s="11" t="n">
        <f aca="false">V11+W8</f>
        <v>-76.2009811082767</v>
      </c>
      <c r="X11" s="11" t="n">
        <f aca="false">W11+X8</f>
        <v>-84.3895827405423</v>
      </c>
      <c r="Y11" s="11" t="n">
        <f aca="false">X11+Y8</f>
        <v>-93.0272562976369</v>
      </c>
      <c r="Z11" s="11" t="n">
        <f aca="false">Y11+Z8</f>
        <v>-101.963625131159</v>
      </c>
      <c r="AA11" s="11" t="n">
        <f aca="false">Z11+AA8</f>
        <v>-111.087421206424</v>
      </c>
      <c r="AB11" s="11" t="n">
        <f aca="false">AA11+AB8</f>
        <v>-120.551645676271</v>
      </c>
      <c r="AC11" s="11" t="n">
        <f aca="false">AB11+AC8</f>
        <v>-129.579076028692</v>
      </c>
      <c r="AD11" s="11" t="n">
        <f aca="false">AC11+AD8</f>
        <v>-138.392399076561</v>
      </c>
      <c r="AE11" s="11" t="n">
        <f aca="false">AD11+AE8</f>
        <v>-146.817278107316</v>
      </c>
      <c r="AF11" s="11" t="n">
        <f aca="false">AE11+AF8</f>
        <v>-154.76654578746</v>
      </c>
      <c r="AG11" s="11" t="n">
        <f aca="false">AF11+AG8</f>
        <v>-162.104001243719</v>
      </c>
      <c r="AH11" s="11" t="n">
        <f aca="false">AG11+AH8</f>
        <v>-168.779550758635</v>
      </c>
      <c r="AI11" s="11" t="n">
        <f aca="false">AH11+AI8</f>
        <v>-174.713080971587</v>
      </c>
      <c r="AJ11" s="11" t="n">
        <f aca="false">AI11+AJ8</f>
        <v>-179.849443711029</v>
      </c>
      <c r="AK11" s="11" t="n">
        <f aca="false">AJ11+AK8</f>
        <v>-184.21677416726</v>
      </c>
      <c r="AL11" s="11" t="n">
        <f aca="false">AK11+AL8</f>
        <v>-187.800755953224</v>
      </c>
      <c r="AM11" s="11" t="n">
        <f aca="false">AL11+AM8</f>
        <v>-190.694795057421</v>
      </c>
      <c r="AN11" s="11" t="n">
        <f aca="false">AM11+AN8</f>
        <v>-192.970693124708</v>
      </c>
      <c r="AO11" s="11" t="n">
        <f aca="false">AN11+AO8</f>
        <v>-194.693065203511</v>
      </c>
      <c r="AP11" s="11" t="n">
        <f aca="false">AO11+AP8</f>
        <v>-196.131682579448</v>
      </c>
      <c r="AQ11" s="11" t="n">
        <f aca="false">AP11+AQ8</f>
        <v>-197.385977270963</v>
      </c>
      <c r="AR11" s="11" t="n">
        <f aca="false">AQ11+AR8</f>
        <v>-198.643402222009</v>
      </c>
      <c r="AS11" s="11" t="n">
        <f aca="false">AR11+AS8</f>
        <v>-199.884610847649</v>
      </c>
      <c r="AT11" s="11" t="n">
        <f aca="false">AS11+AT8</f>
        <v>-201.175271590327</v>
      </c>
      <c r="AU11" s="11" t="n">
        <f aca="false">AT11+AU8</f>
        <v>-202.4699936804</v>
      </c>
      <c r="AV11" s="11" t="n">
        <f aca="false">AU11+AV8</f>
        <v>-203.738793531721</v>
      </c>
      <c r="AW11" s="11" t="n">
        <f aca="false">AV11+AW8</f>
        <v>-217.865603880104</v>
      </c>
      <c r="AX11" s="11" t="n">
        <f aca="false">AW11+AX8</f>
        <v>-229.362267538163</v>
      </c>
      <c r="AY11" s="11" t="n">
        <f aca="false">AX11+AY8</f>
        <v>-230.410683158074</v>
      </c>
      <c r="AZ11" s="11" t="n">
        <f aca="false">AY11+AZ8</f>
        <v>-230.410683158074</v>
      </c>
      <c r="BA11" s="11" t="n">
        <f aca="false">AZ11+BA8</f>
        <v>-230.410683158074</v>
      </c>
      <c r="BB11" s="11" t="n">
        <f aca="false">BA11+BB8</f>
        <v>-230.410683158074</v>
      </c>
      <c r="BC11" s="11" t="n">
        <f aca="false">BB11+BC8</f>
        <v>-230.410683158074</v>
      </c>
      <c r="BD11" s="11" t="n">
        <f aca="false">BC11+BD8</f>
        <v>-230.410683158074</v>
      </c>
      <c r="BE11" s="11" t="n">
        <f aca="false">BD11+BE8</f>
        <v>-230.410683158074</v>
      </c>
      <c r="BF11" s="11" t="n">
        <f aca="false">BE11+BF8</f>
        <v>-230.410683158074</v>
      </c>
      <c r="BG11" s="11" t="n">
        <f aca="false">BF11+BG8</f>
        <v>-230.410683158074</v>
      </c>
      <c r="BH11" s="11" t="n">
        <f aca="false">BG11+BH8</f>
        <v>-230.410683158074</v>
      </c>
      <c r="BI11" s="11" t="n">
        <f aca="false">BH11+BI8</f>
        <v>-230.410683158074</v>
      </c>
      <c r="BJ11" s="11" t="n">
        <f aca="false">BI11+BJ8</f>
        <v>-230.410683158074</v>
      </c>
      <c r="BK11" s="11" t="n">
        <f aca="false">BJ11+BK8</f>
        <v>-230.410683158074</v>
      </c>
      <c r="BL11" s="11" t="n">
        <f aca="false">BK11+BL8</f>
        <v>-230.410683158074</v>
      </c>
      <c r="BM11" s="11" t="n">
        <f aca="false">BL11+BM8</f>
        <v>-230.410683158074</v>
      </c>
      <c r="BN11" s="11" t="n">
        <f aca="false">BM11+BN8</f>
        <v>-230.410683158074</v>
      </c>
      <c r="BO11" s="11" t="n">
        <f aca="false">BN11+BO8</f>
        <v>-230.410683158074</v>
      </c>
      <c r="BP11" s="11" t="n">
        <f aca="false">BO11+BP8</f>
        <v>-230.410683158074</v>
      </c>
      <c r="BQ11" s="11" t="n">
        <f aca="false">BP11+BQ8</f>
        <v>-230.410683158074</v>
      </c>
      <c r="BR11" s="11" t="n">
        <f aca="false">BQ11+BR8</f>
        <v>-230.410683158074</v>
      </c>
      <c r="BS11" s="11" t="n">
        <f aca="false">BR11+BS8</f>
        <v>-218.469545399545</v>
      </c>
      <c r="BT11" s="11" t="n">
        <f aca="false">BS11+BT8</f>
        <v>-207.488419140803</v>
      </c>
      <c r="BU11" s="11" t="n">
        <f aca="false">BT11+BU8</f>
        <v>-197.294660816741</v>
      </c>
      <c r="BV11" s="11" t="n">
        <f aca="false">BU11+BV8</f>
        <v>-186.323695598021</v>
      </c>
      <c r="BW11" s="11" t="n">
        <f aca="false">BV11+BW8</f>
        <v>-176.450049673875</v>
      </c>
      <c r="BX11" s="11" t="n">
        <f aca="false">BW11+BX8</f>
        <v>-165.789416640282</v>
      </c>
      <c r="BY11" s="11" t="n">
        <f aca="false">BX11+BY8</f>
        <v>-153.733880499433</v>
      </c>
      <c r="BZ11" s="11" t="n">
        <f aca="false">BY11+BZ8</f>
        <v>-140.743454747471</v>
      </c>
      <c r="CA11" s="11" t="n">
        <f aca="false">BZ11+CA8</f>
        <v>-130.567833838494</v>
      </c>
      <c r="CB11" s="11" t="n">
        <f aca="false">CA11+CB8</f>
        <v>-119.558036882808</v>
      </c>
      <c r="CC11" s="11" t="n">
        <f aca="false">CB11+CC8</f>
        <v>-114.578349563397</v>
      </c>
      <c r="CD11" s="11" t="n">
        <f aca="false">CC11+CD8</f>
        <v>-108.699240492378</v>
      </c>
      <c r="CE11" s="11" t="n">
        <f aca="false">CD11+CE8</f>
        <v>-103.345115467879</v>
      </c>
      <c r="CF11" s="11" t="n">
        <f aca="false">CE11+CF8</f>
        <v>-97.4317294800813</v>
      </c>
      <c r="CG11" s="11" t="n">
        <f aca="false">CF11+CG8</f>
        <v>-90.5660300343041</v>
      </c>
      <c r="CH11" s="11" t="n">
        <f aca="false">CG11+CH8</f>
        <v>-82.4888547931438</v>
      </c>
      <c r="CI11" s="11" t="n">
        <f aca="false">CH11+CI8</f>
        <v>-74.3517097339407</v>
      </c>
      <c r="CJ11" s="11" t="n">
        <f aca="false">CI11+CJ8</f>
        <v>-65.0269547283575</v>
      </c>
      <c r="CK11" s="11" t="n">
        <f aca="false">CJ11+CK8</f>
        <v>-55.0551075864766</v>
      </c>
      <c r="CL11" s="11" t="n">
        <f aca="false">CK11+CL8</f>
        <v>-43.4781267081489</v>
      </c>
      <c r="CM11" s="11" t="n">
        <f aca="false">CL11+CM8</f>
        <v>-30.2230644391721</v>
      </c>
      <c r="CN11" s="11" t="n">
        <f aca="false">CM11+CN8</f>
        <v>1.34516033697388</v>
      </c>
      <c r="CO11" s="11" t="n">
        <f aca="false">CN11+CO8</f>
        <v>33.9560886711334</v>
      </c>
      <c r="CP11" s="11" t="n">
        <f aca="false">CO11+CP8</f>
        <v>67.3926098656472</v>
      </c>
      <c r="CQ11" s="11" t="n">
        <f aca="false">CP11+CQ8</f>
        <v>118.052314133072</v>
      </c>
      <c r="CR11" s="11" t="n">
        <f aca="false">CQ11+CR8</f>
        <v>169.391120085927</v>
      </c>
      <c r="CS11" s="11" t="n">
        <f aca="false">CR11+CS8</f>
        <v>220.376936502106</v>
      </c>
      <c r="CT11" s="11" t="n">
        <f aca="false">CS11+CT8</f>
        <v>263.315316626304</v>
      </c>
      <c r="CU11" s="11" t="n">
        <f aca="false">CT11+CU8</f>
        <v>305.130589061354</v>
      </c>
      <c r="CV11" s="11" t="n">
        <f aca="false">CU11+CV8</f>
        <v>347.367089347549</v>
      </c>
      <c r="CW11" s="11" t="n">
        <f aca="false">CV11+CW8</f>
        <v>395.603066274058</v>
      </c>
      <c r="CX11" s="11" t="n">
        <f aca="false">CW11+CX8</f>
        <v>440.33571548417</v>
      </c>
      <c r="CY11" s="11" t="n">
        <f aca="false">CX11+CY8</f>
        <v>484.112329327476</v>
      </c>
      <c r="CZ11" s="11" t="n">
        <f aca="false">CY11+CZ8</f>
        <v>528.54775606447</v>
      </c>
      <c r="DA11" s="11" t="n">
        <f aca="false">CZ11+DA8</f>
        <v>572.573236700149</v>
      </c>
      <c r="DB11" s="11" t="n">
        <f aca="false">DA11+DB8</f>
        <v>617.233293062244</v>
      </c>
      <c r="DC11" s="11" t="n">
        <f aca="false">DB11+DC8</f>
        <v>661.506105825444</v>
      </c>
      <c r="DD11" s="11" t="n">
        <f aca="false">DC11+DD8</f>
        <v>705.815070734612</v>
      </c>
      <c r="DE11" s="11" t="n">
        <f aca="false">DD11+DE8</f>
        <v>750.53771684583</v>
      </c>
      <c r="DF11" s="11" t="n">
        <f aca="false">DE11+DF8</f>
        <v>792.761311241133</v>
      </c>
      <c r="DG11" s="11" t="n">
        <f aca="false">DF11+DG8</f>
        <v>827.542701008803</v>
      </c>
      <c r="DH11" s="11" t="n">
        <f aca="false">DG11+DH8</f>
        <v>862.992781613397</v>
      </c>
      <c r="DI11" s="11" t="n">
        <f aca="false">DH11+DI8</f>
        <v>898.009704150425</v>
      </c>
      <c r="DJ11" s="11" t="n">
        <f aca="false">DI11+DJ8</f>
        <v>933.669251275188</v>
      </c>
      <c r="DK11" s="11" t="n">
        <f aca="false">DJ11+DK8</f>
        <v>968.913815663556</v>
      </c>
      <c r="DL11" s="11" t="n">
        <f aca="false">DK11+DL8</f>
        <v>1004.74249612724</v>
      </c>
      <c r="DM11" s="11" t="n">
        <f aca="false">DL11+DM8</f>
        <v>1047.80263801686</v>
      </c>
      <c r="DN11" s="11" t="n">
        <f aca="false">DM11+DN8</f>
        <v>1086.58642134803</v>
      </c>
      <c r="DO11" s="11" t="n">
        <f aca="false">DN11+DO8</f>
        <v>1124.95431716089</v>
      </c>
      <c r="DP11" s="11" t="n">
        <f aca="false">DO11+DP8</f>
        <v>1180.32347095561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0.120686888761947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0.104405628455969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0.109446763015916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-66.2146555820349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888.150681571343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657.739998413269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230.410683158074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84.407041052133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22.5895815874653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21.4094369483519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39.5901571901212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1.99840144432528E-013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6.66133814775094E-014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e">
        <f aca="false">Ratios!$F$16</f>
        <v>#VALUE!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e">
        <f aca="false">Ratios!$F$17</f>
        <v>#VALUE!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1.34990102842376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1.81204226648802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0.120686888761947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0.104405628455969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-66.2146555820349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2026-10-03T20:47:23Z</dcterms:created>
  <dc:creator>openpyxl</dc:creator>
  <dc:description/>
  <dc:language>en-US</dc:language>
  <cp:lastModifiedBy/>
  <dcterms:modified xsi:type="dcterms:W3CDTF">2026-10-03T20:47:23Z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