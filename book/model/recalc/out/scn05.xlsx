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<sst xmlns="http://schemas.openxmlformats.org/spreadsheetml/2006/main" count="2268" uniqueCount="840">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</sst>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5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1.02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6585.36788448</v>
      </c>
      <c r="K34" s="11" t="n">
        <f aca="false">$F$31*(1+Inputs!$F$125/100*K29)*(1+Inputs!$F$126/100)*(1+Inputs!$F$120/100)*Inputs!$F$38</f>
        <v>6585.36788448</v>
      </c>
      <c r="L34" s="11" t="n">
        <f aca="false">$F$31*(1+Inputs!$F$125/100*L29)*(1+Inputs!$F$126/100)*(1+Inputs!$F$120/100)*Inputs!$F$38</f>
        <v>6585.36788448</v>
      </c>
      <c r="M34" s="11" t="n">
        <f aca="false">$F$31*(1+Inputs!$F$125/100*M29)*(1+Inputs!$F$126/100)*(1+Inputs!$F$120/100)*Inputs!$F$38</f>
        <v>6585.36788448</v>
      </c>
      <c r="N34" s="11" t="n">
        <f aca="false">$F$31*(1+Inputs!$F$125/100*N29)*(1+Inputs!$F$126/100)*(1+Inputs!$F$120/100)*Inputs!$F$38</f>
        <v>6585.36788448</v>
      </c>
      <c r="O34" s="11" t="n">
        <f aca="false">$F$31*(1+Inputs!$F$125/100*O29)*(1+Inputs!$F$126/100)*(1+Inputs!$F$120/100)*Inputs!$F$38</f>
        <v>6586.02642126845</v>
      </c>
      <c r="P34" s="11" t="n">
        <f aca="false">$F$31*(1+Inputs!$F$125/100*P29)*(1+Inputs!$F$126/100)*(1+Inputs!$F$120/100)*Inputs!$F$38</f>
        <v>6588.66056842224</v>
      </c>
      <c r="Q34" s="11" t="n">
        <f aca="false">$F$31*(1+Inputs!$F$125/100*Q29)*(1+Inputs!$F$126/100)*(1+Inputs!$F$120/100)*Inputs!$F$38</f>
        <v>6592.61178915293</v>
      </c>
      <c r="R34" s="11" t="n">
        <f aca="false">$F$31*(1+Inputs!$F$125/100*R29)*(1+Inputs!$F$126/100)*(1+Inputs!$F$120/100)*Inputs!$F$38</f>
        <v>6596.56300988362</v>
      </c>
      <c r="S34" s="11" t="n">
        <f aca="false">$F$31*(1+Inputs!$F$125/100*S29)*(1+Inputs!$F$126/100)*(1+Inputs!$F$120/100)*Inputs!$F$38</f>
        <v>6600.5142306143</v>
      </c>
      <c r="T34" s="11" t="n">
        <f aca="false">$F$31*(1+Inputs!$F$125/100*T29)*(1+Inputs!$F$126/100)*(1+Inputs!$F$120/100)*Inputs!$F$38</f>
        <v>6604.46545134499</v>
      </c>
      <c r="U34" s="11" t="n">
        <f aca="false">$F$31*(1+Inputs!$F$125/100*U29)*(1+Inputs!$F$126/100)*(1+Inputs!$F$120/100)*Inputs!$F$38</f>
        <v>6608.41667207568</v>
      </c>
      <c r="V34" s="11" t="n">
        <f aca="false">$F$31*(1+Inputs!$F$125/100*V29)*(1+Inputs!$F$126/100)*(1+Inputs!$F$120/100)*Inputs!$F$38</f>
        <v>6612.36789280637</v>
      </c>
      <c r="W34" s="11" t="n">
        <f aca="false">$F$31*(1+Inputs!$F$125/100*W29)*(1+Inputs!$F$126/100)*(1+Inputs!$F$120/100)*Inputs!$F$38</f>
        <v>6616.31911353706</v>
      </c>
      <c r="X34" s="11" t="n">
        <f aca="false">$F$31*(1+Inputs!$F$125/100*X29)*(1+Inputs!$F$126/100)*(1+Inputs!$F$120/100)*Inputs!$F$38</f>
        <v>6620.27033426774</v>
      </c>
      <c r="Y34" s="11" t="n">
        <f aca="false">$F$31*(1+Inputs!$F$125/100*Y29)*(1+Inputs!$F$126/100)*(1+Inputs!$F$120/100)*Inputs!$F$38</f>
        <v>6624.22155499843</v>
      </c>
      <c r="Z34" s="11" t="n">
        <f aca="false">$F$31*(1+Inputs!$F$125/100*Z29)*(1+Inputs!$F$126/100)*(1+Inputs!$F$120/100)*Inputs!$F$38</f>
        <v>6628.17277572912</v>
      </c>
      <c r="AA34" s="11" t="n">
        <f aca="false">$F$31*(1+Inputs!$F$125/100*AA29)*(1+Inputs!$F$126/100)*(1+Inputs!$F$120/100)*Inputs!$F$38</f>
        <v>6632.12399645981</v>
      </c>
      <c r="AB34" s="11" t="n">
        <f aca="false">$F$31*(1+Inputs!$F$125/100*AB29)*(1+Inputs!$F$126/100)*(1+Inputs!$F$120/100)*Inputs!$F$38</f>
        <v>6636.0752171905</v>
      </c>
      <c r="AC34" s="11" t="n">
        <f aca="false">$F$31*(1+Inputs!$F$125/100*AC29)*(1+Inputs!$F$126/100)*(1+Inputs!$F$120/100)*Inputs!$F$38</f>
        <v>6640.02643792118</v>
      </c>
      <c r="AD34" s="11" t="n">
        <f aca="false">$F$31*(1+Inputs!$F$125/100*AD29)*(1+Inputs!$F$126/100)*(1+Inputs!$F$120/100)*Inputs!$F$38</f>
        <v>6643.97765865187</v>
      </c>
      <c r="AE34" s="11" t="n">
        <f aca="false">$F$31*(1+Inputs!$F$125/100*AE29)*(1+Inputs!$F$126/100)*(1+Inputs!$F$120/100)*Inputs!$F$38</f>
        <v>6647.92887938256</v>
      </c>
      <c r="AF34" s="11" t="n">
        <f aca="false">$F$31*(1+Inputs!$F$125/100*AF29)*(1+Inputs!$F$126/100)*(1+Inputs!$F$120/100)*Inputs!$F$38</f>
        <v>6651.88010011325</v>
      </c>
      <c r="AG34" s="11" t="n">
        <f aca="false">$F$31*(1+Inputs!$F$125/100*AG29)*(1+Inputs!$F$126/100)*(1+Inputs!$F$120/100)*Inputs!$F$38</f>
        <v>6655.83132084394</v>
      </c>
      <c r="AH34" s="11" t="n">
        <f aca="false">$F$31*(1+Inputs!$F$125/100*AH29)*(1+Inputs!$F$126/100)*(1+Inputs!$F$120/100)*Inputs!$F$38</f>
        <v>6659.78254157462</v>
      </c>
      <c r="AI34" s="11" t="n">
        <f aca="false">$F$31*(1+Inputs!$F$125/100*AI29)*(1+Inputs!$F$126/100)*(1+Inputs!$F$120/100)*Inputs!$F$38</f>
        <v>6663.73376230531</v>
      </c>
      <c r="AJ34" s="11" t="n">
        <f aca="false">$F$31*(1+Inputs!$F$125/100*AJ29)*(1+Inputs!$F$126/100)*(1+Inputs!$F$120/100)*Inputs!$F$38</f>
        <v>6667.684983036</v>
      </c>
      <c r="AK34" s="11" t="n">
        <f aca="false">$F$31*(1+Inputs!$F$125/100*AK29)*(1+Inputs!$F$126/100)*(1+Inputs!$F$120/100)*Inputs!$F$38</f>
        <v>6671.63620376669</v>
      </c>
      <c r="AL34" s="11" t="n">
        <f aca="false">$F$31*(1+Inputs!$F$125/100*AL29)*(1+Inputs!$F$126/100)*(1+Inputs!$F$120/100)*Inputs!$F$38</f>
        <v>6675.58742449738</v>
      </c>
      <c r="AM34" s="11" t="n">
        <f aca="false">$F$31*(1+Inputs!$F$125/100*AM29)*(1+Inputs!$F$126/100)*(1+Inputs!$F$120/100)*Inputs!$F$38</f>
        <v>6679.53864522806</v>
      </c>
      <c r="AN34" s="11" t="n">
        <f aca="false">$F$31*(1+Inputs!$F$125/100*AN29)*(1+Inputs!$F$126/100)*(1+Inputs!$F$120/100)*Inputs!$F$38</f>
        <v>6683.48986595875</v>
      </c>
      <c r="AO34" s="11" t="n">
        <f aca="false">$F$31*(1+Inputs!$F$125/100*AO29)*(1+Inputs!$F$126/100)*(1+Inputs!$F$120/100)*Inputs!$F$38</f>
        <v>6687.44108668944</v>
      </c>
      <c r="AP34" s="11" t="n">
        <f aca="false">$F$31*(1+Inputs!$F$125/100*AP29)*(1+Inputs!$F$126/100)*(1+Inputs!$F$120/100)*Inputs!$F$38</f>
        <v>6691.39230742013</v>
      </c>
      <c r="AQ34" s="11" t="n">
        <f aca="false">$F$31*(1+Inputs!$F$125/100*AQ29)*(1+Inputs!$F$126/100)*(1+Inputs!$F$120/100)*Inputs!$F$38</f>
        <v>6695.34352815082</v>
      </c>
      <c r="AR34" s="11" t="n">
        <f aca="false">$F$31*(1+Inputs!$F$125/100*AR29)*(1+Inputs!$F$126/100)*(1+Inputs!$F$120/100)*Inputs!$F$38</f>
        <v>6699.2947488815</v>
      </c>
      <c r="AS34" s="11" t="n">
        <f aca="false">$F$31*(1+Inputs!$F$125/100*AS29)*(1+Inputs!$F$126/100)*(1+Inputs!$F$120/100)*Inputs!$F$38</f>
        <v>6703.24596961219</v>
      </c>
      <c r="AT34" s="11" t="n">
        <f aca="false">$F$31*(1+Inputs!$F$125/100*AT29)*(1+Inputs!$F$126/100)*(1+Inputs!$F$120/100)*Inputs!$F$38</f>
        <v>6707.19719034288</v>
      </c>
      <c r="AU34" s="11" t="n">
        <f aca="false">$F$31*(1+Inputs!$F$125/100*AU29)*(1+Inputs!$F$126/100)*(1+Inputs!$F$120/100)*Inputs!$F$38</f>
        <v>6711.14841107357</v>
      </c>
      <c r="AV34" s="11" t="n">
        <f aca="false">$F$31*(1+Inputs!$F$125/100*AV29)*(1+Inputs!$F$126/100)*(1+Inputs!$F$120/100)*Inputs!$F$38</f>
        <v>6715.09963180426</v>
      </c>
      <c r="AW34" s="11" t="n">
        <f aca="false">$F$31*(1+Inputs!$F$125/100*AW29)*(1+Inputs!$F$126/100)*(1+Inputs!$F$120/100)*Inputs!$F$38</f>
        <v>6719.05085253494</v>
      </c>
      <c r="AX34" s="11" t="n">
        <f aca="false">$F$31*(1+Inputs!$F$125/100*AX29)*(1+Inputs!$F$126/100)*(1+Inputs!$F$120/100)*Inputs!$F$38</f>
        <v>6723.00207326563</v>
      </c>
      <c r="AY34" s="11" t="n">
        <f aca="false">$F$31*(1+Inputs!$F$125/100*AY29)*(1+Inputs!$F$126/100)*(1+Inputs!$F$120/100)*Inputs!$F$38</f>
        <v>6726.95329399632</v>
      </c>
      <c r="AZ34" s="11" t="n">
        <f aca="false">$F$31*(1+Inputs!$F$125/100*AZ29)*(1+Inputs!$F$126/100)*(1+Inputs!$F$120/100)*Inputs!$F$38</f>
        <v>6730.90451472701</v>
      </c>
      <c r="BA34" s="11" t="n">
        <f aca="false">$F$31*(1+Inputs!$F$125/100*BA29)*(1+Inputs!$F$126/100)*(1+Inputs!$F$120/100)*Inputs!$F$38</f>
        <v>6734.8557354577</v>
      </c>
      <c r="BB34" s="11" t="n">
        <f aca="false">$F$31*(1+Inputs!$F$125/100*BB29)*(1+Inputs!$F$126/100)*(1+Inputs!$F$120/100)*Inputs!$F$38</f>
        <v>6738.80695618839</v>
      </c>
      <c r="BC34" s="11" t="n">
        <f aca="false">$F$31*(1+Inputs!$F$125/100*BC29)*(1+Inputs!$F$126/100)*(1+Inputs!$F$120/100)*Inputs!$F$38</f>
        <v>6742.75817691907</v>
      </c>
      <c r="BD34" s="11" t="n">
        <f aca="false">$F$31*(1+Inputs!$F$125/100*BD29)*(1+Inputs!$F$126/100)*(1+Inputs!$F$120/100)*Inputs!$F$38</f>
        <v>6746.70939764976</v>
      </c>
      <c r="BE34" s="11" t="n">
        <f aca="false">$F$31*(1+Inputs!$F$125/100*BE29)*(1+Inputs!$F$126/100)*(1+Inputs!$F$120/100)*Inputs!$F$38</f>
        <v>6750.66061838045</v>
      </c>
      <c r="BF34" s="11" t="n">
        <f aca="false">$F$31*(1+Inputs!$F$125/100*BF29)*(1+Inputs!$F$126/100)*(1+Inputs!$F$120/100)*Inputs!$F$38</f>
        <v>6754.61183911114</v>
      </c>
      <c r="BG34" s="11" t="n">
        <f aca="false">$F$31*(1+Inputs!$F$125/100*BG29)*(1+Inputs!$F$126/100)*(1+Inputs!$F$120/100)*Inputs!$F$38</f>
        <v>6758.56305984182</v>
      </c>
      <c r="BH34" s="11" t="n">
        <f aca="false">$F$31*(1+Inputs!$F$125/100*BH29)*(1+Inputs!$F$126/100)*(1+Inputs!$F$120/100)*Inputs!$F$38</f>
        <v>6762.51428057251</v>
      </c>
      <c r="BI34" s="11" t="n">
        <f aca="false">$F$31*(1+Inputs!$F$125/100*BI29)*(1+Inputs!$F$126/100)*(1+Inputs!$F$120/100)*Inputs!$F$38</f>
        <v>6766.4655013032</v>
      </c>
      <c r="BJ34" s="11" t="n">
        <f aca="false">$F$31*(1+Inputs!$F$125/100*BJ29)*(1+Inputs!$F$126/100)*(1+Inputs!$F$120/100)*Inputs!$F$38</f>
        <v>6770.41672203389</v>
      </c>
      <c r="BK34" s="11" t="n">
        <f aca="false">$F$31*(1+Inputs!$F$125/100*BK29)*(1+Inputs!$F$126/100)*(1+Inputs!$F$120/100)*Inputs!$F$38</f>
        <v>6774.36794276458</v>
      </c>
      <c r="BL34" s="11" t="n">
        <f aca="false">$F$31*(1+Inputs!$F$125/100*BL29)*(1+Inputs!$F$126/100)*(1+Inputs!$F$120/100)*Inputs!$F$38</f>
        <v>6778.31916349526</v>
      </c>
      <c r="BM34" s="11" t="n">
        <f aca="false">$F$31*(1+Inputs!$F$125/100*BM29)*(1+Inputs!$F$126/100)*(1+Inputs!$F$120/100)*Inputs!$F$38</f>
        <v>6781.6118474375</v>
      </c>
      <c r="BN34" s="11" t="n">
        <f aca="false">$F$31*(1+Inputs!$F$125/100*BN29)*(1+Inputs!$F$126/100)*(1+Inputs!$F$120/100)*Inputs!$F$38</f>
        <v>6585.36788448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4220446.65381226</v>
      </c>
      <c r="P37" s="13" t="n">
        <f aca="false">P33*P34*(1000*Inputs!$F$121/Inputs!$F$122)</f>
        <v>12660069.9972737</v>
      </c>
      <c r="Q37" s="13" t="n">
        <f aca="false">Q33*Q34*(1000*Inputs!$F$121/Inputs!$F$122)</f>
        <v>12617671.0487477</v>
      </c>
      <c r="R37" s="13" t="n">
        <f aca="false">R33*R34*(1000*Inputs!$F$121/Inputs!$F$122)</f>
        <v>12534794.6768816</v>
      </c>
      <c r="S37" s="13" t="n">
        <f aca="false">S33*S34*(1000*Inputs!$F$121/Inputs!$F$122)</f>
        <v>12573348.18174</v>
      </c>
      <c r="T37" s="13" t="n">
        <f aca="false">T33*T34*(1000*Inputs!$F$121/Inputs!$F$122)</f>
        <v>12652343.854379</v>
      </c>
      <c r="U37" s="13" t="n">
        <f aca="false">U33*U34*(1000*Inputs!$F$121/Inputs!$F$122)</f>
        <v>12506527.2973914</v>
      </c>
      <c r="V37" s="13" t="n">
        <f aca="false">V33*V34*(1000*Inputs!$F$121/Inputs!$F$122)</f>
        <v>12216910.0676408</v>
      </c>
      <c r="W37" s="13" t="n">
        <f aca="false">W33*W34*(1000*Inputs!$F$121/Inputs!$F$122)</f>
        <v>12358806.4623382</v>
      </c>
      <c r="X37" s="13" t="n">
        <f aca="false">X33*X34*(1000*Inputs!$F$121/Inputs!$F$122)</f>
        <v>12644435.3836285</v>
      </c>
      <c r="Y37" s="13" t="n">
        <f aca="false">Y33*Y34*(1000*Inputs!$F$121/Inputs!$F$122)</f>
        <v>12601995.5668385</v>
      </c>
      <c r="Z37" s="13" t="n">
        <f aca="false">Z33*Z34*(1000*Inputs!$F$121/Inputs!$F$122)</f>
        <v>12519129.4970794</v>
      </c>
      <c r="AA37" s="13" t="n">
        <f aca="false">AA33*AA34*(1000*Inputs!$F$121/Inputs!$F$122)</f>
        <v>12557541.833915</v>
      </c>
      <c r="AB37" s="13" t="n">
        <f aca="false">AB33*AB34*(1000*Inputs!$F$121/Inputs!$F$122)</f>
        <v>12636344.585022</v>
      </c>
      <c r="AC37" s="13" t="n">
        <f aca="false">AC33*AC34*(1000*Inputs!$F$121/Inputs!$F$122)</f>
        <v>12405313.6655737</v>
      </c>
      <c r="AD37" s="13" t="n">
        <f aca="false">AD33*AD34*(1000*Inputs!$F$121/Inputs!$F$122)</f>
        <v>11945403.7643172</v>
      </c>
      <c r="AE37" s="13" t="n">
        <f aca="false">AE33*AE34*(1000*Inputs!$F$121/Inputs!$F$122)</f>
        <v>12172347.3106655</v>
      </c>
      <c r="AF37" s="13" t="n">
        <f aca="false">AF33*AF34*(1000*Inputs!$F$121/Inputs!$F$122)</f>
        <v>12628071.4585597</v>
      </c>
      <c r="AG37" s="13" t="n">
        <f aca="false">AG33*AG34*(1000*Inputs!$F$121/Inputs!$F$122)</f>
        <v>12585593.1060581</v>
      </c>
      <c r="AH37" s="13" t="n">
        <f aca="false">AH33*AH34*(1000*Inputs!$F$121/Inputs!$F$122)</f>
        <v>12502742.003511</v>
      </c>
      <c r="AI37" s="13" t="n">
        <f aca="false">AI33*AI34*(1000*Inputs!$F$121/Inputs!$F$122)</f>
        <v>12541010.8397714</v>
      </c>
      <c r="AJ37" s="13" t="n">
        <f aca="false">AJ33*AJ34*(1000*Inputs!$F$121/Inputs!$F$122)</f>
        <v>12619616.0042414</v>
      </c>
      <c r="AK37" s="13" t="n">
        <f aca="false">AK33*AK34*(1000*Inputs!$F$121/Inputs!$F$122)</f>
        <v>12473991.3644923</v>
      </c>
      <c r="AL37" s="13" t="n">
        <f aca="false">AL33*AL34*(1000*Inputs!$F$121/Inputs!$F$122)</f>
        <v>12184946.5172148</v>
      </c>
      <c r="AM37" s="13" t="n">
        <f aca="false">AM33*AM34*(1000*Inputs!$F$121/Inputs!$F$122)</f>
        <v>12326288.4123418</v>
      </c>
      <c r="AN37" s="13" t="n">
        <f aca="false">AN33*AN34*(1000*Inputs!$F$121/Inputs!$F$122)</f>
        <v>12610978.2220671</v>
      </c>
      <c r="AO37" s="13" t="n">
        <f aca="false">AO33*AO34*(1000*Inputs!$F$121/Inputs!$F$122)</f>
        <v>12568463.6664066</v>
      </c>
      <c r="AP37" s="13" t="n">
        <f aca="false">AP33*AP34*(1000*Inputs!$F$121/Inputs!$F$122)</f>
        <v>12485632.1961766</v>
      </c>
      <c r="AQ37" s="13" t="n">
        <f aca="false">AQ33*AQ34*(1000*Inputs!$F$121/Inputs!$F$122)</f>
        <v>12523755.1993091</v>
      </c>
      <c r="AR37" s="13" t="n">
        <f aca="false">AR33*AR34*(1000*Inputs!$F$121/Inputs!$F$122)</f>
        <v>12602158.112037</v>
      </c>
      <c r="AS37" s="13" t="n">
        <f aca="false">AS33*AS34*(1000*Inputs!$F$121/Inputs!$F$122)</f>
        <v>12371567.7534474</v>
      </c>
      <c r="AT37" s="13" t="n">
        <f aca="false">AT33*AT34*(1000*Inputs!$F$121/Inputs!$F$122)</f>
        <v>11912731.2151124</v>
      </c>
      <c r="AU37" s="13" t="n">
        <f aca="false">AU33*AU34*(1000*Inputs!$F$121/Inputs!$F$122)</f>
        <v>12138872.8493395</v>
      </c>
      <c r="AV37" s="13" t="n">
        <f aca="false">AV33*AV34*(1000*Inputs!$F$121/Inputs!$F$122)</f>
        <v>12593155.6741509</v>
      </c>
      <c r="AW37" s="13" t="n">
        <f aca="false">AW33*AW34*(1000*Inputs!$F$121/Inputs!$F$122)</f>
        <v>12550607.2478839</v>
      </c>
      <c r="AX37" s="13" t="n">
        <f aca="false">AX33*AX34*(1000*Inputs!$F$121/Inputs!$F$122)</f>
        <v>12467800.0750761</v>
      </c>
      <c r="AY37" s="13" t="n">
        <f aca="false">AY33*AY34*(1000*Inputs!$F$121/Inputs!$F$122)</f>
        <v>12505774.9125282</v>
      </c>
      <c r="AZ37" s="13" t="n">
        <f aca="false">AZ33*AZ34*(1000*Inputs!$F$121/Inputs!$F$122)</f>
        <v>12583970.908409</v>
      </c>
      <c r="BA37" s="13" t="n">
        <f aca="false">BA33*BA34*(1000*Inputs!$F$121/Inputs!$F$122)</f>
        <v>12438571.3599788</v>
      </c>
      <c r="BB37" s="13" t="n">
        <f aca="false">BB33*BB34*(1000*Inputs!$F$121/Inputs!$F$122)</f>
        <v>12150165.2433351</v>
      </c>
      <c r="BC37" s="13" t="n">
        <f aca="false">BC33*BC34*(1000*Inputs!$F$121/Inputs!$F$122)</f>
        <v>12290919.4648114</v>
      </c>
      <c r="BD37" s="13" t="n">
        <f aca="false">BD33*BD34*(1000*Inputs!$F$121/Inputs!$F$122)</f>
        <v>12574603.8148111</v>
      </c>
      <c r="BE37" s="13" t="n">
        <f aca="false">BE33*BE34*(1000*Inputs!$F$121/Inputs!$F$122)</f>
        <v>12532023.85049</v>
      </c>
      <c r="BF37" s="13" t="n">
        <f aca="false">BF33*BF34*(1000*Inputs!$F$121/Inputs!$F$122)</f>
        <v>12449245.6402094</v>
      </c>
      <c r="BG37" s="13" t="n">
        <f aca="false">BG33*BG34*(1000*Inputs!$F$121/Inputs!$F$122)</f>
        <v>12487069.9794287</v>
      </c>
      <c r="BH37" s="13" t="n">
        <f aca="false">BH33*BH34*(1000*Inputs!$F$121/Inputs!$F$122)</f>
        <v>12565054.3933572</v>
      </c>
      <c r="BI37" s="13" t="n">
        <f aca="false">BI33*BI34*(1000*Inputs!$F$121/Inputs!$F$122)</f>
        <v>12334957.4668169</v>
      </c>
      <c r="BJ37" s="13" t="n">
        <f aca="false">BJ33*BJ34*(1000*Inputs!$F$121/Inputs!$F$122)</f>
        <v>11877300.0337847</v>
      </c>
      <c r="BK37" s="13" t="n">
        <f aca="false">BK33*BK34*(1000*Inputs!$F$121/Inputs!$F$122)</f>
        <v>12102586.8847002</v>
      </c>
      <c r="BL37" s="13" t="n">
        <f aca="false">BL33*BL34*(1000*Inputs!$F$121/Inputs!$F$122)</f>
        <v>12555322.6440475</v>
      </c>
      <c r="BM37" s="13" t="n">
        <f aca="false">BM33*BM34*(1000*Inputs!$F$121/Inputs!$F$122)</f>
        <v>8368848.1646813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485.811746936375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2.51642171803819</v>
      </c>
      <c r="P45" s="11" t="n">
        <f aca="false">P33*P44/1000000</f>
        <v>7.62803889157132</v>
      </c>
      <c r="Q45" s="11" t="n">
        <f aca="false">Q33*Q44/1000000</f>
        <v>7.68105848814811</v>
      </c>
      <c r="R45" s="11" t="n">
        <f aca="false">R33*R44/1000000</f>
        <v>7.70946659936317</v>
      </c>
      <c r="S45" s="11" t="n">
        <f aca="false">S33*S44/1000000</f>
        <v>7.81310103237857</v>
      </c>
      <c r="T45" s="11" t="n">
        <f aca="false">T33*T44/1000000</f>
        <v>7.94344753175194</v>
      </c>
      <c r="U45" s="11" t="n">
        <f aca="false">U33*U44/1000000</f>
        <v>7.93305531916128</v>
      </c>
      <c r="V45" s="11" t="n">
        <f aca="false">V33*V44/1000000</f>
        <v>7.82944507757228</v>
      </c>
      <c r="W45" s="11" t="n">
        <f aca="false">W33*W44/1000000</f>
        <v>8.00225062439422</v>
      </c>
      <c r="X45" s="11" t="n">
        <f aca="false">X33*X44/1000000</f>
        <v>8.27182288419171</v>
      </c>
      <c r="Y45" s="11" t="n">
        <f aca="false">Y33*Y44/1000000</f>
        <v>8.32927939454739</v>
      </c>
      <c r="Z45" s="11" t="n">
        <f aca="false">Z33*Z44/1000000</f>
        <v>8.36004694624821</v>
      </c>
      <c r="AA45" s="11" t="n">
        <f aca="false">AA33*AA44/1000000</f>
        <v>8.47238825046235</v>
      </c>
      <c r="AB45" s="11" t="n">
        <f aca="false">AB33*AB44/1000000</f>
        <v>8.61369443244836</v>
      </c>
      <c r="AC45" s="11" t="n">
        <f aca="false">AC33*AC44/1000000</f>
        <v>8.54363507447978</v>
      </c>
      <c r="AD45" s="11" t="n">
        <f aca="false">AD33*AD44/1000000</f>
        <v>8.31194894771562</v>
      </c>
      <c r="AE45" s="11" t="n">
        <f aca="false">AE33*AE44/1000000</f>
        <v>8.55743512544264</v>
      </c>
      <c r="AF45" s="11" t="n">
        <f aca="false">AF33*AF44/1000000</f>
        <v>8.96961310830208</v>
      </c>
      <c r="AG45" s="11" t="n">
        <f aca="false">AG33*AG44/1000000</f>
        <v>9.03187503656419</v>
      </c>
      <c r="AH45" s="11" t="n">
        <f aca="false">AH33*AH44/1000000</f>
        <v>9.06519622327226</v>
      </c>
      <c r="AI45" s="11" t="n">
        <f aca="false">AI33*AI44/1000000</f>
        <v>9.18697092919141</v>
      </c>
      <c r="AJ45" s="11" t="n">
        <f aca="false">AJ33*AJ44/1000000</f>
        <v>9.34015215220506</v>
      </c>
      <c r="AK45" s="11" t="n">
        <f aca="false">AK33*AK44/1000000</f>
        <v>9.32784700738049</v>
      </c>
      <c r="AL45" s="11" t="n">
        <f aca="false">AL33*AL44/1000000</f>
        <v>9.20593532085</v>
      </c>
      <c r="AM45" s="11" t="n">
        <f aca="false">AM33*AM44/1000000</f>
        <v>9.40903504492034</v>
      </c>
      <c r="AN45" s="11" t="n">
        <f aca="false">AN33*AN44/1000000</f>
        <v>9.72590800784114</v>
      </c>
      <c r="AO45" s="11" t="n">
        <f aca="false">AO33*AO44/1000000</f>
        <v>9.79337418754218</v>
      </c>
      <c r="AP45" s="11" t="n">
        <f aca="false">AP33*AP44/1000000</f>
        <v>9.82945901083024</v>
      </c>
      <c r="AQ45" s="11" t="n">
        <f aca="false">AQ33*AQ44/1000000</f>
        <v>9.96145378288492</v>
      </c>
      <c r="AR45" s="11" t="n">
        <f aca="false">AR33*AR44/1000000</f>
        <v>10.1275012521276</v>
      </c>
      <c r="AS45" s="11" t="n">
        <f aca="false">AS33*AS44/1000000</f>
        <v>10.0450359953257</v>
      </c>
      <c r="AT45" s="11" t="n">
        <f aca="false">AT33*AT44/1000000</f>
        <v>9.77254392926223</v>
      </c>
      <c r="AU45" s="11" t="n">
        <f aca="false">AU33*AU44/1000000</f>
        <v>10.061073700488</v>
      </c>
      <c r="AV45" s="11" t="n">
        <f aca="false">AV33*AV44/1000000</f>
        <v>10.5455775620424</v>
      </c>
      <c r="AW45" s="11" t="n">
        <f aca="false">AW33*AW44/1000000</f>
        <v>10.6186796248286</v>
      </c>
      <c r="AX45" s="11" t="n">
        <f aca="false">AX33*AX44/1000000</f>
        <v>10.6577551622769</v>
      </c>
      <c r="AY45" s="11" t="n">
        <f aca="false">AY33*AY44/1000000</f>
        <v>10.8008217274309</v>
      </c>
      <c r="AZ45" s="11" t="n">
        <f aca="false">AZ33*AZ44/1000000</f>
        <v>10.9808087197124</v>
      </c>
      <c r="BA45" s="11" t="n">
        <f aca="false">BA33*BA44/1000000</f>
        <v>10.9662389078837</v>
      </c>
      <c r="BB45" s="11" t="n">
        <f aca="false">BB33*BB44/1000000</f>
        <v>10.822812016699</v>
      </c>
      <c r="BC45" s="11" t="n">
        <f aca="false">BC33*BC44/1000000</f>
        <v>11.0614785827123</v>
      </c>
      <c r="BD45" s="11" t="n">
        <f aca="false">BD33*BD44/1000000</f>
        <v>11.4338936572534</v>
      </c>
      <c r="BE45" s="11" t="n">
        <f aca="false">BE33*BE44/1000000</f>
        <v>11.5130986997715</v>
      </c>
      <c r="BF45" s="11" t="n">
        <f aca="false">BF33*BF44/1000000</f>
        <v>11.5554104739938</v>
      </c>
      <c r="BG45" s="11" t="n">
        <f aca="false">BG33*BG44/1000000</f>
        <v>11.7104709494486</v>
      </c>
      <c r="BH45" s="11" t="n">
        <f aca="false">BH33*BH44/1000000</f>
        <v>11.905559542911</v>
      </c>
      <c r="BI45" s="11" t="n">
        <f aca="false">BI33*BI44/1000000</f>
        <v>11.8085035891832</v>
      </c>
      <c r="BJ45" s="11" t="n">
        <f aca="false">BJ33*BJ44/1000000</f>
        <v>11.4880642629858</v>
      </c>
      <c r="BK45" s="11" t="n">
        <f aca="false">BK33*BK44/1000000</f>
        <v>11.8271309481052</v>
      </c>
      <c r="BL45" s="11" t="n">
        <f aca="false">BL33*BL44/1000000</f>
        <v>12.3965629101064</v>
      </c>
      <c r="BM45" s="11" t="n">
        <f aca="false">BM33*BM44/1000000</f>
        <v>8.34936857212671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4886.82613822903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25.7791196996463</v>
      </c>
      <c r="P46" s="11" t="n">
        <f aca="false">P33*P35*(1000*Inputs!$F$121/Inputs!$F$122)*P36/1000000</f>
        <v>77.3244496667218</v>
      </c>
      <c r="Q46" s="11" t="n">
        <f aca="false">Q33*Q35*(1000*Inputs!$F$121/Inputs!$F$122)*Q36/1000000</f>
        <v>78.5989487836604</v>
      </c>
      <c r="R46" s="11" t="n">
        <f aca="false">R33*R35*(1000*Inputs!$F$121/Inputs!$F$122)*R36/1000000</f>
        <v>78.0749011546623</v>
      </c>
      <c r="S46" s="11" t="n">
        <f aca="false">S33*S35*(1000*Inputs!$F$121/Inputs!$F$122)*S36/1000000</f>
        <v>79.8733798268943</v>
      </c>
      <c r="T46" s="11" t="n">
        <f aca="false">T33*T35*(1000*Inputs!$F$121/Inputs!$F$122)*T36/1000000</f>
        <v>80.3672083375917</v>
      </c>
      <c r="U46" s="11" t="n">
        <f aca="false">U33*U35*(1000*Inputs!$F$121/Inputs!$F$122)*U36/1000000</f>
        <v>81.021751587173</v>
      </c>
      <c r="V46" s="11" t="n">
        <f aca="false">V33*V35*(1000*Inputs!$F$121/Inputs!$F$122)*V36/1000000</f>
        <v>79.137648401152</v>
      </c>
      <c r="W46" s="11" t="n">
        <f aca="false">W33*W35*(1000*Inputs!$F$121/Inputs!$F$122)*W36/1000000</f>
        <v>81.6498489848216</v>
      </c>
      <c r="X46" s="11" t="n">
        <f aca="false">X33*X35*(1000*Inputs!$F$121/Inputs!$F$122)*X36/1000000</f>
        <v>83.5286114440956</v>
      </c>
      <c r="Y46" s="11" t="n">
        <f aca="false">Y33*Y35*(1000*Inputs!$F$121/Inputs!$F$122)*Y36/1000000</f>
        <v>84.9048165069735</v>
      </c>
      <c r="Z46" s="11" t="n">
        <f aca="false">Z33*Z35*(1000*Inputs!$F$121/Inputs!$F$122)*Z36/1000000</f>
        <v>84.3381746041477</v>
      </c>
      <c r="AA46" s="11" t="n">
        <f aca="false">AA33*AA35*(1000*Inputs!$F$121/Inputs!$F$122)*AA36/1000000</f>
        <v>86.2803657749892</v>
      </c>
      <c r="AB46" s="11" t="n">
        <f aca="false">AB33*AB35*(1000*Inputs!$F$121/Inputs!$F$122)*AB36/1000000</f>
        <v>86.8132386021557</v>
      </c>
      <c r="AC46" s="11" t="n">
        <f aca="false">AC33*AC35*(1000*Inputs!$F$121/Inputs!$F$122)*AC36/1000000</f>
        <v>86.9219818515905</v>
      </c>
      <c r="AD46" s="11" t="n">
        <f aca="false">AD33*AD35*(1000*Inputs!$F$121/Inputs!$F$122)*AD36/1000000</f>
        <v>83.6912300873451</v>
      </c>
      <c r="AE46" s="11" t="n">
        <f aca="false">AE33*AE35*(1000*Inputs!$F$121/Inputs!$F$122)*AE36/1000000</f>
        <v>86.9783006666355</v>
      </c>
      <c r="AF46" s="11" t="n">
        <f aca="false">AF33*AF35*(1000*Inputs!$F$121/Inputs!$F$122)*AF36/1000000</f>
        <v>90.2258441743053</v>
      </c>
      <c r="AG46" s="11" t="n">
        <f aca="false">AG33*AG35*(1000*Inputs!$F$121/Inputs!$F$122)*AG36/1000000</f>
        <v>91.7117897628972</v>
      </c>
      <c r="AH46" s="11" t="n">
        <f aca="false">AH33*AH35*(1000*Inputs!$F$121/Inputs!$F$122)*AH36/1000000</f>
        <v>91.0991206249612</v>
      </c>
      <c r="AI46" s="11" t="n">
        <f aca="false">AI33*AI35*(1000*Inputs!$F$121/Inputs!$F$122)*AI36/1000000</f>
        <v>93.1963942315242</v>
      </c>
      <c r="AJ46" s="11" t="n">
        <f aca="false">AJ33*AJ35*(1000*Inputs!$F$121/Inputs!$F$122)*AJ36/1000000</f>
        <v>93.7713638483066</v>
      </c>
      <c r="AK46" s="11" t="n">
        <f aca="false">AK33*AK35*(1000*Inputs!$F$121/Inputs!$F$122)*AK36/1000000</f>
        <v>94.5338347262224</v>
      </c>
      <c r="AL46" s="11" t="n">
        <f aca="false">AL33*AL35*(1000*Inputs!$F$121/Inputs!$F$122)*AL36/1000000</f>
        <v>92.3343043481119</v>
      </c>
      <c r="AM46" s="11" t="n">
        <f aca="false">AM33*AM35*(1000*Inputs!$F$121/Inputs!$F$122)*AM36/1000000</f>
        <v>95.2641759921699</v>
      </c>
      <c r="AN46" s="11" t="n">
        <f aca="false">AN33*AN35*(1000*Inputs!$F$121/Inputs!$F$122)*AN36/1000000</f>
        <v>97.454921459431</v>
      </c>
      <c r="AO46" s="11" t="n">
        <f aca="false">AO33*AO35*(1000*Inputs!$F$121/Inputs!$F$122)*AO36/1000000</f>
        <v>99.0592696696603</v>
      </c>
      <c r="AP46" s="11" t="n">
        <f aca="false">AP33*AP35*(1000*Inputs!$F$121/Inputs!$F$122)*AP36/1000000</f>
        <v>98.3968661325441</v>
      </c>
      <c r="AQ46" s="11" t="n">
        <f aca="false">AQ33*AQ35*(1000*Inputs!$F$121/Inputs!$F$122)*AQ36/1000000</f>
        <v>100.661481636439</v>
      </c>
      <c r="AR46" s="11" t="n">
        <f aca="false">AR33*AR35*(1000*Inputs!$F$121/Inputs!$F$122)*AR36/1000000</f>
        <v>101.281836065243</v>
      </c>
      <c r="AS46" s="11" t="n">
        <f aca="false">AS33*AS35*(1000*Inputs!$F$121/Inputs!$F$122)*AS36/1000000</f>
        <v>101.407363093729</v>
      </c>
      <c r="AT46" s="11" t="n">
        <f aca="false">AT33*AT35*(1000*Inputs!$F$121/Inputs!$F$122)*AT36/1000000</f>
        <v>97.6369218120997</v>
      </c>
      <c r="AU46" s="11" t="n">
        <f aca="false">AU33*AU35*(1000*Inputs!$F$121/Inputs!$F$122)*AU36/1000000</f>
        <v>101.470383003147</v>
      </c>
      <c r="AV46" s="11" t="n">
        <f aca="false">AV33*AV35*(1000*Inputs!$F$121/Inputs!$F$122)*AV36/1000000</f>
        <v>105.257629282044</v>
      </c>
      <c r="AW46" s="11" t="n">
        <f aca="false">AW33*AW35*(1000*Inputs!$F$121/Inputs!$F$122)*AW36/1000000</f>
        <v>106.989718090849</v>
      </c>
      <c r="AX46" s="11" t="n">
        <f aca="false">AX33*AX35*(1000*Inputs!$F$121/Inputs!$F$122)*AX36/1000000</f>
        <v>106.273577101457</v>
      </c>
      <c r="AY46" s="11" t="n">
        <f aca="false">AY33*AY35*(1000*Inputs!$F$121/Inputs!$F$122)*AY36/1000000</f>
        <v>108.718752184724</v>
      </c>
      <c r="AZ46" s="11" t="n">
        <f aca="false">AZ33*AZ35*(1000*Inputs!$F$121/Inputs!$F$122)*AZ36/1000000</f>
        <v>109.388032892451</v>
      </c>
      <c r="BA46" s="11" t="n">
        <f aca="false">BA33*BA35*(1000*Inputs!$F$121/Inputs!$F$122)*BA36/1000000</f>
        <v>110.276019419535</v>
      </c>
      <c r="BB46" s="11" t="n">
        <f aca="false">BB33*BB35*(1000*Inputs!$F$121/Inputs!$F$122)*BB36/1000000</f>
        <v>107.708780540664</v>
      </c>
      <c r="BC46" s="11" t="n">
        <f aca="false">BC33*BC35*(1000*Inputs!$F$121/Inputs!$F$122)*BC36/1000000</f>
        <v>111.125021868197</v>
      </c>
      <c r="BD46" s="11" t="n">
        <f aca="false">BD33*BD35*(1000*Inputs!$F$121/Inputs!$F$122)*BD36/1000000</f>
        <v>113.678996733924</v>
      </c>
      <c r="BE46" s="11" t="n">
        <f aca="false">BE33*BE35*(1000*Inputs!$F$121/Inputs!$F$122)*BE36/1000000</f>
        <v>115.548892032972</v>
      </c>
      <c r="BF46" s="11" t="n">
        <f aca="false">BF33*BF35*(1000*Inputs!$F$121/Inputs!$F$122)*BF36/1000000</f>
        <v>114.774691266782</v>
      </c>
      <c r="BG46" s="11" t="n">
        <f aca="false">BG33*BG35*(1000*Inputs!$F$121/Inputs!$F$122)*BG36/1000000</f>
        <v>117.414675751632</v>
      </c>
      <c r="BH46" s="11" t="n">
        <f aca="false">BH33*BH35*(1000*Inputs!$F$121/Inputs!$F$122)*BH36/1000000</f>
        <v>118.136696878405</v>
      </c>
      <c r="BI46" s="11" t="n">
        <f aca="false">BI33*BI35*(1000*Inputs!$F$121/Inputs!$F$122)*BI36/1000000</f>
        <v>118.281530787593</v>
      </c>
      <c r="BJ46" s="11" t="n">
        <f aca="false">BJ33*BJ35*(1000*Inputs!$F$121/Inputs!$F$122)*BJ36/1000000</f>
        <v>113.882163597378</v>
      </c>
      <c r="BK46" s="11" t="n">
        <f aca="false">BK33*BK35*(1000*Inputs!$F$121/Inputs!$F$122)*BK36/1000000</f>
        <v>118.351865898643</v>
      </c>
      <c r="BL46" s="11" t="n">
        <f aca="false">BL33*BL35*(1000*Inputs!$F$121/Inputs!$F$122)*BL36/1000000</f>
        <v>122.767544113567</v>
      </c>
      <c r="BM46" s="11" t="n">
        <f aca="false">BM33*BM35*(1000*Inputs!$F$121/Inputs!$F$122)*BM36/1000000</f>
        <v>83.4617032271672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149.358133514926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0.838513661759191</v>
      </c>
      <c r="P48" s="11" t="n">
        <f aca="false">P37*Inputs!$F$145*(1+Inputs!$F$146/100)^(Time!P21-2018)/1000000</f>
        <v>2.51528867020572</v>
      </c>
      <c r="Q48" s="11" t="n">
        <f aca="false">Q37*Inputs!$F$145*(1+Inputs!$F$146/100)^(Time!Q21-2018)/1000000</f>
        <v>2.54446786753426</v>
      </c>
      <c r="R48" s="11" t="n">
        <f aca="false">R37*Inputs!$F$145*(1+Inputs!$F$146/100)^(Time!R21-2018)/1000000</f>
        <v>2.52775509507598</v>
      </c>
      <c r="S48" s="11" t="n">
        <f aca="false">S37*Inputs!$F$145*(1+Inputs!$F$146/100)^(Time!S21-2018)/1000000</f>
        <v>2.57356270557687</v>
      </c>
      <c r="T48" s="11" t="n">
        <f aca="false">T37*Inputs!$F$145*(1+Inputs!$F$146/100)^(Time!T21-2018)/1000000</f>
        <v>2.58973185273379</v>
      </c>
      <c r="U48" s="11" t="n">
        <f aca="false">U37*Inputs!$F$145*(1+Inputs!$F$146/100)^(Time!U21-2018)/1000000</f>
        <v>2.598283825443</v>
      </c>
      <c r="V48" s="11" t="n">
        <f aca="false">V37*Inputs!$F$145*(1+Inputs!$F$146/100)^(Time!V21-2018)/1000000</f>
        <v>2.53811462373443</v>
      </c>
      <c r="W48" s="11" t="n">
        <f aca="false">W37*Inputs!$F$145*(1+Inputs!$F$146/100)^(Time!W21-2018)/1000000</f>
        <v>2.6061081115351</v>
      </c>
      <c r="X48" s="11" t="n">
        <f aca="false">X37*Inputs!$F$145*(1+Inputs!$F$146/100)^(Time!X21-2018)/1000000</f>
        <v>2.66633883453672</v>
      </c>
      <c r="Y48" s="11" t="n">
        <f aca="false">Y37*Inputs!$F$145*(1+Inputs!$F$146/100)^(Time!Y21-2018)/1000000</f>
        <v>2.69725037064659</v>
      </c>
      <c r="Z48" s="11" t="n">
        <f aca="false">Z37*Inputs!$F$145*(1+Inputs!$F$146/100)^(Time!Z21-2018)/1000000</f>
        <v>2.67951424812644</v>
      </c>
      <c r="AA48" s="11" t="n">
        <f aca="false">AA37*Inputs!$F$145*(1+Inputs!$F$146/100)^(Time!AA21-2018)/1000000</f>
        <v>2.72805181521351</v>
      </c>
      <c r="AB48" s="11" t="n">
        <f aca="false">AB37*Inputs!$F$145*(1+Inputs!$F$146/100)^(Time!AB21-2018)/1000000</f>
        <v>2.74517124758687</v>
      </c>
      <c r="AC48" s="11" t="n">
        <f aca="false">AC37*Inputs!$F$145*(1+Inputs!$F$146/100)^(Time!AC21-2018)/1000000</f>
        <v>2.73540586166673</v>
      </c>
      <c r="AD48" s="11" t="n">
        <f aca="false">AD37*Inputs!$F$145*(1+Inputs!$F$146/100)^(Time!AD21-2018)/1000000</f>
        <v>2.63399446058084</v>
      </c>
      <c r="AE48" s="11" t="n">
        <f aca="false">AE37*Inputs!$F$145*(1+Inputs!$F$146/100)^(Time!AE21-2018)/1000000</f>
        <v>2.72429668025103</v>
      </c>
      <c r="AF48" s="11" t="n">
        <f aca="false">AF37*Inputs!$F$145*(1+Inputs!$F$146/100)^(Time!AF21-2018)/1000000</f>
        <v>2.82629243764537</v>
      </c>
      <c r="AG48" s="11" t="n">
        <f aca="false">AG37*Inputs!$F$145*(1+Inputs!$F$146/100)^(Time!AG21-2018)/1000000</f>
        <v>2.85903712508258</v>
      </c>
      <c r="AH48" s="11" t="n">
        <f aca="false">AH37*Inputs!$F$145*(1+Inputs!$F$146/100)^(Time!AH21-2018)/1000000</f>
        <v>2.8402160511737</v>
      </c>
      <c r="AI48" s="11" t="n">
        <f aca="false">AI37*Inputs!$F$145*(1+Inputs!$F$146/100)^(Time!AI21-2018)/1000000</f>
        <v>2.89164312749837</v>
      </c>
      <c r="AJ48" s="11" t="n">
        <f aca="false">AJ37*Inputs!$F$145*(1+Inputs!$F$146/100)^(Time!AJ21-2018)/1000000</f>
        <v>2.90976751049506</v>
      </c>
      <c r="AK48" s="11" t="n">
        <f aca="false">AK37*Inputs!$F$145*(1+Inputs!$F$146/100)^(Time!AK21-2018)/1000000</f>
        <v>2.91933296608966</v>
      </c>
      <c r="AL48" s="11" t="n">
        <f aca="false">AL37*Inputs!$F$145*(1+Inputs!$F$146/100)^(Time!AL21-2018)/1000000</f>
        <v>2.85168676314795</v>
      </c>
      <c r="AM48" s="11" t="n">
        <f aca="false">AM37*Inputs!$F$145*(1+Inputs!$F$146/100)^(Time!AM21-2018)/1000000</f>
        <v>2.92803699682857</v>
      </c>
      <c r="AN48" s="11" t="n">
        <f aca="false">AN37*Inputs!$F$145*(1+Inputs!$F$146/100)^(Time!AN21-2018)/1000000</f>
        <v>2.99566337937056</v>
      </c>
      <c r="AO48" s="11" t="n">
        <f aca="false">AO37*Inputs!$F$145*(1+Inputs!$F$146/100)^(Time!AO21-2018)/1000000</f>
        <v>3.03034776228846</v>
      </c>
      <c r="AP48" s="11" t="n">
        <f aca="false">AP37*Inputs!$F$145*(1+Inputs!$F$146/100)^(Time!AP21-2018)/1000000</f>
        <v>3.01037649395203</v>
      </c>
      <c r="AQ48" s="11" t="n">
        <f aca="false">AQ37*Inputs!$F$145*(1+Inputs!$F$146/100)^(Time!AQ21-2018)/1000000</f>
        <v>3.06486174995192</v>
      </c>
      <c r="AR48" s="11" t="n">
        <f aca="false">AR37*Inputs!$F$145*(1+Inputs!$F$146/100)^(Time!AR21-2018)/1000000</f>
        <v>3.08404881361457</v>
      </c>
      <c r="AS48" s="11" t="n">
        <f aca="false">AS37*Inputs!$F$145*(1+Inputs!$F$146/100)^(Time!AS21-2018)/1000000</f>
        <v>3.07303211807588</v>
      </c>
      <c r="AT48" s="11" t="n">
        <f aca="false">AT37*Inputs!$F$145*(1+Inputs!$F$146/100)^(Time!AT21-2018)/1000000</f>
        <v>2.9590595442396</v>
      </c>
      <c r="AU48" s="11" t="n">
        <f aca="false">AU37*Inputs!$F$145*(1+Inputs!$F$146/100)^(Time!AU21-2018)/1000000</f>
        <v>3.0604604113216</v>
      </c>
      <c r="AV48" s="11" t="n">
        <f aca="false">AV37*Inputs!$F$145*(1+Inputs!$F$146/100)^(Time!AV21-2018)/1000000</f>
        <v>3.17499448859009</v>
      </c>
      <c r="AW48" s="11" t="n">
        <f aca="false">AW37*Inputs!$F$145*(1+Inputs!$F$146/100)^(Time!AW21-2018)/1000000</f>
        <v>3.2117311593406</v>
      </c>
      <c r="AX48" s="11" t="n">
        <f aca="false">AX37*Inputs!$F$145*(1+Inputs!$F$146/100)^(Time!AX21-2018)/1000000</f>
        <v>3.19054060083845</v>
      </c>
      <c r="AY48" s="11" t="n">
        <f aca="false">AY37*Inputs!$F$145*(1+Inputs!$F$146/100)^(Time!AY21-2018)/1000000</f>
        <v>3.24826233165049</v>
      </c>
      <c r="AZ48" s="11" t="n">
        <f aca="false">AZ37*Inputs!$F$145*(1+Inputs!$F$146/100)^(Time!AZ21-2018)/1000000</f>
        <v>3.26857303687923</v>
      </c>
      <c r="BA48" s="11" t="n">
        <f aca="false">BA37*Inputs!$F$145*(1+Inputs!$F$146/100)^(Time!BA21-2018)/1000000</f>
        <v>3.27926891673101</v>
      </c>
      <c r="BB48" s="11" t="n">
        <f aca="false">BB37*Inputs!$F$145*(1+Inputs!$F$146/100)^(Time!BB21-2018)/1000000</f>
        <v>3.20323436369965</v>
      </c>
      <c r="BC48" s="11" t="n">
        <f aca="false">BC37*Inputs!$F$145*(1+Inputs!$F$146/100)^(Time!BC21-2018)/1000000</f>
        <v>3.28894753484414</v>
      </c>
      <c r="BD48" s="11" t="n">
        <f aca="false">BD37*Inputs!$F$145*(1+Inputs!$F$146/100)^(Time!BD21-2018)/1000000</f>
        <v>3.36485910079951</v>
      </c>
      <c r="BE48" s="11" t="n">
        <f aca="false">BE37*Inputs!$F$145*(1+Inputs!$F$146/100)^(Time!BE21-2018)/1000000</f>
        <v>3.40376703335304</v>
      </c>
      <c r="BF48" s="11" t="n">
        <f aca="false">BF37*Inputs!$F$145*(1+Inputs!$F$146/100)^(Time!BF21-2018)/1000000</f>
        <v>3.38128401332416</v>
      </c>
      <c r="BG48" s="11" t="n">
        <f aca="false">BG37*Inputs!$F$145*(1+Inputs!$F$146/100)^(Time!BG21-2018)/1000000</f>
        <v>3.44243067288387</v>
      </c>
      <c r="BH48" s="11" t="n">
        <f aca="false">BH37*Inputs!$F$145*(1+Inputs!$F$146/100)^(Time!BH21-2018)/1000000</f>
        <v>3.46392938626954</v>
      </c>
      <c r="BI48" s="11" t="n">
        <f aca="false">BI37*Inputs!$F$145*(1+Inputs!$F$146/100)^(Time!BI21-2018)/1000000</f>
        <v>3.45150379892783</v>
      </c>
      <c r="BJ48" s="11" t="n">
        <f aca="false">BJ37*Inputs!$F$145*(1+Inputs!$F$146/100)^(Time!BJ21-2018)/1000000</f>
        <v>3.32344447055417</v>
      </c>
      <c r="BK48" s="11" t="n">
        <f aca="false">BK37*Inputs!$F$145*(1+Inputs!$F$146/100)^(Time!BK21-2018)/1000000</f>
        <v>3.43728031430973</v>
      </c>
      <c r="BL48" s="11" t="n">
        <f aca="false">BL37*Inputs!$F$145*(1+Inputs!$F$146/100)^(Time!BL21-2018)/1000000</f>
        <v>3.56586271805649</v>
      </c>
      <c r="BM48" s="11" t="n">
        <f aca="false">BM37*Inputs!$F$145*(1+Inputs!$F$146/100)^(Time!BM21-2018)/1000000</f>
        <v>2.41250639089117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3820.61994930087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22.5951464628854</v>
      </c>
      <c r="P50" s="11" t="n">
        <f aca="false">P43+P45</f>
        <v>68.079503798669</v>
      </c>
      <c r="Q50" s="11" t="n">
        <f aca="false">Q43+Q45</f>
        <v>68.3501693814498</v>
      </c>
      <c r="R50" s="11" t="n">
        <f aca="false">R43+R45</f>
        <v>68.598604560017</v>
      </c>
      <c r="S50" s="11" t="n">
        <f aca="false">S43+S45</f>
        <v>68.9246731909329</v>
      </c>
      <c r="T50" s="11" t="n">
        <f aca="false">T43+T45</f>
        <v>69.2798873531401</v>
      </c>
      <c r="U50" s="11" t="n">
        <f aca="false">U43+U45</f>
        <v>69.4968228908038</v>
      </c>
      <c r="V50" s="11" t="n">
        <f aca="false">V43+V45</f>
        <v>69.623027400631</v>
      </c>
      <c r="W50" s="11" t="n">
        <f aca="false">W43+W45</f>
        <v>70.0281619082129</v>
      </c>
      <c r="X50" s="11" t="n">
        <f aca="false">X43+X45</f>
        <v>70.5326048439577</v>
      </c>
      <c r="Y50" s="11" t="n">
        <f aca="false">Y43+Y45</f>
        <v>70.82750155221</v>
      </c>
      <c r="Z50" s="11" t="n">
        <f aca="false">Z43+Z45</f>
        <v>71.098306934729</v>
      </c>
      <c r="AA50" s="11" t="n">
        <f aca="false">AA43+AA45</f>
        <v>71.4533121211936</v>
      </c>
      <c r="AB50" s="11" t="n">
        <f aca="false">AB43+AB45</f>
        <v>71.8399369662758</v>
      </c>
      <c r="AC50" s="11" t="n">
        <f aca="false">AC43+AC45</f>
        <v>72.0178800959671</v>
      </c>
      <c r="AD50" s="11" t="n">
        <f aca="false">AD43+AD45</f>
        <v>71.1164379884014</v>
      </c>
      <c r="AE50" s="11" t="n">
        <f aca="false">AE43+AE45</f>
        <v>72.5358543630027</v>
      </c>
      <c r="AF50" s="11" t="n">
        <f aca="false">AF43+AF45</f>
        <v>73.2042637643675</v>
      </c>
      <c r="AG50" s="11" t="n">
        <f aca="false">AG43+AG45</f>
        <v>73.5255603229505</v>
      </c>
      <c r="AH50" s="11" t="n">
        <f aca="false">AH43+AH45</f>
        <v>73.8207500193711</v>
      </c>
      <c r="AI50" s="11" t="n">
        <f aca="false">AI43+AI45</f>
        <v>74.2072581174783</v>
      </c>
      <c r="AJ50" s="11" t="n">
        <f aca="false">AJ43+AJ45</f>
        <v>74.6280689574181</v>
      </c>
      <c r="AK50" s="11" t="n">
        <f aca="false">AK43+AK45</f>
        <v>74.8863213394096</v>
      </c>
      <c r="AL50" s="11" t="n">
        <f aca="false">AL43+AL45</f>
        <v>75.0379271213777</v>
      </c>
      <c r="AM50" s="11" t="n">
        <f aca="false">AM43+AM45</f>
        <v>75.5175366378541</v>
      </c>
      <c r="AN50" s="11" t="n">
        <f aca="false">AN43+AN45</f>
        <v>76.1139444535804</v>
      </c>
      <c r="AO50" s="11" t="n">
        <f aca="false">AO43+AO45</f>
        <v>76.4640036411205</v>
      </c>
      <c r="AP50" s="11" t="n">
        <f aca="false">AP43+AP45</f>
        <v>76.7857730839758</v>
      </c>
      <c r="AQ50" s="11" t="n">
        <f aca="false">AQ43+AQ45</f>
        <v>77.206577910042</v>
      </c>
      <c r="AR50" s="11" t="n">
        <f aca="false">AR43+AR45</f>
        <v>77.6645950604824</v>
      </c>
      <c r="AS50" s="11" t="n">
        <f aca="false">AS43+AS45</f>
        <v>77.8772936788802</v>
      </c>
      <c r="AT50" s="11" t="n">
        <f aca="false">AT43+AT45</f>
        <v>76.9190852280334</v>
      </c>
      <c r="AU50" s="11" t="n">
        <f aca="false">AU43+AU45</f>
        <v>78.4933818786806</v>
      </c>
      <c r="AV50" s="11" t="n">
        <f aca="false">AV43+AV45</f>
        <v>79.2828434007312</v>
      </c>
      <c r="AW50" s="11" t="n">
        <f aca="false">AW43+AW45</f>
        <v>79.6642394085416</v>
      </c>
      <c r="AX50" s="11" t="n">
        <f aca="false">AX43+AX45</f>
        <v>80.0149816750168</v>
      </c>
      <c r="AY50" s="11" t="n">
        <f aca="false">AY43+AY45</f>
        <v>80.4731246519855</v>
      </c>
      <c r="AZ50" s="11" t="n">
        <f aca="false">AZ43+AZ45</f>
        <v>80.9716350413326</v>
      </c>
      <c r="BA50" s="11" t="n">
        <f aca="false">BA43+BA45</f>
        <v>81.2790733223785</v>
      </c>
      <c r="BB50" s="11" t="n">
        <f aca="false">BB43+BB45</f>
        <v>81.4611773429948</v>
      </c>
      <c r="BC50" s="11" t="n">
        <f aca="false">BC43+BC45</f>
        <v>82.028936179926</v>
      </c>
      <c r="BD50" s="11" t="n">
        <f aca="false">BD43+BD45</f>
        <v>82.7340438463278</v>
      </c>
      <c r="BE50" s="11" t="n">
        <f aca="false">BE43+BE45</f>
        <v>83.1495811897239</v>
      </c>
      <c r="BF50" s="11" t="n">
        <f aca="false">BF43+BF45</f>
        <v>83.5319047928278</v>
      </c>
      <c r="BG50" s="11" t="n">
        <f aca="false">BG43+BG45</f>
        <v>84.03069687978</v>
      </c>
      <c r="BH50" s="11" t="n">
        <f aca="false">BH43+BH45</f>
        <v>84.5732775623593</v>
      </c>
      <c r="BI50" s="11" t="n">
        <f aca="false">BI43+BI45</f>
        <v>84.8275153155818</v>
      </c>
      <c r="BJ50" s="11" t="n">
        <f aca="false">BJ43+BJ45</f>
        <v>83.8023640907518</v>
      </c>
      <c r="BK50" s="11" t="n">
        <f aca="false">BK43+BK45</f>
        <v>85.5603017580846</v>
      </c>
      <c r="BL50" s="11" t="n">
        <f aca="false">BL43+BL45</f>
        <v>86.492683647295</v>
      </c>
      <c r="BM50" s="11" t="n">
        <f aca="false">BM43+BM45</f>
        <v>57.991396167726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9547.15095300091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53.0291189920422</v>
      </c>
      <c r="P51" s="11" t="n">
        <f aca="false">P50+P46+P47+P48+P49</f>
        <v>159.430822576026</v>
      </c>
      <c r="Q51" s="11" t="n">
        <f aca="false">Q50+Q46+Q47+Q48+Q49</f>
        <v>160.987336035979</v>
      </c>
      <c r="R51" s="11" t="n">
        <f aca="false">R50+R46+R47+R48+R49</f>
        <v>160.885514956792</v>
      </c>
      <c r="S51" s="11" t="n">
        <f aca="false">S50+S46+S47+S48+S49</f>
        <v>163.037771976789</v>
      </c>
      <c r="T51" s="11" t="n">
        <f aca="false">T50+T46+T47+T48+T49</f>
        <v>164.096345502708</v>
      </c>
      <c r="U51" s="11" t="n">
        <f aca="false">U50+U46+U47+U48+U49</f>
        <v>165.023427611087</v>
      </c>
      <c r="V51" s="11" t="n">
        <f aca="false">V50+V46+V47+V48+V49</f>
        <v>163.336201154148</v>
      </c>
      <c r="W51" s="11" t="n">
        <f aca="false">W50+W46+W47+W48+W49</f>
        <v>166.302884830713</v>
      </c>
      <c r="X51" s="11" t="n">
        <f aca="false">X50+X46+X47+X48+X49</f>
        <v>168.94552701215</v>
      </c>
      <c r="Y51" s="11" t="n">
        <f aca="false">Y50+Y46+Y47+Y48+Y49</f>
        <v>170.628615743366</v>
      </c>
      <c r="Z51" s="11" t="n">
        <f aca="false">Z50+Z46+Z47+Z48+Z49</f>
        <v>170.517237254907</v>
      </c>
      <c r="AA51" s="11" t="n">
        <f aca="false">AA50+AA46+AA47+AA48+AA49</f>
        <v>172.843762734635</v>
      </c>
      <c r="AB51" s="11" t="n">
        <f aca="false">AB50+AB46+AB47+AB48+AB49</f>
        <v>173.98560690594</v>
      </c>
      <c r="AC51" s="11" t="n">
        <f aca="false">AC50+AC46+AC47+AC48+AC49</f>
        <v>174.312466485373</v>
      </c>
      <c r="AD51" s="11" t="n">
        <f aca="false">AD50+AD46+AD47+AD48+AD49</f>
        <v>170.217731527598</v>
      </c>
      <c r="AE51" s="11" t="n">
        <f aca="false">AE50+AE46+AE47+AE48+AE49</f>
        <v>174.994731681255</v>
      </c>
      <c r="AF51" s="11" t="n">
        <f aca="false">AF50+AF46+AF47+AF48+AF49</f>
        <v>179.224110402458</v>
      </c>
      <c r="AG51" s="11" t="n">
        <f aca="false">AG50+AG46+AG47+AG48+AG49</f>
        <v>181.044011381867</v>
      </c>
      <c r="AH51" s="11" t="n">
        <f aca="false">AH50+AH46+AH47+AH48+AH49</f>
        <v>180.922312372038</v>
      </c>
      <c r="AI51" s="11" t="n">
        <f aca="false">AI50+AI46+AI47+AI48+AI49</f>
        <v>183.437134010001</v>
      </c>
      <c r="AJ51" s="11" t="n">
        <f aca="false">AJ50+AJ46+AJ47+AJ48+AJ49</f>
        <v>184.6688593779</v>
      </c>
      <c r="AK51" s="11" t="n">
        <f aca="false">AK50+AK46+AK47+AK48+AK49</f>
        <v>185.752151088592</v>
      </c>
      <c r="AL51" s="11" t="n">
        <f aca="false">AL50+AL46+AL47+AL48+AL49</f>
        <v>183.783972180243</v>
      </c>
      <c r="AM51" s="11" t="n">
        <f aca="false">AM50+AM46+AM47+AM48+AM49</f>
        <v>187.248800230028</v>
      </c>
      <c r="AN51" s="11" t="n">
        <f aca="false">AN50+AN46+AN47+AN48+AN49</f>
        <v>190.327984049201</v>
      </c>
      <c r="AO51" s="11" t="n">
        <f aca="false">AO50+AO46+AO47+AO48+AO49</f>
        <v>192.295757435292</v>
      </c>
      <c r="AP51" s="11" t="n">
        <f aca="false">AP50+AP46+AP47+AP48+AP49</f>
        <v>192.162922288643</v>
      </c>
      <c r="AQ51" s="11" t="n">
        <f aca="false">AQ50+AQ46+AQ47+AQ48+AQ49</f>
        <v>194.881189704089</v>
      </c>
      <c r="AR51" s="11" t="n">
        <f aca="false">AR50+AR46+AR47+AR48+AR49</f>
        <v>196.209935116184</v>
      </c>
      <c r="AS51" s="11" t="n">
        <f aca="false">AS50+AS46+AS47+AS48+AS49</f>
        <v>196.593399514698</v>
      </c>
      <c r="AT51" s="11" t="n">
        <f aca="false">AT50+AT46+AT47+AT48+AT49</f>
        <v>191.90721358887</v>
      </c>
      <c r="AU51" s="11" t="n">
        <f aca="false">AU50+AU46+AU47+AU48+AU49</f>
        <v>197.394080113427</v>
      </c>
      <c r="AV51" s="11" t="n">
        <f aca="false">AV50+AV46+AV47+AV48+AV49</f>
        <v>202.32349638093</v>
      </c>
      <c r="AW51" s="11" t="n">
        <f aca="false">AW50+AW46+AW47+AW48+AW49</f>
        <v>204.451091301313</v>
      </c>
      <c r="AX51" s="11" t="n">
        <f aca="false">AX50+AX46+AX47+AX48+AX49</f>
        <v>204.30624902502</v>
      </c>
      <c r="AY51" s="11" t="n">
        <f aca="false">AY50+AY46+AY47+AY48+AY49</f>
        <v>207.244322850581</v>
      </c>
      <c r="AZ51" s="11" t="n">
        <f aca="false">AZ50+AZ46+AZ47+AZ48+AZ49</f>
        <v>208.677797863086</v>
      </c>
      <c r="BA51" s="11" t="n">
        <f aca="false">BA50+BA46+BA47+BA48+BA49</f>
        <v>209.943626032217</v>
      </c>
      <c r="BB51" s="11" t="n">
        <f aca="false">BB50+BB46+BB47+BB48+BB49</f>
        <v>207.648492493168</v>
      </c>
      <c r="BC51" s="11" t="n">
        <f aca="false">BC50+BC46+BC47+BC48+BC49</f>
        <v>211.694545716983</v>
      </c>
      <c r="BD51" s="11" t="n">
        <f aca="false">BD50+BD46+BD47+BD48+BD49</f>
        <v>215.282329430548</v>
      </c>
      <c r="BE51" s="11" t="n">
        <f aca="false">BE50+BE46+BE47+BE48+BE49</f>
        <v>217.582654992075</v>
      </c>
      <c r="BF51" s="11" t="n">
        <f aca="false">BF50+BF46+BF47+BF48+BF49</f>
        <v>217.424876268673</v>
      </c>
      <c r="BG51" s="11" t="n">
        <f aca="false">BG50+BG46+BG47+BG48+BG49</f>
        <v>220.600424261363</v>
      </c>
      <c r="BH51" s="11" t="n">
        <f aca="false">BH50+BH46+BH47+BH48+BH49</f>
        <v>222.146954965709</v>
      </c>
      <c r="BI51" s="11" t="n">
        <f aca="false">BI50+BI46+BI47+BI48+BI49</f>
        <v>222.596972384969</v>
      </c>
      <c r="BJ51" s="11" t="n">
        <f aca="false">BJ50+BJ46+BJ47+BJ48+BJ49</f>
        <v>217.220619064439</v>
      </c>
      <c r="BK51" s="11" t="n">
        <f aca="false">BK50+BK46+BK47+BK48+BK49</f>
        <v>223.536982896531</v>
      </c>
      <c r="BL51" s="11" t="n">
        <f aca="false">BL50+BL46+BL47+BL48+BL49</f>
        <v>229.28192708826</v>
      </c>
      <c r="BM51" s="11" t="n">
        <f aca="false">BM50+BM46+BM47+BM48+BM49</f>
        <v>154.758654150012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21.0134097211548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0.12427330554587</v>
      </c>
      <c r="P63" s="11" t="n">
        <f aca="false">Inputs!$F$158/100*P50</f>
        <v>0.374437270892679</v>
      </c>
      <c r="Q63" s="11" t="n">
        <f aca="false">Inputs!$F$158/100*Q50</f>
        <v>0.375925931597974</v>
      </c>
      <c r="R63" s="11" t="n">
        <f aca="false">Inputs!$F$158/100*R50</f>
        <v>0.377292325080093</v>
      </c>
      <c r="S63" s="11" t="n">
        <f aca="false">Inputs!$F$158/100*S50</f>
        <v>0.379085702550131</v>
      </c>
      <c r="T63" s="11" t="n">
        <f aca="false">Inputs!$F$158/100*T50</f>
        <v>0.381039380442271</v>
      </c>
      <c r="U63" s="11" t="n">
        <f aca="false">Inputs!$F$158/100*U50</f>
        <v>0.382232525899421</v>
      </c>
      <c r="V63" s="11" t="n">
        <f aca="false">Inputs!$F$158/100*V50</f>
        <v>0.38292665070347</v>
      </c>
      <c r="W63" s="11" t="n">
        <f aca="false">Inputs!$F$158/100*W50</f>
        <v>0.385154890495171</v>
      </c>
      <c r="X63" s="11" t="n">
        <f aca="false">Inputs!$F$158/100*X50</f>
        <v>0.387929326641767</v>
      </c>
      <c r="Y63" s="11" t="n">
        <f aca="false">Inputs!$F$158/100*Y50</f>
        <v>0.389551258537155</v>
      </c>
      <c r="Z63" s="11" t="n">
        <f aca="false">Inputs!$F$158/100*Z50</f>
        <v>0.39104068814101</v>
      </c>
      <c r="AA63" s="11" t="n">
        <f aca="false">Inputs!$F$158/100*AA50</f>
        <v>0.392993216666565</v>
      </c>
      <c r="AB63" s="11" t="n">
        <f aca="false">Inputs!$F$158/100*AB50</f>
        <v>0.395119653314517</v>
      </c>
      <c r="AC63" s="11" t="n">
        <f aca="false">Inputs!$F$158/100*AC50</f>
        <v>0.396098340527819</v>
      </c>
      <c r="AD63" s="11" t="n">
        <f aca="false">Inputs!$F$158/100*AD50</f>
        <v>0.391140408936208</v>
      </c>
      <c r="AE63" s="11" t="n">
        <f aca="false">Inputs!$F$158/100*AE50</f>
        <v>0.398947198996515</v>
      </c>
      <c r="AF63" s="11" t="n">
        <f aca="false">Inputs!$F$158/100*AF50</f>
        <v>0.402623450704021</v>
      </c>
      <c r="AG63" s="11" t="n">
        <f aca="false">Inputs!$F$158/100*AG50</f>
        <v>0.404390581776228</v>
      </c>
      <c r="AH63" s="11" t="n">
        <f aca="false">Inputs!$F$158/100*AH50</f>
        <v>0.406014125106541</v>
      </c>
      <c r="AI63" s="11" t="n">
        <f aca="false">Inputs!$F$158/100*AI50</f>
        <v>0.40813991964613</v>
      </c>
      <c r="AJ63" s="11" t="n">
        <f aca="false">Inputs!$F$158/100*AJ50</f>
        <v>0.410454379265799</v>
      </c>
      <c r="AK63" s="11" t="n">
        <f aca="false">Inputs!$F$158/100*AK50</f>
        <v>0.411874767366753</v>
      </c>
      <c r="AL63" s="11" t="n">
        <f aca="false">Inputs!$F$158/100*AL50</f>
        <v>0.412708599167577</v>
      </c>
      <c r="AM63" s="11" t="n">
        <f aca="false">Inputs!$F$158/100*AM50</f>
        <v>0.415346451508198</v>
      </c>
      <c r="AN63" s="11" t="n">
        <f aca="false">Inputs!$F$158/100*AN50</f>
        <v>0.418626694494692</v>
      </c>
      <c r="AO63" s="11" t="n">
        <f aca="false">Inputs!$F$158/100*AO50</f>
        <v>0.420552020026163</v>
      </c>
      <c r="AP63" s="11" t="n">
        <f aca="false">Inputs!$F$158/100*AP50</f>
        <v>0.422321751961867</v>
      </c>
      <c r="AQ63" s="11" t="n">
        <f aca="false">Inputs!$F$158/100*AQ50</f>
        <v>0.424636178505231</v>
      </c>
      <c r="AR63" s="11" t="n">
        <f aca="false">Inputs!$F$158/100*AR50</f>
        <v>0.427155272832653</v>
      </c>
      <c r="AS63" s="11" t="n">
        <f aca="false">Inputs!$F$158/100*AS50</f>
        <v>0.428325115233841</v>
      </c>
      <c r="AT63" s="11" t="n">
        <f aca="false">Inputs!$F$158/100*AT50</f>
        <v>0.423054968754184</v>
      </c>
      <c r="AU63" s="11" t="n">
        <f aca="false">Inputs!$F$158/100*AU50</f>
        <v>0.431713600332744</v>
      </c>
      <c r="AV63" s="11" t="n">
        <f aca="false">Inputs!$F$158/100*AV50</f>
        <v>0.436055638704022</v>
      </c>
      <c r="AW63" s="11" t="n">
        <f aca="false">Inputs!$F$158/100*AW50</f>
        <v>0.438153316746979</v>
      </c>
      <c r="AX63" s="11" t="n">
        <f aca="false">Inputs!$F$158/100*AX50</f>
        <v>0.440082399212593</v>
      </c>
      <c r="AY63" s="11" t="n">
        <f aca="false">Inputs!$F$158/100*AY50</f>
        <v>0.44260218558592</v>
      </c>
      <c r="AZ63" s="11" t="n">
        <f aca="false">Inputs!$F$158/100*AZ50</f>
        <v>0.445343992727329</v>
      </c>
      <c r="BA63" s="11" t="n">
        <f aca="false">Inputs!$F$158/100*BA50</f>
        <v>0.447034903273082</v>
      </c>
      <c r="BB63" s="11" t="n">
        <f aca="false">Inputs!$F$158/100*BB50</f>
        <v>0.448036475386472</v>
      </c>
      <c r="BC63" s="11" t="n">
        <f aca="false">Inputs!$F$158/100*BC50</f>
        <v>0.451159148989593</v>
      </c>
      <c r="BD63" s="11" t="n">
        <f aca="false">Inputs!$F$158/100*BD50</f>
        <v>0.455037241154803</v>
      </c>
      <c r="BE63" s="11" t="n">
        <f aca="false">Inputs!$F$158/100*BE50</f>
        <v>0.457322696543481</v>
      </c>
      <c r="BF63" s="11" t="n">
        <f aca="false">Inputs!$F$158/100*BF50</f>
        <v>0.459425476360553</v>
      </c>
      <c r="BG63" s="11" t="n">
        <f aca="false">Inputs!$F$158/100*BG50</f>
        <v>0.46216883283879</v>
      </c>
      <c r="BH63" s="11" t="n">
        <f aca="false">Inputs!$F$158/100*BH50</f>
        <v>0.465153026592976</v>
      </c>
      <c r="BI63" s="11" t="n">
        <f aca="false">Inputs!$F$158/100*BI50</f>
        <v>0.4665513342357</v>
      </c>
      <c r="BJ63" s="11" t="n">
        <f aca="false">Inputs!$F$158/100*BJ50</f>
        <v>0.460913002499135</v>
      </c>
      <c r="BK63" s="11" t="n">
        <f aca="false">Inputs!$F$158/100*BK50</f>
        <v>0.470581659669465</v>
      </c>
      <c r="BL63" s="11" t="n">
        <f aca="false">Inputs!$F$158/100*BL50</f>
        <v>0.475709760060123</v>
      </c>
      <c r="BM63" s="11" t="n">
        <f aca="false">Inputs!$F$158/100*BM50</f>
        <v>0.318952678922493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134.870298707286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2.13240346537019</v>
      </c>
      <c r="R64" s="11" t="n">
        <f aca="false">Inputs!$F$159*(0.7*R19+0.3*R23*Inputs!$F$150/R11)*R33/1000000</f>
        <v>2.14029008085334</v>
      </c>
      <c r="S64" s="11" t="n">
        <f aca="false">Inputs!$F$159*(0.7*S19+0.3*S23*Inputs!$F$150/S11)*S33/1000000</f>
        <v>2.16906091034705</v>
      </c>
      <c r="T64" s="11" t="n">
        <f aca="false">Inputs!$F$159*(0.7*T19+0.3*T23*Inputs!$F$150/T11)*T33/1000000</f>
        <v>2.20524750199865</v>
      </c>
      <c r="U64" s="11" t="n">
        <f aca="false">Inputs!$F$159*(0.7*U19+0.3*U23*Inputs!$F$150/U11)*U33/1000000</f>
        <v>2.20236243216415</v>
      </c>
      <c r="V64" s="11" t="n">
        <f aca="false">Inputs!$F$159*(0.7*V19+0.3*V23*Inputs!$F$150/V11)*V33/1000000</f>
        <v>2.17359831865647</v>
      </c>
      <c r="W64" s="11" t="n">
        <f aca="false">Inputs!$F$159*(0.7*W19+0.3*W23*Inputs!$F$150/W11)*W33/1000000</f>
        <v>2.22157232477123</v>
      </c>
      <c r="X64" s="11" t="n">
        <f aca="false">Inputs!$F$159*(0.7*X19+0.3*X23*Inputs!$F$150/X11)*X33/1000000</f>
        <v>2.29641055466452</v>
      </c>
      <c r="Y64" s="11" t="n">
        <f aca="false">Inputs!$F$159*(0.7*Y19+0.3*Y23*Inputs!$F$150/Y11)*Y33/1000000</f>
        <v>2.31236154136506</v>
      </c>
      <c r="Z64" s="11" t="n">
        <f aca="false">Inputs!$F$159*(0.7*Z19+0.3*Z23*Inputs!$F$150/Z11)*Z33/1000000</f>
        <v>2.32090318103218</v>
      </c>
      <c r="AA64" s="11" t="n">
        <f aca="false">Inputs!$F$159*(0.7*AA19+0.3*AA23*Inputs!$F$150/AA11)*AA33/1000000</f>
        <v>2.35209119851441</v>
      </c>
      <c r="AB64" s="11" t="n">
        <f aca="false">Inputs!$F$159*(0.7*AB19+0.3*AB23*Inputs!$F$150/AB11)*AB33/1000000</f>
        <v>2.39132040014205</v>
      </c>
      <c r="AC64" s="11" t="n">
        <f aca="false">Inputs!$F$159*(0.7*AC19+0.3*AC23*Inputs!$F$150/AC11)*AC33/1000000</f>
        <v>2.3718706305635</v>
      </c>
      <c r="AD64" s="11" t="n">
        <f aca="false">Inputs!$F$159*(0.7*AD19+0.3*AD23*Inputs!$F$150/AD11)*AD33/1000000</f>
        <v>2.30755028977292</v>
      </c>
      <c r="AE64" s="11" t="n">
        <f aca="false">Inputs!$F$159*(0.7*AE19+0.3*AE23*Inputs!$F$150/AE11)*AE33/1000000</f>
        <v>2.37570177916638</v>
      </c>
      <c r="AF64" s="11" t="n">
        <f aca="false">Inputs!$F$159*(0.7*AF19+0.3*AF23*Inputs!$F$150/AF11)*AF33/1000000</f>
        <v>2.49012998725189</v>
      </c>
      <c r="AG64" s="11" t="n">
        <f aca="false">Inputs!$F$159*(0.7*AG19+0.3*AG23*Inputs!$F$150/AG11)*AG33/1000000</f>
        <v>2.50741504656912</v>
      </c>
      <c r="AH64" s="11" t="n">
        <f aca="false">Inputs!$F$159*(0.7*AH19+0.3*AH23*Inputs!$F$150/AH11)*AH33/1000000</f>
        <v>2.51666562240006</v>
      </c>
      <c r="AI64" s="11" t="n">
        <f aca="false">Inputs!$F$159*(0.7*AI19+0.3*AI23*Inputs!$F$150/AI11)*AI33/1000000</f>
        <v>2.55047252613567</v>
      </c>
      <c r="AJ64" s="11" t="n">
        <f aca="false">Inputs!$F$159*(0.7*AJ19+0.3*AJ23*Inputs!$F$150/AJ11)*AJ33/1000000</f>
        <v>2.5929984581134</v>
      </c>
      <c r="AK64" s="11" t="n">
        <f aca="false">Inputs!$F$159*(0.7*AK19+0.3*AK23*Inputs!$F$150/AK11)*AK33/1000000</f>
        <v>2.58958232301871</v>
      </c>
      <c r="AL64" s="11" t="n">
        <f aca="false">Inputs!$F$159*(0.7*AL19+0.3*AL23*Inputs!$F$150/AL11)*AL33/1000000</f>
        <v>2.55573739093963</v>
      </c>
      <c r="AM64" s="11" t="n">
        <f aca="false">Inputs!$F$159*(0.7*AM19+0.3*AM23*Inputs!$F$150/AM11)*AM33/1000000</f>
        <v>2.61212161924509</v>
      </c>
      <c r="AN64" s="11" t="n">
        <f aca="false">Inputs!$F$159*(0.7*AN19+0.3*AN23*Inputs!$F$150/AN11)*AN33/1000000</f>
        <v>2.7000913964909</v>
      </c>
      <c r="AO64" s="11" t="n">
        <f aca="false">Inputs!$F$159*(0.7*AO19+0.3*AO23*Inputs!$F$150/AO11)*AO33/1000000</f>
        <v>2.71882125196743</v>
      </c>
      <c r="AP64" s="11" t="n">
        <f aca="false">Inputs!$F$159*(0.7*AP19+0.3*AP23*Inputs!$F$150/AP11)*AP33/1000000</f>
        <v>2.72883906427097</v>
      </c>
      <c r="AQ64" s="11" t="n">
        <f aca="false">Inputs!$F$159*(0.7*AQ19+0.3*AQ23*Inputs!$F$150/AQ11)*AQ33/1000000</f>
        <v>2.76548324681097</v>
      </c>
      <c r="AR64" s="11" t="n">
        <f aca="false">Inputs!$F$159*(0.7*AR19+0.3*AR23*Inputs!$F$150/AR11)*AR33/1000000</f>
        <v>2.81158108597929</v>
      </c>
      <c r="AS64" s="11" t="n">
        <f aca="false">Inputs!$F$159*(0.7*AS19+0.3*AS23*Inputs!$F$150/AS11)*AS33/1000000</f>
        <v>2.78868721013542</v>
      </c>
      <c r="AT64" s="11" t="n">
        <f aca="false">Inputs!$F$159*(0.7*AT19+0.3*AT23*Inputs!$F$150/AT11)*AT33/1000000</f>
        <v>2.71303838818515</v>
      </c>
      <c r="AU64" s="11" t="n">
        <f aca="false">Inputs!$F$159*(0.7*AU19+0.3*AU23*Inputs!$F$150/AU11)*AU33/1000000</f>
        <v>2.79313957280359</v>
      </c>
      <c r="AV64" s="11" t="n">
        <f aca="false">Inputs!$F$159*(0.7*AV19+0.3*AV23*Inputs!$F$150/AV11)*AV33/1000000</f>
        <v>2.9276467784131</v>
      </c>
      <c r="AW64" s="11" t="n">
        <f aca="false">Inputs!$F$159*(0.7*AW19+0.3*AW23*Inputs!$F$150/AW11)*AW33/1000000</f>
        <v>2.94794125895267</v>
      </c>
      <c r="AX64" s="11" t="n">
        <f aca="false">Inputs!$F$159*(0.7*AX19+0.3*AX23*Inputs!$F$150/AX11)*AX33/1000000</f>
        <v>2.95878934865209</v>
      </c>
      <c r="AY64" s="11" t="n">
        <f aca="false">Inputs!$F$159*(0.7*AY19+0.3*AY23*Inputs!$F$150/AY11)*AY33/1000000</f>
        <v>2.9985072651064</v>
      </c>
      <c r="AZ64" s="11" t="n">
        <f aca="false">Inputs!$F$159*(0.7*AZ19+0.3*AZ23*Inputs!$F$150/AZ11)*AZ33/1000000</f>
        <v>3.04847497289756</v>
      </c>
      <c r="BA64" s="11" t="n">
        <f aca="false">Inputs!$F$159*(0.7*BA19+0.3*BA23*Inputs!$F$150/BA11)*BA33/1000000</f>
        <v>3.04443012448492</v>
      </c>
      <c r="BB64" s="11" t="n">
        <f aca="false">Inputs!$F$159*(0.7*BB19+0.3*BB23*Inputs!$F$150/BB11)*BB33/1000000</f>
        <v>3.0046121748805</v>
      </c>
      <c r="BC64" s="11" t="n">
        <f aca="false">Inputs!$F$159*(0.7*BC19+0.3*BC23*Inputs!$F$150/BC11)*BC33/1000000</f>
        <v>3.07087041431719</v>
      </c>
      <c r="BD64" s="11" t="n">
        <f aca="false">Inputs!$F$159*(0.7*BD19+0.3*BD23*Inputs!$F$150/BD11)*BD33/1000000</f>
        <v>3.17425970587549</v>
      </c>
      <c r="BE64" s="11" t="n">
        <f aca="false">Inputs!$F$159*(0.7*BE19+0.3*BE23*Inputs!$F$150/BE11)*BE33/1000000</f>
        <v>3.1962484861199</v>
      </c>
      <c r="BF64" s="11" t="n">
        <f aca="false">Inputs!$F$159*(0.7*BF19+0.3*BF23*Inputs!$F$150/BF11)*BF33/1000000</f>
        <v>3.20799501481993</v>
      </c>
      <c r="BG64" s="11" t="n">
        <f aca="false">Inputs!$F$159*(0.7*BG19+0.3*BG23*Inputs!$F$150/BG11)*BG33/1000000</f>
        <v>3.25104266192638</v>
      </c>
      <c r="BH64" s="11" t="n">
        <f aca="false">Inputs!$F$159*(0.7*BH19+0.3*BH23*Inputs!$F$150/BH11)*BH33/1000000</f>
        <v>3.30520285265988</v>
      </c>
      <c r="BI64" s="11" t="n">
        <f aca="false">Inputs!$F$159*(0.7*BI19+0.3*BI23*Inputs!$F$150/BI11)*BI33/1000000</f>
        <v>3.27825833031531</v>
      </c>
      <c r="BJ64" s="11" t="n">
        <f aca="false">Inputs!$F$159*(0.7*BJ19+0.3*BJ23*Inputs!$F$150/BJ11)*BJ33/1000000</f>
        <v>3.18929846486466</v>
      </c>
      <c r="BK64" s="11" t="n">
        <f aca="false">Inputs!$F$159*(0.7*BK19+0.3*BK23*Inputs!$F$150/BK11)*BK33/1000000</f>
        <v>3.28342962861712</v>
      </c>
      <c r="BL64" s="11" t="n">
        <f aca="false">Inputs!$F$159*(0.7*BL19+0.3*BL23*Inputs!$F$150/BL11)*BL33/1000000</f>
        <v>3.44151444087802</v>
      </c>
      <c r="BM64" s="11" t="n">
        <f aca="false">Inputs!$F$159*(0.7*BM19+0.3*BM23*Inputs!$F$150/BM11)*BM33/1000000</f>
        <v>2.31793866748026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1128.1600087771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5.75836399137642</v>
      </c>
      <c r="P67" s="11" t="n">
        <f aca="false">P55+P56+P57+P59+P60+P61+P62+P63+P64+P65+P66</f>
        <v>17.4574658935764</v>
      </c>
      <c r="Q67" s="11" t="n">
        <f aca="false">Q55+Q56+Q57+Q59+Q60+Q61+Q62+Q63+Q64+Q65+Q66</f>
        <v>17.6017487159346</v>
      </c>
      <c r="R67" s="11" t="n">
        <f aca="false">R55+R56+R57+R59+R60+R61+R62+R63+R64+R65+R66</f>
        <v>17.7072147729084</v>
      </c>
      <c r="S67" s="11" t="n">
        <f aca="false">S55+S56+S57+S59+S60+S61+S62+S63+S64+S65+S66</f>
        <v>17.9341254550187</v>
      </c>
      <c r="T67" s="11" t="n">
        <f aca="false">T55+T56+T57+T59+T60+T61+T62+T63+T64+T65+T66</f>
        <v>18.2047551040536</v>
      </c>
      <c r="U67" s="11" t="n">
        <f aca="false">U55+U56+U57+U59+U60+U61+U62+U63+U64+U65+U66</f>
        <v>18.2499495239068</v>
      </c>
      <c r="V67" s="11" t="n">
        <f aca="false">V55+V56+V57+V59+V60+V61+V62+V63+V64+V65+V66</f>
        <v>18.1457491176677</v>
      </c>
      <c r="W67" s="11" t="n">
        <f aca="false">W55+W56+W57+W59+W60+W61+W62+W63+W64+W65+W66</f>
        <v>18.4869466575179</v>
      </c>
      <c r="X67" s="11" t="n">
        <f aca="false">X55+X56+X57+X59+X60+X61+X62+X63+X64+X65+X66</f>
        <v>18.9849855107892</v>
      </c>
      <c r="Y67" s="11" t="n">
        <f aca="false">Y55+Y56+Y57+Y59+Y60+Y61+Y62+Y63+Y64+Y65+Y66</f>
        <v>19.1422813830959</v>
      </c>
      <c r="Z67" s="11" t="n">
        <f aca="false">Z55+Z56+Z57+Z59+Z60+Z61+Z62+Z63+Z64+Z65+Z66</f>
        <v>19.2572757717362</v>
      </c>
      <c r="AA67" s="11" t="n">
        <f aca="false">AA55+AA56+AA57+AA59+AA60+AA61+AA62+AA63+AA64+AA65+AA66</f>
        <v>19.5046198816516</v>
      </c>
      <c r="AB67" s="11" t="n">
        <f aca="false">AB55+AB56+AB57+AB59+AB60+AB61+AB62+AB63+AB64+AB65+AB66</f>
        <v>19.7996090706214</v>
      </c>
      <c r="AC67" s="11" t="n">
        <f aca="false">AC55+AC56+AC57+AC59+AC60+AC61+AC62+AC63+AC64+AC65+AC66</f>
        <v>19.7539854644344</v>
      </c>
      <c r="AD67" s="11" t="n">
        <f aca="false">AD55+AD56+AD57+AD59+AD60+AD61+AD62+AD63+AD64+AD65+AD66</f>
        <v>19.4799736382469</v>
      </c>
      <c r="AE67" s="11" t="n">
        <f aca="false">AE55+AE56+AE57+AE59+AE60+AE61+AE62+AE63+AE64+AE65+AE66</f>
        <v>19.9133232608234</v>
      </c>
      <c r="AF67" s="11" t="n">
        <f aca="false">AF55+AF56+AF57+AF59+AF60+AF61+AF62+AF63+AF64+AF65+AF66</f>
        <v>20.6501417331803</v>
      </c>
      <c r="AG67" s="11" t="n">
        <f aca="false">AG55+AG56+AG57+AG59+AG60+AG61+AG62+AG63+AG64+AG65+AG66</f>
        <v>20.8216242364756</v>
      </c>
      <c r="AH67" s="11" t="n">
        <f aca="false">AH55+AH56+AH57+AH59+AH60+AH61+AH62+AH63+AH64+AH65+AH66</f>
        <v>20.9470077557761</v>
      </c>
      <c r="AI67" s="11" t="n">
        <f aca="false">AI55+AI56+AI57+AI59+AI60+AI61+AI62+AI63+AI64+AI65+AI66</f>
        <v>21.2166251522691</v>
      </c>
      <c r="AJ67" s="11" t="n">
        <f aca="false">AJ55+AJ56+AJ57+AJ59+AJ60+AJ61+AJ62+AJ63+AJ64+AJ65+AJ66</f>
        <v>21.5381662610284</v>
      </c>
      <c r="AK67" s="11" t="n">
        <f aca="false">AK55+AK56+AK57+AK59+AK60+AK61+AK62+AK63+AK64+AK65+AK66</f>
        <v>21.591972998871</v>
      </c>
      <c r="AL67" s="11" t="n">
        <f aca="false">AL55+AL56+AL57+AL59+AL60+AL61+AL62+AL63+AL64+AL65+AL66</f>
        <v>21.468354141903</v>
      </c>
      <c r="AM67" s="11" t="n">
        <f aca="false">AM55+AM56+AM57+AM59+AM60+AM61+AM62+AM63+AM64+AM65+AM66</f>
        <v>21.8737086300817</v>
      </c>
      <c r="AN67" s="11" t="n">
        <f aca="false">AN55+AN56+AN57+AN59+AN60+AN61+AN62+AN63+AN64+AN65+AN66</f>
        <v>22.4653351740724</v>
      </c>
      <c r="AO67" s="11" t="n">
        <f aca="false">AO55+AO56+AO57+AO59+AO60+AO61+AO62+AO63+AO64+AO65+AO66</f>
        <v>22.6522837211702</v>
      </c>
      <c r="AP67" s="11" t="n">
        <f aca="false">AP55+AP56+AP57+AP59+AP60+AP61+AP62+AP63+AP64+AP65+AP66</f>
        <v>22.7889949320678</v>
      </c>
      <c r="AQ67" s="11" t="n">
        <f aca="false">AQ55+AQ56+AQ57+AQ59+AQ60+AQ61+AQ62+AQ63+AQ64+AQ65+AQ66</f>
        <v>23.0828911210165</v>
      </c>
      <c r="AR67" s="11" t="n">
        <f aca="false">AR55+AR56+AR57+AR59+AR60+AR61+AR62+AR63+AR64+AR65+AR66</f>
        <v>23.4333738237227</v>
      </c>
      <c r="AS67" s="11" t="n">
        <f aca="false">AS55+AS56+AS57+AS59+AS60+AS61+AS62+AS63+AS64+AS65+AS66</f>
        <v>23.3793338073707</v>
      </c>
      <c r="AT67" s="11" t="n">
        <f aca="false">AT55+AT56+AT57+AT59+AT60+AT61+AT62+AT63+AT64+AT65+AT66</f>
        <v>23.054748133438</v>
      </c>
      <c r="AU67" s="11" t="n">
        <f aca="false">AU55+AU56+AU57+AU59+AU60+AU61+AU62+AU63+AU64+AU65+AU66</f>
        <v>23.5688626095593</v>
      </c>
      <c r="AV67" s="11" t="n">
        <f aca="false">AV55+AV56+AV57+AV59+AV60+AV61+AV62+AV63+AV64+AV65+AV66</f>
        <v>24.444083602517</v>
      </c>
      <c r="AW67" s="11" t="n">
        <f aca="false">AW55+AW56+AW57+AW59+AW60+AW61+AW62+AW63+AW64+AW65+AW66</f>
        <v>24.6478929810627</v>
      </c>
      <c r="AX67" s="11" t="n">
        <f aca="false">AX55+AX56+AX57+AX59+AX60+AX61+AX62+AX63+AX64+AX65+AX66</f>
        <v>24.7969552308929</v>
      </c>
      <c r="AY67" s="11" t="n">
        <f aca="false">AY55+AY56+AY57+AY59+AY60+AY61+AY62+AY63+AY64+AY65+AY66</f>
        <v>25.117316277368</v>
      </c>
      <c r="AZ67" s="11" t="n">
        <f aca="false">AZ55+AZ56+AZ57+AZ59+AZ60+AZ61+AZ62+AZ63+AZ64+AZ65+AZ66</f>
        <v>25.4993452951761</v>
      </c>
      <c r="BA67" s="11" t="n">
        <f aca="false">BA55+BA56+BA57+BA59+BA60+BA61+BA62+BA63+BA64+BA65+BA66</f>
        <v>25.5634055204311</v>
      </c>
      <c r="BB67" s="11" t="n">
        <f aca="false">BB55+BB56+BB57+BB59+BB60+BB61+BB62+BB63+BB64+BB65+BB66</f>
        <v>25.4167509642183</v>
      </c>
      <c r="BC67" s="11" t="n">
        <f aca="false">BC55+BC56+BC57+BC59+BC60+BC61+BC62+BC63+BC64+BC65+BC66</f>
        <v>25.8983245793522</v>
      </c>
      <c r="BD67" s="11" t="n">
        <f aca="false">BD55+BD56+BD57+BD59+BD60+BD61+BD62+BD63+BD64+BD65+BD66</f>
        <v>26.6011225773252</v>
      </c>
      <c r="BE67" s="11" t="n">
        <f aca="false">BE55+BE56+BE57+BE59+BE60+BE61+BE62+BE63+BE64+BE65+BE66</f>
        <v>26.8233133533053</v>
      </c>
      <c r="BF67" s="11" t="n">
        <f aca="false">BF55+BF56+BF57+BF59+BF60+BF61+BF62+BF63+BF64+BF65+BF66</f>
        <v>26.9858424347673</v>
      </c>
      <c r="BG67" s="11" t="n">
        <f aca="false">BG55+BG56+BG57+BG59+BG60+BG61+BG62+BG63+BG64+BG65+BG66</f>
        <v>27.3350512174119</v>
      </c>
      <c r="BH67" s="11" t="n">
        <f aca="false">BH55+BH56+BH57+BH59+BH60+BH61+BH62+BH63+BH64+BH65+BH66</f>
        <v>27.7514656683858</v>
      </c>
      <c r="BI67" s="11" t="n">
        <f aca="false">BI55+BI56+BI57+BI59+BI60+BI61+BI62+BI63+BI64+BI65+BI66</f>
        <v>27.6874581026048</v>
      </c>
      <c r="BJ67" s="11" t="n">
        <f aca="false">BJ55+BJ56+BJ57+BJ59+BJ60+BJ61+BJ62+BJ63+BJ64+BJ65+BJ66</f>
        <v>27.3028563262922</v>
      </c>
      <c r="BK67" s="11" t="n">
        <f aca="false">BK55+BK56+BK57+BK59+BK60+BK61+BK62+BK63+BK64+BK65+BK66</f>
        <v>27.912898366566</v>
      </c>
      <c r="BL67" s="11" t="n">
        <f aca="false">BL55+BL56+BL57+BL59+BL60+BL61+BL62+BL63+BL64+BL65+BL66</f>
        <v>28.9525151454309</v>
      </c>
      <c r="BM67" s="11" t="n">
        <f aca="false">BM55+BM56+BM57+BM59+BM60+BM61+BM62+BM63+BM64+BM65+BM66</f>
        <v>19.5076136886312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4988.36472381401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26.245602470229</v>
      </c>
      <c r="P68" s="11" t="n">
        <f aca="false">P37*P36/1000000</f>
        <v>78.7289099113673</v>
      </c>
      <c r="Q68" s="11" t="n">
        <f aca="false">Q37*Q36/1000000</f>
        <v>80.0345493549477</v>
      </c>
      <c r="R68" s="11" t="n">
        <f aca="false">R37*R36/1000000</f>
        <v>79.5088601807053</v>
      </c>
      <c r="S68" s="11" t="n">
        <f aca="false">S37*S36/1000000</f>
        <v>81.3484752261354</v>
      </c>
      <c r="T68" s="11" t="n">
        <f aca="false">T37*T36/1000000</f>
        <v>81.8595703955176</v>
      </c>
      <c r="U68" s="11" t="n">
        <f aca="false">U37*U36/1000000</f>
        <v>82.5344728816343</v>
      </c>
      <c r="V68" s="11" t="n">
        <f aca="false">V37*V36/1000000</f>
        <v>80.623198486552</v>
      </c>
      <c r="W68" s="11" t="n">
        <f aca="false">W37*W36/1000000</f>
        <v>83.1908093758798</v>
      </c>
      <c r="X68" s="11" t="n">
        <f aca="false">X37*X36/1000000</f>
        <v>85.1134627660521</v>
      </c>
      <c r="Y68" s="11" t="n">
        <f aca="false">Y37*Y36/1000000</f>
        <v>86.5243434658788</v>
      </c>
      <c r="Z68" s="11" t="n">
        <f aca="false">Z37*Z36/1000000</f>
        <v>85.9553913309984</v>
      </c>
      <c r="AA68" s="11" t="n">
        <f aca="false">AA37*AA36/1000000</f>
        <v>87.943510065631</v>
      </c>
      <c r="AB68" s="11" t="n">
        <f aca="false">AB37*AB36/1000000</f>
        <v>88.4953848375283</v>
      </c>
      <c r="AC68" s="11" t="n">
        <f aca="false">AC37*AC36/1000000</f>
        <v>88.6149676805878</v>
      </c>
      <c r="AD68" s="11" t="n">
        <f aca="false">AD37*AD36/1000000</f>
        <v>85.3296899250619</v>
      </c>
      <c r="AE68" s="11" t="n">
        <f aca="false">AE37*AE36/1000000</f>
        <v>88.6898337649779</v>
      </c>
      <c r="AF68" s="11" t="n">
        <f aca="false">AF37*AF36/1000000</f>
        <v>92.010318950609</v>
      </c>
      <c r="AG68" s="11" t="n">
        <f aca="false">AG37*AG36/1000000</f>
        <v>93.5348305926623</v>
      </c>
      <c r="AH68" s="11" t="n">
        <f aca="false">AH37*AH36/1000000</f>
        <v>92.9190897391441</v>
      </c>
      <c r="AI68" s="11" t="n">
        <f aca="false">AI37*AI36/1000000</f>
        <v>95.067569781038</v>
      </c>
      <c r="AJ68" s="11" t="n">
        <f aca="false">AJ37*AJ36/1000000</f>
        <v>95.6634389700434</v>
      </c>
      <c r="AK68" s="11" t="n">
        <f aca="false">AK37*AK36/1000000</f>
        <v>96.4507168390124</v>
      </c>
      <c r="AL68" s="11" t="n">
        <f aca="false">AL37*AL36/1000000</f>
        <v>94.2157800089376</v>
      </c>
      <c r="AM68" s="11" t="n">
        <f aca="false">AM37*AM36/1000000</f>
        <v>97.2148292368834</v>
      </c>
      <c r="AN68" s="11" t="n">
        <f aca="false">AN37*AN36/1000000</f>
        <v>99.4601175436392</v>
      </c>
      <c r="AO68" s="11" t="n">
        <f aca="false">AO37*AO36/1000000</f>
        <v>101.107310521295</v>
      </c>
      <c r="AP68" s="11" t="n">
        <f aca="false">AP37*AP36/1000000</f>
        <v>100.440970751872</v>
      </c>
      <c r="AQ68" s="11" t="n">
        <f aca="false">AQ37*AQ36/1000000</f>
        <v>102.762605217849</v>
      </c>
      <c r="AR68" s="11" t="n">
        <f aca="false">AR37*AR36/1000000</f>
        <v>103.40593363176</v>
      </c>
      <c r="AS68" s="11" t="n">
        <f aca="false">AS37*AS36/1000000</f>
        <v>103.544120992111</v>
      </c>
      <c r="AT68" s="11" t="n">
        <f aca="false">AT37*AT36/1000000</f>
        <v>99.7038780263221</v>
      </c>
      <c r="AU68" s="11" t="n">
        <f aca="false">AU37*AU36/1000000</f>
        <v>103.62850715044</v>
      </c>
      <c r="AV68" s="11" t="n">
        <f aca="false">AV37*AV36/1000000</f>
        <v>107.506680317222</v>
      </c>
      <c r="AW68" s="11" t="n">
        <f aca="false">AW37*AW36/1000000</f>
        <v>109.286317045529</v>
      </c>
      <c r="AX68" s="11" t="n">
        <f aca="false">AX37*AX36/1000000</f>
        <v>108.565261023109</v>
      </c>
      <c r="AY68" s="11" t="n">
        <f aca="false">AY37*AY36/1000000</f>
        <v>111.073851336192</v>
      </c>
      <c r="AZ68" s="11" t="n">
        <f aca="false">AZ37*AZ36/1000000</f>
        <v>111.768372905811</v>
      </c>
      <c r="BA68" s="11" t="n">
        <f aca="false">BA37*BA36/1000000</f>
        <v>112.686501752291</v>
      </c>
      <c r="BB68" s="11" t="n">
        <f aca="false">BB37*BB36/1000000</f>
        <v>110.073703591796</v>
      </c>
      <c r="BC68" s="11" t="n">
        <f aca="false">BC37*BC36/1000000</f>
        <v>113.57583530134</v>
      </c>
      <c r="BD68" s="11" t="n">
        <f aca="false">BD37*BD36/1000000</f>
        <v>116.197257328013</v>
      </c>
      <c r="BE68" s="11" t="n">
        <f aca="false">BE37*BE36/1000000</f>
        <v>118.119867478499</v>
      </c>
      <c r="BF68" s="11" t="n">
        <f aca="false">BF37*BF36/1000000</f>
        <v>117.339646235298</v>
      </c>
      <c r="BG68" s="11" t="n">
        <f aca="false">BG37*BG36/1000000</f>
        <v>120.050080508691</v>
      </c>
      <c r="BH68" s="11" t="n">
        <f aca="false">BH37*BH36/1000000</f>
        <v>120.799818852911</v>
      </c>
      <c r="BI68" s="11" t="n">
        <f aca="false">BI37*BI36/1000000</f>
        <v>120.959431811481</v>
      </c>
      <c r="BJ68" s="11" t="n">
        <f aca="false">BJ37*BJ36/1000000</f>
        <v>116.471537693256</v>
      </c>
      <c r="BK68" s="11" t="n">
        <f aca="false">BK37*BK36/1000000</f>
        <v>121.054367451191</v>
      </c>
      <c r="BL68" s="11" t="n">
        <f aca="false">BL37*BL36/1000000</f>
        <v>125.582791125605</v>
      </c>
      <c r="BM68" s="11" t="n">
        <f aca="false">BM37*BM36/1000000</f>
        <v>85.3823519824757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5828.06958928503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30.9004552997394</v>
      </c>
      <c r="P69" s="11" t="n">
        <f aca="false">P68+P47+P48+P49</f>
        <v>92.7557790220031</v>
      </c>
      <c r="Q69" s="11" t="n">
        <f aca="false">Q68+Q47+Q48+Q49</f>
        <v>94.0727672258167</v>
      </c>
      <c r="R69" s="11" t="n">
        <f aca="false">R68+R47+R48+R49</f>
        <v>93.7208694228177</v>
      </c>
      <c r="S69" s="11" t="n">
        <f aca="false">S68+S47+S48+S49</f>
        <v>95.588194185097</v>
      </c>
      <c r="T69" s="11" t="n">
        <f aca="false">T68+T47+T48+T49</f>
        <v>96.3088202074934</v>
      </c>
      <c r="U69" s="11" t="n">
        <f aca="false">U68+U47+U48+U49</f>
        <v>97.0393260147446</v>
      </c>
      <c r="V69" s="11" t="n">
        <f aca="false">V68+V47+V48+V49</f>
        <v>95.198723838917</v>
      </c>
      <c r="W69" s="11" t="n">
        <f aca="false">W68+W47+W48+W49</f>
        <v>97.8156833135582</v>
      </c>
      <c r="X69" s="11" t="n">
        <f aca="false">X68+X47+X48+X49</f>
        <v>99.9977734901489</v>
      </c>
      <c r="Y69" s="11" t="n">
        <f aca="false">Y68+Y47+Y48+Y49</f>
        <v>101.420641150061</v>
      </c>
      <c r="Z69" s="11" t="n">
        <f aca="false">Z68+Z47+Z48+Z49</f>
        <v>101.036147047028</v>
      </c>
      <c r="AA69" s="11" t="n">
        <f aca="false">AA68+AA47+AA48+AA49</f>
        <v>103.053594904083</v>
      </c>
      <c r="AB69" s="11" t="n">
        <f aca="false">AB68+AB47+AB48+AB49</f>
        <v>103.827816175037</v>
      </c>
      <c r="AC69" s="11" t="n">
        <f aca="false">AC68+AC47+AC48+AC49</f>
        <v>103.987572218403</v>
      </c>
      <c r="AD69" s="11" t="n">
        <f aca="false">AD68+AD47+AD48+AD49</f>
        <v>100.739753376914</v>
      </c>
      <c r="AE69" s="11" t="n">
        <f aca="false">AE68+AE47+AE48+AE49</f>
        <v>104.170410416595</v>
      </c>
      <c r="AF69" s="11" t="n">
        <f aca="false">AF68+AF47+AF48+AF49</f>
        <v>107.804321414394</v>
      </c>
      <c r="AG69" s="11" t="n">
        <f aca="false">AG68+AG47+AG48+AG49</f>
        <v>109.341491888681</v>
      </c>
      <c r="AH69" s="11" t="n">
        <f aca="false">AH68+AH47+AH48+AH49</f>
        <v>108.92153146685</v>
      </c>
      <c r="AI69" s="11" t="n">
        <f aca="false">AI68+AI47+AI48+AI49</f>
        <v>111.101051442037</v>
      </c>
      <c r="AJ69" s="11" t="n">
        <f aca="false">AJ68+AJ47+AJ48+AJ49</f>
        <v>111.932865542218</v>
      </c>
      <c r="AK69" s="11" t="n">
        <f aca="false">AK68+AK47+AK48+AK49</f>
        <v>112.782711861972</v>
      </c>
      <c r="AL69" s="11" t="n">
        <f aca="false">AL68+AL47+AL48+AL49</f>
        <v>110.627520719691</v>
      </c>
      <c r="AM69" s="11" t="n">
        <f aca="false">AM68+AM47+AM48+AM49</f>
        <v>113.681916836887</v>
      </c>
      <c r="AN69" s="11" t="n">
        <f aca="false">AN68+AN47+AN48+AN49</f>
        <v>116.219235679829</v>
      </c>
      <c r="AO69" s="11" t="n">
        <f aca="false">AO68+AO47+AO48+AO49</f>
        <v>117.879794645807</v>
      </c>
      <c r="AP69" s="11" t="n">
        <f aca="false">AP68+AP47+AP48+AP49</f>
        <v>117.421253823995</v>
      </c>
      <c r="AQ69" s="11" t="n">
        <f aca="false">AQ68+AQ47+AQ48+AQ49</f>
        <v>119.775735375457</v>
      </c>
      <c r="AR69" s="11" t="n">
        <f aca="false">AR68+AR47+AR48+AR49</f>
        <v>120.669437622219</v>
      </c>
      <c r="AS69" s="11" t="n">
        <f aca="false">AS68+AS47+AS48+AS49</f>
        <v>120.8528637342</v>
      </c>
      <c r="AT69" s="11" t="n">
        <f aca="false">AT68+AT47+AT48+AT49</f>
        <v>117.055084575058</v>
      </c>
      <c r="AU69" s="11" t="n">
        <f aca="false">AU68+AU47+AU48+AU49</f>
        <v>121.058822382039</v>
      </c>
      <c r="AV69" s="11" t="n">
        <f aca="false">AV68+AV47+AV48+AV49</f>
        <v>125.289704015376</v>
      </c>
      <c r="AW69" s="11" t="n">
        <f aca="false">AW68+AW47+AW48+AW49</f>
        <v>127.083450847452</v>
      </c>
      <c r="AX69" s="11" t="n">
        <f aca="false">AX68+AX47+AX48+AX49</f>
        <v>126.582951271655</v>
      </c>
      <c r="AY69" s="11" t="n">
        <f aca="false">AY68+AY47+AY48+AY49</f>
        <v>129.126297350064</v>
      </c>
      <c r="AZ69" s="11" t="n">
        <f aca="false">AZ68+AZ47+AZ48+AZ49</f>
        <v>130.086502835114</v>
      </c>
      <c r="BA69" s="11" t="n">
        <f aca="false">BA68+BA47+BA48+BA49</f>
        <v>131.075035042594</v>
      </c>
      <c r="BB69" s="11" t="n">
        <f aca="false">BB68+BB47+BB48+BB49</f>
        <v>128.552238201305</v>
      </c>
      <c r="BC69" s="11" t="n">
        <f aca="false">BC68+BC47+BC48+BC49</f>
        <v>132.1164229702</v>
      </c>
      <c r="BD69" s="11" t="n">
        <f aca="false">BD68+BD47+BD48+BD49</f>
        <v>135.06654617831</v>
      </c>
      <c r="BE69" s="11" t="n">
        <f aca="false">BE68+BE47+BE48+BE49</f>
        <v>137.004049247878</v>
      </c>
      <c r="BF69" s="11" t="n">
        <f aca="false">BF68+BF47+BF48+BF49</f>
        <v>136.457926444362</v>
      </c>
      <c r="BG69" s="11" t="n">
        <f aca="false">BG68+BG47+BG48+BG49</f>
        <v>139.205132138641</v>
      </c>
      <c r="BH69" s="11" t="n">
        <f aca="false">BH68+BH47+BH48+BH49</f>
        <v>140.236799377856</v>
      </c>
      <c r="BI69" s="11" t="n">
        <f aca="false">BI68+BI47+BI48+BI49</f>
        <v>140.447358093276</v>
      </c>
      <c r="BJ69" s="11" t="n">
        <f aca="false">BJ68+BJ47+BJ48+BJ49</f>
        <v>136.007629069566</v>
      </c>
      <c r="BK69" s="11" t="n">
        <f aca="false">BK68+BK47+BK48+BK49</f>
        <v>140.679182690994</v>
      </c>
      <c r="BL69" s="11" t="n">
        <f aca="false">BL68+BL47+BL48+BL49</f>
        <v>145.604490453003</v>
      </c>
      <c r="BM69" s="11" t="n">
        <f aca="false">BM68+BM47+BM48+BM49</f>
        <v>98.6879067375943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7027.10825057197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36.6588192911158</v>
      </c>
      <c r="P78" s="11" t="n">
        <f aca="false">P67+P69+P70+P71+P74+P77</f>
        <v>110.311890648767</v>
      </c>
      <c r="Q78" s="11" t="n">
        <f aca="false">Q67+Q69+Q70+Q71+Q74+Q77</f>
        <v>111.68726737088</v>
      </c>
      <c r="R78" s="11" t="n">
        <f aca="false">R67+R69+R70+R71+R74+R77</f>
        <v>111.428084195726</v>
      </c>
      <c r="S78" s="11" t="n">
        <f aca="false">S67+S69+S70+S71+S74+S77</f>
        <v>113.522319640116</v>
      </c>
      <c r="T78" s="11" t="n">
        <f aca="false">T67+T69+T70+T71+T74+T77</f>
        <v>114.513575311547</v>
      </c>
      <c r="U78" s="11" t="n">
        <f aca="false">U67+U69+U70+U71+U74+U77</f>
        <v>115.289275538651</v>
      </c>
      <c r="V78" s="11" t="n">
        <f aca="false">V67+V69+V70+V71+V74+V77</f>
        <v>115.842082771314</v>
      </c>
      <c r="W78" s="11" t="n">
        <f aca="false">W67+W69+W70+W71+W74+W77</f>
        <v>116.302629971076</v>
      </c>
      <c r="X78" s="11" t="n">
        <f aca="false">X67+X69+X70+X71+X74+X77</f>
        <v>118.982759000938</v>
      </c>
      <c r="Y78" s="11" t="n">
        <f aca="false">Y67+Y69+Y70+Y71+Y74+Y77</f>
        <v>120.562922533157</v>
      </c>
      <c r="Z78" s="11" t="n">
        <f aca="false">Z67+Z69+Z70+Z71+Z74+Z77</f>
        <v>120.293422818764</v>
      </c>
      <c r="AA78" s="11" t="n">
        <f aca="false">AA67+AA69+AA70+AA71+AA74+AA77</f>
        <v>122.558214785735</v>
      </c>
      <c r="AB78" s="11" t="n">
        <f aca="false">AB67+AB69+AB70+AB71+AB74+AB77</f>
        <v>123.627425245659</v>
      </c>
      <c r="AC78" s="11" t="n">
        <f aca="false">AC67+AC69+AC70+AC71+AC74+AC77</f>
        <v>123.741557682837</v>
      </c>
      <c r="AD78" s="11" t="n">
        <f aca="false">AD67+AD69+AD70+AD71+AD74+AD77</f>
        <v>132.056182276961</v>
      </c>
      <c r="AE78" s="11" t="n">
        <f aca="false">AE67+AE69+AE70+AE71+AE74+AE77</f>
        <v>124.083733677418</v>
      </c>
      <c r="AF78" s="11" t="n">
        <f aca="false">AF67+AF69+AF70+AF71+AF74+AF77</f>
        <v>128.454463147575</v>
      </c>
      <c r="AG78" s="11" t="n">
        <f aca="false">AG67+AG69+AG70+AG71+AG74+AG77</f>
        <v>130.163116125157</v>
      </c>
      <c r="AH78" s="11" t="n">
        <f aca="false">AH67+AH69+AH70+AH71+AH74+AH77</f>
        <v>129.868539222626</v>
      </c>
      <c r="AI78" s="11" t="n">
        <f aca="false">AI67+AI69+AI70+AI71+AI74+AI77</f>
        <v>132.317676594306</v>
      </c>
      <c r="AJ78" s="11" t="n">
        <f aca="false">AJ67+AJ69+AJ70+AJ71+AJ74+AJ77</f>
        <v>133.471031803247</v>
      </c>
      <c r="AK78" s="11" t="n">
        <f aca="false">AK67+AK69+AK70+AK71+AK74+AK77</f>
        <v>134.374684860843</v>
      </c>
      <c r="AL78" s="11" t="n">
        <f aca="false">AL67+AL69+AL70+AL71+AL74+AL77</f>
        <v>135.068442591089</v>
      </c>
      <c r="AM78" s="11" t="n">
        <f aca="false">AM67+AM69+AM70+AM71+AM74+AM77</f>
        <v>135.555625466969</v>
      </c>
      <c r="AN78" s="11" t="n">
        <f aca="false">AN67+AN69+AN70+AN71+AN74+AN77</f>
        <v>138.684570853901</v>
      </c>
      <c r="AO78" s="11" t="n">
        <f aca="false">AO67+AO69+AO70+AO71+AO74+AO77</f>
        <v>140.532078366977</v>
      </c>
      <c r="AP78" s="11" t="n">
        <f aca="false">AP67+AP69+AP70+AP71+AP74+AP77</f>
        <v>140.210248756063</v>
      </c>
      <c r="AQ78" s="11" t="n">
        <f aca="false">AQ67+AQ69+AQ70+AQ71+AQ74+AQ77</f>
        <v>142.858626496473</v>
      </c>
      <c r="AR78" s="11" t="n">
        <f aca="false">AR67+AR69+AR70+AR71+AR74+AR77</f>
        <v>144.102811445942</v>
      </c>
      <c r="AS78" s="11" t="n">
        <f aca="false">AS67+AS69+AS70+AS71+AS74+AS77</f>
        <v>144.232197541571</v>
      </c>
      <c r="AT78" s="11" t="n">
        <f aca="false">AT67+AT69+AT70+AT71+AT74+AT77</f>
        <v>154.197167221418</v>
      </c>
      <c r="AU78" s="11" t="n">
        <f aca="false">AU67+AU69+AU70+AU71+AU74+AU77</f>
        <v>144.627684991598</v>
      </c>
      <c r="AV78" s="11" t="n">
        <f aca="false">AV67+AV69+AV70+AV71+AV74+AV77</f>
        <v>149.733787617893</v>
      </c>
      <c r="AW78" s="11" t="n">
        <f aca="false">AW67+AW69+AW70+AW71+AW74+AW77</f>
        <v>151.731343828514</v>
      </c>
      <c r="AX78" s="11" t="n">
        <f aca="false">AX67+AX69+AX70+AX71+AX74+AX77</f>
        <v>151.379906502548</v>
      </c>
      <c r="AY78" s="11" t="n">
        <f aca="false">AY67+AY69+AY70+AY71+AY74+AY77</f>
        <v>154.243613627432</v>
      </c>
      <c r="AZ78" s="11" t="n">
        <f aca="false">AZ67+AZ69+AZ70+AZ71+AZ74+AZ77</f>
        <v>155.58584813029</v>
      </c>
      <c r="BA78" s="11" t="n">
        <f aca="false">BA67+BA69+BA70+BA71+BA74+BA77</f>
        <v>156.638440563026</v>
      </c>
      <c r="BB78" s="11" t="n">
        <f aca="false">BB67+BB69+BB70+BB71+BB74+BB77</f>
        <v>157.506835171064</v>
      </c>
      <c r="BC78" s="11" t="n">
        <f aca="false">BC67+BC69+BC70+BC71+BC74+BC77</f>
        <v>158.014747549552</v>
      </c>
      <c r="BD78" s="11" t="n">
        <f aca="false">BD67+BD69+BD70+BD71+BD74+BD77</f>
        <v>161.667668755635</v>
      </c>
      <c r="BE78" s="11" t="n">
        <f aca="false">BE67+BE69+BE70+BE71+BE74+BE77</f>
        <v>163.827362601183</v>
      </c>
      <c r="BF78" s="11" t="n">
        <f aca="false">BF67+BF69+BF70+BF71+BF74+BF77</f>
        <v>163.443768879129</v>
      </c>
      <c r="BG78" s="11" t="n">
        <f aca="false">BG67+BG69+BG70+BG71+BG74+BG77</f>
        <v>166.540183356053</v>
      </c>
      <c r="BH78" s="11" t="n">
        <f aca="false">BH67+BH69+BH70+BH71+BH74+BH77</f>
        <v>167.988265046242</v>
      </c>
      <c r="BI78" s="11" t="n">
        <f aca="false">BI67+BI69+BI70+BI71+BI74+BI77</f>
        <v>168.134816195881</v>
      </c>
      <c r="BJ78" s="11" t="n">
        <f aca="false">BJ67+BJ69+BJ70+BJ71+BJ74+BJ77</f>
        <v>180.076737562536</v>
      </c>
      <c r="BK78" s="11" t="n">
        <f aca="false">BK67+BK69+BK70+BK71+BK74+BK77</f>
        <v>168.59208105756</v>
      </c>
      <c r="BL78" s="11" t="n">
        <f aca="false">BL67+BL69+BL70+BL71+BL74+BL77</f>
        <v>174.557005598434</v>
      </c>
      <c r="BM78" s="11" t="n">
        <f aca="false">BM67+BM69+BM70+BM71+BM74+BM77</f>
        <v>137.26471028258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2520.04270242895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16.3702997009264</v>
      </c>
      <c r="P79" s="11" t="n">
        <f aca="false">P51-P78+P53</f>
        <v>49.1189319272593</v>
      </c>
      <c r="Q79" s="11" t="n">
        <f aca="false">Q51-Q78+Q53</f>
        <v>49.3000686650993</v>
      </c>
      <c r="R79" s="11" t="n">
        <f aca="false">R51-R78+R53</f>
        <v>49.4574307610656</v>
      </c>
      <c r="S79" s="11" t="n">
        <f aca="false">S51-S78+S53</f>
        <v>49.5154523366732</v>
      </c>
      <c r="T79" s="11" t="n">
        <f aca="false">T51-T78+T53</f>
        <v>49.5827701911606</v>
      </c>
      <c r="U79" s="11" t="n">
        <f aca="false">U51-U78+U53</f>
        <v>49.7341520724357</v>
      </c>
      <c r="V79" s="11" t="n">
        <f aca="false">V51-V78+V53</f>
        <v>47.4941183828341</v>
      </c>
      <c r="W79" s="11" t="n">
        <f aca="false">W51-W78+W53</f>
        <v>50.0002548596367</v>
      </c>
      <c r="X79" s="11" t="n">
        <f aca="false">X51-X78+X53</f>
        <v>49.962768011212</v>
      </c>
      <c r="Y79" s="11" t="n">
        <f aca="false">Y51-Y78+Y53</f>
        <v>50.0656932102089</v>
      </c>
      <c r="Z79" s="11" t="n">
        <f aca="false">Z51-Z78+Z53</f>
        <v>50.2238144361422</v>
      </c>
      <c r="AA79" s="11" t="n">
        <f aca="false">AA51-AA78+AA53</f>
        <v>50.2855479489001</v>
      </c>
      <c r="AB79" s="11" t="n">
        <f aca="false">AB51-AB78+AB53</f>
        <v>50.3581816602818</v>
      </c>
      <c r="AC79" s="11" t="n">
        <f aca="false">AC51-AC78+AC53</f>
        <v>50.5709088025354</v>
      </c>
      <c r="AD79" s="11" t="n">
        <f aca="false">AD51-AD78+AD53</f>
        <v>38.1615492506369</v>
      </c>
      <c r="AE79" s="11" t="n">
        <f aca="false">AE51-AE78+AE53</f>
        <v>50.9109980038369</v>
      </c>
      <c r="AF79" s="11" t="n">
        <f aca="false">AF51-AF78+AF53</f>
        <v>50.7696472548835</v>
      </c>
      <c r="AG79" s="11" t="n">
        <f aca="false">AG51-AG78+AG53</f>
        <v>50.8808952567098</v>
      </c>
      <c r="AH79" s="11" t="n">
        <f aca="false">AH51-AH78+AH53</f>
        <v>51.0537731494121</v>
      </c>
      <c r="AI79" s="11" t="n">
        <f aca="false">AI51-AI78+AI53</f>
        <v>51.1194574156954</v>
      </c>
      <c r="AJ79" s="11" t="n">
        <f aca="false">AJ51-AJ78+AJ53</f>
        <v>51.1978275746529</v>
      </c>
      <c r="AK79" s="11" t="n">
        <f aca="false">AK51-AK78+AK53</f>
        <v>51.3774662277486</v>
      </c>
      <c r="AL79" s="11" t="n">
        <f aca="false">AL51-AL78+AL53</f>
        <v>48.7155295891534</v>
      </c>
      <c r="AM79" s="11" t="n">
        <f aca="false">AM51-AM78+AM53</f>
        <v>51.693174763059</v>
      </c>
      <c r="AN79" s="11" t="n">
        <f aca="false">AN51-AN78+AN53</f>
        <v>51.6434131952998</v>
      </c>
      <c r="AO79" s="11" t="n">
        <f aca="false">AO51-AO78+AO53</f>
        <v>51.7636790683157</v>
      </c>
      <c r="AP79" s="11" t="n">
        <f aca="false">AP51-AP78+AP53</f>
        <v>51.9526735325803</v>
      </c>
      <c r="AQ79" s="11" t="n">
        <f aca="false">AQ51-AQ78+AQ53</f>
        <v>52.0225632076154</v>
      </c>
      <c r="AR79" s="11" t="n">
        <f aca="false">AR51-AR78+AR53</f>
        <v>52.1071236702427</v>
      </c>
      <c r="AS79" s="11" t="n">
        <f aca="false">AS51-AS78+AS53</f>
        <v>52.3612019731269</v>
      </c>
      <c r="AT79" s="11" t="n">
        <f aca="false">AT51-AT78+AT53</f>
        <v>37.7100463674514</v>
      </c>
      <c r="AU79" s="11" t="n">
        <f aca="false">AU51-AU78+AU53</f>
        <v>52.7663951218286</v>
      </c>
      <c r="AV79" s="11" t="n">
        <f aca="false">AV51-AV78+AV53</f>
        <v>52.5897087630366</v>
      </c>
      <c r="AW79" s="11" t="n">
        <f aca="false">AW51-AW78+AW53</f>
        <v>52.7197474727984</v>
      </c>
      <c r="AX79" s="11" t="n">
        <f aca="false">AX51-AX78+AX53</f>
        <v>52.926342522472</v>
      </c>
      <c r="AY79" s="11" t="n">
        <f aca="false">AY51-AY78+AY53</f>
        <v>53.0007092231493</v>
      </c>
      <c r="AZ79" s="11" t="n">
        <f aca="false">AZ51-AZ78+AZ53</f>
        <v>53.0919497327961</v>
      </c>
      <c r="BA79" s="11" t="n">
        <f aca="false">BA51-BA78+BA53</f>
        <v>53.3051854691917</v>
      </c>
      <c r="BB79" s="11" t="n">
        <f aca="false">BB51-BB78+BB53</f>
        <v>50.1416573221038</v>
      </c>
      <c r="BC79" s="11" t="n">
        <f aca="false">BC51-BC78+BC53</f>
        <v>53.6797981674308</v>
      </c>
      <c r="BD79" s="11" t="n">
        <f aca="false">BD51-BD78+BD53</f>
        <v>53.6146606749134</v>
      </c>
      <c r="BE79" s="11" t="n">
        <f aca="false">BE51-BE78+BE53</f>
        <v>53.7552923908917</v>
      </c>
      <c r="BF79" s="11" t="n">
        <f aca="false">BF51-BF78+BF53</f>
        <v>53.9811073895442</v>
      </c>
      <c r="BG79" s="11" t="n">
        <f aca="false">BG51-BG78+BG53</f>
        <v>54.0602409053099</v>
      </c>
      <c r="BH79" s="11" t="n">
        <f aca="false">BH51-BH78+BH53</f>
        <v>54.158689919467</v>
      </c>
      <c r="BI79" s="11" t="n">
        <f aca="false">BI51-BI78+BI53</f>
        <v>54.4621561890885</v>
      </c>
      <c r="BJ79" s="11" t="n">
        <f aca="false">BJ51-BJ78+BJ53</f>
        <v>37.1438815019031</v>
      </c>
      <c r="BK79" s="11" t="n">
        <f aca="false">BK51-BK78+BK53</f>
        <v>54.9449018389707</v>
      </c>
      <c r="BL79" s="11" t="n">
        <f aca="false">BL51-BL78+BL53</f>
        <v>54.7249214898261</v>
      </c>
      <c r="BM79" s="11" t="n">
        <f aca="false">BM51-BM78+BM53</f>
        <v>17.493943867432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39.1198418793754</v>
      </c>
      <c r="P83" s="11" t="n">
        <f aca="false">(1-P81)*(P51/MAX(Time!P26,1)*Inputs!$F$165+P50/MAX(Time!P26,1)*P82)</f>
        <v>38.9912337821804</v>
      </c>
      <c r="Q83" s="11" t="n">
        <f aca="false">(1-Q81)*(Q51/MAX(Time!Q26,1)*Inputs!$F$165+Q50/MAX(Time!Q26,1)*Q82)</f>
        <v>40.0244758100501</v>
      </c>
      <c r="R83" s="11" t="n">
        <f aca="false">(1-R81)*(R51/MAX(Time!R26,1)*Inputs!$F$165+R50/MAX(Time!R26,1)*R82)</f>
        <v>39.3470009405197</v>
      </c>
      <c r="S83" s="11" t="n">
        <f aca="false">(1-S81)*(S51/MAX(Time!S26,1)*Inputs!$F$165+S50/MAX(Time!S26,1)*S82)</f>
        <v>40.5342527014116</v>
      </c>
      <c r="T83" s="11" t="n">
        <f aca="false">(1-T81)*(T51/MAX(Time!T26,1)*Inputs!$F$165+T50/MAX(Time!T26,1)*T82)</f>
        <v>40.1322584109883</v>
      </c>
      <c r="U83" s="11" t="n">
        <f aca="false">(1-U81)*(U51/MAX(Time!U26,1)*Inputs!$F$165+U50/MAX(Time!U26,1)*U82)</f>
        <v>40.8024958379061</v>
      </c>
      <c r="V83" s="11" t="n">
        <f aca="false">(1-V81)*(V51/MAX(Time!V26,1)*Inputs!$F$165+V50/MAX(Time!V26,1)*V82)</f>
        <v>39.946353543134</v>
      </c>
      <c r="W83" s="11" t="n">
        <f aca="false">(1-W81)*(W51/MAX(Time!W26,1)*Inputs!$F$165+W50/MAX(Time!W26,1)*W82)</f>
        <v>41.3460210905087</v>
      </c>
      <c r="X83" s="11" t="n">
        <f aca="false">(1-X81)*(X51/MAX(Time!X26,1)*Inputs!$F$165+X50/MAX(Time!X26,1)*X82)</f>
        <v>41.318199541015</v>
      </c>
      <c r="Y83" s="11" t="n">
        <f aca="false">(1-Y81)*(Y51/MAX(Time!Y26,1)*Inputs!$F$165+Y50/MAX(Time!Y26,1)*Y82)</f>
        <v>42.421479052218</v>
      </c>
      <c r="Z83" s="11" t="n">
        <f aca="false">(1-Z81)*(Z51/MAX(Time!Z26,1)*Inputs!$F$165+Z50/MAX(Time!Z26,1)*Z82)</f>
        <v>41.7025851982109</v>
      </c>
      <c r="AA83" s="11" t="n">
        <f aca="false">(1-AA81)*(AA51/MAX(Time!AA26,1)*Inputs!$F$165+AA50/MAX(Time!AA26,1)*AA82)</f>
        <v>42.9722062047435</v>
      </c>
      <c r="AB83" s="11" t="n">
        <f aca="false">(1-AB81)*(AB51/MAX(Time!AB26,1)*Inputs!$F$165+AB50/MAX(Time!AB26,1)*AB82)</f>
        <v>42.5508277759093</v>
      </c>
      <c r="AC83" s="11" t="n">
        <f aca="false">(1-AC81)*(AC51/MAX(Time!AC26,1)*Inputs!$F$165+AC50/MAX(Time!AC26,1)*AC82)</f>
        <v>43.0992362189108</v>
      </c>
      <c r="AD83" s="11" t="n">
        <f aca="false">(1-AD81)*(AD51/MAX(Time!AD26,1)*Inputs!$F$165+AD50/MAX(Time!AD26,1)*AD82)</f>
        <v>41.6293365149017</v>
      </c>
      <c r="AE83" s="11" t="n">
        <f aca="false">(1-AE81)*(AE51/MAX(Time!AE26,1)*Inputs!$F$165+AE50/MAX(Time!AE26,1)*AE82)</f>
        <v>43.5069774898148</v>
      </c>
      <c r="AF83" s="11" t="n">
        <f aca="false">(1-AF81)*(AF51/MAX(Time!AF26,1)*Inputs!$F$165+AF50/MAX(Time!AF26,1)*AF82)</f>
        <v>43.8319835223403</v>
      </c>
      <c r="AG83" s="11" t="n">
        <f aca="false">(1-AG81)*(AG51/MAX(Time!AG26,1)*Inputs!$F$165+AG50/MAX(Time!AG26,1)*AG82)</f>
        <v>45.0109420562652</v>
      </c>
      <c r="AH83" s="11" t="n">
        <f aca="false">(1-AH81)*(AH51/MAX(Time!AH26,1)*Inputs!$F$165+AH50/MAX(Time!AH26,1)*AH82)</f>
        <v>44.2473046562049</v>
      </c>
      <c r="AI83" s="11" t="n">
        <f aca="false">(1-AI81)*(AI51/MAX(Time!AI26,1)*Inputs!$F$165+AI50/MAX(Time!AI26,1)*AI82)</f>
        <v>45.6059172953042</v>
      </c>
      <c r="AJ83" s="11" t="n">
        <f aca="false">(1-AJ81)*(AJ51/MAX(Time!AJ26,1)*Inputs!$F$165+AJ50/MAX(Time!AJ26,1)*AJ82)</f>
        <v>45.1635797391603</v>
      </c>
      <c r="AK83" s="11" t="n">
        <f aca="false">(1-AK81)*(AK51/MAX(Time!AK26,1)*Inputs!$F$165+AK50/MAX(Time!AK26,1)*AK82)</f>
        <v>45.9277296647618</v>
      </c>
      <c r="AL83" s="11" t="n">
        <f aca="false">(1-AL81)*(AL51/MAX(Time!AL26,1)*Inputs!$F$165+AL50/MAX(Time!AL26,1)*AL82)</f>
        <v>44.9471671092985</v>
      </c>
      <c r="AM83" s="11" t="n">
        <f aca="false">(1-AM81)*(AM51/MAX(Time!AM26,1)*Inputs!$F$165+AM50/MAX(Time!AM26,1)*AM82)</f>
        <v>46.5535691179628</v>
      </c>
      <c r="AN83" s="11" t="n">
        <f aca="false">(1-AN81)*(AN51/MAX(Time!AN26,1)*Inputs!$F$165+AN50/MAX(Time!AN26,1)*AN82)</f>
        <v>46.5476047946416</v>
      </c>
      <c r="AO83" s="11" t="n">
        <f aca="false">(1-AO81)*(AO51/MAX(Time!AO26,1)*Inputs!$F$165+AO50/MAX(Time!AO26,1)*AO82)</f>
        <v>47.8083374839125</v>
      </c>
      <c r="AP83" s="11" t="n">
        <f aca="false">(1-AP81)*(AP51/MAX(Time!AP26,1)*Inputs!$F$165+AP50/MAX(Time!AP26,1)*AP82)</f>
        <v>46.9963668640704</v>
      </c>
      <c r="AQ83" s="11" t="n">
        <f aca="false">(1-AQ81)*(AQ51/MAX(Time!AQ26,1)*Inputs!$F$165+AQ50/MAX(Time!AQ26,1)*AQ82)</f>
        <v>48.4511245120663</v>
      </c>
      <c r="AR83" s="11" t="n">
        <f aca="false">(1-AR81)*(AR51/MAX(Time!AR26,1)*Inputs!$F$165+AR50/MAX(Time!AR26,1)*AR82)</f>
        <v>47.9861254360233</v>
      </c>
      <c r="AS83" s="11" t="n">
        <f aca="false">(1-AS81)*(AS51/MAX(Time!AS26,1)*Inputs!$F$165+AS50/MAX(Time!AS26,1)*AS82)</f>
        <v>48.608258121766</v>
      </c>
      <c r="AT83" s="11" t="n">
        <f aca="false">(1-AT81)*(AT51/MAX(Time!AT26,1)*Inputs!$F$165+AT50/MAX(Time!AT26,1)*AT82)</f>
        <v>46.9338294103213</v>
      </c>
      <c r="AU83" s="11" t="n">
        <f aca="false">(1-AU81)*(AU51/MAX(Time!AU26,1)*Inputs!$F$165+AU50/MAX(Time!AU26,1)*AU82)</f>
        <v>49.075876271294</v>
      </c>
      <c r="AV83" s="11" t="n">
        <f aca="false">(1-AV81)*(AV51/MAX(Time!AV26,1)*Inputs!$F$165+AV50/MAX(Time!AV26,1)*AV82)</f>
        <v>49.4812898757709</v>
      </c>
      <c r="AW83" s="11" t="n">
        <f aca="false">(1-AW81)*(AW51/MAX(Time!AW26,1)*Inputs!$F$165+AW50/MAX(Time!AW26,1)*AW82)</f>
        <v>50.8303818152435</v>
      </c>
      <c r="AX83" s="11" t="n">
        <f aca="false">(1-AX81)*(AX51/MAX(Time!AX26,1)*Inputs!$F$165+AX50/MAX(Time!AX26,1)*AX82)</f>
        <v>49.966202207206</v>
      </c>
      <c r="AY83" s="11" t="n">
        <f aca="false">(1-AY81)*(AY51/MAX(Time!AY26,1)*Inputs!$F$165+AY50/MAX(Time!AY26,1)*AY82)</f>
        <v>51.5248316479345</v>
      </c>
      <c r="AZ83" s="11" t="n">
        <f aca="false">(1-AZ81)*(AZ51/MAX(Time!AZ26,1)*Inputs!$F$165+AZ50/MAX(Time!AZ26,1)*AZ82)</f>
        <v>51.0353309991242</v>
      </c>
      <c r="BA83" s="11" t="n">
        <f aca="false">(1-BA81)*(BA51/MAX(Time!BA26,1)*Inputs!$F$165+BA50/MAX(Time!BA26,1)*BA82)</f>
        <v>51.9091383046691</v>
      </c>
      <c r="BB83" s="11" t="n">
        <f aca="false">(1-BB81)*(BB51/MAX(Time!BB26,1)*Inputs!$F$165+BB50/MAX(Time!BB26,1)*BB82)</f>
        <v>50.7835987075682</v>
      </c>
      <c r="BC83" s="11" t="n">
        <f aca="false">(1-BC81)*(BC51/MAX(Time!BC26,1)*Inputs!$F$165+BC50/MAX(Time!BC26,1)*BC82)</f>
        <v>52.6312406478686</v>
      </c>
      <c r="BD83" s="11" t="n">
        <f aca="false">(1-BD81)*(BD51/MAX(Time!BD26,1)*Inputs!$F$165+BD50/MAX(Time!BD26,1)*BD82)</f>
        <v>52.6505696976884</v>
      </c>
      <c r="BE83" s="11" t="n">
        <f aca="false">(1-BE81)*(BE51/MAX(Time!BE26,1)*Inputs!$F$165+BE50/MAX(Time!BE26,1)*BE82)</f>
        <v>54.0951352190242</v>
      </c>
      <c r="BF83" s="11" t="n">
        <f aca="false">(1-BF81)*(BF51/MAX(Time!BF26,1)*Inputs!$F$165+BF50/MAX(Time!BF26,1)*BF82)</f>
        <v>53.1745621309255</v>
      </c>
      <c r="BG83" s="11" t="n">
        <f aca="false">(1-BG81)*(BG51/MAX(Time!BG26,1)*Inputs!$F$165+BG50/MAX(Time!BG26,1)*BG82)</f>
        <v>54.8454093467476</v>
      </c>
      <c r="BH83" s="11" t="n">
        <f aca="false">(1-BH81)*(BH51/MAX(Time!BH26,1)*Inputs!$F$165+BH50/MAX(Time!BH26,1)*BH82)</f>
        <v>54.3294183340049</v>
      </c>
      <c r="BI83" s="11" t="n">
        <f aca="false">(1-BI81)*(BI51/MAX(Time!BI26,1)*Inputs!$F$165+BI50/MAX(Time!BI26,1)*BI82)</f>
        <v>55.0377129523275</v>
      </c>
      <c r="BJ83" s="11" t="n">
        <f aca="false">(1-BJ81)*(BJ51/MAX(Time!BJ26,1)*Inputs!$F$165+BJ50/MAX(Time!BJ26,1)*BJ82)</f>
        <v>53.1246079233683</v>
      </c>
      <c r="BK83" s="11" t="n">
        <f aca="false">(1-BK81)*(BK51/MAX(Time!BK26,1)*Inputs!$F$165+BK50/MAX(Time!BK26,1)*BK82)</f>
        <v>55.5754929853254</v>
      </c>
      <c r="BL83" s="11" t="n">
        <f aca="false">(1-BL81)*(BL51/MAX(Time!BL26,1)*Inputs!$F$165+BL50/MAX(Time!BL26,1)*BL82)</f>
        <v>56.0743843422375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19.3615100190214</v>
      </c>
      <c r="P85" s="11" t="n">
        <f aca="false">(1-P81)*(P68+P49)/MAX(Time!P26,1)*Inputs!$F$166</f>
        <v>19.254352967454</v>
      </c>
      <c r="Q85" s="11" t="n">
        <f aca="false">(1-Q81)*(Q68+Q49)/MAX(Time!Q26,1)*Inputs!$F$166</f>
        <v>19.8980923810643</v>
      </c>
      <c r="R85" s="11" t="n">
        <f aca="false">(1-R81)*(R68+R49)/MAX(Time!R26,1)*Inputs!$F$166</f>
        <v>19.445101674629</v>
      </c>
      <c r="S85" s="11" t="n">
        <f aca="false">(1-S81)*(S68+S49)/MAX(Time!S26,1)*Inputs!$F$166</f>
        <v>20.2247590341221</v>
      </c>
      <c r="T85" s="11" t="n">
        <f aca="false">(1-T81)*(T68+T49)/MAX(Time!T26,1)*Inputs!$F$166</f>
        <v>20.0200036293385</v>
      </c>
      <c r="U85" s="11" t="n">
        <f aca="false">(1-U81)*(U68+U49)/MAX(Time!U26,1)*Inputs!$F$166</f>
        <v>20.4068751630415</v>
      </c>
      <c r="V85" s="11" t="n">
        <f aca="false">(1-V81)*(V68+V49)/MAX(Time!V26,1)*Inputs!$F$166</f>
        <v>19.7176300646459</v>
      </c>
      <c r="W85" s="11" t="n">
        <f aca="false">(1-W81)*(W68+W49)/MAX(Time!W26,1)*Inputs!$F$166</f>
        <v>20.6827979111303</v>
      </c>
      <c r="X85" s="11" t="n">
        <f aca="false">(1-X81)*(X68+X49)/MAX(Time!X26,1)*Inputs!$F$166</f>
        <v>20.8157925243062</v>
      </c>
      <c r="Y85" s="11" t="n">
        <f aca="false">(1-Y81)*(Y68+Y49)/MAX(Time!Y26,1)*Inputs!$F$166</f>
        <v>21.5115771047765</v>
      </c>
      <c r="Z85" s="11" t="n">
        <f aca="false">(1-Z81)*(Z68+Z49)/MAX(Time!Z26,1)*Inputs!$F$166</f>
        <v>21.0216989668203</v>
      </c>
      <c r="AA85" s="11" t="n">
        <f aca="false">(1-AA81)*(AA68+AA49)/MAX(Time!AA26,1)*Inputs!$F$166</f>
        <v>21.864408579853</v>
      </c>
      <c r="AB85" s="11" t="n">
        <f aca="false">(1-AB81)*(AB68+AB49)/MAX(Time!AB26,1)*Inputs!$F$166</f>
        <v>21.6428930309172</v>
      </c>
      <c r="AC85" s="11" t="n">
        <f aca="false">(1-AC81)*(AC68+AC49)/MAX(Time!AC26,1)*Inputs!$F$166</f>
        <v>21.9102942067387</v>
      </c>
      <c r="AD85" s="11" t="n">
        <f aca="false">(1-AD81)*(AD68+AD49)/MAX(Time!AD26,1)*Inputs!$F$166</f>
        <v>20.8686741664554</v>
      </c>
      <c r="AE85" s="11" t="n">
        <f aca="false">(1-AE81)*(AE68+AE49)/MAX(Time!AE26,1)*Inputs!$F$166</f>
        <v>22.0499586708509</v>
      </c>
      <c r="AF85" s="11" t="n">
        <f aca="false">(1-AF81)*(AF68+AF49)/MAX(Time!AF26,1)*Inputs!$F$166</f>
        <v>22.5025236563989</v>
      </c>
      <c r="AG85" s="11" t="n">
        <f aca="false">(1-AG81)*(AG68+AG49)/MAX(Time!AG26,1)*Inputs!$F$166</f>
        <v>23.2545158932033</v>
      </c>
      <c r="AH85" s="11" t="n">
        <f aca="false">(1-AH81)*(AH68+AH49)/MAX(Time!AH26,1)*Inputs!$F$166</f>
        <v>22.7247773818559</v>
      </c>
      <c r="AI85" s="11" t="n">
        <f aca="false">(1-AI81)*(AI68+AI49)/MAX(Time!AI26,1)*Inputs!$F$166</f>
        <v>23.6355836472194</v>
      </c>
      <c r="AJ85" s="11" t="n">
        <f aca="false">(1-AJ81)*(AJ68+AJ49)/MAX(Time!AJ26,1)*Inputs!$F$166</f>
        <v>23.3959497481084</v>
      </c>
      <c r="AK85" s="11" t="n">
        <f aca="false">(1-AK81)*(AK68+AK49)/MAX(Time!AK26,1)*Inputs!$F$166</f>
        <v>23.8477047129426</v>
      </c>
      <c r="AL85" s="11" t="n">
        <f aca="false">(1-AL81)*(AL68+AL49)/MAX(Time!AL26,1)*Inputs!$F$166</f>
        <v>23.0419027195771</v>
      </c>
      <c r="AM85" s="11" t="n">
        <f aca="false">(1-AM81)*(AM68+AM49)/MAX(Time!AM26,1)*Inputs!$F$166</f>
        <v>24.1694326832031</v>
      </c>
      <c r="AN85" s="11" t="n">
        <f aca="false">(1-AN81)*(AN68+AN49)/MAX(Time!AN26,1)*Inputs!$F$166</f>
        <v>24.3244852688248</v>
      </c>
      <c r="AO85" s="11" t="n">
        <f aca="false">(1-AO81)*(AO68+AO49)/MAX(Time!AO26,1)*Inputs!$F$166</f>
        <v>25.1371766489407</v>
      </c>
      <c r="AP85" s="11" t="n">
        <f aca="false">(1-AP81)*(AP68+AP49)/MAX(Time!AP26,1)*Inputs!$F$166</f>
        <v>24.5643678469252</v>
      </c>
      <c r="AQ85" s="11" t="n">
        <f aca="false">(1-AQ81)*(AQ68+AQ49)/MAX(Time!AQ26,1)*Inputs!$F$166</f>
        <v>25.5487140044375</v>
      </c>
      <c r="AR85" s="11" t="n">
        <f aca="false">(1-AR81)*(AR68+AR49)/MAX(Time!AR26,1)*Inputs!$F$166</f>
        <v>25.2894946382022</v>
      </c>
      <c r="AS85" s="11" t="n">
        <f aca="false">(1-AS81)*(AS68+AS49)/MAX(Time!AS26,1)*Inputs!$F$166</f>
        <v>25.6015683771704</v>
      </c>
      <c r="AT85" s="11" t="n">
        <f aca="false">(1-AT81)*(AT68+AT49)/MAX(Time!AT26,1)*Inputs!$F$166</f>
        <v>24.3841006042636</v>
      </c>
      <c r="AU85" s="11" t="n">
        <f aca="false">(1-AU81)*(AU68+AU49)/MAX(Time!AU26,1)*Inputs!$F$166</f>
        <v>25.7639934904408</v>
      </c>
      <c r="AV85" s="11" t="n">
        <f aca="false">(1-AV81)*(AV68+AV49)/MAX(Time!AV26,1)*Inputs!$F$166</f>
        <v>26.2923946427988</v>
      </c>
      <c r="AW85" s="11" t="n">
        <f aca="false">(1-AW81)*(AW68+AW49)/MAX(Time!AW26,1)*Inputs!$F$166</f>
        <v>27.1706313096619</v>
      </c>
      <c r="AX85" s="11" t="n">
        <f aca="false">(1-AX81)*(AX68+AX49)/MAX(Time!AX26,1)*Inputs!$F$166</f>
        <v>26.5512866632603</v>
      </c>
      <c r="AY85" s="11" t="n">
        <f aca="false">(1-AY81)*(AY68+AY49)/MAX(Time!AY26,1)*Inputs!$F$166</f>
        <v>27.615045912313</v>
      </c>
      <c r="AZ85" s="11" t="n">
        <f aca="false">(1-AZ81)*(AZ68+AZ49)/MAX(Time!AZ26,1)*Inputs!$F$166</f>
        <v>27.334656417182</v>
      </c>
      <c r="BA85" s="11" t="n">
        <f aca="false">(1-BA81)*(BA68+BA49)/MAX(Time!BA26,1)*Inputs!$F$166</f>
        <v>27.8620471365554</v>
      </c>
      <c r="BB85" s="11" t="n">
        <f aca="false">(1-BB81)*(BB68+BB49)/MAX(Time!BB26,1)*Inputs!$F$166</f>
        <v>26.9201992479936</v>
      </c>
      <c r="BC85" s="11" t="n">
        <f aca="false">(1-BC81)*(BC68+BC49)/MAX(Time!BC26,1)*Inputs!$F$166</f>
        <v>28.2370861246425</v>
      </c>
      <c r="BD85" s="11" t="n">
        <f aca="false">(1-BD81)*(BD68+BD49)/MAX(Time!BD26,1)*Inputs!$F$166</f>
        <v>28.4178074986989</v>
      </c>
      <c r="BE85" s="11" t="n">
        <f aca="false">(1-BE81)*(BE68+BE49)/MAX(Time!BE26,1)*Inputs!$F$166</f>
        <v>29.3668178813948</v>
      </c>
      <c r="BF85" s="11" t="n">
        <f aca="false">(1-BF81)*(BF68+BF49)/MAX(Time!BF26,1)*Inputs!$F$166</f>
        <v>28.6971960901545</v>
      </c>
      <c r="BG85" s="11" t="n">
        <f aca="false">(1-BG81)*(BG68+BG49)/MAX(Time!BG26,1)*Inputs!$F$166</f>
        <v>29.8467050988457</v>
      </c>
      <c r="BH85" s="11" t="n">
        <f aca="false">(1-BH81)*(BH68+BH49)/MAX(Time!BH26,1)*Inputs!$F$166</f>
        <v>29.5434339585925</v>
      </c>
      <c r="BI85" s="11" t="n">
        <f aca="false">(1-BI81)*(BI68+BI49)/MAX(Time!BI26,1)*Inputs!$F$166</f>
        <v>29.9075518215201</v>
      </c>
      <c r="BJ85" s="11" t="n">
        <f aca="false">(1-BJ81)*(BJ68+BJ49)/MAX(Time!BJ26,1)*Inputs!$F$166</f>
        <v>28.4848869358508</v>
      </c>
      <c r="BK85" s="11" t="n">
        <f aca="false">(1-BK81)*(BK68+BK49)/MAX(Time!BK26,1)*Inputs!$F$166</f>
        <v>30.0963896978098</v>
      </c>
      <c r="BL85" s="11" t="n">
        <f aca="false">(1-BL81)*(BL68+BL49)/MAX(Time!BL26,1)*Inputs!$F$166</f>
        <v>30.7131826122403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2.28927188336579</v>
      </c>
      <c r="P86" s="11" t="n">
        <f aca="false">(1-P81)*(P47+P48)/MAX(Time!P26,1)*Inputs!$F$167</f>
        <v>2.286989528908</v>
      </c>
      <c r="Q86" s="11" t="n">
        <f aca="false">(1-Q81)*(Q47+Q48)/MAX(Time!Q26,1)*Inputs!$F$167</f>
        <v>2.32677644268547</v>
      </c>
      <c r="R86" s="11" t="n">
        <f aca="false">(1-R81)*(R47+R48)/MAX(Time!R26,1)*Inputs!$F$167</f>
        <v>2.31717541990963</v>
      </c>
      <c r="S86" s="11" t="n">
        <f aca="false">(1-S81)*(S47+S48)/MAX(Time!S26,1)*Inputs!$F$167</f>
        <v>2.36017441308757</v>
      </c>
      <c r="T86" s="11" t="n">
        <f aca="false">(1-T81)*(T47+T48)/MAX(Time!T26,1)*Inputs!$F$167</f>
        <v>2.35585594760475</v>
      </c>
      <c r="U86" s="11" t="n">
        <f aca="false">(1-U81)*(U47+U48)/MAX(Time!U26,1)*Inputs!$F$167</f>
        <v>2.39090985710608</v>
      </c>
      <c r="V86" s="11" t="n">
        <f aca="false">(1-V81)*(V47+V48)/MAX(Time!V26,1)*Inputs!$F$167</f>
        <v>2.37644435092908</v>
      </c>
      <c r="W86" s="11" t="n">
        <f aca="false">(1-W81)*(W47+W48)/MAX(Time!W26,1)*Inputs!$F$167</f>
        <v>2.42401225486383</v>
      </c>
      <c r="X86" s="11" t="n">
        <f aca="false">(1-X81)*(X47+X48)/MAX(Time!X26,1)*Inputs!$F$167</f>
        <v>2.4267897919723</v>
      </c>
      <c r="Y86" s="11" t="n">
        <f aca="false">(1-Y81)*(Y47+Y48)/MAX(Time!Y26,1)*Inputs!$F$167</f>
        <v>2.46899961616278</v>
      </c>
      <c r="Z86" s="11" t="n">
        <f aca="false">(1-Z81)*(Z47+Z48)/MAX(Time!Z26,1)*Inputs!$F$167</f>
        <v>2.45881886674401</v>
      </c>
      <c r="AA86" s="11" t="n">
        <f aca="false">(1-AA81)*(AA47+AA48)/MAX(Time!AA26,1)*Inputs!$F$167</f>
        <v>2.50443395112465</v>
      </c>
      <c r="AB86" s="11" t="n">
        <f aca="false">(1-AB81)*(AB47+AB48)/MAX(Time!AB26,1)*Inputs!$F$167</f>
        <v>2.49985293546341</v>
      </c>
      <c r="AC86" s="11" t="n">
        <f aca="false">(1-AC81)*(AC47+AC48)/MAX(Time!AC26,1)*Inputs!$F$167</f>
        <v>2.53394580293655</v>
      </c>
      <c r="AD86" s="11" t="n">
        <f aca="false">(1-AD81)*(AD47+AD48)/MAX(Time!AD26,1)*Inputs!$F$167</f>
        <v>2.5125103454106</v>
      </c>
      <c r="AE86" s="11" t="n">
        <f aca="false">(1-AE81)*(AE47+AE48)/MAX(Time!AE26,1)*Inputs!$F$167</f>
        <v>2.56584143396966</v>
      </c>
      <c r="AF86" s="11" t="n">
        <f aca="false">(1-AF81)*(AF47+AF48)/MAX(Time!AF26,1)*Inputs!$F$167</f>
        <v>2.5751090973563</v>
      </c>
      <c r="AG86" s="11" t="n">
        <f aca="false">(1-AG81)*(AG47+AG48)/MAX(Time!AG26,1)*Inputs!$F$167</f>
        <v>2.61988861259983</v>
      </c>
      <c r="AH86" s="11" t="n">
        <f aca="false">(1-AH81)*(AH47+AH48)/MAX(Time!AH26,1)*Inputs!$F$167</f>
        <v>2.60909375995202</v>
      </c>
      <c r="AI86" s="11" t="n">
        <f aca="false">(1-AI81)*(AI47+AI48)/MAX(Time!AI26,1)*Inputs!$F$167</f>
        <v>2.65748314823185</v>
      </c>
      <c r="AJ86" s="11" t="n">
        <f aca="false">(1-AJ81)*(AJ47+AJ48)/MAX(Time!AJ26,1)*Inputs!$F$167</f>
        <v>2.65262389763724</v>
      </c>
      <c r="AK86" s="11" t="n">
        <f aca="false">(1-AK81)*(AK47+AK48)/MAX(Time!AK26,1)*Inputs!$F$167</f>
        <v>2.69208709169671</v>
      </c>
      <c r="AL86" s="11" t="n">
        <f aca="false">(1-AL81)*(AL47+AL48)/MAX(Time!AL26,1)*Inputs!$F$167</f>
        <v>2.67582728979671</v>
      </c>
      <c r="AM86" s="11" t="n">
        <f aca="false">(1-AM81)*(AM47+AM48)/MAX(Time!AM26,1)*Inputs!$F$167</f>
        <v>2.72935153591227</v>
      </c>
      <c r="AN86" s="11" t="n">
        <f aca="false">(1-AN81)*(AN47+AN48)/MAX(Time!AN26,1)*Inputs!$F$167</f>
        <v>2.73246491350921</v>
      </c>
      <c r="AO86" s="11" t="n">
        <f aca="false">(1-AO81)*(AO47+AO48)/MAX(Time!AO26,1)*Inputs!$F$167</f>
        <v>2.77996974439418</v>
      </c>
      <c r="AP86" s="11" t="n">
        <f aca="false">(1-AP81)*(AP47+AP48)/MAX(Time!AP26,1)*Inputs!$F$167</f>
        <v>2.76852441393319</v>
      </c>
      <c r="AQ86" s="11" t="n">
        <f aca="false">(1-AQ81)*(AQ47+AQ48)/MAX(Time!AQ26,1)*Inputs!$F$167</f>
        <v>2.81985582722791</v>
      </c>
      <c r="AR86" s="11" t="n">
        <f aca="false">(1-AR81)*(AR47+AR48)/MAX(Time!AR26,1)*Inputs!$F$167</f>
        <v>2.81470173757479</v>
      </c>
      <c r="AS86" s="11" t="n">
        <f aca="false">(1-AS81)*(AS47+AS48)/MAX(Time!AS26,1)*Inputs!$F$167</f>
        <v>2.8530894629817</v>
      </c>
      <c r="AT86" s="11" t="n">
        <f aca="false">(1-AT81)*(AT47+AT48)/MAX(Time!AT26,1)*Inputs!$F$167</f>
        <v>2.82900106772876</v>
      </c>
      <c r="AU86" s="11" t="n">
        <f aca="false">(1-AU81)*(AU47+AU48)/MAX(Time!AU26,1)*Inputs!$F$167</f>
        <v>2.8890025245745</v>
      </c>
      <c r="AV86" s="11" t="n">
        <f aca="false">(1-AV81)*(AV47+AV48)/MAX(Time!AV26,1)*Inputs!$F$167</f>
        <v>2.89940603774255</v>
      </c>
      <c r="AW86" s="11" t="n">
        <f aca="false">(1-AW81)*(AW47+AW48)/MAX(Time!AW26,1)*Inputs!$F$167</f>
        <v>2.94980118263911</v>
      </c>
      <c r="AX86" s="11" t="n">
        <f aca="false">(1-AX81)*(AX47+AX48)/MAX(Time!AX26,1)*Inputs!$F$167</f>
        <v>2.93766688834992</v>
      </c>
      <c r="AY86" s="11" t="n">
        <f aca="false">(1-AY81)*(AY47+AY48)/MAX(Time!AY26,1)*Inputs!$F$167</f>
        <v>2.99211812384606</v>
      </c>
      <c r="AZ86" s="11" t="n">
        <f aca="false">(1-AZ81)*(AZ47+AZ48)/MAX(Time!AZ26,1)*Inputs!$F$167</f>
        <v>2.98665161890802</v>
      </c>
      <c r="BA86" s="11" t="n">
        <f aca="false">(1-BA81)*(BA47+BA48)/MAX(Time!BA26,1)*Inputs!$F$167</f>
        <v>3.03107691598411</v>
      </c>
      <c r="BB86" s="11" t="n">
        <f aca="false">(1-BB81)*(BB47+BB48)/MAX(Time!BB26,1)*Inputs!$F$167</f>
        <v>3.01280455589826</v>
      </c>
      <c r="BC86" s="11" t="n">
        <f aca="false">(1-BC81)*(BC47+BC48)/MAX(Time!BC26,1)*Inputs!$F$167</f>
        <v>3.07302558047404</v>
      </c>
      <c r="BD86" s="11" t="n">
        <f aca="false">(1-BD81)*(BD47+BD48)/MAX(Time!BD26,1)*Inputs!$F$167</f>
        <v>3.07651448646136</v>
      </c>
      <c r="BE86" s="11" t="n">
        <f aca="false">(1-BE81)*(BE47+BE48)/MAX(Time!BE26,1)*Inputs!$F$167</f>
        <v>3.12997487890262</v>
      </c>
      <c r="BF86" s="11" t="n">
        <f aca="false">(1-BF81)*(BF47+BF48)/MAX(Time!BF26,1)*Inputs!$F$167</f>
        <v>3.11711090365165</v>
      </c>
      <c r="BG86" s="11" t="n">
        <f aca="false">(1-BG81)*(BG47+BG48)/MAX(Time!BG26,1)*Inputs!$F$167</f>
        <v>3.17487043590338</v>
      </c>
      <c r="BH86" s="11" t="n">
        <f aca="false">(1-BH81)*(BH47+BH48)/MAX(Time!BH26,1)*Inputs!$F$167</f>
        <v>3.1690729116758</v>
      </c>
      <c r="BI86" s="11" t="n">
        <f aca="false">(1-BI81)*(BI47+BI48)/MAX(Time!BI26,1)*Inputs!$F$167</f>
        <v>3.21229554095516</v>
      </c>
      <c r="BJ86" s="11" t="n">
        <f aca="false">(1-BJ81)*(BJ47+BJ48)/MAX(Time!BJ26,1)*Inputs!$F$167</f>
        <v>3.1852322896157</v>
      </c>
      <c r="BK86" s="11" t="n">
        <f aca="false">(1-BK81)*(BK47+BK48)/MAX(Time!BK26,1)*Inputs!$F$167</f>
        <v>3.25273180770225</v>
      </c>
      <c r="BL86" s="11" t="n">
        <f aca="false">(1-BL81)*(BL47+BL48)/MAX(Time!BL26,1)*Inputs!$F$167</f>
        <v>3.26440749903233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1.71286010751399</v>
      </c>
      <c r="R87" s="11" t="n">
        <f aca="false">(1-R81)*(R55+R56+R57+R59)/MAX(Time!R26,1)*Inputs!$F$168</f>
        <v>1.69263594622123</v>
      </c>
      <c r="S87" s="11" t="n">
        <f aca="false">(1-S81)*(S55+S56+S57+S59)/MAX(Time!S26,1)*Inputs!$F$168</f>
        <v>1.74502917045463</v>
      </c>
      <c r="T87" s="11" t="n">
        <f aca="false">(1-T81)*(T55+T56+T57+T59)/MAX(Time!T26,1)*Inputs!$F$168</f>
        <v>1.74632383256489</v>
      </c>
      <c r="U87" s="11" t="n">
        <f aca="false">(1-U81)*(U55+U56+U57+U59)/MAX(Time!U26,1)*Inputs!$F$168</f>
        <v>1.76490315486203</v>
      </c>
      <c r="V87" s="11" t="n">
        <f aca="false">(1-V81)*(V55+V56+V57+V59)/MAX(Time!V26,1)*Inputs!$F$168</f>
        <v>1.72496769206929</v>
      </c>
      <c r="W87" s="11" t="n">
        <f aca="false">(1-W81)*(W55+W56+W57+W59)/MAX(Time!W26,1)*Inputs!$F$168</f>
        <v>1.79321945412016</v>
      </c>
      <c r="X87" s="11" t="n">
        <f aca="false">(1-X81)*(X55+X56+X57+X59)/MAX(Time!X26,1)*Inputs!$F$168</f>
        <v>1.8240073019327</v>
      </c>
      <c r="Y87" s="11" t="n">
        <f aca="false">(1-Y81)*(Y55+Y56+Y57+Y59)/MAX(Time!Y26,1)*Inputs!$F$168</f>
        <v>1.8686392981129</v>
      </c>
      <c r="Z87" s="11" t="n">
        <f aca="false">(1-Z81)*(Z55+Z56+Z57+Z59)/MAX(Time!Z26,1)*Inputs!$F$168</f>
        <v>1.84657581353687</v>
      </c>
      <c r="AA87" s="11" t="n">
        <f aca="false">(1-AA81)*(AA55+AA56+AA57+AA59)/MAX(Time!AA26,1)*Inputs!$F$168</f>
        <v>1.90373403523161</v>
      </c>
      <c r="AB87" s="11" t="n">
        <f aca="false">(1-AB81)*(AB55+AB56+AB57+AB59)/MAX(Time!AB26,1)*Inputs!$F$168</f>
        <v>1.90514644275188</v>
      </c>
      <c r="AC87" s="11" t="n">
        <f aca="false">(1-AC81)*(AC55+AC56+AC57+AC59)/MAX(Time!AC26,1)*Inputs!$F$168</f>
        <v>1.91250840221712</v>
      </c>
      <c r="AD87" s="11" t="n">
        <f aca="false">(1-AD81)*(AD55+AD56+AD57+AD59)/MAX(Time!AD26,1)*Inputs!$F$168</f>
        <v>1.84924221133948</v>
      </c>
      <c r="AE87" s="11" t="n">
        <f aca="false">(1-AE81)*(AE55+AE56+AE57+AE59)/MAX(Time!AE26,1)*Inputs!$F$168</f>
        <v>1.9297792162426</v>
      </c>
      <c r="AF87" s="11" t="n">
        <f aca="false">(1-AF81)*(AF55+AF56+AF57+AF59)/MAX(Time!AF26,1)*Inputs!$F$168</f>
        <v>1.98989497711125</v>
      </c>
      <c r="AG87" s="11" t="n">
        <f aca="false">(1-AG81)*(AG55+AG56+AG57+AG59)/MAX(Time!AG26,1)*Inputs!$F$168</f>
        <v>2.03858611169351</v>
      </c>
      <c r="AH87" s="11" t="n">
        <f aca="false">(1-AH81)*(AH55+AH56+AH57+AH59)/MAX(Time!AH26,1)*Inputs!$F$168</f>
        <v>2.01451602321914</v>
      </c>
      <c r="AI87" s="11" t="n">
        <f aca="false">(1-AI81)*(AI55+AI56+AI57+AI59)/MAX(Time!AI26,1)*Inputs!$F$168</f>
        <v>2.07687260377146</v>
      </c>
      <c r="AJ87" s="11" t="n">
        <f aca="false">(1-AJ81)*(AJ55+AJ56+AJ57+AJ59)/MAX(Time!AJ26,1)*Inputs!$F$168</f>
        <v>2.07841346527307</v>
      </c>
      <c r="AK87" s="11" t="n">
        <f aca="false">(1-AK81)*(AK55+AK56+AK57+AK59)/MAX(Time!AK26,1)*Inputs!$F$168</f>
        <v>2.10052592398087</v>
      </c>
      <c r="AL87" s="11" t="n">
        <f aca="false">(1-AL81)*(AL55+AL56+AL57+AL59)/MAX(Time!AL26,1)*Inputs!$F$168</f>
        <v>2.05299613479598</v>
      </c>
      <c r="AM87" s="11" t="n">
        <f aca="false">(1-AM81)*(AM55+AM56+AM57+AM59)/MAX(Time!AM26,1)*Inputs!$F$168</f>
        <v>2.13422699165647</v>
      </c>
      <c r="AN87" s="11" t="n">
        <f aca="false">(1-AN81)*(AN55+AN56+AN57+AN59)/MAX(Time!AN26,1)*Inputs!$F$168</f>
        <v>2.17086960986228</v>
      </c>
      <c r="AO87" s="11" t="n">
        <f aca="false">(1-AO81)*(AO55+AO56+AO57+AO59)/MAX(Time!AO26,1)*Inputs!$F$168</f>
        <v>2.22398904860159</v>
      </c>
      <c r="AP87" s="11" t="n">
        <f aca="false">(1-AP81)*(AP55+AP56+AP57+AP59)/MAX(Time!AP26,1)*Inputs!$F$168</f>
        <v>2.19772986197278</v>
      </c>
      <c r="AQ87" s="11" t="n">
        <f aca="false">(1-AQ81)*(AQ55+AQ56+AQ57+AQ59)/MAX(Time!AQ26,1)*Inputs!$F$168</f>
        <v>2.2657575756225</v>
      </c>
      <c r="AR87" s="11" t="n">
        <f aca="false">(1-AR81)*(AR55+AR56+AR57+AR59)/MAX(Time!AR26,1)*Inputs!$F$168</f>
        <v>2.26743857358739</v>
      </c>
      <c r="AS87" s="11" t="n">
        <f aca="false">(1-AS81)*(AS55+AS56+AS57+AS59)/MAX(Time!AS26,1)*Inputs!$F$168</f>
        <v>2.2762005199103</v>
      </c>
      <c r="AT87" s="11" t="n">
        <f aca="false">(1-AT81)*(AT55+AT56+AT57+AT59)/MAX(Time!AT26,1)*Inputs!$F$168</f>
        <v>2.20090331525411</v>
      </c>
      <c r="AU87" s="11" t="n">
        <f aca="false">(1-AU81)*(AU55+AU56+AU57+AU59)/MAX(Time!AU26,1)*Inputs!$F$168</f>
        <v>2.29675563790011</v>
      </c>
      <c r="AV87" s="11" t="n">
        <f aca="false">(1-AV81)*(AV55+AV56+AV57+AV59)/MAX(Time!AV26,1)*Inputs!$F$168</f>
        <v>2.36830331109485</v>
      </c>
      <c r="AW87" s="11" t="n">
        <f aca="false">(1-AW81)*(AW55+AW56+AW57+AW59)/MAX(Time!AW26,1)*Inputs!$F$168</f>
        <v>2.4262537942</v>
      </c>
      <c r="AX87" s="11" t="n">
        <f aca="false">(1-AX81)*(AX55+AX56+AX57+AX59)/MAX(Time!AX26,1)*Inputs!$F$168</f>
        <v>2.39760641788724</v>
      </c>
      <c r="AY87" s="11" t="n">
        <f aca="false">(1-AY81)*(AY55+AY56+AY57+AY59)/MAX(Time!AY26,1)*Inputs!$F$168</f>
        <v>2.47182103619086</v>
      </c>
      <c r="AZ87" s="11" t="n">
        <f aca="false">(1-AZ81)*(AZ55+AZ56+AZ57+AZ59)/MAX(Time!AZ26,1)*Inputs!$F$168</f>
        <v>2.47365491558559</v>
      </c>
      <c r="BA87" s="11" t="n">
        <f aca="false">(1-BA81)*(BA55+BA56+BA57+BA59)/MAX(Time!BA26,1)*Inputs!$F$168</f>
        <v>2.49997238951085</v>
      </c>
      <c r="BB87" s="11" t="n">
        <f aca="false">(1-BB81)*(BB55+BB56+BB57+BB59)/MAX(Time!BB26,1)*Inputs!$F$168</f>
        <v>2.44340409902468</v>
      </c>
      <c r="BC87" s="11" t="n">
        <f aca="false">(1-BC81)*(BC55+BC56+BC57+BC59)/MAX(Time!BC26,1)*Inputs!$F$168</f>
        <v>2.54008221997006</v>
      </c>
      <c r="BD87" s="11" t="n">
        <f aca="false">(1-BD81)*(BD55+BD56+BD57+BD59)/MAX(Time!BD26,1)*Inputs!$F$168</f>
        <v>2.5836929808505</v>
      </c>
      <c r="BE87" s="11" t="n">
        <f aca="false">(1-BE81)*(BE55+BE56+BE57+BE59)/MAX(Time!BE26,1)*Inputs!$F$168</f>
        <v>2.64691387647407</v>
      </c>
      <c r="BF87" s="11" t="n">
        <f aca="false">(1-BF81)*(BF55+BF56+BF57+BF59)/MAX(Time!BF26,1)*Inputs!$F$168</f>
        <v>2.6156611122051</v>
      </c>
      <c r="BG87" s="11" t="n">
        <f aca="false">(1-BG81)*(BG55+BG56+BG57+BG59)/MAX(Time!BG26,1)*Inputs!$F$168</f>
        <v>2.69662531450523</v>
      </c>
      <c r="BH87" s="11" t="n">
        <f aca="false">(1-BH81)*(BH55+BH56+BH57+BH59)/MAX(Time!BH26,1)*Inputs!$F$168</f>
        <v>2.69862597941065</v>
      </c>
      <c r="BI87" s="11" t="n">
        <f aca="false">(1-BI81)*(BI55+BI56+BI57+BI59)/MAX(Time!BI26,1)*Inputs!$F$168</f>
        <v>2.70905414106083</v>
      </c>
      <c r="BJ87" s="11" t="n">
        <f aca="false">(1-BJ81)*(BJ55+BJ56+BJ57+BJ59)/MAX(Time!BJ26,1)*Inputs!$F$168</f>
        <v>2.61943804515896</v>
      </c>
      <c r="BK87" s="11" t="n">
        <f aca="false">(1-BK81)*(BK55+BK56+BK57+BK59)/MAX(Time!BK26,1)*Inputs!$F$168</f>
        <v>2.73351812260516</v>
      </c>
      <c r="BL87" s="11" t="n">
        <f aca="false">(1-BL81)*(BL55+BL56+BL57+BL59)/MAX(Time!BL26,1)*Inputs!$F$168</f>
        <v>2.81867165747875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1.16908940714676</v>
      </c>
      <c r="P88" s="11" t="n">
        <f aca="false">(1-P81)*(P60+P61+P62+P63+P64+P65+P66)/MAX(Time!P26,1)*Inputs!$F$169</f>
        <v>1.17437710141026</v>
      </c>
      <c r="Q88" s="11" t="n">
        <f aca="false">(1-Q81)*(Q60+Q61+Q62+Q63+Q64+Q65+Q66)/MAX(Time!Q26,1)*Inputs!$F$169</f>
        <v>1.20455680672931</v>
      </c>
      <c r="R88" s="11" t="n">
        <f aca="false">(1-R81)*(R60+R61+R62+R63+R64+R65+R66)/MAX(Time!R26,1)*Inputs!$F$169</f>
        <v>1.19440994066601</v>
      </c>
      <c r="S88" s="11" t="n">
        <f aca="false">(1-S81)*(S60+S61+S62+S63+S64+S65+S66)/MAX(Time!S26,1)*Inputs!$F$169</f>
        <v>1.22747781104018</v>
      </c>
      <c r="T88" s="11" t="n">
        <f aca="false">(1-T81)*(T60+T61+T62+T63+T64+T65+T66)/MAX(Time!T26,1)*Inputs!$F$169</f>
        <v>1.22184276048733</v>
      </c>
      <c r="U88" s="11" t="n">
        <f aca="false">(1-U81)*(U60+U61+U62+U63+U64+U65+U66)/MAX(Time!U26,1)*Inputs!$F$169</f>
        <v>1.24333028314458</v>
      </c>
      <c r="V88" s="11" t="n">
        <f aca="false">(1-V81)*(V60+V61+V62+V63+V64+V65+V66)/MAX(Time!V26,1)*Inputs!$F$169</f>
        <v>1.23357835972436</v>
      </c>
      <c r="W88" s="11" t="n">
        <f aca="false">(1-W81)*(W60+W61+W62+W63+W64+W65+W66)/MAX(Time!W26,1)*Inputs!$F$169</f>
        <v>1.2709153509933</v>
      </c>
      <c r="X88" s="11" t="n">
        <f aca="false">(1-X81)*(X60+X61+X62+X63+X64+X65+X66)/MAX(Time!X26,1)*Inputs!$F$169</f>
        <v>1.27137077047858</v>
      </c>
      <c r="Y88" s="11" t="n">
        <f aca="false">(1-Y81)*(Y60+Y61+Y62+Y63+Y64+Y65+Y66)/MAX(Time!Y26,1)*Inputs!$F$169</f>
        <v>1.30411452228973</v>
      </c>
      <c r="Z88" s="11" t="n">
        <f aca="false">(1-Z81)*(Z60+Z61+Z62+Z63+Z64+Z65+Z66)/MAX(Time!Z26,1)*Inputs!$F$169</f>
        <v>1.29319741011577</v>
      </c>
      <c r="AA88" s="11" t="n">
        <f aca="false">(1-AA81)*(AA60+AA61+AA62+AA63+AA64+AA65+AA66)/MAX(Time!AA26,1)*Inputs!$F$169</f>
        <v>1.32907588990402</v>
      </c>
      <c r="AB88" s="11" t="n">
        <f aca="false">(1-AB81)*(AB60+AB61+AB62+AB63+AB64+AB65+AB66)/MAX(Time!AB26,1)*Inputs!$F$169</f>
        <v>1.3230506883277</v>
      </c>
      <c r="AC88" s="11" t="n">
        <f aca="false">(1-AC81)*(AC60+AC61+AC62+AC63+AC64+AC65+AC66)/MAX(Time!AC26,1)*Inputs!$F$169</f>
        <v>1.34364304796437</v>
      </c>
      <c r="AD88" s="11" t="n">
        <f aca="false">(1-AD81)*(AD60+AD61+AD62+AD63+AD64+AD65+AD66)/MAX(Time!AD26,1)*Inputs!$F$169</f>
        <v>1.32684044707034</v>
      </c>
      <c r="AE88" s="11" t="n">
        <f aca="false">(1-AE81)*(AE60+AE61+AE62+AE63+AE64+AE65+AE66)/MAX(Time!AE26,1)*Inputs!$F$169</f>
        <v>1.37077160046846</v>
      </c>
      <c r="AF88" s="11" t="n">
        <f aca="false">(1-AF81)*(AF60+AF61+AF62+AF63+AF64+AF65+AF66)/MAX(Time!AF26,1)*Inputs!$F$169</f>
        <v>1.37697595764641</v>
      </c>
      <c r="AG88" s="11" t="n">
        <f aca="false">(1-AG81)*(AG60+AG61+AG62+AG63+AG64+AG65+AG66)/MAX(Time!AG26,1)*Inputs!$F$169</f>
        <v>1.41251182805383</v>
      </c>
      <c r="AH88" s="11" t="n">
        <f aca="false">(1-AH81)*(AH60+AH61+AH62+AH63+AH64+AH65+AH66)/MAX(Time!AH26,1)*Inputs!$F$169</f>
        <v>1.40075698044001</v>
      </c>
      <c r="AI88" s="11" t="n">
        <f aca="false">(1-AI81)*(AI60+AI61+AI62+AI63+AI64+AI65+AI66)/MAX(Time!AI26,1)*Inputs!$F$169</f>
        <v>1.43969510102453</v>
      </c>
      <c r="AJ88" s="11" t="n">
        <f aca="false">(1-AJ81)*(AJ60+AJ61+AJ62+AJ63+AJ64+AJ65+AJ66)/MAX(Time!AJ26,1)*Inputs!$F$169</f>
        <v>1.4332440772859</v>
      </c>
      <c r="AK88" s="11" t="n">
        <f aca="false">(1-AK81)*(AK60+AK61+AK62+AK63+AK64+AK65+AK66)/MAX(Time!AK26,1)*Inputs!$F$169</f>
        <v>1.45859050440447</v>
      </c>
      <c r="AL88" s="11" t="n">
        <f aca="false">(1-AL81)*(AL60+AL61+AL62+AL63+AL64+AL65+AL66)/MAX(Time!AL26,1)*Inputs!$F$169</f>
        <v>1.44727899703603</v>
      </c>
      <c r="AM88" s="11" t="n">
        <f aca="false">(1-AM81)*(AM60+AM61+AM62+AM63+AM64+AM65+AM66)/MAX(Time!AM26,1)*Inputs!$F$169</f>
        <v>1.49124957686535</v>
      </c>
      <c r="AN88" s="11" t="n">
        <f aca="false">(1-AN81)*(AN60+AN61+AN62+AN63+AN64+AN65+AN66)/MAX(Time!AN26,1)*Inputs!$F$169</f>
        <v>1.49195677721474</v>
      </c>
      <c r="AO88" s="11" t="n">
        <f aca="false">(1-AO81)*(AO60+AO61+AO62+AO63+AO64+AO65+AO66)/MAX(Time!AO26,1)*Inputs!$F$169</f>
        <v>1.53053311512828</v>
      </c>
      <c r="AP88" s="11" t="n">
        <f aca="false">(1-AP81)*(AP60+AP61+AP62+AP63+AP64+AP65+AP66)/MAX(Time!AP26,1)*Inputs!$F$169</f>
        <v>1.51786713782089</v>
      </c>
      <c r="AQ88" s="11" t="n">
        <f aca="false">(1-AQ81)*(AQ60+AQ61+AQ62+AQ63+AQ64+AQ65+AQ66)/MAX(Time!AQ26,1)*Inputs!$F$169</f>
        <v>1.56013598034708</v>
      </c>
      <c r="AR88" s="11" t="n">
        <f aca="false">(1-AR81)*(AR60+AR61+AR62+AR63+AR64+AR65+AR66)/MAX(Time!AR26,1)*Inputs!$F$169</f>
        <v>1.55322020201958</v>
      </c>
      <c r="AS88" s="11" t="n">
        <f aca="false">(1-AS81)*(AS60+AS61+AS62+AS63+AS64+AS65+AS66)/MAX(Time!AS26,1)*Inputs!$F$169</f>
        <v>1.57753582196399</v>
      </c>
      <c r="AT88" s="11" t="n">
        <f aca="false">(1-AT81)*(AT60+AT61+AT62+AT63+AT64+AT65+AT66)/MAX(Time!AT26,1)*Inputs!$F$169</f>
        <v>1.55802301084991</v>
      </c>
      <c r="AU88" s="11" t="n">
        <f aca="false">(1-AU81)*(AU60+AU61+AU62+AU63+AU64+AU65+AU66)/MAX(Time!AU26,1)*Inputs!$F$169</f>
        <v>1.60968567860143</v>
      </c>
      <c r="AV88" s="11" t="n">
        <f aca="false">(1-AV81)*(AV60+AV61+AV62+AV63+AV64+AV65+AV66)/MAX(Time!AV26,1)*Inputs!$F$169</f>
        <v>1.61714510235901</v>
      </c>
      <c r="AW88" s="11" t="n">
        <f aca="false">(1-AW81)*(AW60+AW61+AW62+AW63+AW64+AW65+AW66)/MAX(Time!AW26,1)*Inputs!$F$169</f>
        <v>1.6590323352579</v>
      </c>
      <c r="AX88" s="11" t="n">
        <f aca="false">(1-AX81)*(AX60+AX61+AX62+AX63+AX64+AX65+AX66)/MAX(Time!AX26,1)*Inputs!$F$169</f>
        <v>1.64537541323661</v>
      </c>
      <c r="AY88" s="11" t="n">
        <f aca="false">(1-AY81)*(AY60+AY61+AY62+AY63+AY64+AY65+AY66)/MAX(Time!AY26,1)*Inputs!$F$169</f>
        <v>1.6912700595055</v>
      </c>
      <c r="AZ88" s="11" t="n">
        <f aca="false">(1-AZ81)*(AZ60+AZ61+AZ62+AZ63+AZ64+AZ65+AZ66)/MAX(Time!AZ26,1)*Inputs!$F$169</f>
        <v>1.68384703471486</v>
      </c>
      <c r="BA88" s="11" t="n">
        <f aca="false">(1-BA81)*(BA60+BA61+BA62+BA63+BA64+BA65+BA66)/MAX(Time!BA26,1)*Inputs!$F$169</f>
        <v>1.71377577319758</v>
      </c>
      <c r="BB88" s="11" t="n">
        <f aca="false">(1-BB81)*(BB60+BB61+BB62+BB63+BB64+BB65+BB66)/MAX(Time!BB26,1)*Inputs!$F$169</f>
        <v>1.70063138427179</v>
      </c>
      <c r="BC88" s="11" t="n">
        <f aca="false">(1-BC81)*(BC60+BC61+BC62+BC63+BC64+BC65+BC66)/MAX(Time!BC26,1)*Inputs!$F$169</f>
        <v>1.75245776555793</v>
      </c>
      <c r="BD88" s="11" t="n">
        <f aca="false">(1-BD81)*(BD60+BD61+BD62+BD63+BD64+BD65+BD66)/MAX(Time!BD26,1)*Inputs!$F$169</f>
        <v>1.75344656980035</v>
      </c>
      <c r="BE88" s="11" t="n">
        <f aca="false">(1-BE81)*(BE60+BE61+BE62+BE63+BE64+BE65+BE66)/MAX(Time!BE26,1)*Inputs!$F$169</f>
        <v>1.79893916551024</v>
      </c>
      <c r="BF88" s="11" t="n">
        <f aca="false">(1-BF81)*(BF60+BF61+BF62+BF63+BF64+BF65+BF66)/MAX(Time!BF26,1)*Inputs!$F$169</f>
        <v>1.78420450215914</v>
      </c>
      <c r="BG88" s="11" t="n">
        <f aca="false">(1-BG81)*(BG60+BG61+BG62+BG63+BG64+BG65+BG66)/MAX(Time!BG26,1)*Inputs!$F$169</f>
        <v>1.83404615799398</v>
      </c>
      <c r="BH88" s="11" t="n">
        <f aca="false">(1-BH81)*(BH60+BH61+BH62+BH63+BH64+BH65+BH66)/MAX(Time!BH26,1)*Inputs!$F$169</f>
        <v>1.82606951000008</v>
      </c>
      <c r="BI88" s="11" t="n">
        <f aca="false">(1-BI81)*(BI60+BI61+BI62+BI63+BI64+BI65+BI66)/MAX(Time!BI26,1)*Inputs!$F$169</f>
        <v>1.85481257914875</v>
      </c>
      <c r="BJ88" s="11" t="n">
        <f aca="false">(1-BJ81)*(BJ60+BJ61+BJ62+BJ63+BJ64+BJ65+BJ66)/MAX(Time!BJ26,1)*Inputs!$F$169</f>
        <v>1.8321146167365</v>
      </c>
      <c r="BK88" s="11" t="n">
        <f aca="false">(1-BK81)*(BK60+BK61+BK62+BK63+BK64+BK65+BK66)/MAX(Time!BK26,1)*Inputs!$F$169</f>
        <v>1.89292912047208</v>
      </c>
      <c r="BL88" s="11" t="n">
        <f aca="false">(1-BL81)*(BL60+BL61+BL62+BL63+BL64+BL65+BL66)/MAX(Time!BL26,1)*Inputs!$F$169</f>
        <v>1.9018471162328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14.6370776861474</v>
      </c>
      <c r="P90" s="11" t="n">
        <f aca="false">P83+P84-P85-P86-P87-P88-P89</f>
        <v>14.6035653249092</v>
      </c>
      <c r="Q90" s="11" t="n">
        <f aca="false">Q83+Q84-Q85-Q86-Q87-Q88-Q89</f>
        <v>14.882190072057</v>
      </c>
      <c r="R90" s="11" t="n">
        <f aca="false">R83+R84-R85-R86-R87-R88-R89</f>
        <v>14.6976779590938</v>
      </c>
      <c r="S90" s="11" t="n">
        <f aca="false">S83+S84-S85-S86-S87-S88-S89</f>
        <v>14.9768122727072</v>
      </c>
      <c r="T90" s="11" t="n">
        <f aca="false">T83+T84-T85-T86-T87-T88-T89</f>
        <v>14.7882322409928</v>
      </c>
      <c r="U90" s="11" t="n">
        <f aca="false">U83+U84-U85-U86-U87-U88-U89</f>
        <v>14.996477379752</v>
      </c>
      <c r="V90" s="11" t="n">
        <f aca="false">V83+V84-V85-V86-V87-V88-V89</f>
        <v>14.8937330757654</v>
      </c>
      <c r="W90" s="11" t="n">
        <f aca="false">W83+W84-W85-W86-W87-W88-W89</f>
        <v>15.1750761194011</v>
      </c>
      <c r="X90" s="11" t="n">
        <f aca="false">X83+X84-X85-X86-X87-X88-X89</f>
        <v>14.9802391523252</v>
      </c>
      <c r="Y90" s="11" t="n">
        <f aca="false">Y83+Y84-Y85-Y86-Y87-Y88-Y89</f>
        <v>15.2681485108761</v>
      </c>
      <c r="Z90" s="11" t="n">
        <f aca="false">Z83+Z84-Z85-Z86-Z87-Z88-Z89</f>
        <v>15.082294140994</v>
      </c>
      <c r="AA90" s="11" t="n">
        <f aca="false">AA83+AA84-AA85-AA86-AA87-AA88-AA89</f>
        <v>15.3705537486302</v>
      </c>
      <c r="AB90" s="11" t="n">
        <f aca="false">AB83+AB84-AB85-AB86-AB87-AB88-AB89</f>
        <v>15.1798846784491</v>
      </c>
      <c r="AC90" s="11" t="n">
        <f aca="false">AC83+AC84-AC85-AC86-AC87-AC88-AC89</f>
        <v>15.3988447590541</v>
      </c>
      <c r="AD90" s="11" t="n">
        <f aca="false">AD83+AD84-AD85-AD86-AD87-AD88-AD89</f>
        <v>15.072069344626</v>
      </c>
      <c r="AE90" s="11" t="n">
        <f aca="false">AE83+AE84-AE85-AE86-AE87-AE88-AE89</f>
        <v>15.5906265682832</v>
      </c>
      <c r="AF90" s="11" t="n">
        <f aca="false">AF83+AF84-AF85-AF86-AF87-AF88-AF89</f>
        <v>15.3874798338274</v>
      </c>
      <c r="AG90" s="11" t="n">
        <f aca="false">AG83+AG84-AG85-AG86-AG87-AG88-AG89</f>
        <v>15.6854396107147</v>
      </c>
      <c r="AH90" s="11" t="n">
        <f aca="false">AH83+AH84-AH85-AH86-AH87-AH88-AH89</f>
        <v>15.4981605107379</v>
      </c>
      <c r="AI90" s="11" t="n">
        <f aca="false">AI83+AI84-AI85-AI86-AI87-AI88-AI89</f>
        <v>15.796282795057</v>
      </c>
      <c r="AJ90" s="11" t="n">
        <f aca="false">AJ83+AJ84-AJ85-AJ86-AJ87-AJ88-AJ89</f>
        <v>15.6033485508556</v>
      </c>
      <c r="AK90" s="11" t="n">
        <f aca="false">AK83+AK84-AK85-AK86-AK87-AK88-AK89</f>
        <v>15.8288214317371</v>
      </c>
      <c r="AL90" s="11" t="n">
        <f aca="false">AL83+AL84-AL85-AL86-AL87-AL88-AL89</f>
        <v>15.7291619680926</v>
      </c>
      <c r="AM90" s="11" t="n">
        <f aca="false">AM83+AM84-AM85-AM86-AM87-AM88-AM89</f>
        <v>16.0293083303256</v>
      </c>
      <c r="AN90" s="11" t="n">
        <f aca="false">AN83+AN84-AN85-AN86-AN87-AN88-AN89</f>
        <v>15.8278282252306</v>
      </c>
      <c r="AO90" s="11" t="n">
        <f aca="false">AO83+AO84-AO85-AO86-AO87-AO88-AO89</f>
        <v>16.1366689268477</v>
      </c>
      <c r="AP90" s="11" t="n">
        <f aca="false">AP83+AP84-AP85-AP86-AP87-AP88-AP89</f>
        <v>15.9478776034184</v>
      </c>
      <c r="AQ90" s="11" t="n">
        <f aca="false">AQ83+AQ84-AQ85-AQ86-AQ87-AQ88-AQ89</f>
        <v>16.2566611244313</v>
      </c>
      <c r="AR90" s="11" t="n">
        <f aca="false">AR83+AR84-AR85-AR86-AR87-AR88-AR89</f>
        <v>16.0612702846394</v>
      </c>
      <c r="AS90" s="11" t="n">
        <f aca="false">AS83+AS84-AS85-AS86-AS87-AS88-AS89</f>
        <v>16.2998639397396</v>
      </c>
      <c r="AT90" s="11" t="n">
        <f aca="false">AT83+AT84-AT85-AT86-AT87-AT88-AT89</f>
        <v>15.961801412225</v>
      </c>
      <c r="AU90" s="11" t="n">
        <f aca="false">AU83+AU84-AU85-AU86-AU87-AU88-AU89</f>
        <v>16.5164389397772</v>
      </c>
      <c r="AV90" s="11" t="n">
        <f aca="false">AV83+AV84-AV85-AV86-AV87-AV88-AV89</f>
        <v>16.3040407817756</v>
      </c>
      <c r="AW90" s="11" t="n">
        <f aca="false">AW83+AW84-AW85-AW86-AW87-AW88-AW89</f>
        <v>16.6246631934846</v>
      </c>
      <c r="AX90" s="11" t="n">
        <f aca="false">AX83+AX84-AX85-AX86-AX87-AX88-AX89</f>
        <v>16.4342668244719</v>
      </c>
      <c r="AY90" s="11" t="n">
        <f aca="false">AY83+AY84-AY85-AY86-AY87-AY88-AY89</f>
        <v>16.754576516079</v>
      </c>
      <c r="AZ90" s="11" t="n">
        <f aca="false">AZ83+AZ84-AZ85-AZ86-AZ87-AZ88-AZ89</f>
        <v>16.5565210127337</v>
      </c>
      <c r="BA90" s="11" t="n">
        <f aca="false">BA83+BA84-BA85-BA86-BA87-BA88-BA89</f>
        <v>16.8022660894212</v>
      </c>
      <c r="BB90" s="11" t="n">
        <f aca="false">BB83+BB84-BB85-BB86-BB87-BB88-BB89</f>
        <v>16.7065594203799</v>
      </c>
      <c r="BC90" s="11" t="n">
        <f aca="false">BC83+BC84-BC85-BC86-BC87-BC88-BC89</f>
        <v>17.0285889572241</v>
      </c>
      <c r="BD90" s="11" t="n">
        <f aca="false">BD83+BD84-BD85-BD86-BD87-BD88-BD89</f>
        <v>16.8191081618773</v>
      </c>
      <c r="BE90" s="11" t="n">
        <f aca="false">BE83+BE84-BE85-BE86-BE87-BE88-BE89</f>
        <v>17.1524894167425</v>
      </c>
      <c r="BF90" s="11" t="n">
        <f aca="false">BF83+BF84-BF85-BF86-BF87-BF88-BF89</f>
        <v>16.9603895227552</v>
      </c>
      <c r="BG90" s="11" t="n">
        <f aca="false">BG83+BG84-BG85-BG86-BG87-BG88-BG89</f>
        <v>17.2931623394993</v>
      </c>
      <c r="BH90" s="11" t="n">
        <f aca="false">BH83+BH84-BH85-BH86-BH87-BH88-BH89</f>
        <v>17.092215974326</v>
      </c>
      <c r="BI90" s="11" t="n">
        <f aca="false">BI83+BI84-BI85-BI86-BI87-BI88-BI89</f>
        <v>17.3539988696427</v>
      </c>
      <c r="BJ90" s="11" t="n">
        <f aca="false">BJ83+BJ84-BJ85-BJ86-BJ87-BJ88-BJ89</f>
        <v>17.0029360360064</v>
      </c>
      <c r="BK90" s="11" t="n">
        <f aca="false">BK83+BK84-BK85-BK86-BK87-BK88-BK89</f>
        <v>17.5999242367361</v>
      </c>
      <c r="BL90" s="11" t="n">
        <f aca="false">BL83+BL84-BL85-BL86-BL87-BL88-BL89</f>
        <v>17.3762754572533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14.6370776861474</v>
      </c>
      <c r="P91" s="11" t="n">
        <f aca="false">P90-O90</f>
        <v>-0.0335123612381629</v>
      </c>
      <c r="Q91" s="11" t="n">
        <f aca="false">Q90-P90</f>
        <v>0.278624747147751</v>
      </c>
      <c r="R91" s="11" t="n">
        <f aca="false">R90-Q90</f>
        <v>-0.184512112963143</v>
      </c>
      <c r="S91" s="11" t="n">
        <f aca="false">S90-R90</f>
        <v>0.279134313613362</v>
      </c>
      <c r="T91" s="11" t="n">
        <f aca="false">T90-S90</f>
        <v>-0.188580031714412</v>
      </c>
      <c r="U91" s="11" t="n">
        <f aca="false">U90-T90</f>
        <v>0.208245138759215</v>
      </c>
      <c r="V91" s="11" t="n">
        <f aca="false">V90-U90</f>
        <v>-0.102744303986555</v>
      </c>
      <c r="W91" s="11" t="n">
        <f aca="false">W90-V90</f>
        <v>0.281343043635676</v>
      </c>
      <c r="X91" s="11" t="n">
        <f aca="false">X90-W90</f>
        <v>-0.194836967075947</v>
      </c>
      <c r="Y91" s="11" t="n">
        <f aca="false">Y90-X90</f>
        <v>0.287909358550916</v>
      </c>
      <c r="Z91" s="11" t="n">
        <f aca="false">Z90-Y90</f>
        <v>-0.185854369882106</v>
      </c>
      <c r="AA91" s="11" t="n">
        <f aca="false">AA90-Z90</f>
        <v>0.288259607636201</v>
      </c>
      <c r="AB91" s="11" t="n">
        <f aca="false">AB90-AA90</f>
        <v>-0.190669070181057</v>
      </c>
      <c r="AC91" s="11" t="n">
        <f aca="false">AC90-AB90</f>
        <v>0.218960080604944</v>
      </c>
      <c r="AD91" s="11" t="n">
        <f aca="false">AD90-AC90</f>
        <v>-0.326775414428099</v>
      </c>
      <c r="AE91" s="11" t="n">
        <f aca="false">AE90-AD90</f>
        <v>0.518557223657281</v>
      </c>
      <c r="AF91" s="11" t="n">
        <f aca="false">AF90-AE90</f>
        <v>-0.203146734455837</v>
      </c>
      <c r="AG91" s="11" t="n">
        <f aca="false">AG90-AF90</f>
        <v>0.297959776887318</v>
      </c>
      <c r="AH91" s="11" t="n">
        <f aca="false">AH90-AG90</f>
        <v>-0.187279099976836</v>
      </c>
      <c r="AI91" s="11" t="n">
        <f aca="false">AI90-AH90</f>
        <v>0.298122284319083</v>
      </c>
      <c r="AJ91" s="11" t="n">
        <f aca="false">AJ90-AI90</f>
        <v>-0.192934244201357</v>
      </c>
      <c r="AK91" s="11" t="n">
        <f aca="false">AK90-AJ90</f>
        <v>0.22547288088148</v>
      </c>
      <c r="AL91" s="11" t="n">
        <f aca="false">AL90-AK90</f>
        <v>-0.0996594636444659</v>
      </c>
      <c r="AM91" s="11" t="n">
        <f aca="false">AM90-AL90</f>
        <v>0.300146362233013</v>
      </c>
      <c r="AN91" s="11" t="n">
        <f aca="false">AN90-AM90</f>
        <v>-0.201480105095047</v>
      </c>
      <c r="AO91" s="11" t="n">
        <f aca="false">AO90-AN90</f>
        <v>0.308840701617104</v>
      </c>
      <c r="AP91" s="11" t="n">
        <f aca="false">AP90-AO90</f>
        <v>-0.1887913234293</v>
      </c>
      <c r="AQ91" s="11" t="n">
        <f aca="false">AQ90-AP90</f>
        <v>0.308783521012924</v>
      </c>
      <c r="AR91" s="11" t="n">
        <f aca="false">AR90-AQ90</f>
        <v>-0.195390839791934</v>
      </c>
      <c r="AS91" s="11" t="n">
        <f aca="false">AS90-AR90</f>
        <v>0.238593655100221</v>
      </c>
      <c r="AT91" s="11" t="n">
        <f aca="false">AT90-AS90</f>
        <v>-0.338062527514586</v>
      </c>
      <c r="AU91" s="11" t="n">
        <f aca="false">AU90-AT90</f>
        <v>0.554637527552162</v>
      </c>
      <c r="AV91" s="11" t="n">
        <f aca="false">AV90-AU90</f>
        <v>-0.212398158001538</v>
      </c>
      <c r="AW91" s="11" t="n">
        <f aca="false">AW90-AV90</f>
        <v>0.320622411708943</v>
      </c>
      <c r="AX91" s="11" t="n">
        <f aca="false">AX90-AW90</f>
        <v>-0.190396369012682</v>
      </c>
      <c r="AY91" s="11" t="n">
        <f aca="false">AY90-AX90</f>
        <v>0.320309691607147</v>
      </c>
      <c r="AZ91" s="11" t="n">
        <f aca="false">AZ90-AY90</f>
        <v>-0.198055503345337</v>
      </c>
      <c r="BA91" s="11" t="n">
        <f aca="false">BA90-AZ90</f>
        <v>0.245745076687442</v>
      </c>
      <c r="BB91" s="11" t="n">
        <f aca="false">BB90-BA90</f>
        <v>-0.0957066690412418</v>
      </c>
      <c r="BC91" s="11" t="n">
        <f aca="false">BC90-BB90</f>
        <v>0.322029536844227</v>
      </c>
      <c r="BD91" s="11" t="n">
        <f aca="false">BD90-BC90</f>
        <v>-0.20948079534681</v>
      </c>
      <c r="BE91" s="11" t="n">
        <f aca="false">BE90-BD90</f>
        <v>0.333381254865195</v>
      </c>
      <c r="BF91" s="11" t="n">
        <f aca="false">BF90-BE90</f>
        <v>-0.192099893987368</v>
      </c>
      <c r="BG91" s="11" t="n">
        <f aca="false">BG90-BF90</f>
        <v>0.332772816744178</v>
      </c>
      <c r="BH91" s="11" t="n">
        <f aca="false">BH90-BG90</f>
        <v>-0.20094636517338</v>
      </c>
      <c r="BI91" s="11" t="n">
        <f aca="false">BI90-BH90</f>
        <v>0.26178289531677</v>
      </c>
      <c r="BJ91" s="11" t="n">
        <f aca="false">BJ90-BI90</f>
        <v>-0.351062833636338</v>
      </c>
      <c r="BK91" s="11" t="n">
        <f aca="false">BK90-BJ90</f>
        <v>0.59698820072969</v>
      </c>
      <c r="BL91" s="11" t="n">
        <f aca="false">BL90-BK90</f>
        <v>-0.22364877948274</v>
      </c>
      <c r="BM91" s="11" t="n">
        <f aca="false">BM90-BL90</f>
        <v>-17.3762754572533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(Inputs!$F$174*Funding!$F$76/Inputs!$F$175+Inputs!$F$176*Funding!$F$76/Inputs!$F$177+Inputs!$F$178*Funding!$F$76/Inputs!$F$179)*J7</f>
        <v>0</v>
      </c>
      <c r="K11" s="11" t="n">
        <f aca="false">(Inputs!$F$174*Funding!$F$76/Inputs!$F$175+Inputs!$F$176*Funding!$F$76/Inputs!$F$177+Inputs!$F$178*Funding!$F$76/Inputs!$F$179)*K7</f>
        <v>0</v>
      </c>
      <c r="L11" s="11" t="n">
        <f aca="false">(Inputs!$F$174*Funding!$F$76/Inputs!$F$175+Inputs!$F$176*Funding!$F$76/Inputs!$F$177+Inputs!$F$178*Funding!$F$76/Inputs!$F$179)*L7</f>
        <v>0</v>
      </c>
      <c r="M11" s="11" t="n">
        <f aca="false">(Inputs!$F$174*Funding!$F$76/Inputs!$F$175+Inputs!$F$176*Funding!$F$76/Inputs!$F$177+Inputs!$F$178*Funding!$F$76/Inputs!$F$179)*M7</f>
        <v>0</v>
      </c>
      <c r="N11" s="11" t="n">
        <f aca="false">(Inputs!$F$174*Funding!$F$76/Inputs!$F$175+Inputs!$F$176*Funding!$F$76/Inputs!$F$177+Inputs!$F$178*Funding!$F$76/Inputs!$F$179)*N7</f>
        <v>0</v>
      </c>
      <c r="O11" s="11" t="n">
        <f aca="false">(Inputs!$F$174*Funding!$F$76/Inputs!$F$175+Inputs!$F$176*Funding!$F$76/Inputs!$F$177+Inputs!$F$178*Funding!$F$76/Inputs!$F$179)*O7</f>
        <v>7.53017897112553</v>
      </c>
      <c r="P11" s="11" t="n">
        <f aca="false">(Inputs!$F$174*Funding!$F$76/Inputs!$F$175+Inputs!$F$176*Funding!$F$76/Inputs!$F$177+Inputs!$F$178*Funding!$F$76/Inputs!$F$179)*P7</f>
        <v>22.5905369133766</v>
      </c>
      <c r="Q11" s="11" t="n">
        <f aca="false">(Inputs!$F$174*Funding!$F$76/Inputs!$F$175+Inputs!$F$176*Funding!$F$76/Inputs!$F$177+Inputs!$F$178*Funding!$F$76/Inputs!$F$179)*Q7</f>
        <v>22.5905369133766</v>
      </c>
      <c r="R11" s="11" t="n">
        <f aca="false">(Inputs!$F$174*Funding!$F$76/Inputs!$F$175+Inputs!$F$176*Funding!$F$76/Inputs!$F$177+Inputs!$F$178*Funding!$F$76/Inputs!$F$179)*R7</f>
        <v>22.5905369133766</v>
      </c>
      <c r="S11" s="11" t="n">
        <f aca="false">(Inputs!$F$174*Funding!$F$76/Inputs!$F$175+Inputs!$F$176*Funding!$F$76/Inputs!$F$177+Inputs!$F$178*Funding!$F$76/Inputs!$F$179)*S7</f>
        <v>22.5905369133766</v>
      </c>
      <c r="T11" s="11" t="n">
        <f aca="false">(Inputs!$F$174*Funding!$F$76/Inputs!$F$175+Inputs!$F$176*Funding!$F$76/Inputs!$F$177+Inputs!$F$178*Funding!$F$76/Inputs!$F$179)*T7</f>
        <v>22.5905369133766</v>
      </c>
      <c r="U11" s="11" t="n">
        <f aca="false">(Inputs!$F$174*Funding!$F$76/Inputs!$F$175+Inputs!$F$176*Funding!$F$76/Inputs!$F$177+Inputs!$F$178*Funding!$F$76/Inputs!$F$179)*U7</f>
        <v>22.5905369133766</v>
      </c>
      <c r="V11" s="11" t="n">
        <f aca="false">(Inputs!$F$174*Funding!$F$76/Inputs!$F$175+Inputs!$F$176*Funding!$F$76/Inputs!$F$177+Inputs!$F$178*Funding!$F$76/Inputs!$F$179)*V7</f>
        <v>22.5905369133766</v>
      </c>
      <c r="W11" s="11" t="n">
        <f aca="false">(Inputs!$F$174*Funding!$F$76/Inputs!$F$175+Inputs!$F$176*Funding!$F$76/Inputs!$F$177+Inputs!$F$178*Funding!$F$76/Inputs!$F$179)*W7</f>
        <v>22.5905369133766</v>
      </c>
      <c r="X11" s="11" t="n">
        <f aca="false">(Inputs!$F$174*Funding!$F$76/Inputs!$F$175+Inputs!$F$176*Funding!$F$76/Inputs!$F$177+Inputs!$F$178*Funding!$F$76/Inputs!$F$179)*X7</f>
        <v>22.5905369133766</v>
      </c>
      <c r="Y11" s="11" t="n">
        <f aca="false">(Inputs!$F$174*Funding!$F$76/Inputs!$F$175+Inputs!$F$176*Funding!$F$76/Inputs!$F$177+Inputs!$F$178*Funding!$F$76/Inputs!$F$179)*Y7</f>
        <v>15.0603579422511</v>
      </c>
      <c r="Z11" s="11" t="n">
        <f aca="false">(Inputs!$F$174*Funding!$F$76/Inputs!$F$175+Inputs!$F$176*Funding!$F$76/Inputs!$F$177+Inputs!$F$178*Funding!$F$76/Inputs!$F$179)*Z7</f>
        <v>0</v>
      </c>
      <c r="AA11" s="11" t="n">
        <f aca="false">(Inputs!$F$174*Funding!$F$76/Inputs!$F$175+Inputs!$F$176*Funding!$F$76/Inputs!$F$177+Inputs!$F$178*Funding!$F$76/Inputs!$F$179)*AA7</f>
        <v>0</v>
      </c>
      <c r="AB11" s="11" t="n">
        <f aca="false">(Inputs!$F$174*Funding!$F$76/Inputs!$F$175+Inputs!$F$176*Funding!$F$76/Inputs!$F$177+Inputs!$F$178*Funding!$F$76/Inputs!$F$179)*AB7</f>
        <v>0</v>
      </c>
      <c r="AC11" s="11" t="n">
        <f aca="false">(Inputs!$F$174*Funding!$F$76/Inputs!$F$175+Inputs!$F$176*Funding!$F$76/Inputs!$F$177+Inputs!$F$178*Funding!$F$76/Inputs!$F$179)*AC7</f>
        <v>0</v>
      </c>
      <c r="AD11" s="11" t="n">
        <f aca="false">(Inputs!$F$174*Funding!$F$76/Inputs!$F$175+Inputs!$F$176*Funding!$F$76/Inputs!$F$177+Inputs!$F$178*Funding!$F$76/Inputs!$F$179)*AD7</f>
        <v>0</v>
      </c>
      <c r="AE11" s="11" t="n">
        <f aca="false">(Inputs!$F$174*Funding!$F$76/Inputs!$F$175+Inputs!$F$176*Funding!$F$76/Inputs!$F$177+Inputs!$F$178*Funding!$F$76/Inputs!$F$179)*AE7</f>
        <v>0</v>
      </c>
      <c r="AF11" s="11" t="n">
        <f aca="false">(Inputs!$F$174*Funding!$F$76/Inputs!$F$175+Inputs!$F$176*Funding!$F$76/Inputs!$F$177+Inputs!$F$178*Funding!$F$76/Inputs!$F$179)*AF7</f>
        <v>0</v>
      </c>
      <c r="AG11" s="11" t="n">
        <f aca="false">(Inputs!$F$174*Funding!$F$76/Inputs!$F$175+Inputs!$F$176*Funding!$F$76/Inputs!$F$177+Inputs!$F$178*Funding!$F$76/Inputs!$F$179)*AG7</f>
        <v>0</v>
      </c>
      <c r="AH11" s="11" t="n">
        <f aca="false">(Inputs!$F$174*Funding!$F$76/Inputs!$F$175+Inputs!$F$176*Funding!$F$76/Inputs!$F$177+Inputs!$F$178*Funding!$F$76/Inputs!$F$179)*AH7</f>
        <v>0</v>
      </c>
      <c r="AI11" s="11" t="n">
        <f aca="false">(Inputs!$F$174*Funding!$F$76/Inputs!$F$175+Inputs!$F$176*Funding!$F$76/Inputs!$F$177+Inputs!$F$178*Funding!$F$76/Inputs!$F$179)*AI7</f>
        <v>0</v>
      </c>
      <c r="AJ11" s="11" t="n">
        <f aca="false">(Inputs!$F$174*Funding!$F$76/Inputs!$F$175+Inputs!$F$176*Funding!$F$76/Inputs!$F$177+Inputs!$F$178*Funding!$F$76/Inputs!$F$179)*AJ7</f>
        <v>0</v>
      </c>
      <c r="AK11" s="11" t="n">
        <f aca="false">(Inputs!$F$174*Funding!$F$76/Inputs!$F$175+Inputs!$F$176*Funding!$F$76/Inputs!$F$177+Inputs!$F$178*Funding!$F$76/Inputs!$F$179)*AK7</f>
        <v>0</v>
      </c>
      <c r="AL11" s="11" t="n">
        <f aca="false">(Inputs!$F$174*Funding!$F$76/Inputs!$F$175+Inputs!$F$176*Funding!$F$76/Inputs!$F$177+Inputs!$F$178*Funding!$F$76/Inputs!$F$179)*AL7</f>
        <v>0</v>
      </c>
      <c r="AM11" s="11" t="n">
        <f aca="false">(Inputs!$F$174*Funding!$F$76/Inputs!$F$175+Inputs!$F$176*Funding!$F$76/Inputs!$F$177+Inputs!$F$178*Funding!$F$76/Inputs!$F$179)*AM7</f>
        <v>0</v>
      </c>
      <c r="AN11" s="11" t="n">
        <f aca="false">(Inputs!$F$174*Funding!$F$76/Inputs!$F$175+Inputs!$F$176*Funding!$F$76/Inputs!$F$177+Inputs!$F$178*Funding!$F$76/Inputs!$F$179)*AN7</f>
        <v>0</v>
      </c>
      <c r="AO11" s="11" t="n">
        <f aca="false">(Inputs!$F$174*Funding!$F$76/Inputs!$F$175+Inputs!$F$176*Funding!$F$76/Inputs!$F$177+Inputs!$F$178*Funding!$F$76/Inputs!$F$179)*AO7</f>
        <v>0</v>
      </c>
      <c r="AP11" s="11" t="n">
        <f aca="false">(Inputs!$F$174*Funding!$F$76/Inputs!$F$175+Inputs!$F$176*Funding!$F$76/Inputs!$F$177+Inputs!$F$178*Funding!$F$76/Inputs!$F$179)*AP7</f>
        <v>0</v>
      </c>
      <c r="AQ11" s="11" t="n">
        <f aca="false">(Inputs!$F$174*Funding!$F$76/Inputs!$F$175+Inputs!$F$176*Funding!$F$76/Inputs!$F$177+Inputs!$F$178*Funding!$F$76/Inputs!$F$179)*AQ7</f>
        <v>0</v>
      </c>
      <c r="AR11" s="11" t="n">
        <f aca="false">(Inputs!$F$174*Funding!$F$76/Inputs!$F$175+Inputs!$F$176*Funding!$F$76/Inputs!$F$177+Inputs!$F$178*Funding!$F$76/Inputs!$F$179)*AR7</f>
        <v>0</v>
      </c>
      <c r="AS11" s="11" t="n">
        <f aca="false">(Inputs!$F$174*Funding!$F$76/Inputs!$F$175+Inputs!$F$176*Funding!$F$76/Inputs!$F$177+Inputs!$F$178*Funding!$F$76/Inputs!$F$179)*AS7</f>
        <v>0</v>
      </c>
      <c r="AT11" s="11" t="n">
        <f aca="false">(Inputs!$F$174*Funding!$F$76/Inputs!$F$175+Inputs!$F$176*Funding!$F$76/Inputs!$F$177+Inputs!$F$178*Funding!$F$76/Inputs!$F$179)*AT7</f>
        <v>0</v>
      </c>
      <c r="AU11" s="11" t="n">
        <f aca="false">(Inputs!$F$174*Funding!$F$76/Inputs!$F$175+Inputs!$F$176*Funding!$F$76/Inputs!$F$177+Inputs!$F$178*Funding!$F$76/Inputs!$F$179)*AU7</f>
        <v>0</v>
      </c>
      <c r="AV11" s="11" t="n">
        <f aca="false">(Inputs!$F$174*Funding!$F$76/Inputs!$F$175+Inputs!$F$176*Funding!$F$76/Inputs!$F$177+Inputs!$F$178*Funding!$F$76/Inputs!$F$179)*AV7</f>
        <v>0</v>
      </c>
      <c r="AW11" s="11" t="n">
        <f aca="false">(Inputs!$F$174*Funding!$F$76/Inputs!$F$175+Inputs!$F$176*Funding!$F$76/Inputs!$F$177+Inputs!$F$178*Funding!$F$76/Inputs!$F$179)*AW7</f>
        <v>0</v>
      </c>
      <c r="AX11" s="11" t="n">
        <f aca="false">(Inputs!$F$174*Funding!$F$76/Inputs!$F$175+Inputs!$F$176*Funding!$F$76/Inputs!$F$177+Inputs!$F$178*Funding!$F$76/Inputs!$F$179)*AX7</f>
        <v>0</v>
      </c>
      <c r="AY11" s="11" t="n">
        <f aca="false">(Inputs!$F$174*Funding!$F$76/Inputs!$F$175+Inputs!$F$176*Funding!$F$76/Inputs!$F$177+Inputs!$F$178*Funding!$F$76/Inputs!$F$179)*AY7</f>
        <v>0</v>
      </c>
      <c r="AZ11" s="11" t="n">
        <f aca="false">(Inputs!$F$174*Funding!$F$76/Inputs!$F$175+Inputs!$F$176*Funding!$F$76/Inputs!$F$177+Inputs!$F$178*Funding!$F$76/Inputs!$F$179)*AZ7</f>
        <v>0</v>
      </c>
      <c r="BA11" s="11" t="n">
        <f aca="false">(Inputs!$F$174*Funding!$F$76/Inputs!$F$175+Inputs!$F$176*Funding!$F$76/Inputs!$F$177+Inputs!$F$178*Funding!$F$76/Inputs!$F$179)*BA7</f>
        <v>0</v>
      </c>
      <c r="BB11" s="11" t="n">
        <f aca="false">(Inputs!$F$174*Funding!$F$76/Inputs!$F$175+Inputs!$F$176*Funding!$F$76/Inputs!$F$177+Inputs!$F$178*Funding!$F$76/Inputs!$F$179)*BB7</f>
        <v>0</v>
      </c>
      <c r="BC11" s="11" t="n">
        <f aca="false">(Inputs!$F$174*Funding!$F$76/Inputs!$F$175+Inputs!$F$176*Funding!$F$76/Inputs!$F$177+Inputs!$F$178*Funding!$F$76/Inputs!$F$179)*BC7</f>
        <v>0</v>
      </c>
      <c r="BD11" s="11" t="n">
        <f aca="false">(Inputs!$F$174*Funding!$F$76/Inputs!$F$175+Inputs!$F$176*Funding!$F$76/Inputs!$F$177+Inputs!$F$178*Funding!$F$76/Inputs!$F$179)*BD7</f>
        <v>0</v>
      </c>
      <c r="BE11" s="11" t="n">
        <f aca="false">(Inputs!$F$174*Funding!$F$76/Inputs!$F$175+Inputs!$F$176*Funding!$F$76/Inputs!$F$177+Inputs!$F$178*Funding!$F$76/Inputs!$F$179)*BE7</f>
        <v>0</v>
      </c>
      <c r="BF11" s="11" t="n">
        <f aca="false">(Inputs!$F$174*Funding!$F$76/Inputs!$F$175+Inputs!$F$176*Funding!$F$76/Inputs!$F$177+Inputs!$F$178*Funding!$F$76/Inputs!$F$179)*BF7</f>
        <v>0</v>
      </c>
      <c r="BG11" s="11" t="n">
        <f aca="false">(Inputs!$F$174*Funding!$F$76/Inputs!$F$175+Inputs!$F$176*Funding!$F$76/Inputs!$F$177+Inputs!$F$178*Funding!$F$76/Inputs!$F$179)*BG7</f>
        <v>0</v>
      </c>
      <c r="BH11" s="11" t="n">
        <f aca="false">(Inputs!$F$174*Funding!$F$76/Inputs!$F$175+Inputs!$F$176*Funding!$F$76/Inputs!$F$177+Inputs!$F$178*Funding!$F$76/Inputs!$F$179)*BH7</f>
        <v>0</v>
      </c>
      <c r="BI11" s="11" t="n">
        <f aca="false">(Inputs!$F$174*Funding!$F$76/Inputs!$F$175+Inputs!$F$176*Funding!$F$76/Inputs!$F$177+Inputs!$F$178*Funding!$F$76/Inputs!$F$179)*BI7</f>
        <v>0</v>
      </c>
      <c r="BJ11" s="11" t="n">
        <f aca="false">(Inputs!$F$174*Funding!$F$76/Inputs!$F$175+Inputs!$F$176*Funding!$F$76/Inputs!$F$177+Inputs!$F$178*Funding!$F$76/Inputs!$F$179)*BJ7</f>
        <v>0</v>
      </c>
      <c r="BK11" s="11" t="n">
        <f aca="false">(Inputs!$F$174*Funding!$F$76/Inputs!$F$175+Inputs!$F$176*Funding!$F$76/Inputs!$F$177+Inputs!$F$178*Funding!$F$76/Inputs!$F$179)*BK7</f>
        <v>0</v>
      </c>
      <c r="BL11" s="11" t="n">
        <f aca="false">(Inputs!$F$174*Funding!$F$76/Inputs!$F$175+Inputs!$F$176*Funding!$F$76/Inputs!$F$177+Inputs!$F$178*Funding!$F$76/Inputs!$F$179)*BL7</f>
        <v>0</v>
      </c>
      <c r="BM11" s="11" t="n">
        <f aca="false">(Inputs!$F$174*Funding!$F$76/Inputs!$F$175+Inputs!$F$176*Funding!$F$76/Inputs!$F$177+Inputs!$F$178*Funding!$F$76/Inputs!$F$179)*BM7</f>
        <v>0</v>
      </c>
      <c r="BN11" s="11" t="n">
        <f aca="false">(Inputs!$F$174*Funding!$F$76/Inputs!$F$175+Inputs!$F$176*Funding!$F$76/Inputs!$F$177+Inputs!$F$178*Funding!$F$76/Inputs!$F$179)*BN7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229.683237000384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9.485983444946</v>
      </c>
      <c r="R13" s="11" t="n">
        <f aca="false">IF(Time!R17&gt;=Time!$F$11,Waterfall!R33*Inputs!$F$102/100*Time!R26/365,0)</f>
        <v>9.57164192055118</v>
      </c>
      <c r="S13" s="11" t="n">
        <f aca="false">IF(Time!S17&gt;=Time!$F$11,Waterfall!S33*Inputs!$F$102/100*Time!S26/365,0)</f>
        <v>9.30625436846706</v>
      </c>
      <c r="T13" s="11" t="n">
        <f aca="false">IF(Time!T17&gt;=Time!$F$11,Waterfall!T33*Inputs!$F$102/100*Time!T26/365,0)</f>
        <v>9.37609111424872</v>
      </c>
      <c r="U13" s="11" t="n">
        <f aca="false">IF(Time!U17&gt;=Time!$F$11,Waterfall!U33*Inputs!$F$102/100*Time!U26/365,0)</f>
        <v>9.16009633161106</v>
      </c>
      <c r="V13" s="11" t="n">
        <f aca="false">IF(Time!V17&gt;=Time!$F$11,Waterfall!V33*Inputs!$F$102/100*Time!V26/365,0)</f>
        <v>9.18118096733454</v>
      </c>
      <c r="W13" s="11" t="n">
        <f aca="false">IF(Time!W17&gt;=Time!$F$11,Waterfall!W33*Inputs!$F$102/100*Time!W26/365,0)</f>
        <v>8.89533806694229</v>
      </c>
      <c r="X13" s="11" t="n">
        <f aca="false">IF(Time!X17&gt;=Time!$F$11,Waterfall!X33*Inputs!$F$102/100*Time!X26/365,0)</f>
        <v>8.85615627735206</v>
      </c>
      <c r="Y13" s="11" t="n">
        <f aca="false">IF(Time!Y17&gt;=Time!$F$11,Waterfall!Y33*Inputs!$F$102/100*Time!Y26/365,0)</f>
        <v>8.58181938070568</v>
      </c>
      <c r="Z13" s="11" t="n">
        <f aca="false">IF(Time!Z17&gt;=Time!$F$11,Waterfall!Z33*Inputs!$F$102/100*Time!Z26/365,0)</f>
        <v>8.6170812591827</v>
      </c>
      <c r="AA13" s="11" t="n">
        <f aca="false">IF(Time!AA17&gt;=Time!$F$11,Waterfall!AA33*Inputs!$F$102/100*Time!AA26/365,0)</f>
        <v>8.34043554217027</v>
      </c>
      <c r="AB13" s="11" t="n">
        <f aca="false">IF(Time!AB17&gt;=Time!$F$11,Waterfall!AB33*Inputs!$F$102/100*Time!AB26/365,0)</f>
        <v>8.62278520472212</v>
      </c>
      <c r="AC13" s="11" t="n">
        <f aca="false">IF(Time!AC17&gt;=Time!$F$11,Waterfall!AC33*Inputs!$F$102/100*Time!AC26/365,0)</f>
        <v>8.64213449441321</v>
      </c>
      <c r="AD13" s="11" t="n">
        <f aca="false">IF(Time!AD17&gt;=Time!$F$11,Waterfall!AD33*Inputs!$F$102/100*Time!AD26/365,0)</f>
        <v>8.87086230034192</v>
      </c>
      <c r="AE13" s="11" t="n">
        <f aca="false">IF(Time!AE17&gt;=Time!$F$11,Waterfall!AE33*Inputs!$F$102/100*Time!AE26/365,0)</f>
        <v>8.80763601704089</v>
      </c>
      <c r="AF13" s="11" t="n">
        <f aca="false">IF(Time!AF17&gt;=Time!$F$11,Waterfall!AF33*Inputs!$F$102/100*Time!AF26/365,0)</f>
        <v>9.00807276373182</v>
      </c>
      <c r="AG13" s="11" t="n">
        <f aca="false">IF(Time!AG17&gt;=Time!$F$11,Waterfall!AG33*Inputs!$F$102/100*Time!AG26/365,0)</f>
        <v>8.88801924400626</v>
      </c>
      <c r="AH13" s="11" t="n">
        <f aca="false">IF(Time!AH17&gt;=Time!$F$11,Waterfall!AH33*Inputs!$F$102/100*Time!AH26/365,0)</f>
        <v>9.0420400165941</v>
      </c>
      <c r="AI13" s="11" t="n">
        <f aca="false">IF(Time!AI17&gt;=Time!$F$11,Waterfall!AI33*Inputs!$F$102/100*Time!AI26/365,0)</f>
        <v>8.84972763133508</v>
      </c>
      <c r="AJ13" s="11" t="n">
        <f aca="false">IF(Time!AJ17&gt;=Time!$F$11,Waterfall!AJ33*Inputs!$F$102/100*Time!AJ26/365,0)</f>
        <v>8.90798357440988</v>
      </c>
      <c r="AK13" s="11" t="n">
        <f aca="false">IF(Time!AK17&gt;=Time!$F$11,Waterfall!AK33*Inputs!$F$102/100*Time!AK26/365,0)</f>
        <v>8.64791235211512</v>
      </c>
      <c r="AL13" s="11" t="n">
        <f aca="false">IF(Time!AL17&gt;=Time!$F$11,Waterfall!AL33*Inputs!$F$102/100*Time!AL26/365,0)</f>
        <v>8.12387940430794</v>
      </c>
      <c r="AM13" s="11" t="n">
        <f aca="false">IF(Time!AM17&gt;=Time!$F$11,Waterfall!AM33*Inputs!$F$102/100*Time!AM26/365,0)</f>
        <v>6.96943450291694</v>
      </c>
      <c r="AN13" s="11" t="n">
        <f aca="false">IF(Time!AN17&gt;=Time!$F$11,Waterfall!AN33*Inputs!$F$102/100*Time!AN26/365,0)</f>
        <v>5.89180882200248</v>
      </c>
      <c r="AO13" s="11" t="n">
        <f aca="false">IF(Time!AO17&gt;=Time!$F$11,Waterfall!AO33*Inputs!$F$102/100*Time!AO26/365,0)</f>
        <v>4.65010191428349</v>
      </c>
      <c r="AP13" s="11" t="n">
        <f aca="false">IF(Time!AP17&gt;=Time!$F$11,Waterfall!AP33*Inputs!$F$102/100*Time!AP26/365,0)</f>
        <v>2.61642819912515</v>
      </c>
      <c r="AQ13" s="11" t="n">
        <f aca="false">IF(Time!AQ17&gt;=Time!$F$11,Waterfall!AQ33*Inputs!$F$102/100*Time!AQ26/365,0)</f>
        <v>0.759741329509507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0.785372248825672</v>
      </c>
      <c r="Q14" s="6" t="n">
        <f aca="false">IF(Waterfall!Q33&gt;0,MIN(1,Inputs!$F$180*(Waterfall!$F$32+MAX(0,Waterfall!P43))/Waterfall!Q33),1)</f>
        <v>0.886011417133258</v>
      </c>
      <c r="R14" s="6" t="n">
        <f aca="false">IF(Waterfall!R33&gt;0,MIN(1,Inputs!$F$180*(Waterfall!$F$32+MAX(0,Waterfall!Q43))/Waterfall!R33),1)</f>
        <v>0.999038575338169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225.398551177009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7.7052064075819</v>
      </c>
      <c r="Q15" s="11" t="n">
        <f aca="false">Q13*Q14</f>
        <v>8.40468963495922</v>
      </c>
      <c r="R15" s="11" t="n">
        <f aca="false">R13*R14</f>
        <v>9.56243950795455</v>
      </c>
      <c r="S15" s="11" t="n">
        <f aca="false">S13*S14</f>
        <v>9.30625436846706</v>
      </c>
      <c r="T15" s="11" t="n">
        <f aca="false">T13*T14</f>
        <v>9.37609111424872</v>
      </c>
      <c r="U15" s="11" t="n">
        <f aca="false">U13*U14</f>
        <v>9.16009633161106</v>
      </c>
      <c r="V15" s="11" t="n">
        <f aca="false">V13*V14</f>
        <v>9.18118096733454</v>
      </c>
      <c r="W15" s="11" t="n">
        <f aca="false">W13*W14</f>
        <v>8.89533806694229</v>
      </c>
      <c r="X15" s="11" t="n">
        <f aca="false">X13*X14</f>
        <v>8.85615627735206</v>
      </c>
      <c r="Y15" s="11" t="n">
        <f aca="false">Y13*Y14</f>
        <v>8.58181938070568</v>
      </c>
      <c r="Z15" s="11" t="n">
        <f aca="false">Z13*Z14</f>
        <v>8.6170812591827</v>
      </c>
      <c r="AA15" s="11" t="n">
        <f aca="false">AA13*AA14</f>
        <v>8.34043554217027</v>
      </c>
      <c r="AB15" s="11" t="n">
        <f aca="false">AB13*AB14</f>
        <v>8.62278520472212</v>
      </c>
      <c r="AC15" s="11" t="n">
        <f aca="false">AC13*AC14</f>
        <v>8.64213449441321</v>
      </c>
      <c r="AD15" s="11" t="n">
        <f aca="false">AD13*AD14</f>
        <v>8.87086230034192</v>
      </c>
      <c r="AE15" s="11" t="n">
        <f aca="false">AE13*AE14</f>
        <v>8.80763601704089</v>
      </c>
      <c r="AF15" s="11" t="n">
        <f aca="false">AF13*AF14</f>
        <v>9.00807276373182</v>
      </c>
      <c r="AG15" s="11" t="n">
        <f aca="false">AG13*AG14</f>
        <v>8.88801924400626</v>
      </c>
      <c r="AH15" s="11" t="n">
        <f aca="false">AH13*AH14</f>
        <v>9.0420400165941</v>
      </c>
      <c r="AI15" s="11" t="n">
        <f aca="false">AI13*AI14</f>
        <v>8.84972763133508</v>
      </c>
      <c r="AJ15" s="11" t="n">
        <f aca="false">AJ13*AJ14</f>
        <v>8.90798357440988</v>
      </c>
      <c r="AK15" s="11" t="n">
        <f aca="false">AK13*AK14</f>
        <v>8.64791235211512</v>
      </c>
      <c r="AL15" s="11" t="n">
        <f aca="false">AL13*AL14</f>
        <v>8.12387940430794</v>
      </c>
      <c r="AM15" s="11" t="n">
        <f aca="false">AM13*AM14</f>
        <v>6.96943450291694</v>
      </c>
      <c r="AN15" s="11" t="n">
        <f aca="false">AN13*AN14</f>
        <v>5.89180882200248</v>
      </c>
      <c r="AO15" s="11" t="n">
        <f aca="false">AO13*AO14</f>
        <v>4.65010191428349</v>
      </c>
      <c r="AP15" s="11" t="n">
        <f aca="false">AP13*AP14</f>
        <v>2.61642819912515</v>
      </c>
      <c r="AQ15" s="11" t="n">
        <f aca="false">AQ13*AQ14</f>
        <v>0.759741329509507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315.146762853275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14.1677830988847</v>
      </c>
      <c r="AC16" s="11" t="n">
        <f aca="false">Debt!AC119+Debt!AC117+Debt!AC111-Debt!AC110</f>
        <v>12.9826797562495</v>
      </c>
      <c r="AD16" s="11" t="n">
        <f aca="false">Debt!AD119+Debt!AD117+Debt!AD111-Debt!AD110</f>
        <v>11.9948614797537</v>
      </c>
      <c r="AE16" s="11" t="n">
        <f aca="false">Debt!AE119+Debt!AE117+Debt!AE111-Debt!AE110</f>
        <v>10.6863698378172</v>
      </c>
      <c r="AF16" s="11" t="n">
        <f aca="false">Debt!AF119+Debt!AF117+Debt!AF111-Debt!AF110</f>
        <v>9.56653259996616</v>
      </c>
      <c r="AG16" s="11" t="n">
        <f aca="false">Debt!AG119+Debt!AG117+Debt!AG111-Debt!AG110</f>
        <v>8.42267156072208</v>
      </c>
      <c r="AH16" s="11" t="n">
        <f aca="false">Debt!AH119+Debt!AH117+Debt!AH111-Debt!AH110</f>
        <v>7.20645233578525</v>
      </c>
      <c r="AI16" s="11" t="n">
        <f aca="false">Debt!AI119+Debt!AI117+Debt!AI111-Debt!AI110</f>
        <v>5.79872897810981</v>
      </c>
      <c r="AJ16" s="11" t="n">
        <f aca="false">Debt!AJ119+Debt!AJ117+Debt!AJ111-Debt!AJ110</f>
        <v>4.5048949690959</v>
      </c>
      <c r="AK16" s="11" t="n">
        <f aca="false">Debt!AK119+Debt!AK117+Debt!AK111-Debt!AK110</f>
        <v>3.11221145810226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1148.09026969512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1.64511158546516</v>
      </c>
      <c r="Z18" s="11" t="n">
        <f aca="false">(Operations!Z79-Z16-Z15)*Z17-Z12</f>
        <v>5.5900214704125</v>
      </c>
      <c r="AA18" s="11" t="n">
        <f aca="false">(Operations!AA79-AA16-AA15)*AA17-AA12</f>
        <v>6.83641599522597</v>
      </c>
      <c r="AB18" s="11" t="n">
        <f aca="false">(Operations!AB79-AB16-AB15)*AB17-AB12</f>
        <v>7.4871361003402</v>
      </c>
      <c r="AC18" s="11" t="n">
        <f aca="false">(Operations!AC79-AC16-AC15)*AC17-AC12</f>
        <v>8.86561729553798</v>
      </c>
      <c r="AD18" s="11" t="n">
        <f aca="false">(Operations!AD79-AD16-AD15)*AD17-AD12</f>
        <v>-2.78465178579339</v>
      </c>
      <c r="AE18" s="11" t="n">
        <f aca="false">(Operations!AE79-AE16-AE15)*AE17-AE12</f>
        <v>11.336514892644</v>
      </c>
      <c r="AF18" s="11" t="n">
        <f aca="false">(Operations!AF79-AF16-AF15)*AF17-AF12</f>
        <v>12.1145646348508</v>
      </c>
      <c r="AG18" s="11" t="n">
        <f aca="false">(Operations!AG79-AG16-AG15)*AG17-AG12</f>
        <v>13.4897271956468</v>
      </c>
      <c r="AH18" s="11" t="n">
        <f aca="false">(Operations!AH79-AH16-AH15)*AH17-AH12</f>
        <v>14.724803540698</v>
      </c>
      <c r="AI18" s="11" t="n">
        <f aca="false">(Operations!AI79-AI16-AI15)*AI17-AI12</f>
        <v>16.3905235499157</v>
      </c>
      <c r="AJ18" s="11" t="n">
        <f aca="false">(Operations!AJ79-AJ16-AJ15)*AJ17-AJ12</f>
        <v>17.7044717748124</v>
      </c>
      <c r="AK18" s="11" t="n">
        <f aca="false">(Operations!AK79-AK16-AK15)*AK17-AK12</f>
        <v>19.5368651611964</v>
      </c>
      <c r="AL18" s="11" t="n">
        <f aca="false">(Operations!AL79-AL16-AL15)*AL17-AL12</f>
        <v>18.3375196770891</v>
      </c>
      <c r="AM18" s="11" t="n">
        <f aca="false">(Operations!AM79-AM16-AM15)*AM17-AM12</f>
        <v>23.0620739544059</v>
      </c>
      <c r="AN18" s="11" t="n">
        <f aca="false">(Operations!AN79-AN16-AN15)*AN17-AN12</f>
        <v>24.6790336478525</v>
      </c>
      <c r="AO18" s="11" t="n">
        <f aca="false">(Operations!AO79-AO16-AO15)*AO17-AO12</f>
        <v>26.5358465136668</v>
      </c>
      <c r="AP18" s="11" t="n">
        <f aca="false">(Operations!AP79-AP16-AP15)*AP17-AP12</f>
        <v>29.2557680771204</v>
      </c>
      <c r="AQ18" s="11" t="n">
        <f aca="false">(Operations!AQ79-AQ16-AQ15)*AQ17-AQ12</f>
        <v>31.1823446217712</v>
      </c>
      <c r="AR18" s="11" t="n">
        <f aca="false">(Operations!AR79-AR16-AR15)*AR17-AR12</f>
        <v>32.026646413908</v>
      </c>
      <c r="AS18" s="11" t="n">
        <f aca="false">(Operations!AS79-AS16-AS15)*AS17-AS12</f>
        <v>32.2807247167922</v>
      </c>
      <c r="AT18" s="11" t="n">
        <f aca="false">(Operations!AT79-AT16-AT15)*AT17-AT12</f>
        <v>17.6295691111167</v>
      </c>
      <c r="AU18" s="11" t="n">
        <f aca="false">(Operations!AU79-AU16-AU15)*AU17-AU12</f>
        <v>32.6859178654939</v>
      </c>
      <c r="AV18" s="11" t="n">
        <f aca="false">(Operations!AV79-AV16-AV15)*AV17-AV12</f>
        <v>32.5092315067018</v>
      </c>
      <c r="AW18" s="11" t="n">
        <f aca="false">(Operations!AW79-AW16-AW15)*AW17-AW12</f>
        <v>32.6392702164637</v>
      </c>
      <c r="AX18" s="11" t="n">
        <f aca="false">(Operations!AX79-AX16-AX15)*AX17-AX12</f>
        <v>32.8458652661373</v>
      </c>
      <c r="AY18" s="11" t="n">
        <f aca="false">(Operations!AY79-AY16-AY15)*AY17-AY12</f>
        <v>32.9202319668145</v>
      </c>
      <c r="AZ18" s="11" t="n">
        <f aca="false">(Operations!AZ79-AZ16-AZ15)*AZ17-AZ12</f>
        <v>33.0114724764613</v>
      </c>
      <c r="BA18" s="11" t="n">
        <f aca="false">(Operations!BA79-BA16-BA15)*BA17-BA12</f>
        <v>33.224708212857</v>
      </c>
      <c r="BB18" s="11" t="n">
        <f aca="false">(Operations!BB79-BB16-BB15)*BB17-BB12</f>
        <v>30.0611800657691</v>
      </c>
      <c r="BC18" s="11" t="n">
        <f aca="false">(Operations!BC79-BC16-BC15)*BC17-BC12</f>
        <v>40.0139178124252</v>
      </c>
      <c r="BD18" s="11" t="n">
        <f aca="false">(Operations!BD79-BD16-BD15)*BD17-BD12</f>
        <v>52.7779741225661</v>
      </c>
      <c r="BE18" s="11" t="n">
        <f aca="false">(Operations!BE79-BE16-BE15)*BE17-BE12</f>
        <v>52.9186058385444</v>
      </c>
      <c r="BF18" s="11" t="n">
        <f aca="false">(Operations!BF79-BF16-BF15)*BF17-BF12</f>
        <v>53.1444208371969</v>
      </c>
      <c r="BG18" s="11" t="n">
        <f aca="false">(Operations!BG79-BG16-BG15)*BG17-BG12</f>
        <v>53.2235543529626</v>
      </c>
      <c r="BH18" s="11" t="n">
        <f aca="false">(Operations!BH79-BH16-BH15)*BH17-BH12</f>
        <v>53.3220033671197</v>
      </c>
      <c r="BI18" s="11" t="n">
        <f aca="false">(Operations!BI79-BI16-BI15)*BI17-BI12</f>
        <v>53.6254696367413</v>
      </c>
      <c r="BJ18" s="11" t="n">
        <f aca="false">(Operations!BJ79-BJ16-BJ15)*BJ17-BJ12</f>
        <v>36.3071949495558</v>
      </c>
      <c r="BK18" s="11" t="n">
        <f aca="false">(Operations!BK79-BK16-BK15)*BK17-BK12</f>
        <v>54.1082152866235</v>
      </c>
      <c r="BL18" s="11" t="n">
        <f aca="false">(Operations!BL79-BL16-BL15)*BL17-BL12</f>
        <v>53.8882349374788</v>
      </c>
      <c r="BM18" s="11" t="n">
        <f aca="false">(Operations!BM79-BM16-BM15)*BM17-BM12</f>
        <v>16.9361528325338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2.78465178579339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2.78465178579339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1.64511158546516</v>
      </c>
      <c r="Z20" s="11" t="n">
        <f aca="false">MIN(Y21,MAX(0,Z18-Z19))</f>
        <v>5.5900214704125</v>
      </c>
      <c r="AA20" s="11" t="n">
        <f aca="false">MIN(Z21,MAX(0,AA18-AA19))</f>
        <v>6.83641599522597</v>
      </c>
      <c r="AB20" s="11" t="n">
        <f aca="false">MIN(AA21,MAX(0,AB18-AB19))</f>
        <v>7.4871361003402</v>
      </c>
      <c r="AC20" s="11" t="n">
        <f aca="false">MIN(AB21,MAX(0,AC18-AC19))</f>
        <v>8.86561729553798</v>
      </c>
      <c r="AD20" s="11" t="n">
        <f aca="false">MIN(AC21,MAX(0,AD18-AD19))</f>
        <v>0</v>
      </c>
      <c r="AE20" s="11" t="n">
        <f aca="false">MIN(AD21,MAX(0,AE18-AE19))</f>
        <v>8.55186310685064</v>
      </c>
      <c r="AF20" s="11" t="n">
        <f aca="false">MIN(AE21,MAX(0,AF18-AF19))</f>
        <v>12.1145646348508</v>
      </c>
      <c r="AG20" s="11" t="n">
        <f aca="false">MIN(AF21,MAX(0,AG18-AG19))</f>
        <v>13.4897271956468</v>
      </c>
      <c r="AH20" s="11" t="n">
        <f aca="false">MIN(AG21,MAX(0,AH18-AH19))</f>
        <v>14.724803540698</v>
      </c>
      <c r="AI20" s="11" t="n">
        <f aca="false">MIN(AH21,MAX(0,AI18-AI19))</f>
        <v>16.3905235499157</v>
      </c>
      <c r="AJ20" s="11" t="n">
        <f aca="false">MIN(AI21,MAX(0,AJ18-AJ19))</f>
        <v>17.7044717748124</v>
      </c>
      <c r="AK20" s="11" t="n">
        <f aca="false">MIN(AJ21,MAX(0,AK18-AK19))</f>
        <v>19.5368651611964</v>
      </c>
      <c r="AL20" s="11" t="n">
        <f aca="false">MIN(AK21,MAX(0,AL18-AL19))</f>
        <v>18.3375196770891</v>
      </c>
      <c r="AM20" s="11" t="n">
        <f aca="false">MIN(AL21,MAX(0,AM18-AM19))</f>
        <v>23.0620739544059</v>
      </c>
      <c r="AN20" s="11" t="n">
        <f aca="false">MIN(AM21,MAX(0,AN18-AN19))</f>
        <v>24.6790336478525</v>
      </c>
      <c r="AO20" s="11" t="n">
        <f aca="false">MIN(AN21,MAX(0,AO18-AO19))</f>
        <v>26.5358465136668</v>
      </c>
      <c r="AP20" s="11" t="n">
        <f aca="false">MIN(AO21,MAX(0,AP18-AP19))</f>
        <v>0.353773929798926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224.260257548301</v>
      </c>
      <c r="Z21" s="11" t="n">
        <f aca="false">Y21+Z11-Z20</f>
        <v>218.670236077888</v>
      </c>
      <c r="AA21" s="11" t="n">
        <f aca="false">Z21+AA11-AA20</f>
        <v>211.833820082662</v>
      </c>
      <c r="AB21" s="11" t="n">
        <f aca="false">AA21+AB11-AB20</f>
        <v>204.346683982322</v>
      </c>
      <c r="AC21" s="11" t="n">
        <f aca="false">AB21+AC11-AC20</f>
        <v>195.481066686784</v>
      </c>
      <c r="AD21" s="11" t="n">
        <f aca="false">AC21+AD11-AD20</f>
        <v>195.481066686784</v>
      </c>
      <c r="AE21" s="11" t="n">
        <f aca="false">AD21+AE11-AE20</f>
        <v>186.929203579933</v>
      </c>
      <c r="AF21" s="11" t="n">
        <f aca="false">AE21+AF11-AF20</f>
        <v>174.814638945083</v>
      </c>
      <c r="AG21" s="11" t="n">
        <f aca="false">AF21+AG11-AG20</f>
        <v>161.324911749436</v>
      </c>
      <c r="AH21" s="11" t="n">
        <f aca="false">AG21+AH11-AH20</f>
        <v>146.600108208738</v>
      </c>
      <c r="AI21" s="11" t="n">
        <f aca="false">AH21+AI11-AI20</f>
        <v>130.209584658822</v>
      </c>
      <c r="AJ21" s="11" t="n">
        <f aca="false">AI21+AJ11-AJ20</f>
        <v>112.50511288401</v>
      </c>
      <c r="AK21" s="11" t="n">
        <f aca="false">AJ21+AK11-AK20</f>
        <v>92.9682477228133</v>
      </c>
      <c r="AL21" s="11" t="n">
        <f aca="false">AK21+AL11-AL20</f>
        <v>74.6307280457241</v>
      </c>
      <c r="AM21" s="11" t="n">
        <f aca="false">AL21+AM11-AM20</f>
        <v>51.5686540913182</v>
      </c>
      <c r="AN21" s="11" t="n">
        <f aca="false">AM21+AN11-AN20</f>
        <v>26.8896204434657</v>
      </c>
      <c r="AO21" s="11" t="n">
        <f aca="false">AN21+AO11-AO20</f>
        <v>0.353773929798926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2.78465178579339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922.184900561356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0</v>
      </c>
      <c r="AO23" s="11" t="n">
        <f aca="false">MAX(0,AO18-AO19-AO20)</f>
        <v>0</v>
      </c>
      <c r="AP23" s="11" t="n">
        <f aca="false">MAX(0,AP18-AP19-AP20)</f>
        <v>28.9019941473214</v>
      </c>
      <c r="AQ23" s="11" t="n">
        <f aca="false">MAX(0,AQ18-AQ19-AQ20)</f>
        <v>31.1823446217712</v>
      </c>
      <c r="AR23" s="11" t="n">
        <f aca="false">MAX(0,AR18-AR19-AR20)</f>
        <v>32.026646413908</v>
      </c>
      <c r="AS23" s="11" t="n">
        <f aca="false">MAX(0,AS18-AS19-AS20)</f>
        <v>32.2807247167922</v>
      </c>
      <c r="AT23" s="11" t="n">
        <f aca="false">MAX(0,AT18-AT19-AT20)</f>
        <v>17.6295691111167</v>
      </c>
      <c r="AU23" s="11" t="n">
        <f aca="false">MAX(0,AU18-AU19-AU20)</f>
        <v>32.6859178654939</v>
      </c>
      <c r="AV23" s="11" t="n">
        <f aca="false">MAX(0,AV18-AV19-AV20)</f>
        <v>32.5092315067018</v>
      </c>
      <c r="AW23" s="11" t="n">
        <f aca="false">MAX(0,AW18-AW19-AW20)</f>
        <v>32.6392702164637</v>
      </c>
      <c r="AX23" s="11" t="n">
        <f aca="false">MAX(0,AX18-AX19-AX20)</f>
        <v>32.8458652661373</v>
      </c>
      <c r="AY23" s="11" t="n">
        <f aca="false">MAX(0,AY18-AY19-AY20)</f>
        <v>32.9202319668145</v>
      </c>
      <c r="AZ23" s="11" t="n">
        <f aca="false">MAX(0,AZ18-AZ19-AZ20)</f>
        <v>33.0114724764613</v>
      </c>
      <c r="BA23" s="11" t="n">
        <f aca="false">MAX(0,BA18-BA19-BA20)</f>
        <v>33.224708212857</v>
      </c>
      <c r="BB23" s="11" t="n">
        <f aca="false">MAX(0,BB18-BB19-BB20)</f>
        <v>30.0611800657691</v>
      </c>
      <c r="BC23" s="11" t="n">
        <f aca="false">MAX(0,BC18-BC19-BC20)</f>
        <v>40.0139178124252</v>
      </c>
      <c r="BD23" s="11" t="n">
        <f aca="false">MAX(0,BD18-BD19-BD20)</f>
        <v>52.7779741225661</v>
      </c>
      <c r="BE23" s="11" t="n">
        <f aca="false">MAX(0,BE18-BE19-BE20)</f>
        <v>52.9186058385444</v>
      </c>
      <c r="BF23" s="11" t="n">
        <f aca="false">MAX(0,BF18-BF19-BF20)</f>
        <v>53.1444208371969</v>
      </c>
      <c r="BG23" s="11" t="n">
        <f aca="false">MAX(0,BG18-BG19-BG20)</f>
        <v>53.2235543529626</v>
      </c>
      <c r="BH23" s="11" t="n">
        <f aca="false">MAX(0,BH18-BH19-BH20)</f>
        <v>53.3220033671197</v>
      </c>
      <c r="BI23" s="11" t="n">
        <f aca="false">MAX(0,BI18-BI19-BI20)</f>
        <v>53.6254696367413</v>
      </c>
      <c r="BJ23" s="11" t="n">
        <f aca="false">MAX(0,BJ18-BJ19-BJ20)</f>
        <v>36.3071949495558</v>
      </c>
      <c r="BK23" s="11" t="n">
        <f aca="false">MAX(0,BK18-BK19-BK20)</f>
        <v>54.1082152866235</v>
      </c>
      <c r="BL23" s="11" t="n">
        <f aca="false">MAX(0,BL18-BL19-BL20)</f>
        <v>53.8882349374788</v>
      </c>
      <c r="BM23" s="11" t="n">
        <f aca="false">MAX(0,BM18-BM19-BM20)</f>
        <v>16.9361528325338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276.655470168407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0</v>
      </c>
      <c r="AO25" s="11" t="n">
        <f aca="false">AO23*AO24</f>
        <v>0</v>
      </c>
      <c r="AP25" s="11" t="n">
        <f aca="false">AP23*AP24</f>
        <v>8.67059824419643</v>
      </c>
      <c r="AQ25" s="11" t="n">
        <f aca="false">AQ23*AQ24</f>
        <v>9.35470338653135</v>
      </c>
      <c r="AR25" s="11" t="n">
        <f aca="false">AR23*AR24</f>
        <v>9.6079939241724</v>
      </c>
      <c r="AS25" s="11" t="n">
        <f aca="false">AS23*AS24</f>
        <v>9.68421741503766</v>
      </c>
      <c r="AT25" s="11" t="n">
        <f aca="false">AT23*AT24</f>
        <v>5.288870733335</v>
      </c>
      <c r="AU25" s="11" t="n">
        <f aca="false">AU23*AU24</f>
        <v>9.80577535964816</v>
      </c>
      <c r="AV25" s="11" t="n">
        <f aca="false">AV23*AV24</f>
        <v>9.75276945201055</v>
      </c>
      <c r="AW25" s="11" t="n">
        <f aca="false">AW23*AW24</f>
        <v>9.79178106493911</v>
      </c>
      <c r="AX25" s="11" t="n">
        <f aca="false">AX23*AX24</f>
        <v>9.85375957984119</v>
      </c>
      <c r="AY25" s="11" t="n">
        <f aca="false">AY23*AY24</f>
        <v>9.87606959004436</v>
      </c>
      <c r="AZ25" s="11" t="n">
        <f aca="false">AZ23*AZ24</f>
        <v>9.90344174293839</v>
      </c>
      <c r="BA25" s="11" t="n">
        <f aca="false">BA23*BA24</f>
        <v>9.96741246385709</v>
      </c>
      <c r="BB25" s="11" t="n">
        <f aca="false">BB23*BB24</f>
        <v>9.01835401973073</v>
      </c>
      <c r="BC25" s="11" t="n">
        <f aca="false">BC23*BC24</f>
        <v>12.0041753437276</v>
      </c>
      <c r="BD25" s="11" t="n">
        <f aca="false">BD23*BD24</f>
        <v>15.8333922367698</v>
      </c>
      <c r="BE25" s="11" t="n">
        <f aca="false">BE23*BE24</f>
        <v>15.8755817515633</v>
      </c>
      <c r="BF25" s="11" t="n">
        <f aca="false">BF23*BF24</f>
        <v>15.9433262511591</v>
      </c>
      <c r="BG25" s="11" t="n">
        <f aca="false">BG23*BG24</f>
        <v>15.9670663058888</v>
      </c>
      <c r="BH25" s="11" t="n">
        <f aca="false">BH23*BH24</f>
        <v>15.9966010101359</v>
      </c>
      <c r="BI25" s="11" t="n">
        <f aca="false">BI23*BI24</f>
        <v>16.0876408910224</v>
      </c>
      <c r="BJ25" s="11" t="n">
        <f aca="false">BJ23*BJ24</f>
        <v>10.8921584848667</v>
      </c>
      <c r="BK25" s="11" t="n">
        <f aca="false">BK23*BK24</f>
        <v>16.232464585987</v>
      </c>
      <c r="BL25" s="11" t="n">
        <f aca="false">BL23*BL24</f>
        <v>16.1664704812436</v>
      </c>
      <c r="BM25" s="11" t="n">
        <f aca="false">BM23*BM24</f>
        <v>5.08084584976015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15.6394650657101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0.11804583592035</v>
      </c>
      <c r="Z26" s="11" t="n">
        <f aca="false">IF(Time!Z25&gt;0,Inputs!$F$173/100*Operations!Z50*(Z8+Z9)/Time!Z25,0)</f>
        <v>0.355491534673645</v>
      </c>
      <c r="AA26" s="11" t="n">
        <f aca="false">IF(Time!AA25&gt;0,Inputs!$F$173/100*Operations!AA50*(AA8+AA9)/Time!AA25,0)</f>
        <v>0.357266560605968</v>
      </c>
      <c r="AB26" s="11" t="n">
        <f aca="false">IF(Time!AB25&gt;0,Inputs!$F$173/100*Operations!AB50*(AB8+AB9)/Time!AB25,0)</f>
        <v>0.359199684831379</v>
      </c>
      <c r="AC26" s="11" t="n">
        <f aca="false">IF(Time!AC25&gt;0,Inputs!$F$173/100*Operations!AC50*(AC8+AC9)/Time!AC25,0)</f>
        <v>0.360089400479836</v>
      </c>
      <c r="AD26" s="11" t="n">
        <f aca="false">IF(Time!AD25&gt;0,Inputs!$F$173/100*Operations!AD50*(AD8+AD9)/Time!AD25,0)</f>
        <v>0.355582189942007</v>
      </c>
      <c r="AE26" s="11" t="n">
        <f aca="false">IF(Time!AE25&gt;0,Inputs!$F$173/100*Operations!AE50*(AE8+AE9)/Time!AE25,0)</f>
        <v>0.362679271815013</v>
      </c>
      <c r="AF26" s="11" t="n">
        <f aca="false">IF(Time!AF25&gt;0,Inputs!$F$173/100*Operations!AF50*(AF8+AF9)/Time!AF25,0)</f>
        <v>0.366021318821837</v>
      </c>
      <c r="AG26" s="11" t="n">
        <f aca="false">IF(Time!AG25&gt;0,Inputs!$F$173/100*Operations!AG50*(AG8+AG9)/Time!AG25,0)</f>
        <v>0.367627801614753</v>
      </c>
      <c r="AH26" s="11" t="n">
        <f aca="false">IF(Time!AH25&gt;0,Inputs!$F$173/100*Operations!AH50*(AH8+AH9)/Time!AH25,0)</f>
        <v>0.369103750096856</v>
      </c>
      <c r="AI26" s="11" t="n">
        <f aca="false">IF(Time!AI25&gt;0,Inputs!$F$173/100*Operations!AI50*(AI8+AI9)/Time!AI25,0)</f>
        <v>0.371036290587391</v>
      </c>
      <c r="AJ26" s="11" t="n">
        <f aca="false">IF(Time!AJ25&gt;0,Inputs!$F$173/100*Operations!AJ50*(AJ8+AJ9)/Time!AJ25,0)</f>
        <v>0.37314034478709</v>
      </c>
      <c r="AK26" s="11" t="n">
        <f aca="false">IF(Time!AK25&gt;0,Inputs!$F$173/100*Operations!AK50*(AK8+AK9)/Time!AK25,0)</f>
        <v>0.374431606697048</v>
      </c>
      <c r="AL26" s="11" t="n">
        <f aca="false">IF(Time!AL25&gt;0,Inputs!$F$173/100*Operations!AL50*(AL8+AL9)/Time!AL25,0)</f>
        <v>0.375189635606888</v>
      </c>
      <c r="AM26" s="11" t="n">
        <f aca="false">IF(Time!AM25&gt;0,Inputs!$F$173/100*Operations!AM50*(AM8+AM9)/Time!AM25,0)</f>
        <v>0.377587683189271</v>
      </c>
      <c r="AN26" s="11" t="n">
        <f aca="false">IF(Time!AN25&gt;0,Inputs!$F$173/100*Operations!AN50*(AN8+AN9)/Time!AN25,0)</f>
        <v>0.380569722267902</v>
      </c>
      <c r="AO26" s="11" t="n">
        <f aca="false">IF(Time!AO25&gt;0,Inputs!$F$173/100*Operations!AO50*(AO8+AO9)/Time!AO25,0)</f>
        <v>0.382320018205603</v>
      </c>
      <c r="AP26" s="11" t="n">
        <f aca="false">IF(Time!AP25&gt;0,Inputs!$F$173/100*Operations!AP50*(AP8+AP9)/Time!AP25,0)</f>
        <v>0.383928865419879</v>
      </c>
      <c r="AQ26" s="11" t="n">
        <f aca="false">IF(Time!AQ25&gt;0,Inputs!$F$173/100*Operations!AQ50*(AQ8+AQ9)/Time!AQ25,0)</f>
        <v>0.38603288955021</v>
      </c>
      <c r="AR26" s="11" t="n">
        <f aca="false">IF(Time!AR25&gt;0,Inputs!$F$173/100*Operations!AR50*(AR8+AR9)/Time!AR25,0)</f>
        <v>0.388322975302412</v>
      </c>
      <c r="AS26" s="11" t="n">
        <f aca="false">IF(Time!AS25&gt;0,Inputs!$F$173/100*Operations!AS50*(AS8+AS9)/Time!AS25,0)</f>
        <v>0.389386468394401</v>
      </c>
      <c r="AT26" s="11" t="n">
        <f aca="false">IF(Time!AT25&gt;0,Inputs!$F$173/100*Operations!AT50*(AT8+AT9)/Time!AT25,0)</f>
        <v>0.384595426140167</v>
      </c>
      <c r="AU26" s="11" t="n">
        <f aca="false">IF(Time!AU25&gt;0,Inputs!$F$173/100*Operations!AU50*(AU8+AU9)/Time!AU25,0)</f>
        <v>0.392466909393403</v>
      </c>
      <c r="AV26" s="11" t="n">
        <f aca="false">IF(Time!AV25&gt;0,Inputs!$F$173/100*Operations!AV50*(AV8+AV9)/Time!AV25,0)</f>
        <v>0.396414217003656</v>
      </c>
      <c r="AW26" s="11" t="n">
        <f aca="false">IF(Time!AW25&gt;0,Inputs!$F$173/100*Operations!AW50*(AW8+AW9)/Time!AW25,0)</f>
        <v>0.398321197042708</v>
      </c>
      <c r="AX26" s="11" t="n">
        <f aca="false">IF(Time!AX25&gt;0,Inputs!$F$173/100*Operations!AX50*(AX8+AX9)/Time!AX25,0)</f>
        <v>0.400074908375084</v>
      </c>
      <c r="AY26" s="11" t="n">
        <f aca="false">IF(Time!AY25&gt;0,Inputs!$F$173/100*Operations!AY50*(AY8+AY9)/Time!AY25,0)</f>
        <v>0.402365623259928</v>
      </c>
      <c r="AZ26" s="11" t="n">
        <f aca="false">IF(Time!AZ25&gt;0,Inputs!$F$173/100*Operations!AZ50*(AZ8+AZ9)/Time!AZ25,0)</f>
        <v>0.404858175206663</v>
      </c>
      <c r="BA26" s="11" t="n">
        <f aca="false">IF(Time!BA25&gt;0,Inputs!$F$173/100*Operations!BA50*(BA8+BA9)/Time!BA25,0)</f>
        <v>0.406395366611893</v>
      </c>
      <c r="BB26" s="11" t="n">
        <f aca="false">IF(Time!BB25&gt;0,Inputs!$F$173/100*Operations!BB50*(BB8+BB9)/Time!BB25,0)</f>
        <v>0.407305886714974</v>
      </c>
      <c r="BC26" s="11" t="n">
        <f aca="false">IF(Time!BC25&gt;0,Inputs!$F$173/100*Operations!BC50*(BC8+BC9)/Time!BC25,0)</f>
        <v>0.41014468089963</v>
      </c>
      <c r="BD26" s="11" t="n">
        <f aca="false">IF(Time!BD25&gt;0,Inputs!$F$173/100*Operations!BD50*(BD8+BD9)/Time!BD25,0)</f>
        <v>0.413670219231639</v>
      </c>
      <c r="BE26" s="11" t="n">
        <f aca="false">IF(Time!BE25&gt;0,Inputs!$F$173/100*Operations!BE50*(BE8+BE9)/Time!BE25,0)</f>
        <v>0.41574790594862</v>
      </c>
      <c r="BF26" s="11" t="n">
        <f aca="false">IF(Time!BF25&gt;0,Inputs!$F$173/100*Operations!BF50*(BF8+BF9)/Time!BF25,0)</f>
        <v>0.417659523964139</v>
      </c>
      <c r="BG26" s="11" t="n">
        <f aca="false">IF(Time!BG25&gt;0,Inputs!$F$173/100*Operations!BG50*(BG8+BG9)/Time!BG25,0)</f>
        <v>0.4201534843989</v>
      </c>
      <c r="BH26" s="11" t="n">
        <f aca="false">IF(Time!BH25&gt;0,Inputs!$F$173/100*Operations!BH50*(BH8+BH9)/Time!BH25,0)</f>
        <v>0.422866387811796</v>
      </c>
      <c r="BI26" s="11" t="n">
        <f aca="false">IF(Time!BI25&gt;0,Inputs!$F$173/100*Operations!BI50*(BI8+BI9)/Time!BI25,0)</f>
        <v>0.424137576577909</v>
      </c>
      <c r="BJ26" s="11" t="n">
        <f aca="false">IF(Time!BJ25&gt;0,Inputs!$F$173/100*Operations!BJ50*(BJ8+BJ9)/Time!BJ25,0)</f>
        <v>0.419011820453759</v>
      </c>
      <c r="BK26" s="11" t="n">
        <f aca="false">IF(Time!BK25&gt;0,Inputs!$F$173/100*Operations!BK50*(BK8+BK9)/Time!BK25,0)</f>
        <v>0.427801508790423</v>
      </c>
      <c r="BL26" s="11" t="n">
        <f aca="false">IF(Time!BL25&gt;0,Inputs!$F$173/100*Operations!BL50*(BL8+BL9)/Time!BL25,0)</f>
        <v>0.432463418236475</v>
      </c>
      <c r="BM26" s="11" t="n">
        <f aca="false">IF(Time!BM25&gt;0,Inputs!$F$173/100*Operations!BM50*(BM8+BM9)/Time!BM25,0)</f>
        <v>0.28995698083863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282.66085281855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0.11804583592035</v>
      </c>
      <c r="Z27" s="11" t="n">
        <f aca="false">MAX(Z25,Z26)</f>
        <v>0.355491534673645</v>
      </c>
      <c r="AA27" s="11" t="n">
        <f aca="false">MAX(AA25,AA26)</f>
        <v>0.357266560605968</v>
      </c>
      <c r="AB27" s="11" t="n">
        <f aca="false">MAX(AB25,AB26)</f>
        <v>0.359199684831379</v>
      </c>
      <c r="AC27" s="11" t="n">
        <f aca="false">MAX(AC25,AC26)</f>
        <v>0.360089400479836</v>
      </c>
      <c r="AD27" s="11" t="n">
        <f aca="false">MAX(AD25,AD26)</f>
        <v>0.355582189942007</v>
      </c>
      <c r="AE27" s="11" t="n">
        <f aca="false">MAX(AE25,AE26)</f>
        <v>0.362679271815013</v>
      </c>
      <c r="AF27" s="11" t="n">
        <f aca="false">MAX(AF25,AF26)</f>
        <v>0.366021318821837</v>
      </c>
      <c r="AG27" s="11" t="n">
        <f aca="false">MAX(AG25,AG26)</f>
        <v>0.367627801614753</v>
      </c>
      <c r="AH27" s="11" t="n">
        <f aca="false">MAX(AH25,AH26)</f>
        <v>0.369103750096856</v>
      </c>
      <c r="AI27" s="11" t="n">
        <f aca="false">MAX(AI25,AI26)</f>
        <v>0.371036290587391</v>
      </c>
      <c r="AJ27" s="11" t="n">
        <f aca="false">MAX(AJ25,AJ26)</f>
        <v>0.37314034478709</v>
      </c>
      <c r="AK27" s="11" t="n">
        <f aca="false">MAX(AK25,AK26)</f>
        <v>0.374431606697048</v>
      </c>
      <c r="AL27" s="11" t="n">
        <f aca="false">MAX(AL25,AL26)</f>
        <v>0.375189635606888</v>
      </c>
      <c r="AM27" s="11" t="n">
        <f aca="false">MAX(AM25,AM26)</f>
        <v>0.377587683189271</v>
      </c>
      <c r="AN27" s="11" t="n">
        <f aca="false">MAX(AN25,AN26)</f>
        <v>0.380569722267902</v>
      </c>
      <c r="AO27" s="11" t="n">
        <f aca="false">MAX(AO25,AO26)</f>
        <v>0.382320018205603</v>
      </c>
      <c r="AP27" s="11" t="n">
        <f aca="false">MAX(AP25,AP26)</f>
        <v>8.67059824419643</v>
      </c>
      <c r="AQ27" s="11" t="n">
        <f aca="false">MAX(AQ25,AQ26)</f>
        <v>9.35470338653135</v>
      </c>
      <c r="AR27" s="11" t="n">
        <f aca="false">MAX(AR25,AR26)</f>
        <v>9.6079939241724</v>
      </c>
      <c r="AS27" s="11" t="n">
        <f aca="false">MAX(AS25,AS26)</f>
        <v>9.68421741503766</v>
      </c>
      <c r="AT27" s="11" t="n">
        <f aca="false">MAX(AT25,AT26)</f>
        <v>5.288870733335</v>
      </c>
      <c r="AU27" s="11" t="n">
        <f aca="false">MAX(AU25,AU26)</f>
        <v>9.80577535964816</v>
      </c>
      <c r="AV27" s="11" t="n">
        <f aca="false">MAX(AV25,AV26)</f>
        <v>9.75276945201055</v>
      </c>
      <c r="AW27" s="11" t="n">
        <f aca="false">MAX(AW25,AW26)</f>
        <v>9.79178106493911</v>
      </c>
      <c r="AX27" s="11" t="n">
        <f aca="false">MAX(AX25,AX26)</f>
        <v>9.85375957984119</v>
      </c>
      <c r="AY27" s="11" t="n">
        <f aca="false">MAX(AY25,AY26)</f>
        <v>9.87606959004436</v>
      </c>
      <c r="AZ27" s="11" t="n">
        <f aca="false">MAX(AZ25,AZ26)</f>
        <v>9.90344174293839</v>
      </c>
      <c r="BA27" s="11" t="n">
        <f aca="false">MAX(BA25,BA26)</f>
        <v>9.96741246385709</v>
      </c>
      <c r="BB27" s="11" t="n">
        <f aca="false">MAX(BB25,BB26)</f>
        <v>9.01835401973073</v>
      </c>
      <c r="BC27" s="11" t="n">
        <f aca="false">MAX(BC25,BC26)</f>
        <v>12.0041753437276</v>
      </c>
      <c r="BD27" s="11" t="n">
        <f aca="false">MAX(BD25,BD26)</f>
        <v>15.8333922367698</v>
      </c>
      <c r="BE27" s="11" t="n">
        <f aca="false">MAX(BE25,BE26)</f>
        <v>15.8755817515633</v>
      </c>
      <c r="BF27" s="11" t="n">
        <f aca="false">MAX(BF25,BF26)</f>
        <v>15.9433262511591</v>
      </c>
      <c r="BG27" s="11" t="n">
        <f aca="false">MAX(BG25,BG26)</f>
        <v>15.9670663058888</v>
      </c>
      <c r="BH27" s="11" t="n">
        <f aca="false">MAX(BH25,BH26)</f>
        <v>15.9966010101359</v>
      </c>
      <c r="BI27" s="11" t="n">
        <f aca="false">MAX(BI25,BI26)</f>
        <v>16.0876408910224</v>
      </c>
      <c r="BJ27" s="11" t="n">
        <f aca="false">MAX(BJ25,BJ26)</f>
        <v>10.8921584848667</v>
      </c>
      <c r="BK27" s="11" t="n">
        <f aca="false">MAX(BK25,BK26)</f>
        <v>16.232464585987</v>
      </c>
      <c r="BL27" s="11" t="n">
        <f aca="false">MAX(BL25,BL26)</f>
        <v>16.1664704812436</v>
      </c>
      <c r="BM27" s="11" t="n">
        <f aca="false">MAX(BM25,BM26)</f>
        <v>5.08084584976015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4.2846858233744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2.10569080594088</v>
      </c>
      <c r="Q28" s="11" t="n">
        <f aca="false">Q13-Q15</f>
        <v>1.08129380998678</v>
      </c>
      <c r="R28" s="11" t="n">
        <f aca="false">R13-R15</f>
        <v>0.00920241259663079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Funding!$F$8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Inputs!$F$49*IF(Time!J17=15,1,0)</f>
        <v>0</v>
      </c>
      <c r="K20" s="9" t="n">
        <f aca="false">Inputs!$F$49*IF(Time!K17=15,1,0)</f>
        <v>0</v>
      </c>
      <c r="L20" s="9" t="n">
        <f aca="false">Inputs!$F$49*IF(Time!L17=15,1,0)</f>
        <v>0</v>
      </c>
      <c r="M20" s="9" t="n">
        <f aca="false">Inputs!$F$49*IF(Time!M17=15,1,0)</f>
        <v>0</v>
      </c>
      <c r="N20" s="9" t="n">
        <f aca="false">Inputs!$F$49*IF(Time!N17=15,1,0)</f>
        <v>0</v>
      </c>
      <c r="O20" s="9" t="n">
        <f aca="false">Inputs!$F$49*IF(Time!O17=15,1,0)</f>
        <v>0</v>
      </c>
      <c r="P20" s="9" t="n">
        <f aca="false">Inputs!$F$49*IF(Time!P17=15,1,0)</f>
        <v>0</v>
      </c>
      <c r="Q20" s="9" t="n">
        <f aca="false">Inputs!$F$49*IF(Time!Q17=15,1,0)</f>
        <v>0</v>
      </c>
      <c r="R20" s="9" t="n">
        <f aca="false">Inputs!$F$49*IF(Time!R17=15,1,0)</f>
        <v>0</v>
      </c>
      <c r="S20" s="9" t="n">
        <f aca="false">Inputs!$F$49*IF(Time!S17=15,1,0)</f>
        <v>0</v>
      </c>
      <c r="T20" s="9" t="n">
        <f aca="false">Inputs!$F$49*IF(Time!T17=15,1,0)</f>
        <v>0</v>
      </c>
      <c r="U20" s="9" t="n">
        <f aca="false">Inputs!$F$49*IF(Time!U17=15,1,0)</f>
        <v>0</v>
      </c>
      <c r="V20" s="9" t="n">
        <f aca="false">Inputs!$F$49*IF(Time!V17=15,1,0)</f>
        <v>0</v>
      </c>
      <c r="W20" s="9" t="n">
        <f aca="false">Inputs!$F$49*IF(Time!W17=15,1,0)</f>
        <v>0</v>
      </c>
      <c r="X20" s="9" t="n">
        <f aca="false">Inputs!$F$49*IF(Time!X17=15,1,0)</f>
        <v>0</v>
      </c>
      <c r="Y20" s="9" t="n">
        <f aca="false">Inputs!$F$49*IF(Time!Y17=15,1,0)</f>
        <v>0</v>
      </c>
      <c r="Z20" s="9" t="n">
        <f aca="false">Inputs!$F$49*IF(Time!Z17=15,1,0)</f>
        <v>0</v>
      </c>
      <c r="AA20" s="9" t="n">
        <f aca="false">Inputs!$F$49*IF(Time!AA17=15,1,0)</f>
        <v>0</v>
      </c>
      <c r="AB20" s="9" t="n">
        <f aca="false">Inputs!$F$49*IF(Time!AB17=15,1,0)</f>
        <v>0</v>
      </c>
      <c r="AC20" s="9" t="n">
        <f aca="false">Inputs!$F$49*IF(Time!AC17=15,1,0)</f>
        <v>0</v>
      </c>
      <c r="AD20" s="9" t="n">
        <f aca="false">Inputs!$F$49*IF(Time!AD17=15,1,0)</f>
        <v>0</v>
      </c>
      <c r="AE20" s="9" t="n">
        <f aca="false">Inputs!$F$49*IF(Time!AE17=15,1,0)</f>
        <v>0</v>
      </c>
      <c r="AF20" s="9" t="n">
        <f aca="false">Inputs!$F$49*IF(Time!AF17=15,1,0)</f>
        <v>0</v>
      </c>
      <c r="AG20" s="9" t="n">
        <f aca="false">Inputs!$F$49*IF(Time!AG17=15,1,0)</f>
        <v>0</v>
      </c>
      <c r="AH20" s="9" t="n">
        <f aca="false">Inputs!$F$49*IF(Time!AH17=15,1,0)</f>
        <v>0</v>
      </c>
      <c r="AI20" s="9" t="n">
        <f aca="false">Inputs!$F$49*IF(Time!AI17=15,1,0)</f>
        <v>0</v>
      </c>
      <c r="AJ20" s="9" t="n">
        <f aca="false">Inputs!$F$49*IF(Time!AJ17=15,1,0)</f>
        <v>0</v>
      </c>
      <c r="AK20" s="9" t="n">
        <f aca="false">Inputs!$F$49*IF(Time!AK17=15,1,0)</f>
        <v>0</v>
      </c>
      <c r="AL20" s="9" t="n">
        <f aca="false">Inputs!$F$49*IF(Time!AL17=15,1,0)</f>
        <v>0</v>
      </c>
      <c r="AM20" s="9" t="n">
        <f aca="false">Inputs!$F$49*IF(Time!AM17=15,1,0)</f>
        <v>0</v>
      </c>
      <c r="AN20" s="9" t="n">
        <f aca="false">Inputs!$F$49*IF(Time!AN17=15,1,0)</f>
        <v>0</v>
      </c>
      <c r="AO20" s="9" t="n">
        <f aca="false">Inputs!$F$49*IF(Time!AO17=15,1,0)</f>
        <v>0</v>
      </c>
      <c r="AP20" s="9" t="n">
        <f aca="false">Inputs!$F$49*IF(Time!AP17=15,1,0)</f>
        <v>0</v>
      </c>
      <c r="AQ20" s="9" t="n">
        <f aca="false">Inputs!$F$49*IF(Time!AQ17=15,1,0)</f>
        <v>0</v>
      </c>
      <c r="AR20" s="9" t="n">
        <f aca="false">Inputs!$F$49*IF(Time!AR17=15,1,0)</f>
        <v>0</v>
      </c>
      <c r="AS20" s="9" t="n">
        <f aca="false">Inputs!$F$49*IF(Time!AS17=15,1,0)</f>
        <v>0</v>
      </c>
      <c r="AT20" s="9" t="n">
        <f aca="false">Inputs!$F$49*IF(Time!AT17=15,1,0)</f>
        <v>0</v>
      </c>
      <c r="AU20" s="9" t="n">
        <f aca="false">Inputs!$F$49*IF(Time!AU17=15,1,0)</f>
        <v>0</v>
      </c>
      <c r="AV20" s="9" t="n">
        <f aca="false">Inputs!$F$49*IF(Time!AV17=15,1,0)</f>
        <v>0</v>
      </c>
      <c r="AW20" s="9" t="n">
        <f aca="false">Inputs!$F$49*IF(Time!AW17=15,1,0)</f>
        <v>0</v>
      </c>
      <c r="AX20" s="9" t="n">
        <f aca="false">Inputs!$F$49*IF(Time!AX17=15,1,0)</f>
        <v>0</v>
      </c>
      <c r="AY20" s="9" t="n">
        <f aca="false">Inputs!$F$49*IF(Time!AY17=15,1,0)</f>
        <v>0</v>
      </c>
      <c r="AZ20" s="9" t="n">
        <f aca="false">Inputs!$F$49*IF(Time!AZ17=15,1,0)</f>
        <v>0</v>
      </c>
      <c r="BA20" s="9" t="n">
        <f aca="false">Inputs!$F$49*IF(Time!BA17=15,1,0)</f>
        <v>0</v>
      </c>
      <c r="BB20" s="9" t="n">
        <f aca="false">Inputs!$F$49*IF(Time!BB17=15,1,0)</f>
        <v>0</v>
      </c>
      <c r="BC20" s="9" t="n">
        <f aca="false">Inputs!$F$49*IF(Time!BC17=15,1,0)</f>
        <v>0</v>
      </c>
      <c r="BD20" s="9" t="n">
        <f aca="false">Inputs!$F$49*IF(Time!BD17=15,1,0)</f>
        <v>0</v>
      </c>
      <c r="BE20" s="9" t="n">
        <f aca="false">Inputs!$F$49*IF(Time!BE17=15,1,0)</f>
        <v>0</v>
      </c>
      <c r="BF20" s="9" t="n">
        <f aca="false">Inputs!$F$49*IF(Time!BF17=15,1,0)</f>
        <v>0</v>
      </c>
      <c r="BG20" s="9" t="n">
        <f aca="false">Inputs!$F$49*IF(Time!BG17=15,1,0)</f>
        <v>0</v>
      </c>
      <c r="BH20" s="9" t="n">
        <f aca="false">Inputs!$F$49*IF(Time!BH17=15,1,0)</f>
        <v>0</v>
      </c>
      <c r="BI20" s="9" t="n">
        <f aca="false">Inputs!$F$49*IF(Time!BI17=15,1,0)</f>
        <v>0</v>
      </c>
      <c r="BJ20" s="9" t="n">
        <f aca="false">Inputs!$F$49*IF(Time!BJ17=15,1,0)</f>
        <v>0</v>
      </c>
      <c r="BK20" s="9" t="n">
        <f aca="false">Inputs!$F$49*IF(Time!BK17=15,1,0)</f>
        <v>0</v>
      </c>
      <c r="BL20" s="9" t="n">
        <f aca="false">Inputs!$F$49*IF(Time!BL17=15,1,0)</f>
        <v>0</v>
      </c>
      <c r="BM20" s="9" t="n">
        <f aca="false">Inputs!$F$49*IF(Time!BM17=15,1,0)</f>
        <v>0</v>
      </c>
      <c r="BN20" s="9" t="n">
        <f aca="false">Inputs!$F$49*IF(Time!BN17=15,1,0)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149.244548705174</v>
      </c>
      <c r="AC70" s="11" t="n">
        <f aca="false">Time!AC30*AB83</f>
        <v>134.726050991432</v>
      </c>
      <c r="AD70" s="11" t="n">
        <f aca="false">Time!AD30*AC83</f>
        <v>120.69830939484</v>
      </c>
      <c r="AE70" s="11" t="n">
        <f aca="false">Time!AE30*AD83</f>
        <v>105.037787840026</v>
      </c>
      <c r="AF70" s="11" t="n">
        <f aca="false">Time!AF30*AE83</f>
        <v>89.0490597044526</v>
      </c>
      <c r="AG70" s="11" t="n">
        <f aca="false">Time!AG30*AF83</f>
        <v>72.6831143569271</v>
      </c>
      <c r="AH70" s="11" t="n">
        <f aca="false">Time!AH30*AG83</f>
        <v>56.7000634313687</v>
      </c>
      <c r="AI70" s="11" t="n">
        <f aca="false">Time!AI30*AH83</f>
        <v>40.1225326510659</v>
      </c>
      <c r="AJ70" s="11" t="n">
        <f aca="false">Time!AJ30*AI83</f>
        <v>24.0017939211608</v>
      </c>
      <c r="AK70" s="11" t="n">
        <f aca="false">Time!AK30*AJ83</f>
        <v>7.71406668535949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136.218793381724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6.54317581928167</v>
      </c>
      <c r="AC72" s="11" t="n">
        <f aca="false">AC70*AC13</f>
        <v>5.84245341620377</v>
      </c>
      <c r="AD72" s="11" t="n">
        <f aca="false">AD70*AD13</f>
        <v>5.29165230028342</v>
      </c>
      <c r="AE72" s="11" t="n">
        <f aca="false">AE70*AE13</f>
        <v>4.52998153409339</v>
      </c>
      <c r="AF72" s="11" t="n">
        <f aca="false">AF70*AF13</f>
        <v>3.9040866768204</v>
      </c>
      <c r="AG72" s="11" t="n">
        <f aca="false">AG70*AG13</f>
        <v>3.33763553094208</v>
      </c>
      <c r="AH72" s="11" t="n">
        <f aca="false">AH70*AH13</f>
        <v>2.64684296107027</v>
      </c>
      <c r="AI72" s="11" t="n">
        <f aca="false">AI70*AI13</f>
        <v>1.84244155953423</v>
      </c>
      <c r="AJ72" s="11" t="n">
        <f aca="false">AJ70*AJ13</f>
        <v>1.120439298453</v>
      </c>
      <c r="AK72" s="11" t="n">
        <f aca="false">AK70*AK13</f>
        <v>0.356189886542136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152.022691188326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8.28278328852941</v>
      </c>
      <c r="AC73" s="11" t="n">
        <f aca="false">Time!AC30*(AC70-AC71)*AC19</f>
        <v>8.17863585935249</v>
      </c>
      <c r="AD73" s="11" t="n">
        <f aca="false">Time!AD30*(AD70-AD71)*AD19</f>
        <v>8.51770109941476</v>
      </c>
      <c r="AE73" s="11" t="n">
        <f aca="false">Time!AE30*(AE70-AE71)*AE19</f>
        <v>8.31814290158294</v>
      </c>
      <c r="AF73" s="11" t="n">
        <f aca="false">Time!AF30*(AF70-AF71)*AF19</f>
        <v>7.9271246703197</v>
      </c>
      <c r="AG73" s="11" t="n">
        <f aca="false">Time!AG30*(AG70-AG71)*AG19</f>
        <v>7.2350500352283</v>
      </c>
      <c r="AH73" s="11" t="n">
        <f aca="false">Time!AH30*(AH70-AH71)*AH19</f>
        <v>6.58265248418318</v>
      </c>
      <c r="AI73" s="11" t="n">
        <f aca="false">Time!AI30*(AI70-AI71)*AI19</f>
        <v>5.42461588855081</v>
      </c>
      <c r="AJ73" s="11" t="n">
        <f aca="false">Time!AJ30*(AJ70-AJ71)*AJ19</f>
        <v>3.93355860845917</v>
      </c>
      <c r="AK73" s="11" t="n">
        <f aca="false">Time!AK30*(AK70-AK71)*AK19</f>
        <v>1.56096965414917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152.022691188326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8.28278328852941</v>
      </c>
      <c r="AC77" s="11" t="n">
        <f aca="false">AC73-AC74+AC76</f>
        <v>8.17863585935249</v>
      </c>
      <c r="AD77" s="11" t="n">
        <f aca="false">AD73-AD74+AD76</f>
        <v>8.51770109941476</v>
      </c>
      <c r="AE77" s="11" t="n">
        <f aca="false">AE73-AE74+AE76</f>
        <v>8.31814290158294</v>
      </c>
      <c r="AF77" s="11" t="n">
        <f aca="false">AF73-AF74+AF76</f>
        <v>7.9271246703197</v>
      </c>
      <c r="AG77" s="11" t="n">
        <f aca="false">AG73-AG74+AG76</f>
        <v>7.2350500352283</v>
      </c>
      <c r="AH77" s="11" t="n">
        <f aca="false">AH73-AH74+AH76</f>
        <v>6.58265248418318</v>
      </c>
      <c r="AI77" s="11" t="n">
        <f aca="false">AI73-AI74+AI76</f>
        <v>5.42461588855081</v>
      </c>
      <c r="AJ77" s="11" t="n">
        <f aca="false">AJ73-AJ74+AJ76</f>
        <v>3.93355860845917</v>
      </c>
      <c r="AK77" s="11" t="n">
        <f aca="false">AK73-AK74+AK76</f>
        <v>1.56096965414917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140.961765416645</v>
      </c>
      <c r="AC81" s="11" t="n">
        <f aca="false">AC70-AC77-AC78-AC79</f>
        <v>126.54741513208</v>
      </c>
      <c r="AD81" s="11" t="n">
        <f aca="false">AD70-AD77-AD78-AD79</f>
        <v>112.180608295426</v>
      </c>
      <c r="AE81" s="11" t="n">
        <f aca="false">AE70-AE77-AE78-AE79</f>
        <v>96.7196449384435</v>
      </c>
      <c r="AF81" s="11" t="n">
        <f aca="false">AF70-AF77-AF78-AF79</f>
        <v>81.1219350341329</v>
      </c>
      <c r="AG81" s="11" t="n">
        <f aca="false">AG70-AG77-AG78-AG79</f>
        <v>65.4480643216988</v>
      </c>
      <c r="AH81" s="11" t="n">
        <f aca="false">AH70-AH77-AH78-AH79</f>
        <v>50.1174109471856</v>
      </c>
      <c r="AI81" s="11" t="n">
        <f aca="false">AI70-AI77-AI78-AI79</f>
        <v>34.6979167625151</v>
      </c>
      <c r="AJ81" s="11" t="n">
        <f aca="false">AJ70-AJ77-AJ78-AJ79</f>
        <v>20.0682353127016</v>
      </c>
      <c r="AK81" s="11" t="n">
        <f aca="false">AK70-AK77-AK78-AK79</f>
        <v>6.15309703121032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88.6145795179285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5.33126530252416</v>
      </c>
      <c r="AB82" s="11" t="n">
        <f aca="false">Waterfall!AB28*AB81/(AB36+AB51+AB66+AB81+AB96+0.000000001)+Waterfall!AB29</f>
        <v>6.23571442521261</v>
      </c>
      <c r="AC82" s="11" t="n">
        <f aca="false">Waterfall!AC28*AC81/(AC36+AC51+AC66+AC81+AC96+0.000000001)+Waterfall!AC29</f>
        <v>5.84910573723931</v>
      </c>
      <c r="AD82" s="11" t="n">
        <f aca="false">Waterfall!AD28*AD81/(AD36+AD51+AD66+AD81+AD96+0.000000001)+Waterfall!AD29</f>
        <v>7.14282045539922</v>
      </c>
      <c r="AE82" s="11" t="n">
        <f aca="false">Waterfall!AE28*AE81/(AE36+AE51+AE66+AE81+AE96+0.000000001)+Waterfall!AE29</f>
        <v>7.67058523399088</v>
      </c>
      <c r="AF82" s="11" t="n">
        <f aca="false">Waterfall!AF28*AF81/(AF36+AF51+AF66+AF81+AF96+0.000000001)+Waterfall!AF29</f>
        <v>8.43882067720587</v>
      </c>
      <c r="AG82" s="11" t="n">
        <f aca="false">Waterfall!AG28*AG81/(AG36+AG51+AG66+AG81+AG96+0.000000001)+Waterfall!AG29</f>
        <v>8.74800089033003</v>
      </c>
      <c r="AH82" s="11" t="n">
        <f aca="false">Waterfall!AH28*AH81/(AH36+AH51+AH66+AH81+AH96+0.000000001)+Waterfall!AH29</f>
        <v>9.99487829611962</v>
      </c>
      <c r="AI82" s="11" t="n">
        <f aca="false">Waterfall!AI28*AI81/(AI36+AI51+AI66+AI81+AI96+0.000000001)+Waterfall!AI29</f>
        <v>10.6961228413543</v>
      </c>
      <c r="AJ82" s="11" t="n">
        <f aca="false">Waterfall!AJ28*AJ81/(AJ36+AJ51+AJ66+AJ81+AJ96+0.000000001)+Waterfall!AJ29</f>
        <v>12.3541686273421</v>
      </c>
      <c r="AK82" s="11" t="n">
        <f aca="false">Waterfall!AK28*AK81/(AK36+AK51+AK66+AK81+AK96+0.000000001)+Waterfall!AK29</f>
        <v>6.15309703121032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149.244548705174</v>
      </c>
      <c r="AB83" s="11" t="n">
        <f aca="false">IF(Time!AB29=1,INDEX(Funding!$J$64:$BJ$64,1,Time!$F$13),Time!AB30*(AB81-AB82))</f>
        <v>134.726050991432</v>
      </c>
      <c r="AC83" s="11" t="n">
        <f aca="false">IF(Time!AC29=1,INDEX(Funding!$J$64:$BJ$64,1,Time!$F$13),Time!AC30*(AC81-AC82))</f>
        <v>120.69830939484</v>
      </c>
      <c r="AD83" s="11" t="n">
        <f aca="false">IF(Time!AD29=1,INDEX(Funding!$J$64:$BJ$64,1,Time!$F$13),Time!AD30*(AD81-AD82))</f>
        <v>105.037787840026</v>
      </c>
      <c r="AE83" s="11" t="n">
        <f aca="false">IF(Time!AE29=1,INDEX(Funding!$J$64:$BJ$64,1,Time!$F$13),Time!AE30*(AE81-AE82))</f>
        <v>89.0490597044526</v>
      </c>
      <c r="AF83" s="11" t="n">
        <f aca="false">IF(Time!AF29=1,INDEX(Funding!$J$64:$BJ$64,1,Time!$F$13),Time!AF30*(AF81-AF82))</f>
        <v>72.6831143569271</v>
      </c>
      <c r="AG83" s="11" t="n">
        <f aca="false">IF(Time!AG29=1,INDEX(Funding!$J$64:$BJ$64,1,Time!$F$13),Time!AG30*(AG81-AG82))</f>
        <v>56.7000634313687</v>
      </c>
      <c r="AH83" s="11" t="n">
        <f aca="false">IF(Time!AH29=1,INDEX(Funding!$J$64:$BJ$64,1,Time!$F$13),Time!AH30*(AH81-AH82))</f>
        <v>40.1225326510659</v>
      </c>
      <c r="AI83" s="11" t="n">
        <f aca="false">IF(Time!AI29=1,INDEX(Funding!$J$64:$BJ$64,1,Time!$F$13),Time!AI30*(AI81-AI82))</f>
        <v>24.0017939211608</v>
      </c>
      <c r="AJ83" s="11" t="n">
        <f aca="false">IF(Time!AJ29=1,INDEX(Funding!$J$64:$BJ$64,1,Time!$F$13),Time!AJ30*(AJ81-AJ82))</f>
        <v>7.71406668535949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IF(Time!J17&gt;15,(1+Inputs!$F$199/200)^-(Time!J17-15),0)</f>
        <v>0</v>
      </c>
      <c r="K106" s="10" t="n">
        <f aca="false">IF(Time!K17&gt;15,(1+Inputs!$F$199/200)^-(Time!K17-15),0)</f>
        <v>0</v>
      </c>
      <c r="L106" s="10" t="n">
        <f aca="false">IF(Time!L17&gt;15,(1+Inputs!$F$199/200)^-(Time!L17-15),0)</f>
        <v>0</v>
      </c>
      <c r="M106" s="10" t="n">
        <f aca="false">IF(Time!M17&gt;15,(1+Inputs!$F$199/200)^-(Time!M17-15),0)</f>
        <v>0</v>
      </c>
      <c r="N106" s="10" t="n">
        <f aca="false">IF(Time!N17&gt;15,(1+Inputs!$F$199/200)^-(Time!N17-15),0)</f>
        <v>0</v>
      </c>
      <c r="O106" s="10" t="n">
        <f aca="false">IF(Time!O17&gt;15,(1+Inputs!$F$199/200)^-(Time!O17-15),0)</f>
        <v>0</v>
      </c>
      <c r="P106" s="10" t="n">
        <f aca="false">IF(Time!P17&gt;15,(1+Inputs!$F$199/200)^-(Time!P17-15),0)</f>
        <v>0</v>
      </c>
      <c r="Q106" s="10" t="n">
        <f aca="false">IF(Time!Q17&gt;15,(1+Inputs!$F$199/200)^-(Time!Q17-15),0)</f>
        <v>0</v>
      </c>
      <c r="R106" s="10" t="n">
        <f aca="false">IF(Time!R17&gt;15,(1+Inputs!$F$199/200)^-(Time!R17-15),0)</f>
        <v>0</v>
      </c>
      <c r="S106" s="10" t="n">
        <f aca="false">IF(Time!S17&gt;15,(1+Inputs!$F$199/200)^-(Time!S17-15),0)</f>
        <v>0</v>
      </c>
      <c r="T106" s="10" t="n">
        <f aca="false">IF(Time!T17&gt;15,(1+Inputs!$F$199/200)^-(Time!T17-15),0)</f>
        <v>0</v>
      </c>
      <c r="U106" s="10" t="n">
        <f aca="false">IF(Time!U17&gt;15,(1+Inputs!$F$199/200)^-(Time!U17-15),0)</f>
        <v>0</v>
      </c>
      <c r="V106" s="10" t="n">
        <f aca="false">IF(Time!V17&gt;15,(1+Inputs!$F$199/200)^-(Time!V17-15),0)</f>
        <v>0</v>
      </c>
      <c r="W106" s="10" t="n">
        <f aca="false">IF(Time!W17&gt;15,(1+Inputs!$F$199/200)^-(Time!W17-15),0)</f>
        <v>0</v>
      </c>
      <c r="X106" s="10" t="n">
        <f aca="false">IF(Time!X17&gt;15,(1+Inputs!$F$199/200)^-(Time!X17-15),0)</f>
        <v>0</v>
      </c>
      <c r="Y106" s="10" t="n">
        <f aca="false">IF(Time!Y17&gt;15,(1+Inputs!$F$199/200)^-(Time!Y17-15),0)</f>
        <v>0.981932443047918</v>
      </c>
      <c r="Z106" s="10" t="n">
        <f aca="false">IF(Time!Z17&gt;15,(1+Inputs!$F$199/200)^-(Time!Z17-15),0)</f>
        <v>0.964191322710053</v>
      </c>
      <c r="AA106" s="10" t="n">
        <f aca="false">IF(Time!AA17&gt;15,(1+Inputs!$F$199/200)^-(Time!AA17-15),0)</f>
        <v>0.946770741074287</v>
      </c>
      <c r="AB106" s="10" t="n">
        <f aca="false">IF(Time!AB17&gt;15,(1+Inputs!$F$199/200)^-(Time!AB17-15),0)</f>
        <v>0.929664906789362</v>
      </c>
      <c r="AC106" s="10" t="n">
        <f aca="false">IF(Time!AC17&gt;15,(1+Inputs!$F$199/200)^-(Time!AC17-15),0)</f>
        <v>0.912868133139594</v>
      </c>
      <c r="AD106" s="10" t="n">
        <f aca="false">IF(Time!AD17&gt;15,(1+Inputs!$F$199/200)^-(Time!AD17-15),0)</f>
        <v>0.896374836154354</v>
      </c>
      <c r="AE106" s="10" t="n">
        <f aca="false">IF(Time!AE17&gt;15,(1+Inputs!$F$199/200)^-(Time!AE17-15),0)</f>
        <v>0.880179532751722</v>
      </c>
      <c r="AF106" s="10" t="n">
        <f aca="false">IF(Time!AF17&gt;15,(1+Inputs!$F$199/200)^-(Time!AF17-15),0)</f>
        <v>0.864276838915674</v>
      </c>
      <c r="AG106" s="10" t="n">
        <f aca="false">IF(Time!AG17&gt;15,(1+Inputs!$F$199/200)^-(Time!AG17-15),0)</f>
        <v>0.8486614679062</v>
      </c>
      <c r="AH106" s="10" t="n">
        <f aca="false">IF(Time!AH17&gt;15,(1+Inputs!$F$199/200)^-(Time!AH17-15),0)</f>
        <v>0.833328228501767</v>
      </c>
      <c r="AI106" s="10" t="n">
        <f aca="false">IF(Time!AI17&gt;15,(1+Inputs!$F$199/200)^-(Time!AI17-15),0)</f>
        <v>0.818272023273534</v>
      </c>
      <c r="AJ106" s="10" t="n">
        <f aca="false">IF(Time!AJ17&gt;15,(1+Inputs!$F$199/200)^-(Time!AJ17-15),0)</f>
        <v>0.803487846890745</v>
      </c>
      <c r="AK106" s="10" t="n">
        <f aca="false">IF(Time!AK17&gt;15,(1+Inputs!$F$199/200)^-(Time!AK17-15),0)</f>
        <v>0.78897078445674</v>
      </c>
      <c r="AL106" s="10" t="n">
        <f aca="false">IF(Time!AL17&gt;15,(1+Inputs!$F$199/200)^-(Time!AL17-15),0)</f>
        <v>0.77471600987504</v>
      </c>
      <c r="AM106" s="10" t="n">
        <f aca="false">IF(Time!AM17&gt;15,(1+Inputs!$F$199/200)^-(Time!AM17-15),0)</f>
        <v>0.760718784244933</v>
      </c>
      <c r="AN106" s="10" t="n">
        <f aca="false">IF(Time!AN17&gt;15,(1+Inputs!$F$199/200)^-(Time!AN17-15),0)</f>
        <v>0.746974454286069</v>
      </c>
      <c r="AO106" s="10" t="n">
        <f aca="false">IF(Time!AO17&gt;15,(1+Inputs!$F$199/200)^-(Time!AO17-15),0)</f>
        <v>0.733478450791506</v>
      </c>
      <c r="AP106" s="10" t="n">
        <f aca="false">IF(Time!AP17&gt;15,(1+Inputs!$F$199/200)^-(Time!AP17-15),0)</f>
        <v>0.720226287108706</v>
      </c>
      <c r="AQ106" s="10" t="n">
        <f aca="false">IF(Time!AQ17&gt;15,(1+Inputs!$F$199/200)^-(Time!AQ17-15),0)</f>
        <v>0.707213557647983</v>
      </c>
      <c r="AR106" s="10" t="n">
        <f aca="false">IF(Time!AR17&gt;15,(1+Inputs!$F$199/200)^-(Time!AR17-15),0)</f>
        <v>0.694435936417893</v>
      </c>
      <c r="AS106" s="10" t="n">
        <f aca="false">IF(Time!AS17&gt;15,(1+Inputs!$F$199/200)^-(Time!AS17-15),0)</f>
        <v>0.681889175587091</v>
      </c>
      <c r="AT106" s="10" t="n">
        <f aca="false">IF(Time!AT17&gt;15,(1+Inputs!$F$199/200)^-(Time!AT17-15),0)</f>
        <v>0.669569104072163</v>
      </c>
      <c r="AU106" s="10" t="n">
        <f aca="false">IF(Time!AU17&gt;15,(1+Inputs!$F$199/200)^-(Time!AU17-15),0)</f>
        <v>0.657471626150985</v>
      </c>
      <c r="AV106" s="10" t="n">
        <f aca="false">IF(Time!AV17&gt;15,(1+Inputs!$F$199/200)^-(Time!AV17-15),0)</f>
        <v>0.645592720101125</v>
      </c>
      <c r="AW106" s="10" t="n">
        <f aca="false">IF(Time!AW17&gt;15,(1+Inputs!$F$199/200)^-(Time!AW17-15),0)</f>
        <v>0.633928436862848</v>
      </c>
      <c r="AX106" s="10" t="n">
        <f aca="false">IF(Time!AX17&gt;15,(1+Inputs!$F$199/200)^-(Time!AX17-15),0)</f>
        <v>0.622474898726284</v>
      </c>
      <c r="AY106" s="10" t="n">
        <f aca="false">IF(Time!AY17&gt;15,(1+Inputs!$F$199/200)^-(Time!AY17-15),0)</f>
        <v>0.611228298042306</v>
      </c>
      <c r="AZ106" s="10" t="n">
        <f aca="false">IF(Time!AZ17&gt;15,(1+Inputs!$F$199/200)^-(Time!AZ17-15),0)</f>
        <v>0.600184895956703</v>
      </c>
      <c r="BA106" s="10" t="n">
        <f aca="false">IF(Time!BA17&gt;15,(1+Inputs!$F$199/200)^-(Time!BA17-15),0)</f>
        <v>0.589341021167226</v>
      </c>
      <c r="BB106" s="10" t="n">
        <f aca="false">IF(Time!BB17&gt;15,(1+Inputs!$F$199/200)^-(Time!BB17-15),0)</f>
        <v>0.578693068703089</v>
      </c>
      <c r="BC106" s="10" t="n">
        <f aca="false">IF(Time!BC17&gt;15,(1+Inputs!$F$199/200)^-(Time!BC17-15),0)</f>
        <v>0.568237498726521</v>
      </c>
      <c r="BD106" s="10" t="n">
        <f aca="false">IF(Time!BD17&gt;15,(1+Inputs!$F$199/200)^-(Time!BD17-15),0)</f>
        <v>0.557970835355971</v>
      </c>
      <c r="BE106" s="10" t="n">
        <f aca="false">IF(Time!BE17&gt;15,(1+Inputs!$F$199/200)^-(Time!BE17-15),0)</f>
        <v>0.547889665510577</v>
      </c>
      <c r="BF106" s="10" t="n">
        <f aca="false">IF(Time!BF17&gt;15,(1+Inputs!$F$199/200)^-(Time!BF17-15),0)</f>
        <v>0.537990637775507</v>
      </c>
      <c r="BG106" s="10" t="n">
        <f aca="false">IF(Time!BG17&gt;15,(1+Inputs!$F$199/200)^-(Time!BG17-15),0)</f>
        <v>0.528270461287812</v>
      </c>
      <c r="BH106" s="10" t="n">
        <f aca="false">IF(Time!BH17&gt;15,(1+Inputs!$F$199/200)^-(Time!BH17-15),0)</f>
        <v>0.518725904642391</v>
      </c>
      <c r="BI106" s="10" t="n">
        <f aca="false">IF(Time!BI17&gt;15,(1+Inputs!$F$199/200)^-(Time!BI17-15),0)</f>
        <v>0.509353794817745</v>
      </c>
      <c r="BJ106" s="10" t="n">
        <f aca="false">IF(Time!BJ17&gt;15,(1+Inputs!$F$199/200)^-(Time!BJ17-15),0)</f>
        <v>0.500151016121117</v>
      </c>
      <c r="BK106" s="10" t="n">
        <f aca="false">IF(Time!BK17&gt;15,(1+Inputs!$F$199/200)^-(Time!BK17-15),0)</f>
        <v>0.491114509152707</v>
      </c>
      <c r="BL106" s="10" t="n">
        <f aca="false">IF(Time!BL17&gt;15,(1+Inputs!$F$199/200)^-(Time!BL17-15),0)</f>
        <v>0.482241269788597</v>
      </c>
      <c r="BM106" s="10" t="n">
        <f aca="false">IF(Time!BM17&gt;15,(1+Inputs!$F$199/200)^-(Time!BM17-15),0)</f>
        <v>0.473528348182047</v>
      </c>
      <c r="BN106" s="10" t="n">
        <f aca="false">IF(Time!BN17&gt;15,(1+Inputs!$F$199/200)^-(Time!BN17-15),0)</f>
        <v>0.464972847782843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IF(AND(Inputs!$F$49=1,Time!J17&gt;15),Inputs!$F$201,1)</f>
        <v>1</v>
      </c>
      <c r="K113" s="11" t="n">
        <f aca="false">IF(AND(Inputs!$F$49=1,Time!K17&gt;15),Inputs!$F$201,1)</f>
        <v>1</v>
      </c>
      <c r="L113" s="11" t="n">
        <f aca="false">IF(AND(Inputs!$F$49=1,Time!L17&gt;15),Inputs!$F$201,1)</f>
        <v>1</v>
      </c>
      <c r="M113" s="11" t="n">
        <f aca="false">IF(AND(Inputs!$F$49=1,Time!M17&gt;15),Inputs!$F$201,1)</f>
        <v>1</v>
      </c>
      <c r="N113" s="11" t="n">
        <f aca="false">IF(AND(Inputs!$F$49=1,Time!N17&gt;15),Inputs!$F$201,1)</f>
        <v>1</v>
      </c>
      <c r="O113" s="11" t="n">
        <f aca="false">IF(AND(Inputs!$F$49=1,Time!O17&gt;15),Inputs!$F$201,1)</f>
        <v>1</v>
      </c>
      <c r="P113" s="11" t="n">
        <f aca="false">IF(AND(Inputs!$F$49=1,Time!P17&gt;15),Inputs!$F$201,1)</f>
        <v>1</v>
      </c>
      <c r="Q113" s="11" t="n">
        <f aca="false">IF(AND(Inputs!$F$49=1,Time!Q17&gt;15),Inputs!$F$201,1)</f>
        <v>1</v>
      </c>
      <c r="R113" s="11" t="n">
        <f aca="false">IF(AND(Inputs!$F$49=1,Time!R17&gt;15),Inputs!$F$201,1)</f>
        <v>1</v>
      </c>
      <c r="S113" s="11" t="n">
        <f aca="false">IF(AND(Inputs!$F$49=1,Time!S17&gt;15),Inputs!$F$201,1)</f>
        <v>1</v>
      </c>
      <c r="T113" s="11" t="n">
        <f aca="false">IF(AND(Inputs!$F$49=1,Time!T17&gt;15),Inputs!$F$201,1)</f>
        <v>1</v>
      </c>
      <c r="U113" s="11" t="n">
        <f aca="false">IF(AND(Inputs!$F$49=1,Time!U17&gt;15),Inputs!$F$201,1)</f>
        <v>1</v>
      </c>
      <c r="V113" s="11" t="n">
        <f aca="false">IF(AND(Inputs!$F$49=1,Time!V17&gt;15),Inputs!$F$201,1)</f>
        <v>1</v>
      </c>
      <c r="W113" s="11" t="n">
        <f aca="false">IF(AND(Inputs!$F$49=1,Time!W17&gt;15),Inputs!$F$201,1)</f>
        <v>1</v>
      </c>
      <c r="X113" s="11" t="n">
        <f aca="false">IF(AND(Inputs!$F$49=1,Time!X17&gt;15),Inputs!$F$201,1)</f>
        <v>1</v>
      </c>
      <c r="Y113" s="11" t="n">
        <f aca="false">IF(AND(Inputs!$F$49=1,Time!Y17&gt;15),Inputs!$F$201,1)</f>
        <v>1</v>
      </c>
      <c r="Z113" s="11" t="n">
        <f aca="false">IF(AND(Inputs!$F$49=1,Time!Z17&gt;15),Inputs!$F$201,1)</f>
        <v>1</v>
      </c>
      <c r="AA113" s="11" t="n">
        <f aca="false">IF(AND(Inputs!$F$49=1,Time!AA17&gt;15),Inputs!$F$201,1)</f>
        <v>1</v>
      </c>
      <c r="AB113" s="11" t="n">
        <f aca="false">IF(AND(Inputs!$F$49=1,Time!AB17&gt;15),Inputs!$F$201,1)</f>
        <v>1</v>
      </c>
      <c r="AC113" s="11" t="n">
        <f aca="false">IF(AND(Inputs!$F$49=1,Time!AC17&gt;15),Inputs!$F$201,1)</f>
        <v>1</v>
      </c>
      <c r="AD113" s="11" t="n">
        <f aca="false">IF(AND(Inputs!$F$49=1,Time!AD17&gt;15),Inputs!$F$201,1)</f>
        <v>1</v>
      </c>
      <c r="AE113" s="11" t="n">
        <f aca="false">IF(AND(Inputs!$F$49=1,Time!AE17&gt;15),Inputs!$F$201,1)</f>
        <v>1</v>
      </c>
      <c r="AF113" s="11" t="n">
        <f aca="false">IF(AND(Inputs!$F$49=1,Time!AF17&gt;15),Inputs!$F$201,1)</f>
        <v>1</v>
      </c>
      <c r="AG113" s="11" t="n">
        <f aca="false">IF(AND(Inputs!$F$49=1,Time!AG17&gt;15),Inputs!$F$201,1)</f>
        <v>1</v>
      </c>
      <c r="AH113" s="11" t="n">
        <f aca="false">IF(AND(Inputs!$F$49=1,Time!AH17&gt;15),Inputs!$F$201,1)</f>
        <v>1</v>
      </c>
      <c r="AI113" s="11" t="n">
        <f aca="false">IF(AND(Inputs!$F$49=1,Time!AI17&gt;15),Inputs!$F$201,1)</f>
        <v>1</v>
      </c>
      <c r="AJ113" s="11" t="n">
        <f aca="false">IF(AND(Inputs!$F$49=1,Time!AJ17&gt;15),Inputs!$F$201,1)</f>
        <v>1</v>
      </c>
      <c r="AK113" s="11" t="n">
        <f aca="false">IF(AND(Inputs!$F$49=1,Time!AK17&gt;15),Inputs!$F$201,1)</f>
        <v>1</v>
      </c>
      <c r="AL113" s="11" t="n">
        <f aca="false">IF(AND(Inputs!$F$49=1,Time!AL17&gt;15),Inputs!$F$201,1)</f>
        <v>1</v>
      </c>
      <c r="AM113" s="11" t="n">
        <f aca="false">IF(AND(Inputs!$F$49=1,Time!AM17&gt;15),Inputs!$F$201,1)</f>
        <v>1</v>
      </c>
      <c r="AN113" s="11" t="n">
        <f aca="false">IF(AND(Inputs!$F$49=1,Time!AN17&gt;15),Inputs!$F$201,1)</f>
        <v>1</v>
      </c>
      <c r="AO113" s="11" t="n">
        <f aca="false">IF(AND(Inputs!$F$49=1,Time!AO17&gt;15),Inputs!$F$201,1)</f>
        <v>1</v>
      </c>
      <c r="AP113" s="11" t="n">
        <f aca="false">IF(AND(Inputs!$F$49=1,Time!AP17&gt;15),Inputs!$F$201,1)</f>
        <v>1</v>
      </c>
      <c r="AQ113" s="11" t="n">
        <f aca="false">IF(AND(Inputs!$F$49=1,Time!AQ17&gt;15),Inputs!$F$201,1)</f>
        <v>1</v>
      </c>
      <c r="AR113" s="11" t="n">
        <f aca="false">IF(AND(Inputs!$F$49=1,Time!AR17&gt;15),Inputs!$F$201,1)</f>
        <v>1</v>
      </c>
      <c r="AS113" s="11" t="n">
        <f aca="false">IF(AND(Inputs!$F$49=1,Time!AS17&gt;15),Inputs!$F$201,1)</f>
        <v>1</v>
      </c>
      <c r="AT113" s="11" t="n">
        <f aca="false">IF(AND(Inputs!$F$49=1,Time!AT17&gt;15),Inputs!$F$201,1)</f>
        <v>1</v>
      </c>
      <c r="AU113" s="11" t="n">
        <f aca="false">IF(AND(Inputs!$F$49=1,Time!AU17&gt;15),Inputs!$F$201,1)</f>
        <v>1</v>
      </c>
      <c r="AV113" s="11" t="n">
        <f aca="false">IF(AND(Inputs!$F$49=1,Time!AV17&gt;15),Inputs!$F$201,1)</f>
        <v>1</v>
      </c>
      <c r="AW113" s="11" t="n">
        <f aca="false">IF(AND(Inputs!$F$49=1,Time!AW17&gt;15),Inputs!$F$201,1)</f>
        <v>1</v>
      </c>
      <c r="AX113" s="11" t="n">
        <f aca="false">IF(AND(Inputs!$F$49=1,Time!AX17&gt;15),Inputs!$F$201,1)</f>
        <v>1</v>
      </c>
      <c r="AY113" s="11" t="n">
        <f aca="false">IF(AND(Inputs!$F$49=1,Time!AY17&gt;15),Inputs!$F$201,1)</f>
        <v>1</v>
      </c>
      <c r="AZ113" s="11" t="n">
        <f aca="false">IF(AND(Inputs!$F$49=1,Time!AZ17&gt;15),Inputs!$F$201,1)</f>
        <v>1</v>
      </c>
      <c r="BA113" s="11" t="n">
        <f aca="false">IF(AND(Inputs!$F$49=1,Time!BA17&gt;15),Inputs!$F$201,1)</f>
        <v>1</v>
      </c>
      <c r="BB113" s="11" t="n">
        <f aca="false">IF(AND(Inputs!$F$49=1,Time!BB17&gt;15),Inputs!$F$201,1)</f>
        <v>1</v>
      </c>
      <c r="BC113" s="11" t="n">
        <f aca="false">IF(AND(Inputs!$F$49=1,Time!BC17&gt;15),Inputs!$F$201,1)</f>
        <v>1</v>
      </c>
      <c r="BD113" s="11" t="n">
        <f aca="false">IF(AND(Inputs!$F$49=1,Time!BD17&gt;15),Inputs!$F$201,1)</f>
        <v>1</v>
      </c>
      <c r="BE113" s="11" t="n">
        <f aca="false">IF(AND(Inputs!$F$49=1,Time!BE17&gt;15),Inputs!$F$201,1)</f>
        <v>1</v>
      </c>
      <c r="BF113" s="11" t="n">
        <f aca="false">IF(AND(Inputs!$F$49=1,Time!BF17&gt;15),Inputs!$F$201,1)</f>
        <v>1</v>
      </c>
      <c r="BG113" s="11" t="n">
        <f aca="false">IF(AND(Inputs!$F$49=1,Time!BG17&gt;15),Inputs!$F$201,1)</f>
        <v>1</v>
      </c>
      <c r="BH113" s="11" t="n">
        <f aca="false">IF(AND(Inputs!$F$49=1,Time!BH17&gt;15),Inputs!$F$201,1)</f>
        <v>1</v>
      </c>
      <c r="BI113" s="11" t="n">
        <f aca="false">IF(AND(Inputs!$F$49=1,Time!BI17&gt;15),Inputs!$F$201,1)</f>
        <v>1</v>
      </c>
      <c r="BJ113" s="11" t="n">
        <f aca="false">IF(AND(Inputs!$F$49=1,Time!BJ17&gt;15),Inputs!$F$201,1)</f>
        <v>1</v>
      </c>
      <c r="BK113" s="11" t="n">
        <f aca="false">IF(AND(Inputs!$F$49=1,Time!BK17&gt;15),Inputs!$F$201,1)</f>
        <v>1</v>
      </c>
      <c r="BL113" s="11" t="n">
        <f aca="false">IF(AND(Inputs!$F$49=1,Time!BL17&gt;15),Inputs!$F$201,1)</f>
        <v>1</v>
      </c>
      <c r="BM113" s="11" t="n">
        <f aca="false">IF(AND(Inputs!$F$49=1,Time!BM17&gt;15),Inputs!$F$201,1)</f>
        <v>1</v>
      </c>
      <c r="BN113" s="11" t="n">
        <f aca="false">IF(AND(Inputs!$F$49=1,Time!BN17&gt;15),Inputs!$F$201,1)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16.8001282036962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0.778688543983929</v>
      </c>
      <c r="AC115" s="11" t="n">
        <f aca="false">(Inputs!$F$93/100*Inputs!$F$94/100)*AC70*Time!AC20/365</f>
        <v>0.695297156856331</v>
      </c>
      <c r="AD115" s="11" t="n">
        <f aca="false">(Inputs!$F$93/100*Inputs!$F$94/100)*AD70*Time!AD20/365</f>
        <v>0.629747562771327</v>
      </c>
      <c r="AE115" s="11" t="n">
        <f aca="false">(Inputs!$F$93/100*Inputs!$F$94/100)*AE70*Time!AE20/365</f>
        <v>0.539102848904421</v>
      </c>
      <c r="AF115" s="11" t="n">
        <f aca="false">(Inputs!$F$93/100*Inputs!$F$94/100)*AF70*Time!AF20/365</f>
        <v>0.464616518633314</v>
      </c>
      <c r="AG115" s="11" t="n">
        <f aca="false">(Inputs!$F$93/100*Inputs!$F$94/100)*AG70*Time!AG20/365</f>
        <v>0.373043595289176</v>
      </c>
      <c r="AH115" s="11" t="n">
        <f aca="false">(Inputs!$F$93/100*Inputs!$F$94/100)*AH70*Time!AH20/365</f>
        <v>0.295834522736161</v>
      </c>
      <c r="AI115" s="11" t="n">
        <f aca="false">(Inputs!$F$93/100*Inputs!$F$94/100)*AI70*Time!AI20/365</f>
        <v>0.205927524772259</v>
      </c>
      <c r="AJ115" s="11" t="n">
        <f aca="false">(Inputs!$F$93/100*Inputs!$F$94/100)*AJ70*Time!AJ20/365</f>
        <v>0.1252301817629</v>
      </c>
      <c r="AK115" s="11" t="n">
        <f aca="false">(Inputs!$F$93/100*Inputs!$F$94/100)*AK70*Time!AK20/365</f>
        <v>0.0398109244252375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306.680838252564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13.7833984731473</v>
      </c>
      <c r="AC118" s="11" t="n">
        <f aca="false">AC27+AC42+AC57+AC72+AC87+AC101</f>
        <v>12.6065272590812</v>
      </c>
      <c r="AD118" s="11" t="n">
        <f aca="false">AD27+AD42+AD57+AD72+AD87+AD101</f>
        <v>11.7149266748119</v>
      </c>
      <c r="AE118" s="11" t="n">
        <f aca="false">AE27+AE42+AE57+AE72+AE87+AE101</f>
        <v>10.4026276213863</v>
      </c>
      <c r="AF118" s="11" t="n">
        <f aca="false">AF27+AF42+AF57+AF72+AF87+AF101</f>
        <v>9.40129510987905</v>
      </c>
      <c r="AG118" s="11" t="n">
        <f aca="false">AG27+AG42+AG57+AG72+AG87+AG101</f>
        <v>8.26383416484357</v>
      </c>
      <c r="AH118" s="11" t="n">
        <f aca="false">AH27+AH42+AH57+AH72+AH87+AH101</f>
        <v>7.15619816472762</v>
      </c>
      <c r="AI118" s="11" t="n">
        <f aca="false">AI27+AI42+AI57+AI72+AI87+AI101</f>
        <v>5.76329203676749</v>
      </c>
      <c r="AJ118" s="11" t="n">
        <f aca="false">AJ27+AJ42+AJ57+AJ72+AJ87+AJ101</f>
        <v>4.56738617730915</v>
      </c>
      <c r="AK118" s="11" t="n">
        <f aca="false">AK27+AK42+AK57+AK72+AK87+AK101</f>
        <v>3.20690381493603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315.146762853275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14.1677830988847</v>
      </c>
      <c r="AC119" s="11" t="n">
        <f aca="false">AC118+AC114+AC115+AC116</f>
        <v>12.9826797562495</v>
      </c>
      <c r="AD119" s="11" t="n">
        <f aca="false">AD118+AD114+AD115+AD116</f>
        <v>11.9948614797537</v>
      </c>
      <c r="AE119" s="11" t="n">
        <f aca="false">AE118+AE114+AE115+AE116</f>
        <v>10.6863698378172</v>
      </c>
      <c r="AF119" s="11" t="n">
        <f aca="false">AF118+AF114+AF115+AF116</f>
        <v>9.56653259996616</v>
      </c>
      <c r="AG119" s="11" t="n">
        <f aca="false">AG118+AG114+AG115+AG116</f>
        <v>8.42267156072208</v>
      </c>
      <c r="AH119" s="11" t="n">
        <f aca="false">AH118+AH114+AH115+AH116</f>
        <v>7.20645233578525</v>
      </c>
      <c r="AI119" s="11" t="n">
        <f aca="false">AI118+AI114+AI115+AI116</f>
        <v>5.79872897810981</v>
      </c>
      <c r="AJ119" s="11" t="n">
        <f aca="false">AJ118+AJ114+AJ115+AJ116</f>
        <v>4.5048949690959</v>
      </c>
      <c r="AK119" s="11" t="n">
        <f aca="false">AK118+AK114+AK115+AK116</f>
        <v>3.11221145810226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544.641396024863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22.279541377195</v>
      </c>
      <c r="AC120" s="11" t="n">
        <f aca="false">AC32+AC47+AC62+AC77+AC92+AC102</f>
        <v>22.6390849360427</v>
      </c>
      <c r="AD120" s="11" t="n">
        <f aca="false">AD32+AD47+AD62+AD77+AD92+AD102</f>
        <v>24.307456250761</v>
      </c>
      <c r="AE120" s="11" t="n">
        <f aca="false">AE32+AE47+AE62+AE77+AE92+AE102</f>
        <v>24.7865502456262</v>
      </c>
      <c r="AF120" s="11" t="n">
        <f aca="false">AF32+AF47+AF62+AF77+AF92+AF102</f>
        <v>24.9732731728435</v>
      </c>
      <c r="AG120" s="11" t="n">
        <f aca="false">AG32+AG47+AG62+AG77+AG92+AG102</f>
        <v>24.599334492852</v>
      </c>
      <c r="AH120" s="11" t="n">
        <f aca="false">AH32+AH47+AH62+AH77+AH92+AH102</f>
        <v>24.8186507693215</v>
      </c>
      <c r="AI120" s="11" t="n">
        <f aca="false">AI32+AI47+AI62+AI77+AI92+AI102</f>
        <v>24.1960690636163</v>
      </c>
      <c r="AJ120" s="11" t="n">
        <f aca="false">AJ32+AJ47+AJ62+AJ77+AJ92+AJ102</f>
        <v>23.6112536805321</v>
      </c>
      <c r="AK120" s="11" t="n">
        <f aca="false">AK32+AK47+AK62+AK77+AK92+AK102</f>
        <v>21.8755968711052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859.788158878138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36.4473244760797</v>
      </c>
      <c r="AC121" s="11" t="n">
        <f aca="false">AC119+AC120</f>
        <v>35.6217646922922</v>
      </c>
      <c r="AD121" s="11" t="n">
        <f aca="false">AD119+AD120</f>
        <v>36.3023177305147</v>
      </c>
      <c r="AE121" s="11" t="n">
        <f aca="false">AE119+AE120</f>
        <v>35.4729200834434</v>
      </c>
      <c r="AF121" s="11" t="n">
        <f aca="false">AF119+AF120</f>
        <v>34.5398057728096</v>
      </c>
      <c r="AG121" s="11" t="n">
        <f aca="false">AG119+AG120</f>
        <v>33.0220060535741</v>
      </c>
      <c r="AH121" s="11" t="n">
        <f aca="false">AH119+AH120</f>
        <v>32.0251031051067</v>
      </c>
      <c r="AI121" s="11" t="n">
        <f aca="false">AI119+AI120</f>
        <v>29.9947980417261</v>
      </c>
      <c r="AJ121" s="11" t="n">
        <f aca="false">AJ119+AJ120</f>
        <v>28.116148649628</v>
      </c>
      <c r="AK121" s="11" t="n">
        <f aca="false">AK119+AK120</f>
        <v>24.9878083292075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401.447192612483</v>
      </c>
      <c r="AC122" s="11" t="n">
        <f aca="false">AC25+AC40+AC55+AC70+AC85+AC100</f>
        <v>372.931936810075</v>
      </c>
      <c r="AD122" s="11" t="n">
        <f aca="false">AD25+AD40+AD55+AD70+AD85+AD100</f>
        <v>344.443746136793</v>
      </c>
      <c r="AE122" s="11" t="n">
        <f aca="false">AE25+AE40+AE55+AE70+AE85+AE100</f>
        <v>312.993469430633</v>
      </c>
      <c r="AF122" s="11" t="n">
        <f aca="false">AF25+AF40+AF55+AF70+AF85+AF100</f>
        <v>280.536333951016</v>
      </c>
      <c r="AG122" s="11" t="n">
        <f aca="false">AG25+AG40+AG55+AG70+AG85+AG100</f>
        <v>247.124240100967</v>
      </c>
      <c r="AH122" s="11" t="n">
        <f aca="false">AH25+AH40+AH55+AH70+AH85+AH100</f>
        <v>213.776904717785</v>
      </c>
      <c r="AI122" s="11" t="n">
        <f aca="false">AI25+AI40+AI55+AI70+AI85+AI100</f>
        <v>178.963375652344</v>
      </c>
      <c r="AJ122" s="11" t="n">
        <f aca="false">AJ25+AJ40+AJ55+AJ70+AJ85+AJ100</f>
        <v>144.071183747373</v>
      </c>
      <c r="AK122" s="11" t="n">
        <f aca="false">AK25+AK40+AK55+AK70+AK85+AK100</f>
        <v>108.105761439499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401.447192612483</v>
      </c>
      <c r="AB123" s="11" t="n">
        <f aca="false">AB38+AB53+AB68+AB83+AB98+AB104</f>
        <v>372.931936810075</v>
      </c>
      <c r="AC123" s="11" t="n">
        <f aca="false">AC38+AC53+AC68+AC83+AC98+AC104</f>
        <v>344.443746136793</v>
      </c>
      <c r="AD123" s="11" t="n">
        <f aca="false">AD38+AD53+AD68+AD83+AD98+AD104</f>
        <v>312.993469430633</v>
      </c>
      <c r="AE123" s="11" t="n">
        <f aca="false">AE38+AE53+AE68+AE83+AE98+AE104</f>
        <v>280.536333951016</v>
      </c>
      <c r="AF123" s="11" t="n">
        <f aca="false">AF38+AF53+AF68+AF83+AF98+AF104</f>
        <v>247.124240100967</v>
      </c>
      <c r="AG123" s="11" t="n">
        <f aca="false">AG38+AG53+AG68+AG83+AG98+AG104</f>
        <v>213.776904717785</v>
      </c>
      <c r="AH123" s="11" t="n">
        <f aca="false">AH38+AH53+AH68+AH83+AH98+AH104</f>
        <v>178.963375652344</v>
      </c>
      <c r="AI123" s="11" t="n">
        <f aca="false">AI38+AI53+AI68+AI83+AI98+AI104</f>
        <v>144.071183747373</v>
      </c>
      <c r="AJ123" s="11" t="n">
        <f aca="false">AJ38+AJ53+AJ68+AJ83+AJ98+AJ104</f>
        <v>108.105761439499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140.961765416645</v>
      </c>
      <c r="AC125" s="11" t="n">
        <f aca="false">IF(Time!AC29=1,AC83,AC81)</f>
        <v>126.54741513208</v>
      </c>
      <c r="AD125" s="11" t="n">
        <f aca="false">IF(Time!AD29=1,AD83,AD81)</f>
        <v>112.180608295426</v>
      </c>
      <c r="AE125" s="11" t="n">
        <f aca="false">IF(Time!AE29=1,AE83,AE81)</f>
        <v>96.7196449384435</v>
      </c>
      <c r="AF125" s="11" t="n">
        <f aca="false">IF(Time!AF29=1,AF83,AF81)</f>
        <v>81.1219350341329</v>
      </c>
      <c r="AG125" s="11" t="n">
        <f aca="false">IF(Time!AG29=1,AG83,AG81)</f>
        <v>65.4480643216988</v>
      </c>
      <c r="AH125" s="11" t="n">
        <f aca="false">IF(Time!AH29=1,AH83,AH81)</f>
        <v>50.1174109471856</v>
      </c>
      <c r="AI125" s="11" t="n">
        <f aca="false">IF(Time!AI29=1,AI83,AI81)</f>
        <v>34.6979167625151</v>
      </c>
      <c r="AJ125" s="11" t="n">
        <f aca="false">IF(Time!AJ29=1,AJ83,AJ81)</f>
        <v>20.0682353127016</v>
      </c>
      <c r="AK125" s="11" t="n">
        <f aca="false">IF(Time!AK29=1,AK83,AK81)</f>
        <v>6.15309703121032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14.6700469790544</v>
      </c>
      <c r="AC129" s="11" t="n">
        <f aca="false">IF(AND(Time!AC17&gt;=Time!$F$11,Time!AC17&lt;57),(IF(Time!AC29=1,AC83,AC81)-AC80)*AD19+IF(Time!AC29=1,AC83,AC81)*AD13,0)</f>
        <v>14.4785621782032</v>
      </c>
      <c r="AD129" s="11" t="n">
        <f aca="false">IF(AND(Time!AD17&gt;=Time!$F$11,Time!AD17&lt;57),(IF(Time!AD29=1,AD83,AD81)-AD80)*AE19+IF(Time!AD29=1,AD83,AD81)*AE13,0)</f>
        <v>13.721827584989</v>
      </c>
      <c r="AE129" s="11" t="n">
        <f aca="false">IF(AND(Time!AE17&gt;=Time!$F$11,Time!AE17&lt;57),(IF(Time!AE29=1,AE83,AE81)-AE80)*AF19+IF(Time!AE29=1,AE83,AE81)*AF13,0)</f>
        <v>12.8503385042465</v>
      </c>
      <c r="AF129" s="11" t="n">
        <f aca="false">IF(AND(Time!AF17&gt;=Time!$F$11,Time!AF17&lt;57),(IF(Time!AF29=1,AF83,AF81)-AF80)*AG19+IF(Time!AF29=1,AF83,AF81)*AG13,0)</f>
        <v>11.8002196139171</v>
      </c>
      <c r="AG129" s="11" t="n">
        <f aca="false">IF(AND(Time!AG17&gt;=Time!$F$11,Time!AG17&lt;57),(IF(Time!AG29=1,AG83,AG81)-AG80)*AH19+IF(Time!AG29=1,AG83,AG81)*AH13,0)</f>
        <v>10.6534732944159</v>
      </c>
      <c r="AH129" s="11" t="n">
        <f aca="false">IF(AND(Time!AH17&gt;=Time!$F$11,Time!AH17&lt;57),(IF(Time!AH29=1,AH83,AH81)-AH80)*AI19+IF(Time!AH29=1,AH83,AH81)*AI13,0)</f>
        <v>9.07734583132821</v>
      </c>
      <c r="AI129" s="11" t="n">
        <f aca="false">IF(AND(Time!AI17&gt;=Time!$F$11,Time!AI17&lt;57),(IF(Time!AI29=1,AI83,AI81)-AI80)*AJ19+IF(Time!AI29=1,AI83,AI81)*AJ13,0)</f>
        <v>7.30625382702574</v>
      </c>
      <c r="AJ129" s="11" t="n">
        <f aca="false">IF(AND(Time!AJ17&gt;=Time!$F$11,Time!AJ17&lt;57),(IF(Time!AJ29=1,AJ83,AJ81)-AJ80)*AK19+IF(Time!AJ29=1,AJ83,AJ81)*AK13,0)</f>
        <v>4.98751311906648</v>
      </c>
      <c r="AK129" s="11" t="n">
        <f aca="false">IF(AND(Time!AK17&gt;=Time!$F$11,Time!AK17&lt;57),(IF(Time!AK29=1,AK83,AK81)-AK80)*AL19+IF(Time!AK29=1,AK83,AK81)*AL13,0)</f>
        <v>1.94239230882041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36.3029038074693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37.0020444185156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36.3832835141262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35.5989544710657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34.2928520594459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33.4947239485035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31.8563847955337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30.4242119569719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28.121919571811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25.6885361386996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23.5692918532781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833.632749087919</v>
      </c>
      <c r="Q136" s="11" t="n">
        <f aca="false">IF(Q134=1,(Waterfall!Q7+R136)/(1+Q135),0)</f>
        <v>813.536910301995</v>
      </c>
      <c r="R136" s="11" t="n">
        <f aca="false">IF(R134=1,(Waterfall!R7+S136)/(1+R135),0)</f>
        <v>792.602126165392</v>
      </c>
      <c r="S136" s="11" t="n">
        <f aca="false">IF(S134=1,(Waterfall!S7+T136)/(1+S135),0)</f>
        <v>770.626763448703</v>
      </c>
      <c r="T136" s="11" t="n">
        <f aca="false">IF(T134=1,(Waterfall!T7+U136)/(1+T135),0)</f>
        <v>748.027010558195</v>
      </c>
      <c r="U136" s="11" t="n">
        <f aca="false">IF(U134=1,(Waterfall!U7+V136)/(1+U135),0)</f>
        <v>724.398972179285</v>
      </c>
      <c r="V136" s="11" t="n">
        <f aca="false">IF(V134=1,(Waterfall!V7+W136)/(1+V135),0)</f>
        <v>700.025742072832</v>
      </c>
      <c r="W136" s="11" t="n">
        <f aca="false">IF(W134=1,(Waterfall!W7+X136)/(1+W135),0)</f>
        <v>674.007395823791</v>
      </c>
      <c r="X136" s="11" t="n">
        <f aca="false">IF(X134=1,(Waterfall!X7+Y136)/(1+X135),0)</f>
        <v>647.221341809265</v>
      </c>
      <c r="Y136" s="11" t="n">
        <f aca="false">IF(Y134=1,(Waterfall!Y7+Z136)/(1+Y135),0)</f>
        <v>621.296493260066</v>
      </c>
      <c r="Z136" s="11" t="n">
        <f aca="false">IF(Z134=1,(Waterfall!Z7+AA136)/(1+Z135),0)</f>
        <v>595.408342569851</v>
      </c>
      <c r="AA136" s="11" t="n">
        <f aca="false">IF(AA134=1,(Waterfall!AA7+AB136)/(1+AA135),0)</f>
        <v>568.447359767869</v>
      </c>
      <c r="AB136" s="11" t="n">
        <f aca="false">IF(AB134=1,(Waterfall!AB7+AC136)/(1+AB135),0)</f>
        <v>540.724657551123</v>
      </c>
      <c r="AC136" s="11" t="n">
        <f aca="false">IF(AC134=1,(Waterfall!AC7+AD136)/(1+AC135),0)</f>
        <v>511.688449617707</v>
      </c>
      <c r="AD136" s="11" t="n">
        <f aca="false">IF(AD134=1,(Waterfall!AD7+AE136)/(1+AD135),0)</f>
        <v>481.688327244581</v>
      </c>
      <c r="AE136" s="11" t="n">
        <f aca="false">IF(AE134=1,(Waterfall!AE7+AF136)/(1+AE135),0)</f>
        <v>448.805680755573</v>
      </c>
      <c r="AF136" s="11" t="n">
        <f aca="false">IF(AF134=1,(Waterfall!AF7+AG136)/(1+AF135),0)</f>
        <v>414.522741381493</v>
      </c>
      <c r="AG136" s="11" t="n">
        <f aca="false">IF(AG134=1,(Waterfall!AG7+AH136)/(1+AG135),0)</f>
        <v>379.115435903374</v>
      </c>
      <c r="AH136" s="11" t="n">
        <f aca="false">IF(AH134=1,(Waterfall!AH7+AI136)/(1+AH135),0)</f>
        <v>343.099622955592</v>
      </c>
      <c r="AI136" s="11" t="n">
        <f aca="false">IF(AI134=1,(Waterfall!AI7+AJ136)/(1+AI135),0)</f>
        <v>305.263814262619</v>
      </c>
      <c r="AJ136" s="11" t="n">
        <f aca="false">IF(AJ134=1,(Waterfall!AJ7+AK136)/(1+AJ135),0)</f>
        <v>266.343460303849</v>
      </c>
      <c r="AK136" s="11" t="n">
        <f aca="false">IF(AK134=1,(Waterfall!AK7+AL136)/(1+AK135),0)</f>
        <v>225.556446789861</v>
      </c>
      <c r="AL136" s="11" t="n">
        <f aca="false">IF(AL134=1,(Waterfall!AL7+AM136)/(1+AL135),0)</f>
        <v>183.457965648134</v>
      </c>
      <c r="AM136" s="11" t="n">
        <f aca="false">IF(AM134=1,(Waterfall!AM7+AN136)/(1+AM135),0)</f>
        <v>138.751012061203</v>
      </c>
      <c r="AN136" s="11" t="n">
        <f aca="false">IF(AN134=1,(Waterfall!AN7+AO136)/(1+AN135),0)</f>
        <v>92.7510704617312</v>
      </c>
      <c r="AO136" s="11" t="n">
        <f aca="false">IF(AO134=1,(Waterfall!AO7+AP136)/(1+AO135),0)</f>
        <v>47.0248013051818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1.31642302841817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617.505740065125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IF(J134=1,Waterfall!J7/$F$137,0)</f>
        <v>0</v>
      </c>
      <c r="K140" s="11" t="n">
        <f aca="false">IF(K134=1,Waterfall!K7/$F$137,0)</f>
        <v>0</v>
      </c>
      <c r="L140" s="11" t="n">
        <f aca="false">IF(L134=1,Waterfall!L7/$F$137,0)</f>
        <v>0</v>
      </c>
      <c r="M140" s="11" t="n">
        <f aca="false">IF(M134=1,Waterfall!M7/$F$137,0)</f>
        <v>0</v>
      </c>
      <c r="N140" s="11" t="n">
        <f aca="false">IF(N134=1,Waterfall!N7/$F$137,0)</f>
        <v>0</v>
      </c>
      <c r="O140" s="11" t="n">
        <f aca="false">IF(O134=1,Waterfall!O7/$F$137,0)</f>
        <v>0</v>
      </c>
      <c r="P140" s="11" t="n">
        <f aca="false">IF(P134=1,Waterfall!P7/$F$137,0)</f>
        <v>37.0216677572138</v>
      </c>
      <c r="Q140" s="11" t="n">
        <f aca="false">IF(Q134=1,Waterfall!Q7/$F$137,0)</f>
        <v>36.9221553909623</v>
      </c>
      <c r="R140" s="11" t="n">
        <f aca="false">IF(R134=1,Waterfall!R7/$F$137,0)</f>
        <v>37.3935076407196</v>
      </c>
      <c r="S140" s="11" t="n">
        <f aca="false">IF(S134=1,Waterfall!S7/$F$137,0)</f>
        <v>37.0853811173965</v>
      </c>
      <c r="T140" s="11" t="n">
        <f aca="false">IF(T134=1,Waterfall!T7/$F$137,0)</f>
        <v>37.4918098931511</v>
      </c>
      <c r="U140" s="11" t="n">
        <f aca="false">IF(U134=1,Waterfall!U7/$F$137,0)</f>
        <v>37.3053627679489</v>
      </c>
      <c r="V140" s="11" t="n">
        <f aca="false">IF(V134=1,Waterfall!V7/$F$137,0)</f>
        <v>38.0534762915414</v>
      </c>
      <c r="W140" s="11" t="n">
        <f aca="false">IF(W134=1,Waterfall!W7/$F$137,0)</f>
        <v>37.7681875375153</v>
      </c>
      <c r="X140" s="11" t="n">
        <f aca="false">IF(X134=1,Waterfall!X7/$F$137,0)</f>
        <v>36.6028711094139</v>
      </c>
      <c r="Y140" s="11" t="n">
        <f aca="false">IF(Y134=1,Waterfall!Y7/$F$137,0)</f>
        <v>36.2246743202339</v>
      </c>
      <c r="Z140" s="11" t="n">
        <f aca="false">IF(Z134=1,Waterfall!Z7/$F$137,0)</f>
        <v>36.5243038823869</v>
      </c>
      <c r="AA140" s="11" t="n">
        <f aca="false">IF(AA134=1,Waterfall!AA7/$F$137,0)</f>
        <v>36.2096971930841</v>
      </c>
      <c r="AB140" s="11" t="n">
        <f aca="false">IF(AB134=1,Waterfall!AB7/$F$137,0)</f>
        <v>36.6272143992621</v>
      </c>
      <c r="AC140" s="11" t="n">
        <f aca="false">IF(AC134=1,Waterfall!AC7/$F$137,0)</f>
        <v>36.476965034194</v>
      </c>
      <c r="AD140" s="11" t="n">
        <f aca="false">IF(AD134=1,Waterfall!AD7/$F$137,0)</f>
        <v>37.9583132915622</v>
      </c>
      <c r="AE140" s="11" t="n">
        <f aca="false">IF(AE134=1,Waterfall!AE7/$F$137,0)</f>
        <v>38.0043196057434</v>
      </c>
      <c r="AF140" s="11" t="n">
        <f aca="false">IF(AF134=1,Waterfall!AF7/$F$137,0)</f>
        <v>38.0662930029537</v>
      </c>
      <c r="AG140" s="11" t="n">
        <f aca="false">IF(AG134=1,Waterfall!AG7/$F$137,0)</f>
        <v>37.7689227930295</v>
      </c>
      <c r="AH140" s="11" t="n">
        <f aca="false">IF(AH134=1,Waterfall!AH7/$F$137,0)</f>
        <v>38.2677296407594</v>
      </c>
      <c r="AI140" s="11" t="n">
        <f aca="false">IF(AI134=1,Waterfall!AI7/$F$137,0)</f>
        <v>37.9474301250256</v>
      </c>
      <c r="AJ140" s="11" t="n">
        <f aca="false">IF(AJ134=1,Waterfall!AJ7/$F$137,0)</f>
        <v>38.3783878194986</v>
      </c>
      <c r="AK140" s="11" t="n">
        <f aca="false">IF(AK134=1,Waterfall!AK7/$F$137,0)</f>
        <v>38.1960302272089</v>
      </c>
      <c r="AL140" s="11" t="n">
        <f aca="false">IF(AL134=1,Waterfall!AL7/$F$137,0)</f>
        <v>39.0547461088284</v>
      </c>
      <c r="AM140" s="11" t="n">
        <f aca="false">IF(AM134=1,Waterfall!AM7/$F$137,0)</f>
        <v>38.7530752777377</v>
      </c>
      <c r="AN140" s="11" t="n">
        <f aca="false">IF(AN134=1,Waterfall!AN7/$F$137,0)</f>
        <v>37.310525136938</v>
      </c>
      <c r="AO140" s="11" t="n">
        <f aca="false">IF(AO134=1,Waterfall!AO7/$F$137,0)</f>
        <v>37.0128964710943</v>
      </c>
      <c r="AP140" s="11" t="n">
        <f aca="false">IF(AP134=1,Waterfall!AP7/$F$137,0)</f>
        <v>0</v>
      </c>
      <c r="AQ140" s="11" t="n">
        <f aca="false">IF(AQ134=1,Waterfall!AQ7/$F$137,0)</f>
        <v>0</v>
      </c>
      <c r="AR140" s="11" t="n">
        <f aca="false">IF(AR134=1,Waterfall!AR7/$F$137,0)</f>
        <v>0</v>
      </c>
      <c r="AS140" s="11" t="n">
        <f aca="false">IF(AS134=1,Waterfall!AS7/$F$137,0)</f>
        <v>0</v>
      </c>
      <c r="AT140" s="11" t="n">
        <f aca="false">IF(AT134=1,Waterfall!AT7/$F$137,0)</f>
        <v>0</v>
      </c>
      <c r="AU140" s="11" t="n">
        <f aca="false">IF(AU134=1,Waterfall!AU7/$F$137,0)</f>
        <v>0</v>
      </c>
      <c r="AV140" s="11" t="n">
        <f aca="false">IF(AV134=1,Waterfall!AV7/$F$137,0)</f>
        <v>0</v>
      </c>
      <c r="AW140" s="11" t="n">
        <f aca="false">IF(AW134=1,Waterfall!AW7/$F$137,0)</f>
        <v>0</v>
      </c>
      <c r="AX140" s="11" t="n">
        <f aca="false">IF(AX134=1,Waterfall!AX7/$F$137,0)</f>
        <v>0</v>
      </c>
      <c r="AY140" s="11" t="n">
        <f aca="false">IF(AY134=1,Waterfall!AY7/$F$137,0)</f>
        <v>0</v>
      </c>
      <c r="AZ140" s="11" t="n">
        <f aca="false">IF(AZ134=1,Waterfall!AZ7/$F$137,0)</f>
        <v>0</v>
      </c>
      <c r="BA140" s="11" t="n">
        <f aca="false">IF(BA134=1,Waterfall!BA7/$F$137,0)</f>
        <v>0</v>
      </c>
      <c r="BB140" s="11" t="n">
        <f aca="false">IF(BB134=1,Waterfall!BB7/$F$137,0)</f>
        <v>0</v>
      </c>
      <c r="BC140" s="11" t="n">
        <f aca="false">IF(BC134=1,Waterfall!BC7/$F$137,0)</f>
        <v>0</v>
      </c>
      <c r="BD140" s="11" t="n">
        <f aca="false">IF(BD134=1,Waterfall!BD7/$F$137,0)</f>
        <v>0</v>
      </c>
      <c r="BE140" s="11" t="n">
        <f aca="false">IF(BE134=1,Waterfall!BE7/$F$137,0)</f>
        <v>0</v>
      </c>
      <c r="BF140" s="11" t="n">
        <f aca="false">IF(BF134=1,Waterfall!BF7/$F$137,0)</f>
        <v>0</v>
      </c>
      <c r="BG140" s="11" t="n">
        <f aca="false">IF(BG134=1,Waterfall!BG7/$F$137,0)</f>
        <v>0</v>
      </c>
      <c r="BH140" s="11" t="n">
        <f aca="false">IF(BH134=1,Waterfall!BH7/$F$137,0)</f>
        <v>0</v>
      </c>
      <c r="BI140" s="11" t="n">
        <f aca="false">IF(BI134=1,Waterfall!BI7/$F$137,0)</f>
        <v>0</v>
      </c>
      <c r="BJ140" s="11" t="n">
        <f aca="false">IF(BJ134=1,Waterfall!BJ7/$F$137,0)</f>
        <v>0</v>
      </c>
      <c r="BK140" s="11" t="n">
        <f aca="false">IF(BK134=1,Waterfall!BK7/$F$137,0)</f>
        <v>0</v>
      </c>
      <c r="BL140" s="11" t="n">
        <f aca="false">IF(BL134=1,Waterfall!BL7/$F$137,0)</f>
        <v>0</v>
      </c>
      <c r="BM140" s="11" t="n">
        <f aca="false">IF(BM134=1,Waterfall!BM7/$F$137,0)</f>
        <v>0</v>
      </c>
      <c r="BN140" s="11" t="n">
        <f aca="false">IF(BN134=1,Waterfall!BN7/$F$137,0)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617.990488421912</v>
      </c>
      <c r="R141" s="11" t="n">
        <f aca="false">IF(R134=1,IF(Time!R17=Time!$F$12,Funding!$F$25,Q141-Q142),0)</f>
        <v>602.087709691461</v>
      </c>
      <c r="S141" s="11" t="n">
        <f aca="false">IF(S134=1,IF(Time!S17=Time!$F$12,Funding!$F$25,R141-R142),0)</f>
        <v>585.394471847473</v>
      </c>
      <c r="T141" s="11" t="n">
        <f aca="false">IF(T134=1,IF(Time!T17=Time!$F$12,Funding!$F$25,S141-S142),0)</f>
        <v>568.226925851514</v>
      </c>
      <c r="U141" s="11" t="n">
        <f aca="false">IF(U134=1,IF(Time!U17=Time!$F$12,Funding!$F$25,T141-T142),0)</f>
        <v>550.278258995312</v>
      </c>
      <c r="V141" s="11" t="n">
        <f aca="false">IF(V134=1,IF(Time!V17=Time!$F$12,Funding!$F$25,U141-U142),0)</f>
        <v>531.763518991303</v>
      </c>
      <c r="W141" s="11" t="n">
        <f aca="false">IF(W134=1,IF(Time!W17=Time!$F$12,Funding!$F$25,V141-V142),0)</f>
        <v>511.999092444993</v>
      </c>
      <c r="X141" s="11" t="n">
        <f aca="false">IF(X134=1,IF(Time!X17=Time!$F$12,Funding!$F$25,W141-W142),0)</f>
        <v>491.651488797621</v>
      </c>
      <c r="Y141" s="11" t="n">
        <f aca="false">IF(Y134=1,IF(Time!Y17=Time!$F$12,Funding!$F$25,X141-X142),0)</f>
        <v>471.958086304997</v>
      </c>
      <c r="Z141" s="11" t="n">
        <f aca="false">IF(Z134=1,IF(Time!Z17=Time!$F$12,Funding!$F$25,Y141-Y142),0)</f>
        <v>452.292560762403</v>
      </c>
      <c r="AA141" s="11" t="n">
        <f aca="false">IF(AA134=1,IF(Time!AA17=Time!$F$12,Funding!$F$25,Z141-Z142),0)</f>
        <v>431.81207521941</v>
      </c>
      <c r="AB141" s="11" t="n">
        <f aca="false">IF(AB134=1,IF(Time!AB17=Time!$F$12,Funding!$F$25,AA141-AA142),0)</f>
        <v>410.752961531572</v>
      </c>
      <c r="AC141" s="11" t="n">
        <f aca="false">IF(AC134=1,IF(Time!AC17=Time!$F$12,Funding!$F$25,AB141-AB142),0)</f>
        <v>388.696063933612</v>
      </c>
      <c r="AD141" s="11" t="n">
        <f aca="false">IF(AD134=1,IF(Time!AD17=Time!$F$12,Funding!$F$25,AC141-AC142),0)</f>
        <v>365.906943927731</v>
      </c>
      <c r="AE141" s="11" t="n">
        <f aca="false">IF(AE134=1,IF(Time!AE17=Time!$F$12,Funding!$F$25,AD141-AD142),0)</f>
        <v>340.928159920497</v>
      </c>
      <c r="AF141" s="11" t="n">
        <f aca="false">IF(AF134=1,IF(Time!AF17=Time!$F$12,Funding!$F$25,AE141-AE142),0)</f>
        <v>314.88566549887</v>
      </c>
      <c r="AG141" s="11" t="n">
        <f aca="false">IF(AG134=1,IF(Time!AG17=Time!$F$12,Funding!$F$25,AF141-AF142),0)</f>
        <v>287.989064092053</v>
      </c>
      <c r="AH141" s="11" t="n">
        <f aca="false">IF(AH134=1,IF(Time!AH17=Time!$F$12,Funding!$F$25,AG141-AG142),0)</f>
        <v>260.630219579085</v>
      </c>
      <c r="AI141" s="11" t="n">
        <f aca="false">IF(AI134=1,IF(Time!AI17=Time!$F$12,Funding!$F$25,AH141-AH142),0)</f>
        <v>231.888843990695</v>
      </c>
      <c r="AJ141" s="11" t="n">
        <f aca="false">IF(AJ134=1,IF(Time!AJ17=Time!$F$12,Funding!$F$25,AI141-AI142),0)</f>
        <v>202.323610689104</v>
      </c>
      <c r="AK141" s="11" t="n">
        <f aca="false">IF(AK134=1,IF(Time!AK17=Time!$F$12,Funding!$F$25,AJ141-AJ142),0)</f>
        <v>171.340398884462</v>
      </c>
      <c r="AL141" s="11" t="n">
        <f aca="false">IF(AL134=1,IF(Time!AL17=Time!$F$12,Funding!$F$25,AK141-AK142),0)</f>
        <v>139.360951371824</v>
      </c>
      <c r="AM141" s="11" t="n">
        <f aca="false">IF(AM134=1,IF(Time!AM17=Time!$F$12,Funding!$F$25,AL141-AL142),0)</f>
        <v>105.40001888901</v>
      </c>
      <c r="AN141" s="11" t="n">
        <f aca="false">IF(AN134=1,IF(Time!AN17=Time!$F$12,Funding!$F$25,AM141-AM142),0)</f>
        <v>70.4568884465519</v>
      </c>
      <c r="AO141" s="11" t="n">
        <f aca="false">IF(AO134=1,IF(Time!AO17=Time!$F$12,Funding!$F$25,AN141-AN142),0)</f>
        <v>35.7216489608869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15.2654871208624</v>
      </c>
      <c r="Q142" s="11" t="n">
        <f aca="false">Q140-Q141*Q135</f>
        <v>15.9027787304503</v>
      </c>
      <c r="R142" s="11" t="n">
        <f aca="false">R140-R141*R135</f>
        <v>16.6932378439887</v>
      </c>
      <c r="S142" s="11" t="n">
        <f aca="false">S140-S141*S135</f>
        <v>17.1675459959588</v>
      </c>
      <c r="T142" s="11" t="n">
        <f aca="false">T140-T141*T135</f>
        <v>17.9486668562022</v>
      </c>
      <c r="U142" s="11" t="n">
        <f aca="false">U140-U141*U135</f>
        <v>18.5147400040089</v>
      </c>
      <c r="V142" s="11" t="n">
        <f aca="false">V140-V141*V135</f>
        <v>19.7644265463098</v>
      </c>
      <c r="W142" s="11" t="n">
        <f aca="false">W140-W141*W135</f>
        <v>20.3476036473718</v>
      </c>
      <c r="X142" s="11" t="n">
        <f aca="false">X140-X141*X135</f>
        <v>19.6934024926246</v>
      </c>
      <c r="Y142" s="11" t="n">
        <f aca="false">Y140-Y141*Y135</f>
        <v>19.6655255425931</v>
      </c>
      <c r="Z142" s="11" t="n">
        <f aca="false">Z140-Z141*Z135</f>
        <v>20.4804855429936</v>
      </c>
      <c r="AA142" s="11" t="n">
        <f aca="false">AA140-AA141*AA135</f>
        <v>21.0591136878379</v>
      </c>
      <c r="AB142" s="11" t="n">
        <f aca="false">AB140-AB141*AB135</f>
        <v>22.05689759796</v>
      </c>
      <c r="AC142" s="11" t="n">
        <f aca="false">AC140-AC141*AC135</f>
        <v>22.7891200058807</v>
      </c>
      <c r="AD142" s="11" t="n">
        <f aca="false">AD140-AD141*AD135</f>
        <v>24.9787840072346</v>
      </c>
      <c r="AE142" s="11" t="n">
        <f aca="false">AE140-AE141*AE135</f>
        <v>26.0424944216263</v>
      </c>
      <c r="AF142" s="11" t="n">
        <f aca="false">AF140-AF141*AF135</f>
        <v>26.8966014068173</v>
      </c>
      <c r="AG142" s="11" t="n">
        <f aca="false">AG140-AG141*AG135</f>
        <v>27.3588445129677</v>
      </c>
      <c r="AH142" s="11" t="n">
        <f aca="false">AH140-AH141*AH135</f>
        <v>28.74137558839</v>
      </c>
      <c r="AI142" s="11" t="n">
        <f aca="false">AI140-AI141*AI135</f>
        <v>29.5652333015915</v>
      </c>
      <c r="AJ142" s="11" t="n">
        <f aca="false">AJ140-AJ141*AJ135</f>
        <v>30.9832118046416</v>
      </c>
      <c r="AK142" s="11" t="n">
        <f aca="false">AK140-AK141*AK135</f>
        <v>31.9794475126385</v>
      </c>
      <c r="AL142" s="11" t="n">
        <f aca="false">AL140-AL141*AL135</f>
        <v>33.9609324828141</v>
      </c>
      <c r="AM142" s="11" t="n">
        <f aca="false">AM140-AM141*AM135</f>
        <v>34.9431304424579</v>
      </c>
      <c r="AN142" s="11" t="n">
        <f aca="false">AN140-AN141*AN135</f>
        <v>34.735239485665</v>
      </c>
      <c r="AO142" s="11" t="n">
        <f aca="false">AO140-AO141*AO135</f>
        <v>35.7216489608873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37.624785087678</v>
      </c>
      <c r="S9" s="11" t="n">
        <f aca="false">IF(Time!S29=1,SUM(Funding!$J$44:$BJ$44),R13)</f>
        <v>37.333312492557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36.3029038074693</v>
      </c>
      <c r="AD9" s="11" t="n">
        <f aca="false">IF(Time!AD29=1,SUM(Funding!$J$44:$BJ$44),AC13)</f>
        <v>37.0020444185156</v>
      </c>
      <c r="AE9" s="11" t="n">
        <f aca="false">IF(Time!AE29=1,SUM(Funding!$J$44:$BJ$44),AD13)</f>
        <v>36.3832835141262</v>
      </c>
      <c r="AF9" s="11" t="n">
        <f aca="false">IF(Time!AF29=1,SUM(Funding!$J$44:$BJ$44),AE13)</f>
        <v>35.5989544710657</v>
      </c>
      <c r="AG9" s="11" t="n">
        <f aca="false">IF(Time!AG29=1,SUM(Funding!$J$44:$BJ$44),AF13)</f>
        <v>34.2928520594459</v>
      </c>
      <c r="AH9" s="11" t="n">
        <f aca="false">IF(Time!AH29=1,SUM(Funding!$J$44:$BJ$44),AG13)</f>
        <v>33.4947239485035</v>
      </c>
      <c r="AI9" s="11" t="n">
        <f aca="false">IF(Time!AI29=1,SUM(Funding!$J$44:$BJ$44),AH13)</f>
        <v>31.8563847955337</v>
      </c>
      <c r="AJ9" s="11" t="n">
        <f aca="false">IF(Time!AJ29=1,SUM(Funding!$J$44:$BJ$44),AI13)</f>
        <v>30.4242119569719</v>
      </c>
      <c r="AK9" s="11" t="n">
        <f aca="false">IF(Time!AK29=1,SUM(Funding!$J$44:$BJ$44),AJ13)</f>
        <v>28.121919571811</v>
      </c>
      <c r="AL9" s="11" t="n">
        <f aca="false">IF(Time!AL29=1,SUM(Funding!$J$44:$BJ$44),AK13)</f>
        <v>25.6885361386996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3.0334743541668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0.467768632532213</v>
      </c>
      <c r="R11" s="11" t="n">
        <f aca="false">MIN(Waterfall!R13,MAX(0,Debt!R132-(R9-R10)))</f>
        <v>0</v>
      </c>
      <c r="S11" s="11" t="n">
        <f aca="false">MIN(Waterfall!S13,MAX(0,Debt!S132-(S9-S10)))</f>
        <v>0.417905289190834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0.699140611046325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40.2793697912622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0.291472595121029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0.701844824506914</v>
      </c>
      <c r="AC12" s="11" t="n">
        <f aca="false">MAX(0,AC9-AC10-Debt!AC132)</f>
        <v>0</v>
      </c>
      <c r="AD12" s="11" t="n">
        <f aca="false">MAX(0,AD9-AD10-Debt!AD132)</f>
        <v>0.618760904389355</v>
      </c>
      <c r="AE12" s="11" t="n">
        <f aca="false">MAX(0,AE9-AE10-Debt!AE132)</f>
        <v>0.784329043060566</v>
      </c>
      <c r="AF12" s="11" t="n">
        <f aca="false">MAX(0,AF9-AF10-Debt!AF132)</f>
        <v>1.30610241161981</v>
      </c>
      <c r="AG12" s="11" t="n">
        <f aca="false">MAX(0,AG9-AG10-Debt!AG132)</f>
        <v>0.798128110942315</v>
      </c>
      <c r="AH12" s="11" t="n">
        <f aca="false">MAX(0,AH9-AH10-Debt!AH132)</f>
        <v>1.63833915296983</v>
      </c>
      <c r="AI12" s="11" t="n">
        <f aca="false">MAX(0,AI9-AI10-Debt!AI132)</f>
        <v>1.43217283856177</v>
      </c>
      <c r="AJ12" s="11" t="n">
        <f aca="false">MAX(0,AJ9-AJ10-Debt!AJ132)</f>
        <v>2.30229238516099</v>
      </c>
      <c r="AK12" s="11" t="n">
        <f aca="false">MAX(0,AK9-AK10-Debt!AK132)</f>
        <v>2.43338343311132</v>
      </c>
      <c r="AL12" s="11" t="n">
        <f aca="false">MAX(0,AL9-AL10-Debt!AL132)</f>
        <v>2.11924428542156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37.624785087678</v>
      </c>
      <c r="R13" s="11" t="n">
        <f aca="false">(1-Time!R32)*(R9-R10+R11-R12)</f>
        <v>37.333312492557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36.3029038074693</v>
      </c>
      <c r="AC13" s="11" t="n">
        <f aca="false">(1-Time!AC32)*(AC9-AC10+AC11-AC12)</f>
        <v>37.0020444185156</v>
      </c>
      <c r="AD13" s="11" t="n">
        <f aca="false">(1-Time!AD32)*(AD9-AD10+AD11-AD12)</f>
        <v>36.3832835141262</v>
      </c>
      <c r="AE13" s="11" t="n">
        <f aca="false">(1-Time!AE32)*(AE9-AE10+AE11-AE12)</f>
        <v>35.5989544710657</v>
      </c>
      <c r="AF13" s="11" t="n">
        <f aca="false">(1-Time!AF32)*(AF9-AF10+AF11-AF12)</f>
        <v>34.2928520594459</v>
      </c>
      <c r="AG13" s="11" t="n">
        <f aca="false">(1-Time!AG32)*(AG9-AG10+AG11-AG12)</f>
        <v>33.4947239485035</v>
      </c>
      <c r="AH13" s="11" t="n">
        <f aca="false">(1-Time!AH32)*(AH9-AH10+AH11-AH12)</f>
        <v>31.8563847955337</v>
      </c>
      <c r="AI13" s="11" t="n">
        <f aca="false">(1-Time!AI32)*(AI9-AI10+AI11-AI12)</f>
        <v>30.4242119569719</v>
      </c>
      <c r="AJ13" s="11" t="n">
        <f aca="false">(1-Time!AJ32)*(AJ9-AJ10+AJ11-AJ12)</f>
        <v>28.121919571811</v>
      </c>
      <c r="AK13" s="11" t="n">
        <f aca="false">(1-Time!AK32)*(AK9-AK10+AK11-AK12)</f>
        <v>25.6885361386996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2242.7318496104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1.733222014779</v>
      </c>
      <c r="P7" s="11" t="n">
        <f aca="false">Operations!P79-Tax!P27-Operations!P91-Reserves!P7+Operations!P74+Operations!P92</f>
        <v>48.7361759860426</v>
      </c>
      <c r="Q7" s="11" t="n">
        <f aca="false">Operations!Q79-Tax!Q27-Operations!Q91-Reserves!Q7+Operations!Q74+Operations!Q92</f>
        <v>48.6051756154967</v>
      </c>
      <c r="R7" s="11" t="n">
        <f aca="false">Operations!R79-Tax!R27-Operations!R91-Reserves!R7+Operations!R74+Operations!R92</f>
        <v>49.2256745715739</v>
      </c>
      <c r="S7" s="11" t="n">
        <f aca="false">Operations!S79-Tax!S27-Operations!S91-Reserves!S7+Operations!S74+Operations!S92</f>
        <v>48.820049720605</v>
      </c>
      <c r="T7" s="11" t="n">
        <f aca="false">Operations!T79-Tax!T27-Operations!T91-Reserves!T7+Operations!T74+Operations!T92</f>
        <v>49.3550819204202</v>
      </c>
      <c r="U7" s="11" t="n">
        <f aca="false">Operations!U79-Tax!U27-Operations!U91-Reserves!U7+Operations!U74+Operations!U92</f>
        <v>49.1096386312216</v>
      </c>
      <c r="V7" s="11" t="n">
        <f aca="false">Operations!V79-Tax!V27-Operations!V91-Reserves!V7+Operations!V74+Operations!V92</f>
        <v>50.0944725015498</v>
      </c>
      <c r="W7" s="11" t="n">
        <f aca="false">Operations!W79-Tax!W27-Operations!W91-Reserves!W7+Operations!W74+Operations!W92</f>
        <v>49.7189118160011</v>
      </c>
      <c r="X7" s="11" t="n">
        <f aca="false">Operations!X79-Tax!X27-Operations!X91-Reserves!X7+Operations!X74+Operations!X92</f>
        <v>48.1848624346545</v>
      </c>
      <c r="Y7" s="11" t="n">
        <f aca="false">Operations!Y79-Tax!Y27-Operations!Y91-Reserves!Y7+Operations!Y74+Operations!Y92</f>
        <v>47.6869954721041</v>
      </c>
      <c r="Z7" s="11" t="n">
        <f aca="false">Operations!Z79-Tax!Z27-Operations!Z91-Reserves!Z7+Operations!Z74+Operations!Z92</f>
        <v>48.0814347277172</v>
      </c>
      <c r="AA7" s="11" t="n">
        <f aca="false">Operations!AA79-Tax!AA27-Operations!AA91-Reserves!AA7+Operations!AA74+Operations!AA92</f>
        <v>47.6672792370245</v>
      </c>
      <c r="AB7" s="11" t="n">
        <f aca="false">Operations!AB79-Tax!AB27-Operations!AB91-Reserves!AB7+Operations!AB74+Operations!AB92</f>
        <v>48.216908501998</v>
      </c>
      <c r="AC7" s="11" t="n">
        <f aca="false">Operations!AC79-Tax!AC27-Operations!AC91-Reserves!AC7+Operations!AC74+Operations!AC92</f>
        <v>48.0191167778172</v>
      </c>
      <c r="AD7" s="11" t="n">
        <f aca="false">Operations!AD79-Tax!AD27-Operations!AD91-Reserves!AD7+Operations!AD74+Operations!AD92</f>
        <v>49.9691977369238</v>
      </c>
      <c r="AE7" s="11" t="n">
        <f aca="false">Operations!AE79-Tax!AE27-Operations!AE91-Reserves!AE7+Operations!AE74+Operations!AE92</f>
        <v>50.0297615083646</v>
      </c>
      <c r="AF7" s="11" t="n">
        <f aca="false">Operations!AF79-Tax!AF27-Operations!AF91-Reserves!AF7+Operations!AF74+Operations!AF92</f>
        <v>50.1113447156016</v>
      </c>
      <c r="AG7" s="11" t="n">
        <f aca="false">Operations!AG79-Tax!AG27-Operations!AG91-Reserves!AG7+Operations!AG74+Operations!AG92</f>
        <v>49.7198797232919</v>
      </c>
      <c r="AH7" s="11" t="n">
        <f aca="false">Operations!AH79-Tax!AH27-Operations!AH91-Reserves!AH7+Operations!AH74+Operations!AH92</f>
        <v>50.3765205443762</v>
      </c>
      <c r="AI7" s="11" t="n">
        <f aca="false">Operations!AI79-Tax!AI27-Operations!AI91-Reserves!AI7+Operations!AI74+Operations!AI92</f>
        <v>49.954870885873</v>
      </c>
      <c r="AJ7" s="11" t="n">
        <f aca="false">Operations!AJ79-Tax!AJ27-Operations!AJ91-Reserves!AJ7+Operations!AJ74+Operations!AJ92</f>
        <v>50.5221935191513</v>
      </c>
      <c r="AK7" s="11" t="n">
        <f aca="false">Operations!AK79-Tax!AK27-Operations!AK91-Reserves!AK7+Operations!AK74+Operations!AK92</f>
        <v>50.2821337852541</v>
      </c>
      <c r="AL7" s="11" t="n">
        <f aca="false">Operations!AL79-Tax!AL27-Operations!AL91-Reserves!AL7+Operations!AL74+Operations!AL92</f>
        <v>51.4125671466865</v>
      </c>
      <c r="AM7" s="11" t="n">
        <f aca="false">Operations!AM79-Tax!AM27-Operations!AM91-Reserves!AM7+Operations!AM74+Operations!AM92</f>
        <v>51.0154407176367</v>
      </c>
      <c r="AN7" s="11" t="n">
        <f aca="false">Operations!AN79-Tax!AN27-Operations!AN91-Reserves!AN7+Operations!AN74+Operations!AN92</f>
        <v>49.1164344926401</v>
      </c>
      <c r="AO7" s="11" t="n">
        <f aca="false">Operations!AO79-Tax!AO27-Operations!AO91-Reserves!AO7+Operations!AO74+Operations!AO92</f>
        <v>48.724629263006</v>
      </c>
      <c r="AP7" s="11" t="n">
        <f aca="false">Operations!AP79-Tax!AP27-Operations!AP91-Reserves!AP7+Operations!AP74+Operations!AP92</f>
        <v>41.1229775263262</v>
      </c>
      <c r="AQ7" s="11" t="n">
        <f aca="false">Operations!AQ79-Tax!AQ27-Operations!AQ91-Reserves!AQ7+Operations!AQ74+Operations!AQ92</f>
        <v>40.0111872145842</v>
      </c>
      <c r="AR7" s="11" t="n">
        <f aca="false">Operations!AR79-Tax!AR27-Operations!AR91-Reserves!AR7+Operations!AR74+Operations!AR92</f>
        <v>40.3466315003753</v>
      </c>
      <c r="AS7" s="11" t="n">
        <f aca="false">Operations!AS79-Tax!AS27-Operations!AS91-Reserves!AS7+Operations!AS74+Operations!AS92</f>
        <v>40.0905018175021</v>
      </c>
      <c r="AT7" s="11" t="n">
        <f aca="false">Operations!AT79-Tax!AT27-Operations!AT91-Reserves!AT7+Operations!AT74+Operations!AT92</f>
        <v>46.8465726745527</v>
      </c>
      <c r="AU7" s="11" t="n">
        <f aca="false">Operations!AU79-Tax!AU27-Operations!AU91-Reserves!AU7+Operations!AU74+Operations!AU92</f>
        <v>42.4059822346283</v>
      </c>
      <c r="AV7" s="11" t="n">
        <f aca="false">Operations!AV79-Tax!AV27-Operations!AV91-Reserves!AV7+Operations!AV74+Operations!AV92</f>
        <v>42.4596964681042</v>
      </c>
      <c r="AW7" s="11" t="n">
        <f aca="false">Operations!AW79-Tax!AW27-Operations!AW91-Reserves!AW7+Operations!AW74+Operations!AW92</f>
        <v>42.017702995227</v>
      </c>
      <c r="AX7" s="11" t="n">
        <f aca="false">Operations!AX79-Tax!AX27-Operations!AX91-Reserves!AX7+Operations!AX74+Operations!AX92</f>
        <v>42.6733383107201</v>
      </c>
      <c r="AY7" s="11" t="n">
        <f aca="false">Operations!AY79-Tax!AY27-Operations!AY91-Reserves!AY7+Operations!AY74+Operations!AY92</f>
        <v>42.2146889405744</v>
      </c>
      <c r="AZ7" s="11" t="n">
        <f aca="false">Operations!AZ79-Tax!AZ27-Operations!AZ91-Reserves!AZ7+Operations!AZ74+Operations!AZ92</f>
        <v>42.7969224922796</v>
      </c>
      <c r="BA7" s="11" t="n">
        <f aca="false">Operations!BA79-Tax!BA27-Operations!BA91-Reserves!BA7+Operations!BA74+Operations!BA92</f>
        <v>42.5023869277238</v>
      </c>
      <c r="BB7" s="11" t="n">
        <f aca="false">Operations!BB79-Tax!BB27-Operations!BB91-Reserves!BB7+Operations!BB74+Operations!BB92</f>
        <v>44.7568559769547</v>
      </c>
      <c r="BC7" s="11" t="n">
        <f aca="false">Operations!BC79-Tax!BC27-Operations!BC91-Reserves!BC7+Operations!BC74+Operations!BC92</f>
        <v>41.353593286859</v>
      </c>
      <c r="BD7" s="11" t="n">
        <f aca="false">Operations!BD79-Tax!BD27-Operations!BD91-Reserves!BD7+Operations!BD74+Operations!BD92</f>
        <v>35.1963738723774</v>
      </c>
      <c r="BE7" s="11" t="n">
        <f aca="false">Operations!BE79-Tax!BE27-Operations!BE91-Reserves!BE7+Operations!BE74+Operations!BE92</f>
        <v>34.7519540233502</v>
      </c>
      <c r="BF7" s="11" t="n">
        <f aca="false">Operations!BF79-Tax!BF27-Operations!BF91-Reserves!BF7+Operations!BF74+Operations!BF92</f>
        <v>35.4355056712595</v>
      </c>
      <c r="BG7" s="11" t="n">
        <f aca="false">Operations!BG79-Tax!BG27-Operations!BG91-Reserves!BG7+Operations!BG74+Operations!BG92</f>
        <v>34.9660264215639</v>
      </c>
      <c r="BH7" s="11" t="n">
        <f aca="false">Operations!BH79-Tax!BH27-Operations!BH91-Reserves!BH7+Operations!BH74+Operations!BH92</f>
        <v>35.5686599133915</v>
      </c>
      <c r="BI7" s="11" t="n">
        <f aca="false">Operations!BI79-Tax!BI27-Operations!BI91-Reserves!BI7+Operations!BI74+Operations!BI92</f>
        <v>35.3183570416364</v>
      </c>
      <c r="BJ7" s="11" t="n">
        <f aca="false">Operations!BJ79-Tax!BJ27-Operations!BJ91-Reserves!BJ7+Operations!BJ74+Operations!BJ92</f>
        <v>43.3690380173506</v>
      </c>
      <c r="BK7" s="11" t="n">
        <f aca="false">Operations!BK79-Tax!BK27-Operations!BK91-Reserves!BK7+Operations!BK74+Operations!BK92</f>
        <v>38.115449052254</v>
      </c>
      <c r="BL7" s="11" t="n">
        <f aca="false">Operations!BL79-Tax!BL27-Operations!BL91-Reserves!BL7+Operations!BL74+Operations!BL92</f>
        <v>38.7820997880652</v>
      </c>
      <c r="BM7" s="11" t="n">
        <f aca="false">Operations!BM79-Tax!BM27-Operations!BM91-Reserves!BM7+Operations!BM74+Operations!BM92</f>
        <v>35.1393734749252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1.73322201477788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1.733222014779</v>
      </c>
      <c r="P9" s="11" t="n">
        <f aca="false">P7+P8</f>
        <v>50.4693980008205</v>
      </c>
      <c r="Q9" s="11" t="n">
        <f aca="false">Q7+Q8</f>
        <v>48.6051756154967</v>
      </c>
      <c r="R9" s="11" t="n">
        <f aca="false">R7+R8</f>
        <v>49.2256745715739</v>
      </c>
      <c r="S9" s="11" t="n">
        <f aca="false">S7+S8</f>
        <v>48.820049720605</v>
      </c>
      <c r="T9" s="11" t="n">
        <f aca="false">T7+T8</f>
        <v>49.3550819204202</v>
      </c>
      <c r="U9" s="11" t="n">
        <f aca="false">U7+U8</f>
        <v>49.1096386312216</v>
      </c>
      <c r="V9" s="11" t="n">
        <f aca="false">V7+V8</f>
        <v>50.0944725015498</v>
      </c>
      <c r="W9" s="11" t="n">
        <f aca="false">W7+W8</f>
        <v>49.7189118160011</v>
      </c>
      <c r="X9" s="11" t="n">
        <f aca="false">X7+X8</f>
        <v>48.1848624346545</v>
      </c>
      <c r="Y9" s="11" t="n">
        <f aca="false">Y7+Y8</f>
        <v>47.6869954721041</v>
      </c>
      <c r="Z9" s="11" t="n">
        <f aca="false">Z7+Z8</f>
        <v>48.0814347277172</v>
      </c>
      <c r="AA9" s="11" t="n">
        <f aca="false">AA7+AA8</f>
        <v>47.6672792370245</v>
      </c>
      <c r="AB9" s="11" t="n">
        <f aca="false">AB7+AB8</f>
        <v>48.216908501998</v>
      </c>
      <c r="AC9" s="11" t="n">
        <f aca="false">AC7+AC8</f>
        <v>48.0191167778172</v>
      </c>
      <c r="AD9" s="11" t="n">
        <f aca="false">AD7+AD8</f>
        <v>49.9691977369238</v>
      </c>
      <c r="AE9" s="11" t="n">
        <f aca="false">AE7+AE8</f>
        <v>50.0297615083646</v>
      </c>
      <c r="AF9" s="11" t="n">
        <f aca="false">AF7+AF8</f>
        <v>50.1113447156016</v>
      </c>
      <c r="AG9" s="11" t="n">
        <f aca="false">AG7+AG8</f>
        <v>49.7198797232919</v>
      </c>
      <c r="AH9" s="11" t="n">
        <f aca="false">AH7+AH8</f>
        <v>50.3765205443762</v>
      </c>
      <c r="AI9" s="11" t="n">
        <f aca="false">AI7+AI8</f>
        <v>49.954870885873</v>
      </c>
      <c r="AJ9" s="11" t="n">
        <f aca="false">AJ7+AJ8</f>
        <v>50.5221935191513</v>
      </c>
      <c r="AK9" s="11" t="n">
        <f aca="false">AK7+AK8</f>
        <v>50.2821337852541</v>
      </c>
      <c r="AL9" s="11" t="n">
        <f aca="false">AL7+AL8</f>
        <v>51.4125671466865</v>
      </c>
      <c r="AM9" s="11" t="n">
        <f aca="false">AM7+AM8</f>
        <v>51.0154407176367</v>
      </c>
      <c r="AN9" s="11" t="n">
        <f aca="false">AN7+AN8</f>
        <v>49.1164344926401</v>
      </c>
      <c r="AO9" s="11" t="n">
        <f aca="false">AO7+AO8</f>
        <v>48.724629263006</v>
      </c>
      <c r="AP9" s="11" t="n">
        <f aca="false">AP7+AP8</f>
        <v>41.1229775263262</v>
      </c>
      <c r="AQ9" s="11" t="n">
        <f aca="false">AQ7+AQ8</f>
        <v>40.0111872145842</v>
      </c>
      <c r="AR9" s="11" t="n">
        <f aca="false">AR7+AR8</f>
        <v>40.3466315003753</v>
      </c>
      <c r="AS9" s="11" t="n">
        <f aca="false">AS7+AS8</f>
        <v>40.0905018175021</v>
      </c>
      <c r="AT9" s="11" t="n">
        <f aca="false">AT7+AT8</f>
        <v>46.8465726745527</v>
      </c>
      <c r="AU9" s="11" t="n">
        <f aca="false">AU7+AU8</f>
        <v>42.4059822346283</v>
      </c>
      <c r="AV9" s="11" t="n">
        <f aca="false">AV7+AV8</f>
        <v>42.4596964681042</v>
      </c>
      <c r="AW9" s="11" t="n">
        <f aca="false">AW7+AW8</f>
        <v>42.017702995227</v>
      </c>
      <c r="AX9" s="11" t="n">
        <f aca="false">AX7+AX8</f>
        <v>42.6733383107201</v>
      </c>
      <c r="AY9" s="11" t="n">
        <f aca="false">AY7+AY8</f>
        <v>42.2146889405744</v>
      </c>
      <c r="AZ9" s="11" t="n">
        <f aca="false">AZ7+AZ8</f>
        <v>42.7969224922796</v>
      </c>
      <c r="BA9" s="11" t="n">
        <f aca="false">BA7+BA8</f>
        <v>42.5023869277238</v>
      </c>
      <c r="BB9" s="11" t="n">
        <f aca="false">BB7+BB8</f>
        <v>44.7568559769547</v>
      </c>
      <c r="BC9" s="11" t="n">
        <f aca="false">BC7+BC8</f>
        <v>41.353593286859</v>
      </c>
      <c r="BD9" s="11" t="n">
        <f aca="false">BD7+BD8</f>
        <v>35.1963738723774</v>
      </c>
      <c r="BE9" s="11" t="n">
        <f aca="false">BE7+BE8</f>
        <v>34.7519540233502</v>
      </c>
      <c r="BF9" s="11" t="n">
        <f aca="false">BF7+BF8</f>
        <v>35.4355056712595</v>
      </c>
      <c r="BG9" s="11" t="n">
        <f aca="false">BG7+BG8</f>
        <v>34.9660264215639</v>
      </c>
      <c r="BH9" s="11" t="n">
        <f aca="false">BH7+BH8</f>
        <v>35.5686599133915</v>
      </c>
      <c r="BI9" s="11" t="n">
        <f aca="false">BI7+BI8</f>
        <v>35.3183570416364</v>
      </c>
      <c r="BJ9" s="11" t="n">
        <f aca="false">BJ7+BJ8</f>
        <v>43.3690380173506</v>
      </c>
      <c r="BK9" s="11" t="n">
        <f aca="false">BK7+BK8</f>
        <v>38.115449052254</v>
      </c>
      <c r="BL9" s="11" t="n">
        <f aca="false">BL7+BL8</f>
        <v>38.7820997880652</v>
      </c>
      <c r="BM9" s="11" t="n">
        <f aca="false">BM7+BM8</f>
        <v>35.1393734749252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859.788158878138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36.4473244760797</v>
      </c>
      <c r="AC10" s="11" t="n">
        <f aca="false">Debt!AC121+Debt!AC117</f>
        <v>35.6217646922922</v>
      </c>
      <c r="AD10" s="11" t="n">
        <f aca="false">Debt!AD121+Debt!AD117</f>
        <v>36.3023177305147</v>
      </c>
      <c r="AE10" s="11" t="n">
        <f aca="false">Debt!AE121+Debt!AE117</f>
        <v>35.4729200834434</v>
      </c>
      <c r="AF10" s="11" t="n">
        <f aca="false">Debt!AF121+Debt!AF117</f>
        <v>34.5398057728096</v>
      </c>
      <c r="AG10" s="11" t="n">
        <f aca="false">Debt!AG121+Debt!AG117</f>
        <v>33.0220060535741</v>
      </c>
      <c r="AH10" s="11" t="n">
        <f aca="false">Debt!AH121+Debt!AH117</f>
        <v>32.0251031051067</v>
      </c>
      <c r="AI10" s="11" t="n">
        <f aca="false">Debt!AI121+Debt!AI117</f>
        <v>29.9947980417261</v>
      </c>
      <c r="AJ10" s="11" t="n">
        <f aca="false">Debt!AJ121+Debt!AJ117</f>
        <v>28.116148649628</v>
      </c>
      <c r="AK10" s="11" t="n">
        <f aca="false">Debt!AK121+Debt!AK117</f>
        <v>24.9878083292075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1.733222014779</v>
      </c>
      <c r="P13" s="11" t="n">
        <f aca="false">MAX(0,P9-P10)</f>
        <v>13.223502563724</v>
      </c>
      <c r="Q13" s="11" t="n">
        <f aca="false">MAX(0,Q9-Q10)</f>
        <v>11.4481591603509</v>
      </c>
      <c r="R13" s="11" t="n">
        <f aca="false">MAX(0,R9-R10)</f>
        <v>11.6008894838959</v>
      </c>
      <c r="S13" s="11" t="n">
        <f aca="false">MAX(0,S9-S10)</f>
        <v>11.486737228048</v>
      </c>
      <c r="T13" s="11" t="n">
        <f aca="false">MAX(0,T9-T10)</f>
        <v>11.6038641386724</v>
      </c>
      <c r="U13" s="11" t="n">
        <f aca="false">MAX(0,U9-U10)</f>
        <v>11.5389458763689</v>
      </c>
      <c r="V13" s="11" t="n">
        <f aca="false">MAX(0,V9-V10)</f>
        <v>11.8065522663915</v>
      </c>
      <c r="W13" s="11" t="n">
        <f aca="false">MAX(0,W9-W10)</f>
        <v>11.6956843901313</v>
      </c>
      <c r="X13" s="11" t="n">
        <f aca="false">MAX(0,X9-X10)</f>
        <v>11.2580673600651</v>
      </c>
      <c r="Y13" s="11" t="n">
        <f aca="false">MAX(0,Y9-Y10)</f>
        <v>11.116603427559</v>
      </c>
      <c r="Z13" s="11" t="n">
        <f aca="false">MAX(0,Z9-Z10)</f>
        <v>11.2100716192031</v>
      </c>
      <c r="AA13" s="11" t="n">
        <f aca="false">MAX(0,AA9-AA10)</f>
        <v>11.09299188217</v>
      </c>
      <c r="AB13" s="11" t="n">
        <f aca="false">MAX(0,AB9-AB10)</f>
        <v>11.7695840259183</v>
      </c>
      <c r="AC13" s="11" t="n">
        <f aca="false">MAX(0,AC9-AC10)</f>
        <v>12.3973520855249</v>
      </c>
      <c r="AD13" s="11" t="n">
        <f aca="false">MAX(0,AD9-AD10)</f>
        <v>13.6668800064091</v>
      </c>
      <c r="AE13" s="11" t="n">
        <f aca="false">MAX(0,AE9-AE10)</f>
        <v>14.5568414249212</v>
      </c>
      <c r="AF13" s="11" t="n">
        <f aca="false">MAX(0,AF9-AF10)</f>
        <v>15.5715389427919</v>
      </c>
      <c r="AG13" s="11" t="n">
        <f aca="false">MAX(0,AG9-AG10)</f>
        <v>16.6978736697177</v>
      </c>
      <c r="AH13" s="11" t="n">
        <f aca="false">MAX(0,AH9-AH10)</f>
        <v>18.3514174392694</v>
      </c>
      <c r="AI13" s="11" t="n">
        <f aca="false">MAX(0,AI9-AI10)</f>
        <v>19.9600728441469</v>
      </c>
      <c r="AJ13" s="11" t="n">
        <f aca="false">MAX(0,AJ9-AJ10)</f>
        <v>22.4060448695232</v>
      </c>
      <c r="AK13" s="11" t="n">
        <f aca="false">MAX(0,AK9-AK10)</f>
        <v>25.2943254560466</v>
      </c>
      <c r="AL13" s="11" t="n">
        <f aca="false">MAX(0,AL9-AL10)</f>
        <v>27.6985273112901</v>
      </c>
      <c r="AM13" s="11" t="n">
        <f aca="false">MAX(0,AM9-AM10)</f>
        <v>27.4461488643586</v>
      </c>
      <c r="AN13" s="11" t="n">
        <f aca="false">MAX(0,AN9-AN10)</f>
        <v>29.9844172377759</v>
      </c>
      <c r="AO13" s="11" t="n">
        <f aca="false">MAX(0,AO9-AO10)</f>
        <v>29.8187215153979</v>
      </c>
      <c r="AP13" s="11" t="n">
        <f aca="false">MAX(0,AP9-AP10)</f>
        <v>41.1229775263262</v>
      </c>
      <c r="AQ13" s="11" t="n">
        <f aca="false">MAX(0,AQ9-AQ10)</f>
        <v>40.0111872145842</v>
      </c>
      <c r="AR13" s="11" t="n">
        <f aca="false">MAX(0,AR9-AR10)</f>
        <v>40.3466315003753</v>
      </c>
      <c r="AS13" s="11" t="n">
        <f aca="false">MAX(0,AS9-AS10)</f>
        <v>40.0905018175021</v>
      </c>
      <c r="AT13" s="11" t="n">
        <f aca="false">MAX(0,AT9-AT10)</f>
        <v>46.8465726745527</v>
      </c>
      <c r="AU13" s="11" t="n">
        <f aca="false">MAX(0,AU9-AU10)</f>
        <v>42.4059822346283</v>
      </c>
      <c r="AV13" s="11" t="n">
        <f aca="false">MAX(0,AV9-AV10)</f>
        <v>42.4596964681042</v>
      </c>
      <c r="AW13" s="11" t="n">
        <f aca="false">MAX(0,AW9-AW10)</f>
        <v>42.017702995227</v>
      </c>
      <c r="AX13" s="11" t="n">
        <f aca="false">MAX(0,AX9-AX10)</f>
        <v>42.6733383107201</v>
      </c>
      <c r="AY13" s="11" t="n">
        <f aca="false">MAX(0,AY9-AY10)</f>
        <v>42.2146889405744</v>
      </c>
      <c r="AZ13" s="11" t="n">
        <f aca="false">MAX(0,AZ9-AZ10)</f>
        <v>42.7969224922796</v>
      </c>
      <c r="BA13" s="11" t="n">
        <f aca="false">MAX(0,BA9-BA10)</f>
        <v>42.5023869277238</v>
      </c>
      <c r="BB13" s="11" t="n">
        <f aca="false">MAX(0,BB9-BB10)</f>
        <v>44.7568559769547</v>
      </c>
      <c r="BC13" s="11" t="n">
        <f aca="false">MAX(0,BC9-BC10)</f>
        <v>41.353593286859</v>
      </c>
      <c r="BD13" s="11" t="n">
        <f aca="false">MAX(0,BD9-BD10)</f>
        <v>35.1963738723774</v>
      </c>
      <c r="BE13" s="11" t="n">
        <f aca="false">MAX(0,BE9-BE10)</f>
        <v>34.7519540233502</v>
      </c>
      <c r="BF13" s="11" t="n">
        <f aca="false">MAX(0,BF9-BF10)</f>
        <v>35.4355056712595</v>
      </c>
      <c r="BG13" s="11" t="n">
        <f aca="false">MAX(0,BG9-BG10)</f>
        <v>34.9660264215639</v>
      </c>
      <c r="BH13" s="11" t="n">
        <f aca="false">MAX(0,BH9-BH10)</f>
        <v>35.5686599133915</v>
      </c>
      <c r="BI13" s="11" t="n">
        <f aca="false">MAX(0,BI9-BI10)</f>
        <v>35.3183570416364</v>
      </c>
      <c r="BJ13" s="11" t="n">
        <f aca="false">MAX(0,BJ9-BJ10)</f>
        <v>43.3690380173506</v>
      </c>
      <c r="BK13" s="11" t="n">
        <f aca="false">MAX(0,BK9-BK10)</f>
        <v>38.115449052254</v>
      </c>
      <c r="BL13" s="11" t="n">
        <f aca="false">MAX(0,BL9-BL10)</f>
        <v>38.7820997880652</v>
      </c>
      <c r="BM13" s="11" t="n">
        <f aca="false">MAX(0,BM9-BM10)</f>
        <v>35.1393734749252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1.73322201477788</v>
      </c>
      <c r="P14" s="11" t="n">
        <f aca="false">P13-Reserves!P11+Reserves!P12</f>
        <v>13.3123815456747</v>
      </c>
      <c r="Q14" s="11" t="n">
        <f aca="false">Q13-Reserves!Q11+Reserves!Q12</f>
        <v>10.9803905278187</v>
      </c>
      <c r="R14" s="11" t="n">
        <f aca="false">R13-Reserves!R11+Reserves!R12</f>
        <v>11.8923620790169</v>
      </c>
      <c r="S14" s="11" t="n">
        <f aca="false">S13-Reserves!S11+Reserves!S12</f>
        <v>11.0688319388572</v>
      </c>
      <c r="T14" s="11" t="n">
        <f aca="false">T13-Reserves!T11+Reserves!T12</f>
        <v>11.7843891655674</v>
      </c>
      <c r="U14" s="11" t="n">
        <f aca="false">U13-Reserves!U11+Reserves!U12</f>
        <v>10.8217183960632</v>
      </c>
      <c r="V14" s="11" t="n">
        <f aca="false">V13-Reserves!V11+Reserves!V12</f>
        <v>12.07124507568</v>
      </c>
      <c r="W14" s="11" t="n">
        <f aca="false">W13-Reserves!W11+Reserves!W12</f>
        <v>12.7921167414117</v>
      </c>
      <c r="X14" s="11" t="n">
        <f aca="false">X13-Reserves!X11+Reserves!X12</f>
        <v>11.6144703901093</v>
      </c>
      <c r="Y14" s="11" t="n">
        <f aca="false">Y13-Reserves!Y11+Reserves!Y12</f>
        <v>10.81563236359</v>
      </c>
      <c r="Z14" s="11" t="n">
        <f aca="false">Z13-Reserves!Z11+Reserves!Z12</f>
        <v>11.5071473728627</v>
      </c>
      <c r="AA14" s="11" t="n">
        <f aca="false">AA13-Reserves!AA11+Reserves!AA12</f>
        <v>10.6625306050483</v>
      </c>
      <c r="AB14" s="11" t="n">
        <f aca="false">AB13-Reserves!AB11+Reserves!AB12</f>
        <v>12.4714288504252</v>
      </c>
      <c r="AC14" s="11" t="n">
        <f aca="false">AC13-Reserves!AC11+Reserves!AC12</f>
        <v>11.6982114744786</v>
      </c>
      <c r="AD14" s="11" t="n">
        <f aca="false">AD13-Reserves!AD11+Reserves!AD12</f>
        <v>14.2856409107984</v>
      </c>
      <c r="AE14" s="11" t="n">
        <f aca="false">AE13-Reserves!AE11+Reserves!AE12</f>
        <v>15.3411704679818</v>
      </c>
      <c r="AF14" s="11" t="n">
        <f aca="false">AF13-Reserves!AF11+Reserves!AF12</f>
        <v>16.8776413544117</v>
      </c>
      <c r="AG14" s="11" t="n">
        <f aca="false">AG13-Reserves!AG11+Reserves!AG12</f>
        <v>17.4960017806601</v>
      </c>
      <c r="AH14" s="11" t="n">
        <f aca="false">AH13-Reserves!AH11+Reserves!AH12</f>
        <v>19.9897565922392</v>
      </c>
      <c r="AI14" s="11" t="n">
        <f aca="false">AI13-Reserves!AI11+Reserves!AI12</f>
        <v>21.3922456827087</v>
      </c>
      <c r="AJ14" s="11" t="n">
        <f aca="false">AJ13-Reserves!AJ11+Reserves!AJ12</f>
        <v>24.7083372546842</v>
      </c>
      <c r="AK14" s="11" t="n">
        <f aca="false">AK13-Reserves!AK11+Reserves!AK12</f>
        <v>27.7277088891579</v>
      </c>
      <c r="AL14" s="11" t="n">
        <f aca="false">AL13-Reserves!AL11+Reserves!AL12</f>
        <v>29.8177715967116</v>
      </c>
      <c r="AM14" s="11" t="n">
        <f aca="false">AM13-Reserves!AM11+Reserves!AM12</f>
        <v>31.8834234627725</v>
      </c>
      <c r="AN14" s="11" t="n">
        <f aca="false">AN13-Reserves!AN11+Reserves!AN12</f>
        <v>30.2105267450319</v>
      </c>
      <c r="AO14" s="11" t="n">
        <f aca="false">AO13-Reserves!AO11+Reserves!AO12</f>
        <v>48.724629263006</v>
      </c>
      <c r="AP14" s="11" t="n">
        <f aca="false">AP13-Reserves!AP11+Reserves!AP12</f>
        <v>41.1229775263262</v>
      </c>
      <c r="AQ14" s="11" t="n">
        <f aca="false">AQ13-Reserves!AQ11+Reserves!AQ12</f>
        <v>40.0111872145842</v>
      </c>
      <c r="AR14" s="11" t="n">
        <f aca="false">AR13-Reserves!AR11+Reserves!AR12</f>
        <v>40.3466315003753</v>
      </c>
      <c r="AS14" s="11" t="n">
        <f aca="false">AS13-Reserves!AS11+Reserves!AS12</f>
        <v>40.0905018175021</v>
      </c>
      <c r="AT14" s="11" t="n">
        <f aca="false">AT13-Reserves!AT11+Reserves!AT12</f>
        <v>46.8465726745527</v>
      </c>
      <c r="AU14" s="11" t="n">
        <f aca="false">AU13-Reserves!AU11+Reserves!AU12</f>
        <v>42.4059822346283</v>
      </c>
      <c r="AV14" s="11" t="n">
        <f aca="false">AV13-Reserves!AV11+Reserves!AV12</f>
        <v>42.4596964681042</v>
      </c>
      <c r="AW14" s="11" t="n">
        <f aca="false">AW13-Reserves!AW11+Reserves!AW12</f>
        <v>42.017702995227</v>
      </c>
      <c r="AX14" s="11" t="n">
        <f aca="false">AX13-Reserves!AX11+Reserves!AX12</f>
        <v>42.6733383107201</v>
      </c>
      <c r="AY14" s="11" t="n">
        <f aca="false">AY13-Reserves!AY11+Reserves!AY12</f>
        <v>42.2146889405744</v>
      </c>
      <c r="AZ14" s="11" t="n">
        <f aca="false">AZ13-Reserves!AZ11+Reserves!AZ12</f>
        <v>42.7969224922796</v>
      </c>
      <c r="BA14" s="11" t="n">
        <f aca="false">BA13-Reserves!BA11+Reserves!BA12</f>
        <v>42.5023869277238</v>
      </c>
      <c r="BB14" s="11" t="n">
        <f aca="false">BB13-Reserves!BB11+Reserves!BB12</f>
        <v>44.7568559769547</v>
      </c>
      <c r="BC14" s="11" t="n">
        <f aca="false">BC13-Reserves!BC11+Reserves!BC12</f>
        <v>41.353593286859</v>
      </c>
      <c r="BD14" s="11" t="n">
        <f aca="false">BD13-Reserves!BD11+Reserves!BD12</f>
        <v>35.1963738723774</v>
      </c>
      <c r="BE14" s="11" t="n">
        <f aca="false">BE13-Reserves!BE11+Reserves!BE12</f>
        <v>34.7519540233502</v>
      </c>
      <c r="BF14" s="11" t="n">
        <f aca="false">BF13-Reserves!BF11+Reserves!BF12</f>
        <v>35.4355056712595</v>
      </c>
      <c r="BG14" s="11" t="n">
        <f aca="false">BG13-Reserves!BG11+Reserves!BG12</f>
        <v>34.9660264215639</v>
      </c>
      <c r="BH14" s="11" t="n">
        <f aca="false">BH13-Reserves!BH11+Reserves!BH12</f>
        <v>35.5686599133915</v>
      </c>
      <c r="BI14" s="11" t="n">
        <f aca="false">BI13-Reserves!BI11+Reserves!BI12</f>
        <v>35.3183570416364</v>
      </c>
      <c r="BJ14" s="11" t="n">
        <f aca="false">BJ13-Reserves!BJ11+Reserves!BJ12</f>
        <v>43.3690380173506</v>
      </c>
      <c r="BK14" s="11" t="n">
        <f aca="false">BK13-Reserves!BK11+Reserves!BK12</f>
        <v>38.115449052254</v>
      </c>
      <c r="BL14" s="11" t="n">
        <f aca="false">BL13-Reserves!BL11+Reserves!BL12</f>
        <v>38.7820997880652</v>
      </c>
      <c r="BM14" s="11" t="n">
        <f aca="false">BM13-Reserves!BM11+Reserves!BM12</f>
        <v>35.1393734749252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1.73322201477788</v>
      </c>
      <c r="P15" s="11" t="n">
        <f aca="false">P14-Reserves!P14+Reserves!P15</f>
        <v>13.3123815456747</v>
      </c>
      <c r="Q15" s="11" t="n">
        <f aca="false">Q14-Reserves!Q14+Reserves!Q15</f>
        <v>10.9803905278187</v>
      </c>
      <c r="R15" s="11" t="n">
        <f aca="false">R14-Reserves!R14+Reserves!R15</f>
        <v>11.8923620790169</v>
      </c>
      <c r="S15" s="11" t="n">
        <f aca="false">S14-Reserves!S14+Reserves!S15</f>
        <v>11.0688319388572</v>
      </c>
      <c r="T15" s="11" t="n">
        <f aca="false">T14-Reserves!T14+Reserves!T15</f>
        <v>11.7843891655674</v>
      </c>
      <c r="U15" s="11" t="n">
        <f aca="false">U14-Reserves!U14+Reserves!U15</f>
        <v>10.8217183960632</v>
      </c>
      <c r="V15" s="11" t="n">
        <f aca="false">V14-Reserves!V14+Reserves!V15</f>
        <v>12.07124507568</v>
      </c>
      <c r="W15" s="11" t="n">
        <f aca="false">W14-Reserves!W14+Reserves!W15</f>
        <v>12.7921167414117</v>
      </c>
      <c r="X15" s="11" t="n">
        <f aca="false">X14-Reserves!X14+Reserves!X15</f>
        <v>11.6144703901093</v>
      </c>
      <c r="Y15" s="11" t="n">
        <f aca="false">Y14-Reserves!Y14+Reserves!Y15</f>
        <v>10.81563236359</v>
      </c>
      <c r="Z15" s="11" t="n">
        <f aca="false">Z14-Reserves!Z14+Reserves!Z15</f>
        <v>11.5071473728627</v>
      </c>
      <c r="AA15" s="11" t="n">
        <f aca="false">AA14-Reserves!AA14+Reserves!AA15</f>
        <v>10.6625306050483</v>
      </c>
      <c r="AB15" s="11" t="n">
        <f aca="false">AB14-Reserves!AB14+Reserves!AB15</f>
        <v>12.4714288504252</v>
      </c>
      <c r="AC15" s="11" t="n">
        <f aca="false">AC14-Reserves!AC14+Reserves!AC15</f>
        <v>11.6982114744786</v>
      </c>
      <c r="AD15" s="11" t="n">
        <f aca="false">AD14-Reserves!AD14+Reserves!AD15</f>
        <v>14.2856409107984</v>
      </c>
      <c r="AE15" s="11" t="n">
        <f aca="false">AE14-Reserves!AE14+Reserves!AE15</f>
        <v>15.3411704679818</v>
      </c>
      <c r="AF15" s="11" t="n">
        <f aca="false">AF14-Reserves!AF14+Reserves!AF15</f>
        <v>16.8776413544117</v>
      </c>
      <c r="AG15" s="11" t="n">
        <f aca="false">AG14-Reserves!AG14+Reserves!AG15</f>
        <v>17.4960017806601</v>
      </c>
      <c r="AH15" s="11" t="n">
        <f aca="false">AH14-Reserves!AH14+Reserves!AH15</f>
        <v>19.9897565922392</v>
      </c>
      <c r="AI15" s="11" t="n">
        <f aca="false">AI14-Reserves!AI14+Reserves!AI15</f>
        <v>21.3922456827087</v>
      </c>
      <c r="AJ15" s="11" t="n">
        <f aca="false">AJ14-Reserves!AJ14+Reserves!AJ15</f>
        <v>24.7083372546842</v>
      </c>
      <c r="AK15" s="11" t="n">
        <f aca="false">AK14-Reserves!AK14+Reserves!AK15</f>
        <v>27.7277088891579</v>
      </c>
      <c r="AL15" s="11" t="n">
        <f aca="false">AL14-Reserves!AL14+Reserves!AL15</f>
        <v>29.8177715967116</v>
      </c>
      <c r="AM15" s="11" t="n">
        <f aca="false">AM14-Reserves!AM14+Reserves!AM15</f>
        <v>31.8834234627725</v>
      </c>
      <c r="AN15" s="11" t="n">
        <f aca="false">AN14-Reserves!AN14+Reserves!AN15</f>
        <v>30.2105267450319</v>
      </c>
      <c r="AO15" s="11" t="n">
        <f aca="false">AO14-Reserves!AO14+Reserves!AO15</f>
        <v>48.724629263006</v>
      </c>
      <c r="AP15" s="11" t="n">
        <f aca="false">AP14-Reserves!AP14+Reserves!AP15</f>
        <v>41.1229775263262</v>
      </c>
      <c r="AQ15" s="11" t="n">
        <f aca="false">AQ14-Reserves!AQ14+Reserves!AQ15</f>
        <v>40.0111872145842</v>
      </c>
      <c r="AR15" s="11" t="n">
        <f aca="false">AR14-Reserves!AR14+Reserves!AR15</f>
        <v>40.3466315003753</v>
      </c>
      <c r="AS15" s="11" t="n">
        <f aca="false">AS14-Reserves!AS14+Reserves!AS15</f>
        <v>40.0905018175021</v>
      </c>
      <c r="AT15" s="11" t="n">
        <f aca="false">AT14-Reserves!AT14+Reserves!AT15</f>
        <v>46.8465726745527</v>
      </c>
      <c r="AU15" s="11" t="n">
        <f aca="false">AU14-Reserves!AU14+Reserves!AU15</f>
        <v>42.4059822346283</v>
      </c>
      <c r="AV15" s="11" t="n">
        <f aca="false">AV14-Reserves!AV14+Reserves!AV15</f>
        <v>42.4596964681042</v>
      </c>
      <c r="AW15" s="11" t="n">
        <f aca="false">AW14-Reserves!AW14+Reserves!AW15</f>
        <v>42.017702995227</v>
      </c>
      <c r="AX15" s="11" t="n">
        <f aca="false">AX14-Reserves!AX14+Reserves!AX15</f>
        <v>42.6733383107201</v>
      </c>
      <c r="AY15" s="11" t="n">
        <f aca="false">AY14-Reserves!AY14+Reserves!AY15</f>
        <v>42.2146889405744</v>
      </c>
      <c r="AZ15" s="11" t="n">
        <f aca="false">AZ14-Reserves!AZ14+Reserves!AZ15</f>
        <v>42.7969224922796</v>
      </c>
      <c r="BA15" s="11" t="n">
        <f aca="false">BA14-Reserves!BA14+Reserves!BA15</f>
        <v>42.0074185411151</v>
      </c>
      <c r="BB15" s="11" t="n">
        <f aca="false">BB14-Reserves!BB14+Reserves!BB15</f>
        <v>43.2557057223103</v>
      </c>
      <c r="BC15" s="11" t="n">
        <f aca="false">BC14-Reserves!BC14+Reserves!BC15</f>
        <v>39.8360202135168</v>
      </c>
      <c r="BD15" s="11" t="n">
        <f aca="false">BD14-Reserves!BD14+Reserves!BD15</f>
        <v>33.6621983121308</v>
      </c>
      <c r="BE15" s="11" t="n">
        <f aca="false">BE14-Reserves!BE14+Reserves!BE15</f>
        <v>33.2009943423944</v>
      </c>
      <c r="BF15" s="11" t="n">
        <f aca="false">BF14-Reserves!BF14+Reserves!BF15</f>
        <v>33.8675782486875</v>
      </c>
      <c r="BG15" s="11" t="n">
        <f aca="false">BG14-Reserves!BG14+Reserves!BG15</f>
        <v>33.3809456276272</v>
      </c>
      <c r="BH15" s="11" t="n">
        <f aca="false">BH14-Reserves!BH14+Reserves!BH15</f>
        <v>33.9662380875229</v>
      </c>
      <c r="BI15" s="11" t="n">
        <f aca="false">BI14-Reserves!BI14+Reserves!BI15</f>
        <v>33.698404470233</v>
      </c>
      <c r="BJ15" s="11" t="n">
        <f aca="false">BJ14-Reserves!BJ14+Reserves!BJ15</f>
        <v>41.7313629113129</v>
      </c>
      <c r="BK15" s="11" t="n">
        <f aca="false">BK14-Reserves!BK14+Reserves!BK15</f>
        <v>36.4598575242797</v>
      </c>
      <c r="BL15" s="11" t="n">
        <f aca="false">BL14-Reserves!BL14+Reserves!BL15</f>
        <v>37.1083958296947</v>
      </c>
      <c r="BM15" s="11" t="n">
        <f aca="false">BM14-Reserves!BM14+Reserves!BM15</f>
        <v>53.0805536368862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1.30849790061704</v>
      </c>
      <c r="Q17" s="6" t="n">
        <f aca="false">IF(Debt!Q121&gt;0.000000001,Q7/Debt!Q121,0)</f>
        <v>1.30810221736104</v>
      </c>
      <c r="R17" s="6" t="n">
        <f aca="false">IF(Debt!R121&gt;0.000000001,R7/Debt!R121,0)</f>
        <v>1.30833104978173</v>
      </c>
      <c r="S17" s="6" t="n">
        <f aca="false">IF(Debt!S121&gt;0.000000001,S7/Debt!S121,0)</f>
        <v>1.3076806332237</v>
      </c>
      <c r="T17" s="6" t="n">
        <f aca="false">IF(Debt!T121&gt;0.000000001,T7/Debt!T121,0)</f>
        <v>1.30737721378309</v>
      </c>
      <c r="U17" s="6" t="n">
        <f aca="false">IF(Debt!U121&gt;0.000000001,U7/Debt!U121,0)</f>
        <v>1.30712624735615</v>
      </c>
      <c r="V17" s="6" t="n">
        <f aca="false">IF(Debt!V121&gt;0.000000001,V7/Debt!V121,0)</f>
        <v>1.3083623292641</v>
      </c>
      <c r="W17" s="6" t="n">
        <f aca="false">IF(Debt!W121&gt;0.000000001,W7/Debt!W121,0)</f>
        <v>1.30759315244697</v>
      </c>
      <c r="X17" s="6" t="n">
        <f aca="false">IF(Debt!X121&gt;0.000000001,X7/Debt!X121,0)</f>
        <v>1.30487529007932</v>
      </c>
      <c r="Y17" s="6" t="n">
        <f aca="false">IF(Debt!Y121&gt;0.000000001,Y7/Debt!Y121,0)</f>
        <v>1.30397824048531</v>
      </c>
      <c r="Z17" s="6" t="n">
        <f aca="false">IF(Debt!Z121&gt;0.000000001,Z7/Debt!Z121,0)</f>
        <v>1.30403192814465</v>
      </c>
      <c r="AA17" s="6" t="n">
        <f aca="false">IF(Debt!AA121&gt;0.000000001,AA7/Debt!AA121,0)</f>
        <v>1.30330028783726</v>
      </c>
      <c r="AB17" s="6" t="n">
        <f aca="false">IF(Debt!AB121&gt;0.000000001,AB7/Debt!AB121,0)</f>
        <v>1.32292038428342</v>
      </c>
      <c r="AC17" s="6" t="n">
        <f aca="false">IF(Debt!AC121&gt;0.000000001,AC7/Debt!AC121,0)</f>
        <v>1.34802745435594</v>
      </c>
      <c r="AD17" s="6" t="n">
        <f aca="false">IF(Debt!AD121&gt;0.000000001,AD7/Debt!AD121,0)</f>
        <v>1.37647403418876</v>
      </c>
      <c r="AE17" s="6" t="n">
        <f aca="false">IF(Debt!AE121&gt;0.000000001,AE7/Debt!AE121,0)</f>
        <v>1.41036490344406</v>
      </c>
      <c r="AF17" s="6" t="n">
        <f aca="false">IF(Debt!AF121&gt;0.000000001,AF7/Debt!AF121,0)</f>
        <v>1.45082879287787</v>
      </c>
      <c r="AG17" s="6" t="n">
        <f aca="false">IF(Debt!AG121&gt;0.000000001,AG7/Debt!AG121,0)</f>
        <v>1.50565897306867</v>
      </c>
      <c r="AH17" s="6" t="n">
        <f aca="false">IF(Debt!AH121&gt;0.000000001,AH7/Debt!AH121,0)</f>
        <v>1.57303226718864</v>
      </c>
      <c r="AI17" s="6" t="n">
        <f aca="false">IF(Debt!AI121&gt;0.000000001,AI7/Debt!AI121,0)</f>
        <v>1.66545114977538</v>
      </c>
      <c r="AJ17" s="6" t="n">
        <f aca="false">IF(Debt!AJ121&gt;0.000000001,AJ7/Debt!AJ121,0)</f>
        <v>1.79691017246844</v>
      </c>
      <c r="AK17" s="6" t="n">
        <f aca="false">IF(Debt!AK121&gt;0.000000001,AK7/Debt!AK121,0)</f>
        <v>2.01226666712026</v>
      </c>
      <c r="AL17" s="6" t="n">
        <f aca="false">IF(Debt!AL121&gt;0.000000001,AL7/Debt!AL121,0)</f>
        <v>2.16802229833258</v>
      </c>
      <c r="AM17" s="6" t="n">
        <f aca="false">IF(Debt!AM121&gt;0.000000001,AM7/Debt!AM121,0)</f>
        <v>2.16448763226381</v>
      </c>
      <c r="AN17" s="6" t="n">
        <f aca="false">IF(Debt!AN121&gt;0.000000001,AN7/Debt!AN121,0)</f>
        <v>2.56723762258538</v>
      </c>
      <c r="AO17" s="6" t="n">
        <f aca="false">IF(Debt!AO121&gt;0.000000001,AO7/Debt!AO121,0)</f>
        <v>2.57721712776105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1.30849790061704</v>
      </c>
      <c r="Q18" s="6" t="n">
        <f aca="false">IF(Debt!Q121&gt;0.000000001,IF(Debt!P121&gt;0.000000001,(Q7+P7)/(Debt!Q121+Debt!P121),Q17),0)</f>
        <v>1.30830029532337</v>
      </c>
      <c r="R18" s="6" t="n">
        <f aca="false">IF(Debt!R121&gt;0.000000001,IF(Debt!Q121&gt;0.000000001,(R7+Q7)/(Debt!R121+Debt!Q121),R17),0)</f>
        <v>1.30821734925773</v>
      </c>
      <c r="S18" s="6" t="n">
        <f aca="false">IF(Debt!S121&gt;0.000000001,IF(Debt!R121&gt;0.000000001,(S7+R7)/(Debt!S121+Debt!R121),S17),0)</f>
        <v>1.30800710606657</v>
      </c>
      <c r="T18" s="6" t="n">
        <f aca="false">IF(Debt!T121&gt;0.000000001,IF(Debt!S121&gt;0.000000001,(T7+S7)/(Debt!T121+Debt!S121),T17),0)</f>
        <v>1.30752807911782</v>
      </c>
      <c r="U18" s="6" t="n">
        <f aca="false">IF(Debt!U121&gt;0.000000001,IF(Debt!T121&gt;0.000000001,(U7+T7)/(Debt!U121+Debt!T121),U17),0)</f>
        <v>1.30725203131691</v>
      </c>
      <c r="V18" s="6" t="n">
        <f aca="false">IF(Debt!V121&gt;0.000000001,IF(Debt!U121&gt;0.000000001,(V7+U7)/(Debt!V121+Debt!U121),V17),0)</f>
        <v>1.30775013175939</v>
      </c>
      <c r="W18" s="6" t="n">
        <f aca="false">IF(Debt!W121&gt;0.000000001,IF(Debt!V121&gt;0.000000001,(W7+V7)/(Debt!W121+Debt!V121),W17),0)</f>
        <v>1.3079790748387</v>
      </c>
      <c r="X18" s="6" t="n">
        <f aca="false">IF(Debt!X121&gt;0.000000001,IF(Debt!W121&gt;0.000000001,(X7+W7)/(Debt!X121+Debt!W121),X17),0)</f>
        <v>1.30625410085842</v>
      </c>
      <c r="Y18" s="6" t="n">
        <f aca="false">IF(Debt!Y121&gt;0.000000001,IF(Debt!X121&gt;0.000000001,(Y7+X7)/(Debt!Y121+Debt!X121),Y17),0)</f>
        <v>1.30442894027163</v>
      </c>
      <c r="Z18" s="6" t="n">
        <f aca="false">IF(Debt!Z121&gt;0.000000001,IF(Debt!Y121&gt;0.000000001,(Z7+Y7)/(Debt!Z121+Debt!Y121),Z17),0)</f>
        <v>1.30400519432346</v>
      </c>
      <c r="AA18" s="6" t="n">
        <f aca="false">IF(Debt!AA121&gt;0.000000001,IF(Debt!Z121&gt;0.000000001,(AA7+Z7)/(Debt!AA121+Debt!Z121),AA17),0)</f>
        <v>1.30366758767419</v>
      </c>
      <c r="AB18" s="6" t="n">
        <f aca="false">IF(Debt!AB121&gt;0.000000001,IF(Debt!AA121&gt;0.000000001,(AB7+AA7)/(Debt!AB121+Debt!AA121),AB17),0)</f>
        <v>1.31309327930232</v>
      </c>
      <c r="AC18" s="6" t="n">
        <f aca="false">IF(Debt!AC121&gt;0.000000001,IF(Debt!AB121&gt;0.000000001,(AC7+AB7)/(Debt!AC121+Debt!AB121),AC17),0)</f>
        <v>1.33533011711835</v>
      </c>
      <c r="AD18" s="6" t="n">
        <f aca="false">IF(Debt!AD121&gt;0.000000001,IF(Debt!AC121&gt;0.000000001,(AD7+AC7)/(Debt!AD121+Debt!AC121),AD17),0)</f>
        <v>1.36238532649906</v>
      </c>
      <c r="AE18" s="6" t="n">
        <f aca="false">IF(Debt!AE121&gt;0.000000001,IF(Debt!AD121&gt;0.000000001,(AE7+AD7)/(Debt!AE121+Debt!AD121),AE17),0)</f>
        <v>1.39322365610946</v>
      </c>
      <c r="AF18" s="6" t="n">
        <f aca="false">IF(Debt!AF121&gt;0.000000001,IF(Debt!AE121&gt;0.000000001,(AF7+AE7)/(Debt!AF121+Debt!AE121),AF17),0)</f>
        <v>1.43032720122298</v>
      </c>
      <c r="AG18" s="6" t="n">
        <f aca="false">IF(Debt!AG121&gt;0.000000001,IF(Debt!AF121&gt;0.000000001,(AG7+AF7)/(Debt!AG121+Debt!AF121),AG17),0)</f>
        <v>1.4776279933912</v>
      </c>
      <c r="AH18" s="6" t="n">
        <f aca="false">IF(Debt!AH121&gt;0.000000001,IF(Debt!AG121&gt;0.000000001,(AH7+AG7)/(Debt!AH121+Debt!AG121),AH17),0)</f>
        <v>1.53882934326082</v>
      </c>
      <c r="AI18" s="6" t="n">
        <f aca="false">IF(Debt!AI121&gt;0.000000001,IF(Debt!AH121&gt;0.000000001,(AI7+AH7)/(Debt!AI121+Debt!AH121),AI17),0)</f>
        <v>1.61772898013355</v>
      </c>
      <c r="AJ18" s="6" t="n">
        <f aca="false">IF(Debt!AJ121&gt;0.000000001,IF(Debt!AI121&gt;0.000000001,(AJ7+AI7)/(Debt!AJ121+Debt!AI121),AJ17),0)</f>
        <v>1.72905571369694</v>
      </c>
      <c r="AK18" s="6" t="n">
        <f aca="false">IF(Debt!AK121&gt;0.000000001,IF(Debt!AJ121&gt;0.000000001,(AK7+AJ7)/(Debt!AK121+Debt!AJ121),AK17),0)</f>
        <v>1.89824512219646</v>
      </c>
      <c r="AL18" s="6" t="n">
        <f aca="false">IF(Debt!AL121&gt;0.000000001,IF(Debt!AK121&gt;0.000000001,(AL7+AK7)/(Debt!AL121+Debt!AK121),AL17),0)</f>
        <v>2.08810763378486</v>
      </c>
      <c r="AM18" s="6" t="n">
        <f aca="false">IF(Debt!AM121&gt;0.000000001,IF(Debt!AL121&gt;0.000000001,(AM7+AL7)/(Debt!AM121+Debt!AL121),AM17),0)</f>
        <v>2.16626037561683</v>
      </c>
      <c r="AN18" s="6" t="n">
        <f aca="false">IF(Debt!AN121&gt;0.000000001,IF(Debt!AM121&gt;0.000000001,(AN7+AM7)/(Debt!AN121+Debt!AM121),AN17),0)</f>
        <v>2.34493689541672</v>
      </c>
      <c r="AO18" s="6" t="n">
        <f aca="false">IF(Debt!AO121&gt;0.000000001,IF(Debt!AN121&gt;0.000000001,(AO7+AN7)/(Debt!AO121+Debt!AN121),AO17),0)</f>
        <v>2.57219771449906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88.6145795179285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5.33126530252416</v>
      </c>
      <c r="AB29" s="11" t="n">
        <f aca="false">IF(AND(AB24=1,Time!AB21&gt;=2027,Inputs!$F$51=1),MIN(Inputs!$F$109*AB15,Debt!AB81),0)</f>
        <v>6.23571442521261</v>
      </c>
      <c r="AC29" s="11" t="n">
        <f aca="false">IF(AND(AC24=1,Time!AC21&gt;=2027,Inputs!$F$51=1),MIN(Inputs!$F$109*AC15,Debt!AC81),0)</f>
        <v>5.84910573723931</v>
      </c>
      <c r="AD29" s="11" t="n">
        <f aca="false">IF(AND(AD24=1,Time!AD21&gt;=2027,Inputs!$F$51=1),MIN(Inputs!$F$109*AD15,Debt!AD81),0)</f>
        <v>7.14282045539922</v>
      </c>
      <c r="AE29" s="11" t="n">
        <f aca="false">IF(AND(AE24=1,Time!AE21&gt;=2027,Inputs!$F$51=1),MIN(Inputs!$F$109*AE15,Debt!AE81),0)</f>
        <v>7.67058523399088</v>
      </c>
      <c r="AF29" s="11" t="n">
        <f aca="false">IF(AND(AF24=1,Time!AF21&gt;=2027,Inputs!$F$51=1),MIN(Inputs!$F$109*AF15,Debt!AF81),0)</f>
        <v>8.43882067720587</v>
      </c>
      <c r="AG29" s="11" t="n">
        <f aca="false">IF(AND(AG24=1,Time!AG21&gt;=2027,Inputs!$F$51=1),MIN(Inputs!$F$109*AG15,Debt!AG81),0)</f>
        <v>8.74800089033003</v>
      </c>
      <c r="AH29" s="11" t="n">
        <f aca="false">IF(AND(AH24=1,Time!AH21&gt;=2027,Inputs!$F$51=1),MIN(Inputs!$F$109*AH15,Debt!AH81),0)</f>
        <v>9.99487829611962</v>
      </c>
      <c r="AI29" s="11" t="n">
        <f aca="false">IF(AND(AI24=1,Time!AI21&gt;=2027,Inputs!$F$51=1),MIN(Inputs!$F$109*AI15,Debt!AI81),0)</f>
        <v>10.6961228413543</v>
      </c>
      <c r="AJ29" s="11" t="n">
        <f aca="false">IF(AND(AJ24=1,Time!AJ21&gt;=2027,Inputs!$F$51=1),MIN(Inputs!$F$109*AJ15,Debt!AJ81),0)</f>
        <v>12.3541686273421</v>
      </c>
      <c r="AK29" s="11" t="n">
        <f aca="false">IF(AND(AK24=1,Time!AK21&gt;=2027,Inputs!$F$51=1),MIN(Inputs!$F$109*AK15,Debt!AK81),0)</f>
        <v>6.15309703121032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1.73322201477788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1331.57500665143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13.3123815456747</v>
      </c>
      <c r="Q31" s="11" t="n">
        <f aca="false">IF(Q24=1,Q15-Q29,0)</f>
        <v>10.9803905278187</v>
      </c>
      <c r="R31" s="11" t="n">
        <f aca="false">IF(R24=1,R15-R29,0)</f>
        <v>11.8923620790169</v>
      </c>
      <c r="S31" s="11" t="n">
        <f aca="false">IF(S24=1,S15-S29,0)</f>
        <v>11.0688319388572</v>
      </c>
      <c r="T31" s="11" t="n">
        <f aca="false">IF(T24=1,T15-T29,0)</f>
        <v>11.7843891655674</v>
      </c>
      <c r="U31" s="11" t="n">
        <f aca="false">IF(U24=1,U15-U29,0)</f>
        <v>10.8217183960632</v>
      </c>
      <c r="V31" s="11" t="n">
        <f aca="false">IF(V24=1,V15-V29,0)</f>
        <v>12.07124507568</v>
      </c>
      <c r="W31" s="11" t="n">
        <f aca="false">IF(W24=1,W15-W29,0)</f>
        <v>12.7921167414117</v>
      </c>
      <c r="X31" s="11" t="n">
        <f aca="false">IF(X24=1,X15-X29,0)</f>
        <v>11.6144703901093</v>
      </c>
      <c r="Y31" s="11" t="n">
        <f aca="false">IF(Y24=1,Y15-Y29,0)</f>
        <v>10.81563236359</v>
      </c>
      <c r="Z31" s="11" t="n">
        <f aca="false">IF(Z24=1,Z15-Z29,0)</f>
        <v>11.5071473728627</v>
      </c>
      <c r="AA31" s="11" t="n">
        <f aca="false">IF(AA24=1,AA15-AA29,0)</f>
        <v>5.33126530252416</v>
      </c>
      <c r="AB31" s="11" t="n">
        <f aca="false">IF(AB24=1,AB15-AB29,0)</f>
        <v>6.23571442521261</v>
      </c>
      <c r="AC31" s="11" t="n">
        <f aca="false">IF(AC24=1,AC15-AC29,0)</f>
        <v>5.84910573723931</v>
      </c>
      <c r="AD31" s="11" t="n">
        <f aca="false">IF(AD24=1,AD15-AD29,0)</f>
        <v>7.14282045539922</v>
      </c>
      <c r="AE31" s="11" t="n">
        <f aca="false">IF(AE24=1,AE15-AE29,0)</f>
        <v>7.67058523399088</v>
      </c>
      <c r="AF31" s="11" t="n">
        <f aca="false">IF(AF24=1,AF15-AF29,0)</f>
        <v>8.43882067720587</v>
      </c>
      <c r="AG31" s="11" t="n">
        <f aca="false">IF(AG24=1,AG15-AG29,0)</f>
        <v>8.74800089033003</v>
      </c>
      <c r="AH31" s="11" t="n">
        <f aca="false">IF(AH24=1,AH15-AH29,0)</f>
        <v>9.99487829611962</v>
      </c>
      <c r="AI31" s="11" t="n">
        <f aca="false">IF(AI24=1,AI15-AI29,0)</f>
        <v>10.6961228413543</v>
      </c>
      <c r="AJ31" s="11" t="n">
        <f aca="false">IF(AJ24=1,AJ15-AJ29,0)</f>
        <v>12.3541686273421</v>
      </c>
      <c r="AK31" s="11" t="n">
        <f aca="false">IF(AK24=1,AK15-AK29,0)</f>
        <v>21.5746118579476</v>
      </c>
      <c r="AL31" s="11" t="n">
        <f aca="false">IF(AL24=1,AL15-AL29,0)</f>
        <v>29.8177715967116</v>
      </c>
      <c r="AM31" s="11" t="n">
        <f aca="false">IF(AM24=1,AM15-AM29,0)</f>
        <v>31.8834234627725</v>
      </c>
      <c r="AN31" s="11" t="n">
        <f aca="false">IF(AN24=1,AN15-AN29,0)</f>
        <v>30.2105267450319</v>
      </c>
      <c r="AO31" s="11" t="n">
        <f aca="false">IF(AO24=1,AO15-AO29,0)</f>
        <v>48.724629263006</v>
      </c>
      <c r="AP31" s="11" t="n">
        <f aca="false">IF(AP24=1,AP15-AP29,0)</f>
        <v>41.1229775263262</v>
      </c>
      <c r="AQ31" s="11" t="n">
        <f aca="false">IF(AQ24=1,AQ15-AQ29,0)</f>
        <v>40.0111872145842</v>
      </c>
      <c r="AR31" s="11" t="n">
        <f aca="false">IF(AR24=1,AR15-AR29,0)</f>
        <v>40.3466315003753</v>
      </c>
      <c r="AS31" s="11" t="n">
        <f aca="false">IF(AS24=1,AS15-AS29,0)</f>
        <v>40.0905018175021</v>
      </c>
      <c r="AT31" s="11" t="n">
        <f aca="false">IF(AT24=1,AT15-AT29,0)</f>
        <v>46.8465726745527</v>
      </c>
      <c r="AU31" s="11" t="n">
        <f aca="false">IF(AU24=1,AU15-AU29,0)</f>
        <v>42.4059822346283</v>
      </c>
      <c r="AV31" s="11" t="n">
        <f aca="false">IF(AV24=1,AV15-AV29,0)</f>
        <v>42.4596964681042</v>
      </c>
      <c r="AW31" s="11" t="n">
        <f aca="false">IF(AW24=1,AW15-AW29,0)</f>
        <v>42.017702995227</v>
      </c>
      <c r="AX31" s="11" t="n">
        <f aca="false">IF(AX24=1,AX15-AX29,0)</f>
        <v>42.6733383107201</v>
      </c>
      <c r="AY31" s="11" t="n">
        <f aca="false">IF(AY24=1,AY15-AY29,0)</f>
        <v>42.2146889405744</v>
      </c>
      <c r="AZ31" s="11" t="n">
        <f aca="false">IF(AZ24=1,AZ15-AZ29,0)</f>
        <v>42.7969224922796</v>
      </c>
      <c r="BA31" s="11" t="n">
        <f aca="false">IF(BA24=1,BA15-BA29,0)</f>
        <v>42.0074185411151</v>
      </c>
      <c r="BB31" s="11" t="n">
        <f aca="false">IF(BB24=1,BB15-BB29,0)</f>
        <v>43.2557057223103</v>
      </c>
      <c r="BC31" s="11" t="n">
        <f aca="false">IF(BC24=1,BC15-BC29,0)</f>
        <v>39.8360202135168</v>
      </c>
      <c r="BD31" s="11" t="n">
        <f aca="false">IF(BD24=1,BD15-BD29,0)</f>
        <v>33.6621983121308</v>
      </c>
      <c r="BE31" s="11" t="n">
        <f aca="false">IF(BE24=1,BE15-BE29,0)</f>
        <v>33.2009943423944</v>
      </c>
      <c r="BF31" s="11" t="n">
        <f aca="false">IF(BF24=1,BF15-BF29,0)</f>
        <v>33.8675782486875</v>
      </c>
      <c r="BG31" s="11" t="n">
        <f aca="false">IF(BG24=1,BG15-BG29,0)</f>
        <v>33.3809456276272</v>
      </c>
      <c r="BH31" s="11" t="n">
        <f aca="false">IF(BH24=1,BH15-BH29,0)</f>
        <v>33.9662380875229</v>
      </c>
      <c r="BI31" s="11" t="n">
        <f aca="false">IF(BI24=1,BI15-BI29,0)</f>
        <v>33.698404470233</v>
      </c>
      <c r="BJ31" s="11" t="n">
        <f aca="false">IF(BJ24=1,BJ15-BJ29,0)</f>
        <v>41.7313629113129</v>
      </c>
      <c r="BK31" s="11" t="n">
        <f aca="false">IF(BK24=1,BK15-BK29,0)</f>
        <v>36.4598575242797</v>
      </c>
      <c r="BL31" s="11" t="n">
        <f aca="false">IF(BL24=1,BL15-BL29,0)</f>
        <v>37.1083958296947</v>
      </c>
      <c r="BM31" s="11" t="n">
        <f aca="false">IF(BM24=1,BM15-BM29,0)</f>
        <v>53.0805536368862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201.359927735114</v>
      </c>
      <c r="R33" s="11" t="n">
        <f aca="false">IF(Time!R17&lt;Time!$F$11,0,IF(Time!R29=1,INDEX(Funding!$J$72:$BJ$72,1,Time!$F$13),Q36))</f>
        <v>199.865520652242</v>
      </c>
      <c r="S33" s="11" t="n">
        <f aca="false">IF(Time!S17&lt;Time!$F$11,0,IF(Time!S29=1,INDEX(Funding!$J$72:$BJ$72,1,Time!$F$13),R36))</f>
        <v>197.544800493776</v>
      </c>
      <c r="T33" s="11" t="n">
        <f aca="false">IF(Time!T17&lt;Time!$F$11,0,IF(Time!T29=1,INDEX(Funding!$J$72:$BJ$72,1,Time!$F$13),S36))</f>
        <v>195.782222923386</v>
      </c>
      <c r="U33" s="11" t="n">
        <f aca="false">IF(Time!U17&lt;Time!$F$11,0,IF(Time!U29=1,INDEX(Funding!$J$72:$BJ$72,1,Time!$F$13),T36))</f>
        <v>193.373924872067</v>
      </c>
      <c r="V33" s="11" t="n">
        <f aca="false">IF(Time!V17&lt;Time!$F$11,0,IF(Time!V29=1,INDEX(Funding!$J$72:$BJ$72,1,Time!$F$13),U36))</f>
        <v>191.712302807615</v>
      </c>
      <c r="W33" s="11" t="n">
        <f aca="false">IF(Time!W17&lt;Time!$F$11,0,IF(Time!W29=1,INDEX(Funding!$J$72:$BJ$72,1,Time!$F$13),V36))</f>
        <v>188.822238699269</v>
      </c>
      <c r="X33" s="11" t="n">
        <f aca="false">IF(Time!X17&lt;Time!$F$11,0,IF(Time!X29=1,INDEX(Funding!$J$72:$BJ$72,1,Time!$F$13),W36))</f>
        <v>184.9254600248</v>
      </c>
      <c r="Y33" s="11" t="n">
        <f aca="false">IF(Time!Y17&lt;Time!$F$11,0,IF(Time!Y29=1,INDEX(Funding!$J$72:$BJ$72,1,Time!$F$13),X36))</f>
        <v>182.167145912043</v>
      </c>
      <c r="Z33" s="11" t="n">
        <f aca="false">IF(Time!Z17&lt;Time!$F$11,0,IF(Time!Z29=1,INDEX(Funding!$J$72:$BJ$72,1,Time!$F$13),Y36))</f>
        <v>179.933332929158</v>
      </c>
      <c r="AA33" s="11" t="n">
        <f aca="false">IF(Time!AA17&lt;Time!$F$11,0,IF(Time!AA29=1,INDEX(Funding!$J$72:$BJ$72,1,Time!$F$13),Z36))</f>
        <v>177.043266815478</v>
      </c>
      <c r="AB33" s="11" t="n">
        <f aca="false">IF(Time!AB17&lt;Time!$F$11,0,IF(Time!AB29=1,INDEX(Funding!$J$72:$BJ$72,1,Time!$F$13),AA36))</f>
        <v>180.052437055124</v>
      </c>
      <c r="AC33" s="11" t="n">
        <f aca="false">IF(Time!AC17&lt;Time!$F$11,0,IF(Time!AC29=1,INDEX(Funding!$J$72:$BJ$72,1,Time!$F$13),AB36))</f>
        <v>182.439507834634</v>
      </c>
      <c r="AD33" s="11" t="n">
        <f aca="false">IF(Time!AD17&lt;Time!$F$11,0,IF(Time!AD29=1,INDEX(Funding!$J$72:$BJ$72,1,Time!$F$13),AC36))</f>
        <v>185.232536591808</v>
      </c>
      <c r="AE33" s="11" t="n">
        <f aca="false">IF(Time!AE17&lt;Time!$F$11,0,IF(Time!AE29=1,INDEX(Funding!$J$72:$BJ$72,1,Time!$F$13),AD36))</f>
        <v>186.960578436751</v>
      </c>
      <c r="AF33" s="11" t="n">
        <f aca="false">IF(Time!AF17&lt;Time!$F$11,0,IF(Time!AF29=1,INDEX(Funding!$J$72:$BJ$72,1,Time!$F$13),AE36))</f>
        <v>188.097629219801</v>
      </c>
      <c r="AG33" s="11" t="n">
        <f aca="false">IF(Time!AG17&lt;Time!$F$11,0,IF(Time!AG29=1,INDEX(Funding!$J$72:$BJ$72,1,Time!$F$13),AF36))</f>
        <v>188.666881306326</v>
      </c>
      <c r="AH33" s="11" t="n">
        <f aca="false">IF(Time!AH17&lt;Time!$F$11,0,IF(Time!AH29=1,INDEX(Funding!$J$72:$BJ$72,1,Time!$F$13),AG36))</f>
        <v>188.806899660003</v>
      </c>
      <c r="AI33" s="11" t="n">
        <f aca="false">IF(Time!AI17&lt;Time!$F$11,0,IF(Time!AI29=1,INDEX(Funding!$J$72:$BJ$72,1,Time!$F$13),AH36))</f>
        <v>187.854061380477</v>
      </c>
      <c r="AJ33" s="11" t="n">
        <f aca="false">IF(Time!AJ17&lt;Time!$F$11,0,IF(Time!AJ29=1,INDEX(Funding!$J$72:$BJ$72,1,Time!$F$13),AI36))</f>
        <v>186.007666170458</v>
      </c>
      <c r="AK33" s="11" t="n">
        <f aca="false">IF(Time!AK17&lt;Time!$F$11,0,IF(Time!AK29=1,INDEX(Funding!$J$72:$BJ$72,1,Time!$F$13),AJ36))</f>
        <v>182.561481117526</v>
      </c>
      <c r="AL33" s="11" t="n">
        <f aca="false">IF(Time!AL17&lt;Time!$F$11,0,IF(Time!AL29=1,INDEX(Funding!$J$72:$BJ$72,1,Time!$F$13),AK36))</f>
        <v>169.634781611693</v>
      </c>
      <c r="AM33" s="11" t="n">
        <f aca="false">IF(Time!AM17&lt;Time!$F$11,0,IF(Time!AM29=1,INDEX(Funding!$J$72:$BJ$72,1,Time!$F$13),AL36))</f>
        <v>147.940889419289</v>
      </c>
      <c r="AN33" s="11" t="n">
        <f aca="false">IF(Time!AN17&lt;Time!$F$11,0,IF(Time!AN29=1,INDEX(Funding!$J$72:$BJ$72,1,Time!$F$13),AM36))</f>
        <v>123.026900459434</v>
      </c>
      <c r="AO33" s="11" t="n">
        <f aca="false">IF(Time!AO17&lt;Time!$F$11,0,IF(Time!AO29=1,INDEX(Funding!$J$72:$BJ$72,1,Time!$F$13),AN36))</f>
        <v>98.7081825364045</v>
      </c>
      <c r="AP33" s="11" t="n">
        <f aca="false">IF(Time!AP17&lt;Time!$F$11,0,IF(Time!AP29=1,INDEX(Funding!$J$72:$BJ$72,1,Time!$F$13),AO36))</f>
        <v>54.633655187682</v>
      </c>
      <c r="AQ33" s="11" t="n">
        <f aca="false">IF(Time!AQ17&lt;Time!$F$11,0,IF(Time!AQ29=1,INDEX(Funding!$J$72:$BJ$72,1,Time!$F$13),AP36))</f>
        <v>16.1271058604809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214.717910813366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9.485983444946</v>
      </c>
      <c r="R34" s="11" t="n">
        <f aca="false">R24*MIN(R31,Tax!R13)</f>
        <v>9.57164192055118</v>
      </c>
      <c r="S34" s="11" t="n">
        <f aca="false">S24*MIN(S31,Tax!S13)</f>
        <v>9.30625436846706</v>
      </c>
      <c r="T34" s="11" t="n">
        <f aca="false">T24*MIN(T31,Tax!T13)</f>
        <v>9.37609111424872</v>
      </c>
      <c r="U34" s="11" t="n">
        <f aca="false">U24*MIN(U31,Tax!U13)</f>
        <v>9.16009633161106</v>
      </c>
      <c r="V34" s="11" t="n">
        <f aca="false">V24*MIN(V31,Tax!V13)</f>
        <v>9.18118096733454</v>
      </c>
      <c r="W34" s="11" t="n">
        <f aca="false">W24*MIN(W31,Tax!W13)</f>
        <v>8.89533806694229</v>
      </c>
      <c r="X34" s="11" t="n">
        <f aca="false">X24*MIN(X31,Tax!X13)</f>
        <v>8.85615627735206</v>
      </c>
      <c r="Y34" s="11" t="n">
        <f aca="false">Y24*MIN(Y31,Tax!Y13)</f>
        <v>8.58181938070568</v>
      </c>
      <c r="Z34" s="11" t="n">
        <f aca="false">Z24*MIN(Z31,Tax!Z13)</f>
        <v>8.6170812591827</v>
      </c>
      <c r="AA34" s="11" t="n">
        <f aca="false">AA24*MIN(AA31,Tax!AA13)</f>
        <v>5.33126530252416</v>
      </c>
      <c r="AB34" s="11" t="n">
        <f aca="false">AB24*MIN(AB31,Tax!AB13)</f>
        <v>6.23571442521261</v>
      </c>
      <c r="AC34" s="11" t="n">
        <f aca="false">AC24*MIN(AC31,Tax!AC13)</f>
        <v>5.84910573723931</v>
      </c>
      <c r="AD34" s="11" t="n">
        <f aca="false">AD24*MIN(AD31,Tax!AD13)</f>
        <v>7.14282045539922</v>
      </c>
      <c r="AE34" s="11" t="n">
        <f aca="false">AE24*MIN(AE31,Tax!AE13)</f>
        <v>7.67058523399088</v>
      </c>
      <c r="AF34" s="11" t="n">
        <f aca="false">AF24*MIN(AF31,Tax!AF13)</f>
        <v>8.43882067720587</v>
      </c>
      <c r="AG34" s="11" t="n">
        <f aca="false">AG24*MIN(AG31,Tax!AG13)</f>
        <v>8.74800089033003</v>
      </c>
      <c r="AH34" s="11" t="n">
        <f aca="false">AH24*MIN(AH31,Tax!AH13)</f>
        <v>9.0420400165941</v>
      </c>
      <c r="AI34" s="11" t="n">
        <f aca="false">AI24*MIN(AI31,Tax!AI13)</f>
        <v>8.84972763133508</v>
      </c>
      <c r="AJ34" s="11" t="n">
        <f aca="false">AJ24*MIN(AJ31,Tax!AJ13)</f>
        <v>8.90798357440988</v>
      </c>
      <c r="AK34" s="11" t="n">
        <f aca="false">AK24*MIN(AK31,Tax!AK13)</f>
        <v>8.64791235211512</v>
      </c>
      <c r="AL34" s="11" t="n">
        <f aca="false">AL24*MIN(AL31,Tax!AL13)</f>
        <v>8.12387940430794</v>
      </c>
      <c r="AM34" s="11" t="n">
        <f aca="false">AM24*MIN(AM31,Tax!AM13)</f>
        <v>6.96943450291694</v>
      </c>
      <c r="AN34" s="11" t="n">
        <f aca="false">AN24*MIN(AN31,Tax!AN13)</f>
        <v>5.89180882200248</v>
      </c>
      <c r="AO34" s="11" t="n">
        <f aca="false">AO24*MIN(AO31,Tax!AO13)</f>
        <v>4.65010191428349</v>
      </c>
      <c r="AP34" s="11" t="n">
        <f aca="false">AP24*MIN(AP31,Tax!AP13)</f>
        <v>2.61642819912515</v>
      </c>
      <c r="AQ34" s="11" t="n">
        <f aca="false">AQ24*MIN(AQ31,Tax!AQ13)</f>
        <v>0.759741329509507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216.625044911791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3.50148433215194</v>
      </c>
      <c r="Q35" s="11" t="n">
        <f aca="false">Q24*MIN(Q31-Q34,Q33+Tax!Q13-Q34)</f>
        <v>1.49440708287272</v>
      </c>
      <c r="R35" s="11" t="n">
        <f aca="false">R24*MIN(R31-R34,R33+Tax!R13-R34)</f>
        <v>2.32072015846573</v>
      </c>
      <c r="S35" s="11" t="n">
        <f aca="false">S24*MIN(S31-S34,S33+Tax!S13-S34)</f>
        <v>1.76257757039014</v>
      </c>
      <c r="T35" s="11" t="n">
        <f aca="false">T24*MIN(T31-T34,T33+Tax!T13-T34)</f>
        <v>2.40829805131872</v>
      </c>
      <c r="U35" s="11" t="n">
        <f aca="false">U24*MIN(U31-U34,U33+Tax!U13-U34)</f>
        <v>1.66162206445216</v>
      </c>
      <c r="V35" s="11" t="n">
        <f aca="false">V24*MIN(V31-V34,V33+Tax!V13-V34)</f>
        <v>2.89006410834547</v>
      </c>
      <c r="W35" s="11" t="n">
        <f aca="false">W24*MIN(W31-W34,W33+Tax!W13-W34)</f>
        <v>3.89677867446939</v>
      </c>
      <c r="X35" s="11" t="n">
        <f aca="false">X24*MIN(X31-X34,X33+Tax!X13-X34)</f>
        <v>2.75831411275722</v>
      </c>
      <c r="Y35" s="11" t="n">
        <f aca="false">Y24*MIN(Y31-Y34,Y33+Tax!Y13-Y34)</f>
        <v>2.23381298288435</v>
      </c>
      <c r="Z35" s="11" t="n">
        <f aca="false">Z24*MIN(Z31-Z34,Z33+Tax!Z13-Z34)</f>
        <v>2.89006611368001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</v>
      </c>
      <c r="AF35" s="11" t="n">
        <f aca="false">AF24*MIN(AF31-AF34,AF33+Tax!AF13-AF34)</f>
        <v>0</v>
      </c>
      <c r="AG35" s="11" t="n">
        <f aca="false">AG24*MIN(AG31-AG34,AG33+Tax!AG13-AG34)</f>
        <v>0</v>
      </c>
      <c r="AH35" s="11" t="n">
        <f aca="false">AH24*MIN(AH31-AH34,AH33+Tax!AH13-AH34)</f>
        <v>0.952838279525517</v>
      </c>
      <c r="AI35" s="11" t="n">
        <f aca="false">AI24*MIN(AI31-AI34,AI33+Tax!AI13-AI34)</f>
        <v>1.84639521001926</v>
      </c>
      <c r="AJ35" s="11" t="n">
        <f aca="false">AJ24*MIN(AJ31-AJ34,AJ33+Tax!AJ13-AJ34)</f>
        <v>3.44618505293224</v>
      </c>
      <c r="AK35" s="11" t="n">
        <f aca="false">AK24*MIN(AK31-AK34,AK33+Tax!AK13-AK34)</f>
        <v>12.9266995058325</v>
      </c>
      <c r="AL35" s="11" t="n">
        <f aca="false">AL24*MIN(AL31-AL34,AL33+Tax!AL13-AL34)</f>
        <v>21.6938921924037</v>
      </c>
      <c r="AM35" s="11" t="n">
        <f aca="false">AM24*MIN(AM31-AM34,AM33+Tax!AM13-AM34)</f>
        <v>24.9139889598555</v>
      </c>
      <c r="AN35" s="11" t="n">
        <f aca="false">AN24*MIN(AN31-AN34,AN33+Tax!AN13-AN34)</f>
        <v>24.3187179230294</v>
      </c>
      <c r="AO35" s="11" t="n">
        <f aca="false">AO24*MIN(AO31-AO34,AO33+Tax!AO13-AO34)</f>
        <v>44.0745273487225</v>
      </c>
      <c r="AP35" s="11" t="n">
        <f aca="false">AP24*MIN(AP31-AP34,AP33+Tax!AP13-AP34)</f>
        <v>38.506549327201</v>
      </c>
      <c r="AQ35" s="11" t="n">
        <f aca="false">AQ24*MIN(AQ31-AQ34,AQ33+Tax!AQ13-AQ34)</f>
        <v>16.1271058604809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201.359927735114</v>
      </c>
      <c r="Q36" s="11" t="n">
        <f aca="false">Q33+Tax!Q13-Q34-Q35</f>
        <v>199.865520652242</v>
      </c>
      <c r="R36" s="11" t="n">
        <f aca="false">R33+Tax!R13-R34-R35</f>
        <v>197.544800493776</v>
      </c>
      <c r="S36" s="11" t="n">
        <f aca="false">S33+Tax!S13-S34-S35</f>
        <v>195.782222923386</v>
      </c>
      <c r="T36" s="11" t="n">
        <f aca="false">T33+Tax!T13-T34-T35</f>
        <v>193.373924872067</v>
      </c>
      <c r="U36" s="11" t="n">
        <f aca="false">U33+Tax!U13-U34-U35</f>
        <v>191.712302807615</v>
      </c>
      <c r="V36" s="11" t="n">
        <f aca="false">V33+Tax!V13-V34-V35</f>
        <v>188.822238699269</v>
      </c>
      <c r="W36" s="11" t="n">
        <f aca="false">W33+Tax!W13-W34-W35</f>
        <v>184.9254600248</v>
      </c>
      <c r="X36" s="11" t="n">
        <f aca="false">X33+Tax!X13-X34-X35</f>
        <v>182.167145912043</v>
      </c>
      <c r="Y36" s="11" t="n">
        <f aca="false">Y33+Tax!Y13-Y34-Y35</f>
        <v>179.933332929158</v>
      </c>
      <c r="Z36" s="11" t="n">
        <f aca="false">Z33+Tax!Z13-Z34-Z35</f>
        <v>177.043266815478</v>
      </c>
      <c r="AA36" s="11" t="n">
        <f aca="false">AA33+Tax!AA13-AA34-AA35</f>
        <v>180.052437055124</v>
      </c>
      <c r="AB36" s="11" t="n">
        <f aca="false">AB33+Tax!AB13-AB34-AB35</f>
        <v>182.439507834634</v>
      </c>
      <c r="AC36" s="11" t="n">
        <f aca="false">AC33+Tax!AC13-AC34-AC35</f>
        <v>185.232536591808</v>
      </c>
      <c r="AD36" s="11" t="n">
        <f aca="false">AD33+Tax!AD13-AD34-AD35</f>
        <v>186.960578436751</v>
      </c>
      <c r="AE36" s="11" t="n">
        <f aca="false">AE33+Tax!AE13-AE34-AE35</f>
        <v>188.097629219801</v>
      </c>
      <c r="AF36" s="11" t="n">
        <f aca="false">AF33+Tax!AF13-AF34-AF35</f>
        <v>188.666881306326</v>
      </c>
      <c r="AG36" s="11" t="n">
        <f aca="false">AG33+Tax!AG13-AG34-AG35</f>
        <v>188.806899660003</v>
      </c>
      <c r="AH36" s="11" t="n">
        <f aca="false">AH33+Tax!AH13-AH34-AH35</f>
        <v>187.854061380477</v>
      </c>
      <c r="AI36" s="11" t="n">
        <f aca="false">AI33+Tax!AI13-AI34-AI35</f>
        <v>186.007666170458</v>
      </c>
      <c r="AJ36" s="11" t="n">
        <f aca="false">AJ33+Tax!AJ13-AJ34-AJ35</f>
        <v>182.561481117526</v>
      </c>
      <c r="AK36" s="11" t="n">
        <f aca="false">AK33+Tax!AK13-AK34-AK35</f>
        <v>169.634781611693</v>
      </c>
      <c r="AL36" s="11" t="n">
        <f aca="false">AL33+Tax!AL13-AL34-AL35</f>
        <v>147.940889419289</v>
      </c>
      <c r="AM36" s="11" t="n">
        <f aca="false">AM33+Tax!AM13-AM34-AM35</f>
        <v>123.026900459434</v>
      </c>
      <c r="AN36" s="11" t="n">
        <f aca="false">AN33+Tax!AN13-AN34-AN35</f>
        <v>98.7081825364045</v>
      </c>
      <c r="AO36" s="11" t="n">
        <f aca="false">AO33+Tax!AO13-AO34-AO35</f>
        <v>54.633655187682</v>
      </c>
      <c r="AP36" s="11" t="n">
        <f aca="false">AP33+Tax!AP13-AP34-AP35</f>
        <v>16.1271058604809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9.26406911414573</v>
      </c>
      <c r="P37" s="11" t="n">
        <f aca="false">MAX(0,O43+Financials!P14)</f>
        <v>15.1023114586682</v>
      </c>
      <c r="Q37" s="11" t="n">
        <f aca="false">MAX(0,P43+Financials!Q14)</f>
        <v>22.1910348204008</v>
      </c>
      <c r="R37" s="11" t="n">
        <f aca="false">MAX(0,Q43+Financials!R14)</f>
        <v>29.6789881858059</v>
      </c>
      <c r="S37" s="11" t="n">
        <f aca="false">MAX(0,R43+Financials!S14)</f>
        <v>38.281034210893</v>
      </c>
      <c r="T37" s="11" t="n">
        <f aca="false">MAX(0,S43+Financials!T14)</f>
        <v>47.2648793309572</v>
      </c>
      <c r="U37" s="11" t="n">
        <f aca="false">MAX(0,T43+Financials!U14)</f>
        <v>57.3783954936851</v>
      </c>
      <c r="V37" s="11" t="n">
        <f aca="false">MAX(0,U43+Financials!V14)</f>
        <v>65.743309112911</v>
      </c>
      <c r="W37" s="11" t="n">
        <f aca="false">MAX(0,V43+Financials!W14)</f>
        <v>77.7779183559751</v>
      </c>
      <c r="X37" s="11" t="n">
        <f aca="false">MAX(0,W43+Financials!X14)</f>
        <v>90.3369988181189</v>
      </c>
      <c r="Y37" s="11" t="n">
        <f aca="false">MAX(0,X43+Financials!Y14)</f>
        <v>101.019572060794</v>
      </c>
      <c r="Z37" s="11" t="n">
        <f aca="false">MAX(0,Y43+Financials!Z14)</f>
        <v>106.919817901981</v>
      </c>
      <c r="AA37" s="11" t="n">
        <f aca="false">MAX(0,Z43+Financials!AA14)</f>
        <v>113.690764884606</v>
      </c>
      <c r="AB37" s="11" t="n">
        <f aca="false">MAX(0,AA43+Financials!AB14)</f>
        <v>120.915282816585</v>
      </c>
      <c r="AC37" s="11" t="n">
        <f aca="false">MAX(0,AB43+Financials!AC14)</f>
        <v>129.103847869554</v>
      </c>
      <c r="AD37" s="11" t="n">
        <f aca="false">MAX(0,AC43+Financials!AD14)</f>
        <v>128.306336240391</v>
      </c>
      <c r="AE37" s="11" t="n">
        <f aca="false">MAX(0,AD43+Financials!AE14)</f>
        <v>139.057335275737</v>
      </c>
      <c r="AF37" s="11" t="n">
        <f aca="false">MAX(0,AE43+Financials!AF14)</f>
        <v>149.514231547884</v>
      </c>
      <c r="AG37" s="11" t="n">
        <f aca="false">MAX(0,AF43+Financials!AG14)</f>
        <v>160.932135129794</v>
      </c>
      <c r="AH37" s="11" t="n">
        <f aca="false">MAX(0,AG43+Financials!AH14)</f>
        <v>173.213116204758</v>
      </c>
      <c r="AI37" s="11" t="n">
        <f aca="false">MAX(0,AH43+Financials!AI14)</f>
        <v>186.658168745684</v>
      </c>
      <c r="AJ37" s="11" t="n">
        <f aca="false">MAX(0,AI43+Financials!AJ14)</f>
        <v>201.020880989838</v>
      </c>
      <c r="AK37" s="11" t="n">
        <f aca="false">MAX(0,AJ43+Financials!AK14)</f>
        <v>216.664977342551</v>
      </c>
      <c r="AL37" s="11" t="n">
        <f aca="false">MAX(0,AK43+Financials!AL14)</f>
        <v>231.468773827479</v>
      </c>
      <c r="AM37" s="11" t="n">
        <f aca="false">MAX(0,AL43+Financials!AM14)</f>
        <v>249.577360258946</v>
      </c>
      <c r="AN37" s="11" t="n">
        <f aca="false">MAX(0,AM43+Financials!AN14)</f>
        <v>268.814836436747</v>
      </c>
      <c r="AO37" s="11" t="n">
        <f aca="false">MAX(0,AN43+Financials!AO14)</f>
        <v>289.350331324681</v>
      </c>
      <c r="AP37" s="11" t="n">
        <f aca="false">MAX(0,AO43+Financials!AP14)</f>
        <v>312.172091325237</v>
      </c>
      <c r="AQ37" s="11" t="n">
        <f aca="false">MAX(0,AP43+Financials!AQ14)</f>
        <v>336.34245490705</v>
      </c>
      <c r="AR37" s="11" t="n">
        <f aca="false">MAX(0,AQ43+Financials!AR14)</f>
        <v>337.979489718764</v>
      </c>
      <c r="AS37" s="11" t="n">
        <f aca="false">MAX(0,AR43+Financials!AS14)</f>
        <v>322.572087866715</v>
      </c>
      <c r="AT37" s="11" t="n">
        <f aca="false">MAX(0,AS43+Financials!AT14)</f>
        <v>297.165006773567</v>
      </c>
      <c r="AU37" s="11" t="n">
        <f aca="false">MAX(0,AT43+Financials!AU14)</f>
        <v>275.541298951433</v>
      </c>
      <c r="AV37" s="11" t="n">
        <f aca="false">MAX(0,AU43+Financials!AV14)</f>
        <v>258.234501118068</v>
      </c>
      <c r="AW37" s="11" t="n">
        <f aca="false">MAX(0,AV43+Financials!AW14)</f>
        <v>240.965016148061</v>
      </c>
      <c r="AX37" s="11" t="n">
        <f aca="false">MAX(0,AW43+Financials!AX14)</f>
        <v>224.282141185703</v>
      </c>
      <c r="AY37" s="11" t="n">
        <f aca="false">MAX(0,AX43+Financials!AY14)</f>
        <v>206.995687598325</v>
      </c>
      <c r="AZ37" s="11" t="n">
        <f aca="false">MAX(0,AY43+Financials!AZ14)</f>
        <v>190.231751737846</v>
      </c>
      <c r="BA37" s="11" t="n">
        <f aca="false">MAX(0,AZ43+Financials!BA14)</f>
        <v>173.034847341139</v>
      </c>
      <c r="BB37" s="11" t="n">
        <f aca="false">MAX(0,BA43+Financials!BB14)</f>
        <v>154.412977192634</v>
      </c>
      <c r="BC37" s="11" t="n">
        <f aca="false">MAX(0,BB43+Financials!BC14)</f>
        <v>137.019518454664</v>
      </c>
      <c r="BD37" s="11" t="n">
        <f aca="false">MAX(0,BC43+Financials!BD14)</f>
        <v>123.000148980724</v>
      </c>
      <c r="BE37" s="11" t="n">
        <f aca="false">MAX(0,BD43+Financials!BE14)</f>
        <v>115.253043609356</v>
      </c>
      <c r="BF37" s="11" t="n">
        <f aca="false">MAX(0,BE43+Financials!BF14)</f>
        <v>108.12521270678</v>
      </c>
      <c r="BG37" s="11" t="n">
        <f aca="false">MAX(0,BF43+Financials!BG14)</f>
        <v>100.386191358948</v>
      </c>
      <c r="BH37" s="11" t="n">
        <f aca="false">MAX(0,BG43+Financials!BH14)</f>
        <v>93.2027169420856</v>
      </c>
      <c r="BI37" s="11" t="n">
        <f aca="false">MAX(0,BH43+Financials!BI14)</f>
        <v>85.6463764540629</v>
      </c>
      <c r="BJ37" s="11" t="n">
        <f aca="false">MAX(0,BI43+Financials!BJ14)</f>
        <v>66.2350773023001</v>
      </c>
      <c r="BK37" s="11" t="n">
        <f aca="false">MAX(0,BJ43+Financials!BK14)</f>
        <v>51.2515339454048</v>
      </c>
      <c r="BL37" s="11" t="n">
        <f aca="false">MAX(0,BK43+Financials!BL14)</f>
        <v>41.3855097311413</v>
      </c>
      <c r="BM37" s="11" t="n">
        <f aca="false">MAX(0,BL43+Financials!BM14)</f>
        <v>8.71380012007449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0</v>
      </c>
      <c r="AQ38" s="11" t="n">
        <f aca="false">AQ24*MIN(AQ31-AQ34-AQ35,AQ37)</f>
        <v>23.1243400245937</v>
      </c>
      <c r="AR38" s="11" t="n">
        <f aca="false">AR24*MIN(AR31-AR34-AR35,AR37)</f>
        <v>40.3466315003753</v>
      </c>
      <c r="AS38" s="11" t="n">
        <f aca="false">AS24*MIN(AS31-AS34-AS35,AS37)</f>
        <v>40.0905018175021</v>
      </c>
      <c r="AT38" s="11" t="n">
        <f aca="false">AT24*MIN(AT31-AT34-AT35,AT37)</f>
        <v>46.8465726745527</v>
      </c>
      <c r="AU38" s="11" t="n">
        <f aca="false">AU24*MIN(AU31-AU34-AU35,AU37)</f>
        <v>42.4059822346283</v>
      </c>
      <c r="AV38" s="11" t="n">
        <f aca="false">AV24*MIN(AV31-AV34-AV35,AV37)</f>
        <v>42.4596964681042</v>
      </c>
      <c r="AW38" s="11" t="n">
        <f aca="false">AW24*MIN(AW31-AW34-AW35,AW37)</f>
        <v>42.017702995227</v>
      </c>
      <c r="AX38" s="11" t="n">
        <f aca="false">AX24*MIN(AX31-AX34-AX35,AX37)</f>
        <v>42.6733383107201</v>
      </c>
      <c r="AY38" s="11" t="n">
        <f aca="false">AY24*MIN(AY31-AY34-AY35,AY37)</f>
        <v>42.2146889405744</v>
      </c>
      <c r="AZ38" s="11" t="n">
        <f aca="false">AZ24*MIN(AZ31-AZ34-AZ35,AZ37)</f>
        <v>42.7969224922796</v>
      </c>
      <c r="BA38" s="11" t="n">
        <f aca="false">BA24*MIN(BA31-BA34-BA35,BA37)</f>
        <v>42.0074185411151</v>
      </c>
      <c r="BB38" s="11" t="n">
        <f aca="false">BB24*MIN(BB31-BB34-BB35,BB37)</f>
        <v>43.2557057223103</v>
      </c>
      <c r="BC38" s="11" t="n">
        <f aca="false">BC24*MIN(BC31-BC34-BC35,BC37)</f>
        <v>39.8360202135168</v>
      </c>
      <c r="BD38" s="11" t="n">
        <f aca="false">BD24*MIN(BD31-BD34-BD35,BD37)</f>
        <v>33.6621983121308</v>
      </c>
      <c r="BE38" s="11" t="n">
        <f aca="false">BE24*MIN(BE31-BE34-BE35,BE37)</f>
        <v>33.2009943423944</v>
      </c>
      <c r="BF38" s="11" t="n">
        <f aca="false">BF24*MIN(BF31-BF34-BF35,BF37)</f>
        <v>33.8675782486875</v>
      </c>
      <c r="BG38" s="11" t="n">
        <f aca="false">BG24*MIN(BG31-BG34-BG35,BG37)</f>
        <v>33.3809456276272</v>
      </c>
      <c r="BH38" s="11" t="n">
        <f aca="false">BH24*MIN(BH31-BH34-BH35,BH37)</f>
        <v>33.9662380875229</v>
      </c>
      <c r="BI38" s="11" t="n">
        <f aca="false">BI24*MIN(BI31-BI34-BI35,BI37)</f>
        <v>33.698404470233</v>
      </c>
      <c r="BJ38" s="11" t="n">
        <f aca="false">BJ24*MIN(BJ31-BJ34-BJ35,BJ37)</f>
        <v>41.7313629113129</v>
      </c>
      <c r="BK38" s="11" t="n">
        <f aca="false">BK24*MIN(BK31-BK34-BK35,BK37)</f>
        <v>36.4598575242797</v>
      </c>
      <c r="BL38" s="11" t="n">
        <f aca="false">BL24*MIN(BL31-BL34-BL35,BL37)</f>
        <v>37.1083958296947</v>
      </c>
      <c r="BM38" s="11" t="n">
        <f aca="false">BM24*MIN(BM31-BM34-BM35,BM37)</f>
        <v>8.71380012007449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44.3667535168117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44.3667535168117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44.3667535168117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900.232050926269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0</v>
      </c>
      <c r="AQ41" s="11" t="n">
        <f aca="false">AQ38+AQ40</f>
        <v>23.1243400245937</v>
      </c>
      <c r="AR41" s="11" t="n">
        <f aca="false">AR38+AR40</f>
        <v>40.3466315003753</v>
      </c>
      <c r="AS41" s="11" t="n">
        <f aca="false">AS38+AS40</f>
        <v>40.0905018175021</v>
      </c>
      <c r="AT41" s="11" t="n">
        <f aca="false">AT38+AT40</f>
        <v>46.8465726745527</v>
      </c>
      <c r="AU41" s="11" t="n">
        <f aca="false">AU38+AU40</f>
        <v>42.4059822346283</v>
      </c>
      <c r="AV41" s="11" t="n">
        <f aca="false">AV38+AV40</f>
        <v>42.4596964681042</v>
      </c>
      <c r="AW41" s="11" t="n">
        <f aca="false">AW38+AW40</f>
        <v>42.017702995227</v>
      </c>
      <c r="AX41" s="11" t="n">
        <f aca="false">AX38+AX40</f>
        <v>42.6733383107201</v>
      </c>
      <c r="AY41" s="11" t="n">
        <f aca="false">AY38+AY40</f>
        <v>42.2146889405744</v>
      </c>
      <c r="AZ41" s="11" t="n">
        <f aca="false">AZ38+AZ40</f>
        <v>42.7969224922796</v>
      </c>
      <c r="BA41" s="11" t="n">
        <f aca="false">BA38+BA40</f>
        <v>42.0074185411151</v>
      </c>
      <c r="BB41" s="11" t="n">
        <f aca="false">BB38+BB40</f>
        <v>43.2557057223103</v>
      </c>
      <c r="BC41" s="11" t="n">
        <f aca="false">BC38+BC40</f>
        <v>39.8360202135168</v>
      </c>
      <c r="BD41" s="11" t="n">
        <f aca="false">BD38+BD40</f>
        <v>33.6621983121308</v>
      </c>
      <c r="BE41" s="11" t="n">
        <f aca="false">BE38+BE40</f>
        <v>33.2009943423944</v>
      </c>
      <c r="BF41" s="11" t="n">
        <f aca="false">BF38+BF40</f>
        <v>33.8675782486875</v>
      </c>
      <c r="BG41" s="11" t="n">
        <f aca="false">BG38+BG40</f>
        <v>33.3809456276272</v>
      </c>
      <c r="BH41" s="11" t="n">
        <f aca="false">BH38+BH40</f>
        <v>33.9662380875229</v>
      </c>
      <c r="BI41" s="11" t="n">
        <f aca="false">BI38+BI40</f>
        <v>33.698404470233</v>
      </c>
      <c r="BJ41" s="11" t="n">
        <f aca="false">BJ38+BJ40</f>
        <v>41.7313629113129</v>
      </c>
      <c r="BK41" s="11" t="n">
        <f aca="false">BK38+BK40</f>
        <v>36.4598575242797</v>
      </c>
      <c r="BL41" s="11" t="n">
        <f aca="false">BL38+BL40</f>
        <v>37.1083958296947</v>
      </c>
      <c r="BM41" s="11" t="n">
        <f aca="false">BM38+BM40</f>
        <v>53.0805536368862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9.26406911414573</v>
      </c>
      <c r="P43" s="11" t="n">
        <f aca="false">IF(Time!P17&lt;Time!$F$11,0,O43+Financials!P14-P41)</f>
        <v>15.1023114586682</v>
      </c>
      <c r="Q43" s="11" t="n">
        <f aca="false">IF(Time!Q17&lt;Time!$F$11,0,P43+Financials!Q14-Q41)</f>
        <v>22.1910348204008</v>
      </c>
      <c r="R43" s="11" t="n">
        <f aca="false">IF(Time!R17&lt;Time!$F$11,0,Q43+Financials!R14-R41)</f>
        <v>29.6789881858059</v>
      </c>
      <c r="S43" s="11" t="n">
        <f aca="false">IF(Time!S17&lt;Time!$F$11,0,R43+Financials!S14-S41)</f>
        <v>38.281034210893</v>
      </c>
      <c r="T43" s="11" t="n">
        <f aca="false">IF(Time!T17&lt;Time!$F$11,0,S43+Financials!T14-T41)</f>
        <v>47.2648793309572</v>
      </c>
      <c r="U43" s="11" t="n">
        <f aca="false">IF(Time!U17&lt;Time!$F$11,0,T43+Financials!U14-U41)</f>
        <v>57.3783954936851</v>
      </c>
      <c r="V43" s="11" t="n">
        <f aca="false">IF(Time!V17&lt;Time!$F$11,0,U43+Financials!V14-V41)</f>
        <v>65.743309112911</v>
      </c>
      <c r="W43" s="11" t="n">
        <f aca="false">IF(Time!W17&lt;Time!$F$11,0,V43+Financials!W14-W41)</f>
        <v>77.7779183559751</v>
      </c>
      <c r="X43" s="11" t="n">
        <f aca="false">IF(Time!X17&lt;Time!$F$11,0,W43+Financials!X14-X41)</f>
        <v>90.3369988181189</v>
      </c>
      <c r="Y43" s="11" t="n">
        <f aca="false">IF(Time!Y17&lt;Time!$F$11,0,X43+Financials!Y14-Y41)</f>
        <v>101.019572060794</v>
      </c>
      <c r="Z43" s="11" t="n">
        <f aca="false">IF(Time!Z17&lt;Time!$F$11,0,Y43+Financials!Z14-Z41)</f>
        <v>106.919817901981</v>
      </c>
      <c r="AA43" s="11" t="n">
        <f aca="false">IF(Time!AA17&lt;Time!$F$11,0,Z43+Financials!AA14-AA41)</f>
        <v>113.690764884606</v>
      </c>
      <c r="AB43" s="11" t="n">
        <f aca="false">IF(Time!AB17&lt;Time!$F$11,0,AA43+Financials!AB14-AB41)</f>
        <v>120.915282816585</v>
      </c>
      <c r="AC43" s="11" t="n">
        <f aca="false">IF(Time!AC17&lt;Time!$F$11,0,AB43+Financials!AC14-AC41)</f>
        <v>129.103847869554</v>
      </c>
      <c r="AD43" s="11" t="n">
        <f aca="false">IF(Time!AD17&lt;Time!$F$11,0,AC43+Financials!AD14-AD41)</f>
        <v>128.306336240391</v>
      </c>
      <c r="AE43" s="11" t="n">
        <f aca="false">IF(Time!AE17&lt;Time!$F$11,0,AD43+Financials!AE14-AE41)</f>
        <v>139.057335275737</v>
      </c>
      <c r="AF43" s="11" t="n">
        <f aca="false">IF(Time!AF17&lt;Time!$F$11,0,AE43+Financials!AF14-AF41)</f>
        <v>149.514231547884</v>
      </c>
      <c r="AG43" s="11" t="n">
        <f aca="false">IF(Time!AG17&lt;Time!$F$11,0,AF43+Financials!AG14-AG41)</f>
        <v>160.932135129794</v>
      </c>
      <c r="AH43" s="11" t="n">
        <f aca="false">IF(Time!AH17&lt;Time!$F$11,0,AG43+Financials!AH14-AH41)</f>
        <v>173.213116204758</v>
      </c>
      <c r="AI43" s="11" t="n">
        <f aca="false">IF(Time!AI17&lt;Time!$F$11,0,AH43+Financials!AI14-AI41)</f>
        <v>186.658168745684</v>
      </c>
      <c r="AJ43" s="11" t="n">
        <f aca="false">IF(Time!AJ17&lt;Time!$F$11,0,AI43+Financials!AJ14-AJ41)</f>
        <v>201.020880989838</v>
      </c>
      <c r="AK43" s="11" t="n">
        <f aca="false">IF(Time!AK17&lt;Time!$F$11,0,AJ43+Financials!AK14-AK41)</f>
        <v>216.664977342551</v>
      </c>
      <c r="AL43" s="11" t="n">
        <f aca="false">IF(Time!AL17&lt;Time!$F$11,0,AK43+Financials!AL14-AL41)</f>
        <v>231.468773827479</v>
      </c>
      <c r="AM43" s="11" t="n">
        <f aca="false">IF(Time!AM17&lt;Time!$F$11,0,AL43+Financials!AM14-AM41)</f>
        <v>249.577360258946</v>
      </c>
      <c r="AN43" s="11" t="n">
        <f aca="false">IF(Time!AN17&lt;Time!$F$11,0,AM43+Financials!AN14-AN41)</f>
        <v>268.814836436747</v>
      </c>
      <c r="AO43" s="11" t="n">
        <f aca="false">IF(Time!AO17&lt;Time!$F$11,0,AN43+Financials!AO14-AO41)</f>
        <v>289.350331324681</v>
      </c>
      <c r="AP43" s="11" t="n">
        <f aca="false">IF(Time!AP17&lt;Time!$F$11,0,AO43+Financials!AP14-AP41)</f>
        <v>312.172091325237</v>
      </c>
      <c r="AQ43" s="11" t="n">
        <f aca="false">IF(Time!AQ17&lt;Time!$F$11,0,AP43+Financials!AQ14-AQ41)</f>
        <v>313.218114882456</v>
      </c>
      <c r="AR43" s="11" t="n">
        <f aca="false">IF(Time!AR17&lt;Time!$F$11,0,AQ43+Financials!AR14-AR41)</f>
        <v>297.632858218389</v>
      </c>
      <c r="AS43" s="11" t="n">
        <f aca="false">IF(Time!AS17&lt;Time!$F$11,0,AR43+Financials!AS14-AS41)</f>
        <v>282.481586049213</v>
      </c>
      <c r="AT43" s="11" t="n">
        <f aca="false">IF(Time!AT17&lt;Time!$F$11,0,AS43+Financials!AT14-AT41)</f>
        <v>250.318434099015</v>
      </c>
      <c r="AU43" s="11" t="n">
        <f aca="false">IF(Time!AU17&lt;Time!$F$11,0,AT43+Financials!AU14-AU41)</f>
        <v>233.135316716805</v>
      </c>
      <c r="AV43" s="11" t="n">
        <f aca="false">IF(Time!AV17&lt;Time!$F$11,0,AU43+Financials!AV14-AV41)</f>
        <v>215.774804649964</v>
      </c>
      <c r="AW43" s="11" t="n">
        <f aca="false">IF(Time!AW17&lt;Time!$F$11,0,AV43+Financials!AW14-AW41)</f>
        <v>198.947313152834</v>
      </c>
      <c r="AX43" s="11" t="n">
        <f aca="false">IF(Time!AX17&lt;Time!$F$11,0,AW43+Financials!AX14-AX41)</f>
        <v>181.608802874982</v>
      </c>
      <c r="AY43" s="11" t="n">
        <f aca="false">IF(Time!AY17&lt;Time!$F$11,0,AX43+Financials!AY14-AY41)</f>
        <v>164.780998657751</v>
      </c>
      <c r="AZ43" s="11" t="n">
        <f aca="false">IF(Time!AZ17&lt;Time!$F$11,0,AY43+Financials!AZ14-AZ41)</f>
        <v>147.434829245566</v>
      </c>
      <c r="BA43" s="11" t="n">
        <f aca="false">IF(Time!BA17&lt;Time!$F$11,0,AZ43+Financials!BA14-BA41)</f>
        <v>131.027428800024</v>
      </c>
      <c r="BB43" s="11" t="n">
        <f aca="false">IF(Time!BB17&lt;Time!$F$11,0,BA43+Financials!BB14-BB41)</f>
        <v>111.157271470324</v>
      </c>
      <c r="BC43" s="11" t="n">
        <f aca="false">IF(Time!BC17&lt;Time!$F$11,0,BB43+Financials!BC14-BC41)</f>
        <v>97.1834982411468</v>
      </c>
      <c r="BD43" s="11" t="n">
        <f aca="false">IF(Time!BD17&lt;Time!$F$11,0,BC43+Financials!BD14-BD41)</f>
        <v>89.3379506685935</v>
      </c>
      <c r="BE43" s="11" t="n">
        <f aca="false">IF(Time!BE17&lt;Time!$F$11,0,BD43+Financials!BE14-BE41)</f>
        <v>82.0520492669613</v>
      </c>
      <c r="BF43" s="11" t="n">
        <f aca="false">IF(Time!BF17&lt;Time!$F$11,0,BE43+Financials!BF14-BF41)</f>
        <v>74.2576344580928</v>
      </c>
      <c r="BG43" s="11" t="n">
        <f aca="false">IF(Time!BG17&lt;Time!$F$11,0,BF43+Financials!BG14-BG41)</f>
        <v>67.0052457313207</v>
      </c>
      <c r="BH43" s="11" t="n">
        <f aca="false">IF(Time!BH17&lt;Time!$F$11,0,BG43+Financials!BH14-BH41)</f>
        <v>59.2364788545628</v>
      </c>
      <c r="BI43" s="11" t="n">
        <f aca="false">IF(Time!BI17&lt;Time!$F$11,0,BH43+Financials!BI14-BI41)</f>
        <v>51.9479719838298</v>
      </c>
      <c r="BJ43" s="11" t="n">
        <f aca="false">IF(Time!BJ17&lt;Time!$F$11,0,BI43+Financials!BJ14-BJ41)</f>
        <v>24.5037143909872</v>
      </c>
      <c r="BK43" s="11" t="n">
        <f aca="false">IF(Time!BK17&lt;Time!$F$11,0,BJ43+Financials!BK14-BK41)</f>
        <v>14.791676421125</v>
      </c>
      <c r="BL43" s="11" t="n">
        <f aca="false">IF(Time!BL17&lt;Time!$F$11,0,BK43+Financials!BL14-BL41)</f>
        <v>4.27711390144667</v>
      </c>
      <c r="BM43" s="11" t="n">
        <f aca="false">IF(Time!BM17&lt;Time!$F$11,0,BL43+Financials!BM14-BM41)</f>
        <v>-44.3667535168117</v>
      </c>
      <c r="BN43" s="11" t="n">
        <f aca="false">IF(Time!BN17&lt;Time!$F$11,0,BM43+Financials!BN14-BN41)</f>
        <v>-44.3667535168117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1331.57500665143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13.3123815456747</v>
      </c>
      <c r="Q44" s="11" t="n">
        <f aca="false">Q34+Q35+Q41</f>
        <v>10.9803905278187</v>
      </c>
      <c r="R44" s="11" t="n">
        <f aca="false">R34+R35+R41</f>
        <v>11.8923620790169</v>
      </c>
      <c r="S44" s="11" t="n">
        <f aca="false">S34+S35+S41</f>
        <v>11.0688319388572</v>
      </c>
      <c r="T44" s="11" t="n">
        <f aca="false">T34+T35+T41</f>
        <v>11.7843891655674</v>
      </c>
      <c r="U44" s="11" t="n">
        <f aca="false">U34+U35+U41</f>
        <v>10.8217183960632</v>
      </c>
      <c r="V44" s="11" t="n">
        <f aca="false">V34+V35+V41</f>
        <v>12.07124507568</v>
      </c>
      <c r="W44" s="11" t="n">
        <f aca="false">W34+W35+W41</f>
        <v>12.7921167414117</v>
      </c>
      <c r="X44" s="11" t="n">
        <f aca="false">X34+X35+X41</f>
        <v>11.6144703901093</v>
      </c>
      <c r="Y44" s="11" t="n">
        <f aca="false">Y34+Y35+Y41</f>
        <v>10.81563236359</v>
      </c>
      <c r="Z44" s="11" t="n">
        <f aca="false">Z34+Z35+Z41</f>
        <v>11.5071473728627</v>
      </c>
      <c r="AA44" s="11" t="n">
        <f aca="false">AA34+AA35+AA41</f>
        <v>5.33126530252416</v>
      </c>
      <c r="AB44" s="11" t="n">
        <f aca="false">AB34+AB35+AB41</f>
        <v>6.23571442521261</v>
      </c>
      <c r="AC44" s="11" t="n">
        <f aca="false">AC34+AC35+AC41</f>
        <v>5.84910573723931</v>
      </c>
      <c r="AD44" s="11" t="n">
        <f aca="false">AD34+AD35+AD41</f>
        <v>7.14282045539922</v>
      </c>
      <c r="AE44" s="11" t="n">
        <f aca="false">AE34+AE35+AE41</f>
        <v>7.67058523399088</v>
      </c>
      <c r="AF44" s="11" t="n">
        <f aca="false">AF34+AF35+AF41</f>
        <v>8.43882067720587</v>
      </c>
      <c r="AG44" s="11" t="n">
        <f aca="false">AG34+AG35+AG41</f>
        <v>8.74800089033003</v>
      </c>
      <c r="AH44" s="11" t="n">
        <f aca="false">AH34+AH35+AH41</f>
        <v>9.99487829611962</v>
      </c>
      <c r="AI44" s="11" t="n">
        <f aca="false">AI34+AI35+AI41</f>
        <v>10.6961228413543</v>
      </c>
      <c r="AJ44" s="11" t="n">
        <f aca="false">AJ34+AJ35+AJ41</f>
        <v>12.3541686273421</v>
      </c>
      <c r="AK44" s="11" t="n">
        <f aca="false">AK34+AK35+AK41</f>
        <v>21.5746118579476</v>
      </c>
      <c r="AL44" s="11" t="n">
        <f aca="false">AL34+AL35+AL41</f>
        <v>29.8177715967116</v>
      </c>
      <c r="AM44" s="11" t="n">
        <f aca="false">AM34+AM35+AM41</f>
        <v>31.8834234627725</v>
      </c>
      <c r="AN44" s="11" t="n">
        <f aca="false">AN34+AN35+AN41</f>
        <v>30.2105267450319</v>
      </c>
      <c r="AO44" s="11" t="n">
        <f aca="false">AO34+AO35+AO41</f>
        <v>48.724629263006</v>
      </c>
      <c r="AP44" s="11" t="n">
        <f aca="false">AP34+AP35+AP41</f>
        <v>41.1229775263262</v>
      </c>
      <c r="AQ44" s="11" t="n">
        <f aca="false">AQ34+AQ35+AQ41</f>
        <v>40.0111872145842</v>
      </c>
      <c r="AR44" s="11" t="n">
        <f aca="false">AR34+AR35+AR41</f>
        <v>40.3466315003753</v>
      </c>
      <c r="AS44" s="11" t="n">
        <f aca="false">AS34+AS35+AS41</f>
        <v>40.0905018175021</v>
      </c>
      <c r="AT44" s="11" t="n">
        <f aca="false">AT34+AT35+AT41</f>
        <v>46.8465726745527</v>
      </c>
      <c r="AU44" s="11" t="n">
        <f aca="false">AU34+AU35+AU41</f>
        <v>42.4059822346283</v>
      </c>
      <c r="AV44" s="11" t="n">
        <f aca="false">AV34+AV35+AV41</f>
        <v>42.4596964681042</v>
      </c>
      <c r="AW44" s="11" t="n">
        <f aca="false">AW34+AW35+AW41</f>
        <v>42.017702995227</v>
      </c>
      <c r="AX44" s="11" t="n">
        <f aca="false">AX34+AX35+AX41</f>
        <v>42.6733383107201</v>
      </c>
      <c r="AY44" s="11" t="n">
        <f aca="false">AY34+AY35+AY41</f>
        <v>42.2146889405744</v>
      </c>
      <c r="AZ44" s="11" t="n">
        <f aca="false">AZ34+AZ35+AZ41</f>
        <v>42.7969224922796</v>
      </c>
      <c r="BA44" s="11" t="n">
        <f aca="false">BA34+BA35+BA41</f>
        <v>42.0074185411151</v>
      </c>
      <c r="BB44" s="11" t="n">
        <f aca="false">BB34+BB35+BB41</f>
        <v>43.2557057223103</v>
      </c>
      <c r="BC44" s="11" t="n">
        <f aca="false">BC34+BC35+BC41</f>
        <v>39.8360202135168</v>
      </c>
      <c r="BD44" s="11" t="n">
        <f aca="false">BD34+BD35+BD41</f>
        <v>33.6621983121308</v>
      </c>
      <c r="BE44" s="11" t="n">
        <f aca="false">BE34+BE35+BE41</f>
        <v>33.2009943423944</v>
      </c>
      <c r="BF44" s="11" t="n">
        <f aca="false">BF34+BF35+BF41</f>
        <v>33.8675782486875</v>
      </c>
      <c r="BG44" s="11" t="n">
        <f aca="false">BG34+BG35+BG41</f>
        <v>33.3809456276272</v>
      </c>
      <c r="BH44" s="11" t="n">
        <f aca="false">BH34+BH35+BH41</f>
        <v>33.9662380875229</v>
      </c>
      <c r="BI44" s="11" t="n">
        <f aca="false">BI34+BI35+BI41</f>
        <v>33.698404470233</v>
      </c>
      <c r="BJ44" s="11" t="n">
        <f aca="false">BJ34+BJ35+BJ41</f>
        <v>41.7313629113129</v>
      </c>
      <c r="BK44" s="11" t="n">
        <f aca="false">BK34+BK35+BK41</f>
        <v>36.4598575242797</v>
      </c>
      <c r="BL44" s="11" t="n">
        <f aca="false">BL34+BL35+BL41</f>
        <v>37.1083958296947</v>
      </c>
      <c r="BM44" s="11" t="n">
        <f aca="false">BM34+BM35+BM41</f>
        <v>53.0805536368862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544.829999853658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30.4977335705047</v>
      </c>
      <c r="R9" s="11" t="n">
        <f aca="false">Debt!R119+Debt!R117+Debt!R111-Debt!R110+Tax!R13</f>
        <v>30.2558656627986</v>
      </c>
      <c r="S9" s="11" t="n">
        <f aca="false">Debt!S119+Debt!S117+Debt!S111-Debt!S110+Tax!S13</f>
        <v>29.1997945787242</v>
      </c>
      <c r="T9" s="11" t="n">
        <f aca="false">Debt!T119+Debt!T117+Debt!T111-Debt!T110+Tax!T13</f>
        <v>28.8853133382345</v>
      </c>
      <c r="U9" s="11" t="n">
        <f aca="false">Debt!U119+Debt!U117+Debt!U111-Debt!U110+Tax!U13</f>
        <v>27.9070241768459</v>
      </c>
      <c r="V9" s="11" t="n">
        <f aca="false">Debt!V119+Debt!V117+Debt!V111-Debt!V110+Tax!V13</f>
        <v>27.4155930307462</v>
      </c>
      <c r="W9" s="11" t="n">
        <f aca="false">Debt!W119+Debt!W117+Debt!W111-Debt!W110+Tax!W13</f>
        <v>26.2520338837108</v>
      </c>
      <c r="X9" s="11" t="n">
        <f aca="false">Debt!X119+Debt!X117+Debt!X111-Debt!X110+Tax!X13</f>
        <v>25.6900758162061</v>
      </c>
      <c r="Y9" s="11" t="n">
        <f aca="false">Debt!Y119+Debt!Y117+Debt!Y111-Debt!Y110+Tax!Y13</f>
        <v>25.0498811974786</v>
      </c>
      <c r="Z9" s="11" t="n">
        <f aca="false">Debt!Z119+Debt!Z117+Debt!Z111-Debt!Z110+Tax!Z13</f>
        <v>24.5533157093949</v>
      </c>
      <c r="AA9" s="11" t="n">
        <f aca="false">Debt!AA119+Debt!AA117+Debt!AA111-Debt!AA110+Tax!AA13</f>
        <v>23.3686546973394</v>
      </c>
      <c r="AB9" s="11" t="n">
        <f aca="false">Debt!AB119+Debt!AB117+Debt!AB111-Debt!AB110+Tax!AB13</f>
        <v>22.7905683036069</v>
      </c>
      <c r="AC9" s="11" t="n">
        <f aca="false">Debt!AC119+Debt!AC117+Debt!AC111-Debt!AC110+Tax!AC13</f>
        <v>21.6248142506627</v>
      </c>
      <c r="AD9" s="11" t="n">
        <f aca="false">Debt!AD119+Debt!AD117+Debt!AD111-Debt!AD110+Tax!AD13</f>
        <v>20.8657237800956</v>
      </c>
      <c r="AE9" s="11" t="n">
        <f aca="false">Debt!AE119+Debt!AE117+Debt!AE111-Debt!AE110+Tax!AE13</f>
        <v>19.4940058548581</v>
      </c>
      <c r="AF9" s="11" t="n">
        <f aca="false">Debt!AF119+Debt!AF117+Debt!AF111-Debt!AF110+Tax!AF13</f>
        <v>18.574605363698</v>
      </c>
      <c r="AG9" s="11" t="n">
        <f aca="false">Debt!AG119+Debt!AG117+Debt!AG111-Debt!AG110+Tax!AG13</f>
        <v>17.3106908047283</v>
      </c>
      <c r="AH9" s="11" t="n">
        <f aca="false">Debt!AH119+Debt!AH117+Debt!AH111-Debt!AH110+Tax!AH13</f>
        <v>16.2484923523794</v>
      </c>
      <c r="AI9" s="11" t="n">
        <f aca="false">Debt!AI119+Debt!AI117+Debt!AI111-Debt!AI110+Tax!AI13</f>
        <v>14.6484566094449</v>
      </c>
      <c r="AJ9" s="11" t="n">
        <f aca="false">Debt!AJ119+Debt!AJ117+Debt!AJ111-Debt!AJ110+Tax!AJ13</f>
        <v>13.4128785435058</v>
      </c>
      <c r="AK9" s="11" t="n">
        <f aca="false">Debt!AK119+Debt!AK117+Debt!AK111-Debt!AK110+Tax!AK13</f>
        <v>11.7601238102174</v>
      </c>
      <c r="AL9" s="11" t="n">
        <f aca="false">Debt!AL119+Debt!AL117+Debt!AL111-Debt!AL110+Tax!AL13</f>
        <v>10.2975326557295</v>
      </c>
      <c r="AM9" s="11" t="n">
        <f aca="false">Debt!AM119+Debt!AM117+Debt!AM111-Debt!AM110+Tax!AM13</f>
        <v>8.55062355231829</v>
      </c>
      <c r="AN9" s="11" t="n">
        <f aca="false">Debt!AN119+Debt!AN117+Debt!AN111-Debt!AN110+Tax!AN13</f>
        <v>6.88390229111262</v>
      </c>
      <c r="AO9" s="11" t="n">
        <f aca="false">Debt!AO119+Debt!AO117+Debt!AO111-Debt!AO110+Tax!AO13</f>
        <v>5.14735529831411</v>
      </c>
      <c r="AP9" s="11" t="n">
        <f aca="false">Debt!AP119+Debt!AP117+Debt!AP111-Debt!AP110+Tax!AP13</f>
        <v>2.61642819912515</v>
      </c>
      <c r="AQ9" s="11" t="n">
        <f aca="false">Debt!AQ119+Debt!AQ117+Debt!AQ111-Debt!AQ110+Tax!AQ13</f>
        <v>0.759741329509507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-49.3729850442584</v>
      </c>
      <c r="Z12" s="11" t="n">
        <f aca="false">IF(Time!Z17&gt;=Time!$F$11,Inputs!$F$181/100*(Z11-Z10-Tax!Z21),0)</f>
        <v>-46.6919547403179</v>
      </c>
      <c r="AA12" s="11" t="n">
        <f aca="false">IF(Time!AA17&gt;=Time!$F$11,Inputs!$F$181/100*(AA11-AA10-Tax!AA21),0)</f>
        <v>-43.6370060789334</v>
      </c>
      <c r="AB12" s="11" t="n">
        <f aca="false">IF(Time!AB17&gt;=Time!$F$11,Inputs!$F$181/100*(AB11-AB10-Tax!AB21),0)</f>
        <v>-40.3868413860145</v>
      </c>
      <c r="AC12" s="11" t="n">
        <f aca="false">IF(Time!AC17&gt;=Time!$F$11,Inputs!$F$181/100*(AC11-AC10-Tax!AC21),0)</f>
        <v>-36.7231323345364</v>
      </c>
      <c r="AD12" s="11" t="n">
        <f aca="false">IF(Time!AD17&gt;=Time!$F$11,Inputs!$F$181/100*(AD11-AD10-Tax!AD21),0)</f>
        <v>-35.7191084717197</v>
      </c>
      <c r="AE12" s="11" t="n">
        <f aca="false">IF(Time!AE17&gt;=Time!$F$11,Inputs!$F$181/100*(AE11-AE10-Tax!AE21),0)</f>
        <v>-32.1495256768478</v>
      </c>
      <c r="AF12" s="11" t="n">
        <f aca="false">IF(Time!AF17&gt;=Time!$F$11,Inputs!$F$181/100*(AF11-AF10-Tax!AF21),0)</f>
        <v>-27.5111324235758</v>
      </c>
      <c r="AG12" s="11" t="n">
        <f aca="false">IF(Time!AG17&gt;=Time!$F$11,Inputs!$F$181/100*(AG11-AG10-Tax!AG21),0)</f>
        <v>-22.460190402065</v>
      </c>
      <c r="AH12" s="11" t="n">
        <f aca="false">IF(Time!AH17&gt;=Time!$F$11,Inputs!$F$181/100*(AH11-AH10-Tax!AH21),0)</f>
        <v>-17.0387254770389</v>
      </c>
      <c r="AI12" s="11" t="n">
        <f aca="false">IF(Time!AI17&gt;=Time!$F$11,Inputs!$F$181/100*(AI11-AI10-Tax!AI21),0)</f>
        <v>-11.1175445492474</v>
      </c>
      <c r="AJ12" s="11" t="n">
        <f aca="false">IF(Time!AJ17&gt;=Time!$F$11,Inputs!$F$181/100*(AJ11-AJ10-Tax!AJ21),0)</f>
        <v>-4.80217915398697</v>
      </c>
      <c r="AK12" s="11" t="n">
        <f aca="false">IF(Time!AK17&gt;=Time!$F$11,Inputs!$F$181/100*(AK11-AK10-Tax!AK21),0)</f>
        <v>2.06290425718871</v>
      </c>
      <c r="AL12" s="11" t="n">
        <f aca="false">IF(Time!AL17&gt;=Time!$F$11,Inputs!$F$181/100*(AL11-AL10-Tax!AL21),0)</f>
        <v>8.56818402313215</v>
      </c>
      <c r="AM12" s="11" t="n">
        <f aca="false">IF(Time!AM17&gt;=Time!$F$11,Inputs!$F$181/100*(AM11-AM10-Tax!AM21),0)</f>
        <v>16.4908300722707</v>
      </c>
      <c r="AN12" s="11" t="n">
        <f aca="false">IF(Time!AN17&gt;=Time!$F$11,Inputs!$F$181/100*(AN11-AN10-Tax!AN21),0)</f>
        <v>24.8985640294432</v>
      </c>
      <c r="AO12" s="11" t="n">
        <f aca="false">IF(Time!AO17&gt;=Time!$F$11,Inputs!$F$181/100*(AO11-AO10-Tax!AO21),0)</f>
        <v>33.8633418463599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-5.02011931408369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-2.51853811281066</v>
      </c>
      <c r="Z13" s="11" t="n">
        <f aca="false">Z12-Y12</f>
        <v>2.68103030394046</v>
      </c>
      <c r="AA13" s="11" t="n">
        <f aca="false">AA12-Z12</f>
        <v>3.0549486613845</v>
      </c>
      <c r="AB13" s="11" t="n">
        <f aca="false">AB12-AA12</f>
        <v>3.25016469291884</v>
      </c>
      <c r="AC13" s="11" t="n">
        <f aca="false">AC12-AB12</f>
        <v>3.66370905147814</v>
      </c>
      <c r="AD13" s="11" t="n">
        <f aca="false">AD12-AC12</f>
        <v>1.00402386281673</v>
      </c>
      <c r="AE13" s="11" t="n">
        <f aca="false">AE12-AD12</f>
        <v>3.56958279487193</v>
      </c>
      <c r="AF13" s="11" t="n">
        <f aca="false">AF12-AE12</f>
        <v>4.63839325327195</v>
      </c>
      <c r="AG13" s="11" t="n">
        <f aca="false">AG12-AF12</f>
        <v>5.05094202151076</v>
      </c>
      <c r="AH13" s="11" t="n">
        <f aca="false">AH12-AG12</f>
        <v>5.42146492502616</v>
      </c>
      <c r="AI13" s="11" t="n">
        <f aca="false">AI12-AH12</f>
        <v>5.92118092779145</v>
      </c>
      <c r="AJ13" s="11" t="n">
        <f aca="false">AJ12-AI12</f>
        <v>6.31536539526046</v>
      </c>
      <c r="AK13" s="11" t="n">
        <f aca="false">AK12-AJ12</f>
        <v>6.86508341117568</v>
      </c>
      <c r="AL13" s="11" t="n">
        <f aca="false">AL12-AK12</f>
        <v>6.50527976594345</v>
      </c>
      <c r="AM13" s="11" t="n">
        <f aca="false">AM12-AL12</f>
        <v>7.9226460491385</v>
      </c>
      <c r="AN13" s="11" t="n">
        <f aca="false">AN12-AM12</f>
        <v>8.40773395717251</v>
      </c>
      <c r="AO13" s="11" t="n">
        <f aca="false">AO12-AN12</f>
        <v>8.96477781691675</v>
      </c>
      <c r="AP13" s="11" t="n">
        <f aca="false">AP12-AO12</f>
        <v>1.11015604175641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855.865297409457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9.26406911414573</v>
      </c>
      <c r="P14" s="11" t="n">
        <f aca="false">Operations!P79-P8-P9-Tax!P27-P13</f>
        <v>5.83824234452247</v>
      </c>
      <c r="Q14" s="11" t="n">
        <f aca="false">Operations!Q79-Q8-Q9-Tax!Q27-Q13</f>
        <v>7.08872336173265</v>
      </c>
      <c r="R14" s="11" t="n">
        <f aca="false">Operations!R79-R8-R9-Tax!R27-R13</f>
        <v>7.48795336540503</v>
      </c>
      <c r="S14" s="11" t="n">
        <f aca="false">Operations!S79-S8-S9-Tax!S27-S13</f>
        <v>8.60204602508713</v>
      </c>
      <c r="T14" s="11" t="n">
        <f aca="false">Operations!T79-T8-T9-Tax!T27-T13</f>
        <v>8.98384512006423</v>
      </c>
      <c r="U14" s="11" t="n">
        <f aca="false">Operations!U79-U8-U9-Tax!U27-U13</f>
        <v>10.1135161627278</v>
      </c>
      <c r="V14" s="11" t="n">
        <f aca="false">Operations!V79-V8-V9-Tax!V27-V13</f>
        <v>8.36491361922595</v>
      </c>
      <c r="W14" s="11" t="n">
        <f aca="false">Operations!W79-W8-W9-Tax!W27-W13</f>
        <v>12.0346092430641</v>
      </c>
      <c r="X14" s="11" t="n">
        <f aca="false">Operations!X79-X8-X9-Tax!X27-X13</f>
        <v>12.5590804621439</v>
      </c>
      <c r="Y14" s="11" t="n">
        <f aca="false">Operations!Y79-Y8-Y9-Tax!Y27-Y13</f>
        <v>10.6825732426749</v>
      </c>
      <c r="Z14" s="11" t="n">
        <f aca="false">Operations!Z79-Z8-Z9-Tax!Z27-Z13</f>
        <v>5.90024584118751</v>
      </c>
      <c r="AA14" s="11" t="n">
        <f aca="false">Operations!AA79-AA8-AA9-Tax!AA27-AA13</f>
        <v>6.77094698262462</v>
      </c>
      <c r="AB14" s="11" t="n">
        <f aca="false">Operations!AB79-AB8-AB9-Tax!AB27-AB13</f>
        <v>7.2245179319791</v>
      </c>
      <c r="AC14" s="11" t="n">
        <f aca="false">Operations!AC79-AC8-AC9-Tax!AC27-AC13</f>
        <v>8.18856505296913</v>
      </c>
      <c r="AD14" s="11" t="n">
        <f aca="false">Operations!AD79-AD8-AD9-Tax!AD27-AD13</f>
        <v>-0.797511629163006</v>
      </c>
      <c r="AE14" s="11" t="n">
        <f aca="false">Operations!AE79-AE8-AE9-Tax!AE27-AE13</f>
        <v>10.7509990353462</v>
      </c>
      <c r="AF14" s="11" t="n">
        <f aca="false">Operations!AF79-AF8-AF9-Tax!AF27-AF13</f>
        <v>10.4568962721461</v>
      </c>
      <c r="AG14" s="11" t="n">
        <f aca="false">Operations!AG79-AG8-AG9-Tax!AG27-AG13</f>
        <v>11.4179035819104</v>
      </c>
      <c r="AH14" s="11" t="n">
        <f aca="false">Operations!AH79-AH8-AH9-Tax!AH27-AH13</f>
        <v>12.2809810749641</v>
      </c>
      <c r="AI14" s="11" t="n">
        <f aca="false">Operations!AI79-AI8-AI9-Tax!AI27-AI13</f>
        <v>13.445052540926</v>
      </c>
      <c r="AJ14" s="11" t="n">
        <f aca="false">Operations!AJ79-AJ8-AJ9-Tax!AJ27-AJ13</f>
        <v>14.362712244154</v>
      </c>
      <c r="AK14" s="11" t="n">
        <f aca="false">Operations!AK79-AK8-AK9-Tax!AK27-AK13</f>
        <v>15.6440963527128</v>
      </c>
      <c r="AL14" s="11" t="n">
        <f aca="false">Operations!AL79-AL8-AL9-Tax!AL27-AL13</f>
        <v>14.8037964849279</v>
      </c>
      <c r="AM14" s="11" t="n">
        <f aca="false">Operations!AM79-AM8-AM9-Tax!AM27-AM13</f>
        <v>18.1085864314673</v>
      </c>
      <c r="AN14" s="11" t="n">
        <f aca="false">Operations!AN79-AN8-AN9-Tax!AN27-AN13</f>
        <v>19.2374761778012</v>
      </c>
      <c r="AO14" s="11" t="n">
        <f aca="false">Operations!AO79-AO8-AO9-Tax!AO27-AO13</f>
        <v>20.5354948879336</v>
      </c>
      <c r="AP14" s="11" t="n">
        <f aca="false">Operations!AP79-AP8-AP9-Tax!AP27-AP13</f>
        <v>22.8217600005567</v>
      </c>
      <c r="AQ14" s="11" t="n">
        <f aca="false">Operations!AQ79-AQ8-AQ9-Tax!AQ27-AQ13</f>
        <v>24.1703635818122</v>
      </c>
      <c r="AR14" s="11" t="n">
        <f aca="false">Operations!AR79-AR8-AR9-Tax!AR27-AR13</f>
        <v>24.761374836308</v>
      </c>
      <c r="AS14" s="11" t="n">
        <f aca="false">Operations!AS79-AS8-AS9-Tax!AS27-AS13</f>
        <v>24.9392296483269</v>
      </c>
      <c r="AT14" s="11" t="n">
        <f aca="false">Operations!AT79-AT8-AT9-Tax!AT27-AT13</f>
        <v>14.6834207243541</v>
      </c>
      <c r="AU14" s="11" t="n">
        <f aca="false">Operations!AU79-AU8-AU9-Tax!AU27-AU13</f>
        <v>25.2228648524181</v>
      </c>
      <c r="AV14" s="11" t="n">
        <f aca="false">Operations!AV79-AV8-AV9-Tax!AV27-AV13</f>
        <v>25.0991844012637</v>
      </c>
      <c r="AW14" s="11" t="n">
        <f aca="false">Operations!AW79-AW8-AW9-Tax!AW27-AW13</f>
        <v>25.190211498097</v>
      </c>
      <c r="AX14" s="11" t="n">
        <f aca="false">Operations!AX79-AX8-AX9-Tax!AX27-AX13</f>
        <v>25.3348280328685</v>
      </c>
      <c r="AY14" s="11" t="n">
        <f aca="false">Operations!AY79-AY8-AY9-Tax!AY27-AY13</f>
        <v>25.3868847233425</v>
      </c>
      <c r="AZ14" s="11" t="n">
        <f aca="false">Operations!AZ79-AZ8-AZ9-Tax!AZ27-AZ13</f>
        <v>25.4507530800953</v>
      </c>
      <c r="BA14" s="11" t="n">
        <f aca="false">Operations!BA79-BA8-BA9-Tax!BA27-BA13</f>
        <v>25.6000180955723</v>
      </c>
      <c r="BB14" s="11" t="n">
        <f aca="false">Operations!BB79-BB8-BB9-Tax!BB27-BB13</f>
        <v>23.3855483926107</v>
      </c>
      <c r="BC14" s="11" t="n">
        <f aca="false">Operations!BC79-BC8-BC9-Tax!BC27-BC13</f>
        <v>25.8622469843396</v>
      </c>
      <c r="BD14" s="11" t="n">
        <f aca="false">Operations!BD79-BD8-BD9-Tax!BD27-BD13</f>
        <v>25.8166507395775</v>
      </c>
      <c r="BE14" s="11" t="n">
        <f aca="false">Operations!BE79-BE8-BE9-Tax!BE27-BE13</f>
        <v>25.9150929407623</v>
      </c>
      <c r="BF14" s="11" t="n">
        <f aca="false">Operations!BF79-BF8-BF9-Tax!BF27-BF13</f>
        <v>26.073163439819</v>
      </c>
      <c r="BG14" s="11" t="n">
        <f aca="false">Operations!BG79-BG8-BG9-Tax!BG27-BG13</f>
        <v>26.128556900855</v>
      </c>
      <c r="BH14" s="11" t="n">
        <f aca="false">Operations!BH79-BH8-BH9-Tax!BH27-BH13</f>
        <v>26.1974712107649</v>
      </c>
      <c r="BI14" s="11" t="n">
        <f aca="false">Operations!BI79-BI8-BI9-Tax!BI27-BI13</f>
        <v>26.4098975995001</v>
      </c>
      <c r="BJ14" s="11" t="n">
        <f aca="false">Operations!BJ79-BJ8-BJ9-Tax!BJ27-BJ13</f>
        <v>14.2871053184702</v>
      </c>
      <c r="BK14" s="11" t="n">
        <f aca="false">Operations!BK79-BK8-BK9-Tax!BK27-BK13</f>
        <v>26.7478195544176</v>
      </c>
      <c r="BL14" s="11" t="n">
        <f aca="false">Operations!BL79-BL8-BL9-Tax!BL27-BL13</f>
        <v>26.5938333100163</v>
      </c>
      <c r="BM14" s="11" t="n">
        <f aca="false">Operations!BM79-BM8-BM9-Tax!BM27-BM13</f>
        <v>4.43668621862782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38.9791174518744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38.4573216925877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38.5821173999215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46.1666165256366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48.8384996803163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36.3832835141262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35.5989544710657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34.7882800143618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34.4855798583354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33.3426686602815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32.4059237766356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30.5990593463905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28.6611038681951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39.1198418793754</v>
      </c>
      <c r="P18" s="11" t="n">
        <f aca="false">Operations!P83+Operations!P84</f>
        <v>38.9912337821804</v>
      </c>
      <c r="Q18" s="11" t="n">
        <f aca="false">Operations!Q83+Operations!Q84</f>
        <v>40.0244758100501</v>
      </c>
      <c r="R18" s="11" t="n">
        <f aca="false">Operations!R83+Operations!R84</f>
        <v>39.3470009405197</v>
      </c>
      <c r="S18" s="11" t="n">
        <f aca="false">Operations!S83+Operations!S84</f>
        <v>40.5342527014116</v>
      </c>
      <c r="T18" s="11" t="n">
        <f aca="false">Operations!T83+Operations!T84</f>
        <v>40.1322584109883</v>
      </c>
      <c r="U18" s="11" t="n">
        <f aca="false">Operations!U83+Operations!U84</f>
        <v>40.8024958379061</v>
      </c>
      <c r="V18" s="11" t="n">
        <f aca="false">Operations!V83+Operations!V84</f>
        <v>39.946353543134</v>
      </c>
      <c r="W18" s="11" t="n">
        <f aca="false">Operations!W83+Operations!W84</f>
        <v>41.3460210905087</v>
      </c>
      <c r="X18" s="11" t="n">
        <f aca="false">Operations!X83+Operations!X84</f>
        <v>41.318199541015</v>
      </c>
      <c r="Y18" s="11" t="n">
        <f aca="false">Operations!Y83+Operations!Y84</f>
        <v>42.421479052218</v>
      </c>
      <c r="Z18" s="11" t="n">
        <f aca="false">Operations!Z83+Operations!Z84</f>
        <v>41.7025851982109</v>
      </c>
      <c r="AA18" s="11" t="n">
        <f aca="false">Operations!AA83+Operations!AA84</f>
        <v>42.9722062047435</v>
      </c>
      <c r="AB18" s="11" t="n">
        <f aca="false">Operations!AB83+Operations!AB84</f>
        <v>42.5508277759093</v>
      </c>
      <c r="AC18" s="11" t="n">
        <f aca="false">Operations!AC83+Operations!AC84</f>
        <v>43.0992362189108</v>
      </c>
      <c r="AD18" s="11" t="n">
        <f aca="false">Operations!AD83+Operations!AD84</f>
        <v>41.6293365149017</v>
      </c>
      <c r="AE18" s="11" t="n">
        <f aca="false">Operations!AE83+Operations!AE84</f>
        <v>43.5069774898148</v>
      </c>
      <c r="AF18" s="11" t="n">
        <f aca="false">Operations!AF83+Operations!AF84</f>
        <v>43.8319835223403</v>
      </c>
      <c r="AG18" s="11" t="n">
        <f aca="false">Operations!AG83+Operations!AG84</f>
        <v>45.0109420562652</v>
      </c>
      <c r="AH18" s="11" t="n">
        <f aca="false">Operations!AH83+Operations!AH84</f>
        <v>44.2473046562049</v>
      </c>
      <c r="AI18" s="11" t="n">
        <f aca="false">Operations!AI83+Operations!AI84</f>
        <v>45.6059172953042</v>
      </c>
      <c r="AJ18" s="11" t="n">
        <f aca="false">Operations!AJ83+Operations!AJ84</f>
        <v>45.1635797391603</v>
      </c>
      <c r="AK18" s="11" t="n">
        <f aca="false">Operations!AK83+Operations!AK84</f>
        <v>45.9277296647618</v>
      </c>
      <c r="AL18" s="11" t="n">
        <f aca="false">Operations!AL83+Operations!AL84</f>
        <v>44.9471671092985</v>
      </c>
      <c r="AM18" s="11" t="n">
        <f aca="false">Operations!AM83+Operations!AM84</f>
        <v>46.5535691179628</v>
      </c>
      <c r="AN18" s="11" t="n">
        <f aca="false">Operations!AN83+Operations!AN84</f>
        <v>46.5476047946416</v>
      </c>
      <c r="AO18" s="11" t="n">
        <f aca="false">Operations!AO83+Operations!AO84</f>
        <v>47.8083374839125</v>
      </c>
      <c r="AP18" s="11" t="n">
        <f aca="false">Operations!AP83+Operations!AP84</f>
        <v>46.9963668640704</v>
      </c>
      <c r="AQ18" s="11" t="n">
        <f aca="false">Operations!AQ83+Operations!AQ84</f>
        <v>48.4511245120663</v>
      </c>
      <c r="AR18" s="11" t="n">
        <f aca="false">Operations!AR83+Operations!AR84</f>
        <v>47.9861254360233</v>
      </c>
      <c r="AS18" s="11" t="n">
        <f aca="false">Operations!AS83+Operations!AS84</f>
        <v>48.608258121766</v>
      </c>
      <c r="AT18" s="11" t="n">
        <f aca="false">Operations!AT83+Operations!AT84</f>
        <v>46.9338294103213</v>
      </c>
      <c r="AU18" s="11" t="n">
        <f aca="false">Operations!AU83+Operations!AU84</f>
        <v>49.075876271294</v>
      </c>
      <c r="AV18" s="11" t="n">
        <f aca="false">Operations!AV83+Operations!AV84</f>
        <v>49.4812898757709</v>
      </c>
      <c r="AW18" s="11" t="n">
        <f aca="false">Operations!AW83+Operations!AW84</f>
        <v>50.8303818152435</v>
      </c>
      <c r="AX18" s="11" t="n">
        <f aca="false">Operations!AX83+Operations!AX84</f>
        <v>49.966202207206</v>
      </c>
      <c r="AY18" s="11" t="n">
        <f aca="false">Operations!AY83+Operations!AY84</f>
        <v>51.5248316479345</v>
      </c>
      <c r="AZ18" s="11" t="n">
        <f aca="false">Operations!AZ83+Operations!AZ84</f>
        <v>51.0353309991242</v>
      </c>
      <c r="BA18" s="11" t="n">
        <f aca="false">Operations!BA83+Operations!BA84</f>
        <v>51.9091383046691</v>
      </c>
      <c r="BB18" s="11" t="n">
        <f aca="false">Operations!BB83+Operations!BB84</f>
        <v>50.7835987075682</v>
      </c>
      <c r="BC18" s="11" t="n">
        <f aca="false">Operations!BC83+Operations!BC84</f>
        <v>52.6312406478686</v>
      </c>
      <c r="BD18" s="11" t="n">
        <f aca="false">Operations!BD83+Operations!BD84</f>
        <v>52.6505696976884</v>
      </c>
      <c r="BE18" s="11" t="n">
        <f aca="false">Operations!BE83+Operations!BE84</f>
        <v>54.0951352190242</v>
      </c>
      <c r="BF18" s="11" t="n">
        <f aca="false">Operations!BF83+Operations!BF84</f>
        <v>53.1745621309255</v>
      </c>
      <c r="BG18" s="11" t="n">
        <f aca="false">Operations!BG83+Operations!BG84</f>
        <v>54.8454093467476</v>
      </c>
      <c r="BH18" s="11" t="n">
        <f aca="false">Operations!BH83+Operations!BH84</f>
        <v>54.3294183340049</v>
      </c>
      <c r="BI18" s="11" t="n">
        <f aca="false">Operations!BI83+Operations!BI84</f>
        <v>55.0377129523275</v>
      </c>
      <c r="BJ18" s="11" t="n">
        <f aca="false">Operations!BJ83+Operations!BJ84</f>
        <v>53.1246079233683</v>
      </c>
      <c r="BK18" s="11" t="n">
        <f aca="false">Operations!BK83+Operations!BK84</f>
        <v>55.5754929853254</v>
      </c>
      <c r="BL18" s="11" t="n">
        <f aca="false">Operations!BL83+Operations!BL84</f>
        <v>56.0743843422375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49.3729850442584</v>
      </c>
      <c r="Z20" s="11" t="n">
        <f aca="false">MAX(0,-Z12)</f>
        <v>46.6919547403179</v>
      </c>
      <c r="AA20" s="11" t="n">
        <f aca="false">MAX(0,-AA12)</f>
        <v>43.6370060789334</v>
      </c>
      <c r="AB20" s="11" t="n">
        <f aca="false">MAX(0,-AB12)</f>
        <v>40.3868413860145</v>
      </c>
      <c r="AC20" s="11" t="n">
        <f aca="false">MAX(0,-AC12)</f>
        <v>36.7231323345364</v>
      </c>
      <c r="AD20" s="11" t="n">
        <f aca="false">MAX(0,-AD12)</f>
        <v>35.7191084717197</v>
      </c>
      <c r="AE20" s="11" t="n">
        <f aca="false">MAX(0,-AE12)</f>
        <v>32.1495256768478</v>
      </c>
      <c r="AF20" s="11" t="n">
        <f aca="false">MAX(0,-AF12)</f>
        <v>27.5111324235758</v>
      </c>
      <c r="AG20" s="11" t="n">
        <f aca="false">MAX(0,-AG12)</f>
        <v>22.460190402065</v>
      </c>
      <c r="AH20" s="11" t="n">
        <f aca="false">MAX(0,-AH12)</f>
        <v>17.0387254770389</v>
      </c>
      <c r="AI20" s="11" t="n">
        <f aca="false">MAX(0,-AI12)</f>
        <v>11.1175445492474</v>
      </c>
      <c r="AJ20" s="11" t="n">
        <f aca="false">MAX(0,-AJ12)</f>
        <v>4.80217915398697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916.230974434243</v>
      </c>
      <c r="P21" s="11" t="n">
        <f aca="false">P16+P17+P18+P19+P20</f>
        <v>902.982921909912</v>
      </c>
      <c r="Q21" s="11" t="n">
        <f aca="false">Q16+Q17+Q18+Q19+Q20</f>
        <v>893.186589139907</v>
      </c>
      <c r="R21" s="11" t="n">
        <f aca="false">R16+R17+R18+R19+R20</f>
        <v>880.920298244849</v>
      </c>
      <c r="S21" s="11" t="n">
        <f aca="false">S16+S17+S18+S19+S20</f>
        <v>871.228111864524</v>
      </c>
      <c r="T21" s="11" t="n">
        <f aca="false">T16+T17+T18+T19+T20</f>
        <v>859.348249116799</v>
      </c>
      <c r="U21" s="11" t="n">
        <f aca="false">U16+U17+U18+U19+U20</f>
        <v>849.438370593615</v>
      </c>
      <c r="V21" s="11" t="n">
        <f aca="false">V16+V17+V18+V19+V20</f>
        <v>834.106313941964</v>
      </c>
      <c r="W21" s="11" t="n">
        <f aca="false">W16+W17+W18+W19+W20</f>
        <v>822.695937405196</v>
      </c>
      <c r="X21" s="11" t="n">
        <f aca="false">X16+X17+X18+X19+X20</f>
        <v>812.57084363643</v>
      </c>
      <c r="Y21" s="11" t="n">
        <f aca="false">Y16+Y17+Y18+Y19+Y20</f>
        <v>801.7326438211</v>
      </c>
      <c r="Z21" s="11" t="n">
        <f aca="false">Z16+Z17+Z18+Z19+Z20</f>
        <v>783.274655406181</v>
      </c>
      <c r="AA21" s="11" t="n">
        <f aca="false">AA16+AA17+AA18+AA19+AA20</f>
        <v>767.158800525138</v>
      </c>
      <c r="AB21" s="11" t="n">
        <f aca="false">AB16+AB17+AB18+AB19+AB20</f>
        <v>748.024424075566</v>
      </c>
      <c r="AC21" s="11" t="n">
        <f aca="false">AC16+AC17+AC18+AC19+AC20</f>
        <v>730.847275574824</v>
      </c>
      <c r="AD21" s="11" t="n">
        <f aca="false">AD16+AD17+AD18+AD19+AD20</f>
        <v>699.184404794862</v>
      </c>
      <c r="AE21" s="11" t="n">
        <f aca="false">AE16+AE17+AE18+AE19+AE20</f>
        <v>679.974402884897</v>
      </c>
      <c r="AF21" s="11" t="n">
        <f aca="false">AF16+AF17+AF18+AF19+AF20</f>
        <v>658.116610160501</v>
      </c>
      <c r="AG21" s="11" t="n">
        <f aca="false">AG16+AG17+AG18+AG19+AG20</f>
        <v>637.208195469943</v>
      </c>
      <c r="AH21" s="11" t="n">
        <f aca="false">AH16+AH17+AH18+AH19+AH20</f>
        <v>613.146450899857</v>
      </c>
      <c r="AI21" s="11" t="n">
        <f aca="false">AI16+AI17+AI18+AI19+AI20</f>
        <v>590.913406680574</v>
      </c>
      <c r="AJ21" s="11" t="n">
        <f aca="false">AJ16+AJ17+AJ18+AJ19+AJ20</f>
        <v>565.615108251979</v>
      </c>
      <c r="AK21" s="11" t="n">
        <f aca="false">AK16+AK17+AK18+AK19+AK20</f>
        <v>542.905392498452</v>
      </c>
      <c r="AL21" s="11" t="n">
        <f aca="false">AL16+AL17+AL18+AL19+AL20</f>
        <v>520.099286881126</v>
      </c>
      <c r="AM21" s="11" t="n">
        <f aca="false">AM16+AM17+AM18+AM19+AM20</f>
        <v>500.534683244431</v>
      </c>
      <c r="AN21" s="11" t="n">
        <f aca="false">AN16+AN17+AN18+AN19+AN20</f>
        <v>485.916767452395</v>
      </c>
      <c r="AO21" s="11" t="n">
        <f aca="false">AO16+AO17+AO18+AO19+AO20</f>
        <v>453.885750432599</v>
      </c>
      <c r="AP21" s="11" t="n">
        <f aca="false">AP16+AP17+AP18+AP19+AP20</f>
        <v>438.687937851299</v>
      </c>
      <c r="AQ21" s="11" t="n">
        <f aca="false">AQ16+AQ17+AQ18+AQ19+AQ20</f>
        <v>425.756853537836</v>
      </c>
      <c r="AR21" s="11" t="n">
        <f aca="false">AR16+AR17+AR18+AR19+AR20</f>
        <v>410.906012500334</v>
      </c>
      <c r="AS21" s="11" t="n">
        <f aca="false">AS16+AS17+AS18+AS19+AS20</f>
        <v>397.142303224618</v>
      </c>
      <c r="AT21" s="11" t="n">
        <f aca="false">AT16+AT17+AT18+AT19+AT20</f>
        <v>364.646808953306</v>
      </c>
      <c r="AU21" s="11" t="n">
        <f aca="false">AU16+AU17+AU18+AU19+AU20</f>
        <v>350.055124767333</v>
      </c>
      <c r="AV21" s="11" t="n">
        <f aca="false">AV16+AV17+AV18+AV19+AV20</f>
        <v>334.316448325788</v>
      </c>
      <c r="AW21" s="11" t="n">
        <f aca="false">AW16+AW17+AW18+AW19+AW20</f>
        <v>319.521450219238</v>
      </c>
      <c r="AX21" s="11" t="n">
        <f aca="false">AX16+AX17+AX18+AX19+AX20</f>
        <v>302.513180565178</v>
      </c>
      <c r="AY21" s="11" t="n">
        <f aca="false">AY16+AY17+AY18+AY19+AY20</f>
        <v>287.927719959885</v>
      </c>
      <c r="AZ21" s="11" t="n">
        <f aca="false">AZ16+AZ17+AZ18+AZ19+AZ20</f>
        <v>271.294129265052</v>
      </c>
      <c r="BA21" s="11" t="n">
        <f aca="false">BA16+BA17+BA18+BA19+BA20</f>
        <v>256.518814911184</v>
      </c>
      <c r="BB21" s="11" t="n">
        <f aca="false">BB16+BB17+BB18+BB19+BB20</f>
        <v>236.622848516241</v>
      </c>
      <c r="BC21" s="11" t="n">
        <f aca="false">BC16+BC17+BC18+BC19+BC20</f>
        <v>223.254332482938</v>
      </c>
      <c r="BD21" s="11" t="n">
        <f aca="false">BD16+BD17+BD18+BD19+BD20</f>
        <v>210.868481407172</v>
      </c>
      <c r="BE21" s="11" t="n">
        <f aca="false">BE16+BE17+BE18+BE19+BE20</f>
        <v>199.924650923631</v>
      </c>
      <c r="BF21" s="11" t="n">
        <f aca="false">BF16+BF17+BF18+BF19+BF20</f>
        <v>186.632649572272</v>
      </c>
      <c r="BG21" s="11" t="n">
        <f aca="false">BG16+BG17+BG18+BG19+BG20</f>
        <v>175.949221896198</v>
      </c>
      <c r="BH21" s="11" t="n">
        <f aca="false">BH16+BH17+BH18+BH19+BH20</f>
        <v>163.096297023491</v>
      </c>
      <c r="BI21" s="11" t="n">
        <f aca="false">BI16+BI17+BI18+BI19+BI20</f>
        <v>151.485188527384</v>
      </c>
      <c r="BJ21" s="11" t="n">
        <f aca="false">BJ16+BJ17+BJ18+BJ19+BJ20</f>
        <v>117.709775390839</v>
      </c>
      <c r="BK21" s="11" t="n">
        <f aca="false">BK16+BK17+BK18+BK19+BK20</f>
        <v>105.082520933825</v>
      </c>
      <c r="BL21" s="11" t="n">
        <f aca="false">BL16+BL17+BL18+BL19+BL20</f>
        <v>90.5213852021622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401.447192612483</v>
      </c>
      <c r="AB22" s="11" t="n">
        <f aca="false">IF(Time!AB17&lt;Time!$F$11,SUMIFS(Funding!$J$73:$BJ$73,Construction!$J$12:$BJ$12,"&lt;="&amp;Time!AB17),Debt!AB123)</f>
        <v>372.931936810075</v>
      </c>
      <c r="AC22" s="11" t="n">
        <f aca="false">IF(Time!AC17&lt;Time!$F$11,SUMIFS(Funding!$J$73:$BJ$73,Construction!$J$12:$BJ$12,"&lt;="&amp;Time!AC17),Debt!AC123)</f>
        <v>344.443746136793</v>
      </c>
      <c r="AD22" s="11" t="n">
        <f aca="false">IF(Time!AD17&lt;Time!$F$11,SUMIFS(Funding!$J$73:$BJ$73,Construction!$J$12:$BJ$12,"&lt;="&amp;Time!AD17),Debt!AD123)</f>
        <v>312.993469430633</v>
      </c>
      <c r="AE22" s="11" t="n">
        <f aca="false">IF(Time!AE17&lt;Time!$F$11,SUMIFS(Funding!$J$73:$BJ$73,Construction!$J$12:$BJ$12,"&lt;="&amp;Time!AE17),Debt!AE123)</f>
        <v>280.536333951016</v>
      </c>
      <c r="AF22" s="11" t="n">
        <f aca="false">IF(Time!AF17&lt;Time!$F$11,SUMIFS(Funding!$J$73:$BJ$73,Construction!$J$12:$BJ$12,"&lt;="&amp;Time!AF17),Debt!AF123)</f>
        <v>247.124240100967</v>
      </c>
      <c r="AG22" s="11" t="n">
        <f aca="false">IF(Time!AG17&lt;Time!$F$11,SUMIFS(Funding!$J$73:$BJ$73,Construction!$J$12:$BJ$12,"&lt;="&amp;Time!AG17),Debt!AG123)</f>
        <v>213.776904717785</v>
      </c>
      <c r="AH22" s="11" t="n">
        <f aca="false">IF(Time!AH17&lt;Time!$F$11,SUMIFS(Funding!$J$73:$BJ$73,Construction!$J$12:$BJ$12,"&lt;="&amp;Time!AH17),Debt!AH123)</f>
        <v>178.963375652344</v>
      </c>
      <c r="AI22" s="11" t="n">
        <f aca="false">IF(Time!AI17&lt;Time!$F$11,SUMIFS(Funding!$J$73:$BJ$73,Construction!$J$12:$BJ$12,"&lt;="&amp;Time!AI17),Debt!AI123)</f>
        <v>144.071183747373</v>
      </c>
      <c r="AJ22" s="11" t="n">
        <f aca="false">IF(Time!AJ17&lt;Time!$F$11,SUMIFS(Funding!$J$73:$BJ$73,Construction!$J$12:$BJ$12,"&lt;="&amp;Time!AJ17),Debt!AJ123)</f>
        <v>108.105761439499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201.359927735114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199.865520652242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197.544800493776</v>
      </c>
      <c r="S23" s="11" t="n">
        <f aca="false">IF(Time!S17&lt;Time!$F$11,SUMIFS(Funding!$J$70:$BJ$70,Construction!$J$12:$BJ$12,"&lt;="&amp;Time!S17)+SUMIFS(Funding!$J$71:$BJ$71,Construction!$J$12:$BJ$12,"&lt;="&amp;Time!S17),Waterfall!S36)</f>
        <v>195.782222923386</v>
      </c>
      <c r="T23" s="11" t="n">
        <f aca="false">IF(Time!T17&lt;Time!$F$11,SUMIFS(Funding!$J$70:$BJ$70,Construction!$J$12:$BJ$12,"&lt;="&amp;Time!T17)+SUMIFS(Funding!$J$71:$BJ$71,Construction!$J$12:$BJ$12,"&lt;="&amp;Time!T17),Waterfall!T36)</f>
        <v>193.373924872067</v>
      </c>
      <c r="U23" s="11" t="n">
        <f aca="false">IF(Time!U17&lt;Time!$F$11,SUMIFS(Funding!$J$70:$BJ$70,Construction!$J$12:$BJ$12,"&lt;="&amp;Time!U17)+SUMIFS(Funding!$J$71:$BJ$71,Construction!$J$12:$BJ$12,"&lt;="&amp;Time!U17),Waterfall!U36)</f>
        <v>191.712302807615</v>
      </c>
      <c r="V23" s="11" t="n">
        <f aca="false">IF(Time!V17&lt;Time!$F$11,SUMIFS(Funding!$J$70:$BJ$70,Construction!$J$12:$BJ$12,"&lt;="&amp;Time!V17)+SUMIFS(Funding!$J$71:$BJ$71,Construction!$J$12:$BJ$12,"&lt;="&amp;Time!V17),Waterfall!V36)</f>
        <v>188.822238699269</v>
      </c>
      <c r="W23" s="11" t="n">
        <f aca="false">IF(Time!W17&lt;Time!$F$11,SUMIFS(Funding!$J$70:$BJ$70,Construction!$J$12:$BJ$12,"&lt;="&amp;Time!W17)+SUMIFS(Funding!$J$71:$BJ$71,Construction!$J$12:$BJ$12,"&lt;="&amp;Time!W17),Waterfall!W36)</f>
        <v>184.9254600248</v>
      </c>
      <c r="X23" s="11" t="n">
        <f aca="false">IF(Time!X17&lt;Time!$F$11,SUMIFS(Funding!$J$70:$BJ$70,Construction!$J$12:$BJ$12,"&lt;="&amp;Time!X17)+SUMIFS(Funding!$J$71:$BJ$71,Construction!$J$12:$BJ$12,"&lt;="&amp;Time!X17),Waterfall!X36)</f>
        <v>182.167145912043</v>
      </c>
      <c r="Y23" s="11" t="n">
        <f aca="false">IF(Time!Y17&lt;Time!$F$11,SUMIFS(Funding!$J$70:$BJ$70,Construction!$J$12:$BJ$12,"&lt;="&amp;Time!Y17)+SUMIFS(Funding!$J$71:$BJ$71,Construction!$J$12:$BJ$12,"&lt;="&amp;Time!Y17),Waterfall!Y36)</f>
        <v>179.933332929158</v>
      </c>
      <c r="Z23" s="11" t="n">
        <f aca="false">IF(Time!Z17&lt;Time!$F$11,SUMIFS(Funding!$J$70:$BJ$70,Construction!$J$12:$BJ$12,"&lt;="&amp;Time!Z17)+SUMIFS(Funding!$J$71:$BJ$71,Construction!$J$12:$BJ$12,"&lt;="&amp;Time!Z17),Waterfall!Z36)</f>
        <v>177.043266815478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180.052437055124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182.439507834634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185.232536591808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186.960578436751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188.097629219801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188.666881306326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188.806899660003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187.854061380477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186.007666170458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182.561481117526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169.634781611693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147.940889419289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123.026900459434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98.7081825364045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54.633655187682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16.1271058604809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24.482764193228</v>
      </c>
      <c r="P24" s="11" t="n">
        <f aca="false">Operations!P85+Operations!P86+Operations!P87+Operations!P88+Operations!P89</f>
        <v>24.3876684572712</v>
      </c>
      <c r="Q24" s="11" t="n">
        <f aca="false">Operations!Q85+Operations!Q86+Operations!Q87+Operations!Q88+Operations!Q89</f>
        <v>25.1422857379931</v>
      </c>
      <c r="R24" s="11" t="n">
        <f aca="false">Operations!R85+Operations!R86+Operations!R87+Operations!R88+Operations!R89</f>
        <v>24.6493229814259</v>
      </c>
      <c r="S24" s="11" t="n">
        <f aca="false">Operations!S85+Operations!S86+Operations!S87+Operations!S88+Operations!S89</f>
        <v>25.5574404287044</v>
      </c>
      <c r="T24" s="11" t="n">
        <f aca="false">Operations!T85+Operations!T86+Operations!T87+Operations!T88+Operations!T89</f>
        <v>25.3440261699955</v>
      </c>
      <c r="U24" s="11" t="n">
        <f aca="false">Operations!U85+Operations!U86+Operations!U87+Operations!U88+Operations!U89</f>
        <v>25.8060184581542</v>
      </c>
      <c r="V24" s="11" t="n">
        <f aca="false">Operations!V85+Operations!V86+Operations!V87+Operations!V88+Operations!V89</f>
        <v>25.0526204673686</v>
      </c>
      <c r="W24" s="11" t="n">
        <f aca="false">Operations!W85+Operations!W86+Operations!W87+Operations!W88+Operations!W89</f>
        <v>26.1709449711076</v>
      </c>
      <c r="X24" s="11" t="n">
        <f aca="false">Operations!X85+Operations!X86+Operations!X87+Operations!X88+Operations!X89</f>
        <v>26.3379603886898</v>
      </c>
      <c r="Y24" s="11" t="n">
        <f aca="false">Operations!Y85+Operations!Y86+Operations!Y87+Operations!Y88+Operations!Y89</f>
        <v>27.1533305413419</v>
      </c>
      <c r="Z24" s="11" t="n">
        <f aca="false">Operations!Z85+Operations!Z86+Operations!Z87+Operations!Z88+Operations!Z89</f>
        <v>26.6202910572169</v>
      </c>
      <c r="AA24" s="11" t="n">
        <f aca="false">Operations!AA85+Operations!AA86+Operations!AA87+Operations!AA88+Operations!AA89</f>
        <v>27.6016524561133</v>
      </c>
      <c r="AB24" s="11" t="n">
        <f aca="false">Operations!AB85+Operations!AB86+Operations!AB87+Operations!AB88+Operations!AB89</f>
        <v>27.3709430974602</v>
      </c>
      <c r="AC24" s="11" t="n">
        <f aca="false">Operations!AC85+Operations!AC86+Operations!AC87+Operations!AC88+Operations!AC89</f>
        <v>27.7003914598568</v>
      </c>
      <c r="AD24" s="11" t="n">
        <f aca="false">Operations!AD85+Operations!AD86+Operations!AD87+Operations!AD88+Operations!AD89</f>
        <v>26.5572671702758</v>
      </c>
      <c r="AE24" s="11" t="n">
        <f aca="false">Operations!AE85+Operations!AE86+Operations!AE87+Operations!AE88+Operations!AE89</f>
        <v>27.9163509215316</v>
      </c>
      <c r="AF24" s="11" t="n">
        <f aca="false">Operations!AF85+Operations!AF86+Operations!AF87+Operations!AF88+Operations!AF89</f>
        <v>28.4445036885129</v>
      </c>
      <c r="AG24" s="11" t="n">
        <f aca="false">Operations!AG85+Operations!AG86+Operations!AG87+Operations!AG88+Operations!AG89</f>
        <v>29.3255024455505</v>
      </c>
      <c r="AH24" s="11" t="n">
        <f aca="false">Operations!AH85+Operations!AH86+Operations!AH87+Operations!AH88+Operations!AH89</f>
        <v>28.7491441454671</v>
      </c>
      <c r="AI24" s="11" t="n">
        <f aca="false">Operations!AI85+Operations!AI86+Operations!AI87+Operations!AI88+Operations!AI89</f>
        <v>29.8096345002472</v>
      </c>
      <c r="AJ24" s="11" t="n">
        <f aca="false">Operations!AJ85+Operations!AJ86+Operations!AJ87+Operations!AJ88+Operations!AJ89</f>
        <v>29.5602311883047</v>
      </c>
      <c r="AK24" s="11" t="n">
        <f aca="false">Operations!AK85+Operations!AK86+Operations!AK87+Operations!AK88+Operations!AK89</f>
        <v>30.0989082330247</v>
      </c>
      <c r="AL24" s="11" t="n">
        <f aca="false">Operations!AL85+Operations!AL86+Operations!AL87+Operations!AL88+Operations!AL89</f>
        <v>29.2180051412059</v>
      </c>
      <c r="AM24" s="11" t="n">
        <f aca="false">Operations!AM85+Operations!AM86+Operations!AM87+Operations!AM88+Operations!AM89</f>
        <v>30.5242607876372</v>
      </c>
      <c r="AN24" s="11" t="n">
        <f aca="false">Operations!AN85+Operations!AN86+Operations!AN87+Operations!AN88+Operations!AN89</f>
        <v>30.719776569411</v>
      </c>
      <c r="AO24" s="11" t="n">
        <f aca="false">Operations!AO85+Operations!AO86+Operations!AO87+Operations!AO88+Operations!AO89</f>
        <v>31.6716685570648</v>
      </c>
      <c r="AP24" s="11" t="n">
        <f aca="false">Operations!AP85+Operations!AP86+Operations!AP87+Operations!AP88+Operations!AP89</f>
        <v>31.048489260652</v>
      </c>
      <c r="AQ24" s="11" t="n">
        <f aca="false">Operations!AQ85+Operations!AQ86+Operations!AQ87+Operations!AQ88+Operations!AQ89</f>
        <v>32.194463387635</v>
      </c>
      <c r="AR24" s="11" t="n">
        <f aca="false">Operations!AR85+Operations!AR86+Operations!AR87+Operations!AR88+Operations!AR89</f>
        <v>31.924855151384</v>
      </c>
      <c r="AS24" s="11" t="n">
        <f aca="false">Operations!AS85+Operations!AS86+Operations!AS87+Operations!AS88+Operations!AS89</f>
        <v>32.3083941820264</v>
      </c>
      <c r="AT24" s="11" t="n">
        <f aca="false">Operations!AT85+Operations!AT86+Operations!AT87+Operations!AT88+Operations!AT89</f>
        <v>30.9720279980963</v>
      </c>
      <c r="AU24" s="11" t="n">
        <f aca="false">Operations!AU85+Operations!AU86+Operations!AU87+Operations!AU88+Operations!AU89</f>
        <v>32.5594373315168</v>
      </c>
      <c r="AV24" s="11" t="n">
        <f aca="false">Operations!AV85+Operations!AV86+Operations!AV87+Operations!AV88+Operations!AV89</f>
        <v>33.1772490939952</v>
      </c>
      <c r="AW24" s="11" t="n">
        <f aca="false">Operations!AW85+Operations!AW86+Operations!AW87+Operations!AW88+Operations!AW89</f>
        <v>34.2057186217589</v>
      </c>
      <c r="AX24" s="11" t="n">
        <f aca="false">Operations!AX85+Operations!AX86+Operations!AX87+Operations!AX88+Operations!AX89</f>
        <v>33.5319353827341</v>
      </c>
      <c r="AY24" s="11" t="n">
        <f aca="false">Operations!AY85+Operations!AY86+Operations!AY87+Operations!AY88+Operations!AY89</f>
        <v>34.7702551318555</v>
      </c>
      <c r="AZ24" s="11" t="n">
        <f aca="false">Operations!AZ85+Operations!AZ86+Operations!AZ87+Operations!AZ88+Operations!AZ89</f>
        <v>34.4788099863905</v>
      </c>
      <c r="BA24" s="11" t="n">
        <f aca="false">Operations!BA85+Operations!BA86+Operations!BA87+Operations!BA88+Operations!BA89</f>
        <v>35.106872215248</v>
      </c>
      <c r="BB24" s="11" t="n">
        <f aca="false">Operations!BB85+Operations!BB86+Operations!BB87+Operations!BB88+Operations!BB89</f>
        <v>34.0770392871883</v>
      </c>
      <c r="BC24" s="11" t="n">
        <f aca="false">Operations!BC85+Operations!BC86+Operations!BC87+Operations!BC88+Operations!BC89</f>
        <v>35.6026516906445</v>
      </c>
      <c r="BD24" s="11" t="n">
        <f aca="false">Operations!BD85+Operations!BD86+Operations!BD87+Operations!BD88+Operations!BD89</f>
        <v>35.8314615358111</v>
      </c>
      <c r="BE24" s="11" t="n">
        <f aca="false">Operations!BE85+Operations!BE86+Operations!BE87+Operations!BE88+Operations!BE89</f>
        <v>36.9426458022817</v>
      </c>
      <c r="BF24" s="11" t="n">
        <f aca="false">Operations!BF85+Operations!BF86+Operations!BF87+Operations!BF88+Operations!BF89</f>
        <v>36.2141726081704</v>
      </c>
      <c r="BG24" s="11" t="n">
        <f aca="false">Operations!BG85+Operations!BG86+Operations!BG87+Operations!BG88+Operations!BG89</f>
        <v>37.5522470072483</v>
      </c>
      <c r="BH24" s="11" t="n">
        <f aca="false">Operations!BH85+Operations!BH86+Operations!BH87+Operations!BH88+Operations!BH89</f>
        <v>37.237202359679</v>
      </c>
      <c r="BI24" s="11" t="n">
        <f aca="false">Operations!BI85+Operations!BI86+Operations!BI87+Operations!BI88+Operations!BI89</f>
        <v>37.6837140826848</v>
      </c>
      <c r="BJ24" s="11" t="n">
        <f aca="false">Operations!BJ85+Operations!BJ86+Operations!BJ87+Operations!BJ88+Operations!BJ89</f>
        <v>36.1216718873619</v>
      </c>
      <c r="BK24" s="11" t="n">
        <f aca="false">Operations!BK85+Operations!BK86+Operations!BK87+Operations!BK88+Operations!BK89</f>
        <v>37.9755687485893</v>
      </c>
      <c r="BL24" s="11" t="n">
        <f aca="false">Operations!BL85+Operations!BL86+Operations!BL87+Operations!BL88+Operations!BL89</f>
        <v>38.6981088849841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0</v>
      </c>
      <c r="AK25" s="11" t="n">
        <f aca="false">MAX(0,AK12)</f>
        <v>2.06290425718871</v>
      </c>
      <c r="AL25" s="11" t="n">
        <f aca="false">MAX(0,AL12)</f>
        <v>8.56818402313215</v>
      </c>
      <c r="AM25" s="11" t="n">
        <f aca="false">MAX(0,AM12)</f>
        <v>16.4908300722707</v>
      </c>
      <c r="AN25" s="11" t="n">
        <f aca="false">MAX(0,AN12)</f>
        <v>24.8985640294432</v>
      </c>
      <c r="AO25" s="11" t="n">
        <f aca="false">MAX(0,AO12)</f>
        <v>33.8633418463599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9.26406911414573</v>
      </c>
      <c r="P27" s="16" t="n">
        <f aca="false">Waterfall!P43</f>
        <v>15.1023114586682</v>
      </c>
      <c r="Q27" s="16" t="n">
        <f aca="false">Waterfall!Q43</f>
        <v>22.1910348204008</v>
      </c>
      <c r="R27" s="16" t="n">
        <f aca="false">Waterfall!R43</f>
        <v>29.6789881858059</v>
      </c>
      <c r="S27" s="16" t="n">
        <f aca="false">Waterfall!S43</f>
        <v>38.281034210893</v>
      </c>
      <c r="T27" s="16" t="n">
        <f aca="false">Waterfall!T43</f>
        <v>47.2648793309572</v>
      </c>
      <c r="U27" s="16" t="n">
        <f aca="false">Waterfall!U43</f>
        <v>57.3783954936851</v>
      </c>
      <c r="V27" s="16" t="n">
        <f aca="false">Waterfall!V43</f>
        <v>65.743309112911</v>
      </c>
      <c r="W27" s="16" t="n">
        <f aca="false">Waterfall!W43</f>
        <v>77.7779183559751</v>
      </c>
      <c r="X27" s="16" t="n">
        <f aca="false">Waterfall!X43</f>
        <v>90.3369988181189</v>
      </c>
      <c r="Y27" s="16" t="n">
        <f aca="false">Waterfall!Y43</f>
        <v>101.019572060794</v>
      </c>
      <c r="Z27" s="16" t="n">
        <f aca="false">Waterfall!Z43</f>
        <v>106.919817901981</v>
      </c>
      <c r="AA27" s="16" t="n">
        <f aca="false">Waterfall!AA43</f>
        <v>113.690764884606</v>
      </c>
      <c r="AB27" s="16" t="n">
        <f aca="false">Waterfall!AB43</f>
        <v>120.915282816585</v>
      </c>
      <c r="AC27" s="16" t="n">
        <f aca="false">Waterfall!AC43</f>
        <v>129.103847869554</v>
      </c>
      <c r="AD27" s="16" t="n">
        <f aca="false">Waterfall!AD43</f>
        <v>128.306336240391</v>
      </c>
      <c r="AE27" s="16" t="n">
        <f aca="false">Waterfall!AE43</f>
        <v>139.057335275737</v>
      </c>
      <c r="AF27" s="16" t="n">
        <f aca="false">Waterfall!AF43</f>
        <v>149.514231547884</v>
      </c>
      <c r="AG27" s="16" t="n">
        <f aca="false">Waterfall!AG43</f>
        <v>160.932135129794</v>
      </c>
      <c r="AH27" s="16" t="n">
        <f aca="false">Waterfall!AH43</f>
        <v>173.213116204758</v>
      </c>
      <c r="AI27" s="16" t="n">
        <f aca="false">Waterfall!AI43</f>
        <v>186.658168745684</v>
      </c>
      <c r="AJ27" s="16" t="n">
        <f aca="false">Waterfall!AJ43</f>
        <v>201.020880989838</v>
      </c>
      <c r="AK27" s="16" t="n">
        <f aca="false">Waterfall!AK43</f>
        <v>216.664977342551</v>
      </c>
      <c r="AL27" s="16" t="n">
        <f aca="false">Waterfall!AL43</f>
        <v>231.468773827479</v>
      </c>
      <c r="AM27" s="16" t="n">
        <f aca="false">Waterfall!AM43</f>
        <v>249.577360258946</v>
      </c>
      <c r="AN27" s="16" t="n">
        <f aca="false">Waterfall!AN43</f>
        <v>268.814836436747</v>
      </c>
      <c r="AO27" s="16" t="n">
        <f aca="false">Waterfall!AO43</f>
        <v>289.350331324681</v>
      </c>
      <c r="AP27" s="16" t="n">
        <f aca="false">Waterfall!AP43</f>
        <v>312.172091325237</v>
      </c>
      <c r="AQ27" s="16" t="n">
        <f aca="false">Waterfall!AQ43</f>
        <v>313.218114882456</v>
      </c>
      <c r="AR27" s="16" t="n">
        <f aca="false">Waterfall!AR43</f>
        <v>297.632858218389</v>
      </c>
      <c r="AS27" s="16" t="n">
        <f aca="false">Waterfall!AS43</f>
        <v>282.481586049213</v>
      </c>
      <c r="AT27" s="16" t="n">
        <f aca="false">Waterfall!AT43</f>
        <v>250.318434099015</v>
      </c>
      <c r="AU27" s="16" t="n">
        <f aca="false">Waterfall!AU43</f>
        <v>233.135316716805</v>
      </c>
      <c r="AV27" s="16" t="n">
        <f aca="false">Waterfall!AV43</f>
        <v>215.774804649964</v>
      </c>
      <c r="AW27" s="16" t="n">
        <f aca="false">Waterfall!AW43</f>
        <v>198.947313152834</v>
      </c>
      <c r="AX27" s="16" t="n">
        <f aca="false">Waterfall!AX43</f>
        <v>181.608802874982</v>
      </c>
      <c r="AY27" s="16" t="n">
        <f aca="false">Waterfall!AY43</f>
        <v>164.780998657751</v>
      </c>
      <c r="AZ27" s="16" t="n">
        <f aca="false">Waterfall!AZ43</f>
        <v>147.434829245566</v>
      </c>
      <c r="BA27" s="16" t="n">
        <f aca="false">Waterfall!BA43</f>
        <v>131.027428800024</v>
      </c>
      <c r="BB27" s="16" t="n">
        <f aca="false">Waterfall!BB43</f>
        <v>111.157271470324</v>
      </c>
      <c r="BC27" s="16" t="n">
        <f aca="false">Waterfall!BC43</f>
        <v>97.1834982411468</v>
      </c>
      <c r="BD27" s="16" t="n">
        <f aca="false">Waterfall!BD43</f>
        <v>89.3379506685935</v>
      </c>
      <c r="BE27" s="16" t="n">
        <f aca="false">Waterfall!BE43</f>
        <v>82.0520492669613</v>
      </c>
      <c r="BF27" s="16" t="n">
        <f aca="false">Waterfall!BF43</f>
        <v>74.2576344580928</v>
      </c>
      <c r="BG27" s="16" t="n">
        <f aca="false">Waterfall!BG43</f>
        <v>67.0052457313207</v>
      </c>
      <c r="BH27" s="16" t="n">
        <f aca="false">Waterfall!BH43</f>
        <v>59.2364788545628</v>
      </c>
      <c r="BI27" s="16" t="n">
        <f aca="false">Waterfall!BI43</f>
        <v>51.9479719838298</v>
      </c>
      <c r="BJ27" s="16" t="n">
        <f aca="false">Waterfall!BJ43</f>
        <v>24.5037143909872</v>
      </c>
      <c r="BK27" s="16" t="n">
        <f aca="false">Waterfall!BK43</f>
        <v>14.791676421125</v>
      </c>
      <c r="BL27" s="16" t="n">
        <f aca="false">Waterfall!BL43</f>
        <v>4.27711390144667</v>
      </c>
      <c r="BM27" s="16" t="n">
        <f aca="false">Waterfall!BM43</f>
        <v>-44.3667535168117</v>
      </c>
      <c r="BN27" s="16" t="n">
        <f aca="false">Waterfall!BN43</f>
        <v>-44.3667535168117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916.230974434243</v>
      </c>
      <c r="P28" s="11" t="n">
        <f aca="false">P22+P23+P24+P25+P26+P27</f>
        <v>902.982921909912</v>
      </c>
      <c r="Q28" s="11" t="n">
        <f aca="false">Q22+Q23+Q24+Q25+Q26+Q27</f>
        <v>893.186589139907</v>
      </c>
      <c r="R28" s="11" t="n">
        <f aca="false">R22+R23+R24+R25+R26+R27</f>
        <v>880.920298244849</v>
      </c>
      <c r="S28" s="11" t="n">
        <f aca="false">S22+S23+S24+S25+S26+S27</f>
        <v>871.228111864524</v>
      </c>
      <c r="T28" s="11" t="n">
        <f aca="false">T22+T23+T24+T25+T26+T27</f>
        <v>859.348249116799</v>
      </c>
      <c r="U28" s="11" t="n">
        <f aca="false">U22+U23+U24+U25+U26+U27</f>
        <v>849.438370593615</v>
      </c>
      <c r="V28" s="11" t="n">
        <f aca="false">V22+V23+V24+V25+V26+V27</f>
        <v>834.106313941964</v>
      </c>
      <c r="W28" s="11" t="n">
        <f aca="false">W22+W23+W24+W25+W26+W27</f>
        <v>822.695937405196</v>
      </c>
      <c r="X28" s="11" t="n">
        <f aca="false">X22+X23+X24+X25+X26+X27</f>
        <v>812.570843636429</v>
      </c>
      <c r="Y28" s="11" t="n">
        <f aca="false">Y22+Y23+Y24+Y25+Y26+Y27</f>
        <v>801.7326438211</v>
      </c>
      <c r="Z28" s="11" t="n">
        <f aca="false">Z22+Z23+Z24+Z25+Z26+Z27</f>
        <v>783.27465540618</v>
      </c>
      <c r="AA28" s="11" t="n">
        <f aca="false">AA22+AA23+AA24+AA25+AA26+AA27</f>
        <v>767.158800525138</v>
      </c>
      <c r="AB28" s="11" t="n">
        <f aca="false">AB22+AB23+AB24+AB25+AB26+AB27</f>
        <v>748.024424075566</v>
      </c>
      <c r="AC28" s="11" t="n">
        <f aca="false">AC22+AC23+AC24+AC25+AC26+AC27</f>
        <v>730.847275574824</v>
      </c>
      <c r="AD28" s="11" t="n">
        <f aca="false">AD22+AD23+AD24+AD25+AD26+AD27</f>
        <v>699.184404794862</v>
      </c>
      <c r="AE28" s="11" t="n">
        <f aca="false">AE22+AE23+AE24+AE25+AE26+AE27</f>
        <v>679.974402884897</v>
      </c>
      <c r="AF28" s="11" t="n">
        <f aca="false">AF22+AF23+AF24+AF25+AF26+AF27</f>
        <v>658.116610160501</v>
      </c>
      <c r="AG28" s="11" t="n">
        <f aca="false">AG22+AG23+AG24+AG25+AG26+AG27</f>
        <v>637.208195469943</v>
      </c>
      <c r="AH28" s="11" t="n">
        <f aca="false">AH22+AH23+AH24+AH25+AH26+AH27</f>
        <v>613.146450899857</v>
      </c>
      <c r="AI28" s="11" t="n">
        <f aca="false">AI22+AI23+AI24+AI25+AI26+AI27</f>
        <v>590.913406680573</v>
      </c>
      <c r="AJ28" s="11" t="n">
        <f aca="false">AJ22+AJ23+AJ24+AJ25+AJ26+AJ27</f>
        <v>565.615108251978</v>
      </c>
      <c r="AK28" s="11" t="n">
        <f aca="false">AK22+AK23+AK24+AK25+AK26+AK27</f>
        <v>542.905392498452</v>
      </c>
      <c r="AL28" s="11" t="n">
        <f aca="false">AL22+AL23+AL24+AL25+AL26+AL27</f>
        <v>520.099286881126</v>
      </c>
      <c r="AM28" s="11" t="n">
        <f aca="false">AM22+AM23+AM24+AM25+AM26+AM27</f>
        <v>500.534683244431</v>
      </c>
      <c r="AN28" s="11" t="n">
        <f aca="false">AN22+AN23+AN24+AN25+AN26+AN27</f>
        <v>485.916767452395</v>
      </c>
      <c r="AO28" s="11" t="n">
        <f aca="false">AO22+AO23+AO24+AO25+AO26+AO27</f>
        <v>453.885750432599</v>
      </c>
      <c r="AP28" s="11" t="n">
        <f aca="false">AP22+AP23+AP24+AP25+AP26+AP27</f>
        <v>438.687937851298</v>
      </c>
      <c r="AQ28" s="11" t="n">
        <f aca="false">AQ22+AQ23+AQ24+AQ25+AQ26+AQ27</f>
        <v>425.756853537835</v>
      </c>
      <c r="AR28" s="11" t="n">
        <f aca="false">AR22+AR23+AR24+AR25+AR26+AR27</f>
        <v>410.906012500334</v>
      </c>
      <c r="AS28" s="11" t="n">
        <f aca="false">AS22+AS23+AS24+AS25+AS26+AS27</f>
        <v>397.142303224618</v>
      </c>
      <c r="AT28" s="11" t="n">
        <f aca="false">AT22+AT23+AT24+AT25+AT26+AT27</f>
        <v>364.646808953306</v>
      </c>
      <c r="AU28" s="11" t="n">
        <f aca="false">AU22+AU23+AU24+AU25+AU26+AU27</f>
        <v>350.055124767333</v>
      </c>
      <c r="AV28" s="11" t="n">
        <f aca="false">AV22+AV23+AV24+AV25+AV26+AV27</f>
        <v>334.316448325787</v>
      </c>
      <c r="AW28" s="11" t="n">
        <f aca="false">AW22+AW23+AW24+AW25+AW26+AW27</f>
        <v>319.521450219238</v>
      </c>
      <c r="AX28" s="11" t="n">
        <f aca="false">AX22+AX23+AX24+AX25+AX26+AX27</f>
        <v>302.513180565178</v>
      </c>
      <c r="AY28" s="11" t="n">
        <f aca="false">AY22+AY23+AY24+AY25+AY26+AY27</f>
        <v>287.927719959885</v>
      </c>
      <c r="AZ28" s="11" t="n">
        <f aca="false">AZ22+AZ23+AZ24+AZ25+AZ26+AZ27</f>
        <v>271.294129265052</v>
      </c>
      <c r="BA28" s="11" t="n">
        <f aca="false">BA22+BA23+BA24+BA25+BA26+BA27</f>
        <v>256.518814911183</v>
      </c>
      <c r="BB28" s="11" t="n">
        <f aca="false">BB22+BB23+BB24+BB25+BB26+BB27</f>
        <v>236.622848516241</v>
      </c>
      <c r="BC28" s="11" t="n">
        <f aca="false">BC22+BC23+BC24+BC25+BC26+BC27</f>
        <v>223.254332482938</v>
      </c>
      <c r="BD28" s="11" t="n">
        <f aca="false">BD22+BD23+BD24+BD25+BD26+BD27</f>
        <v>210.868481407172</v>
      </c>
      <c r="BE28" s="11" t="n">
        <f aca="false">BE22+BE23+BE24+BE25+BE26+BE27</f>
        <v>199.924650923631</v>
      </c>
      <c r="BF28" s="11" t="n">
        <f aca="false">BF22+BF23+BF24+BF25+BF26+BF27</f>
        <v>186.632649572271</v>
      </c>
      <c r="BG28" s="11" t="n">
        <f aca="false">BG22+BG23+BG24+BG25+BG26+BG27</f>
        <v>175.949221896198</v>
      </c>
      <c r="BH28" s="11" t="n">
        <f aca="false">BH22+BH23+BH24+BH25+BH26+BH27</f>
        <v>163.096297023491</v>
      </c>
      <c r="BI28" s="11" t="n">
        <f aca="false">BI22+BI23+BI24+BI25+BI26+BI27</f>
        <v>151.485188527384</v>
      </c>
      <c r="BJ28" s="11" t="n">
        <f aca="false">BJ22+BJ23+BJ24+BJ25+BJ26+BJ27</f>
        <v>117.709775390839</v>
      </c>
      <c r="BK28" s="11" t="n">
        <f aca="false">BK22+BK23+BK24+BK25+BK26+BK27</f>
        <v>105.082520933825</v>
      </c>
      <c r="BL28" s="11" t="n">
        <f aca="false">BL22+BL23+BL24+BL25+BL26+BL27</f>
        <v>90.5213852021619</v>
      </c>
      <c r="BM28" s="11" t="n">
        <f aca="false">BM22+BM23+BM24+BM25+BM26+BM27</f>
        <v>-3.05533376376843E-013</v>
      </c>
      <c r="BN28" s="11" t="n">
        <f aca="false">BN22+BN23+BN24+BN25+BN26+BN27</f>
        <v>-3.05533376376843E-013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0.035291772765144</v>
      </c>
      <c r="AC7" s="14" t="n">
        <f aca="false">IF(Debt!AC122&gt;0.000000001,Debt!AC119/Debt!AC122,0)</f>
        <v>0.0348124643528753</v>
      </c>
      <c r="AD7" s="14" t="n">
        <f aca="false">IF(Debt!AD122&gt;0.000000001,Debt!AD119/Debt!AD122,0)</f>
        <v>0.0348238619928085</v>
      </c>
      <c r="AE7" s="14" t="n">
        <f aca="false">IF(Debt!AE122&gt;0.000000001,Debt!AE119/Debt!AE122,0)</f>
        <v>0.0341424690338007</v>
      </c>
      <c r="AF7" s="14" t="n">
        <f aca="false">IF(Debt!AF122&gt;0.000000001,Debt!AF119/Debt!AF122,0)</f>
        <v>0.034100868380338</v>
      </c>
      <c r="AG7" s="14" t="n">
        <f aca="false">IF(Debt!AG122&gt;0.000000001,Debt!AG119/Debt!AG122,0)</f>
        <v>0.0340827413663704</v>
      </c>
      <c r="AH7" s="14" t="n">
        <f aca="false">IF(Debt!AH122&gt;0.000000001,Debt!AH119/Debt!AH122,0)</f>
        <v>0.033710153794671</v>
      </c>
      <c r="AI7" s="14" t="n">
        <f aca="false">IF(Debt!AI122&gt;0.000000001,Debt!AI119/Debt!AI122,0)</f>
        <v>0.032401763528279</v>
      </c>
      <c r="AJ7" s="14" t="n">
        <f aca="false">IF(Debt!AJ122&gt;0.000000001,Debt!AJ119/Debt!AJ122,0)</f>
        <v>0.0312685358162614</v>
      </c>
      <c r="AK7" s="14" t="n">
        <f aca="false">IF(Debt!AK122&gt;0.000000001,Debt!AK119/Debt!AK122,0)</f>
        <v>0.0287885808920925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0.035291772765144</v>
      </c>
      <c r="AC10" s="14" t="n">
        <f aca="false">IF(AC7&gt;0,AC7,$F$9)</f>
        <v>0.0348124643528753</v>
      </c>
      <c r="AD10" s="14" t="n">
        <f aca="false">IF(AD7&gt;0,AD7,$F$9)</f>
        <v>0.0348238619928085</v>
      </c>
      <c r="AE10" s="14" t="n">
        <f aca="false">IF(AE7&gt;0,AE7,$F$9)</f>
        <v>0.0341424690338007</v>
      </c>
      <c r="AF10" s="14" t="n">
        <f aca="false">IF(AF7&gt;0,AF7,$F$9)</f>
        <v>0.034100868380338</v>
      </c>
      <c r="AG10" s="14" t="n">
        <f aca="false">IF(AG7&gt;0,AG7,$F$9)</f>
        <v>0.0340827413663704</v>
      </c>
      <c r="AH10" s="14" t="n">
        <f aca="false">IF(AH7&gt;0,AH7,$F$9)</f>
        <v>0.033710153794671</v>
      </c>
      <c r="AI10" s="14" t="n">
        <f aca="false">IF(AI7&gt;0,AI7,$F$9)</f>
        <v>0.032401763528279</v>
      </c>
      <c r="AJ10" s="14" t="n">
        <f aca="false">IF(AJ7&gt;0,AJ7,$F$9)</f>
        <v>0.0312685358162614</v>
      </c>
      <c r="AK10" s="14" t="n">
        <f aca="false">IF(AK7&gt;0,AK7,$F$9)</f>
        <v>0.0287885808920925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716.953702613509</v>
      </c>
      <c r="K11" s="11" t="n">
        <f aca="false">IF(Time!K17&lt;=$F$8,(Waterfall!K7+L11)/(1+K10),0)</f>
        <v>736.320009774081</v>
      </c>
      <c r="L11" s="11" t="n">
        <f aca="false">IF(Time!L17&lt;=$F$8,(Waterfall!L7+M11)/(1+L10),0)</f>
        <v>756.209438374253</v>
      </c>
      <c r="M11" s="11" t="n">
        <f aca="false">IF(Time!M17&lt;=$F$8,(Waterfall!M7+N11)/(1+M10),0)</f>
        <v>776.636118936602</v>
      </c>
      <c r="N11" s="11" t="n">
        <f aca="false">IF(Time!N17&lt;=$F$8,(Waterfall!N7+O11)/(1+N10),0)</f>
        <v>797.614563676469</v>
      </c>
      <c r="O11" s="11" t="n">
        <f aca="false">IF(Time!O17&lt;=$F$8,(Waterfall!O7+P11)/(1+O10),0)</f>
        <v>819.159676812221</v>
      </c>
      <c r="P11" s="11" t="n">
        <f aca="false">IF(Time!P17&lt;=$F$8,(Waterfall!P7+Q11)/(1+P10),0)</f>
        <v>839.553543139229</v>
      </c>
      <c r="Q11" s="11" t="n">
        <f aca="false">IF(Time!Q17&lt;=$F$8,(Waterfall!Q7+R11)/(1+Q10),0)</f>
        <v>819.661119512207</v>
      </c>
      <c r="R11" s="11" t="n">
        <f aca="false">IF(Time!R17&lt;=$F$8,(Waterfall!R7+S11)/(1+R10),0)</f>
        <v>798.934634795334</v>
      </c>
      <c r="S11" s="11" t="n">
        <f aca="false">IF(Time!S17&lt;=$F$8,(Waterfall!S7+T11)/(1+S10),0)</f>
        <v>777.17698892458</v>
      </c>
      <c r="T11" s="11" t="n">
        <f aca="false">IF(Time!T17&lt;=$F$8,(Waterfall!T7+U11)/(1+T10),0)</f>
        <v>754.800105086158</v>
      </c>
      <c r="U11" s="11" t="n">
        <f aca="false">IF(Time!U17&lt;=$F$8,(Waterfall!U7+V11)/(1+U10),0)</f>
        <v>731.405015110677</v>
      </c>
      <c r="V11" s="11" t="n">
        <f aca="false">IF(Time!V17&lt;=$F$8,(Waterfall!V7+W11)/(1+V10),0)</f>
        <v>707.271023803213</v>
      </c>
      <c r="W11" s="11" t="n">
        <f aca="false">IF(Time!W17&lt;=$F$8,(Waterfall!W7+X11)/(1+W10),0)</f>
        <v>681.501865987099</v>
      </c>
      <c r="X11" s="11" t="n">
        <f aca="false">IF(Time!X17&lt;=$F$8,(Waterfall!X7+Y11)/(1+X10),0)</f>
        <v>654.970808608541</v>
      </c>
      <c r="Y11" s="11" t="n">
        <f aca="false">IF(Time!Y17&lt;=$F$8,(Waterfall!Y7+Z11)/(1+Y10),0)</f>
        <v>629.312489030829</v>
      </c>
      <c r="Z11" s="11" t="n">
        <f aca="false">IF(Time!Z17&lt;=$F$8,(Waterfall!Z7+AA11)/(1+Z10),0)</f>
        <v>603.705588032951</v>
      </c>
      <c r="AA11" s="11" t="n">
        <f aca="false">IF(Time!AA17&lt;=$F$8,(Waterfall!AA7+AB11)/(1+AA10),0)</f>
        <v>577.03892689459</v>
      </c>
      <c r="AB11" s="11" t="n">
        <f aca="false">IF(Time!AB17&lt;=$F$8,(Waterfall!AB7+AC11)/(1+AB10),0)</f>
        <v>549.617668900145</v>
      </c>
      <c r="AC11" s="11" t="n">
        <f aca="false">IF(Time!AC17&lt;=$F$8,(Waterfall!AC7+AD11)/(1+AC10),0)</f>
        <v>520.797742276679</v>
      </c>
      <c r="AD11" s="11" t="n">
        <f aca="false">IF(Time!AD17&lt;=$F$8,(Waterfall!AD7+AE11)/(1+AD10),0)</f>
        <v>490.908878336926</v>
      </c>
      <c r="AE11" s="11" t="n">
        <f aca="false">IF(Time!AE17&lt;=$F$8,(Waterfall!AE7+AF11)/(1+AE10),0)</f>
        <v>458.035023630252</v>
      </c>
      <c r="AF11" s="11" t="n">
        <f aca="false">IF(Time!AF17&lt;=$F$8,(Waterfall!AF7+AG11)/(1+AF10),0)</f>
        <v>423.643708732579</v>
      </c>
      <c r="AG11" s="11" t="n">
        <f aca="false">IF(Time!AG17&lt;=$F$8,(Waterfall!AG7+AH11)/(1+AG10),0)</f>
        <v>387.978982368626</v>
      </c>
      <c r="AH11" s="11" t="n">
        <f aca="false">IF(Time!AH17&lt;=$F$8,(Waterfall!AH7+AI11)/(1+AH10),0)</f>
        <v>351.482489956991</v>
      </c>
      <c r="AI11" s="11" t="n">
        <f aca="false">IF(Time!AI17&lt;=$F$8,(Waterfall!AI7+AJ11)/(1+AI10),0)</f>
        <v>312.954498205199</v>
      </c>
      <c r="AJ11" s="11" t="n">
        <f aca="false">IF(Time!AJ17&lt;=$F$8,(Waterfall!AJ7+AK11)/(1+AJ10),0)</f>
        <v>273.139904965282</v>
      </c>
      <c r="AK11" s="11" t="n">
        <f aca="false">IF(Time!AK17&lt;=$F$8,(Waterfall!AK7+AL11)/(1+AK10),0)</f>
        <v>231.158396347388</v>
      </c>
      <c r="AL11" s="11" t="n">
        <f aca="false">IF(Time!AL17&lt;=$F$8,(Waterfall!AL7+AM11)/(1+AL10),0)</f>
        <v>187.530984754267</v>
      </c>
      <c r="AM11" s="11" t="n">
        <f aca="false">IF(Time!AM17&lt;=$F$8,(Waterfall!AM7+AN11)/(1+AM10),0)</f>
        <v>141.208855448154</v>
      </c>
      <c r="AN11" s="11" t="n">
        <f aca="false">IF(Time!AN17&lt;=$F$8,(Waterfall!AN7+AO11)/(1+AN10),0)</f>
        <v>94.0077392237629</v>
      </c>
      <c r="AO11" s="11" t="n">
        <f aca="false">IF(Time!AO17&lt;=$F$8,(Waterfall!AO7+AP11)/(1+AO10),0)</f>
        <v>47.4430993248452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975.73707745285</v>
      </c>
      <c r="K12" s="11" t="n">
        <f aca="false">IF(Time!K17&lt;=Time!$F$14,(Waterfall!K7+L12)/(1+K10),0)</f>
        <v>1002.09362443912</v>
      </c>
      <c r="L12" s="11" t="n">
        <f aca="false">IF(Time!L17&lt;=Time!$F$14,(Waterfall!L7+M12)/(1+L10),0)</f>
        <v>1029.16211277218</v>
      </c>
      <c r="M12" s="11" t="n">
        <f aca="false">IF(Time!M17&lt;=Time!$F$14,(Waterfall!M7+N12)/(1+M10),0)</f>
        <v>1056.96177336576</v>
      </c>
      <c r="N12" s="11" t="n">
        <f aca="false">IF(Time!N17&lt;=Time!$F$14,(Waterfall!N7+O12)/(1+N10),0)</f>
        <v>1085.5123565978</v>
      </c>
      <c r="O12" s="11" t="n">
        <f aca="false">IF(Time!O17&lt;=Time!$F$14,(Waterfall!O7+P12)/(1+O10),0)</f>
        <v>1114.83414634215</v>
      </c>
      <c r="P12" s="11" t="n">
        <f aca="false">IF(Time!P17&lt;=Time!$F$14,(Waterfall!P7+Q12)/(1+P10),0)</f>
        <v>1143.2147523646</v>
      </c>
      <c r="Q12" s="11" t="n">
        <f aca="false">IF(Time!Q17&lt;=Time!$F$14,(Waterfall!Q7+R12)/(1+Q10),0)</f>
        <v>1133.75493162695</v>
      </c>
      <c r="R12" s="11" t="n">
        <f aca="false">IF(Time!R17&lt;=Time!$F$14,(Waterfall!R7+S12)/(1+R10),0)</f>
        <v>1123.71155007634</v>
      </c>
      <c r="S12" s="11" t="n">
        <f aca="false">IF(Time!S17&lt;=Time!$F$14,(Waterfall!S7+T12)/(1+S10),0)</f>
        <v>1113.12000120748</v>
      </c>
      <c r="T12" s="11" t="n">
        <f aca="false">IF(Time!T17&lt;=Time!$F$14,(Waterfall!T7+U12)/(1+T10),0)</f>
        <v>1102.173456825</v>
      </c>
      <c r="U12" s="11" t="n">
        <f aca="false">IF(Time!U17&lt;=Time!$F$14,(Waterfall!U7+V12)/(1+U10),0)</f>
        <v>1090.72564845728</v>
      </c>
      <c r="V12" s="11" t="n">
        <f aca="false">IF(Time!V17&lt;=Time!$F$14,(Waterfall!V7+W12)/(1+V10),0)</f>
        <v>1078.86155580953</v>
      </c>
      <c r="W12" s="11" t="n">
        <f aca="false">IF(Time!W17&lt;=Time!$F$14,(Waterfall!W7+X12)/(1+W10),0)</f>
        <v>1065.87258595669</v>
      </c>
      <c r="X12" s="11" t="n">
        <f aca="false">IF(Time!X17&lt;=Time!$F$14,(Waterfall!X7+Y12)/(1+X10),0)</f>
        <v>1052.41960326801</v>
      </c>
      <c r="Y12" s="11" t="n">
        <f aca="false">IF(Time!Y17&lt;=Time!$F$14,(Waterfall!Y7+Z12)/(1+Y10),0)</f>
        <v>1040.4308200859</v>
      </c>
      <c r="Z12" s="11" t="n">
        <f aca="false">IF(Time!Z17&lt;=Time!$F$14,(Waterfall!Z7+AA12)/(1+Z10),0)</f>
        <v>1029.24844068581</v>
      </c>
      <c r="AA12" s="11" t="n">
        <f aca="false">IF(Time!AA17&lt;=Time!$F$14,(Waterfall!AA7+AB12)/(1+AA10),0)</f>
        <v>1017.6767265262</v>
      </c>
      <c r="AB12" s="11" t="n">
        <f aca="false">IF(Time!AB17&lt;=Time!$F$14,(Waterfall!AB7+AC12)/(1+AB10),0)</f>
        <v>1005.71571191539</v>
      </c>
      <c r="AC12" s="11" t="n">
        <f aca="false">IF(Time!AC17&lt;=Time!$F$14,(Waterfall!AC7+AD12)/(1+AC10),0)</f>
        <v>992.992293784647</v>
      </c>
      <c r="AD12" s="11" t="n">
        <f aca="false">IF(Time!AD17&lt;=Time!$F$14,(Waterfall!AD7+AE12)/(1+AD10),0)</f>
        <v>979.541685836888</v>
      </c>
      <c r="AE12" s="11" t="n">
        <f aca="false">IF(Time!AE17&lt;=Time!$F$14,(Waterfall!AE7+AF12)/(1+AE10),0)</f>
        <v>963.683912583751</v>
      </c>
      <c r="AF12" s="11" t="n">
        <f aca="false">IF(Time!AF17&lt;=Time!$F$14,(Waterfall!AF7+AG12)/(1+AF10),0)</f>
        <v>946.556699219148</v>
      </c>
      <c r="AG12" s="11" t="n">
        <f aca="false">IF(Time!AG17&lt;=Time!$F$14,(Waterfall!AG7+AH12)/(1+AG10),0)</f>
        <v>928.723759918146</v>
      </c>
      <c r="AH12" s="11" t="n">
        <f aca="false">IF(Time!AH17&lt;=Time!$F$14,(Waterfall!AH7+AI12)/(1+AH10),0)</f>
        <v>910.657331904948</v>
      </c>
      <c r="AI12" s="11" t="n">
        <f aca="false">IF(Time!AI17&lt;=Time!$F$14,(Waterfall!AI7+AJ12)/(1+AI10),0)</f>
        <v>890.979210073332</v>
      </c>
      <c r="AJ12" s="11" t="n">
        <f aca="false">IF(Time!AJ17&lt;=Time!$F$14,(Waterfall!AJ7+AK12)/(1+AJ10),0)</f>
        <v>869.893636860868</v>
      </c>
      <c r="AK12" s="11" t="n">
        <f aca="false">IF(Time!AK17&lt;=Time!$F$14,(Waterfall!AK7+AL12)/(1+AK10),0)</f>
        <v>846.571743682239</v>
      </c>
      <c r="AL12" s="11" t="n">
        <f aca="false">IF(Time!AL17&lt;=Time!$F$14,(Waterfall!AL7+AM12)/(1+AL10),0)</f>
        <v>820.66120902094</v>
      </c>
      <c r="AM12" s="11" t="n">
        <f aca="false">IF(Time!AM17&lt;=Time!$F$14,(Waterfall!AM7+AN12)/(1+AM10),0)</f>
        <v>791.525093299946</v>
      </c>
      <c r="AN12" s="11" t="n">
        <f aca="false">IF(Time!AN17&lt;=Time!$F$14,(Waterfall!AN7+AO12)/(1+AN10),0)</f>
        <v>761.890277337114</v>
      </c>
      <c r="AO12" s="11" t="n">
        <f aca="false">IF(Time!AO17&lt;=Time!$F$14,(Waterfall!AO7+AP12)/(1+AO10),0)</f>
        <v>733.454985767089</v>
      </c>
      <c r="AP12" s="11" t="n">
        <f aca="false">IF(Time!AP17&lt;=Time!$F$14,(Waterfall!AP7+AQ12)/(1+AP10),0)</f>
        <v>704.542395260615</v>
      </c>
      <c r="AQ12" s="11" t="n">
        <f aca="false">IF(Time!AQ17&lt;=Time!$F$14,(Waterfall!AQ7+AR12)/(1+AQ10),0)</f>
        <v>682.450471461363</v>
      </c>
      <c r="AR12" s="11" t="n">
        <f aca="false">IF(Time!AR17&lt;=Time!$F$14,(Waterfall!AR7+AS12)/(1+AR10),0)</f>
        <v>660.873592353452</v>
      </c>
      <c r="AS12" s="11" t="n">
        <f aca="false">IF(Time!AS17&lt;=Time!$F$14,(Waterfall!AS7+AT12)/(1+AS10),0)</f>
        <v>638.378435693325</v>
      </c>
      <c r="AT12" s="11" t="n">
        <f aca="false">IF(Time!AT17&lt;=Time!$F$14,(Waterfall!AT7+AU12)/(1+AT10),0)</f>
        <v>615.531770995647</v>
      </c>
      <c r="AU12" s="11" t="n">
        <f aca="false">IF(Time!AU17&lt;=Time!$F$14,(Waterfall!AU7+AV12)/(1+AU10),0)</f>
        <v>585.311902808063</v>
      </c>
      <c r="AV12" s="11" t="n">
        <f aca="false">IF(Time!AV17&lt;=Time!$F$14,(Waterfall!AV7+AW12)/(1+AV10),0)</f>
        <v>558.716327930561</v>
      </c>
      <c r="AW12" s="11" t="n">
        <f aca="false">IF(Time!AW17&lt;=Time!$F$14,(Waterfall!AW7+AX12)/(1+AW10),0)</f>
        <v>531.348640866812</v>
      </c>
      <c r="AX12" s="11" t="n">
        <f aca="false">IF(Time!AX17&lt;=Time!$F$14,(Waterfall!AX7+AY12)/(1+AX10),0)</f>
        <v>503.683693078606</v>
      </c>
      <c r="AY12" s="11" t="n">
        <f aca="false">IF(Time!AY17&lt;=Time!$F$14,(Waterfall!AY7+AZ12)/(1+AY10),0)</f>
        <v>474.615826190062</v>
      </c>
      <c r="AZ12" s="11" t="n">
        <f aca="false">IF(Time!AZ17&lt;=Time!$F$14,(Waterfall!AZ7+BA12)/(1+AZ10),0)</f>
        <v>445.22142932659</v>
      </c>
      <c r="BA12" s="11" t="n">
        <f aca="false">IF(Time!BA17&lt;=Time!$F$14,(Waterfall!BA7+BB12)/(1+BA10),0)</f>
        <v>414.450799359723</v>
      </c>
      <c r="BB12" s="11" t="n">
        <f aca="false">IF(Time!BB17&lt;=Time!$F$14,(Waterfall!BB7+BC12)/(1+BB10),0)</f>
        <v>383.143530685921</v>
      </c>
      <c r="BC12" s="11" t="n">
        <f aca="false">IF(Time!BC17&lt;=Time!$F$14,(Waterfall!BC7+BD12)/(1+BC10),0)</f>
        <v>348.736123041266</v>
      </c>
      <c r="BD12" s="11" t="n">
        <f aca="false">IF(Time!BD17&lt;=Time!$F$14,(Waterfall!BD7+BE12)/(1+BD10),0)</f>
        <v>316.802567411211</v>
      </c>
      <c r="BE12" s="11" t="n">
        <f aca="false">IF(Time!BE17&lt;=Time!$F$14,(Waterfall!BE7+BF12)/(1+BE10),0)</f>
        <v>290.163644051159</v>
      </c>
      <c r="BF12" s="11" t="n">
        <f aca="false">IF(Time!BF17&lt;=Time!$F$14,(Waterfall!BF7+BG12)/(1+BF10),0)</f>
        <v>263.249571660948</v>
      </c>
      <c r="BG12" s="11" t="n">
        <f aca="false">IF(Time!BG17&lt;=Time!$F$14,(Waterfall!BG7+BH12)/(1+BG10),0)</f>
        <v>234.92494643579</v>
      </c>
      <c r="BH12" s="11" t="n">
        <f aca="false">IF(Time!BH17&lt;=Time!$F$14,(Waterfall!BH7+BI12)/(1+BH10),0)</f>
        <v>206.304697511116</v>
      </c>
      <c r="BI12" s="11" t="n">
        <f aca="false">IF(Time!BI17&lt;=Time!$F$14,(Waterfall!BI7+BJ12)/(1+BI10),0)</f>
        <v>176.308726777102</v>
      </c>
      <c r="BJ12" s="11" t="n">
        <f aca="false">IF(Time!BJ17&lt;=Time!$F$14,(Waterfall!BJ7+BK12)/(1+BJ10),0)</f>
        <v>145.752809688573</v>
      </c>
      <c r="BK12" s="11" t="n">
        <f aca="false">IF(Time!BK17&lt;=Time!$F$14,(Waterfall!BK7+BL12)/(1+BK10),0)</f>
        <v>106.320837163256</v>
      </c>
      <c r="BL12" s="11" t="n">
        <f aca="false">IF(Time!BL17&lt;=Time!$F$14,(Waterfall!BL7+BM12)/(1+BL10),0)</f>
        <v>71.0773197051439</v>
      </c>
      <c r="BM12" s="11" t="n">
        <f aca="false">IF(Time!BM17&lt;=Time!$F$14,(Waterfall!BM7+BN12)/(1+BM10),0)</f>
        <v>34.2151558913853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1.38458928528038</v>
      </c>
      <c r="Q13" s="6" t="n">
        <f aca="false">IF(Debt!Q122&gt;0.000000001,(Q11+Reserves!Q9)/Debt!Q122,0)</f>
        <v>1.38696168828994</v>
      </c>
      <c r="R13" s="6" t="n">
        <f aca="false">IF(Debt!R122&gt;0.000000001,(R11+Reserves!R9)/Debt!R122,0)</f>
        <v>1.39050902088281</v>
      </c>
      <c r="S13" s="6" t="n">
        <f aca="false">IF(Debt!S122&gt;0.000000001,(S11+Reserves!S9)/Debt!S122,0)</f>
        <v>1.39308630039918</v>
      </c>
      <c r="T13" s="6" t="n">
        <f aca="false">IF(Debt!T122&gt;0.000000001,(T11+Reserves!T9)/Debt!T122,0)</f>
        <v>1.39720470985186</v>
      </c>
      <c r="U13" s="6" t="n">
        <f aca="false">IF(Debt!U122&gt;0.000000001,(U11+Reserves!U9)/Debt!U122,0)</f>
        <v>1.40068775494676</v>
      </c>
      <c r="V13" s="6" t="n">
        <f aca="false">IF(Debt!V122&gt;0.000000001,(V11+Reserves!V9)/Debt!V122,0)</f>
        <v>1.40625092510433</v>
      </c>
      <c r="W13" s="6" t="n">
        <f aca="false">IF(Debt!W122&gt;0.000000001,(W11+Reserves!W9)/Debt!W122,0)</f>
        <v>1.41049778443245</v>
      </c>
      <c r="X13" s="6" t="n">
        <f aca="false">IF(Debt!X122&gt;0.000000001,(X11+Reserves!X9)/Debt!X122,0)</f>
        <v>1.4136086071854</v>
      </c>
      <c r="Y13" s="6" t="n">
        <f aca="false">IF(Debt!Y122&gt;0.000000001,(Y11+Reserves!Y9)/Debt!Y122,0)</f>
        <v>1.41869793966013</v>
      </c>
      <c r="Z13" s="6" t="n">
        <f aca="false">IF(Debt!Z122&gt;0.000000001,(Z11+Reserves!Z9)/Debt!Z122,0)</f>
        <v>1.42585016111705</v>
      </c>
      <c r="AA13" s="6" t="n">
        <f aca="false">IF(Debt!AA122&gt;0.000000001,(AA11+Reserves!AA9)/Debt!AA122,0)</f>
        <v>1.43258948959915</v>
      </c>
      <c r="AB13" s="6" t="n">
        <f aca="false">IF(Debt!AB122&gt;0.000000001,(AB11+Reserves!AB9)/Debt!AB122,0)</f>
        <v>1.46126919885672</v>
      </c>
      <c r="AC13" s="6" t="n">
        <f aca="false">IF(Debt!AC122&gt;0.000000001,(AC11+Reserves!AC9)/Debt!AC122,0)</f>
        <v>1.49384000428975</v>
      </c>
      <c r="AD13" s="6" t="n">
        <f aca="false">IF(Debt!AD122&gt;0.000000001,(AD11+Reserves!AD9)/Debt!AD122,0)</f>
        <v>1.53264772165666</v>
      </c>
      <c r="AE13" s="6" t="n">
        <f aca="false">IF(Debt!AE122&gt;0.000000001,(AE11+Reserves!AE9)/Debt!AE122,0)</f>
        <v>1.5796441633232</v>
      </c>
      <c r="AF13" s="6" t="n">
        <f aca="false">IF(Debt!AF122&gt;0.000000001,(AF11+Reserves!AF9)/Debt!AF122,0)</f>
        <v>1.63701669846385</v>
      </c>
      <c r="AG13" s="6" t="n">
        <f aca="false">IF(Debt!AG122&gt;0.000000001,(AG11+Reserves!AG9)/Debt!AG122,0)</f>
        <v>1.70874307698648</v>
      </c>
      <c r="AH13" s="6" t="n">
        <f aca="false">IF(Debt!AH122&gt;0.000000001,(AH11+Reserves!AH9)/Debt!AH122,0)</f>
        <v>1.80083631771972</v>
      </c>
      <c r="AI13" s="6" t="n">
        <f aca="false">IF(Debt!AI122&gt;0.000000001,(AI11+Reserves!AI9)/Debt!AI122,0)</f>
        <v>1.92671199760205</v>
      </c>
      <c r="AJ13" s="6" t="n">
        <f aca="false">IF(Debt!AJ122&gt;0.000000001,(AJ11+Reserves!AJ9)/Debt!AJ122,0)</f>
        <v>2.10704256761401</v>
      </c>
      <c r="AK13" s="6" t="n">
        <f aca="false">IF(Debt!AK122&gt;0.000000001,(AK11+Reserves!AK9)/Debt!AK122,0)</f>
        <v>2.39839498345614</v>
      </c>
      <c r="AL13" s="6" t="n">
        <f aca="false">IF(Debt!AL122&gt;0.000000001,(AL11+Reserves!AL9)/Debt!AL122,0)</f>
        <v>2.66267893481439</v>
      </c>
      <c r="AM13" s="6" t="n">
        <f aca="false">IF(Debt!AM122&gt;0.000000001,(AM11+Reserves!AM9)/Debt!AM122,0)</f>
        <v>2.81495541971621</v>
      </c>
      <c r="AN13" s="6" t="n">
        <f aca="false">IF(Debt!AN122&gt;0.000000001,(AN11+Reserves!AN9)/Debt!AN122,0)</f>
        <v>3.09559939695482</v>
      </c>
      <c r="AO13" s="6" t="n">
        <f aca="false">IF(Debt!AO122&gt;0.000000001,(AO11+Reserves!AO9)/Debt!AO122,0)</f>
        <v>3.60422906324583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1.32577279262088</v>
      </c>
      <c r="Q14" s="6" t="n">
        <f aca="false">IF(Debt!Q122&gt;0.000000001,Q11/Debt!Q122,0)</f>
        <v>1.32681431732391</v>
      </c>
      <c r="R14" s="6" t="n">
        <f aca="false">IF(Debt!R122&gt;0.000000001,R11/Debt!R122,0)</f>
        <v>1.32797000472959</v>
      </c>
      <c r="S14" s="6" t="n">
        <f aca="false">IF(Debt!S122&gt;0.000000001,S11/Debt!S122,0)</f>
        <v>1.3292337916078</v>
      </c>
      <c r="T14" s="6" t="n">
        <f aca="false">IF(Debt!T122&gt;0.000000001,T11/Debt!T122,0)</f>
        <v>1.33065232672488</v>
      </c>
      <c r="U14" s="6" t="n">
        <f aca="false">IF(Debt!U122&gt;0.000000001,U11/Debt!U122,0)</f>
        <v>1.33225281123097</v>
      </c>
      <c r="V14" s="6" t="n">
        <f aca="false">IF(Debt!V122&gt;0.000000001,V11/Debt!V122,0)</f>
        <v>1.33403339799726</v>
      </c>
      <c r="W14" s="6" t="n">
        <f aca="false">IF(Debt!W122&gt;0.000000001,W11/Debt!W122,0)</f>
        <v>1.33596017826396</v>
      </c>
      <c r="X14" s="6" t="n">
        <f aca="false">IF(Debt!X122&gt;0.000000001,X11/Debt!X122,0)</f>
        <v>1.33816386640969</v>
      </c>
      <c r="Y14" s="6" t="n">
        <f aca="false">IF(Debt!Y122&gt;0.000000001,Y11/Debt!Y122,0)</f>
        <v>1.34078282677665</v>
      </c>
      <c r="Z14" s="6" t="n">
        <f aca="false">IF(Debt!Z122&gt;0.000000001,Z11/Debt!Z122,0)</f>
        <v>1.34377877385406</v>
      </c>
      <c r="AA14" s="6" t="n">
        <f aca="false">IF(Debt!AA122&gt;0.000000001,AA11/Debt!AA122,0)</f>
        <v>1.34720029256526</v>
      </c>
      <c r="AB14" s="6" t="n">
        <f aca="false">IF(Debt!AB122&gt;0.000000001,AB11/Debt!AB122,0)</f>
        <v>1.369090826924</v>
      </c>
      <c r="AC14" s="6" t="n">
        <f aca="false">IF(Debt!AC122&gt;0.000000001,AC11/Debt!AC122,0)</f>
        <v>1.39649542147394</v>
      </c>
      <c r="AD14" s="6" t="n">
        <f aca="false">IF(Debt!AD122&gt;0.000000001,AD11/Debt!AD122,0)</f>
        <v>1.42522221362081</v>
      </c>
      <c r="AE14" s="6" t="n">
        <f aca="false">IF(Debt!AE122&gt;0.000000001,AE11/Debt!AE122,0)</f>
        <v>1.46340121556997</v>
      </c>
      <c r="AF14" s="6" t="n">
        <f aca="false">IF(Debt!AF122&gt;0.000000001,AF11/Debt!AF122,0)</f>
        <v>1.51012064200765</v>
      </c>
      <c r="AG14" s="6" t="n">
        <f aca="false">IF(Debt!AG122&gt;0.000000001,AG11/Debt!AG122,0)</f>
        <v>1.56997541888287</v>
      </c>
      <c r="AH14" s="6" t="n">
        <f aca="false">IF(Debt!AH122&gt;0.000000001,AH11/Debt!AH122,0)</f>
        <v>1.64415557621155</v>
      </c>
      <c r="AI14" s="6" t="n">
        <f aca="false">IF(Debt!AI122&gt;0.000000001,AI11/Debt!AI122,0)</f>
        <v>1.7487069466836</v>
      </c>
      <c r="AJ14" s="6" t="n">
        <f aca="false">IF(Debt!AJ122&gt;0.000000001,AJ11/Debt!AJ122,0)</f>
        <v>1.89586770831445</v>
      </c>
      <c r="AK14" s="6" t="n">
        <f aca="false">IF(Debt!AK122&gt;0.000000001,AK11/Debt!AK122,0)</f>
        <v>2.13826158078315</v>
      </c>
      <c r="AL14" s="6" t="n">
        <f aca="false">IF(Debt!AL122&gt;0.000000001,AL11/Debt!AL122,0)</f>
        <v>2.34188127165357</v>
      </c>
      <c r="AM14" s="6" t="n">
        <f aca="false">IF(Debt!AM122&gt;0.000000001,AM11/Debt!AM122,0)</f>
        <v>2.41231400804959</v>
      </c>
      <c r="AN14" s="6" t="n">
        <f aca="false">IF(Debt!AN122&gt;0.000000001,AN11/Debt!AN122,0)</f>
        <v>2.57213122873515</v>
      </c>
      <c r="AO14" s="6" t="n">
        <f aca="false">IF(Debt!AO122&gt;0.000000001,AO11/Debt!AO122,0)</f>
        <v>2.57721712776105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1.80529643069645</v>
      </c>
      <c r="Q15" s="6" t="n">
        <f aca="false">IF(Debt!Q122&gt;0.000000001,Q12/Debt!Q122,0)</f>
        <v>1.83524903134903</v>
      </c>
      <c r="R15" s="6" t="n">
        <f aca="false">IF(Debt!R122&gt;0.000000001,R12/Debt!R122,0)</f>
        <v>1.8678064105355</v>
      </c>
      <c r="S15" s="6" t="n">
        <f aca="false">IF(Debt!S122&gt;0.000000001,S12/Debt!S122,0)</f>
        <v>1.90380922338797</v>
      </c>
      <c r="T15" s="6" t="n">
        <f aca="false">IF(Debt!T122&gt;0.000000001,T12/Debt!T122,0)</f>
        <v>1.94304381371434</v>
      </c>
      <c r="U15" s="6" t="n">
        <f aca="false">IF(Debt!U122&gt;0.000000001,U12/Debt!U122,0)</f>
        <v>1.98675464539854</v>
      </c>
      <c r="V15" s="6" t="n">
        <f aca="false">IF(Debt!V122&gt;0.000000001,V12/Debt!V122,0)</f>
        <v>2.03491631754681</v>
      </c>
      <c r="W15" s="6" t="n">
        <f aca="false">IF(Debt!W122&gt;0.000000001,W12/Debt!W122,0)</f>
        <v>2.08944890837367</v>
      </c>
      <c r="X15" s="6" t="n">
        <f aca="false">IF(Debt!X122&gt;0.000000001,X12/Debt!X122,0)</f>
        <v>2.15018725549977</v>
      </c>
      <c r="Y15" s="6" t="n">
        <f aca="false">IF(Debt!Y122&gt;0.000000001,Y12/Debt!Y122,0)</f>
        <v>2.21669170775346</v>
      </c>
      <c r="Z15" s="6" t="n">
        <f aca="false">IF(Debt!Z122&gt;0.000000001,Z12/Debt!Z122,0)</f>
        <v>2.29098791701178</v>
      </c>
      <c r="AA15" s="6" t="n">
        <f aca="false">IF(Debt!AA122&gt;0.000000001,AA12/Debt!AA122,0)</f>
        <v>2.37594782572337</v>
      </c>
      <c r="AB15" s="6" t="n">
        <f aca="false">IF(Debt!AB122&gt;0.000000001,AB12/Debt!AB122,0)</f>
        <v>2.50522542048565</v>
      </c>
      <c r="AC15" s="6" t="n">
        <f aca="false">IF(Debt!AC122&gt;0.000000001,AC12/Debt!AC122,0)</f>
        <v>2.66266360097326</v>
      </c>
      <c r="AD15" s="6" t="n">
        <f aca="false">IF(Debt!AD122&gt;0.000000001,AD12/Debt!AD122,0)</f>
        <v>2.84383646625382</v>
      </c>
      <c r="AE15" s="6" t="n">
        <f aca="false">IF(Debt!AE122&gt;0.000000001,AE12/Debt!AE122,0)</f>
        <v>3.0789265805986</v>
      </c>
      <c r="AF15" s="6" t="n">
        <f aca="false">IF(Debt!AF122&gt;0.000000001,AF12/Debt!AF122,0)</f>
        <v>3.37409663086431</v>
      </c>
      <c r="AG15" s="6" t="n">
        <f aca="false">IF(Debt!AG122&gt;0.000000001,AG12/Debt!AG122,0)</f>
        <v>3.75812489919524</v>
      </c>
      <c r="AH15" s="6" t="n">
        <f aca="false">IF(Debt!AH122&gt;0.000000001,AH12/Debt!AH122,0)</f>
        <v>4.25984899120484</v>
      </c>
      <c r="AI15" s="6" t="n">
        <f aca="false">IF(Debt!AI122&gt;0.000000001,AI12/Debt!AI122,0)</f>
        <v>4.97855612538377</v>
      </c>
      <c r="AJ15" s="6" t="n">
        <f aca="false">IF(Debt!AJ122&gt;0.000000001,AJ12/Debt!AJ122,0)</f>
        <v>6.03794328771683</v>
      </c>
      <c r="AK15" s="6" t="n">
        <f aca="false">IF(Debt!AK122&gt;0.000000001,AK12/Debt!AK122,0)</f>
        <v>7.83095861320973</v>
      </c>
      <c r="AL15" s="6" t="n">
        <f aca="false">IF(Debt!AL122&gt;0.000000001,AL12/Debt!AL122,0)</f>
        <v>10.2483923832485</v>
      </c>
      <c r="AM15" s="6" t="n">
        <f aca="false">IF(Debt!AM122&gt;0.000000001,AM12/Debt!AM122,0)</f>
        <v>13.5218649300027</v>
      </c>
      <c r="AN15" s="6" t="n">
        <f aca="false">IF(Debt!AN122&gt;0.000000001,AN12/Debt!AN122,0)</f>
        <v>20.8459621664119</v>
      </c>
      <c r="AO15" s="6" t="n">
        <f aca="false">IF(Debt!AO122&gt;0.000000001,AO12/Debt!AO122,0)</f>
        <v>39.8429440458324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e">
        <f aca="false">MIN(IF(Debt!$J$121:$BN$121&gt;0.000000001,Waterfall!$J$17:$BN$17,999))</f>
        <v>#VALUE!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e">
        <f aca="false">SUM(Waterfall!$J$7:$BN$7*(Debt!$J$121:$BN$121&gt;0.000000001))/SUM(Debt!$J$121:$BN$121)</f>
        <v>#VALUE!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1.38458928528038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1.80529643069645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1109.74123906737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13.3123815456747</v>
      </c>
      <c r="BS8" s="16" t="n">
        <f aca="false">Waterfall!Q44</f>
        <v>10.9803905278187</v>
      </c>
      <c r="BT8" s="16" t="n">
        <f aca="false">Waterfall!R44</f>
        <v>11.8923620790169</v>
      </c>
      <c r="BU8" s="16" t="n">
        <f aca="false">Waterfall!S44</f>
        <v>11.0688319388572</v>
      </c>
      <c r="BV8" s="16" t="n">
        <f aca="false">Waterfall!T44</f>
        <v>11.7843891655674</v>
      </c>
      <c r="BW8" s="16" t="n">
        <f aca="false">Waterfall!U44</f>
        <v>10.8217183960632</v>
      </c>
      <c r="BX8" s="16" t="n">
        <f aca="false">Waterfall!V44</f>
        <v>12.07124507568</v>
      </c>
      <c r="BY8" s="16" t="n">
        <f aca="false">Waterfall!W44</f>
        <v>12.7921167414117</v>
      </c>
      <c r="BZ8" s="16" t="n">
        <f aca="false">Waterfall!X44</f>
        <v>11.6144703901093</v>
      </c>
      <c r="CA8" s="16" t="n">
        <f aca="false">Waterfall!Y44</f>
        <v>10.81563236359</v>
      </c>
      <c r="CB8" s="16" t="n">
        <f aca="false">Waterfall!Z44</f>
        <v>11.5071473728627</v>
      </c>
      <c r="CC8" s="16" t="n">
        <f aca="false">Waterfall!AA44</f>
        <v>5.33126530252416</v>
      </c>
      <c r="CD8" s="16" t="n">
        <f aca="false">Waterfall!AB44</f>
        <v>6.23571442521261</v>
      </c>
      <c r="CE8" s="16" t="n">
        <f aca="false">Waterfall!AC44</f>
        <v>5.84910573723931</v>
      </c>
      <c r="CF8" s="16" t="n">
        <f aca="false">Waterfall!AD44</f>
        <v>7.14282045539922</v>
      </c>
      <c r="CG8" s="16" t="n">
        <f aca="false">Waterfall!AE44</f>
        <v>7.67058523399088</v>
      </c>
      <c r="CH8" s="16" t="n">
        <f aca="false">Waterfall!AF44</f>
        <v>8.43882067720587</v>
      </c>
      <c r="CI8" s="16" t="n">
        <f aca="false">Waterfall!AG44</f>
        <v>8.74800089033003</v>
      </c>
      <c r="CJ8" s="16" t="n">
        <f aca="false">Waterfall!AH44</f>
        <v>9.99487829611962</v>
      </c>
      <c r="CK8" s="16" t="n">
        <f aca="false">Waterfall!AI44</f>
        <v>10.6961228413543</v>
      </c>
      <c r="CL8" s="16" t="n">
        <f aca="false">Waterfall!AJ44</f>
        <v>12.3541686273421</v>
      </c>
      <c r="CM8" s="16" t="n">
        <f aca="false">Waterfall!AK44</f>
        <v>21.5746118579476</v>
      </c>
      <c r="CN8" s="16" t="n">
        <f aca="false">Waterfall!AL44</f>
        <v>29.8177715967116</v>
      </c>
      <c r="CO8" s="16" t="n">
        <f aca="false">Waterfall!AM44</f>
        <v>31.8834234627725</v>
      </c>
      <c r="CP8" s="16" t="n">
        <f aca="false">Waterfall!AN44</f>
        <v>30.2105267450319</v>
      </c>
      <c r="CQ8" s="16" t="n">
        <f aca="false">Waterfall!AO44</f>
        <v>48.724629263006</v>
      </c>
      <c r="CR8" s="16" t="n">
        <f aca="false">Waterfall!AP44</f>
        <v>41.1229775263262</v>
      </c>
      <c r="CS8" s="16" t="n">
        <f aca="false">Waterfall!AQ44</f>
        <v>40.0111872145842</v>
      </c>
      <c r="CT8" s="16" t="n">
        <f aca="false">Waterfall!AR44</f>
        <v>40.3466315003753</v>
      </c>
      <c r="CU8" s="16" t="n">
        <f aca="false">Waterfall!AS44</f>
        <v>40.0905018175021</v>
      </c>
      <c r="CV8" s="16" t="n">
        <f aca="false">Waterfall!AT44</f>
        <v>46.8465726745527</v>
      </c>
      <c r="CW8" s="16" t="n">
        <f aca="false">Waterfall!AU44</f>
        <v>42.4059822346283</v>
      </c>
      <c r="CX8" s="16" t="n">
        <f aca="false">Waterfall!AV44</f>
        <v>42.4596964681042</v>
      </c>
      <c r="CY8" s="16" t="n">
        <f aca="false">Waterfall!AW44</f>
        <v>42.017702995227</v>
      </c>
      <c r="CZ8" s="16" t="n">
        <f aca="false">Waterfall!AX44</f>
        <v>42.6733383107201</v>
      </c>
      <c r="DA8" s="16" t="n">
        <f aca="false">Waterfall!AY44</f>
        <v>42.2146889405744</v>
      </c>
      <c r="DB8" s="16" t="n">
        <f aca="false">Waterfall!AZ44</f>
        <v>42.7969224922796</v>
      </c>
      <c r="DC8" s="16" t="n">
        <f aca="false">Waterfall!BA44</f>
        <v>42.0074185411151</v>
      </c>
      <c r="DD8" s="16" t="n">
        <f aca="false">Waterfall!BB44</f>
        <v>43.2557057223103</v>
      </c>
      <c r="DE8" s="16" t="n">
        <f aca="false">Waterfall!BC44</f>
        <v>39.8360202135168</v>
      </c>
      <c r="DF8" s="16" t="n">
        <f aca="false">Waterfall!BD44</f>
        <v>33.6621983121308</v>
      </c>
      <c r="DG8" s="16" t="n">
        <f aca="false">Waterfall!BE44</f>
        <v>33.2009943423944</v>
      </c>
      <c r="DH8" s="16" t="n">
        <f aca="false">Waterfall!BF44</f>
        <v>33.8675782486875</v>
      </c>
      <c r="DI8" s="16" t="n">
        <f aca="false">Waterfall!BG44</f>
        <v>33.3809456276272</v>
      </c>
      <c r="DJ8" s="16" t="n">
        <f aca="false">Waterfall!BH44</f>
        <v>33.9662380875229</v>
      </c>
      <c r="DK8" s="16" t="n">
        <f aca="false">Waterfall!BI44</f>
        <v>33.698404470233</v>
      </c>
      <c r="DL8" s="16" t="n">
        <f aca="false">Waterfall!BJ44</f>
        <v>41.7313629113129</v>
      </c>
      <c r="DM8" s="16" t="n">
        <f aca="false">Waterfall!BK44</f>
        <v>36.4598575242797</v>
      </c>
      <c r="DN8" s="16" t="n">
        <f aca="false">Waterfall!BL44</f>
        <v>37.1083958296947</v>
      </c>
      <c r="DO8" s="16" t="n">
        <f aca="false">Waterfall!BM44</f>
        <v>53.0805536368862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1531.7418496104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1.733222014779</v>
      </c>
      <c r="BR9" s="16" t="n">
        <f aca="false">Waterfall!P7</f>
        <v>48.7361759860426</v>
      </c>
      <c r="BS9" s="16" t="n">
        <f aca="false">Waterfall!Q7</f>
        <v>48.6051756154967</v>
      </c>
      <c r="BT9" s="16" t="n">
        <f aca="false">Waterfall!R7</f>
        <v>49.2256745715739</v>
      </c>
      <c r="BU9" s="16" t="n">
        <f aca="false">Waterfall!S7</f>
        <v>48.820049720605</v>
      </c>
      <c r="BV9" s="16" t="n">
        <f aca="false">Waterfall!T7</f>
        <v>49.3550819204202</v>
      </c>
      <c r="BW9" s="16" t="n">
        <f aca="false">Waterfall!U7</f>
        <v>49.1096386312216</v>
      </c>
      <c r="BX9" s="16" t="n">
        <f aca="false">Waterfall!V7</f>
        <v>50.0944725015498</v>
      </c>
      <c r="BY9" s="16" t="n">
        <f aca="false">Waterfall!W7</f>
        <v>49.7189118160011</v>
      </c>
      <c r="BZ9" s="16" t="n">
        <f aca="false">Waterfall!X7</f>
        <v>48.1848624346545</v>
      </c>
      <c r="CA9" s="16" t="n">
        <f aca="false">Waterfall!Y7</f>
        <v>47.6869954721041</v>
      </c>
      <c r="CB9" s="16" t="n">
        <f aca="false">Waterfall!Z7</f>
        <v>48.0814347277172</v>
      </c>
      <c r="CC9" s="16" t="n">
        <f aca="false">Waterfall!AA7</f>
        <v>47.6672792370245</v>
      </c>
      <c r="CD9" s="16" t="n">
        <f aca="false">Waterfall!AB7</f>
        <v>48.216908501998</v>
      </c>
      <c r="CE9" s="16" t="n">
        <f aca="false">Waterfall!AC7</f>
        <v>48.0191167778172</v>
      </c>
      <c r="CF9" s="16" t="n">
        <f aca="false">Waterfall!AD7</f>
        <v>49.9691977369238</v>
      </c>
      <c r="CG9" s="16" t="n">
        <f aca="false">Waterfall!AE7</f>
        <v>50.0297615083646</v>
      </c>
      <c r="CH9" s="16" t="n">
        <f aca="false">Waterfall!AF7</f>
        <v>50.1113447156016</v>
      </c>
      <c r="CI9" s="16" t="n">
        <f aca="false">Waterfall!AG7</f>
        <v>49.7198797232919</v>
      </c>
      <c r="CJ9" s="16" t="n">
        <f aca="false">Waterfall!AH7</f>
        <v>50.3765205443762</v>
      </c>
      <c r="CK9" s="16" t="n">
        <f aca="false">Waterfall!AI7</f>
        <v>49.954870885873</v>
      </c>
      <c r="CL9" s="16" t="n">
        <f aca="false">Waterfall!AJ7</f>
        <v>50.5221935191513</v>
      </c>
      <c r="CM9" s="16" t="n">
        <f aca="false">Waterfall!AK7</f>
        <v>50.2821337852541</v>
      </c>
      <c r="CN9" s="16" t="n">
        <f aca="false">Waterfall!AL7</f>
        <v>51.4125671466865</v>
      </c>
      <c r="CO9" s="16" t="n">
        <f aca="false">Waterfall!AM7</f>
        <v>51.0154407176367</v>
      </c>
      <c r="CP9" s="16" t="n">
        <f aca="false">Waterfall!AN7</f>
        <v>49.1164344926401</v>
      </c>
      <c r="CQ9" s="16" t="n">
        <f aca="false">Waterfall!AO7</f>
        <v>48.724629263006</v>
      </c>
      <c r="CR9" s="16" t="n">
        <f aca="false">Waterfall!AP7</f>
        <v>41.1229775263262</v>
      </c>
      <c r="CS9" s="16" t="n">
        <f aca="false">Waterfall!AQ7</f>
        <v>40.0111872145842</v>
      </c>
      <c r="CT9" s="16" t="n">
        <f aca="false">Waterfall!AR7</f>
        <v>40.3466315003753</v>
      </c>
      <c r="CU9" s="16" t="n">
        <f aca="false">Waterfall!AS7</f>
        <v>40.0905018175021</v>
      </c>
      <c r="CV9" s="16" t="n">
        <f aca="false">Waterfall!AT7</f>
        <v>46.8465726745527</v>
      </c>
      <c r="CW9" s="16" t="n">
        <f aca="false">Waterfall!AU7</f>
        <v>42.4059822346283</v>
      </c>
      <c r="CX9" s="16" t="n">
        <f aca="false">Waterfall!AV7</f>
        <v>42.4596964681042</v>
      </c>
      <c r="CY9" s="16" t="n">
        <f aca="false">Waterfall!AW7</f>
        <v>42.017702995227</v>
      </c>
      <c r="CZ9" s="16" t="n">
        <f aca="false">Waterfall!AX7</f>
        <v>42.6733383107201</v>
      </c>
      <c r="DA9" s="16" t="n">
        <f aca="false">Waterfall!AY7</f>
        <v>42.2146889405744</v>
      </c>
      <c r="DB9" s="16" t="n">
        <f aca="false">Waterfall!AZ7</f>
        <v>42.7969224922796</v>
      </c>
      <c r="DC9" s="16" t="n">
        <f aca="false">Waterfall!BA7</f>
        <v>42.5023869277238</v>
      </c>
      <c r="DD9" s="16" t="n">
        <f aca="false">Waterfall!BB7</f>
        <v>44.7568559769547</v>
      </c>
      <c r="DE9" s="16" t="n">
        <f aca="false">Waterfall!BC7</f>
        <v>41.353593286859</v>
      </c>
      <c r="DF9" s="16" t="n">
        <f aca="false">Waterfall!BD7</f>
        <v>35.1963738723774</v>
      </c>
      <c r="DG9" s="16" t="n">
        <f aca="false">Waterfall!BE7</f>
        <v>34.7519540233502</v>
      </c>
      <c r="DH9" s="16" t="n">
        <f aca="false">Waterfall!BF7</f>
        <v>35.4355056712595</v>
      </c>
      <c r="DI9" s="16" t="n">
        <f aca="false">Waterfall!BG7</f>
        <v>34.9660264215639</v>
      </c>
      <c r="DJ9" s="16" t="n">
        <f aca="false">Waterfall!BH7</f>
        <v>35.5686599133915</v>
      </c>
      <c r="DK9" s="16" t="n">
        <f aca="false">Waterfall!BI7</f>
        <v>35.3183570416364</v>
      </c>
      <c r="DL9" s="16" t="n">
        <f aca="false">Waterfall!BJ7</f>
        <v>43.3690380173506</v>
      </c>
      <c r="DM9" s="16" t="n">
        <f aca="false">Waterfall!BK7</f>
        <v>38.115449052254</v>
      </c>
      <c r="DN9" s="16" t="n">
        <f aca="false">Waterfall!BL7</f>
        <v>38.7820997880652</v>
      </c>
      <c r="DO9" s="16" t="n">
        <f aca="false">Waterfall!BM7</f>
        <v>35.1393734749252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1814.40270242895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1.733222014779</v>
      </c>
      <c r="BR10" s="11" t="n">
        <f aca="false">Waterfall!P7+Tax!P27</f>
        <v>48.7361759860426</v>
      </c>
      <c r="BS10" s="11" t="n">
        <f aca="false">Waterfall!Q7+Tax!Q27</f>
        <v>48.6051756154967</v>
      </c>
      <c r="BT10" s="11" t="n">
        <f aca="false">Waterfall!R7+Tax!R27</f>
        <v>49.2256745715739</v>
      </c>
      <c r="BU10" s="11" t="n">
        <f aca="false">Waterfall!S7+Tax!S27</f>
        <v>48.820049720605</v>
      </c>
      <c r="BV10" s="11" t="n">
        <f aca="false">Waterfall!T7+Tax!T27</f>
        <v>49.3550819204202</v>
      </c>
      <c r="BW10" s="11" t="n">
        <f aca="false">Waterfall!U7+Tax!U27</f>
        <v>49.1096386312216</v>
      </c>
      <c r="BX10" s="11" t="n">
        <f aca="false">Waterfall!V7+Tax!V27</f>
        <v>50.0944725015498</v>
      </c>
      <c r="BY10" s="11" t="n">
        <f aca="false">Waterfall!W7+Tax!W27</f>
        <v>49.7189118160011</v>
      </c>
      <c r="BZ10" s="11" t="n">
        <f aca="false">Waterfall!X7+Tax!X27</f>
        <v>48.1848624346545</v>
      </c>
      <c r="CA10" s="11" t="n">
        <f aca="false">Waterfall!Y7+Tax!Y27</f>
        <v>47.8050413080245</v>
      </c>
      <c r="CB10" s="11" t="n">
        <f aca="false">Waterfall!Z7+Tax!Z27</f>
        <v>48.4369262623908</v>
      </c>
      <c r="CC10" s="11" t="n">
        <f aca="false">Waterfall!AA7+Tax!AA27</f>
        <v>48.0245457976305</v>
      </c>
      <c r="CD10" s="11" t="n">
        <f aca="false">Waterfall!AB7+Tax!AB27</f>
        <v>48.5761081868294</v>
      </c>
      <c r="CE10" s="11" t="n">
        <f aca="false">Waterfall!AC7+Tax!AC27</f>
        <v>48.379206178297</v>
      </c>
      <c r="CF10" s="11" t="n">
        <f aca="false">Waterfall!AD7+Tax!AD27</f>
        <v>50.3247799268658</v>
      </c>
      <c r="CG10" s="11" t="n">
        <f aca="false">Waterfall!AE7+Tax!AE27</f>
        <v>50.3924407801796</v>
      </c>
      <c r="CH10" s="11" t="n">
        <f aca="false">Waterfall!AF7+Tax!AF27</f>
        <v>50.4773660344234</v>
      </c>
      <c r="CI10" s="11" t="n">
        <f aca="false">Waterfall!AG7+Tax!AG27</f>
        <v>50.0875075249066</v>
      </c>
      <c r="CJ10" s="11" t="n">
        <f aca="false">Waterfall!AH7+Tax!AH27</f>
        <v>50.745624294473</v>
      </c>
      <c r="CK10" s="11" t="n">
        <f aca="false">Waterfall!AI7+Tax!AI27</f>
        <v>50.3259071764604</v>
      </c>
      <c r="CL10" s="11" t="n">
        <f aca="false">Waterfall!AJ7+Tax!AJ27</f>
        <v>50.8953338639384</v>
      </c>
      <c r="CM10" s="11" t="n">
        <f aca="false">Waterfall!AK7+Tax!AK27</f>
        <v>50.6565653919512</v>
      </c>
      <c r="CN10" s="11" t="n">
        <f aca="false">Waterfall!AL7+Tax!AL27</f>
        <v>51.7877567822933</v>
      </c>
      <c r="CO10" s="11" t="n">
        <f aca="false">Waterfall!AM7+Tax!AM27</f>
        <v>51.3930284008259</v>
      </c>
      <c r="CP10" s="11" t="n">
        <f aca="false">Waterfall!AN7+Tax!AN27</f>
        <v>49.497004214908</v>
      </c>
      <c r="CQ10" s="11" t="n">
        <f aca="false">Waterfall!AO7+Tax!AO27</f>
        <v>49.1069492812116</v>
      </c>
      <c r="CR10" s="11" t="n">
        <f aca="false">Waterfall!AP7+Tax!AP27</f>
        <v>49.7935757705226</v>
      </c>
      <c r="CS10" s="11" t="n">
        <f aca="false">Waterfall!AQ7+Tax!AQ27</f>
        <v>49.3658906011155</v>
      </c>
      <c r="CT10" s="11" t="n">
        <f aca="false">Waterfall!AR7+Tax!AR27</f>
        <v>49.9546254245477</v>
      </c>
      <c r="CU10" s="11" t="n">
        <f aca="false">Waterfall!AS7+Tax!AS27</f>
        <v>49.7747192325398</v>
      </c>
      <c r="CV10" s="11" t="n">
        <f aca="false">Waterfall!AT7+Tax!AT27</f>
        <v>52.1354434078877</v>
      </c>
      <c r="CW10" s="11" t="n">
        <f aca="false">Waterfall!AU7+Tax!AU27</f>
        <v>52.2117575942765</v>
      </c>
      <c r="CX10" s="11" t="n">
        <f aca="false">Waterfall!AV7+Tax!AV27</f>
        <v>52.2124659201147</v>
      </c>
      <c r="CY10" s="11" t="n">
        <f aca="false">Waterfall!AW7+Tax!AW27</f>
        <v>51.8094840601661</v>
      </c>
      <c r="CZ10" s="11" t="n">
        <f aca="false">Waterfall!AX7+Tax!AX27</f>
        <v>52.5270978905613</v>
      </c>
      <c r="DA10" s="11" t="n">
        <f aca="false">Waterfall!AY7+Tax!AY27</f>
        <v>52.0907585306187</v>
      </c>
      <c r="DB10" s="11" t="n">
        <f aca="false">Waterfall!AZ7+Tax!AZ27</f>
        <v>52.700364235218</v>
      </c>
      <c r="DC10" s="11" t="n">
        <f aca="false">Waterfall!BA7+Tax!BA27</f>
        <v>52.4697993915809</v>
      </c>
      <c r="DD10" s="11" t="n">
        <f aca="false">Waterfall!BB7+Tax!BB27</f>
        <v>53.7752099966854</v>
      </c>
      <c r="DE10" s="11" t="n">
        <f aca="false">Waterfall!BC7+Tax!BC27</f>
        <v>53.3577686305865</v>
      </c>
      <c r="DF10" s="11" t="n">
        <f aca="false">Waterfall!BD7+Tax!BD27</f>
        <v>51.0297661091472</v>
      </c>
      <c r="DG10" s="11" t="n">
        <f aca="false">Waterfall!BE7+Tax!BE27</f>
        <v>50.6275357749135</v>
      </c>
      <c r="DH10" s="11" t="n">
        <f aca="false">Waterfall!BF7+Tax!BF27</f>
        <v>51.3788319224185</v>
      </c>
      <c r="DI10" s="11" t="n">
        <f aca="false">Waterfall!BG7+Tax!BG27</f>
        <v>50.9330927274527</v>
      </c>
      <c r="DJ10" s="11" t="n">
        <f aca="false">Waterfall!BH7+Tax!BH27</f>
        <v>51.5652609235274</v>
      </c>
      <c r="DK10" s="11" t="n">
        <f aca="false">Waterfall!BI7+Tax!BI27</f>
        <v>51.4059979326588</v>
      </c>
      <c r="DL10" s="11" t="n">
        <f aca="false">Waterfall!BJ7+Tax!BJ27</f>
        <v>54.2611965022173</v>
      </c>
      <c r="DM10" s="11" t="n">
        <f aca="false">Waterfall!BK7+Tax!BK27</f>
        <v>54.3479136382411</v>
      </c>
      <c r="DN10" s="11" t="n">
        <f aca="false">Waterfall!BL7+Tax!BL27</f>
        <v>54.9485702693088</v>
      </c>
      <c r="DO10" s="11" t="n">
        <f aca="false">Waterfall!BM7+Tax!BM27</f>
        <v>40.2202193246854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-208.521386038383</v>
      </c>
      <c r="BS11" s="11" t="n">
        <f aca="false">BR11+BS8</f>
        <v>-197.540995510564</v>
      </c>
      <c r="BT11" s="11" t="n">
        <f aca="false">BS11+BT8</f>
        <v>-185.648633431547</v>
      </c>
      <c r="BU11" s="11" t="n">
        <f aca="false">BT11+BU8</f>
        <v>-174.57980149269</v>
      </c>
      <c r="BV11" s="11" t="n">
        <f aca="false">BU11+BV8</f>
        <v>-162.795412327122</v>
      </c>
      <c r="BW11" s="11" t="n">
        <f aca="false">BV11+BW8</f>
        <v>-151.973693931059</v>
      </c>
      <c r="BX11" s="11" t="n">
        <f aca="false">BW11+BX8</f>
        <v>-139.902448855379</v>
      </c>
      <c r="BY11" s="11" t="n">
        <f aca="false">BX11+BY8</f>
        <v>-127.110332113967</v>
      </c>
      <c r="BZ11" s="11" t="n">
        <f aca="false">BY11+BZ8</f>
        <v>-115.495861723858</v>
      </c>
      <c r="CA11" s="11" t="n">
        <f aca="false">BZ11+CA8</f>
        <v>-104.680229360268</v>
      </c>
      <c r="CB11" s="11" t="n">
        <f aca="false">CA11+CB8</f>
        <v>-93.1730819874053</v>
      </c>
      <c r="CC11" s="11" t="n">
        <f aca="false">CB11+CC8</f>
        <v>-87.8418166848811</v>
      </c>
      <c r="CD11" s="11" t="n">
        <f aca="false">CC11+CD8</f>
        <v>-81.6061022596685</v>
      </c>
      <c r="CE11" s="11" t="n">
        <f aca="false">CD11+CE8</f>
        <v>-75.7569965224292</v>
      </c>
      <c r="CF11" s="11" t="n">
        <f aca="false">CE11+CF8</f>
        <v>-68.61417606703</v>
      </c>
      <c r="CG11" s="11" t="n">
        <f aca="false">CF11+CG8</f>
        <v>-60.9435908330391</v>
      </c>
      <c r="CH11" s="11" t="n">
        <f aca="false">CG11+CH8</f>
        <v>-52.5047701558333</v>
      </c>
      <c r="CI11" s="11" t="n">
        <f aca="false">CH11+CI8</f>
        <v>-43.7567692655032</v>
      </c>
      <c r="CJ11" s="11" t="n">
        <f aca="false">CI11+CJ8</f>
        <v>-33.7618909693836</v>
      </c>
      <c r="CK11" s="11" t="n">
        <f aca="false">CJ11+CK8</f>
        <v>-23.0657681280293</v>
      </c>
      <c r="CL11" s="11" t="n">
        <f aca="false">CK11+CL8</f>
        <v>-10.7115995006871</v>
      </c>
      <c r="CM11" s="11" t="n">
        <f aca="false">CL11+CM8</f>
        <v>10.8630123572605</v>
      </c>
      <c r="CN11" s="11" t="n">
        <f aca="false">CM11+CN8</f>
        <v>40.6807839539721</v>
      </c>
      <c r="CO11" s="11" t="n">
        <f aca="false">CN11+CO8</f>
        <v>72.5642074167446</v>
      </c>
      <c r="CP11" s="11" t="n">
        <f aca="false">CO11+CP8</f>
        <v>102.774734161776</v>
      </c>
      <c r="CQ11" s="11" t="n">
        <f aca="false">CP11+CQ8</f>
        <v>151.499363424782</v>
      </c>
      <c r="CR11" s="11" t="n">
        <f aca="false">CQ11+CR8</f>
        <v>192.622340951109</v>
      </c>
      <c r="CS11" s="11" t="n">
        <f aca="false">CR11+CS8</f>
        <v>232.633528165693</v>
      </c>
      <c r="CT11" s="11" t="n">
        <f aca="false">CS11+CT8</f>
        <v>272.980159666068</v>
      </c>
      <c r="CU11" s="11" t="n">
        <f aca="false">CT11+CU8</f>
        <v>313.07066148357</v>
      </c>
      <c r="CV11" s="11" t="n">
        <f aca="false">CU11+CV8</f>
        <v>359.917234158123</v>
      </c>
      <c r="CW11" s="11" t="n">
        <f aca="false">CV11+CW8</f>
        <v>402.323216392751</v>
      </c>
      <c r="CX11" s="11" t="n">
        <f aca="false">CW11+CX8</f>
        <v>444.782912860855</v>
      </c>
      <c r="CY11" s="11" t="n">
        <f aca="false">CX11+CY8</f>
        <v>486.800615856082</v>
      </c>
      <c r="CZ11" s="11" t="n">
        <f aca="false">CY11+CZ8</f>
        <v>529.473954166803</v>
      </c>
      <c r="DA11" s="11" t="n">
        <f aca="false">CZ11+DA8</f>
        <v>571.688643107377</v>
      </c>
      <c r="DB11" s="11" t="n">
        <f aca="false">DA11+DB8</f>
        <v>614.485565599657</v>
      </c>
      <c r="DC11" s="11" t="n">
        <f aca="false">DB11+DC8</f>
        <v>656.492984140772</v>
      </c>
      <c r="DD11" s="11" t="n">
        <f aca="false">DC11+DD8</f>
        <v>699.748689863082</v>
      </c>
      <c r="DE11" s="11" t="n">
        <f aca="false">DD11+DE8</f>
        <v>739.584710076599</v>
      </c>
      <c r="DF11" s="11" t="n">
        <f aca="false">DE11+DF8</f>
        <v>773.24690838873</v>
      </c>
      <c r="DG11" s="11" t="n">
        <f aca="false">DF11+DG8</f>
        <v>806.447902731124</v>
      </c>
      <c r="DH11" s="11" t="n">
        <f aca="false">DG11+DH8</f>
        <v>840.315480979811</v>
      </c>
      <c r="DI11" s="11" t="n">
        <f aca="false">DH11+DI8</f>
        <v>873.696426607439</v>
      </c>
      <c r="DJ11" s="11" t="n">
        <f aca="false">DI11+DJ8</f>
        <v>907.662664694961</v>
      </c>
      <c r="DK11" s="11" t="n">
        <f aca="false">DJ11+DK8</f>
        <v>941.361069165194</v>
      </c>
      <c r="DL11" s="11" t="n">
        <f aca="false">DK11+DL8</f>
        <v>983.092432076507</v>
      </c>
      <c r="DM11" s="11" t="n">
        <f aca="false">DL11+DM8</f>
        <v>1019.55228960079</v>
      </c>
      <c r="DN11" s="11" t="n">
        <f aca="false">DM11+DN8</f>
        <v>1056.66068543048</v>
      </c>
      <c r="DO11" s="11" t="n">
        <f aca="false">DN11+DO8</f>
        <v>1109.74123906737</v>
      </c>
      <c r="DP11" s="11" t="n">
        <f aca="false">DO11+DP8</f>
        <v>1109.74123906737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0.125412242079792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0.106229479414503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0.111769150353282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-54.6045851475661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e">
        <f aca="false">Ratios!$F$16</f>
        <v>#VALUE!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e">
        <f aca="false">Ratios!$F$17</f>
        <v>#VALUE!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1.38458928528038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1.80529643069645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0.125412242079792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0.106229479414503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-54.6045851475661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2026-10-03T20:47:16Z</dcterms:created>
  <dc:creator>openpyxl</dc:creator>
  <dc:description/>
  <dc:language>en-US</dc:language>
  <cp:lastModifiedBy/>
  <dcterms:modified xsi:type="dcterms:W3CDTF">2026-10-03T20:47:16Z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