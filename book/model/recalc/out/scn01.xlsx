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<sst xmlns="http://schemas.openxmlformats.org/spreadsheetml/2006/main" count="2268" uniqueCount="840">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</sst>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(Time!J27+Time!J28)/24</f>
        <v>0</v>
      </c>
      <c r="K29" s="11" t="n">
        <f aca="false">(Time!K27+Time!K28)/24</f>
        <v>0</v>
      </c>
      <c r="L29" s="11" t="n">
        <f aca="false">(Time!L27+Time!L28)/24</f>
        <v>0</v>
      </c>
      <c r="M29" s="11" t="n">
        <f aca="false">(Time!M27+Time!M28)/24</f>
        <v>0</v>
      </c>
      <c r="N29" s="11" t="n">
        <f aca="false">(Time!N27+Time!N28)/24</f>
        <v>0</v>
      </c>
      <c r="O29" s="11" t="n">
        <f aca="false">(Time!O27+Time!O28)/24</f>
        <v>0.0833333333333333</v>
      </c>
      <c r="P29" s="11" t="n">
        <f aca="false">(Time!P27+Time!P28)/24</f>
        <v>0.416666666666667</v>
      </c>
      <c r="Q29" s="11" t="n">
        <f aca="false">(Time!Q27+Time!Q28)/24</f>
        <v>0.916666666666667</v>
      </c>
      <c r="R29" s="11" t="n">
        <f aca="false">(Time!R27+Time!R28)/24</f>
        <v>1.41666666666667</v>
      </c>
      <c r="S29" s="11" t="n">
        <f aca="false">(Time!S27+Time!S28)/24</f>
        <v>1.91666666666667</v>
      </c>
      <c r="T29" s="11" t="n">
        <f aca="false">(Time!T27+Time!T28)/24</f>
        <v>2.41666666666667</v>
      </c>
      <c r="U29" s="11" t="n">
        <f aca="false">(Time!U27+Time!U28)/24</f>
        <v>2.91666666666667</v>
      </c>
      <c r="V29" s="11" t="n">
        <f aca="false">(Time!V27+Time!V28)/24</f>
        <v>3.41666666666667</v>
      </c>
      <c r="W29" s="11" t="n">
        <f aca="false">(Time!W27+Time!W28)/24</f>
        <v>3.91666666666667</v>
      </c>
      <c r="X29" s="11" t="n">
        <f aca="false">(Time!X27+Time!X28)/24</f>
        <v>4.41666666666667</v>
      </c>
      <c r="Y29" s="11" t="n">
        <f aca="false">(Time!Y27+Time!Y28)/24</f>
        <v>4.91666666666667</v>
      </c>
      <c r="Z29" s="11" t="n">
        <f aca="false">(Time!Z27+Time!Z28)/24</f>
        <v>5.41666666666667</v>
      </c>
      <c r="AA29" s="11" t="n">
        <f aca="false">(Time!AA27+Time!AA28)/24</f>
        <v>5.91666666666667</v>
      </c>
      <c r="AB29" s="11" t="n">
        <f aca="false">(Time!AB27+Time!AB28)/24</f>
        <v>6.41666666666667</v>
      </c>
      <c r="AC29" s="11" t="n">
        <f aca="false">(Time!AC27+Time!AC28)/24</f>
        <v>6.91666666666667</v>
      </c>
      <c r="AD29" s="11" t="n">
        <f aca="false">(Time!AD27+Time!AD28)/24</f>
        <v>7.41666666666667</v>
      </c>
      <c r="AE29" s="11" t="n">
        <f aca="false">(Time!AE27+Time!AE28)/24</f>
        <v>7.91666666666667</v>
      </c>
      <c r="AF29" s="11" t="n">
        <f aca="false">(Time!AF27+Time!AF28)/24</f>
        <v>8.41666666666667</v>
      </c>
      <c r="AG29" s="11" t="n">
        <f aca="false">(Time!AG27+Time!AG28)/24</f>
        <v>8.91666666666667</v>
      </c>
      <c r="AH29" s="11" t="n">
        <f aca="false">(Time!AH27+Time!AH28)/24</f>
        <v>9.41666666666667</v>
      </c>
      <c r="AI29" s="11" t="n">
        <f aca="false">(Time!AI27+Time!AI28)/24</f>
        <v>9.91666666666667</v>
      </c>
      <c r="AJ29" s="11" t="n">
        <f aca="false">(Time!AJ27+Time!AJ28)/24</f>
        <v>10.4166666666667</v>
      </c>
      <c r="AK29" s="11" t="n">
        <f aca="false">(Time!AK27+Time!AK28)/24</f>
        <v>10.9166666666667</v>
      </c>
      <c r="AL29" s="11" t="n">
        <f aca="false">(Time!AL27+Time!AL28)/24</f>
        <v>11.4166666666667</v>
      </c>
      <c r="AM29" s="11" t="n">
        <f aca="false">(Time!AM27+Time!AM28)/24</f>
        <v>11.9166666666667</v>
      </c>
      <c r="AN29" s="11" t="n">
        <f aca="false">(Time!AN27+Time!AN28)/24</f>
        <v>12.4166666666667</v>
      </c>
      <c r="AO29" s="11" t="n">
        <f aca="false">(Time!AO27+Time!AO28)/24</f>
        <v>12.9166666666667</v>
      </c>
      <c r="AP29" s="11" t="n">
        <f aca="false">(Time!AP27+Time!AP28)/24</f>
        <v>13.4166666666667</v>
      </c>
      <c r="AQ29" s="11" t="n">
        <f aca="false">(Time!AQ27+Time!AQ28)/24</f>
        <v>13.9166666666667</v>
      </c>
      <c r="AR29" s="11" t="n">
        <f aca="false">(Time!AR27+Time!AR28)/24</f>
        <v>14.4166666666667</v>
      </c>
      <c r="AS29" s="11" t="n">
        <f aca="false">(Time!AS27+Time!AS28)/24</f>
        <v>14.9166666666667</v>
      </c>
      <c r="AT29" s="11" t="n">
        <f aca="false">(Time!AT27+Time!AT28)/24</f>
        <v>15.4166666666667</v>
      </c>
      <c r="AU29" s="11" t="n">
        <f aca="false">(Time!AU27+Time!AU28)/24</f>
        <v>15.9166666666667</v>
      </c>
      <c r="AV29" s="11" t="n">
        <f aca="false">(Time!AV27+Time!AV28)/24</f>
        <v>16.4166666666667</v>
      </c>
      <c r="AW29" s="11" t="n">
        <f aca="false">(Time!AW27+Time!AW28)/24</f>
        <v>16.9166666666667</v>
      </c>
      <c r="AX29" s="11" t="n">
        <f aca="false">(Time!AX27+Time!AX28)/24</f>
        <v>17.4166666666667</v>
      </c>
      <c r="AY29" s="11" t="n">
        <f aca="false">(Time!AY27+Time!AY28)/24</f>
        <v>17.9166666666667</v>
      </c>
      <c r="AZ29" s="11" t="n">
        <f aca="false">(Time!AZ27+Time!AZ28)/24</f>
        <v>18.4166666666667</v>
      </c>
      <c r="BA29" s="11" t="n">
        <f aca="false">(Time!BA27+Time!BA28)/24</f>
        <v>18.9166666666667</v>
      </c>
      <c r="BB29" s="11" t="n">
        <f aca="false">(Time!BB27+Time!BB28)/24</f>
        <v>19.4166666666667</v>
      </c>
      <c r="BC29" s="11" t="n">
        <f aca="false">(Time!BC27+Time!BC28)/24</f>
        <v>19.9166666666667</v>
      </c>
      <c r="BD29" s="11" t="n">
        <f aca="false">(Time!BD27+Time!BD28)/24</f>
        <v>20.4166666666667</v>
      </c>
      <c r="BE29" s="11" t="n">
        <f aca="false">(Time!BE27+Time!BE28)/24</f>
        <v>20.9166666666667</v>
      </c>
      <c r="BF29" s="11" t="n">
        <f aca="false">(Time!BF27+Time!BF28)/24</f>
        <v>21.4166666666667</v>
      </c>
      <c r="BG29" s="11" t="n">
        <f aca="false">(Time!BG27+Time!BG28)/24</f>
        <v>21.9166666666667</v>
      </c>
      <c r="BH29" s="11" t="n">
        <f aca="false">(Time!BH27+Time!BH28)/24</f>
        <v>22.4166666666667</v>
      </c>
      <c r="BI29" s="11" t="n">
        <f aca="false">(Time!BI27+Time!BI28)/24</f>
        <v>22.9166666666667</v>
      </c>
      <c r="BJ29" s="11" t="n">
        <f aca="false">(Time!BJ27+Time!BJ28)/24</f>
        <v>23.4166666666667</v>
      </c>
      <c r="BK29" s="11" t="n">
        <f aca="false">(Time!BK27+Time!BK28)/24</f>
        <v>23.9166666666667</v>
      </c>
      <c r="BL29" s="11" t="n">
        <f aca="false">(Time!BL27+Time!BL28)/24</f>
        <v>24.4166666666667</v>
      </c>
      <c r="BM29" s="11" t="n">
        <f aca="false">(Time!BM27+Time!BM28)/24</f>
        <v>24.8333333333333</v>
      </c>
      <c r="BN29" s="11" t="n">
        <f aca="false">(Time!BN27+Time!BN28)/24</f>
        <v>25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0.952875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6649.93031472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6630.139725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6926.36858670277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108.718867147168</v>
      </c>
      <c r="Q78" s="11" t="n">
        <f aca="false">Q67+Q69+Q70+Q71+Q74+Q77</f>
        <v>110.068070954753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2617.85377544491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50.6626360431684</v>
      </c>
      <c r="Q79" s="11" t="n">
        <f aca="false">Q51-Q78+Q53</f>
        <v>50.869373554412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15.2682140892772</v>
      </c>
      <c r="R90" s="11" t="n">
        <f aca="false">R83+R84-R85-R86-R87-R88-R89</f>
        <v>15.0749139332739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0.291133033767096</v>
      </c>
      <c r="R91" s="11" t="n">
        <f aca="false">R90-Q90</f>
        <v>-0.193300156003295</v>
      </c>
      <c r="S91" s="11" t="n">
        <f aca="false">S90-R90</f>
        <v>0.294280307214954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e">
        <f aca="false">SUM(J13:BN13)</f>
        <v>#VALUE!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e">
        <f aca="false">IF(Time!P17&gt;=Time!$F$11,Waterfall!P33*Inputs!$F$102/100*Time!P26/365,0)</f>
        <v>#VALUE!</v>
      </c>
      <c r="Q13" s="11" t="e">
        <f aca="false">IF(Time!Q17&gt;=Time!$F$11,Waterfall!Q33*Inputs!$F$102/100*Time!Q26/365,0)</f>
        <v>#VALUE!</v>
      </c>
      <c r="R13" s="11" t="e">
        <f aca="false">IF(Time!R17&gt;=Time!$F$11,Waterfall!R33*Inputs!$F$102/100*Time!R26/365,0)</f>
        <v>#VALUE!</v>
      </c>
      <c r="S13" s="11" t="e">
        <f aca="false">IF(Time!S17&gt;=Time!$F$11,Waterfall!S33*Inputs!$F$102/100*Time!S26/365,0)</f>
        <v>#VALUE!</v>
      </c>
      <c r="T13" s="11" t="e">
        <f aca="false">IF(Time!T17&gt;=Time!$F$11,Waterfall!T33*Inputs!$F$102/100*Time!T26/365,0)</f>
        <v>#VALUE!</v>
      </c>
      <c r="U13" s="11" t="e">
        <f aca="false">IF(Time!U17&gt;=Time!$F$11,Waterfall!U33*Inputs!$F$102/100*Time!U26/365,0)</f>
        <v>#VALUE!</v>
      </c>
      <c r="V13" s="11" t="e">
        <f aca="false">IF(Time!V17&gt;=Time!$F$11,Waterfall!V33*Inputs!$F$102/100*Time!V26/365,0)</f>
        <v>#VALUE!</v>
      </c>
      <c r="W13" s="11" t="e">
        <f aca="false">IF(Time!W17&gt;=Time!$F$11,Waterfall!W33*Inputs!$F$102/100*Time!W26/365,0)</f>
        <v>#VALUE!</v>
      </c>
      <c r="X13" s="11" t="e">
        <f aca="false">IF(Time!X17&gt;=Time!$F$11,Waterfall!X33*Inputs!$F$102/100*Time!X26/365,0)</f>
        <v>#VALUE!</v>
      </c>
      <c r="Y13" s="11" t="e">
        <f aca="false">IF(Time!Y17&gt;=Time!$F$11,Waterfall!Y33*Inputs!$F$102/100*Time!Y26/365,0)</f>
        <v>#VALUE!</v>
      </c>
      <c r="Z13" s="11" t="e">
        <f aca="false">IF(Time!Z17&gt;=Time!$F$11,Waterfall!Z33*Inputs!$F$102/100*Time!Z26/365,0)</f>
        <v>#VALUE!</v>
      </c>
      <c r="AA13" s="11" t="e">
        <f aca="false">IF(Time!AA17&gt;=Time!$F$11,Waterfall!AA33*Inputs!$F$102/100*Time!AA26/365,0)</f>
        <v>#VALUE!</v>
      </c>
      <c r="AB13" s="11" t="e">
        <f aca="false">IF(Time!AB17&gt;=Time!$F$11,Waterfall!AB33*Inputs!$F$102/100*Time!AB26/365,0)</f>
        <v>#VALUE!</v>
      </c>
      <c r="AC13" s="11" t="e">
        <f aca="false">IF(Time!AC17&gt;=Time!$F$11,Waterfall!AC33*Inputs!$F$102/100*Time!AC26/365,0)</f>
        <v>#VALUE!</v>
      </c>
      <c r="AD13" s="11" t="e">
        <f aca="false">IF(Time!AD17&gt;=Time!$F$11,Waterfall!AD33*Inputs!$F$102/100*Time!AD26/365,0)</f>
        <v>#VALUE!</v>
      </c>
      <c r="AE13" s="11" t="e">
        <f aca="false">IF(Time!AE17&gt;=Time!$F$11,Waterfall!AE33*Inputs!$F$102/100*Time!AE26/365,0)</f>
        <v>#VALUE!</v>
      </c>
      <c r="AF13" s="11" t="e">
        <f aca="false">IF(Time!AF17&gt;=Time!$F$11,Waterfall!AF33*Inputs!$F$102/100*Time!AF26/365,0)</f>
        <v>#VALUE!</v>
      </c>
      <c r="AG13" s="11" t="e">
        <f aca="false">IF(Time!AG17&gt;=Time!$F$11,Waterfall!AG33*Inputs!$F$102/100*Time!AG26/365,0)</f>
        <v>#VALUE!</v>
      </c>
      <c r="AH13" s="11" t="e">
        <f aca="false">IF(Time!AH17&gt;=Time!$F$11,Waterfall!AH33*Inputs!$F$102/100*Time!AH26/365,0)</f>
        <v>#VALUE!</v>
      </c>
      <c r="AI13" s="11" t="e">
        <f aca="false">IF(Time!AI17&gt;=Time!$F$11,Waterfall!AI33*Inputs!$F$102/100*Time!AI26/365,0)</f>
        <v>#VALUE!</v>
      </c>
      <c r="AJ13" s="11" t="e">
        <f aca="false">IF(Time!AJ17&gt;=Time!$F$11,Waterfall!AJ33*Inputs!$F$102/100*Time!AJ26/365,0)</f>
        <v>#VALUE!</v>
      </c>
      <c r="AK13" s="11" t="e">
        <f aca="false">IF(Time!AK17&gt;=Time!$F$11,Waterfall!AK33*Inputs!$F$102/100*Time!AK26/365,0)</f>
        <v>#VALUE!</v>
      </c>
      <c r="AL13" s="11" t="e">
        <f aca="false">IF(Time!AL17&gt;=Time!$F$11,Waterfall!AL33*Inputs!$F$102/100*Time!AL26/365,0)</f>
        <v>#VALUE!</v>
      </c>
      <c r="AM13" s="11" t="e">
        <f aca="false">IF(Time!AM17&gt;=Time!$F$11,Waterfall!AM33*Inputs!$F$102/100*Time!AM26/365,0)</f>
        <v>#VALUE!</v>
      </c>
      <c r="AN13" s="11" t="e">
        <f aca="false">IF(Time!AN17&gt;=Time!$F$11,Waterfall!AN33*Inputs!$F$102/100*Time!AN26/365,0)</f>
        <v>#VALUE!</v>
      </c>
      <c r="AO13" s="11" t="e">
        <f aca="false">IF(Time!AO17&gt;=Time!$F$11,Waterfall!AO33*Inputs!$F$102/100*Time!AO26/365,0)</f>
        <v>#VALUE!</v>
      </c>
      <c r="AP13" s="11" t="e">
        <f aca="false">IF(Time!AP17&gt;=Time!$F$11,Waterfall!AP33*Inputs!$F$102/100*Time!AP26/365,0)</f>
        <v>#VALUE!</v>
      </c>
      <c r="AQ13" s="11" t="e">
        <f aca="false">IF(Time!AQ17&gt;=Time!$F$11,Waterfall!AQ33*Inputs!$F$102/100*Time!AQ26/365,0)</f>
        <v>#VALUE!</v>
      </c>
      <c r="AR13" s="11" t="e">
        <f aca="false">IF(Time!AR17&gt;=Time!$F$11,Waterfall!AR33*Inputs!$F$102/100*Time!AR26/365,0)</f>
        <v>#VALUE!</v>
      </c>
      <c r="AS13" s="11" t="e">
        <f aca="false">IF(Time!AS17&gt;=Time!$F$11,Waterfall!AS33*Inputs!$F$102/100*Time!AS26/365,0)</f>
        <v>#VALUE!</v>
      </c>
      <c r="AT13" s="11" t="e">
        <f aca="false">IF(Time!AT17&gt;=Time!$F$11,Waterfall!AT33*Inputs!$F$102/100*Time!AT26/365,0)</f>
        <v>#VALUE!</v>
      </c>
      <c r="AU13" s="11" t="e">
        <f aca="false">IF(Time!AU17&gt;=Time!$F$11,Waterfall!AU33*Inputs!$F$102/100*Time!AU26/365,0)</f>
        <v>#VALUE!</v>
      </c>
      <c r="AV13" s="11" t="e">
        <f aca="false">IF(Time!AV17&gt;=Time!$F$11,Waterfall!AV33*Inputs!$F$102/100*Time!AV26/365,0)</f>
        <v>#VALUE!</v>
      </c>
      <c r="AW13" s="11" t="e">
        <f aca="false">IF(Time!AW17&gt;=Time!$F$11,Waterfall!AW33*Inputs!$F$102/100*Time!AW26/365,0)</f>
        <v>#VALUE!</v>
      </c>
      <c r="AX13" s="11" t="e">
        <f aca="false">IF(Time!AX17&gt;=Time!$F$11,Waterfall!AX33*Inputs!$F$102/100*Time!AX26/365,0)</f>
        <v>#VALUE!</v>
      </c>
      <c r="AY13" s="11" t="e">
        <f aca="false">IF(Time!AY17&gt;=Time!$F$11,Waterfall!AY33*Inputs!$F$102/100*Time!AY26/365,0)</f>
        <v>#VALUE!</v>
      </c>
      <c r="AZ13" s="11" t="e">
        <f aca="false">IF(Time!AZ17&gt;=Time!$F$11,Waterfall!AZ33*Inputs!$F$102/100*Time!AZ26/365,0)</f>
        <v>#VALUE!</v>
      </c>
      <c r="BA13" s="11" t="e">
        <f aca="false">IF(Time!BA17&gt;=Time!$F$11,Waterfall!BA33*Inputs!$F$102/100*Time!BA26/365,0)</f>
        <v>#VALUE!</v>
      </c>
      <c r="BB13" s="11" t="e">
        <f aca="false">IF(Time!BB17&gt;=Time!$F$11,Waterfall!BB33*Inputs!$F$102/100*Time!BB26/365,0)</f>
        <v>#VALUE!</v>
      </c>
      <c r="BC13" s="11" t="e">
        <f aca="false">IF(Time!BC17&gt;=Time!$F$11,Waterfall!BC33*Inputs!$F$102/100*Time!BC26/365,0)</f>
        <v>#VALUE!</v>
      </c>
      <c r="BD13" s="11" t="e">
        <f aca="false">IF(Time!BD17&gt;=Time!$F$11,Waterfall!BD33*Inputs!$F$102/100*Time!BD26/365,0)</f>
        <v>#VALUE!</v>
      </c>
      <c r="BE13" s="11" t="e">
        <f aca="false">IF(Time!BE17&gt;=Time!$F$11,Waterfall!BE33*Inputs!$F$102/100*Time!BE26/365,0)</f>
        <v>#VALUE!</v>
      </c>
      <c r="BF13" s="11" t="e">
        <f aca="false">IF(Time!BF17&gt;=Time!$F$11,Waterfall!BF33*Inputs!$F$102/100*Time!BF26/365,0)</f>
        <v>#VALUE!</v>
      </c>
      <c r="BG13" s="11" t="e">
        <f aca="false">IF(Time!BG17&gt;=Time!$F$11,Waterfall!BG33*Inputs!$F$102/100*Time!BG26/365,0)</f>
        <v>#VALUE!</v>
      </c>
      <c r="BH13" s="11" t="e">
        <f aca="false">IF(Time!BH17&gt;=Time!$F$11,Waterfall!BH33*Inputs!$F$102/100*Time!BH26/365,0)</f>
        <v>#VALUE!</v>
      </c>
      <c r="BI13" s="11" t="e">
        <f aca="false">IF(Time!BI17&gt;=Time!$F$11,Waterfall!BI33*Inputs!$F$102/100*Time!BI26/365,0)</f>
        <v>#VALUE!</v>
      </c>
      <c r="BJ13" s="11" t="e">
        <f aca="false">IF(Time!BJ17&gt;=Time!$F$11,Waterfall!BJ33*Inputs!$F$102/100*Time!BJ26/365,0)</f>
        <v>#VALUE!</v>
      </c>
      <c r="BK13" s="11" t="e">
        <f aca="false">IF(Time!BK17&gt;=Time!$F$11,Waterfall!BK33*Inputs!$F$102/100*Time!BK26/365,0)</f>
        <v>#VALUE!</v>
      </c>
      <c r="BL13" s="11" t="e">
        <f aca="false">IF(Time!BL17&gt;=Time!$F$11,Waterfall!BL33*Inputs!$F$102/100*Time!BL26/365,0)</f>
        <v>#VALUE!</v>
      </c>
      <c r="BM13" s="11" t="e">
        <f aca="false">IF(Time!BM17&gt;=Time!$F$11,Waterfall!BM33*Inputs!$F$102/100*Time!BM26/365,0)</f>
        <v>#VALUE!</v>
      </c>
      <c r="BN13" s="11" t="e">
        <f aca="false">IF(Time!BN17&gt;=Time!$F$11,Waterfall!BN33*Inputs!$F$102/100*Time!BN26/365,0)</f>
        <v>#VALUE!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e">
        <f aca="false">IF(Waterfall!P33&gt;0,MIN(1,Inputs!$F$180*(Waterfall!$F$32+MAX(0,Waterfall!O43))/Waterfall!P33),1)</f>
        <v>#VALUE!</v>
      </c>
      <c r="Q14" s="6" t="e">
        <f aca="false">IF(Waterfall!Q33&gt;0,MIN(1,Inputs!$F$180*(Waterfall!$F$32+MAX(0,Waterfall!P43))/Waterfall!Q33),1)</f>
        <v>#VALUE!</v>
      </c>
      <c r="R14" s="6" t="e">
        <f aca="false">IF(Waterfall!R33&gt;0,MIN(1,Inputs!$F$180*(Waterfall!$F$32+MAX(0,Waterfall!Q43))/Waterfall!R33),1)</f>
        <v>#VALUE!</v>
      </c>
      <c r="S14" s="6" t="e">
        <f aca="false">IF(Waterfall!S33&gt;0,MIN(1,Inputs!$F$180*(Waterfall!$F$32+MAX(0,Waterfall!R43))/Waterfall!S33),1)</f>
        <v>#VALUE!</v>
      </c>
      <c r="T14" s="6" t="e">
        <f aca="false">IF(Waterfall!T33&gt;0,MIN(1,Inputs!$F$180*(Waterfall!$F$32+MAX(0,Waterfall!S43))/Waterfall!T33),1)</f>
        <v>#VALUE!</v>
      </c>
      <c r="U14" s="6" t="e">
        <f aca="false">IF(Waterfall!U33&gt;0,MIN(1,Inputs!$F$180*(Waterfall!$F$32+MAX(0,Waterfall!T43))/Waterfall!U33),1)</f>
        <v>#VALUE!</v>
      </c>
      <c r="V14" s="6" t="e">
        <f aca="false">IF(Waterfall!V33&gt;0,MIN(1,Inputs!$F$180*(Waterfall!$F$32+MAX(0,Waterfall!U43))/Waterfall!V33),1)</f>
        <v>#VALUE!</v>
      </c>
      <c r="W14" s="6" t="e">
        <f aca="false">IF(Waterfall!W33&gt;0,MIN(1,Inputs!$F$180*(Waterfall!$F$32+MAX(0,Waterfall!V43))/Waterfall!W33),1)</f>
        <v>#VALUE!</v>
      </c>
      <c r="X14" s="6" t="e">
        <f aca="false">IF(Waterfall!X33&gt;0,MIN(1,Inputs!$F$180*(Waterfall!$F$32+MAX(0,Waterfall!W43))/Waterfall!X33),1)</f>
        <v>#VALUE!</v>
      </c>
      <c r="Y14" s="6" t="e">
        <f aca="false">IF(Waterfall!Y33&gt;0,MIN(1,Inputs!$F$180*(Waterfall!$F$32+MAX(0,Waterfall!X43))/Waterfall!Y33),1)</f>
        <v>#VALUE!</v>
      </c>
      <c r="Z14" s="6" t="e">
        <f aca="false">IF(Waterfall!Z33&gt;0,MIN(1,Inputs!$F$180*(Waterfall!$F$32+MAX(0,Waterfall!Y43))/Waterfall!Z33),1)</f>
        <v>#VALUE!</v>
      </c>
      <c r="AA14" s="6" t="e">
        <f aca="false">IF(Waterfall!AA33&gt;0,MIN(1,Inputs!$F$180*(Waterfall!$F$32+MAX(0,Waterfall!Z43))/Waterfall!AA33),1)</f>
        <v>#VALUE!</v>
      </c>
      <c r="AB14" s="6" t="e">
        <f aca="false">IF(Waterfall!AB33&gt;0,MIN(1,Inputs!$F$180*(Waterfall!$F$32+MAX(0,Waterfall!AA43))/Waterfall!AB33),1)</f>
        <v>#VALUE!</v>
      </c>
      <c r="AC14" s="6" t="e">
        <f aca="false">IF(Waterfall!AC33&gt;0,MIN(1,Inputs!$F$180*(Waterfall!$F$32+MAX(0,Waterfall!AB43))/Waterfall!AC33),1)</f>
        <v>#VALUE!</v>
      </c>
      <c r="AD14" s="6" t="e">
        <f aca="false">IF(Waterfall!AD33&gt;0,MIN(1,Inputs!$F$180*(Waterfall!$F$32+MAX(0,Waterfall!AC43))/Waterfall!AD33),1)</f>
        <v>#VALUE!</v>
      </c>
      <c r="AE14" s="6" t="e">
        <f aca="false">IF(Waterfall!AE33&gt;0,MIN(1,Inputs!$F$180*(Waterfall!$F$32+MAX(0,Waterfall!AD43))/Waterfall!AE33),1)</f>
        <v>#VALUE!</v>
      </c>
      <c r="AF14" s="6" t="e">
        <f aca="false">IF(Waterfall!AF33&gt;0,MIN(1,Inputs!$F$180*(Waterfall!$F$32+MAX(0,Waterfall!AE43))/Waterfall!AF33),1)</f>
        <v>#VALUE!</v>
      </c>
      <c r="AG14" s="6" t="e">
        <f aca="false">IF(Waterfall!AG33&gt;0,MIN(1,Inputs!$F$180*(Waterfall!$F$32+MAX(0,Waterfall!AF43))/Waterfall!AG33),1)</f>
        <v>#VALUE!</v>
      </c>
      <c r="AH14" s="6" t="e">
        <f aca="false">IF(Waterfall!AH33&gt;0,MIN(1,Inputs!$F$180*(Waterfall!$F$32+MAX(0,Waterfall!AG43))/Waterfall!AH33),1)</f>
        <v>#VALUE!</v>
      </c>
      <c r="AI14" s="6" t="e">
        <f aca="false">IF(Waterfall!AI33&gt;0,MIN(1,Inputs!$F$180*(Waterfall!$F$32+MAX(0,Waterfall!AH43))/Waterfall!AI33),1)</f>
        <v>#VALUE!</v>
      </c>
      <c r="AJ14" s="6" t="e">
        <f aca="false">IF(Waterfall!AJ33&gt;0,MIN(1,Inputs!$F$180*(Waterfall!$F$32+MAX(0,Waterfall!AI43))/Waterfall!AJ33),1)</f>
        <v>#VALUE!</v>
      </c>
      <c r="AK14" s="6" t="e">
        <f aca="false">IF(Waterfall!AK33&gt;0,MIN(1,Inputs!$F$180*(Waterfall!$F$32+MAX(0,Waterfall!AJ43))/Waterfall!AK33),1)</f>
        <v>#VALUE!</v>
      </c>
      <c r="AL14" s="6" t="e">
        <f aca="false">IF(Waterfall!AL33&gt;0,MIN(1,Inputs!$F$180*(Waterfall!$F$32+MAX(0,Waterfall!AK43))/Waterfall!AL33),1)</f>
        <v>#VALUE!</v>
      </c>
      <c r="AM14" s="6" t="e">
        <f aca="false">IF(Waterfall!AM33&gt;0,MIN(1,Inputs!$F$180*(Waterfall!$F$32+MAX(0,Waterfall!AL43))/Waterfall!AM33),1)</f>
        <v>#VALUE!</v>
      </c>
      <c r="AN14" s="6" t="e">
        <f aca="false">IF(Waterfall!AN33&gt;0,MIN(1,Inputs!$F$180*(Waterfall!$F$32+MAX(0,Waterfall!AM43))/Waterfall!AN33),1)</f>
        <v>#VALUE!</v>
      </c>
      <c r="AO14" s="6" t="e">
        <f aca="false">IF(Waterfall!AO33&gt;0,MIN(1,Inputs!$F$180*(Waterfall!$F$32+MAX(0,Waterfall!AN43))/Waterfall!AO33),1)</f>
        <v>#VALUE!</v>
      </c>
      <c r="AP14" s="6" t="e">
        <f aca="false">IF(Waterfall!AP33&gt;0,MIN(1,Inputs!$F$180*(Waterfall!$F$32+MAX(0,Waterfall!AO43))/Waterfall!AP33),1)</f>
        <v>#VALUE!</v>
      </c>
      <c r="AQ14" s="6" t="e">
        <f aca="false">IF(Waterfall!AQ33&gt;0,MIN(1,Inputs!$F$180*(Waterfall!$F$32+MAX(0,Waterfall!AP43))/Waterfall!AQ33),1)</f>
        <v>#VALUE!</v>
      </c>
      <c r="AR14" s="6" t="e">
        <f aca="false">IF(Waterfall!AR33&gt;0,MIN(1,Inputs!$F$180*(Waterfall!$F$32+MAX(0,Waterfall!AQ43))/Waterfall!AR33),1)</f>
        <v>#VALUE!</v>
      </c>
      <c r="AS14" s="6" t="e">
        <f aca="false">IF(Waterfall!AS33&gt;0,MIN(1,Inputs!$F$180*(Waterfall!$F$32+MAX(0,Waterfall!AR43))/Waterfall!AS33),1)</f>
        <v>#VALUE!</v>
      </c>
      <c r="AT14" s="6" t="e">
        <f aca="false">IF(Waterfall!AT33&gt;0,MIN(1,Inputs!$F$180*(Waterfall!$F$32+MAX(0,Waterfall!AS43))/Waterfall!AT33),1)</f>
        <v>#VALUE!</v>
      </c>
      <c r="AU14" s="6" t="e">
        <f aca="false">IF(Waterfall!AU33&gt;0,MIN(1,Inputs!$F$180*(Waterfall!$F$32+MAX(0,Waterfall!AT43))/Waterfall!AU33),1)</f>
        <v>#VALUE!</v>
      </c>
      <c r="AV14" s="6" t="e">
        <f aca="false">IF(Waterfall!AV33&gt;0,MIN(1,Inputs!$F$180*(Waterfall!$F$32+MAX(0,Waterfall!AU43))/Waterfall!AV33),1)</f>
        <v>#VALUE!</v>
      </c>
      <c r="AW14" s="6" t="e">
        <f aca="false">IF(Waterfall!AW33&gt;0,MIN(1,Inputs!$F$180*(Waterfall!$F$32+MAX(0,Waterfall!AV43))/Waterfall!AW33),1)</f>
        <v>#VALUE!</v>
      </c>
      <c r="AX14" s="6" t="e">
        <f aca="false">IF(Waterfall!AX33&gt;0,MIN(1,Inputs!$F$180*(Waterfall!$F$32+MAX(0,Waterfall!AW43))/Waterfall!AX33),1)</f>
        <v>#VALUE!</v>
      </c>
      <c r="AY14" s="6" t="e">
        <f aca="false">IF(Waterfall!AY33&gt;0,MIN(1,Inputs!$F$180*(Waterfall!$F$32+MAX(0,Waterfall!AX43))/Waterfall!AY33),1)</f>
        <v>#VALUE!</v>
      </c>
      <c r="AZ14" s="6" t="e">
        <f aca="false">IF(Waterfall!AZ33&gt;0,MIN(1,Inputs!$F$180*(Waterfall!$F$32+MAX(0,Waterfall!AY43))/Waterfall!AZ33),1)</f>
        <v>#VALUE!</v>
      </c>
      <c r="BA14" s="6" t="e">
        <f aca="false">IF(Waterfall!BA33&gt;0,MIN(1,Inputs!$F$180*(Waterfall!$F$32+MAX(0,Waterfall!AZ43))/Waterfall!BA33),1)</f>
        <v>#VALUE!</v>
      </c>
      <c r="BB14" s="6" t="e">
        <f aca="false">IF(Waterfall!BB33&gt;0,MIN(1,Inputs!$F$180*(Waterfall!$F$32+MAX(0,Waterfall!BA43))/Waterfall!BB33),1)</f>
        <v>#VALUE!</v>
      </c>
      <c r="BC14" s="6" t="e">
        <f aca="false">IF(Waterfall!BC33&gt;0,MIN(1,Inputs!$F$180*(Waterfall!$F$32+MAX(0,Waterfall!BB43))/Waterfall!BC33),1)</f>
        <v>#VALUE!</v>
      </c>
      <c r="BD14" s="6" t="e">
        <f aca="false">IF(Waterfall!BD33&gt;0,MIN(1,Inputs!$F$180*(Waterfall!$F$32+MAX(0,Waterfall!BC43))/Waterfall!BD33),1)</f>
        <v>#VALUE!</v>
      </c>
      <c r="BE14" s="6" t="e">
        <f aca="false">IF(Waterfall!BE33&gt;0,MIN(1,Inputs!$F$180*(Waterfall!$F$32+MAX(0,Waterfall!BD43))/Waterfall!BE33),1)</f>
        <v>#VALUE!</v>
      </c>
      <c r="BF14" s="6" t="e">
        <f aca="false">IF(Waterfall!BF33&gt;0,MIN(1,Inputs!$F$180*(Waterfall!$F$32+MAX(0,Waterfall!BE43))/Waterfall!BF33),1)</f>
        <v>#VALUE!</v>
      </c>
      <c r="BG14" s="6" t="e">
        <f aca="false">IF(Waterfall!BG33&gt;0,MIN(1,Inputs!$F$180*(Waterfall!$F$32+MAX(0,Waterfall!BF43))/Waterfall!BG33),1)</f>
        <v>#VALUE!</v>
      </c>
      <c r="BH14" s="6" t="e">
        <f aca="false">IF(Waterfall!BH33&gt;0,MIN(1,Inputs!$F$180*(Waterfall!$F$32+MAX(0,Waterfall!BG43))/Waterfall!BH33),1)</f>
        <v>#VALUE!</v>
      </c>
      <c r="BI14" s="6" t="e">
        <f aca="false">IF(Waterfall!BI33&gt;0,MIN(1,Inputs!$F$180*(Waterfall!$F$32+MAX(0,Waterfall!BH43))/Waterfall!BI33),1)</f>
        <v>#VALUE!</v>
      </c>
      <c r="BJ14" s="6" t="e">
        <f aca="false">IF(Waterfall!BJ33&gt;0,MIN(1,Inputs!$F$180*(Waterfall!$F$32+MAX(0,Waterfall!BI43))/Waterfall!BJ33),1)</f>
        <v>#VALUE!</v>
      </c>
      <c r="BK14" s="6" t="e">
        <f aca="false">IF(Waterfall!BK33&gt;0,MIN(1,Inputs!$F$180*(Waterfall!$F$32+MAX(0,Waterfall!BJ43))/Waterfall!BK33),1)</f>
        <v>#VALUE!</v>
      </c>
      <c r="BL14" s="6" t="e">
        <f aca="false">IF(Waterfall!BL33&gt;0,MIN(1,Inputs!$F$180*(Waterfall!$F$32+MAX(0,Waterfall!BK43))/Waterfall!BL33),1)</f>
        <v>#VALUE!</v>
      </c>
      <c r="BM14" s="6" t="e">
        <f aca="false">IF(Waterfall!BM33&gt;0,MIN(1,Inputs!$F$180*(Waterfall!$F$32+MAX(0,Waterfall!BL43))/Waterfall!BM33),1)</f>
        <v>#VALUE!</v>
      </c>
      <c r="BN14" s="6" t="e">
        <f aca="false">IF(Waterfall!BN33&gt;0,MIN(1,Inputs!$F$180*(Waterfall!$F$32+MAX(0,Waterfall!BM43))/Waterfall!BN33),1)</f>
        <v>#VALUE!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e">
        <f aca="false">SUM(J15:BN15)</f>
        <v>#VALUE!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e">
        <f aca="false">P13*P14</f>
        <v>#VALUE!</v>
      </c>
      <c r="Q15" s="11" t="e">
        <f aca="false">Q13*Q14</f>
        <v>#VALUE!</v>
      </c>
      <c r="R15" s="11" t="e">
        <f aca="false">R13*R14</f>
        <v>#VALUE!</v>
      </c>
      <c r="S15" s="11" t="e">
        <f aca="false">S13*S14</f>
        <v>#VALUE!</v>
      </c>
      <c r="T15" s="11" t="e">
        <f aca="false">T13*T14</f>
        <v>#VALUE!</v>
      </c>
      <c r="U15" s="11" t="e">
        <f aca="false">U13*U14</f>
        <v>#VALUE!</v>
      </c>
      <c r="V15" s="11" t="e">
        <f aca="false">V13*V14</f>
        <v>#VALUE!</v>
      </c>
      <c r="W15" s="11" t="e">
        <f aca="false">W13*W14</f>
        <v>#VALUE!</v>
      </c>
      <c r="X15" s="11" t="e">
        <f aca="false">X13*X14</f>
        <v>#VALUE!</v>
      </c>
      <c r="Y15" s="11" t="e">
        <f aca="false">Y13*Y14</f>
        <v>#VALUE!</v>
      </c>
      <c r="Z15" s="11" t="e">
        <f aca="false">Z13*Z14</f>
        <v>#VALUE!</v>
      </c>
      <c r="AA15" s="11" t="e">
        <f aca="false">AA13*AA14</f>
        <v>#VALUE!</v>
      </c>
      <c r="AB15" s="11" t="e">
        <f aca="false">AB13*AB14</f>
        <v>#VALUE!</v>
      </c>
      <c r="AC15" s="11" t="e">
        <f aca="false">AC13*AC14</f>
        <v>#VALUE!</v>
      </c>
      <c r="AD15" s="11" t="e">
        <f aca="false">AD13*AD14</f>
        <v>#VALUE!</v>
      </c>
      <c r="AE15" s="11" t="e">
        <f aca="false">AE13*AE14</f>
        <v>#VALUE!</v>
      </c>
      <c r="AF15" s="11" t="e">
        <f aca="false">AF13*AF14</f>
        <v>#VALUE!</v>
      </c>
      <c r="AG15" s="11" t="e">
        <f aca="false">AG13*AG14</f>
        <v>#VALUE!</v>
      </c>
      <c r="AH15" s="11" t="e">
        <f aca="false">AH13*AH14</f>
        <v>#VALUE!</v>
      </c>
      <c r="AI15" s="11" t="e">
        <f aca="false">AI13*AI14</f>
        <v>#VALUE!</v>
      </c>
      <c r="AJ15" s="11" t="e">
        <f aca="false">AJ13*AJ14</f>
        <v>#VALUE!</v>
      </c>
      <c r="AK15" s="11" t="e">
        <f aca="false">AK13*AK14</f>
        <v>#VALUE!</v>
      </c>
      <c r="AL15" s="11" t="e">
        <f aca="false">AL13*AL14</f>
        <v>#VALUE!</v>
      </c>
      <c r="AM15" s="11" t="e">
        <f aca="false">AM13*AM14</f>
        <v>#VALUE!</v>
      </c>
      <c r="AN15" s="11" t="e">
        <f aca="false">AN13*AN14</f>
        <v>#VALUE!</v>
      </c>
      <c r="AO15" s="11" t="e">
        <f aca="false">AO13*AO14</f>
        <v>#VALUE!</v>
      </c>
      <c r="AP15" s="11" t="e">
        <f aca="false">AP13*AP14</f>
        <v>#VALUE!</v>
      </c>
      <c r="AQ15" s="11" t="e">
        <f aca="false">AQ13*AQ14</f>
        <v>#VALUE!</v>
      </c>
      <c r="AR15" s="11" t="e">
        <f aca="false">AR13*AR14</f>
        <v>#VALUE!</v>
      </c>
      <c r="AS15" s="11" t="e">
        <f aca="false">AS13*AS14</f>
        <v>#VALUE!</v>
      </c>
      <c r="AT15" s="11" t="e">
        <f aca="false">AT13*AT14</f>
        <v>#VALUE!</v>
      </c>
      <c r="AU15" s="11" t="e">
        <f aca="false">AU13*AU14</f>
        <v>#VALUE!</v>
      </c>
      <c r="AV15" s="11" t="e">
        <f aca="false">AV13*AV14</f>
        <v>#VALUE!</v>
      </c>
      <c r="AW15" s="11" t="e">
        <f aca="false">AW13*AW14</f>
        <v>#VALUE!</v>
      </c>
      <c r="AX15" s="11" t="e">
        <f aca="false">AX13*AX14</f>
        <v>#VALUE!</v>
      </c>
      <c r="AY15" s="11" t="e">
        <f aca="false">AY13*AY14</f>
        <v>#VALUE!</v>
      </c>
      <c r="AZ15" s="11" t="e">
        <f aca="false">AZ13*AZ14</f>
        <v>#VALUE!</v>
      </c>
      <c r="BA15" s="11" t="e">
        <f aca="false">BA13*BA14</f>
        <v>#VALUE!</v>
      </c>
      <c r="BB15" s="11" t="e">
        <f aca="false">BB13*BB14</f>
        <v>#VALUE!</v>
      </c>
      <c r="BC15" s="11" t="e">
        <f aca="false">BC13*BC14</f>
        <v>#VALUE!</v>
      </c>
      <c r="BD15" s="11" t="e">
        <f aca="false">BD13*BD14</f>
        <v>#VALUE!</v>
      </c>
      <c r="BE15" s="11" t="e">
        <f aca="false">BE13*BE14</f>
        <v>#VALUE!</v>
      </c>
      <c r="BF15" s="11" t="e">
        <f aca="false">BF13*BF14</f>
        <v>#VALUE!</v>
      </c>
      <c r="BG15" s="11" t="e">
        <f aca="false">BG13*BG14</f>
        <v>#VALUE!</v>
      </c>
      <c r="BH15" s="11" t="e">
        <f aca="false">BH13*BH14</f>
        <v>#VALUE!</v>
      </c>
      <c r="BI15" s="11" t="e">
        <f aca="false">BI13*BI14</f>
        <v>#VALUE!</v>
      </c>
      <c r="BJ15" s="11" t="e">
        <f aca="false">BJ13*BJ14</f>
        <v>#VALUE!</v>
      </c>
      <c r="BK15" s="11" t="e">
        <f aca="false">BK13*BK14</f>
        <v>#VALUE!</v>
      </c>
      <c r="BL15" s="11" t="e">
        <f aca="false">BL13*BL14</f>
        <v>#VALUE!</v>
      </c>
      <c r="BM15" s="11" t="e">
        <f aca="false">BM13*BM14</f>
        <v>#VALUE!</v>
      </c>
      <c r="BN15" s="11" t="e">
        <f aca="false">BN13*BN14</f>
        <v>#VALUE!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e">
        <f aca="false">SUM(J16:BN16)</f>
        <v>#VALUE!</v>
      </c>
      <c r="J16" s="11" t="e">
        <f aca="false">Debt!J119+Debt!J117+Debt!J111-Debt!J110</f>
        <v>#VALUE!</v>
      </c>
      <c r="K16" s="11" t="e">
        <f aca="false">Debt!K119+Debt!K117+Debt!K111-Debt!K110</f>
        <v>#VALUE!</v>
      </c>
      <c r="L16" s="11" t="e">
        <f aca="false">Debt!L119+Debt!L117+Debt!L111-Debt!L110</f>
        <v>#VALUE!</v>
      </c>
      <c r="M16" s="11" t="e">
        <f aca="false">Debt!M119+Debt!M117+Debt!M111-Debt!M110</f>
        <v>#VALUE!</v>
      </c>
      <c r="N16" s="11" t="e">
        <f aca="false">Debt!N119+Debt!N117+Debt!N111-Debt!N110</f>
        <v>#VALUE!</v>
      </c>
      <c r="O16" s="11" t="e">
        <f aca="false">Debt!O119+Debt!O117+Debt!O111-Debt!O110</f>
        <v>#VALUE!</v>
      </c>
      <c r="P16" s="11" t="e">
        <f aca="false">Debt!P119+Debt!P117+Debt!P111-Debt!P110</f>
        <v>#VALUE!</v>
      </c>
      <c r="Q16" s="11" t="e">
        <f aca="false">Debt!Q119+Debt!Q117+Debt!Q111-Debt!Q110</f>
        <v>#VALUE!</v>
      </c>
      <c r="R16" s="11" t="e">
        <f aca="false">Debt!R119+Debt!R117+Debt!R111-Debt!R110</f>
        <v>#VALUE!</v>
      </c>
      <c r="S16" s="11" t="e">
        <f aca="false">Debt!S119+Debt!S117+Debt!S111-Debt!S110</f>
        <v>#VALUE!</v>
      </c>
      <c r="T16" s="11" t="e">
        <f aca="false">Debt!T119+Debt!T117+Debt!T111-Debt!T110</f>
        <v>#VALUE!</v>
      </c>
      <c r="U16" s="11" t="e">
        <f aca="false">Debt!U119+Debt!U117+Debt!U111-Debt!U110</f>
        <v>#VALUE!</v>
      </c>
      <c r="V16" s="11" t="e">
        <f aca="false">Debt!V119+Debt!V117+Debt!V111-Debt!V110</f>
        <v>#VALUE!</v>
      </c>
      <c r="W16" s="11" t="e">
        <f aca="false">Debt!W119+Debt!W117+Debt!W111-Debt!W110</f>
        <v>#VALUE!</v>
      </c>
      <c r="X16" s="11" t="e">
        <f aca="false">Debt!X119+Debt!X117+Debt!X111-Debt!X110</f>
        <v>#VALUE!</v>
      </c>
      <c r="Y16" s="11" t="e">
        <f aca="false">Debt!Y119+Debt!Y117+Debt!Y111-Debt!Y110</f>
        <v>#VALUE!</v>
      </c>
      <c r="Z16" s="11" t="e">
        <f aca="false">Debt!Z119+Debt!Z117+Debt!Z111-Debt!Z110</f>
        <v>#VALUE!</v>
      </c>
      <c r="AA16" s="11" t="e">
        <f aca="false">Debt!AA119+Debt!AA117+Debt!AA111-Debt!AA110</f>
        <v>#VALUE!</v>
      </c>
      <c r="AB16" s="11" t="e">
        <f aca="false">Debt!AB119+Debt!AB117+Debt!AB111-Debt!AB110</f>
        <v>#VALUE!</v>
      </c>
      <c r="AC16" s="11" t="e">
        <f aca="false">Debt!AC119+Debt!AC117+Debt!AC111-Debt!AC110</f>
        <v>#VALUE!</v>
      </c>
      <c r="AD16" s="11" t="e">
        <f aca="false">Debt!AD119+Debt!AD117+Debt!AD111-Debt!AD110</f>
        <v>#VALUE!</v>
      </c>
      <c r="AE16" s="11" t="e">
        <f aca="false">Debt!AE119+Debt!AE117+Debt!AE111-Debt!AE110</f>
        <v>#VALUE!</v>
      </c>
      <c r="AF16" s="11" t="e">
        <f aca="false">Debt!AF119+Debt!AF117+Debt!AF111-Debt!AF110</f>
        <v>#VALUE!</v>
      </c>
      <c r="AG16" s="11" t="e">
        <f aca="false">Debt!AG119+Debt!AG117+Debt!AG111-Debt!AG110</f>
        <v>#VALUE!</v>
      </c>
      <c r="AH16" s="11" t="e">
        <f aca="false">Debt!AH119+Debt!AH117+Debt!AH111-Debt!AH110</f>
        <v>#VALUE!</v>
      </c>
      <c r="AI16" s="11" t="e">
        <f aca="false">Debt!AI119+Debt!AI117+Debt!AI111-Debt!AI110</f>
        <v>#VALUE!</v>
      </c>
      <c r="AJ16" s="11" t="e">
        <f aca="false">Debt!AJ119+Debt!AJ117+Debt!AJ111-Debt!AJ110</f>
        <v>#VALUE!</v>
      </c>
      <c r="AK16" s="11" t="e">
        <f aca="false">Debt!AK119+Debt!AK117+Debt!AK111-Debt!AK110</f>
        <v>#VALUE!</v>
      </c>
      <c r="AL16" s="11" t="e">
        <f aca="false">Debt!AL119+Debt!AL117+Debt!AL111-Debt!AL110</f>
        <v>#VALUE!</v>
      </c>
      <c r="AM16" s="11" t="e">
        <f aca="false">Debt!AM119+Debt!AM117+Debt!AM111-Debt!AM110</f>
        <v>#VALUE!</v>
      </c>
      <c r="AN16" s="11" t="e">
        <f aca="false">Debt!AN119+Debt!AN117+Debt!AN111-Debt!AN110</f>
        <v>#VALUE!</v>
      </c>
      <c r="AO16" s="11" t="e">
        <f aca="false">Debt!AO119+Debt!AO117+Debt!AO111-Debt!AO110</f>
        <v>#VALUE!</v>
      </c>
      <c r="AP16" s="11" t="e">
        <f aca="false">Debt!AP119+Debt!AP117+Debt!AP111-Debt!AP110</f>
        <v>#VALUE!</v>
      </c>
      <c r="AQ16" s="11" t="e">
        <f aca="false">Debt!AQ119+Debt!AQ117+Debt!AQ111-Debt!AQ110</f>
        <v>#VALUE!</v>
      </c>
      <c r="AR16" s="11" t="e">
        <f aca="false">Debt!AR119+Debt!AR117+Debt!AR111-Debt!AR110</f>
        <v>#VALUE!</v>
      </c>
      <c r="AS16" s="11" t="e">
        <f aca="false">Debt!AS119+Debt!AS117+Debt!AS111-Debt!AS110</f>
        <v>#VALUE!</v>
      </c>
      <c r="AT16" s="11" t="e">
        <f aca="false">Debt!AT119+Debt!AT117+Debt!AT111-Debt!AT110</f>
        <v>#VALUE!</v>
      </c>
      <c r="AU16" s="11" t="e">
        <f aca="false">Debt!AU119+Debt!AU117+Debt!AU111-Debt!AU110</f>
        <v>#VALUE!</v>
      </c>
      <c r="AV16" s="11" t="e">
        <f aca="false">Debt!AV119+Debt!AV117+Debt!AV111-Debt!AV110</f>
        <v>#VALUE!</v>
      </c>
      <c r="AW16" s="11" t="e">
        <f aca="false">Debt!AW119+Debt!AW117+Debt!AW111-Debt!AW110</f>
        <v>#VALUE!</v>
      </c>
      <c r="AX16" s="11" t="e">
        <f aca="false">Debt!AX119+Debt!AX117+Debt!AX111-Debt!AX110</f>
        <v>#VALUE!</v>
      </c>
      <c r="AY16" s="11" t="e">
        <f aca="false">Debt!AY119+Debt!AY117+Debt!AY111-Debt!AY110</f>
        <v>#VALUE!</v>
      </c>
      <c r="AZ16" s="11" t="e">
        <f aca="false">Debt!AZ119+Debt!AZ117+Debt!AZ111-Debt!AZ110</f>
        <v>#VALUE!</v>
      </c>
      <c r="BA16" s="11" t="e">
        <f aca="false">Debt!BA119+Debt!BA117+Debt!BA111-Debt!BA110</f>
        <v>#VALUE!</v>
      </c>
      <c r="BB16" s="11" t="e">
        <f aca="false">Debt!BB119+Debt!BB117+Debt!BB111-Debt!BB110</f>
        <v>#VALUE!</v>
      </c>
      <c r="BC16" s="11" t="e">
        <f aca="false">Debt!BC119+Debt!BC117+Debt!BC111-Debt!BC110</f>
        <v>#VALUE!</v>
      </c>
      <c r="BD16" s="11" t="e">
        <f aca="false">Debt!BD119+Debt!BD117+Debt!BD111-Debt!BD110</f>
        <v>#VALUE!</v>
      </c>
      <c r="BE16" s="11" t="e">
        <f aca="false">Debt!BE119+Debt!BE117+Debt!BE111-Debt!BE110</f>
        <v>#VALUE!</v>
      </c>
      <c r="BF16" s="11" t="e">
        <f aca="false">Debt!BF119+Debt!BF117+Debt!BF111-Debt!BF110</f>
        <v>#VALUE!</v>
      </c>
      <c r="BG16" s="11" t="e">
        <f aca="false">Debt!BG119+Debt!BG117+Debt!BG111-Debt!BG110</f>
        <v>#VALUE!</v>
      </c>
      <c r="BH16" s="11" t="e">
        <f aca="false">Debt!BH119+Debt!BH117+Debt!BH111-Debt!BH110</f>
        <v>#VALUE!</v>
      </c>
      <c r="BI16" s="11" t="e">
        <f aca="false">Debt!BI119+Debt!BI117+Debt!BI111-Debt!BI110</f>
        <v>#VALUE!</v>
      </c>
      <c r="BJ16" s="11" t="e">
        <f aca="false">Debt!BJ119+Debt!BJ117+Debt!BJ111-Debt!BJ110</f>
        <v>#VALUE!</v>
      </c>
      <c r="BK16" s="11" t="e">
        <f aca="false">Debt!BK119+Debt!BK117+Debt!BK111-Debt!BK110</f>
        <v>#VALUE!</v>
      </c>
      <c r="BL16" s="11" t="e">
        <f aca="false">Debt!BL119+Debt!BL117+Debt!BL111-Debt!BL110</f>
        <v>#VALUE!</v>
      </c>
      <c r="BM16" s="11" t="e">
        <f aca="false">Debt!BM119+Debt!BM117+Debt!BM111-Debt!BM110</f>
        <v>#VALUE!</v>
      </c>
      <c r="BN16" s="11" t="e">
        <f aca="false">Debt!BN119+Debt!BN117+Debt!BN111-Debt!BN110</f>
        <v>#VALUE!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e">
        <f aca="false">SUM(J18:BN18)</f>
        <v>#VALUE!</v>
      </c>
      <c r="J18" s="11" t="e">
        <f aca="false">(Operations!J79-J16-J15)*J17-J12</f>
        <v>#VALUE!</v>
      </c>
      <c r="K18" s="11" t="e">
        <f aca="false">(Operations!K79-K16-K15)*K17-K12</f>
        <v>#VALUE!</v>
      </c>
      <c r="L18" s="11" t="e">
        <f aca="false">(Operations!L79-L16-L15)*L17-L12</f>
        <v>#VALUE!</v>
      </c>
      <c r="M18" s="11" t="e">
        <f aca="false">(Operations!M79-M16-M15)*M17-M12</f>
        <v>#VALUE!</v>
      </c>
      <c r="N18" s="11" t="e">
        <f aca="false">(Operations!N79-N16-N15)*N17-N12</f>
        <v>#VALUE!</v>
      </c>
      <c r="O18" s="11" t="e">
        <f aca="false">(Operations!O79-O16-O15)*O17-O12</f>
        <v>#VALUE!</v>
      </c>
      <c r="P18" s="11" t="e">
        <f aca="false">(Operations!P79-P16-P15)*P17-P12</f>
        <v>#VALUE!</v>
      </c>
      <c r="Q18" s="11" t="e">
        <f aca="false">(Operations!Q79-Q16-Q15)*Q17-Q12</f>
        <v>#VALUE!</v>
      </c>
      <c r="R18" s="11" t="e">
        <f aca="false">(Operations!R79-R16-R15)*R17-R12</f>
        <v>#VALUE!</v>
      </c>
      <c r="S18" s="11" t="e">
        <f aca="false">(Operations!S79-S16-S15)*S17-S12</f>
        <v>#VALUE!</v>
      </c>
      <c r="T18" s="11" t="e">
        <f aca="false">(Operations!T79-T16-T15)*T17-T12</f>
        <v>#VALUE!</v>
      </c>
      <c r="U18" s="11" t="e">
        <f aca="false">(Operations!U79-U16-U15)*U17-U12</f>
        <v>#VALUE!</v>
      </c>
      <c r="V18" s="11" t="e">
        <f aca="false">(Operations!V79-V16-V15)*V17-V12</f>
        <v>#VALUE!</v>
      </c>
      <c r="W18" s="11" t="e">
        <f aca="false">(Operations!W79-W16-W15)*W17-W12</f>
        <v>#VALUE!</v>
      </c>
      <c r="X18" s="11" t="e">
        <f aca="false">(Operations!X79-X16-X15)*X17-X12</f>
        <v>#VALUE!</v>
      </c>
      <c r="Y18" s="11" t="e">
        <f aca="false">(Operations!Y79-Y16-Y15)*Y17-Y12</f>
        <v>#VALUE!</v>
      </c>
      <c r="Z18" s="11" t="e">
        <f aca="false">(Operations!Z79-Z16-Z15)*Z17-Z12</f>
        <v>#VALUE!</v>
      </c>
      <c r="AA18" s="11" t="e">
        <f aca="false">(Operations!AA79-AA16-AA15)*AA17-AA12</f>
        <v>#VALUE!</v>
      </c>
      <c r="AB18" s="11" t="e">
        <f aca="false">(Operations!AB79-AB16-AB15)*AB17-AB12</f>
        <v>#VALUE!</v>
      </c>
      <c r="AC18" s="11" t="e">
        <f aca="false">(Operations!AC79-AC16-AC15)*AC17-AC12</f>
        <v>#VALUE!</v>
      </c>
      <c r="AD18" s="11" t="e">
        <f aca="false">(Operations!AD79-AD16-AD15)*AD17-AD12</f>
        <v>#VALUE!</v>
      </c>
      <c r="AE18" s="11" t="e">
        <f aca="false">(Operations!AE79-AE16-AE15)*AE17-AE12</f>
        <v>#VALUE!</v>
      </c>
      <c r="AF18" s="11" t="e">
        <f aca="false">(Operations!AF79-AF16-AF15)*AF17-AF12</f>
        <v>#VALUE!</v>
      </c>
      <c r="AG18" s="11" t="e">
        <f aca="false">(Operations!AG79-AG16-AG15)*AG17-AG12</f>
        <v>#VALUE!</v>
      </c>
      <c r="AH18" s="11" t="e">
        <f aca="false">(Operations!AH79-AH16-AH15)*AH17-AH12</f>
        <v>#VALUE!</v>
      </c>
      <c r="AI18" s="11" t="e">
        <f aca="false">(Operations!AI79-AI16-AI15)*AI17-AI12</f>
        <v>#VALUE!</v>
      </c>
      <c r="AJ18" s="11" t="e">
        <f aca="false">(Operations!AJ79-AJ16-AJ15)*AJ17-AJ12</f>
        <v>#VALUE!</v>
      </c>
      <c r="AK18" s="11" t="e">
        <f aca="false">(Operations!AK79-AK16-AK15)*AK17-AK12</f>
        <v>#VALUE!</v>
      </c>
      <c r="AL18" s="11" t="e">
        <f aca="false">(Operations!AL79-AL16-AL15)*AL17-AL12</f>
        <v>#VALUE!</v>
      </c>
      <c r="AM18" s="11" t="e">
        <f aca="false">(Operations!AM79-AM16-AM15)*AM17-AM12</f>
        <v>#VALUE!</v>
      </c>
      <c r="AN18" s="11" t="e">
        <f aca="false">(Operations!AN79-AN16-AN15)*AN17-AN12</f>
        <v>#VALUE!</v>
      </c>
      <c r="AO18" s="11" t="e">
        <f aca="false">(Operations!AO79-AO16-AO15)*AO17-AO12</f>
        <v>#VALUE!</v>
      </c>
      <c r="AP18" s="11" t="e">
        <f aca="false">(Operations!AP79-AP16-AP15)*AP17-AP12</f>
        <v>#VALUE!</v>
      </c>
      <c r="AQ18" s="11" t="e">
        <f aca="false">(Operations!AQ79-AQ16-AQ15)*AQ17-AQ12</f>
        <v>#VALUE!</v>
      </c>
      <c r="AR18" s="11" t="e">
        <f aca="false">(Operations!AR79-AR16-AR15)*AR17-AR12</f>
        <v>#VALUE!</v>
      </c>
      <c r="AS18" s="11" t="e">
        <f aca="false">(Operations!AS79-AS16-AS15)*AS17-AS12</f>
        <v>#VALUE!</v>
      </c>
      <c r="AT18" s="11" t="e">
        <f aca="false">(Operations!AT79-AT16-AT15)*AT17-AT12</f>
        <v>#VALUE!</v>
      </c>
      <c r="AU18" s="11" t="e">
        <f aca="false">(Operations!AU79-AU16-AU15)*AU17-AU12</f>
        <v>#VALUE!</v>
      </c>
      <c r="AV18" s="11" t="e">
        <f aca="false">(Operations!AV79-AV16-AV15)*AV17-AV12</f>
        <v>#VALUE!</v>
      </c>
      <c r="AW18" s="11" t="e">
        <f aca="false">(Operations!AW79-AW16-AW15)*AW17-AW12</f>
        <v>#VALUE!</v>
      </c>
      <c r="AX18" s="11" t="e">
        <f aca="false">(Operations!AX79-AX16-AX15)*AX17-AX12</f>
        <v>#VALUE!</v>
      </c>
      <c r="AY18" s="11" t="e">
        <f aca="false">(Operations!AY79-AY16-AY15)*AY17-AY12</f>
        <v>#VALUE!</v>
      </c>
      <c r="AZ18" s="11" t="e">
        <f aca="false">(Operations!AZ79-AZ16-AZ15)*AZ17-AZ12</f>
        <v>#VALUE!</v>
      </c>
      <c r="BA18" s="11" t="e">
        <f aca="false">(Operations!BA79-BA16-BA15)*BA17-BA12</f>
        <v>#VALUE!</v>
      </c>
      <c r="BB18" s="11" t="e">
        <f aca="false">(Operations!BB79-BB16-BB15)*BB17-BB12</f>
        <v>#VALUE!</v>
      </c>
      <c r="BC18" s="11" t="e">
        <f aca="false">(Operations!BC79-BC16-BC15)*BC17-BC12</f>
        <v>#VALUE!</v>
      </c>
      <c r="BD18" s="11" t="e">
        <f aca="false">(Operations!BD79-BD16-BD15)*BD17-BD12</f>
        <v>#VALUE!</v>
      </c>
      <c r="BE18" s="11" t="e">
        <f aca="false">(Operations!BE79-BE16-BE15)*BE17-BE12</f>
        <v>#VALUE!</v>
      </c>
      <c r="BF18" s="11" t="e">
        <f aca="false">(Operations!BF79-BF16-BF15)*BF17-BF12</f>
        <v>#VALUE!</v>
      </c>
      <c r="BG18" s="11" t="e">
        <f aca="false">(Operations!BG79-BG16-BG15)*BG17-BG12</f>
        <v>#VALUE!</v>
      </c>
      <c r="BH18" s="11" t="e">
        <f aca="false">(Operations!BH79-BH16-BH15)*BH17-BH12</f>
        <v>#VALUE!</v>
      </c>
      <c r="BI18" s="11" t="e">
        <f aca="false">(Operations!BI79-BI16-BI15)*BI17-BI12</f>
        <v>#VALUE!</v>
      </c>
      <c r="BJ18" s="11" t="e">
        <f aca="false">(Operations!BJ79-BJ16-BJ15)*BJ17-BJ12</f>
        <v>#VALUE!</v>
      </c>
      <c r="BK18" s="11" t="e">
        <f aca="false">(Operations!BK79-BK16-BK15)*BK17-BK12</f>
        <v>#VALUE!</v>
      </c>
      <c r="BL18" s="11" t="e">
        <f aca="false">(Operations!BL79-BL16-BL15)*BL17-BL12</f>
        <v>#VALUE!</v>
      </c>
      <c r="BM18" s="11" t="e">
        <f aca="false">(Operations!BM79-BM16-BM15)*BM17-BM12</f>
        <v>#VALUE!</v>
      </c>
      <c r="BN18" s="11" t="e">
        <f aca="false">(Operations!BN79-BN16-BN15)*BN17-BN12</f>
        <v>#VALUE!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e">
        <f aca="false">SUM(J19:BN19)</f>
        <v>#VALUE!</v>
      </c>
      <c r="J19" s="11" t="e">
        <f aca="false">MIN(0,MAX(0,J18))</f>
        <v>#VALUE!</v>
      </c>
      <c r="K19" s="11" t="e">
        <f aca="false">MIN(J22,MAX(0,K18))</f>
        <v>#VALUE!</v>
      </c>
      <c r="L19" s="11" t="e">
        <f aca="false">MIN(K22,MAX(0,L18))</f>
        <v>#VALUE!</v>
      </c>
      <c r="M19" s="11" t="e">
        <f aca="false">MIN(L22,MAX(0,M18))</f>
        <v>#VALUE!</v>
      </c>
      <c r="N19" s="11" t="e">
        <f aca="false">MIN(M22,MAX(0,N18))</f>
        <v>#VALUE!</v>
      </c>
      <c r="O19" s="11" t="e">
        <f aca="false">MIN(N22,MAX(0,O18))</f>
        <v>#VALUE!</v>
      </c>
      <c r="P19" s="11" t="e">
        <f aca="false">MIN(O22,MAX(0,P18))</f>
        <v>#VALUE!</v>
      </c>
      <c r="Q19" s="11" t="e">
        <f aca="false">MIN(P22,MAX(0,Q18))</f>
        <v>#VALUE!</v>
      </c>
      <c r="R19" s="11" t="e">
        <f aca="false">MIN(Q22,MAX(0,R18))</f>
        <v>#VALUE!</v>
      </c>
      <c r="S19" s="11" t="e">
        <f aca="false">MIN(R22,MAX(0,S18))</f>
        <v>#VALUE!</v>
      </c>
      <c r="T19" s="11" t="e">
        <f aca="false">MIN(S22,MAX(0,T18))</f>
        <v>#VALUE!</v>
      </c>
      <c r="U19" s="11" t="e">
        <f aca="false">MIN(T22,MAX(0,U18))</f>
        <v>#VALUE!</v>
      </c>
      <c r="V19" s="11" t="e">
        <f aca="false">MIN(U22,MAX(0,V18))</f>
        <v>#VALUE!</v>
      </c>
      <c r="W19" s="11" t="e">
        <f aca="false">MIN(V22,MAX(0,W18))</f>
        <v>#VALUE!</v>
      </c>
      <c r="X19" s="11" t="e">
        <f aca="false">MIN(W22,MAX(0,X18))</f>
        <v>#VALUE!</v>
      </c>
      <c r="Y19" s="11" t="e">
        <f aca="false">MIN(X22,MAX(0,Y18))</f>
        <v>#VALUE!</v>
      </c>
      <c r="Z19" s="11" t="e">
        <f aca="false">MIN(Y22,MAX(0,Z18))</f>
        <v>#VALUE!</v>
      </c>
      <c r="AA19" s="11" t="e">
        <f aca="false">MIN(Z22,MAX(0,AA18))</f>
        <v>#VALUE!</v>
      </c>
      <c r="AB19" s="11" t="e">
        <f aca="false">MIN(AA22,MAX(0,AB18))</f>
        <v>#VALUE!</v>
      </c>
      <c r="AC19" s="11" t="e">
        <f aca="false">MIN(AB22,MAX(0,AC18))</f>
        <v>#VALUE!</v>
      </c>
      <c r="AD19" s="11" t="e">
        <f aca="false">MIN(AC22,MAX(0,AD18))</f>
        <v>#VALUE!</v>
      </c>
      <c r="AE19" s="11" t="e">
        <f aca="false">MIN(AD22,MAX(0,AE18))</f>
        <v>#VALUE!</v>
      </c>
      <c r="AF19" s="11" t="e">
        <f aca="false">MIN(AE22,MAX(0,AF18))</f>
        <v>#VALUE!</v>
      </c>
      <c r="AG19" s="11" t="e">
        <f aca="false">MIN(AF22,MAX(0,AG18))</f>
        <v>#VALUE!</v>
      </c>
      <c r="AH19" s="11" t="e">
        <f aca="false">MIN(AG22,MAX(0,AH18))</f>
        <v>#VALUE!</v>
      </c>
      <c r="AI19" s="11" t="e">
        <f aca="false">MIN(AH22,MAX(0,AI18))</f>
        <v>#VALUE!</v>
      </c>
      <c r="AJ19" s="11" t="e">
        <f aca="false">MIN(AI22,MAX(0,AJ18))</f>
        <v>#VALUE!</v>
      </c>
      <c r="AK19" s="11" t="e">
        <f aca="false">MIN(AJ22,MAX(0,AK18))</f>
        <v>#VALUE!</v>
      </c>
      <c r="AL19" s="11" t="e">
        <f aca="false">MIN(AK22,MAX(0,AL18))</f>
        <v>#VALUE!</v>
      </c>
      <c r="AM19" s="11" t="e">
        <f aca="false">MIN(AL22,MAX(0,AM18))</f>
        <v>#VALUE!</v>
      </c>
      <c r="AN19" s="11" t="e">
        <f aca="false">MIN(AM22,MAX(0,AN18))</f>
        <v>#VALUE!</v>
      </c>
      <c r="AO19" s="11" t="e">
        <f aca="false">MIN(AN22,MAX(0,AO18))</f>
        <v>#VALUE!</v>
      </c>
      <c r="AP19" s="11" t="e">
        <f aca="false">MIN(AO22,MAX(0,AP18))</f>
        <v>#VALUE!</v>
      </c>
      <c r="AQ19" s="11" t="e">
        <f aca="false">MIN(AP22,MAX(0,AQ18))</f>
        <v>#VALUE!</v>
      </c>
      <c r="AR19" s="11" t="e">
        <f aca="false">MIN(AQ22,MAX(0,AR18))</f>
        <v>#VALUE!</v>
      </c>
      <c r="AS19" s="11" t="e">
        <f aca="false">MIN(AR22,MAX(0,AS18))</f>
        <v>#VALUE!</v>
      </c>
      <c r="AT19" s="11" t="e">
        <f aca="false">MIN(AS22,MAX(0,AT18))</f>
        <v>#VALUE!</v>
      </c>
      <c r="AU19" s="11" t="e">
        <f aca="false">MIN(AT22,MAX(0,AU18))</f>
        <v>#VALUE!</v>
      </c>
      <c r="AV19" s="11" t="e">
        <f aca="false">MIN(AU22,MAX(0,AV18))</f>
        <v>#VALUE!</v>
      </c>
      <c r="AW19" s="11" t="e">
        <f aca="false">MIN(AV22,MAX(0,AW18))</f>
        <v>#VALUE!</v>
      </c>
      <c r="AX19" s="11" t="e">
        <f aca="false">MIN(AW22,MAX(0,AX18))</f>
        <v>#VALUE!</v>
      </c>
      <c r="AY19" s="11" t="e">
        <f aca="false">MIN(AX22,MAX(0,AY18))</f>
        <v>#VALUE!</v>
      </c>
      <c r="AZ19" s="11" t="e">
        <f aca="false">MIN(AY22,MAX(0,AZ18))</f>
        <v>#VALUE!</v>
      </c>
      <c r="BA19" s="11" t="e">
        <f aca="false">MIN(AZ22,MAX(0,BA18))</f>
        <v>#VALUE!</v>
      </c>
      <c r="BB19" s="11" t="e">
        <f aca="false">MIN(BA22,MAX(0,BB18))</f>
        <v>#VALUE!</v>
      </c>
      <c r="BC19" s="11" t="e">
        <f aca="false">MIN(BB22,MAX(0,BC18))</f>
        <v>#VALUE!</v>
      </c>
      <c r="BD19" s="11" t="e">
        <f aca="false">MIN(BC22,MAX(0,BD18))</f>
        <v>#VALUE!</v>
      </c>
      <c r="BE19" s="11" t="e">
        <f aca="false">MIN(BD22,MAX(0,BE18))</f>
        <v>#VALUE!</v>
      </c>
      <c r="BF19" s="11" t="e">
        <f aca="false">MIN(BE22,MAX(0,BF18))</f>
        <v>#VALUE!</v>
      </c>
      <c r="BG19" s="11" t="e">
        <f aca="false">MIN(BF22,MAX(0,BG18))</f>
        <v>#VALUE!</v>
      </c>
      <c r="BH19" s="11" t="e">
        <f aca="false">MIN(BG22,MAX(0,BH18))</f>
        <v>#VALUE!</v>
      </c>
      <c r="BI19" s="11" t="e">
        <f aca="false">MIN(BH22,MAX(0,BI18))</f>
        <v>#VALUE!</v>
      </c>
      <c r="BJ19" s="11" t="e">
        <f aca="false">MIN(BI22,MAX(0,BJ18))</f>
        <v>#VALUE!</v>
      </c>
      <c r="BK19" s="11" t="e">
        <f aca="false">MIN(BJ22,MAX(0,BK18))</f>
        <v>#VALUE!</v>
      </c>
      <c r="BL19" s="11" t="e">
        <f aca="false">MIN(BK22,MAX(0,BL18))</f>
        <v>#VALUE!</v>
      </c>
      <c r="BM19" s="11" t="e">
        <f aca="false">MIN(BL22,MAX(0,BM18))</f>
        <v>#VALUE!</v>
      </c>
      <c r="BN19" s="11" t="e">
        <f aca="false">MIN(BM22,MAX(0,BN18))</f>
        <v>#VALUE!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e">
        <f aca="false">SUM(J20:BN20)</f>
        <v>#VALUE!</v>
      </c>
      <c r="J20" s="11" t="e">
        <f aca="false">MIN(0,MAX(0,J18-J19))</f>
        <v>#VALUE!</v>
      </c>
      <c r="K20" s="11" t="e">
        <f aca="false">MIN(J21,MAX(0,K18-K19))</f>
        <v>#VALUE!</v>
      </c>
      <c r="L20" s="11" t="e">
        <f aca="false">MIN(K21,MAX(0,L18-L19))</f>
        <v>#VALUE!</v>
      </c>
      <c r="M20" s="11" t="e">
        <f aca="false">MIN(L21,MAX(0,M18-M19))</f>
        <v>#VALUE!</v>
      </c>
      <c r="N20" s="11" t="e">
        <f aca="false">MIN(M21,MAX(0,N18-N19))</f>
        <v>#VALUE!</v>
      </c>
      <c r="O20" s="11" t="e">
        <f aca="false">MIN(N21,MAX(0,O18-O19))</f>
        <v>#VALUE!</v>
      </c>
      <c r="P20" s="11" t="e">
        <f aca="false">MIN(O21,MAX(0,P18-P19))</f>
        <v>#VALUE!</v>
      </c>
      <c r="Q20" s="11" t="e">
        <f aca="false">MIN(P21,MAX(0,Q18-Q19))</f>
        <v>#VALUE!</v>
      </c>
      <c r="R20" s="11" t="e">
        <f aca="false">MIN(Q21,MAX(0,R18-R19))</f>
        <v>#VALUE!</v>
      </c>
      <c r="S20" s="11" t="e">
        <f aca="false">MIN(R21,MAX(0,S18-S19))</f>
        <v>#VALUE!</v>
      </c>
      <c r="T20" s="11" t="e">
        <f aca="false">MIN(S21,MAX(0,T18-T19))</f>
        <v>#VALUE!</v>
      </c>
      <c r="U20" s="11" t="e">
        <f aca="false">MIN(T21,MAX(0,U18-U19))</f>
        <v>#VALUE!</v>
      </c>
      <c r="V20" s="11" t="e">
        <f aca="false">MIN(U21,MAX(0,V18-V19))</f>
        <v>#VALUE!</v>
      </c>
      <c r="W20" s="11" t="e">
        <f aca="false">MIN(V21,MAX(0,W18-W19))</f>
        <v>#VALUE!</v>
      </c>
      <c r="X20" s="11" t="e">
        <f aca="false">MIN(W21,MAX(0,X18-X19))</f>
        <v>#VALUE!</v>
      </c>
      <c r="Y20" s="11" t="e">
        <f aca="false">MIN(X21,MAX(0,Y18-Y19))</f>
        <v>#VALUE!</v>
      </c>
      <c r="Z20" s="11" t="e">
        <f aca="false">MIN(Y21,MAX(0,Z18-Z19))</f>
        <v>#VALUE!</v>
      </c>
      <c r="AA20" s="11" t="e">
        <f aca="false">MIN(Z21,MAX(0,AA18-AA19))</f>
        <v>#VALUE!</v>
      </c>
      <c r="AB20" s="11" t="e">
        <f aca="false">MIN(AA21,MAX(0,AB18-AB19))</f>
        <v>#VALUE!</v>
      </c>
      <c r="AC20" s="11" t="e">
        <f aca="false">MIN(AB21,MAX(0,AC18-AC19))</f>
        <v>#VALUE!</v>
      </c>
      <c r="AD20" s="11" t="e">
        <f aca="false">MIN(AC21,MAX(0,AD18-AD19))</f>
        <v>#VALUE!</v>
      </c>
      <c r="AE20" s="11" t="e">
        <f aca="false">MIN(AD21,MAX(0,AE18-AE19))</f>
        <v>#VALUE!</v>
      </c>
      <c r="AF20" s="11" t="e">
        <f aca="false">MIN(AE21,MAX(0,AF18-AF19))</f>
        <v>#VALUE!</v>
      </c>
      <c r="AG20" s="11" t="e">
        <f aca="false">MIN(AF21,MAX(0,AG18-AG19))</f>
        <v>#VALUE!</v>
      </c>
      <c r="AH20" s="11" t="e">
        <f aca="false">MIN(AG21,MAX(0,AH18-AH19))</f>
        <v>#VALUE!</v>
      </c>
      <c r="AI20" s="11" t="e">
        <f aca="false">MIN(AH21,MAX(0,AI18-AI19))</f>
        <v>#VALUE!</v>
      </c>
      <c r="AJ20" s="11" t="e">
        <f aca="false">MIN(AI21,MAX(0,AJ18-AJ19))</f>
        <v>#VALUE!</v>
      </c>
      <c r="AK20" s="11" t="e">
        <f aca="false">MIN(AJ21,MAX(0,AK18-AK19))</f>
        <v>#VALUE!</v>
      </c>
      <c r="AL20" s="11" t="e">
        <f aca="false">MIN(AK21,MAX(0,AL18-AL19))</f>
        <v>#VALUE!</v>
      </c>
      <c r="AM20" s="11" t="e">
        <f aca="false">MIN(AL21,MAX(0,AM18-AM19))</f>
        <v>#VALUE!</v>
      </c>
      <c r="AN20" s="11" t="e">
        <f aca="false">MIN(AM21,MAX(0,AN18-AN19))</f>
        <v>#VALUE!</v>
      </c>
      <c r="AO20" s="11" t="e">
        <f aca="false">MIN(AN21,MAX(0,AO18-AO19))</f>
        <v>#VALUE!</v>
      </c>
      <c r="AP20" s="11" t="e">
        <f aca="false">MIN(AO21,MAX(0,AP18-AP19))</f>
        <v>#VALUE!</v>
      </c>
      <c r="AQ20" s="11" t="e">
        <f aca="false">MIN(AP21,MAX(0,AQ18-AQ19))</f>
        <v>#VALUE!</v>
      </c>
      <c r="AR20" s="11" t="e">
        <f aca="false">MIN(AQ21,MAX(0,AR18-AR19))</f>
        <v>#VALUE!</v>
      </c>
      <c r="AS20" s="11" t="e">
        <f aca="false">MIN(AR21,MAX(0,AS18-AS19))</f>
        <v>#VALUE!</v>
      </c>
      <c r="AT20" s="11" t="e">
        <f aca="false">MIN(AS21,MAX(0,AT18-AT19))</f>
        <v>#VALUE!</v>
      </c>
      <c r="AU20" s="11" t="e">
        <f aca="false">MIN(AT21,MAX(0,AU18-AU19))</f>
        <v>#VALUE!</v>
      </c>
      <c r="AV20" s="11" t="e">
        <f aca="false">MIN(AU21,MAX(0,AV18-AV19))</f>
        <v>#VALUE!</v>
      </c>
      <c r="AW20" s="11" t="e">
        <f aca="false">MIN(AV21,MAX(0,AW18-AW19))</f>
        <v>#VALUE!</v>
      </c>
      <c r="AX20" s="11" t="e">
        <f aca="false">MIN(AW21,MAX(0,AX18-AX19))</f>
        <v>#VALUE!</v>
      </c>
      <c r="AY20" s="11" t="e">
        <f aca="false">MIN(AX21,MAX(0,AY18-AY19))</f>
        <v>#VALUE!</v>
      </c>
      <c r="AZ20" s="11" t="e">
        <f aca="false">MIN(AY21,MAX(0,AZ18-AZ19))</f>
        <v>#VALUE!</v>
      </c>
      <c r="BA20" s="11" t="e">
        <f aca="false">MIN(AZ21,MAX(0,BA18-BA19))</f>
        <v>#VALUE!</v>
      </c>
      <c r="BB20" s="11" t="e">
        <f aca="false">MIN(BA21,MAX(0,BB18-BB19))</f>
        <v>#VALUE!</v>
      </c>
      <c r="BC20" s="11" t="e">
        <f aca="false">MIN(BB21,MAX(0,BC18-BC19))</f>
        <v>#VALUE!</v>
      </c>
      <c r="BD20" s="11" t="e">
        <f aca="false">MIN(BC21,MAX(0,BD18-BD19))</f>
        <v>#VALUE!</v>
      </c>
      <c r="BE20" s="11" t="e">
        <f aca="false">MIN(BD21,MAX(0,BE18-BE19))</f>
        <v>#VALUE!</v>
      </c>
      <c r="BF20" s="11" t="e">
        <f aca="false">MIN(BE21,MAX(0,BF18-BF19))</f>
        <v>#VALUE!</v>
      </c>
      <c r="BG20" s="11" t="e">
        <f aca="false">MIN(BF21,MAX(0,BG18-BG19))</f>
        <v>#VALUE!</v>
      </c>
      <c r="BH20" s="11" t="e">
        <f aca="false">MIN(BG21,MAX(0,BH18-BH19))</f>
        <v>#VALUE!</v>
      </c>
      <c r="BI20" s="11" t="e">
        <f aca="false">MIN(BH21,MAX(0,BI18-BI19))</f>
        <v>#VALUE!</v>
      </c>
      <c r="BJ20" s="11" t="e">
        <f aca="false">MIN(BI21,MAX(0,BJ18-BJ19))</f>
        <v>#VALUE!</v>
      </c>
      <c r="BK20" s="11" t="e">
        <f aca="false">MIN(BJ21,MAX(0,BK18-BK19))</f>
        <v>#VALUE!</v>
      </c>
      <c r="BL20" s="11" t="e">
        <f aca="false">MIN(BK21,MAX(0,BL18-BL19))</f>
        <v>#VALUE!</v>
      </c>
      <c r="BM20" s="11" t="e">
        <f aca="false">MIN(BL21,MAX(0,BM18-BM19))</f>
        <v>#VALUE!</v>
      </c>
      <c r="BN20" s="11" t="e">
        <f aca="false">MIN(BM21,MAX(0,BN18-BN19))</f>
        <v>#VALUE!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e">
        <f aca="false">0+J11-J20</f>
        <v>#VALUE!</v>
      </c>
      <c r="K21" s="11" t="e">
        <f aca="false">J21+K11-K20</f>
        <v>#VALUE!</v>
      </c>
      <c r="L21" s="11" t="e">
        <f aca="false">K21+L11-L20</f>
        <v>#VALUE!</v>
      </c>
      <c r="M21" s="11" t="e">
        <f aca="false">L21+M11-M20</f>
        <v>#VALUE!</v>
      </c>
      <c r="N21" s="11" t="e">
        <f aca="false">M21+N11-N20</f>
        <v>#VALUE!</v>
      </c>
      <c r="O21" s="11" t="e">
        <f aca="false">N21+O11-O20</f>
        <v>#VALUE!</v>
      </c>
      <c r="P21" s="11" t="e">
        <f aca="false">O21+P11-P20</f>
        <v>#VALUE!</v>
      </c>
      <c r="Q21" s="11" t="e">
        <f aca="false">P21+Q11-Q20</f>
        <v>#VALUE!</v>
      </c>
      <c r="R21" s="11" t="e">
        <f aca="false">Q21+R11-R20</f>
        <v>#VALUE!</v>
      </c>
      <c r="S21" s="11" t="e">
        <f aca="false">R21+S11-S20</f>
        <v>#VALUE!</v>
      </c>
      <c r="T21" s="11" t="e">
        <f aca="false">S21+T11-T20</f>
        <v>#VALUE!</v>
      </c>
      <c r="U21" s="11" t="e">
        <f aca="false">T21+U11-U20</f>
        <v>#VALUE!</v>
      </c>
      <c r="V21" s="11" t="e">
        <f aca="false">U21+V11-V20</f>
        <v>#VALUE!</v>
      </c>
      <c r="W21" s="11" t="e">
        <f aca="false">V21+W11-W20</f>
        <v>#VALUE!</v>
      </c>
      <c r="X21" s="11" t="e">
        <f aca="false">W21+X11-X20</f>
        <v>#VALUE!</v>
      </c>
      <c r="Y21" s="11" t="e">
        <f aca="false">X21+Y11-Y20</f>
        <v>#VALUE!</v>
      </c>
      <c r="Z21" s="11" t="e">
        <f aca="false">Y21+Z11-Z20</f>
        <v>#VALUE!</v>
      </c>
      <c r="AA21" s="11" t="e">
        <f aca="false">Z21+AA11-AA20</f>
        <v>#VALUE!</v>
      </c>
      <c r="AB21" s="11" t="e">
        <f aca="false">AA21+AB11-AB20</f>
        <v>#VALUE!</v>
      </c>
      <c r="AC21" s="11" t="e">
        <f aca="false">AB21+AC11-AC20</f>
        <v>#VALUE!</v>
      </c>
      <c r="AD21" s="11" t="e">
        <f aca="false">AC21+AD11-AD20</f>
        <v>#VALUE!</v>
      </c>
      <c r="AE21" s="11" t="e">
        <f aca="false">AD21+AE11-AE20</f>
        <v>#VALUE!</v>
      </c>
      <c r="AF21" s="11" t="e">
        <f aca="false">AE21+AF11-AF20</f>
        <v>#VALUE!</v>
      </c>
      <c r="AG21" s="11" t="e">
        <f aca="false">AF21+AG11-AG20</f>
        <v>#VALUE!</v>
      </c>
      <c r="AH21" s="11" t="e">
        <f aca="false">AG21+AH11-AH20</f>
        <v>#VALUE!</v>
      </c>
      <c r="AI21" s="11" t="e">
        <f aca="false">AH21+AI11-AI20</f>
        <v>#VALUE!</v>
      </c>
      <c r="AJ21" s="11" t="e">
        <f aca="false">AI21+AJ11-AJ20</f>
        <v>#VALUE!</v>
      </c>
      <c r="AK21" s="11" t="e">
        <f aca="false">AJ21+AK11-AK20</f>
        <v>#VALUE!</v>
      </c>
      <c r="AL21" s="11" t="e">
        <f aca="false">AK21+AL11-AL20</f>
        <v>#VALUE!</v>
      </c>
      <c r="AM21" s="11" t="e">
        <f aca="false">AL21+AM11-AM20</f>
        <v>#VALUE!</v>
      </c>
      <c r="AN21" s="11" t="e">
        <f aca="false">AM21+AN11-AN20</f>
        <v>#VALUE!</v>
      </c>
      <c r="AO21" s="11" t="e">
        <f aca="false">AN21+AO11-AO20</f>
        <v>#VALUE!</v>
      </c>
      <c r="AP21" s="11" t="e">
        <f aca="false">AO21+AP11-AP20</f>
        <v>#VALUE!</v>
      </c>
      <c r="AQ21" s="11" t="e">
        <f aca="false">AP21+AQ11-AQ20</f>
        <v>#VALUE!</v>
      </c>
      <c r="AR21" s="11" t="e">
        <f aca="false">AQ21+AR11-AR20</f>
        <v>#VALUE!</v>
      </c>
      <c r="AS21" s="11" t="e">
        <f aca="false">AR21+AS11-AS20</f>
        <v>#VALUE!</v>
      </c>
      <c r="AT21" s="11" t="e">
        <f aca="false">AS21+AT11-AT20</f>
        <v>#VALUE!</v>
      </c>
      <c r="AU21" s="11" t="e">
        <f aca="false">AT21+AU11-AU20</f>
        <v>#VALUE!</v>
      </c>
      <c r="AV21" s="11" t="e">
        <f aca="false">AU21+AV11-AV20</f>
        <v>#VALUE!</v>
      </c>
      <c r="AW21" s="11" t="e">
        <f aca="false">AV21+AW11-AW20</f>
        <v>#VALUE!</v>
      </c>
      <c r="AX21" s="11" t="e">
        <f aca="false">AW21+AX11-AX20</f>
        <v>#VALUE!</v>
      </c>
      <c r="AY21" s="11" t="e">
        <f aca="false">AX21+AY11-AY20</f>
        <v>#VALUE!</v>
      </c>
      <c r="AZ21" s="11" t="e">
        <f aca="false">AY21+AZ11-AZ20</f>
        <v>#VALUE!</v>
      </c>
      <c r="BA21" s="11" t="e">
        <f aca="false">AZ21+BA11-BA20</f>
        <v>#VALUE!</v>
      </c>
      <c r="BB21" s="11" t="e">
        <f aca="false">BA21+BB11-BB20</f>
        <v>#VALUE!</v>
      </c>
      <c r="BC21" s="11" t="e">
        <f aca="false">BB21+BC11-BC20</f>
        <v>#VALUE!</v>
      </c>
      <c r="BD21" s="11" t="e">
        <f aca="false">BC21+BD11-BD20</f>
        <v>#VALUE!</v>
      </c>
      <c r="BE21" s="11" t="e">
        <f aca="false">BD21+BE11-BE20</f>
        <v>#VALUE!</v>
      </c>
      <c r="BF21" s="11" t="e">
        <f aca="false">BE21+BF11-BF20</f>
        <v>#VALUE!</v>
      </c>
      <c r="BG21" s="11" t="e">
        <f aca="false">BF21+BG11-BG20</f>
        <v>#VALUE!</v>
      </c>
      <c r="BH21" s="11" t="e">
        <f aca="false">BG21+BH11-BH20</f>
        <v>#VALUE!</v>
      </c>
      <c r="BI21" s="11" t="e">
        <f aca="false">BH21+BI11-BI20</f>
        <v>#VALUE!</v>
      </c>
      <c r="BJ21" s="11" t="e">
        <f aca="false">BI21+BJ11-BJ20</f>
        <v>#VALUE!</v>
      </c>
      <c r="BK21" s="11" t="e">
        <f aca="false">BJ21+BK11-BK20</f>
        <v>#VALUE!</v>
      </c>
      <c r="BL21" s="11" t="e">
        <f aca="false">BK21+BL11-BL20</f>
        <v>#VALUE!</v>
      </c>
      <c r="BM21" s="11" t="e">
        <f aca="false">BL21+BM11-BM20</f>
        <v>#VALUE!</v>
      </c>
      <c r="BN21" s="11" t="e">
        <f aca="false">BM21+BN11-BN20</f>
        <v>#VALUE!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e">
        <f aca="false">0-J19+MAX(0,-J18)</f>
        <v>#VALUE!</v>
      </c>
      <c r="K22" s="11" t="e">
        <f aca="false">J22-K19+MAX(0,-K18)</f>
        <v>#VALUE!</v>
      </c>
      <c r="L22" s="11" t="e">
        <f aca="false">K22-L19+MAX(0,-L18)</f>
        <v>#VALUE!</v>
      </c>
      <c r="M22" s="11" t="e">
        <f aca="false">L22-M19+MAX(0,-M18)</f>
        <v>#VALUE!</v>
      </c>
      <c r="N22" s="11" t="e">
        <f aca="false">M22-N19+MAX(0,-N18)</f>
        <v>#VALUE!</v>
      </c>
      <c r="O22" s="11" t="e">
        <f aca="false">N22-O19+MAX(0,-O18)</f>
        <v>#VALUE!</v>
      </c>
      <c r="P22" s="11" t="e">
        <f aca="false">O22-P19+MAX(0,-P18)</f>
        <v>#VALUE!</v>
      </c>
      <c r="Q22" s="11" t="e">
        <f aca="false">P22-Q19+MAX(0,-Q18)</f>
        <v>#VALUE!</v>
      </c>
      <c r="R22" s="11" t="e">
        <f aca="false">Q22-R19+MAX(0,-R18)</f>
        <v>#VALUE!</v>
      </c>
      <c r="S22" s="11" t="e">
        <f aca="false">R22-S19+MAX(0,-S18)</f>
        <v>#VALUE!</v>
      </c>
      <c r="T22" s="11" t="e">
        <f aca="false">S22-T19+MAX(0,-T18)</f>
        <v>#VALUE!</v>
      </c>
      <c r="U22" s="11" t="e">
        <f aca="false">T22-U19+MAX(0,-U18)</f>
        <v>#VALUE!</v>
      </c>
      <c r="V22" s="11" t="e">
        <f aca="false">U22-V19+MAX(0,-V18)</f>
        <v>#VALUE!</v>
      </c>
      <c r="W22" s="11" t="e">
        <f aca="false">V22-W19+MAX(0,-W18)</f>
        <v>#VALUE!</v>
      </c>
      <c r="X22" s="11" t="e">
        <f aca="false">W22-X19+MAX(0,-X18)</f>
        <v>#VALUE!</v>
      </c>
      <c r="Y22" s="11" t="e">
        <f aca="false">X22-Y19+MAX(0,-Y18)</f>
        <v>#VALUE!</v>
      </c>
      <c r="Z22" s="11" t="e">
        <f aca="false">Y22-Z19+MAX(0,-Z18)</f>
        <v>#VALUE!</v>
      </c>
      <c r="AA22" s="11" t="e">
        <f aca="false">Z22-AA19+MAX(0,-AA18)</f>
        <v>#VALUE!</v>
      </c>
      <c r="AB22" s="11" t="e">
        <f aca="false">AA22-AB19+MAX(0,-AB18)</f>
        <v>#VALUE!</v>
      </c>
      <c r="AC22" s="11" t="e">
        <f aca="false">AB22-AC19+MAX(0,-AC18)</f>
        <v>#VALUE!</v>
      </c>
      <c r="AD22" s="11" t="e">
        <f aca="false">AC22-AD19+MAX(0,-AD18)</f>
        <v>#VALUE!</v>
      </c>
      <c r="AE22" s="11" t="e">
        <f aca="false">AD22-AE19+MAX(0,-AE18)</f>
        <v>#VALUE!</v>
      </c>
      <c r="AF22" s="11" t="e">
        <f aca="false">AE22-AF19+MAX(0,-AF18)</f>
        <v>#VALUE!</v>
      </c>
      <c r="AG22" s="11" t="e">
        <f aca="false">AF22-AG19+MAX(0,-AG18)</f>
        <v>#VALUE!</v>
      </c>
      <c r="AH22" s="11" t="e">
        <f aca="false">AG22-AH19+MAX(0,-AH18)</f>
        <v>#VALUE!</v>
      </c>
      <c r="AI22" s="11" t="e">
        <f aca="false">AH22-AI19+MAX(0,-AI18)</f>
        <v>#VALUE!</v>
      </c>
      <c r="AJ22" s="11" t="e">
        <f aca="false">AI22-AJ19+MAX(0,-AJ18)</f>
        <v>#VALUE!</v>
      </c>
      <c r="AK22" s="11" t="e">
        <f aca="false">AJ22-AK19+MAX(0,-AK18)</f>
        <v>#VALUE!</v>
      </c>
      <c r="AL22" s="11" t="e">
        <f aca="false">AK22-AL19+MAX(0,-AL18)</f>
        <v>#VALUE!</v>
      </c>
      <c r="AM22" s="11" t="e">
        <f aca="false">AL22-AM19+MAX(0,-AM18)</f>
        <v>#VALUE!</v>
      </c>
      <c r="AN22" s="11" t="e">
        <f aca="false">AM22-AN19+MAX(0,-AN18)</f>
        <v>#VALUE!</v>
      </c>
      <c r="AO22" s="11" t="e">
        <f aca="false">AN22-AO19+MAX(0,-AO18)</f>
        <v>#VALUE!</v>
      </c>
      <c r="AP22" s="11" t="e">
        <f aca="false">AO22-AP19+MAX(0,-AP18)</f>
        <v>#VALUE!</v>
      </c>
      <c r="AQ22" s="11" t="e">
        <f aca="false">AP22-AQ19+MAX(0,-AQ18)</f>
        <v>#VALUE!</v>
      </c>
      <c r="AR22" s="11" t="e">
        <f aca="false">AQ22-AR19+MAX(0,-AR18)</f>
        <v>#VALUE!</v>
      </c>
      <c r="AS22" s="11" t="e">
        <f aca="false">AR22-AS19+MAX(0,-AS18)</f>
        <v>#VALUE!</v>
      </c>
      <c r="AT22" s="11" t="e">
        <f aca="false">AS22-AT19+MAX(0,-AT18)</f>
        <v>#VALUE!</v>
      </c>
      <c r="AU22" s="11" t="e">
        <f aca="false">AT22-AU19+MAX(0,-AU18)</f>
        <v>#VALUE!</v>
      </c>
      <c r="AV22" s="11" t="e">
        <f aca="false">AU22-AV19+MAX(0,-AV18)</f>
        <v>#VALUE!</v>
      </c>
      <c r="AW22" s="11" t="e">
        <f aca="false">AV22-AW19+MAX(0,-AW18)</f>
        <v>#VALUE!</v>
      </c>
      <c r="AX22" s="11" t="e">
        <f aca="false">AW22-AX19+MAX(0,-AX18)</f>
        <v>#VALUE!</v>
      </c>
      <c r="AY22" s="11" t="e">
        <f aca="false">AX22-AY19+MAX(0,-AY18)</f>
        <v>#VALUE!</v>
      </c>
      <c r="AZ22" s="11" t="e">
        <f aca="false">AY22-AZ19+MAX(0,-AZ18)</f>
        <v>#VALUE!</v>
      </c>
      <c r="BA22" s="11" t="e">
        <f aca="false">AZ22-BA19+MAX(0,-BA18)</f>
        <v>#VALUE!</v>
      </c>
      <c r="BB22" s="11" t="e">
        <f aca="false">BA22-BB19+MAX(0,-BB18)</f>
        <v>#VALUE!</v>
      </c>
      <c r="BC22" s="11" t="e">
        <f aca="false">BB22-BC19+MAX(0,-BC18)</f>
        <v>#VALUE!</v>
      </c>
      <c r="BD22" s="11" t="e">
        <f aca="false">BC22-BD19+MAX(0,-BD18)</f>
        <v>#VALUE!</v>
      </c>
      <c r="BE22" s="11" t="e">
        <f aca="false">BD22-BE19+MAX(0,-BE18)</f>
        <v>#VALUE!</v>
      </c>
      <c r="BF22" s="11" t="e">
        <f aca="false">BE22-BF19+MAX(0,-BF18)</f>
        <v>#VALUE!</v>
      </c>
      <c r="BG22" s="11" t="e">
        <f aca="false">BF22-BG19+MAX(0,-BG18)</f>
        <v>#VALUE!</v>
      </c>
      <c r="BH22" s="11" t="e">
        <f aca="false">BG22-BH19+MAX(0,-BH18)</f>
        <v>#VALUE!</v>
      </c>
      <c r="BI22" s="11" t="e">
        <f aca="false">BH22-BI19+MAX(0,-BI18)</f>
        <v>#VALUE!</v>
      </c>
      <c r="BJ22" s="11" t="e">
        <f aca="false">BI22-BJ19+MAX(0,-BJ18)</f>
        <v>#VALUE!</v>
      </c>
      <c r="BK22" s="11" t="e">
        <f aca="false">BJ22-BK19+MAX(0,-BK18)</f>
        <v>#VALUE!</v>
      </c>
      <c r="BL22" s="11" t="e">
        <f aca="false">BK22-BL19+MAX(0,-BL18)</f>
        <v>#VALUE!</v>
      </c>
      <c r="BM22" s="11" t="e">
        <f aca="false">BL22-BM19+MAX(0,-BM18)</f>
        <v>#VALUE!</v>
      </c>
      <c r="BN22" s="11" t="e">
        <f aca="false">BM22-BN19+MAX(0,-BN18)</f>
        <v>#VALUE!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e">
        <f aca="false">SUM(J23:BN23)</f>
        <v>#VALUE!</v>
      </c>
      <c r="J23" s="11" t="e">
        <f aca="false">MAX(0,J18-J19-J20)</f>
        <v>#VALUE!</v>
      </c>
      <c r="K23" s="11" t="e">
        <f aca="false">MAX(0,K18-K19-K20)</f>
        <v>#VALUE!</v>
      </c>
      <c r="L23" s="11" t="e">
        <f aca="false">MAX(0,L18-L19-L20)</f>
        <v>#VALUE!</v>
      </c>
      <c r="M23" s="11" t="e">
        <f aca="false">MAX(0,M18-M19-M20)</f>
        <v>#VALUE!</v>
      </c>
      <c r="N23" s="11" t="e">
        <f aca="false">MAX(0,N18-N19-N20)</f>
        <v>#VALUE!</v>
      </c>
      <c r="O23" s="11" t="e">
        <f aca="false">MAX(0,O18-O19-O20)</f>
        <v>#VALUE!</v>
      </c>
      <c r="P23" s="11" t="e">
        <f aca="false">MAX(0,P18-P19-P20)</f>
        <v>#VALUE!</v>
      </c>
      <c r="Q23" s="11" t="e">
        <f aca="false">MAX(0,Q18-Q19-Q20)</f>
        <v>#VALUE!</v>
      </c>
      <c r="R23" s="11" t="e">
        <f aca="false">MAX(0,R18-R19-R20)</f>
        <v>#VALUE!</v>
      </c>
      <c r="S23" s="11" t="e">
        <f aca="false">MAX(0,S18-S19-S20)</f>
        <v>#VALUE!</v>
      </c>
      <c r="T23" s="11" t="e">
        <f aca="false">MAX(0,T18-T19-T20)</f>
        <v>#VALUE!</v>
      </c>
      <c r="U23" s="11" t="e">
        <f aca="false">MAX(0,U18-U19-U20)</f>
        <v>#VALUE!</v>
      </c>
      <c r="V23" s="11" t="e">
        <f aca="false">MAX(0,V18-V19-V20)</f>
        <v>#VALUE!</v>
      </c>
      <c r="W23" s="11" t="e">
        <f aca="false">MAX(0,W18-W19-W20)</f>
        <v>#VALUE!</v>
      </c>
      <c r="X23" s="11" t="e">
        <f aca="false">MAX(0,X18-X19-X20)</f>
        <v>#VALUE!</v>
      </c>
      <c r="Y23" s="11" t="e">
        <f aca="false">MAX(0,Y18-Y19-Y20)</f>
        <v>#VALUE!</v>
      </c>
      <c r="Z23" s="11" t="e">
        <f aca="false">MAX(0,Z18-Z19-Z20)</f>
        <v>#VALUE!</v>
      </c>
      <c r="AA23" s="11" t="e">
        <f aca="false">MAX(0,AA18-AA19-AA20)</f>
        <v>#VALUE!</v>
      </c>
      <c r="AB23" s="11" t="e">
        <f aca="false">MAX(0,AB18-AB19-AB20)</f>
        <v>#VALUE!</v>
      </c>
      <c r="AC23" s="11" t="e">
        <f aca="false">MAX(0,AC18-AC19-AC20)</f>
        <v>#VALUE!</v>
      </c>
      <c r="AD23" s="11" t="e">
        <f aca="false">MAX(0,AD18-AD19-AD20)</f>
        <v>#VALUE!</v>
      </c>
      <c r="AE23" s="11" t="e">
        <f aca="false">MAX(0,AE18-AE19-AE20)</f>
        <v>#VALUE!</v>
      </c>
      <c r="AF23" s="11" t="e">
        <f aca="false">MAX(0,AF18-AF19-AF20)</f>
        <v>#VALUE!</v>
      </c>
      <c r="AG23" s="11" t="e">
        <f aca="false">MAX(0,AG18-AG19-AG20)</f>
        <v>#VALUE!</v>
      </c>
      <c r="AH23" s="11" t="e">
        <f aca="false">MAX(0,AH18-AH19-AH20)</f>
        <v>#VALUE!</v>
      </c>
      <c r="AI23" s="11" t="e">
        <f aca="false">MAX(0,AI18-AI19-AI20)</f>
        <v>#VALUE!</v>
      </c>
      <c r="AJ23" s="11" t="e">
        <f aca="false">MAX(0,AJ18-AJ19-AJ20)</f>
        <v>#VALUE!</v>
      </c>
      <c r="AK23" s="11" t="e">
        <f aca="false">MAX(0,AK18-AK19-AK20)</f>
        <v>#VALUE!</v>
      </c>
      <c r="AL23" s="11" t="e">
        <f aca="false">MAX(0,AL18-AL19-AL20)</f>
        <v>#VALUE!</v>
      </c>
      <c r="AM23" s="11" t="e">
        <f aca="false">MAX(0,AM18-AM19-AM20)</f>
        <v>#VALUE!</v>
      </c>
      <c r="AN23" s="11" t="e">
        <f aca="false">MAX(0,AN18-AN19-AN20)</f>
        <v>#VALUE!</v>
      </c>
      <c r="AO23" s="11" t="e">
        <f aca="false">MAX(0,AO18-AO19-AO20)</f>
        <v>#VALUE!</v>
      </c>
      <c r="AP23" s="11" t="e">
        <f aca="false">MAX(0,AP18-AP19-AP20)</f>
        <v>#VALUE!</v>
      </c>
      <c r="AQ23" s="11" t="e">
        <f aca="false">MAX(0,AQ18-AQ19-AQ20)</f>
        <v>#VALUE!</v>
      </c>
      <c r="AR23" s="11" t="e">
        <f aca="false">MAX(0,AR18-AR19-AR20)</f>
        <v>#VALUE!</v>
      </c>
      <c r="AS23" s="11" t="e">
        <f aca="false">MAX(0,AS18-AS19-AS20)</f>
        <v>#VALUE!</v>
      </c>
      <c r="AT23" s="11" t="e">
        <f aca="false">MAX(0,AT18-AT19-AT20)</f>
        <v>#VALUE!</v>
      </c>
      <c r="AU23" s="11" t="e">
        <f aca="false">MAX(0,AU18-AU19-AU20)</f>
        <v>#VALUE!</v>
      </c>
      <c r="AV23" s="11" t="e">
        <f aca="false">MAX(0,AV18-AV19-AV20)</f>
        <v>#VALUE!</v>
      </c>
      <c r="AW23" s="11" t="e">
        <f aca="false">MAX(0,AW18-AW19-AW20)</f>
        <v>#VALUE!</v>
      </c>
      <c r="AX23" s="11" t="e">
        <f aca="false">MAX(0,AX18-AX19-AX20)</f>
        <v>#VALUE!</v>
      </c>
      <c r="AY23" s="11" t="e">
        <f aca="false">MAX(0,AY18-AY19-AY20)</f>
        <v>#VALUE!</v>
      </c>
      <c r="AZ23" s="11" t="e">
        <f aca="false">MAX(0,AZ18-AZ19-AZ20)</f>
        <v>#VALUE!</v>
      </c>
      <c r="BA23" s="11" t="e">
        <f aca="false">MAX(0,BA18-BA19-BA20)</f>
        <v>#VALUE!</v>
      </c>
      <c r="BB23" s="11" t="e">
        <f aca="false">MAX(0,BB18-BB19-BB20)</f>
        <v>#VALUE!</v>
      </c>
      <c r="BC23" s="11" t="e">
        <f aca="false">MAX(0,BC18-BC19-BC20)</f>
        <v>#VALUE!</v>
      </c>
      <c r="BD23" s="11" t="e">
        <f aca="false">MAX(0,BD18-BD19-BD20)</f>
        <v>#VALUE!</v>
      </c>
      <c r="BE23" s="11" t="e">
        <f aca="false">MAX(0,BE18-BE19-BE20)</f>
        <v>#VALUE!</v>
      </c>
      <c r="BF23" s="11" t="e">
        <f aca="false">MAX(0,BF18-BF19-BF20)</f>
        <v>#VALUE!</v>
      </c>
      <c r="BG23" s="11" t="e">
        <f aca="false">MAX(0,BG18-BG19-BG20)</f>
        <v>#VALUE!</v>
      </c>
      <c r="BH23" s="11" t="e">
        <f aca="false">MAX(0,BH18-BH19-BH20)</f>
        <v>#VALUE!</v>
      </c>
      <c r="BI23" s="11" t="e">
        <f aca="false">MAX(0,BI18-BI19-BI20)</f>
        <v>#VALUE!</v>
      </c>
      <c r="BJ23" s="11" t="e">
        <f aca="false">MAX(0,BJ18-BJ19-BJ20)</f>
        <v>#VALUE!</v>
      </c>
      <c r="BK23" s="11" t="e">
        <f aca="false">MAX(0,BK18-BK19-BK20)</f>
        <v>#VALUE!</v>
      </c>
      <c r="BL23" s="11" t="e">
        <f aca="false">MAX(0,BL18-BL19-BL20)</f>
        <v>#VALUE!</v>
      </c>
      <c r="BM23" s="11" t="e">
        <f aca="false">MAX(0,BM18-BM19-BM20)</f>
        <v>#VALUE!</v>
      </c>
      <c r="BN23" s="11" t="e">
        <f aca="false">MAX(0,BN18-BN19-BN20)</f>
        <v>#VALUE!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e">
        <f aca="false">SUM(J25:BN25)</f>
        <v>#VALUE!</v>
      </c>
      <c r="J25" s="11" t="e">
        <f aca="false">J23*J24</f>
        <v>#VALUE!</v>
      </c>
      <c r="K25" s="11" t="e">
        <f aca="false">K23*K24</f>
        <v>#VALUE!</v>
      </c>
      <c r="L25" s="11" t="e">
        <f aca="false">L23*L24</f>
        <v>#VALUE!</v>
      </c>
      <c r="M25" s="11" t="e">
        <f aca="false">M23*M24</f>
        <v>#VALUE!</v>
      </c>
      <c r="N25" s="11" t="e">
        <f aca="false">N23*N24</f>
        <v>#VALUE!</v>
      </c>
      <c r="O25" s="11" t="e">
        <f aca="false">O23*O24</f>
        <v>#VALUE!</v>
      </c>
      <c r="P25" s="11" t="e">
        <f aca="false">P23*P24</f>
        <v>#VALUE!</v>
      </c>
      <c r="Q25" s="11" t="e">
        <f aca="false">Q23*Q24</f>
        <v>#VALUE!</v>
      </c>
      <c r="R25" s="11" t="e">
        <f aca="false">R23*R24</f>
        <v>#VALUE!</v>
      </c>
      <c r="S25" s="11" t="e">
        <f aca="false">S23*S24</f>
        <v>#VALUE!</v>
      </c>
      <c r="T25" s="11" t="e">
        <f aca="false">T23*T24</f>
        <v>#VALUE!</v>
      </c>
      <c r="U25" s="11" t="e">
        <f aca="false">U23*U24</f>
        <v>#VALUE!</v>
      </c>
      <c r="V25" s="11" t="e">
        <f aca="false">V23*V24</f>
        <v>#VALUE!</v>
      </c>
      <c r="W25" s="11" t="e">
        <f aca="false">W23*W24</f>
        <v>#VALUE!</v>
      </c>
      <c r="X25" s="11" t="e">
        <f aca="false">X23*X24</f>
        <v>#VALUE!</v>
      </c>
      <c r="Y25" s="11" t="e">
        <f aca="false">Y23*Y24</f>
        <v>#VALUE!</v>
      </c>
      <c r="Z25" s="11" t="e">
        <f aca="false">Z23*Z24</f>
        <v>#VALUE!</v>
      </c>
      <c r="AA25" s="11" t="e">
        <f aca="false">AA23*AA24</f>
        <v>#VALUE!</v>
      </c>
      <c r="AB25" s="11" t="e">
        <f aca="false">AB23*AB24</f>
        <v>#VALUE!</v>
      </c>
      <c r="AC25" s="11" t="e">
        <f aca="false">AC23*AC24</f>
        <v>#VALUE!</v>
      </c>
      <c r="AD25" s="11" t="e">
        <f aca="false">AD23*AD24</f>
        <v>#VALUE!</v>
      </c>
      <c r="AE25" s="11" t="e">
        <f aca="false">AE23*AE24</f>
        <v>#VALUE!</v>
      </c>
      <c r="AF25" s="11" t="e">
        <f aca="false">AF23*AF24</f>
        <v>#VALUE!</v>
      </c>
      <c r="AG25" s="11" t="e">
        <f aca="false">AG23*AG24</f>
        <v>#VALUE!</v>
      </c>
      <c r="AH25" s="11" t="e">
        <f aca="false">AH23*AH24</f>
        <v>#VALUE!</v>
      </c>
      <c r="AI25" s="11" t="e">
        <f aca="false">AI23*AI24</f>
        <v>#VALUE!</v>
      </c>
      <c r="AJ25" s="11" t="e">
        <f aca="false">AJ23*AJ24</f>
        <v>#VALUE!</v>
      </c>
      <c r="AK25" s="11" t="e">
        <f aca="false">AK23*AK24</f>
        <v>#VALUE!</v>
      </c>
      <c r="AL25" s="11" t="e">
        <f aca="false">AL23*AL24</f>
        <v>#VALUE!</v>
      </c>
      <c r="AM25" s="11" t="e">
        <f aca="false">AM23*AM24</f>
        <v>#VALUE!</v>
      </c>
      <c r="AN25" s="11" t="e">
        <f aca="false">AN23*AN24</f>
        <v>#VALUE!</v>
      </c>
      <c r="AO25" s="11" t="e">
        <f aca="false">AO23*AO24</f>
        <v>#VALUE!</v>
      </c>
      <c r="AP25" s="11" t="e">
        <f aca="false">AP23*AP24</f>
        <v>#VALUE!</v>
      </c>
      <c r="AQ25" s="11" t="e">
        <f aca="false">AQ23*AQ24</f>
        <v>#VALUE!</v>
      </c>
      <c r="AR25" s="11" t="e">
        <f aca="false">AR23*AR24</f>
        <v>#VALUE!</v>
      </c>
      <c r="AS25" s="11" t="e">
        <f aca="false">AS23*AS24</f>
        <v>#VALUE!</v>
      </c>
      <c r="AT25" s="11" t="e">
        <f aca="false">AT23*AT24</f>
        <v>#VALUE!</v>
      </c>
      <c r="AU25" s="11" t="e">
        <f aca="false">AU23*AU24</f>
        <v>#VALUE!</v>
      </c>
      <c r="AV25" s="11" t="e">
        <f aca="false">AV23*AV24</f>
        <v>#VALUE!</v>
      </c>
      <c r="AW25" s="11" t="e">
        <f aca="false">AW23*AW24</f>
        <v>#VALUE!</v>
      </c>
      <c r="AX25" s="11" t="e">
        <f aca="false">AX23*AX24</f>
        <v>#VALUE!</v>
      </c>
      <c r="AY25" s="11" t="e">
        <f aca="false">AY23*AY24</f>
        <v>#VALUE!</v>
      </c>
      <c r="AZ25" s="11" t="e">
        <f aca="false">AZ23*AZ24</f>
        <v>#VALUE!</v>
      </c>
      <c r="BA25" s="11" t="e">
        <f aca="false">BA23*BA24</f>
        <v>#VALUE!</v>
      </c>
      <c r="BB25" s="11" t="e">
        <f aca="false">BB23*BB24</f>
        <v>#VALUE!</v>
      </c>
      <c r="BC25" s="11" t="e">
        <f aca="false">BC23*BC24</f>
        <v>#VALUE!</v>
      </c>
      <c r="BD25" s="11" t="e">
        <f aca="false">BD23*BD24</f>
        <v>#VALUE!</v>
      </c>
      <c r="BE25" s="11" t="e">
        <f aca="false">BE23*BE24</f>
        <v>#VALUE!</v>
      </c>
      <c r="BF25" s="11" t="e">
        <f aca="false">BF23*BF24</f>
        <v>#VALUE!</v>
      </c>
      <c r="BG25" s="11" t="e">
        <f aca="false">BG23*BG24</f>
        <v>#VALUE!</v>
      </c>
      <c r="BH25" s="11" t="e">
        <f aca="false">BH23*BH24</f>
        <v>#VALUE!</v>
      </c>
      <c r="BI25" s="11" t="e">
        <f aca="false">BI23*BI24</f>
        <v>#VALUE!</v>
      </c>
      <c r="BJ25" s="11" t="e">
        <f aca="false">BJ23*BJ24</f>
        <v>#VALUE!</v>
      </c>
      <c r="BK25" s="11" t="e">
        <f aca="false">BK23*BK24</f>
        <v>#VALUE!</v>
      </c>
      <c r="BL25" s="11" t="e">
        <f aca="false">BL23*BL24</f>
        <v>#VALUE!</v>
      </c>
      <c r="BM25" s="11" t="e">
        <f aca="false">BM23*BM24</f>
        <v>#VALUE!</v>
      </c>
      <c r="BN25" s="11" t="e">
        <f aca="false">BN23*BN24</f>
        <v>#VALUE!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e">
        <f aca="false">SUM(J27:BN27)</f>
        <v>#VALUE!</v>
      </c>
      <c r="J27" s="11" t="e">
        <f aca="false">MAX(J25,J26)</f>
        <v>#VALUE!</v>
      </c>
      <c r="K27" s="11" t="e">
        <f aca="false">MAX(K25,K26)</f>
        <v>#VALUE!</v>
      </c>
      <c r="L27" s="11" t="e">
        <f aca="false">MAX(L25,L26)</f>
        <v>#VALUE!</v>
      </c>
      <c r="M27" s="11" t="e">
        <f aca="false">MAX(M25,M26)</f>
        <v>#VALUE!</v>
      </c>
      <c r="N27" s="11" t="e">
        <f aca="false">MAX(N25,N26)</f>
        <v>#VALUE!</v>
      </c>
      <c r="O27" s="11" t="e">
        <f aca="false">MAX(O25,O26)</f>
        <v>#VALUE!</v>
      </c>
      <c r="P27" s="11" t="e">
        <f aca="false">MAX(P25,P26)</f>
        <v>#VALUE!</v>
      </c>
      <c r="Q27" s="11" t="e">
        <f aca="false">MAX(Q25,Q26)</f>
        <v>#VALUE!</v>
      </c>
      <c r="R27" s="11" t="e">
        <f aca="false">MAX(R25,R26)</f>
        <v>#VALUE!</v>
      </c>
      <c r="S27" s="11" t="e">
        <f aca="false">MAX(S25,S26)</f>
        <v>#VALUE!</v>
      </c>
      <c r="T27" s="11" t="e">
        <f aca="false">MAX(T25,T26)</f>
        <v>#VALUE!</v>
      </c>
      <c r="U27" s="11" t="e">
        <f aca="false">MAX(U25,U26)</f>
        <v>#VALUE!</v>
      </c>
      <c r="V27" s="11" t="e">
        <f aca="false">MAX(V25,V26)</f>
        <v>#VALUE!</v>
      </c>
      <c r="W27" s="11" t="e">
        <f aca="false">MAX(W25,W26)</f>
        <v>#VALUE!</v>
      </c>
      <c r="X27" s="11" t="e">
        <f aca="false">MAX(X25,X26)</f>
        <v>#VALUE!</v>
      </c>
      <c r="Y27" s="11" t="e">
        <f aca="false">MAX(Y25,Y26)</f>
        <v>#VALUE!</v>
      </c>
      <c r="Z27" s="11" t="e">
        <f aca="false">MAX(Z25,Z26)</f>
        <v>#VALUE!</v>
      </c>
      <c r="AA27" s="11" t="e">
        <f aca="false">MAX(AA25,AA26)</f>
        <v>#VALUE!</v>
      </c>
      <c r="AB27" s="11" t="e">
        <f aca="false">MAX(AB25,AB26)</f>
        <v>#VALUE!</v>
      </c>
      <c r="AC27" s="11" t="e">
        <f aca="false">MAX(AC25,AC26)</f>
        <v>#VALUE!</v>
      </c>
      <c r="AD27" s="11" t="e">
        <f aca="false">MAX(AD25,AD26)</f>
        <v>#VALUE!</v>
      </c>
      <c r="AE27" s="11" t="e">
        <f aca="false">MAX(AE25,AE26)</f>
        <v>#VALUE!</v>
      </c>
      <c r="AF27" s="11" t="e">
        <f aca="false">MAX(AF25,AF26)</f>
        <v>#VALUE!</v>
      </c>
      <c r="AG27" s="11" t="e">
        <f aca="false">MAX(AG25,AG26)</f>
        <v>#VALUE!</v>
      </c>
      <c r="AH27" s="11" t="e">
        <f aca="false">MAX(AH25,AH26)</f>
        <v>#VALUE!</v>
      </c>
      <c r="AI27" s="11" t="e">
        <f aca="false">MAX(AI25,AI26)</f>
        <v>#VALUE!</v>
      </c>
      <c r="AJ27" s="11" t="e">
        <f aca="false">MAX(AJ25,AJ26)</f>
        <v>#VALUE!</v>
      </c>
      <c r="AK27" s="11" t="e">
        <f aca="false">MAX(AK25,AK26)</f>
        <v>#VALUE!</v>
      </c>
      <c r="AL27" s="11" t="e">
        <f aca="false">MAX(AL25,AL26)</f>
        <v>#VALUE!</v>
      </c>
      <c r="AM27" s="11" t="e">
        <f aca="false">MAX(AM25,AM26)</f>
        <v>#VALUE!</v>
      </c>
      <c r="AN27" s="11" t="e">
        <f aca="false">MAX(AN25,AN26)</f>
        <v>#VALUE!</v>
      </c>
      <c r="AO27" s="11" t="e">
        <f aca="false">MAX(AO25,AO26)</f>
        <v>#VALUE!</v>
      </c>
      <c r="AP27" s="11" t="e">
        <f aca="false">MAX(AP25,AP26)</f>
        <v>#VALUE!</v>
      </c>
      <c r="AQ27" s="11" t="e">
        <f aca="false">MAX(AQ25,AQ26)</f>
        <v>#VALUE!</v>
      </c>
      <c r="AR27" s="11" t="e">
        <f aca="false">MAX(AR25,AR26)</f>
        <v>#VALUE!</v>
      </c>
      <c r="AS27" s="11" t="e">
        <f aca="false">MAX(AS25,AS26)</f>
        <v>#VALUE!</v>
      </c>
      <c r="AT27" s="11" t="e">
        <f aca="false">MAX(AT25,AT26)</f>
        <v>#VALUE!</v>
      </c>
      <c r="AU27" s="11" t="e">
        <f aca="false">MAX(AU25,AU26)</f>
        <v>#VALUE!</v>
      </c>
      <c r="AV27" s="11" t="e">
        <f aca="false">MAX(AV25,AV26)</f>
        <v>#VALUE!</v>
      </c>
      <c r="AW27" s="11" t="e">
        <f aca="false">MAX(AW25,AW26)</f>
        <v>#VALUE!</v>
      </c>
      <c r="AX27" s="11" t="e">
        <f aca="false">MAX(AX25,AX26)</f>
        <v>#VALUE!</v>
      </c>
      <c r="AY27" s="11" t="e">
        <f aca="false">MAX(AY25,AY26)</f>
        <v>#VALUE!</v>
      </c>
      <c r="AZ27" s="11" t="e">
        <f aca="false">MAX(AZ25,AZ26)</f>
        <v>#VALUE!</v>
      </c>
      <c r="BA27" s="11" t="e">
        <f aca="false">MAX(BA25,BA26)</f>
        <v>#VALUE!</v>
      </c>
      <c r="BB27" s="11" t="e">
        <f aca="false">MAX(BB25,BB26)</f>
        <v>#VALUE!</v>
      </c>
      <c r="BC27" s="11" t="e">
        <f aca="false">MAX(BC25,BC26)</f>
        <v>#VALUE!</v>
      </c>
      <c r="BD27" s="11" t="e">
        <f aca="false">MAX(BD25,BD26)</f>
        <v>#VALUE!</v>
      </c>
      <c r="BE27" s="11" t="e">
        <f aca="false">MAX(BE25,BE26)</f>
        <v>#VALUE!</v>
      </c>
      <c r="BF27" s="11" t="e">
        <f aca="false">MAX(BF25,BF26)</f>
        <v>#VALUE!</v>
      </c>
      <c r="BG27" s="11" t="e">
        <f aca="false">MAX(BG25,BG26)</f>
        <v>#VALUE!</v>
      </c>
      <c r="BH27" s="11" t="e">
        <f aca="false">MAX(BH25,BH26)</f>
        <v>#VALUE!</v>
      </c>
      <c r="BI27" s="11" t="e">
        <f aca="false">MAX(BI25,BI26)</f>
        <v>#VALUE!</v>
      </c>
      <c r="BJ27" s="11" t="e">
        <f aca="false">MAX(BJ25,BJ26)</f>
        <v>#VALUE!</v>
      </c>
      <c r="BK27" s="11" t="e">
        <f aca="false">MAX(BK25,BK26)</f>
        <v>#VALUE!</v>
      </c>
      <c r="BL27" s="11" t="e">
        <f aca="false">MAX(BL25,BL26)</f>
        <v>#VALUE!</v>
      </c>
      <c r="BM27" s="11" t="e">
        <f aca="false">MAX(BM25,BM26)</f>
        <v>#VALUE!</v>
      </c>
      <c r="BN27" s="11" t="e">
        <f aca="false">MAX(BN25,BN26)</f>
        <v>#VALUE!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e">
        <f aca="false">SUM(J28:BN28)</f>
        <v>#VALUE!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e">
        <f aca="false">P13-P15</f>
        <v>#VALUE!</v>
      </c>
      <c r="Q28" s="11" t="e">
        <f aca="false">Q13-Q15</f>
        <v>#VALUE!</v>
      </c>
      <c r="R28" s="11" t="e">
        <f aca="false">R13-R15</f>
        <v>#VALUE!</v>
      </c>
      <c r="S28" s="11" t="e">
        <f aca="false">S13-S15</f>
        <v>#VALUE!</v>
      </c>
      <c r="T28" s="11" t="e">
        <f aca="false">T13-T15</f>
        <v>#VALUE!</v>
      </c>
      <c r="U28" s="11" t="e">
        <f aca="false">U13-U15</f>
        <v>#VALUE!</v>
      </c>
      <c r="V28" s="11" t="e">
        <f aca="false">V13-V15</f>
        <v>#VALUE!</v>
      </c>
      <c r="W28" s="11" t="e">
        <f aca="false">W13-W15</f>
        <v>#VALUE!</v>
      </c>
      <c r="X28" s="11" t="e">
        <f aca="false">X13-X15</f>
        <v>#VALUE!</v>
      </c>
      <c r="Y28" s="11" t="e">
        <f aca="false">Y13-Y15</f>
        <v>#VALUE!</v>
      </c>
      <c r="Z28" s="11" t="e">
        <f aca="false">Z13-Z15</f>
        <v>#VALUE!</v>
      </c>
      <c r="AA28" s="11" t="e">
        <f aca="false">AA13-AA15</f>
        <v>#VALUE!</v>
      </c>
      <c r="AB28" s="11" t="e">
        <f aca="false">AB13-AB15</f>
        <v>#VALUE!</v>
      </c>
      <c r="AC28" s="11" t="e">
        <f aca="false">AC13-AC15</f>
        <v>#VALUE!</v>
      </c>
      <c r="AD28" s="11" t="e">
        <f aca="false">AD13-AD15</f>
        <v>#VALUE!</v>
      </c>
      <c r="AE28" s="11" t="e">
        <f aca="false">AE13-AE15</f>
        <v>#VALUE!</v>
      </c>
      <c r="AF28" s="11" t="e">
        <f aca="false">AF13-AF15</f>
        <v>#VALUE!</v>
      </c>
      <c r="AG28" s="11" t="e">
        <f aca="false">AG13-AG15</f>
        <v>#VALUE!</v>
      </c>
      <c r="AH28" s="11" t="e">
        <f aca="false">AH13-AH15</f>
        <v>#VALUE!</v>
      </c>
      <c r="AI28" s="11" t="e">
        <f aca="false">AI13-AI15</f>
        <v>#VALUE!</v>
      </c>
      <c r="AJ28" s="11" t="e">
        <f aca="false">AJ13-AJ15</f>
        <v>#VALUE!</v>
      </c>
      <c r="AK28" s="11" t="e">
        <f aca="false">AK13-AK15</f>
        <v>#VALUE!</v>
      </c>
      <c r="AL28" s="11" t="e">
        <f aca="false">AL13-AL15</f>
        <v>#VALUE!</v>
      </c>
      <c r="AM28" s="11" t="e">
        <f aca="false">AM13-AM15</f>
        <v>#VALUE!</v>
      </c>
      <c r="AN28" s="11" t="e">
        <f aca="false">AN13-AN15</f>
        <v>#VALUE!</v>
      </c>
      <c r="AO28" s="11" t="e">
        <f aca="false">AO13-AO15</f>
        <v>#VALUE!</v>
      </c>
      <c r="AP28" s="11" t="e">
        <f aca="false">AP13-AP15</f>
        <v>#VALUE!</v>
      </c>
      <c r="AQ28" s="11" t="e">
        <f aca="false">AQ13-AQ15</f>
        <v>#VALUE!</v>
      </c>
      <c r="AR28" s="11" t="e">
        <f aca="false">AR13-AR15</f>
        <v>#VALUE!</v>
      </c>
      <c r="AS28" s="11" t="e">
        <f aca="false">AS13-AS15</f>
        <v>#VALUE!</v>
      </c>
      <c r="AT28" s="11" t="e">
        <f aca="false">AT13-AT15</f>
        <v>#VALUE!</v>
      </c>
      <c r="AU28" s="11" t="e">
        <f aca="false">AU13-AU15</f>
        <v>#VALUE!</v>
      </c>
      <c r="AV28" s="11" t="e">
        <f aca="false">AV13-AV15</f>
        <v>#VALUE!</v>
      </c>
      <c r="AW28" s="11" t="e">
        <f aca="false">AW13-AW15</f>
        <v>#VALUE!</v>
      </c>
      <c r="AX28" s="11" t="e">
        <f aca="false">AX13-AX15</f>
        <v>#VALUE!</v>
      </c>
      <c r="AY28" s="11" t="e">
        <f aca="false">AY13-AY15</f>
        <v>#VALUE!</v>
      </c>
      <c r="AZ28" s="11" t="e">
        <f aca="false">AZ13-AZ15</f>
        <v>#VALUE!</v>
      </c>
      <c r="BA28" s="11" t="e">
        <f aca="false">BA13-BA15</f>
        <v>#VALUE!</v>
      </c>
      <c r="BB28" s="11" t="e">
        <f aca="false">BB13-BB15</f>
        <v>#VALUE!</v>
      </c>
      <c r="BC28" s="11" t="e">
        <f aca="false">BC13-BC15</f>
        <v>#VALUE!</v>
      </c>
      <c r="BD28" s="11" t="e">
        <f aca="false">BD13-BD15</f>
        <v>#VALUE!</v>
      </c>
      <c r="BE28" s="11" t="e">
        <f aca="false">BE13-BE15</f>
        <v>#VALUE!</v>
      </c>
      <c r="BF28" s="11" t="e">
        <f aca="false">BF13-BF15</f>
        <v>#VALUE!</v>
      </c>
      <c r="BG28" s="11" t="e">
        <f aca="false">BG13-BG15</f>
        <v>#VALUE!</v>
      </c>
      <c r="BH28" s="11" t="e">
        <f aca="false">BH13-BH15</f>
        <v>#VALUE!</v>
      </c>
      <c r="BI28" s="11" t="e">
        <f aca="false">BI13-BI15</f>
        <v>#VALUE!</v>
      </c>
      <c r="BJ28" s="11" t="e">
        <f aca="false">BJ13-BJ15</f>
        <v>#VALUE!</v>
      </c>
      <c r="BK28" s="11" t="e">
        <f aca="false">BK13-BK15</f>
        <v>#VALUE!</v>
      </c>
      <c r="BL28" s="11" t="e">
        <f aca="false">BL13-BL15</f>
        <v>#VALUE!</v>
      </c>
      <c r="BM28" s="11" t="e">
        <f aca="false">BM13-BM15</f>
        <v>#VALUE!</v>
      </c>
      <c r="BN28" s="11" t="e">
        <f aca="false">BN13-BN15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e">
        <f aca="false">Time!K30*J38</f>
        <v>#VALUE!</v>
      </c>
      <c r="L25" s="11" t="e">
        <f aca="false">Time!L30*K38</f>
        <v>#VALUE!</v>
      </c>
      <c r="M25" s="11" t="e">
        <f aca="false">Time!M30*L38</f>
        <v>#VALUE!</v>
      </c>
      <c r="N25" s="11" t="e">
        <f aca="false">Time!N30*M38</f>
        <v>#VALUE!</v>
      </c>
      <c r="O25" s="11" t="e">
        <f aca="false">Time!O30*N38</f>
        <v>#VALUE!</v>
      </c>
      <c r="P25" s="11" t="n">
        <f aca="false">Time!P30*O38</f>
        <v>189.976792662832</v>
      </c>
      <c r="Q25" s="11" t="e">
        <f aca="false">Time!Q30*P38</f>
        <v>#VALUE!</v>
      </c>
      <c r="R25" s="11" t="e">
        <f aca="false">Time!R30*Q38</f>
        <v>#VALUE!</v>
      </c>
      <c r="S25" s="11" t="e">
        <f aca="false">Time!S30*R38</f>
        <v>#VALUE!</v>
      </c>
      <c r="T25" s="11" t="e">
        <f aca="false">Time!T30*S38</f>
        <v>#VALUE!</v>
      </c>
      <c r="U25" s="11" t="e">
        <f aca="false">Time!U30*T38</f>
        <v>#VALUE!</v>
      </c>
      <c r="V25" s="11" t="e">
        <f aca="false">Time!V30*U38</f>
        <v>#VALUE!</v>
      </c>
      <c r="W25" s="11" t="e">
        <f aca="false">Time!W30*V38</f>
        <v>#VALUE!</v>
      </c>
      <c r="X25" s="11" t="e">
        <f aca="false">Time!X30*W38</f>
        <v>#VALUE!</v>
      </c>
      <c r="Y25" s="11" t="e">
        <f aca="false">Time!Y30*X38</f>
        <v>#VALUE!</v>
      </c>
      <c r="Z25" s="11" t="e">
        <f aca="false">Time!Z30*Y38</f>
        <v>#VALUE!</v>
      </c>
      <c r="AA25" s="11" t="e">
        <f aca="false">Time!AA30*Z38</f>
        <v>#VALUE!</v>
      </c>
      <c r="AB25" s="11" t="e">
        <f aca="false">Time!AB30*AA38</f>
        <v>#VALUE!</v>
      </c>
      <c r="AC25" s="11" t="e">
        <f aca="false">Time!AC30*AB38</f>
        <v>#VALUE!</v>
      </c>
      <c r="AD25" s="11" t="e">
        <f aca="false">Time!AD30*AC38</f>
        <v>#VALUE!</v>
      </c>
      <c r="AE25" s="11" t="e">
        <f aca="false">Time!AE30*AD38</f>
        <v>#VALUE!</v>
      </c>
      <c r="AF25" s="11" t="e">
        <f aca="false">Time!AF30*AE38</f>
        <v>#VALUE!</v>
      </c>
      <c r="AG25" s="11" t="e">
        <f aca="false">Time!AG30*AF38</f>
        <v>#VALUE!</v>
      </c>
      <c r="AH25" s="11" t="e">
        <f aca="false">Time!AH30*AG38</f>
        <v>#VALUE!</v>
      </c>
      <c r="AI25" s="11" t="e">
        <f aca="false">Time!AI30*AH38</f>
        <v>#VALUE!</v>
      </c>
      <c r="AJ25" s="11" t="e">
        <f aca="false">Time!AJ30*AI38</f>
        <v>#VALUE!</v>
      </c>
      <c r="AK25" s="11" t="e">
        <f aca="false">Time!AK30*AJ38</f>
        <v>#VALUE!</v>
      </c>
      <c r="AL25" s="11" t="e">
        <f aca="false">Time!AL30*AK38</f>
        <v>#VALUE!</v>
      </c>
      <c r="AM25" s="11" t="e">
        <f aca="false">Time!AM30*AL38</f>
        <v>#VALUE!</v>
      </c>
      <c r="AN25" s="11" t="e">
        <f aca="false">Time!AN30*AM38</f>
        <v>#VALUE!</v>
      </c>
      <c r="AO25" s="11" t="e">
        <f aca="false">Time!AO30*AN38</f>
        <v>#VALUE!</v>
      </c>
      <c r="AP25" s="11" t="e">
        <f aca="false">Time!AP30*AO38</f>
        <v>#VALUE!</v>
      </c>
      <c r="AQ25" s="11" t="e">
        <f aca="false">Time!AQ30*AP38</f>
        <v>#VALUE!</v>
      </c>
      <c r="AR25" s="11" t="e">
        <f aca="false">Time!AR30*AQ38</f>
        <v>#VALUE!</v>
      </c>
      <c r="AS25" s="11" t="e">
        <f aca="false">Time!AS30*AR38</f>
        <v>#VALUE!</v>
      </c>
      <c r="AT25" s="11" t="e">
        <f aca="false">Time!AT30*AS38</f>
        <v>#VALUE!</v>
      </c>
      <c r="AU25" s="11" t="e">
        <f aca="false">Time!AU30*AT38</f>
        <v>#VALUE!</v>
      </c>
      <c r="AV25" s="11" t="e">
        <f aca="false">Time!AV30*AU38</f>
        <v>#VALUE!</v>
      </c>
      <c r="AW25" s="11" t="e">
        <f aca="false">Time!AW30*AV38</f>
        <v>#VALUE!</v>
      </c>
      <c r="AX25" s="11" t="e">
        <f aca="false">Time!AX30*AW38</f>
        <v>#VALUE!</v>
      </c>
      <c r="AY25" s="11" t="e">
        <f aca="false">Time!AY30*AX38</f>
        <v>#VALUE!</v>
      </c>
      <c r="AZ25" s="11" t="e">
        <f aca="false">Time!AZ30*AY38</f>
        <v>#VALUE!</v>
      </c>
      <c r="BA25" s="11" t="e">
        <f aca="false">Time!BA30*AZ38</f>
        <v>#VALUE!</v>
      </c>
      <c r="BB25" s="11" t="e">
        <f aca="false">Time!BB30*BA38</f>
        <v>#VALUE!</v>
      </c>
      <c r="BC25" s="11" t="e">
        <f aca="false">Time!BC30*BB38</f>
        <v>#VALUE!</v>
      </c>
      <c r="BD25" s="11" t="e">
        <f aca="false">Time!BD30*BC38</f>
        <v>#VALUE!</v>
      </c>
      <c r="BE25" s="11" t="e">
        <f aca="false">Time!BE30*BD38</f>
        <v>#VALUE!</v>
      </c>
      <c r="BF25" s="11" t="e">
        <f aca="false">Time!BF30*BE38</f>
        <v>#VALUE!</v>
      </c>
      <c r="BG25" s="11" t="e">
        <f aca="false">Time!BG30*BF38</f>
        <v>#VALUE!</v>
      </c>
      <c r="BH25" s="11" t="e">
        <f aca="false">Time!BH30*BG38</f>
        <v>#VALUE!</v>
      </c>
      <c r="BI25" s="11" t="e">
        <f aca="false">Time!BI30*BH38</f>
        <v>#VALUE!</v>
      </c>
      <c r="BJ25" s="11" t="e">
        <f aca="false">Time!BJ30*BI38</f>
        <v>#VALUE!</v>
      </c>
      <c r="BK25" s="11" t="e">
        <f aca="false">Time!BK30*BJ38</f>
        <v>#VALUE!</v>
      </c>
      <c r="BL25" s="11" t="e">
        <f aca="false">Time!BL30*BK38</f>
        <v>#VALUE!</v>
      </c>
      <c r="BM25" s="11" t="e">
        <f aca="false">Time!BM30*BL38</f>
        <v>#VALUE!</v>
      </c>
      <c r="BN25" s="11" t="e">
        <f aca="false">Time!BN30*BM38</f>
        <v>#VALUE!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e">
        <f aca="false">J35</f>
        <v>#VALUE!</v>
      </c>
      <c r="L26" s="11" t="e">
        <f aca="false">K35</f>
        <v>#VALUE!</v>
      </c>
      <c r="M26" s="11" t="e">
        <f aca="false">L35</f>
        <v>#VALUE!</v>
      </c>
      <c r="N26" s="11" t="e">
        <f aca="false">M35</f>
        <v>#VALUE!</v>
      </c>
      <c r="O26" s="11" t="e">
        <f aca="false">N35</f>
        <v>#VALUE!</v>
      </c>
      <c r="P26" s="11" t="e">
        <f aca="false">O35</f>
        <v>#VALUE!</v>
      </c>
      <c r="Q26" s="11" t="e">
        <f aca="false">P35</f>
        <v>#VALUE!</v>
      </c>
      <c r="R26" s="11" t="e">
        <f aca="false">Q35</f>
        <v>#VALUE!</v>
      </c>
      <c r="S26" s="11" t="e">
        <f aca="false">R35</f>
        <v>#VALUE!</v>
      </c>
      <c r="T26" s="11" t="e">
        <f aca="false">S35</f>
        <v>#VALUE!</v>
      </c>
      <c r="U26" s="11" t="e">
        <f aca="false">T35</f>
        <v>#VALUE!</v>
      </c>
      <c r="V26" s="11" t="e">
        <f aca="false">U35</f>
        <v>#VALUE!</v>
      </c>
      <c r="W26" s="11" t="e">
        <f aca="false">V35</f>
        <v>#VALUE!</v>
      </c>
      <c r="X26" s="11" t="e">
        <f aca="false">W35</f>
        <v>#VALUE!</v>
      </c>
      <c r="Y26" s="11" t="e">
        <f aca="false">X35</f>
        <v>#VALUE!</v>
      </c>
      <c r="Z26" s="11" t="e">
        <f aca="false">Y35</f>
        <v>#VALUE!</v>
      </c>
      <c r="AA26" s="11" t="e">
        <f aca="false">Z35</f>
        <v>#VALUE!</v>
      </c>
      <c r="AB26" s="11" t="e">
        <f aca="false">AA35</f>
        <v>#VALUE!</v>
      </c>
      <c r="AC26" s="11" t="e">
        <f aca="false">AB35</f>
        <v>#VALUE!</v>
      </c>
      <c r="AD26" s="11" t="e">
        <f aca="false">AC35</f>
        <v>#VALUE!</v>
      </c>
      <c r="AE26" s="11" t="e">
        <f aca="false">AD35</f>
        <v>#VALUE!</v>
      </c>
      <c r="AF26" s="11" t="e">
        <f aca="false">AE35</f>
        <v>#VALUE!</v>
      </c>
      <c r="AG26" s="11" t="e">
        <f aca="false">AF35</f>
        <v>#VALUE!</v>
      </c>
      <c r="AH26" s="11" t="e">
        <f aca="false">AG35</f>
        <v>#VALUE!</v>
      </c>
      <c r="AI26" s="11" t="e">
        <f aca="false">AH35</f>
        <v>#VALUE!</v>
      </c>
      <c r="AJ26" s="11" t="e">
        <f aca="false">AI35</f>
        <v>#VALUE!</v>
      </c>
      <c r="AK26" s="11" t="e">
        <f aca="false">AJ35</f>
        <v>#VALUE!</v>
      </c>
      <c r="AL26" s="11" t="e">
        <f aca="false">AK35</f>
        <v>#VALUE!</v>
      </c>
      <c r="AM26" s="11" t="e">
        <f aca="false">AL35</f>
        <v>#VALUE!</v>
      </c>
      <c r="AN26" s="11" t="e">
        <f aca="false">AM35</f>
        <v>#VALUE!</v>
      </c>
      <c r="AO26" s="11" t="e">
        <f aca="false">AN35</f>
        <v>#VALUE!</v>
      </c>
      <c r="AP26" s="11" t="e">
        <f aca="false">AO35</f>
        <v>#VALUE!</v>
      </c>
      <c r="AQ26" s="11" t="e">
        <f aca="false">AP35</f>
        <v>#VALUE!</v>
      </c>
      <c r="AR26" s="11" t="e">
        <f aca="false">AQ35</f>
        <v>#VALUE!</v>
      </c>
      <c r="AS26" s="11" t="e">
        <f aca="false">AR35</f>
        <v>#VALUE!</v>
      </c>
      <c r="AT26" s="11" t="e">
        <f aca="false">AS35</f>
        <v>#VALUE!</v>
      </c>
      <c r="AU26" s="11" t="e">
        <f aca="false">AT35</f>
        <v>#VALUE!</v>
      </c>
      <c r="AV26" s="11" t="e">
        <f aca="false">AU35</f>
        <v>#VALUE!</v>
      </c>
      <c r="AW26" s="11" t="e">
        <f aca="false">AV35</f>
        <v>#VALUE!</v>
      </c>
      <c r="AX26" s="11" t="e">
        <f aca="false">AW35</f>
        <v>#VALUE!</v>
      </c>
      <c r="AY26" s="11" t="e">
        <f aca="false">AX35</f>
        <v>#VALUE!</v>
      </c>
      <c r="AZ26" s="11" t="e">
        <f aca="false">AY35</f>
        <v>#VALUE!</v>
      </c>
      <c r="BA26" s="11" t="e">
        <f aca="false">AZ35</f>
        <v>#VALUE!</v>
      </c>
      <c r="BB26" s="11" t="e">
        <f aca="false">BA35</f>
        <v>#VALUE!</v>
      </c>
      <c r="BC26" s="11" t="e">
        <f aca="false">BB35</f>
        <v>#VALUE!</v>
      </c>
      <c r="BD26" s="11" t="e">
        <f aca="false">BC35</f>
        <v>#VALUE!</v>
      </c>
      <c r="BE26" s="11" t="e">
        <f aca="false">BD35</f>
        <v>#VALUE!</v>
      </c>
      <c r="BF26" s="11" t="e">
        <f aca="false">BE35</f>
        <v>#VALUE!</v>
      </c>
      <c r="BG26" s="11" t="e">
        <f aca="false">BF35</f>
        <v>#VALUE!</v>
      </c>
      <c r="BH26" s="11" t="e">
        <f aca="false">BG35</f>
        <v>#VALUE!</v>
      </c>
      <c r="BI26" s="11" t="e">
        <f aca="false">BH35</f>
        <v>#VALUE!</v>
      </c>
      <c r="BJ26" s="11" t="e">
        <f aca="false">BI35</f>
        <v>#VALUE!</v>
      </c>
      <c r="BK26" s="11" t="e">
        <f aca="false">BJ35</f>
        <v>#VALUE!</v>
      </c>
      <c r="BL26" s="11" t="e">
        <f aca="false">BK35</f>
        <v>#VALUE!</v>
      </c>
      <c r="BM26" s="11" t="e">
        <f aca="false">BL35</f>
        <v>#VALUE!</v>
      </c>
      <c r="BN26" s="11" t="e">
        <f aca="false">BM35</f>
        <v>#VALUE!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e">
        <f aca="false">SUM(J27:BN27)</f>
        <v>#VALUE!</v>
      </c>
      <c r="J27" s="11" t="n">
        <f aca="false">J25*J10</f>
        <v>0</v>
      </c>
      <c r="K27" s="11" t="e">
        <f aca="false">K25*K10</f>
        <v>#VALUE!</v>
      </c>
      <c r="L27" s="11" t="e">
        <f aca="false">L25*L10</f>
        <v>#VALUE!</v>
      </c>
      <c r="M27" s="11" t="e">
        <f aca="false">M25*M10</f>
        <v>#VALUE!</v>
      </c>
      <c r="N27" s="11" t="e">
        <f aca="false">N25*N10</f>
        <v>#VALUE!</v>
      </c>
      <c r="O27" s="11" t="e">
        <f aca="false">O25*O10</f>
        <v>#VALUE!</v>
      </c>
      <c r="P27" s="11" t="n">
        <f aca="false">P25*P10</f>
        <v>4.31120668149521</v>
      </c>
      <c r="Q27" s="11" t="e">
        <f aca="false">Q25*Q10</f>
        <v>#VALUE!</v>
      </c>
      <c r="R27" s="11" t="e">
        <f aca="false">R25*R10</f>
        <v>#VALUE!</v>
      </c>
      <c r="S27" s="11" t="e">
        <f aca="false">S25*S10</f>
        <v>#VALUE!</v>
      </c>
      <c r="T27" s="11" t="e">
        <f aca="false">T25*T10</f>
        <v>#VALUE!</v>
      </c>
      <c r="U27" s="11" t="e">
        <f aca="false">U25*U10</f>
        <v>#VALUE!</v>
      </c>
      <c r="V27" s="11" t="e">
        <f aca="false">V25*V10</f>
        <v>#VALUE!</v>
      </c>
      <c r="W27" s="11" t="e">
        <f aca="false">W25*W10</f>
        <v>#VALUE!</v>
      </c>
      <c r="X27" s="11" t="e">
        <f aca="false">X25*X10</f>
        <v>#VALUE!</v>
      </c>
      <c r="Y27" s="11" t="e">
        <f aca="false">Y25*Y10</f>
        <v>#VALUE!</v>
      </c>
      <c r="Z27" s="11" t="e">
        <f aca="false">Z25*Z10</f>
        <v>#VALUE!</v>
      </c>
      <c r="AA27" s="11" t="e">
        <f aca="false">AA25*AA10</f>
        <v>#VALUE!</v>
      </c>
      <c r="AB27" s="11" t="e">
        <f aca="false">AB25*AB10</f>
        <v>#VALUE!</v>
      </c>
      <c r="AC27" s="11" t="e">
        <f aca="false">AC25*AC10</f>
        <v>#VALUE!</v>
      </c>
      <c r="AD27" s="11" t="e">
        <f aca="false">AD25*AD10</f>
        <v>#VALUE!</v>
      </c>
      <c r="AE27" s="11" t="e">
        <f aca="false">AE25*AE10</f>
        <v>#VALUE!</v>
      </c>
      <c r="AF27" s="11" t="e">
        <f aca="false">AF25*AF10</f>
        <v>#VALUE!</v>
      </c>
      <c r="AG27" s="11" t="e">
        <f aca="false">AG25*AG10</f>
        <v>#VALUE!</v>
      </c>
      <c r="AH27" s="11" t="e">
        <f aca="false">AH25*AH10</f>
        <v>#VALUE!</v>
      </c>
      <c r="AI27" s="11" t="e">
        <f aca="false">AI25*AI10</f>
        <v>#VALUE!</v>
      </c>
      <c r="AJ27" s="11" t="e">
        <f aca="false">AJ25*AJ10</f>
        <v>#VALUE!</v>
      </c>
      <c r="AK27" s="11" t="e">
        <f aca="false">AK25*AK10</f>
        <v>#VALUE!</v>
      </c>
      <c r="AL27" s="11" t="e">
        <f aca="false">AL25*AL10</f>
        <v>#VALUE!</v>
      </c>
      <c r="AM27" s="11" t="e">
        <f aca="false">AM25*AM10</f>
        <v>#VALUE!</v>
      </c>
      <c r="AN27" s="11" t="e">
        <f aca="false">AN25*AN10</f>
        <v>#VALUE!</v>
      </c>
      <c r="AO27" s="11" t="e">
        <f aca="false">AO25*AO10</f>
        <v>#VALUE!</v>
      </c>
      <c r="AP27" s="11" t="e">
        <f aca="false">AP25*AP10</f>
        <v>#VALUE!</v>
      </c>
      <c r="AQ27" s="11" t="e">
        <f aca="false">AQ25*AQ10</f>
        <v>#VALUE!</v>
      </c>
      <c r="AR27" s="11" t="e">
        <f aca="false">AR25*AR10</f>
        <v>#VALUE!</v>
      </c>
      <c r="AS27" s="11" t="e">
        <f aca="false">AS25*AS10</f>
        <v>#VALUE!</v>
      </c>
      <c r="AT27" s="11" t="e">
        <f aca="false">AT25*AT10</f>
        <v>#VALUE!</v>
      </c>
      <c r="AU27" s="11" t="e">
        <f aca="false">AU25*AU10</f>
        <v>#VALUE!</v>
      </c>
      <c r="AV27" s="11" t="e">
        <f aca="false">AV25*AV10</f>
        <v>#VALUE!</v>
      </c>
      <c r="AW27" s="11" t="e">
        <f aca="false">AW25*AW10</f>
        <v>#VALUE!</v>
      </c>
      <c r="AX27" s="11" t="e">
        <f aca="false">AX25*AX10</f>
        <v>#VALUE!</v>
      </c>
      <c r="AY27" s="11" t="e">
        <f aca="false">AY25*AY10</f>
        <v>#VALUE!</v>
      </c>
      <c r="AZ27" s="11" t="e">
        <f aca="false">AZ25*AZ10</f>
        <v>#VALUE!</v>
      </c>
      <c r="BA27" s="11" t="e">
        <f aca="false">BA25*BA10</f>
        <v>#VALUE!</v>
      </c>
      <c r="BB27" s="11" t="e">
        <f aca="false">BB25*BB10</f>
        <v>#VALUE!</v>
      </c>
      <c r="BC27" s="11" t="e">
        <f aca="false">BC25*BC10</f>
        <v>#VALUE!</v>
      </c>
      <c r="BD27" s="11" t="e">
        <f aca="false">BD25*BD10</f>
        <v>#VALUE!</v>
      </c>
      <c r="BE27" s="11" t="e">
        <f aca="false">BE25*BE10</f>
        <v>#VALUE!</v>
      </c>
      <c r="BF27" s="11" t="e">
        <f aca="false">BF25*BF10</f>
        <v>#VALUE!</v>
      </c>
      <c r="BG27" s="11" t="e">
        <f aca="false">BG25*BG10</f>
        <v>#VALUE!</v>
      </c>
      <c r="BH27" s="11" t="e">
        <f aca="false">BH25*BH10</f>
        <v>#VALUE!</v>
      </c>
      <c r="BI27" s="11" t="e">
        <f aca="false">BI25*BI10</f>
        <v>#VALUE!</v>
      </c>
      <c r="BJ27" s="11" t="e">
        <f aca="false">BJ25*BJ10</f>
        <v>#VALUE!</v>
      </c>
      <c r="BK27" s="11" t="e">
        <f aca="false">BK25*BK10</f>
        <v>#VALUE!</v>
      </c>
      <c r="BL27" s="11" t="e">
        <f aca="false">BL25*BL10</f>
        <v>#VALUE!</v>
      </c>
      <c r="BM27" s="11" t="e">
        <f aca="false">BM25*BM10</f>
        <v>#VALUE!</v>
      </c>
      <c r="BN27" s="11" t="e">
        <f aca="false">BN25*BN10</f>
        <v>#VALUE!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e">
        <f aca="false">SUM(J28:BN28)</f>
        <v>#VALUE!</v>
      </c>
      <c r="J28" s="11" t="n">
        <f aca="false">Time!J30*(J25-J26)*J19</f>
        <v>0</v>
      </c>
      <c r="K28" s="11" t="e">
        <f aca="false">Time!K30*(K25-K26)*K19</f>
        <v>#VALUE!</v>
      </c>
      <c r="L28" s="11" t="e">
        <f aca="false">Time!L30*(L25-L26)*L19</f>
        <v>#VALUE!</v>
      </c>
      <c r="M28" s="11" t="e">
        <f aca="false">Time!M30*(M25-M26)*M19</f>
        <v>#VALUE!</v>
      </c>
      <c r="N28" s="11" t="e">
        <f aca="false">Time!N30*(N25-N26)*N19</f>
        <v>#VALUE!</v>
      </c>
      <c r="O28" s="11" t="e">
        <f aca="false">Time!O30*(O25-O26)*O19</f>
        <v>#VALUE!</v>
      </c>
      <c r="P28" s="11" t="e">
        <f aca="false">Time!P30*(P25-P26)*P19</f>
        <v>#VALUE!</v>
      </c>
      <c r="Q28" s="11" t="e">
        <f aca="false">Time!Q30*(Q25-Q26)*Q19</f>
        <v>#VALUE!</v>
      </c>
      <c r="R28" s="11" t="e">
        <f aca="false">Time!R30*(R25-R26)*R19</f>
        <v>#VALUE!</v>
      </c>
      <c r="S28" s="11" t="e">
        <f aca="false">Time!S30*(S25-S26)*S19</f>
        <v>#VALUE!</v>
      </c>
      <c r="T28" s="11" t="e">
        <f aca="false">Time!T30*(T25-T26)*T19</f>
        <v>#VALUE!</v>
      </c>
      <c r="U28" s="11" t="e">
        <f aca="false">Time!U30*(U25-U26)*U19</f>
        <v>#VALUE!</v>
      </c>
      <c r="V28" s="11" t="e">
        <f aca="false">Time!V30*(V25-V26)*V19</f>
        <v>#VALUE!</v>
      </c>
      <c r="W28" s="11" t="e">
        <f aca="false">Time!W30*(W25-W26)*W19</f>
        <v>#VALUE!</v>
      </c>
      <c r="X28" s="11" t="e">
        <f aca="false">Time!X30*(X25-X26)*X19</f>
        <v>#VALUE!</v>
      </c>
      <c r="Y28" s="11" t="e">
        <f aca="false">Time!Y30*(Y25-Y26)*Y19</f>
        <v>#VALUE!</v>
      </c>
      <c r="Z28" s="11" t="e">
        <f aca="false">Time!Z30*(Z25-Z26)*Z19</f>
        <v>#VALUE!</v>
      </c>
      <c r="AA28" s="11" t="e">
        <f aca="false">Time!AA30*(AA25-AA26)*AA19</f>
        <v>#VALUE!</v>
      </c>
      <c r="AB28" s="11" t="e">
        <f aca="false">Time!AB30*(AB25-AB26)*AB19</f>
        <v>#VALUE!</v>
      </c>
      <c r="AC28" s="11" t="e">
        <f aca="false">Time!AC30*(AC25-AC26)*AC19</f>
        <v>#VALUE!</v>
      </c>
      <c r="AD28" s="11" t="e">
        <f aca="false">Time!AD30*(AD25-AD26)*AD19</f>
        <v>#VALUE!</v>
      </c>
      <c r="AE28" s="11" t="e">
        <f aca="false">Time!AE30*(AE25-AE26)*AE19</f>
        <v>#VALUE!</v>
      </c>
      <c r="AF28" s="11" t="e">
        <f aca="false">Time!AF30*(AF25-AF26)*AF19</f>
        <v>#VALUE!</v>
      </c>
      <c r="AG28" s="11" t="e">
        <f aca="false">Time!AG30*(AG25-AG26)*AG19</f>
        <v>#VALUE!</v>
      </c>
      <c r="AH28" s="11" t="e">
        <f aca="false">Time!AH30*(AH25-AH26)*AH19</f>
        <v>#VALUE!</v>
      </c>
      <c r="AI28" s="11" t="e">
        <f aca="false">Time!AI30*(AI25-AI26)*AI19</f>
        <v>#VALUE!</v>
      </c>
      <c r="AJ28" s="11" t="e">
        <f aca="false">Time!AJ30*(AJ25-AJ26)*AJ19</f>
        <v>#VALUE!</v>
      </c>
      <c r="AK28" s="11" t="e">
        <f aca="false">Time!AK30*(AK25-AK26)*AK19</f>
        <v>#VALUE!</v>
      </c>
      <c r="AL28" s="11" t="e">
        <f aca="false">Time!AL30*(AL25-AL26)*AL19</f>
        <v>#VALUE!</v>
      </c>
      <c r="AM28" s="11" t="e">
        <f aca="false">Time!AM30*(AM25-AM26)*AM19</f>
        <v>#VALUE!</v>
      </c>
      <c r="AN28" s="11" t="e">
        <f aca="false">Time!AN30*(AN25-AN26)*AN19</f>
        <v>#VALUE!</v>
      </c>
      <c r="AO28" s="11" t="e">
        <f aca="false">Time!AO30*(AO25-AO26)*AO19</f>
        <v>#VALUE!</v>
      </c>
      <c r="AP28" s="11" t="e">
        <f aca="false">Time!AP30*(AP25-AP26)*AP19</f>
        <v>#VALUE!</v>
      </c>
      <c r="AQ28" s="11" t="e">
        <f aca="false">Time!AQ30*(AQ25-AQ26)*AQ19</f>
        <v>#VALUE!</v>
      </c>
      <c r="AR28" s="11" t="e">
        <f aca="false">Time!AR30*(AR25-AR26)*AR19</f>
        <v>#VALUE!</v>
      </c>
      <c r="AS28" s="11" t="e">
        <f aca="false">Time!AS30*(AS25-AS26)*AS19</f>
        <v>#VALUE!</v>
      </c>
      <c r="AT28" s="11" t="e">
        <f aca="false">Time!AT30*(AT25-AT26)*AT19</f>
        <v>#VALUE!</v>
      </c>
      <c r="AU28" s="11" t="e">
        <f aca="false">Time!AU30*(AU25-AU26)*AU19</f>
        <v>#VALUE!</v>
      </c>
      <c r="AV28" s="11" t="e">
        <f aca="false">Time!AV30*(AV25-AV26)*AV19</f>
        <v>#VALUE!</v>
      </c>
      <c r="AW28" s="11" t="e">
        <f aca="false">Time!AW30*(AW25-AW26)*AW19</f>
        <v>#VALUE!</v>
      </c>
      <c r="AX28" s="11" t="e">
        <f aca="false">Time!AX30*(AX25-AX26)*AX19</f>
        <v>#VALUE!</v>
      </c>
      <c r="AY28" s="11" t="e">
        <f aca="false">Time!AY30*(AY25-AY26)*AY19</f>
        <v>#VALUE!</v>
      </c>
      <c r="AZ28" s="11" t="e">
        <f aca="false">Time!AZ30*(AZ25-AZ26)*AZ19</f>
        <v>#VALUE!</v>
      </c>
      <c r="BA28" s="11" t="e">
        <f aca="false">Time!BA30*(BA25-BA26)*BA19</f>
        <v>#VALUE!</v>
      </c>
      <c r="BB28" s="11" t="e">
        <f aca="false">Time!BB30*(BB25-BB26)*BB19</f>
        <v>#VALUE!</v>
      </c>
      <c r="BC28" s="11" t="e">
        <f aca="false">Time!BC30*(BC25-BC26)*BC19</f>
        <v>#VALUE!</v>
      </c>
      <c r="BD28" s="11" t="e">
        <f aca="false">Time!BD30*(BD25-BD26)*BD19</f>
        <v>#VALUE!</v>
      </c>
      <c r="BE28" s="11" t="e">
        <f aca="false">Time!BE30*(BE25-BE26)*BE19</f>
        <v>#VALUE!</v>
      </c>
      <c r="BF28" s="11" t="e">
        <f aca="false">Time!BF30*(BF25-BF26)*BF19</f>
        <v>#VALUE!</v>
      </c>
      <c r="BG28" s="11" t="e">
        <f aca="false">Time!BG30*(BG25-BG26)*BG19</f>
        <v>#VALUE!</v>
      </c>
      <c r="BH28" s="11" t="e">
        <f aca="false">Time!BH30*(BH25-BH26)*BH19</f>
        <v>#VALUE!</v>
      </c>
      <c r="BI28" s="11" t="e">
        <f aca="false">Time!BI30*(BI25-BI26)*BI19</f>
        <v>#VALUE!</v>
      </c>
      <c r="BJ28" s="11" t="e">
        <f aca="false">Time!BJ30*(BJ25-BJ26)*BJ19</f>
        <v>#VALUE!</v>
      </c>
      <c r="BK28" s="11" t="e">
        <f aca="false">Time!BK30*(BK25-BK26)*BK19</f>
        <v>#VALUE!</v>
      </c>
      <c r="BL28" s="11" t="e">
        <f aca="false">Time!BL30*(BL25-BL26)*BL19</f>
        <v>#VALUE!</v>
      </c>
      <c r="BM28" s="11" t="e">
        <f aca="false">Time!BM30*(BM25-BM26)*BM19</f>
        <v>#VALUE!</v>
      </c>
      <c r="BN28" s="11" t="e">
        <f aca="false">Time!BN30*(BN25-BN26)*BN19</f>
        <v>#VALUE!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e">
        <f aca="false">SUM(J29:BN29)</f>
        <v>#VALUE!</v>
      </c>
      <c r="J29" s="11" t="n">
        <f aca="false">J21*Inputs!$F$191*J28</f>
        <v>0</v>
      </c>
      <c r="K29" s="11" t="e">
        <f aca="false">K21*Inputs!$F$191*K28</f>
        <v>#VALUE!</v>
      </c>
      <c r="L29" s="11" t="e">
        <f aca="false">L21*Inputs!$F$191*L28</f>
        <v>#VALUE!</v>
      </c>
      <c r="M29" s="11" t="e">
        <f aca="false">M21*Inputs!$F$191*M28</f>
        <v>#VALUE!</v>
      </c>
      <c r="N29" s="11" t="e">
        <f aca="false">N21*Inputs!$F$191*N28</f>
        <v>#VALUE!</v>
      </c>
      <c r="O29" s="11" t="e">
        <f aca="false">O21*Inputs!$F$191*O28</f>
        <v>#VALUE!</v>
      </c>
      <c r="P29" s="11" t="e">
        <f aca="false">P21*Inputs!$F$191*P28</f>
        <v>#VALUE!</v>
      </c>
      <c r="Q29" s="11" t="e">
        <f aca="false">Q21*Inputs!$F$191*Q28</f>
        <v>#VALUE!</v>
      </c>
      <c r="R29" s="11" t="e">
        <f aca="false">R21*Inputs!$F$191*R28</f>
        <v>#VALUE!</v>
      </c>
      <c r="S29" s="11" t="e">
        <f aca="false">S21*Inputs!$F$191*S28</f>
        <v>#VALUE!</v>
      </c>
      <c r="T29" s="11" t="e">
        <f aca="false">T21*Inputs!$F$191*T28</f>
        <v>#VALUE!</v>
      </c>
      <c r="U29" s="11" t="e">
        <f aca="false">U21*Inputs!$F$191*U28</f>
        <v>#VALUE!</v>
      </c>
      <c r="V29" s="11" t="e">
        <f aca="false">V21*Inputs!$F$191*V28</f>
        <v>#VALUE!</v>
      </c>
      <c r="W29" s="11" t="e">
        <f aca="false">W21*Inputs!$F$191*W28</f>
        <v>#VALUE!</v>
      </c>
      <c r="X29" s="11" t="e">
        <f aca="false">X21*Inputs!$F$191*X28</f>
        <v>#VALUE!</v>
      </c>
      <c r="Y29" s="11" t="e">
        <f aca="false">Y21*Inputs!$F$191*Y28</f>
        <v>#VALUE!</v>
      </c>
      <c r="Z29" s="11" t="e">
        <f aca="false">Z21*Inputs!$F$191*Z28</f>
        <v>#VALUE!</v>
      </c>
      <c r="AA29" s="11" t="e">
        <f aca="false">AA21*Inputs!$F$191*AA28</f>
        <v>#VALUE!</v>
      </c>
      <c r="AB29" s="11" t="e">
        <f aca="false">AB21*Inputs!$F$191*AB28</f>
        <v>#VALUE!</v>
      </c>
      <c r="AC29" s="11" t="e">
        <f aca="false">AC21*Inputs!$F$191*AC28</f>
        <v>#VALUE!</v>
      </c>
      <c r="AD29" s="11" t="e">
        <f aca="false">AD21*Inputs!$F$191*AD28</f>
        <v>#VALUE!</v>
      </c>
      <c r="AE29" s="11" t="e">
        <f aca="false">AE21*Inputs!$F$191*AE28</f>
        <v>#VALUE!</v>
      </c>
      <c r="AF29" s="11" t="e">
        <f aca="false">AF21*Inputs!$F$191*AF28</f>
        <v>#VALUE!</v>
      </c>
      <c r="AG29" s="11" t="e">
        <f aca="false">AG21*Inputs!$F$191*AG28</f>
        <v>#VALUE!</v>
      </c>
      <c r="AH29" s="11" t="e">
        <f aca="false">AH21*Inputs!$F$191*AH28</f>
        <v>#VALUE!</v>
      </c>
      <c r="AI29" s="11" t="e">
        <f aca="false">AI21*Inputs!$F$191*AI28</f>
        <v>#VALUE!</v>
      </c>
      <c r="AJ29" s="11" t="e">
        <f aca="false">AJ21*Inputs!$F$191*AJ28</f>
        <v>#VALUE!</v>
      </c>
      <c r="AK29" s="11" t="e">
        <f aca="false">AK21*Inputs!$F$191*AK28</f>
        <v>#VALUE!</v>
      </c>
      <c r="AL29" s="11" t="e">
        <f aca="false">AL21*Inputs!$F$191*AL28</f>
        <v>#VALUE!</v>
      </c>
      <c r="AM29" s="11" t="e">
        <f aca="false">AM21*Inputs!$F$191*AM28</f>
        <v>#VALUE!</v>
      </c>
      <c r="AN29" s="11" t="e">
        <f aca="false">AN21*Inputs!$F$191*AN28</f>
        <v>#VALUE!</v>
      </c>
      <c r="AO29" s="11" t="e">
        <f aca="false">AO21*Inputs!$F$191*AO28</f>
        <v>#VALUE!</v>
      </c>
      <c r="AP29" s="11" t="e">
        <f aca="false">AP21*Inputs!$F$191*AP28</f>
        <v>#VALUE!</v>
      </c>
      <c r="AQ29" s="11" t="e">
        <f aca="false">AQ21*Inputs!$F$191*AQ28</f>
        <v>#VALUE!</v>
      </c>
      <c r="AR29" s="11" t="e">
        <f aca="false">AR21*Inputs!$F$191*AR28</f>
        <v>#VALUE!</v>
      </c>
      <c r="AS29" s="11" t="e">
        <f aca="false">AS21*Inputs!$F$191*AS28</f>
        <v>#VALUE!</v>
      </c>
      <c r="AT29" s="11" t="e">
        <f aca="false">AT21*Inputs!$F$191*AT28</f>
        <v>#VALUE!</v>
      </c>
      <c r="AU29" s="11" t="e">
        <f aca="false">AU21*Inputs!$F$191*AU28</f>
        <v>#VALUE!</v>
      </c>
      <c r="AV29" s="11" t="e">
        <f aca="false">AV21*Inputs!$F$191*AV28</f>
        <v>#VALUE!</v>
      </c>
      <c r="AW29" s="11" t="e">
        <f aca="false">AW21*Inputs!$F$191*AW28</f>
        <v>#VALUE!</v>
      </c>
      <c r="AX29" s="11" t="e">
        <f aca="false">AX21*Inputs!$F$191*AX28</f>
        <v>#VALUE!</v>
      </c>
      <c r="AY29" s="11" t="e">
        <f aca="false">AY21*Inputs!$F$191*AY28</f>
        <v>#VALUE!</v>
      </c>
      <c r="AZ29" s="11" t="e">
        <f aca="false">AZ21*Inputs!$F$191*AZ28</f>
        <v>#VALUE!</v>
      </c>
      <c r="BA29" s="11" t="e">
        <f aca="false">BA21*Inputs!$F$191*BA28</f>
        <v>#VALUE!</v>
      </c>
      <c r="BB29" s="11" t="e">
        <f aca="false">BB21*Inputs!$F$191*BB28</f>
        <v>#VALUE!</v>
      </c>
      <c r="BC29" s="11" t="e">
        <f aca="false">BC21*Inputs!$F$191*BC28</f>
        <v>#VALUE!</v>
      </c>
      <c r="BD29" s="11" t="e">
        <f aca="false">BD21*Inputs!$F$191*BD28</f>
        <v>#VALUE!</v>
      </c>
      <c r="BE29" s="11" t="e">
        <f aca="false">BE21*Inputs!$F$191*BE28</f>
        <v>#VALUE!</v>
      </c>
      <c r="BF29" s="11" t="e">
        <f aca="false">BF21*Inputs!$F$191*BF28</f>
        <v>#VALUE!</v>
      </c>
      <c r="BG29" s="11" t="e">
        <f aca="false">BG21*Inputs!$F$191*BG28</f>
        <v>#VALUE!</v>
      </c>
      <c r="BH29" s="11" t="e">
        <f aca="false">BH21*Inputs!$F$191*BH28</f>
        <v>#VALUE!</v>
      </c>
      <c r="BI29" s="11" t="e">
        <f aca="false">BI21*Inputs!$F$191*BI28</f>
        <v>#VALUE!</v>
      </c>
      <c r="BJ29" s="11" t="e">
        <f aca="false">BJ21*Inputs!$F$191*BJ28</f>
        <v>#VALUE!</v>
      </c>
      <c r="BK29" s="11" t="e">
        <f aca="false">BK21*Inputs!$F$191*BK28</f>
        <v>#VALUE!</v>
      </c>
      <c r="BL29" s="11" t="e">
        <f aca="false">BL21*Inputs!$F$191*BL28</f>
        <v>#VALUE!</v>
      </c>
      <c r="BM29" s="11" t="e">
        <f aca="false">BM21*Inputs!$F$191*BM28</f>
        <v>#VALUE!</v>
      </c>
      <c r="BN29" s="11" t="e">
        <f aca="false">BN21*Inputs!$F$191*BN28</f>
        <v>#VALUE!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e">
        <f aca="false">SUM(Debt!$J$29:$BN$29)</f>
        <v>#VALUE!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e">
        <f aca="false">SUM(J31:BN31)</f>
        <v>#VALUE!</v>
      </c>
      <c r="J31" s="11" t="e">
        <f aca="false">J22*MIN($F$30/4,J26)</f>
        <v>#VALUE!</v>
      </c>
      <c r="K31" s="11" t="e">
        <f aca="false">K22*MIN($F$30/4,K26)</f>
        <v>#VALUE!</v>
      </c>
      <c r="L31" s="11" t="e">
        <f aca="false">L22*MIN($F$30/4,L26)</f>
        <v>#VALUE!</v>
      </c>
      <c r="M31" s="11" t="e">
        <f aca="false">M22*MIN($F$30/4,M26)</f>
        <v>#VALUE!</v>
      </c>
      <c r="N31" s="11" t="e">
        <f aca="false">N22*MIN($F$30/4,N26)</f>
        <v>#VALUE!</v>
      </c>
      <c r="O31" s="11" t="e">
        <f aca="false">O22*MIN($F$30/4,O26)</f>
        <v>#VALUE!</v>
      </c>
      <c r="P31" s="11" t="e">
        <f aca="false">P22*MIN($F$30/4,P26)</f>
        <v>#VALUE!</v>
      </c>
      <c r="Q31" s="11" t="e">
        <f aca="false">Q22*MIN($F$30/4,Q26)</f>
        <v>#VALUE!</v>
      </c>
      <c r="R31" s="11" t="e">
        <f aca="false">R22*MIN($F$30/4,R26)</f>
        <v>#VALUE!</v>
      </c>
      <c r="S31" s="11" t="e">
        <f aca="false">S22*MIN($F$30/4,S26)</f>
        <v>#VALUE!</v>
      </c>
      <c r="T31" s="11" t="e">
        <f aca="false">T22*MIN($F$30/4,T26)</f>
        <v>#VALUE!</v>
      </c>
      <c r="U31" s="11" t="e">
        <f aca="false">U22*MIN($F$30/4,U26)</f>
        <v>#VALUE!</v>
      </c>
      <c r="V31" s="11" t="e">
        <f aca="false">V22*MIN($F$30/4,V26)</f>
        <v>#VALUE!</v>
      </c>
      <c r="W31" s="11" t="e">
        <f aca="false">W22*MIN($F$30/4,W26)</f>
        <v>#VALUE!</v>
      </c>
      <c r="X31" s="11" t="e">
        <f aca="false">X22*MIN($F$30/4,X26)</f>
        <v>#VALUE!</v>
      </c>
      <c r="Y31" s="11" t="e">
        <f aca="false">Y22*MIN($F$30/4,Y26)</f>
        <v>#VALUE!</v>
      </c>
      <c r="Z31" s="11" t="e">
        <f aca="false">Z22*MIN($F$30/4,Z26)</f>
        <v>#VALUE!</v>
      </c>
      <c r="AA31" s="11" t="e">
        <f aca="false">AA22*MIN($F$30/4,AA26)</f>
        <v>#VALUE!</v>
      </c>
      <c r="AB31" s="11" t="e">
        <f aca="false">AB22*MIN($F$30/4,AB26)</f>
        <v>#VALUE!</v>
      </c>
      <c r="AC31" s="11" t="e">
        <f aca="false">AC22*MIN($F$30/4,AC26)</f>
        <v>#VALUE!</v>
      </c>
      <c r="AD31" s="11" t="e">
        <f aca="false">AD22*MIN($F$30/4,AD26)</f>
        <v>#VALUE!</v>
      </c>
      <c r="AE31" s="11" t="e">
        <f aca="false">AE22*MIN($F$30/4,AE26)</f>
        <v>#VALUE!</v>
      </c>
      <c r="AF31" s="11" t="e">
        <f aca="false">AF22*MIN($F$30/4,AF26)</f>
        <v>#VALUE!</v>
      </c>
      <c r="AG31" s="11" t="e">
        <f aca="false">AG22*MIN($F$30/4,AG26)</f>
        <v>#VALUE!</v>
      </c>
      <c r="AH31" s="11" t="e">
        <f aca="false">AH22*MIN($F$30/4,AH26)</f>
        <v>#VALUE!</v>
      </c>
      <c r="AI31" s="11" t="e">
        <f aca="false">AI22*MIN($F$30/4,AI26)</f>
        <v>#VALUE!</v>
      </c>
      <c r="AJ31" s="11" t="e">
        <f aca="false">AJ22*MIN($F$30/4,AJ26)</f>
        <v>#VALUE!</v>
      </c>
      <c r="AK31" s="11" t="e">
        <f aca="false">AK22*MIN($F$30/4,AK26)</f>
        <v>#VALUE!</v>
      </c>
      <c r="AL31" s="11" t="e">
        <f aca="false">AL22*MIN($F$30/4,AL26)</f>
        <v>#VALUE!</v>
      </c>
      <c r="AM31" s="11" t="e">
        <f aca="false">AM22*MIN($F$30/4,AM26)</f>
        <v>#VALUE!</v>
      </c>
      <c r="AN31" s="11" t="e">
        <f aca="false">AN22*MIN($F$30/4,AN26)</f>
        <v>#VALUE!</v>
      </c>
      <c r="AO31" s="11" t="e">
        <f aca="false">AO22*MIN($F$30/4,AO26)</f>
        <v>#VALUE!</v>
      </c>
      <c r="AP31" s="11" t="e">
        <f aca="false">AP22*MIN($F$30/4,AP26)</f>
        <v>#VALUE!</v>
      </c>
      <c r="AQ31" s="11" t="e">
        <f aca="false">AQ22*MIN($F$30/4,AQ26)</f>
        <v>#VALUE!</v>
      </c>
      <c r="AR31" s="11" t="e">
        <f aca="false">AR22*MIN($F$30/4,AR26)</f>
        <v>#VALUE!</v>
      </c>
      <c r="AS31" s="11" t="e">
        <f aca="false">AS22*MIN($F$30/4,AS26)</f>
        <v>#VALUE!</v>
      </c>
      <c r="AT31" s="11" t="e">
        <f aca="false">AT22*MIN($F$30/4,AT26)</f>
        <v>#VALUE!</v>
      </c>
      <c r="AU31" s="11" t="e">
        <f aca="false">AU22*MIN($F$30/4,AU26)</f>
        <v>#VALUE!</v>
      </c>
      <c r="AV31" s="11" t="e">
        <f aca="false">AV22*MIN($F$30/4,AV26)</f>
        <v>#VALUE!</v>
      </c>
      <c r="AW31" s="11" t="e">
        <f aca="false">AW22*MIN($F$30/4,AW26)</f>
        <v>#VALUE!</v>
      </c>
      <c r="AX31" s="11" t="e">
        <f aca="false">AX22*MIN($F$30/4,AX26)</f>
        <v>#VALUE!</v>
      </c>
      <c r="AY31" s="11" t="e">
        <f aca="false">AY22*MIN($F$30/4,AY26)</f>
        <v>#VALUE!</v>
      </c>
      <c r="AZ31" s="11" t="e">
        <f aca="false">AZ22*MIN($F$30/4,AZ26)</f>
        <v>#VALUE!</v>
      </c>
      <c r="BA31" s="11" t="e">
        <f aca="false">BA22*MIN($F$30/4,BA26)</f>
        <v>#VALUE!</v>
      </c>
      <c r="BB31" s="11" t="e">
        <f aca="false">BB22*MIN($F$30/4,BB26)</f>
        <v>#VALUE!</v>
      </c>
      <c r="BC31" s="11" t="e">
        <f aca="false">BC22*MIN($F$30/4,BC26)</f>
        <v>#VALUE!</v>
      </c>
      <c r="BD31" s="11" t="e">
        <f aca="false">BD22*MIN($F$30/4,BD26)</f>
        <v>#VALUE!</v>
      </c>
      <c r="BE31" s="11" t="e">
        <f aca="false">BE22*MIN($F$30/4,BE26)</f>
        <v>#VALUE!</v>
      </c>
      <c r="BF31" s="11" t="e">
        <f aca="false">BF22*MIN($F$30/4,BF26)</f>
        <v>#VALUE!</v>
      </c>
      <c r="BG31" s="11" t="e">
        <f aca="false">BG22*MIN($F$30/4,BG26)</f>
        <v>#VALUE!</v>
      </c>
      <c r="BH31" s="11" t="e">
        <f aca="false">BH22*MIN($F$30/4,BH26)</f>
        <v>#VALUE!</v>
      </c>
      <c r="BI31" s="11" t="e">
        <f aca="false">BI22*MIN($F$30/4,BI26)</f>
        <v>#VALUE!</v>
      </c>
      <c r="BJ31" s="11" t="e">
        <f aca="false">BJ22*MIN($F$30/4,BJ26)</f>
        <v>#VALUE!</v>
      </c>
      <c r="BK31" s="11" t="e">
        <f aca="false">BK22*MIN($F$30/4,BK26)</f>
        <v>#VALUE!</v>
      </c>
      <c r="BL31" s="11" t="e">
        <f aca="false">BL22*MIN($F$30/4,BL26)</f>
        <v>#VALUE!</v>
      </c>
      <c r="BM31" s="11" t="e">
        <f aca="false">BM22*MIN($F$30/4,BM26)</f>
        <v>#VALUE!</v>
      </c>
      <c r="BN31" s="11" t="e">
        <f aca="false">BN22*MIN($F$30/4,BN26)</f>
        <v>#VALUE!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e">
        <f aca="false">SUM(J32:BN32)</f>
        <v>#VALUE!</v>
      </c>
      <c r="J32" s="11" t="e">
        <f aca="false">J28-J29+J31</f>
        <v>#VALUE!</v>
      </c>
      <c r="K32" s="11" t="e">
        <f aca="false">K28-K29+K31</f>
        <v>#VALUE!</v>
      </c>
      <c r="L32" s="11" t="e">
        <f aca="false">L28-L29+L31</f>
        <v>#VALUE!</v>
      </c>
      <c r="M32" s="11" t="e">
        <f aca="false">M28-M29+M31</f>
        <v>#VALUE!</v>
      </c>
      <c r="N32" s="11" t="e">
        <f aca="false">N28-N29+N31</f>
        <v>#VALUE!</v>
      </c>
      <c r="O32" s="11" t="e">
        <f aca="false">O28-O29+O31</f>
        <v>#VALUE!</v>
      </c>
      <c r="P32" s="11" t="e">
        <f aca="false">P28-P29+P31</f>
        <v>#VALUE!</v>
      </c>
      <c r="Q32" s="11" t="e">
        <f aca="false">Q28-Q29+Q31</f>
        <v>#VALUE!</v>
      </c>
      <c r="R32" s="11" t="e">
        <f aca="false">R28-R29+R31</f>
        <v>#VALUE!</v>
      </c>
      <c r="S32" s="11" t="e">
        <f aca="false">S28-S29+S31</f>
        <v>#VALUE!</v>
      </c>
      <c r="T32" s="11" t="e">
        <f aca="false">T28-T29+T31</f>
        <v>#VALUE!</v>
      </c>
      <c r="U32" s="11" t="e">
        <f aca="false">U28-U29+U31</f>
        <v>#VALUE!</v>
      </c>
      <c r="V32" s="11" t="e">
        <f aca="false">V28-V29+V31</f>
        <v>#VALUE!</v>
      </c>
      <c r="W32" s="11" t="e">
        <f aca="false">W28-W29+W31</f>
        <v>#VALUE!</v>
      </c>
      <c r="X32" s="11" t="e">
        <f aca="false">X28-X29+X31</f>
        <v>#VALUE!</v>
      </c>
      <c r="Y32" s="11" t="e">
        <f aca="false">Y28-Y29+Y31</f>
        <v>#VALUE!</v>
      </c>
      <c r="Z32" s="11" t="e">
        <f aca="false">Z28-Z29+Z31</f>
        <v>#VALUE!</v>
      </c>
      <c r="AA32" s="11" t="e">
        <f aca="false">AA28-AA29+AA31</f>
        <v>#VALUE!</v>
      </c>
      <c r="AB32" s="11" t="e">
        <f aca="false">AB28-AB29+AB31</f>
        <v>#VALUE!</v>
      </c>
      <c r="AC32" s="11" t="e">
        <f aca="false">AC28-AC29+AC31</f>
        <v>#VALUE!</v>
      </c>
      <c r="AD32" s="11" t="e">
        <f aca="false">AD28-AD29+AD31</f>
        <v>#VALUE!</v>
      </c>
      <c r="AE32" s="11" t="e">
        <f aca="false">AE28-AE29+AE31</f>
        <v>#VALUE!</v>
      </c>
      <c r="AF32" s="11" t="e">
        <f aca="false">AF28-AF29+AF31</f>
        <v>#VALUE!</v>
      </c>
      <c r="AG32" s="11" t="e">
        <f aca="false">AG28-AG29+AG31</f>
        <v>#VALUE!</v>
      </c>
      <c r="AH32" s="11" t="e">
        <f aca="false">AH28-AH29+AH31</f>
        <v>#VALUE!</v>
      </c>
      <c r="AI32" s="11" t="e">
        <f aca="false">AI28-AI29+AI31</f>
        <v>#VALUE!</v>
      </c>
      <c r="AJ32" s="11" t="e">
        <f aca="false">AJ28-AJ29+AJ31</f>
        <v>#VALUE!</v>
      </c>
      <c r="AK32" s="11" t="e">
        <f aca="false">AK28-AK29+AK31</f>
        <v>#VALUE!</v>
      </c>
      <c r="AL32" s="11" t="e">
        <f aca="false">AL28-AL29+AL31</f>
        <v>#VALUE!</v>
      </c>
      <c r="AM32" s="11" t="e">
        <f aca="false">AM28-AM29+AM31</f>
        <v>#VALUE!</v>
      </c>
      <c r="AN32" s="11" t="e">
        <f aca="false">AN28-AN29+AN31</f>
        <v>#VALUE!</v>
      </c>
      <c r="AO32" s="11" t="e">
        <f aca="false">AO28-AO29+AO31</f>
        <v>#VALUE!</v>
      </c>
      <c r="AP32" s="11" t="e">
        <f aca="false">AP28-AP29+AP31</f>
        <v>#VALUE!</v>
      </c>
      <c r="AQ32" s="11" t="e">
        <f aca="false">AQ28-AQ29+AQ31</f>
        <v>#VALUE!</v>
      </c>
      <c r="AR32" s="11" t="e">
        <f aca="false">AR28-AR29+AR31</f>
        <v>#VALUE!</v>
      </c>
      <c r="AS32" s="11" t="e">
        <f aca="false">AS28-AS29+AS31</f>
        <v>#VALUE!</v>
      </c>
      <c r="AT32" s="11" t="e">
        <f aca="false">AT28-AT29+AT31</f>
        <v>#VALUE!</v>
      </c>
      <c r="AU32" s="11" t="e">
        <f aca="false">AU28-AU29+AU31</f>
        <v>#VALUE!</v>
      </c>
      <c r="AV32" s="11" t="e">
        <f aca="false">AV28-AV29+AV31</f>
        <v>#VALUE!</v>
      </c>
      <c r="AW32" s="11" t="e">
        <f aca="false">AW28-AW29+AW31</f>
        <v>#VALUE!</v>
      </c>
      <c r="AX32" s="11" t="e">
        <f aca="false">AX28-AX29+AX31</f>
        <v>#VALUE!</v>
      </c>
      <c r="AY32" s="11" t="e">
        <f aca="false">AY28-AY29+AY31</f>
        <v>#VALUE!</v>
      </c>
      <c r="AZ32" s="11" t="e">
        <f aca="false">AZ28-AZ29+AZ31</f>
        <v>#VALUE!</v>
      </c>
      <c r="BA32" s="11" t="e">
        <f aca="false">BA28-BA29+BA31</f>
        <v>#VALUE!</v>
      </c>
      <c r="BB32" s="11" t="e">
        <f aca="false">BB28-BB29+BB31</f>
        <v>#VALUE!</v>
      </c>
      <c r="BC32" s="11" t="e">
        <f aca="false">BC28-BC29+BC31</f>
        <v>#VALUE!</v>
      </c>
      <c r="BD32" s="11" t="e">
        <f aca="false">BD28-BD29+BD31</f>
        <v>#VALUE!</v>
      </c>
      <c r="BE32" s="11" t="e">
        <f aca="false">BE28-BE29+BE31</f>
        <v>#VALUE!</v>
      </c>
      <c r="BF32" s="11" t="e">
        <f aca="false">BF28-BF29+BF31</f>
        <v>#VALUE!</v>
      </c>
      <c r="BG32" s="11" t="e">
        <f aca="false">BG28-BG29+BG31</f>
        <v>#VALUE!</v>
      </c>
      <c r="BH32" s="11" t="e">
        <f aca="false">BH28-BH29+BH31</f>
        <v>#VALUE!</v>
      </c>
      <c r="BI32" s="11" t="e">
        <f aca="false">BI28-BI29+BI31</f>
        <v>#VALUE!</v>
      </c>
      <c r="BJ32" s="11" t="e">
        <f aca="false">BJ28-BJ29+BJ31</f>
        <v>#VALUE!</v>
      </c>
      <c r="BK32" s="11" t="e">
        <f aca="false">BK28-BK29+BK31</f>
        <v>#VALUE!</v>
      </c>
      <c r="BL32" s="11" t="e">
        <f aca="false">BL28-BL29+BL31</f>
        <v>#VALUE!</v>
      </c>
      <c r="BM32" s="11" t="e">
        <f aca="false">BM28-BM29+BM31</f>
        <v>#VALUE!</v>
      </c>
      <c r="BN32" s="11" t="e">
        <f aca="false">BN28-BN29+BN31</f>
        <v>#VALUE!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e">
        <f aca="false">SUM(J33:BN33)</f>
        <v>#VALUE!</v>
      </c>
      <c r="J33" s="11" t="e">
        <f aca="false">J23*Inputs!$F$188*(J25-J32)/(J25-J32+J40-J47+J55-J62+J70-J77+J85-J92+0.000000001)</f>
        <v>#VALUE!</v>
      </c>
      <c r="K33" s="11" t="e">
        <f aca="false">K23*Inputs!$F$188*(K25-K32)/(K25-K32+K40-K47+K55-K62+K70-K77+K85-K92+0.000000001)</f>
        <v>#VALUE!</v>
      </c>
      <c r="L33" s="11" t="e">
        <f aca="false">L23*Inputs!$F$188*(L25-L32)/(L25-L32+L40-L47+L55-L62+L70-L77+L85-L92+0.000000001)</f>
        <v>#VALUE!</v>
      </c>
      <c r="M33" s="11" t="e">
        <f aca="false">M23*Inputs!$F$188*(M25-M32)/(M25-M32+M40-M47+M55-M62+M70-M77+M85-M92+0.000000001)</f>
        <v>#VALUE!</v>
      </c>
      <c r="N33" s="11" t="e">
        <f aca="false">N23*Inputs!$F$188*(N25-N32)/(N25-N32+N40-N47+N55-N62+N70-N77+N85-N92+0.000000001)</f>
        <v>#VALUE!</v>
      </c>
      <c r="O33" s="11" t="e">
        <f aca="false">O23*Inputs!$F$188*(O25-O32)/(O25-O32+O40-O47+O55-O62+O70-O77+O85-O92+0.000000001)</f>
        <v>#VALUE!</v>
      </c>
      <c r="P33" s="11" t="e">
        <f aca="false">P23*Inputs!$F$188*(P25-P32)/(P25-P32+P40-P47+P55-P62+P70-P77+P85-P92+0.000000001)</f>
        <v>#VALUE!</v>
      </c>
      <c r="Q33" s="11" t="e">
        <f aca="false">Q23*Inputs!$F$188*(Q25-Q32)/(Q25-Q32+Q40-Q47+Q55-Q62+Q70-Q77+Q85-Q92+0.000000001)</f>
        <v>#VALUE!</v>
      </c>
      <c r="R33" s="11" t="e">
        <f aca="false">R23*Inputs!$F$188*(R25-R32)/(R25-R32+R40-R47+R55-R62+R70-R77+R85-R92+0.000000001)</f>
        <v>#VALUE!</v>
      </c>
      <c r="S33" s="11" t="e">
        <f aca="false">S23*Inputs!$F$188*(S25-S32)/(S25-S32+S40-S47+S55-S62+S70-S77+S85-S92+0.000000001)</f>
        <v>#VALUE!</v>
      </c>
      <c r="T33" s="11" t="e">
        <f aca="false">T23*Inputs!$F$188*(T25-T32)/(T25-T32+T40-T47+T55-T62+T70-T77+T85-T92+0.000000001)</f>
        <v>#VALUE!</v>
      </c>
      <c r="U33" s="11" t="e">
        <f aca="false">U23*Inputs!$F$188*(U25-U32)/(U25-U32+U40-U47+U55-U62+U70-U77+U85-U92+0.000000001)</f>
        <v>#VALUE!</v>
      </c>
      <c r="V33" s="11" t="e">
        <f aca="false">V23*Inputs!$F$188*(V25-V32)/(V25-V32+V40-V47+V55-V62+V70-V77+V85-V92+0.000000001)</f>
        <v>#VALUE!</v>
      </c>
      <c r="W33" s="11" t="e">
        <f aca="false">W23*Inputs!$F$188*(W25-W32)/(W25-W32+W40-W47+W55-W62+W70-W77+W85-W92+0.000000001)</f>
        <v>#VALUE!</v>
      </c>
      <c r="X33" s="11" t="e">
        <f aca="false">X23*Inputs!$F$188*(X25-X32)/(X25-X32+X40-X47+X55-X62+X70-X77+X85-X92+0.000000001)</f>
        <v>#VALUE!</v>
      </c>
      <c r="Y33" s="11" t="e">
        <f aca="false">Y23*Inputs!$F$188*(Y25-Y32)/(Y25-Y32+Y40-Y47+Y55-Y62+Y70-Y77+Y85-Y92+0.000000001)</f>
        <v>#VALUE!</v>
      </c>
      <c r="Z33" s="11" t="e">
        <f aca="false">Z23*Inputs!$F$188*(Z25-Z32)/(Z25-Z32+Z40-Z47+Z55-Z62+Z70-Z77+Z85-Z92+0.000000001)</f>
        <v>#VALUE!</v>
      </c>
      <c r="AA33" s="11" t="e">
        <f aca="false">AA23*Inputs!$F$188*(AA25-AA32)/(AA25-AA32+AA40-AA47+AA55-AA62+AA70-AA77+AA85-AA92+0.000000001)</f>
        <v>#VALUE!</v>
      </c>
      <c r="AB33" s="11" t="e">
        <f aca="false">AB23*Inputs!$F$188*(AB25-AB32)/(AB25-AB32+AB40-AB47+AB55-AB62+AB70-AB77+AB85-AB92+0.000000001)</f>
        <v>#VALUE!</v>
      </c>
      <c r="AC33" s="11" t="e">
        <f aca="false">AC23*Inputs!$F$188*(AC25-AC32)/(AC25-AC32+AC40-AC47+AC55-AC62+AC70-AC77+AC85-AC92+0.000000001)</f>
        <v>#VALUE!</v>
      </c>
      <c r="AD33" s="11" t="e">
        <f aca="false">AD23*Inputs!$F$188*(AD25-AD32)/(AD25-AD32+AD40-AD47+AD55-AD62+AD70-AD77+AD85-AD92+0.000000001)</f>
        <v>#VALUE!</v>
      </c>
      <c r="AE33" s="11" t="e">
        <f aca="false">AE23*Inputs!$F$188*(AE25-AE32)/(AE25-AE32+AE40-AE47+AE55-AE62+AE70-AE77+AE85-AE92+0.000000001)</f>
        <v>#VALUE!</v>
      </c>
      <c r="AF33" s="11" t="e">
        <f aca="false">AF23*Inputs!$F$188*(AF25-AF32)/(AF25-AF32+AF40-AF47+AF55-AF62+AF70-AF77+AF85-AF92+0.000000001)</f>
        <v>#VALUE!</v>
      </c>
      <c r="AG33" s="11" t="e">
        <f aca="false">AG23*Inputs!$F$188*(AG25-AG32)/(AG25-AG32+AG40-AG47+AG55-AG62+AG70-AG77+AG85-AG92+0.000000001)</f>
        <v>#VALUE!</v>
      </c>
      <c r="AH33" s="11" t="e">
        <f aca="false">AH23*Inputs!$F$188*(AH25-AH32)/(AH25-AH32+AH40-AH47+AH55-AH62+AH70-AH77+AH85-AH92+0.000000001)</f>
        <v>#VALUE!</v>
      </c>
      <c r="AI33" s="11" t="e">
        <f aca="false">AI23*Inputs!$F$188*(AI25-AI32)/(AI25-AI32+AI40-AI47+AI55-AI62+AI70-AI77+AI85-AI92+0.000000001)</f>
        <v>#VALUE!</v>
      </c>
      <c r="AJ33" s="11" t="e">
        <f aca="false">AJ23*Inputs!$F$188*(AJ25-AJ32)/(AJ25-AJ32+AJ40-AJ47+AJ55-AJ62+AJ70-AJ77+AJ85-AJ92+0.000000001)</f>
        <v>#VALUE!</v>
      </c>
      <c r="AK33" s="11" t="e">
        <f aca="false">AK23*Inputs!$F$188*(AK25-AK32)/(AK25-AK32+AK40-AK47+AK55-AK62+AK70-AK77+AK85-AK92+0.000000001)</f>
        <v>#VALUE!</v>
      </c>
      <c r="AL33" s="11" t="e">
        <f aca="false">AL23*Inputs!$F$188*(AL25-AL32)/(AL25-AL32+AL40-AL47+AL55-AL62+AL70-AL77+AL85-AL92+0.000000001)</f>
        <v>#VALUE!</v>
      </c>
      <c r="AM33" s="11" t="e">
        <f aca="false">AM23*Inputs!$F$188*(AM25-AM32)/(AM25-AM32+AM40-AM47+AM55-AM62+AM70-AM77+AM85-AM92+0.000000001)</f>
        <v>#VALUE!</v>
      </c>
      <c r="AN33" s="11" t="e">
        <f aca="false">AN23*Inputs!$F$188*(AN25-AN32)/(AN25-AN32+AN40-AN47+AN55-AN62+AN70-AN77+AN85-AN92+0.000000001)</f>
        <v>#VALUE!</v>
      </c>
      <c r="AO33" s="11" t="e">
        <f aca="false">AO23*Inputs!$F$188*(AO25-AO32)/(AO25-AO32+AO40-AO47+AO55-AO62+AO70-AO77+AO85-AO92+0.000000001)</f>
        <v>#VALUE!</v>
      </c>
      <c r="AP33" s="11" t="e">
        <f aca="false">AP23*Inputs!$F$188*(AP25-AP32)/(AP25-AP32+AP40-AP47+AP55-AP62+AP70-AP77+AP85-AP92+0.000000001)</f>
        <v>#VALUE!</v>
      </c>
      <c r="AQ33" s="11" t="e">
        <f aca="false">AQ23*Inputs!$F$188*(AQ25-AQ32)/(AQ25-AQ32+AQ40-AQ47+AQ55-AQ62+AQ70-AQ77+AQ85-AQ92+0.000000001)</f>
        <v>#VALUE!</v>
      </c>
      <c r="AR33" s="11" t="e">
        <f aca="false">AR23*Inputs!$F$188*(AR25-AR32)/(AR25-AR32+AR40-AR47+AR55-AR62+AR70-AR77+AR85-AR92+0.000000001)</f>
        <v>#VALUE!</v>
      </c>
      <c r="AS33" s="11" t="e">
        <f aca="false">AS23*Inputs!$F$188*(AS25-AS32)/(AS25-AS32+AS40-AS47+AS55-AS62+AS70-AS77+AS85-AS92+0.000000001)</f>
        <v>#VALUE!</v>
      </c>
      <c r="AT33" s="11" t="e">
        <f aca="false">AT23*Inputs!$F$188*(AT25-AT32)/(AT25-AT32+AT40-AT47+AT55-AT62+AT70-AT77+AT85-AT92+0.000000001)</f>
        <v>#VALUE!</v>
      </c>
      <c r="AU33" s="11" t="e">
        <f aca="false">AU23*Inputs!$F$188*(AU25-AU32)/(AU25-AU32+AU40-AU47+AU55-AU62+AU70-AU77+AU85-AU92+0.000000001)</f>
        <v>#VALUE!</v>
      </c>
      <c r="AV33" s="11" t="e">
        <f aca="false">AV23*Inputs!$F$188*(AV25-AV32)/(AV25-AV32+AV40-AV47+AV55-AV62+AV70-AV77+AV85-AV92+0.000000001)</f>
        <v>#VALUE!</v>
      </c>
      <c r="AW33" s="11" t="e">
        <f aca="false">AW23*Inputs!$F$188*(AW25-AW32)/(AW25-AW32+AW40-AW47+AW55-AW62+AW70-AW77+AW85-AW92+0.000000001)</f>
        <v>#VALUE!</v>
      </c>
      <c r="AX33" s="11" t="e">
        <f aca="false">AX23*Inputs!$F$188*(AX25-AX32)/(AX25-AX32+AX40-AX47+AX55-AX62+AX70-AX77+AX85-AX92+0.000000001)</f>
        <v>#VALUE!</v>
      </c>
      <c r="AY33" s="11" t="e">
        <f aca="false">AY23*Inputs!$F$188*(AY25-AY32)/(AY25-AY32+AY40-AY47+AY55-AY62+AY70-AY77+AY85-AY92+0.000000001)</f>
        <v>#VALUE!</v>
      </c>
      <c r="AZ33" s="11" t="e">
        <f aca="false">AZ23*Inputs!$F$188*(AZ25-AZ32)/(AZ25-AZ32+AZ40-AZ47+AZ55-AZ62+AZ70-AZ77+AZ85-AZ92+0.000000001)</f>
        <v>#VALUE!</v>
      </c>
      <c r="BA33" s="11" t="e">
        <f aca="false">BA23*Inputs!$F$188*(BA25-BA32)/(BA25-BA32+BA40-BA47+BA55-BA62+BA70-BA77+BA85-BA92+0.000000001)</f>
        <v>#VALUE!</v>
      </c>
      <c r="BB33" s="11" t="e">
        <f aca="false">BB23*Inputs!$F$188*(BB25-BB32)/(BB25-BB32+BB40-BB47+BB55-BB62+BB70-BB77+BB85-BB92+0.000000001)</f>
        <v>#VALUE!</v>
      </c>
      <c r="BC33" s="11" t="e">
        <f aca="false">BC23*Inputs!$F$188*(BC25-BC32)/(BC25-BC32+BC40-BC47+BC55-BC62+BC70-BC77+BC85-BC92+0.000000001)</f>
        <v>#VALUE!</v>
      </c>
      <c r="BD33" s="11" t="e">
        <f aca="false">BD23*Inputs!$F$188*(BD25-BD32)/(BD25-BD32+BD40-BD47+BD55-BD62+BD70-BD77+BD85-BD92+0.000000001)</f>
        <v>#VALUE!</v>
      </c>
      <c r="BE33" s="11" t="e">
        <f aca="false">BE23*Inputs!$F$188*(BE25-BE32)/(BE25-BE32+BE40-BE47+BE55-BE62+BE70-BE77+BE85-BE92+0.000000001)</f>
        <v>#VALUE!</v>
      </c>
      <c r="BF33" s="11" t="e">
        <f aca="false">BF23*Inputs!$F$188*(BF25-BF32)/(BF25-BF32+BF40-BF47+BF55-BF62+BF70-BF77+BF85-BF92+0.000000001)</f>
        <v>#VALUE!</v>
      </c>
      <c r="BG33" s="11" t="e">
        <f aca="false">BG23*Inputs!$F$188*(BG25-BG32)/(BG25-BG32+BG40-BG47+BG55-BG62+BG70-BG77+BG85-BG92+0.000000001)</f>
        <v>#VALUE!</v>
      </c>
      <c r="BH33" s="11" t="e">
        <f aca="false">BH23*Inputs!$F$188*(BH25-BH32)/(BH25-BH32+BH40-BH47+BH55-BH62+BH70-BH77+BH85-BH92+0.000000001)</f>
        <v>#VALUE!</v>
      </c>
      <c r="BI33" s="11" t="e">
        <f aca="false">BI23*Inputs!$F$188*(BI25-BI32)/(BI25-BI32+BI40-BI47+BI55-BI62+BI70-BI77+BI85-BI92+0.000000001)</f>
        <v>#VALUE!</v>
      </c>
      <c r="BJ33" s="11" t="e">
        <f aca="false">BJ23*Inputs!$F$188*(BJ25-BJ32)/(BJ25-BJ32+BJ40-BJ47+BJ55-BJ62+BJ70-BJ77+BJ85-BJ92+0.000000001)</f>
        <v>#VALUE!</v>
      </c>
      <c r="BK33" s="11" t="e">
        <f aca="false">BK23*Inputs!$F$188*(BK25-BK32)/(BK25-BK32+BK40-BK47+BK55-BK62+BK70-BK77+BK85-BK92+0.000000001)</f>
        <v>#VALUE!</v>
      </c>
      <c r="BL33" s="11" t="e">
        <f aca="false">BL23*Inputs!$F$188*(BL25-BL32)/(BL25-BL32+BL40-BL47+BL55-BL62+BL70-BL77+BL85-BL92+0.000000001)</f>
        <v>#VALUE!</v>
      </c>
      <c r="BM33" s="11" t="e">
        <f aca="false">BM23*Inputs!$F$188*(BM25-BM32)/(BM25-BM32+BM40-BM47+BM55-BM62+BM70-BM77+BM85-BM92+0.000000001)</f>
        <v>#VALUE!</v>
      </c>
      <c r="BN33" s="11" t="e">
        <f aca="false">BN23*Inputs!$F$188*(BN25-BN32)/(BN25-BN32+BN40-BN47+BN55-BN62+BN70-BN77+BN85-BN92+0.000000001)</f>
        <v>#VALUE!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e">
        <f aca="false">J26+J29-J31</f>
        <v>#VALUE!</v>
      </c>
      <c r="K35" s="11" t="e">
        <f aca="false">K26+K29-K31</f>
        <v>#VALUE!</v>
      </c>
      <c r="L35" s="11" t="e">
        <f aca="false">L26+L29-L31</f>
        <v>#VALUE!</v>
      </c>
      <c r="M35" s="11" t="e">
        <f aca="false">M26+M29-M31</f>
        <v>#VALUE!</v>
      </c>
      <c r="N35" s="11" t="e">
        <f aca="false">N26+N29-N31</f>
        <v>#VALUE!</v>
      </c>
      <c r="O35" s="11" t="e">
        <f aca="false">O26+O29-O31</f>
        <v>#VALUE!</v>
      </c>
      <c r="P35" s="11" t="e">
        <f aca="false">P26+P29-P31</f>
        <v>#VALUE!</v>
      </c>
      <c r="Q35" s="11" t="e">
        <f aca="false">Q26+Q29-Q31</f>
        <v>#VALUE!</v>
      </c>
      <c r="R35" s="11" t="e">
        <f aca="false">R26+R29-R31</f>
        <v>#VALUE!</v>
      </c>
      <c r="S35" s="11" t="e">
        <f aca="false">S26+S29-S31</f>
        <v>#VALUE!</v>
      </c>
      <c r="T35" s="11" t="e">
        <f aca="false">T26+T29-T31</f>
        <v>#VALUE!</v>
      </c>
      <c r="U35" s="11" t="e">
        <f aca="false">U26+U29-U31</f>
        <v>#VALUE!</v>
      </c>
      <c r="V35" s="11" t="e">
        <f aca="false">V26+V29-V31</f>
        <v>#VALUE!</v>
      </c>
      <c r="W35" s="11" t="e">
        <f aca="false">W26+W29-W31</f>
        <v>#VALUE!</v>
      </c>
      <c r="X35" s="11" t="e">
        <f aca="false">X26+X29-X31</f>
        <v>#VALUE!</v>
      </c>
      <c r="Y35" s="11" t="e">
        <f aca="false">Y26+Y29-Y31</f>
        <v>#VALUE!</v>
      </c>
      <c r="Z35" s="11" t="e">
        <f aca="false">Z26+Z29-Z31</f>
        <v>#VALUE!</v>
      </c>
      <c r="AA35" s="11" t="e">
        <f aca="false">AA26+AA29-AA31</f>
        <v>#VALUE!</v>
      </c>
      <c r="AB35" s="11" t="e">
        <f aca="false">AB26+AB29-AB31</f>
        <v>#VALUE!</v>
      </c>
      <c r="AC35" s="11" t="e">
        <f aca="false">AC26+AC29-AC31</f>
        <v>#VALUE!</v>
      </c>
      <c r="AD35" s="11" t="e">
        <f aca="false">AD26+AD29-AD31</f>
        <v>#VALUE!</v>
      </c>
      <c r="AE35" s="11" t="e">
        <f aca="false">AE26+AE29-AE31</f>
        <v>#VALUE!</v>
      </c>
      <c r="AF35" s="11" t="e">
        <f aca="false">AF26+AF29-AF31</f>
        <v>#VALUE!</v>
      </c>
      <c r="AG35" s="11" t="e">
        <f aca="false">AG26+AG29-AG31</f>
        <v>#VALUE!</v>
      </c>
      <c r="AH35" s="11" t="e">
        <f aca="false">AH26+AH29-AH31</f>
        <v>#VALUE!</v>
      </c>
      <c r="AI35" s="11" t="e">
        <f aca="false">AI26+AI29-AI31</f>
        <v>#VALUE!</v>
      </c>
      <c r="AJ35" s="11" t="e">
        <f aca="false">AJ26+AJ29-AJ31</f>
        <v>#VALUE!</v>
      </c>
      <c r="AK35" s="11" t="e">
        <f aca="false">AK26+AK29-AK31</f>
        <v>#VALUE!</v>
      </c>
      <c r="AL35" s="11" t="e">
        <f aca="false">AL26+AL29-AL31</f>
        <v>#VALUE!</v>
      </c>
      <c r="AM35" s="11" t="e">
        <f aca="false">AM26+AM29-AM31</f>
        <v>#VALUE!</v>
      </c>
      <c r="AN35" s="11" t="e">
        <f aca="false">AN26+AN29-AN31</f>
        <v>#VALUE!</v>
      </c>
      <c r="AO35" s="11" t="e">
        <f aca="false">AO26+AO29-AO31</f>
        <v>#VALUE!</v>
      </c>
      <c r="AP35" s="11" t="e">
        <f aca="false">AP26+AP29-AP31</f>
        <v>#VALUE!</v>
      </c>
      <c r="AQ35" s="11" t="e">
        <f aca="false">AQ26+AQ29-AQ31</f>
        <v>#VALUE!</v>
      </c>
      <c r="AR35" s="11" t="e">
        <f aca="false">AR26+AR29-AR31</f>
        <v>#VALUE!</v>
      </c>
      <c r="AS35" s="11" t="e">
        <f aca="false">AS26+AS29-AS31</f>
        <v>#VALUE!</v>
      </c>
      <c r="AT35" s="11" t="e">
        <f aca="false">AT26+AT29-AT31</f>
        <v>#VALUE!</v>
      </c>
      <c r="AU35" s="11" t="e">
        <f aca="false">AU26+AU29-AU31</f>
        <v>#VALUE!</v>
      </c>
      <c r="AV35" s="11" t="e">
        <f aca="false">AV26+AV29-AV31</f>
        <v>#VALUE!</v>
      </c>
      <c r="AW35" s="11" t="e">
        <f aca="false">AW26+AW29-AW31</f>
        <v>#VALUE!</v>
      </c>
      <c r="AX35" s="11" t="e">
        <f aca="false">AX26+AX29-AX31</f>
        <v>#VALUE!</v>
      </c>
      <c r="AY35" s="11" t="e">
        <f aca="false">AY26+AY29-AY31</f>
        <v>#VALUE!</v>
      </c>
      <c r="AZ35" s="11" t="e">
        <f aca="false">AZ26+AZ29-AZ31</f>
        <v>#VALUE!</v>
      </c>
      <c r="BA35" s="11" t="e">
        <f aca="false">BA26+BA29-BA31</f>
        <v>#VALUE!</v>
      </c>
      <c r="BB35" s="11" t="e">
        <f aca="false">BB26+BB29-BB31</f>
        <v>#VALUE!</v>
      </c>
      <c r="BC35" s="11" t="e">
        <f aca="false">BC26+BC29-BC31</f>
        <v>#VALUE!</v>
      </c>
      <c r="BD35" s="11" t="e">
        <f aca="false">BD26+BD29-BD31</f>
        <v>#VALUE!</v>
      </c>
      <c r="BE35" s="11" t="e">
        <f aca="false">BE26+BE29-BE31</f>
        <v>#VALUE!</v>
      </c>
      <c r="BF35" s="11" t="e">
        <f aca="false">BF26+BF29-BF31</f>
        <v>#VALUE!</v>
      </c>
      <c r="BG35" s="11" t="e">
        <f aca="false">BG26+BG29-BG31</f>
        <v>#VALUE!</v>
      </c>
      <c r="BH35" s="11" t="e">
        <f aca="false">BH26+BH29-BH31</f>
        <v>#VALUE!</v>
      </c>
      <c r="BI35" s="11" t="e">
        <f aca="false">BI26+BI29-BI31</f>
        <v>#VALUE!</v>
      </c>
      <c r="BJ35" s="11" t="e">
        <f aca="false">BJ26+BJ29-BJ31</f>
        <v>#VALUE!</v>
      </c>
      <c r="BK35" s="11" t="e">
        <f aca="false">BK26+BK29-BK31</f>
        <v>#VALUE!</v>
      </c>
      <c r="BL35" s="11" t="e">
        <f aca="false">BL26+BL29-BL31</f>
        <v>#VALUE!</v>
      </c>
      <c r="BM35" s="11" t="e">
        <f aca="false">BM26+BM29-BM31</f>
        <v>#VALUE!</v>
      </c>
      <c r="BN35" s="11" t="e">
        <f aca="false">BN26+BN29-BN31</f>
        <v>#VALUE!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e">
        <f aca="false">J25-J32-J33-J34</f>
        <v>#VALUE!</v>
      </c>
      <c r="K36" s="11" t="e">
        <f aca="false">K25-K32-K33-K34</f>
        <v>#VALUE!</v>
      </c>
      <c r="L36" s="11" t="e">
        <f aca="false">L25-L32-L33-L34</f>
        <v>#VALUE!</v>
      </c>
      <c r="M36" s="11" t="e">
        <f aca="false">M25-M32-M33-M34</f>
        <v>#VALUE!</v>
      </c>
      <c r="N36" s="11" t="e">
        <f aca="false">N25-N32-N33-N34</f>
        <v>#VALUE!</v>
      </c>
      <c r="O36" s="11" t="e">
        <f aca="false">O25-O32-O33-O34</f>
        <v>#VALUE!</v>
      </c>
      <c r="P36" s="11" t="e">
        <f aca="false">P25-P32-P33-P34</f>
        <v>#VALUE!</v>
      </c>
      <c r="Q36" s="11" t="e">
        <f aca="false">Q25-Q32-Q33-Q34</f>
        <v>#VALUE!</v>
      </c>
      <c r="R36" s="11" t="e">
        <f aca="false">R25-R32-R33-R34</f>
        <v>#VALUE!</v>
      </c>
      <c r="S36" s="11" t="e">
        <f aca="false">S25-S32-S33-S34</f>
        <v>#VALUE!</v>
      </c>
      <c r="T36" s="11" t="e">
        <f aca="false">T25-T32-T33-T34</f>
        <v>#VALUE!</v>
      </c>
      <c r="U36" s="11" t="e">
        <f aca="false">U25-U32-U33-U34</f>
        <v>#VALUE!</v>
      </c>
      <c r="V36" s="11" t="e">
        <f aca="false">V25-V32-V33-V34</f>
        <v>#VALUE!</v>
      </c>
      <c r="W36" s="11" t="e">
        <f aca="false">W25-W32-W33-W34</f>
        <v>#VALUE!</v>
      </c>
      <c r="X36" s="11" t="e">
        <f aca="false">X25-X32-X33-X34</f>
        <v>#VALUE!</v>
      </c>
      <c r="Y36" s="11" t="e">
        <f aca="false">Y25-Y32-Y33-Y34</f>
        <v>#VALUE!</v>
      </c>
      <c r="Z36" s="11" t="e">
        <f aca="false">Z25-Z32-Z33-Z34</f>
        <v>#VALUE!</v>
      </c>
      <c r="AA36" s="11" t="e">
        <f aca="false">AA25-AA32-AA33-AA34</f>
        <v>#VALUE!</v>
      </c>
      <c r="AB36" s="11" t="e">
        <f aca="false">AB25-AB32-AB33-AB34</f>
        <v>#VALUE!</v>
      </c>
      <c r="AC36" s="11" t="e">
        <f aca="false">AC25-AC32-AC33-AC34</f>
        <v>#VALUE!</v>
      </c>
      <c r="AD36" s="11" t="e">
        <f aca="false">AD25-AD32-AD33-AD34</f>
        <v>#VALUE!</v>
      </c>
      <c r="AE36" s="11" t="e">
        <f aca="false">AE25-AE32-AE33-AE34</f>
        <v>#VALUE!</v>
      </c>
      <c r="AF36" s="11" t="e">
        <f aca="false">AF25-AF32-AF33-AF34</f>
        <v>#VALUE!</v>
      </c>
      <c r="AG36" s="11" t="e">
        <f aca="false">AG25-AG32-AG33-AG34</f>
        <v>#VALUE!</v>
      </c>
      <c r="AH36" s="11" t="e">
        <f aca="false">AH25-AH32-AH33-AH34</f>
        <v>#VALUE!</v>
      </c>
      <c r="AI36" s="11" t="e">
        <f aca="false">AI25-AI32-AI33-AI34</f>
        <v>#VALUE!</v>
      </c>
      <c r="AJ36" s="11" t="e">
        <f aca="false">AJ25-AJ32-AJ33-AJ34</f>
        <v>#VALUE!</v>
      </c>
      <c r="AK36" s="11" t="e">
        <f aca="false">AK25-AK32-AK33-AK34</f>
        <v>#VALUE!</v>
      </c>
      <c r="AL36" s="11" t="e">
        <f aca="false">AL25-AL32-AL33-AL34</f>
        <v>#VALUE!</v>
      </c>
      <c r="AM36" s="11" t="e">
        <f aca="false">AM25-AM32-AM33-AM34</f>
        <v>#VALUE!</v>
      </c>
      <c r="AN36" s="11" t="e">
        <f aca="false">AN25-AN32-AN33-AN34</f>
        <v>#VALUE!</v>
      </c>
      <c r="AO36" s="11" t="e">
        <f aca="false">AO25-AO32-AO33-AO34</f>
        <v>#VALUE!</v>
      </c>
      <c r="AP36" s="11" t="e">
        <f aca="false">AP25-AP32-AP33-AP34</f>
        <v>#VALUE!</v>
      </c>
      <c r="AQ36" s="11" t="e">
        <f aca="false">AQ25-AQ32-AQ33-AQ34</f>
        <v>#VALUE!</v>
      </c>
      <c r="AR36" s="11" t="e">
        <f aca="false">AR25-AR32-AR33-AR34</f>
        <v>#VALUE!</v>
      </c>
      <c r="AS36" s="11" t="e">
        <f aca="false">AS25-AS32-AS33-AS34</f>
        <v>#VALUE!</v>
      </c>
      <c r="AT36" s="11" t="e">
        <f aca="false">AT25-AT32-AT33-AT34</f>
        <v>#VALUE!</v>
      </c>
      <c r="AU36" s="11" t="e">
        <f aca="false">AU25-AU32-AU33-AU34</f>
        <v>#VALUE!</v>
      </c>
      <c r="AV36" s="11" t="e">
        <f aca="false">AV25-AV32-AV33-AV34</f>
        <v>#VALUE!</v>
      </c>
      <c r="AW36" s="11" t="e">
        <f aca="false">AW25-AW32-AW33-AW34</f>
        <v>#VALUE!</v>
      </c>
      <c r="AX36" s="11" t="e">
        <f aca="false">AX25-AX32-AX33-AX34</f>
        <v>#VALUE!</v>
      </c>
      <c r="AY36" s="11" t="e">
        <f aca="false">AY25-AY32-AY33-AY34</f>
        <v>#VALUE!</v>
      </c>
      <c r="AZ36" s="11" t="e">
        <f aca="false">AZ25-AZ32-AZ33-AZ34</f>
        <v>#VALUE!</v>
      </c>
      <c r="BA36" s="11" t="e">
        <f aca="false">BA25-BA32-BA33-BA34</f>
        <v>#VALUE!</v>
      </c>
      <c r="BB36" s="11" t="e">
        <f aca="false">BB25-BB32-BB33-BB34</f>
        <v>#VALUE!</v>
      </c>
      <c r="BC36" s="11" t="e">
        <f aca="false">BC25-BC32-BC33-BC34</f>
        <v>#VALUE!</v>
      </c>
      <c r="BD36" s="11" t="e">
        <f aca="false">BD25-BD32-BD33-BD34</f>
        <v>#VALUE!</v>
      </c>
      <c r="BE36" s="11" t="e">
        <f aca="false">BE25-BE32-BE33-BE34</f>
        <v>#VALUE!</v>
      </c>
      <c r="BF36" s="11" t="e">
        <f aca="false">BF25-BF32-BF33-BF34</f>
        <v>#VALUE!</v>
      </c>
      <c r="BG36" s="11" t="e">
        <f aca="false">BG25-BG32-BG33-BG34</f>
        <v>#VALUE!</v>
      </c>
      <c r="BH36" s="11" t="e">
        <f aca="false">BH25-BH32-BH33-BH34</f>
        <v>#VALUE!</v>
      </c>
      <c r="BI36" s="11" t="e">
        <f aca="false">BI25-BI32-BI33-BI34</f>
        <v>#VALUE!</v>
      </c>
      <c r="BJ36" s="11" t="e">
        <f aca="false">BJ25-BJ32-BJ33-BJ34</f>
        <v>#VALUE!</v>
      </c>
      <c r="BK36" s="11" t="e">
        <f aca="false">BK25-BK32-BK33-BK34</f>
        <v>#VALUE!</v>
      </c>
      <c r="BL36" s="11" t="e">
        <f aca="false">BL25-BL32-BL33-BL34</f>
        <v>#VALUE!</v>
      </c>
      <c r="BM36" s="11" t="e">
        <f aca="false">BM25-BM32-BM33-BM34</f>
        <v>#VALUE!</v>
      </c>
      <c r="BN36" s="11" t="e">
        <f aca="false">BN25-BN32-BN33-BN34</f>
        <v>#VALUE!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e">
        <f aca="false">SUM(J37:BN37)</f>
        <v>#VALUE!</v>
      </c>
      <c r="J37" s="11" t="e">
        <f aca="false">Waterfall!J28*J36/(J36+J51+J66+J81+J96+0.000000001)</f>
        <v>#VALUE!</v>
      </c>
      <c r="K37" s="11" t="e">
        <f aca="false">Waterfall!K28*K36/(K36+K51+K66+K81+K96+0.000000001)</f>
        <v>#VALUE!</v>
      </c>
      <c r="L37" s="11" t="e">
        <f aca="false">Waterfall!L28*L36/(L36+L51+L66+L81+L96+0.000000001)</f>
        <v>#VALUE!</v>
      </c>
      <c r="M37" s="11" t="e">
        <f aca="false">Waterfall!M28*M36/(M36+M51+M66+M81+M96+0.000000001)</f>
        <v>#VALUE!</v>
      </c>
      <c r="N37" s="11" t="e">
        <f aca="false">Waterfall!N28*N36/(N36+N51+N66+N81+N96+0.000000001)</f>
        <v>#VALUE!</v>
      </c>
      <c r="O37" s="11" t="e">
        <f aca="false">Waterfall!O28*O36/(O36+O51+O66+O81+O96+0.000000001)</f>
        <v>#VALUE!</v>
      </c>
      <c r="P37" s="11" t="e">
        <f aca="false">Waterfall!P28*P36/(P36+P51+P66+P81+P96+0.000000001)</f>
        <v>#VALUE!</v>
      </c>
      <c r="Q37" s="11" t="e">
        <f aca="false">Waterfall!Q28*Q36/(Q36+Q51+Q66+Q81+Q96+0.000000001)</f>
        <v>#VALUE!</v>
      </c>
      <c r="R37" s="11" t="e">
        <f aca="false">Waterfall!R28*R36/(R36+R51+R66+R81+R96+0.000000001)</f>
        <v>#VALUE!</v>
      </c>
      <c r="S37" s="11" t="e">
        <f aca="false">Waterfall!S28*S36/(S36+S51+S66+S81+S96+0.000000001)</f>
        <v>#VALUE!</v>
      </c>
      <c r="T37" s="11" t="e">
        <f aca="false">Waterfall!T28*T36/(T36+T51+T66+T81+T96+0.000000001)</f>
        <v>#VALUE!</v>
      </c>
      <c r="U37" s="11" t="e">
        <f aca="false">Waterfall!U28*U36/(U36+U51+U66+U81+U96+0.000000001)</f>
        <v>#VALUE!</v>
      </c>
      <c r="V37" s="11" t="e">
        <f aca="false">Waterfall!V28*V36/(V36+V51+V66+V81+V96+0.000000001)</f>
        <v>#VALUE!</v>
      </c>
      <c r="W37" s="11" t="e">
        <f aca="false">Waterfall!W28*W36/(W36+W51+W66+W81+W96+0.000000001)</f>
        <v>#VALUE!</v>
      </c>
      <c r="X37" s="11" t="e">
        <f aca="false">Waterfall!X28*X36/(X36+X51+X66+X81+X96+0.000000001)</f>
        <v>#VALUE!</v>
      </c>
      <c r="Y37" s="11" t="e">
        <f aca="false">Waterfall!Y28*Y36/(Y36+Y51+Y66+Y81+Y96+0.000000001)</f>
        <v>#VALUE!</v>
      </c>
      <c r="Z37" s="11" t="e">
        <f aca="false">Waterfall!Z28*Z36/(Z36+Z51+Z66+Z81+Z96+0.000000001)</f>
        <v>#VALUE!</v>
      </c>
      <c r="AA37" s="11" t="e">
        <f aca="false">Waterfall!AA28*AA36/(AA36+AA51+AA66+AA81+AA96+0.000000001)</f>
        <v>#VALUE!</v>
      </c>
      <c r="AB37" s="11" t="e">
        <f aca="false">Waterfall!AB28*AB36/(AB36+AB51+AB66+AB81+AB96+0.000000001)</f>
        <v>#VALUE!</v>
      </c>
      <c r="AC37" s="11" t="e">
        <f aca="false">Waterfall!AC28*AC36/(AC36+AC51+AC66+AC81+AC96+0.000000001)</f>
        <v>#VALUE!</v>
      </c>
      <c r="AD37" s="11" t="e">
        <f aca="false">Waterfall!AD28*AD36/(AD36+AD51+AD66+AD81+AD96+0.000000001)</f>
        <v>#VALUE!</v>
      </c>
      <c r="AE37" s="11" t="e">
        <f aca="false">Waterfall!AE28*AE36/(AE36+AE51+AE66+AE81+AE96+0.000000001)</f>
        <v>#VALUE!</v>
      </c>
      <c r="AF37" s="11" t="e">
        <f aca="false">Waterfall!AF28*AF36/(AF36+AF51+AF66+AF81+AF96+0.000000001)</f>
        <v>#VALUE!</v>
      </c>
      <c r="AG37" s="11" t="e">
        <f aca="false">Waterfall!AG28*AG36/(AG36+AG51+AG66+AG81+AG96+0.000000001)</f>
        <v>#VALUE!</v>
      </c>
      <c r="AH37" s="11" t="e">
        <f aca="false">Waterfall!AH28*AH36/(AH36+AH51+AH66+AH81+AH96+0.000000001)</f>
        <v>#VALUE!</v>
      </c>
      <c r="AI37" s="11" t="e">
        <f aca="false">Waterfall!AI28*AI36/(AI36+AI51+AI66+AI81+AI96+0.000000001)</f>
        <v>#VALUE!</v>
      </c>
      <c r="AJ37" s="11" t="e">
        <f aca="false">Waterfall!AJ28*AJ36/(AJ36+AJ51+AJ66+AJ81+AJ96+0.000000001)</f>
        <v>#VALUE!</v>
      </c>
      <c r="AK37" s="11" t="e">
        <f aca="false">Waterfall!AK28*AK36/(AK36+AK51+AK66+AK81+AK96+0.000000001)</f>
        <v>#VALUE!</v>
      </c>
      <c r="AL37" s="11" t="e">
        <f aca="false">Waterfall!AL28*AL36/(AL36+AL51+AL66+AL81+AL96+0.000000001)</f>
        <v>#VALUE!</v>
      </c>
      <c r="AM37" s="11" t="e">
        <f aca="false">Waterfall!AM28*AM36/(AM36+AM51+AM66+AM81+AM96+0.000000001)</f>
        <v>#VALUE!</v>
      </c>
      <c r="AN37" s="11" t="e">
        <f aca="false">Waterfall!AN28*AN36/(AN36+AN51+AN66+AN81+AN96+0.000000001)</f>
        <v>#VALUE!</v>
      </c>
      <c r="AO37" s="11" t="e">
        <f aca="false">Waterfall!AO28*AO36/(AO36+AO51+AO66+AO81+AO96+0.000000001)</f>
        <v>#VALUE!</v>
      </c>
      <c r="AP37" s="11" t="e">
        <f aca="false">Waterfall!AP28*AP36/(AP36+AP51+AP66+AP81+AP96+0.000000001)</f>
        <v>#VALUE!</v>
      </c>
      <c r="AQ37" s="11" t="e">
        <f aca="false">Waterfall!AQ28*AQ36/(AQ36+AQ51+AQ66+AQ81+AQ96+0.000000001)</f>
        <v>#VALUE!</v>
      </c>
      <c r="AR37" s="11" t="e">
        <f aca="false">Waterfall!AR28*AR36/(AR36+AR51+AR66+AR81+AR96+0.000000001)</f>
        <v>#VALUE!</v>
      </c>
      <c r="AS37" s="11" t="e">
        <f aca="false">Waterfall!AS28*AS36/(AS36+AS51+AS66+AS81+AS96+0.000000001)</f>
        <v>#VALUE!</v>
      </c>
      <c r="AT37" s="11" t="e">
        <f aca="false">Waterfall!AT28*AT36/(AT36+AT51+AT66+AT81+AT96+0.000000001)</f>
        <v>#VALUE!</v>
      </c>
      <c r="AU37" s="11" t="e">
        <f aca="false">Waterfall!AU28*AU36/(AU36+AU51+AU66+AU81+AU96+0.000000001)</f>
        <v>#VALUE!</v>
      </c>
      <c r="AV37" s="11" t="e">
        <f aca="false">Waterfall!AV28*AV36/(AV36+AV51+AV66+AV81+AV96+0.000000001)</f>
        <v>#VALUE!</v>
      </c>
      <c r="AW37" s="11" t="e">
        <f aca="false">Waterfall!AW28*AW36/(AW36+AW51+AW66+AW81+AW96+0.000000001)</f>
        <v>#VALUE!</v>
      </c>
      <c r="AX37" s="11" t="e">
        <f aca="false">Waterfall!AX28*AX36/(AX36+AX51+AX66+AX81+AX96+0.000000001)</f>
        <v>#VALUE!</v>
      </c>
      <c r="AY37" s="11" t="e">
        <f aca="false">Waterfall!AY28*AY36/(AY36+AY51+AY66+AY81+AY96+0.000000001)</f>
        <v>#VALUE!</v>
      </c>
      <c r="AZ37" s="11" t="e">
        <f aca="false">Waterfall!AZ28*AZ36/(AZ36+AZ51+AZ66+AZ81+AZ96+0.000000001)</f>
        <v>#VALUE!</v>
      </c>
      <c r="BA37" s="11" t="e">
        <f aca="false">Waterfall!BA28*BA36/(BA36+BA51+BA66+BA81+BA96+0.000000001)</f>
        <v>#VALUE!</v>
      </c>
      <c r="BB37" s="11" t="e">
        <f aca="false">Waterfall!BB28*BB36/(BB36+BB51+BB66+BB81+BB96+0.000000001)</f>
        <v>#VALUE!</v>
      </c>
      <c r="BC37" s="11" t="e">
        <f aca="false">Waterfall!BC28*BC36/(BC36+BC51+BC66+BC81+BC96+0.000000001)</f>
        <v>#VALUE!</v>
      </c>
      <c r="BD37" s="11" t="e">
        <f aca="false">Waterfall!BD28*BD36/(BD36+BD51+BD66+BD81+BD96+0.000000001)</f>
        <v>#VALUE!</v>
      </c>
      <c r="BE37" s="11" t="e">
        <f aca="false">Waterfall!BE28*BE36/(BE36+BE51+BE66+BE81+BE96+0.000000001)</f>
        <v>#VALUE!</v>
      </c>
      <c r="BF37" s="11" t="e">
        <f aca="false">Waterfall!BF28*BF36/(BF36+BF51+BF66+BF81+BF96+0.000000001)</f>
        <v>#VALUE!</v>
      </c>
      <c r="BG37" s="11" t="e">
        <f aca="false">Waterfall!BG28*BG36/(BG36+BG51+BG66+BG81+BG96+0.000000001)</f>
        <v>#VALUE!</v>
      </c>
      <c r="BH37" s="11" t="e">
        <f aca="false">Waterfall!BH28*BH36/(BH36+BH51+BH66+BH81+BH96+0.000000001)</f>
        <v>#VALUE!</v>
      </c>
      <c r="BI37" s="11" t="e">
        <f aca="false">Waterfall!BI28*BI36/(BI36+BI51+BI66+BI81+BI96+0.000000001)</f>
        <v>#VALUE!</v>
      </c>
      <c r="BJ37" s="11" t="e">
        <f aca="false">Waterfall!BJ28*BJ36/(BJ36+BJ51+BJ66+BJ81+BJ96+0.000000001)</f>
        <v>#VALUE!</v>
      </c>
      <c r="BK37" s="11" t="e">
        <f aca="false">Waterfall!BK28*BK36/(BK36+BK51+BK66+BK81+BK96+0.000000001)</f>
        <v>#VALUE!</v>
      </c>
      <c r="BL37" s="11" t="e">
        <f aca="false">Waterfall!BL28*BL36/(BL36+BL51+BL66+BL81+BL96+0.000000001)</f>
        <v>#VALUE!</v>
      </c>
      <c r="BM37" s="11" t="e">
        <f aca="false">Waterfall!BM28*BM36/(BM36+BM51+BM66+BM81+BM96+0.000000001)</f>
        <v>#VALUE!</v>
      </c>
      <c r="BN37" s="11" t="e">
        <f aca="false">Waterfall!BN28*BN36/(BN36+BN51+BN66+BN81+BN96+0.000000001)</f>
        <v>#VALUE!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e">
        <f aca="false">IF(Time!J29=1,INDEX(Funding!$J$61:$BJ$61,1,Time!$F$13),Time!J30*(J36-J37))</f>
        <v>#VALUE!</v>
      </c>
      <c r="K38" s="11" t="e">
        <f aca="false">IF(Time!K29=1,INDEX(Funding!$J$61:$BJ$61,1,Time!$F$13),Time!K30*(K36-K37))</f>
        <v>#VALUE!</v>
      </c>
      <c r="L38" s="11" t="e">
        <f aca="false">IF(Time!L29=1,INDEX(Funding!$J$61:$BJ$61,1,Time!$F$13),Time!L30*(L36-L37))</f>
        <v>#VALUE!</v>
      </c>
      <c r="M38" s="11" t="e">
        <f aca="false">IF(Time!M29=1,INDEX(Funding!$J$61:$BJ$61,1,Time!$F$13),Time!M30*(M36-M37))</f>
        <v>#VALUE!</v>
      </c>
      <c r="N38" s="11" t="e">
        <f aca="false">IF(Time!N29=1,INDEX(Funding!$J$61:$BJ$61,1,Time!$F$13),Time!N30*(N36-N37))</f>
        <v>#VALUE!</v>
      </c>
      <c r="O38" s="11" t="n">
        <f aca="false">IF(Time!O29=1,INDEX(Funding!$J$61:$BJ$61,1,Time!$F$13),Time!O30*(O36-O37))</f>
        <v>189.976792662832</v>
      </c>
      <c r="P38" s="11" t="e">
        <f aca="false">IF(Time!P29=1,INDEX(Funding!$J$61:$BJ$61,1,Time!$F$13),Time!P30*(P36-P37))</f>
        <v>#VALUE!</v>
      </c>
      <c r="Q38" s="11" t="e">
        <f aca="false">IF(Time!Q29=1,INDEX(Funding!$J$61:$BJ$61,1,Time!$F$13),Time!Q30*(Q36-Q37))</f>
        <v>#VALUE!</v>
      </c>
      <c r="R38" s="11" t="e">
        <f aca="false">IF(Time!R29=1,INDEX(Funding!$J$61:$BJ$61,1,Time!$F$13),Time!R30*(R36-R37))</f>
        <v>#VALUE!</v>
      </c>
      <c r="S38" s="11" t="e">
        <f aca="false">IF(Time!S29=1,INDEX(Funding!$J$61:$BJ$61,1,Time!$F$13),Time!S30*(S36-S37))</f>
        <v>#VALUE!</v>
      </c>
      <c r="T38" s="11" t="e">
        <f aca="false">IF(Time!T29=1,INDEX(Funding!$J$61:$BJ$61,1,Time!$F$13),Time!T30*(T36-T37))</f>
        <v>#VALUE!</v>
      </c>
      <c r="U38" s="11" t="e">
        <f aca="false">IF(Time!U29=1,INDEX(Funding!$J$61:$BJ$61,1,Time!$F$13),Time!U30*(U36-U37))</f>
        <v>#VALUE!</v>
      </c>
      <c r="V38" s="11" t="e">
        <f aca="false">IF(Time!V29=1,INDEX(Funding!$J$61:$BJ$61,1,Time!$F$13),Time!V30*(V36-V37))</f>
        <v>#VALUE!</v>
      </c>
      <c r="W38" s="11" t="e">
        <f aca="false">IF(Time!W29=1,INDEX(Funding!$J$61:$BJ$61,1,Time!$F$13),Time!W30*(W36-W37))</f>
        <v>#VALUE!</v>
      </c>
      <c r="X38" s="11" t="e">
        <f aca="false">IF(Time!X29=1,INDEX(Funding!$J$61:$BJ$61,1,Time!$F$13),Time!X30*(X36-X37))</f>
        <v>#VALUE!</v>
      </c>
      <c r="Y38" s="11" t="e">
        <f aca="false">IF(Time!Y29=1,INDEX(Funding!$J$61:$BJ$61,1,Time!$F$13),Time!Y30*(Y36-Y37))</f>
        <v>#VALUE!</v>
      </c>
      <c r="Z38" s="11" t="e">
        <f aca="false">IF(Time!Z29=1,INDEX(Funding!$J$61:$BJ$61,1,Time!$F$13),Time!Z30*(Z36-Z37))</f>
        <v>#VALUE!</v>
      </c>
      <c r="AA38" s="11" t="e">
        <f aca="false">IF(Time!AA29=1,INDEX(Funding!$J$61:$BJ$61,1,Time!$F$13),Time!AA30*(AA36-AA37))</f>
        <v>#VALUE!</v>
      </c>
      <c r="AB38" s="11" t="e">
        <f aca="false">IF(Time!AB29=1,INDEX(Funding!$J$61:$BJ$61,1,Time!$F$13),Time!AB30*(AB36-AB37))</f>
        <v>#VALUE!</v>
      </c>
      <c r="AC38" s="11" t="e">
        <f aca="false">IF(Time!AC29=1,INDEX(Funding!$J$61:$BJ$61,1,Time!$F$13),Time!AC30*(AC36-AC37))</f>
        <v>#VALUE!</v>
      </c>
      <c r="AD38" s="11" t="e">
        <f aca="false">IF(Time!AD29=1,INDEX(Funding!$J$61:$BJ$61,1,Time!$F$13),Time!AD30*(AD36-AD37))</f>
        <v>#VALUE!</v>
      </c>
      <c r="AE38" s="11" t="e">
        <f aca="false">IF(Time!AE29=1,INDEX(Funding!$J$61:$BJ$61,1,Time!$F$13),Time!AE30*(AE36-AE37))</f>
        <v>#VALUE!</v>
      </c>
      <c r="AF38" s="11" t="e">
        <f aca="false">IF(Time!AF29=1,INDEX(Funding!$J$61:$BJ$61,1,Time!$F$13),Time!AF30*(AF36-AF37))</f>
        <v>#VALUE!</v>
      </c>
      <c r="AG38" s="11" t="e">
        <f aca="false">IF(Time!AG29=1,INDEX(Funding!$J$61:$BJ$61,1,Time!$F$13),Time!AG30*(AG36-AG37))</f>
        <v>#VALUE!</v>
      </c>
      <c r="AH38" s="11" t="e">
        <f aca="false">IF(Time!AH29=1,INDEX(Funding!$J$61:$BJ$61,1,Time!$F$13),Time!AH30*(AH36-AH37))</f>
        <v>#VALUE!</v>
      </c>
      <c r="AI38" s="11" t="e">
        <f aca="false">IF(Time!AI29=1,INDEX(Funding!$J$61:$BJ$61,1,Time!$F$13),Time!AI30*(AI36-AI37))</f>
        <v>#VALUE!</v>
      </c>
      <c r="AJ38" s="11" t="e">
        <f aca="false">IF(Time!AJ29=1,INDEX(Funding!$J$61:$BJ$61,1,Time!$F$13),Time!AJ30*(AJ36-AJ37))</f>
        <v>#VALUE!</v>
      </c>
      <c r="AK38" s="11" t="e">
        <f aca="false">IF(Time!AK29=1,INDEX(Funding!$J$61:$BJ$61,1,Time!$F$13),Time!AK30*(AK36-AK37))</f>
        <v>#VALUE!</v>
      </c>
      <c r="AL38" s="11" t="e">
        <f aca="false">IF(Time!AL29=1,INDEX(Funding!$J$61:$BJ$61,1,Time!$F$13),Time!AL30*(AL36-AL37))</f>
        <v>#VALUE!</v>
      </c>
      <c r="AM38" s="11" t="e">
        <f aca="false">IF(Time!AM29=1,INDEX(Funding!$J$61:$BJ$61,1,Time!$F$13),Time!AM30*(AM36-AM37))</f>
        <v>#VALUE!</v>
      </c>
      <c r="AN38" s="11" t="e">
        <f aca="false">IF(Time!AN29=1,INDEX(Funding!$J$61:$BJ$61,1,Time!$F$13),Time!AN30*(AN36-AN37))</f>
        <v>#VALUE!</v>
      </c>
      <c r="AO38" s="11" t="e">
        <f aca="false">IF(Time!AO29=1,INDEX(Funding!$J$61:$BJ$61,1,Time!$F$13),Time!AO30*(AO36-AO37))</f>
        <v>#VALUE!</v>
      </c>
      <c r="AP38" s="11" t="e">
        <f aca="false">IF(Time!AP29=1,INDEX(Funding!$J$61:$BJ$61,1,Time!$F$13),Time!AP30*(AP36-AP37))</f>
        <v>#VALUE!</v>
      </c>
      <c r="AQ38" s="11" t="e">
        <f aca="false">IF(Time!AQ29=1,INDEX(Funding!$J$61:$BJ$61,1,Time!$F$13),Time!AQ30*(AQ36-AQ37))</f>
        <v>#VALUE!</v>
      </c>
      <c r="AR38" s="11" t="e">
        <f aca="false">IF(Time!AR29=1,INDEX(Funding!$J$61:$BJ$61,1,Time!$F$13),Time!AR30*(AR36-AR37))</f>
        <v>#VALUE!</v>
      </c>
      <c r="AS38" s="11" t="e">
        <f aca="false">IF(Time!AS29=1,INDEX(Funding!$J$61:$BJ$61,1,Time!$F$13),Time!AS30*(AS36-AS37))</f>
        <v>#VALUE!</v>
      </c>
      <c r="AT38" s="11" t="e">
        <f aca="false">IF(Time!AT29=1,INDEX(Funding!$J$61:$BJ$61,1,Time!$F$13),Time!AT30*(AT36-AT37))</f>
        <v>#VALUE!</v>
      </c>
      <c r="AU38" s="11" t="e">
        <f aca="false">IF(Time!AU29=1,INDEX(Funding!$J$61:$BJ$61,1,Time!$F$13),Time!AU30*(AU36-AU37))</f>
        <v>#VALUE!</v>
      </c>
      <c r="AV38" s="11" t="e">
        <f aca="false">IF(Time!AV29=1,INDEX(Funding!$J$61:$BJ$61,1,Time!$F$13),Time!AV30*(AV36-AV37))</f>
        <v>#VALUE!</v>
      </c>
      <c r="AW38" s="11" t="e">
        <f aca="false">IF(Time!AW29=1,INDEX(Funding!$J$61:$BJ$61,1,Time!$F$13),Time!AW30*(AW36-AW37))</f>
        <v>#VALUE!</v>
      </c>
      <c r="AX38" s="11" t="e">
        <f aca="false">IF(Time!AX29=1,INDEX(Funding!$J$61:$BJ$61,1,Time!$F$13),Time!AX30*(AX36-AX37))</f>
        <v>#VALUE!</v>
      </c>
      <c r="AY38" s="11" t="e">
        <f aca="false">IF(Time!AY29=1,INDEX(Funding!$J$61:$BJ$61,1,Time!$F$13),Time!AY30*(AY36-AY37))</f>
        <v>#VALUE!</v>
      </c>
      <c r="AZ38" s="11" t="e">
        <f aca="false">IF(Time!AZ29=1,INDEX(Funding!$J$61:$BJ$61,1,Time!$F$13),Time!AZ30*(AZ36-AZ37))</f>
        <v>#VALUE!</v>
      </c>
      <c r="BA38" s="11" t="e">
        <f aca="false">IF(Time!BA29=1,INDEX(Funding!$J$61:$BJ$61,1,Time!$F$13),Time!BA30*(BA36-BA37))</f>
        <v>#VALUE!</v>
      </c>
      <c r="BB38" s="11" t="e">
        <f aca="false">IF(Time!BB29=1,INDEX(Funding!$J$61:$BJ$61,1,Time!$F$13),Time!BB30*(BB36-BB37))</f>
        <v>#VALUE!</v>
      </c>
      <c r="BC38" s="11" t="e">
        <f aca="false">IF(Time!BC29=1,INDEX(Funding!$J$61:$BJ$61,1,Time!$F$13),Time!BC30*(BC36-BC37))</f>
        <v>#VALUE!</v>
      </c>
      <c r="BD38" s="11" t="e">
        <f aca="false">IF(Time!BD29=1,INDEX(Funding!$J$61:$BJ$61,1,Time!$F$13),Time!BD30*(BD36-BD37))</f>
        <v>#VALUE!</v>
      </c>
      <c r="BE38" s="11" t="e">
        <f aca="false">IF(Time!BE29=1,INDEX(Funding!$J$61:$BJ$61,1,Time!$F$13),Time!BE30*(BE36-BE37))</f>
        <v>#VALUE!</v>
      </c>
      <c r="BF38" s="11" t="e">
        <f aca="false">IF(Time!BF29=1,INDEX(Funding!$J$61:$BJ$61,1,Time!$F$13),Time!BF30*(BF36-BF37))</f>
        <v>#VALUE!</v>
      </c>
      <c r="BG38" s="11" t="e">
        <f aca="false">IF(Time!BG29=1,INDEX(Funding!$J$61:$BJ$61,1,Time!$F$13),Time!BG30*(BG36-BG37))</f>
        <v>#VALUE!</v>
      </c>
      <c r="BH38" s="11" t="e">
        <f aca="false">IF(Time!BH29=1,INDEX(Funding!$J$61:$BJ$61,1,Time!$F$13),Time!BH30*(BH36-BH37))</f>
        <v>#VALUE!</v>
      </c>
      <c r="BI38" s="11" t="e">
        <f aca="false">IF(Time!BI29=1,INDEX(Funding!$J$61:$BJ$61,1,Time!$F$13),Time!BI30*(BI36-BI37))</f>
        <v>#VALUE!</v>
      </c>
      <c r="BJ38" s="11" t="e">
        <f aca="false">IF(Time!BJ29=1,INDEX(Funding!$J$61:$BJ$61,1,Time!$F$13),Time!BJ30*(BJ36-BJ37))</f>
        <v>#VALUE!</v>
      </c>
      <c r="BK38" s="11" t="e">
        <f aca="false">IF(Time!BK29=1,INDEX(Funding!$J$61:$BJ$61,1,Time!$F$13),Time!BK30*(BK36-BK37))</f>
        <v>#VALUE!</v>
      </c>
      <c r="BL38" s="11" t="e">
        <f aca="false">IF(Time!BL29=1,INDEX(Funding!$J$61:$BJ$61,1,Time!$F$13),Time!BL30*(BL36-BL37))</f>
        <v>#VALUE!</v>
      </c>
      <c r="BM38" s="11" t="e">
        <f aca="false">IF(Time!BM29=1,INDEX(Funding!$J$61:$BJ$61,1,Time!$F$13),Time!BM30*(BM36-BM37))</f>
        <v>#VALUE!</v>
      </c>
      <c r="BN38" s="11" t="e">
        <f aca="false">IF(Time!BN29=1,INDEX(Funding!$J$61:$BJ$61,1,Time!$F$13),Time!BN30*(BN36-BN37))</f>
        <v>#VALUE!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e">
        <f aca="false">Time!K30*J53</f>
        <v>#VALUE!</v>
      </c>
      <c r="L40" s="11" t="e">
        <f aca="false">Time!L30*K53</f>
        <v>#VALUE!</v>
      </c>
      <c r="M40" s="11" t="e">
        <f aca="false">Time!M30*L53</f>
        <v>#VALUE!</v>
      </c>
      <c r="N40" s="11" t="e">
        <f aca="false">Time!N30*M53</f>
        <v>#VALUE!</v>
      </c>
      <c r="O40" s="11" t="e">
        <f aca="false">Time!O30*N53</f>
        <v>#VALUE!</v>
      </c>
      <c r="P40" s="11" t="n">
        <f aca="false">Time!P30*O53</f>
        <v>139.31631461941</v>
      </c>
      <c r="Q40" s="11" t="e">
        <f aca="false">Time!Q30*P53</f>
        <v>#VALUE!</v>
      </c>
      <c r="R40" s="11" t="e">
        <f aca="false">Time!R30*Q53</f>
        <v>#VALUE!</v>
      </c>
      <c r="S40" s="11" t="e">
        <f aca="false">Time!S30*R53</f>
        <v>#VALUE!</v>
      </c>
      <c r="T40" s="11" t="e">
        <f aca="false">Time!T30*S53</f>
        <v>#VALUE!</v>
      </c>
      <c r="U40" s="11" t="e">
        <f aca="false">Time!U30*T53</f>
        <v>#VALUE!</v>
      </c>
      <c r="V40" s="11" t="e">
        <f aca="false">Time!V30*U53</f>
        <v>#VALUE!</v>
      </c>
      <c r="W40" s="11" t="e">
        <f aca="false">Time!W30*V53</f>
        <v>#VALUE!</v>
      </c>
      <c r="X40" s="11" t="e">
        <f aca="false">Time!X30*W53</f>
        <v>#VALUE!</v>
      </c>
      <c r="Y40" s="11" t="e">
        <f aca="false">Time!Y30*X53</f>
        <v>#VALUE!</v>
      </c>
      <c r="Z40" s="11" t="e">
        <f aca="false">Time!Z30*Y53</f>
        <v>#VALUE!</v>
      </c>
      <c r="AA40" s="11" t="e">
        <f aca="false">Time!AA30*Z53</f>
        <v>#VALUE!</v>
      </c>
      <c r="AB40" s="11" t="e">
        <f aca="false">Time!AB30*AA53</f>
        <v>#VALUE!</v>
      </c>
      <c r="AC40" s="11" t="e">
        <f aca="false">Time!AC30*AB53</f>
        <v>#VALUE!</v>
      </c>
      <c r="AD40" s="11" t="e">
        <f aca="false">Time!AD30*AC53</f>
        <v>#VALUE!</v>
      </c>
      <c r="AE40" s="11" t="e">
        <f aca="false">Time!AE30*AD53</f>
        <v>#VALUE!</v>
      </c>
      <c r="AF40" s="11" t="e">
        <f aca="false">Time!AF30*AE53</f>
        <v>#VALUE!</v>
      </c>
      <c r="AG40" s="11" t="e">
        <f aca="false">Time!AG30*AF53</f>
        <v>#VALUE!</v>
      </c>
      <c r="AH40" s="11" t="e">
        <f aca="false">Time!AH30*AG53</f>
        <v>#VALUE!</v>
      </c>
      <c r="AI40" s="11" t="e">
        <f aca="false">Time!AI30*AH53</f>
        <v>#VALUE!</v>
      </c>
      <c r="AJ40" s="11" t="e">
        <f aca="false">Time!AJ30*AI53</f>
        <v>#VALUE!</v>
      </c>
      <c r="AK40" s="11" t="e">
        <f aca="false">Time!AK30*AJ53</f>
        <v>#VALUE!</v>
      </c>
      <c r="AL40" s="11" t="e">
        <f aca="false">Time!AL30*AK53</f>
        <v>#VALUE!</v>
      </c>
      <c r="AM40" s="11" t="e">
        <f aca="false">Time!AM30*AL53</f>
        <v>#VALUE!</v>
      </c>
      <c r="AN40" s="11" t="e">
        <f aca="false">Time!AN30*AM53</f>
        <v>#VALUE!</v>
      </c>
      <c r="AO40" s="11" t="e">
        <f aca="false">Time!AO30*AN53</f>
        <v>#VALUE!</v>
      </c>
      <c r="AP40" s="11" t="e">
        <f aca="false">Time!AP30*AO53</f>
        <v>#VALUE!</v>
      </c>
      <c r="AQ40" s="11" t="e">
        <f aca="false">Time!AQ30*AP53</f>
        <v>#VALUE!</v>
      </c>
      <c r="AR40" s="11" t="e">
        <f aca="false">Time!AR30*AQ53</f>
        <v>#VALUE!</v>
      </c>
      <c r="AS40" s="11" t="e">
        <f aca="false">Time!AS30*AR53</f>
        <v>#VALUE!</v>
      </c>
      <c r="AT40" s="11" t="e">
        <f aca="false">Time!AT30*AS53</f>
        <v>#VALUE!</v>
      </c>
      <c r="AU40" s="11" t="e">
        <f aca="false">Time!AU30*AT53</f>
        <v>#VALUE!</v>
      </c>
      <c r="AV40" s="11" t="e">
        <f aca="false">Time!AV30*AU53</f>
        <v>#VALUE!</v>
      </c>
      <c r="AW40" s="11" t="e">
        <f aca="false">Time!AW30*AV53</f>
        <v>#VALUE!</v>
      </c>
      <c r="AX40" s="11" t="e">
        <f aca="false">Time!AX30*AW53</f>
        <v>#VALUE!</v>
      </c>
      <c r="AY40" s="11" t="e">
        <f aca="false">Time!AY30*AX53</f>
        <v>#VALUE!</v>
      </c>
      <c r="AZ40" s="11" t="e">
        <f aca="false">Time!AZ30*AY53</f>
        <v>#VALUE!</v>
      </c>
      <c r="BA40" s="11" t="e">
        <f aca="false">Time!BA30*AZ53</f>
        <v>#VALUE!</v>
      </c>
      <c r="BB40" s="11" t="e">
        <f aca="false">Time!BB30*BA53</f>
        <v>#VALUE!</v>
      </c>
      <c r="BC40" s="11" t="e">
        <f aca="false">Time!BC30*BB53</f>
        <v>#VALUE!</v>
      </c>
      <c r="BD40" s="11" t="e">
        <f aca="false">Time!BD30*BC53</f>
        <v>#VALUE!</v>
      </c>
      <c r="BE40" s="11" t="e">
        <f aca="false">Time!BE30*BD53</f>
        <v>#VALUE!</v>
      </c>
      <c r="BF40" s="11" t="e">
        <f aca="false">Time!BF30*BE53</f>
        <v>#VALUE!</v>
      </c>
      <c r="BG40" s="11" t="e">
        <f aca="false">Time!BG30*BF53</f>
        <v>#VALUE!</v>
      </c>
      <c r="BH40" s="11" t="e">
        <f aca="false">Time!BH30*BG53</f>
        <v>#VALUE!</v>
      </c>
      <c r="BI40" s="11" t="e">
        <f aca="false">Time!BI30*BH53</f>
        <v>#VALUE!</v>
      </c>
      <c r="BJ40" s="11" t="e">
        <f aca="false">Time!BJ30*BI53</f>
        <v>#VALUE!</v>
      </c>
      <c r="BK40" s="11" t="e">
        <f aca="false">Time!BK30*BJ53</f>
        <v>#VALUE!</v>
      </c>
      <c r="BL40" s="11" t="e">
        <f aca="false">Time!BL30*BK53</f>
        <v>#VALUE!</v>
      </c>
      <c r="BM40" s="11" t="e">
        <f aca="false">Time!BM30*BL53</f>
        <v>#VALUE!</v>
      </c>
      <c r="BN40" s="11" t="e">
        <f aca="false">Time!BN30*BM53</f>
        <v>#VALUE!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e">
        <f aca="false">J50</f>
        <v>#VALUE!</v>
      </c>
      <c r="L41" s="11" t="e">
        <f aca="false">K50</f>
        <v>#VALUE!</v>
      </c>
      <c r="M41" s="11" t="e">
        <f aca="false">L50</f>
        <v>#VALUE!</v>
      </c>
      <c r="N41" s="11" t="e">
        <f aca="false">M50</f>
        <v>#VALUE!</v>
      </c>
      <c r="O41" s="11" t="e">
        <f aca="false">N50</f>
        <v>#VALUE!</v>
      </c>
      <c r="P41" s="11" t="e">
        <f aca="false">O50</f>
        <v>#VALUE!</v>
      </c>
      <c r="Q41" s="11" t="e">
        <f aca="false">P50</f>
        <v>#VALUE!</v>
      </c>
      <c r="R41" s="11" t="e">
        <f aca="false">Q50</f>
        <v>#VALUE!</v>
      </c>
      <c r="S41" s="11" t="e">
        <f aca="false">R50</f>
        <v>#VALUE!</v>
      </c>
      <c r="T41" s="11" t="e">
        <f aca="false">S50</f>
        <v>#VALUE!</v>
      </c>
      <c r="U41" s="11" t="e">
        <f aca="false">T50</f>
        <v>#VALUE!</v>
      </c>
      <c r="V41" s="11" t="e">
        <f aca="false">U50</f>
        <v>#VALUE!</v>
      </c>
      <c r="W41" s="11" t="e">
        <f aca="false">V50</f>
        <v>#VALUE!</v>
      </c>
      <c r="X41" s="11" t="e">
        <f aca="false">W50</f>
        <v>#VALUE!</v>
      </c>
      <c r="Y41" s="11" t="e">
        <f aca="false">X50</f>
        <v>#VALUE!</v>
      </c>
      <c r="Z41" s="11" t="e">
        <f aca="false">Y50</f>
        <v>#VALUE!</v>
      </c>
      <c r="AA41" s="11" t="e">
        <f aca="false">Z50</f>
        <v>#VALUE!</v>
      </c>
      <c r="AB41" s="11" t="e">
        <f aca="false">AA50</f>
        <v>#VALUE!</v>
      </c>
      <c r="AC41" s="11" t="e">
        <f aca="false">AB50</f>
        <v>#VALUE!</v>
      </c>
      <c r="AD41" s="11" t="e">
        <f aca="false">AC50</f>
        <v>#VALUE!</v>
      </c>
      <c r="AE41" s="11" t="e">
        <f aca="false">AD50</f>
        <v>#VALUE!</v>
      </c>
      <c r="AF41" s="11" t="e">
        <f aca="false">AE50</f>
        <v>#VALUE!</v>
      </c>
      <c r="AG41" s="11" t="e">
        <f aca="false">AF50</f>
        <v>#VALUE!</v>
      </c>
      <c r="AH41" s="11" t="e">
        <f aca="false">AG50</f>
        <v>#VALUE!</v>
      </c>
      <c r="AI41" s="11" t="e">
        <f aca="false">AH50</f>
        <v>#VALUE!</v>
      </c>
      <c r="AJ41" s="11" t="e">
        <f aca="false">AI50</f>
        <v>#VALUE!</v>
      </c>
      <c r="AK41" s="11" t="e">
        <f aca="false">AJ50</f>
        <v>#VALUE!</v>
      </c>
      <c r="AL41" s="11" t="e">
        <f aca="false">AK50</f>
        <v>#VALUE!</v>
      </c>
      <c r="AM41" s="11" t="e">
        <f aca="false">AL50</f>
        <v>#VALUE!</v>
      </c>
      <c r="AN41" s="11" t="e">
        <f aca="false">AM50</f>
        <v>#VALUE!</v>
      </c>
      <c r="AO41" s="11" t="e">
        <f aca="false">AN50</f>
        <v>#VALUE!</v>
      </c>
      <c r="AP41" s="11" t="e">
        <f aca="false">AO50</f>
        <v>#VALUE!</v>
      </c>
      <c r="AQ41" s="11" t="e">
        <f aca="false">AP50</f>
        <v>#VALUE!</v>
      </c>
      <c r="AR41" s="11" t="e">
        <f aca="false">AQ50</f>
        <v>#VALUE!</v>
      </c>
      <c r="AS41" s="11" t="e">
        <f aca="false">AR50</f>
        <v>#VALUE!</v>
      </c>
      <c r="AT41" s="11" t="e">
        <f aca="false">AS50</f>
        <v>#VALUE!</v>
      </c>
      <c r="AU41" s="11" t="e">
        <f aca="false">AT50</f>
        <v>#VALUE!</v>
      </c>
      <c r="AV41" s="11" t="e">
        <f aca="false">AU50</f>
        <v>#VALUE!</v>
      </c>
      <c r="AW41" s="11" t="e">
        <f aca="false">AV50</f>
        <v>#VALUE!</v>
      </c>
      <c r="AX41" s="11" t="e">
        <f aca="false">AW50</f>
        <v>#VALUE!</v>
      </c>
      <c r="AY41" s="11" t="e">
        <f aca="false">AX50</f>
        <v>#VALUE!</v>
      </c>
      <c r="AZ41" s="11" t="e">
        <f aca="false">AY50</f>
        <v>#VALUE!</v>
      </c>
      <c r="BA41" s="11" t="e">
        <f aca="false">AZ50</f>
        <v>#VALUE!</v>
      </c>
      <c r="BB41" s="11" t="e">
        <f aca="false">BA50</f>
        <v>#VALUE!</v>
      </c>
      <c r="BC41" s="11" t="e">
        <f aca="false">BB50</f>
        <v>#VALUE!</v>
      </c>
      <c r="BD41" s="11" t="e">
        <f aca="false">BC50</f>
        <v>#VALUE!</v>
      </c>
      <c r="BE41" s="11" t="e">
        <f aca="false">BD50</f>
        <v>#VALUE!</v>
      </c>
      <c r="BF41" s="11" t="e">
        <f aca="false">BE50</f>
        <v>#VALUE!</v>
      </c>
      <c r="BG41" s="11" t="e">
        <f aca="false">BF50</f>
        <v>#VALUE!</v>
      </c>
      <c r="BH41" s="11" t="e">
        <f aca="false">BG50</f>
        <v>#VALUE!</v>
      </c>
      <c r="BI41" s="11" t="e">
        <f aca="false">BH50</f>
        <v>#VALUE!</v>
      </c>
      <c r="BJ41" s="11" t="e">
        <f aca="false">BI50</f>
        <v>#VALUE!</v>
      </c>
      <c r="BK41" s="11" t="e">
        <f aca="false">BJ50</f>
        <v>#VALUE!</v>
      </c>
      <c r="BL41" s="11" t="e">
        <f aca="false">BK50</f>
        <v>#VALUE!</v>
      </c>
      <c r="BM41" s="11" t="e">
        <f aca="false">BL50</f>
        <v>#VALUE!</v>
      </c>
      <c r="BN41" s="11" t="e">
        <f aca="false">BM50</f>
        <v>#VALUE!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e">
        <f aca="false">SUM(J42:BN42)</f>
        <v>#VALUE!</v>
      </c>
      <c r="J42" s="11" t="n">
        <f aca="false">J40*J11</f>
        <v>0</v>
      </c>
      <c r="K42" s="11" t="e">
        <f aca="false">K40*K11</f>
        <v>#VALUE!</v>
      </c>
      <c r="L42" s="11" t="e">
        <f aca="false">L40*L11</f>
        <v>#VALUE!</v>
      </c>
      <c r="M42" s="11" t="e">
        <f aca="false">M40*M11</f>
        <v>#VALUE!</v>
      </c>
      <c r="N42" s="11" t="e">
        <f aca="false">N40*N11</f>
        <v>#VALUE!</v>
      </c>
      <c r="O42" s="11" t="e">
        <f aca="false">O40*O11</f>
        <v>#VALUE!</v>
      </c>
      <c r="P42" s="11" t="n">
        <f aca="false">P40*P11</f>
        <v>4.79929224273355</v>
      </c>
      <c r="Q42" s="11" t="e">
        <f aca="false">Q40*Q11</f>
        <v>#VALUE!</v>
      </c>
      <c r="R42" s="11" t="e">
        <f aca="false">R40*R11</f>
        <v>#VALUE!</v>
      </c>
      <c r="S42" s="11" t="e">
        <f aca="false">S40*S11</f>
        <v>#VALUE!</v>
      </c>
      <c r="T42" s="11" t="e">
        <f aca="false">T40*T11</f>
        <v>#VALUE!</v>
      </c>
      <c r="U42" s="11" t="e">
        <f aca="false">U40*U11</f>
        <v>#VALUE!</v>
      </c>
      <c r="V42" s="11" t="e">
        <f aca="false">V40*V11</f>
        <v>#VALUE!</v>
      </c>
      <c r="W42" s="11" t="e">
        <f aca="false">W40*W11</f>
        <v>#VALUE!</v>
      </c>
      <c r="X42" s="11" t="e">
        <f aca="false">X40*X11</f>
        <v>#VALUE!</v>
      </c>
      <c r="Y42" s="11" t="e">
        <f aca="false">Y40*Y11</f>
        <v>#VALUE!</v>
      </c>
      <c r="Z42" s="11" t="e">
        <f aca="false">Z40*Z11</f>
        <v>#VALUE!</v>
      </c>
      <c r="AA42" s="11" t="e">
        <f aca="false">AA40*AA11</f>
        <v>#VALUE!</v>
      </c>
      <c r="AB42" s="11" t="e">
        <f aca="false">AB40*AB11</f>
        <v>#VALUE!</v>
      </c>
      <c r="AC42" s="11" t="e">
        <f aca="false">AC40*AC11</f>
        <v>#VALUE!</v>
      </c>
      <c r="AD42" s="11" t="e">
        <f aca="false">AD40*AD11</f>
        <v>#VALUE!</v>
      </c>
      <c r="AE42" s="11" t="e">
        <f aca="false">AE40*AE11</f>
        <v>#VALUE!</v>
      </c>
      <c r="AF42" s="11" t="e">
        <f aca="false">AF40*AF11</f>
        <v>#VALUE!</v>
      </c>
      <c r="AG42" s="11" t="e">
        <f aca="false">AG40*AG11</f>
        <v>#VALUE!</v>
      </c>
      <c r="AH42" s="11" t="e">
        <f aca="false">AH40*AH11</f>
        <v>#VALUE!</v>
      </c>
      <c r="AI42" s="11" t="e">
        <f aca="false">AI40*AI11</f>
        <v>#VALUE!</v>
      </c>
      <c r="AJ42" s="11" t="e">
        <f aca="false">AJ40*AJ11</f>
        <v>#VALUE!</v>
      </c>
      <c r="AK42" s="11" t="e">
        <f aca="false">AK40*AK11</f>
        <v>#VALUE!</v>
      </c>
      <c r="AL42" s="11" t="e">
        <f aca="false">AL40*AL11</f>
        <v>#VALUE!</v>
      </c>
      <c r="AM42" s="11" t="e">
        <f aca="false">AM40*AM11</f>
        <v>#VALUE!</v>
      </c>
      <c r="AN42" s="11" t="e">
        <f aca="false">AN40*AN11</f>
        <v>#VALUE!</v>
      </c>
      <c r="AO42" s="11" t="e">
        <f aca="false">AO40*AO11</f>
        <v>#VALUE!</v>
      </c>
      <c r="AP42" s="11" t="e">
        <f aca="false">AP40*AP11</f>
        <v>#VALUE!</v>
      </c>
      <c r="AQ42" s="11" t="e">
        <f aca="false">AQ40*AQ11</f>
        <v>#VALUE!</v>
      </c>
      <c r="AR42" s="11" t="e">
        <f aca="false">AR40*AR11</f>
        <v>#VALUE!</v>
      </c>
      <c r="AS42" s="11" t="e">
        <f aca="false">AS40*AS11</f>
        <v>#VALUE!</v>
      </c>
      <c r="AT42" s="11" t="e">
        <f aca="false">AT40*AT11</f>
        <v>#VALUE!</v>
      </c>
      <c r="AU42" s="11" t="e">
        <f aca="false">AU40*AU11</f>
        <v>#VALUE!</v>
      </c>
      <c r="AV42" s="11" t="e">
        <f aca="false">AV40*AV11</f>
        <v>#VALUE!</v>
      </c>
      <c r="AW42" s="11" t="e">
        <f aca="false">AW40*AW11</f>
        <v>#VALUE!</v>
      </c>
      <c r="AX42" s="11" t="e">
        <f aca="false">AX40*AX11</f>
        <v>#VALUE!</v>
      </c>
      <c r="AY42" s="11" t="e">
        <f aca="false">AY40*AY11</f>
        <v>#VALUE!</v>
      </c>
      <c r="AZ42" s="11" t="e">
        <f aca="false">AZ40*AZ11</f>
        <v>#VALUE!</v>
      </c>
      <c r="BA42" s="11" t="e">
        <f aca="false">BA40*BA11</f>
        <v>#VALUE!</v>
      </c>
      <c r="BB42" s="11" t="e">
        <f aca="false">BB40*BB11</f>
        <v>#VALUE!</v>
      </c>
      <c r="BC42" s="11" t="e">
        <f aca="false">BC40*BC11</f>
        <v>#VALUE!</v>
      </c>
      <c r="BD42" s="11" t="e">
        <f aca="false">BD40*BD11</f>
        <v>#VALUE!</v>
      </c>
      <c r="BE42" s="11" t="e">
        <f aca="false">BE40*BE11</f>
        <v>#VALUE!</v>
      </c>
      <c r="BF42" s="11" t="e">
        <f aca="false">BF40*BF11</f>
        <v>#VALUE!</v>
      </c>
      <c r="BG42" s="11" t="e">
        <f aca="false">BG40*BG11</f>
        <v>#VALUE!</v>
      </c>
      <c r="BH42" s="11" t="e">
        <f aca="false">BH40*BH11</f>
        <v>#VALUE!</v>
      </c>
      <c r="BI42" s="11" t="e">
        <f aca="false">BI40*BI11</f>
        <v>#VALUE!</v>
      </c>
      <c r="BJ42" s="11" t="e">
        <f aca="false">BJ40*BJ11</f>
        <v>#VALUE!</v>
      </c>
      <c r="BK42" s="11" t="e">
        <f aca="false">BK40*BK11</f>
        <v>#VALUE!</v>
      </c>
      <c r="BL42" s="11" t="e">
        <f aca="false">BL40*BL11</f>
        <v>#VALUE!</v>
      </c>
      <c r="BM42" s="11" t="e">
        <f aca="false">BM40*BM11</f>
        <v>#VALUE!</v>
      </c>
      <c r="BN42" s="11" t="e">
        <f aca="false">BN40*BN11</f>
        <v>#VALUE!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e">
        <f aca="false">SUM(J43:BN43)</f>
        <v>#VALUE!</v>
      </c>
      <c r="J43" s="11" t="n">
        <f aca="false">Time!J30*(J40-J41)*J19</f>
        <v>0</v>
      </c>
      <c r="K43" s="11" t="e">
        <f aca="false">Time!K30*(K40-K41)*K19</f>
        <v>#VALUE!</v>
      </c>
      <c r="L43" s="11" t="e">
        <f aca="false">Time!L30*(L40-L41)*L19</f>
        <v>#VALUE!</v>
      </c>
      <c r="M43" s="11" t="e">
        <f aca="false">Time!M30*(M40-M41)*M19</f>
        <v>#VALUE!</v>
      </c>
      <c r="N43" s="11" t="e">
        <f aca="false">Time!N30*(N40-N41)*N19</f>
        <v>#VALUE!</v>
      </c>
      <c r="O43" s="11" t="e">
        <f aca="false">Time!O30*(O40-O41)*O19</f>
        <v>#VALUE!</v>
      </c>
      <c r="P43" s="11" t="e">
        <f aca="false">Time!P30*(P40-P41)*P19</f>
        <v>#VALUE!</v>
      </c>
      <c r="Q43" s="11" t="e">
        <f aca="false">Time!Q30*(Q40-Q41)*Q19</f>
        <v>#VALUE!</v>
      </c>
      <c r="R43" s="11" t="e">
        <f aca="false">Time!R30*(R40-R41)*R19</f>
        <v>#VALUE!</v>
      </c>
      <c r="S43" s="11" t="e">
        <f aca="false">Time!S30*(S40-S41)*S19</f>
        <v>#VALUE!</v>
      </c>
      <c r="T43" s="11" t="e">
        <f aca="false">Time!T30*(T40-T41)*T19</f>
        <v>#VALUE!</v>
      </c>
      <c r="U43" s="11" t="e">
        <f aca="false">Time!U30*(U40-U41)*U19</f>
        <v>#VALUE!</v>
      </c>
      <c r="V43" s="11" t="e">
        <f aca="false">Time!V30*(V40-V41)*V19</f>
        <v>#VALUE!</v>
      </c>
      <c r="W43" s="11" t="e">
        <f aca="false">Time!W30*(W40-W41)*W19</f>
        <v>#VALUE!</v>
      </c>
      <c r="X43" s="11" t="e">
        <f aca="false">Time!X30*(X40-X41)*X19</f>
        <v>#VALUE!</v>
      </c>
      <c r="Y43" s="11" t="e">
        <f aca="false">Time!Y30*(Y40-Y41)*Y19</f>
        <v>#VALUE!</v>
      </c>
      <c r="Z43" s="11" t="e">
        <f aca="false">Time!Z30*(Z40-Z41)*Z19</f>
        <v>#VALUE!</v>
      </c>
      <c r="AA43" s="11" t="e">
        <f aca="false">Time!AA30*(AA40-AA41)*AA19</f>
        <v>#VALUE!</v>
      </c>
      <c r="AB43" s="11" t="e">
        <f aca="false">Time!AB30*(AB40-AB41)*AB19</f>
        <v>#VALUE!</v>
      </c>
      <c r="AC43" s="11" t="e">
        <f aca="false">Time!AC30*(AC40-AC41)*AC19</f>
        <v>#VALUE!</v>
      </c>
      <c r="AD43" s="11" t="e">
        <f aca="false">Time!AD30*(AD40-AD41)*AD19</f>
        <v>#VALUE!</v>
      </c>
      <c r="AE43" s="11" t="e">
        <f aca="false">Time!AE30*(AE40-AE41)*AE19</f>
        <v>#VALUE!</v>
      </c>
      <c r="AF43" s="11" t="e">
        <f aca="false">Time!AF30*(AF40-AF41)*AF19</f>
        <v>#VALUE!</v>
      </c>
      <c r="AG43" s="11" t="e">
        <f aca="false">Time!AG30*(AG40-AG41)*AG19</f>
        <v>#VALUE!</v>
      </c>
      <c r="AH43" s="11" t="e">
        <f aca="false">Time!AH30*(AH40-AH41)*AH19</f>
        <v>#VALUE!</v>
      </c>
      <c r="AI43" s="11" t="e">
        <f aca="false">Time!AI30*(AI40-AI41)*AI19</f>
        <v>#VALUE!</v>
      </c>
      <c r="AJ43" s="11" t="e">
        <f aca="false">Time!AJ30*(AJ40-AJ41)*AJ19</f>
        <v>#VALUE!</v>
      </c>
      <c r="AK43" s="11" t="e">
        <f aca="false">Time!AK30*(AK40-AK41)*AK19</f>
        <v>#VALUE!</v>
      </c>
      <c r="AL43" s="11" t="e">
        <f aca="false">Time!AL30*(AL40-AL41)*AL19</f>
        <v>#VALUE!</v>
      </c>
      <c r="AM43" s="11" t="e">
        <f aca="false">Time!AM30*(AM40-AM41)*AM19</f>
        <v>#VALUE!</v>
      </c>
      <c r="AN43" s="11" t="e">
        <f aca="false">Time!AN30*(AN40-AN41)*AN19</f>
        <v>#VALUE!</v>
      </c>
      <c r="AO43" s="11" t="e">
        <f aca="false">Time!AO30*(AO40-AO41)*AO19</f>
        <v>#VALUE!</v>
      </c>
      <c r="AP43" s="11" t="e">
        <f aca="false">Time!AP30*(AP40-AP41)*AP19</f>
        <v>#VALUE!</v>
      </c>
      <c r="AQ43" s="11" t="e">
        <f aca="false">Time!AQ30*(AQ40-AQ41)*AQ19</f>
        <v>#VALUE!</v>
      </c>
      <c r="AR43" s="11" t="e">
        <f aca="false">Time!AR30*(AR40-AR41)*AR19</f>
        <v>#VALUE!</v>
      </c>
      <c r="AS43" s="11" t="e">
        <f aca="false">Time!AS30*(AS40-AS41)*AS19</f>
        <v>#VALUE!</v>
      </c>
      <c r="AT43" s="11" t="e">
        <f aca="false">Time!AT30*(AT40-AT41)*AT19</f>
        <v>#VALUE!</v>
      </c>
      <c r="AU43" s="11" t="e">
        <f aca="false">Time!AU30*(AU40-AU41)*AU19</f>
        <v>#VALUE!</v>
      </c>
      <c r="AV43" s="11" t="e">
        <f aca="false">Time!AV30*(AV40-AV41)*AV19</f>
        <v>#VALUE!</v>
      </c>
      <c r="AW43" s="11" t="e">
        <f aca="false">Time!AW30*(AW40-AW41)*AW19</f>
        <v>#VALUE!</v>
      </c>
      <c r="AX43" s="11" t="e">
        <f aca="false">Time!AX30*(AX40-AX41)*AX19</f>
        <v>#VALUE!</v>
      </c>
      <c r="AY43" s="11" t="e">
        <f aca="false">Time!AY30*(AY40-AY41)*AY19</f>
        <v>#VALUE!</v>
      </c>
      <c r="AZ43" s="11" t="e">
        <f aca="false">Time!AZ30*(AZ40-AZ41)*AZ19</f>
        <v>#VALUE!</v>
      </c>
      <c r="BA43" s="11" t="e">
        <f aca="false">Time!BA30*(BA40-BA41)*BA19</f>
        <v>#VALUE!</v>
      </c>
      <c r="BB43" s="11" t="e">
        <f aca="false">Time!BB30*(BB40-BB41)*BB19</f>
        <v>#VALUE!</v>
      </c>
      <c r="BC43" s="11" t="e">
        <f aca="false">Time!BC30*(BC40-BC41)*BC19</f>
        <v>#VALUE!</v>
      </c>
      <c r="BD43" s="11" t="e">
        <f aca="false">Time!BD30*(BD40-BD41)*BD19</f>
        <v>#VALUE!</v>
      </c>
      <c r="BE43" s="11" t="e">
        <f aca="false">Time!BE30*(BE40-BE41)*BE19</f>
        <v>#VALUE!</v>
      </c>
      <c r="BF43" s="11" t="e">
        <f aca="false">Time!BF30*(BF40-BF41)*BF19</f>
        <v>#VALUE!</v>
      </c>
      <c r="BG43" s="11" t="e">
        <f aca="false">Time!BG30*(BG40-BG41)*BG19</f>
        <v>#VALUE!</v>
      </c>
      <c r="BH43" s="11" t="e">
        <f aca="false">Time!BH30*(BH40-BH41)*BH19</f>
        <v>#VALUE!</v>
      </c>
      <c r="BI43" s="11" t="e">
        <f aca="false">Time!BI30*(BI40-BI41)*BI19</f>
        <v>#VALUE!</v>
      </c>
      <c r="BJ43" s="11" t="e">
        <f aca="false">Time!BJ30*(BJ40-BJ41)*BJ19</f>
        <v>#VALUE!</v>
      </c>
      <c r="BK43" s="11" t="e">
        <f aca="false">Time!BK30*(BK40-BK41)*BK19</f>
        <v>#VALUE!</v>
      </c>
      <c r="BL43" s="11" t="e">
        <f aca="false">Time!BL30*(BL40-BL41)*BL19</f>
        <v>#VALUE!</v>
      </c>
      <c r="BM43" s="11" t="e">
        <f aca="false">Time!BM30*(BM40-BM41)*BM19</f>
        <v>#VALUE!</v>
      </c>
      <c r="BN43" s="11" t="e">
        <f aca="false">Time!BN30*(BN40-BN41)*BN19</f>
        <v>#VALUE!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e">
        <f aca="false">SUM(J44:BN44)</f>
        <v>#VALUE!</v>
      </c>
      <c r="J44" s="11" t="n">
        <f aca="false">J21*Inputs!$F$191*J43</f>
        <v>0</v>
      </c>
      <c r="K44" s="11" t="e">
        <f aca="false">K21*Inputs!$F$191*K43</f>
        <v>#VALUE!</v>
      </c>
      <c r="L44" s="11" t="e">
        <f aca="false">L21*Inputs!$F$191*L43</f>
        <v>#VALUE!</v>
      </c>
      <c r="M44" s="11" t="e">
        <f aca="false">M21*Inputs!$F$191*M43</f>
        <v>#VALUE!</v>
      </c>
      <c r="N44" s="11" t="e">
        <f aca="false">N21*Inputs!$F$191*N43</f>
        <v>#VALUE!</v>
      </c>
      <c r="O44" s="11" t="e">
        <f aca="false">O21*Inputs!$F$191*O43</f>
        <v>#VALUE!</v>
      </c>
      <c r="P44" s="11" t="e">
        <f aca="false">P21*Inputs!$F$191*P43</f>
        <v>#VALUE!</v>
      </c>
      <c r="Q44" s="11" t="e">
        <f aca="false">Q21*Inputs!$F$191*Q43</f>
        <v>#VALUE!</v>
      </c>
      <c r="R44" s="11" t="e">
        <f aca="false">R21*Inputs!$F$191*R43</f>
        <v>#VALUE!</v>
      </c>
      <c r="S44" s="11" t="e">
        <f aca="false">S21*Inputs!$F$191*S43</f>
        <v>#VALUE!</v>
      </c>
      <c r="T44" s="11" t="e">
        <f aca="false">T21*Inputs!$F$191*T43</f>
        <v>#VALUE!</v>
      </c>
      <c r="U44" s="11" t="e">
        <f aca="false">U21*Inputs!$F$191*U43</f>
        <v>#VALUE!</v>
      </c>
      <c r="V44" s="11" t="e">
        <f aca="false">V21*Inputs!$F$191*V43</f>
        <v>#VALUE!</v>
      </c>
      <c r="W44" s="11" t="e">
        <f aca="false">W21*Inputs!$F$191*W43</f>
        <v>#VALUE!</v>
      </c>
      <c r="X44" s="11" t="e">
        <f aca="false">X21*Inputs!$F$191*X43</f>
        <v>#VALUE!</v>
      </c>
      <c r="Y44" s="11" t="e">
        <f aca="false">Y21*Inputs!$F$191*Y43</f>
        <v>#VALUE!</v>
      </c>
      <c r="Z44" s="11" t="e">
        <f aca="false">Z21*Inputs!$F$191*Z43</f>
        <v>#VALUE!</v>
      </c>
      <c r="AA44" s="11" t="e">
        <f aca="false">AA21*Inputs!$F$191*AA43</f>
        <v>#VALUE!</v>
      </c>
      <c r="AB44" s="11" t="e">
        <f aca="false">AB21*Inputs!$F$191*AB43</f>
        <v>#VALUE!</v>
      </c>
      <c r="AC44" s="11" t="e">
        <f aca="false">AC21*Inputs!$F$191*AC43</f>
        <v>#VALUE!</v>
      </c>
      <c r="AD44" s="11" t="e">
        <f aca="false">AD21*Inputs!$F$191*AD43</f>
        <v>#VALUE!</v>
      </c>
      <c r="AE44" s="11" t="e">
        <f aca="false">AE21*Inputs!$F$191*AE43</f>
        <v>#VALUE!</v>
      </c>
      <c r="AF44" s="11" t="e">
        <f aca="false">AF21*Inputs!$F$191*AF43</f>
        <v>#VALUE!</v>
      </c>
      <c r="AG44" s="11" t="e">
        <f aca="false">AG21*Inputs!$F$191*AG43</f>
        <v>#VALUE!</v>
      </c>
      <c r="AH44" s="11" t="e">
        <f aca="false">AH21*Inputs!$F$191*AH43</f>
        <v>#VALUE!</v>
      </c>
      <c r="AI44" s="11" t="e">
        <f aca="false">AI21*Inputs!$F$191*AI43</f>
        <v>#VALUE!</v>
      </c>
      <c r="AJ44" s="11" t="e">
        <f aca="false">AJ21*Inputs!$F$191*AJ43</f>
        <v>#VALUE!</v>
      </c>
      <c r="AK44" s="11" t="e">
        <f aca="false">AK21*Inputs!$F$191*AK43</f>
        <v>#VALUE!</v>
      </c>
      <c r="AL44" s="11" t="e">
        <f aca="false">AL21*Inputs!$F$191*AL43</f>
        <v>#VALUE!</v>
      </c>
      <c r="AM44" s="11" t="e">
        <f aca="false">AM21*Inputs!$F$191*AM43</f>
        <v>#VALUE!</v>
      </c>
      <c r="AN44" s="11" t="e">
        <f aca="false">AN21*Inputs!$F$191*AN43</f>
        <v>#VALUE!</v>
      </c>
      <c r="AO44" s="11" t="e">
        <f aca="false">AO21*Inputs!$F$191*AO43</f>
        <v>#VALUE!</v>
      </c>
      <c r="AP44" s="11" t="e">
        <f aca="false">AP21*Inputs!$F$191*AP43</f>
        <v>#VALUE!</v>
      </c>
      <c r="AQ44" s="11" t="e">
        <f aca="false">AQ21*Inputs!$F$191*AQ43</f>
        <v>#VALUE!</v>
      </c>
      <c r="AR44" s="11" t="e">
        <f aca="false">AR21*Inputs!$F$191*AR43</f>
        <v>#VALUE!</v>
      </c>
      <c r="AS44" s="11" t="e">
        <f aca="false">AS21*Inputs!$F$191*AS43</f>
        <v>#VALUE!</v>
      </c>
      <c r="AT44" s="11" t="e">
        <f aca="false">AT21*Inputs!$F$191*AT43</f>
        <v>#VALUE!</v>
      </c>
      <c r="AU44" s="11" t="e">
        <f aca="false">AU21*Inputs!$F$191*AU43</f>
        <v>#VALUE!</v>
      </c>
      <c r="AV44" s="11" t="e">
        <f aca="false">AV21*Inputs!$F$191*AV43</f>
        <v>#VALUE!</v>
      </c>
      <c r="AW44" s="11" t="e">
        <f aca="false">AW21*Inputs!$F$191*AW43</f>
        <v>#VALUE!</v>
      </c>
      <c r="AX44" s="11" t="e">
        <f aca="false">AX21*Inputs!$F$191*AX43</f>
        <v>#VALUE!</v>
      </c>
      <c r="AY44" s="11" t="e">
        <f aca="false">AY21*Inputs!$F$191*AY43</f>
        <v>#VALUE!</v>
      </c>
      <c r="AZ44" s="11" t="e">
        <f aca="false">AZ21*Inputs!$F$191*AZ43</f>
        <v>#VALUE!</v>
      </c>
      <c r="BA44" s="11" t="e">
        <f aca="false">BA21*Inputs!$F$191*BA43</f>
        <v>#VALUE!</v>
      </c>
      <c r="BB44" s="11" t="e">
        <f aca="false">BB21*Inputs!$F$191*BB43</f>
        <v>#VALUE!</v>
      </c>
      <c r="BC44" s="11" t="e">
        <f aca="false">BC21*Inputs!$F$191*BC43</f>
        <v>#VALUE!</v>
      </c>
      <c r="BD44" s="11" t="e">
        <f aca="false">BD21*Inputs!$F$191*BD43</f>
        <v>#VALUE!</v>
      </c>
      <c r="BE44" s="11" t="e">
        <f aca="false">BE21*Inputs!$F$191*BE43</f>
        <v>#VALUE!</v>
      </c>
      <c r="BF44" s="11" t="e">
        <f aca="false">BF21*Inputs!$F$191*BF43</f>
        <v>#VALUE!</v>
      </c>
      <c r="BG44" s="11" t="e">
        <f aca="false">BG21*Inputs!$F$191*BG43</f>
        <v>#VALUE!</v>
      </c>
      <c r="BH44" s="11" t="e">
        <f aca="false">BH21*Inputs!$F$191*BH43</f>
        <v>#VALUE!</v>
      </c>
      <c r="BI44" s="11" t="e">
        <f aca="false">BI21*Inputs!$F$191*BI43</f>
        <v>#VALUE!</v>
      </c>
      <c r="BJ44" s="11" t="e">
        <f aca="false">BJ21*Inputs!$F$191*BJ43</f>
        <v>#VALUE!</v>
      </c>
      <c r="BK44" s="11" t="e">
        <f aca="false">BK21*Inputs!$F$191*BK43</f>
        <v>#VALUE!</v>
      </c>
      <c r="BL44" s="11" t="e">
        <f aca="false">BL21*Inputs!$F$191*BL43</f>
        <v>#VALUE!</v>
      </c>
      <c r="BM44" s="11" t="e">
        <f aca="false">BM21*Inputs!$F$191*BM43</f>
        <v>#VALUE!</v>
      </c>
      <c r="BN44" s="11" t="e">
        <f aca="false">BN21*Inputs!$F$191*BN43</f>
        <v>#VALUE!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e">
        <f aca="false">SUM(Debt!$J$44:$BN$44)</f>
        <v>#VALUE!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e">
        <f aca="false">SUM(J46:BN46)</f>
        <v>#VALUE!</v>
      </c>
      <c r="J46" s="11" t="e">
        <f aca="false">J22*MIN($F$45/4,J41)</f>
        <v>#VALUE!</v>
      </c>
      <c r="K46" s="11" t="e">
        <f aca="false">K22*MIN($F$45/4,K41)</f>
        <v>#VALUE!</v>
      </c>
      <c r="L46" s="11" t="e">
        <f aca="false">L22*MIN($F$45/4,L41)</f>
        <v>#VALUE!</v>
      </c>
      <c r="M46" s="11" t="e">
        <f aca="false">M22*MIN($F$45/4,M41)</f>
        <v>#VALUE!</v>
      </c>
      <c r="N46" s="11" t="e">
        <f aca="false">N22*MIN($F$45/4,N41)</f>
        <v>#VALUE!</v>
      </c>
      <c r="O46" s="11" t="e">
        <f aca="false">O22*MIN($F$45/4,O41)</f>
        <v>#VALUE!</v>
      </c>
      <c r="P46" s="11" t="e">
        <f aca="false">P22*MIN($F$45/4,P41)</f>
        <v>#VALUE!</v>
      </c>
      <c r="Q46" s="11" t="e">
        <f aca="false">Q22*MIN($F$45/4,Q41)</f>
        <v>#VALUE!</v>
      </c>
      <c r="R46" s="11" t="e">
        <f aca="false">R22*MIN($F$45/4,R41)</f>
        <v>#VALUE!</v>
      </c>
      <c r="S46" s="11" t="e">
        <f aca="false">S22*MIN($F$45/4,S41)</f>
        <v>#VALUE!</v>
      </c>
      <c r="T46" s="11" t="e">
        <f aca="false">T22*MIN($F$45/4,T41)</f>
        <v>#VALUE!</v>
      </c>
      <c r="U46" s="11" t="e">
        <f aca="false">U22*MIN($F$45/4,U41)</f>
        <v>#VALUE!</v>
      </c>
      <c r="V46" s="11" t="e">
        <f aca="false">V22*MIN($F$45/4,V41)</f>
        <v>#VALUE!</v>
      </c>
      <c r="W46" s="11" t="e">
        <f aca="false">W22*MIN($F$45/4,W41)</f>
        <v>#VALUE!</v>
      </c>
      <c r="X46" s="11" t="e">
        <f aca="false">X22*MIN($F$45/4,X41)</f>
        <v>#VALUE!</v>
      </c>
      <c r="Y46" s="11" t="e">
        <f aca="false">Y22*MIN($F$45/4,Y41)</f>
        <v>#VALUE!</v>
      </c>
      <c r="Z46" s="11" t="e">
        <f aca="false">Z22*MIN($F$45/4,Z41)</f>
        <v>#VALUE!</v>
      </c>
      <c r="AA46" s="11" t="e">
        <f aca="false">AA22*MIN($F$45/4,AA41)</f>
        <v>#VALUE!</v>
      </c>
      <c r="AB46" s="11" t="e">
        <f aca="false">AB22*MIN($F$45/4,AB41)</f>
        <v>#VALUE!</v>
      </c>
      <c r="AC46" s="11" t="e">
        <f aca="false">AC22*MIN($F$45/4,AC41)</f>
        <v>#VALUE!</v>
      </c>
      <c r="AD46" s="11" t="e">
        <f aca="false">AD22*MIN($F$45/4,AD41)</f>
        <v>#VALUE!</v>
      </c>
      <c r="AE46" s="11" t="e">
        <f aca="false">AE22*MIN($F$45/4,AE41)</f>
        <v>#VALUE!</v>
      </c>
      <c r="AF46" s="11" t="e">
        <f aca="false">AF22*MIN($F$45/4,AF41)</f>
        <v>#VALUE!</v>
      </c>
      <c r="AG46" s="11" t="e">
        <f aca="false">AG22*MIN($F$45/4,AG41)</f>
        <v>#VALUE!</v>
      </c>
      <c r="AH46" s="11" t="e">
        <f aca="false">AH22*MIN($F$45/4,AH41)</f>
        <v>#VALUE!</v>
      </c>
      <c r="AI46" s="11" t="e">
        <f aca="false">AI22*MIN($F$45/4,AI41)</f>
        <v>#VALUE!</v>
      </c>
      <c r="AJ46" s="11" t="e">
        <f aca="false">AJ22*MIN($F$45/4,AJ41)</f>
        <v>#VALUE!</v>
      </c>
      <c r="AK46" s="11" t="e">
        <f aca="false">AK22*MIN($F$45/4,AK41)</f>
        <v>#VALUE!</v>
      </c>
      <c r="AL46" s="11" t="e">
        <f aca="false">AL22*MIN($F$45/4,AL41)</f>
        <v>#VALUE!</v>
      </c>
      <c r="AM46" s="11" t="e">
        <f aca="false">AM22*MIN($F$45/4,AM41)</f>
        <v>#VALUE!</v>
      </c>
      <c r="AN46" s="11" t="e">
        <f aca="false">AN22*MIN($F$45/4,AN41)</f>
        <v>#VALUE!</v>
      </c>
      <c r="AO46" s="11" t="e">
        <f aca="false">AO22*MIN($F$45/4,AO41)</f>
        <v>#VALUE!</v>
      </c>
      <c r="AP46" s="11" t="e">
        <f aca="false">AP22*MIN($F$45/4,AP41)</f>
        <v>#VALUE!</v>
      </c>
      <c r="AQ46" s="11" t="e">
        <f aca="false">AQ22*MIN($F$45/4,AQ41)</f>
        <v>#VALUE!</v>
      </c>
      <c r="AR46" s="11" t="e">
        <f aca="false">AR22*MIN($F$45/4,AR41)</f>
        <v>#VALUE!</v>
      </c>
      <c r="AS46" s="11" t="e">
        <f aca="false">AS22*MIN($F$45/4,AS41)</f>
        <v>#VALUE!</v>
      </c>
      <c r="AT46" s="11" t="e">
        <f aca="false">AT22*MIN($F$45/4,AT41)</f>
        <v>#VALUE!</v>
      </c>
      <c r="AU46" s="11" t="e">
        <f aca="false">AU22*MIN($F$45/4,AU41)</f>
        <v>#VALUE!</v>
      </c>
      <c r="AV46" s="11" t="e">
        <f aca="false">AV22*MIN($F$45/4,AV41)</f>
        <v>#VALUE!</v>
      </c>
      <c r="AW46" s="11" t="e">
        <f aca="false">AW22*MIN($F$45/4,AW41)</f>
        <v>#VALUE!</v>
      </c>
      <c r="AX46" s="11" t="e">
        <f aca="false">AX22*MIN($F$45/4,AX41)</f>
        <v>#VALUE!</v>
      </c>
      <c r="AY46" s="11" t="e">
        <f aca="false">AY22*MIN($F$45/4,AY41)</f>
        <v>#VALUE!</v>
      </c>
      <c r="AZ46" s="11" t="e">
        <f aca="false">AZ22*MIN($F$45/4,AZ41)</f>
        <v>#VALUE!</v>
      </c>
      <c r="BA46" s="11" t="e">
        <f aca="false">BA22*MIN($F$45/4,BA41)</f>
        <v>#VALUE!</v>
      </c>
      <c r="BB46" s="11" t="e">
        <f aca="false">BB22*MIN($F$45/4,BB41)</f>
        <v>#VALUE!</v>
      </c>
      <c r="BC46" s="11" t="e">
        <f aca="false">BC22*MIN($F$45/4,BC41)</f>
        <v>#VALUE!</v>
      </c>
      <c r="BD46" s="11" t="e">
        <f aca="false">BD22*MIN($F$45/4,BD41)</f>
        <v>#VALUE!</v>
      </c>
      <c r="BE46" s="11" t="e">
        <f aca="false">BE22*MIN($F$45/4,BE41)</f>
        <v>#VALUE!</v>
      </c>
      <c r="BF46" s="11" t="e">
        <f aca="false">BF22*MIN($F$45/4,BF41)</f>
        <v>#VALUE!</v>
      </c>
      <c r="BG46" s="11" t="e">
        <f aca="false">BG22*MIN($F$45/4,BG41)</f>
        <v>#VALUE!</v>
      </c>
      <c r="BH46" s="11" t="e">
        <f aca="false">BH22*MIN($F$45/4,BH41)</f>
        <v>#VALUE!</v>
      </c>
      <c r="BI46" s="11" t="e">
        <f aca="false">BI22*MIN($F$45/4,BI41)</f>
        <v>#VALUE!</v>
      </c>
      <c r="BJ46" s="11" t="e">
        <f aca="false">BJ22*MIN($F$45/4,BJ41)</f>
        <v>#VALUE!</v>
      </c>
      <c r="BK46" s="11" t="e">
        <f aca="false">BK22*MIN($F$45/4,BK41)</f>
        <v>#VALUE!</v>
      </c>
      <c r="BL46" s="11" t="e">
        <f aca="false">BL22*MIN($F$45/4,BL41)</f>
        <v>#VALUE!</v>
      </c>
      <c r="BM46" s="11" t="e">
        <f aca="false">BM22*MIN($F$45/4,BM41)</f>
        <v>#VALUE!</v>
      </c>
      <c r="BN46" s="11" t="e">
        <f aca="false">BN22*MIN($F$45/4,BN41)</f>
        <v>#VALUE!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e">
        <f aca="false">SUM(J47:BN47)</f>
        <v>#VALUE!</v>
      </c>
      <c r="J47" s="11" t="e">
        <f aca="false">J43-J44+J46</f>
        <v>#VALUE!</v>
      </c>
      <c r="K47" s="11" t="e">
        <f aca="false">K43-K44+K46</f>
        <v>#VALUE!</v>
      </c>
      <c r="L47" s="11" t="e">
        <f aca="false">L43-L44+L46</f>
        <v>#VALUE!</v>
      </c>
      <c r="M47" s="11" t="e">
        <f aca="false">M43-M44+M46</f>
        <v>#VALUE!</v>
      </c>
      <c r="N47" s="11" t="e">
        <f aca="false">N43-N44+N46</f>
        <v>#VALUE!</v>
      </c>
      <c r="O47" s="11" t="e">
        <f aca="false">O43-O44+O46</f>
        <v>#VALUE!</v>
      </c>
      <c r="P47" s="11" t="e">
        <f aca="false">P43-P44+P46</f>
        <v>#VALUE!</v>
      </c>
      <c r="Q47" s="11" t="e">
        <f aca="false">Q43-Q44+Q46</f>
        <v>#VALUE!</v>
      </c>
      <c r="R47" s="11" t="e">
        <f aca="false">R43-R44+R46</f>
        <v>#VALUE!</v>
      </c>
      <c r="S47" s="11" t="e">
        <f aca="false">S43-S44+S46</f>
        <v>#VALUE!</v>
      </c>
      <c r="T47" s="11" t="e">
        <f aca="false">T43-T44+T46</f>
        <v>#VALUE!</v>
      </c>
      <c r="U47" s="11" t="e">
        <f aca="false">U43-U44+U46</f>
        <v>#VALUE!</v>
      </c>
      <c r="V47" s="11" t="e">
        <f aca="false">V43-V44+V46</f>
        <v>#VALUE!</v>
      </c>
      <c r="W47" s="11" t="e">
        <f aca="false">W43-W44+W46</f>
        <v>#VALUE!</v>
      </c>
      <c r="X47" s="11" t="e">
        <f aca="false">X43-X44+X46</f>
        <v>#VALUE!</v>
      </c>
      <c r="Y47" s="11" t="e">
        <f aca="false">Y43-Y44+Y46</f>
        <v>#VALUE!</v>
      </c>
      <c r="Z47" s="11" t="e">
        <f aca="false">Z43-Z44+Z46</f>
        <v>#VALUE!</v>
      </c>
      <c r="AA47" s="11" t="e">
        <f aca="false">AA43-AA44+AA46</f>
        <v>#VALUE!</v>
      </c>
      <c r="AB47" s="11" t="e">
        <f aca="false">AB43-AB44+AB46</f>
        <v>#VALUE!</v>
      </c>
      <c r="AC47" s="11" t="e">
        <f aca="false">AC43-AC44+AC46</f>
        <v>#VALUE!</v>
      </c>
      <c r="AD47" s="11" t="e">
        <f aca="false">AD43-AD44+AD46</f>
        <v>#VALUE!</v>
      </c>
      <c r="AE47" s="11" t="e">
        <f aca="false">AE43-AE44+AE46</f>
        <v>#VALUE!</v>
      </c>
      <c r="AF47" s="11" t="e">
        <f aca="false">AF43-AF44+AF46</f>
        <v>#VALUE!</v>
      </c>
      <c r="AG47" s="11" t="e">
        <f aca="false">AG43-AG44+AG46</f>
        <v>#VALUE!</v>
      </c>
      <c r="AH47" s="11" t="e">
        <f aca="false">AH43-AH44+AH46</f>
        <v>#VALUE!</v>
      </c>
      <c r="AI47" s="11" t="e">
        <f aca="false">AI43-AI44+AI46</f>
        <v>#VALUE!</v>
      </c>
      <c r="AJ47" s="11" t="e">
        <f aca="false">AJ43-AJ44+AJ46</f>
        <v>#VALUE!</v>
      </c>
      <c r="AK47" s="11" t="e">
        <f aca="false">AK43-AK44+AK46</f>
        <v>#VALUE!</v>
      </c>
      <c r="AL47" s="11" t="e">
        <f aca="false">AL43-AL44+AL46</f>
        <v>#VALUE!</v>
      </c>
      <c r="AM47" s="11" t="e">
        <f aca="false">AM43-AM44+AM46</f>
        <v>#VALUE!</v>
      </c>
      <c r="AN47" s="11" t="e">
        <f aca="false">AN43-AN44+AN46</f>
        <v>#VALUE!</v>
      </c>
      <c r="AO47" s="11" t="e">
        <f aca="false">AO43-AO44+AO46</f>
        <v>#VALUE!</v>
      </c>
      <c r="AP47" s="11" t="e">
        <f aca="false">AP43-AP44+AP46</f>
        <v>#VALUE!</v>
      </c>
      <c r="AQ47" s="11" t="e">
        <f aca="false">AQ43-AQ44+AQ46</f>
        <v>#VALUE!</v>
      </c>
      <c r="AR47" s="11" t="e">
        <f aca="false">AR43-AR44+AR46</f>
        <v>#VALUE!</v>
      </c>
      <c r="AS47" s="11" t="e">
        <f aca="false">AS43-AS44+AS46</f>
        <v>#VALUE!</v>
      </c>
      <c r="AT47" s="11" t="e">
        <f aca="false">AT43-AT44+AT46</f>
        <v>#VALUE!</v>
      </c>
      <c r="AU47" s="11" t="e">
        <f aca="false">AU43-AU44+AU46</f>
        <v>#VALUE!</v>
      </c>
      <c r="AV47" s="11" t="e">
        <f aca="false">AV43-AV44+AV46</f>
        <v>#VALUE!</v>
      </c>
      <c r="AW47" s="11" t="e">
        <f aca="false">AW43-AW44+AW46</f>
        <v>#VALUE!</v>
      </c>
      <c r="AX47" s="11" t="e">
        <f aca="false">AX43-AX44+AX46</f>
        <v>#VALUE!</v>
      </c>
      <c r="AY47" s="11" t="e">
        <f aca="false">AY43-AY44+AY46</f>
        <v>#VALUE!</v>
      </c>
      <c r="AZ47" s="11" t="e">
        <f aca="false">AZ43-AZ44+AZ46</f>
        <v>#VALUE!</v>
      </c>
      <c r="BA47" s="11" t="e">
        <f aca="false">BA43-BA44+BA46</f>
        <v>#VALUE!</v>
      </c>
      <c r="BB47" s="11" t="e">
        <f aca="false">BB43-BB44+BB46</f>
        <v>#VALUE!</v>
      </c>
      <c r="BC47" s="11" t="e">
        <f aca="false">BC43-BC44+BC46</f>
        <v>#VALUE!</v>
      </c>
      <c r="BD47" s="11" t="e">
        <f aca="false">BD43-BD44+BD46</f>
        <v>#VALUE!</v>
      </c>
      <c r="BE47" s="11" t="e">
        <f aca="false">BE43-BE44+BE46</f>
        <v>#VALUE!</v>
      </c>
      <c r="BF47" s="11" t="e">
        <f aca="false">BF43-BF44+BF46</f>
        <v>#VALUE!</v>
      </c>
      <c r="BG47" s="11" t="e">
        <f aca="false">BG43-BG44+BG46</f>
        <v>#VALUE!</v>
      </c>
      <c r="BH47" s="11" t="e">
        <f aca="false">BH43-BH44+BH46</f>
        <v>#VALUE!</v>
      </c>
      <c r="BI47" s="11" t="e">
        <f aca="false">BI43-BI44+BI46</f>
        <v>#VALUE!</v>
      </c>
      <c r="BJ47" s="11" t="e">
        <f aca="false">BJ43-BJ44+BJ46</f>
        <v>#VALUE!</v>
      </c>
      <c r="BK47" s="11" t="e">
        <f aca="false">BK43-BK44+BK46</f>
        <v>#VALUE!</v>
      </c>
      <c r="BL47" s="11" t="e">
        <f aca="false">BL43-BL44+BL46</f>
        <v>#VALUE!</v>
      </c>
      <c r="BM47" s="11" t="e">
        <f aca="false">BM43-BM44+BM46</f>
        <v>#VALUE!</v>
      </c>
      <c r="BN47" s="11" t="e">
        <f aca="false">BN43-BN44+BN46</f>
        <v>#VALUE!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e">
        <f aca="false">SUM(J48:BN48)</f>
        <v>#VALUE!</v>
      </c>
      <c r="J48" s="11" t="e">
        <f aca="false">J23*Inputs!$F$188*(J40-J47)/(J25-J32+J40-J47+J55-J62+J70-J77+J85-J92+0.000000001)</f>
        <v>#VALUE!</v>
      </c>
      <c r="K48" s="11" t="e">
        <f aca="false">K23*Inputs!$F$188*(K40-K47)/(K25-K32+K40-K47+K55-K62+K70-K77+K85-K92+0.000000001)</f>
        <v>#VALUE!</v>
      </c>
      <c r="L48" s="11" t="e">
        <f aca="false">L23*Inputs!$F$188*(L40-L47)/(L25-L32+L40-L47+L55-L62+L70-L77+L85-L92+0.000000001)</f>
        <v>#VALUE!</v>
      </c>
      <c r="M48" s="11" t="e">
        <f aca="false">M23*Inputs!$F$188*(M40-M47)/(M25-M32+M40-M47+M55-M62+M70-M77+M85-M92+0.000000001)</f>
        <v>#VALUE!</v>
      </c>
      <c r="N48" s="11" t="e">
        <f aca="false">N23*Inputs!$F$188*(N40-N47)/(N25-N32+N40-N47+N55-N62+N70-N77+N85-N92+0.000000001)</f>
        <v>#VALUE!</v>
      </c>
      <c r="O48" s="11" t="e">
        <f aca="false">O23*Inputs!$F$188*(O40-O47)/(O25-O32+O40-O47+O55-O62+O70-O77+O85-O92+0.000000001)</f>
        <v>#VALUE!</v>
      </c>
      <c r="P48" s="11" t="e">
        <f aca="false">P23*Inputs!$F$188*(P40-P47)/(P25-P32+P40-P47+P55-P62+P70-P77+P85-P92+0.000000001)</f>
        <v>#VALUE!</v>
      </c>
      <c r="Q48" s="11" t="e">
        <f aca="false">Q23*Inputs!$F$188*(Q40-Q47)/(Q25-Q32+Q40-Q47+Q55-Q62+Q70-Q77+Q85-Q92+0.000000001)</f>
        <v>#VALUE!</v>
      </c>
      <c r="R48" s="11" t="e">
        <f aca="false">R23*Inputs!$F$188*(R40-R47)/(R25-R32+R40-R47+R55-R62+R70-R77+R85-R92+0.000000001)</f>
        <v>#VALUE!</v>
      </c>
      <c r="S48" s="11" t="e">
        <f aca="false">S23*Inputs!$F$188*(S40-S47)/(S25-S32+S40-S47+S55-S62+S70-S77+S85-S92+0.000000001)</f>
        <v>#VALUE!</v>
      </c>
      <c r="T48" s="11" t="e">
        <f aca="false">T23*Inputs!$F$188*(T40-T47)/(T25-T32+T40-T47+T55-T62+T70-T77+T85-T92+0.000000001)</f>
        <v>#VALUE!</v>
      </c>
      <c r="U48" s="11" t="e">
        <f aca="false">U23*Inputs!$F$188*(U40-U47)/(U25-U32+U40-U47+U55-U62+U70-U77+U85-U92+0.000000001)</f>
        <v>#VALUE!</v>
      </c>
      <c r="V48" s="11" t="e">
        <f aca="false">V23*Inputs!$F$188*(V40-V47)/(V25-V32+V40-V47+V55-V62+V70-V77+V85-V92+0.000000001)</f>
        <v>#VALUE!</v>
      </c>
      <c r="W48" s="11" t="e">
        <f aca="false">W23*Inputs!$F$188*(W40-W47)/(W25-W32+W40-W47+W55-W62+W70-W77+W85-W92+0.000000001)</f>
        <v>#VALUE!</v>
      </c>
      <c r="X48" s="11" t="e">
        <f aca="false">X23*Inputs!$F$188*(X40-X47)/(X25-X32+X40-X47+X55-X62+X70-X77+X85-X92+0.000000001)</f>
        <v>#VALUE!</v>
      </c>
      <c r="Y48" s="11" t="e">
        <f aca="false">Y23*Inputs!$F$188*(Y40-Y47)/(Y25-Y32+Y40-Y47+Y55-Y62+Y70-Y77+Y85-Y92+0.000000001)</f>
        <v>#VALUE!</v>
      </c>
      <c r="Z48" s="11" t="e">
        <f aca="false">Z23*Inputs!$F$188*(Z40-Z47)/(Z25-Z32+Z40-Z47+Z55-Z62+Z70-Z77+Z85-Z92+0.000000001)</f>
        <v>#VALUE!</v>
      </c>
      <c r="AA48" s="11" t="e">
        <f aca="false">AA23*Inputs!$F$188*(AA40-AA47)/(AA25-AA32+AA40-AA47+AA55-AA62+AA70-AA77+AA85-AA92+0.000000001)</f>
        <v>#VALUE!</v>
      </c>
      <c r="AB48" s="11" t="e">
        <f aca="false">AB23*Inputs!$F$188*(AB40-AB47)/(AB25-AB32+AB40-AB47+AB55-AB62+AB70-AB77+AB85-AB92+0.000000001)</f>
        <v>#VALUE!</v>
      </c>
      <c r="AC48" s="11" t="e">
        <f aca="false">AC23*Inputs!$F$188*(AC40-AC47)/(AC25-AC32+AC40-AC47+AC55-AC62+AC70-AC77+AC85-AC92+0.000000001)</f>
        <v>#VALUE!</v>
      </c>
      <c r="AD48" s="11" t="e">
        <f aca="false">AD23*Inputs!$F$188*(AD40-AD47)/(AD25-AD32+AD40-AD47+AD55-AD62+AD70-AD77+AD85-AD92+0.000000001)</f>
        <v>#VALUE!</v>
      </c>
      <c r="AE48" s="11" t="e">
        <f aca="false">AE23*Inputs!$F$188*(AE40-AE47)/(AE25-AE32+AE40-AE47+AE55-AE62+AE70-AE77+AE85-AE92+0.000000001)</f>
        <v>#VALUE!</v>
      </c>
      <c r="AF48" s="11" t="e">
        <f aca="false">AF23*Inputs!$F$188*(AF40-AF47)/(AF25-AF32+AF40-AF47+AF55-AF62+AF70-AF77+AF85-AF92+0.000000001)</f>
        <v>#VALUE!</v>
      </c>
      <c r="AG48" s="11" t="e">
        <f aca="false">AG23*Inputs!$F$188*(AG40-AG47)/(AG25-AG32+AG40-AG47+AG55-AG62+AG70-AG77+AG85-AG92+0.000000001)</f>
        <v>#VALUE!</v>
      </c>
      <c r="AH48" s="11" t="e">
        <f aca="false">AH23*Inputs!$F$188*(AH40-AH47)/(AH25-AH32+AH40-AH47+AH55-AH62+AH70-AH77+AH85-AH92+0.000000001)</f>
        <v>#VALUE!</v>
      </c>
      <c r="AI48" s="11" t="e">
        <f aca="false">AI23*Inputs!$F$188*(AI40-AI47)/(AI25-AI32+AI40-AI47+AI55-AI62+AI70-AI77+AI85-AI92+0.000000001)</f>
        <v>#VALUE!</v>
      </c>
      <c r="AJ48" s="11" t="e">
        <f aca="false">AJ23*Inputs!$F$188*(AJ40-AJ47)/(AJ25-AJ32+AJ40-AJ47+AJ55-AJ62+AJ70-AJ77+AJ85-AJ92+0.000000001)</f>
        <v>#VALUE!</v>
      </c>
      <c r="AK48" s="11" t="e">
        <f aca="false">AK23*Inputs!$F$188*(AK40-AK47)/(AK25-AK32+AK40-AK47+AK55-AK62+AK70-AK77+AK85-AK92+0.000000001)</f>
        <v>#VALUE!</v>
      </c>
      <c r="AL48" s="11" t="e">
        <f aca="false">AL23*Inputs!$F$188*(AL40-AL47)/(AL25-AL32+AL40-AL47+AL55-AL62+AL70-AL77+AL85-AL92+0.000000001)</f>
        <v>#VALUE!</v>
      </c>
      <c r="AM48" s="11" t="e">
        <f aca="false">AM23*Inputs!$F$188*(AM40-AM47)/(AM25-AM32+AM40-AM47+AM55-AM62+AM70-AM77+AM85-AM92+0.000000001)</f>
        <v>#VALUE!</v>
      </c>
      <c r="AN48" s="11" t="e">
        <f aca="false">AN23*Inputs!$F$188*(AN40-AN47)/(AN25-AN32+AN40-AN47+AN55-AN62+AN70-AN77+AN85-AN92+0.000000001)</f>
        <v>#VALUE!</v>
      </c>
      <c r="AO48" s="11" t="e">
        <f aca="false">AO23*Inputs!$F$188*(AO40-AO47)/(AO25-AO32+AO40-AO47+AO55-AO62+AO70-AO77+AO85-AO92+0.000000001)</f>
        <v>#VALUE!</v>
      </c>
      <c r="AP48" s="11" t="e">
        <f aca="false">AP23*Inputs!$F$188*(AP40-AP47)/(AP25-AP32+AP40-AP47+AP55-AP62+AP70-AP77+AP85-AP92+0.000000001)</f>
        <v>#VALUE!</v>
      </c>
      <c r="AQ48" s="11" t="e">
        <f aca="false">AQ23*Inputs!$F$188*(AQ40-AQ47)/(AQ25-AQ32+AQ40-AQ47+AQ55-AQ62+AQ70-AQ77+AQ85-AQ92+0.000000001)</f>
        <v>#VALUE!</v>
      </c>
      <c r="AR48" s="11" t="e">
        <f aca="false">AR23*Inputs!$F$188*(AR40-AR47)/(AR25-AR32+AR40-AR47+AR55-AR62+AR70-AR77+AR85-AR92+0.000000001)</f>
        <v>#VALUE!</v>
      </c>
      <c r="AS48" s="11" t="e">
        <f aca="false">AS23*Inputs!$F$188*(AS40-AS47)/(AS25-AS32+AS40-AS47+AS55-AS62+AS70-AS77+AS85-AS92+0.000000001)</f>
        <v>#VALUE!</v>
      </c>
      <c r="AT48" s="11" t="e">
        <f aca="false">AT23*Inputs!$F$188*(AT40-AT47)/(AT25-AT32+AT40-AT47+AT55-AT62+AT70-AT77+AT85-AT92+0.000000001)</f>
        <v>#VALUE!</v>
      </c>
      <c r="AU48" s="11" t="e">
        <f aca="false">AU23*Inputs!$F$188*(AU40-AU47)/(AU25-AU32+AU40-AU47+AU55-AU62+AU70-AU77+AU85-AU92+0.000000001)</f>
        <v>#VALUE!</v>
      </c>
      <c r="AV48" s="11" t="e">
        <f aca="false">AV23*Inputs!$F$188*(AV40-AV47)/(AV25-AV32+AV40-AV47+AV55-AV62+AV70-AV77+AV85-AV92+0.000000001)</f>
        <v>#VALUE!</v>
      </c>
      <c r="AW48" s="11" t="e">
        <f aca="false">AW23*Inputs!$F$188*(AW40-AW47)/(AW25-AW32+AW40-AW47+AW55-AW62+AW70-AW77+AW85-AW92+0.000000001)</f>
        <v>#VALUE!</v>
      </c>
      <c r="AX48" s="11" t="e">
        <f aca="false">AX23*Inputs!$F$188*(AX40-AX47)/(AX25-AX32+AX40-AX47+AX55-AX62+AX70-AX77+AX85-AX92+0.000000001)</f>
        <v>#VALUE!</v>
      </c>
      <c r="AY48" s="11" t="e">
        <f aca="false">AY23*Inputs!$F$188*(AY40-AY47)/(AY25-AY32+AY40-AY47+AY55-AY62+AY70-AY77+AY85-AY92+0.000000001)</f>
        <v>#VALUE!</v>
      </c>
      <c r="AZ48" s="11" t="e">
        <f aca="false">AZ23*Inputs!$F$188*(AZ40-AZ47)/(AZ25-AZ32+AZ40-AZ47+AZ55-AZ62+AZ70-AZ77+AZ85-AZ92+0.000000001)</f>
        <v>#VALUE!</v>
      </c>
      <c r="BA48" s="11" t="e">
        <f aca="false">BA23*Inputs!$F$188*(BA40-BA47)/(BA25-BA32+BA40-BA47+BA55-BA62+BA70-BA77+BA85-BA92+0.000000001)</f>
        <v>#VALUE!</v>
      </c>
      <c r="BB48" s="11" t="e">
        <f aca="false">BB23*Inputs!$F$188*(BB40-BB47)/(BB25-BB32+BB40-BB47+BB55-BB62+BB70-BB77+BB85-BB92+0.000000001)</f>
        <v>#VALUE!</v>
      </c>
      <c r="BC48" s="11" t="e">
        <f aca="false">BC23*Inputs!$F$188*(BC40-BC47)/(BC25-BC32+BC40-BC47+BC55-BC62+BC70-BC77+BC85-BC92+0.000000001)</f>
        <v>#VALUE!</v>
      </c>
      <c r="BD48" s="11" t="e">
        <f aca="false">BD23*Inputs!$F$188*(BD40-BD47)/(BD25-BD32+BD40-BD47+BD55-BD62+BD70-BD77+BD85-BD92+0.000000001)</f>
        <v>#VALUE!</v>
      </c>
      <c r="BE48" s="11" t="e">
        <f aca="false">BE23*Inputs!$F$188*(BE40-BE47)/(BE25-BE32+BE40-BE47+BE55-BE62+BE70-BE77+BE85-BE92+0.000000001)</f>
        <v>#VALUE!</v>
      </c>
      <c r="BF48" s="11" t="e">
        <f aca="false">BF23*Inputs!$F$188*(BF40-BF47)/(BF25-BF32+BF40-BF47+BF55-BF62+BF70-BF77+BF85-BF92+0.000000001)</f>
        <v>#VALUE!</v>
      </c>
      <c r="BG48" s="11" t="e">
        <f aca="false">BG23*Inputs!$F$188*(BG40-BG47)/(BG25-BG32+BG40-BG47+BG55-BG62+BG70-BG77+BG85-BG92+0.000000001)</f>
        <v>#VALUE!</v>
      </c>
      <c r="BH48" s="11" t="e">
        <f aca="false">BH23*Inputs!$F$188*(BH40-BH47)/(BH25-BH32+BH40-BH47+BH55-BH62+BH70-BH77+BH85-BH92+0.000000001)</f>
        <v>#VALUE!</v>
      </c>
      <c r="BI48" s="11" t="e">
        <f aca="false">BI23*Inputs!$F$188*(BI40-BI47)/(BI25-BI32+BI40-BI47+BI55-BI62+BI70-BI77+BI85-BI92+0.000000001)</f>
        <v>#VALUE!</v>
      </c>
      <c r="BJ48" s="11" t="e">
        <f aca="false">BJ23*Inputs!$F$188*(BJ40-BJ47)/(BJ25-BJ32+BJ40-BJ47+BJ55-BJ62+BJ70-BJ77+BJ85-BJ92+0.000000001)</f>
        <v>#VALUE!</v>
      </c>
      <c r="BK48" s="11" t="e">
        <f aca="false">BK23*Inputs!$F$188*(BK40-BK47)/(BK25-BK32+BK40-BK47+BK55-BK62+BK70-BK77+BK85-BK92+0.000000001)</f>
        <v>#VALUE!</v>
      </c>
      <c r="BL48" s="11" t="e">
        <f aca="false">BL23*Inputs!$F$188*(BL40-BL47)/(BL25-BL32+BL40-BL47+BL55-BL62+BL70-BL77+BL85-BL92+0.000000001)</f>
        <v>#VALUE!</v>
      </c>
      <c r="BM48" s="11" t="e">
        <f aca="false">BM23*Inputs!$F$188*(BM40-BM47)/(BM25-BM32+BM40-BM47+BM55-BM62+BM70-BM77+BM85-BM92+0.000000001)</f>
        <v>#VALUE!</v>
      </c>
      <c r="BN48" s="11" t="e">
        <f aca="false">BN23*Inputs!$F$188*(BN40-BN47)/(BN25-BN32+BN40-BN47+BN55-BN62+BN70-BN77+BN85-BN92+0.000000001)</f>
        <v>#VALUE!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e">
        <f aca="false">J41+J44-J46</f>
        <v>#VALUE!</v>
      </c>
      <c r="K50" s="11" t="e">
        <f aca="false">K41+K44-K46</f>
        <v>#VALUE!</v>
      </c>
      <c r="L50" s="11" t="e">
        <f aca="false">L41+L44-L46</f>
        <v>#VALUE!</v>
      </c>
      <c r="M50" s="11" t="e">
        <f aca="false">M41+M44-M46</f>
        <v>#VALUE!</v>
      </c>
      <c r="N50" s="11" t="e">
        <f aca="false">N41+N44-N46</f>
        <v>#VALUE!</v>
      </c>
      <c r="O50" s="11" t="e">
        <f aca="false">O41+O44-O46</f>
        <v>#VALUE!</v>
      </c>
      <c r="P50" s="11" t="e">
        <f aca="false">P41+P44-P46</f>
        <v>#VALUE!</v>
      </c>
      <c r="Q50" s="11" t="e">
        <f aca="false">Q41+Q44-Q46</f>
        <v>#VALUE!</v>
      </c>
      <c r="R50" s="11" t="e">
        <f aca="false">R41+R44-R46</f>
        <v>#VALUE!</v>
      </c>
      <c r="S50" s="11" t="e">
        <f aca="false">S41+S44-S46</f>
        <v>#VALUE!</v>
      </c>
      <c r="T50" s="11" t="e">
        <f aca="false">T41+T44-T46</f>
        <v>#VALUE!</v>
      </c>
      <c r="U50" s="11" t="e">
        <f aca="false">U41+U44-U46</f>
        <v>#VALUE!</v>
      </c>
      <c r="V50" s="11" t="e">
        <f aca="false">V41+V44-V46</f>
        <v>#VALUE!</v>
      </c>
      <c r="W50" s="11" t="e">
        <f aca="false">W41+W44-W46</f>
        <v>#VALUE!</v>
      </c>
      <c r="X50" s="11" t="e">
        <f aca="false">X41+X44-X46</f>
        <v>#VALUE!</v>
      </c>
      <c r="Y50" s="11" t="e">
        <f aca="false">Y41+Y44-Y46</f>
        <v>#VALUE!</v>
      </c>
      <c r="Z50" s="11" t="e">
        <f aca="false">Z41+Z44-Z46</f>
        <v>#VALUE!</v>
      </c>
      <c r="AA50" s="11" t="e">
        <f aca="false">AA41+AA44-AA46</f>
        <v>#VALUE!</v>
      </c>
      <c r="AB50" s="11" t="e">
        <f aca="false">AB41+AB44-AB46</f>
        <v>#VALUE!</v>
      </c>
      <c r="AC50" s="11" t="e">
        <f aca="false">AC41+AC44-AC46</f>
        <v>#VALUE!</v>
      </c>
      <c r="AD50" s="11" t="e">
        <f aca="false">AD41+AD44-AD46</f>
        <v>#VALUE!</v>
      </c>
      <c r="AE50" s="11" t="e">
        <f aca="false">AE41+AE44-AE46</f>
        <v>#VALUE!</v>
      </c>
      <c r="AF50" s="11" t="e">
        <f aca="false">AF41+AF44-AF46</f>
        <v>#VALUE!</v>
      </c>
      <c r="AG50" s="11" t="e">
        <f aca="false">AG41+AG44-AG46</f>
        <v>#VALUE!</v>
      </c>
      <c r="AH50" s="11" t="e">
        <f aca="false">AH41+AH44-AH46</f>
        <v>#VALUE!</v>
      </c>
      <c r="AI50" s="11" t="e">
        <f aca="false">AI41+AI44-AI46</f>
        <v>#VALUE!</v>
      </c>
      <c r="AJ50" s="11" t="e">
        <f aca="false">AJ41+AJ44-AJ46</f>
        <v>#VALUE!</v>
      </c>
      <c r="AK50" s="11" t="e">
        <f aca="false">AK41+AK44-AK46</f>
        <v>#VALUE!</v>
      </c>
      <c r="AL50" s="11" t="e">
        <f aca="false">AL41+AL44-AL46</f>
        <v>#VALUE!</v>
      </c>
      <c r="AM50" s="11" t="e">
        <f aca="false">AM41+AM44-AM46</f>
        <v>#VALUE!</v>
      </c>
      <c r="AN50" s="11" t="e">
        <f aca="false">AN41+AN44-AN46</f>
        <v>#VALUE!</v>
      </c>
      <c r="AO50" s="11" t="e">
        <f aca="false">AO41+AO44-AO46</f>
        <v>#VALUE!</v>
      </c>
      <c r="AP50" s="11" t="e">
        <f aca="false">AP41+AP44-AP46</f>
        <v>#VALUE!</v>
      </c>
      <c r="AQ50" s="11" t="e">
        <f aca="false">AQ41+AQ44-AQ46</f>
        <v>#VALUE!</v>
      </c>
      <c r="AR50" s="11" t="e">
        <f aca="false">AR41+AR44-AR46</f>
        <v>#VALUE!</v>
      </c>
      <c r="AS50" s="11" t="e">
        <f aca="false">AS41+AS44-AS46</f>
        <v>#VALUE!</v>
      </c>
      <c r="AT50" s="11" t="e">
        <f aca="false">AT41+AT44-AT46</f>
        <v>#VALUE!</v>
      </c>
      <c r="AU50" s="11" t="e">
        <f aca="false">AU41+AU44-AU46</f>
        <v>#VALUE!</v>
      </c>
      <c r="AV50" s="11" t="e">
        <f aca="false">AV41+AV44-AV46</f>
        <v>#VALUE!</v>
      </c>
      <c r="AW50" s="11" t="e">
        <f aca="false">AW41+AW44-AW46</f>
        <v>#VALUE!</v>
      </c>
      <c r="AX50" s="11" t="e">
        <f aca="false">AX41+AX44-AX46</f>
        <v>#VALUE!</v>
      </c>
      <c r="AY50" s="11" t="e">
        <f aca="false">AY41+AY44-AY46</f>
        <v>#VALUE!</v>
      </c>
      <c r="AZ50" s="11" t="e">
        <f aca="false">AZ41+AZ44-AZ46</f>
        <v>#VALUE!</v>
      </c>
      <c r="BA50" s="11" t="e">
        <f aca="false">BA41+BA44-BA46</f>
        <v>#VALUE!</v>
      </c>
      <c r="BB50" s="11" t="e">
        <f aca="false">BB41+BB44-BB46</f>
        <v>#VALUE!</v>
      </c>
      <c r="BC50" s="11" t="e">
        <f aca="false">BC41+BC44-BC46</f>
        <v>#VALUE!</v>
      </c>
      <c r="BD50" s="11" t="e">
        <f aca="false">BD41+BD44-BD46</f>
        <v>#VALUE!</v>
      </c>
      <c r="BE50" s="11" t="e">
        <f aca="false">BE41+BE44-BE46</f>
        <v>#VALUE!</v>
      </c>
      <c r="BF50" s="11" t="e">
        <f aca="false">BF41+BF44-BF46</f>
        <v>#VALUE!</v>
      </c>
      <c r="BG50" s="11" t="e">
        <f aca="false">BG41+BG44-BG46</f>
        <v>#VALUE!</v>
      </c>
      <c r="BH50" s="11" t="e">
        <f aca="false">BH41+BH44-BH46</f>
        <v>#VALUE!</v>
      </c>
      <c r="BI50" s="11" t="e">
        <f aca="false">BI41+BI44-BI46</f>
        <v>#VALUE!</v>
      </c>
      <c r="BJ50" s="11" t="e">
        <f aca="false">BJ41+BJ44-BJ46</f>
        <v>#VALUE!</v>
      </c>
      <c r="BK50" s="11" t="e">
        <f aca="false">BK41+BK44-BK46</f>
        <v>#VALUE!</v>
      </c>
      <c r="BL50" s="11" t="e">
        <f aca="false">BL41+BL44-BL46</f>
        <v>#VALUE!</v>
      </c>
      <c r="BM50" s="11" t="e">
        <f aca="false">BM41+BM44-BM46</f>
        <v>#VALUE!</v>
      </c>
      <c r="BN50" s="11" t="e">
        <f aca="false">BN41+BN44-BN46</f>
        <v>#VALUE!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e">
        <f aca="false">J40-J47-J48-J49</f>
        <v>#VALUE!</v>
      </c>
      <c r="K51" s="11" t="e">
        <f aca="false">K40-K47-K48-K49</f>
        <v>#VALUE!</v>
      </c>
      <c r="L51" s="11" t="e">
        <f aca="false">L40-L47-L48-L49</f>
        <v>#VALUE!</v>
      </c>
      <c r="M51" s="11" t="e">
        <f aca="false">M40-M47-M48-M49</f>
        <v>#VALUE!</v>
      </c>
      <c r="N51" s="11" t="e">
        <f aca="false">N40-N47-N48-N49</f>
        <v>#VALUE!</v>
      </c>
      <c r="O51" s="11" t="e">
        <f aca="false">O40-O47-O48-O49</f>
        <v>#VALUE!</v>
      </c>
      <c r="P51" s="11" t="e">
        <f aca="false">P40-P47-P48-P49</f>
        <v>#VALUE!</v>
      </c>
      <c r="Q51" s="11" t="e">
        <f aca="false">Q40-Q47-Q48-Q49</f>
        <v>#VALUE!</v>
      </c>
      <c r="R51" s="11" t="e">
        <f aca="false">R40-R47-R48-R49</f>
        <v>#VALUE!</v>
      </c>
      <c r="S51" s="11" t="e">
        <f aca="false">S40-S47-S48-S49</f>
        <v>#VALUE!</v>
      </c>
      <c r="T51" s="11" t="e">
        <f aca="false">T40-T47-T48-T49</f>
        <v>#VALUE!</v>
      </c>
      <c r="U51" s="11" t="e">
        <f aca="false">U40-U47-U48-U49</f>
        <v>#VALUE!</v>
      </c>
      <c r="V51" s="11" t="e">
        <f aca="false">V40-V47-V48-V49</f>
        <v>#VALUE!</v>
      </c>
      <c r="W51" s="11" t="e">
        <f aca="false">W40-W47-W48-W49</f>
        <v>#VALUE!</v>
      </c>
      <c r="X51" s="11" t="e">
        <f aca="false">X40-X47-X48-X49</f>
        <v>#VALUE!</v>
      </c>
      <c r="Y51" s="11" t="e">
        <f aca="false">Y40-Y47-Y48-Y49</f>
        <v>#VALUE!</v>
      </c>
      <c r="Z51" s="11" t="e">
        <f aca="false">Z40-Z47-Z48-Z49</f>
        <v>#VALUE!</v>
      </c>
      <c r="AA51" s="11" t="e">
        <f aca="false">AA40-AA47-AA48-AA49</f>
        <v>#VALUE!</v>
      </c>
      <c r="AB51" s="11" t="e">
        <f aca="false">AB40-AB47-AB48-AB49</f>
        <v>#VALUE!</v>
      </c>
      <c r="AC51" s="11" t="e">
        <f aca="false">AC40-AC47-AC48-AC49</f>
        <v>#VALUE!</v>
      </c>
      <c r="AD51" s="11" t="e">
        <f aca="false">AD40-AD47-AD48-AD49</f>
        <v>#VALUE!</v>
      </c>
      <c r="AE51" s="11" t="e">
        <f aca="false">AE40-AE47-AE48-AE49</f>
        <v>#VALUE!</v>
      </c>
      <c r="AF51" s="11" t="e">
        <f aca="false">AF40-AF47-AF48-AF49</f>
        <v>#VALUE!</v>
      </c>
      <c r="AG51" s="11" t="e">
        <f aca="false">AG40-AG47-AG48-AG49</f>
        <v>#VALUE!</v>
      </c>
      <c r="AH51" s="11" t="e">
        <f aca="false">AH40-AH47-AH48-AH49</f>
        <v>#VALUE!</v>
      </c>
      <c r="AI51" s="11" t="e">
        <f aca="false">AI40-AI47-AI48-AI49</f>
        <v>#VALUE!</v>
      </c>
      <c r="AJ51" s="11" t="e">
        <f aca="false">AJ40-AJ47-AJ48-AJ49</f>
        <v>#VALUE!</v>
      </c>
      <c r="AK51" s="11" t="e">
        <f aca="false">AK40-AK47-AK48-AK49</f>
        <v>#VALUE!</v>
      </c>
      <c r="AL51" s="11" t="e">
        <f aca="false">AL40-AL47-AL48-AL49</f>
        <v>#VALUE!</v>
      </c>
      <c r="AM51" s="11" t="e">
        <f aca="false">AM40-AM47-AM48-AM49</f>
        <v>#VALUE!</v>
      </c>
      <c r="AN51" s="11" t="e">
        <f aca="false">AN40-AN47-AN48-AN49</f>
        <v>#VALUE!</v>
      </c>
      <c r="AO51" s="11" t="e">
        <f aca="false">AO40-AO47-AO48-AO49</f>
        <v>#VALUE!</v>
      </c>
      <c r="AP51" s="11" t="e">
        <f aca="false">AP40-AP47-AP48-AP49</f>
        <v>#VALUE!</v>
      </c>
      <c r="AQ51" s="11" t="e">
        <f aca="false">AQ40-AQ47-AQ48-AQ49</f>
        <v>#VALUE!</v>
      </c>
      <c r="AR51" s="11" t="e">
        <f aca="false">AR40-AR47-AR48-AR49</f>
        <v>#VALUE!</v>
      </c>
      <c r="AS51" s="11" t="e">
        <f aca="false">AS40-AS47-AS48-AS49</f>
        <v>#VALUE!</v>
      </c>
      <c r="AT51" s="11" t="e">
        <f aca="false">AT40-AT47-AT48-AT49</f>
        <v>#VALUE!</v>
      </c>
      <c r="AU51" s="11" t="e">
        <f aca="false">AU40-AU47-AU48-AU49</f>
        <v>#VALUE!</v>
      </c>
      <c r="AV51" s="11" t="e">
        <f aca="false">AV40-AV47-AV48-AV49</f>
        <v>#VALUE!</v>
      </c>
      <c r="AW51" s="11" t="e">
        <f aca="false">AW40-AW47-AW48-AW49</f>
        <v>#VALUE!</v>
      </c>
      <c r="AX51" s="11" t="e">
        <f aca="false">AX40-AX47-AX48-AX49</f>
        <v>#VALUE!</v>
      </c>
      <c r="AY51" s="11" t="e">
        <f aca="false">AY40-AY47-AY48-AY49</f>
        <v>#VALUE!</v>
      </c>
      <c r="AZ51" s="11" t="e">
        <f aca="false">AZ40-AZ47-AZ48-AZ49</f>
        <v>#VALUE!</v>
      </c>
      <c r="BA51" s="11" t="e">
        <f aca="false">BA40-BA47-BA48-BA49</f>
        <v>#VALUE!</v>
      </c>
      <c r="BB51" s="11" t="e">
        <f aca="false">BB40-BB47-BB48-BB49</f>
        <v>#VALUE!</v>
      </c>
      <c r="BC51" s="11" t="e">
        <f aca="false">BC40-BC47-BC48-BC49</f>
        <v>#VALUE!</v>
      </c>
      <c r="BD51" s="11" t="e">
        <f aca="false">BD40-BD47-BD48-BD49</f>
        <v>#VALUE!</v>
      </c>
      <c r="BE51" s="11" t="e">
        <f aca="false">BE40-BE47-BE48-BE49</f>
        <v>#VALUE!</v>
      </c>
      <c r="BF51" s="11" t="e">
        <f aca="false">BF40-BF47-BF48-BF49</f>
        <v>#VALUE!</v>
      </c>
      <c r="BG51" s="11" t="e">
        <f aca="false">BG40-BG47-BG48-BG49</f>
        <v>#VALUE!</v>
      </c>
      <c r="BH51" s="11" t="e">
        <f aca="false">BH40-BH47-BH48-BH49</f>
        <v>#VALUE!</v>
      </c>
      <c r="BI51" s="11" t="e">
        <f aca="false">BI40-BI47-BI48-BI49</f>
        <v>#VALUE!</v>
      </c>
      <c r="BJ51" s="11" t="e">
        <f aca="false">BJ40-BJ47-BJ48-BJ49</f>
        <v>#VALUE!</v>
      </c>
      <c r="BK51" s="11" t="e">
        <f aca="false">BK40-BK47-BK48-BK49</f>
        <v>#VALUE!</v>
      </c>
      <c r="BL51" s="11" t="e">
        <f aca="false">BL40-BL47-BL48-BL49</f>
        <v>#VALUE!</v>
      </c>
      <c r="BM51" s="11" t="e">
        <f aca="false">BM40-BM47-BM48-BM49</f>
        <v>#VALUE!</v>
      </c>
      <c r="BN51" s="11" t="e">
        <f aca="false">BN40-BN47-BN48-BN49</f>
        <v>#VALUE!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e">
        <f aca="false">SUM(J52:BN52)</f>
        <v>#VALUE!</v>
      </c>
      <c r="J52" s="11" t="e">
        <f aca="false">Waterfall!J28*J51/(J36+J51+J66+J81+J96+0.000000001)</f>
        <v>#VALUE!</v>
      </c>
      <c r="K52" s="11" t="e">
        <f aca="false">Waterfall!K28*K51/(K36+K51+K66+K81+K96+0.000000001)</f>
        <v>#VALUE!</v>
      </c>
      <c r="L52" s="11" t="e">
        <f aca="false">Waterfall!L28*L51/(L36+L51+L66+L81+L96+0.000000001)</f>
        <v>#VALUE!</v>
      </c>
      <c r="M52" s="11" t="e">
        <f aca="false">Waterfall!M28*M51/(M36+M51+M66+M81+M96+0.000000001)</f>
        <v>#VALUE!</v>
      </c>
      <c r="N52" s="11" t="e">
        <f aca="false">Waterfall!N28*N51/(N36+N51+N66+N81+N96+0.000000001)</f>
        <v>#VALUE!</v>
      </c>
      <c r="O52" s="11" t="e">
        <f aca="false">Waterfall!O28*O51/(O36+O51+O66+O81+O96+0.000000001)</f>
        <v>#VALUE!</v>
      </c>
      <c r="P52" s="11" t="e">
        <f aca="false">Waterfall!P28*P51/(P36+P51+P66+P81+P96+0.000000001)</f>
        <v>#VALUE!</v>
      </c>
      <c r="Q52" s="11" t="e">
        <f aca="false">Waterfall!Q28*Q51/(Q36+Q51+Q66+Q81+Q96+0.000000001)</f>
        <v>#VALUE!</v>
      </c>
      <c r="R52" s="11" t="e">
        <f aca="false">Waterfall!R28*R51/(R36+R51+R66+R81+R96+0.000000001)</f>
        <v>#VALUE!</v>
      </c>
      <c r="S52" s="11" t="e">
        <f aca="false">Waterfall!S28*S51/(S36+S51+S66+S81+S96+0.000000001)</f>
        <v>#VALUE!</v>
      </c>
      <c r="T52" s="11" t="e">
        <f aca="false">Waterfall!T28*T51/(T36+T51+T66+T81+T96+0.000000001)</f>
        <v>#VALUE!</v>
      </c>
      <c r="U52" s="11" t="e">
        <f aca="false">Waterfall!U28*U51/(U36+U51+U66+U81+U96+0.000000001)</f>
        <v>#VALUE!</v>
      </c>
      <c r="V52" s="11" t="e">
        <f aca="false">Waterfall!V28*V51/(V36+V51+V66+V81+V96+0.000000001)</f>
        <v>#VALUE!</v>
      </c>
      <c r="W52" s="11" t="e">
        <f aca="false">Waterfall!W28*W51/(W36+W51+W66+W81+W96+0.000000001)</f>
        <v>#VALUE!</v>
      </c>
      <c r="X52" s="11" t="e">
        <f aca="false">Waterfall!X28*X51/(X36+X51+X66+X81+X96+0.000000001)</f>
        <v>#VALUE!</v>
      </c>
      <c r="Y52" s="11" t="e">
        <f aca="false">Waterfall!Y28*Y51/(Y36+Y51+Y66+Y81+Y96+0.000000001)</f>
        <v>#VALUE!</v>
      </c>
      <c r="Z52" s="11" t="e">
        <f aca="false">Waterfall!Z28*Z51/(Z36+Z51+Z66+Z81+Z96+0.000000001)</f>
        <v>#VALUE!</v>
      </c>
      <c r="AA52" s="11" t="e">
        <f aca="false">Waterfall!AA28*AA51/(AA36+AA51+AA66+AA81+AA96+0.000000001)</f>
        <v>#VALUE!</v>
      </c>
      <c r="AB52" s="11" t="e">
        <f aca="false">Waterfall!AB28*AB51/(AB36+AB51+AB66+AB81+AB96+0.000000001)</f>
        <v>#VALUE!</v>
      </c>
      <c r="AC52" s="11" t="e">
        <f aca="false">Waterfall!AC28*AC51/(AC36+AC51+AC66+AC81+AC96+0.000000001)</f>
        <v>#VALUE!</v>
      </c>
      <c r="AD52" s="11" t="e">
        <f aca="false">Waterfall!AD28*AD51/(AD36+AD51+AD66+AD81+AD96+0.000000001)</f>
        <v>#VALUE!</v>
      </c>
      <c r="AE52" s="11" t="e">
        <f aca="false">Waterfall!AE28*AE51/(AE36+AE51+AE66+AE81+AE96+0.000000001)</f>
        <v>#VALUE!</v>
      </c>
      <c r="AF52" s="11" t="e">
        <f aca="false">Waterfall!AF28*AF51/(AF36+AF51+AF66+AF81+AF96+0.000000001)</f>
        <v>#VALUE!</v>
      </c>
      <c r="AG52" s="11" t="e">
        <f aca="false">Waterfall!AG28*AG51/(AG36+AG51+AG66+AG81+AG96+0.000000001)</f>
        <v>#VALUE!</v>
      </c>
      <c r="AH52" s="11" t="e">
        <f aca="false">Waterfall!AH28*AH51/(AH36+AH51+AH66+AH81+AH96+0.000000001)</f>
        <v>#VALUE!</v>
      </c>
      <c r="AI52" s="11" t="e">
        <f aca="false">Waterfall!AI28*AI51/(AI36+AI51+AI66+AI81+AI96+0.000000001)</f>
        <v>#VALUE!</v>
      </c>
      <c r="AJ52" s="11" t="e">
        <f aca="false">Waterfall!AJ28*AJ51/(AJ36+AJ51+AJ66+AJ81+AJ96+0.000000001)</f>
        <v>#VALUE!</v>
      </c>
      <c r="AK52" s="11" t="e">
        <f aca="false">Waterfall!AK28*AK51/(AK36+AK51+AK66+AK81+AK96+0.000000001)</f>
        <v>#VALUE!</v>
      </c>
      <c r="AL52" s="11" t="e">
        <f aca="false">Waterfall!AL28*AL51/(AL36+AL51+AL66+AL81+AL96+0.000000001)</f>
        <v>#VALUE!</v>
      </c>
      <c r="AM52" s="11" t="e">
        <f aca="false">Waterfall!AM28*AM51/(AM36+AM51+AM66+AM81+AM96+0.000000001)</f>
        <v>#VALUE!</v>
      </c>
      <c r="AN52" s="11" t="e">
        <f aca="false">Waterfall!AN28*AN51/(AN36+AN51+AN66+AN81+AN96+0.000000001)</f>
        <v>#VALUE!</v>
      </c>
      <c r="AO52" s="11" t="e">
        <f aca="false">Waterfall!AO28*AO51/(AO36+AO51+AO66+AO81+AO96+0.000000001)</f>
        <v>#VALUE!</v>
      </c>
      <c r="AP52" s="11" t="e">
        <f aca="false">Waterfall!AP28*AP51/(AP36+AP51+AP66+AP81+AP96+0.000000001)</f>
        <v>#VALUE!</v>
      </c>
      <c r="AQ52" s="11" t="e">
        <f aca="false">Waterfall!AQ28*AQ51/(AQ36+AQ51+AQ66+AQ81+AQ96+0.000000001)</f>
        <v>#VALUE!</v>
      </c>
      <c r="AR52" s="11" t="e">
        <f aca="false">Waterfall!AR28*AR51/(AR36+AR51+AR66+AR81+AR96+0.000000001)</f>
        <v>#VALUE!</v>
      </c>
      <c r="AS52" s="11" t="e">
        <f aca="false">Waterfall!AS28*AS51/(AS36+AS51+AS66+AS81+AS96+0.000000001)</f>
        <v>#VALUE!</v>
      </c>
      <c r="AT52" s="11" t="e">
        <f aca="false">Waterfall!AT28*AT51/(AT36+AT51+AT66+AT81+AT96+0.000000001)</f>
        <v>#VALUE!</v>
      </c>
      <c r="AU52" s="11" t="e">
        <f aca="false">Waterfall!AU28*AU51/(AU36+AU51+AU66+AU81+AU96+0.000000001)</f>
        <v>#VALUE!</v>
      </c>
      <c r="AV52" s="11" t="e">
        <f aca="false">Waterfall!AV28*AV51/(AV36+AV51+AV66+AV81+AV96+0.000000001)</f>
        <v>#VALUE!</v>
      </c>
      <c r="AW52" s="11" t="e">
        <f aca="false">Waterfall!AW28*AW51/(AW36+AW51+AW66+AW81+AW96+0.000000001)</f>
        <v>#VALUE!</v>
      </c>
      <c r="AX52" s="11" t="e">
        <f aca="false">Waterfall!AX28*AX51/(AX36+AX51+AX66+AX81+AX96+0.000000001)</f>
        <v>#VALUE!</v>
      </c>
      <c r="AY52" s="11" t="e">
        <f aca="false">Waterfall!AY28*AY51/(AY36+AY51+AY66+AY81+AY96+0.000000001)</f>
        <v>#VALUE!</v>
      </c>
      <c r="AZ52" s="11" t="e">
        <f aca="false">Waterfall!AZ28*AZ51/(AZ36+AZ51+AZ66+AZ81+AZ96+0.000000001)</f>
        <v>#VALUE!</v>
      </c>
      <c r="BA52" s="11" t="e">
        <f aca="false">Waterfall!BA28*BA51/(BA36+BA51+BA66+BA81+BA96+0.000000001)</f>
        <v>#VALUE!</v>
      </c>
      <c r="BB52" s="11" t="e">
        <f aca="false">Waterfall!BB28*BB51/(BB36+BB51+BB66+BB81+BB96+0.000000001)</f>
        <v>#VALUE!</v>
      </c>
      <c r="BC52" s="11" t="e">
        <f aca="false">Waterfall!BC28*BC51/(BC36+BC51+BC66+BC81+BC96+0.000000001)</f>
        <v>#VALUE!</v>
      </c>
      <c r="BD52" s="11" t="e">
        <f aca="false">Waterfall!BD28*BD51/(BD36+BD51+BD66+BD81+BD96+0.000000001)</f>
        <v>#VALUE!</v>
      </c>
      <c r="BE52" s="11" t="e">
        <f aca="false">Waterfall!BE28*BE51/(BE36+BE51+BE66+BE81+BE96+0.000000001)</f>
        <v>#VALUE!</v>
      </c>
      <c r="BF52" s="11" t="e">
        <f aca="false">Waterfall!BF28*BF51/(BF36+BF51+BF66+BF81+BF96+0.000000001)</f>
        <v>#VALUE!</v>
      </c>
      <c r="BG52" s="11" t="e">
        <f aca="false">Waterfall!BG28*BG51/(BG36+BG51+BG66+BG81+BG96+0.000000001)</f>
        <v>#VALUE!</v>
      </c>
      <c r="BH52" s="11" t="e">
        <f aca="false">Waterfall!BH28*BH51/(BH36+BH51+BH66+BH81+BH96+0.000000001)</f>
        <v>#VALUE!</v>
      </c>
      <c r="BI52" s="11" t="e">
        <f aca="false">Waterfall!BI28*BI51/(BI36+BI51+BI66+BI81+BI96+0.000000001)</f>
        <v>#VALUE!</v>
      </c>
      <c r="BJ52" s="11" t="e">
        <f aca="false">Waterfall!BJ28*BJ51/(BJ36+BJ51+BJ66+BJ81+BJ96+0.000000001)</f>
        <v>#VALUE!</v>
      </c>
      <c r="BK52" s="11" t="e">
        <f aca="false">Waterfall!BK28*BK51/(BK36+BK51+BK66+BK81+BK96+0.000000001)</f>
        <v>#VALUE!</v>
      </c>
      <c r="BL52" s="11" t="e">
        <f aca="false">Waterfall!BL28*BL51/(BL36+BL51+BL66+BL81+BL96+0.000000001)</f>
        <v>#VALUE!</v>
      </c>
      <c r="BM52" s="11" t="e">
        <f aca="false">Waterfall!BM28*BM51/(BM36+BM51+BM66+BM81+BM96+0.000000001)</f>
        <v>#VALUE!</v>
      </c>
      <c r="BN52" s="11" t="e">
        <f aca="false">Waterfall!BN28*BN51/(BN36+BN51+BN66+BN81+BN96+0.000000001)</f>
        <v>#VALUE!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e">
        <f aca="false">IF(Time!J29=1,INDEX(Funding!$J$62:$BJ$62,1,Time!$F$13),Time!J30*(J51-J52))</f>
        <v>#VALUE!</v>
      </c>
      <c r="K53" s="11" t="e">
        <f aca="false">IF(Time!K29=1,INDEX(Funding!$J$62:$BJ$62,1,Time!$F$13),Time!K30*(K51-K52))</f>
        <v>#VALUE!</v>
      </c>
      <c r="L53" s="11" t="e">
        <f aca="false">IF(Time!L29=1,INDEX(Funding!$J$62:$BJ$62,1,Time!$F$13),Time!L30*(L51-L52))</f>
        <v>#VALUE!</v>
      </c>
      <c r="M53" s="11" t="e">
        <f aca="false">IF(Time!M29=1,INDEX(Funding!$J$62:$BJ$62,1,Time!$F$13),Time!M30*(M51-M52))</f>
        <v>#VALUE!</v>
      </c>
      <c r="N53" s="11" t="e">
        <f aca="false">IF(Time!N29=1,INDEX(Funding!$J$62:$BJ$62,1,Time!$F$13),Time!N30*(N51-N52))</f>
        <v>#VALUE!</v>
      </c>
      <c r="O53" s="11" t="n">
        <f aca="false">IF(Time!O29=1,INDEX(Funding!$J$62:$BJ$62,1,Time!$F$13),Time!O30*(O51-O52))</f>
        <v>139.31631461941</v>
      </c>
      <c r="P53" s="11" t="e">
        <f aca="false">IF(Time!P29=1,INDEX(Funding!$J$62:$BJ$62,1,Time!$F$13),Time!P30*(P51-P52))</f>
        <v>#VALUE!</v>
      </c>
      <c r="Q53" s="11" t="e">
        <f aca="false">IF(Time!Q29=1,INDEX(Funding!$J$62:$BJ$62,1,Time!$F$13),Time!Q30*(Q51-Q52))</f>
        <v>#VALUE!</v>
      </c>
      <c r="R53" s="11" t="e">
        <f aca="false">IF(Time!R29=1,INDEX(Funding!$J$62:$BJ$62,1,Time!$F$13),Time!R30*(R51-R52))</f>
        <v>#VALUE!</v>
      </c>
      <c r="S53" s="11" t="e">
        <f aca="false">IF(Time!S29=1,INDEX(Funding!$J$62:$BJ$62,1,Time!$F$13),Time!S30*(S51-S52))</f>
        <v>#VALUE!</v>
      </c>
      <c r="T53" s="11" t="e">
        <f aca="false">IF(Time!T29=1,INDEX(Funding!$J$62:$BJ$62,1,Time!$F$13),Time!T30*(T51-T52))</f>
        <v>#VALUE!</v>
      </c>
      <c r="U53" s="11" t="e">
        <f aca="false">IF(Time!U29=1,INDEX(Funding!$J$62:$BJ$62,1,Time!$F$13),Time!U30*(U51-U52))</f>
        <v>#VALUE!</v>
      </c>
      <c r="V53" s="11" t="e">
        <f aca="false">IF(Time!V29=1,INDEX(Funding!$J$62:$BJ$62,1,Time!$F$13),Time!V30*(V51-V52))</f>
        <v>#VALUE!</v>
      </c>
      <c r="W53" s="11" t="e">
        <f aca="false">IF(Time!W29=1,INDEX(Funding!$J$62:$BJ$62,1,Time!$F$13),Time!W30*(W51-W52))</f>
        <v>#VALUE!</v>
      </c>
      <c r="X53" s="11" t="e">
        <f aca="false">IF(Time!X29=1,INDEX(Funding!$J$62:$BJ$62,1,Time!$F$13),Time!X30*(X51-X52))</f>
        <v>#VALUE!</v>
      </c>
      <c r="Y53" s="11" t="e">
        <f aca="false">IF(Time!Y29=1,INDEX(Funding!$J$62:$BJ$62,1,Time!$F$13),Time!Y30*(Y51-Y52))</f>
        <v>#VALUE!</v>
      </c>
      <c r="Z53" s="11" t="e">
        <f aca="false">IF(Time!Z29=1,INDEX(Funding!$J$62:$BJ$62,1,Time!$F$13),Time!Z30*(Z51-Z52))</f>
        <v>#VALUE!</v>
      </c>
      <c r="AA53" s="11" t="e">
        <f aca="false">IF(Time!AA29=1,INDEX(Funding!$J$62:$BJ$62,1,Time!$F$13),Time!AA30*(AA51-AA52))</f>
        <v>#VALUE!</v>
      </c>
      <c r="AB53" s="11" t="e">
        <f aca="false">IF(Time!AB29=1,INDEX(Funding!$J$62:$BJ$62,1,Time!$F$13),Time!AB30*(AB51-AB52))</f>
        <v>#VALUE!</v>
      </c>
      <c r="AC53" s="11" t="e">
        <f aca="false">IF(Time!AC29=1,INDEX(Funding!$J$62:$BJ$62,1,Time!$F$13),Time!AC30*(AC51-AC52))</f>
        <v>#VALUE!</v>
      </c>
      <c r="AD53" s="11" t="e">
        <f aca="false">IF(Time!AD29=1,INDEX(Funding!$J$62:$BJ$62,1,Time!$F$13),Time!AD30*(AD51-AD52))</f>
        <v>#VALUE!</v>
      </c>
      <c r="AE53" s="11" t="e">
        <f aca="false">IF(Time!AE29=1,INDEX(Funding!$J$62:$BJ$62,1,Time!$F$13),Time!AE30*(AE51-AE52))</f>
        <v>#VALUE!</v>
      </c>
      <c r="AF53" s="11" t="e">
        <f aca="false">IF(Time!AF29=1,INDEX(Funding!$J$62:$BJ$62,1,Time!$F$13),Time!AF30*(AF51-AF52))</f>
        <v>#VALUE!</v>
      </c>
      <c r="AG53" s="11" t="e">
        <f aca="false">IF(Time!AG29=1,INDEX(Funding!$J$62:$BJ$62,1,Time!$F$13),Time!AG30*(AG51-AG52))</f>
        <v>#VALUE!</v>
      </c>
      <c r="AH53" s="11" t="e">
        <f aca="false">IF(Time!AH29=1,INDEX(Funding!$J$62:$BJ$62,1,Time!$F$13),Time!AH30*(AH51-AH52))</f>
        <v>#VALUE!</v>
      </c>
      <c r="AI53" s="11" t="e">
        <f aca="false">IF(Time!AI29=1,INDEX(Funding!$J$62:$BJ$62,1,Time!$F$13),Time!AI30*(AI51-AI52))</f>
        <v>#VALUE!</v>
      </c>
      <c r="AJ53" s="11" t="e">
        <f aca="false">IF(Time!AJ29=1,INDEX(Funding!$J$62:$BJ$62,1,Time!$F$13),Time!AJ30*(AJ51-AJ52))</f>
        <v>#VALUE!</v>
      </c>
      <c r="AK53" s="11" t="e">
        <f aca="false">IF(Time!AK29=1,INDEX(Funding!$J$62:$BJ$62,1,Time!$F$13),Time!AK30*(AK51-AK52))</f>
        <v>#VALUE!</v>
      </c>
      <c r="AL53" s="11" t="e">
        <f aca="false">IF(Time!AL29=1,INDEX(Funding!$J$62:$BJ$62,1,Time!$F$13),Time!AL30*(AL51-AL52))</f>
        <v>#VALUE!</v>
      </c>
      <c r="AM53" s="11" t="e">
        <f aca="false">IF(Time!AM29=1,INDEX(Funding!$J$62:$BJ$62,1,Time!$F$13),Time!AM30*(AM51-AM52))</f>
        <v>#VALUE!</v>
      </c>
      <c r="AN53" s="11" t="e">
        <f aca="false">IF(Time!AN29=1,INDEX(Funding!$J$62:$BJ$62,1,Time!$F$13),Time!AN30*(AN51-AN52))</f>
        <v>#VALUE!</v>
      </c>
      <c r="AO53" s="11" t="e">
        <f aca="false">IF(Time!AO29=1,INDEX(Funding!$J$62:$BJ$62,1,Time!$F$13),Time!AO30*(AO51-AO52))</f>
        <v>#VALUE!</v>
      </c>
      <c r="AP53" s="11" t="e">
        <f aca="false">IF(Time!AP29=1,INDEX(Funding!$J$62:$BJ$62,1,Time!$F$13),Time!AP30*(AP51-AP52))</f>
        <v>#VALUE!</v>
      </c>
      <c r="AQ53" s="11" t="e">
        <f aca="false">IF(Time!AQ29=1,INDEX(Funding!$J$62:$BJ$62,1,Time!$F$13),Time!AQ30*(AQ51-AQ52))</f>
        <v>#VALUE!</v>
      </c>
      <c r="AR53" s="11" t="e">
        <f aca="false">IF(Time!AR29=1,INDEX(Funding!$J$62:$BJ$62,1,Time!$F$13),Time!AR30*(AR51-AR52))</f>
        <v>#VALUE!</v>
      </c>
      <c r="AS53" s="11" t="e">
        <f aca="false">IF(Time!AS29=1,INDEX(Funding!$J$62:$BJ$62,1,Time!$F$13),Time!AS30*(AS51-AS52))</f>
        <v>#VALUE!</v>
      </c>
      <c r="AT53" s="11" t="e">
        <f aca="false">IF(Time!AT29=1,INDEX(Funding!$J$62:$BJ$62,1,Time!$F$13),Time!AT30*(AT51-AT52))</f>
        <v>#VALUE!</v>
      </c>
      <c r="AU53" s="11" t="e">
        <f aca="false">IF(Time!AU29=1,INDEX(Funding!$J$62:$BJ$62,1,Time!$F$13),Time!AU30*(AU51-AU52))</f>
        <v>#VALUE!</v>
      </c>
      <c r="AV53" s="11" t="e">
        <f aca="false">IF(Time!AV29=1,INDEX(Funding!$J$62:$BJ$62,1,Time!$F$13),Time!AV30*(AV51-AV52))</f>
        <v>#VALUE!</v>
      </c>
      <c r="AW53" s="11" t="e">
        <f aca="false">IF(Time!AW29=1,INDEX(Funding!$J$62:$BJ$62,1,Time!$F$13),Time!AW30*(AW51-AW52))</f>
        <v>#VALUE!</v>
      </c>
      <c r="AX53" s="11" t="e">
        <f aca="false">IF(Time!AX29=1,INDEX(Funding!$J$62:$BJ$62,1,Time!$F$13),Time!AX30*(AX51-AX52))</f>
        <v>#VALUE!</v>
      </c>
      <c r="AY53" s="11" t="e">
        <f aca="false">IF(Time!AY29=1,INDEX(Funding!$J$62:$BJ$62,1,Time!$F$13),Time!AY30*(AY51-AY52))</f>
        <v>#VALUE!</v>
      </c>
      <c r="AZ53" s="11" t="e">
        <f aca="false">IF(Time!AZ29=1,INDEX(Funding!$J$62:$BJ$62,1,Time!$F$13),Time!AZ30*(AZ51-AZ52))</f>
        <v>#VALUE!</v>
      </c>
      <c r="BA53" s="11" t="e">
        <f aca="false">IF(Time!BA29=1,INDEX(Funding!$J$62:$BJ$62,1,Time!$F$13),Time!BA30*(BA51-BA52))</f>
        <v>#VALUE!</v>
      </c>
      <c r="BB53" s="11" t="e">
        <f aca="false">IF(Time!BB29=1,INDEX(Funding!$J$62:$BJ$62,1,Time!$F$13),Time!BB30*(BB51-BB52))</f>
        <v>#VALUE!</v>
      </c>
      <c r="BC53" s="11" t="e">
        <f aca="false">IF(Time!BC29=1,INDEX(Funding!$J$62:$BJ$62,1,Time!$F$13),Time!BC30*(BC51-BC52))</f>
        <v>#VALUE!</v>
      </c>
      <c r="BD53" s="11" t="e">
        <f aca="false">IF(Time!BD29=1,INDEX(Funding!$J$62:$BJ$62,1,Time!$F$13),Time!BD30*(BD51-BD52))</f>
        <v>#VALUE!</v>
      </c>
      <c r="BE53" s="11" t="e">
        <f aca="false">IF(Time!BE29=1,INDEX(Funding!$J$62:$BJ$62,1,Time!$F$13),Time!BE30*(BE51-BE52))</f>
        <v>#VALUE!</v>
      </c>
      <c r="BF53" s="11" t="e">
        <f aca="false">IF(Time!BF29=1,INDEX(Funding!$J$62:$BJ$62,1,Time!$F$13),Time!BF30*(BF51-BF52))</f>
        <v>#VALUE!</v>
      </c>
      <c r="BG53" s="11" t="e">
        <f aca="false">IF(Time!BG29=1,INDEX(Funding!$J$62:$BJ$62,1,Time!$F$13),Time!BG30*(BG51-BG52))</f>
        <v>#VALUE!</v>
      </c>
      <c r="BH53" s="11" t="e">
        <f aca="false">IF(Time!BH29=1,INDEX(Funding!$J$62:$BJ$62,1,Time!$F$13),Time!BH30*(BH51-BH52))</f>
        <v>#VALUE!</v>
      </c>
      <c r="BI53" s="11" t="e">
        <f aca="false">IF(Time!BI29=1,INDEX(Funding!$J$62:$BJ$62,1,Time!$F$13),Time!BI30*(BI51-BI52))</f>
        <v>#VALUE!</v>
      </c>
      <c r="BJ53" s="11" t="e">
        <f aca="false">IF(Time!BJ29=1,INDEX(Funding!$J$62:$BJ$62,1,Time!$F$13),Time!BJ30*(BJ51-BJ52))</f>
        <v>#VALUE!</v>
      </c>
      <c r="BK53" s="11" t="e">
        <f aca="false">IF(Time!BK29=1,INDEX(Funding!$J$62:$BJ$62,1,Time!$F$13),Time!BK30*(BK51-BK52))</f>
        <v>#VALUE!</v>
      </c>
      <c r="BL53" s="11" t="e">
        <f aca="false">IF(Time!BL29=1,INDEX(Funding!$J$62:$BJ$62,1,Time!$F$13),Time!BL30*(BL51-BL52))</f>
        <v>#VALUE!</v>
      </c>
      <c r="BM53" s="11" t="e">
        <f aca="false">IF(Time!BM29=1,INDEX(Funding!$J$62:$BJ$62,1,Time!$F$13),Time!BM30*(BM51-BM52))</f>
        <v>#VALUE!</v>
      </c>
      <c r="BN53" s="11" t="e">
        <f aca="false">IF(Time!BN29=1,INDEX(Funding!$J$62:$BJ$62,1,Time!$F$13),Time!BN30*(BN51-BN52))</f>
        <v>#VALUE!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e">
        <f aca="false">Time!K30*J68</f>
        <v>#VALUE!</v>
      </c>
      <c r="L55" s="11" t="e">
        <f aca="false">Time!L30*K68</f>
        <v>#VALUE!</v>
      </c>
      <c r="M55" s="11" t="e">
        <f aca="false">Time!M30*L68</f>
        <v>#VALUE!</v>
      </c>
      <c r="N55" s="11" t="e">
        <f aca="false">Time!N30*M68</f>
        <v>#VALUE!</v>
      </c>
      <c r="O55" s="11" t="e">
        <f aca="false">Time!O30*N68</f>
        <v>#VALUE!</v>
      </c>
      <c r="P55" s="11" t="n">
        <f aca="false">Time!P30*O68</f>
        <v>63.3255975542774</v>
      </c>
      <c r="Q55" s="11" t="e">
        <f aca="false">Time!Q30*P68</f>
        <v>#VALUE!</v>
      </c>
      <c r="R55" s="11" t="e">
        <f aca="false">Time!R30*Q68</f>
        <v>#VALUE!</v>
      </c>
      <c r="S55" s="11" t="e">
        <f aca="false">Time!S30*R68</f>
        <v>#VALUE!</v>
      </c>
      <c r="T55" s="11" t="e">
        <f aca="false">Time!T30*S68</f>
        <v>#VALUE!</v>
      </c>
      <c r="U55" s="11" t="e">
        <f aca="false">Time!U30*T68</f>
        <v>#VALUE!</v>
      </c>
      <c r="V55" s="11" t="e">
        <f aca="false">Time!V30*U68</f>
        <v>#VALUE!</v>
      </c>
      <c r="W55" s="11" t="e">
        <f aca="false">Time!W30*V68</f>
        <v>#VALUE!</v>
      </c>
      <c r="X55" s="11" t="e">
        <f aca="false">Time!X30*W68</f>
        <v>#VALUE!</v>
      </c>
      <c r="Y55" s="11" t="e">
        <f aca="false">Time!Y30*X68</f>
        <v>#VALUE!</v>
      </c>
      <c r="Z55" s="11" t="e">
        <f aca="false">Time!Z30*Y68</f>
        <v>#VALUE!</v>
      </c>
      <c r="AA55" s="11" t="e">
        <f aca="false">Time!AA30*Z68</f>
        <v>#VALUE!</v>
      </c>
      <c r="AB55" s="11" t="e">
        <f aca="false">Time!AB30*AA68</f>
        <v>#VALUE!</v>
      </c>
      <c r="AC55" s="11" t="e">
        <f aca="false">Time!AC30*AB68</f>
        <v>#VALUE!</v>
      </c>
      <c r="AD55" s="11" t="e">
        <f aca="false">Time!AD30*AC68</f>
        <v>#VALUE!</v>
      </c>
      <c r="AE55" s="11" t="e">
        <f aca="false">Time!AE30*AD68</f>
        <v>#VALUE!</v>
      </c>
      <c r="AF55" s="11" t="e">
        <f aca="false">Time!AF30*AE68</f>
        <v>#VALUE!</v>
      </c>
      <c r="AG55" s="11" t="e">
        <f aca="false">Time!AG30*AF68</f>
        <v>#VALUE!</v>
      </c>
      <c r="AH55" s="11" t="e">
        <f aca="false">Time!AH30*AG68</f>
        <v>#VALUE!</v>
      </c>
      <c r="AI55" s="11" t="e">
        <f aca="false">Time!AI30*AH68</f>
        <v>#VALUE!</v>
      </c>
      <c r="AJ55" s="11" t="e">
        <f aca="false">Time!AJ30*AI68</f>
        <v>#VALUE!</v>
      </c>
      <c r="AK55" s="11" t="e">
        <f aca="false">Time!AK30*AJ68</f>
        <v>#VALUE!</v>
      </c>
      <c r="AL55" s="11" t="e">
        <f aca="false">Time!AL30*AK68</f>
        <v>#VALUE!</v>
      </c>
      <c r="AM55" s="11" t="e">
        <f aca="false">Time!AM30*AL68</f>
        <v>#VALUE!</v>
      </c>
      <c r="AN55" s="11" t="e">
        <f aca="false">Time!AN30*AM68</f>
        <v>#VALUE!</v>
      </c>
      <c r="AO55" s="11" t="e">
        <f aca="false">Time!AO30*AN68</f>
        <v>#VALUE!</v>
      </c>
      <c r="AP55" s="11" t="e">
        <f aca="false">Time!AP30*AO68</f>
        <v>#VALUE!</v>
      </c>
      <c r="AQ55" s="11" t="e">
        <f aca="false">Time!AQ30*AP68</f>
        <v>#VALUE!</v>
      </c>
      <c r="AR55" s="11" t="e">
        <f aca="false">Time!AR30*AQ68</f>
        <v>#VALUE!</v>
      </c>
      <c r="AS55" s="11" t="e">
        <f aca="false">Time!AS30*AR68</f>
        <v>#VALUE!</v>
      </c>
      <c r="AT55" s="11" t="e">
        <f aca="false">Time!AT30*AS68</f>
        <v>#VALUE!</v>
      </c>
      <c r="AU55" s="11" t="e">
        <f aca="false">Time!AU30*AT68</f>
        <v>#VALUE!</v>
      </c>
      <c r="AV55" s="11" t="e">
        <f aca="false">Time!AV30*AU68</f>
        <v>#VALUE!</v>
      </c>
      <c r="AW55" s="11" t="e">
        <f aca="false">Time!AW30*AV68</f>
        <v>#VALUE!</v>
      </c>
      <c r="AX55" s="11" t="e">
        <f aca="false">Time!AX30*AW68</f>
        <v>#VALUE!</v>
      </c>
      <c r="AY55" s="11" t="e">
        <f aca="false">Time!AY30*AX68</f>
        <v>#VALUE!</v>
      </c>
      <c r="AZ55" s="11" t="e">
        <f aca="false">Time!AZ30*AY68</f>
        <v>#VALUE!</v>
      </c>
      <c r="BA55" s="11" t="e">
        <f aca="false">Time!BA30*AZ68</f>
        <v>#VALUE!</v>
      </c>
      <c r="BB55" s="11" t="e">
        <f aca="false">Time!BB30*BA68</f>
        <v>#VALUE!</v>
      </c>
      <c r="BC55" s="11" t="e">
        <f aca="false">Time!BC30*BB68</f>
        <v>#VALUE!</v>
      </c>
      <c r="BD55" s="11" t="e">
        <f aca="false">Time!BD30*BC68</f>
        <v>#VALUE!</v>
      </c>
      <c r="BE55" s="11" t="e">
        <f aca="false">Time!BE30*BD68</f>
        <v>#VALUE!</v>
      </c>
      <c r="BF55" s="11" t="e">
        <f aca="false">Time!BF30*BE68</f>
        <v>#VALUE!</v>
      </c>
      <c r="BG55" s="11" t="e">
        <f aca="false">Time!BG30*BF68</f>
        <v>#VALUE!</v>
      </c>
      <c r="BH55" s="11" t="e">
        <f aca="false">Time!BH30*BG68</f>
        <v>#VALUE!</v>
      </c>
      <c r="BI55" s="11" t="e">
        <f aca="false">Time!BI30*BH68</f>
        <v>#VALUE!</v>
      </c>
      <c r="BJ55" s="11" t="e">
        <f aca="false">Time!BJ30*BI68</f>
        <v>#VALUE!</v>
      </c>
      <c r="BK55" s="11" t="e">
        <f aca="false">Time!BK30*BJ68</f>
        <v>#VALUE!</v>
      </c>
      <c r="BL55" s="11" t="e">
        <f aca="false">Time!BL30*BK68</f>
        <v>#VALUE!</v>
      </c>
      <c r="BM55" s="11" t="e">
        <f aca="false">Time!BM30*BL68</f>
        <v>#VALUE!</v>
      </c>
      <c r="BN55" s="11" t="e">
        <f aca="false">Time!BN30*BM68</f>
        <v>#VALUE!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e">
        <f aca="false">J65</f>
        <v>#VALUE!</v>
      </c>
      <c r="L56" s="11" t="e">
        <f aca="false">K65</f>
        <v>#VALUE!</v>
      </c>
      <c r="M56" s="11" t="e">
        <f aca="false">L65</f>
        <v>#VALUE!</v>
      </c>
      <c r="N56" s="11" t="e">
        <f aca="false">M65</f>
        <v>#VALUE!</v>
      </c>
      <c r="O56" s="11" t="e">
        <f aca="false">N65</f>
        <v>#VALUE!</v>
      </c>
      <c r="P56" s="11" t="e">
        <f aca="false">O65</f>
        <v>#VALUE!</v>
      </c>
      <c r="Q56" s="11" t="e">
        <f aca="false">P65</f>
        <v>#VALUE!</v>
      </c>
      <c r="R56" s="11" t="e">
        <f aca="false">Q65</f>
        <v>#VALUE!</v>
      </c>
      <c r="S56" s="11" t="e">
        <f aca="false">R65</f>
        <v>#VALUE!</v>
      </c>
      <c r="T56" s="11" t="e">
        <f aca="false">S65</f>
        <v>#VALUE!</v>
      </c>
      <c r="U56" s="11" t="e">
        <f aca="false">T65</f>
        <v>#VALUE!</v>
      </c>
      <c r="V56" s="11" t="e">
        <f aca="false">U65</f>
        <v>#VALUE!</v>
      </c>
      <c r="W56" s="11" t="e">
        <f aca="false">V65</f>
        <v>#VALUE!</v>
      </c>
      <c r="X56" s="11" t="e">
        <f aca="false">W65</f>
        <v>#VALUE!</v>
      </c>
      <c r="Y56" s="11" t="e">
        <f aca="false">X65</f>
        <v>#VALUE!</v>
      </c>
      <c r="Z56" s="11" t="e">
        <f aca="false">Y65</f>
        <v>#VALUE!</v>
      </c>
      <c r="AA56" s="11" t="e">
        <f aca="false">Z65</f>
        <v>#VALUE!</v>
      </c>
      <c r="AB56" s="11" t="e">
        <f aca="false">AA65</f>
        <v>#VALUE!</v>
      </c>
      <c r="AC56" s="11" t="e">
        <f aca="false">AB65</f>
        <v>#VALUE!</v>
      </c>
      <c r="AD56" s="11" t="e">
        <f aca="false">AC65</f>
        <v>#VALUE!</v>
      </c>
      <c r="AE56" s="11" t="e">
        <f aca="false">AD65</f>
        <v>#VALUE!</v>
      </c>
      <c r="AF56" s="11" t="e">
        <f aca="false">AE65</f>
        <v>#VALUE!</v>
      </c>
      <c r="AG56" s="11" t="e">
        <f aca="false">AF65</f>
        <v>#VALUE!</v>
      </c>
      <c r="AH56" s="11" t="e">
        <f aca="false">AG65</f>
        <v>#VALUE!</v>
      </c>
      <c r="AI56" s="11" t="e">
        <f aca="false">AH65</f>
        <v>#VALUE!</v>
      </c>
      <c r="AJ56" s="11" t="e">
        <f aca="false">AI65</f>
        <v>#VALUE!</v>
      </c>
      <c r="AK56" s="11" t="e">
        <f aca="false">AJ65</f>
        <v>#VALUE!</v>
      </c>
      <c r="AL56" s="11" t="e">
        <f aca="false">AK65</f>
        <v>#VALUE!</v>
      </c>
      <c r="AM56" s="11" t="e">
        <f aca="false">AL65</f>
        <v>#VALUE!</v>
      </c>
      <c r="AN56" s="11" t="e">
        <f aca="false">AM65</f>
        <v>#VALUE!</v>
      </c>
      <c r="AO56" s="11" t="e">
        <f aca="false">AN65</f>
        <v>#VALUE!</v>
      </c>
      <c r="AP56" s="11" t="e">
        <f aca="false">AO65</f>
        <v>#VALUE!</v>
      </c>
      <c r="AQ56" s="11" t="e">
        <f aca="false">AP65</f>
        <v>#VALUE!</v>
      </c>
      <c r="AR56" s="11" t="e">
        <f aca="false">AQ65</f>
        <v>#VALUE!</v>
      </c>
      <c r="AS56" s="11" t="e">
        <f aca="false">AR65</f>
        <v>#VALUE!</v>
      </c>
      <c r="AT56" s="11" t="e">
        <f aca="false">AS65</f>
        <v>#VALUE!</v>
      </c>
      <c r="AU56" s="11" t="e">
        <f aca="false">AT65</f>
        <v>#VALUE!</v>
      </c>
      <c r="AV56" s="11" t="e">
        <f aca="false">AU65</f>
        <v>#VALUE!</v>
      </c>
      <c r="AW56" s="11" t="e">
        <f aca="false">AV65</f>
        <v>#VALUE!</v>
      </c>
      <c r="AX56" s="11" t="e">
        <f aca="false">AW65</f>
        <v>#VALUE!</v>
      </c>
      <c r="AY56" s="11" t="e">
        <f aca="false">AX65</f>
        <v>#VALUE!</v>
      </c>
      <c r="AZ56" s="11" t="e">
        <f aca="false">AY65</f>
        <v>#VALUE!</v>
      </c>
      <c r="BA56" s="11" t="e">
        <f aca="false">AZ65</f>
        <v>#VALUE!</v>
      </c>
      <c r="BB56" s="11" t="e">
        <f aca="false">BA65</f>
        <v>#VALUE!</v>
      </c>
      <c r="BC56" s="11" t="e">
        <f aca="false">BB65</f>
        <v>#VALUE!</v>
      </c>
      <c r="BD56" s="11" t="e">
        <f aca="false">BC65</f>
        <v>#VALUE!</v>
      </c>
      <c r="BE56" s="11" t="e">
        <f aca="false">BD65</f>
        <v>#VALUE!</v>
      </c>
      <c r="BF56" s="11" t="e">
        <f aca="false">BE65</f>
        <v>#VALUE!</v>
      </c>
      <c r="BG56" s="11" t="e">
        <f aca="false">BF65</f>
        <v>#VALUE!</v>
      </c>
      <c r="BH56" s="11" t="e">
        <f aca="false">BG65</f>
        <v>#VALUE!</v>
      </c>
      <c r="BI56" s="11" t="e">
        <f aca="false">BH65</f>
        <v>#VALUE!</v>
      </c>
      <c r="BJ56" s="11" t="e">
        <f aca="false">BI65</f>
        <v>#VALUE!</v>
      </c>
      <c r="BK56" s="11" t="e">
        <f aca="false">BJ65</f>
        <v>#VALUE!</v>
      </c>
      <c r="BL56" s="11" t="e">
        <f aca="false">BK65</f>
        <v>#VALUE!</v>
      </c>
      <c r="BM56" s="11" t="e">
        <f aca="false">BL65</f>
        <v>#VALUE!</v>
      </c>
      <c r="BN56" s="11" t="e">
        <f aca="false">BM65</f>
        <v>#VALUE!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e">
        <f aca="false">SUM(J57:BN57)</f>
        <v>#VALUE!</v>
      </c>
      <c r="J57" s="11" t="n">
        <f aca="false">J55*J12</f>
        <v>0</v>
      </c>
      <c r="K57" s="11" t="e">
        <f aca="false">K55*K12</f>
        <v>#VALUE!</v>
      </c>
      <c r="L57" s="11" t="e">
        <f aca="false">L55*L12</f>
        <v>#VALUE!</v>
      </c>
      <c r="M57" s="11" t="e">
        <f aca="false">M55*M12</f>
        <v>#VALUE!</v>
      </c>
      <c r="N57" s="11" t="e">
        <f aca="false">N55*N12</f>
        <v>#VALUE!</v>
      </c>
      <c r="O57" s="11" t="e">
        <f aca="false">O55*O12</f>
        <v>#VALUE!</v>
      </c>
      <c r="P57" s="11" t="n">
        <f aca="false">P55*P12</f>
        <v>2.10058043265044</v>
      </c>
      <c r="Q57" s="11" t="e">
        <f aca="false">Q55*Q12</f>
        <v>#VALUE!</v>
      </c>
      <c r="R57" s="11" t="e">
        <f aca="false">R55*R12</f>
        <v>#VALUE!</v>
      </c>
      <c r="S57" s="11" t="e">
        <f aca="false">S55*S12</f>
        <v>#VALUE!</v>
      </c>
      <c r="T57" s="11" t="e">
        <f aca="false">T55*T12</f>
        <v>#VALUE!</v>
      </c>
      <c r="U57" s="11" t="e">
        <f aca="false">U55*U12</f>
        <v>#VALUE!</v>
      </c>
      <c r="V57" s="11" t="e">
        <f aca="false">V55*V12</f>
        <v>#VALUE!</v>
      </c>
      <c r="W57" s="11" t="e">
        <f aca="false">W55*W12</f>
        <v>#VALUE!</v>
      </c>
      <c r="X57" s="11" t="e">
        <f aca="false">X55*X12</f>
        <v>#VALUE!</v>
      </c>
      <c r="Y57" s="11" t="e">
        <f aca="false">Y55*Y12</f>
        <v>#VALUE!</v>
      </c>
      <c r="Z57" s="11" t="e">
        <f aca="false">Z55*Z12</f>
        <v>#VALUE!</v>
      </c>
      <c r="AA57" s="11" t="e">
        <f aca="false">AA55*AA12</f>
        <v>#VALUE!</v>
      </c>
      <c r="AB57" s="11" t="e">
        <f aca="false">AB55*AB12</f>
        <v>#VALUE!</v>
      </c>
      <c r="AC57" s="11" t="e">
        <f aca="false">AC55*AC12</f>
        <v>#VALUE!</v>
      </c>
      <c r="AD57" s="11" t="e">
        <f aca="false">AD55*AD12</f>
        <v>#VALUE!</v>
      </c>
      <c r="AE57" s="11" t="e">
        <f aca="false">AE55*AE12</f>
        <v>#VALUE!</v>
      </c>
      <c r="AF57" s="11" t="e">
        <f aca="false">AF55*AF12</f>
        <v>#VALUE!</v>
      </c>
      <c r="AG57" s="11" t="e">
        <f aca="false">AG55*AG12</f>
        <v>#VALUE!</v>
      </c>
      <c r="AH57" s="11" t="e">
        <f aca="false">AH55*AH12</f>
        <v>#VALUE!</v>
      </c>
      <c r="AI57" s="11" t="e">
        <f aca="false">AI55*AI12</f>
        <v>#VALUE!</v>
      </c>
      <c r="AJ57" s="11" t="e">
        <f aca="false">AJ55*AJ12</f>
        <v>#VALUE!</v>
      </c>
      <c r="AK57" s="11" t="e">
        <f aca="false">AK55*AK12</f>
        <v>#VALUE!</v>
      </c>
      <c r="AL57" s="11" t="e">
        <f aca="false">AL55*AL12</f>
        <v>#VALUE!</v>
      </c>
      <c r="AM57" s="11" t="e">
        <f aca="false">AM55*AM12</f>
        <v>#VALUE!</v>
      </c>
      <c r="AN57" s="11" t="e">
        <f aca="false">AN55*AN12</f>
        <v>#VALUE!</v>
      </c>
      <c r="AO57" s="11" t="e">
        <f aca="false">AO55*AO12</f>
        <v>#VALUE!</v>
      </c>
      <c r="AP57" s="11" t="e">
        <f aca="false">AP55*AP12</f>
        <v>#VALUE!</v>
      </c>
      <c r="AQ57" s="11" t="e">
        <f aca="false">AQ55*AQ12</f>
        <v>#VALUE!</v>
      </c>
      <c r="AR57" s="11" t="e">
        <f aca="false">AR55*AR12</f>
        <v>#VALUE!</v>
      </c>
      <c r="AS57" s="11" t="e">
        <f aca="false">AS55*AS12</f>
        <v>#VALUE!</v>
      </c>
      <c r="AT57" s="11" t="e">
        <f aca="false">AT55*AT12</f>
        <v>#VALUE!</v>
      </c>
      <c r="AU57" s="11" t="e">
        <f aca="false">AU55*AU12</f>
        <v>#VALUE!</v>
      </c>
      <c r="AV57" s="11" t="e">
        <f aca="false">AV55*AV12</f>
        <v>#VALUE!</v>
      </c>
      <c r="AW57" s="11" t="e">
        <f aca="false">AW55*AW12</f>
        <v>#VALUE!</v>
      </c>
      <c r="AX57" s="11" t="e">
        <f aca="false">AX55*AX12</f>
        <v>#VALUE!</v>
      </c>
      <c r="AY57" s="11" t="e">
        <f aca="false">AY55*AY12</f>
        <v>#VALUE!</v>
      </c>
      <c r="AZ57" s="11" t="e">
        <f aca="false">AZ55*AZ12</f>
        <v>#VALUE!</v>
      </c>
      <c r="BA57" s="11" t="e">
        <f aca="false">BA55*BA12</f>
        <v>#VALUE!</v>
      </c>
      <c r="BB57" s="11" t="e">
        <f aca="false">BB55*BB12</f>
        <v>#VALUE!</v>
      </c>
      <c r="BC57" s="11" t="e">
        <f aca="false">BC55*BC12</f>
        <v>#VALUE!</v>
      </c>
      <c r="BD57" s="11" t="e">
        <f aca="false">BD55*BD12</f>
        <v>#VALUE!</v>
      </c>
      <c r="BE57" s="11" t="e">
        <f aca="false">BE55*BE12</f>
        <v>#VALUE!</v>
      </c>
      <c r="BF57" s="11" t="e">
        <f aca="false">BF55*BF12</f>
        <v>#VALUE!</v>
      </c>
      <c r="BG57" s="11" t="e">
        <f aca="false">BG55*BG12</f>
        <v>#VALUE!</v>
      </c>
      <c r="BH57" s="11" t="e">
        <f aca="false">BH55*BH12</f>
        <v>#VALUE!</v>
      </c>
      <c r="BI57" s="11" t="e">
        <f aca="false">BI55*BI12</f>
        <v>#VALUE!</v>
      </c>
      <c r="BJ57" s="11" t="e">
        <f aca="false">BJ55*BJ12</f>
        <v>#VALUE!</v>
      </c>
      <c r="BK57" s="11" t="e">
        <f aca="false">BK55*BK12</f>
        <v>#VALUE!</v>
      </c>
      <c r="BL57" s="11" t="e">
        <f aca="false">BL55*BL12</f>
        <v>#VALUE!</v>
      </c>
      <c r="BM57" s="11" t="e">
        <f aca="false">BM55*BM12</f>
        <v>#VALUE!</v>
      </c>
      <c r="BN57" s="11" t="e">
        <f aca="false">BN55*BN12</f>
        <v>#VALUE!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e">
        <f aca="false">SUM(J58:BN58)</f>
        <v>#VALUE!</v>
      </c>
      <c r="J58" s="11" t="n">
        <f aca="false">Time!J30*(J55-J56)*J19</f>
        <v>0</v>
      </c>
      <c r="K58" s="11" t="e">
        <f aca="false">Time!K30*(K55-K56)*K19</f>
        <v>#VALUE!</v>
      </c>
      <c r="L58" s="11" t="e">
        <f aca="false">Time!L30*(L55-L56)*L19</f>
        <v>#VALUE!</v>
      </c>
      <c r="M58" s="11" t="e">
        <f aca="false">Time!M30*(M55-M56)*M19</f>
        <v>#VALUE!</v>
      </c>
      <c r="N58" s="11" t="e">
        <f aca="false">Time!N30*(N55-N56)*N19</f>
        <v>#VALUE!</v>
      </c>
      <c r="O58" s="11" t="e">
        <f aca="false">Time!O30*(O55-O56)*O19</f>
        <v>#VALUE!</v>
      </c>
      <c r="P58" s="11" t="e">
        <f aca="false">Time!P30*(P55-P56)*P19</f>
        <v>#VALUE!</v>
      </c>
      <c r="Q58" s="11" t="e">
        <f aca="false">Time!Q30*(Q55-Q56)*Q19</f>
        <v>#VALUE!</v>
      </c>
      <c r="R58" s="11" t="e">
        <f aca="false">Time!R30*(R55-R56)*R19</f>
        <v>#VALUE!</v>
      </c>
      <c r="S58" s="11" t="e">
        <f aca="false">Time!S30*(S55-S56)*S19</f>
        <v>#VALUE!</v>
      </c>
      <c r="T58" s="11" t="e">
        <f aca="false">Time!T30*(T55-T56)*T19</f>
        <v>#VALUE!</v>
      </c>
      <c r="U58" s="11" t="e">
        <f aca="false">Time!U30*(U55-U56)*U19</f>
        <v>#VALUE!</v>
      </c>
      <c r="V58" s="11" t="e">
        <f aca="false">Time!V30*(V55-V56)*V19</f>
        <v>#VALUE!</v>
      </c>
      <c r="W58" s="11" t="e">
        <f aca="false">Time!W30*(W55-W56)*W19</f>
        <v>#VALUE!</v>
      </c>
      <c r="X58" s="11" t="e">
        <f aca="false">Time!X30*(X55-X56)*X19</f>
        <v>#VALUE!</v>
      </c>
      <c r="Y58" s="11" t="e">
        <f aca="false">Time!Y30*(Y55-Y56)*Y19</f>
        <v>#VALUE!</v>
      </c>
      <c r="Z58" s="11" t="e">
        <f aca="false">Time!Z30*(Z55-Z56)*Z19</f>
        <v>#VALUE!</v>
      </c>
      <c r="AA58" s="11" t="e">
        <f aca="false">Time!AA30*(AA55-AA56)*AA19</f>
        <v>#VALUE!</v>
      </c>
      <c r="AB58" s="11" t="e">
        <f aca="false">Time!AB30*(AB55-AB56)*AB19</f>
        <v>#VALUE!</v>
      </c>
      <c r="AC58" s="11" t="e">
        <f aca="false">Time!AC30*(AC55-AC56)*AC19</f>
        <v>#VALUE!</v>
      </c>
      <c r="AD58" s="11" t="e">
        <f aca="false">Time!AD30*(AD55-AD56)*AD19</f>
        <v>#VALUE!</v>
      </c>
      <c r="AE58" s="11" t="e">
        <f aca="false">Time!AE30*(AE55-AE56)*AE19</f>
        <v>#VALUE!</v>
      </c>
      <c r="AF58" s="11" t="e">
        <f aca="false">Time!AF30*(AF55-AF56)*AF19</f>
        <v>#VALUE!</v>
      </c>
      <c r="AG58" s="11" t="e">
        <f aca="false">Time!AG30*(AG55-AG56)*AG19</f>
        <v>#VALUE!</v>
      </c>
      <c r="AH58" s="11" t="e">
        <f aca="false">Time!AH30*(AH55-AH56)*AH19</f>
        <v>#VALUE!</v>
      </c>
      <c r="AI58" s="11" t="e">
        <f aca="false">Time!AI30*(AI55-AI56)*AI19</f>
        <v>#VALUE!</v>
      </c>
      <c r="AJ58" s="11" t="e">
        <f aca="false">Time!AJ30*(AJ55-AJ56)*AJ19</f>
        <v>#VALUE!</v>
      </c>
      <c r="AK58" s="11" t="e">
        <f aca="false">Time!AK30*(AK55-AK56)*AK19</f>
        <v>#VALUE!</v>
      </c>
      <c r="AL58" s="11" t="e">
        <f aca="false">Time!AL30*(AL55-AL56)*AL19</f>
        <v>#VALUE!</v>
      </c>
      <c r="AM58" s="11" t="e">
        <f aca="false">Time!AM30*(AM55-AM56)*AM19</f>
        <v>#VALUE!</v>
      </c>
      <c r="AN58" s="11" t="e">
        <f aca="false">Time!AN30*(AN55-AN56)*AN19</f>
        <v>#VALUE!</v>
      </c>
      <c r="AO58" s="11" t="e">
        <f aca="false">Time!AO30*(AO55-AO56)*AO19</f>
        <v>#VALUE!</v>
      </c>
      <c r="AP58" s="11" t="e">
        <f aca="false">Time!AP30*(AP55-AP56)*AP19</f>
        <v>#VALUE!</v>
      </c>
      <c r="AQ58" s="11" t="e">
        <f aca="false">Time!AQ30*(AQ55-AQ56)*AQ19</f>
        <v>#VALUE!</v>
      </c>
      <c r="AR58" s="11" t="e">
        <f aca="false">Time!AR30*(AR55-AR56)*AR19</f>
        <v>#VALUE!</v>
      </c>
      <c r="AS58" s="11" t="e">
        <f aca="false">Time!AS30*(AS55-AS56)*AS19</f>
        <v>#VALUE!</v>
      </c>
      <c r="AT58" s="11" t="e">
        <f aca="false">Time!AT30*(AT55-AT56)*AT19</f>
        <v>#VALUE!</v>
      </c>
      <c r="AU58" s="11" t="e">
        <f aca="false">Time!AU30*(AU55-AU56)*AU19</f>
        <v>#VALUE!</v>
      </c>
      <c r="AV58" s="11" t="e">
        <f aca="false">Time!AV30*(AV55-AV56)*AV19</f>
        <v>#VALUE!</v>
      </c>
      <c r="AW58" s="11" t="e">
        <f aca="false">Time!AW30*(AW55-AW56)*AW19</f>
        <v>#VALUE!</v>
      </c>
      <c r="AX58" s="11" t="e">
        <f aca="false">Time!AX30*(AX55-AX56)*AX19</f>
        <v>#VALUE!</v>
      </c>
      <c r="AY58" s="11" t="e">
        <f aca="false">Time!AY30*(AY55-AY56)*AY19</f>
        <v>#VALUE!</v>
      </c>
      <c r="AZ58" s="11" t="e">
        <f aca="false">Time!AZ30*(AZ55-AZ56)*AZ19</f>
        <v>#VALUE!</v>
      </c>
      <c r="BA58" s="11" t="e">
        <f aca="false">Time!BA30*(BA55-BA56)*BA19</f>
        <v>#VALUE!</v>
      </c>
      <c r="BB58" s="11" t="e">
        <f aca="false">Time!BB30*(BB55-BB56)*BB19</f>
        <v>#VALUE!</v>
      </c>
      <c r="BC58" s="11" t="e">
        <f aca="false">Time!BC30*(BC55-BC56)*BC19</f>
        <v>#VALUE!</v>
      </c>
      <c r="BD58" s="11" t="e">
        <f aca="false">Time!BD30*(BD55-BD56)*BD19</f>
        <v>#VALUE!</v>
      </c>
      <c r="BE58" s="11" t="e">
        <f aca="false">Time!BE30*(BE55-BE56)*BE19</f>
        <v>#VALUE!</v>
      </c>
      <c r="BF58" s="11" t="e">
        <f aca="false">Time!BF30*(BF55-BF56)*BF19</f>
        <v>#VALUE!</v>
      </c>
      <c r="BG58" s="11" t="e">
        <f aca="false">Time!BG30*(BG55-BG56)*BG19</f>
        <v>#VALUE!</v>
      </c>
      <c r="BH58" s="11" t="e">
        <f aca="false">Time!BH30*(BH55-BH56)*BH19</f>
        <v>#VALUE!</v>
      </c>
      <c r="BI58" s="11" t="e">
        <f aca="false">Time!BI30*(BI55-BI56)*BI19</f>
        <v>#VALUE!</v>
      </c>
      <c r="BJ58" s="11" t="e">
        <f aca="false">Time!BJ30*(BJ55-BJ56)*BJ19</f>
        <v>#VALUE!</v>
      </c>
      <c r="BK58" s="11" t="e">
        <f aca="false">Time!BK30*(BK55-BK56)*BK19</f>
        <v>#VALUE!</v>
      </c>
      <c r="BL58" s="11" t="e">
        <f aca="false">Time!BL30*(BL55-BL56)*BL19</f>
        <v>#VALUE!</v>
      </c>
      <c r="BM58" s="11" t="e">
        <f aca="false">Time!BM30*(BM55-BM56)*BM19</f>
        <v>#VALUE!</v>
      </c>
      <c r="BN58" s="11" t="e">
        <f aca="false">Time!BN30*(BN55-BN56)*BN19</f>
        <v>#VALUE!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e">
        <f aca="false">SUM(J59:BN59)</f>
        <v>#VALUE!</v>
      </c>
      <c r="J59" s="11" t="n">
        <f aca="false">J21*Inputs!$F$191*J58</f>
        <v>0</v>
      </c>
      <c r="K59" s="11" t="e">
        <f aca="false">K21*Inputs!$F$191*K58</f>
        <v>#VALUE!</v>
      </c>
      <c r="L59" s="11" t="e">
        <f aca="false">L21*Inputs!$F$191*L58</f>
        <v>#VALUE!</v>
      </c>
      <c r="M59" s="11" t="e">
        <f aca="false">M21*Inputs!$F$191*M58</f>
        <v>#VALUE!</v>
      </c>
      <c r="N59" s="11" t="e">
        <f aca="false">N21*Inputs!$F$191*N58</f>
        <v>#VALUE!</v>
      </c>
      <c r="O59" s="11" t="e">
        <f aca="false">O21*Inputs!$F$191*O58</f>
        <v>#VALUE!</v>
      </c>
      <c r="P59" s="11" t="e">
        <f aca="false">P21*Inputs!$F$191*P58</f>
        <v>#VALUE!</v>
      </c>
      <c r="Q59" s="11" t="e">
        <f aca="false">Q21*Inputs!$F$191*Q58</f>
        <v>#VALUE!</v>
      </c>
      <c r="R59" s="11" t="e">
        <f aca="false">R21*Inputs!$F$191*R58</f>
        <v>#VALUE!</v>
      </c>
      <c r="S59" s="11" t="e">
        <f aca="false">S21*Inputs!$F$191*S58</f>
        <v>#VALUE!</v>
      </c>
      <c r="T59" s="11" t="e">
        <f aca="false">T21*Inputs!$F$191*T58</f>
        <v>#VALUE!</v>
      </c>
      <c r="U59" s="11" t="e">
        <f aca="false">U21*Inputs!$F$191*U58</f>
        <v>#VALUE!</v>
      </c>
      <c r="V59" s="11" t="e">
        <f aca="false">V21*Inputs!$F$191*V58</f>
        <v>#VALUE!</v>
      </c>
      <c r="W59" s="11" t="e">
        <f aca="false">W21*Inputs!$F$191*W58</f>
        <v>#VALUE!</v>
      </c>
      <c r="X59" s="11" t="e">
        <f aca="false">X21*Inputs!$F$191*X58</f>
        <v>#VALUE!</v>
      </c>
      <c r="Y59" s="11" t="e">
        <f aca="false">Y21*Inputs!$F$191*Y58</f>
        <v>#VALUE!</v>
      </c>
      <c r="Z59" s="11" t="e">
        <f aca="false">Z21*Inputs!$F$191*Z58</f>
        <v>#VALUE!</v>
      </c>
      <c r="AA59" s="11" t="e">
        <f aca="false">AA21*Inputs!$F$191*AA58</f>
        <v>#VALUE!</v>
      </c>
      <c r="AB59" s="11" t="e">
        <f aca="false">AB21*Inputs!$F$191*AB58</f>
        <v>#VALUE!</v>
      </c>
      <c r="AC59" s="11" t="e">
        <f aca="false">AC21*Inputs!$F$191*AC58</f>
        <v>#VALUE!</v>
      </c>
      <c r="AD59" s="11" t="e">
        <f aca="false">AD21*Inputs!$F$191*AD58</f>
        <v>#VALUE!</v>
      </c>
      <c r="AE59" s="11" t="e">
        <f aca="false">AE21*Inputs!$F$191*AE58</f>
        <v>#VALUE!</v>
      </c>
      <c r="AF59" s="11" t="e">
        <f aca="false">AF21*Inputs!$F$191*AF58</f>
        <v>#VALUE!</v>
      </c>
      <c r="AG59" s="11" t="e">
        <f aca="false">AG21*Inputs!$F$191*AG58</f>
        <v>#VALUE!</v>
      </c>
      <c r="AH59" s="11" t="e">
        <f aca="false">AH21*Inputs!$F$191*AH58</f>
        <v>#VALUE!</v>
      </c>
      <c r="AI59" s="11" t="e">
        <f aca="false">AI21*Inputs!$F$191*AI58</f>
        <v>#VALUE!</v>
      </c>
      <c r="AJ59" s="11" t="e">
        <f aca="false">AJ21*Inputs!$F$191*AJ58</f>
        <v>#VALUE!</v>
      </c>
      <c r="AK59" s="11" t="e">
        <f aca="false">AK21*Inputs!$F$191*AK58</f>
        <v>#VALUE!</v>
      </c>
      <c r="AL59" s="11" t="e">
        <f aca="false">AL21*Inputs!$F$191*AL58</f>
        <v>#VALUE!</v>
      </c>
      <c r="AM59" s="11" t="e">
        <f aca="false">AM21*Inputs!$F$191*AM58</f>
        <v>#VALUE!</v>
      </c>
      <c r="AN59" s="11" t="e">
        <f aca="false">AN21*Inputs!$F$191*AN58</f>
        <v>#VALUE!</v>
      </c>
      <c r="AO59" s="11" t="e">
        <f aca="false">AO21*Inputs!$F$191*AO58</f>
        <v>#VALUE!</v>
      </c>
      <c r="AP59" s="11" t="e">
        <f aca="false">AP21*Inputs!$F$191*AP58</f>
        <v>#VALUE!</v>
      </c>
      <c r="AQ59" s="11" t="e">
        <f aca="false">AQ21*Inputs!$F$191*AQ58</f>
        <v>#VALUE!</v>
      </c>
      <c r="AR59" s="11" t="e">
        <f aca="false">AR21*Inputs!$F$191*AR58</f>
        <v>#VALUE!</v>
      </c>
      <c r="AS59" s="11" t="e">
        <f aca="false">AS21*Inputs!$F$191*AS58</f>
        <v>#VALUE!</v>
      </c>
      <c r="AT59" s="11" t="e">
        <f aca="false">AT21*Inputs!$F$191*AT58</f>
        <v>#VALUE!</v>
      </c>
      <c r="AU59" s="11" t="e">
        <f aca="false">AU21*Inputs!$F$191*AU58</f>
        <v>#VALUE!</v>
      </c>
      <c r="AV59" s="11" t="e">
        <f aca="false">AV21*Inputs!$F$191*AV58</f>
        <v>#VALUE!</v>
      </c>
      <c r="AW59" s="11" t="e">
        <f aca="false">AW21*Inputs!$F$191*AW58</f>
        <v>#VALUE!</v>
      </c>
      <c r="AX59" s="11" t="e">
        <f aca="false">AX21*Inputs!$F$191*AX58</f>
        <v>#VALUE!</v>
      </c>
      <c r="AY59" s="11" t="e">
        <f aca="false">AY21*Inputs!$F$191*AY58</f>
        <v>#VALUE!</v>
      </c>
      <c r="AZ59" s="11" t="e">
        <f aca="false">AZ21*Inputs!$F$191*AZ58</f>
        <v>#VALUE!</v>
      </c>
      <c r="BA59" s="11" t="e">
        <f aca="false">BA21*Inputs!$F$191*BA58</f>
        <v>#VALUE!</v>
      </c>
      <c r="BB59" s="11" t="e">
        <f aca="false">BB21*Inputs!$F$191*BB58</f>
        <v>#VALUE!</v>
      </c>
      <c r="BC59" s="11" t="e">
        <f aca="false">BC21*Inputs!$F$191*BC58</f>
        <v>#VALUE!</v>
      </c>
      <c r="BD59" s="11" t="e">
        <f aca="false">BD21*Inputs!$F$191*BD58</f>
        <v>#VALUE!</v>
      </c>
      <c r="BE59" s="11" t="e">
        <f aca="false">BE21*Inputs!$F$191*BE58</f>
        <v>#VALUE!</v>
      </c>
      <c r="BF59" s="11" t="e">
        <f aca="false">BF21*Inputs!$F$191*BF58</f>
        <v>#VALUE!</v>
      </c>
      <c r="BG59" s="11" t="e">
        <f aca="false">BG21*Inputs!$F$191*BG58</f>
        <v>#VALUE!</v>
      </c>
      <c r="BH59" s="11" t="e">
        <f aca="false">BH21*Inputs!$F$191*BH58</f>
        <v>#VALUE!</v>
      </c>
      <c r="BI59" s="11" t="e">
        <f aca="false">BI21*Inputs!$F$191*BI58</f>
        <v>#VALUE!</v>
      </c>
      <c r="BJ59" s="11" t="e">
        <f aca="false">BJ21*Inputs!$F$191*BJ58</f>
        <v>#VALUE!</v>
      </c>
      <c r="BK59" s="11" t="e">
        <f aca="false">BK21*Inputs!$F$191*BK58</f>
        <v>#VALUE!</v>
      </c>
      <c r="BL59" s="11" t="e">
        <f aca="false">BL21*Inputs!$F$191*BL58</f>
        <v>#VALUE!</v>
      </c>
      <c r="BM59" s="11" t="e">
        <f aca="false">BM21*Inputs!$F$191*BM58</f>
        <v>#VALUE!</v>
      </c>
      <c r="BN59" s="11" t="e">
        <f aca="false">BN21*Inputs!$F$191*BN58</f>
        <v>#VALUE!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e">
        <f aca="false">SUM(Debt!$J$59:$BN$59)</f>
        <v>#VALUE!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e">
        <f aca="false">SUM(J61:BN61)</f>
        <v>#VALUE!</v>
      </c>
      <c r="J61" s="11" t="e">
        <f aca="false">J22*MIN($F$60/4,J56)</f>
        <v>#VALUE!</v>
      </c>
      <c r="K61" s="11" t="e">
        <f aca="false">K22*MIN($F$60/4,K56)</f>
        <v>#VALUE!</v>
      </c>
      <c r="L61" s="11" t="e">
        <f aca="false">L22*MIN($F$60/4,L56)</f>
        <v>#VALUE!</v>
      </c>
      <c r="M61" s="11" t="e">
        <f aca="false">M22*MIN($F$60/4,M56)</f>
        <v>#VALUE!</v>
      </c>
      <c r="N61" s="11" t="e">
        <f aca="false">N22*MIN($F$60/4,N56)</f>
        <v>#VALUE!</v>
      </c>
      <c r="O61" s="11" t="e">
        <f aca="false">O22*MIN($F$60/4,O56)</f>
        <v>#VALUE!</v>
      </c>
      <c r="P61" s="11" t="e">
        <f aca="false">P22*MIN($F$60/4,P56)</f>
        <v>#VALUE!</v>
      </c>
      <c r="Q61" s="11" t="e">
        <f aca="false">Q22*MIN($F$60/4,Q56)</f>
        <v>#VALUE!</v>
      </c>
      <c r="R61" s="11" t="e">
        <f aca="false">R22*MIN($F$60/4,R56)</f>
        <v>#VALUE!</v>
      </c>
      <c r="S61" s="11" t="e">
        <f aca="false">S22*MIN($F$60/4,S56)</f>
        <v>#VALUE!</v>
      </c>
      <c r="T61" s="11" t="e">
        <f aca="false">T22*MIN($F$60/4,T56)</f>
        <v>#VALUE!</v>
      </c>
      <c r="U61" s="11" t="e">
        <f aca="false">U22*MIN($F$60/4,U56)</f>
        <v>#VALUE!</v>
      </c>
      <c r="V61" s="11" t="e">
        <f aca="false">V22*MIN($F$60/4,V56)</f>
        <v>#VALUE!</v>
      </c>
      <c r="W61" s="11" t="e">
        <f aca="false">W22*MIN($F$60/4,W56)</f>
        <v>#VALUE!</v>
      </c>
      <c r="X61" s="11" t="e">
        <f aca="false">X22*MIN($F$60/4,X56)</f>
        <v>#VALUE!</v>
      </c>
      <c r="Y61" s="11" t="e">
        <f aca="false">Y22*MIN($F$60/4,Y56)</f>
        <v>#VALUE!</v>
      </c>
      <c r="Z61" s="11" t="e">
        <f aca="false">Z22*MIN($F$60/4,Z56)</f>
        <v>#VALUE!</v>
      </c>
      <c r="AA61" s="11" t="e">
        <f aca="false">AA22*MIN($F$60/4,AA56)</f>
        <v>#VALUE!</v>
      </c>
      <c r="AB61" s="11" t="e">
        <f aca="false">AB22*MIN($F$60/4,AB56)</f>
        <v>#VALUE!</v>
      </c>
      <c r="AC61" s="11" t="e">
        <f aca="false">AC22*MIN($F$60/4,AC56)</f>
        <v>#VALUE!</v>
      </c>
      <c r="AD61" s="11" t="e">
        <f aca="false">AD22*MIN($F$60/4,AD56)</f>
        <v>#VALUE!</v>
      </c>
      <c r="AE61" s="11" t="e">
        <f aca="false">AE22*MIN($F$60/4,AE56)</f>
        <v>#VALUE!</v>
      </c>
      <c r="AF61" s="11" t="e">
        <f aca="false">AF22*MIN($F$60/4,AF56)</f>
        <v>#VALUE!</v>
      </c>
      <c r="AG61" s="11" t="e">
        <f aca="false">AG22*MIN($F$60/4,AG56)</f>
        <v>#VALUE!</v>
      </c>
      <c r="AH61" s="11" t="e">
        <f aca="false">AH22*MIN($F$60/4,AH56)</f>
        <v>#VALUE!</v>
      </c>
      <c r="AI61" s="11" t="e">
        <f aca="false">AI22*MIN($F$60/4,AI56)</f>
        <v>#VALUE!</v>
      </c>
      <c r="AJ61" s="11" t="e">
        <f aca="false">AJ22*MIN($F$60/4,AJ56)</f>
        <v>#VALUE!</v>
      </c>
      <c r="AK61" s="11" t="e">
        <f aca="false">AK22*MIN($F$60/4,AK56)</f>
        <v>#VALUE!</v>
      </c>
      <c r="AL61" s="11" t="e">
        <f aca="false">AL22*MIN($F$60/4,AL56)</f>
        <v>#VALUE!</v>
      </c>
      <c r="AM61" s="11" t="e">
        <f aca="false">AM22*MIN($F$60/4,AM56)</f>
        <v>#VALUE!</v>
      </c>
      <c r="AN61" s="11" t="e">
        <f aca="false">AN22*MIN($F$60/4,AN56)</f>
        <v>#VALUE!</v>
      </c>
      <c r="AO61" s="11" t="e">
        <f aca="false">AO22*MIN($F$60/4,AO56)</f>
        <v>#VALUE!</v>
      </c>
      <c r="AP61" s="11" t="e">
        <f aca="false">AP22*MIN($F$60/4,AP56)</f>
        <v>#VALUE!</v>
      </c>
      <c r="AQ61" s="11" t="e">
        <f aca="false">AQ22*MIN($F$60/4,AQ56)</f>
        <v>#VALUE!</v>
      </c>
      <c r="AR61" s="11" t="e">
        <f aca="false">AR22*MIN($F$60/4,AR56)</f>
        <v>#VALUE!</v>
      </c>
      <c r="AS61" s="11" t="e">
        <f aca="false">AS22*MIN($F$60/4,AS56)</f>
        <v>#VALUE!</v>
      </c>
      <c r="AT61" s="11" t="e">
        <f aca="false">AT22*MIN($F$60/4,AT56)</f>
        <v>#VALUE!</v>
      </c>
      <c r="AU61" s="11" t="e">
        <f aca="false">AU22*MIN($F$60/4,AU56)</f>
        <v>#VALUE!</v>
      </c>
      <c r="AV61" s="11" t="e">
        <f aca="false">AV22*MIN($F$60/4,AV56)</f>
        <v>#VALUE!</v>
      </c>
      <c r="AW61" s="11" t="e">
        <f aca="false">AW22*MIN($F$60/4,AW56)</f>
        <v>#VALUE!</v>
      </c>
      <c r="AX61" s="11" t="e">
        <f aca="false">AX22*MIN($F$60/4,AX56)</f>
        <v>#VALUE!</v>
      </c>
      <c r="AY61" s="11" t="e">
        <f aca="false">AY22*MIN($F$60/4,AY56)</f>
        <v>#VALUE!</v>
      </c>
      <c r="AZ61" s="11" t="e">
        <f aca="false">AZ22*MIN($F$60/4,AZ56)</f>
        <v>#VALUE!</v>
      </c>
      <c r="BA61" s="11" t="e">
        <f aca="false">BA22*MIN($F$60/4,BA56)</f>
        <v>#VALUE!</v>
      </c>
      <c r="BB61" s="11" t="e">
        <f aca="false">BB22*MIN($F$60/4,BB56)</f>
        <v>#VALUE!</v>
      </c>
      <c r="BC61" s="11" t="e">
        <f aca="false">BC22*MIN($F$60/4,BC56)</f>
        <v>#VALUE!</v>
      </c>
      <c r="BD61" s="11" t="e">
        <f aca="false">BD22*MIN($F$60/4,BD56)</f>
        <v>#VALUE!</v>
      </c>
      <c r="BE61" s="11" t="e">
        <f aca="false">BE22*MIN($F$60/4,BE56)</f>
        <v>#VALUE!</v>
      </c>
      <c r="BF61" s="11" t="e">
        <f aca="false">BF22*MIN($F$60/4,BF56)</f>
        <v>#VALUE!</v>
      </c>
      <c r="BG61" s="11" t="e">
        <f aca="false">BG22*MIN($F$60/4,BG56)</f>
        <v>#VALUE!</v>
      </c>
      <c r="BH61" s="11" t="e">
        <f aca="false">BH22*MIN($F$60/4,BH56)</f>
        <v>#VALUE!</v>
      </c>
      <c r="BI61" s="11" t="e">
        <f aca="false">BI22*MIN($F$60/4,BI56)</f>
        <v>#VALUE!</v>
      </c>
      <c r="BJ61" s="11" t="e">
        <f aca="false">BJ22*MIN($F$60/4,BJ56)</f>
        <v>#VALUE!</v>
      </c>
      <c r="BK61" s="11" t="e">
        <f aca="false">BK22*MIN($F$60/4,BK56)</f>
        <v>#VALUE!</v>
      </c>
      <c r="BL61" s="11" t="e">
        <f aca="false">BL22*MIN($F$60/4,BL56)</f>
        <v>#VALUE!</v>
      </c>
      <c r="BM61" s="11" t="e">
        <f aca="false">BM22*MIN($F$60/4,BM56)</f>
        <v>#VALUE!</v>
      </c>
      <c r="BN61" s="11" t="e">
        <f aca="false">BN22*MIN($F$60/4,BN56)</f>
        <v>#VALUE!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e">
        <f aca="false">SUM(J62:BN62)</f>
        <v>#VALUE!</v>
      </c>
      <c r="J62" s="11" t="e">
        <f aca="false">J58-J59+J61</f>
        <v>#VALUE!</v>
      </c>
      <c r="K62" s="11" t="e">
        <f aca="false">K58-K59+K61</f>
        <v>#VALUE!</v>
      </c>
      <c r="L62" s="11" t="e">
        <f aca="false">L58-L59+L61</f>
        <v>#VALUE!</v>
      </c>
      <c r="M62" s="11" t="e">
        <f aca="false">M58-M59+M61</f>
        <v>#VALUE!</v>
      </c>
      <c r="N62" s="11" t="e">
        <f aca="false">N58-N59+N61</f>
        <v>#VALUE!</v>
      </c>
      <c r="O62" s="11" t="e">
        <f aca="false">O58-O59+O61</f>
        <v>#VALUE!</v>
      </c>
      <c r="P62" s="11" t="e">
        <f aca="false">P58-P59+P61</f>
        <v>#VALUE!</v>
      </c>
      <c r="Q62" s="11" t="e">
        <f aca="false">Q58-Q59+Q61</f>
        <v>#VALUE!</v>
      </c>
      <c r="R62" s="11" t="e">
        <f aca="false">R58-R59+R61</f>
        <v>#VALUE!</v>
      </c>
      <c r="S62" s="11" t="e">
        <f aca="false">S58-S59+S61</f>
        <v>#VALUE!</v>
      </c>
      <c r="T62" s="11" t="e">
        <f aca="false">T58-T59+T61</f>
        <v>#VALUE!</v>
      </c>
      <c r="U62" s="11" t="e">
        <f aca="false">U58-U59+U61</f>
        <v>#VALUE!</v>
      </c>
      <c r="V62" s="11" t="e">
        <f aca="false">V58-V59+V61</f>
        <v>#VALUE!</v>
      </c>
      <c r="W62" s="11" t="e">
        <f aca="false">W58-W59+W61</f>
        <v>#VALUE!</v>
      </c>
      <c r="X62" s="11" t="e">
        <f aca="false">X58-X59+X61</f>
        <v>#VALUE!</v>
      </c>
      <c r="Y62" s="11" t="e">
        <f aca="false">Y58-Y59+Y61</f>
        <v>#VALUE!</v>
      </c>
      <c r="Z62" s="11" t="e">
        <f aca="false">Z58-Z59+Z61</f>
        <v>#VALUE!</v>
      </c>
      <c r="AA62" s="11" t="e">
        <f aca="false">AA58-AA59+AA61</f>
        <v>#VALUE!</v>
      </c>
      <c r="AB62" s="11" t="e">
        <f aca="false">AB58-AB59+AB61</f>
        <v>#VALUE!</v>
      </c>
      <c r="AC62" s="11" t="e">
        <f aca="false">AC58-AC59+AC61</f>
        <v>#VALUE!</v>
      </c>
      <c r="AD62" s="11" t="e">
        <f aca="false">AD58-AD59+AD61</f>
        <v>#VALUE!</v>
      </c>
      <c r="AE62" s="11" t="e">
        <f aca="false">AE58-AE59+AE61</f>
        <v>#VALUE!</v>
      </c>
      <c r="AF62" s="11" t="e">
        <f aca="false">AF58-AF59+AF61</f>
        <v>#VALUE!</v>
      </c>
      <c r="AG62" s="11" t="e">
        <f aca="false">AG58-AG59+AG61</f>
        <v>#VALUE!</v>
      </c>
      <c r="AH62" s="11" t="e">
        <f aca="false">AH58-AH59+AH61</f>
        <v>#VALUE!</v>
      </c>
      <c r="AI62" s="11" t="e">
        <f aca="false">AI58-AI59+AI61</f>
        <v>#VALUE!</v>
      </c>
      <c r="AJ62" s="11" t="e">
        <f aca="false">AJ58-AJ59+AJ61</f>
        <v>#VALUE!</v>
      </c>
      <c r="AK62" s="11" t="e">
        <f aca="false">AK58-AK59+AK61</f>
        <v>#VALUE!</v>
      </c>
      <c r="AL62" s="11" t="e">
        <f aca="false">AL58-AL59+AL61</f>
        <v>#VALUE!</v>
      </c>
      <c r="AM62" s="11" t="e">
        <f aca="false">AM58-AM59+AM61</f>
        <v>#VALUE!</v>
      </c>
      <c r="AN62" s="11" t="e">
        <f aca="false">AN58-AN59+AN61</f>
        <v>#VALUE!</v>
      </c>
      <c r="AO62" s="11" t="e">
        <f aca="false">AO58-AO59+AO61</f>
        <v>#VALUE!</v>
      </c>
      <c r="AP62" s="11" t="e">
        <f aca="false">AP58-AP59+AP61</f>
        <v>#VALUE!</v>
      </c>
      <c r="AQ62" s="11" t="e">
        <f aca="false">AQ58-AQ59+AQ61</f>
        <v>#VALUE!</v>
      </c>
      <c r="AR62" s="11" t="e">
        <f aca="false">AR58-AR59+AR61</f>
        <v>#VALUE!</v>
      </c>
      <c r="AS62" s="11" t="e">
        <f aca="false">AS58-AS59+AS61</f>
        <v>#VALUE!</v>
      </c>
      <c r="AT62" s="11" t="e">
        <f aca="false">AT58-AT59+AT61</f>
        <v>#VALUE!</v>
      </c>
      <c r="AU62" s="11" t="e">
        <f aca="false">AU58-AU59+AU61</f>
        <v>#VALUE!</v>
      </c>
      <c r="AV62" s="11" t="e">
        <f aca="false">AV58-AV59+AV61</f>
        <v>#VALUE!</v>
      </c>
      <c r="AW62" s="11" t="e">
        <f aca="false">AW58-AW59+AW61</f>
        <v>#VALUE!</v>
      </c>
      <c r="AX62" s="11" t="e">
        <f aca="false">AX58-AX59+AX61</f>
        <v>#VALUE!</v>
      </c>
      <c r="AY62" s="11" t="e">
        <f aca="false">AY58-AY59+AY61</f>
        <v>#VALUE!</v>
      </c>
      <c r="AZ62" s="11" t="e">
        <f aca="false">AZ58-AZ59+AZ61</f>
        <v>#VALUE!</v>
      </c>
      <c r="BA62" s="11" t="e">
        <f aca="false">BA58-BA59+BA61</f>
        <v>#VALUE!</v>
      </c>
      <c r="BB62" s="11" t="e">
        <f aca="false">BB58-BB59+BB61</f>
        <v>#VALUE!</v>
      </c>
      <c r="BC62" s="11" t="e">
        <f aca="false">BC58-BC59+BC61</f>
        <v>#VALUE!</v>
      </c>
      <c r="BD62" s="11" t="e">
        <f aca="false">BD58-BD59+BD61</f>
        <v>#VALUE!</v>
      </c>
      <c r="BE62" s="11" t="e">
        <f aca="false">BE58-BE59+BE61</f>
        <v>#VALUE!</v>
      </c>
      <c r="BF62" s="11" t="e">
        <f aca="false">BF58-BF59+BF61</f>
        <v>#VALUE!</v>
      </c>
      <c r="BG62" s="11" t="e">
        <f aca="false">BG58-BG59+BG61</f>
        <v>#VALUE!</v>
      </c>
      <c r="BH62" s="11" t="e">
        <f aca="false">BH58-BH59+BH61</f>
        <v>#VALUE!</v>
      </c>
      <c r="BI62" s="11" t="e">
        <f aca="false">BI58-BI59+BI61</f>
        <v>#VALUE!</v>
      </c>
      <c r="BJ62" s="11" t="e">
        <f aca="false">BJ58-BJ59+BJ61</f>
        <v>#VALUE!</v>
      </c>
      <c r="BK62" s="11" t="e">
        <f aca="false">BK58-BK59+BK61</f>
        <v>#VALUE!</v>
      </c>
      <c r="BL62" s="11" t="e">
        <f aca="false">BL58-BL59+BL61</f>
        <v>#VALUE!</v>
      </c>
      <c r="BM62" s="11" t="e">
        <f aca="false">BM58-BM59+BM61</f>
        <v>#VALUE!</v>
      </c>
      <c r="BN62" s="11" t="e">
        <f aca="false">BN58-BN59+BN61</f>
        <v>#VALUE!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e">
        <f aca="false">SUM(J63:BN63)</f>
        <v>#VALUE!</v>
      </c>
      <c r="J63" s="11" t="e">
        <f aca="false">J23*Inputs!$F$188*(J55-J62)/(J25-J32+J40-J47+J55-J62+J70-J77+J85-J92+0.000000001)</f>
        <v>#VALUE!</v>
      </c>
      <c r="K63" s="11" t="e">
        <f aca="false">K23*Inputs!$F$188*(K55-K62)/(K25-K32+K40-K47+K55-K62+K70-K77+K85-K92+0.000000001)</f>
        <v>#VALUE!</v>
      </c>
      <c r="L63" s="11" t="e">
        <f aca="false">L23*Inputs!$F$188*(L55-L62)/(L25-L32+L40-L47+L55-L62+L70-L77+L85-L92+0.000000001)</f>
        <v>#VALUE!</v>
      </c>
      <c r="M63" s="11" t="e">
        <f aca="false">M23*Inputs!$F$188*(M55-M62)/(M25-M32+M40-M47+M55-M62+M70-M77+M85-M92+0.000000001)</f>
        <v>#VALUE!</v>
      </c>
      <c r="N63" s="11" t="e">
        <f aca="false">N23*Inputs!$F$188*(N55-N62)/(N25-N32+N40-N47+N55-N62+N70-N77+N85-N92+0.000000001)</f>
        <v>#VALUE!</v>
      </c>
      <c r="O63" s="11" t="e">
        <f aca="false">O23*Inputs!$F$188*(O55-O62)/(O25-O32+O40-O47+O55-O62+O70-O77+O85-O92+0.000000001)</f>
        <v>#VALUE!</v>
      </c>
      <c r="P63" s="11" t="e">
        <f aca="false">P23*Inputs!$F$188*(P55-P62)/(P25-P32+P40-P47+P55-P62+P70-P77+P85-P92+0.000000001)</f>
        <v>#VALUE!</v>
      </c>
      <c r="Q63" s="11" t="e">
        <f aca="false">Q23*Inputs!$F$188*(Q55-Q62)/(Q25-Q32+Q40-Q47+Q55-Q62+Q70-Q77+Q85-Q92+0.000000001)</f>
        <v>#VALUE!</v>
      </c>
      <c r="R63" s="11" t="e">
        <f aca="false">R23*Inputs!$F$188*(R55-R62)/(R25-R32+R40-R47+R55-R62+R70-R77+R85-R92+0.000000001)</f>
        <v>#VALUE!</v>
      </c>
      <c r="S63" s="11" t="e">
        <f aca="false">S23*Inputs!$F$188*(S55-S62)/(S25-S32+S40-S47+S55-S62+S70-S77+S85-S92+0.000000001)</f>
        <v>#VALUE!</v>
      </c>
      <c r="T63" s="11" t="e">
        <f aca="false">T23*Inputs!$F$188*(T55-T62)/(T25-T32+T40-T47+T55-T62+T70-T77+T85-T92+0.000000001)</f>
        <v>#VALUE!</v>
      </c>
      <c r="U63" s="11" t="e">
        <f aca="false">U23*Inputs!$F$188*(U55-U62)/(U25-U32+U40-U47+U55-U62+U70-U77+U85-U92+0.000000001)</f>
        <v>#VALUE!</v>
      </c>
      <c r="V63" s="11" t="e">
        <f aca="false">V23*Inputs!$F$188*(V55-V62)/(V25-V32+V40-V47+V55-V62+V70-V77+V85-V92+0.000000001)</f>
        <v>#VALUE!</v>
      </c>
      <c r="W63" s="11" t="e">
        <f aca="false">W23*Inputs!$F$188*(W55-W62)/(W25-W32+W40-W47+W55-W62+W70-W77+W85-W92+0.000000001)</f>
        <v>#VALUE!</v>
      </c>
      <c r="X63" s="11" t="e">
        <f aca="false">X23*Inputs!$F$188*(X55-X62)/(X25-X32+X40-X47+X55-X62+X70-X77+X85-X92+0.000000001)</f>
        <v>#VALUE!</v>
      </c>
      <c r="Y63" s="11" t="e">
        <f aca="false">Y23*Inputs!$F$188*(Y55-Y62)/(Y25-Y32+Y40-Y47+Y55-Y62+Y70-Y77+Y85-Y92+0.000000001)</f>
        <v>#VALUE!</v>
      </c>
      <c r="Z63" s="11" t="e">
        <f aca="false">Z23*Inputs!$F$188*(Z55-Z62)/(Z25-Z32+Z40-Z47+Z55-Z62+Z70-Z77+Z85-Z92+0.000000001)</f>
        <v>#VALUE!</v>
      </c>
      <c r="AA63" s="11" t="e">
        <f aca="false">AA23*Inputs!$F$188*(AA55-AA62)/(AA25-AA32+AA40-AA47+AA55-AA62+AA70-AA77+AA85-AA92+0.000000001)</f>
        <v>#VALUE!</v>
      </c>
      <c r="AB63" s="11" t="e">
        <f aca="false">AB23*Inputs!$F$188*(AB55-AB62)/(AB25-AB32+AB40-AB47+AB55-AB62+AB70-AB77+AB85-AB92+0.000000001)</f>
        <v>#VALUE!</v>
      </c>
      <c r="AC63" s="11" t="e">
        <f aca="false">AC23*Inputs!$F$188*(AC55-AC62)/(AC25-AC32+AC40-AC47+AC55-AC62+AC70-AC77+AC85-AC92+0.000000001)</f>
        <v>#VALUE!</v>
      </c>
      <c r="AD63" s="11" t="e">
        <f aca="false">AD23*Inputs!$F$188*(AD55-AD62)/(AD25-AD32+AD40-AD47+AD55-AD62+AD70-AD77+AD85-AD92+0.000000001)</f>
        <v>#VALUE!</v>
      </c>
      <c r="AE63" s="11" t="e">
        <f aca="false">AE23*Inputs!$F$188*(AE55-AE62)/(AE25-AE32+AE40-AE47+AE55-AE62+AE70-AE77+AE85-AE92+0.000000001)</f>
        <v>#VALUE!</v>
      </c>
      <c r="AF63" s="11" t="e">
        <f aca="false">AF23*Inputs!$F$188*(AF55-AF62)/(AF25-AF32+AF40-AF47+AF55-AF62+AF70-AF77+AF85-AF92+0.000000001)</f>
        <v>#VALUE!</v>
      </c>
      <c r="AG63" s="11" t="e">
        <f aca="false">AG23*Inputs!$F$188*(AG55-AG62)/(AG25-AG32+AG40-AG47+AG55-AG62+AG70-AG77+AG85-AG92+0.000000001)</f>
        <v>#VALUE!</v>
      </c>
      <c r="AH63" s="11" t="e">
        <f aca="false">AH23*Inputs!$F$188*(AH55-AH62)/(AH25-AH32+AH40-AH47+AH55-AH62+AH70-AH77+AH85-AH92+0.000000001)</f>
        <v>#VALUE!</v>
      </c>
      <c r="AI63" s="11" t="e">
        <f aca="false">AI23*Inputs!$F$188*(AI55-AI62)/(AI25-AI32+AI40-AI47+AI55-AI62+AI70-AI77+AI85-AI92+0.000000001)</f>
        <v>#VALUE!</v>
      </c>
      <c r="AJ63" s="11" t="e">
        <f aca="false">AJ23*Inputs!$F$188*(AJ55-AJ62)/(AJ25-AJ32+AJ40-AJ47+AJ55-AJ62+AJ70-AJ77+AJ85-AJ92+0.000000001)</f>
        <v>#VALUE!</v>
      </c>
      <c r="AK63" s="11" t="e">
        <f aca="false">AK23*Inputs!$F$188*(AK55-AK62)/(AK25-AK32+AK40-AK47+AK55-AK62+AK70-AK77+AK85-AK92+0.000000001)</f>
        <v>#VALUE!</v>
      </c>
      <c r="AL63" s="11" t="e">
        <f aca="false">AL23*Inputs!$F$188*(AL55-AL62)/(AL25-AL32+AL40-AL47+AL55-AL62+AL70-AL77+AL85-AL92+0.000000001)</f>
        <v>#VALUE!</v>
      </c>
      <c r="AM63" s="11" t="e">
        <f aca="false">AM23*Inputs!$F$188*(AM55-AM62)/(AM25-AM32+AM40-AM47+AM55-AM62+AM70-AM77+AM85-AM92+0.000000001)</f>
        <v>#VALUE!</v>
      </c>
      <c r="AN63" s="11" t="e">
        <f aca="false">AN23*Inputs!$F$188*(AN55-AN62)/(AN25-AN32+AN40-AN47+AN55-AN62+AN70-AN77+AN85-AN92+0.000000001)</f>
        <v>#VALUE!</v>
      </c>
      <c r="AO63" s="11" t="e">
        <f aca="false">AO23*Inputs!$F$188*(AO55-AO62)/(AO25-AO32+AO40-AO47+AO55-AO62+AO70-AO77+AO85-AO92+0.000000001)</f>
        <v>#VALUE!</v>
      </c>
      <c r="AP63" s="11" t="e">
        <f aca="false">AP23*Inputs!$F$188*(AP55-AP62)/(AP25-AP32+AP40-AP47+AP55-AP62+AP70-AP77+AP85-AP92+0.000000001)</f>
        <v>#VALUE!</v>
      </c>
      <c r="AQ63" s="11" t="e">
        <f aca="false">AQ23*Inputs!$F$188*(AQ55-AQ62)/(AQ25-AQ32+AQ40-AQ47+AQ55-AQ62+AQ70-AQ77+AQ85-AQ92+0.000000001)</f>
        <v>#VALUE!</v>
      </c>
      <c r="AR63" s="11" t="e">
        <f aca="false">AR23*Inputs!$F$188*(AR55-AR62)/(AR25-AR32+AR40-AR47+AR55-AR62+AR70-AR77+AR85-AR92+0.000000001)</f>
        <v>#VALUE!</v>
      </c>
      <c r="AS63" s="11" t="e">
        <f aca="false">AS23*Inputs!$F$188*(AS55-AS62)/(AS25-AS32+AS40-AS47+AS55-AS62+AS70-AS77+AS85-AS92+0.000000001)</f>
        <v>#VALUE!</v>
      </c>
      <c r="AT63" s="11" t="e">
        <f aca="false">AT23*Inputs!$F$188*(AT55-AT62)/(AT25-AT32+AT40-AT47+AT55-AT62+AT70-AT77+AT85-AT92+0.000000001)</f>
        <v>#VALUE!</v>
      </c>
      <c r="AU63" s="11" t="e">
        <f aca="false">AU23*Inputs!$F$188*(AU55-AU62)/(AU25-AU32+AU40-AU47+AU55-AU62+AU70-AU77+AU85-AU92+0.000000001)</f>
        <v>#VALUE!</v>
      </c>
      <c r="AV63" s="11" t="e">
        <f aca="false">AV23*Inputs!$F$188*(AV55-AV62)/(AV25-AV32+AV40-AV47+AV55-AV62+AV70-AV77+AV85-AV92+0.000000001)</f>
        <v>#VALUE!</v>
      </c>
      <c r="AW63" s="11" t="e">
        <f aca="false">AW23*Inputs!$F$188*(AW55-AW62)/(AW25-AW32+AW40-AW47+AW55-AW62+AW70-AW77+AW85-AW92+0.000000001)</f>
        <v>#VALUE!</v>
      </c>
      <c r="AX63" s="11" t="e">
        <f aca="false">AX23*Inputs!$F$188*(AX55-AX62)/(AX25-AX32+AX40-AX47+AX55-AX62+AX70-AX77+AX85-AX92+0.000000001)</f>
        <v>#VALUE!</v>
      </c>
      <c r="AY63" s="11" t="e">
        <f aca="false">AY23*Inputs!$F$188*(AY55-AY62)/(AY25-AY32+AY40-AY47+AY55-AY62+AY70-AY77+AY85-AY92+0.000000001)</f>
        <v>#VALUE!</v>
      </c>
      <c r="AZ63" s="11" t="e">
        <f aca="false">AZ23*Inputs!$F$188*(AZ55-AZ62)/(AZ25-AZ32+AZ40-AZ47+AZ55-AZ62+AZ70-AZ77+AZ85-AZ92+0.000000001)</f>
        <v>#VALUE!</v>
      </c>
      <c r="BA63" s="11" t="e">
        <f aca="false">BA23*Inputs!$F$188*(BA55-BA62)/(BA25-BA32+BA40-BA47+BA55-BA62+BA70-BA77+BA85-BA92+0.000000001)</f>
        <v>#VALUE!</v>
      </c>
      <c r="BB63" s="11" t="e">
        <f aca="false">BB23*Inputs!$F$188*(BB55-BB62)/(BB25-BB32+BB40-BB47+BB55-BB62+BB70-BB77+BB85-BB92+0.000000001)</f>
        <v>#VALUE!</v>
      </c>
      <c r="BC63" s="11" t="e">
        <f aca="false">BC23*Inputs!$F$188*(BC55-BC62)/(BC25-BC32+BC40-BC47+BC55-BC62+BC70-BC77+BC85-BC92+0.000000001)</f>
        <v>#VALUE!</v>
      </c>
      <c r="BD63" s="11" t="e">
        <f aca="false">BD23*Inputs!$F$188*(BD55-BD62)/(BD25-BD32+BD40-BD47+BD55-BD62+BD70-BD77+BD85-BD92+0.000000001)</f>
        <v>#VALUE!</v>
      </c>
      <c r="BE63" s="11" t="e">
        <f aca="false">BE23*Inputs!$F$188*(BE55-BE62)/(BE25-BE32+BE40-BE47+BE55-BE62+BE70-BE77+BE85-BE92+0.000000001)</f>
        <v>#VALUE!</v>
      </c>
      <c r="BF63" s="11" t="e">
        <f aca="false">BF23*Inputs!$F$188*(BF55-BF62)/(BF25-BF32+BF40-BF47+BF55-BF62+BF70-BF77+BF85-BF92+0.000000001)</f>
        <v>#VALUE!</v>
      </c>
      <c r="BG63" s="11" t="e">
        <f aca="false">BG23*Inputs!$F$188*(BG55-BG62)/(BG25-BG32+BG40-BG47+BG55-BG62+BG70-BG77+BG85-BG92+0.000000001)</f>
        <v>#VALUE!</v>
      </c>
      <c r="BH63" s="11" t="e">
        <f aca="false">BH23*Inputs!$F$188*(BH55-BH62)/(BH25-BH32+BH40-BH47+BH55-BH62+BH70-BH77+BH85-BH92+0.000000001)</f>
        <v>#VALUE!</v>
      </c>
      <c r="BI63" s="11" t="e">
        <f aca="false">BI23*Inputs!$F$188*(BI55-BI62)/(BI25-BI32+BI40-BI47+BI55-BI62+BI70-BI77+BI85-BI92+0.000000001)</f>
        <v>#VALUE!</v>
      </c>
      <c r="BJ63" s="11" t="e">
        <f aca="false">BJ23*Inputs!$F$188*(BJ55-BJ62)/(BJ25-BJ32+BJ40-BJ47+BJ55-BJ62+BJ70-BJ77+BJ85-BJ92+0.000000001)</f>
        <v>#VALUE!</v>
      </c>
      <c r="BK63" s="11" t="e">
        <f aca="false">BK23*Inputs!$F$188*(BK55-BK62)/(BK25-BK32+BK40-BK47+BK55-BK62+BK70-BK77+BK85-BK92+0.000000001)</f>
        <v>#VALUE!</v>
      </c>
      <c r="BL63" s="11" t="e">
        <f aca="false">BL23*Inputs!$F$188*(BL55-BL62)/(BL25-BL32+BL40-BL47+BL55-BL62+BL70-BL77+BL85-BL92+0.000000001)</f>
        <v>#VALUE!</v>
      </c>
      <c r="BM63" s="11" t="e">
        <f aca="false">BM23*Inputs!$F$188*(BM55-BM62)/(BM25-BM32+BM40-BM47+BM55-BM62+BM70-BM77+BM85-BM92+0.000000001)</f>
        <v>#VALUE!</v>
      </c>
      <c r="BN63" s="11" t="e">
        <f aca="false">BN23*Inputs!$F$188*(BN55-BN62)/(BN25-BN32+BN40-BN47+BN55-BN62+BN70-BN77+BN85-BN92+0.000000001)</f>
        <v>#VALUE!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e">
        <f aca="false">SUM(J64:BN64)</f>
        <v>#VALUE!</v>
      </c>
      <c r="J64" s="11" t="e">
        <f aca="false">J20*(J55-J62-J63)</f>
        <v>#VALUE!</v>
      </c>
      <c r="K64" s="11" t="e">
        <f aca="false">K20*(K55-K62-K63)</f>
        <v>#VALUE!</v>
      </c>
      <c r="L64" s="11" t="e">
        <f aca="false">L20*(L55-L62-L63)</f>
        <v>#VALUE!</v>
      </c>
      <c r="M64" s="11" t="e">
        <f aca="false">M20*(M55-M62-M63)</f>
        <v>#VALUE!</v>
      </c>
      <c r="N64" s="11" t="e">
        <f aca="false">N20*(N55-N62-N63)</f>
        <v>#VALUE!</v>
      </c>
      <c r="O64" s="11" t="e">
        <f aca="false">O20*(O55-O62-O63)</f>
        <v>#VALUE!</v>
      </c>
      <c r="P64" s="11" t="e">
        <f aca="false">P20*(P55-P62-P63)</f>
        <v>#VALUE!</v>
      </c>
      <c r="Q64" s="11" t="e">
        <f aca="false">Q20*(Q55-Q62-Q63)</f>
        <v>#VALUE!</v>
      </c>
      <c r="R64" s="11" t="e">
        <f aca="false">R20*(R55-R62-R63)</f>
        <v>#VALUE!</v>
      </c>
      <c r="S64" s="11" t="e">
        <f aca="false">S20*(S55-S62-S63)</f>
        <v>#VALUE!</v>
      </c>
      <c r="T64" s="11" t="e">
        <f aca="false">T20*(T55-T62-T63)</f>
        <v>#VALUE!</v>
      </c>
      <c r="U64" s="11" t="e">
        <f aca="false">U20*(U55-U62-U63)</f>
        <v>#VALUE!</v>
      </c>
      <c r="V64" s="11" t="e">
        <f aca="false">V20*(V55-V62-V63)</f>
        <v>#VALUE!</v>
      </c>
      <c r="W64" s="11" t="e">
        <f aca="false">W20*(W55-W62-W63)</f>
        <v>#VALUE!</v>
      </c>
      <c r="X64" s="11" t="e">
        <f aca="false">X20*(X55-X62-X63)</f>
        <v>#VALUE!</v>
      </c>
      <c r="Y64" s="11" t="e">
        <f aca="false">Y20*(Y55-Y62-Y63)</f>
        <v>#VALUE!</v>
      </c>
      <c r="Z64" s="11" t="e">
        <f aca="false">Z20*(Z55-Z62-Z63)</f>
        <v>#VALUE!</v>
      </c>
      <c r="AA64" s="11" t="e">
        <f aca="false">AA20*(AA55-AA62-AA63)</f>
        <v>#VALUE!</v>
      </c>
      <c r="AB64" s="11" t="e">
        <f aca="false">AB20*(AB55-AB62-AB63)</f>
        <v>#VALUE!</v>
      </c>
      <c r="AC64" s="11" t="e">
        <f aca="false">AC20*(AC55-AC62-AC63)</f>
        <v>#VALUE!</v>
      </c>
      <c r="AD64" s="11" t="e">
        <f aca="false">AD20*(AD55-AD62-AD63)</f>
        <v>#VALUE!</v>
      </c>
      <c r="AE64" s="11" t="e">
        <f aca="false">AE20*(AE55-AE62-AE63)</f>
        <v>#VALUE!</v>
      </c>
      <c r="AF64" s="11" t="e">
        <f aca="false">AF20*(AF55-AF62-AF63)</f>
        <v>#VALUE!</v>
      </c>
      <c r="AG64" s="11" t="e">
        <f aca="false">AG20*(AG55-AG62-AG63)</f>
        <v>#VALUE!</v>
      </c>
      <c r="AH64" s="11" t="e">
        <f aca="false">AH20*(AH55-AH62-AH63)</f>
        <v>#VALUE!</v>
      </c>
      <c r="AI64" s="11" t="e">
        <f aca="false">AI20*(AI55-AI62-AI63)</f>
        <v>#VALUE!</v>
      </c>
      <c r="AJ64" s="11" t="e">
        <f aca="false">AJ20*(AJ55-AJ62-AJ63)</f>
        <v>#VALUE!</v>
      </c>
      <c r="AK64" s="11" t="e">
        <f aca="false">AK20*(AK55-AK62-AK63)</f>
        <v>#VALUE!</v>
      </c>
      <c r="AL64" s="11" t="e">
        <f aca="false">AL20*(AL55-AL62-AL63)</f>
        <v>#VALUE!</v>
      </c>
      <c r="AM64" s="11" t="e">
        <f aca="false">AM20*(AM55-AM62-AM63)</f>
        <v>#VALUE!</v>
      </c>
      <c r="AN64" s="11" t="e">
        <f aca="false">AN20*(AN55-AN62-AN63)</f>
        <v>#VALUE!</v>
      </c>
      <c r="AO64" s="11" t="e">
        <f aca="false">AO20*(AO55-AO62-AO63)</f>
        <v>#VALUE!</v>
      </c>
      <c r="AP64" s="11" t="e">
        <f aca="false">AP20*(AP55-AP62-AP63)</f>
        <v>#VALUE!</v>
      </c>
      <c r="AQ64" s="11" t="e">
        <f aca="false">AQ20*(AQ55-AQ62-AQ63)</f>
        <v>#VALUE!</v>
      </c>
      <c r="AR64" s="11" t="e">
        <f aca="false">AR20*(AR55-AR62-AR63)</f>
        <v>#VALUE!</v>
      </c>
      <c r="AS64" s="11" t="e">
        <f aca="false">AS20*(AS55-AS62-AS63)</f>
        <v>#VALUE!</v>
      </c>
      <c r="AT64" s="11" t="e">
        <f aca="false">AT20*(AT55-AT62-AT63)</f>
        <v>#VALUE!</v>
      </c>
      <c r="AU64" s="11" t="e">
        <f aca="false">AU20*(AU55-AU62-AU63)</f>
        <v>#VALUE!</v>
      </c>
      <c r="AV64" s="11" t="e">
        <f aca="false">AV20*(AV55-AV62-AV63)</f>
        <v>#VALUE!</v>
      </c>
      <c r="AW64" s="11" t="e">
        <f aca="false">AW20*(AW55-AW62-AW63)</f>
        <v>#VALUE!</v>
      </c>
      <c r="AX64" s="11" t="e">
        <f aca="false">AX20*(AX55-AX62-AX63)</f>
        <v>#VALUE!</v>
      </c>
      <c r="AY64" s="11" t="e">
        <f aca="false">AY20*(AY55-AY62-AY63)</f>
        <v>#VALUE!</v>
      </c>
      <c r="AZ64" s="11" t="e">
        <f aca="false">AZ20*(AZ55-AZ62-AZ63)</f>
        <v>#VALUE!</v>
      </c>
      <c r="BA64" s="11" t="e">
        <f aca="false">BA20*(BA55-BA62-BA63)</f>
        <v>#VALUE!</v>
      </c>
      <c r="BB64" s="11" t="e">
        <f aca="false">BB20*(BB55-BB62-BB63)</f>
        <v>#VALUE!</v>
      </c>
      <c r="BC64" s="11" t="e">
        <f aca="false">BC20*(BC55-BC62-BC63)</f>
        <v>#VALUE!</v>
      </c>
      <c r="BD64" s="11" t="e">
        <f aca="false">BD20*(BD55-BD62-BD63)</f>
        <v>#VALUE!</v>
      </c>
      <c r="BE64" s="11" t="e">
        <f aca="false">BE20*(BE55-BE62-BE63)</f>
        <v>#VALUE!</v>
      </c>
      <c r="BF64" s="11" t="e">
        <f aca="false">BF20*(BF55-BF62-BF63)</f>
        <v>#VALUE!</v>
      </c>
      <c r="BG64" s="11" t="e">
        <f aca="false">BG20*(BG55-BG62-BG63)</f>
        <v>#VALUE!</v>
      </c>
      <c r="BH64" s="11" t="e">
        <f aca="false">BH20*(BH55-BH62-BH63)</f>
        <v>#VALUE!</v>
      </c>
      <c r="BI64" s="11" t="e">
        <f aca="false">BI20*(BI55-BI62-BI63)</f>
        <v>#VALUE!</v>
      </c>
      <c r="BJ64" s="11" t="e">
        <f aca="false">BJ20*(BJ55-BJ62-BJ63)</f>
        <v>#VALUE!</v>
      </c>
      <c r="BK64" s="11" t="e">
        <f aca="false">BK20*(BK55-BK62-BK63)</f>
        <v>#VALUE!</v>
      </c>
      <c r="BL64" s="11" t="e">
        <f aca="false">BL20*(BL55-BL62-BL63)</f>
        <v>#VALUE!</v>
      </c>
      <c r="BM64" s="11" t="e">
        <f aca="false">BM20*(BM55-BM62-BM63)</f>
        <v>#VALUE!</v>
      </c>
      <c r="BN64" s="11" t="e">
        <f aca="false">BN20*(BN55-BN62-BN63)</f>
        <v>#VALUE!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e">
        <f aca="false">IF(J20=1,0,1)*(J56+J59-J61)</f>
        <v>#VALUE!</v>
      </c>
      <c r="K65" s="11" t="e">
        <f aca="false">IF(K20=1,0,1)*(K56+K59-K61)</f>
        <v>#VALUE!</v>
      </c>
      <c r="L65" s="11" t="e">
        <f aca="false">IF(L20=1,0,1)*(L56+L59-L61)</f>
        <v>#VALUE!</v>
      </c>
      <c r="M65" s="11" t="e">
        <f aca="false">IF(M20=1,0,1)*(M56+M59-M61)</f>
        <v>#VALUE!</v>
      </c>
      <c r="N65" s="11" t="e">
        <f aca="false">IF(N20=1,0,1)*(N56+N59-N61)</f>
        <v>#VALUE!</v>
      </c>
      <c r="O65" s="11" t="e">
        <f aca="false">IF(O20=1,0,1)*(O56+O59-O61)</f>
        <v>#VALUE!</v>
      </c>
      <c r="P65" s="11" t="e">
        <f aca="false">IF(P20=1,0,1)*(P56+P59-P61)</f>
        <v>#VALUE!</v>
      </c>
      <c r="Q65" s="11" t="e">
        <f aca="false">IF(Q20=1,0,1)*(Q56+Q59-Q61)</f>
        <v>#VALUE!</v>
      </c>
      <c r="R65" s="11" t="e">
        <f aca="false">IF(R20=1,0,1)*(R56+R59-R61)</f>
        <v>#VALUE!</v>
      </c>
      <c r="S65" s="11" t="e">
        <f aca="false">IF(S20=1,0,1)*(S56+S59-S61)</f>
        <v>#VALUE!</v>
      </c>
      <c r="T65" s="11" t="e">
        <f aca="false">IF(T20=1,0,1)*(T56+T59-T61)</f>
        <v>#VALUE!</v>
      </c>
      <c r="U65" s="11" t="e">
        <f aca="false">IF(U20=1,0,1)*(U56+U59-U61)</f>
        <v>#VALUE!</v>
      </c>
      <c r="V65" s="11" t="e">
        <f aca="false">IF(V20=1,0,1)*(V56+V59-V61)</f>
        <v>#VALUE!</v>
      </c>
      <c r="W65" s="11" t="e">
        <f aca="false">IF(W20=1,0,1)*(W56+W59-W61)</f>
        <v>#VALUE!</v>
      </c>
      <c r="X65" s="11" t="e">
        <f aca="false">IF(X20=1,0,1)*(X56+X59-X61)</f>
        <v>#VALUE!</v>
      </c>
      <c r="Y65" s="11" t="e">
        <f aca="false">IF(Y20=1,0,1)*(Y56+Y59-Y61)</f>
        <v>#VALUE!</v>
      </c>
      <c r="Z65" s="11" t="e">
        <f aca="false">IF(Z20=1,0,1)*(Z56+Z59-Z61)</f>
        <v>#VALUE!</v>
      </c>
      <c r="AA65" s="11" t="e">
        <f aca="false">IF(AA20=1,0,1)*(AA56+AA59-AA61)</f>
        <v>#VALUE!</v>
      </c>
      <c r="AB65" s="11" t="e">
        <f aca="false">IF(AB20=1,0,1)*(AB56+AB59-AB61)</f>
        <v>#VALUE!</v>
      </c>
      <c r="AC65" s="11" t="e">
        <f aca="false">IF(AC20=1,0,1)*(AC56+AC59-AC61)</f>
        <v>#VALUE!</v>
      </c>
      <c r="AD65" s="11" t="e">
        <f aca="false">IF(AD20=1,0,1)*(AD56+AD59-AD61)</f>
        <v>#VALUE!</v>
      </c>
      <c r="AE65" s="11" t="e">
        <f aca="false">IF(AE20=1,0,1)*(AE56+AE59-AE61)</f>
        <v>#VALUE!</v>
      </c>
      <c r="AF65" s="11" t="e">
        <f aca="false">IF(AF20=1,0,1)*(AF56+AF59-AF61)</f>
        <v>#VALUE!</v>
      </c>
      <c r="AG65" s="11" t="e">
        <f aca="false">IF(AG20=1,0,1)*(AG56+AG59-AG61)</f>
        <v>#VALUE!</v>
      </c>
      <c r="AH65" s="11" t="e">
        <f aca="false">IF(AH20=1,0,1)*(AH56+AH59-AH61)</f>
        <v>#VALUE!</v>
      </c>
      <c r="AI65" s="11" t="e">
        <f aca="false">IF(AI20=1,0,1)*(AI56+AI59-AI61)</f>
        <v>#VALUE!</v>
      </c>
      <c r="AJ65" s="11" t="e">
        <f aca="false">IF(AJ20=1,0,1)*(AJ56+AJ59-AJ61)</f>
        <v>#VALUE!</v>
      </c>
      <c r="AK65" s="11" t="e">
        <f aca="false">IF(AK20=1,0,1)*(AK56+AK59-AK61)</f>
        <v>#VALUE!</v>
      </c>
      <c r="AL65" s="11" t="e">
        <f aca="false">IF(AL20=1,0,1)*(AL56+AL59-AL61)</f>
        <v>#VALUE!</v>
      </c>
      <c r="AM65" s="11" t="e">
        <f aca="false">IF(AM20=1,0,1)*(AM56+AM59-AM61)</f>
        <v>#VALUE!</v>
      </c>
      <c r="AN65" s="11" t="e">
        <f aca="false">IF(AN20=1,0,1)*(AN56+AN59-AN61)</f>
        <v>#VALUE!</v>
      </c>
      <c r="AO65" s="11" t="e">
        <f aca="false">IF(AO20=1,0,1)*(AO56+AO59-AO61)</f>
        <v>#VALUE!</v>
      </c>
      <c r="AP65" s="11" t="e">
        <f aca="false">IF(AP20=1,0,1)*(AP56+AP59-AP61)</f>
        <v>#VALUE!</v>
      </c>
      <c r="AQ65" s="11" t="e">
        <f aca="false">IF(AQ20=1,0,1)*(AQ56+AQ59-AQ61)</f>
        <v>#VALUE!</v>
      </c>
      <c r="AR65" s="11" t="e">
        <f aca="false">IF(AR20=1,0,1)*(AR56+AR59-AR61)</f>
        <v>#VALUE!</v>
      </c>
      <c r="AS65" s="11" t="e">
        <f aca="false">IF(AS20=1,0,1)*(AS56+AS59-AS61)</f>
        <v>#VALUE!</v>
      </c>
      <c r="AT65" s="11" t="e">
        <f aca="false">IF(AT20=1,0,1)*(AT56+AT59-AT61)</f>
        <v>#VALUE!</v>
      </c>
      <c r="AU65" s="11" t="e">
        <f aca="false">IF(AU20=1,0,1)*(AU56+AU59-AU61)</f>
        <v>#VALUE!</v>
      </c>
      <c r="AV65" s="11" t="e">
        <f aca="false">IF(AV20=1,0,1)*(AV56+AV59-AV61)</f>
        <v>#VALUE!</v>
      </c>
      <c r="AW65" s="11" t="e">
        <f aca="false">IF(AW20=1,0,1)*(AW56+AW59-AW61)</f>
        <v>#VALUE!</v>
      </c>
      <c r="AX65" s="11" t="e">
        <f aca="false">IF(AX20=1,0,1)*(AX56+AX59-AX61)</f>
        <v>#VALUE!</v>
      </c>
      <c r="AY65" s="11" t="e">
        <f aca="false">IF(AY20=1,0,1)*(AY56+AY59-AY61)</f>
        <v>#VALUE!</v>
      </c>
      <c r="AZ65" s="11" t="e">
        <f aca="false">IF(AZ20=1,0,1)*(AZ56+AZ59-AZ61)</f>
        <v>#VALUE!</v>
      </c>
      <c r="BA65" s="11" t="e">
        <f aca="false">IF(BA20=1,0,1)*(BA56+BA59-BA61)</f>
        <v>#VALUE!</v>
      </c>
      <c r="BB65" s="11" t="e">
        <f aca="false">IF(BB20=1,0,1)*(BB56+BB59-BB61)</f>
        <v>#VALUE!</v>
      </c>
      <c r="BC65" s="11" t="e">
        <f aca="false">IF(BC20=1,0,1)*(BC56+BC59-BC61)</f>
        <v>#VALUE!</v>
      </c>
      <c r="BD65" s="11" t="e">
        <f aca="false">IF(BD20=1,0,1)*(BD56+BD59-BD61)</f>
        <v>#VALUE!</v>
      </c>
      <c r="BE65" s="11" t="e">
        <f aca="false">IF(BE20=1,0,1)*(BE56+BE59-BE61)</f>
        <v>#VALUE!</v>
      </c>
      <c r="BF65" s="11" t="e">
        <f aca="false">IF(BF20=1,0,1)*(BF56+BF59-BF61)</f>
        <v>#VALUE!</v>
      </c>
      <c r="BG65" s="11" t="e">
        <f aca="false">IF(BG20=1,0,1)*(BG56+BG59-BG61)</f>
        <v>#VALUE!</v>
      </c>
      <c r="BH65" s="11" t="e">
        <f aca="false">IF(BH20=1,0,1)*(BH56+BH59-BH61)</f>
        <v>#VALUE!</v>
      </c>
      <c r="BI65" s="11" t="e">
        <f aca="false">IF(BI20=1,0,1)*(BI56+BI59-BI61)</f>
        <v>#VALUE!</v>
      </c>
      <c r="BJ65" s="11" t="e">
        <f aca="false">IF(BJ20=1,0,1)*(BJ56+BJ59-BJ61)</f>
        <v>#VALUE!</v>
      </c>
      <c r="BK65" s="11" t="e">
        <f aca="false">IF(BK20=1,0,1)*(BK56+BK59-BK61)</f>
        <v>#VALUE!</v>
      </c>
      <c r="BL65" s="11" t="e">
        <f aca="false">IF(BL20=1,0,1)*(BL56+BL59-BL61)</f>
        <v>#VALUE!</v>
      </c>
      <c r="BM65" s="11" t="e">
        <f aca="false">IF(BM20=1,0,1)*(BM56+BM59-BM61)</f>
        <v>#VALUE!</v>
      </c>
      <c r="BN65" s="11" t="e">
        <f aca="false">IF(BN20=1,0,1)*(BN56+BN59-BN61)</f>
        <v>#VALUE!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e">
        <f aca="false">J55-J62-J63-J64</f>
        <v>#VALUE!</v>
      </c>
      <c r="K66" s="11" t="e">
        <f aca="false">K55-K62-K63-K64</f>
        <v>#VALUE!</v>
      </c>
      <c r="L66" s="11" t="e">
        <f aca="false">L55-L62-L63-L64</f>
        <v>#VALUE!</v>
      </c>
      <c r="M66" s="11" t="e">
        <f aca="false">M55-M62-M63-M64</f>
        <v>#VALUE!</v>
      </c>
      <c r="N66" s="11" t="e">
        <f aca="false">N55-N62-N63-N64</f>
        <v>#VALUE!</v>
      </c>
      <c r="O66" s="11" t="e">
        <f aca="false">O55-O62-O63-O64</f>
        <v>#VALUE!</v>
      </c>
      <c r="P66" s="11" t="e">
        <f aca="false">P55-P62-P63-P64</f>
        <v>#VALUE!</v>
      </c>
      <c r="Q66" s="11" t="e">
        <f aca="false">Q55-Q62-Q63-Q64</f>
        <v>#VALUE!</v>
      </c>
      <c r="R66" s="11" t="e">
        <f aca="false">R55-R62-R63-R64</f>
        <v>#VALUE!</v>
      </c>
      <c r="S66" s="11" t="e">
        <f aca="false">S55-S62-S63-S64</f>
        <v>#VALUE!</v>
      </c>
      <c r="T66" s="11" t="e">
        <f aca="false">T55-T62-T63-T64</f>
        <v>#VALUE!</v>
      </c>
      <c r="U66" s="11" t="e">
        <f aca="false">U55-U62-U63-U64</f>
        <v>#VALUE!</v>
      </c>
      <c r="V66" s="11" t="e">
        <f aca="false">V55-V62-V63-V64</f>
        <v>#VALUE!</v>
      </c>
      <c r="W66" s="11" t="e">
        <f aca="false">W55-W62-W63-W64</f>
        <v>#VALUE!</v>
      </c>
      <c r="X66" s="11" t="e">
        <f aca="false">X55-X62-X63-X64</f>
        <v>#VALUE!</v>
      </c>
      <c r="Y66" s="11" t="e">
        <f aca="false">Y55-Y62-Y63-Y64</f>
        <v>#VALUE!</v>
      </c>
      <c r="Z66" s="11" t="e">
        <f aca="false">Z55-Z62-Z63-Z64</f>
        <v>#VALUE!</v>
      </c>
      <c r="AA66" s="11" t="e">
        <f aca="false">AA55-AA62-AA63-AA64</f>
        <v>#VALUE!</v>
      </c>
      <c r="AB66" s="11" t="e">
        <f aca="false">AB55-AB62-AB63-AB64</f>
        <v>#VALUE!</v>
      </c>
      <c r="AC66" s="11" t="e">
        <f aca="false">AC55-AC62-AC63-AC64</f>
        <v>#VALUE!</v>
      </c>
      <c r="AD66" s="11" t="e">
        <f aca="false">AD55-AD62-AD63-AD64</f>
        <v>#VALUE!</v>
      </c>
      <c r="AE66" s="11" t="e">
        <f aca="false">AE55-AE62-AE63-AE64</f>
        <v>#VALUE!</v>
      </c>
      <c r="AF66" s="11" t="e">
        <f aca="false">AF55-AF62-AF63-AF64</f>
        <v>#VALUE!</v>
      </c>
      <c r="AG66" s="11" t="e">
        <f aca="false">AG55-AG62-AG63-AG64</f>
        <v>#VALUE!</v>
      </c>
      <c r="AH66" s="11" t="e">
        <f aca="false">AH55-AH62-AH63-AH64</f>
        <v>#VALUE!</v>
      </c>
      <c r="AI66" s="11" t="e">
        <f aca="false">AI55-AI62-AI63-AI64</f>
        <v>#VALUE!</v>
      </c>
      <c r="AJ66" s="11" t="e">
        <f aca="false">AJ55-AJ62-AJ63-AJ64</f>
        <v>#VALUE!</v>
      </c>
      <c r="AK66" s="11" t="e">
        <f aca="false">AK55-AK62-AK63-AK64</f>
        <v>#VALUE!</v>
      </c>
      <c r="AL66" s="11" t="e">
        <f aca="false">AL55-AL62-AL63-AL64</f>
        <v>#VALUE!</v>
      </c>
      <c r="AM66" s="11" t="e">
        <f aca="false">AM55-AM62-AM63-AM64</f>
        <v>#VALUE!</v>
      </c>
      <c r="AN66" s="11" t="e">
        <f aca="false">AN55-AN62-AN63-AN64</f>
        <v>#VALUE!</v>
      </c>
      <c r="AO66" s="11" t="e">
        <f aca="false">AO55-AO62-AO63-AO64</f>
        <v>#VALUE!</v>
      </c>
      <c r="AP66" s="11" t="e">
        <f aca="false">AP55-AP62-AP63-AP64</f>
        <v>#VALUE!</v>
      </c>
      <c r="AQ66" s="11" t="e">
        <f aca="false">AQ55-AQ62-AQ63-AQ64</f>
        <v>#VALUE!</v>
      </c>
      <c r="AR66" s="11" t="e">
        <f aca="false">AR55-AR62-AR63-AR64</f>
        <v>#VALUE!</v>
      </c>
      <c r="AS66" s="11" t="e">
        <f aca="false">AS55-AS62-AS63-AS64</f>
        <v>#VALUE!</v>
      </c>
      <c r="AT66" s="11" t="e">
        <f aca="false">AT55-AT62-AT63-AT64</f>
        <v>#VALUE!</v>
      </c>
      <c r="AU66" s="11" t="e">
        <f aca="false">AU55-AU62-AU63-AU64</f>
        <v>#VALUE!</v>
      </c>
      <c r="AV66" s="11" t="e">
        <f aca="false">AV55-AV62-AV63-AV64</f>
        <v>#VALUE!</v>
      </c>
      <c r="AW66" s="11" t="e">
        <f aca="false">AW55-AW62-AW63-AW64</f>
        <v>#VALUE!</v>
      </c>
      <c r="AX66" s="11" t="e">
        <f aca="false">AX55-AX62-AX63-AX64</f>
        <v>#VALUE!</v>
      </c>
      <c r="AY66" s="11" t="e">
        <f aca="false">AY55-AY62-AY63-AY64</f>
        <v>#VALUE!</v>
      </c>
      <c r="AZ66" s="11" t="e">
        <f aca="false">AZ55-AZ62-AZ63-AZ64</f>
        <v>#VALUE!</v>
      </c>
      <c r="BA66" s="11" t="e">
        <f aca="false">BA55-BA62-BA63-BA64</f>
        <v>#VALUE!</v>
      </c>
      <c r="BB66" s="11" t="e">
        <f aca="false">BB55-BB62-BB63-BB64</f>
        <v>#VALUE!</v>
      </c>
      <c r="BC66" s="11" t="e">
        <f aca="false">BC55-BC62-BC63-BC64</f>
        <v>#VALUE!</v>
      </c>
      <c r="BD66" s="11" t="e">
        <f aca="false">BD55-BD62-BD63-BD64</f>
        <v>#VALUE!</v>
      </c>
      <c r="BE66" s="11" t="e">
        <f aca="false">BE55-BE62-BE63-BE64</f>
        <v>#VALUE!</v>
      </c>
      <c r="BF66" s="11" t="e">
        <f aca="false">BF55-BF62-BF63-BF64</f>
        <v>#VALUE!</v>
      </c>
      <c r="BG66" s="11" t="e">
        <f aca="false">BG55-BG62-BG63-BG64</f>
        <v>#VALUE!</v>
      </c>
      <c r="BH66" s="11" t="e">
        <f aca="false">BH55-BH62-BH63-BH64</f>
        <v>#VALUE!</v>
      </c>
      <c r="BI66" s="11" t="e">
        <f aca="false">BI55-BI62-BI63-BI64</f>
        <v>#VALUE!</v>
      </c>
      <c r="BJ66" s="11" t="e">
        <f aca="false">BJ55-BJ62-BJ63-BJ64</f>
        <v>#VALUE!</v>
      </c>
      <c r="BK66" s="11" t="e">
        <f aca="false">BK55-BK62-BK63-BK64</f>
        <v>#VALUE!</v>
      </c>
      <c r="BL66" s="11" t="e">
        <f aca="false">BL55-BL62-BL63-BL64</f>
        <v>#VALUE!</v>
      </c>
      <c r="BM66" s="11" t="e">
        <f aca="false">BM55-BM62-BM63-BM64</f>
        <v>#VALUE!</v>
      </c>
      <c r="BN66" s="11" t="e">
        <f aca="false">BN55-BN62-BN63-BN64</f>
        <v>#VALUE!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e">
        <f aca="false">SUM(J67:BN67)</f>
        <v>#VALUE!</v>
      </c>
      <c r="J67" s="11" t="e">
        <f aca="false">Waterfall!J28*J66/(J36+J51+J66+J81+J96+0.000000001)</f>
        <v>#VALUE!</v>
      </c>
      <c r="K67" s="11" t="e">
        <f aca="false">Waterfall!K28*K66/(K36+K51+K66+K81+K96+0.000000001)</f>
        <v>#VALUE!</v>
      </c>
      <c r="L67" s="11" t="e">
        <f aca="false">Waterfall!L28*L66/(L36+L51+L66+L81+L96+0.000000001)</f>
        <v>#VALUE!</v>
      </c>
      <c r="M67" s="11" t="e">
        <f aca="false">Waterfall!M28*M66/(M36+M51+M66+M81+M96+0.000000001)</f>
        <v>#VALUE!</v>
      </c>
      <c r="N67" s="11" t="e">
        <f aca="false">Waterfall!N28*N66/(N36+N51+N66+N81+N96+0.000000001)</f>
        <v>#VALUE!</v>
      </c>
      <c r="O67" s="11" t="e">
        <f aca="false">Waterfall!O28*O66/(O36+O51+O66+O81+O96+0.000000001)</f>
        <v>#VALUE!</v>
      </c>
      <c r="P67" s="11" t="e">
        <f aca="false">Waterfall!P28*P66/(P36+P51+P66+P81+P96+0.000000001)</f>
        <v>#VALUE!</v>
      </c>
      <c r="Q67" s="11" t="e">
        <f aca="false">Waterfall!Q28*Q66/(Q36+Q51+Q66+Q81+Q96+0.000000001)</f>
        <v>#VALUE!</v>
      </c>
      <c r="R67" s="11" t="e">
        <f aca="false">Waterfall!R28*R66/(R36+R51+R66+R81+R96+0.000000001)</f>
        <v>#VALUE!</v>
      </c>
      <c r="S67" s="11" t="e">
        <f aca="false">Waterfall!S28*S66/(S36+S51+S66+S81+S96+0.000000001)</f>
        <v>#VALUE!</v>
      </c>
      <c r="T67" s="11" t="e">
        <f aca="false">Waterfall!T28*T66/(T36+T51+T66+T81+T96+0.000000001)</f>
        <v>#VALUE!</v>
      </c>
      <c r="U67" s="11" t="e">
        <f aca="false">Waterfall!U28*U66/(U36+U51+U66+U81+U96+0.000000001)</f>
        <v>#VALUE!</v>
      </c>
      <c r="V67" s="11" t="e">
        <f aca="false">Waterfall!V28*V66/(V36+V51+V66+V81+V96+0.000000001)</f>
        <v>#VALUE!</v>
      </c>
      <c r="W67" s="11" t="e">
        <f aca="false">Waterfall!W28*W66/(W36+W51+W66+W81+W96+0.000000001)</f>
        <v>#VALUE!</v>
      </c>
      <c r="X67" s="11" t="e">
        <f aca="false">Waterfall!X28*X66/(X36+X51+X66+X81+X96+0.000000001)</f>
        <v>#VALUE!</v>
      </c>
      <c r="Y67" s="11" t="e">
        <f aca="false">Waterfall!Y28*Y66/(Y36+Y51+Y66+Y81+Y96+0.000000001)</f>
        <v>#VALUE!</v>
      </c>
      <c r="Z67" s="11" t="e">
        <f aca="false">Waterfall!Z28*Z66/(Z36+Z51+Z66+Z81+Z96+0.000000001)</f>
        <v>#VALUE!</v>
      </c>
      <c r="AA67" s="11" t="e">
        <f aca="false">Waterfall!AA28*AA66/(AA36+AA51+AA66+AA81+AA96+0.000000001)</f>
        <v>#VALUE!</v>
      </c>
      <c r="AB67" s="11" t="e">
        <f aca="false">Waterfall!AB28*AB66/(AB36+AB51+AB66+AB81+AB96+0.000000001)</f>
        <v>#VALUE!</v>
      </c>
      <c r="AC67" s="11" t="e">
        <f aca="false">Waterfall!AC28*AC66/(AC36+AC51+AC66+AC81+AC96+0.000000001)</f>
        <v>#VALUE!</v>
      </c>
      <c r="AD67" s="11" t="e">
        <f aca="false">Waterfall!AD28*AD66/(AD36+AD51+AD66+AD81+AD96+0.000000001)</f>
        <v>#VALUE!</v>
      </c>
      <c r="AE67" s="11" t="e">
        <f aca="false">Waterfall!AE28*AE66/(AE36+AE51+AE66+AE81+AE96+0.000000001)</f>
        <v>#VALUE!</v>
      </c>
      <c r="AF67" s="11" t="e">
        <f aca="false">Waterfall!AF28*AF66/(AF36+AF51+AF66+AF81+AF96+0.000000001)</f>
        <v>#VALUE!</v>
      </c>
      <c r="AG67" s="11" t="e">
        <f aca="false">Waterfall!AG28*AG66/(AG36+AG51+AG66+AG81+AG96+0.000000001)</f>
        <v>#VALUE!</v>
      </c>
      <c r="AH67" s="11" t="e">
        <f aca="false">Waterfall!AH28*AH66/(AH36+AH51+AH66+AH81+AH96+0.000000001)</f>
        <v>#VALUE!</v>
      </c>
      <c r="AI67" s="11" t="e">
        <f aca="false">Waterfall!AI28*AI66/(AI36+AI51+AI66+AI81+AI96+0.000000001)</f>
        <v>#VALUE!</v>
      </c>
      <c r="AJ67" s="11" t="e">
        <f aca="false">Waterfall!AJ28*AJ66/(AJ36+AJ51+AJ66+AJ81+AJ96+0.000000001)</f>
        <v>#VALUE!</v>
      </c>
      <c r="AK67" s="11" t="e">
        <f aca="false">Waterfall!AK28*AK66/(AK36+AK51+AK66+AK81+AK96+0.000000001)</f>
        <v>#VALUE!</v>
      </c>
      <c r="AL67" s="11" t="e">
        <f aca="false">Waterfall!AL28*AL66/(AL36+AL51+AL66+AL81+AL96+0.000000001)</f>
        <v>#VALUE!</v>
      </c>
      <c r="AM67" s="11" t="e">
        <f aca="false">Waterfall!AM28*AM66/(AM36+AM51+AM66+AM81+AM96+0.000000001)</f>
        <v>#VALUE!</v>
      </c>
      <c r="AN67" s="11" t="e">
        <f aca="false">Waterfall!AN28*AN66/(AN36+AN51+AN66+AN81+AN96+0.000000001)</f>
        <v>#VALUE!</v>
      </c>
      <c r="AO67" s="11" t="e">
        <f aca="false">Waterfall!AO28*AO66/(AO36+AO51+AO66+AO81+AO96+0.000000001)</f>
        <v>#VALUE!</v>
      </c>
      <c r="AP67" s="11" t="e">
        <f aca="false">Waterfall!AP28*AP66/(AP36+AP51+AP66+AP81+AP96+0.000000001)</f>
        <v>#VALUE!</v>
      </c>
      <c r="AQ67" s="11" t="e">
        <f aca="false">Waterfall!AQ28*AQ66/(AQ36+AQ51+AQ66+AQ81+AQ96+0.000000001)</f>
        <v>#VALUE!</v>
      </c>
      <c r="AR67" s="11" t="e">
        <f aca="false">Waterfall!AR28*AR66/(AR36+AR51+AR66+AR81+AR96+0.000000001)</f>
        <v>#VALUE!</v>
      </c>
      <c r="AS67" s="11" t="e">
        <f aca="false">Waterfall!AS28*AS66/(AS36+AS51+AS66+AS81+AS96+0.000000001)</f>
        <v>#VALUE!</v>
      </c>
      <c r="AT67" s="11" t="e">
        <f aca="false">Waterfall!AT28*AT66/(AT36+AT51+AT66+AT81+AT96+0.000000001)</f>
        <v>#VALUE!</v>
      </c>
      <c r="AU67" s="11" t="e">
        <f aca="false">Waterfall!AU28*AU66/(AU36+AU51+AU66+AU81+AU96+0.000000001)</f>
        <v>#VALUE!</v>
      </c>
      <c r="AV67" s="11" t="e">
        <f aca="false">Waterfall!AV28*AV66/(AV36+AV51+AV66+AV81+AV96+0.000000001)</f>
        <v>#VALUE!</v>
      </c>
      <c r="AW67" s="11" t="e">
        <f aca="false">Waterfall!AW28*AW66/(AW36+AW51+AW66+AW81+AW96+0.000000001)</f>
        <v>#VALUE!</v>
      </c>
      <c r="AX67" s="11" t="e">
        <f aca="false">Waterfall!AX28*AX66/(AX36+AX51+AX66+AX81+AX96+0.000000001)</f>
        <v>#VALUE!</v>
      </c>
      <c r="AY67" s="11" t="e">
        <f aca="false">Waterfall!AY28*AY66/(AY36+AY51+AY66+AY81+AY96+0.000000001)</f>
        <v>#VALUE!</v>
      </c>
      <c r="AZ67" s="11" t="e">
        <f aca="false">Waterfall!AZ28*AZ66/(AZ36+AZ51+AZ66+AZ81+AZ96+0.000000001)</f>
        <v>#VALUE!</v>
      </c>
      <c r="BA67" s="11" t="e">
        <f aca="false">Waterfall!BA28*BA66/(BA36+BA51+BA66+BA81+BA96+0.000000001)</f>
        <v>#VALUE!</v>
      </c>
      <c r="BB67" s="11" t="e">
        <f aca="false">Waterfall!BB28*BB66/(BB36+BB51+BB66+BB81+BB96+0.000000001)</f>
        <v>#VALUE!</v>
      </c>
      <c r="BC67" s="11" t="e">
        <f aca="false">Waterfall!BC28*BC66/(BC36+BC51+BC66+BC81+BC96+0.000000001)</f>
        <v>#VALUE!</v>
      </c>
      <c r="BD67" s="11" t="e">
        <f aca="false">Waterfall!BD28*BD66/(BD36+BD51+BD66+BD81+BD96+0.000000001)</f>
        <v>#VALUE!</v>
      </c>
      <c r="BE67" s="11" t="e">
        <f aca="false">Waterfall!BE28*BE66/(BE36+BE51+BE66+BE81+BE96+0.000000001)</f>
        <v>#VALUE!</v>
      </c>
      <c r="BF67" s="11" t="e">
        <f aca="false">Waterfall!BF28*BF66/(BF36+BF51+BF66+BF81+BF96+0.000000001)</f>
        <v>#VALUE!</v>
      </c>
      <c r="BG67" s="11" t="e">
        <f aca="false">Waterfall!BG28*BG66/(BG36+BG51+BG66+BG81+BG96+0.000000001)</f>
        <v>#VALUE!</v>
      </c>
      <c r="BH67" s="11" t="e">
        <f aca="false">Waterfall!BH28*BH66/(BH36+BH51+BH66+BH81+BH96+0.000000001)</f>
        <v>#VALUE!</v>
      </c>
      <c r="BI67" s="11" t="e">
        <f aca="false">Waterfall!BI28*BI66/(BI36+BI51+BI66+BI81+BI96+0.000000001)</f>
        <v>#VALUE!</v>
      </c>
      <c r="BJ67" s="11" t="e">
        <f aca="false">Waterfall!BJ28*BJ66/(BJ36+BJ51+BJ66+BJ81+BJ96+0.000000001)</f>
        <v>#VALUE!</v>
      </c>
      <c r="BK67" s="11" t="e">
        <f aca="false">Waterfall!BK28*BK66/(BK36+BK51+BK66+BK81+BK96+0.000000001)</f>
        <v>#VALUE!</v>
      </c>
      <c r="BL67" s="11" t="e">
        <f aca="false">Waterfall!BL28*BL66/(BL36+BL51+BL66+BL81+BL96+0.000000001)</f>
        <v>#VALUE!</v>
      </c>
      <c r="BM67" s="11" t="e">
        <f aca="false">Waterfall!BM28*BM66/(BM36+BM51+BM66+BM81+BM96+0.000000001)</f>
        <v>#VALUE!</v>
      </c>
      <c r="BN67" s="11" t="e">
        <f aca="false">Waterfall!BN28*BN66/(BN36+BN51+BN66+BN81+BN96+0.000000001)</f>
        <v>#VALUE!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e">
        <f aca="false">IF(Time!J29=1,INDEX(Funding!$J$63:$BJ$63,1,Time!$F$13),Time!J30*(J66-J67))</f>
        <v>#VALUE!</v>
      </c>
      <c r="K68" s="11" t="e">
        <f aca="false">IF(Time!K29=1,INDEX(Funding!$J$63:$BJ$63,1,Time!$F$13),Time!K30*(K66-K67))</f>
        <v>#VALUE!</v>
      </c>
      <c r="L68" s="11" t="e">
        <f aca="false">IF(Time!L29=1,INDEX(Funding!$J$63:$BJ$63,1,Time!$F$13),Time!L30*(L66-L67))</f>
        <v>#VALUE!</v>
      </c>
      <c r="M68" s="11" t="e">
        <f aca="false">IF(Time!M29=1,INDEX(Funding!$J$63:$BJ$63,1,Time!$F$13),Time!M30*(M66-M67))</f>
        <v>#VALUE!</v>
      </c>
      <c r="N68" s="11" t="e">
        <f aca="false">IF(Time!N29=1,INDEX(Funding!$J$63:$BJ$63,1,Time!$F$13),Time!N30*(N66-N67))</f>
        <v>#VALUE!</v>
      </c>
      <c r="O68" s="11" t="n">
        <f aca="false">IF(Time!O29=1,INDEX(Funding!$J$63:$BJ$63,1,Time!$F$13),Time!O30*(O66-O67))</f>
        <v>63.3255975542774</v>
      </c>
      <c r="P68" s="11" t="e">
        <f aca="false">IF(Time!P29=1,INDEX(Funding!$J$63:$BJ$63,1,Time!$F$13),Time!P30*(P66-P67))</f>
        <v>#VALUE!</v>
      </c>
      <c r="Q68" s="11" t="e">
        <f aca="false">IF(Time!Q29=1,INDEX(Funding!$J$63:$BJ$63,1,Time!$F$13),Time!Q30*(Q66-Q67))</f>
        <v>#VALUE!</v>
      </c>
      <c r="R68" s="11" t="e">
        <f aca="false">IF(Time!R29=1,INDEX(Funding!$J$63:$BJ$63,1,Time!$F$13),Time!R30*(R66-R67))</f>
        <v>#VALUE!</v>
      </c>
      <c r="S68" s="11" t="e">
        <f aca="false">IF(Time!S29=1,INDEX(Funding!$J$63:$BJ$63,1,Time!$F$13),Time!S30*(S66-S67))</f>
        <v>#VALUE!</v>
      </c>
      <c r="T68" s="11" t="e">
        <f aca="false">IF(Time!T29=1,INDEX(Funding!$J$63:$BJ$63,1,Time!$F$13),Time!T30*(T66-T67))</f>
        <v>#VALUE!</v>
      </c>
      <c r="U68" s="11" t="e">
        <f aca="false">IF(Time!U29=1,INDEX(Funding!$J$63:$BJ$63,1,Time!$F$13),Time!U30*(U66-U67))</f>
        <v>#VALUE!</v>
      </c>
      <c r="V68" s="11" t="e">
        <f aca="false">IF(Time!V29=1,INDEX(Funding!$J$63:$BJ$63,1,Time!$F$13),Time!V30*(V66-V67))</f>
        <v>#VALUE!</v>
      </c>
      <c r="W68" s="11" t="e">
        <f aca="false">IF(Time!W29=1,INDEX(Funding!$J$63:$BJ$63,1,Time!$F$13),Time!W30*(W66-W67))</f>
        <v>#VALUE!</v>
      </c>
      <c r="X68" s="11" t="e">
        <f aca="false">IF(Time!X29=1,INDEX(Funding!$J$63:$BJ$63,1,Time!$F$13),Time!X30*(X66-X67))</f>
        <v>#VALUE!</v>
      </c>
      <c r="Y68" s="11" t="e">
        <f aca="false">IF(Time!Y29=1,INDEX(Funding!$J$63:$BJ$63,1,Time!$F$13),Time!Y30*(Y66-Y67))</f>
        <v>#VALUE!</v>
      </c>
      <c r="Z68" s="11" t="e">
        <f aca="false">IF(Time!Z29=1,INDEX(Funding!$J$63:$BJ$63,1,Time!$F$13),Time!Z30*(Z66-Z67))</f>
        <v>#VALUE!</v>
      </c>
      <c r="AA68" s="11" t="e">
        <f aca="false">IF(Time!AA29=1,INDEX(Funding!$J$63:$BJ$63,1,Time!$F$13),Time!AA30*(AA66-AA67))</f>
        <v>#VALUE!</v>
      </c>
      <c r="AB68" s="11" t="e">
        <f aca="false">IF(Time!AB29=1,INDEX(Funding!$J$63:$BJ$63,1,Time!$F$13),Time!AB30*(AB66-AB67))</f>
        <v>#VALUE!</v>
      </c>
      <c r="AC68" s="11" t="e">
        <f aca="false">IF(Time!AC29=1,INDEX(Funding!$J$63:$BJ$63,1,Time!$F$13),Time!AC30*(AC66-AC67))</f>
        <v>#VALUE!</v>
      </c>
      <c r="AD68" s="11" t="e">
        <f aca="false">IF(Time!AD29=1,INDEX(Funding!$J$63:$BJ$63,1,Time!$F$13),Time!AD30*(AD66-AD67))</f>
        <v>#VALUE!</v>
      </c>
      <c r="AE68" s="11" t="e">
        <f aca="false">IF(Time!AE29=1,INDEX(Funding!$J$63:$BJ$63,1,Time!$F$13),Time!AE30*(AE66-AE67))</f>
        <v>#VALUE!</v>
      </c>
      <c r="AF68" s="11" t="e">
        <f aca="false">IF(Time!AF29=1,INDEX(Funding!$J$63:$BJ$63,1,Time!$F$13),Time!AF30*(AF66-AF67))</f>
        <v>#VALUE!</v>
      </c>
      <c r="AG68" s="11" t="e">
        <f aca="false">IF(Time!AG29=1,INDEX(Funding!$J$63:$BJ$63,1,Time!$F$13),Time!AG30*(AG66-AG67))</f>
        <v>#VALUE!</v>
      </c>
      <c r="AH68" s="11" t="e">
        <f aca="false">IF(Time!AH29=1,INDEX(Funding!$J$63:$BJ$63,1,Time!$F$13),Time!AH30*(AH66-AH67))</f>
        <v>#VALUE!</v>
      </c>
      <c r="AI68" s="11" t="e">
        <f aca="false">IF(Time!AI29=1,INDEX(Funding!$J$63:$BJ$63,1,Time!$F$13),Time!AI30*(AI66-AI67))</f>
        <v>#VALUE!</v>
      </c>
      <c r="AJ68" s="11" t="e">
        <f aca="false">IF(Time!AJ29=1,INDEX(Funding!$J$63:$BJ$63,1,Time!$F$13),Time!AJ30*(AJ66-AJ67))</f>
        <v>#VALUE!</v>
      </c>
      <c r="AK68" s="11" t="e">
        <f aca="false">IF(Time!AK29=1,INDEX(Funding!$J$63:$BJ$63,1,Time!$F$13),Time!AK30*(AK66-AK67))</f>
        <v>#VALUE!</v>
      </c>
      <c r="AL68" s="11" t="e">
        <f aca="false">IF(Time!AL29=1,INDEX(Funding!$J$63:$BJ$63,1,Time!$F$13),Time!AL30*(AL66-AL67))</f>
        <v>#VALUE!</v>
      </c>
      <c r="AM68" s="11" t="e">
        <f aca="false">IF(Time!AM29=1,INDEX(Funding!$J$63:$BJ$63,1,Time!$F$13),Time!AM30*(AM66-AM67))</f>
        <v>#VALUE!</v>
      </c>
      <c r="AN68" s="11" t="e">
        <f aca="false">IF(Time!AN29=1,INDEX(Funding!$J$63:$BJ$63,1,Time!$F$13),Time!AN30*(AN66-AN67))</f>
        <v>#VALUE!</v>
      </c>
      <c r="AO68" s="11" t="e">
        <f aca="false">IF(Time!AO29=1,INDEX(Funding!$J$63:$BJ$63,1,Time!$F$13),Time!AO30*(AO66-AO67))</f>
        <v>#VALUE!</v>
      </c>
      <c r="AP68" s="11" t="e">
        <f aca="false">IF(Time!AP29=1,INDEX(Funding!$J$63:$BJ$63,1,Time!$F$13),Time!AP30*(AP66-AP67))</f>
        <v>#VALUE!</v>
      </c>
      <c r="AQ68" s="11" t="e">
        <f aca="false">IF(Time!AQ29=1,INDEX(Funding!$J$63:$BJ$63,1,Time!$F$13),Time!AQ30*(AQ66-AQ67))</f>
        <v>#VALUE!</v>
      </c>
      <c r="AR68" s="11" t="e">
        <f aca="false">IF(Time!AR29=1,INDEX(Funding!$J$63:$BJ$63,1,Time!$F$13),Time!AR30*(AR66-AR67))</f>
        <v>#VALUE!</v>
      </c>
      <c r="AS68" s="11" t="e">
        <f aca="false">IF(Time!AS29=1,INDEX(Funding!$J$63:$BJ$63,1,Time!$F$13),Time!AS30*(AS66-AS67))</f>
        <v>#VALUE!</v>
      </c>
      <c r="AT68" s="11" t="e">
        <f aca="false">IF(Time!AT29=1,INDEX(Funding!$J$63:$BJ$63,1,Time!$F$13),Time!AT30*(AT66-AT67))</f>
        <v>#VALUE!</v>
      </c>
      <c r="AU68" s="11" t="e">
        <f aca="false">IF(Time!AU29=1,INDEX(Funding!$J$63:$BJ$63,1,Time!$F$13),Time!AU30*(AU66-AU67))</f>
        <v>#VALUE!</v>
      </c>
      <c r="AV68" s="11" t="e">
        <f aca="false">IF(Time!AV29=1,INDEX(Funding!$J$63:$BJ$63,1,Time!$F$13),Time!AV30*(AV66-AV67))</f>
        <v>#VALUE!</v>
      </c>
      <c r="AW68" s="11" t="e">
        <f aca="false">IF(Time!AW29=1,INDEX(Funding!$J$63:$BJ$63,1,Time!$F$13),Time!AW30*(AW66-AW67))</f>
        <v>#VALUE!</v>
      </c>
      <c r="AX68" s="11" t="e">
        <f aca="false">IF(Time!AX29=1,INDEX(Funding!$J$63:$BJ$63,1,Time!$F$13),Time!AX30*(AX66-AX67))</f>
        <v>#VALUE!</v>
      </c>
      <c r="AY68" s="11" t="e">
        <f aca="false">IF(Time!AY29=1,INDEX(Funding!$J$63:$BJ$63,1,Time!$F$13),Time!AY30*(AY66-AY67))</f>
        <v>#VALUE!</v>
      </c>
      <c r="AZ68" s="11" t="e">
        <f aca="false">IF(Time!AZ29=1,INDEX(Funding!$J$63:$BJ$63,1,Time!$F$13),Time!AZ30*(AZ66-AZ67))</f>
        <v>#VALUE!</v>
      </c>
      <c r="BA68" s="11" t="e">
        <f aca="false">IF(Time!BA29=1,INDEX(Funding!$J$63:$BJ$63,1,Time!$F$13),Time!BA30*(BA66-BA67))</f>
        <v>#VALUE!</v>
      </c>
      <c r="BB68" s="11" t="e">
        <f aca="false">IF(Time!BB29=1,INDEX(Funding!$J$63:$BJ$63,1,Time!$F$13),Time!BB30*(BB66-BB67))</f>
        <v>#VALUE!</v>
      </c>
      <c r="BC68" s="11" t="e">
        <f aca="false">IF(Time!BC29=1,INDEX(Funding!$J$63:$BJ$63,1,Time!$F$13),Time!BC30*(BC66-BC67))</f>
        <v>#VALUE!</v>
      </c>
      <c r="BD68" s="11" t="e">
        <f aca="false">IF(Time!BD29=1,INDEX(Funding!$J$63:$BJ$63,1,Time!$F$13),Time!BD30*(BD66-BD67))</f>
        <v>#VALUE!</v>
      </c>
      <c r="BE68" s="11" t="e">
        <f aca="false">IF(Time!BE29=1,INDEX(Funding!$J$63:$BJ$63,1,Time!$F$13),Time!BE30*(BE66-BE67))</f>
        <v>#VALUE!</v>
      </c>
      <c r="BF68" s="11" t="e">
        <f aca="false">IF(Time!BF29=1,INDEX(Funding!$J$63:$BJ$63,1,Time!$F$13),Time!BF30*(BF66-BF67))</f>
        <v>#VALUE!</v>
      </c>
      <c r="BG68" s="11" t="e">
        <f aca="false">IF(Time!BG29=1,INDEX(Funding!$J$63:$BJ$63,1,Time!$F$13),Time!BG30*(BG66-BG67))</f>
        <v>#VALUE!</v>
      </c>
      <c r="BH68" s="11" t="e">
        <f aca="false">IF(Time!BH29=1,INDEX(Funding!$J$63:$BJ$63,1,Time!$F$13),Time!BH30*(BH66-BH67))</f>
        <v>#VALUE!</v>
      </c>
      <c r="BI68" s="11" t="e">
        <f aca="false">IF(Time!BI29=1,INDEX(Funding!$J$63:$BJ$63,1,Time!$F$13),Time!BI30*(BI66-BI67))</f>
        <v>#VALUE!</v>
      </c>
      <c r="BJ68" s="11" t="e">
        <f aca="false">IF(Time!BJ29=1,INDEX(Funding!$J$63:$BJ$63,1,Time!$F$13),Time!BJ30*(BJ66-BJ67))</f>
        <v>#VALUE!</v>
      </c>
      <c r="BK68" s="11" t="e">
        <f aca="false">IF(Time!BK29=1,INDEX(Funding!$J$63:$BJ$63,1,Time!$F$13),Time!BK30*(BK66-BK67))</f>
        <v>#VALUE!</v>
      </c>
      <c r="BL68" s="11" t="e">
        <f aca="false">IF(Time!BL29=1,INDEX(Funding!$J$63:$BJ$63,1,Time!$F$13),Time!BL30*(BL66-BL67))</f>
        <v>#VALUE!</v>
      </c>
      <c r="BM68" s="11" t="e">
        <f aca="false">IF(Time!BM29=1,INDEX(Funding!$J$63:$BJ$63,1,Time!$F$13),Time!BM30*(BM66-BM67))</f>
        <v>#VALUE!</v>
      </c>
      <c r="BN68" s="11" t="e">
        <f aca="false">IF(Time!BN29=1,INDEX(Funding!$J$63:$BJ$63,1,Time!$F$13),Time!BN30*(BN66-BN67))</f>
        <v>#VALUE!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e">
        <f aca="false">Time!K30*J83</f>
        <v>#VALUE!</v>
      </c>
      <c r="L70" s="11" t="e">
        <f aca="false">Time!L30*K83</f>
        <v>#VALUE!</v>
      </c>
      <c r="M70" s="11" t="e">
        <f aca="false">Time!M30*L83</f>
        <v>#VALUE!</v>
      </c>
      <c r="N70" s="11" t="e">
        <f aca="false">Time!N30*M83</f>
        <v>#VALUE!</v>
      </c>
      <c r="O70" s="11" t="e">
        <f aca="false">Time!O30*N83</f>
        <v>#VALUE!</v>
      </c>
      <c r="P70" s="11" t="n">
        <f aca="false">Time!P30*O83</f>
        <v>240.637270706254</v>
      </c>
      <c r="Q70" s="11" t="e">
        <f aca="false">Time!Q30*P83</f>
        <v>#VALUE!</v>
      </c>
      <c r="R70" s="11" t="e">
        <f aca="false">Time!R30*Q83</f>
        <v>#VALUE!</v>
      </c>
      <c r="S70" s="11" t="e">
        <f aca="false">Time!S30*R83</f>
        <v>#VALUE!</v>
      </c>
      <c r="T70" s="11" t="e">
        <f aca="false">Time!T30*S83</f>
        <v>#VALUE!</v>
      </c>
      <c r="U70" s="11" t="e">
        <f aca="false">Time!U30*T83</f>
        <v>#VALUE!</v>
      </c>
      <c r="V70" s="11" t="e">
        <f aca="false">Time!V30*U83</f>
        <v>#VALUE!</v>
      </c>
      <c r="W70" s="11" t="e">
        <f aca="false">Time!W30*V83</f>
        <v>#VALUE!</v>
      </c>
      <c r="X70" s="11" t="e">
        <f aca="false">Time!X30*W83</f>
        <v>#VALUE!</v>
      </c>
      <c r="Y70" s="11" t="e">
        <f aca="false">Time!Y30*X83</f>
        <v>#VALUE!</v>
      </c>
      <c r="Z70" s="11" t="e">
        <f aca="false">Time!Z30*Y83</f>
        <v>#VALUE!</v>
      </c>
      <c r="AA70" s="11" t="e">
        <f aca="false">Time!AA30*Z83</f>
        <v>#VALUE!</v>
      </c>
      <c r="AB70" s="11" t="e">
        <f aca="false">Time!AB30*AA83</f>
        <v>#VALUE!</v>
      </c>
      <c r="AC70" s="11" t="e">
        <f aca="false">Time!AC30*AB83</f>
        <v>#VALUE!</v>
      </c>
      <c r="AD70" s="11" t="e">
        <f aca="false">Time!AD30*AC83</f>
        <v>#VALUE!</v>
      </c>
      <c r="AE70" s="11" t="e">
        <f aca="false">Time!AE30*AD83</f>
        <v>#VALUE!</v>
      </c>
      <c r="AF70" s="11" t="e">
        <f aca="false">Time!AF30*AE83</f>
        <v>#VALUE!</v>
      </c>
      <c r="AG70" s="11" t="e">
        <f aca="false">Time!AG30*AF83</f>
        <v>#VALUE!</v>
      </c>
      <c r="AH70" s="11" t="e">
        <f aca="false">Time!AH30*AG83</f>
        <v>#VALUE!</v>
      </c>
      <c r="AI70" s="11" t="e">
        <f aca="false">Time!AI30*AH83</f>
        <v>#VALUE!</v>
      </c>
      <c r="AJ70" s="11" t="e">
        <f aca="false">Time!AJ30*AI83</f>
        <v>#VALUE!</v>
      </c>
      <c r="AK70" s="11" t="e">
        <f aca="false">Time!AK30*AJ83</f>
        <v>#VALUE!</v>
      </c>
      <c r="AL70" s="11" t="e">
        <f aca="false">Time!AL30*AK83</f>
        <v>#VALUE!</v>
      </c>
      <c r="AM70" s="11" t="e">
        <f aca="false">Time!AM30*AL83</f>
        <v>#VALUE!</v>
      </c>
      <c r="AN70" s="11" t="e">
        <f aca="false">Time!AN30*AM83</f>
        <v>#VALUE!</v>
      </c>
      <c r="AO70" s="11" t="e">
        <f aca="false">Time!AO30*AN83</f>
        <v>#VALUE!</v>
      </c>
      <c r="AP70" s="11" t="e">
        <f aca="false">Time!AP30*AO83</f>
        <v>#VALUE!</v>
      </c>
      <c r="AQ70" s="11" t="e">
        <f aca="false">Time!AQ30*AP83</f>
        <v>#VALUE!</v>
      </c>
      <c r="AR70" s="11" t="e">
        <f aca="false">Time!AR30*AQ83</f>
        <v>#VALUE!</v>
      </c>
      <c r="AS70" s="11" t="e">
        <f aca="false">Time!AS30*AR83</f>
        <v>#VALUE!</v>
      </c>
      <c r="AT70" s="11" t="e">
        <f aca="false">Time!AT30*AS83</f>
        <v>#VALUE!</v>
      </c>
      <c r="AU70" s="11" t="e">
        <f aca="false">Time!AU30*AT83</f>
        <v>#VALUE!</v>
      </c>
      <c r="AV70" s="11" t="e">
        <f aca="false">Time!AV30*AU83</f>
        <v>#VALUE!</v>
      </c>
      <c r="AW70" s="11" t="e">
        <f aca="false">Time!AW30*AV83</f>
        <v>#VALUE!</v>
      </c>
      <c r="AX70" s="11" t="e">
        <f aca="false">Time!AX30*AW83</f>
        <v>#VALUE!</v>
      </c>
      <c r="AY70" s="11" t="e">
        <f aca="false">Time!AY30*AX83</f>
        <v>#VALUE!</v>
      </c>
      <c r="AZ70" s="11" t="e">
        <f aca="false">Time!AZ30*AY83</f>
        <v>#VALUE!</v>
      </c>
      <c r="BA70" s="11" t="e">
        <f aca="false">Time!BA30*AZ83</f>
        <v>#VALUE!</v>
      </c>
      <c r="BB70" s="11" t="e">
        <f aca="false">Time!BB30*BA83</f>
        <v>#VALUE!</v>
      </c>
      <c r="BC70" s="11" t="e">
        <f aca="false">Time!BC30*BB83</f>
        <v>#VALUE!</v>
      </c>
      <c r="BD70" s="11" t="e">
        <f aca="false">Time!BD30*BC83</f>
        <v>#VALUE!</v>
      </c>
      <c r="BE70" s="11" t="e">
        <f aca="false">Time!BE30*BD83</f>
        <v>#VALUE!</v>
      </c>
      <c r="BF70" s="11" t="e">
        <f aca="false">Time!BF30*BE83</f>
        <v>#VALUE!</v>
      </c>
      <c r="BG70" s="11" t="e">
        <f aca="false">Time!BG30*BF83</f>
        <v>#VALUE!</v>
      </c>
      <c r="BH70" s="11" t="e">
        <f aca="false">Time!BH30*BG83</f>
        <v>#VALUE!</v>
      </c>
      <c r="BI70" s="11" t="e">
        <f aca="false">Time!BI30*BH83</f>
        <v>#VALUE!</v>
      </c>
      <c r="BJ70" s="11" t="e">
        <f aca="false">Time!BJ30*BI83</f>
        <v>#VALUE!</v>
      </c>
      <c r="BK70" s="11" t="e">
        <f aca="false">Time!BK30*BJ83</f>
        <v>#VALUE!</v>
      </c>
      <c r="BL70" s="11" t="e">
        <f aca="false">Time!BL30*BK83</f>
        <v>#VALUE!</v>
      </c>
      <c r="BM70" s="11" t="e">
        <f aca="false">Time!BM30*BL83</f>
        <v>#VALUE!</v>
      </c>
      <c r="BN70" s="11" t="e">
        <f aca="false">Time!BN30*BM83</f>
        <v>#VALUE!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e">
        <f aca="false">J80</f>
        <v>#VALUE!</v>
      </c>
      <c r="L71" s="11" t="e">
        <f aca="false">K80</f>
        <v>#VALUE!</v>
      </c>
      <c r="M71" s="11" t="e">
        <f aca="false">L80</f>
        <v>#VALUE!</v>
      </c>
      <c r="N71" s="11" t="e">
        <f aca="false">M80</f>
        <v>#VALUE!</v>
      </c>
      <c r="O71" s="11" t="e">
        <f aca="false">N80</f>
        <v>#VALUE!</v>
      </c>
      <c r="P71" s="11" t="e">
        <f aca="false">O80</f>
        <v>#VALUE!</v>
      </c>
      <c r="Q71" s="11" t="e">
        <f aca="false">P80</f>
        <v>#VALUE!</v>
      </c>
      <c r="R71" s="11" t="e">
        <f aca="false">Q80</f>
        <v>#VALUE!</v>
      </c>
      <c r="S71" s="11" t="e">
        <f aca="false">R80</f>
        <v>#VALUE!</v>
      </c>
      <c r="T71" s="11" t="e">
        <f aca="false">S80</f>
        <v>#VALUE!</v>
      </c>
      <c r="U71" s="11" t="e">
        <f aca="false">T80</f>
        <v>#VALUE!</v>
      </c>
      <c r="V71" s="11" t="e">
        <f aca="false">U80</f>
        <v>#VALUE!</v>
      </c>
      <c r="W71" s="11" t="e">
        <f aca="false">V80</f>
        <v>#VALUE!</v>
      </c>
      <c r="X71" s="11" t="e">
        <f aca="false">W80</f>
        <v>#VALUE!</v>
      </c>
      <c r="Y71" s="11" t="e">
        <f aca="false">X80</f>
        <v>#VALUE!</v>
      </c>
      <c r="Z71" s="11" t="e">
        <f aca="false">Y80</f>
        <v>#VALUE!</v>
      </c>
      <c r="AA71" s="11" t="e">
        <f aca="false">Z80</f>
        <v>#VALUE!</v>
      </c>
      <c r="AB71" s="11" t="e">
        <f aca="false">AA80</f>
        <v>#VALUE!</v>
      </c>
      <c r="AC71" s="11" t="e">
        <f aca="false">AB80</f>
        <v>#VALUE!</v>
      </c>
      <c r="AD71" s="11" t="e">
        <f aca="false">AC80</f>
        <v>#VALUE!</v>
      </c>
      <c r="AE71" s="11" t="e">
        <f aca="false">AD80</f>
        <v>#VALUE!</v>
      </c>
      <c r="AF71" s="11" t="e">
        <f aca="false">AE80</f>
        <v>#VALUE!</v>
      </c>
      <c r="AG71" s="11" t="e">
        <f aca="false">AF80</f>
        <v>#VALUE!</v>
      </c>
      <c r="AH71" s="11" t="e">
        <f aca="false">AG80</f>
        <v>#VALUE!</v>
      </c>
      <c r="AI71" s="11" t="e">
        <f aca="false">AH80</f>
        <v>#VALUE!</v>
      </c>
      <c r="AJ71" s="11" t="e">
        <f aca="false">AI80</f>
        <v>#VALUE!</v>
      </c>
      <c r="AK71" s="11" t="e">
        <f aca="false">AJ80</f>
        <v>#VALUE!</v>
      </c>
      <c r="AL71" s="11" t="e">
        <f aca="false">AK80</f>
        <v>#VALUE!</v>
      </c>
      <c r="AM71" s="11" t="e">
        <f aca="false">AL80</f>
        <v>#VALUE!</v>
      </c>
      <c r="AN71" s="11" t="e">
        <f aca="false">AM80</f>
        <v>#VALUE!</v>
      </c>
      <c r="AO71" s="11" t="e">
        <f aca="false">AN80</f>
        <v>#VALUE!</v>
      </c>
      <c r="AP71" s="11" t="e">
        <f aca="false">AO80</f>
        <v>#VALUE!</v>
      </c>
      <c r="AQ71" s="11" t="e">
        <f aca="false">AP80</f>
        <v>#VALUE!</v>
      </c>
      <c r="AR71" s="11" t="e">
        <f aca="false">AQ80</f>
        <v>#VALUE!</v>
      </c>
      <c r="AS71" s="11" t="e">
        <f aca="false">AR80</f>
        <v>#VALUE!</v>
      </c>
      <c r="AT71" s="11" t="e">
        <f aca="false">AS80</f>
        <v>#VALUE!</v>
      </c>
      <c r="AU71" s="11" t="e">
        <f aca="false">AT80</f>
        <v>#VALUE!</v>
      </c>
      <c r="AV71" s="11" t="e">
        <f aca="false">AU80</f>
        <v>#VALUE!</v>
      </c>
      <c r="AW71" s="11" t="e">
        <f aca="false">AV80</f>
        <v>#VALUE!</v>
      </c>
      <c r="AX71" s="11" t="e">
        <f aca="false">AW80</f>
        <v>#VALUE!</v>
      </c>
      <c r="AY71" s="11" t="e">
        <f aca="false">AX80</f>
        <v>#VALUE!</v>
      </c>
      <c r="AZ71" s="11" t="e">
        <f aca="false">AY80</f>
        <v>#VALUE!</v>
      </c>
      <c r="BA71" s="11" t="e">
        <f aca="false">AZ80</f>
        <v>#VALUE!</v>
      </c>
      <c r="BB71" s="11" t="e">
        <f aca="false">BA80</f>
        <v>#VALUE!</v>
      </c>
      <c r="BC71" s="11" t="e">
        <f aca="false">BB80</f>
        <v>#VALUE!</v>
      </c>
      <c r="BD71" s="11" t="e">
        <f aca="false">BC80</f>
        <v>#VALUE!</v>
      </c>
      <c r="BE71" s="11" t="e">
        <f aca="false">BD80</f>
        <v>#VALUE!</v>
      </c>
      <c r="BF71" s="11" t="e">
        <f aca="false">BE80</f>
        <v>#VALUE!</v>
      </c>
      <c r="BG71" s="11" t="e">
        <f aca="false">BF80</f>
        <v>#VALUE!</v>
      </c>
      <c r="BH71" s="11" t="e">
        <f aca="false">BG80</f>
        <v>#VALUE!</v>
      </c>
      <c r="BI71" s="11" t="e">
        <f aca="false">BH80</f>
        <v>#VALUE!</v>
      </c>
      <c r="BJ71" s="11" t="e">
        <f aca="false">BI80</f>
        <v>#VALUE!</v>
      </c>
      <c r="BK71" s="11" t="e">
        <f aca="false">BJ80</f>
        <v>#VALUE!</v>
      </c>
      <c r="BL71" s="11" t="e">
        <f aca="false">BK80</f>
        <v>#VALUE!</v>
      </c>
      <c r="BM71" s="11" t="e">
        <f aca="false">BL80</f>
        <v>#VALUE!</v>
      </c>
      <c r="BN71" s="11" t="e">
        <f aca="false">BM80</f>
        <v>#VALUE!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e">
        <f aca="false">SUM(J72:BN72)</f>
        <v>#VALUE!</v>
      </c>
      <c r="J72" s="11" t="n">
        <f aca="false">J70*J13</f>
        <v>0</v>
      </c>
      <c r="K72" s="11" t="e">
        <f aca="false">K70*K13</f>
        <v>#VALUE!</v>
      </c>
      <c r="L72" s="11" t="e">
        <f aca="false">L70*L13</f>
        <v>#VALUE!</v>
      </c>
      <c r="M72" s="11" t="e">
        <f aca="false">M70*M13</f>
        <v>#VALUE!</v>
      </c>
      <c r="N72" s="11" t="e">
        <f aca="false">N70*N13</f>
        <v>#VALUE!</v>
      </c>
      <c r="O72" s="11" t="e">
        <f aca="false">O70*O13</f>
        <v>#VALUE!</v>
      </c>
      <c r="P72" s="11" t="n">
        <f aca="false">P70*P13</f>
        <v>9.82572480412179</v>
      </c>
      <c r="Q72" s="11" t="e">
        <f aca="false">Q70*Q13</f>
        <v>#VALUE!</v>
      </c>
      <c r="R72" s="11" t="e">
        <f aca="false">R70*R13</f>
        <v>#VALUE!</v>
      </c>
      <c r="S72" s="11" t="e">
        <f aca="false">S70*S13</f>
        <v>#VALUE!</v>
      </c>
      <c r="T72" s="11" t="e">
        <f aca="false">T70*T13</f>
        <v>#VALUE!</v>
      </c>
      <c r="U72" s="11" t="e">
        <f aca="false">U70*U13</f>
        <v>#VALUE!</v>
      </c>
      <c r="V72" s="11" t="e">
        <f aca="false">V70*V13</f>
        <v>#VALUE!</v>
      </c>
      <c r="W72" s="11" t="e">
        <f aca="false">W70*W13</f>
        <v>#VALUE!</v>
      </c>
      <c r="X72" s="11" t="e">
        <f aca="false">X70*X13</f>
        <v>#VALUE!</v>
      </c>
      <c r="Y72" s="11" t="e">
        <f aca="false">Y70*Y13</f>
        <v>#VALUE!</v>
      </c>
      <c r="Z72" s="11" t="e">
        <f aca="false">Z70*Z13</f>
        <v>#VALUE!</v>
      </c>
      <c r="AA72" s="11" t="e">
        <f aca="false">AA70*AA13</f>
        <v>#VALUE!</v>
      </c>
      <c r="AB72" s="11" t="e">
        <f aca="false">AB70*AB13</f>
        <v>#VALUE!</v>
      </c>
      <c r="AC72" s="11" t="e">
        <f aca="false">AC70*AC13</f>
        <v>#VALUE!</v>
      </c>
      <c r="AD72" s="11" t="e">
        <f aca="false">AD70*AD13</f>
        <v>#VALUE!</v>
      </c>
      <c r="AE72" s="11" t="e">
        <f aca="false">AE70*AE13</f>
        <v>#VALUE!</v>
      </c>
      <c r="AF72" s="11" t="e">
        <f aca="false">AF70*AF13</f>
        <v>#VALUE!</v>
      </c>
      <c r="AG72" s="11" t="e">
        <f aca="false">AG70*AG13</f>
        <v>#VALUE!</v>
      </c>
      <c r="AH72" s="11" t="e">
        <f aca="false">AH70*AH13</f>
        <v>#VALUE!</v>
      </c>
      <c r="AI72" s="11" t="e">
        <f aca="false">AI70*AI13</f>
        <v>#VALUE!</v>
      </c>
      <c r="AJ72" s="11" t="e">
        <f aca="false">AJ70*AJ13</f>
        <v>#VALUE!</v>
      </c>
      <c r="AK72" s="11" t="e">
        <f aca="false">AK70*AK13</f>
        <v>#VALUE!</v>
      </c>
      <c r="AL72" s="11" t="e">
        <f aca="false">AL70*AL13</f>
        <v>#VALUE!</v>
      </c>
      <c r="AM72" s="11" t="e">
        <f aca="false">AM70*AM13</f>
        <v>#VALUE!</v>
      </c>
      <c r="AN72" s="11" t="e">
        <f aca="false">AN70*AN13</f>
        <v>#VALUE!</v>
      </c>
      <c r="AO72" s="11" t="e">
        <f aca="false">AO70*AO13</f>
        <v>#VALUE!</v>
      </c>
      <c r="AP72" s="11" t="e">
        <f aca="false">AP70*AP13</f>
        <v>#VALUE!</v>
      </c>
      <c r="AQ72" s="11" t="e">
        <f aca="false">AQ70*AQ13</f>
        <v>#VALUE!</v>
      </c>
      <c r="AR72" s="11" t="e">
        <f aca="false">AR70*AR13</f>
        <v>#VALUE!</v>
      </c>
      <c r="AS72" s="11" t="e">
        <f aca="false">AS70*AS13</f>
        <v>#VALUE!</v>
      </c>
      <c r="AT72" s="11" t="e">
        <f aca="false">AT70*AT13</f>
        <v>#VALUE!</v>
      </c>
      <c r="AU72" s="11" t="e">
        <f aca="false">AU70*AU13</f>
        <v>#VALUE!</v>
      </c>
      <c r="AV72" s="11" t="e">
        <f aca="false">AV70*AV13</f>
        <v>#VALUE!</v>
      </c>
      <c r="AW72" s="11" t="e">
        <f aca="false">AW70*AW13</f>
        <v>#VALUE!</v>
      </c>
      <c r="AX72" s="11" t="e">
        <f aca="false">AX70*AX13</f>
        <v>#VALUE!</v>
      </c>
      <c r="AY72" s="11" t="e">
        <f aca="false">AY70*AY13</f>
        <v>#VALUE!</v>
      </c>
      <c r="AZ72" s="11" t="e">
        <f aca="false">AZ70*AZ13</f>
        <v>#VALUE!</v>
      </c>
      <c r="BA72" s="11" t="e">
        <f aca="false">BA70*BA13</f>
        <v>#VALUE!</v>
      </c>
      <c r="BB72" s="11" t="e">
        <f aca="false">BB70*BB13</f>
        <v>#VALUE!</v>
      </c>
      <c r="BC72" s="11" t="e">
        <f aca="false">BC70*BC13</f>
        <v>#VALUE!</v>
      </c>
      <c r="BD72" s="11" t="e">
        <f aca="false">BD70*BD13</f>
        <v>#VALUE!</v>
      </c>
      <c r="BE72" s="11" t="e">
        <f aca="false">BE70*BE13</f>
        <v>#VALUE!</v>
      </c>
      <c r="BF72" s="11" t="e">
        <f aca="false">BF70*BF13</f>
        <v>#VALUE!</v>
      </c>
      <c r="BG72" s="11" t="e">
        <f aca="false">BG70*BG13</f>
        <v>#VALUE!</v>
      </c>
      <c r="BH72" s="11" t="e">
        <f aca="false">BH70*BH13</f>
        <v>#VALUE!</v>
      </c>
      <c r="BI72" s="11" t="e">
        <f aca="false">BI70*BI13</f>
        <v>#VALUE!</v>
      </c>
      <c r="BJ72" s="11" t="e">
        <f aca="false">BJ70*BJ13</f>
        <v>#VALUE!</v>
      </c>
      <c r="BK72" s="11" t="e">
        <f aca="false">BK70*BK13</f>
        <v>#VALUE!</v>
      </c>
      <c r="BL72" s="11" t="e">
        <f aca="false">BL70*BL13</f>
        <v>#VALUE!</v>
      </c>
      <c r="BM72" s="11" t="e">
        <f aca="false">BM70*BM13</f>
        <v>#VALUE!</v>
      </c>
      <c r="BN72" s="11" t="e">
        <f aca="false">BN70*BN13</f>
        <v>#VALUE!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e">
        <f aca="false">SUM(J73:BN73)</f>
        <v>#VALUE!</v>
      </c>
      <c r="J73" s="11" t="n">
        <f aca="false">Time!J30*(J70-J71)*J19</f>
        <v>0</v>
      </c>
      <c r="K73" s="11" t="e">
        <f aca="false">Time!K30*(K70-K71)*K19</f>
        <v>#VALUE!</v>
      </c>
      <c r="L73" s="11" t="e">
        <f aca="false">Time!L30*(L70-L71)*L19</f>
        <v>#VALUE!</v>
      </c>
      <c r="M73" s="11" t="e">
        <f aca="false">Time!M30*(M70-M71)*M19</f>
        <v>#VALUE!</v>
      </c>
      <c r="N73" s="11" t="e">
        <f aca="false">Time!N30*(N70-N71)*N19</f>
        <v>#VALUE!</v>
      </c>
      <c r="O73" s="11" t="e">
        <f aca="false">Time!O30*(O70-O71)*O19</f>
        <v>#VALUE!</v>
      </c>
      <c r="P73" s="11" t="e">
        <f aca="false">Time!P30*(P70-P71)*P19</f>
        <v>#VALUE!</v>
      </c>
      <c r="Q73" s="11" t="e">
        <f aca="false">Time!Q30*(Q70-Q71)*Q19</f>
        <v>#VALUE!</v>
      </c>
      <c r="R73" s="11" t="e">
        <f aca="false">Time!R30*(R70-R71)*R19</f>
        <v>#VALUE!</v>
      </c>
      <c r="S73" s="11" t="e">
        <f aca="false">Time!S30*(S70-S71)*S19</f>
        <v>#VALUE!</v>
      </c>
      <c r="T73" s="11" t="e">
        <f aca="false">Time!T30*(T70-T71)*T19</f>
        <v>#VALUE!</v>
      </c>
      <c r="U73" s="11" t="e">
        <f aca="false">Time!U30*(U70-U71)*U19</f>
        <v>#VALUE!</v>
      </c>
      <c r="V73" s="11" t="e">
        <f aca="false">Time!V30*(V70-V71)*V19</f>
        <v>#VALUE!</v>
      </c>
      <c r="W73" s="11" t="e">
        <f aca="false">Time!W30*(W70-W71)*W19</f>
        <v>#VALUE!</v>
      </c>
      <c r="X73" s="11" t="e">
        <f aca="false">Time!X30*(X70-X71)*X19</f>
        <v>#VALUE!</v>
      </c>
      <c r="Y73" s="11" t="e">
        <f aca="false">Time!Y30*(Y70-Y71)*Y19</f>
        <v>#VALUE!</v>
      </c>
      <c r="Z73" s="11" t="e">
        <f aca="false">Time!Z30*(Z70-Z71)*Z19</f>
        <v>#VALUE!</v>
      </c>
      <c r="AA73" s="11" t="e">
        <f aca="false">Time!AA30*(AA70-AA71)*AA19</f>
        <v>#VALUE!</v>
      </c>
      <c r="AB73" s="11" t="e">
        <f aca="false">Time!AB30*(AB70-AB71)*AB19</f>
        <v>#VALUE!</v>
      </c>
      <c r="AC73" s="11" t="e">
        <f aca="false">Time!AC30*(AC70-AC71)*AC19</f>
        <v>#VALUE!</v>
      </c>
      <c r="AD73" s="11" t="e">
        <f aca="false">Time!AD30*(AD70-AD71)*AD19</f>
        <v>#VALUE!</v>
      </c>
      <c r="AE73" s="11" t="e">
        <f aca="false">Time!AE30*(AE70-AE71)*AE19</f>
        <v>#VALUE!</v>
      </c>
      <c r="AF73" s="11" t="e">
        <f aca="false">Time!AF30*(AF70-AF71)*AF19</f>
        <v>#VALUE!</v>
      </c>
      <c r="AG73" s="11" t="e">
        <f aca="false">Time!AG30*(AG70-AG71)*AG19</f>
        <v>#VALUE!</v>
      </c>
      <c r="AH73" s="11" t="e">
        <f aca="false">Time!AH30*(AH70-AH71)*AH19</f>
        <v>#VALUE!</v>
      </c>
      <c r="AI73" s="11" t="e">
        <f aca="false">Time!AI30*(AI70-AI71)*AI19</f>
        <v>#VALUE!</v>
      </c>
      <c r="AJ73" s="11" t="e">
        <f aca="false">Time!AJ30*(AJ70-AJ71)*AJ19</f>
        <v>#VALUE!</v>
      </c>
      <c r="AK73" s="11" t="e">
        <f aca="false">Time!AK30*(AK70-AK71)*AK19</f>
        <v>#VALUE!</v>
      </c>
      <c r="AL73" s="11" t="e">
        <f aca="false">Time!AL30*(AL70-AL71)*AL19</f>
        <v>#VALUE!</v>
      </c>
      <c r="AM73" s="11" t="e">
        <f aca="false">Time!AM30*(AM70-AM71)*AM19</f>
        <v>#VALUE!</v>
      </c>
      <c r="AN73" s="11" t="e">
        <f aca="false">Time!AN30*(AN70-AN71)*AN19</f>
        <v>#VALUE!</v>
      </c>
      <c r="AO73" s="11" t="e">
        <f aca="false">Time!AO30*(AO70-AO71)*AO19</f>
        <v>#VALUE!</v>
      </c>
      <c r="AP73" s="11" t="e">
        <f aca="false">Time!AP30*(AP70-AP71)*AP19</f>
        <v>#VALUE!</v>
      </c>
      <c r="AQ73" s="11" t="e">
        <f aca="false">Time!AQ30*(AQ70-AQ71)*AQ19</f>
        <v>#VALUE!</v>
      </c>
      <c r="AR73" s="11" t="e">
        <f aca="false">Time!AR30*(AR70-AR71)*AR19</f>
        <v>#VALUE!</v>
      </c>
      <c r="AS73" s="11" t="e">
        <f aca="false">Time!AS30*(AS70-AS71)*AS19</f>
        <v>#VALUE!</v>
      </c>
      <c r="AT73" s="11" t="e">
        <f aca="false">Time!AT30*(AT70-AT71)*AT19</f>
        <v>#VALUE!</v>
      </c>
      <c r="AU73" s="11" t="e">
        <f aca="false">Time!AU30*(AU70-AU71)*AU19</f>
        <v>#VALUE!</v>
      </c>
      <c r="AV73" s="11" t="e">
        <f aca="false">Time!AV30*(AV70-AV71)*AV19</f>
        <v>#VALUE!</v>
      </c>
      <c r="AW73" s="11" t="e">
        <f aca="false">Time!AW30*(AW70-AW71)*AW19</f>
        <v>#VALUE!</v>
      </c>
      <c r="AX73" s="11" t="e">
        <f aca="false">Time!AX30*(AX70-AX71)*AX19</f>
        <v>#VALUE!</v>
      </c>
      <c r="AY73" s="11" t="e">
        <f aca="false">Time!AY30*(AY70-AY71)*AY19</f>
        <v>#VALUE!</v>
      </c>
      <c r="AZ73" s="11" t="e">
        <f aca="false">Time!AZ30*(AZ70-AZ71)*AZ19</f>
        <v>#VALUE!</v>
      </c>
      <c r="BA73" s="11" t="e">
        <f aca="false">Time!BA30*(BA70-BA71)*BA19</f>
        <v>#VALUE!</v>
      </c>
      <c r="BB73" s="11" t="e">
        <f aca="false">Time!BB30*(BB70-BB71)*BB19</f>
        <v>#VALUE!</v>
      </c>
      <c r="BC73" s="11" t="e">
        <f aca="false">Time!BC30*(BC70-BC71)*BC19</f>
        <v>#VALUE!</v>
      </c>
      <c r="BD73" s="11" t="e">
        <f aca="false">Time!BD30*(BD70-BD71)*BD19</f>
        <v>#VALUE!</v>
      </c>
      <c r="BE73" s="11" t="e">
        <f aca="false">Time!BE30*(BE70-BE71)*BE19</f>
        <v>#VALUE!</v>
      </c>
      <c r="BF73" s="11" t="e">
        <f aca="false">Time!BF30*(BF70-BF71)*BF19</f>
        <v>#VALUE!</v>
      </c>
      <c r="BG73" s="11" t="e">
        <f aca="false">Time!BG30*(BG70-BG71)*BG19</f>
        <v>#VALUE!</v>
      </c>
      <c r="BH73" s="11" t="e">
        <f aca="false">Time!BH30*(BH70-BH71)*BH19</f>
        <v>#VALUE!</v>
      </c>
      <c r="BI73" s="11" t="e">
        <f aca="false">Time!BI30*(BI70-BI71)*BI19</f>
        <v>#VALUE!</v>
      </c>
      <c r="BJ73" s="11" t="e">
        <f aca="false">Time!BJ30*(BJ70-BJ71)*BJ19</f>
        <v>#VALUE!</v>
      </c>
      <c r="BK73" s="11" t="e">
        <f aca="false">Time!BK30*(BK70-BK71)*BK19</f>
        <v>#VALUE!</v>
      </c>
      <c r="BL73" s="11" t="e">
        <f aca="false">Time!BL30*(BL70-BL71)*BL19</f>
        <v>#VALUE!</v>
      </c>
      <c r="BM73" s="11" t="e">
        <f aca="false">Time!BM30*(BM70-BM71)*BM19</f>
        <v>#VALUE!</v>
      </c>
      <c r="BN73" s="11" t="e">
        <f aca="false">Time!BN30*(BN70-BN71)*BN19</f>
        <v>#VALUE!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e">
        <f aca="false">SUM(J74:BN74)</f>
        <v>#VALUE!</v>
      </c>
      <c r="J74" s="11" t="n">
        <f aca="false">J21*Inputs!$F$191*J73</f>
        <v>0</v>
      </c>
      <c r="K74" s="11" t="e">
        <f aca="false">K21*Inputs!$F$191*K73</f>
        <v>#VALUE!</v>
      </c>
      <c r="L74" s="11" t="e">
        <f aca="false">L21*Inputs!$F$191*L73</f>
        <v>#VALUE!</v>
      </c>
      <c r="M74" s="11" t="e">
        <f aca="false">M21*Inputs!$F$191*M73</f>
        <v>#VALUE!</v>
      </c>
      <c r="N74" s="11" t="e">
        <f aca="false">N21*Inputs!$F$191*N73</f>
        <v>#VALUE!</v>
      </c>
      <c r="O74" s="11" t="e">
        <f aca="false">O21*Inputs!$F$191*O73</f>
        <v>#VALUE!</v>
      </c>
      <c r="P74" s="11" t="e">
        <f aca="false">P21*Inputs!$F$191*P73</f>
        <v>#VALUE!</v>
      </c>
      <c r="Q74" s="11" t="e">
        <f aca="false">Q21*Inputs!$F$191*Q73</f>
        <v>#VALUE!</v>
      </c>
      <c r="R74" s="11" t="e">
        <f aca="false">R21*Inputs!$F$191*R73</f>
        <v>#VALUE!</v>
      </c>
      <c r="S74" s="11" t="e">
        <f aca="false">S21*Inputs!$F$191*S73</f>
        <v>#VALUE!</v>
      </c>
      <c r="T74" s="11" t="e">
        <f aca="false">T21*Inputs!$F$191*T73</f>
        <v>#VALUE!</v>
      </c>
      <c r="U74" s="11" t="e">
        <f aca="false">U21*Inputs!$F$191*U73</f>
        <v>#VALUE!</v>
      </c>
      <c r="V74" s="11" t="e">
        <f aca="false">V21*Inputs!$F$191*V73</f>
        <v>#VALUE!</v>
      </c>
      <c r="W74" s="11" t="e">
        <f aca="false">W21*Inputs!$F$191*W73</f>
        <v>#VALUE!</v>
      </c>
      <c r="X74" s="11" t="e">
        <f aca="false">X21*Inputs!$F$191*X73</f>
        <v>#VALUE!</v>
      </c>
      <c r="Y74" s="11" t="e">
        <f aca="false">Y21*Inputs!$F$191*Y73</f>
        <v>#VALUE!</v>
      </c>
      <c r="Z74" s="11" t="e">
        <f aca="false">Z21*Inputs!$F$191*Z73</f>
        <v>#VALUE!</v>
      </c>
      <c r="AA74" s="11" t="e">
        <f aca="false">AA21*Inputs!$F$191*AA73</f>
        <v>#VALUE!</v>
      </c>
      <c r="AB74" s="11" t="e">
        <f aca="false">AB21*Inputs!$F$191*AB73</f>
        <v>#VALUE!</v>
      </c>
      <c r="AC74" s="11" t="e">
        <f aca="false">AC21*Inputs!$F$191*AC73</f>
        <v>#VALUE!</v>
      </c>
      <c r="AD74" s="11" t="e">
        <f aca="false">AD21*Inputs!$F$191*AD73</f>
        <v>#VALUE!</v>
      </c>
      <c r="AE74" s="11" t="e">
        <f aca="false">AE21*Inputs!$F$191*AE73</f>
        <v>#VALUE!</v>
      </c>
      <c r="AF74" s="11" t="e">
        <f aca="false">AF21*Inputs!$F$191*AF73</f>
        <v>#VALUE!</v>
      </c>
      <c r="AG74" s="11" t="e">
        <f aca="false">AG21*Inputs!$F$191*AG73</f>
        <v>#VALUE!</v>
      </c>
      <c r="AH74" s="11" t="e">
        <f aca="false">AH21*Inputs!$F$191*AH73</f>
        <v>#VALUE!</v>
      </c>
      <c r="AI74" s="11" t="e">
        <f aca="false">AI21*Inputs!$F$191*AI73</f>
        <v>#VALUE!</v>
      </c>
      <c r="AJ74" s="11" t="e">
        <f aca="false">AJ21*Inputs!$F$191*AJ73</f>
        <v>#VALUE!</v>
      </c>
      <c r="AK74" s="11" t="e">
        <f aca="false">AK21*Inputs!$F$191*AK73</f>
        <v>#VALUE!</v>
      </c>
      <c r="AL74" s="11" t="e">
        <f aca="false">AL21*Inputs!$F$191*AL73</f>
        <v>#VALUE!</v>
      </c>
      <c r="AM74" s="11" t="e">
        <f aca="false">AM21*Inputs!$F$191*AM73</f>
        <v>#VALUE!</v>
      </c>
      <c r="AN74" s="11" t="e">
        <f aca="false">AN21*Inputs!$F$191*AN73</f>
        <v>#VALUE!</v>
      </c>
      <c r="AO74" s="11" t="e">
        <f aca="false">AO21*Inputs!$F$191*AO73</f>
        <v>#VALUE!</v>
      </c>
      <c r="AP74" s="11" t="e">
        <f aca="false">AP21*Inputs!$F$191*AP73</f>
        <v>#VALUE!</v>
      </c>
      <c r="AQ74" s="11" t="e">
        <f aca="false">AQ21*Inputs!$F$191*AQ73</f>
        <v>#VALUE!</v>
      </c>
      <c r="AR74" s="11" t="e">
        <f aca="false">AR21*Inputs!$F$191*AR73</f>
        <v>#VALUE!</v>
      </c>
      <c r="AS74" s="11" t="e">
        <f aca="false">AS21*Inputs!$F$191*AS73</f>
        <v>#VALUE!</v>
      </c>
      <c r="AT74" s="11" t="e">
        <f aca="false">AT21*Inputs!$F$191*AT73</f>
        <v>#VALUE!</v>
      </c>
      <c r="AU74" s="11" t="e">
        <f aca="false">AU21*Inputs!$F$191*AU73</f>
        <v>#VALUE!</v>
      </c>
      <c r="AV74" s="11" t="e">
        <f aca="false">AV21*Inputs!$F$191*AV73</f>
        <v>#VALUE!</v>
      </c>
      <c r="AW74" s="11" t="e">
        <f aca="false">AW21*Inputs!$F$191*AW73</f>
        <v>#VALUE!</v>
      </c>
      <c r="AX74" s="11" t="e">
        <f aca="false">AX21*Inputs!$F$191*AX73</f>
        <v>#VALUE!</v>
      </c>
      <c r="AY74" s="11" t="e">
        <f aca="false">AY21*Inputs!$F$191*AY73</f>
        <v>#VALUE!</v>
      </c>
      <c r="AZ74" s="11" t="e">
        <f aca="false">AZ21*Inputs!$F$191*AZ73</f>
        <v>#VALUE!</v>
      </c>
      <c r="BA74" s="11" t="e">
        <f aca="false">BA21*Inputs!$F$191*BA73</f>
        <v>#VALUE!</v>
      </c>
      <c r="BB74" s="11" t="e">
        <f aca="false">BB21*Inputs!$F$191*BB73</f>
        <v>#VALUE!</v>
      </c>
      <c r="BC74" s="11" t="e">
        <f aca="false">BC21*Inputs!$F$191*BC73</f>
        <v>#VALUE!</v>
      </c>
      <c r="BD74" s="11" t="e">
        <f aca="false">BD21*Inputs!$F$191*BD73</f>
        <v>#VALUE!</v>
      </c>
      <c r="BE74" s="11" t="e">
        <f aca="false">BE21*Inputs!$F$191*BE73</f>
        <v>#VALUE!</v>
      </c>
      <c r="BF74" s="11" t="e">
        <f aca="false">BF21*Inputs!$F$191*BF73</f>
        <v>#VALUE!</v>
      </c>
      <c r="BG74" s="11" t="e">
        <f aca="false">BG21*Inputs!$F$191*BG73</f>
        <v>#VALUE!</v>
      </c>
      <c r="BH74" s="11" t="e">
        <f aca="false">BH21*Inputs!$F$191*BH73</f>
        <v>#VALUE!</v>
      </c>
      <c r="BI74" s="11" t="e">
        <f aca="false">BI21*Inputs!$F$191*BI73</f>
        <v>#VALUE!</v>
      </c>
      <c r="BJ74" s="11" t="e">
        <f aca="false">BJ21*Inputs!$F$191*BJ73</f>
        <v>#VALUE!</v>
      </c>
      <c r="BK74" s="11" t="e">
        <f aca="false">BK21*Inputs!$F$191*BK73</f>
        <v>#VALUE!</v>
      </c>
      <c r="BL74" s="11" t="e">
        <f aca="false">BL21*Inputs!$F$191*BL73</f>
        <v>#VALUE!</v>
      </c>
      <c r="BM74" s="11" t="e">
        <f aca="false">BM21*Inputs!$F$191*BM73</f>
        <v>#VALUE!</v>
      </c>
      <c r="BN74" s="11" t="e">
        <f aca="false">BN21*Inputs!$F$191*BN73</f>
        <v>#VALUE!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e">
        <f aca="false">SUM(Debt!$J$74:$BN$74)</f>
        <v>#VALUE!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e">
        <f aca="false">SUM(J76:BN76)</f>
        <v>#VALUE!</v>
      </c>
      <c r="J76" s="11" t="e">
        <f aca="false">J22*MIN($F$75/4,J71)</f>
        <v>#VALUE!</v>
      </c>
      <c r="K76" s="11" t="e">
        <f aca="false">K22*MIN($F$75/4,K71)</f>
        <v>#VALUE!</v>
      </c>
      <c r="L76" s="11" t="e">
        <f aca="false">L22*MIN($F$75/4,L71)</f>
        <v>#VALUE!</v>
      </c>
      <c r="M76" s="11" t="e">
        <f aca="false">M22*MIN($F$75/4,M71)</f>
        <v>#VALUE!</v>
      </c>
      <c r="N76" s="11" t="e">
        <f aca="false">N22*MIN($F$75/4,N71)</f>
        <v>#VALUE!</v>
      </c>
      <c r="O76" s="11" t="e">
        <f aca="false">O22*MIN($F$75/4,O71)</f>
        <v>#VALUE!</v>
      </c>
      <c r="P76" s="11" t="e">
        <f aca="false">P22*MIN($F$75/4,P71)</f>
        <v>#VALUE!</v>
      </c>
      <c r="Q76" s="11" t="e">
        <f aca="false">Q22*MIN($F$75/4,Q71)</f>
        <v>#VALUE!</v>
      </c>
      <c r="R76" s="11" t="e">
        <f aca="false">R22*MIN($F$75/4,R71)</f>
        <v>#VALUE!</v>
      </c>
      <c r="S76" s="11" t="e">
        <f aca="false">S22*MIN($F$75/4,S71)</f>
        <v>#VALUE!</v>
      </c>
      <c r="T76" s="11" t="e">
        <f aca="false">T22*MIN($F$75/4,T71)</f>
        <v>#VALUE!</v>
      </c>
      <c r="U76" s="11" t="e">
        <f aca="false">U22*MIN($F$75/4,U71)</f>
        <v>#VALUE!</v>
      </c>
      <c r="V76" s="11" t="e">
        <f aca="false">V22*MIN($F$75/4,V71)</f>
        <v>#VALUE!</v>
      </c>
      <c r="W76" s="11" t="e">
        <f aca="false">W22*MIN($F$75/4,W71)</f>
        <v>#VALUE!</v>
      </c>
      <c r="X76" s="11" t="e">
        <f aca="false">X22*MIN($F$75/4,X71)</f>
        <v>#VALUE!</v>
      </c>
      <c r="Y76" s="11" t="e">
        <f aca="false">Y22*MIN($F$75/4,Y71)</f>
        <v>#VALUE!</v>
      </c>
      <c r="Z76" s="11" t="e">
        <f aca="false">Z22*MIN($F$75/4,Z71)</f>
        <v>#VALUE!</v>
      </c>
      <c r="AA76" s="11" t="e">
        <f aca="false">AA22*MIN($F$75/4,AA71)</f>
        <v>#VALUE!</v>
      </c>
      <c r="AB76" s="11" t="e">
        <f aca="false">AB22*MIN($F$75/4,AB71)</f>
        <v>#VALUE!</v>
      </c>
      <c r="AC76" s="11" t="e">
        <f aca="false">AC22*MIN($F$75/4,AC71)</f>
        <v>#VALUE!</v>
      </c>
      <c r="AD76" s="11" t="e">
        <f aca="false">AD22*MIN($F$75/4,AD71)</f>
        <v>#VALUE!</v>
      </c>
      <c r="AE76" s="11" t="e">
        <f aca="false">AE22*MIN($F$75/4,AE71)</f>
        <v>#VALUE!</v>
      </c>
      <c r="AF76" s="11" t="e">
        <f aca="false">AF22*MIN($F$75/4,AF71)</f>
        <v>#VALUE!</v>
      </c>
      <c r="AG76" s="11" t="e">
        <f aca="false">AG22*MIN($F$75/4,AG71)</f>
        <v>#VALUE!</v>
      </c>
      <c r="AH76" s="11" t="e">
        <f aca="false">AH22*MIN($F$75/4,AH71)</f>
        <v>#VALUE!</v>
      </c>
      <c r="AI76" s="11" t="e">
        <f aca="false">AI22*MIN($F$75/4,AI71)</f>
        <v>#VALUE!</v>
      </c>
      <c r="AJ76" s="11" t="e">
        <f aca="false">AJ22*MIN($F$75/4,AJ71)</f>
        <v>#VALUE!</v>
      </c>
      <c r="AK76" s="11" t="e">
        <f aca="false">AK22*MIN($F$75/4,AK71)</f>
        <v>#VALUE!</v>
      </c>
      <c r="AL76" s="11" t="e">
        <f aca="false">AL22*MIN($F$75/4,AL71)</f>
        <v>#VALUE!</v>
      </c>
      <c r="AM76" s="11" t="e">
        <f aca="false">AM22*MIN($F$75/4,AM71)</f>
        <v>#VALUE!</v>
      </c>
      <c r="AN76" s="11" t="e">
        <f aca="false">AN22*MIN($F$75/4,AN71)</f>
        <v>#VALUE!</v>
      </c>
      <c r="AO76" s="11" t="e">
        <f aca="false">AO22*MIN($F$75/4,AO71)</f>
        <v>#VALUE!</v>
      </c>
      <c r="AP76" s="11" t="e">
        <f aca="false">AP22*MIN($F$75/4,AP71)</f>
        <v>#VALUE!</v>
      </c>
      <c r="AQ76" s="11" t="e">
        <f aca="false">AQ22*MIN($F$75/4,AQ71)</f>
        <v>#VALUE!</v>
      </c>
      <c r="AR76" s="11" t="e">
        <f aca="false">AR22*MIN($F$75/4,AR71)</f>
        <v>#VALUE!</v>
      </c>
      <c r="AS76" s="11" t="e">
        <f aca="false">AS22*MIN($F$75/4,AS71)</f>
        <v>#VALUE!</v>
      </c>
      <c r="AT76" s="11" t="e">
        <f aca="false">AT22*MIN($F$75/4,AT71)</f>
        <v>#VALUE!</v>
      </c>
      <c r="AU76" s="11" t="e">
        <f aca="false">AU22*MIN($F$75/4,AU71)</f>
        <v>#VALUE!</v>
      </c>
      <c r="AV76" s="11" t="e">
        <f aca="false">AV22*MIN($F$75/4,AV71)</f>
        <v>#VALUE!</v>
      </c>
      <c r="AW76" s="11" t="e">
        <f aca="false">AW22*MIN($F$75/4,AW71)</f>
        <v>#VALUE!</v>
      </c>
      <c r="AX76" s="11" t="e">
        <f aca="false">AX22*MIN($F$75/4,AX71)</f>
        <v>#VALUE!</v>
      </c>
      <c r="AY76" s="11" t="e">
        <f aca="false">AY22*MIN($F$75/4,AY71)</f>
        <v>#VALUE!</v>
      </c>
      <c r="AZ76" s="11" t="e">
        <f aca="false">AZ22*MIN($F$75/4,AZ71)</f>
        <v>#VALUE!</v>
      </c>
      <c r="BA76" s="11" t="e">
        <f aca="false">BA22*MIN($F$75/4,BA71)</f>
        <v>#VALUE!</v>
      </c>
      <c r="BB76" s="11" t="e">
        <f aca="false">BB22*MIN($F$75/4,BB71)</f>
        <v>#VALUE!</v>
      </c>
      <c r="BC76" s="11" t="e">
        <f aca="false">BC22*MIN($F$75/4,BC71)</f>
        <v>#VALUE!</v>
      </c>
      <c r="BD76" s="11" t="e">
        <f aca="false">BD22*MIN($F$75/4,BD71)</f>
        <v>#VALUE!</v>
      </c>
      <c r="BE76" s="11" t="e">
        <f aca="false">BE22*MIN($F$75/4,BE71)</f>
        <v>#VALUE!</v>
      </c>
      <c r="BF76" s="11" t="e">
        <f aca="false">BF22*MIN($F$75/4,BF71)</f>
        <v>#VALUE!</v>
      </c>
      <c r="BG76" s="11" t="e">
        <f aca="false">BG22*MIN($F$75/4,BG71)</f>
        <v>#VALUE!</v>
      </c>
      <c r="BH76" s="11" t="e">
        <f aca="false">BH22*MIN($F$75/4,BH71)</f>
        <v>#VALUE!</v>
      </c>
      <c r="BI76" s="11" t="e">
        <f aca="false">BI22*MIN($F$75/4,BI71)</f>
        <v>#VALUE!</v>
      </c>
      <c r="BJ76" s="11" t="e">
        <f aca="false">BJ22*MIN($F$75/4,BJ71)</f>
        <v>#VALUE!</v>
      </c>
      <c r="BK76" s="11" t="e">
        <f aca="false">BK22*MIN($F$75/4,BK71)</f>
        <v>#VALUE!</v>
      </c>
      <c r="BL76" s="11" t="e">
        <f aca="false">BL22*MIN($F$75/4,BL71)</f>
        <v>#VALUE!</v>
      </c>
      <c r="BM76" s="11" t="e">
        <f aca="false">BM22*MIN($F$75/4,BM71)</f>
        <v>#VALUE!</v>
      </c>
      <c r="BN76" s="11" t="e">
        <f aca="false">BN22*MIN($F$75/4,BN71)</f>
        <v>#VALUE!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e">
        <f aca="false">SUM(J77:BN77)</f>
        <v>#VALUE!</v>
      </c>
      <c r="J77" s="11" t="e">
        <f aca="false">J73-J74+J76</f>
        <v>#VALUE!</v>
      </c>
      <c r="K77" s="11" t="e">
        <f aca="false">K73-K74+K76</f>
        <v>#VALUE!</v>
      </c>
      <c r="L77" s="11" t="e">
        <f aca="false">L73-L74+L76</f>
        <v>#VALUE!</v>
      </c>
      <c r="M77" s="11" t="e">
        <f aca="false">M73-M74+M76</f>
        <v>#VALUE!</v>
      </c>
      <c r="N77" s="11" t="e">
        <f aca="false">N73-N74+N76</f>
        <v>#VALUE!</v>
      </c>
      <c r="O77" s="11" t="e">
        <f aca="false">O73-O74+O76</f>
        <v>#VALUE!</v>
      </c>
      <c r="P77" s="11" t="e">
        <f aca="false">P73-P74+P76</f>
        <v>#VALUE!</v>
      </c>
      <c r="Q77" s="11" t="e">
        <f aca="false">Q73-Q74+Q76</f>
        <v>#VALUE!</v>
      </c>
      <c r="R77" s="11" t="e">
        <f aca="false">R73-R74+R76</f>
        <v>#VALUE!</v>
      </c>
      <c r="S77" s="11" t="e">
        <f aca="false">S73-S74+S76</f>
        <v>#VALUE!</v>
      </c>
      <c r="T77" s="11" t="e">
        <f aca="false">T73-T74+T76</f>
        <v>#VALUE!</v>
      </c>
      <c r="U77" s="11" t="e">
        <f aca="false">U73-U74+U76</f>
        <v>#VALUE!</v>
      </c>
      <c r="V77" s="11" t="e">
        <f aca="false">V73-V74+V76</f>
        <v>#VALUE!</v>
      </c>
      <c r="W77" s="11" t="e">
        <f aca="false">W73-W74+W76</f>
        <v>#VALUE!</v>
      </c>
      <c r="X77" s="11" t="e">
        <f aca="false">X73-X74+X76</f>
        <v>#VALUE!</v>
      </c>
      <c r="Y77" s="11" t="e">
        <f aca="false">Y73-Y74+Y76</f>
        <v>#VALUE!</v>
      </c>
      <c r="Z77" s="11" t="e">
        <f aca="false">Z73-Z74+Z76</f>
        <v>#VALUE!</v>
      </c>
      <c r="AA77" s="11" t="e">
        <f aca="false">AA73-AA74+AA76</f>
        <v>#VALUE!</v>
      </c>
      <c r="AB77" s="11" t="e">
        <f aca="false">AB73-AB74+AB76</f>
        <v>#VALUE!</v>
      </c>
      <c r="AC77" s="11" t="e">
        <f aca="false">AC73-AC74+AC76</f>
        <v>#VALUE!</v>
      </c>
      <c r="AD77" s="11" t="e">
        <f aca="false">AD73-AD74+AD76</f>
        <v>#VALUE!</v>
      </c>
      <c r="AE77" s="11" t="e">
        <f aca="false">AE73-AE74+AE76</f>
        <v>#VALUE!</v>
      </c>
      <c r="AF77" s="11" t="e">
        <f aca="false">AF73-AF74+AF76</f>
        <v>#VALUE!</v>
      </c>
      <c r="AG77" s="11" t="e">
        <f aca="false">AG73-AG74+AG76</f>
        <v>#VALUE!</v>
      </c>
      <c r="AH77" s="11" t="e">
        <f aca="false">AH73-AH74+AH76</f>
        <v>#VALUE!</v>
      </c>
      <c r="AI77" s="11" t="e">
        <f aca="false">AI73-AI74+AI76</f>
        <v>#VALUE!</v>
      </c>
      <c r="AJ77" s="11" t="e">
        <f aca="false">AJ73-AJ74+AJ76</f>
        <v>#VALUE!</v>
      </c>
      <c r="AK77" s="11" t="e">
        <f aca="false">AK73-AK74+AK76</f>
        <v>#VALUE!</v>
      </c>
      <c r="AL77" s="11" t="e">
        <f aca="false">AL73-AL74+AL76</f>
        <v>#VALUE!</v>
      </c>
      <c r="AM77" s="11" t="e">
        <f aca="false">AM73-AM74+AM76</f>
        <v>#VALUE!</v>
      </c>
      <c r="AN77" s="11" t="e">
        <f aca="false">AN73-AN74+AN76</f>
        <v>#VALUE!</v>
      </c>
      <c r="AO77" s="11" t="e">
        <f aca="false">AO73-AO74+AO76</f>
        <v>#VALUE!</v>
      </c>
      <c r="AP77" s="11" t="e">
        <f aca="false">AP73-AP74+AP76</f>
        <v>#VALUE!</v>
      </c>
      <c r="AQ77" s="11" t="e">
        <f aca="false">AQ73-AQ74+AQ76</f>
        <v>#VALUE!</v>
      </c>
      <c r="AR77" s="11" t="e">
        <f aca="false">AR73-AR74+AR76</f>
        <v>#VALUE!</v>
      </c>
      <c r="AS77" s="11" t="e">
        <f aca="false">AS73-AS74+AS76</f>
        <v>#VALUE!</v>
      </c>
      <c r="AT77" s="11" t="e">
        <f aca="false">AT73-AT74+AT76</f>
        <v>#VALUE!</v>
      </c>
      <c r="AU77" s="11" t="e">
        <f aca="false">AU73-AU74+AU76</f>
        <v>#VALUE!</v>
      </c>
      <c r="AV77" s="11" t="e">
        <f aca="false">AV73-AV74+AV76</f>
        <v>#VALUE!</v>
      </c>
      <c r="AW77" s="11" t="e">
        <f aca="false">AW73-AW74+AW76</f>
        <v>#VALUE!</v>
      </c>
      <c r="AX77" s="11" t="e">
        <f aca="false">AX73-AX74+AX76</f>
        <v>#VALUE!</v>
      </c>
      <c r="AY77" s="11" t="e">
        <f aca="false">AY73-AY74+AY76</f>
        <v>#VALUE!</v>
      </c>
      <c r="AZ77" s="11" t="e">
        <f aca="false">AZ73-AZ74+AZ76</f>
        <v>#VALUE!</v>
      </c>
      <c r="BA77" s="11" t="e">
        <f aca="false">BA73-BA74+BA76</f>
        <v>#VALUE!</v>
      </c>
      <c r="BB77" s="11" t="e">
        <f aca="false">BB73-BB74+BB76</f>
        <v>#VALUE!</v>
      </c>
      <c r="BC77" s="11" t="e">
        <f aca="false">BC73-BC74+BC76</f>
        <v>#VALUE!</v>
      </c>
      <c r="BD77" s="11" t="e">
        <f aca="false">BD73-BD74+BD76</f>
        <v>#VALUE!</v>
      </c>
      <c r="BE77" s="11" t="e">
        <f aca="false">BE73-BE74+BE76</f>
        <v>#VALUE!</v>
      </c>
      <c r="BF77" s="11" t="e">
        <f aca="false">BF73-BF74+BF76</f>
        <v>#VALUE!</v>
      </c>
      <c r="BG77" s="11" t="e">
        <f aca="false">BG73-BG74+BG76</f>
        <v>#VALUE!</v>
      </c>
      <c r="BH77" s="11" t="e">
        <f aca="false">BH73-BH74+BH76</f>
        <v>#VALUE!</v>
      </c>
      <c r="BI77" s="11" t="e">
        <f aca="false">BI73-BI74+BI76</f>
        <v>#VALUE!</v>
      </c>
      <c r="BJ77" s="11" t="e">
        <f aca="false">BJ73-BJ74+BJ76</f>
        <v>#VALUE!</v>
      </c>
      <c r="BK77" s="11" t="e">
        <f aca="false">BK73-BK74+BK76</f>
        <v>#VALUE!</v>
      </c>
      <c r="BL77" s="11" t="e">
        <f aca="false">BL73-BL74+BL76</f>
        <v>#VALUE!</v>
      </c>
      <c r="BM77" s="11" t="e">
        <f aca="false">BM73-BM74+BM76</f>
        <v>#VALUE!</v>
      </c>
      <c r="BN77" s="11" t="e">
        <f aca="false">BN73-BN74+BN76</f>
        <v>#VALUE!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e">
        <f aca="false">SUM(J78:BN78)</f>
        <v>#VALUE!</v>
      </c>
      <c r="J78" s="11" t="e">
        <f aca="false">J23*Inputs!$F$188*(J70-J77)/(J25-J32+J40-J47+J55-J62+J70-J77+J85-J92+0.000000001)</f>
        <v>#VALUE!</v>
      </c>
      <c r="K78" s="11" t="e">
        <f aca="false">K23*Inputs!$F$188*(K70-K77)/(K25-K32+K40-K47+K55-K62+K70-K77+K85-K92+0.000000001)</f>
        <v>#VALUE!</v>
      </c>
      <c r="L78" s="11" t="e">
        <f aca="false">L23*Inputs!$F$188*(L70-L77)/(L25-L32+L40-L47+L55-L62+L70-L77+L85-L92+0.000000001)</f>
        <v>#VALUE!</v>
      </c>
      <c r="M78" s="11" t="e">
        <f aca="false">M23*Inputs!$F$188*(M70-M77)/(M25-M32+M40-M47+M55-M62+M70-M77+M85-M92+0.000000001)</f>
        <v>#VALUE!</v>
      </c>
      <c r="N78" s="11" t="e">
        <f aca="false">N23*Inputs!$F$188*(N70-N77)/(N25-N32+N40-N47+N55-N62+N70-N77+N85-N92+0.000000001)</f>
        <v>#VALUE!</v>
      </c>
      <c r="O78" s="11" t="e">
        <f aca="false">O23*Inputs!$F$188*(O70-O77)/(O25-O32+O40-O47+O55-O62+O70-O77+O85-O92+0.000000001)</f>
        <v>#VALUE!</v>
      </c>
      <c r="P78" s="11" t="e">
        <f aca="false">P23*Inputs!$F$188*(P70-P77)/(P25-P32+P40-P47+P55-P62+P70-P77+P85-P92+0.000000001)</f>
        <v>#VALUE!</v>
      </c>
      <c r="Q78" s="11" t="e">
        <f aca="false">Q23*Inputs!$F$188*(Q70-Q77)/(Q25-Q32+Q40-Q47+Q55-Q62+Q70-Q77+Q85-Q92+0.000000001)</f>
        <v>#VALUE!</v>
      </c>
      <c r="R78" s="11" t="e">
        <f aca="false">R23*Inputs!$F$188*(R70-R77)/(R25-R32+R40-R47+R55-R62+R70-R77+R85-R92+0.000000001)</f>
        <v>#VALUE!</v>
      </c>
      <c r="S78" s="11" t="e">
        <f aca="false">S23*Inputs!$F$188*(S70-S77)/(S25-S32+S40-S47+S55-S62+S70-S77+S85-S92+0.000000001)</f>
        <v>#VALUE!</v>
      </c>
      <c r="T78" s="11" t="e">
        <f aca="false">T23*Inputs!$F$188*(T70-T77)/(T25-T32+T40-T47+T55-T62+T70-T77+T85-T92+0.000000001)</f>
        <v>#VALUE!</v>
      </c>
      <c r="U78" s="11" t="e">
        <f aca="false">U23*Inputs!$F$188*(U70-U77)/(U25-U32+U40-U47+U55-U62+U70-U77+U85-U92+0.000000001)</f>
        <v>#VALUE!</v>
      </c>
      <c r="V78" s="11" t="e">
        <f aca="false">V23*Inputs!$F$188*(V70-V77)/(V25-V32+V40-V47+V55-V62+V70-V77+V85-V92+0.000000001)</f>
        <v>#VALUE!</v>
      </c>
      <c r="W78" s="11" t="e">
        <f aca="false">W23*Inputs!$F$188*(W70-W77)/(W25-W32+W40-W47+W55-W62+W70-W77+W85-W92+0.000000001)</f>
        <v>#VALUE!</v>
      </c>
      <c r="X78" s="11" t="e">
        <f aca="false">X23*Inputs!$F$188*(X70-X77)/(X25-X32+X40-X47+X55-X62+X70-X77+X85-X92+0.000000001)</f>
        <v>#VALUE!</v>
      </c>
      <c r="Y78" s="11" t="e">
        <f aca="false">Y23*Inputs!$F$188*(Y70-Y77)/(Y25-Y32+Y40-Y47+Y55-Y62+Y70-Y77+Y85-Y92+0.000000001)</f>
        <v>#VALUE!</v>
      </c>
      <c r="Z78" s="11" t="e">
        <f aca="false">Z23*Inputs!$F$188*(Z70-Z77)/(Z25-Z32+Z40-Z47+Z55-Z62+Z70-Z77+Z85-Z92+0.000000001)</f>
        <v>#VALUE!</v>
      </c>
      <c r="AA78" s="11" t="e">
        <f aca="false">AA23*Inputs!$F$188*(AA70-AA77)/(AA25-AA32+AA40-AA47+AA55-AA62+AA70-AA77+AA85-AA92+0.000000001)</f>
        <v>#VALUE!</v>
      </c>
      <c r="AB78" s="11" t="e">
        <f aca="false">AB23*Inputs!$F$188*(AB70-AB77)/(AB25-AB32+AB40-AB47+AB55-AB62+AB70-AB77+AB85-AB92+0.000000001)</f>
        <v>#VALUE!</v>
      </c>
      <c r="AC78" s="11" t="e">
        <f aca="false">AC23*Inputs!$F$188*(AC70-AC77)/(AC25-AC32+AC40-AC47+AC55-AC62+AC70-AC77+AC85-AC92+0.000000001)</f>
        <v>#VALUE!</v>
      </c>
      <c r="AD78" s="11" t="e">
        <f aca="false">AD23*Inputs!$F$188*(AD70-AD77)/(AD25-AD32+AD40-AD47+AD55-AD62+AD70-AD77+AD85-AD92+0.000000001)</f>
        <v>#VALUE!</v>
      </c>
      <c r="AE78" s="11" t="e">
        <f aca="false">AE23*Inputs!$F$188*(AE70-AE77)/(AE25-AE32+AE40-AE47+AE55-AE62+AE70-AE77+AE85-AE92+0.000000001)</f>
        <v>#VALUE!</v>
      </c>
      <c r="AF78" s="11" t="e">
        <f aca="false">AF23*Inputs!$F$188*(AF70-AF77)/(AF25-AF32+AF40-AF47+AF55-AF62+AF70-AF77+AF85-AF92+0.000000001)</f>
        <v>#VALUE!</v>
      </c>
      <c r="AG78" s="11" t="e">
        <f aca="false">AG23*Inputs!$F$188*(AG70-AG77)/(AG25-AG32+AG40-AG47+AG55-AG62+AG70-AG77+AG85-AG92+0.000000001)</f>
        <v>#VALUE!</v>
      </c>
      <c r="AH78" s="11" t="e">
        <f aca="false">AH23*Inputs!$F$188*(AH70-AH77)/(AH25-AH32+AH40-AH47+AH55-AH62+AH70-AH77+AH85-AH92+0.000000001)</f>
        <v>#VALUE!</v>
      </c>
      <c r="AI78" s="11" t="e">
        <f aca="false">AI23*Inputs!$F$188*(AI70-AI77)/(AI25-AI32+AI40-AI47+AI55-AI62+AI70-AI77+AI85-AI92+0.000000001)</f>
        <v>#VALUE!</v>
      </c>
      <c r="AJ78" s="11" t="e">
        <f aca="false">AJ23*Inputs!$F$188*(AJ70-AJ77)/(AJ25-AJ32+AJ40-AJ47+AJ55-AJ62+AJ70-AJ77+AJ85-AJ92+0.000000001)</f>
        <v>#VALUE!</v>
      </c>
      <c r="AK78" s="11" t="e">
        <f aca="false">AK23*Inputs!$F$188*(AK70-AK77)/(AK25-AK32+AK40-AK47+AK55-AK62+AK70-AK77+AK85-AK92+0.000000001)</f>
        <v>#VALUE!</v>
      </c>
      <c r="AL78" s="11" t="e">
        <f aca="false">AL23*Inputs!$F$188*(AL70-AL77)/(AL25-AL32+AL40-AL47+AL55-AL62+AL70-AL77+AL85-AL92+0.000000001)</f>
        <v>#VALUE!</v>
      </c>
      <c r="AM78" s="11" t="e">
        <f aca="false">AM23*Inputs!$F$188*(AM70-AM77)/(AM25-AM32+AM40-AM47+AM55-AM62+AM70-AM77+AM85-AM92+0.000000001)</f>
        <v>#VALUE!</v>
      </c>
      <c r="AN78" s="11" t="e">
        <f aca="false">AN23*Inputs!$F$188*(AN70-AN77)/(AN25-AN32+AN40-AN47+AN55-AN62+AN70-AN77+AN85-AN92+0.000000001)</f>
        <v>#VALUE!</v>
      </c>
      <c r="AO78" s="11" t="e">
        <f aca="false">AO23*Inputs!$F$188*(AO70-AO77)/(AO25-AO32+AO40-AO47+AO55-AO62+AO70-AO77+AO85-AO92+0.000000001)</f>
        <v>#VALUE!</v>
      </c>
      <c r="AP78" s="11" t="e">
        <f aca="false">AP23*Inputs!$F$188*(AP70-AP77)/(AP25-AP32+AP40-AP47+AP55-AP62+AP70-AP77+AP85-AP92+0.000000001)</f>
        <v>#VALUE!</v>
      </c>
      <c r="AQ78" s="11" t="e">
        <f aca="false">AQ23*Inputs!$F$188*(AQ70-AQ77)/(AQ25-AQ32+AQ40-AQ47+AQ55-AQ62+AQ70-AQ77+AQ85-AQ92+0.000000001)</f>
        <v>#VALUE!</v>
      </c>
      <c r="AR78" s="11" t="e">
        <f aca="false">AR23*Inputs!$F$188*(AR70-AR77)/(AR25-AR32+AR40-AR47+AR55-AR62+AR70-AR77+AR85-AR92+0.000000001)</f>
        <v>#VALUE!</v>
      </c>
      <c r="AS78" s="11" t="e">
        <f aca="false">AS23*Inputs!$F$188*(AS70-AS77)/(AS25-AS32+AS40-AS47+AS55-AS62+AS70-AS77+AS85-AS92+0.000000001)</f>
        <v>#VALUE!</v>
      </c>
      <c r="AT78" s="11" t="e">
        <f aca="false">AT23*Inputs!$F$188*(AT70-AT77)/(AT25-AT32+AT40-AT47+AT55-AT62+AT70-AT77+AT85-AT92+0.000000001)</f>
        <v>#VALUE!</v>
      </c>
      <c r="AU78" s="11" t="e">
        <f aca="false">AU23*Inputs!$F$188*(AU70-AU77)/(AU25-AU32+AU40-AU47+AU55-AU62+AU70-AU77+AU85-AU92+0.000000001)</f>
        <v>#VALUE!</v>
      </c>
      <c r="AV78" s="11" t="e">
        <f aca="false">AV23*Inputs!$F$188*(AV70-AV77)/(AV25-AV32+AV40-AV47+AV55-AV62+AV70-AV77+AV85-AV92+0.000000001)</f>
        <v>#VALUE!</v>
      </c>
      <c r="AW78" s="11" t="e">
        <f aca="false">AW23*Inputs!$F$188*(AW70-AW77)/(AW25-AW32+AW40-AW47+AW55-AW62+AW70-AW77+AW85-AW92+0.000000001)</f>
        <v>#VALUE!</v>
      </c>
      <c r="AX78" s="11" t="e">
        <f aca="false">AX23*Inputs!$F$188*(AX70-AX77)/(AX25-AX32+AX40-AX47+AX55-AX62+AX70-AX77+AX85-AX92+0.000000001)</f>
        <v>#VALUE!</v>
      </c>
      <c r="AY78" s="11" t="e">
        <f aca="false">AY23*Inputs!$F$188*(AY70-AY77)/(AY25-AY32+AY40-AY47+AY55-AY62+AY70-AY77+AY85-AY92+0.000000001)</f>
        <v>#VALUE!</v>
      </c>
      <c r="AZ78" s="11" t="e">
        <f aca="false">AZ23*Inputs!$F$188*(AZ70-AZ77)/(AZ25-AZ32+AZ40-AZ47+AZ55-AZ62+AZ70-AZ77+AZ85-AZ92+0.000000001)</f>
        <v>#VALUE!</v>
      </c>
      <c r="BA78" s="11" t="e">
        <f aca="false">BA23*Inputs!$F$188*(BA70-BA77)/(BA25-BA32+BA40-BA47+BA55-BA62+BA70-BA77+BA85-BA92+0.000000001)</f>
        <v>#VALUE!</v>
      </c>
      <c r="BB78" s="11" t="e">
        <f aca="false">BB23*Inputs!$F$188*(BB70-BB77)/(BB25-BB32+BB40-BB47+BB55-BB62+BB70-BB77+BB85-BB92+0.000000001)</f>
        <v>#VALUE!</v>
      </c>
      <c r="BC78" s="11" t="e">
        <f aca="false">BC23*Inputs!$F$188*(BC70-BC77)/(BC25-BC32+BC40-BC47+BC55-BC62+BC70-BC77+BC85-BC92+0.000000001)</f>
        <v>#VALUE!</v>
      </c>
      <c r="BD78" s="11" t="e">
        <f aca="false">BD23*Inputs!$F$188*(BD70-BD77)/(BD25-BD32+BD40-BD47+BD55-BD62+BD70-BD77+BD85-BD92+0.000000001)</f>
        <v>#VALUE!</v>
      </c>
      <c r="BE78" s="11" t="e">
        <f aca="false">BE23*Inputs!$F$188*(BE70-BE77)/(BE25-BE32+BE40-BE47+BE55-BE62+BE70-BE77+BE85-BE92+0.000000001)</f>
        <v>#VALUE!</v>
      </c>
      <c r="BF78" s="11" t="e">
        <f aca="false">BF23*Inputs!$F$188*(BF70-BF77)/(BF25-BF32+BF40-BF47+BF55-BF62+BF70-BF77+BF85-BF92+0.000000001)</f>
        <v>#VALUE!</v>
      </c>
      <c r="BG78" s="11" t="e">
        <f aca="false">BG23*Inputs!$F$188*(BG70-BG77)/(BG25-BG32+BG40-BG47+BG55-BG62+BG70-BG77+BG85-BG92+0.000000001)</f>
        <v>#VALUE!</v>
      </c>
      <c r="BH78" s="11" t="e">
        <f aca="false">BH23*Inputs!$F$188*(BH70-BH77)/(BH25-BH32+BH40-BH47+BH55-BH62+BH70-BH77+BH85-BH92+0.000000001)</f>
        <v>#VALUE!</v>
      </c>
      <c r="BI78" s="11" t="e">
        <f aca="false">BI23*Inputs!$F$188*(BI70-BI77)/(BI25-BI32+BI40-BI47+BI55-BI62+BI70-BI77+BI85-BI92+0.000000001)</f>
        <v>#VALUE!</v>
      </c>
      <c r="BJ78" s="11" t="e">
        <f aca="false">BJ23*Inputs!$F$188*(BJ70-BJ77)/(BJ25-BJ32+BJ40-BJ47+BJ55-BJ62+BJ70-BJ77+BJ85-BJ92+0.000000001)</f>
        <v>#VALUE!</v>
      </c>
      <c r="BK78" s="11" t="e">
        <f aca="false">BK23*Inputs!$F$188*(BK70-BK77)/(BK25-BK32+BK40-BK47+BK55-BK62+BK70-BK77+BK85-BK92+0.000000001)</f>
        <v>#VALUE!</v>
      </c>
      <c r="BL78" s="11" t="e">
        <f aca="false">BL23*Inputs!$F$188*(BL70-BL77)/(BL25-BL32+BL40-BL47+BL55-BL62+BL70-BL77+BL85-BL92+0.000000001)</f>
        <v>#VALUE!</v>
      </c>
      <c r="BM78" s="11" t="e">
        <f aca="false">BM23*Inputs!$F$188*(BM70-BM77)/(BM25-BM32+BM40-BM47+BM55-BM62+BM70-BM77+BM85-BM92+0.000000001)</f>
        <v>#VALUE!</v>
      </c>
      <c r="BN78" s="11" t="e">
        <f aca="false">BN23*Inputs!$F$188*(BN70-BN77)/(BN25-BN32+BN40-BN47+BN55-BN62+BN70-BN77+BN85-BN92+0.000000001)</f>
        <v>#VALUE!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e">
        <f aca="false">SUM(J79:BN79)</f>
        <v>#VALUE!</v>
      </c>
      <c r="J79" s="11" t="e">
        <f aca="false">J20*(J70-J77-J78)</f>
        <v>#VALUE!</v>
      </c>
      <c r="K79" s="11" t="e">
        <f aca="false">K20*(K70-K77-K78)</f>
        <v>#VALUE!</v>
      </c>
      <c r="L79" s="11" t="e">
        <f aca="false">L20*(L70-L77-L78)</f>
        <v>#VALUE!</v>
      </c>
      <c r="M79" s="11" t="e">
        <f aca="false">M20*(M70-M77-M78)</f>
        <v>#VALUE!</v>
      </c>
      <c r="N79" s="11" t="e">
        <f aca="false">N20*(N70-N77-N78)</f>
        <v>#VALUE!</v>
      </c>
      <c r="O79" s="11" t="e">
        <f aca="false">O20*(O70-O77-O78)</f>
        <v>#VALUE!</v>
      </c>
      <c r="P79" s="11" t="e">
        <f aca="false">P20*(P70-P77-P78)</f>
        <v>#VALUE!</v>
      </c>
      <c r="Q79" s="11" t="e">
        <f aca="false">Q20*(Q70-Q77-Q78)</f>
        <v>#VALUE!</v>
      </c>
      <c r="R79" s="11" t="e">
        <f aca="false">R20*(R70-R77-R78)</f>
        <v>#VALUE!</v>
      </c>
      <c r="S79" s="11" t="e">
        <f aca="false">S20*(S70-S77-S78)</f>
        <v>#VALUE!</v>
      </c>
      <c r="T79" s="11" t="e">
        <f aca="false">T20*(T70-T77-T78)</f>
        <v>#VALUE!</v>
      </c>
      <c r="U79" s="11" t="e">
        <f aca="false">U20*(U70-U77-U78)</f>
        <v>#VALUE!</v>
      </c>
      <c r="V79" s="11" t="e">
        <f aca="false">V20*(V70-V77-V78)</f>
        <v>#VALUE!</v>
      </c>
      <c r="W79" s="11" t="e">
        <f aca="false">W20*(W70-W77-W78)</f>
        <v>#VALUE!</v>
      </c>
      <c r="X79" s="11" t="e">
        <f aca="false">X20*(X70-X77-X78)</f>
        <v>#VALUE!</v>
      </c>
      <c r="Y79" s="11" t="e">
        <f aca="false">Y20*(Y70-Y77-Y78)</f>
        <v>#VALUE!</v>
      </c>
      <c r="Z79" s="11" t="e">
        <f aca="false">Z20*(Z70-Z77-Z78)</f>
        <v>#VALUE!</v>
      </c>
      <c r="AA79" s="11" t="e">
        <f aca="false">AA20*(AA70-AA77-AA78)</f>
        <v>#VALUE!</v>
      </c>
      <c r="AB79" s="11" t="e">
        <f aca="false">AB20*(AB70-AB77-AB78)</f>
        <v>#VALUE!</v>
      </c>
      <c r="AC79" s="11" t="e">
        <f aca="false">AC20*(AC70-AC77-AC78)</f>
        <v>#VALUE!</v>
      </c>
      <c r="AD79" s="11" t="e">
        <f aca="false">AD20*(AD70-AD77-AD78)</f>
        <v>#VALUE!</v>
      </c>
      <c r="AE79" s="11" t="e">
        <f aca="false">AE20*(AE70-AE77-AE78)</f>
        <v>#VALUE!</v>
      </c>
      <c r="AF79" s="11" t="e">
        <f aca="false">AF20*(AF70-AF77-AF78)</f>
        <v>#VALUE!</v>
      </c>
      <c r="AG79" s="11" t="e">
        <f aca="false">AG20*(AG70-AG77-AG78)</f>
        <v>#VALUE!</v>
      </c>
      <c r="AH79" s="11" t="e">
        <f aca="false">AH20*(AH70-AH77-AH78)</f>
        <v>#VALUE!</v>
      </c>
      <c r="AI79" s="11" t="e">
        <f aca="false">AI20*(AI70-AI77-AI78)</f>
        <v>#VALUE!</v>
      </c>
      <c r="AJ79" s="11" t="e">
        <f aca="false">AJ20*(AJ70-AJ77-AJ78)</f>
        <v>#VALUE!</v>
      </c>
      <c r="AK79" s="11" t="e">
        <f aca="false">AK20*(AK70-AK77-AK78)</f>
        <v>#VALUE!</v>
      </c>
      <c r="AL79" s="11" t="e">
        <f aca="false">AL20*(AL70-AL77-AL78)</f>
        <v>#VALUE!</v>
      </c>
      <c r="AM79" s="11" t="e">
        <f aca="false">AM20*(AM70-AM77-AM78)</f>
        <v>#VALUE!</v>
      </c>
      <c r="AN79" s="11" t="e">
        <f aca="false">AN20*(AN70-AN77-AN78)</f>
        <v>#VALUE!</v>
      </c>
      <c r="AO79" s="11" t="e">
        <f aca="false">AO20*(AO70-AO77-AO78)</f>
        <v>#VALUE!</v>
      </c>
      <c r="AP79" s="11" t="e">
        <f aca="false">AP20*(AP70-AP77-AP78)</f>
        <v>#VALUE!</v>
      </c>
      <c r="AQ79" s="11" t="e">
        <f aca="false">AQ20*(AQ70-AQ77-AQ78)</f>
        <v>#VALUE!</v>
      </c>
      <c r="AR79" s="11" t="e">
        <f aca="false">AR20*(AR70-AR77-AR78)</f>
        <v>#VALUE!</v>
      </c>
      <c r="AS79" s="11" t="e">
        <f aca="false">AS20*(AS70-AS77-AS78)</f>
        <v>#VALUE!</v>
      </c>
      <c r="AT79" s="11" t="e">
        <f aca="false">AT20*(AT70-AT77-AT78)</f>
        <v>#VALUE!</v>
      </c>
      <c r="AU79" s="11" t="e">
        <f aca="false">AU20*(AU70-AU77-AU78)</f>
        <v>#VALUE!</v>
      </c>
      <c r="AV79" s="11" t="e">
        <f aca="false">AV20*(AV70-AV77-AV78)</f>
        <v>#VALUE!</v>
      </c>
      <c r="AW79" s="11" t="e">
        <f aca="false">AW20*(AW70-AW77-AW78)</f>
        <v>#VALUE!</v>
      </c>
      <c r="AX79" s="11" t="e">
        <f aca="false">AX20*(AX70-AX77-AX78)</f>
        <v>#VALUE!</v>
      </c>
      <c r="AY79" s="11" t="e">
        <f aca="false">AY20*(AY70-AY77-AY78)</f>
        <v>#VALUE!</v>
      </c>
      <c r="AZ79" s="11" t="e">
        <f aca="false">AZ20*(AZ70-AZ77-AZ78)</f>
        <v>#VALUE!</v>
      </c>
      <c r="BA79" s="11" t="e">
        <f aca="false">BA20*(BA70-BA77-BA78)</f>
        <v>#VALUE!</v>
      </c>
      <c r="BB79" s="11" t="e">
        <f aca="false">BB20*(BB70-BB77-BB78)</f>
        <v>#VALUE!</v>
      </c>
      <c r="BC79" s="11" t="e">
        <f aca="false">BC20*(BC70-BC77-BC78)</f>
        <v>#VALUE!</v>
      </c>
      <c r="BD79" s="11" t="e">
        <f aca="false">BD20*(BD70-BD77-BD78)</f>
        <v>#VALUE!</v>
      </c>
      <c r="BE79" s="11" t="e">
        <f aca="false">BE20*(BE70-BE77-BE78)</f>
        <v>#VALUE!</v>
      </c>
      <c r="BF79" s="11" t="e">
        <f aca="false">BF20*(BF70-BF77-BF78)</f>
        <v>#VALUE!</v>
      </c>
      <c r="BG79" s="11" t="e">
        <f aca="false">BG20*(BG70-BG77-BG78)</f>
        <v>#VALUE!</v>
      </c>
      <c r="BH79" s="11" t="e">
        <f aca="false">BH20*(BH70-BH77-BH78)</f>
        <v>#VALUE!</v>
      </c>
      <c r="BI79" s="11" t="e">
        <f aca="false">BI20*(BI70-BI77-BI78)</f>
        <v>#VALUE!</v>
      </c>
      <c r="BJ79" s="11" t="e">
        <f aca="false">BJ20*(BJ70-BJ77-BJ78)</f>
        <v>#VALUE!</v>
      </c>
      <c r="BK79" s="11" t="e">
        <f aca="false">BK20*(BK70-BK77-BK78)</f>
        <v>#VALUE!</v>
      </c>
      <c r="BL79" s="11" t="e">
        <f aca="false">BL20*(BL70-BL77-BL78)</f>
        <v>#VALUE!</v>
      </c>
      <c r="BM79" s="11" t="e">
        <f aca="false">BM20*(BM70-BM77-BM78)</f>
        <v>#VALUE!</v>
      </c>
      <c r="BN79" s="11" t="e">
        <f aca="false">BN20*(BN70-BN77-BN78)</f>
        <v>#VALUE!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e">
        <f aca="false">IF(J20=1,0,1)*(J71+J74-J76)</f>
        <v>#VALUE!</v>
      </c>
      <c r="K80" s="11" t="e">
        <f aca="false">IF(K20=1,0,1)*(K71+K74-K76)</f>
        <v>#VALUE!</v>
      </c>
      <c r="L80" s="11" t="e">
        <f aca="false">IF(L20=1,0,1)*(L71+L74-L76)</f>
        <v>#VALUE!</v>
      </c>
      <c r="M80" s="11" t="e">
        <f aca="false">IF(M20=1,0,1)*(M71+M74-M76)</f>
        <v>#VALUE!</v>
      </c>
      <c r="N80" s="11" t="e">
        <f aca="false">IF(N20=1,0,1)*(N71+N74-N76)</f>
        <v>#VALUE!</v>
      </c>
      <c r="O80" s="11" t="e">
        <f aca="false">IF(O20=1,0,1)*(O71+O74-O76)</f>
        <v>#VALUE!</v>
      </c>
      <c r="P80" s="11" t="e">
        <f aca="false">IF(P20=1,0,1)*(P71+P74-P76)</f>
        <v>#VALUE!</v>
      </c>
      <c r="Q80" s="11" t="e">
        <f aca="false">IF(Q20=1,0,1)*(Q71+Q74-Q76)</f>
        <v>#VALUE!</v>
      </c>
      <c r="R80" s="11" t="e">
        <f aca="false">IF(R20=1,0,1)*(R71+R74-R76)</f>
        <v>#VALUE!</v>
      </c>
      <c r="S80" s="11" t="e">
        <f aca="false">IF(S20=1,0,1)*(S71+S74-S76)</f>
        <v>#VALUE!</v>
      </c>
      <c r="T80" s="11" t="e">
        <f aca="false">IF(T20=1,0,1)*(T71+T74-T76)</f>
        <v>#VALUE!</v>
      </c>
      <c r="U80" s="11" t="e">
        <f aca="false">IF(U20=1,0,1)*(U71+U74-U76)</f>
        <v>#VALUE!</v>
      </c>
      <c r="V80" s="11" t="e">
        <f aca="false">IF(V20=1,0,1)*(V71+V74-V76)</f>
        <v>#VALUE!</v>
      </c>
      <c r="W80" s="11" t="e">
        <f aca="false">IF(W20=1,0,1)*(W71+W74-W76)</f>
        <v>#VALUE!</v>
      </c>
      <c r="X80" s="11" t="e">
        <f aca="false">IF(X20=1,0,1)*(X71+X74-X76)</f>
        <v>#VALUE!</v>
      </c>
      <c r="Y80" s="11" t="e">
        <f aca="false">IF(Y20=1,0,1)*(Y71+Y74-Y76)</f>
        <v>#VALUE!</v>
      </c>
      <c r="Z80" s="11" t="e">
        <f aca="false">IF(Z20=1,0,1)*(Z71+Z74-Z76)</f>
        <v>#VALUE!</v>
      </c>
      <c r="AA80" s="11" t="e">
        <f aca="false">IF(AA20=1,0,1)*(AA71+AA74-AA76)</f>
        <v>#VALUE!</v>
      </c>
      <c r="AB80" s="11" t="e">
        <f aca="false">IF(AB20=1,0,1)*(AB71+AB74-AB76)</f>
        <v>#VALUE!</v>
      </c>
      <c r="AC80" s="11" t="e">
        <f aca="false">IF(AC20=1,0,1)*(AC71+AC74-AC76)</f>
        <v>#VALUE!</v>
      </c>
      <c r="AD80" s="11" t="e">
        <f aca="false">IF(AD20=1,0,1)*(AD71+AD74-AD76)</f>
        <v>#VALUE!</v>
      </c>
      <c r="AE80" s="11" t="e">
        <f aca="false">IF(AE20=1,0,1)*(AE71+AE74-AE76)</f>
        <v>#VALUE!</v>
      </c>
      <c r="AF80" s="11" t="e">
        <f aca="false">IF(AF20=1,0,1)*(AF71+AF74-AF76)</f>
        <v>#VALUE!</v>
      </c>
      <c r="AG80" s="11" t="e">
        <f aca="false">IF(AG20=1,0,1)*(AG71+AG74-AG76)</f>
        <v>#VALUE!</v>
      </c>
      <c r="AH80" s="11" t="e">
        <f aca="false">IF(AH20=1,0,1)*(AH71+AH74-AH76)</f>
        <v>#VALUE!</v>
      </c>
      <c r="AI80" s="11" t="e">
        <f aca="false">IF(AI20=1,0,1)*(AI71+AI74-AI76)</f>
        <v>#VALUE!</v>
      </c>
      <c r="AJ80" s="11" t="e">
        <f aca="false">IF(AJ20=1,0,1)*(AJ71+AJ74-AJ76)</f>
        <v>#VALUE!</v>
      </c>
      <c r="AK80" s="11" t="e">
        <f aca="false">IF(AK20=1,0,1)*(AK71+AK74-AK76)</f>
        <v>#VALUE!</v>
      </c>
      <c r="AL80" s="11" t="e">
        <f aca="false">IF(AL20=1,0,1)*(AL71+AL74-AL76)</f>
        <v>#VALUE!</v>
      </c>
      <c r="AM80" s="11" t="e">
        <f aca="false">IF(AM20=1,0,1)*(AM71+AM74-AM76)</f>
        <v>#VALUE!</v>
      </c>
      <c r="AN80" s="11" t="e">
        <f aca="false">IF(AN20=1,0,1)*(AN71+AN74-AN76)</f>
        <v>#VALUE!</v>
      </c>
      <c r="AO80" s="11" t="e">
        <f aca="false">IF(AO20=1,0,1)*(AO71+AO74-AO76)</f>
        <v>#VALUE!</v>
      </c>
      <c r="AP80" s="11" t="e">
        <f aca="false">IF(AP20=1,0,1)*(AP71+AP74-AP76)</f>
        <v>#VALUE!</v>
      </c>
      <c r="AQ80" s="11" t="e">
        <f aca="false">IF(AQ20=1,0,1)*(AQ71+AQ74-AQ76)</f>
        <v>#VALUE!</v>
      </c>
      <c r="AR80" s="11" t="e">
        <f aca="false">IF(AR20=1,0,1)*(AR71+AR74-AR76)</f>
        <v>#VALUE!</v>
      </c>
      <c r="AS80" s="11" t="e">
        <f aca="false">IF(AS20=1,0,1)*(AS71+AS74-AS76)</f>
        <v>#VALUE!</v>
      </c>
      <c r="AT80" s="11" t="e">
        <f aca="false">IF(AT20=1,0,1)*(AT71+AT74-AT76)</f>
        <v>#VALUE!</v>
      </c>
      <c r="AU80" s="11" t="e">
        <f aca="false">IF(AU20=1,0,1)*(AU71+AU74-AU76)</f>
        <v>#VALUE!</v>
      </c>
      <c r="AV80" s="11" t="e">
        <f aca="false">IF(AV20=1,0,1)*(AV71+AV74-AV76)</f>
        <v>#VALUE!</v>
      </c>
      <c r="AW80" s="11" t="e">
        <f aca="false">IF(AW20=1,0,1)*(AW71+AW74-AW76)</f>
        <v>#VALUE!</v>
      </c>
      <c r="AX80" s="11" t="e">
        <f aca="false">IF(AX20=1,0,1)*(AX71+AX74-AX76)</f>
        <v>#VALUE!</v>
      </c>
      <c r="AY80" s="11" t="e">
        <f aca="false">IF(AY20=1,0,1)*(AY71+AY74-AY76)</f>
        <v>#VALUE!</v>
      </c>
      <c r="AZ80" s="11" t="e">
        <f aca="false">IF(AZ20=1,0,1)*(AZ71+AZ74-AZ76)</f>
        <v>#VALUE!</v>
      </c>
      <c r="BA80" s="11" t="e">
        <f aca="false">IF(BA20=1,0,1)*(BA71+BA74-BA76)</f>
        <v>#VALUE!</v>
      </c>
      <c r="BB80" s="11" t="e">
        <f aca="false">IF(BB20=1,0,1)*(BB71+BB74-BB76)</f>
        <v>#VALUE!</v>
      </c>
      <c r="BC80" s="11" t="e">
        <f aca="false">IF(BC20=1,0,1)*(BC71+BC74-BC76)</f>
        <v>#VALUE!</v>
      </c>
      <c r="BD80" s="11" t="e">
        <f aca="false">IF(BD20=1,0,1)*(BD71+BD74-BD76)</f>
        <v>#VALUE!</v>
      </c>
      <c r="BE80" s="11" t="e">
        <f aca="false">IF(BE20=1,0,1)*(BE71+BE74-BE76)</f>
        <v>#VALUE!</v>
      </c>
      <c r="BF80" s="11" t="e">
        <f aca="false">IF(BF20=1,0,1)*(BF71+BF74-BF76)</f>
        <v>#VALUE!</v>
      </c>
      <c r="BG80" s="11" t="e">
        <f aca="false">IF(BG20=1,0,1)*(BG71+BG74-BG76)</f>
        <v>#VALUE!</v>
      </c>
      <c r="BH80" s="11" t="e">
        <f aca="false">IF(BH20=1,0,1)*(BH71+BH74-BH76)</f>
        <v>#VALUE!</v>
      </c>
      <c r="BI80" s="11" t="e">
        <f aca="false">IF(BI20=1,0,1)*(BI71+BI74-BI76)</f>
        <v>#VALUE!</v>
      </c>
      <c r="BJ80" s="11" t="e">
        <f aca="false">IF(BJ20=1,0,1)*(BJ71+BJ74-BJ76)</f>
        <v>#VALUE!</v>
      </c>
      <c r="BK80" s="11" t="e">
        <f aca="false">IF(BK20=1,0,1)*(BK71+BK74-BK76)</f>
        <v>#VALUE!</v>
      </c>
      <c r="BL80" s="11" t="e">
        <f aca="false">IF(BL20=1,0,1)*(BL71+BL74-BL76)</f>
        <v>#VALUE!</v>
      </c>
      <c r="BM80" s="11" t="e">
        <f aca="false">IF(BM20=1,0,1)*(BM71+BM74-BM76)</f>
        <v>#VALUE!</v>
      </c>
      <c r="BN80" s="11" t="e">
        <f aca="false">IF(BN20=1,0,1)*(BN71+BN74-BN76)</f>
        <v>#VALUE!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e">
        <f aca="false">J70-J77-J78-J79</f>
        <v>#VALUE!</v>
      </c>
      <c r="K81" s="11" t="e">
        <f aca="false">K70-K77-K78-K79</f>
        <v>#VALUE!</v>
      </c>
      <c r="L81" s="11" t="e">
        <f aca="false">L70-L77-L78-L79</f>
        <v>#VALUE!</v>
      </c>
      <c r="M81" s="11" t="e">
        <f aca="false">M70-M77-M78-M79</f>
        <v>#VALUE!</v>
      </c>
      <c r="N81" s="11" t="e">
        <f aca="false">N70-N77-N78-N79</f>
        <v>#VALUE!</v>
      </c>
      <c r="O81" s="11" t="e">
        <f aca="false">O70-O77-O78-O79</f>
        <v>#VALUE!</v>
      </c>
      <c r="P81" s="11" t="e">
        <f aca="false">P70-P77-P78-P79</f>
        <v>#VALUE!</v>
      </c>
      <c r="Q81" s="11" t="e">
        <f aca="false">Q70-Q77-Q78-Q79</f>
        <v>#VALUE!</v>
      </c>
      <c r="R81" s="11" t="e">
        <f aca="false">R70-R77-R78-R79</f>
        <v>#VALUE!</v>
      </c>
      <c r="S81" s="11" t="e">
        <f aca="false">S70-S77-S78-S79</f>
        <v>#VALUE!</v>
      </c>
      <c r="T81" s="11" t="e">
        <f aca="false">T70-T77-T78-T79</f>
        <v>#VALUE!</v>
      </c>
      <c r="U81" s="11" t="e">
        <f aca="false">U70-U77-U78-U79</f>
        <v>#VALUE!</v>
      </c>
      <c r="V81" s="11" t="e">
        <f aca="false">V70-V77-V78-V79</f>
        <v>#VALUE!</v>
      </c>
      <c r="W81" s="11" t="e">
        <f aca="false">W70-W77-W78-W79</f>
        <v>#VALUE!</v>
      </c>
      <c r="X81" s="11" t="e">
        <f aca="false">X70-X77-X78-X79</f>
        <v>#VALUE!</v>
      </c>
      <c r="Y81" s="11" t="e">
        <f aca="false">Y70-Y77-Y78-Y79</f>
        <v>#VALUE!</v>
      </c>
      <c r="Z81" s="11" t="e">
        <f aca="false">Z70-Z77-Z78-Z79</f>
        <v>#VALUE!</v>
      </c>
      <c r="AA81" s="11" t="e">
        <f aca="false">AA70-AA77-AA78-AA79</f>
        <v>#VALUE!</v>
      </c>
      <c r="AB81" s="11" t="e">
        <f aca="false">AB70-AB77-AB78-AB79</f>
        <v>#VALUE!</v>
      </c>
      <c r="AC81" s="11" t="e">
        <f aca="false">AC70-AC77-AC78-AC79</f>
        <v>#VALUE!</v>
      </c>
      <c r="AD81" s="11" t="e">
        <f aca="false">AD70-AD77-AD78-AD79</f>
        <v>#VALUE!</v>
      </c>
      <c r="AE81" s="11" t="e">
        <f aca="false">AE70-AE77-AE78-AE79</f>
        <v>#VALUE!</v>
      </c>
      <c r="AF81" s="11" t="e">
        <f aca="false">AF70-AF77-AF78-AF79</f>
        <v>#VALUE!</v>
      </c>
      <c r="AG81" s="11" t="e">
        <f aca="false">AG70-AG77-AG78-AG79</f>
        <v>#VALUE!</v>
      </c>
      <c r="AH81" s="11" t="e">
        <f aca="false">AH70-AH77-AH78-AH79</f>
        <v>#VALUE!</v>
      </c>
      <c r="AI81" s="11" t="e">
        <f aca="false">AI70-AI77-AI78-AI79</f>
        <v>#VALUE!</v>
      </c>
      <c r="AJ81" s="11" t="e">
        <f aca="false">AJ70-AJ77-AJ78-AJ79</f>
        <v>#VALUE!</v>
      </c>
      <c r="AK81" s="11" t="e">
        <f aca="false">AK70-AK77-AK78-AK79</f>
        <v>#VALUE!</v>
      </c>
      <c r="AL81" s="11" t="e">
        <f aca="false">AL70-AL77-AL78-AL79</f>
        <v>#VALUE!</v>
      </c>
      <c r="AM81" s="11" t="e">
        <f aca="false">AM70-AM77-AM78-AM79</f>
        <v>#VALUE!</v>
      </c>
      <c r="AN81" s="11" t="e">
        <f aca="false">AN70-AN77-AN78-AN79</f>
        <v>#VALUE!</v>
      </c>
      <c r="AO81" s="11" t="e">
        <f aca="false">AO70-AO77-AO78-AO79</f>
        <v>#VALUE!</v>
      </c>
      <c r="AP81" s="11" t="e">
        <f aca="false">AP70-AP77-AP78-AP79</f>
        <v>#VALUE!</v>
      </c>
      <c r="AQ81" s="11" t="e">
        <f aca="false">AQ70-AQ77-AQ78-AQ79</f>
        <v>#VALUE!</v>
      </c>
      <c r="AR81" s="11" t="e">
        <f aca="false">AR70-AR77-AR78-AR79</f>
        <v>#VALUE!</v>
      </c>
      <c r="AS81" s="11" t="e">
        <f aca="false">AS70-AS77-AS78-AS79</f>
        <v>#VALUE!</v>
      </c>
      <c r="AT81" s="11" t="e">
        <f aca="false">AT70-AT77-AT78-AT79</f>
        <v>#VALUE!</v>
      </c>
      <c r="AU81" s="11" t="e">
        <f aca="false">AU70-AU77-AU78-AU79</f>
        <v>#VALUE!</v>
      </c>
      <c r="AV81" s="11" t="e">
        <f aca="false">AV70-AV77-AV78-AV79</f>
        <v>#VALUE!</v>
      </c>
      <c r="AW81" s="11" t="e">
        <f aca="false">AW70-AW77-AW78-AW79</f>
        <v>#VALUE!</v>
      </c>
      <c r="AX81" s="11" t="e">
        <f aca="false">AX70-AX77-AX78-AX79</f>
        <v>#VALUE!</v>
      </c>
      <c r="AY81" s="11" t="e">
        <f aca="false">AY70-AY77-AY78-AY79</f>
        <v>#VALUE!</v>
      </c>
      <c r="AZ81" s="11" t="e">
        <f aca="false">AZ70-AZ77-AZ78-AZ79</f>
        <v>#VALUE!</v>
      </c>
      <c r="BA81" s="11" t="e">
        <f aca="false">BA70-BA77-BA78-BA79</f>
        <v>#VALUE!</v>
      </c>
      <c r="BB81" s="11" t="e">
        <f aca="false">BB70-BB77-BB78-BB79</f>
        <v>#VALUE!</v>
      </c>
      <c r="BC81" s="11" t="e">
        <f aca="false">BC70-BC77-BC78-BC79</f>
        <v>#VALUE!</v>
      </c>
      <c r="BD81" s="11" t="e">
        <f aca="false">BD70-BD77-BD78-BD79</f>
        <v>#VALUE!</v>
      </c>
      <c r="BE81" s="11" t="e">
        <f aca="false">BE70-BE77-BE78-BE79</f>
        <v>#VALUE!</v>
      </c>
      <c r="BF81" s="11" t="e">
        <f aca="false">BF70-BF77-BF78-BF79</f>
        <v>#VALUE!</v>
      </c>
      <c r="BG81" s="11" t="e">
        <f aca="false">BG70-BG77-BG78-BG79</f>
        <v>#VALUE!</v>
      </c>
      <c r="BH81" s="11" t="e">
        <f aca="false">BH70-BH77-BH78-BH79</f>
        <v>#VALUE!</v>
      </c>
      <c r="BI81" s="11" t="e">
        <f aca="false">BI70-BI77-BI78-BI79</f>
        <v>#VALUE!</v>
      </c>
      <c r="BJ81" s="11" t="e">
        <f aca="false">BJ70-BJ77-BJ78-BJ79</f>
        <v>#VALUE!</v>
      </c>
      <c r="BK81" s="11" t="e">
        <f aca="false">BK70-BK77-BK78-BK79</f>
        <v>#VALUE!</v>
      </c>
      <c r="BL81" s="11" t="e">
        <f aca="false">BL70-BL77-BL78-BL79</f>
        <v>#VALUE!</v>
      </c>
      <c r="BM81" s="11" t="e">
        <f aca="false">BM70-BM77-BM78-BM79</f>
        <v>#VALUE!</v>
      </c>
      <c r="BN81" s="11" t="e">
        <f aca="false">BN70-BN77-BN78-BN79</f>
        <v>#VALUE!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e">
        <f aca="false">SUM(J82:BN82)</f>
        <v>#VALUE!</v>
      </c>
      <c r="J82" s="11" t="e">
        <f aca="false">Waterfall!J28*J81/(J36+J51+J66+J81+J96+0.000000001)+Waterfall!J29</f>
        <v>#VALUE!</v>
      </c>
      <c r="K82" s="11" t="e">
        <f aca="false">Waterfall!K28*K81/(K36+K51+K66+K81+K96+0.000000001)+Waterfall!K29</f>
        <v>#VALUE!</v>
      </c>
      <c r="L82" s="11" t="e">
        <f aca="false">Waterfall!L28*L81/(L36+L51+L66+L81+L96+0.000000001)+Waterfall!L29</f>
        <v>#VALUE!</v>
      </c>
      <c r="M82" s="11" t="e">
        <f aca="false">Waterfall!M28*M81/(M36+M51+M66+M81+M96+0.000000001)+Waterfall!M29</f>
        <v>#VALUE!</v>
      </c>
      <c r="N82" s="11" t="e">
        <f aca="false">Waterfall!N28*N81/(N36+N51+N66+N81+N96+0.000000001)+Waterfall!N29</f>
        <v>#VALUE!</v>
      </c>
      <c r="O82" s="11" t="e">
        <f aca="false">Waterfall!O28*O81/(O36+O51+O66+O81+O96+0.000000001)+Waterfall!O29</f>
        <v>#VALUE!</v>
      </c>
      <c r="P82" s="11" t="e">
        <f aca="false">Waterfall!P28*P81/(P36+P51+P66+P81+P96+0.000000001)+Waterfall!P29</f>
        <v>#VALUE!</v>
      </c>
      <c r="Q82" s="11" t="e">
        <f aca="false">Waterfall!Q28*Q81/(Q36+Q51+Q66+Q81+Q96+0.000000001)+Waterfall!Q29</f>
        <v>#VALUE!</v>
      </c>
      <c r="R82" s="11" t="e">
        <f aca="false">Waterfall!R28*R81/(R36+R51+R66+R81+R96+0.000000001)+Waterfall!R29</f>
        <v>#VALUE!</v>
      </c>
      <c r="S82" s="11" t="e">
        <f aca="false">Waterfall!S28*S81/(S36+S51+S66+S81+S96+0.000000001)+Waterfall!S29</f>
        <v>#VALUE!</v>
      </c>
      <c r="T82" s="11" t="e">
        <f aca="false">Waterfall!T28*T81/(T36+T51+T66+T81+T96+0.000000001)+Waterfall!T29</f>
        <v>#VALUE!</v>
      </c>
      <c r="U82" s="11" t="e">
        <f aca="false">Waterfall!U28*U81/(U36+U51+U66+U81+U96+0.000000001)+Waterfall!U29</f>
        <v>#VALUE!</v>
      </c>
      <c r="V82" s="11" t="e">
        <f aca="false">Waterfall!V28*V81/(V36+V51+V66+V81+V96+0.000000001)+Waterfall!V29</f>
        <v>#VALUE!</v>
      </c>
      <c r="W82" s="11" t="e">
        <f aca="false">Waterfall!W28*W81/(W36+W51+W66+W81+W96+0.000000001)+Waterfall!W29</f>
        <v>#VALUE!</v>
      </c>
      <c r="X82" s="11" t="e">
        <f aca="false">Waterfall!X28*X81/(X36+X51+X66+X81+X96+0.000000001)+Waterfall!X29</f>
        <v>#VALUE!</v>
      </c>
      <c r="Y82" s="11" t="e">
        <f aca="false">Waterfall!Y28*Y81/(Y36+Y51+Y66+Y81+Y96+0.000000001)+Waterfall!Y29</f>
        <v>#VALUE!</v>
      </c>
      <c r="Z82" s="11" t="e">
        <f aca="false">Waterfall!Z28*Z81/(Z36+Z51+Z66+Z81+Z96+0.000000001)+Waterfall!Z29</f>
        <v>#VALUE!</v>
      </c>
      <c r="AA82" s="11" t="e">
        <f aca="false">Waterfall!AA28*AA81/(AA36+AA51+AA66+AA81+AA96+0.000000001)+Waterfall!AA29</f>
        <v>#VALUE!</v>
      </c>
      <c r="AB82" s="11" t="e">
        <f aca="false">Waterfall!AB28*AB81/(AB36+AB51+AB66+AB81+AB96+0.000000001)+Waterfall!AB29</f>
        <v>#VALUE!</v>
      </c>
      <c r="AC82" s="11" t="e">
        <f aca="false">Waterfall!AC28*AC81/(AC36+AC51+AC66+AC81+AC96+0.000000001)+Waterfall!AC29</f>
        <v>#VALUE!</v>
      </c>
      <c r="AD82" s="11" t="e">
        <f aca="false">Waterfall!AD28*AD81/(AD36+AD51+AD66+AD81+AD96+0.000000001)+Waterfall!AD29</f>
        <v>#VALUE!</v>
      </c>
      <c r="AE82" s="11" t="e">
        <f aca="false">Waterfall!AE28*AE81/(AE36+AE51+AE66+AE81+AE96+0.000000001)+Waterfall!AE29</f>
        <v>#VALUE!</v>
      </c>
      <c r="AF82" s="11" t="e">
        <f aca="false">Waterfall!AF28*AF81/(AF36+AF51+AF66+AF81+AF96+0.000000001)+Waterfall!AF29</f>
        <v>#VALUE!</v>
      </c>
      <c r="AG82" s="11" t="e">
        <f aca="false">Waterfall!AG28*AG81/(AG36+AG51+AG66+AG81+AG96+0.000000001)+Waterfall!AG29</f>
        <v>#VALUE!</v>
      </c>
      <c r="AH82" s="11" t="e">
        <f aca="false">Waterfall!AH28*AH81/(AH36+AH51+AH66+AH81+AH96+0.000000001)+Waterfall!AH29</f>
        <v>#VALUE!</v>
      </c>
      <c r="AI82" s="11" t="e">
        <f aca="false">Waterfall!AI28*AI81/(AI36+AI51+AI66+AI81+AI96+0.000000001)+Waterfall!AI29</f>
        <v>#VALUE!</v>
      </c>
      <c r="AJ82" s="11" t="e">
        <f aca="false">Waterfall!AJ28*AJ81/(AJ36+AJ51+AJ66+AJ81+AJ96+0.000000001)+Waterfall!AJ29</f>
        <v>#VALUE!</v>
      </c>
      <c r="AK82" s="11" t="e">
        <f aca="false">Waterfall!AK28*AK81/(AK36+AK51+AK66+AK81+AK96+0.000000001)+Waterfall!AK29</f>
        <v>#VALUE!</v>
      </c>
      <c r="AL82" s="11" t="e">
        <f aca="false">Waterfall!AL28*AL81/(AL36+AL51+AL66+AL81+AL96+0.000000001)+Waterfall!AL29</f>
        <v>#VALUE!</v>
      </c>
      <c r="AM82" s="11" t="e">
        <f aca="false">Waterfall!AM28*AM81/(AM36+AM51+AM66+AM81+AM96+0.000000001)+Waterfall!AM29</f>
        <v>#VALUE!</v>
      </c>
      <c r="AN82" s="11" t="e">
        <f aca="false">Waterfall!AN28*AN81/(AN36+AN51+AN66+AN81+AN96+0.000000001)+Waterfall!AN29</f>
        <v>#VALUE!</v>
      </c>
      <c r="AO82" s="11" t="e">
        <f aca="false">Waterfall!AO28*AO81/(AO36+AO51+AO66+AO81+AO96+0.000000001)+Waterfall!AO29</f>
        <v>#VALUE!</v>
      </c>
      <c r="AP82" s="11" t="e">
        <f aca="false">Waterfall!AP28*AP81/(AP36+AP51+AP66+AP81+AP96+0.000000001)+Waterfall!AP29</f>
        <v>#VALUE!</v>
      </c>
      <c r="AQ82" s="11" t="e">
        <f aca="false">Waterfall!AQ28*AQ81/(AQ36+AQ51+AQ66+AQ81+AQ96+0.000000001)+Waterfall!AQ29</f>
        <v>#VALUE!</v>
      </c>
      <c r="AR82" s="11" t="e">
        <f aca="false">Waterfall!AR28*AR81/(AR36+AR51+AR66+AR81+AR96+0.000000001)+Waterfall!AR29</f>
        <v>#VALUE!</v>
      </c>
      <c r="AS82" s="11" t="e">
        <f aca="false">Waterfall!AS28*AS81/(AS36+AS51+AS66+AS81+AS96+0.000000001)+Waterfall!AS29</f>
        <v>#VALUE!</v>
      </c>
      <c r="AT82" s="11" t="e">
        <f aca="false">Waterfall!AT28*AT81/(AT36+AT51+AT66+AT81+AT96+0.000000001)+Waterfall!AT29</f>
        <v>#VALUE!</v>
      </c>
      <c r="AU82" s="11" t="e">
        <f aca="false">Waterfall!AU28*AU81/(AU36+AU51+AU66+AU81+AU96+0.000000001)+Waterfall!AU29</f>
        <v>#VALUE!</v>
      </c>
      <c r="AV82" s="11" t="e">
        <f aca="false">Waterfall!AV28*AV81/(AV36+AV51+AV66+AV81+AV96+0.000000001)+Waterfall!AV29</f>
        <v>#VALUE!</v>
      </c>
      <c r="AW82" s="11" t="e">
        <f aca="false">Waterfall!AW28*AW81/(AW36+AW51+AW66+AW81+AW96+0.000000001)+Waterfall!AW29</f>
        <v>#VALUE!</v>
      </c>
      <c r="AX82" s="11" t="e">
        <f aca="false">Waterfall!AX28*AX81/(AX36+AX51+AX66+AX81+AX96+0.000000001)+Waterfall!AX29</f>
        <v>#VALUE!</v>
      </c>
      <c r="AY82" s="11" t="e">
        <f aca="false">Waterfall!AY28*AY81/(AY36+AY51+AY66+AY81+AY96+0.000000001)+Waterfall!AY29</f>
        <v>#VALUE!</v>
      </c>
      <c r="AZ82" s="11" t="e">
        <f aca="false">Waterfall!AZ28*AZ81/(AZ36+AZ51+AZ66+AZ81+AZ96+0.000000001)+Waterfall!AZ29</f>
        <v>#VALUE!</v>
      </c>
      <c r="BA82" s="11" t="e">
        <f aca="false">Waterfall!BA28*BA81/(BA36+BA51+BA66+BA81+BA96+0.000000001)+Waterfall!BA29</f>
        <v>#VALUE!</v>
      </c>
      <c r="BB82" s="11" t="e">
        <f aca="false">Waterfall!BB28*BB81/(BB36+BB51+BB66+BB81+BB96+0.000000001)+Waterfall!BB29</f>
        <v>#VALUE!</v>
      </c>
      <c r="BC82" s="11" t="e">
        <f aca="false">Waterfall!BC28*BC81/(BC36+BC51+BC66+BC81+BC96+0.000000001)+Waterfall!BC29</f>
        <v>#VALUE!</v>
      </c>
      <c r="BD82" s="11" t="e">
        <f aca="false">Waterfall!BD28*BD81/(BD36+BD51+BD66+BD81+BD96+0.000000001)+Waterfall!BD29</f>
        <v>#VALUE!</v>
      </c>
      <c r="BE82" s="11" t="e">
        <f aca="false">Waterfall!BE28*BE81/(BE36+BE51+BE66+BE81+BE96+0.000000001)+Waterfall!BE29</f>
        <v>#VALUE!</v>
      </c>
      <c r="BF82" s="11" t="e">
        <f aca="false">Waterfall!BF28*BF81/(BF36+BF51+BF66+BF81+BF96+0.000000001)+Waterfall!BF29</f>
        <v>#VALUE!</v>
      </c>
      <c r="BG82" s="11" t="e">
        <f aca="false">Waterfall!BG28*BG81/(BG36+BG51+BG66+BG81+BG96+0.000000001)+Waterfall!BG29</f>
        <v>#VALUE!</v>
      </c>
      <c r="BH82" s="11" t="e">
        <f aca="false">Waterfall!BH28*BH81/(BH36+BH51+BH66+BH81+BH96+0.000000001)+Waterfall!BH29</f>
        <v>#VALUE!</v>
      </c>
      <c r="BI82" s="11" t="e">
        <f aca="false">Waterfall!BI28*BI81/(BI36+BI51+BI66+BI81+BI96+0.000000001)+Waterfall!BI29</f>
        <v>#VALUE!</v>
      </c>
      <c r="BJ82" s="11" t="e">
        <f aca="false">Waterfall!BJ28*BJ81/(BJ36+BJ51+BJ66+BJ81+BJ96+0.000000001)+Waterfall!BJ29</f>
        <v>#VALUE!</v>
      </c>
      <c r="BK82" s="11" t="e">
        <f aca="false">Waterfall!BK28*BK81/(BK36+BK51+BK66+BK81+BK96+0.000000001)+Waterfall!BK29</f>
        <v>#VALUE!</v>
      </c>
      <c r="BL82" s="11" t="e">
        <f aca="false">Waterfall!BL28*BL81/(BL36+BL51+BL66+BL81+BL96+0.000000001)+Waterfall!BL29</f>
        <v>#VALUE!</v>
      </c>
      <c r="BM82" s="11" t="e">
        <f aca="false">Waterfall!BM28*BM81/(BM36+BM51+BM66+BM81+BM96+0.000000001)+Waterfall!BM29</f>
        <v>#VALUE!</v>
      </c>
      <c r="BN82" s="11" t="e">
        <f aca="false">Waterfall!BN28*BN81/(BN36+BN51+BN66+BN81+BN96+0.000000001)+Waterfall!BN29</f>
        <v>#VALUE!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e">
        <f aca="false">IF(Time!J29=1,INDEX(Funding!$J$64:$BJ$64,1,Time!$F$13),Time!J30*(J81-J82))</f>
        <v>#VALUE!</v>
      </c>
      <c r="K83" s="11" t="e">
        <f aca="false">IF(Time!K29=1,INDEX(Funding!$J$64:$BJ$64,1,Time!$F$13),Time!K30*(K81-K82))</f>
        <v>#VALUE!</v>
      </c>
      <c r="L83" s="11" t="e">
        <f aca="false">IF(Time!L29=1,INDEX(Funding!$J$64:$BJ$64,1,Time!$F$13),Time!L30*(L81-L82))</f>
        <v>#VALUE!</v>
      </c>
      <c r="M83" s="11" t="e">
        <f aca="false">IF(Time!M29=1,INDEX(Funding!$J$64:$BJ$64,1,Time!$F$13),Time!M30*(M81-M82))</f>
        <v>#VALUE!</v>
      </c>
      <c r="N83" s="11" t="e">
        <f aca="false">IF(Time!N29=1,INDEX(Funding!$J$64:$BJ$64,1,Time!$F$13),Time!N30*(N81-N82))</f>
        <v>#VALUE!</v>
      </c>
      <c r="O83" s="11" t="n">
        <f aca="false">IF(Time!O29=1,INDEX(Funding!$J$64:$BJ$64,1,Time!$F$13),Time!O30*(O81-O82))</f>
        <v>240.637270706254</v>
      </c>
      <c r="P83" s="11" t="e">
        <f aca="false">IF(Time!P29=1,INDEX(Funding!$J$64:$BJ$64,1,Time!$F$13),Time!P30*(P81-P82))</f>
        <v>#VALUE!</v>
      </c>
      <c r="Q83" s="11" t="e">
        <f aca="false">IF(Time!Q29=1,INDEX(Funding!$J$64:$BJ$64,1,Time!$F$13),Time!Q30*(Q81-Q82))</f>
        <v>#VALUE!</v>
      </c>
      <c r="R83" s="11" t="e">
        <f aca="false">IF(Time!R29=1,INDEX(Funding!$J$64:$BJ$64,1,Time!$F$13),Time!R30*(R81-R82))</f>
        <v>#VALUE!</v>
      </c>
      <c r="S83" s="11" t="e">
        <f aca="false">IF(Time!S29=1,INDEX(Funding!$J$64:$BJ$64,1,Time!$F$13),Time!S30*(S81-S82))</f>
        <v>#VALUE!</v>
      </c>
      <c r="T83" s="11" t="e">
        <f aca="false">IF(Time!T29=1,INDEX(Funding!$J$64:$BJ$64,1,Time!$F$13),Time!T30*(T81-T82))</f>
        <v>#VALUE!</v>
      </c>
      <c r="U83" s="11" t="e">
        <f aca="false">IF(Time!U29=1,INDEX(Funding!$J$64:$BJ$64,1,Time!$F$13),Time!U30*(U81-U82))</f>
        <v>#VALUE!</v>
      </c>
      <c r="V83" s="11" t="e">
        <f aca="false">IF(Time!V29=1,INDEX(Funding!$J$64:$BJ$64,1,Time!$F$13),Time!V30*(V81-V82))</f>
        <v>#VALUE!</v>
      </c>
      <c r="W83" s="11" t="e">
        <f aca="false">IF(Time!W29=1,INDEX(Funding!$J$64:$BJ$64,1,Time!$F$13),Time!W30*(W81-W82))</f>
        <v>#VALUE!</v>
      </c>
      <c r="X83" s="11" t="e">
        <f aca="false">IF(Time!X29=1,INDEX(Funding!$J$64:$BJ$64,1,Time!$F$13),Time!X30*(X81-X82))</f>
        <v>#VALUE!</v>
      </c>
      <c r="Y83" s="11" t="e">
        <f aca="false">IF(Time!Y29=1,INDEX(Funding!$J$64:$BJ$64,1,Time!$F$13),Time!Y30*(Y81-Y82))</f>
        <v>#VALUE!</v>
      </c>
      <c r="Z83" s="11" t="e">
        <f aca="false">IF(Time!Z29=1,INDEX(Funding!$J$64:$BJ$64,1,Time!$F$13),Time!Z30*(Z81-Z82))</f>
        <v>#VALUE!</v>
      </c>
      <c r="AA83" s="11" t="e">
        <f aca="false">IF(Time!AA29=1,INDEX(Funding!$J$64:$BJ$64,1,Time!$F$13),Time!AA30*(AA81-AA82))</f>
        <v>#VALUE!</v>
      </c>
      <c r="AB83" s="11" t="e">
        <f aca="false">IF(Time!AB29=1,INDEX(Funding!$J$64:$BJ$64,1,Time!$F$13),Time!AB30*(AB81-AB82))</f>
        <v>#VALUE!</v>
      </c>
      <c r="AC83" s="11" t="e">
        <f aca="false">IF(Time!AC29=1,INDEX(Funding!$J$64:$BJ$64,1,Time!$F$13),Time!AC30*(AC81-AC82))</f>
        <v>#VALUE!</v>
      </c>
      <c r="AD83" s="11" t="e">
        <f aca="false">IF(Time!AD29=1,INDEX(Funding!$J$64:$BJ$64,1,Time!$F$13),Time!AD30*(AD81-AD82))</f>
        <v>#VALUE!</v>
      </c>
      <c r="AE83" s="11" t="e">
        <f aca="false">IF(Time!AE29=1,INDEX(Funding!$J$64:$BJ$64,1,Time!$F$13),Time!AE30*(AE81-AE82))</f>
        <v>#VALUE!</v>
      </c>
      <c r="AF83" s="11" t="e">
        <f aca="false">IF(Time!AF29=1,INDEX(Funding!$J$64:$BJ$64,1,Time!$F$13),Time!AF30*(AF81-AF82))</f>
        <v>#VALUE!</v>
      </c>
      <c r="AG83" s="11" t="e">
        <f aca="false">IF(Time!AG29=1,INDEX(Funding!$J$64:$BJ$64,1,Time!$F$13),Time!AG30*(AG81-AG82))</f>
        <v>#VALUE!</v>
      </c>
      <c r="AH83" s="11" t="e">
        <f aca="false">IF(Time!AH29=1,INDEX(Funding!$J$64:$BJ$64,1,Time!$F$13),Time!AH30*(AH81-AH82))</f>
        <v>#VALUE!</v>
      </c>
      <c r="AI83" s="11" t="e">
        <f aca="false">IF(Time!AI29=1,INDEX(Funding!$J$64:$BJ$64,1,Time!$F$13),Time!AI30*(AI81-AI82))</f>
        <v>#VALUE!</v>
      </c>
      <c r="AJ83" s="11" t="e">
        <f aca="false">IF(Time!AJ29=1,INDEX(Funding!$J$64:$BJ$64,1,Time!$F$13),Time!AJ30*(AJ81-AJ82))</f>
        <v>#VALUE!</v>
      </c>
      <c r="AK83" s="11" t="e">
        <f aca="false">IF(Time!AK29=1,INDEX(Funding!$J$64:$BJ$64,1,Time!$F$13),Time!AK30*(AK81-AK82))</f>
        <v>#VALUE!</v>
      </c>
      <c r="AL83" s="11" t="e">
        <f aca="false">IF(Time!AL29=1,INDEX(Funding!$J$64:$BJ$64,1,Time!$F$13),Time!AL30*(AL81-AL82))</f>
        <v>#VALUE!</v>
      </c>
      <c r="AM83" s="11" t="e">
        <f aca="false">IF(Time!AM29=1,INDEX(Funding!$J$64:$BJ$64,1,Time!$F$13),Time!AM30*(AM81-AM82))</f>
        <v>#VALUE!</v>
      </c>
      <c r="AN83" s="11" t="e">
        <f aca="false">IF(Time!AN29=1,INDEX(Funding!$J$64:$BJ$64,1,Time!$F$13),Time!AN30*(AN81-AN82))</f>
        <v>#VALUE!</v>
      </c>
      <c r="AO83" s="11" t="e">
        <f aca="false">IF(Time!AO29=1,INDEX(Funding!$J$64:$BJ$64,1,Time!$F$13),Time!AO30*(AO81-AO82))</f>
        <v>#VALUE!</v>
      </c>
      <c r="AP83" s="11" t="e">
        <f aca="false">IF(Time!AP29=1,INDEX(Funding!$J$64:$BJ$64,1,Time!$F$13),Time!AP30*(AP81-AP82))</f>
        <v>#VALUE!</v>
      </c>
      <c r="AQ83" s="11" t="e">
        <f aca="false">IF(Time!AQ29=1,INDEX(Funding!$J$64:$BJ$64,1,Time!$F$13),Time!AQ30*(AQ81-AQ82))</f>
        <v>#VALUE!</v>
      </c>
      <c r="AR83" s="11" t="e">
        <f aca="false">IF(Time!AR29=1,INDEX(Funding!$J$64:$BJ$64,1,Time!$F$13),Time!AR30*(AR81-AR82))</f>
        <v>#VALUE!</v>
      </c>
      <c r="AS83" s="11" t="e">
        <f aca="false">IF(Time!AS29=1,INDEX(Funding!$J$64:$BJ$64,1,Time!$F$13),Time!AS30*(AS81-AS82))</f>
        <v>#VALUE!</v>
      </c>
      <c r="AT83" s="11" t="e">
        <f aca="false">IF(Time!AT29=1,INDEX(Funding!$J$64:$BJ$64,1,Time!$F$13),Time!AT30*(AT81-AT82))</f>
        <v>#VALUE!</v>
      </c>
      <c r="AU83" s="11" t="e">
        <f aca="false">IF(Time!AU29=1,INDEX(Funding!$J$64:$BJ$64,1,Time!$F$13),Time!AU30*(AU81-AU82))</f>
        <v>#VALUE!</v>
      </c>
      <c r="AV83" s="11" t="e">
        <f aca="false">IF(Time!AV29=1,INDEX(Funding!$J$64:$BJ$64,1,Time!$F$13),Time!AV30*(AV81-AV82))</f>
        <v>#VALUE!</v>
      </c>
      <c r="AW83" s="11" t="e">
        <f aca="false">IF(Time!AW29=1,INDEX(Funding!$J$64:$BJ$64,1,Time!$F$13),Time!AW30*(AW81-AW82))</f>
        <v>#VALUE!</v>
      </c>
      <c r="AX83" s="11" t="e">
        <f aca="false">IF(Time!AX29=1,INDEX(Funding!$J$64:$BJ$64,1,Time!$F$13),Time!AX30*(AX81-AX82))</f>
        <v>#VALUE!</v>
      </c>
      <c r="AY83" s="11" t="e">
        <f aca="false">IF(Time!AY29=1,INDEX(Funding!$J$64:$BJ$64,1,Time!$F$13),Time!AY30*(AY81-AY82))</f>
        <v>#VALUE!</v>
      </c>
      <c r="AZ83" s="11" t="e">
        <f aca="false">IF(Time!AZ29=1,INDEX(Funding!$J$64:$BJ$64,1,Time!$F$13),Time!AZ30*(AZ81-AZ82))</f>
        <v>#VALUE!</v>
      </c>
      <c r="BA83" s="11" t="e">
        <f aca="false">IF(Time!BA29=1,INDEX(Funding!$J$64:$BJ$64,1,Time!$F$13),Time!BA30*(BA81-BA82))</f>
        <v>#VALUE!</v>
      </c>
      <c r="BB83" s="11" t="e">
        <f aca="false">IF(Time!BB29=1,INDEX(Funding!$J$64:$BJ$64,1,Time!$F$13),Time!BB30*(BB81-BB82))</f>
        <v>#VALUE!</v>
      </c>
      <c r="BC83" s="11" t="e">
        <f aca="false">IF(Time!BC29=1,INDEX(Funding!$J$64:$BJ$64,1,Time!$F$13),Time!BC30*(BC81-BC82))</f>
        <v>#VALUE!</v>
      </c>
      <c r="BD83" s="11" t="e">
        <f aca="false">IF(Time!BD29=1,INDEX(Funding!$J$64:$BJ$64,1,Time!$F$13),Time!BD30*(BD81-BD82))</f>
        <v>#VALUE!</v>
      </c>
      <c r="BE83" s="11" t="e">
        <f aca="false">IF(Time!BE29=1,INDEX(Funding!$J$64:$BJ$64,1,Time!$F$13),Time!BE30*(BE81-BE82))</f>
        <v>#VALUE!</v>
      </c>
      <c r="BF83" s="11" t="e">
        <f aca="false">IF(Time!BF29=1,INDEX(Funding!$J$64:$BJ$64,1,Time!$F$13),Time!BF30*(BF81-BF82))</f>
        <v>#VALUE!</v>
      </c>
      <c r="BG83" s="11" t="e">
        <f aca="false">IF(Time!BG29=1,INDEX(Funding!$J$64:$BJ$64,1,Time!$F$13),Time!BG30*(BG81-BG82))</f>
        <v>#VALUE!</v>
      </c>
      <c r="BH83" s="11" t="e">
        <f aca="false">IF(Time!BH29=1,INDEX(Funding!$J$64:$BJ$64,1,Time!$F$13),Time!BH30*(BH81-BH82))</f>
        <v>#VALUE!</v>
      </c>
      <c r="BI83" s="11" t="e">
        <f aca="false">IF(Time!BI29=1,INDEX(Funding!$J$64:$BJ$64,1,Time!$F$13),Time!BI30*(BI81-BI82))</f>
        <v>#VALUE!</v>
      </c>
      <c r="BJ83" s="11" t="e">
        <f aca="false">IF(Time!BJ29=1,INDEX(Funding!$J$64:$BJ$64,1,Time!$F$13),Time!BJ30*(BJ81-BJ82))</f>
        <v>#VALUE!</v>
      </c>
      <c r="BK83" s="11" t="e">
        <f aca="false">IF(Time!BK29=1,INDEX(Funding!$J$64:$BJ$64,1,Time!$F$13),Time!BK30*(BK81-BK82))</f>
        <v>#VALUE!</v>
      </c>
      <c r="BL83" s="11" t="e">
        <f aca="false">IF(Time!BL29=1,INDEX(Funding!$J$64:$BJ$64,1,Time!$F$13),Time!BL30*(BL81-BL82))</f>
        <v>#VALUE!</v>
      </c>
      <c r="BM83" s="11" t="e">
        <f aca="false">IF(Time!BM29=1,INDEX(Funding!$J$64:$BJ$64,1,Time!$F$13),Time!BM30*(BM81-BM82))</f>
        <v>#VALUE!</v>
      </c>
      <c r="BN83" s="11" t="e">
        <f aca="false">IF(Time!BN29=1,INDEX(Funding!$J$64:$BJ$64,1,Time!$F$13),Time!BN30*(BN81-BN82))</f>
        <v>#VALUE!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e">
        <f aca="false">Time!K30*J98</f>
        <v>#VALUE!</v>
      </c>
      <c r="L85" s="11" t="e">
        <f aca="false">Time!L30*K98</f>
        <v>#VALUE!</v>
      </c>
      <c r="M85" s="11" t="e">
        <f aca="false">Time!M30*L98</f>
        <v>#VALUE!</v>
      </c>
      <c r="N85" s="11" t="e">
        <f aca="false">Time!N30*M98</f>
        <v>#VALUE!</v>
      </c>
      <c r="O85" s="11" t="e">
        <f aca="false">Time!O30*N98</f>
        <v>#VALUE!</v>
      </c>
      <c r="P85" s="11" t="n">
        <f aca="false">Time!P30*O98</f>
        <v>1.74223968585352E-011</v>
      </c>
      <c r="Q85" s="11" t="e">
        <f aca="false">Time!Q30*P98</f>
        <v>#VALUE!</v>
      </c>
      <c r="R85" s="11" t="e">
        <f aca="false">Time!R30*Q98</f>
        <v>#VALUE!</v>
      </c>
      <c r="S85" s="11" t="e">
        <f aca="false">Time!S30*R98</f>
        <v>#VALUE!</v>
      </c>
      <c r="T85" s="11" t="e">
        <f aca="false">Time!T30*S98</f>
        <v>#VALUE!</v>
      </c>
      <c r="U85" s="11" t="e">
        <f aca="false">Time!U30*T98</f>
        <v>#VALUE!</v>
      </c>
      <c r="V85" s="11" t="e">
        <f aca="false">Time!V30*U98</f>
        <v>#VALUE!</v>
      </c>
      <c r="W85" s="11" t="e">
        <f aca="false">Time!W30*V98</f>
        <v>#VALUE!</v>
      </c>
      <c r="X85" s="11" t="e">
        <f aca="false">Time!X30*W98</f>
        <v>#VALUE!</v>
      </c>
      <c r="Y85" s="11" t="e">
        <f aca="false">Time!Y30*X98</f>
        <v>#VALUE!</v>
      </c>
      <c r="Z85" s="11" t="e">
        <f aca="false">Time!Z30*Y98</f>
        <v>#VALUE!</v>
      </c>
      <c r="AA85" s="11" t="e">
        <f aca="false">Time!AA30*Z98</f>
        <v>#VALUE!</v>
      </c>
      <c r="AB85" s="11" t="e">
        <f aca="false">Time!AB30*AA98</f>
        <v>#VALUE!</v>
      </c>
      <c r="AC85" s="11" t="e">
        <f aca="false">Time!AC30*AB98</f>
        <v>#VALUE!</v>
      </c>
      <c r="AD85" s="11" t="e">
        <f aca="false">Time!AD30*AC98</f>
        <v>#VALUE!</v>
      </c>
      <c r="AE85" s="11" t="e">
        <f aca="false">Time!AE30*AD98</f>
        <v>#VALUE!</v>
      </c>
      <c r="AF85" s="11" t="e">
        <f aca="false">Time!AF30*AE98</f>
        <v>#VALUE!</v>
      </c>
      <c r="AG85" s="11" t="e">
        <f aca="false">Time!AG30*AF98</f>
        <v>#VALUE!</v>
      </c>
      <c r="AH85" s="11" t="e">
        <f aca="false">Time!AH30*AG98</f>
        <v>#VALUE!</v>
      </c>
      <c r="AI85" s="11" t="e">
        <f aca="false">Time!AI30*AH98</f>
        <v>#VALUE!</v>
      </c>
      <c r="AJ85" s="11" t="e">
        <f aca="false">Time!AJ30*AI98</f>
        <v>#VALUE!</v>
      </c>
      <c r="AK85" s="11" t="e">
        <f aca="false">Time!AK30*AJ98</f>
        <v>#VALUE!</v>
      </c>
      <c r="AL85" s="11" t="e">
        <f aca="false">Time!AL30*AK98</f>
        <v>#VALUE!</v>
      </c>
      <c r="AM85" s="11" t="e">
        <f aca="false">Time!AM30*AL98</f>
        <v>#VALUE!</v>
      </c>
      <c r="AN85" s="11" t="e">
        <f aca="false">Time!AN30*AM98</f>
        <v>#VALUE!</v>
      </c>
      <c r="AO85" s="11" t="e">
        <f aca="false">Time!AO30*AN98</f>
        <v>#VALUE!</v>
      </c>
      <c r="AP85" s="11" t="e">
        <f aca="false">Time!AP30*AO98</f>
        <v>#VALUE!</v>
      </c>
      <c r="AQ85" s="11" t="e">
        <f aca="false">Time!AQ30*AP98</f>
        <v>#VALUE!</v>
      </c>
      <c r="AR85" s="11" t="e">
        <f aca="false">Time!AR30*AQ98</f>
        <v>#VALUE!</v>
      </c>
      <c r="AS85" s="11" t="e">
        <f aca="false">Time!AS30*AR98</f>
        <v>#VALUE!</v>
      </c>
      <c r="AT85" s="11" t="e">
        <f aca="false">Time!AT30*AS98</f>
        <v>#VALUE!</v>
      </c>
      <c r="AU85" s="11" t="e">
        <f aca="false">Time!AU30*AT98</f>
        <v>#VALUE!</v>
      </c>
      <c r="AV85" s="11" t="e">
        <f aca="false">Time!AV30*AU98</f>
        <v>#VALUE!</v>
      </c>
      <c r="AW85" s="11" t="e">
        <f aca="false">Time!AW30*AV98</f>
        <v>#VALUE!</v>
      </c>
      <c r="AX85" s="11" t="e">
        <f aca="false">Time!AX30*AW98</f>
        <v>#VALUE!</v>
      </c>
      <c r="AY85" s="11" t="e">
        <f aca="false">Time!AY30*AX98</f>
        <v>#VALUE!</v>
      </c>
      <c r="AZ85" s="11" t="e">
        <f aca="false">Time!AZ30*AY98</f>
        <v>#VALUE!</v>
      </c>
      <c r="BA85" s="11" t="e">
        <f aca="false">Time!BA30*AZ98</f>
        <v>#VALUE!</v>
      </c>
      <c r="BB85" s="11" t="e">
        <f aca="false">Time!BB30*BA98</f>
        <v>#VALUE!</v>
      </c>
      <c r="BC85" s="11" t="e">
        <f aca="false">Time!BC30*BB98</f>
        <v>#VALUE!</v>
      </c>
      <c r="BD85" s="11" t="e">
        <f aca="false">Time!BD30*BC98</f>
        <v>#VALUE!</v>
      </c>
      <c r="BE85" s="11" t="e">
        <f aca="false">Time!BE30*BD98</f>
        <v>#VALUE!</v>
      </c>
      <c r="BF85" s="11" t="e">
        <f aca="false">Time!BF30*BE98</f>
        <v>#VALUE!</v>
      </c>
      <c r="BG85" s="11" t="e">
        <f aca="false">Time!BG30*BF98</f>
        <v>#VALUE!</v>
      </c>
      <c r="BH85" s="11" t="e">
        <f aca="false">Time!BH30*BG98</f>
        <v>#VALUE!</v>
      </c>
      <c r="BI85" s="11" t="e">
        <f aca="false">Time!BI30*BH98</f>
        <v>#VALUE!</v>
      </c>
      <c r="BJ85" s="11" t="e">
        <f aca="false">Time!BJ30*BI98</f>
        <v>#VALUE!</v>
      </c>
      <c r="BK85" s="11" t="e">
        <f aca="false">Time!BK30*BJ98</f>
        <v>#VALUE!</v>
      </c>
      <c r="BL85" s="11" t="e">
        <f aca="false">Time!BL30*BK98</f>
        <v>#VALUE!</v>
      </c>
      <c r="BM85" s="11" t="e">
        <f aca="false">Time!BM30*BL98</f>
        <v>#VALUE!</v>
      </c>
      <c r="BN85" s="11" t="e">
        <f aca="false">Time!BN30*BM98</f>
        <v>#VALUE!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e">
        <f aca="false">J95</f>
        <v>#VALUE!</v>
      </c>
      <c r="L86" s="11" t="e">
        <f aca="false">K95</f>
        <v>#VALUE!</v>
      </c>
      <c r="M86" s="11" t="e">
        <f aca="false">L95</f>
        <v>#VALUE!</v>
      </c>
      <c r="N86" s="11" t="e">
        <f aca="false">M95</f>
        <v>#VALUE!</v>
      </c>
      <c r="O86" s="11" t="e">
        <f aca="false">N95</f>
        <v>#VALUE!</v>
      </c>
      <c r="P86" s="11" t="e">
        <f aca="false">O95</f>
        <v>#VALUE!</v>
      </c>
      <c r="Q86" s="11" t="e">
        <f aca="false">P95</f>
        <v>#VALUE!</v>
      </c>
      <c r="R86" s="11" t="e">
        <f aca="false">Q95</f>
        <v>#VALUE!</v>
      </c>
      <c r="S86" s="11" t="e">
        <f aca="false">R95</f>
        <v>#VALUE!</v>
      </c>
      <c r="T86" s="11" t="e">
        <f aca="false">S95</f>
        <v>#VALUE!</v>
      </c>
      <c r="U86" s="11" t="e">
        <f aca="false">T95</f>
        <v>#VALUE!</v>
      </c>
      <c r="V86" s="11" t="e">
        <f aca="false">U95</f>
        <v>#VALUE!</v>
      </c>
      <c r="W86" s="11" t="e">
        <f aca="false">V95</f>
        <v>#VALUE!</v>
      </c>
      <c r="X86" s="11" t="e">
        <f aca="false">W95</f>
        <v>#VALUE!</v>
      </c>
      <c r="Y86" s="11" t="e">
        <f aca="false">X95</f>
        <v>#VALUE!</v>
      </c>
      <c r="Z86" s="11" t="e">
        <f aca="false">Y95</f>
        <v>#VALUE!</v>
      </c>
      <c r="AA86" s="11" t="e">
        <f aca="false">Z95</f>
        <v>#VALUE!</v>
      </c>
      <c r="AB86" s="11" t="e">
        <f aca="false">AA95</f>
        <v>#VALUE!</v>
      </c>
      <c r="AC86" s="11" t="e">
        <f aca="false">AB95</f>
        <v>#VALUE!</v>
      </c>
      <c r="AD86" s="11" t="e">
        <f aca="false">AC95</f>
        <v>#VALUE!</v>
      </c>
      <c r="AE86" s="11" t="e">
        <f aca="false">AD95</f>
        <v>#VALUE!</v>
      </c>
      <c r="AF86" s="11" t="e">
        <f aca="false">AE95</f>
        <v>#VALUE!</v>
      </c>
      <c r="AG86" s="11" t="e">
        <f aca="false">AF95</f>
        <v>#VALUE!</v>
      </c>
      <c r="AH86" s="11" t="e">
        <f aca="false">AG95</f>
        <v>#VALUE!</v>
      </c>
      <c r="AI86" s="11" t="e">
        <f aca="false">AH95</f>
        <v>#VALUE!</v>
      </c>
      <c r="AJ86" s="11" t="e">
        <f aca="false">AI95</f>
        <v>#VALUE!</v>
      </c>
      <c r="AK86" s="11" t="e">
        <f aca="false">AJ95</f>
        <v>#VALUE!</v>
      </c>
      <c r="AL86" s="11" t="e">
        <f aca="false">AK95</f>
        <v>#VALUE!</v>
      </c>
      <c r="AM86" s="11" t="e">
        <f aca="false">AL95</f>
        <v>#VALUE!</v>
      </c>
      <c r="AN86" s="11" t="e">
        <f aca="false">AM95</f>
        <v>#VALUE!</v>
      </c>
      <c r="AO86" s="11" t="e">
        <f aca="false">AN95</f>
        <v>#VALUE!</v>
      </c>
      <c r="AP86" s="11" t="e">
        <f aca="false">AO95</f>
        <v>#VALUE!</v>
      </c>
      <c r="AQ86" s="11" t="e">
        <f aca="false">AP95</f>
        <v>#VALUE!</v>
      </c>
      <c r="AR86" s="11" t="e">
        <f aca="false">AQ95</f>
        <v>#VALUE!</v>
      </c>
      <c r="AS86" s="11" t="e">
        <f aca="false">AR95</f>
        <v>#VALUE!</v>
      </c>
      <c r="AT86" s="11" t="e">
        <f aca="false">AS95</f>
        <v>#VALUE!</v>
      </c>
      <c r="AU86" s="11" t="e">
        <f aca="false">AT95</f>
        <v>#VALUE!</v>
      </c>
      <c r="AV86" s="11" t="e">
        <f aca="false">AU95</f>
        <v>#VALUE!</v>
      </c>
      <c r="AW86" s="11" t="e">
        <f aca="false">AV95</f>
        <v>#VALUE!</v>
      </c>
      <c r="AX86" s="11" t="e">
        <f aca="false">AW95</f>
        <v>#VALUE!</v>
      </c>
      <c r="AY86" s="11" t="e">
        <f aca="false">AX95</f>
        <v>#VALUE!</v>
      </c>
      <c r="AZ86" s="11" t="e">
        <f aca="false">AY95</f>
        <v>#VALUE!</v>
      </c>
      <c r="BA86" s="11" t="e">
        <f aca="false">AZ95</f>
        <v>#VALUE!</v>
      </c>
      <c r="BB86" s="11" t="e">
        <f aca="false">BA95</f>
        <v>#VALUE!</v>
      </c>
      <c r="BC86" s="11" t="e">
        <f aca="false">BB95</f>
        <v>#VALUE!</v>
      </c>
      <c r="BD86" s="11" t="e">
        <f aca="false">BC95</f>
        <v>#VALUE!</v>
      </c>
      <c r="BE86" s="11" t="e">
        <f aca="false">BD95</f>
        <v>#VALUE!</v>
      </c>
      <c r="BF86" s="11" t="e">
        <f aca="false">BE95</f>
        <v>#VALUE!</v>
      </c>
      <c r="BG86" s="11" t="e">
        <f aca="false">BF95</f>
        <v>#VALUE!</v>
      </c>
      <c r="BH86" s="11" t="e">
        <f aca="false">BG95</f>
        <v>#VALUE!</v>
      </c>
      <c r="BI86" s="11" t="e">
        <f aca="false">BH95</f>
        <v>#VALUE!</v>
      </c>
      <c r="BJ86" s="11" t="e">
        <f aca="false">BI95</f>
        <v>#VALUE!</v>
      </c>
      <c r="BK86" s="11" t="e">
        <f aca="false">BJ95</f>
        <v>#VALUE!</v>
      </c>
      <c r="BL86" s="11" t="e">
        <f aca="false">BK95</f>
        <v>#VALUE!</v>
      </c>
      <c r="BM86" s="11" t="e">
        <f aca="false">BL95</f>
        <v>#VALUE!</v>
      </c>
      <c r="BN86" s="11" t="e">
        <f aca="false">BM95</f>
        <v>#VALUE!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e">
        <f aca="false">SUM(J87:BN87)</f>
        <v>#VALUE!</v>
      </c>
      <c r="J87" s="11" t="n">
        <f aca="false">J85*J14</f>
        <v>0</v>
      </c>
      <c r="K87" s="11" t="e">
        <f aca="false">K85*K14</f>
        <v>#VALUE!</v>
      </c>
      <c r="L87" s="11" t="e">
        <f aca="false">L85*L14</f>
        <v>#VALUE!</v>
      </c>
      <c r="M87" s="11" t="e">
        <f aca="false">M85*M14</f>
        <v>#VALUE!</v>
      </c>
      <c r="N87" s="11" t="e">
        <f aca="false">N85*N14</f>
        <v>#VALUE!</v>
      </c>
      <c r="O87" s="11" t="e">
        <f aca="false">O85*O14</f>
        <v>#VALUE!</v>
      </c>
      <c r="P87" s="11" t="n">
        <f aca="false">P85*P14</f>
        <v>6.90654784622306E-013</v>
      </c>
      <c r="Q87" s="11" t="e">
        <f aca="false">Q85*Q14</f>
        <v>#VALUE!</v>
      </c>
      <c r="R87" s="11" t="e">
        <f aca="false">R85*R14</f>
        <v>#VALUE!</v>
      </c>
      <c r="S87" s="11" t="e">
        <f aca="false">S85*S14</f>
        <v>#VALUE!</v>
      </c>
      <c r="T87" s="11" t="e">
        <f aca="false">T85*T14</f>
        <v>#VALUE!</v>
      </c>
      <c r="U87" s="11" t="e">
        <f aca="false">U85*U14</f>
        <v>#VALUE!</v>
      </c>
      <c r="V87" s="11" t="e">
        <f aca="false">V85*V14</f>
        <v>#VALUE!</v>
      </c>
      <c r="W87" s="11" t="e">
        <f aca="false">W85*W14</f>
        <v>#VALUE!</v>
      </c>
      <c r="X87" s="11" t="e">
        <f aca="false">X85*X14</f>
        <v>#VALUE!</v>
      </c>
      <c r="Y87" s="11" t="e">
        <f aca="false">Y85*Y14</f>
        <v>#VALUE!</v>
      </c>
      <c r="Z87" s="11" t="e">
        <f aca="false">Z85*Z14</f>
        <v>#VALUE!</v>
      </c>
      <c r="AA87" s="11" t="e">
        <f aca="false">AA85*AA14</f>
        <v>#VALUE!</v>
      </c>
      <c r="AB87" s="11" t="e">
        <f aca="false">AB85*AB14</f>
        <v>#VALUE!</v>
      </c>
      <c r="AC87" s="11" t="e">
        <f aca="false">AC85*AC14</f>
        <v>#VALUE!</v>
      </c>
      <c r="AD87" s="11" t="e">
        <f aca="false">AD85*AD14</f>
        <v>#VALUE!</v>
      </c>
      <c r="AE87" s="11" t="e">
        <f aca="false">AE85*AE14</f>
        <v>#VALUE!</v>
      </c>
      <c r="AF87" s="11" t="e">
        <f aca="false">AF85*AF14</f>
        <v>#VALUE!</v>
      </c>
      <c r="AG87" s="11" t="e">
        <f aca="false">AG85*AG14</f>
        <v>#VALUE!</v>
      </c>
      <c r="AH87" s="11" t="e">
        <f aca="false">AH85*AH14</f>
        <v>#VALUE!</v>
      </c>
      <c r="AI87" s="11" t="e">
        <f aca="false">AI85*AI14</f>
        <v>#VALUE!</v>
      </c>
      <c r="AJ87" s="11" t="e">
        <f aca="false">AJ85*AJ14</f>
        <v>#VALUE!</v>
      </c>
      <c r="AK87" s="11" t="e">
        <f aca="false">AK85*AK14</f>
        <v>#VALUE!</v>
      </c>
      <c r="AL87" s="11" t="e">
        <f aca="false">AL85*AL14</f>
        <v>#VALUE!</v>
      </c>
      <c r="AM87" s="11" t="e">
        <f aca="false">AM85*AM14</f>
        <v>#VALUE!</v>
      </c>
      <c r="AN87" s="11" t="e">
        <f aca="false">AN85*AN14</f>
        <v>#VALUE!</v>
      </c>
      <c r="AO87" s="11" t="e">
        <f aca="false">AO85*AO14</f>
        <v>#VALUE!</v>
      </c>
      <c r="AP87" s="11" t="e">
        <f aca="false">AP85*AP14</f>
        <v>#VALUE!</v>
      </c>
      <c r="AQ87" s="11" t="e">
        <f aca="false">AQ85*AQ14</f>
        <v>#VALUE!</v>
      </c>
      <c r="AR87" s="11" t="e">
        <f aca="false">AR85*AR14</f>
        <v>#VALUE!</v>
      </c>
      <c r="AS87" s="11" t="e">
        <f aca="false">AS85*AS14</f>
        <v>#VALUE!</v>
      </c>
      <c r="AT87" s="11" t="e">
        <f aca="false">AT85*AT14</f>
        <v>#VALUE!</v>
      </c>
      <c r="AU87" s="11" t="e">
        <f aca="false">AU85*AU14</f>
        <v>#VALUE!</v>
      </c>
      <c r="AV87" s="11" t="e">
        <f aca="false">AV85*AV14</f>
        <v>#VALUE!</v>
      </c>
      <c r="AW87" s="11" t="e">
        <f aca="false">AW85*AW14</f>
        <v>#VALUE!</v>
      </c>
      <c r="AX87" s="11" t="e">
        <f aca="false">AX85*AX14</f>
        <v>#VALUE!</v>
      </c>
      <c r="AY87" s="11" t="e">
        <f aca="false">AY85*AY14</f>
        <v>#VALUE!</v>
      </c>
      <c r="AZ87" s="11" t="e">
        <f aca="false">AZ85*AZ14</f>
        <v>#VALUE!</v>
      </c>
      <c r="BA87" s="11" t="e">
        <f aca="false">BA85*BA14</f>
        <v>#VALUE!</v>
      </c>
      <c r="BB87" s="11" t="e">
        <f aca="false">BB85*BB14</f>
        <v>#VALUE!</v>
      </c>
      <c r="BC87" s="11" t="e">
        <f aca="false">BC85*BC14</f>
        <v>#VALUE!</v>
      </c>
      <c r="BD87" s="11" t="e">
        <f aca="false">BD85*BD14</f>
        <v>#VALUE!</v>
      </c>
      <c r="BE87" s="11" t="e">
        <f aca="false">BE85*BE14</f>
        <v>#VALUE!</v>
      </c>
      <c r="BF87" s="11" t="e">
        <f aca="false">BF85*BF14</f>
        <v>#VALUE!</v>
      </c>
      <c r="BG87" s="11" t="e">
        <f aca="false">BG85*BG14</f>
        <v>#VALUE!</v>
      </c>
      <c r="BH87" s="11" t="e">
        <f aca="false">BH85*BH14</f>
        <v>#VALUE!</v>
      </c>
      <c r="BI87" s="11" t="e">
        <f aca="false">BI85*BI14</f>
        <v>#VALUE!</v>
      </c>
      <c r="BJ87" s="11" t="e">
        <f aca="false">BJ85*BJ14</f>
        <v>#VALUE!</v>
      </c>
      <c r="BK87" s="11" t="e">
        <f aca="false">BK85*BK14</f>
        <v>#VALUE!</v>
      </c>
      <c r="BL87" s="11" t="e">
        <f aca="false">BL85*BL14</f>
        <v>#VALUE!</v>
      </c>
      <c r="BM87" s="11" t="e">
        <f aca="false">BM85*BM14</f>
        <v>#VALUE!</v>
      </c>
      <c r="BN87" s="11" t="e">
        <f aca="false">BN85*BN14</f>
        <v>#VALUE!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e">
        <f aca="false">SUM(J88:BN88)</f>
        <v>#VALUE!</v>
      </c>
      <c r="J88" s="11" t="n">
        <f aca="false">Time!J30*(J85-J86)*J19</f>
        <v>0</v>
      </c>
      <c r="K88" s="11" t="e">
        <f aca="false">Time!K30*(K85-K86)*K19</f>
        <v>#VALUE!</v>
      </c>
      <c r="L88" s="11" t="e">
        <f aca="false">Time!L30*(L85-L86)*L19</f>
        <v>#VALUE!</v>
      </c>
      <c r="M88" s="11" t="e">
        <f aca="false">Time!M30*(M85-M86)*M19</f>
        <v>#VALUE!</v>
      </c>
      <c r="N88" s="11" t="e">
        <f aca="false">Time!N30*(N85-N86)*N19</f>
        <v>#VALUE!</v>
      </c>
      <c r="O88" s="11" t="e">
        <f aca="false">Time!O30*(O85-O86)*O19</f>
        <v>#VALUE!</v>
      </c>
      <c r="P88" s="11" t="e">
        <f aca="false">Time!P30*(P85-P86)*P19</f>
        <v>#VALUE!</v>
      </c>
      <c r="Q88" s="11" t="e">
        <f aca="false">Time!Q30*(Q85-Q86)*Q19</f>
        <v>#VALUE!</v>
      </c>
      <c r="R88" s="11" t="e">
        <f aca="false">Time!R30*(R85-R86)*R19</f>
        <v>#VALUE!</v>
      </c>
      <c r="S88" s="11" t="e">
        <f aca="false">Time!S30*(S85-S86)*S19</f>
        <v>#VALUE!</v>
      </c>
      <c r="T88" s="11" t="e">
        <f aca="false">Time!T30*(T85-T86)*T19</f>
        <v>#VALUE!</v>
      </c>
      <c r="U88" s="11" t="e">
        <f aca="false">Time!U30*(U85-U86)*U19</f>
        <v>#VALUE!</v>
      </c>
      <c r="V88" s="11" t="e">
        <f aca="false">Time!V30*(V85-V86)*V19</f>
        <v>#VALUE!</v>
      </c>
      <c r="W88" s="11" t="e">
        <f aca="false">Time!W30*(W85-W86)*W19</f>
        <v>#VALUE!</v>
      </c>
      <c r="X88" s="11" t="e">
        <f aca="false">Time!X30*(X85-X86)*X19</f>
        <v>#VALUE!</v>
      </c>
      <c r="Y88" s="11" t="e">
        <f aca="false">Time!Y30*(Y85-Y86)*Y19</f>
        <v>#VALUE!</v>
      </c>
      <c r="Z88" s="11" t="e">
        <f aca="false">Time!Z30*(Z85-Z86)*Z19</f>
        <v>#VALUE!</v>
      </c>
      <c r="AA88" s="11" t="e">
        <f aca="false">Time!AA30*(AA85-AA86)*AA19</f>
        <v>#VALUE!</v>
      </c>
      <c r="AB88" s="11" t="e">
        <f aca="false">Time!AB30*(AB85-AB86)*AB19</f>
        <v>#VALUE!</v>
      </c>
      <c r="AC88" s="11" t="e">
        <f aca="false">Time!AC30*(AC85-AC86)*AC19</f>
        <v>#VALUE!</v>
      </c>
      <c r="AD88" s="11" t="e">
        <f aca="false">Time!AD30*(AD85-AD86)*AD19</f>
        <v>#VALUE!</v>
      </c>
      <c r="AE88" s="11" t="e">
        <f aca="false">Time!AE30*(AE85-AE86)*AE19</f>
        <v>#VALUE!</v>
      </c>
      <c r="AF88" s="11" t="e">
        <f aca="false">Time!AF30*(AF85-AF86)*AF19</f>
        <v>#VALUE!</v>
      </c>
      <c r="AG88" s="11" t="e">
        <f aca="false">Time!AG30*(AG85-AG86)*AG19</f>
        <v>#VALUE!</v>
      </c>
      <c r="AH88" s="11" t="e">
        <f aca="false">Time!AH30*(AH85-AH86)*AH19</f>
        <v>#VALUE!</v>
      </c>
      <c r="AI88" s="11" t="e">
        <f aca="false">Time!AI30*(AI85-AI86)*AI19</f>
        <v>#VALUE!</v>
      </c>
      <c r="AJ88" s="11" t="e">
        <f aca="false">Time!AJ30*(AJ85-AJ86)*AJ19</f>
        <v>#VALUE!</v>
      </c>
      <c r="AK88" s="11" t="e">
        <f aca="false">Time!AK30*(AK85-AK86)*AK19</f>
        <v>#VALUE!</v>
      </c>
      <c r="AL88" s="11" t="e">
        <f aca="false">Time!AL30*(AL85-AL86)*AL19</f>
        <v>#VALUE!</v>
      </c>
      <c r="AM88" s="11" t="e">
        <f aca="false">Time!AM30*(AM85-AM86)*AM19</f>
        <v>#VALUE!</v>
      </c>
      <c r="AN88" s="11" t="e">
        <f aca="false">Time!AN30*(AN85-AN86)*AN19</f>
        <v>#VALUE!</v>
      </c>
      <c r="AO88" s="11" t="e">
        <f aca="false">Time!AO30*(AO85-AO86)*AO19</f>
        <v>#VALUE!</v>
      </c>
      <c r="AP88" s="11" t="e">
        <f aca="false">Time!AP30*(AP85-AP86)*AP19</f>
        <v>#VALUE!</v>
      </c>
      <c r="AQ88" s="11" t="e">
        <f aca="false">Time!AQ30*(AQ85-AQ86)*AQ19</f>
        <v>#VALUE!</v>
      </c>
      <c r="AR88" s="11" t="e">
        <f aca="false">Time!AR30*(AR85-AR86)*AR19</f>
        <v>#VALUE!</v>
      </c>
      <c r="AS88" s="11" t="e">
        <f aca="false">Time!AS30*(AS85-AS86)*AS19</f>
        <v>#VALUE!</v>
      </c>
      <c r="AT88" s="11" t="e">
        <f aca="false">Time!AT30*(AT85-AT86)*AT19</f>
        <v>#VALUE!</v>
      </c>
      <c r="AU88" s="11" t="e">
        <f aca="false">Time!AU30*(AU85-AU86)*AU19</f>
        <v>#VALUE!</v>
      </c>
      <c r="AV88" s="11" t="e">
        <f aca="false">Time!AV30*(AV85-AV86)*AV19</f>
        <v>#VALUE!</v>
      </c>
      <c r="AW88" s="11" t="e">
        <f aca="false">Time!AW30*(AW85-AW86)*AW19</f>
        <v>#VALUE!</v>
      </c>
      <c r="AX88" s="11" t="e">
        <f aca="false">Time!AX30*(AX85-AX86)*AX19</f>
        <v>#VALUE!</v>
      </c>
      <c r="AY88" s="11" t="e">
        <f aca="false">Time!AY30*(AY85-AY86)*AY19</f>
        <v>#VALUE!</v>
      </c>
      <c r="AZ88" s="11" t="e">
        <f aca="false">Time!AZ30*(AZ85-AZ86)*AZ19</f>
        <v>#VALUE!</v>
      </c>
      <c r="BA88" s="11" t="e">
        <f aca="false">Time!BA30*(BA85-BA86)*BA19</f>
        <v>#VALUE!</v>
      </c>
      <c r="BB88" s="11" t="e">
        <f aca="false">Time!BB30*(BB85-BB86)*BB19</f>
        <v>#VALUE!</v>
      </c>
      <c r="BC88" s="11" t="e">
        <f aca="false">Time!BC30*(BC85-BC86)*BC19</f>
        <v>#VALUE!</v>
      </c>
      <c r="BD88" s="11" t="e">
        <f aca="false">Time!BD30*(BD85-BD86)*BD19</f>
        <v>#VALUE!</v>
      </c>
      <c r="BE88" s="11" t="e">
        <f aca="false">Time!BE30*(BE85-BE86)*BE19</f>
        <v>#VALUE!</v>
      </c>
      <c r="BF88" s="11" t="e">
        <f aca="false">Time!BF30*(BF85-BF86)*BF19</f>
        <v>#VALUE!</v>
      </c>
      <c r="BG88" s="11" t="e">
        <f aca="false">Time!BG30*(BG85-BG86)*BG19</f>
        <v>#VALUE!</v>
      </c>
      <c r="BH88" s="11" t="e">
        <f aca="false">Time!BH30*(BH85-BH86)*BH19</f>
        <v>#VALUE!</v>
      </c>
      <c r="BI88" s="11" t="e">
        <f aca="false">Time!BI30*(BI85-BI86)*BI19</f>
        <v>#VALUE!</v>
      </c>
      <c r="BJ88" s="11" t="e">
        <f aca="false">Time!BJ30*(BJ85-BJ86)*BJ19</f>
        <v>#VALUE!</v>
      </c>
      <c r="BK88" s="11" t="e">
        <f aca="false">Time!BK30*(BK85-BK86)*BK19</f>
        <v>#VALUE!</v>
      </c>
      <c r="BL88" s="11" t="e">
        <f aca="false">Time!BL30*(BL85-BL86)*BL19</f>
        <v>#VALUE!</v>
      </c>
      <c r="BM88" s="11" t="e">
        <f aca="false">Time!BM30*(BM85-BM86)*BM19</f>
        <v>#VALUE!</v>
      </c>
      <c r="BN88" s="11" t="e">
        <f aca="false">Time!BN30*(BN85-BN86)*BN19</f>
        <v>#VALUE!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e">
        <f aca="false">SUM(J89:BN89)</f>
        <v>#VALUE!</v>
      </c>
      <c r="J89" s="11" t="n">
        <f aca="false">J21*Inputs!$F$191*J88</f>
        <v>0</v>
      </c>
      <c r="K89" s="11" t="e">
        <f aca="false">K21*Inputs!$F$191*K88</f>
        <v>#VALUE!</v>
      </c>
      <c r="L89" s="11" t="e">
        <f aca="false">L21*Inputs!$F$191*L88</f>
        <v>#VALUE!</v>
      </c>
      <c r="M89" s="11" t="e">
        <f aca="false">M21*Inputs!$F$191*M88</f>
        <v>#VALUE!</v>
      </c>
      <c r="N89" s="11" t="e">
        <f aca="false">N21*Inputs!$F$191*N88</f>
        <v>#VALUE!</v>
      </c>
      <c r="O89" s="11" t="e">
        <f aca="false">O21*Inputs!$F$191*O88</f>
        <v>#VALUE!</v>
      </c>
      <c r="P89" s="11" t="e">
        <f aca="false">P21*Inputs!$F$191*P88</f>
        <v>#VALUE!</v>
      </c>
      <c r="Q89" s="11" t="e">
        <f aca="false">Q21*Inputs!$F$191*Q88</f>
        <v>#VALUE!</v>
      </c>
      <c r="R89" s="11" t="e">
        <f aca="false">R21*Inputs!$F$191*R88</f>
        <v>#VALUE!</v>
      </c>
      <c r="S89" s="11" t="e">
        <f aca="false">S21*Inputs!$F$191*S88</f>
        <v>#VALUE!</v>
      </c>
      <c r="T89" s="11" t="e">
        <f aca="false">T21*Inputs!$F$191*T88</f>
        <v>#VALUE!</v>
      </c>
      <c r="U89" s="11" t="e">
        <f aca="false">U21*Inputs!$F$191*U88</f>
        <v>#VALUE!</v>
      </c>
      <c r="V89" s="11" t="e">
        <f aca="false">V21*Inputs!$F$191*V88</f>
        <v>#VALUE!</v>
      </c>
      <c r="W89" s="11" t="e">
        <f aca="false">W21*Inputs!$F$191*W88</f>
        <v>#VALUE!</v>
      </c>
      <c r="X89" s="11" t="e">
        <f aca="false">X21*Inputs!$F$191*X88</f>
        <v>#VALUE!</v>
      </c>
      <c r="Y89" s="11" t="e">
        <f aca="false">Y21*Inputs!$F$191*Y88</f>
        <v>#VALUE!</v>
      </c>
      <c r="Z89" s="11" t="e">
        <f aca="false">Z21*Inputs!$F$191*Z88</f>
        <v>#VALUE!</v>
      </c>
      <c r="AA89" s="11" t="e">
        <f aca="false">AA21*Inputs!$F$191*AA88</f>
        <v>#VALUE!</v>
      </c>
      <c r="AB89" s="11" t="e">
        <f aca="false">AB21*Inputs!$F$191*AB88</f>
        <v>#VALUE!</v>
      </c>
      <c r="AC89" s="11" t="e">
        <f aca="false">AC21*Inputs!$F$191*AC88</f>
        <v>#VALUE!</v>
      </c>
      <c r="AD89" s="11" t="e">
        <f aca="false">AD21*Inputs!$F$191*AD88</f>
        <v>#VALUE!</v>
      </c>
      <c r="AE89" s="11" t="e">
        <f aca="false">AE21*Inputs!$F$191*AE88</f>
        <v>#VALUE!</v>
      </c>
      <c r="AF89" s="11" t="e">
        <f aca="false">AF21*Inputs!$F$191*AF88</f>
        <v>#VALUE!</v>
      </c>
      <c r="AG89" s="11" t="e">
        <f aca="false">AG21*Inputs!$F$191*AG88</f>
        <v>#VALUE!</v>
      </c>
      <c r="AH89" s="11" t="e">
        <f aca="false">AH21*Inputs!$F$191*AH88</f>
        <v>#VALUE!</v>
      </c>
      <c r="AI89" s="11" t="e">
        <f aca="false">AI21*Inputs!$F$191*AI88</f>
        <v>#VALUE!</v>
      </c>
      <c r="AJ89" s="11" t="e">
        <f aca="false">AJ21*Inputs!$F$191*AJ88</f>
        <v>#VALUE!</v>
      </c>
      <c r="AK89" s="11" t="e">
        <f aca="false">AK21*Inputs!$F$191*AK88</f>
        <v>#VALUE!</v>
      </c>
      <c r="AL89" s="11" t="e">
        <f aca="false">AL21*Inputs!$F$191*AL88</f>
        <v>#VALUE!</v>
      </c>
      <c r="AM89" s="11" t="e">
        <f aca="false">AM21*Inputs!$F$191*AM88</f>
        <v>#VALUE!</v>
      </c>
      <c r="AN89" s="11" t="e">
        <f aca="false">AN21*Inputs!$F$191*AN88</f>
        <v>#VALUE!</v>
      </c>
      <c r="AO89" s="11" t="e">
        <f aca="false">AO21*Inputs!$F$191*AO88</f>
        <v>#VALUE!</v>
      </c>
      <c r="AP89" s="11" t="e">
        <f aca="false">AP21*Inputs!$F$191*AP88</f>
        <v>#VALUE!</v>
      </c>
      <c r="AQ89" s="11" t="e">
        <f aca="false">AQ21*Inputs!$F$191*AQ88</f>
        <v>#VALUE!</v>
      </c>
      <c r="AR89" s="11" t="e">
        <f aca="false">AR21*Inputs!$F$191*AR88</f>
        <v>#VALUE!</v>
      </c>
      <c r="AS89" s="11" t="e">
        <f aca="false">AS21*Inputs!$F$191*AS88</f>
        <v>#VALUE!</v>
      </c>
      <c r="AT89" s="11" t="e">
        <f aca="false">AT21*Inputs!$F$191*AT88</f>
        <v>#VALUE!</v>
      </c>
      <c r="AU89" s="11" t="e">
        <f aca="false">AU21*Inputs!$F$191*AU88</f>
        <v>#VALUE!</v>
      </c>
      <c r="AV89" s="11" t="e">
        <f aca="false">AV21*Inputs!$F$191*AV88</f>
        <v>#VALUE!</v>
      </c>
      <c r="AW89" s="11" t="e">
        <f aca="false">AW21*Inputs!$F$191*AW88</f>
        <v>#VALUE!</v>
      </c>
      <c r="AX89" s="11" t="e">
        <f aca="false">AX21*Inputs!$F$191*AX88</f>
        <v>#VALUE!</v>
      </c>
      <c r="AY89" s="11" t="e">
        <f aca="false">AY21*Inputs!$F$191*AY88</f>
        <v>#VALUE!</v>
      </c>
      <c r="AZ89" s="11" t="e">
        <f aca="false">AZ21*Inputs!$F$191*AZ88</f>
        <v>#VALUE!</v>
      </c>
      <c r="BA89" s="11" t="e">
        <f aca="false">BA21*Inputs!$F$191*BA88</f>
        <v>#VALUE!</v>
      </c>
      <c r="BB89" s="11" t="e">
        <f aca="false">BB21*Inputs!$F$191*BB88</f>
        <v>#VALUE!</v>
      </c>
      <c r="BC89" s="11" t="e">
        <f aca="false">BC21*Inputs!$F$191*BC88</f>
        <v>#VALUE!</v>
      </c>
      <c r="BD89" s="11" t="e">
        <f aca="false">BD21*Inputs!$F$191*BD88</f>
        <v>#VALUE!</v>
      </c>
      <c r="BE89" s="11" t="e">
        <f aca="false">BE21*Inputs!$F$191*BE88</f>
        <v>#VALUE!</v>
      </c>
      <c r="BF89" s="11" t="e">
        <f aca="false">BF21*Inputs!$F$191*BF88</f>
        <v>#VALUE!</v>
      </c>
      <c r="BG89" s="11" t="e">
        <f aca="false">BG21*Inputs!$F$191*BG88</f>
        <v>#VALUE!</v>
      </c>
      <c r="BH89" s="11" t="e">
        <f aca="false">BH21*Inputs!$F$191*BH88</f>
        <v>#VALUE!</v>
      </c>
      <c r="BI89" s="11" t="e">
        <f aca="false">BI21*Inputs!$F$191*BI88</f>
        <v>#VALUE!</v>
      </c>
      <c r="BJ89" s="11" t="e">
        <f aca="false">BJ21*Inputs!$F$191*BJ88</f>
        <v>#VALUE!</v>
      </c>
      <c r="BK89" s="11" t="e">
        <f aca="false">BK21*Inputs!$F$191*BK88</f>
        <v>#VALUE!</v>
      </c>
      <c r="BL89" s="11" t="e">
        <f aca="false">BL21*Inputs!$F$191*BL88</f>
        <v>#VALUE!</v>
      </c>
      <c r="BM89" s="11" t="e">
        <f aca="false">BM21*Inputs!$F$191*BM88</f>
        <v>#VALUE!</v>
      </c>
      <c r="BN89" s="11" t="e">
        <f aca="false">BN21*Inputs!$F$191*BN88</f>
        <v>#VALUE!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e">
        <f aca="false">SUM(Debt!$J$89:$BN$89)</f>
        <v>#VALUE!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e">
        <f aca="false">SUM(J91:BN91)</f>
        <v>#VALUE!</v>
      </c>
      <c r="J91" s="11" t="e">
        <f aca="false">J22*MIN($F$90/4,J86)</f>
        <v>#VALUE!</v>
      </c>
      <c r="K91" s="11" t="e">
        <f aca="false">K22*MIN($F$90/4,K86)</f>
        <v>#VALUE!</v>
      </c>
      <c r="L91" s="11" t="e">
        <f aca="false">L22*MIN($F$90/4,L86)</f>
        <v>#VALUE!</v>
      </c>
      <c r="M91" s="11" t="e">
        <f aca="false">M22*MIN($F$90/4,M86)</f>
        <v>#VALUE!</v>
      </c>
      <c r="N91" s="11" t="e">
        <f aca="false">N22*MIN($F$90/4,N86)</f>
        <v>#VALUE!</v>
      </c>
      <c r="O91" s="11" t="e">
        <f aca="false">O22*MIN($F$90/4,O86)</f>
        <v>#VALUE!</v>
      </c>
      <c r="P91" s="11" t="e">
        <f aca="false">P22*MIN($F$90/4,P86)</f>
        <v>#VALUE!</v>
      </c>
      <c r="Q91" s="11" t="e">
        <f aca="false">Q22*MIN($F$90/4,Q86)</f>
        <v>#VALUE!</v>
      </c>
      <c r="R91" s="11" t="e">
        <f aca="false">R22*MIN($F$90/4,R86)</f>
        <v>#VALUE!</v>
      </c>
      <c r="S91" s="11" t="e">
        <f aca="false">S22*MIN($F$90/4,S86)</f>
        <v>#VALUE!</v>
      </c>
      <c r="T91" s="11" t="e">
        <f aca="false">T22*MIN($F$90/4,T86)</f>
        <v>#VALUE!</v>
      </c>
      <c r="U91" s="11" t="e">
        <f aca="false">U22*MIN($F$90/4,U86)</f>
        <v>#VALUE!</v>
      </c>
      <c r="V91" s="11" t="e">
        <f aca="false">V22*MIN($F$90/4,V86)</f>
        <v>#VALUE!</v>
      </c>
      <c r="W91" s="11" t="e">
        <f aca="false">W22*MIN($F$90/4,W86)</f>
        <v>#VALUE!</v>
      </c>
      <c r="X91" s="11" t="e">
        <f aca="false">X22*MIN($F$90/4,X86)</f>
        <v>#VALUE!</v>
      </c>
      <c r="Y91" s="11" t="e">
        <f aca="false">Y22*MIN($F$90/4,Y86)</f>
        <v>#VALUE!</v>
      </c>
      <c r="Z91" s="11" t="e">
        <f aca="false">Z22*MIN($F$90/4,Z86)</f>
        <v>#VALUE!</v>
      </c>
      <c r="AA91" s="11" t="e">
        <f aca="false">AA22*MIN($F$90/4,AA86)</f>
        <v>#VALUE!</v>
      </c>
      <c r="AB91" s="11" t="e">
        <f aca="false">AB22*MIN($F$90/4,AB86)</f>
        <v>#VALUE!</v>
      </c>
      <c r="AC91" s="11" t="e">
        <f aca="false">AC22*MIN($F$90/4,AC86)</f>
        <v>#VALUE!</v>
      </c>
      <c r="AD91" s="11" t="e">
        <f aca="false">AD22*MIN($F$90/4,AD86)</f>
        <v>#VALUE!</v>
      </c>
      <c r="AE91" s="11" t="e">
        <f aca="false">AE22*MIN($F$90/4,AE86)</f>
        <v>#VALUE!</v>
      </c>
      <c r="AF91" s="11" t="e">
        <f aca="false">AF22*MIN($F$90/4,AF86)</f>
        <v>#VALUE!</v>
      </c>
      <c r="AG91" s="11" t="e">
        <f aca="false">AG22*MIN($F$90/4,AG86)</f>
        <v>#VALUE!</v>
      </c>
      <c r="AH91" s="11" t="e">
        <f aca="false">AH22*MIN($F$90/4,AH86)</f>
        <v>#VALUE!</v>
      </c>
      <c r="AI91" s="11" t="e">
        <f aca="false">AI22*MIN($F$90/4,AI86)</f>
        <v>#VALUE!</v>
      </c>
      <c r="AJ91" s="11" t="e">
        <f aca="false">AJ22*MIN($F$90/4,AJ86)</f>
        <v>#VALUE!</v>
      </c>
      <c r="AK91" s="11" t="e">
        <f aca="false">AK22*MIN($F$90/4,AK86)</f>
        <v>#VALUE!</v>
      </c>
      <c r="AL91" s="11" t="e">
        <f aca="false">AL22*MIN($F$90/4,AL86)</f>
        <v>#VALUE!</v>
      </c>
      <c r="AM91" s="11" t="e">
        <f aca="false">AM22*MIN($F$90/4,AM86)</f>
        <v>#VALUE!</v>
      </c>
      <c r="AN91" s="11" t="e">
        <f aca="false">AN22*MIN($F$90/4,AN86)</f>
        <v>#VALUE!</v>
      </c>
      <c r="AO91" s="11" t="e">
        <f aca="false">AO22*MIN($F$90/4,AO86)</f>
        <v>#VALUE!</v>
      </c>
      <c r="AP91" s="11" t="e">
        <f aca="false">AP22*MIN($F$90/4,AP86)</f>
        <v>#VALUE!</v>
      </c>
      <c r="AQ91" s="11" t="e">
        <f aca="false">AQ22*MIN($F$90/4,AQ86)</f>
        <v>#VALUE!</v>
      </c>
      <c r="AR91" s="11" t="e">
        <f aca="false">AR22*MIN($F$90/4,AR86)</f>
        <v>#VALUE!</v>
      </c>
      <c r="AS91" s="11" t="e">
        <f aca="false">AS22*MIN($F$90/4,AS86)</f>
        <v>#VALUE!</v>
      </c>
      <c r="AT91" s="11" t="e">
        <f aca="false">AT22*MIN($F$90/4,AT86)</f>
        <v>#VALUE!</v>
      </c>
      <c r="AU91" s="11" t="e">
        <f aca="false">AU22*MIN($F$90/4,AU86)</f>
        <v>#VALUE!</v>
      </c>
      <c r="AV91" s="11" t="e">
        <f aca="false">AV22*MIN($F$90/4,AV86)</f>
        <v>#VALUE!</v>
      </c>
      <c r="AW91" s="11" t="e">
        <f aca="false">AW22*MIN($F$90/4,AW86)</f>
        <v>#VALUE!</v>
      </c>
      <c r="AX91" s="11" t="e">
        <f aca="false">AX22*MIN($F$90/4,AX86)</f>
        <v>#VALUE!</v>
      </c>
      <c r="AY91" s="11" t="e">
        <f aca="false">AY22*MIN($F$90/4,AY86)</f>
        <v>#VALUE!</v>
      </c>
      <c r="AZ91" s="11" t="e">
        <f aca="false">AZ22*MIN($F$90/4,AZ86)</f>
        <v>#VALUE!</v>
      </c>
      <c r="BA91" s="11" t="e">
        <f aca="false">BA22*MIN($F$90/4,BA86)</f>
        <v>#VALUE!</v>
      </c>
      <c r="BB91" s="11" t="e">
        <f aca="false">BB22*MIN($F$90/4,BB86)</f>
        <v>#VALUE!</v>
      </c>
      <c r="BC91" s="11" t="e">
        <f aca="false">BC22*MIN($F$90/4,BC86)</f>
        <v>#VALUE!</v>
      </c>
      <c r="BD91" s="11" t="e">
        <f aca="false">BD22*MIN($F$90/4,BD86)</f>
        <v>#VALUE!</v>
      </c>
      <c r="BE91" s="11" t="e">
        <f aca="false">BE22*MIN($F$90/4,BE86)</f>
        <v>#VALUE!</v>
      </c>
      <c r="BF91" s="11" t="e">
        <f aca="false">BF22*MIN($F$90/4,BF86)</f>
        <v>#VALUE!</v>
      </c>
      <c r="BG91" s="11" t="e">
        <f aca="false">BG22*MIN($F$90/4,BG86)</f>
        <v>#VALUE!</v>
      </c>
      <c r="BH91" s="11" t="e">
        <f aca="false">BH22*MIN($F$90/4,BH86)</f>
        <v>#VALUE!</v>
      </c>
      <c r="BI91" s="11" t="e">
        <f aca="false">BI22*MIN($F$90/4,BI86)</f>
        <v>#VALUE!</v>
      </c>
      <c r="BJ91" s="11" t="e">
        <f aca="false">BJ22*MIN($F$90/4,BJ86)</f>
        <v>#VALUE!</v>
      </c>
      <c r="BK91" s="11" t="e">
        <f aca="false">BK22*MIN($F$90/4,BK86)</f>
        <v>#VALUE!</v>
      </c>
      <c r="BL91" s="11" t="e">
        <f aca="false">BL22*MIN($F$90/4,BL86)</f>
        <v>#VALUE!</v>
      </c>
      <c r="BM91" s="11" t="e">
        <f aca="false">BM22*MIN($F$90/4,BM86)</f>
        <v>#VALUE!</v>
      </c>
      <c r="BN91" s="11" t="e">
        <f aca="false">BN22*MIN($F$90/4,BN86)</f>
        <v>#VALUE!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e">
        <f aca="false">SUM(J92:BN92)</f>
        <v>#VALUE!</v>
      </c>
      <c r="J92" s="11" t="e">
        <f aca="false">J88-J89+J91</f>
        <v>#VALUE!</v>
      </c>
      <c r="K92" s="11" t="e">
        <f aca="false">K88-K89+K91</f>
        <v>#VALUE!</v>
      </c>
      <c r="L92" s="11" t="e">
        <f aca="false">L88-L89+L91</f>
        <v>#VALUE!</v>
      </c>
      <c r="M92" s="11" t="e">
        <f aca="false">M88-M89+M91</f>
        <v>#VALUE!</v>
      </c>
      <c r="N92" s="11" t="e">
        <f aca="false">N88-N89+N91</f>
        <v>#VALUE!</v>
      </c>
      <c r="O92" s="11" t="e">
        <f aca="false">O88-O89+O91</f>
        <v>#VALUE!</v>
      </c>
      <c r="P92" s="11" t="e">
        <f aca="false">P88-P89+P91</f>
        <v>#VALUE!</v>
      </c>
      <c r="Q92" s="11" t="e">
        <f aca="false">Q88-Q89+Q91</f>
        <v>#VALUE!</v>
      </c>
      <c r="R92" s="11" t="e">
        <f aca="false">R88-R89+R91</f>
        <v>#VALUE!</v>
      </c>
      <c r="S92" s="11" t="e">
        <f aca="false">S88-S89+S91</f>
        <v>#VALUE!</v>
      </c>
      <c r="T92" s="11" t="e">
        <f aca="false">T88-T89+T91</f>
        <v>#VALUE!</v>
      </c>
      <c r="U92" s="11" t="e">
        <f aca="false">U88-U89+U91</f>
        <v>#VALUE!</v>
      </c>
      <c r="V92" s="11" t="e">
        <f aca="false">V88-V89+V91</f>
        <v>#VALUE!</v>
      </c>
      <c r="W92" s="11" t="e">
        <f aca="false">W88-W89+W91</f>
        <v>#VALUE!</v>
      </c>
      <c r="X92" s="11" t="e">
        <f aca="false">X88-X89+X91</f>
        <v>#VALUE!</v>
      </c>
      <c r="Y92" s="11" t="e">
        <f aca="false">Y88-Y89+Y91</f>
        <v>#VALUE!</v>
      </c>
      <c r="Z92" s="11" t="e">
        <f aca="false">Z88-Z89+Z91</f>
        <v>#VALUE!</v>
      </c>
      <c r="AA92" s="11" t="e">
        <f aca="false">AA88-AA89+AA91</f>
        <v>#VALUE!</v>
      </c>
      <c r="AB92" s="11" t="e">
        <f aca="false">AB88-AB89+AB91</f>
        <v>#VALUE!</v>
      </c>
      <c r="AC92" s="11" t="e">
        <f aca="false">AC88-AC89+AC91</f>
        <v>#VALUE!</v>
      </c>
      <c r="AD92" s="11" t="e">
        <f aca="false">AD88-AD89+AD91</f>
        <v>#VALUE!</v>
      </c>
      <c r="AE92" s="11" t="e">
        <f aca="false">AE88-AE89+AE91</f>
        <v>#VALUE!</v>
      </c>
      <c r="AF92" s="11" t="e">
        <f aca="false">AF88-AF89+AF91</f>
        <v>#VALUE!</v>
      </c>
      <c r="AG92" s="11" t="e">
        <f aca="false">AG88-AG89+AG91</f>
        <v>#VALUE!</v>
      </c>
      <c r="AH92" s="11" t="e">
        <f aca="false">AH88-AH89+AH91</f>
        <v>#VALUE!</v>
      </c>
      <c r="AI92" s="11" t="e">
        <f aca="false">AI88-AI89+AI91</f>
        <v>#VALUE!</v>
      </c>
      <c r="AJ92" s="11" t="e">
        <f aca="false">AJ88-AJ89+AJ91</f>
        <v>#VALUE!</v>
      </c>
      <c r="AK92" s="11" t="e">
        <f aca="false">AK88-AK89+AK91</f>
        <v>#VALUE!</v>
      </c>
      <c r="AL92" s="11" t="e">
        <f aca="false">AL88-AL89+AL91</f>
        <v>#VALUE!</v>
      </c>
      <c r="AM92" s="11" t="e">
        <f aca="false">AM88-AM89+AM91</f>
        <v>#VALUE!</v>
      </c>
      <c r="AN92" s="11" t="e">
        <f aca="false">AN88-AN89+AN91</f>
        <v>#VALUE!</v>
      </c>
      <c r="AO92" s="11" t="e">
        <f aca="false">AO88-AO89+AO91</f>
        <v>#VALUE!</v>
      </c>
      <c r="AP92" s="11" t="e">
        <f aca="false">AP88-AP89+AP91</f>
        <v>#VALUE!</v>
      </c>
      <c r="AQ92" s="11" t="e">
        <f aca="false">AQ88-AQ89+AQ91</f>
        <v>#VALUE!</v>
      </c>
      <c r="AR92" s="11" t="e">
        <f aca="false">AR88-AR89+AR91</f>
        <v>#VALUE!</v>
      </c>
      <c r="AS92" s="11" t="e">
        <f aca="false">AS88-AS89+AS91</f>
        <v>#VALUE!</v>
      </c>
      <c r="AT92" s="11" t="e">
        <f aca="false">AT88-AT89+AT91</f>
        <v>#VALUE!</v>
      </c>
      <c r="AU92" s="11" t="e">
        <f aca="false">AU88-AU89+AU91</f>
        <v>#VALUE!</v>
      </c>
      <c r="AV92" s="11" t="e">
        <f aca="false">AV88-AV89+AV91</f>
        <v>#VALUE!</v>
      </c>
      <c r="AW92" s="11" t="e">
        <f aca="false">AW88-AW89+AW91</f>
        <v>#VALUE!</v>
      </c>
      <c r="AX92" s="11" t="e">
        <f aca="false">AX88-AX89+AX91</f>
        <v>#VALUE!</v>
      </c>
      <c r="AY92" s="11" t="e">
        <f aca="false">AY88-AY89+AY91</f>
        <v>#VALUE!</v>
      </c>
      <c r="AZ92" s="11" t="e">
        <f aca="false">AZ88-AZ89+AZ91</f>
        <v>#VALUE!</v>
      </c>
      <c r="BA92" s="11" t="e">
        <f aca="false">BA88-BA89+BA91</f>
        <v>#VALUE!</v>
      </c>
      <c r="BB92" s="11" t="e">
        <f aca="false">BB88-BB89+BB91</f>
        <v>#VALUE!</v>
      </c>
      <c r="BC92" s="11" t="e">
        <f aca="false">BC88-BC89+BC91</f>
        <v>#VALUE!</v>
      </c>
      <c r="BD92" s="11" t="e">
        <f aca="false">BD88-BD89+BD91</f>
        <v>#VALUE!</v>
      </c>
      <c r="BE92" s="11" t="e">
        <f aca="false">BE88-BE89+BE91</f>
        <v>#VALUE!</v>
      </c>
      <c r="BF92" s="11" t="e">
        <f aca="false">BF88-BF89+BF91</f>
        <v>#VALUE!</v>
      </c>
      <c r="BG92" s="11" t="e">
        <f aca="false">BG88-BG89+BG91</f>
        <v>#VALUE!</v>
      </c>
      <c r="BH92" s="11" t="e">
        <f aca="false">BH88-BH89+BH91</f>
        <v>#VALUE!</v>
      </c>
      <c r="BI92" s="11" t="e">
        <f aca="false">BI88-BI89+BI91</f>
        <v>#VALUE!</v>
      </c>
      <c r="BJ92" s="11" t="e">
        <f aca="false">BJ88-BJ89+BJ91</f>
        <v>#VALUE!</v>
      </c>
      <c r="BK92" s="11" t="e">
        <f aca="false">BK88-BK89+BK91</f>
        <v>#VALUE!</v>
      </c>
      <c r="BL92" s="11" t="e">
        <f aca="false">BL88-BL89+BL91</f>
        <v>#VALUE!</v>
      </c>
      <c r="BM92" s="11" t="e">
        <f aca="false">BM88-BM89+BM91</f>
        <v>#VALUE!</v>
      </c>
      <c r="BN92" s="11" t="e">
        <f aca="false">BN88-BN89+BN91</f>
        <v>#VALUE!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e">
        <f aca="false">SUM(J93:BN93)</f>
        <v>#VALUE!</v>
      </c>
      <c r="J93" s="11" t="e">
        <f aca="false">J23*Inputs!$F$188*(J85-J92)/(J25-J32+J40-J47+J55-J62+J70-J77+J85-J92+0.000000001)</f>
        <v>#VALUE!</v>
      </c>
      <c r="K93" s="11" t="e">
        <f aca="false">K23*Inputs!$F$188*(K85-K92)/(K25-K32+K40-K47+K55-K62+K70-K77+K85-K92+0.000000001)</f>
        <v>#VALUE!</v>
      </c>
      <c r="L93" s="11" t="e">
        <f aca="false">L23*Inputs!$F$188*(L85-L92)/(L25-L32+L40-L47+L55-L62+L70-L77+L85-L92+0.000000001)</f>
        <v>#VALUE!</v>
      </c>
      <c r="M93" s="11" t="e">
        <f aca="false">M23*Inputs!$F$188*(M85-M92)/(M25-M32+M40-M47+M55-M62+M70-M77+M85-M92+0.000000001)</f>
        <v>#VALUE!</v>
      </c>
      <c r="N93" s="11" t="e">
        <f aca="false">N23*Inputs!$F$188*(N85-N92)/(N25-N32+N40-N47+N55-N62+N70-N77+N85-N92+0.000000001)</f>
        <v>#VALUE!</v>
      </c>
      <c r="O93" s="11" t="e">
        <f aca="false">O23*Inputs!$F$188*(O85-O92)/(O25-O32+O40-O47+O55-O62+O70-O77+O85-O92+0.000000001)</f>
        <v>#VALUE!</v>
      </c>
      <c r="P93" s="11" t="e">
        <f aca="false">P23*Inputs!$F$188*(P85-P92)/(P25-P32+P40-P47+P55-P62+P70-P77+P85-P92+0.000000001)</f>
        <v>#VALUE!</v>
      </c>
      <c r="Q93" s="11" t="e">
        <f aca="false">Q23*Inputs!$F$188*(Q85-Q92)/(Q25-Q32+Q40-Q47+Q55-Q62+Q70-Q77+Q85-Q92+0.000000001)</f>
        <v>#VALUE!</v>
      </c>
      <c r="R93" s="11" t="e">
        <f aca="false">R23*Inputs!$F$188*(R85-R92)/(R25-R32+R40-R47+R55-R62+R70-R77+R85-R92+0.000000001)</f>
        <v>#VALUE!</v>
      </c>
      <c r="S93" s="11" t="e">
        <f aca="false">S23*Inputs!$F$188*(S85-S92)/(S25-S32+S40-S47+S55-S62+S70-S77+S85-S92+0.000000001)</f>
        <v>#VALUE!</v>
      </c>
      <c r="T93" s="11" t="e">
        <f aca="false">T23*Inputs!$F$188*(T85-T92)/(T25-T32+T40-T47+T55-T62+T70-T77+T85-T92+0.000000001)</f>
        <v>#VALUE!</v>
      </c>
      <c r="U93" s="11" t="e">
        <f aca="false">U23*Inputs!$F$188*(U85-U92)/(U25-U32+U40-U47+U55-U62+U70-U77+U85-U92+0.000000001)</f>
        <v>#VALUE!</v>
      </c>
      <c r="V93" s="11" t="e">
        <f aca="false">V23*Inputs!$F$188*(V85-V92)/(V25-V32+V40-V47+V55-V62+V70-V77+V85-V92+0.000000001)</f>
        <v>#VALUE!</v>
      </c>
      <c r="W93" s="11" t="e">
        <f aca="false">W23*Inputs!$F$188*(W85-W92)/(W25-W32+W40-W47+W55-W62+W70-W77+W85-W92+0.000000001)</f>
        <v>#VALUE!</v>
      </c>
      <c r="X93" s="11" t="e">
        <f aca="false">X23*Inputs!$F$188*(X85-X92)/(X25-X32+X40-X47+X55-X62+X70-X77+X85-X92+0.000000001)</f>
        <v>#VALUE!</v>
      </c>
      <c r="Y93" s="11" t="e">
        <f aca="false">Y23*Inputs!$F$188*(Y85-Y92)/(Y25-Y32+Y40-Y47+Y55-Y62+Y70-Y77+Y85-Y92+0.000000001)</f>
        <v>#VALUE!</v>
      </c>
      <c r="Z93" s="11" t="e">
        <f aca="false">Z23*Inputs!$F$188*(Z85-Z92)/(Z25-Z32+Z40-Z47+Z55-Z62+Z70-Z77+Z85-Z92+0.000000001)</f>
        <v>#VALUE!</v>
      </c>
      <c r="AA93" s="11" t="e">
        <f aca="false">AA23*Inputs!$F$188*(AA85-AA92)/(AA25-AA32+AA40-AA47+AA55-AA62+AA70-AA77+AA85-AA92+0.000000001)</f>
        <v>#VALUE!</v>
      </c>
      <c r="AB93" s="11" t="e">
        <f aca="false">AB23*Inputs!$F$188*(AB85-AB92)/(AB25-AB32+AB40-AB47+AB55-AB62+AB70-AB77+AB85-AB92+0.000000001)</f>
        <v>#VALUE!</v>
      </c>
      <c r="AC93" s="11" t="e">
        <f aca="false">AC23*Inputs!$F$188*(AC85-AC92)/(AC25-AC32+AC40-AC47+AC55-AC62+AC70-AC77+AC85-AC92+0.000000001)</f>
        <v>#VALUE!</v>
      </c>
      <c r="AD93" s="11" t="e">
        <f aca="false">AD23*Inputs!$F$188*(AD85-AD92)/(AD25-AD32+AD40-AD47+AD55-AD62+AD70-AD77+AD85-AD92+0.000000001)</f>
        <v>#VALUE!</v>
      </c>
      <c r="AE93" s="11" t="e">
        <f aca="false">AE23*Inputs!$F$188*(AE85-AE92)/(AE25-AE32+AE40-AE47+AE55-AE62+AE70-AE77+AE85-AE92+0.000000001)</f>
        <v>#VALUE!</v>
      </c>
      <c r="AF93" s="11" t="e">
        <f aca="false">AF23*Inputs!$F$188*(AF85-AF92)/(AF25-AF32+AF40-AF47+AF55-AF62+AF70-AF77+AF85-AF92+0.000000001)</f>
        <v>#VALUE!</v>
      </c>
      <c r="AG93" s="11" t="e">
        <f aca="false">AG23*Inputs!$F$188*(AG85-AG92)/(AG25-AG32+AG40-AG47+AG55-AG62+AG70-AG77+AG85-AG92+0.000000001)</f>
        <v>#VALUE!</v>
      </c>
      <c r="AH93" s="11" t="e">
        <f aca="false">AH23*Inputs!$F$188*(AH85-AH92)/(AH25-AH32+AH40-AH47+AH55-AH62+AH70-AH77+AH85-AH92+0.000000001)</f>
        <v>#VALUE!</v>
      </c>
      <c r="AI93" s="11" t="e">
        <f aca="false">AI23*Inputs!$F$188*(AI85-AI92)/(AI25-AI32+AI40-AI47+AI55-AI62+AI70-AI77+AI85-AI92+0.000000001)</f>
        <v>#VALUE!</v>
      </c>
      <c r="AJ93" s="11" t="e">
        <f aca="false">AJ23*Inputs!$F$188*(AJ85-AJ92)/(AJ25-AJ32+AJ40-AJ47+AJ55-AJ62+AJ70-AJ77+AJ85-AJ92+0.000000001)</f>
        <v>#VALUE!</v>
      </c>
      <c r="AK93" s="11" t="e">
        <f aca="false">AK23*Inputs!$F$188*(AK85-AK92)/(AK25-AK32+AK40-AK47+AK55-AK62+AK70-AK77+AK85-AK92+0.000000001)</f>
        <v>#VALUE!</v>
      </c>
      <c r="AL93" s="11" t="e">
        <f aca="false">AL23*Inputs!$F$188*(AL85-AL92)/(AL25-AL32+AL40-AL47+AL55-AL62+AL70-AL77+AL85-AL92+0.000000001)</f>
        <v>#VALUE!</v>
      </c>
      <c r="AM93" s="11" t="e">
        <f aca="false">AM23*Inputs!$F$188*(AM85-AM92)/(AM25-AM32+AM40-AM47+AM55-AM62+AM70-AM77+AM85-AM92+0.000000001)</f>
        <v>#VALUE!</v>
      </c>
      <c r="AN93" s="11" t="e">
        <f aca="false">AN23*Inputs!$F$188*(AN85-AN92)/(AN25-AN32+AN40-AN47+AN55-AN62+AN70-AN77+AN85-AN92+0.000000001)</f>
        <v>#VALUE!</v>
      </c>
      <c r="AO93" s="11" t="e">
        <f aca="false">AO23*Inputs!$F$188*(AO85-AO92)/(AO25-AO32+AO40-AO47+AO55-AO62+AO70-AO77+AO85-AO92+0.000000001)</f>
        <v>#VALUE!</v>
      </c>
      <c r="AP93" s="11" t="e">
        <f aca="false">AP23*Inputs!$F$188*(AP85-AP92)/(AP25-AP32+AP40-AP47+AP55-AP62+AP70-AP77+AP85-AP92+0.000000001)</f>
        <v>#VALUE!</v>
      </c>
      <c r="AQ93" s="11" t="e">
        <f aca="false">AQ23*Inputs!$F$188*(AQ85-AQ92)/(AQ25-AQ32+AQ40-AQ47+AQ55-AQ62+AQ70-AQ77+AQ85-AQ92+0.000000001)</f>
        <v>#VALUE!</v>
      </c>
      <c r="AR93" s="11" t="e">
        <f aca="false">AR23*Inputs!$F$188*(AR85-AR92)/(AR25-AR32+AR40-AR47+AR55-AR62+AR70-AR77+AR85-AR92+0.000000001)</f>
        <v>#VALUE!</v>
      </c>
      <c r="AS93" s="11" t="e">
        <f aca="false">AS23*Inputs!$F$188*(AS85-AS92)/(AS25-AS32+AS40-AS47+AS55-AS62+AS70-AS77+AS85-AS92+0.000000001)</f>
        <v>#VALUE!</v>
      </c>
      <c r="AT93" s="11" t="e">
        <f aca="false">AT23*Inputs!$F$188*(AT85-AT92)/(AT25-AT32+AT40-AT47+AT55-AT62+AT70-AT77+AT85-AT92+0.000000001)</f>
        <v>#VALUE!</v>
      </c>
      <c r="AU93" s="11" t="e">
        <f aca="false">AU23*Inputs!$F$188*(AU85-AU92)/(AU25-AU32+AU40-AU47+AU55-AU62+AU70-AU77+AU85-AU92+0.000000001)</f>
        <v>#VALUE!</v>
      </c>
      <c r="AV93" s="11" t="e">
        <f aca="false">AV23*Inputs!$F$188*(AV85-AV92)/(AV25-AV32+AV40-AV47+AV55-AV62+AV70-AV77+AV85-AV92+0.000000001)</f>
        <v>#VALUE!</v>
      </c>
      <c r="AW93" s="11" t="e">
        <f aca="false">AW23*Inputs!$F$188*(AW85-AW92)/(AW25-AW32+AW40-AW47+AW55-AW62+AW70-AW77+AW85-AW92+0.000000001)</f>
        <v>#VALUE!</v>
      </c>
      <c r="AX93" s="11" t="e">
        <f aca="false">AX23*Inputs!$F$188*(AX85-AX92)/(AX25-AX32+AX40-AX47+AX55-AX62+AX70-AX77+AX85-AX92+0.000000001)</f>
        <v>#VALUE!</v>
      </c>
      <c r="AY93" s="11" t="e">
        <f aca="false">AY23*Inputs!$F$188*(AY85-AY92)/(AY25-AY32+AY40-AY47+AY55-AY62+AY70-AY77+AY85-AY92+0.000000001)</f>
        <v>#VALUE!</v>
      </c>
      <c r="AZ93" s="11" t="e">
        <f aca="false">AZ23*Inputs!$F$188*(AZ85-AZ92)/(AZ25-AZ32+AZ40-AZ47+AZ55-AZ62+AZ70-AZ77+AZ85-AZ92+0.000000001)</f>
        <v>#VALUE!</v>
      </c>
      <c r="BA93" s="11" t="e">
        <f aca="false">BA23*Inputs!$F$188*(BA85-BA92)/(BA25-BA32+BA40-BA47+BA55-BA62+BA70-BA77+BA85-BA92+0.000000001)</f>
        <v>#VALUE!</v>
      </c>
      <c r="BB93" s="11" t="e">
        <f aca="false">BB23*Inputs!$F$188*(BB85-BB92)/(BB25-BB32+BB40-BB47+BB55-BB62+BB70-BB77+BB85-BB92+0.000000001)</f>
        <v>#VALUE!</v>
      </c>
      <c r="BC93" s="11" t="e">
        <f aca="false">BC23*Inputs!$F$188*(BC85-BC92)/(BC25-BC32+BC40-BC47+BC55-BC62+BC70-BC77+BC85-BC92+0.000000001)</f>
        <v>#VALUE!</v>
      </c>
      <c r="BD93" s="11" t="e">
        <f aca="false">BD23*Inputs!$F$188*(BD85-BD92)/(BD25-BD32+BD40-BD47+BD55-BD62+BD70-BD77+BD85-BD92+0.000000001)</f>
        <v>#VALUE!</v>
      </c>
      <c r="BE93" s="11" t="e">
        <f aca="false">BE23*Inputs!$F$188*(BE85-BE92)/(BE25-BE32+BE40-BE47+BE55-BE62+BE70-BE77+BE85-BE92+0.000000001)</f>
        <v>#VALUE!</v>
      </c>
      <c r="BF93" s="11" t="e">
        <f aca="false">BF23*Inputs!$F$188*(BF85-BF92)/(BF25-BF32+BF40-BF47+BF55-BF62+BF70-BF77+BF85-BF92+0.000000001)</f>
        <v>#VALUE!</v>
      </c>
      <c r="BG93" s="11" t="e">
        <f aca="false">BG23*Inputs!$F$188*(BG85-BG92)/(BG25-BG32+BG40-BG47+BG55-BG62+BG70-BG77+BG85-BG92+0.000000001)</f>
        <v>#VALUE!</v>
      </c>
      <c r="BH93" s="11" t="e">
        <f aca="false">BH23*Inputs!$F$188*(BH85-BH92)/(BH25-BH32+BH40-BH47+BH55-BH62+BH70-BH77+BH85-BH92+0.000000001)</f>
        <v>#VALUE!</v>
      </c>
      <c r="BI93" s="11" t="e">
        <f aca="false">BI23*Inputs!$F$188*(BI85-BI92)/(BI25-BI32+BI40-BI47+BI55-BI62+BI70-BI77+BI85-BI92+0.000000001)</f>
        <v>#VALUE!</v>
      </c>
      <c r="BJ93" s="11" t="e">
        <f aca="false">BJ23*Inputs!$F$188*(BJ85-BJ92)/(BJ25-BJ32+BJ40-BJ47+BJ55-BJ62+BJ70-BJ77+BJ85-BJ92+0.000000001)</f>
        <v>#VALUE!</v>
      </c>
      <c r="BK93" s="11" t="e">
        <f aca="false">BK23*Inputs!$F$188*(BK85-BK92)/(BK25-BK32+BK40-BK47+BK55-BK62+BK70-BK77+BK85-BK92+0.000000001)</f>
        <v>#VALUE!</v>
      </c>
      <c r="BL93" s="11" t="e">
        <f aca="false">BL23*Inputs!$F$188*(BL85-BL92)/(BL25-BL32+BL40-BL47+BL55-BL62+BL70-BL77+BL85-BL92+0.000000001)</f>
        <v>#VALUE!</v>
      </c>
      <c r="BM93" s="11" t="e">
        <f aca="false">BM23*Inputs!$F$188*(BM85-BM92)/(BM25-BM32+BM40-BM47+BM55-BM62+BM70-BM77+BM85-BM92+0.000000001)</f>
        <v>#VALUE!</v>
      </c>
      <c r="BN93" s="11" t="e">
        <f aca="false">BN23*Inputs!$F$188*(BN85-BN92)/(BN25-BN32+BN40-BN47+BN55-BN62+BN70-BN77+BN85-BN92+0.000000001)</f>
        <v>#VALUE!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e">
        <f aca="false">SUM(J94:BN94)</f>
        <v>#VALUE!</v>
      </c>
      <c r="J94" s="11" t="e">
        <f aca="false">J20*(J85-J92-J93)</f>
        <v>#VALUE!</v>
      </c>
      <c r="K94" s="11" t="e">
        <f aca="false">K20*(K85-K92-K93)</f>
        <v>#VALUE!</v>
      </c>
      <c r="L94" s="11" t="e">
        <f aca="false">L20*(L85-L92-L93)</f>
        <v>#VALUE!</v>
      </c>
      <c r="M94" s="11" t="e">
        <f aca="false">M20*(M85-M92-M93)</f>
        <v>#VALUE!</v>
      </c>
      <c r="N94" s="11" t="e">
        <f aca="false">N20*(N85-N92-N93)</f>
        <v>#VALUE!</v>
      </c>
      <c r="O94" s="11" t="e">
        <f aca="false">O20*(O85-O92-O93)</f>
        <v>#VALUE!</v>
      </c>
      <c r="P94" s="11" t="e">
        <f aca="false">P20*(P85-P92-P93)</f>
        <v>#VALUE!</v>
      </c>
      <c r="Q94" s="11" t="e">
        <f aca="false">Q20*(Q85-Q92-Q93)</f>
        <v>#VALUE!</v>
      </c>
      <c r="R94" s="11" t="e">
        <f aca="false">R20*(R85-R92-R93)</f>
        <v>#VALUE!</v>
      </c>
      <c r="S94" s="11" t="e">
        <f aca="false">S20*(S85-S92-S93)</f>
        <v>#VALUE!</v>
      </c>
      <c r="T94" s="11" t="e">
        <f aca="false">T20*(T85-T92-T93)</f>
        <v>#VALUE!</v>
      </c>
      <c r="U94" s="11" t="e">
        <f aca="false">U20*(U85-U92-U93)</f>
        <v>#VALUE!</v>
      </c>
      <c r="V94" s="11" t="e">
        <f aca="false">V20*(V85-V92-V93)</f>
        <v>#VALUE!</v>
      </c>
      <c r="W94" s="11" t="e">
        <f aca="false">W20*(W85-W92-W93)</f>
        <v>#VALUE!</v>
      </c>
      <c r="X94" s="11" t="e">
        <f aca="false">X20*(X85-X92-X93)</f>
        <v>#VALUE!</v>
      </c>
      <c r="Y94" s="11" t="e">
        <f aca="false">Y20*(Y85-Y92-Y93)</f>
        <v>#VALUE!</v>
      </c>
      <c r="Z94" s="11" t="e">
        <f aca="false">Z20*(Z85-Z92-Z93)</f>
        <v>#VALUE!</v>
      </c>
      <c r="AA94" s="11" t="e">
        <f aca="false">AA20*(AA85-AA92-AA93)</f>
        <v>#VALUE!</v>
      </c>
      <c r="AB94" s="11" t="e">
        <f aca="false">AB20*(AB85-AB92-AB93)</f>
        <v>#VALUE!</v>
      </c>
      <c r="AC94" s="11" t="e">
        <f aca="false">AC20*(AC85-AC92-AC93)</f>
        <v>#VALUE!</v>
      </c>
      <c r="AD94" s="11" t="e">
        <f aca="false">AD20*(AD85-AD92-AD93)</f>
        <v>#VALUE!</v>
      </c>
      <c r="AE94" s="11" t="e">
        <f aca="false">AE20*(AE85-AE92-AE93)</f>
        <v>#VALUE!</v>
      </c>
      <c r="AF94" s="11" t="e">
        <f aca="false">AF20*(AF85-AF92-AF93)</f>
        <v>#VALUE!</v>
      </c>
      <c r="AG94" s="11" t="e">
        <f aca="false">AG20*(AG85-AG92-AG93)</f>
        <v>#VALUE!</v>
      </c>
      <c r="AH94" s="11" t="e">
        <f aca="false">AH20*(AH85-AH92-AH93)</f>
        <v>#VALUE!</v>
      </c>
      <c r="AI94" s="11" t="e">
        <f aca="false">AI20*(AI85-AI92-AI93)</f>
        <v>#VALUE!</v>
      </c>
      <c r="AJ94" s="11" t="e">
        <f aca="false">AJ20*(AJ85-AJ92-AJ93)</f>
        <v>#VALUE!</v>
      </c>
      <c r="AK94" s="11" t="e">
        <f aca="false">AK20*(AK85-AK92-AK93)</f>
        <v>#VALUE!</v>
      </c>
      <c r="AL94" s="11" t="e">
        <f aca="false">AL20*(AL85-AL92-AL93)</f>
        <v>#VALUE!</v>
      </c>
      <c r="AM94" s="11" t="e">
        <f aca="false">AM20*(AM85-AM92-AM93)</f>
        <v>#VALUE!</v>
      </c>
      <c r="AN94" s="11" t="e">
        <f aca="false">AN20*(AN85-AN92-AN93)</f>
        <v>#VALUE!</v>
      </c>
      <c r="AO94" s="11" t="e">
        <f aca="false">AO20*(AO85-AO92-AO93)</f>
        <v>#VALUE!</v>
      </c>
      <c r="AP94" s="11" t="e">
        <f aca="false">AP20*(AP85-AP92-AP93)</f>
        <v>#VALUE!</v>
      </c>
      <c r="AQ94" s="11" t="e">
        <f aca="false">AQ20*(AQ85-AQ92-AQ93)</f>
        <v>#VALUE!</v>
      </c>
      <c r="AR94" s="11" t="e">
        <f aca="false">AR20*(AR85-AR92-AR93)</f>
        <v>#VALUE!</v>
      </c>
      <c r="AS94" s="11" t="e">
        <f aca="false">AS20*(AS85-AS92-AS93)</f>
        <v>#VALUE!</v>
      </c>
      <c r="AT94" s="11" t="e">
        <f aca="false">AT20*(AT85-AT92-AT93)</f>
        <v>#VALUE!</v>
      </c>
      <c r="AU94" s="11" t="e">
        <f aca="false">AU20*(AU85-AU92-AU93)</f>
        <v>#VALUE!</v>
      </c>
      <c r="AV94" s="11" t="e">
        <f aca="false">AV20*(AV85-AV92-AV93)</f>
        <v>#VALUE!</v>
      </c>
      <c r="AW94" s="11" t="e">
        <f aca="false">AW20*(AW85-AW92-AW93)</f>
        <v>#VALUE!</v>
      </c>
      <c r="AX94" s="11" t="e">
        <f aca="false">AX20*(AX85-AX92-AX93)</f>
        <v>#VALUE!</v>
      </c>
      <c r="AY94" s="11" t="e">
        <f aca="false">AY20*(AY85-AY92-AY93)</f>
        <v>#VALUE!</v>
      </c>
      <c r="AZ94" s="11" t="e">
        <f aca="false">AZ20*(AZ85-AZ92-AZ93)</f>
        <v>#VALUE!</v>
      </c>
      <c r="BA94" s="11" t="e">
        <f aca="false">BA20*(BA85-BA92-BA93)</f>
        <v>#VALUE!</v>
      </c>
      <c r="BB94" s="11" t="e">
        <f aca="false">BB20*(BB85-BB92-BB93)</f>
        <v>#VALUE!</v>
      </c>
      <c r="BC94" s="11" t="e">
        <f aca="false">BC20*(BC85-BC92-BC93)</f>
        <v>#VALUE!</v>
      </c>
      <c r="BD94" s="11" t="e">
        <f aca="false">BD20*(BD85-BD92-BD93)</f>
        <v>#VALUE!</v>
      </c>
      <c r="BE94" s="11" t="e">
        <f aca="false">BE20*(BE85-BE92-BE93)</f>
        <v>#VALUE!</v>
      </c>
      <c r="BF94" s="11" t="e">
        <f aca="false">BF20*(BF85-BF92-BF93)</f>
        <v>#VALUE!</v>
      </c>
      <c r="BG94" s="11" t="e">
        <f aca="false">BG20*(BG85-BG92-BG93)</f>
        <v>#VALUE!</v>
      </c>
      <c r="BH94" s="11" t="e">
        <f aca="false">BH20*(BH85-BH92-BH93)</f>
        <v>#VALUE!</v>
      </c>
      <c r="BI94" s="11" t="e">
        <f aca="false">BI20*(BI85-BI92-BI93)</f>
        <v>#VALUE!</v>
      </c>
      <c r="BJ94" s="11" t="e">
        <f aca="false">BJ20*(BJ85-BJ92-BJ93)</f>
        <v>#VALUE!</v>
      </c>
      <c r="BK94" s="11" t="e">
        <f aca="false">BK20*(BK85-BK92-BK93)</f>
        <v>#VALUE!</v>
      </c>
      <c r="BL94" s="11" t="e">
        <f aca="false">BL20*(BL85-BL92-BL93)</f>
        <v>#VALUE!</v>
      </c>
      <c r="BM94" s="11" t="e">
        <f aca="false">BM20*(BM85-BM92-BM93)</f>
        <v>#VALUE!</v>
      </c>
      <c r="BN94" s="11" t="e">
        <f aca="false">BN20*(BN85-BN92-BN93)</f>
        <v>#VALUE!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e">
        <f aca="false">IF(J20=1,0,1)*(J86+J89-J91)</f>
        <v>#VALUE!</v>
      </c>
      <c r="K95" s="11" t="e">
        <f aca="false">IF(K20=1,0,1)*(K86+K89-K91)</f>
        <v>#VALUE!</v>
      </c>
      <c r="L95" s="11" t="e">
        <f aca="false">IF(L20=1,0,1)*(L86+L89-L91)</f>
        <v>#VALUE!</v>
      </c>
      <c r="M95" s="11" t="e">
        <f aca="false">IF(M20=1,0,1)*(M86+M89-M91)</f>
        <v>#VALUE!</v>
      </c>
      <c r="N95" s="11" t="e">
        <f aca="false">IF(N20=1,0,1)*(N86+N89-N91)</f>
        <v>#VALUE!</v>
      </c>
      <c r="O95" s="11" t="e">
        <f aca="false">IF(O20=1,0,1)*(O86+O89-O91)</f>
        <v>#VALUE!</v>
      </c>
      <c r="P95" s="11" t="e">
        <f aca="false">IF(P20=1,0,1)*(P86+P89-P91)</f>
        <v>#VALUE!</v>
      </c>
      <c r="Q95" s="11" t="e">
        <f aca="false">IF(Q20=1,0,1)*(Q86+Q89-Q91)</f>
        <v>#VALUE!</v>
      </c>
      <c r="R95" s="11" t="e">
        <f aca="false">IF(R20=1,0,1)*(R86+R89-R91)</f>
        <v>#VALUE!</v>
      </c>
      <c r="S95" s="11" t="e">
        <f aca="false">IF(S20=1,0,1)*(S86+S89-S91)</f>
        <v>#VALUE!</v>
      </c>
      <c r="T95" s="11" t="e">
        <f aca="false">IF(T20=1,0,1)*(T86+T89-T91)</f>
        <v>#VALUE!</v>
      </c>
      <c r="U95" s="11" t="e">
        <f aca="false">IF(U20=1,0,1)*(U86+U89-U91)</f>
        <v>#VALUE!</v>
      </c>
      <c r="V95" s="11" t="e">
        <f aca="false">IF(V20=1,0,1)*(V86+V89-V91)</f>
        <v>#VALUE!</v>
      </c>
      <c r="W95" s="11" t="e">
        <f aca="false">IF(W20=1,0,1)*(W86+W89-W91)</f>
        <v>#VALUE!</v>
      </c>
      <c r="X95" s="11" t="e">
        <f aca="false">IF(X20=1,0,1)*(X86+X89-X91)</f>
        <v>#VALUE!</v>
      </c>
      <c r="Y95" s="11" t="e">
        <f aca="false">IF(Y20=1,0,1)*(Y86+Y89-Y91)</f>
        <v>#VALUE!</v>
      </c>
      <c r="Z95" s="11" t="e">
        <f aca="false">IF(Z20=1,0,1)*(Z86+Z89-Z91)</f>
        <v>#VALUE!</v>
      </c>
      <c r="AA95" s="11" t="e">
        <f aca="false">IF(AA20=1,0,1)*(AA86+AA89-AA91)</f>
        <v>#VALUE!</v>
      </c>
      <c r="AB95" s="11" t="e">
        <f aca="false">IF(AB20=1,0,1)*(AB86+AB89-AB91)</f>
        <v>#VALUE!</v>
      </c>
      <c r="AC95" s="11" t="e">
        <f aca="false">IF(AC20=1,0,1)*(AC86+AC89-AC91)</f>
        <v>#VALUE!</v>
      </c>
      <c r="AD95" s="11" t="e">
        <f aca="false">IF(AD20=1,0,1)*(AD86+AD89-AD91)</f>
        <v>#VALUE!</v>
      </c>
      <c r="AE95" s="11" t="e">
        <f aca="false">IF(AE20=1,0,1)*(AE86+AE89-AE91)</f>
        <v>#VALUE!</v>
      </c>
      <c r="AF95" s="11" t="e">
        <f aca="false">IF(AF20=1,0,1)*(AF86+AF89-AF91)</f>
        <v>#VALUE!</v>
      </c>
      <c r="AG95" s="11" t="e">
        <f aca="false">IF(AG20=1,0,1)*(AG86+AG89-AG91)</f>
        <v>#VALUE!</v>
      </c>
      <c r="AH95" s="11" t="e">
        <f aca="false">IF(AH20=1,0,1)*(AH86+AH89-AH91)</f>
        <v>#VALUE!</v>
      </c>
      <c r="AI95" s="11" t="e">
        <f aca="false">IF(AI20=1,0,1)*(AI86+AI89-AI91)</f>
        <v>#VALUE!</v>
      </c>
      <c r="AJ95" s="11" t="e">
        <f aca="false">IF(AJ20=1,0,1)*(AJ86+AJ89-AJ91)</f>
        <v>#VALUE!</v>
      </c>
      <c r="AK95" s="11" t="e">
        <f aca="false">IF(AK20=1,0,1)*(AK86+AK89-AK91)</f>
        <v>#VALUE!</v>
      </c>
      <c r="AL95" s="11" t="e">
        <f aca="false">IF(AL20=1,0,1)*(AL86+AL89-AL91)</f>
        <v>#VALUE!</v>
      </c>
      <c r="AM95" s="11" t="e">
        <f aca="false">IF(AM20=1,0,1)*(AM86+AM89-AM91)</f>
        <v>#VALUE!</v>
      </c>
      <c r="AN95" s="11" t="e">
        <f aca="false">IF(AN20=1,0,1)*(AN86+AN89-AN91)</f>
        <v>#VALUE!</v>
      </c>
      <c r="AO95" s="11" t="e">
        <f aca="false">IF(AO20=1,0,1)*(AO86+AO89-AO91)</f>
        <v>#VALUE!</v>
      </c>
      <c r="AP95" s="11" t="e">
        <f aca="false">IF(AP20=1,0,1)*(AP86+AP89-AP91)</f>
        <v>#VALUE!</v>
      </c>
      <c r="AQ95" s="11" t="e">
        <f aca="false">IF(AQ20=1,0,1)*(AQ86+AQ89-AQ91)</f>
        <v>#VALUE!</v>
      </c>
      <c r="AR95" s="11" t="e">
        <f aca="false">IF(AR20=1,0,1)*(AR86+AR89-AR91)</f>
        <v>#VALUE!</v>
      </c>
      <c r="AS95" s="11" t="e">
        <f aca="false">IF(AS20=1,0,1)*(AS86+AS89-AS91)</f>
        <v>#VALUE!</v>
      </c>
      <c r="AT95" s="11" t="e">
        <f aca="false">IF(AT20=1,0,1)*(AT86+AT89-AT91)</f>
        <v>#VALUE!</v>
      </c>
      <c r="AU95" s="11" t="e">
        <f aca="false">IF(AU20=1,0,1)*(AU86+AU89-AU91)</f>
        <v>#VALUE!</v>
      </c>
      <c r="AV95" s="11" t="e">
        <f aca="false">IF(AV20=1,0,1)*(AV86+AV89-AV91)</f>
        <v>#VALUE!</v>
      </c>
      <c r="AW95" s="11" t="e">
        <f aca="false">IF(AW20=1,0,1)*(AW86+AW89-AW91)</f>
        <v>#VALUE!</v>
      </c>
      <c r="AX95" s="11" t="e">
        <f aca="false">IF(AX20=1,0,1)*(AX86+AX89-AX91)</f>
        <v>#VALUE!</v>
      </c>
      <c r="AY95" s="11" t="e">
        <f aca="false">IF(AY20=1,0,1)*(AY86+AY89-AY91)</f>
        <v>#VALUE!</v>
      </c>
      <c r="AZ95" s="11" t="e">
        <f aca="false">IF(AZ20=1,0,1)*(AZ86+AZ89-AZ91)</f>
        <v>#VALUE!</v>
      </c>
      <c r="BA95" s="11" t="e">
        <f aca="false">IF(BA20=1,0,1)*(BA86+BA89-BA91)</f>
        <v>#VALUE!</v>
      </c>
      <c r="BB95" s="11" t="e">
        <f aca="false">IF(BB20=1,0,1)*(BB86+BB89-BB91)</f>
        <v>#VALUE!</v>
      </c>
      <c r="BC95" s="11" t="e">
        <f aca="false">IF(BC20=1,0,1)*(BC86+BC89-BC91)</f>
        <v>#VALUE!</v>
      </c>
      <c r="BD95" s="11" t="e">
        <f aca="false">IF(BD20=1,0,1)*(BD86+BD89-BD91)</f>
        <v>#VALUE!</v>
      </c>
      <c r="BE95" s="11" t="e">
        <f aca="false">IF(BE20=1,0,1)*(BE86+BE89-BE91)</f>
        <v>#VALUE!</v>
      </c>
      <c r="BF95" s="11" t="e">
        <f aca="false">IF(BF20=1,0,1)*(BF86+BF89-BF91)</f>
        <v>#VALUE!</v>
      </c>
      <c r="BG95" s="11" t="e">
        <f aca="false">IF(BG20=1,0,1)*(BG86+BG89-BG91)</f>
        <v>#VALUE!</v>
      </c>
      <c r="BH95" s="11" t="e">
        <f aca="false">IF(BH20=1,0,1)*(BH86+BH89-BH91)</f>
        <v>#VALUE!</v>
      </c>
      <c r="BI95" s="11" t="e">
        <f aca="false">IF(BI20=1,0,1)*(BI86+BI89-BI91)</f>
        <v>#VALUE!</v>
      </c>
      <c r="BJ95" s="11" t="e">
        <f aca="false">IF(BJ20=1,0,1)*(BJ86+BJ89-BJ91)</f>
        <v>#VALUE!</v>
      </c>
      <c r="BK95" s="11" t="e">
        <f aca="false">IF(BK20=1,0,1)*(BK86+BK89-BK91)</f>
        <v>#VALUE!</v>
      </c>
      <c r="BL95" s="11" t="e">
        <f aca="false">IF(BL20=1,0,1)*(BL86+BL89-BL91)</f>
        <v>#VALUE!</v>
      </c>
      <c r="BM95" s="11" t="e">
        <f aca="false">IF(BM20=1,0,1)*(BM86+BM89-BM91)</f>
        <v>#VALUE!</v>
      </c>
      <c r="BN95" s="11" t="e">
        <f aca="false">IF(BN20=1,0,1)*(BN86+BN89-BN91)</f>
        <v>#VALUE!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e">
        <f aca="false">J85-J92-J93-J94</f>
        <v>#VALUE!</v>
      </c>
      <c r="K96" s="11" t="e">
        <f aca="false">K85-K92-K93-K94</f>
        <v>#VALUE!</v>
      </c>
      <c r="L96" s="11" t="e">
        <f aca="false">L85-L92-L93-L94</f>
        <v>#VALUE!</v>
      </c>
      <c r="M96" s="11" t="e">
        <f aca="false">M85-M92-M93-M94</f>
        <v>#VALUE!</v>
      </c>
      <c r="N96" s="11" t="e">
        <f aca="false">N85-N92-N93-N94</f>
        <v>#VALUE!</v>
      </c>
      <c r="O96" s="11" t="e">
        <f aca="false">O85-O92-O93-O94</f>
        <v>#VALUE!</v>
      </c>
      <c r="P96" s="11" t="e">
        <f aca="false">P85-P92-P93-P94</f>
        <v>#VALUE!</v>
      </c>
      <c r="Q96" s="11" t="e">
        <f aca="false">Q85-Q92-Q93-Q94</f>
        <v>#VALUE!</v>
      </c>
      <c r="R96" s="11" t="e">
        <f aca="false">R85-R92-R93-R94</f>
        <v>#VALUE!</v>
      </c>
      <c r="S96" s="11" t="e">
        <f aca="false">S85-S92-S93-S94</f>
        <v>#VALUE!</v>
      </c>
      <c r="T96" s="11" t="e">
        <f aca="false">T85-T92-T93-T94</f>
        <v>#VALUE!</v>
      </c>
      <c r="U96" s="11" t="e">
        <f aca="false">U85-U92-U93-U94</f>
        <v>#VALUE!</v>
      </c>
      <c r="V96" s="11" t="e">
        <f aca="false">V85-V92-V93-V94</f>
        <v>#VALUE!</v>
      </c>
      <c r="W96" s="11" t="e">
        <f aca="false">W85-W92-W93-W94</f>
        <v>#VALUE!</v>
      </c>
      <c r="X96" s="11" t="e">
        <f aca="false">X85-X92-X93-X94</f>
        <v>#VALUE!</v>
      </c>
      <c r="Y96" s="11" t="e">
        <f aca="false">Y85-Y92-Y93-Y94</f>
        <v>#VALUE!</v>
      </c>
      <c r="Z96" s="11" t="e">
        <f aca="false">Z85-Z92-Z93-Z94</f>
        <v>#VALUE!</v>
      </c>
      <c r="AA96" s="11" t="e">
        <f aca="false">AA85-AA92-AA93-AA94</f>
        <v>#VALUE!</v>
      </c>
      <c r="AB96" s="11" t="e">
        <f aca="false">AB85-AB92-AB93-AB94</f>
        <v>#VALUE!</v>
      </c>
      <c r="AC96" s="11" t="e">
        <f aca="false">AC85-AC92-AC93-AC94</f>
        <v>#VALUE!</v>
      </c>
      <c r="AD96" s="11" t="e">
        <f aca="false">AD85-AD92-AD93-AD94</f>
        <v>#VALUE!</v>
      </c>
      <c r="AE96" s="11" t="e">
        <f aca="false">AE85-AE92-AE93-AE94</f>
        <v>#VALUE!</v>
      </c>
      <c r="AF96" s="11" t="e">
        <f aca="false">AF85-AF92-AF93-AF94</f>
        <v>#VALUE!</v>
      </c>
      <c r="AG96" s="11" t="e">
        <f aca="false">AG85-AG92-AG93-AG94</f>
        <v>#VALUE!</v>
      </c>
      <c r="AH96" s="11" t="e">
        <f aca="false">AH85-AH92-AH93-AH94</f>
        <v>#VALUE!</v>
      </c>
      <c r="AI96" s="11" t="e">
        <f aca="false">AI85-AI92-AI93-AI94</f>
        <v>#VALUE!</v>
      </c>
      <c r="AJ96" s="11" t="e">
        <f aca="false">AJ85-AJ92-AJ93-AJ94</f>
        <v>#VALUE!</v>
      </c>
      <c r="AK96" s="11" t="e">
        <f aca="false">AK85-AK92-AK93-AK94</f>
        <v>#VALUE!</v>
      </c>
      <c r="AL96" s="11" t="e">
        <f aca="false">AL85-AL92-AL93-AL94</f>
        <v>#VALUE!</v>
      </c>
      <c r="AM96" s="11" t="e">
        <f aca="false">AM85-AM92-AM93-AM94</f>
        <v>#VALUE!</v>
      </c>
      <c r="AN96" s="11" t="e">
        <f aca="false">AN85-AN92-AN93-AN94</f>
        <v>#VALUE!</v>
      </c>
      <c r="AO96" s="11" t="e">
        <f aca="false">AO85-AO92-AO93-AO94</f>
        <v>#VALUE!</v>
      </c>
      <c r="AP96" s="11" t="e">
        <f aca="false">AP85-AP92-AP93-AP94</f>
        <v>#VALUE!</v>
      </c>
      <c r="AQ96" s="11" t="e">
        <f aca="false">AQ85-AQ92-AQ93-AQ94</f>
        <v>#VALUE!</v>
      </c>
      <c r="AR96" s="11" t="e">
        <f aca="false">AR85-AR92-AR93-AR94</f>
        <v>#VALUE!</v>
      </c>
      <c r="AS96" s="11" t="e">
        <f aca="false">AS85-AS92-AS93-AS94</f>
        <v>#VALUE!</v>
      </c>
      <c r="AT96" s="11" t="e">
        <f aca="false">AT85-AT92-AT93-AT94</f>
        <v>#VALUE!</v>
      </c>
      <c r="AU96" s="11" t="e">
        <f aca="false">AU85-AU92-AU93-AU94</f>
        <v>#VALUE!</v>
      </c>
      <c r="AV96" s="11" t="e">
        <f aca="false">AV85-AV92-AV93-AV94</f>
        <v>#VALUE!</v>
      </c>
      <c r="AW96" s="11" t="e">
        <f aca="false">AW85-AW92-AW93-AW94</f>
        <v>#VALUE!</v>
      </c>
      <c r="AX96" s="11" t="e">
        <f aca="false">AX85-AX92-AX93-AX94</f>
        <v>#VALUE!</v>
      </c>
      <c r="AY96" s="11" t="e">
        <f aca="false">AY85-AY92-AY93-AY94</f>
        <v>#VALUE!</v>
      </c>
      <c r="AZ96" s="11" t="e">
        <f aca="false">AZ85-AZ92-AZ93-AZ94</f>
        <v>#VALUE!</v>
      </c>
      <c r="BA96" s="11" t="e">
        <f aca="false">BA85-BA92-BA93-BA94</f>
        <v>#VALUE!</v>
      </c>
      <c r="BB96" s="11" t="e">
        <f aca="false">BB85-BB92-BB93-BB94</f>
        <v>#VALUE!</v>
      </c>
      <c r="BC96" s="11" t="e">
        <f aca="false">BC85-BC92-BC93-BC94</f>
        <v>#VALUE!</v>
      </c>
      <c r="BD96" s="11" t="e">
        <f aca="false">BD85-BD92-BD93-BD94</f>
        <v>#VALUE!</v>
      </c>
      <c r="BE96" s="11" t="e">
        <f aca="false">BE85-BE92-BE93-BE94</f>
        <v>#VALUE!</v>
      </c>
      <c r="BF96" s="11" t="e">
        <f aca="false">BF85-BF92-BF93-BF94</f>
        <v>#VALUE!</v>
      </c>
      <c r="BG96" s="11" t="e">
        <f aca="false">BG85-BG92-BG93-BG94</f>
        <v>#VALUE!</v>
      </c>
      <c r="BH96" s="11" t="e">
        <f aca="false">BH85-BH92-BH93-BH94</f>
        <v>#VALUE!</v>
      </c>
      <c r="BI96" s="11" t="e">
        <f aca="false">BI85-BI92-BI93-BI94</f>
        <v>#VALUE!</v>
      </c>
      <c r="BJ96" s="11" t="e">
        <f aca="false">BJ85-BJ92-BJ93-BJ94</f>
        <v>#VALUE!</v>
      </c>
      <c r="BK96" s="11" t="e">
        <f aca="false">BK85-BK92-BK93-BK94</f>
        <v>#VALUE!</v>
      </c>
      <c r="BL96" s="11" t="e">
        <f aca="false">BL85-BL92-BL93-BL94</f>
        <v>#VALUE!</v>
      </c>
      <c r="BM96" s="11" t="e">
        <f aca="false">BM85-BM92-BM93-BM94</f>
        <v>#VALUE!</v>
      </c>
      <c r="BN96" s="11" t="e">
        <f aca="false">BN85-BN92-BN93-BN94</f>
        <v>#VALUE!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e">
        <f aca="false">SUM(J97:BN97)</f>
        <v>#VALUE!</v>
      </c>
      <c r="J97" s="11" t="e">
        <f aca="false">Waterfall!J28*J96/(J36+J51+J66+J81+J96+0.000000001)</f>
        <v>#VALUE!</v>
      </c>
      <c r="K97" s="11" t="e">
        <f aca="false">Waterfall!K28*K96/(K36+K51+K66+K81+K96+0.000000001)</f>
        <v>#VALUE!</v>
      </c>
      <c r="L97" s="11" t="e">
        <f aca="false">Waterfall!L28*L96/(L36+L51+L66+L81+L96+0.000000001)</f>
        <v>#VALUE!</v>
      </c>
      <c r="M97" s="11" t="e">
        <f aca="false">Waterfall!M28*M96/(M36+M51+M66+M81+M96+0.000000001)</f>
        <v>#VALUE!</v>
      </c>
      <c r="N97" s="11" t="e">
        <f aca="false">Waterfall!N28*N96/(N36+N51+N66+N81+N96+0.000000001)</f>
        <v>#VALUE!</v>
      </c>
      <c r="O97" s="11" t="e">
        <f aca="false">Waterfall!O28*O96/(O36+O51+O66+O81+O96+0.000000001)</f>
        <v>#VALUE!</v>
      </c>
      <c r="P97" s="11" t="e">
        <f aca="false">Waterfall!P28*P96/(P36+P51+P66+P81+P96+0.000000001)</f>
        <v>#VALUE!</v>
      </c>
      <c r="Q97" s="11" t="e">
        <f aca="false">Waterfall!Q28*Q96/(Q36+Q51+Q66+Q81+Q96+0.000000001)</f>
        <v>#VALUE!</v>
      </c>
      <c r="R97" s="11" t="e">
        <f aca="false">Waterfall!R28*R96/(R36+R51+R66+R81+R96+0.000000001)</f>
        <v>#VALUE!</v>
      </c>
      <c r="S97" s="11" t="e">
        <f aca="false">Waterfall!S28*S96/(S36+S51+S66+S81+S96+0.000000001)</f>
        <v>#VALUE!</v>
      </c>
      <c r="T97" s="11" t="e">
        <f aca="false">Waterfall!T28*T96/(T36+T51+T66+T81+T96+0.000000001)</f>
        <v>#VALUE!</v>
      </c>
      <c r="U97" s="11" t="e">
        <f aca="false">Waterfall!U28*U96/(U36+U51+U66+U81+U96+0.000000001)</f>
        <v>#VALUE!</v>
      </c>
      <c r="V97" s="11" t="e">
        <f aca="false">Waterfall!V28*V96/(V36+V51+V66+V81+V96+0.000000001)</f>
        <v>#VALUE!</v>
      </c>
      <c r="W97" s="11" t="e">
        <f aca="false">Waterfall!W28*W96/(W36+W51+W66+W81+W96+0.000000001)</f>
        <v>#VALUE!</v>
      </c>
      <c r="X97" s="11" t="e">
        <f aca="false">Waterfall!X28*X96/(X36+X51+X66+X81+X96+0.000000001)</f>
        <v>#VALUE!</v>
      </c>
      <c r="Y97" s="11" t="e">
        <f aca="false">Waterfall!Y28*Y96/(Y36+Y51+Y66+Y81+Y96+0.000000001)</f>
        <v>#VALUE!</v>
      </c>
      <c r="Z97" s="11" t="e">
        <f aca="false">Waterfall!Z28*Z96/(Z36+Z51+Z66+Z81+Z96+0.000000001)</f>
        <v>#VALUE!</v>
      </c>
      <c r="AA97" s="11" t="e">
        <f aca="false">Waterfall!AA28*AA96/(AA36+AA51+AA66+AA81+AA96+0.000000001)</f>
        <v>#VALUE!</v>
      </c>
      <c r="AB97" s="11" t="e">
        <f aca="false">Waterfall!AB28*AB96/(AB36+AB51+AB66+AB81+AB96+0.000000001)</f>
        <v>#VALUE!</v>
      </c>
      <c r="AC97" s="11" t="e">
        <f aca="false">Waterfall!AC28*AC96/(AC36+AC51+AC66+AC81+AC96+0.000000001)</f>
        <v>#VALUE!</v>
      </c>
      <c r="AD97" s="11" t="e">
        <f aca="false">Waterfall!AD28*AD96/(AD36+AD51+AD66+AD81+AD96+0.000000001)</f>
        <v>#VALUE!</v>
      </c>
      <c r="AE97" s="11" t="e">
        <f aca="false">Waterfall!AE28*AE96/(AE36+AE51+AE66+AE81+AE96+0.000000001)</f>
        <v>#VALUE!</v>
      </c>
      <c r="AF97" s="11" t="e">
        <f aca="false">Waterfall!AF28*AF96/(AF36+AF51+AF66+AF81+AF96+0.000000001)</f>
        <v>#VALUE!</v>
      </c>
      <c r="AG97" s="11" t="e">
        <f aca="false">Waterfall!AG28*AG96/(AG36+AG51+AG66+AG81+AG96+0.000000001)</f>
        <v>#VALUE!</v>
      </c>
      <c r="AH97" s="11" t="e">
        <f aca="false">Waterfall!AH28*AH96/(AH36+AH51+AH66+AH81+AH96+0.000000001)</f>
        <v>#VALUE!</v>
      </c>
      <c r="AI97" s="11" t="e">
        <f aca="false">Waterfall!AI28*AI96/(AI36+AI51+AI66+AI81+AI96+0.000000001)</f>
        <v>#VALUE!</v>
      </c>
      <c r="AJ97" s="11" t="e">
        <f aca="false">Waterfall!AJ28*AJ96/(AJ36+AJ51+AJ66+AJ81+AJ96+0.000000001)</f>
        <v>#VALUE!</v>
      </c>
      <c r="AK97" s="11" t="e">
        <f aca="false">Waterfall!AK28*AK96/(AK36+AK51+AK66+AK81+AK96+0.000000001)</f>
        <v>#VALUE!</v>
      </c>
      <c r="AL97" s="11" t="e">
        <f aca="false">Waterfall!AL28*AL96/(AL36+AL51+AL66+AL81+AL96+0.000000001)</f>
        <v>#VALUE!</v>
      </c>
      <c r="AM97" s="11" t="e">
        <f aca="false">Waterfall!AM28*AM96/(AM36+AM51+AM66+AM81+AM96+0.000000001)</f>
        <v>#VALUE!</v>
      </c>
      <c r="AN97" s="11" t="e">
        <f aca="false">Waterfall!AN28*AN96/(AN36+AN51+AN66+AN81+AN96+0.000000001)</f>
        <v>#VALUE!</v>
      </c>
      <c r="AO97" s="11" t="e">
        <f aca="false">Waterfall!AO28*AO96/(AO36+AO51+AO66+AO81+AO96+0.000000001)</f>
        <v>#VALUE!</v>
      </c>
      <c r="AP97" s="11" t="e">
        <f aca="false">Waterfall!AP28*AP96/(AP36+AP51+AP66+AP81+AP96+0.000000001)</f>
        <v>#VALUE!</v>
      </c>
      <c r="AQ97" s="11" t="e">
        <f aca="false">Waterfall!AQ28*AQ96/(AQ36+AQ51+AQ66+AQ81+AQ96+0.000000001)</f>
        <v>#VALUE!</v>
      </c>
      <c r="AR97" s="11" t="e">
        <f aca="false">Waterfall!AR28*AR96/(AR36+AR51+AR66+AR81+AR96+0.000000001)</f>
        <v>#VALUE!</v>
      </c>
      <c r="AS97" s="11" t="e">
        <f aca="false">Waterfall!AS28*AS96/(AS36+AS51+AS66+AS81+AS96+0.000000001)</f>
        <v>#VALUE!</v>
      </c>
      <c r="AT97" s="11" t="e">
        <f aca="false">Waterfall!AT28*AT96/(AT36+AT51+AT66+AT81+AT96+0.000000001)</f>
        <v>#VALUE!</v>
      </c>
      <c r="AU97" s="11" t="e">
        <f aca="false">Waterfall!AU28*AU96/(AU36+AU51+AU66+AU81+AU96+0.000000001)</f>
        <v>#VALUE!</v>
      </c>
      <c r="AV97" s="11" t="e">
        <f aca="false">Waterfall!AV28*AV96/(AV36+AV51+AV66+AV81+AV96+0.000000001)</f>
        <v>#VALUE!</v>
      </c>
      <c r="AW97" s="11" t="e">
        <f aca="false">Waterfall!AW28*AW96/(AW36+AW51+AW66+AW81+AW96+0.000000001)</f>
        <v>#VALUE!</v>
      </c>
      <c r="AX97" s="11" t="e">
        <f aca="false">Waterfall!AX28*AX96/(AX36+AX51+AX66+AX81+AX96+0.000000001)</f>
        <v>#VALUE!</v>
      </c>
      <c r="AY97" s="11" t="e">
        <f aca="false">Waterfall!AY28*AY96/(AY36+AY51+AY66+AY81+AY96+0.000000001)</f>
        <v>#VALUE!</v>
      </c>
      <c r="AZ97" s="11" t="e">
        <f aca="false">Waterfall!AZ28*AZ96/(AZ36+AZ51+AZ66+AZ81+AZ96+0.000000001)</f>
        <v>#VALUE!</v>
      </c>
      <c r="BA97" s="11" t="e">
        <f aca="false">Waterfall!BA28*BA96/(BA36+BA51+BA66+BA81+BA96+0.000000001)</f>
        <v>#VALUE!</v>
      </c>
      <c r="BB97" s="11" t="e">
        <f aca="false">Waterfall!BB28*BB96/(BB36+BB51+BB66+BB81+BB96+0.000000001)</f>
        <v>#VALUE!</v>
      </c>
      <c r="BC97" s="11" t="e">
        <f aca="false">Waterfall!BC28*BC96/(BC36+BC51+BC66+BC81+BC96+0.000000001)</f>
        <v>#VALUE!</v>
      </c>
      <c r="BD97" s="11" t="e">
        <f aca="false">Waterfall!BD28*BD96/(BD36+BD51+BD66+BD81+BD96+0.000000001)</f>
        <v>#VALUE!</v>
      </c>
      <c r="BE97" s="11" t="e">
        <f aca="false">Waterfall!BE28*BE96/(BE36+BE51+BE66+BE81+BE96+0.000000001)</f>
        <v>#VALUE!</v>
      </c>
      <c r="BF97" s="11" t="e">
        <f aca="false">Waterfall!BF28*BF96/(BF36+BF51+BF66+BF81+BF96+0.000000001)</f>
        <v>#VALUE!</v>
      </c>
      <c r="BG97" s="11" t="e">
        <f aca="false">Waterfall!BG28*BG96/(BG36+BG51+BG66+BG81+BG96+0.000000001)</f>
        <v>#VALUE!</v>
      </c>
      <c r="BH97" s="11" t="e">
        <f aca="false">Waterfall!BH28*BH96/(BH36+BH51+BH66+BH81+BH96+0.000000001)</f>
        <v>#VALUE!</v>
      </c>
      <c r="BI97" s="11" t="e">
        <f aca="false">Waterfall!BI28*BI96/(BI36+BI51+BI66+BI81+BI96+0.000000001)</f>
        <v>#VALUE!</v>
      </c>
      <c r="BJ97" s="11" t="e">
        <f aca="false">Waterfall!BJ28*BJ96/(BJ36+BJ51+BJ66+BJ81+BJ96+0.000000001)</f>
        <v>#VALUE!</v>
      </c>
      <c r="BK97" s="11" t="e">
        <f aca="false">Waterfall!BK28*BK96/(BK36+BK51+BK66+BK81+BK96+0.000000001)</f>
        <v>#VALUE!</v>
      </c>
      <c r="BL97" s="11" t="e">
        <f aca="false">Waterfall!BL28*BL96/(BL36+BL51+BL66+BL81+BL96+0.000000001)</f>
        <v>#VALUE!</v>
      </c>
      <c r="BM97" s="11" t="e">
        <f aca="false">Waterfall!BM28*BM96/(BM36+BM51+BM66+BM81+BM96+0.000000001)</f>
        <v>#VALUE!</v>
      </c>
      <c r="BN97" s="11" t="e">
        <f aca="false">Waterfall!BN28*BN96/(BN36+BN51+BN66+BN81+BN96+0.000000001)</f>
        <v>#VALUE!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e">
        <f aca="false">IF(Time!J29=1,INDEX(Funding!$J$65:$BJ$65,1,Time!$F$13),Time!J30*(J96-J97))</f>
        <v>#VALUE!</v>
      </c>
      <c r="K98" s="11" t="e">
        <f aca="false">IF(Time!K29=1,INDEX(Funding!$J$65:$BJ$65,1,Time!$F$13),Time!K30*(K96-K97))</f>
        <v>#VALUE!</v>
      </c>
      <c r="L98" s="11" t="e">
        <f aca="false">IF(Time!L29=1,INDEX(Funding!$J$65:$BJ$65,1,Time!$F$13),Time!L30*(L96-L97))</f>
        <v>#VALUE!</v>
      </c>
      <c r="M98" s="11" t="e">
        <f aca="false">IF(Time!M29=1,INDEX(Funding!$J$65:$BJ$65,1,Time!$F$13),Time!M30*(M96-M97))</f>
        <v>#VALUE!</v>
      </c>
      <c r="N98" s="11" t="e">
        <f aca="false">IF(Time!N29=1,INDEX(Funding!$J$65:$BJ$65,1,Time!$F$13),Time!N30*(N96-N97))</f>
        <v>#VALUE!</v>
      </c>
      <c r="O98" s="11" t="n">
        <f aca="false">IF(Time!O29=1,INDEX(Funding!$J$65:$BJ$65,1,Time!$F$13),Time!O30*(O96-O97))</f>
        <v>1.74223968585352E-011</v>
      </c>
      <c r="P98" s="11" t="e">
        <f aca="false">IF(Time!P29=1,INDEX(Funding!$J$65:$BJ$65,1,Time!$F$13),Time!P30*(P96-P97))</f>
        <v>#VALUE!</v>
      </c>
      <c r="Q98" s="11" t="e">
        <f aca="false">IF(Time!Q29=1,INDEX(Funding!$J$65:$BJ$65,1,Time!$F$13),Time!Q30*(Q96-Q97))</f>
        <v>#VALUE!</v>
      </c>
      <c r="R98" s="11" t="e">
        <f aca="false">IF(Time!R29=1,INDEX(Funding!$J$65:$BJ$65,1,Time!$F$13),Time!R30*(R96-R97))</f>
        <v>#VALUE!</v>
      </c>
      <c r="S98" s="11" t="e">
        <f aca="false">IF(Time!S29=1,INDEX(Funding!$J$65:$BJ$65,1,Time!$F$13),Time!S30*(S96-S97))</f>
        <v>#VALUE!</v>
      </c>
      <c r="T98" s="11" t="e">
        <f aca="false">IF(Time!T29=1,INDEX(Funding!$J$65:$BJ$65,1,Time!$F$13),Time!T30*(T96-T97))</f>
        <v>#VALUE!</v>
      </c>
      <c r="U98" s="11" t="e">
        <f aca="false">IF(Time!U29=1,INDEX(Funding!$J$65:$BJ$65,1,Time!$F$13),Time!U30*(U96-U97))</f>
        <v>#VALUE!</v>
      </c>
      <c r="V98" s="11" t="e">
        <f aca="false">IF(Time!V29=1,INDEX(Funding!$J$65:$BJ$65,1,Time!$F$13),Time!V30*(V96-V97))</f>
        <v>#VALUE!</v>
      </c>
      <c r="W98" s="11" t="e">
        <f aca="false">IF(Time!W29=1,INDEX(Funding!$J$65:$BJ$65,1,Time!$F$13),Time!W30*(W96-W97))</f>
        <v>#VALUE!</v>
      </c>
      <c r="X98" s="11" t="e">
        <f aca="false">IF(Time!X29=1,INDEX(Funding!$J$65:$BJ$65,1,Time!$F$13),Time!X30*(X96-X97))</f>
        <v>#VALUE!</v>
      </c>
      <c r="Y98" s="11" t="e">
        <f aca="false">IF(Time!Y29=1,INDEX(Funding!$J$65:$BJ$65,1,Time!$F$13),Time!Y30*(Y96-Y97))</f>
        <v>#VALUE!</v>
      </c>
      <c r="Z98" s="11" t="e">
        <f aca="false">IF(Time!Z29=1,INDEX(Funding!$J$65:$BJ$65,1,Time!$F$13),Time!Z30*(Z96-Z97))</f>
        <v>#VALUE!</v>
      </c>
      <c r="AA98" s="11" t="e">
        <f aca="false">IF(Time!AA29=1,INDEX(Funding!$J$65:$BJ$65,1,Time!$F$13),Time!AA30*(AA96-AA97))</f>
        <v>#VALUE!</v>
      </c>
      <c r="AB98" s="11" t="e">
        <f aca="false">IF(Time!AB29=1,INDEX(Funding!$J$65:$BJ$65,1,Time!$F$13),Time!AB30*(AB96-AB97))</f>
        <v>#VALUE!</v>
      </c>
      <c r="AC98" s="11" t="e">
        <f aca="false">IF(Time!AC29=1,INDEX(Funding!$J$65:$BJ$65,1,Time!$F$13),Time!AC30*(AC96-AC97))</f>
        <v>#VALUE!</v>
      </c>
      <c r="AD98" s="11" t="e">
        <f aca="false">IF(Time!AD29=1,INDEX(Funding!$J$65:$BJ$65,1,Time!$F$13),Time!AD30*(AD96-AD97))</f>
        <v>#VALUE!</v>
      </c>
      <c r="AE98" s="11" t="e">
        <f aca="false">IF(Time!AE29=1,INDEX(Funding!$J$65:$BJ$65,1,Time!$F$13),Time!AE30*(AE96-AE97))</f>
        <v>#VALUE!</v>
      </c>
      <c r="AF98" s="11" t="e">
        <f aca="false">IF(Time!AF29=1,INDEX(Funding!$J$65:$BJ$65,1,Time!$F$13),Time!AF30*(AF96-AF97))</f>
        <v>#VALUE!</v>
      </c>
      <c r="AG98" s="11" t="e">
        <f aca="false">IF(Time!AG29=1,INDEX(Funding!$J$65:$BJ$65,1,Time!$F$13),Time!AG30*(AG96-AG97))</f>
        <v>#VALUE!</v>
      </c>
      <c r="AH98" s="11" t="e">
        <f aca="false">IF(Time!AH29=1,INDEX(Funding!$J$65:$BJ$65,1,Time!$F$13),Time!AH30*(AH96-AH97))</f>
        <v>#VALUE!</v>
      </c>
      <c r="AI98" s="11" t="e">
        <f aca="false">IF(Time!AI29=1,INDEX(Funding!$J$65:$BJ$65,1,Time!$F$13),Time!AI30*(AI96-AI97))</f>
        <v>#VALUE!</v>
      </c>
      <c r="AJ98" s="11" t="e">
        <f aca="false">IF(Time!AJ29=1,INDEX(Funding!$J$65:$BJ$65,1,Time!$F$13),Time!AJ30*(AJ96-AJ97))</f>
        <v>#VALUE!</v>
      </c>
      <c r="AK98" s="11" t="e">
        <f aca="false">IF(Time!AK29=1,INDEX(Funding!$J$65:$BJ$65,1,Time!$F$13),Time!AK30*(AK96-AK97))</f>
        <v>#VALUE!</v>
      </c>
      <c r="AL98" s="11" t="e">
        <f aca="false">IF(Time!AL29=1,INDEX(Funding!$J$65:$BJ$65,1,Time!$F$13),Time!AL30*(AL96-AL97))</f>
        <v>#VALUE!</v>
      </c>
      <c r="AM98" s="11" t="e">
        <f aca="false">IF(Time!AM29=1,INDEX(Funding!$J$65:$BJ$65,1,Time!$F$13),Time!AM30*(AM96-AM97))</f>
        <v>#VALUE!</v>
      </c>
      <c r="AN98" s="11" t="e">
        <f aca="false">IF(Time!AN29=1,INDEX(Funding!$J$65:$BJ$65,1,Time!$F$13),Time!AN30*(AN96-AN97))</f>
        <v>#VALUE!</v>
      </c>
      <c r="AO98" s="11" t="e">
        <f aca="false">IF(Time!AO29=1,INDEX(Funding!$J$65:$BJ$65,1,Time!$F$13),Time!AO30*(AO96-AO97))</f>
        <v>#VALUE!</v>
      </c>
      <c r="AP98" s="11" t="e">
        <f aca="false">IF(Time!AP29=1,INDEX(Funding!$J$65:$BJ$65,1,Time!$F$13),Time!AP30*(AP96-AP97))</f>
        <v>#VALUE!</v>
      </c>
      <c r="AQ98" s="11" t="e">
        <f aca="false">IF(Time!AQ29=1,INDEX(Funding!$J$65:$BJ$65,1,Time!$F$13),Time!AQ30*(AQ96-AQ97))</f>
        <v>#VALUE!</v>
      </c>
      <c r="AR98" s="11" t="e">
        <f aca="false">IF(Time!AR29=1,INDEX(Funding!$J$65:$BJ$65,1,Time!$F$13),Time!AR30*(AR96-AR97))</f>
        <v>#VALUE!</v>
      </c>
      <c r="AS98" s="11" t="e">
        <f aca="false">IF(Time!AS29=1,INDEX(Funding!$J$65:$BJ$65,1,Time!$F$13),Time!AS30*(AS96-AS97))</f>
        <v>#VALUE!</v>
      </c>
      <c r="AT98" s="11" t="e">
        <f aca="false">IF(Time!AT29=1,INDEX(Funding!$J$65:$BJ$65,1,Time!$F$13),Time!AT30*(AT96-AT97))</f>
        <v>#VALUE!</v>
      </c>
      <c r="AU98" s="11" t="e">
        <f aca="false">IF(Time!AU29=1,INDEX(Funding!$J$65:$BJ$65,1,Time!$F$13),Time!AU30*(AU96-AU97))</f>
        <v>#VALUE!</v>
      </c>
      <c r="AV98" s="11" t="e">
        <f aca="false">IF(Time!AV29=1,INDEX(Funding!$J$65:$BJ$65,1,Time!$F$13),Time!AV30*(AV96-AV97))</f>
        <v>#VALUE!</v>
      </c>
      <c r="AW98" s="11" t="e">
        <f aca="false">IF(Time!AW29=1,INDEX(Funding!$J$65:$BJ$65,1,Time!$F$13),Time!AW30*(AW96-AW97))</f>
        <v>#VALUE!</v>
      </c>
      <c r="AX98" s="11" t="e">
        <f aca="false">IF(Time!AX29=1,INDEX(Funding!$J$65:$BJ$65,1,Time!$F$13),Time!AX30*(AX96-AX97))</f>
        <v>#VALUE!</v>
      </c>
      <c r="AY98" s="11" t="e">
        <f aca="false">IF(Time!AY29=1,INDEX(Funding!$J$65:$BJ$65,1,Time!$F$13),Time!AY30*(AY96-AY97))</f>
        <v>#VALUE!</v>
      </c>
      <c r="AZ98" s="11" t="e">
        <f aca="false">IF(Time!AZ29=1,INDEX(Funding!$J$65:$BJ$65,1,Time!$F$13),Time!AZ30*(AZ96-AZ97))</f>
        <v>#VALUE!</v>
      </c>
      <c r="BA98" s="11" t="e">
        <f aca="false">IF(Time!BA29=1,INDEX(Funding!$J$65:$BJ$65,1,Time!$F$13),Time!BA30*(BA96-BA97))</f>
        <v>#VALUE!</v>
      </c>
      <c r="BB98" s="11" t="e">
        <f aca="false">IF(Time!BB29=1,INDEX(Funding!$J$65:$BJ$65,1,Time!$F$13),Time!BB30*(BB96-BB97))</f>
        <v>#VALUE!</v>
      </c>
      <c r="BC98" s="11" t="e">
        <f aca="false">IF(Time!BC29=1,INDEX(Funding!$J$65:$BJ$65,1,Time!$F$13),Time!BC30*(BC96-BC97))</f>
        <v>#VALUE!</v>
      </c>
      <c r="BD98" s="11" t="e">
        <f aca="false">IF(Time!BD29=1,INDEX(Funding!$J$65:$BJ$65,1,Time!$F$13),Time!BD30*(BD96-BD97))</f>
        <v>#VALUE!</v>
      </c>
      <c r="BE98" s="11" t="e">
        <f aca="false">IF(Time!BE29=1,INDEX(Funding!$J$65:$BJ$65,1,Time!$F$13),Time!BE30*(BE96-BE97))</f>
        <v>#VALUE!</v>
      </c>
      <c r="BF98" s="11" t="e">
        <f aca="false">IF(Time!BF29=1,INDEX(Funding!$J$65:$BJ$65,1,Time!$F$13),Time!BF30*(BF96-BF97))</f>
        <v>#VALUE!</v>
      </c>
      <c r="BG98" s="11" t="e">
        <f aca="false">IF(Time!BG29=1,INDEX(Funding!$J$65:$BJ$65,1,Time!$F$13),Time!BG30*(BG96-BG97))</f>
        <v>#VALUE!</v>
      </c>
      <c r="BH98" s="11" t="e">
        <f aca="false">IF(Time!BH29=1,INDEX(Funding!$J$65:$BJ$65,1,Time!$F$13),Time!BH30*(BH96-BH97))</f>
        <v>#VALUE!</v>
      </c>
      <c r="BI98" s="11" t="e">
        <f aca="false">IF(Time!BI29=1,INDEX(Funding!$J$65:$BJ$65,1,Time!$F$13),Time!BI30*(BI96-BI97))</f>
        <v>#VALUE!</v>
      </c>
      <c r="BJ98" s="11" t="e">
        <f aca="false">IF(Time!BJ29=1,INDEX(Funding!$J$65:$BJ$65,1,Time!$F$13),Time!BJ30*(BJ96-BJ97))</f>
        <v>#VALUE!</v>
      </c>
      <c r="BK98" s="11" t="e">
        <f aca="false">IF(Time!BK29=1,INDEX(Funding!$J$65:$BJ$65,1,Time!$F$13),Time!BK30*(BK96-BK97))</f>
        <v>#VALUE!</v>
      </c>
      <c r="BL98" s="11" t="e">
        <f aca="false">IF(Time!BL29=1,INDEX(Funding!$J$65:$BJ$65,1,Time!$F$13),Time!BL30*(BL96-BL97))</f>
        <v>#VALUE!</v>
      </c>
      <c r="BM98" s="11" t="e">
        <f aca="false">IF(Time!BM29=1,INDEX(Funding!$J$65:$BJ$65,1,Time!$F$13),Time!BM30*(BM96-BM97))</f>
        <v>#VALUE!</v>
      </c>
      <c r="BN98" s="11" t="e">
        <f aca="false">IF(Time!BN29=1,INDEX(Funding!$J$65:$BJ$65,1,Time!$F$13),Time!BN30*(BN96-BN97))</f>
        <v>#VALUE!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e">
        <f aca="false">Time!K30*J104</f>
        <v>#VALUE!</v>
      </c>
      <c r="L100" s="11" t="e">
        <f aca="false">Time!L30*K104</f>
        <v>#VALUE!</v>
      </c>
      <c r="M100" s="11" t="e">
        <f aca="false">Time!M30*L104</f>
        <v>#VALUE!</v>
      </c>
      <c r="N100" s="11" t="e">
        <f aca="false">Time!N30*M104</f>
        <v>#VALUE!</v>
      </c>
      <c r="O100" s="11" t="e">
        <f aca="false">Time!O30*N104</f>
        <v>#VALUE!</v>
      </c>
      <c r="P100" s="11" t="e">
        <f aca="false">Time!P30*O104</f>
        <v>#VALUE!</v>
      </c>
      <c r="Q100" s="11" t="e">
        <f aca="false">Time!Q30*P104</f>
        <v>#VALUE!</v>
      </c>
      <c r="R100" s="11" t="e">
        <f aca="false">Time!R30*Q104</f>
        <v>#VALUE!</v>
      </c>
      <c r="S100" s="11" t="e">
        <f aca="false">Time!S30*R104</f>
        <v>#VALUE!</v>
      </c>
      <c r="T100" s="11" t="e">
        <f aca="false">Time!T30*S104</f>
        <v>#VALUE!</v>
      </c>
      <c r="U100" s="11" t="e">
        <f aca="false">Time!U30*T104</f>
        <v>#VALUE!</v>
      </c>
      <c r="V100" s="11" t="e">
        <f aca="false">Time!V30*U104</f>
        <v>#VALUE!</v>
      </c>
      <c r="W100" s="11" t="e">
        <f aca="false">Time!W30*V104</f>
        <v>#VALUE!</v>
      </c>
      <c r="X100" s="11" t="e">
        <f aca="false">Time!X30*W104</f>
        <v>#VALUE!</v>
      </c>
      <c r="Y100" s="11" t="e">
        <f aca="false">Time!Y30*X104</f>
        <v>#VALUE!</v>
      </c>
      <c r="Z100" s="11" t="e">
        <f aca="false">Time!Z30*Y104</f>
        <v>#VALUE!</v>
      </c>
      <c r="AA100" s="11" t="e">
        <f aca="false">Time!AA30*Z104</f>
        <v>#VALUE!</v>
      </c>
      <c r="AB100" s="11" t="e">
        <f aca="false">Time!AB30*AA104</f>
        <v>#VALUE!</v>
      </c>
      <c r="AC100" s="11" t="e">
        <f aca="false">Time!AC30*AB104</f>
        <v>#VALUE!</v>
      </c>
      <c r="AD100" s="11" t="e">
        <f aca="false">Time!AD30*AC104</f>
        <v>#VALUE!</v>
      </c>
      <c r="AE100" s="11" t="e">
        <f aca="false">Time!AE30*AD104</f>
        <v>#VALUE!</v>
      </c>
      <c r="AF100" s="11" t="e">
        <f aca="false">Time!AF30*AE104</f>
        <v>#VALUE!</v>
      </c>
      <c r="AG100" s="11" t="e">
        <f aca="false">Time!AG30*AF104</f>
        <v>#VALUE!</v>
      </c>
      <c r="AH100" s="11" t="e">
        <f aca="false">Time!AH30*AG104</f>
        <v>#VALUE!</v>
      </c>
      <c r="AI100" s="11" t="e">
        <f aca="false">Time!AI30*AH104</f>
        <v>#VALUE!</v>
      </c>
      <c r="AJ100" s="11" t="e">
        <f aca="false">Time!AJ30*AI104</f>
        <v>#VALUE!</v>
      </c>
      <c r="AK100" s="11" t="e">
        <f aca="false">Time!AK30*AJ104</f>
        <v>#VALUE!</v>
      </c>
      <c r="AL100" s="11" t="e">
        <f aca="false">Time!AL30*AK104</f>
        <v>#VALUE!</v>
      </c>
      <c r="AM100" s="11" t="e">
        <f aca="false">Time!AM30*AL104</f>
        <v>#VALUE!</v>
      </c>
      <c r="AN100" s="11" t="e">
        <f aca="false">Time!AN30*AM104</f>
        <v>#VALUE!</v>
      </c>
      <c r="AO100" s="11" t="e">
        <f aca="false">Time!AO30*AN104</f>
        <v>#VALUE!</v>
      </c>
      <c r="AP100" s="11" t="e">
        <f aca="false">Time!AP30*AO104</f>
        <v>#VALUE!</v>
      </c>
      <c r="AQ100" s="11" t="e">
        <f aca="false">Time!AQ30*AP104</f>
        <v>#VALUE!</v>
      </c>
      <c r="AR100" s="11" t="e">
        <f aca="false">Time!AR30*AQ104</f>
        <v>#VALUE!</v>
      </c>
      <c r="AS100" s="11" t="e">
        <f aca="false">Time!AS30*AR104</f>
        <v>#VALUE!</v>
      </c>
      <c r="AT100" s="11" t="e">
        <f aca="false">Time!AT30*AS104</f>
        <v>#VALUE!</v>
      </c>
      <c r="AU100" s="11" t="e">
        <f aca="false">Time!AU30*AT104</f>
        <v>#VALUE!</v>
      </c>
      <c r="AV100" s="11" t="e">
        <f aca="false">Time!AV30*AU104</f>
        <v>#VALUE!</v>
      </c>
      <c r="AW100" s="11" t="e">
        <f aca="false">Time!AW30*AV104</f>
        <v>#VALUE!</v>
      </c>
      <c r="AX100" s="11" t="e">
        <f aca="false">Time!AX30*AW104</f>
        <v>#VALUE!</v>
      </c>
      <c r="AY100" s="11" t="e">
        <f aca="false">Time!AY30*AX104</f>
        <v>#VALUE!</v>
      </c>
      <c r="AZ100" s="11" t="e">
        <f aca="false">Time!AZ30*AY104</f>
        <v>#VALUE!</v>
      </c>
      <c r="BA100" s="11" t="e">
        <f aca="false">Time!BA30*AZ104</f>
        <v>#VALUE!</v>
      </c>
      <c r="BB100" s="11" t="e">
        <f aca="false">Time!BB30*BA104</f>
        <v>#VALUE!</v>
      </c>
      <c r="BC100" s="11" t="e">
        <f aca="false">Time!BC30*BB104</f>
        <v>#VALUE!</v>
      </c>
      <c r="BD100" s="11" t="e">
        <f aca="false">Time!BD30*BC104</f>
        <v>#VALUE!</v>
      </c>
      <c r="BE100" s="11" t="e">
        <f aca="false">Time!BE30*BD104</f>
        <v>#VALUE!</v>
      </c>
      <c r="BF100" s="11" t="e">
        <f aca="false">Time!BF30*BE104</f>
        <v>#VALUE!</v>
      </c>
      <c r="BG100" s="11" t="e">
        <f aca="false">Time!BG30*BF104</f>
        <v>#VALUE!</v>
      </c>
      <c r="BH100" s="11" t="e">
        <f aca="false">Time!BH30*BG104</f>
        <v>#VALUE!</v>
      </c>
      <c r="BI100" s="11" t="e">
        <f aca="false">Time!BI30*BH104</f>
        <v>#VALUE!</v>
      </c>
      <c r="BJ100" s="11" t="e">
        <f aca="false">Time!BJ30*BI104</f>
        <v>#VALUE!</v>
      </c>
      <c r="BK100" s="11" t="e">
        <f aca="false">Time!BK30*BJ104</f>
        <v>#VALUE!</v>
      </c>
      <c r="BL100" s="11" t="e">
        <f aca="false">Time!BL30*BK104</f>
        <v>#VALUE!</v>
      </c>
      <c r="BM100" s="11" t="e">
        <f aca="false">Time!BM30*BL104</f>
        <v>#VALUE!</v>
      </c>
      <c r="BN100" s="11" t="e">
        <f aca="false">Time!BN30*BM104</f>
        <v>#VALUE!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e">
        <f aca="false">SUM(J101:BN101)</f>
        <v>#VALUE!</v>
      </c>
      <c r="J101" s="11" t="n">
        <f aca="false">J100*J15</f>
        <v>0</v>
      </c>
      <c r="K101" s="11" t="e">
        <f aca="false">K100*K15</f>
        <v>#VALUE!</v>
      </c>
      <c r="L101" s="11" t="e">
        <f aca="false">L100*L15</f>
        <v>#VALUE!</v>
      </c>
      <c r="M101" s="11" t="e">
        <f aca="false">M100*M15</f>
        <v>#VALUE!</v>
      </c>
      <c r="N101" s="11" t="e">
        <f aca="false">N100*N15</f>
        <v>#VALUE!</v>
      </c>
      <c r="O101" s="11" t="e">
        <f aca="false">O100*O15</f>
        <v>#VALUE!</v>
      </c>
      <c r="P101" s="11" t="e">
        <f aca="false">P100*P15</f>
        <v>#VALUE!</v>
      </c>
      <c r="Q101" s="11" t="e">
        <f aca="false">Q100*Q15</f>
        <v>#VALUE!</v>
      </c>
      <c r="R101" s="11" t="e">
        <f aca="false">R100*R15</f>
        <v>#VALUE!</v>
      </c>
      <c r="S101" s="11" t="e">
        <f aca="false">S100*S15</f>
        <v>#VALUE!</v>
      </c>
      <c r="T101" s="11" t="e">
        <f aca="false">T100*T15</f>
        <v>#VALUE!</v>
      </c>
      <c r="U101" s="11" t="e">
        <f aca="false">U100*U15</f>
        <v>#VALUE!</v>
      </c>
      <c r="V101" s="11" t="e">
        <f aca="false">V100*V15</f>
        <v>#VALUE!</v>
      </c>
      <c r="W101" s="11" t="e">
        <f aca="false">W100*W15</f>
        <v>#VALUE!</v>
      </c>
      <c r="X101" s="11" t="e">
        <f aca="false">X100*X15</f>
        <v>#VALUE!</v>
      </c>
      <c r="Y101" s="11" t="e">
        <f aca="false">Y100*Y15</f>
        <v>#VALUE!</v>
      </c>
      <c r="Z101" s="11" t="e">
        <f aca="false">Z100*Z15</f>
        <v>#VALUE!</v>
      </c>
      <c r="AA101" s="11" t="e">
        <f aca="false">AA100*AA15</f>
        <v>#VALUE!</v>
      </c>
      <c r="AB101" s="11" t="e">
        <f aca="false">AB100*AB15</f>
        <v>#VALUE!</v>
      </c>
      <c r="AC101" s="11" t="e">
        <f aca="false">AC100*AC15</f>
        <v>#VALUE!</v>
      </c>
      <c r="AD101" s="11" t="e">
        <f aca="false">AD100*AD15</f>
        <v>#VALUE!</v>
      </c>
      <c r="AE101" s="11" t="e">
        <f aca="false">AE100*AE15</f>
        <v>#VALUE!</v>
      </c>
      <c r="AF101" s="11" t="e">
        <f aca="false">AF100*AF15</f>
        <v>#VALUE!</v>
      </c>
      <c r="AG101" s="11" t="e">
        <f aca="false">AG100*AG15</f>
        <v>#VALUE!</v>
      </c>
      <c r="AH101" s="11" t="e">
        <f aca="false">AH100*AH15</f>
        <v>#VALUE!</v>
      </c>
      <c r="AI101" s="11" t="e">
        <f aca="false">AI100*AI15</f>
        <v>#VALUE!</v>
      </c>
      <c r="AJ101" s="11" t="e">
        <f aca="false">AJ100*AJ15</f>
        <v>#VALUE!</v>
      </c>
      <c r="AK101" s="11" t="e">
        <f aca="false">AK100*AK15</f>
        <v>#VALUE!</v>
      </c>
      <c r="AL101" s="11" t="e">
        <f aca="false">AL100*AL15</f>
        <v>#VALUE!</v>
      </c>
      <c r="AM101" s="11" t="e">
        <f aca="false">AM100*AM15</f>
        <v>#VALUE!</v>
      </c>
      <c r="AN101" s="11" t="e">
        <f aca="false">AN100*AN15</f>
        <v>#VALUE!</v>
      </c>
      <c r="AO101" s="11" t="e">
        <f aca="false">AO100*AO15</f>
        <v>#VALUE!</v>
      </c>
      <c r="AP101" s="11" t="e">
        <f aca="false">AP100*AP15</f>
        <v>#VALUE!</v>
      </c>
      <c r="AQ101" s="11" t="e">
        <f aca="false">AQ100*AQ15</f>
        <v>#VALUE!</v>
      </c>
      <c r="AR101" s="11" t="e">
        <f aca="false">AR100*AR15</f>
        <v>#VALUE!</v>
      </c>
      <c r="AS101" s="11" t="e">
        <f aca="false">AS100*AS15</f>
        <v>#VALUE!</v>
      </c>
      <c r="AT101" s="11" t="e">
        <f aca="false">AT100*AT15</f>
        <v>#VALUE!</v>
      </c>
      <c r="AU101" s="11" t="e">
        <f aca="false">AU100*AU15</f>
        <v>#VALUE!</v>
      </c>
      <c r="AV101" s="11" t="e">
        <f aca="false">AV100*AV15</f>
        <v>#VALUE!</v>
      </c>
      <c r="AW101" s="11" t="e">
        <f aca="false">AW100*AW15</f>
        <v>#VALUE!</v>
      </c>
      <c r="AX101" s="11" t="e">
        <f aca="false">AX100*AX15</f>
        <v>#VALUE!</v>
      </c>
      <c r="AY101" s="11" t="e">
        <f aca="false">AY100*AY15</f>
        <v>#VALUE!</v>
      </c>
      <c r="AZ101" s="11" t="e">
        <f aca="false">AZ100*AZ15</f>
        <v>#VALUE!</v>
      </c>
      <c r="BA101" s="11" t="e">
        <f aca="false">BA100*BA15</f>
        <v>#VALUE!</v>
      </c>
      <c r="BB101" s="11" t="e">
        <f aca="false">BB100*BB15</f>
        <v>#VALUE!</v>
      </c>
      <c r="BC101" s="11" t="e">
        <f aca="false">BC100*BC15</f>
        <v>#VALUE!</v>
      </c>
      <c r="BD101" s="11" t="e">
        <f aca="false">BD100*BD15</f>
        <v>#VALUE!</v>
      </c>
      <c r="BE101" s="11" t="e">
        <f aca="false">BE100*BE15</f>
        <v>#VALUE!</v>
      </c>
      <c r="BF101" s="11" t="e">
        <f aca="false">BF100*BF15</f>
        <v>#VALUE!</v>
      </c>
      <c r="BG101" s="11" t="e">
        <f aca="false">BG100*BG15</f>
        <v>#VALUE!</v>
      </c>
      <c r="BH101" s="11" t="e">
        <f aca="false">BH100*BH15</f>
        <v>#VALUE!</v>
      </c>
      <c r="BI101" s="11" t="e">
        <f aca="false">BI100*BI15</f>
        <v>#VALUE!</v>
      </c>
      <c r="BJ101" s="11" t="e">
        <f aca="false">BJ100*BJ15</f>
        <v>#VALUE!</v>
      </c>
      <c r="BK101" s="11" t="e">
        <f aca="false">BK100*BK15</f>
        <v>#VALUE!</v>
      </c>
      <c r="BL101" s="11" t="e">
        <f aca="false">BL100*BL15</f>
        <v>#VALUE!</v>
      </c>
      <c r="BM101" s="11" t="e">
        <f aca="false">BM100*BM15</f>
        <v>#VALUE!</v>
      </c>
      <c r="BN101" s="11" t="e">
        <f aca="false">BN100*BN15</f>
        <v>#VALUE!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e">
        <f aca="false">SUM(J102:BN102)</f>
        <v>#VALUE!</v>
      </c>
      <c r="J102" s="11" t="n">
        <f aca="false">IF(J100&gt;0,MIN($F$109*Inputs!J221,J100),0)</f>
        <v>0</v>
      </c>
      <c r="K102" s="11" t="e">
        <f aca="false">IF(K100&gt;0,MIN($F$109*Inputs!K221,K100),0)</f>
        <v>#VALUE!</v>
      </c>
      <c r="L102" s="11" t="e">
        <f aca="false">IF(L100&gt;0,MIN($F$109*Inputs!L221,L100),0)</f>
        <v>#VALUE!</v>
      </c>
      <c r="M102" s="11" t="e">
        <f aca="false">IF(M100&gt;0,MIN($F$109*Inputs!M221,M100),0)</f>
        <v>#VALUE!</v>
      </c>
      <c r="N102" s="11" t="e">
        <f aca="false">IF(N100&gt;0,MIN($F$109*Inputs!N221,N100),0)</f>
        <v>#VALUE!</v>
      </c>
      <c r="O102" s="11" t="e">
        <f aca="false">IF(O100&gt;0,MIN($F$109*Inputs!O221,O100),0)</f>
        <v>#VALUE!</v>
      </c>
      <c r="P102" s="11" t="e">
        <f aca="false">IF(P100&gt;0,MIN($F$109*Inputs!P221,P100),0)</f>
        <v>#VALUE!</v>
      </c>
      <c r="Q102" s="11" t="e">
        <f aca="false">IF(Q100&gt;0,MIN($F$109*Inputs!Q221,Q100),0)</f>
        <v>#VALUE!</v>
      </c>
      <c r="R102" s="11" t="e">
        <f aca="false">IF(R100&gt;0,MIN($F$109*Inputs!R221,R100),0)</f>
        <v>#VALUE!</v>
      </c>
      <c r="S102" s="11" t="e">
        <f aca="false">IF(S100&gt;0,MIN($F$109*Inputs!S221,S100),0)</f>
        <v>#VALUE!</v>
      </c>
      <c r="T102" s="11" t="e">
        <f aca="false">IF(T100&gt;0,MIN($F$109*Inputs!T221,T100),0)</f>
        <v>#VALUE!</v>
      </c>
      <c r="U102" s="11" t="e">
        <f aca="false">IF(U100&gt;0,MIN($F$109*Inputs!U221,U100),0)</f>
        <v>#VALUE!</v>
      </c>
      <c r="V102" s="11" t="e">
        <f aca="false">IF(V100&gt;0,MIN($F$109*Inputs!V221,V100),0)</f>
        <v>#VALUE!</v>
      </c>
      <c r="W102" s="11" t="e">
        <f aca="false">IF(W100&gt;0,MIN($F$109*Inputs!W221,W100),0)</f>
        <v>#VALUE!</v>
      </c>
      <c r="X102" s="11" t="e">
        <f aca="false">IF(X100&gt;0,MIN($F$109*Inputs!X221,X100),0)</f>
        <v>#VALUE!</v>
      </c>
      <c r="Y102" s="11" t="e">
        <f aca="false">IF(Y100&gt;0,MIN($F$109*Inputs!Y221,Y100),0)</f>
        <v>#VALUE!</v>
      </c>
      <c r="Z102" s="11" t="e">
        <f aca="false">IF(Z100&gt;0,MIN($F$109*Inputs!Z221,Z100),0)</f>
        <v>#VALUE!</v>
      </c>
      <c r="AA102" s="11" t="e">
        <f aca="false">IF(AA100&gt;0,MIN($F$109*Inputs!AA221,AA100),0)</f>
        <v>#VALUE!</v>
      </c>
      <c r="AB102" s="11" t="e">
        <f aca="false">IF(AB100&gt;0,MIN($F$109*Inputs!AB221,AB100),0)</f>
        <v>#VALUE!</v>
      </c>
      <c r="AC102" s="11" t="e">
        <f aca="false">IF(AC100&gt;0,MIN($F$109*Inputs!AC221,AC100),0)</f>
        <v>#VALUE!</v>
      </c>
      <c r="AD102" s="11" t="e">
        <f aca="false">IF(AD100&gt;0,MIN($F$109*Inputs!AD221,AD100),0)</f>
        <v>#VALUE!</v>
      </c>
      <c r="AE102" s="11" t="e">
        <f aca="false">IF(AE100&gt;0,MIN($F$109*Inputs!AE221,AE100),0)</f>
        <v>#VALUE!</v>
      </c>
      <c r="AF102" s="11" t="e">
        <f aca="false">IF(AF100&gt;0,MIN($F$109*Inputs!AF221,AF100),0)</f>
        <v>#VALUE!</v>
      </c>
      <c r="AG102" s="11" t="e">
        <f aca="false">IF(AG100&gt;0,MIN($F$109*Inputs!AG221,AG100),0)</f>
        <v>#VALUE!</v>
      </c>
      <c r="AH102" s="11" t="e">
        <f aca="false">IF(AH100&gt;0,MIN($F$109*Inputs!AH221,AH100),0)</f>
        <v>#VALUE!</v>
      </c>
      <c r="AI102" s="11" t="e">
        <f aca="false">IF(AI100&gt;0,MIN($F$109*Inputs!AI221,AI100),0)</f>
        <v>#VALUE!</v>
      </c>
      <c r="AJ102" s="11" t="e">
        <f aca="false">IF(AJ100&gt;0,MIN($F$109*Inputs!AJ221,AJ100),0)</f>
        <v>#VALUE!</v>
      </c>
      <c r="AK102" s="11" t="e">
        <f aca="false">IF(AK100&gt;0,MIN($F$109*Inputs!AK221,AK100),0)</f>
        <v>#VALUE!</v>
      </c>
      <c r="AL102" s="11" t="e">
        <f aca="false">IF(AL100&gt;0,MIN($F$109*Inputs!AL221,AL100),0)</f>
        <v>#VALUE!</v>
      </c>
      <c r="AM102" s="11" t="e">
        <f aca="false">IF(AM100&gt;0,MIN($F$109*Inputs!AM221,AM100),0)</f>
        <v>#VALUE!</v>
      </c>
      <c r="AN102" s="11" t="e">
        <f aca="false">IF(AN100&gt;0,MIN($F$109*Inputs!AN221,AN100),0)</f>
        <v>#VALUE!</v>
      </c>
      <c r="AO102" s="11" t="e">
        <f aca="false">IF(AO100&gt;0,MIN($F$109*Inputs!AO221,AO100),0)</f>
        <v>#VALUE!</v>
      </c>
      <c r="AP102" s="11" t="e">
        <f aca="false">IF(AP100&gt;0,MIN($F$109*Inputs!AP221,AP100),0)</f>
        <v>#VALUE!</v>
      </c>
      <c r="AQ102" s="11" t="e">
        <f aca="false">IF(AQ100&gt;0,MIN($F$109*Inputs!AQ221,AQ100),0)</f>
        <v>#VALUE!</v>
      </c>
      <c r="AR102" s="11" t="e">
        <f aca="false">IF(AR100&gt;0,MIN($F$109*Inputs!AR221,AR100),0)</f>
        <v>#VALUE!</v>
      </c>
      <c r="AS102" s="11" t="e">
        <f aca="false">IF(AS100&gt;0,MIN($F$109*Inputs!AS221,AS100),0)</f>
        <v>#VALUE!</v>
      </c>
      <c r="AT102" s="11" t="e">
        <f aca="false">IF(AT100&gt;0,MIN($F$109*Inputs!AT221,AT100),0)</f>
        <v>#VALUE!</v>
      </c>
      <c r="AU102" s="11" t="e">
        <f aca="false">IF(AU100&gt;0,MIN($F$109*Inputs!AU221,AU100),0)</f>
        <v>#VALUE!</v>
      </c>
      <c r="AV102" s="11" t="e">
        <f aca="false">IF(AV100&gt;0,MIN($F$109*Inputs!AV221,AV100),0)</f>
        <v>#VALUE!</v>
      </c>
      <c r="AW102" s="11" t="e">
        <f aca="false">IF(AW100&gt;0,MIN($F$109*Inputs!AW221,AW100),0)</f>
        <v>#VALUE!</v>
      </c>
      <c r="AX102" s="11" t="e">
        <f aca="false">IF(AX100&gt;0,MIN($F$109*Inputs!AX221,AX100),0)</f>
        <v>#VALUE!</v>
      </c>
      <c r="AY102" s="11" t="e">
        <f aca="false">IF(AY100&gt;0,MIN($F$109*Inputs!AY221,AY100),0)</f>
        <v>#VALUE!</v>
      </c>
      <c r="AZ102" s="11" t="e">
        <f aca="false">IF(AZ100&gt;0,MIN($F$109*Inputs!AZ221,AZ100),0)</f>
        <v>#VALUE!</v>
      </c>
      <c r="BA102" s="11" t="e">
        <f aca="false">IF(BA100&gt;0,MIN($F$109*Inputs!BA221,BA100),0)</f>
        <v>#VALUE!</v>
      </c>
      <c r="BB102" s="11" t="e">
        <f aca="false">IF(BB100&gt;0,MIN($F$109*Inputs!BB221,BB100),0)</f>
        <v>#VALUE!</v>
      </c>
      <c r="BC102" s="11" t="e">
        <f aca="false">IF(BC100&gt;0,MIN($F$109*Inputs!BC221,BC100),0)</f>
        <v>#VALUE!</v>
      </c>
      <c r="BD102" s="11" t="e">
        <f aca="false">IF(BD100&gt;0,MIN($F$109*Inputs!BD221,BD100),0)</f>
        <v>#VALUE!</v>
      </c>
      <c r="BE102" s="11" t="e">
        <f aca="false">IF(BE100&gt;0,MIN($F$109*Inputs!BE221,BE100),0)</f>
        <v>#VALUE!</v>
      </c>
      <c r="BF102" s="11" t="e">
        <f aca="false">IF(BF100&gt;0,MIN($F$109*Inputs!BF221,BF100),0)</f>
        <v>#VALUE!</v>
      </c>
      <c r="BG102" s="11" t="e">
        <f aca="false">IF(BG100&gt;0,MIN($F$109*Inputs!BG221,BG100),0)</f>
        <v>#VALUE!</v>
      </c>
      <c r="BH102" s="11" t="e">
        <f aca="false">IF(BH100&gt;0,MIN($F$109*Inputs!BH221,BH100),0)</f>
        <v>#VALUE!</v>
      </c>
      <c r="BI102" s="11" t="e">
        <f aca="false">IF(BI100&gt;0,MIN($F$109*Inputs!BI221,BI100),0)</f>
        <v>#VALUE!</v>
      </c>
      <c r="BJ102" s="11" t="e">
        <f aca="false">IF(BJ100&gt;0,MIN($F$109*Inputs!BJ221,BJ100),0)</f>
        <v>#VALUE!</v>
      </c>
      <c r="BK102" s="11" t="e">
        <f aca="false">IF(BK100&gt;0,MIN($F$109*Inputs!BK221,BK100),0)</f>
        <v>#VALUE!</v>
      </c>
      <c r="BL102" s="11" t="e">
        <f aca="false">IF(BL100&gt;0,MIN($F$109*Inputs!BL221,BL100),0)</f>
        <v>#VALUE!</v>
      </c>
      <c r="BM102" s="11" t="e">
        <f aca="false">IF(BM100&gt;0,MIN($F$109*Inputs!BM221,BM100),0)</f>
        <v>#VALUE!</v>
      </c>
      <c r="BN102" s="11" t="e">
        <f aca="false">IF(BN100&gt;0,MIN($F$109*Inputs!BN221,BN100),0)</f>
        <v>#VALUE!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e">
        <f aca="false">K100-K102</f>
        <v>#VALUE!</v>
      </c>
      <c r="L103" s="11" t="e">
        <f aca="false">L100-L102</f>
        <v>#VALUE!</v>
      </c>
      <c r="M103" s="11" t="e">
        <f aca="false">M100-M102</f>
        <v>#VALUE!</v>
      </c>
      <c r="N103" s="11" t="e">
        <f aca="false">N100-N102</f>
        <v>#VALUE!</v>
      </c>
      <c r="O103" s="11" t="e">
        <f aca="false">O100-O102</f>
        <v>#VALUE!</v>
      </c>
      <c r="P103" s="11" t="e">
        <f aca="false">P100-P102</f>
        <v>#VALUE!</v>
      </c>
      <c r="Q103" s="11" t="e">
        <f aca="false">Q100-Q102</f>
        <v>#VALUE!</v>
      </c>
      <c r="R103" s="11" t="e">
        <f aca="false">R100-R102</f>
        <v>#VALUE!</v>
      </c>
      <c r="S103" s="11" t="e">
        <f aca="false">S100-S102</f>
        <v>#VALUE!</v>
      </c>
      <c r="T103" s="11" t="e">
        <f aca="false">T100-T102</f>
        <v>#VALUE!</v>
      </c>
      <c r="U103" s="11" t="e">
        <f aca="false">U100-U102</f>
        <v>#VALUE!</v>
      </c>
      <c r="V103" s="11" t="e">
        <f aca="false">V100-V102</f>
        <v>#VALUE!</v>
      </c>
      <c r="W103" s="11" t="e">
        <f aca="false">W100-W102</f>
        <v>#VALUE!</v>
      </c>
      <c r="X103" s="11" t="e">
        <f aca="false">X100-X102</f>
        <v>#VALUE!</v>
      </c>
      <c r="Y103" s="11" t="e">
        <f aca="false">Y100-Y102</f>
        <v>#VALUE!</v>
      </c>
      <c r="Z103" s="11" t="e">
        <f aca="false">Z100-Z102</f>
        <v>#VALUE!</v>
      </c>
      <c r="AA103" s="11" t="e">
        <f aca="false">AA100-AA102</f>
        <v>#VALUE!</v>
      </c>
      <c r="AB103" s="11" t="e">
        <f aca="false">AB100-AB102</f>
        <v>#VALUE!</v>
      </c>
      <c r="AC103" s="11" t="e">
        <f aca="false">AC100-AC102</f>
        <v>#VALUE!</v>
      </c>
      <c r="AD103" s="11" t="e">
        <f aca="false">AD100-AD102</f>
        <v>#VALUE!</v>
      </c>
      <c r="AE103" s="11" t="e">
        <f aca="false">AE100-AE102</f>
        <v>#VALUE!</v>
      </c>
      <c r="AF103" s="11" t="e">
        <f aca="false">AF100-AF102</f>
        <v>#VALUE!</v>
      </c>
      <c r="AG103" s="11" t="e">
        <f aca="false">AG100-AG102</f>
        <v>#VALUE!</v>
      </c>
      <c r="AH103" s="11" t="e">
        <f aca="false">AH100-AH102</f>
        <v>#VALUE!</v>
      </c>
      <c r="AI103" s="11" t="e">
        <f aca="false">AI100-AI102</f>
        <v>#VALUE!</v>
      </c>
      <c r="AJ103" s="11" t="e">
        <f aca="false">AJ100-AJ102</f>
        <v>#VALUE!</v>
      </c>
      <c r="AK103" s="11" t="e">
        <f aca="false">AK100-AK102</f>
        <v>#VALUE!</v>
      </c>
      <c r="AL103" s="11" t="e">
        <f aca="false">AL100-AL102</f>
        <v>#VALUE!</v>
      </c>
      <c r="AM103" s="11" t="e">
        <f aca="false">AM100-AM102</f>
        <v>#VALUE!</v>
      </c>
      <c r="AN103" s="11" t="e">
        <f aca="false">AN100-AN102</f>
        <v>#VALUE!</v>
      </c>
      <c r="AO103" s="11" t="e">
        <f aca="false">AO100-AO102</f>
        <v>#VALUE!</v>
      </c>
      <c r="AP103" s="11" t="e">
        <f aca="false">AP100-AP102</f>
        <v>#VALUE!</v>
      </c>
      <c r="AQ103" s="11" t="e">
        <f aca="false">AQ100-AQ102</f>
        <v>#VALUE!</v>
      </c>
      <c r="AR103" s="11" t="e">
        <f aca="false">AR100-AR102</f>
        <v>#VALUE!</v>
      </c>
      <c r="AS103" s="11" t="e">
        <f aca="false">AS100-AS102</f>
        <v>#VALUE!</v>
      </c>
      <c r="AT103" s="11" t="e">
        <f aca="false">AT100-AT102</f>
        <v>#VALUE!</v>
      </c>
      <c r="AU103" s="11" t="e">
        <f aca="false">AU100-AU102</f>
        <v>#VALUE!</v>
      </c>
      <c r="AV103" s="11" t="e">
        <f aca="false">AV100-AV102</f>
        <v>#VALUE!</v>
      </c>
      <c r="AW103" s="11" t="e">
        <f aca="false">AW100-AW102</f>
        <v>#VALUE!</v>
      </c>
      <c r="AX103" s="11" t="e">
        <f aca="false">AX100-AX102</f>
        <v>#VALUE!</v>
      </c>
      <c r="AY103" s="11" t="e">
        <f aca="false">AY100-AY102</f>
        <v>#VALUE!</v>
      </c>
      <c r="AZ103" s="11" t="e">
        <f aca="false">AZ100-AZ102</f>
        <v>#VALUE!</v>
      </c>
      <c r="BA103" s="11" t="e">
        <f aca="false">BA100-BA102</f>
        <v>#VALUE!</v>
      </c>
      <c r="BB103" s="11" t="e">
        <f aca="false">BB100-BB102</f>
        <v>#VALUE!</v>
      </c>
      <c r="BC103" s="11" t="e">
        <f aca="false">BC100-BC102</f>
        <v>#VALUE!</v>
      </c>
      <c r="BD103" s="11" t="e">
        <f aca="false">BD100-BD102</f>
        <v>#VALUE!</v>
      </c>
      <c r="BE103" s="11" t="e">
        <f aca="false">BE100-BE102</f>
        <v>#VALUE!</v>
      </c>
      <c r="BF103" s="11" t="e">
        <f aca="false">BF100-BF102</f>
        <v>#VALUE!</v>
      </c>
      <c r="BG103" s="11" t="e">
        <f aca="false">BG100-BG102</f>
        <v>#VALUE!</v>
      </c>
      <c r="BH103" s="11" t="e">
        <f aca="false">BH100-BH102</f>
        <v>#VALUE!</v>
      </c>
      <c r="BI103" s="11" t="e">
        <f aca="false">BI100-BI102</f>
        <v>#VALUE!</v>
      </c>
      <c r="BJ103" s="11" t="e">
        <f aca="false">BJ100-BJ102</f>
        <v>#VALUE!</v>
      </c>
      <c r="BK103" s="11" t="e">
        <f aca="false">BK100-BK102</f>
        <v>#VALUE!</v>
      </c>
      <c r="BL103" s="11" t="e">
        <f aca="false">BL100-BL102</f>
        <v>#VALUE!</v>
      </c>
      <c r="BM103" s="11" t="e">
        <f aca="false">BM100-BM102</f>
        <v>#VALUE!</v>
      </c>
      <c r="BN103" s="11" t="e">
        <f aca="false">BN100-BN102</f>
        <v>#VALUE!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e">
        <f aca="false">J103+J20*$F$109</f>
        <v>#VALUE!</v>
      </c>
      <c r="K104" s="11" t="e">
        <f aca="false">K103+K20*$F$109</f>
        <v>#VALUE!</v>
      </c>
      <c r="L104" s="11" t="e">
        <f aca="false">L103+L20*$F$109</f>
        <v>#VALUE!</v>
      </c>
      <c r="M104" s="11" t="e">
        <f aca="false">M103+M20*$F$109</f>
        <v>#VALUE!</v>
      </c>
      <c r="N104" s="11" t="e">
        <f aca="false">N103+N20*$F$109</f>
        <v>#VALUE!</v>
      </c>
      <c r="O104" s="11" t="e">
        <f aca="false">O103+O20*$F$109</f>
        <v>#VALUE!</v>
      </c>
      <c r="P104" s="11" t="e">
        <f aca="false">P103+P20*$F$109</f>
        <v>#VALUE!</v>
      </c>
      <c r="Q104" s="11" t="e">
        <f aca="false">Q103+Q20*$F$109</f>
        <v>#VALUE!</v>
      </c>
      <c r="R104" s="11" t="e">
        <f aca="false">R103+R20*$F$109</f>
        <v>#VALUE!</v>
      </c>
      <c r="S104" s="11" t="e">
        <f aca="false">S103+S20*$F$109</f>
        <v>#VALUE!</v>
      </c>
      <c r="T104" s="11" t="e">
        <f aca="false">T103+T20*$F$109</f>
        <v>#VALUE!</v>
      </c>
      <c r="U104" s="11" t="e">
        <f aca="false">U103+U20*$F$109</f>
        <v>#VALUE!</v>
      </c>
      <c r="V104" s="11" t="e">
        <f aca="false">V103+V20*$F$109</f>
        <v>#VALUE!</v>
      </c>
      <c r="W104" s="11" t="e">
        <f aca="false">W103+W20*$F$109</f>
        <v>#VALUE!</v>
      </c>
      <c r="X104" s="11" t="e">
        <f aca="false">X103+X20*$F$109</f>
        <v>#VALUE!</v>
      </c>
      <c r="Y104" s="11" t="e">
        <f aca="false">Y103+Y20*$F$109</f>
        <v>#VALUE!</v>
      </c>
      <c r="Z104" s="11" t="e">
        <f aca="false">Z103+Z20*$F$109</f>
        <v>#VALUE!</v>
      </c>
      <c r="AA104" s="11" t="e">
        <f aca="false">AA103+AA20*$F$109</f>
        <v>#VALUE!</v>
      </c>
      <c r="AB104" s="11" t="e">
        <f aca="false">AB103+AB20*$F$109</f>
        <v>#VALUE!</v>
      </c>
      <c r="AC104" s="11" t="e">
        <f aca="false">AC103+AC20*$F$109</f>
        <v>#VALUE!</v>
      </c>
      <c r="AD104" s="11" t="e">
        <f aca="false">AD103+AD20*$F$109</f>
        <v>#VALUE!</v>
      </c>
      <c r="AE104" s="11" t="e">
        <f aca="false">AE103+AE20*$F$109</f>
        <v>#VALUE!</v>
      </c>
      <c r="AF104" s="11" t="e">
        <f aca="false">AF103+AF20*$F$109</f>
        <v>#VALUE!</v>
      </c>
      <c r="AG104" s="11" t="e">
        <f aca="false">AG103+AG20*$F$109</f>
        <v>#VALUE!</v>
      </c>
      <c r="AH104" s="11" t="e">
        <f aca="false">AH103+AH20*$F$109</f>
        <v>#VALUE!</v>
      </c>
      <c r="AI104" s="11" t="e">
        <f aca="false">AI103+AI20*$F$109</f>
        <v>#VALUE!</v>
      </c>
      <c r="AJ104" s="11" t="e">
        <f aca="false">AJ103+AJ20*$F$109</f>
        <v>#VALUE!</v>
      </c>
      <c r="AK104" s="11" t="e">
        <f aca="false">AK103+AK20*$F$109</f>
        <v>#VALUE!</v>
      </c>
      <c r="AL104" s="11" t="e">
        <f aca="false">AL103+AL20*$F$109</f>
        <v>#VALUE!</v>
      </c>
      <c r="AM104" s="11" t="e">
        <f aca="false">AM103+AM20*$F$109</f>
        <v>#VALUE!</v>
      </c>
      <c r="AN104" s="11" t="e">
        <f aca="false">AN103+AN20*$F$109</f>
        <v>#VALUE!</v>
      </c>
      <c r="AO104" s="11" t="e">
        <f aca="false">AO103+AO20*$F$109</f>
        <v>#VALUE!</v>
      </c>
      <c r="AP104" s="11" t="e">
        <f aca="false">AP103+AP20*$F$109</f>
        <v>#VALUE!</v>
      </c>
      <c r="AQ104" s="11" t="e">
        <f aca="false">AQ103+AQ20*$F$109</f>
        <v>#VALUE!</v>
      </c>
      <c r="AR104" s="11" t="e">
        <f aca="false">AR103+AR20*$F$109</f>
        <v>#VALUE!</v>
      </c>
      <c r="AS104" s="11" t="e">
        <f aca="false">AS103+AS20*$F$109</f>
        <v>#VALUE!</v>
      </c>
      <c r="AT104" s="11" t="e">
        <f aca="false">AT103+AT20*$F$109</f>
        <v>#VALUE!</v>
      </c>
      <c r="AU104" s="11" t="e">
        <f aca="false">AU103+AU20*$F$109</f>
        <v>#VALUE!</v>
      </c>
      <c r="AV104" s="11" t="e">
        <f aca="false">AV103+AV20*$F$109</f>
        <v>#VALUE!</v>
      </c>
      <c r="AW104" s="11" t="e">
        <f aca="false">AW103+AW20*$F$109</f>
        <v>#VALUE!</v>
      </c>
      <c r="AX104" s="11" t="e">
        <f aca="false">AX103+AX20*$F$109</f>
        <v>#VALUE!</v>
      </c>
      <c r="AY104" s="11" t="e">
        <f aca="false">AY103+AY20*$F$109</f>
        <v>#VALUE!</v>
      </c>
      <c r="AZ104" s="11" t="e">
        <f aca="false">AZ103+AZ20*$F$109</f>
        <v>#VALUE!</v>
      </c>
      <c r="BA104" s="11" t="e">
        <f aca="false">BA103+BA20*$F$109</f>
        <v>#VALUE!</v>
      </c>
      <c r="BB104" s="11" t="e">
        <f aca="false">BB103+BB20*$F$109</f>
        <v>#VALUE!</v>
      </c>
      <c r="BC104" s="11" t="e">
        <f aca="false">BC103+BC20*$F$109</f>
        <v>#VALUE!</v>
      </c>
      <c r="BD104" s="11" t="e">
        <f aca="false">BD103+BD20*$F$109</f>
        <v>#VALUE!</v>
      </c>
      <c r="BE104" s="11" t="e">
        <f aca="false">BE103+BE20*$F$109</f>
        <v>#VALUE!</v>
      </c>
      <c r="BF104" s="11" t="e">
        <f aca="false">BF103+BF20*$F$109</f>
        <v>#VALUE!</v>
      </c>
      <c r="BG104" s="11" t="e">
        <f aca="false">BG103+BG20*$F$109</f>
        <v>#VALUE!</v>
      </c>
      <c r="BH104" s="11" t="e">
        <f aca="false">BH103+BH20*$F$109</f>
        <v>#VALUE!</v>
      </c>
      <c r="BI104" s="11" t="e">
        <f aca="false">BI103+BI20*$F$109</f>
        <v>#VALUE!</v>
      </c>
      <c r="BJ104" s="11" t="e">
        <f aca="false">BJ103+BJ20*$F$109</f>
        <v>#VALUE!</v>
      </c>
      <c r="BK104" s="11" t="e">
        <f aca="false">BK103+BK20*$F$109</f>
        <v>#VALUE!</v>
      </c>
      <c r="BL104" s="11" t="e">
        <f aca="false">BL103+BL20*$F$109</f>
        <v>#VALUE!</v>
      </c>
      <c r="BM104" s="11" t="e">
        <f aca="false">BM103+BM20*$F$109</f>
        <v>#VALUE!</v>
      </c>
      <c r="BN104" s="11" t="e">
        <f aca="false">BN103+BN20*$F$109</f>
        <v>#VALUE!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e">
        <f aca="false">SUM(Debt!$J$64:$BN$64)+SUM(Debt!$J$79:$BN$79)+SUM(Debt!$J$94:$BN$94)</f>
        <v>#VALUE!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e">
        <f aca="false">Inputs!$F$49*(Debt!$F$108+Inputs!$F$195+Inputs!$F$198/100*Inputs!$F$196-Debt!$F$107)/(Inputs!$F$193-Inputs!$F$194)</f>
        <v>#VALUE!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e">
        <f aca="false">SUM(J111:BN111)</f>
        <v>#VALUE!</v>
      </c>
      <c r="J111" s="11" t="e">
        <f aca="false">J20*($F$109*(1-Inputs!$F$193)+Inputs!$F$194*$F$109+Inputs!$F$195+Inputs!$F$198/100*Inputs!$F$196)</f>
        <v>#VALUE!</v>
      </c>
      <c r="K111" s="11" t="e">
        <f aca="false">K20*($F$109*(1-Inputs!$F$193)+Inputs!$F$194*$F$109+Inputs!$F$195+Inputs!$F$198/100*Inputs!$F$196)</f>
        <v>#VALUE!</v>
      </c>
      <c r="L111" s="11" t="e">
        <f aca="false">L20*($F$109*(1-Inputs!$F$193)+Inputs!$F$194*$F$109+Inputs!$F$195+Inputs!$F$198/100*Inputs!$F$196)</f>
        <v>#VALUE!</v>
      </c>
      <c r="M111" s="11" t="e">
        <f aca="false">M20*($F$109*(1-Inputs!$F$193)+Inputs!$F$194*$F$109+Inputs!$F$195+Inputs!$F$198/100*Inputs!$F$196)</f>
        <v>#VALUE!</v>
      </c>
      <c r="N111" s="11" t="e">
        <f aca="false">N20*($F$109*(1-Inputs!$F$193)+Inputs!$F$194*$F$109+Inputs!$F$195+Inputs!$F$198/100*Inputs!$F$196)</f>
        <v>#VALUE!</v>
      </c>
      <c r="O111" s="11" t="e">
        <f aca="false">O20*($F$109*(1-Inputs!$F$193)+Inputs!$F$194*$F$109+Inputs!$F$195+Inputs!$F$198/100*Inputs!$F$196)</f>
        <v>#VALUE!</v>
      </c>
      <c r="P111" s="11" t="e">
        <f aca="false">P20*($F$109*(1-Inputs!$F$193)+Inputs!$F$194*$F$109+Inputs!$F$195+Inputs!$F$198/100*Inputs!$F$196)</f>
        <v>#VALUE!</v>
      </c>
      <c r="Q111" s="11" t="e">
        <f aca="false">Q20*($F$109*(1-Inputs!$F$193)+Inputs!$F$194*$F$109+Inputs!$F$195+Inputs!$F$198/100*Inputs!$F$196)</f>
        <v>#VALUE!</v>
      </c>
      <c r="R111" s="11" t="e">
        <f aca="false">R20*($F$109*(1-Inputs!$F$193)+Inputs!$F$194*$F$109+Inputs!$F$195+Inputs!$F$198/100*Inputs!$F$196)</f>
        <v>#VALUE!</v>
      </c>
      <c r="S111" s="11" t="e">
        <f aca="false">S20*($F$109*(1-Inputs!$F$193)+Inputs!$F$194*$F$109+Inputs!$F$195+Inputs!$F$198/100*Inputs!$F$196)</f>
        <v>#VALUE!</v>
      </c>
      <c r="T111" s="11" t="e">
        <f aca="false">T20*($F$109*(1-Inputs!$F$193)+Inputs!$F$194*$F$109+Inputs!$F$195+Inputs!$F$198/100*Inputs!$F$196)</f>
        <v>#VALUE!</v>
      </c>
      <c r="U111" s="11" t="e">
        <f aca="false">U20*($F$109*(1-Inputs!$F$193)+Inputs!$F$194*$F$109+Inputs!$F$195+Inputs!$F$198/100*Inputs!$F$196)</f>
        <v>#VALUE!</v>
      </c>
      <c r="V111" s="11" t="e">
        <f aca="false">V20*($F$109*(1-Inputs!$F$193)+Inputs!$F$194*$F$109+Inputs!$F$195+Inputs!$F$198/100*Inputs!$F$196)</f>
        <v>#VALUE!</v>
      </c>
      <c r="W111" s="11" t="e">
        <f aca="false">W20*($F$109*(1-Inputs!$F$193)+Inputs!$F$194*$F$109+Inputs!$F$195+Inputs!$F$198/100*Inputs!$F$196)</f>
        <v>#VALUE!</v>
      </c>
      <c r="X111" s="11" t="e">
        <f aca="false">X20*($F$109*(1-Inputs!$F$193)+Inputs!$F$194*$F$109+Inputs!$F$195+Inputs!$F$198/100*Inputs!$F$196)</f>
        <v>#VALUE!</v>
      </c>
      <c r="Y111" s="11" t="e">
        <f aca="false">Y20*($F$109*(1-Inputs!$F$193)+Inputs!$F$194*$F$109+Inputs!$F$195+Inputs!$F$198/100*Inputs!$F$196)</f>
        <v>#VALUE!</v>
      </c>
      <c r="Z111" s="11" t="e">
        <f aca="false">Z20*($F$109*(1-Inputs!$F$193)+Inputs!$F$194*$F$109+Inputs!$F$195+Inputs!$F$198/100*Inputs!$F$196)</f>
        <v>#VALUE!</v>
      </c>
      <c r="AA111" s="11" t="e">
        <f aca="false">AA20*($F$109*(1-Inputs!$F$193)+Inputs!$F$194*$F$109+Inputs!$F$195+Inputs!$F$198/100*Inputs!$F$196)</f>
        <v>#VALUE!</v>
      </c>
      <c r="AB111" s="11" t="e">
        <f aca="false">AB20*($F$109*(1-Inputs!$F$193)+Inputs!$F$194*$F$109+Inputs!$F$195+Inputs!$F$198/100*Inputs!$F$196)</f>
        <v>#VALUE!</v>
      </c>
      <c r="AC111" s="11" t="e">
        <f aca="false">AC20*($F$109*(1-Inputs!$F$193)+Inputs!$F$194*$F$109+Inputs!$F$195+Inputs!$F$198/100*Inputs!$F$196)</f>
        <v>#VALUE!</v>
      </c>
      <c r="AD111" s="11" t="e">
        <f aca="false">AD20*($F$109*(1-Inputs!$F$193)+Inputs!$F$194*$F$109+Inputs!$F$195+Inputs!$F$198/100*Inputs!$F$196)</f>
        <v>#VALUE!</v>
      </c>
      <c r="AE111" s="11" t="e">
        <f aca="false">AE20*($F$109*(1-Inputs!$F$193)+Inputs!$F$194*$F$109+Inputs!$F$195+Inputs!$F$198/100*Inputs!$F$196)</f>
        <v>#VALUE!</v>
      </c>
      <c r="AF111" s="11" t="e">
        <f aca="false">AF20*($F$109*(1-Inputs!$F$193)+Inputs!$F$194*$F$109+Inputs!$F$195+Inputs!$F$198/100*Inputs!$F$196)</f>
        <v>#VALUE!</v>
      </c>
      <c r="AG111" s="11" t="e">
        <f aca="false">AG20*($F$109*(1-Inputs!$F$193)+Inputs!$F$194*$F$109+Inputs!$F$195+Inputs!$F$198/100*Inputs!$F$196)</f>
        <v>#VALUE!</v>
      </c>
      <c r="AH111" s="11" t="e">
        <f aca="false">AH20*($F$109*(1-Inputs!$F$193)+Inputs!$F$194*$F$109+Inputs!$F$195+Inputs!$F$198/100*Inputs!$F$196)</f>
        <v>#VALUE!</v>
      </c>
      <c r="AI111" s="11" t="e">
        <f aca="false">AI20*($F$109*(1-Inputs!$F$193)+Inputs!$F$194*$F$109+Inputs!$F$195+Inputs!$F$198/100*Inputs!$F$196)</f>
        <v>#VALUE!</v>
      </c>
      <c r="AJ111" s="11" t="e">
        <f aca="false">AJ20*($F$109*(1-Inputs!$F$193)+Inputs!$F$194*$F$109+Inputs!$F$195+Inputs!$F$198/100*Inputs!$F$196)</f>
        <v>#VALUE!</v>
      </c>
      <c r="AK111" s="11" t="e">
        <f aca="false">AK20*($F$109*(1-Inputs!$F$193)+Inputs!$F$194*$F$109+Inputs!$F$195+Inputs!$F$198/100*Inputs!$F$196)</f>
        <v>#VALUE!</v>
      </c>
      <c r="AL111" s="11" t="e">
        <f aca="false">AL20*($F$109*(1-Inputs!$F$193)+Inputs!$F$194*$F$109+Inputs!$F$195+Inputs!$F$198/100*Inputs!$F$196)</f>
        <v>#VALUE!</v>
      </c>
      <c r="AM111" s="11" t="e">
        <f aca="false">AM20*($F$109*(1-Inputs!$F$193)+Inputs!$F$194*$F$109+Inputs!$F$195+Inputs!$F$198/100*Inputs!$F$196)</f>
        <v>#VALUE!</v>
      </c>
      <c r="AN111" s="11" t="e">
        <f aca="false">AN20*($F$109*(1-Inputs!$F$193)+Inputs!$F$194*$F$109+Inputs!$F$195+Inputs!$F$198/100*Inputs!$F$196)</f>
        <v>#VALUE!</v>
      </c>
      <c r="AO111" s="11" t="e">
        <f aca="false">AO20*($F$109*(1-Inputs!$F$193)+Inputs!$F$194*$F$109+Inputs!$F$195+Inputs!$F$198/100*Inputs!$F$196)</f>
        <v>#VALUE!</v>
      </c>
      <c r="AP111" s="11" t="e">
        <f aca="false">AP20*($F$109*(1-Inputs!$F$193)+Inputs!$F$194*$F$109+Inputs!$F$195+Inputs!$F$198/100*Inputs!$F$196)</f>
        <v>#VALUE!</v>
      </c>
      <c r="AQ111" s="11" t="e">
        <f aca="false">AQ20*($F$109*(1-Inputs!$F$193)+Inputs!$F$194*$F$109+Inputs!$F$195+Inputs!$F$198/100*Inputs!$F$196)</f>
        <v>#VALUE!</v>
      </c>
      <c r="AR111" s="11" t="e">
        <f aca="false">AR20*($F$109*(1-Inputs!$F$193)+Inputs!$F$194*$F$109+Inputs!$F$195+Inputs!$F$198/100*Inputs!$F$196)</f>
        <v>#VALUE!</v>
      </c>
      <c r="AS111" s="11" t="e">
        <f aca="false">AS20*($F$109*(1-Inputs!$F$193)+Inputs!$F$194*$F$109+Inputs!$F$195+Inputs!$F$198/100*Inputs!$F$196)</f>
        <v>#VALUE!</v>
      </c>
      <c r="AT111" s="11" t="e">
        <f aca="false">AT20*($F$109*(1-Inputs!$F$193)+Inputs!$F$194*$F$109+Inputs!$F$195+Inputs!$F$198/100*Inputs!$F$196)</f>
        <v>#VALUE!</v>
      </c>
      <c r="AU111" s="11" t="e">
        <f aca="false">AU20*($F$109*(1-Inputs!$F$193)+Inputs!$F$194*$F$109+Inputs!$F$195+Inputs!$F$198/100*Inputs!$F$196)</f>
        <v>#VALUE!</v>
      </c>
      <c r="AV111" s="11" t="e">
        <f aca="false">AV20*($F$109*(1-Inputs!$F$193)+Inputs!$F$194*$F$109+Inputs!$F$195+Inputs!$F$198/100*Inputs!$F$196)</f>
        <v>#VALUE!</v>
      </c>
      <c r="AW111" s="11" t="e">
        <f aca="false">AW20*($F$109*(1-Inputs!$F$193)+Inputs!$F$194*$F$109+Inputs!$F$195+Inputs!$F$198/100*Inputs!$F$196)</f>
        <v>#VALUE!</v>
      </c>
      <c r="AX111" s="11" t="e">
        <f aca="false">AX20*($F$109*(1-Inputs!$F$193)+Inputs!$F$194*$F$109+Inputs!$F$195+Inputs!$F$198/100*Inputs!$F$196)</f>
        <v>#VALUE!</v>
      </c>
      <c r="AY111" s="11" t="e">
        <f aca="false">AY20*($F$109*(1-Inputs!$F$193)+Inputs!$F$194*$F$109+Inputs!$F$195+Inputs!$F$198/100*Inputs!$F$196)</f>
        <v>#VALUE!</v>
      </c>
      <c r="AZ111" s="11" t="e">
        <f aca="false">AZ20*($F$109*(1-Inputs!$F$193)+Inputs!$F$194*$F$109+Inputs!$F$195+Inputs!$F$198/100*Inputs!$F$196)</f>
        <v>#VALUE!</v>
      </c>
      <c r="BA111" s="11" t="e">
        <f aca="false">BA20*($F$109*(1-Inputs!$F$193)+Inputs!$F$194*$F$109+Inputs!$F$195+Inputs!$F$198/100*Inputs!$F$196)</f>
        <v>#VALUE!</v>
      </c>
      <c r="BB111" s="11" t="e">
        <f aca="false">BB20*($F$109*(1-Inputs!$F$193)+Inputs!$F$194*$F$109+Inputs!$F$195+Inputs!$F$198/100*Inputs!$F$196)</f>
        <v>#VALUE!</v>
      </c>
      <c r="BC111" s="11" t="e">
        <f aca="false">BC20*($F$109*(1-Inputs!$F$193)+Inputs!$F$194*$F$109+Inputs!$F$195+Inputs!$F$198/100*Inputs!$F$196)</f>
        <v>#VALUE!</v>
      </c>
      <c r="BD111" s="11" t="e">
        <f aca="false">BD20*($F$109*(1-Inputs!$F$193)+Inputs!$F$194*$F$109+Inputs!$F$195+Inputs!$F$198/100*Inputs!$F$196)</f>
        <v>#VALUE!</v>
      </c>
      <c r="BE111" s="11" t="e">
        <f aca="false">BE20*($F$109*(1-Inputs!$F$193)+Inputs!$F$194*$F$109+Inputs!$F$195+Inputs!$F$198/100*Inputs!$F$196)</f>
        <v>#VALUE!</v>
      </c>
      <c r="BF111" s="11" t="e">
        <f aca="false">BF20*($F$109*(1-Inputs!$F$193)+Inputs!$F$194*$F$109+Inputs!$F$195+Inputs!$F$198/100*Inputs!$F$196)</f>
        <v>#VALUE!</v>
      </c>
      <c r="BG111" s="11" t="e">
        <f aca="false">BG20*($F$109*(1-Inputs!$F$193)+Inputs!$F$194*$F$109+Inputs!$F$195+Inputs!$F$198/100*Inputs!$F$196)</f>
        <v>#VALUE!</v>
      </c>
      <c r="BH111" s="11" t="e">
        <f aca="false">BH20*($F$109*(1-Inputs!$F$193)+Inputs!$F$194*$F$109+Inputs!$F$195+Inputs!$F$198/100*Inputs!$F$196)</f>
        <v>#VALUE!</v>
      </c>
      <c r="BI111" s="11" t="e">
        <f aca="false">BI20*($F$109*(1-Inputs!$F$193)+Inputs!$F$194*$F$109+Inputs!$F$195+Inputs!$F$198/100*Inputs!$F$196)</f>
        <v>#VALUE!</v>
      </c>
      <c r="BJ111" s="11" t="e">
        <f aca="false">BJ20*($F$109*(1-Inputs!$F$193)+Inputs!$F$194*$F$109+Inputs!$F$195+Inputs!$F$198/100*Inputs!$F$196)</f>
        <v>#VALUE!</v>
      </c>
      <c r="BK111" s="11" t="e">
        <f aca="false">BK20*($F$109*(1-Inputs!$F$193)+Inputs!$F$194*$F$109+Inputs!$F$195+Inputs!$F$198/100*Inputs!$F$196)</f>
        <v>#VALUE!</v>
      </c>
      <c r="BL111" s="11" t="e">
        <f aca="false">BL20*($F$109*(1-Inputs!$F$193)+Inputs!$F$194*$F$109+Inputs!$F$195+Inputs!$F$198/100*Inputs!$F$196)</f>
        <v>#VALUE!</v>
      </c>
      <c r="BM111" s="11" t="e">
        <f aca="false">BM20*($F$109*(1-Inputs!$F$193)+Inputs!$F$194*$F$109+Inputs!$F$195+Inputs!$F$198/100*Inputs!$F$196)</f>
        <v>#VALUE!</v>
      </c>
      <c r="BN111" s="11" t="e">
        <f aca="false">BN20*($F$109*(1-Inputs!$F$193)+Inputs!$F$194*$F$109+Inputs!$F$195+Inputs!$F$198/100*Inputs!$F$196)</f>
        <v>#VALUE!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e">
        <f aca="false">SUM(J115:BN115)</f>
        <v>#VALUE!</v>
      </c>
      <c r="J115" s="11" t="n">
        <f aca="false">(Inputs!$F$93/100*Inputs!$F$94/100)*J70*Time!J20/365</f>
        <v>0</v>
      </c>
      <c r="K115" s="11" t="e">
        <f aca="false">(Inputs!$F$93/100*Inputs!$F$94/100)*K70*Time!K20/365</f>
        <v>#VALUE!</v>
      </c>
      <c r="L115" s="11" t="e">
        <f aca="false">(Inputs!$F$93/100*Inputs!$F$94/100)*L70*Time!L20/365</f>
        <v>#VALUE!</v>
      </c>
      <c r="M115" s="11" t="e">
        <f aca="false">(Inputs!$F$93/100*Inputs!$F$94/100)*M70*Time!M20/365</f>
        <v>#VALUE!</v>
      </c>
      <c r="N115" s="11" t="e">
        <f aca="false">(Inputs!$F$93/100*Inputs!$F$94/100)*N70*Time!N20/365</f>
        <v>#VALUE!</v>
      </c>
      <c r="O115" s="11" t="e">
        <f aca="false">(Inputs!$F$93/100*Inputs!$F$94/100)*O70*Time!O20/365</f>
        <v>#VALUE!</v>
      </c>
      <c r="P115" s="11" t="n">
        <f aca="false">(Inputs!$F$93/100*Inputs!$F$94/100)*P70*Time!P20/365</f>
        <v>1.2555332009123</v>
      </c>
      <c r="Q115" s="11" t="e">
        <f aca="false">(Inputs!$F$93/100*Inputs!$F$94/100)*Q70*Time!Q20/365</f>
        <v>#VALUE!</v>
      </c>
      <c r="R115" s="11" t="e">
        <f aca="false">(Inputs!$F$93/100*Inputs!$F$94/100)*R70*Time!R20/365</f>
        <v>#VALUE!</v>
      </c>
      <c r="S115" s="11" t="e">
        <f aca="false">(Inputs!$F$93/100*Inputs!$F$94/100)*S70*Time!S20/365</f>
        <v>#VALUE!</v>
      </c>
      <c r="T115" s="11" t="e">
        <f aca="false">(Inputs!$F$93/100*Inputs!$F$94/100)*T70*Time!T20/365</f>
        <v>#VALUE!</v>
      </c>
      <c r="U115" s="11" t="e">
        <f aca="false">(Inputs!$F$93/100*Inputs!$F$94/100)*U70*Time!U20/365</f>
        <v>#VALUE!</v>
      </c>
      <c r="V115" s="11" t="e">
        <f aca="false">(Inputs!$F$93/100*Inputs!$F$94/100)*V70*Time!V20/365</f>
        <v>#VALUE!</v>
      </c>
      <c r="W115" s="11" t="e">
        <f aca="false">(Inputs!$F$93/100*Inputs!$F$94/100)*W70*Time!W20/365</f>
        <v>#VALUE!</v>
      </c>
      <c r="X115" s="11" t="e">
        <f aca="false">(Inputs!$F$93/100*Inputs!$F$94/100)*X70*Time!X20/365</f>
        <v>#VALUE!</v>
      </c>
      <c r="Y115" s="11" t="e">
        <f aca="false">(Inputs!$F$93/100*Inputs!$F$94/100)*Y70*Time!Y20/365</f>
        <v>#VALUE!</v>
      </c>
      <c r="Z115" s="11" t="e">
        <f aca="false">(Inputs!$F$93/100*Inputs!$F$94/100)*Z70*Time!Z20/365</f>
        <v>#VALUE!</v>
      </c>
      <c r="AA115" s="11" t="e">
        <f aca="false">(Inputs!$F$93/100*Inputs!$F$94/100)*AA70*Time!AA20/365</f>
        <v>#VALUE!</v>
      </c>
      <c r="AB115" s="11" t="e">
        <f aca="false">(Inputs!$F$93/100*Inputs!$F$94/100)*AB70*Time!AB20/365</f>
        <v>#VALUE!</v>
      </c>
      <c r="AC115" s="11" t="e">
        <f aca="false">(Inputs!$F$93/100*Inputs!$F$94/100)*AC70*Time!AC20/365</f>
        <v>#VALUE!</v>
      </c>
      <c r="AD115" s="11" t="e">
        <f aca="false">(Inputs!$F$93/100*Inputs!$F$94/100)*AD70*Time!AD20/365</f>
        <v>#VALUE!</v>
      </c>
      <c r="AE115" s="11" t="e">
        <f aca="false">(Inputs!$F$93/100*Inputs!$F$94/100)*AE70*Time!AE20/365</f>
        <v>#VALUE!</v>
      </c>
      <c r="AF115" s="11" t="e">
        <f aca="false">(Inputs!$F$93/100*Inputs!$F$94/100)*AF70*Time!AF20/365</f>
        <v>#VALUE!</v>
      </c>
      <c r="AG115" s="11" t="e">
        <f aca="false">(Inputs!$F$93/100*Inputs!$F$94/100)*AG70*Time!AG20/365</f>
        <v>#VALUE!</v>
      </c>
      <c r="AH115" s="11" t="e">
        <f aca="false">(Inputs!$F$93/100*Inputs!$F$94/100)*AH70*Time!AH20/365</f>
        <v>#VALUE!</v>
      </c>
      <c r="AI115" s="11" t="e">
        <f aca="false">(Inputs!$F$93/100*Inputs!$F$94/100)*AI70*Time!AI20/365</f>
        <v>#VALUE!</v>
      </c>
      <c r="AJ115" s="11" t="e">
        <f aca="false">(Inputs!$F$93/100*Inputs!$F$94/100)*AJ70*Time!AJ20/365</f>
        <v>#VALUE!</v>
      </c>
      <c r="AK115" s="11" t="e">
        <f aca="false">(Inputs!$F$93/100*Inputs!$F$94/100)*AK70*Time!AK20/365</f>
        <v>#VALUE!</v>
      </c>
      <c r="AL115" s="11" t="e">
        <f aca="false">(Inputs!$F$93/100*Inputs!$F$94/100)*AL70*Time!AL20/365</f>
        <v>#VALUE!</v>
      </c>
      <c r="AM115" s="11" t="e">
        <f aca="false">(Inputs!$F$93/100*Inputs!$F$94/100)*AM70*Time!AM20/365</f>
        <v>#VALUE!</v>
      </c>
      <c r="AN115" s="11" t="e">
        <f aca="false">(Inputs!$F$93/100*Inputs!$F$94/100)*AN70*Time!AN20/365</f>
        <v>#VALUE!</v>
      </c>
      <c r="AO115" s="11" t="e">
        <f aca="false">(Inputs!$F$93/100*Inputs!$F$94/100)*AO70*Time!AO20/365</f>
        <v>#VALUE!</v>
      </c>
      <c r="AP115" s="11" t="e">
        <f aca="false">(Inputs!$F$93/100*Inputs!$F$94/100)*AP70*Time!AP20/365</f>
        <v>#VALUE!</v>
      </c>
      <c r="AQ115" s="11" t="e">
        <f aca="false">(Inputs!$F$93/100*Inputs!$F$94/100)*AQ70*Time!AQ20/365</f>
        <v>#VALUE!</v>
      </c>
      <c r="AR115" s="11" t="e">
        <f aca="false">(Inputs!$F$93/100*Inputs!$F$94/100)*AR70*Time!AR20/365</f>
        <v>#VALUE!</v>
      </c>
      <c r="AS115" s="11" t="e">
        <f aca="false">(Inputs!$F$93/100*Inputs!$F$94/100)*AS70*Time!AS20/365</f>
        <v>#VALUE!</v>
      </c>
      <c r="AT115" s="11" t="e">
        <f aca="false">(Inputs!$F$93/100*Inputs!$F$94/100)*AT70*Time!AT20/365</f>
        <v>#VALUE!</v>
      </c>
      <c r="AU115" s="11" t="e">
        <f aca="false">(Inputs!$F$93/100*Inputs!$F$94/100)*AU70*Time!AU20/365</f>
        <v>#VALUE!</v>
      </c>
      <c r="AV115" s="11" t="e">
        <f aca="false">(Inputs!$F$93/100*Inputs!$F$94/100)*AV70*Time!AV20/365</f>
        <v>#VALUE!</v>
      </c>
      <c r="AW115" s="11" t="e">
        <f aca="false">(Inputs!$F$93/100*Inputs!$F$94/100)*AW70*Time!AW20/365</f>
        <v>#VALUE!</v>
      </c>
      <c r="AX115" s="11" t="e">
        <f aca="false">(Inputs!$F$93/100*Inputs!$F$94/100)*AX70*Time!AX20/365</f>
        <v>#VALUE!</v>
      </c>
      <c r="AY115" s="11" t="e">
        <f aca="false">(Inputs!$F$93/100*Inputs!$F$94/100)*AY70*Time!AY20/365</f>
        <v>#VALUE!</v>
      </c>
      <c r="AZ115" s="11" t="e">
        <f aca="false">(Inputs!$F$93/100*Inputs!$F$94/100)*AZ70*Time!AZ20/365</f>
        <v>#VALUE!</v>
      </c>
      <c r="BA115" s="11" t="e">
        <f aca="false">(Inputs!$F$93/100*Inputs!$F$94/100)*BA70*Time!BA20/365</f>
        <v>#VALUE!</v>
      </c>
      <c r="BB115" s="11" t="e">
        <f aca="false">(Inputs!$F$93/100*Inputs!$F$94/100)*BB70*Time!BB20/365</f>
        <v>#VALUE!</v>
      </c>
      <c r="BC115" s="11" t="e">
        <f aca="false">(Inputs!$F$93/100*Inputs!$F$94/100)*BC70*Time!BC20/365</f>
        <v>#VALUE!</v>
      </c>
      <c r="BD115" s="11" t="e">
        <f aca="false">(Inputs!$F$93/100*Inputs!$F$94/100)*BD70*Time!BD20/365</f>
        <v>#VALUE!</v>
      </c>
      <c r="BE115" s="11" t="e">
        <f aca="false">(Inputs!$F$93/100*Inputs!$F$94/100)*BE70*Time!BE20/365</f>
        <v>#VALUE!</v>
      </c>
      <c r="BF115" s="11" t="e">
        <f aca="false">(Inputs!$F$93/100*Inputs!$F$94/100)*BF70*Time!BF20/365</f>
        <v>#VALUE!</v>
      </c>
      <c r="BG115" s="11" t="e">
        <f aca="false">(Inputs!$F$93/100*Inputs!$F$94/100)*BG70*Time!BG20/365</f>
        <v>#VALUE!</v>
      </c>
      <c r="BH115" s="11" t="e">
        <f aca="false">(Inputs!$F$93/100*Inputs!$F$94/100)*BH70*Time!BH20/365</f>
        <v>#VALUE!</v>
      </c>
      <c r="BI115" s="11" t="e">
        <f aca="false">(Inputs!$F$93/100*Inputs!$F$94/100)*BI70*Time!BI20/365</f>
        <v>#VALUE!</v>
      </c>
      <c r="BJ115" s="11" t="e">
        <f aca="false">(Inputs!$F$93/100*Inputs!$F$94/100)*BJ70*Time!BJ20/365</f>
        <v>#VALUE!</v>
      </c>
      <c r="BK115" s="11" t="e">
        <f aca="false">(Inputs!$F$93/100*Inputs!$F$94/100)*BK70*Time!BK20/365</f>
        <v>#VALUE!</v>
      </c>
      <c r="BL115" s="11" t="e">
        <f aca="false">(Inputs!$F$93/100*Inputs!$F$94/100)*BL70*Time!BL20/365</f>
        <v>#VALUE!</v>
      </c>
      <c r="BM115" s="11" t="e">
        <f aca="false">(Inputs!$F$93/100*Inputs!$F$94/100)*BM70*Time!BM20/365</f>
        <v>#VALUE!</v>
      </c>
      <c r="BN115" s="11" t="e">
        <f aca="false">(Inputs!$F$93/100*Inputs!$F$94/100)*BN70*Time!BN20/365</f>
        <v>#VALUE!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e">
        <f aca="false">SUM(J116:BN116)</f>
        <v>#VALUE!</v>
      </c>
      <c r="J116" s="11" t="e">
        <f aca="false">IF($F$109&gt;0,Inputs!$F$197/100*0.5*J100*Inputs!$F$196/$F$109,0)</f>
        <v>#VALUE!</v>
      </c>
      <c r="K116" s="11" t="e">
        <f aca="false">IF($F$109&gt;0,Inputs!$F$197/100*0.5*K100*Inputs!$F$196/$F$109,0)</f>
        <v>#VALUE!</v>
      </c>
      <c r="L116" s="11" t="e">
        <f aca="false">IF($F$109&gt;0,Inputs!$F$197/100*0.5*L100*Inputs!$F$196/$F$109,0)</f>
        <v>#VALUE!</v>
      </c>
      <c r="M116" s="11" t="e">
        <f aca="false">IF($F$109&gt;0,Inputs!$F$197/100*0.5*M100*Inputs!$F$196/$F$109,0)</f>
        <v>#VALUE!</v>
      </c>
      <c r="N116" s="11" t="e">
        <f aca="false">IF($F$109&gt;0,Inputs!$F$197/100*0.5*N100*Inputs!$F$196/$F$109,0)</f>
        <v>#VALUE!</v>
      </c>
      <c r="O116" s="11" t="e">
        <f aca="false">IF($F$109&gt;0,Inputs!$F$197/100*0.5*O100*Inputs!$F$196/$F$109,0)</f>
        <v>#VALUE!</v>
      </c>
      <c r="P116" s="11" t="e">
        <f aca="false">IF($F$109&gt;0,Inputs!$F$197/100*0.5*P100*Inputs!$F$196/$F$109,0)</f>
        <v>#VALUE!</v>
      </c>
      <c r="Q116" s="11" t="e">
        <f aca="false">IF($F$109&gt;0,Inputs!$F$197/100*0.5*Q100*Inputs!$F$196/$F$109,0)</f>
        <v>#VALUE!</v>
      </c>
      <c r="R116" s="11" t="e">
        <f aca="false">IF($F$109&gt;0,Inputs!$F$197/100*0.5*R100*Inputs!$F$196/$F$109,0)</f>
        <v>#VALUE!</v>
      </c>
      <c r="S116" s="11" t="e">
        <f aca="false">IF($F$109&gt;0,Inputs!$F$197/100*0.5*S100*Inputs!$F$196/$F$109,0)</f>
        <v>#VALUE!</v>
      </c>
      <c r="T116" s="11" t="e">
        <f aca="false">IF($F$109&gt;0,Inputs!$F$197/100*0.5*T100*Inputs!$F$196/$F$109,0)</f>
        <v>#VALUE!</v>
      </c>
      <c r="U116" s="11" t="e">
        <f aca="false">IF($F$109&gt;0,Inputs!$F$197/100*0.5*U100*Inputs!$F$196/$F$109,0)</f>
        <v>#VALUE!</v>
      </c>
      <c r="V116" s="11" t="e">
        <f aca="false">IF($F$109&gt;0,Inputs!$F$197/100*0.5*V100*Inputs!$F$196/$F$109,0)</f>
        <v>#VALUE!</v>
      </c>
      <c r="W116" s="11" t="e">
        <f aca="false">IF($F$109&gt;0,Inputs!$F$197/100*0.5*W100*Inputs!$F$196/$F$109,0)</f>
        <v>#VALUE!</v>
      </c>
      <c r="X116" s="11" t="e">
        <f aca="false">IF($F$109&gt;0,Inputs!$F$197/100*0.5*X100*Inputs!$F$196/$F$109,0)</f>
        <v>#VALUE!</v>
      </c>
      <c r="Y116" s="11" t="e">
        <f aca="false">IF($F$109&gt;0,Inputs!$F$197/100*0.5*Y100*Inputs!$F$196/$F$109,0)</f>
        <v>#VALUE!</v>
      </c>
      <c r="Z116" s="11" t="e">
        <f aca="false">IF($F$109&gt;0,Inputs!$F$197/100*0.5*Z100*Inputs!$F$196/$F$109,0)</f>
        <v>#VALUE!</v>
      </c>
      <c r="AA116" s="11" t="e">
        <f aca="false">IF($F$109&gt;0,Inputs!$F$197/100*0.5*AA100*Inputs!$F$196/$F$109,0)</f>
        <v>#VALUE!</v>
      </c>
      <c r="AB116" s="11" t="e">
        <f aca="false">IF($F$109&gt;0,Inputs!$F$197/100*0.5*AB100*Inputs!$F$196/$F$109,0)</f>
        <v>#VALUE!</v>
      </c>
      <c r="AC116" s="11" t="e">
        <f aca="false">IF($F$109&gt;0,Inputs!$F$197/100*0.5*AC100*Inputs!$F$196/$F$109,0)</f>
        <v>#VALUE!</v>
      </c>
      <c r="AD116" s="11" t="e">
        <f aca="false">IF($F$109&gt;0,Inputs!$F$197/100*0.5*AD100*Inputs!$F$196/$F$109,0)</f>
        <v>#VALUE!</v>
      </c>
      <c r="AE116" s="11" t="e">
        <f aca="false">IF($F$109&gt;0,Inputs!$F$197/100*0.5*AE100*Inputs!$F$196/$F$109,0)</f>
        <v>#VALUE!</v>
      </c>
      <c r="AF116" s="11" t="e">
        <f aca="false">IF($F$109&gt;0,Inputs!$F$197/100*0.5*AF100*Inputs!$F$196/$F$109,0)</f>
        <v>#VALUE!</v>
      </c>
      <c r="AG116" s="11" t="e">
        <f aca="false">IF($F$109&gt;0,Inputs!$F$197/100*0.5*AG100*Inputs!$F$196/$F$109,0)</f>
        <v>#VALUE!</v>
      </c>
      <c r="AH116" s="11" t="e">
        <f aca="false">IF($F$109&gt;0,Inputs!$F$197/100*0.5*AH100*Inputs!$F$196/$F$109,0)</f>
        <v>#VALUE!</v>
      </c>
      <c r="AI116" s="11" t="e">
        <f aca="false">IF($F$109&gt;0,Inputs!$F$197/100*0.5*AI100*Inputs!$F$196/$F$109,0)</f>
        <v>#VALUE!</v>
      </c>
      <c r="AJ116" s="11" t="e">
        <f aca="false">IF($F$109&gt;0,Inputs!$F$197/100*0.5*AJ100*Inputs!$F$196/$F$109,0)</f>
        <v>#VALUE!</v>
      </c>
      <c r="AK116" s="11" t="e">
        <f aca="false">IF($F$109&gt;0,Inputs!$F$197/100*0.5*AK100*Inputs!$F$196/$F$109,0)</f>
        <v>#VALUE!</v>
      </c>
      <c r="AL116" s="11" t="e">
        <f aca="false">IF($F$109&gt;0,Inputs!$F$197/100*0.5*AL100*Inputs!$F$196/$F$109,0)</f>
        <v>#VALUE!</v>
      </c>
      <c r="AM116" s="11" t="e">
        <f aca="false">IF($F$109&gt;0,Inputs!$F$197/100*0.5*AM100*Inputs!$F$196/$F$109,0)</f>
        <v>#VALUE!</v>
      </c>
      <c r="AN116" s="11" t="e">
        <f aca="false">IF($F$109&gt;0,Inputs!$F$197/100*0.5*AN100*Inputs!$F$196/$F$109,0)</f>
        <v>#VALUE!</v>
      </c>
      <c r="AO116" s="11" t="e">
        <f aca="false">IF($F$109&gt;0,Inputs!$F$197/100*0.5*AO100*Inputs!$F$196/$F$109,0)</f>
        <v>#VALUE!</v>
      </c>
      <c r="AP116" s="11" t="e">
        <f aca="false">IF($F$109&gt;0,Inputs!$F$197/100*0.5*AP100*Inputs!$F$196/$F$109,0)</f>
        <v>#VALUE!</v>
      </c>
      <c r="AQ116" s="11" t="e">
        <f aca="false">IF($F$109&gt;0,Inputs!$F$197/100*0.5*AQ100*Inputs!$F$196/$F$109,0)</f>
        <v>#VALUE!</v>
      </c>
      <c r="AR116" s="11" t="e">
        <f aca="false">IF($F$109&gt;0,Inputs!$F$197/100*0.5*AR100*Inputs!$F$196/$F$109,0)</f>
        <v>#VALUE!</v>
      </c>
      <c r="AS116" s="11" t="e">
        <f aca="false">IF($F$109&gt;0,Inputs!$F$197/100*0.5*AS100*Inputs!$F$196/$F$109,0)</f>
        <v>#VALUE!</v>
      </c>
      <c r="AT116" s="11" t="e">
        <f aca="false">IF($F$109&gt;0,Inputs!$F$197/100*0.5*AT100*Inputs!$F$196/$F$109,0)</f>
        <v>#VALUE!</v>
      </c>
      <c r="AU116" s="11" t="e">
        <f aca="false">IF($F$109&gt;0,Inputs!$F$197/100*0.5*AU100*Inputs!$F$196/$F$109,0)</f>
        <v>#VALUE!</v>
      </c>
      <c r="AV116" s="11" t="e">
        <f aca="false">IF($F$109&gt;0,Inputs!$F$197/100*0.5*AV100*Inputs!$F$196/$F$109,0)</f>
        <v>#VALUE!</v>
      </c>
      <c r="AW116" s="11" t="e">
        <f aca="false">IF($F$109&gt;0,Inputs!$F$197/100*0.5*AW100*Inputs!$F$196/$F$109,0)</f>
        <v>#VALUE!</v>
      </c>
      <c r="AX116" s="11" t="e">
        <f aca="false">IF($F$109&gt;0,Inputs!$F$197/100*0.5*AX100*Inputs!$F$196/$F$109,0)</f>
        <v>#VALUE!</v>
      </c>
      <c r="AY116" s="11" t="e">
        <f aca="false">IF($F$109&gt;0,Inputs!$F$197/100*0.5*AY100*Inputs!$F$196/$F$109,0)</f>
        <v>#VALUE!</v>
      </c>
      <c r="AZ116" s="11" t="e">
        <f aca="false">IF($F$109&gt;0,Inputs!$F$197/100*0.5*AZ100*Inputs!$F$196/$F$109,0)</f>
        <v>#VALUE!</v>
      </c>
      <c r="BA116" s="11" t="e">
        <f aca="false">IF($F$109&gt;0,Inputs!$F$197/100*0.5*BA100*Inputs!$F$196/$F$109,0)</f>
        <v>#VALUE!</v>
      </c>
      <c r="BB116" s="11" t="e">
        <f aca="false">IF($F$109&gt;0,Inputs!$F$197/100*0.5*BB100*Inputs!$F$196/$F$109,0)</f>
        <v>#VALUE!</v>
      </c>
      <c r="BC116" s="11" t="e">
        <f aca="false">IF($F$109&gt;0,Inputs!$F$197/100*0.5*BC100*Inputs!$F$196/$F$109,0)</f>
        <v>#VALUE!</v>
      </c>
      <c r="BD116" s="11" t="e">
        <f aca="false">IF($F$109&gt;0,Inputs!$F$197/100*0.5*BD100*Inputs!$F$196/$F$109,0)</f>
        <v>#VALUE!</v>
      </c>
      <c r="BE116" s="11" t="e">
        <f aca="false">IF($F$109&gt;0,Inputs!$F$197/100*0.5*BE100*Inputs!$F$196/$F$109,0)</f>
        <v>#VALUE!</v>
      </c>
      <c r="BF116" s="11" t="e">
        <f aca="false">IF($F$109&gt;0,Inputs!$F$197/100*0.5*BF100*Inputs!$F$196/$F$109,0)</f>
        <v>#VALUE!</v>
      </c>
      <c r="BG116" s="11" t="e">
        <f aca="false">IF($F$109&gt;0,Inputs!$F$197/100*0.5*BG100*Inputs!$F$196/$F$109,0)</f>
        <v>#VALUE!</v>
      </c>
      <c r="BH116" s="11" t="e">
        <f aca="false">IF($F$109&gt;0,Inputs!$F$197/100*0.5*BH100*Inputs!$F$196/$F$109,0)</f>
        <v>#VALUE!</v>
      </c>
      <c r="BI116" s="11" t="e">
        <f aca="false">IF($F$109&gt;0,Inputs!$F$197/100*0.5*BI100*Inputs!$F$196/$F$109,0)</f>
        <v>#VALUE!</v>
      </c>
      <c r="BJ116" s="11" t="e">
        <f aca="false">IF($F$109&gt;0,Inputs!$F$197/100*0.5*BJ100*Inputs!$F$196/$F$109,0)</f>
        <v>#VALUE!</v>
      </c>
      <c r="BK116" s="11" t="e">
        <f aca="false">IF($F$109&gt;0,Inputs!$F$197/100*0.5*BK100*Inputs!$F$196/$F$109,0)</f>
        <v>#VALUE!</v>
      </c>
      <c r="BL116" s="11" t="e">
        <f aca="false">IF($F$109&gt;0,Inputs!$F$197/100*0.5*BL100*Inputs!$F$196/$F$109,0)</f>
        <v>#VALUE!</v>
      </c>
      <c r="BM116" s="11" t="e">
        <f aca="false">IF($F$109&gt;0,Inputs!$F$197/100*0.5*BM100*Inputs!$F$196/$F$109,0)</f>
        <v>#VALUE!</v>
      </c>
      <c r="BN116" s="11" t="e">
        <f aca="false">IF($F$109&gt;0,Inputs!$F$197/100*0.5*BN100*Inputs!$F$196/$F$109,0)</f>
        <v>#VALUE!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e">
        <f aca="false">SUM(J117:BN117)</f>
        <v>#VALUE!</v>
      </c>
      <c r="J117" s="11" t="n">
        <f aca="false">J21*Inputs!$F$189/100*(J25+J40+J55+J70+J85)</f>
        <v>0</v>
      </c>
      <c r="K117" s="11" t="e">
        <f aca="false">K21*Inputs!$F$189/100*(K25+K40+K55+K70+K85)</f>
        <v>#VALUE!</v>
      </c>
      <c r="L117" s="11" t="e">
        <f aca="false">L21*Inputs!$F$189/100*(L25+L40+L55+L70+L85)</f>
        <v>#VALUE!</v>
      </c>
      <c r="M117" s="11" t="e">
        <f aca="false">M21*Inputs!$F$189/100*(M25+M40+M55+M70+M85)</f>
        <v>#VALUE!</v>
      </c>
      <c r="N117" s="11" t="e">
        <f aca="false">N21*Inputs!$F$189/100*(N25+N40+N55+N70+N85)</f>
        <v>#VALUE!</v>
      </c>
      <c r="O117" s="11" t="e">
        <f aca="false">O21*Inputs!$F$189/100*(O25+O40+O55+O70+O85)</f>
        <v>#VALUE!</v>
      </c>
      <c r="P117" s="11" t="n">
        <f aca="false">P21*Inputs!$F$189/100*(P25+P40+P55+P70+P85)</f>
        <v>0</v>
      </c>
      <c r="Q117" s="11" t="e">
        <f aca="false">Q21*Inputs!$F$189/100*(Q25+Q40+Q55+Q70+Q85)</f>
        <v>#VALUE!</v>
      </c>
      <c r="R117" s="11" t="e">
        <f aca="false">R21*Inputs!$F$189/100*(R25+R40+R55+R70+R85)</f>
        <v>#VALUE!</v>
      </c>
      <c r="S117" s="11" t="e">
        <f aca="false">S21*Inputs!$F$189/100*(S25+S40+S55+S70+S85)</f>
        <v>#VALUE!</v>
      </c>
      <c r="T117" s="11" t="e">
        <f aca="false">T21*Inputs!$F$189/100*(T25+T40+T55+T70+T85)</f>
        <v>#VALUE!</v>
      </c>
      <c r="U117" s="11" t="e">
        <f aca="false">U21*Inputs!$F$189/100*(U25+U40+U55+U70+U85)</f>
        <v>#VALUE!</v>
      </c>
      <c r="V117" s="11" t="e">
        <f aca="false">V21*Inputs!$F$189/100*(V25+V40+V55+V70+V85)</f>
        <v>#VALUE!</v>
      </c>
      <c r="W117" s="11" t="e">
        <f aca="false">W21*Inputs!$F$189/100*(W25+W40+W55+W70+W85)</f>
        <v>#VALUE!</v>
      </c>
      <c r="X117" s="11" t="e">
        <f aca="false">X21*Inputs!$F$189/100*(X25+X40+X55+X70+X85)</f>
        <v>#VALUE!</v>
      </c>
      <c r="Y117" s="11" t="e">
        <f aca="false">Y21*Inputs!$F$189/100*(Y25+Y40+Y55+Y70+Y85)</f>
        <v>#VALUE!</v>
      </c>
      <c r="Z117" s="11" t="e">
        <f aca="false">Z21*Inputs!$F$189/100*(Z25+Z40+Z55+Z70+Z85)</f>
        <v>#VALUE!</v>
      </c>
      <c r="AA117" s="11" t="e">
        <f aca="false">AA21*Inputs!$F$189/100*(AA25+AA40+AA55+AA70+AA85)</f>
        <v>#VALUE!</v>
      </c>
      <c r="AB117" s="11" t="e">
        <f aca="false">AB21*Inputs!$F$189/100*(AB25+AB40+AB55+AB70+AB85)</f>
        <v>#VALUE!</v>
      </c>
      <c r="AC117" s="11" t="e">
        <f aca="false">AC21*Inputs!$F$189/100*(AC25+AC40+AC55+AC70+AC85)</f>
        <v>#VALUE!</v>
      </c>
      <c r="AD117" s="11" t="e">
        <f aca="false">AD21*Inputs!$F$189/100*(AD25+AD40+AD55+AD70+AD85)</f>
        <v>#VALUE!</v>
      </c>
      <c r="AE117" s="11" t="e">
        <f aca="false">AE21*Inputs!$F$189/100*(AE25+AE40+AE55+AE70+AE85)</f>
        <v>#VALUE!</v>
      </c>
      <c r="AF117" s="11" t="e">
        <f aca="false">AF21*Inputs!$F$189/100*(AF25+AF40+AF55+AF70+AF85)</f>
        <v>#VALUE!</v>
      </c>
      <c r="AG117" s="11" t="e">
        <f aca="false">AG21*Inputs!$F$189/100*(AG25+AG40+AG55+AG70+AG85)</f>
        <v>#VALUE!</v>
      </c>
      <c r="AH117" s="11" t="e">
        <f aca="false">AH21*Inputs!$F$189/100*(AH25+AH40+AH55+AH70+AH85)</f>
        <v>#VALUE!</v>
      </c>
      <c r="AI117" s="11" t="e">
        <f aca="false">AI21*Inputs!$F$189/100*(AI25+AI40+AI55+AI70+AI85)</f>
        <v>#VALUE!</v>
      </c>
      <c r="AJ117" s="11" t="e">
        <f aca="false">AJ21*Inputs!$F$189/100*(AJ25+AJ40+AJ55+AJ70+AJ85)</f>
        <v>#VALUE!</v>
      </c>
      <c r="AK117" s="11" t="e">
        <f aca="false">AK21*Inputs!$F$189/100*(AK25+AK40+AK55+AK70+AK85)</f>
        <v>#VALUE!</v>
      </c>
      <c r="AL117" s="11" t="e">
        <f aca="false">AL21*Inputs!$F$189/100*(AL25+AL40+AL55+AL70+AL85)</f>
        <v>#VALUE!</v>
      </c>
      <c r="AM117" s="11" t="e">
        <f aca="false">AM21*Inputs!$F$189/100*(AM25+AM40+AM55+AM70+AM85)</f>
        <v>#VALUE!</v>
      </c>
      <c r="AN117" s="11" t="e">
        <f aca="false">AN21*Inputs!$F$189/100*(AN25+AN40+AN55+AN70+AN85)</f>
        <v>#VALUE!</v>
      </c>
      <c r="AO117" s="11" t="e">
        <f aca="false">AO21*Inputs!$F$189/100*(AO25+AO40+AO55+AO70+AO85)</f>
        <v>#VALUE!</v>
      </c>
      <c r="AP117" s="11" t="e">
        <f aca="false">AP21*Inputs!$F$189/100*(AP25+AP40+AP55+AP70+AP85)</f>
        <v>#VALUE!</v>
      </c>
      <c r="AQ117" s="11" t="e">
        <f aca="false">AQ21*Inputs!$F$189/100*(AQ25+AQ40+AQ55+AQ70+AQ85)</f>
        <v>#VALUE!</v>
      </c>
      <c r="AR117" s="11" t="e">
        <f aca="false">AR21*Inputs!$F$189/100*(AR25+AR40+AR55+AR70+AR85)</f>
        <v>#VALUE!</v>
      </c>
      <c r="AS117" s="11" t="e">
        <f aca="false">AS21*Inputs!$F$189/100*(AS25+AS40+AS55+AS70+AS85)</f>
        <v>#VALUE!</v>
      </c>
      <c r="AT117" s="11" t="e">
        <f aca="false">AT21*Inputs!$F$189/100*(AT25+AT40+AT55+AT70+AT85)</f>
        <v>#VALUE!</v>
      </c>
      <c r="AU117" s="11" t="e">
        <f aca="false">AU21*Inputs!$F$189/100*(AU25+AU40+AU55+AU70+AU85)</f>
        <v>#VALUE!</v>
      </c>
      <c r="AV117" s="11" t="e">
        <f aca="false">AV21*Inputs!$F$189/100*(AV25+AV40+AV55+AV70+AV85)</f>
        <v>#VALUE!</v>
      </c>
      <c r="AW117" s="11" t="e">
        <f aca="false">AW21*Inputs!$F$189/100*(AW25+AW40+AW55+AW70+AW85)</f>
        <v>#VALUE!</v>
      </c>
      <c r="AX117" s="11" t="e">
        <f aca="false">AX21*Inputs!$F$189/100*(AX25+AX40+AX55+AX70+AX85)</f>
        <v>#VALUE!</v>
      </c>
      <c r="AY117" s="11" t="e">
        <f aca="false">AY21*Inputs!$F$189/100*(AY25+AY40+AY55+AY70+AY85)</f>
        <v>#VALUE!</v>
      </c>
      <c r="AZ117" s="11" t="e">
        <f aca="false">AZ21*Inputs!$F$189/100*(AZ25+AZ40+AZ55+AZ70+AZ85)</f>
        <v>#VALUE!</v>
      </c>
      <c r="BA117" s="11" t="e">
        <f aca="false">BA21*Inputs!$F$189/100*(BA25+BA40+BA55+BA70+BA85)</f>
        <v>#VALUE!</v>
      </c>
      <c r="BB117" s="11" t="e">
        <f aca="false">BB21*Inputs!$F$189/100*(BB25+BB40+BB55+BB70+BB85)</f>
        <v>#VALUE!</v>
      </c>
      <c r="BC117" s="11" t="e">
        <f aca="false">BC21*Inputs!$F$189/100*(BC25+BC40+BC55+BC70+BC85)</f>
        <v>#VALUE!</v>
      </c>
      <c r="BD117" s="11" t="e">
        <f aca="false">BD21*Inputs!$F$189/100*(BD25+BD40+BD55+BD70+BD85)</f>
        <v>#VALUE!</v>
      </c>
      <c r="BE117" s="11" t="e">
        <f aca="false">BE21*Inputs!$F$189/100*(BE25+BE40+BE55+BE70+BE85)</f>
        <v>#VALUE!</v>
      </c>
      <c r="BF117" s="11" t="e">
        <f aca="false">BF21*Inputs!$F$189/100*(BF25+BF40+BF55+BF70+BF85)</f>
        <v>#VALUE!</v>
      </c>
      <c r="BG117" s="11" t="e">
        <f aca="false">BG21*Inputs!$F$189/100*(BG25+BG40+BG55+BG70+BG85)</f>
        <v>#VALUE!</v>
      </c>
      <c r="BH117" s="11" t="e">
        <f aca="false">BH21*Inputs!$F$189/100*(BH25+BH40+BH55+BH70+BH85)</f>
        <v>#VALUE!</v>
      </c>
      <c r="BI117" s="11" t="e">
        <f aca="false">BI21*Inputs!$F$189/100*(BI25+BI40+BI55+BI70+BI85)</f>
        <v>#VALUE!</v>
      </c>
      <c r="BJ117" s="11" t="e">
        <f aca="false">BJ21*Inputs!$F$189/100*(BJ25+BJ40+BJ55+BJ70+BJ85)</f>
        <v>#VALUE!</v>
      </c>
      <c r="BK117" s="11" t="e">
        <f aca="false">BK21*Inputs!$F$189/100*(BK25+BK40+BK55+BK70+BK85)</f>
        <v>#VALUE!</v>
      </c>
      <c r="BL117" s="11" t="e">
        <f aca="false">BL21*Inputs!$F$189/100*(BL25+BL40+BL55+BL70+BL85)</f>
        <v>#VALUE!</v>
      </c>
      <c r="BM117" s="11" t="e">
        <f aca="false">BM21*Inputs!$F$189/100*(BM25+BM40+BM55+BM70+BM85)</f>
        <v>#VALUE!</v>
      </c>
      <c r="BN117" s="11" t="e">
        <f aca="false">BN21*Inputs!$F$189/100*(BN25+BN40+BN55+BN70+BN85)</f>
        <v>#VALUE!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e">
        <f aca="false">SUM(J118:BN118)</f>
        <v>#VALUE!</v>
      </c>
      <c r="J118" s="11" t="n">
        <f aca="false">J27+J42+J57+J72+J87+J101</f>
        <v>0</v>
      </c>
      <c r="K118" s="11" t="e">
        <f aca="false">K27+K42+K57+K72+K87+K101</f>
        <v>#VALUE!</v>
      </c>
      <c r="L118" s="11" t="e">
        <f aca="false">L27+L42+L57+L72+L87+L101</f>
        <v>#VALUE!</v>
      </c>
      <c r="M118" s="11" t="e">
        <f aca="false">M27+M42+M57+M72+M87+M101</f>
        <v>#VALUE!</v>
      </c>
      <c r="N118" s="11" t="e">
        <f aca="false">N27+N42+N57+N72+N87+N101</f>
        <v>#VALUE!</v>
      </c>
      <c r="O118" s="11" t="e">
        <f aca="false">O27+O42+O57+O72+O87+O101</f>
        <v>#VALUE!</v>
      </c>
      <c r="P118" s="11" t="e">
        <f aca="false">P27+P42+P57+P72+P87+P101</f>
        <v>#VALUE!</v>
      </c>
      <c r="Q118" s="11" t="e">
        <f aca="false">Q27+Q42+Q57+Q72+Q87+Q101</f>
        <v>#VALUE!</v>
      </c>
      <c r="R118" s="11" t="e">
        <f aca="false">R27+R42+R57+R72+R87+R101</f>
        <v>#VALUE!</v>
      </c>
      <c r="S118" s="11" t="e">
        <f aca="false">S27+S42+S57+S72+S87+S101</f>
        <v>#VALUE!</v>
      </c>
      <c r="T118" s="11" t="e">
        <f aca="false">T27+T42+T57+T72+T87+T101</f>
        <v>#VALUE!</v>
      </c>
      <c r="U118" s="11" t="e">
        <f aca="false">U27+U42+U57+U72+U87+U101</f>
        <v>#VALUE!</v>
      </c>
      <c r="V118" s="11" t="e">
        <f aca="false">V27+V42+V57+V72+V87+V101</f>
        <v>#VALUE!</v>
      </c>
      <c r="W118" s="11" t="e">
        <f aca="false">W27+W42+W57+W72+W87+W101</f>
        <v>#VALUE!</v>
      </c>
      <c r="X118" s="11" t="e">
        <f aca="false">X27+X42+X57+X72+X87+X101</f>
        <v>#VALUE!</v>
      </c>
      <c r="Y118" s="11" t="e">
        <f aca="false">Y27+Y42+Y57+Y72+Y87+Y101</f>
        <v>#VALUE!</v>
      </c>
      <c r="Z118" s="11" t="e">
        <f aca="false">Z27+Z42+Z57+Z72+Z87+Z101</f>
        <v>#VALUE!</v>
      </c>
      <c r="AA118" s="11" t="e">
        <f aca="false">AA27+AA42+AA57+AA72+AA87+AA101</f>
        <v>#VALUE!</v>
      </c>
      <c r="AB118" s="11" t="e">
        <f aca="false">AB27+AB42+AB57+AB72+AB87+AB101</f>
        <v>#VALUE!</v>
      </c>
      <c r="AC118" s="11" t="e">
        <f aca="false">AC27+AC42+AC57+AC72+AC87+AC101</f>
        <v>#VALUE!</v>
      </c>
      <c r="AD118" s="11" t="e">
        <f aca="false">AD27+AD42+AD57+AD72+AD87+AD101</f>
        <v>#VALUE!</v>
      </c>
      <c r="AE118" s="11" t="e">
        <f aca="false">AE27+AE42+AE57+AE72+AE87+AE101</f>
        <v>#VALUE!</v>
      </c>
      <c r="AF118" s="11" t="e">
        <f aca="false">AF27+AF42+AF57+AF72+AF87+AF101</f>
        <v>#VALUE!</v>
      </c>
      <c r="AG118" s="11" t="e">
        <f aca="false">AG27+AG42+AG57+AG72+AG87+AG101</f>
        <v>#VALUE!</v>
      </c>
      <c r="AH118" s="11" t="e">
        <f aca="false">AH27+AH42+AH57+AH72+AH87+AH101</f>
        <v>#VALUE!</v>
      </c>
      <c r="AI118" s="11" t="e">
        <f aca="false">AI27+AI42+AI57+AI72+AI87+AI101</f>
        <v>#VALUE!</v>
      </c>
      <c r="AJ118" s="11" t="e">
        <f aca="false">AJ27+AJ42+AJ57+AJ72+AJ87+AJ101</f>
        <v>#VALUE!</v>
      </c>
      <c r="AK118" s="11" t="e">
        <f aca="false">AK27+AK42+AK57+AK72+AK87+AK101</f>
        <v>#VALUE!</v>
      </c>
      <c r="AL118" s="11" t="e">
        <f aca="false">AL27+AL42+AL57+AL72+AL87+AL101</f>
        <v>#VALUE!</v>
      </c>
      <c r="AM118" s="11" t="e">
        <f aca="false">AM27+AM42+AM57+AM72+AM87+AM101</f>
        <v>#VALUE!</v>
      </c>
      <c r="AN118" s="11" t="e">
        <f aca="false">AN27+AN42+AN57+AN72+AN87+AN101</f>
        <v>#VALUE!</v>
      </c>
      <c r="AO118" s="11" t="e">
        <f aca="false">AO27+AO42+AO57+AO72+AO87+AO101</f>
        <v>#VALUE!</v>
      </c>
      <c r="AP118" s="11" t="e">
        <f aca="false">AP27+AP42+AP57+AP72+AP87+AP101</f>
        <v>#VALUE!</v>
      </c>
      <c r="AQ118" s="11" t="e">
        <f aca="false">AQ27+AQ42+AQ57+AQ72+AQ87+AQ101</f>
        <v>#VALUE!</v>
      </c>
      <c r="AR118" s="11" t="e">
        <f aca="false">AR27+AR42+AR57+AR72+AR87+AR101</f>
        <v>#VALUE!</v>
      </c>
      <c r="AS118" s="11" t="e">
        <f aca="false">AS27+AS42+AS57+AS72+AS87+AS101</f>
        <v>#VALUE!</v>
      </c>
      <c r="AT118" s="11" t="e">
        <f aca="false">AT27+AT42+AT57+AT72+AT87+AT101</f>
        <v>#VALUE!</v>
      </c>
      <c r="AU118" s="11" t="e">
        <f aca="false">AU27+AU42+AU57+AU72+AU87+AU101</f>
        <v>#VALUE!</v>
      </c>
      <c r="AV118" s="11" t="e">
        <f aca="false">AV27+AV42+AV57+AV72+AV87+AV101</f>
        <v>#VALUE!</v>
      </c>
      <c r="AW118" s="11" t="e">
        <f aca="false">AW27+AW42+AW57+AW72+AW87+AW101</f>
        <v>#VALUE!</v>
      </c>
      <c r="AX118" s="11" t="e">
        <f aca="false">AX27+AX42+AX57+AX72+AX87+AX101</f>
        <v>#VALUE!</v>
      </c>
      <c r="AY118" s="11" t="e">
        <f aca="false">AY27+AY42+AY57+AY72+AY87+AY101</f>
        <v>#VALUE!</v>
      </c>
      <c r="AZ118" s="11" t="e">
        <f aca="false">AZ27+AZ42+AZ57+AZ72+AZ87+AZ101</f>
        <v>#VALUE!</v>
      </c>
      <c r="BA118" s="11" t="e">
        <f aca="false">BA27+BA42+BA57+BA72+BA87+BA101</f>
        <v>#VALUE!</v>
      </c>
      <c r="BB118" s="11" t="e">
        <f aca="false">BB27+BB42+BB57+BB72+BB87+BB101</f>
        <v>#VALUE!</v>
      </c>
      <c r="BC118" s="11" t="e">
        <f aca="false">BC27+BC42+BC57+BC72+BC87+BC101</f>
        <v>#VALUE!</v>
      </c>
      <c r="BD118" s="11" t="e">
        <f aca="false">BD27+BD42+BD57+BD72+BD87+BD101</f>
        <v>#VALUE!</v>
      </c>
      <c r="BE118" s="11" t="e">
        <f aca="false">BE27+BE42+BE57+BE72+BE87+BE101</f>
        <v>#VALUE!</v>
      </c>
      <c r="BF118" s="11" t="e">
        <f aca="false">BF27+BF42+BF57+BF72+BF87+BF101</f>
        <v>#VALUE!</v>
      </c>
      <c r="BG118" s="11" t="e">
        <f aca="false">BG27+BG42+BG57+BG72+BG87+BG101</f>
        <v>#VALUE!</v>
      </c>
      <c r="BH118" s="11" t="e">
        <f aca="false">BH27+BH42+BH57+BH72+BH87+BH101</f>
        <v>#VALUE!</v>
      </c>
      <c r="BI118" s="11" t="e">
        <f aca="false">BI27+BI42+BI57+BI72+BI87+BI101</f>
        <v>#VALUE!</v>
      </c>
      <c r="BJ118" s="11" t="e">
        <f aca="false">BJ27+BJ42+BJ57+BJ72+BJ87+BJ101</f>
        <v>#VALUE!</v>
      </c>
      <c r="BK118" s="11" t="e">
        <f aca="false">BK27+BK42+BK57+BK72+BK87+BK101</f>
        <v>#VALUE!</v>
      </c>
      <c r="BL118" s="11" t="e">
        <f aca="false">BL27+BL42+BL57+BL72+BL87+BL101</f>
        <v>#VALUE!</v>
      </c>
      <c r="BM118" s="11" t="e">
        <f aca="false">BM27+BM42+BM57+BM72+BM87+BM101</f>
        <v>#VALUE!</v>
      </c>
      <c r="BN118" s="11" t="e">
        <f aca="false">BN27+BN42+BN57+BN72+BN87+BN101</f>
        <v>#VALUE!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e">
        <f aca="false">SUM(J119:BN119)</f>
        <v>#VALUE!</v>
      </c>
      <c r="J119" s="11" t="e">
        <f aca="false">J118+J114+J115+J116</f>
        <v>#VALUE!</v>
      </c>
      <c r="K119" s="11" t="e">
        <f aca="false">K118+K114+K115+K116</f>
        <v>#VALUE!</v>
      </c>
      <c r="L119" s="11" t="e">
        <f aca="false">L118+L114+L115+L116</f>
        <v>#VALUE!</v>
      </c>
      <c r="M119" s="11" t="e">
        <f aca="false">M118+M114+M115+M116</f>
        <v>#VALUE!</v>
      </c>
      <c r="N119" s="11" t="e">
        <f aca="false">N118+N114+N115+N116</f>
        <v>#VALUE!</v>
      </c>
      <c r="O119" s="11" t="e">
        <f aca="false">O118+O114+O115+O116</f>
        <v>#VALUE!</v>
      </c>
      <c r="P119" s="11" t="e">
        <f aca="false">P118+P114+P115+P116</f>
        <v>#VALUE!</v>
      </c>
      <c r="Q119" s="11" t="e">
        <f aca="false">Q118+Q114+Q115+Q116</f>
        <v>#VALUE!</v>
      </c>
      <c r="R119" s="11" t="e">
        <f aca="false">R118+R114+R115+R116</f>
        <v>#VALUE!</v>
      </c>
      <c r="S119" s="11" t="e">
        <f aca="false">S118+S114+S115+S116</f>
        <v>#VALUE!</v>
      </c>
      <c r="T119" s="11" t="e">
        <f aca="false">T118+T114+T115+T116</f>
        <v>#VALUE!</v>
      </c>
      <c r="U119" s="11" t="e">
        <f aca="false">U118+U114+U115+U116</f>
        <v>#VALUE!</v>
      </c>
      <c r="V119" s="11" t="e">
        <f aca="false">V118+V114+V115+V116</f>
        <v>#VALUE!</v>
      </c>
      <c r="W119" s="11" t="e">
        <f aca="false">W118+W114+W115+W116</f>
        <v>#VALUE!</v>
      </c>
      <c r="X119" s="11" t="e">
        <f aca="false">X118+X114+X115+X116</f>
        <v>#VALUE!</v>
      </c>
      <c r="Y119" s="11" t="e">
        <f aca="false">Y118+Y114+Y115+Y116</f>
        <v>#VALUE!</v>
      </c>
      <c r="Z119" s="11" t="e">
        <f aca="false">Z118+Z114+Z115+Z116</f>
        <v>#VALUE!</v>
      </c>
      <c r="AA119" s="11" t="e">
        <f aca="false">AA118+AA114+AA115+AA116</f>
        <v>#VALUE!</v>
      </c>
      <c r="AB119" s="11" t="e">
        <f aca="false">AB118+AB114+AB115+AB116</f>
        <v>#VALUE!</v>
      </c>
      <c r="AC119" s="11" t="e">
        <f aca="false">AC118+AC114+AC115+AC116</f>
        <v>#VALUE!</v>
      </c>
      <c r="AD119" s="11" t="e">
        <f aca="false">AD118+AD114+AD115+AD116</f>
        <v>#VALUE!</v>
      </c>
      <c r="AE119" s="11" t="e">
        <f aca="false">AE118+AE114+AE115+AE116</f>
        <v>#VALUE!</v>
      </c>
      <c r="AF119" s="11" t="e">
        <f aca="false">AF118+AF114+AF115+AF116</f>
        <v>#VALUE!</v>
      </c>
      <c r="AG119" s="11" t="e">
        <f aca="false">AG118+AG114+AG115+AG116</f>
        <v>#VALUE!</v>
      </c>
      <c r="AH119" s="11" t="e">
        <f aca="false">AH118+AH114+AH115+AH116</f>
        <v>#VALUE!</v>
      </c>
      <c r="AI119" s="11" t="e">
        <f aca="false">AI118+AI114+AI115+AI116</f>
        <v>#VALUE!</v>
      </c>
      <c r="AJ119" s="11" t="e">
        <f aca="false">AJ118+AJ114+AJ115+AJ116</f>
        <v>#VALUE!</v>
      </c>
      <c r="AK119" s="11" t="e">
        <f aca="false">AK118+AK114+AK115+AK116</f>
        <v>#VALUE!</v>
      </c>
      <c r="AL119" s="11" t="e">
        <f aca="false">AL118+AL114+AL115+AL116</f>
        <v>#VALUE!</v>
      </c>
      <c r="AM119" s="11" t="e">
        <f aca="false">AM118+AM114+AM115+AM116</f>
        <v>#VALUE!</v>
      </c>
      <c r="AN119" s="11" t="e">
        <f aca="false">AN118+AN114+AN115+AN116</f>
        <v>#VALUE!</v>
      </c>
      <c r="AO119" s="11" t="e">
        <f aca="false">AO118+AO114+AO115+AO116</f>
        <v>#VALUE!</v>
      </c>
      <c r="AP119" s="11" t="e">
        <f aca="false">AP118+AP114+AP115+AP116</f>
        <v>#VALUE!</v>
      </c>
      <c r="AQ119" s="11" t="e">
        <f aca="false">AQ118+AQ114+AQ115+AQ116</f>
        <v>#VALUE!</v>
      </c>
      <c r="AR119" s="11" t="e">
        <f aca="false">AR118+AR114+AR115+AR116</f>
        <v>#VALUE!</v>
      </c>
      <c r="AS119" s="11" t="e">
        <f aca="false">AS118+AS114+AS115+AS116</f>
        <v>#VALUE!</v>
      </c>
      <c r="AT119" s="11" t="e">
        <f aca="false">AT118+AT114+AT115+AT116</f>
        <v>#VALUE!</v>
      </c>
      <c r="AU119" s="11" t="e">
        <f aca="false">AU118+AU114+AU115+AU116</f>
        <v>#VALUE!</v>
      </c>
      <c r="AV119" s="11" t="e">
        <f aca="false">AV118+AV114+AV115+AV116</f>
        <v>#VALUE!</v>
      </c>
      <c r="AW119" s="11" t="e">
        <f aca="false">AW118+AW114+AW115+AW116</f>
        <v>#VALUE!</v>
      </c>
      <c r="AX119" s="11" t="e">
        <f aca="false">AX118+AX114+AX115+AX116</f>
        <v>#VALUE!</v>
      </c>
      <c r="AY119" s="11" t="e">
        <f aca="false">AY118+AY114+AY115+AY116</f>
        <v>#VALUE!</v>
      </c>
      <c r="AZ119" s="11" t="e">
        <f aca="false">AZ118+AZ114+AZ115+AZ116</f>
        <v>#VALUE!</v>
      </c>
      <c r="BA119" s="11" t="e">
        <f aca="false">BA118+BA114+BA115+BA116</f>
        <v>#VALUE!</v>
      </c>
      <c r="BB119" s="11" t="e">
        <f aca="false">BB118+BB114+BB115+BB116</f>
        <v>#VALUE!</v>
      </c>
      <c r="BC119" s="11" t="e">
        <f aca="false">BC118+BC114+BC115+BC116</f>
        <v>#VALUE!</v>
      </c>
      <c r="BD119" s="11" t="e">
        <f aca="false">BD118+BD114+BD115+BD116</f>
        <v>#VALUE!</v>
      </c>
      <c r="BE119" s="11" t="e">
        <f aca="false">BE118+BE114+BE115+BE116</f>
        <v>#VALUE!</v>
      </c>
      <c r="BF119" s="11" t="e">
        <f aca="false">BF118+BF114+BF115+BF116</f>
        <v>#VALUE!</v>
      </c>
      <c r="BG119" s="11" t="e">
        <f aca="false">BG118+BG114+BG115+BG116</f>
        <v>#VALUE!</v>
      </c>
      <c r="BH119" s="11" t="e">
        <f aca="false">BH118+BH114+BH115+BH116</f>
        <v>#VALUE!</v>
      </c>
      <c r="BI119" s="11" t="e">
        <f aca="false">BI118+BI114+BI115+BI116</f>
        <v>#VALUE!</v>
      </c>
      <c r="BJ119" s="11" t="e">
        <f aca="false">BJ118+BJ114+BJ115+BJ116</f>
        <v>#VALUE!</v>
      </c>
      <c r="BK119" s="11" t="e">
        <f aca="false">BK118+BK114+BK115+BK116</f>
        <v>#VALUE!</v>
      </c>
      <c r="BL119" s="11" t="e">
        <f aca="false">BL118+BL114+BL115+BL116</f>
        <v>#VALUE!</v>
      </c>
      <c r="BM119" s="11" t="e">
        <f aca="false">BM118+BM114+BM115+BM116</f>
        <v>#VALUE!</v>
      </c>
      <c r="BN119" s="11" t="e">
        <f aca="false">BN118+BN114+BN115+BN116</f>
        <v>#VALUE!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e">
        <f aca="false">SUM(J120:BN120)</f>
        <v>#VALUE!</v>
      </c>
      <c r="J120" s="11" t="e">
        <f aca="false">J32+J47+J62+J77+J92+J102</f>
        <v>#VALUE!</v>
      </c>
      <c r="K120" s="11" t="e">
        <f aca="false">K32+K47+K62+K77+K92+K102</f>
        <v>#VALUE!</v>
      </c>
      <c r="L120" s="11" t="e">
        <f aca="false">L32+L47+L62+L77+L92+L102</f>
        <v>#VALUE!</v>
      </c>
      <c r="M120" s="11" t="e">
        <f aca="false">M32+M47+M62+M77+M92+M102</f>
        <v>#VALUE!</v>
      </c>
      <c r="N120" s="11" t="e">
        <f aca="false">N32+N47+N62+N77+N92+N102</f>
        <v>#VALUE!</v>
      </c>
      <c r="O120" s="11" t="e">
        <f aca="false">O32+O47+O62+O77+O92+O102</f>
        <v>#VALUE!</v>
      </c>
      <c r="P120" s="11" t="e">
        <f aca="false">P32+P47+P62+P77+P92+P102</f>
        <v>#VALUE!</v>
      </c>
      <c r="Q120" s="11" t="e">
        <f aca="false">Q32+Q47+Q62+Q77+Q92+Q102</f>
        <v>#VALUE!</v>
      </c>
      <c r="R120" s="11" t="e">
        <f aca="false">R32+R47+R62+R77+R92+R102</f>
        <v>#VALUE!</v>
      </c>
      <c r="S120" s="11" t="e">
        <f aca="false">S32+S47+S62+S77+S92+S102</f>
        <v>#VALUE!</v>
      </c>
      <c r="T120" s="11" t="e">
        <f aca="false">T32+T47+T62+T77+T92+T102</f>
        <v>#VALUE!</v>
      </c>
      <c r="U120" s="11" t="e">
        <f aca="false">U32+U47+U62+U77+U92+U102</f>
        <v>#VALUE!</v>
      </c>
      <c r="V120" s="11" t="e">
        <f aca="false">V32+V47+V62+V77+V92+V102</f>
        <v>#VALUE!</v>
      </c>
      <c r="W120" s="11" t="e">
        <f aca="false">W32+W47+W62+W77+W92+W102</f>
        <v>#VALUE!</v>
      </c>
      <c r="X120" s="11" t="e">
        <f aca="false">X32+X47+X62+X77+X92+X102</f>
        <v>#VALUE!</v>
      </c>
      <c r="Y120" s="11" t="e">
        <f aca="false">Y32+Y47+Y62+Y77+Y92+Y102</f>
        <v>#VALUE!</v>
      </c>
      <c r="Z120" s="11" t="e">
        <f aca="false">Z32+Z47+Z62+Z77+Z92+Z102</f>
        <v>#VALUE!</v>
      </c>
      <c r="AA120" s="11" t="e">
        <f aca="false">AA32+AA47+AA62+AA77+AA92+AA102</f>
        <v>#VALUE!</v>
      </c>
      <c r="AB120" s="11" t="e">
        <f aca="false">AB32+AB47+AB62+AB77+AB92+AB102</f>
        <v>#VALUE!</v>
      </c>
      <c r="AC120" s="11" t="e">
        <f aca="false">AC32+AC47+AC62+AC77+AC92+AC102</f>
        <v>#VALUE!</v>
      </c>
      <c r="AD120" s="11" t="e">
        <f aca="false">AD32+AD47+AD62+AD77+AD92+AD102</f>
        <v>#VALUE!</v>
      </c>
      <c r="AE120" s="11" t="e">
        <f aca="false">AE32+AE47+AE62+AE77+AE92+AE102</f>
        <v>#VALUE!</v>
      </c>
      <c r="AF120" s="11" t="e">
        <f aca="false">AF32+AF47+AF62+AF77+AF92+AF102</f>
        <v>#VALUE!</v>
      </c>
      <c r="AG120" s="11" t="e">
        <f aca="false">AG32+AG47+AG62+AG77+AG92+AG102</f>
        <v>#VALUE!</v>
      </c>
      <c r="AH120" s="11" t="e">
        <f aca="false">AH32+AH47+AH62+AH77+AH92+AH102</f>
        <v>#VALUE!</v>
      </c>
      <c r="AI120" s="11" t="e">
        <f aca="false">AI32+AI47+AI62+AI77+AI92+AI102</f>
        <v>#VALUE!</v>
      </c>
      <c r="AJ120" s="11" t="e">
        <f aca="false">AJ32+AJ47+AJ62+AJ77+AJ92+AJ102</f>
        <v>#VALUE!</v>
      </c>
      <c r="AK120" s="11" t="e">
        <f aca="false">AK32+AK47+AK62+AK77+AK92+AK102</f>
        <v>#VALUE!</v>
      </c>
      <c r="AL120" s="11" t="e">
        <f aca="false">AL32+AL47+AL62+AL77+AL92+AL102</f>
        <v>#VALUE!</v>
      </c>
      <c r="AM120" s="11" t="e">
        <f aca="false">AM32+AM47+AM62+AM77+AM92+AM102</f>
        <v>#VALUE!</v>
      </c>
      <c r="AN120" s="11" t="e">
        <f aca="false">AN32+AN47+AN62+AN77+AN92+AN102</f>
        <v>#VALUE!</v>
      </c>
      <c r="AO120" s="11" t="e">
        <f aca="false">AO32+AO47+AO62+AO77+AO92+AO102</f>
        <v>#VALUE!</v>
      </c>
      <c r="AP120" s="11" t="e">
        <f aca="false">AP32+AP47+AP62+AP77+AP92+AP102</f>
        <v>#VALUE!</v>
      </c>
      <c r="AQ120" s="11" t="e">
        <f aca="false">AQ32+AQ47+AQ62+AQ77+AQ92+AQ102</f>
        <v>#VALUE!</v>
      </c>
      <c r="AR120" s="11" t="e">
        <f aca="false">AR32+AR47+AR62+AR77+AR92+AR102</f>
        <v>#VALUE!</v>
      </c>
      <c r="AS120" s="11" t="e">
        <f aca="false">AS32+AS47+AS62+AS77+AS92+AS102</f>
        <v>#VALUE!</v>
      </c>
      <c r="AT120" s="11" t="e">
        <f aca="false">AT32+AT47+AT62+AT77+AT92+AT102</f>
        <v>#VALUE!</v>
      </c>
      <c r="AU120" s="11" t="e">
        <f aca="false">AU32+AU47+AU62+AU77+AU92+AU102</f>
        <v>#VALUE!</v>
      </c>
      <c r="AV120" s="11" t="e">
        <f aca="false">AV32+AV47+AV62+AV77+AV92+AV102</f>
        <v>#VALUE!</v>
      </c>
      <c r="AW120" s="11" t="e">
        <f aca="false">AW32+AW47+AW62+AW77+AW92+AW102</f>
        <v>#VALUE!</v>
      </c>
      <c r="AX120" s="11" t="e">
        <f aca="false">AX32+AX47+AX62+AX77+AX92+AX102</f>
        <v>#VALUE!</v>
      </c>
      <c r="AY120" s="11" t="e">
        <f aca="false">AY32+AY47+AY62+AY77+AY92+AY102</f>
        <v>#VALUE!</v>
      </c>
      <c r="AZ120" s="11" t="e">
        <f aca="false">AZ32+AZ47+AZ62+AZ77+AZ92+AZ102</f>
        <v>#VALUE!</v>
      </c>
      <c r="BA120" s="11" t="e">
        <f aca="false">BA32+BA47+BA62+BA77+BA92+BA102</f>
        <v>#VALUE!</v>
      </c>
      <c r="BB120" s="11" t="e">
        <f aca="false">BB32+BB47+BB62+BB77+BB92+BB102</f>
        <v>#VALUE!</v>
      </c>
      <c r="BC120" s="11" t="e">
        <f aca="false">BC32+BC47+BC62+BC77+BC92+BC102</f>
        <v>#VALUE!</v>
      </c>
      <c r="BD120" s="11" t="e">
        <f aca="false">BD32+BD47+BD62+BD77+BD92+BD102</f>
        <v>#VALUE!</v>
      </c>
      <c r="BE120" s="11" t="e">
        <f aca="false">BE32+BE47+BE62+BE77+BE92+BE102</f>
        <v>#VALUE!</v>
      </c>
      <c r="BF120" s="11" t="e">
        <f aca="false">BF32+BF47+BF62+BF77+BF92+BF102</f>
        <v>#VALUE!</v>
      </c>
      <c r="BG120" s="11" t="e">
        <f aca="false">BG32+BG47+BG62+BG77+BG92+BG102</f>
        <v>#VALUE!</v>
      </c>
      <c r="BH120" s="11" t="e">
        <f aca="false">BH32+BH47+BH62+BH77+BH92+BH102</f>
        <v>#VALUE!</v>
      </c>
      <c r="BI120" s="11" t="e">
        <f aca="false">BI32+BI47+BI62+BI77+BI92+BI102</f>
        <v>#VALUE!</v>
      </c>
      <c r="BJ120" s="11" t="e">
        <f aca="false">BJ32+BJ47+BJ62+BJ77+BJ92+BJ102</f>
        <v>#VALUE!</v>
      </c>
      <c r="BK120" s="11" t="e">
        <f aca="false">BK32+BK47+BK62+BK77+BK92+BK102</f>
        <v>#VALUE!</v>
      </c>
      <c r="BL120" s="11" t="e">
        <f aca="false">BL32+BL47+BL62+BL77+BL92+BL102</f>
        <v>#VALUE!</v>
      </c>
      <c r="BM120" s="11" t="e">
        <f aca="false">BM32+BM47+BM62+BM77+BM92+BM102</f>
        <v>#VALUE!</v>
      </c>
      <c r="BN120" s="11" t="e">
        <f aca="false">BN32+BN47+BN62+BN77+BN92+BN102</f>
        <v>#VALUE!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e">
        <f aca="false">SUM(J121:BN121)</f>
        <v>#VALUE!</v>
      </c>
      <c r="J121" s="11" t="e">
        <f aca="false">J119+J120</f>
        <v>#VALUE!</v>
      </c>
      <c r="K121" s="11" t="e">
        <f aca="false">K119+K120</f>
        <v>#VALUE!</v>
      </c>
      <c r="L121" s="11" t="e">
        <f aca="false">L119+L120</f>
        <v>#VALUE!</v>
      </c>
      <c r="M121" s="11" t="e">
        <f aca="false">M119+M120</f>
        <v>#VALUE!</v>
      </c>
      <c r="N121" s="11" t="e">
        <f aca="false">N119+N120</f>
        <v>#VALUE!</v>
      </c>
      <c r="O121" s="11" t="e">
        <f aca="false">O119+O120</f>
        <v>#VALUE!</v>
      </c>
      <c r="P121" s="11" t="e">
        <f aca="false">P119+P120</f>
        <v>#VALUE!</v>
      </c>
      <c r="Q121" s="11" t="e">
        <f aca="false">Q119+Q120</f>
        <v>#VALUE!</v>
      </c>
      <c r="R121" s="11" t="e">
        <f aca="false">R119+R120</f>
        <v>#VALUE!</v>
      </c>
      <c r="S121" s="11" t="e">
        <f aca="false">S119+S120</f>
        <v>#VALUE!</v>
      </c>
      <c r="T121" s="11" t="e">
        <f aca="false">T119+T120</f>
        <v>#VALUE!</v>
      </c>
      <c r="U121" s="11" t="e">
        <f aca="false">U119+U120</f>
        <v>#VALUE!</v>
      </c>
      <c r="V121" s="11" t="e">
        <f aca="false">V119+V120</f>
        <v>#VALUE!</v>
      </c>
      <c r="W121" s="11" t="e">
        <f aca="false">W119+W120</f>
        <v>#VALUE!</v>
      </c>
      <c r="X121" s="11" t="e">
        <f aca="false">X119+X120</f>
        <v>#VALUE!</v>
      </c>
      <c r="Y121" s="11" t="e">
        <f aca="false">Y119+Y120</f>
        <v>#VALUE!</v>
      </c>
      <c r="Z121" s="11" t="e">
        <f aca="false">Z119+Z120</f>
        <v>#VALUE!</v>
      </c>
      <c r="AA121" s="11" t="e">
        <f aca="false">AA119+AA120</f>
        <v>#VALUE!</v>
      </c>
      <c r="AB121" s="11" t="e">
        <f aca="false">AB119+AB120</f>
        <v>#VALUE!</v>
      </c>
      <c r="AC121" s="11" t="e">
        <f aca="false">AC119+AC120</f>
        <v>#VALUE!</v>
      </c>
      <c r="AD121" s="11" t="e">
        <f aca="false">AD119+AD120</f>
        <v>#VALUE!</v>
      </c>
      <c r="AE121" s="11" t="e">
        <f aca="false">AE119+AE120</f>
        <v>#VALUE!</v>
      </c>
      <c r="AF121" s="11" t="e">
        <f aca="false">AF119+AF120</f>
        <v>#VALUE!</v>
      </c>
      <c r="AG121" s="11" t="e">
        <f aca="false">AG119+AG120</f>
        <v>#VALUE!</v>
      </c>
      <c r="AH121" s="11" t="e">
        <f aca="false">AH119+AH120</f>
        <v>#VALUE!</v>
      </c>
      <c r="AI121" s="11" t="e">
        <f aca="false">AI119+AI120</f>
        <v>#VALUE!</v>
      </c>
      <c r="AJ121" s="11" t="e">
        <f aca="false">AJ119+AJ120</f>
        <v>#VALUE!</v>
      </c>
      <c r="AK121" s="11" t="e">
        <f aca="false">AK119+AK120</f>
        <v>#VALUE!</v>
      </c>
      <c r="AL121" s="11" t="e">
        <f aca="false">AL119+AL120</f>
        <v>#VALUE!</v>
      </c>
      <c r="AM121" s="11" t="e">
        <f aca="false">AM119+AM120</f>
        <v>#VALUE!</v>
      </c>
      <c r="AN121" s="11" t="e">
        <f aca="false">AN119+AN120</f>
        <v>#VALUE!</v>
      </c>
      <c r="AO121" s="11" t="e">
        <f aca="false">AO119+AO120</f>
        <v>#VALUE!</v>
      </c>
      <c r="AP121" s="11" t="e">
        <f aca="false">AP119+AP120</f>
        <v>#VALUE!</v>
      </c>
      <c r="AQ121" s="11" t="e">
        <f aca="false">AQ119+AQ120</f>
        <v>#VALUE!</v>
      </c>
      <c r="AR121" s="11" t="e">
        <f aca="false">AR119+AR120</f>
        <v>#VALUE!</v>
      </c>
      <c r="AS121" s="11" t="e">
        <f aca="false">AS119+AS120</f>
        <v>#VALUE!</v>
      </c>
      <c r="AT121" s="11" t="e">
        <f aca="false">AT119+AT120</f>
        <v>#VALUE!</v>
      </c>
      <c r="AU121" s="11" t="e">
        <f aca="false">AU119+AU120</f>
        <v>#VALUE!</v>
      </c>
      <c r="AV121" s="11" t="e">
        <f aca="false">AV119+AV120</f>
        <v>#VALUE!</v>
      </c>
      <c r="AW121" s="11" t="e">
        <f aca="false">AW119+AW120</f>
        <v>#VALUE!</v>
      </c>
      <c r="AX121" s="11" t="e">
        <f aca="false">AX119+AX120</f>
        <v>#VALUE!</v>
      </c>
      <c r="AY121" s="11" t="e">
        <f aca="false">AY119+AY120</f>
        <v>#VALUE!</v>
      </c>
      <c r="AZ121" s="11" t="e">
        <f aca="false">AZ119+AZ120</f>
        <v>#VALUE!</v>
      </c>
      <c r="BA121" s="11" t="e">
        <f aca="false">BA119+BA120</f>
        <v>#VALUE!</v>
      </c>
      <c r="BB121" s="11" t="e">
        <f aca="false">BB119+BB120</f>
        <v>#VALUE!</v>
      </c>
      <c r="BC121" s="11" t="e">
        <f aca="false">BC119+BC120</f>
        <v>#VALUE!</v>
      </c>
      <c r="BD121" s="11" t="e">
        <f aca="false">BD119+BD120</f>
        <v>#VALUE!</v>
      </c>
      <c r="BE121" s="11" t="e">
        <f aca="false">BE119+BE120</f>
        <v>#VALUE!</v>
      </c>
      <c r="BF121" s="11" t="e">
        <f aca="false">BF119+BF120</f>
        <v>#VALUE!</v>
      </c>
      <c r="BG121" s="11" t="e">
        <f aca="false">BG119+BG120</f>
        <v>#VALUE!</v>
      </c>
      <c r="BH121" s="11" t="e">
        <f aca="false">BH119+BH120</f>
        <v>#VALUE!</v>
      </c>
      <c r="BI121" s="11" t="e">
        <f aca="false">BI119+BI120</f>
        <v>#VALUE!</v>
      </c>
      <c r="BJ121" s="11" t="e">
        <f aca="false">BJ119+BJ120</f>
        <v>#VALUE!</v>
      </c>
      <c r="BK121" s="11" t="e">
        <f aca="false">BK119+BK120</f>
        <v>#VALUE!</v>
      </c>
      <c r="BL121" s="11" t="e">
        <f aca="false">BL119+BL120</f>
        <v>#VALUE!</v>
      </c>
      <c r="BM121" s="11" t="e">
        <f aca="false">BM119+BM120</f>
        <v>#VALUE!</v>
      </c>
      <c r="BN121" s="11" t="e">
        <f aca="false">BN119+BN120</f>
        <v>#VALUE!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e">
        <f aca="false">K25+K40+K55+K70+K85+K100</f>
        <v>#VALUE!</v>
      </c>
      <c r="L122" s="11" t="e">
        <f aca="false">L25+L40+L55+L70+L85+L100</f>
        <v>#VALUE!</v>
      </c>
      <c r="M122" s="11" t="e">
        <f aca="false">M25+M40+M55+M70+M85+M100</f>
        <v>#VALUE!</v>
      </c>
      <c r="N122" s="11" t="e">
        <f aca="false">N25+N40+N55+N70+N85+N100</f>
        <v>#VALUE!</v>
      </c>
      <c r="O122" s="11" t="e">
        <f aca="false">O25+O40+O55+O70+O85+O100</f>
        <v>#VALUE!</v>
      </c>
      <c r="P122" s="11" t="e">
        <f aca="false">P25+P40+P55+P70+P85+P100</f>
        <v>#VALUE!</v>
      </c>
      <c r="Q122" s="11" t="e">
        <f aca="false">Q25+Q40+Q55+Q70+Q85+Q100</f>
        <v>#VALUE!</v>
      </c>
      <c r="R122" s="11" t="e">
        <f aca="false">R25+R40+R55+R70+R85+R100</f>
        <v>#VALUE!</v>
      </c>
      <c r="S122" s="11" t="e">
        <f aca="false">S25+S40+S55+S70+S85+S100</f>
        <v>#VALUE!</v>
      </c>
      <c r="T122" s="11" t="e">
        <f aca="false">T25+T40+T55+T70+T85+T100</f>
        <v>#VALUE!</v>
      </c>
      <c r="U122" s="11" t="e">
        <f aca="false">U25+U40+U55+U70+U85+U100</f>
        <v>#VALUE!</v>
      </c>
      <c r="V122" s="11" t="e">
        <f aca="false">V25+V40+V55+V70+V85+V100</f>
        <v>#VALUE!</v>
      </c>
      <c r="W122" s="11" t="e">
        <f aca="false">W25+W40+W55+W70+W85+W100</f>
        <v>#VALUE!</v>
      </c>
      <c r="X122" s="11" t="e">
        <f aca="false">X25+X40+X55+X70+X85+X100</f>
        <v>#VALUE!</v>
      </c>
      <c r="Y122" s="11" t="e">
        <f aca="false">Y25+Y40+Y55+Y70+Y85+Y100</f>
        <v>#VALUE!</v>
      </c>
      <c r="Z122" s="11" t="e">
        <f aca="false">Z25+Z40+Z55+Z70+Z85+Z100</f>
        <v>#VALUE!</v>
      </c>
      <c r="AA122" s="11" t="e">
        <f aca="false">AA25+AA40+AA55+AA70+AA85+AA100</f>
        <v>#VALUE!</v>
      </c>
      <c r="AB122" s="11" t="e">
        <f aca="false">AB25+AB40+AB55+AB70+AB85+AB100</f>
        <v>#VALUE!</v>
      </c>
      <c r="AC122" s="11" t="e">
        <f aca="false">AC25+AC40+AC55+AC70+AC85+AC100</f>
        <v>#VALUE!</v>
      </c>
      <c r="AD122" s="11" t="e">
        <f aca="false">AD25+AD40+AD55+AD70+AD85+AD100</f>
        <v>#VALUE!</v>
      </c>
      <c r="AE122" s="11" t="e">
        <f aca="false">AE25+AE40+AE55+AE70+AE85+AE100</f>
        <v>#VALUE!</v>
      </c>
      <c r="AF122" s="11" t="e">
        <f aca="false">AF25+AF40+AF55+AF70+AF85+AF100</f>
        <v>#VALUE!</v>
      </c>
      <c r="AG122" s="11" t="e">
        <f aca="false">AG25+AG40+AG55+AG70+AG85+AG100</f>
        <v>#VALUE!</v>
      </c>
      <c r="AH122" s="11" t="e">
        <f aca="false">AH25+AH40+AH55+AH70+AH85+AH100</f>
        <v>#VALUE!</v>
      </c>
      <c r="AI122" s="11" t="e">
        <f aca="false">AI25+AI40+AI55+AI70+AI85+AI100</f>
        <v>#VALUE!</v>
      </c>
      <c r="AJ122" s="11" t="e">
        <f aca="false">AJ25+AJ40+AJ55+AJ70+AJ85+AJ100</f>
        <v>#VALUE!</v>
      </c>
      <c r="AK122" s="11" t="e">
        <f aca="false">AK25+AK40+AK55+AK70+AK85+AK100</f>
        <v>#VALUE!</v>
      </c>
      <c r="AL122" s="11" t="e">
        <f aca="false">AL25+AL40+AL55+AL70+AL85+AL100</f>
        <v>#VALUE!</v>
      </c>
      <c r="AM122" s="11" t="e">
        <f aca="false">AM25+AM40+AM55+AM70+AM85+AM100</f>
        <v>#VALUE!</v>
      </c>
      <c r="AN122" s="11" t="e">
        <f aca="false">AN25+AN40+AN55+AN70+AN85+AN100</f>
        <v>#VALUE!</v>
      </c>
      <c r="AO122" s="11" t="e">
        <f aca="false">AO25+AO40+AO55+AO70+AO85+AO100</f>
        <v>#VALUE!</v>
      </c>
      <c r="AP122" s="11" t="e">
        <f aca="false">AP25+AP40+AP55+AP70+AP85+AP100</f>
        <v>#VALUE!</v>
      </c>
      <c r="AQ122" s="11" t="e">
        <f aca="false">AQ25+AQ40+AQ55+AQ70+AQ85+AQ100</f>
        <v>#VALUE!</v>
      </c>
      <c r="AR122" s="11" t="e">
        <f aca="false">AR25+AR40+AR55+AR70+AR85+AR100</f>
        <v>#VALUE!</v>
      </c>
      <c r="AS122" s="11" t="e">
        <f aca="false">AS25+AS40+AS55+AS70+AS85+AS100</f>
        <v>#VALUE!</v>
      </c>
      <c r="AT122" s="11" t="e">
        <f aca="false">AT25+AT40+AT55+AT70+AT85+AT100</f>
        <v>#VALUE!</v>
      </c>
      <c r="AU122" s="11" t="e">
        <f aca="false">AU25+AU40+AU55+AU70+AU85+AU100</f>
        <v>#VALUE!</v>
      </c>
      <c r="AV122" s="11" t="e">
        <f aca="false">AV25+AV40+AV55+AV70+AV85+AV100</f>
        <v>#VALUE!</v>
      </c>
      <c r="AW122" s="11" t="e">
        <f aca="false">AW25+AW40+AW55+AW70+AW85+AW100</f>
        <v>#VALUE!</v>
      </c>
      <c r="AX122" s="11" t="e">
        <f aca="false">AX25+AX40+AX55+AX70+AX85+AX100</f>
        <v>#VALUE!</v>
      </c>
      <c r="AY122" s="11" t="e">
        <f aca="false">AY25+AY40+AY55+AY70+AY85+AY100</f>
        <v>#VALUE!</v>
      </c>
      <c r="AZ122" s="11" t="e">
        <f aca="false">AZ25+AZ40+AZ55+AZ70+AZ85+AZ100</f>
        <v>#VALUE!</v>
      </c>
      <c r="BA122" s="11" t="e">
        <f aca="false">BA25+BA40+BA55+BA70+BA85+BA100</f>
        <v>#VALUE!</v>
      </c>
      <c r="BB122" s="11" t="e">
        <f aca="false">BB25+BB40+BB55+BB70+BB85+BB100</f>
        <v>#VALUE!</v>
      </c>
      <c r="BC122" s="11" t="e">
        <f aca="false">BC25+BC40+BC55+BC70+BC85+BC100</f>
        <v>#VALUE!</v>
      </c>
      <c r="BD122" s="11" t="e">
        <f aca="false">BD25+BD40+BD55+BD70+BD85+BD100</f>
        <v>#VALUE!</v>
      </c>
      <c r="BE122" s="11" t="e">
        <f aca="false">BE25+BE40+BE55+BE70+BE85+BE100</f>
        <v>#VALUE!</v>
      </c>
      <c r="BF122" s="11" t="e">
        <f aca="false">BF25+BF40+BF55+BF70+BF85+BF100</f>
        <v>#VALUE!</v>
      </c>
      <c r="BG122" s="11" t="e">
        <f aca="false">BG25+BG40+BG55+BG70+BG85+BG100</f>
        <v>#VALUE!</v>
      </c>
      <c r="BH122" s="11" t="e">
        <f aca="false">BH25+BH40+BH55+BH70+BH85+BH100</f>
        <v>#VALUE!</v>
      </c>
      <c r="BI122" s="11" t="e">
        <f aca="false">BI25+BI40+BI55+BI70+BI85+BI100</f>
        <v>#VALUE!</v>
      </c>
      <c r="BJ122" s="11" t="e">
        <f aca="false">BJ25+BJ40+BJ55+BJ70+BJ85+BJ100</f>
        <v>#VALUE!</v>
      </c>
      <c r="BK122" s="11" t="e">
        <f aca="false">BK25+BK40+BK55+BK70+BK85+BK100</f>
        <v>#VALUE!</v>
      </c>
      <c r="BL122" s="11" t="e">
        <f aca="false">BL25+BL40+BL55+BL70+BL85+BL100</f>
        <v>#VALUE!</v>
      </c>
      <c r="BM122" s="11" t="e">
        <f aca="false">BM25+BM40+BM55+BM70+BM85+BM100</f>
        <v>#VALUE!</v>
      </c>
      <c r="BN122" s="11" t="e">
        <f aca="false">BN25+BN40+BN55+BN70+BN85+BN100</f>
        <v>#VALUE!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e">
        <f aca="false">J38+J53+J68+J83+J98+J104</f>
        <v>#VALUE!</v>
      </c>
      <c r="K123" s="11" t="e">
        <f aca="false">K38+K53+K68+K83+K98+K104</f>
        <v>#VALUE!</v>
      </c>
      <c r="L123" s="11" t="e">
        <f aca="false">L38+L53+L68+L83+L98+L104</f>
        <v>#VALUE!</v>
      </c>
      <c r="M123" s="11" t="e">
        <f aca="false">M38+M53+M68+M83+M98+M104</f>
        <v>#VALUE!</v>
      </c>
      <c r="N123" s="11" t="e">
        <f aca="false">N38+N53+N68+N83+N98+N104</f>
        <v>#VALUE!</v>
      </c>
      <c r="O123" s="11" t="e">
        <f aca="false">O38+O53+O68+O83+O98+O104</f>
        <v>#VALUE!</v>
      </c>
      <c r="P123" s="11" t="e">
        <f aca="false">P38+P53+P68+P83+P98+P104</f>
        <v>#VALUE!</v>
      </c>
      <c r="Q123" s="11" t="e">
        <f aca="false">Q38+Q53+Q68+Q83+Q98+Q104</f>
        <v>#VALUE!</v>
      </c>
      <c r="R123" s="11" t="e">
        <f aca="false">R38+R53+R68+R83+R98+R104</f>
        <v>#VALUE!</v>
      </c>
      <c r="S123" s="11" t="e">
        <f aca="false">S38+S53+S68+S83+S98+S104</f>
        <v>#VALUE!</v>
      </c>
      <c r="T123" s="11" t="e">
        <f aca="false">T38+T53+T68+T83+T98+T104</f>
        <v>#VALUE!</v>
      </c>
      <c r="U123" s="11" t="e">
        <f aca="false">U38+U53+U68+U83+U98+U104</f>
        <v>#VALUE!</v>
      </c>
      <c r="V123" s="11" t="e">
        <f aca="false">V38+V53+V68+V83+V98+V104</f>
        <v>#VALUE!</v>
      </c>
      <c r="W123" s="11" t="e">
        <f aca="false">W38+W53+W68+W83+W98+W104</f>
        <v>#VALUE!</v>
      </c>
      <c r="X123" s="11" t="e">
        <f aca="false">X38+X53+X68+X83+X98+X104</f>
        <v>#VALUE!</v>
      </c>
      <c r="Y123" s="11" t="e">
        <f aca="false">Y38+Y53+Y68+Y83+Y98+Y104</f>
        <v>#VALUE!</v>
      </c>
      <c r="Z123" s="11" t="e">
        <f aca="false">Z38+Z53+Z68+Z83+Z98+Z104</f>
        <v>#VALUE!</v>
      </c>
      <c r="AA123" s="11" t="e">
        <f aca="false">AA38+AA53+AA68+AA83+AA98+AA104</f>
        <v>#VALUE!</v>
      </c>
      <c r="AB123" s="11" t="e">
        <f aca="false">AB38+AB53+AB68+AB83+AB98+AB104</f>
        <v>#VALUE!</v>
      </c>
      <c r="AC123" s="11" t="e">
        <f aca="false">AC38+AC53+AC68+AC83+AC98+AC104</f>
        <v>#VALUE!</v>
      </c>
      <c r="AD123" s="11" t="e">
        <f aca="false">AD38+AD53+AD68+AD83+AD98+AD104</f>
        <v>#VALUE!</v>
      </c>
      <c r="AE123" s="11" t="e">
        <f aca="false">AE38+AE53+AE68+AE83+AE98+AE104</f>
        <v>#VALUE!</v>
      </c>
      <c r="AF123" s="11" t="e">
        <f aca="false">AF38+AF53+AF68+AF83+AF98+AF104</f>
        <v>#VALUE!</v>
      </c>
      <c r="AG123" s="11" t="e">
        <f aca="false">AG38+AG53+AG68+AG83+AG98+AG104</f>
        <v>#VALUE!</v>
      </c>
      <c r="AH123" s="11" t="e">
        <f aca="false">AH38+AH53+AH68+AH83+AH98+AH104</f>
        <v>#VALUE!</v>
      </c>
      <c r="AI123" s="11" t="e">
        <f aca="false">AI38+AI53+AI68+AI83+AI98+AI104</f>
        <v>#VALUE!</v>
      </c>
      <c r="AJ123" s="11" t="e">
        <f aca="false">AJ38+AJ53+AJ68+AJ83+AJ98+AJ104</f>
        <v>#VALUE!</v>
      </c>
      <c r="AK123" s="11" t="e">
        <f aca="false">AK38+AK53+AK68+AK83+AK98+AK104</f>
        <v>#VALUE!</v>
      </c>
      <c r="AL123" s="11" t="e">
        <f aca="false">AL38+AL53+AL68+AL83+AL98+AL104</f>
        <v>#VALUE!</v>
      </c>
      <c r="AM123" s="11" t="e">
        <f aca="false">AM38+AM53+AM68+AM83+AM98+AM104</f>
        <v>#VALUE!</v>
      </c>
      <c r="AN123" s="11" t="e">
        <f aca="false">AN38+AN53+AN68+AN83+AN98+AN104</f>
        <v>#VALUE!</v>
      </c>
      <c r="AO123" s="11" t="e">
        <f aca="false">AO38+AO53+AO68+AO83+AO98+AO104</f>
        <v>#VALUE!</v>
      </c>
      <c r="AP123" s="11" t="e">
        <f aca="false">AP38+AP53+AP68+AP83+AP98+AP104</f>
        <v>#VALUE!</v>
      </c>
      <c r="AQ123" s="11" t="e">
        <f aca="false">AQ38+AQ53+AQ68+AQ83+AQ98+AQ104</f>
        <v>#VALUE!</v>
      </c>
      <c r="AR123" s="11" t="e">
        <f aca="false">AR38+AR53+AR68+AR83+AR98+AR104</f>
        <v>#VALUE!</v>
      </c>
      <c r="AS123" s="11" t="e">
        <f aca="false">AS38+AS53+AS68+AS83+AS98+AS104</f>
        <v>#VALUE!</v>
      </c>
      <c r="AT123" s="11" t="e">
        <f aca="false">AT38+AT53+AT68+AT83+AT98+AT104</f>
        <v>#VALUE!</v>
      </c>
      <c r="AU123" s="11" t="e">
        <f aca="false">AU38+AU53+AU68+AU83+AU98+AU104</f>
        <v>#VALUE!</v>
      </c>
      <c r="AV123" s="11" t="e">
        <f aca="false">AV38+AV53+AV68+AV83+AV98+AV104</f>
        <v>#VALUE!</v>
      </c>
      <c r="AW123" s="11" t="e">
        <f aca="false">AW38+AW53+AW68+AW83+AW98+AW104</f>
        <v>#VALUE!</v>
      </c>
      <c r="AX123" s="11" t="e">
        <f aca="false">AX38+AX53+AX68+AX83+AX98+AX104</f>
        <v>#VALUE!</v>
      </c>
      <c r="AY123" s="11" t="e">
        <f aca="false">AY38+AY53+AY68+AY83+AY98+AY104</f>
        <v>#VALUE!</v>
      </c>
      <c r="AZ123" s="11" t="e">
        <f aca="false">AZ38+AZ53+AZ68+AZ83+AZ98+AZ104</f>
        <v>#VALUE!</v>
      </c>
      <c r="BA123" s="11" t="e">
        <f aca="false">BA38+BA53+BA68+BA83+BA98+BA104</f>
        <v>#VALUE!</v>
      </c>
      <c r="BB123" s="11" t="e">
        <f aca="false">BB38+BB53+BB68+BB83+BB98+BB104</f>
        <v>#VALUE!</v>
      </c>
      <c r="BC123" s="11" t="e">
        <f aca="false">BC38+BC53+BC68+BC83+BC98+BC104</f>
        <v>#VALUE!</v>
      </c>
      <c r="BD123" s="11" t="e">
        <f aca="false">BD38+BD53+BD68+BD83+BD98+BD104</f>
        <v>#VALUE!</v>
      </c>
      <c r="BE123" s="11" t="e">
        <f aca="false">BE38+BE53+BE68+BE83+BE98+BE104</f>
        <v>#VALUE!</v>
      </c>
      <c r="BF123" s="11" t="e">
        <f aca="false">BF38+BF53+BF68+BF83+BF98+BF104</f>
        <v>#VALUE!</v>
      </c>
      <c r="BG123" s="11" t="e">
        <f aca="false">BG38+BG53+BG68+BG83+BG98+BG104</f>
        <v>#VALUE!</v>
      </c>
      <c r="BH123" s="11" t="e">
        <f aca="false">BH38+BH53+BH68+BH83+BH98+BH104</f>
        <v>#VALUE!</v>
      </c>
      <c r="BI123" s="11" t="e">
        <f aca="false">BI38+BI53+BI68+BI83+BI98+BI104</f>
        <v>#VALUE!</v>
      </c>
      <c r="BJ123" s="11" t="e">
        <f aca="false">BJ38+BJ53+BJ68+BJ83+BJ98+BJ104</f>
        <v>#VALUE!</v>
      </c>
      <c r="BK123" s="11" t="e">
        <f aca="false">BK38+BK53+BK68+BK83+BK98+BK104</f>
        <v>#VALUE!</v>
      </c>
      <c r="BL123" s="11" t="e">
        <f aca="false">BL38+BL53+BL68+BL83+BL98+BL104</f>
        <v>#VALUE!</v>
      </c>
      <c r="BM123" s="11" t="e">
        <f aca="false">BM38+BM53+BM68+BM83+BM98+BM104</f>
        <v>#VALUE!</v>
      </c>
      <c r="BN123" s="11" t="e">
        <f aca="false">BN38+BN53+BN68+BN83+BN98+BN104</f>
        <v>#VALUE!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e">
        <f aca="false">IF(Time!J29=1,J83,J81)</f>
        <v>#VALUE!</v>
      </c>
      <c r="K125" s="11" t="e">
        <f aca="false">IF(Time!K29=1,K83,K81)</f>
        <v>#VALUE!</v>
      </c>
      <c r="L125" s="11" t="e">
        <f aca="false">IF(Time!L29=1,L83,L81)</f>
        <v>#VALUE!</v>
      </c>
      <c r="M125" s="11" t="e">
        <f aca="false">IF(Time!M29=1,M83,M81)</f>
        <v>#VALUE!</v>
      </c>
      <c r="N125" s="11" t="e">
        <f aca="false">IF(Time!N29=1,N83,N81)</f>
        <v>#VALUE!</v>
      </c>
      <c r="O125" s="11" t="n">
        <f aca="false">IF(Time!O29=1,O83,O81)</f>
        <v>240.637270706254</v>
      </c>
      <c r="P125" s="11" t="e">
        <f aca="false">IF(Time!P29=1,P83,P81)</f>
        <v>#VALUE!</v>
      </c>
      <c r="Q125" s="11" t="e">
        <f aca="false">IF(Time!Q29=1,Q83,Q81)</f>
        <v>#VALUE!</v>
      </c>
      <c r="R125" s="11" t="e">
        <f aca="false">IF(Time!R29=1,R83,R81)</f>
        <v>#VALUE!</v>
      </c>
      <c r="S125" s="11" t="e">
        <f aca="false">IF(Time!S29=1,S83,S81)</f>
        <v>#VALUE!</v>
      </c>
      <c r="T125" s="11" t="e">
        <f aca="false">IF(Time!T29=1,T83,T81)</f>
        <v>#VALUE!</v>
      </c>
      <c r="U125" s="11" t="e">
        <f aca="false">IF(Time!U29=1,U83,U81)</f>
        <v>#VALUE!</v>
      </c>
      <c r="V125" s="11" t="e">
        <f aca="false">IF(Time!V29=1,V83,V81)</f>
        <v>#VALUE!</v>
      </c>
      <c r="W125" s="11" t="e">
        <f aca="false">IF(Time!W29=1,W83,W81)</f>
        <v>#VALUE!</v>
      </c>
      <c r="X125" s="11" t="e">
        <f aca="false">IF(Time!X29=1,X83,X81)</f>
        <v>#VALUE!</v>
      </c>
      <c r="Y125" s="11" t="e">
        <f aca="false">IF(Time!Y29=1,Y83,Y81)</f>
        <v>#VALUE!</v>
      </c>
      <c r="Z125" s="11" t="e">
        <f aca="false">IF(Time!Z29=1,Z83,Z81)</f>
        <v>#VALUE!</v>
      </c>
      <c r="AA125" s="11" t="e">
        <f aca="false">IF(Time!AA29=1,AA83,AA81)</f>
        <v>#VALUE!</v>
      </c>
      <c r="AB125" s="11" t="e">
        <f aca="false">IF(Time!AB29=1,AB83,AB81)</f>
        <v>#VALUE!</v>
      </c>
      <c r="AC125" s="11" t="e">
        <f aca="false">IF(Time!AC29=1,AC83,AC81)</f>
        <v>#VALUE!</v>
      </c>
      <c r="AD125" s="11" t="e">
        <f aca="false">IF(Time!AD29=1,AD83,AD81)</f>
        <v>#VALUE!</v>
      </c>
      <c r="AE125" s="11" t="e">
        <f aca="false">IF(Time!AE29=1,AE83,AE81)</f>
        <v>#VALUE!</v>
      </c>
      <c r="AF125" s="11" t="e">
        <f aca="false">IF(Time!AF29=1,AF83,AF81)</f>
        <v>#VALUE!</v>
      </c>
      <c r="AG125" s="11" t="e">
        <f aca="false">IF(Time!AG29=1,AG83,AG81)</f>
        <v>#VALUE!</v>
      </c>
      <c r="AH125" s="11" t="e">
        <f aca="false">IF(Time!AH29=1,AH83,AH81)</f>
        <v>#VALUE!</v>
      </c>
      <c r="AI125" s="11" t="e">
        <f aca="false">IF(Time!AI29=1,AI83,AI81)</f>
        <v>#VALUE!</v>
      </c>
      <c r="AJ125" s="11" t="e">
        <f aca="false">IF(Time!AJ29=1,AJ83,AJ81)</f>
        <v>#VALUE!</v>
      </c>
      <c r="AK125" s="11" t="e">
        <f aca="false">IF(Time!AK29=1,AK83,AK81)</f>
        <v>#VALUE!</v>
      </c>
      <c r="AL125" s="11" t="e">
        <f aca="false">IF(Time!AL29=1,AL83,AL81)</f>
        <v>#VALUE!</v>
      </c>
      <c r="AM125" s="11" t="e">
        <f aca="false">IF(Time!AM29=1,AM83,AM81)</f>
        <v>#VALUE!</v>
      </c>
      <c r="AN125" s="11" t="e">
        <f aca="false">IF(Time!AN29=1,AN83,AN81)</f>
        <v>#VALUE!</v>
      </c>
      <c r="AO125" s="11" t="e">
        <f aca="false">IF(Time!AO29=1,AO83,AO81)</f>
        <v>#VALUE!</v>
      </c>
      <c r="AP125" s="11" t="e">
        <f aca="false">IF(Time!AP29=1,AP83,AP81)</f>
        <v>#VALUE!</v>
      </c>
      <c r="AQ125" s="11" t="e">
        <f aca="false">IF(Time!AQ29=1,AQ83,AQ81)</f>
        <v>#VALUE!</v>
      </c>
      <c r="AR125" s="11" t="e">
        <f aca="false">IF(Time!AR29=1,AR83,AR81)</f>
        <v>#VALUE!</v>
      </c>
      <c r="AS125" s="11" t="e">
        <f aca="false">IF(Time!AS29=1,AS83,AS81)</f>
        <v>#VALUE!</v>
      </c>
      <c r="AT125" s="11" t="e">
        <f aca="false">IF(Time!AT29=1,AT83,AT81)</f>
        <v>#VALUE!</v>
      </c>
      <c r="AU125" s="11" t="e">
        <f aca="false">IF(Time!AU29=1,AU83,AU81)</f>
        <v>#VALUE!</v>
      </c>
      <c r="AV125" s="11" t="e">
        <f aca="false">IF(Time!AV29=1,AV83,AV81)</f>
        <v>#VALUE!</v>
      </c>
      <c r="AW125" s="11" t="e">
        <f aca="false">IF(Time!AW29=1,AW83,AW81)</f>
        <v>#VALUE!</v>
      </c>
      <c r="AX125" s="11" t="e">
        <f aca="false">IF(Time!AX29=1,AX83,AX81)</f>
        <v>#VALUE!</v>
      </c>
      <c r="AY125" s="11" t="e">
        <f aca="false">IF(Time!AY29=1,AY83,AY81)</f>
        <v>#VALUE!</v>
      </c>
      <c r="AZ125" s="11" t="e">
        <f aca="false">IF(Time!AZ29=1,AZ83,AZ81)</f>
        <v>#VALUE!</v>
      </c>
      <c r="BA125" s="11" t="e">
        <f aca="false">IF(Time!BA29=1,BA83,BA81)</f>
        <v>#VALUE!</v>
      </c>
      <c r="BB125" s="11" t="e">
        <f aca="false">IF(Time!BB29=1,BB83,BB81)</f>
        <v>#VALUE!</v>
      </c>
      <c r="BC125" s="11" t="e">
        <f aca="false">IF(Time!BC29=1,BC83,BC81)</f>
        <v>#VALUE!</v>
      </c>
      <c r="BD125" s="11" t="e">
        <f aca="false">IF(Time!BD29=1,BD83,BD81)</f>
        <v>#VALUE!</v>
      </c>
      <c r="BE125" s="11" t="e">
        <f aca="false">IF(Time!BE29=1,BE83,BE81)</f>
        <v>#VALUE!</v>
      </c>
      <c r="BF125" s="11" t="e">
        <f aca="false">IF(Time!BF29=1,BF83,BF81)</f>
        <v>#VALUE!</v>
      </c>
      <c r="BG125" s="11" t="e">
        <f aca="false">IF(Time!BG29=1,BG83,BG81)</f>
        <v>#VALUE!</v>
      </c>
      <c r="BH125" s="11" t="e">
        <f aca="false">IF(Time!BH29=1,BH83,BH81)</f>
        <v>#VALUE!</v>
      </c>
      <c r="BI125" s="11" t="e">
        <f aca="false">IF(Time!BI29=1,BI83,BI81)</f>
        <v>#VALUE!</v>
      </c>
      <c r="BJ125" s="11" t="e">
        <f aca="false">IF(Time!BJ29=1,BJ83,BJ81)</f>
        <v>#VALUE!</v>
      </c>
      <c r="BK125" s="11" t="e">
        <f aca="false">IF(Time!BK29=1,BK83,BK81)</f>
        <v>#VALUE!</v>
      </c>
      <c r="BL125" s="11" t="e">
        <f aca="false">IF(Time!BL29=1,BL83,BL81)</f>
        <v>#VALUE!</v>
      </c>
      <c r="BM125" s="11" t="e">
        <f aca="false">IF(Time!BM29=1,BM83,BM81)</f>
        <v>#VALUE!</v>
      </c>
      <c r="BN125" s="11" t="e">
        <f aca="false">IF(Time!BN29=1,BN83,BN81)</f>
        <v>#VALUE!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IF(AND(Time!J17&gt;=Time!$F$11,Time!J17&lt;57),(IF(Time!J29=1,J38,J36)-J35)*K19+K22*MIN($F$30/4,J35)+IF(Time!J29=1,J38,J36)*K10,0)</f>
        <v>0</v>
      </c>
      <c r="K126" s="11" t="n">
        <f aca="false">IF(AND(Time!K17&gt;=Time!$F$11,Time!K17&lt;57),(IF(Time!K29=1,K38,K36)-K35)*L19+L22*MIN($F$30/4,K35)+IF(Time!K29=1,K38,K36)*L10,0)</f>
        <v>0</v>
      </c>
      <c r="L126" s="11" t="n">
        <f aca="false">IF(AND(Time!L17&gt;=Time!$F$11,Time!L17&lt;57),(IF(Time!L29=1,L38,L36)-L35)*M19+M22*MIN($F$30/4,L35)+IF(Time!L29=1,L38,L36)*M10,0)</f>
        <v>0</v>
      </c>
      <c r="M126" s="11" t="n">
        <f aca="false">IF(AND(Time!M17&gt;=Time!$F$11,Time!M17&lt;57),(IF(Time!M29=1,M38,M36)-M35)*N19+N22*MIN($F$30/4,M35)+IF(Time!M29=1,M38,M36)*N10,0)</f>
        <v>0</v>
      </c>
      <c r="N126" s="11" t="n">
        <f aca="false">IF(AND(Time!N17&gt;=Time!$F$11,Time!N17&lt;57),(IF(Time!N29=1,N38,N36)-N35)*O19+O22*MIN($F$30/4,N35)+IF(Time!N29=1,N38,N36)*O10,0)</f>
        <v>0</v>
      </c>
      <c r="O126" s="11" t="e">
        <f aca="false">IF(AND(Time!O17&gt;=Time!$F$11,Time!O17&lt;57),(IF(Time!O29=1,O38,O36)-O35)*P19+P22*MIN($F$30/4,O35)+IF(Time!O29=1,O38,O36)*P10,0)</f>
        <v>#VALUE!</v>
      </c>
      <c r="P126" s="11" t="e">
        <f aca="false">IF(AND(Time!P17&gt;=Time!$F$11,Time!P17&lt;57),(IF(Time!P29=1,P38,P36)-P35)*Q19+Q22*MIN($F$30/4,P35)+IF(Time!P29=1,P38,P36)*Q10,0)</f>
        <v>#VALUE!</v>
      </c>
      <c r="Q126" s="11" t="e">
        <f aca="false">IF(AND(Time!Q17&gt;=Time!$F$11,Time!Q17&lt;57),(IF(Time!Q29=1,Q38,Q36)-Q35)*R19+R22*MIN($F$30/4,Q35)+IF(Time!Q29=1,Q38,Q36)*R10,0)</f>
        <v>#VALUE!</v>
      </c>
      <c r="R126" s="11" t="e">
        <f aca="false">IF(AND(Time!R17&gt;=Time!$F$11,Time!R17&lt;57),(IF(Time!R29=1,R38,R36)-R35)*S19+S22*MIN($F$30/4,R35)+IF(Time!R29=1,R38,R36)*S10,0)</f>
        <v>#VALUE!</v>
      </c>
      <c r="S126" s="11" t="e">
        <f aca="false">IF(AND(Time!S17&gt;=Time!$F$11,Time!S17&lt;57),(IF(Time!S29=1,S38,S36)-S35)*T19+T22*MIN($F$30/4,S35)+IF(Time!S29=1,S38,S36)*T10,0)</f>
        <v>#VALUE!</v>
      </c>
      <c r="T126" s="11" t="e">
        <f aca="false">IF(AND(Time!T17&gt;=Time!$F$11,Time!T17&lt;57),(IF(Time!T29=1,T38,T36)-T35)*U19+U22*MIN($F$30/4,T35)+IF(Time!T29=1,T38,T36)*U10,0)</f>
        <v>#VALUE!</v>
      </c>
      <c r="U126" s="11" t="e">
        <f aca="false">IF(AND(Time!U17&gt;=Time!$F$11,Time!U17&lt;57),(IF(Time!U29=1,U38,U36)-U35)*V19+V22*MIN($F$30/4,U35)+IF(Time!U29=1,U38,U36)*V10,0)</f>
        <v>#VALUE!</v>
      </c>
      <c r="V126" s="11" t="e">
        <f aca="false">IF(AND(Time!V17&gt;=Time!$F$11,Time!V17&lt;57),(IF(Time!V29=1,V38,V36)-V35)*W19+W22*MIN($F$30/4,V35)+IF(Time!V29=1,V38,V36)*W10,0)</f>
        <v>#VALUE!</v>
      </c>
      <c r="W126" s="11" t="e">
        <f aca="false">IF(AND(Time!W17&gt;=Time!$F$11,Time!W17&lt;57),(IF(Time!W29=1,W38,W36)-W35)*X19+X22*MIN($F$30/4,W35)+IF(Time!W29=1,W38,W36)*X10,0)</f>
        <v>#VALUE!</v>
      </c>
      <c r="X126" s="11" t="e">
        <f aca="false">IF(AND(Time!X17&gt;=Time!$F$11,Time!X17&lt;57),(IF(Time!X29=1,X38,X36)-X35)*Y19+Y22*MIN($F$30/4,X35)+IF(Time!X29=1,X38,X36)*Y10,0)</f>
        <v>#VALUE!</v>
      </c>
      <c r="Y126" s="11" t="e">
        <f aca="false">IF(AND(Time!Y17&gt;=Time!$F$11,Time!Y17&lt;57),(IF(Time!Y29=1,Y38,Y36)-Y35)*Z19+Z22*MIN($F$30/4,Y35)+IF(Time!Y29=1,Y38,Y36)*Z10,0)</f>
        <v>#VALUE!</v>
      </c>
      <c r="Z126" s="11" t="e">
        <f aca="false">IF(AND(Time!Z17&gt;=Time!$F$11,Time!Z17&lt;57),(IF(Time!Z29=1,Z38,Z36)-Z35)*AA19+AA22*MIN($F$30/4,Z35)+IF(Time!Z29=1,Z38,Z36)*AA10,0)</f>
        <v>#VALUE!</v>
      </c>
      <c r="AA126" s="11" t="e">
        <f aca="false">IF(AND(Time!AA17&gt;=Time!$F$11,Time!AA17&lt;57),(IF(Time!AA29=1,AA38,AA36)-AA35)*AB19+AB22*MIN($F$30/4,AA35)+IF(Time!AA29=1,AA38,AA36)*AB10,0)</f>
        <v>#VALUE!</v>
      </c>
      <c r="AB126" s="11" t="e">
        <f aca="false">IF(AND(Time!AB17&gt;=Time!$F$11,Time!AB17&lt;57),(IF(Time!AB29=1,AB38,AB36)-AB35)*AC19+AC22*MIN($F$30/4,AB35)+IF(Time!AB29=1,AB38,AB36)*AC10,0)</f>
        <v>#VALUE!</v>
      </c>
      <c r="AC126" s="11" t="e">
        <f aca="false">IF(AND(Time!AC17&gt;=Time!$F$11,Time!AC17&lt;57),(IF(Time!AC29=1,AC38,AC36)-AC35)*AD19+AD22*MIN($F$30/4,AC35)+IF(Time!AC29=1,AC38,AC36)*AD10,0)</f>
        <v>#VALUE!</v>
      </c>
      <c r="AD126" s="11" t="e">
        <f aca="false">IF(AND(Time!AD17&gt;=Time!$F$11,Time!AD17&lt;57),(IF(Time!AD29=1,AD38,AD36)-AD35)*AE19+AE22*MIN($F$30/4,AD35)+IF(Time!AD29=1,AD38,AD36)*AE10,0)</f>
        <v>#VALUE!</v>
      </c>
      <c r="AE126" s="11" t="e">
        <f aca="false">IF(AND(Time!AE17&gt;=Time!$F$11,Time!AE17&lt;57),(IF(Time!AE29=1,AE38,AE36)-AE35)*AF19+AF22*MIN($F$30/4,AE35)+IF(Time!AE29=1,AE38,AE36)*AF10,0)</f>
        <v>#VALUE!</v>
      </c>
      <c r="AF126" s="11" t="e">
        <f aca="false">IF(AND(Time!AF17&gt;=Time!$F$11,Time!AF17&lt;57),(IF(Time!AF29=1,AF38,AF36)-AF35)*AG19+AG22*MIN($F$30/4,AF35)+IF(Time!AF29=1,AF38,AF36)*AG10,0)</f>
        <v>#VALUE!</v>
      </c>
      <c r="AG126" s="11" t="e">
        <f aca="false">IF(AND(Time!AG17&gt;=Time!$F$11,Time!AG17&lt;57),(IF(Time!AG29=1,AG38,AG36)-AG35)*AH19+AH22*MIN($F$30/4,AG35)+IF(Time!AG29=1,AG38,AG36)*AH10,0)</f>
        <v>#VALUE!</v>
      </c>
      <c r="AH126" s="11" t="e">
        <f aca="false">IF(AND(Time!AH17&gt;=Time!$F$11,Time!AH17&lt;57),(IF(Time!AH29=1,AH38,AH36)-AH35)*AI19+AI22*MIN($F$30/4,AH35)+IF(Time!AH29=1,AH38,AH36)*AI10,0)</f>
        <v>#VALUE!</v>
      </c>
      <c r="AI126" s="11" t="e">
        <f aca="false">IF(AND(Time!AI17&gt;=Time!$F$11,Time!AI17&lt;57),(IF(Time!AI29=1,AI38,AI36)-AI35)*AJ19+AJ22*MIN($F$30/4,AI35)+IF(Time!AI29=1,AI38,AI36)*AJ10,0)</f>
        <v>#VALUE!</v>
      </c>
      <c r="AJ126" s="11" t="e">
        <f aca="false">IF(AND(Time!AJ17&gt;=Time!$F$11,Time!AJ17&lt;57),(IF(Time!AJ29=1,AJ38,AJ36)-AJ35)*AK19+AK22*MIN($F$30/4,AJ35)+IF(Time!AJ29=1,AJ38,AJ36)*AK10,0)</f>
        <v>#VALUE!</v>
      </c>
      <c r="AK126" s="11" t="e">
        <f aca="false">IF(AND(Time!AK17&gt;=Time!$F$11,Time!AK17&lt;57),(IF(Time!AK29=1,AK38,AK36)-AK35)*AL19+AL22*MIN($F$30/4,AK35)+IF(Time!AK29=1,AK38,AK36)*AL10,0)</f>
        <v>#VALUE!</v>
      </c>
      <c r="AL126" s="11" t="e">
        <f aca="false">IF(AND(Time!AL17&gt;=Time!$F$11,Time!AL17&lt;57),(IF(Time!AL29=1,AL38,AL36)-AL35)*AM19+AM22*MIN($F$30/4,AL35)+IF(Time!AL29=1,AL38,AL36)*AM10,0)</f>
        <v>#VALUE!</v>
      </c>
      <c r="AM126" s="11" t="e">
        <f aca="false">IF(AND(Time!AM17&gt;=Time!$F$11,Time!AM17&lt;57),(IF(Time!AM29=1,AM38,AM36)-AM35)*AN19+AN22*MIN($F$30/4,AM35)+IF(Time!AM29=1,AM38,AM36)*AN10,0)</f>
        <v>#VALUE!</v>
      </c>
      <c r="AN126" s="11" t="e">
        <f aca="false">IF(AND(Time!AN17&gt;=Time!$F$11,Time!AN17&lt;57),(IF(Time!AN29=1,AN38,AN36)-AN35)*AO19+AO22*MIN($F$30/4,AN35)+IF(Time!AN29=1,AN38,AN36)*AO10,0)</f>
        <v>#VALUE!</v>
      </c>
      <c r="AO126" s="11" t="e">
        <f aca="false">IF(AND(Time!AO17&gt;=Time!$F$11,Time!AO17&lt;57),(IF(Time!AO29=1,AO38,AO36)-AO35)*AP19+AP22*MIN($F$30/4,AO35)+IF(Time!AO29=1,AO38,AO36)*AP10,0)</f>
        <v>#VALUE!</v>
      </c>
      <c r="AP126" s="11" t="e">
        <f aca="false">IF(AND(Time!AP17&gt;=Time!$F$11,Time!AP17&lt;57),(IF(Time!AP29=1,AP38,AP36)-AP35)*AQ19+AQ22*MIN($F$30/4,AP35)+IF(Time!AP29=1,AP38,AP36)*AQ10,0)</f>
        <v>#VALUE!</v>
      </c>
      <c r="AQ126" s="11" t="e">
        <f aca="false">IF(AND(Time!AQ17&gt;=Time!$F$11,Time!AQ17&lt;57),(IF(Time!AQ29=1,AQ38,AQ36)-AQ35)*AR19+AR22*MIN($F$30/4,AQ35)+IF(Time!AQ29=1,AQ38,AQ36)*AR10,0)</f>
        <v>#VALUE!</v>
      </c>
      <c r="AR126" s="11" t="e">
        <f aca="false">IF(AND(Time!AR17&gt;=Time!$F$11,Time!AR17&lt;57),(IF(Time!AR29=1,AR38,AR36)-AR35)*AS19+AS22*MIN($F$30/4,AR35)+IF(Time!AR29=1,AR38,AR36)*AS10,0)</f>
        <v>#VALUE!</v>
      </c>
      <c r="AS126" s="11" t="e">
        <f aca="false">IF(AND(Time!AS17&gt;=Time!$F$11,Time!AS17&lt;57),(IF(Time!AS29=1,AS38,AS36)-AS35)*AT19+AT22*MIN($F$30/4,AS35)+IF(Time!AS29=1,AS38,AS36)*AT10,0)</f>
        <v>#VALUE!</v>
      </c>
      <c r="AT126" s="11" t="e">
        <f aca="false">IF(AND(Time!AT17&gt;=Time!$F$11,Time!AT17&lt;57),(IF(Time!AT29=1,AT38,AT36)-AT35)*AU19+AU22*MIN($F$30/4,AT35)+IF(Time!AT29=1,AT38,AT36)*AU10,0)</f>
        <v>#VALUE!</v>
      </c>
      <c r="AU126" s="11" t="e">
        <f aca="false">IF(AND(Time!AU17&gt;=Time!$F$11,Time!AU17&lt;57),(IF(Time!AU29=1,AU38,AU36)-AU35)*AV19+AV22*MIN($F$30/4,AU35)+IF(Time!AU29=1,AU38,AU36)*AV10,0)</f>
        <v>#VALUE!</v>
      </c>
      <c r="AV126" s="11" t="e">
        <f aca="false">IF(AND(Time!AV17&gt;=Time!$F$11,Time!AV17&lt;57),(IF(Time!AV29=1,AV38,AV36)-AV35)*AW19+AW22*MIN($F$30/4,AV35)+IF(Time!AV29=1,AV38,AV36)*AW10,0)</f>
        <v>#VALUE!</v>
      </c>
      <c r="AW126" s="11" t="e">
        <f aca="false">IF(AND(Time!AW17&gt;=Time!$F$11,Time!AW17&lt;57),(IF(Time!AW29=1,AW38,AW36)-AW35)*AX19+AX22*MIN($F$30/4,AW35)+IF(Time!AW29=1,AW38,AW36)*AX10,0)</f>
        <v>#VALUE!</v>
      </c>
      <c r="AX126" s="11" t="e">
        <f aca="false">IF(AND(Time!AX17&gt;=Time!$F$11,Time!AX17&lt;57),(IF(Time!AX29=1,AX38,AX36)-AX35)*AY19+AY22*MIN($F$30/4,AX35)+IF(Time!AX29=1,AX38,AX36)*AY10,0)</f>
        <v>#VALUE!</v>
      </c>
      <c r="AY126" s="11" t="e">
        <f aca="false">IF(AND(Time!AY17&gt;=Time!$F$11,Time!AY17&lt;57),(IF(Time!AY29=1,AY38,AY36)-AY35)*AZ19+AZ22*MIN($F$30/4,AY35)+IF(Time!AY29=1,AY38,AY36)*AZ10,0)</f>
        <v>#VALUE!</v>
      </c>
      <c r="AZ126" s="11" t="e">
        <f aca="false">IF(AND(Time!AZ17&gt;=Time!$F$11,Time!AZ17&lt;57),(IF(Time!AZ29=1,AZ38,AZ36)-AZ35)*BA19+BA22*MIN($F$30/4,AZ35)+IF(Time!AZ29=1,AZ38,AZ36)*BA10,0)</f>
        <v>#VALUE!</v>
      </c>
      <c r="BA126" s="11" t="e">
        <f aca="false">IF(AND(Time!BA17&gt;=Time!$F$11,Time!BA17&lt;57),(IF(Time!BA29=1,BA38,BA36)-BA35)*BB19+BB22*MIN($F$30/4,BA35)+IF(Time!BA29=1,BA38,BA36)*BB10,0)</f>
        <v>#VALUE!</v>
      </c>
      <c r="BB126" s="11" t="e">
        <f aca="false">IF(AND(Time!BB17&gt;=Time!$F$11,Time!BB17&lt;57),(IF(Time!BB29=1,BB38,BB36)-BB35)*BC19+BC22*MIN($F$30/4,BB35)+IF(Time!BB29=1,BB38,BB36)*BC10,0)</f>
        <v>#VALUE!</v>
      </c>
      <c r="BC126" s="11" t="e">
        <f aca="false">IF(AND(Time!BC17&gt;=Time!$F$11,Time!BC17&lt;57),(IF(Time!BC29=1,BC38,BC36)-BC35)*BD19+BD22*MIN($F$30/4,BC35)+IF(Time!BC29=1,BC38,BC36)*BD10,0)</f>
        <v>#VALUE!</v>
      </c>
      <c r="BD126" s="11" t="e">
        <f aca="false">IF(AND(Time!BD17&gt;=Time!$F$11,Time!BD17&lt;57),(IF(Time!BD29=1,BD38,BD36)-BD35)*BE19+BE22*MIN($F$30/4,BD35)+IF(Time!BD29=1,BD38,BD36)*BE10,0)</f>
        <v>#VALUE!</v>
      </c>
      <c r="BE126" s="11" t="e">
        <f aca="false">IF(AND(Time!BE17&gt;=Time!$F$11,Time!BE17&lt;57),(IF(Time!BE29=1,BE38,BE36)-BE35)*BF19+BF22*MIN($F$30/4,BE35)+IF(Time!BE29=1,BE38,BE36)*BF10,0)</f>
        <v>#VALUE!</v>
      </c>
      <c r="BF126" s="11" t="e">
        <f aca="false">IF(AND(Time!BF17&gt;=Time!$F$11,Time!BF17&lt;57),(IF(Time!BF29=1,BF38,BF36)-BF35)*BG19+BG22*MIN($F$30/4,BF35)+IF(Time!BF29=1,BF38,BF36)*BG10,0)</f>
        <v>#VALUE!</v>
      </c>
      <c r="BG126" s="11" t="e">
        <f aca="false">IF(AND(Time!BG17&gt;=Time!$F$11,Time!BG17&lt;57),(IF(Time!BG29=1,BG38,BG36)-BG35)*BH19+BH22*MIN($F$30/4,BG35)+IF(Time!BG29=1,BG38,BG36)*BH10,0)</f>
        <v>#VALUE!</v>
      </c>
      <c r="BH126" s="11" t="e">
        <f aca="false">IF(AND(Time!BH17&gt;=Time!$F$11,Time!BH17&lt;57),(IF(Time!BH29=1,BH38,BH36)-BH35)*BI19+BI22*MIN($F$30/4,BH35)+IF(Time!BH29=1,BH38,BH36)*BI10,0)</f>
        <v>#VALUE!</v>
      </c>
      <c r="BI126" s="11" t="e">
        <f aca="false">IF(AND(Time!BI17&gt;=Time!$F$11,Time!BI17&lt;57),(IF(Time!BI29=1,BI38,BI36)-BI35)*BJ19+BJ22*MIN($F$30/4,BI35)+IF(Time!BI29=1,BI38,BI36)*BJ10,0)</f>
        <v>#VALUE!</v>
      </c>
      <c r="BJ126" s="11" t="e">
        <f aca="false">IF(AND(Time!BJ17&gt;=Time!$F$11,Time!BJ17&lt;57),(IF(Time!BJ29=1,BJ38,BJ36)-BJ35)*BK19+BK22*MIN($F$30/4,BJ35)+IF(Time!BJ29=1,BJ38,BJ36)*BK10,0)</f>
        <v>#VALUE!</v>
      </c>
      <c r="BK126" s="11" t="e">
        <f aca="false">IF(AND(Time!BK17&gt;=Time!$F$11,Time!BK17&lt;57),(IF(Time!BK29=1,BK38,BK36)-BK35)*BL19+BL22*MIN($F$30/4,BK35)+IF(Time!BK29=1,BK38,BK36)*BL10,0)</f>
        <v>#VALUE!</v>
      </c>
      <c r="BL126" s="11" t="e">
        <f aca="false">IF(AND(Time!BL17&gt;=Time!$F$11,Time!BL17&lt;57),(IF(Time!BL29=1,BL38,BL36)-BL35)*BM19+BM22*MIN($F$30/4,BL35)+IF(Time!BL29=1,BL38,BL36)*BM10,0)</f>
        <v>#VALUE!</v>
      </c>
      <c r="BM126" s="11" t="e">
        <f aca="false">IF(AND(Time!BM17&gt;=Time!$F$11,Time!BM17&lt;57),(IF(Time!BM29=1,BM38,BM36)-BM35)*BN19+BN22*MIN($F$30/4,BM35)+IF(Time!BM29=1,BM38,BM36)*BN10,0)</f>
        <v>#VALUE!</v>
      </c>
      <c r="BN126" s="11" t="n">
        <f aca="false">IF(AND(Time!BN17&gt;=Time!$F$11,Time!BN17&lt;57),(IF(Time!BN29=1,BN38,BN36)-BN35)*0+0*MIN($F$30/4,BN35)+IF(Time!BN29=1,BN38,BN36)*0,0)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IF(AND(Time!J17&gt;=Time!$F$11,Time!J17&lt;57),(IF(Time!J29=1,J53,J51)-J50)*K19+K22*MIN($F$45/4,J50)+IF(Time!J29=1,J53,J51)*K11,0)</f>
        <v>0</v>
      </c>
      <c r="K127" s="11" t="n">
        <f aca="false">IF(AND(Time!K17&gt;=Time!$F$11,Time!K17&lt;57),(IF(Time!K29=1,K53,K51)-K50)*L19+L22*MIN($F$45/4,K50)+IF(Time!K29=1,K53,K51)*L11,0)</f>
        <v>0</v>
      </c>
      <c r="L127" s="11" t="n">
        <f aca="false">IF(AND(Time!L17&gt;=Time!$F$11,Time!L17&lt;57),(IF(Time!L29=1,L53,L51)-L50)*M19+M22*MIN($F$45/4,L50)+IF(Time!L29=1,L53,L51)*M11,0)</f>
        <v>0</v>
      </c>
      <c r="M127" s="11" t="n">
        <f aca="false">IF(AND(Time!M17&gt;=Time!$F$11,Time!M17&lt;57),(IF(Time!M29=1,M53,M51)-M50)*N19+N22*MIN($F$45/4,M50)+IF(Time!M29=1,M53,M51)*N11,0)</f>
        <v>0</v>
      </c>
      <c r="N127" s="11" t="n">
        <f aca="false">IF(AND(Time!N17&gt;=Time!$F$11,Time!N17&lt;57),(IF(Time!N29=1,N53,N51)-N50)*O19+O22*MIN($F$45/4,N50)+IF(Time!N29=1,N53,N51)*O11,0)</f>
        <v>0</v>
      </c>
      <c r="O127" s="11" t="e">
        <f aca="false">IF(AND(Time!O17&gt;=Time!$F$11,Time!O17&lt;57),(IF(Time!O29=1,O53,O51)-O50)*P19+P22*MIN($F$45/4,O50)+IF(Time!O29=1,O53,O51)*P11,0)</f>
        <v>#VALUE!</v>
      </c>
      <c r="P127" s="11" t="e">
        <f aca="false">IF(AND(Time!P17&gt;=Time!$F$11,Time!P17&lt;57),(IF(Time!P29=1,P53,P51)-P50)*Q19+Q22*MIN($F$45/4,P50)+IF(Time!P29=1,P53,P51)*Q11,0)</f>
        <v>#VALUE!</v>
      </c>
      <c r="Q127" s="11" t="e">
        <f aca="false">IF(AND(Time!Q17&gt;=Time!$F$11,Time!Q17&lt;57),(IF(Time!Q29=1,Q53,Q51)-Q50)*R19+R22*MIN($F$45/4,Q50)+IF(Time!Q29=1,Q53,Q51)*R11,0)</f>
        <v>#VALUE!</v>
      </c>
      <c r="R127" s="11" t="e">
        <f aca="false">IF(AND(Time!R17&gt;=Time!$F$11,Time!R17&lt;57),(IF(Time!R29=1,R53,R51)-R50)*S19+S22*MIN($F$45/4,R50)+IF(Time!R29=1,R53,R51)*S11,0)</f>
        <v>#VALUE!</v>
      </c>
      <c r="S127" s="11" t="e">
        <f aca="false">IF(AND(Time!S17&gt;=Time!$F$11,Time!S17&lt;57),(IF(Time!S29=1,S53,S51)-S50)*T19+T22*MIN($F$45/4,S50)+IF(Time!S29=1,S53,S51)*T11,0)</f>
        <v>#VALUE!</v>
      </c>
      <c r="T127" s="11" t="e">
        <f aca="false">IF(AND(Time!T17&gt;=Time!$F$11,Time!T17&lt;57),(IF(Time!T29=1,T53,T51)-T50)*U19+U22*MIN($F$45/4,T50)+IF(Time!T29=1,T53,T51)*U11,0)</f>
        <v>#VALUE!</v>
      </c>
      <c r="U127" s="11" t="e">
        <f aca="false">IF(AND(Time!U17&gt;=Time!$F$11,Time!U17&lt;57),(IF(Time!U29=1,U53,U51)-U50)*V19+V22*MIN($F$45/4,U50)+IF(Time!U29=1,U53,U51)*V11,0)</f>
        <v>#VALUE!</v>
      </c>
      <c r="V127" s="11" t="e">
        <f aca="false">IF(AND(Time!V17&gt;=Time!$F$11,Time!V17&lt;57),(IF(Time!V29=1,V53,V51)-V50)*W19+W22*MIN($F$45/4,V50)+IF(Time!V29=1,V53,V51)*W11,0)</f>
        <v>#VALUE!</v>
      </c>
      <c r="W127" s="11" t="e">
        <f aca="false">IF(AND(Time!W17&gt;=Time!$F$11,Time!W17&lt;57),(IF(Time!W29=1,W53,W51)-W50)*X19+X22*MIN($F$45/4,W50)+IF(Time!W29=1,W53,W51)*X11,0)</f>
        <v>#VALUE!</v>
      </c>
      <c r="X127" s="11" t="e">
        <f aca="false">IF(AND(Time!X17&gt;=Time!$F$11,Time!X17&lt;57),(IF(Time!X29=1,X53,X51)-X50)*Y19+Y22*MIN($F$45/4,X50)+IF(Time!X29=1,X53,X51)*Y11,0)</f>
        <v>#VALUE!</v>
      </c>
      <c r="Y127" s="11" t="e">
        <f aca="false">IF(AND(Time!Y17&gt;=Time!$F$11,Time!Y17&lt;57),(IF(Time!Y29=1,Y53,Y51)-Y50)*Z19+Z22*MIN($F$45/4,Y50)+IF(Time!Y29=1,Y53,Y51)*Z11,0)</f>
        <v>#VALUE!</v>
      </c>
      <c r="Z127" s="11" t="e">
        <f aca="false">IF(AND(Time!Z17&gt;=Time!$F$11,Time!Z17&lt;57),(IF(Time!Z29=1,Z53,Z51)-Z50)*AA19+AA22*MIN($F$45/4,Z50)+IF(Time!Z29=1,Z53,Z51)*AA11,0)</f>
        <v>#VALUE!</v>
      </c>
      <c r="AA127" s="11" t="e">
        <f aca="false">IF(AND(Time!AA17&gt;=Time!$F$11,Time!AA17&lt;57),(IF(Time!AA29=1,AA53,AA51)-AA50)*AB19+AB22*MIN($F$45/4,AA50)+IF(Time!AA29=1,AA53,AA51)*AB11,0)</f>
        <v>#VALUE!</v>
      </c>
      <c r="AB127" s="11" t="e">
        <f aca="false">IF(AND(Time!AB17&gt;=Time!$F$11,Time!AB17&lt;57),(IF(Time!AB29=1,AB53,AB51)-AB50)*AC19+AC22*MIN($F$45/4,AB50)+IF(Time!AB29=1,AB53,AB51)*AC11,0)</f>
        <v>#VALUE!</v>
      </c>
      <c r="AC127" s="11" t="e">
        <f aca="false">IF(AND(Time!AC17&gt;=Time!$F$11,Time!AC17&lt;57),(IF(Time!AC29=1,AC53,AC51)-AC50)*AD19+AD22*MIN($F$45/4,AC50)+IF(Time!AC29=1,AC53,AC51)*AD11,0)</f>
        <v>#VALUE!</v>
      </c>
      <c r="AD127" s="11" t="e">
        <f aca="false">IF(AND(Time!AD17&gt;=Time!$F$11,Time!AD17&lt;57),(IF(Time!AD29=1,AD53,AD51)-AD50)*AE19+AE22*MIN($F$45/4,AD50)+IF(Time!AD29=1,AD53,AD51)*AE11,0)</f>
        <v>#VALUE!</v>
      </c>
      <c r="AE127" s="11" t="e">
        <f aca="false">IF(AND(Time!AE17&gt;=Time!$F$11,Time!AE17&lt;57),(IF(Time!AE29=1,AE53,AE51)-AE50)*AF19+AF22*MIN($F$45/4,AE50)+IF(Time!AE29=1,AE53,AE51)*AF11,0)</f>
        <v>#VALUE!</v>
      </c>
      <c r="AF127" s="11" t="e">
        <f aca="false">IF(AND(Time!AF17&gt;=Time!$F$11,Time!AF17&lt;57),(IF(Time!AF29=1,AF53,AF51)-AF50)*AG19+AG22*MIN($F$45/4,AF50)+IF(Time!AF29=1,AF53,AF51)*AG11,0)</f>
        <v>#VALUE!</v>
      </c>
      <c r="AG127" s="11" t="e">
        <f aca="false">IF(AND(Time!AG17&gt;=Time!$F$11,Time!AG17&lt;57),(IF(Time!AG29=1,AG53,AG51)-AG50)*AH19+AH22*MIN($F$45/4,AG50)+IF(Time!AG29=1,AG53,AG51)*AH11,0)</f>
        <v>#VALUE!</v>
      </c>
      <c r="AH127" s="11" t="e">
        <f aca="false">IF(AND(Time!AH17&gt;=Time!$F$11,Time!AH17&lt;57),(IF(Time!AH29=1,AH53,AH51)-AH50)*AI19+AI22*MIN($F$45/4,AH50)+IF(Time!AH29=1,AH53,AH51)*AI11,0)</f>
        <v>#VALUE!</v>
      </c>
      <c r="AI127" s="11" t="e">
        <f aca="false">IF(AND(Time!AI17&gt;=Time!$F$11,Time!AI17&lt;57),(IF(Time!AI29=1,AI53,AI51)-AI50)*AJ19+AJ22*MIN($F$45/4,AI50)+IF(Time!AI29=1,AI53,AI51)*AJ11,0)</f>
        <v>#VALUE!</v>
      </c>
      <c r="AJ127" s="11" t="e">
        <f aca="false">IF(AND(Time!AJ17&gt;=Time!$F$11,Time!AJ17&lt;57),(IF(Time!AJ29=1,AJ53,AJ51)-AJ50)*AK19+AK22*MIN($F$45/4,AJ50)+IF(Time!AJ29=1,AJ53,AJ51)*AK11,0)</f>
        <v>#VALUE!</v>
      </c>
      <c r="AK127" s="11" t="e">
        <f aca="false">IF(AND(Time!AK17&gt;=Time!$F$11,Time!AK17&lt;57),(IF(Time!AK29=1,AK53,AK51)-AK50)*AL19+AL22*MIN($F$45/4,AK50)+IF(Time!AK29=1,AK53,AK51)*AL11,0)</f>
        <v>#VALUE!</v>
      </c>
      <c r="AL127" s="11" t="e">
        <f aca="false">IF(AND(Time!AL17&gt;=Time!$F$11,Time!AL17&lt;57),(IF(Time!AL29=1,AL53,AL51)-AL50)*AM19+AM22*MIN($F$45/4,AL50)+IF(Time!AL29=1,AL53,AL51)*AM11,0)</f>
        <v>#VALUE!</v>
      </c>
      <c r="AM127" s="11" t="e">
        <f aca="false">IF(AND(Time!AM17&gt;=Time!$F$11,Time!AM17&lt;57),(IF(Time!AM29=1,AM53,AM51)-AM50)*AN19+AN22*MIN($F$45/4,AM50)+IF(Time!AM29=1,AM53,AM51)*AN11,0)</f>
        <v>#VALUE!</v>
      </c>
      <c r="AN127" s="11" t="e">
        <f aca="false">IF(AND(Time!AN17&gt;=Time!$F$11,Time!AN17&lt;57),(IF(Time!AN29=1,AN53,AN51)-AN50)*AO19+AO22*MIN($F$45/4,AN50)+IF(Time!AN29=1,AN53,AN51)*AO11,0)</f>
        <v>#VALUE!</v>
      </c>
      <c r="AO127" s="11" t="e">
        <f aca="false">IF(AND(Time!AO17&gt;=Time!$F$11,Time!AO17&lt;57),(IF(Time!AO29=1,AO53,AO51)-AO50)*AP19+AP22*MIN($F$45/4,AO50)+IF(Time!AO29=1,AO53,AO51)*AP11,0)</f>
        <v>#VALUE!</v>
      </c>
      <c r="AP127" s="11" t="e">
        <f aca="false">IF(AND(Time!AP17&gt;=Time!$F$11,Time!AP17&lt;57),(IF(Time!AP29=1,AP53,AP51)-AP50)*AQ19+AQ22*MIN($F$45/4,AP50)+IF(Time!AP29=1,AP53,AP51)*AQ11,0)</f>
        <v>#VALUE!</v>
      </c>
      <c r="AQ127" s="11" t="e">
        <f aca="false">IF(AND(Time!AQ17&gt;=Time!$F$11,Time!AQ17&lt;57),(IF(Time!AQ29=1,AQ53,AQ51)-AQ50)*AR19+AR22*MIN($F$45/4,AQ50)+IF(Time!AQ29=1,AQ53,AQ51)*AR11,0)</f>
        <v>#VALUE!</v>
      </c>
      <c r="AR127" s="11" t="e">
        <f aca="false">IF(AND(Time!AR17&gt;=Time!$F$11,Time!AR17&lt;57),(IF(Time!AR29=1,AR53,AR51)-AR50)*AS19+AS22*MIN($F$45/4,AR50)+IF(Time!AR29=1,AR53,AR51)*AS11,0)</f>
        <v>#VALUE!</v>
      </c>
      <c r="AS127" s="11" t="e">
        <f aca="false">IF(AND(Time!AS17&gt;=Time!$F$11,Time!AS17&lt;57),(IF(Time!AS29=1,AS53,AS51)-AS50)*AT19+AT22*MIN($F$45/4,AS50)+IF(Time!AS29=1,AS53,AS51)*AT11,0)</f>
        <v>#VALUE!</v>
      </c>
      <c r="AT127" s="11" t="e">
        <f aca="false">IF(AND(Time!AT17&gt;=Time!$F$11,Time!AT17&lt;57),(IF(Time!AT29=1,AT53,AT51)-AT50)*AU19+AU22*MIN($F$45/4,AT50)+IF(Time!AT29=1,AT53,AT51)*AU11,0)</f>
        <v>#VALUE!</v>
      </c>
      <c r="AU127" s="11" t="e">
        <f aca="false">IF(AND(Time!AU17&gt;=Time!$F$11,Time!AU17&lt;57),(IF(Time!AU29=1,AU53,AU51)-AU50)*AV19+AV22*MIN($F$45/4,AU50)+IF(Time!AU29=1,AU53,AU51)*AV11,0)</f>
        <v>#VALUE!</v>
      </c>
      <c r="AV127" s="11" t="e">
        <f aca="false">IF(AND(Time!AV17&gt;=Time!$F$11,Time!AV17&lt;57),(IF(Time!AV29=1,AV53,AV51)-AV50)*AW19+AW22*MIN($F$45/4,AV50)+IF(Time!AV29=1,AV53,AV51)*AW11,0)</f>
        <v>#VALUE!</v>
      </c>
      <c r="AW127" s="11" t="e">
        <f aca="false">IF(AND(Time!AW17&gt;=Time!$F$11,Time!AW17&lt;57),(IF(Time!AW29=1,AW53,AW51)-AW50)*AX19+AX22*MIN($F$45/4,AW50)+IF(Time!AW29=1,AW53,AW51)*AX11,0)</f>
        <v>#VALUE!</v>
      </c>
      <c r="AX127" s="11" t="e">
        <f aca="false">IF(AND(Time!AX17&gt;=Time!$F$11,Time!AX17&lt;57),(IF(Time!AX29=1,AX53,AX51)-AX50)*AY19+AY22*MIN($F$45/4,AX50)+IF(Time!AX29=1,AX53,AX51)*AY11,0)</f>
        <v>#VALUE!</v>
      </c>
      <c r="AY127" s="11" t="e">
        <f aca="false">IF(AND(Time!AY17&gt;=Time!$F$11,Time!AY17&lt;57),(IF(Time!AY29=1,AY53,AY51)-AY50)*AZ19+AZ22*MIN($F$45/4,AY50)+IF(Time!AY29=1,AY53,AY51)*AZ11,0)</f>
        <v>#VALUE!</v>
      </c>
      <c r="AZ127" s="11" t="e">
        <f aca="false">IF(AND(Time!AZ17&gt;=Time!$F$11,Time!AZ17&lt;57),(IF(Time!AZ29=1,AZ53,AZ51)-AZ50)*BA19+BA22*MIN($F$45/4,AZ50)+IF(Time!AZ29=1,AZ53,AZ51)*BA11,0)</f>
        <v>#VALUE!</v>
      </c>
      <c r="BA127" s="11" t="e">
        <f aca="false">IF(AND(Time!BA17&gt;=Time!$F$11,Time!BA17&lt;57),(IF(Time!BA29=1,BA53,BA51)-BA50)*BB19+BB22*MIN($F$45/4,BA50)+IF(Time!BA29=1,BA53,BA51)*BB11,0)</f>
        <v>#VALUE!</v>
      </c>
      <c r="BB127" s="11" t="e">
        <f aca="false">IF(AND(Time!BB17&gt;=Time!$F$11,Time!BB17&lt;57),(IF(Time!BB29=1,BB53,BB51)-BB50)*BC19+BC22*MIN($F$45/4,BB50)+IF(Time!BB29=1,BB53,BB51)*BC11,0)</f>
        <v>#VALUE!</v>
      </c>
      <c r="BC127" s="11" t="e">
        <f aca="false">IF(AND(Time!BC17&gt;=Time!$F$11,Time!BC17&lt;57),(IF(Time!BC29=1,BC53,BC51)-BC50)*BD19+BD22*MIN($F$45/4,BC50)+IF(Time!BC29=1,BC53,BC51)*BD11,0)</f>
        <v>#VALUE!</v>
      </c>
      <c r="BD127" s="11" t="e">
        <f aca="false">IF(AND(Time!BD17&gt;=Time!$F$11,Time!BD17&lt;57),(IF(Time!BD29=1,BD53,BD51)-BD50)*BE19+BE22*MIN($F$45/4,BD50)+IF(Time!BD29=1,BD53,BD51)*BE11,0)</f>
        <v>#VALUE!</v>
      </c>
      <c r="BE127" s="11" t="e">
        <f aca="false">IF(AND(Time!BE17&gt;=Time!$F$11,Time!BE17&lt;57),(IF(Time!BE29=1,BE53,BE51)-BE50)*BF19+BF22*MIN($F$45/4,BE50)+IF(Time!BE29=1,BE53,BE51)*BF11,0)</f>
        <v>#VALUE!</v>
      </c>
      <c r="BF127" s="11" t="e">
        <f aca="false">IF(AND(Time!BF17&gt;=Time!$F$11,Time!BF17&lt;57),(IF(Time!BF29=1,BF53,BF51)-BF50)*BG19+BG22*MIN($F$45/4,BF50)+IF(Time!BF29=1,BF53,BF51)*BG11,0)</f>
        <v>#VALUE!</v>
      </c>
      <c r="BG127" s="11" t="e">
        <f aca="false">IF(AND(Time!BG17&gt;=Time!$F$11,Time!BG17&lt;57),(IF(Time!BG29=1,BG53,BG51)-BG50)*BH19+BH22*MIN($F$45/4,BG50)+IF(Time!BG29=1,BG53,BG51)*BH11,0)</f>
        <v>#VALUE!</v>
      </c>
      <c r="BH127" s="11" t="e">
        <f aca="false">IF(AND(Time!BH17&gt;=Time!$F$11,Time!BH17&lt;57),(IF(Time!BH29=1,BH53,BH51)-BH50)*BI19+BI22*MIN($F$45/4,BH50)+IF(Time!BH29=1,BH53,BH51)*BI11,0)</f>
        <v>#VALUE!</v>
      </c>
      <c r="BI127" s="11" t="e">
        <f aca="false">IF(AND(Time!BI17&gt;=Time!$F$11,Time!BI17&lt;57),(IF(Time!BI29=1,BI53,BI51)-BI50)*BJ19+BJ22*MIN($F$45/4,BI50)+IF(Time!BI29=1,BI53,BI51)*BJ11,0)</f>
        <v>#VALUE!</v>
      </c>
      <c r="BJ127" s="11" t="e">
        <f aca="false">IF(AND(Time!BJ17&gt;=Time!$F$11,Time!BJ17&lt;57),(IF(Time!BJ29=1,BJ53,BJ51)-BJ50)*BK19+BK22*MIN($F$45/4,BJ50)+IF(Time!BJ29=1,BJ53,BJ51)*BK11,0)</f>
        <v>#VALUE!</v>
      </c>
      <c r="BK127" s="11" t="e">
        <f aca="false">IF(AND(Time!BK17&gt;=Time!$F$11,Time!BK17&lt;57),(IF(Time!BK29=1,BK53,BK51)-BK50)*BL19+BL22*MIN($F$45/4,BK50)+IF(Time!BK29=1,BK53,BK51)*BL11,0)</f>
        <v>#VALUE!</v>
      </c>
      <c r="BL127" s="11" t="e">
        <f aca="false">IF(AND(Time!BL17&gt;=Time!$F$11,Time!BL17&lt;57),(IF(Time!BL29=1,BL53,BL51)-BL50)*BM19+BM22*MIN($F$45/4,BL50)+IF(Time!BL29=1,BL53,BL51)*BM11,0)</f>
        <v>#VALUE!</v>
      </c>
      <c r="BM127" s="11" t="e">
        <f aca="false">IF(AND(Time!BM17&gt;=Time!$F$11,Time!BM17&lt;57),(IF(Time!BM29=1,BM53,BM51)-BM50)*BN19+BN22*MIN($F$45/4,BM50)+IF(Time!BM29=1,BM53,BM51)*BN11,0)</f>
        <v>#VALUE!</v>
      </c>
      <c r="BN127" s="11" t="n">
        <f aca="false">IF(AND(Time!BN17&gt;=Time!$F$11,Time!BN17&lt;57),(IF(Time!BN29=1,BN53,BN51)-BN50)*0+0*MIN($F$45/4,BN50)+IF(Time!BN29=1,BN53,BN51)*0,0)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IF(AND(Time!J17&gt;=Time!$F$11,Time!J17&lt;57),(IF(Time!J29=1,J68,J66)-J65)*K19+K22*MIN($F$60/4,J65)+IF(Time!J29=1,J68,J66)*K12,0)</f>
        <v>0</v>
      </c>
      <c r="K128" s="11" t="n">
        <f aca="false">IF(AND(Time!K17&gt;=Time!$F$11,Time!K17&lt;57),(IF(Time!K29=1,K68,K66)-K65)*L19+L22*MIN($F$60/4,K65)+IF(Time!K29=1,K68,K66)*L12,0)</f>
        <v>0</v>
      </c>
      <c r="L128" s="11" t="n">
        <f aca="false">IF(AND(Time!L17&gt;=Time!$F$11,Time!L17&lt;57),(IF(Time!L29=1,L68,L66)-L65)*M19+M22*MIN($F$60/4,L65)+IF(Time!L29=1,L68,L66)*M12,0)</f>
        <v>0</v>
      </c>
      <c r="M128" s="11" t="n">
        <f aca="false">IF(AND(Time!M17&gt;=Time!$F$11,Time!M17&lt;57),(IF(Time!M29=1,M68,M66)-M65)*N19+N22*MIN($F$60/4,M65)+IF(Time!M29=1,M68,M66)*N12,0)</f>
        <v>0</v>
      </c>
      <c r="N128" s="11" t="n">
        <f aca="false">IF(AND(Time!N17&gt;=Time!$F$11,Time!N17&lt;57),(IF(Time!N29=1,N68,N66)-N65)*O19+O22*MIN($F$60/4,N65)+IF(Time!N29=1,N68,N66)*O12,0)</f>
        <v>0</v>
      </c>
      <c r="O128" s="11" t="e">
        <f aca="false">IF(AND(Time!O17&gt;=Time!$F$11,Time!O17&lt;57),(IF(Time!O29=1,O68,O66)-O65)*P19+P22*MIN($F$60/4,O65)+IF(Time!O29=1,O68,O66)*P12,0)</f>
        <v>#VALUE!</v>
      </c>
      <c r="P128" s="11" t="e">
        <f aca="false">IF(AND(Time!P17&gt;=Time!$F$11,Time!P17&lt;57),(IF(Time!P29=1,P68,P66)-P65)*Q19+Q22*MIN($F$60/4,P65)+IF(Time!P29=1,P68,P66)*Q12,0)</f>
        <v>#VALUE!</v>
      </c>
      <c r="Q128" s="11" t="e">
        <f aca="false">IF(AND(Time!Q17&gt;=Time!$F$11,Time!Q17&lt;57),(IF(Time!Q29=1,Q68,Q66)-Q65)*R19+R22*MIN($F$60/4,Q65)+IF(Time!Q29=1,Q68,Q66)*R12,0)</f>
        <v>#VALUE!</v>
      </c>
      <c r="R128" s="11" t="e">
        <f aca="false">IF(AND(Time!R17&gt;=Time!$F$11,Time!R17&lt;57),(IF(Time!R29=1,R68,R66)-R65)*S19+S22*MIN($F$60/4,R65)+IF(Time!R29=1,R68,R66)*S12,0)</f>
        <v>#VALUE!</v>
      </c>
      <c r="S128" s="11" t="e">
        <f aca="false">IF(AND(Time!S17&gt;=Time!$F$11,Time!S17&lt;57),(IF(Time!S29=1,S68,S66)-S65)*T19+T22*MIN($F$60/4,S65)+IF(Time!S29=1,S68,S66)*T12,0)</f>
        <v>#VALUE!</v>
      </c>
      <c r="T128" s="11" t="e">
        <f aca="false">IF(AND(Time!T17&gt;=Time!$F$11,Time!T17&lt;57),(IF(Time!T29=1,T68,T66)-T65)*U19+U22*MIN($F$60/4,T65)+IF(Time!T29=1,T68,T66)*U12,0)</f>
        <v>#VALUE!</v>
      </c>
      <c r="U128" s="11" t="e">
        <f aca="false">IF(AND(Time!U17&gt;=Time!$F$11,Time!U17&lt;57),(IF(Time!U29=1,U68,U66)-U65)*V19+V22*MIN($F$60/4,U65)+IF(Time!U29=1,U68,U66)*V12,0)</f>
        <v>#VALUE!</v>
      </c>
      <c r="V128" s="11" t="e">
        <f aca="false">IF(AND(Time!V17&gt;=Time!$F$11,Time!V17&lt;57),(IF(Time!V29=1,V68,V66)-V65)*W19+W22*MIN($F$60/4,V65)+IF(Time!V29=1,V68,V66)*W12,0)</f>
        <v>#VALUE!</v>
      </c>
      <c r="W128" s="11" t="e">
        <f aca="false">IF(AND(Time!W17&gt;=Time!$F$11,Time!W17&lt;57),(IF(Time!W29=1,W68,W66)-W65)*X19+X22*MIN($F$60/4,W65)+IF(Time!W29=1,W68,W66)*X12,0)</f>
        <v>#VALUE!</v>
      </c>
      <c r="X128" s="11" t="e">
        <f aca="false">IF(AND(Time!X17&gt;=Time!$F$11,Time!X17&lt;57),(IF(Time!X29=1,X68,X66)-X65)*Y19+Y22*MIN($F$60/4,X65)+IF(Time!X29=1,X68,X66)*Y12,0)</f>
        <v>#VALUE!</v>
      </c>
      <c r="Y128" s="11" t="e">
        <f aca="false">IF(AND(Time!Y17&gt;=Time!$F$11,Time!Y17&lt;57),(IF(Time!Y29=1,Y68,Y66)-Y65)*Z19+Z22*MIN($F$60/4,Y65)+IF(Time!Y29=1,Y68,Y66)*Z12,0)</f>
        <v>#VALUE!</v>
      </c>
      <c r="Z128" s="11" t="e">
        <f aca="false">IF(AND(Time!Z17&gt;=Time!$F$11,Time!Z17&lt;57),(IF(Time!Z29=1,Z68,Z66)-Z65)*AA19+AA22*MIN($F$60/4,Z65)+IF(Time!Z29=1,Z68,Z66)*AA12,0)</f>
        <v>#VALUE!</v>
      </c>
      <c r="AA128" s="11" t="e">
        <f aca="false">IF(AND(Time!AA17&gt;=Time!$F$11,Time!AA17&lt;57),(IF(Time!AA29=1,AA68,AA66)-AA65)*AB19+AB22*MIN($F$60/4,AA65)+IF(Time!AA29=1,AA68,AA66)*AB12,0)</f>
        <v>#VALUE!</v>
      </c>
      <c r="AB128" s="11" t="e">
        <f aca="false">IF(AND(Time!AB17&gt;=Time!$F$11,Time!AB17&lt;57),(IF(Time!AB29=1,AB68,AB66)-AB65)*AC19+AC22*MIN($F$60/4,AB65)+IF(Time!AB29=1,AB68,AB66)*AC12,0)</f>
        <v>#VALUE!</v>
      </c>
      <c r="AC128" s="11" t="e">
        <f aca="false">IF(AND(Time!AC17&gt;=Time!$F$11,Time!AC17&lt;57),(IF(Time!AC29=1,AC68,AC66)-AC65)*AD19+AD22*MIN($F$60/4,AC65)+IF(Time!AC29=1,AC68,AC66)*AD12,0)</f>
        <v>#VALUE!</v>
      </c>
      <c r="AD128" s="11" t="e">
        <f aca="false">IF(AND(Time!AD17&gt;=Time!$F$11,Time!AD17&lt;57),(IF(Time!AD29=1,AD68,AD66)-AD65)*AE19+AE22*MIN($F$60/4,AD65)+IF(Time!AD29=1,AD68,AD66)*AE12,0)</f>
        <v>#VALUE!</v>
      </c>
      <c r="AE128" s="11" t="e">
        <f aca="false">IF(AND(Time!AE17&gt;=Time!$F$11,Time!AE17&lt;57),(IF(Time!AE29=1,AE68,AE66)-AE65)*AF19+AF22*MIN($F$60/4,AE65)+IF(Time!AE29=1,AE68,AE66)*AF12,0)</f>
        <v>#VALUE!</v>
      </c>
      <c r="AF128" s="11" t="e">
        <f aca="false">IF(AND(Time!AF17&gt;=Time!$F$11,Time!AF17&lt;57),(IF(Time!AF29=1,AF68,AF66)-AF65)*AG19+AG22*MIN($F$60/4,AF65)+IF(Time!AF29=1,AF68,AF66)*AG12,0)</f>
        <v>#VALUE!</v>
      </c>
      <c r="AG128" s="11" t="e">
        <f aca="false">IF(AND(Time!AG17&gt;=Time!$F$11,Time!AG17&lt;57),(IF(Time!AG29=1,AG68,AG66)-AG65)*AH19+AH22*MIN($F$60/4,AG65)+IF(Time!AG29=1,AG68,AG66)*AH12,0)</f>
        <v>#VALUE!</v>
      </c>
      <c r="AH128" s="11" t="e">
        <f aca="false">IF(AND(Time!AH17&gt;=Time!$F$11,Time!AH17&lt;57),(IF(Time!AH29=1,AH68,AH66)-AH65)*AI19+AI22*MIN($F$60/4,AH65)+IF(Time!AH29=1,AH68,AH66)*AI12,0)</f>
        <v>#VALUE!</v>
      </c>
      <c r="AI128" s="11" t="e">
        <f aca="false">IF(AND(Time!AI17&gt;=Time!$F$11,Time!AI17&lt;57),(IF(Time!AI29=1,AI68,AI66)-AI65)*AJ19+AJ22*MIN($F$60/4,AI65)+IF(Time!AI29=1,AI68,AI66)*AJ12,0)</f>
        <v>#VALUE!</v>
      </c>
      <c r="AJ128" s="11" t="e">
        <f aca="false">IF(AND(Time!AJ17&gt;=Time!$F$11,Time!AJ17&lt;57),(IF(Time!AJ29=1,AJ68,AJ66)-AJ65)*AK19+AK22*MIN($F$60/4,AJ65)+IF(Time!AJ29=1,AJ68,AJ66)*AK12,0)</f>
        <v>#VALUE!</v>
      </c>
      <c r="AK128" s="11" t="e">
        <f aca="false">IF(AND(Time!AK17&gt;=Time!$F$11,Time!AK17&lt;57),(IF(Time!AK29=1,AK68,AK66)-AK65)*AL19+AL22*MIN($F$60/4,AK65)+IF(Time!AK29=1,AK68,AK66)*AL12,0)</f>
        <v>#VALUE!</v>
      </c>
      <c r="AL128" s="11" t="e">
        <f aca="false">IF(AND(Time!AL17&gt;=Time!$F$11,Time!AL17&lt;57),(IF(Time!AL29=1,AL68,AL66)-AL65)*AM19+AM22*MIN($F$60/4,AL65)+IF(Time!AL29=1,AL68,AL66)*AM12,0)</f>
        <v>#VALUE!</v>
      </c>
      <c r="AM128" s="11" t="e">
        <f aca="false">IF(AND(Time!AM17&gt;=Time!$F$11,Time!AM17&lt;57),(IF(Time!AM29=1,AM68,AM66)-AM65)*AN19+AN22*MIN($F$60/4,AM65)+IF(Time!AM29=1,AM68,AM66)*AN12,0)</f>
        <v>#VALUE!</v>
      </c>
      <c r="AN128" s="11" t="e">
        <f aca="false">IF(AND(Time!AN17&gt;=Time!$F$11,Time!AN17&lt;57),(IF(Time!AN29=1,AN68,AN66)-AN65)*AO19+AO22*MIN($F$60/4,AN65)+IF(Time!AN29=1,AN68,AN66)*AO12,0)</f>
        <v>#VALUE!</v>
      </c>
      <c r="AO128" s="11" t="e">
        <f aca="false">IF(AND(Time!AO17&gt;=Time!$F$11,Time!AO17&lt;57),(IF(Time!AO29=1,AO68,AO66)-AO65)*AP19+AP22*MIN($F$60/4,AO65)+IF(Time!AO29=1,AO68,AO66)*AP12,0)</f>
        <v>#VALUE!</v>
      </c>
      <c r="AP128" s="11" t="e">
        <f aca="false">IF(AND(Time!AP17&gt;=Time!$F$11,Time!AP17&lt;57),(IF(Time!AP29=1,AP68,AP66)-AP65)*AQ19+AQ22*MIN($F$60/4,AP65)+IF(Time!AP29=1,AP68,AP66)*AQ12,0)</f>
        <v>#VALUE!</v>
      </c>
      <c r="AQ128" s="11" t="e">
        <f aca="false">IF(AND(Time!AQ17&gt;=Time!$F$11,Time!AQ17&lt;57),(IF(Time!AQ29=1,AQ68,AQ66)-AQ65)*AR19+AR22*MIN($F$60/4,AQ65)+IF(Time!AQ29=1,AQ68,AQ66)*AR12,0)</f>
        <v>#VALUE!</v>
      </c>
      <c r="AR128" s="11" t="e">
        <f aca="false">IF(AND(Time!AR17&gt;=Time!$F$11,Time!AR17&lt;57),(IF(Time!AR29=1,AR68,AR66)-AR65)*AS19+AS22*MIN($F$60/4,AR65)+IF(Time!AR29=1,AR68,AR66)*AS12,0)</f>
        <v>#VALUE!</v>
      </c>
      <c r="AS128" s="11" t="e">
        <f aca="false">IF(AND(Time!AS17&gt;=Time!$F$11,Time!AS17&lt;57),(IF(Time!AS29=1,AS68,AS66)-AS65)*AT19+AT22*MIN($F$60/4,AS65)+IF(Time!AS29=1,AS68,AS66)*AT12,0)</f>
        <v>#VALUE!</v>
      </c>
      <c r="AT128" s="11" t="e">
        <f aca="false">IF(AND(Time!AT17&gt;=Time!$F$11,Time!AT17&lt;57),(IF(Time!AT29=1,AT68,AT66)-AT65)*AU19+AU22*MIN($F$60/4,AT65)+IF(Time!AT29=1,AT68,AT66)*AU12,0)</f>
        <v>#VALUE!</v>
      </c>
      <c r="AU128" s="11" t="e">
        <f aca="false">IF(AND(Time!AU17&gt;=Time!$F$11,Time!AU17&lt;57),(IF(Time!AU29=1,AU68,AU66)-AU65)*AV19+AV22*MIN($F$60/4,AU65)+IF(Time!AU29=1,AU68,AU66)*AV12,0)</f>
        <v>#VALUE!</v>
      </c>
      <c r="AV128" s="11" t="e">
        <f aca="false">IF(AND(Time!AV17&gt;=Time!$F$11,Time!AV17&lt;57),(IF(Time!AV29=1,AV68,AV66)-AV65)*AW19+AW22*MIN($F$60/4,AV65)+IF(Time!AV29=1,AV68,AV66)*AW12,0)</f>
        <v>#VALUE!</v>
      </c>
      <c r="AW128" s="11" t="e">
        <f aca="false">IF(AND(Time!AW17&gt;=Time!$F$11,Time!AW17&lt;57),(IF(Time!AW29=1,AW68,AW66)-AW65)*AX19+AX22*MIN($F$60/4,AW65)+IF(Time!AW29=1,AW68,AW66)*AX12,0)</f>
        <v>#VALUE!</v>
      </c>
      <c r="AX128" s="11" t="e">
        <f aca="false">IF(AND(Time!AX17&gt;=Time!$F$11,Time!AX17&lt;57),(IF(Time!AX29=1,AX68,AX66)-AX65)*AY19+AY22*MIN($F$60/4,AX65)+IF(Time!AX29=1,AX68,AX66)*AY12,0)</f>
        <v>#VALUE!</v>
      </c>
      <c r="AY128" s="11" t="e">
        <f aca="false">IF(AND(Time!AY17&gt;=Time!$F$11,Time!AY17&lt;57),(IF(Time!AY29=1,AY68,AY66)-AY65)*AZ19+AZ22*MIN($F$60/4,AY65)+IF(Time!AY29=1,AY68,AY66)*AZ12,0)</f>
        <v>#VALUE!</v>
      </c>
      <c r="AZ128" s="11" t="e">
        <f aca="false">IF(AND(Time!AZ17&gt;=Time!$F$11,Time!AZ17&lt;57),(IF(Time!AZ29=1,AZ68,AZ66)-AZ65)*BA19+BA22*MIN($F$60/4,AZ65)+IF(Time!AZ29=1,AZ68,AZ66)*BA12,0)</f>
        <v>#VALUE!</v>
      </c>
      <c r="BA128" s="11" t="e">
        <f aca="false">IF(AND(Time!BA17&gt;=Time!$F$11,Time!BA17&lt;57),(IF(Time!BA29=1,BA68,BA66)-BA65)*BB19+BB22*MIN($F$60/4,BA65)+IF(Time!BA29=1,BA68,BA66)*BB12,0)</f>
        <v>#VALUE!</v>
      </c>
      <c r="BB128" s="11" t="e">
        <f aca="false">IF(AND(Time!BB17&gt;=Time!$F$11,Time!BB17&lt;57),(IF(Time!BB29=1,BB68,BB66)-BB65)*BC19+BC22*MIN($F$60/4,BB65)+IF(Time!BB29=1,BB68,BB66)*BC12,0)</f>
        <v>#VALUE!</v>
      </c>
      <c r="BC128" s="11" t="e">
        <f aca="false">IF(AND(Time!BC17&gt;=Time!$F$11,Time!BC17&lt;57),(IF(Time!BC29=1,BC68,BC66)-BC65)*BD19+BD22*MIN($F$60/4,BC65)+IF(Time!BC29=1,BC68,BC66)*BD12,0)</f>
        <v>#VALUE!</v>
      </c>
      <c r="BD128" s="11" t="e">
        <f aca="false">IF(AND(Time!BD17&gt;=Time!$F$11,Time!BD17&lt;57),(IF(Time!BD29=1,BD68,BD66)-BD65)*BE19+BE22*MIN($F$60/4,BD65)+IF(Time!BD29=1,BD68,BD66)*BE12,0)</f>
        <v>#VALUE!</v>
      </c>
      <c r="BE128" s="11" t="e">
        <f aca="false">IF(AND(Time!BE17&gt;=Time!$F$11,Time!BE17&lt;57),(IF(Time!BE29=1,BE68,BE66)-BE65)*BF19+BF22*MIN($F$60/4,BE65)+IF(Time!BE29=1,BE68,BE66)*BF12,0)</f>
        <v>#VALUE!</v>
      </c>
      <c r="BF128" s="11" t="e">
        <f aca="false">IF(AND(Time!BF17&gt;=Time!$F$11,Time!BF17&lt;57),(IF(Time!BF29=1,BF68,BF66)-BF65)*BG19+BG22*MIN($F$60/4,BF65)+IF(Time!BF29=1,BF68,BF66)*BG12,0)</f>
        <v>#VALUE!</v>
      </c>
      <c r="BG128" s="11" t="e">
        <f aca="false">IF(AND(Time!BG17&gt;=Time!$F$11,Time!BG17&lt;57),(IF(Time!BG29=1,BG68,BG66)-BG65)*BH19+BH22*MIN($F$60/4,BG65)+IF(Time!BG29=1,BG68,BG66)*BH12,0)</f>
        <v>#VALUE!</v>
      </c>
      <c r="BH128" s="11" t="e">
        <f aca="false">IF(AND(Time!BH17&gt;=Time!$F$11,Time!BH17&lt;57),(IF(Time!BH29=1,BH68,BH66)-BH65)*BI19+BI22*MIN($F$60/4,BH65)+IF(Time!BH29=1,BH68,BH66)*BI12,0)</f>
        <v>#VALUE!</v>
      </c>
      <c r="BI128" s="11" t="e">
        <f aca="false">IF(AND(Time!BI17&gt;=Time!$F$11,Time!BI17&lt;57),(IF(Time!BI29=1,BI68,BI66)-BI65)*BJ19+BJ22*MIN($F$60/4,BI65)+IF(Time!BI29=1,BI68,BI66)*BJ12,0)</f>
        <v>#VALUE!</v>
      </c>
      <c r="BJ128" s="11" t="e">
        <f aca="false">IF(AND(Time!BJ17&gt;=Time!$F$11,Time!BJ17&lt;57),(IF(Time!BJ29=1,BJ68,BJ66)-BJ65)*BK19+BK22*MIN($F$60/4,BJ65)+IF(Time!BJ29=1,BJ68,BJ66)*BK12,0)</f>
        <v>#VALUE!</v>
      </c>
      <c r="BK128" s="11" t="e">
        <f aca="false">IF(AND(Time!BK17&gt;=Time!$F$11,Time!BK17&lt;57),(IF(Time!BK29=1,BK68,BK66)-BK65)*BL19+BL22*MIN($F$60/4,BK65)+IF(Time!BK29=1,BK68,BK66)*BL12,0)</f>
        <v>#VALUE!</v>
      </c>
      <c r="BL128" s="11" t="e">
        <f aca="false">IF(AND(Time!BL17&gt;=Time!$F$11,Time!BL17&lt;57),(IF(Time!BL29=1,BL68,BL66)-BL65)*BM19+BM22*MIN($F$60/4,BL65)+IF(Time!BL29=1,BL68,BL66)*BM12,0)</f>
        <v>#VALUE!</v>
      </c>
      <c r="BM128" s="11" t="e">
        <f aca="false">IF(AND(Time!BM17&gt;=Time!$F$11,Time!BM17&lt;57),(IF(Time!BM29=1,BM68,BM66)-BM65)*BN19+BN22*MIN($F$60/4,BM65)+IF(Time!BM29=1,BM68,BM66)*BN12,0)</f>
        <v>#VALUE!</v>
      </c>
      <c r="BN128" s="11" t="n">
        <f aca="false">IF(AND(Time!BN17&gt;=Time!$F$11,Time!BN17&lt;57),(IF(Time!BN29=1,BN68,BN66)-BN65)*0+0*MIN($F$60/4,BN65)+IF(Time!BN29=1,BN68,BN66)*0,0)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IF(AND(Time!J17&gt;=Time!$F$11,Time!J17&lt;57),(IF(Time!J29=1,J83,J81)-J80)*K19+K22*MIN($F$75/4,J80)+IF(Time!J29=1,J83,J81)*K13,0)</f>
        <v>0</v>
      </c>
      <c r="K129" s="11" t="n">
        <f aca="false">IF(AND(Time!K17&gt;=Time!$F$11,Time!K17&lt;57),(IF(Time!K29=1,K83,K81)-K80)*L19+L22*MIN($F$75/4,K80)+IF(Time!K29=1,K83,K81)*L13,0)</f>
        <v>0</v>
      </c>
      <c r="L129" s="11" t="n">
        <f aca="false">IF(AND(Time!L17&gt;=Time!$F$11,Time!L17&lt;57),(IF(Time!L29=1,L83,L81)-L80)*M19+M22*MIN($F$75/4,L80)+IF(Time!L29=1,L83,L81)*M13,0)</f>
        <v>0</v>
      </c>
      <c r="M129" s="11" t="n">
        <f aca="false">IF(AND(Time!M17&gt;=Time!$F$11,Time!M17&lt;57),(IF(Time!M29=1,M83,M81)-M80)*N19+N22*MIN($F$75/4,M80)+IF(Time!M29=1,M83,M81)*N13,0)</f>
        <v>0</v>
      </c>
      <c r="N129" s="11" t="n">
        <f aca="false">IF(AND(Time!N17&gt;=Time!$F$11,Time!N17&lt;57),(IF(Time!N29=1,N83,N81)-N80)*O19+O22*MIN($F$75/4,N80)+IF(Time!N29=1,N83,N81)*O13,0)</f>
        <v>0</v>
      </c>
      <c r="O129" s="11" t="e">
        <f aca="false">IF(AND(Time!O17&gt;=Time!$F$11,Time!O17&lt;57),(IF(Time!O29=1,O83,O81)-O80)*P19+P22*MIN($F$75/4,O80)+IF(Time!O29=1,O83,O81)*P13,0)</f>
        <v>#VALUE!</v>
      </c>
      <c r="P129" s="11" t="e">
        <f aca="false">IF(AND(Time!P17&gt;=Time!$F$11,Time!P17&lt;57),(IF(Time!P29=1,P83,P81)-P80)*Q19+Q22*MIN($F$75/4,P80)+IF(Time!P29=1,P83,P81)*Q13,0)</f>
        <v>#VALUE!</v>
      </c>
      <c r="Q129" s="11" t="e">
        <f aca="false">IF(AND(Time!Q17&gt;=Time!$F$11,Time!Q17&lt;57),(IF(Time!Q29=1,Q83,Q81)-Q80)*R19+R22*MIN($F$75/4,Q80)+IF(Time!Q29=1,Q83,Q81)*R13,0)</f>
        <v>#VALUE!</v>
      </c>
      <c r="R129" s="11" t="e">
        <f aca="false">IF(AND(Time!R17&gt;=Time!$F$11,Time!R17&lt;57),(IF(Time!R29=1,R83,R81)-R80)*S19+S22*MIN($F$75/4,R80)+IF(Time!R29=1,R83,R81)*S13,0)</f>
        <v>#VALUE!</v>
      </c>
      <c r="S129" s="11" t="e">
        <f aca="false">IF(AND(Time!S17&gt;=Time!$F$11,Time!S17&lt;57),(IF(Time!S29=1,S83,S81)-S80)*T19+T22*MIN($F$75/4,S80)+IF(Time!S29=1,S83,S81)*T13,0)</f>
        <v>#VALUE!</v>
      </c>
      <c r="T129" s="11" t="e">
        <f aca="false">IF(AND(Time!T17&gt;=Time!$F$11,Time!T17&lt;57),(IF(Time!T29=1,T83,T81)-T80)*U19+U22*MIN($F$75/4,T80)+IF(Time!T29=1,T83,T81)*U13,0)</f>
        <v>#VALUE!</v>
      </c>
      <c r="U129" s="11" t="e">
        <f aca="false">IF(AND(Time!U17&gt;=Time!$F$11,Time!U17&lt;57),(IF(Time!U29=1,U83,U81)-U80)*V19+V22*MIN($F$75/4,U80)+IF(Time!U29=1,U83,U81)*V13,0)</f>
        <v>#VALUE!</v>
      </c>
      <c r="V129" s="11" t="e">
        <f aca="false">IF(AND(Time!V17&gt;=Time!$F$11,Time!V17&lt;57),(IF(Time!V29=1,V83,V81)-V80)*W19+W22*MIN($F$75/4,V80)+IF(Time!V29=1,V83,V81)*W13,0)</f>
        <v>#VALUE!</v>
      </c>
      <c r="W129" s="11" t="e">
        <f aca="false">IF(AND(Time!W17&gt;=Time!$F$11,Time!W17&lt;57),(IF(Time!W29=1,W83,W81)-W80)*X19+X22*MIN($F$75/4,W80)+IF(Time!W29=1,W83,W81)*X13,0)</f>
        <v>#VALUE!</v>
      </c>
      <c r="X129" s="11" t="e">
        <f aca="false">IF(AND(Time!X17&gt;=Time!$F$11,Time!X17&lt;57),(IF(Time!X29=1,X83,X81)-X80)*Y19+Y22*MIN($F$75/4,X80)+IF(Time!X29=1,X83,X81)*Y13,0)</f>
        <v>#VALUE!</v>
      </c>
      <c r="Y129" s="11" t="e">
        <f aca="false">IF(AND(Time!Y17&gt;=Time!$F$11,Time!Y17&lt;57),(IF(Time!Y29=1,Y83,Y81)-Y80)*Z19+Z22*MIN($F$75/4,Y80)+IF(Time!Y29=1,Y83,Y81)*Z13,0)</f>
        <v>#VALUE!</v>
      </c>
      <c r="Z129" s="11" t="e">
        <f aca="false">IF(AND(Time!Z17&gt;=Time!$F$11,Time!Z17&lt;57),(IF(Time!Z29=1,Z83,Z81)-Z80)*AA19+AA22*MIN($F$75/4,Z80)+IF(Time!Z29=1,Z83,Z81)*AA13,0)</f>
        <v>#VALUE!</v>
      </c>
      <c r="AA129" s="11" t="e">
        <f aca="false">IF(AND(Time!AA17&gt;=Time!$F$11,Time!AA17&lt;57),(IF(Time!AA29=1,AA83,AA81)-AA80)*AB19+AB22*MIN($F$75/4,AA80)+IF(Time!AA29=1,AA83,AA81)*AB13,0)</f>
        <v>#VALUE!</v>
      </c>
      <c r="AB129" s="11" t="e">
        <f aca="false">IF(AND(Time!AB17&gt;=Time!$F$11,Time!AB17&lt;57),(IF(Time!AB29=1,AB83,AB81)-AB80)*AC19+AC22*MIN($F$75/4,AB80)+IF(Time!AB29=1,AB83,AB81)*AC13,0)</f>
        <v>#VALUE!</v>
      </c>
      <c r="AC129" s="11" t="e">
        <f aca="false">IF(AND(Time!AC17&gt;=Time!$F$11,Time!AC17&lt;57),(IF(Time!AC29=1,AC83,AC81)-AC80)*AD19+AD22*MIN($F$75/4,AC80)+IF(Time!AC29=1,AC83,AC81)*AD13,0)</f>
        <v>#VALUE!</v>
      </c>
      <c r="AD129" s="11" t="e">
        <f aca="false">IF(AND(Time!AD17&gt;=Time!$F$11,Time!AD17&lt;57),(IF(Time!AD29=1,AD83,AD81)-AD80)*AE19+AE22*MIN($F$75/4,AD80)+IF(Time!AD29=1,AD83,AD81)*AE13,0)</f>
        <v>#VALUE!</v>
      </c>
      <c r="AE129" s="11" t="e">
        <f aca="false">IF(AND(Time!AE17&gt;=Time!$F$11,Time!AE17&lt;57),(IF(Time!AE29=1,AE83,AE81)-AE80)*AF19+AF22*MIN($F$75/4,AE80)+IF(Time!AE29=1,AE83,AE81)*AF13,0)</f>
        <v>#VALUE!</v>
      </c>
      <c r="AF129" s="11" t="e">
        <f aca="false">IF(AND(Time!AF17&gt;=Time!$F$11,Time!AF17&lt;57),(IF(Time!AF29=1,AF83,AF81)-AF80)*AG19+AG22*MIN($F$75/4,AF80)+IF(Time!AF29=1,AF83,AF81)*AG13,0)</f>
        <v>#VALUE!</v>
      </c>
      <c r="AG129" s="11" t="e">
        <f aca="false">IF(AND(Time!AG17&gt;=Time!$F$11,Time!AG17&lt;57),(IF(Time!AG29=1,AG83,AG81)-AG80)*AH19+AH22*MIN($F$75/4,AG80)+IF(Time!AG29=1,AG83,AG81)*AH13,0)</f>
        <v>#VALUE!</v>
      </c>
      <c r="AH129" s="11" t="e">
        <f aca="false">IF(AND(Time!AH17&gt;=Time!$F$11,Time!AH17&lt;57),(IF(Time!AH29=1,AH83,AH81)-AH80)*AI19+AI22*MIN($F$75/4,AH80)+IF(Time!AH29=1,AH83,AH81)*AI13,0)</f>
        <v>#VALUE!</v>
      </c>
      <c r="AI129" s="11" t="e">
        <f aca="false">IF(AND(Time!AI17&gt;=Time!$F$11,Time!AI17&lt;57),(IF(Time!AI29=1,AI83,AI81)-AI80)*AJ19+AJ22*MIN($F$75/4,AI80)+IF(Time!AI29=1,AI83,AI81)*AJ13,0)</f>
        <v>#VALUE!</v>
      </c>
      <c r="AJ129" s="11" t="e">
        <f aca="false">IF(AND(Time!AJ17&gt;=Time!$F$11,Time!AJ17&lt;57),(IF(Time!AJ29=1,AJ83,AJ81)-AJ80)*AK19+AK22*MIN($F$75/4,AJ80)+IF(Time!AJ29=1,AJ83,AJ81)*AK13,0)</f>
        <v>#VALUE!</v>
      </c>
      <c r="AK129" s="11" t="e">
        <f aca="false">IF(AND(Time!AK17&gt;=Time!$F$11,Time!AK17&lt;57),(IF(Time!AK29=1,AK83,AK81)-AK80)*AL19+AL22*MIN($F$75/4,AK80)+IF(Time!AK29=1,AK83,AK81)*AL13,0)</f>
        <v>#VALUE!</v>
      </c>
      <c r="AL129" s="11" t="e">
        <f aca="false">IF(AND(Time!AL17&gt;=Time!$F$11,Time!AL17&lt;57),(IF(Time!AL29=1,AL83,AL81)-AL80)*AM19+AM22*MIN($F$75/4,AL80)+IF(Time!AL29=1,AL83,AL81)*AM13,0)</f>
        <v>#VALUE!</v>
      </c>
      <c r="AM129" s="11" t="e">
        <f aca="false">IF(AND(Time!AM17&gt;=Time!$F$11,Time!AM17&lt;57),(IF(Time!AM29=1,AM83,AM81)-AM80)*AN19+AN22*MIN($F$75/4,AM80)+IF(Time!AM29=1,AM83,AM81)*AN13,0)</f>
        <v>#VALUE!</v>
      </c>
      <c r="AN129" s="11" t="e">
        <f aca="false">IF(AND(Time!AN17&gt;=Time!$F$11,Time!AN17&lt;57),(IF(Time!AN29=1,AN83,AN81)-AN80)*AO19+AO22*MIN($F$75/4,AN80)+IF(Time!AN29=1,AN83,AN81)*AO13,0)</f>
        <v>#VALUE!</v>
      </c>
      <c r="AO129" s="11" t="e">
        <f aca="false">IF(AND(Time!AO17&gt;=Time!$F$11,Time!AO17&lt;57),(IF(Time!AO29=1,AO83,AO81)-AO80)*AP19+AP22*MIN($F$75/4,AO80)+IF(Time!AO29=1,AO83,AO81)*AP13,0)</f>
        <v>#VALUE!</v>
      </c>
      <c r="AP129" s="11" t="e">
        <f aca="false">IF(AND(Time!AP17&gt;=Time!$F$11,Time!AP17&lt;57),(IF(Time!AP29=1,AP83,AP81)-AP80)*AQ19+AQ22*MIN($F$75/4,AP80)+IF(Time!AP29=1,AP83,AP81)*AQ13,0)</f>
        <v>#VALUE!</v>
      </c>
      <c r="AQ129" s="11" t="e">
        <f aca="false">IF(AND(Time!AQ17&gt;=Time!$F$11,Time!AQ17&lt;57),(IF(Time!AQ29=1,AQ83,AQ81)-AQ80)*AR19+AR22*MIN($F$75/4,AQ80)+IF(Time!AQ29=1,AQ83,AQ81)*AR13,0)</f>
        <v>#VALUE!</v>
      </c>
      <c r="AR129" s="11" t="e">
        <f aca="false">IF(AND(Time!AR17&gt;=Time!$F$11,Time!AR17&lt;57),(IF(Time!AR29=1,AR83,AR81)-AR80)*AS19+AS22*MIN($F$75/4,AR80)+IF(Time!AR29=1,AR83,AR81)*AS13,0)</f>
        <v>#VALUE!</v>
      </c>
      <c r="AS129" s="11" t="e">
        <f aca="false">IF(AND(Time!AS17&gt;=Time!$F$11,Time!AS17&lt;57),(IF(Time!AS29=1,AS83,AS81)-AS80)*AT19+AT22*MIN($F$75/4,AS80)+IF(Time!AS29=1,AS83,AS81)*AT13,0)</f>
        <v>#VALUE!</v>
      </c>
      <c r="AT129" s="11" t="e">
        <f aca="false">IF(AND(Time!AT17&gt;=Time!$F$11,Time!AT17&lt;57),(IF(Time!AT29=1,AT83,AT81)-AT80)*AU19+AU22*MIN($F$75/4,AT80)+IF(Time!AT29=1,AT83,AT81)*AU13,0)</f>
        <v>#VALUE!</v>
      </c>
      <c r="AU129" s="11" t="e">
        <f aca="false">IF(AND(Time!AU17&gt;=Time!$F$11,Time!AU17&lt;57),(IF(Time!AU29=1,AU83,AU81)-AU80)*AV19+AV22*MIN($F$75/4,AU80)+IF(Time!AU29=1,AU83,AU81)*AV13,0)</f>
        <v>#VALUE!</v>
      </c>
      <c r="AV129" s="11" t="e">
        <f aca="false">IF(AND(Time!AV17&gt;=Time!$F$11,Time!AV17&lt;57),(IF(Time!AV29=1,AV83,AV81)-AV80)*AW19+AW22*MIN($F$75/4,AV80)+IF(Time!AV29=1,AV83,AV81)*AW13,0)</f>
        <v>#VALUE!</v>
      </c>
      <c r="AW129" s="11" t="e">
        <f aca="false">IF(AND(Time!AW17&gt;=Time!$F$11,Time!AW17&lt;57),(IF(Time!AW29=1,AW83,AW81)-AW80)*AX19+AX22*MIN($F$75/4,AW80)+IF(Time!AW29=1,AW83,AW81)*AX13,0)</f>
        <v>#VALUE!</v>
      </c>
      <c r="AX129" s="11" t="e">
        <f aca="false">IF(AND(Time!AX17&gt;=Time!$F$11,Time!AX17&lt;57),(IF(Time!AX29=1,AX83,AX81)-AX80)*AY19+AY22*MIN($F$75/4,AX80)+IF(Time!AX29=1,AX83,AX81)*AY13,0)</f>
        <v>#VALUE!</v>
      </c>
      <c r="AY129" s="11" t="e">
        <f aca="false">IF(AND(Time!AY17&gt;=Time!$F$11,Time!AY17&lt;57),(IF(Time!AY29=1,AY83,AY81)-AY80)*AZ19+AZ22*MIN($F$75/4,AY80)+IF(Time!AY29=1,AY83,AY81)*AZ13,0)</f>
        <v>#VALUE!</v>
      </c>
      <c r="AZ129" s="11" t="e">
        <f aca="false">IF(AND(Time!AZ17&gt;=Time!$F$11,Time!AZ17&lt;57),(IF(Time!AZ29=1,AZ83,AZ81)-AZ80)*BA19+BA22*MIN($F$75/4,AZ80)+IF(Time!AZ29=1,AZ83,AZ81)*BA13,0)</f>
        <v>#VALUE!</v>
      </c>
      <c r="BA129" s="11" t="e">
        <f aca="false">IF(AND(Time!BA17&gt;=Time!$F$11,Time!BA17&lt;57),(IF(Time!BA29=1,BA83,BA81)-BA80)*BB19+BB22*MIN($F$75/4,BA80)+IF(Time!BA29=1,BA83,BA81)*BB13,0)</f>
        <v>#VALUE!</v>
      </c>
      <c r="BB129" s="11" t="e">
        <f aca="false">IF(AND(Time!BB17&gt;=Time!$F$11,Time!BB17&lt;57),(IF(Time!BB29=1,BB83,BB81)-BB80)*BC19+BC22*MIN($F$75/4,BB80)+IF(Time!BB29=1,BB83,BB81)*BC13,0)</f>
        <v>#VALUE!</v>
      </c>
      <c r="BC129" s="11" t="e">
        <f aca="false">IF(AND(Time!BC17&gt;=Time!$F$11,Time!BC17&lt;57),(IF(Time!BC29=1,BC83,BC81)-BC80)*BD19+BD22*MIN($F$75/4,BC80)+IF(Time!BC29=1,BC83,BC81)*BD13,0)</f>
        <v>#VALUE!</v>
      </c>
      <c r="BD129" s="11" t="e">
        <f aca="false">IF(AND(Time!BD17&gt;=Time!$F$11,Time!BD17&lt;57),(IF(Time!BD29=1,BD83,BD81)-BD80)*BE19+BE22*MIN($F$75/4,BD80)+IF(Time!BD29=1,BD83,BD81)*BE13,0)</f>
        <v>#VALUE!</v>
      </c>
      <c r="BE129" s="11" t="e">
        <f aca="false">IF(AND(Time!BE17&gt;=Time!$F$11,Time!BE17&lt;57),(IF(Time!BE29=1,BE83,BE81)-BE80)*BF19+BF22*MIN($F$75/4,BE80)+IF(Time!BE29=1,BE83,BE81)*BF13,0)</f>
        <v>#VALUE!</v>
      </c>
      <c r="BF129" s="11" t="e">
        <f aca="false">IF(AND(Time!BF17&gt;=Time!$F$11,Time!BF17&lt;57),(IF(Time!BF29=1,BF83,BF81)-BF80)*BG19+BG22*MIN($F$75/4,BF80)+IF(Time!BF29=1,BF83,BF81)*BG13,0)</f>
        <v>#VALUE!</v>
      </c>
      <c r="BG129" s="11" t="e">
        <f aca="false">IF(AND(Time!BG17&gt;=Time!$F$11,Time!BG17&lt;57),(IF(Time!BG29=1,BG83,BG81)-BG80)*BH19+BH22*MIN($F$75/4,BG80)+IF(Time!BG29=1,BG83,BG81)*BH13,0)</f>
        <v>#VALUE!</v>
      </c>
      <c r="BH129" s="11" t="e">
        <f aca="false">IF(AND(Time!BH17&gt;=Time!$F$11,Time!BH17&lt;57),(IF(Time!BH29=1,BH83,BH81)-BH80)*BI19+BI22*MIN($F$75/4,BH80)+IF(Time!BH29=1,BH83,BH81)*BI13,0)</f>
        <v>#VALUE!</v>
      </c>
      <c r="BI129" s="11" t="e">
        <f aca="false">IF(AND(Time!BI17&gt;=Time!$F$11,Time!BI17&lt;57),(IF(Time!BI29=1,BI83,BI81)-BI80)*BJ19+BJ22*MIN($F$75/4,BI80)+IF(Time!BI29=1,BI83,BI81)*BJ13,0)</f>
        <v>#VALUE!</v>
      </c>
      <c r="BJ129" s="11" t="e">
        <f aca="false">IF(AND(Time!BJ17&gt;=Time!$F$11,Time!BJ17&lt;57),(IF(Time!BJ29=1,BJ83,BJ81)-BJ80)*BK19+BK22*MIN($F$75/4,BJ80)+IF(Time!BJ29=1,BJ83,BJ81)*BK13,0)</f>
        <v>#VALUE!</v>
      </c>
      <c r="BK129" s="11" t="e">
        <f aca="false">IF(AND(Time!BK17&gt;=Time!$F$11,Time!BK17&lt;57),(IF(Time!BK29=1,BK83,BK81)-BK80)*BL19+BL22*MIN($F$75/4,BK80)+IF(Time!BK29=1,BK83,BK81)*BL13,0)</f>
        <v>#VALUE!</v>
      </c>
      <c r="BL129" s="11" t="e">
        <f aca="false">IF(AND(Time!BL17&gt;=Time!$F$11,Time!BL17&lt;57),(IF(Time!BL29=1,BL83,BL81)-BL80)*BM19+BM22*MIN($F$75/4,BL80)+IF(Time!BL29=1,BL83,BL81)*BM13,0)</f>
        <v>#VALUE!</v>
      </c>
      <c r="BM129" s="11" t="e">
        <f aca="false">IF(AND(Time!BM17&gt;=Time!$F$11,Time!BM17&lt;57),(IF(Time!BM29=1,BM83,BM81)-BM80)*BN19+BN22*MIN($F$75/4,BM80)+IF(Time!BM29=1,BM83,BM81)*BN13,0)</f>
        <v>#VALUE!</v>
      </c>
      <c r="BN129" s="11" t="n">
        <f aca="false">IF(AND(Time!BN17&gt;=Time!$F$11,Time!BN17&lt;57),(IF(Time!BN29=1,BN83,BN81)-BN80)*0+0*MIN($F$75/4,BN80)+IF(Time!BN29=1,BN83,BN81)*0,0)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IF(AND(Time!J17&gt;=Time!$F$11,Time!J17&lt;57),(IF(Time!J29=1,J98,J96)-J95)*K19+K22*MIN($F$90/4,J95)+IF(Time!J29=1,J98,J96)*K14,0)</f>
        <v>0</v>
      </c>
      <c r="K130" s="11" t="n">
        <f aca="false">IF(AND(Time!K17&gt;=Time!$F$11,Time!K17&lt;57),(IF(Time!K29=1,K98,K96)-K95)*L19+L22*MIN($F$90/4,K95)+IF(Time!K29=1,K98,K96)*L14,0)</f>
        <v>0</v>
      </c>
      <c r="L130" s="11" t="n">
        <f aca="false">IF(AND(Time!L17&gt;=Time!$F$11,Time!L17&lt;57),(IF(Time!L29=1,L98,L96)-L95)*M19+M22*MIN($F$90/4,L95)+IF(Time!L29=1,L98,L96)*M14,0)</f>
        <v>0</v>
      </c>
      <c r="M130" s="11" t="n">
        <f aca="false">IF(AND(Time!M17&gt;=Time!$F$11,Time!M17&lt;57),(IF(Time!M29=1,M98,M96)-M95)*N19+N22*MIN($F$90/4,M95)+IF(Time!M29=1,M98,M96)*N14,0)</f>
        <v>0</v>
      </c>
      <c r="N130" s="11" t="n">
        <f aca="false">IF(AND(Time!N17&gt;=Time!$F$11,Time!N17&lt;57),(IF(Time!N29=1,N98,N96)-N95)*O19+O22*MIN($F$90/4,N95)+IF(Time!N29=1,N98,N96)*O14,0)</f>
        <v>0</v>
      </c>
      <c r="O130" s="11" t="e">
        <f aca="false">IF(AND(Time!O17&gt;=Time!$F$11,Time!O17&lt;57),(IF(Time!O29=1,O98,O96)-O95)*P19+P22*MIN($F$90/4,O95)+IF(Time!O29=1,O98,O96)*P14,0)</f>
        <v>#VALUE!</v>
      </c>
      <c r="P130" s="11" t="e">
        <f aca="false">IF(AND(Time!P17&gt;=Time!$F$11,Time!P17&lt;57),(IF(Time!P29=1,P98,P96)-P95)*Q19+Q22*MIN($F$90/4,P95)+IF(Time!P29=1,P98,P96)*Q14,0)</f>
        <v>#VALUE!</v>
      </c>
      <c r="Q130" s="11" t="e">
        <f aca="false">IF(AND(Time!Q17&gt;=Time!$F$11,Time!Q17&lt;57),(IF(Time!Q29=1,Q98,Q96)-Q95)*R19+R22*MIN($F$90/4,Q95)+IF(Time!Q29=1,Q98,Q96)*R14,0)</f>
        <v>#VALUE!</v>
      </c>
      <c r="R130" s="11" t="e">
        <f aca="false">IF(AND(Time!R17&gt;=Time!$F$11,Time!R17&lt;57),(IF(Time!R29=1,R98,R96)-R95)*S19+S22*MIN($F$90/4,R95)+IF(Time!R29=1,R98,R96)*S14,0)</f>
        <v>#VALUE!</v>
      </c>
      <c r="S130" s="11" t="e">
        <f aca="false">IF(AND(Time!S17&gt;=Time!$F$11,Time!S17&lt;57),(IF(Time!S29=1,S98,S96)-S95)*T19+T22*MIN($F$90/4,S95)+IF(Time!S29=1,S98,S96)*T14,0)</f>
        <v>#VALUE!</v>
      </c>
      <c r="T130" s="11" t="e">
        <f aca="false">IF(AND(Time!T17&gt;=Time!$F$11,Time!T17&lt;57),(IF(Time!T29=1,T98,T96)-T95)*U19+U22*MIN($F$90/4,T95)+IF(Time!T29=1,T98,T96)*U14,0)</f>
        <v>#VALUE!</v>
      </c>
      <c r="U130" s="11" t="e">
        <f aca="false">IF(AND(Time!U17&gt;=Time!$F$11,Time!U17&lt;57),(IF(Time!U29=1,U98,U96)-U95)*V19+V22*MIN($F$90/4,U95)+IF(Time!U29=1,U98,U96)*V14,0)</f>
        <v>#VALUE!</v>
      </c>
      <c r="V130" s="11" t="e">
        <f aca="false">IF(AND(Time!V17&gt;=Time!$F$11,Time!V17&lt;57),(IF(Time!V29=1,V98,V96)-V95)*W19+W22*MIN($F$90/4,V95)+IF(Time!V29=1,V98,V96)*W14,0)</f>
        <v>#VALUE!</v>
      </c>
      <c r="W130" s="11" t="e">
        <f aca="false">IF(AND(Time!W17&gt;=Time!$F$11,Time!W17&lt;57),(IF(Time!W29=1,W98,W96)-W95)*X19+X22*MIN($F$90/4,W95)+IF(Time!W29=1,W98,W96)*X14,0)</f>
        <v>#VALUE!</v>
      </c>
      <c r="X130" s="11" t="e">
        <f aca="false">IF(AND(Time!X17&gt;=Time!$F$11,Time!X17&lt;57),(IF(Time!X29=1,X98,X96)-X95)*Y19+Y22*MIN($F$90/4,X95)+IF(Time!X29=1,X98,X96)*Y14,0)</f>
        <v>#VALUE!</v>
      </c>
      <c r="Y130" s="11" t="e">
        <f aca="false">IF(AND(Time!Y17&gt;=Time!$F$11,Time!Y17&lt;57),(IF(Time!Y29=1,Y98,Y96)-Y95)*Z19+Z22*MIN($F$90/4,Y95)+IF(Time!Y29=1,Y98,Y96)*Z14,0)</f>
        <v>#VALUE!</v>
      </c>
      <c r="Z130" s="11" t="e">
        <f aca="false">IF(AND(Time!Z17&gt;=Time!$F$11,Time!Z17&lt;57),(IF(Time!Z29=1,Z98,Z96)-Z95)*AA19+AA22*MIN($F$90/4,Z95)+IF(Time!Z29=1,Z98,Z96)*AA14,0)</f>
        <v>#VALUE!</v>
      </c>
      <c r="AA130" s="11" t="e">
        <f aca="false">IF(AND(Time!AA17&gt;=Time!$F$11,Time!AA17&lt;57),(IF(Time!AA29=1,AA98,AA96)-AA95)*AB19+AB22*MIN($F$90/4,AA95)+IF(Time!AA29=1,AA98,AA96)*AB14,0)</f>
        <v>#VALUE!</v>
      </c>
      <c r="AB130" s="11" t="e">
        <f aca="false">IF(AND(Time!AB17&gt;=Time!$F$11,Time!AB17&lt;57),(IF(Time!AB29=1,AB98,AB96)-AB95)*AC19+AC22*MIN($F$90/4,AB95)+IF(Time!AB29=1,AB98,AB96)*AC14,0)</f>
        <v>#VALUE!</v>
      </c>
      <c r="AC130" s="11" t="e">
        <f aca="false">IF(AND(Time!AC17&gt;=Time!$F$11,Time!AC17&lt;57),(IF(Time!AC29=1,AC98,AC96)-AC95)*AD19+AD22*MIN($F$90/4,AC95)+IF(Time!AC29=1,AC98,AC96)*AD14,0)</f>
        <v>#VALUE!</v>
      </c>
      <c r="AD130" s="11" t="e">
        <f aca="false">IF(AND(Time!AD17&gt;=Time!$F$11,Time!AD17&lt;57),(IF(Time!AD29=1,AD98,AD96)-AD95)*AE19+AE22*MIN($F$90/4,AD95)+IF(Time!AD29=1,AD98,AD96)*AE14,0)</f>
        <v>#VALUE!</v>
      </c>
      <c r="AE130" s="11" t="e">
        <f aca="false">IF(AND(Time!AE17&gt;=Time!$F$11,Time!AE17&lt;57),(IF(Time!AE29=1,AE98,AE96)-AE95)*AF19+AF22*MIN($F$90/4,AE95)+IF(Time!AE29=1,AE98,AE96)*AF14,0)</f>
        <v>#VALUE!</v>
      </c>
      <c r="AF130" s="11" t="e">
        <f aca="false">IF(AND(Time!AF17&gt;=Time!$F$11,Time!AF17&lt;57),(IF(Time!AF29=1,AF98,AF96)-AF95)*AG19+AG22*MIN($F$90/4,AF95)+IF(Time!AF29=1,AF98,AF96)*AG14,0)</f>
        <v>#VALUE!</v>
      </c>
      <c r="AG130" s="11" t="e">
        <f aca="false">IF(AND(Time!AG17&gt;=Time!$F$11,Time!AG17&lt;57),(IF(Time!AG29=1,AG98,AG96)-AG95)*AH19+AH22*MIN($F$90/4,AG95)+IF(Time!AG29=1,AG98,AG96)*AH14,0)</f>
        <v>#VALUE!</v>
      </c>
      <c r="AH130" s="11" t="e">
        <f aca="false">IF(AND(Time!AH17&gt;=Time!$F$11,Time!AH17&lt;57),(IF(Time!AH29=1,AH98,AH96)-AH95)*AI19+AI22*MIN($F$90/4,AH95)+IF(Time!AH29=1,AH98,AH96)*AI14,0)</f>
        <v>#VALUE!</v>
      </c>
      <c r="AI130" s="11" t="e">
        <f aca="false">IF(AND(Time!AI17&gt;=Time!$F$11,Time!AI17&lt;57),(IF(Time!AI29=1,AI98,AI96)-AI95)*AJ19+AJ22*MIN($F$90/4,AI95)+IF(Time!AI29=1,AI98,AI96)*AJ14,0)</f>
        <v>#VALUE!</v>
      </c>
      <c r="AJ130" s="11" t="e">
        <f aca="false">IF(AND(Time!AJ17&gt;=Time!$F$11,Time!AJ17&lt;57),(IF(Time!AJ29=1,AJ98,AJ96)-AJ95)*AK19+AK22*MIN($F$90/4,AJ95)+IF(Time!AJ29=1,AJ98,AJ96)*AK14,0)</f>
        <v>#VALUE!</v>
      </c>
      <c r="AK130" s="11" t="e">
        <f aca="false">IF(AND(Time!AK17&gt;=Time!$F$11,Time!AK17&lt;57),(IF(Time!AK29=1,AK98,AK96)-AK95)*AL19+AL22*MIN($F$90/4,AK95)+IF(Time!AK29=1,AK98,AK96)*AL14,0)</f>
        <v>#VALUE!</v>
      </c>
      <c r="AL130" s="11" t="e">
        <f aca="false">IF(AND(Time!AL17&gt;=Time!$F$11,Time!AL17&lt;57),(IF(Time!AL29=1,AL98,AL96)-AL95)*AM19+AM22*MIN($F$90/4,AL95)+IF(Time!AL29=1,AL98,AL96)*AM14,0)</f>
        <v>#VALUE!</v>
      </c>
      <c r="AM130" s="11" t="e">
        <f aca="false">IF(AND(Time!AM17&gt;=Time!$F$11,Time!AM17&lt;57),(IF(Time!AM29=1,AM98,AM96)-AM95)*AN19+AN22*MIN($F$90/4,AM95)+IF(Time!AM29=1,AM98,AM96)*AN14,0)</f>
        <v>#VALUE!</v>
      </c>
      <c r="AN130" s="11" t="e">
        <f aca="false">IF(AND(Time!AN17&gt;=Time!$F$11,Time!AN17&lt;57),(IF(Time!AN29=1,AN98,AN96)-AN95)*AO19+AO22*MIN($F$90/4,AN95)+IF(Time!AN29=1,AN98,AN96)*AO14,0)</f>
        <v>#VALUE!</v>
      </c>
      <c r="AO130" s="11" t="e">
        <f aca="false">IF(AND(Time!AO17&gt;=Time!$F$11,Time!AO17&lt;57),(IF(Time!AO29=1,AO98,AO96)-AO95)*AP19+AP22*MIN($F$90/4,AO95)+IF(Time!AO29=1,AO98,AO96)*AP14,0)</f>
        <v>#VALUE!</v>
      </c>
      <c r="AP130" s="11" t="e">
        <f aca="false">IF(AND(Time!AP17&gt;=Time!$F$11,Time!AP17&lt;57),(IF(Time!AP29=1,AP98,AP96)-AP95)*AQ19+AQ22*MIN($F$90/4,AP95)+IF(Time!AP29=1,AP98,AP96)*AQ14,0)</f>
        <v>#VALUE!</v>
      </c>
      <c r="AQ130" s="11" t="e">
        <f aca="false">IF(AND(Time!AQ17&gt;=Time!$F$11,Time!AQ17&lt;57),(IF(Time!AQ29=1,AQ98,AQ96)-AQ95)*AR19+AR22*MIN($F$90/4,AQ95)+IF(Time!AQ29=1,AQ98,AQ96)*AR14,0)</f>
        <v>#VALUE!</v>
      </c>
      <c r="AR130" s="11" t="e">
        <f aca="false">IF(AND(Time!AR17&gt;=Time!$F$11,Time!AR17&lt;57),(IF(Time!AR29=1,AR98,AR96)-AR95)*AS19+AS22*MIN($F$90/4,AR95)+IF(Time!AR29=1,AR98,AR96)*AS14,0)</f>
        <v>#VALUE!</v>
      </c>
      <c r="AS130" s="11" t="e">
        <f aca="false">IF(AND(Time!AS17&gt;=Time!$F$11,Time!AS17&lt;57),(IF(Time!AS29=1,AS98,AS96)-AS95)*AT19+AT22*MIN($F$90/4,AS95)+IF(Time!AS29=1,AS98,AS96)*AT14,0)</f>
        <v>#VALUE!</v>
      </c>
      <c r="AT130" s="11" t="e">
        <f aca="false">IF(AND(Time!AT17&gt;=Time!$F$11,Time!AT17&lt;57),(IF(Time!AT29=1,AT98,AT96)-AT95)*AU19+AU22*MIN($F$90/4,AT95)+IF(Time!AT29=1,AT98,AT96)*AU14,0)</f>
        <v>#VALUE!</v>
      </c>
      <c r="AU130" s="11" t="e">
        <f aca="false">IF(AND(Time!AU17&gt;=Time!$F$11,Time!AU17&lt;57),(IF(Time!AU29=1,AU98,AU96)-AU95)*AV19+AV22*MIN($F$90/4,AU95)+IF(Time!AU29=1,AU98,AU96)*AV14,0)</f>
        <v>#VALUE!</v>
      </c>
      <c r="AV130" s="11" t="e">
        <f aca="false">IF(AND(Time!AV17&gt;=Time!$F$11,Time!AV17&lt;57),(IF(Time!AV29=1,AV98,AV96)-AV95)*AW19+AW22*MIN($F$90/4,AV95)+IF(Time!AV29=1,AV98,AV96)*AW14,0)</f>
        <v>#VALUE!</v>
      </c>
      <c r="AW130" s="11" t="e">
        <f aca="false">IF(AND(Time!AW17&gt;=Time!$F$11,Time!AW17&lt;57),(IF(Time!AW29=1,AW98,AW96)-AW95)*AX19+AX22*MIN($F$90/4,AW95)+IF(Time!AW29=1,AW98,AW96)*AX14,0)</f>
        <v>#VALUE!</v>
      </c>
      <c r="AX130" s="11" t="e">
        <f aca="false">IF(AND(Time!AX17&gt;=Time!$F$11,Time!AX17&lt;57),(IF(Time!AX29=1,AX98,AX96)-AX95)*AY19+AY22*MIN($F$90/4,AX95)+IF(Time!AX29=1,AX98,AX96)*AY14,0)</f>
        <v>#VALUE!</v>
      </c>
      <c r="AY130" s="11" t="e">
        <f aca="false">IF(AND(Time!AY17&gt;=Time!$F$11,Time!AY17&lt;57),(IF(Time!AY29=1,AY98,AY96)-AY95)*AZ19+AZ22*MIN($F$90/4,AY95)+IF(Time!AY29=1,AY98,AY96)*AZ14,0)</f>
        <v>#VALUE!</v>
      </c>
      <c r="AZ130" s="11" t="e">
        <f aca="false">IF(AND(Time!AZ17&gt;=Time!$F$11,Time!AZ17&lt;57),(IF(Time!AZ29=1,AZ98,AZ96)-AZ95)*BA19+BA22*MIN($F$90/4,AZ95)+IF(Time!AZ29=1,AZ98,AZ96)*BA14,0)</f>
        <v>#VALUE!</v>
      </c>
      <c r="BA130" s="11" t="e">
        <f aca="false">IF(AND(Time!BA17&gt;=Time!$F$11,Time!BA17&lt;57),(IF(Time!BA29=1,BA98,BA96)-BA95)*BB19+BB22*MIN($F$90/4,BA95)+IF(Time!BA29=1,BA98,BA96)*BB14,0)</f>
        <v>#VALUE!</v>
      </c>
      <c r="BB130" s="11" t="e">
        <f aca="false">IF(AND(Time!BB17&gt;=Time!$F$11,Time!BB17&lt;57),(IF(Time!BB29=1,BB98,BB96)-BB95)*BC19+BC22*MIN($F$90/4,BB95)+IF(Time!BB29=1,BB98,BB96)*BC14,0)</f>
        <v>#VALUE!</v>
      </c>
      <c r="BC130" s="11" t="e">
        <f aca="false">IF(AND(Time!BC17&gt;=Time!$F$11,Time!BC17&lt;57),(IF(Time!BC29=1,BC98,BC96)-BC95)*BD19+BD22*MIN($F$90/4,BC95)+IF(Time!BC29=1,BC98,BC96)*BD14,0)</f>
        <v>#VALUE!</v>
      </c>
      <c r="BD130" s="11" t="e">
        <f aca="false">IF(AND(Time!BD17&gt;=Time!$F$11,Time!BD17&lt;57),(IF(Time!BD29=1,BD98,BD96)-BD95)*BE19+BE22*MIN($F$90/4,BD95)+IF(Time!BD29=1,BD98,BD96)*BE14,0)</f>
        <v>#VALUE!</v>
      </c>
      <c r="BE130" s="11" t="e">
        <f aca="false">IF(AND(Time!BE17&gt;=Time!$F$11,Time!BE17&lt;57),(IF(Time!BE29=1,BE98,BE96)-BE95)*BF19+BF22*MIN($F$90/4,BE95)+IF(Time!BE29=1,BE98,BE96)*BF14,0)</f>
        <v>#VALUE!</v>
      </c>
      <c r="BF130" s="11" t="e">
        <f aca="false">IF(AND(Time!BF17&gt;=Time!$F$11,Time!BF17&lt;57),(IF(Time!BF29=1,BF98,BF96)-BF95)*BG19+BG22*MIN($F$90/4,BF95)+IF(Time!BF29=1,BF98,BF96)*BG14,0)</f>
        <v>#VALUE!</v>
      </c>
      <c r="BG130" s="11" t="e">
        <f aca="false">IF(AND(Time!BG17&gt;=Time!$F$11,Time!BG17&lt;57),(IF(Time!BG29=1,BG98,BG96)-BG95)*BH19+BH22*MIN($F$90/4,BG95)+IF(Time!BG29=1,BG98,BG96)*BH14,0)</f>
        <v>#VALUE!</v>
      </c>
      <c r="BH130" s="11" t="e">
        <f aca="false">IF(AND(Time!BH17&gt;=Time!$F$11,Time!BH17&lt;57),(IF(Time!BH29=1,BH98,BH96)-BH95)*BI19+BI22*MIN($F$90/4,BH95)+IF(Time!BH29=1,BH98,BH96)*BI14,0)</f>
        <v>#VALUE!</v>
      </c>
      <c r="BI130" s="11" t="e">
        <f aca="false">IF(AND(Time!BI17&gt;=Time!$F$11,Time!BI17&lt;57),(IF(Time!BI29=1,BI98,BI96)-BI95)*BJ19+BJ22*MIN($F$90/4,BI95)+IF(Time!BI29=1,BI98,BI96)*BJ14,0)</f>
        <v>#VALUE!</v>
      </c>
      <c r="BJ130" s="11" t="e">
        <f aca="false">IF(AND(Time!BJ17&gt;=Time!$F$11,Time!BJ17&lt;57),(IF(Time!BJ29=1,BJ98,BJ96)-BJ95)*BK19+BK22*MIN($F$90/4,BJ95)+IF(Time!BJ29=1,BJ98,BJ96)*BK14,0)</f>
        <v>#VALUE!</v>
      </c>
      <c r="BK130" s="11" t="e">
        <f aca="false">IF(AND(Time!BK17&gt;=Time!$F$11,Time!BK17&lt;57),(IF(Time!BK29=1,BK98,BK96)-BK95)*BL19+BL22*MIN($F$90/4,BK95)+IF(Time!BK29=1,BK98,BK96)*BL14,0)</f>
        <v>#VALUE!</v>
      </c>
      <c r="BL130" s="11" t="e">
        <f aca="false">IF(AND(Time!BL17&gt;=Time!$F$11,Time!BL17&lt;57),(IF(Time!BL29=1,BL98,BL96)-BL95)*BM19+BM22*MIN($F$90/4,BL95)+IF(Time!BL29=1,BL98,BL96)*BM14,0)</f>
        <v>#VALUE!</v>
      </c>
      <c r="BM130" s="11" t="e">
        <f aca="false">IF(AND(Time!BM17&gt;=Time!$F$11,Time!BM17&lt;57),(IF(Time!BM29=1,BM98,BM96)-BM95)*BN19+BN22*MIN($F$90/4,BM95)+IF(Time!BM29=1,BM98,BM96)*BN14,0)</f>
        <v>#VALUE!</v>
      </c>
      <c r="BN130" s="11" t="n">
        <f aca="false">IF(AND(Time!BN17&gt;=Time!$F$11,Time!BN17&lt;57),(IF(Time!BN29=1,BN98,BN96)-BN95)*0+0*MIN($F$90/4,BN95)+IF(Time!BN29=1,BN98,BN96)*0,0)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e">
        <f aca="false">IF(AND(Time!J17&gt;=Time!$F$11,Time!J17&lt;57,J103+J20*$F$109&gt;0.000000001),MIN($F$109*Inputs!K221,J103+J20*$F$109)+(J103+J20*$F$109)*(K15+Inputs!$F$197/100*0.5*Inputs!$F$196/$F$109),0)</f>
        <v>#VALUE!</v>
      </c>
      <c r="K131" s="11" t="e">
        <f aca="false">IF(AND(Time!K17&gt;=Time!$F$11,Time!K17&lt;57,K103+K20*$F$109&gt;0.000000001),MIN($F$109*Inputs!L221,K103+K20*$F$109)+(K103+K20*$F$109)*(L15+Inputs!$F$197/100*0.5*Inputs!$F$196/$F$109),0)</f>
        <v>#VALUE!</v>
      </c>
      <c r="L131" s="11" t="e">
        <f aca="false">IF(AND(Time!L17&gt;=Time!$F$11,Time!L17&lt;57,L103+L20*$F$109&gt;0.000000001),MIN($F$109*Inputs!M221,L103+L20*$F$109)+(L103+L20*$F$109)*(M15+Inputs!$F$197/100*0.5*Inputs!$F$196/$F$109),0)</f>
        <v>#VALUE!</v>
      </c>
      <c r="M131" s="11" t="e">
        <f aca="false">IF(AND(Time!M17&gt;=Time!$F$11,Time!M17&lt;57,M103+M20*$F$109&gt;0.000000001),MIN($F$109*Inputs!N221,M103+M20*$F$109)+(M103+M20*$F$109)*(N15+Inputs!$F$197/100*0.5*Inputs!$F$196/$F$109),0)</f>
        <v>#VALUE!</v>
      </c>
      <c r="N131" s="11" t="e">
        <f aca="false">IF(AND(Time!N17&gt;=Time!$F$11,Time!N17&lt;57,N103+N20*$F$109&gt;0.000000001),MIN($F$109*Inputs!O221,N103+N20*$F$109)+(N103+N20*$F$109)*(O15+Inputs!$F$197/100*0.5*Inputs!$F$196/$F$109),0)</f>
        <v>#VALUE!</v>
      </c>
      <c r="O131" s="11" t="e">
        <f aca="false">IF(AND(Time!O17&gt;=Time!$F$11,Time!O17&lt;57,O103+O20*$F$109&gt;0.000000001),MIN($F$109*Inputs!P221,O103+O20*$F$109)+(O103+O20*$F$109)*(P15+Inputs!$F$197/100*0.5*Inputs!$F$196/$F$109),0)</f>
        <v>#VALUE!</v>
      </c>
      <c r="P131" s="11" t="e">
        <f aca="false">IF(AND(Time!P17&gt;=Time!$F$11,Time!P17&lt;57,P103+P20*$F$109&gt;0.000000001),MIN($F$109*Inputs!Q221,P103+P20*$F$109)+(P103+P20*$F$109)*(Q15+Inputs!$F$197/100*0.5*Inputs!$F$196/$F$109),0)</f>
        <v>#VALUE!</v>
      </c>
      <c r="Q131" s="11" t="e">
        <f aca="false">IF(AND(Time!Q17&gt;=Time!$F$11,Time!Q17&lt;57,Q103+Q20*$F$109&gt;0.000000001),MIN($F$109*Inputs!R221,Q103+Q20*$F$109)+(Q103+Q20*$F$109)*(R15+Inputs!$F$197/100*0.5*Inputs!$F$196/$F$109),0)</f>
        <v>#VALUE!</v>
      </c>
      <c r="R131" s="11" t="e">
        <f aca="false">IF(AND(Time!R17&gt;=Time!$F$11,Time!R17&lt;57,R103+R20*$F$109&gt;0.000000001),MIN($F$109*Inputs!S221,R103+R20*$F$109)+(R103+R20*$F$109)*(S15+Inputs!$F$197/100*0.5*Inputs!$F$196/$F$109),0)</f>
        <v>#VALUE!</v>
      </c>
      <c r="S131" s="11" t="e">
        <f aca="false">IF(AND(Time!S17&gt;=Time!$F$11,Time!S17&lt;57,S103+S20*$F$109&gt;0.000000001),MIN($F$109*Inputs!T221,S103+S20*$F$109)+(S103+S20*$F$109)*(T15+Inputs!$F$197/100*0.5*Inputs!$F$196/$F$109),0)</f>
        <v>#VALUE!</v>
      </c>
      <c r="T131" s="11" t="e">
        <f aca="false">IF(AND(Time!T17&gt;=Time!$F$11,Time!T17&lt;57,T103+T20*$F$109&gt;0.000000001),MIN($F$109*Inputs!U221,T103+T20*$F$109)+(T103+T20*$F$109)*(U15+Inputs!$F$197/100*0.5*Inputs!$F$196/$F$109),0)</f>
        <v>#VALUE!</v>
      </c>
      <c r="U131" s="11" t="e">
        <f aca="false">IF(AND(Time!U17&gt;=Time!$F$11,Time!U17&lt;57,U103+U20*$F$109&gt;0.000000001),MIN($F$109*Inputs!V221,U103+U20*$F$109)+(U103+U20*$F$109)*(V15+Inputs!$F$197/100*0.5*Inputs!$F$196/$F$109),0)</f>
        <v>#VALUE!</v>
      </c>
      <c r="V131" s="11" t="e">
        <f aca="false">IF(AND(Time!V17&gt;=Time!$F$11,Time!V17&lt;57,V103+V20*$F$109&gt;0.000000001),MIN($F$109*Inputs!W221,V103+V20*$F$109)+(V103+V20*$F$109)*(W15+Inputs!$F$197/100*0.5*Inputs!$F$196/$F$109),0)</f>
        <v>#VALUE!</v>
      </c>
      <c r="W131" s="11" t="e">
        <f aca="false">IF(AND(Time!W17&gt;=Time!$F$11,Time!W17&lt;57,W103+W20*$F$109&gt;0.000000001),MIN($F$109*Inputs!X221,W103+W20*$F$109)+(W103+W20*$F$109)*(X15+Inputs!$F$197/100*0.5*Inputs!$F$196/$F$109),0)</f>
        <v>#VALUE!</v>
      </c>
      <c r="X131" s="11" t="e">
        <f aca="false">IF(AND(Time!X17&gt;=Time!$F$11,Time!X17&lt;57,X103+X20*$F$109&gt;0.000000001),MIN($F$109*Inputs!Y221,X103+X20*$F$109)+(X103+X20*$F$109)*(Y15+Inputs!$F$197/100*0.5*Inputs!$F$196/$F$109),0)</f>
        <v>#VALUE!</v>
      </c>
      <c r="Y131" s="11" t="e">
        <f aca="false">IF(AND(Time!Y17&gt;=Time!$F$11,Time!Y17&lt;57,Y103+Y20*$F$109&gt;0.000000001),MIN($F$109*Inputs!Z221,Y103+Y20*$F$109)+(Y103+Y20*$F$109)*(Z15+Inputs!$F$197/100*0.5*Inputs!$F$196/$F$109),0)</f>
        <v>#VALUE!</v>
      </c>
      <c r="Z131" s="11" t="e">
        <f aca="false">IF(AND(Time!Z17&gt;=Time!$F$11,Time!Z17&lt;57,Z103+Z20*$F$109&gt;0.000000001),MIN($F$109*Inputs!AA221,Z103+Z20*$F$109)+(Z103+Z20*$F$109)*(AA15+Inputs!$F$197/100*0.5*Inputs!$F$196/$F$109),0)</f>
        <v>#VALUE!</v>
      </c>
      <c r="AA131" s="11" t="e">
        <f aca="false">IF(AND(Time!AA17&gt;=Time!$F$11,Time!AA17&lt;57,AA103+AA20*$F$109&gt;0.000000001),MIN($F$109*Inputs!AB221,AA103+AA20*$F$109)+(AA103+AA20*$F$109)*(AB15+Inputs!$F$197/100*0.5*Inputs!$F$196/$F$109),0)</f>
        <v>#VALUE!</v>
      </c>
      <c r="AB131" s="11" t="e">
        <f aca="false">IF(AND(Time!AB17&gt;=Time!$F$11,Time!AB17&lt;57,AB103+AB20*$F$109&gt;0.000000001),MIN($F$109*Inputs!AC221,AB103+AB20*$F$109)+(AB103+AB20*$F$109)*(AC15+Inputs!$F$197/100*0.5*Inputs!$F$196/$F$109),0)</f>
        <v>#VALUE!</v>
      </c>
      <c r="AC131" s="11" t="e">
        <f aca="false">IF(AND(Time!AC17&gt;=Time!$F$11,Time!AC17&lt;57,AC103+AC20*$F$109&gt;0.000000001),MIN($F$109*Inputs!AD221,AC103+AC20*$F$109)+(AC103+AC20*$F$109)*(AD15+Inputs!$F$197/100*0.5*Inputs!$F$196/$F$109),0)</f>
        <v>#VALUE!</v>
      </c>
      <c r="AD131" s="11" t="e">
        <f aca="false">IF(AND(Time!AD17&gt;=Time!$F$11,Time!AD17&lt;57,AD103+AD20*$F$109&gt;0.000000001),MIN($F$109*Inputs!AE221,AD103+AD20*$F$109)+(AD103+AD20*$F$109)*(AE15+Inputs!$F$197/100*0.5*Inputs!$F$196/$F$109),0)</f>
        <v>#VALUE!</v>
      </c>
      <c r="AE131" s="11" t="e">
        <f aca="false">IF(AND(Time!AE17&gt;=Time!$F$11,Time!AE17&lt;57,AE103+AE20*$F$109&gt;0.000000001),MIN($F$109*Inputs!AF221,AE103+AE20*$F$109)+(AE103+AE20*$F$109)*(AF15+Inputs!$F$197/100*0.5*Inputs!$F$196/$F$109),0)</f>
        <v>#VALUE!</v>
      </c>
      <c r="AF131" s="11" t="e">
        <f aca="false">IF(AND(Time!AF17&gt;=Time!$F$11,Time!AF17&lt;57,AF103+AF20*$F$109&gt;0.000000001),MIN($F$109*Inputs!AG221,AF103+AF20*$F$109)+(AF103+AF20*$F$109)*(AG15+Inputs!$F$197/100*0.5*Inputs!$F$196/$F$109),0)</f>
        <v>#VALUE!</v>
      </c>
      <c r="AG131" s="11" t="e">
        <f aca="false">IF(AND(Time!AG17&gt;=Time!$F$11,Time!AG17&lt;57,AG103+AG20*$F$109&gt;0.000000001),MIN($F$109*Inputs!AH221,AG103+AG20*$F$109)+(AG103+AG20*$F$109)*(AH15+Inputs!$F$197/100*0.5*Inputs!$F$196/$F$109),0)</f>
        <v>#VALUE!</v>
      </c>
      <c r="AH131" s="11" t="e">
        <f aca="false">IF(AND(Time!AH17&gt;=Time!$F$11,Time!AH17&lt;57,AH103+AH20*$F$109&gt;0.000000001),MIN($F$109*Inputs!AI221,AH103+AH20*$F$109)+(AH103+AH20*$F$109)*(AI15+Inputs!$F$197/100*0.5*Inputs!$F$196/$F$109),0)</f>
        <v>#VALUE!</v>
      </c>
      <c r="AI131" s="11" t="e">
        <f aca="false">IF(AND(Time!AI17&gt;=Time!$F$11,Time!AI17&lt;57,AI103+AI20*$F$109&gt;0.000000001),MIN($F$109*Inputs!AJ221,AI103+AI20*$F$109)+(AI103+AI20*$F$109)*(AJ15+Inputs!$F$197/100*0.5*Inputs!$F$196/$F$109),0)</f>
        <v>#VALUE!</v>
      </c>
      <c r="AJ131" s="11" t="e">
        <f aca="false">IF(AND(Time!AJ17&gt;=Time!$F$11,Time!AJ17&lt;57,AJ103+AJ20*$F$109&gt;0.000000001),MIN($F$109*Inputs!AK221,AJ103+AJ20*$F$109)+(AJ103+AJ20*$F$109)*(AK15+Inputs!$F$197/100*0.5*Inputs!$F$196/$F$109),0)</f>
        <v>#VALUE!</v>
      </c>
      <c r="AK131" s="11" t="e">
        <f aca="false">IF(AND(Time!AK17&gt;=Time!$F$11,Time!AK17&lt;57,AK103+AK20*$F$109&gt;0.000000001),MIN($F$109*Inputs!AL221,AK103+AK20*$F$109)+(AK103+AK20*$F$109)*(AL15+Inputs!$F$197/100*0.5*Inputs!$F$196/$F$109),0)</f>
        <v>#VALUE!</v>
      </c>
      <c r="AL131" s="11" t="e">
        <f aca="false">IF(AND(Time!AL17&gt;=Time!$F$11,Time!AL17&lt;57,AL103+AL20*$F$109&gt;0.000000001),MIN($F$109*Inputs!AM221,AL103+AL20*$F$109)+(AL103+AL20*$F$109)*(AM15+Inputs!$F$197/100*0.5*Inputs!$F$196/$F$109),0)</f>
        <v>#VALUE!</v>
      </c>
      <c r="AM131" s="11" t="e">
        <f aca="false">IF(AND(Time!AM17&gt;=Time!$F$11,Time!AM17&lt;57,AM103+AM20*$F$109&gt;0.000000001),MIN($F$109*Inputs!AN221,AM103+AM20*$F$109)+(AM103+AM20*$F$109)*(AN15+Inputs!$F$197/100*0.5*Inputs!$F$196/$F$109),0)</f>
        <v>#VALUE!</v>
      </c>
      <c r="AN131" s="11" t="e">
        <f aca="false">IF(AND(Time!AN17&gt;=Time!$F$11,Time!AN17&lt;57,AN103+AN20*$F$109&gt;0.000000001),MIN($F$109*Inputs!AO221,AN103+AN20*$F$109)+(AN103+AN20*$F$109)*(AO15+Inputs!$F$197/100*0.5*Inputs!$F$196/$F$109),0)</f>
        <v>#VALUE!</v>
      </c>
      <c r="AO131" s="11" t="e">
        <f aca="false">IF(AND(Time!AO17&gt;=Time!$F$11,Time!AO17&lt;57,AO103+AO20*$F$109&gt;0.000000001),MIN($F$109*Inputs!AP221,AO103+AO20*$F$109)+(AO103+AO20*$F$109)*(AP15+Inputs!$F$197/100*0.5*Inputs!$F$196/$F$109),0)</f>
        <v>#VALUE!</v>
      </c>
      <c r="AP131" s="11" t="e">
        <f aca="false">IF(AND(Time!AP17&gt;=Time!$F$11,Time!AP17&lt;57,AP103+AP20*$F$109&gt;0.000000001),MIN($F$109*Inputs!AQ221,AP103+AP20*$F$109)+(AP103+AP20*$F$109)*(AQ15+Inputs!$F$197/100*0.5*Inputs!$F$196/$F$109),0)</f>
        <v>#VALUE!</v>
      </c>
      <c r="AQ131" s="11" t="e">
        <f aca="false">IF(AND(Time!AQ17&gt;=Time!$F$11,Time!AQ17&lt;57,AQ103+AQ20*$F$109&gt;0.000000001),MIN($F$109*Inputs!AR221,AQ103+AQ20*$F$109)+(AQ103+AQ20*$F$109)*(AR15+Inputs!$F$197/100*0.5*Inputs!$F$196/$F$109),0)</f>
        <v>#VALUE!</v>
      </c>
      <c r="AR131" s="11" t="e">
        <f aca="false">IF(AND(Time!AR17&gt;=Time!$F$11,Time!AR17&lt;57,AR103+AR20*$F$109&gt;0.000000001),MIN($F$109*Inputs!AS221,AR103+AR20*$F$109)+(AR103+AR20*$F$109)*(AS15+Inputs!$F$197/100*0.5*Inputs!$F$196/$F$109),0)</f>
        <v>#VALUE!</v>
      </c>
      <c r="AS131" s="11" t="e">
        <f aca="false">IF(AND(Time!AS17&gt;=Time!$F$11,Time!AS17&lt;57,AS103+AS20*$F$109&gt;0.000000001),MIN($F$109*Inputs!AT221,AS103+AS20*$F$109)+(AS103+AS20*$F$109)*(AT15+Inputs!$F$197/100*0.5*Inputs!$F$196/$F$109),0)</f>
        <v>#VALUE!</v>
      </c>
      <c r="AT131" s="11" t="e">
        <f aca="false">IF(AND(Time!AT17&gt;=Time!$F$11,Time!AT17&lt;57,AT103+AT20*$F$109&gt;0.000000001),MIN($F$109*Inputs!AU221,AT103+AT20*$F$109)+(AT103+AT20*$F$109)*(AU15+Inputs!$F$197/100*0.5*Inputs!$F$196/$F$109),0)</f>
        <v>#VALUE!</v>
      </c>
      <c r="AU131" s="11" t="e">
        <f aca="false">IF(AND(Time!AU17&gt;=Time!$F$11,Time!AU17&lt;57,AU103+AU20*$F$109&gt;0.000000001),MIN($F$109*Inputs!AV221,AU103+AU20*$F$109)+(AU103+AU20*$F$109)*(AV15+Inputs!$F$197/100*0.5*Inputs!$F$196/$F$109),0)</f>
        <v>#VALUE!</v>
      </c>
      <c r="AV131" s="11" t="e">
        <f aca="false">IF(AND(Time!AV17&gt;=Time!$F$11,Time!AV17&lt;57,AV103+AV20*$F$109&gt;0.000000001),MIN($F$109*Inputs!AW221,AV103+AV20*$F$109)+(AV103+AV20*$F$109)*(AW15+Inputs!$F$197/100*0.5*Inputs!$F$196/$F$109),0)</f>
        <v>#VALUE!</v>
      </c>
      <c r="AW131" s="11" t="e">
        <f aca="false">IF(AND(Time!AW17&gt;=Time!$F$11,Time!AW17&lt;57,AW103+AW20*$F$109&gt;0.000000001),MIN($F$109*Inputs!AX221,AW103+AW20*$F$109)+(AW103+AW20*$F$109)*(AX15+Inputs!$F$197/100*0.5*Inputs!$F$196/$F$109),0)</f>
        <v>#VALUE!</v>
      </c>
      <c r="AX131" s="11" t="e">
        <f aca="false">IF(AND(Time!AX17&gt;=Time!$F$11,Time!AX17&lt;57,AX103+AX20*$F$109&gt;0.000000001),MIN($F$109*Inputs!AY221,AX103+AX20*$F$109)+(AX103+AX20*$F$109)*(AY15+Inputs!$F$197/100*0.5*Inputs!$F$196/$F$109),0)</f>
        <v>#VALUE!</v>
      </c>
      <c r="AY131" s="11" t="e">
        <f aca="false">IF(AND(Time!AY17&gt;=Time!$F$11,Time!AY17&lt;57,AY103+AY20*$F$109&gt;0.000000001),MIN($F$109*Inputs!AZ221,AY103+AY20*$F$109)+(AY103+AY20*$F$109)*(AZ15+Inputs!$F$197/100*0.5*Inputs!$F$196/$F$109),0)</f>
        <v>#VALUE!</v>
      </c>
      <c r="AZ131" s="11" t="e">
        <f aca="false">IF(AND(Time!AZ17&gt;=Time!$F$11,Time!AZ17&lt;57,AZ103+AZ20*$F$109&gt;0.000000001),MIN($F$109*Inputs!BA221,AZ103+AZ20*$F$109)+(AZ103+AZ20*$F$109)*(BA15+Inputs!$F$197/100*0.5*Inputs!$F$196/$F$109),0)</f>
        <v>#VALUE!</v>
      </c>
      <c r="BA131" s="11" t="e">
        <f aca="false">IF(AND(Time!BA17&gt;=Time!$F$11,Time!BA17&lt;57,BA103+BA20*$F$109&gt;0.000000001),MIN($F$109*Inputs!BB221,BA103+BA20*$F$109)+(BA103+BA20*$F$109)*(BB15+Inputs!$F$197/100*0.5*Inputs!$F$196/$F$109),0)</f>
        <v>#VALUE!</v>
      </c>
      <c r="BB131" s="11" t="e">
        <f aca="false">IF(AND(Time!BB17&gt;=Time!$F$11,Time!BB17&lt;57,BB103+BB20*$F$109&gt;0.000000001),MIN($F$109*Inputs!BC221,BB103+BB20*$F$109)+(BB103+BB20*$F$109)*(BC15+Inputs!$F$197/100*0.5*Inputs!$F$196/$F$109),0)</f>
        <v>#VALUE!</v>
      </c>
      <c r="BC131" s="11" t="e">
        <f aca="false">IF(AND(Time!BC17&gt;=Time!$F$11,Time!BC17&lt;57,BC103+BC20*$F$109&gt;0.000000001),MIN($F$109*Inputs!BD221,BC103+BC20*$F$109)+(BC103+BC20*$F$109)*(BD15+Inputs!$F$197/100*0.5*Inputs!$F$196/$F$109),0)</f>
        <v>#VALUE!</v>
      </c>
      <c r="BD131" s="11" t="e">
        <f aca="false">IF(AND(Time!BD17&gt;=Time!$F$11,Time!BD17&lt;57,BD103+BD20*$F$109&gt;0.000000001),MIN($F$109*Inputs!BE221,BD103+BD20*$F$109)+(BD103+BD20*$F$109)*(BE15+Inputs!$F$197/100*0.5*Inputs!$F$196/$F$109),0)</f>
        <v>#VALUE!</v>
      </c>
      <c r="BE131" s="11" t="e">
        <f aca="false">IF(AND(Time!BE17&gt;=Time!$F$11,Time!BE17&lt;57,BE103+BE20*$F$109&gt;0.000000001),MIN($F$109*Inputs!BF221,BE103+BE20*$F$109)+(BE103+BE20*$F$109)*(BF15+Inputs!$F$197/100*0.5*Inputs!$F$196/$F$109),0)</f>
        <v>#VALUE!</v>
      </c>
      <c r="BF131" s="11" t="e">
        <f aca="false">IF(AND(Time!BF17&gt;=Time!$F$11,Time!BF17&lt;57,BF103+BF20*$F$109&gt;0.000000001),MIN($F$109*Inputs!BG221,BF103+BF20*$F$109)+(BF103+BF20*$F$109)*(BG15+Inputs!$F$197/100*0.5*Inputs!$F$196/$F$109),0)</f>
        <v>#VALUE!</v>
      </c>
      <c r="BG131" s="11" t="e">
        <f aca="false">IF(AND(Time!BG17&gt;=Time!$F$11,Time!BG17&lt;57,BG103+BG20*$F$109&gt;0.000000001),MIN($F$109*Inputs!BH221,BG103+BG20*$F$109)+(BG103+BG20*$F$109)*(BH15+Inputs!$F$197/100*0.5*Inputs!$F$196/$F$109),0)</f>
        <v>#VALUE!</v>
      </c>
      <c r="BH131" s="11" t="e">
        <f aca="false">IF(AND(Time!BH17&gt;=Time!$F$11,Time!BH17&lt;57,BH103+BH20*$F$109&gt;0.000000001),MIN($F$109*Inputs!BI221,BH103+BH20*$F$109)+(BH103+BH20*$F$109)*(BI15+Inputs!$F$197/100*0.5*Inputs!$F$196/$F$109),0)</f>
        <v>#VALUE!</v>
      </c>
      <c r="BI131" s="11" t="e">
        <f aca="false">IF(AND(Time!BI17&gt;=Time!$F$11,Time!BI17&lt;57,BI103+BI20*$F$109&gt;0.000000001),MIN($F$109*Inputs!BJ221,BI103+BI20*$F$109)+(BI103+BI20*$F$109)*(BJ15+Inputs!$F$197/100*0.5*Inputs!$F$196/$F$109),0)</f>
        <v>#VALUE!</v>
      </c>
      <c r="BJ131" s="11" t="e">
        <f aca="false">IF(AND(Time!BJ17&gt;=Time!$F$11,Time!BJ17&lt;57,BJ103+BJ20*$F$109&gt;0.000000001),MIN($F$109*Inputs!BK221,BJ103+BJ20*$F$109)+(BJ103+BJ20*$F$109)*(BK15+Inputs!$F$197/100*0.5*Inputs!$F$196/$F$109),0)</f>
        <v>#VALUE!</v>
      </c>
      <c r="BK131" s="11" t="e">
        <f aca="false">IF(AND(Time!BK17&gt;=Time!$F$11,Time!BK17&lt;57,BK103+BK20*$F$109&gt;0.000000001),MIN($F$109*Inputs!BL221,BK103+BK20*$F$109)+(BK103+BK20*$F$109)*(BL15+Inputs!$F$197/100*0.5*Inputs!$F$196/$F$109),0)</f>
        <v>#VALUE!</v>
      </c>
      <c r="BL131" s="11" t="e">
        <f aca="false">IF(AND(Time!BL17&gt;=Time!$F$11,Time!BL17&lt;57,BL103+BL20*$F$109&gt;0.000000001),MIN($F$109*Inputs!BM221,BL103+BL20*$F$109)+(BL103+BL20*$F$109)*(BM15+Inputs!$F$197/100*0.5*Inputs!$F$196/$F$109),0)</f>
        <v>#VALUE!</v>
      </c>
      <c r="BM131" s="11" t="e">
        <f aca="false">IF(AND(Time!BM17&gt;=Time!$F$11,Time!BM17&lt;57,BM103+BM20*$F$109&gt;0.000000001),MIN($F$109*Inputs!BN221,BM103+BM20*$F$109)+(BM103+BM20*$F$109)*(BN15+Inputs!$F$197/100*0.5*Inputs!$F$196/$F$109),0)</f>
        <v>#VALUE!</v>
      </c>
      <c r="BN131" s="11" t="e">
        <f aca="false">IF(AND(Time!BN17&gt;=Time!$F$11,Time!BN17&lt;57,BN103+BN20*$F$109&gt;0.000000001),MIN($F$109*0,BN103+BN20*$F$109)+(BN103+BN20*$F$109)*(0+Inputs!$F$197/100*0.5*Inputs!$F$196/$F$109),0)</f>
        <v>#VALUE!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e">
        <f aca="false">IF(AND(Time!O17&gt;=Time!$F$11,Time!O17&lt;57),O126+O127+O128+O129+O130+O131+Inputs!P222*P113*(Inputs!$F$95/100*0.5-Operations!P9/100*Time!P20/360)+(Inputs!$F$93/100*Inputs!$F$94/100)*O125*Time!P20/365,0)</f>
        <v>#VALUE!</v>
      </c>
      <c r="P132" s="11" t="e">
        <f aca="false">IF(AND(Time!P17&gt;=Time!$F$11,Time!P17&lt;57),P126+P127+P128+P129+P130+P131+Inputs!Q222*Q113*(Inputs!$F$95/100*0.5-Operations!Q9/100*Time!Q20/360)+(Inputs!$F$93/100*Inputs!$F$94/100)*P125*Time!Q20/365,0)</f>
        <v>#VALUE!</v>
      </c>
      <c r="Q132" s="11" t="e">
        <f aca="false">IF(AND(Time!Q17&gt;=Time!$F$11,Time!Q17&lt;57),Q126+Q127+Q128+Q129+Q130+Q131+Inputs!R222*R113*(Inputs!$F$95/100*0.5-Operations!R9/100*Time!R20/360)+(Inputs!$F$93/100*Inputs!$F$94/100)*Q125*Time!R20/365,0)</f>
        <v>#VALUE!</v>
      </c>
      <c r="R132" s="11" t="e">
        <f aca="false">IF(AND(Time!R17&gt;=Time!$F$11,Time!R17&lt;57),R126+R127+R128+R129+R130+R131+Inputs!S222*S113*(Inputs!$F$95/100*0.5-Operations!S9/100*Time!S20/360)+(Inputs!$F$93/100*Inputs!$F$94/100)*R125*Time!S20/365,0)</f>
        <v>#VALUE!</v>
      </c>
      <c r="S132" s="11" t="e">
        <f aca="false">IF(AND(Time!S17&gt;=Time!$F$11,Time!S17&lt;57),S126+S127+S128+S129+S130+S131+Inputs!T222*T113*(Inputs!$F$95/100*0.5-Operations!T9/100*Time!T20/360)+(Inputs!$F$93/100*Inputs!$F$94/100)*S125*Time!T20/365,0)</f>
        <v>#VALUE!</v>
      </c>
      <c r="T132" s="11" t="e">
        <f aca="false">IF(AND(Time!T17&gt;=Time!$F$11,Time!T17&lt;57),T126+T127+T128+T129+T130+T131+Inputs!U222*U113*(Inputs!$F$95/100*0.5-Operations!U9/100*Time!U20/360)+(Inputs!$F$93/100*Inputs!$F$94/100)*T125*Time!U20/365,0)</f>
        <v>#VALUE!</v>
      </c>
      <c r="U132" s="11" t="e">
        <f aca="false">IF(AND(Time!U17&gt;=Time!$F$11,Time!U17&lt;57),U126+U127+U128+U129+U130+U131+Inputs!V222*V113*(Inputs!$F$95/100*0.5-Operations!V9/100*Time!V20/360)+(Inputs!$F$93/100*Inputs!$F$94/100)*U125*Time!V20/365,0)</f>
        <v>#VALUE!</v>
      </c>
      <c r="V132" s="11" t="e">
        <f aca="false">IF(AND(Time!V17&gt;=Time!$F$11,Time!V17&lt;57),V126+V127+V128+V129+V130+V131+Inputs!W222*W113*(Inputs!$F$95/100*0.5-Operations!W9/100*Time!W20/360)+(Inputs!$F$93/100*Inputs!$F$94/100)*V125*Time!W20/365,0)</f>
        <v>#VALUE!</v>
      </c>
      <c r="W132" s="11" t="e">
        <f aca="false">IF(AND(Time!W17&gt;=Time!$F$11,Time!W17&lt;57),W126+W127+W128+W129+W130+W131+Inputs!X222*X113*(Inputs!$F$95/100*0.5-Operations!X9/100*Time!X20/360)+(Inputs!$F$93/100*Inputs!$F$94/100)*W125*Time!X20/365,0)</f>
        <v>#VALUE!</v>
      </c>
      <c r="X132" s="11" t="e">
        <f aca="false">IF(AND(Time!X17&gt;=Time!$F$11,Time!X17&lt;57),X126+X127+X128+X129+X130+X131+Inputs!Y222*Y113*(Inputs!$F$95/100*0.5-Operations!Y9/100*Time!Y20/360)+(Inputs!$F$93/100*Inputs!$F$94/100)*X125*Time!Y20/365,0)</f>
        <v>#VALUE!</v>
      </c>
      <c r="Y132" s="11" t="e">
        <f aca="false">IF(AND(Time!Y17&gt;=Time!$F$11,Time!Y17&lt;57),Y126+Y127+Y128+Y129+Y130+Y131+Inputs!Z222*Z113*(Inputs!$F$95/100*0.5-Operations!Z9/100*Time!Z20/360)+(Inputs!$F$93/100*Inputs!$F$94/100)*Y125*Time!Z20/365,0)</f>
        <v>#VALUE!</v>
      </c>
      <c r="Z132" s="11" t="e">
        <f aca="false">IF(AND(Time!Z17&gt;=Time!$F$11,Time!Z17&lt;57),Z126+Z127+Z128+Z129+Z130+Z131+Inputs!AA222*AA113*(Inputs!$F$95/100*0.5-Operations!AA9/100*Time!AA20/360)+(Inputs!$F$93/100*Inputs!$F$94/100)*Z125*Time!AA20/365,0)</f>
        <v>#VALUE!</v>
      </c>
      <c r="AA132" s="11" t="e">
        <f aca="false">IF(AND(Time!AA17&gt;=Time!$F$11,Time!AA17&lt;57),AA126+AA127+AA128+AA129+AA130+AA131+Inputs!AB222*AB113*(Inputs!$F$95/100*0.5-Operations!AB9/100*Time!AB20/360)+(Inputs!$F$93/100*Inputs!$F$94/100)*AA125*Time!AB20/365,0)</f>
        <v>#VALUE!</v>
      </c>
      <c r="AB132" s="11" t="e">
        <f aca="false">IF(AND(Time!AB17&gt;=Time!$F$11,Time!AB17&lt;57),AB126+AB127+AB128+AB129+AB130+AB131+Inputs!AC222*AC113*(Inputs!$F$95/100*0.5-Operations!AC9/100*Time!AC20/360)+(Inputs!$F$93/100*Inputs!$F$94/100)*AB125*Time!AC20/365,0)</f>
        <v>#VALUE!</v>
      </c>
      <c r="AC132" s="11" t="e">
        <f aca="false">IF(AND(Time!AC17&gt;=Time!$F$11,Time!AC17&lt;57),AC126+AC127+AC128+AC129+AC130+AC131+Inputs!AD222*AD113*(Inputs!$F$95/100*0.5-Operations!AD9/100*Time!AD20/360)+(Inputs!$F$93/100*Inputs!$F$94/100)*AC125*Time!AD20/365,0)</f>
        <v>#VALUE!</v>
      </c>
      <c r="AD132" s="11" t="e">
        <f aca="false">IF(AND(Time!AD17&gt;=Time!$F$11,Time!AD17&lt;57),AD126+AD127+AD128+AD129+AD130+AD131+Inputs!AE222*AE113*(Inputs!$F$95/100*0.5-Operations!AE9/100*Time!AE20/360)+(Inputs!$F$93/100*Inputs!$F$94/100)*AD125*Time!AE20/365,0)</f>
        <v>#VALUE!</v>
      </c>
      <c r="AE132" s="11" t="e">
        <f aca="false">IF(AND(Time!AE17&gt;=Time!$F$11,Time!AE17&lt;57),AE126+AE127+AE128+AE129+AE130+AE131+Inputs!AF222*AF113*(Inputs!$F$95/100*0.5-Operations!AF9/100*Time!AF20/360)+(Inputs!$F$93/100*Inputs!$F$94/100)*AE125*Time!AF20/365,0)</f>
        <v>#VALUE!</v>
      </c>
      <c r="AF132" s="11" t="e">
        <f aca="false">IF(AND(Time!AF17&gt;=Time!$F$11,Time!AF17&lt;57),AF126+AF127+AF128+AF129+AF130+AF131+Inputs!AG222*AG113*(Inputs!$F$95/100*0.5-Operations!AG9/100*Time!AG20/360)+(Inputs!$F$93/100*Inputs!$F$94/100)*AF125*Time!AG20/365,0)</f>
        <v>#VALUE!</v>
      </c>
      <c r="AG132" s="11" t="e">
        <f aca="false">IF(AND(Time!AG17&gt;=Time!$F$11,Time!AG17&lt;57),AG126+AG127+AG128+AG129+AG130+AG131+Inputs!AH222*AH113*(Inputs!$F$95/100*0.5-Operations!AH9/100*Time!AH20/360)+(Inputs!$F$93/100*Inputs!$F$94/100)*AG125*Time!AH20/365,0)</f>
        <v>#VALUE!</v>
      </c>
      <c r="AH132" s="11" t="e">
        <f aca="false">IF(AND(Time!AH17&gt;=Time!$F$11,Time!AH17&lt;57),AH126+AH127+AH128+AH129+AH130+AH131+Inputs!AI222*AI113*(Inputs!$F$95/100*0.5-Operations!AI9/100*Time!AI20/360)+(Inputs!$F$93/100*Inputs!$F$94/100)*AH125*Time!AI20/365,0)</f>
        <v>#VALUE!</v>
      </c>
      <c r="AI132" s="11" t="e">
        <f aca="false">IF(AND(Time!AI17&gt;=Time!$F$11,Time!AI17&lt;57),AI126+AI127+AI128+AI129+AI130+AI131+Inputs!AJ222*AJ113*(Inputs!$F$95/100*0.5-Operations!AJ9/100*Time!AJ20/360)+(Inputs!$F$93/100*Inputs!$F$94/100)*AI125*Time!AJ20/365,0)</f>
        <v>#VALUE!</v>
      </c>
      <c r="AJ132" s="11" t="e">
        <f aca="false">IF(AND(Time!AJ17&gt;=Time!$F$11,Time!AJ17&lt;57),AJ126+AJ127+AJ128+AJ129+AJ130+AJ131+Inputs!AK222*AK113*(Inputs!$F$95/100*0.5-Operations!AK9/100*Time!AK20/360)+(Inputs!$F$93/100*Inputs!$F$94/100)*AJ125*Time!AK20/365,0)</f>
        <v>#VALUE!</v>
      </c>
      <c r="AK132" s="11" t="e">
        <f aca="false">IF(AND(Time!AK17&gt;=Time!$F$11,Time!AK17&lt;57),AK126+AK127+AK128+AK129+AK130+AK131+Inputs!AL222*AL113*(Inputs!$F$95/100*0.5-Operations!AL9/100*Time!AL20/360)+(Inputs!$F$93/100*Inputs!$F$94/100)*AK125*Time!AL20/365,0)</f>
        <v>#VALUE!</v>
      </c>
      <c r="AL132" s="11" t="e">
        <f aca="false">IF(AND(Time!AL17&gt;=Time!$F$11,Time!AL17&lt;57),AL126+AL127+AL128+AL129+AL130+AL131+Inputs!AM222*AM113*(Inputs!$F$95/100*0.5-Operations!AM9/100*Time!AM20/360)+(Inputs!$F$93/100*Inputs!$F$94/100)*AL125*Time!AM20/365,0)</f>
        <v>#VALUE!</v>
      </c>
      <c r="AM132" s="11" t="e">
        <f aca="false">IF(AND(Time!AM17&gt;=Time!$F$11,Time!AM17&lt;57),AM126+AM127+AM128+AM129+AM130+AM131+Inputs!AN222*AN113*(Inputs!$F$95/100*0.5-Operations!AN9/100*Time!AN20/360)+(Inputs!$F$93/100*Inputs!$F$94/100)*AM125*Time!AN20/365,0)</f>
        <v>#VALUE!</v>
      </c>
      <c r="AN132" s="11" t="e">
        <f aca="false">IF(AND(Time!AN17&gt;=Time!$F$11,Time!AN17&lt;57),AN126+AN127+AN128+AN129+AN130+AN131+Inputs!AO222*AO113*(Inputs!$F$95/100*0.5-Operations!AO9/100*Time!AO20/360)+(Inputs!$F$93/100*Inputs!$F$94/100)*AN125*Time!AO20/365,0)</f>
        <v>#VALUE!</v>
      </c>
      <c r="AO132" s="11" t="e">
        <f aca="false">IF(AND(Time!AO17&gt;=Time!$F$11,Time!AO17&lt;57),AO126+AO127+AO128+AO129+AO130+AO131+Inputs!AP222*AP113*(Inputs!$F$95/100*0.5-Operations!AP9/100*Time!AP20/360)+(Inputs!$F$93/100*Inputs!$F$94/100)*AO125*Time!AP20/365,0)</f>
        <v>#VALUE!</v>
      </c>
      <c r="AP132" s="11" t="e">
        <f aca="false">IF(AND(Time!AP17&gt;=Time!$F$11,Time!AP17&lt;57),AP126+AP127+AP128+AP129+AP130+AP131+Inputs!AQ222*AQ113*(Inputs!$F$95/100*0.5-Operations!AQ9/100*Time!AQ20/360)+(Inputs!$F$93/100*Inputs!$F$94/100)*AP125*Time!AQ20/365,0)</f>
        <v>#VALUE!</v>
      </c>
      <c r="AQ132" s="11" t="e">
        <f aca="false">IF(AND(Time!AQ17&gt;=Time!$F$11,Time!AQ17&lt;57),AQ126+AQ127+AQ128+AQ129+AQ130+AQ131+Inputs!AR222*AR113*(Inputs!$F$95/100*0.5-Operations!AR9/100*Time!AR20/360)+(Inputs!$F$93/100*Inputs!$F$94/100)*AQ125*Time!AR20/365,0)</f>
        <v>#VALUE!</v>
      </c>
      <c r="AR132" s="11" t="e">
        <f aca="false">IF(AND(Time!AR17&gt;=Time!$F$11,Time!AR17&lt;57),AR126+AR127+AR128+AR129+AR130+AR131+Inputs!AS222*AS113*(Inputs!$F$95/100*0.5-Operations!AS9/100*Time!AS20/360)+(Inputs!$F$93/100*Inputs!$F$94/100)*AR125*Time!AS20/365,0)</f>
        <v>#VALUE!</v>
      </c>
      <c r="AS132" s="11" t="e">
        <f aca="false">IF(AND(Time!AS17&gt;=Time!$F$11,Time!AS17&lt;57),AS126+AS127+AS128+AS129+AS130+AS131+Inputs!AT222*AT113*(Inputs!$F$95/100*0.5-Operations!AT9/100*Time!AT20/360)+(Inputs!$F$93/100*Inputs!$F$94/100)*AS125*Time!AT20/365,0)</f>
        <v>#VALUE!</v>
      </c>
      <c r="AT132" s="11" t="e">
        <f aca="false">IF(AND(Time!AT17&gt;=Time!$F$11,Time!AT17&lt;57),AT126+AT127+AT128+AT129+AT130+AT131+Inputs!AU222*AU113*(Inputs!$F$95/100*0.5-Operations!AU9/100*Time!AU20/360)+(Inputs!$F$93/100*Inputs!$F$94/100)*AT125*Time!AU20/365,0)</f>
        <v>#VALUE!</v>
      </c>
      <c r="AU132" s="11" t="e">
        <f aca="false">IF(AND(Time!AU17&gt;=Time!$F$11,Time!AU17&lt;57),AU126+AU127+AU128+AU129+AU130+AU131+Inputs!AV222*AV113*(Inputs!$F$95/100*0.5-Operations!AV9/100*Time!AV20/360)+(Inputs!$F$93/100*Inputs!$F$94/100)*AU125*Time!AV20/365,0)</f>
        <v>#VALUE!</v>
      </c>
      <c r="AV132" s="11" t="e">
        <f aca="false">IF(AND(Time!AV17&gt;=Time!$F$11,Time!AV17&lt;57),AV126+AV127+AV128+AV129+AV130+AV131+Inputs!AW222*AW113*(Inputs!$F$95/100*0.5-Operations!AW9/100*Time!AW20/360)+(Inputs!$F$93/100*Inputs!$F$94/100)*AV125*Time!AW20/365,0)</f>
        <v>#VALUE!</v>
      </c>
      <c r="AW132" s="11" t="e">
        <f aca="false">IF(AND(Time!AW17&gt;=Time!$F$11,Time!AW17&lt;57),AW126+AW127+AW128+AW129+AW130+AW131+Inputs!AX222*AX113*(Inputs!$F$95/100*0.5-Operations!AX9/100*Time!AX20/360)+(Inputs!$F$93/100*Inputs!$F$94/100)*AW125*Time!AX20/365,0)</f>
        <v>#VALUE!</v>
      </c>
      <c r="AX132" s="11" t="e">
        <f aca="false">IF(AND(Time!AX17&gt;=Time!$F$11,Time!AX17&lt;57),AX126+AX127+AX128+AX129+AX130+AX131+Inputs!AY222*AY113*(Inputs!$F$95/100*0.5-Operations!AY9/100*Time!AY20/360)+(Inputs!$F$93/100*Inputs!$F$94/100)*AX125*Time!AY20/365,0)</f>
        <v>#VALUE!</v>
      </c>
      <c r="AY132" s="11" t="e">
        <f aca="false">IF(AND(Time!AY17&gt;=Time!$F$11,Time!AY17&lt;57),AY126+AY127+AY128+AY129+AY130+AY131+Inputs!AZ222*AZ113*(Inputs!$F$95/100*0.5-Operations!AZ9/100*Time!AZ20/360)+(Inputs!$F$93/100*Inputs!$F$94/100)*AY125*Time!AZ20/365,0)</f>
        <v>#VALUE!</v>
      </c>
      <c r="AZ132" s="11" t="e">
        <f aca="false">IF(AND(Time!AZ17&gt;=Time!$F$11,Time!AZ17&lt;57),AZ126+AZ127+AZ128+AZ129+AZ130+AZ131+Inputs!BA222*BA113*(Inputs!$F$95/100*0.5-Operations!BA9/100*Time!BA20/360)+(Inputs!$F$93/100*Inputs!$F$94/100)*AZ125*Time!BA20/365,0)</f>
        <v>#VALUE!</v>
      </c>
      <c r="BA132" s="11" t="e">
        <f aca="false">IF(AND(Time!BA17&gt;=Time!$F$11,Time!BA17&lt;57),BA126+BA127+BA128+BA129+BA130+BA131+Inputs!BB222*BB113*(Inputs!$F$95/100*0.5-Operations!BB9/100*Time!BB20/360)+(Inputs!$F$93/100*Inputs!$F$94/100)*BA125*Time!BB20/365,0)</f>
        <v>#VALUE!</v>
      </c>
      <c r="BB132" s="11" t="e">
        <f aca="false">IF(AND(Time!BB17&gt;=Time!$F$11,Time!BB17&lt;57),BB126+BB127+BB128+BB129+BB130+BB131+Inputs!BC222*BC113*(Inputs!$F$95/100*0.5-Operations!BC9/100*Time!BC20/360)+(Inputs!$F$93/100*Inputs!$F$94/100)*BB125*Time!BC20/365,0)</f>
        <v>#VALUE!</v>
      </c>
      <c r="BC132" s="11" t="e">
        <f aca="false">IF(AND(Time!BC17&gt;=Time!$F$11,Time!BC17&lt;57),BC126+BC127+BC128+BC129+BC130+BC131+Inputs!BD222*BD113*(Inputs!$F$95/100*0.5-Operations!BD9/100*Time!BD20/360)+(Inputs!$F$93/100*Inputs!$F$94/100)*BC125*Time!BD20/365,0)</f>
        <v>#VALUE!</v>
      </c>
      <c r="BD132" s="11" t="e">
        <f aca="false">IF(AND(Time!BD17&gt;=Time!$F$11,Time!BD17&lt;57),BD126+BD127+BD128+BD129+BD130+BD131+Inputs!BE222*BE113*(Inputs!$F$95/100*0.5-Operations!BE9/100*Time!BE20/360)+(Inputs!$F$93/100*Inputs!$F$94/100)*BD125*Time!BE20/365,0)</f>
        <v>#VALUE!</v>
      </c>
      <c r="BE132" s="11" t="e">
        <f aca="false">IF(AND(Time!BE17&gt;=Time!$F$11,Time!BE17&lt;57),BE126+BE127+BE128+BE129+BE130+BE131+Inputs!BF222*BF113*(Inputs!$F$95/100*0.5-Operations!BF9/100*Time!BF20/360)+(Inputs!$F$93/100*Inputs!$F$94/100)*BE125*Time!BF20/365,0)</f>
        <v>#VALUE!</v>
      </c>
      <c r="BF132" s="11" t="e">
        <f aca="false">IF(AND(Time!BF17&gt;=Time!$F$11,Time!BF17&lt;57),BF126+BF127+BF128+BF129+BF130+BF131+Inputs!BG222*BG113*(Inputs!$F$95/100*0.5-Operations!BG9/100*Time!BG20/360)+(Inputs!$F$93/100*Inputs!$F$94/100)*BF125*Time!BG20/365,0)</f>
        <v>#VALUE!</v>
      </c>
      <c r="BG132" s="11" t="e">
        <f aca="false">IF(AND(Time!BG17&gt;=Time!$F$11,Time!BG17&lt;57),BG126+BG127+BG128+BG129+BG130+BG131+Inputs!BH222*BH113*(Inputs!$F$95/100*0.5-Operations!BH9/100*Time!BH20/360)+(Inputs!$F$93/100*Inputs!$F$94/100)*BG125*Time!BH20/365,0)</f>
        <v>#VALUE!</v>
      </c>
      <c r="BH132" s="11" t="e">
        <f aca="false">IF(AND(Time!BH17&gt;=Time!$F$11,Time!BH17&lt;57),BH126+BH127+BH128+BH129+BH130+BH131+Inputs!BI222*BI113*(Inputs!$F$95/100*0.5-Operations!BI9/100*Time!BI20/360)+(Inputs!$F$93/100*Inputs!$F$94/100)*BH125*Time!BI20/365,0)</f>
        <v>#VALUE!</v>
      </c>
      <c r="BI132" s="11" t="e">
        <f aca="false">IF(AND(Time!BI17&gt;=Time!$F$11,Time!BI17&lt;57),BI126+BI127+BI128+BI129+BI130+BI131+Inputs!BJ222*BJ113*(Inputs!$F$95/100*0.5-Operations!BJ9/100*Time!BJ20/360)+(Inputs!$F$93/100*Inputs!$F$94/100)*BI125*Time!BJ20/365,0)</f>
        <v>#VALUE!</v>
      </c>
      <c r="BJ132" s="11" t="e">
        <f aca="false">IF(AND(Time!BJ17&gt;=Time!$F$11,Time!BJ17&lt;57),BJ126+BJ127+BJ128+BJ129+BJ130+BJ131+Inputs!BK222*BK113*(Inputs!$F$95/100*0.5-Operations!BK9/100*Time!BK20/360)+(Inputs!$F$93/100*Inputs!$F$94/100)*BJ125*Time!BK20/365,0)</f>
        <v>#VALUE!</v>
      </c>
      <c r="BK132" s="11" t="e">
        <f aca="false">IF(AND(Time!BK17&gt;=Time!$F$11,Time!BK17&lt;57),BK126+BK127+BK128+BK129+BK130+BK131+Inputs!BL222*BL113*(Inputs!$F$95/100*0.5-Operations!BL9/100*Time!BL20/360)+(Inputs!$F$93/100*Inputs!$F$94/100)*BK125*Time!BL20/365,0)</f>
        <v>#VALUE!</v>
      </c>
      <c r="BL132" s="11" t="e">
        <f aca="false">IF(AND(Time!BL17&gt;=Time!$F$11,Time!BL17&lt;57),BL126+BL127+BL128+BL129+BL130+BL131+Inputs!BM222*BM113*(Inputs!$F$95/100*0.5-Operations!BM9/100*Time!BM20/360)+(Inputs!$F$93/100*Inputs!$F$94/100)*BL125*Time!BM20/365,0)</f>
        <v>#VALUE!</v>
      </c>
      <c r="BM132" s="11" t="e">
        <f aca="false">IF(AND(Time!BM17&gt;=Time!$F$11,Time!BM17&lt;57),BM126+BM127+BM128+BM129+BM130+BM131+Inputs!BN222*BN113*(Inputs!$F$95/100*0.5-Operations!BN9/100*Time!BN20/360)+(Inputs!$F$93/100*Inputs!$F$94/100)*BM125*Time!BN20/365,0)</f>
        <v>#VALUE!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e">
        <f aca="false">IF(P134=1,(Waterfall!P7+Q136)/(1+P135),0)</f>
        <v>#VALUE!</v>
      </c>
      <c r="Q136" s="11" t="e">
        <f aca="false">IF(Q134=1,(Waterfall!Q7+R136)/(1+Q135),0)</f>
        <v>#VALUE!</v>
      </c>
      <c r="R136" s="11" t="e">
        <f aca="false">IF(R134=1,(Waterfall!R7+S136)/(1+R135),0)</f>
        <v>#VALUE!</v>
      </c>
      <c r="S136" s="11" t="e">
        <f aca="false">IF(S134=1,(Waterfall!S7+T136)/(1+S135),0)</f>
        <v>#VALUE!</v>
      </c>
      <c r="T136" s="11" t="e">
        <f aca="false">IF(T134=1,(Waterfall!T7+U136)/(1+T135),0)</f>
        <v>#VALUE!</v>
      </c>
      <c r="U136" s="11" t="e">
        <f aca="false">IF(U134=1,(Waterfall!U7+V136)/(1+U135),0)</f>
        <v>#VALUE!</v>
      </c>
      <c r="V136" s="11" t="e">
        <f aca="false">IF(V134=1,(Waterfall!V7+W136)/(1+V135),0)</f>
        <v>#VALUE!</v>
      </c>
      <c r="W136" s="11" t="e">
        <f aca="false">IF(W134=1,(Waterfall!W7+X136)/(1+W135),0)</f>
        <v>#VALUE!</v>
      </c>
      <c r="X136" s="11" t="e">
        <f aca="false">IF(X134=1,(Waterfall!X7+Y136)/(1+X135),0)</f>
        <v>#VALUE!</v>
      </c>
      <c r="Y136" s="11" t="e">
        <f aca="false">IF(Y134=1,(Waterfall!Y7+Z136)/(1+Y135),0)</f>
        <v>#VALUE!</v>
      </c>
      <c r="Z136" s="11" t="e">
        <f aca="false">IF(Z134=1,(Waterfall!Z7+AA136)/(1+Z135),0)</f>
        <v>#VALUE!</v>
      </c>
      <c r="AA136" s="11" t="e">
        <f aca="false">IF(AA134=1,(Waterfall!AA7+AB136)/(1+AA135),0)</f>
        <v>#VALUE!</v>
      </c>
      <c r="AB136" s="11" t="e">
        <f aca="false">IF(AB134=1,(Waterfall!AB7+AC136)/(1+AB135),0)</f>
        <v>#VALUE!</v>
      </c>
      <c r="AC136" s="11" t="e">
        <f aca="false">IF(AC134=1,(Waterfall!AC7+AD136)/(1+AC135),0)</f>
        <v>#VALUE!</v>
      </c>
      <c r="AD136" s="11" t="e">
        <f aca="false">IF(AD134=1,(Waterfall!AD7+AE136)/(1+AD135),0)</f>
        <v>#VALUE!</v>
      </c>
      <c r="AE136" s="11" t="e">
        <f aca="false">IF(AE134=1,(Waterfall!AE7+AF136)/(1+AE135),0)</f>
        <v>#VALUE!</v>
      </c>
      <c r="AF136" s="11" t="e">
        <f aca="false">IF(AF134=1,(Waterfall!AF7+AG136)/(1+AF135),0)</f>
        <v>#VALUE!</v>
      </c>
      <c r="AG136" s="11" t="e">
        <f aca="false">IF(AG134=1,(Waterfall!AG7+AH136)/(1+AG135),0)</f>
        <v>#VALUE!</v>
      </c>
      <c r="AH136" s="11" t="e">
        <f aca="false">IF(AH134=1,(Waterfall!AH7+AI136)/(1+AH135),0)</f>
        <v>#VALUE!</v>
      </c>
      <c r="AI136" s="11" t="e">
        <f aca="false">IF(AI134=1,(Waterfall!AI7+AJ136)/(1+AI135),0)</f>
        <v>#VALUE!</v>
      </c>
      <c r="AJ136" s="11" t="e">
        <f aca="false">IF(AJ134=1,(Waterfall!AJ7+AK136)/(1+AJ135),0)</f>
        <v>#VALUE!</v>
      </c>
      <c r="AK136" s="11" t="e">
        <f aca="false">IF(AK134=1,(Waterfall!AK7+AL136)/(1+AK135),0)</f>
        <v>#VALUE!</v>
      </c>
      <c r="AL136" s="11" t="e">
        <f aca="false">IF(AL134=1,(Waterfall!AL7+AM136)/(1+AL135),0)</f>
        <v>#VALUE!</v>
      </c>
      <c r="AM136" s="11" t="e">
        <f aca="false">IF(AM134=1,(Waterfall!AM7+AN136)/(1+AM135),0)</f>
        <v>#VALUE!</v>
      </c>
      <c r="AN136" s="11" t="e">
        <f aca="false">IF(AN134=1,(Waterfall!AN7+AO136)/(1+AN135),0)</f>
        <v>#VALUE!</v>
      </c>
      <c r="AO136" s="11" t="e">
        <f aca="false">IF(AO134=1,(Waterfall!AO7+AP136)/(1+AO135),0)</f>
        <v>#VALUE!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e">
        <f aca="false">INDEX(Debt!$J$136:$BN$136,1,Time!$F$12)/Funding!$F$25</f>
        <v>#VALUE!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e">
        <f aca="false">INDEX(Debt!$J$136:$BN$136,1,Time!$F$12)/Inputs!$F$104</f>
        <v>#VALUE!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e">
        <f aca="false">IF(P134=1,Waterfall!P7/$F$137,0)</f>
        <v>#VALUE!</v>
      </c>
      <c r="Q140" s="11" t="e">
        <f aca="false">IF(Q134=1,Waterfall!Q7/$F$137,0)</f>
        <v>#VALUE!</v>
      </c>
      <c r="R140" s="11" t="e">
        <f aca="false">IF(R134=1,Waterfall!R7/$F$137,0)</f>
        <v>#VALUE!</v>
      </c>
      <c r="S140" s="11" t="e">
        <f aca="false">IF(S134=1,Waterfall!S7/$F$137,0)</f>
        <v>#VALUE!</v>
      </c>
      <c r="T140" s="11" t="e">
        <f aca="false">IF(T134=1,Waterfall!T7/$F$137,0)</f>
        <v>#VALUE!</v>
      </c>
      <c r="U140" s="11" t="e">
        <f aca="false">IF(U134=1,Waterfall!U7/$F$137,0)</f>
        <v>#VALUE!</v>
      </c>
      <c r="V140" s="11" t="e">
        <f aca="false">IF(V134=1,Waterfall!V7/$F$137,0)</f>
        <v>#VALUE!</v>
      </c>
      <c r="W140" s="11" t="e">
        <f aca="false">IF(W134=1,Waterfall!W7/$F$137,0)</f>
        <v>#VALUE!</v>
      </c>
      <c r="X140" s="11" t="e">
        <f aca="false">IF(X134=1,Waterfall!X7/$F$137,0)</f>
        <v>#VALUE!</v>
      </c>
      <c r="Y140" s="11" t="e">
        <f aca="false">IF(Y134=1,Waterfall!Y7/$F$137,0)</f>
        <v>#VALUE!</v>
      </c>
      <c r="Z140" s="11" t="e">
        <f aca="false">IF(Z134=1,Waterfall!Z7/$F$137,0)</f>
        <v>#VALUE!</v>
      </c>
      <c r="AA140" s="11" t="e">
        <f aca="false">IF(AA134=1,Waterfall!AA7/$F$137,0)</f>
        <v>#VALUE!</v>
      </c>
      <c r="AB140" s="11" t="e">
        <f aca="false">IF(AB134=1,Waterfall!AB7/$F$137,0)</f>
        <v>#VALUE!</v>
      </c>
      <c r="AC140" s="11" t="e">
        <f aca="false">IF(AC134=1,Waterfall!AC7/$F$137,0)</f>
        <v>#VALUE!</v>
      </c>
      <c r="AD140" s="11" t="e">
        <f aca="false">IF(AD134=1,Waterfall!AD7/$F$137,0)</f>
        <v>#VALUE!</v>
      </c>
      <c r="AE140" s="11" t="e">
        <f aca="false">IF(AE134=1,Waterfall!AE7/$F$137,0)</f>
        <v>#VALUE!</v>
      </c>
      <c r="AF140" s="11" t="e">
        <f aca="false">IF(AF134=1,Waterfall!AF7/$F$137,0)</f>
        <v>#VALUE!</v>
      </c>
      <c r="AG140" s="11" t="e">
        <f aca="false">IF(AG134=1,Waterfall!AG7/$F$137,0)</f>
        <v>#VALUE!</v>
      </c>
      <c r="AH140" s="11" t="e">
        <f aca="false">IF(AH134=1,Waterfall!AH7/$F$137,0)</f>
        <v>#VALUE!</v>
      </c>
      <c r="AI140" s="11" t="e">
        <f aca="false">IF(AI134=1,Waterfall!AI7/$F$137,0)</f>
        <v>#VALUE!</v>
      </c>
      <c r="AJ140" s="11" t="e">
        <f aca="false">IF(AJ134=1,Waterfall!AJ7/$F$137,0)</f>
        <v>#VALUE!</v>
      </c>
      <c r="AK140" s="11" t="e">
        <f aca="false">IF(AK134=1,Waterfall!AK7/$F$137,0)</f>
        <v>#VALUE!</v>
      </c>
      <c r="AL140" s="11" t="e">
        <f aca="false">IF(AL134=1,Waterfall!AL7/$F$137,0)</f>
        <v>#VALUE!</v>
      </c>
      <c r="AM140" s="11" t="e">
        <f aca="false">IF(AM134=1,Waterfall!AM7/$F$137,0)</f>
        <v>#VALUE!</v>
      </c>
      <c r="AN140" s="11" t="e">
        <f aca="false">IF(AN134=1,Waterfall!AN7/$F$137,0)</f>
        <v>#VALUE!</v>
      </c>
      <c r="AO140" s="11" t="e">
        <f aca="false">IF(AO134=1,Waterfall!AO7/$F$137,0)</f>
        <v>#VALUE!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e">
        <f aca="false">IF(Q134=1,IF(Time!Q17=Time!$F$12,Funding!$F$25,P141-P142),0)</f>
        <v>#VALUE!</v>
      </c>
      <c r="R141" s="11" t="e">
        <f aca="false">IF(R134=1,IF(Time!R17=Time!$F$12,Funding!$F$25,Q141-Q142),0)</f>
        <v>#VALUE!</v>
      </c>
      <c r="S141" s="11" t="e">
        <f aca="false">IF(S134=1,IF(Time!S17=Time!$F$12,Funding!$F$25,R141-R142),0)</f>
        <v>#VALUE!</v>
      </c>
      <c r="T141" s="11" t="e">
        <f aca="false">IF(T134=1,IF(Time!T17=Time!$F$12,Funding!$F$25,S141-S142),0)</f>
        <v>#VALUE!</v>
      </c>
      <c r="U141" s="11" t="e">
        <f aca="false">IF(U134=1,IF(Time!U17=Time!$F$12,Funding!$F$25,T141-T142),0)</f>
        <v>#VALUE!</v>
      </c>
      <c r="V141" s="11" t="e">
        <f aca="false">IF(V134=1,IF(Time!V17=Time!$F$12,Funding!$F$25,U141-U142),0)</f>
        <v>#VALUE!</v>
      </c>
      <c r="W141" s="11" t="e">
        <f aca="false">IF(W134=1,IF(Time!W17=Time!$F$12,Funding!$F$25,V141-V142),0)</f>
        <v>#VALUE!</v>
      </c>
      <c r="X141" s="11" t="e">
        <f aca="false">IF(X134=1,IF(Time!X17=Time!$F$12,Funding!$F$25,W141-W142),0)</f>
        <v>#VALUE!</v>
      </c>
      <c r="Y141" s="11" t="e">
        <f aca="false">IF(Y134=1,IF(Time!Y17=Time!$F$12,Funding!$F$25,X141-X142),0)</f>
        <v>#VALUE!</v>
      </c>
      <c r="Z141" s="11" t="e">
        <f aca="false">IF(Z134=1,IF(Time!Z17=Time!$F$12,Funding!$F$25,Y141-Y142),0)</f>
        <v>#VALUE!</v>
      </c>
      <c r="AA141" s="11" t="e">
        <f aca="false">IF(AA134=1,IF(Time!AA17=Time!$F$12,Funding!$F$25,Z141-Z142),0)</f>
        <v>#VALUE!</v>
      </c>
      <c r="AB141" s="11" t="e">
        <f aca="false">IF(AB134=1,IF(Time!AB17=Time!$F$12,Funding!$F$25,AA141-AA142),0)</f>
        <v>#VALUE!</v>
      </c>
      <c r="AC141" s="11" t="e">
        <f aca="false">IF(AC134=1,IF(Time!AC17=Time!$F$12,Funding!$F$25,AB141-AB142),0)</f>
        <v>#VALUE!</v>
      </c>
      <c r="AD141" s="11" t="e">
        <f aca="false">IF(AD134=1,IF(Time!AD17=Time!$F$12,Funding!$F$25,AC141-AC142),0)</f>
        <v>#VALUE!</v>
      </c>
      <c r="AE141" s="11" t="e">
        <f aca="false">IF(AE134=1,IF(Time!AE17=Time!$F$12,Funding!$F$25,AD141-AD142),0)</f>
        <v>#VALUE!</v>
      </c>
      <c r="AF141" s="11" t="e">
        <f aca="false">IF(AF134=1,IF(Time!AF17=Time!$F$12,Funding!$F$25,AE141-AE142),0)</f>
        <v>#VALUE!</v>
      </c>
      <c r="AG141" s="11" t="e">
        <f aca="false">IF(AG134=1,IF(Time!AG17=Time!$F$12,Funding!$F$25,AF141-AF142),0)</f>
        <v>#VALUE!</v>
      </c>
      <c r="AH141" s="11" t="e">
        <f aca="false">IF(AH134=1,IF(Time!AH17=Time!$F$12,Funding!$F$25,AG141-AG142),0)</f>
        <v>#VALUE!</v>
      </c>
      <c r="AI141" s="11" t="e">
        <f aca="false">IF(AI134=1,IF(Time!AI17=Time!$F$12,Funding!$F$25,AH141-AH142),0)</f>
        <v>#VALUE!</v>
      </c>
      <c r="AJ141" s="11" t="e">
        <f aca="false">IF(AJ134=1,IF(Time!AJ17=Time!$F$12,Funding!$F$25,AI141-AI142),0)</f>
        <v>#VALUE!</v>
      </c>
      <c r="AK141" s="11" t="e">
        <f aca="false">IF(AK134=1,IF(Time!AK17=Time!$F$12,Funding!$F$25,AJ141-AJ142),0)</f>
        <v>#VALUE!</v>
      </c>
      <c r="AL141" s="11" t="e">
        <f aca="false">IF(AL134=1,IF(Time!AL17=Time!$F$12,Funding!$F$25,AK141-AK142),0)</f>
        <v>#VALUE!</v>
      </c>
      <c r="AM141" s="11" t="e">
        <f aca="false">IF(AM134=1,IF(Time!AM17=Time!$F$12,Funding!$F$25,AL141-AL142),0)</f>
        <v>#VALUE!</v>
      </c>
      <c r="AN141" s="11" t="e">
        <f aca="false">IF(AN134=1,IF(Time!AN17=Time!$F$12,Funding!$F$25,AM141-AM142),0)</f>
        <v>#VALUE!</v>
      </c>
      <c r="AO141" s="11" t="e">
        <f aca="false">IF(AO134=1,IF(Time!AO17=Time!$F$12,Funding!$F$25,AN141-AN142),0)</f>
        <v>#VALUE!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e">
        <f aca="false">P140-P141*P135</f>
        <v>#VALUE!</v>
      </c>
      <c r="Q142" s="11" t="e">
        <f aca="false">Q140-Q141*Q135</f>
        <v>#VALUE!</v>
      </c>
      <c r="R142" s="11" t="e">
        <f aca="false">R140-R141*R135</f>
        <v>#VALUE!</v>
      </c>
      <c r="S142" s="11" t="e">
        <f aca="false">S140-S141*S135</f>
        <v>#VALUE!</v>
      </c>
      <c r="T142" s="11" t="e">
        <f aca="false">T140-T141*T135</f>
        <v>#VALUE!</v>
      </c>
      <c r="U142" s="11" t="e">
        <f aca="false">U140-U141*U135</f>
        <v>#VALUE!</v>
      </c>
      <c r="V142" s="11" t="e">
        <f aca="false">V140-V141*V135</f>
        <v>#VALUE!</v>
      </c>
      <c r="W142" s="11" t="e">
        <f aca="false">W140-W141*W135</f>
        <v>#VALUE!</v>
      </c>
      <c r="X142" s="11" t="e">
        <f aca="false">X140-X141*X135</f>
        <v>#VALUE!</v>
      </c>
      <c r="Y142" s="11" t="e">
        <f aca="false">Y140-Y141*Y135</f>
        <v>#VALUE!</v>
      </c>
      <c r="Z142" s="11" t="e">
        <f aca="false">Z140-Z141*Z135</f>
        <v>#VALUE!</v>
      </c>
      <c r="AA142" s="11" t="e">
        <f aca="false">AA140-AA141*AA135</f>
        <v>#VALUE!</v>
      </c>
      <c r="AB142" s="11" t="e">
        <f aca="false">AB140-AB141*AB135</f>
        <v>#VALUE!</v>
      </c>
      <c r="AC142" s="11" t="e">
        <f aca="false">AC140-AC141*AC135</f>
        <v>#VALUE!</v>
      </c>
      <c r="AD142" s="11" t="e">
        <f aca="false">AD140-AD141*AD135</f>
        <v>#VALUE!</v>
      </c>
      <c r="AE142" s="11" t="e">
        <f aca="false">AE140-AE141*AE135</f>
        <v>#VALUE!</v>
      </c>
      <c r="AF142" s="11" t="e">
        <f aca="false">AF140-AF141*AF135</f>
        <v>#VALUE!</v>
      </c>
      <c r="AG142" s="11" t="e">
        <f aca="false">AG140-AG141*AG135</f>
        <v>#VALUE!</v>
      </c>
      <c r="AH142" s="11" t="e">
        <f aca="false">AH140-AH141*AH135</f>
        <v>#VALUE!</v>
      </c>
      <c r="AI142" s="11" t="e">
        <f aca="false">AI140-AI141*AI135</f>
        <v>#VALUE!</v>
      </c>
      <c r="AJ142" s="11" t="e">
        <f aca="false">AJ140-AJ141*AJ135</f>
        <v>#VALUE!</v>
      </c>
      <c r="AK142" s="11" t="e">
        <f aca="false">AK140-AK141*AK135</f>
        <v>#VALUE!</v>
      </c>
      <c r="AL142" s="11" t="e">
        <f aca="false">AL140-AL141*AL135</f>
        <v>#VALUE!</v>
      </c>
      <c r="AM142" s="11" t="e">
        <f aca="false">AM140-AM141*AM135</f>
        <v>#VALUE!</v>
      </c>
      <c r="AN142" s="11" t="e">
        <f aca="false">AN140-AN141*AN135</f>
        <v>#VALUE!</v>
      </c>
      <c r="AO142" s="11" t="e">
        <f aca="false">AO140-AO141*AO135</f>
        <v>#VALUE!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e">
        <f aca="false">IF(Inputs!$F$8=1,P142-P134*Inputs!P219*Funding!$F$25,0)</f>
        <v>#VALUE!</v>
      </c>
      <c r="Q143" s="11" t="e">
        <f aca="false">IF(Inputs!$F$8=1,Q142-Q134*Inputs!Q219*Funding!$F$25,0)</f>
        <v>#VALUE!</v>
      </c>
      <c r="R143" s="11" t="e">
        <f aca="false">IF(Inputs!$F$8=1,R142-R134*Inputs!R219*Funding!$F$25,0)</f>
        <v>#VALUE!</v>
      </c>
      <c r="S143" s="11" t="e">
        <f aca="false">IF(Inputs!$F$8=1,S142-S134*Inputs!S219*Funding!$F$25,0)</f>
        <v>#VALUE!</v>
      </c>
      <c r="T143" s="11" t="e">
        <f aca="false">IF(Inputs!$F$8=1,T142-T134*Inputs!T219*Funding!$F$25,0)</f>
        <v>#VALUE!</v>
      </c>
      <c r="U143" s="11" t="e">
        <f aca="false">IF(Inputs!$F$8=1,U142-U134*Inputs!U219*Funding!$F$25,0)</f>
        <v>#VALUE!</v>
      </c>
      <c r="V143" s="11" t="e">
        <f aca="false">IF(Inputs!$F$8=1,V142-V134*Inputs!V219*Funding!$F$25,0)</f>
        <v>#VALUE!</v>
      </c>
      <c r="W143" s="11" t="e">
        <f aca="false">IF(Inputs!$F$8=1,W142-W134*Inputs!W219*Funding!$F$25,0)</f>
        <v>#VALUE!</v>
      </c>
      <c r="X143" s="11" t="e">
        <f aca="false">IF(Inputs!$F$8=1,X142-X134*Inputs!X219*Funding!$F$25,0)</f>
        <v>#VALUE!</v>
      </c>
      <c r="Y143" s="11" t="e">
        <f aca="false">IF(Inputs!$F$8=1,Y142-Y134*Inputs!Y219*Funding!$F$25,0)</f>
        <v>#VALUE!</v>
      </c>
      <c r="Z143" s="11" t="e">
        <f aca="false">IF(Inputs!$F$8=1,Z142-Z134*Inputs!Z219*Funding!$F$25,0)</f>
        <v>#VALUE!</v>
      </c>
      <c r="AA143" s="11" t="e">
        <f aca="false">IF(Inputs!$F$8=1,AA142-AA134*Inputs!AA219*Funding!$F$25,0)</f>
        <v>#VALUE!</v>
      </c>
      <c r="AB143" s="11" t="e">
        <f aca="false">IF(Inputs!$F$8=1,AB142-AB134*Inputs!AB219*Funding!$F$25,0)</f>
        <v>#VALUE!</v>
      </c>
      <c r="AC143" s="11" t="e">
        <f aca="false">IF(Inputs!$F$8=1,AC142-AC134*Inputs!AC219*Funding!$F$25,0)</f>
        <v>#VALUE!</v>
      </c>
      <c r="AD143" s="11" t="e">
        <f aca="false">IF(Inputs!$F$8=1,AD142-AD134*Inputs!AD219*Funding!$F$25,0)</f>
        <v>#VALUE!</v>
      </c>
      <c r="AE143" s="11" t="e">
        <f aca="false">IF(Inputs!$F$8=1,AE142-AE134*Inputs!AE219*Funding!$F$25,0)</f>
        <v>#VALUE!</v>
      </c>
      <c r="AF143" s="11" t="e">
        <f aca="false">IF(Inputs!$F$8=1,AF142-AF134*Inputs!AF219*Funding!$F$25,0)</f>
        <v>#VALUE!</v>
      </c>
      <c r="AG143" s="11" t="e">
        <f aca="false">IF(Inputs!$F$8=1,AG142-AG134*Inputs!AG219*Funding!$F$25,0)</f>
        <v>#VALUE!</v>
      </c>
      <c r="AH143" s="11" t="e">
        <f aca="false">IF(Inputs!$F$8=1,AH142-AH134*Inputs!AH219*Funding!$F$25,0)</f>
        <v>#VALUE!</v>
      </c>
      <c r="AI143" s="11" t="e">
        <f aca="false">IF(Inputs!$F$8=1,AI142-AI134*Inputs!AI219*Funding!$F$25,0)</f>
        <v>#VALUE!</v>
      </c>
      <c r="AJ143" s="11" t="e">
        <f aca="false">IF(Inputs!$F$8=1,AJ142-AJ134*Inputs!AJ219*Funding!$F$25,0)</f>
        <v>#VALUE!</v>
      </c>
      <c r="AK143" s="11" t="e">
        <f aca="false">IF(Inputs!$F$8=1,AK142-AK134*Inputs!AK219*Funding!$F$25,0)</f>
        <v>#VALUE!</v>
      </c>
      <c r="AL143" s="11" t="e">
        <f aca="false">IF(Inputs!$F$8=1,AL142-AL134*Inputs!AL219*Funding!$F$25,0)</f>
        <v>#VALUE!</v>
      </c>
      <c r="AM143" s="11" t="e">
        <f aca="false">IF(Inputs!$F$8=1,AM142-AM134*Inputs!AM219*Funding!$F$25,0)</f>
        <v>#VALUE!</v>
      </c>
      <c r="AN143" s="11" t="e">
        <f aca="false">IF(Inputs!$F$8=1,AN142-AN134*Inputs!AN219*Funding!$F$25,0)</f>
        <v>#VALUE!</v>
      </c>
      <c r="AO143" s="11" t="e">
        <f aca="false">IF(Inputs!$F$8=1,AO142-AO134*Inputs!AO219*Funding!$F$25,0)</f>
        <v>#VALUE!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e">
        <f aca="false">IF(Time!K29=1,SUM(Funding!$J$44:$BJ$44),J13)</f>
        <v>#VALUE!</v>
      </c>
      <c r="L9" s="11" t="e">
        <f aca="false">IF(Time!L29=1,SUM(Funding!$J$44:$BJ$44),K13)</f>
        <v>#VALUE!</v>
      </c>
      <c r="M9" s="11" t="e">
        <f aca="false">IF(Time!M29=1,SUM(Funding!$J$44:$BJ$44),L13)</f>
        <v>#VALUE!</v>
      </c>
      <c r="N9" s="11" t="e">
        <f aca="false">IF(Time!N29=1,SUM(Funding!$J$44:$BJ$44),M13)</f>
        <v>#VALUE!</v>
      </c>
      <c r="O9" s="11" t="n">
        <f aca="false">IF(Time!O29=1,SUM(Funding!$J$44:$BJ$44),N13)</f>
        <v>37.2458954370954</v>
      </c>
      <c r="P9" s="11" t="e">
        <f aca="false">IF(Time!P29=1,SUM(Funding!$J$44:$BJ$44),O13)</f>
        <v>#VALUE!</v>
      </c>
      <c r="Q9" s="11" t="e">
        <f aca="false">IF(Time!Q29=1,SUM(Funding!$J$44:$BJ$44),P13)</f>
        <v>#VALUE!</v>
      </c>
      <c r="R9" s="11" t="e">
        <f aca="false">IF(Time!R29=1,SUM(Funding!$J$44:$BJ$44),Q13)</f>
        <v>#VALUE!</v>
      </c>
      <c r="S9" s="11" t="e">
        <f aca="false">IF(Time!S29=1,SUM(Funding!$J$44:$BJ$44),R13)</f>
        <v>#VALUE!</v>
      </c>
      <c r="T9" s="11" t="e">
        <f aca="false">IF(Time!T29=1,SUM(Funding!$J$44:$BJ$44),S13)</f>
        <v>#VALUE!</v>
      </c>
      <c r="U9" s="11" t="e">
        <f aca="false">IF(Time!U29=1,SUM(Funding!$J$44:$BJ$44),T13)</f>
        <v>#VALUE!</v>
      </c>
      <c r="V9" s="11" t="e">
        <f aca="false">IF(Time!V29=1,SUM(Funding!$J$44:$BJ$44),U13)</f>
        <v>#VALUE!</v>
      </c>
      <c r="W9" s="11" t="e">
        <f aca="false">IF(Time!W29=1,SUM(Funding!$J$44:$BJ$44),V13)</f>
        <v>#VALUE!</v>
      </c>
      <c r="X9" s="11" t="e">
        <f aca="false">IF(Time!X29=1,SUM(Funding!$J$44:$BJ$44),W13)</f>
        <v>#VALUE!</v>
      </c>
      <c r="Y9" s="11" t="e">
        <f aca="false">IF(Time!Y29=1,SUM(Funding!$J$44:$BJ$44),X13)</f>
        <v>#VALUE!</v>
      </c>
      <c r="Z9" s="11" t="e">
        <f aca="false">IF(Time!Z29=1,SUM(Funding!$J$44:$BJ$44),Y13)</f>
        <v>#VALUE!</v>
      </c>
      <c r="AA9" s="11" t="e">
        <f aca="false">IF(Time!AA29=1,SUM(Funding!$J$44:$BJ$44),Z13)</f>
        <v>#VALUE!</v>
      </c>
      <c r="AB9" s="11" t="e">
        <f aca="false">IF(Time!AB29=1,SUM(Funding!$J$44:$BJ$44),AA13)</f>
        <v>#VALUE!</v>
      </c>
      <c r="AC9" s="11" t="e">
        <f aca="false">IF(Time!AC29=1,SUM(Funding!$J$44:$BJ$44),AB13)</f>
        <v>#VALUE!</v>
      </c>
      <c r="AD9" s="11" t="e">
        <f aca="false">IF(Time!AD29=1,SUM(Funding!$J$44:$BJ$44),AC13)</f>
        <v>#VALUE!</v>
      </c>
      <c r="AE9" s="11" t="e">
        <f aca="false">IF(Time!AE29=1,SUM(Funding!$J$44:$BJ$44),AD13)</f>
        <v>#VALUE!</v>
      </c>
      <c r="AF9" s="11" t="e">
        <f aca="false">IF(Time!AF29=1,SUM(Funding!$J$44:$BJ$44),AE13)</f>
        <v>#VALUE!</v>
      </c>
      <c r="AG9" s="11" t="e">
        <f aca="false">IF(Time!AG29=1,SUM(Funding!$J$44:$BJ$44),AF13)</f>
        <v>#VALUE!</v>
      </c>
      <c r="AH9" s="11" t="e">
        <f aca="false">IF(Time!AH29=1,SUM(Funding!$J$44:$BJ$44),AG13)</f>
        <v>#VALUE!</v>
      </c>
      <c r="AI9" s="11" t="e">
        <f aca="false">IF(Time!AI29=1,SUM(Funding!$J$44:$BJ$44),AH13)</f>
        <v>#VALUE!</v>
      </c>
      <c r="AJ9" s="11" t="e">
        <f aca="false">IF(Time!AJ29=1,SUM(Funding!$J$44:$BJ$44),AI13)</f>
        <v>#VALUE!</v>
      </c>
      <c r="AK9" s="11" t="e">
        <f aca="false">IF(Time!AK29=1,SUM(Funding!$J$44:$BJ$44),AJ13)</f>
        <v>#VALUE!</v>
      </c>
      <c r="AL9" s="11" t="e">
        <f aca="false">IF(Time!AL29=1,SUM(Funding!$J$44:$BJ$44),AK13)</f>
        <v>#VALUE!</v>
      </c>
      <c r="AM9" s="11" t="e">
        <f aca="false">IF(Time!AM29=1,SUM(Funding!$J$44:$BJ$44),AL13)</f>
        <v>#VALUE!</v>
      </c>
      <c r="AN9" s="11" t="e">
        <f aca="false">IF(Time!AN29=1,SUM(Funding!$J$44:$BJ$44),AM13)</f>
        <v>#VALUE!</v>
      </c>
      <c r="AO9" s="11" t="e">
        <f aca="false">IF(Time!AO29=1,SUM(Funding!$J$44:$BJ$44),AN13)</f>
        <v>#VALUE!</v>
      </c>
      <c r="AP9" s="11" t="e">
        <f aca="false">IF(Time!AP29=1,SUM(Funding!$J$44:$BJ$44),AO13)</f>
        <v>#VALUE!</v>
      </c>
      <c r="AQ9" s="11" t="e">
        <f aca="false">IF(Time!AQ29=1,SUM(Funding!$J$44:$BJ$44),AP13)</f>
        <v>#VALUE!</v>
      </c>
      <c r="AR9" s="11" t="e">
        <f aca="false">IF(Time!AR29=1,SUM(Funding!$J$44:$BJ$44),AQ13)</f>
        <v>#VALUE!</v>
      </c>
      <c r="AS9" s="11" t="e">
        <f aca="false">IF(Time!AS29=1,SUM(Funding!$J$44:$BJ$44),AR13)</f>
        <v>#VALUE!</v>
      </c>
      <c r="AT9" s="11" t="e">
        <f aca="false">IF(Time!AT29=1,SUM(Funding!$J$44:$BJ$44),AS13)</f>
        <v>#VALUE!</v>
      </c>
      <c r="AU9" s="11" t="e">
        <f aca="false">IF(Time!AU29=1,SUM(Funding!$J$44:$BJ$44),AT13)</f>
        <v>#VALUE!</v>
      </c>
      <c r="AV9" s="11" t="e">
        <f aca="false">IF(Time!AV29=1,SUM(Funding!$J$44:$BJ$44),AU13)</f>
        <v>#VALUE!</v>
      </c>
      <c r="AW9" s="11" t="e">
        <f aca="false">IF(Time!AW29=1,SUM(Funding!$J$44:$BJ$44),AV13)</f>
        <v>#VALUE!</v>
      </c>
      <c r="AX9" s="11" t="e">
        <f aca="false">IF(Time!AX29=1,SUM(Funding!$J$44:$BJ$44),AW13)</f>
        <v>#VALUE!</v>
      </c>
      <c r="AY9" s="11" t="e">
        <f aca="false">IF(Time!AY29=1,SUM(Funding!$J$44:$BJ$44),AX13)</f>
        <v>#VALUE!</v>
      </c>
      <c r="AZ9" s="11" t="e">
        <f aca="false">IF(Time!AZ29=1,SUM(Funding!$J$44:$BJ$44),AY13)</f>
        <v>#VALUE!</v>
      </c>
      <c r="BA9" s="11" t="e">
        <f aca="false">IF(Time!BA29=1,SUM(Funding!$J$44:$BJ$44),AZ13)</f>
        <v>#VALUE!</v>
      </c>
      <c r="BB9" s="11" t="e">
        <f aca="false">IF(Time!BB29=1,SUM(Funding!$J$44:$BJ$44),BA13)</f>
        <v>#VALUE!</v>
      </c>
      <c r="BC9" s="11" t="e">
        <f aca="false">IF(Time!BC29=1,SUM(Funding!$J$44:$BJ$44),BB13)</f>
        <v>#VALUE!</v>
      </c>
      <c r="BD9" s="11" t="e">
        <f aca="false">IF(Time!BD29=1,SUM(Funding!$J$44:$BJ$44),BC13)</f>
        <v>#VALUE!</v>
      </c>
      <c r="BE9" s="11" t="e">
        <f aca="false">IF(Time!BE29=1,SUM(Funding!$J$44:$BJ$44),BD13)</f>
        <v>#VALUE!</v>
      </c>
      <c r="BF9" s="11" t="e">
        <f aca="false">IF(Time!BF29=1,SUM(Funding!$J$44:$BJ$44),BE13)</f>
        <v>#VALUE!</v>
      </c>
      <c r="BG9" s="11" t="e">
        <f aca="false">IF(Time!BG29=1,SUM(Funding!$J$44:$BJ$44),BF13)</f>
        <v>#VALUE!</v>
      </c>
      <c r="BH9" s="11" t="e">
        <f aca="false">IF(Time!BH29=1,SUM(Funding!$J$44:$BJ$44),BG13)</f>
        <v>#VALUE!</v>
      </c>
      <c r="BI9" s="11" t="e">
        <f aca="false">IF(Time!BI29=1,SUM(Funding!$J$44:$BJ$44),BH13)</f>
        <v>#VALUE!</v>
      </c>
      <c r="BJ9" s="11" t="e">
        <f aca="false">IF(Time!BJ29=1,SUM(Funding!$J$44:$BJ$44),BI13)</f>
        <v>#VALUE!</v>
      </c>
      <c r="BK9" s="11" t="e">
        <f aca="false">IF(Time!BK29=1,SUM(Funding!$J$44:$BJ$44),BJ13)</f>
        <v>#VALUE!</v>
      </c>
      <c r="BL9" s="11" t="e">
        <f aca="false">IF(Time!BL29=1,SUM(Funding!$J$44:$BJ$44),BK13)</f>
        <v>#VALUE!</v>
      </c>
      <c r="BM9" s="11" t="e">
        <f aca="false">IF(Time!BM29=1,SUM(Funding!$J$44:$BJ$44),BL13)</f>
        <v>#VALUE!</v>
      </c>
      <c r="BN9" s="11" t="e">
        <f aca="false">IF(Time!BN29=1,SUM(Funding!$J$44:$BJ$44),BM13)</f>
        <v>#VALUE!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e">
        <f aca="false">SUM(J10:BN10)</f>
        <v>#VALUE!</v>
      </c>
      <c r="J10" s="11" t="e">
        <f aca="false">MIN(J9,Waterfall!J11)</f>
        <v>#VALUE!</v>
      </c>
      <c r="K10" s="11" t="e">
        <f aca="false">MIN(K9,Waterfall!K11)</f>
        <v>#VALUE!</v>
      </c>
      <c r="L10" s="11" t="e">
        <f aca="false">MIN(L9,Waterfall!L11)</f>
        <v>#VALUE!</v>
      </c>
      <c r="M10" s="11" t="e">
        <f aca="false">MIN(M9,Waterfall!M11)</f>
        <v>#VALUE!</v>
      </c>
      <c r="N10" s="11" t="e">
        <f aca="false">MIN(N9,Waterfall!N11)</f>
        <v>#VALUE!</v>
      </c>
      <c r="O10" s="11" t="e">
        <f aca="false">MIN(O9,Waterfall!O11)</f>
        <v>#VALUE!</v>
      </c>
      <c r="P10" s="11" t="e">
        <f aca="false">MIN(P9,Waterfall!P11)</f>
        <v>#VALUE!</v>
      </c>
      <c r="Q10" s="11" t="e">
        <f aca="false">MIN(Q9,Waterfall!Q11)</f>
        <v>#VALUE!</v>
      </c>
      <c r="R10" s="11" t="e">
        <f aca="false">MIN(R9,Waterfall!R11)</f>
        <v>#VALUE!</v>
      </c>
      <c r="S10" s="11" t="e">
        <f aca="false">MIN(S9,Waterfall!S11)</f>
        <v>#VALUE!</v>
      </c>
      <c r="T10" s="11" t="e">
        <f aca="false">MIN(T9,Waterfall!T11)</f>
        <v>#VALUE!</v>
      </c>
      <c r="U10" s="11" t="e">
        <f aca="false">MIN(U9,Waterfall!U11)</f>
        <v>#VALUE!</v>
      </c>
      <c r="V10" s="11" t="e">
        <f aca="false">MIN(V9,Waterfall!V11)</f>
        <v>#VALUE!</v>
      </c>
      <c r="W10" s="11" t="e">
        <f aca="false">MIN(W9,Waterfall!W11)</f>
        <v>#VALUE!</v>
      </c>
      <c r="X10" s="11" t="e">
        <f aca="false">MIN(X9,Waterfall!X11)</f>
        <v>#VALUE!</v>
      </c>
      <c r="Y10" s="11" t="e">
        <f aca="false">MIN(Y9,Waterfall!Y11)</f>
        <v>#VALUE!</v>
      </c>
      <c r="Z10" s="11" t="e">
        <f aca="false">MIN(Z9,Waterfall!Z11)</f>
        <v>#VALUE!</v>
      </c>
      <c r="AA10" s="11" t="e">
        <f aca="false">MIN(AA9,Waterfall!AA11)</f>
        <v>#VALUE!</v>
      </c>
      <c r="AB10" s="11" t="e">
        <f aca="false">MIN(AB9,Waterfall!AB11)</f>
        <v>#VALUE!</v>
      </c>
      <c r="AC10" s="11" t="e">
        <f aca="false">MIN(AC9,Waterfall!AC11)</f>
        <v>#VALUE!</v>
      </c>
      <c r="AD10" s="11" t="e">
        <f aca="false">MIN(AD9,Waterfall!AD11)</f>
        <v>#VALUE!</v>
      </c>
      <c r="AE10" s="11" t="e">
        <f aca="false">MIN(AE9,Waterfall!AE11)</f>
        <v>#VALUE!</v>
      </c>
      <c r="AF10" s="11" t="e">
        <f aca="false">MIN(AF9,Waterfall!AF11)</f>
        <v>#VALUE!</v>
      </c>
      <c r="AG10" s="11" t="e">
        <f aca="false">MIN(AG9,Waterfall!AG11)</f>
        <v>#VALUE!</v>
      </c>
      <c r="AH10" s="11" t="e">
        <f aca="false">MIN(AH9,Waterfall!AH11)</f>
        <v>#VALUE!</v>
      </c>
      <c r="AI10" s="11" t="e">
        <f aca="false">MIN(AI9,Waterfall!AI11)</f>
        <v>#VALUE!</v>
      </c>
      <c r="AJ10" s="11" t="e">
        <f aca="false">MIN(AJ9,Waterfall!AJ11)</f>
        <v>#VALUE!</v>
      </c>
      <c r="AK10" s="11" t="e">
        <f aca="false">MIN(AK9,Waterfall!AK11)</f>
        <v>#VALUE!</v>
      </c>
      <c r="AL10" s="11" t="e">
        <f aca="false">MIN(AL9,Waterfall!AL11)</f>
        <v>#VALUE!</v>
      </c>
      <c r="AM10" s="11" t="e">
        <f aca="false">MIN(AM9,Waterfall!AM11)</f>
        <v>#VALUE!</v>
      </c>
      <c r="AN10" s="11" t="e">
        <f aca="false">MIN(AN9,Waterfall!AN11)</f>
        <v>#VALUE!</v>
      </c>
      <c r="AO10" s="11" t="e">
        <f aca="false">MIN(AO9,Waterfall!AO11)</f>
        <v>#VALUE!</v>
      </c>
      <c r="AP10" s="11" t="e">
        <f aca="false">MIN(AP9,Waterfall!AP11)</f>
        <v>#VALUE!</v>
      </c>
      <c r="AQ10" s="11" t="e">
        <f aca="false">MIN(AQ9,Waterfall!AQ11)</f>
        <v>#VALUE!</v>
      </c>
      <c r="AR10" s="11" t="e">
        <f aca="false">MIN(AR9,Waterfall!AR11)</f>
        <v>#VALUE!</v>
      </c>
      <c r="AS10" s="11" t="e">
        <f aca="false">MIN(AS9,Waterfall!AS11)</f>
        <v>#VALUE!</v>
      </c>
      <c r="AT10" s="11" t="e">
        <f aca="false">MIN(AT9,Waterfall!AT11)</f>
        <v>#VALUE!</v>
      </c>
      <c r="AU10" s="11" t="e">
        <f aca="false">MIN(AU9,Waterfall!AU11)</f>
        <v>#VALUE!</v>
      </c>
      <c r="AV10" s="11" t="e">
        <f aca="false">MIN(AV9,Waterfall!AV11)</f>
        <v>#VALUE!</v>
      </c>
      <c r="AW10" s="11" t="e">
        <f aca="false">MIN(AW9,Waterfall!AW11)</f>
        <v>#VALUE!</v>
      </c>
      <c r="AX10" s="11" t="e">
        <f aca="false">MIN(AX9,Waterfall!AX11)</f>
        <v>#VALUE!</v>
      </c>
      <c r="AY10" s="11" t="e">
        <f aca="false">MIN(AY9,Waterfall!AY11)</f>
        <v>#VALUE!</v>
      </c>
      <c r="AZ10" s="11" t="e">
        <f aca="false">MIN(AZ9,Waterfall!AZ11)</f>
        <v>#VALUE!</v>
      </c>
      <c r="BA10" s="11" t="e">
        <f aca="false">MIN(BA9,Waterfall!BA11)</f>
        <v>#VALUE!</v>
      </c>
      <c r="BB10" s="11" t="e">
        <f aca="false">MIN(BB9,Waterfall!BB11)</f>
        <v>#VALUE!</v>
      </c>
      <c r="BC10" s="11" t="e">
        <f aca="false">MIN(BC9,Waterfall!BC11)</f>
        <v>#VALUE!</v>
      </c>
      <c r="BD10" s="11" t="e">
        <f aca="false">MIN(BD9,Waterfall!BD11)</f>
        <v>#VALUE!</v>
      </c>
      <c r="BE10" s="11" t="e">
        <f aca="false">MIN(BE9,Waterfall!BE11)</f>
        <v>#VALUE!</v>
      </c>
      <c r="BF10" s="11" t="e">
        <f aca="false">MIN(BF9,Waterfall!BF11)</f>
        <v>#VALUE!</v>
      </c>
      <c r="BG10" s="11" t="e">
        <f aca="false">MIN(BG9,Waterfall!BG11)</f>
        <v>#VALUE!</v>
      </c>
      <c r="BH10" s="11" t="e">
        <f aca="false">MIN(BH9,Waterfall!BH11)</f>
        <v>#VALUE!</v>
      </c>
      <c r="BI10" s="11" t="e">
        <f aca="false">MIN(BI9,Waterfall!BI11)</f>
        <v>#VALUE!</v>
      </c>
      <c r="BJ10" s="11" t="e">
        <f aca="false">MIN(BJ9,Waterfall!BJ11)</f>
        <v>#VALUE!</v>
      </c>
      <c r="BK10" s="11" t="e">
        <f aca="false">MIN(BK9,Waterfall!BK11)</f>
        <v>#VALUE!</v>
      </c>
      <c r="BL10" s="11" t="e">
        <f aca="false">MIN(BL9,Waterfall!BL11)</f>
        <v>#VALUE!</v>
      </c>
      <c r="BM10" s="11" t="e">
        <f aca="false">MIN(BM9,Waterfall!BM11)</f>
        <v>#VALUE!</v>
      </c>
      <c r="BN10" s="11" t="e">
        <f aca="false">MIN(BN9,Waterfall!BN11)</f>
        <v>#VALUE!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e">
        <f aca="false">SUM(J11:BN11)</f>
        <v>#VALUE!</v>
      </c>
      <c r="J11" s="11" t="e">
        <f aca="false">MIN(Waterfall!J13,MAX(0,Debt!J132-(J9-J10)))</f>
        <v>#VALUE!</v>
      </c>
      <c r="K11" s="11" t="e">
        <f aca="false">MIN(Waterfall!K13,MAX(0,Debt!K132-(K9-K10)))</f>
        <v>#VALUE!</v>
      </c>
      <c r="L11" s="11" t="e">
        <f aca="false">MIN(Waterfall!L13,MAX(0,Debt!L132-(L9-L10)))</f>
        <v>#VALUE!</v>
      </c>
      <c r="M11" s="11" t="e">
        <f aca="false">MIN(Waterfall!M13,MAX(0,Debt!M132-(M9-M10)))</f>
        <v>#VALUE!</v>
      </c>
      <c r="N11" s="11" t="e">
        <f aca="false">MIN(Waterfall!N13,MAX(0,Debt!N132-(N9-N10)))</f>
        <v>#VALUE!</v>
      </c>
      <c r="O11" s="11" t="e">
        <f aca="false">MIN(Waterfall!O13,MAX(0,Debt!O132-(O9-O10)))</f>
        <v>#VALUE!</v>
      </c>
      <c r="P11" s="11" t="e">
        <f aca="false">MIN(Waterfall!P13,MAX(0,Debt!P132-(P9-P10)))</f>
        <v>#VALUE!</v>
      </c>
      <c r="Q11" s="11" t="e">
        <f aca="false">MIN(Waterfall!Q13,MAX(0,Debt!Q132-(Q9-Q10)))</f>
        <v>#VALUE!</v>
      </c>
      <c r="R11" s="11" t="e">
        <f aca="false">MIN(Waterfall!R13,MAX(0,Debt!R132-(R9-R10)))</f>
        <v>#VALUE!</v>
      </c>
      <c r="S11" s="11" t="e">
        <f aca="false">MIN(Waterfall!S13,MAX(0,Debt!S132-(S9-S10)))</f>
        <v>#VALUE!</v>
      </c>
      <c r="T11" s="11" t="e">
        <f aca="false">MIN(Waterfall!T13,MAX(0,Debt!T132-(T9-T10)))</f>
        <v>#VALUE!</v>
      </c>
      <c r="U11" s="11" t="e">
        <f aca="false">MIN(Waterfall!U13,MAX(0,Debt!U132-(U9-U10)))</f>
        <v>#VALUE!</v>
      </c>
      <c r="V11" s="11" t="e">
        <f aca="false">MIN(Waterfall!V13,MAX(0,Debt!V132-(V9-V10)))</f>
        <v>#VALUE!</v>
      </c>
      <c r="W11" s="11" t="e">
        <f aca="false">MIN(Waterfall!W13,MAX(0,Debt!W132-(W9-W10)))</f>
        <v>#VALUE!</v>
      </c>
      <c r="X11" s="11" t="e">
        <f aca="false">MIN(Waterfall!X13,MAX(0,Debt!X132-(X9-X10)))</f>
        <v>#VALUE!</v>
      </c>
      <c r="Y11" s="11" t="e">
        <f aca="false">MIN(Waterfall!Y13,MAX(0,Debt!Y132-(Y9-Y10)))</f>
        <v>#VALUE!</v>
      </c>
      <c r="Z11" s="11" t="e">
        <f aca="false">MIN(Waterfall!Z13,MAX(0,Debt!Z132-(Z9-Z10)))</f>
        <v>#VALUE!</v>
      </c>
      <c r="AA11" s="11" t="e">
        <f aca="false">MIN(Waterfall!AA13,MAX(0,Debt!AA132-(AA9-AA10)))</f>
        <v>#VALUE!</v>
      </c>
      <c r="AB11" s="11" t="e">
        <f aca="false">MIN(Waterfall!AB13,MAX(0,Debt!AB132-(AB9-AB10)))</f>
        <v>#VALUE!</v>
      </c>
      <c r="AC11" s="11" t="e">
        <f aca="false">MIN(Waterfall!AC13,MAX(0,Debt!AC132-(AC9-AC10)))</f>
        <v>#VALUE!</v>
      </c>
      <c r="AD11" s="11" t="e">
        <f aca="false">MIN(Waterfall!AD13,MAX(0,Debt!AD132-(AD9-AD10)))</f>
        <v>#VALUE!</v>
      </c>
      <c r="AE11" s="11" t="e">
        <f aca="false">MIN(Waterfall!AE13,MAX(0,Debt!AE132-(AE9-AE10)))</f>
        <v>#VALUE!</v>
      </c>
      <c r="AF11" s="11" t="e">
        <f aca="false">MIN(Waterfall!AF13,MAX(0,Debt!AF132-(AF9-AF10)))</f>
        <v>#VALUE!</v>
      </c>
      <c r="AG11" s="11" t="e">
        <f aca="false">MIN(Waterfall!AG13,MAX(0,Debt!AG132-(AG9-AG10)))</f>
        <v>#VALUE!</v>
      </c>
      <c r="AH11" s="11" t="e">
        <f aca="false">MIN(Waterfall!AH13,MAX(0,Debt!AH132-(AH9-AH10)))</f>
        <v>#VALUE!</v>
      </c>
      <c r="AI11" s="11" t="e">
        <f aca="false">MIN(Waterfall!AI13,MAX(0,Debt!AI132-(AI9-AI10)))</f>
        <v>#VALUE!</v>
      </c>
      <c r="AJ11" s="11" t="e">
        <f aca="false">MIN(Waterfall!AJ13,MAX(0,Debt!AJ132-(AJ9-AJ10)))</f>
        <v>#VALUE!</v>
      </c>
      <c r="AK11" s="11" t="e">
        <f aca="false">MIN(Waterfall!AK13,MAX(0,Debt!AK132-(AK9-AK10)))</f>
        <v>#VALUE!</v>
      </c>
      <c r="AL11" s="11" t="e">
        <f aca="false">MIN(Waterfall!AL13,MAX(0,Debt!AL132-(AL9-AL10)))</f>
        <v>#VALUE!</v>
      </c>
      <c r="AM11" s="11" t="e">
        <f aca="false">MIN(Waterfall!AM13,MAX(0,Debt!AM132-(AM9-AM10)))</f>
        <v>#VALUE!</v>
      </c>
      <c r="AN11" s="11" t="e">
        <f aca="false">MIN(Waterfall!AN13,MAX(0,Debt!AN132-(AN9-AN10)))</f>
        <v>#VALUE!</v>
      </c>
      <c r="AO11" s="11" t="e">
        <f aca="false">MIN(Waterfall!AO13,MAX(0,Debt!AO132-(AO9-AO10)))</f>
        <v>#VALUE!</v>
      </c>
      <c r="AP11" s="11" t="e">
        <f aca="false">MIN(Waterfall!AP13,MAX(0,Debt!AP132-(AP9-AP10)))</f>
        <v>#VALUE!</v>
      </c>
      <c r="AQ11" s="11" t="e">
        <f aca="false">MIN(Waterfall!AQ13,MAX(0,Debt!AQ132-(AQ9-AQ10)))</f>
        <v>#VALUE!</v>
      </c>
      <c r="AR11" s="11" t="e">
        <f aca="false">MIN(Waterfall!AR13,MAX(0,Debt!AR132-(AR9-AR10)))</f>
        <v>#VALUE!</v>
      </c>
      <c r="AS11" s="11" t="e">
        <f aca="false">MIN(Waterfall!AS13,MAX(0,Debt!AS132-(AS9-AS10)))</f>
        <v>#VALUE!</v>
      </c>
      <c r="AT11" s="11" t="e">
        <f aca="false">MIN(Waterfall!AT13,MAX(0,Debt!AT132-(AT9-AT10)))</f>
        <v>#VALUE!</v>
      </c>
      <c r="AU11" s="11" t="e">
        <f aca="false">MIN(Waterfall!AU13,MAX(0,Debt!AU132-(AU9-AU10)))</f>
        <v>#VALUE!</v>
      </c>
      <c r="AV11" s="11" t="e">
        <f aca="false">MIN(Waterfall!AV13,MAX(0,Debt!AV132-(AV9-AV10)))</f>
        <v>#VALUE!</v>
      </c>
      <c r="AW11" s="11" t="e">
        <f aca="false">MIN(Waterfall!AW13,MAX(0,Debt!AW132-(AW9-AW10)))</f>
        <v>#VALUE!</v>
      </c>
      <c r="AX11" s="11" t="e">
        <f aca="false">MIN(Waterfall!AX13,MAX(0,Debt!AX132-(AX9-AX10)))</f>
        <v>#VALUE!</v>
      </c>
      <c r="AY11" s="11" t="e">
        <f aca="false">MIN(Waterfall!AY13,MAX(0,Debt!AY132-(AY9-AY10)))</f>
        <v>#VALUE!</v>
      </c>
      <c r="AZ11" s="11" t="e">
        <f aca="false">MIN(Waterfall!AZ13,MAX(0,Debt!AZ132-(AZ9-AZ10)))</f>
        <v>#VALUE!</v>
      </c>
      <c r="BA11" s="11" t="e">
        <f aca="false">MIN(Waterfall!BA13,MAX(0,Debt!BA132-(BA9-BA10)))</f>
        <v>#VALUE!</v>
      </c>
      <c r="BB11" s="11" t="e">
        <f aca="false">MIN(Waterfall!BB13,MAX(0,Debt!BB132-(BB9-BB10)))</f>
        <v>#VALUE!</v>
      </c>
      <c r="BC11" s="11" t="e">
        <f aca="false">MIN(Waterfall!BC13,MAX(0,Debt!BC132-(BC9-BC10)))</f>
        <v>#VALUE!</v>
      </c>
      <c r="BD11" s="11" t="e">
        <f aca="false">MIN(Waterfall!BD13,MAX(0,Debt!BD132-(BD9-BD10)))</f>
        <v>#VALUE!</v>
      </c>
      <c r="BE11" s="11" t="e">
        <f aca="false">MIN(Waterfall!BE13,MAX(0,Debt!BE132-(BE9-BE10)))</f>
        <v>#VALUE!</v>
      </c>
      <c r="BF11" s="11" t="e">
        <f aca="false">MIN(Waterfall!BF13,MAX(0,Debt!BF132-(BF9-BF10)))</f>
        <v>#VALUE!</v>
      </c>
      <c r="BG11" s="11" t="e">
        <f aca="false">MIN(Waterfall!BG13,MAX(0,Debt!BG132-(BG9-BG10)))</f>
        <v>#VALUE!</v>
      </c>
      <c r="BH11" s="11" t="e">
        <f aca="false">MIN(Waterfall!BH13,MAX(0,Debt!BH132-(BH9-BH10)))</f>
        <v>#VALUE!</v>
      </c>
      <c r="BI11" s="11" t="e">
        <f aca="false">MIN(Waterfall!BI13,MAX(0,Debt!BI132-(BI9-BI10)))</f>
        <v>#VALUE!</v>
      </c>
      <c r="BJ11" s="11" t="e">
        <f aca="false">MIN(Waterfall!BJ13,MAX(0,Debt!BJ132-(BJ9-BJ10)))</f>
        <v>#VALUE!</v>
      </c>
      <c r="BK11" s="11" t="e">
        <f aca="false">MIN(Waterfall!BK13,MAX(0,Debt!BK132-(BK9-BK10)))</f>
        <v>#VALUE!</v>
      </c>
      <c r="BL11" s="11" t="e">
        <f aca="false">MIN(Waterfall!BL13,MAX(0,Debt!BL132-(BL9-BL10)))</f>
        <v>#VALUE!</v>
      </c>
      <c r="BM11" s="11" t="e">
        <f aca="false">MIN(Waterfall!BM13,MAX(0,Debt!BM132-(BM9-BM10)))</f>
        <v>#VALUE!</v>
      </c>
      <c r="BN11" s="11" t="e">
        <f aca="false">MIN(Waterfall!BN13,MAX(0,Debt!BN132-(BN9-BN10)))</f>
        <v>#VALUE!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e">
        <f aca="false">SUM(J12:BN12)</f>
        <v>#VALUE!</v>
      </c>
      <c r="J12" s="11" t="e">
        <f aca="false">MAX(0,J9-J10-Debt!J132)</f>
        <v>#VALUE!</v>
      </c>
      <c r="K12" s="11" t="e">
        <f aca="false">MAX(0,K9-K10-Debt!K132)</f>
        <v>#VALUE!</v>
      </c>
      <c r="L12" s="11" t="e">
        <f aca="false">MAX(0,L9-L10-Debt!L132)</f>
        <v>#VALUE!</v>
      </c>
      <c r="M12" s="11" t="e">
        <f aca="false">MAX(0,M9-M10-Debt!M132)</f>
        <v>#VALUE!</v>
      </c>
      <c r="N12" s="11" t="e">
        <f aca="false">MAX(0,N9-N10-Debt!N132)</f>
        <v>#VALUE!</v>
      </c>
      <c r="O12" s="11" t="e">
        <f aca="false">MAX(0,O9-O10-Debt!O132)</f>
        <v>#VALUE!</v>
      </c>
      <c r="P12" s="11" t="e">
        <f aca="false">MAX(0,P9-P10-Debt!P132)</f>
        <v>#VALUE!</v>
      </c>
      <c r="Q12" s="11" t="e">
        <f aca="false">MAX(0,Q9-Q10-Debt!Q132)</f>
        <v>#VALUE!</v>
      </c>
      <c r="R12" s="11" t="e">
        <f aca="false">MAX(0,R9-R10-Debt!R132)</f>
        <v>#VALUE!</v>
      </c>
      <c r="S12" s="11" t="e">
        <f aca="false">MAX(0,S9-S10-Debt!S132)</f>
        <v>#VALUE!</v>
      </c>
      <c r="T12" s="11" t="e">
        <f aca="false">MAX(0,T9-T10-Debt!T132)</f>
        <v>#VALUE!</v>
      </c>
      <c r="U12" s="11" t="e">
        <f aca="false">MAX(0,U9-U10-Debt!U132)</f>
        <v>#VALUE!</v>
      </c>
      <c r="V12" s="11" t="e">
        <f aca="false">MAX(0,V9-V10-Debt!V132)</f>
        <v>#VALUE!</v>
      </c>
      <c r="W12" s="11" t="e">
        <f aca="false">MAX(0,W9-W10-Debt!W132)</f>
        <v>#VALUE!</v>
      </c>
      <c r="X12" s="11" t="e">
        <f aca="false">MAX(0,X9-X10-Debt!X132)</f>
        <v>#VALUE!</v>
      </c>
      <c r="Y12" s="11" t="e">
        <f aca="false">MAX(0,Y9-Y10-Debt!Y132)</f>
        <v>#VALUE!</v>
      </c>
      <c r="Z12" s="11" t="e">
        <f aca="false">MAX(0,Z9-Z10-Debt!Z132)</f>
        <v>#VALUE!</v>
      </c>
      <c r="AA12" s="11" t="e">
        <f aca="false">MAX(0,AA9-AA10-Debt!AA132)</f>
        <v>#VALUE!</v>
      </c>
      <c r="AB12" s="11" t="e">
        <f aca="false">MAX(0,AB9-AB10-Debt!AB132)</f>
        <v>#VALUE!</v>
      </c>
      <c r="AC12" s="11" t="e">
        <f aca="false">MAX(0,AC9-AC10-Debt!AC132)</f>
        <v>#VALUE!</v>
      </c>
      <c r="AD12" s="11" t="e">
        <f aca="false">MAX(0,AD9-AD10-Debt!AD132)</f>
        <v>#VALUE!</v>
      </c>
      <c r="AE12" s="11" t="e">
        <f aca="false">MAX(0,AE9-AE10-Debt!AE132)</f>
        <v>#VALUE!</v>
      </c>
      <c r="AF12" s="11" t="e">
        <f aca="false">MAX(0,AF9-AF10-Debt!AF132)</f>
        <v>#VALUE!</v>
      </c>
      <c r="AG12" s="11" t="e">
        <f aca="false">MAX(0,AG9-AG10-Debt!AG132)</f>
        <v>#VALUE!</v>
      </c>
      <c r="AH12" s="11" t="e">
        <f aca="false">MAX(0,AH9-AH10-Debt!AH132)</f>
        <v>#VALUE!</v>
      </c>
      <c r="AI12" s="11" t="e">
        <f aca="false">MAX(0,AI9-AI10-Debt!AI132)</f>
        <v>#VALUE!</v>
      </c>
      <c r="AJ12" s="11" t="e">
        <f aca="false">MAX(0,AJ9-AJ10-Debt!AJ132)</f>
        <v>#VALUE!</v>
      </c>
      <c r="AK12" s="11" t="e">
        <f aca="false">MAX(0,AK9-AK10-Debt!AK132)</f>
        <v>#VALUE!</v>
      </c>
      <c r="AL12" s="11" t="e">
        <f aca="false">MAX(0,AL9-AL10-Debt!AL132)</f>
        <v>#VALUE!</v>
      </c>
      <c r="AM12" s="11" t="e">
        <f aca="false">MAX(0,AM9-AM10-Debt!AM132)</f>
        <v>#VALUE!</v>
      </c>
      <c r="AN12" s="11" t="e">
        <f aca="false">MAX(0,AN9-AN10-Debt!AN132)</f>
        <v>#VALUE!</v>
      </c>
      <c r="AO12" s="11" t="e">
        <f aca="false">MAX(0,AO9-AO10-Debt!AO132)</f>
        <v>#VALUE!</v>
      </c>
      <c r="AP12" s="11" t="e">
        <f aca="false">MAX(0,AP9-AP10-Debt!AP132)</f>
        <v>#VALUE!</v>
      </c>
      <c r="AQ12" s="11" t="e">
        <f aca="false">MAX(0,AQ9-AQ10-Debt!AQ132)</f>
        <v>#VALUE!</v>
      </c>
      <c r="AR12" s="11" t="e">
        <f aca="false">MAX(0,AR9-AR10-Debt!AR132)</f>
        <v>#VALUE!</v>
      </c>
      <c r="AS12" s="11" t="e">
        <f aca="false">MAX(0,AS9-AS10-Debt!AS132)</f>
        <v>#VALUE!</v>
      </c>
      <c r="AT12" s="11" t="e">
        <f aca="false">MAX(0,AT9-AT10-Debt!AT132)</f>
        <v>#VALUE!</v>
      </c>
      <c r="AU12" s="11" t="e">
        <f aca="false">MAX(0,AU9-AU10-Debt!AU132)</f>
        <v>#VALUE!</v>
      </c>
      <c r="AV12" s="11" t="e">
        <f aca="false">MAX(0,AV9-AV10-Debt!AV132)</f>
        <v>#VALUE!</v>
      </c>
      <c r="AW12" s="11" t="e">
        <f aca="false">MAX(0,AW9-AW10-Debt!AW132)</f>
        <v>#VALUE!</v>
      </c>
      <c r="AX12" s="11" t="e">
        <f aca="false">MAX(0,AX9-AX10-Debt!AX132)</f>
        <v>#VALUE!</v>
      </c>
      <c r="AY12" s="11" t="e">
        <f aca="false">MAX(0,AY9-AY10-Debt!AY132)</f>
        <v>#VALUE!</v>
      </c>
      <c r="AZ12" s="11" t="e">
        <f aca="false">MAX(0,AZ9-AZ10-Debt!AZ132)</f>
        <v>#VALUE!</v>
      </c>
      <c r="BA12" s="11" t="e">
        <f aca="false">MAX(0,BA9-BA10-Debt!BA132)</f>
        <v>#VALUE!</v>
      </c>
      <c r="BB12" s="11" t="e">
        <f aca="false">MAX(0,BB9-BB10-Debt!BB132)</f>
        <v>#VALUE!</v>
      </c>
      <c r="BC12" s="11" t="e">
        <f aca="false">MAX(0,BC9-BC10-Debt!BC132)</f>
        <v>#VALUE!</v>
      </c>
      <c r="BD12" s="11" t="e">
        <f aca="false">MAX(0,BD9-BD10-Debt!BD132)</f>
        <v>#VALUE!</v>
      </c>
      <c r="BE12" s="11" t="e">
        <f aca="false">MAX(0,BE9-BE10-Debt!BE132)</f>
        <v>#VALUE!</v>
      </c>
      <c r="BF12" s="11" t="e">
        <f aca="false">MAX(0,BF9-BF10-Debt!BF132)</f>
        <v>#VALUE!</v>
      </c>
      <c r="BG12" s="11" t="e">
        <f aca="false">MAX(0,BG9-BG10-Debt!BG132)</f>
        <v>#VALUE!</v>
      </c>
      <c r="BH12" s="11" t="e">
        <f aca="false">MAX(0,BH9-BH10-Debt!BH132)</f>
        <v>#VALUE!</v>
      </c>
      <c r="BI12" s="11" t="e">
        <f aca="false">MAX(0,BI9-BI10-Debt!BI132)</f>
        <v>#VALUE!</v>
      </c>
      <c r="BJ12" s="11" t="e">
        <f aca="false">MAX(0,BJ9-BJ10-Debt!BJ132)</f>
        <v>#VALUE!</v>
      </c>
      <c r="BK12" s="11" t="e">
        <f aca="false">MAX(0,BK9-BK10-Debt!BK132)</f>
        <v>#VALUE!</v>
      </c>
      <c r="BL12" s="11" t="e">
        <f aca="false">MAX(0,BL9-BL10-Debt!BL132)</f>
        <v>#VALUE!</v>
      </c>
      <c r="BM12" s="11" t="e">
        <f aca="false">MAX(0,BM9-BM10-Debt!BM132)</f>
        <v>#VALUE!</v>
      </c>
      <c r="BN12" s="11" t="e">
        <f aca="false">MAX(0,BN9-BN10-Debt!BN132)</f>
        <v>#VALUE!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e">
        <f aca="false">(1-Time!J32)*(J9-J10+J11-J12)</f>
        <v>#VALUE!</v>
      </c>
      <c r="K13" s="11" t="e">
        <f aca="false">(1-Time!K32)*(K9-K10+K11-K12)</f>
        <v>#VALUE!</v>
      </c>
      <c r="L13" s="11" t="e">
        <f aca="false">(1-Time!L32)*(L9-L10+L11-L12)</f>
        <v>#VALUE!</v>
      </c>
      <c r="M13" s="11" t="e">
        <f aca="false">(1-Time!M32)*(M9-M10+M11-M12)</f>
        <v>#VALUE!</v>
      </c>
      <c r="N13" s="11" t="e">
        <f aca="false">(1-Time!N32)*(N9-N10+N11-N12)</f>
        <v>#VALUE!</v>
      </c>
      <c r="O13" s="11" t="e">
        <f aca="false">(1-Time!O32)*(O9-O10+O11-O12)</f>
        <v>#VALUE!</v>
      </c>
      <c r="P13" s="11" t="e">
        <f aca="false">(1-Time!P32)*(P9-P10+P11-P12)</f>
        <v>#VALUE!</v>
      </c>
      <c r="Q13" s="11" t="e">
        <f aca="false">(1-Time!Q32)*(Q9-Q10+Q11-Q12)</f>
        <v>#VALUE!</v>
      </c>
      <c r="R13" s="11" t="e">
        <f aca="false">(1-Time!R32)*(R9-R10+R11-R12)</f>
        <v>#VALUE!</v>
      </c>
      <c r="S13" s="11" t="e">
        <f aca="false">(1-Time!S32)*(S9-S10+S11-S12)</f>
        <v>#VALUE!</v>
      </c>
      <c r="T13" s="11" t="e">
        <f aca="false">(1-Time!T32)*(T9-T10+T11-T12)</f>
        <v>#VALUE!</v>
      </c>
      <c r="U13" s="11" t="e">
        <f aca="false">(1-Time!U32)*(U9-U10+U11-U12)</f>
        <v>#VALUE!</v>
      </c>
      <c r="V13" s="11" t="e">
        <f aca="false">(1-Time!V32)*(V9-V10+V11-V12)</f>
        <v>#VALUE!</v>
      </c>
      <c r="W13" s="11" t="e">
        <f aca="false">(1-Time!W32)*(W9-W10+W11-W12)</f>
        <v>#VALUE!</v>
      </c>
      <c r="X13" s="11" t="e">
        <f aca="false">(1-Time!X32)*(X9-X10+X11-X12)</f>
        <v>#VALUE!</v>
      </c>
      <c r="Y13" s="11" t="e">
        <f aca="false">(1-Time!Y32)*(Y9-Y10+Y11-Y12)</f>
        <v>#VALUE!</v>
      </c>
      <c r="Z13" s="11" t="e">
        <f aca="false">(1-Time!Z32)*(Z9-Z10+Z11-Z12)</f>
        <v>#VALUE!</v>
      </c>
      <c r="AA13" s="11" t="e">
        <f aca="false">(1-Time!AA32)*(AA9-AA10+AA11-AA12)</f>
        <v>#VALUE!</v>
      </c>
      <c r="AB13" s="11" t="e">
        <f aca="false">(1-Time!AB32)*(AB9-AB10+AB11-AB12)</f>
        <v>#VALUE!</v>
      </c>
      <c r="AC13" s="11" t="e">
        <f aca="false">(1-Time!AC32)*(AC9-AC10+AC11-AC12)</f>
        <v>#VALUE!</v>
      </c>
      <c r="AD13" s="11" t="e">
        <f aca="false">(1-Time!AD32)*(AD9-AD10+AD11-AD12)</f>
        <v>#VALUE!</v>
      </c>
      <c r="AE13" s="11" t="e">
        <f aca="false">(1-Time!AE32)*(AE9-AE10+AE11-AE12)</f>
        <v>#VALUE!</v>
      </c>
      <c r="AF13" s="11" t="e">
        <f aca="false">(1-Time!AF32)*(AF9-AF10+AF11-AF12)</f>
        <v>#VALUE!</v>
      </c>
      <c r="AG13" s="11" t="e">
        <f aca="false">(1-Time!AG32)*(AG9-AG10+AG11-AG12)</f>
        <v>#VALUE!</v>
      </c>
      <c r="AH13" s="11" t="e">
        <f aca="false">(1-Time!AH32)*(AH9-AH10+AH11-AH12)</f>
        <v>#VALUE!</v>
      </c>
      <c r="AI13" s="11" t="e">
        <f aca="false">(1-Time!AI32)*(AI9-AI10+AI11-AI12)</f>
        <v>#VALUE!</v>
      </c>
      <c r="AJ13" s="11" t="e">
        <f aca="false">(1-Time!AJ32)*(AJ9-AJ10+AJ11-AJ12)</f>
        <v>#VALUE!</v>
      </c>
      <c r="AK13" s="11" t="e">
        <f aca="false">(1-Time!AK32)*(AK9-AK10+AK11-AK12)</f>
        <v>#VALUE!</v>
      </c>
      <c r="AL13" s="11" t="e">
        <f aca="false">(1-Time!AL32)*(AL9-AL10+AL11-AL12)</f>
        <v>#VALUE!</v>
      </c>
      <c r="AM13" s="11" t="e">
        <f aca="false">(1-Time!AM32)*(AM9-AM10+AM11-AM12)</f>
        <v>#VALUE!</v>
      </c>
      <c r="AN13" s="11" t="e">
        <f aca="false">(1-Time!AN32)*(AN9-AN10+AN11-AN12)</f>
        <v>#VALUE!</v>
      </c>
      <c r="AO13" s="11" t="e">
        <f aca="false">(1-Time!AO32)*(AO9-AO10+AO11-AO12)</f>
        <v>#VALUE!</v>
      </c>
      <c r="AP13" s="11" t="e">
        <f aca="false">(1-Time!AP32)*(AP9-AP10+AP11-AP12)</f>
        <v>#VALUE!</v>
      </c>
      <c r="AQ13" s="11" t="e">
        <f aca="false">(1-Time!AQ32)*(AQ9-AQ10+AQ11-AQ12)</f>
        <v>#VALUE!</v>
      </c>
      <c r="AR13" s="11" t="e">
        <f aca="false">(1-Time!AR32)*(AR9-AR10+AR11-AR12)</f>
        <v>#VALUE!</v>
      </c>
      <c r="AS13" s="11" t="e">
        <f aca="false">(1-Time!AS32)*(AS9-AS10+AS11-AS12)</f>
        <v>#VALUE!</v>
      </c>
      <c r="AT13" s="11" t="e">
        <f aca="false">(1-Time!AT32)*(AT9-AT10+AT11-AT12)</f>
        <v>#VALUE!</v>
      </c>
      <c r="AU13" s="11" t="e">
        <f aca="false">(1-Time!AU32)*(AU9-AU10+AU11-AU12)</f>
        <v>#VALUE!</v>
      </c>
      <c r="AV13" s="11" t="e">
        <f aca="false">(1-Time!AV32)*(AV9-AV10+AV11-AV12)</f>
        <v>#VALUE!</v>
      </c>
      <c r="AW13" s="11" t="e">
        <f aca="false">(1-Time!AW32)*(AW9-AW10+AW11-AW12)</f>
        <v>#VALUE!</v>
      </c>
      <c r="AX13" s="11" t="e">
        <f aca="false">(1-Time!AX32)*(AX9-AX10+AX11-AX12)</f>
        <v>#VALUE!</v>
      </c>
      <c r="AY13" s="11" t="e">
        <f aca="false">(1-Time!AY32)*(AY9-AY10+AY11-AY12)</f>
        <v>#VALUE!</v>
      </c>
      <c r="AZ13" s="11" t="e">
        <f aca="false">(1-Time!AZ32)*(AZ9-AZ10+AZ11-AZ12)</f>
        <v>#VALUE!</v>
      </c>
      <c r="BA13" s="11" t="e">
        <f aca="false">(1-Time!BA32)*(BA9-BA10+BA11-BA12)</f>
        <v>#VALUE!</v>
      </c>
      <c r="BB13" s="11" t="e">
        <f aca="false">(1-Time!BB32)*(BB9-BB10+BB11-BB12)</f>
        <v>#VALUE!</v>
      </c>
      <c r="BC13" s="11" t="e">
        <f aca="false">(1-Time!BC32)*(BC9-BC10+BC11-BC12)</f>
        <v>#VALUE!</v>
      </c>
      <c r="BD13" s="11" t="e">
        <f aca="false">(1-Time!BD32)*(BD9-BD10+BD11-BD12)</f>
        <v>#VALUE!</v>
      </c>
      <c r="BE13" s="11" t="e">
        <f aca="false">(1-Time!BE32)*(BE9-BE10+BE11-BE12)</f>
        <v>#VALUE!</v>
      </c>
      <c r="BF13" s="11" t="e">
        <f aca="false">(1-Time!BF32)*(BF9-BF10+BF11-BF12)</f>
        <v>#VALUE!</v>
      </c>
      <c r="BG13" s="11" t="e">
        <f aca="false">(1-Time!BG32)*(BG9-BG10+BG11-BG12)</f>
        <v>#VALUE!</v>
      </c>
      <c r="BH13" s="11" t="e">
        <f aca="false">(1-Time!BH32)*(BH9-BH10+BH11-BH12)</f>
        <v>#VALUE!</v>
      </c>
      <c r="BI13" s="11" t="e">
        <f aca="false">(1-Time!BI32)*(BI9-BI10+BI11-BI12)</f>
        <v>#VALUE!</v>
      </c>
      <c r="BJ13" s="11" t="e">
        <f aca="false">(1-Time!BJ32)*(BJ9-BJ10+BJ11-BJ12)</f>
        <v>#VALUE!</v>
      </c>
      <c r="BK13" s="11" t="e">
        <f aca="false">(1-Time!BK32)*(BK9-BK10+BK11-BK12)</f>
        <v>#VALUE!</v>
      </c>
      <c r="BL13" s="11" t="e">
        <f aca="false">(1-Time!BL32)*(BL9-BL10+BL11-BL12)</f>
        <v>#VALUE!</v>
      </c>
      <c r="BM13" s="11" t="e">
        <f aca="false">(1-Time!BM32)*(BM9-BM10+BM11-BM12)</f>
        <v>#VALUE!</v>
      </c>
      <c r="BN13" s="11" t="e">
        <f aca="false">(1-Time!BN32)*(BN9-BN10+BN11-BN12)</f>
        <v>#VALUE!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e">
        <f aca="false">SUM(J14:BN14)</f>
        <v>#VALUE!</v>
      </c>
      <c r="J14" s="11" t="e">
        <f aca="false">MIN(Waterfall!J14,Operations!J76)</f>
        <v>#VALUE!</v>
      </c>
      <c r="K14" s="11" t="e">
        <f aca="false">MIN(Waterfall!K14,Operations!K76)</f>
        <v>#VALUE!</v>
      </c>
      <c r="L14" s="11" t="e">
        <f aca="false">MIN(Waterfall!L14,Operations!L76)</f>
        <v>#VALUE!</v>
      </c>
      <c r="M14" s="11" t="e">
        <f aca="false">MIN(Waterfall!M14,Operations!M76)</f>
        <v>#VALUE!</v>
      </c>
      <c r="N14" s="11" t="e">
        <f aca="false">MIN(Waterfall!N14,Operations!N76)</f>
        <v>#VALUE!</v>
      </c>
      <c r="O14" s="11" t="e">
        <f aca="false">MIN(Waterfall!O14,Operations!O76)</f>
        <v>#VALUE!</v>
      </c>
      <c r="P14" s="11" t="e">
        <f aca="false">MIN(Waterfall!P14,Operations!P76)</f>
        <v>#VALUE!</v>
      </c>
      <c r="Q14" s="11" t="e">
        <f aca="false">MIN(Waterfall!Q14,Operations!Q76)</f>
        <v>#VALUE!</v>
      </c>
      <c r="R14" s="11" t="e">
        <f aca="false">MIN(Waterfall!R14,Operations!R76)</f>
        <v>#VALUE!</v>
      </c>
      <c r="S14" s="11" t="e">
        <f aca="false">MIN(Waterfall!S14,Operations!S76)</f>
        <v>#VALUE!</v>
      </c>
      <c r="T14" s="11" t="e">
        <f aca="false">MIN(Waterfall!T14,Operations!T76)</f>
        <v>#VALUE!</v>
      </c>
      <c r="U14" s="11" t="e">
        <f aca="false">MIN(Waterfall!U14,Operations!U76)</f>
        <v>#VALUE!</v>
      </c>
      <c r="V14" s="11" t="e">
        <f aca="false">MIN(Waterfall!V14,Operations!V76)</f>
        <v>#VALUE!</v>
      </c>
      <c r="W14" s="11" t="e">
        <f aca="false">MIN(Waterfall!W14,Operations!W76)</f>
        <v>#VALUE!</v>
      </c>
      <c r="X14" s="11" t="e">
        <f aca="false">MIN(Waterfall!X14,Operations!X76)</f>
        <v>#VALUE!</v>
      </c>
      <c r="Y14" s="11" t="e">
        <f aca="false">MIN(Waterfall!Y14,Operations!Y76)</f>
        <v>#VALUE!</v>
      </c>
      <c r="Z14" s="11" t="e">
        <f aca="false">MIN(Waterfall!Z14,Operations!Z76)</f>
        <v>#VALUE!</v>
      </c>
      <c r="AA14" s="11" t="e">
        <f aca="false">MIN(Waterfall!AA14,Operations!AA76)</f>
        <v>#VALUE!</v>
      </c>
      <c r="AB14" s="11" t="e">
        <f aca="false">MIN(Waterfall!AB14,Operations!AB76)</f>
        <v>#VALUE!</v>
      </c>
      <c r="AC14" s="11" t="e">
        <f aca="false">MIN(Waterfall!AC14,Operations!AC76)</f>
        <v>#VALUE!</v>
      </c>
      <c r="AD14" s="11" t="e">
        <f aca="false">MIN(Waterfall!AD14,Operations!AD76)</f>
        <v>#VALUE!</v>
      </c>
      <c r="AE14" s="11" t="e">
        <f aca="false">MIN(Waterfall!AE14,Operations!AE76)</f>
        <v>#VALUE!</v>
      </c>
      <c r="AF14" s="11" t="e">
        <f aca="false">MIN(Waterfall!AF14,Operations!AF76)</f>
        <v>#VALUE!</v>
      </c>
      <c r="AG14" s="11" t="e">
        <f aca="false">MIN(Waterfall!AG14,Operations!AG76)</f>
        <v>#VALUE!</v>
      </c>
      <c r="AH14" s="11" t="e">
        <f aca="false">MIN(Waterfall!AH14,Operations!AH76)</f>
        <v>#VALUE!</v>
      </c>
      <c r="AI14" s="11" t="e">
        <f aca="false">MIN(Waterfall!AI14,Operations!AI76)</f>
        <v>#VALUE!</v>
      </c>
      <c r="AJ14" s="11" t="e">
        <f aca="false">MIN(Waterfall!AJ14,Operations!AJ76)</f>
        <v>#VALUE!</v>
      </c>
      <c r="AK14" s="11" t="e">
        <f aca="false">MIN(Waterfall!AK14,Operations!AK76)</f>
        <v>#VALUE!</v>
      </c>
      <c r="AL14" s="11" t="e">
        <f aca="false">MIN(Waterfall!AL14,Operations!AL76)</f>
        <v>#VALUE!</v>
      </c>
      <c r="AM14" s="11" t="e">
        <f aca="false">MIN(Waterfall!AM14,Operations!AM76)</f>
        <v>#VALUE!</v>
      </c>
      <c r="AN14" s="11" t="e">
        <f aca="false">MIN(Waterfall!AN14,Operations!AN76)</f>
        <v>#VALUE!</v>
      </c>
      <c r="AO14" s="11" t="e">
        <f aca="false">MIN(Waterfall!AO14,Operations!AO76)</f>
        <v>#VALUE!</v>
      </c>
      <c r="AP14" s="11" t="e">
        <f aca="false">MIN(Waterfall!AP14,Operations!AP76)</f>
        <v>#VALUE!</v>
      </c>
      <c r="AQ14" s="11" t="e">
        <f aca="false">MIN(Waterfall!AQ14,Operations!AQ76)</f>
        <v>#VALUE!</v>
      </c>
      <c r="AR14" s="11" t="e">
        <f aca="false">MIN(Waterfall!AR14,Operations!AR76)</f>
        <v>#VALUE!</v>
      </c>
      <c r="AS14" s="11" t="e">
        <f aca="false">MIN(Waterfall!AS14,Operations!AS76)</f>
        <v>#VALUE!</v>
      </c>
      <c r="AT14" s="11" t="e">
        <f aca="false">MIN(Waterfall!AT14,Operations!AT76)</f>
        <v>#VALUE!</v>
      </c>
      <c r="AU14" s="11" t="e">
        <f aca="false">MIN(Waterfall!AU14,Operations!AU76)</f>
        <v>#VALUE!</v>
      </c>
      <c r="AV14" s="11" t="e">
        <f aca="false">MIN(Waterfall!AV14,Operations!AV76)</f>
        <v>#VALUE!</v>
      </c>
      <c r="AW14" s="11" t="e">
        <f aca="false">MIN(Waterfall!AW14,Operations!AW76)</f>
        <v>#VALUE!</v>
      </c>
      <c r="AX14" s="11" t="e">
        <f aca="false">MIN(Waterfall!AX14,Operations!AX76)</f>
        <v>#VALUE!</v>
      </c>
      <c r="AY14" s="11" t="e">
        <f aca="false">MIN(Waterfall!AY14,Operations!AY76)</f>
        <v>#VALUE!</v>
      </c>
      <c r="AZ14" s="11" t="e">
        <f aca="false">MIN(Waterfall!AZ14,Operations!AZ76)</f>
        <v>#VALUE!</v>
      </c>
      <c r="BA14" s="11" t="e">
        <f aca="false">MIN(Waterfall!BA14,Operations!BA76)</f>
        <v>#VALUE!</v>
      </c>
      <c r="BB14" s="11" t="e">
        <f aca="false">MIN(Waterfall!BB14,Operations!BB76)</f>
        <v>#VALUE!</v>
      </c>
      <c r="BC14" s="11" t="e">
        <f aca="false">MIN(Waterfall!BC14,Operations!BC76)</f>
        <v>#VALUE!</v>
      </c>
      <c r="BD14" s="11" t="e">
        <f aca="false">MIN(Waterfall!BD14,Operations!BD76)</f>
        <v>#VALUE!</v>
      </c>
      <c r="BE14" s="11" t="e">
        <f aca="false">MIN(Waterfall!BE14,Operations!BE76)</f>
        <v>#VALUE!</v>
      </c>
      <c r="BF14" s="11" t="e">
        <f aca="false">MIN(Waterfall!BF14,Operations!BF76)</f>
        <v>#VALUE!</v>
      </c>
      <c r="BG14" s="11" t="e">
        <f aca="false">MIN(Waterfall!BG14,Operations!BG76)</f>
        <v>#VALUE!</v>
      </c>
      <c r="BH14" s="11" t="e">
        <f aca="false">MIN(Waterfall!BH14,Operations!BH76)</f>
        <v>#VALUE!</v>
      </c>
      <c r="BI14" s="11" t="e">
        <f aca="false">MIN(Waterfall!BI14,Operations!BI76)</f>
        <v>#VALUE!</v>
      </c>
      <c r="BJ14" s="11" t="e">
        <f aca="false">MIN(Waterfall!BJ14,Operations!BJ76)</f>
        <v>#VALUE!</v>
      </c>
      <c r="BK14" s="11" t="e">
        <f aca="false">MIN(Waterfall!BK14,Operations!BK76)</f>
        <v>#VALUE!</v>
      </c>
      <c r="BL14" s="11" t="e">
        <f aca="false">MIN(Waterfall!BL14,Operations!BL76)</f>
        <v>#VALUE!</v>
      </c>
      <c r="BM14" s="11" t="e">
        <f aca="false">MIN(Waterfall!BM14,Operations!BM76)</f>
        <v>#VALUE!</v>
      </c>
      <c r="BN14" s="11" t="e">
        <f aca="false">MIN(Waterfall!BN14,Operations!BN76)</f>
        <v>#VALUE!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e">
        <f aca="false">SUM(J15:BN15)</f>
        <v>#VALUE!</v>
      </c>
      <c r="J15" s="11" t="e">
        <f aca="false">Time!J32*(0+J14)</f>
        <v>#VALUE!</v>
      </c>
      <c r="K15" s="11" t="e">
        <f aca="false">Time!K32*(J16+K14)</f>
        <v>#VALUE!</v>
      </c>
      <c r="L15" s="11" t="e">
        <f aca="false">Time!L32*(K16+L14)</f>
        <v>#VALUE!</v>
      </c>
      <c r="M15" s="11" t="e">
        <f aca="false">Time!M32*(L16+M14)</f>
        <v>#VALUE!</v>
      </c>
      <c r="N15" s="11" t="e">
        <f aca="false">Time!N32*(M16+N14)</f>
        <v>#VALUE!</v>
      </c>
      <c r="O15" s="11" t="e">
        <f aca="false">Time!O32*(N16+O14)</f>
        <v>#VALUE!</v>
      </c>
      <c r="P15" s="11" t="e">
        <f aca="false">Time!P32*(O16+P14)</f>
        <v>#VALUE!</v>
      </c>
      <c r="Q15" s="11" t="e">
        <f aca="false">Time!Q32*(P16+Q14)</f>
        <v>#VALUE!</v>
      </c>
      <c r="R15" s="11" t="e">
        <f aca="false">Time!R32*(Q16+R14)</f>
        <v>#VALUE!</v>
      </c>
      <c r="S15" s="11" t="e">
        <f aca="false">Time!S32*(R16+S14)</f>
        <v>#VALUE!</v>
      </c>
      <c r="T15" s="11" t="e">
        <f aca="false">Time!T32*(S16+T14)</f>
        <v>#VALUE!</v>
      </c>
      <c r="U15" s="11" t="e">
        <f aca="false">Time!U32*(T16+U14)</f>
        <v>#VALUE!</v>
      </c>
      <c r="V15" s="11" t="e">
        <f aca="false">Time!V32*(U16+V14)</f>
        <v>#VALUE!</v>
      </c>
      <c r="W15" s="11" t="e">
        <f aca="false">Time!W32*(V16+W14)</f>
        <v>#VALUE!</v>
      </c>
      <c r="X15" s="11" t="e">
        <f aca="false">Time!X32*(W16+X14)</f>
        <v>#VALUE!</v>
      </c>
      <c r="Y15" s="11" t="e">
        <f aca="false">Time!Y32*(X16+Y14)</f>
        <v>#VALUE!</v>
      </c>
      <c r="Z15" s="11" t="e">
        <f aca="false">Time!Z32*(Y16+Z14)</f>
        <v>#VALUE!</v>
      </c>
      <c r="AA15" s="11" t="e">
        <f aca="false">Time!AA32*(Z16+AA14)</f>
        <v>#VALUE!</v>
      </c>
      <c r="AB15" s="11" t="e">
        <f aca="false">Time!AB32*(AA16+AB14)</f>
        <v>#VALUE!</v>
      </c>
      <c r="AC15" s="11" t="e">
        <f aca="false">Time!AC32*(AB16+AC14)</f>
        <v>#VALUE!</v>
      </c>
      <c r="AD15" s="11" t="e">
        <f aca="false">Time!AD32*(AC16+AD14)</f>
        <v>#VALUE!</v>
      </c>
      <c r="AE15" s="11" t="e">
        <f aca="false">Time!AE32*(AD16+AE14)</f>
        <v>#VALUE!</v>
      </c>
      <c r="AF15" s="11" t="e">
        <f aca="false">Time!AF32*(AE16+AF14)</f>
        <v>#VALUE!</v>
      </c>
      <c r="AG15" s="11" t="e">
        <f aca="false">Time!AG32*(AF16+AG14)</f>
        <v>#VALUE!</v>
      </c>
      <c r="AH15" s="11" t="e">
        <f aca="false">Time!AH32*(AG16+AH14)</f>
        <v>#VALUE!</v>
      </c>
      <c r="AI15" s="11" t="e">
        <f aca="false">Time!AI32*(AH16+AI14)</f>
        <v>#VALUE!</v>
      </c>
      <c r="AJ15" s="11" t="e">
        <f aca="false">Time!AJ32*(AI16+AJ14)</f>
        <v>#VALUE!</v>
      </c>
      <c r="AK15" s="11" t="e">
        <f aca="false">Time!AK32*(AJ16+AK14)</f>
        <v>#VALUE!</v>
      </c>
      <c r="AL15" s="11" t="e">
        <f aca="false">Time!AL32*(AK16+AL14)</f>
        <v>#VALUE!</v>
      </c>
      <c r="AM15" s="11" t="e">
        <f aca="false">Time!AM32*(AL16+AM14)</f>
        <v>#VALUE!</v>
      </c>
      <c r="AN15" s="11" t="e">
        <f aca="false">Time!AN32*(AM16+AN14)</f>
        <v>#VALUE!</v>
      </c>
      <c r="AO15" s="11" t="e">
        <f aca="false">Time!AO32*(AN16+AO14)</f>
        <v>#VALUE!</v>
      </c>
      <c r="AP15" s="11" t="e">
        <f aca="false">Time!AP32*(AO16+AP14)</f>
        <v>#VALUE!</v>
      </c>
      <c r="AQ15" s="11" t="e">
        <f aca="false">Time!AQ32*(AP16+AQ14)</f>
        <v>#VALUE!</v>
      </c>
      <c r="AR15" s="11" t="e">
        <f aca="false">Time!AR32*(AQ16+AR14)</f>
        <v>#VALUE!</v>
      </c>
      <c r="AS15" s="11" t="e">
        <f aca="false">Time!AS32*(AR16+AS14)</f>
        <v>#VALUE!</v>
      </c>
      <c r="AT15" s="11" t="e">
        <f aca="false">Time!AT32*(AS16+AT14)</f>
        <v>#VALUE!</v>
      </c>
      <c r="AU15" s="11" t="e">
        <f aca="false">Time!AU32*(AT16+AU14)</f>
        <v>#VALUE!</v>
      </c>
      <c r="AV15" s="11" t="e">
        <f aca="false">Time!AV32*(AU16+AV14)</f>
        <v>#VALUE!</v>
      </c>
      <c r="AW15" s="11" t="e">
        <f aca="false">Time!AW32*(AV16+AW14)</f>
        <v>#VALUE!</v>
      </c>
      <c r="AX15" s="11" t="e">
        <f aca="false">Time!AX32*(AW16+AX14)</f>
        <v>#VALUE!</v>
      </c>
      <c r="AY15" s="11" t="e">
        <f aca="false">Time!AY32*(AX16+AY14)</f>
        <v>#VALUE!</v>
      </c>
      <c r="AZ15" s="11" t="e">
        <f aca="false">Time!AZ32*(AY16+AZ14)</f>
        <v>#VALUE!</v>
      </c>
      <c r="BA15" s="11" t="e">
        <f aca="false">Time!BA32*(AZ16+BA14)</f>
        <v>#VALUE!</v>
      </c>
      <c r="BB15" s="11" t="e">
        <f aca="false">Time!BB32*(BA16+BB14)</f>
        <v>#VALUE!</v>
      </c>
      <c r="BC15" s="11" t="e">
        <f aca="false">Time!BC32*(BB16+BC14)</f>
        <v>#VALUE!</v>
      </c>
      <c r="BD15" s="11" t="e">
        <f aca="false">Time!BD32*(BC16+BD14)</f>
        <v>#VALUE!</v>
      </c>
      <c r="BE15" s="11" t="e">
        <f aca="false">Time!BE32*(BD16+BE14)</f>
        <v>#VALUE!</v>
      </c>
      <c r="BF15" s="11" t="e">
        <f aca="false">Time!BF32*(BE16+BF14)</f>
        <v>#VALUE!</v>
      </c>
      <c r="BG15" s="11" t="e">
        <f aca="false">Time!BG32*(BF16+BG14)</f>
        <v>#VALUE!</v>
      </c>
      <c r="BH15" s="11" t="e">
        <f aca="false">Time!BH32*(BG16+BH14)</f>
        <v>#VALUE!</v>
      </c>
      <c r="BI15" s="11" t="e">
        <f aca="false">Time!BI32*(BH16+BI14)</f>
        <v>#VALUE!</v>
      </c>
      <c r="BJ15" s="11" t="e">
        <f aca="false">Time!BJ32*(BI16+BJ14)</f>
        <v>#VALUE!</v>
      </c>
      <c r="BK15" s="11" t="e">
        <f aca="false">Time!BK32*(BJ16+BK14)</f>
        <v>#VALUE!</v>
      </c>
      <c r="BL15" s="11" t="e">
        <f aca="false">Time!BL32*(BK16+BL14)</f>
        <v>#VALUE!</v>
      </c>
      <c r="BM15" s="11" t="e">
        <f aca="false">Time!BM32*(BL16+BM14)</f>
        <v>#VALUE!</v>
      </c>
      <c r="BN15" s="11" t="e">
        <f aca="false">Time!BN32*(BM16+BN14)</f>
        <v>#VALUE!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e">
        <f aca="false">0+J14-J15</f>
        <v>#VALUE!</v>
      </c>
      <c r="K16" s="11" t="e">
        <f aca="false">J16+K14-K15</f>
        <v>#VALUE!</v>
      </c>
      <c r="L16" s="11" t="e">
        <f aca="false">K16+L14-L15</f>
        <v>#VALUE!</v>
      </c>
      <c r="M16" s="11" t="e">
        <f aca="false">L16+M14-M15</f>
        <v>#VALUE!</v>
      </c>
      <c r="N16" s="11" t="e">
        <f aca="false">M16+N14-N15</f>
        <v>#VALUE!</v>
      </c>
      <c r="O16" s="11" t="e">
        <f aca="false">N16+O14-O15</f>
        <v>#VALUE!</v>
      </c>
      <c r="P16" s="11" t="e">
        <f aca="false">O16+P14-P15</f>
        <v>#VALUE!</v>
      </c>
      <c r="Q16" s="11" t="e">
        <f aca="false">P16+Q14-Q15</f>
        <v>#VALUE!</v>
      </c>
      <c r="R16" s="11" t="e">
        <f aca="false">Q16+R14-R15</f>
        <v>#VALUE!</v>
      </c>
      <c r="S16" s="11" t="e">
        <f aca="false">R16+S14-S15</f>
        <v>#VALUE!</v>
      </c>
      <c r="T16" s="11" t="e">
        <f aca="false">S16+T14-T15</f>
        <v>#VALUE!</v>
      </c>
      <c r="U16" s="11" t="e">
        <f aca="false">T16+U14-U15</f>
        <v>#VALUE!</v>
      </c>
      <c r="V16" s="11" t="e">
        <f aca="false">U16+V14-V15</f>
        <v>#VALUE!</v>
      </c>
      <c r="W16" s="11" t="e">
        <f aca="false">V16+W14-W15</f>
        <v>#VALUE!</v>
      </c>
      <c r="X16" s="11" t="e">
        <f aca="false">W16+X14-X15</f>
        <v>#VALUE!</v>
      </c>
      <c r="Y16" s="11" t="e">
        <f aca="false">X16+Y14-Y15</f>
        <v>#VALUE!</v>
      </c>
      <c r="Z16" s="11" t="e">
        <f aca="false">Y16+Z14-Z15</f>
        <v>#VALUE!</v>
      </c>
      <c r="AA16" s="11" t="e">
        <f aca="false">Z16+AA14-AA15</f>
        <v>#VALUE!</v>
      </c>
      <c r="AB16" s="11" t="e">
        <f aca="false">AA16+AB14-AB15</f>
        <v>#VALUE!</v>
      </c>
      <c r="AC16" s="11" t="e">
        <f aca="false">AB16+AC14-AC15</f>
        <v>#VALUE!</v>
      </c>
      <c r="AD16" s="11" t="e">
        <f aca="false">AC16+AD14-AD15</f>
        <v>#VALUE!</v>
      </c>
      <c r="AE16" s="11" t="e">
        <f aca="false">AD16+AE14-AE15</f>
        <v>#VALUE!</v>
      </c>
      <c r="AF16" s="11" t="e">
        <f aca="false">AE16+AF14-AF15</f>
        <v>#VALUE!</v>
      </c>
      <c r="AG16" s="11" t="e">
        <f aca="false">AF16+AG14-AG15</f>
        <v>#VALUE!</v>
      </c>
      <c r="AH16" s="11" t="e">
        <f aca="false">AG16+AH14-AH15</f>
        <v>#VALUE!</v>
      </c>
      <c r="AI16" s="11" t="e">
        <f aca="false">AH16+AI14-AI15</f>
        <v>#VALUE!</v>
      </c>
      <c r="AJ16" s="11" t="e">
        <f aca="false">AI16+AJ14-AJ15</f>
        <v>#VALUE!</v>
      </c>
      <c r="AK16" s="11" t="e">
        <f aca="false">AJ16+AK14-AK15</f>
        <v>#VALUE!</v>
      </c>
      <c r="AL16" s="11" t="e">
        <f aca="false">AK16+AL14-AL15</f>
        <v>#VALUE!</v>
      </c>
      <c r="AM16" s="11" t="e">
        <f aca="false">AL16+AM14-AM15</f>
        <v>#VALUE!</v>
      </c>
      <c r="AN16" s="11" t="e">
        <f aca="false">AM16+AN14-AN15</f>
        <v>#VALUE!</v>
      </c>
      <c r="AO16" s="11" t="e">
        <f aca="false">AN16+AO14-AO15</f>
        <v>#VALUE!</v>
      </c>
      <c r="AP16" s="11" t="e">
        <f aca="false">AO16+AP14-AP15</f>
        <v>#VALUE!</v>
      </c>
      <c r="AQ16" s="11" t="e">
        <f aca="false">AP16+AQ14-AQ15</f>
        <v>#VALUE!</v>
      </c>
      <c r="AR16" s="11" t="e">
        <f aca="false">AQ16+AR14-AR15</f>
        <v>#VALUE!</v>
      </c>
      <c r="AS16" s="11" t="e">
        <f aca="false">AR16+AS14-AS15</f>
        <v>#VALUE!</v>
      </c>
      <c r="AT16" s="11" t="e">
        <f aca="false">AS16+AT14-AT15</f>
        <v>#VALUE!</v>
      </c>
      <c r="AU16" s="11" t="e">
        <f aca="false">AT16+AU14-AU15</f>
        <v>#VALUE!</v>
      </c>
      <c r="AV16" s="11" t="e">
        <f aca="false">AU16+AV14-AV15</f>
        <v>#VALUE!</v>
      </c>
      <c r="AW16" s="11" t="e">
        <f aca="false">AV16+AW14-AW15</f>
        <v>#VALUE!</v>
      </c>
      <c r="AX16" s="11" t="e">
        <f aca="false">AW16+AX14-AX15</f>
        <v>#VALUE!</v>
      </c>
      <c r="AY16" s="11" t="e">
        <f aca="false">AX16+AY14-AY15</f>
        <v>#VALUE!</v>
      </c>
      <c r="AZ16" s="11" t="e">
        <f aca="false">AY16+AZ14-AZ15</f>
        <v>#VALUE!</v>
      </c>
      <c r="BA16" s="11" t="e">
        <f aca="false">AZ16+BA14-BA15</f>
        <v>#VALUE!</v>
      </c>
      <c r="BB16" s="11" t="e">
        <f aca="false">BA16+BB14-BB15</f>
        <v>#VALUE!</v>
      </c>
      <c r="BC16" s="11" t="e">
        <f aca="false">BB16+BC14-BC15</f>
        <v>#VALUE!</v>
      </c>
      <c r="BD16" s="11" t="e">
        <f aca="false">BC16+BD14-BD15</f>
        <v>#VALUE!</v>
      </c>
      <c r="BE16" s="11" t="e">
        <f aca="false">BD16+BE14-BE15</f>
        <v>#VALUE!</v>
      </c>
      <c r="BF16" s="11" t="e">
        <f aca="false">BE16+BF14-BF15</f>
        <v>#VALUE!</v>
      </c>
      <c r="BG16" s="11" t="e">
        <f aca="false">BF16+BG14-BG15</f>
        <v>#VALUE!</v>
      </c>
      <c r="BH16" s="11" t="e">
        <f aca="false">BG16+BH14-BH15</f>
        <v>#VALUE!</v>
      </c>
      <c r="BI16" s="11" t="e">
        <f aca="false">BH16+BI14-BI15</f>
        <v>#VALUE!</v>
      </c>
      <c r="BJ16" s="11" t="e">
        <f aca="false">BI16+BJ14-BJ15</f>
        <v>#VALUE!</v>
      </c>
      <c r="BK16" s="11" t="e">
        <f aca="false">BJ16+BK14-BK15</f>
        <v>#VALUE!</v>
      </c>
      <c r="BL16" s="11" t="e">
        <f aca="false">BK16+BL14-BL15</f>
        <v>#VALUE!</v>
      </c>
      <c r="BM16" s="11" t="e">
        <f aca="false">BL16+BM14-BM15</f>
        <v>#VALUE!</v>
      </c>
      <c r="BN16" s="11" t="e">
        <f aca="false">BM16+BN14-BN15</f>
        <v>#VALUE!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e">
        <f aca="false">SUM(J7:BN7)</f>
        <v>#VALUE!</v>
      </c>
      <c r="J7" s="11" t="e">
        <f aca="false">Operations!J79-Tax!J27-Operations!J91-Reserves!J7+Operations!J74+Operations!J92</f>
        <v>#VALUE!</v>
      </c>
      <c r="K7" s="11" t="e">
        <f aca="false">Operations!K79-Tax!K27-Operations!K91-Reserves!K7+Operations!K74+Operations!K92</f>
        <v>#VALUE!</v>
      </c>
      <c r="L7" s="11" t="e">
        <f aca="false">Operations!L79-Tax!L27-Operations!L91-Reserves!L7+Operations!L74+Operations!L92</f>
        <v>#VALUE!</v>
      </c>
      <c r="M7" s="11" t="e">
        <f aca="false">Operations!M79-Tax!M27-Operations!M91-Reserves!M7+Operations!M74+Operations!M92</f>
        <v>#VALUE!</v>
      </c>
      <c r="N7" s="11" t="e">
        <f aca="false">Operations!N79-Tax!N27-Operations!N91-Reserves!N7+Operations!N74+Operations!N92</f>
        <v>#VALUE!</v>
      </c>
      <c r="O7" s="11" t="e">
        <f aca="false">Operations!O79-Tax!O27-Operations!O91-Reserves!O7+Operations!O74+Operations!O92</f>
        <v>#VALUE!</v>
      </c>
      <c r="P7" s="11" t="e">
        <f aca="false">Operations!P79-Tax!P27-Operations!P91-Reserves!P7+Operations!P74+Operations!P92</f>
        <v>#VALUE!</v>
      </c>
      <c r="Q7" s="11" t="e">
        <f aca="false">Operations!Q79-Tax!Q27-Operations!Q91-Reserves!Q7+Operations!Q74+Operations!Q92</f>
        <v>#VALUE!</v>
      </c>
      <c r="R7" s="11" t="e">
        <f aca="false">Operations!R79-Tax!R27-Operations!R91-Reserves!R7+Operations!R74+Operations!R92</f>
        <v>#VALUE!</v>
      </c>
      <c r="S7" s="11" t="e">
        <f aca="false">Operations!S79-Tax!S27-Operations!S91-Reserves!S7+Operations!S74+Operations!S92</f>
        <v>#VALUE!</v>
      </c>
      <c r="T7" s="11" t="e">
        <f aca="false">Operations!T79-Tax!T27-Operations!T91-Reserves!T7+Operations!T74+Operations!T92</f>
        <v>#VALUE!</v>
      </c>
      <c r="U7" s="11" t="e">
        <f aca="false">Operations!U79-Tax!U27-Operations!U91-Reserves!U7+Operations!U74+Operations!U92</f>
        <v>#VALUE!</v>
      </c>
      <c r="V7" s="11" t="e">
        <f aca="false">Operations!V79-Tax!V27-Operations!V91-Reserves!V7+Operations!V74+Operations!V92</f>
        <v>#VALUE!</v>
      </c>
      <c r="W7" s="11" t="e">
        <f aca="false">Operations!W79-Tax!W27-Operations!W91-Reserves!W7+Operations!W74+Operations!W92</f>
        <v>#VALUE!</v>
      </c>
      <c r="X7" s="11" t="e">
        <f aca="false">Operations!X79-Tax!X27-Operations!X91-Reserves!X7+Operations!X74+Operations!X92</f>
        <v>#VALUE!</v>
      </c>
      <c r="Y7" s="11" t="e">
        <f aca="false">Operations!Y79-Tax!Y27-Operations!Y91-Reserves!Y7+Operations!Y74+Operations!Y92</f>
        <v>#VALUE!</v>
      </c>
      <c r="Z7" s="11" t="e">
        <f aca="false">Operations!Z79-Tax!Z27-Operations!Z91-Reserves!Z7+Operations!Z74+Operations!Z92</f>
        <v>#VALUE!</v>
      </c>
      <c r="AA7" s="11" t="e">
        <f aca="false">Operations!AA79-Tax!AA27-Operations!AA91-Reserves!AA7+Operations!AA74+Operations!AA92</f>
        <v>#VALUE!</v>
      </c>
      <c r="AB7" s="11" t="e">
        <f aca="false">Operations!AB79-Tax!AB27-Operations!AB91-Reserves!AB7+Operations!AB74+Operations!AB92</f>
        <v>#VALUE!</v>
      </c>
      <c r="AC7" s="11" t="e">
        <f aca="false">Operations!AC79-Tax!AC27-Operations!AC91-Reserves!AC7+Operations!AC74+Operations!AC92</f>
        <v>#VALUE!</v>
      </c>
      <c r="AD7" s="11" t="e">
        <f aca="false">Operations!AD79-Tax!AD27-Operations!AD91-Reserves!AD7+Operations!AD74+Operations!AD92</f>
        <v>#VALUE!</v>
      </c>
      <c r="AE7" s="11" t="e">
        <f aca="false">Operations!AE79-Tax!AE27-Operations!AE91-Reserves!AE7+Operations!AE74+Operations!AE92</f>
        <v>#VALUE!</v>
      </c>
      <c r="AF7" s="11" t="e">
        <f aca="false">Operations!AF79-Tax!AF27-Operations!AF91-Reserves!AF7+Operations!AF74+Operations!AF92</f>
        <v>#VALUE!</v>
      </c>
      <c r="AG7" s="11" t="e">
        <f aca="false">Operations!AG79-Tax!AG27-Operations!AG91-Reserves!AG7+Operations!AG74+Operations!AG92</f>
        <v>#VALUE!</v>
      </c>
      <c r="AH7" s="11" t="e">
        <f aca="false">Operations!AH79-Tax!AH27-Operations!AH91-Reserves!AH7+Operations!AH74+Operations!AH92</f>
        <v>#VALUE!</v>
      </c>
      <c r="AI7" s="11" t="e">
        <f aca="false">Operations!AI79-Tax!AI27-Operations!AI91-Reserves!AI7+Operations!AI74+Operations!AI92</f>
        <v>#VALUE!</v>
      </c>
      <c r="AJ7" s="11" t="e">
        <f aca="false">Operations!AJ79-Tax!AJ27-Operations!AJ91-Reserves!AJ7+Operations!AJ74+Operations!AJ92</f>
        <v>#VALUE!</v>
      </c>
      <c r="AK7" s="11" t="e">
        <f aca="false">Operations!AK79-Tax!AK27-Operations!AK91-Reserves!AK7+Operations!AK74+Operations!AK92</f>
        <v>#VALUE!</v>
      </c>
      <c r="AL7" s="11" t="e">
        <f aca="false">Operations!AL79-Tax!AL27-Operations!AL91-Reserves!AL7+Operations!AL74+Operations!AL92</f>
        <v>#VALUE!</v>
      </c>
      <c r="AM7" s="11" t="e">
        <f aca="false">Operations!AM79-Tax!AM27-Operations!AM91-Reserves!AM7+Operations!AM74+Operations!AM92</f>
        <v>#VALUE!</v>
      </c>
      <c r="AN7" s="11" t="e">
        <f aca="false">Operations!AN79-Tax!AN27-Operations!AN91-Reserves!AN7+Operations!AN74+Operations!AN92</f>
        <v>#VALUE!</v>
      </c>
      <c r="AO7" s="11" t="e">
        <f aca="false">Operations!AO79-Tax!AO27-Operations!AO91-Reserves!AO7+Operations!AO74+Operations!AO92</f>
        <v>#VALUE!</v>
      </c>
      <c r="AP7" s="11" t="e">
        <f aca="false">Operations!AP79-Tax!AP27-Operations!AP91-Reserves!AP7+Operations!AP74+Operations!AP92</f>
        <v>#VALUE!</v>
      </c>
      <c r="AQ7" s="11" t="e">
        <f aca="false">Operations!AQ79-Tax!AQ27-Operations!AQ91-Reserves!AQ7+Operations!AQ74+Operations!AQ92</f>
        <v>#VALUE!</v>
      </c>
      <c r="AR7" s="11" t="e">
        <f aca="false">Operations!AR79-Tax!AR27-Operations!AR91-Reserves!AR7+Operations!AR74+Operations!AR92</f>
        <v>#VALUE!</v>
      </c>
      <c r="AS7" s="11" t="e">
        <f aca="false">Operations!AS79-Tax!AS27-Operations!AS91-Reserves!AS7+Operations!AS74+Operations!AS92</f>
        <v>#VALUE!</v>
      </c>
      <c r="AT7" s="11" t="e">
        <f aca="false">Operations!AT79-Tax!AT27-Operations!AT91-Reserves!AT7+Operations!AT74+Operations!AT92</f>
        <v>#VALUE!</v>
      </c>
      <c r="AU7" s="11" t="e">
        <f aca="false">Operations!AU79-Tax!AU27-Operations!AU91-Reserves!AU7+Operations!AU74+Operations!AU92</f>
        <v>#VALUE!</v>
      </c>
      <c r="AV7" s="11" t="e">
        <f aca="false">Operations!AV79-Tax!AV27-Operations!AV91-Reserves!AV7+Operations!AV74+Operations!AV92</f>
        <v>#VALUE!</v>
      </c>
      <c r="AW7" s="11" t="e">
        <f aca="false">Operations!AW79-Tax!AW27-Operations!AW91-Reserves!AW7+Operations!AW74+Operations!AW92</f>
        <v>#VALUE!</v>
      </c>
      <c r="AX7" s="11" t="e">
        <f aca="false">Operations!AX79-Tax!AX27-Operations!AX91-Reserves!AX7+Operations!AX74+Operations!AX92</f>
        <v>#VALUE!</v>
      </c>
      <c r="AY7" s="11" t="e">
        <f aca="false">Operations!AY79-Tax!AY27-Operations!AY91-Reserves!AY7+Operations!AY74+Operations!AY92</f>
        <v>#VALUE!</v>
      </c>
      <c r="AZ7" s="11" t="e">
        <f aca="false">Operations!AZ79-Tax!AZ27-Operations!AZ91-Reserves!AZ7+Operations!AZ74+Operations!AZ92</f>
        <v>#VALUE!</v>
      </c>
      <c r="BA7" s="11" t="e">
        <f aca="false">Operations!BA79-Tax!BA27-Operations!BA91-Reserves!BA7+Operations!BA74+Operations!BA92</f>
        <v>#VALUE!</v>
      </c>
      <c r="BB7" s="11" t="e">
        <f aca="false">Operations!BB79-Tax!BB27-Operations!BB91-Reserves!BB7+Operations!BB74+Operations!BB92</f>
        <v>#VALUE!</v>
      </c>
      <c r="BC7" s="11" t="e">
        <f aca="false">Operations!BC79-Tax!BC27-Operations!BC91-Reserves!BC7+Operations!BC74+Operations!BC92</f>
        <v>#VALUE!</v>
      </c>
      <c r="BD7" s="11" t="e">
        <f aca="false">Operations!BD79-Tax!BD27-Operations!BD91-Reserves!BD7+Operations!BD74+Operations!BD92</f>
        <v>#VALUE!</v>
      </c>
      <c r="BE7" s="11" t="e">
        <f aca="false">Operations!BE79-Tax!BE27-Operations!BE91-Reserves!BE7+Operations!BE74+Operations!BE92</f>
        <v>#VALUE!</v>
      </c>
      <c r="BF7" s="11" t="e">
        <f aca="false">Operations!BF79-Tax!BF27-Operations!BF91-Reserves!BF7+Operations!BF74+Operations!BF92</f>
        <v>#VALUE!</v>
      </c>
      <c r="BG7" s="11" t="e">
        <f aca="false">Operations!BG79-Tax!BG27-Operations!BG91-Reserves!BG7+Operations!BG74+Operations!BG92</f>
        <v>#VALUE!</v>
      </c>
      <c r="BH7" s="11" t="e">
        <f aca="false">Operations!BH79-Tax!BH27-Operations!BH91-Reserves!BH7+Operations!BH74+Operations!BH92</f>
        <v>#VALUE!</v>
      </c>
      <c r="BI7" s="11" t="e">
        <f aca="false">Operations!BI79-Tax!BI27-Operations!BI91-Reserves!BI7+Operations!BI74+Operations!BI92</f>
        <v>#VALUE!</v>
      </c>
      <c r="BJ7" s="11" t="e">
        <f aca="false">Operations!BJ79-Tax!BJ27-Operations!BJ91-Reserves!BJ7+Operations!BJ74+Operations!BJ92</f>
        <v>#VALUE!</v>
      </c>
      <c r="BK7" s="11" t="e">
        <f aca="false">Operations!BK79-Tax!BK27-Operations!BK91-Reserves!BK7+Operations!BK74+Operations!BK92</f>
        <v>#VALUE!</v>
      </c>
      <c r="BL7" s="11" t="e">
        <f aca="false">Operations!BL79-Tax!BL27-Operations!BL91-Reserves!BL7+Operations!BL74+Operations!BL92</f>
        <v>#VALUE!</v>
      </c>
      <c r="BM7" s="11" t="e">
        <f aca="false">Operations!BM79-Tax!BM27-Operations!BM91-Reserves!BM7+Operations!BM74+Operations!BM92</f>
        <v>#VALUE!</v>
      </c>
      <c r="BN7" s="11" t="e">
        <f aca="false">Operations!BN79-Tax!BN27-Operations!BN91-Reserves!BN7+Operations!BN74+Operations!BN92</f>
        <v>#VALUE!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e">
        <f aca="false">IF(Time!K29=1,INDEX(Funding!$J$54:$BJ$54,1,Time!$F$13),0)+J30+J42</f>
        <v>#VALUE!</v>
      </c>
      <c r="L8" s="11" t="e">
        <f aca="false">IF(Time!L29=1,INDEX(Funding!$J$54:$BJ$54,1,Time!$F$13),0)+K30+K42</f>
        <v>#VALUE!</v>
      </c>
      <c r="M8" s="11" t="e">
        <f aca="false">IF(Time!M29=1,INDEX(Funding!$J$54:$BJ$54,1,Time!$F$13),0)+L30+L42</f>
        <v>#VALUE!</v>
      </c>
      <c r="N8" s="11" t="e">
        <f aca="false">IF(Time!N29=1,INDEX(Funding!$J$54:$BJ$54,1,Time!$F$13),0)+M30+M42</f>
        <v>#VALUE!</v>
      </c>
      <c r="O8" s="11" t="e">
        <f aca="false">IF(Time!O29=1,INDEX(Funding!$J$54:$BJ$54,1,Time!$F$13),0)+N30+N42</f>
        <v>#VALUE!</v>
      </c>
      <c r="P8" s="11" t="e">
        <f aca="false">IF(Time!P29=1,INDEX(Funding!$J$54:$BJ$54,1,Time!$F$13),0)+O30+O42</f>
        <v>#VALUE!</v>
      </c>
      <c r="Q8" s="11" t="e">
        <f aca="false">IF(Time!Q29=1,INDEX(Funding!$J$54:$BJ$54,1,Time!$F$13),0)+P30+P42</f>
        <v>#VALUE!</v>
      </c>
      <c r="R8" s="11" t="e">
        <f aca="false">IF(Time!R29=1,INDEX(Funding!$J$54:$BJ$54,1,Time!$F$13),0)+Q30+Q42</f>
        <v>#VALUE!</v>
      </c>
      <c r="S8" s="11" t="e">
        <f aca="false">IF(Time!S29=1,INDEX(Funding!$J$54:$BJ$54,1,Time!$F$13),0)+R30+R42</f>
        <v>#VALUE!</v>
      </c>
      <c r="T8" s="11" t="e">
        <f aca="false">IF(Time!T29=1,INDEX(Funding!$J$54:$BJ$54,1,Time!$F$13),0)+S30+S42</f>
        <v>#VALUE!</v>
      </c>
      <c r="U8" s="11" t="e">
        <f aca="false">IF(Time!U29=1,INDEX(Funding!$J$54:$BJ$54,1,Time!$F$13),0)+T30+T42</f>
        <v>#VALUE!</v>
      </c>
      <c r="V8" s="11" t="e">
        <f aca="false">IF(Time!V29=1,INDEX(Funding!$J$54:$BJ$54,1,Time!$F$13),0)+U30+U42</f>
        <v>#VALUE!</v>
      </c>
      <c r="W8" s="11" t="e">
        <f aca="false">IF(Time!W29=1,INDEX(Funding!$J$54:$BJ$54,1,Time!$F$13),0)+V30+V42</f>
        <v>#VALUE!</v>
      </c>
      <c r="X8" s="11" t="e">
        <f aca="false">IF(Time!X29=1,INDEX(Funding!$J$54:$BJ$54,1,Time!$F$13),0)+W30+W42</f>
        <v>#VALUE!</v>
      </c>
      <c r="Y8" s="11" t="e">
        <f aca="false">IF(Time!Y29=1,INDEX(Funding!$J$54:$BJ$54,1,Time!$F$13),0)+X30+X42</f>
        <v>#VALUE!</v>
      </c>
      <c r="Z8" s="11" t="e">
        <f aca="false">IF(Time!Z29=1,INDEX(Funding!$J$54:$BJ$54,1,Time!$F$13),0)+Y30+Y42</f>
        <v>#VALUE!</v>
      </c>
      <c r="AA8" s="11" t="e">
        <f aca="false">IF(Time!AA29=1,INDEX(Funding!$J$54:$BJ$54,1,Time!$F$13),0)+Z30+Z42</f>
        <v>#VALUE!</v>
      </c>
      <c r="AB8" s="11" t="e">
        <f aca="false">IF(Time!AB29=1,INDEX(Funding!$J$54:$BJ$54,1,Time!$F$13),0)+AA30+AA42</f>
        <v>#VALUE!</v>
      </c>
      <c r="AC8" s="11" t="e">
        <f aca="false">IF(Time!AC29=1,INDEX(Funding!$J$54:$BJ$54,1,Time!$F$13),0)+AB30+AB42</f>
        <v>#VALUE!</v>
      </c>
      <c r="AD8" s="11" t="e">
        <f aca="false">IF(Time!AD29=1,INDEX(Funding!$J$54:$BJ$54,1,Time!$F$13),0)+AC30+AC42</f>
        <v>#VALUE!</v>
      </c>
      <c r="AE8" s="11" t="e">
        <f aca="false">IF(Time!AE29=1,INDEX(Funding!$J$54:$BJ$54,1,Time!$F$13),0)+AD30+AD42</f>
        <v>#VALUE!</v>
      </c>
      <c r="AF8" s="11" t="e">
        <f aca="false">IF(Time!AF29=1,INDEX(Funding!$J$54:$BJ$54,1,Time!$F$13),0)+AE30+AE42</f>
        <v>#VALUE!</v>
      </c>
      <c r="AG8" s="11" t="e">
        <f aca="false">IF(Time!AG29=1,INDEX(Funding!$J$54:$BJ$54,1,Time!$F$13),0)+AF30+AF42</f>
        <v>#VALUE!</v>
      </c>
      <c r="AH8" s="11" t="e">
        <f aca="false">IF(Time!AH29=1,INDEX(Funding!$J$54:$BJ$54,1,Time!$F$13),0)+AG30+AG42</f>
        <v>#VALUE!</v>
      </c>
      <c r="AI8" s="11" t="e">
        <f aca="false">IF(Time!AI29=1,INDEX(Funding!$J$54:$BJ$54,1,Time!$F$13),0)+AH30+AH42</f>
        <v>#VALUE!</v>
      </c>
      <c r="AJ8" s="11" t="e">
        <f aca="false">IF(Time!AJ29=1,INDEX(Funding!$J$54:$BJ$54,1,Time!$F$13),0)+AI30+AI42</f>
        <v>#VALUE!</v>
      </c>
      <c r="AK8" s="11" t="e">
        <f aca="false">IF(Time!AK29=1,INDEX(Funding!$J$54:$BJ$54,1,Time!$F$13),0)+AJ30+AJ42</f>
        <v>#VALUE!</v>
      </c>
      <c r="AL8" s="11" t="e">
        <f aca="false">IF(Time!AL29=1,INDEX(Funding!$J$54:$BJ$54,1,Time!$F$13),0)+AK30+AK42</f>
        <v>#VALUE!</v>
      </c>
      <c r="AM8" s="11" t="e">
        <f aca="false">IF(Time!AM29=1,INDEX(Funding!$J$54:$BJ$54,1,Time!$F$13),0)+AL30+AL42</f>
        <v>#VALUE!</v>
      </c>
      <c r="AN8" s="11" t="e">
        <f aca="false">IF(Time!AN29=1,INDEX(Funding!$J$54:$BJ$54,1,Time!$F$13),0)+AM30+AM42</f>
        <v>#VALUE!</v>
      </c>
      <c r="AO8" s="11" t="e">
        <f aca="false">IF(Time!AO29=1,INDEX(Funding!$J$54:$BJ$54,1,Time!$F$13),0)+AN30+AN42</f>
        <v>#VALUE!</v>
      </c>
      <c r="AP8" s="11" t="e">
        <f aca="false">IF(Time!AP29=1,INDEX(Funding!$J$54:$BJ$54,1,Time!$F$13),0)+AO30+AO42</f>
        <v>#VALUE!</v>
      </c>
      <c r="AQ8" s="11" t="e">
        <f aca="false">IF(Time!AQ29=1,INDEX(Funding!$J$54:$BJ$54,1,Time!$F$13),0)+AP30+AP42</f>
        <v>#VALUE!</v>
      </c>
      <c r="AR8" s="11" t="e">
        <f aca="false">IF(Time!AR29=1,INDEX(Funding!$J$54:$BJ$54,1,Time!$F$13),0)+AQ30+AQ42</f>
        <v>#VALUE!</v>
      </c>
      <c r="AS8" s="11" t="e">
        <f aca="false">IF(Time!AS29=1,INDEX(Funding!$J$54:$BJ$54,1,Time!$F$13),0)+AR30+AR42</f>
        <v>#VALUE!</v>
      </c>
      <c r="AT8" s="11" t="e">
        <f aca="false">IF(Time!AT29=1,INDEX(Funding!$J$54:$BJ$54,1,Time!$F$13),0)+AS30+AS42</f>
        <v>#VALUE!</v>
      </c>
      <c r="AU8" s="11" t="e">
        <f aca="false">IF(Time!AU29=1,INDEX(Funding!$J$54:$BJ$54,1,Time!$F$13),0)+AT30+AT42</f>
        <v>#VALUE!</v>
      </c>
      <c r="AV8" s="11" t="e">
        <f aca="false">IF(Time!AV29=1,INDEX(Funding!$J$54:$BJ$54,1,Time!$F$13),0)+AU30+AU42</f>
        <v>#VALUE!</v>
      </c>
      <c r="AW8" s="11" t="e">
        <f aca="false">IF(Time!AW29=1,INDEX(Funding!$J$54:$BJ$54,1,Time!$F$13),0)+AV30+AV42</f>
        <v>#VALUE!</v>
      </c>
      <c r="AX8" s="11" t="e">
        <f aca="false">IF(Time!AX29=1,INDEX(Funding!$J$54:$BJ$54,1,Time!$F$13),0)+AW30+AW42</f>
        <v>#VALUE!</v>
      </c>
      <c r="AY8" s="11" t="e">
        <f aca="false">IF(Time!AY29=1,INDEX(Funding!$J$54:$BJ$54,1,Time!$F$13),0)+AX30+AX42</f>
        <v>#VALUE!</v>
      </c>
      <c r="AZ8" s="11" t="e">
        <f aca="false">IF(Time!AZ29=1,INDEX(Funding!$J$54:$BJ$54,1,Time!$F$13),0)+AY30+AY42</f>
        <v>#VALUE!</v>
      </c>
      <c r="BA8" s="11" t="e">
        <f aca="false">IF(Time!BA29=1,INDEX(Funding!$J$54:$BJ$54,1,Time!$F$13),0)+AZ30+AZ42</f>
        <v>#VALUE!</v>
      </c>
      <c r="BB8" s="11" t="e">
        <f aca="false">IF(Time!BB29=1,INDEX(Funding!$J$54:$BJ$54,1,Time!$F$13),0)+BA30+BA42</f>
        <v>#VALUE!</v>
      </c>
      <c r="BC8" s="11" t="e">
        <f aca="false">IF(Time!BC29=1,INDEX(Funding!$J$54:$BJ$54,1,Time!$F$13),0)+BB30+BB42</f>
        <v>#VALUE!</v>
      </c>
      <c r="BD8" s="11" t="e">
        <f aca="false">IF(Time!BD29=1,INDEX(Funding!$J$54:$BJ$54,1,Time!$F$13),0)+BC30+BC42</f>
        <v>#VALUE!</v>
      </c>
      <c r="BE8" s="11" t="e">
        <f aca="false">IF(Time!BE29=1,INDEX(Funding!$J$54:$BJ$54,1,Time!$F$13),0)+BD30+BD42</f>
        <v>#VALUE!</v>
      </c>
      <c r="BF8" s="11" t="e">
        <f aca="false">IF(Time!BF29=1,INDEX(Funding!$J$54:$BJ$54,1,Time!$F$13),0)+BE30+BE42</f>
        <v>#VALUE!</v>
      </c>
      <c r="BG8" s="11" t="e">
        <f aca="false">IF(Time!BG29=1,INDEX(Funding!$J$54:$BJ$54,1,Time!$F$13),0)+BF30+BF42</f>
        <v>#VALUE!</v>
      </c>
      <c r="BH8" s="11" t="e">
        <f aca="false">IF(Time!BH29=1,INDEX(Funding!$J$54:$BJ$54,1,Time!$F$13),0)+BG30+BG42</f>
        <v>#VALUE!</v>
      </c>
      <c r="BI8" s="11" t="e">
        <f aca="false">IF(Time!BI29=1,INDEX(Funding!$J$54:$BJ$54,1,Time!$F$13),0)+BH30+BH42</f>
        <v>#VALUE!</v>
      </c>
      <c r="BJ8" s="11" t="e">
        <f aca="false">IF(Time!BJ29=1,INDEX(Funding!$J$54:$BJ$54,1,Time!$F$13),0)+BI30+BI42</f>
        <v>#VALUE!</v>
      </c>
      <c r="BK8" s="11" t="e">
        <f aca="false">IF(Time!BK29=1,INDEX(Funding!$J$54:$BJ$54,1,Time!$F$13),0)+BJ30+BJ42</f>
        <v>#VALUE!</v>
      </c>
      <c r="BL8" s="11" t="e">
        <f aca="false">IF(Time!BL29=1,INDEX(Funding!$J$54:$BJ$54,1,Time!$F$13),0)+BK30+BK42</f>
        <v>#VALUE!</v>
      </c>
      <c r="BM8" s="11" t="e">
        <f aca="false">IF(Time!BM29=1,INDEX(Funding!$J$54:$BJ$54,1,Time!$F$13),0)+BL30+BL42</f>
        <v>#VALUE!</v>
      </c>
      <c r="BN8" s="11" t="e">
        <f aca="false">IF(Time!BN29=1,INDEX(Funding!$J$54:$BJ$54,1,Time!$F$13),0)+BM30+BM42</f>
        <v>#VALUE!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e">
        <f aca="false">J7+J8</f>
        <v>#VALUE!</v>
      </c>
      <c r="K9" s="11" t="e">
        <f aca="false">K7+K8</f>
        <v>#VALUE!</v>
      </c>
      <c r="L9" s="11" t="e">
        <f aca="false">L7+L8</f>
        <v>#VALUE!</v>
      </c>
      <c r="M9" s="11" t="e">
        <f aca="false">M7+M8</f>
        <v>#VALUE!</v>
      </c>
      <c r="N9" s="11" t="e">
        <f aca="false">N7+N8</f>
        <v>#VALUE!</v>
      </c>
      <c r="O9" s="11" t="e">
        <f aca="false">O7+O8</f>
        <v>#VALUE!</v>
      </c>
      <c r="P9" s="11" t="e">
        <f aca="false">P7+P8</f>
        <v>#VALUE!</v>
      </c>
      <c r="Q9" s="11" t="e">
        <f aca="false">Q7+Q8</f>
        <v>#VALUE!</v>
      </c>
      <c r="R9" s="11" t="e">
        <f aca="false">R7+R8</f>
        <v>#VALUE!</v>
      </c>
      <c r="S9" s="11" t="e">
        <f aca="false">S7+S8</f>
        <v>#VALUE!</v>
      </c>
      <c r="T9" s="11" t="e">
        <f aca="false">T7+T8</f>
        <v>#VALUE!</v>
      </c>
      <c r="U9" s="11" t="e">
        <f aca="false">U7+U8</f>
        <v>#VALUE!</v>
      </c>
      <c r="V9" s="11" t="e">
        <f aca="false">V7+V8</f>
        <v>#VALUE!</v>
      </c>
      <c r="W9" s="11" t="e">
        <f aca="false">W7+W8</f>
        <v>#VALUE!</v>
      </c>
      <c r="X9" s="11" t="e">
        <f aca="false">X7+X8</f>
        <v>#VALUE!</v>
      </c>
      <c r="Y9" s="11" t="e">
        <f aca="false">Y7+Y8</f>
        <v>#VALUE!</v>
      </c>
      <c r="Z9" s="11" t="e">
        <f aca="false">Z7+Z8</f>
        <v>#VALUE!</v>
      </c>
      <c r="AA9" s="11" t="e">
        <f aca="false">AA7+AA8</f>
        <v>#VALUE!</v>
      </c>
      <c r="AB9" s="11" t="e">
        <f aca="false">AB7+AB8</f>
        <v>#VALUE!</v>
      </c>
      <c r="AC9" s="11" t="e">
        <f aca="false">AC7+AC8</f>
        <v>#VALUE!</v>
      </c>
      <c r="AD9" s="11" t="e">
        <f aca="false">AD7+AD8</f>
        <v>#VALUE!</v>
      </c>
      <c r="AE9" s="11" t="e">
        <f aca="false">AE7+AE8</f>
        <v>#VALUE!</v>
      </c>
      <c r="AF9" s="11" t="e">
        <f aca="false">AF7+AF8</f>
        <v>#VALUE!</v>
      </c>
      <c r="AG9" s="11" t="e">
        <f aca="false">AG7+AG8</f>
        <v>#VALUE!</v>
      </c>
      <c r="AH9" s="11" t="e">
        <f aca="false">AH7+AH8</f>
        <v>#VALUE!</v>
      </c>
      <c r="AI9" s="11" t="e">
        <f aca="false">AI7+AI8</f>
        <v>#VALUE!</v>
      </c>
      <c r="AJ9" s="11" t="e">
        <f aca="false">AJ7+AJ8</f>
        <v>#VALUE!</v>
      </c>
      <c r="AK9" s="11" t="e">
        <f aca="false">AK7+AK8</f>
        <v>#VALUE!</v>
      </c>
      <c r="AL9" s="11" t="e">
        <f aca="false">AL7+AL8</f>
        <v>#VALUE!</v>
      </c>
      <c r="AM9" s="11" t="e">
        <f aca="false">AM7+AM8</f>
        <v>#VALUE!</v>
      </c>
      <c r="AN9" s="11" t="e">
        <f aca="false">AN7+AN8</f>
        <v>#VALUE!</v>
      </c>
      <c r="AO9" s="11" t="e">
        <f aca="false">AO7+AO8</f>
        <v>#VALUE!</v>
      </c>
      <c r="AP9" s="11" t="e">
        <f aca="false">AP7+AP8</f>
        <v>#VALUE!</v>
      </c>
      <c r="AQ9" s="11" t="e">
        <f aca="false">AQ7+AQ8</f>
        <v>#VALUE!</v>
      </c>
      <c r="AR9" s="11" t="e">
        <f aca="false">AR7+AR8</f>
        <v>#VALUE!</v>
      </c>
      <c r="AS9" s="11" t="e">
        <f aca="false">AS7+AS8</f>
        <v>#VALUE!</v>
      </c>
      <c r="AT9" s="11" t="e">
        <f aca="false">AT7+AT8</f>
        <v>#VALUE!</v>
      </c>
      <c r="AU9" s="11" t="e">
        <f aca="false">AU7+AU8</f>
        <v>#VALUE!</v>
      </c>
      <c r="AV9" s="11" t="e">
        <f aca="false">AV7+AV8</f>
        <v>#VALUE!</v>
      </c>
      <c r="AW9" s="11" t="e">
        <f aca="false">AW7+AW8</f>
        <v>#VALUE!</v>
      </c>
      <c r="AX9" s="11" t="e">
        <f aca="false">AX7+AX8</f>
        <v>#VALUE!</v>
      </c>
      <c r="AY9" s="11" t="e">
        <f aca="false">AY7+AY8</f>
        <v>#VALUE!</v>
      </c>
      <c r="AZ9" s="11" t="e">
        <f aca="false">AZ7+AZ8</f>
        <v>#VALUE!</v>
      </c>
      <c r="BA9" s="11" t="e">
        <f aca="false">BA7+BA8</f>
        <v>#VALUE!</v>
      </c>
      <c r="BB9" s="11" t="e">
        <f aca="false">BB7+BB8</f>
        <v>#VALUE!</v>
      </c>
      <c r="BC9" s="11" t="e">
        <f aca="false">BC7+BC8</f>
        <v>#VALUE!</v>
      </c>
      <c r="BD9" s="11" t="e">
        <f aca="false">BD7+BD8</f>
        <v>#VALUE!</v>
      </c>
      <c r="BE9" s="11" t="e">
        <f aca="false">BE7+BE8</f>
        <v>#VALUE!</v>
      </c>
      <c r="BF9" s="11" t="e">
        <f aca="false">BF7+BF8</f>
        <v>#VALUE!</v>
      </c>
      <c r="BG9" s="11" t="e">
        <f aca="false">BG7+BG8</f>
        <v>#VALUE!</v>
      </c>
      <c r="BH9" s="11" t="e">
        <f aca="false">BH7+BH8</f>
        <v>#VALUE!</v>
      </c>
      <c r="BI9" s="11" t="e">
        <f aca="false">BI7+BI8</f>
        <v>#VALUE!</v>
      </c>
      <c r="BJ9" s="11" t="e">
        <f aca="false">BJ7+BJ8</f>
        <v>#VALUE!</v>
      </c>
      <c r="BK9" s="11" t="e">
        <f aca="false">BK7+BK8</f>
        <v>#VALUE!</v>
      </c>
      <c r="BL9" s="11" t="e">
        <f aca="false">BL7+BL8</f>
        <v>#VALUE!</v>
      </c>
      <c r="BM9" s="11" t="e">
        <f aca="false">BM7+BM8</f>
        <v>#VALUE!</v>
      </c>
      <c r="BN9" s="11" t="e">
        <f aca="false">BN7+BN8</f>
        <v>#VALUE!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e">
        <f aca="false">SUM(J10:BN10)</f>
        <v>#VALUE!</v>
      </c>
      <c r="J10" s="11" t="e">
        <f aca="false">Debt!J121+Debt!J117</f>
        <v>#VALUE!</v>
      </c>
      <c r="K10" s="11" t="e">
        <f aca="false">Debt!K121+Debt!K117</f>
        <v>#VALUE!</v>
      </c>
      <c r="L10" s="11" t="e">
        <f aca="false">Debt!L121+Debt!L117</f>
        <v>#VALUE!</v>
      </c>
      <c r="M10" s="11" t="e">
        <f aca="false">Debt!M121+Debt!M117</f>
        <v>#VALUE!</v>
      </c>
      <c r="N10" s="11" t="e">
        <f aca="false">Debt!N121+Debt!N117</f>
        <v>#VALUE!</v>
      </c>
      <c r="O10" s="11" t="e">
        <f aca="false">Debt!O121+Debt!O117</f>
        <v>#VALUE!</v>
      </c>
      <c r="P10" s="11" t="e">
        <f aca="false">Debt!P121+Debt!P117</f>
        <v>#VALUE!</v>
      </c>
      <c r="Q10" s="11" t="e">
        <f aca="false">Debt!Q121+Debt!Q117</f>
        <v>#VALUE!</v>
      </c>
      <c r="R10" s="11" t="e">
        <f aca="false">Debt!R121+Debt!R117</f>
        <v>#VALUE!</v>
      </c>
      <c r="S10" s="11" t="e">
        <f aca="false">Debt!S121+Debt!S117</f>
        <v>#VALUE!</v>
      </c>
      <c r="T10" s="11" t="e">
        <f aca="false">Debt!T121+Debt!T117</f>
        <v>#VALUE!</v>
      </c>
      <c r="U10" s="11" t="e">
        <f aca="false">Debt!U121+Debt!U117</f>
        <v>#VALUE!</v>
      </c>
      <c r="V10" s="11" t="e">
        <f aca="false">Debt!V121+Debt!V117</f>
        <v>#VALUE!</v>
      </c>
      <c r="W10" s="11" t="e">
        <f aca="false">Debt!W121+Debt!W117</f>
        <v>#VALUE!</v>
      </c>
      <c r="X10" s="11" t="e">
        <f aca="false">Debt!X121+Debt!X117</f>
        <v>#VALUE!</v>
      </c>
      <c r="Y10" s="11" t="e">
        <f aca="false">Debt!Y121+Debt!Y117</f>
        <v>#VALUE!</v>
      </c>
      <c r="Z10" s="11" t="e">
        <f aca="false">Debt!Z121+Debt!Z117</f>
        <v>#VALUE!</v>
      </c>
      <c r="AA10" s="11" t="e">
        <f aca="false">Debt!AA121+Debt!AA117</f>
        <v>#VALUE!</v>
      </c>
      <c r="AB10" s="11" t="e">
        <f aca="false">Debt!AB121+Debt!AB117</f>
        <v>#VALUE!</v>
      </c>
      <c r="AC10" s="11" t="e">
        <f aca="false">Debt!AC121+Debt!AC117</f>
        <v>#VALUE!</v>
      </c>
      <c r="AD10" s="11" t="e">
        <f aca="false">Debt!AD121+Debt!AD117</f>
        <v>#VALUE!</v>
      </c>
      <c r="AE10" s="11" t="e">
        <f aca="false">Debt!AE121+Debt!AE117</f>
        <v>#VALUE!</v>
      </c>
      <c r="AF10" s="11" t="e">
        <f aca="false">Debt!AF121+Debt!AF117</f>
        <v>#VALUE!</v>
      </c>
      <c r="AG10" s="11" t="e">
        <f aca="false">Debt!AG121+Debt!AG117</f>
        <v>#VALUE!</v>
      </c>
      <c r="AH10" s="11" t="e">
        <f aca="false">Debt!AH121+Debt!AH117</f>
        <v>#VALUE!</v>
      </c>
      <c r="AI10" s="11" t="e">
        <f aca="false">Debt!AI121+Debt!AI117</f>
        <v>#VALUE!</v>
      </c>
      <c r="AJ10" s="11" t="e">
        <f aca="false">Debt!AJ121+Debt!AJ117</f>
        <v>#VALUE!</v>
      </c>
      <c r="AK10" s="11" t="e">
        <f aca="false">Debt!AK121+Debt!AK117</f>
        <v>#VALUE!</v>
      </c>
      <c r="AL10" s="11" t="e">
        <f aca="false">Debt!AL121+Debt!AL117</f>
        <v>#VALUE!</v>
      </c>
      <c r="AM10" s="11" t="e">
        <f aca="false">Debt!AM121+Debt!AM117</f>
        <v>#VALUE!</v>
      </c>
      <c r="AN10" s="11" t="e">
        <f aca="false">Debt!AN121+Debt!AN117</f>
        <v>#VALUE!</v>
      </c>
      <c r="AO10" s="11" t="e">
        <f aca="false">Debt!AO121+Debt!AO117</f>
        <v>#VALUE!</v>
      </c>
      <c r="AP10" s="11" t="e">
        <f aca="false">Debt!AP121+Debt!AP117</f>
        <v>#VALUE!</v>
      </c>
      <c r="AQ10" s="11" t="e">
        <f aca="false">Debt!AQ121+Debt!AQ117</f>
        <v>#VALUE!</v>
      </c>
      <c r="AR10" s="11" t="e">
        <f aca="false">Debt!AR121+Debt!AR117</f>
        <v>#VALUE!</v>
      </c>
      <c r="AS10" s="11" t="e">
        <f aca="false">Debt!AS121+Debt!AS117</f>
        <v>#VALUE!</v>
      </c>
      <c r="AT10" s="11" t="e">
        <f aca="false">Debt!AT121+Debt!AT117</f>
        <v>#VALUE!</v>
      </c>
      <c r="AU10" s="11" t="e">
        <f aca="false">Debt!AU121+Debt!AU117</f>
        <v>#VALUE!</v>
      </c>
      <c r="AV10" s="11" t="e">
        <f aca="false">Debt!AV121+Debt!AV117</f>
        <v>#VALUE!</v>
      </c>
      <c r="AW10" s="11" t="e">
        <f aca="false">Debt!AW121+Debt!AW117</f>
        <v>#VALUE!</v>
      </c>
      <c r="AX10" s="11" t="e">
        <f aca="false">Debt!AX121+Debt!AX117</f>
        <v>#VALUE!</v>
      </c>
      <c r="AY10" s="11" t="e">
        <f aca="false">Debt!AY121+Debt!AY117</f>
        <v>#VALUE!</v>
      </c>
      <c r="AZ10" s="11" t="e">
        <f aca="false">Debt!AZ121+Debt!AZ117</f>
        <v>#VALUE!</v>
      </c>
      <c r="BA10" s="11" t="e">
        <f aca="false">Debt!BA121+Debt!BA117</f>
        <v>#VALUE!</v>
      </c>
      <c r="BB10" s="11" t="e">
        <f aca="false">Debt!BB121+Debt!BB117</f>
        <v>#VALUE!</v>
      </c>
      <c r="BC10" s="11" t="e">
        <f aca="false">Debt!BC121+Debt!BC117</f>
        <v>#VALUE!</v>
      </c>
      <c r="BD10" s="11" t="e">
        <f aca="false">Debt!BD121+Debt!BD117</f>
        <v>#VALUE!</v>
      </c>
      <c r="BE10" s="11" t="e">
        <f aca="false">Debt!BE121+Debt!BE117</f>
        <v>#VALUE!</v>
      </c>
      <c r="BF10" s="11" t="e">
        <f aca="false">Debt!BF121+Debt!BF117</f>
        <v>#VALUE!</v>
      </c>
      <c r="BG10" s="11" t="e">
        <f aca="false">Debt!BG121+Debt!BG117</f>
        <v>#VALUE!</v>
      </c>
      <c r="BH10" s="11" t="e">
        <f aca="false">Debt!BH121+Debt!BH117</f>
        <v>#VALUE!</v>
      </c>
      <c r="BI10" s="11" t="e">
        <f aca="false">Debt!BI121+Debt!BI117</f>
        <v>#VALUE!</v>
      </c>
      <c r="BJ10" s="11" t="e">
        <f aca="false">Debt!BJ121+Debt!BJ117</f>
        <v>#VALUE!</v>
      </c>
      <c r="BK10" s="11" t="e">
        <f aca="false">Debt!BK121+Debt!BK117</f>
        <v>#VALUE!</v>
      </c>
      <c r="BL10" s="11" t="e">
        <f aca="false">Debt!BL121+Debt!BL117</f>
        <v>#VALUE!</v>
      </c>
      <c r="BM10" s="11" t="e">
        <f aca="false">Debt!BM121+Debt!BM117</f>
        <v>#VALUE!</v>
      </c>
      <c r="BN10" s="11" t="e">
        <f aca="false">Debt!BN121+Debt!BN117</f>
        <v>#VALUE!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e">
        <f aca="false">SUM(J11:BN11)</f>
        <v>#VALUE!</v>
      </c>
      <c r="J11" s="11" t="e">
        <f aca="false">MAX(0,J10-J9)</f>
        <v>#VALUE!</v>
      </c>
      <c r="K11" s="11" t="e">
        <f aca="false">MAX(0,K10-K9)</f>
        <v>#VALUE!</v>
      </c>
      <c r="L11" s="11" t="e">
        <f aca="false">MAX(0,L10-L9)</f>
        <v>#VALUE!</v>
      </c>
      <c r="M11" s="11" t="e">
        <f aca="false">MAX(0,M10-M9)</f>
        <v>#VALUE!</v>
      </c>
      <c r="N11" s="11" t="e">
        <f aca="false">MAX(0,N10-N9)</f>
        <v>#VALUE!</v>
      </c>
      <c r="O11" s="11" t="e">
        <f aca="false">MAX(0,O10-O9)</f>
        <v>#VALUE!</v>
      </c>
      <c r="P11" s="11" t="e">
        <f aca="false">MAX(0,P10-P9)</f>
        <v>#VALUE!</v>
      </c>
      <c r="Q11" s="11" t="e">
        <f aca="false">MAX(0,Q10-Q9)</f>
        <v>#VALUE!</v>
      </c>
      <c r="R11" s="11" t="e">
        <f aca="false">MAX(0,R10-R9)</f>
        <v>#VALUE!</v>
      </c>
      <c r="S11" s="11" t="e">
        <f aca="false">MAX(0,S10-S9)</f>
        <v>#VALUE!</v>
      </c>
      <c r="T11" s="11" t="e">
        <f aca="false">MAX(0,T10-T9)</f>
        <v>#VALUE!</v>
      </c>
      <c r="U11" s="11" t="e">
        <f aca="false">MAX(0,U10-U9)</f>
        <v>#VALUE!</v>
      </c>
      <c r="V11" s="11" t="e">
        <f aca="false">MAX(0,V10-V9)</f>
        <v>#VALUE!</v>
      </c>
      <c r="W11" s="11" t="e">
        <f aca="false">MAX(0,W10-W9)</f>
        <v>#VALUE!</v>
      </c>
      <c r="X11" s="11" t="e">
        <f aca="false">MAX(0,X10-X9)</f>
        <v>#VALUE!</v>
      </c>
      <c r="Y11" s="11" t="e">
        <f aca="false">MAX(0,Y10-Y9)</f>
        <v>#VALUE!</v>
      </c>
      <c r="Z11" s="11" t="e">
        <f aca="false">MAX(0,Z10-Z9)</f>
        <v>#VALUE!</v>
      </c>
      <c r="AA11" s="11" t="e">
        <f aca="false">MAX(0,AA10-AA9)</f>
        <v>#VALUE!</v>
      </c>
      <c r="AB11" s="11" t="e">
        <f aca="false">MAX(0,AB10-AB9)</f>
        <v>#VALUE!</v>
      </c>
      <c r="AC11" s="11" t="e">
        <f aca="false">MAX(0,AC10-AC9)</f>
        <v>#VALUE!</v>
      </c>
      <c r="AD11" s="11" t="e">
        <f aca="false">MAX(0,AD10-AD9)</f>
        <v>#VALUE!</v>
      </c>
      <c r="AE11" s="11" t="e">
        <f aca="false">MAX(0,AE10-AE9)</f>
        <v>#VALUE!</v>
      </c>
      <c r="AF11" s="11" t="e">
        <f aca="false">MAX(0,AF10-AF9)</f>
        <v>#VALUE!</v>
      </c>
      <c r="AG11" s="11" t="e">
        <f aca="false">MAX(0,AG10-AG9)</f>
        <v>#VALUE!</v>
      </c>
      <c r="AH11" s="11" t="e">
        <f aca="false">MAX(0,AH10-AH9)</f>
        <v>#VALUE!</v>
      </c>
      <c r="AI11" s="11" t="e">
        <f aca="false">MAX(0,AI10-AI9)</f>
        <v>#VALUE!</v>
      </c>
      <c r="AJ11" s="11" t="e">
        <f aca="false">MAX(0,AJ10-AJ9)</f>
        <v>#VALUE!</v>
      </c>
      <c r="AK11" s="11" t="e">
        <f aca="false">MAX(0,AK10-AK9)</f>
        <v>#VALUE!</v>
      </c>
      <c r="AL11" s="11" t="e">
        <f aca="false">MAX(0,AL10-AL9)</f>
        <v>#VALUE!</v>
      </c>
      <c r="AM11" s="11" t="e">
        <f aca="false">MAX(0,AM10-AM9)</f>
        <v>#VALUE!</v>
      </c>
      <c r="AN11" s="11" t="e">
        <f aca="false">MAX(0,AN10-AN9)</f>
        <v>#VALUE!</v>
      </c>
      <c r="AO11" s="11" t="e">
        <f aca="false">MAX(0,AO10-AO9)</f>
        <v>#VALUE!</v>
      </c>
      <c r="AP11" s="11" t="e">
        <f aca="false">MAX(0,AP10-AP9)</f>
        <v>#VALUE!</v>
      </c>
      <c r="AQ11" s="11" t="e">
        <f aca="false">MAX(0,AQ10-AQ9)</f>
        <v>#VALUE!</v>
      </c>
      <c r="AR11" s="11" t="e">
        <f aca="false">MAX(0,AR10-AR9)</f>
        <v>#VALUE!</v>
      </c>
      <c r="AS11" s="11" t="e">
        <f aca="false">MAX(0,AS10-AS9)</f>
        <v>#VALUE!</v>
      </c>
      <c r="AT11" s="11" t="e">
        <f aca="false">MAX(0,AT10-AT9)</f>
        <v>#VALUE!</v>
      </c>
      <c r="AU11" s="11" t="e">
        <f aca="false">MAX(0,AU10-AU9)</f>
        <v>#VALUE!</v>
      </c>
      <c r="AV11" s="11" t="e">
        <f aca="false">MAX(0,AV10-AV9)</f>
        <v>#VALUE!</v>
      </c>
      <c r="AW11" s="11" t="e">
        <f aca="false">MAX(0,AW10-AW9)</f>
        <v>#VALUE!</v>
      </c>
      <c r="AX11" s="11" t="e">
        <f aca="false">MAX(0,AX10-AX9)</f>
        <v>#VALUE!</v>
      </c>
      <c r="AY11" s="11" t="e">
        <f aca="false">MAX(0,AY10-AY9)</f>
        <v>#VALUE!</v>
      </c>
      <c r="AZ11" s="11" t="e">
        <f aca="false">MAX(0,AZ10-AZ9)</f>
        <v>#VALUE!</v>
      </c>
      <c r="BA11" s="11" t="e">
        <f aca="false">MAX(0,BA10-BA9)</f>
        <v>#VALUE!</v>
      </c>
      <c r="BB11" s="11" t="e">
        <f aca="false">MAX(0,BB10-BB9)</f>
        <v>#VALUE!</v>
      </c>
      <c r="BC11" s="11" t="e">
        <f aca="false">MAX(0,BC10-BC9)</f>
        <v>#VALUE!</v>
      </c>
      <c r="BD11" s="11" t="e">
        <f aca="false">MAX(0,BD10-BD9)</f>
        <v>#VALUE!</v>
      </c>
      <c r="BE11" s="11" t="e">
        <f aca="false">MAX(0,BE10-BE9)</f>
        <v>#VALUE!</v>
      </c>
      <c r="BF11" s="11" t="e">
        <f aca="false">MAX(0,BF10-BF9)</f>
        <v>#VALUE!</v>
      </c>
      <c r="BG11" s="11" t="e">
        <f aca="false">MAX(0,BG10-BG9)</f>
        <v>#VALUE!</v>
      </c>
      <c r="BH11" s="11" t="e">
        <f aca="false">MAX(0,BH10-BH9)</f>
        <v>#VALUE!</v>
      </c>
      <c r="BI11" s="11" t="e">
        <f aca="false">MAX(0,BI10-BI9)</f>
        <v>#VALUE!</v>
      </c>
      <c r="BJ11" s="11" t="e">
        <f aca="false">MAX(0,BJ10-BJ9)</f>
        <v>#VALUE!</v>
      </c>
      <c r="BK11" s="11" t="e">
        <f aca="false">MAX(0,BK10-BK9)</f>
        <v>#VALUE!</v>
      </c>
      <c r="BL11" s="11" t="e">
        <f aca="false">MAX(0,BL10-BL9)</f>
        <v>#VALUE!</v>
      </c>
      <c r="BM11" s="11" t="e">
        <f aca="false">MAX(0,BM10-BM9)</f>
        <v>#VALUE!</v>
      </c>
      <c r="BN11" s="11" t="e">
        <f aca="false">MAX(0,BN10-BN9)</f>
        <v>#VALUE!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e">
        <f aca="false">SUM(J12:BN12)</f>
        <v>#VALUE!</v>
      </c>
      <c r="J12" s="11" t="e">
        <f aca="false">J11-Reserves!J10</f>
        <v>#VALUE!</v>
      </c>
      <c r="K12" s="11" t="e">
        <f aca="false">K11-Reserves!K10</f>
        <v>#VALUE!</v>
      </c>
      <c r="L12" s="11" t="e">
        <f aca="false">L11-Reserves!L10</f>
        <v>#VALUE!</v>
      </c>
      <c r="M12" s="11" t="e">
        <f aca="false">M11-Reserves!M10</f>
        <v>#VALUE!</v>
      </c>
      <c r="N12" s="11" t="e">
        <f aca="false">N11-Reserves!N10</f>
        <v>#VALUE!</v>
      </c>
      <c r="O12" s="11" t="e">
        <f aca="false">O11-Reserves!O10</f>
        <v>#VALUE!</v>
      </c>
      <c r="P12" s="11" t="e">
        <f aca="false">P11-Reserves!P10</f>
        <v>#VALUE!</v>
      </c>
      <c r="Q12" s="11" t="e">
        <f aca="false">Q11-Reserves!Q10</f>
        <v>#VALUE!</v>
      </c>
      <c r="R12" s="11" t="e">
        <f aca="false">R11-Reserves!R10</f>
        <v>#VALUE!</v>
      </c>
      <c r="S12" s="11" t="e">
        <f aca="false">S11-Reserves!S10</f>
        <v>#VALUE!</v>
      </c>
      <c r="T12" s="11" t="e">
        <f aca="false">T11-Reserves!T10</f>
        <v>#VALUE!</v>
      </c>
      <c r="U12" s="11" t="e">
        <f aca="false">U11-Reserves!U10</f>
        <v>#VALUE!</v>
      </c>
      <c r="V12" s="11" t="e">
        <f aca="false">V11-Reserves!V10</f>
        <v>#VALUE!</v>
      </c>
      <c r="W12" s="11" t="e">
        <f aca="false">W11-Reserves!W10</f>
        <v>#VALUE!</v>
      </c>
      <c r="X12" s="11" t="e">
        <f aca="false">X11-Reserves!X10</f>
        <v>#VALUE!</v>
      </c>
      <c r="Y12" s="11" t="e">
        <f aca="false">Y11-Reserves!Y10</f>
        <v>#VALUE!</v>
      </c>
      <c r="Z12" s="11" t="e">
        <f aca="false">Z11-Reserves!Z10</f>
        <v>#VALUE!</v>
      </c>
      <c r="AA12" s="11" t="e">
        <f aca="false">AA11-Reserves!AA10</f>
        <v>#VALUE!</v>
      </c>
      <c r="AB12" s="11" t="e">
        <f aca="false">AB11-Reserves!AB10</f>
        <v>#VALUE!</v>
      </c>
      <c r="AC12" s="11" t="e">
        <f aca="false">AC11-Reserves!AC10</f>
        <v>#VALUE!</v>
      </c>
      <c r="AD12" s="11" t="e">
        <f aca="false">AD11-Reserves!AD10</f>
        <v>#VALUE!</v>
      </c>
      <c r="AE12" s="11" t="e">
        <f aca="false">AE11-Reserves!AE10</f>
        <v>#VALUE!</v>
      </c>
      <c r="AF12" s="11" t="e">
        <f aca="false">AF11-Reserves!AF10</f>
        <v>#VALUE!</v>
      </c>
      <c r="AG12" s="11" t="e">
        <f aca="false">AG11-Reserves!AG10</f>
        <v>#VALUE!</v>
      </c>
      <c r="AH12" s="11" t="e">
        <f aca="false">AH11-Reserves!AH10</f>
        <v>#VALUE!</v>
      </c>
      <c r="AI12" s="11" t="e">
        <f aca="false">AI11-Reserves!AI10</f>
        <v>#VALUE!</v>
      </c>
      <c r="AJ12" s="11" t="e">
        <f aca="false">AJ11-Reserves!AJ10</f>
        <v>#VALUE!</v>
      </c>
      <c r="AK12" s="11" t="e">
        <f aca="false">AK11-Reserves!AK10</f>
        <v>#VALUE!</v>
      </c>
      <c r="AL12" s="11" t="e">
        <f aca="false">AL11-Reserves!AL10</f>
        <v>#VALUE!</v>
      </c>
      <c r="AM12" s="11" t="e">
        <f aca="false">AM11-Reserves!AM10</f>
        <v>#VALUE!</v>
      </c>
      <c r="AN12" s="11" t="e">
        <f aca="false">AN11-Reserves!AN10</f>
        <v>#VALUE!</v>
      </c>
      <c r="AO12" s="11" t="e">
        <f aca="false">AO11-Reserves!AO10</f>
        <v>#VALUE!</v>
      </c>
      <c r="AP12" s="11" t="e">
        <f aca="false">AP11-Reserves!AP10</f>
        <v>#VALUE!</v>
      </c>
      <c r="AQ12" s="11" t="e">
        <f aca="false">AQ11-Reserves!AQ10</f>
        <v>#VALUE!</v>
      </c>
      <c r="AR12" s="11" t="e">
        <f aca="false">AR11-Reserves!AR10</f>
        <v>#VALUE!</v>
      </c>
      <c r="AS12" s="11" t="e">
        <f aca="false">AS11-Reserves!AS10</f>
        <v>#VALUE!</v>
      </c>
      <c r="AT12" s="11" t="e">
        <f aca="false">AT11-Reserves!AT10</f>
        <v>#VALUE!</v>
      </c>
      <c r="AU12" s="11" t="e">
        <f aca="false">AU11-Reserves!AU10</f>
        <v>#VALUE!</v>
      </c>
      <c r="AV12" s="11" t="e">
        <f aca="false">AV11-Reserves!AV10</f>
        <v>#VALUE!</v>
      </c>
      <c r="AW12" s="11" t="e">
        <f aca="false">AW11-Reserves!AW10</f>
        <v>#VALUE!</v>
      </c>
      <c r="AX12" s="11" t="e">
        <f aca="false">AX11-Reserves!AX10</f>
        <v>#VALUE!</v>
      </c>
      <c r="AY12" s="11" t="e">
        <f aca="false">AY11-Reserves!AY10</f>
        <v>#VALUE!</v>
      </c>
      <c r="AZ12" s="11" t="e">
        <f aca="false">AZ11-Reserves!AZ10</f>
        <v>#VALUE!</v>
      </c>
      <c r="BA12" s="11" t="e">
        <f aca="false">BA11-Reserves!BA10</f>
        <v>#VALUE!</v>
      </c>
      <c r="BB12" s="11" t="e">
        <f aca="false">BB11-Reserves!BB10</f>
        <v>#VALUE!</v>
      </c>
      <c r="BC12" s="11" t="e">
        <f aca="false">BC11-Reserves!BC10</f>
        <v>#VALUE!</v>
      </c>
      <c r="BD12" s="11" t="e">
        <f aca="false">BD11-Reserves!BD10</f>
        <v>#VALUE!</v>
      </c>
      <c r="BE12" s="11" t="e">
        <f aca="false">BE11-Reserves!BE10</f>
        <v>#VALUE!</v>
      </c>
      <c r="BF12" s="11" t="e">
        <f aca="false">BF11-Reserves!BF10</f>
        <v>#VALUE!</v>
      </c>
      <c r="BG12" s="11" t="e">
        <f aca="false">BG11-Reserves!BG10</f>
        <v>#VALUE!</v>
      </c>
      <c r="BH12" s="11" t="e">
        <f aca="false">BH11-Reserves!BH10</f>
        <v>#VALUE!</v>
      </c>
      <c r="BI12" s="11" t="e">
        <f aca="false">BI11-Reserves!BI10</f>
        <v>#VALUE!</v>
      </c>
      <c r="BJ12" s="11" t="e">
        <f aca="false">BJ11-Reserves!BJ10</f>
        <v>#VALUE!</v>
      </c>
      <c r="BK12" s="11" t="e">
        <f aca="false">BK11-Reserves!BK10</f>
        <v>#VALUE!</v>
      </c>
      <c r="BL12" s="11" t="e">
        <f aca="false">BL11-Reserves!BL10</f>
        <v>#VALUE!</v>
      </c>
      <c r="BM12" s="11" t="e">
        <f aca="false">BM11-Reserves!BM10</f>
        <v>#VALUE!</v>
      </c>
      <c r="BN12" s="11" t="e">
        <f aca="false">BN11-Reserves!BN10</f>
        <v>#VALUE!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e">
        <f aca="false">MAX(0,J9-J10)</f>
        <v>#VALUE!</v>
      </c>
      <c r="K13" s="11" t="e">
        <f aca="false">MAX(0,K9-K10)</f>
        <v>#VALUE!</v>
      </c>
      <c r="L13" s="11" t="e">
        <f aca="false">MAX(0,L9-L10)</f>
        <v>#VALUE!</v>
      </c>
      <c r="M13" s="11" t="e">
        <f aca="false">MAX(0,M9-M10)</f>
        <v>#VALUE!</v>
      </c>
      <c r="N13" s="11" t="e">
        <f aca="false">MAX(0,N9-N10)</f>
        <v>#VALUE!</v>
      </c>
      <c r="O13" s="11" t="e">
        <f aca="false">MAX(0,O9-O10)</f>
        <v>#VALUE!</v>
      </c>
      <c r="P13" s="11" t="e">
        <f aca="false">MAX(0,P9-P10)</f>
        <v>#VALUE!</v>
      </c>
      <c r="Q13" s="11" t="e">
        <f aca="false">MAX(0,Q9-Q10)</f>
        <v>#VALUE!</v>
      </c>
      <c r="R13" s="11" t="e">
        <f aca="false">MAX(0,R9-R10)</f>
        <v>#VALUE!</v>
      </c>
      <c r="S13" s="11" t="e">
        <f aca="false">MAX(0,S9-S10)</f>
        <v>#VALUE!</v>
      </c>
      <c r="T13" s="11" t="e">
        <f aca="false">MAX(0,T9-T10)</f>
        <v>#VALUE!</v>
      </c>
      <c r="U13" s="11" t="e">
        <f aca="false">MAX(0,U9-U10)</f>
        <v>#VALUE!</v>
      </c>
      <c r="V13" s="11" t="e">
        <f aca="false">MAX(0,V9-V10)</f>
        <v>#VALUE!</v>
      </c>
      <c r="W13" s="11" t="e">
        <f aca="false">MAX(0,W9-W10)</f>
        <v>#VALUE!</v>
      </c>
      <c r="X13" s="11" t="e">
        <f aca="false">MAX(0,X9-X10)</f>
        <v>#VALUE!</v>
      </c>
      <c r="Y13" s="11" t="e">
        <f aca="false">MAX(0,Y9-Y10)</f>
        <v>#VALUE!</v>
      </c>
      <c r="Z13" s="11" t="e">
        <f aca="false">MAX(0,Z9-Z10)</f>
        <v>#VALUE!</v>
      </c>
      <c r="AA13" s="11" t="e">
        <f aca="false">MAX(0,AA9-AA10)</f>
        <v>#VALUE!</v>
      </c>
      <c r="AB13" s="11" t="e">
        <f aca="false">MAX(0,AB9-AB10)</f>
        <v>#VALUE!</v>
      </c>
      <c r="AC13" s="11" t="e">
        <f aca="false">MAX(0,AC9-AC10)</f>
        <v>#VALUE!</v>
      </c>
      <c r="AD13" s="11" t="e">
        <f aca="false">MAX(0,AD9-AD10)</f>
        <v>#VALUE!</v>
      </c>
      <c r="AE13" s="11" t="e">
        <f aca="false">MAX(0,AE9-AE10)</f>
        <v>#VALUE!</v>
      </c>
      <c r="AF13" s="11" t="e">
        <f aca="false">MAX(0,AF9-AF10)</f>
        <v>#VALUE!</v>
      </c>
      <c r="AG13" s="11" t="e">
        <f aca="false">MAX(0,AG9-AG10)</f>
        <v>#VALUE!</v>
      </c>
      <c r="AH13" s="11" t="e">
        <f aca="false">MAX(0,AH9-AH10)</f>
        <v>#VALUE!</v>
      </c>
      <c r="AI13" s="11" t="e">
        <f aca="false">MAX(0,AI9-AI10)</f>
        <v>#VALUE!</v>
      </c>
      <c r="AJ13" s="11" t="e">
        <f aca="false">MAX(0,AJ9-AJ10)</f>
        <v>#VALUE!</v>
      </c>
      <c r="AK13" s="11" t="e">
        <f aca="false">MAX(0,AK9-AK10)</f>
        <v>#VALUE!</v>
      </c>
      <c r="AL13" s="11" t="e">
        <f aca="false">MAX(0,AL9-AL10)</f>
        <v>#VALUE!</v>
      </c>
      <c r="AM13" s="11" t="e">
        <f aca="false">MAX(0,AM9-AM10)</f>
        <v>#VALUE!</v>
      </c>
      <c r="AN13" s="11" t="e">
        <f aca="false">MAX(0,AN9-AN10)</f>
        <v>#VALUE!</v>
      </c>
      <c r="AO13" s="11" t="e">
        <f aca="false">MAX(0,AO9-AO10)</f>
        <v>#VALUE!</v>
      </c>
      <c r="AP13" s="11" t="e">
        <f aca="false">MAX(0,AP9-AP10)</f>
        <v>#VALUE!</v>
      </c>
      <c r="AQ13" s="11" t="e">
        <f aca="false">MAX(0,AQ9-AQ10)</f>
        <v>#VALUE!</v>
      </c>
      <c r="AR13" s="11" t="e">
        <f aca="false">MAX(0,AR9-AR10)</f>
        <v>#VALUE!</v>
      </c>
      <c r="AS13" s="11" t="e">
        <f aca="false">MAX(0,AS9-AS10)</f>
        <v>#VALUE!</v>
      </c>
      <c r="AT13" s="11" t="e">
        <f aca="false">MAX(0,AT9-AT10)</f>
        <v>#VALUE!</v>
      </c>
      <c r="AU13" s="11" t="e">
        <f aca="false">MAX(0,AU9-AU10)</f>
        <v>#VALUE!</v>
      </c>
      <c r="AV13" s="11" t="e">
        <f aca="false">MAX(0,AV9-AV10)</f>
        <v>#VALUE!</v>
      </c>
      <c r="AW13" s="11" t="e">
        <f aca="false">MAX(0,AW9-AW10)</f>
        <v>#VALUE!</v>
      </c>
      <c r="AX13" s="11" t="e">
        <f aca="false">MAX(0,AX9-AX10)</f>
        <v>#VALUE!</v>
      </c>
      <c r="AY13" s="11" t="e">
        <f aca="false">MAX(0,AY9-AY10)</f>
        <v>#VALUE!</v>
      </c>
      <c r="AZ13" s="11" t="e">
        <f aca="false">MAX(0,AZ9-AZ10)</f>
        <v>#VALUE!</v>
      </c>
      <c r="BA13" s="11" t="e">
        <f aca="false">MAX(0,BA9-BA10)</f>
        <v>#VALUE!</v>
      </c>
      <c r="BB13" s="11" t="e">
        <f aca="false">MAX(0,BB9-BB10)</f>
        <v>#VALUE!</v>
      </c>
      <c r="BC13" s="11" t="e">
        <f aca="false">MAX(0,BC9-BC10)</f>
        <v>#VALUE!</v>
      </c>
      <c r="BD13" s="11" t="e">
        <f aca="false">MAX(0,BD9-BD10)</f>
        <v>#VALUE!</v>
      </c>
      <c r="BE13" s="11" t="e">
        <f aca="false">MAX(0,BE9-BE10)</f>
        <v>#VALUE!</v>
      </c>
      <c r="BF13" s="11" t="e">
        <f aca="false">MAX(0,BF9-BF10)</f>
        <v>#VALUE!</v>
      </c>
      <c r="BG13" s="11" t="e">
        <f aca="false">MAX(0,BG9-BG10)</f>
        <v>#VALUE!</v>
      </c>
      <c r="BH13" s="11" t="e">
        <f aca="false">MAX(0,BH9-BH10)</f>
        <v>#VALUE!</v>
      </c>
      <c r="BI13" s="11" t="e">
        <f aca="false">MAX(0,BI9-BI10)</f>
        <v>#VALUE!</v>
      </c>
      <c r="BJ13" s="11" t="e">
        <f aca="false">MAX(0,BJ9-BJ10)</f>
        <v>#VALUE!</v>
      </c>
      <c r="BK13" s="11" t="e">
        <f aca="false">MAX(0,BK9-BK10)</f>
        <v>#VALUE!</v>
      </c>
      <c r="BL13" s="11" t="e">
        <f aca="false">MAX(0,BL9-BL10)</f>
        <v>#VALUE!</v>
      </c>
      <c r="BM13" s="11" t="e">
        <f aca="false">MAX(0,BM9-BM10)</f>
        <v>#VALUE!</v>
      </c>
      <c r="BN13" s="11" t="e">
        <f aca="false">MAX(0,BN9-BN10)</f>
        <v>#VALUE!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e">
        <f aca="false">J13-Reserves!J11+Reserves!J12</f>
        <v>#VALUE!</v>
      </c>
      <c r="K14" s="11" t="e">
        <f aca="false">K13-Reserves!K11+Reserves!K12</f>
        <v>#VALUE!</v>
      </c>
      <c r="L14" s="11" t="e">
        <f aca="false">L13-Reserves!L11+Reserves!L12</f>
        <v>#VALUE!</v>
      </c>
      <c r="M14" s="11" t="e">
        <f aca="false">M13-Reserves!M11+Reserves!M12</f>
        <v>#VALUE!</v>
      </c>
      <c r="N14" s="11" t="e">
        <f aca="false">N13-Reserves!N11+Reserves!N12</f>
        <v>#VALUE!</v>
      </c>
      <c r="O14" s="11" t="e">
        <f aca="false">O13-Reserves!O11+Reserves!O12</f>
        <v>#VALUE!</v>
      </c>
      <c r="P14" s="11" t="e">
        <f aca="false">P13-Reserves!P11+Reserves!P12</f>
        <v>#VALUE!</v>
      </c>
      <c r="Q14" s="11" t="e">
        <f aca="false">Q13-Reserves!Q11+Reserves!Q12</f>
        <v>#VALUE!</v>
      </c>
      <c r="R14" s="11" t="e">
        <f aca="false">R13-Reserves!R11+Reserves!R12</f>
        <v>#VALUE!</v>
      </c>
      <c r="S14" s="11" t="e">
        <f aca="false">S13-Reserves!S11+Reserves!S12</f>
        <v>#VALUE!</v>
      </c>
      <c r="T14" s="11" t="e">
        <f aca="false">T13-Reserves!T11+Reserves!T12</f>
        <v>#VALUE!</v>
      </c>
      <c r="U14" s="11" t="e">
        <f aca="false">U13-Reserves!U11+Reserves!U12</f>
        <v>#VALUE!</v>
      </c>
      <c r="V14" s="11" t="e">
        <f aca="false">V13-Reserves!V11+Reserves!V12</f>
        <v>#VALUE!</v>
      </c>
      <c r="W14" s="11" t="e">
        <f aca="false">W13-Reserves!W11+Reserves!W12</f>
        <v>#VALUE!</v>
      </c>
      <c r="X14" s="11" t="e">
        <f aca="false">X13-Reserves!X11+Reserves!X12</f>
        <v>#VALUE!</v>
      </c>
      <c r="Y14" s="11" t="e">
        <f aca="false">Y13-Reserves!Y11+Reserves!Y12</f>
        <v>#VALUE!</v>
      </c>
      <c r="Z14" s="11" t="e">
        <f aca="false">Z13-Reserves!Z11+Reserves!Z12</f>
        <v>#VALUE!</v>
      </c>
      <c r="AA14" s="11" t="e">
        <f aca="false">AA13-Reserves!AA11+Reserves!AA12</f>
        <v>#VALUE!</v>
      </c>
      <c r="AB14" s="11" t="e">
        <f aca="false">AB13-Reserves!AB11+Reserves!AB12</f>
        <v>#VALUE!</v>
      </c>
      <c r="AC14" s="11" t="e">
        <f aca="false">AC13-Reserves!AC11+Reserves!AC12</f>
        <v>#VALUE!</v>
      </c>
      <c r="AD14" s="11" t="e">
        <f aca="false">AD13-Reserves!AD11+Reserves!AD12</f>
        <v>#VALUE!</v>
      </c>
      <c r="AE14" s="11" t="e">
        <f aca="false">AE13-Reserves!AE11+Reserves!AE12</f>
        <v>#VALUE!</v>
      </c>
      <c r="AF14" s="11" t="e">
        <f aca="false">AF13-Reserves!AF11+Reserves!AF12</f>
        <v>#VALUE!</v>
      </c>
      <c r="AG14" s="11" t="e">
        <f aca="false">AG13-Reserves!AG11+Reserves!AG12</f>
        <v>#VALUE!</v>
      </c>
      <c r="AH14" s="11" t="e">
        <f aca="false">AH13-Reserves!AH11+Reserves!AH12</f>
        <v>#VALUE!</v>
      </c>
      <c r="AI14" s="11" t="e">
        <f aca="false">AI13-Reserves!AI11+Reserves!AI12</f>
        <v>#VALUE!</v>
      </c>
      <c r="AJ14" s="11" t="e">
        <f aca="false">AJ13-Reserves!AJ11+Reserves!AJ12</f>
        <v>#VALUE!</v>
      </c>
      <c r="AK14" s="11" t="e">
        <f aca="false">AK13-Reserves!AK11+Reserves!AK12</f>
        <v>#VALUE!</v>
      </c>
      <c r="AL14" s="11" t="e">
        <f aca="false">AL13-Reserves!AL11+Reserves!AL12</f>
        <v>#VALUE!</v>
      </c>
      <c r="AM14" s="11" t="e">
        <f aca="false">AM13-Reserves!AM11+Reserves!AM12</f>
        <v>#VALUE!</v>
      </c>
      <c r="AN14" s="11" t="e">
        <f aca="false">AN13-Reserves!AN11+Reserves!AN12</f>
        <v>#VALUE!</v>
      </c>
      <c r="AO14" s="11" t="e">
        <f aca="false">AO13-Reserves!AO11+Reserves!AO12</f>
        <v>#VALUE!</v>
      </c>
      <c r="AP14" s="11" t="e">
        <f aca="false">AP13-Reserves!AP11+Reserves!AP12</f>
        <v>#VALUE!</v>
      </c>
      <c r="AQ14" s="11" t="e">
        <f aca="false">AQ13-Reserves!AQ11+Reserves!AQ12</f>
        <v>#VALUE!</v>
      </c>
      <c r="AR14" s="11" t="e">
        <f aca="false">AR13-Reserves!AR11+Reserves!AR12</f>
        <v>#VALUE!</v>
      </c>
      <c r="AS14" s="11" t="e">
        <f aca="false">AS13-Reserves!AS11+Reserves!AS12</f>
        <v>#VALUE!</v>
      </c>
      <c r="AT14" s="11" t="e">
        <f aca="false">AT13-Reserves!AT11+Reserves!AT12</f>
        <v>#VALUE!</v>
      </c>
      <c r="AU14" s="11" t="e">
        <f aca="false">AU13-Reserves!AU11+Reserves!AU12</f>
        <v>#VALUE!</v>
      </c>
      <c r="AV14" s="11" t="e">
        <f aca="false">AV13-Reserves!AV11+Reserves!AV12</f>
        <v>#VALUE!</v>
      </c>
      <c r="AW14" s="11" t="e">
        <f aca="false">AW13-Reserves!AW11+Reserves!AW12</f>
        <v>#VALUE!</v>
      </c>
      <c r="AX14" s="11" t="e">
        <f aca="false">AX13-Reserves!AX11+Reserves!AX12</f>
        <v>#VALUE!</v>
      </c>
      <c r="AY14" s="11" t="e">
        <f aca="false">AY13-Reserves!AY11+Reserves!AY12</f>
        <v>#VALUE!</v>
      </c>
      <c r="AZ14" s="11" t="e">
        <f aca="false">AZ13-Reserves!AZ11+Reserves!AZ12</f>
        <v>#VALUE!</v>
      </c>
      <c r="BA14" s="11" t="e">
        <f aca="false">BA13-Reserves!BA11+Reserves!BA12</f>
        <v>#VALUE!</v>
      </c>
      <c r="BB14" s="11" t="e">
        <f aca="false">BB13-Reserves!BB11+Reserves!BB12</f>
        <v>#VALUE!</v>
      </c>
      <c r="BC14" s="11" t="e">
        <f aca="false">BC13-Reserves!BC11+Reserves!BC12</f>
        <v>#VALUE!</v>
      </c>
      <c r="BD14" s="11" t="e">
        <f aca="false">BD13-Reserves!BD11+Reserves!BD12</f>
        <v>#VALUE!</v>
      </c>
      <c r="BE14" s="11" t="e">
        <f aca="false">BE13-Reserves!BE11+Reserves!BE12</f>
        <v>#VALUE!</v>
      </c>
      <c r="BF14" s="11" t="e">
        <f aca="false">BF13-Reserves!BF11+Reserves!BF12</f>
        <v>#VALUE!</v>
      </c>
      <c r="BG14" s="11" t="e">
        <f aca="false">BG13-Reserves!BG11+Reserves!BG12</f>
        <v>#VALUE!</v>
      </c>
      <c r="BH14" s="11" t="e">
        <f aca="false">BH13-Reserves!BH11+Reserves!BH12</f>
        <v>#VALUE!</v>
      </c>
      <c r="BI14" s="11" t="e">
        <f aca="false">BI13-Reserves!BI11+Reserves!BI12</f>
        <v>#VALUE!</v>
      </c>
      <c r="BJ14" s="11" t="e">
        <f aca="false">BJ13-Reserves!BJ11+Reserves!BJ12</f>
        <v>#VALUE!</v>
      </c>
      <c r="BK14" s="11" t="e">
        <f aca="false">BK13-Reserves!BK11+Reserves!BK12</f>
        <v>#VALUE!</v>
      </c>
      <c r="BL14" s="11" t="e">
        <f aca="false">BL13-Reserves!BL11+Reserves!BL12</f>
        <v>#VALUE!</v>
      </c>
      <c r="BM14" s="11" t="e">
        <f aca="false">BM13-Reserves!BM11+Reserves!BM12</f>
        <v>#VALUE!</v>
      </c>
      <c r="BN14" s="11" t="e">
        <f aca="false">BN13-Reserves!BN11+Reserves!BN12</f>
        <v>#VALUE!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e">
        <f aca="false">J14-Reserves!J14+Reserves!J15</f>
        <v>#VALUE!</v>
      </c>
      <c r="K15" s="11" t="e">
        <f aca="false">K14-Reserves!K14+Reserves!K15</f>
        <v>#VALUE!</v>
      </c>
      <c r="L15" s="11" t="e">
        <f aca="false">L14-Reserves!L14+Reserves!L15</f>
        <v>#VALUE!</v>
      </c>
      <c r="M15" s="11" t="e">
        <f aca="false">M14-Reserves!M14+Reserves!M15</f>
        <v>#VALUE!</v>
      </c>
      <c r="N15" s="11" t="e">
        <f aca="false">N14-Reserves!N14+Reserves!N15</f>
        <v>#VALUE!</v>
      </c>
      <c r="O15" s="11" t="e">
        <f aca="false">O14-Reserves!O14+Reserves!O15</f>
        <v>#VALUE!</v>
      </c>
      <c r="P15" s="11" t="e">
        <f aca="false">P14-Reserves!P14+Reserves!P15</f>
        <v>#VALUE!</v>
      </c>
      <c r="Q15" s="11" t="e">
        <f aca="false">Q14-Reserves!Q14+Reserves!Q15</f>
        <v>#VALUE!</v>
      </c>
      <c r="R15" s="11" t="e">
        <f aca="false">R14-Reserves!R14+Reserves!R15</f>
        <v>#VALUE!</v>
      </c>
      <c r="S15" s="11" t="e">
        <f aca="false">S14-Reserves!S14+Reserves!S15</f>
        <v>#VALUE!</v>
      </c>
      <c r="T15" s="11" t="e">
        <f aca="false">T14-Reserves!T14+Reserves!T15</f>
        <v>#VALUE!</v>
      </c>
      <c r="U15" s="11" t="e">
        <f aca="false">U14-Reserves!U14+Reserves!U15</f>
        <v>#VALUE!</v>
      </c>
      <c r="V15" s="11" t="e">
        <f aca="false">V14-Reserves!V14+Reserves!V15</f>
        <v>#VALUE!</v>
      </c>
      <c r="W15" s="11" t="e">
        <f aca="false">W14-Reserves!W14+Reserves!W15</f>
        <v>#VALUE!</v>
      </c>
      <c r="X15" s="11" t="e">
        <f aca="false">X14-Reserves!X14+Reserves!X15</f>
        <v>#VALUE!</v>
      </c>
      <c r="Y15" s="11" t="e">
        <f aca="false">Y14-Reserves!Y14+Reserves!Y15</f>
        <v>#VALUE!</v>
      </c>
      <c r="Z15" s="11" t="e">
        <f aca="false">Z14-Reserves!Z14+Reserves!Z15</f>
        <v>#VALUE!</v>
      </c>
      <c r="AA15" s="11" t="e">
        <f aca="false">AA14-Reserves!AA14+Reserves!AA15</f>
        <v>#VALUE!</v>
      </c>
      <c r="AB15" s="11" t="e">
        <f aca="false">AB14-Reserves!AB14+Reserves!AB15</f>
        <v>#VALUE!</v>
      </c>
      <c r="AC15" s="11" t="e">
        <f aca="false">AC14-Reserves!AC14+Reserves!AC15</f>
        <v>#VALUE!</v>
      </c>
      <c r="AD15" s="11" t="e">
        <f aca="false">AD14-Reserves!AD14+Reserves!AD15</f>
        <v>#VALUE!</v>
      </c>
      <c r="AE15" s="11" t="e">
        <f aca="false">AE14-Reserves!AE14+Reserves!AE15</f>
        <v>#VALUE!</v>
      </c>
      <c r="AF15" s="11" t="e">
        <f aca="false">AF14-Reserves!AF14+Reserves!AF15</f>
        <v>#VALUE!</v>
      </c>
      <c r="AG15" s="11" t="e">
        <f aca="false">AG14-Reserves!AG14+Reserves!AG15</f>
        <v>#VALUE!</v>
      </c>
      <c r="AH15" s="11" t="e">
        <f aca="false">AH14-Reserves!AH14+Reserves!AH15</f>
        <v>#VALUE!</v>
      </c>
      <c r="AI15" s="11" t="e">
        <f aca="false">AI14-Reserves!AI14+Reserves!AI15</f>
        <v>#VALUE!</v>
      </c>
      <c r="AJ15" s="11" t="e">
        <f aca="false">AJ14-Reserves!AJ14+Reserves!AJ15</f>
        <v>#VALUE!</v>
      </c>
      <c r="AK15" s="11" t="e">
        <f aca="false">AK14-Reserves!AK14+Reserves!AK15</f>
        <v>#VALUE!</v>
      </c>
      <c r="AL15" s="11" t="e">
        <f aca="false">AL14-Reserves!AL14+Reserves!AL15</f>
        <v>#VALUE!</v>
      </c>
      <c r="AM15" s="11" t="e">
        <f aca="false">AM14-Reserves!AM14+Reserves!AM15</f>
        <v>#VALUE!</v>
      </c>
      <c r="AN15" s="11" t="e">
        <f aca="false">AN14-Reserves!AN14+Reserves!AN15</f>
        <v>#VALUE!</v>
      </c>
      <c r="AO15" s="11" t="e">
        <f aca="false">AO14-Reserves!AO14+Reserves!AO15</f>
        <v>#VALUE!</v>
      </c>
      <c r="AP15" s="11" t="e">
        <f aca="false">AP14-Reserves!AP14+Reserves!AP15</f>
        <v>#VALUE!</v>
      </c>
      <c r="AQ15" s="11" t="e">
        <f aca="false">AQ14-Reserves!AQ14+Reserves!AQ15</f>
        <v>#VALUE!</v>
      </c>
      <c r="AR15" s="11" t="e">
        <f aca="false">AR14-Reserves!AR14+Reserves!AR15</f>
        <v>#VALUE!</v>
      </c>
      <c r="AS15" s="11" t="e">
        <f aca="false">AS14-Reserves!AS14+Reserves!AS15</f>
        <v>#VALUE!</v>
      </c>
      <c r="AT15" s="11" t="e">
        <f aca="false">AT14-Reserves!AT14+Reserves!AT15</f>
        <v>#VALUE!</v>
      </c>
      <c r="AU15" s="11" t="e">
        <f aca="false">AU14-Reserves!AU14+Reserves!AU15</f>
        <v>#VALUE!</v>
      </c>
      <c r="AV15" s="11" t="e">
        <f aca="false">AV14-Reserves!AV14+Reserves!AV15</f>
        <v>#VALUE!</v>
      </c>
      <c r="AW15" s="11" t="e">
        <f aca="false">AW14-Reserves!AW14+Reserves!AW15</f>
        <v>#VALUE!</v>
      </c>
      <c r="AX15" s="11" t="e">
        <f aca="false">AX14-Reserves!AX14+Reserves!AX15</f>
        <v>#VALUE!</v>
      </c>
      <c r="AY15" s="11" t="e">
        <f aca="false">AY14-Reserves!AY14+Reserves!AY15</f>
        <v>#VALUE!</v>
      </c>
      <c r="AZ15" s="11" t="e">
        <f aca="false">AZ14-Reserves!AZ14+Reserves!AZ15</f>
        <v>#VALUE!</v>
      </c>
      <c r="BA15" s="11" t="e">
        <f aca="false">BA14-Reserves!BA14+Reserves!BA15</f>
        <v>#VALUE!</v>
      </c>
      <c r="BB15" s="11" t="e">
        <f aca="false">BB14-Reserves!BB14+Reserves!BB15</f>
        <v>#VALUE!</v>
      </c>
      <c r="BC15" s="11" t="e">
        <f aca="false">BC14-Reserves!BC14+Reserves!BC15</f>
        <v>#VALUE!</v>
      </c>
      <c r="BD15" s="11" t="e">
        <f aca="false">BD14-Reserves!BD14+Reserves!BD15</f>
        <v>#VALUE!</v>
      </c>
      <c r="BE15" s="11" t="e">
        <f aca="false">BE14-Reserves!BE14+Reserves!BE15</f>
        <v>#VALUE!</v>
      </c>
      <c r="BF15" s="11" t="e">
        <f aca="false">BF14-Reserves!BF14+Reserves!BF15</f>
        <v>#VALUE!</v>
      </c>
      <c r="BG15" s="11" t="e">
        <f aca="false">BG14-Reserves!BG14+Reserves!BG15</f>
        <v>#VALUE!</v>
      </c>
      <c r="BH15" s="11" t="e">
        <f aca="false">BH14-Reserves!BH14+Reserves!BH15</f>
        <v>#VALUE!</v>
      </c>
      <c r="BI15" s="11" t="e">
        <f aca="false">BI14-Reserves!BI14+Reserves!BI15</f>
        <v>#VALUE!</v>
      </c>
      <c r="BJ15" s="11" t="e">
        <f aca="false">BJ14-Reserves!BJ14+Reserves!BJ15</f>
        <v>#VALUE!</v>
      </c>
      <c r="BK15" s="11" t="e">
        <f aca="false">BK14-Reserves!BK14+Reserves!BK15</f>
        <v>#VALUE!</v>
      </c>
      <c r="BL15" s="11" t="e">
        <f aca="false">BL14-Reserves!BL14+Reserves!BL15</f>
        <v>#VALUE!</v>
      </c>
      <c r="BM15" s="11" t="e">
        <f aca="false">BM14-Reserves!BM14+Reserves!BM15</f>
        <v>#VALUE!</v>
      </c>
      <c r="BN15" s="11" t="e">
        <f aca="false">BN14-Reserves!BN14+Reserves!BN15</f>
        <v>#VALUE!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e">
        <f aca="false">IF(Debt!J121&gt;0.000000001,J7/Debt!J121,0)</f>
        <v>#VALUE!</v>
      </c>
      <c r="K17" s="6" t="e">
        <f aca="false">IF(Debt!K121&gt;0.000000001,K7/Debt!K121,0)</f>
        <v>#VALUE!</v>
      </c>
      <c r="L17" s="6" t="e">
        <f aca="false">IF(Debt!L121&gt;0.000000001,L7/Debt!L121,0)</f>
        <v>#VALUE!</v>
      </c>
      <c r="M17" s="6" t="e">
        <f aca="false">IF(Debt!M121&gt;0.000000001,M7/Debt!M121,0)</f>
        <v>#VALUE!</v>
      </c>
      <c r="N17" s="6" t="e">
        <f aca="false">IF(Debt!N121&gt;0.000000001,N7/Debt!N121,0)</f>
        <v>#VALUE!</v>
      </c>
      <c r="O17" s="6" t="e">
        <f aca="false">IF(Debt!O121&gt;0.000000001,O7/Debt!O121,0)</f>
        <v>#VALUE!</v>
      </c>
      <c r="P17" s="6" t="e">
        <f aca="false">IF(Debt!P121&gt;0.000000001,P7/Debt!P121,0)</f>
        <v>#VALUE!</v>
      </c>
      <c r="Q17" s="6" t="e">
        <f aca="false">IF(Debt!Q121&gt;0.000000001,Q7/Debt!Q121,0)</f>
        <v>#VALUE!</v>
      </c>
      <c r="R17" s="6" t="e">
        <f aca="false">IF(Debt!R121&gt;0.000000001,R7/Debt!R121,0)</f>
        <v>#VALUE!</v>
      </c>
      <c r="S17" s="6" t="e">
        <f aca="false">IF(Debt!S121&gt;0.000000001,S7/Debt!S121,0)</f>
        <v>#VALUE!</v>
      </c>
      <c r="T17" s="6" t="e">
        <f aca="false">IF(Debt!T121&gt;0.000000001,T7/Debt!T121,0)</f>
        <v>#VALUE!</v>
      </c>
      <c r="U17" s="6" t="e">
        <f aca="false">IF(Debt!U121&gt;0.000000001,U7/Debt!U121,0)</f>
        <v>#VALUE!</v>
      </c>
      <c r="V17" s="6" t="e">
        <f aca="false">IF(Debt!V121&gt;0.000000001,V7/Debt!V121,0)</f>
        <v>#VALUE!</v>
      </c>
      <c r="W17" s="6" t="e">
        <f aca="false">IF(Debt!W121&gt;0.000000001,W7/Debt!W121,0)</f>
        <v>#VALUE!</v>
      </c>
      <c r="X17" s="6" t="e">
        <f aca="false">IF(Debt!X121&gt;0.000000001,X7/Debt!X121,0)</f>
        <v>#VALUE!</v>
      </c>
      <c r="Y17" s="6" t="e">
        <f aca="false">IF(Debt!Y121&gt;0.000000001,Y7/Debt!Y121,0)</f>
        <v>#VALUE!</v>
      </c>
      <c r="Z17" s="6" t="e">
        <f aca="false">IF(Debt!Z121&gt;0.000000001,Z7/Debt!Z121,0)</f>
        <v>#VALUE!</v>
      </c>
      <c r="AA17" s="6" t="e">
        <f aca="false">IF(Debt!AA121&gt;0.000000001,AA7/Debt!AA121,0)</f>
        <v>#VALUE!</v>
      </c>
      <c r="AB17" s="6" t="e">
        <f aca="false">IF(Debt!AB121&gt;0.000000001,AB7/Debt!AB121,0)</f>
        <v>#VALUE!</v>
      </c>
      <c r="AC17" s="6" t="e">
        <f aca="false">IF(Debt!AC121&gt;0.000000001,AC7/Debt!AC121,0)</f>
        <v>#VALUE!</v>
      </c>
      <c r="AD17" s="6" t="e">
        <f aca="false">IF(Debt!AD121&gt;0.000000001,AD7/Debt!AD121,0)</f>
        <v>#VALUE!</v>
      </c>
      <c r="AE17" s="6" t="e">
        <f aca="false">IF(Debt!AE121&gt;0.000000001,AE7/Debt!AE121,0)</f>
        <v>#VALUE!</v>
      </c>
      <c r="AF17" s="6" t="e">
        <f aca="false">IF(Debt!AF121&gt;0.000000001,AF7/Debt!AF121,0)</f>
        <v>#VALUE!</v>
      </c>
      <c r="AG17" s="6" t="e">
        <f aca="false">IF(Debt!AG121&gt;0.000000001,AG7/Debt!AG121,0)</f>
        <v>#VALUE!</v>
      </c>
      <c r="AH17" s="6" t="e">
        <f aca="false">IF(Debt!AH121&gt;0.000000001,AH7/Debt!AH121,0)</f>
        <v>#VALUE!</v>
      </c>
      <c r="AI17" s="6" t="e">
        <f aca="false">IF(Debt!AI121&gt;0.000000001,AI7/Debt!AI121,0)</f>
        <v>#VALUE!</v>
      </c>
      <c r="AJ17" s="6" t="e">
        <f aca="false">IF(Debt!AJ121&gt;0.000000001,AJ7/Debt!AJ121,0)</f>
        <v>#VALUE!</v>
      </c>
      <c r="AK17" s="6" t="e">
        <f aca="false">IF(Debt!AK121&gt;0.000000001,AK7/Debt!AK121,0)</f>
        <v>#VALUE!</v>
      </c>
      <c r="AL17" s="6" t="e">
        <f aca="false">IF(Debt!AL121&gt;0.000000001,AL7/Debt!AL121,0)</f>
        <v>#VALUE!</v>
      </c>
      <c r="AM17" s="6" t="e">
        <f aca="false">IF(Debt!AM121&gt;0.000000001,AM7/Debt!AM121,0)</f>
        <v>#VALUE!</v>
      </c>
      <c r="AN17" s="6" t="e">
        <f aca="false">IF(Debt!AN121&gt;0.000000001,AN7/Debt!AN121,0)</f>
        <v>#VALUE!</v>
      </c>
      <c r="AO17" s="6" t="e">
        <f aca="false">IF(Debt!AO121&gt;0.000000001,AO7/Debt!AO121,0)</f>
        <v>#VALUE!</v>
      </c>
      <c r="AP17" s="6" t="e">
        <f aca="false">IF(Debt!AP121&gt;0.000000001,AP7/Debt!AP121,0)</f>
        <v>#VALUE!</v>
      </c>
      <c r="AQ17" s="6" t="e">
        <f aca="false">IF(Debt!AQ121&gt;0.000000001,AQ7/Debt!AQ121,0)</f>
        <v>#VALUE!</v>
      </c>
      <c r="AR17" s="6" t="e">
        <f aca="false">IF(Debt!AR121&gt;0.000000001,AR7/Debt!AR121,0)</f>
        <v>#VALUE!</v>
      </c>
      <c r="AS17" s="6" t="e">
        <f aca="false">IF(Debt!AS121&gt;0.000000001,AS7/Debt!AS121,0)</f>
        <v>#VALUE!</v>
      </c>
      <c r="AT17" s="6" t="e">
        <f aca="false">IF(Debt!AT121&gt;0.000000001,AT7/Debt!AT121,0)</f>
        <v>#VALUE!</v>
      </c>
      <c r="AU17" s="6" t="e">
        <f aca="false">IF(Debt!AU121&gt;0.000000001,AU7/Debt!AU121,0)</f>
        <v>#VALUE!</v>
      </c>
      <c r="AV17" s="6" t="e">
        <f aca="false">IF(Debt!AV121&gt;0.000000001,AV7/Debt!AV121,0)</f>
        <v>#VALUE!</v>
      </c>
      <c r="AW17" s="6" t="e">
        <f aca="false">IF(Debt!AW121&gt;0.000000001,AW7/Debt!AW121,0)</f>
        <v>#VALUE!</v>
      </c>
      <c r="AX17" s="6" t="e">
        <f aca="false">IF(Debt!AX121&gt;0.000000001,AX7/Debt!AX121,0)</f>
        <v>#VALUE!</v>
      </c>
      <c r="AY17" s="6" t="e">
        <f aca="false">IF(Debt!AY121&gt;0.000000001,AY7/Debt!AY121,0)</f>
        <v>#VALUE!</v>
      </c>
      <c r="AZ17" s="6" t="e">
        <f aca="false">IF(Debt!AZ121&gt;0.000000001,AZ7/Debt!AZ121,0)</f>
        <v>#VALUE!</v>
      </c>
      <c r="BA17" s="6" t="e">
        <f aca="false">IF(Debt!BA121&gt;0.000000001,BA7/Debt!BA121,0)</f>
        <v>#VALUE!</v>
      </c>
      <c r="BB17" s="6" t="e">
        <f aca="false">IF(Debt!BB121&gt;0.000000001,BB7/Debt!BB121,0)</f>
        <v>#VALUE!</v>
      </c>
      <c r="BC17" s="6" t="e">
        <f aca="false">IF(Debt!BC121&gt;0.000000001,BC7/Debt!BC121,0)</f>
        <v>#VALUE!</v>
      </c>
      <c r="BD17" s="6" t="e">
        <f aca="false">IF(Debt!BD121&gt;0.000000001,BD7/Debt!BD121,0)</f>
        <v>#VALUE!</v>
      </c>
      <c r="BE17" s="6" t="e">
        <f aca="false">IF(Debt!BE121&gt;0.000000001,BE7/Debt!BE121,0)</f>
        <v>#VALUE!</v>
      </c>
      <c r="BF17" s="6" t="e">
        <f aca="false">IF(Debt!BF121&gt;0.000000001,BF7/Debt!BF121,0)</f>
        <v>#VALUE!</v>
      </c>
      <c r="BG17" s="6" t="e">
        <f aca="false">IF(Debt!BG121&gt;0.000000001,BG7/Debt!BG121,0)</f>
        <v>#VALUE!</v>
      </c>
      <c r="BH17" s="6" t="e">
        <f aca="false">IF(Debt!BH121&gt;0.000000001,BH7/Debt!BH121,0)</f>
        <v>#VALUE!</v>
      </c>
      <c r="BI17" s="6" t="e">
        <f aca="false">IF(Debt!BI121&gt;0.000000001,BI7/Debt!BI121,0)</f>
        <v>#VALUE!</v>
      </c>
      <c r="BJ17" s="6" t="e">
        <f aca="false">IF(Debt!BJ121&gt;0.000000001,BJ7/Debt!BJ121,0)</f>
        <v>#VALUE!</v>
      </c>
      <c r="BK17" s="6" t="e">
        <f aca="false">IF(Debt!BK121&gt;0.000000001,BK7/Debt!BK121,0)</f>
        <v>#VALUE!</v>
      </c>
      <c r="BL17" s="6" t="e">
        <f aca="false">IF(Debt!BL121&gt;0.000000001,BL7/Debt!BL121,0)</f>
        <v>#VALUE!</v>
      </c>
      <c r="BM17" s="6" t="e">
        <f aca="false">IF(Debt!BM121&gt;0.000000001,BM7/Debt!BM121,0)</f>
        <v>#VALUE!</v>
      </c>
      <c r="BN17" s="6" t="e">
        <f aca="false">IF(Debt!BN121&gt;0.000000001,BN7/Debt!BN121,0)</f>
        <v>#VALUE!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e">
        <f aca="false">IF(Debt!J121&gt;0.000000001,IF(0&gt;0.000000001,(J7+0)/(Debt!J121+0),J17),0)</f>
        <v>#VALUE!</v>
      </c>
      <c r="K18" s="6" t="e">
        <f aca="false">IF(Debt!K121&gt;0.000000001,IF(Debt!J121&gt;0.000000001,(K7+J7)/(Debt!K121+Debt!J121),K17),0)</f>
        <v>#VALUE!</v>
      </c>
      <c r="L18" s="6" t="e">
        <f aca="false">IF(Debt!L121&gt;0.000000001,IF(Debt!K121&gt;0.000000001,(L7+K7)/(Debt!L121+Debt!K121),L17),0)</f>
        <v>#VALUE!</v>
      </c>
      <c r="M18" s="6" t="e">
        <f aca="false">IF(Debt!M121&gt;0.000000001,IF(Debt!L121&gt;0.000000001,(M7+L7)/(Debt!M121+Debt!L121),M17),0)</f>
        <v>#VALUE!</v>
      </c>
      <c r="N18" s="6" t="e">
        <f aca="false">IF(Debt!N121&gt;0.000000001,IF(Debt!M121&gt;0.000000001,(N7+M7)/(Debt!N121+Debt!M121),N17),0)</f>
        <v>#VALUE!</v>
      </c>
      <c r="O18" s="6" t="e">
        <f aca="false">IF(Debt!O121&gt;0.000000001,IF(Debt!N121&gt;0.000000001,(O7+N7)/(Debt!O121+Debt!N121),O17),0)</f>
        <v>#VALUE!</v>
      </c>
      <c r="P18" s="6" t="e">
        <f aca="false">IF(Debt!P121&gt;0.000000001,IF(Debt!O121&gt;0.000000001,(P7+O7)/(Debt!P121+Debt!O121),P17),0)</f>
        <v>#VALUE!</v>
      </c>
      <c r="Q18" s="6" t="e">
        <f aca="false">IF(Debt!Q121&gt;0.000000001,IF(Debt!P121&gt;0.000000001,(Q7+P7)/(Debt!Q121+Debt!P121),Q17),0)</f>
        <v>#VALUE!</v>
      </c>
      <c r="R18" s="6" t="e">
        <f aca="false">IF(Debt!R121&gt;0.000000001,IF(Debt!Q121&gt;0.000000001,(R7+Q7)/(Debt!R121+Debt!Q121),R17),0)</f>
        <v>#VALUE!</v>
      </c>
      <c r="S18" s="6" t="e">
        <f aca="false">IF(Debt!S121&gt;0.000000001,IF(Debt!R121&gt;0.000000001,(S7+R7)/(Debt!S121+Debt!R121),S17),0)</f>
        <v>#VALUE!</v>
      </c>
      <c r="T18" s="6" t="e">
        <f aca="false">IF(Debt!T121&gt;0.000000001,IF(Debt!S121&gt;0.000000001,(T7+S7)/(Debt!T121+Debt!S121),T17),0)</f>
        <v>#VALUE!</v>
      </c>
      <c r="U18" s="6" t="e">
        <f aca="false">IF(Debt!U121&gt;0.000000001,IF(Debt!T121&gt;0.000000001,(U7+T7)/(Debt!U121+Debt!T121),U17),0)</f>
        <v>#VALUE!</v>
      </c>
      <c r="V18" s="6" t="e">
        <f aca="false">IF(Debt!V121&gt;0.000000001,IF(Debt!U121&gt;0.000000001,(V7+U7)/(Debt!V121+Debt!U121),V17),0)</f>
        <v>#VALUE!</v>
      </c>
      <c r="W18" s="6" t="e">
        <f aca="false">IF(Debt!W121&gt;0.000000001,IF(Debt!V121&gt;0.000000001,(W7+V7)/(Debt!W121+Debt!V121),W17),0)</f>
        <v>#VALUE!</v>
      </c>
      <c r="X18" s="6" t="e">
        <f aca="false">IF(Debt!X121&gt;0.000000001,IF(Debt!W121&gt;0.000000001,(X7+W7)/(Debt!X121+Debt!W121),X17),0)</f>
        <v>#VALUE!</v>
      </c>
      <c r="Y18" s="6" t="e">
        <f aca="false">IF(Debt!Y121&gt;0.000000001,IF(Debt!X121&gt;0.000000001,(Y7+X7)/(Debt!Y121+Debt!X121),Y17),0)</f>
        <v>#VALUE!</v>
      </c>
      <c r="Z18" s="6" t="e">
        <f aca="false">IF(Debt!Z121&gt;0.000000001,IF(Debt!Y121&gt;0.000000001,(Z7+Y7)/(Debt!Z121+Debt!Y121),Z17),0)</f>
        <v>#VALUE!</v>
      </c>
      <c r="AA18" s="6" t="e">
        <f aca="false">IF(Debt!AA121&gt;0.000000001,IF(Debt!Z121&gt;0.000000001,(AA7+Z7)/(Debt!AA121+Debt!Z121),AA17),0)</f>
        <v>#VALUE!</v>
      </c>
      <c r="AB18" s="6" t="e">
        <f aca="false">IF(Debt!AB121&gt;0.000000001,IF(Debt!AA121&gt;0.000000001,(AB7+AA7)/(Debt!AB121+Debt!AA121),AB17),0)</f>
        <v>#VALUE!</v>
      </c>
      <c r="AC18" s="6" t="e">
        <f aca="false">IF(Debt!AC121&gt;0.000000001,IF(Debt!AB121&gt;0.000000001,(AC7+AB7)/(Debt!AC121+Debt!AB121),AC17),0)</f>
        <v>#VALUE!</v>
      </c>
      <c r="AD18" s="6" t="e">
        <f aca="false">IF(Debt!AD121&gt;0.000000001,IF(Debt!AC121&gt;0.000000001,(AD7+AC7)/(Debt!AD121+Debt!AC121),AD17),0)</f>
        <v>#VALUE!</v>
      </c>
      <c r="AE18" s="6" t="e">
        <f aca="false">IF(Debt!AE121&gt;0.000000001,IF(Debt!AD121&gt;0.000000001,(AE7+AD7)/(Debt!AE121+Debt!AD121),AE17),0)</f>
        <v>#VALUE!</v>
      </c>
      <c r="AF18" s="6" t="e">
        <f aca="false">IF(Debt!AF121&gt;0.000000001,IF(Debt!AE121&gt;0.000000001,(AF7+AE7)/(Debt!AF121+Debt!AE121),AF17),0)</f>
        <v>#VALUE!</v>
      </c>
      <c r="AG18" s="6" t="e">
        <f aca="false">IF(Debt!AG121&gt;0.000000001,IF(Debt!AF121&gt;0.000000001,(AG7+AF7)/(Debt!AG121+Debt!AF121),AG17),0)</f>
        <v>#VALUE!</v>
      </c>
      <c r="AH18" s="6" t="e">
        <f aca="false">IF(Debt!AH121&gt;0.000000001,IF(Debt!AG121&gt;0.000000001,(AH7+AG7)/(Debt!AH121+Debt!AG121),AH17),0)</f>
        <v>#VALUE!</v>
      </c>
      <c r="AI18" s="6" t="e">
        <f aca="false">IF(Debt!AI121&gt;0.000000001,IF(Debt!AH121&gt;0.000000001,(AI7+AH7)/(Debt!AI121+Debt!AH121),AI17),0)</f>
        <v>#VALUE!</v>
      </c>
      <c r="AJ18" s="6" t="e">
        <f aca="false">IF(Debt!AJ121&gt;0.000000001,IF(Debt!AI121&gt;0.000000001,(AJ7+AI7)/(Debt!AJ121+Debt!AI121),AJ17),0)</f>
        <v>#VALUE!</v>
      </c>
      <c r="AK18" s="6" t="e">
        <f aca="false">IF(Debt!AK121&gt;0.000000001,IF(Debt!AJ121&gt;0.000000001,(AK7+AJ7)/(Debt!AK121+Debt!AJ121),AK17),0)</f>
        <v>#VALUE!</v>
      </c>
      <c r="AL18" s="6" t="e">
        <f aca="false">IF(Debt!AL121&gt;0.000000001,IF(Debt!AK121&gt;0.000000001,(AL7+AK7)/(Debt!AL121+Debt!AK121),AL17),0)</f>
        <v>#VALUE!</v>
      </c>
      <c r="AM18" s="6" t="e">
        <f aca="false">IF(Debt!AM121&gt;0.000000001,IF(Debt!AL121&gt;0.000000001,(AM7+AL7)/(Debt!AM121+Debt!AL121),AM17),0)</f>
        <v>#VALUE!</v>
      </c>
      <c r="AN18" s="6" t="e">
        <f aca="false">IF(Debt!AN121&gt;0.000000001,IF(Debt!AM121&gt;0.000000001,(AN7+AM7)/(Debt!AN121+Debt!AM121),AN17),0)</f>
        <v>#VALUE!</v>
      </c>
      <c r="AO18" s="6" t="e">
        <f aca="false">IF(Debt!AO121&gt;0.000000001,IF(Debt!AN121&gt;0.000000001,(AO7+AN7)/(Debt!AO121+Debt!AN121),AO17),0)</f>
        <v>#VALUE!</v>
      </c>
      <c r="AP18" s="6" t="e">
        <f aca="false">IF(Debt!AP121&gt;0.000000001,IF(Debt!AO121&gt;0.000000001,(AP7+AO7)/(Debt!AP121+Debt!AO121),AP17),0)</f>
        <v>#VALUE!</v>
      </c>
      <c r="AQ18" s="6" t="e">
        <f aca="false">IF(Debt!AQ121&gt;0.000000001,IF(Debt!AP121&gt;0.000000001,(AQ7+AP7)/(Debt!AQ121+Debt!AP121),AQ17),0)</f>
        <v>#VALUE!</v>
      </c>
      <c r="AR18" s="6" t="e">
        <f aca="false">IF(Debt!AR121&gt;0.000000001,IF(Debt!AQ121&gt;0.000000001,(AR7+AQ7)/(Debt!AR121+Debt!AQ121),AR17),0)</f>
        <v>#VALUE!</v>
      </c>
      <c r="AS18" s="6" t="e">
        <f aca="false">IF(Debt!AS121&gt;0.000000001,IF(Debt!AR121&gt;0.000000001,(AS7+AR7)/(Debt!AS121+Debt!AR121),AS17),0)</f>
        <v>#VALUE!</v>
      </c>
      <c r="AT18" s="6" t="e">
        <f aca="false">IF(Debt!AT121&gt;0.000000001,IF(Debt!AS121&gt;0.000000001,(AT7+AS7)/(Debt!AT121+Debt!AS121),AT17),0)</f>
        <v>#VALUE!</v>
      </c>
      <c r="AU18" s="6" t="e">
        <f aca="false">IF(Debt!AU121&gt;0.000000001,IF(Debt!AT121&gt;0.000000001,(AU7+AT7)/(Debt!AU121+Debt!AT121),AU17),0)</f>
        <v>#VALUE!</v>
      </c>
      <c r="AV18" s="6" t="e">
        <f aca="false">IF(Debt!AV121&gt;0.000000001,IF(Debt!AU121&gt;0.000000001,(AV7+AU7)/(Debt!AV121+Debt!AU121),AV17),0)</f>
        <v>#VALUE!</v>
      </c>
      <c r="AW18" s="6" t="e">
        <f aca="false">IF(Debt!AW121&gt;0.000000001,IF(Debt!AV121&gt;0.000000001,(AW7+AV7)/(Debt!AW121+Debt!AV121),AW17),0)</f>
        <v>#VALUE!</v>
      </c>
      <c r="AX18" s="6" t="e">
        <f aca="false">IF(Debt!AX121&gt;0.000000001,IF(Debt!AW121&gt;0.000000001,(AX7+AW7)/(Debt!AX121+Debt!AW121),AX17),0)</f>
        <v>#VALUE!</v>
      </c>
      <c r="AY18" s="6" t="e">
        <f aca="false">IF(Debt!AY121&gt;0.000000001,IF(Debt!AX121&gt;0.000000001,(AY7+AX7)/(Debt!AY121+Debt!AX121),AY17),0)</f>
        <v>#VALUE!</v>
      </c>
      <c r="AZ18" s="6" t="e">
        <f aca="false">IF(Debt!AZ121&gt;0.000000001,IF(Debt!AY121&gt;0.000000001,(AZ7+AY7)/(Debt!AZ121+Debt!AY121),AZ17),0)</f>
        <v>#VALUE!</v>
      </c>
      <c r="BA18" s="6" t="e">
        <f aca="false">IF(Debt!BA121&gt;0.000000001,IF(Debt!AZ121&gt;0.000000001,(BA7+AZ7)/(Debt!BA121+Debt!AZ121),BA17),0)</f>
        <v>#VALUE!</v>
      </c>
      <c r="BB18" s="6" t="e">
        <f aca="false">IF(Debt!BB121&gt;0.000000001,IF(Debt!BA121&gt;0.000000001,(BB7+BA7)/(Debt!BB121+Debt!BA121),BB17),0)</f>
        <v>#VALUE!</v>
      </c>
      <c r="BC18" s="6" t="e">
        <f aca="false">IF(Debt!BC121&gt;0.000000001,IF(Debt!BB121&gt;0.000000001,(BC7+BB7)/(Debt!BC121+Debt!BB121),BC17),0)</f>
        <v>#VALUE!</v>
      </c>
      <c r="BD18" s="6" t="e">
        <f aca="false">IF(Debt!BD121&gt;0.000000001,IF(Debt!BC121&gt;0.000000001,(BD7+BC7)/(Debt!BD121+Debt!BC121),BD17),0)</f>
        <v>#VALUE!</v>
      </c>
      <c r="BE18" s="6" t="e">
        <f aca="false">IF(Debt!BE121&gt;0.000000001,IF(Debt!BD121&gt;0.000000001,(BE7+BD7)/(Debt!BE121+Debt!BD121),BE17),0)</f>
        <v>#VALUE!</v>
      </c>
      <c r="BF18" s="6" t="e">
        <f aca="false">IF(Debt!BF121&gt;0.000000001,IF(Debt!BE121&gt;0.000000001,(BF7+BE7)/(Debt!BF121+Debt!BE121),BF17),0)</f>
        <v>#VALUE!</v>
      </c>
      <c r="BG18" s="6" t="e">
        <f aca="false">IF(Debt!BG121&gt;0.000000001,IF(Debt!BF121&gt;0.000000001,(BG7+BF7)/(Debt!BG121+Debt!BF121),BG17),0)</f>
        <v>#VALUE!</v>
      </c>
      <c r="BH18" s="6" t="e">
        <f aca="false">IF(Debt!BH121&gt;0.000000001,IF(Debt!BG121&gt;0.000000001,(BH7+BG7)/(Debt!BH121+Debt!BG121),BH17),0)</f>
        <v>#VALUE!</v>
      </c>
      <c r="BI18" s="6" t="e">
        <f aca="false">IF(Debt!BI121&gt;0.000000001,IF(Debt!BH121&gt;0.000000001,(BI7+BH7)/(Debt!BI121+Debt!BH121),BI17),0)</f>
        <v>#VALUE!</v>
      </c>
      <c r="BJ18" s="6" t="e">
        <f aca="false">IF(Debt!BJ121&gt;0.000000001,IF(Debt!BI121&gt;0.000000001,(BJ7+BI7)/(Debt!BJ121+Debt!BI121),BJ17),0)</f>
        <v>#VALUE!</v>
      </c>
      <c r="BK18" s="6" t="e">
        <f aca="false">IF(Debt!BK121&gt;0.000000001,IF(Debt!BJ121&gt;0.000000001,(BK7+BJ7)/(Debt!BK121+Debt!BJ121),BK17),0)</f>
        <v>#VALUE!</v>
      </c>
      <c r="BL18" s="6" t="e">
        <f aca="false">IF(Debt!BL121&gt;0.000000001,IF(Debt!BK121&gt;0.000000001,(BL7+BK7)/(Debt!BL121+Debt!BK121),BL17),0)</f>
        <v>#VALUE!</v>
      </c>
      <c r="BM18" s="6" t="e">
        <f aca="false">IF(Debt!BM121&gt;0.000000001,IF(Debt!BL121&gt;0.000000001,(BM7+BL7)/(Debt!BM121+Debt!BL121),BM17),0)</f>
        <v>#VALUE!</v>
      </c>
      <c r="BN18" s="6" t="e">
        <f aca="false">IF(Debt!BN121&gt;0.000000001,IF(Debt!BM121&gt;0.000000001,(BN7+BM7)/(Debt!BN121+Debt!BM121),BN17),0)</f>
        <v>#VALUE!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e">
        <f aca="false">IF(SUM(Debt!J$120:J$120)&gt;0.000000001,1,0)</f>
        <v>#VALUE!</v>
      </c>
      <c r="K19" s="9" t="e">
        <f aca="false">IF(SUM(Debt!$J$120:K$120)&gt;0.000000001,1,0)</f>
        <v>#VALUE!</v>
      </c>
      <c r="L19" s="9" t="e">
        <f aca="false">IF(SUM(Debt!$J$120:L$120)&gt;0.000000001,1,0)</f>
        <v>#VALUE!</v>
      </c>
      <c r="M19" s="9" t="e">
        <f aca="false">IF(SUM(Debt!$J$120:M$120)&gt;0.000000001,1,0)</f>
        <v>#VALUE!</v>
      </c>
      <c r="N19" s="9" t="e">
        <f aca="false">IF(SUM(Debt!$J$120:N$120)&gt;0.000000001,1,0)</f>
        <v>#VALUE!</v>
      </c>
      <c r="O19" s="9" t="e">
        <f aca="false">IF(SUM(Debt!$J$120:O$120)&gt;0.000000001,1,0)</f>
        <v>#VALUE!</v>
      </c>
      <c r="P19" s="9" t="e">
        <f aca="false">IF(SUM(Debt!$J$120:P$120)&gt;0.000000001,1,0)</f>
        <v>#VALUE!</v>
      </c>
      <c r="Q19" s="9" t="e">
        <f aca="false">IF(SUM(Debt!$J$120:Q$120)&gt;0.000000001,1,0)</f>
        <v>#VALUE!</v>
      </c>
      <c r="R19" s="9" t="e">
        <f aca="false">IF(SUM(Debt!$J$120:R$120)&gt;0.000000001,1,0)</f>
        <v>#VALUE!</v>
      </c>
      <c r="S19" s="9" t="e">
        <f aca="false">IF(SUM(Debt!$J$120:S$120)&gt;0.000000001,1,0)</f>
        <v>#VALUE!</v>
      </c>
      <c r="T19" s="9" t="e">
        <f aca="false">IF(SUM(Debt!$J$120:T$120)&gt;0.000000001,1,0)</f>
        <v>#VALUE!</v>
      </c>
      <c r="U19" s="9" t="e">
        <f aca="false">IF(SUM(Debt!$J$120:U$120)&gt;0.000000001,1,0)</f>
        <v>#VALUE!</v>
      </c>
      <c r="V19" s="9" t="e">
        <f aca="false">IF(SUM(Debt!$J$120:V$120)&gt;0.000000001,1,0)</f>
        <v>#VALUE!</v>
      </c>
      <c r="W19" s="9" t="e">
        <f aca="false">IF(SUM(Debt!$J$120:W$120)&gt;0.000000001,1,0)</f>
        <v>#VALUE!</v>
      </c>
      <c r="X19" s="9" t="e">
        <f aca="false">IF(SUM(Debt!$J$120:X$120)&gt;0.000000001,1,0)</f>
        <v>#VALUE!</v>
      </c>
      <c r="Y19" s="9" t="e">
        <f aca="false">IF(SUM(Debt!$J$120:Y$120)&gt;0.000000001,1,0)</f>
        <v>#VALUE!</v>
      </c>
      <c r="Z19" s="9" t="e">
        <f aca="false">IF(SUM(Debt!$J$120:Z$120)&gt;0.000000001,1,0)</f>
        <v>#VALUE!</v>
      </c>
      <c r="AA19" s="9" t="e">
        <f aca="false">IF(SUM(Debt!$J$120:AA$120)&gt;0.000000001,1,0)</f>
        <v>#VALUE!</v>
      </c>
      <c r="AB19" s="9" t="e">
        <f aca="false">IF(SUM(Debt!$J$120:AB$120)&gt;0.000000001,1,0)</f>
        <v>#VALUE!</v>
      </c>
      <c r="AC19" s="9" t="e">
        <f aca="false">IF(SUM(Debt!$J$120:AC$120)&gt;0.000000001,1,0)</f>
        <v>#VALUE!</v>
      </c>
      <c r="AD19" s="9" t="e">
        <f aca="false">IF(SUM(Debt!$J$120:AD$120)&gt;0.000000001,1,0)</f>
        <v>#VALUE!</v>
      </c>
      <c r="AE19" s="9" t="e">
        <f aca="false">IF(SUM(Debt!$J$120:AE$120)&gt;0.000000001,1,0)</f>
        <v>#VALUE!</v>
      </c>
      <c r="AF19" s="9" t="e">
        <f aca="false">IF(SUM(Debt!$J$120:AF$120)&gt;0.000000001,1,0)</f>
        <v>#VALUE!</v>
      </c>
      <c r="AG19" s="9" t="e">
        <f aca="false">IF(SUM(Debt!$J$120:AG$120)&gt;0.000000001,1,0)</f>
        <v>#VALUE!</v>
      </c>
      <c r="AH19" s="9" t="e">
        <f aca="false">IF(SUM(Debt!$J$120:AH$120)&gt;0.000000001,1,0)</f>
        <v>#VALUE!</v>
      </c>
      <c r="AI19" s="9" t="e">
        <f aca="false">IF(SUM(Debt!$J$120:AI$120)&gt;0.000000001,1,0)</f>
        <v>#VALUE!</v>
      </c>
      <c r="AJ19" s="9" t="e">
        <f aca="false">IF(SUM(Debt!$J$120:AJ$120)&gt;0.000000001,1,0)</f>
        <v>#VALUE!</v>
      </c>
      <c r="AK19" s="9" t="e">
        <f aca="false">IF(SUM(Debt!$J$120:AK$120)&gt;0.000000001,1,0)</f>
        <v>#VALUE!</v>
      </c>
      <c r="AL19" s="9" t="e">
        <f aca="false">IF(SUM(Debt!$J$120:AL$120)&gt;0.000000001,1,0)</f>
        <v>#VALUE!</v>
      </c>
      <c r="AM19" s="9" t="e">
        <f aca="false">IF(SUM(Debt!$J$120:AM$120)&gt;0.000000001,1,0)</f>
        <v>#VALUE!</v>
      </c>
      <c r="AN19" s="9" t="e">
        <f aca="false">IF(SUM(Debt!$J$120:AN$120)&gt;0.000000001,1,0)</f>
        <v>#VALUE!</v>
      </c>
      <c r="AO19" s="9" t="e">
        <f aca="false">IF(SUM(Debt!$J$120:AO$120)&gt;0.000000001,1,0)</f>
        <v>#VALUE!</v>
      </c>
      <c r="AP19" s="9" t="e">
        <f aca="false">IF(SUM(Debt!$J$120:AP$120)&gt;0.000000001,1,0)</f>
        <v>#VALUE!</v>
      </c>
      <c r="AQ19" s="9" t="e">
        <f aca="false">IF(SUM(Debt!$J$120:AQ$120)&gt;0.000000001,1,0)</f>
        <v>#VALUE!</v>
      </c>
      <c r="AR19" s="9" t="e">
        <f aca="false">IF(SUM(Debt!$J$120:AR$120)&gt;0.000000001,1,0)</f>
        <v>#VALUE!</v>
      </c>
      <c r="AS19" s="9" t="e">
        <f aca="false">IF(SUM(Debt!$J$120:AS$120)&gt;0.000000001,1,0)</f>
        <v>#VALUE!</v>
      </c>
      <c r="AT19" s="9" t="e">
        <f aca="false">IF(SUM(Debt!$J$120:AT$120)&gt;0.000000001,1,0)</f>
        <v>#VALUE!</v>
      </c>
      <c r="AU19" s="9" t="e">
        <f aca="false">IF(SUM(Debt!$J$120:AU$120)&gt;0.000000001,1,0)</f>
        <v>#VALUE!</v>
      </c>
      <c r="AV19" s="9" t="e">
        <f aca="false">IF(SUM(Debt!$J$120:AV$120)&gt;0.000000001,1,0)</f>
        <v>#VALUE!</v>
      </c>
      <c r="AW19" s="9" t="e">
        <f aca="false">IF(SUM(Debt!$J$120:AW$120)&gt;0.000000001,1,0)</f>
        <v>#VALUE!</v>
      </c>
      <c r="AX19" s="9" t="e">
        <f aca="false">IF(SUM(Debt!$J$120:AX$120)&gt;0.000000001,1,0)</f>
        <v>#VALUE!</v>
      </c>
      <c r="AY19" s="9" t="e">
        <f aca="false">IF(SUM(Debt!$J$120:AY$120)&gt;0.000000001,1,0)</f>
        <v>#VALUE!</v>
      </c>
      <c r="AZ19" s="9" t="e">
        <f aca="false">IF(SUM(Debt!$J$120:AZ$120)&gt;0.000000001,1,0)</f>
        <v>#VALUE!</v>
      </c>
      <c r="BA19" s="9" t="e">
        <f aca="false">IF(SUM(Debt!$J$120:BA$120)&gt;0.000000001,1,0)</f>
        <v>#VALUE!</v>
      </c>
      <c r="BB19" s="9" t="e">
        <f aca="false">IF(SUM(Debt!$J$120:BB$120)&gt;0.000000001,1,0)</f>
        <v>#VALUE!</v>
      </c>
      <c r="BC19" s="9" t="e">
        <f aca="false">IF(SUM(Debt!$J$120:BC$120)&gt;0.000000001,1,0)</f>
        <v>#VALUE!</v>
      </c>
      <c r="BD19" s="9" t="e">
        <f aca="false">IF(SUM(Debt!$J$120:BD$120)&gt;0.000000001,1,0)</f>
        <v>#VALUE!</v>
      </c>
      <c r="BE19" s="9" t="e">
        <f aca="false">IF(SUM(Debt!$J$120:BE$120)&gt;0.000000001,1,0)</f>
        <v>#VALUE!</v>
      </c>
      <c r="BF19" s="9" t="e">
        <f aca="false">IF(SUM(Debt!$J$120:BF$120)&gt;0.000000001,1,0)</f>
        <v>#VALUE!</v>
      </c>
      <c r="BG19" s="9" t="e">
        <f aca="false">IF(SUM(Debt!$J$120:BG$120)&gt;0.000000001,1,0)</f>
        <v>#VALUE!</v>
      </c>
      <c r="BH19" s="9" t="e">
        <f aca="false">IF(SUM(Debt!$J$120:BH$120)&gt;0.000000001,1,0)</f>
        <v>#VALUE!</v>
      </c>
      <c r="BI19" s="9" t="e">
        <f aca="false">IF(SUM(Debt!$J$120:BI$120)&gt;0.000000001,1,0)</f>
        <v>#VALUE!</v>
      </c>
      <c r="BJ19" s="9" t="e">
        <f aca="false">IF(SUM(Debt!$J$120:BJ$120)&gt;0.000000001,1,0)</f>
        <v>#VALUE!</v>
      </c>
      <c r="BK19" s="9" t="e">
        <f aca="false">IF(SUM(Debt!$J$120:BK$120)&gt;0.000000001,1,0)</f>
        <v>#VALUE!</v>
      </c>
      <c r="BL19" s="9" t="e">
        <f aca="false">IF(SUM(Debt!$J$120:BL$120)&gt;0.000000001,1,0)</f>
        <v>#VALUE!</v>
      </c>
      <c r="BM19" s="9" t="e">
        <f aca="false">IF(SUM(Debt!$J$120:BM$120)&gt;0.000000001,1,0)</f>
        <v>#VALUE!</v>
      </c>
      <c r="BN19" s="9" t="e">
        <f aca="false">IF(SUM(Debt!$J$120:BN$120)&gt;0.000000001,1,0)</f>
        <v>#VALUE!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e">
        <f aca="false">IF(AND(Debt!J121&gt;0.000000001,J18&lt;Inputs!$F$107),1,0)</f>
        <v>#VALUE!</v>
      </c>
      <c r="K20" s="9" t="e">
        <f aca="false">IF(AND(Debt!K121&gt;0.000000001,K18&lt;Inputs!$F$107),1,0)</f>
        <v>#VALUE!</v>
      </c>
      <c r="L20" s="9" t="e">
        <f aca="false">IF(AND(Debt!L121&gt;0.000000001,L18&lt;Inputs!$F$107),1,0)</f>
        <v>#VALUE!</v>
      </c>
      <c r="M20" s="9" t="e">
        <f aca="false">IF(AND(Debt!M121&gt;0.000000001,M18&lt;Inputs!$F$107),1,0)</f>
        <v>#VALUE!</v>
      </c>
      <c r="N20" s="9" t="e">
        <f aca="false">IF(AND(Debt!N121&gt;0.000000001,N18&lt;Inputs!$F$107),1,0)</f>
        <v>#VALUE!</v>
      </c>
      <c r="O20" s="9" t="e">
        <f aca="false">IF(AND(Debt!O121&gt;0.000000001,O18&lt;Inputs!$F$107),1,0)</f>
        <v>#VALUE!</v>
      </c>
      <c r="P20" s="9" t="e">
        <f aca="false">IF(AND(Debt!P121&gt;0.000000001,P18&lt;Inputs!$F$107),1,0)</f>
        <v>#VALUE!</v>
      </c>
      <c r="Q20" s="9" t="e">
        <f aca="false">IF(AND(Debt!Q121&gt;0.000000001,Q18&lt;Inputs!$F$107),1,0)</f>
        <v>#VALUE!</v>
      </c>
      <c r="R20" s="9" t="e">
        <f aca="false">IF(AND(Debt!R121&gt;0.000000001,R18&lt;Inputs!$F$107),1,0)</f>
        <v>#VALUE!</v>
      </c>
      <c r="S20" s="9" t="e">
        <f aca="false">IF(AND(Debt!S121&gt;0.000000001,S18&lt;Inputs!$F$107),1,0)</f>
        <v>#VALUE!</v>
      </c>
      <c r="T20" s="9" t="e">
        <f aca="false">IF(AND(Debt!T121&gt;0.000000001,T18&lt;Inputs!$F$107),1,0)</f>
        <v>#VALUE!</v>
      </c>
      <c r="U20" s="9" t="e">
        <f aca="false">IF(AND(Debt!U121&gt;0.000000001,U18&lt;Inputs!$F$107),1,0)</f>
        <v>#VALUE!</v>
      </c>
      <c r="V20" s="9" t="e">
        <f aca="false">IF(AND(Debt!V121&gt;0.000000001,V18&lt;Inputs!$F$107),1,0)</f>
        <v>#VALUE!</v>
      </c>
      <c r="W20" s="9" t="e">
        <f aca="false">IF(AND(Debt!W121&gt;0.000000001,W18&lt;Inputs!$F$107),1,0)</f>
        <v>#VALUE!</v>
      </c>
      <c r="X20" s="9" t="e">
        <f aca="false">IF(AND(Debt!X121&gt;0.000000001,X18&lt;Inputs!$F$107),1,0)</f>
        <v>#VALUE!</v>
      </c>
      <c r="Y20" s="9" t="e">
        <f aca="false">IF(AND(Debt!Y121&gt;0.000000001,Y18&lt;Inputs!$F$107),1,0)</f>
        <v>#VALUE!</v>
      </c>
      <c r="Z20" s="9" t="e">
        <f aca="false">IF(AND(Debt!Z121&gt;0.000000001,Z18&lt;Inputs!$F$107),1,0)</f>
        <v>#VALUE!</v>
      </c>
      <c r="AA20" s="9" t="e">
        <f aca="false">IF(AND(Debt!AA121&gt;0.000000001,AA18&lt;Inputs!$F$107),1,0)</f>
        <v>#VALUE!</v>
      </c>
      <c r="AB20" s="9" t="e">
        <f aca="false">IF(AND(Debt!AB121&gt;0.000000001,AB18&lt;Inputs!$F$107),1,0)</f>
        <v>#VALUE!</v>
      </c>
      <c r="AC20" s="9" t="e">
        <f aca="false">IF(AND(Debt!AC121&gt;0.000000001,AC18&lt;Inputs!$F$107),1,0)</f>
        <v>#VALUE!</v>
      </c>
      <c r="AD20" s="9" t="e">
        <f aca="false">IF(AND(Debt!AD121&gt;0.000000001,AD18&lt;Inputs!$F$107),1,0)</f>
        <v>#VALUE!</v>
      </c>
      <c r="AE20" s="9" t="e">
        <f aca="false">IF(AND(Debt!AE121&gt;0.000000001,AE18&lt;Inputs!$F$107),1,0)</f>
        <v>#VALUE!</v>
      </c>
      <c r="AF20" s="9" t="e">
        <f aca="false">IF(AND(Debt!AF121&gt;0.000000001,AF18&lt;Inputs!$F$107),1,0)</f>
        <v>#VALUE!</v>
      </c>
      <c r="AG20" s="9" t="e">
        <f aca="false">IF(AND(Debt!AG121&gt;0.000000001,AG18&lt;Inputs!$F$107),1,0)</f>
        <v>#VALUE!</v>
      </c>
      <c r="AH20" s="9" t="e">
        <f aca="false">IF(AND(Debt!AH121&gt;0.000000001,AH18&lt;Inputs!$F$107),1,0)</f>
        <v>#VALUE!</v>
      </c>
      <c r="AI20" s="9" t="e">
        <f aca="false">IF(AND(Debt!AI121&gt;0.000000001,AI18&lt;Inputs!$F$107),1,0)</f>
        <v>#VALUE!</v>
      </c>
      <c r="AJ20" s="9" t="e">
        <f aca="false">IF(AND(Debt!AJ121&gt;0.000000001,AJ18&lt;Inputs!$F$107),1,0)</f>
        <v>#VALUE!</v>
      </c>
      <c r="AK20" s="9" t="e">
        <f aca="false">IF(AND(Debt!AK121&gt;0.000000001,AK18&lt;Inputs!$F$107),1,0)</f>
        <v>#VALUE!</v>
      </c>
      <c r="AL20" s="9" t="e">
        <f aca="false">IF(AND(Debt!AL121&gt;0.000000001,AL18&lt;Inputs!$F$107),1,0)</f>
        <v>#VALUE!</v>
      </c>
      <c r="AM20" s="9" t="e">
        <f aca="false">IF(AND(Debt!AM121&gt;0.000000001,AM18&lt;Inputs!$F$107),1,0)</f>
        <v>#VALUE!</v>
      </c>
      <c r="AN20" s="9" t="e">
        <f aca="false">IF(AND(Debt!AN121&gt;0.000000001,AN18&lt;Inputs!$F$107),1,0)</f>
        <v>#VALUE!</v>
      </c>
      <c r="AO20" s="9" t="e">
        <f aca="false">IF(AND(Debt!AO121&gt;0.000000001,AO18&lt;Inputs!$F$107),1,0)</f>
        <v>#VALUE!</v>
      </c>
      <c r="AP20" s="9" t="e">
        <f aca="false">IF(AND(Debt!AP121&gt;0.000000001,AP18&lt;Inputs!$F$107),1,0)</f>
        <v>#VALUE!</v>
      </c>
      <c r="AQ20" s="9" t="e">
        <f aca="false">IF(AND(Debt!AQ121&gt;0.000000001,AQ18&lt;Inputs!$F$107),1,0)</f>
        <v>#VALUE!</v>
      </c>
      <c r="AR20" s="9" t="e">
        <f aca="false">IF(AND(Debt!AR121&gt;0.000000001,AR18&lt;Inputs!$F$107),1,0)</f>
        <v>#VALUE!</v>
      </c>
      <c r="AS20" s="9" t="e">
        <f aca="false">IF(AND(Debt!AS121&gt;0.000000001,AS18&lt;Inputs!$F$107),1,0)</f>
        <v>#VALUE!</v>
      </c>
      <c r="AT20" s="9" t="e">
        <f aca="false">IF(AND(Debt!AT121&gt;0.000000001,AT18&lt;Inputs!$F$107),1,0)</f>
        <v>#VALUE!</v>
      </c>
      <c r="AU20" s="9" t="e">
        <f aca="false">IF(AND(Debt!AU121&gt;0.000000001,AU18&lt;Inputs!$F$107),1,0)</f>
        <v>#VALUE!</v>
      </c>
      <c r="AV20" s="9" t="e">
        <f aca="false">IF(AND(Debt!AV121&gt;0.000000001,AV18&lt;Inputs!$F$107),1,0)</f>
        <v>#VALUE!</v>
      </c>
      <c r="AW20" s="9" t="e">
        <f aca="false">IF(AND(Debt!AW121&gt;0.000000001,AW18&lt;Inputs!$F$107),1,0)</f>
        <v>#VALUE!</v>
      </c>
      <c r="AX20" s="9" t="e">
        <f aca="false">IF(AND(Debt!AX121&gt;0.000000001,AX18&lt;Inputs!$F$107),1,0)</f>
        <v>#VALUE!</v>
      </c>
      <c r="AY20" s="9" t="e">
        <f aca="false">IF(AND(Debt!AY121&gt;0.000000001,AY18&lt;Inputs!$F$107),1,0)</f>
        <v>#VALUE!</v>
      </c>
      <c r="AZ20" s="9" t="e">
        <f aca="false">IF(AND(Debt!AZ121&gt;0.000000001,AZ18&lt;Inputs!$F$107),1,0)</f>
        <v>#VALUE!</v>
      </c>
      <c r="BA20" s="9" t="e">
        <f aca="false">IF(AND(Debt!BA121&gt;0.000000001,BA18&lt;Inputs!$F$107),1,0)</f>
        <v>#VALUE!</v>
      </c>
      <c r="BB20" s="9" t="e">
        <f aca="false">IF(AND(Debt!BB121&gt;0.000000001,BB18&lt;Inputs!$F$107),1,0)</f>
        <v>#VALUE!</v>
      </c>
      <c r="BC20" s="9" t="e">
        <f aca="false">IF(AND(Debt!BC121&gt;0.000000001,BC18&lt;Inputs!$F$107),1,0)</f>
        <v>#VALUE!</v>
      </c>
      <c r="BD20" s="9" t="e">
        <f aca="false">IF(AND(Debt!BD121&gt;0.000000001,BD18&lt;Inputs!$F$107),1,0)</f>
        <v>#VALUE!</v>
      </c>
      <c r="BE20" s="9" t="e">
        <f aca="false">IF(AND(Debt!BE121&gt;0.000000001,BE18&lt;Inputs!$F$107),1,0)</f>
        <v>#VALUE!</v>
      </c>
      <c r="BF20" s="9" t="e">
        <f aca="false">IF(AND(Debt!BF121&gt;0.000000001,BF18&lt;Inputs!$F$107),1,0)</f>
        <v>#VALUE!</v>
      </c>
      <c r="BG20" s="9" t="e">
        <f aca="false">IF(AND(Debt!BG121&gt;0.000000001,BG18&lt;Inputs!$F$107),1,0)</f>
        <v>#VALUE!</v>
      </c>
      <c r="BH20" s="9" t="e">
        <f aca="false">IF(AND(Debt!BH121&gt;0.000000001,BH18&lt;Inputs!$F$107),1,0)</f>
        <v>#VALUE!</v>
      </c>
      <c r="BI20" s="9" t="e">
        <f aca="false">IF(AND(Debt!BI121&gt;0.000000001,BI18&lt;Inputs!$F$107),1,0)</f>
        <v>#VALUE!</v>
      </c>
      <c r="BJ20" s="9" t="e">
        <f aca="false">IF(AND(Debt!BJ121&gt;0.000000001,BJ18&lt;Inputs!$F$107),1,0)</f>
        <v>#VALUE!</v>
      </c>
      <c r="BK20" s="9" t="e">
        <f aca="false">IF(AND(Debt!BK121&gt;0.000000001,BK18&lt;Inputs!$F$107),1,0)</f>
        <v>#VALUE!</v>
      </c>
      <c r="BL20" s="9" t="e">
        <f aca="false">IF(AND(Debt!BL121&gt;0.000000001,BL18&lt;Inputs!$F$107),1,0)</f>
        <v>#VALUE!</v>
      </c>
      <c r="BM20" s="9" t="e">
        <f aca="false">IF(AND(Debt!BM121&gt;0.000000001,BM18&lt;Inputs!$F$107),1,0)</f>
        <v>#VALUE!</v>
      </c>
      <c r="BN20" s="9" t="e">
        <f aca="false">IF(AND(Debt!BN121&gt;0.000000001,BN18&lt;Inputs!$F$107),1,0)</f>
        <v>#VALUE!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e">
        <f aca="false">MAX(0,IF(AND(J22=1,Time!J17&gt;11,J18&gt;=Inputs!$F$108,Time!J17-1&gt;11,0&gt;=Inputs!$F$108,Reserves!J13&gt;=Debt!J132-0.000001),1,0))</f>
        <v>#VALUE!</v>
      </c>
      <c r="K23" s="9" t="e">
        <f aca="false">MAX(J23,IF(AND(K22=1,Time!K17&gt;11,K18&gt;=Inputs!$F$108,Time!K17-1&gt;11,J18&gt;=Inputs!$F$108,Reserves!K13&gt;=Debt!K132-0.000001),1,0))</f>
        <v>#VALUE!</v>
      </c>
      <c r="L23" s="9" t="e">
        <f aca="false">MAX(K23,IF(AND(L22=1,Time!L17&gt;11,L18&gt;=Inputs!$F$108,Time!L17-1&gt;11,K18&gt;=Inputs!$F$108,Reserves!L13&gt;=Debt!L132-0.000001),1,0))</f>
        <v>#VALUE!</v>
      </c>
      <c r="M23" s="9" t="e">
        <f aca="false">MAX(L23,IF(AND(M22=1,Time!M17&gt;11,M18&gt;=Inputs!$F$108,Time!M17-1&gt;11,L18&gt;=Inputs!$F$108,Reserves!M13&gt;=Debt!M132-0.000001),1,0))</f>
        <v>#VALUE!</v>
      </c>
      <c r="N23" s="9" t="e">
        <f aca="false">MAX(M23,IF(AND(N22=1,Time!N17&gt;11,N18&gt;=Inputs!$F$108,Time!N17-1&gt;11,M18&gt;=Inputs!$F$108,Reserves!N13&gt;=Debt!N132-0.000001),1,0))</f>
        <v>#VALUE!</v>
      </c>
      <c r="O23" s="9" t="e">
        <f aca="false">MAX(N23,IF(AND(O22=1,Time!O17&gt;11,O18&gt;=Inputs!$F$108,Time!O17-1&gt;11,N18&gt;=Inputs!$F$108,Reserves!O13&gt;=Debt!O132-0.000001),1,0))</f>
        <v>#VALUE!</v>
      </c>
      <c r="P23" s="9" t="e">
        <f aca="false">MAX(O23,IF(AND(P22=1,Time!P17&gt;11,P18&gt;=Inputs!$F$108,Time!P17-1&gt;11,O18&gt;=Inputs!$F$108,Reserves!P13&gt;=Debt!P132-0.000001),1,0))</f>
        <v>#VALUE!</v>
      </c>
      <c r="Q23" s="9" t="e">
        <f aca="false">MAX(P23,IF(AND(Q22=1,Time!Q17&gt;11,Q18&gt;=Inputs!$F$108,Time!Q17-1&gt;11,P18&gt;=Inputs!$F$108,Reserves!Q13&gt;=Debt!Q132-0.000001),1,0))</f>
        <v>#VALUE!</v>
      </c>
      <c r="R23" s="9" t="e">
        <f aca="false">MAX(Q23,IF(AND(R22=1,Time!R17&gt;11,R18&gt;=Inputs!$F$108,Time!R17-1&gt;11,Q18&gt;=Inputs!$F$108,Reserves!R13&gt;=Debt!R132-0.000001),1,0))</f>
        <v>#VALUE!</v>
      </c>
      <c r="S23" s="9" t="e">
        <f aca="false">MAX(R23,IF(AND(S22=1,Time!S17&gt;11,S18&gt;=Inputs!$F$108,Time!S17-1&gt;11,R18&gt;=Inputs!$F$108,Reserves!S13&gt;=Debt!S132-0.000001),1,0))</f>
        <v>#VALUE!</v>
      </c>
      <c r="T23" s="9" t="e">
        <f aca="false">MAX(S23,IF(AND(T22=1,Time!T17&gt;11,T18&gt;=Inputs!$F$108,Time!T17-1&gt;11,S18&gt;=Inputs!$F$108,Reserves!T13&gt;=Debt!T132-0.000001),1,0))</f>
        <v>#VALUE!</v>
      </c>
      <c r="U23" s="9" t="e">
        <f aca="false">MAX(T23,IF(AND(U22=1,Time!U17&gt;11,U18&gt;=Inputs!$F$108,Time!U17-1&gt;11,T18&gt;=Inputs!$F$108,Reserves!U13&gt;=Debt!U132-0.000001),1,0))</f>
        <v>#VALUE!</v>
      </c>
      <c r="V23" s="9" t="e">
        <f aca="false">MAX(U23,IF(AND(V22=1,Time!V17&gt;11,V18&gt;=Inputs!$F$108,Time!V17-1&gt;11,U18&gt;=Inputs!$F$108,Reserves!V13&gt;=Debt!V132-0.000001),1,0))</f>
        <v>#VALUE!</v>
      </c>
      <c r="W23" s="9" t="e">
        <f aca="false">MAX(V23,IF(AND(W22=1,Time!W17&gt;11,W18&gt;=Inputs!$F$108,Time!W17-1&gt;11,V18&gt;=Inputs!$F$108,Reserves!W13&gt;=Debt!W132-0.000001),1,0))</f>
        <v>#VALUE!</v>
      </c>
      <c r="X23" s="9" t="e">
        <f aca="false">MAX(W23,IF(AND(X22=1,Time!X17&gt;11,X18&gt;=Inputs!$F$108,Time!X17-1&gt;11,W18&gt;=Inputs!$F$108,Reserves!X13&gt;=Debt!X132-0.000001),1,0))</f>
        <v>#VALUE!</v>
      </c>
      <c r="Y23" s="9" t="e">
        <f aca="false">MAX(X23,IF(AND(Y22=1,Time!Y17&gt;11,Y18&gt;=Inputs!$F$108,Time!Y17-1&gt;11,X18&gt;=Inputs!$F$108,Reserves!Y13&gt;=Debt!Y132-0.000001),1,0))</f>
        <v>#VALUE!</v>
      </c>
      <c r="Z23" s="9" t="e">
        <f aca="false">MAX(Y23,IF(AND(Z22=1,Time!Z17&gt;11,Z18&gt;=Inputs!$F$108,Time!Z17-1&gt;11,Y18&gt;=Inputs!$F$108,Reserves!Z13&gt;=Debt!Z132-0.000001),1,0))</f>
        <v>#VALUE!</v>
      </c>
      <c r="AA23" s="9" t="e">
        <f aca="false">MAX(Z23,IF(AND(AA22=1,Time!AA17&gt;11,AA18&gt;=Inputs!$F$108,Time!AA17-1&gt;11,Z18&gt;=Inputs!$F$108,Reserves!AA13&gt;=Debt!AA132-0.000001),1,0))</f>
        <v>#VALUE!</v>
      </c>
      <c r="AB23" s="9" t="e">
        <f aca="false">MAX(AA23,IF(AND(AB22=1,Time!AB17&gt;11,AB18&gt;=Inputs!$F$108,Time!AB17-1&gt;11,AA18&gt;=Inputs!$F$108,Reserves!AB13&gt;=Debt!AB132-0.000001),1,0))</f>
        <v>#VALUE!</v>
      </c>
      <c r="AC23" s="9" t="e">
        <f aca="false">MAX(AB23,IF(AND(AC22=1,Time!AC17&gt;11,AC18&gt;=Inputs!$F$108,Time!AC17-1&gt;11,AB18&gt;=Inputs!$F$108,Reserves!AC13&gt;=Debt!AC132-0.000001),1,0))</f>
        <v>#VALUE!</v>
      </c>
      <c r="AD23" s="9" t="e">
        <f aca="false">MAX(AC23,IF(AND(AD22=1,Time!AD17&gt;11,AD18&gt;=Inputs!$F$108,Time!AD17-1&gt;11,AC18&gt;=Inputs!$F$108,Reserves!AD13&gt;=Debt!AD132-0.000001),1,0))</f>
        <v>#VALUE!</v>
      </c>
      <c r="AE23" s="9" t="e">
        <f aca="false">MAX(AD23,IF(AND(AE22=1,Time!AE17&gt;11,AE18&gt;=Inputs!$F$108,Time!AE17-1&gt;11,AD18&gt;=Inputs!$F$108,Reserves!AE13&gt;=Debt!AE132-0.000001),1,0))</f>
        <v>#VALUE!</v>
      </c>
      <c r="AF23" s="9" t="e">
        <f aca="false">MAX(AE23,IF(AND(AF22=1,Time!AF17&gt;11,AF18&gt;=Inputs!$F$108,Time!AF17-1&gt;11,AE18&gt;=Inputs!$F$108,Reserves!AF13&gt;=Debt!AF132-0.000001),1,0))</f>
        <v>#VALUE!</v>
      </c>
      <c r="AG23" s="9" t="e">
        <f aca="false">MAX(AF23,IF(AND(AG22=1,Time!AG17&gt;11,AG18&gt;=Inputs!$F$108,Time!AG17-1&gt;11,AF18&gt;=Inputs!$F$108,Reserves!AG13&gt;=Debt!AG132-0.000001),1,0))</f>
        <v>#VALUE!</v>
      </c>
      <c r="AH23" s="9" t="e">
        <f aca="false">MAX(AG23,IF(AND(AH22=1,Time!AH17&gt;11,AH18&gt;=Inputs!$F$108,Time!AH17-1&gt;11,AG18&gt;=Inputs!$F$108,Reserves!AH13&gt;=Debt!AH132-0.000001),1,0))</f>
        <v>#VALUE!</v>
      </c>
      <c r="AI23" s="9" t="e">
        <f aca="false">MAX(AH23,IF(AND(AI22=1,Time!AI17&gt;11,AI18&gt;=Inputs!$F$108,Time!AI17-1&gt;11,AH18&gt;=Inputs!$F$108,Reserves!AI13&gt;=Debt!AI132-0.000001),1,0))</f>
        <v>#VALUE!</v>
      </c>
      <c r="AJ23" s="9" t="e">
        <f aca="false">MAX(AI23,IF(AND(AJ22=1,Time!AJ17&gt;11,AJ18&gt;=Inputs!$F$108,Time!AJ17-1&gt;11,AI18&gt;=Inputs!$F$108,Reserves!AJ13&gt;=Debt!AJ132-0.000001),1,0))</f>
        <v>#VALUE!</v>
      </c>
      <c r="AK23" s="9" t="e">
        <f aca="false">MAX(AJ23,IF(AND(AK22=1,Time!AK17&gt;11,AK18&gt;=Inputs!$F$108,Time!AK17-1&gt;11,AJ18&gt;=Inputs!$F$108,Reserves!AK13&gt;=Debt!AK132-0.000001),1,0))</f>
        <v>#VALUE!</v>
      </c>
      <c r="AL23" s="9" t="e">
        <f aca="false">MAX(AK23,IF(AND(AL22=1,Time!AL17&gt;11,AL18&gt;=Inputs!$F$108,Time!AL17-1&gt;11,AK18&gt;=Inputs!$F$108,Reserves!AL13&gt;=Debt!AL132-0.000001),1,0))</f>
        <v>#VALUE!</v>
      </c>
      <c r="AM23" s="9" t="e">
        <f aca="false">MAX(AL23,IF(AND(AM22=1,Time!AM17&gt;11,AM18&gt;=Inputs!$F$108,Time!AM17-1&gt;11,AL18&gt;=Inputs!$F$108,Reserves!AM13&gt;=Debt!AM132-0.000001),1,0))</f>
        <v>#VALUE!</v>
      </c>
      <c r="AN23" s="9" t="e">
        <f aca="false">MAX(AM23,IF(AND(AN22=1,Time!AN17&gt;11,AN18&gt;=Inputs!$F$108,Time!AN17-1&gt;11,AM18&gt;=Inputs!$F$108,Reserves!AN13&gt;=Debt!AN132-0.000001),1,0))</f>
        <v>#VALUE!</v>
      </c>
      <c r="AO23" s="9" t="e">
        <f aca="false">MAX(AN23,IF(AND(AO22=1,Time!AO17&gt;11,AO18&gt;=Inputs!$F$108,Time!AO17-1&gt;11,AN18&gt;=Inputs!$F$108,Reserves!AO13&gt;=Debt!AO132-0.000001),1,0))</f>
        <v>#VALUE!</v>
      </c>
      <c r="AP23" s="9" t="e">
        <f aca="false">MAX(AO23,IF(AND(AP22=1,Time!AP17&gt;11,AP18&gt;=Inputs!$F$108,Time!AP17-1&gt;11,AO18&gt;=Inputs!$F$108,Reserves!AP13&gt;=Debt!AP132-0.000001),1,0))</f>
        <v>#VALUE!</v>
      </c>
      <c r="AQ23" s="9" t="e">
        <f aca="false">MAX(AP23,IF(AND(AQ22=1,Time!AQ17&gt;11,AQ18&gt;=Inputs!$F$108,Time!AQ17-1&gt;11,AP18&gt;=Inputs!$F$108,Reserves!AQ13&gt;=Debt!AQ132-0.000001),1,0))</f>
        <v>#VALUE!</v>
      </c>
      <c r="AR23" s="9" t="e">
        <f aca="false">MAX(AQ23,IF(AND(AR22=1,Time!AR17&gt;11,AR18&gt;=Inputs!$F$108,Time!AR17-1&gt;11,AQ18&gt;=Inputs!$F$108,Reserves!AR13&gt;=Debt!AR132-0.000001),1,0))</f>
        <v>#VALUE!</v>
      </c>
      <c r="AS23" s="9" t="e">
        <f aca="false">MAX(AR23,IF(AND(AS22=1,Time!AS17&gt;11,AS18&gt;=Inputs!$F$108,Time!AS17-1&gt;11,AR18&gt;=Inputs!$F$108,Reserves!AS13&gt;=Debt!AS132-0.000001),1,0))</f>
        <v>#VALUE!</v>
      </c>
      <c r="AT23" s="9" t="e">
        <f aca="false">MAX(AS23,IF(AND(AT22=1,Time!AT17&gt;11,AT18&gt;=Inputs!$F$108,Time!AT17-1&gt;11,AS18&gt;=Inputs!$F$108,Reserves!AT13&gt;=Debt!AT132-0.000001),1,0))</f>
        <v>#VALUE!</v>
      </c>
      <c r="AU23" s="9" t="e">
        <f aca="false">MAX(AT23,IF(AND(AU22=1,Time!AU17&gt;11,AU18&gt;=Inputs!$F$108,Time!AU17-1&gt;11,AT18&gt;=Inputs!$F$108,Reserves!AU13&gt;=Debt!AU132-0.000001),1,0))</f>
        <v>#VALUE!</v>
      </c>
      <c r="AV23" s="9" t="e">
        <f aca="false">MAX(AU23,IF(AND(AV22=1,Time!AV17&gt;11,AV18&gt;=Inputs!$F$108,Time!AV17-1&gt;11,AU18&gt;=Inputs!$F$108,Reserves!AV13&gt;=Debt!AV132-0.000001),1,0))</f>
        <v>#VALUE!</v>
      </c>
      <c r="AW23" s="9" t="e">
        <f aca="false">MAX(AV23,IF(AND(AW22=1,Time!AW17&gt;11,AW18&gt;=Inputs!$F$108,Time!AW17-1&gt;11,AV18&gt;=Inputs!$F$108,Reserves!AW13&gt;=Debt!AW132-0.000001),1,0))</f>
        <v>#VALUE!</v>
      </c>
      <c r="AX23" s="9" t="e">
        <f aca="false">MAX(AW23,IF(AND(AX22=1,Time!AX17&gt;11,AX18&gt;=Inputs!$F$108,Time!AX17-1&gt;11,AW18&gt;=Inputs!$F$108,Reserves!AX13&gt;=Debt!AX132-0.000001),1,0))</f>
        <v>#VALUE!</v>
      </c>
      <c r="AY23" s="9" t="e">
        <f aca="false">MAX(AX23,IF(AND(AY22=1,Time!AY17&gt;11,AY18&gt;=Inputs!$F$108,Time!AY17-1&gt;11,AX18&gt;=Inputs!$F$108,Reserves!AY13&gt;=Debt!AY132-0.000001),1,0))</f>
        <v>#VALUE!</v>
      </c>
      <c r="AZ23" s="9" t="e">
        <f aca="false">MAX(AY23,IF(AND(AZ22=1,Time!AZ17&gt;11,AZ18&gt;=Inputs!$F$108,Time!AZ17-1&gt;11,AY18&gt;=Inputs!$F$108,Reserves!AZ13&gt;=Debt!AZ132-0.000001),1,0))</f>
        <v>#VALUE!</v>
      </c>
      <c r="BA23" s="9" t="e">
        <f aca="false">MAX(AZ23,IF(AND(BA22=1,Time!BA17&gt;11,BA18&gt;=Inputs!$F$108,Time!BA17-1&gt;11,AZ18&gt;=Inputs!$F$108,Reserves!BA13&gt;=Debt!BA132-0.000001),1,0))</f>
        <v>#VALUE!</v>
      </c>
      <c r="BB23" s="9" t="e">
        <f aca="false">MAX(BA23,IF(AND(BB22=1,Time!BB17&gt;11,BB18&gt;=Inputs!$F$108,Time!BB17-1&gt;11,BA18&gt;=Inputs!$F$108,Reserves!BB13&gt;=Debt!BB132-0.000001),1,0))</f>
        <v>#VALUE!</v>
      </c>
      <c r="BC23" s="9" t="e">
        <f aca="false">MAX(BB23,IF(AND(BC22=1,Time!BC17&gt;11,BC18&gt;=Inputs!$F$108,Time!BC17-1&gt;11,BB18&gt;=Inputs!$F$108,Reserves!BC13&gt;=Debt!BC132-0.000001),1,0))</f>
        <v>#VALUE!</v>
      </c>
      <c r="BD23" s="9" t="e">
        <f aca="false">MAX(BC23,IF(AND(BD22=1,Time!BD17&gt;11,BD18&gt;=Inputs!$F$108,Time!BD17-1&gt;11,BC18&gt;=Inputs!$F$108,Reserves!BD13&gt;=Debt!BD132-0.000001),1,0))</f>
        <v>#VALUE!</v>
      </c>
      <c r="BE23" s="9" t="e">
        <f aca="false">MAX(BD23,IF(AND(BE22=1,Time!BE17&gt;11,BE18&gt;=Inputs!$F$108,Time!BE17-1&gt;11,BD18&gt;=Inputs!$F$108,Reserves!BE13&gt;=Debt!BE132-0.000001),1,0))</f>
        <v>#VALUE!</v>
      </c>
      <c r="BF23" s="9" t="e">
        <f aca="false">MAX(BE23,IF(AND(BF22=1,Time!BF17&gt;11,BF18&gt;=Inputs!$F$108,Time!BF17-1&gt;11,BE18&gt;=Inputs!$F$108,Reserves!BF13&gt;=Debt!BF132-0.000001),1,0))</f>
        <v>#VALUE!</v>
      </c>
      <c r="BG23" s="9" t="e">
        <f aca="false">MAX(BF23,IF(AND(BG22=1,Time!BG17&gt;11,BG18&gt;=Inputs!$F$108,Time!BG17-1&gt;11,BF18&gt;=Inputs!$F$108,Reserves!BG13&gt;=Debt!BG132-0.000001),1,0))</f>
        <v>#VALUE!</v>
      </c>
      <c r="BH23" s="9" t="e">
        <f aca="false">MAX(BG23,IF(AND(BH22=1,Time!BH17&gt;11,BH18&gt;=Inputs!$F$108,Time!BH17-1&gt;11,BG18&gt;=Inputs!$F$108,Reserves!BH13&gt;=Debt!BH132-0.000001),1,0))</f>
        <v>#VALUE!</v>
      </c>
      <c r="BI23" s="9" t="e">
        <f aca="false">MAX(BH23,IF(AND(BI22=1,Time!BI17&gt;11,BI18&gt;=Inputs!$F$108,Time!BI17-1&gt;11,BH18&gt;=Inputs!$F$108,Reserves!BI13&gt;=Debt!BI132-0.000001),1,0))</f>
        <v>#VALUE!</v>
      </c>
      <c r="BJ23" s="9" t="e">
        <f aca="false">MAX(BI23,IF(AND(BJ22=1,Time!BJ17&gt;11,BJ18&gt;=Inputs!$F$108,Time!BJ17-1&gt;11,BI18&gt;=Inputs!$F$108,Reserves!BJ13&gt;=Debt!BJ132-0.000001),1,0))</f>
        <v>#VALUE!</v>
      </c>
      <c r="BK23" s="9" t="e">
        <f aca="false">MAX(BJ23,IF(AND(BK22=1,Time!BK17&gt;11,BK18&gt;=Inputs!$F$108,Time!BK17-1&gt;11,BJ18&gt;=Inputs!$F$108,Reserves!BK13&gt;=Debt!BK132-0.000001),1,0))</f>
        <v>#VALUE!</v>
      </c>
      <c r="BL23" s="9" t="e">
        <f aca="false">MAX(BK23,IF(AND(BL22=1,Time!BL17&gt;11,BL18&gt;=Inputs!$F$108,Time!BL17-1&gt;11,BK18&gt;=Inputs!$F$108,Reserves!BL13&gt;=Debt!BL132-0.000001),1,0))</f>
        <v>#VALUE!</v>
      </c>
      <c r="BM23" s="9" t="e">
        <f aca="false">MAX(BL23,IF(AND(BM22=1,Time!BM17&gt;11,BM18&gt;=Inputs!$F$108,Time!BM17-1&gt;11,BL18&gt;=Inputs!$F$108,Reserves!BM13&gt;=Debt!BM132-0.000001),1,0))</f>
        <v>#VALUE!</v>
      </c>
      <c r="BN23" s="9" t="e">
        <f aca="false">MAX(BM23,IF(AND(BN22=1,Time!BN17&gt;11,BN18&gt;=Inputs!$F$108,Time!BN17-1&gt;11,BM18&gt;=Inputs!$F$108,Reserves!BN13&gt;=Debt!BN132-0.000001),1,0))</f>
        <v>#VALUE!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e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#VALUE!</v>
      </c>
      <c r="K24" s="9" t="e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#VALUE!</v>
      </c>
      <c r="L24" s="9" t="e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#VALUE!</v>
      </c>
      <c r="M24" s="9" t="e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#VALUE!</v>
      </c>
      <c r="N24" s="9" t="e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#VALUE!</v>
      </c>
      <c r="O24" s="9" t="e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#VALUE!</v>
      </c>
      <c r="P24" s="9" t="e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#VALUE!</v>
      </c>
      <c r="Q24" s="9" t="e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#VALUE!</v>
      </c>
      <c r="R24" s="9" t="e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#VALUE!</v>
      </c>
      <c r="S24" s="9" t="e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#VALUE!</v>
      </c>
      <c r="T24" s="9" t="e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#VALUE!</v>
      </c>
      <c r="U24" s="9" t="e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#VALUE!</v>
      </c>
      <c r="V24" s="9" t="e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#VALUE!</v>
      </c>
      <c r="W24" s="9" t="e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#VALUE!</v>
      </c>
      <c r="X24" s="9" t="e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#VALUE!</v>
      </c>
      <c r="Y24" s="9" t="e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#VALUE!</v>
      </c>
      <c r="Z24" s="9" t="e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#VALUE!</v>
      </c>
      <c r="AA24" s="9" t="e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#VALUE!</v>
      </c>
      <c r="AB24" s="9" t="e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#VALUE!</v>
      </c>
      <c r="AC24" s="9" t="e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#VALUE!</v>
      </c>
      <c r="AD24" s="9" t="e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#VALUE!</v>
      </c>
      <c r="AE24" s="9" t="e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#VALUE!</v>
      </c>
      <c r="AF24" s="9" t="e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#VALUE!</v>
      </c>
      <c r="AG24" s="9" t="e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#VALUE!</v>
      </c>
      <c r="AH24" s="9" t="e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#VALUE!</v>
      </c>
      <c r="AI24" s="9" t="e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#VALUE!</v>
      </c>
      <c r="AJ24" s="9" t="e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#VALUE!</v>
      </c>
      <c r="AK24" s="9" t="e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#VALUE!</v>
      </c>
      <c r="AL24" s="9" t="e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#VALUE!</v>
      </c>
      <c r="AM24" s="9" t="e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#VALUE!</v>
      </c>
      <c r="AN24" s="9" t="e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#VALUE!</v>
      </c>
      <c r="AO24" s="9" t="e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#VALUE!</v>
      </c>
      <c r="AP24" s="9" t="e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#VALUE!</v>
      </c>
      <c r="AQ24" s="9" t="e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#VALUE!</v>
      </c>
      <c r="AR24" s="9" t="e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#VALUE!</v>
      </c>
      <c r="AS24" s="9" t="e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#VALUE!</v>
      </c>
      <c r="AT24" s="9" t="e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#VALUE!</v>
      </c>
      <c r="AU24" s="9" t="e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#VALUE!</v>
      </c>
      <c r="AV24" s="9" t="e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#VALUE!</v>
      </c>
      <c r="AW24" s="9" t="e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#VALUE!</v>
      </c>
      <c r="AX24" s="9" t="e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#VALUE!</v>
      </c>
      <c r="AY24" s="9" t="e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#VALUE!</v>
      </c>
      <c r="AZ24" s="9" t="e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#VALUE!</v>
      </c>
      <c r="BA24" s="9" t="e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#VALUE!</v>
      </c>
      <c r="BB24" s="9" t="e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#VALUE!</v>
      </c>
      <c r="BC24" s="9" t="e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#VALUE!</v>
      </c>
      <c r="BD24" s="9" t="e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#VALUE!</v>
      </c>
      <c r="BE24" s="9" t="e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#VALUE!</v>
      </c>
      <c r="BF24" s="9" t="e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#VALUE!</v>
      </c>
      <c r="BG24" s="9" t="e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#VALUE!</v>
      </c>
      <c r="BH24" s="9" t="e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#VALUE!</v>
      </c>
      <c r="BI24" s="9" t="e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#VALUE!</v>
      </c>
      <c r="BJ24" s="9" t="e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#VALUE!</v>
      </c>
      <c r="BK24" s="9" t="e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#VALUE!</v>
      </c>
      <c r="BL24" s="9" t="e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#VALUE!</v>
      </c>
      <c r="BM24" s="9" t="e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#VALUE!</v>
      </c>
      <c r="BN24" s="9" t="e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#VALUE!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e">
        <f aca="false">IF(AND(J24=0,J19=1,Debt!J121&gt;0.000000001),1,0)</f>
        <v>#VALUE!</v>
      </c>
      <c r="K25" s="9" t="e">
        <f aca="false">IF(AND(K24=0,K19=1,Debt!K121&gt;0.000000001),1,0)</f>
        <v>#VALUE!</v>
      </c>
      <c r="L25" s="9" t="e">
        <f aca="false">IF(AND(L24=0,L19=1,Debt!L121&gt;0.000000001),1,0)</f>
        <v>#VALUE!</v>
      </c>
      <c r="M25" s="9" t="e">
        <f aca="false">IF(AND(M24=0,M19=1,Debt!M121&gt;0.000000001),1,0)</f>
        <v>#VALUE!</v>
      </c>
      <c r="N25" s="9" t="e">
        <f aca="false">IF(AND(N24=0,N19=1,Debt!N121&gt;0.000000001),1,0)</f>
        <v>#VALUE!</v>
      </c>
      <c r="O25" s="9" t="e">
        <f aca="false">IF(AND(O24=0,O19=1,Debt!O121&gt;0.000000001),1,0)</f>
        <v>#VALUE!</v>
      </c>
      <c r="P25" s="9" t="e">
        <f aca="false">IF(AND(P24=0,P19=1,Debt!P121&gt;0.000000001),1,0)</f>
        <v>#VALUE!</v>
      </c>
      <c r="Q25" s="9" t="e">
        <f aca="false">IF(AND(Q24=0,Q19=1,Debt!Q121&gt;0.000000001),1,0)</f>
        <v>#VALUE!</v>
      </c>
      <c r="R25" s="9" t="e">
        <f aca="false">IF(AND(R24=0,R19=1,Debt!R121&gt;0.000000001),1,0)</f>
        <v>#VALUE!</v>
      </c>
      <c r="S25" s="9" t="e">
        <f aca="false">IF(AND(S24=0,S19=1,Debt!S121&gt;0.000000001),1,0)</f>
        <v>#VALUE!</v>
      </c>
      <c r="T25" s="9" t="e">
        <f aca="false">IF(AND(T24=0,T19=1,Debt!T121&gt;0.000000001),1,0)</f>
        <v>#VALUE!</v>
      </c>
      <c r="U25" s="9" t="e">
        <f aca="false">IF(AND(U24=0,U19=1,Debt!U121&gt;0.000000001),1,0)</f>
        <v>#VALUE!</v>
      </c>
      <c r="V25" s="9" t="e">
        <f aca="false">IF(AND(V24=0,V19=1,Debt!V121&gt;0.000000001),1,0)</f>
        <v>#VALUE!</v>
      </c>
      <c r="W25" s="9" t="e">
        <f aca="false">IF(AND(W24=0,W19=1,Debt!W121&gt;0.000000001),1,0)</f>
        <v>#VALUE!</v>
      </c>
      <c r="X25" s="9" t="e">
        <f aca="false">IF(AND(X24=0,X19=1,Debt!X121&gt;0.000000001),1,0)</f>
        <v>#VALUE!</v>
      </c>
      <c r="Y25" s="9" t="e">
        <f aca="false">IF(AND(Y24=0,Y19=1,Debt!Y121&gt;0.000000001),1,0)</f>
        <v>#VALUE!</v>
      </c>
      <c r="Z25" s="9" t="e">
        <f aca="false">IF(AND(Z24=0,Z19=1,Debt!Z121&gt;0.000000001),1,0)</f>
        <v>#VALUE!</v>
      </c>
      <c r="AA25" s="9" t="e">
        <f aca="false">IF(AND(AA24=0,AA19=1,Debt!AA121&gt;0.000000001),1,0)</f>
        <v>#VALUE!</v>
      </c>
      <c r="AB25" s="9" t="e">
        <f aca="false">IF(AND(AB24=0,AB19=1,Debt!AB121&gt;0.000000001),1,0)</f>
        <v>#VALUE!</v>
      </c>
      <c r="AC25" s="9" t="e">
        <f aca="false">IF(AND(AC24=0,AC19=1,Debt!AC121&gt;0.000000001),1,0)</f>
        <v>#VALUE!</v>
      </c>
      <c r="AD25" s="9" t="e">
        <f aca="false">IF(AND(AD24=0,AD19=1,Debt!AD121&gt;0.000000001),1,0)</f>
        <v>#VALUE!</v>
      </c>
      <c r="AE25" s="9" t="e">
        <f aca="false">IF(AND(AE24=0,AE19=1,Debt!AE121&gt;0.000000001),1,0)</f>
        <v>#VALUE!</v>
      </c>
      <c r="AF25" s="9" t="e">
        <f aca="false">IF(AND(AF24=0,AF19=1,Debt!AF121&gt;0.000000001),1,0)</f>
        <v>#VALUE!</v>
      </c>
      <c r="AG25" s="9" t="e">
        <f aca="false">IF(AND(AG24=0,AG19=1,Debt!AG121&gt;0.000000001),1,0)</f>
        <v>#VALUE!</v>
      </c>
      <c r="AH25" s="9" t="e">
        <f aca="false">IF(AND(AH24=0,AH19=1,Debt!AH121&gt;0.000000001),1,0)</f>
        <v>#VALUE!</v>
      </c>
      <c r="AI25" s="9" t="e">
        <f aca="false">IF(AND(AI24=0,AI19=1,Debt!AI121&gt;0.000000001),1,0)</f>
        <v>#VALUE!</v>
      </c>
      <c r="AJ25" s="9" t="e">
        <f aca="false">IF(AND(AJ24=0,AJ19=1,Debt!AJ121&gt;0.000000001),1,0)</f>
        <v>#VALUE!</v>
      </c>
      <c r="AK25" s="9" t="e">
        <f aca="false">IF(AND(AK24=0,AK19=1,Debt!AK121&gt;0.000000001),1,0)</f>
        <v>#VALUE!</v>
      </c>
      <c r="AL25" s="9" t="e">
        <f aca="false">IF(AND(AL24=0,AL19=1,Debt!AL121&gt;0.000000001),1,0)</f>
        <v>#VALUE!</v>
      </c>
      <c r="AM25" s="9" t="e">
        <f aca="false">IF(AND(AM24=0,AM19=1,Debt!AM121&gt;0.000000001),1,0)</f>
        <v>#VALUE!</v>
      </c>
      <c r="AN25" s="9" t="e">
        <f aca="false">IF(AND(AN24=0,AN19=1,Debt!AN121&gt;0.000000001),1,0)</f>
        <v>#VALUE!</v>
      </c>
      <c r="AO25" s="9" t="e">
        <f aca="false">IF(AND(AO24=0,AO19=1,Debt!AO121&gt;0.000000001),1,0)</f>
        <v>#VALUE!</v>
      </c>
      <c r="AP25" s="9" t="e">
        <f aca="false">IF(AND(AP24=0,AP19=1,Debt!AP121&gt;0.000000001),1,0)</f>
        <v>#VALUE!</v>
      </c>
      <c r="AQ25" s="9" t="e">
        <f aca="false">IF(AND(AQ24=0,AQ19=1,Debt!AQ121&gt;0.000000001),1,0)</f>
        <v>#VALUE!</v>
      </c>
      <c r="AR25" s="9" t="e">
        <f aca="false">IF(AND(AR24=0,AR19=1,Debt!AR121&gt;0.000000001),1,0)</f>
        <v>#VALUE!</v>
      </c>
      <c r="AS25" s="9" t="e">
        <f aca="false">IF(AND(AS24=0,AS19=1,Debt!AS121&gt;0.000000001),1,0)</f>
        <v>#VALUE!</v>
      </c>
      <c r="AT25" s="9" t="e">
        <f aca="false">IF(AND(AT24=0,AT19=1,Debt!AT121&gt;0.000000001),1,0)</f>
        <v>#VALUE!</v>
      </c>
      <c r="AU25" s="9" t="e">
        <f aca="false">IF(AND(AU24=0,AU19=1,Debt!AU121&gt;0.000000001),1,0)</f>
        <v>#VALUE!</v>
      </c>
      <c r="AV25" s="9" t="e">
        <f aca="false">IF(AND(AV24=0,AV19=1,Debt!AV121&gt;0.000000001),1,0)</f>
        <v>#VALUE!</v>
      </c>
      <c r="AW25" s="9" t="e">
        <f aca="false">IF(AND(AW24=0,AW19=1,Debt!AW121&gt;0.000000001),1,0)</f>
        <v>#VALUE!</v>
      </c>
      <c r="AX25" s="9" t="e">
        <f aca="false">IF(AND(AX24=0,AX19=1,Debt!AX121&gt;0.000000001),1,0)</f>
        <v>#VALUE!</v>
      </c>
      <c r="AY25" s="9" t="e">
        <f aca="false">IF(AND(AY24=0,AY19=1,Debt!AY121&gt;0.000000001),1,0)</f>
        <v>#VALUE!</v>
      </c>
      <c r="AZ25" s="9" t="e">
        <f aca="false">IF(AND(AZ24=0,AZ19=1,Debt!AZ121&gt;0.000000001),1,0)</f>
        <v>#VALUE!</v>
      </c>
      <c r="BA25" s="9" t="e">
        <f aca="false">IF(AND(BA24=0,BA19=1,Debt!BA121&gt;0.000000001),1,0)</f>
        <v>#VALUE!</v>
      </c>
      <c r="BB25" s="9" t="e">
        <f aca="false">IF(AND(BB24=0,BB19=1,Debt!BB121&gt;0.000000001),1,0)</f>
        <v>#VALUE!</v>
      </c>
      <c r="BC25" s="9" t="e">
        <f aca="false">IF(AND(BC24=0,BC19=1,Debt!BC121&gt;0.000000001),1,0)</f>
        <v>#VALUE!</v>
      </c>
      <c r="BD25" s="9" t="e">
        <f aca="false">IF(AND(BD24=0,BD19=1,Debt!BD121&gt;0.000000001),1,0)</f>
        <v>#VALUE!</v>
      </c>
      <c r="BE25" s="9" t="e">
        <f aca="false">IF(AND(BE24=0,BE19=1,Debt!BE121&gt;0.000000001),1,0)</f>
        <v>#VALUE!</v>
      </c>
      <c r="BF25" s="9" t="e">
        <f aca="false">IF(AND(BF24=0,BF19=1,Debt!BF121&gt;0.000000001),1,0)</f>
        <v>#VALUE!</v>
      </c>
      <c r="BG25" s="9" t="e">
        <f aca="false">IF(AND(BG24=0,BG19=1,Debt!BG121&gt;0.000000001),1,0)</f>
        <v>#VALUE!</v>
      </c>
      <c r="BH25" s="9" t="e">
        <f aca="false">IF(AND(BH24=0,BH19=1,Debt!BH121&gt;0.000000001),1,0)</f>
        <v>#VALUE!</v>
      </c>
      <c r="BI25" s="9" t="e">
        <f aca="false">IF(AND(BI24=0,BI19=1,Debt!BI121&gt;0.000000001),1,0)</f>
        <v>#VALUE!</v>
      </c>
      <c r="BJ25" s="9" t="e">
        <f aca="false">IF(AND(BJ24=0,BJ19=1,Debt!BJ121&gt;0.000000001),1,0)</f>
        <v>#VALUE!</v>
      </c>
      <c r="BK25" s="9" t="e">
        <f aca="false">IF(AND(BK24=0,BK19=1,Debt!BK121&gt;0.000000001),1,0)</f>
        <v>#VALUE!</v>
      </c>
      <c r="BL25" s="9" t="e">
        <f aca="false">IF(AND(BL24=0,BL19=1,Debt!BL121&gt;0.000000001),1,0)</f>
        <v>#VALUE!</v>
      </c>
      <c r="BM25" s="9" t="e">
        <f aca="false">IF(AND(BM24=0,BM19=1,Debt!BM121&gt;0.000000001),1,0)</f>
        <v>#VALUE!</v>
      </c>
      <c r="BN25" s="9" t="e">
        <f aca="false">IF(AND(BN24=0,BN19=1,Debt!BN121&gt;0.000000001),1,0)</f>
        <v>#VALUE!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e">
        <f aca="false">IF(J25=1,0+1,0)</f>
        <v>#VALUE!</v>
      </c>
      <c r="K26" s="9" t="e">
        <f aca="false">IF(K25=1,J26+1,0)</f>
        <v>#VALUE!</v>
      </c>
      <c r="L26" s="9" t="e">
        <f aca="false">IF(L25=1,K26+1,0)</f>
        <v>#VALUE!</v>
      </c>
      <c r="M26" s="9" t="e">
        <f aca="false">IF(M25=1,L26+1,0)</f>
        <v>#VALUE!</v>
      </c>
      <c r="N26" s="9" t="e">
        <f aca="false">IF(N25=1,M26+1,0)</f>
        <v>#VALUE!</v>
      </c>
      <c r="O26" s="9" t="e">
        <f aca="false">IF(O25=1,N26+1,0)</f>
        <v>#VALUE!</v>
      </c>
      <c r="P26" s="9" t="e">
        <f aca="false">IF(P25=1,O26+1,0)</f>
        <v>#VALUE!</v>
      </c>
      <c r="Q26" s="9" t="e">
        <f aca="false">IF(Q25=1,P26+1,0)</f>
        <v>#VALUE!</v>
      </c>
      <c r="R26" s="9" t="e">
        <f aca="false">IF(R25=1,Q26+1,0)</f>
        <v>#VALUE!</v>
      </c>
      <c r="S26" s="9" t="e">
        <f aca="false">IF(S25=1,R26+1,0)</f>
        <v>#VALUE!</v>
      </c>
      <c r="T26" s="9" t="e">
        <f aca="false">IF(T25=1,S26+1,0)</f>
        <v>#VALUE!</v>
      </c>
      <c r="U26" s="9" t="e">
        <f aca="false">IF(U25=1,T26+1,0)</f>
        <v>#VALUE!</v>
      </c>
      <c r="V26" s="9" t="e">
        <f aca="false">IF(V25=1,U26+1,0)</f>
        <v>#VALUE!</v>
      </c>
      <c r="W26" s="9" t="e">
        <f aca="false">IF(W25=1,V26+1,0)</f>
        <v>#VALUE!</v>
      </c>
      <c r="X26" s="9" t="e">
        <f aca="false">IF(X25=1,W26+1,0)</f>
        <v>#VALUE!</v>
      </c>
      <c r="Y26" s="9" t="e">
        <f aca="false">IF(Y25=1,X26+1,0)</f>
        <v>#VALUE!</v>
      </c>
      <c r="Z26" s="9" t="e">
        <f aca="false">IF(Z25=1,Y26+1,0)</f>
        <v>#VALUE!</v>
      </c>
      <c r="AA26" s="9" t="e">
        <f aca="false">IF(AA25=1,Z26+1,0)</f>
        <v>#VALUE!</v>
      </c>
      <c r="AB26" s="9" t="e">
        <f aca="false">IF(AB25=1,AA26+1,0)</f>
        <v>#VALUE!</v>
      </c>
      <c r="AC26" s="9" t="e">
        <f aca="false">IF(AC25=1,AB26+1,0)</f>
        <v>#VALUE!</v>
      </c>
      <c r="AD26" s="9" t="e">
        <f aca="false">IF(AD25=1,AC26+1,0)</f>
        <v>#VALUE!</v>
      </c>
      <c r="AE26" s="9" t="e">
        <f aca="false">IF(AE25=1,AD26+1,0)</f>
        <v>#VALUE!</v>
      </c>
      <c r="AF26" s="9" t="e">
        <f aca="false">IF(AF25=1,AE26+1,0)</f>
        <v>#VALUE!</v>
      </c>
      <c r="AG26" s="9" t="e">
        <f aca="false">IF(AG25=1,AF26+1,0)</f>
        <v>#VALUE!</v>
      </c>
      <c r="AH26" s="9" t="e">
        <f aca="false">IF(AH25=1,AG26+1,0)</f>
        <v>#VALUE!</v>
      </c>
      <c r="AI26" s="9" t="e">
        <f aca="false">IF(AI25=1,AH26+1,0)</f>
        <v>#VALUE!</v>
      </c>
      <c r="AJ26" s="9" t="e">
        <f aca="false">IF(AJ25=1,AI26+1,0)</f>
        <v>#VALUE!</v>
      </c>
      <c r="AK26" s="9" t="e">
        <f aca="false">IF(AK25=1,AJ26+1,0)</f>
        <v>#VALUE!</v>
      </c>
      <c r="AL26" s="9" t="e">
        <f aca="false">IF(AL25=1,AK26+1,0)</f>
        <v>#VALUE!</v>
      </c>
      <c r="AM26" s="9" t="e">
        <f aca="false">IF(AM25=1,AL26+1,0)</f>
        <v>#VALUE!</v>
      </c>
      <c r="AN26" s="9" t="e">
        <f aca="false">IF(AN25=1,AM26+1,0)</f>
        <v>#VALUE!</v>
      </c>
      <c r="AO26" s="9" t="e">
        <f aca="false">IF(AO25=1,AN26+1,0)</f>
        <v>#VALUE!</v>
      </c>
      <c r="AP26" s="9" t="e">
        <f aca="false">IF(AP25=1,AO26+1,0)</f>
        <v>#VALUE!</v>
      </c>
      <c r="AQ26" s="9" t="e">
        <f aca="false">IF(AQ25=1,AP26+1,0)</f>
        <v>#VALUE!</v>
      </c>
      <c r="AR26" s="9" t="e">
        <f aca="false">IF(AR25=1,AQ26+1,0)</f>
        <v>#VALUE!</v>
      </c>
      <c r="AS26" s="9" t="e">
        <f aca="false">IF(AS25=1,AR26+1,0)</f>
        <v>#VALUE!</v>
      </c>
      <c r="AT26" s="9" t="e">
        <f aca="false">IF(AT25=1,AS26+1,0)</f>
        <v>#VALUE!</v>
      </c>
      <c r="AU26" s="9" t="e">
        <f aca="false">IF(AU25=1,AT26+1,0)</f>
        <v>#VALUE!</v>
      </c>
      <c r="AV26" s="9" t="e">
        <f aca="false">IF(AV25=1,AU26+1,0)</f>
        <v>#VALUE!</v>
      </c>
      <c r="AW26" s="9" t="e">
        <f aca="false">IF(AW25=1,AV26+1,0)</f>
        <v>#VALUE!</v>
      </c>
      <c r="AX26" s="9" t="e">
        <f aca="false">IF(AX25=1,AW26+1,0)</f>
        <v>#VALUE!</v>
      </c>
      <c r="AY26" s="9" t="e">
        <f aca="false">IF(AY25=1,AX26+1,0)</f>
        <v>#VALUE!</v>
      </c>
      <c r="AZ26" s="9" t="e">
        <f aca="false">IF(AZ25=1,AY26+1,0)</f>
        <v>#VALUE!</v>
      </c>
      <c r="BA26" s="9" t="e">
        <f aca="false">IF(BA25=1,AZ26+1,0)</f>
        <v>#VALUE!</v>
      </c>
      <c r="BB26" s="9" t="e">
        <f aca="false">IF(BB25=1,BA26+1,0)</f>
        <v>#VALUE!</v>
      </c>
      <c r="BC26" s="9" t="e">
        <f aca="false">IF(BC25=1,BB26+1,0)</f>
        <v>#VALUE!</v>
      </c>
      <c r="BD26" s="9" t="e">
        <f aca="false">IF(BD25=1,BC26+1,0)</f>
        <v>#VALUE!</v>
      </c>
      <c r="BE26" s="9" t="e">
        <f aca="false">IF(BE25=1,BD26+1,0)</f>
        <v>#VALUE!</v>
      </c>
      <c r="BF26" s="9" t="e">
        <f aca="false">IF(BF25=1,BE26+1,0)</f>
        <v>#VALUE!</v>
      </c>
      <c r="BG26" s="9" t="e">
        <f aca="false">IF(BG25=1,BF26+1,0)</f>
        <v>#VALUE!</v>
      </c>
      <c r="BH26" s="9" t="e">
        <f aca="false">IF(BH25=1,BG26+1,0)</f>
        <v>#VALUE!</v>
      </c>
      <c r="BI26" s="9" t="e">
        <f aca="false">IF(BI25=1,BH26+1,0)</f>
        <v>#VALUE!</v>
      </c>
      <c r="BJ26" s="9" t="e">
        <f aca="false">IF(BJ25=1,BI26+1,0)</f>
        <v>#VALUE!</v>
      </c>
      <c r="BK26" s="9" t="e">
        <f aca="false">IF(BK25=1,BJ26+1,0)</f>
        <v>#VALUE!</v>
      </c>
      <c r="BL26" s="9" t="e">
        <f aca="false">IF(BL25=1,BK26+1,0)</f>
        <v>#VALUE!</v>
      </c>
      <c r="BM26" s="9" t="e">
        <f aca="false">IF(BM25=1,BL26+1,0)</f>
        <v>#VALUE!</v>
      </c>
      <c r="BN26" s="9" t="e">
        <f aca="false">IF(BN25=1,BM26+1,0)</f>
        <v>#VALUE!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e">
        <f aca="false">SUM(J28:BN28)</f>
        <v>#VALUE!</v>
      </c>
      <c r="J28" s="11" t="e">
        <f aca="false">IF(AND(J24=0,J26&gt;=2,J22=0),MIN(J15,Debt!J36+Debt!J51+Debt!J66+Debt!J81+Debt!J96),0)</f>
        <v>#VALUE!</v>
      </c>
      <c r="K28" s="11" t="e">
        <f aca="false">IF(AND(K24=0,K26&gt;=2,K22=0),MIN(K15,Debt!K36+Debt!K51+Debt!K66+Debt!K81+Debt!K96),0)</f>
        <v>#VALUE!</v>
      </c>
      <c r="L28" s="11" t="e">
        <f aca="false">IF(AND(L24=0,L26&gt;=2,L22=0),MIN(L15,Debt!L36+Debt!L51+Debt!L66+Debt!L81+Debt!L96),0)</f>
        <v>#VALUE!</v>
      </c>
      <c r="M28" s="11" t="e">
        <f aca="false">IF(AND(M24=0,M26&gt;=2,M22=0),MIN(M15,Debt!M36+Debt!M51+Debt!M66+Debt!M81+Debt!M96),0)</f>
        <v>#VALUE!</v>
      </c>
      <c r="N28" s="11" t="e">
        <f aca="false">IF(AND(N24=0,N26&gt;=2,N22=0),MIN(N15,Debt!N36+Debt!N51+Debt!N66+Debt!N81+Debt!N96),0)</f>
        <v>#VALUE!</v>
      </c>
      <c r="O28" s="11" t="e">
        <f aca="false">IF(AND(O24=0,O26&gt;=2,O22=0),MIN(O15,Debt!O36+Debt!O51+Debt!O66+Debt!O81+Debt!O96),0)</f>
        <v>#VALUE!</v>
      </c>
      <c r="P28" s="11" t="e">
        <f aca="false">IF(AND(P24=0,P26&gt;=2,P22=0),MIN(P15,Debt!P36+Debt!P51+Debt!P66+Debt!P81+Debt!P96),0)</f>
        <v>#VALUE!</v>
      </c>
      <c r="Q28" s="11" t="e">
        <f aca="false">IF(AND(Q24=0,Q26&gt;=2,Q22=0),MIN(Q15,Debt!Q36+Debt!Q51+Debt!Q66+Debt!Q81+Debt!Q96),0)</f>
        <v>#VALUE!</v>
      </c>
      <c r="R28" s="11" t="e">
        <f aca="false">IF(AND(R24=0,R26&gt;=2,R22=0),MIN(R15,Debt!R36+Debt!R51+Debt!R66+Debt!R81+Debt!R96),0)</f>
        <v>#VALUE!</v>
      </c>
      <c r="S28" s="11" t="e">
        <f aca="false">IF(AND(S24=0,S26&gt;=2,S22=0),MIN(S15,Debt!S36+Debt!S51+Debt!S66+Debt!S81+Debt!S96),0)</f>
        <v>#VALUE!</v>
      </c>
      <c r="T28" s="11" t="e">
        <f aca="false">IF(AND(T24=0,T26&gt;=2,T22=0),MIN(T15,Debt!T36+Debt!T51+Debt!T66+Debt!T81+Debt!T96),0)</f>
        <v>#VALUE!</v>
      </c>
      <c r="U28" s="11" t="e">
        <f aca="false">IF(AND(U24=0,U26&gt;=2,U22=0),MIN(U15,Debt!U36+Debt!U51+Debt!U66+Debt!U81+Debt!U96),0)</f>
        <v>#VALUE!</v>
      </c>
      <c r="V28" s="11" t="e">
        <f aca="false">IF(AND(V24=0,V26&gt;=2,V22=0),MIN(V15,Debt!V36+Debt!V51+Debt!V66+Debt!V81+Debt!V96),0)</f>
        <v>#VALUE!</v>
      </c>
      <c r="W28" s="11" t="e">
        <f aca="false">IF(AND(W24=0,W26&gt;=2,W22=0),MIN(W15,Debt!W36+Debt!W51+Debt!W66+Debt!W81+Debt!W96),0)</f>
        <v>#VALUE!</v>
      </c>
      <c r="X28" s="11" t="e">
        <f aca="false">IF(AND(X24=0,X26&gt;=2,X22=0),MIN(X15,Debt!X36+Debt!X51+Debt!X66+Debt!X81+Debt!X96),0)</f>
        <v>#VALUE!</v>
      </c>
      <c r="Y28" s="11" t="e">
        <f aca="false">IF(AND(Y24=0,Y26&gt;=2,Y22=0),MIN(Y15,Debt!Y36+Debt!Y51+Debt!Y66+Debt!Y81+Debt!Y96),0)</f>
        <v>#VALUE!</v>
      </c>
      <c r="Z28" s="11" t="e">
        <f aca="false">IF(AND(Z24=0,Z26&gt;=2,Z22=0),MIN(Z15,Debt!Z36+Debt!Z51+Debt!Z66+Debt!Z81+Debt!Z96),0)</f>
        <v>#VALUE!</v>
      </c>
      <c r="AA28" s="11" t="e">
        <f aca="false">IF(AND(AA24=0,AA26&gt;=2,AA22=0),MIN(AA15,Debt!AA36+Debt!AA51+Debt!AA66+Debt!AA81+Debt!AA96),0)</f>
        <v>#VALUE!</v>
      </c>
      <c r="AB28" s="11" t="e">
        <f aca="false">IF(AND(AB24=0,AB26&gt;=2,AB22=0),MIN(AB15,Debt!AB36+Debt!AB51+Debt!AB66+Debt!AB81+Debt!AB96),0)</f>
        <v>#VALUE!</v>
      </c>
      <c r="AC28" s="11" t="e">
        <f aca="false">IF(AND(AC24=0,AC26&gt;=2,AC22=0),MIN(AC15,Debt!AC36+Debt!AC51+Debt!AC66+Debt!AC81+Debt!AC96),0)</f>
        <v>#VALUE!</v>
      </c>
      <c r="AD28" s="11" t="e">
        <f aca="false">IF(AND(AD24=0,AD26&gt;=2,AD22=0),MIN(AD15,Debt!AD36+Debt!AD51+Debt!AD66+Debt!AD81+Debt!AD96),0)</f>
        <v>#VALUE!</v>
      </c>
      <c r="AE28" s="11" t="e">
        <f aca="false">IF(AND(AE24=0,AE26&gt;=2,AE22=0),MIN(AE15,Debt!AE36+Debt!AE51+Debt!AE66+Debt!AE81+Debt!AE96),0)</f>
        <v>#VALUE!</v>
      </c>
      <c r="AF28" s="11" t="e">
        <f aca="false">IF(AND(AF24=0,AF26&gt;=2,AF22=0),MIN(AF15,Debt!AF36+Debt!AF51+Debt!AF66+Debt!AF81+Debt!AF96),0)</f>
        <v>#VALUE!</v>
      </c>
      <c r="AG28" s="11" t="e">
        <f aca="false">IF(AND(AG24=0,AG26&gt;=2,AG22=0),MIN(AG15,Debt!AG36+Debt!AG51+Debt!AG66+Debt!AG81+Debt!AG96),0)</f>
        <v>#VALUE!</v>
      </c>
      <c r="AH28" s="11" t="e">
        <f aca="false">IF(AND(AH24=0,AH26&gt;=2,AH22=0),MIN(AH15,Debt!AH36+Debt!AH51+Debt!AH66+Debt!AH81+Debt!AH96),0)</f>
        <v>#VALUE!</v>
      </c>
      <c r="AI28" s="11" t="e">
        <f aca="false">IF(AND(AI24=0,AI26&gt;=2,AI22=0),MIN(AI15,Debt!AI36+Debt!AI51+Debt!AI66+Debt!AI81+Debt!AI96),0)</f>
        <v>#VALUE!</v>
      </c>
      <c r="AJ28" s="11" t="e">
        <f aca="false">IF(AND(AJ24=0,AJ26&gt;=2,AJ22=0),MIN(AJ15,Debt!AJ36+Debt!AJ51+Debt!AJ66+Debt!AJ81+Debt!AJ96),0)</f>
        <v>#VALUE!</v>
      </c>
      <c r="AK28" s="11" t="e">
        <f aca="false">IF(AND(AK24=0,AK26&gt;=2,AK22=0),MIN(AK15,Debt!AK36+Debt!AK51+Debt!AK66+Debt!AK81+Debt!AK96),0)</f>
        <v>#VALUE!</v>
      </c>
      <c r="AL28" s="11" t="e">
        <f aca="false">IF(AND(AL24=0,AL26&gt;=2,AL22=0),MIN(AL15,Debt!AL36+Debt!AL51+Debt!AL66+Debt!AL81+Debt!AL96),0)</f>
        <v>#VALUE!</v>
      </c>
      <c r="AM28" s="11" t="e">
        <f aca="false">IF(AND(AM24=0,AM26&gt;=2,AM22=0),MIN(AM15,Debt!AM36+Debt!AM51+Debt!AM66+Debt!AM81+Debt!AM96),0)</f>
        <v>#VALUE!</v>
      </c>
      <c r="AN28" s="11" t="e">
        <f aca="false">IF(AND(AN24=0,AN26&gt;=2,AN22=0),MIN(AN15,Debt!AN36+Debt!AN51+Debt!AN66+Debt!AN81+Debt!AN96),0)</f>
        <v>#VALUE!</v>
      </c>
      <c r="AO28" s="11" t="e">
        <f aca="false">IF(AND(AO24=0,AO26&gt;=2,AO22=0),MIN(AO15,Debt!AO36+Debt!AO51+Debt!AO66+Debt!AO81+Debt!AO96),0)</f>
        <v>#VALUE!</v>
      </c>
      <c r="AP28" s="11" t="e">
        <f aca="false">IF(AND(AP24=0,AP26&gt;=2,AP22=0),MIN(AP15,Debt!AP36+Debt!AP51+Debt!AP66+Debt!AP81+Debt!AP96),0)</f>
        <v>#VALUE!</v>
      </c>
      <c r="AQ28" s="11" t="e">
        <f aca="false">IF(AND(AQ24=0,AQ26&gt;=2,AQ22=0),MIN(AQ15,Debt!AQ36+Debt!AQ51+Debt!AQ66+Debt!AQ81+Debt!AQ96),0)</f>
        <v>#VALUE!</v>
      </c>
      <c r="AR28" s="11" t="e">
        <f aca="false">IF(AND(AR24=0,AR26&gt;=2,AR22=0),MIN(AR15,Debt!AR36+Debt!AR51+Debt!AR66+Debt!AR81+Debt!AR96),0)</f>
        <v>#VALUE!</v>
      </c>
      <c r="AS28" s="11" t="e">
        <f aca="false">IF(AND(AS24=0,AS26&gt;=2,AS22=0),MIN(AS15,Debt!AS36+Debt!AS51+Debt!AS66+Debt!AS81+Debt!AS96),0)</f>
        <v>#VALUE!</v>
      </c>
      <c r="AT28" s="11" t="e">
        <f aca="false">IF(AND(AT24=0,AT26&gt;=2,AT22=0),MIN(AT15,Debt!AT36+Debt!AT51+Debt!AT66+Debt!AT81+Debt!AT96),0)</f>
        <v>#VALUE!</v>
      </c>
      <c r="AU28" s="11" t="e">
        <f aca="false">IF(AND(AU24=0,AU26&gt;=2,AU22=0),MIN(AU15,Debt!AU36+Debt!AU51+Debt!AU66+Debt!AU81+Debt!AU96),0)</f>
        <v>#VALUE!</v>
      </c>
      <c r="AV28" s="11" t="e">
        <f aca="false">IF(AND(AV24=0,AV26&gt;=2,AV22=0),MIN(AV15,Debt!AV36+Debt!AV51+Debt!AV66+Debt!AV81+Debt!AV96),0)</f>
        <v>#VALUE!</v>
      </c>
      <c r="AW28" s="11" t="e">
        <f aca="false">IF(AND(AW24=0,AW26&gt;=2,AW22=0),MIN(AW15,Debt!AW36+Debt!AW51+Debt!AW66+Debt!AW81+Debt!AW96),0)</f>
        <v>#VALUE!</v>
      </c>
      <c r="AX28" s="11" t="e">
        <f aca="false">IF(AND(AX24=0,AX26&gt;=2,AX22=0),MIN(AX15,Debt!AX36+Debt!AX51+Debt!AX66+Debt!AX81+Debt!AX96),0)</f>
        <v>#VALUE!</v>
      </c>
      <c r="AY28" s="11" t="e">
        <f aca="false">IF(AND(AY24=0,AY26&gt;=2,AY22=0),MIN(AY15,Debt!AY36+Debt!AY51+Debt!AY66+Debt!AY81+Debt!AY96),0)</f>
        <v>#VALUE!</v>
      </c>
      <c r="AZ28" s="11" t="e">
        <f aca="false">IF(AND(AZ24=0,AZ26&gt;=2,AZ22=0),MIN(AZ15,Debt!AZ36+Debt!AZ51+Debt!AZ66+Debt!AZ81+Debt!AZ96),0)</f>
        <v>#VALUE!</v>
      </c>
      <c r="BA28" s="11" t="e">
        <f aca="false">IF(AND(BA24=0,BA26&gt;=2,BA22=0),MIN(BA15,Debt!BA36+Debt!BA51+Debt!BA66+Debt!BA81+Debt!BA96),0)</f>
        <v>#VALUE!</v>
      </c>
      <c r="BB28" s="11" t="e">
        <f aca="false">IF(AND(BB24=0,BB26&gt;=2,BB22=0),MIN(BB15,Debt!BB36+Debt!BB51+Debt!BB66+Debt!BB81+Debt!BB96),0)</f>
        <v>#VALUE!</v>
      </c>
      <c r="BC28" s="11" t="e">
        <f aca="false">IF(AND(BC24=0,BC26&gt;=2,BC22=0),MIN(BC15,Debt!BC36+Debt!BC51+Debt!BC66+Debt!BC81+Debt!BC96),0)</f>
        <v>#VALUE!</v>
      </c>
      <c r="BD28" s="11" t="e">
        <f aca="false">IF(AND(BD24=0,BD26&gt;=2,BD22=0),MIN(BD15,Debt!BD36+Debt!BD51+Debt!BD66+Debt!BD81+Debt!BD96),0)</f>
        <v>#VALUE!</v>
      </c>
      <c r="BE28" s="11" t="e">
        <f aca="false">IF(AND(BE24=0,BE26&gt;=2,BE22=0),MIN(BE15,Debt!BE36+Debt!BE51+Debt!BE66+Debt!BE81+Debt!BE96),0)</f>
        <v>#VALUE!</v>
      </c>
      <c r="BF28" s="11" t="e">
        <f aca="false">IF(AND(BF24=0,BF26&gt;=2,BF22=0),MIN(BF15,Debt!BF36+Debt!BF51+Debt!BF66+Debt!BF81+Debt!BF96),0)</f>
        <v>#VALUE!</v>
      </c>
      <c r="BG28" s="11" t="e">
        <f aca="false">IF(AND(BG24=0,BG26&gt;=2,BG22=0),MIN(BG15,Debt!BG36+Debt!BG51+Debt!BG66+Debt!BG81+Debt!BG96),0)</f>
        <v>#VALUE!</v>
      </c>
      <c r="BH28" s="11" t="e">
        <f aca="false">IF(AND(BH24=0,BH26&gt;=2,BH22=0),MIN(BH15,Debt!BH36+Debt!BH51+Debt!BH66+Debt!BH81+Debt!BH96),0)</f>
        <v>#VALUE!</v>
      </c>
      <c r="BI28" s="11" t="e">
        <f aca="false">IF(AND(BI24=0,BI26&gt;=2,BI22=0),MIN(BI15,Debt!BI36+Debt!BI51+Debt!BI66+Debt!BI81+Debt!BI96),0)</f>
        <v>#VALUE!</v>
      </c>
      <c r="BJ28" s="11" t="e">
        <f aca="false">IF(AND(BJ24=0,BJ26&gt;=2,BJ22=0),MIN(BJ15,Debt!BJ36+Debt!BJ51+Debt!BJ66+Debt!BJ81+Debt!BJ96),0)</f>
        <v>#VALUE!</v>
      </c>
      <c r="BK28" s="11" t="e">
        <f aca="false">IF(AND(BK24=0,BK26&gt;=2,BK22=0),MIN(BK15,Debt!BK36+Debt!BK51+Debt!BK66+Debt!BK81+Debt!BK96),0)</f>
        <v>#VALUE!</v>
      </c>
      <c r="BL28" s="11" t="e">
        <f aca="false">IF(AND(BL24=0,BL26&gt;=2,BL22=0),MIN(BL15,Debt!BL36+Debt!BL51+Debt!BL66+Debt!BL81+Debt!BL96),0)</f>
        <v>#VALUE!</v>
      </c>
      <c r="BM28" s="11" t="e">
        <f aca="false">IF(AND(BM24=0,BM26&gt;=2,BM22=0),MIN(BM15,Debt!BM36+Debt!BM51+Debt!BM66+Debt!BM81+Debt!BM96),0)</f>
        <v>#VALUE!</v>
      </c>
      <c r="BN28" s="11" t="e">
        <f aca="false">IF(AND(BN24=0,BN26&gt;=2,BN22=0),MIN(BN15,Debt!BN36+Debt!BN51+Debt!BN66+Debt!BN81+Debt!BN96),0)</f>
        <v>#VALUE!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e">
        <f aca="false">SUM(J29:BN29)</f>
        <v>#VALUE!</v>
      </c>
      <c r="J29" s="11" t="e">
        <f aca="false">IF(AND(J24=1,Time!J21&gt;=2027,Inputs!$F$51=1),MIN(Inputs!$F$109*J15,Debt!J81),0)</f>
        <v>#VALUE!</v>
      </c>
      <c r="K29" s="11" t="e">
        <f aca="false">IF(AND(K24=1,Time!K21&gt;=2027,Inputs!$F$51=1),MIN(Inputs!$F$109*K15,Debt!K81),0)</f>
        <v>#VALUE!</v>
      </c>
      <c r="L29" s="11" t="e">
        <f aca="false">IF(AND(L24=1,Time!L21&gt;=2027,Inputs!$F$51=1),MIN(Inputs!$F$109*L15,Debt!L81),0)</f>
        <v>#VALUE!</v>
      </c>
      <c r="M29" s="11" t="e">
        <f aca="false">IF(AND(M24=1,Time!M21&gt;=2027,Inputs!$F$51=1),MIN(Inputs!$F$109*M15,Debt!M81),0)</f>
        <v>#VALUE!</v>
      </c>
      <c r="N29" s="11" t="e">
        <f aca="false">IF(AND(N24=1,Time!N21&gt;=2027,Inputs!$F$51=1),MIN(Inputs!$F$109*N15,Debt!N81),0)</f>
        <v>#VALUE!</v>
      </c>
      <c r="O29" s="11" t="e">
        <f aca="false">IF(AND(O24=1,Time!O21&gt;=2027,Inputs!$F$51=1),MIN(Inputs!$F$109*O15,Debt!O81),0)</f>
        <v>#VALUE!</v>
      </c>
      <c r="P29" s="11" t="e">
        <f aca="false">IF(AND(P24=1,Time!P21&gt;=2027,Inputs!$F$51=1),MIN(Inputs!$F$109*P15,Debt!P81),0)</f>
        <v>#VALUE!</v>
      </c>
      <c r="Q29" s="11" t="e">
        <f aca="false">IF(AND(Q24=1,Time!Q21&gt;=2027,Inputs!$F$51=1),MIN(Inputs!$F$109*Q15,Debt!Q81),0)</f>
        <v>#VALUE!</v>
      </c>
      <c r="R29" s="11" t="e">
        <f aca="false">IF(AND(R24=1,Time!R21&gt;=2027,Inputs!$F$51=1),MIN(Inputs!$F$109*R15,Debt!R81),0)</f>
        <v>#VALUE!</v>
      </c>
      <c r="S29" s="11" t="e">
        <f aca="false">IF(AND(S24=1,Time!S21&gt;=2027,Inputs!$F$51=1),MIN(Inputs!$F$109*S15,Debt!S81),0)</f>
        <v>#VALUE!</v>
      </c>
      <c r="T29" s="11" t="e">
        <f aca="false">IF(AND(T24=1,Time!T21&gt;=2027,Inputs!$F$51=1),MIN(Inputs!$F$109*T15,Debt!T81),0)</f>
        <v>#VALUE!</v>
      </c>
      <c r="U29" s="11" t="e">
        <f aca="false">IF(AND(U24=1,Time!U21&gt;=2027,Inputs!$F$51=1),MIN(Inputs!$F$109*U15,Debt!U81),0)</f>
        <v>#VALUE!</v>
      </c>
      <c r="V29" s="11" t="e">
        <f aca="false">IF(AND(V24=1,Time!V21&gt;=2027,Inputs!$F$51=1),MIN(Inputs!$F$109*V15,Debt!V81),0)</f>
        <v>#VALUE!</v>
      </c>
      <c r="W29" s="11" t="e">
        <f aca="false">IF(AND(W24=1,Time!W21&gt;=2027,Inputs!$F$51=1),MIN(Inputs!$F$109*W15,Debt!W81),0)</f>
        <v>#VALUE!</v>
      </c>
      <c r="X29" s="11" t="e">
        <f aca="false">IF(AND(X24=1,Time!X21&gt;=2027,Inputs!$F$51=1),MIN(Inputs!$F$109*X15,Debt!X81),0)</f>
        <v>#VALUE!</v>
      </c>
      <c r="Y29" s="11" t="e">
        <f aca="false">IF(AND(Y24=1,Time!Y21&gt;=2027,Inputs!$F$51=1),MIN(Inputs!$F$109*Y15,Debt!Y81),0)</f>
        <v>#VALUE!</v>
      </c>
      <c r="Z29" s="11" t="e">
        <f aca="false">IF(AND(Z24=1,Time!Z21&gt;=2027,Inputs!$F$51=1),MIN(Inputs!$F$109*Z15,Debt!Z81),0)</f>
        <v>#VALUE!</v>
      </c>
      <c r="AA29" s="11" t="e">
        <f aca="false">IF(AND(AA24=1,Time!AA21&gt;=2027,Inputs!$F$51=1),MIN(Inputs!$F$109*AA15,Debt!AA81),0)</f>
        <v>#VALUE!</v>
      </c>
      <c r="AB29" s="11" t="e">
        <f aca="false">IF(AND(AB24=1,Time!AB21&gt;=2027,Inputs!$F$51=1),MIN(Inputs!$F$109*AB15,Debt!AB81),0)</f>
        <v>#VALUE!</v>
      </c>
      <c r="AC29" s="11" t="e">
        <f aca="false">IF(AND(AC24=1,Time!AC21&gt;=2027,Inputs!$F$51=1),MIN(Inputs!$F$109*AC15,Debt!AC81),0)</f>
        <v>#VALUE!</v>
      </c>
      <c r="AD29" s="11" t="e">
        <f aca="false">IF(AND(AD24=1,Time!AD21&gt;=2027,Inputs!$F$51=1),MIN(Inputs!$F$109*AD15,Debt!AD81),0)</f>
        <v>#VALUE!</v>
      </c>
      <c r="AE29" s="11" t="e">
        <f aca="false">IF(AND(AE24=1,Time!AE21&gt;=2027,Inputs!$F$51=1),MIN(Inputs!$F$109*AE15,Debt!AE81),0)</f>
        <v>#VALUE!</v>
      </c>
      <c r="AF29" s="11" t="e">
        <f aca="false">IF(AND(AF24=1,Time!AF21&gt;=2027,Inputs!$F$51=1),MIN(Inputs!$F$109*AF15,Debt!AF81),0)</f>
        <v>#VALUE!</v>
      </c>
      <c r="AG29" s="11" t="e">
        <f aca="false">IF(AND(AG24=1,Time!AG21&gt;=2027,Inputs!$F$51=1),MIN(Inputs!$F$109*AG15,Debt!AG81),0)</f>
        <v>#VALUE!</v>
      </c>
      <c r="AH29" s="11" t="e">
        <f aca="false">IF(AND(AH24=1,Time!AH21&gt;=2027,Inputs!$F$51=1),MIN(Inputs!$F$109*AH15,Debt!AH81),0)</f>
        <v>#VALUE!</v>
      </c>
      <c r="AI29" s="11" t="e">
        <f aca="false">IF(AND(AI24=1,Time!AI21&gt;=2027,Inputs!$F$51=1),MIN(Inputs!$F$109*AI15,Debt!AI81),0)</f>
        <v>#VALUE!</v>
      </c>
      <c r="AJ29" s="11" t="e">
        <f aca="false">IF(AND(AJ24=1,Time!AJ21&gt;=2027,Inputs!$F$51=1),MIN(Inputs!$F$109*AJ15,Debt!AJ81),0)</f>
        <v>#VALUE!</v>
      </c>
      <c r="AK29" s="11" t="e">
        <f aca="false">IF(AND(AK24=1,Time!AK21&gt;=2027,Inputs!$F$51=1),MIN(Inputs!$F$109*AK15,Debt!AK81),0)</f>
        <v>#VALUE!</v>
      </c>
      <c r="AL29" s="11" t="e">
        <f aca="false">IF(AND(AL24=1,Time!AL21&gt;=2027,Inputs!$F$51=1),MIN(Inputs!$F$109*AL15,Debt!AL81),0)</f>
        <v>#VALUE!</v>
      </c>
      <c r="AM29" s="11" t="e">
        <f aca="false">IF(AND(AM24=1,Time!AM21&gt;=2027,Inputs!$F$51=1),MIN(Inputs!$F$109*AM15,Debt!AM81),0)</f>
        <v>#VALUE!</v>
      </c>
      <c r="AN29" s="11" t="e">
        <f aca="false">IF(AND(AN24=1,Time!AN21&gt;=2027,Inputs!$F$51=1),MIN(Inputs!$F$109*AN15,Debt!AN81),0)</f>
        <v>#VALUE!</v>
      </c>
      <c r="AO29" s="11" t="e">
        <f aca="false">IF(AND(AO24=1,Time!AO21&gt;=2027,Inputs!$F$51=1),MIN(Inputs!$F$109*AO15,Debt!AO81),0)</f>
        <v>#VALUE!</v>
      </c>
      <c r="AP29" s="11" t="e">
        <f aca="false">IF(AND(AP24=1,Time!AP21&gt;=2027,Inputs!$F$51=1),MIN(Inputs!$F$109*AP15,Debt!AP81),0)</f>
        <v>#VALUE!</v>
      </c>
      <c r="AQ29" s="11" t="e">
        <f aca="false">IF(AND(AQ24=1,Time!AQ21&gt;=2027,Inputs!$F$51=1),MIN(Inputs!$F$109*AQ15,Debt!AQ81),0)</f>
        <v>#VALUE!</v>
      </c>
      <c r="AR29" s="11" t="e">
        <f aca="false">IF(AND(AR24=1,Time!AR21&gt;=2027,Inputs!$F$51=1),MIN(Inputs!$F$109*AR15,Debt!AR81),0)</f>
        <v>#VALUE!</v>
      </c>
      <c r="AS29" s="11" t="e">
        <f aca="false">IF(AND(AS24=1,Time!AS21&gt;=2027,Inputs!$F$51=1),MIN(Inputs!$F$109*AS15,Debt!AS81),0)</f>
        <v>#VALUE!</v>
      </c>
      <c r="AT29" s="11" t="e">
        <f aca="false">IF(AND(AT24=1,Time!AT21&gt;=2027,Inputs!$F$51=1),MIN(Inputs!$F$109*AT15,Debt!AT81),0)</f>
        <v>#VALUE!</v>
      </c>
      <c r="AU29" s="11" t="e">
        <f aca="false">IF(AND(AU24=1,Time!AU21&gt;=2027,Inputs!$F$51=1),MIN(Inputs!$F$109*AU15,Debt!AU81),0)</f>
        <v>#VALUE!</v>
      </c>
      <c r="AV29" s="11" t="e">
        <f aca="false">IF(AND(AV24=1,Time!AV21&gt;=2027,Inputs!$F$51=1),MIN(Inputs!$F$109*AV15,Debt!AV81),0)</f>
        <v>#VALUE!</v>
      </c>
      <c r="AW29" s="11" t="e">
        <f aca="false">IF(AND(AW24=1,Time!AW21&gt;=2027,Inputs!$F$51=1),MIN(Inputs!$F$109*AW15,Debt!AW81),0)</f>
        <v>#VALUE!</v>
      </c>
      <c r="AX29" s="11" t="e">
        <f aca="false">IF(AND(AX24=1,Time!AX21&gt;=2027,Inputs!$F$51=1),MIN(Inputs!$F$109*AX15,Debt!AX81),0)</f>
        <v>#VALUE!</v>
      </c>
      <c r="AY29" s="11" t="e">
        <f aca="false">IF(AND(AY24=1,Time!AY21&gt;=2027,Inputs!$F$51=1),MIN(Inputs!$F$109*AY15,Debt!AY81),0)</f>
        <v>#VALUE!</v>
      </c>
      <c r="AZ29" s="11" t="e">
        <f aca="false">IF(AND(AZ24=1,Time!AZ21&gt;=2027,Inputs!$F$51=1),MIN(Inputs!$F$109*AZ15,Debt!AZ81),0)</f>
        <v>#VALUE!</v>
      </c>
      <c r="BA29" s="11" t="e">
        <f aca="false">IF(AND(BA24=1,Time!BA21&gt;=2027,Inputs!$F$51=1),MIN(Inputs!$F$109*BA15,Debt!BA81),0)</f>
        <v>#VALUE!</v>
      </c>
      <c r="BB29" s="11" t="e">
        <f aca="false">IF(AND(BB24=1,Time!BB21&gt;=2027,Inputs!$F$51=1),MIN(Inputs!$F$109*BB15,Debt!BB81),0)</f>
        <v>#VALUE!</v>
      </c>
      <c r="BC29" s="11" t="e">
        <f aca="false">IF(AND(BC24=1,Time!BC21&gt;=2027,Inputs!$F$51=1),MIN(Inputs!$F$109*BC15,Debt!BC81),0)</f>
        <v>#VALUE!</v>
      </c>
      <c r="BD29" s="11" t="e">
        <f aca="false">IF(AND(BD24=1,Time!BD21&gt;=2027,Inputs!$F$51=1),MIN(Inputs!$F$109*BD15,Debt!BD81),0)</f>
        <v>#VALUE!</v>
      </c>
      <c r="BE29" s="11" t="e">
        <f aca="false">IF(AND(BE24=1,Time!BE21&gt;=2027,Inputs!$F$51=1),MIN(Inputs!$F$109*BE15,Debt!BE81),0)</f>
        <v>#VALUE!</v>
      </c>
      <c r="BF29" s="11" t="e">
        <f aca="false">IF(AND(BF24=1,Time!BF21&gt;=2027,Inputs!$F$51=1),MIN(Inputs!$F$109*BF15,Debt!BF81),0)</f>
        <v>#VALUE!</v>
      </c>
      <c r="BG29" s="11" t="e">
        <f aca="false">IF(AND(BG24=1,Time!BG21&gt;=2027,Inputs!$F$51=1),MIN(Inputs!$F$109*BG15,Debt!BG81),0)</f>
        <v>#VALUE!</v>
      </c>
      <c r="BH29" s="11" t="e">
        <f aca="false">IF(AND(BH24=1,Time!BH21&gt;=2027,Inputs!$F$51=1),MIN(Inputs!$F$109*BH15,Debt!BH81),0)</f>
        <v>#VALUE!</v>
      </c>
      <c r="BI29" s="11" t="e">
        <f aca="false">IF(AND(BI24=1,Time!BI21&gt;=2027,Inputs!$F$51=1),MIN(Inputs!$F$109*BI15,Debt!BI81),0)</f>
        <v>#VALUE!</v>
      </c>
      <c r="BJ29" s="11" t="e">
        <f aca="false">IF(AND(BJ24=1,Time!BJ21&gt;=2027,Inputs!$F$51=1),MIN(Inputs!$F$109*BJ15,Debt!BJ81),0)</f>
        <v>#VALUE!</v>
      </c>
      <c r="BK29" s="11" t="e">
        <f aca="false">IF(AND(BK24=1,Time!BK21&gt;=2027,Inputs!$F$51=1),MIN(Inputs!$F$109*BK15,Debt!BK81),0)</f>
        <v>#VALUE!</v>
      </c>
      <c r="BL29" s="11" t="e">
        <f aca="false">IF(AND(BL24=1,Time!BL21&gt;=2027,Inputs!$F$51=1),MIN(Inputs!$F$109*BL15,Debt!BL81),0)</f>
        <v>#VALUE!</v>
      </c>
      <c r="BM29" s="11" t="e">
        <f aca="false">IF(AND(BM24=1,Time!BM21&gt;=2027,Inputs!$F$51=1),MIN(Inputs!$F$109*BM15,Debt!BM81),0)</f>
        <v>#VALUE!</v>
      </c>
      <c r="BN29" s="11" t="e">
        <f aca="false">IF(AND(BN24=1,Time!BN21&gt;=2027,Inputs!$F$51=1),MIN(Inputs!$F$109*BN15,Debt!BN81),0)</f>
        <v>#VALUE!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e">
        <f aca="false">IF(J24=0,J15-J28,0)</f>
        <v>#VALUE!</v>
      </c>
      <c r="K30" s="11" t="e">
        <f aca="false">IF(K24=0,K15-K28,0)</f>
        <v>#VALUE!</v>
      </c>
      <c r="L30" s="11" t="e">
        <f aca="false">IF(L24=0,L15-L28,0)</f>
        <v>#VALUE!</v>
      </c>
      <c r="M30" s="11" t="e">
        <f aca="false">IF(M24=0,M15-M28,0)</f>
        <v>#VALUE!</v>
      </c>
      <c r="N30" s="11" t="e">
        <f aca="false">IF(N24=0,N15-N28,0)</f>
        <v>#VALUE!</v>
      </c>
      <c r="O30" s="11" t="e">
        <f aca="false">IF(O24=0,O15-O28,0)</f>
        <v>#VALUE!</v>
      </c>
      <c r="P30" s="11" t="e">
        <f aca="false">IF(P24=0,P15-P28,0)</f>
        <v>#VALUE!</v>
      </c>
      <c r="Q30" s="11" t="e">
        <f aca="false">IF(Q24=0,Q15-Q28,0)</f>
        <v>#VALUE!</v>
      </c>
      <c r="R30" s="11" t="e">
        <f aca="false">IF(R24=0,R15-R28,0)</f>
        <v>#VALUE!</v>
      </c>
      <c r="S30" s="11" t="e">
        <f aca="false">IF(S24=0,S15-S28,0)</f>
        <v>#VALUE!</v>
      </c>
      <c r="T30" s="11" t="e">
        <f aca="false">IF(T24=0,T15-T28,0)</f>
        <v>#VALUE!</v>
      </c>
      <c r="U30" s="11" t="e">
        <f aca="false">IF(U24=0,U15-U28,0)</f>
        <v>#VALUE!</v>
      </c>
      <c r="V30" s="11" t="e">
        <f aca="false">IF(V24=0,V15-V28,0)</f>
        <v>#VALUE!</v>
      </c>
      <c r="W30" s="11" t="e">
        <f aca="false">IF(W24=0,W15-W28,0)</f>
        <v>#VALUE!</v>
      </c>
      <c r="X30" s="11" t="e">
        <f aca="false">IF(X24=0,X15-X28,0)</f>
        <v>#VALUE!</v>
      </c>
      <c r="Y30" s="11" t="e">
        <f aca="false">IF(Y24=0,Y15-Y28,0)</f>
        <v>#VALUE!</v>
      </c>
      <c r="Z30" s="11" t="e">
        <f aca="false">IF(Z24=0,Z15-Z28,0)</f>
        <v>#VALUE!</v>
      </c>
      <c r="AA30" s="11" t="e">
        <f aca="false">IF(AA24=0,AA15-AA28,0)</f>
        <v>#VALUE!</v>
      </c>
      <c r="AB30" s="11" t="e">
        <f aca="false">IF(AB24=0,AB15-AB28,0)</f>
        <v>#VALUE!</v>
      </c>
      <c r="AC30" s="11" t="e">
        <f aca="false">IF(AC24=0,AC15-AC28,0)</f>
        <v>#VALUE!</v>
      </c>
      <c r="AD30" s="11" t="e">
        <f aca="false">IF(AD24=0,AD15-AD28,0)</f>
        <v>#VALUE!</v>
      </c>
      <c r="AE30" s="11" t="e">
        <f aca="false">IF(AE24=0,AE15-AE28,0)</f>
        <v>#VALUE!</v>
      </c>
      <c r="AF30" s="11" t="e">
        <f aca="false">IF(AF24=0,AF15-AF28,0)</f>
        <v>#VALUE!</v>
      </c>
      <c r="AG30" s="11" t="e">
        <f aca="false">IF(AG24=0,AG15-AG28,0)</f>
        <v>#VALUE!</v>
      </c>
      <c r="AH30" s="11" t="e">
        <f aca="false">IF(AH24=0,AH15-AH28,0)</f>
        <v>#VALUE!</v>
      </c>
      <c r="AI30" s="11" t="e">
        <f aca="false">IF(AI24=0,AI15-AI28,0)</f>
        <v>#VALUE!</v>
      </c>
      <c r="AJ30" s="11" t="e">
        <f aca="false">IF(AJ24=0,AJ15-AJ28,0)</f>
        <v>#VALUE!</v>
      </c>
      <c r="AK30" s="11" t="e">
        <f aca="false">IF(AK24=0,AK15-AK28,0)</f>
        <v>#VALUE!</v>
      </c>
      <c r="AL30" s="11" t="e">
        <f aca="false">IF(AL24=0,AL15-AL28,0)</f>
        <v>#VALUE!</v>
      </c>
      <c r="AM30" s="11" t="e">
        <f aca="false">IF(AM24=0,AM15-AM28,0)</f>
        <v>#VALUE!</v>
      </c>
      <c r="AN30" s="11" t="e">
        <f aca="false">IF(AN24=0,AN15-AN28,0)</f>
        <v>#VALUE!</v>
      </c>
      <c r="AO30" s="11" t="e">
        <f aca="false">IF(AO24=0,AO15-AO28,0)</f>
        <v>#VALUE!</v>
      </c>
      <c r="AP30" s="11" t="e">
        <f aca="false">IF(AP24=0,AP15-AP28,0)</f>
        <v>#VALUE!</v>
      </c>
      <c r="AQ30" s="11" t="e">
        <f aca="false">IF(AQ24=0,AQ15-AQ28,0)</f>
        <v>#VALUE!</v>
      </c>
      <c r="AR30" s="11" t="e">
        <f aca="false">IF(AR24=0,AR15-AR28,0)</f>
        <v>#VALUE!</v>
      </c>
      <c r="AS30" s="11" t="e">
        <f aca="false">IF(AS24=0,AS15-AS28,0)</f>
        <v>#VALUE!</v>
      </c>
      <c r="AT30" s="11" t="e">
        <f aca="false">IF(AT24=0,AT15-AT28,0)</f>
        <v>#VALUE!</v>
      </c>
      <c r="AU30" s="11" t="e">
        <f aca="false">IF(AU24=0,AU15-AU28,0)</f>
        <v>#VALUE!</v>
      </c>
      <c r="AV30" s="11" t="e">
        <f aca="false">IF(AV24=0,AV15-AV28,0)</f>
        <v>#VALUE!</v>
      </c>
      <c r="AW30" s="11" t="e">
        <f aca="false">IF(AW24=0,AW15-AW28,0)</f>
        <v>#VALUE!</v>
      </c>
      <c r="AX30" s="11" t="e">
        <f aca="false">IF(AX24=0,AX15-AX28,0)</f>
        <v>#VALUE!</v>
      </c>
      <c r="AY30" s="11" t="e">
        <f aca="false">IF(AY24=0,AY15-AY28,0)</f>
        <v>#VALUE!</v>
      </c>
      <c r="AZ30" s="11" t="e">
        <f aca="false">IF(AZ24=0,AZ15-AZ28,0)</f>
        <v>#VALUE!</v>
      </c>
      <c r="BA30" s="11" t="e">
        <f aca="false">IF(BA24=0,BA15-BA28,0)</f>
        <v>#VALUE!</v>
      </c>
      <c r="BB30" s="11" t="e">
        <f aca="false">IF(BB24=0,BB15-BB28,0)</f>
        <v>#VALUE!</v>
      </c>
      <c r="BC30" s="11" t="e">
        <f aca="false">IF(BC24=0,BC15-BC28,0)</f>
        <v>#VALUE!</v>
      </c>
      <c r="BD30" s="11" t="e">
        <f aca="false">IF(BD24=0,BD15-BD28,0)</f>
        <v>#VALUE!</v>
      </c>
      <c r="BE30" s="11" t="e">
        <f aca="false">IF(BE24=0,BE15-BE28,0)</f>
        <v>#VALUE!</v>
      </c>
      <c r="BF30" s="11" t="e">
        <f aca="false">IF(BF24=0,BF15-BF28,0)</f>
        <v>#VALUE!</v>
      </c>
      <c r="BG30" s="11" t="e">
        <f aca="false">IF(BG24=0,BG15-BG28,0)</f>
        <v>#VALUE!</v>
      </c>
      <c r="BH30" s="11" t="e">
        <f aca="false">IF(BH24=0,BH15-BH28,0)</f>
        <v>#VALUE!</v>
      </c>
      <c r="BI30" s="11" t="e">
        <f aca="false">IF(BI24=0,BI15-BI28,0)</f>
        <v>#VALUE!</v>
      </c>
      <c r="BJ30" s="11" t="e">
        <f aca="false">IF(BJ24=0,BJ15-BJ28,0)</f>
        <v>#VALUE!</v>
      </c>
      <c r="BK30" s="11" t="e">
        <f aca="false">IF(BK24=0,BK15-BK28,0)</f>
        <v>#VALUE!</v>
      </c>
      <c r="BL30" s="11" t="e">
        <f aca="false">IF(BL24=0,BL15-BL28,0)</f>
        <v>#VALUE!</v>
      </c>
      <c r="BM30" s="11" t="e">
        <f aca="false">IF(BM24=0,BM15-BM28,0)</f>
        <v>#VALUE!</v>
      </c>
      <c r="BN30" s="11" t="e">
        <f aca="false">IF(BN24=0,BN15-BN28,0)</f>
        <v>#VALUE!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e">
        <f aca="false">SUM(J31:BN31)</f>
        <v>#VALUE!</v>
      </c>
      <c r="J31" s="11" t="e">
        <f aca="false">IF(J24=1,J15-J29,0)</f>
        <v>#VALUE!</v>
      </c>
      <c r="K31" s="11" t="e">
        <f aca="false">IF(K24=1,K15-K29,0)</f>
        <v>#VALUE!</v>
      </c>
      <c r="L31" s="11" t="e">
        <f aca="false">IF(L24=1,L15-L29,0)</f>
        <v>#VALUE!</v>
      </c>
      <c r="M31" s="11" t="e">
        <f aca="false">IF(M24=1,M15-M29,0)</f>
        <v>#VALUE!</v>
      </c>
      <c r="N31" s="11" t="e">
        <f aca="false">IF(N24=1,N15-N29,0)</f>
        <v>#VALUE!</v>
      </c>
      <c r="O31" s="11" t="e">
        <f aca="false">IF(O24=1,O15-O29,0)</f>
        <v>#VALUE!</v>
      </c>
      <c r="P31" s="11" t="e">
        <f aca="false">IF(P24=1,P15-P29,0)</f>
        <v>#VALUE!</v>
      </c>
      <c r="Q31" s="11" t="e">
        <f aca="false">IF(Q24=1,Q15-Q29,0)</f>
        <v>#VALUE!</v>
      </c>
      <c r="R31" s="11" t="e">
        <f aca="false">IF(R24=1,R15-R29,0)</f>
        <v>#VALUE!</v>
      </c>
      <c r="S31" s="11" t="e">
        <f aca="false">IF(S24=1,S15-S29,0)</f>
        <v>#VALUE!</v>
      </c>
      <c r="T31" s="11" t="e">
        <f aca="false">IF(T24=1,T15-T29,0)</f>
        <v>#VALUE!</v>
      </c>
      <c r="U31" s="11" t="e">
        <f aca="false">IF(U24=1,U15-U29,0)</f>
        <v>#VALUE!</v>
      </c>
      <c r="V31" s="11" t="e">
        <f aca="false">IF(V24=1,V15-V29,0)</f>
        <v>#VALUE!</v>
      </c>
      <c r="W31" s="11" t="e">
        <f aca="false">IF(W24=1,W15-W29,0)</f>
        <v>#VALUE!</v>
      </c>
      <c r="X31" s="11" t="e">
        <f aca="false">IF(X24=1,X15-X29,0)</f>
        <v>#VALUE!</v>
      </c>
      <c r="Y31" s="11" t="e">
        <f aca="false">IF(Y24=1,Y15-Y29,0)</f>
        <v>#VALUE!</v>
      </c>
      <c r="Z31" s="11" t="e">
        <f aca="false">IF(Z24=1,Z15-Z29,0)</f>
        <v>#VALUE!</v>
      </c>
      <c r="AA31" s="11" t="e">
        <f aca="false">IF(AA24=1,AA15-AA29,0)</f>
        <v>#VALUE!</v>
      </c>
      <c r="AB31" s="11" t="e">
        <f aca="false">IF(AB24=1,AB15-AB29,0)</f>
        <v>#VALUE!</v>
      </c>
      <c r="AC31" s="11" t="e">
        <f aca="false">IF(AC24=1,AC15-AC29,0)</f>
        <v>#VALUE!</v>
      </c>
      <c r="AD31" s="11" t="e">
        <f aca="false">IF(AD24=1,AD15-AD29,0)</f>
        <v>#VALUE!</v>
      </c>
      <c r="AE31" s="11" t="e">
        <f aca="false">IF(AE24=1,AE15-AE29,0)</f>
        <v>#VALUE!</v>
      </c>
      <c r="AF31" s="11" t="e">
        <f aca="false">IF(AF24=1,AF15-AF29,0)</f>
        <v>#VALUE!</v>
      </c>
      <c r="AG31" s="11" t="e">
        <f aca="false">IF(AG24=1,AG15-AG29,0)</f>
        <v>#VALUE!</v>
      </c>
      <c r="AH31" s="11" t="e">
        <f aca="false">IF(AH24=1,AH15-AH29,0)</f>
        <v>#VALUE!</v>
      </c>
      <c r="AI31" s="11" t="e">
        <f aca="false">IF(AI24=1,AI15-AI29,0)</f>
        <v>#VALUE!</v>
      </c>
      <c r="AJ31" s="11" t="e">
        <f aca="false">IF(AJ24=1,AJ15-AJ29,0)</f>
        <v>#VALUE!</v>
      </c>
      <c r="AK31" s="11" t="e">
        <f aca="false">IF(AK24=1,AK15-AK29,0)</f>
        <v>#VALUE!</v>
      </c>
      <c r="AL31" s="11" t="e">
        <f aca="false">IF(AL24=1,AL15-AL29,0)</f>
        <v>#VALUE!</v>
      </c>
      <c r="AM31" s="11" t="e">
        <f aca="false">IF(AM24=1,AM15-AM29,0)</f>
        <v>#VALUE!</v>
      </c>
      <c r="AN31" s="11" t="e">
        <f aca="false">IF(AN24=1,AN15-AN29,0)</f>
        <v>#VALUE!</v>
      </c>
      <c r="AO31" s="11" t="e">
        <f aca="false">IF(AO24=1,AO15-AO29,0)</f>
        <v>#VALUE!</v>
      </c>
      <c r="AP31" s="11" t="e">
        <f aca="false">IF(AP24=1,AP15-AP29,0)</f>
        <v>#VALUE!</v>
      </c>
      <c r="AQ31" s="11" t="e">
        <f aca="false">IF(AQ24=1,AQ15-AQ29,0)</f>
        <v>#VALUE!</v>
      </c>
      <c r="AR31" s="11" t="e">
        <f aca="false">IF(AR24=1,AR15-AR29,0)</f>
        <v>#VALUE!</v>
      </c>
      <c r="AS31" s="11" t="e">
        <f aca="false">IF(AS24=1,AS15-AS29,0)</f>
        <v>#VALUE!</v>
      </c>
      <c r="AT31" s="11" t="e">
        <f aca="false">IF(AT24=1,AT15-AT29,0)</f>
        <v>#VALUE!</v>
      </c>
      <c r="AU31" s="11" t="e">
        <f aca="false">IF(AU24=1,AU15-AU29,0)</f>
        <v>#VALUE!</v>
      </c>
      <c r="AV31" s="11" t="e">
        <f aca="false">IF(AV24=1,AV15-AV29,0)</f>
        <v>#VALUE!</v>
      </c>
      <c r="AW31" s="11" t="e">
        <f aca="false">IF(AW24=1,AW15-AW29,0)</f>
        <v>#VALUE!</v>
      </c>
      <c r="AX31" s="11" t="e">
        <f aca="false">IF(AX24=1,AX15-AX29,0)</f>
        <v>#VALUE!</v>
      </c>
      <c r="AY31" s="11" t="e">
        <f aca="false">IF(AY24=1,AY15-AY29,0)</f>
        <v>#VALUE!</v>
      </c>
      <c r="AZ31" s="11" t="e">
        <f aca="false">IF(AZ24=1,AZ15-AZ29,0)</f>
        <v>#VALUE!</v>
      </c>
      <c r="BA31" s="11" t="e">
        <f aca="false">IF(BA24=1,BA15-BA29,0)</f>
        <v>#VALUE!</v>
      </c>
      <c r="BB31" s="11" t="e">
        <f aca="false">IF(BB24=1,BB15-BB29,0)</f>
        <v>#VALUE!</v>
      </c>
      <c r="BC31" s="11" t="e">
        <f aca="false">IF(BC24=1,BC15-BC29,0)</f>
        <v>#VALUE!</v>
      </c>
      <c r="BD31" s="11" t="e">
        <f aca="false">IF(BD24=1,BD15-BD29,0)</f>
        <v>#VALUE!</v>
      </c>
      <c r="BE31" s="11" t="e">
        <f aca="false">IF(BE24=1,BE15-BE29,0)</f>
        <v>#VALUE!</v>
      </c>
      <c r="BF31" s="11" t="e">
        <f aca="false">IF(BF24=1,BF15-BF29,0)</f>
        <v>#VALUE!</v>
      </c>
      <c r="BG31" s="11" t="e">
        <f aca="false">IF(BG24=1,BG15-BG29,0)</f>
        <v>#VALUE!</v>
      </c>
      <c r="BH31" s="11" t="e">
        <f aca="false">IF(BH24=1,BH15-BH29,0)</f>
        <v>#VALUE!</v>
      </c>
      <c r="BI31" s="11" t="e">
        <f aca="false">IF(BI24=1,BI15-BI29,0)</f>
        <v>#VALUE!</v>
      </c>
      <c r="BJ31" s="11" t="e">
        <f aca="false">IF(BJ24=1,BJ15-BJ29,0)</f>
        <v>#VALUE!</v>
      </c>
      <c r="BK31" s="11" t="e">
        <f aca="false">IF(BK24=1,BK15-BK29,0)</f>
        <v>#VALUE!</v>
      </c>
      <c r="BL31" s="11" t="e">
        <f aca="false">IF(BL24=1,BL15-BL29,0)</f>
        <v>#VALUE!</v>
      </c>
      <c r="BM31" s="11" t="e">
        <f aca="false">IF(BM24=1,BM15-BM29,0)</f>
        <v>#VALUE!</v>
      </c>
      <c r="BN31" s="11" t="e">
        <f aca="false">IF(BN24=1,BN15-BN29,0)</f>
        <v>#VALUE!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e">
        <f aca="false">IF(Time!P17&lt;Time!$F$11,0,IF(Time!P29=1,INDEX(Funding!$J$72:$BJ$72,1,Time!$F$13),O36))</f>
        <v>#VALUE!</v>
      </c>
      <c r="Q33" s="11" t="e">
        <f aca="false">IF(Time!Q17&lt;Time!$F$11,0,IF(Time!Q29=1,INDEX(Funding!$J$72:$BJ$72,1,Time!$F$13),P36))</f>
        <v>#VALUE!</v>
      </c>
      <c r="R33" s="11" t="e">
        <f aca="false">IF(Time!R17&lt;Time!$F$11,0,IF(Time!R29=1,INDEX(Funding!$J$72:$BJ$72,1,Time!$F$13),Q36))</f>
        <v>#VALUE!</v>
      </c>
      <c r="S33" s="11" t="e">
        <f aca="false">IF(Time!S17&lt;Time!$F$11,0,IF(Time!S29=1,INDEX(Funding!$J$72:$BJ$72,1,Time!$F$13),R36))</f>
        <v>#VALUE!</v>
      </c>
      <c r="T33" s="11" t="e">
        <f aca="false">IF(Time!T17&lt;Time!$F$11,0,IF(Time!T29=1,INDEX(Funding!$J$72:$BJ$72,1,Time!$F$13),S36))</f>
        <v>#VALUE!</v>
      </c>
      <c r="U33" s="11" t="e">
        <f aca="false">IF(Time!U17&lt;Time!$F$11,0,IF(Time!U29=1,INDEX(Funding!$J$72:$BJ$72,1,Time!$F$13),T36))</f>
        <v>#VALUE!</v>
      </c>
      <c r="V33" s="11" t="e">
        <f aca="false">IF(Time!V17&lt;Time!$F$11,0,IF(Time!V29=1,INDEX(Funding!$J$72:$BJ$72,1,Time!$F$13),U36))</f>
        <v>#VALUE!</v>
      </c>
      <c r="W33" s="11" t="e">
        <f aca="false">IF(Time!W17&lt;Time!$F$11,0,IF(Time!W29=1,INDEX(Funding!$J$72:$BJ$72,1,Time!$F$13),V36))</f>
        <v>#VALUE!</v>
      </c>
      <c r="X33" s="11" t="e">
        <f aca="false">IF(Time!X17&lt;Time!$F$11,0,IF(Time!X29=1,INDEX(Funding!$J$72:$BJ$72,1,Time!$F$13),W36))</f>
        <v>#VALUE!</v>
      </c>
      <c r="Y33" s="11" t="e">
        <f aca="false">IF(Time!Y17&lt;Time!$F$11,0,IF(Time!Y29=1,INDEX(Funding!$J$72:$BJ$72,1,Time!$F$13),X36))</f>
        <v>#VALUE!</v>
      </c>
      <c r="Z33" s="11" t="e">
        <f aca="false">IF(Time!Z17&lt;Time!$F$11,0,IF(Time!Z29=1,INDEX(Funding!$J$72:$BJ$72,1,Time!$F$13),Y36))</f>
        <v>#VALUE!</v>
      </c>
      <c r="AA33" s="11" t="e">
        <f aca="false">IF(Time!AA17&lt;Time!$F$11,0,IF(Time!AA29=1,INDEX(Funding!$J$72:$BJ$72,1,Time!$F$13),Z36))</f>
        <v>#VALUE!</v>
      </c>
      <c r="AB33" s="11" t="e">
        <f aca="false">IF(Time!AB17&lt;Time!$F$11,0,IF(Time!AB29=1,INDEX(Funding!$J$72:$BJ$72,1,Time!$F$13),AA36))</f>
        <v>#VALUE!</v>
      </c>
      <c r="AC33" s="11" t="e">
        <f aca="false">IF(Time!AC17&lt;Time!$F$11,0,IF(Time!AC29=1,INDEX(Funding!$J$72:$BJ$72,1,Time!$F$13),AB36))</f>
        <v>#VALUE!</v>
      </c>
      <c r="AD33" s="11" t="e">
        <f aca="false">IF(Time!AD17&lt;Time!$F$11,0,IF(Time!AD29=1,INDEX(Funding!$J$72:$BJ$72,1,Time!$F$13),AC36))</f>
        <v>#VALUE!</v>
      </c>
      <c r="AE33" s="11" t="e">
        <f aca="false">IF(Time!AE17&lt;Time!$F$11,0,IF(Time!AE29=1,INDEX(Funding!$J$72:$BJ$72,1,Time!$F$13),AD36))</f>
        <v>#VALUE!</v>
      </c>
      <c r="AF33" s="11" t="e">
        <f aca="false">IF(Time!AF17&lt;Time!$F$11,0,IF(Time!AF29=1,INDEX(Funding!$J$72:$BJ$72,1,Time!$F$13),AE36))</f>
        <v>#VALUE!</v>
      </c>
      <c r="AG33" s="11" t="e">
        <f aca="false">IF(Time!AG17&lt;Time!$F$11,0,IF(Time!AG29=1,INDEX(Funding!$J$72:$BJ$72,1,Time!$F$13),AF36))</f>
        <v>#VALUE!</v>
      </c>
      <c r="AH33" s="11" t="e">
        <f aca="false">IF(Time!AH17&lt;Time!$F$11,0,IF(Time!AH29=1,INDEX(Funding!$J$72:$BJ$72,1,Time!$F$13),AG36))</f>
        <v>#VALUE!</v>
      </c>
      <c r="AI33" s="11" t="e">
        <f aca="false">IF(Time!AI17&lt;Time!$F$11,0,IF(Time!AI29=1,INDEX(Funding!$J$72:$BJ$72,1,Time!$F$13),AH36))</f>
        <v>#VALUE!</v>
      </c>
      <c r="AJ33" s="11" t="e">
        <f aca="false">IF(Time!AJ17&lt;Time!$F$11,0,IF(Time!AJ29=1,INDEX(Funding!$J$72:$BJ$72,1,Time!$F$13),AI36))</f>
        <v>#VALUE!</v>
      </c>
      <c r="AK33" s="11" t="e">
        <f aca="false">IF(Time!AK17&lt;Time!$F$11,0,IF(Time!AK29=1,INDEX(Funding!$J$72:$BJ$72,1,Time!$F$13),AJ36))</f>
        <v>#VALUE!</v>
      </c>
      <c r="AL33" s="11" t="e">
        <f aca="false">IF(Time!AL17&lt;Time!$F$11,0,IF(Time!AL29=1,INDEX(Funding!$J$72:$BJ$72,1,Time!$F$13),AK36))</f>
        <v>#VALUE!</v>
      </c>
      <c r="AM33" s="11" t="e">
        <f aca="false">IF(Time!AM17&lt;Time!$F$11,0,IF(Time!AM29=1,INDEX(Funding!$J$72:$BJ$72,1,Time!$F$13),AL36))</f>
        <v>#VALUE!</v>
      </c>
      <c r="AN33" s="11" t="e">
        <f aca="false">IF(Time!AN17&lt;Time!$F$11,0,IF(Time!AN29=1,INDEX(Funding!$J$72:$BJ$72,1,Time!$F$13),AM36))</f>
        <v>#VALUE!</v>
      </c>
      <c r="AO33" s="11" t="e">
        <f aca="false">IF(Time!AO17&lt;Time!$F$11,0,IF(Time!AO29=1,INDEX(Funding!$J$72:$BJ$72,1,Time!$F$13),AN36))</f>
        <v>#VALUE!</v>
      </c>
      <c r="AP33" s="11" t="e">
        <f aca="false">IF(Time!AP17&lt;Time!$F$11,0,IF(Time!AP29=1,INDEX(Funding!$J$72:$BJ$72,1,Time!$F$13),AO36))</f>
        <v>#VALUE!</v>
      </c>
      <c r="AQ33" s="11" t="e">
        <f aca="false">IF(Time!AQ17&lt;Time!$F$11,0,IF(Time!AQ29=1,INDEX(Funding!$J$72:$BJ$72,1,Time!$F$13),AP36))</f>
        <v>#VALUE!</v>
      </c>
      <c r="AR33" s="11" t="e">
        <f aca="false">IF(Time!AR17&lt;Time!$F$11,0,IF(Time!AR29=1,INDEX(Funding!$J$72:$BJ$72,1,Time!$F$13),AQ36))</f>
        <v>#VALUE!</v>
      </c>
      <c r="AS33" s="11" t="e">
        <f aca="false">IF(Time!AS17&lt;Time!$F$11,0,IF(Time!AS29=1,INDEX(Funding!$J$72:$BJ$72,1,Time!$F$13),AR36))</f>
        <v>#VALUE!</v>
      </c>
      <c r="AT33" s="11" t="e">
        <f aca="false">IF(Time!AT17&lt;Time!$F$11,0,IF(Time!AT29=1,INDEX(Funding!$J$72:$BJ$72,1,Time!$F$13),AS36))</f>
        <v>#VALUE!</v>
      </c>
      <c r="AU33" s="11" t="e">
        <f aca="false">IF(Time!AU17&lt;Time!$F$11,0,IF(Time!AU29=1,INDEX(Funding!$J$72:$BJ$72,1,Time!$F$13),AT36))</f>
        <v>#VALUE!</v>
      </c>
      <c r="AV33" s="11" t="e">
        <f aca="false">IF(Time!AV17&lt;Time!$F$11,0,IF(Time!AV29=1,INDEX(Funding!$J$72:$BJ$72,1,Time!$F$13),AU36))</f>
        <v>#VALUE!</v>
      </c>
      <c r="AW33" s="11" t="e">
        <f aca="false">IF(Time!AW17&lt;Time!$F$11,0,IF(Time!AW29=1,INDEX(Funding!$J$72:$BJ$72,1,Time!$F$13),AV36))</f>
        <v>#VALUE!</v>
      </c>
      <c r="AX33" s="11" t="e">
        <f aca="false">IF(Time!AX17&lt;Time!$F$11,0,IF(Time!AX29=1,INDEX(Funding!$J$72:$BJ$72,1,Time!$F$13),AW36))</f>
        <v>#VALUE!</v>
      </c>
      <c r="AY33" s="11" t="e">
        <f aca="false">IF(Time!AY17&lt;Time!$F$11,0,IF(Time!AY29=1,INDEX(Funding!$J$72:$BJ$72,1,Time!$F$13),AX36))</f>
        <v>#VALUE!</v>
      </c>
      <c r="AZ33" s="11" t="e">
        <f aca="false">IF(Time!AZ17&lt;Time!$F$11,0,IF(Time!AZ29=1,INDEX(Funding!$J$72:$BJ$72,1,Time!$F$13),AY36))</f>
        <v>#VALUE!</v>
      </c>
      <c r="BA33" s="11" t="e">
        <f aca="false">IF(Time!BA17&lt;Time!$F$11,0,IF(Time!BA29=1,INDEX(Funding!$J$72:$BJ$72,1,Time!$F$13),AZ36))</f>
        <v>#VALUE!</v>
      </c>
      <c r="BB33" s="11" t="e">
        <f aca="false">IF(Time!BB17&lt;Time!$F$11,0,IF(Time!BB29=1,INDEX(Funding!$J$72:$BJ$72,1,Time!$F$13),BA36))</f>
        <v>#VALUE!</v>
      </c>
      <c r="BC33" s="11" t="e">
        <f aca="false">IF(Time!BC17&lt;Time!$F$11,0,IF(Time!BC29=1,INDEX(Funding!$J$72:$BJ$72,1,Time!$F$13),BB36))</f>
        <v>#VALUE!</v>
      </c>
      <c r="BD33" s="11" t="e">
        <f aca="false">IF(Time!BD17&lt;Time!$F$11,0,IF(Time!BD29=1,INDEX(Funding!$J$72:$BJ$72,1,Time!$F$13),BC36))</f>
        <v>#VALUE!</v>
      </c>
      <c r="BE33" s="11" t="e">
        <f aca="false">IF(Time!BE17&lt;Time!$F$11,0,IF(Time!BE29=1,INDEX(Funding!$J$72:$BJ$72,1,Time!$F$13),BD36))</f>
        <v>#VALUE!</v>
      </c>
      <c r="BF33" s="11" t="e">
        <f aca="false">IF(Time!BF17&lt;Time!$F$11,0,IF(Time!BF29=1,INDEX(Funding!$J$72:$BJ$72,1,Time!$F$13),BE36))</f>
        <v>#VALUE!</v>
      </c>
      <c r="BG33" s="11" t="e">
        <f aca="false">IF(Time!BG17&lt;Time!$F$11,0,IF(Time!BG29=1,INDEX(Funding!$J$72:$BJ$72,1,Time!$F$13),BF36))</f>
        <v>#VALUE!</v>
      </c>
      <c r="BH33" s="11" t="e">
        <f aca="false">IF(Time!BH17&lt;Time!$F$11,0,IF(Time!BH29=1,INDEX(Funding!$J$72:$BJ$72,1,Time!$F$13),BG36))</f>
        <v>#VALUE!</v>
      </c>
      <c r="BI33" s="11" t="e">
        <f aca="false">IF(Time!BI17&lt;Time!$F$11,0,IF(Time!BI29=1,INDEX(Funding!$J$72:$BJ$72,1,Time!$F$13),BH36))</f>
        <v>#VALUE!</v>
      </c>
      <c r="BJ33" s="11" t="e">
        <f aca="false">IF(Time!BJ17&lt;Time!$F$11,0,IF(Time!BJ29=1,INDEX(Funding!$J$72:$BJ$72,1,Time!$F$13),BI36))</f>
        <v>#VALUE!</v>
      </c>
      <c r="BK33" s="11" t="e">
        <f aca="false">IF(Time!BK17&lt;Time!$F$11,0,IF(Time!BK29=1,INDEX(Funding!$J$72:$BJ$72,1,Time!$F$13),BJ36))</f>
        <v>#VALUE!</v>
      </c>
      <c r="BL33" s="11" t="e">
        <f aca="false">IF(Time!BL17&lt;Time!$F$11,0,IF(Time!BL29=1,INDEX(Funding!$J$72:$BJ$72,1,Time!$F$13),BK36))</f>
        <v>#VALUE!</v>
      </c>
      <c r="BM33" s="11" t="e">
        <f aca="false">IF(Time!BM17&lt;Time!$F$11,0,IF(Time!BM29=1,INDEX(Funding!$J$72:$BJ$72,1,Time!$F$13),BL36))</f>
        <v>#VALUE!</v>
      </c>
      <c r="BN33" s="11" t="e">
        <f aca="false">IF(Time!BN17&lt;Time!$F$11,0,IF(Time!BN29=1,INDEX(Funding!$J$72:$BJ$72,1,Time!$F$13),BM36))</f>
        <v>#VALUE!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e">
        <f aca="false">SUM(J34:BN34)</f>
        <v>#VALUE!</v>
      </c>
      <c r="J34" s="11" t="e">
        <f aca="false">J24*MIN(J31,Tax!J13)</f>
        <v>#VALUE!</v>
      </c>
      <c r="K34" s="11" t="e">
        <f aca="false">K24*MIN(K31,Tax!K13)</f>
        <v>#VALUE!</v>
      </c>
      <c r="L34" s="11" t="e">
        <f aca="false">L24*MIN(L31,Tax!L13)</f>
        <v>#VALUE!</v>
      </c>
      <c r="M34" s="11" t="e">
        <f aca="false">M24*MIN(M31,Tax!M13)</f>
        <v>#VALUE!</v>
      </c>
      <c r="N34" s="11" t="e">
        <f aca="false">N24*MIN(N31,Tax!N13)</f>
        <v>#VALUE!</v>
      </c>
      <c r="O34" s="11" t="e">
        <f aca="false">O24*MIN(O31,Tax!O13)</f>
        <v>#VALUE!</v>
      </c>
      <c r="P34" s="11" t="e">
        <f aca="false">P24*MIN(P31,Tax!P13)</f>
        <v>#VALUE!</v>
      </c>
      <c r="Q34" s="11" t="e">
        <f aca="false">Q24*MIN(Q31,Tax!Q13)</f>
        <v>#VALUE!</v>
      </c>
      <c r="R34" s="11" t="e">
        <f aca="false">R24*MIN(R31,Tax!R13)</f>
        <v>#VALUE!</v>
      </c>
      <c r="S34" s="11" t="e">
        <f aca="false">S24*MIN(S31,Tax!S13)</f>
        <v>#VALUE!</v>
      </c>
      <c r="T34" s="11" t="e">
        <f aca="false">T24*MIN(T31,Tax!T13)</f>
        <v>#VALUE!</v>
      </c>
      <c r="U34" s="11" t="e">
        <f aca="false">U24*MIN(U31,Tax!U13)</f>
        <v>#VALUE!</v>
      </c>
      <c r="V34" s="11" t="e">
        <f aca="false">V24*MIN(V31,Tax!V13)</f>
        <v>#VALUE!</v>
      </c>
      <c r="W34" s="11" t="e">
        <f aca="false">W24*MIN(W31,Tax!W13)</f>
        <v>#VALUE!</v>
      </c>
      <c r="X34" s="11" t="e">
        <f aca="false">X24*MIN(X31,Tax!X13)</f>
        <v>#VALUE!</v>
      </c>
      <c r="Y34" s="11" t="e">
        <f aca="false">Y24*MIN(Y31,Tax!Y13)</f>
        <v>#VALUE!</v>
      </c>
      <c r="Z34" s="11" t="e">
        <f aca="false">Z24*MIN(Z31,Tax!Z13)</f>
        <v>#VALUE!</v>
      </c>
      <c r="AA34" s="11" t="e">
        <f aca="false">AA24*MIN(AA31,Tax!AA13)</f>
        <v>#VALUE!</v>
      </c>
      <c r="AB34" s="11" t="e">
        <f aca="false">AB24*MIN(AB31,Tax!AB13)</f>
        <v>#VALUE!</v>
      </c>
      <c r="AC34" s="11" t="e">
        <f aca="false">AC24*MIN(AC31,Tax!AC13)</f>
        <v>#VALUE!</v>
      </c>
      <c r="AD34" s="11" t="e">
        <f aca="false">AD24*MIN(AD31,Tax!AD13)</f>
        <v>#VALUE!</v>
      </c>
      <c r="AE34" s="11" t="e">
        <f aca="false">AE24*MIN(AE31,Tax!AE13)</f>
        <v>#VALUE!</v>
      </c>
      <c r="AF34" s="11" t="e">
        <f aca="false">AF24*MIN(AF31,Tax!AF13)</f>
        <v>#VALUE!</v>
      </c>
      <c r="AG34" s="11" t="e">
        <f aca="false">AG24*MIN(AG31,Tax!AG13)</f>
        <v>#VALUE!</v>
      </c>
      <c r="AH34" s="11" t="e">
        <f aca="false">AH24*MIN(AH31,Tax!AH13)</f>
        <v>#VALUE!</v>
      </c>
      <c r="AI34" s="11" t="e">
        <f aca="false">AI24*MIN(AI31,Tax!AI13)</f>
        <v>#VALUE!</v>
      </c>
      <c r="AJ34" s="11" t="e">
        <f aca="false">AJ24*MIN(AJ31,Tax!AJ13)</f>
        <v>#VALUE!</v>
      </c>
      <c r="AK34" s="11" t="e">
        <f aca="false">AK24*MIN(AK31,Tax!AK13)</f>
        <v>#VALUE!</v>
      </c>
      <c r="AL34" s="11" t="e">
        <f aca="false">AL24*MIN(AL31,Tax!AL13)</f>
        <v>#VALUE!</v>
      </c>
      <c r="AM34" s="11" t="e">
        <f aca="false">AM24*MIN(AM31,Tax!AM13)</f>
        <v>#VALUE!</v>
      </c>
      <c r="AN34" s="11" t="e">
        <f aca="false">AN24*MIN(AN31,Tax!AN13)</f>
        <v>#VALUE!</v>
      </c>
      <c r="AO34" s="11" t="e">
        <f aca="false">AO24*MIN(AO31,Tax!AO13)</f>
        <v>#VALUE!</v>
      </c>
      <c r="AP34" s="11" t="e">
        <f aca="false">AP24*MIN(AP31,Tax!AP13)</f>
        <v>#VALUE!</v>
      </c>
      <c r="AQ34" s="11" t="e">
        <f aca="false">AQ24*MIN(AQ31,Tax!AQ13)</f>
        <v>#VALUE!</v>
      </c>
      <c r="AR34" s="11" t="e">
        <f aca="false">AR24*MIN(AR31,Tax!AR13)</f>
        <v>#VALUE!</v>
      </c>
      <c r="AS34" s="11" t="e">
        <f aca="false">AS24*MIN(AS31,Tax!AS13)</f>
        <v>#VALUE!</v>
      </c>
      <c r="AT34" s="11" t="e">
        <f aca="false">AT24*MIN(AT31,Tax!AT13)</f>
        <v>#VALUE!</v>
      </c>
      <c r="AU34" s="11" t="e">
        <f aca="false">AU24*MIN(AU31,Tax!AU13)</f>
        <v>#VALUE!</v>
      </c>
      <c r="AV34" s="11" t="e">
        <f aca="false">AV24*MIN(AV31,Tax!AV13)</f>
        <v>#VALUE!</v>
      </c>
      <c r="AW34" s="11" t="e">
        <f aca="false">AW24*MIN(AW31,Tax!AW13)</f>
        <v>#VALUE!</v>
      </c>
      <c r="AX34" s="11" t="e">
        <f aca="false">AX24*MIN(AX31,Tax!AX13)</f>
        <v>#VALUE!</v>
      </c>
      <c r="AY34" s="11" t="e">
        <f aca="false">AY24*MIN(AY31,Tax!AY13)</f>
        <v>#VALUE!</v>
      </c>
      <c r="AZ34" s="11" t="e">
        <f aca="false">AZ24*MIN(AZ31,Tax!AZ13)</f>
        <v>#VALUE!</v>
      </c>
      <c r="BA34" s="11" t="e">
        <f aca="false">BA24*MIN(BA31,Tax!BA13)</f>
        <v>#VALUE!</v>
      </c>
      <c r="BB34" s="11" t="e">
        <f aca="false">BB24*MIN(BB31,Tax!BB13)</f>
        <v>#VALUE!</v>
      </c>
      <c r="BC34" s="11" t="e">
        <f aca="false">BC24*MIN(BC31,Tax!BC13)</f>
        <v>#VALUE!</v>
      </c>
      <c r="BD34" s="11" t="e">
        <f aca="false">BD24*MIN(BD31,Tax!BD13)</f>
        <v>#VALUE!</v>
      </c>
      <c r="BE34" s="11" t="e">
        <f aca="false">BE24*MIN(BE31,Tax!BE13)</f>
        <v>#VALUE!</v>
      </c>
      <c r="BF34" s="11" t="e">
        <f aca="false">BF24*MIN(BF31,Tax!BF13)</f>
        <v>#VALUE!</v>
      </c>
      <c r="BG34" s="11" t="e">
        <f aca="false">BG24*MIN(BG31,Tax!BG13)</f>
        <v>#VALUE!</v>
      </c>
      <c r="BH34" s="11" t="e">
        <f aca="false">BH24*MIN(BH31,Tax!BH13)</f>
        <v>#VALUE!</v>
      </c>
      <c r="BI34" s="11" t="e">
        <f aca="false">BI24*MIN(BI31,Tax!BI13)</f>
        <v>#VALUE!</v>
      </c>
      <c r="BJ34" s="11" t="e">
        <f aca="false">BJ24*MIN(BJ31,Tax!BJ13)</f>
        <v>#VALUE!</v>
      </c>
      <c r="BK34" s="11" t="e">
        <f aca="false">BK24*MIN(BK31,Tax!BK13)</f>
        <v>#VALUE!</v>
      </c>
      <c r="BL34" s="11" t="e">
        <f aca="false">BL24*MIN(BL31,Tax!BL13)</f>
        <v>#VALUE!</v>
      </c>
      <c r="BM34" s="11" t="e">
        <f aca="false">BM24*MIN(BM31,Tax!BM13)</f>
        <v>#VALUE!</v>
      </c>
      <c r="BN34" s="11" t="e">
        <f aca="false">BN24*MIN(BN31,Tax!BN13)</f>
        <v>#VALUE!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e">
        <f aca="false">SUM(J35:BN35)</f>
        <v>#VALUE!</v>
      </c>
      <c r="J35" s="11" t="e">
        <f aca="false">J24*MIN(J31-J34,J33+Tax!J13-J34)</f>
        <v>#VALUE!</v>
      </c>
      <c r="K35" s="11" t="e">
        <f aca="false">K24*MIN(K31-K34,K33+Tax!K13-K34)</f>
        <v>#VALUE!</v>
      </c>
      <c r="L35" s="11" t="e">
        <f aca="false">L24*MIN(L31-L34,L33+Tax!L13-L34)</f>
        <v>#VALUE!</v>
      </c>
      <c r="M35" s="11" t="e">
        <f aca="false">M24*MIN(M31-M34,M33+Tax!M13-M34)</f>
        <v>#VALUE!</v>
      </c>
      <c r="N35" s="11" t="e">
        <f aca="false">N24*MIN(N31-N34,N33+Tax!N13-N34)</f>
        <v>#VALUE!</v>
      </c>
      <c r="O35" s="11" t="e">
        <f aca="false">O24*MIN(O31-O34,O33+Tax!O13-O34)</f>
        <v>#VALUE!</v>
      </c>
      <c r="P35" s="11" t="e">
        <f aca="false">P24*MIN(P31-P34,P33+Tax!P13-P34)</f>
        <v>#VALUE!</v>
      </c>
      <c r="Q35" s="11" t="e">
        <f aca="false">Q24*MIN(Q31-Q34,Q33+Tax!Q13-Q34)</f>
        <v>#VALUE!</v>
      </c>
      <c r="R35" s="11" t="e">
        <f aca="false">R24*MIN(R31-R34,R33+Tax!R13-R34)</f>
        <v>#VALUE!</v>
      </c>
      <c r="S35" s="11" t="e">
        <f aca="false">S24*MIN(S31-S34,S33+Tax!S13-S34)</f>
        <v>#VALUE!</v>
      </c>
      <c r="T35" s="11" t="e">
        <f aca="false">T24*MIN(T31-T34,T33+Tax!T13-T34)</f>
        <v>#VALUE!</v>
      </c>
      <c r="U35" s="11" t="e">
        <f aca="false">U24*MIN(U31-U34,U33+Tax!U13-U34)</f>
        <v>#VALUE!</v>
      </c>
      <c r="V35" s="11" t="e">
        <f aca="false">V24*MIN(V31-V34,V33+Tax!V13-V34)</f>
        <v>#VALUE!</v>
      </c>
      <c r="W35" s="11" t="e">
        <f aca="false">W24*MIN(W31-W34,W33+Tax!W13-W34)</f>
        <v>#VALUE!</v>
      </c>
      <c r="X35" s="11" t="e">
        <f aca="false">X24*MIN(X31-X34,X33+Tax!X13-X34)</f>
        <v>#VALUE!</v>
      </c>
      <c r="Y35" s="11" t="e">
        <f aca="false">Y24*MIN(Y31-Y34,Y33+Tax!Y13-Y34)</f>
        <v>#VALUE!</v>
      </c>
      <c r="Z35" s="11" t="e">
        <f aca="false">Z24*MIN(Z31-Z34,Z33+Tax!Z13-Z34)</f>
        <v>#VALUE!</v>
      </c>
      <c r="AA35" s="11" t="e">
        <f aca="false">AA24*MIN(AA31-AA34,AA33+Tax!AA13-AA34)</f>
        <v>#VALUE!</v>
      </c>
      <c r="AB35" s="11" t="e">
        <f aca="false">AB24*MIN(AB31-AB34,AB33+Tax!AB13-AB34)</f>
        <v>#VALUE!</v>
      </c>
      <c r="AC35" s="11" t="e">
        <f aca="false">AC24*MIN(AC31-AC34,AC33+Tax!AC13-AC34)</f>
        <v>#VALUE!</v>
      </c>
      <c r="AD35" s="11" t="e">
        <f aca="false">AD24*MIN(AD31-AD34,AD33+Tax!AD13-AD34)</f>
        <v>#VALUE!</v>
      </c>
      <c r="AE35" s="11" t="e">
        <f aca="false">AE24*MIN(AE31-AE34,AE33+Tax!AE13-AE34)</f>
        <v>#VALUE!</v>
      </c>
      <c r="AF35" s="11" t="e">
        <f aca="false">AF24*MIN(AF31-AF34,AF33+Tax!AF13-AF34)</f>
        <v>#VALUE!</v>
      </c>
      <c r="AG35" s="11" t="e">
        <f aca="false">AG24*MIN(AG31-AG34,AG33+Tax!AG13-AG34)</f>
        <v>#VALUE!</v>
      </c>
      <c r="AH35" s="11" t="e">
        <f aca="false">AH24*MIN(AH31-AH34,AH33+Tax!AH13-AH34)</f>
        <v>#VALUE!</v>
      </c>
      <c r="AI35" s="11" t="e">
        <f aca="false">AI24*MIN(AI31-AI34,AI33+Tax!AI13-AI34)</f>
        <v>#VALUE!</v>
      </c>
      <c r="AJ35" s="11" t="e">
        <f aca="false">AJ24*MIN(AJ31-AJ34,AJ33+Tax!AJ13-AJ34)</f>
        <v>#VALUE!</v>
      </c>
      <c r="AK35" s="11" t="e">
        <f aca="false">AK24*MIN(AK31-AK34,AK33+Tax!AK13-AK34)</f>
        <v>#VALUE!</v>
      </c>
      <c r="AL35" s="11" t="e">
        <f aca="false">AL24*MIN(AL31-AL34,AL33+Tax!AL13-AL34)</f>
        <v>#VALUE!</v>
      </c>
      <c r="AM35" s="11" t="e">
        <f aca="false">AM24*MIN(AM31-AM34,AM33+Tax!AM13-AM34)</f>
        <v>#VALUE!</v>
      </c>
      <c r="AN35" s="11" t="e">
        <f aca="false">AN24*MIN(AN31-AN34,AN33+Tax!AN13-AN34)</f>
        <v>#VALUE!</v>
      </c>
      <c r="AO35" s="11" t="e">
        <f aca="false">AO24*MIN(AO31-AO34,AO33+Tax!AO13-AO34)</f>
        <v>#VALUE!</v>
      </c>
      <c r="AP35" s="11" t="e">
        <f aca="false">AP24*MIN(AP31-AP34,AP33+Tax!AP13-AP34)</f>
        <v>#VALUE!</v>
      </c>
      <c r="AQ35" s="11" t="e">
        <f aca="false">AQ24*MIN(AQ31-AQ34,AQ33+Tax!AQ13-AQ34)</f>
        <v>#VALUE!</v>
      </c>
      <c r="AR35" s="11" t="e">
        <f aca="false">AR24*MIN(AR31-AR34,AR33+Tax!AR13-AR34)</f>
        <v>#VALUE!</v>
      </c>
      <c r="AS35" s="11" t="e">
        <f aca="false">AS24*MIN(AS31-AS34,AS33+Tax!AS13-AS34)</f>
        <v>#VALUE!</v>
      </c>
      <c r="AT35" s="11" t="e">
        <f aca="false">AT24*MIN(AT31-AT34,AT33+Tax!AT13-AT34)</f>
        <v>#VALUE!</v>
      </c>
      <c r="AU35" s="11" t="e">
        <f aca="false">AU24*MIN(AU31-AU34,AU33+Tax!AU13-AU34)</f>
        <v>#VALUE!</v>
      </c>
      <c r="AV35" s="11" t="e">
        <f aca="false">AV24*MIN(AV31-AV34,AV33+Tax!AV13-AV34)</f>
        <v>#VALUE!</v>
      </c>
      <c r="AW35" s="11" t="e">
        <f aca="false">AW24*MIN(AW31-AW34,AW33+Tax!AW13-AW34)</f>
        <v>#VALUE!</v>
      </c>
      <c r="AX35" s="11" t="e">
        <f aca="false">AX24*MIN(AX31-AX34,AX33+Tax!AX13-AX34)</f>
        <v>#VALUE!</v>
      </c>
      <c r="AY35" s="11" t="e">
        <f aca="false">AY24*MIN(AY31-AY34,AY33+Tax!AY13-AY34)</f>
        <v>#VALUE!</v>
      </c>
      <c r="AZ35" s="11" t="e">
        <f aca="false">AZ24*MIN(AZ31-AZ34,AZ33+Tax!AZ13-AZ34)</f>
        <v>#VALUE!</v>
      </c>
      <c r="BA35" s="11" t="e">
        <f aca="false">BA24*MIN(BA31-BA34,BA33+Tax!BA13-BA34)</f>
        <v>#VALUE!</v>
      </c>
      <c r="BB35" s="11" t="e">
        <f aca="false">BB24*MIN(BB31-BB34,BB33+Tax!BB13-BB34)</f>
        <v>#VALUE!</v>
      </c>
      <c r="BC35" s="11" t="e">
        <f aca="false">BC24*MIN(BC31-BC34,BC33+Tax!BC13-BC34)</f>
        <v>#VALUE!</v>
      </c>
      <c r="BD35" s="11" t="e">
        <f aca="false">BD24*MIN(BD31-BD34,BD33+Tax!BD13-BD34)</f>
        <v>#VALUE!</v>
      </c>
      <c r="BE35" s="11" t="e">
        <f aca="false">BE24*MIN(BE31-BE34,BE33+Tax!BE13-BE34)</f>
        <v>#VALUE!</v>
      </c>
      <c r="BF35" s="11" t="e">
        <f aca="false">BF24*MIN(BF31-BF34,BF33+Tax!BF13-BF34)</f>
        <v>#VALUE!</v>
      </c>
      <c r="BG35" s="11" t="e">
        <f aca="false">BG24*MIN(BG31-BG34,BG33+Tax!BG13-BG34)</f>
        <v>#VALUE!</v>
      </c>
      <c r="BH35" s="11" t="e">
        <f aca="false">BH24*MIN(BH31-BH34,BH33+Tax!BH13-BH34)</f>
        <v>#VALUE!</v>
      </c>
      <c r="BI35" s="11" t="e">
        <f aca="false">BI24*MIN(BI31-BI34,BI33+Tax!BI13-BI34)</f>
        <v>#VALUE!</v>
      </c>
      <c r="BJ35" s="11" t="e">
        <f aca="false">BJ24*MIN(BJ31-BJ34,BJ33+Tax!BJ13-BJ34)</f>
        <v>#VALUE!</v>
      </c>
      <c r="BK35" s="11" t="e">
        <f aca="false">BK24*MIN(BK31-BK34,BK33+Tax!BK13-BK34)</f>
        <v>#VALUE!</v>
      </c>
      <c r="BL35" s="11" t="e">
        <f aca="false">BL24*MIN(BL31-BL34,BL33+Tax!BL13-BL34)</f>
        <v>#VALUE!</v>
      </c>
      <c r="BM35" s="11" t="e">
        <f aca="false">BM24*MIN(BM31-BM34,BM33+Tax!BM13-BM34)</f>
        <v>#VALUE!</v>
      </c>
      <c r="BN35" s="11" t="e">
        <f aca="false">BN24*MIN(BN31-BN34,BN33+Tax!BN13-BN34)</f>
        <v>#VALUE!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e">
        <f aca="false">J33+Tax!J13-J34-J35</f>
        <v>#VALUE!</v>
      </c>
      <c r="K36" s="11" t="e">
        <f aca="false">K33+Tax!K13-K34-K35</f>
        <v>#VALUE!</v>
      </c>
      <c r="L36" s="11" t="e">
        <f aca="false">L33+Tax!L13-L34-L35</f>
        <v>#VALUE!</v>
      </c>
      <c r="M36" s="11" t="e">
        <f aca="false">M33+Tax!M13-M34-M35</f>
        <v>#VALUE!</v>
      </c>
      <c r="N36" s="11" t="e">
        <f aca="false">N33+Tax!N13-N34-N35</f>
        <v>#VALUE!</v>
      </c>
      <c r="O36" s="11" t="e">
        <f aca="false">O33+Tax!O13-O34-O35</f>
        <v>#VALUE!</v>
      </c>
      <c r="P36" s="11" t="e">
        <f aca="false">P33+Tax!P13-P34-P35</f>
        <v>#VALUE!</v>
      </c>
      <c r="Q36" s="11" t="e">
        <f aca="false">Q33+Tax!Q13-Q34-Q35</f>
        <v>#VALUE!</v>
      </c>
      <c r="R36" s="11" t="e">
        <f aca="false">R33+Tax!R13-R34-R35</f>
        <v>#VALUE!</v>
      </c>
      <c r="S36" s="11" t="e">
        <f aca="false">S33+Tax!S13-S34-S35</f>
        <v>#VALUE!</v>
      </c>
      <c r="T36" s="11" t="e">
        <f aca="false">T33+Tax!T13-T34-T35</f>
        <v>#VALUE!</v>
      </c>
      <c r="U36" s="11" t="e">
        <f aca="false">U33+Tax!U13-U34-U35</f>
        <v>#VALUE!</v>
      </c>
      <c r="V36" s="11" t="e">
        <f aca="false">V33+Tax!V13-V34-V35</f>
        <v>#VALUE!</v>
      </c>
      <c r="W36" s="11" t="e">
        <f aca="false">W33+Tax!W13-W34-W35</f>
        <v>#VALUE!</v>
      </c>
      <c r="X36" s="11" t="e">
        <f aca="false">X33+Tax!X13-X34-X35</f>
        <v>#VALUE!</v>
      </c>
      <c r="Y36" s="11" t="e">
        <f aca="false">Y33+Tax!Y13-Y34-Y35</f>
        <v>#VALUE!</v>
      </c>
      <c r="Z36" s="11" t="e">
        <f aca="false">Z33+Tax!Z13-Z34-Z35</f>
        <v>#VALUE!</v>
      </c>
      <c r="AA36" s="11" t="e">
        <f aca="false">AA33+Tax!AA13-AA34-AA35</f>
        <v>#VALUE!</v>
      </c>
      <c r="AB36" s="11" t="e">
        <f aca="false">AB33+Tax!AB13-AB34-AB35</f>
        <v>#VALUE!</v>
      </c>
      <c r="AC36" s="11" t="e">
        <f aca="false">AC33+Tax!AC13-AC34-AC35</f>
        <v>#VALUE!</v>
      </c>
      <c r="AD36" s="11" t="e">
        <f aca="false">AD33+Tax!AD13-AD34-AD35</f>
        <v>#VALUE!</v>
      </c>
      <c r="AE36" s="11" t="e">
        <f aca="false">AE33+Tax!AE13-AE34-AE35</f>
        <v>#VALUE!</v>
      </c>
      <c r="AF36" s="11" t="e">
        <f aca="false">AF33+Tax!AF13-AF34-AF35</f>
        <v>#VALUE!</v>
      </c>
      <c r="AG36" s="11" t="e">
        <f aca="false">AG33+Tax!AG13-AG34-AG35</f>
        <v>#VALUE!</v>
      </c>
      <c r="AH36" s="11" t="e">
        <f aca="false">AH33+Tax!AH13-AH34-AH35</f>
        <v>#VALUE!</v>
      </c>
      <c r="AI36" s="11" t="e">
        <f aca="false">AI33+Tax!AI13-AI34-AI35</f>
        <v>#VALUE!</v>
      </c>
      <c r="AJ36" s="11" t="e">
        <f aca="false">AJ33+Tax!AJ13-AJ34-AJ35</f>
        <v>#VALUE!</v>
      </c>
      <c r="AK36" s="11" t="e">
        <f aca="false">AK33+Tax!AK13-AK34-AK35</f>
        <v>#VALUE!</v>
      </c>
      <c r="AL36" s="11" t="e">
        <f aca="false">AL33+Tax!AL13-AL34-AL35</f>
        <v>#VALUE!</v>
      </c>
      <c r="AM36" s="11" t="e">
        <f aca="false">AM33+Tax!AM13-AM34-AM35</f>
        <v>#VALUE!</v>
      </c>
      <c r="AN36" s="11" t="e">
        <f aca="false">AN33+Tax!AN13-AN34-AN35</f>
        <v>#VALUE!</v>
      </c>
      <c r="AO36" s="11" t="e">
        <f aca="false">AO33+Tax!AO13-AO34-AO35</f>
        <v>#VALUE!</v>
      </c>
      <c r="AP36" s="11" t="e">
        <f aca="false">AP33+Tax!AP13-AP34-AP35</f>
        <v>#VALUE!</v>
      </c>
      <c r="AQ36" s="11" t="e">
        <f aca="false">AQ33+Tax!AQ13-AQ34-AQ35</f>
        <v>#VALUE!</v>
      </c>
      <c r="AR36" s="11" t="e">
        <f aca="false">AR33+Tax!AR13-AR34-AR35</f>
        <v>#VALUE!</v>
      </c>
      <c r="AS36" s="11" t="e">
        <f aca="false">AS33+Tax!AS13-AS34-AS35</f>
        <v>#VALUE!</v>
      </c>
      <c r="AT36" s="11" t="e">
        <f aca="false">AT33+Tax!AT13-AT34-AT35</f>
        <v>#VALUE!</v>
      </c>
      <c r="AU36" s="11" t="e">
        <f aca="false">AU33+Tax!AU13-AU34-AU35</f>
        <v>#VALUE!</v>
      </c>
      <c r="AV36" s="11" t="e">
        <f aca="false">AV33+Tax!AV13-AV34-AV35</f>
        <v>#VALUE!</v>
      </c>
      <c r="AW36" s="11" t="e">
        <f aca="false">AW33+Tax!AW13-AW34-AW35</f>
        <v>#VALUE!</v>
      </c>
      <c r="AX36" s="11" t="e">
        <f aca="false">AX33+Tax!AX13-AX34-AX35</f>
        <v>#VALUE!</v>
      </c>
      <c r="AY36" s="11" t="e">
        <f aca="false">AY33+Tax!AY13-AY34-AY35</f>
        <v>#VALUE!</v>
      </c>
      <c r="AZ36" s="11" t="e">
        <f aca="false">AZ33+Tax!AZ13-AZ34-AZ35</f>
        <v>#VALUE!</v>
      </c>
      <c r="BA36" s="11" t="e">
        <f aca="false">BA33+Tax!BA13-BA34-BA35</f>
        <v>#VALUE!</v>
      </c>
      <c r="BB36" s="11" t="e">
        <f aca="false">BB33+Tax!BB13-BB34-BB35</f>
        <v>#VALUE!</v>
      </c>
      <c r="BC36" s="11" t="e">
        <f aca="false">BC33+Tax!BC13-BC34-BC35</f>
        <v>#VALUE!</v>
      </c>
      <c r="BD36" s="11" t="e">
        <f aca="false">BD33+Tax!BD13-BD34-BD35</f>
        <v>#VALUE!</v>
      </c>
      <c r="BE36" s="11" t="e">
        <f aca="false">BE33+Tax!BE13-BE34-BE35</f>
        <v>#VALUE!</v>
      </c>
      <c r="BF36" s="11" t="e">
        <f aca="false">BF33+Tax!BF13-BF34-BF35</f>
        <v>#VALUE!</v>
      </c>
      <c r="BG36" s="11" t="e">
        <f aca="false">BG33+Tax!BG13-BG34-BG35</f>
        <v>#VALUE!</v>
      </c>
      <c r="BH36" s="11" t="e">
        <f aca="false">BH33+Tax!BH13-BH34-BH35</f>
        <v>#VALUE!</v>
      </c>
      <c r="BI36" s="11" t="e">
        <f aca="false">BI33+Tax!BI13-BI34-BI35</f>
        <v>#VALUE!</v>
      </c>
      <c r="BJ36" s="11" t="e">
        <f aca="false">BJ33+Tax!BJ13-BJ34-BJ35</f>
        <v>#VALUE!</v>
      </c>
      <c r="BK36" s="11" t="e">
        <f aca="false">BK33+Tax!BK13-BK34-BK35</f>
        <v>#VALUE!</v>
      </c>
      <c r="BL36" s="11" t="e">
        <f aca="false">BL33+Tax!BL13-BL34-BL35</f>
        <v>#VALUE!</v>
      </c>
      <c r="BM36" s="11" t="e">
        <f aca="false">BM33+Tax!BM13-BM34-BM35</f>
        <v>#VALUE!</v>
      </c>
      <c r="BN36" s="11" t="e">
        <f aca="false">BN33+Tax!BN13-BN34-BN35</f>
        <v>#VALUE!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e">
        <f aca="false">MAX(0,0+Financials!J14)</f>
        <v>#VALUE!</v>
      </c>
      <c r="K37" s="11" t="e">
        <f aca="false">MAX(0,J43+Financials!K14)</f>
        <v>#VALUE!</v>
      </c>
      <c r="L37" s="11" t="e">
        <f aca="false">MAX(0,K43+Financials!L14)</f>
        <v>#VALUE!</v>
      </c>
      <c r="M37" s="11" t="e">
        <f aca="false">MAX(0,L43+Financials!M14)</f>
        <v>#VALUE!</v>
      </c>
      <c r="N37" s="11" t="e">
        <f aca="false">MAX(0,M43+Financials!N14)</f>
        <v>#VALUE!</v>
      </c>
      <c r="O37" s="11" t="e">
        <f aca="false">MAX(0,N43+Financials!O14)</f>
        <v>#VALUE!</v>
      </c>
      <c r="P37" s="11" t="e">
        <f aca="false">MAX(0,O43+Financials!P14)</f>
        <v>#VALUE!</v>
      </c>
      <c r="Q37" s="11" t="e">
        <f aca="false">MAX(0,P43+Financials!Q14)</f>
        <v>#VALUE!</v>
      </c>
      <c r="R37" s="11" t="e">
        <f aca="false">MAX(0,Q43+Financials!R14)</f>
        <v>#VALUE!</v>
      </c>
      <c r="S37" s="11" t="e">
        <f aca="false">MAX(0,R43+Financials!S14)</f>
        <v>#VALUE!</v>
      </c>
      <c r="T37" s="11" t="e">
        <f aca="false">MAX(0,S43+Financials!T14)</f>
        <v>#VALUE!</v>
      </c>
      <c r="U37" s="11" t="e">
        <f aca="false">MAX(0,T43+Financials!U14)</f>
        <v>#VALUE!</v>
      </c>
      <c r="V37" s="11" t="e">
        <f aca="false">MAX(0,U43+Financials!V14)</f>
        <v>#VALUE!</v>
      </c>
      <c r="W37" s="11" t="e">
        <f aca="false">MAX(0,V43+Financials!W14)</f>
        <v>#VALUE!</v>
      </c>
      <c r="X37" s="11" t="e">
        <f aca="false">MAX(0,W43+Financials!X14)</f>
        <v>#VALUE!</v>
      </c>
      <c r="Y37" s="11" t="e">
        <f aca="false">MAX(0,X43+Financials!Y14)</f>
        <v>#VALUE!</v>
      </c>
      <c r="Z37" s="11" t="e">
        <f aca="false">MAX(0,Y43+Financials!Z14)</f>
        <v>#VALUE!</v>
      </c>
      <c r="AA37" s="11" t="e">
        <f aca="false">MAX(0,Z43+Financials!AA14)</f>
        <v>#VALUE!</v>
      </c>
      <c r="AB37" s="11" t="e">
        <f aca="false">MAX(0,AA43+Financials!AB14)</f>
        <v>#VALUE!</v>
      </c>
      <c r="AC37" s="11" t="e">
        <f aca="false">MAX(0,AB43+Financials!AC14)</f>
        <v>#VALUE!</v>
      </c>
      <c r="AD37" s="11" t="e">
        <f aca="false">MAX(0,AC43+Financials!AD14)</f>
        <v>#VALUE!</v>
      </c>
      <c r="AE37" s="11" t="e">
        <f aca="false">MAX(0,AD43+Financials!AE14)</f>
        <v>#VALUE!</v>
      </c>
      <c r="AF37" s="11" t="e">
        <f aca="false">MAX(0,AE43+Financials!AF14)</f>
        <v>#VALUE!</v>
      </c>
      <c r="AG37" s="11" t="e">
        <f aca="false">MAX(0,AF43+Financials!AG14)</f>
        <v>#VALUE!</v>
      </c>
      <c r="AH37" s="11" t="e">
        <f aca="false">MAX(0,AG43+Financials!AH14)</f>
        <v>#VALUE!</v>
      </c>
      <c r="AI37" s="11" t="e">
        <f aca="false">MAX(0,AH43+Financials!AI14)</f>
        <v>#VALUE!</v>
      </c>
      <c r="AJ37" s="11" t="e">
        <f aca="false">MAX(0,AI43+Financials!AJ14)</f>
        <v>#VALUE!</v>
      </c>
      <c r="AK37" s="11" t="e">
        <f aca="false">MAX(0,AJ43+Financials!AK14)</f>
        <v>#VALUE!</v>
      </c>
      <c r="AL37" s="11" t="e">
        <f aca="false">MAX(0,AK43+Financials!AL14)</f>
        <v>#VALUE!</v>
      </c>
      <c r="AM37" s="11" t="e">
        <f aca="false">MAX(0,AL43+Financials!AM14)</f>
        <v>#VALUE!</v>
      </c>
      <c r="AN37" s="11" t="e">
        <f aca="false">MAX(0,AM43+Financials!AN14)</f>
        <v>#VALUE!</v>
      </c>
      <c r="AO37" s="11" t="e">
        <f aca="false">MAX(0,AN43+Financials!AO14)</f>
        <v>#VALUE!</v>
      </c>
      <c r="AP37" s="11" t="e">
        <f aca="false">MAX(0,AO43+Financials!AP14)</f>
        <v>#VALUE!</v>
      </c>
      <c r="AQ37" s="11" t="e">
        <f aca="false">MAX(0,AP43+Financials!AQ14)</f>
        <v>#VALUE!</v>
      </c>
      <c r="AR37" s="11" t="e">
        <f aca="false">MAX(0,AQ43+Financials!AR14)</f>
        <v>#VALUE!</v>
      </c>
      <c r="AS37" s="11" t="e">
        <f aca="false">MAX(0,AR43+Financials!AS14)</f>
        <v>#VALUE!</v>
      </c>
      <c r="AT37" s="11" t="e">
        <f aca="false">MAX(0,AS43+Financials!AT14)</f>
        <v>#VALUE!</v>
      </c>
      <c r="AU37" s="11" t="e">
        <f aca="false">MAX(0,AT43+Financials!AU14)</f>
        <v>#VALUE!</v>
      </c>
      <c r="AV37" s="11" t="e">
        <f aca="false">MAX(0,AU43+Financials!AV14)</f>
        <v>#VALUE!</v>
      </c>
      <c r="AW37" s="11" t="e">
        <f aca="false">MAX(0,AV43+Financials!AW14)</f>
        <v>#VALUE!</v>
      </c>
      <c r="AX37" s="11" t="e">
        <f aca="false">MAX(0,AW43+Financials!AX14)</f>
        <v>#VALUE!</v>
      </c>
      <c r="AY37" s="11" t="e">
        <f aca="false">MAX(0,AX43+Financials!AY14)</f>
        <v>#VALUE!</v>
      </c>
      <c r="AZ37" s="11" t="e">
        <f aca="false">MAX(0,AY43+Financials!AZ14)</f>
        <v>#VALUE!</v>
      </c>
      <c r="BA37" s="11" t="e">
        <f aca="false">MAX(0,AZ43+Financials!BA14)</f>
        <v>#VALUE!</v>
      </c>
      <c r="BB37" s="11" t="e">
        <f aca="false">MAX(0,BA43+Financials!BB14)</f>
        <v>#VALUE!</v>
      </c>
      <c r="BC37" s="11" t="e">
        <f aca="false">MAX(0,BB43+Financials!BC14)</f>
        <v>#VALUE!</v>
      </c>
      <c r="BD37" s="11" t="e">
        <f aca="false">MAX(0,BC43+Financials!BD14)</f>
        <v>#VALUE!</v>
      </c>
      <c r="BE37" s="11" t="e">
        <f aca="false">MAX(0,BD43+Financials!BE14)</f>
        <v>#VALUE!</v>
      </c>
      <c r="BF37" s="11" t="e">
        <f aca="false">MAX(0,BE43+Financials!BF14)</f>
        <v>#VALUE!</v>
      </c>
      <c r="BG37" s="11" t="e">
        <f aca="false">MAX(0,BF43+Financials!BG14)</f>
        <v>#VALUE!</v>
      </c>
      <c r="BH37" s="11" t="e">
        <f aca="false">MAX(0,BG43+Financials!BH14)</f>
        <v>#VALUE!</v>
      </c>
      <c r="BI37" s="11" t="e">
        <f aca="false">MAX(0,BH43+Financials!BI14)</f>
        <v>#VALUE!</v>
      </c>
      <c r="BJ37" s="11" t="e">
        <f aca="false">MAX(0,BI43+Financials!BJ14)</f>
        <v>#VALUE!</v>
      </c>
      <c r="BK37" s="11" t="e">
        <f aca="false">MAX(0,BJ43+Financials!BK14)</f>
        <v>#VALUE!</v>
      </c>
      <c r="BL37" s="11" t="e">
        <f aca="false">MAX(0,BK43+Financials!BL14)</f>
        <v>#VALUE!</v>
      </c>
      <c r="BM37" s="11" t="e">
        <f aca="false">MAX(0,BL43+Financials!BM14)</f>
        <v>#VALUE!</v>
      </c>
      <c r="BN37" s="11" t="e">
        <f aca="false">MAX(0,BM43+Financials!BN14)</f>
        <v>#VALUE!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e">
        <f aca="false">J24*MIN(J31-J34-J35,J37)</f>
        <v>#VALUE!</v>
      </c>
      <c r="K38" s="11" t="e">
        <f aca="false">K24*MIN(K31-K34-K35,K37)</f>
        <v>#VALUE!</v>
      </c>
      <c r="L38" s="11" t="e">
        <f aca="false">L24*MIN(L31-L34-L35,L37)</f>
        <v>#VALUE!</v>
      </c>
      <c r="M38" s="11" t="e">
        <f aca="false">M24*MIN(M31-M34-M35,M37)</f>
        <v>#VALUE!</v>
      </c>
      <c r="N38" s="11" t="e">
        <f aca="false">N24*MIN(N31-N34-N35,N37)</f>
        <v>#VALUE!</v>
      </c>
      <c r="O38" s="11" t="e">
        <f aca="false">O24*MIN(O31-O34-O35,O37)</f>
        <v>#VALUE!</v>
      </c>
      <c r="P38" s="11" t="e">
        <f aca="false">P24*MIN(P31-P34-P35,P37)</f>
        <v>#VALUE!</v>
      </c>
      <c r="Q38" s="11" t="e">
        <f aca="false">Q24*MIN(Q31-Q34-Q35,Q37)</f>
        <v>#VALUE!</v>
      </c>
      <c r="R38" s="11" t="e">
        <f aca="false">R24*MIN(R31-R34-R35,R37)</f>
        <v>#VALUE!</v>
      </c>
      <c r="S38" s="11" t="e">
        <f aca="false">S24*MIN(S31-S34-S35,S37)</f>
        <v>#VALUE!</v>
      </c>
      <c r="T38" s="11" t="e">
        <f aca="false">T24*MIN(T31-T34-T35,T37)</f>
        <v>#VALUE!</v>
      </c>
      <c r="U38" s="11" t="e">
        <f aca="false">U24*MIN(U31-U34-U35,U37)</f>
        <v>#VALUE!</v>
      </c>
      <c r="V38" s="11" t="e">
        <f aca="false">V24*MIN(V31-V34-V35,V37)</f>
        <v>#VALUE!</v>
      </c>
      <c r="W38" s="11" t="e">
        <f aca="false">W24*MIN(W31-W34-W35,W37)</f>
        <v>#VALUE!</v>
      </c>
      <c r="X38" s="11" t="e">
        <f aca="false">X24*MIN(X31-X34-X35,X37)</f>
        <v>#VALUE!</v>
      </c>
      <c r="Y38" s="11" t="e">
        <f aca="false">Y24*MIN(Y31-Y34-Y35,Y37)</f>
        <v>#VALUE!</v>
      </c>
      <c r="Z38" s="11" t="e">
        <f aca="false">Z24*MIN(Z31-Z34-Z35,Z37)</f>
        <v>#VALUE!</v>
      </c>
      <c r="AA38" s="11" t="e">
        <f aca="false">AA24*MIN(AA31-AA34-AA35,AA37)</f>
        <v>#VALUE!</v>
      </c>
      <c r="AB38" s="11" t="e">
        <f aca="false">AB24*MIN(AB31-AB34-AB35,AB37)</f>
        <v>#VALUE!</v>
      </c>
      <c r="AC38" s="11" t="e">
        <f aca="false">AC24*MIN(AC31-AC34-AC35,AC37)</f>
        <v>#VALUE!</v>
      </c>
      <c r="AD38" s="11" t="e">
        <f aca="false">AD24*MIN(AD31-AD34-AD35,AD37)</f>
        <v>#VALUE!</v>
      </c>
      <c r="AE38" s="11" t="e">
        <f aca="false">AE24*MIN(AE31-AE34-AE35,AE37)</f>
        <v>#VALUE!</v>
      </c>
      <c r="AF38" s="11" t="e">
        <f aca="false">AF24*MIN(AF31-AF34-AF35,AF37)</f>
        <v>#VALUE!</v>
      </c>
      <c r="AG38" s="11" t="e">
        <f aca="false">AG24*MIN(AG31-AG34-AG35,AG37)</f>
        <v>#VALUE!</v>
      </c>
      <c r="AH38" s="11" t="e">
        <f aca="false">AH24*MIN(AH31-AH34-AH35,AH37)</f>
        <v>#VALUE!</v>
      </c>
      <c r="AI38" s="11" t="e">
        <f aca="false">AI24*MIN(AI31-AI34-AI35,AI37)</f>
        <v>#VALUE!</v>
      </c>
      <c r="AJ38" s="11" t="e">
        <f aca="false">AJ24*MIN(AJ31-AJ34-AJ35,AJ37)</f>
        <v>#VALUE!</v>
      </c>
      <c r="AK38" s="11" t="e">
        <f aca="false">AK24*MIN(AK31-AK34-AK35,AK37)</f>
        <v>#VALUE!</v>
      </c>
      <c r="AL38" s="11" t="e">
        <f aca="false">AL24*MIN(AL31-AL34-AL35,AL37)</f>
        <v>#VALUE!</v>
      </c>
      <c r="AM38" s="11" t="e">
        <f aca="false">AM24*MIN(AM31-AM34-AM35,AM37)</f>
        <v>#VALUE!</v>
      </c>
      <c r="AN38" s="11" t="e">
        <f aca="false">AN24*MIN(AN31-AN34-AN35,AN37)</f>
        <v>#VALUE!</v>
      </c>
      <c r="AO38" s="11" t="e">
        <f aca="false">AO24*MIN(AO31-AO34-AO35,AO37)</f>
        <v>#VALUE!</v>
      </c>
      <c r="AP38" s="11" t="e">
        <f aca="false">AP24*MIN(AP31-AP34-AP35,AP37)</f>
        <v>#VALUE!</v>
      </c>
      <c r="AQ38" s="11" t="e">
        <f aca="false">AQ24*MIN(AQ31-AQ34-AQ35,AQ37)</f>
        <v>#VALUE!</v>
      </c>
      <c r="AR38" s="11" t="e">
        <f aca="false">AR24*MIN(AR31-AR34-AR35,AR37)</f>
        <v>#VALUE!</v>
      </c>
      <c r="AS38" s="11" t="e">
        <f aca="false">AS24*MIN(AS31-AS34-AS35,AS37)</f>
        <v>#VALUE!</v>
      </c>
      <c r="AT38" s="11" t="e">
        <f aca="false">AT24*MIN(AT31-AT34-AT35,AT37)</f>
        <v>#VALUE!</v>
      </c>
      <c r="AU38" s="11" t="e">
        <f aca="false">AU24*MIN(AU31-AU34-AU35,AU37)</f>
        <v>#VALUE!</v>
      </c>
      <c r="AV38" s="11" t="e">
        <f aca="false">AV24*MIN(AV31-AV34-AV35,AV37)</f>
        <v>#VALUE!</v>
      </c>
      <c r="AW38" s="11" t="e">
        <f aca="false">AW24*MIN(AW31-AW34-AW35,AW37)</f>
        <v>#VALUE!</v>
      </c>
      <c r="AX38" s="11" t="e">
        <f aca="false">AX24*MIN(AX31-AX34-AX35,AX37)</f>
        <v>#VALUE!</v>
      </c>
      <c r="AY38" s="11" t="e">
        <f aca="false">AY24*MIN(AY31-AY34-AY35,AY37)</f>
        <v>#VALUE!</v>
      </c>
      <c r="AZ38" s="11" t="e">
        <f aca="false">AZ24*MIN(AZ31-AZ34-AZ35,AZ37)</f>
        <v>#VALUE!</v>
      </c>
      <c r="BA38" s="11" t="e">
        <f aca="false">BA24*MIN(BA31-BA34-BA35,BA37)</f>
        <v>#VALUE!</v>
      </c>
      <c r="BB38" s="11" t="e">
        <f aca="false">BB24*MIN(BB31-BB34-BB35,BB37)</f>
        <v>#VALUE!</v>
      </c>
      <c r="BC38" s="11" t="e">
        <f aca="false">BC24*MIN(BC31-BC34-BC35,BC37)</f>
        <v>#VALUE!</v>
      </c>
      <c r="BD38" s="11" t="e">
        <f aca="false">BD24*MIN(BD31-BD34-BD35,BD37)</f>
        <v>#VALUE!</v>
      </c>
      <c r="BE38" s="11" t="e">
        <f aca="false">BE24*MIN(BE31-BE34-BE35,BE37)</f>
        <v>#VALUE!</v>
      </c>
      <c r="BF38" s="11" t="e">
        <f aca="false">BF24*MIN(BF31-BF34-BF35,BF37)</f>
        <v>#VALUE!</v>
      </c>
      <c r="BG38" s="11" t="e">
        <f aca="false">BG24*MIN(BG31-BG34-BG35,BG37)</f>
        <v>#VALUE!</v>
      </c>
      <c r="BH38" s="11" t="e">
        <f aca="false">BH24*MIN(BH31-BH34-BH35,BH37)</f>
        <v>#VALUE!</v>
      </c>
      <c r="BI38" s="11" t="e">
        <f aca="false">BI24*MIN(BI31-BI34-BI35,BI37)</f>
        <v>#VALUE!</v>
      </c>
      <c r="BJ38" s="11" t="e">
        <f aca="false">BJ24*MIN(BJ31-BJ34-BJ35,BJ37)</f>
        <v>#VALUE!</v>
      </c>
      <c r="BK38" s="11" t="e">
        <f aca="false">BK24*MIN(BK31-BK34-BK35,BK37)</f>
        <v>#VALUE!</v>
      </c>
      <c r="BL38" s="11" t="e">
        <f aca="false">BL24*MIN(BL31-BL34-BL35,BL37)</f>
        <v>#VALUE!</v>
      </c>
      <c r="BM38" s="11" t="e">
        <f aca="false">BM24*MIN(BM31-BM34-BM35,BM37)</f>
        <v>#VALUE!</v>
      </c>
      <c r="BN38" s="11" t="e">
        <f aca="false">BN24*MIN(BN31-BN34-BN35,BN37)</f>
        <v>#VALUE!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e">
        <f aca="false">J24*(J31-J34-J35-J38)</f>
        <v>#VALUE!</v>
      </c>
      <c r="K39" s="11" t="e">
        <f aca="false">K24*(K31-K34-K35-K38)</f>
        <v>#VALUE!</v>
      </c>
      <c r="L39" s="11" t="e">
        <f aca="false">L24*(L31-L34-L35-L38)</f>
        <v>#VALUE!</v>
      </c>
      <c r="M39" s="11" t="e">
        <f aca="false">M24*(M31-M34-M35-M38)</f>
        <v>#VALUE!</v>
      </c>
      <c r="N39" s="11" t="e">
        <f aca="false">N24*(N31-N34-N35-N38)</f>
        <v>#VALUE!</v>
      </c>
      <c r="O39" s="11" t="e">
        <f aca="false">O24*(O31-O34-O35-O38)</f>
        <v>#VALUE!</v>
      </c>
      <c r="P39" s="11" t="e">
        <f aca="false">P24*(P31-P34-P35-P38)</f>
        <v>#VALUE!</v>
      </c>
      <c r="Q39" s="11" t="e">
        <f aca="false">Q24*(Q31-Q34-Q35-Q38)</f>
        <v>#VALUE!</v>
      </c>
      <c r="R39" s="11" t="e">
        <f aca="false">R24*(R31-R34-R35-R38)</f>
        <v>#VALUE!</v>
      </c>
      <c r="S39" s="11" t="e">
        <f aca="false">S24*(S31-S34-S35-S38)</f>
        <v>#VALUE!</v>
      </c>
      <c r="T39" s="11" t="e">
        <f aca="false">T24*(T31-T34-T35-T38)</f>
        <v>#VALUE!</v>
      </c>
      <c r="U39" s="11" t="e">
        <f aca="false">U24*(U31-U34-U35-U38)</f>
        <v>#VALUE!</v>
      </c>
      <c r="V39" s="11" t="e">
        <f aca="false">V24*(V31-V34-V35-V38)</f>
        <v>#VALUE!</v>
      </c>
      <c r="W39" s="11" t="e">
        <f aca="false">W24*(W31-W34-W35-W38)</f>
        <v>#VALUE!</v>
      </c>
      <c r="X39" s="11" t="e">
        <f aca="false">X24*(X31-X34-X35-X38)</f>
        <v>#VALUE!</v>
      </c>
      <c r="Y39" s="11" t="e">
        <f aca="false">Y24*(Y31-Y34-Y35-Y38)</f>
        <v>#VALUE!</v>
      </c>
      <c r="Z39" s="11" t="e">
        <f aca="false">Z24*(Z31-Z34-Z35-Z38)</f>
        <v>#VALUE!</v>
      </c>
      <c r="AA39" s="11" t="e">
        <f aca="false">AA24*(AA31-AA34-AA35-AA38)</f>
        <v>#VALUE!</v>
      </c>
      <c r="AB39" s="11" t="e">
        <f aca="false">AB24*(AB31-AB34-AB35-AB38)</f>
        <v>#VALUE!</v>
      </c>
      <c r="AC39" s="11" t="e">
        <f aca="false">AC24*(AC31-AC34-AC35-AC38)</f>
        <v>#VALUE!</v>
      </c>
      <c r="AD39" s="11" t="e">
        <f aca="false">AD24*(AD31-AD34-AD35-AD38)</f>
        <v>#VALUE!</v>
      </c>
      <c r="AE39" s="11" t="e">
        <f aca="false">AE24*(AE31-AE34-AE35-AE38)</f>
        <v>#VALUE!</v>
      </c>
      <c r="AF39" s="11" t="e">
        <f aca="false">AF24*(AF31-AF34-AF35-AF38)</f>
        <v>#VALUE!</v>
      </c>
      <c r="AG39" s="11" t="e">
        <f aca="false">AG24*(AG31-AG34-AG35-AG38)</f>
        <v>#VALUE!</v>
      </c>
      <c r="AH39" s="11" t="e">
        <f aca="false">AH24*(AH31-AH34-AH35-AH38)</f>
        <v>#VALUE!</v>
      </c>
      <c r="AI39" s="11" t="e">
        <f aca="false">AI24*(AI31-AI34-AI35-AI38)</f>
        <v>#VALUE!</v>
      </c>
      <c r="AJ39" s="11" t="e">
        <f aca="false">AJ24*(AJ31-AJ34-AJ35-AJ38)</f>
        <v>#VALUE!</v>
      </c>
      <c r="AK39" s="11" t="e">
        <f aca="false">AK24*(AK31-AK34-AK35-AK38)</f>
        <v>#VALUE!</v>
      </c>
      <c r="AL39" s="11" t="e">
        <f aca="false">AL24*(AL31-AL34-AL35-AL38)</f>
        <v>#VALUE!</v>
      </c>
      <c r="AM39" s="11" t="e">
        <f aca="false">AM24*(AM31-AM34-AM35-AM38)</f>
        <v>#VALUE!</v>
      </c>
      <c r="AN39" s="11" t="e">
        <f aca="false">AN24*(AN31-AN34-AN35-AN38)</f>
        <v>#VALUE!</v>
      </c>
      <c r="AO39" s="11" t="e">
        <f aca="false">AO24*(AO31-AO34-AO35-AO38)</f>
        <v>#VALUE!</v>
      </c>
      <c r="AP39" s="11" t="e">
        <f aca="false">AP24*(AP31-AP34-AP35-AP38)</f>
        <v>#VALUE!</v>
      </c>
      <c r="AQ39" s="11" t="e">
        <f aca="false">AQ24*(AQ31-AQ34-AQ35-AQ38)</f>
        <v>#VALUE!</v>
      </c>
      <c r="AR39" s="11" t="e">
        <f aca="false">AR24*(AR31-AR34-AR35-AR38)</f>
        <v>#VALUE!</v>
      </c>
      <c r="AS39" s="11" t="e">
        <f aca="false">AS24*(AS31-AS34-AS35-AS38)</f>
        <v>#VALUE!</v>
      </c>
      <c r="AT39" s="11" t="e">
        <f aca="false">AT24*(AT31-AT34-AT35-AT38)</f>
        <v>#VALUE!</v>
      </c>
      <c r="AU39" s="11" t="e">
        <f aca="false">AU24*(AU31-AU34-AU35-AU38)</f>
        <v>#VALUE!</v>
      </c>
      <c r="AV39" s="11" t="e">
        <f aca="false">AV24*(AV31-AV34-AV35-AV38)</f>
        <v>#VALUE!</v>
      </c>
      <c r="AW39" s="11" t="e">
        <f aca="false">AW24*(AW31-AW34-AW35-AW38)</f>
        <v>#VALUE!</v>
      </c>
      <c r="AX39" s="11" t="e">
        <f aca="false">AX24*(AX31-AX34-AX35-AX38)</f>
        <v>#VALUE!</v>
      </c>
      <c r="AY39" s="11" t="e">
        <f aca="false">AY24*(AY31-AY34-AY35-AY38)</f>
        <v>#VALUE!</v>
      </c>
      <c r="AZ39" s="11" t="e">
        <f aca="false">AZ24*(AZ31-AZ34-AZ35-AZ38)</f>
        <v>#VALUE!</v>
      </c>
      <c r="BA39" s="11" t="e">
        <f aca="false">BA24*(BA31-BA34-BA35-BA38)</f>
        <v>#VALUE!</v>
      </c>
      <c r="BB39" s="11" t="e">
        <f aca="false">BB24*(BB31-BB34-BB35-BB38)</f>
        <v>#VALUE!</v>
      </c>
      <c r="BC39" s="11" t="e">
        <f aca="false">BC24*(BC31-BC34-BC35-BC38)</f>
        <v>#VALUE!</v>
      </c>
      <c r="BD39" s="11" t="e">
        <f aca="false">BD24*(BD31-BD34-BD35-BD38)</f>
        <v>#VALUE!</v>
      </c>
      <c r="BE39" s="11" t="e">
        <f aca="false">BE24*(BE31-BE34-BE35-BE38)</f>
        <v>#VALUE!</v>
      </c>
      <c r="BF39" s="11" t="e">
        <f aca="false">BF24*(BF31-BF34-BF35-BF38)</f>
        <v>#VALUE!</v>
      </c>
      <c r="BG39" s="11" t="e">
        <f aca="false">BG24*(BG31-BG34-BG35-BG38)</f>
        <v>#VALUE!</v>
      </c>
      <c r="BH39" s="11" t="e">
        <f aca="false">BH24*(BH31-BH34-BH35-BH38)</f>
        <v>#VALUE!</v>
      </c>
      <c r="BI39" s="11" t="e">
        <f aca="false">BI24*(BI31-BI34-BI35-BI38)</f>
        <v>#VALUE!</v>
      </c>
      <c r="BJ39" s="11" t="e">
        <f aca="false">BJ24*(BJ31-BJ34-BJ35-BJ38)</f>
        <v>#VALUE!</v>
      </c>
      <c r="BK39" s="11" t="e">
        <f aca="false">BK24*(BK31-BK34-BK35-BK38)</f>
        <v>#VALUE!</v>
      </c>
      <c r="BL39" s="11" t="e">
        <f aca="false">BL24*(BL31-BL34-BL35-BL38)</f>
        <v>#VALUE!</v>
      </c>
      <c r="BM39" s="11" t="e">
        <f aca="false">BM24*(BM31-BM34-BM35-BM38)</f>
        <v>#VALUE!</v>
      </c>
      <c r="BN39" s="11" t="e">
        <f aca="false">BN24*(BN31-BN34-BN35-BN38)</f>
        <v>#VALUE!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e">
        <f aca="false">SUM(J40:BN40)</f>
        <v>#VALUE!</v>
      </c>
      <c r="J40" s="11" t="e">
        <f aca="false">Time!J32*(J39+J30+Reserves!J9-Reserves!J10+Reserves!J11-Reserves!J12)</f>
        <v>#VALUE!</v>
      </c>
      <c r="K40" s="11" t="e">
        <f aca="false">Time!K32*(K39+K30+Reserves!K9-Reserves!K10+Reserves!K11-Reserves!K12)</f>
        <v>#VALUE!</v>
      </c>
      <c r="L40" s="11" t="e">
        <f aca="false">Time!L32*(L39+L30+Reserves!L9-Reserves!L10+Reserves!L11-Reserves!L12)</f>
        <v>#VALUE!</v>
      </c>
      <c r="M40" s="11" t="e">
        <f aca="false">Time!M32*(M39+M30+Reserves!M9-Reserves!M10+Reserves!M11-Reserves!M12)</f>
        <v>#VALUE!</v>
      </c>
      <c r="N40" s="11" t="e">
        <f aca="false">Time!N32*(N39+N30+Reserves!N9-Reserves!N10+Reserves!N11-Reserves!N12)</f>
        <v>#VALUE!</v>
      </c>
      <c r="O40" s="11" t="e">
        <f aca="false">Time!O32*(O39+O30+Reserves!O9-Reserves!O10+Reserves!O11-Reserves!O12)</f>
        <v>#VALUE!</v>
      </c>
      <c r="P40" s="11" t="e">
        <f aca="false">Time!P32*(P39+P30+Reserves!P9-Reserves!P10+Reserves!P11-Reserves!P12)</f>
        <v>#VALUE!</v>
      </c>
      <c r="Q40" s="11" t="e">
        <f aca="false">Time!Q32*(Q39+Q30+Reserves!Q9-Reserves!Q10+Reserves!Q11-Reserves!Q12)</f>
        <v>#VALUE!</v>
      </c>
      <c r="R40" s="11" t="e">
        <f aca="false">Time!R32*(R39+R30+Reserves!R9-Reserves!R10+Reserves!R11-Reserves!R12)</f>
        <v>#VALUE!</v>
      </c>
      <c r="S40" s="11" t="e">
        <f aca="false">Time!S32*(S39+S30+Reserves!S9-Reserves!S10+Reserves!S11-Reserves!S12)</f>
        <v>#VALUE!</v>
      </c>
      <c r="T40" s="11" t="e">
        <f aca="false">Time!T32*(T39+T30+Reserves!T9-Reserves!T10+Reserves!T11-Reserves!T12)</f>
        <v>#VALUE!</v>
      </c>
      <c r="U40" s="11" t="e">
        <f aca="false">Time!U32*(U39+U30+Reserves!U9-Reserves!U10+Reserves!U11-Reserves!U12)</f>
        <v>#VALUE!</v>
      </c>
      <c r="V40" s="11" t="e">
        <f aca="false">Time!V32*(V39+V30+Reserves!V9-Reserves!V10+Reserves!V11-Reserves!V12)</f>
        <v>#VALUE!</v>
      </c>
      <c r="W40" s="11" t="e">
        <f aca="false">Time!W32*(W39+W30+Reserves!W9-Reserves!W10+Reserves!W11-Reserves!W12)</f>
        <v>#VALUE!</v>
      </c>
      <c r="X40" s="11" t="e">
        <f aca="false">Time!X32*(X39+X30+Reserves!X9-Reserves!X10+Reserves!X11-Reserves!X12)</f>
        <v>#VALUE!</v>
      </c>
      <c r="Y40" s="11" t="e">
        <f aca="false">Time!Y32*(Y39+Y30+Reserves!Y9-Reserves!Y10+Reserves!Y11-Reserves!Y12)</f>
        <v>#VALUE!</v>
      </c>
      <c r="Z40" s="11" t="e">
        <f aca="false">Time!Z32*(Z39+Z30+Reserves!Z9-Reserves!Z10+Reserves!Z11-Reserves!Z12)</f>
        <v>#VALUE!</v>
      </c>
      <c r="AA40" s="11" t="e">
        <f aca="false">Time!AA32*(AA39+AA30+Reserves!AA9-Reserves!AA10+Reserves!AA11-Reserves!AA12)</f>
        <v>#VALUE!</v>
      </c>
      <c r="AB40" s="11" t="e">
        <f aca="false">Time!AB32*(AB39+AB30+Reserves!AB9-Reserves!AB10+Reserves!AB11-Reserves!AB12)</f>
        <v>#VALUE!</v>
      </c>
      <c r="AC40" s="11" t="e">
        <f aca="false">Time!AC32*(AC39+AC30+Reserves!AC9-Reserves!AC10+Reserves!AC11-Reserves!AC12)</f>
        <v>#VALUE!</v>
      </c>
      <c r="AD40" s="11" t="e">
        <f aca="false">Time!AD32*(AD39+AD30+Reserves!AD9-Reserves!AD10+Reserves!AD11-Reserves!AD12)</f>
        <v>#VALUE!</v>
      </c>
      <c r="AE40" s="11" t="e">
        <f aca="false">Time!AE32*(AE39+AE30+Reserves!AE9-Reserves!AE10+Reserves!AE11-Reserves!AE12)</f>
        <v>#VALUE!</v>
      </c>
      <c r="AF40" s="11" t="e">
        <f aca="false">Time!AF32*(AF39+AF30+Reserves!AF9-Reserves!AF10+Reserves!AF11-Reserves!AF12)</f>
        <v>#VALUE!</v>
      </c>
      <c r="AG40" s="11" t="e">
        <f aca="false">Time!AG32*(AG39+AG30+Reserves!AG9-Reserves!AG10+Reserves!AG11-Reserves!AG12)</f>
        <v>#VALUE!</v>
      </c>
      <c r="AH40" s="11" t="e">
        <f aca="false">Time!AH32*(AH39+AH30+Reserves!AH9-Reserves!AH10+Reserves!AH11-Reserves!AH12)</f>
        <v>#VALUE!</v>
      </c>
      <c r="AI40" s="11" t="e">
        <f aca="false">Time!AI32*(AI39+AI30+Reserves!AI9-Reserves!AI10+Reserves!AI11-Reserves!AI12)</f>
        <v>#VALUE!</v>
      </c>
      <c r="AJ40" s="11" t="e">
        <f aca="false">Time!AJ32*(AJ39+AJ30+Reserves!AJ9-Reserves!AJ10+Reserves!AJ11-Reserves!AJ12)</f>
        <v>#VALUE!</v>
      </c>
      <c r="AK40" s="11" t="e">
        <f aca="false">Time!AK32*(AK39+AK30+Reserves!AK9-Reserves!AK10+Reserves!AK11-Reserves!AK12)</f>
        <v>#VALUE!</v>
      </c>
      <c r="AL40" s="11" t="e">
        <f aca="false">Time!AL32*(AL39+AL30+Reserves!AL9-Reserves!AL10+Reserves!AL11-Reserves!AL12)</f>
        <v>#VALUE!</v>
      </c>
      <c r="AM40" s="11" t="e">
        <f aca="false">Time!AM32*(AM39+AM30+Reserves!AM9-Reserves!AM10+Reserves!AM11-Reserves!AM12)</f>
        <v>#VALUE!</v>
      </c>
      <c r="AN40" s="11" t="e">
        <f aca="false">Time!AN32*(AN39+AN30+Reserves!AN9-Reserves!AN10+Reserves!AN11-Reserves!AN12)</f>
        <v>#VALUE!</v>
      </c>
      <c r="AO40" s="11" t="e">
        <f aca="false">Time!AO32*(AO39+AO30+Reserves!AO9-Reserves!AO10+Reserves!AO11-Reserves!AO12)</f>
        <v>#VALUE!</v>
      </c>
      <c r="AP40" s="11" t="e">
        <f aca="false">Time!AP32*(AP39+AP30+Reserves!AP9-Reserves!AP10+Reserves!AP11-Reserves!AP12)</f>
        <v>#VALUE!</v>
      </c>
      <c r="AQ40" s="11" t="e">
        <f aca="false">Time!AQ32*(AQ39+AQ30+Reserves!AQ9-Reserves!AQ10+Reserves!AQ11-Reserves!AQ12)</f>
        <v>#VALUE!</v>
      </c>
      <c r="AR40" s="11" t="e">
        <f aca="false">Time!AR32*(AR39+AR30+Reserves!AR9-Reserves!AR10+Reserves!AR11-Reserves!AR12)</f>
        <v>#VALUE!</v>
      </c>
      <c r="AS40" s="11" t="e">
        <f aca="false">Time!AS32*(AS39+AS30+Reserves!AS9-Reserves!AS10+Reserves!AS11-Reserves!AS12)</f>
        <v>#VALUE!</v>
      </c>
      <c r="AT40" s="11" t="e">
        <f aca="false">Time!AT32*(AT39+AT30+Reserves!AT9-Reserves!AT10+Reserves!AT11-Reserves!AT12)</f>
        <v>#VALUE!</v>
      </c>
      <c r="AU40" s="11" t="e">
        <f aca="false">Time!AU32*(AU39+AU30+Reserves!AU9-Reserves!AU10+Reserves!AU11-Reserves!AU12)</f>
        <v>#VALUE!</v>
      </c>
      <c r="AV40" s="11" t="e">
        <f aca="false">Time!AV32*(AV39+AV30+Reserves!AV9-Reserves!AV10+Reserves!AV11-Reserves!AV12)</f>
        <v>#VALUE!</v>
      </c>
      <c r="AW40" s="11" t="e">
        <f aca="false">Time!AW32*(AW39+AW30+Reserves!AW9-Reserves!AW10+Reserves!AW11-Reserves!AW12)</f>
        <v>#VALUE!</v>
      </c>
      <c r="AX40" s="11" t="e">
        <f aca="false">Time!AX32*(AX39+AX30+Reserves!AX9-Reserves!AX10+Reserves!AX11-Reserves!AX12)</f>
        <v>#VALUE!</v>
      </c>
      <c r="AY40" s="11" t="e">
        <f aca="false">Time!AY32*(AY39+AY30+Reserves!AY9-Reserves!AY10+Reserves!AY11-Reserves!AY12)</f>
        <v>#VALUE!</v>
      </c>
      <c r="AZ40" s="11" t="e">
        <f aca="false">Time!AZ32*(AZ39+AZ30+Reserves!AZ9-Reserves!AZ10+Reserves!AZ11-Reserves!AZ12)</f>
        <v>#VALUE!</v>
      </c>
      <c r="BA40" s="11" t="e">
        <f aca="false">Time!BA32*(BA39+BA30+Reserves!BA9-Reserves!BA10+Reserves!BA11-Reserves!BA12)</f>
        <v>#VALUE!</v>
      </c>
      <c r="BB40" s="11" t="e">
        <f aca="false">Time!BB32*(BB39+BB30+Reserves!BB9-Reserves!BB10+Reserves!BB11-Reserves!BB12)</f>
        <v>#VALUE!</v>
      </c>
      <c r="BC40" s="11" t="e">
        <f aca="false">Time!BC32*(BC39+BC30+Reserves!BC9-Reserves!BC10+Reserves!BC11-Reserves!BC12)</f>
        <v>#VALUE!</v>
      </c>
      <c r="BD40" s="11" t="e">
        <f aca="false">Time!BD32*(BD39+BD30+Reserves!BD9-Reserves!BD10+Reserves!BD11-Reserves!BD12)</f>
        <v>#VALUE!</v>
      </c>
      <c r="BE40" s="11" t="e">
        <f aca="false">Time!BE32*(BE39+BE30+Reserves!BE9-Reserves!BE10+Reserves!BE11-Reserves!BE12)</f>
        <v>#VALUE!</v>
      </c>
      <c r="BF40" s="11" t="e">
        <f aca="false">Time!BF32*(BF39+BF30+Reserves!BF9-Reserves!BF10+Reserves!BF11-Reserves!BF12)</f>
        <v>#VALUE!</v>
      </c>
      <c r="BG40" s="11" t="e">
        <f aca="false">Time!BG32*(BG39+BG30+Reserves!BG9-Reserves!BG10+Reserves!BG11-Reserves!BG12)</f>
        <v>#VALUE!</v>
      </c>
      <c r="BH40" s="11" t="e">
        <f aca="false">Time!BH32*(BH39+BH30+Reserves!BH9-Reserves!BH10+Reserves!BH11-Reserves!BH12)</f>
        <v>#VALUE!</v>
      </c>
      <c r="BI40" s="11" t="e">
        <f aca="false">Time!BI32*(BI39+BI30+Reserves!BI9-Reserves!BI10+Reserves!BI11-Reserves!BI12)</f>
        <v>#VALUE!</v>
      </c>
      <c r="BJ40" s="11" t="e">
        <f aca="false">Time!BJ32*(BJ39+BJ30+Reserves!BJ9-Reserves!BJ10+Reserves!BJ11-Reserves!BJ12)</f>
        <v>#VALUE!</v>
      </c>
      <c r="BK40" s="11" t="e">
        <f aca="false">Time!BK32*(BK39+BK30+Reserves!BK9-Reserves!BK10+Reserves!BK11-Reserves!BK12)</f>
        <v>#VALUE!</v>
      </c>
      <c r="BL40" s="11" t="e">
        <f aca="false">Time!BL32*(BL39+BL30+Reserves!BL9-Reserves!BL10+Reserves!BL11-Reserves!BL12)</f>
        <v>#VALUE!</v>
      </c>
      <c r="BM40" s="11" t="e">
        <f aca="false">Time!BM32*(BM39+BM30+Reserves!BM9-Reserves!BM10+Reserves!BM11-Reserves!BM12)</f>
        <v>#VALUE!</v>
      </c>
      <c r="BN40" s="11" t="e">
        <f aca="false">Time!BN32*(BN39+BN30+Reserves!BN9-Reserves!BN10+Reserves!BN11-Reserves!BN12)</f>
        <v>#VALUE!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e">
        <f aca="false">SUM(J41:BN41)</f>
        <v>#VALUE!</v>
      </c>
      <c r="J41" s="11" t="e">
        <f aca="false">J38+J40</f>
        <v>#VALUE!</v>
      </c>
      <c r="K41" s="11" t="e">
        <f aca="false">K38+K40</f>
        <v>#VALUE!</v>
      </c>
      <c r="L41" s="11" t="e">
        <f aca="false">L38+L40</f>
        <v>#VALUE!</v>
      </c>
      <c r="M41" s="11" t="e">
        <f aca="false">M38+M40</f>
        <v>#VALUE!</v>
      </c>
      <c r="N41" s="11" t="e">
        <f aca="false">N38+N40</f>
        <v>#VALUE!</v>
      </c>
      <c r="O41" s="11" t="e">
        <f aca="false">O38+O40</f>
        <v>#VALUE!</v>
      </c>
      <c r="P41" s="11" t="e">
        <f aca="false">P38+P40</f>
        <v>#VALUE!</v>
      </c>
      <c r="Q41" s="11" t="e">
        <f aca="false">Q38+Q40</f>
        <v>#VALUE!</v>
      </c>
      <c r="R41" s="11" t="e">
        <f aca="false">R38+R40</f>
        <v>#VALUE!</v>
      </c>
      <c r="S41" s="11" t="e">
        <f aca="false">S38+S40</f>
        <v>#VALUE!</v>
      </c>
      <c r="T41" s="11" t="e">
        <f aca="false">T38+T40</f>
        <v>#VALUE!</v>
      </c>
      <c r="U41" s="11" t="e">
        <f aca="false">U38+U40</f>
        <v>#VALUE!</v>
      </c>
      <c r="V41" s="11" t="e">
        <f aca="false">V38+V40</f>
        <v>#VALUE!</v>
      </c>
      <c r="W41" s="11" t="e">
        <f aca="false">W38+W40</f>
        <v>#VALUE!</v>
      </c>
      <c r="X41" s="11" t="e">
        <f aca="false">X38+X40</f>
        <v>#VALUE!</v>
      </c>
      <c r="Y41" s="11" t="e">
        <f aca="false">Y38+Y40</f>
        <v>#VALUE!</v>
      </c>
      <c r="Z41" s="11" t="e">
        <f aca="false">Z38+Z40</f>
        <v>#VALUE!</v>
      </c>
      <c r="AA41" s="11" t="e">
        <f aca="false">AA38+AA40</f>
        <v>#VALUE!</v>
      </c>
      <c r="AB41" s="11" t="e">
        <f aca="false">AB38+AB40</f>
        <v>#VALUE!</v>
      </c>
      <c r="AC41" s="11" t="e">
        <f aca="false">AC38+AC40</f>
        <v>#VALUE!</v>
      </c>
      <c r="AD41" s="11" t="e">
        <f aca="false">AD38+AD40</f>
        <v>#VALUE!</v>
      </c>
      <c r="AE41" s="11" t="e">
        <f aca="false">AE38+AE40</f>
        <v>#VALUE!</v>
      </c>
      <c r="AF41" s="11" t="e">
        <f aca="false">AF38+AF40</f>
        <v>#VALUE!</v>
      </c>
      <c r="AG41" s="11" t="e">
        <f aca="false">AG38+AG40</f>
        <v>#VALUE!</v>
      </c>
      <c r="AH41" s="11" t="e">
        <f aca="false">AH38+AH40</f>
        <v>#VALUE!</v>
      </c>
      <c r="AI41" s="11" t="e">
        <f aca="false">AI38+AI40</f>
        <v>#VALUE!</v>
      </c>
      <c r="AJ41" s="11" t="e">
        <f aca="false">AJ38+AJ40</f>
        <v>#VALUE!</v>
      </c>
      <c r="AK41" s="11" t="e">
        <f aca="false">AK38+AK40</f>
        <v>#VALUE!</v>
      </c>
      <c r="AL41" s="11" t="e">
        <f aca="false">AL38+AL40</f>
        <v>#VALUE!</v>
      </c>
      <c r="AM41" s="11" t="e">
        <f aca="false">AM38+AM40</f>
        <v>#VALUE!</v>
      </c>
      <c r="AN41" s="11" t="e">
        <f aca="false">AN38+AN40</f>
        <v>#VALUE!</v>
      </c>
      <c r="AO41" s="11" t="e">
        <f aca="false">AO38+AO40</f>
        <v>#VALUE!</v>
      </c>
      <c r="AP41" s="11" t="e">
        <f aca="false">AP38+AP40</f>
        <v>#VALUE!</v>
      </c>
      <c r="AQ41" s="11" t="e">
        <f aca="false">AQ38+AQ40</f>
        <v>#VALUE!</v>
      </c>
      <c r="AR41" s="11" t="e">
        <f aca="false">AR38+AR40</f>
        <v>#VALUE!</v>
      </c>
      <c r="AS41" s="11" t="e">
        <f aca="false">AS38+AS40</f>
        <v>#VALUE!</v>
      </c>
      <c r="AT41" s="11" t="e">
        <f aca="false">AT38+AT40</f>
        <v>#VALUE!</v>
      </c>
      <c r="AU41" s="11" t="e">
        <f aca="false">AU38+AU40</f>
        <v>#VALUE!</v>
      </c>
      <c r="AV41" s="11" t="e">
        <f aca="false">AV38+AV40</f>
        <v>#VALUE!</v>
      </c>
      <c r="AW41" s="11" t="e">
        <f aca="false">AW38+AW40</f>
        <v>#VALUE!</v>
      </c>
      <c r="AX41" s="11" t="e">
        <f aca="false">AX38+AX40</f>
        <v>#VALUE!</v>
      </c>
      <c r="AY41" s="11" t="e">
        <f aca="false">AY38+AY40</f>
        <v>#VALUE!</v>
      </c>
      <c r="AZ41" s="11" t="e">
        <f aca="false">AZ38+AZ40</f>
        <v>#VALUE!</v>
      </c>
      <c r="BA41" s="11" t="e">
        <f aca="false">BA38+BA40</f>
        <v>#VALUE!</v>
      </c>
      <c r="BB41" s="11" t="e">
        <f aca="false">BB38+BB40</f>
        <v>#VALUE!</v>
      </c>
      <c r="BC41" s="11" t="e">
        <f aca="false">BC38+BC40</f>
        <v>#VALUE!</v>
      </c>
      <c r="BD41" s="11" t="e">
        <f aca="false">BD38+BD40</f>
        <v>#VALUE!</v>
      </c>
      <c r="BE41" s="11" t="e">
        <f aca="false">BE38+BE40</f>
        <v>#VALUE!</v>
      </c>
      <c r="BF41" s="11" t="e">
        <f aca="false">BF38+BF40</f>
        <v>#VALUE!</v>
      </c>
      <c r="BG41" s="11" t="e">
        <f aca="false">BG38+BG40</f>
        <v>#VALUE!</v>
      </c>
      <c r="BH41" s="11" t="e">
        <f aca="false">BH38+BH40</f>
        <v>#VALUE!</v>
      </c>
      <c r="BI41" s="11" t="e">
        <f aca="false">BI38+BI40</f>
        <v>#VALUE!</v>
      </c>
      <c r="BJ41" s="11" t="e">
        <f aca="false">BJ38+BJ40</f>
        <v>#VALUE!</v>
      </c>
      <c r="BK41" s="11" t="e">
        <f aca="false">BK38+BK40</f>
        <v>#VALUE!</v>
      </c>
      <c r="BL41" s="11" t="e">
        <f aca="false">BL38+BL40</f>
        <v>#VALUE!</v>
      </c>
      <c r="BM41" s="11" t="e">
        <f aca="false">BM38+BM40</f>
        <v>#VALUE!</v>
      </c>
      <c r="BN41" s="11" t="e">
        <f aca="false">BN38+BN40</f>
        <v>#VALUE!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e">
        <f aca="false">(1-Time!J32)*J39</f>
        <v>#VALUE!</v>
      </c>
      <c r="K42" s="11" t="e">
        <f aca="false">(1-Time!K32)*K39</f>
        <v>#VALUE!</v>
      </c>
      <c r="L42" s="11" t="e">
        <f aca="false">(1-Time!L32)*L39</f>
        <v>#VALUE!</v>
      </c>
      <c r="M42" s="11" t="e">
        <f aca="false">(1-Time!M32)*M39</f>
        <v>#VALUE!</v>
      </c>
      <c r="N42" s="11" t="e">
        <f aca="false">(1-Time!N32)*N39</f>
        <v>#VALUE!</v>
      </c>
      <c r="O42" s="11" t="e">
        <f aca="false">(1-Time!O32)*O39</f>
        <v>#VALUE!</v>
      </c>
      <c r="P42" s="11" t="e">
        <f aca="false">(1-Time!P32)*P39</f>
        <v>#VALUE!</v>
      </c>
      <c r="Q42" s="11" t="e">
        <f aca="false">(1-Time!Q32)*Q39</f>
        <v>#VALUE!</v>
      </c>
      <c r="R42" s="11" t="e">
        <f aca="false">(1-Time!R32)*R39</f>
        <v>#VALUE!</v>
      </c>
      <c r="S42" s="11" t="e">
        <f aca="false">(1-Time!S32)*S39</f>
        <v>#VALUE!</v>
      </c>
      <c r="T42" s="11" t="e">
        <f aca="false">(1-Time!T32)*T39</f>
        <v>#VALUE!</v>
      </c>
      <c r="U42" s="11" t="e">
        <f aca="false">(1-Time!U32)*U39</f>
        <v>#VALUE!</v>
      </c>
      <c r="V42" s="11" t="e">
        <f aca="false">(1-Time!V32)*V39</f>
        <v>#VALUE!</v>
      </c>
      <c r="W42" s="11" t="e">
        <f aca="false">(1-Time!W32)*W39</f>
        <v>#VALUE!</v>
      </c>
      <c r="X42" s="11" t="e">
        <f aca="false">(1-Time!X32)*X39</f>
        <v>#VALUE!</v>
      </c>
      <c r="Y42" s="11" t="e">
        <f aca="false">(1-Time!Y32)*Y39</f>
        <v>#VALUE!</v>
      </c>
      <c r="Z42" s="11" t="e">
        <f aca="false">(1-Time!Z32)*Z39</f>
        <v>#VALUE!</v>
      </c>
      <c r="AA42" s="11" t="e">
        <f aca="false">(1-Time!AA32)*AA39</f>
        <v>#VALUE!</v>
      </c>
      <c r="AB42" s="11" t="e">
        <f aca="false">(1-Time!AB32)*AB39</f>
        <v>#VALUE!</v>
      </c>
      <c r="AC42" s="11" t="e">
        <f aca="false">(1-Time!AC32)*AC39</f>
        <v>#VALUE!</v>
      </c>
      <c r="AD42" s="11" t="e">
        <f aca="false">(1-Time!AD32)*AD39</f>
        <v>#VALUE!</v>
      </c>
      <c r="AE42" s="11" t="e">
        <f aca="false">(1-Time!AE32)*AE39</f>
        <v>#VALUE!</v>
      </c>
      <c r="AF42" s="11" t="e">
        <f aca="false">(1-Time!AF32)*AF39</f>
        <v>#VALUE!</v>
      </c>
      <c r="AG42" s="11" t="e">
        <f aca="false">(1-Time!AG32)*AG39</f>
        <v>#VALUE!</v>
      </c>
      <c r="AH42" s="11" t="e">
        <f aca="false">(1-Time!AH32)*AH39</f>
        <v>#VALUE!</v>
      </c>
      <c r="AI42" s="11" t="e">
        <f aca="false">(1-Time!AI32)*AI39</f>
        <v>#VALUE!</v>
      </c>
      <c r="AJ42" s="11" t="e">
        <f aca="false">(1-Time!AJ32)*AJ39</f>
        <v>#VALUE!</v>
      </c>
      <c r="AK42" s="11" t="e">
        <f aca="false">(1-Time!AK32)*AK39</f>
        <v>#VALUE!</v>
      </c>
      <c r="AL42" s="11" t="e">
        <f aca="false">(1-Time!AL32)*AL39</f>
        <v>#VALUE!</v>
      </c>
      <c r="AM42" s="11" t="e">
        <f aca="false">(1-Time!AM32)*AM39</f>
        <v>#VALUE!</v>
      </c>
      <c r="AN42" s="11" t="e">
        <f aca="false">(1-Time!AN32)*AN39</f>
        <v>#VALUE!</v>
      </c>
      <c r="AO42" s="11" t="e">
        <f aca="false">(1-Time!AO32)*AO39</f>
        <v>#VALUE!</v>
      </c>
      <c r="AP42" s="11" t="e">
        <f aca="false">(1-Time!AP32)*AP39</f>
        <v>#VALUE!</v>
      </c>
      <c r="AQ42" s="11" t="e">
        <f aca="false">(1-Time!AQ32)*AQ39</f>
        <v>#VALUE!</v>
      </c>
      <c r="AR42" s="11" t="e">
        <f aca="false">(1-Time!AR32)*AR39</f>
        <v>#VALUE!</v>
      </c>
      <c r="AS42" s="11" t="e">
        <f aca="false">(1-Time!AS32)*AS39</f>
        <v>#VALUE!</v>
      </c>
      <c r="AT42" s="11" t="e">
        <f aca="false">(1-Time!AT32)*AT39</f>
        <v>#VALUE!</v>
      </c>
      <c r="AU42" s="11" t="e">
        <f aca="false">(1-Time!AU32)*AU39</f>
        <v>#VALUE!</v>
      </c>
      <c r="AV42" s="11" t="e">
        <f aca="false">(1-Time!AV32)*AV39</f>
        <v>#VALUE!</v>
      </c>
      <c r="AW42" s="11" t="e">
        <f aca="false">(1-Time!AW32)*AW39</f>
        <v>#VALUE!</v>
      </c>
      <c r="AX42" s="11" t="e">
        <f aca="false">(1-Time!AX32)*AX39</f>
        <v>#VALUE!</v>
      </c>
      <c r="AY42" s="11" t="e">
        <f aca="false">(1-Time!AY32)*AY39</f>
        <v>#VALUE!</v>
      </c>
      <c r="AZ42" s="11" t="e">
        <f aca="false">(1-Time!AZ32)*AZ39</f>
        <v>#VALUE!</v>
      </c>
      <c r="BA42" s="11" t="e">
        <f aca="false">(1-Time!BA32)*BA39</f>
        <v>#VALUE!</v>
      </c>
      <c r="BB42" s="11" t="e">
        <f aca="false">(1-Time!BB32)*BB39</f>
        <v>#VALUE!</v>
      </c>
      <c r="BC42" s="11" t="e">
        <f aca="false">(1-Time!BC32)*BC39</f>
        <v>#VALUE!</v>
      </c>
      <c r="BD42" s="11" t="e">
        <f aca="false">(1-Time!BD32)*BD39</f>
        <v>#VALUE!</v>
      </c>
      <c r="BE42" s="11" t="e">
        <f aca="false">(1-Time!BE32)*BE39</f>
        <v>#VALUE!</v>
      </c>
      <c r="BF42" s="11" t="e">
        <f aca="false">(1-Time!BF32)*BF39</f>
        <v>#VALUE!</v>
      </c>
      <c r="BG42" s="11" t="e">
        <f aca="false">(1-Time!BG32)*BG39</f>
        <v>#VALUE!</v>
      </c>
      <c r="BH42" s="11" t="e">
        <f aca="false">(1-Time!BH32)*BH39</f>
        <v>#VALUE!</v>
      </c>
      <c r="BI42" s="11" t="e">
        <f aca="false">(1-Time!BI32)*BI39</f>
        <v>#VALUE!</v>
      </c>
      <c r="BJ42" s="11" t="e">
        <f aca="false">(1-Time!BJ32)*BJ39</f>
        <v>#VALUE!</v>
      </c>
      <c r="BK42" s="11" t="e">
        <f aca="false">(1-Time!BK32)*BK39</f>
        <v>#VALUE!</v>
      </c>
      <c r="BL42" s="11" t="e">
        <f aca="false">(1-Time!BL32)*BL39</f>
        <v>#VALUE!</v>
      </c>
      <c r="BM42" s="11" t="e">
        <f aca="false">(1-Time!BM32)*BM39</f>
        <v>#VALUE!</v>
      </c>
      <c r="BN42" s="11" t="e">
        <f aca="false">(1-Time!BN32)*BN39</f>
        <v>#VALUE!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e">
        <f aca="false">IF(Time!O17&lt;Time!$F$11,0,N43+Financials!O14-O41)</f>
        <v>#VALUE!</v>
      </c>
      <c r="P43" s="11" t="e">
        <f aca="false">IF(Time!P17&lt;Time!$F$11,0,O43+Financials!P14-P41)</f>
        <v>#VALUE!</v>
      </c>
      <c r="Q43" s="11" t="e">
        <f aca="false">IF(Time!Q17&lt;Time!$F$11,0,P43+Financials!Q14-Q41)</f>
        <v>#VALUE!</v>
      </c>
      <c r="R43" s="11" t="e">
        <f aca="false">IF(Time!R17&lt;Time!$F$11,0,Q43+Financials!R14-R41)</f>
        <v>#VALUE!</v>
      </c>
      <c r="S43" s="11" t="e">
        <f aca="false">IF(Time!S17&lt;Time!$F$11,0,R43+Financials!S14-S41)</f>
        <v>#VALUE!</v>
      </c>
      <c r="T43" s="11" t="e">
        <f aca="false">IF(Time!T17&lt;Time!$F$11,0,S43+Financials!T14-T41)</f>
        <v>#VALUE!</v>
      </c>
      <c r="U43" s="11" t="e">
        <f aca="false">IF(Time!U17&lt;Time!$F$11,0,T43+Financials!U14-U41)</f>
        <v>#VALUE!</v>
      </c>
      <c r="V43" s="11" t="e">
        <f aca="false">IF(Time!V17&lt;Time!$F$11,0,U43+Financials!V14-V41)</f>
        <v>#VALUE!</v>
      </c>
      <c r="W43" s="11" t="e">
        <f aca="false">IF(Time!W17&lt;Time!$F$11,0,V43+Financials!W14-W41)</f>
        <v>#VALUE!</v>
      </c>
      <c r="X43" s="11" t="e">
        <f aca="false">IF(Time!X17&lt;Time!$F$11,0,W43+Financials!X14-X41)</f>
        <v>#VALUE!</v>
      </c>
      <c r="Y43" s="11" t="e">
        <f aca="false">IF(Time!Y17&lt;Time!$F$11,0,X43+Financials!Y14-Y41)</f>
        <v>#VALUE!</v>
      </c>
      <c r="Z43" s="11" t="e">
        <f aca="false">IF(Time!Z17&lt;Time!$F$11,0,Y43+Financials!Z14-Z41)</f>
        <v>#VALUE!</v>
      </c>
      <c r="AA43" s="11" t="e">
        <f aca="false">IF(Time!AA17&lt;Time!$F$11,0,Z43+Financials!AA14-AA41)</f>
        <v>#VALUE!</v>
      </c>
      <c r="AB43" s="11" t="e">
        <f aca="false">IF(Time!AB17&lt;Time!$F$11,0,AA43+Financials!AB14-AB41)</f>
        <v>#VALUE!</v>
      </c>
      <c r="AC43" s="11" t="e">
        <f aca="false">IF(Time!AC17&lt;Time!$F$11,0,AB43+Financials!AC14-AC41)</f>
        <v>#VALUE!</v>
      </c>
      <c r="AD43" s="11" t="e">
        <f aca="false">IF(Time!AD17&lt;Time!$F$11,0,AC43+Financials!AD14-AD41)</f>
        <v>#VALUE!</v>
      </c>
      <c r="AE43" s="11" t="e">
        <f aca="false">IF(Time!AE17&lt;Time!$F$11,0,AD43+Financials!AE14-AE41)</f>
        <v>#VALUE!</v>
      </c>
      <c r="AF43" s="11" t="e">
        <f aca="false">IF(Time!AF17&lt;Time!$F$11,0,AE43+Financials!AF14-AF41)</f>
        <v>#VALUE!</v>
      </c>
      <c r="AG43" s="11" t="e">
        <f aca="false">IF(Time!AG17&lt;Time!$F$11,0,AF43+Financials!AG14-AG41)</f>
        <v>#VALUE!</v>
      </c>
      <c r="AH43" s="11" t="e">
        <f aca="false">IF(Time!AH17&lt;Time!$F$11,0,AG43+Financials!AH14-AH41)</f>
        <v>#VALUE!</v>
      </c>
      <c r="AI43" s="11" t="e">
        <f aca="false">IF(Time!AI17&lt;Time!$F$11,0,AH43+Financials!AI14-AI41)</f>
        <v>#VALUE!</v>
      </c>
      <c r="AJ43" s="11" t="e">
        <f aca="false">IF(Time!AJ17&lt;Time!$F$11,0,AI43+Financials!AJ14-AJ41)</f>
        <v>#VALUE!</v>
      </c>
      <c r="AK43" s="11" t="e">
        <f aca="false">IF(Time!AK17&lt;Time!$F$11,0,AJ43+Financials!AK14-AK41)</f>
        <v>#VALUE!</v>
      </c>
      <c r="AL43" s="11" t="e">
        <f aca="false">IF(Time!AL17&lt;Time!$F$11,0,AK43+Financials!AL14-AL41)</f>
        <v>#VALUE!</v>
      </c>
      <c r="AM43" s="11" t="e">
        <f aca="false">IF(Time!AM17&lt;Time!$F$11,0,AL43+Financials!AM14-AM41)</f>
        <v>#VALUE!</v>
      </c>
      <c r="AN43" s="11" t="e">
        <f aca="false">IF(Time!AN17&lt;Time!$F$11,0,AM43+Financials!AN14-AN41)</f>
        <v>#VALUE!</v>
      </c>
      <c r="AO43" s="11" t="e">
        <f aca="false">IF(Time!AO17&lt;Time!$F$11,0,AN43+Financials!AO14-AO41)</f>
        <v>#VALUE!</v>
      </c>
      <c r="AP43" s="11" t="e">
        <f aca="false">IF(Time!AP17&lt;Time!$F$11,0,AO43+Financials!AP14-AP41)</f>
        <v>#VALUE!</v>
      </c>
      <c r="AQ43" s="11" t="e">
        <f aca="false">IF(Time!AQ17&lt;Time!$F$11,0,AP43+Financials!AQ14-AQ41)</f>
        <v>#VALUE!</v>
      </c>
      <c r="AR43" s="11" t="e">
        <f aca="false">IF(Time!AR17&lt;Time!$F$11,0,AQ43+Financials!AR14-AR41)</f>
        <v>#VALUE!</v>
      </c>
      <c r="AS43" s="11" t="e">
        <f aca="false">IF(Time!AS17&lt;Time!$F$11,0,AR43+Financials!AS14-AS41)</f>
        <v>#VALUE!</v>
      </c>
      <c r="AT43" s="11" t="e">
        <f aca="false">IF(Time!AT17&lt;Time!$F$11,0,AS43+Financials!AT14-AT41)</f>
        <v>#VALUE!</v>
      </c>
      <c r="AU43" s="11" t="e">
        <f aca="false">IF(Time!AU17&lt;Time!$F$11,0,AT43+Financials!AU14-AU41)</f>
        <v>#VALUE!</v>
      </c>
      <c r="AV43" s="11" t="e">
        <f aca="false">IF(Time!AV17&lt;Time!$F$11,0,AU43+Financials!AV14-AV41)</f>
        <v>#VALUE!</v>
      </c>
      <c r="AW43" s="11" t="e">
        <f aca="false">IF(Time!AW17&lt;Time!$F$11,0,AV43+Financials!AW14-AW41)</f>
        <v>#VALUE!</v>
      </c>
      <c r="AX43" s="11" t="e">
        <f aca="false">IF(Time!AX17&lt;Time!$F$11,0,AW43+Financials!AX14-AX41)</f>
        <v>#VALUE!</v>
      </c>
      <c r="AY43" s="11" t="e">
        <f aca="false">IF(Time!AY17&lt;Time!$F$11,0,AX43+Financials!AY14-AY41)</f>
        <v>#VALUE!</v>
      </c>
      <c r="AZ43" s="11" t="e">
        <f aca="false">IF(Time!AZ17&lt;Time!$F$11,0,AY43+Financials!AZ14-AZ41)</f>
        <v>#VALUE!</v>
      </c>
      <c r="BA43" s="11" t="e">
        <f aca="false">IF(Time!BA17&lt;Time!$F$11,0,AZ43+Financials!BA14-BA41)</f>
        <v>#VALUE!</v>
      </c>
      <c r="BB43" s="11" t="e">
        <f aca="false">IF(Time!BB17&lt;Time!$F$11,0,BA43+Financials!BB14-BB41)</f>
        <v>#VALUE!</v>
      </c>
      <c r="BC43" s="11" t="e">
        <f aca="false">IF(Time!BC17&lt;Time!$F$11,0,BB43+Financials!BC14-BC41)</f>
        <v>#VALUE!</v>
      </c>
      <c r="BD43" s="11" t="e">
        <f aca="false">IF(Time!BD17&lt;Time!$F$11,0,BC43+Financials!BD14-BD41)</f>
        <v>#VALUE!</v>
      </c>
      <c r="BE43" s="11" t="e">
        <f aca="false">IF(Time!BE17&lt;Time!$F$11,0,BD43+Financials!BE14-BE41)</f>
        <v>#VALUE!</v>
      </c>
      <c r="BF43" s="11" t="e">
        <f aca="false">IF(Time!BF17&lt;Time!$F$11,0,BE43+Financials!BF14-BF41)</f>
        <v>#VALUE!</v>
      </c>
      <c r="BG43" s="11" t="e">
        <f aca="false">IF(Time!BG17&lt;Time!$F$11,0,BF43+Financials!BG14-BG41)</f>
        <v>#VALUE!</v>
      </c>
      <c r="BH43" s="11" t="e">
        <f aca="false">IF(Time!BH17&lt;Time!$F$11,0,BG43+Financials!BH14-BH41)</f>
        <v>#VALUE!</v>
      </c>
      <c r="BI43" s="11" t="e">
        <f aca="false">IF(Time!BI17&lt;Time!$F$11,0,BH43+Financials!BI14-BI41)</f>
        <v>#VALUE!</v>
      </c>
      <c r="BJ43" s="11" t="e">
        <f aca="false">IF(Time!BJ17&lt;Time!$F$11,0,BI43+Financials!BJ14-BJ41)</f>
        <v>#VALUE!</v>
      </c>
      <c r="BK43" s="11" t="e">
        <f aca="false">IF(Time!BK17&lt;Time!$F$11,0,BJ43+Financials!BK14-BK41)</f>
        <v>#VALUE!</v>
      </c>
      <c r="BL43" s="11" t="e">
        <f aca="false">IF(Time!BL17&lt;Time!$F$11,0,BK43+Financials!BL14-BL41)</f>
        <v>#VALUE!</v>
      </c>
      <c r="BM43" s="11" t="e">
        <f aca="false">IF(Time!BM17&lt;Time!$F$11,0,BL43+Financials!BM14-BM41)</f>
        <v>#VALUE!</v>
      </c>
      <c r="BN43" s="11" t="e">
        <f aca="false">IF(Time!BN17&lt;Time!$F$11,0,BM43+Financials!BN14-BN41)</f>
        <v>#VALUE!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e">
        <f aca="false">SUM(J44:BN44)</f>
        <v>#VALUE!</v>
      </c>
      <c r="J44" s="11" t="e">
        <f aca="false">J34+J35+J41</f>
        <v>#VALUE!</v>
      </c>
      <c r="K44" s="11" t="e">
        <f aca="false">K34+K35+K41</f>
        <v>#VALUE!</v>
      </c>
      <c r="L44" s="11" t="e">
        <f aca="false">L34+L35+L41</f>
        <v>#VALUE!</v>
      </c>
      <c r="M44" s="11" t="e">
        <f aca="false">M34+M35+M41</f>
        <v>#VALUE!</v>
      </c>
      <c r="N44" s="11" t="e">
        <f aca="false">N34+N35+N41</f>
        <v>#VALUE!</v>
      </c>
      <c r="O44" s="11" t="e">
        <f aca="false">O34+O35+O41</f>
        <v>#VALUE!</v>
      </c>
      <c r="P44" s="11" t="e">
        <f aca="false">P34+P35+P41</f>
        <v>#VALUE!</v>
      </c>
      <c r="Q44" s="11" t="e">
        <f aca="false">Q34+Q35+Q41</f>
        <v>#VALUE!</v>
      </c>
      <c r="R44" s="11" t="e">
        <f aca="false">R34+R35+R41</f>
        <v>#VALUE!</v>
      </c>
      <c r="S44" s="11" t="e">
        <f aca="false">S34+S35+S41</f>
        <v>#VALUE!</v>
      </c>
      <c r="T44" s="11" t="e">
        <f aca="false">T34+T35+T41</f>
        <v>#VALUE!</v>
      </c>
      <c r="U44" s="11" t="e">
        <f aca="false">U34+U35+U41</f>
        <v>#VALUE!</v>
      </c>
      <c r="V44" s="11" t="e">
        <f aca="false">V34+V35+V41</f>
        <v>#VALUE!</v>
      </c>
      <c r="W44" s="11" t="e">
        <f aca="false">W34+W35+W41</f>
        <v>#VALUE!</v>
      </c>
      <c r="X44" s="11" t="e">
        <f aca="false">X34+X35+X41</f>
        <v>#VALUE!</v>
      </c>
      <c r="Y44" s="11" t="e">
        <f aca="false">Y34+Y35+Y41</f>
        <v>#VALUE!</v>
      </c>
      <c r="Z44" s="11" t="e">
        <f aca="false">Z34+Z35+Z41</f>
        <v>#VALUE!</v>
      </c>
      <c r="AA44" s="11" t="e">
        <f aca="false">AA34+AA35+AA41</f>
        <v>#VALUE!</v>
      </c>
      <c r="AB44" s="11" t="e">
        <f aca="false">AB34+AB35+AB41</f>
        <v>#VALUE!</v>
      </c>
      <c r="AC44" s="11" t="e">
        <f aca="false">AC34+AC35+AC41</f>
        <v>#VALUE!</v>
      </c>
      <c r="AD44" s="11" t="e">
        <f aca="false">AD34+AD35+AD41</f>
        <v>#VALUE!</v>
      </c>
      <c r="AE44" s="11" t="e">
        <f aca="false">AE34+AE35+AE41</f>
        <v>#VALUE!</v>
      </c>
      <c r="AF44" s="11" t="e">
        <f aca="false">AF34+AF35+AF41</f>
        <v>#VALUE!</v>
      </c>
      <c r="AG44" s="11" t="e">
        <f aca="false">AG34+AG35+AG41</f>
        <v>#VALUE!</v>
      </c>
      <c r="AH44" s="11" t="e">
        <f aca="false">AH34+AH35+AH41</f>
        <v>#VALUE!</v>
      </c>
      <c r="AI44" s="11" t="e">
        <f aca="false">AI34+AI35+AI41</f>
        <v>#VALUE!</v>
      </c>
      <c r="AJ44" s="11" t="e">
        <f aca="false">AJ34+AJ35+AJ41</f>
        <v>#VALUE!</v>
      </c>
      <c r="AK44" s="11" t="e">
        <f aca="false">AK34+AK35+AK41</f>
        <v>#VALUE!</v>
      </c>
      <c r="AL44" s="11" t="e">
        <f aca="false">AL34+AL35+AL41</f>
        <v>#VALUE!</v>
      </c>
      <c r="AM44" s="11" t="e">
        <f aca="false">AM34+AM35+AM41</f>
        <v>#VALUE!</v>
      </c>
      <c r="AN44" s="11" t="e">
        <f aca="false">AN34+AN35+AN41</f>
        <v>#VALUE!</v>
      </c>
      <c r="AO44" s="11" t="e">
        <f aca="false">AO34+AO35+AO41</f>
        <v>#VALUE!</v>
      </c>
      <c r="AP44" s="11" t="e">
        <f aca="false">AP34+AP35+AP41</f>
        <v>#VALUE!</v>
      </c>
      <c r="AQ44" s="11" t="e">
        <f aca="false">AQ34+AQ35+AQ41</f>
        <v>#VALUE!</v>
      </c>
      <c r="AR44" s="11" t="e">
        <f aca="false">AR34+AR35+AR41</f>
        <v>#VALUE!</v>
      </c>
      <c r="AS44" s="11" t="e">
        <f aca="false">AS34+AS35+AS41</f>
        <v>#VALUE!</v>
      </c>
      <c r="AT44" s="11" t="e">
        <f aca="false">AT34+AT35+AT41</f>
        <v>#VALUE!</v>
      </c>
      <c r="AU44" s="11" t="e">
        <f aca="false">AU34+AU35+AU41</f>
        <v>#VALUE!</v>
      </c>
      <c r="AV44" s="11" t="e">
        <f aca="false">AV34+AV35+AV41</f>
        <v>#VALUE!</v>
      </c>
      <c r="AW44" s="11" t="e">
        <f aca="false">AW34+AW35+AW41</f>
        <v>#VALUE!</v>
      </c>
      <c r="AX44" s="11" t="e">
        <f aca="false">AX34+AX35+AX41</f>
        <v>#VALUE!</v>
      </c>
      <c r="AY44" s="11" t="e">
        <f aca="false">AY34+AY35+AY41</f>
        <v>#VALUE!</v>
      </c>
      <c r="AZ44" s="11" t="e">
        <f aca="false">AZ34+AZ35+AZ41</f>
        <v>#VALUE!</v>
      </c>
      <c r="BA44" s="11" t="e">
        <f aca="false">BA34+BA35+BA41</f>
        <v>#VALUE!</v>
      </c>
      <c r="BB44" s="11" t="e">
        <f aca="false">BB34+BB35+BB41</f>
        <v>#VALUE!</v>
      </c>
      <c r="BC44" s="11" t="e">
        <f aca="false">BC34+BC35+BC41</f>
        <v>#VALUE!</v>
      </c>
      <c r="BD44" s="11" t="e">
        <f aca="false">BD34+BD35+BD41</f>
        <v>#VALUE!</v>
      </c>
      <c r="BE44" s="11" t="e">
        <f aca="false">BE34+BE35+BE41</f>
        <v>#VALUE!</v>
      </c>
      <c r="BF44" s="11" t="e">
        <f aca="false">BF34+BF35+BF41</f>
        <v>#VALUE!</v>
      </c>
      <c r="BG44" s="11" t="e">
        <f aca="false">BG34+BG35+BG41</f>
        <v>#VALUE!</v>
      </c>
      <c r="BH44" s="11" t="e">
        <f aca="false">BH34+BH35+BH41</f>
        <v>#VALUE!</v>
      </c>
      <c r="BI44" s="11" t="e">
        <f aca="false">BI34+BI35+BI41</f>
        <v>#VALUE!</v>
      </c>
      <c r="BJ44" s="11" t="e">
        <f aca="false">BJ34+BJ35+BJ41</f>
        <v>#VALUE!</v>
      </c>
      <c r="BK44" s="11" t="e">
        <f aca="false">BK34+BK35+BK41</f>
        <v>#VALUE!</v>
      </c>
      <c r="BL44" s="11" t="e">
        <f aca="false">BL34+BL35+BL41</f>
        <v>#VALUE!</v>
      </c>
      <c r="BM44" s="11" t="e">
        <f aca="false">BM34+BM35+BM41</f>
        <v>#VALUE!</v>
      </c>
      <c r="BN44" s="11" t="e">
        <f aca="false">BN34+BN35+BN41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e">
        <f aca="false">SUM(J9:BN9)</f>
        <v>#VALUE!</v>
      </c>
      <c r="J9" s="11" t="e">
        <f aca="false">Debt!J119+Debt!J117+Debt!J111-Debt!J110+Tax!J13</f>
        <v>#VALUE!</v>
      </c>
      <c r="K9" s="11" t="e">
        <f aca="false">Debt!K119+Debt!K117+Debt!K111-Debt!K110+Tax!K13</f>
        <v>#VALUE!</v>
      </c>
      <c r="L9" s="11" t="e">
        <f aca="false">Debt!L119+Debt!L117+Debt!L111-Debt!L110+Tax!L13</f>
        <v>#VALUE!</v>
      </c>
      <c r="M9" s="11" t="e">
        <f aca="false">Debt!M119+Debt!M117+Debt!M111-Debt!M110+Tax!M13</f>
        <v>#VALUE!</v>
      </c>
      <c r="N9" s="11" t="e">
        <f aca="false">Debt!N119+Debt!N117+Debt!N111-Debt!N110+Tax!N13</f>
        <v>#VALUE!</v>
      </c>
      <c r="O9" s="11" t="e">
        <f aca="false">Debt!O119+Debt!O117+Debt!O111-Debt!O110+Tax!O13</f>
        <v>#VALUE!</v>
      </c>
      <c r="P9" s="11" t="e">
        <f aca="false">Debt!P119+Debt!P117+Debt!P111-Debt!P110+Tax!P13</f>
        <v>#VALUE!</v>
      </c>
      <c r="Q9" s="11" t="e">
        <f aca="false">Debt!Q119+Debt!Q117+Debt!Q111-Debt!Q110+Tax!Q13</f>
        <v>#VALUE!</v>
      </c>
      <c r="R9" s="11" t="e">
        <f aca="false">Debt!R119+Debt!R117+Debt!R111-Debt!R110+Tax!R13</f>
        <v>#VALUE!</v>
      </c>
      <c r="S9" s="11" t="e">
        <f aca="false">Debt!S119+Debt!S117+Debt!S111-Debt!S110+Tax!S13</f>
        <v>#VALUE!</v>
      </c>
      <c r="T9" s="11" t="e">
        <f aca="false">Debt!T119+Debt!T117+Debt!T111-Debt!T110+Tax!T13</f>
        <v>#VALUE!</v>
      </c>
      <c r="U9" s="11" t="e">
        <f aca="false">Debt!U119+Debt!U117+Debt!U111-Debt!U110+Tax!U13</f>
        <v>#VALUE!</v>
      </c>
      <c r="V9" s="11" t="e">
        <f aca="false">Debt!V119+Debt!V117+Debt!V111-Debt!V110+Tax!V13</f>
        <v>#VALUE!</v>
      </c>
      <c r="W9" s="11" t="e">
        <f aca="false">Debt!W119+Debt!W117+Debt!W111-Debt!W110+Tax!W13</f>
        <v>#VALUE!</v>
      </c>
      <c r="X9" s="11" t="e">
        <f aca="false">Debt!X119+Debt!X117+Debt!X111-Debt!X110+Tax!X13</f>
        <v>#VALUE!</v>
      </c>
      <c r="Y9" s="11" t="e">
        <f aca="false">Debt!Y119+Debt!Y117+Debt!Y111-Debt!Y110+Tax!Y13</f>
        <v>#VALUE!</v>
      </c>
      <c r="Z9" s="11" t="e">
        <f aca="false">Debt!Z119+Debt!Z117+Debt!Z111-Debt!Z110+Tax!Z13</f>
        <v>#VALUE!</v>
      </c>
      <c r="AA9" s="11" t="e">
        <f aca="false">Debt!AA119+Debt!AA117+Debt!AA111-Debt!AA110+Tax!AA13</f>
        <v>#VALUE!</v>
      </c>
      <c r="AB9" s="11" t="e">
        <f aca="false">Debt!AB119+Debt!AB117+Debt!AB111-Debt!AB110+Tax!AB13</f>
        <v>#VALUE!</v>
      </c>
      <c r="AC9" s="11" t="e">
        <f aca="false">Debt!AC119+Debt!AC117+Debt!AC111-Debt!AC110+Tax!AC13</f>
        <v>#VALUE!</v>
      </c>
      <c r="AD9" s="11" t="e">
        <f aca="false">Debt!AD119+Debt!AD117+Debt!AD111-Debt!AD110+Tax!AD13</f>
        <v>#VALUE!</v>
      </c>
      <c r="AE9" s="11" t="e">
        <f aca="false">Debt!AE119+Debt!AE117+Debt!AE111-Debt!AE110+Tax!AE13</f>
        <v>#VALUE!</v>
      </c>
      <c r="AF9" s="11" t="e">
        <f aca="false">Debt!AF119+Debt!AF117+Debt!AF111-Debt!AF110+Tax!AF13</f>
        <v>#VALUE!</v>
      </c>
      <c r="AG9" s="11" t="e">
        <f aca="false">Debt!AG119+Debt!AG117+Debt!AG111-Debt!AG110+Tax!AG13</f>
        <v>#VALUE!</v>
      </c>
      <c r="AH9" s="11" t="e">
        <f aca="false">Debt!AH119+Debt!AH117+Debt!AH111-Debt!AH110+Tax!AH13</f>
        <v>#VALUE!</v>
      </c>
      <c r="AI9" s="11" t="e">
        <f aca="false">Debt!AI119+Debt!AI117+Debt!AI111-Debt!AI110+Tax!AI13</f>
        <v>#VALUE!</v>
      </c>
      <c r="AJ9" s="11" t="e">
        <f aca="false">Debt!AJ119+Debt!AJ117+Debt!AJ111-Debt!AJ110+Tax!AJ13</f>
        <v>#VALUE!</v>
      </c>
      <c r="AK9" s="11" t="e">
        <f aca="false">Debt!AK119+Debt!AK117+Debt!AK111-Debt!AK110+Tax!AK13</f>
        <v>#VALUE!</v>
      </c>
      <c r="AL9" s="11" t="e">
        <f aca="false">Debt!AL119+Debt!AL117+Debt!AL111-Debt!AL110+Tax!AL13</f>
        <v>#VALUE!</v>
      </c>
      <c r="AM9" s="11" t="e">
        <f aca="false">Debt!AM119+Debt!AM117+Debt!AM111-Debt!AM110+Tax!AM13</f>
        <v>#VALUE!</v>
      </c>
      <c r="AN9" s="11" t="e">
        <f aca="false">Debt!AN119+Debt!AN117+Debt!AN111-Debt!AN110+Tax!AN13</f>
        <v>#VALUE!</v>
      </c>
      <c r="AO9" s="11" t="e">
        <f aca="false">Debt!AO119+Debt!AO117+Debt!AO111-Debt!AO110+Tax!AO13</f>
        <v>#VALUE!</v>
      </c>
      <c r="AP9" s="11" t="e">
        <f aca="false">Debt!AP119+Debt!AP117+Debt!AP111-Debt!AP110+Tax!AP13</f>
        <v>#VALUE!</v>
      </c>
      <c r="AQ9" s="11" t="e">
        <f aca="false">Debt!AQ119+Debt!AQ117+Debt!AQ111-Debt!AQ110+Tax!AQ13</f>
        <v>#VALUE!</v>
      </c>
      <c r="AR9" s="11" t="e">
        <f aca="false">Debt!AR119+Debt!AR117+Debt!AR111-Debt!AR110+Tax!AR13</f>
        <v>#VALUE!</v>
      </c>
      <c r="AS9" s="11" t="e">
        <f aca="false">Debt!AS119+Debt!AS117+Debt!AS111-Debt!AS110+Tax!AS13</f>
        <v>#VALUE!</v>
      </c>
      <c r="AT9" s="11" t="e">
        <f aca="false">Debt!AT119+Debt!AT117+Debt!AT111-Debt!AT110+Tax!AT13</f>
        <v>#VALUE!</v>
      </c>
      <c r="AU9" s="11" t="e">
        <f aca="false">Debt!AU119+Debt!AU117+Debt!AU111-Debt!AU110+Tax!AU13</f>
        <v>#VALUE!</v>
      </c>
      <c r="AV9" s="11" t="e">
        <f aca="false">Debt!AV119+Debt!AV117+Debt!AV111-Debt!AV110+Tax!AV13</f>
        <v>#VALUE!</v>
      </c>
      <c r="AW9" s="11" t="e">
        <f aca="false">Debt!AW119+Debt!AW117+Debt!AW111-Debt!AW110+Tax!AW13</f>
        <v>#VALUE!</v>
      </c>
      <c r="AX9" s="11" t="e">
        <f aca="false">Debt!AX119+Debt!AX117+Debt!AX111-Debt!AX110+Tax!AX13</f>
        <v>#VALUE!</v>
      </c>
      <c r="AY9" s="11" t="e">
        <f aca="false">Debt!AY119+Debt!AY117+Debt!AY111-Debt!AY110+Tax!AY13</f>
        <v>#VALUE!</v>
      </c>
      <c r="AZ9" s="11" t="e">
        <f aca="false">Debt!AZ119+Debt!AZ117+Debt!AZ111-Debt!AZ110+Tax!AZ13</f>
        <v>#VALUE!</v>
      </c>
      <c r="BA9" s="11" t="e">
        <f aca="false">Debt!BA119+Debt!BA117+Debt!BA111-Debt!BA110+Tax!BA13</f>
        <v>#VALUE!</v>
      </c>
      <c r="BB9" s="11" t="e">
        <f aca="false">Debt!BB119+Debt!BB117+Debt!BB111-Debt!BB110+Tax!BB13</f>
        <v>#VALUE!</v>
      </c>
      <c r="BC9" s="11" t="e">
        <f aca="false">Debt!BC119+Debt!BC117+Debt!BC111-Debt!BC110+Tax!BC13</f>
        <v>#VALUE!</v>
      </c>
      <c r="BD9" s="11" t="e">
        <f aca="false">Debt!BD119+Debt!BD117+Debt!BD111-Debt!BD110+Tax!BD13</f>
        <v>#VALUE!</v>
      </c>
      <c r="BE9" s="11" t="e">
        <f aca="false">Debt!BE119+Debt!BE117+Debt!BE111-Debt!BE110+Tax!BE13</f>
        <v>#VALUE!</v>
      </c>
      <c r="BF9" s="11" t="e">
        <f aca="false">Debt!BF119+Debt!BF117+Debt!BF111-Debt!BF110+Tax!BF13</f>
        <v>#VALUE!</v>
      </c>
      <c r="BG9" s="11" t="e">
        <f aca="false">Debt!BG119+Debt!BG117+Debt!BG111-Debt!BG110+Tax!BG13</f>
        <v>#VALUE!</v>
      </c>
      <c r="BH9" s="11" t="e">
        <f aca="false">Debt!BH119+Debt!BH117+Debt!BH111-Debt!BH110+Tax!BH13</f>
        <v>#VALUE!</v>
      </c>
      <c r="BI9" s="11" t="e">
        <f aca="false">Debt!BI119+Debt!BI117+Debt!BI111-Debt!BI110+Tax!BI13</f>
        <v>#VALUE!</v>
      </c>
      <c r="BJ9" s="11" t="e">
        <f aca="false">Debt!BJ119+Debt!BJ117+Debt!BJ111-Debt!BJ110+Tax!BJ13</f>
        <v>#VALUE!</v>
      </c>
      <c r="BK9" s="11" t="e">
        <f aca="false">Debt!BK119+Debt!BK117+Debt!BK111-Debt!BK110+Tax!BK13</f>
        <v>#VALUE!</v>
      </c>
      <c r="BL9" s="11" t="e">
        <f aca="false">Debt!BL119+Debt!BL117+Debt!BL111-Debt!BL110+Tax!BL13</f>
        <v>#VALUE!</v>
      </c>
      <c r="BM9" s="11" t="e">
        <f aca="false">Debt!BM119+Debt!BM117+Debt!BM111-Debt!BM110+Tax!BM13</f>
        <v>#VALUE!</v>
      </c>
      <c r="BN9" s="11" t="e">
        <f aca="false">Debt!BN119+Debt!BN117+Debt!BN111-Debt!BN110+Tax!BN13</f>
        <v>#VALUE!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e">
        <f aca="false">IF(Time!O17&gt;=Time!$F$11,Inputs!$F$181/100*(O11-O10-Tax!O21),0)</f>
        <v>#VALUE!</v>
      </c>
      <c r="P12" s="11" t="e">
        <f aca="false">IF(Time!P17&gt;=Time!$F$11,Inputs!$F$181/100*(P11-P10-Tax!P21),0)</f>
        <v>#VALUE!</v>
      </c>
      <c r="Q12" s="11" t="e">
        <f aca="false">IF(Time!Q17&gt;=Time!$F$11,Inputs!$F$181/100*(Q11-Q10-Tax!Q21),0)</f>
        <v>#VALUE!</v>
      </c>
      <c r="R12" s="11" t="e">
        <f aca="false">IF(Time!R17&gt;=Time!$F$11,Inputs!$F$181/100*(R11-R10-Tax!R21),0)</f>
        <v>#VALUE!</v>
      </c>
      <c r="S12" s="11" t="e">
        <f aca="false">IF(Time!S17&gt;=Time!$F$11,Inputs!$F$181/100*(S11-S10-Tax!S21),0)</f>
        <v>#VALUE!</v>
      </c>
      <c r="T12" s="11" t="e">
        <f aca="false">IF(Time!T17&gt;=Time!$F$11,Inputs!$F$181/100*(T11-T10-Tax!T21),0)</f>
        <v>#VALUE!</v>
      </c>
      <c r="U12" s="11" t="e">
        <f aca="false">IF(Time!U17&gt;=Time!$F$11,Inputs!$F$181/100*(U11-U10-Tax!U21),0)</f>
        <v>#VALUE!</v>
      </c>
      <c r="V12" s="11" t="e">
        <f aca="false">IF(Time!V17&gt;=Time!$F$11,Inputs!$F$181/100*(V11-V10-Tax!V21),0)</f>
        <v>#VALUE!</v>
      </c>
      <c r="W12" s="11" t="e">
        <f aca="false">IF(Time!W17&gt;=Time!$F$11,Inputs!$F$181/100*(W11-W10-Tax!W21),0)</f>
        <v>#VALUE!</v>
      </c>
      <c r="X12" s="11" t="e">
        <f aca="false">IF(Time!X17&gt;=Time!$F$11,Inputs!$F$181/100*(X11-X10-Tax!X21),0)</f>
        <v>#VALUE!</v>
      </c>
      <c r="Y12" s="11" t="e">
        <f aca="false">IF(Time!Y17&gt;=Time!$F$11,Inputs!$F$181/100*(Y11-Y10-Tax!Y21),0)</f>
        <v>#VALUE!</v>
      </c>
      <c r="Z12" s="11" t="e">
        <f aca="false">IF(Time!Z17&gt;=Time!$F$11,Inputs!$F$181/100*(Z11-Z10-Tax!Z21),0)</f>
        <v>#VALUE!</v>
      </c>
      <c r="AA12" s="11" t="e">
        <f aca="false">IF(Time!AA17&gt;=Time!$F$11,Inputs!$F$181/100*(AA11-AA10-Tax!AA21),0)</f>
        <v>#VALUE!</v>
      </c>
      <c r="AB12" s="11" t="e">
        <f aca="false">IF(Time!AB17&gt;=Time!$F$11,Inputs!$F$181/100*(AB11-AB10-Tax!AB21),0)</f>
        <v>#VALUE!</v>
      </c>
      <c r="AC12" s="11" t="e">
        <f aca="false">IF(Time!AC17&gt;=Time!$F$11,Inputs!$F$181/100*(AC11-AC10-Tax!AC21),0)</f>
        <v>#VALUE!</v>
      </c>
      <c r="AD12" s="11" t="e">
        <f aca="false">IF(Time!AD17&gt;=Time!$F$11,Inputs!$F$181/100*(AD11-AD10-Tax!AD21),0)</f>
        <v>#VALUE!</v>
      </c>
      <c r="AE12" s="11" t="e">
        <f aca="false">IF(Time!AE17&gt;=Time!$F$11,Inputs!$F$181/100*(AE11-AE10-Tax!AE21),0)</f>
        <v>#VALUE!</v>
      </c>
      <c r="AF12" s="11" t="e">
        <f aca="false">IF(Time!AF17&gt;=Time!$F$11,Inputs!$F$181/100*(AF11-AF10-Tax!AF21),0)</f>
        <v>#VALUE!</v>
      </c>
      <c r="AG12" s="11" t="e">
        <f aca="false">IF(Time!AG17&gt;=Time!$F$11,Inputs!$F$181/100*(AG11-AG10-Tax!AG21),0)</f>
        <v>#VALUE!</v>
      </c>
      <c r="AH12" s="11" t="e">
        <f aca="false">IF(Time!AH17&gt;=Time!$F$11,Inputs!$F$181/100*(AH11-AH10-Tax!AH21),0)</f>
        <v>#VALUE!</v>
      </c>
      <c r="AI12" s="11" t="e">
        <f aca="false">IF(Time!AI17&gt;=Time!$F$11,Inputs!$F$181/100*(AI11-AI10-Tax!AI21),0)</f>
        <v>#VALUE!</v>
      </c>
      <c r="AJ12" s="11" t="e">
        <f aca="false">IF(Time!AJ17&gt;=Time!$F$11,Inputs!$F$181/100*(AJ11-AJ10-Tax!AJ21),0)</f>
        <v>#VALUE!</v>
      </c>
      <c r="AK12" s="11" t="e">
        <f aca="false">IF(Time!AK17&gt;=Time!$F$11,Inputs!$F$181/100*(AK11-AK10-Tax!AK21),0)</f>
        <v>#VALUE!</v>
      </c>
      <c r="AL12" s="11" t="e">
        <f aca="false">IF(Time!AL17&gt;=Time!$F$11,Inputs!$F$181/100*(AL11-AL10-Tax!AL21),0)</f>
        <v>#VALUE!</v>
      </c>
      <c r="AM12" s="11" t="e">
        <f aca="false">IF(Time!AM17&gt;=Time!$F$11,Inputs!$F$181/100*(AM11-AM10-Tax!AM21),0)</f>
        <v>#VALUE!</v>
      </c>
      <c r="AN12" s="11" t="e">
        <f aca="false">IF(Time!AN17&gt;=Time!$F$11,Inputs!$F$181/100*(AN11-AN10-Tax!AN21),0)</f>
        <v>#VALUE!</v>
      </c>
      <c r="AO12" s="11" t="e">
        <f aca="false">IF(Time!AO17&gt;=Time!$F$11,Inputs!$F$181/100*(AO11-AO10-Tax!AO21),0)</f>
        <v>#VALUE!</v>
      </c>
      <c r="AP12" s="11" t="e">
        <f aca="false">IF(Time!AP17&gt;=Time!$F$11,Inputs!$F$181/100*(AP11-AP10-Tax!AP21),0)</f>
        <v>#VALUE!</v>
      </c>
      <c r="AQ12" s="11" t="e">
        <f aca="false">IF(Time!AQ17&gt;=Time!$F$11,Inputs!$F$181/100*(AQ11-AQ10-Tax!AQ21),0)</f>
        <v>#VALUE!</v>
      </c>
      <c r="AR12" s="11" t="e">
        <f aca="false">IF(Time!AR17&gt;=Time!$F$11,Inputs!$F$181/100*(AR11-AR10-Tax!AR21),0)</f>
        <v>#VALUE!</v>
      </c>
      <c r="AS12" s="11" t="e">
        <f aca="false">IF(Time!AS17&gt;=Time!$F$11,Inputs!$F$181/100*(AS11-AS10-Tax!AS21),0)</f>
        <v>#VALUE!</v>
      </c>
      <c r="AT12" s="11" t="e">
        <f aca="false">IF(Time!AT17&gt;=Time!$F$11,Inputs!$F$181/100*(AT11-AT10-Tax!AT21),0)</f>
        <v>#VALUE!</v>
      </c>
      <c r="AU12" s="11" t="e">
        <f aca="false">IF(Time!AU17&gt;=Time!$F$11,Inputs!$F$181/100*(AU11-AU10-Tax!AU21),0)</f>
        <v>#VALUE!</v>
      </c>
      <c r="AV12" s="11" t="e">
        <f aca="false">IF(Time!AV17&gt;=Time!$F$11,Inputs!$F$181/100*(AV11-AV10-Tax!AV21),0)</f>
        <v>#VALUE!</v>
      </c>
      <c r="AW12" s="11" t="e">
        <f aca="false">IF(Time!AW17&gt;=Time!$F$11,Inputs!$F$181/100*(AW11-AW10-Tax!AW21),0)</f>
        <v>#VALUE!</v>
      </c>
      <c r="AX12" s="11" t="e">
        <f aca="false">IF(Time!AX17&gt;=Time!$F$11,Inputs!$F$181/100*(AX11-AX10-Tax!AX21),0)</f>
        <v>#VALUE!</v>
      </c>
      <c r="AY12" s="11" t="e">
        <f aca="false">IF(Time!AY17&gt;=Time!$F$11,Inputs!$F$181/100*(AY11-AY10-Tax!AY21),0)</f>
        <v>#VALUE!</v>
      </c>
      <c r="AZ12" s="11" t="e">
        <f aca="false">IF(Time!AZ17&gt;=Time!$F$11,Inputs!$F$181/100*(AZ11-AZ10-Tax!AZ21),0)</f>
        <v>#VALUE!</v>
      </c>
      <c r="BA12" s="11" t="e">
        <f aca="false">IF(Time!BA17&gt;=Time!$F$11,Inputs!$F$181/100*(BA11-BA10-Tax!BA21),0)</f>
        <v>#VALUE!</v>
      </c>
      <c r="BB12" s="11" t="e">
        <f aca="false">IF(Time!BB17&gt;=Time!$F$11,Inputs!$F$181/100*(BB11-BB10-Tax!BB21),0)</f>
        <v>#VALUE!</v>
      </c>
      <c r="BC12" s="11" t="e">
        <f aca="false">IF(Time!BC17&gt;=Time!$F$11,Inputs!$F$181/100*(BC11-BC10-Tax!BC21),0)</f>
        <v>#VALUE!</v>
      </c>
      <c r="BD12" s="11" t="e">
        <f aca="false">IF(Time!BD17&gt;=Time!$F$11,Inputs!$F$181/100*(BD11-BD10-Tax!BD21),0)</f>
        <v>#VALUE!</v>
      </c>
      <c r="BE12" s="11" t="e">
        <f aca="false">IF(Time!BE17&gt;=Time!$F$11,Inputs!$F$181/100*(BE11-BE10-Tax!BE21),0)</f>
        <v>#VALUE!</v>
      </c>
      <c r="BF12" s="11" t="e">
        <f aca="false">IF(Time!BF17&gt;=Time!$F$11,Inputs!$F$181/100*(BF11-BF10-Tax!BF21),0)</f>
        <v>#VALUE!</v>
      </c>
      <c r="BG12" s="11" t="e">
        <f aca="false">IF(Time!BG17&gt;=Time!$F$11,Inputs!$F$181/100*(BG11-BG10-Tax!BG21),0)</f>
        <v>#VALUE!</v>
      </c>
      <c r="BH12" s="11" t="e">
        <f aca="false">IF(Time!BH17&gt;=Time!$F$11,Inputs!$F$181/100*(BH11-BH10-Tax!BH21),0)</f>
        <v>#VALUE!</v>
      </c>
      <c r="BI12" s="11" t="e">
        <f aca="false">IF(Time!BI17&gt;=Time!$F$11,Inputs!$F$181/100*(BI11-BI10-Tax!BI21),0)</f>
        <v>#VALUE!</v>
      </c>
      <c r="BJ12" s="11" t="e">
        <f aca="false">IF(Time!BJ17&gt;=Time!$F$11,Inputs!$F$181/100*(BJ11-BJ10-Tax!BJ21),0)</f>
        <v>#VALUE!</v>
      </c>
      <c r="BK12" s="11" t="e">
        <f aca="false">IF(Time!BK17&gt;=Time!$F$11,Inputs!$F$181/100*(BK11-BK10-Tax!BK21),0)</f>
        <v>#VALUE!</v>
      </c>
      <c r="BL12" s="11" t="e">
        <f aca="false">IF(Time!BL17&gt;=Time!$F$11,Inputs!$F$181/100*(BL11-BL10-Tax!BL21),0)</f>
        <v>#VALUE!</v>
      </c>
      <c r="BM12" s="11" t="e">
        <f aca="false">IF(Time!BM17&gt;=Time!$F$11,Inputs!$F$181/100*(BM11-BM10-Tax!BM21),0)</f>
        <v>#VALUE!</v>
      </c>
      <c r="BN12" s="11" t="e">
        <f aca="false">IF(Time!BN17&gt;=Time!$F$11,Inputs!$F$181/100*(BN11-BN10-Tax!BN21),0)</f>
        <v>#VALUE!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e">
        <f aca="false">SUM(J13:BN13)</f>
        <v>#VALUE!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e">
        <f aca="false">O12-N12</f>
        <v>#VALUE!</v>
      </c>
      <c r="P13" s="11" t="e">
        <f aca="false">P12-O12</f>
        <v>#VALUE!</v>
      </c>
      <c r="Q13" s="11" t="e">
        <f aca="false">Q12-P12</f>
        <v>#VALUE!</v>
      </c>
      <c r="R13" s="11" t="e">
        <f aca="false">R12-Q12</f>
        <v>#VALUE!</v>
      </c>
      <c r="S13" s="11" t="e">
        <f aca="false">S12-R12</f>
        <v>#VALUE!</v>
      </c>
      <c r="T13" s="11" t="e">
        <f aca="false">T12-S12</f>
        <v>#VALUE!</v>
      </c>
      <c r="U13" s="11" t="e">
        <f aca="false">U12-T12</f>
        <v>#VALUE!</v>
      </c>
      <c r="V13" s="11" t="e">
        <f aca="false">V12-U12</f>
        <v>#VALUE!</v>
      </c>
      <c r="W13" s="11" t="e">
        <f aca="false">W12-V12</f>
        <v>#VALUE!</v>
      </c>
      <c r="X13" s="11" t="e">
        <f aca="false">X12-W12</f>
        <v>#VALUE!</v>
      </c>
      <c r="Y13" s="11" t="e">
        <f aca="false">Y12-X12</f>
        <v>#VALUE!</v>
      </c>
      <c r="Z13" s="11" t="e">
        <f aca="false">Z12-Y12</f>
        <v>#VALUE!</v>
      </c>
      <c r="AA13" s="11" t="e">
        <f aca="false">AA12-Z12</f>
        <v>#VALUE!</v>
      </c>
      <c r="AB13" s="11" t="e">
        <f aca="false">AB12-AA12</f>
        <v>#VALUE!</v>
      </c>
      <c r="AC13" s="11" t="e">
        <f aca="false">AC12-AB12</f>
        <v>#VALUE!</v>
      </c>
      <c r="AD13" s="11" t="e">
        <f aca="false">AD12-AC12</f>
        <v>#VALUE!</v>
      </c>
      <c r="AE13" s="11" t="e">
        <f aca="false">AE12-AD12</f>
        <v>#VALUE!</v>
      </c>
      <c r="AF13" s="11" t="e">
        <f aca="false">AF12-AE12</f>
        <v>#VALUE!</v>
      </c>
      <c r="AG13" s="11" t="e">
        <f aca="false">AG12-AF12</f>
        <v>#VALUE!</v>
      </c>
      <c r="AH13" s="11" t="e">
        <f aca="false">AH12-AG12</f>
        <v>#VALUE!</v>
      </c>
      <c r="AI13" s="11" t="e">
        <f aca="false">AI12-AH12</f>
        <v>#VALUE!</v>
      </c>
      <c r="AJ13" s="11" t="e">
        <f aca="false">AJ12-AI12</f>
        <v>#VALUE!</v>
      </c>
      <c r="AK13" s="11" t="e">
        <f aca="false">AK12-AJ12</f>
        <v>#VALUE!</v>
      </c>
      <c r="AL13" s="11" t="e">
        <f aca="false">AL12-AK12</f>
        <v>#VALUE!</v>
      </c>
      <c r="AM13" s="11" t="e">
        <f aca="false">AM12-AL12</f>
        <v>#VALUE!</v>
      </c>
      <c r="AN13" s="11" t="e">
        <f aca="false">AN12-AM12</f>
        <v>#VALUE!</v>
      </c>
      <c r="AO13" s="11" t="e">
        <f aca="false">AO12-AN12</f>
        <v>#VALUE!</v>
      </c>
      <c r="AP13" s="11" t="e">
        <f aca="false">AP12-AO12</f>
        <v>#VALUE!</v>
      </c>
      <c r="AQ13" s="11" t="e">
        <f aca="false">AQ12-AP12</f>
        <v>#VALUE!</v>
      </c>
      <c r="AR13" s="11" t="e">
        <f aca="false">AR12-AQ12</f>
        <v>#VALUE!</v>
      </c>
      <c r="AS13" s="11" t="e">
        <f aca="false">AS12-AR12</f>
        <v>#VALUE!</v>
      </c>
      <c r="AT13" s="11" t="e">
        <f aca="false">AT12-AS12</f>
        <v>#VALUE!</v>
      </c>
      <c r="AU13" s="11" t="e">
        <f aca="false">AU12-AT12</f>
        <v>#VALUE!</v>
      </c>
      <c r="AV13" s="11" t="e">
        <f aca="false">AV12-AU12</f>
        <v>#VALUE!</v>
      </c>
      <c r="AW13" s="11" t="e">
        <f aca="false">AW12-AV12</f>
        <v>#VALUE!</v>
      </c>
      <c r="AX13" s="11" t="e">
        <f aca="false">AX12-AW12</f>
        <v>#VALUE!</v>
      </c>
      <c r="AY13" s="11" t="e">
        <f aca="false">AY12-AX12</f>
        <v>#VALUE!</v>
      </c>
      <c r="AZ13" s="11" t="e">
        <f aca="false">AZ12-AY12</f>
        <v>#VALUE!</v>
      </c>
      <c r="BA13" s="11" t="e">
        <f aca="false">BA12-AZ12</f>
        <v>#VALUE!</v>
      </c>
      <c r="BB13" s="11" t="e">
        <f aca="false">BB12-BA12</f>
        <v>#VALUE!</v>
      </c>
      <c r="BC13" s="11" t="e">
        <f aca="false">BC12-BB12</f>
        <v>#VALUE!</v>
      </c>
      <c r="BD13" s="11" t="e">
        <f aca="false">BD12-BC12</f>
        <v>#VALUE!</v>
      </c>
      <c r="BE13" s="11" t="e">
        <f aca="false">BE12-BD12</f>
        <v>#VALUE!</v>
      </c>
      <c r="BF13" s="11" t="e">
        <f aca="false">BF12-BE12</f>
        <v>#VALUE!</v>
      </c>
      <c r="BG13" s="11" t="e">
        <f aca="false">BG12-BF12</f>
        <v>#VALUE!</v>
      </c>
      <c r="BH13" s="11" t="e">
        <f aca="false">BH12-BG12</f>
        <v>#VALUE!</v>
      </c>
      <c r="BI13" s="11" t="e">
        <f aca="false">BI12-BH12</f>
        <v>#VALUE!</v>
      </c>
      <c r="BJ13" s="11" t="e">
        <f aca="false">BJ12-BI12</f>
        <v>#VALUE!</v>
      </c>
      <c r="BK13" s="11" t="e">
        <f aca="false">BK12-BJ12</f>
        <v>#VALUE!</v>
      </c>
      <c r="BL13" s="11" t="e">
        <f aca="false">BL12-BK12</f>
        <v>#VALUE!</v>
      </c>
      <c r="BM13" s="11" t="e">
        <f aca="false">BM12-BL12</f>
        <v>#VALUE!</v>
      </c>
      <c r="BN13" s="11" t="e">
        <f aca="false">BN12-BM12</f>
        <v>#VALUE!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e">
        <f aca="false">SUM(J14:BN14)</f>
        <v>#VALUE!</v>
      </c>
      <c r="J14" s="11" t="e">
        <f aca="false">Operations!J79-J8-J9-Tax!J27-J13</f>
        <v>#VALUE!</v>
      </c>
      <c r="K14" s="11" t="e">
        <f aca="false">Operations!K79-K8-K9-Tax!K27-K13</f>
        <v>#VALUE!</v>
      </c>
      <c r="L14" s="11" t="e">
        <f aca="false">Operations!L79-L8-L9-Tax!L27-L13</f>
        <v>#VALUE!</v>
      </c>
      <c r="M14" s="11" t="e">
        <f aca="false">Operations!M79-M8-M9-Tax!M27-M13</f>
        <v>#VALUE!</v>
      </c>
      <c r="N14" s="11" t="e">
        <f aca="false">Operations!N79-N8-N9-Tax!N27-N13</f>
        <v>#VALUE!</v>
      </c>
      <c r="O14" s="11" t="e">
        <f aca="false">Operations!O79-O8-O9-Tax!O27-O13</f>
        <v>#VALUE!</v>
      </c>
      <c r="P14" s="11" t="e">
        <f aca="false">Operations!P79-P8-P9-Tax!P27-P13</f>
        <v>#VALUE!</v>
      </c>
      <c r="Q14" s="11" t="e">
        <f aca="false">Operations!Q79-Q8-Q9-Tax!Q27-Q13</f>
        <v>#VALUE!</v>
      </c>
      <c r="R14" s="11" t="e">
        <f aca="false">Operations!R79-R8-R9-Tax!R27-R13</f>
        <v>#VALUE!</v>
      </c>
      <c r="S14" s="11" t="e">
        <f aca="false">Operations!S79-S8-S9-Tax!S27-S13</f>
        <v>#VALUE!</v>
      </c>
      <c r="T14" s="11" t="e">
        <f aca="false">Operations!T79-T8-T9-Tax!T27-T13</f>
        <v>#VALUE!</v>
      </c>
      <c r="U14" s="11" t="e">
        <f aca="false">Operations!U79-U8-U9-Tax!U27-U13</f>
        <v>#VALUE!</v>
      </c>
      <c r="V14" s="11" t="e">
        <f aca="false">Operations!V79-V8-V9-Tax!V27-V13</f>
        <v>#VALUE!</v>
      </c>
      <c r="W14" s="11" t="e">
        <f aca="false">Operations!W79-W8-W9-Tax!W27-W13</f>
        <v>#VALUE!</v>
      </c>
      <c r="X14" s="11" t="e">
        <f aca="false">Operations!X79-X8-X9-Tax!X27-X13</f>
        <v>#VALUE!</v>
      </c>
      <c r="Y14" s="11" t="e">
        <f aca="false">Operations!Y79-Y8-Y9-Tax!Y27-Y13</f>
        <v>#VALUE!</v>
      </c>
      <c r="Z14" s="11" t="e">
        <f aca="false">Operations!Z79-Z8-Z9-Tax!Z27-Z13</f>
        <v>#VALUE!</v>
      </c>
      <c r="AA14" s="11" t="e">
        <f aca="false">Operations!AA79-AA8-AA9-Tax!AA27-AA13</f>
        <v>#VALUE!</v>
      </c>
      <c r="AB14" s="11" t="e">
        <f aca="false">Operations!AB79-AB8-AB9-Tax!AB27-AB13</f>
        <v>#VALUE!</v>
      </c>
      <c r="AC14" s="11" t="e">
        <f aca="false">Operations!AC79-AC8-AC9-Tax!AC27-AC13</f>
        <v>#VALUE!</v>
      </c>
      <c r="AD14" s="11" t="e">
        <f aca="false">Operations!AD79-AD8-AD9-Tax!AD27-AD13</f>
        <v>#VALUE!</v>
      </c>
      <c r="AE14" s="11" t="e">
        <f aca="false">Operations!AE79-AE8-AE9-Tax!AE27-AE13</f>
        <v>#VALUE!</v>
      </c>
      <c r="AF14" s="11" t="e">
        <f aca="false">Operations!AF79-AF8-AF9-Tax!AF27-AF13</f>
        <v>#VALUE!</v>
      </c>
      <c r="AG14" s="11" t="e">
        <f aca="false">Operations!AG79-AG8-AG9-Tax!AG27-AG13</f>
        <v>#VALUE!</v>
      </c>
      <c r="AH14" s="11" t="e">
        <f aca="false">Operations!AH79-AH8-AH9-Tax!AH27-AH13</f>
        <v>#VALUE!</v>
      </c>
      <c r="AI14" s="11" t="e">
        <f aca="false">Operations!AI79-AI8-AI9-Tax!AI27-AI13</f>
        <v>#VALUE!</v>
      </c>
      <c r="AJ14" s="11" t="e">
        <f aca="false">Operations!AJ79-AJ8-AJ9-Tax!AJ27-AJ13</f>
        <v>#VALUE!</v>
      </c>
      <c r="AK14" s="11" t="e">
        <f aca="false">Operations!AK79-AK8-AK9-Tax!AK27-AK13</f>
        <v>#VALUE!</v>
      </c>
      <c r="AL14" s="11" t="e">
        <f aca="false">Operations!AL79-AL8-AL9-Tax!AL27-AL13</f>
        <v>#VALUE!</v>
      </c>
      <c r="AM14" s="11" t="e">
        <f aca="false">Operations!AM79-AM8-AM9-Tax!AM27-AM13</f>
        <v>#VALUE!</v>
      </c>
      <c r="AN14" s="11" t="e">
        <f aca="false">Operations!AN79-AN8-AN9-Tax!AN27-AN13</f>
        <v>#VALUE!</v>
      </c>
      <c r="AO14" s="11" t="e">
        <f aca="false">Operations!AO79-AO8-AO9-Tax!AO27-AO13</f>
        <v>#VALUE!</v>
      </c>
      <c r="AP14" s="11" t="e">
        <f aca="false">Operations!AP79-AP8-AP9-Tax!AP27-AP13</f>
        <v>#VALUE!</v>
      </c>
      <c r="AQ14" s="11" t="e">
        <f aca="false">Operations!AQ79-AQ8-AQ9-Tax!AQ27-AQ13</f>
        <v>#VALUE!</v>
      </c>
      <c r="AR14" s="11" t="e">
        <f aca="false">Operations!AR79-AR8-AR9-Tax!AR27-AR13</f>
        <v>#VALUE!</v>
      </c>
      <c r="AS14" s="11" t="e">
        <f aca="false">Operations!AS79-AS8-AS9-Tax!AS27-AS13</f>
        <v>#VALUE!</v>
      </c>
      <c r="AT14" s="11" t="e">
        <f aca="false">Operations!AT79-AT8-AT9-Tax!AT27-AT13</f>
        <v>#VALUE!</v>
      </c>
      <c r="AU14" s="11" t="e">
        <f aca="false">Operations!AU79-AU8-AU9-Tax!AU27-AU13</f>
        <v>#VALUE!</v>
      </c>
      <c r="AV14" s="11" t="e">
        <f aca="false">Operations!AV79-AV8-AV9-Tax!AV27-AV13</f>
        <v>#VALUE!</v>
      </c>
      <c r="AW14" s="11" t="e">
        <f aca="false">Operations!AW79-AW8-AW9-Tax!AW27-AW13</f>
        <v>#VALUE!</v>
      </c>
      <c r="AX14" s="11" t="e">
        <f aca="false">Operations!AX79-AX8-AX9-Tax!AX27-AX13</f>
        <v>#VALUE!</v>
      </c>
      <c r="AY14" s="11" t="e">
        <f aca="false">Operations!AY79-AY8-AY9-Tax!AY27-AY13</f>
        <v>#VALUE!</v>
      </c>
      <c r="AZ14" s="11" t="e">
        <f aca="false">Operations!AZ79-AZ8-AZ9-Tax!AZ27-AZ13</f>
        <v>#VALUE!</v>
      </c>
      <c r="BA14" s="11" t="e">
        <f aca="false">Operations!BA79-BA8-BA9-Tax!BA27-BA13</f>
        <v>#VALUE!</v>
      </c>
      <c r="BB14" s="11" t="e">
        <f aca="false">Operations!BB79-BB8-BB9-Tax!BB27-BB13</f>
        <v>#VALUE!</v>
      </c>
      <c r="BC14" s="11" t="e">
        <f aca="false">Operations!BC79-BC8-BC9-Tax!BC27-BC13</f>
        <v>#VALUE!</v>
      </c>
      <c r="BD14" s="11" t="e">
        <f aca="false">Operations!BD79-BD8-BD9-Tax!BD27-BD13</f>
        <v>#VALUE!</v>
      </c>
      <c r="BE14" s="11" t="e">
        <f aca="false">Operations!BE79-BE8-BE9-Tax!BE27-BE13</f>
        <v>#VALUE!</v>
      </c>
      <c r="BF14" s="11" t="e">
        <f aca="false">Operations!BF79-BF8-BF9-Tax!BF27-BF13</f>
        <v>#VALUE!</v>
      </c>
      <c r="BG14" s="11" t="e">
        <f aca="false">Operations!BG79-BG8-BG9-Tax!BG27-BG13</f>
        <v>#VALUE!</v>
      </c>
      <c r="BH14" s="11" t="e">
        <f aca="false">Operations!BH79-BH8-BH9-Tax!BH27-BH13</f>
        <v>#VALUE!</v>
      </c>
      <c r="BI14" s="11" t="e">
        <f aca="false">Operations!BI79-BI8-BI9-Tax!BI27-BI13</f>
        <v>#VALUE!</v>
      </c>
      <c r="BJ14" s="11" t="e">
        <f aca="false">Operations!BJ79-BJ8-BJ9-Tax!BJ27-BJ13</f>
        <v>#VALUE!</v>
      </c>
      <c r="BK14" s="11" t="e">
        <f aca="false">Operations!BK79-BK8-BK9-Tax!BK27-BK13</f>
        <v>#VALUE!</v>
      </c>
      <c r="BL14" s="11" t="e">
        <f aca="false">Operations!BL79-BL8-BL9-Tax!BL27-BL13</f>
        <v>#VALUE!</v>
      </c>
      <c r="BM14" s="11" t="e">
        <f aca="false">Operations!BM79-BM8-BM9-Tax!BM27-BM13</f>
        <v>#VALUE!</v>
      </c>
      <c r="BN14" s="11" t="e">
        <f aca="false">Operations!BN79-BN8-BN9-Tax!BN27-BN13</f>
        <v>#VALUE!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e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#VALUE!</v>
      </c>
      <c r="K17" s="11" t="e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#VALUE!</v>
      </c>
      <c r="L17" s="11" t="e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#VALUE!</v>
      </c>
      <c r="M17" s="11" t="e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#VALUE!</v>
      </c>
      <c r="N17" s="11" t="e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#VALUE!</v>
      </c>
      <c r="O17" s="11" t="e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#VALUE!</v>
      </c>
      <c r="P17" s="11" t="e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#VALUE!</v>
      </c>
      <c r="Q17" s="11" t="e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#VALUE!</v>
      </c>
      <c r="R17" s="11" t="e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#VALUE!</v>
      </c>
      <c r="S17" s="11" t="e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#VALUE!</v>
      </c>
      <c r="T17" s="11" t="e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#VALUE!</v>
      </c>
      <c r="U17" s="11" t="e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#VALUE!</v>
      </c>
      <c r="V17" s="11" t="e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#VALUE!</v>
      </c>
      <c r="W17" s="11" t="e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#VALUE!</v>
      </c>
      <c r="X17" s="11" t="e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#VALUE!</v>
      </c>
      <c r="Y17" s="11" t="e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#VALUE!</v>
      </c>
      <c r="Z17" s="11" t="e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#VALUE!</v>
      </c>
      <c r="AA17" s="11" t="e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#VALUE!</v>
      </c>
      <c r="AB17" s="11" t="e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#VALUE!</v>
      </c>
      <c r="AC17" s="11" t="e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#VALUE!</v>
      </c>
      <c r="AD17" s="11" t="e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#VALUE!</v>
      </c>
      <c r="AE17" s="11" t="e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#VALUE!</v>
      </c>
      <c r="AF17" s="11" t="e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#VALUE!</v>
      </c>
      <c r="AG17" s="11" t="e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#VALUE!</v>
      </c>
      <c r="AH17" s="11" t="e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#VALUE!</v>
      </c>
      <c r="AI17" s="11" t="e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#VALUE!</v>
      </c>
      <c r="AJ17" s="11" t="e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#VALUE!</v>
      </c>
      <c r="AK17" s="11" t="e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#VALUE!</v>
      </c>
      <c r="AL17" s="11" t="e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#VALUE!</v>
      </c>
      <c r="AM17" s="11" t="e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#VALUE!</v>
      </c>
      <c r="AN17" s="11" t="e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#VALUE!</v>
      </c>
      <c r="AO17" s="11" t="e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#VALUE!</v>
      </c>
      <c r="AP17" s="11" t="e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#VALUE!</v>
      </c>
      <c r="AQ17" s="11" t="e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#VALUE!</v>
      </c>
      <c r="AR17" s="11" t="e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#VALUE!</v>
      </c>
      <c r="AS17" s="11" t="e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#VALUE!</v>
      </c>
      <c r="AT17" s="11" t="e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#VALUE!</v>
      </c>
      <c r="AU17" s="11" t="e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#VALUE!</v>
      </c>
      <c r="AV17" s="11" t="e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#VALUE!</v>
      </c>
      <c r="AW17" s="11" t="e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#VALUE!</v>
      </c>
      <c r="AX17" s="11" t="e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#VALUE!</v>
      </c>
      <c r="AY17" s="11" t="e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#VALUE!</v>
      </c>
      <c r="AZ17" s="11" t="e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#VALUE!</v>
      </c>
      <c r="BA17" s="11" t="e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#VALUE!</v>
      </c>
      <c r="BB17" s="11" t="e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#VALUE!</v>
      </c>
      <c r="BC17" s="11" t="e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#VALUE!</v>
      </c>
      <c r="BD17" s="11" t="e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#VALUE!</v>
      </c>
      <c r="BE17" s="11" t="e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#VALUE!</v>
      </c>
      <c r="BF17" s="11" t="e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#VALUE!</v>
      </c>
      <c r="BG17" s="11" t="e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#VALUE!</v>
      </c>
      <c r="BH17" s="11" t="e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#VALUE!</v>
      </c>
      <c r="BI17" s="11" t="e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#VALUE!</v>
      </c>
      <c r="BJ17" s="11" t="e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#VALUE!</v>
      </c>
      <c r="BK17" s="11" t="e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#VALUE!</v>
      </c>
      <c r="BL17" s="11" t="e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#VALUE!</v>
      </c>
      <c r="BM17" s="11" t="e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#VALUE!</v>
      </c>
      <c r="BN17" s="11" t="e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#VALUE!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e">
        <f aca="false">MAX(0,-O12)</f>
        <v>#VALUE!</v>
      </c>
      <c r="P20" s="11" t="e">
        <f aca="false">MAX(0,-P12)</f>
        <v>#VALUE!</v>
      </c>
      <c r="Q20" s="11" t="e">
        <f aca="false">MAX(0,-Q12)</f>
        <v>#VALUE!</v>
      </c>
      <c r="R20" s="11" t="e">
        <f aca="false">MAX(0,-R12)</f>
        <v>#VALUE!</v>
      </c>
      <c r="S20" s="11" t="e">
        <f aca="false">MAX(0,-S12)</f>
        <v>#VALUE!</v>
      </c>
      <c r="T20" s="11" t="e">
        <f aca="false">MAX(0,-T12)</f>
        <v>#VALUE!</v>
      </c>
      <c r="U20" s="11" t="e">
        <f aca="false">MAX(0,-U12)</f>
        <v>#VALUE!</v>
      </c>
      <c r="V20" s="11" t="e">
        <f aca="false">MAX(0,-V12)</f>
        <v>#VALUE!</v>
      </c>
      <c r="W20" s="11" t="e">
        <f aca="false">MAX(0,-W12)</f>
        <v>#VALUE!</v>
      </c>
      <c r="X20" s="11" t="e">
        <f aca="false">MAX(0,-X12)</f>
        <v>#VALUE!</v>
      </c>
      <c r="Y20" s="11" t="e">
        <f aca="false">MAX(0,-Y12)</f>
        <v>#VALUE!</v>
      </c>
      <c r="Z20" s="11" t="e">
        <f aca="false">MAX(0,-Z12)</f>
        <v>#VALUE!</v>
      </c>
      <c r="AA20" s="11" t="e">
        <f aca="false">MAX(0,-AA12)</f>
        <v>#VALUE!</v>
      </c>
      <c r="AB20" s="11" t="e">
        <f aca="false">MAX(0,-AB12)</f>
        <v>#VALUE!</v>
      </c>
      <c r="AC20" s="11" t="e">
        <f aca="false">MAX(0,-AC12)</f>
        <v>#VALUE!</v>
      </c>
      <c r="AD20" s="11" t="e">
        <f aca="false">MAX(0,-AD12)</f>
        <v>#VALUE!</v>
      </c>
      <c r="AE20" s="11" t="e">
        <f aca="false">MAX(0,-AE12)</f>
        <v>#VALUE!</v>
      </c>
      <c r="AF20" s="11" t="e">
        <f aca="false">MAX(0,-AF12)</f>
        <v>#VALUE!</v>
      </c>
      <c r="AG20" s="11" t="e">
        <f aca="false">MAX(0,-AG12)</f>
        <v>#VALUE!</v>
      </c>
      <c r="AH20" s="11" t="e">
        <f aca="false">MAX(0,-AH12)</f>
        <v>#VALUE!</v>
      </c>
      <c r="AI20" s="11" t="e">
        <f aca="false">MAX(0,-AI12)</f>
        <v>#VALUE!</v>
      </c>
      <c r="AJ20" s="11" t="e">
        <f aca="false">MAX(0,-AJ12)</f>
        <v>#VALUE!</v>
      </c>
      <c r="AK20" s="11" t="e">
        <f aca="false">MAX(0,-AK12)</f>
        <v>#VALUE!</v>
      </c>
      <c r="AL20" s="11" t="e">
        <f aca="false">MAX(0,-AL12)</f>
        <v>#VALUE!</v>
      </c>
      <c r="AM20" s="11" t="e">
        <f aca="false">MAX(0,-AM12)</f>
        <v>#VALUE!</v>
      </c>
      <c r="AN20" s="11" t="e">
        <f aca="false">MAX(0,-AN12)</f>
        <v>#VALUE!</v>
      </c>
      <c r="AO20" s="11" t="e">
        <f aca="false">MAX(0,-AO12)</f>
        <v>#VALUE!</v>
      </c>
      <c r="AP20" s="11" t="e">
        <f aca="false">MAX(0,-AP12)</f>
        <v>#VALUE!</v>
      </c>
      <c r="AQ20" s="11" t="e">
        <f aca="false">MAX(0,-AQ12)</f>
        <v>#VALUE!</v>
      </c>
      <c r="AR20" s="11" t="e">
        <f aca="false">MAX(0,-AR12)</f>
        <v>#VALUE!</v>
      </c>
      <c r="AS20" s="11" t="e">
        <f aca="false">MAX(0,-AS12)</f>
        <v>#VALUE!</v>
      </c>
      <c r="AT20" s="11" t="e">
        <f aca="false">MAX(0,-AT12)</f>
        <v>#VALUE!</v>
      </c>
      <c r="AU20" s="11" t="e">
        <f aca="false">MAX(0,-AU12)</f>
        <v>#VALUE!</v>
      </c>
      <c r="AV20" s="11" t="e">
        <f aca="false">MAX(0,-AV12)</f>
        <v>#VALUE!</v>
      </c>
      <c r="AW20" s="11" t="e">
        <f aca="false">MAX(0,-AW12)</f>
        <v>#VALUE!</v>
      </c>
      <c r="AX20" s="11" t="e">
        <f aca="false">MAX(0,-AX12)</f>
        <v>#VALUE!</v>
      </c>
      <c r="AY20" s="11" t="e">
        <f aca="false">MAX(0,-AY12)</f>
        <v>#VALUE!</v>
      </c>
      <c r="AZ20" s="11" t="e">
        <f aca="false">MAX(0,-AZ12)</f>
        <v>#VALUE!</v>
      </c>
      <c r="BA20" s="11" t="e">
        <f aca="false">MAX(0,-BA12)</f>
        <v>#VALUE!</v>
      </c>
      <c r="BB20" s="11" t="e">
        <f aca="false">MAX(0,-BB12)</f>
        <v>#VALUE!</v>
      </c>
      <c r="BC20" s="11" t="e">
        <f aca="false">MAX(0,-BC12)</f>
        <v>#VALUE!</v>
      </c>
      <c r="BD20" s="11" t="e">
        <f aca="false">MAX(0,-BD12)</f>
        <v>#VALUE!</v>
      </c>
      <c r="BE20" s="11" t="e">
        <f aca="false">MAX(0,-BE12)</f>
        <v>#VALUE!</v>
      </c>
      <c r="BF20" s="11" t="e">
        <f aca="false">MAX(0,-BF12)</f>
        <v>#VALUE!</v>
      </c>
      <c r="BG20" s="11" t="e">
        <f aca="false">MAX(0,-BG12)</f>
        <v>#VALUE!</v>
      </c>
      <c r="BH20" s="11" t="e">
        <f aca="false">MAX(0,-BH12)</f>
        <v>#VALUE!</v>
      </c>
      <c r="BI20" s="11" t="e">
        <f aca="false">MAX(0,-BI12)</f>
        <v>#VALUE!</v>
      </c>
      <c r="BJ20" s="11" t="e">
        <f aca="false">MAX(0,-BJ12)</f>
        <v>#VALUE!</v>
      </c>
      <c r="BK20" s="11" t="e">
        <f aca="false">MAX(0,-BK12)</f>
        <v>#VALUE!</v>
      </c>
      <c r="BL20" s="11" t="e">
        <f aca="false">MAX(0,-BL12)</f>
        <v>#VALUE!</v>
      </c>
      <c r="BM20" s="11" t="e">
        <f aca="false">MAX(0,-BM12)</f>
        <v>#VALUE!</v>
      </c>
      <c r="BN20" s="11" t="e">
        <f aca="false">MAX(0,-BN12)</f>
        <v>#VALUE!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e">
        <f aca="false">J16+J17+J18+J19+J20</f>
        <v>#VALUE!</v>
      </c>
      <c r="K21" s="11" t="e">
        <f aca="false">K16+K17+K18+K19+K20</f>
        <v>#VALUE!</v>
      </c>
      <c r="L21" s="11" t="e">
        <f aca="false">L16+L17+L18+L19+L20</f>
        <v>#VALUE!</v>
      </c>
      <c r="M21" s="11" t="e">
        <f aca="false">M16+M17+M18+M19+M20</f>
        <v>#VALUE!</v>
      </c>
      <c r="N21" s="11" t="e">
        <f aca="false">N16+N17+N18+N19+N20</f>
        <v>#VALUE!</v>
      </c>
      <c r="O21" s="11" t="e">
        <f aca="false">O16+O17+O18+O19+O20</f>
        <v>#VALUE!</v>
      </c>
      <c r="P21" s="11" t="e">
        <f aca="false">P16+P17+P18+P19+P20</f>
        <v>#VALUE!</v>
      </c>
      <c r="Q21" s="11" t="e">
        <f aca="false">Q16+Q17+Q18+Q19+Q20</f>
        <v>#VALUE!</v>
      </c>
      <c r="R21" s="11" t="e">
        <f aca="false">R16+R17+R18+R19+R20</f>
        <v>#VALUE!</v>
      </c>
      <c r="S21" s="11" t="e">
        <f aca="false">S16+S17+S18+S19+S20</f>
        <v>#VALUE!</v>
      </c>
      <c r="T21" s="11" t="e">
        <f aca="false">T16+T17+T18+T19+T20</f>
        <v>#VALUE!</v>
      </c>
      <c r="U21" s="11" t="e">
        <f aca="false">U16+U17+U18+U19+U20</f>
        <v>#VALUE!</v>
      </c>
      <c r="V21" s="11" t="e">
        <f aca="false">V16+V17+V18+V19+V20</f>
        <v>#VALUE!</v>
      </c>
      <c r="W21" s="11" t="e">
        <f aca="false">W16+W17+W18+W19+W20</f>
        <v>#VALUE!</v>
      </c>
      <c r="X21" s="11" t="e">
        <f aca="false">X16+X17+X18+X19+X20</f>
        <v>#VALUE!</v>
      </c>
      <c r="Y21" s="11" t="e">
        <f aca="false">Y16+Y17+Y18+Y19+Y20</f>
        <v>#VALUE!</v>
      </c>
      <c r="Z21" s="11" t="e">
        <f aca="false">Z16+Z17+Z18+Z19+Z20</f>
        <v>#VALUE!</v>
      </c>
      <c r="AA21" s="11" t="e">
        <f aca="false">AA16+AA17+AA18+AA19+AA20</f>
        <v>#VALUE!</v>
      </c>
      <c r="AB21" s="11" t="e">
        <f aca="false">AB16+AB17+AB18+AB19+AB20</f>
        <v>#VALUE!</v>
      </c>
      <c r="AC21" s="11" t="e">
        <f aca="false">AC16+AC17+AC18+AC19+AC20</f>
        <v>#VALUE!</v>
      </c>
      <c r="AD21" s="11" t="e">
        <f aca="false">AD16+AD17+AD18+AD19+AD20</f>
        <v>#VALUE!</v>
      </c>
      <c r="AE21" s="11" t="e">
        <f aca="false">AE16+AE17+AE18+AE19+AE20</f>
        <v>#VALUE!</v>
      </c>
      <c r="AF21" s="11" t="e">
        <f aca="false">AF16+AF17+AF18+AF19+AF20</f>
        <v>#VALUE!</v>
      </c>
      <c r="AG21" s="11" t="e">
        <f aca="false">AG16+AG17+AG18+AG19+AG20</f>
        <v>#VALUE!</v>
      </c>
      <c r="AH21" s="11" t="e">
        <f aca="false">AH16+AH17+AH18+AH19+AH20</f>
        <v>#VALUE!</v>
      </c>
      <c r="AI21" s="11" t="e">
        <f aca="false">AI16+AI17+AI18+AI19+AI20</f>
        <v>#VALUE!</v>
      </c>
      <c r="AJ21" s="11" t="e">
        <f aca="false">AJ16+AJ17+AJ18+AJ19+AJ20</f>
        <v>#VALUE!</v>
      </c>
      <c r="AK21" s="11" t="e">
        <f aca="false">AK16+AK17+AK18+AK19+AK20</f>
        <v>#VALUE!</v>
      </c>
      <c r="AL21" s="11" t="e">
        <f aca="false">AL16+AL17+AL18+AL19+AL20</f>
        <v>#VALUE!</v>
      </c>
      <c r="AM21" s="11" t="e">
        <f aca="false">AM16+AM17+AM18+AM19+AM20</f>
        <v>#VALUE!</v>
      </c>
      <c r="AN21" s="11" t="e">
        <f aca="false">AN16+AN17+AN18+AN19+AN20</f>
        <v>#VALUE!</v>
      </c>
      <c r="AO21" s="11" t="e">
        <f aca="false">AO16+AO17+AO18+AO19+AO20</f>
        <v>#VALUE!</v>
      </c>
      <c r="AP21" s="11" t="e">
        <f aca="false">AP16+AP17+AP18+AP19+AP20</f>
        <v>#VALUE!</v>
      </c>
      <c r="AQ21" s="11" t="e">
        <f aca="false">AQ16+AQ17+AQ18+AQ19+AQ20</f>
        <v>#VALUE!</v>
      </c>
      <c r="AR21" s="11" t="e">
        <f aca="false">AR16+AR17+AR18+AR19+AR20</f>
        <v>#VALUE!</v>
      </c>
      <c r="AS21" s="11" t="e">
        <f aca="false">AS16+AS17+AS18+AS19+AS20</f>
        <v>#VALUE!</v>
      </c>
      <c r="AT21" s="11" t="e">
        <f aca="false">AT16+AT17+AT18+AT19+AT20</f>
        <v>#VALUE!</v>
      </c>
      <c r="AU21" s="11" t="e">
        <f aca="false">AU16+AU17+AU18+AU19+AU20</f>
        <v>#VALUE!</v>
      </c>
      <c r="AV21" s="11" t="e">
        <f aca="false">AV16+AV17+AV18+AV19+AV20</f>
        <v>#VALUE!</v>
      </c>
      <c r="AW21" s="11" t="e">
        <f aca="false">AW16+AW17+AW18+AW19+AW20</f>
        <v>#VALUE!</v>
      </c>
      <c r="AX21" s="11" t="e">
        <f aca="false">AX16+AX17+AX18+AX19+AX20</f>
        <v>#VALUE!</v>
      </c>
      <c r="AY21" s="11" t="e">
        <f aca="false">AY16+AY17+AY18+AY19+AY20</f>
        <v>#VALUE!</v>
      </c>
      <c r="AZ21" s="11" t="e">
        <f aca="false">AZ16+AZ17+AZ18+AZ19+AZ20</f>
        <v>#VALUE!</v>
      </c>
      <c r="BA21" s="11" t="e">
        <f aca="false">BA16+BA17+BA18+BA19+BA20</f>
        <v>#VALUE!</v>
      </c>
      <c r="BB21" s="11" t="e">
        <f aca="false">BB16+BB17+BB18+BB19+BB20</f>
        <v>#VALUE!</v>
      </c>
      <c r="BC21" s="11" t="e">
        <f aca="false">BC16+BC17+BC18+BC19+BC20</f>
        <v>#VALUE!</v>
      </c>
      <c r="BD21" s="11" t="e">
        <f aca="false">BD16+BD17+BD18+BD19+BD20</f>
        <v>#VALUE!</v>
      </c>
      <c r="BE21" s="11" t="e">
        <f aca="false">BE16+BE17+BE18+BE19+BE20</f>
        <v>#VALUE!</v>
      </c>
      <c r="BF21" s="11" t="e">
        <f aca="false">BF16+BF17+BF18+BF19+BF20</f>
        <v>#VALUE!</v>
      </c>
      <c r="BG21" s="11" t="e">
        <f aca="false">BG16+BG17+BG18+BG19+BG20</f>
        <v>#VALUE!</v>
      </c>
      <c r="BH21" s="11" t="e">
        <f aca="false">BH16+BH17+BH18+BH19+BH20</f>
        <v>#VALUE!</v>
      </c>
      <c r="BI21" s="11" t="e">
        <f aca="false">BI16+BI17+BI18+BI19+BI20</f>
        <v>#VALUE!</v>
      </c>
      <c r="BJ21" s="11" t="e">
        <f aca="false">BJ16+BJ17+BJ18+BJ19+BJ20</f>
        <v>#VALUE!</v>
      </c>
      <c r="BK21" s="11" t="e">
        <f aca="false">BK16+BK17+BK18+BK19+BK20</f>
        <v>#VALUE!</v>
      </c>
      <c r="BL21" s="11" t="e">
        <f aca="false">BL16+BL17+BL18+BL19+BL20</f>
        <v>#VALUE!</v>
      </c>
      <c r="BM21" s="11" t="e">
        <f aca="false">BM16+BM17+BM18+BM19+BM20</f>
        <v>#VALUE!</v>
      </c>
      <c r="BN21" s="11" t="e">
        <f aca="false">BN16+BN17+BN18+BN19+BN20</f>
        <v>#VALUE!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e">
        <f aca="false">IF(Time!O17&lt;Time!$F$11,SUMIFS(Funding!$J$73:$BJ$73,Construction!$J$12:$BJ$12,"&lt;="&amp;Time!O17),Debt!O123)</f>
        <v>#VALUE!</v>
      </c>
      <c r="P22" s="11" t="e">
        <f aca="false">IF(Time!P17&lt;Time!$F$11,SUMIFS(Funding!$J$73:$BJ$73,Construction!$J$12:$BJ$12,"&lt;="&amp;Time!P17),Debt!P123)</f>
        <v>#VALUE!</v>
      </c>
      <c r="Q22" s="11" t="e">
        <f aca="false">IF(Time!Q17&lt;Time!$F$11,SUMIFS(Funding!$J$73:$BJ$73,Construction!$J$12:$BJ$12,"&lt;="&amp;Time!Q17),Debt!Q123)</f>
        <v>#VALUE!</v>
      </c>
      <c r="R22" s="11" t="e">
        <f aca="false">IF(Time!R17&lt;Time!$F$11,SUMIFS(Funding!$J$73:$BJ$73,Construction!$J$12:$BJ$12,"&lt;="&amp;Time!R17),Debt!R123)</f>
        <v>#VALUE!</v>
      </c>
      <c r="S22" s="11" t="e">
        <f aca="false">IF(Time!S17&lt;Time!$F$11,SUMIFS(Funding!$J$73:$BJ$73,Construction!$J$12:$BJ$12,"&lt;="&amp;Time!S17),Debt!S123)</f>
        <v>#VALUE!</v>
      </c>
      <c r="T22" s="11" t="e">
        <f aca="false">IF(Time!T17&lt;Time!$F$11,SUMIFS(Funding!$J$73:$BJ$73,Construction!$J$12:$BJ$12,"&lt;="&amp;Time!T17),Debt!T123)</f>
        <v>#VALUE!</v>
      </c>
      <c r="U22" s="11" t="e">
        <f aca="false">IF(Time!U17&lt;Time!$F$11,SUMIFS(Funding!$J$73:$BJ$73,Construction!$J$12:$BJ$12,"&lt;="&amp;Time!U17),Debt!U123)</f>
        <v>#VALUE!</v>
      </c>
      <c r="V22" s="11" t="e">
        <f aca="false">IF(Time!V17&lt;Time!$F$11,SUMIFS(Funding!$J$73:$BJ$73,Construction!$J$12:$BJ$12,"&lt;="&amp;Time!V17),Debt!V123)</f>
        <v>#VALUE!</v>
      </c>
      <c r="W22" s="11" t="e">
        <f aca="false">IF(Time!W17&lt;Time!$F$11,SUMIFS(Funding!$J$73:$BJ$73,Construction!$J$12:$BJ$12,"&lt;="&amp;Time!W17),Debt!W123)</f>
        <v>#VALUE!</v>
      </c>
      <c r="X22" s="11" t="e">
        <f aca="false">IF(Time!X17&lt;Time!$F$11,SUMIFS(Funding!$J$73:$BJ$73,Construction!$J$12:$BJ$12,"&lt;="&amp;Time!X17),Debt!X123)</f>
        <v>#VALUE!</v>
      </c>
      <c r="Y22" s="11" t="e">
        <f aca="false">IF(Time!Y17&lt;Time!$F$11,SUMIFS(Funding!$J$73:$BJ$73,Construction!$J$12:$BJ$12,"&lt;="&amp;Time!Y17),Debt!Y123)</f>
        <v>#VALUE!</v>
      </c>
      <c r="Z22" s="11" t="e">
        <f aca="false">IF(Time!Z17&lt;Time!$F$11,SUMIFS(Funding!$J$73:$BJ$73,Construction!$J$12:$BJ$12,"&lt;="&amp;Time!Z17),Debt!Z123)</f>
        <v>#VALUE!</v>
      </c>
      <c r="AA22" s="11" t="e">
        <f aca="false">IF(Time!AA17&lt;Time!$F$11,SUMIFS(Funding!$J$73:$BJ$73,Construction!$J$12:$BJ$12,"&lt;="&amp;Time!AA17),Debt!AA123)</f>
        <v>#VALUE!</v>
      </c>
      <c r="AB22" s="11" t="e">
        <f aca="false">IF(Time!AB17&lt;Time!$F$11,SUMIFS(Funding!$J$73:$BJ$73,Construction!$J$12:$BJ$12,"&lt;="&amp;Time!AB17),Debt!AB123)</f>
        <v>#VALUE!</v>
      </c>
      <c r="AC22" s="11" t="e">
        <f aca="false">IF(Time!AC17&lt;Time!$F$11,SUMIFS(Funding!$J$73:$BJ$73,Construction!$J$12:$BJ$12,"&lt;="&amp;Time!AC17),Debt!AC123)</f>
        <v>#VALUE!</v>
      </c>
      <c r="AD22" s="11" t="e">
        <f aca="false">IF(Time!AD17&lt;Time!$F$11,SUMIFS(Funding!$J$73:$BJ$73,Construction!$J$12:$BJ$12,"&lt;="&amp;Time!AD17),Debt!AD123)</f>
        <v>#VALUE!</v>
      </c>
      <c r="AE22" s="11" t="e">
        <f aca="false">IF(Time!AE17&lt;Time!$F$11,SUMIFS(Funding!$J$73:$BJ$73,Construction!$J$12:$BJ$12,"&lt;="&amp;Time!AE17),Debt!AE123)</f>
        <v>#VALUE!</v>
      </c>
      <c r="AF22" s="11" t="e">
        <f aca="false">IF(Time!AF17&lt;Time!$F$11,SUMIFS(Funding!$J$73:$BJ$73,Construction!$J$12:$BJ$12,"&lt;="&amp;Time!AF17),Debt!AF123)</f>
        <v>#VALUE!</v>
      </c>
      <c r="AG22" s="11" t="e">
        <f aca="false">IF(Time!AG17&lt;Time!$F$11,SUMIFS(Funding!$J$73:$BJ$73,Construction!$J$12:$BJ$12,"&lt;="&amp;Time!AG17),Debt!AG123)</f>
        <v>#VALUE!</v>
      </c>
      <c r="AH22" s="11" t="e">
        <f aca="false">IF(Time!AH17&lt;Time!$F$11,SUMIFS(Funding!$J$73:$BJ$73,Construction!$J$12:$BJ$12,"&lt;="&amp;Time!AH17),Debt!AH123)</f>
        <v>#VALUE!</v>
      </c>
      <c r="AI22" s="11" t="e">
        <f aca="false">IF(Time!AI17&lt;Time!$F$11,SUMIFS(Funding!$J$73:$BJ$73,Construction!$J$12:$BJ$12,"&lt;="&amp;Time!AI17),Debt!AI123)</f>
        <v>#VALUE!</v>
      </c>
      <c r="AJ22" s="11" t="e">
        <f aca="false">IF(Time!AJ17&lt;Time!$F$11,SUMIFS(Funding!$J$73:$BJ$73,Construction!$J$12:$BJ$12,"&lt;="&amp;Time!AJ17),Debt!AJ123)</f>
        <v>#VALUE!</v>
      </c>
      <c r="AK22" s="11" t="e">
        <f aca="false">IF(Time!AK17&lt;Time!$F$11,SUMIFS(Funding!$J$73:$BJ$73,Construction!$J$12:$BJ$12,"&lt;="&amp;Time!AK17),Debt!AK123)</f>
        <v>#VALUE!</v>
      </c>
      <c r="AL22" s="11" t="e">
        <f aca="false">IF(Time!AL17&lt;Time!$F$11,SUMIFS(Funding!$J$73:$BJ$73,Construction!$J$12:$BJ$12,"&lt;="&amp;Time!AL17),Debt!AL123)</f>
        <v>#VALUE!</v>
      </c>
      <c r="AM22" s="11" t="e">
        <f aca="false">IF(Time!AM17&lt;Time!$F$11,SUMIFS(Funding!$J$73:$BJ$73,Construction!$J$12:$BJ$12,"&lt;="&amp;Time!AM17),Debt!AM123)</f>
        <v>#VALUE!</v>
      </c>
      <c r="AN22" s="11" t="e">
        <f aca="false">IF(Time!AN17&lt;Time!$F$11,SUMIFS(Funding!$J$73:$BJ$73,Construction!$J$12:$BJ$12,"&lt;="&amp;Time!AN17),Debt!AN123)</f>
        <v>#VALUE!</v>
      </c>
      <c r="AO22" s="11" t="e">
        <f aca="false">IF(Time!AO17&lt;Time!$F$11,SUMIFS(Funding!$J$73:$BJ$73,Construction!$J$12:$BJ$12,"&lt;="&amp;Time!AO17),Debt!AO123)</f>
        <v>#VALUE!</v>
      </c>
      <c r="AP22" s="11" t="e">
        <f aca="false">IF(Time!AP17&lt;Time!$F$11,SUMIFS(Funding!$J$73:$BJ$73,Construction!$J$12:$BJ$12,"&lt;="&amp;Time!AP17),Debt!AP123)</f>
        <v>#VALUE!</v>
      </c>
      <c r="AQ22" s="11" t="e">
        <f aca="false">IF(Time!AQ17&lt;Time!$F$11,SUMIFS(Funding!$J$73:$BJ$73,Construction!$J$12:$BJ$12,"&lt;="&amp;Time!AQ17),Debt!AQ123)</f>
        <v>#VALUE!</v>
      </c>
      <c r="AR22" s="11" t="e">
        <f aca="false">IF(Time!AR17&lt;Time!$F$11,SUMIFS(Funding!$J$73:$BJ$73,Construction!$J$12:$BJ$12,"&lt;="&amp;Time!AR17),Debt!AR123)</f>
        <v>#VALUE!</v>
      </c>
      <c r="AS22" s="11" t="e">
        <f aca="false">IF(Time!AS17&lt;Time!$F$11,SUMIFS(Funding!$J$73:$BJ$73,Construction!$J$12:$BJ$12,"&lt;="&amp;Time!AS17),Debt!AS123)</f>
        <v>#VALUE!</v>
      </c>
      <c r="AT22" s="11" t="e">
        <f aca="false">IF(Time!AT17&lt;Time!$F$11,SUMIFS(Funding!$J$73:$BJ$73,Construction!$J$12:$BJ$12,"&lt;="&amp;Time!AT17),Debt!AT123)</f>
        <v>#VALUE!</v>
      </c>
      <c r="AU22" s="11" t="e">
        <f aca="false">IF(Time!AU17&lt;Time!$F$11,SUMIFS(Funding!$J$73:$BJ$73,Construction!$J$12:$BJ$12,"&lt;="&amp;Time!AU17),Debt!AU123)</f>
        <v>#VALUE!</v>
      </c>
      <c r="AV22" s="11" t="e">
        <f aca="false">IF(Time!AV17&lt;Time!$F$11,SUMIFS(Funding!$J$73:$BJ$73,Construction!$J$12:$BJ$12,"&lt;="&amp;Time!AV17),Debt!AV123)</f>
        <v>#VALUE!</v>
      </c>
      <c r="AW22" s="11" t="e">
        <f aca="false">IF(Time!AW17&lt;Time!$F$11,SUMIFS(Funding!$J$73:$BJ$73,Construction!$J$12:$BJ$12,"&lt;="&amp;Time!AW17),Debt!AW123)</f>
        <v>#VALUE!</v>
      </c>
      <c r="AX22" s="11" t="e">
        <f aca="false">IF(Time!AX17&lt;Time!$F$11,SUMIFS(Funding!$J$73:$BJ$73,Construction!$J$12:$BJ$12,"&lt;="&amp;Time!AX17),Debt!AX123)</f>
        <v>#VALUE!</v>
      </c>
      <c r="AY22" s="11" t="e">
        <f aca="false">IF(Time!AY17&lt;Time!$F$11,SUMIFS(Funding!$J$73:$BJ$73,Construction!$J$12:$BJ$12,"&lt;="&amp;Time!AY17),Debt!AY123)</f>
        <v>#VALUE!</v>
      </c>
      <c r="AZ22" s="11" t="e">
        <f aca="false">IF(Time!AZ17&lt;Time!$F$11,SUMIFS(Funding!$J$73:$BJ$73,Construction!$J$12:$BJ$12,"&lt;="&amp;Time!AZ17),Debt!AZ123)</f>
        <v>#VALUE!</v>
      </c>
      <c r="BA22" s="11" t="e">
        <f aca="false">IF(Time!BA17&lt;Time!$F$11,SUMIFS(Funding!$J$73:$BJ$73,Construction!$J$12:$BJ$12,"&lt;="&amp;Time!BA17),Debt!BA123)</f>
        <v>#VALUE!</v>
      </c>
      <c r="BB22" s="11" t="e">
        <f aca="false">IF(Time!BB17&lt;Time!$F$11,SUMIFS(Funding!$J$73:$BJ$73,Construction!$J$12:$BJ$12,"&lt;="&amp;Time!BB17),Debt!BB123)</f>
        <v>#VALUE!</v>
      </c>
      <c r="BC22" s="11" t="e">
        <f aca="false">IF(Time!BC17&lt;Time!$F$11,SUMIFS(Funding!$J$73:$BJ$73,Construction!$J$12:$BJ$12,"&lt;="&amp;Time!BC17),Debt!BC123)</f>
        <v>#VALUE!</v>
      </c>
      <c r="BD22" s="11" t="e">
        <f aca="false">IF(Time!BD17&lt;Time!$F$11,SUMIFS(Funding!$J$73:$BJ$73,Construction!$J$12:$BJ$12,"&lt;="&amp;Time!BD17),Debt!BD123)</f>
        <v>#VALUE!</v>
      </c>
      <c r="BE22" s="11" t="e">
        <f aca="false">IF(Time!BE17&lt;Time!$F$11,SUMIFS(Funding!$J$73:$BJ$73,Construction!$J$12:$BJ$12,"&lt;="&amp;Time!BE17),Debt!BE123)</f>
        <v>#VALUE!</v>
      </c>
      <c r="BF22" s="11" t="e">
        <f aca="false">IF(Time!BF17&lt;Time!$F$11,SUMIFS(Funding!$J$73:$BJ$73,Construction!$J$12:$BJ$12,"&lt;="&amp;Time!BF17),Debt!BF123)</f>
        <v>#VALUE!</v>
      </c>
      <c r="BG22" s="11" t="e">
        <f aca="false">IF(Time!BG17&lt;Time!$F$11,SUMIFS(Funding!$J$73:$BJ$73,Construction!$J$12:$BJ$12,"&lt;="&amp;Time!BG17),Debt!BG123)</f>
        <v>#VALUE!</v>
      </c>
      <c r="BH22" s="11" t="e">
        <f aca="false">IF(Time!BH17&lt;Time!$F$11,SUMIFS(Funding!$J$73:$BJ$73,Construction!$J$12:$BJ$12,"&lt;="&amp;Time!BH17),Debt!BH123)</f>
        <v>#VALUE!</v>
      </c>
      <c r="BI22" s="11" t="e">
        <f aca="false">IF(Time!BI17&lt;Time!$F$11,SUMIFS(Funding!$J$73:$BJ$73,Construction!$J$12:$BJ$12,"&lt;="&amp;Time!BI17),Debt!BI123)</f>
        <v>#VALUE!</v>
      </c>
      <c r="BJ22" s="11" t="e">
        <f aca="false">IF(Time!BJ17&lt;Time!$F$11,SUMIFS(Funding!$J$73:$BJ$73,Construction!$J$12:$BJ$12,"&lt;="&amp;Time!BJ17),Debt!BJ123)</f>
        <v>#VALUE!</v>
      </c>
      <c r="BK22" s="11" t="e">
        <f aca="false">IF(Time!BK17&lt;Time!$F$11,SUMIFS(Funding!$J$73:$BJ$73,Construction!$J$12:$BJ$12,"&lt;="&amp;Time!BK17),Debt!BK123)</f>
        <v>#VALUE!</v>
      </c>
      <c r="BL22" s="11" t="e">
        <f aca="false">IF(Time!BL17&lt;Time!$F$11,SUMIFS(Funding!$J$73:$BJ$73,Construction!$J$12:$BJ$12,"&lt;="&amp;Time!BL17),Debt!BL123)</f>
        <v>#VALUE!</v>
      </c>
      <c r="BM22" s="11" t="e">
        <f aca="false">IF(Time!BM17&lt;Time!$F$11,SUMIFS(Funding!$J$73:$BJ$73,Construction!$J$12:$BJ$12,"&lt;="&amp;Time!BM17),Debt!BM123)</f>
        <v>#VALUE!</v>
      </c>
      <c r="BN22" s="11" t="e">
        <f aca="false">IF(Time!BN17&lt;Time!$F$11,SUMIFS(Funding!$J$73:$BJ$73,Construction!$J$12:$BJ$12,"&lt;="&amp;Time!BN17),Debt!BN123)</f>
        <v>#VALUE!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e">
        <f aca="false">IF(Time!O17&lt;Time!$F$11,SUMIFS(Funding!$J$70:$BJ$70,Construction!$J$12:$BJ$12,"&lt;="&amp;Time!O17)+SUMIFS(Funding!$J$71:$BJ$71,Construction!$J$12:$BJ$12,"&lt;="&amp;Time!O17),Waterfall!O36)</f>
        <v>#VALUE!</v>
      </c>
      <c r="P23" s="11" t="e">
        <f aca="false">IF(Time!P17&lt;Time!$F$11,SUMIFS(Funding!$J$70:$BJ$70,Construction!$J$12:$BJ$12,"&lt;="&amp;Time!P17)+SUMIFS(Funding!$J$71:$BJ$71,Construction!$J$12:$BJ$12,"&lt;="&amp;Time!P17),Waterfall!P36)</f>
        <v>#VALUE!</v>
      </c>
      <c r="Q23" s="11" t="e">
        <f aca="false">IF(Time!Q17&lt;Time!$F$11,SUMIFS(Funding!$J$70:$BJ$70,Construction!$J$12:$BJ$12,"&lt;="&amp;Time!Q17)+SUMIFS(Funding!$J$71:$BJ$71,Construction!$J$12:$BJ$12,"&lt;="&amp;Time!Q17),Waterfall!Q36)</f>
        <v>#VALUE!</v>
      </c>
      <c r="R23" s="11" t="e">
        <f aca="false">IF(Time!R17&lt;Time!$F$11,SUMIFS(Funding!$J$70:$BJ$70,Construction!$J$12:$BJ$12,"&lt;="&amp;Time!R17)+SUMIFS(Funding!$J$71:$BJ$71,Construction!$J$12:$BJ$12,"&lt;="&amp;Time!R17),Waterfall!R36)</f>
        <v>#VALUE!</v>
      </c>
      <c r="S23" s="11" t="e">
        <f aca="false">IF(Time!S17&lt;Time!$F$11,SUMIFS(Funding!$J$70:$BJ$70,Construction!$J$12:$BJ$12,"&lt;="&amp;Time!S17)+SUMIFS(Funding!$J$71:$BJ$71,Construction!$J$12:$BJ$12,"&lt;="&amp;Time!S17),Waterfall!S36)</f>
        <v>#VALUE!</v>
      </c>
      <c r="T23" s="11" t="e">
        <f aca="false">IF(Time!T17&lt;Time!$F$11,SUMIFS(Funding!$J$70:$BJ$70,Construction!$J$12:$BJ$12,"&lt;="&amp;Time!T17)+SUMIFS(Funding!$J$71:$BJ$71,Construction!$J$12:$BJ$12,"&lt;="&amp;Time!T17),Waterfall!T36)</f>
        <v>#VALUE!</v>
      </c>
      <c r="U23" s="11" t="e">
        <f aca="false">IF(Time!U17&lt;Time!$F$11,SUMIFS(Funding!$J$70:$BJ$70,Construction!$J$12:$BJ$12,"&lt;="&amp;Time!U17)+SUMIFS(Funding!$J$71:$BJ$71,Construction!$J$12:$BJ$12,"&lt;="&amp;Time!U17),Waterfall!U36)</f>
        <v>#VALUE!</v>
      </c>
      <c r="V23" s="11" t="e">
        <f aca="false">IF(Time!V17&lt;Time!$F$11,SUMIFS(Funding!$J$70:$BJ$70,Construction!$J$12:$BJ$12,"&lt;="&amp;Time!V17)+SUMIFS(Funding!$J$71:$BJ$71,Construction!$J$12:$BJ$12,"&lt;="&amp;Time!V17),Waterfall!V36)</f>
        <v>#VALUE!</v>
      </c>
      <c r="W23" s="11" t="e">
        <f aca="false">IF(Time!W17&lt;Time!$F$11,SUMIFS(Funding!$J$70:$BJ$70,Construction!$J$12:$BJ$12,"&lt;="&amp;Time!W17)+SUMIFS(Funding!$J$71:$BJ$71,Construction!$J$12:$BJ$12,"&lt;="&amp;Time!W17),Waterfall!W36)</f>
        <v>#VALUE!</v>
      </c>
      <c r="X23" s="11" t="e">
        <f aca="false">IF(Time!X17&lt;Time!$F$11,SUMIFS(Funding!$J$70:$BJ$70,Construction!$J$12:$BJ$12,"&lt;="&amp;Time!X17)+SUMIFS(Funding!$J$71:$BJ$71,Construction!$J$12:$BJ$12,"&lt;="&amp;Time!X17),Waterfall!X36)</f>
        <v>#VALUE!</v>
      </c>
      <c r="Y23" s="11" t="e">
        <f aca="false">IF(Time!Y17&lt;Time!$F$11,SUMIFS(Funding!$J$70:$BJ$70,Construction!$J$12:$BJ$12,"&lt;="&amp;Time!Y17)+SUMIFS(Funding!$J$71:$BJ$71,Construction!$J$12:$BJ$12,"&lt;="&amp;Time!Y17),Waterfall!Y36)</f>
        <v>#VALUE!</v>
      </c>
      <c r="Z23" s="11" t="e">
        <f aca="false">IF(Time!Z17&lt;Time!$F$11,SUMIFS(Funding!$J$70:$BJ$70,Construction!$J$12:$BJ$12,"&lt;="&amp;Time!Z17)+SUMIFS(Funding!$J$71:$BJ$71,Construction!$J$12:$BJ$12,"&lt;="&amp;Time!Z17),Waterfall!Z36)</f>
        <v>#VALUE!</v>
      </c>
      <c r="AA23" s="11" t="e">
        <f aca="false">IF(Time!AA17&lt;Time!$F$11,SUMIFS(Funding!$J$70:$BJ$70,Construction!$J$12:$BJ$12,"&lt;="&amp;Time!AA17)+SUMIFS(Funding!$J$71:$BJ$71,Construction!$J$12:$BJ$12,"&lt;="&amp;Time!AA17),Waterfall!AA36)</f>
        <v>#VALUE!</v>
      </c>
      <c r="AB23" s="11" t="e">
        <f aca="false">IF(Time!AB17&lt;Time!$F$11,SUMIFS(Funding!$J$70:$BJ$70,Construction!$J$12:$BJ$12,"&lt;="&amp;Time!AB17)+SUMIFS(Funding!$J$71:$BJ$71,Construction!$J$12:$BJ$12,"&lt;="&amp;Time!AB17),Waterfall!AB36)</f>
        <v>#VALUE!</v>
      </c>
      <c r="AC23" s="11" t="e">
        <f aca="false">IF(Time!AC17&lt;Time!$F$11,SUMIFS(Funding!$J$70:$BJ$70,Construction!$J$12:$BJ$12,"&lt;="&amp;Time!AC17)+SUMIFS(Funding!$J$71:$BJ$71,Construction!$J$12:$BJ$12,"&lt;="&amp;Time!AC17),Waterfall!AC36)</f>
        <v>#VALUE!</v>
      </c>
      <c r="AD23" s="11" t="e">
        <f aca="false">IF(Time!AD17&lt;Time!$F$11,SUMIFS(Funding!$J$70:$BJ$70,Construction!$J$12:$BJ$12,"&lt;="&amp;Time!AD17)+SUMIFS(Funding!$J$71:$BJ$71,Construction!$J$12:$BJ$12,"&lt;="&amp;Time!AD17),Waterfall!AD36)</f>
        <v>#VALUE!</v>
      </c>
      <c r="AE23" s="11" t="e">
        <f aca="false">IF(Time!AE17&lt;Time!$F$11,SUMIFS(Funding!$J$70:$BJ$70,Construction!$J$12:$BJ$12,"&lt;="&amp;Time!AE17)+SUMIFS(Funding!$J$71:$BJ$71,Construction!$J$12:$BJ$12,"&lt;="&amp;Time!AE17),Waterfall!AE36)</f>
        <v>#VALUE!</v>
      </c>
      <c r="AF23" s="11" t="e">
        <f aca="false">IF(Time!AF17&lt;Time!$F$11,SUMIFS(Funding!$J$70:$BJ$70,Construction!$J$12:$BJ$12,"&lt;="&amp;Time!AF17)+SUMIFS(Funding!$J$71:$BJ$71,Construction!$J$12:$BJ$12,"&lt;="&amp;Time!AF17),Waterfall!AF36)</f>
        <v>#VALUE!</v>
      </c>
      <c r="AG23" s="11" t="e">
        <f aca="false">IF(Time!AG17&lt;Time!$F$11,SUMIFS(Funding!$J$70:$BJ$70,Construction!$J$12:$BJ$12,"&lt;="&amp;Time!AG17)+SUMIFS(Funding!$J$71:$BJ$71,Construction!$J$12:$BJ$12,"&lt;="&amp;Time!AG17),Waterfall!AG36)</f>
        <v>#VALUE!</v>
      </c>
      <c r="AH23" s="11" t="e">
        <f aca="false">IF(Time!AH17&lt;Time!$F$11,SUMIFS(Funding!$J$70:$BJ$70,Construction!$J$12:$BJ$12,"&lt;="&amp;Time!AH17)+SUMIFS(Funding!$J$71:$BJ$71,Construction!$J$12:$BJ$12,"&lt;="&amp;Time!AH17),Waterfall!AH36)</f>
        <v>#VALUE!</v>
      </c>
      <c r="AI23" s="11" t="e">
        <f aca="false">IF(Time!AI17&lt;Time!$F$11,SUMIFS(Funding!$J$70:$BJ$70,Construction!$J$12:$BJ$12,"&lt;="&amp;Time!AI17)+SUMIFS(Funding!$J$71:$BJ$71,Construction!$J$12:$BJ$12,"&lt;="&amp;Time!AI17),Waterfall!AI36)</f>
        <v>#VALUE!</v>
      </c>
      <c r="AJ23" s="11" t="e">
        <f aca="false">IF(Time!AJ17&lt;Time!$F$11,SUMIFS(Funding!$J$70:$BJ$70,Construction!$J$12:$BJ$12,"&lt;="&amp;Time!AJ17)+SUMIFS(Funding!$J$71:$BJ$71,Construction!$J$12:$BJ$12,"&lt;="&amp;Time!AJ17),Waterfall!AJ36)</f>
        <v>#VALUE!</v>
      </c>
      <c r="AK23" s="11" t="e">
        <f aca="false">IF(Time!AK17&lt;Time!$F$11,SUMIFS(Funding!$J$70:$BJ$70,Construction!$J$12:$BJ$12,"&lt;="&amp;Time!AK17)+SUMIFS(Funding!$J$71:$BJ$71,Construction!$J$12:$BJ$12,"&lt;="&amp;Time!AK17),Waterfall!AK36)</f>
        <v>#VALUE!</v>
      </c>
      <c r="AL23" s="11" t="e">
        <f aca="false">IF(Time!AL17&lt;Time!$F$11,SUMIFS(Funding!$J$70:$BJ$70,Construction!$J$12:$BJ$12,"&lt;="&amp;Time!AL17)+SUMIFS(Funding!$J$71:$BJ$71,Construction!$J$12:$BJ$12,"&lt;="&amp;Time!AL17),Waterfall!AL36)</f>
        <v>#VALUE!</v>
      </c>
      <c r="AM23" s="11" t="e">
        <f aca="false">IF(Time!AM17&lt;Time!$F$11,SUMIFS(Funding!$J$70:$BJ$70,Construction!$J$12:$BJ$12,"&lt;="&amp;Time!AM17)+SUMIFS(Funding!$J$71:$BJ$71,Construction!$J$12:$BJ$12,"&lt;="&amp;Time!AM17),Waterfall!AM36)</f>
        <v>#VALUE!</v>
      </c>
      <c r="AN23" s="11" t="e">
        <f aca="false">IF(Time!AN17&lt;Time!$F$11,SUMIFS(Funding!$J$70:$BJ$70,Construction!$J$12:$BJ$12,"&lt;="&amp;Time!AN17)+SUMIFS(Funding!$J$71:$BJ$71,Construction!$J$12:$BJ$12,"&lt;="&amp;Time!AN17),Waterfall!AN36)</f>
        <v>#VALUE!</v>
      </c>
      <c r="AO23" s="11" t="e">
        <f aca="false">IF(Time!AO17&lt;Time!$F$11,SUMIFS(Funding!$J$70:$BJ$70,Construction!$J$12:$BJ$12,"&lt;="&amp;Time!AO17)+SUMIFS(Funding!$J$71:$BJ$71,Construction!$J$12:$BJ$12,"&lt;="&amp;Time!AO17),Waterfall!AO36)</f>
        <v>#VALUE!</v>
      </c>
      <c r="AP23" s="11" t="e">
        <f aca="false">IF(Time!AP17&lt;Time!$F$11,SUMIFS(Funding!$J$70:$BJ$70,Construction!$J$12:$BJ$12,"&lt;="&amp;Time!AP17)+SUMIFS(Funding!$J$71:$BJ$71,Construction!$J$12:$BJ$12,"&lt;="&amp;Time!AP17),Waterfall!AP36)</f>
        <v>#VALUE!</v>
      </c>
      <c r="AQ23" s="11" t="e">
        <f aca="false">IF(Time!AQ17&lt;Time!$F$11,SUMIFS(Funding!$J$70:$BJ$70,Construction!$J$12:$BJ$12,"&lt;="&amp;Time!AQ17)+SUMIFS(Funding!$J$71:$BJ$71,Construction!$J$12:$BJ$12,"&lt;="&amp;Time!AQ17),Waterfall!AQ36)</f>
        <v>#VALUE!</v>
      </c>
      <c r="AR23" s="11" t="e">
        <f aca="false">IF(Time!AR17&lt;Time!$F$11,SUMIFS(Funding!$J$70:$BJ$70,Construction!$J$12:$BJ$12,"&lt;="&amp;Time!AR17)+SUMIFS(Funding!$J$71:$BJ$71,Construction!$J$12:$BJ$12,"&lt;="&amp;Time!AR17),Waterfall!AR36)</f>
        <v>#VALUE!</v>
      </c>
      <c r="AS23" s="11" t="e">
        <f aca="false">IF(Time!AS17&lt;Time!$F$11,SUMIFS(Funding!$J$70:$BJ$70,Construction!$J$12:$BJ$12,"&lt;="&amp;Time!AS17)+SUMIFS(Funding!$J$71:$BJ$71,Construction!$J$12:$BJ$12,"&lt;="&amp;Time!AS17),Waterfall!AS36)</f>
        <v>#VALUE!</v>
      </c>
      <c r="AT23" s="11" t="e">
        <f aca="false">IF(Time!AT17&lt;Time!$F$11,SUMIFS(Funding!$J$70:$BJ$70,Construction!$J$12:$BJ$12,"&lt;="&amp;Time!AT17)+SUMIFS(Funding!$J$71:$BJ$71,Construction!$J$12:$BJ$12,"&lt;="&amp;Time!AT17),Waterfall!AT36)</f>
        <v>#VALUE!</v>
      </c>
      <c r="AU23" s="11" t="e">
        <f aca="false">IF(Time!AU17&lt;Time!$F$11,SUMIFS(Funding!$J$70:$BJ$70,Construction!$J$12:$BJ$12,"&lt;="&amp;Time!AU17)+SUMIFS(Funding!$J$71:$BJ$71,Construction!$J$12:$BJ$12,"&lt;="&amp;Time!AU17),Waterfall!AU36)</f>
        <v>#VALUE!</v>
      </c>
      <c r="AV23" s="11" t="e">
        <f aca="false">IF(Time!AV17&lt;Time!$F$11,SUMIFS(Funding!$J$70:$BJ$70,Construction!$J$12:$BJ$12,"&lt;="&amp;Time!AV17)+SUMIFS(Funding!$J$71:$BJ$71,Construction!$J$12:$BJ$12,"&lt;="&amp;Time!AV17),Waterfall!AV36)</f>
        <v>#VALUE!</v>
      </c>
      <c r="AW23" s="11" t="e">
        <f aca="false">IF(Time!AW17&lt;Time!$F$11,SUMIFS(Funding!$J$70:$BJ$70,Construction!$J$12:$BJ$12,"&lt;="&amp;Time!AW17)+SUMIFS(Funding!$J$71:$BJ$71,Construction!$J$12:$BJ$12,"&lt;="&amp;Time!AW17),Waterfall!AW36)</f>
        <v>#VALUE!</v>
      </c>
      <c r="AX23" s="11" t="e">
        <f aca="false">IF(Time!AX17&lt;Time!$F$11,SUMIFS(Funding!$J$70:$BJ$70,Construction!$J$12:$BJ$12,"&lt;="&amp;Time!AX17)+SUMIFS(Funding!$J$71:$BJ$71,Construction!$J$12:$BJ$12,"&lt;="&amp;Time!AX17),Waterfall!AX36)</f>
        <v>#VALUE!</v>
      </c>
      <c r="AY23" s="11" t="e">
        <f aca="false">IF(Time!AY17&lt;Time!$F$11,SUMIFS(Funding!$J$70:$BJ$70,Construction!$J$12:$BJ$12,"&lt;="&amp;Time!AY17)+SUMIFS(Funding!$J$71:$BJ$71,Construction!$J$12:$BJ$12,"&lt;="&amp;Time!AY17),Waterfall!AY36)</f>
        <v>#VALUE!</v>
      </c>
      <c r="AZ23" s="11" t="e">
        <f aca="false">IF(Time!AZ17&lt;Time!$F$11,SUMIFS(Funding!$J$70:$BJ$70,Construction!$J$12:$BJ$12,"&lt;="&amp;Time!AZ17)+SUMIFS(Funding!$J$71:$BJ$71,Construction!$J$12:$BJ$12,"&lt;="&amp;Time!AZ17),Waterfall!AZ36)</f>
        <v>#VALUE!</v>
      </c>
      <c r="BA23" s="11" t="e">
        <f aca="false">IF(Time!BA17&lt;Time!$F$11,SUMIFS(Funding!$J$70:$BJ$70,Construction!$J$12:$BJ$12,"&lt;="&amp;Time!BA17)+SUMIFS(Funding!$J$71:$BJ$71,Construction!$J$12:$BJ$12,"&lt;="&amp;Time!BA17),Waterfall!BA36)</f>
        <v>#VALUE!</v>
      </c>
      <c r="BB23" s="11" t="e">
        <f aca="false">IF(Time!BB17&lt;Time!$F$11,SUMIFS(Funding!$J$70:$BJ$70,Construction!$J$12:$BJ$12,"&lt;="&amp;Time!BB17)+SUMIFS(Funding!$J$71:$BJ$71,Construction!$J$12:$BJ$12,"&lt;="&amp;Time!BB17),Waterfall!BB36)</f>
        <v>#VALUE!</v>
      </c>
      <c r="BC23" s="11" t="e">
        <f aca="false">IF(Time!BC17&lt;Time!$F$11,SUMIFS(Funding!$J$70:$BJ$70,Construction!$J$12:$BJ$12,"&lt;="&amp;Time!BC17)+SUMIFS(Funding!$J$71:$BJ$71,Construction!$J$12:$BJ$12,"&lt;="&amp;Time!BC17),Waterfall!BC36)</f>
        <v>#VALUE!</v>
      </c>
      <c r="BD23" s="11" t="e">
        <f aca="false">IF(Time!BD17&lt;Time!$F$11,SUMIFS(Funding!$J$70:$BJ$70,Construction!$J$12:$BJ$12,"&lt;="&amp;Time!BD17)+SUMIFS(Funding!$J$71:$BJ$71,Construction!$J$12:$BJ$12,"&lt;="&amp;Time!BD17),Waterfall!BD36)</f>
        <v>#VALUE!</v>
      </c>
      <c r="BE23" s="11" t="e">
        <f aca="false">IF(Time!BE17&lt;Time!$F$11,SUMIFS(Funding!$J$70:$BJ$70,Construction!$J$12:$BJ$12,"&lt;="&amp;Time!BE17)+SUMIFS(Funding!$J$71:$BJ$71,Construction!$J$12:$BJ$12,"&lt;="&amp;Time!BE17),Waterfall!BE36)</f>
        <v>#VALUE!</v>
      </c>
      <c r="BF23" s="11" t="e">
        <f aca="false">IF(Time!BF17&lt;Time!$F$11,SUMIFS(Funding!$J$70:$BJ$70,Construction!$J$12:$BJ$12,"&lt;="&amp;Time!BF17)+SUMIFS(Funding!$J$71:$BJ$71,Construction!$J$12:$BJ$12,"&lt;="&amp;Time!BF17),Waterfall!BF36)</f>
        <v>#VALUE!</v>
      </c>
      <c r="BG23" s="11" t="e">
        <f aca="false">IF(Time!BG17&lt;Time!$F$11,SUMIFS(Funding!$J$70:$BJ$70,Construction!$J$12:$BJ$12,"&lt;="&amp;Time!BG17)+SUMIFS(Funding!$J$71:$BJ$71,Construction!$J$12:$BJ$12,"&lt;="&amp;Time!BG17),Waterfall!BG36)</f>
        <v>#VALUE!</v>
      </c>
      <c r="BH23" s="11" t="e">
        <f aca="false">IF(Time!BH17&lt;Time!$F$11,SUMIFS(Funding!$J$70:$BJ$70,Construction!$J$12:$BJ$12,"&lt;="&amp;Time!BH17)+SUMIFS(Funding!$J$71:$BJ$71,Construction!$J$12:$BJ$12,"&lt;="&amp;Time!BH17),Waterfall!BH36)</f>
        <v>#VALUE!</v>
      </c>
      <c r="BI23" s="11" t="e">
        <f aca="false">IF(Time!BI17&lt;Time!$F$11,SUMIFS(Funding!$J$70:$BJ$70,Construction!$J$12:$BJ$12,"&lt;="&amp;Time!BI17)+SUMIFS(Funding!$J$71:$BJ$71,Construction!$J$12:$BJ$12,"&lt;="&amp;Time!BI17),Waterfall!BI36)</f>
        <v>#VALUE!</v>
      </c>
      <c r="BJ23" s="11" t="e">
        <f aca="false">IF(Time!BJ17&lt;Time!$F$11,SUMIFS(Funding!$J$70:$BJ$70,Construction!$J$12:$BJ$12,"&lt;="&amp;Time!BJ17)+SUMIFS(Funding!$J$71:$BJ$71,Construction!$J$12:$BJ$12,"&lt;="&amp;Time!BJ17),Waterfall!BJ36)</f>
        <v>#VALUE!</v>
      </c>
      <c r="BK23" s="11" t="e">
        <f aca="false">IF(Time!BK17&lt;Time!$F$11,SUMIFS(Funding!$J$70:$BJ$70,Construction!$J$12:$BJ$12,"&lt;="&amp;Time!BK17)+SUMIFS(Funding!$J$71:$BJ$71,Construction!$J$12:$BJ$12,"&lt;="&amp;Time!BK17),Waterfall!BK36)</f>
        <v>#VALUE!</v>
      </c>
      <c r="BL23" s="11" t="e">
        <f aca="false">IF(Time!BL17&lt;Time!$F$11,SUMIFS(Funding!$J$70:$BJ$70,Construction!$J$12:$BJ$12,"&lt;="&amp;Time!BL17)+SUMIFS(Funding!$J$71:$BJ$71,Construction!$J$12:$BJ$12,"&lt;="&amp;Time!BL17),Waterfall!BL36)</f>
        <v>#VALUE!</v>
      </c>
      <c r="BM23" s="11" t="e">
        <f aca="false">IF(Time!BM17&lt;Time!$F$11,SUMIFS(Funding!$J$70:$BJ$70,Construction!$J$12:$BJ$12,"&lt;="&amp;Time!BM17)+SUMIFS(Funding!$J$71:$BJ$71,Construction!$J$12:$BJ$12,"&lt;="&amp;Time!BM17),Waterfall!BM36)</f>
        <v>#VALUE!</v>
      </c>
      <c r="BN23" s="11" t="e">
        <f aca="false">IF(Time!BN17&lt;Time!$F$11,SUMIFS(Funding!$J$70:$BJ$70,Construction!$J$12:$BJ$12,"&lt;="&amp;Time!BN17)+SUMIFS(Funding!$J$71:$BJ$71,Construction!$J$12:$BJ$12,"&lt;="&amp;Time!BN17),Waterfall!BN36)</f>
        <v>#VALUE!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e">
        <f aca="false">MAX(0,O12)</f>
        <v>#VALUE!</v>
      </c>
      <c r="P25" s="11" t="e">
        <f aca="false">MAX(0,P12)</f>
        <v>#VALUE!</v>
      </c>
      <c r="Q25" s="11" t="e">
        <f aca="false">MAX(0,Q12)</f>
        <v>#VALUE!</v>
      </c>
      <c r="R25" s="11" t="e">
        <f aca="false">MAX(0,R12)</f>
        <v>#VALUE!</v>
      </c>
      <c r="S25" s="11" t="e">
        <f aca="false">MAX(0,S12)</f>
        <v>#VALUE!</v>
      </c>
      <c r="T25" s="11" t="e">
        <f aca="false">MAX(0,T12)</f>
        <v>#VALUE!</v>
      </c>
      <c r="U25" s="11" t="e">
        <f aca="false">MAX(0,U12)</f>
        <v>#VALUE!</v>
      </c>
      <c r="V25" s="11" t="e">
        <f aca="false">MAX(0,V12)</f>
        <v>#VALUE!</v>
      </c>
      <c r="W25" s="11" t="e">
        <f aca="false">MAX(0,W12)</f>
        <v>#VALUE!</v>
      </c>
      <c r="X25" s="11" t="e">
        <f aca="false">MAX(0,X12)</f>
        <v>#VALUE!</v>
      </c>
      <c r="Y25" s="11" t="e">
        <f aca="false">MAX(0,Y12)</f>
        <v>#VALUE!</v>
      </c>
      <c r="Z25" s="11" t="e">
        <f aca="false">MAX(0,Z12)</f>
        <v>#VALUE!</v>
      </c>
      <c r="AA25" s="11" t="e">
        <f aca="false">MAX(0,AA12)</f>
        <v>#VALUE!</v>
      </c>
      <c r="AB25" s="11" t="e">
        <f aca="false">MAX(0,AB12)</f>
        <v>#VALUE!</v>
      </c>
      <c r="AC25" s="11" t="e">
        <f aca="false">MAX(0,AC12)</f>
        <v>#VALUE!</v>
      </c>
      <c r="AD25" s="11" t="e">
        <f aca="false">MAX(0,AD12)</f>
        <v>#VALUE!</v>
      </c>
      <c r="AE25" s="11" t="e">
        <f aca="false">MAX(0,AE12)</f>
        <v>#VALUE!</v>
      </c>
      <c r="AF25" s="11" t="e">
        <f aca="false">MAX(0,AF12)</f>
        <v>#VALUE!</v>
      </c>
      <c r="AG25" s="11" t="e">
        <f aca="false">MAX(0,AG12)</f>
        <v>#VALUE!</v>
      </c>
      <c r="AH25" s="11" t="e">
        <f aca="false">MAX(0,AH12)</f>
        <v>#VALUE!</v>
      </c>
      <c r="AI25" s="11" t="e">
        <f aca="false">MAX(0,AI12)</f>
        <v>#VALUE!</v>
      </c>
      <c r="AJ25" s="11" t="e">
        <f aca="false">MAX(0,AJ12)</f>
        <v>#VALUE!</v>
      </c>
      <c r="AK25" s="11" t="e">
        <f aca="false">MAX(0,AK12)</f>
        <v>#VALUE!</v>
      </c>
      <c r="AL25" s="11" t="e">
        <f aca="false">MAX(0,AL12)</f>
        <v>#VALUE!</v>
      </c>
      <c r="AM25" s="11" t="e">
        <f aca="false">MAX(0,AM12)</f>
        <v>#VALUE!</v>
      </c>
      <c r="AN25" s="11" t="e">
        <f aca="false">MAX(0,AN12)</f>
        <v>#VALUE!</v>
      </c>
      <c r="AO25" s="11" t="e">
        <f aca="false">MAX(0,AO12)</f>
        <v>#VALUE!</v>
      </c>
      <c r="AP25" s="11" t="e">
        <f aca="false">MAX(0,AP12)</f>
        <v>#VALUE!</v>
      </c>
      <c r="AQ25" s="11" t="e">
        <f aca="false">MAX(0,AQ12)</f>
        <v>#VALUE!</v>
      </c>
      <c r="AR25" s="11" t="e">
        <f aca="false">MAX(0,AR12)</f>
        <v>#VALUE!</v>
      </c>
      <c r="AS25" s="11" t="e">
        <f aca="false">MAX(0,AS12)</f>
        <v>#VALUE!</v>
      </c>
      <c r="AT25" s="11" t="e">
        <f aca="false">MAX(0,AT12)</f>
        <v>#VALUE!</v>
      </c>
      <c r="AU25" s="11" t="e">
        <f aca="false">MAX(0,AU12)</f>
        <v>#VALUE!</v>
      </c>
      <c r="AV25" s="11" t="e">
        <f aca="false">MAX(0,AV12)</f>
        <v>#VALUE!</v>
      </c>
      <c r="AW25" s="11" t="e">
        <f aca="false">MAX(0,AW12)</f>
        <v>#VALUE!</v>
      </c>
      <c r="AX25" s="11" t="e">
        <f aca="false">MAX(0,AX12)</f>
        <v>#VALUE!</v>
      </c>
      <c r="AY25" s="11" t="e">
        <f aca="false">MAX(0,AY12)</f>
        <v>#VALUE!</v>
      </c>
      <c r="AZ25" s="11" t="e">
        <f aca="false">MAX(0,AZ12)</f>
        <v>#VALUE!</v>
      </c>
      <c r="BA25" s="11" t="e">
        <f aca="false">MAX(0,BA12)</f>
        <v>#VALUE!</v>
      </c>
      <c r="BB25" s="11" t="e">
        <f aca="false">MAX(0,BB12)</f>
        <v>#VALUE!</v>
      </c>
      <c r="BC25" s="11" t="e">
        <f aca="false">MAX(0,BC12)</f>
        <v>#VALUE!</v>
      </c>
      <c r="BD25" s="11" t="e">
        <f aca="false">MAX(0,BD12)</f>
        <v>#VALUE!</v>
      </c>
      <c r="BE25" s="11" t="e">
        <f aca="false">MAX(0,BE12)</f>
        <v>#VALUE!</v>
      </c>
      <c r="BF25" s="11" t="e">
        <f aca="false">MAX(0,BF12)</f>
        <v>#VALUE!</v>
      </c>
      <c r="BG25" s="11" t="e">
        <f aca="false">MAX(0,BG12)</f>
        <v>#VALUE!</v>
      </c>
      <c r="BH25" s="11" t="e">
        <f aca="false">MAX(0,BH12)</f>
        <v>#VALUE!</v>
      </c>
      <c r="BI25" s="11" t="e">
        <f aca="false">MAX(0,BI12)</f>
        <v>#VALUE!</v>
      </c>
      <c r="BJ25" s="11" t="e">
        <f aca="false">MAX(0,BJ12)</f>
        <v>#VALUE!</v>
      </c>
      <c r="BK25" s="11" t="e">
        <f aca="false">MAX(0,BK12)</f>
        <v>#VALUE!</v>
      </c>
      <c r="BL25" s="11" t="e">
        <f aca="false">MAX(0,BL12)</f>
        <v>#VALUE!</v>
      </c>
      <c r="BM25" s="11" t="e">
        <f aca="false">MAX(0,BM12)</f>
        <v>#VALUE!</v>
      </c>
      <c r="BN25" s="11" t="e">
        <f aca="false">MAX(0,BN12)</f>
        <v>#VALUE!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e">
        <f aca="false">Waterfall!O43</f>
        <v>#VALUE!</v>
      </c>
      <c r="P27" s="16" t="e">
        <f aca="false">Waterfall!P43</f>
        <v>#VALUE!</v>
      </c>
      <c r="Q27" s="16" t="e">
        <f aca="false">Waterfall!Q43</f>
        <v>#VALUE!</v>
      </c>
      <c r="R27" s="16" t="e">
        <f aca="false">Waterfall!R43</f>
        <v>#VALUE!</v>
      </c>
      <c r="S27" s="16" t="e">
        <f aca="false">Waterfall!S43</f>
        <v>#VALUE!</v>
      </c>
      <c r="T27" s="16" t="e">
        <f aca="false">Waterfall!T43</f>
        <v>#VALUE!</v>
      </c>
      <c r="U27" s="16" t="e">
        <f aca="false">Waterfall!U43</f>
        <v>#VALUE!</v>
      </c>
      <c r="V27" s="16" t="e">
        <f aca="false">Waterfall!V43</f>
        <v>#VALUE!</v>
      </c>
      <c r="W27" s="16" t="e">
        <f aca="false">Waterfall!W43</f>
        <v>#VALUE!</v>
      </c>
      <c r="X27" s="16" t="e">
        <f aca="false">Waterfall!X43</f>
        <v>#VALUE!</v>
      </c>
      <c r="Y27" s="16" t="e">
        <f aca="false">Waterfall!Y43</f>
        <v>#VALUE!</v>
      </c>
      <c r="Z27" s="16" t="e">
        <f aca="false">Waterfall!Z43</f>
        <v>#VALUE!</v>
      </c>
      <c r="AA27" s="16" t="e">
        <f aca="false">Waterfall!AA43</f>
        <v>#VALUE!</v>
      </c>
      <c r="AB27" s="16" t="e">
        <f aca="false">Waterfall!AB43</f>
        <v>#VALUE!</v>
      </c>
      <c r="AC27" s="16" t="e">
        <f aca="false">Waterfall!AC43</f>
        <v>#VALUE!</v>
      </c>
      <c r="AD27" s="16" t="e">
        <f aca="false">Waterfall!AD43</f>
        <v>#VALUE!</v>
      </c>
      <c r="AE27" s="16" t="e">
        <f aca="false">Waterfall!AE43</f>
        <v>#VALUE!</v>
      </c>
      <c r="AF27" s="16" t="e">
        <f aca="false">Waterfall!AF43</f>
        <v>#VALUE!</v>
      </c>
      <c r="AG27" s="16" t="e">
        <f aca="false">Waterfall!AG43</f>
        <v>#VALUE!</v>
      </c>
      <c r="AH27" s="16" t="e">
        <f aca="false">Waterfall!AH43</f>
        <v>#VALUE!</v>
      </c>
      <c r="AI27" s="16" t="e">
        <f aca="false">Waterfall!AI43</f>
        <v>#VALUE!</v>
      </c>
      <c r="AJ27" s="16" t="e">
        <f aca="false">Waterfall!AJ43</f>
        <v>#VALUE!</v>
      </c>
      <c r="AK27" s="16" t="e">
        <f aca="false">Waterfall!AK43</f>
        <v>#VALUE!</v>
      </c>
      <c r="AL27" s="16" t="e">
        <f aca="false">Waterfall!AL43</f>
        <v>#VALUE!</v>
      </c>
      <c r="AM27" s="16" t="e">
        <f aca="false">Waterfall!AM43</f>
        <v>#VALUE!</v>
      </c>
      <c r="AN27" s="16" t="e">
        <f aca="false">Waterfall!AN43</f>
        <v>#VALUE!</v>
      </c>
      <c r="AO27" s="16" t="e">
        <f aca="false">Waterfall!AO43</f>
        <v>#VALUE!</v>
      </c>
      <c r="AP27" s="16" t="e">
        <f aca="false">Waterfall!AP43</f>
        <v>#VALUE!</v>
      </c>
      <c r="AQ27" s="16" t="e">
        <f aca="false">Waterfall!AQ43</f>
        <v>#VALUE!</v>
      </c>
      <c r="AR27" s="16" t="e">
        <f aca="false">Waterfall!AR43</f>
        <v>#VALUE!</v>
      </c>
      <c r="AS27" s="16" t="e">
        <f aca="false">Waterfall!AS43</f>
        <v>#VALUE!</v>
      </c>
      <c r="AT27" s="16" t="e">
        <f aca="false">Waterfall!AT43</f>
        <v>#VALUE!</v>
      </c>
      <c r="AU27" s="16" t="e">
        <f aca="false">Waterfall!AU43</f>
        <v>#VALUE!</v>
      </c>
      <c r="AV27" s="16" t="e">
        <f aca="false">Waterfall!AV43</f>
        <v>#VALUE!</v>
      </c>
      <c r="AW27" s="16" t="e">
        <f aca="false">Waterfall!AW43</f>
        <v>#VALUE!</v>
      </c>
      <c r="AX27" s="16" t="e">
        <f aca="false">Waterfall!AX43</f>
        <v>#VALUE!</v>
      </c>
      <c r="AY27" s="16" t="e">
        <f aca="false">Waterfall!AY43</f>
        <v>#VALUE!</v>
      </c>
      <c r="AZ27" s="16" t="e">
        <f aca="false">Waterfall!AZ43</f>
        <v>#VALUE!</v>
      </c>
      <c r="BA27" s="16" t="e">
        <f aca="false">Waterfall!BA43</f>
        <v>#VALUE!</v>
      </c>
      <c r="BB27" s="16" t="e">
        <f aca="false">Waterfall!BB43</f>
        <v>#VALUE!</v>
      </c>
      <c r="BC27" s="16" t="e">
        <f aca="false">Waterfall!BC43</f>
        <v>#VALUE!</v>
      </c>
      <c r="BD27" s="16" t="e">
        <f aca="false">Waterfall!BD43</f>
        <v>#VALUE!</v>
      </c>
      <c r="BE27" s="16" t="e">
        <f aca="false">Waterfall!BE43</f>
        <v>#VALUE!</v>
      </c>
      <c r="BF27" s="16" t="e">
        <f aca="false">Waterfall!BF43</f>
        <v>#VALUE!</v>
      </c>
      <c r="BG27" s="16" t="e">
        <f aca="false">Waterfall!BG43</f>
        <v>#VALUE!</v>
      </c>
      <c r="BH27" s="16" t="e">
        <f aca="false">Waterfall!BH43</f>
        <v>#VALUE!</v>
      </c>
      <c r="BI27" s="16" t="e">
        <f aca="false">Waterfall!BI43</f>
        <v>#VALUE!</v>
      </c>
      <c r="BJ27" s="16" t="e">
        <f aca="false">Waterfall!BJ43</f>
        <v>#VALUE!</v>
      </c>
      <c r="BK27" s="16" t="e">
        <f aca="false">Waterfall!BK43</f>
        <v>#VALUE!</v>
      </c>
      <c r="BL27" s="16" t="e">
        <f aca="false">Waterfall!BL43</f>
        <v>#VALUE!</v>
      </c>
      <c r="BM27" s="16" t="e">
        <f aca="false">Waterfall!BM43</f>
        <v>#VALUE!</v>
      </c>
      <c r="BN27" s="16" t="e">
        <f aca="false">Waterfall!BN43</f>
        <v>#VALUE!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e">
        <f aca="false">O22+O23+O24+O25+O26+O27</f>
        <v>#VALUE!</v>
      </c>
      <c r="P28" s="11" t="e">
        <f aca="false">P22+P23+P24+P25+P26+P27</f>
        <v>#VALUE!</v>
      </c>
      <c r="Q28" s="11" t="e">
        <f aca="false">Q22+Q23+Q24+Q25+Q26+Q27</f>
        <v>#VALUE!</v>
      </c>
      <c r="R28" s="11" t="e">
        <f aca="false">R22+R23+R24+R25+R26+R27</f>
        <v>#VALUE!</v>
      </c>
      <c r="S28" s="11" t="e">
        <f aca="false">S22+S23+S24+S25+S26+S27</f>
        <v>#VALUE!</v>
      </c>
      <c r="T28" s="11" t="e">
        <f aca="false">T22+T23+T24+T25+T26+T27</f>
        <v>#VALUE!</v>
      </c>
      <c r="U28" s="11" t="e">
        <f aca="false">U22+U23+U24+U25+U26+U27</f>
        <v>#VALUE!</v>
      </c>
      <c r="V28" s="11" t="e">
        <f aca="false">V22+V23+V24+V25+V26+V27</f>
        <v>#VALUE!</v>
      </c>
      <c r="W28" s="11" t="e">
        <f aca="false">W22+W23+W24+W25+W26+W27</f>
        <v>#VALUE!</v>
      </c>
      <c r="X28" s="11" t="e">
        <f aca="false">X22+X23+X24+X25+X26+X27</f>
        <v>#VALUE!</v>
      </c>
      <c r="Y28" s="11" t="e">
        <f aca="false">Y22+Y23+Y24+Y25+Y26+Y27</f>
        <v>#VALUE!</v>
      </c>
      <c r="Z28" s="11" t="e">
        <f aca="false">Z22+Z23+Z24+Z25+Z26+Z27</f>
        <v>#VALUE!</v>
      </c>
      <c r="AA28" s="11" t="e">
        <f aca="false">AA22+AA23+AA24+AA25+AA26+AA27</f>
        <v>#VALUE!</v>
      </c>
      <c r="AB28" s="11" t="e">
        <f aca="false">AB22+AB23+AB24+AB25+AB26+AB27</f>
        <v>#VALUE!</v>
      </c>
      <c r="AC28" s="11" t="e">
        <f aca="false">AC22+AC23+AC24+AC25+AC26+AC27</f>
        <v>#VALUE!</v>
      </c>
      <c r="AD28" s="11" t="e">
        <f aca="false">AD22+AD23+AD24+AD25+AD26+AD27</f>
        <v>#VALUE!</v>
      </c>
      <c r="AE28" s="11" t="e">
        <f aca="false">AE22+AE23+AE24+AE25+AE26+AE27</f>
        <v>#VALUE!</v>
      </c>
      <c r="AF28" s="11" t="e">
        <f aca="false">AF22+AF23+AF24+AF25+AF26+AF27</f>
        <v>#VALUE!</v>
      </c>
      <c r="AG28" s="11" t="e">
        <f aca="false">AG22+AG23+AG24+AG25+AG26+AG27</f>
        <v>#VALUE!</v>
      </c>
      <c r="AH28" s="11" t="e">
        <f aca="false">AH22+AH23+AH24+AH25+AH26+AH27</f>
        <v>#VALUE!</v>
      </c>
      <c r="AI28" s="11" t="e">
        <f aca="false">AI22+AI23+AI24+AI25+AI26+AI27</f>
        <v>#VALUE!</v>
      </c>
      <c r="AJ28" s="11" t="e">
        <f aca="false">AJ22+AJ23+AJ24+AJ25+AJ26+AJ27</f>
        <v>#VALUE!</v>
      </c>
      <c r="AK28" s="11" t="e">
        <f aca="false">AK22+AK23+AK24+AK25+AK26+AK27</f>
        <v>#VALUE!</v>
      </c>
      <c r="AL28" s="11" t="e">
        <f aca="false">AL22+AL23+AL24+AL25+AL26+AL27</f>
        <v>#VALUE!</v>
      </c>
      <c r="AM28" s="11" t="e">
        <f aca="false">AM22+AM23+AM24+AM25+AM26+AM27</f>
        <v>#VALUE!</v>
      </c>
      <c r="AN28" s="11" t="e">
        <f aca="false">AN22+AN23+AN24+AN25+AN26+AN27</f>
        <v>#VALUE!</v>
      </c>
      <c r="AO28" s="11" t="e">
        <f aca="false">AO22+AO23+AO24+AO25+AO26+AO27</f>
        <v>#VALUE!</v>
      </c>
      <c r="AP28" s="11" t="e">
        <f aca="false">AP22+AP23+AP24+AP25+AP26+AP27</f>
        <v>#VALUE!</v>
      </c>
      <c r="AQ28" s="11" t="e">
        <f aca="false">AQ22+AQ23+AQ24+AQ25+AQ26+AQ27</f>
        <v>#VALUE!</v>
      </c>
      <c r="AR28" s="11" t="e">
        <f aca="false">AR22+AR23+AR24+AR25+AR26+AR27</f>
        <v>#VALUE!</v>
      </c>
      <c r="AS28" s="11" t="e">
        <f aca="false">AS22+AS23+AS24+AS25+AS26+AS27</f>
        <v>#VALUE!</v>
      </c>
      <c r="AT28" s="11" t="e">
        <f aca="false">AT22+AT23+AT24+AT25+AT26+AT27</f>
        <v>#VALUE!</v>
      </c>
      <c r="AU28" s="11" t="e">
        <f aca="false">AU22+AU23+AU24+AU25+AU26+AU27</f>
        <v>#VALUE!</v>
      </c>
      <c r="AV28" s="11" t="e">
        <f aca="false">AV22+AV23+AV24+AV25+AV26+AV27</f>
        <v>#VALUE!</v>
      </c>
      <c r="AW28" s="11" t="e">
        <f aca="false">AW22+AW23+AW24+AW25+AW26+AW27</f>
        <v>#VALUE!</v>
      </c>
      <c r="AX28" s="11" t="e">
        <f aca="false">AX22+AX23+AX24+AX25+AX26+AX27</f>
        <v>#VALUE!</v>
      </c>
      <c r="AY28" s="11" t="e">
        <f aca="false">AY22+AY23+AY24+AY25+AY26+AY27</f>
        <v>#VALUE!</v>
      </c>
      <c r="AZ28" s="11" t="e">
        <f aca="false">AZ22+AZ23+AZ24+AZ25+AZ26+AZ27</f>
        <v>#VALUE!</v>
      </c>
      <c r="BA28" s="11" t="e">
        <f aca="false">BA22+BA23+BA24+BA25+BA26+BA27</f>
        <v>#VALUE!</v>
      </c>
      <c r="BB28" s="11" t="e">
        <f aca="false">BB22+BB23+BB24+BB25+BB26+BB27</f>
        <v>#VALUE!</v>
      </c>
      <c r="BC28" s="11" t="e">
        <f aca="false">BC22+BC23+BC24+BC25+BC26+BC27</f>
        <v>#VALUE!</v>
      </c>
      <c r="BD28" s="11" t="e">
        <f aca="false">BD22+BD23+BD24+BD25+BD26+BD27</f>
        <v>#VALUE!</v>
      </c>
      <c r="BE28" s="11" t="e">
        <f aca="false">BE22+BE23+BE24+BE25+BE26+BE27</f>
        <v>#VALUE!</v>
      </c>
      <c r="BF28" s="11" t="e">
        <f aca="false">BF22+BF23+BF24+BF25+BF26+BF27</f>
        <v>#VALUE!</v>
      </c>
      <c r="BG28" s="11" t="e">
        <f aca="false">BG22+BG23+BG24+BG25+BG26+BG27</f>
        <v>#VALUE!</v>
      </c>
      <c r="BH28" s="11" t="e">
        <f aca="false">BH22+BH23+BH24+BH25+BH26+BH27</f>
        <v>#VALUE!</v>
      </c>
      <c r="BI28" s="11" t="e">
        <f aca="false">BI22+BI23+BI24+BI25+BI26+BI27</f>
        <v>#VALUE!</v>
      </c>
      <c r="BJ28" s="11" t="e">
        <f aca="false">BJ22+BJ23+BJ24+BJ25+BJ26+BJ27</f>
        <v>#VALUE!</v>
      </c>
      <c r="BK28" s="11" t="e">
        <f aca="false">BK22+BK23+BK24+BK25+BK26+BK27</f>
        <v>#VALUE!</v>
      </c>
      <c r="BL28" s="11" t="e">
        <f aca="false">BL22+BL23+BL24+BL25+BL26+BL27</f>
        <v>#VALUE!</v>
      </c>
      <c r="BM28" s="11" t="e">
        <f aca="false">BM22+BM23+BM24+BM25+BM26+BM27</f>
        <v>#VALUE!</v>
      </c>
      <c r="BN28" s="11" t="e">
        <f aca="false">BN22+BN23+BN24+BN25+BN26+BN27</f>
        <v>#VALUE!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e">
        <f aca="false">ROUND(J21-J28,6)</f>
        <v>#VALUE!</v>
      </c>
      <c r="K29" s="11" t="e">
        <f aca="false">ROUND(K21-K28,6)</f>
        <v>#VALUE!</v>
      </c>
      <c r="L29" s="11" t="e">
        <f aca="false">ROUND(L21-L28,6)</f>
        <v>#VALUE!</v>
      </c>
      <c r="M29" s="11" t="e">
        <f aca="false">ROUND(M21-M28,6)</f>
        <v>#VALUE!</v>
      </c>
      <c r="N29" s="11" t="e">
        <f aca="false">ROUND(N21-N28,6)</f>
        <v>#VALUE!</v>
      </c>
      <c r="O29" s="11" t="e">
        <f aca="false">ROUND(O21-O28,6)</f>
        <v>#VALUE!</v>
      </c>
      <c r="P29" s="11" t="e">
        <f aca="false">ROUND(P21-P28,6)</f>
        <v>#VALUE!</v>
      </c>
      <c r="Q29" s="11" t="e">
        <f aca="false">ROUND(Q21-Q28,6)</f>
        <v>#VALUE!</v>
      </c>
      <c r="R29" s="11" t="e">
        <f aca="false">ROUND(R21-R28,6)</f>
        <v>#VALUE!</v>
      </c>
      <c r="S29" s="11" t="e">
        <f aca="false">ROUND(S21-S28,6)</f>
        <v>#VALUE!</v>
      </c>
      <c r="T29" s="11" t="e">
        <f aca="false">ROUND(T21-T28,6)</f>
        <v>#VALUE!</v>
      </c>
      <c r="U29" s="11" t="e">
        <f aca="false">ROUND(U21-U28,6)</f>
        <v>#VALUE!</v>
      </c>
      <c r="V29" s="11" t="e">
        <f aca="false">ROUND(V21-V28,6)</f>
        <v>#VALUE!</v>
      </c>
      <c r="W29" s="11" t="e">
        <f aca="false">ROUND(W21-W28,6)</f>
        <v>#VALUE!</v>
      </c>
      <c r="X29" s="11" t="e">
        <f aca="false">ROUND(X21-X28,6)</f>
        <v>#VALUE!</v>
      </c>
      <c r="Y29" s="11" t="e">
        <f aca="false">ROUND(Y21-Y28,6)</f>
        <v>#VALUE!</v>
      </c>
      <c r="Z29" s="11" t="e">
        <f aca="false">ROUND(Z21-Z28,6)</f>
        <v>#VALUE!</v>
      </c>
      <c r="AA29" s="11" t="e">
        <f aca="false">ROUND(AA21-AA28,6)</f>
        <v>#VALUE!</v>
      </c>
      <c r="AB29" s="11" t="e">
        <f aca="false">ROUND(AB21-AB28,6)</f>
        <v>#VALUE!</v>
      </c>
      <c r="AC29" s="11" t="e">
        <f aca="false">ROUND(AC21-AC28,6)</f>
        <v>#VALUE!</v>
      </c>
      <c r="AD29" s="11" t="e">
        <f aca="false">ROUND(AD21-AD28,6)</f>
        <v>#VALUE!</v>
      </c>
      <c r="AE29" s="11" t="e">
        <f aca="false">ROUND(AE21-AE28,6)</f>
        <v>#VALUE!</v>
      </c>
      <c r="AF29" s="11" t="e">
        <f aca="false">ROUND(AF21-AF28,6)</f>
        <v>#VALUE!</v>
      </c>
      <c r="AG29" s="11" t="e">
        <f aca="false">ROUND(AG21-AG28,6)</f>
        <v>#VALUE!</v>
      </c>
      <c r="AH29" s="11" t="e">
        <f aca="false">ROUND(AH21-AH28,6)</f>
        <v>#VALUE!</v>
      </c>
      <c r="AI29" s="11" t="e">
        <f aca="false">ROUND(AI21-AI28,6)</f>
        <v>#VALUE!</v>
      </c>
      <c r="AJ29" s="11" t="e">
        <f aca="false">ROUND(AJ21-AJ28,6)</f>
        <v>#VALUE!</v>
      </c>
      <c r="AK29" s="11" t="e">
        <f aca="false">ROUND(AK21-AK28,6)</f>
        <v>#VALUE!</v>
      </c>
      <c r="AL29" s="11" t="e">
        <f aca="false">ROUND(AL21-AL28,6)</f>
        <v>#VALUE!</v>
      </c>
      <c r="AM29" s="11" t="e">
        <f aca="false">ROUND(AM21-AM28,6)</f>
        <v>#VALUE!</v>
      </c>
      <c r="AN29" s="11" t="e">
        <f aca="false">ROUND(AN21-AN28,6)</f>
        <v>#VALUE!</v>
      </c>
      <c r="AO29" s="11" t="e">
        <f aca="false">ROUND(AO21-AO28,6)</f>
        <v>#VALUE!</v>
      </c>
      <c r="AP29" s="11" t="e">
        <f aca="false">ROUND(AP21-AP28,6)</f>
        <v>#VALUE!</v>
      </c>
      <c r="AQ29" s="11" t="e">
        <f aca="false">ROUND(AQ21-AQ28,6)</f>
        <v>#VALUE!</v>
      </c>
      <c r="AR29" s="11" t="e">
        <f aca="false">ROUND(AR21-AR28,6)</f>
        <v>#VALUE!</v>
      </c>
      <c r="AS29" s="11" t="e">
        <f aca="false">ROUND(AS21-AS28,6)</f>
        <v>#VALUE!</v>
      </c>
      <c r="AT29" s="11" t="e">
        <f aca="false">ROUND(AT21-AT28,6)</f>
        <v>#VALUE!</v>
      </c>
      <c r="AU29" s="11" t="e">
        <f aca="false">ROUND(AU21-AU28,6)</f>
        <v>#VALUE!</v>
      </c>
      <c r="AV29" s="11" t="e">
        <f aca="false">ROUND(AV21-AV28,6)</f>
        <v>#VALUE!</v>
      </c>
      <c r="AW29" s="11" t="e">
        <f aca="false">ROUND(AW21-AW28,6)</f>
        <v>#VALUE!</v>
      </c>
      <c r="AX29" s="11" t="e">
        <f aca="false">ROUND(AX21-AX28,6)</f>
        <v>#VALUE!</v>
      </c>
      <c r="AY29" s="11" t="e">
        <f aca="false">ROUND(AY21-AY28,6)</f>
        <v>#VALUE!</v>
      </c>
      <c r="AZ29" s="11" t="e">
        <f aca="false">ROUND(AZ21-AZ28,6)</f>
        <v>#VALUE!</v>
      </c>
      <c r="BA29" s="11" t="e">
        <f aca="false">ROUND(BA21-BA28,6)</f>
        <v>#VALUE!</v>
      </c>
      <c r="BB29" s="11" t="e">
        <f aca="false">ROUND(BB21-BB28,6)</f>
        <v>#VALUE!</v>
      </c>
      <c r="BC29" s="11" t="e">
        <f aca="false">ROUND(BC21-BC28,6)</f>
        <v>#VALUE!</v>
      </c>
      <c r="BD29" s="11" t="e">
        <f aca="false">ROUND(BD21-BD28,6)</f>
        <v>#VALUE!</v>
      </c>
      <c r="BE29" s="11" t="e">
        <f aca="false">ROUND(BE21-BE28,6)</f>
        <v>#VALUE!</v>
      </c>
      <c r="BF29" s="11" t="e">
        <f aca="false">ROUND(BF21-BF28,6)</f>
        <v>#VALUE!</v>
      </c>
      <c r="BG29" s="11" t="e">
        <f aca="false">ROUND(BG21-BG28,6)</f>
        <v>#VALUE!</v>
      </c>
      <c r="BH29" s="11" t="e">
        <f aca="false">ROUND(BH21-BH28,6)</f>
        <v>#VALUE!</v>
      </c>
      <c r="BI29" s="11" t="e">
        <f aca="false">ROUND(BI21-BI28,6)</f>
        <v>#VALUE!</v>
      </c>
      <c r="BJ29" s="11" t="e">
        <f aca="false">ROUND(BJ21-BJ28,6)</f>
        <v>#VALUE!</v>
      </c>
      <c r="BK29" s="11" t="e">
        <f aca="false">ROUND(BK21-BK28,6)</f>
        <v>#VALUE!</v>
      </c>
      <c r="BL29" s="11" t="e">
        <f aca="false">ROUND(BL21-BL28,6)</f>
        <v>#VALUE!</v>
      </c>
      <c r="BM29" s="11" t="e">
        <f aca="false">ROUND(BM21-BM28,6)</f>
        <v>#VALUE!</v>
      </c>
      <c r="BN29" s="11" t="e">
        <f aca="false">ROUND(BN21-BN28,6)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e">
        <f aca="false">IF(Debt!K122&gt;0.000000001,Debt!K119/Debt!K122,0)</f>
        <v>#VALUE!</v>
      </c>
      <c r="L7" s="14" t="e">
        <f aca="false">IF(Debt!L122&gt;0.000000001,Debt!L119/Debt!L122,0)</f>
        <v>#VALUE!</v>
      </c>
      <c r="M7" s="14" t="e">
        <f aca="false">IF(Debt!M122&gt;0.000000001,Debt!M119/Debt!M122,0)</f>
        <v>#VALUE!</v>
      </c>
      <c r="N7" s="14" t="e">
        <f aca="false">IF(Debt!N122&gt;0.000000001,Debt!N119/Debt!N122,0)</f>
        <v>#VALUE!</v>
      </c>
      <c r="O7" s="14" t="e">
        <f aca="false">IF(Debt!O122&gt;0.000000001,Debt!O119/Debt!O122,0)</f>
        <v>#VALUE!</v>
      </c>
      <c r="P7" s="14" t="e">
        <f aca="false">IF(Debt!P122&gt;0.000000001,Debt!P119/Debt!P122,0)</f>
        <v>#VALUE!</v>
      </c>
      <c r="Q7" s="14" t="e">
        <f aca="false">IF(Debt!Q122&gt;0.000000001,Debt!Q119/Debt!Q122,0)</f>
        <v>#VALUE!</v>
      </c>
      <c r="R7" s="14" t="e">
        <f aca="false">IF(Debt!R122&gt;0.000000001,Debt!R119/Debt!R122,0)</f>
        <v>#VALUE!</v>
      </c>
      <c r="S7" s="14" t="e">
        <f aca="false">IF(Debt!S122&gt;0.000000001,Debt!S119/Debt!S122,0)</f>
        <v>#VALUE!</v>
      </c>
      <c r="T7" s="14" t="e">
        <f aca="false">IF(Debt!T122&gt;0.000000001,Debt!T119/Debt!T122,0)</f>
        <v>#VALUE!</v>
      </c>
      <c r="U7" s="14" t="e">
        <f aca="false">IF(Debt!U122&gt;0.000000001,Debt!U119/Debt!U122,0)</f>
        <v>#VALUE!</v>
      </c>
      <c r="V7" s="14" t="e">
        <f aca="false">IF(Debt!V122&gt;0.000000001,Debt!V119/Debt!V122,0)</f>
        <v>#VALUE!</v>
      </c>
      <c r="W7" s="14" t="e">
        <f aca="false">IF(Debt!W122&gt;0.000000001,Debt!W119/Debt!W122,0)</f>
        <v>#VALUE!</v>
      </c>
      <c r="X7" s="14" t="e">
        <f aca="false">IF(Debt!X122&gt;0.000000001,Debt!X119/Debt!X122,0)</f>
        <v>#VALUE!</v>
      </c>
      <c r="Y7" s="14" t="e">
        <f aca="false">IF(Debt!Y122&gt;0.000000001,Debt!Y119/Debt!Y122,0)</f>
        <v>#VALUE!</v>
      </c>
      <c r="Z7" s="14" t="e">
        <f aca="false">IF(Debt!Z122&gt;0.000000001,Debt!Z119/Debt!Z122,0)</f>
        <v>#VALUE!</v>
      </c>
      <c r="AA7" s="14" t="e">
        <f aca="false">IF(Debt!AA122&gt;0.000000001,Debt!AA119/Debt!AA122,0)</f>
        <v>#VALUE!</v>
      </c>
      <c r="AB7" s="14" t="e">
        <f aca="false">IF(Debt!AB122&gt;0.000000001,Debt!AB119/Debt!AB122,0)</f>
        <v>#VALUE!</v>
      </c>
      <c r="AC7" s="14" t="e">
        <f aca="false">IF(Debt!AC122&gt;0.000000001,Debt!AC119/Debt!AC122,0)</f>
        <v>#VALUE!</v>
      </c>
      <c r="AD7" s="14" t="e">
        <f aca="false">IF(Debt!AD122&gt;0.000000001,Debt!AD119/Debt!AD122,0)</f>
        <v>#VALUE!</v>
      </c>
      <c r="AE7" s="14" t="e">
        <f aca="false">IF(Debt!AE122&gt;0.000000001,Debt!AE119/Debt!AE122,0)</f>
        <v>#VALUE!</v>
      </c>
      <c r="AF7" s="14" t="e">
        <f aca="false">IF(Debt!AF122&gt;0.000000001,Debt!AF119/Debt!AF122,0)</f>
        <v>#VALUE!</v>
      </c>
      <c r="AG7" s="14" t="e">
        <f aca="false">IF(Debt!AG122&gt;0.000000001,Debt!AG119/Debt!AG122,0)</f>
        <v>#VALUE!</v>
      </c>
      <c r="AH7" s="14" t="e">
        <f aca="false">IF(Debt!AH122&gt;0.000000001,Debt!AH119/Debt!AH122,0)</f>
        <v>#VALUE!</v>
      </c>
      <c r="AI7" s="14" t="e">
        <f aca="false">IF(Debt!AI122&gt;0.000000001,Debt!AI119/Debt!AI122,0)</f>
        <v>#VALUE!</v>
      </c>
      <c r="AJ7" s="14" t="e">
        <f aca="false">IF(Debt!AJ122&gt;0.000000001,Debt!AJ119/Debt!AJ122,0)</f>
        <v>#VALUE!</v>
      </c>
      <c r="AK7" s="14" t="e">
        <f aca="false">IF(Debt!AK122&gt;0.000000001,Debt!AK119/Debt!AK122,0)</f>
        <v>#VALUE!</v>
      </c>
      <c r="AL7" s="14" t="e">
        <f aca="false">IF(Debt!AL122&gt;0.000000001,Debt!AL119/Debt!AL122,0)</f>
        <v>#VALUE!</v>
      </c>
      <c r="AM7" s="14" t="e">
        <f aca="false">IF(Debt!AM122&gt;0.000000001,Debt!AM119/Debt!AM122,0)</f>
        <v>#VALUE!</v>
      </c>
      <c r="AN7" s="14" t="e">
        <f aca="false">IF(Debt!AN122&gt;0.000000001,Debt!AN119/Debt!AN122,0)</f>
        <v>#VALUE!</v>
      </c>
      <c r="AO7" s="14" t="e">
        <f aca="false">IF(Debt!AO122&gt;0.000000001,Debt!AO119/Debt!AO122,0)</f>
        <v>#VALUE!</v>
      </c>
      <c r="AP7" s="14" t="e">
        <f aca="false">IF(Debt!AP122&gt;0.000000001,Debt!AP119/Debt!AP122,0)</f>
        <v>#VALUE!</v>
      </c>
      <c r="AQ7" s="14" t="e">
        <f aca="false">IF(Debt!AQ122&gt;0.000000001,Debt!AQ119/Debt!AQ122,0)</f>
        <v>#VALUE!</v>
      </c>
      <c r="AR7" s="14" t="e">
        <f aca="false">IF(Debt!AR122&gt;0.000000001,Debt!AR119/Debt!AR122,0)</f>
        <v>#VALUE!</v>
      </c>
      <c r="AS7" s="14" t="e">
        <f aca="false">IF(Debt!AS122&gt;0.000000001,Debt!AS119/Debt!AS122,0)</f>
        <v>#VALUE!</v>
      </c>
      <c r="AT7" s="14" t="e">
        <f aca="false">IF(Debt!AT122&gt;0.000000001,Debt!AT119/Debt!AT122,0)</f>
        <v>#VALUE!</v>
      </c>
      <c r="AU7" s="14" t="e">
        <f aca="false">IF(Debt!AU122&gt;0.000000001,Debt!AU119/Debt!AU122,0)</f>
        <v>#VALUE!</v>
      </c>
      <c r="AV7" s="14" t="e">
        <f aca="false">IF(Debt!AV122&gt;0.000000001,Debt!AV119/Debt!AV122,0)</f>
        <v>#VALUE!</v>
      </c>
      <c r="AW7" s="14" t="e">
        <f aca="false">IF(Debt!AW122&gt;0.000000001,Debt!AW119/Debt!AW122,0)</f>
        <v>#VALUE!</v>
      </c>
      <c r="AX7" s="14" t="e">
        <f aca="false">IF(Debt!AX122&gt;0.000000001,Debt!AX119/Debt!AX122,0)</f>
        <v>#VALUE!</v>
      </c>
      <c r="AY7" s="14" t="e">
        <f aca="false">IF(Debt!AY122&gt;0.000000001,Debt!AY119/Debt!AY122,0)</f>
        <v>#VALUE!</v>
      </c>
      <c r="AZ7" s="14" t="e">
        <f aca="false">IF(Debt!AZ122&gt;0.000000001,Debt!AZ119/Debt!AZ122,0)</f>
        <v>#VALUE!</v>
      </c>
      <c r="BA7" s="14" t="e">
        <f aca="false">IF(Debt!BA122&gt;0.000000001,Debt!BA119/Debt!BA122,0)</f>
        <v>#VALUE!</v>
      </c>
      <c r="BB7" s="14" t="e">
        <f aca="false">IF(Debt!BB122&gt;0.000000001,Debt!BB119/Debt!BB122,0)</f>
        <v>#VALUE!</v>
      </c>
      <c r="BC7" s="14" t="e">
        <f aca="false">IF(Debt!BC122&gt;0.000000001,Debt!BC119/Debt!BC122,0)</f>
        <v>#VALUE!</v>
      </c>
      <c r="BD7" s="14" t="e">
        <f aca="false">IF(Debt!BD122&gt;0.000000001,Debt!BD119/Debt!BD122,0)</f>
        <v>#VALUE!</v>
      </c>
      <c r="BE7" s="14" t="e">
        <f aca="false">IF(Debt!BE122&gt;0.000000001,Debt!BE119/Debt!BE122,0)</f>
        <v>#VALUE!</v>
      </c>
      <c r="BF7" s="14" t="e">
        <f aca="false">IF(Debt!BF122&gt;0.000000001,Debt!BF119/Debt!BF122,0)</f>
        <v>#VALUE!</v>
      </c>
      <c r="BG7" s="14" t="e">
        <f aca="false">IF(Debt!BG122&gt;0.000000001,Debt!BG119/Debt!BG122,0)</f>
        <v>#VALUE!</v>
      </c>
      <c r="BH7" s="14" t="e">
        <f aca="false">IF(Debt!BH122&gt;0.000000001,Debt!BH119/Debt!BH122,0)</f>
        <v>#VALUE!</v>
      </c>
      <c r="BI7" s="14" t="e">
        <f aca="false">IF(Debt!BI122&gt;0.000000001,Debt!BI119/Debt!BI122,0)</f>
        <v>#VALUE!</v>
      </c>
      <c r="BJ7" s="14" t="e">
        <f aca="false">IF(Debt!BJ122&gt;0.000000001,Debt!BJ119/Debt!BJ122,0)</f>
        <v>#VALUE!</v>
      </c>
      <c r="BK7" s="14" t="e">
        <f aca="false">IF(Debt!BK122&gt;0.000000001,Debt!BK119/Debt!BK122,0)</f>
        <v>#VALUE!</v>
      </c>
      <c r="BL7" s="14" t="e">
        <f aca="false">IF(Debt!BL122&gt;0.000000001,Debt!BL119/Debt!BL122,0)</f>
        <v>#VALUE!</v>
      </c>
      <c r="BM7" s="14" t="e">
        <f aca="false">IF(Debt!BM122&gt;0.000000001,Debt!BM119/Debt!BM122,0)</f>
        <v>#VALUE!</v>
      </c>
      <c r="BN7" s="14" t="e">
        <f aca="false">IF(Debt!BN122&gt;0.000000001,Debt!BN119/Debt!BN122,0)</f>
        <v>#VALUE!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e">
        <f aca="false">SUMPRODUCT(MAX((Debt!$J$122:$BN$122&gt;0.000000001)*Time!$J$17:$BN$17))</f>
        <v>#VALUE!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e">
        <f aca="false">INDEX(Ratios!$J$7:$BN$7,1,Ratios!$F$8)</f>
        <v>#VALUE!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e">
        <f aca="false">IF(J7&gt;0,J7,$F$9)</f>
        <v>#VALUE!</v>
      </c>
      <c r="K10" s="14" t="e">
        <f aca="false">IF(K7&gt;0,K7,$F$9)</f>
        <v>#VALUE!</v>
      </c>
      <c r="L10" s="14" t="e">
        <f aca="false">IF(L7&gt;0,L7,$F$9)</f>
        <v>#VALUE!</v>
      </c>
      <c r="M10" s="14" t="e">
        <f aca="false">IF(M7&gt;0,M7,$F$9)</f>
        <v>#VALUE!</v>
      </c>
      <c r="N10" s="14" t="e">
        <f aca="false">IF(N7&gt;0,N7,$F$9)</f>
        <v>#VALUE!</v>
      </c>
      <c r="O10" s="14" t="e">
        <f aca="false">IF(O7&gt;0,O7,$F$9)</f>
        <v>#VALUE!</v>
      </c>
      <c r="P10" s="14" t="e">
        <f aca="false">IF(P7&gt;0,P7,$F$9)</f>
        <v>#VALUE!</v>
      </c>
      <c r="Q10" s="14" t="e">
        <f aca="false">IF(Q7&gt;0,Q7,$F$9)</f>
        <v>#VALUE!</v>
      </c>
      <c r="R10" s="14" t="e">
        <f aca="false">IF(R7&gt;0,R7,$F$9)</f>
        <v>#VALUE!</v>
      </c>
      <c r="S10" s="14" t="e">
        <f aca="false">IF(S7&gt;0,S7,$F$9)</f>
        <v>#VALUE!</v>
      </c>
      <c r="T10" s="14" t="e">
        <f aca="false">IF(T7&gt;0,T7,$F$9)</f>
        <v>#VALUE!</v>
      </c>
      <c r="U10" s="14" t="e">
        <f aca="false">IF(U7&gt;0,U7,$F$9)</f>
        <v>#VALUE!</v>
      </c>
      <c r="V10" s="14" t="e">
        <f aca="false">IF(V7&gt;0,V7,$F$9)</f>
        <v>#VALUE!</v>
      </c>
      <c r="W10" s="14" t="e">
        <f aca="false">IF(W7&gt;0,W7,$F$9)</f>
        <v>#VALUE!</v>
      </c>
      <c r="X10" s="14" t="e">
        <f aca="false">IF(X7&gt;0,X7,$F$9)</f>
        <v>#VALUE!</v>
      </c>
      <c r="Y10" s="14" t="e">
        <f aca="false">IF(Y7&gt;0,Y7,$F$9)</f>
        <v>#VALUE!</v>
      </c>
      <c r="Z10" s="14" t="e">
        <f aca="false">IF(Z7&gt;0,Z7,$F$9)</f>
        <v>#VALUE!</v>
      </c>
      <c r="AA10" s="14" t="e">
        <f aca="false">IF(AA7&gt;0,AA7,$F$9)</f>
        <v>#VALUE!</v>
      </c>
      <c r="AB10" s="14" t="e">
        <f aca="false">IF(AB7&gt;0,AB7,$F$9)</f>
        <v>#VALUE!</v>
      </c>
      <c r="AC10" s="14" t="e">
        <f aca="false">IF(AC7&gt;0,AC7,$F$9)</f>
        <v>#VALUE!</v>
      </c>
      <c r="AD10" s="14" t="e">
        <f aca="false">IF(AD7&gt;0,AD7,$F$9)</f>
        <v>#VALUE!</v>
      </c>
      <c r="AE10" s="14" t="e">
        <f aca="false">IF(AE7&gt;0,AE7,$F$9)</f>
        <v>#VALUE!</v>
      </c>
      <c r="AF10" s="14" t="e">
        <f aca="false">IF(AF7&gt;0,AF7,$F$9)</f>
        <v>#VALUE!</v>
      </c>
      <c r="AG10" s="14" t="e">
        <f aca="false">IF(AG7&gt;0,AG7,$F$9)</f>
        <v>#VALUE!</v>
      </c>
      <c r="AH10" s="14" t="e">
        <f aca="false">IF(AH7&gt;0,AH7,$F$9)</f>
        <v>#VALUE!</v>
      </c>
      <c r="AI10" s="14" t="e">
        <f aca="false">IF(AI7&gt;0,AI7,$F$9)</f>
        <v>#VALUE!</v>
      </c>
      <c r="AJ10" s="14" t="e">
        <f aca="false">IF(AJ7&gt;0,AJ7,$F$9)</f>
        <v>#VALUE!</v>
      </c>
      <c r="AK10" s="14" t="e">
        <f aca="false">IF(AK7&gt;0,AK7,$F$9)</f>
        <v>#VALUE!</v>
      </c>
      <c r="AL10" s="14" t="e">
        <f aca="false">IF(AL7&gt;0,AL7,$F$9)</f>
        <v>#VALUE!</v>
      </c>
      <c r="AM10" s="14" t="e">
        <f aca="false">IF(AM7&gt;0,AM7,$F$9)</f>
        <v>#VALUE!</v>
      </c>
      <c r="AN10" s="14" t="e">
        <f aca="false">IF(AN7&gt;0,AN7,$F$9)</f>
        <v>#VALUE!</v>
      </c>
      <c r="AO10" s="14" t="e">
        <f aca="false">IF(AO7&gt;0,AO7,$F$9)</f>
        <v>#VALUE!</v>
      </c>
      <c r="AP10" s="14" t="e">
        <f aca="false">IF(AP7&gt;0,AP7,$F$9)</f>
        <v>#VALUE!</v>
      </c>
      <c r="AQ10" s="14" t="e">
        <f aca="false">IF(AQ7&gt;0,AQ7,$F$9)</f>
        <v>#VALUE!</v>
      </c>
      <c r="AR10" s="14" t="e">
        <f aca="false">IF(AR7&gt;0,AR7,$F$9)</f>
        <v>#VALUE!</v>
      </c>
      <c r="AS10" s="14" t="e">
        <f aca="false">IF(AS7&gt;0,AS7,$F$9)</f>
        <v>#VALUE!</v>
      </c>
      <c r="AT10" s="14" t="e">
        <f aca="false">IF(AT7&gt;0,AT7,$F$9)</f>
        <v>#VALUE!</v>
      </c>
      <c r="AU10" s="14" t="e">
        <f aca="false">IF(AU7&gt;0,AU7,$F$9)</f>
        <v>#VALUE!</v>
      </c>
      <c r="AV10" s="14" t="e">
        <f aca="false">IF(AV7&gt;0,AV7,$F$9)</f>
        <v>#VALUE!</v>
      </c>
      <c r="AW10" s="14" t="e">
        <f aca="false">IF(AW7&gt;0,AW7,$F$9)</f>
        <v>#VALUE!</v>
      </c>
      <c r="AX10" s="14" t="e">
        <f aca="false">IF(AX7&gt;0,AX7,$F$9)</f>
        <v>#VALUE!</v>
      </c>
      <c r="AY10" s="14" t="e">
        <f aca="false">IF(AY7&gt;0,AY7,$F$9)</f>
        <v>#VALUE!</v>
      </c>
      <c r="AZ10" s="14" t="e">
        <f aca="false">IF(AZ7&gt;0,AZ7,$F$9)</f>
        <v>#VALUE!</v>
      </c>
      <c r="BA10" s="14" t="e">
        <f aca="false">IF(BA7&gt;0,BA7,$F$9)</f>
        <v>#VALUE!</v>
      </c>
      <c r="BB10" s="14" t="e">
        <f aca="false">IF(BB7&gt;0,BB7,$F$9)</f>
        <v>#VALUE!</v>
      </c>
      <c r="BC10" s="14" t="e">
        <f aca="false">IF(BC7&gt;0,BC7,$F$9)</f>
        <v>#VALUE!</v>
      </c>
      <c r="BD10" s="14" t="e">
        <f aca="false">IF(BD7&gt;0,BD7,$F$9)</f>
        <v>#VALUE!</v>
      </c>
      <c r="BE10" s="14" t="e">
        <f aca="false">IF(BE7&gt;0,BE7,$F$9)</f>
        <v>#VALUE!</v>
      </c>
      <c r="BF10" s="14" t="e">
        <f aca="false">IF(BF7&gt;0,BF7,$F$9)</f>
        <v>#VALUE!</v>
      </c>
      <c r="BG10" s="14" t="e">
        <f aca="false">IF(BG7&gt;0,BG7,$F$9)</f>
        <v>#VALUE!</v>
      </c>
      <c r="BH10" s="14" t="e">
        <f aca="false">IF(BH7&gt;0,BH7,$F$9)</f>
        <v>#VALUE!</v>
      </c>
      <c r="BI10" s="14" t="e">
        <f aca="false">IF(BI7&gt;0,BI7,$F$9)</f>
        <v>#VALUE!</v>
      </c>
      <c r="BJ10" s="14" t="e">
        <f aca="false">IF(BJ7&gt;0,BJ7,$F$9)</f>
        <v>#VALUE!</v>
      </c>
      <c r="BK10" s="14" t="e">
        <f aca="false">IF(BK7&gt;0,BK7,$F$9)</f>
        <v>#VALUE!</v>
      </c>
      <c r="BL10" s="14" t="e">
        <f aca="false">IF(BL7&gt;0,BL7,$F$9)</f>
        <v>#VALUE!</v>
      </c>
      <c r="BM10" s="14" t="e">
        <f aca="false">IF(BM7&gt;0,BM7,$F$9)</f>
        <v>#VALUE!</v>
      </c>
      <c r="BN10" s="14" t="e">
        <f aca="false">IF(BN7&gt;0,BN7,$F$9)</f>
        <v>#VALUE!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e">
        <f aca="false">IF(Time!J17&lt;=$F$8,(Waterfall!J7+K11)/(1+J10),0)</f>
        <v>#VALUE!</v>
      </c>
      <c r="K11" s="11" t="e">
        <f aca="false">IF(Time!K17&lt;=$F$8,(Waterfall!K7+L11)/(1+K10),0)</f>
        <v>#VALUE!</v>
      </c>
      <c r="L11" s="11" t="e">
        <f aca="false">IF(Time!L17&lt;=$F$8,(Waterfall!L7+M11)/(1+L10),0)</f>
        <v>#VALUE!</v>
      </c>
      <c r="M11" s="11" t="e">
        <f aca="false">IF(Time!M17&lt;=$F$8,(Waterfall!M7+N11)/(1+M10),0)</f>
        <v>#VALUE!</v>
      </c>
      <c r="N11" s="11" t="e">
        <f aca="false">IF(Time!N17&lt;=$F$8,(Waterfall!N7+O11)/(1+N10),0)</f>
        <v>#VALUE!</v>
      </c>
      <c r="O11" s="11" t="e">
        <f aca="false">IF(Time!O17&lt;=$F$8,(Waterfall!O7+P11)/(1+O10),0)</f>
        <v>#VALUE!</v>
      </c>
      <c r="P11" s="11" t="e">
        <f aca="false">IF(Time!P17&lt;=$F$8,(Waterfall!P7+Q11)/(1+P10),0)</f>
        <v>#VALUE!</v>
      </c>
      <c r="Q11" s="11" t="e">
        <f aca="false">IF(Time!Q17&lt;=$F$8,(Waterfall!Q7+R11)/(1+Q10),0)</f>
        <v>#VALUE!</v>
      </c>
      <c r="R11" s="11" t="e">
        <f aca="false">IF(Time!R17&lt;=$F$8,(Waterfall!R7+S11)/(1+R10),0)</f>
        <v>#VALUE!</v>
      </c>
      <c r="S11" s="11" t="e">
        <f aca="false">IF(Time!S17&lt;=$F$8,(Waterfall!S7+T11)/(1+S10),0)</f>
        <v>#VALUE!</v>
      </c>
      <c r="T11" s="11" t="e">
        <f aca="false">IF(Time!T17&lt;=$F$8,(Waterfall!T7+U11)/(1+T10),0)</f>
        <v>#VALUE!</v>
      </c>
      <c r="U11" s="11" t="e">
        <f aca="false">IF(Time!U17&lt;=$F$8,(Waterfall!U7+V11)/(1+U10),0)</f>
        <v>#VALUE!</v>
      </c>
      <c r="V11" s="11" t="e">
        <f aca="false">IF(Time!V17&lt;=$F$8,(Waterfall!V7+W11)/(1+V10),0)</f>
        <v>#VALUE!</v>
      </c>
      <c r="W11" s="11" t="e">
        <f aca="false">IF(Time!W17&lt;=$F$8,(Waterfall!W7+X11)/(1+W10),0)</f>
        <v>#VALUE!</v>
      </c>
      <c r="X11" s="11" t="e">
        <f aca="false">IF(Time!X17&lt;=$F$8,(Waterfall!X7+Y11)/(1+X10),0)</f>
        <v>#VALUE!</v>
      </c>
      <c r="Y11" s="11" t="e">
        <f aca="false">IF(Time!Y17&lt;=$F$8,(Waterfall!Y7+Z11)/(1+Y10),0)</f>
        <v>#VALUE!</v>
      </c>
      <c r="Z11" s="11" t="e">
        <f aca="false">IF(Time!Z17&lt;=$F$8,(Waterfall!Z7+AA11)/(1+Z10),0)</f>
        <v>#VALUE!</v>
      </c>
      <c r="AA11" s="11" t="e">
        <f aca="false">IF(Time!AA17&lt;=$F$8,(Waterfall!AA7+AB11)/(1+AA10),0)</f>
        <v>#VALUE!</v>
      </c>
      <c r="AB11" s="11" t="e">
        <f aca="false">IF(Time!AB17&lt;=$F$8,(Waterfall!AB7+AC11)/(1+AB10),0)</f>
        <v>#VALUE!</v>
      </c>
      <c r="AC11" s="11" t="e">
        <f aca="false">IF(Time!AC17&lt;=$F$8,(Waterfall!AC7+AD11)/(1+AC10),0)</f>
        <v>#VALUE!</v>
      </c>
      <c r="AD11" s="11" t="e">
        <f aca="false">IF(Time!AD17&lt;=$F$8,(Waterfall!AD7+AE11)/(1+AD10),0)</f>
        <v>#VALUE!</v>
      </c>
      <c r="AE11" s="11" t="e">
        <f aca="false">IF(Time!AE17&lt;=$F$8,(Waterfall!AE7+AF11)/(1+AE10),0)</f>
        <v>#VALUE!</v>
      </c>
      <c r="AF11" s="11" t="e">
        <f aca="false">IF(Time!AF17&lt;=$F$8,(Waterfall!AF7+AG11)/(1+AF10),0)</f>
        <v>#VALUE!</v>
      </c>
      <c r="AG11" s="11" t="e">
        <f aca="false">IF(Time!AG17&lt;=$F$8,(Waterfall!AG7+AH11)/(1+AG10),0)</f>
        <v>#VALUE!</v>
      </c>
      <c r="AH11" s="11" t="e">
        <f aca="false">IF(Time!AH17&lt;=$F$8,(Waterfall!AH7+AI11)/(1+AH10),0)</f>
        <v>#VALUE!</v>
      </c>
      <c r="AI11" s="11" t="e">
        <f aca="false">IF(Time!AI17&lt;=$F$8,(Waterfall!AI7+AJ11)/(1+AI10),0)</f>
        <v>#VALUE!</v>
      </c>
      <c r="AJ11" s="11" t="e">
        <f aca="false">IF(Time!AJ17&lt;=$F$8,(Waterfall!AJ7+AK11)/(1+AJ10),0)</f>
        <v>#VALUE!</v>
      </c>
      <c r="AK11" s="11" t="e">
        <f aca="false">IF(Time!AK17&lt;=$F$8,(Waterfall!AK7+AL11)/(1+AK10),0)</f>
        <v>#VALUE!</v>
      </c>
      <c r="AL11" s="11" t="e">
        <f aca="false">IF(Time!AL17&lt;=$F$8,(Waterfall!AL7+AM11)/(1+AL10),0)</f>
        <v>#VALUE!</v>
      </c>
      <c r="AM11" s="11" t="e">
        <f aca="false">IF(Time!AM17&lt;=$F$8,(Waterfall!AM7+AN11)/(1+AM10),0)</f>
        <v>#VALUE!</v>
      </c>
      <c r="AN11" s="11" t="e">
        <f aca="false">IF(Time!AN17&lt;=$F$8,(Waterfall!AN7+AO11)/(1+AN10),0)</f>
        <v>#VALUE!</v>
      </c>
      <c r="AO11" s="11" t="e">
        <f aca="false">IF(Time!AO17&lt;=$F$8,(Waterfall!AO7+AP11)/(1+AO10),0)</f>
        <v>#VALUE!</v>
      </c>
      <c r="AP11" s="11" t="e">
        <f aca="false">IF(Time!AP17&lt;=$F$8,(Waterfall!AP7+AQ11)/(1+AP10),0)</f>
        <v>#VALUE!</v>
      </c>
      <c r="AQ11" s="11" t="e">
        <f aca="false">IF(Time!AQ17&lt;=$F$8,(Waterfall!AQ7+AR11)/(1+AQ10),0)</f>
        <v>#VALUE!</v>
      </c>
      <c r="AR11" s="11" t="e">
        <f aca="false">IF(Time!AR17&lt;=$F$8,(Waterfall!AR7+AS11)/(1+AR10),0)</f>
        <v>#VALUE!</v>
      </c>
      <c r="AS11" s="11" t="e">
        <f aca="false">IF(Time!AS17&lt;=$F$8,(Waterfall!AS7+AT11)/(1+AS10),0)</f>
        <v>#VALUE!</v>
      </c>
      <c r="AT11" s="11" t="e">
        <f aca="false">IF(Time!AT17&lt;=$F$8,(Waterfall!AT7+AU11)/(1+AT10),0)</f>
        <v>#VALUE!</v>
      </c>
      <c r="AU11" s="11" t="e">
        <f aca="false">IF(Time!AU17&lt;=$F$8,(Waterfall!AU7+AV11)/(1+AU10),0)</f>
        <v>#VALUE!</v>
      </c>
      <c r="AV11" s="11" t="e">
        <f aca="false">IF(Time!AV17&lt;=$F$8,(Waterfall!AV7+AW11)/(1+AV10),0)</f>
        <v>#VALUE!</v>
      </c>
      <c r="AW11" s="11" t="e">
        <f aca="false">IF(Time!AW17&lt;=$F$8,(Waterfall!AW7+AX11)/(1+AW10),0)</f>
        <v>#VALUE!</v>
      </c>
      <c r="AX11" s="11" t="e">
        <f aca="false">IF(Time!AX17&lt;=$F$8,(Waterfall!AX7+AY11)/(1+AX10),0)</f>
        <v>#VALUE!</v>
      </c>
      <c r="AY11" s="11" t="e">
        <f aca="false">IF(Time!AY17&lt;=$F$8,(Waterfall!AY7+AZ11)/(1+AY10),0)</f>
        <v>#VALUE!</v>
      </c>
      <c r="AZ11" s="11" t="e">
        <f aca="false">IF(Time!AZ17&lt;=$F$8,(Waterfall!AZ7+BA11)/(1+AZ10),0)</f>
        <v>#VALUE!</v>
      </c>
      <c r="BA11" s="11" t="e">
        <f aca="false">IF(Time!BA17&lt;=$F$8,(Waterfall!BA7+BB11)/(1+BA10),0)</f>
        <v>#VALUE!</v>
      </c>
      <c r="BB11" s="11" t="e">
        <f aca="false">IF(Time!BB17&lt;=$F$8,(Waterfall!BB7+BC11)/(1+BB10),0)</f>
        <v>#VALUE!</v>
      </c>
      <c r="BC11" s="11" t="e">
        <f aca="false">IF(Time!BC17&lt;=$F$8,(Waterfall!BC7+BD11)/(1+BC10),0)</f>
        <v>#VALUE!</v>
      </c>
      <c r="BD11" s="11" t="e">
        <f aca="false">IF(Time!BD17&lt;=$F$8,(Waterfall!BD7+BE11)/(1+BD10),0)</f>
        <v>#VALUE!</v>
      </c>
      <c r="BE11" s="11" t="e">
        <f aca="false">IF(Time!BE17&lt;=$F$8,(Waterfall!BE7+BF11)/(1+BE10),0)</f>
        <v>#VALUE!</v>
      </c>
      <c r="BF11" s="11" t="e">
        <f aca="false">IF(Time!BF17&lt;=$F$8,(Waterfall!BF7+BG11)/(1+BF10),0)</f>
        <v>#VALUE!</v>
      </c>
      <c r="BG11" s="11" t="e">
        <f aca="false">IF(Time!BG17&lt;=$F$8,(Waterfall!BG7+BH11)/(1+BG10),0)</f>
        <v>#VALUE!</v>
      </c>
      <c r="BH11" s="11" t="e">
        <f aca="false">IF(Time!BH17&lt;=$F$8,(Waterfall!BH7+BI11)/(1+BH10),0)</f>
        <v>#VALUE!</v>
      </c>
      <c r="BI11" s="11" t="e">
        <f aca="false">IF(Time!BI17&lt;=$F$8,(Waterfall!BI7+BJ11)/(1+BI10),0)</f>
        <v>#VALUE!</v>
      </c>
      <c r="BJ11" s="11" t="e">
        <f aca="false">IF(Time!BJ17&lt;=$F$8,(Waterfall!BJ7+BK11)/(1+BJ10),0)</f>
        <v>#VALUE!</v>
      </c>
      <c r="BK11" s="11" t="e">
        <f aca="false">IF(Time!BK17&lt;=$F$8,(Waterfall!BK7+BL11)/(1+BK10),0)</f>
        <v>#VALUE!</v>
      </c>
      <c r="BL11" s="11" t="e">
        <f aca="false">IF(Time!BL17&lt;=$F$8,(Waterfall!BL7+BM11)/(1+BL10),0)</f>
        <v>#VALUE!</v>
      </c>
      <c r="BM11" s="11" t="e">
        <f aca="false">IF(Time!BM17&lt;=$F$8,(Waterfall!BM7+BN11)/(1+BM10),0)</f>
        <v>#VALUE!</v>
      </c>
      <c r="BN11" s="11" t="e">
        <f aca="false">IF(Time!BN17&lt;=$F$8,(Waterfall!BN7+0)/(1+BN10),0)</f>
        <v>#VALUE!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e">
        <f aca="false">IF(Time!J17&lt;=Time!$F$14,(Waterfall!J7+K12)/(1+J10),0)</f>
        <v>#VALUE!</v>
      </c>
      <c r="K12" s="11" t="e">
        <f aca="false">IF(Time!K17&lt;=Time!$F$14,(Waterfall!K7+L12)/(1+K10),0)</f>
        <v>#VALUE!</v>
      </c>
      <c r="L12" s="11" t="e">
        <f aca="false">IF(Time!L17&lt;=Time!$F$14,(Waterfall!L7+M12)/(1+L10),0)</f>
        <v>#VALUE!</v>
      </c>
      <c r="M12" s="11" t="e">
        <f aca="false">IF(Time!M17&lt;=Time!$F$14,(Waterfall!M7+N12)/(1+M10),0)</f>
        <v>#VALUE!</v>
      </c>
      <c r="N12" s="11" t="e">
        <f aca="false">IF(Time!N17&lt;=Time!$F$14,(Waterfall!N7+O12)/(1+N10),0)</f>
        <v>#VALUE!</v>
      </c>
      <c r="O12" s="11" t="e">
        <f aca="false">IF(Time!O17&lt;=Time!$F$14,(Waterfall!O7+P12)/(1+O10),0)</f>
        <v>#VALUE!</v>
      </c>
      <c r="P12" s="11" t="e">
        <f aca="false">IF(Time!P17&lt;=Time!$F$14,(Waterfall!P7+Q12)/(1+P10),0)</f>
        <v>#VALUE!</v>
      </c>
      <c r="Q12" s="11" t="e">
        <f aca="false">IF(Time!Q17&lt;=Time!$F$14,(Waterfall!Q7+R12)/(1+Q10),0)</f>
        <v>#VALUE!</v>
      </c>
      <c r="R12" s="11" t="e">
        <f aca="false">IF(Time!R17&lt;=Time!$F$14,(Waterfall!R7+S12)/(1+R10),0)</f>
        <v>#VALUE!</v>
      </c>
      <c r="S12" s="11" t="e">
        <f aca="false">IF(Time!S17&lt;=Time!$F$14,(Waterfall!S7+T12)/(1+S10),0)</f>
        <v>#VALUE!</v>
      </c>
      <c r="T12" s="11" t="e">
        <f aca="false">IF(Time!T17&lt;=Time!$F$14,(Waterfall!T7+U12)/(1+T10),0)</f>
        <v>#VALUE!</v>
      </c>
      <c r="U12" s="11" t="e">
        <f aca="false">IF(Time!U17&lt;=Time!$F$14,(Waterfall!U7+V12)/(1+U10),0)</f>
        <v>#VALUE!</v>
      </c>
      <c r="V12" s="11" t="e">
        <f aca="false">IF(Time!V17&lt;=Time!$F$14,(Waterfall!V7+W12)/(1+V10),0)</f>
        <v>#VALUE!</v>
      </c>
      <c r="W12" s="11" t="e">
        <f aca="false">IF(Time!W17&lt;=Time!$F$14,(Waterfall!W7+X12)/(1+W10),0)</f>
        <v>#VALUE!</v>
      </c>
      <c r="X12" s="11" t="e">
        <f aca="false">IF(Time!X17&lt;=Time!$F$14,(Waterfall!X7+Y12)/(1+X10),0)</f>
        <v>#VALUE!</v>
      </c>
      <c r="Y12" s="11" t="e">
        <f aca="false">IF(Time!Y17&lt;=Time!$F$14,(Waterfall!Y7+Z12)/(1+Y10),0)</f>
        <v>#VALUE!</v>
      </c>
      <c r="Z12" s="11" t="e">
        <f aca="false">IF(Time!Z17&lt;=Time!$F$14,(Waterfall!Z7+AA12)/(1+Z10),0)</f>
        <v>#VALUE!</v>
      </c>
      <c r="AA12" s="11" t="e">
        <f aca="false">IF(Time!AA17&lt;=Time!$F$14,(Waterfall!AA7+AB12)/(1+AA10),0)</f>
        <v>#VALUE!</v>
      </c>
      <c r="AB12" s="11" t="e">
        <f aca="false">IF(Time!AB17&lt;=Time!$F$14,(Waterfall!AB7+AC12)/(1+AB10),0)</f>
        <v>#VALUE!</v>
      </c>
      <c r="AC12" s="11" t="e">
        <f aca="false">IF(Time!AC17&lt;=Time!$F$14,(Waterfall!AC7+AD12)/(1+AC10),0)</f>
        <v>#VALUE!</v>
      </c>
      <c r="AD12" s="11" t="e">
        <f aca="false">IF(Time!AD17&lt;=Time!$F$14,(Waterfall!AD7+AE12)/(1+AD10),0)</f>
        <v>#VALUE!</v>
      </c>
      <c r="AE12" s="11" t="e">
        <f aca="false">IF(Time!AE17&lt;=Time!$F$14,(Waterfall!AE7+AF12)/(1+AE10),0)</f>
        <v>#VALUE!</v>
      </c>
      <c r="AF12" s="11" t="e">
        <f aca="false">IF(Time!AF17&lt;=Time!$F$14,(Waterfall!AF7+AG12)/(1+AF10),0)</f>
        <v>#VALUE!</v>
      </c>
      <c r="AG12" s="11" t="e">
        <f aca="false">IF(Time!AG17&lt;=Time!$F$14,(Waterfall!AG7+AH12)/(1+AG10),0)</f>
        <v>#VALUE!</v>
      </c>
      <c r="AH12" s="11" t="e">
        <f aca="false">IF(Time!AH17&lt;=Time!$F$14,(Waterfall!AH7+AI12)/(1+AH10),0)</f>
        <v>#VALUE!</v>
      </c>
      <c r="AI12" s="11" t="e">
        <f aca="false">IF(Time!AI17&lt;=Time!$F$14,(Waterfall!AI7+AJ12)/(1+AI10),0)</f>
        <v>#VALUE!</v>
      </c>
      <c r="AJ12" s="11" t="e">
        <f aca="false">IF(Time!AJ17&lt;=Time!$F$14,(Waterfall!AJ7+AK12)/(1+AJ10),0)</f>
        <v>#VALUE!</v>
      </c>
      <c r="AK12" s="11" t="e">
        <f aca="false">IF(Time!AK17&lt;=Time!$F$14,(Waterfall!AK7+AL12)/(1+AK10),0)</f>
        <v>#VALUE!</v>
      </c>
      <c r="AL12" s="11" t="e">
        <f aca="false">IF(Time!AL17&lt;=Time!$F$14,(Waterfall!AL7+AM12)/(1+AL10),0)</f>
        <v>#VALUE!</v>
      </c>
      <c r="AM12" s="11" t="e">
        <f aca="false">IF(Time!AM17&lt;=Time!$F$14,(Waterfall!AM7+AN12)/(1+AM10),0)</f>
        <v>#VALUE!</v>
      </c>
      <c r="AN12" s="11" t="e">
        <f aca="false">IF(Time!AN17&lt;=Time!$F$14,(Waterfall!AN7+AO12)/(1+AN10),0)</f>
        <v>#VALUE!</v>
      </c>
      <c r="AO12" s="11" t="e">
        <f aca="false">IF(Time!AO17&lt;=Time!$F$14,(Waterfall!AO7+AP12)/(1+AO10),0)</f>
        <v>#VALUE!</v>
      </c>
      <c r="AP12" s="11" t="e">
        <f aca="false">IF(Time!AP17&lt;=Time!$F$14,(Waterfall!AP7+AQ12)/(1+AP10),0)</f>
        <v>#VALUE!</v>
      </c>
      <c r="AQ12" s="11" t="e">
        <f aca="false">IF(Time!AQ17&lt;=Time!$F$14,(Waterfall!AQ7+AR12)/(1+AQ10),0)</f>
        <v>#VALUE!</v>
      </c>
      <c r="AR12" s="11" t="e">
        <f aca="false">IF(Time!AR17&lt;=Time!$F$14,(Waterfall!AR7+AS12)/(1+AR10),0)</f>
        <v>#VALUE!</v>
      </c>
      <c r="AS12" s="11" t="e">
        <f aca="false">IF(Time!AS17&lt;=Time!$F$14,(Waterfall!AS7+AT12)/(1+AS10),0)</f>
        <v>#VALUE!</v>
      </c>
      <c r="AT12" s="11" t="e">
        <f aca="false">IF(Time!AT17&lt;=Time!$F$14,(Waterfall!AT7+AU12)/(1+AT10),0)</f>
        <v>#VALUE!</v>
      </c>
      <c r="AU12" s="11" t="e">
        <f aca="false">IF(Time!AU17&lt;=Time!$F$14,(Waterfall!AU7+AV12)/(1+AU10),0)</f>
        <v>#VALUE!</v>
      </c>
      <c r="AV12" s="11" t="e">
        <f aca="false">IF(Time!AV17&lt;=Time!$F$14,(Waterfall!AV7+AW12)/(1+AV10),0)</f>
        <v>#VALUE!</v>
      </c>
      <c r="AW12" s="11" t="e">
        <f aca="false">IF(Time!AW17&lt;=Time!$F$14,(Waterfall!AW7+AX12)/(1+AW10),0)</f>
        <v>#VALUE!</v>
      </c>
      <c r="AX12" s="11" t="e">
        <f aca="false">IF(Time!AX17&lt;=Time!$F$14,(Waterfall!AX7+AY12)/(1+AX10),0)</f>
        <v>#VALUE!</v>
      </c>
      <c r="AY12" s="11" t="e">
        <f aca="false">IF(Time!AY17&lt;=Time!$F$14,(Waterfall!AY7+AZ12)/(1+AY10),0)</f>
        <v>#VALUE!</v>
      </c>
      <c r="AZ12" s="11" t="e">
        <f aca="false">IF(Time!AZ17&lt;=Time!$F$14,(Waterfall!AZ7+BA12)/(1+AZ10),0)</f>
        <v>#VALUE!</v>
      </c>
      <c r="BA12" s="11" t="e">
        <f aca="false">IF(Time!BA17&lt;=Time!$F$14,(Waterfall!BA7+BB12)/(1+BA10),0)</f>
        <v>#VALUE!</v>
      </c>
      <c r="BB12" s="11" t="e">
        <f aca="false">IF(Time!BB17&lt;=Time!$F$14,(Waterfall!BB7+BC12)/(1+BB10),0)</f>
        <v>#VALUE!</v>
      </c>
      <c r="BC12" s="11" t="e">
        <f aca="false">IF(Time!BC17&lt;=Time!$F$14,(Waterfall!BC7+BD12)/(1+BC10),0)</f>
        <v>#VALUE!</v>
      </c>
      <c r="BD12" s="11" t="e">
        <f aca="false">IF(Time!BD17&lt;=Time!$F$14,(Waterfall!BD7+BE12)/(1+BD10),0)</f>
        <v>#VALUE!</v>
      </c>
      <c r="BE12" s="11" t="e">
        <f aca="false">IF(Time!BE17&lt;=Time!$F$14,(Waterfall!BE7+BF12)/(1+BE10),0)</f>
        <v>#VALUE!</v>
      </c>
      <c r="BF12" s="11" t="e">
        <f aca="false">IF(Time!BF17&lt;=Time!$F$14,(Waterfall!BF7+BG12)/(1+BF10),0)</f>
        <v>#VALUE!</v>
      </c>
      <c r="BG12" s="11" t="e">
        <f aca="false">IF(Time!BG17&lt;=Time!$F$14,(Waterfall!BG7+BH12)/(1+BG10),0)</f>
        <v>#VALUE!</v>
      </c>
      <c r="BH12" s="11" t="e">
        <f aca="false">IF(Time!BH17&lt;=Time!$F$14,(Waterfall!BH7+BI12)/(1+BH10),0)</f>
        <v>#VALUE!</v>
      </c>
      <c r="BI12" s="11" t="e">
        <f aca="false">IF(Time!BI17&lt;=Time!$F$14,(Waterfall!BI7+BJ12)/(1+BI10),0)</f>
        <v>#VALUE!</v>
      </c>
      <c r="BJ12" s="11" t="e">
        <f aca="false">IF(Time!BJ17&lt;=Time!$F$14,(Waterfall!BJ7+BK12)/(1+BJ10),0)</f>
        <v>#VALUE!</v>
      </c>
      <c r="BK12" s="11" t="e">
        <f aca="false">IF(Time!BK17&lt;=Time!$F$14,(Waterfall!BK7+BL12)/(1+BK10),0)</f>
        <v>#VALUE!</v>
      </c>
      <c r="BL12" s="11" t="e">
        <f aca="false">IF(Time!BL17&lt;=Time!$F$14,(Waterfall!BL7+BM12)/(1+BL10),0)</f>
        <v>#VALUE!</v>
      </c>
      <c r="BM12" s="11" t="e">
        <f aca="false">IF(Time!BM17&lt;=Time!$F$14,(Waterfall!BM7+BN12)/(1+BM10),0)</f>
        <v>#VALUE!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e">
        <f aca="false">IF(Debt!K122&gt;0.000000001,(K11+Reserves!K9)/Debt!K122,0)</f>
        <v>#VALUE!</v>
      </c>
      <c r="L13" s="6" t="e">
        <f aca="false">IF(Debt!L122&gt;0.000000001,(L11+Reserves!L9)/Debt!L122,0)</f>
        <v>#VALUE!</v>
      </c>
      <c r="M13" s="6" t="e">
        <f aca="false">IF(Debt!M122&gt;0.000000001,(M11+Reserves!M9)/Debt!M122,0)</f>
        <v>#VALUE!</v>
      </c>
      <c r="N13" s="6" t="e">
        <f aca="false">IF(Debt!N122&gt;0.000000001,(N11+Reserves!N9)/Debt!N122,0)</f>
        <v>#VALUE!</v>
      </c>
      <c r="O13" s="6" t="e">
        <f aca="false">IF(Debt!O122&gt;0.000000001,(O11+Reserves!O9)/Debt!O122,0)</f>
        <v>#VALUE!</v>
      </c>
      <c r="P13" s="6" t="e">
        <f aca="false">IF(Debt!P122&gt;0.000000001,(P11+Reserves!P9)/Debt!P122,0)</f>
        <v>#VALUE!</v>
      </c>
      <c r="Q13" s="6" t="e">
        <f aca="false">IF(Debt!Q122&gt;0.000000001,(Q11+Reserves!Q9)/Debt!Q122,0)</f>
        <v>#VALUE!</v>
      </c>
      <c r="R13" s="6" t="e">
        <f aca="false">IF(Debt!R122&gt;0.000000001,(R11+Reserves!R9)/Debt!R122,0)</f>
        <v>#VALUE!</v>
      </c>
      <c r="S13" s="6" t="e">
        <f aca="false">IF(Debt!S122&gt;0.000000001,(S11+Reserves!S9)/Debt!S122,0)</f>
        <v>#VALUE!</v>
      </c>
      <c r="T13" s="6" t="e">
        <f aca="false">IF(Debt!T122&gt;0.000000001,(T11+Reserves!T9)/Debt!T122,0)</f>
        <v>#VALUE!</v>
      </c>
      <c r="U13" s="6" t="e">
        <f aca="false">IF(Debt!U122&gt;0.000000001,(U11+Reserves!U9)/Debt!U122,0)</f>
        <v>#VALUE!</v>
      </c>
      <c r="V13" s="6" t="e">
        <f aca="false">IF(Debt!V122&gt;0.000000001,(V11+Reserves!V9)/Debt!V122,0)</f>
        <v>#VALUE!</v>
      </c>
      <c r="W13" s="6" t="e">
        <f aca="false">IF(Debt!W122&gt;0.000000001,(W11+Reserves!W9)/Debt!W122,0)</f>
        <v>#VALUE!</v>
      </c>
      <c r="X13" s="6" t="e">
        <f aca="false">IF(Debt!X122&gt;0.000000001,(X11+Reserves!X9)/Debt!X122,0)</f>
        <v>#VALUE!</v>
      </c>
      <c r="Y13" s="6" t="e">
        <f aca="false">IF(Debt!Y122&gt;0.000000001,(Y11+Reserves!Y9)/Debt!Y122,0)</f>
        <v>#VALUE!</v>
      </c>
      <c r="Z13" s="6" t="e">
        <f aca="false">IF(Debt!Z122&gt;0.000000001,(Z11+Reserves!Z9)/Debt!Z122,0)</f>
        <v>#VALUE!</v>
      </c>
      <c r="AA13" s="6" t="e">
        <f aca="false">IF(Debt!AA122&gt;0.000000001,(AA11+Reserves!AA9)/Debt!AA122,0)</f>
        <v>#VALUE!</v>
      </c>
      <c r="AB13" s="6" t="e">
        <f aca="false">IF(Debt!AB122&gt;0.000000001,(AB11+Reserves!AB9)/Debt!AB122,0)</f>
        <v>#VALUE!</v>
      </c>
      <c r="AC13" s="6" t="e">
        <f aca="false">IF(Debt!AC122&gt;0.000000001,(AC11+Reserves!AC9)/Debt!AC122,0)</f>
        <v>#VALUE!</v>
      </c>
      <c r="AD13" s="6" t="e">
        <f aca="false">IF(Debt!AD122&gt;0.000000001,(AD11+Reserves!AD9)/Debt!AD122,0)</f>
        <v>#VALUE!</v>
      </c>
      <c r="AE13" s="6" t="e">
        <f aca="false">IF(Debt!AE122&gt;0.000000001,(AE11+Reserves!AE9)/Debt!AE122,0)</f>
        <v>#VALUE!</v>
      </c>
      <c r="AF13" s="6" t="e">
        <f aca="false">IF(Debt!AF122&gt;0.000000001,(AF11+Reserves!AF9)/Debt!AF122,0)</f>
        <v>#VALUE!</v>
      </c>
      <c r="AG13" s="6" t="e">
        <f aca="false">IF(Debt!AG122&gt;0.000000001,(AG11+Reserves!AG9)/Debt!AG122,0)</f>
        <v>#VALUE!</v>
      </c>
      <c r="AH13" s="6" t="e">
        <f aca="false">IF(Debt!AH122&gt;0.000000001,(AH11+Reserves!AH9)/Debt!AH122,0)</f>
        <v>#VALUE!</v>
      </c>
      <c r="AI13" s="6" t="e">
        <f aca="false">IF(Debt!AI122&gt;0.000000001,(AI11+Reserves!AI9)/Debt!AI122,0)</f>
        <v>#VALUE!</v>
      </c>
      <c r="AJ13" s="6" t="e">
        <f aca="false">IF(Debt!AJ122&gt;0.000000001,(AJ11+Reserves!AJ9)/Debt!AJ122,0)</f>
        <v>#VALUE!</v>
      </c>
      <c r="AK13" s="6" t="e">
        <f aca="false">IF(Debt!AK122&gt;0.000000001,(AK11+Reserves!AK9)/Debt!AK122,0)</f>
        <v>#VALUE!</v>
      </c>
      <c r="AL13" s="6" t="e">
        <f aca="false">IF(Debt!AL122&gt;0.000000001,(AL11+Reserves!AL9)/Debt!AL122,0)</f>
        <v>#VALUE!</v>
      </c>
      <c r="AM13" s="6" t="e">
        <f aca="false">IF(Debt!AM122&gt;0.000000001,(AM11+Reserves!AM9)/Debt!AM122,0)</f>
        <v>#VALUE!</v>
      </c>
      <c r="AN13" s="6" t="e">
        <f aca="false">IF(Debt!AN122&gt;0.000000001,(AN11+Reserves!AN9)/Debt!AN122,0)</f>
        <v>#VALUE!</v>
      </c>
      <c r="AO13" s="6" t="e">
        <f aca="false">IF(Debt!AO122&gt;0.000000001,(AO11+Reserves!AO9)/Debt!AO122,0)</f>
        <v>#VALUE!</v>
      </c>
      <c r="AP13" s="6" t="e">
        <f aca="false">IF(Debt!AP122&gt;0.000000001,(AP11+Reserves!AP9)/Debt!AP122,0)</f>
        <v>#VALUE!</v>
      </c>
      <c r="AQ13" s="6" t="e">
        <f aca="false">IF(Debt!AQ122&gt;0.000000001,(AQ11+Reserves!AQ9)/Debt!AQ122,0)</f>
        <v>#VALUE!</v>
      </c>
      <c r="AR13" s="6" t="e">
        <f aca="false">IF(Debt!AR122&gt;0.000000001,(AR11+Reserves!AR9)/Debt!AR122,0)</f>
        <v>#VALUE!</v>
      </c>
      <c r="AS13" s="6" t="e">
        <f aca="false">IF(Debt!AS122&gt;0.000000001,(AS11+Reserves!AS9)/Debt!AS122,0)</f>
        <v>#VALUE!</v>
      </c>
      <c r="AT13" s="6" t="e">
        <f aca="false">IF(Debt!AT122&gt;0.000000001,(AT11+Reserves!AT9)/Debt!AT122,0)</f>
        <v>#VALUE!</v>
      </c>
      <c r="AU13" s="6" t="e">
        <f aca="false">IF(Debt!AU122&gt;0.000000001,(AU11+Reserves!AU9)/Debt!AU122,0)</f>
        <v>#VALUE!</v>
      </c>
      <c r="AV13" s="6" t="e">
        <f aca="false">IF(Debt!AV122&gt;0.000000001,(AV11+Reserves!AV9)/Debt!AV122,0)</f>
        <v>#VALUE!</v>
      </c>
      <c r="AW13" s="6" t="e">
        <f aca="false">IF(Debt!AW122&gt;0.000000001,(AW11+Reserves!AW9)/Debt!AW122,0)</f>
        <v>#VALUE!</v>
      </c>
      <c r="AX13" s="6" t="e">
        <f aca="false">IF(Debt!AX122&gt;0.000000001,(AX11+Reserves!AX9)/Debt!AX122,0)</f>
        <v>#VALUE!</v>
      </c>
      <c r="AY13" s="6" t="e">
        <f aca="false">IF(Debt!AY122&gt;0.000000001,(AY11+Reserves!AY9)/Debt!AY122,0)</f>
        <v>#VALUE!</v>
      </c>
      <c r="AZ13" s="6" t="e">
        <f aca="false">IF(Debt!AZ122&gt;0.000000001,(AZ11+Reserves!AZ9)/Debt!AZ122,0)</f>
        <v>#VALUE!</v>
      </c>
      <c r="BA13" s="6" t="e">
        <f aca="false">IF(Debt!BA122&gt;0.000000001,(BA11+Reserves!BA9)/Debt!BA122,0)</f>
        <v>#VALUE!</v>
      </c>
      <c r="BB13" s="6" t="e">
        <f aca="false">IF(Debt!BB122&gt;0.000000001,(BB11+Reserves!BB9)/Debt!BB122,0)</f>
        <v>#VALUE!</v>
      </c>
      <c r="BC13" s="6" t="e">
        <f aca="false">IF(Debt!BC122&gt;0.000000001,(BC11+Reserves!BC9)/Debt!BC122,0)</f>
        <v>#VALUE!</v>
      </c>
      <c r="BD13" s="6" t="e">
        <f aca="false">IF(Debt!BD122&gt;0.000000001,(BD11+Reserves!BD9)/Debt!BD122,0)</f>
        <v>#VALUE!</v>
      </c>
      <c r="BE13" s="6" t="e">
        <f aca="false">IF(Debt!BE122&gt;0.000000001,(BE11+Reserves!BE9)/Debt!BE122,0)</f>
        <v>#VALUE!</v>
      </c>
      <c r="BF13" s="6" t="e">
        <f aca="false">IF(Debt!BF122&gt;0.000000001,(BF11+Reserves!BF9)/Debt!BF122,0)</f>
        <v>#VALUE!</v>
      </c>
      <c r="BG13" s="6" t="e">
        <f aca="false">IF(Debt!BG122&gt;0.000000001,(BG11+Reserves!BG9)/Debt!BG122,0)</f>
        <v>#VALUE!</v>
      </c>
      <c r="BH13" s="6" t="e">
        <f aca="false">IF(Debt!BH122&gt;0.000000001,(BH11+Reserves!BH9)/Debt!BH122,0)</f>
        <v>#VALUE!</v>
      </c>
      <c r="BI13" s="6" t="e">
        <f aca="false">IF(Debt!BI122&gt;0.000000001,(BI11+Reserves!BI9)/Debt!BI122,0)</f>
        <v>#VALUE!</v>
      </c>
      <c r="BJ13" s="6" t="e">
        <f aca="false">IF(Debt!BJ122&gt;0.000000001,(BJ11+Reserves!BJ9)/Debt!BJ122,0)</f>
        <v>#VALUE!</v>
      </c>
      <c r="BK13" s="6" t="e">
        <f aca="false">IF(Debt!BK122&gt;0.000000001,(BK11+Reserves!BK9)/Debt!BK122,0)</f>
        <v>#VALUE!</v>
      </c>
      <c r="BL13" s="6" t="e">
        <f aca="false">IF(Debt!BL122&gt;0.000000001,(BL11+Reserves!BL9)/Debt!BL122,0)</f>
        <v>#VALUE!</v>
      </c>
      <c r="BM13" s="6" t="e">
        <f aca="false">IF(Debt!BM122&gt;0.000000001,(BM11+Reserves!BM9)/Debt!BM122,0)</f>
        <v>#VALUE!</v>
      </c>
      <c r="BN13" s="6" t="e">
        <f aca="false">IF(Debt!BN122&gt;0.000000001,(BN11+Reserves!BN9)/Debt!BN122,0)</f>
        <v>#VALUE!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e">
        <f aca="false">IF(Debt!K122&gt;0.000000001,K11/Debt!K122,0)</f>
        <v>#VALUE!</v>
      </c>
      <c r="L14" s="6" t="e">
        <f aca="false">IF(Debt!L122&gt;0.000000001,L11/Debt!L122,0)</f>
        <v>#VALUE!</v>
      </c>
      <c r="M14" s="6" t="e">
        <f aca="false">IF(Debt!M122&gt;0.000000001,M11/Debt!M122,0)</f>
        <v>#VALUE!</v>
      </c>
      <c r="N14" s="6" t="e">
        <f aca="false">IF(Debt!N122&gt;0.000000001,N11/Debt!N122,0)</f>
        <v>#VALUE!</v>
      </c>
      <c r="O14" s="6" t="e">
        <f aca="false">IF(Debt!O122&gt;0.000000001,O11/Debt!O122,0)</f>
        <v>#VALUE!</v>
      </c>
      <c r="P14" s="6" t="e">
        <f aca="false">IF(Debt!P122&gt;0.000000001,P11/Debt!P122,0)</f>
        <v>#VALUE!</v>
      </c>
      <c r="Q14" s="6" t="e">
        <f aca="false">IF(Debt!Q122&gt;0.000000001,Q11/Debt!Q122,0)</f>
        <v>#VALUE!</v>
      </c>
      <c r="R14" s="6" t="e">
        <f aca="false">IF(Debt!R122&gt;0.000000001,R11/Debt!R122,0)</f>
        <v>#VALUE!</v>
      </c>
      <c r="S14" s="6" t="e">
        <f aca="false">IF(Debt!S122&gt;0.000000001,S11/Debt!S122,0)</f>
        <v>#VALUE!</v>
      </c>
      <c r="T14" s="6" t="e">
        <f aca="false">IF(Debt!T122&gt;0.000000001,T11/Debt!T122,0)</f>
        <v>#VALUE!</v>
      </c>
      <c r="U14" s="6" t="e">
        <f aca="false">IF(Debt!U122&gt;0.000000001,U11/Debt!U122,0)</f>
        <v>#VALUE!</v>
      </c>
      <c r="V14" s="6" t="e">
        <f aca="false">IF(Debt!V122&gt;0.000000001,V11/Debt!V122,0)</f>
        <v>#VALUE!</v>
      </c>
      <c r="W14" s="6" t="e">
        <f aca="false">IF(Debt!W122&gt;0.000000001,W11/Debt!W122,0)</f>
        <v>#VALUE!</v>
      </c>
      <c r="X14" s="6" t="e">
        <f aca="false">IF(Debt!X122&gt;0.000000001,X11/Debt!X122,0)</f>
        <v>#VALUE!</v>
      </c>
      <c r="Y14" s="6" t="e">
        <f aca="false">IF(Debt!Y122&gt;0.000000001,Y11/Debt!Y122,0)</f>
        <v>#VALUE!</v>
      </c>
      <c r="Z14" s="6" t="e">
        <f aca="false">IF(Debt!Z122&gt;0.000000001,Z11/Debt!Z122,0)</f>
        <v>#VALUE!</v>
      </c>
      <c r="AA14" s="6" t="e">
        <f aca="false">IF(Debt!AA122&gt;0.000000001,AA11/Debt!AA122,0)</f>
        <v>#VALUE!</v>
      </c>
      <c r="AB14" s="6" t="e">
        <f aca="false">IF(Debt!AB122&gt;0.000000001,AB11/Debt!AB122,0)</f>
        <v>#VALUE!</v>
      </c>
      <c r="AC14" s="6" t="e">
        <f aca="false">IF(Debt!AC122&gt;0.000000001,AC11/Debt!AC122,0)</f>
        <v>#VALUE!</v>
      </c>
      <c r="AD14" s="6" t="e">
        <f aca="false">IF(Debt!AD122&gt;0.000000001,AD11/Debt!AD122,0)</f>
        <v>#VALUE!</v>
      </c>
      <c r="AE14" s="6" t="e">
        <f aca="false">IF(Debt!AE122&gt;0.000000001,AE11/Debt!AE122,0)</f>
        <v>#VALUE!</v>
      </c>
      <c r="AF14" s="6" t="e">
        <f aca="false">IF(Debt!AF122&gt;0.000000001,AF11/Debt!AF122,0)</f>
        <v>#VALUE!</v>
      </c>
      <c r="AG14" s="6" t="e">
        <f aca="false">IF(Debt!AG122&gt;0.000000001,AG11/Debt!AG122,0)</f>
        <v>#VALUE!</v>
      </c>
      <c r="AH14" s="6" t="e">
        <f aca="false">IF(Debt!AH122&gt;0.000000001,AH11/Debt!AH122,0)</f>
        <v>#VALUE!</v>
      </c>
      <c r="AI14" s="6" t="e">
        <f aca="false">IF(Debt!AI122&gt;0.000000001,AI11/Debt!AI122,0)</f>
        <v>#VALUE!</v>
      </c>
      <c r="AJ14" s="6" t="e">
        <f aca="false">IF(Debt!AJ122&gt;0.000000001,AJ11/Debt!AJ122,0)</f>
        <v>#VALUE!</v>
      </c>
      <c r="AK14" s="6" t="e">
        <f aca="false">IF(Debt!AK122&gt;0.000000001,AK11/Debt!AK122,0)</f>
        <v>#VALUE!</v>
      </c>
      <c r="AL14" s="6" t="e">
        <f aca="false">IF(Debt!AL122&gt;0.000000001,AL11/Debt!AL122,0)</f>
        <v>#VALUE!</v>
      </c>
      <c r="AM14" s="6" t="e">
        <f aca="false">IF(Debt!AM122&gt;0.000000001,AM11/Debt!AM122,0)</f>
        <v>#VALUE!</v>
      </c>
      <c r="AN14" s="6" t="e">
        <f aca="false">IF(Debt!AN122&gt;0.000000001,AN11/Debt!AN122,0)</f>
        <v>#VALUE!</v>
      </c>
      <c r="AO14" s="6" t="e">
        <f aca="false">IF(Debt!AO122&gt;0.000000001,AO11/Debt!AO122,0)</f>
        <v>#VALUE!</v>
      </c>
      <c r="AP14" s="6" t="e">
        <f aca="false">IF(Debt!AP122&gt;0.000000001,AP11/Debt!AP122,0)</f>
        <v>#VALUE!</v>
      </c>
      <c r="AQ14" s="6" t="e">
        <f aca="false">IF(Debt!AQ122&gt;0.000000001,AQ11/Debt!AQ122,0)</f>
        <v>#VALUE!</v>
      </c>
      <c r="AR14" s="6" t="e">
        <f aca="false">IF(Debt!AR122&gt;0.000000001,AR11/Debt!AR122,0)</f>
        <v>#VALUE!</v>
      </c>
      <c r="AS14" s="6" t="e">
        <f aca="false">IF(Debt!AS122&gt;0.000000001,AS11/Debt!AS122,0)</f>
        <v>#VALUE!</v>
      </c>
      <c r="AT14" s="6" t="e">
        <f aca="false">IF(Debt!AT122&gt;0.000000001,AT11/Debt!AT122,0)</f>
        <v>#VALUE!</v>
      </c>
      <c r="AU14" s="6" t="e">
        <f aca="false">IF(Debt!AU122&gt;0.000000001,AU11/Debt!AU122,0)</f>
        <v>#VALUE!</v>
      </c>
      <c r="AV14" s="6" t="e">
        <f aca="false">IF(Debt!AV122&gt;0.000000001,AV11/Debt!AV122,0)</f>
        <v>#VALUE!</v>
      </c>
      <c r="AW14" s="6" t="e">
        <f aca="false">IF(Debt!AW122&gt;0.000000001,AW11/Debt!AW122,0)</f>
        <v>#VALUE!</v>
      </c>
      <c r="AX14" s="6" t="e">
        <f aca="false">IF(Debt!AX122&gt;0.000000001,AX11/Debt!AX122,0)</f>
        <v>#VALUE!</v>
      </c>
      <c r="AY14" s="6" t="e">
        <f aca="false">IF(Debt!AY122&gt;0.000000001,AY11/Debt!AY122,0)</f>
        <v>#VALUE!</v>
      </c>
      <c r="AZ14" s="6" t="e">
        <f aca="false">IF(Debt!AZ122&gt;0.000000001,AZ11/Debt!AZ122,0)</f>
        <v>#VALUE!</v>
      </c>
      <c r="BA14" s="6" t="e">
        <f aca="false">IF(Debt!BA122&gt;0.000000001,BA11/Debt!BA122,0)</f>
        <v>#VALUE!</v>
      </c>
      <c r="BB14" s="6" t="e">
        <f aca="false">IF(Debt!BB122&gt;0.000000001,BB11/Debt!BB122,0)</f>
        <v>#VALUE!</v>
      </c>
      <c r="BC14" s="6" t="e">
        <f aca="false">IF(Debt!BC122&gt;0.000000001,BC11/Debt!BC122,0)</f>
        <v>#VALUE!</v>
      </c>
      <c r="BD14" s="6" t="e">
        <f aca="false">IF(Debt!BD122&gt;0.000000001,BD11/Debt!BD122,0)</f>
        <v>#VALUE!</v>
      </c>
      <c r="BE14" s="6" t="e">
        <f aca="false">IF(Debt!BE122&gt;0.000000001,BE11/Debt!BE122,0)</f>
        <v>#VALUE!</v>
      </c>
      <c r="BF14" s="6" t="e">
        <f aca="false">IF(Debt!BF122&gt;0.000000001,BF11/Debt!BF122,0)</f>
        <v>#VALUE!</v>
      </c>
      <c r="BG14" s="6" t="e">
        <f aca="false">IF(Debt!BG122&gt;0.000000001,BG11/Debt!BG122,0)</f>
        <v>#VALUE!</v>
      </c>
      <c r="BH14" s="6" t="e">
        <f aca="false">IF(Debt!BH122&gt;0.000000001,BH11/Debt!BH122,0)</f>
        <v>#VALUE!</v>
      </c>
      <c r="BI14" s="6" t="e">
        <f aca="false">IF(Debt!BI122&gt;0.000000001,BI11/Debt!BI122,0)</f>
        <v>#VALUE!</v>
      </c>
      <c r="BJ14" s="6" t="e">
        <f aca="false">IF(Debt!BJ122&gt;0.000000001,BJ11/Debt!BJ122,0)</f>
        <v>#VALUE!</v>
      </c>
      <c r="BK14" s="6" t="e">
        <f aca="false">IF(Debt!BK122&gt;0.000000001,BK11/Debt!BK122,0)</f>
        <v>#VALUE!</v>
      </c>
      <c r="BL14" s="6" t="e">
        <f aca="false">IF(Debt!BL122&gt;0.000000001,BL11/Debt!BL122,0)</f>
        <v>#VALUE!</v>
      </c>
      <c r="BM14" s="6" t="e">
        <f aca="false">IF(Debt!BM122&gt;0.000000001,BM11/Debt!BM122,0)</f>
        <v>#VALUE!</v>
      </c>
      <c r="BN14" s="6" t="e">
        <f aca="false">IF(Debt!BN122&gt;0.000000001,BN11/Debt!BN122,0)</f>
        <v>#VALUE!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e">
        <f aca="false">IF(Debt!K122&gt;0.000000001,K12/Debt!K122,0)</f>
        <v>#VALUE!</v>
      </c>
      <c r="L15" s="6" t="e">
        <f aca="false">IF(Debt!L122&gt;0.000000001,L12/Debt!L122,0)</f>
        <v>#VALUE!</v>
      </c>
      <c r="M15" s="6" t="e">
        <f aca="false">IF(Debt!M122&gt;0.000000001,M12/Debt!M122,0)</f>
        <v>#VALUE!</v>
      </c>
      <c r="N15" s="6" t="e">
        <f aca="false">IF(Debt!N122&gt;0.000000001,N12/Debt!N122,0)</f>
        <v>#VALUE!</v>
      </c>
      <c r="O15" s="6" t="e">
        <f aca="false">IF(Debt!O122&gt;0.000000001,O12/Debt!O122,0)</f>
        <v>#VALUE!</v>
      </c>
      <c r="P15" s="6" t="e">
        <f aca="false">IF(Debt!P122&gt;0.000000001,P12/Debt!P122,0)</f>
        <v>#VALUE!</v>
      </c>
      <c r="Q15" s="6" t="e">
        <f aca="false">IF(Debt!Q122&gt;0.000000001,Q12/Debt!Q122,0)</f>
        <v>#VALUE!</v>
      </c>
      <c r="R15" s="6" t="e">
        <f aca="false">IF(Debt!R122&gt;0.000000001,R12/Debt!R122,0)</f>
        <v>#VALUE!</v>
      </c>
      <c r="S15" s="6" t="e">
        <f aca="false">IF(Debt!S122&gt;0.000000001,S12/Debt!S122,0)</f>
        <v>#VALUE!</v>
      </c>
      <c r="T15" s="6" t="e">
        <f aca="false">IF(Debt!T122&gt;0.000000001,T12/Debt!T122,0)</f>
        <v>#VALUE!</v>
      </c>
      <c r="U15" s="6" t="e">
        <f aca="false">IF(Debt!U122&gt;0.000000001,U12/Debt!U122,0)</f>
        <v>#VALUE!</v>
      </c>
      <c r="V15" s="6" t="e">
        <f aca="false">IF(Debt!V122&gt;0.000000001,V12/Debt!V122,0)</f>
        <v>#VALUE!</v>
      </c>
      <c r="W15" s="6" t="e">
        <f aca="false">IF(Debt!W122&gt;0.000000001,W12/Debt!W122,0)</f>
        <v>#VALUE!</v>
      </c>
      <c r="X15" s="6" t="e">
        <f aca="false">IF(Debt!X122&gt;0.000000001,X12/Debt!X122,0)</f>
        <v>#VALUE!</v>
      </c>
      <c r="Y15" s="6" t="e">
        <f aca="false">IF(Debt!Y122&gt;0.000000001,Y12/Debt!Y122,0)</f>
        <v>#VALUE!</v>
      </c>
      <c r="Z15" s="6" t="e">
        <f aca="false">IF(Debt!Z122&gt;0.000000001,Z12/Debt!Z122,0)</f>
        <v>#VALUE!</v>
      </c>
      <c r="AA15" s="6" t="e">
        <f aca="false">IF(Debt!AA122&gt;0.000000001,AA12/Debt!AA122,0)</f>
        <v>#VALUE!</v>
      </c>
      <c r="AB15" s="6" t="e">
        <f aca="false">IF(Debt!AB122&gt;0.000000001,AB12/Debt!AB122,0)</f>
        <v>#VALUE!</v>
      </c>
      <c r="AC15" s="6" t="e">
        <f aca="false">IF(Debt!AC122&gt;0.000000001,AC12/Debt!AC122,0)</f>
        <v>#VALUE!</v>
      </c>
      <c r="AD15" s="6" t="e">
        <f aca="false">IF(Debt!AD122&gt;0.000000001,AD12/Debt!AD122,0)</f>
        <v>#VALUE!</v>
      </c>
      <c r="AE15" s="6" t="e">
        <f aca="false">IF(Debt!AE122&gt;0.000000001,AE12/Debt!AE122,0)</f>
        <v>#VALUE!</v>
      </c>
      <c r="AF15" s="6" t="e">
        <f aca="false">IF(Debt!AF122&gt;0.000000001,AF12/Debt!AF122,0)</f>
        <v>#VALUE!</v>
      </c>
      <c r="AG15" s="6" t="e">
        <f aca="false">IF(Debt!AG122&gt;0.000000001,AG12/Debt!AG122,0)</f>
        <v>#VALUE!</v>
      </c>
      <c r="AH15" s="6" t="e">
        <f aca="false">IF(Debt!AH122&gt;0.000000001,AH12/Debt!AH122,0)</f>
        <v>#VALUE!</v>
      </c>
      <c r="AI15" s="6" t="e">
        <f aca="false">IF(Debt!AI122&gt;0.000000001,AI12/Debt!AI122,0)</f>
        <v>#VALUE!</v>
      </c>
      <c r="AJ15" s="6" t="e">
        <f aca="false">IF(Debt!AJ122&gt;0.000000001,AJ12/Debt!AJ122,0)</f>
        <v>#VALUE!</v>
      </c>
      <c r="AK15" s="6" t="e">
        <f aca="false">IF(Debt!AK122&gt;0.000000001,AK12/Debt!AK122,0)</f>
        <v>#VALUE!</v>
      </c>
      <c r="AL15" s="6" t="e">
        <f aca="false">IF(Debt!AL122&gt;0.000000001,AL12/Debt!AL122,0)</f>
        <v>#VALUE!</v>
      </c>
      <c r="AM15" s="6" t="e">
        <f aca="false">IF(Debt!AM122&gt;0.000000001,AM12/Debt!AM122,0)</f>
        <v>#VALUE!</v>
      </c>
      <c r="AN15" s="6" t="e">
        <f aca="false">IF(Debt!AN122&gt;0.000000001,AN12/Debt!AN122,0)</f>
        <v>#VALUE!</v>
      </c>
      <c r="AO15" s="6" t="e">
        <f aca="false">IF(Debt!AO122&gt;0.000000001,AO12/Debt!AO122,0)</f>
        <v>#VALUE!</v>
      </c>
      <c r="AP15" s="6" t="e">
        <f aca="false">IF(Debt!AP122&gt;0.000000001,AP12/Debt!AP122,0)</f>
        <v>#VALUE!</v>
      </c>
      <c r="AQ15" s="6" t="e">
        <f aca="false">IF(Debt!AQ122&gt;0.000000001,AQ12/Debt!AQ122,0)</f>
        <v>#VALUE!</v>
      </c>
      <c r="AR15" s="6" t="e">
        <f aca="false">IF(Debt!AR122&gt;0.000000001,AR12/Debt!AR122,0)</f>
        <v>#VALUE!</v>
      </c>
      <c r="AS15" s="6" t="e">
        <f aca="false">IF(Debt!AS122&gt;0.000000001,AS12/Debt!AS122,0)</f>
        <v>#VALUE!</v>
      </c>
      <c r="AT15" s="6" t="e">
        <f aca="false">IF(Debt!AT122&gt;0.000000001,AT12/Debt!AT122,0)</f>
        <v>#VALUE!</v>
      </c>
      <c r="AU15" s="6" t="e">
        <f aca="false">IF(Debt!AU122&gt;0.000000001,AU12/Debt!AU122,0)</f>
        <v>#VALUE!</v>
      </c>
      <c r="AV15" s="6" t="e">
        <f aca="false">IF(Debt!AV122&gt;0.000000001,AV12/Debt!AV122,0)</f>
        <v>#VALUE!</v>
      </c>
      <c r="AW15" s="6" t="e">
        <f aca="false">IF(Debt!AW122&gt;0.000000001,AW12/Debt!AW122,0)</f>
        <v>#VALUE!</v>
      </c>
      <c r="AX15" s="6" t="e">
        <f aca="false">IF(Debt!AX122&gt;0.000000001,AX12/Debt!AX122,0)</f>
        <v>#VALUE!</v>
      </c>
      <c r="AY15" s="6" t="e">
        <f aca="false">IF(Debt!AY122&gt;0.000000001,AY12/Debt!AY122,0)</f>
        <v>#VALUE!</v>
      </c>
      <c r="AZ15" s="6" t="e">
        <f aca="false">IF(Debt!AZ122&gt;0.000000001,AZ12/Debt!AZ122,0)</f>
        <v>#VALUE!</v>
      </c>
      <c r="BA15" s="6" t="e">
        <f aca="false">IF(Debt!BA122&gt;0.000000001,BA12/Debt!BA122,0)</f>
        <v>#VALUE!</v>
      </c>
      <c r="BB15" s="6" t="e">
        <f aca="false">IF(Debt!BB122&gt;0.000000001,BB12/Debt!BB122,0)</f>
        <v>#VALUE!</v>
      </c>
      <c r="BC15" s="6" t="e">
        <f aca="false">IF(Debt!BC122&gt;0.000000001,BC12/Debt!BC122,0)</f>
        <v>#VALUE!</v>
      </c>
      <c r="BD15" s="6" t="e">
        <f aca="false">IF(Debt!BD122&gt;0.000000001,BD12/Debt!BD122,0)</f>
        <v>#VALUE!</v>
      </c>
      <c r="BE15" s="6" t="e">
        <f aca="false">IF(Debt!BE122&gt;0.000000001,BE12/Debt!BE122,0)</f>
        <v>#VALUE!</v>
      </c>
      <c r="BF15" s="6" t="e">
        <f aca="false">IF(Debt!BF122&gt;0.000000001,BF12/Debt!BF122,0)</f>
        <v>#VALUE!</v>
      </c>
      <c r="BG15" s="6" t="e">
        <f aca="false">IF(Debt!BG122&gt;0.000000001,BG12/Debt!BG122,0)</f>
        <v>#VALUE!</v>
      </c>
      <c r="BH15" s="6" t="e">
        <f aca="false">IF(Debt!BH122&gt;0.000000001,BH12/Debt!BH122,0)</f>
        <v>#VALUE!</v>
      </c>
      <c r="BI15" s="6" t="e">
        <f aca="false">IF(Debt!BI122&gt;0.000000001,BI12/Debt!BI122,0)</f>
        <v>#VALUE!</v>
      </c>
      <c r="BJ15" s="6" t="e">
        <f aca="false">IF(Debt!BJ122&gt;0.000000001,BJ12/Debt!BJ122,0)</f>
        <v>#VALUE!</v>
      </c>
      <c r="BK15" s="6" t="e">
        <f aca="false">IF(Debt!BK122&gt;0.000000001,BK12/Debt!BK122,0)</f>
        <v>#VALUE!</v>
      </c>
      <c r="BL15" s="6" t="e">
        <f aca="false">IF(Debt!BL122&gt;0.000000001,BL12/Debt!BL122,0)</f>
        <v>#VALUE!</v>
      </c>
      <c r="BM15" s="6" t="e">
        <f aca="false">IF(Debt!BM122&gt;0.000000001,BM12/Debt!BM122,0)</f>
        <v>#VALUE!</v>
      </c>
      <c r="BN15" s="6" t="e">
        <f aca="false">IF(Debt!BN122&gt;0.000000001,BN12/Debt!BN122,0)</f>
        <v>#VALUE!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e">
        <f aca="false">INDEX(Ratios!$J$13:$BN$13,1,Time!$F$12)</f>
        <v>#VALUE!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e">
        <f aca="false">INDEX(Ratios!$J$15:$BN$15,1,Time!$F$12)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e">
        <f aca="false">SUM(J8:DP8)</f>
        <v>#VALUE!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e">
        <f aca="false">Waterfall!J44</f>
        <v>#VALUE!</v>
      </c>
      <c r="BM8" s="16" t="e">
        <f aca="false">Waterfall!K44</f>
        <v>#VALUE!</v>
      </c>
      <c r="BN8" s="16" t="e">
        <f aca="false">Waterfall!L44</f>
        <v>#VALUE!</v>
      </c>
      <c r="BO8" s="16" t="e">
        <f aca="false">Waterfall!M44</f>
        <v>#VALUE!</v>
      </c>
      <c r="BP8" s="16" t="e">
        <f aca="false">Waterfall!N44</f>
        <v>#VALUE!</v>
      </c>
      <c r="BQ8" s="16" t="e">
        <f aca="false">Waterfall!O44</f>
        <v>#VALUE!</v>
      </c>
      <c r="BR8" s="16" t="e">
        <f aca="false">Waterfall!P44</f>
        <v>#VALUE!</v>
      </c>
      <c r="BS8" s="16" t="e">
        <f aca="false">Waterfall!Q44</f>
        <v>#VALUE!</v>
      </c>
      <c r="BT8" s="16" t="e">
        <f aca="false">Waterfall!R44</f>
        <v>#VALUE!</v>
      </c>
      <c r="BU8" s="16" t="e">
        <f aca="false">Waterfall!S44</f>
        <v>#VALUE!</v>
      </c>
      <c r="BV8" s="16" t="e">
        <f aca="false">Waterfall!T44</f>
        <v>#VALUE!</v>
      </c>
      <c r="BW8" s="16" t="e">
        <f aca="false">Waterfall!U44</f>
        <v>#VALUE!</v>
      </c>
      <c r="BX8" s="16" t="e">
        <f aca="false">Waterfall!V44</f>
        <v>#VALUE!</v>
      </c>
      <c r="BY8" s="16" t="e">
        <f aca="false">Waterfall!W44</f>
        <v>#VALUE!</v>
      </c>
      <c r="BZ8" s="16" t="e">
        <f aca="false">Waterfall!X44</f>
        <v>#VALUE!</v>
      </c>
      <c r="CA8" s="16" t="e">
        <f aca="false">Waterfall!Y44</f>
        <v>#VALUE!</v>
      </c>
      <c r="CB8" s="16" t="e">
        <f aca="false">Waterfall!Z44</f>
        <v>#VALUE!</v>
      </c>
      <c r="CC8" s="16" t="e">
        <f aca="false">Waterfall!AA44</f>
        <v>#VALUE!</v>
      </c>
      <c r="CD8" s="16" t="e">
        <f aca="false">Waterfall!AB44</f>
        <v>#VALUE!</v>
      </c>
      <c r="CE8" s="16" t="e">
        <f aca="false">Waterfall!AC44</f>
        <v>#VALUE!</v>
      </c>
      <c r="CF8" s="16" t="e">
        <f aca="false">Waterfall!AD44</f>
        <v>#VALUE!</v>
      </c>
      <c r="CG8" s="16" t="e">
        <f aca="false">Waterfall!AE44</f>
        <v>#VALUE!</v>
      </c>
      <c r="CH8" s="16" t="e">
        <f aca="false">Waterfall!AF44</f>
        <v>#VALUE!</v>
      </c>
      <c r="CI8" s="16" t="e">
        <f aca="false">Waterfall!AG44</f>
        <v>#VALUE!</v>
      </c>
      <c r="CJ8" s="16" t="e">
        <f aca="false">Waterfall!AH44</f>
        <v>#VALUE!</v>
      </c>
      <c r="CK8" s="16" t="e">
        <f aca="false">Waterfall!AI44</f>
        <v>#VALUE!</v>
      </c>
      <c r="CL8" s="16" t="e">
        <f aca="false">Waterfall!AJ44</f>
        <v>#VALUE!</v>
      </c>
      <c r="CM8" s="16" t="e">
        <f aca="false">Waterfall!AK44</f>
        <v>#VALUE!</v>
      </c>
      <c r="CN8" s="16" t="e">
        <f aca="false">Waterfall!AL44</f>
        <v>#VALUE!</v>
      </c>
      <c r="CO8" s="16" t="e">
        <f aca="false">Waterfall!AM44</f>
        <v>#VALUE!</v>
      </c>
      <c r="CP8" s="16" t="e">
        <f aca="false">Waterfall!AN44</f>
        <v>#VALUE!</v>
      </c>
      <c r="CQ8" s="16" t="e">
        <f aca="false">Waterfall!AO44</f>
        <v>#VALUE!</v>
      </c>
      <c r="CR8" s="16" t="e">
        <f aca="false">Waterfall!AP44</f>
        <v>#VALUE!</v>
      </c>
      <c r="CS8" s="16" t="e">
        <f aca="false">Waterfall!AQ44</f>
        <v>#VALUE!</v>
      </c>
      <c r="CT8" s="16" t="e">
        <f aca="false">Waterfall!AR44</f>
        <v>#VALUE!</v>
      </c>
      <c r="CU8" s="16" t="e">
        <f aca="false">Waterfall!AS44</f>
        <v>#VALUE!</v>
      </c>
      <c r="CV8" s="16" t="e">
        <f aca="false">Waterfall!AT44</f>
        <v>#VALUE!</v>
      </c>
      <c r="CW8" s="16" t="e">
        <f aca="false">Waterfall!AU44</f>
        <v>#VALUE!</v>
      </c>
      <c r="CX8" s="16" t="e">
        <f aca="false">Waterfall!AV44</f>
        <v>#VALUE!</v>
      </c>
      <c r="CY8" s="16" t="e">
        <f aca="false">Waterfall!AW44</f>
        <v>#VALUE!</v>
      </c>
      <c r="CZ8" s="16" t="e">
        <f aca="false">Waterfall!AX44</f>
        <v>#VALUE!</v>
      </c>
      <c r="DA8" s="16" t="e">
        <f aca="false">Waterfall!AY44</f>
        <v>#VALUE!</v>
      </c>
      <c r="DB8" s="16" t="e">
        <f aca="false">Waterfall!AZ44</f>
        <v>#VALUE!</v>
      </c>
      <c r="DC8" s="16" t="e">
        <f aca="false">Waterfall!BA44</f>
        <v>#VALUE!</v>
      </c>
      <c r="DD8" s="16" t="e">
        <f aca="false">Waterfall!BB44</f>
        <v>#VALUE!</v>
      </c>
      <c r="DE8" s="16" t="e">
        <f aca="false">Waterfall!BC44</f>
        <v>#VALUE!</v>
      </c>
      <c r="DF8" s="16" t="e">
        <f aca="false">Waterfall!BD44</f>
        <v>#VALUE!</v>
      </c>
      <c r="DG8" s="16" t="e">
        <f aca="false">Waterfall!BE44</f>
        <v>#VALUE!</v>
      </c>
      <c r="DH8" s="16" t="e">
        <f aca="false">Waterfall!BF44</f>
        <v>#VALUE!</v>
      </c>
      <c r="DI8" s="16" t="e">
        <f aca="false">Waterfall!BG44</f>
        <v>#VALUE!</v>
      </c>
      <c r="DJ8" s="16" t="e">
        <f aca="false">Waterfall!BH44</f>
        <v>#VALUE!</v>
      </c>
      <c r="DK8" s="16" t="e">
        <f aca="false">Waterfall!BI44</f>
        <v>#VALUE!</v>
      </c>
      <c r="DL8" s="16" t="e">
        <f aca="false">Waterfall!BJ44</f>
        <v>#VALUE!</v>
      </c>
      <c r="DM8" s="16" t="e">
        <f aca="false">Waterfall!BK44</f>
        <v>#VALUE!</v>
      </c>
      <c r="DN8" s="16" t="e">
        <f aca="false">Waterfall!BL44</f>
        <v>#VALUE!</v>
      </c>
      <c r="DO8" s="16" t="e">
        <f aca="false">Waterfall!BM44</f>
        <v>#VALUE!</v>
      </c>
      <c r="DP8" s="16" t="e">
        <f aca="false">Waterfall!BN44</f>
        <v>#VALUE!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e">
        <f aca="false">SUM(J9:DP9)</f>
        <v>#VALUE!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e">
        <f aca="false">Waterfall!J7</f>
        <v>#VALUE!</v>
      </c>
      <c r="BM9" s="16" t="e">
        <f aca="false">Waterfall!K7</f>
        <v>#VALUE!</v>
      </c>
      <c r="BN9" s="16" t="e">
        <f aca="false">Waterfall!L7</f>
        <v>#VALUE!</v>
      </c>
      <c r="BO9" s="16" t="e">
        <f aca="false">Waterfall!M7</f>
        <v>#VALUE!</v>
      </c>
      <c r="BP9" s="16" t="e">
        <f aca="false">Waterfall!N7</f>
        <v>#VALUE!</v>
      </c>
      <c r="BQ9" s="16" t="e">
        <f aca="false">Waterfall!O7</f>
        <v>#VALUE!</v>
      </c>
      <c r="BR9" s="16" t="e">
        <f aca="false">Waterfall!P7</f>
        <v>#VALUE!</v>
      </c>
      <c r="BS9" s="16" t="e">
        <f aca="false">Waterfall!Q7</f>
        <v>#VALUE!</v>
      </c>
      <c r="BT9" s="16" t="e">
        <f aca="false">Waterfall!R7</f>
        <v>#VALUE!</v>
      </c>
      <c r="BU9" s="16" t="e">
        <f aca="false">Waterfall!S7</f>
        <v>#VALUE!</v>
      </c>
      <c r="BV9" s="16" t="e">
        <f aca="false">Waterfall!T7</f>
        <v>#VALUE!</v>
      </c>
      <c r="BW9" s="16" t="e">
        <f aca="false">Waterfall!U7</f>
        <v>#VALUE!</v>
      </c>
      <c r="BX9" s="16" t="e">
        <f aca="false">Waterfall!V7</f>
        <v>#VALUE!</v>
      </c>
      <c r="BY9" s="16" t="e">
        <f aca="false">Waterfall!W7</f>
        <v>#VALUE!</v>
      </c>
      <c r="BZ9" s="16" t="e">
        <f aca="false">Waterfall!X7</f>
        <v>#VALUE!</v>
      </c>
      <c r="CA9" s="16" t="e">
        <f aca="false">Waterfall!Y7</f>
        <v>#VALUE!</v>
      </c>
      <c r="CB9" s="16" t="e">
        <f aca="false">Waterfall!Z7</f>
        <v>#VALUE!</v>
      </c>
      <c r="CC9" s="16" t="e">
        <f aca="false">Waterfall!AA7</f>
        <v>#VALUE!</v>
      </c>
      <c r="CD9" s="16" t="e">
        <f aca="false">Waterfall!AB7</f>
        <v>#VALUE!</v>
      </c>
      <c r="CE9" s="16" t="e">
        <f aca="false">Waterfall!AC7</f>
        <v>#VALUE!</v>
      </c>
      <c r="CF9" s="16" t="e">
        <f aca="false">Waterfall!AD7</f>
        <v>#VALUE!</v>
      </c>
      <c r="CG9" s="16" t="e">
        <f aca="false">Waterfall!AE7</f>
        <v>#VALUE!</v>
      </c>
      <c r="CH9" s="16" t="e">
        <f aca="false">Waterfall!AF7</f>
        <v>#VALUE!</v>
      </c>
      <c r="CI9" s="16" t="e">
        <f aca="false">Waterfall!AG7</f>
        <v>#VALUE!</v>
      </c>
      <c r="CJ9" s="16" t="e">
        <f aca="false">Waterfall!AH7</f>
        <v>#VALUE!</v>
      </c>
      <c r="CK9" s="16" t="e">
        <f aca="false">Waterfall!AI7</f>
        <v>#VALUE!</v>
      </c>
      <c r="CL9" s="16" t="e">
        <f aca="false">Waterfall!AJ7</f>
        <v>#VALUE!</v>
      </c>
      <c r="CM9" s="16" t="e">
        <f aca="false">Waterfall!AK7</f>
        <v>#VALUE!</v>
      </c>
      <c r="CN9" s="16" t="e">
        <f aca="false">Waterfall!AL7</f>
        <v>#VALUE!</v>
      </c>
      <c r="CO9" s="16" t="e">
        <f aca="false">Waterfall!AM7</f>
        <v>#VALUE!</v>
      </c>
      <c r="CP9" s="16" t="e">
        <f aca="false">Waterfall!AN7</f>
        <v>#VALUE!</v>
      </c>
      <c r="CQ9" s="16" t="e">
        <f aca="false">Waterfall!AO7</f>
        <v>#VALUE!</v>
      </c>
      <c r="CR9" s="16" t="e">
        <f aca="false">Waterfall!AP7</f>
        <v>#VALUE!</v>
      </c>
      <c r="CS9" s="16" t="e">
        <f aca="false">Waterfall!AQ7</f>
        <v>#VALUE!</v>
      </c>
      <c r="CT9" s="16" t="e">
        <f aca="false">Waterfall!AR7</f>
        <v>#VALUE!</v>
      </c>
      <c r="CU9" s="16" t="e">
        <f aca="false">Waterfall!AS7</f>
        <v>#VALUE!</v>
      </c>
      <c r="CV9" s="16" t="e">
        <f aca="false">Waterfall!AT7</f>
        <v>#VALUE!</v>
      </c>
      <c r="CW9" s="16" t="e">
        <f aca="false">Waterfall!AU7</f>
        <v>#VALUE!</v>
      </c>
      <c r="CX9" s="16" t="e">
        <f aca="false">Waterfall!AV7</f>
        <v>#VALUE!</v>
      </c>
      <c r="CY9" s="16" t="e">
        <f aca="false">Waterfall!AW7</f>
        <v>#VALUE!</v>
      </c>
      <c r="CZ9" s="16" t="e">
        <f aca="false">Waterfall!AX7</f>
        <v>#VALUE!</v>
      </c>
      <c r="DA9" s="16" t="e">
        <f aca="false">Waterfall!AY7</f>
        <v>#VALUE!</v>
      </c>
      <c r="DB9" s="16" t="e">
        <f aca="false">Waterfall!AZ7</f>
        <v>#VALUE!</v>
      </c>
      <c r="DC9" s="16" t="e">
        <f aca="false">Waterfall!BA7</f>
        <v>#VALUE!</v>
      </c>
      <c r="DD9" s="16" t="e">
        <f aca="false">Waterfall!BB7</f>
        <v>#VALUE!</v>
      </c>
      <c r="DE9" s="16" t="e">
        <f aca="false">Waterfall!BC7</f>
        <v>#VALUE!</v>
      </c>
      <c r="DF9" s="16" t="e">
        <f aca="false">Waterfall!BD7</f>
        <v>#VALUE!</v>
      </c>
      <c r="DG9" s="16" t="e">
        <f aca="false">Waterfall!BE7</f>
        <v>#VALUE!</v>
      </c>
      <c r="DH9" s="16" t="e">
        <f aca="false">Waterfall!BF7</f>
        <v>#VALUE!</v>
      </c>
      <c r="DI9" s="16" t="e">
        <f aca="false">Waterfall!BG7</f>
        <v>#VALUE!</v>
      </c>
      <c r="DJ9" s="16" t="e">
        <f aca="false">Waterfall!BH7</f>
        <v>#VALUE!</v>
      </c>
      <c r="DK9" s="16" t="e">
        <f aca="false">Waterfall!BI7</f>
        <v>#VALUE!</v>
      </c>
      <c r="DL9" s="16" t="e">
        <f aca="false">Waterfall!BJ7</f>
        <v>#VALUE!</v>
      </c>
      <c r="DM9" s="16" t="e">
        <f aca="false">Waterfall!BK7</f>
        <v>#VALUE!</v>
      </c>
      <c r="DN9" s="16" t="e">
        <f aca="false">Waterfall!BL7</f>
        <v>#VALUE!</v>
      </c>
      <c r="DO9" s="16" t="e">
        <f aca="false">Waterfall!BM7</f>
        <v>#VALUE!</v>
      </c>
      <c r="DP9" s="16" t="e">
        <f aca="false">Waterfall!BN7</f>
        <v>#VALUE!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e">
        <f aca="false">SUM(J10:DP10)</f>
        <v>#VALUE!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e">
        <f aca="false">Waterfall!J7+Tax!J27</f>
        <v>#VALUE!</v>
      </c>
      <c r="BM10" s="11" t="e">
        <f aca="false">Waterfall!K7+Tax!K27</f>
        <v>#VALUE!</v>
      </c>
      <c r="BN10" s="11" t="e">
        <f aca="false">Waterfall!L7+Tax!L27</f>
        <v>#VALUE!</v>
      </c>
      <c r="BO10" s="11" t="e">
        <f aca="false">Waterfall!M7+Tax!M27</f>
        <v>#VALUE!</v>
      </c>
      <c r="BP10" s="11" t="e">
        <f aca="false">Waterfall!N7+Tax!N27</f>
        <v>#VALUE!</v>
      </c>
      <c r="BQ10" s="11" t="e">
        <f aca="false">Waterfall!O7+Tax!O27</f>
        <v>#VALUE!</v>
      </c>
      <c r="BR10" s="11" t="e">
        <f aca="false">Waterfall!P7+Tax!P27</f>
        <v>#VALUE!</v>
      </c>
      <c r="BS10" s="11" t="e">
        <f aca="false">Waterfall!Q7+Tax!Q27</f>
        <v>#VALUE!</v>
      </c>
      <c r="BT10" s="11" t="e">
        <f aca="false">Waterfall!R7+Tax!R27</f>
        <v>#VALUE!</v>
      </c>
      <c r="BU10" s="11" t="e">
        <f aca="false">Waterfall!S7+Tax!S27</f>
        <v>#VALUE!</v>
      </c>
      <c r="BV10" s="11" t="e">
        <f aca="false">Waterfall!T7+Tax!T27</f>
        <v>#VALUE!</v>
      </c>
      <c r="BW10" s="11" t="e">
        <f aca="false">Waterfall!U7+Tax!U27</f>
        <v>#VALUE!</v>
      </c>
      <c r="BX10" s="11" t="e">
        <f aca="false">Waterfall!V7+Tax!V27</f>
        <v>#VALUE!</v>
      </c>
      <c r="BY10" s="11" t="e">
        <f aca="false">Waterfall!W7+Tax!W27</f>
        <v>#VALUE!</v>
      </c>
      <c r="BZ10" s="11" t="e">
        <f aca="false">Waterfall!X7+Tax!X27</f>
        <v>#VALUE!</v>
      </c>
      <c r="CA10" s="11" t="e">
        <f aca="false">Waterfall!Y7+Tax!Y27</f>
        <v>#VALUE!</v>
      </c>
      <c r="CB10" s="11" t="e">
        <f aca="false">Waterfall!Z7+Tax!Z27</f>
        <v>#VALUE!</v>
      </c>
      <c r="CC10" s="11" t="e">
        <f aca="false">Waterfall!AA7+Tax!AA27</f>
        <v>#VALUE!</v>
      </c>
      <c r="CD10" s="11" t="e">
        <f aca="false">Waterfall!AB7+Tax!AB27</f>
        <v>#VALUE!</v>
      </c>
      <c r="CE10" s="11" t="e">
        <f aca="false">Waterfall!AC7+Tax!AC27</f>
        <v>#VALUE!</v>
      </c>
      <c r="CF10" s="11" t="e">
        <f aca="false">Waterfall!AD7+Tax!AD27</f>
        <v>#VALUE!</v>
      </c>
      <c r="CG10" s="11" t="e">
        <f aca="false">Waterfall!AE7+Tax!AE27</f>
        <v>#VALUE!</v>
      </c>
      <c r="CH10" s="11" t="e">
        <f aca="false">Waterfall!AF7+Tax!AF27</f>
        <v>#VALUE!</v>
      </c>
      <c r="CI10" s="11" t="e">
        <f aca="false">Waterfall!AG7+Tax!AG27</f>
        <v>#VALUE!</v>
      </c>
      <c r="CJ10" s="11" t="e">
        <f aca="false">Waterfall!AH7+Tax!AH27</f>
        <v>#VALUE!</v>
      </c>
      <c r="CK10" s="11" t="e">
        <f aca="false">Waterfall!AI7+Tax!AI27</f>
        <v>#VALUE!</v>
      </c>
      <c r="CL10" s="11" t="e">
        <f aca="false">Waterfall!AJ7+Tax!AJ27</f>
        <v>#VALUE!</v>
      </c>
      <c r="CM10" s="11" t="e">
        <f aca="false">Waterfall!AK7+Tax!AK27</f>
        <v>#VALUE!</v>
      </c>
      <c r="CN10" s="11" t="e">
        <f aca="false">Waterfall!AL7+Tax!AL27</f>
        <v>#VALUE!</v>
      </c>
      <c r="CO10" s="11" t="e">
        <f aca="false">Waterfall!AM7+Tax!AM27</f>
        <v>#VALUE!</v>
      </c>
      <c r="CP10" s="11" t="e">
        <f aca="false">Waterfall!AN7+Tax!AN27</f>
        <v>#VALUE!</v>
      </c>
      <c r="CQ10" s="11" t="e">
        <f aca="false">Waterfall!AO7+Tax!AO27</f>
        <v>#VALUE!</v>
      </c>
      <c r="CR10" s="11" t="e">
        <f aca="false">Waterfall!AP7+Tax!AP27</f>
        <v>#VALUE!</v>
      </c>
      <c r="CS10" s="11" t="e">
        <f aca="false">Waterfall!AQ7+Tax!AQ27</f>
        <v>#VALUE!</v>
      </c>
      <c r="CT10" s="11" t="e">
        <f aca="false">Waterfall!AR7+Tax!AR27</f>
        <v>#VALUE!</v>
      </c>
      <c r="CU10" s="11" t="e">
        <f aca="false">Waterfall!AS7+Tax!AS27</f>
        <v>#VALUE!</v>
      </c>
      <c r="CV10" s="11" t="e">
        <f aca="false">Waterfall!AT7+Tax!AT27</f>
        <v>#VALUE!</v>
      </c>
      <c r="CW10" s="11" t="e">
        <f aca="false">Waterfall!AU7+Tax!AU27</f>
        <v>#VALUE!</v>
      </c>
      <c r="CX10" s="11" t="e">
        <f aca="false">Waterfall!AV7+Tax!AV27</f>
        <v>#VALUE!</v>
      </c>
      <c r="CY10" s="11" t="e">
        <f aca="false">Waterfall!AW7+Tax!AW27</f>
        <v>#VALUE!</v>
      </c>
      <c r="CZ10" s="11" t="e">
        <f aca="false">Waterfall!AX7+Tax!AX27</f>
        <v>#VALUE!</v>
      </c>
      <c r="DA10" s="11" t="e">
        <f aca="false">Waterfall!AY7+Tax!AY27</f>
        <v>#VALUE!</v>
      </c>
      <c r="DB10" s="11" t="e">
        <f aca="false">Waterfall!AZ7+Tax!AZ27</f>
        <v>#VALUE!</v>
      </c>
      <c r="DC10" s="11" t="e">
        <f aca="false">Waterfall!BA7+Tax!BA27</f>
        <v>#VALUE!</v>
      </c>
      <c r="DD10" s="11" t="e">
        <f aca="false">Waterfall!BB7+Tax!BB27</f>
        <v>#VALUE!</v>
      </c>
      <c r="DE10" s="11" t="e">
        <f aca="false">Waterfall!BC7+Tax!BC27</f>
        <v>#VALUE!</v>
      </c>
      <c r="DF10" s="11" t="e">
        <f aca="false">Waterfall!BD7+Tax!BD27</f>
        <v>#VALUE!</v>
      </c>
      <c r="DG10" s="11" t="e">
        <f aca="false">Waterfall!BE7+Tax!BE27</f>
        <v>#VALUE!</v>
      </c>
      <c r="DH10" s="11" t="e">
        <f aca="false">Waterfall!BF7+Tax!BF27</f>
        <v>#VALUE!</v>
      </c>
      <c r="DI10" s="11" t="e">
        <f aca="false">Waterfall!BG7+Tax!BG27</f>
        <v>#VALUE!</v>
      </c>
      <c r="DJ10" s="11" t="e">
        <f aca="false">Waterfall!BH7+Tax!BH27</f>
        <v>#VALUE!</v>
      </c>
      <c r="DK10" s="11" t="e">
        <f aca="false">Waterfall!BI7+Tax!BI27</f>
        <v>#VALUE!</v>
      </c>
      <c r="DL10" s="11" t="e">
        <f aca="false">Waterfall!BJ7+Tax!BJ27</f>
        <v>#VALUE!</v>
      </c>
      <c r="DM10" s="11" t="e">
        <f aca="false">Waterfall!BK7+Tax!BK27</f>
        <v>#VALUE!</v>
      </c>
      <c r="DN10" s="11" t="e">
        <f aca="false">Waterfall!BL7+Tax!BL27</f>
        <v>#VALUE!</v>
      </c>
      <c r="DO10" s="11" t="e">
        <f aca="false">Waterfall!BM7+Tax!BM27</f>
        <v>#VALUE!</v>
      </c>
      <c r="DP10" s="11" t="e">
        <f aca="false">Waterfall!BN7+Tax!BN27</f>
        <v>#VALUE!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e">
        <f aca="false">BK11+BL8</f>
        <v>#VALUE!</v>
      </c>
      <c r="BM11" s="11" t="e">
        <f aca="false">BL11+BM8</f>
        <v>#VALUE!</v>
      </c>
      <c r="BN11" s="11" t="e">
        <f aca="false">BM11+BN8</f>
        <v>#VALUE!</v>
      </c>
      <c r="BO11" s="11" t="e">
        <f aca="false">BN11+BO8</f>
        <v>#VALUE!</v>
      </c>
      <c r="BP11" s="11" t="e">
        <f aca="false">BO11+BP8</f>
        <v>#VALUE!</v>
      </c>
      <c r="BQ11" s="11" t="e">
        <f aca="false">BP11+BQ8</f>
        <v>#VALUE!</v>
      </c>
      <c r="BR11" s="11" t="e">
        <f aca="false">BQ11+BR8</f>
        <v>#VALUE!</v>
      </c>
      <c r="BS11" s="11" t="e">
        <f aca="false">BR11+BS8</f>
        <v>#VALUE!</v>
      </c>
      <c r="BT11" s="11" t="e">
        <f aca="false">BS11+BT8</f>
        <v>#VALUE!</v>
      </c>
      <c r="BU11" s="11" t="e">
        <f aca="false">BT11+BU8</f>
        <v>#VALUE!</v>
      </c>
      <c r="BV11" s="11" t="e">
        <f aca="false">BU11+BV8</f>
        <v>#VALUE!</v>
      </c>
      <c r="BW11" s="11" t="e">
        <f aca="false">BV11+BW8</f>
        <v>#VALUE!</v>
      </c>
      <c r="BX11" s="11" t="e">
        <f aca="false">BW11+BX8</f>
        <v>#VALUE!</v>
      </c>
      <c r="BY11" s="11" t="e">
        <f aca="false">BX11+BY8</f>
        <v>#VALUE!</v>
      </c>
      <c r="BZ11" s="11" t="e">
        <f aca="false">BY11+BZ8</f>
        <v>#VALUE!</v>
      </c>
      <c r="CA11" s="11" t="e">
        <f aca="false">BZ11+CA8</f>
        <v>#VALUE!</v>
      </c>
      <c r="CB11" s="11" t="e">
        <f aca="false">CA11+CB8</f>
        <v>#VALUE!</v>
      </c>
      <c r="CC11" s="11" t="e">
        <f aca="false">CB11+CC8</f>
        <v>#VALUE!</v>
      </c>
      <c r="CD11" s="11" t="e">
        <f aca="false">CC11+CD8</f>
        <v>#VALUE!</v>
      </c>
      <c r="CE11" s="11" t="e">
        <f aca="false">CD11+CE8</f>
        <v>#VALUE!</v>
      </c>
      <c r="CF11" s="11" t="e">
        <f aca="false">CE11+CF8</f>
        <v>#VALUE!</v>
      </c>
      <c r="CG11" s="11" t="e">
        <f aca="false">CF11+CG8</f>
        <v>#VALUE!</v>
      </c>
      <c r="CH11" s="11" t="e">
        <f aca="false">CG11+CH8</f>
        <v>#VALUE!</v>
      </c>
      <c r="CI11" s="11" t="e">
        <f aca="false">CH11+CI8</f>
        <v>#VALUE!</v>
      </c>
      <c r="CJ11" s="11" t="e">
        <f aca="false">CI11+CJ8</f>
        <v>#VALUE!</v>
      </c>
      <c r="CK11" s="11" t="e">
        <f aca="false">CJ11+CK8</f>
        <v>#VALUE!</v>
      </c>
      <c r="CL11" s="11" t="e">
        <f aca="false">CK11+CL8</f>
        <v>#VALUE!</v>
      </c>
      <c r="CM11" s="11" t="e">
        <f aca="false">CL11+CM8</f>
        <v>#VALUE!</v>
      </c>
      <c r="CN11" s="11" t="e">
        <f aca="false">CM11+CN8</f>
        <v>#VALUE!</v>
      </c>
      <c r="CO11" s="11" t="e">
        <f aca="false">CN11+CO8</f>
        <v>#VALUE!</v>
      </c>
      <c r="CP11" s="11" t="e">
        <f aca="false">CO11+CP8</f>
        <v>#VALUE!</v>
      </c>
      <c r="CQ11" s="11" t="e">
        <f aca="false">CP11+CQ8</f>
        <v>#VALUE!</v>
      </c>
      <c r="CR11" s="11" t="e">
        <f aca="false">CQ11+CR8</f>
        <v>#VALUE!</v>
      </c>
      <c r="CS11" s="11" t="e">
        <f aca="false">CR11+CS8</f>
        <v>#VALUE!</v>
      </c>
      <c r="CT11" s="11" t="e">
        <f aca="false">CS11+CT8</f>
        <v>#VALUE!</v>
      </c>
      <c r="CU11" s="11" t="e">
        <f aca="false">CT11+CU8</f>
        <v>#VALUE!</v>
      </c>
      <c r="CV11" s="11" t="e">
        <f aca="false">CU11+CV8</f>
        <v>#VALUE!</v>
      </c>
      <c r="CW11" s="11" t="e">
        <f aca="false">CV11+CW8</f>
        <v>#VALUE!</v>
      </c>
      <c r="CX11" s="11" t="e">
        <f aca="false">CW11+CX8</f>
        <v>#VALUE!</v>
      </c>
      <c r="CY11" s="11" t="e">
        <f aca="false">CX11+CY8</f>
        <v>#VALUE!</v>
      </c>
      <c r="CZ11" s="11" t="e">
        <f aca="false">CY11+CZ8</f>
        <v>#VALUE!</v>
      </c>
      <c r="DA11" s="11" t="e">
        <f aca="false">CZ11+DA8</f>
        <v>#VALUE!</v>
      </c>
      <c r="DB11" s="11" t="e">
        <f aca="false">DA11+DB8</f>
        <v>#VALUE!</v>
      </c>
      <c r="DC11" s="11" t="e">
        <f aca="false">DB11+DC8</f>
        <v>#VALUE!</v>
      </c>
      <c r="DD11" s="11" t="e">
        <f aca="false">DC11+DD8</f>
        <v>#VALUE!</v>
      </c>
      <c r="DE11" s="11" t="e">
        <f aca="false">DD11+DE8</f>
        <v>#VALUE!</v>
      </c>
      <c r="DF11" s="11" t="e">
        <f aca="false">DE11+DF8</f>
        <v>#VALUE!</v>
      </c>
      <c r="DG11" s="11" t="e">
        <f aca="false">DF11+DG8</f>
        <v>#VALUE!</v>
      </c>
      <c r="DH11" s="11" t="e">
        <f aca="false">DG11+DH8</f>
        <v>#VALUE!</v>
      </c>
      <c r="DI11" s="11" t="e">
        <f aca="false">DH11+DI8</f>
        <v>#VALUE!</v>
      </c>
      <c r="DJ11" s="11" t="e">
        <f aca="false">DI11+DJ8</f>
        <v>#VALUE!</v>
      </c>
      <c r="DK11" s="11" t="e">
        <f aca="false">DJ11+DK8</f>
        <v>#VALUE!</v>
      </c>
      <c r="DL11" s="11" t="e">
        <f aca="false">DK11+DL8</f>
        <v>#VALUE!</v>
      </c>
      <c r="DM11" s="11" t="e">
        <f aca="false">DL11+DM8</f>
        <v>#VALUE!</v>
      </c>
      <c r="DN11" s="11" t="e">
        <f aca="false">DM11+DN8</f>
        <v>#VALUE!</v>
      </c>
      <c r="DO11" s="11" t="e">
        <f aca="false">DN11+DO8</f>
        <v>#VALUE!</v>
      </c>
      <c r="DP11" s="11" t="e">
        <f aca="false">DO11+DP8</f>
        <v>#VALUE!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e">
        <f aca="false">XIRR(Returns!$J$8:$DP$8,Returns!$J$7:$DP$7)</f>
        <v>#VALUE!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e">
        <f aca="false">XIRR(Returns!$J$9:$DP$9,Returns!$J$7:$DP$7,0.1)</f>
        <v>#VALUE!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e">
        <f aca="false">XIRR(Returns!$J$10:$DP$10,Returns!$J$7:$DP$7,0.1)</f>
        <v>#VALUE!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e">
        <f aca="false">XNPV(0.16,Returns!$J$8:$DP$8,Returns!$J$7:$DP$7)*1.16^((DATE(2018,7,17)-DATE(2018,2,5))/365)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e">
        <f aca="false">ROUND(MAX(MAX(Financials!$J$29:$BN$29),-MIN(Financials!$J$29:$BN$29)),4)</f>
        <v>#VALUE!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e">
        <f aca="false">ROUND(SUM(Waterfall!$J$12:$BN$12),4)</f>
        <v>#VALUE!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e">
        <f aca="false">ROUND(INDEX(Debt!$J$123:$BN$123,1,57),4)</f>
        <v>#VALUE!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e">
        <f aca="false">ROUND(MAX(MAX(Debt!$J$143:$BN$143),-MIN(Debt!$J$143:$BN$143)),3)</f>
        <v>#VALUE!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e">
        <f aca="false">IF(Inputs!$F$8=1,IF(Funding!$F$25&lt;=MIN(Debt!$F$138,Debt!$F$139)+0.001,0,1),0)</f>
        <v>#VALUE!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e">
        <f aca="false">ABS(Checks!$F$7)+ABS(Checks!$F$8)+ABS(Checks!$F$9)+ABS(Checks!$F$10)+ABS(Checks!$F$11)+ABS(Checks!$F$12)+ABS(Checks!$F$13)+ABS(Checks!$F$14)+ABS(Checks!$F$15)+ABS(Checks!$F$16)+ABS(Checks!$F$17)+ABS(Checks!$F$18)</f>
        <v>#VALUE!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e">
        <f aca="false">Ratios!$F$18</f>
        <v>#VALUE!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e">
        <f aca="false">Ratios!$F$19</f>
        <v>#VALUE!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e">
        <f aca="false">Returns!$F$12</f>
        <v>#VALUE!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e">
        <f aca="false">Returns!$F$13</f>
        <v>#VALUE!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e">
        <f aca="false">Returns!$F$15</f>
        <v>#VALUE!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e">
        <f aca="false">Checks!$F$19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2026-10-03T20:45:52Z</dcterms:created>
  <dc:creator>openpyxl</dc:creator>
  <dc:description/>
  <dc:language>en-US</dc:language>
  <cp:lastModifiedBy/>
  <dcterms:modified xsi:type="dcterms:W3CDTF">2026-10-03T20:45:52Z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