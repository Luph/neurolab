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<sst xmlns="http://schemas.openxmlformats.org/spreadsheetml/2006/main" count="2268" uniqueCount="840">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</sst>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6926.36858670277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36.1277581904886</v>
      </c>
      <c r="P78" s="11" t="n">
        <f aca="false">P67+P69+P70+P71+P74+P77</f>
        <v>108.718867147168</v>
      </c>
      <c r="Q78" s="11" t="n">
        <f aca="false">Q67+Q69+Q70+Q71+Q74+Q77</f>
        <v>110.068070954753</v>
      </c>
      <c r="R78" s="11" t="n">
        <f aca="false">R67+R69+R70+R71+R74+R77</f>
        <v>109.819523111887</v>
      </c>
      <c r="S78" s="11" t="n">
        <f aca="false">S67+S69+S70+S71+S74+S77</f>
        <v>111.876789484592</v>
      </c>
      <c r="T78" s="11" t="n">
        <f aca="false">T67+T69+T70+T71+T74+T77</f>
        <v>112.857706640013</v>
      </c>
      <c r="U78" s="11" t="n">
        <f aca="false">U67+U69+U70+U71+U74+U77</f>
        <v>113.620005799297</v>
      </c>
      <c r="V78" s="11" t="n">
        <f aca="false">V67+V69+V70+V71+V74+V77</f>
        <v>114.211468788759</v>
      </c>
      <c r="W78" s="11" t="n">
        <f aca="false">W67+W69+W70+W71+W74+W77</f>
        <v>114.620337471323</v>
      </c>
      <c r="X78" s="11" t="n">
        <f aca="false">X67+X69+X70+X71+X74+X77</f>
        <v>117.261586420534</v>
      </c>
      <c r="Y78" s="11" t="n">
        <f aca="false">Y67+Y69+Y70+Y71+Y74+Y77</f>
        <v>118.813479516754</v>
      </c>
      <c r="Z78" s="11" t="n">
        <f aca="false">Z67+Z69+Z70+Z71+Z74+Z77</f>
        <v>118.555483493684</v>
      </c>
      <c r="AA78" s="11" t="n">
        <f aca="false">AA67+AA69+AA70+AA71+AA74+AA77</f>
        <v>120.780341023365</v>
      </c>
      <c r="AB78" s="11" t="n">
        <f aca="false">AB67+AB69+AB70+AB71+AB74+AB77</f>
        <v>121.838394734186</v>
      </c>
      <c r="AC78" s="11" t="n">
        <f aca="false">AC67+AC69+AC70+AC71+AC74+AC77</f>
        <v>121.950373887891</v>
      </c>
      <c r="AD78" s="11" t="n">
        <f aca="false">AD67+AD69+AD70+AD71+AD74+AD77</f>
        <v>130.331404151753</v>
      </c>
      <c r="AE78" s="11" t="n">
        <f aca="false">AE67+AE69+AE70+AE71+AE74+AE77</f>
        <v>122.29129974712</v>
      </c>
      <c r="AF78" s="11" t="n">
        <f aca="false">AF67+AF69+AF70+AF71+AF74+AF77</f>
        <v>126.594921747805</v>
      </c>
      <c r="AG78" s="11" t="n">
        <f aca="false">AG67+AG69+AG70+AG71+AG74+AG77</f>
        <v>128.273040287554</v>
      </c>
      <c r="AH78" s="11" t="n">
        <f aca="false">AH67+AH69+AH70+AH71+AH74+AH77</f>
        <v>127.990905775757</v>
      </c>
      <c r="AI78" s="11" t="n">
        <f aca="false">AI67+AI69+AI70+AI71+AI74+AI77</f>
        <v>130.396907713746</v>
      </c>
      <c r="AJ78" s="11" t="n">
        <f aca="false">AJ67+AJ69+AJ70+AJ71+AJ74+AJ77</f>
        <v>131.53822383304</v>
      </c>
      <c r="AK78" s="11" t="n">
        <f aca="false">AK67+AK69+AK70+AK71+AK74+AK77</f>
        <v>132.426252511724</v>
      </c>
      <c r="AL78" s="11" t="n">
        <f aca="false">AL67+AL69+AL70+AL71+AL74+AL77</f>
        <v>133.165158928891</v>
      </c>
      <c r="AM78" s="11" t="n">
        <f aca="false">AM67+AM69+AM70+AM71+AM74+AM77</f>
        <v>133.592039854543</v>
      </c>
      <c r="AN78" s="11" t="n">
        <f aca="false">AN67+AN69+AN70+AN71+AN74+AN77</f>
        <v>136.675633973058</v>
      </c>
      <c r="AO78" s="11" t="n">
        <f aca="false">AO67+AO69+AO70+AO71+AO74+AO77</f>
        <v>138.490163498671</v>
      </c>
      <c r="AP78" s="11" t="n">
        <f aca="false">AP67+AP69+AP70+AP71+AP74+AP77</f>
        <v>138.181790966929</v>
      </c>
      <c r="AQ78" s="11" t="n">
        <f aca="false">AQ67+AQ69+AQ70+AQ71+AQ74+AQ77</f>
        <v>140.783578124556</v>
      </c>
      <c r="AR78" s="11" t="n">
        <f aca="false">AR67+AR69+AR70+AR71+AR74+AR77</f>
        <v>142.014772574464</v>
      </c>
      <c r="AS78" s="11" t="n">
        <f aca="false">AS67+AS69+AS70+AS71+AS74+AS77</f>
        <v>142.141665127646</v>
      </c>
      <c r="AT78" s="11" t="n">
        <f aca="false">AT67+AT69+AT70+AT71+AT74+AT77</f>
        <v>152.184168445525</v>
      </c>
      <c r="AU78" s="11" t="n">
        <f aca="false">AU67+AU69+AU70+AU71+AU74+AU77</f>
        <v>142.535744451172</v>
      </c>
      <c r="AV78" s="11" t="n">
        <f aca="false">AV67+AV69+AV70+AV71+AV74+AV77</f>
        <v>147.563558700132</v>
      </c>
      <c r="AW78" s="11" t="n">
        <f aca="false">AW67+AW69+AW70+AW71+AW74+AW77</f>
        <v>149.525499746066</v>
      </c>
      <c r="AX78" s="11" t="n">
        <f aca="false">AX67+AX69+AX70+AX71+AX74+AX77</f>
        <v>149.188616274627</v>
      </c>
      <c r="AY78" s="11" t="n">
        <f aca="false">AY67+AY69+AY70+AY71+AY74+AY77</f>
        <v>152.002003555513</v>
      </c>
      <c r="AZ78" s="11" t="n">
        <f aca="false">AZ67+AZ69+AZ70+AZ71+AZ74+AZ77</f>
        <v>153.330221739256</v>
      </c>
      <c r="BA78" s="11" t="n">
        <f aca="false">BA67+BA69+BA70+BA71+BA74+BA77</f>
        <v>154.364601922456</v>
      </c>
      <c r="BB78" s="11" t="n">
        <f aca="false">BB67+BB69+BB70+BB71+BB74+BB77</f>
        <v>155.285718740564</v>
      </c>
      <c r="BC78" s="11" t="n">
        <f aca="false">BC67+BC69+BC70+BC71+BC74+BC77</f>
        <v>155.723281219431</v>
      </c>
      <c r="BD78" s="11" t="n">
        <f aca="false">BD67+BD69+BD70+BD71+BD74+BD77</f>
        <v>159.32331353154</v>
      </c>
      <c r="BE78" s="11" t="n">
        <f aca="false">BE67+BE69+BE70+BE71+BE74+BE77</f>
        <v>161.444546238206</v>
      </c>
      <c r="BF78" s="11" t="n">
        <f aca="false">BF67+BF69+BF70+BF71+BF74+BF77</f>
        <v>161.076691815431</v>
      </c>
      <c r="BG78" s="11" t="n">
        <f aca="false">BG67+BG69+BG70+BG71+BG74+BG77</f>
        <v>164.118761568179</v>
      </c>
      <c r="BH78" s="11" t="n">
        <f aca="false">BH67+BH69+BH70+BH71+BH74+BH77</f>
        <v>165.551720963121</v>
      </c>
      <c r="BI78" s="11" t="n">
        <f aca="false">BI67+BI69+BI70+BI71+BI74+BI77</f>
        <v>165.695386085873</v>
      </c>
      <c r="BJ78" s="11" t="n">
        <f aca="false">BJ67+BJ69+BJ70+BJ71+BJ74+BJ77</f>
        <v>177.727816343638</v>
      </c>
      <c r="BK78" s="11" t="n">
        <f aca="false">BK67+BK69+BK70+BK71+BK74+BK77</f>
        <v>166.151068356276</v>
      </c>
      <c r="BL78" s="11" t="n">
        <f aca="false">BL67+BL69+BL70+BL71+BL74+BL77</f>
        <v>172.02467905248</v>
      </c>
      <c r="BM78" s="11" t="n">
        <f aca="false">BM67+BM69+BM70+BM71+BM74+BM77</f>
        <v>135.543242471337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2617.85377544491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16.8849193572054</v>
      </c>
      <c r="P79" s="11" t="n">
        <f aca="false">P51-P78+P53</f>
        <v>50.6626360431684</v>
      </c>
      <c r="Q79" s="11" t="n">
        <f aca="false">Q51-Q78+Q53</f>
        <v>50.869373554412</v>
      </c>
      <c r="R79" s="11" t="n">
        <f aca="false">R51-R78+R53</f>
        <v>51.0164280195108</v>
      </c>
      <c r="S79" s="11" t="n">
        <f aca="false">S51-S78+S53</f>
        <v>51.1105204783621</v>
      </c>
      <c r="T79" s="11" t="n">
        <f aca="false">T51-T78+T53</f>
        <v>51.187859806759</v>
      </c>
      <c r="U79" s="11" t="n">
        <f aca="false">U51-U78+U53</f>
        <v>51.3524750701148</v>
      </c>
      <c r="V79" s="11" t="n">
        <f aca="false">V51-V78+V53</f>
        <v>49.0749654119822</v>
      </c>
      <c r="W79" s="11" t="n">
        <f aca="false">W51-W78+W53</f>
        <v>51.6314472003403</v>
      </c>
      <c r="X79" s="11" t="n">
        <f aca="false">X51-X78+X53</f>
        <v>51.6316594379973</v>
      </c>
      <c r="Y79" s="11" t="n">
        <f aca="false">Y51-Y78+Y53</f>
        <v>51.7622489644418</v>
      </c>
      <c r="Z79" s="11" t="n">
        <f aca="false">Z51-Z78+Z53</f>
        <v>51.9092142661617</v>
      </c>
      <c r="AA79" s="11" t="n">
        <f aca="false">AA51-AA78+AA53</f>
        <v>52.0099304992066</v>
      </c>
      <c r="AB79" s="11" t="n">
        <f aca="false">AB51-AB78+AB53</f>
        <v>52.093385284547</v>
      </c>
      <c r="AC79" s="11" t="n">
        <f aca="false">AC51-AC78+AC53</f>
        <v>52.3084571884293</v>
      </c>
      <c r="AD79" s="11" t="n">
        <f aca="false">AD51-AD78+AD53</f>
        <v>39.8346804256382</v>
      </c>
      <c r="AE79" s="11" t="n">
        <f aca="false">AE51-AE78+AE53</f>
        <v>52.6500143521698</v>
      </c>
      <c r="AF79" s="11" t="n">
        <f aca="false">AF51-AF78+AF53</f>
        <v>52.5737711558758</v>
      </c>
      <c r="AG79" s="11" t="n">
        <f aca="false">AG51-AG78+AG53</f>
        <v>52.7149115428405</v>
      </c>
      <c r="AH79" s="11" t="n">
        <f aca="false">AH51-AH78+AH53</f>
        <v>52.8757160854737</v>
      </c>
      <c r="AI79" s="11" t="n">
        <f aca="false">AI51-AI78+AI53</f>
        <v>52.983527411402</v>
      </c>
      <c r="AJ79" s="11" t="n">
        <f aca="false">AJ51-AJ78+AJ53</f>
        <v>53.0735812799479</v>
      </c>
      <c r="AK79" s="11" t="n">
        <f aca="false">AK51-AK78+AK53</f>
        <v>53.2686567540037</v>
      </c>
      <c r="AL79" s="11" t="n">
        <f aca="false">AL51-AL78+AL53</f>
        <v>50.5628978246228</v>
      </c>
      <c r="AM79" s="11" t="n">
        <f aca="false">AM51-AM78+AM53</f>
        <v>53.5993478853508</v>
      </c>
      <c r="AN79" s="11" t="n">
        <f aca="false">AN51-AN78+AN53</f>
        <v>53.5936115785085</v>
      </c>
      <c r="AO79" s="11" t="n">
        <f aca="false">AO51-AO78+AO53</f>
        <v>53.746175353047</v>
      </c>
      <c r="AP79" s="11" t="n">
        <f aca="false">AP51-AP78+AP53</f>
        <v>53.9221043316366</v>
      </c>
      <c r="AQ79" s="11" t="n">
        <f aca="false">AQ51-AQ78+AQ53</f>
        <v>54.0375162511027</v>
      </c>
      <c r="AR79" s="11" t="n">
        <f aca="false">AR51-AR78+AR53</f>
        <v>54.1346909963557</v>
      </c>
      <c r="AS79" s="11" t="n">
        <f aca="false">AS51-AS78+AS53</f>
        <v>54.3914788553252</v>
      </c>
      <c r="AT79" s="11" t="n">
        <f aca="false">AT51-AT78+AT53</f>
        <v>39.6650243679675</v>
      </c>
      <c r="AU79" s="11" t="n">
        <f aca="false">AU51-AU78+AU53</f>
        <v>54.7983266345823</v>
      </c>
      <c r="AV79" s="11" t="n">
        <f aca="false">AV51-AV78+AV53</f>
        <v>54.6976828869036</v>
      </c>
      <c r="AW79" s="11" t="n">
        <f aca="false">AW51-AW78+AW53</f>
        <v>54.8626164344755</v>
      </c>
      <c r="AX79" s="11" t="n">
        <f aca="false">AX51-AX78+AX53</f>
        <v>55.0550731307683</v>
      </c>
      <c r="AY79" s="11" t="n">
        <f aca="false">AY51-AY78+AY53</f>
        <v>55.1786278768001</v>
      </c>
      <c r="AZ79" s="11" t="n">
        <f aca="false">AZ51-AZ78+AZ53</f>
        <v>55.2834864564394</v>
      </c>
      <c r="BA79" s="11" t="n">
        <f aca="false">BA51-BA78+BA53</f>
        <v>55.5147247192366</v>
      </c>
      <c r="BB79" s="11" t="n">
        <f aca="false">BB51-BB78+BB53</f>
        <v>52.2999652356685</v>
      </c>
      <c r="BC79" s="11" t="n">
        <f aca="false">BC51-BC78+BC53</f>
        <v>55.9067753302021</v>
      </c>
      <c r="BD79" s="11" t="n">
        <f aca="false">BD51-BD78+BD53</f>
        <v>55.8930382695803</v>
      </c>
      <c r="BE79" s="11" t="n">
        <f aca="false">BE51-BE78+BE53</f>
        <v>56.0713682238035</v>
      </c>
      <c r="BF79" s="11" t="n">
        <f aca="false">BF51-BF78+BF53</f>
        <v>56.2818847667069</v>
      </c>
      <c r="BG79" s="11" t="n">
        <f aca="false">BG51-BG78+BG53</f>
        <v>56.4141640525392</v>
      </c>
      <c r="BH79" s="11" t="n">
        <f aca="false">BH51-BH78+BH53</f>
        <v>56.5273138185437</v>
      </c>
      <c r="BI79" s="11" t="n">
        <f aca="false">BI51-BI78+BI53</f>
        <v>56.8339097540195</v>
      </c>
      <c r="BJ79" s="11" t="n">
        <f aca="false">BJ51-BJ78+BJ53</f>
        <v>39.4276371429473</v>
      </c>
      <c r="BK79" s="11" t="n">
        <f aca="false">BK51-BK78+BK53</f>
        <v>57.3185168870333</v>
      </c>
      <c r="BL79" s="11" t="n">
        <f aca="false">BL51-BL78+BL53</f>
        <v>57.1873291589556</v>
      </c>
      <c r="BM79" s="11" t="n">
        <f aca="false">BM51-BM78+BM53</f>
        <v>19.1681076317943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40.0120718392951</v>
      </c>
      <c r="R83" s="11" t="n">
        <f aca="false">(1-R81)*(R51/MAX(Time!R26,1)*Inputs!$F$165+R50/MAX(Time!R26,1)*R82)</f>
        <v>39.3348793527876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15.0126721593823</v>
      </c>
      <c r="P90" s="11" t="n">
        <f aca="false">P83+P84-P85-P86-P87-P88-P89</f>
        <v>14.9770810555101</v>
      </c>
      <c r="Q90" s="11" t="n">
        <f aca="false">Q83+Q84-Q85-Q86-Q87-Q88-Q89</f>
        <v>15.2682140892772</v>
      </c>
      <c r="R90" s="11" t="n">
        <f aca="false">R83+R84-R85-R86-R87-R88-R89</f>
        <v>15.0749139332739</v>
      </c>
      <c r="S90" s="11" t="n">
        <f aca="false">S83+S84-S85-S86-S87-S88-S89</f>
        <v>15.3691942404888</v>
      </c>
      <c r="T90" s="11" t="n">
        <f aca="false">T83+T84-T85-T86-T87-T88-T89</f>
        <v>15.1766417348128</v>
      </c>
      <c r="U90" s="11" t="n">
        <f aca="false">U83+U84-U85-U86-U87-U88-U89</f>
        <v>15.3924132795895</v>
      </c>
      <c r="V90" s="11" t="n">
        <f aca="false">V83+V84-V85-V86-V87-V88-V89</f>
        <v>15.2762961845185</v>
      </c>
      <c r="W90" s="11" t="n">
        <f aca="false">W83+W84-W85-W86-W87-W88-W89</f>
        <v>15.5763863566713</v>
      </c>
      <c r="X90" s="11" t="n">
        <f aca="false">X83+X84-X85-X86-X87-X88-X89</f>
        <v>15.3841298963527</v>
      </c>
      <c r="Y90" s="11" t="n">
        <f aca="false">Y83+Y84-Y85-Y86-Y87-Y88-Y89</f>
        <v>15.6855612181022</v>
      </c>
      <c r="Z90" s="11" t="n">
        <f aca="false">Z83+Z84-Z85-Z86-Z87-Z88-Z89</f>
        <v>15.4902012058035</v>
      </c>
      <c r="AA90" s="11" t="n">
        <f aca="false">AA83+AA84-AA85-AA86-AA87-AA88-AA89</f>
        <v>15.7948346689774</v>
      </c>
      <c r="AB90" s="11" t="n">
        <f aca="false">AB83+AB84-AB85-AB86-AB87-AB88-AB89</f>
        <v>15.5998670685786</v>
      </c>
      <c r="AC90" s="11" t="n">
        <f aca="false">AC83+AC84-AC85-AC86-AC87-AC88-AC89</f>
        <v>15.8240378702048</v>
      </c>
      <c r="AD90" s="11" t="n">
        <f aca="false">AD83+AD84-AD85-AD86-AD87-AD88-AD89</f>
        <v>15.4770486849626</v>
      </c>
      <c r="AE90" s="11" t="n">
        <f aca="false">AE83+AE84-AE85-AE86-AE87-AE88-AE89</f>
        <v>16.0185518276506</v>
      </c>
      <c r="AF90" s="11" t="n">
        <f aca="false">AF83+AF84-AF85-AF86-AF87-AF88-AF89</f>
        <v>15.8241880569958</v>
      </c>
      <c r="AG90" s="11" t="n">
        <f aca="false">AG83+AG84-AG85-AG86-AG87-AG88-AG89</f>
        <v>16.1367646913987</v>
      </c>
      <c r="AH90" s="11" t="n">
        <f aca="false">AH83+AH84-AH85-AH86-AH87-AH88-AH89</f>
        <v>15.9392043936763</v>
      </c>
      <c r="AI90" s="11" t="n">
        <f aca="false">AI83+AI84-AI85-AI86-AI87-AI88-AI89</f>
        <v>16.255026809057</v>
      </c>
      <c r="AJ90" s="11" t="n">
        <f aca="false">AJ83+AJ84-AJ85-AJ86-AJ87-AJ88-AJ89</f>
        <v>16.0574415006632</v>
      </c>
      <c r="AK90" s="11" t="n">
        <f aca="false">AK83+AK84-AK85-AK86-AK87-AK88-AK89</f>
        <v>16.2917057522784</v>
      </c>
      <c r="AL90" s="11" t="n">
        <f aca="false">AL83+AL84-AL85-AL86-AL87-AL88-AL89</f>
        <v>16.1764056593709</v>
      </c>
      <c r="AM90" s="11" t="n">
        <f aca="false">AM83+AM84-AM85-AM86-AM87-AM88-AM89</f>
        <v>16.498460833923</v>
      </c>
      <c r="AN90" s="11" t="n">
        <f aca="false">AN83+AN84-AN85-AN86-AN87-AN88-AN89</f>
        <v>16.2999904522951</v>
      </c>
      <c r="AO90" s="11" t="n">
        <f aca="false">AO83+AO84-AO85-AO86-AO87-AO88-AO89</f>
        <v>16.6246305514847</v>
      </c>
      <c r="AP90" s="11" t="n">
        <f aca="false">AP83+AP84-AP85-AP86-AP87-AP88-AP89</f>
        <v>16.42471989204</v>
      </c>
      <c r="AQ90" s="11" t="n">
        <f aca="false">AQ83+AQ84-AQ85-AQ86-AQ87-AQ88-AQ89</f>
        <v>16.7526360251521</v>
      </c>
      <c r="AR90" s="11" t="n">
        <f aca="false">AR83+AR84-AR85-AR86-AR87-AR88-AR89</f>
        <v>16.5522129829796</v>
      </c>
      <c r="AS90" s="11" t="n">
        <f aca="false">AS83+AS84-AS85-AS86-AS87-AS88-AS89</f>
        <v>16.7968893612946</v>
      </c>
      <c r="AT90" s="11" t="n">
        <f aca="false">AT83+AT84-AT85-AT86-AT87-AT88-AT89</f>
        <v>16.435191077402</v>
      </c>
      <c r="AU90" s="11" t="n">
        <f aca="false">AU83+AU84-AU85-AU86-AU87-AU88-AU89</f>
        <v>17.0166421588867</v>
      </c>
      <c r="AV90" s="11" t="n">
        <f aca="false">AV83+AV84-AV85-AV86-AV87-AV88-AV89</f>
        <v>16.814502812567</v>
      </c>
      <c r="AW90" s="11" t="n">
        <f aca="false">AW83+AW84-AW85-AW86-AW87-AW88-AW89</f>
        <v>17.152201737484</v>
      </c>
      <c r="AX90" s="11" t="n">
        <f aca="false">AX83+AX84-AX85-AX86-AX87-AX88-AX89</f>
        <v>16.9497803194663</v>
      </c>
      <c r="AY90" s="11" t="n">
        <f aca="false">AY83+AY84-AY85-AY86-AY87-AY88-AY89</f>
        <v>17.2907697102242</v>
      </c>
      <c r="AZ90" s="11" t="n">
        <f aca="false">AZ83+AZ84-AZ85-AZ86-AZ87-AZ88-AZ89</f>
        <v>17.0872699668267</v>
      </c>
      <c r="BA90" s="11" t="n">
        <f aca="false">BA83+BA84-BA85-BA86-BA87-BA88-BA89</f>
        <v>17.3432813388396</v>
      </c>
      <c r="BB90" s="11" t="n">
        <f aca="false">BB83+BB84-BB85-BB86-BB87-BB88-BB89</f>
        <v>17.2292862049255</v>
      </c>
      <c r="BC90" s="11" t="n">
        <f aca="false">BC83+BC84-BC85-BC86-BC87-BC88-BC89</f>
        <v>17.5769129064753</v>
      </c>
      <c r="BD90" s="11" t="n">
        <f aca="false">BD83+BD84-BD85-BD86-BD87-BD88-BD89</f>
        <v>17.3709414625219</v>
      </c>
      <c r="BE90" s="11" t="n">
        <f aca="false">BE83+BE84-BE85-BE86-BE87-BE88-BE89</f>
        <v>17.7227783920466</v>
      </c>
      <c r="BF90" s="11" t="n">
        <f aca="false">BF83+BF84-BF85-BF86-BF87-BF88-BF89</f>
        <v>17.5176747764197</v>
      </c>
      <c r="BG90" s="11" t="n">
        <f aca="false">BG83+BG84-BG85-BG86-BG87-BG88-BG89</f>
        <v>17.8727980412432</v>
      </c>
      <c r="BH90" s="11" t="n">
        <f aca="false">BH83+BH84-BH85-BH86-BH87-BH88-BH89</f>
        <v>17.6659620215965</v>
      </c>
      <c r="BI90" s="11" t="n">
        <f aca="false">BI83+BI84-BI85-BI86-BI87-BI88-BI89</f>
        <v>17.9348437171468</v>
      </c>
      <c r="BJ90" s="11" t="n">
        <f aca="false">BJ83+BJ84-BJ85-BJ86-BJ87-BJ88-BJ89</f>
        <v>17.5561508195889</v>
      </c>
      <c r="BK90" s="11" t="n">
        <f aca="false">BK83+BK84-BK85-BK86-BK87-BK88-BK89</f>
        <v>18.1844640840537</v>
      </c>
      <c r="BL90" s="11" t="n">
        <f aca="false">BL83+BL84-BL85-BL86-BL87-BL88-BL89</f>
        <v>17.9727948157232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15.0126721593823</v>
      </c>
      <c r="P91" s="11" t="n">
        <f aca="false">P90-O90</f>
        <v>-0.0355911038722496</v>
      </c>
      <c r="Q91" s="11" t="n">
        <f aca="false">Q90-P90</f>
        <v>0.291133033767096</v>
      </c>
      <c r="R91" s="11" t="n">
        <f aca="false">R90-Q90</f>
        <v>-0.193300156003295</v>
      </c>
      <c r="S91" s="11" t="n">
        <f aca="false">S90-R90</f>
        <v>0.294280307214954</v>
      </c>
      <c r="T91" s="11" t="n">
        <f aca="false">T90-S90</f>
        <v>-0.192552505676016</v>
      </c>
      <c r="U91" s="11" t="n">
        <f aca="false">U90-T90</f>
        <v>0.215771544776699</v>
      </c>
      <c r="V91" s="11" t="n">
        <f aca="false">V90-U90</f>
        <v>-0.116117095071015</v>
      </c>
      <c r="W91" s="11" t="n">
        <f aca="false">W90-V90</f>
        <v>0.300090172152856</v>
      </c>
      <c r="X91" s="11" t="n">
        <f aca="false">X90-W90</f>
        <v>-0.19225646031866</v>
      </c>
      <c r="Y91" s="11" t="n">
        <f aca="false">Y90-X90</f>
        <v>0.301431321749558</v>
      </c>
      <c r="Z91" s="11" t="n">
        <f aca="false">Z90-Y90</f>
        <v>-0.195360012298716</v>
      </c>
      <c r="AA91" s="11" t="n">
        <f aca="false">AA90-Z90</f>
        <v>0.304633463173856</v>
      </c>
      <c r="AB91" s="11" t="n">
        <f aca="false">AB90-AA90</f>
        <v>-0.194967600398813</v>
      </c>
      <c r="AC91" s="11" t="n">
        <f aca="false">AC90-AB90</f>
        <v>0.224170801626244</v>
      </c>
      <c r="AD91" s="11" t="n">
        <f aca="false">AD90-AC90</f>
        <v>-0.346989185242208</v>
      </c>
      <c r="AE91" s="11" t="n">
        <f aca="false">AE90-AD90</f>
        <v>0.541503142688004</v>
      </c>
      <c r="AF91" s="11" t="n">
        <f aca="false">AF90-AE90</f>
        <v>-0.194363770654764</v>
      </c>
      <c r="AG91" s="11" t="n">
        <f aca="false">AG90-AF90</f>
        <v>0.31257663440282</v>
      </c>
      <c r="AH91" s="11" t="n">
        <f aca="false">AH90-AG90</f>
        <v>-0.197560297722388</v>
      </c>
      <c r="AI91" s="11" t="n">
        <f aca="false">AI90-AH90</f>
        <v>0.315822415380714</v>
      </c>
      <c r="AJ91" s="11" t="n">
        <f aca="false">AJ90-AI90</f>
        <v>-0.197585308393784</v>
      </c>
      <c r="AK91" s="11" t="n">
        <f aca="false">AK90-AJ90</f>
        <v>0.234264251615162</v>
      </c>
      <c r="AL91" s="11" t="n">
        <f aca="false">AL90-AK90</f>
        <v>-0.115300092907503</v>
      </c>
      <c r="AM91" s="11" t="n">
        <f aca="false">AM90-AL90</f>
        <v>0.32205517455213</v>
      </c>
      <c r="AN91" s="11" t="n">
        <f aca="false">AN90-AM90</f>
        <v>-0.198470381627924</v>
      </c>
      <c r="AO91" s="11" t="n">
        <f aca="false">AO90-AN90</f>
        <v>0.324640099189601</v>
      </c>
      <c r="AP91" s="11" t="n">
        <f aca="false">AP90-AO90</f>
        <v>-0.199910659444708</v>
      </c>
      <c r="AQ91" s="11" t="n">
        <f aca="false">AQ90-AP90</f>
        <v>0.327916133112176</v>
      </c>
      <c r="AR91" s="11" t="n">
        <f aca="false">AR90-AQ90</f>
        <v>-0.200423042172499</v>
      </c>
      <c r="AS91" s="11" t="n">
        <f aca="false">AS90-AR90</f>
        <v>0.244676378315006</v>
      </c>
      <c r="AT91" s="11" t="n">
        <f aca="false">AT90-AS90</f>
        <v>-0.36169828389264</v>
      </c>
      <c r="AU91" s="11" t="n">
        <f aca="false">AU90-AT90</f>
        <v>0.581451081484683</v>
      </c>
      <c r="AV91" s="11" t="n">
        <f aca="false">AV90-AU90</f>
        <v>-0.202139346319708</v>
      </c>
      <c r="AW91" s="11" t="n">
        <f aca="false">AW90-AV90</f>
        <v>0.337698924917024</v>
      </c>
      <c r="AX91" s="11" t="n">
        <f aca="false">AX90-AW90</f>
        <v>-0.202421418017728</v>
      </c>
      <c r="AY91" s="11" t="n">
        <f aca="false">AY90-AX90</f>
        <v>0.340989390757922</v>
      </c>
      <c r="AZ91" s="11" t="n">
        <f aca="false">AZ90-AY90</f>
        <v>-0.203499743397543</v>
      </c>
      <c r="BA91" s="11" t="n">
        <f aca="false">BA90-AZ90</f>
        <v>0.256011372012942</v>
      </c>
      <c r="BB91" s="11" t="n">
        <f aca="false">BB90-BA90</f>
        <v>-0.113995133914148</v>
      </c>
      <c r="BC91" s="11" t="n">
        <f aca="false">BC90-BB90</f>
        <v>0.34762670154986</v>
      </c>
      <c r="BD91" s="11" t="n">
        <f aca="false">BD90-BC90</f>
        <v>-0.20597144395343</v>
      </c>
      <c r="BE91" s="11" t="n">
        <f aca="false">BE90-BD90</f>
        <v>0.35183692952474</v>
      </c>
      <c r="BF91" s="11" t="n">
        <f aca="false">BF90-BE90</f>
        <v>-0.205103615626875</v>
      </c>
      <c r="BG91" s="11" t="n">
        <f aca="false">BG90-BF90</f>
        <v>0.355123264823476</v>
      </c>
      <c r="BH91" s="11" t="n">
        <f aca="false">BH90-BG90</f>
        <v>-0.206836019646694</v>
      </c>
      <c r="BI91" s="11" t="n">
        <f aca="false">BI90-BH90</f>
        <v>0.26888169555026</v>
      </c>
      <c r="BJ91" s="11" t="n">
        <f aca="false">BJ90-BI90</f>
        <v>-0.378692897557905</v>
      </c>
      <c r="BK91" s="11" t="n">
        <f aca="false">BK90-BJ90</f>
        <v>0.628313264464811</v>
      </c>
      <c r="BL91" s="11" t="n">
        <f aca="false">BL90-BK90</f>
        <v>-0.211669268330493</v>
      </c>
      <c r="BM91" s="11" t="n">
        <f aca="false">BM90-BL90</f>
        <v>-17.9727948157232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189.789738774698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9.40661283049369</v>
      </c>
      <c r="R13" s="11" t="n">
        <f aca="false">IF(Time!R17&gt;=Time!$F$11,Waterfall!R33*Inputs!$F$102/100*Time!R26/365,0)</f>
        <v>9.41259905062611</v>
      </c>
      <c r="S13" s="11" t="n">
        <f aca="false">IF(Time!S17&gt;=Time!$F$11,Waterfall!S33*Inputs!$F$102/100*Time!S26/365,0)</f>
        <v>9.06845442331276</v>
      </c>
      <c r="T13" s="11" t="n">
        <f aca="false">IF(Time!T17&gt;=Time!$F$11,Waterfall!T33*Inputs!$F$102/100*Time!T26/365,0)</f>
        <v>9.04729827548496</v>
      </c>
      <c r="U13" s="11" t="n">
        <f aca="false">IF(Time!U17&gt;=Time!$F$11,Waterfall!U33*Inputs!$F$102/100*Time!U26/365,0)</f>
        <v>8.74308140555614</v>
      </c>
      <c r="V13" s="11" t="n">
        <f aca="false">IF(Time!V17&gt;=Time!$F$11,Waterfall!V33*Inputs!$F$102/100*Time!V26/365,0)</f>
        <v>8.66247073274398</v>
      </c>
      <c r="W13" s="11" t="n">
        <f aca="false">IF(Time!W17&gt;=Time!$F$11,Waterfall!W33*Inputs!$F$102/100*Time!W26/365,0)</f>
        <v>8.28554579788215</v>
      </c>
      <c r="X13" s="11" t="n">
        <f aca="false">IF(Time!X17&gt;=Time!$F$11,Waterfall!X33*Inputs!$F$102/100*Time!X26/365,0)</f>
        <v>8.12983308788343</v>
      </c>
      <c r="Y13" s="11" t="n">
        <f aca="false">IF(Time!Y17&gt;=Time!$F$11,Waterfall!Y33*Inputs!$F$102/100*Time!Y26/365,0)</f>
        <v>7.7546224075282</v>
      </c>
      <c r="Z13" s="11" t="n">
        <f aca="false">IF(Time!Z17&gt;=Time!$F$11,Waterfall!Z33*Inputs!$F$102/100*Time!Z26/365,0)</f>
        <v>7.6559578560362</v>
      </c>
      <c r="AA13" s="11" t="n">
        <f aca="false">IF(Time!AA17&gt;=Time!$F$11,Waterfall!AA33*Inputs!$F$102/100*Time!AA26/365,0)</f>
        <v>7.26985820048247</v>
      </c>
      <c r="AB13" s="11" t="n">
        <f aca="false">IF(Time!AB17&gt;=Time!$F$11,Waterfall!AB33*Inputs!$F$102/100*Time!AB26/365,0)</f>
        <v>7.4422944791916</v>
      </c>
      <c r="AC13" s="11" t="n">
        <f aca="false">IF(Time!AC17&gt;=Time!$F$11,Waterfall!AC33*Inputs!$F$102/100*Time!AC26/365,0)</f>
        <v>7.37315380839081</v>
      </c>
      <c r="AD13" s="11" t="n">
        <f aca="false">IF(Time!AD17&gt;=Time!$F$11,Waterfall!AD33*Inputs!$F$102/100*Time!AD26/365,0)</f>
        <v>7.47842749677851</v>
      </c>
      <c r="AE13" s="11" t="n">
        <f aca="false">IF(Time!AE17&gt;=Time!$F$11,Waterfall!AE33*Inputs!$F$102/100*Time!AE26/365,0)</f>
        <v>7.32208731026983</v>
      </c>
      <c r="AF13" s="11" t="n">
        <f aca="false">IF(Time!AF17&gt;=Time!$F$11,Waterfall!AF33*Inputs!$F$102/100*Time!AF26/365,0)</f>
        <v>7.37159669487822</v>
      </c>
      <c r="AG13" s="11" t="n">
        <f aca="false">IF(Time!AG17&gt;=Time!$F$11,Waterfall!AG33*Inputs!$F$102/100*Time!AG26/365,0)</f>
        <v>7.14080237715229</v>
      </c>
      <c r="AH13" s="11" t="n">
        <f aca="false">IF(Time!AH17&gt;=Time!$F$11,Waterfall!AH33*Inputs!$F$102/100*Time!AH26/365,0)</f>
        <v>7.11477046573909</v>
      </c>
      <c r="AI13" s="11" t="n">
        <f aca="false">IF(Time!AI17&gt;=Time!$F$11,Waterfall!AI33*Inputs!$F$102/100*Time!AI26/365,0)</f>
        <v>6.79035865389187</v>
      </c>
      <c r="AJ13" s="11" t="n">
        <f aca="false">IF(Time!AJ17&gt;=Time!$F$11,Waterfall!AJ33*Inputs!$F$102/100*Time!AJ26/365,0)</f>
        <v>6.63341618805348</v>
      </c>
      <c r="AK13" s="11" t="n">
        <f aca="false">IF(Time!AK17&gt;=Time!$F$11,Waterfall!AK33*Inputs!$F$102/100*Time!AK26/365,0)</f>
        <v>6.16237526863671</v>
      </c>
      <c r="AL13" s="11" t="n">
        <f aca="false">IF(Time!AL17&gt;=Time!$F$11,Waterfall!AL33*Inputs!$F$102/100*Time!AL26/365,0)</f>
        <v>4.99800077188264</v>
      </c>
      <c r="AM13" s="11" t="n">
        <f aca="false">IF(Time!AM17&gt;=Time!$F$11,Waterfall!AM33*Inputs!$F$102/100*Time!AM26/365,0)</f>
        <v>3.75251455262526</v>
      </c>
      <c r="AN13" s="11" t="n">
        <f aca="false">IF(Time!AN17&gt;=Time!$F$11,Waterfall!AN33*Inputs!$F$102/100*Time!AN26/365,0)</f>
        <v>2.39714965492538</v>
      </c>
      <c r="AO13" s="11" t="n">
        <f aca="false">IF(Time!AO17&gt;=Time!$F$11,Waterfall!AO33*Inputs!$F$102/100*Time!AO26/365,0)</f>
        <v>1.36386642823581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0.79290836289058</v>
      </c>
      <c r="Q14" s="6" t="n">
        <f aca="false">IF(Waterfall!Q33&gt;0,MIN(1,Inputs!$F$180*(Waterfall!$F$32+MAX(0,Waterfall!P43))/Waterfall!Q33),1)</f>
        <v>0.92441244821243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185.958462379916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9.41259905062611</v>
      </c>
      <c r="S15" s="11" t="n">
        <f aca="false">S13*S14</f>
        <v>9.06845442331276</v>
      </c>
      <c r="T15" s="11" t="n">
        <f aca="false">T13*T14</f>
        <v>9.04729827548496</v>
      </c>
      <c r="U15" s="11" t="n">
        <f aca="false">U13*U14</f>
        <v>8.74308140555614</v>
      </c>
      <c r="V15" s="11" t="n">
        <f aca="false">V13*V14</f>
        <v>8.66247073274398</v>
      </c>
      <c r="W15" s="11" t="n">
        <f aca="false">W13*W14</f>
        <v>8.28554579788215</v>
      </c>
      <c r="X15" s="11" t="n">
        <f aca="false">X13*X14</f>
        <v>8.12983308788343</v>
      </c>
      <c r="Y15" s="11" t="n">
        <f aca="false">Y13*Y14</f>
        <v>7.7546224075282</v>
      </c>
      <c r="Z15" s="11" t="n">
        <f aca="false">Z13*Z14</f>
        <v>7.6559578560362</v>
      </c>
      <c r="AA15" s="11" t="n">
        <f aca="false">AA13*AA14</f>
        <v>7.26985820048247</v>
      </c>
      <c r="AB15" s="11" t="n">
        <f aca="false">AB13*AB14</f>
        <v>7.4422944791916</v>
      </c>
      <c r="AC15" s="11" t="n">
        <f aca="false">AC13*AC14</f>
        <v>7.37315380839081</v>
      </c>
      <c r="AD15" s="11" t="n">
        <f aca="false">AD13*AD14</f>
        <v>7.47842749677851</v>
      </c>
      <c r="AE15" s="11" t="n">
        <f aca="false">AE13*AE14</f>
        <v>7.32208731026983</v>
      </c>
      <c r="AF15" s="11" t="n">
        <f aca="false">AF13*AF14</f>
        <v>7.37159669487822</v>
      </c>
      <c r="AG15" s="11" t="n">
        <f aca="false">AG13*AG14</f>
        <v>7.14080237715229</v>
      </c>
      <c r="AH15" s="11" t="n">
        <f aca="false">AH13*AH14</f>
        <v>7.11477046573909</v>
      </c>
      <c r="AI15" s="11" t="n">
        <f aca="false">AI13*AI14</f>
        <v>6.79035865389187</v>
      </c>
      <c r="AJ15" s="11" t="n">
        <f aca="false">AJ13*AJ14</f>
        <v>6.63341618805348</v>
      </c>
      <c r="AK15" s="11" t="n">
        <f aca="false">AK13*AK14</f>
        <v>6.16237526863671</v>
      </c>
      <c r="AL15" s="11" t="n">
        <f aca="false">AL13*AL14</f>
        <v>4.99800077188264</v>
      </c>
      <c r="AM15" s="11" t="n">
        <f aca="false">AM13*AM14</f>
        <v>3.75251455262526</v>
      </c>
      <c r="AN15" s="11" t="n">
        <f aca="false">AN13*AN14</f>
        <v>2.39714965492538</v>
      </c>
      <c r="AO15" s="11" t="n">
        <f aca="false">AO13*AO14</f>
        <v>1.36386642823581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312.748889604495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14.125886064444</v>
      </c>
      <c r="AC16" s="11" t="n">
        <f aca="false">Debt!AC119+Debt!AC117+Debt!AC111-Debt!AC110</f>
        <v>12.8970280129363</v>
      </c>
      <c r="AD16" s="11" t="n">
        <f aca="false">Debt!AD119+Debt!AD117+Debt!AD111-Debt!AD110</f>
        <v>11.8635981529339</v>
      </c>
      <c r="AE16" s="11" t="n">
        <f aca="false">Debt!AE119+Debt!AE117+Debt!AE111-Debt!AE110</f>
        <v>10.514913346323</v>
      </c>
      <c r="AF16" s="11" t="n">
        <f aca="false">Debt!AF119+Debt!AF117+Debt!AF111-Debt!AF110</f>
        <v>9.34952923503765</v>
      </c>
      <c r="AG16" s="11" t="n">
        <f aca="false">Debt!AG119+Debt!AG117+Debt!AG111-Debt!AG110</f>
        <v>8.15157515258252</v>
      </c>
      <c r="AH16" s="11" t="n">
        <f aca="false">Debt!AH119+Debt!AH117+Debt!AH111-Debt!AH110</f>
        <v>6.88523395233094</v>
      </c>
      <c r="AI16" s="11" t="n">
        <f aca="false">Debt!AI119+Debt!AI117+Debt!AI111-Debt!AI110</f>
        <v>5.44061486127451</v>
      </c>
      <c r="AJ16" s="11" t="n">
        <f aca="false">Debt!AJ119+Debt!AJ117+Debt!AJ111-Debt!AJ110</f>
        <v>4.10072340070946</v>
      </c>
      <c r="AK16" s="11" t="n">
        <f aca="false">Debt!AK119+Debt!AK117+Debt!AK111-Debt!AK110</f>
        <v>2.71621064713489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1268.54732800826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2.48636249460196</v>
      </c>
      <c r="Z18" s="11" t="n">
        <f aca="false">(Operations!Z79-Z16-Z15)*Z17-Z12</f>
        <v>8.23654470357855</v>
      </c>
      <c r="AA18" s="11" t="n">
        <f aca="false">(Operations!AA79-AA16-AA15)*AA17-AA12</f>
        <v>9.63137588722024</v>
      </c>
      <c r="AB18" s="11" t="n">
        <f aca="false">(Operations!AB79-AB16-AB15)*AB17-AB12</f>
        <v>10.4447274845766</v>
      </c>
      <c r="AC18" s="11" t="n">
        <f aca="false">(Operations!AC79-AC16-AC15)*AC17-AC12</f>
        <v>11.9577981107674</v>
      </c>
      <c r="AD18" s="11" t="n">
        <f aca="false">(Operations!AD79-AD16-AD15)*AD17-AD12</f>
        <v>0.412177519591062</v>
      </c>
      <c r="AE18" s="11" t="n">
        <f aca="false">(Operations!AE79-AE16-AE15)*AE17-AE12</f>
        <v>14.7325364392422</v>
      </c>
      <c r="AF18" s="11" t="n">
        <f aca="false">(Operations!AF79-AF16-AF15)*AF17-AF12</f>
        <v>15.7721679696252</v>
      </c>
      <c r="AG18" s="11" t="n">
        <f aca="false">(Operations!AG79-AG16-AG15)*AG17-AG12</f>
        <v>17.342056756771</v>
      </c>
      <c r="AH18" s="11" t="n">
        <f aca="false">(Operations!AH79-AH16-AH15)*AH17-AH12</f>
        <v>18.7952344110689</v>
      </c>
      <c r="AI18" s="11" t="n">
        <f aca="false">(Operations!AI79-AI16-AI15)*AI17-AI12</f>
        <v>20.6720766399009</v>
      </c>
      <c r="AJ18" s="11" t="n">
        <f aca="false">(Operations!AJ79-AJ16-AJ15)*AJ17-AJ12</f>
        <v>22.2589644348502</v>
      </c>
      <c r="AK18" s="11" t="n">
        <f aca="false">(Operations!AK79-AK16-AK15)*AK17-AK12</f>
        <v>24.3095935818973</v>
      </c>
      <c r="AL18" s="11" t="n">
        <f aca="false">(Operations!AL79-AL16-AL15)*AL17-AL12</f>
        <v>23.3107665449838</v>
      </c>
      <c r="AM18" s="11" t="n">
        <f aca="false">(Operations!AM79-AM16-AM15)*AM17-AM12</f>
        <v>28.1851670269894</v>
      </c>
      <c r="AN18" s="11" t="n">
        <f aca="false">(Operations!AN79-AN16-AN15)*AN17-AN12</f>
        <v>30.1238911981382</v>
      </c>
      <c r="AO18" s="11" t="n">
        <f aca="false">(Operations!AO79-AO16-AO15)*AO17-AO12</f>
        <v>31.8045782844458</v>
      </c>
      <c r="AP18" s="11" t="n">
        <f aca="false">(Operations!AP79-AP16-AP15)*AP17-AP12</f>
        <v>33.8416270753018</v>
      </c>
      <c r="AQ18" s="11" t="n">
        <f aca="false">(Operations!AQ79-AQ16-AQ15)*AQ17-AQ12</f>
        <v>33.9570389947679</v>
      </c>
      <c r="AR18" s="11" t="n">
        <f aca="false">(Operations!AR79-AR16-AR15)*AR17-AR12</f>
        <v>34.054213740021</v>
      </c>
      <c r="AS18" s="11" t="n">
        <f aca="false">(Operations!AS79-AS16-AS15)*AS17-AS12</f>
        <v>34.3110015989905</v>
      </c>
      <c r="AT18" s="11" t="n">
        <f aca="false">(Operations!AT79-AT16-AT15)*AT17-AT12</f>
        <v>19.5845471116328</v>
      </c>
      <c r="AU18" s="11" t="n">
        <f aca="false">(Operations!AU79-AU16-AU15)*AU17-AU12</f>
        <v>34.7178493782476</v>
      </c>
      <c r="AV18" s="11" t="n">
        <f aca="false">(Operations!AV79-AV16-AV15)*AV17-AV12</f>
        <v>34.6172056305689</v>
      </c>
      <c r="AW18" s="11" t="n">
        <f aca="false">(Operations!AW79-AW16-AW15)*AW17-AW12</f>
        <v>34.7821391781407</v>
      </c>
      <c r="AX18" s="11" t="n">
        <f aca="false">(Operations!AX79-AX16-AX15)*AX17-AX12</f>
        <v>34.9745958744335</v>
      </c>
      <c r="AY18" s="11" t="n">
        <f aca="false">(Operations!AY79-AY16-AY15)*AY17-AY12</f>
        <v>35.0981506204654</v>
      </c>
      <c r="AZ18" s="11" t="n">
        <f aca="false">(Operations!AZ79-AZ16-AZ15)*AZ17-AZ12</f>
        <v>35.2030092001047</v>
      </c>
      <c r="BA18" s="11" t="n">
        <f aca="false">(Operations!BA79-BA16-BA15)*BA17-BA12</f>
        <v>35.4342474629019</v>
      </c>
      <c r="BB18" s="11" t="n">
        <f aca="false">(Operations!BB79-BB16-BB15)*BB17-BB12</f>
        <v>32.2194879793337</v>
      </c>
      <c r="BC18" s="11" t="n">
        <f aca="false">(Operations!BC79-BC16-BC15)*BC17-BC12</f>
        <v>42.2408949751965</v>
      </c>
      <c r="BD18" s="11" t="n">
        <f aca="false">(Operations!BD79-BD16-BD15)*BD17-BD12</f>
        <v>55.0563517172331</v>
      </c>
      <c r="BE18" s="11" t="n">
        <f aca="false">(Operations!BE79-BE16-BE15)*BE17-BE12</f>
        <v>55.2346816714562</v>
      </c>
      <c r="BF18" s="11" t="n">
        <f aca="false">(Operations!BF79-BF16-BF15)*BF17-BF12</f>
        <v>55.4451982143596</v>
      </c>
      <c r="BG18" s="11" t="n">
        <f aca="false">(Operations!BG79-BG16-BG15)*BG17-BG12</f>
        <v>55.5774775001919</v>
      </c>
      <c r="BH18" s="11" t="n">
        <f aca="false">(Operations!BH79-BH16-BH15)*BH17-BH12</f>
        <v>55.6906272661964</v>
      </c>
      <c r="BI18" s="11" t="n">
        <f aca="false">(Operations!BI79-BI16-BI15)*BI17-BI12</f>
        <v>55.9972232016723</v>
      </c>
      <c r="BJ18" s="11" t="n">
        <f aca="false">(Operations!BJ79-BJ16-BJ15)*BJ17-BJ12</f>
        <v>38.5909505906001</v>
      </c>
      <c r="BK18" s="11" t="n">
        <f aca="false">(Operations!BK79-BK16-BK15)*BK17-BK12</f>
        <v>56.481830334686</v>
      </c>
      <c r="BL18" s="11" t="n">
        <f aca="false">(Operations!BL79-BL16-BL15)*BL17-BL12</f>
        <v>56.3506426066083</v>
      </c>
      <c r="BM18" s="11" t="n">
        <f aca="false">(Operations!BM79-BM16-BM15)*BM17-BM12</f>
        <v>18.6103165968961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2.48636249460196</v>
      </c>
      <c r="Z20" s="11" t="n">
        <f aca="false">MIN(Y21,MAX(0,Z18-Z19))</f>
        <v>8.23654470357855</v>
      </c>
      <c r="AA20" s="11" t="n">
        <f aca="false">MIN(Z21,MAX(0,AA18-AA19))</f>
        <v>9.63137588722024</v>
      </c>
      <c r="AB20" s="11" t="n">
        <f aca="false">MIN(AA21,MAX(0,AB18-AB19))</f>
        <v>10.4447274845766</v>
      </c>
      <c r="AC20" s="11" t="n">
        <f aca="false">MIN(AB21,MAX(0,AC18-AC19))</f>
        <v>11.9577981107674</v>
      </c>
      <c r="AD20" s="11" t="n">
        <f aca="false">MIN(AC21,MAX(0,AD18-AD19))</f>
        <v>0.412177519591062</v>
      </c>
      <c r="AE20" s="11" t="n">
        <f aca="false">MIN(AD21,MAX(0,AE18-AE19))</f>
        <v>14.7325364392422</v>
      </c>
      <c r="AF20" s="11" t="n">
        <f aca="false">MIN(AE21,MAX(0,AF18-AF19))</f>
        <v>15.7721679696252</v>
      </c>
      <c r="AG20" s="11" t="n">
        <f aca="false">MIN(AF21,MAX(0,AG18-AG19))</f>
        <v>17.342056756771</v>
      </c>
      <c r="AH20" s="11" t="n">
        <f aca="false">MIN(AG21,MAX(0,AH18-AH19))</f>
        <v>18.7952344110689</v>
      </c>
      <c r="AI20" s="11" t="n">
        <f aca="false">MIN(AH21,MAX(0,AI18-AI19))</f>
        <v>20.6720766399009</v>
      </c>
      <c r="AJ20" s="11" t="n">
        <f aca="false">MIN(AI21,MAX(0,AJ18-AJ19))</f>
        <v>22.2589644348502</v>
      </c>
      <c r="AK20" s="11" t="n">
        <f aca="false">MIN(AJ21,MAX(0,AK18-AK19))</f>
        <v>24.3095935818973</v>
      </c>
      <c r="AL20" s="11" t="n">
        <f aca="false">MIN(AK21,MAX(0,AL18-AL19))</f>
        <v>23.3107665449838</v>
      </c>
      <c r="AM20" s="11" t="n">
        <f aca="false">MIN(AL21,MAX(0,AM18-AM19))</f>
        <v>25.5429861550904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223.419006639164</v>
      </c>
      <c r="Z21" s="11" t="n">
        <f aca="false">Y21+Z11-Z20</f>
        <v>215.182461935585</v>
      </c>
      <c r="AA21" s="11" t="n">
        <f aca="false">Z21+AA11-AA20</f>
        <v>205.551086048365</v>
      </c>
      <c r="AB21" s="11" t="n">
        <f aca="false">AA21+AB11-AB20</f>
        <v>195.106358563788</v>
      </c>
      <c r="AC21" s="11" t="n">
        <f aca="false">AB21+AC11-AC20</f>
        <v>183.148560453021</v>
      </c>
      <c r="AD21" s="11" t="n">
        <f aca="false">AC21+AD11-AD20</f>
        <v>182.73638293343</v>
      </c>
      <c r="AE21" s="11" t="n">
        <f aca="false">AD21+AE11-AE20</f>
        <v>168.003846494188</v>
      </c>
      <c r="AF21" s="11" t="n">
        <f aca="false">AE21+AF11-AF20</f>
        <v>152.231678524563</v>
      </c>
      <c r="AG21" s="11" t="n">
        <f aca="false">AF21+AG11-AG20</f>
        <v>134.889621767792</v>
      </c>
      <c r="AH21" s="11" t="n">
        <f aca="false">AG21+AH11-AH20</f>
        <v>116.094387356723</v>
      </c>
      <c r="AI21" s="11" t="n">
        <f aca="false">AH21+AI11-AI20</f>
        <v>95.4223107168218</v>
      </c>
      <c r="AJ21" s="11" t="n">
        <f aca="false">AI21+AJ11-AJ20</f>
        <v>73.1633462819716</v>
      </c>
      <c r="AK21" s="11" t="n">
        <f aca="false">AJ21+AK11-AK20</f>
        <v>48.8537527000743</v>
      </c>
      <c r="AL21" s="11" t="n">
        <f aca="false">AK21+AL11-AL20</f>
        <v>25.5429861550904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1042.64195887449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2.64218087189899</v>
      </c>
      <c r="AN23" s="11" t="n">
        <f aca="false">MAX(0,AN18-AN19-AN20)</f>
        <v>30.1238911981382</v>
      </c>
      <c r="AO23" s="11" t="n">
        <f aca="false">MAX(0,AO18-AO19-AO20)</f>
        <v>31.8045782844458</v>
      </c>
      <c r="AP23" s="11" t="n">
        <f aca="false">MAX(0,AP18-AP19-AP20)</f>
        <v>33.8416270753018</v>
      </c>
      <c r="AQ23" s="11" t="n">
        <f aca="false">MAX(0,AQ18-AQ19-AQ20)</f>
        <v>33.9570389947679</v>
      </c>
      <c r="AR23" s="11" t="n">
        <f aca="false">MAX(0,AR18-AR19-AR20)</f>
        <v>34.054213740021</v>
      </c>
      <c r="AS23" s="11" t="n">
        <f aca="false">MAX(0,AS18-AS19-AS20)</f>
        <v>34.3110015989905</v>
      </c>
      <c r="AT23" s="11" t="n">
        <f aca="false">MAX(0,AT18-AT19-AT20)</f>
        <v>19.5845471116328</v>
      </c>
      <c r="AU23" s="11" t="n">
        <f aca="false">MAX(0,AU18-AU19-AU20)</f>
        <v>34.7178493782476</v>
      </c>
      <c r="AV23" s="11" t="n">
        <f aca="false">MAX(0,AV18-AV19-AV20)</f>
        <v>34.6172056305689</v>
      </c>
      <c r="AW23" s="11" t="n">
        <f aca="false">MAX(0,AW18-AW19-AW20)</f>
        <v>34.7821391781407</v>
      </c>
      <c r="AX23" s="11" t="n">
        <f aca="false">MAX(0,AX18-AX19-AX20)</f>
        <v>34.9745958744335</v>
      </c>
      <c r="AY23" s="11" t="n">
        <f aca="false">MAX(0,AY18-AY19-AY20)</f>
        <v>35.0981506204654</v>
      </c>
      <c r="AZ23" s="11" t="n">
        <f aca="false">MAX(0,AZ18-AZ19-AZ20)</f>
        <v>35.2030092001047</v>
      </c>
      <c r="BA23" s="11" t="n">
        <f aca="false">MAX(0,BA18-BA19-BA20)</f>
        <v>35.4342474629019</v>
      </c>
      <c r="BB23" s="11" t="n">
        <f aca="false">MAX(0,BB18-BB19-BB20)</f>
        <v>32.2194879793337</v>
      </c>
      <c r="BC23" s="11" t="n">
        <f aca="false">MAX(0,BC18-BC19-BC20)</f>
        <v>42.2408949751965</v>
      </c>
      <c r="BD23" s="11" t="n">
        <f aca="false">MAX(0,BD18-BD19-BD20)</f>
        <v>55.0563517172331</v>
      </c>
      <c r="BE23" s="11" t="n">
        <f aca="false">MAX(0,BE18-BE19-BE20)</f>
        <v>55.2346816714562</v>
      </c>
      <c r="BF23" s="11" t="n">
        <f aca="false">MAX(0,BF18-BF19-BF20)</f>
        <v>55.4451982143596</v>
      </c>
      <c r="BG23" s="11" t="n">
        <f aca="false">MAX(0,BG18-BG19-BG20)</f>
        <v>55.5774775001919</v>
      </c>
      <c r="BH23" s="11" t="n">
        <f aca="false">MAX(0,BH18-BH19-BH20)</f>
        <v>55.6906272661964</v>
      </c>
      <c r="BI23" s="11" t="n">
        <f aca="false">MAX(0,BI18-BI19-BI20)</f>
        <v>55.9972232016723</v>
      </c>
      <c r="BJ23" s="11" t="n">
        <f aca="false">MAX(0,BJ18-BJ19-BJ20)</f>
        <v>38.5909505906001</v>
      </c>
      <c r="BK23" s="11" t="n">
        <f aca="false">MAX(0,BK18-BK19-BK20)</f>
        <v>56.481830334686</v>
      </c>
      <c r="BL23" s="11" t="n">
        <f aca="false">MAX(0,BL18-BL19-BL20)</f>
        <v>56.3506426066083</v>
      </c>
      <c r="BM23" s="11" t="n">
        <f aca="false">MAX(0,BM18-BM19-BM20)</f>
        <v>18.6103165968961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312.792587662347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0.792654261569698</v>
      </c>
      <c r="AN25" s="11" t="n">
        <f aca="false">AN23*AN24</f>
        <v>9.03716735944146</v>
      </c>
      <c r="AO25" s="11" t="n">
        <f aca="false">AO23*AO24</f>
        <v>9.54137348533374</v>
      </c>
      <c r="AP25" s="11" t="n">
        <f aca="false">AP23*AP24</f>
        <v>10.1524881225905</v>
      </c>
      <c r="AQ25" s="11" t="n">
        <f aca="false">AQ23*AQ24</f>
        <v>10.1871116984304</v>
      </c>
      <c r="AR25" s="11" t="n">
        <f aca="false">AR23*AR24</f>
        <v>10.2162641220063</v>
      </c>
      <c r="AS25" s="11" t="n">
        <f aca="false">AS23*AS24</f>
        <v>10.2933004796971</v>
      </c>
      <c r="AT25" s="11" t="n">
        <f aca="false">AT23*AT24</f>
        <v>5.87536413348984</v>
      </c>
      <c r="AU25" s="11" t="n">
        <f aca="false">AU23*AU24</f>
        <v>10.4153548134743</v>
      </c>
      <c r="AV25" s="11" t="n">
        <f aca="false">AV23*AV24</f>
        <v>10.3851616891707</v>
      </c>
      <c r="AW25" s="11" t="n">
        <f aca="false">AW23*AW24</f>
        <v>10.4346417534422</v>
      </c>
      <c r="AX25" s="11" t="n">
        <f aca="false">AX23*AX24</f>
        <v>10.4923787623301</v>
      </c>
      <c r="AY25" s="11" t="n">
        <f aca="false">AY23*AY24</f>
        <v>10.5294451861396</v>
      </c>
      <c r="AZ25" s="11" t="n">
        <f aca="false">AZ23*AZ24</f>
        <v>10.5609027600314</v>
      </c>
      <c r="BA25" s="11" t="n">
        <f aca="false">BA23*BA24</f>
        <v>10.6302742388706</v>
      </c>
      <c r="BB25" s="11" t="n">
        <f aca="false">BB23*BB24</f>
        <v>9.66584639380012</v>
      </c>
      <c r="BC25" s="11" t="n">
        <f aca="false">BC23*BC24</f>
        <v>12.672268492559</v>
      </c>
      <c r="BD25" s="11" t="n">
        <f aca="false">BD23*BD24</f>
        <v>16.5169055151699</v>
      </c>
      <c r="BE25" s="11" t="n">
        <f aca="false">BE23*BE24</f>
        <v>16.5704045014369</v>
      </c>
      <c r="BF25" s="11" t="n">
        <f aca="false">BF23*BF24</f>
        <v>16.6335594643079</v>
      </c>
      <c r="BG25" s="11" t="n">
        <f aca="false">BG23*BG24</f>
        <v>16.6732432500576</v>
      </c>
      <c r="BH25" s="11" t="n">
        <f aca="false">BH23*BH24</f>
        <v>16.7071881798589</v>
      </c>
      <c r="BI25" s="11" t="n">
        <f aca="false">BI23*BI24</f>
        <v>16.7991669605017</v>
      </c>
      <c r="BJ25" s="11" t="n">
        <f aca="false">BJ23*BJ24</f>
        <v>11.57728517718</v>
      </c>
      <c r="BK25" s="11" t="n">
        <f aca="false">BK23*BK24</f>
        <v>16.9445491004058</v>
      </c>
      <c r="BL25" s="11" t="n">
        <f aca="false">BL23*BL24</f>
        <v>16.9051927819825</v>
      </c>
      <c r="BM25" s="11" t="n">
        <f aca="false">BM23*BM24</f>
        <v>5.58309497906883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317.657492888827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0.792654261569698</v>
      </c>
      <c r="AN27" s="11" t="n">
        <f aca="false">MAX(AN25,AN26)</f>
        <v>9.03716735944146</v>
      </c>
      <c r="AO27" s="11" t="n">
        <f aca="false">MAX(AO25,AO26)</f>
        <v>9.54137348533374</v>
      </c>
      <c r="AP27" s="11" t="n">
        <f aca="false">MAX(AP25,AP26)</f>
        <v>10.1524881225905</v>
      </c>
      <c r="AQ27" s="11" t="n">
        <f aca="false">MAX(AQ25,AQ26)</f>
        <v>10.1871116984304</v>
      </c>
      <c r="AR27" s="11" t="n">
        <f aca="false">MAX(AR25,AR26)</f>
        <v>10.2162641220063</v>
      </c>
      <c r="AS27" s="11" t="n">
        <f aca="false">MAX(AS25,AS26)</f>
        <v>10.2933004796971</v>
      </c>
      <c r="AT27" s="11" t="n">
        <f aca="false">MAX(AT25,AT26)</f>
        <v>5.87536413348984</v>
      </c>
      <c r="AU27" s="11" t="n">
        <f aca="false">MAX(AU25,AU26)</f>
        <v>10.4153548134743</v>
      </c>
      <c r="AV27" s="11" t="n">
        <f aca="false">MAX(AV25,AV26)</f>
        <v>10.3851616891707</v>
      </c>
      <c r="AW27" s="11" t="n">
        <f aca="false">MAX(AW25,AW26)</f>
        <v>10.4346417534422</v>
      </c>
      <c r="AX27" s="11" t="n">
        <f aca="false">MAX(AX25,AX26)</f>
        <v>10.4923787623301</v>
      </c>
      <c r="AY27" s="11" t="n">
        <f aca="false">MAX(AY25,AY26)</f>
        <v>10.5294451861396</v>
      </c>
      <c r="AZ27" s="11" t="n">
        <f aca="false">MAX(AZ25,AZ26)</f>
        <v>10.5609027600314</v>
      </c>
      <c r="BA27" s="11" t="n">
        <f aca="false">MAX(BA25,BA26)</f>
        <v>10.6302742388706</v>
      </c>
      <c r="BB27" s="11" t="n">
        <f aca="false">MAX(BB25,BB26)</f>
        <v>9.66584639380012</v>
      </c>
      <c r="BC27" s="11" t="n">
        <f aca="false">MAX(BC25,BC26)</f>
        <v>12.672268492559</v>
      </c>
      <c r="BD27" s="11" t="n">
        <f aca="false">MAX(BD25,BD26)</f>
        <v>16.5169055151699</v>
      </c>
      <c r="BE27" s="11" t="n">
        <f aca="false">MAX(BE25,BE26)</f>
        <v>16.5704045014369</v>
      </c>
      <c r="BF27" s="11" t="n">
        <f aca="false">MAX(BF25,BF26)</f>
        <v>16.6335594643079</v>
      </c>
      <c r="BG27" s="11" t="n">
        <f aca="false">MAX(BG25,BG26)</f>
        <v>16.6732432500576</v>
      </c>
      <c r="BH27" s="11" t="n">
        <f aca="false">MAX(BH25,BH26)</f>
        <v>16.7071881798589</v>
      </c>
      <c r="BI27" s="11" t="n">
        <f aca="false">MAX(BI25,BI26)</f>
        <v>16.7991669605017</v>
      </c>
      <c r="BJ27" s="11" t="n">
        <f aca="false">MAX(BJ25,BJ26)</f>
        <v>11.57728517718</v>
      </c>
      <c r="BK27" s="11" t="n">
        <f aca="false">MAX(BK25,BK26)</f>
        <v>16.9445491004058</v>
      </c>
      <c r="BL27" s="11" t="n">
        <f aca="false">MAX(BL25,BL26)</f>
        <v>16.9051927819825</v>
      </c>
      <c r="BM27" s="11" t="n">
        <f aca="false">MAX(BM25,BM26)</f>
        <v>5.58309497906883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3.83127639478136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0.711022834470558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148.39054435779</v>
      </c>
      <c r="AC70" s="11" t="n">
        <f aca="false">Time!AC30*AB83</f>
        <v>132.960991127469</v>
      </c>
      <c r="AD70" s="11" t="n">
        <f aca="false">Time!AD30*AC83</f>
        <v>118.022715447615</v>
      </c>
      <c r="AE70" s="11" t="n">
        <f aca="false">Time!AE30*AD83</f>
        <v>101.484994235373</v>
      </c>
      <c r="AF70" s="11" t="n">
        <f aca="false">Time!AF30*AE83</f>
        <v>84.6257915777245</v>
      </c>
      <c r="AG70" s="11" t="n">
        <f aca="false">Time!AG30*AF83</f>
        <v>67.3729998026212</v>
      </c>
      <c r="AH70" s="11" t="n">
        <f aca="false">Time!AH30*AG83</f>
        <v>50.5107671807915</v>
      </c>
      <c r="AI70" s="11" t="n">
        <f aca="false">Time!AI30*AH83</f>
        <v>33.1079543430769</v>
      </c>
      <c r="AJ70" s="11" t="n">
        <f aca="false">Time!AJ30*AI83</f>
        <v>16.2141400954266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134.065750441141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6.50573458177017</v>
      </c>
      <c r="AC72" s="11" t="n">
        <f aca="false">AC70*AC13</f>
        <v>5.7659108325228</v>
      </c>
      <c r="AD72" s="11" t="n">
        <f aca="false">AD70*AD13</f>
        <v>5.1743489765132</v>
      </c>
      <c r="AE72" s="11" t="n">
        <f aca="false">AE70*AE13</f>
        <v>4.37675963410407</v>
      </c>
      <c r="AF72" s="11" t="n">
        <f aca="false">AF70*AF13</f>
        <v>3.71016186482488</v>
      </c>
      <c r="AG72" s="11" t="n">
        <f aca="false">AG70*AG13</f>
        <v>3.09379310389925</v>
      </c>
      <c r="AH72" s="11" t="n">
        <f aca="false">AH70*AH13</f>
        <v>2.35791744276554</v>
      </c>
      <c r="AI72" s="11" t="n">
        <f aca="false">AI70*AI13</f>
        <v>1.5203295256394</v>
      </c>
      <c r="AJ72" s="11" t="n">
        <f aca="false">AJ70*AJ13</f>
        <v>0.756900080602802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145.971447500119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8.23538770190185</v>
      </c>
      <c r="AC73" s="11" t="n">
        <f aca="false">Time!AC30*(AC70-AC71)*AC19</f>
        <v>8.07148670897597</v>
      </c>
      <c r="AD73" s="11" t="n">
        <f aca="false">Time!AD30*(AD70-AD71)*AD19</f>
        <v>8.32888396005186</v>
      </c>
      <c r="AE73" s="11" t="n">
        <f aca="false">Time!AE30*(AE70-AE71)*AE19</f>
        <v>8.03679039491796</v>
      </c>
      <c r="AF73" s="11" t="n">
        <f aca="false">Time!AF30*(AF70-AF71)*AF19</f>
        <v>7.53336646549194</v>
      </c>
      <c r="AG73" s="11" t="n">
        <f aca="false">Time!AG30*(AG70-AG71)*AG19</f>
        <v>6.70646860564711</v>
      </c>
      <c r="AH73" s="11" t="n">
        <f aca="false">Time!AH30*(AH70-AH71)*AH19</f>
        <v>5.86409973708577</v>
      </c>
      <c r="AI73" s="11" t="n">
        <f aca="false">Time!AI30*(AI70-AI71)*AI19</f>
        <v>4.47623625180347</v>
      </c>
      <c r="AJ73" s="11" t="n">
        <f aca="false">Time!AJ30*(AJ70-AJ71)*AJ19</f>
        <v>2.65727097568729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145.971447500119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8.23538770190185</v>
      </c>
      <c r="AC77" s="11" t="n">
        <f aca="false">AC73-AC74+AC76</f>
        <v>8.07148670897597</v>
      </c>
      <c r="AD77" s="11" t="n">
        <f aca="false">AD73-AD74+AD76</f>
        <v>8.32888396005186</v>
      </c>
      <c r="AE77" s="11" t="n">
        <f aca="false">AE73-AE74+AE76</f>
        <v>8.03679039491796</v>
      </c>
      <c r="AF77" s="11" t="n">
        <f aca="false">AF73-AF74+AF76</f>
        <v>7.53336646549194</v>
      </c>
      <c r="AG77" s="11" t="n">
        <f aca="false">AG73-AG74+AG76</f>
        <v>6.70646860564711</v>
      </c>
      <c r="AH77" s="11" t="n">
        <f aca="false">AH73-AH74+AH76</f>
        <v>5.86409973708577</v>
      </c>
      <c r="AI77" s="11" t="n">
        <f aca="false">AI73-AI74+AI76</f>
        <v>4.47623625180347</v>
      </c>
      <c r="AJ77" s="11" t="n">
        <f aca="false">AJ73-AJ74+AJ76</f>
        <v>2.65727097568729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140.155156655888</v>
      </c>
      <c r="AC81" s="11" t="n">
        <f aca="false">AC70-AC77-AC78-AC79</f>
        <v>124.889504418493</v>
      </c>
      <c r="AD81" s="11" t="n">
        <f aca="false">AD70-AD77-AD78-AD79</f>
        <v>109.693831487563</v>
      </c>
      <c r="AE81" s="11" t="n">
        <f aca="false">AE70-AE77-AE78-AE79</f>
        <v>93.4482038404553</v>
      </c>
      <c r="AF81" s="11" t="n">
        <f aca="false">AF70-AF77-AF78-AF79</f>
        <v>77.0924251122326</v>
      </c>
      <c r="AG81" s="11" t="n">
        <f aca="false">AG70-AG77-AG78-AG79</f>
        <v>60.666531196974</v>
      </c>
      <c r="AH81" s="11" t="n">
        <f aca="false">AH70-AH77-AH78-AH79</f>
        <v>44.6466674437057</v>
      </c>
      <c r="AI81" s="11" t="n">
        <f aca="false">AI70-AI77-AI78-AI79</f>
        <v>28.6317180912734</v>
      </c>
      <c r="AJ81" s="11" t="n">
        <f aca="false">AJ70-AJ77-AJ78-AJ79</f>
        <v>13.5568691197393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94.6658232061352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6.18526964990857</v>
      </c>
      <c r="AB82" s="11" t="n">
        <f aca="false">Waterfall!AB28*AB81/(AB36+AB51+AB66+AB81+AB96+0.000000001)+Waterfall!AB29</f>
        <v>7.19416552841933</v>
      </c>
      <c r="AC82" s="11" t="n">
        <f aca="false">Waterfall!AC28*AC81/(AC36+AC51+AC66+AC81+AC96+0.000000001)+Waterfall!AC29</f>
        <v>6.86678897087803</v>
      </c>
      <c r="AD82" s="11" t="n">
        <f aca="false">Waterfall!AD28*AD81/(AD36+AD51+AD66+AD81+AD96+0.000000001)+Waterfall!AD29</f>
        <v>8.2088372521896</v>
      </c>
      <c r="AE82" s="11" t="n">
        <f aca="false">Waterfall!AE28*AE81/(AE36+AE51+AE66+AE81+AE96+0.000000001)+Waterfall!AE29</f>
        <v>8.82241226273076</v>
      </c>
      <c r="AF82" s="11" t="n">
        <f aca="false">Waterfall!AF28*AF81/(AF36+AF51+AF66+AF81+AF96+0.000000001)+Waterfall!AF29</f>
        <v>9.71942530961141</v>
      </c>
      <c r="AG82" s="11" t="n">
        <f aca="false">Waterfall!AG28*AG81/(AG36+AG51+AG66+AG81+AG96+0.000000001)+Waterfall!AG29</f>
        <v>10.1557640161825</v>
      </c>
      <c r="AH82" s="11" t="n">
        <f aca="false">Waterfall!AH28*AH81/(AH36+AH51+AH66+AH81+AH96+0.000000001)+Waterfall!AH29</f>
        <v>11.5387131006289</v>
      </c>
      <c r="AI82" s="11" t="n">
        <f aca="false">Waterfall!AI28*AI81/(AI36+AI51+AI66+AI81+AI96+0.000000001)+Waterfall!AI29</f>
        <v>12.4175779958468</v>
      </c>
      <c r="AJ82" s="11" t="n">
        <f aca="false">Waterfall!AJ28*AJ81/(AJ36+AJ51+AJ66+AJ81+AJ96+0.000000001)+Waterfall!AJ29</f>
        <v>13.5568691197393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148.39054435779</v>
      </c>
      <c r="AB83" s="11" t="n">
        <f aca="false">IF(Time!AB29=1,INDEX(Funding!$J$64:$BJ$64,1,Time!$F$13),Time!AB30*(AB81-AB82))</f>
        <v>132.960991127469</v>
      </c>
      <c r="AC83" s="11" t="n">
        <f aca="false">IF(Time!AC29=1,INDEX(Funding!$J$64:$BJ$64,1,Time!$F$13),Time!AC30*(AC81-AC82))</f>
        <v>118.022715447615</v>
      </c>
      <c r="AD83" s="11" t="n">
        <f aca="false">IF(Time!AD29=1,INDEX(Funding!$J$64:$BJ$64,1,Time!$F$13),Time!AD30*(AD81-AD82))</f>
        <v>101.484994235373</v>
      </c>
      <c r="AE83" s="11" t="n">
        <f aca="false">IF(Time!AE29=1,INDEX(Funding!$J$64:$BJ$64,1,Time!$F$13),Time!AE30*(AE81-AE82))</f>
        <v>84.6257915777245</v>
      </c>
      <c r="AF83" s="11" t="n">
        <f aca="false">IF(Time!AF29=1,INDEX(Funding!$J$64:$BJ$64,1,Time!$F$13),Time!AF30*(AF81-AF82))</f>
        <v>67.3729998026212</v>
      </c>
      <c r="AG83" s="11" t="n">
        <f aca="false">IF(Time!AG29=1,INDEX(Funding!$J$64:$BJ$64,1,Time!$F$13),Time!AG30*(AG81-AG82))</f>
        <v>50.5107671807915</v>
      </c>
      <c r="AH83" s="11" t="n">
        <f aca="false">IF(Time!AH29=1,INDEX(Funding!$J$64:$BJ$64,1,Time!$F$13),Time!AH30*(AH81-AH82))</f>
        <v>33.1079543430769</v>
      </c>
      <c r="AI83" s="11" t="n">
        <f aca="false">IF(Time!AI29=1,INDEX(Funding!$J$64:$BJ$64,1,Time!$F$13),Time!AI30*(AI81-AI82))</f>
        <v>16.2141400954266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16.5552978954991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0.774232747054726</v>
      </c>
      <c r="AC115" s="11" t="n">
        <f aca="false">(Inputs!$F$93/100*Inputs!$F$94/100)*AC70*Time!AC20/365</f>
        <v>0.686187997224145</v>
      </c>
      <c r="AD115" s="11" t="n">
        <f aca="false">(Inputs!$F$93/100*Inputs!$F$94/100)*AD70*Time!AD20/365</f>
        <v>0.615787559721746</v>
      </c>
      <c r="AE115" s="11" t="n">
        <f aca="false">(Inputs!$F$93/100*Inputs!$F$94/100)*AE70*Time!AE20/365</f>
        <v>0.520868257399552</v>
      </c>
      <c r="AF115" s="11" t="n">
        <f aca="false">(Inputs!$F$93/100*Inputs!$F$94/100)*AF70*Time!AF20/365</f>
        <v>0.441537965700325</v>
      </c>
      <c r="AG115" s="11" t="n">
        <f aca="false">(Inputs!$F$93/100*Inputs!$F$94/100)*AG70*Time!AG20/365</f>
        <v>0.345789614192439</v>
      </c>
      <c r="AH115" s="11" t="n">
        <f aca="false">(Inputs!$F$93/100*Inputs!$F$94/100)*AH70*Time!AH20/365</f>
        <v>0.263541657586574</v>
      </c>
      <c r="AI115" s="11" t="n">
        <f aca="false">(Inputs!$F$93/100*Inputs!$F$94/100)*AI70*Time!AI20/365</f>
        <v>0.169925441831789</v>
      </c>
      <c r="AJ115" s="11" t="n">
        <f aca="false">(Inputs!$F$93/100*Inputs!$F$94/100)*AJ70*Time!AJ20/365</f>
        <v>0.0845978312266586</v>
      </c>
      <c r="AK115" s="11" t="n">
        <f aca="false">(Inputs!$F$93/100*Inputs!$F$94/100)*AK70*Time!AK20/365</f>
        <v>0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304.527795311981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13.7459572356358</v>
      </c>
      <c r="AC118" s="11" t="n">
        <f aca="false">AC27+AC42+AC57+AC72+AC87+AC101</f>
        <v>12.5299846754002</v>
      </c>
      <c r="AD118" s="11" t="n">
        <f aca="false">AD27+AD42+AD57+AD72+AD87+AD101</f>
        <v>11.5976233510417</v>
      </c>
      <c r="AE118" s="11" t="n">
        <f aca="false">AE27+AE42+AE57+AE72+AE87+AE101</f>
        <v>10.2494057213969</v>
      </c>
      <c r="AF118" s="11" t="n">
        <f aca="false">AF27+AF42+AF57+AF72+AF87+AF101</f>
        <v>9.20737029788354</v>
      </c>
      <c r="AG118" s="11" t="n">
        <f aca="false">AG27+AG42+AG57+AG72+AG87+AG101</f>
        <v>8.01999173780075</v>
      </c>
      <c r="AH118" s="11" t="n">
        <f aca="false">AH27+AH42+AH57+AH72+AH87+AH101</f>
        <v>6.8672726464229</v>
      </c>
      <c r="AI118" s="11" t="n">
        <f aca="false">AI27+AI42+AI57+AI72+AI87+AI101</f>
        <v>5.44118000287267</v>
      </c>
      <c r="AJ118" s="11" t="n">
        <f aca="false">AJ27+AJ42+AJ57+AJ72+AJ87+AJ101</f>
        <v>4.20384695945895</v>
      </c>
      <c r="AK118" s="11" t="n">
        <f aca="false">AK27+AK42+AK57+AK72+AK87+AK101</f>
        <v>2.85071392839389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312.748889604495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14.125886064444</v>
      </c>
      <c r="AC119" s="11" t="n">
        <f aca="false">AC118+AC114+AC115+AC116</f>
        <v>12.8970280129363</v>
      </c>
      <c r="AD119" s="11" t="n">
        <f aca="false">AD118+AD114+AD115+AD116</f>
        <v>11.8635981529339</v>
      </c>
      <c r="AE119" s="11" t="n">
        <f aca="false">AE118+AE114+AE115+AE116</f>
        <v>10.514913346323</v>
      </c>
      <c r="AF119" s="11" t="n">
        <f aca="false">AF118+AF114+AF115+AF116</f>
        <v>9.34952923503765</v>
      </c>
      <c r="AG119" s="11" t="n">
        <f aca="false">AG118+AG114+AG115+AG116</f>
        <v>8.15157515258252</v>
      </c>
      <c r="AH119" s="11" t="n">
        <f aca="false">AH118+AH114+AH115+AH116</f>
        <v>6.88523395233094</v>
      </c>
      <c r="AI119" s="11" t="n">
        <f aca="false">AI118+AI114+AI115+AI116</f>
        <v>5.44061486127451</v>
      </c>
      <c r="AJ119" s="11" t="n">
        <f aca="false">AJ118+AJ114+AJ115+AJ116</f>
        <v>4.10072340070946</v>
      </c>
      <c r="AK119" s="11" t="n">
        <f aca="false">AK118+AK114+AK115+AK116</f>
        <v>2.71621064713489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538.590152336656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22.2321457905674</v>
      </c>
      <c r="AC120" s="11" t="n">
        <f aca="false">AC32+AC47+AC62+AC77+AC92+AC102</f>
        <v>22.5319357856662</v>
      </c>
      <c r="AD120" s="11" t="n">
        <f aca="false">AD32+AD47+AD62+AD77+AD92+AD102</f>
        <v>24.1186391113981</v>
      </c>
      <c r="AE120" s="11" t="n">
        <f aca="false">AE32+AE47+AE62+AE77+AE92+AE102</f>
        <v>24.5051977389612</v>
      </c>
      <c r="AF120" s="11" t="n">
        <f aca="false">AF32+AF47+AF62+AF77+AF92+AF102</f>
        <v>24.5795149680157</v>
      </c>
      <c r="AG120" s="11" t="n">
        <f aca="false">AG32+AG47+AG62+AG77+AG92+AG102</f>
        <v>24.0707530632709</v>
      </c>
      <c r="AH120" s="11" t="n">
        <f aca="false">AH32+AH47+AH62+AH77+AH92+AH102</f>
        <v>24.1000980222241</v>
      </c>
      <c r="AI120" s="11" t="n">
        <f aca="false">AI32+AI47+AI62+AI77+AI92+AI102</f>
        <v>23.2476894268689</v>
      </c>
      <c r="AJ120" s="11" t="n">
        <f aca="false">AJ32+AJ47+AJ62+AJ77+AJ92+AJ102</f>
        <v>22.3349660477602</v>
      </c>
      <c r="AK120" s="11" t="n">
        <f aca="false">AK32+AK47+AK62+AK77+AK92+AK102</f>
        <v>20.3146272169561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851.339041941152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36.3580318550115</v>
      </c>
      <c r="AC121" s="11" t="n">
        <f aca="false">AC119+AC120</f>
        <v>35.4289637986026</v>
      </c>
      <c r="AD121" s="11" t="n">
        <f aca="false">AD119+AD120</f>
        <v>35.982237264332</v>
      </c>
      <c r="AE121" s="11" t="n">
        <f aca="false">AE119+AE120</f>
        <v>35.0201110852842</v>
      </c>
      <c r="AF121" s="11" t="n">
        <f aca="false">AF119+AF120</f>
        <v>33.9290442030534</v>
      </c>
      <c r="AG121" s="11" t="n">
        <f aca="false">AG119+AG120</f>
        <v>32.2223282158534</v>
      </c>
      <c r="AH121" s="11" t="n">
        <f aca="false">AH119+AH120</f>
        <v>30.985331974555</v>
      </c>
      <c r="AI121" s="11" t="n">
        <f aca="false">AI119+AI120</f>
        <v>28.6883042881434</v>
      </c>
      <c r="AJ121" s="11" t="n">
        <f aca="false">AJ119+AJ120</f>
        <v>26.4356894484697</v>
      </c>
      <c r="AK121" s="11" t="n">
        <f aca="false">AK119+AK120</f>
        <v>23.030837864091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400.593188265099</v>
      </c>
      <c r="AC122" s="11" t="n">
        <f aca="false">AC25+AC40+AC55+AC70+AC85+AC100</f>
        <v>371.166876946112</v>
      </c>
      <c r="AD122" s="11" t="n">
        <f aca="false">AD25+AD40+AD55+AD70+AD85+AD100</f>
        <v>341.768152189568</v>
      </c>
      <c r="AE122" s="11" t="n">
        <f aca="false">AE25+AE40+AE55+AE70+AE85+AE100</f>
        <v>309.44067582598</v>
      </c>
      <c r="AF122" s="11" t="n">
        <f aca="false">AF25+AF40+AF55+AF70+AF85+AF100</f>
        <v>276.113065824288</v>
      </c>
      <c r="AG122" s="11" t="n">
        <f aca="false">AG25+AG40+AG55+AG70+AG85+AG100</f>
        <v>241.814125546661</v>
      </c>
      <c r="AH122" s="11" t="n">
        <f aca="false">AH25+AH40+AH55+AH70+AH85+AH100</f>
        <v>207.587608467207</v>
      </c>
      <c r="AI122" s="11" t="n">
        <f aca="false">AI25+AI40+AI55+AI70+AI85+AI100</f>
        <v>171.948797344354</v>
      </c>
      <c r="AJ122" s="11" t="n">
        <f aca="false">AJ25+AJ40+AJ55+AJ70+AJ85+AJ100</f>
        <v>136.283529921639</v>
      </c>
      <c r="AK122" s="11" t="n">
        <f aca="false">AK25+AK40+AK55+AK70+AK85+AK100</f>
        <v>100.391694754139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400.593188265099</v>
      </c>
      <c r="AB123" s="11" t="n">
        <f aca="false">AB38+AB53+AB68+AB83+AB98+AB104</f>
        <v>371.166876946112</v>
      </c>
      <c r="AC123" s="11" t="n">
        <f aca="false">AC38+AC53+AC68+AC83+AC98+AC104</f>
        <v>341.768152189568</v>
      </c>
      <c r="AD123" s="11" t="n">
        <f aca="false">AD38+AD53+AD68+AD83+AD98+AD104</f>
        <v>309.44067582598</v>
      </c>
      <c r="AE123" s="11" t="n">
        <f aca="false">AE38+AE53+AE68+AE83+AE98+AE104</f>
        <v>276.113065824288</v>
      </c>
      <c r="AF123" s="11" t="n">
        <f aca="false">AF38+AF53+AF68+AF83+AF98+AF104</f>
        <v>241.814125546661</v>
      </c>
      <c r="AG123" s="11" t="n">
        <f aca="false">AG38+AG53+AG68+AG83+AG98+AG104</f>
        <v>207.587608467207</v>
      </c>
      <c r="AH123" s="11" t="n">
        <f aca="false">AH38+AH53+AH68+AH83+AH98+AH104</f>
        <v>171.948797344354</v>
      </c>
      <c r="AI123" s="11" t="n">
        <f aca="false">AI38+AI53+AI68+AI83+AI98+AI104</f>
        <v>136.283529921639</v>
      </c>
      <c r="AJ123" s="11" t="n">
        <f aca="false">AJ38+AJ53+AJ68+AJ83+AJ98+AJ104</f>
        <v>100.391694754139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140.155156655888</v>
      </c>
      <c r="AC125" s="11" t="n">
        <f aca="false">IF(Time!AC29=1,AC83,AC81)</f>
        <v>124.889504418493</v>
      </c>
      <c r="AD125" s="11" t="n">
        <f aca="false">IF(Time!AD29=1,AD83,AD81)</f>
        <v>109.693831487563</v>
      </c>
      <c r="AE125" s="11" t="n">
        <f aca="false">IF(Time!AE29=1,AE83,AE81)</f>
        <v>93.4482038404553</v>
      </c>
      <c r="AF125" s="11" t="n">
        <f aca="false">IF(Time!AF29=1,AF83,AF81)</f>
        <v>77.0924251122326</v>
      </c>
      <c r="AG125" s="11" t="n">
        <f aca="false">IF(Time!AG29=1,AG83,AG81)</f>
        <v>60.666531196974</v>
      </c>
      <c r="AH125" s="11" t="n">
        <f aca="false">IF(Time!AH29=1,AH83,AH81)</f>
        <v>44.6466674437057</v>
      </c>
      <c r="AI125" s="11" t="n">
        <f aca="false">IF(Time!AI29=1,AI83,AI81)</f>
        <v>28.6317180912734</v>
      </c>
      <c r="AJ125" s="11" t="n">
        <f aca="false">IF(Time!AJ29=1,AJ83,AJ81)</f>
        <v>13.5568691197393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14.5861023123638</v>
      </c>
      <c r="AC129" s="11" t="n">
        <f aca="false">IF(AND(Time!AC17&gt;=Time!$F$11,Time!AC17&lt;57),(IF(Time!AC29=1,AC83,AC81)-AC80)*AD19+IF(Time!AC29=1,AC83,AC81)*AD13,0)</f>
        <v>14.2888770445517</v>
      </c>
      <c r="AD129" s="11" t="n">
        <f aca="false">IF(AND(Time!AD17&gt;=Time!$F$11,Time!AD17&lt;57),(IF(Time!AD29=1,AD83,AD81)-AD80)*AE19+IF(Time!AD29=1,AD83,AD81)*AE13,0)</f>
        <v>13.4176473606316</v>
      </c>
      <c r="AE129" s="11" t="n">
        <f aca="false">IF(AND(Time!AE17&gt;=Time!$F$11,Time!AE17&lt;57),(IF(Time!AE29=1,AE83,AE81)-AE80)*AF19+IF(Time!AE29=1,AE83,AE81)*AF13,0)</f>
        <v>12.4156892090324</v>
      </c>
      <c r="AF129" s="11" t="n">
        <f aca="false">IF(AND(Time!AF17&gt;=Time!$F$11,Time!AF17&lt;57),(IF(Time!AF29=1,AF83,AF81)-AF80)*AG19+IF(Time!AF29=1,AF83,AF81)*AG13,0)</f>
        <v>11.2140760265522</v>
      </c>
      <c r="AG129" s="11" t="n">
        <f aca="false">IF(AND(Time!AG17&gt;=Time!$F$11,Time!AG17&lt;57),(IF(Time!AG29=1,AG83,AG81)-AG80)*AH19+IF(Time!AG29=1,AG83,AG81)*AH13,0)</f>
        <v>9.87514721283411</v>
      </c>
      <c r="AH129" s="11" t="n">
        <f aca="false">IF(AND(Time!AH17&gt;=Time!$F$11,Time!AH17&lt;57),(IF(Time!AH29=1,AH83,AH81)-AH80)*AI19+IF(Time!AH29=1,AH83,AH81)*AI13,0)</f>
        <v>8.08647599593486</v>
      </c>
      <c r="AI129" s="11" t="n">
        <f aca="false">IF(AND(Time!AI17&gt;=Time!$F$11,Time!AI17&lt;57),(IF(Time!AI29=1,AI83,AI81)-AI80)*AJ19+IF(Time!AI29=1,AI83,AI81)*AJ13,0)</f>
        <v>6.02890949651137</v>
      </c>
      <c r="AJ129" s="11" t="n">
        <f aca="false">IF(AND(Time!AJ17&gt;=Time!$F$11,Time!AJ17&lt;57),(IF(Time!AJ29=1,AJ83,AJ81)-AJ80)*AK19+IF(Time!AJ29=1,AJ83,AJ81)*AK13,0)</f>
        <v>3.36925801071168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36.2147963766071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36.8037090789382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36.0663399929661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35.1472363198872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33.6860271504038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32.6914500540924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30.837436556463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29.1152170271438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26.4700604620926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23.7140398353964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854.89556703609</v>
      </c>
      <c r="Q136" s="11" t="n">
        <f aca="false">IF(Q134=1,(Waterfall!Q7+R136)/(1+Q135),0)</f>
        <v>833.984452052412</v>
      </c>
      <c r="R136" s="11" t="n">
        <f aca="false">IF(R134=1,(Waterfall!R7+S136)/(1+R135),0)</f>
        <v>812.188342505449</v>
      </c>
      <c r="S136" s="11" t="n">
        <f aca="false">IF(S134=1,(Waterfall!S7+T136)/(1+S135),0)</f>
        <v>789.318584686095</v>
      </c>
      <c r="T136" s="11" t="n">
        <f aca="false">IF(T134=1,(Waterfall!T7+U136)/(1+T135),0)</f>
        <v>765.774892102802</v>
      </c>
      <c r="U136" s="11" t="n">
        <f aca="false">IF(U134=1,(Waterfall!U7+V136)/(1+U135),0)</f>
        <v>741.148198096695</v>
      </c>
      <c r="V136" s="11" t="n">
        <f aca="false">IF(V134=1,(Waterfall!V7+W136)/(1+V135),0)</f>
        <v>715.736115466255</v>
      </c>
      <c r="W136" s="11" t="n">
        <f aca="false">IF(W134=1,(Waterfall!W7+X136)/(1+W135),0)</f>
        <v>688.663879431379</v>
      </c>
      <c r="X136" s="11" t="n">
        <f aca="false">IF(X134=1,(Waterfall!X7+Y136)/(1+X135),0)</f>
        <v>660.764061757014</v>
      </c>
      <c r="Y136" s="11" t="n">
        <f aca="false">IF(Y134=1,(Waterfall!Y7+Z136)/(1+Y135),0)</f>
        <v>633.63867978091</v>
      </c>
      <c r="Z136" s="11" t="n">
        <f aca="false">IF(Z134=1,(Waterfall!Z7+AA136)/(1+Z135),0)</f>
        <v>606.500533971463</v>
      </c>
      <c r="AA136" s="11" t="n">
        <f aca="false">IF(AA134=1,(Waterfall!AA7+AB136)/(1+AA135),0)</f>
        <v>578.238110280087</v>
      </c>
      <c r="AB136" s="11" t="n">
        <f aca="false">IF(AB134=1,(Waterfall!AB7+AC136)/(1+AB135),0)</f>
        <v>549.150918208658</v>
      </c>
      <c r="AC136" s="11" t="n">
        <f aca="false">IF(AC134=1,(Waterfall!AC7+AD136)/(1+AC135),0)</f>
        <v>518.674106238919</v>
      </c>
      <c r="AD136" s="11" t="n">
        <f aca="false">IF(AD134=1,(Waterfall!AD7+AE136)/(1+AD135),0)</f>
        <v>487.18764453773</v>
      </c>
      <c r="AE136" s="11" t="n">
        <f aca="false">IF(AE134=1,(Waterfall!AE7+AF136)/(1+AE135),0)</f>
        <v>452.806726060759</v>
      </c>
      <c r="AF136" s="11" t="n">
        <f aca="false">IF(AF134=1,(Waterfall!AF7+AG136)/(1+AF135),0)</f>
        <v>416.948097164912</v>
      </c>
      <c r="AG136" s="11" t="n">
        <f aca="false">IF(AG134=1,(Waterfall!AG7+AH136)/(1+AG135),0)</f>
        <v>379.831483488085</v>
      </c>
      <c r="AH136" s="11" t="n">
        <f aca="false">IF(AH134=1,(Waterfall!AH7+AI136)/(1+AH135),0)</f>
        <v>342.022154425807</v>
      </c>
      <c r="AI136" s="11" t="n">
        <f aca="false">IF(AI134=1,(Waterfall!AI7+AJ136)/(1+AI135),0)</f>
        <v>302.314738803312</v>
      </c>
      <c r="AJ136" s="11" t="n">
        <f aca="false">IF(AJ134=1,(Waterfall!AJ7+AK136)/(1+AJ135),0)</f>
        <v>261.441413340414</v>
      </c>
      <c r="AK136" s="11" t="n">
        <f aca="false">IF(AK134=1,(Waterfall!AK7+AL136)/(1+AK135),0)</f>
        <v>218.594819230627</v>
      </c>
      <c r="AL136" s="11" t="n">
        <f aca="false">IF(AL134=1,(Waterfall!AL7+AM136)/(1+AL135),0)</f>
        <v>174.361356741252</v>
      </c>
      <c r="AM136" s="11" t="n">
        <f aca="false">IF(AM134=1,(Waterfall!AM7+AN136)/(1+AM135),0)</f>
        <v>127.458902081805</v>
      </c>
      <c r="AN136" s="11" t="n">
        <f aca="false">IF(AN134=1,(Waterfall!AN7+AO136)/(1+AN135),0)</f>
        <v>79.5815814567633</v>
      </c>
      <c r="AO136" s="11" t="n">
        <f aca="false">IF(AO134=1,(Waterfall!AO7+AP136)/(1+AO135),0)</f>
        <v>40.0833603090188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1.35000000008424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633.255975582289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37.2458954381098</v>
      </c>
      <c r="Q140" s="11" t="n">
        <f aca="false">IF(Q134=1,Waterfall!Q7/$F$137,0)</f>
        <v>37.1570164556</v>
      </c>
      <c r="R140" s="11" t="n">
        <f aca="false">IF(R134=1,Waterfall!R7/$F$137,0)</f>
        <v>37.6247850888072</v>
      </c>
      <c r="S140" s="11" t="n">
        <f aca="false">IF(S134=1,Waterfall!S7/$F$137,0)</f>
        <v>37.3333124929981</v>
      </c>
      <c r="T140" s="11" t="n">
        <f aca="false">IF(T134=1,Waterfall!T7/$F$137,0)</f>
        <v>37.7512177828148</v>
      </c>
      <c r="U140" s="11" t="n">
        <f aca="false">IF(U134=1,Waterfall!U7/$F$137,0)</f>
        <v>37.5706927553469</v>
      </c>
      <c r="V140" s="11" t="n">
        <f aca="false">IF(V134=1,Waterfall!V7/$F$137,0)</f>
        <v>38.2879202359681</v>
      </c>
      <c r="W140" s="11" t="n">
        <f aca="false">IF(W134=1,Waterfall!W7/$F$137,0)</f>
        <v>38.0232274259144</v>
      </c>
      <c r="X140" s="11" t="n">
        <f aca="false">IF(X134=1,Waterfall!X7/$F$137,0)</f>
        <v>36.9267950752384</v>
      </c>
      <c r="Y140" s="11" t="n">
        <f aca="false">IF(Y134=1,Waterfall!Y7/$F$137,0)</f>
        <v>36.5703920444872</v>
      </c>
      <c r="Z140" s="11" t="n">
        <f aca="false">IF(Z134=1,Waterfall!Z7/$F$137,0)</f>
        <v>36.8713631089239</v>
      </c>
      <c r="AA140" s="11" t="n">
        <f aca="false">IF(AA134=1,Waterfall!AA7/$F$137,0)</f>
        <v>36.5742873546017</v>
      </c>
      <c r="AB140" s="11" t="n">
        <f aca="false">IF(AB134=1,Waterfall!AB7/$F$137,0)</f>
        <v>37.0047486321213</v>
      </c>
      <c r="AC140" s="11" t="n">
        <f aca="false">IF(AC134=1,Waterfall!AC7/$F$137,0)</f>
        <v>36.8529292145076</v>
      </c>
      <c r="AD140" s="11" t="n">
        <f aca="false">IF(AD134=1,Waterfall!AD7/$F$137,0)</f>
        <v>38.2685501329744</v>
      </c>
      <c r="AE140" s="11" t="n">
        <f aca="false">IF(AE134=1,Waterfall!AE7/$F$137,0)</f>
        <v>38.3302458773614</v>
      </c>
      <c r="AF140" s="11" t="n">
        <f aca="false">IF(AF134=1,Waterfall!AF7/$F$137,0)</f>
        <v>38.4493967774473</v>
      </c>
      <c r="AG140" s="11" t="n">
        <f aca="false">IF(AG134=1,Waterfall!AG7/$F$137,0)</f>
        <v>38.1772438138452</v>
      </c>
      <c r="AH140" s="11" t="n">
        <f aca="false">IF(AH134=1,Waterfall!AH7/$F$137,0)</f>
        <v>38.6731442036485</v>
      </c>
      <c r="AI140" s="11" t="n">
        <f aca="false">IF(AI134=1,Waterfall!AI7/$F$137,0)</f>
        <v>38.3712894424338</v>
      </c>
      <c r="AJ140" s="11" t="n">
        <f aca="false">IF(AJ134=1,Waterfall!AJ7/$F$137,0)</f>
        <v>38.8167394706435</v>
      </c>
      <c r="AK140" s="11" t="n">
        <f aca="false">IF(AK134=1,Waterfall!AK7/$F$137,0)</f>
        <v>38.6403947685337</v>
      </c>
      <c r="AL140" s="11" t="n">
        <f aca="false">IF(AL134=1,Waterfall!AL7/$F$137,0)</f>
        <v>39.4633896356256</v>
      </c>
      <c r="AM140" s="11" t="n">
        <f aca="false">IF(AM134=1,Waterfall!AM7/$F$137,0)</f>
        <v>38.8775099599659</v>
      </c>
      <c r="AN140" s="11" t="n">
        <f aca="false">IF(AN134=1,Waterfall!AN7/$F$137,0)</f>
        <v>31.4126114907865</v>
      </c>
      <c r="AO140" s="11" t="n">
        <f aca="false">IF(AO134=1,Waterfall!AO7/$F$137,0)</f>
        <v>30.7646464299593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617.766260741016</v>
      </c>
      <c r="R141" s="11" t="n">
        <f aca="false">IF(R134=1,IF(Time!R17=Time!$F$12,Funding!$F$25,Q141-Q142),0)</f>
        <v>601.620994410939</v>
      </c>
      <c r="S141" s="11" t="n">
        <f aca="false">IF(S134=1,IF(Time!S17=Time!$F$12,Funding!$F$25,R141-R142),0)</f>
        <v>584.680433064327</v>
      </c>
      <c r="T141" s="11" t="n">
        <f aca="false">IF(T134=1,IF(Time!T17=Time!$F$12,Funding!$F$25,S141-S142),0)</f>
        <v>567.240660781494</v>
      </c>
      <c r="U141" s="11" t="n">
        <f aca="false">IF(U134=1,IF(Time!U17=Time!$F$12,Funding!$F$25,T141-T142),0)</f>
        <v>548.998665222554</v>
      </c>
      <c r="V141" s="11" t="n">
        <f aca="false">IF(V134=1,IF(Time!V17=Time!$F$12,Funding!$F$25,U141-U142),0)</f>
        <v>530.174900312291</v>
      </c>
      <c r="W141" s="11" t="n">
        <f aca="false">IF(W134=1,IF(Time!W17=Time!$F$12,Funding!$F$25,V141-V142),0)</f>
        <v>510.12139213956</v>
      </c>
      <c r="X141" s="11" t="n">
        <f aca="false">IF(X134=1,IF(Time!X17=Time!$F$12,Funding!$F$25,W141-W142),0)</f>
        <v>489.454860530209</v>
      </c>
      <c r="Y141" s="11" t="n">
        <f aca="false">IF(Y134=1,IF(Time!Y17=Time!$F$12,Funding!$F$25,X141-X142),0)</f>
        <v>469.361984993608</v>
      </c>
      <c r="Z141" s="11" t="n">
        <f aca="false">IF(Z134=1,IF(Time!Z17=Time!$F$12,Funding!$F$25,Y141-Y142),0)</f>
        <v>449.259654765642</v>
      </c>
      <c r="AA141" s="11" t="n">
        <f aca="false">IF(AA134=1,IF(Time!AA17=Time!$F$12,Funding!$F$25,Z141-Z142),0)</f>
        <v>428.32452610667</v>
      </c>
      <c r="AB141" s="11" t="n">
        <f aca="false">IF(AB134=1,IF(Time!AB17=Time!$F$12,Funding!$F$25,AA141-AA142),0)</f>
        <v>406.778457906956</v>
      </c>
      <c r="AC141" s="11" t="n">
        <f aca="false">IF(AC134=1,IF(Time!AC17=Time!$F$12,Funding!$F$25,AB141-AB142),0)</f>
        <v>384.203041634484</v>
      </c>
      <c r="AD141" s="11" t="n">
        <f aca="false">IF(AD134=1,IF(Time!AD17=Time!$F$12,Funding!$F$25,AC141-AC142),0)</f>
        <v>360.879736672095</v>
      </c>
      <c r="AE141" s="11" t="n">
        <f aca="false">IF(AE134=1,IF(Time!AE17=Time!$F$12,Funding!$F$25,AD141-AD142),0)</f>
        <v>335.412389653706</v>
      </c>
      <c r="AF141" s="11" t="n">
        <f aca="false">IF(AF134=1,IF(Time!AF17=Time!$F$12,Funding!$F$25,AE141-AE142),0)</f>
        <v>308.850442325107</v>
      </c>
      <c r="AG141" s="11" t="n">
        <f aca="false">IF(AG134=1,IF(Time!AG17=Time!$F$12,Funding!$F$25,AF141-AF142),0)</f>
        <v>281.356654418061</v>
      </c>
      <c r="AH141" s="11" t="n">
        <f aca="false">IF(AH134=1,IF(Time!AH17=Time!$F$12,Funding!$F$25,AG141-AG142),0)</f>
        <v>253.349744003307</v>
      </c>
      <c r="AI141" s="11" t="n">
        <f aca="false">IF(AI134=1,IF(Time!AI17=Time!$F$12,Funding!$F$25,AH141-AH142),0)</f>
        <v>223.936843544035</v>
      </c>
      <c r="AJ141" s="11" t="n">
        <f aca="false">IF(AJ134=1,IF(Time!AJ17=Time!$F$12,Funding!$F$25,AI141-AI142),0)</f>
        <v>193.660306165999</v>
      </c>
      <c r="AK141" s="11" t="n">
        <f aca="false">IF(AK134=1,IF(Time!AK17=Time!$F$12,Funding!$F$25,AJ141-AJ142),0)</f>
        <v>161.922088308878</v>
      </c>
      <c r="AL141" s="11" t="n">
        <f aca="false">IF(AL134=1,IF(Time!AL17=Time!$F$12,Funding!$F$25,AK141-AK142),0)</f>
        <v>129.156560541015</v>
      </c>
      <c r="AM141" s="11" t="n">
        <f aca="false">IF(AM134=1,IF(Time!AM17=Time!$F$12,Funding!$F$25,AL141-AL142),0)</f>
        <v>94.4140015361855</v>
      </c>
      <c r="AN141" s="11" t="n">
        <f aca="false">IF(AN134=1,IF(Time!AN17=Time!$F$12,Funding!$F$25,AM141-AM142),0)</f>
        <v>58.9493195939232</v>
      </c>
      <c r="AO141" s="11" t="n">
        <f aca="false">IF(AO134=1,IF(Time!AO17=Time!$F$12,Funding!$F$25,AN141-AN142),0)</f>
        <v>29.691378004827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15.4897148017584</v>
      </c>
      <c r="Q142" s="11" t="n">
        <f aca="false">Q140-Q141*Q135</f>
        <v>16.1452663300764</v>
      </c>
      <c r="R142" s="11" t="n">
        <f aca="false">R140-R141*R135</f>
        <v>16.9405613466122</v>
      </c>
      <c r="S142" s="11" t="n">
        <f aca="false">S140-S141*S135</f>
        <v>17.439772282833</v>
      </c>
      <c r="T142" s="11" t="n">
        <f aca="false">T140-T141*T135</f>
        <v>18.2419955589405</v>
      </c>
      <c r="U142" s="11" t="n">
        <f aca="false">U140-U141*U135</f>
        <v>18.8237649102628</v>
      </c>
      <c r="V142" s="11" t="n">
        <f aca="false">V140-V141*V135</f>
        <v>20.0535081727306</v>
      </c>
      <c r="W142" s="11" t="n">
        <f aca="false">W140-W141*W135</f>
        <v>20.6665316093516</v>
      </c>
      <c r="X142" s="11" t="n">
        <f aca="false">X140-X141*X135</f>
        <v>20.0928755366008</v>
      </c>
      <c r="Y142" s="11" t="n">
        <f aca="false">Y140-Y141*Y135</f>
        <v>20.1023302279655</v>
      </c>
      <c r="Z142" s="11" t="n">
        <f aca="false">Z140-Z141*Z135</f>
        <v>20.9351286589726</v>
      </c>
      <c r="AA142" s="11" t="n">
        <f aca="false">AA140-AA141*AA135</f>
        <v>21.5460681997141</v>
      </c>
      <c r="AB142" s="11" t="n">
        <f aca="false">AB140-AB141*AB135</f>
        <v>22.5754162724716</v>
      </c>
      <c r="AC142" s="11" t="n">
        <f aca="false">AC140-AC141*AC135</f>
        <v>23.3233049623886</v>
      </c>
      <c r="AD142" s="11" t="n">
        <f aca="false">AD140-AD141*AD135</f>
        <v>25.4673470183896</v>
      </c>
      <c r="AE142" s="11" t="n">
        <f aca="false">AE140-AE141*AE135</f>
        <v>26.561947328599</v>
      </c>
      <c r="AF142" s="11" t="n">
        <f aca="false">AF140-AF141*AF135</f>
        <v>27.4937879070456</v>
      </c>
      <c r="AG142" s="11" t="n">
        <f aca="false">AG140-AG141*AG135</f>
        <v>28.0069104147543</v>
      </c>
      <c r="AH142" s="11" t="n">
        <f aca="false">AH140-AH141*AH135</f>
        <v>29.4129004592721</v>
      </c>
      <c r="AI142" s="11" t="n">
        <f aca="false">AI140-AI141*AI135</f>
        <v>30.2765373780352</v>
      </c>
      <c r="AJ142" s="11" t="n">
        <f aca="false">AJ140-AJ141*AJ135</f>
        <v>31.7382178571214</v>
      </c>
      <c r="AK142" s="11" t="n">
        <f aca="false">AK140-AK141*AK135</f>
        <v>32.7655277678628</v>
      </c>
      <c r="AL142" s="11" t="n">
        <f aca="false">AL140-AL141*AL135</f>
        <v>34.7425590048297</v>
      </c>
      <c r="AM142" s="11" t="n">
        <f aca="false">AM140-AM141*AM135</f>
        <v>35.4646819422624</v>
      </c>
      <c r="AN142" s="11" t="n">
        <f aca="false">AN140-AN141*AN135</f>
        <v>29.2579415890962</v>
      </c>
      <c r="AO142" s="11" t="n">
        <f aca="false">AO140-AO141*AO135</f>
        <v>29.6913780048279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1.01444896927205E-009</v>
      </c>
      <c r="Q143" s="11" t="n">
        <f aca="false">IF(Inputs!$F$8=1,Q142-Q134*Inputs!Q219*Funding!$F$25,0)</f>
        <v>4.89844609319334E-010</v>
      </c>
      <c r="R143" s="11" t="n">
        <f aca="false">IF(Inputs!$F$8=1,R142-R134*Inputs!R219*Funding!$F$25,0)</f>
        <v>1.18206600063786E-009</v>
      </c>
      <c r="S143" s="11" t="n">
        <f aca="false">IF(Inputs!$F$8=1,S142-S134*Inputs!S219*Funding!$F$25,0)</f>
        <v>5.33614041842156E-010</v>
      </c>
      <c r="T143" s="11" t="n">
        <f aca="false">IF(Inputs!$F$8=1,T142-T134*Inputs!T219*Funding!$F$25,0)</f>
        <v>1.17891474360476E-009</v>
      </c>
      <c r="U143" s="11" t="n">
        <f aca="false">IF(Inputs!$F$8=1,U142-U134*Inputs!U219*Funding!$F$25,0)</f>
        <v>6.45481890160227E-010</v>
      </c>
      <c r="V143" s="11" t="n">
        <f aca="false">IF(Inputs!$F$8=1,V142-V134*Inputs!V219*Funding!$F$25,0)</f>
        <v>9.84414327831473E-010</v>
      </c>
      <c r="W143" s="11" t="n">
        <f aca="false">IF(Inputs!$F$8=1,W142-W134*Inputs!W219*Funding!$F$25,0)</f>
        <v>2.50821585723315E-010</v>
      </c>
      <c r="X143" s="11" t="n">
        <f aca="false">IF(Inputs!$F$8=1,X142-X134*Inputs!X219*Funding!$F$25,0)</f>
        <v>8.66059224335913E-010</v>
      </c>
      <c r="Y143" s="11" t="n">
        <f aca="false">IF(Inputs!$F$8=1,Y142-Y134*Inputs!Y219*Funding!$F$25,0)</f>
        <v>1.93853821883749E-010</v>
      </c>
      <c r="Z143" s="11" t="n">
        <f aca="false">IF(Inputs!$F$8=1,Z142-Z134*Inputs!Z219*Funding!$F$25,0)</f>
        <v>6.71263933327282E-010</v>
      </c>
      <c r="AA143" s="11" t="n">
        <f aca="false">IF(Inputs!$F$8=1,AA142-AA134*Inputs!AA219*Funding!$F$25,0)</f>
        <v>2.94164692604682E-011</v>
      </c>
      <c r="AB143" s="11" t="n">
        <f aca="false">IF(Inputs!$F$8=1,AB142-AB134*Inputs!AB219*Funding!$F$25,0)</f>
        <v>4.31409574730424E-010</v>
      </c>
      <c r="AC143" s="11" t="n">
        <f aca="false">IF(Inputs!$F$8=1,AC142-AC134*Inputs!AC219*Funding!$F$25,0)</f>
        <v>-1.39870337534376E-011</v>
      </c>
      <c r="AD143" s="11" t="n">
        <f aca="false">IF(Inputs!$F$8=1,AD142-AD134*Inputs!AD219*Funding!$F$25,0)</f>
        <v>9.02993235740723E-011</v>
      </c>
      <c r="AE143" s="11" t="n">
        <f aca="false">IF(Inputs!$F$8=1,AE142-AE134*Inputs!AE219*Funding!$F$25,0)</f>
        <v>-5.01781727280104E-010</v>
      </c>
      <c r="AF143" s="11" t="n">
        <f aca="false">IF(Inputs!$F$8=1,AF142-AF134*Inputs!AF219*Funding!$F$25,0)</f>
        <v>-2.49610110358844E-010</v>
      </c>
      <c r="AG143" s="11" t="n">
        <f aca="false">IF(Inputs!$F$8=1,AG142-AG134*Inputs!AG219*Funding!$F$25,0)</f>
        <v>-7.66576135902142E-010</v>
      </c>
      <c r="AH143" s="11" t="n">
        <f aca="false">IF(Inputs!$F$8=1,AH142-AH134*Inputs!AH219*Funding!$F$25,0)</f>
        <v>-6.27036200739894E-010</v>
      </c>
      <c r="AI143" s="11" t="n">
        <f aca="false">IF(Inputs!$F$8=1,AI142-AI134*Inputs!AI219*Funding!$F$25,0)</f>
        <v>-1.1012666334409E-009</v>
      </c>
      <c r="AJ143" s="11" t="n">
        <f aca="false">IF(Inputs!$F$8=1,AJ142-AJ134*Inputs!AJ219*Funding!$F$25,0)</f>
        <v>-1.05942632444567E-009</v>
      </c>
      <c r="AK143" s="11" t="n">
        <f aca="false">IF(Inputs!$F$8=1,AK142-AK134*Inputs!AK219*Funding!$F$25,0)</f>
        <v>-1.41971412404018E-009</v>
      </c>
      <c r="AL143" s="11" t="n">
        <f aca="false">IF(Inputs!$F$8=1,AL142-AL134*Inputs!AL219*Funding!$F$25,0)</f>
        <v>-1.57970703185129E-009</v>
      </c>
      <c r="AM143" s="11" t="n">
        <f aca="false">IF(Inputs!$F$8=1,AM142-AM134*Inputs!AM219*Funding!$F$25,0)</f>
        <v>5.27286658780213E-010</v>
      </c>
      <c r="AN143" s="11" t="n">
        <f aca="false">IF(Inputs!$F$8=1,AN142-AN134*Inputs!AN219*Funding!$F$25,0)</f>
        <v>-8.28400459340628E-010</v>
      </c>
      <c r="AO143" s="11" t="n">
        <f aca="false">IF(Inputs!$F$8=1,AO142-AO134*Inputs!AO219*Funding!$F$25,0)</f>
        <v>-9.41007272103889E-010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36.2147963766071</v>
      </c>
      <c r="AD9" s="11" t="n">
        <f aca="false">IF(Time!AD29=1,SUM(Funding!$J$44:$BJ$44),AC13)</f>
        <v>36.8037090789382</v>
      </c>
      <c r="AE9" s="11" t="n">
        <f aca="false">IF(Time!AE29=1,SUM(Funding!$J$44:$BJ$44),AD13)</f>
        <v>36.0663399929661</v>
      </c>
      <c r="AF9" s="11" t="n">
        <f aca="false">IF(Time!AF29=1,SUM(Funding!$J$44:$BJ$44),AE13)</f>
        <v>35.1472363198872</v>
      </c>
      <c r="AG9" s="11" t="n">
        <f aca="false">IF(Time!AG29=1,SUM(Funding!$J$44:$BJ$44),AF13)</f>
        <v>33.6860271504038</v>
      </c>
      <c r="AH9" s="11" t="n">
        <f aca="false">IF(Time!AH29=1,SUM(Funding!$J$44:$BJ$44),AG13)</f>
        <v>32.6914500540924</v>
      </c>
      <c r="AI9" s="11" t="n">
        <f aca="false">IF(Time!AI29=1,SUM(Funding!$J$44:$BJ$44),AH13)</f>
        <v>30.837436556463</v>
      </c>
      <c r="AJ9" s="11" t="n">
        <f aca="false">IF(Time!AJ29=1,SUM(Funding!$J$44:$BJ$44),AI13)</f>
        <v>29.1152170271438</v>
      </c>
      <c r="AK9" s="11" t="n">
        <f aca="false">IF(Time!AK29=1,SUM(Funding!$J$44:$BJ$44),AJ13)</f>
        <v>26.4700604620926</v>
      </c>
      <c r="AL9" s="11" t="n">
        <f aca="false">IF(Time!AL29=1,SUM(Funding!$J$44:$BJ$44),AK13)</f>
        <v>23.7140398353964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2.92324644545162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0.58891270233115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40.169141882547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0.78995225536913</v>
      </c>
      <c r="AC12" s="11" t="n">
        <f aca="false">MAX(0,AC9-AC10-Debt!AC132)</f>
        <v>0</v>
      </c>
      <c r="AD12" s="11" t="n">
        <f aca="false">MAX(0,AD9-AD10-Debt!AD132)</f>
        <v>0.737369085972055</v>
      </c>
      <c r="AE12" s="11" t="n">
        <f aca="false">MAX(0,AE9-AE10-Debt!AE132)</f>
        <v>0.919103673078979</v>
      </c>
      <c r="AF12" s="11" t="n">
        <f aca="false">MAX(0,AF9-AF10-Debt!AF132)</f>
        <v>1.46120916948336</v>
      </c>
      <c r="AG12" s="11" t="n">
        <f aca="false">MAX(0,AG9-AG10-Debt!AG132)</f>
        <v>0.994577096311424</v>
      </c>
      <c r="AH12" s="11" t="n">
        <f aca="false">MAX(0,AH9-AH10-Debt!AH132)</f>
        <v>1.85401349762939</v>
      </c>
      <c r="AI12" s="11" t="n">
        <f aca="false">MAX(0,AI9-AI10-Debt!AI132)</f>
        <v>1.72221952931915</v>
      </c>
      <c r="AJ12" s="11" t="n">
        <f aca="false">MAX(0,AJ9-AJ10-Debt!AJ132)</f>
        <v>2.64515656505121</v>
      </c>
      <c r="AK12" s="11" t="n">
        <f aca="false">MAX(0,AK9-AK10-Debt!AK132)</f>
        <v>2.75602062669626</v>
      </c>
      <c r="AL12" s="11" t="n">
        <f aca="false">MAX(0,AL9-AL10-Debt!AL132)</f>
        <v>0.144747982118304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36.2147963766071</v>
      </c>
      <c r="AC13" s="11" t="n">
        <f aca="false">(1-Time!AC32)*(AC9-AC10+AC11-AC12)</f>
        <v>36.8037090789382</v>
      </c>
      <c r="AD13" s="11" t="n">
        <f aca="false">(1-Time!AD32)*(AD9-AD10+AD11-AD12)</f>
        <v>36.0663399929661</v>
      </c>
      <c r="AE13" s="11" t="n">
        <f aca="false">(1-Time!AE32)*(AE9-AE10+AE11-AE12)</f>
        <v>35.1472363198872</v>
      </c>
      <c r="AF13" s="11" t="n">
        <f aca="false">(1-Time!AF32)*(AF9-AF10+AF11-AF12)</f>
        <v>33.6860271504038</v>
      </c>
      <c r="AG13" s="11" t="n">
        <f aca="false">(1-Time!AG32)*(AG9-AG10+AG11-AG12)</f>
        <v>32.6914500540924</v>
      </c>
      <c r="AH13" s="11" t="n">
        <f aca="false">(1-Time!AH32)*(AH9-AH10+AH11-AH12)</f>
        <v>30.837436556463</v>
      </c>
      <c r="AI13" s="11" t="n">
        <f aca="false">(1-Time!AI32)*(AI9-AI10+AI11-AI12)</f>
        <v>29.1152170271438</v>
      </c>
      <c r="AJ13" s="11" t="n">
        <f aca="false">(1-Time!AJ32)*(AJ9-AJ10+AJ11-AJ12)</f>
        <v>26.4700604620926</v>
      </c>
      <c r="AK13" s="11" t="n">
        <f aca="false">(1-Time!AK32)*(AK9-AK10+AK11-AK12)</f>
        <v>23.7140398353964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2305.54628255608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1.87224719782305</v>
      </c>
      <c r="P7" s="11" t="n">
        <f aca="false">Operations!P79-Tax!P27-Operations!P91-Reserves!P7+Operations!P74+Operations!P92</f>
        <v>50.2819588445858</v>
      </c>
      <c r="Q7" s="11" t="n">
        <f aca="false">Operations!Q79-Tax!Q27-Operations!Q91-Reserves!Q7+Operations!Q74+Operations!Q92</f>
        <v>50.1619722181901</v>
      </c>
      <c r="R7" s="11" t="n">
        <f aca="false">Operations!R79-Tax!R27-Operations!R91-Reserves!R7+Operations!R74+Operations!R92</f>
        <v>50.7934598730592</v>
      </c>
      <c r="S7" s="11" t="n">
        <f aca="false">Operations!S79-Tax!S27-Operations!S91-Reserves!S7+Operations!S74+Operations!S92</f>
        <v>50.3999718686923</v>
      </c>
      <c r="T7" s="11" t="n">
        <f aca="false">Operations!T79-Tax!T27-Operations!T91-Reserves!T7+Operations!T74+Operations!T92</f>
        <v>50.9641440099802</v>
      </c>
      <c r="U7" s="11" t="n">
        <f aca="false">Operations!U79-Tax!U27-Operations!U91-Reserves!U7+Operations!U74+Operations!U92</f>
        <v>50.7204352228832</v>
      </c>
      <c r="V7" s="11" t="n">
        <f aca="false">Operations!V79-Tax!V27-Operations!V91-Reserves!V7+Operations!V74+Operations!V92</f>
        <v>51.6886923217823</v>
      </c>
      <c r="W7" s="11" t="n">
        <f aca="false">Operations!W79-Tax!W27-Operations!W91-Reserves!W7+Operations!W74+Operations!W92</f>
        <v>51.3313570281874</v>
      </c>
      <c r="X7" s="11" t="n">
        <f aca="false">Operations!X79-Tax!X27-Operations!X91-Reserves!X7+Operations!X74+Operations!X92</f>
        <v>49.8511733546825</v>
      </c>
      <c r="Y7" s="11" t="n">
        <f aca="false">Operations!Y79-Tax!Y27-Operations!Y91-Reserves!Y7+Operations!Y74+Operations!Y92</f>
        <v>49.3700292631384</v>
      </c>
      <c r="Z7" s="11" t="n">
        <f aca="false">Operations!Z79-Tax!Z27-Operations!Z91-Reserves!Z7+Operations!Z74+Operations!Z92</f>
        <v>49.7763402001533</v>
      </c>
      <c r="AA7" s="11" t="n">
        <f aca="false">Operations!AA79-Tax!AA27-Operations!AA91-Reserves!AA7+Operations!AA74+Operations!AA92</f>
        <v>49.3752879317933</v>
      </c>
      <c r="AB7" s="11" t="n">
        <f aca="false">Operations!AB79-Tax!AB27-Operations!AB91-Reserves!AB7+Operations!AB74+Operations!AB92</f>
        <v>49.956410656481</v>
      </c>
      <c r="AC7" s="11" t="n">
        <f aca="false">Operations!AC79-Tax!AC27-Operations!AC91-Reserves!AC7+Operations!AC74+Operations!AC92</f>
        <v>49.7514544426898</v>
      </c>
      <c r="AD7" s="11" t="n">
        <f aca="false">Operations!AD79-Tax!AD27-Operations!AD91-Reserves!AD7+Operations!AD74+Operations!AD92</f>
        <v>51.6625426827391</v>
      </c>
      <c r="AE7" s="11" t="n">
        <f aca="false">Operations!AE79-Tax!AE27-Operations!AE91-Reserves!AE7+Operations!AE74+Operations!AE92</f>
        <v>51.7458319376668</v>
      </c>
      <c r="AF7" s="11" t="n">
        <f aca="false">Operations!AF79-Tax!AF27-Operations!AF91-Reserves!AF7+Operations!AF74+Operations!AF92</f>
        <v>51.9066856527928</v>
      </c>
      <c r="AG7" s="11" t="n">
        <f aca="false">Operations!AG79-Tax!AG27-Operations!AG91-Reserves!AG7+Operations!AG74+Operations!AG92</f>
        <v>51.539279151907</v>
      </c>
      <c r="AH7" s="11" t="n">
        <f aca="false">Operations!AH79-Tax!AH27-Operations!AH91-Reserves!AH7+Operations!AH74+Operations!AH92</f>
        <v>52.2087446781833</v>
      </c>
      <c r="AI7" s="11" t="n">
        <f aca="false">Operations!AI79-Tax!AI27-Operations!AI91-Reserves!AI7+Operations!AI74+Operations!AI92</f>
        <v>51.801240750518</v>
      </c>
      <c r="AJ7" s="11" t="n">
        <f aca="false">Operations!AJ79-Tax!AJ27-Operations!AJ91-Reserves!AJ7+Operations!AJ74+Operations!AJ92</f>
        <v>52.4025982886386</v>
      </c>
      <c r="AK7" s="11" t="n">
        <f aca="false">Operations!AK79-Tax!AK27-Operations!AK91-Reserves!AK7+Operations!AK74+Operations!AK92</f>
        <v>52.1645329407755</v>
      </c>
      <c r="AL7" s="11" t="n">
        <f aca="false">Operations!AL79-Tax!AL27-Operations!AL91-Reserves!AL7+Operations!AL74+Operations!AL92</f>
        <v>53.2755760114189</v>
      </c>
      <c r="AM7" s="11" t="n">
        <f aca="false">Operations!AM79-Tax!AM27-Operations!AM91-Reserves!AM7+Operations!AM74+Operations!AM92</f>
        <v>52.4846384492289</v>
      </c>
      <c r="AN7" s="11" t="n">
        <f aca="false">Operations!AN79-Tax!AN27-Operations!AN91-Reserves!AN7+Operations!AN74+Operations!AN92</f>
        <v>42.407025515208</v>
      </c>
      <c r="AO7" s="11" t="n">
        <f aca="false">Operations!AO79-Tax!AO27-Operations!AO91-Reserves!AO7+Operations!AO74+Operations!AO92</f>
        <v>41.5322726830367</v>
      </c>
      <c r="AP7" s="11" t="n">
        <f aca="false">Operations!AP79-Tax!AP27-Operations!AP91-Reserves!AP7+Operations!AP74+Operations!AP92</f>
        <v>41.6216377830038</v>
      </c>
      <c r="AQ7" s="11" t="n">
        <f aca="false">Operations!AQ79-Tax!AQ27-Operations!AQ91-Reserves!AQ7+Operations!AQ74+Operations!AQ92</f>
        <v>41.1745993340732</v>
      </c>
      <c r="AR7" s="11" t="n">
        <f aca="false">Operations!AR79-Tax!AR27-Operations!AR91-Reserves!AR7+Operations!AR74+Operations!AR92</f>
        <v>41.770960831035</v>
      </c>
      <c r="AS7" s="11" t="n">
        <f aca="false">Operations!AS79-Tax!AS27-Operations!AS91-Reserves!AS7+Operations!AS74+Operations!AS92</f>
        <v>41.5056129118261</v>
      </c>
      <c r="AT7" s="11" t="n">
        <f aca="false">Operations!AT79-Tax!AT27-Operations!AT91-Reserves!AT7+Operations!AT74+Operations!AT92</f>
        <v>48.238693031292</v>
      </c>
      <c r="AU7" s="11" t="n">
        <f aca="false">Operations!AU79-Tax!AU27-Operations!AU91-Reserves!AU7+Operations!AU74+Operations!AU92</f>
        <v>43.8015207396234</v>
      </c>
      <c r="AV7" s="11" t="n">
        <f aca="false">Operations!AV79-Tax!AV27-Operations!AV91-Reserves!AV7+Operations!AV74+Operations!AV92</f>
        <v>43.9250195431293</v>
      </c>
      <c r="AW7" s="11" t="n">
        <f aca="false">Operations!AW79-Tax!AW27-Operations!AW91-Reserves!AW7+Operations!AW74+Operations!AW92</f>
        <v>43.5006347551929</v>
      </c>
      <c r="AX7" s="11" t="n">
        <f aca="false">Operations!AX79-Tax!AX27-Operations!AX91-Reserves!AX7+Operations!AX74+Operations!AX92</f>
        <v>44.1754747855326</v>
      </c>
      <c r="AY7" s="11" t="n">
        <f aca="false">Operations!AY79-Tax!AY27-Operations!AY91-Reserves!AY7+Operations!AY74+Operations!AY92</f>
        <v>43.7185522989792</v>
      </c>
      <c r="AZ7" s="11" t="n">
        <f aca="false">Operations!AZ79-Tax!AZ27-Operations!AZ91-Reserves!AZ7+Operations!AZ74+Operations!AZ92</f>
        <v>44.3364424388821</v>
      </c>
      <c r="BA7" s="11" t="n">
        <f aca="false">Operations!BA79-Tax!BA27-Operations!BA91-Reserves!BA7+Operations!BA74+Operations!BA92</f>
        <v>44.0387981074297</v>
      </c>
      <c r="BB7" s="11" t="n">
        <f aca="false">Operations!BB79-Tax!BB27-Operations!BB91-Reserves!BB7+Operations!BB74+Operations!BB92</f>
        <v>46.2859599813229</v>
      </c>
      <c r="BC7" s="11" t="n">
        <f aca="false">Operations!BC79-Tax!BC27-Operations!BC91-Reserves!BC7+Operations!BC74+Operations!BC92</f>
        <v>42.8868801360933</v>
      </c>
      <c r="BD7" s="11" t="n">
        <f aca="false">Operations!BD79-Tax!BD27-Operations!BD91-Reserves!BD7+Operations!BD74+Operations!BD92</f>
        <v>36.7877288372509</v>
      </c>
      <c r="BE7" s="11" t="n">
        <f aca="false">Operations!BE79-Tax!BE27-Operations!BE91-Reserves!BE7+Operations!BE74+Operations!BE92</f>
        <v>36.3547514317289</v>
      </c>
      <c r="BF7" s="11" t="n">
        <f aca="false">Operations!BF79-Tax!BF27-Operations!BF91-Reserves!BF7+Operations!BF74+Operations!BF92</f>
        <v>37.0590535569129</v>
      </c>
      <c r="BG7" s="11" t="n">
        <f aca="false">Operations!BG79-Tax!BG27-Operations!BG91-Reserves!BG7+Operations!BG74+Operations!BG92</f>
        <v>36.5914221765451</v>
      </c>
      <c r="BH7" s="11" t="n">
        <f aca="false">Operations!BH79-Tax!BH27-Operations!BH91-Reserves!BH7+Operations!BH74+Operations!BH92</f>
        <v>37.2325862972185</v>
      </c>
      <c r="BI7" s="11" t="n">
        <f aca="false">Operations!BI79-Tax!BI27-Operations!BI91-Reserves!BI7+Operations!BI74+Operations!BI92</f>
        <v>36.9714857368546</v>
      </c>
      <c r="BJ7" s="11" t="n">
        <f aca="false">Operations!BJ79-Tax!BJ27-Operations!BJ91-Reserves!BJ7+Operations!BJ74+Operations!BJ92</f>
        <v>44.9952970300032</v>
      </c>
      <c r="BK7" s="11" t="n">
        <f aca="false">Operations!BK79-Tax!BK27-Operations!BK91-Reserves!BK7+Operations!BK74+Operations!BK92</f>
        <v>39.7456545221627</v>
      </c>
      <c r="BL7" s="11" t="n">
        <f aca="false">Operations!BL79-Tax!BL27-Operations!BL91-Reserves!BL7+Operations!BL74+Operations!BL92</f>
        <v>40.4938056453036</v>
      </c>
      <c r="BM7" s="11" t="n">
        <f aca="false">Operations!BM79-Tax!BM27-Operations!BM91-Reserves!BM7+Operations!BM74+Operations!BM92</f>
        <v>36.9078074684487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50.1619722181901</v>
      </c>
      <c r="R9" s="11" t="n">
        <f aca="false">R7+R8</f>
        <v>50.7934598730592</v>
      </c>
      <c r="S9" s="11" t="n">
        <f aca="false">S7+S8</f>
        <v>50.3999718686923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52.4846384492289</v>
      </c>
      <c r="AN9" s="11" t="n">
        <f aca="false">AN7+AN8</f>
        <v>42.407025515208</v>
      </c>
      <c r="AO9" s="11" t="n">
        <f aca="false">AO7+AO8</f>
        <v>41.5322726830367</v>
      </c>
      <c r="AP9" s="11" t="n">
        <f aca="false">AP7+AP8</f>
        <v>41.6216377830038</v>
      </c>
      <c r="AQ9" s="11" t="n">
        <f aca="false">AQ7+AQ8</f>
        <v>41.1745993340732</v>
      </c>
      <c r="AR9" s="11" t="n">
        <f aca="false">AR7+AR8</f>
        <v>41.770960831035</v>
      </c>
      <c r="AS9" s="11" t="n">
        <f aca="false">AS7+AS8</f>
        <v>41.5056129118261</v>
      </c>
      <c r="AT9" s="11" t="n">
        <f aca="false">AT7+AT8</f>
        <v>48.238693031292</v>
      </c>
      <c r="AU9" s="11" t="n">
        <f aca="false">AU7+AU8</f>
        <v>43.8015207396234</v>
      </c>
      <c r="AV9" s="11" t="n">
        <f aca="false">AV7+AV8</f>
        <v>43.9250195431293</v>
      </c>
      <c r="AW9" s="11" t="n">
        <f aca="false">AW7+AW8</f>
        <v>43.5006347551929</v>
      </c>
      <c r="AX9" s="11" t="n">
        <f aca="false">AX7+AX8</f>
        <v>44.1754747855326</v>
      </c>
      <c r="AY9" s="11" t="n">
        <f aca="false">AY7+AY8</f>
        <v>43.7185522989792</v>
      </c>
      <c r="AZ9" s="11" t="n">
        <f aca="false">AZ7+AZ8</f>
        <v>44.3364424388821</v>
      </c>
      <c r="BA9" s="11" t="n">
        <f aca="false">BA7+BA8</f>
        <v>44.0387981074297</v>
      </c>
      <c r="BB9" s="11" t="n">
        <f aca="false">BB7+BB8</f>
        <v>46.2859599813229</v>
      </c>
      <c r="BC9" s="11" t="n">
        <f aca="false">BC7+BC8</f>
        <v>42.8868801360933</v>
      </c>
      <c r="BD9" s="11" t="n">
        <f aca="false">BD7+BD8</f>
        <v>36.7877288372509</v>
      </c>
      <c r="BE9" s="11" t="n">
        <f aca="false">BE7+BE8</f>
        <v>36.3547514317289</v>
      </c>
      <c r="BF9" s="11" t="n">
        <f aca="false">BF7+BF8</f>
        <v>37.0590535569129</v>
      </c>
      <c r="BG9" s="11" t="n">
        <f aca="false">BG7+BG8</f>
        <v>36.5914221765451</v>
      </c>
      <c r="BH9" s="11" t="n">
        <f aca="false">BH7+BH8</f>
        <v>37.2325862972185</v>
      </c>
      <c r="BI9" s="11" t="n">
        <f aca="false">BI7+BI8</f>
        <v>36.9714857368546</v>
      </c>
      <c r="BJ9" s="11" t="n">
        <f aca="false">BJ7+BJ8</f>
        <v>44.9952970300032</v>
      </c>
      <c r="BK9" s="11" t="n">
        <f aca="false">BK7+BK8</f>
        <v>39.7456545221627</v>
      </c>
      <c r="BL9" s="11" t="n">
        <f aca="false">BL7+BL8</f>
        <v>40.4938056453036</v>
      </c>
      <c r="BM9" s="11" t="n">
        <f aca="false">BM7+BM8</f>
        <v>36.9078074684487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851.339041941152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36.3580318550115</v>
      </c>
      <c r="AC10" s="11" t="n">
        <f aca="false">Debt!AC121+Debt!AC117</f>
        <v>35.4289637986026</v>
      </c>
      <c r="AD10" s="11" t="n">
        <f aca="false">Debt!AD121+Debt!AD117</f>
        <v>35.982237264332</v>
      </c>
      <c r="AE10" s="11" t="n">
        <f aca="false">Debt!AE121+Debt!AE117</f>
        <v>35.0201110852842</v>
      </c>
      <c r="AF10" s="11" t="n">
        <f aca="false">Debt!AF121+Debt!AF117</f>
        <v>33.9290442030534</v>
      </c>
      <c r="AG10" s="11" t="n">
        <f aca="false">Debt!AG121+Debt!AG117</f>
        <v>32.2223282158534</v>
      </c>
      <c r="AH10" s="11" t="n">
        <f aca="false">Debt!AH121+Debt!AH117</f>
        <v>30.985331974555</v>
      </c>
      <c r="AI10" s="11" t="n">
        <f aca="false">Debt!AI121+Debt!AI117</f>
        <v>28.6883042881434</v>
      </c>
      <c r="AJ10" s="11" t="n">
        <f aca="false">Debt!AJ121+Debt!AJ117</f>
        <v>26.4356894484697</v>
      </c>
      <c r="AK10" s="11" t="n">
        <f aca="false">Debt!AK121+Debt!AK117</f>
        <v>23.030837864091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13.0049557630443</v>
      </c>
      <c r="R13" s="11" t="n">
        <f aca="false">MAX(0,R9-R10)</f>
        <v>13.1686747853812</v>
      </c>
      <c r="S13" s="11" t="n">
        <f aca="false">MAX(0,S9-S10)</f>
        <v>13.0666593761353</v>
      </c>
      <c r="T13" s="11" t="n">
        <f aca="false">MAX(0,T9-T10)</f>
        <v>13.2129262282324</v>
      </c>
      <c r="U13" s="11" t="n">
        <f aca="false">MAX(0,U9-U10)</f>
        <v>13.1497424680305</v>
      </c>
      <c r="V13" s="11" t="n">
        <f aca="false">MAX(0,V9-V10)</f>
        <v>13.400772086624</v>
      </c>
      <c r="W13" s="11" t="n">
        <f aca="false">MAX(0,W9-W10)</f>
        <v>13.3081296023177</v>
      </c>
      <c r="X13" s="11" t="n">
        <f aca="false">MAX(0,X9-X10)</f>
        <v>12.9243782800931</v>
      </c>
      <c r="Y13" s="11" t="n">
        <f aca="false">MAX(0,Y9-Y10)</f>
        <v>12.7996372185932</v>
      </c>
      <c r="Z13" s="11" t="n">
        <f aca="false">MAX(0,Z9-Z10)</f>
        <v>12.9049770916392</v>
      </c>
      <c r="AA13" s="11" t="n">
        <f aca="false">MAX(0,AA9-AA10)</f>
        <v>12.8010005769389</v>
      </c>
      <c r="AB13" s="11" t="n">
        <f aca="false">MAX(0,AB9-AB10)</f>
        <v>13.5983788014695</v>
      </c>
      <c r="AC13" s="11" t="n">
        <f aca="false">MAX(0,AC9-AC10)</f>
        <v>14.3224906440872</v>
      </c>
      <c r="AD13" s="11" t="n">
        <f aca="false">MAX(0,AD9-AD10)</f>
        <v>15.6803054184071</v>
      </c>
      <c r="AE13" s="11" t="n">
        <f aca="false">MAX(0,AE9-AE10)</f>
        <v>16.7257208523825</v>
      </c>
      <c r="AF13" s="11" t="n">
        <f aca="false">MAX(0,AF9-AF10)</f>
        <v>17.9776414497395</v>
      </c>
      <c r="AG13" s="11" t="n">
        <f aca="false">MAX(0,AG9-AG10)</f>
        <v>19.3169509360536</v>
      </c>
      <c r="AH13" s="11" t="n">
        <f aca="false">MAX(0,AH9-AH10)</f>
        <v>21.2234127036283</v>
      </c>
      <c r="AI13" s="11" t="n">
        <f aca="false">MAX(0,AI9-AI10)</f>
        <v>23.1129364623745</v>
      </c>
      <c r="AJ13" s="11" t="n">
        <f aca="false">MAX(0,AJ9-AJ10)</f>
        <v>25.9669088401689</v>
      </c>
      <c r="AK13" s="11" t="n">
        <f aca="false">MAX(0,AK9-AK10)</f>
        <v>29.1336950766846</v>
      </c>
      <c r="AL13" s="11" t="n">
        <f aca="false">MAX(0,AL9-AL10)</f>
        <v>29.5615361760225</v>
      </c>
      <c r="AM13" s="11" t="n">
        <f aca="false">MAX(0,AM9-AM10)</f>
        <v>28.9153465959509</v>
      </c>
      <c r="AN13" s="11" t="n">
        <f aca="false">MAX(0,AN9-AN10)</f>
        <v>23.2750082603438</v>
      </c>
      <c r="AO13" s="11" t="n">
        <f aca="false">MAX(0,AO9-AO10)</f>
        <v>22.6263649354285</v>
      </c>
      <c r="AP13" s="11" t="n">
        <f aca="false">MAX(0,AP9-AP10)</f>
        <v>41.6216377830038</v>
      </c>
      <c r="AQ13" s="11" t="n">
        <f aca="false">MAX(0,AQ9-AQ10)</f>
        <v>41.1745993340732</v>
      </c>
      <c r="AR13" s="11" t="n">
        <f aca="false">MAX(0,AR9-AR10)</f>
        <v>41.770960831035</v>
      </c>
      <c r="AS13" s="11" t="n">
        <f aca="false">MAX(0,AS9-AS10)</f>
        <v>41.5056129118261</v>
      </c>
      <c r="AT13" s="11" t="n">
        <f aca="false">MAX(0,AT9-AT10)</f>
        <v>48.238693031292</v>
      </c>
      <c r="AU13" s="11" t="n">
        <f aca="false">MAX(0,AU9-AU10)</f>
        <v>43.8015207396234</v>
      </c>
      <c r="AV13" s="11" t="n">
        <f aca="false">MAX(0,AV9-AV10)</f>
        <v>43.9250195431293</v>
      </c>
      <c r="AW13" s="11" t="n">
        <f aca="false">MAX(0,AW9-AW10)</f>
        <v>43.5006347551929</v>
      </c>
      <c r="AX13" s="11" t="n">
        <f aca="false">MAX(0,AX9-AX10)</f>
        <v>44.1754747855326</v>
      </c>
      <c r="AY13" s="11" t="n">
        <f aca="false">MAX(0,AY9-AY10)</f>
        <v>43.7185522989792</v>
      </c>
      <c r="AZ13" s="11" t="n">
        <f aca="false">MAX(0,AZ9-AZ10)</f>
        <v>44.3364424388821</v>
      </c>
      <c r="BA13" s="11" t="n">
        <f aca="false">MAX(0,BA9-BA10)</f>
        <v>44.0387981074297</v>
      </c>
      <c r="BB13" s="11" t="n">
        <f aca="false">MAX(0,BB9-BB10)</f>
        <v>46.2859599813229</v>
      </c>
      <c r="BC13" s="11" t="n">
        <f aca="false">MAX(0,BC9-BC10)</f>
        <v>42.8868801360933</v>
      </c>
      <c r="BD13" s="11" t="n">
        <f aca="false">MAX(0,BD9-BD10)</f>
        <v>36.7877288372509</v>
      </c>
      <c r="BE13" s="11" t="n">
        <f aca="false">MAX(0,BE9-BE10)</f>
        <v>36.3547514317289</v>
      </c>
      <c r="BF13" s="11" t="n">
        <f aca="false">MAX(0,BF9-BF10)</f>
        <v>37.0590535569129</v>
      </c>
      <c r="BG13" s="11" t="n">
        <f aca="false">MAX(0,BG9-BG10)</f>
        <v>36.5914221765451</v>
      </c>
      <c r="BH13" s="11" t="n">
        <f aca="false">MAX(0,BH9-BH10)</f>
        <v>37.2325862972185</v>
      </c>
      <c r="BI13" s="11" t="n">
        <f aca="false">MAX(0,BI9-BI10)</f>
        <v>36.9714857368546</v>
      </c>
      <c r="BJ13" s="11" t="n">
        <f aca="false">MAX(0,BJ9-BJ10)</f>
        <v>44.9952970300032</v>
      </c>
      <c r="BK13" s="11" t="n">
        <f aca="false">MAX(0,BK9-BK10)</f>
        <v>39.7456545221627</v>
      </c>
      <c r="BL13" s="11" t="n">
        <f aca="false">MAX(0,BL9-BL10)</f>
        <v>40.4938056453036</v>
      </c>
      <c r="BM13" s="11" t="n">
        <f aca="false">MAX(0,BM9-BM10)</f>
        <v>36.9078074684487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14.997189587262</v>
      </c>
      <c r="Q14" s="11" t="n">
        <f aca="false">Q13-Reserves!Q11+Reserves!Q12</f>
        <v>12.5371871305121</v>
      </c>
      <c r="R14" s="11" t="n">
        <f aca="false">R13-Reserves!R11+Reserves!R12</f>
        <v>13.4601473805023</v>
      </c>
      <c r="S14" s="11" t="n">
        <f aca="false">S13-Reserves!S11+Reserves!S12</f>
        <v>12.6487540869445</v>
      </c>
      <c r="T14" s="11" t="n">
        <f aca="false">T13-Reserves!T11+Reserves!T12</f>
        <v>13.3934512551275</v>
      </c>
      <c r="U14" s="11" t="n">
        <f aca="false">U13-Reserves!U11+Reserves!U12</f>
        <v>12.4325149877249</v>
      </c>
      <c r="V14" s="11" t="n">
        <f aca="false">V13-Reserves!V11+Reserves!V12</f>
        <v>13.6654648959126</v>
      </c>
      <c r="W14" s="11" t="n">
        <f aca="false">W13-Reserves!W11+Reserves!W12</f>
        <v>14.404561953598</v>
      </c>
      <c r="X14" s="11" t="n">
        <f aca="false">X13-Reserves!X11+Reserves!X12</f>
        <v>13.2807813101373</v>
      </c>
      <c r="Y14" s="11" t="n">
        <f aca="false">Y13-Reserves!Y11+Reserves!Y12</f>
        <v>12.4986661546243</v>
      </c>
      <c r="Z14" s="11" t="n">
        <f aca="false">Z13-Reserves!Z11+Reserves!Z12</f>
        <v>13.2020528452989</v>
      </c>
      <c r="AA14" s="11" t="n">
        <f aca="false">AA13-Reserves!AA11+Reserves!AA12</f>
        <v>12.3705392998171</v>
      </c>
      <c r="AB14" s="11" t="n">
        <f aca="false">AB13-Reserves!AB11+Reserves!AB12</f>
        <v>14.3883310568387</v>
      </c>
      <c r="AC14" s="11" t="n">
        <f aca="false">AC13-Reserves!AC11+Reserves!AC12</f>
        <v>13.7335779417561</v>
      </c>
      <c r="AD14" s="11" t="n">
        <f aca="false">AD13-Reserves!AD11+Reserves!AD12</f>
        <v>16.4176745043792</v>
      </c>
      <c r="AE14" s="11" t="n">
        <f aca="false">AE13-Reserves!AE11+Reserves!AE12</f>
        <v>17.6448245254615</v>
      </c>
      <c r="AF14" s="11" t="n">
        <f aca="false">AF13-Reserves!AF11+Reserves!AF12</f>
        <v>19.4388506192228</v>
      </c>
      <c r="AG14" s="11" t="n">
        <f aca="false">AG13-Reserves!AG11+Reserves!AG12</f>
        <v>20.3115280323651</v>
      </c>
      <c r="AH14" s="11" t="n">
        <f aca="false">AH13-Reserves!AH11+Reserves!AH12</f>
        <v>23.0774262012577</v>
      </c>
      <c r="AI14" s="11" t="n">
        <f aca="false">AI13-Reserves!AI11+Reserves!AI12</f>
        <v>24.8351559916937</v>
      </c>
      <c r="AJ14" s="11" t="n">
        <f aca="false">AJ13-Reserves!AJ11+Reserves!AJ12</f>
        <v>28.6120654052201</v>
      </c>
      <c r="AK14" s="11" t="n">
        <f aca="false">AK13-Reserves!AK11+Reserves!AK12</f>
        <v>31.8897157033808</v>
      </c>
      <c r="AL14" s="11" t="n">
        <f aca="false">AL13-Reserves!AL11+Reserves!AL12</f>
        <v>29.7062841581408</v>
      </c>
      <c r="AM14" s="11" t="n">
        <f aca="false">AM13-Reserves!AM11+Reserves!AM12</f>
        <v>33.3526211943647</v>
      </c>
      <c r="AN14" s="11" t="n">
        <f aca="false">AN13-Reserves!AN11+Reserves!AN12</f>
        <v>23.5011177675998</v>
      </c>
      <c r="AO14" s="11" t="n">
        <f aca="false">AO13-Reserves!AO11+Reserves!AO12</f>
        <v>41.5322726830367</v>
      </c>
      <c r="AP14" s="11" t="n">
        <f aca="false">AP13-Reserves!AP11+Reserves!AP12</f>
        <v>41.6216377830038</v>
      </c>
      <c r="AQ14" s="11" t="n">
        <f aca="false">AQ13-Reserves!AQ11+Reserves!AQ12</f>
        <v>41.1745993340732</v>
      </c>
      <c r="AR14" s="11" t="n">
        <f aca="false">AR13-Reserves!AR11+Reserves!AR12</f>
        <v>41.770960831035</v>
      </c>
      <c r="AS14" s="11" t="n">
        <f aca="false">AS13-Reserves!AS11+Reserves!AS12</f>
        <v>41.5056129118261</v>
      </c>
      <c r="AT14" s="11" t="n">
        <f aca="false">AT13-Reserves!AT11+Reserves!AT12</f>
        <v>48.238693031292</v>
      </c>
      <c r="AU14" s="11" t="n">
        <f aca="false">AU13-Reserves!AU11+Reserves!AU12</f>
        <v>43.8015207396234</v>
      </c>
      <c r="AV14" s="11" t="n">
        <f aca="false">AV13-Reserves!AV11+Reserves!AV12</f>
        <v>43.9250195431293</v>
      </c>
      <c r="AW14" s="11" t="n">
        <f aca="false">AW13-Reserves!AW11+Reserves!AW12</f>
        <v>43.5006347551929</v>
      </c>
      <c r="AX14" s="11" t="n">
        <f aca="false">AX13-Reserves!AX11+Reserves!AX12</f>
        <v>44.1754747855326</v>
      </c>
      <c r="AY14" s="11" t="n">
        <f aca="false">AY13-Reserves!AY11+Reserves!AY12</f>
        <v>43.7185522989792</v>
      </c>
      <c r="AZ14" s="11" t="n">
        <f aca="false">AZ13-Reserves!AZ11+Reserves!AZ12</f>
        <v>44.3364424388821</v>
      </c>
      <c r="BA14" s="11" t="n">
        <f aca="false">BA13-Reserves!BA11+Reserves!BA12</f>
        <v>44.0387981074297</v>
      </c>
      <c r="BB14" s="11" t="n">
        <f aca="false">BB13-Reserves!BB11+Reserves!BB12</f>
        <v>46.2859599813229</v>
      </c>
      <c r="BC14" s="11" t="n">
        <f aca="false">BC13-Reserves!BC11+Reserves!BC12</f>
        <v>42.8868801360933</v>
      </c>
      <c r="BD14" s="11" t="n">
        <f aca="false">BD13-Reserves!BD11+Reserves!BD12</f>
        <v>36.7877288372509</v>
      </c>
      <c r="BE14" s="11" t="n">
        <f aca="false">BE13-Reserves!BE11+Reserves!BE12</f>
        <v>36.3547514317289</v>
      </c>
      <c r="BF14" s="11" t="n">
        <f aca="false">BF13-Reserves!BF11+Reserves!BF12</f>
        <v>37.0590535569129</v>
      </c>
      <c r="BG14" s="11" t="n">
        <f aca="false">BG13-Reserves!BG11+Reserves!BG12</f>
        <v>36.5914221765451</v>
      </c>
      <c r="BH14" s="11" t="n">
        <f aca="false">BH13-Reserves!BH11+Reserves!BH12</f>
        <v>37.2325862972185</v>
      </c>
      <c r="BI14" s="11" t="n">
        <f aca="false">BI13-Reserves!BI11+Reserves!BI12</f>
        <v>36.9714857368546</v>
      </c>
      <c r="BJ14" s="11" t="n">
        <f aca="false">BJ13-Reserves!BJ11+Reserves!BJ12</f>
        <v>44.9952970300032</v>
      </c>
      <c r="BK14" s="11" t="n">
        <f aca="false">BK13-Reserves!BK11+Reserves!BK12</f>
        <v>39.7456545221627</v>
      </c>
      <c r="BL14" s="11" t="n">
        <f aca="false">BL13-Reserves!BL11+Reserves!BL12</f>
        <v>40.4938056453036</v>
      </c>
      <c r="BM14" s="11" t="n">
        <f aca="false">BM13-Reserves!BM11+Reserves!BM12</f>
        <v>36.9078074684487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14.997189587262</v>
      </c>
      <c r="Q15" s="11" t="n">
        <f aca="false">Q14-Reserves!Q14+Reserves!Q15</f>
        <v>12.5371871305121</v>
      </c>
      <c r="R15" s="11" t="n">
        <f aca="false">R14-Reserves!R14+Reserves!R15</f>
        <v>13.4601473805023</v>
      </c>
      <c r="S15" s="11" t="n">
        <f aca="false">S14-Reserves!S14+Reserves!S15</f>
        <v>12.6487540869445</v>
      </c>
      <c r="T15" s="11" t="n">
        <f aca="false">T14-Reserves!T14+Reserves!T15</f>
        <v>13.3934512551275</v>
      </c>
      <c r="U15" s="11" t="n">
        <f aca="false">U14-Reserves!U14+Reserves!U15</f>
        <v>12.4325149877249</v>
      </c>
      <c r="V15" s="11" t="n">
        <f aca="false">V14-Reserves!V14+Reserves!V15</f>
        <v>13.6654648959126</v>
      </c>
      <c r="W15" s="11" t="n">
        <f aca="false">W14-Reserves!W14+Reserves!W15</f>
        <v>14.404561953598</v>
      </c>
      <c r="X15" s="11" t="n">
        <f aca="false">X14-Reserves!X14+Reserves!X15</f>
        <v>13.2807813101373</v>
      </c>
      <c r="Y15" s="11" t="n">
        <f aca="false">Y14-Reserves!Y14+Reserves!Y15</f>
        <v>12.4986661546243</v>
      </c>
      <c r="Z15" s="11" t="n">
        <f aca="false">Z14-Reserves!Z14+Reserves!Z15</f>
        <v>13.2020528452989</v>
      </c>
      <c r="AA15" s="11" t="n">
        <f aca="false">AA14-Reserves!AA14+Reserves!AA15</f>
        <v>12.3705392998171</v>
      </c>
      <c r="AB15" s="11" t="n">
        <f aca="false">AB14-Reserves!AB14+Reserves!AB15</f>
        <v>14.3883310568387</v>
      </c>
      <c r="AC15" s="11" t="n">
        <f aca="false">AC14-Reserves!AC14+Reserves!AC15</f>
        <v>13.7335779417561</v>
      </c>
      <c r="AD15" s="11" t="n">
        <f aca="false">AD14-Reserves!AD14+Reserves!AD15</f>
        <v>16.4176745043792</v>
      </c>
      <c r="AE15" s="11" t="n">
        <f aca="false">AE14-Reserves!AE14+Reserves!AE15</f>
        <v>17.6448245254615</v>
      </c>
      <c r="AF15" s="11" t="n">
        <f aca="false">AF14-Reserves!AF14+Reserves!AF15</f>
        <v>19.4388506192228</v>
      </c>
      <c r="AG15" s="11" t="n">
        <f aca="false">AG14-Reserves!AG14+Reserves!AG15</f>
        <v>20.3115280323651</v>
      </c>
      <c r="AH15" s="11" t="n">
        <f aca="false">AH14-Reserves!AH14+Reserves!AH15</f>
        <v>23.0774262012577</v>
      </c>
      <c r="AI15" s="11" t="n">
        <f aca="false">AI14-Reserves!AI14+Reserves!AI15</f>
        <v>24.8351559916937</v>
      </c>
      <c r="AJ15" s="11" t="n">
        <f aca="false">AJ14-Reserves!AJ14+Reserves!AJ15</f>
        <v>28.6120654052201</v>
      </c>
      <c r="AK15" s="11" t="n">
        <f aca="false">AK14-Reserves!AK14+Reserves!AK15</f>
        <v>31.8897157033808</v>
      </c>
      <c r="AL15" s="11" t="n">
        <f aca="false">AL14-Reserves!AL14+Reserves!AL15</f>
        <v>29.7062841581408</v>
      </c>
      <c r="AM15" s="11" t="n">
        <f aca="false">AM14-Reserves!AM14+Reserves!AM15</f>
        <v>33.3526211943647</v>
      </c>
      <c r="AN15" s="11" t="n">
        <f aca="false">AN14-Reserves!AN14+Reserves!AN15</f>
        <v>23.5011177675998</v>
      </c>
      <c r="AO15" s="11" t="n">
        <f aca="false">AO14-Reserves!AO14+Reserves!AO15</f>
        <v>41.5322726830367</v>
      </c>
      <c r="AP15" s="11" t="n">
        <f aca="false">AP14-Reserves!AP14+Reserves!AP15</f>
        <v>41.6216377830038</v>
      </c>
      <c r="AQ15" s="11" t="n">
        <f aca="false">AQ14-Reserves!AQ14+Reserves!AQ15</f>
        <v>41.1745993340732</v>
      </c>
      <c r="AR15" s="11" t="n">
        <f aca="false">AR14-Reserves!AR14+Reserves!AR15</f>
        <v>41.770960831035</v>
      </c>
      <c r="AS15" s="11" t="n">
        <f aca="false">AS14-Reserves!AS14+Reserves!AS15</f>
        <v>41.5056129118261</v>
      </c>
      <c r="AT15" s="11" t="n">
        <f aca="false">AT14-Reserves!AT14+Reserves!AT15</f>
        <v>48.238693031292</v>
      </c>
      <c r="AU15" s="11" t="n">
        <f aca="false">AU14-Reserves!AU14+Reserves!AU15</f>
        <v>43.8015207396234</v>
      </c>
      <c r="AV15" s="11" t="n">
        <f aca="false">AV14-Reserves!AV14+Reserves!AV15</f>
        <v>43.9250195431293</v>
      </c>
      <c r="AW15" s="11" t="n">
        <f aca="false">AW14-Reserves!AW14+Reserves!AW15</f>
        <v>43.5006347551929</v>
      </c>
      <c r="AX15" s="11" t="n">
        <f aca="false">AX14-Reserves!AX14+Reserves!AX15</f>
        <v>44.1754747855326</v>
      </c>
      <c r="AY15" s="11" t="n">
        <f aca="false">AY14-Reserves!AY14+Reserves!AY15</f>
        <v>43.7185522989792</v>
      </c>
      <c r="AZ15" s="11" t="n">
        <f aca="false">AZ14-Reserves!AZ14+Reserves!AZ15</f>
        <v>44.3364424388821</v>
      </c>
      <c r="BA15" s="11" t="n">
        <f aca="false">BA14-Reserves!BA14+Reserves!BA15</f>
        <v>43.543829720821</v>
      </c>
      <c r="BB15" s="11" t="n">
        <f aca="false">BB14-Reserves!BB14+Reserves!BB15</f>
        <v>44.7848097266784</v>
      </c>
      <c r="BC15" s="11" t="n">
        <f aca="false">BC14-Reserves!BC14+Reserves!BC15</f>
        <v>41.3693070627511</v>
      </c>
      <c r="BD15" s="11" t="n">
        <f aca="false">BD14-Reserves!BD14+Reserves!BD15</f>
        <v>35.2535532770043</v>
      </c>
      <c r="BE15" s="11" t="n">
        <f aca="false">BE14-Reserves!BE14+Reserves!BE15</f>
        <v>34.8037917507731</v>
      </c>
      <c r="BF15" s="11" t="n">
        <f aca="false">BF14-Reserves!BF14+Reserves!BF15</f>
        <v>35.4911261343409</v>
      </c>
      <c r="BG15" s="11" t="n">
        <f aca="false">BG14-Reserves!BG14+Reserves!BG15</f>
        <v>35.0063413826083</v>
      </c>
      <c r="BH15" s="11" t="n">
        <f aca="false">BH14-Reserves!BH14+Reserves!BH15</f>
        <v>35.6301644713499</v>
      </c>
      <c r="BI15" s="11" t="n">
        <f aca="false">BI14-Reserves!BI14+Reserves!BI15</f>
        <v>35.3515331654512</v>
      </c>
      <c r="BJ15" s="11" t="n">
        <f aca="false">BJ14-Reserves!BJ14+Reserves!BJ15</f>
        <v>43.3576219239654</v>
      </c>
      <c r="BK15" s="11" t="n">
        <f aca="false">BK14-Reserves!BK14+Reserves!BK15</f>
        <v>38.0900629941884</v>
      </c>
      <c r="BL15" s="11" t="n">
        <f aca="false">BL14-Reserves!BL14+Reserves!BL15</f>
        <v>38.8201016869331</v>
      </c>
      <c r="BM15" s="11" t="n">
        <f aca="false">BM14-Reserves!BM14+Reserves!BM15</f>
        <v>54.8489876304097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1.35000000010074</v>
      </c>
      <c r="R17" s="6" t="n">
        <f aca="false">IF(Debt!R121&gt;0.000000001,R7/Debt!R121,0)</f>
        <v>1.35000000012476</v>
      </c>
      <c r="S17" s="6" t="n">
        <f aca="false">IF(Debt!S121&gt;0.000000001,S7/Debt!S121,0)</f>
        <v>1.35000000010019</v>
      </c>
      <c r="T17" s="6" t="n">
        <f aca="false">IF(Debt!T121&gt;0.000000001,T7/Debt!T121,0)</f>
        <v>1.3500000001224</v>
      </c>
      <c r="U17" s="6" t="n">
        <f aca="false">IF(Debt!U121&gt;0.000000001,U7/Debt!U121,0)</f>
        <v>1.350000000102</v>
      </c>
      <c r="V17" s="6" t="n">
        <f aca="false">IF(Debt!V121&gt;0.000000001,V7/Debt!V121,0)</f>
        <v>1.35000000011279</v>
      </c>
      <c r="W17" s="6" t="n">
        <f aca="false">IF(Debt!W121&gt;0.000000001,W7/Debt!W121,0)</f>
        <v>1.35000000008582</v>
      </c>
      <c r="X17" s="6" t="n">
        <f aca="false">IF(Debt!X121&gt;0.000000001,X7/Debt!X121,0)</f>
        <v>1.35000000010797</v>
      </c>
      <c r="Y17" s="6" t="n">
        <f aca="false">IF(Debt!Y121&gt;0.000000001,Y7/Debt!Y121,0)</f>
        <v>1.3500000000821</v>
      </c>
      <c r="Z17" s="6" t="n">
        <f aca="false">IF(Debt!Z121&gt;0.000000001,Z7/Debt!Z121,0)</f>
        <v>1.35000000009924</v>
      </c>
      <c r="AA17" s="6" t="n">
        <f aca="false">IF(Debt!AA121&gt;0.000000001,AA7/Debt!AA121,0)</f>
        <v>1.35000000007491</v>
      </c>
      <c r="AB17" s="6" t="n">
        <f aca="false">IF(Debt!AB121&gt;0.000000001,AB7/Debt!AB121,0)</f>
        <v>1.3740130614247</v>
      </c>
      <c r="AC17" s="6" t="n">
        <f aca="false">IF(Debt!AC121&gt;0.000000001,AC7/Debt!AC121,0)</f>
        <v>1.40425937166845</v>
      </c>
      <c r="AD17" s="6" t="n">
        <f aca="false">IF(Debt!AD121&gt;0.000000001,AD7/Debt!AD121,0)</f>
        <v>1.4357790568501</v>
      </c>
      <c r="AE17" s="6" t="n">
        <f aca="false">IF(Debt!AE121&gt;0.000000001,AE7/Debt!AE121,0)</f>
        <v>1.47760330661575</v>
      </c>
      <c r="AF17" s="6" t="n">
        <f aca="false">IF(Debt!AF121&gt;0.000000001,AF7/Debt!AF121,0)</f>
        <v>1.52985994365623</v>
      </c>
      <c r="AG17" s="6" t="n">
        <f aca="false">IF(Debt!AG121&gt;0.000000001,AG7/Debt!AG121,0)</f>
        <v>1.59948960877848</v>
      </c>
      <c r="AH17" s="6" t="n">
        <f aca="false">IF(Debt!AH121&gt;0.000000001,AH7/Debt!AH121,0)</f>
        <v>1.6849503087802</v>
      </c>
      <c r="AI17" s="6" t="n">
        <f aca="false">IF(Debt!AI121&gt;0.000000001,AI7/Debt!AI121,0)</f>
        <v>1.8056571148378</v>
      </c>
      <c r="AJ17" s="6" t="n">
        <f aca="false">IF(Debt!AJ121&gt;0.000000001,AJ7/Debt!AJ121,0)</f>
        <v>1.98226713136366</v>
      </c>
      <c r="AK17" s="6" t="n">
        <f aca="false">IF(Debt!AK121&gt;0.000000001,AK7/Debt!AK121,0)</f>
        <v>2.26498633044128</v>
      </c>
      <c r="AL17" s="6" t="n">
        <f aca="false">IF(Debt!AL121&gt;0.000000001,AL7/Debt!AL121,0)</f>
        <v>2.24658372766575</v>
      </c>
      <c r="AM17" s="6" t="n">
        <f aca="false">IF(Debt!AM121&gt;0.000000001,AM7/Debt!AM121,0)</f>
        <v>2.22682288360434</v>
      </c>
      <c r="AN17" s="6" t="n">
        <f aca="false">IF(Debt!AN121&gt;0.000000001,AN7/Debt!AN121,0)</f>
        <v>2.21654752608099</v>
      </c>
      <c r="AO17" s="6" t="n">
        <f aca="false">IF(Debt!AO121&gt;0.000000001,AO7/Debt!AO121,0)</f>
        <v>2.19678807479059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1.35000000011087</v>
      </c>
      <c r="R18" s="6" t="n">
        <f aca="false">IF(Debt!R121&gt;0.000000001,IF(Debt!Q121&gt;0.000000001,(R7+Q7)/(Debt!R121+Debt!Q121),R17),0)</f>
        <v>1.35000000011283</v>
      </c>
      <c r="S18" s="6" t="n">
        <f aca="false">IF(Debt!S121&gt;0.000000001,IF(Debt!R121&gt;0.000000001,(S7+R7)/(Debt!S121+Debt!R121),S17),0)</f>
        <v>1.35000000011252</v>
      </c>
      <c r="T18" s="6" t="n">
        <f aca="false">IF(Debt!T121&gt;0.000000001,IF(Debt!S121&gt;0.000000001,(T7+S7)/(Debt!T121+Debt!S121),T17),0)</f>
        <v>1.35000000011136</v>
      </c>
      <c r="U18" s="6" t="n">
        <f aca="false">IF(Debt!U121&gt;0.000000001,IF(Debt!T121&gt;0.000000001,(U7+T7)/(Debt!U121+Debt!T121),U17),0)</f>
        <v>1.35000000011222</v>
      </c>
      <c r="V18" s="6" t="n">
        <f aca="false">IF(Debt!V121&gt;0.000000001,IF(Debt!U121&gt;0.000000001,(V7+U7)/(Debt!V121+Debt!U121),V17),0)</f>
        <v>1.35000000010744</v>
      </c>
      <c r="W18" s="6" t="n">
        <f aca="false">IF(Debt!W121&gt;0.000000001,IF(Debt!V121&gt;0.000000001,(W7+V7)/(Debt!W121+Debt!V121),W17),0)</f>
        <v>1.35000000009935</v>
      </c>
      <c r="X18" s="6" t="n">
        <f aca="false">IF(Debt!X121&gt;0.000000001,IF(Debt!W121&gt;0.000000001,(X7+W7)/(Debt!X121+Debt!W121),X17),0)</f>
        <v>1.35000000009673</v>
      </c>
      <c r="Y18" s="6" t="n">
        <f aca="false">IF(Debt!Y121&gt;0.000000001,IF(Debt!X121&gt;0.000000001,(Y7+X7)/(Debt!Y121+Debt!X121),Y17),0)</f>
        <v>1.3500000000951</v>
      </c>
      <c r="Z18" s="6" t="n">
        <f aca="false">IF(Debt!Z121&gt;0.000000001,IF(Debt!Y121&gt;0.000000001,(Z7+Y7)/(Debt!Z121+Debt!Y121),Z17),0)</f>
        <v>1.35000000009071</v>
      </c>
      <c r="AA18" s="6" t="n">
        <f aca="false">IF(Debt!AA121&gt;0.000000001,IF(Debt!Z121&gt;0.000000001,(AA7+Z7)/(Debt!AA121+Debt!Z121),AA17),0)</f>
        <v>1.35000000008713</v>
      </c>
      <c r="AB18" s="6" t="n">
        <f aca="false">IF(Debt!AB121&gt;0.000000001,IF(Debt!AA121&gt;0.000000001,(AB7+AA7)/(Debt!AB121+Debt!AA121),AB17),0)</f>
        <v>1.36197092954693</v>
      </c>
      <c r="AC18" s="6" t="n">
        <f aca="false">IF(Debt!AC121&gt;0.000000001,IF(Debt!AB121&gt;0.000000001,(AC7+AB7)/(Debt!AC121+Debt!AB121),AC17),0)</f>
        <v>1.38894049251316</v>
      </c>
      <c r="AD18" s="6" t="n">
        <f aca="false">IF(Debt!AD121&gt;0.000000001,IF(Debt!AC121&gt;0.000000001,(AD7+AC7)/(Debt!AD121+Debt!AC121),AD17),0)</f>
        <v>1.42014131699106</v>
      </c>
      <c r="AE18" s="6" t="n">
        <f aca="false">IF(Debt!AE121&gt;0.000000001,IF(Debt!AD121&gt;0.000000001,(AE7+AD7)/(Debt!AE121+Debt!AD121),AE17),0)</f>
        <v>1.45640780937585</v>
      </c>
      <c r="AF18" s="6" t="n">
        <f aca="false">IF(Debt!AF121&gt;0.000000001,IF(Debt!AE121&gt;0.000000001,(AF7+AE7)/(Debt!AF121+Debt!AE121),AF17),0)</f>
        <v>1.50331816476934</v>
      </c>
      <c r="AG18" s="6" t="n">
        <f aca="false">IF(Debt!AG121&gt;0.000000001,IF(Debt!AF121&gt;0.000000001,(AG7+AF7)/(Debt!AG121+Debt!AF121),AG17),0)</f>
        <v>1.56377654796976</v>
      </c>
      <c r="AH18" s="6" t="n">
        <f aca="false">IF(Debt!AH121&gt;0.000000001,IF(Debt!AG121&gt;0.000000001,(AH7+AG7)/(Debt!AH121+Debt!AG121),AH17),0)</f>
        <v>1.64138371073312</v>
      </c>
      <c r="AI18" s="6" t="n">
        <f aca="false">IF(Debt!AI121&gt;0.000000001,IF(Debt!AH121&gt;0.000000001,(AI7+AH7)/(Debt!AI121+Debt!AH121),AI17),0)</f>
        <v>1.74298051774192</v>
      </c>
      <c r="AJ18" s="6" t="n">
        <f aca="false">IF(Debt!AJ121&gt;0.000000001,IF(Debt!AI121&gt;0.000000001,(AJ7+AI7)/(Debt!AJ121+Debt!AI121),AJ17),0)</f>
        <v>1.8903535824536</v>
      </c>
      <c r="AK18" s="6" t="n">
        <f aca="false">IF(Debt!AK121&gt;0.000000001,IF(Debt!AJ121&gt;0.000000001,(AK7+AJ7)/(Debt!AK121+Debt!AJ121),AK17),0)</f>
        <v>2.11389674817262</v>
      </c>
      <c r="AL18" s="6" t="n">
        <f aca="false">IF(Debt!AL121&gt;0.000000001,IF(Debt!AK121&gt;0.000000001,(AL7+AK7)/(Debt!AL121+Debt!AK121),AL17),0)</f>
        <v>2.25565054699781</v>
      </c>
      <c r="AM18" s="6" t="n">
        <f aca="false">IF(Debt!AM121&gt;0.000000001,IF(Debt!AL121&gt;0.000000001,(AM7+AL7)/(Debt!AM121+Debt!AL121),AM17),0)</f>
        <v>2.23673355247046</v>
      </c>
      <c r="AN18" s="6" t="n">
        <f aca="false">IF(Debt!AN121&gt;0.000000001,IF(Debt!AM121&gt;0.000000001,(AN7+AM7)/(Debt!AN121+Debt!AM121),AN17),0)</f>
        <v>2.22221908288856</v>
      </c>
      <c r="AO18" s="6" t="n">
        <f aca="false">IF(Debt!AO121&gt;0.000000001,IF(Debt!AN121&gt;0.000000001,(AO7+AN7)/(Debt!AO121+Debt!AN121),AO17),0)</f>
        <v>2.20672652866288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94.6658232061352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6.18526964990857</v>
      </c>
      <c r="AB29" s="11" t="n">
        <f aca="false">IF(AND(AB24=1,Time!AB21&gt;=2027,Inputs!$F$51=1),MIN(Inputs!$F$109*AB15,Debt!AB81),0)</f>
        <v>7.19416552841933</v>
      </c>
      <c r="AC29" s="11" t="n">
        <f aca="false">IF(AND(AC24=1,Time!AC21&gt;=2027,Inputs!$F$51=1),MIN(Inputs!$F$109*AC15,Debt!AC81),0)</f>
        <v>6.86678897087803</v>
      </c>
      <c r="AD29" s="11" t="n">
        <f aca="false">IF(AND(AD24=1,Time!AD21&gt;=2027,Inputs!$F$51=1),MIN(Inputs!$F$109*AD15,Debt!AD81),0)</f>
        <v>8.2088372521896</v>
      </c>
      <c r="AE29" s="11" t="n">
        <f aca="false">IF(AND(AE24=1,Time!AE21&gt;=2027,Inputs!$F$51=1),MIN(Inputs!$F$109*AE15,Debt!AE81),0)</f>
        <v>8.82241226273076</v>
      </c>
      <c r="AF29" s="11" t="n">
        <f aca="false">IF(AND(AF24=1,Time!AF21&gt;=2027,Inputs!$F$51=1),MIN(Inputs!$F$109*AF15,Debt!AF81),0)</f>
        <v>9.71942530961141</v>
      </c>
      <c r="AG29" s="11" t="n">
        <f aca="false">IF(AND(AG24=1,Time!AG21&gt;=2027,Inputs!$F$51=1),MIN(Inputs!$F$109*AG15,Debt!AG81),0)</f>
        <v>10.1557640161825</v>
      </c>
      <c r="AH29" s="11" t="n">
        <f aca="false">IF(AND(AH24=1,Time!AH21&gt;=2027,Inputs!$F$51=1),MIN(Inputs!$F$109*AH15,Debt!AH81),0)</f>
        <v>11.5387131006289</v>
      </c>
      <c r="AI29" s="11" t="n">
        <f aca="false">IF(AND(AI24=1,Time!AI21&gt;=2027,Inputs!$F$51=1),MIN(Inputs!$F$109*AI15,Debt!AI81),0)</f>
        <v>12.4175779958468</v>
      </c>
      <c r="AJ29" s="11" t="n">
        <f aca="false">IF(AND(AJ24=1,Time!AJ21&gt;=2027,Inputs!$F$51=1),MIN(Inputs!$F$109*AJ15,Debt!AJ81),0)</f>
        <v>13.5568691197393</v>
      </c>
      <c r="AK29" s="11" t="n">
        <f aca="false">IF(AND(AK24=1,Time!AK21&gt;=2027,Inputs!$F$51=1),MIN(Inputs!$F$109*AK15,Debt!AK81),0)</f>
        <v>0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1396.78731284589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14.997189587262</v>
      </c>
      <c r="Q31" s="11" t="n">
        <f aca="false">IF(Q24=1,Q15-Q29,0)</f>
        <v>12.5371871305121</v>
      </c>
      <c r="R31" s="11" t="n">
        <f aca="false">IF(R24=1,R15-R29,0)</f>
        <v>13.4601473805023</v>
      </c>
      <c r="S31" s="11" t="n">
        <f aca="false">IF(S24=1,S15-S29,0)</f>
        <v>12.6487540869445</v>
      </c>
      <c r="T31" s="11" t="n">
        <f aca="false">IF(T24=1,T15-T29,0)</f>
        <v>13.3934512551275</v>
      </c>
      <c r="U31" s="11" t="n">
        <f aca="false">IF(U24=1,U15-U29,0)</f>
        <v>12.4325149877249</v>
      </c>
      <c r="V31" s="11" t="n">
        <f aca="false">IF(V24=1,V15-V29,0)</f>
        <v>13.6654648959126</v>
      </c>
      <c r="W31" s="11" t="n">
        <f aca="false">IF(W24=1,W15-W29,0)</f>
        <v>14.404561953598</v>
      </c>
      <c r="X31" s="11" t="n">
        <f aca="false">IF(X24=1,X15-X29,0)</f>
        <v>13.2807813101373</v>
      </c>
      <c r="Y31" s="11" t="n">
        <f aca="false">IF(Y24=1,Y15-Y29,0)</f>
        <v>12.4986661546243</v>
      </c>
      <c r="Z31" s="11" t="n">
        <f aca="false">IF(Z24=1,Z15-Z29,0)</f>
        <v>13.2020528452989</v>
      </c>
      <c r="AA31" s="11" t="n">
        <f aca="false">IF(AA24=1,AA15-AA29,0)</f>
        <v>6.18526964990857</v>
      </c>
      <c r="AB31" s="11" t="n">
        <f aca="false">IF(AB24=1,AB15-AB29,0)</f>
        <v>7.19416552841933</v>
      </c>
      <c r="AC31" s="11" t="n">
        <f aca="false">IF(AC24=1,AC15-AC29,0)</f>
        <v>6.86678897087803</v>
      </c>
      <c r="AD31" s="11" t="n">
        <f aca="false">IF(AD24=1,AD15-AD29,0)</f>
        <v>8.2088372521896</v>
      </c>
      <c r="AE31" s="11" t="n">
        <f aca="false">IF(AE24=1,AE15-AE29,0)</f>
        <v>8.82241226273076</v>
      </c>
      <c r="AF31" s="11" t="n">
        <f aca="false">IF(AF24=1,AF15-AF29,0)</f>
        <v>9.71942530961141</v>
      </c>
      <c r="AG31" s="11" t="n">
        <f aca="false">IF(AG24=1,AG15-AG29,0)</f>
        <v>10.1557640161825</v>
      </c>
      <c r="AH31" s="11" t="n">
        <f aca="false">IF(AH24=1,AH15-AH29,0)</f>
        <v>11.5387131006289</v>
      </c>
      <c r="AI31" s="11" t="n">
        <f aca="false">IF(AI24=1,AI15-AI29,0)</f>
        <v>12.4175779958468</v>
      </c>
      <c r="AJ31" s="11" t="n">
        <f aca="false">IF(AJ24=1,AJ15-AJ29,0)</f>
        <v>15.0551962854809</v>
      </c>
      <c r="AK31" s="11" t="n">
        <f aca="false">IF(AK24=1,AK15-AK29,0)</f>
        <v>31.8897157033808</v>
      </c>
      <c r="AL31" s="11" t="n">
        <f aca="false">IF(AL24=1,AL15-AL29,0)</f>
        <v>29.7062841581408</v>
      </c>
      <c r="AM31" s="11" t="n">
        <f aca="false">IF(AM24=1,AM15-AM29,0)</f>
        <v>33.3526211943647</v>
      </c>
      <c r="AN31" s="11" t="n">
        <f aca="false">IF(AN24=1,AN15-AN29,0)</f>
        <v>23.5011177675998</v>
      </c>
      <c r="AO31" s="11" t="n">
        <f aca="false">IF(AO24=1,AO15-AO29,0)</f>
        <v>41.5322726830367</v>
      </c>
      <c r="AP31" s="11" t="n">
        <f aca="false">IF(AP24=1,AP15-AP29,0)</f>
        <v>41.6216377830038</v>
      </c>
      <c r="AQ31" s="11" t="n">
        <f aca="false">IF(AQ24=1,AQ15-AQ29,0)</f>
        <v>41.1745993340732</v>
      </c>
      <c r="AR31" s="11" t="n">
        <f aca="false">IF(AR24=1,AR15-AR29,0)</f>
        <v>41.770960831035</v>
      </c>
      <c r="AS31" s="11" t="n">
        <f aca="false">IF(AS24=1,AS15-AS29,0)</f>
        <v>41.5056129118261</v>
      </c>
      <c r="AT31" s="11" t="n">
        <f aca="false">IF(AT24=1,AT15-AT29,0)</f>
        <v>48.238693031292</v>
      </c>
      <c r="AU31" s="11" t="n">
        <f aca="false">IF(AU24=1,AU15-AU29,0)</f>
        <v>43.8015207396234</v>
      </c>
      <c r="AV31" s="11" t="n">
        <f aca="false">IF(AV24=1,AV15-AV29,0)</f>
        <v>43.9250195431293</v>
      </c>
      <c r="AW31" s="11" t="n">
        <f aca="false">IF(AW24=1,AW15-AW29,0)</f>
        <v>43.5006347551929</v>
      </c>
      <c r="AX31" s="11" t="n">
        <f aca="false">IF(AX24=1,AX15-AX29,0)</f>
        <v>44.1754747855326</v>
      </c>
      <c r="AY31" s="11" t="n">
        <f aca="false">IF(AY24=1,AY15-AY29,0)</f>
        <v>43.7185522989792</v>
      </c>
      <c r="AZ31" s="11" t="n">
        <f aca="false">IF(AZ24=1,AZ15-AZ29,0)</f>
        <v>44.3364424388821</v>
      </c>
      <c r="BA31" s="11" t="n">
        <f aca="false">IF(BA24=1,BA15-BA29,0)</f>
        <v>43.543829720821</v>
      </c>
      <c r="BB31" s="11" t="n">
        <f aca="false">IF(BB24=1,BB15-BB29,0)</f>
        <v>44.7848097266784</v>
      </c>
      <c r="BC31" s="11" t="n">
        <f aca="false">IF(BC24=1,BC15-BC29,0)</f>
        <v>41.3693070627511</v>
      </c>
      <c r="BD31" s="11" t="n">
        <f aca="false">IF(BD24=1,BD15-BD29,0)</f>
        <v>35.2535532770043</v>
      </c>
      <c r="BE31" s="11" t="n">
        <f aca="false">IF(BE24=1,BE15-BE29,0)</f>
        <v>34.8037917507731</v>
      </c>
      <c r="BF31" s="11" t="n">
        <f aca="false">IF(BF24=1,BF15-BF29,0)</f>
        <v>35.4911261343409</v>
      </c>
      <c r="BG31" s="11" t="n">
        <f aca="false">IF(BG24=1,BG15-BG29,0)</f>
        <v>35.0063413826083</v>
      </c>
      <c r="BH31" s="11" t="n">
        <f aca="false">IF(BH24=1,BH15-BH29,0)</f>
        <v>35.6301644713499</v>
      </c>
      <c r="BI31" s="11" t="n">
        <f aca="false">IF(BI24=1,BI15-BI29,0)</f>
        <v>35.3515331654512</v>
      </c>
      <c r="BJ31" s="11" t="n">
        <f aca="false">IF(BJ24=1,BJ15-BJ29,0)</f>
        <v>43.3576219239654</v>
      </c>
      <c r="BK31" s="11" t="n">
        <f aca="false">IF(BK24=1,BK15-BK29,0)</f>
        <v>38.0900629941884</v>
      </c>
      <c r="BL31" s="11" t="n">
        <f aca="false">IF(BL24=1,BL15-BL29,0)</f>
        <v>38.8201016869331</v>
      </c>
      <c r="BM31" s="11" t="n">
        <f aca="false">IF(BM24=1,BM15-BM29,0)</f>
        <v>54.8489876304097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199.675119693527</v>
      </c>
      <c r="R33" s="11" t="n">
        <f aca="false">IF(Time!R17&lt;Time!$F$11,0,IF(Time!R29=1,INDEX(Funding!$J$72:$BJ$72,1,Time!$F$13),Q36))</f>
        <v>196.544545393509</v>
      </c>
      <c r="S33" s="11" t="n">
        <f aca="false">IF(Time!S17&lt;Time!$F$11,0,IF(Time!S29=1,INDEX(Funding!$J$72:$BJ$72,1,Time!$F$13),R36))</f>
        <v>192.496997063632</v>
      </c>
      <c r="T33" s="11" t="n">
        <f aca="false">IF(Time!T17&lt;Time!$F$11,0,IF(Time!T29=1,INDEX(Funding!$J$72:$BJ$72,1,Time!$F$13),S36))</f>
        <v>188.916697400001</v>
      </c>
      <c r="U33" s="11" t="n">
        <f aca="false">IF(Time!U17&lt;Time!$F$11,0,IF(Time!U29=1,INDEX(Funding!$J$72:$BJ$72,1,Time!$F$13),T36))</f>
        <v>184.570544420358</v>
      </c>
      <c r="V33" s="11" t="n">
        <f aca="false">IF(Time!V17&lt;Time!$F$11,0,IF(Time!V29=1,INDEX(Funding!$J$72:$BJ$72,1,Time!$F$13),U36))</f>
        <v>180.881110838189</v>
      </c>
      <c r="W33" s="11" t="n">
        <f aca="false">IF(Time!W17&lt;Time!$F$11,0,IF(Time!W29=1,INDEX(Funding!$J$72:$BJ$72,1,Time!$F$13),V36))</f>
        <v>175.878116675021</v>
      </c>
      <c r="X33" s="11" t="n">
        <f aca="false">IF(Time!X17&lt;Time!$F$11,0,IF(Time!X29=1,INDEX(Funding!$J$72:$BJ$72,1,Time!$F$13),W36))</f>
        <v>169.759100519305</v>
      </c>
      <c r="Y33" s="11" t="n">
        <f aca="false">IF(Time!Y17&lt;Time!$F$11,0,IF(Time!Y29=1,INDEX(Funding!$J$72:$BJ$72,1,Time!$F$13),X36))</f>
        <v>164.608152297051</v>
      </c>
      <c r="Z33" s="11" t="n">
        <f aca="false">IF(Time!Z17&lt;Time!$F$11,0,IF(Time!Z29=1,INDEX(Funding!$J$72:$BJ$72,1,Time!$F$13),Y36))</f>
        <v>159.864108549955</v>
      </c>
      <c r="AA33" s="11" t="n">
        <f aca="false">IF(Time!AA17&lt;Time!$F$11,0,IF(Time!AA29=1,INDEX(Funding!$J$72:$BJ$72,1,Time!$F$13),Z36))</f>
        <v>154.318013560692</v>
      </c>
      <c r="AB33" s="11" t="n">
        <f aca="false">IF(Time!AB17&lt;Time!$F$11,0,IF(Time!AB29=1,INDEX(Funding!$J$72:$BJ$72,1,Time!$F$13),AA36))</f>
        <v>155.402602111266</v>
      </c>
      <c r="AC33" s="11" t="n">
        <f aca="false">IF(Time!AC17&lt;Time!$F$11,0,IF(Time!AC29=1,INDEX(Funding!$J$72:$BJ$72,1,Time!$F$13),AB36))</f>
        <v>155.650731062038</v>
      </c>
      <c r="AD33" s="11" t="n">
        <f aca="false">IF(Time!AD17&lt;Time!$F$11,0,IF(Time!AD29=1,INDEX(Funding!$J$72:$BJ$72,1,Time!$F$13),AC36))</f>
        <v>156.157095899551</v>
      </c>
      <c r="AE33" s="11" t="n">
        <f aca="false">IF(Time!AE17&lt;Time!$F$11,0,IF(Time!AE29=1,INDEX(Funding!$J$72:$BJ$72,1,Time!$F$13),AD36))</f>
        <v>155.42668614414</v>
      </c>
      <c r="AF33" s="11" t="n">
        <f aca="false">IF(Time!AF17&lt;Time!$F$11,0,IF(Time!AF29=1,INDEX(Funding!$J$72:$BJ$72,1,Time!$F$13),AE36))</f>
        <v>153.926361191679</v>
      </c>
      <c r="AG33" s="11" t="n">
        <f aca="false">IF(Time!AG17&lt;Time!$F$11,0,IF(Time!AG29=1,INDEX(Funding!$J$72:$BJ$72,1,Time!$F$13),AF36))</f>
        <v>151.578532576946</v>
      </c>
      <c r="AH33" s="11" t="n">
        <f aca="false">IF(Time!AH17&lt;Time!$F$11,0,IF(Time!AH29=1,INDEX(Funding!$J$72:$BJ$72,1,Time!$F$13),AG36))</f>
        <v>148.563570937916</v>
      </c>
      <c r="AI33" s="11" t="n">
        <f aca="false">IF(Time!AI17&lt;Time!$F$11,0,IF(Time!AI29=1,INDEX(Funding!$J$72:$BJ$72,1,Time!$F$13),AH36))</f>
        <v>144.139628303026</v>
      </c>
      <c r="AJ33" s="11" t="n">
        <f aca="false">IF(Time!AJ17&lt;Time!$F$11,0,IF(Time!AJ29=1,INDEX(Funding!$J$72:$BJ$72,1,Time!$F$13),AI36))</f>
        <v>138.512408961071</v>
      </c>
      <c r="AK33" s="11" t="n">
        <f aca="false">IF(Time!AK17&lt;Time!$F$11,0,IF(Time!AK29=1,INDEX(Funding!$J$72:$BJ$72,1,Time!$F$13),AJ36))</f>
        <v>130.090628863644</v>
      </c>
      <c r="AL33" s="11" t="n">
        <f aca="false">IF(Time!AL17&lt;Time!$F$11,0,IF(Time!AL29=1,INDEX(Funding!$J$72:$BJ$72,1,Time!$F$13),AK36))</f>
        <v>104.3632884289</v>
      </c>
      <c r="AM33" s="11" t="n">
        <f aca="false">IF(Time!AM17&lt;Time!$F$11,0,IF(Time!AM29=1,INDEX(Funding!$J$72:$BJ$72,1,Time!$F$13),AL36))</f>
        <v>79.6550050426414</v>
      </c>
      <c r="AN33" s="11" t="n">
        <f aca="false">IF(Time!AN17&lt;Time!$F$11,0,IF(Time!AN29=1,INDEX(Funding!$J$72:$BJ$72,1,Time!$F$13),AM36))</f>
        <v>50.0548984009019</v>
      </c>
      <c r="AO33" s="11" t="n">
        <f aca="false">IF(Time!AO17&lt;Time!$F$11,0,IF(Time!AO29=1,INDEX(Funding!$J$72:$BJ$72,1,Time!$F$13),AN36))</f>
        <v>28.9509302882274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184.748963093345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9.40661283049369</v>
      </c>
      <c r="R34" s="11" t="n">
        <f aca="false">R24*MIN(R31,Tax!R13)</f>
        <v>9.41259905062611</v>
      </c>
      <c r="S34" s="11" t="n">
        <f aca="false">S24*MIN(S31,Tax!S13)</f>
        <v>9.06845442331276</v>
      </c>
      <c r="T34" s="11" t="n">
        <f aca="false">T24*MIN(T31,Tax!T13)</f>
        <v>9.04729827548496</v>
      </c>
      <c r="U34" s="11" t="n">
        <f aca="false">U24*MIN(U31,Tax!U13)</f>
        <v>8.74308140555614</v>
      </c>
      <c r="V34" s="11" t="n">
        <f aca="false">V24*MIN(V31,Tax!V13)</f>
        <v>8.66247073274398</v>
      </c>
      <c r="W34" s="11" t="n">
        <f aca="false">W24*MIN(W31,Tax!W13)</f>
        <v>8.28554579788215</v>
      </c>
      <c r="X34" s="11" t="n">
        <f aca="false">X24*MIN(X31,Tax!X13)</f>
        <v>8.12983308788343</v>
      </c>
      <c r="Y34" s="11" t="n">
        <f aca="false">Y24*MIN(Y31,Tax!Y13)</f>
        <v>7.7546224075282</v>
      </c>
      <c r="Z34" s="11" t="n">
        <f aca="false">Z24*MIN(Z31,Tax!Z13)</f>
        <v>7.6559578560362</v>
      </c>
      <c r="AA34" s="11" t="n">
        <f aca="false">AA24*MIN(AA31,Tax!AA13)</f>
        <v>6.18526964990857</v>
      </c>
      <c r="AB34" s="11" t="n">
        <f aca="false">AB24*MIN(AB31,Tax!AB13)</f>
        <v>7.19416552841933</v>
      </c>
      <c r="AC34" s="11" t="n">
        <f aca="false">AC24*MIN(AC31,Tax!AC13)</f>
        <v>6.86678897087803</v>
      </c>
      <c r="AD34" s="11" t="n">
        <f aca="false">AD24*MIN(AD31,Tax!AD13)</f>
        <v>7.47842749677851</v>
      </c>
      <c r="AE34" s="11" t="n">
        <f aca="false">AE24*MIN(AE31,Tax!AE13)</f>
        <v>7.32208731026983</v>
      </c>
      <c r="AF34" s="11" t="n">
        <f aca="false">AF24*MIN(AF31,Tax!AF13)</f>
        <v>7.37159669487822</v>
      </c>
      <c r="AG34" s="11" t="n">
        <f aca="false">AG24*MIN(AG31,Tax!AG13)</f>
        <v>7.14080237715229</v>
      </c>
      <c r="AH34" s="11" t="n">
        <f aca="false">AH24*MIN(AH31,Tax!AH13)</f>
        <v>7.11477046573909</v>
      </c>
      <c r="AI34" s="11" t="n">
        <f aca="false">AI24*MIN(AI31,Tax!AI13)</f>
        <v>6.79035865389187</v>
      </c>
      <c r="AJ34" s="11" t="n">
        <f aca="false">AJ24*MIN(AJ31,Tax!AJ13)</f>
        <v>6.63341618805348</v>
      </c>
      <c r="AK34" s="11" t="n">
        <f aca="false">AK24*MIN(AK31,Tax!AK13)</f>
        <v>6.16237526863671</v>
      </c>
      <c r="AL34" s="11" t="n">
        <f aca="false">AL24*MIN(AL31,Tax!AL13)</f>
        <v>4.99800077188264</v>
      </c>
      <c r="AM34" s="11" t="n">
        <f aca="false">AM24*MIN(AM31,Tax!AM13)</f>
        <v>3.75251455262526</v>
      </c>
      <c r="AN34" s="11" t="n">
        <f aca="false">AN24*MIN(AN31,Tax!AN13)</f>
        <v>2.39714965492538</v>
      </c>
      <c r="AO34" s="11" t="n">
        <f aca="false">AO24*MIN(AO31,Tax!AO13)</f>
        <v>1.36386642823581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206.700494406125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5.18629237373923</v>
      </c>
      <c r="Q35" s="11" t="n">
        <f aca="false">Q24*MIN(Q31-Q34,Q33+Tax!Q13-Q34)</f>
        <v>3.13057430001842</v>
      </c>
      <c r="R35" s="11" t="n">
        <f aca="false">R24*MIN(R31-R34,R33+Tax!R13-R34)</f>
        <v>4.04754832987615</v>
      </c>
      <c r="S35" s="11" t="n">
        <f aca="false">S24*MIN(S31-S34,S33+Tax!S13-S34)</f>
        <v>3.58029966363175</v>
      </c>
      <c r="T35" s="11" t="n">
        <f aca="false">T24*MIN(T31-T34,T33+Tax!T13-T34)</f>
        <v>4.34615297964249</v>
      </c>
      <c r="U35" s="11" t="n">
        <f aca="false">U24*MIN(U31-U34,U33+Tax!U13-U34)</f>
        <v>3.68943358216871</v>
      </c>
      <c r="V35" s="11" t="n">
        <f aca="false">V24*MIN(V31-V34,V33+Tax!V13-V34)</f>
        <v>5.00299416316858</v>
      </c>
      <c r="W35" s="11" t="n">
        <f aca="false">W24*MIN(W31-W34,W33+Tax!W13-W34)</f>
        <v>6.1190161557159</v>
      </c>
      <c r="X35" s="11" t="n">
        <f aca="false">X24*MIN(X31-X34,X33+Tax!X13-X34)</f>
        <v>5.15094822225391</v>
      </c>
      <c r="Y35" s="11" t="n">
        <f aca="false">Y24*MIN(Y31-Y34,Y33+Tax!Y13-Y34)</f>
        <v>4.7440437470961</v>
      </c>
      <c r="Z35" s="11" t="n">
        <f aca="false">Z24*MIN(Z31-Z34,Z33+Tax!Z13-Z34)</f>
        <v>5.54609498926267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0.730409755411094</v>
      </c>
      <c r="AE35" s="11" t="n">
        <f aca="false">AE24*MIN(AE31-AE34,AE33+Tax!AE13-AE34)</f>
        <v>1.50032495246093</v>
      </c>
      <c r="AF35" s="11" t="n">
        <f aca="false">AF24*MIN(AF31-AF34,AF33+Tax!AF13-AF34)</f>
        <v>2.34782861473318</v>
      </c>
      <c r="AG35" s="11" t="n">
        <f aca="false">AG24*MIN(AG31-AG34,AG33+Tax!AG13-AG34)</f>
        <v>3.01496163903024</v>
      </c>
      <c r="AH35" s="11" t="n">
        <f aca="false">AH24*MIN(AH31-AH34,AH33+Tax!AH13-AH34)</f>
        <v>4.42394263488976</v>
      </c>
      <c r="AI35" s="11" t="n">
        <f aca="false">AI24*MIN(AI31-AI34,AI33+Tax!AI13-AI34)</f>
        <v>5.62721934195497</v>
      </c>
      <c r="AJ35" s="11" t="n">
        <f aca="false">AJ24*MIN(AJ31-AJ34,AJ33+Tax!AJ13-AJ34)</f>
        <v>8.42178009742737</v>
      </c>
      <c r="AK35" s="11" t="n">
        <f aca="false">AK24*MIN(AK31-AK34,AK33+Tax!AK13-AK34)</f>
        <v>25.7273404347441</v>
      </c>
      <c r="AL35" s="11" t="n">
        <f aca="false">AL24*MIN(AL31-AL34,AL33+Tax!AL13-AL34)</f>
        <v>24.7082833862582</v>
      </c>
      <c r="AM35" s="11" t="n">
        <f aca="false">AM24*MIN(AM31-AM34,AM33+Tax!AM13-AM34)</f>
        <v>29.6001066417395</v>
      </c>
      <c r="AN35" s="11" t="n">
        <f aca="false">AN24*MIN(AN31-AN34,AN33+Tax!AN13-AN34)</f>
        <v>21.1039681126745</v>
      </c>
      <c r="AO35" s="11" t="n">
        <f aca="false">AO24*MIN(AO31-AO34,AO33+Tax!AO13-AO34)</f>
        <v>28.9509302882274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199.675119693527</v>
      </c>
      <c r="Q36" s="11" t="n">
        <f aca="false">Q33+Tax!Q13-Q34-Q35</f>
        <v>196.544545393509</v>
      </c>
      <c r="R36" s="11" t="n">
        <f aca="false">R33+Tax!R13-R34-R35</f>
        <v>192.496997063632</v>
      </c>
      <c r="S36" s="11" t="n">
        <f aca="false">S33+Tax!S13-S34-S35</f>
        <v>188.916697400001</v>
      </c>
      <c r="T36" s="11" t="n">
        <f aca="false">T33+Tax!T13-T34-T35</f>
        <v>184.570544420358</v>
      </c>
      <c r="U36" s="11" t="n">
        <f aca="false">U33+Tax!U13-U34-U35</f>
        <v>180.881110838189</v>
      </c>
      <c r="V36" s="11" t="n">
        <f aca="false">V33+Tax!V13-V34-V35</f>
        <v>175.878116675021</v>
      </c>
      <c r="W36" s="11" t="n">
        <f aca="false">W33+Tax!W13-W34-W35</f>
        <v>169.759100519305</v>
      </c>
      <c r="X36" s="11" t="n">
        <f aca="false">X33+Tax!X13-X34-X35</f>
        <v>164.608152297051</v>
      </c>
      <c r="Y36" s="11" t="n">
        <f aca="false">Y33+Tax!Y13-Y34-Y35</f>
        <v>159.864108549955</v>
      </c>
      <c r="Z36" s="11" t="n">
        <f aca="false">Z33+Tax!Z13-Z34-Z35</f>
        <v>154.318013560692</v>
      </c>
      <c r="AA36" s="11" t="n">
        <f aca="false">AA33+Tax!AA13-AA34-AA35</f>
        <v>155.402602111266</v>
      </c>
      <c r="AB36" s="11" t="n">
        <f aca="false">AB33+Tax!AB13-AB34-AB35</f>
        <v>155.650731062038</v>
      </c>
      <c r="AC36" s="11" t="n">
        <f aca="false">AC33+Tax!AC13-AC34-AC35</f>
        <v>156.157095899551</v>
      </c>
      <c r="AD36" s="11" t="n">
        <f aca="false">AD33+Tax!AD13-AD34-AD35</f>
        <v>155.42668614414</v>
      </c>
      <c r="AE36" s="11" t="n">
        <f aca="false">AE33+Tax!AE13-AE34-AE35</f>
        <v>153.926361191679</v>
      </c>
      <c r="AF36" s="11" t="n">
        <f aca="false">AF33+Tax!AF13-AF34-AF35</f>
        <v>151.578532576946</v>
      </c>
      <c r="AG36" s="11" t="n">
        <f aca="false">AG33+Tax!AG13-AG34-AG35</f>
        <v>148.563570937916</v>
      </c>
      <c r="AH36" s="11" t="n">
        <f aca="false">AH33+Tax!AH13-AH34-AH35</f>
        <v>144.139628303026</v>
      </c>
      <c r="AI36" s="11" t="n">
        <f aca="false">AI33+Tax!AI13-AI34-AI35</f>
        <v>138.512408961071</v>
      </c>
      <c r="AJ36" s="11" t="n">
        <f aca="false">AJ33+Tax!AJ13-AJ34-AJ35</f>
        <v>130.090628863644</v>
      </c>
      <c r="AK36" s="11" t="n">
        <f aca="false">AK33+Tax!AK13-AK34-AK35</f>
        <v>104.3632884289</v>
      </c>
      <c r="AL36" s="11" t="n">
        <f aca="false">AL33+Tax!AL13-AL34-AL35</f>
        <v>79.6550050426414</v>
      </c>
      <c r="AM36" s="11" t="n">
        <f aca="false">AM33+Tax!AM13-AM34-AM35</f>
        <v>50.0548984009019</v>
      </c>
      <c r="AN36" s="11" t="n">
        <f aca="false">AN33+Tax!AN13-AN34-AN35</f>
        <v>28.9509302882274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25.898034096354</v>
      </c>
      <c r="R37" s="11" t="n">
        <f aca="false">MAX(0,Q43+Financials!R14)</f>
        <v>35.1040275901293</v>
      </c>
      <c r="S37" s="11" t="n">
        <f aca="false">MAX(0,R43+Financials!S14)</f>
        <v>45.5389417020596</v>
      </c>
      <c r="T37" s="11" t="n">
        <f aca="false">MAX(0,S43+Financials!T14)</f>
        <v>56.456669276486</v>
      </c>
      <c r="U37" s="11" t="n">
        <f aca="false">MAX(0,T43+Financials!U14)</f>
        <v>68.6055233629479</v>
      </c>
      <c r="V37" s="11" t="n">
        <f aca="false">MAX(0,U43+Financials!V14)</f>
        <v>79.0699942459125</v>
      </c>
      <c r="W37" s="11" t="n">
        <f aca="false">MAX(0,V43+Financials!W14)</f>
        <v>93.3455880987402</v>
      </c>
      <c r="X37" s="11" t="n">
        <f aca="false">MAX(0,W43+Financials!X14)</f>
        <v>108.299883177138</v>
      </c>
      <c r="Y37" s="11" t="n">
        <f aca="false">MAX(0,X43+Financials!Y14)</f>
        <v>121.253833874482</v>
      </c>
      <c r="Z37" s="11" t="n">
        <f aca="false">MAX(0,Y43+Financials!Z14)</f>
        <v>129.006645978886</v>
      </c>
      <c r="AA37" s="11" t="n">
        <f aca="false">MAX(0,Z43+Financials!AA14)</f>
        <v>137.734064885907</v>
      </c>
      <c r="AB37" s="11" t="n">
        <f aca="false">MAX(0,AA43+Financials!AB14)</f>
        <v>147.028896786851</v>
      </c>
      <c r="AC37" s="11" t="n">
        <f aca="false">MAX(0,AB43+Financials!AC14)</f>
        <v>157.381988410481</v>
      </c>
      <c r="AD37" s="11" t="n">
        <f aca="false">MAX(0,AC43+Financials!AD14)</f>
        <v>159.657652830825</v>
      </c>
      <c r="AE37" s="11" t="n">
        <f aca="false">MAX(0,AD43+Financials!AE14)</f>
        <v>171.950471413052</v>
      </c>
      <c r="AF37" s="11" t="n">
        <f aca="false">MAX(0,AE43+Financials!AF14)</f>
        <v>184.96769001954</v>
      </c>
      <c r="AG37" s="11" t="n">
        <f aca="false">MAX(0,AF43+Financials!AG14)</f>
        <v>199.082224294238</v>
      </c>
      <c r="AH37" s="11" t="n">
        <f aca="false">MAX(0,AG43+Financials!AH14)</f>
        <v>214.212506978461</v>
      </c>
      <c r="AI37" s="11" t="n">
        <f aca="false">MAX(0,AH43+Financials!AI14)</f>
        <v>230.654646682377</v>
      </c>
      <c r="AJ37" s="11" t="n">
        <f aca="false">MAX(0,AI43+Financials!AJ14)</f>
        <v>248.205503788557</v>
      </c>
      <c r="AK37" s="11" t="n">
        <f aca="false">MAX(0,AJ43+Financials!AK14)</f>
        <v>267.190510035761</v>
      </c>
      <c r="AL37" s="11" t="n">
        <f aca="false">MAX(0,AK43+Financials!AL14)</f>
        <v>285.475579328215</v>
      </c>
      <c r="AM37" s="11" t="n">
        <f aca="false">MAX(0,AL43+Financials!AM14)</f>
        <v>307.54791859368</v>
      </c>
      <c r="AN37" s="11" t="n">
        <f aca="false">MAX(0,AM43+Financials!AN14)</f>
        <v>330.977364778949</v>
      </c>
      <c r="AO37" s="11" t="n">
        <f aca="false">MAX(0,AN43+Financials!AO14)</f>
        <v>355.583291924634</v>
      </c>
      <c r="AP37" s="11" t="n">
        <f aca="false">MAX(0,AO43+Financials!AP14)</f>
        <v>370.397677257344</v>
      </c>
      <c r="AQ37" s="11" t="n">
        <f aca="false">MAX(0,AP43+Financials!AQ14)</f>
        <v>354.88868911725</v>
      </c>
      <c r="AR37" s="11" t="n">
        <f aca="false">MAX(0,AQ43+Financials!AR14)</f>
        <v>339.894761747764</v>
      </c>
      <c r="AS37" s="11" t="n">
        <f aca="false">MAX(0,AR43+Financials!AS14)</f>
        <v>324.484224382595</v>
      </c>
      <c r="AT37" s="11" t="n">
        <f aca="false">MAX(0,AS43+Financials!AT14)</f>
        <v>299.030516795484</v>
      </c>
      <c r="AU37" s="11" t="n">
        <f aca="false">MAX(0,AT43+Financials!AU14)</f>
        <v>277.437040675538</v>
      </c>
      <c r="AV37" s="11" t="n">
        <f aca="false">MAX(0,AU43+Financials!AV14)</f>
        <v>260.210286223885</v>
      </c>
      <c r="AW37" s="11" t="n">
        <f aca="false">MAX(0,AV43+Financials!AW14)</f>
        <v>242.975486452026</v>
      </c>
      <c r="AX37" s="11" t="n">
        <f aca="false">MAX(0,AW43+Financials!AX14)</f>
        <v>226.299791155509</v>
      </c>
      <c r="AY37" s="11" t="n">
        <f aca="false">MAX(0,AX43+Financials!AY14)</f>
        <v>209.035744150875</v>
      </c>
      <c r="AZ37" s="11" t="n">
        <f aca="false">MAX(0,AY43+Financials!AZ14)</f>
        <v>192.302020638542</v>
      </c>
      <c r="BA37" s="11" t="n">
        <f aca="false">MAX(0,AZ43+Financials!BA14)</f>
        <v>175.112273770263</v>
      </c>
      <c r="BB37" s="11" t="n">
        <f aca="false">MAX(0,BA43+Financials!BB14)</f>
        <v>156.464807981548</v>
      </c>
      <c r="BC37" s="11" t="n">
        <f aca="false">MAX(0,BB43+Financials!BC14)</f>
        <v>139.101129253149</v>
      </c>
      <c r="BD37" s="11" t="n">
        <f aca="false">MAX(0,BC43+Financials!BD14)</f>
        <v>125.143337246242</v>
      </c>
      <c r="BE37" s="11" t="n">
        <f aca="false">MAX(0,BD43+Financials!BE14)</f>
        <v>117.426129993039</v>
      </c>
      <c r="BF37" s="11" t="n">
        <f aca="false">MAX(0,BE43+Financials!BF14)</f>
        <v>110.306045846098</v>
      </c>
      <c r="BG37" s="11" t="n">
        <f aca="false">MAX(0,BF43+Financials!BG14)</f>
        <v>102.591222815673</v>
      </c>
      <c r="BH37" s="11" t="n">
        <f aca="false">MAX(0,BG43+Financials!BH14)</f>
        <v>95.4403893731833</v>
      </c>
      <c r="BI37" s="11" t="n">
        <f aca="false">MAX(0,BH43+Financials!BI14)</f>
        <v>87.8803499967852</v>
      </c>
      <c r="BJ37" s="11" t="n">
        <f aca="false">MAX(0,BI43+Financials!BJ14)</f>
        <v>68.4145510985352</v>
      </c>
      <c r="BK37" s="11" t="n">
        <f aca="false">MAX(0,BJ43+Financials!BK14)</f>
        <v>53.4662792626312</v>
      </c>
      <c r="BL37" s="11" t="n">
        <f aca="false">MAX(0,BK43+Financials!BL14)</f>
        <v>43.6937349468497</v>
      </c>
      <c r="BM37" s="11" t="n">
        <f aca="false">MAX(0,BL43+Financials!BM14)</f>
        <v>10.4822341135981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11.2174759665735</v>
      </c>
      <c r="AP38" s="11" t="n">
        <f aca="false">AP24*MIN(AP31-AP34-AP35,AP37)</f>
        <v>41.6216377830038</v>
      </c>
      <c r="AQ38" s="11" t="n">
        <f aca="false">AQ24*MIN(AQ31-AQ34-AQ35,AQ37)</f>
        <v>41.1745993340732</v>
      </c>
      <c r="AR38" s="11" t="n">
        <f aca="false">AR24*MIN(AR31-AR34-AR35,AR37)</f>
        <v>41.770960831035</v>
      </c>
      <c r="AS38" s="11" t="n">
        <f aca="false">AS24*MIN(AS31-AS34-AS35,AS37)</f>
        <v>41.5056129118261</v>
      </c>
      <c r="AT38" s="11" t="n">
        <f aca="false">AT24*MIN(AT31-AT34-AT35,AT37)</f>
        <v>48.238693031292</v>
      </c>
      <c r="AU38" s="11" t="n">
        <f aca="false">AU24*MIN(AU31-AU34-AU35,AU37)</f>
        <v>43.8015207396234</v>
      </c>
      <c r="AV38" s="11" t="n">
        <f aca="false">AV24*MIN(AV31-AV34-AV35,AV37)</f>
        <v>43.9250195431293</v>
      </c>
      <c r="AW38" s="11" t="n">
        <f aca="false">AW24*MIN(AW31-AW34-AW35,AW37)</f>
        <v>43.5006347551929</v>
      </c>
      <c r="AX38" s="11" t="n">
        <f aca="false">AX24*MIN(AX31-AX34-AX35,AX37)</f>
        <v>44.1754747855326</v>
      </c>
      <c r="AY38" s="11" t="n">
        <f aca="false">AY24*MIN(AY31-AY34-AY35,AY37)</f>
        <v>43.7185522989792</v>
      </c>
      <c r="AZ38" s="11" t="n">
        <f aca="false">AZ24*MIN(AZ31-AZ34-AZ35,AZ37)</f>
        <v>44.3364424388821</v>
      </c>
      <c r="BA38" s="11" t="n">
        <f aca="false">BA24*MIN(BA31-BA34-BA35,BA37)</f>
        <v>43.543829720821</v>
      </c>
      <c r="BB38" s="11" t="n">
        <f aca="false">BB24*MIN(BB31-BB34-BB35,BB37)</f>
        <v>44.7848097266784</v>
      </c>
      <c r="BC38" s="11" t="n">
        <f aca="false">BC24*MIN(BC31-BC34-BC35,BC37)</f>
        <v>41.3693070627511</v>
      </c>
      <c r="BD38" s="11" t="n">
        <f aca="false">BD24*MIN(BD31-BD34-BD35,BD37)</f>
        <v>35.2535532770043</v>
      </c>
      <c r="BE38" s="11" t="n">
        <f aca="false">BE24*MIN(BE31-BE34-BE35,BE37)</f>
        <v>34.8037917507731</v>
      </c>
      <c r="BF38" s="11" t="n">
        <f aca="false">BF24*MIN(BF31-BF34-BF35,BF37)</f>
        <v>35.4911261343409</v>
      </c>
      <c r="BG38" s="11" t="n">
        <f aca="false">BG24*MIN(BG31-BG34-BG35,BG37)</f>
        <v>35.0063413826083</v>
      </c>
      <c r="BH38" s="11" t="n">
        <f aca="false">BH24*MIN(BH31-BH34-BH35,BH37)</f>
        <v>35.6301644713499</v>
      </c>
      <c r="BI38" s="11" t="n">
        <f aca="false">BI24*MIN(BI31-BI34-BI35,BI37)</f>
        <v>35.3515331654512</v>
      </c>
      <c r="BJ38" s="11" t="n">
        <f aca="false">BJ24*MIN(BJ31-BJ34-BJ35,BJ37)</f>
        <v>43.3576219239654</v>
      </c>
      <c r="BK38" s="11" t="n">
        <f aca="false">BK24*MIN(BK31-BK34-BK35,BK37)</f>
        <v>38.0900629941884</v>
      </c>
      <c r="BL38" s="11" t="n">
        <f aca="false">BL24*MIN(BL31-BL34-BL35,BL37)</f>
        <v>38.8201016869331</v>
      </c>
      <c r="BM38" s="11" t="n">
        <f aca="false">BM24*MIN(BM31-BM34-BM35,BM37)</f>
        <v>10.4822341135981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1005.33785534642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11.2174759665735</v>
      </c>
      <c r="AP41" s="11" t="n">
        <f aca="false">AP38+AP40</f>
        <v>41.6216377830038</v>
      </c>
      <c r="AQ41" s="11" t="n">
        <f aca="false">AQ38+AQ40</f>
        <v>41.1745993340732</v>
      </c>
      <c r="AR41" s="11" t="n">
        <f aca="false">AR38+AR40</f>
        <v>41.770960831035</v>
      </c>
      <c r="AS41" s="11" t="n">
        <f aca="false">AS38+AS40</f>
        <v>41.5056129118261</v>
      </c>
      <c r="AT41" s="11" t="n">
        <f aca="false">AT38+AT40</f>
        <v>48.238693031292</v>
      </c>
      <c r="AU41" s="11" t="n">
        <f aca="false">AU38+AU40</f>
        <v>43.8015207396234</v>
      </c>
      <c r="AV41" s="11" t="n">
        <f aca="false">AV38+AV40</f>
        <v>43.9250195431293</v>
      </c>
      <c r="AW41" s="11" t="n">
        <f aca="false">AW38+AW40</f>
        <v>43.5006347551929</v>
      </c>
      <c r="AX41" s="11" t="n">
        <f aca="false">AX38+AX40</f>
        <v>44.1754747855326</v>
      </c>
      <c r="AY41" s="11" t="n">
        <f aca="false">AY38+AY40</f>
        <v>43.7185522989792</v>
      </c>
      <c r="AZ41" s="11" t="n">
        <f aca="false">AZ38+AZ40</f>
        <v>44.3364424388821</v>
      </c>
      <c r="BA41" s="11" t="n">
        <f aca="false">BA38+BA40</f>
        <v>43.543829720821</v>
      </c>
      <c r="BB41" s="11" t="n">
        <f aca="false">BB38+BB40</f>
        <v>44.7848097266784</v>
      </c>
      <c r="BC41" s="11" t="n">
        <f aca="false">BC38+BC40</f>
        <v>41.3693070627511</v>
      </c>
      <c r="BD41" s="11" t="n">
        <f aca="false">BD38+BD40</f>
        <v>35.2535532770043</v>
      </c>
      <c r="BE41" s="11" t="n">
        <f aca="false">BE38+BE40</f>
        <v>34.8037917507731</v>
      </c>
      <c r="BF41" s="11" t="n">
        <f aca="false">BF38+BF40</f>
        <v>35.4911261343409</v>
      </c>
      <c r="BG41" s="11" t="n">
        <f aca="false">BG38+BG40</f>
        <v>35.0063413826083</v>
      </c>
      <c r="BH41" s="11" t="n">
        <f aca="false">BH38+BH40</f>
        <v>35.6301644713499</v>
      </c>
      <c r="BI41" s="11" t="n">
        <f aca="false">BI38+BI40</f>
        <v>35.3515331654512</v>
      </c>
      <c r="BJ41" s="11" t="n">
        <f aca="false">BJ38+BJ40</f>
        <v>43.3576219239654</v>
      </c>
      <c r="BK41" s="11" t="n">
        <f aca="false">BK38+BK40</f>
        <v>38.0900629941884</v>
      </c>
      <c r="BL41" s="11" t="n">
        <f aca="false">BL38+BL40</f>
        <v>38.8201016869331</v>
      </c>
      <c r="BM41" s="11" t="n">
        <f aca="false">BM38+BM40</f>
        <v>54.8489876304097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25.898034096354</v>
      </c>
      <c r="R43" s="11" t="n">
        <f aca="false">IF(Time!R17&lt;Time!$F$11,0,Q43+Financials!R14-R41)</f>
        <v>35.1040275901293</v>
      </c>
      <c r="S43" s="11" t="n">
        <f aca="false">IF(Time!S17&lt;Time!$F$11,0,R43+Financials!S14-S41)</f>
        <v>45.5389417020596</v>
      </c>
      <c r="T43" s="11" t="n">
        <f aca="false">IF(Time!T17&lt;Time!$F$11,0,S43+Financials!T14-T41)</f>
        <v>56.456669276486</v>
      </c>
      <c r="U43" s="11" t="n">
        <f aca="false">IF(Time!U17&lt;Time!$F$11,0,T43+Financials!U14-U41)</f>
        <v>68.6055233629479</v>
      </c>
      <c r="V43" s="11" t="n">
        <f aca="false">IF(Time!V17&lt;Time!$F$11,0,U43+Financials!V14-V41)</f>
        <v>79.0699942459125</v>
      </c>
      <c r="W43" s="11" t="n">
        <f aca="false">IF(Time!W17&lt;Time!$F$11,0,V43+Financials!W14-W41)</f>
        <v>93.3455880987402</v>
      </c>
      <c r="X43" s="11" t="n">
        <f aca="false">IF(Time!X17&lt;Time!$F$11,0,W43+Financials!X14-X41)</f>
        <v>108.299883177138</v>
      </c>
      <c r="Y43" s="11" t="n">
        <f aca="false">IF(Time!Y17&lt;Time!$F$11,0,X43+Financials!Y14-Y41)</f>
        <v>121.253833874482</v>
      </c>
      <c r="Z43" s="11" t="n">
        <f aca="false">IF(Time!Z17&lt;Time!$F$11,0,Y43+Financials!Z14-Z41)</f>
        <v>129.006645978886</v>
      </c>
      <c r="AA43" s="11" t="n">
        <f aca="false">IF(Time!AA17&lt;Time!$F$11,0,Z43+Financials!AA14-AA41)</f>
        <v>137.734064885907</v>
      </c>
      <c r="AB43" s="11" t="n">
        <f aca="false">IF(Time!AB17&lt;Time!$F$11,0,AA43+Financials!AB14-AB41)</f>
        <v>147.028896786851</v>
      </c>
      <c r="AC43" s="11" t="n">
        <f aca="false">IF(Time!AC17&lt;Time!$F$11,0,AB43+Financials!AC14-AC41)</f>
        <v>157.381988410481</v>
      </c>
      <c r="AD43" s="11" t="n">
        <f aca="false">IF(Time!AD17&lt;Time!$F$11,0,AC43+Financials!AD14-AD41)</f>
        <v>159.657652830825</v>
      </c>
      <c r="AE43" s="11" t="n">
        <f aca="false">IF(Time!AE17&lt;Time!$F$11,0,AD43+Financials!AE14-AE41)</f>
        <v>171.950471413052</v>
      </c>
      <c r="AF43" s="11" t="n">
        <f aca="false">IF(Time!AF17&lt;Time!$F$11,0,AE43+Financials!AF14-AF41)</f>
        <v>184.96769001954</v>
      </c>
      <c r="AG43" s="11" t="n">
        <f aca="false">IF(Time!AG17&lt;Time!$F$11,0,AF43+Financials!AG14-AG41)</f>
        <v>199.082224294238</v>
      </c>
      <c r="AH43" s="11" t="n">
        <f aca="false">IF(Time!AH17&lt;Time!$F$11,0,AG43+Financials!AH14-AH41)</f>
        <v>214.212506978461</v>
      </c>
      <c r="AI43" s="11" t="n">
        <f aca="false">IF(Time!AI17&lt;Time!$F$11,0,AH43+Financials!AI14-AI41)</f>
        <v>230.654646682377</v>
      </c>
      <c r="AJ43" s="11" t="n">
        <f aca="false">IF(Time!AJ17&lt;Time!$F$11,0,AI43+Financials!AJ14-AJ41)</f>
        <v>248.205503788557</v>
      </c>
      <c r="AK43" s="11" t="n">
        <f aca="false">IF(Time!AK17&lt;Time!$F$11,0,AJ43+Financials!AK14-AK41)</f>
        <v>267.190510035761</v>
      </c>
      <c r="AL43" s="11" t="n">
        <f aca="false">IF(Time!AL17&lt;Time!$F$11,0,AK43+Financials!AL14-AL41)</f>
        <v>285.475579328215</v>
      </c>
      <c r="AM43" s="11" t="n">
        <f aca="false">IF(Time!AM17&lt;Time!$F$11,0,AL43+Financials!AM14-AM41)</f>
        <v>307.54791859368</v>
      </c>
      <c r="AN43" s="11" t="n">
        <f aca="false">IF(Time!AN17&lt;Time!$F$11,0,AM43+Financials!AN14-AN41)</f>
        <v>330.977364778949</v>
      </c>
      <c r="AO43" s="11" t="n">
        <f aca="false">IF(Time!AO17&lt;Time!$F$11,0,AN43+Financials!AO14-AO41)</f>
        <v>344.36581595806</v>
      </c>
      <c r="AP43" s="11" t="n">
        <f aca="false">IF(Time!AP17&lt;Time!$F$11,0,AO43+Financials!AP14-AP41)</f>
        <v>328.77603947434</v>
      </c>
      <c r="AQ43" s="11" t="n">
        <f aca="false">IF(Time!AQ17&lt;Time!$F$11,0,AP43+Financials!AQ14-AQ41)</f>
        <v>313.714089783177</v>
      </c>
      <c r="AR43" s="11" t="n">
        <f aca="false">IF(Time!AR17&lt;Time!$F$11,0,AQ43+Financials!AR14-AR41)</f>
        <v>298.123800916729</v>
      </c>
      <c r="AS43" s="11" t="n">
        <f aca="false">IF(Time!AS17&lt;Time!$F$11,0,AR43+Financials!AS14-AS41)</f>
        <v>282.978611470768</v>
      </c>
      <c r="AT43" s="11" t="n">
        <f aca="false">IF(Time!AT17&lt;Time!$F$11,0,AS43+Financials!AT14-AT41)</f>
        <v>250.791823764192</v>
      </c>
      <c r="AU43" s="11" t="n">
        <f aca="false">IF(Time!AU17&lt;Time!$F$11,0,AT43+Financials!AU14-AU41)</f>
        <v>233.635519935914</v>
      </c>
      <c r="AV43" s="11" t="n">
        <f aca="false">IF(Time!AV17&lt;Time!$F$11,0,AU43+Financials!AV14-AV41)</f>
        <v>216.285266680756</v>
      </c>
      <c r="AW43" s="11" t="n">
        <f aca="false">IF(Time!AW17&lt;Time!$F$11,0,AV43+Financials!AW14-AW41)</f>
        <v>199.474851696834</v>
      </c>
      <c r="AX43" s="11" t="n">
        <f aca="false">IF(Time!AX17&lt;Time!$F$11,0,AW43+Financials!AX14-AX41)</f>
        <v>182.124316369977</v>
      </c>
      <c r="AY43" s="11" t="n">
        <f aca="false">IF(Time!AY17&lt;Time!$F$11,0,AX43+Financials!AY14-AY41)</f>
        <v>165.317191851896</v>
      </c>
      <c r="AZ43" s="11" t="n">
        <f aca="false">IF(Time!AZ17&lt;Time!$F$11,0,AY43+Financials!AZ14-AZ41)</f>
        <v>147.965578199659</v>
      </c>
      <c r="BA43" s="11" t="n">
        <f aca="false">IF(Time!BA17&lt;Time!$F$11,0,AZ43+Financials!BA14-BA41)</f>
        <v>131.568444049442</v>
      </c>
      <c r="BB43" s="11" t="n">
        <f aca="false">IF(Time!BB17&lt;Time!$F$11,0,BA43+Financials!BB14-BB41)</f>
        <v>111.67999825487</v>
      </c>
      <c r="BC43" s="11" t="n">
        <f aca="false">IF(Time!BC17&lt;Time!$F$11,0,BB43+Financials!BC14-BC41)</f>
        <v>97.7318221903981</v>
      </c>
      <c r="BD43" s="11" t="n">
        <f aca="false">IF(Time!BD17&lt;Time!$F$11,0,BC43+Financials!BD14-BD41)</f>
        <v>89.8897839692382</v>
      </c>
      <c r="BE43" s="11" t="n">
        <f aca="false">IF(Time!BE17&lt;Time!$F$11,0,BD43+Financials!BE14-BE41)</f>
        <v>82.6223382422655</v>
      </c>
      <c r="BF43" s="11" t="n">
        <f aca="false">IF(Time!BF17&lt;Time!$F$11,0,BE43+Financials!BF14-BF41)</f>
        <v>74.8149197117575</v>
      </c>
      <c r="BG43" s="11" t="n">
        <f aca="false">IF(Time!BG17&lt;Time!$F$11,0,BF43+Financials!BG14-BG41)</f>
        <v>67.5848814330647</v>
      </c>
      <c r="BH43" s="11" t="n">
        <f aca="false">IF(Time!BH17&lt;Time!$F$11,0,BG43+Financials!BH14-BH41)</f>
        <v>59.8102249018334</v>
      </c>
      <c r="BI43" s="11" t="n">
        <f aca="false">IF(Time!BI17&lt;Time!$F$11,0,BH43+Financials!BI14-BI41)</f>
        <v>52.528816831334</v>
      </c>
      <c r="BJ43" s="11" t="n">
        <f aca="false">IF(Time!BJ17&lt;Time!$F$11,0,BI43+Financials!BJ14-BJ41)</f>
        <v>25.0569291745698</v>
      </c>
      <c r="BK43" s="11" t="n">
        <f aca="false">IF(Time!BK17&lt;Time!$F$11,0,BJ43+Financials!BK14-BK41)</f>
        <v>15.3762162684428</v>
      </c>
      <c r="BL43" s="11" t="n">
        <f aca="false">IF(Time!BL17&lt;Time!$F$11,0,BK43+Financials!BL14-BL41)</f>
        <v>4.87363325991664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1396.78731284589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14.997189587262</v>
      </c>
      <c r="Q44" s="11" t="n">
        <f aca="false">Q34+Q35+Q41</f>
        <v>12.5371871305121</v>
      </c>
      <c r="R44" s="11" t="n">
        <f aca="false">R34+R35+R41</f>
        <v>13.4601473805023</v>
      </c>
      <c r="S44" s="11" t="n">
        <f aca="false">S34+S35+S41</f>
        <v>12.6487540869445</v>
      </c>
      <c r="T44" s="11" t="n">
        <f aca="false">T34+T35+T41</f>
        <v>13.3934512551275</v>
      </c>
      <c r="U44" s="11" t="n">
        <f aca="false">U34+U35+U41</f>
        <v>12.4325149877249</v>
      </c>
      <c r="V44" s="11" t="n">
        <f aca="false">V34+V35+V41</f>
        <v>13.6654648959126</v>
      </c>
      <c r="W44" s="11" t="n">
        <f aca="false">W34+W35+W41</f>
        <v>14.404561953598</v>
      </c>
      <c r="X44" s="11" t="n">
        <f aca="false">X34+X35+X41</f>
        <v>13.2807813101373</v>
      </c>
      <c r="Y44" s="11" t="n">
        <f aca="false">Y34+Y35+Y41</f>
        <v>12.4986661546243</v>
      </c>
      <c r="Z44" s="11" t="n">
        <f aca="false">Z34+Z35+Z41</f>
        <v>13.2020528452989</v>
      </c>
      <c r="AA44" s="11" t="n">
        <f aca="false">AA34+AA35+AA41</f>
        <v>6.18526964990857</v>
      </c>
      <c r="AB44" s="11" t="n">
        <f aca="false">AB34+AB35+AB41</f>
        <v>7.19416552841933</v>
      </c>
      <c r="AC44" s="11" t="n">
        <f aca="false">AC34+AC35+AC41</f>
        <v>6.86678897087803</v>
      </c>
      <c r="AD44" s="11" t="n">
        <f aca="false">AD34+AD35+AD41</f>
        <v>8.2088372521896</v>
      </c>
      <c r="AE44" s="11" t="n">
        <f aca="false">AE34+AE35+AE41</f>
        <v>8.82241226273076</v>
      </c>
      <c r="AF44" s="11" t="n">
        <f aca="false">AF34+AF35+AF41</f>
        <v>9.71942530961141</v>
      </c>
      <c r="AG44" s="11" t="n">
        <f aca="false">AG34+AG35+AG41</f>
        <v>10.1557640161825</v>
      </c>
      <c r="AH44" s="11" t="n">
        <f aca="false">AH34+AH35+AH41</f>
        <v>11.5387131006289</v>
      </c>
      <c r="AI44" s="11" t="n">
        <f aca="false">AI34+AI35+AI41</f>
        <v>12.4175779958468</v>
      </c>
      <c r="AJ44" s="11" t="n">
        <f aca="false">AJ34+AJ35+AJ41</f>
        <v>15.0551962854809</v>
      </c>
      <c r="AK44" s="11" t="n">
        <f aca="false">AK34+AK35+AK41</f>
        <v>31.8897157033808</v>
      </c>
      <c r="AL44" s="11" t="n">
        <f aca="false">AL34+AL35+AL41</f>
        <v>29.7062841581408</v>
      </c>
      <c r="AM44" s="11" t="n">
        <f aca="false">AM34+AM35+AM41</f>
        <v>33.3526211943647</v>
      </c>
      <c r="AN44" s="11" t="n">
        <f aca="false">AN34+AN35+AN41</f>
        <v>23.5011177675998</v>
      </c>
      <c r="AO44" s="11" t="n">
        <f aca="false">AO34+AO35+AO41</f>
        <v>41.5322726830367</v>
      </c>
      <c r="AP44" s="11" t="n">
        <f aca="false">AP34+AP35+AP41</f>
        <v>41.6216377830038</v>
      </c>
      <c r="AQ44" s="11" t="n">
        <f aca="false">AQ34+AQ35+AQ41</f>
        <v>41.1745993340732</v>
      </c>
      <c r="AR44" s="11" t="n">
        <f aca="false">AR34+AR35+AR41</f>
        <v>41.770960831035</v>
      </c>
      <c r="AS44" s="11" t="n">
        <f aca="false">AS34+AS35+AS41</f>
        <v>41.5056129118261</v>
      </c>
      <c r="AT44" s="11" t="n">
        <f aca="false">AT34+AT35+AT41</f>
        <v>48.238693031292</v>
      </c>
      <c r="AU44" s="11" t="n">
        <f aca="false">AU34+AU35+AU41</f>
        <v>43.8015207396234</v>
      </c>
      <c r="AV44" s="11" t="n">
        <f aca="false">AV34+AV35+AV41</f>
        <v>43.9250195431293</v>
      </c>
      <c r="AW44" s="11" t="n">
        <f aca="false">AW34+AW35+AW41</f>
        <v>43.5006347551929</v>
      </c>
      <c r="AX44" s="11" t="n">
        <f aca="false">AX34+AX35+AX41</f>
        <v>44.1754747855326</v>
      </c>
      <c r="AY44" s="11" t="n">
        <f aca="false">AY34+AY35+AY41</f>
        <v>43.7185522989792</v>
      </c>
      <c r="AZ44" s="11" t="n">
        <f aca="false">AZ34+AZ35+AZ41</f>
        <v>44.3364424388821</v>
      </c>
      <c r="BA44" s="11" t="n">
        <f aca="false">BA34+BA35+BA41</f>
        <v>43.543829720821</v>
      </c>
      <c r="BB44" s="11" t="n">
        <f aca="false">BB34+BB35+BB41</f>
        <v>44.7848097266784</v>
      </c>
      <c r="BC44" s="11" t="n">
        <f aca="false">BC34+BC35+BC41</f>
        <v>41.3693070627511</v>
      </c>
      <c r="BD44" s="11" t="n">
        <f aca="false">BD34+BD35+BD41</f>
        <v>35.2535532770043</v>
      </c>
      <c r="BE44" s="11" t="n">
        <f aca="false">BE34+BE35+BE41</f>
        <v>34.8037917507731</v>
      </c>
      <c r="BF44" s="11" t="n">
        <f aca="false">BF34+BF35+BF41</f>
        <v>35.4911261343409</v>
      </c>
      <c r="BG44" s="11" t="n">
        <f aca="false">BG34+BG35+BG41</f>
        <v>35.0063413826083</v>
      </c>
      <c r="BH44" s="11" t="n">
        <f aca="false">BH34+BH35+BH41</f>
        <v>35.6301644713499</v>
      </c>
      <c r="BI44" s="11" t="n">
        <f aca="false">BI34+BI35+BI41</f>
        <v>35.3515331654512</v>
      </c>
      <c r="BJ44" s="11" t="n">
        <f aca="false">BJ34+BJ35+BJ41</f>
        <v>43.3576219239654</v>
      </c>
      <c r="BK44" s="11" t="n">
        <f aca="false">BK34+BK35+BK41</f>
        <v>38.0900629941884</v>
      </c>
      <c r="BL44" s="11" t="n">
        <f aca="false">BL34+BL35+BL41</f>
        <v>38.8201016869331</v>
      </c>
      <c r="BM44" s="11" t="n">
        <f aca="false">BM34+BM35+BM41</f>
        <v>54.8489876304097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502.538628379193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30.4183629560524</v>
      </c>
      <c r="R9" s="11" t="n">
        <f aca="false">Debt!R119+Debt!R117+Debt!R111-Debt!R110+Tax!R13</f>
        <v>30.0968227928735</v>
      </c>
      <c r="S9" s="11" t="n">
        <f aca="false">Debt!S119+Debt!S117+Debt!S111-Debt!S110+Tax!S13</f>
        <v>28.9619946335699</v>
      </c>
      <c r="T9" s="11" t="n">
        <f aca="false">Debt!T119+Debt!T117+Debt!T111-Debt!T110+Tax!T13</f>
        <v>28.5565204994707</v>
      </c>
      <c r="U9" s="11" t="n">
        <f aca="false">Debt!U119+Debt!U117+Debt!U111-Debt!U110+Tax!U13</f>
        <v>27.490009250791</v>
      </c>
      <c r="V9" s="11" t="n">
        <f aca="false">Debt!V119+Debt!V117+Debt!V111-Debt!V110+Tax!V13</f>
        <v>26.8968827961556</v>
      </c>
      <c r="W9" s="11" t="n">
        <f aca="false">Debt!W119+Debt!W117+Debt!W111-Debt!W110+Tax!W13</f>
        <v>25.6422416146506</v>
      </c>
      <c r="X9" s="11" t="n">
        <f aca="false">Debt!X119+Debt!X117+Debt!X111-Debt!X110+Tax!X13</f>
        <v>24.9637526267375</v>
      </c>
      <c r="Y9" s="11" t="n">
        <f aca="false">Debt!Y119+Debt!Y117+Debt!Y111-Debt!Y110+Tax!Y13</f>
        <v>24.2226842243011</v>
      </c>
      <c r="Z9" s="11" t="n">
        <f aca="false">Debt!Z119+Debt!Z117+Debt!Z111-Debt!Z110+Tax!Z13</f>
        <v>23.5921923062484</v>
      </c>
      <c r="AA9" s="11" t="n">
        <f aca="false">Debt!AA119+Debt!AA117+Debt!AA111-Debt!AA110+Tax!AA13</f>
        <v>22.2980773556516</v>
      </c>
      <c r="AB9" s="11" t="n">
        <f aca="false">Debt!AB119+Debt!AB117+Debt!AB111-Debt!AB110+Tax!AB13</f>
        <v>21.5681805436356</v>
      </c>
      <c r="AC9" s="11" t="n">
        <f aca="false">Debt!AC119+Debt!AC117+Debt!AC111-Debt!AC110+Tax!AC13</f>
        <v>20.2701818213272</v>
      </c>
      <c r="AD9" s="11" t="n">
        <f aca="false">Debt!AD119+Debt!AD117+Debt!AD111-Debt!AD110+Tax!AD13</f>
        <v>19.3420256497124</v>
      </c>
      <c r="AE9" s="11" t="n">
        <f aca="false">Debt!AE119+Debt!AE117+Debt!AE111-Debt!AE110+Tax!AE13</f>
        <v>17.8370006565929</v>
      </c>
      <c r="AF9" s="11" t="n">
        <f aca="false">Debt!AF119+Debt!AF117+Debt!AF111-Debt!AF110+Tax!AF13</f>
        <v>16.7211259299159</v>
      </c>
      <c r="AG9" s="11" t="n">
        <f aca="false">Debt!AG119+Debt!AG117+Debt!AG111-Debt!AG110+Tax!AG13</f>
        <v>15.2923775297348</v>
      </c>
      <c r="AH9" s="11" t="n">
        <f aca="false">Debt!AH119+Debt!AH117+Debt!AH111-Debt!AH110+Tax!AH13</f>
        <v>14.00000441807</v>
      </c>
      <c r="AI9" s="11" t="n">
        <f aca="false">Debt!AI119+Debt!AI117+Debt!AI111-Debt!AI110+Tax!AI13</f>
        <v>12.2309735151664</v>
      </c>
      <c r="AJ9" s="11" t="n">
        <f aca="false">Debt!AJ119+Debt!AJ117+Debt!AJ111-Debt!AJ110+Tax!AJ13</f>
        <v>10.7341395887629</v>
      </c>
      <c r="AK9" s="11" t="n">
        <f aca="false">Debt!AK119+Debt!AK117+Debt!AK111-Debt!AK110+Tax!AK13</f>
        <v>8.8785859157716</v>
      </c>
      <c r="AL9" s="11" t="n">
        <f aca="false">Debt!AL119+Debt!AL117+Debt!AL111-Debt!AL110+Tax!AL13</f>
        <v>7.17165402330423</v>
      </c>
      <c r="AM9" s="11" t="n">
        <f aca="false">Debt!AM119+Debt!AM117+Debt!AM111-Debt!AM110+Tax!AM13</f>
        <v>5.33370360202661</v>
      </c>
      <c r="AN9" s="11" t="n">
        <f aca="false">Debt!AN119+Debt!AN117+Debt!AN111-Debt!AN110+Tax!AN13</f>
        <v>3.38924312403552</v>
      </c>
      <c r="AO9" s="11" t="n">
        <f aca="false">Debt!AO119+Debt!AO117+Debt!AO111-Debt!AO110+Tax!AO13</f>
        <v>1.86111981226642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-49.1206097715173</v>
      </c>
      <c r="Z12" s="11" t="n">
        <f aca="false">IF(Time!Z17&gt;=Time!$F$11,Inputs!$F$181/100*(Z11-Z10-Tax!Z21),0)</f>
        <v>-45.645622497627</v>
      </c>
      <c r="AA12" s="11" t="n">
        <f aca="false">IF(Time!AA17&gt;=Time!$F$11,Inputs!$F$181/100*(AA11-AA10-Tax!AA21),0)</f>
        <v>-41.7521858686443</v>
      </c>
      <c r="AB12" s="11" t="n">
        <f aca="false">IF(Time!AB17&gt;=Time!$F$11,Inputs!$F$181/100*(AB11-AB10-Tax!AB21),0)</f>
        <v>-37.6147437604545</v>
      </c>
      <c r="AC12" s="11" t="n">
        <f aca="false">IF(Time!AC17&gt;=Time!$F$11,Inputs!$F$181/100*(AC11-AC10-Tax!AC21),0)</f>
        <v>-33.0233804644075</v>
      </c>
      <c r="AD12" s="11" t="n">
        <f aca="false">IF(Time!AD17&gt;=Time!$F$11,Inputs!$F$181/100*(AD11-AD10-Tax!AD21),0)</f>
        <v>-31.8957033457135</v>
      </c>
      <c r="AE12" s="11" t="n">
        <f aca="false">IF(Time!AE17&gt;=Time!$F$11,Inputs!$F$181/100*(AE11-AE10-Tax!AE21),0)</f>
        <v>-26.4719185511241</v>
      </c>
      <c r="AF12" s="11" t="n">
        <f aca="false">IF(Time!AF17&gt;=Time!$F$11,Inputs!$F$181/100*(AF11-AF10-Tax!AF21),0)</f>
        <v>-20.7362442974198</v>
      </c>
      <c r="AG12" s="11" t="n">
        <f aca="false">IF(Time!AG17&gt;=Time!$F$11,Inputs!$F$181/100*(AG11-AG10-Tax!AG21),0)</f>
        <v>-14.5296034075718</v>
      </c>
      <c r="AH12" s="11" t="n">
        <f aca="false">IF(Time!AH17&gt;=Time!$F$11,Inputs!$F$181/100*(AH11-AH10-Tax!AH21),0)</f>
        <v>-7.88700922143433</v>
      </c>
      <c r="AI12" s="11" t="n">
        <f aca="false">IF(Time!AI17&gt;=Time!$F$11,Inputs!$F$181/100*(AI11-AI10-Tax!AI21),0)</f>
        <v>-0.681362366647343</v>
      </c>
      <c r="AJ12" s="11" t="n">
        <f aca="false">IF(Time!AJ17&gt;=Time!$F$11,Inputs!$F$181/100*(AJ11-AJ10-Tax!AJ21),0)</f>
        <v>7.00035082662446</v>
      </c>
      <c r="AK12" s="11" t="n">
        <f aca="false">IF(Time!AK17&gt;=Time!$F$11,Inputs!$F$181/100*(AK11-AK10-Tax!AK21),0)</f>
        <v>15.2972527640104</v>
      </c>
      <c r="AL12" s="11" t="n">
        <f aca="false">IF(Time!AL17&gt;=Time!$F$11,Inputs!$F$181/100*(AL11-AL10-Tax!AL21),0)</f>
        <v>23.2945065903223</v>
      </c>
      <c r="AM12" s="11" t="n">
        <f aca="false">IF(Time!AM17&gt;=Time!$F$11,Inputs!$F$181/100*(AM11-AM10-Tax!AM21),0)</f>
        <v>31.9614262996661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-2.26616284006962</v>
      </c>
      <c r="Z13" s="11" t="n">
        <f aca="false">Z12-Y12</f>
        <v>3.47498727389027</v>
      </c>
      <c r="AA13" s="11" t="n">
        <f aca="false">AA12-Z12</f>
        <v>3.89343662898278</v>
      </c>
      <c r="AB13" s="11" t="n">
        <f aca="false">AB12-AA12</f>
        <v>4.13744210818977</v>
      </c>
      <c r="AC13" s="11" t="n">
        <f aca="false">AC12-AB12</f>
        <v>4.59136329604697</v>
      </c>
      <c r="AD13" s="11" t="n">
        <f aca="false">AD12-AC12</f>
        <v>1.12767711869405</v>
      </c>
      <c r="AE13" s="11" t="n">
        <f aca="false">AE12-AD12</f>
        <v>5.42378479458938</v>
      </c>
      <c r="AF13" s="11" t="n">
        <f aca="false">AF12-AE12</f>
        <v>5.73567425370429</v>
      </c>
      <c r="AG13" s="11" t="n">
        <f aca="false">AG12-AF12</f>
        <v>6.20664088984801</v>
      </c>
      <c r="AH13" s="11" t="n">
        <f aca="false">AH12-AG12</f>
        <v>6.64259418613745</v>
      </c>
      <c r="AI13" s="11" t="n">
        <f aca="false">AI12-AH12</f>
        <v>7.20564685478699</v>
      </c>
      <c r="AJ13" s="11" t="n">
        <f aca="false">AJ12-AI12</f>
        <v>7.6817131932718</v>
      </c>
      <c r="AK13" s="11" t="n">
        <f aca="false">AK12-AJ12</f>
        <v>8.29690193738595</v>
      </c>
      <c r="AL13" s="11" t="n">
        <f aca="false">AL12-AK12</f>
        <v>7.99725382631186</v>
      </c>
      <c r="AM13" s="11" t="n">
        <f aca="false">AM12-AL12</f>
        <v>8.66691970934386</v>
      </c>
      <c r="AN13" s="11" t="n">
        <f aca="false">AN12-AM12</f>
        <v>1.00402386281677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960.971101829606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9.77868877042472</v>
      </c>
      <c r="P14" s="11" t="n">
        <f aca="false">Operations!P79-P8-P9-Tax!P27-P13</f>
        <v>7.38194646043162</v>
      </c>
      <c r="Q14" s="11" t="n">
        <f aca="false">Operations!Q79-Q8-Q9-Tax!Q27-Q13</f>
        <v>8.73739886549769</v>
      </c>
      <c r="R14" s="11" t="n">
        <f aca="false">Operations!R79-R8-R9-Tax!R27-R13</f>
        <v>9.20599349377529</v>
      </c>
      <c r="S14" s="11" t="n">
        <f aca="false">Operations!S79-S8-S9-Tax!S27-S13</f>
        <v>10.4349141119303</v>
      </c>
      <c r="T14" s="11" t="n">
        <f aca="false">Operations!T79-T8-T9-Tax!T27-T13</f>
        <v>10.9177275744264</v>
      </c>
      <c r="U14" s="11" t="n">
        <f aca="false">Operations!U79-U8-U9-Tax!U27-U13</f>
        <v>12.1488540864619</v>
      </c>
      <c r="V14" s="11" t="n">
        <f aca="false">Operations!V79-V8-V9-Tax!V27-V13</f>
        <v>10.4644708829646</v>
      </c>
      <c r="W14" s="11" t="n">
        <f aca="false">Operations!W79-W8-W9-Tax!W27-W13</f>
        <v>14.2755938528278</v>
      </c>
      <c r="X14" s="11" t="n">
        <f aca="false">Operations!X79-X8-X9-Tax!X27-X13</f>
        <v>14.9542950783978</v>
      </c>
      <c r="Y14" s="11" t="n">
        <f aca="false">Operations!Y79-Y8-Y9-Tax!Y27-Y13</f>
        <v>12.9539506973443</v>
      </c>
      <c r="Z14" s="11" t="n">
        <f aca="false">Operations!Z79-Z8-Z9-Tax!Z27-Z13</f>
        <v>7.75281210440376</v>
      </c>
      <c r="AA14" s="11" t="n">
        <f aca="false">Operations!AA79-AA8-AA9-Tax!AA27-AA13</f>
        <v>8.72741890702061</v>
      </c>
      <c r="AB14" s="11" t="n">
        <f aca="false">Operations!AB79-AB8-AB9-Tax!AB27-AB13</f>
        <v>9.29483190094462</v>
      </c>
      <c r="AC14" s="11" t="n">
        <f aca="false">Operations!AC79-AC8-AC9-Tax!AC27-AC13</f>
        <v>10.3530916236297</v>
      </c>
      <c r="AD14" s="11" t="n">
        <f aca="false">Operations!AD79-AD8-AD9-Tax!AD27-AD13</f>
        <v>2.27566442034413</v>
      </c>
      <c r="AE14" s="11" t="n">
        <f aca="false">Operations!AE79-AE8-AE9-Tax!AE27-AE13</f>
        <v>12.2928185822269</v>
      </c>
      <c r="AF14" s="11" t="n">
        <f aca="false">Operations!AF79-AF8-AF9-Tax!AF27-AF13</f>
        <v>13.0172186064882</v>
      </c>
      <c r="AG14" s="11" t="n">
        <f aca="false">Operations!AG79-AG8-AG9-Tax!AG27-AG13</f>
        <v>14.1145342746973</v>
      </c>
      <c r="AH14" s="11" t="n">
        <f aca="false">Operations!AH79-AH8-AH9-Tax!AH27-AH13</f>
        <v>15.1302826842238</v>
      </c>
      <c r="AI14" s="11" t="n">
        <f aca="false">Operations!AI79-AI8-AI9-Tax!AI27-AI13</f>
        <v>16.4421397039156</v>
      </c>
      <c r="AJ14" s="11" t="n">
        <f aca="false">Operations!AJ79-AJ8-AJ9-Tax!AJ27-AJ13</f>
        <v>17.5508571061804</v>
      </c>
      <c r="AK14" s="11" t="n">
        <f aca="false">Operations!AK79-AK8-AK9-Tax!AK27-AK13</f>
        <v>18.9850062472035</v>
      </c>
      <c r="AL14" s="11" t="n">
        <f aca="false">Operations!AL79-AL8-AL9-Tax!AL27-AL13</f>
        <v>18.2850692924542</v>
      </c>
      <c r="AM14" s="11" t="n">
        <f aca="false">Operations!AM79-AM8-AM9-Tax!AM27-AM13</f>
        <v>22.072339265465</v>
      </c>
      <c r="AN14" s="11" t="n">
        <f aca="false">Operations!AN79-AN8-AN9-Tax!AN27-AN13</f>
        <v>23.4294461852691</v>
      </c>
      <c r="AO14" s="11" t="n">
        <f aca="false">Operations!AO79-AO8-AO9-Tax!AO27-AO13</f>
        <v>24.6059271456845</v>
      </c>
      <c r="AP14" s="11" t="n">
        <f aca="false">Operations!AP79-AP8-AP9-Tax!AP27-AP13</f>
        <v>26.0318612992837</v>
      </c>
      <c r="AQ14" s="11" t="n">
        <f aca="false">Operations!AQ79-AQ8-AQ9-Tax!AQ27-AQ13</f>
        <v>26.1126496429099</v>
      </c>
      <c r="AR14" s="11" t="n">
        <f aca="false">Operations!AR79-AR8-AR9-Tax!AR27-AR13</f>
        <v>26.1806719645871</v>
      </c>
      <c r="AS14" s="11" t="n">
        <f aca="false">Operations!AS79-AS8-AS9-Tax!AS27-AS13</f>
        <v>26.3604234658657</v>
      </c>
      <c r="AT14" s="11" t="n">
        <f aca="false">Operations!AT79-AT8-AT9-Tax!AT27-AT13</f>
        <v>16.0519053247154</v>
      </c>
      <c r="AU14" s="11" t="n">
        <f aca="false">Operations!AU79-AU8-AU9-Tax!AU27-AU13</f>
        <v>26.6452169113457</v>
      </c>
      <c r="AV14" s="11" t="n">
        <f aca="false">Operations!AV79-AV8-AV9-Tax!AV27-AV13</f>
        <v>26.5747662879706</v>
      </c>
      <c r="AW14" s="11" t="n">
        <f aca="false">Operations!AW79-AW8-AW9-Tax!AW27-AW13</f>
        <v>26.6902197712709</v>
      </c>
      <c r="AX14" s="11" t="n">
        <f aca="false">Operations!AX79-AX8-AX9-Tax!AX27-AX13</f>
        <v>26.8249394586759</v>
      </c>
      <c r="AY14" s="11" t="n">
        <f aca="false">Operations!AY79-AY8-AY9-Tax!AY27-AY13</f>
        <v>26.9114277808981</v>
      </c>
      <c r="AZ14" s="11" t="n">
        <f aca="false">Operations!AZ79-AZ8-AZ9-Tax!AZ27-AZ13</f>
        <v>26.9848287866456</v>
      </c>
      <c r="BA14" s="11" t="n">
        <f aca="false">Operations!BA79-BA8-BA9-Tax!BA27-BA13</f>
        <v>27.1466955706037</v>
      </c>
      <c r="BB14" s="11" t="n">
        <f aca="false">Operations!BB79-BB8-BB9-Tax!BB27-BB13</f>
        <v>24.896363932106</v>
      </c>
      <c r="BC14" s="11" t="n">
        <f aca="false">Operations!BC79-BC8-BC9-Tax!BC27-BC13</f>
        <v>27.4211309982796</v>
      </c>
      <c r="BD14" s="11" t="n">
        <f aca="false">Operations!BD79-BD8-BD9-Tax!BD27-BD13</f>
        <v>27.4115150558443</v>
      </c>
      <c r="BE14" s="11" t="n">
        <f aca="false">Operations!BE79-BE8-BE9-Tax!BE27-BE13</f>
        <v>27.5363460238005</v>
      </c>
      <c r="BF14" s="11" t="n">
        <f aca="false">Operations!BF79-BF8-BF9-Tax!BF27-BF13</f>
        <v>27.6837076038329</v>
      </c>
      <c r="BG14" s="11" t="n">
        <f aca="false">Operations!BG79-BG8-BG9-Tax!BG27-BG13</f>
        <v>27.7763031039155</v>
      </c>
      <c r="BH14" s="11" t="n">
        <f aca="false">Operations!BH79-BH8-BH9-Tax!BH27-BH13</f>
        <v>27.8555079401187</v>
      </c>
      <c r="BI14" s="11" t="n">
        <f aca="false">Operations!BI79-BI8-BI9-Tax!BI27-BI13</f>
        <v>28.0701250949518</v>
      </c>
      <c r="BJ14" s="11" t="n">
        <f aca="false">Operations!BJ79-BJ8-BJ9-Tax!BJ27-BJ13</f>
        <v>15.8857342672012</v>
      </c>
      <c r="BK14" s="11" t="n">
        <f aca="false">Operations!BK79-BK8-BK9-Tax!BK27-BK13</f>
        <v>28.4093500880614</v>
      </c>
      <c r="BL14" s="11" t="n">
        <f aca="false">Operations!BL79-BL8-BL9-Tax!BL27-BL13</f>
        <v>28.3175186784069</v>
      </c>
      <c r="BM14" s="11" t="n">
        <f aca="false">Operations!BM79-BM8-BM9-Tax!BM27-BM13</f>
        <v>5.60860085368141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46.0785090947744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48.640164340739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36.0663399929661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35.1472363198872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34.1814551053197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33.6823059639242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32.3237204212107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31.0969288468075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28.9472002366722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26.6866075648919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40.0120718392951</v>
      </c>
      <c r="R18" s="11" t="n">
        <f aca="false">Operations!R83+Operations!R84</f>
        <v>39.3348793527876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49.1206097715173</v>
      </c>
      <c r="Z20" s="11" t="n">
        <f aca="false">MAX(0,-Z12)</f>
        <v>45.645622497627</v>
      </c>
      <c r="AA20" s="11" t="n">
        <f aca="false">MAX(0,-AA12)</f>
        <v>41.7521858686443</v>
      </c>
      <c r="AB20" s="11" t="n">
        <f aca="false">MAX(0,-AB12)</f>
        <v>37.6147437604545</v>
      </c>
      <c r="AC20" s="11" t="n">
        <f aca="false">MAX(0,-AC12)</f>
        <v>33.0233804644075</v>
      </c>
      <c r="AD20" s="11" t="n">
        <f aca="false">MAX(0,-AD12)</f>
        <v>31.8957033457135</v>
      </c>
      <c r="AE20" s="11" t="n">
        <f aca="false">MAX(0,-AE12)</f>
        <v>26.4719185511241</v>
      </c>
      <c r="AF20" s="11" t="n">
        <f aca="false">MAX(0,-AF12)</f>
        <v>20.7362442974198</v>
      </c>
      <c r="AG20" s="11" t="n">
        <f aca="false">MAX(0,-AG12)</f>
        <v>14.5296034075718</v>
      </c>
      <c r="AH20" s="11" t="n">
        <f aca="false">MAX(0,-AH12)</f>
        <v>7.88700922143433</v>
      </c>
      <c r="AI20" s="11" t="n">
        <f aca="false">MAX(0,-AI12)</f>
        <v>0.681362366647343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902.970860103629</v>
      </c>
      <c r="Q21" s="11" t="n">
        <f aca="false">Q16+Q17+Q18+Q19+Q20</f>
        <v>893.174185169152</v>
      </c>
      <c r="R21" s="11" t="n">
        <f aca="false">R16+R17+R18+R19+R20</f>
        <v>880.908176657117</v>
      </c>
      <c r="S21" s="11" t="n">
        <f aca="false">S16+S17+S18+S19+S20</f>
        <v>871.21556605998</v>
      </c>
      <c r="T21" s="11" t="n">
        <f aca="false">T16+T17+T18+T19+T20</f>
        <v>859.335830325945</v>
      </c>
      <c r="U21" s="11" t="n">
        <f aca="false">U16+U17+U18+U19+U20</f>
        <v>849.425773871773</v>
      </c>
      <c r="V21" s="11" t="n">
        <f aca="false">V16+V17+V18+V19+V20</f>
        <v>834.094142676185</v>
      </c>
      <c r="W21" s="11" t="n">
        <f aca="false">W16+W17+W18+W19+W20</f>
        <v>822.683232945764</v>
      </c>
      <c r="X21" s="11" t="n">
        <f aca="false">X16+X17+X18+X19+X20</f>
        <v>812.55805748473</v>
      </c>
      <c r="Y21" s="11" t="n">
        <f aca="false">Y16+Y17+Y18+Y19+Y20</f>
        <v>801.467119781521</v>
      </c>
      <c r="Z21" s="11" t="n">
        <f aca="false">Z16+Z17+Z18+Z19+Z20</f>
        <v>782.215473830459</v>
      </c>
      <c r="AA21" s="11" t="n">
        <f aca="false">AA16+AA17+AA18+AA19+AA20</f>
        <v>765.260681394723</v>
      </c>
      <c r="AB21" s="11" t="n">
        <f aca="false">AB16+AB17+AB18+AB19+AB20</f>
        <v>745.151054834773</v>
      </c>
      <c r="AC21" s="11" t="n">
        <f aca="false">AC16+AC17+AC18+AC19+AC20</f>
        <v>726.935926862879</v>
      </c>
      <c r="AD21" s="11" t="n">
        <f aca="false">AD16+AD17+AD18+AD19+AD20</f>
        <v>695.031425100091</v>
      </c>
      <c r="AE21" s="11" t="n">
        <f aca="false">AE16+AE17+AE18+AE19+AE20</f>
        <v>673.831796993694</v>
      </c>
      <c r="AF21" s="11" t="n">
        <f aca="false">AF16+AF17+AF18+AF19+AF20</f>
        <v>650.721343932667</v>
      </c>
      <c r="AG21" s="11" t="n">
        <f aca="false">AG16+AG17+AG18+AG19+AG20</f>
        <v>628.460397123491</v>
      </c>
      <c r="AH21" s="11" t="n">
        <f aca="false">AH16+AH17+AH18+AH19+AH20</f>
        <v>602.9621664433</v>
      </c>
      <c r="AI21" s="11" t="n">
        <f aca="false">AI16+AI17+AI18+AI19+AI20</f>
        <v>579.154133160309</v>
      </c>
      <c r="AJ21" s="11" t="n">
        <f aca="false">AJ16+AJ17+AJ18+AJ19+AJ20</f>
        <v>559.147116499572</v>
      </c>
      <c r="AK21" s="11" t="n">
        <f aca="false">AK16+AK17+AK18+AK19+AK20</f>
        <v>540.916742997188</v>
      </c>
      <c r="AL21" s="11" t="n">
        <f aca="false">AL16+AL17+AL18+AL19+AL20</f>
        <v>520.085611912633</v>
      </c>
      <c r="AM21" s="11" t="n">
        <f aca="false">AM16+AM17+AM18+AM19+AM20</f>
        <v>500.520409420917</v>
      </c>
      <c r="AN21" s="11" t="n">
        <f aca="false">AN16+AN17+AN18+AN19+AN20</f>
        <v>485.902402058952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400.593188265099</v>
      </c>
      <c r="AB22" s="11" t="n">
        <f aca="false">IF(Time!AB17&lt;Time!$F$11,SUMIFS(Funding!$J$73:$BJ$73,Construction!$J$12:$BJ$12,"&lt;="&amp;Time!AB17),Debt!AB123)</f>
        <v>371.166876946112</v>
      </c>
      <c r="AC22" s="11" t="n">
        <f aca="false">IF(Time!AC17&lt;Time!$F$11,SUMIFS(Funding!$J$73:$BJ$73,Construction!$J$12:$BJ$12,"&lt;="&amp;Time!AC17),Debt!AC123)</f>
        <v>341.768152189568</v>
      </c>
      <c r="AD22" s="11" t="n">
        <f aca="false">IF(Time!AD17&lt;Time!$F$11,SUMIFS(Funding!$J$73:$BJ$73,Construction!$J$12:$BJ$12,"&lt;="&amp;Time!AD17),Debt!AD123)</f>
        <v>309.44067582598</v>
      </c>
      <c r="AE22" s="11" t="n">
        <f aca="false">IF(Time!AE17&lt;Time!$F$11,SUMIFS(Funding!$J$73:$BJ$73,Construction!$J$12:$BJ$12,"&lt;="&amp;Time!AE17),Debt!AE123)</f>
        <v>276.113065824288</v>
      </c>
      <c r="AF22" s="11" t="n">
        <f aca="false">IF(Time!AF17&lt;Time!$F$11,SUMIFS(Funding!$J$73:$BJ$73,Construction!$J$12:$BJ$12,"&lt;="&amp;Time!AF17),Debt!AF123)</f>
        <v>241.814125546661</v>
      </c>
      <c r="AG22" s="11" t="n">
        <f aca="false">IF(Time!AG17&lt;Time!$F$11,SUMIFS(Funding!$J$73:$BJ$73,Construction!$J$12:$BJ$12,"&lt;="&amp;Time!AG17),Debt!AG123)</f>
        <v>207.587608467207</v>
      </c>
      <c r="AH22" s="11" t="n">
        <f aca="false">IF(Time!AH17&lt;Time!$F$11,SUMIFS(Funding!$J$73:$BJ$73,Construction!$J$12:$BJ$12,"&lt;="&amp;Time!AH17),Debt!AH123)</f>
        <v>171.948797344354</v>
      </c>
      <c r="AI22" s="11" t="n">
        <f aca="false">IF(Time!AI17&lt;Time!$F$11,SUMIFS(Funding!$J$73:$BJ$73,Construction!$J$12:$BJ$12,"&lt;="&amp;Time!AI17),Debt!AI123)</f>
        <v>136.283529921639</v>
      </c>
      <c r="AJ22" s="11" t="n">
        <f aca="false">IF(Time!AJ17&lt;Time!$F$11,SUMIFS(Funding!$J$73:$BJ$73,Construction!$J$12:$BJ$12,"&lt;="&amp;Time!AJ17),Debt!AJ123)</f>
        <v>100.391694754139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199.675119693527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196.544545393509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192.496997063632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188.916697400001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184.570544420358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180.881110838189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175.878116675021</v>
      </c>
      <c r="W23" s="11" t="n">
        <f aca="false">IF(Time!W17&lt;Time!$F$11,SUMIFS(Funding!$J$70:$BJ$70,Construction!$J$12:$BJ$12,"&lt;="&amp;Time!W17)+SUMIFS(Funding!$J$71:$BJ$71,Construction!$J$12:$BJ$12,"&lt;="&amp;Time!W17),Waterfall!W36)</f>
        <v>169.759100519305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164.608152297051</v>
      </c>
      <c r="Y23" s="11" t="n">
        <f aca="false">IF(Time!Y17&lt;Time!$F$11,SUMIFS(Funding!$J$70:$BJ$70,Construction!$J$12:$BJ$12,"&lt;="&amp;Time!Y17)+SUMIFS(Funding!$J$71:$BJ$71,Construction!$J$12:$BJ$12,"&lt;="&amp;Time!Y17),Waterfall!Y36)</f>
        <v>159.864108549955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154.318013560692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155.402602111266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155.650731062038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156.157095899551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155.42668614414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153.926361191679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151.578532576946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148.563570937916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144.139628303026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138.512408961071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130.090628863644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104.3632884289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79.6550050426414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50.0548984009019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28.9509302882274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24.0950407856378</v>
      </c>
      <c r="P24" s="11" t="n">
        <f aca="false">Operations!P85+Operations!P86+Operations!P87+Operations!P88+Operations!P89</f>
        <v>24.0020909203874</v>
      </c>
      <c r="Q24" s="11" t="n">
        <f aca="false">Operations!Q85+Operations!Q86+Operations!Q87+Operations!Q88+Operations!Q89</f>
        <v>24.743857750018</v>
      </c>
      <c r="R24" s="11" t="n">
        <f aca="false">Operations!R85+Operations!R86+Operations!R87+Operations!R88+Operations!R89</f>
        <v>24.2599654195137</v>
      </c>
      <c r="S24" s="11" t="n">
        <f aca="false">Operations!S85+Operations!S86+Operations!S87+Operations!S88+Operations!S89</f>
        <v>25.1525126563782</v>
      </c>
      <c r="T24" s="11" t="n">
        <f aca="false">Operations!T85+Operations!T86+Operations!T87+Operations!T88+Operations!T89</f>
        <v>24.9431978853216</v>
      </c>
      <c r="U24" s="11" t="n">
        <f aca="false">Operations!U85+Operations!U86+Operations!U87+Operations!U88+Operations!U89</f>
        <v>25.3974858364738</v>
      </c>
      <c r="V24" s="11" t="n">
        <f aca="false">Operations!V85+Operations!V86+Operations!V87+Operations!V88+Operations!V89</f>
        <v>24.6578860928367</v>
      </c>
      <c r="W24" s="11" t="n">
        <f aca="false">Operations!W85+Operations!W86+Operations!W87+Operations!W88+Operations!W89</f>
        <v>25.7569302744051</v>
      </c>
      <c r="X24" s="11" t="n">
        <f aca="false">Operations!X85+Operations!X86+Operations!X87+Operations!X88+Operations!X89</f>
        <v>25.9212834929621</v>
      </c>
      <c r="Y24" s="11" t="n">
        <f aca="false">Operations!Y85+Operations!Y86+Operations!Y87+Operations!Y88+Operations!Y89</f>
        <v>26.722769067278</v>
      </c>
      <c r="Z24" s="11" t="n">
        <f aca="false">Operations!Z85+Operations!Z86+Operations!Z87+Operations!Z88+Operations!Z89</f>
        <v>26.199534659376</v>
      </c>
      <c r="AA24" s="11" t="n">
        <f aca="false">Operations!AA85+Operations!AA86+Operations!AA87+Operations!AA88+Operations!AA89</f>
        <v>27.1640726156399</v>
      </c>
      <c r="AB24" s="11" t="n">
        <f aca="false">Operations!AB85+Operations!AB86+Operations!AB87+Operations!AB88+Operations!AB89</f>
        <v>26.9377965229593</v>
      </c>
      <c r="AC24" s="11" t="n">
        <f aca="false">Operations!AC85+Operations!AC86+Operations!AC87+Operations!AC88+Operations!AC89</f>
        <v>27.2619368464678</v>
      </c>
      <c r="AD24" s="11" t="n">
        <f aca="false">Operations!AD85+Operations!AD86+Operations!AD87+Operations!AD88+Operations!AD89</f>
        <v>26.139656782334</v>
      </c>
      <c r="AE24" s="11" t="n">
        <f aca="false">Operations!AE85+Operations!AE86+Operations!AE87+Operations!AE88+Operations!AE89</f>
        <v>27.4751450478633</v>
      </c>
      <c r="AF24" s="11" t="n">
        <f aca="false">Operations!AF85+Operations!AF86+Operations!AF87+Operations!AF88+Operations!AF89</f>
        <v>27.9942422727087</v>
      </c>
      <c r="AG24" s="11" t="n">
        <f aca="false">Operations!AG85+Operations!AG86+Operations!AG87+Operations!AG88+Operations!AG89</f>
        <v>28.8602399073182</v>
      </c>
      <c r="AH24" s="11" t="n">
        <f aca="false">Operations!AH85+Operations!AH86+Operations!AH87+Operations!AH88+Operations!AH89</f>
        <v>28.2944803006464</v>
      </c>
      <c r="AI24" s="11" t="n">
        <f aca="false">Operations!AI85+Operations!AI86+Operations!AI87+Operations!AI88+Operations!AI89</f>
        <v>29.3367940784108</v>
      </c>
      <c r="AJ24" s="11" t="n">
        <f aca="false">Operations!AJ85+Operations!AJ86+Operations!AJ87+Operations!AJ88+Operations!AJ89</f>
        <v>29.0921847497958</v>
      </c>
      <c r="AK24" s="11" t="n">
        <f aca="false">Operations!AK85+Operations!AK86+Operations!AK87+Operations!AK88+Operations!AK89</f>
        <v>29.6218707145224</v>
      </c>
      <c r="AL24" s="11" t="n">
        <f aca="false">Operations!AL85+Operations!AL86+Operations!AL87+Operations!AL88+Operations!AL89</f>
        <v>28.7570864814343</v>
      </c>
      <c r="AM24" s="11" t="n">
        <f aca="false">Operations!AM85+Operations!AM86+Operations!AM87+Operations!AM88+Operations!AM89</f>
        <v>30.0408344605258</v>
      </c>
      <c r="AN24" s="11" t="n">
        <f aca="false">Operations!AN85+Operations!AN86+Operations!AN87+Operations!AN88+Operations!AN89</f>
        <v>30.2332489489033</v>
      </c>
      <c r="AO24" s="11" t="n">
        <f aca="false">Operations!AO85+Operations!AO86+Operations!AO87+Operations!AO88+Operations!AO89</f>
        <v>31.1689343564011</v>
      </c>
      <c r="AP24" s="11" t="n">
        <f aca="false">Operations!AP85+Operations!AP86+Operations!AP87+Operations!AP88+Operations!AP89</f>
        <v>30.5572110233702</v>
      </c>
      <c r="AQ24" s="11" t="n">
        <f aca="false">Operations!AQ85+Operations!AQ86+Operations!AQ87+Operations!AQ88+Operations!AQ89</f>
        <v>31.6835476594038</v>
      </c>
      <c r="AR24" s="11" t="n">
        <f aca="false">Operations!AR85+Operations!AR86+Operations!AR87+Operations!AR88+Operations!AR89</f>
        <v>31.4191232164055</v>
      </c>
      <c r="AS24" s="11" t="n">
        <f aca="false">Operations!AS85+Operations!AS86+Operations!AS87+Operations!AS88+Operations!AS89</f>
        <v>31.7964704147147</v>
      </c>
      <c r="AT24" s="11" t="n">
        <f aca="false">Operations!AT85+Operations!AT86+Operations!AT87+Operations!AT88+Operations!AT89</f>
        <v>30.484448469376</v>
      </c>
      <c r="AU24" s="11" t="n">
        <f aca="false">Operations!AU85+Operations!AU86+Operations!AU87+Operations!AU88+Operations!AU89</f>
        <v>32.0443147408864</v>
      </c>
      <c r="AV24" s="11" t="n">
        <f aca="false">Operations!AV85+Operations!AV86+Operations!AV87+Operations!AV88+Operations!AV89</f>
        <v>32.6515617060015</v>
      </c>
      <c r="AW24" s="11" t="n">
        <f aca="false">Operations!AW85+Operations!AW86+Operations!AW87+Operations!AW88+Operations!AW89</f>
        <v>33.6625232797777</v>
      </c>
      <c r="AX24" s="11" t="n">
        <f aca="false">Operations!AX85+Operations!AX86+Operations!AX87+Operations!AX88+Operations!AX89</f>
        <v>33.0011219807664</v>
      </c>
      <c r="AY24" s="11" t="n">
        <f aca="false">Operations!AY85+Operations!AY86+Operations!AY87+Operations!AY88+Operations!AY89</f>
        <v>34.2182270547156</v>
      </c>
      <c r="AZ24" s="11" t="n">
        <f aca="false">Operations!AZ85+Operations!AZ86+Operations!AZ87+Operations!AZ88+Operations!AZ89</f>
        <v>33.9323869288598</v>
      </c>
      <c r="BA24" s="11" t="n">
        <f aca="false">Operations!BA85+Operations!BA86+Operations!BA87+Operations!BA88+Operations!BA89</f>
        <v>34.5499587648757</v>
      </c>
      <c r="BB24" s="11" t="n">
        <f aca="false">Operations!BB85+Operations!BB86+Operations!BB87+Operations!BB88+Operations!BB89</f>
        <v>33.5389517240444</v>
      </c>
      <c r="BC24" s="11" t="n">
        <f aca="false">Operations!BC85+Operations!BC86+Operations!BC87+Operations!BC88+Operations!BC89</f>
        <v>35.0382945229914</v>
      </c>
      <c r="BD24" s="11" t="n">
        <f aca="false">Operations!BD85+Operations!BD86+Operations!BD87+Operations!BD88+Operations!BD89</f>
        <v>35.2634924018826</v>
      </c>
      <c r="BE24" s="11" t="n">
        <f aca="false">Operations!BE85+Operations!BE86+Operations!BE87+Operations!BE88+Operations!BE89</f>
        <v>36.3557638775137</v>
      </c>
      <c r="BF24" s="11" t="n">
        <f aca="false">Operations!BF85+Operations!BF86+Operations!BF87+Operations!BF88+Operations!BF89</f>
        <v>35.6406727572552</v>
      </c>
      <c r="BG24" s="11" t="n">
        <f aca="false">Operations!BG85+Operations!BG86+Operations!BG87+Operations!BG88+Operations!BG89</f>
        <v>36.9558298755099</v>
      </c>
      <c r="BH24" s="11" t="n">
        <f aca="false">Operations!BH85+Operations!BH86+Operations!BH87+Operations!BH88+Operations!BH89</f>
        <v>36.6468453978323</v>
      </c>
      <c r="BI24" s="11" t="n">
        <f aca="false">Operations!BI85+Operations!BI86+Operations!BI87+Operations!BI88+Operations!BI89</f>
        <v>37.0861360234859</v>
      </c>
      <c r="BJ24" s="11" t="n">
        <f aca="false">Operations!BJ85+Operations!BJ86+Operations!BJ87+Operations!BJ88+Operations!BJ89</f>
        <v>35.5525198700651</v>
      </c>
      <c r="BK24" s="11" t="n">
        <f aca="false">Operations!BK85+Operations!BK86+Operations!BK87+Operations!BK88+Operations!BK89</f>
        <v>37.3742725786475</v>
      </c>
      <c r="BL24" s="11" t="n">
        <f aca="false">Operations!BL85+Operations!BL86+Operations!BL87+Operations!BL88+Operations!BL89</f>
        <v>38.0844898012039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7.00035082662446</v>
      </c>
      <c r="AK25" s="11" t="n">
        <f aca="false">MAX(0,AK12)</f>
        <v>15.2972527640104</v>
      </c>
      <c r="AL25" s="11" t="n">
        <f aca="false">MAX(0,AL12)</f>
        <v>23.2945065903223</v>
      </c>
      <c r="AM25" s="11" t="n">
        <f aca="false">MAX(0,AM12)</f>
        <v>31.9614262996661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25.898034096354</v>
      </c>
      <c r="R27" s="16" t="n">
        <f aca="false">Waterfall!R43</f>
        <v>35.1040275901293</v>
      </c>
      <c r="S27" s="16" t="n">
        <f aca="false">Waterfall!S43</f>
        <v>45.5389417020596</v>
      </c>
      <c r="T27" s="16" t="n">
        <f aca="false">Waterfall!T43</f>
        <v>56.456669276486</v>
      </c>
      <c r="U27" s="16" t="n">
        <f aca="false">Waterfall!U43</f>
        <v>68.6055233629479</v>
      </c>
      <c r="V27" s="16" t="n">
        <f aca="false">Waterfall!V43</f>
        <v>79.0699942459125</v>
      </c>
      <c r="W27" s="16" t="n">
        <f aca="false">Waterfall!W43</f>
        <v>93.3455880987402</v>
      </c>
      <c r="X27" s="16" t="n">
        <f aca="false">Waterfall!X43</f>
        <v>108.299883177138</v>
      </c>
      <c r="Y27" s="16" t="n">
        <f aca="false">Waterfall!Y43</f>
        <v>121.253833874482</v>
      </c>
      <c r="Z27" s="16" t="n">
        <f aca="false">Waterfall!Z43</f>
        <v>129.006645978886</v>
      </c>
      <c r="AA27" s="16" t="n">
        <f aca="false">Waterfall!AA43</f>
        <v>137.734064885907</v>
      </c>
      <c r="AB27" s="16" t="n">
        <f aca="false">Waterfall!AB43</f>
        <v>147.028896786851</v>
      </c>
      <c r="AC27" s="16" t="n">
        <f aca="false">Waterfall!AC43</f>
        <v>157.381988410481</v>
      </c>
      <c r="AD27" s="16" t="n">
        <f aca="false">Waterfall!AD43</f>
        <v>159.657652830825</v>
      </c>
      <c r="AE27" s="16" t="n">
        <f aca="false">Waterfall!AE43</f>
        <v>171.950471413052</v>
      </c>
      <c r="AF27" s="16" t="n">
        <f aca="false">Waterfall!AF43</f>
        <v>184.96769001954</v>
      </c>
      <c r="AG27" s="16" t="n">
        <f aca="false">Waterfall!AG43</f>
        <v>199.082224294238</v>
      </c>
      <c r="AH27" s="16" t="n">
        <f aca="false">Waterfall!AH43</f>
        <v>214.212506978461</v>
      </c>
      <c r="AI27" s="16" t="n">
        <f aca="false">Waterfall!AI43</f>
        <v>230.654646682377</v>
      </c>
      <c r="AJ27" s="16" t="n">
        <f aca="false">Waterfall!AJ43</f>
        <v>248.205503788557</v>
      </c>
      <c r="AK27" s="16" t="n">
        <f aca="false">Waterfall!AK43</f>
        <v>267.190510035761</v>
      </c>
      <c r="AL27" s="16" t="n">
        <f aca="false">Waterfall!AL43</f>
        <v>285.475579328215</v>
      </c>
      <c r="AM27" s="16" t="n">
        <f aca="false">Waterfall!AM43</f>
        <v>307.54791859368</v>
      </c>
      <c r="AN27" s="16" t="n">
        <f aca="false">Waterfall!AN43</f>
        <v>330.977364778949</v>
      </c>
      <c r="AO27" s="16" t="n">
        <f aca="false">Waterfall!AO43</f>
        <v>344.36581595806</v>
      </c>
      <c r="AP27" s="16" t="n">
        <f aca="false">Waterfall!AP43</f>
        <v>328.77603947434</v>
      </c>
      <c r="AQ27" s="16" t="n">
        <f aca="false">Waterfall!AQ43</f>
        <v>313.714089783177</v>
      </c>
      <c r="AR27" s="16" t="n">
        <f aca="false">Waterfall!AR43</f>
        <v>298.123800916729</v>
      </c>
      <c r="AS27" s="16" t="n">
        <f aca="false">Waterfall!AS43</f>
        <v>282.978611470768</v>
      </c>
      <c r="AT27" s="16" t="n">
        <f aca="false">Waterfall!AT43</f>
        <v>250.791823764192</v>
      </c>
      <c r="AU27" s="16" t="n">
        <f aca="false">Waterfall!AU43</f>
        <v>233.635519935914</v>
      </c>
      <c r="AV27" s="16" t="n">
        <f aca="false">Waterfall!AV43</f>
        <v>216.285266680756</v>
      </c>
      <c r="AW27" s="16" t="n">
        <f aca="false">Waterfall!AW43</f>
        <v>199.474851696834</v>
      </c>
      <c r="AX27" s="16" t="n">
        <f aca="false">Waterfall!AX43</f>
        <v>182.124316369977</v>
      </c>
      <c r="AY27" s="16" t="n">
        <f aca="false">Waterfall!AY43</f>
        <v>165.317191851896</v>
      </c>
      <c r="AZ27" s="16" t="n">
        <f aca="false">Waterfall!AZ43</f>
        <v>147.965578199659</v>
      </c>
      <c r="BA27" s="16" t="n">
        <f aca="false">Waterfall!BA43</f>
        <v>131.568444049442</v>
      </c>
      <c r="BB27" s="16" t="n">
        <f aca="false">Waterfall!BB43</f>
        <v>111.67999825487</v>
      </c>
      <c r="BC27" s="16" t="n">
        <f aca="false">Waterfall!BC43</f>
        <v>97.7318221903981</v>
      </c>
      <c r="BD27" s="16" t="n">
        <f aca="false">Waterfall!BD43</f>
        <v>89.8897839692382</v>
      </c>
      <c r="BE27" s="16" t="n">
        <f aca="false">Waterfall!BE43</f>
        <v>82.6223382422655</v>
      </c>
      <c r="BF27" s="16" t="n">
        <f aca="false">Waterfall!BF43</f>
        <v>74.8149197117575</v>
      </c>
      <c r="BG27" s="16" t="n">
        <f aca="false">Waterfall!BG43</f>
        <v>67.5848814330647</v>
      </c>
      <c r="BH27" s="16" t="n">
        <f aca="false">Waterfall!BH43</f>
        <v>59.8102249018334</v>
      </c>
      <c r="BI27" s="16" t="n">
        <f aca="false">Waterfall!BI43</f>
        <v>52.528816831334</v>
      </c>
      <c r="BJ27" s="16" t="n">
        <f aca="false">Waterfall!BJ43</f>
        <v>25.0569291745698</v>
      </c>
      <c r="BK27" s="16" t="n">
        <f aca="false">Waterfall!BK43</f>
        <v>15.3762162684428</v>
      </c>
      <c r="BL27" s="16" t="n">
        <f aca="false">Waterfall!BL43</f>
        <v>4.87363325991664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902.970860103629</v>
      </c>
      <c r="Q28" s="11" t="n">
        <f aca="false">Q22+Q23+Q24+Q25+Q26+Q27</f>
        <v>893.174185169152</v>
      </c>
      <c r="R28" s="11" t="n">
        <f aca="false">R22+R23+R24+R25+R26+R27</f>
        <v>880.908176657117</v>
      </c>
      <c r="S28" s="11" t="n">
        <f aca="false">S22+S23+S24+S25+S26+S27</f>
        <v>871.21556605998</v>
      </c>
      <c r="T28" s="11" t="n">
        <f aca="false">T22+T23+T24+T25+T26+T27</f>
        <v>859.335830325945</v>
      </c>
      <c r="U28" s="11" t="n">
        <f aca="false">U22+U23+U24+U25+U26+U27</f>
        <v>849.425773871772</v>
      </c>
      <c r="V28" s="11" t="n">
        <f aca="false">V22+V23+V24+V25+V26+V27</f>
        <v>834.094142676185</v>
      </c>
      <c r="W28" s="11" t="n">
        <f aca="false">W22+W23+W24+W25+W26+W27</f>
        <v>822.683232945764</v>
      </c>
      <c r="X28" s="11" t="n">
        <f aca="false">X22+X23+X24+X25+X26+X27</f>
        <v>812.558057484729</v>
      </c>
      <c r="Y28" s="11" t="n">
        <f aca="false">Y22+Y23+Y24+Y25+Y26+Y27</f>
        <v>801.467119781521</v>
      </c>
      <c r="Z28" s="11" t="n">
        <f aca="false">Z22+Z23+Z24+Z25+Z26+Z27</f>
        <v>782.215473830458</v>
      </c>
      <c r="AA28" s="11" t="n">
        <f aca="false">AA22+AA23+AA24+AA25+AA26+AA27</f>
        <v>765.260681394723</v>
      </c>
      <c r="AB28" s="11" t="n">
        <f aca="false">AB22+AB23+AB24+AB25+AB26+AB27</f>
        <v>745.151054834772</v>
      </c>
      <c r="AC28" s="11" t="n">
        <f aca="false">AC22+AC23+AC24+AC25+AC26+AC27</f>
        <v>726.935926862879</v>
      </c>
      <c r="AD28" s="11" t="n">
        <f aca="false">AD22+AD23+AD24+AD25+AD26+AD27</f>
        <v>695.031425100091</v>
      </c>
      <c r="AE28" s="11" t="n">
        <f aca="false">AE22+AE23+AE24+AE25+AE26+AE27</f>
        <v>673.831796993694</v>
      </c>
      <c r="AF28" s="11" t="n">
        <f aca="false">AF22+AF23+AF24+AF25+AF26+AF27</f>
        <v>650.721343932667</v>
      </c>
      <c r="AG28" s="11" t="n">
        <f aca="false">AG22+AG23+AG24+AG25+AG26+AG27</f>
        <v>628.460397123491</v>
      </c>
      <c r="AH28" s="11" t="n">
        <f aca="false">AH22+AH23+AH24+AH25+AH26+AH27</f>
        <v>602.9621664433</v>
      </c>
      <c r="AI28" s="11" t="n">
        <f aca="false">AI22+AI23+AI24+AI25+AI26+AI27</f>
        <v>579.154133160309</v>
      </c>
      <c r="AJ28" s="11" t="n">
        <f aca="false">AJ22+AJ23+AJ24+AJ25+AJ26+AJ27</f>
        <v>559.147116499572</v>
      </c>
      <c r="AK28" s="11" t="n">
        <f aca="false">AK22+AK23+AK24+AK25+AK26+AK27</f>
        <v>540.916742997188</v>
      </c>
      <c r="AL28" s="11" t="n">
        <f aca="false">AL22+AL23+AL24+AL25+AL26+AL27</f>
        <v>520.085611912633</v>
      </c>
      <c r="AM28" s="11" t="n">
        <f aca="false">AM22+AM23+AM24+AM25+AM26+AM27</f>
        <v>500.520409420917</v>
      </c>
      <c r="AN28" s="11" t="n">
        <f aca="false">AN22+AN23+AN24+AN25+AN26+AN27</f>
        <v>485.902402058952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151.468455315689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90.5042854768517</v>
      </c>
      <c r="BM28" s="11" t="n">
        <f aca="false">BM22+BM23+BM24+BM25+BM26+BM27</f>
        <v>-1.98951966012828E-013</v>
      </c>
      <c r="BN28" s="11" t="n">
        <f aca="false">BN22+BN23+BN24+BN25+BN26+BN27</f>
        <v>-1.98951966012828E-013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0.0352624220237515</v>
      </c>
      <c r="AC7" s="14" t="n">
        <f aca="false">IF(Debt!AC122&gt;0.000000001,Debt!AC119/Debt!AC122,0)</f>
        <v>0.0347472493209808</v>
      </c>
      <c r="AD7" s="14" t="n">
        <f aca="false">IF(Debt!AD122&gt;0.000000001,Debt!AD119/Debt!AD122,0)</f>
        <v>0.0347124156447249</v>
      </c>
      <c r="AE7" s="14" t="n">
        <f aca="false">IF(Debt!AE122&gt;0.000000001,Debt!AE119/Debt!AE122,0)</f>
        <v>0.0339803851521973</v>
      </c>
      <c r="AF7" s="14" t="n">
        <f aca="false">IF(Debt!AF122&gt;0.000000001,Debt!AF119/Debt!AF122,0)</f>
        <v>0.0338612343719637</v>
      </c>
      <c r="AG7" s="14" t="n">
        <f aca="false">IF(Debt!AG122&gt;0.000000001,Debt!AG119/Debt!AG122,0)</f>
        <v>0.0337100867625269</v>
      </c>
      <c r="AH7" s="14" t="n">
        <f aca="false">IF(Debt!AH122&gt;0.000000001,Debt!AH119/Debt!AH122,0)</f>
        <v>0.0331678465933991</v>
      </c>
      <c r="AI7" s="14" t="n">
        <f aca="false">IF(Debt!AI122&gt;0.000000001,Debt!AI119/Debt!AI122,0)</f>
        <v>0.0316409009269127</v>
      </c>
      <c r="AJ7" s="14" t="n">
        <f aca="false">IF(Debt!AJ122&gt;0.000000001,Debt!AJ119/Debt!AJ122,0)</f>
        <v>0.0300896476857279</v>
      </c>
      <c r="AK7" s="14" t="n">
        <f aca="false">IF(Debt!AK122&gt;0.000000001,Debt!AK119/Debt!AK122,0)</f>
        <v>0.0270561290332525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0.0352624220237515</v>
      </c>
      <c r="AC10" s="14" t="n">
        <f aca="false">IF(AC7&gt;0,AC7,$F$9)</f>
        <v>0.0347472493209808</v>
      </c>
      <c r="AD10" s="14" t="n">
        <f aca="false">IF(AD7&gt;0,AD7,$F$9)</f>
        <v>0.0347124156447249</v>
      </c>
      <c r="AE10" s="14" t="n">
        <f aca="false">IF(AE7&gt;0,AE7,$F$9)</f>
        <v>0.0339803851521973</v>
      </c>
      <c r="AF10" s="14" t="n">
        <f aca="false">IF(AF7&gt;0,AF7,$F$9)</f>
        <v>0.0338612343719637</v>
      </c>
      <c r="AG10" s="14" t="n">
        <f aca="false">IF(AG7&gt;0,AG7,$F$9)</f>
        <v>0.0337100867625269</v>
      </c>
      <c r="AH10" s="14" t="n">
        <f aca="false">IF(AH7&gt;0,AH7,$F$9)</f>
        <v>0.0331678465933991</v>
      </c>
      <c r="AI10" s="14" t="n">
        <f aca="false">IF(AI7&gt;0,AI7,$F$9)</f>
        <v>0.0316409009269127</v>
      </c>
      <c r="AJ10" s="14" t="n">
        <f aca="false">IF(AJ7&gt;0,AJ7,$F$9)</f>
        <v>0.0300896476857279</v>
      </c>
      <c r="AK10" s="14" t="n">
        <f aca="false">IF(AK7&gt;0,AK7,$F$9)</f>
        <v>0.0270561290332525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735.706858520276</v>
      </c>
      <c r="K11" s="11" t="n">
        <f aca="false">IF(Time!K17&lt;=$F$8,(Waterfall!K7+L11)/(1+K10),0)</f>
        <v>755.579724718338</v>
      </c>
      <c r="L11" s="11" t="n">
        <f aca="false">IF(Time!L17&lt;=$F$8,(Waterfall!L7+M11)/(1+L10),0)</f>
        <v>775.989395496039</v>
      </c>
      <c r="M11" s="11" t="n">
        <f aca="false">IF(Time!M17&lt;=$F$8,(Waterfall!M7+N11)/(1+M10),0)</f>
        <v>796.950370984053</v>
      </c>
      <c r="N11" s="11" t="n">
        <f aca="false">IF(Time!N17&lt;=$F$8,(Waterfall!N7+O11)/(1+N10),0)</f>
        <v>818.477542989648</v>
      </c>
      <c r="O11" s="11" t="n">
        <f aca="false">IF(Time!O17&lt;=$F$8,(Waterfall!O7+P11)/(1+O10),0)</f>
        <v>840.586205576628</v>
      </c>
      <c r="P11" s="11" t="n">
        <f aca="false">IF(Time!P17&lt;=$F$8,(Waterfall!P7+Q11)/(1+P10),0)</f>
        <v>861.419818733239</v>
      </c>
      <c r="Q11" s="11" t="n">
        <f aca="false">IF(Time!Q17&lt;=$F$8,(Waterfall!Q7+R11)/(1+Q10),0)</f>
        <v>840.732851335879</v>
      </c>
      <c r="R11" s="11" t="n">
        <f aca="false">IF(Time!R17&lt;=$F$8,(Waterfall!R7+S11)/(1+R10),0)</f>
        <v>819.166271448437</v>
      </c>
      <c r="S11" s="11" t="n">
        <f aca="false">IF(Time!S17&lt;=$F$8,(Waterfall!S7+T11)/(1+S10),0)</f>
        <v>796.536420555296</v>
      </c>
      <c r="T11" s="11" t="n">
        <f aca="false">IF(Time!T17&lt;=$F$8,(Waterfall!T7+U11)/(1+T10),0)</f>
        <v>773.238312226194</v>
      </c>
      <c r="U11" s="11" t="n">
        <f aca="false">IF(Time!U17&lt;=$F$8,(Waterfall!U7+V11)/(1+U10),0)</f>
        <v>748.868309130674</v>
      </c>
      <c r="V11" s="11" t="n">
        <f aca="false">IF(Time!V17&lt;=$F$8,(Waterfall!V7+W11)/(1+V10),0)</f>
        <v>723.719848934454</v>
      </c>
      <c r="W11" s="11" t="n">
        <f aca="false">IF(Time!W17&lt;=$F$8,(Waterfall!W7+X11)/(1+W10),0)</f>
        <v>696.922199051764</v>
      </c>
      <c r="X11" s="11" t="n">
        <f aca="false">IF(Time!X17&lt;=$F$8,(Waterfall!X7+Y11)/(1+X10),0)</f>
        <v>669.3033677148</v>
      </c>
      <c r="Y11" s="11" t="n">
        <f aca="false">IF(Time!Y17&lt;=$F$8,(Waterfall!Y7+Z11)/(1+Y10),0)</f>
        <v>642.471679807345</v>
      </c>
      <c r="Z11" s="11" t="n">
        <f aca="false">IF(Time!Z17&lt;=$F$8,(Waterfall!Z7+AA11)/(1+Z10),0)</f>
        <v>615.643449148915</v>
      </c>
      <c r="AA11" s="11" t="n">
        <f aca="false">IF(Time!AA17&lt;=$F$8,(Waterfall!AA7+AB11)/(1+AA10),0)</f>
        <v>587.705344897929</v>
      </c>
      <c r="AB11" s="11" t="n">
        <f aca="false">IF(Time!AB17&lt;=$F$8,(Waterfall!AB7+AC11)/(1+AB10),0)</f>
        <v>558.95032076916</v>
      </c>
      <c r="AC11" s="11" t="n">
        <f aca="false">IF(Time!AC17&lt;=$F$8,(Waterfall!AC7+AD11)/(1+AC10),0)</f>
        <v>528.703852213953</v>
      </c>
      <c r="AD11" s="11" t="n">
        <f aca="false">IF(Time!AD17&lt;=$F$8,(Waterfall!AD7+AE11)/(1+AD10),0)</f>
        <v>497.323402341104</v>
      </c>
      <c r="AE11" s="11" t="n">
        <f aca="false">IF(Time!AE17&lt;=$F$8,(Waterfall!AE7+AF11)/(1+AE10),0)</f>
        <v>462.924156310278</v>
      </c>
      <c r="AF11" s="11" t="n">
        <f aca="false">IF(Time!AF17&lt;=$F$8,(Waterfall!AF7+AG11)/(1+AF10),0)</f>
        <v>426.908665500291</v>
      </c>
      <c r="AG11" s="11" t="n">
        <f aca="false">IF(Time!AG17&lt;=$F$8,(Waterfall!AG7+AH11)/(1+AG10),0)</f>
        <v>389.457634225425</v>
      </c>
      <c r="AH11" s="11" t="n">
        <f aca="false">IF(Time!AH17&lt;=$F$8,(Waterfall!AH7+AI11)/(1+AH10),0)</f>
        <v>351.047005713586</v>
      </c>
      <c r="AI11" s="11" t="n">
        <f aca="false">IF(Time!AI17&lt;=$F$8,(Waterfall!AI7+AJ11)/(1+AI10),0)</f>
        <v>310.481734267983</v>
      </c>
      <c r="AJ11" s="11" t="n">
        <f aca="false">IF(Time!AJ17&lt;=$F$8,(Waterfall!AJ7+AK11)/(1+AJ10),0)</f>
        <v>268.504415311054</v>
      </c>
      <c r="AK11" s="11" t="n">
        <f aca="false">IF(Time!AK17&lt;=$F$8,(Waterfall!AK7+AL11)/(1+AK10),0)</f>
        <v>224.181020281188</v>
      </c>
      <c r="AL11" s="11" t="n">
        <f aca="false">IF(Time!AL17&lt;=$F$8,(Waterfall!AL7+AM11)/(1+AL10),0)</f>
        <v>178.081957951946</v>
      </c>
      <c r="AM11" s="11" t="n">
        <f aca="false">IF(Time!AM17&lt;=$F$8,(Waterfall!AM7+AN11)/(1+AM10),0)</f>
        <v>129.64033052065</v>
      </c>
      <c r="AN11" s="11" t="n">
        <f aca="false">IF(Time!AN17&lt;=$F$8,(Waterfall!AN7+AO11)/(1+AN10),0)</f>
        <v>80.6575283156708</v>
      </c>
      <c r="AO11" s="11" t="n">
        <f aca="false">IF(Time!AO17&lt;=$F$8,(Waterfall!AO7+AP11)/(1+AO10),0)</f>
        <v>40.439912378849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1005.23061335946</v>
      </c>
      <c r="K12" s="11" t="n">
        <f aca="false">IF(Time!K17&lt;=Time!$F$14,(Waterfall!K7+L12)/(1+K10),0)</f>
        <v>1032.38383783485</v>
      </c>
      <c r="L12" s="11" t="n">
        <f aca="false">IF(Time!L17&lt;=Time!$F$14,(Waterfall!L7+M12)/(1+L10),0)</f>
        <v>1060.27052345798</v>
      </c>
      <c r="M12" s="11" t="n">
        <f aca="false">IF(Time!M17&lt;=Time!$F$14,(Waterfall!M7+N12)/(1+M10),0)</f>
        <v>1088.91048243404</v>
      </c>
      <c r="N12" s="11" t="n">
        <f aca="false">IF(Time!N17&lt;=Time!$F$14,(Waterfall!N7+O12)/(1+N10),0)</f>
        <v>1118.32406213426</v>
      </c>
      <c r="O12" s="11" t="n">
        <f aca="false">IF(Time!O17&lt;=Time!$F$14,(Waterfall!O7+P12)/(1+O10),0)</f>
        <v>1148.53215955171</v>
      </c>
      <c r="P12" s="11" t="n">
        <f aca="false">IF(Time!P17&lt;=Time!$F$14,(Waterfall!P7+Q12)/(1+P10),0)</f>
        <v>1177.68398894989</v>
      </c>
      <c r="Q12" s="11" t="n">
        <f aca="false">IF(Time!Q17&lt;=Time!$F$14,(Waterfall!Q7+R12)/(1+Q10),0)</f>
        <v>1167.86261253277</v>
      </c>
      <c r="R12" s="11" t="n">
        <f aca="false">IF(Time!R17&lt;=Time!$F$14,(Waterfall!R7+S12)/(1+R10),0)</f>
        <v>1157.42252050604</v>
      </c>
      <c r="S12" s="11" t="n">
        <f aca="false">IF(Time!S17&lt;=Time!$F$14,(Waterfall!S7+T12)/(1+S10),0)</f>
        <v>1146.4221971771</v>
      </c>
      <c r="T12" s="11" t="n">
        <f aca="false">IF(Time!T17&lt;=Time!$F$14,(Waterfall!T7+U12)/(1+T10),0)</f>
        <v>1135.02882581638</v>
      </c>
      <c r="U12" s="11" t="n">
        <f aca="false">IF(Time!U17&lt;=Time!$F$14,(Waterfall!U7+V12)/(1+U10),0)</f>
        <v>1123.10195667814</v>
      </c>
      <c r="V12" s="11" t="n">
        <f aca="false">IF(Time!V17&lt;=Time!$F$14,(Waterfall!V7+W12)/(1+V10),0)</f>
        <v>1110.73263718335</v>
      </c>
      <c r="W12" s="11" t="n">
        <f aca="false">IF(Time!W17&lt;=Time!$F$14,(Waterfall!W7+X12)/(1+W10),0)</f>
        <v>1097.24559602717</v>
      </c>
      <c r="X12" s="11" t="n">
        <f aca="false">IF(Time!X17&lt;=Time!$F$14,(Waterfall!X7+Y12)/(1+X10),0)</f>
        <v>1083.24762344386</v>
      </c>
      <c r="Y12" s="11" t="n">
        <f aca="false">IF(Time!Y17&lt;=Time!$F$14,(Waterfall!Y7+Z12)/(1+Y10),0)</f>
        <v>1070.65280364489</v>
      </c>
      <c r="Z12" s="11" t="n">
        <f aca="false">IF(Time!Z17&lt;=Time!$F$14,(Waterfall!Z7+AA12)/(1+Z10),0)</f>
        <v>1058.84776072102</v>
      </c>
      <c r="AA12" s="11" t="n">
        <f aca="false">IF(Time!AA17&lt;=Time!$F$14,(Waterfall!AA7+AB12)/(1+AA10),0)</f>
        <v>1046.63109449261</v>
      </c>
      <c r="AB12" s="11" t="n">
        <f aca="false">IF(Time!AB17&lt;=Time!$F$14,(Waterfall!AB7+AC12)/(1+AB10),0)</f>
        <v>1033.97796582012</v>
      </c>
      <c r="AC12" s="11" t="n">
        <f aca="false">IF(Time!AC17&lt;=Time!$F$14,(Waterfall!AC7+AD12)/(1+AC10),0)</f>
        <v>1020.48212255765</v>
      </c>
      <c r="AD12" s="11" t="n">
        <f aca="false">IF(Time!AD17&lt;=Time!$F$14,(Waterfall!AD7+AE12)/(1+AD10),0)</f>
        <v>1006.18961485508</v>
      </c>
      <c r="AE12" s="11" t="n">
        <f aca="false">IF(Time!AE17&lt;=Time!$F$14,(Waterfall!AE7+AF12)/(1+AE10),0)</f>
        <v>989.454344300592</v>
      </c>
      <c r="AF12" s="11" t="n">
        <f aca="false">IF(Time!AF17&lt;=Time!$F$14,(Waterfall!AF7+AG12)/(1+AF10),0)</f>
        <v>971.330552072775</v>
      </c>
      <c r="AG12" s="11" t="n">
        <f aca="false">IF(Time!AG17&lt;=Time!$F$14,(Waterfall!AG7+AH12)/(1+AG10),0)</f>
        <v>952.314317896367</v>
      </c>
      <c r="AH12" s="11" t="n">
        <f aca="false">IF(Time!AH17&lt;=Time!$F$14,(Waterfall!AH7+AI12)/(1+AH10),0)</f>
        <v>932.877637025943</v>
      </c>
      <c r="AI12" s="11" t="n">
        <f aca="false">IF(Time!AI17&lt;=Time!$F$14,(Waterfall!AI7+AJ12)/(1+AI10),0)</f>
        <v>911.610434703049</v>
      </c>
      <c r="AJ12" s="11" t="n">
        <f aca="false">IF(Time!AJ17&lt;=Time!$F$14,(Waterfall!AJ7+AK12)/(1+AJ10),0)</f>
        <v>888.65336940091</v>
      </c>
      <c r="AK12" s="11" t="n">
        <f aca="false">IF(Time!AK17&lt;=Time!$F$14,(Waterfall!AK7+AL12)/(1+AK10),0)</f>
        <v>862.99003791228</v>
      </c>
      <c r="AL12" s="11" t="n">
        <f aca="false">IF(Time!AL17&lt;=Time!$F$14,(Waterfall!AL7+AM12)/(1+AL10),0)</f>
        <v>834.17467479167</v>
      </c>
      <c r="AM12" s="11" t="n">
        <f aca="false">IF(Time!AM17&lt;=Time!$F$14,(Waterfall!AM7+AN12)/(1+AM10),0)</f>
        <v>803.542366695532</v>
      </c>
      <c r="AN12" s="11" t="n">
        <f aca="false">IF(Time!AN17&lt;=Time!$F$14,(Waterfall!AN7+AO12)/(1+AN10),0)</f>
        <v>772.762962814772</v>
      </c>
      <c r="AO12" s="11" t="n">
        <f aca="false">IF(Time!AO17&lt;=Time!$F$14,(Waterfall!AO7+AP12)/(1+AO10),0)</f>
        <v>751.332214008505</v>
      </c>
      <c r="AP12" s="11" t="n">
        <f aca="false">IF(Time!AP17&lt;=Time!$F$14,(Waterfall!AP7+AQ12)/(1+AP10),0)</f>
        <v>730.094878617905</v>
      </c>
      <c r="AQ12" s="11" t="n">
        <f aca="false">IF(Time!AQ17&lt;=Time!$F$14,(Waterfall!AQ7+AR12)/(1+AQ10),0)</f>
        <v>708.194516593898</v>
      </c>
      <c r="AR12" s="11" t="n">
        <f aca="false">IF(Time!AR17&lt;=Time!$F$14,(Waterfall!AR7+AS12)/(1+AR10),0)</f>
        <v>686.149621852736</v>
      </c>
      <c r="AS12" s="11" t="n">
        <f aca="false">IF(Time!AS17&lt;=Time!$F$14,(Waterfall!AS7+AT12)/(1+AS10),0)</f>
        <v>662.912890340095</v>
      </c>
      <c r="AT12" s="11" t="n">
        <f aca="false">IF(Time!AT17&lt;=Time!$F$14,(Waterfall!AT7+AU12)/(1+AT10),0)</f>
        <v>639.313837654166</v>
      </c>
      <c r="AU12" s="11" t="n">
        <f aca="false">IF(Time!AU17&lt;=Time!$F$14,(Waterfall!AU7+AV12)/(1+AU10),0)</f>
        <v>608.344248760117</v>
      </c>
      <c r="AV12" s="11" t="n">
        <f aca="false">IF(Time!AV17&lt;=Time!$F$14,(Waterfall!AV7+AW12)/(1+AV10),0)</f>
        <v>580.97528362054</v>
      </c>
      <c r="AW12" s="11" t="n">
        <f aca="false">IF(Time!AW17&lt;=Time!$F$14,(Waterfall!AW7+AX12)/(1+AW10),0)</f>
        <v>552.743530956822</v>
      </c>
      <c r="AX12" s="11" t="n">
        <f aca="false">IF(Time!AX17&lt;=Time!$F$14,(Waterfall!AX7+AY12)/(1+AX10),0)</f>
        <v>524.173568799466</v>
      </c>
      <c r="AY12" s="11" t="n">
        <f aca="false">IF(Time!AY17&lt;=Time!$F$14,(Waterfall!AY7+AZ12)/(1+AY10),0)</f>
        <v>494.157036637173</v>
      </c>
      <c r="AZ12" s="11" t="n">
        <f aca="false">IF(Time!AZ17&lt;=Time!$F$14,(Waterfall!AZ7+BA12)/(1+AZ10),0)</f>
        <v>463.786622331188</v>
      </c>
      <c r="BA12" s="11" t="n">
        <f aca="false">IF(Time!BA17&lt;=Time!$F$14,(Waterfall!BA7+BB12)/(1+BA10),0)</f>
        <v>431.977954213421</v>
      </c>
      <c r="BB12" s="11" t="n">
        <f aca="false">IF(Time!BB17&lt;=Time!$F$14,(Waterfall!BB7+BC12)/(1+BB10),0)</f>
        <v>399.607716736053</v>
      </c>
      <c r="BC12" s="11" t="n">
        <f aca="false">IF(Time!BC17&lt;=Time!$F$14,(Waterfall!BC7+BD12)/(1+BC10),0)</f>
        <v>364.115934618425</v>
      </c>
      <c r="BD12" s="11" t="n">
        <f aca="false">IF(Time!BD17&lt;=Time!$F$14,(Waterfall!BD7+BE12)/(1+BD10),0)</f>
        <v>331.064530617226</v>
      </c>
      <c r="BE12" s="11" t="n">
        <f aca="false">IF(Time!BE17&lt;=Time!$F$14,(Waterfall!BE7+BF12)/(1+BE10),0)</f>
        <v>303.219495522308</v>
      </c>
      <c r="BF12" s="11" t="n">
        <f aca="false">IF(Time!BF17&lt;=Time!$F$14,(Waterfall!BF7+BG12)/(1+BF10),0)</f>
        <v>275.055289541356</v>
      </c>
      <c r="BG12" s="11" t="n">
        <f aca="false">IF(Time!BG17&lt;=Time!$F$14,(Waterfall!BG7+BH12)/(1+BG10),0)</f>
        <v>245.426011720282</v>
      </c>
      <c r="BH12" s="11" t="n">
        <f aca="false">IF(Time!BH17&lt;=Time!$F$14,(Waterfall!BH7+BI12)/(1+BH10),0)</f>
        <v>215.464021138613</v>
      </c>
      <c r="BI12" s="11" t="n">
        <f aca="false">IF(Time!BI17&lt;=Time!$F$14,(Waterfall!BI7+BJ12)/(1+BI10),0)</f>
        <v>184.051535079682</v>
      </c>
      <c r="BJ12" s="11" t="n">
        <f aca="false">IF(Time!BJ17&lt;=Time!$F$14,(Waterfall!BJ7+BK12)/(1+BJ10),0)</f>
        <v>152.051637534275</v>
      </c>
      <c r="BK12" s="11" t="n">
        <f aca="false">IF(Time!BK17&lt;=Time!$F$14,(Waterfall!BK7+BL12)/(1+BK10),0)</f>
        <v>111.163549527703</v>
      </c>
      <c r="BL12" s="11" t="n">
        <f aca="false">IF(Time!BL17&lt;=Time!$F$14,(Waterfall!BL7+BM12)/(1+BL10),0)</f>
        <v>74.4206376336424</v>
      </c>
      <c r="BM12" s="11" t="n">
        <f aca="false">IF(Time!BM17&lt;=Time!$F$14,(Waterfall!BM7+BN12)/(1+BM10),0)</f>
        <v>35.9370774508351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1.41911920120461</v>
      </c>
      <c r="Q13" s="6" t="n">
        <f aca="false">IF(Debt!Q122&gt;0.000000001,(Q11+Reserves!Q9)/Debt!Q122,0)</f>
        <v>1.42107124260319</v>
      </c>
      <c r="R13" s="6" t="n">
        <f aca="false">IF(Debt!R122&gt;0.000000001,(R11+Reserves!R9)/Debt!R122,0)</f>
        <v>1.42413756250786</v>
      </c>
      <c r="S13" s="6" t="n">
        <f aca="false">IF(Debt!S122&gt;0.000000001,(S11+Reserves!S9)/Debt!S122,0)</f>
        <v>1.42619743348287</v>
      </c>
      <c r="T13" s="6" t="n">
        <f aca="false">IF(Debt!T122&gt;0.000000001,(T11+Reserves!T9)/Debt!T122,0)</f>
        <v>1.42970979704806</v>
      </c>
      <c r="U13" s="6" t="n">
        <f aca="false">IF(Debt!U122&gt;0.000000001,(U11+Reserves!U9)/Debt!U122,0)</f>
        <v>1.43249711100918</v>
      </c>
      <c r="V13" s="6" t="n">
        <f aca="false">IF(Debt!V122&gt;0.000000001,(V11+Reserves!V9)/Debt!V122,0)</f>
        <v>1.43727620585866</v>
      </c>
      <c r="W13" s="6" t="n">
        <f aca="false">IF(Debt!W122&gt;0.000000001,(W11+Reserves!W9)/Debt!W122,0)</f>
        <v>1.44072653645519</v>
      </c>
      <c r="X13" s="6" t="n">
        <f aca="false">IF(Debt!X122&gt;0.000000001,(X11+Reserves!X9)/Debt!X122,0)</f>
        <v>1.44289130567684</v>
      </c>
      <c r="Y13" s="6" t="n">
        <f aca="false">IF(Debt!Y122&gt;0.000000001,(Y11+Reserves!Y9)/Debt!Y122,0)</f>
        <v>1.44673427663892</v>
      </c>
      <c r="Z13" s="6" t="n">
        <f aca="false">IF(Debt!Z122&gt;0.000000001,(Z11+Reserves!Z9)/Debt!Z122,0)</f>
        <v>1.45242245842694</v>
      </c>
      <c r="AA13" s="6" t="n">
        <f aca="false">IF(Debt!AA122&gt;0.000000001,(AA11+Reserves!AA9)/Debt!AA122,0)</f>
        <v>1.45749214483604</v>
      </c>
      <c r="AB13" s="6" t="n">
        <f aca="false">IF(Debt!AB122&gt;0.000000001,(AB11+Reserves!AB9)/Debt!AB122,0)</f>
        <v>1.48768148550433</v>
      </c>
      <c r="AC13" s="6" t="n">
        <f aca="false">IF(Debt!AC122&gt;0.000000001,(AC11+Reserves!AC9)/Debt!AC122,0)</f>
        <v>1.52200717164904</v>
      </c>
      <c r="AD13" s="6" t="n">
        <f aca="false">IF(Debt!AD122&gt;0.000000001,(AD11+Reserves!AD9)/Debt!AD122,0)</f>
        <v>1.56283465266763</v>
      </c>
      <c r="AE13" s="6" t="n">
        <f aca="false">IF(Debt!AE122&gt;0.000000001,(AE11+Reserves!AE9)/Debt!AE122,0)</f>
        <v>1.61255625160236</v>
      </c>
      <c r="AF13" s="6" t="n">
        <f aca="false">IF(Debt!AF122&gt;0.000000001,(AF11+Reserves!AF9)/Debt!AF122,0)</f>
        <v>1.67343005098578</v>
      </c>
      <c r="AG13" s="6" t="n">
        <f aca="false">IF(Debt!AG122&gt;0.000000001,(AG11+Reserves!AG9)/Debt!AG122,0)</f>
        <v>1.74987156113913</v>
      </c>
      <c r="AH13" s="6" t="n">
        <f aca="false">IF(Debt!AH122&gt;0.000000001,(AH11+Reserves!AH9)/Debt!AH122,0)</f>
        <v>1.84856147532668</v>
      </c>
      <c r="AI13" s="6" t="n">
        <f aca="false">IF(Debt!AI122&gt;0.000000001,(AI11+Reserves!AI9)/Debt!AI122,0)</f>
        <v>1.98500469963102</v>
      </c>
      <c r="AJ13" s="6" t="n">
        <f aca="false">IF(Debt!AJ122&gt;0.000000001,(AJ11+Reserves!AJ9)/Debt!AJ122,0)</f>
        <v>2.18382685354074</v>
      </c>
      <c r="AK13" s="6" t="n">
        <f aca="false">IF(Debt!AK122&gt;0.000000001,(AK11+Reserves!AK9)/Debt!AK122,0)</f>
        <v>2.49673124213242</v>
      </c>
      <c r="AL13" s="6" t="n">
        <f aca="false">IF(Debt!AL122&gt;0.000000001,(AL11+Reserves!AL9)/Debt!AL122,0)</f>
        <v>2.52002232341538</v>
      </c>
      <c r="AM13" s="6" t="n">
        <f aca="false">IF(Debt!AM122&gt;0.000000001,(AM11+Reserves!AM9)/Debt!AM122,0)</f>
        <v>2.6173267749225</v>
      </c>
      <c r="AN13" s="6" t="n">
        <f aca="false">IF(Debt!AN122&gt;0.000000001,(AN11+Reserves!AN9)/Debt!AN122,0)</f>
        <v>2.73032633890191</v>
      </c>
      <c r="AO13" s="6" t="n">
        <f aca="false">IF(Debt!AO122&gt;0.000000001,(AO11+Reserves!AO9)/Debt!AO122,0)</f>
        <v>3.22380001027538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1.36030270854512</v>
      </c>
      <c r="Q14" s="6" t="n">
        <f aca="false">IF(Debt!Q122&gt;0.000000001,Q11/Debt!Q122,0)</f>
        <v>1.36092387163716</v>
      </c>
      <c r="R14" s="6" t="n">
        <f aca="false">IF(Debt!R122&gt;0.000000001,R11/Debt!R122,0)</f>
        <v>1.36159854635464</v>
      </c>
      <c r="S14" s="6" t="n">
        <f aca="false">IF(Debt!S122&gt;0.000000001,S11/Debt!S122,0)</f>
        <v>1.3623449246915</v>
      </c>
      <c r="T14" s="6" t="n">
        <f aca="false">IF(Debt!T122&gt;0.000000001,T11/Debt!T122,0)</f>
        <v>1.36315741392107</v>
      </c>
      <c r="U14" s="6" t="n">
        <f aca="false">IF(Debt!U122&gt;0.000000001,U11/Debt!U122,0)</f>
        <v>1.36406216729339</v>
      </c>
      <c r="V14" s="6" t="n">
        <f aca="false">IF(Debt!V122&gt;0.000000001,V11/Debt!V122,0)</f>
        <v>1.36505867875158</v>
      </c>
      <c r="W14" s="6" t="n">
        <f aca="false">IF(Debt!W122&gt;0.000000001,W11/Debt!W122,0)</f>
        <v>1.3661889302867</v>
      </c>
      <c r="X14" s="6" t="n">
        <f aca="false">IF(Debt!X122&gt;0.000000001,X11/Debt!X122,0)</f>
        <v>1.36744656490113</v>
      </c>
      <c r="Y14" s="6" t="n">
        <f aca="false">IF(Debt!Y122&gt;0.000000001,Y11/Debt!Y122,0)</f>
        <v>1.36881916375544</v>
      </c>
      <c r="Z14" s="6" t="n">
        <f aca="false">IF(Debt!Z122&gt;0.000000001,Z11/Debt!Z122,0)</f>
        <v>1.37035107116394</v>
      </c>
      <c r="AA14" s="6" t="n">
        <f aca="false">IF(Debt!AA122&gt;0.000000001,AA11/Debt!AA122,0)</f>
        <v>1.37210294780215</v>
      </c>
      <c r="AB14" s="6" t="n">
        <f aca="false">IF(Debt!AB122&gt;0.000000001,AB11/Debt!AB122,0)</f>
        <v>1.39530660316487</v>
      </c>
      <c r="AC14" s="6" t="n">
        <f aca="false">IF(Debt!AC122&gt;0.000000001,AC11/Debt!AC122,0)</f>
        <v>1.42443705258407</v>
      </c>
      <c r="AD14" s="6" t="n">
        <f aca="false">IF(Debt!AD122&gt;0.000000001,AD11/Debt!AD122,0)</f>
        <v>1.45514846586775</v>
      </c>
      <c r="AE14" s="6" t="n">
        <f aca="false">IF(Debt!AE122&gt;0.000000001,AE11/Debt!AE122,0)</f>
        <v>1.49600292551912</v>
      </c>
      <c r="AF14" s="6" t="n">
        <f aca="false">IF(Debt!AF122&gt;0.000000001,AF11/Debt!AF122,0)</f>
        <v>1.54613713851544</v>
      </c>
      <c r="AG14" s="6" t="n">
        <f aca="false">IF(Debt!AG122&gt;0.000000001,AG11/Debt!AG122,0)</f>
        <v>1.61056610462682</v>
      </c>
      <c r="AH14" s="6" t="n">
        <f aca="false">IF(Debt!AH122&gt;0.000000001,AH11/Debt!AH122,0)</f>
        <v>1.69107880911418</v>
      </c>
      <c r="AI14" s="6" t="n">
        <f aca="false">IF(Debt!AI122&gt;0.000000001,AI11/Debt!AI122,0)</f>
        <v>1.80566388985085</v>
      </c>
      <c r="AJ14" s="6" t="n">
        <f aca="false">IF(Debt!AJ122&gt;0.000000001,AJ11/Debt!AJ122,0)</f>
        <v>1.97018976148799</v>
      </c>
      <c r="AK14" s="6" t="n">
        <f aca="false">IF(Debt!AK122&gt;0.000000001,AK11/Debt!AK122,0)</f>
        <v>2.23306341057605</v>
      </c>
      <c r="AL14" s="6" t="n">
        <f aca="false">IF(Debt!AL122&gt;0.000000001,AL11/Debt!AL122,0)</f>
        <v>2.22388211043387</v>
      </c>
      <c r="AM14" s="6" t="n">
        <f aca="false">IF(Debt!AM122&gt;0.000000001,AM11/Debt!AM122,0)</f>
        <v>2.21468536325589</v>
      </c>
      <c r="AN14" s="6" t="n">
        <f aca="false">IF(Debt!AN122&gt;0.000000001,AN11/Debt!AN122,0)</f>
        <v>2.20685817068224</v>
      </c>
      <c r="AO14" s="6" t="n">
        <f aca="false">IF(Debt!AO122&gt;0.000000001,AO11/Debt!AO122,0)</f>
        <v>2.19678807479059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1.8597281896005</v>
      </c>
      <c r="Q15" s="6" t="n">
        <f aca="false">IF(Debt!Q122&gt;0.000000001,Q12/Debt!Q122,0)</f>
        <v>1.89046033548346</v>
      </c>
      <c r="R15" s="6" t="n">
        <f aca="false">IF(Debt!R122&gt;0.000000001,R12/Debt!R122,0)</f>
        <v>1.92383997775272</v>
      </c>
      <c r="S15" s="6" t="n">
        <f aca="false">IF(Debt!S122&gt;0.000000001,S12/Debt!S122,0)</f>
        <v>1.96076716842287</v>
      </c>
      <c r="T15" s="6" t="n">
        <f aca="false">IF(Debt!T122&gt;0.000000001,T12/Debt!T122,0)</f>
        <v>2.00096520627799</v>
      </c>
      <c r="U15" s="6" t="n">
        <f aca="false">IF(Debt!U122&gt;0.000000001,U12/Debt!U122,0)</f>
        <v>2.04572802779734</v>
      </c>
      <c r="V15" s="6" t="n">
        <f aca="false">IF(Debt!V122&gt;0.000000001,V12/Debt!V122,0)</f>
        <v>2.09503059559871</v>
      </c>
      <c r="W15" s="6" t="n">
        <f aca="false">IF(Debt!W122&gt;0.000000001,W12/Debt!W122,0)</f>
        <v>2.15094997567556</v>
      </c>
      <c r="X15" s="6" t="n">
        <f aca="false">IF(Debt!X122&gt;0.000000001,X12/Debt!X122,0)</f>
        <v>2.21317165439218</v>
      </c>
      <c r="Y15" s="6" t="n">
        <f aca="false">IF(Debt!Y122&gt;0.000000001,Y12/Debt!Y122,0)</f>
        <v>2.28108120780839</v>
      </c>
      <c r="Z15" s="6" t="n">
        <f aca="false">IF(Debt!Z122&gt;0.000000001,Z12/Debt!Z122,0)</f>
        <v>2.35687257796618</v>
      </c>
      <c r="AA15" s="6" t="n">
        <f aca="false">IF(Debt!AA122&gt;0.000000001,AA12/Debt!AA122,0)</f>
        <v>2.44354696189486</v>
      </c>
      <c r="AB15" s="6" t="n">
        <f aca="false">IF(Debt!AB122&gt;0.000000001,AB12/Debt!AB122,0)</f>
        <v>2.58111719347528</v>
      </c>
      <c r="AC15" s="6" t="n">
        <f aca="false">IF(Debt!AC122&gt;0.000000001,AC12/Debt!AC122,0)</f>
        <v>2.74938898361292</v>
      </c>
      <c r="AD15" s="6" t="n">
        <f aca="false">IF(Debt!AD122&gt;0.000000001,AD12/Debt!AD122,0)</f>
        <v>2.94407073452817</v>
      </c>
      <c r="AE15" s="6" t="n">
        <f aca="false">IF(Debt!AE122&gt;0.000000001,AE12/Debt!AE122,0)</f>
        <v>3.19755746932582</v>
      </c>
      <c r="AF15" s="6" t="n">
        <f aca="false">IF(Debt!AF122&gt;0.000000001,AF12/Debt!AF122,0)</f>
        <v>3.51787246711066</v>
      </c>
      <c r="AG15" s="6" t="n">
        <f aca="false">IF(Debt!AG122&gt;0.000000001,AG12/Debt!AG122,0)</f>
        <v>3.93820797583062</v>
      </c>
      <c r="AH15" s="6" t="n">
        <f aca="false">IF(Debt!AH122&gt;0.000000001,AH12/Debt!AH122,0)</f>
        <v>4.49389847454845</v>
      </c>
      <c r="AI15" s="6" t="n">
        <f aca="false">IF(Debt!AI122&gt;0.000000001,AI12/Debt!AI122,0)</f>
        <v>5.30163891101492</v>
      </c>
      <c r="AJ15" s="6" t="n">
        <f aca="false">IF(Debt!AJ122&gt;0.000000001,AJ12/Debt!AJ122,0)</f>
        <v>6.5206218969517</v>
      </c>
      <c r="AK15" s="6" t="n">
        <f aca="false">IF(Debt!AK122&gt;0.000000001,AK12/Debt!AK122,0)</f>
        <v>8.59622939951114</v>
      </c>
      <c r="AL15" s="6" t="n">
        <f aca="false">IF(Debt!AL122&gt;0.000000001,AL12/Debt!AL122,0)</f>
        <v>10.4171481355049</v>
      </c>
      <c r="AM15" s="6" t="n">
        <f aca="false">IF(Debt!AM122&gt;0.000000001,AM12/Debt!AM122,0)</f>
        <v>13.7271596819411</v>
      </c>
      <c r="AN15" s="6" t="n">
        <f aca="false">IF(Debt!AN122&gt;0.000000001,AN12/Debt!AN122,0)</f>
        <v>21.1434480339396</v>
      </c>
      <c r="AO15" s="6" t="n">
        <f aca="false">IF(Debt!AO122&gt;0.000000001,AO12/Debt!AO122,0)</f>
        <v>40.8140757694411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1.41911920120461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1.8597281896005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1174.95354526183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14.997189587262</v>
      </c>
      <c r="BS8" s="16" t="n">
        <f aca="false">Waterfall!Q44</f>
        <v>12.5371871305121</v>
      </c>
      <c r="BT8" s="16" t="n">
        <f aca="false">Waterfall!R44</f>
        <v>13.4601473805023</v>
      </c>
      <c r="BU8" s="16" t="n">
        <f aca="false">Waterfall!S44</f>
        <v>12.6487540869445</v>
      </c>
      <c r="BV8" s="16" t="n">
        <f aca="false">Waterfall!T44</f>
        <v>13.3934512551275</v>
      </c>
      <c r="BW8" s="16" t="n">
        <f aca="false">Waterfall!U44</f>
        <v>12.4325149877249</v>
      </c>
      <c r="BX8" s="16" t="n">
        <f aca="false">Waterfall!V44</f>
        <v>13.6654648959126</v>
      </c>
      <c r="BY8" s="16" t="n">
        <f aca="false">Waterfall!W44</f>
        <v>14.404561953598</v>
      </c>
      <c r="BZ8" s="16" t="n">
        <f aca="false">Waterfall!X44</f>
        <v>13.2807813101373</v>
      </c>
      <c r="CA8" s="16" t="n">
        <f aca="false">Waterfall!Y44</f>
        <v>12.4986661546243</v>
      </c>
      <c r="CB8" s="16" t="n">
        <f aca="false">Waterfall!Z44</f>
        <v>13.2020528452989</v>
      </c>
      <c r="CC8" s="16" t="n">
        <f aca="false">Waterfall!AA44</f>
        <v>6.18526964990857</v>
      </c>
      <c r="CD8" s="16" t="n">
        <f aca="false">Waterfall!AB44</f>
        <v>7.19416552841933</v>
      </c>
      <c r="CE8" s="16" t="n">
        <f aca="false">Waterfall!AC44</f>
        <v>6.86678897087803</v>
      </c>
      <c r="CF8" s="16" t="n">
        <f aca="false">Waterfall!AD44</f>
        <v>8.2088372521896</v>
      </c>
      <c r="CG8" s="16" t="n">
        <f aca="false">Waterfall!AE44</f>
        <v>8.82241226273076</v>
      </c>
      <c r="CH8" s="16" t="n">
        <f aca="false">Waterfall!AF44</f>
        <v>9.71942530961141</v>
      </c>
      <c r="CI8" s="16" t="n">
        <f aca="false">Waterfall!AG44</f>
        <v>10.1557640161825</v>
      </c>
      <c r="CJ8" s="16" t="n">
        <f aca="false">Waterfall!AH44</f>
        <v>11.5387131006289</v>
      </c>
      <c r="CK8" s="16" t="n">
        <f aca="false">Waterfall!AI44</f>
        <v>12.4175779958468</v>
      </c>
      <c r="CL8" s="16" t="n">
        <f aca="false">Waterfall!AJ44</f>
        <v>15.0551962854809</v>
      </c>
      <c r="CM8" s="16" t="n">
        <f aca="false">Waterfall!AK44</f>
        <v>31.8897157033808</v>
      </c>
      <c r="CN8" s="16" t="n">
        <f aca="false">Waterfall!AL44</f>
        <v>29.7062841581408</v>
      </c>
      <c r="CO8" s="16" t="n">
        <f aca="false">Waterfall!AM44</f>
        <v>33.3526211943647</v>
      </c>
      <c r="CP8" s="16" t="n">
        <f aca="false">Waterfall!AN44</f>
        <v>23.5011177675998</v>
      </c>
      <c r="CQ8" s="16" t="n">
        <f aca="false">Waterfall!AO44</f>
        <v>41.5322726830367</v>
      </c>
      <c r="CR8" s="16" t="n">
        <f aca="false">Waterfall!AP44</f>
        <v>41.6216377830038</v>
      </c>
      <c r="CS8" s="16" t="n">
        <f aca="false">Waterfall!AQ44</f>
        <v>41.1745993340732</v>
      </c>
      <c r="CT8" s="16" t="n">
        <f aca="false">Waterfall!AR44</f>
        <v>41.770960831035</v>
      </c>
      <c r="CU8" s="16" t="n">
        <f aca="false">Waterfall!AS44</f>
        <v>41.5056129118261</v>
      </c>
      <c r="CV8" s="16" t="n">
        <f aca="false">Waterfall!AT44</f>
        <v>48.238693031292</v>
      </c>
      <c r="CW8" s="16" t="n">
        <f aca="false">Waterfall!AU44</f>
        <v>43.8015207396234</v>
      </c>
      <c r="CX8" s="16" t="n">
        <f aca="false">Waterfall!AV44</f>
        <v>43.9250195431293</v>
      </c>
      <c r="CY8" s="16" t="n">
        <f aca="false">Waterfall!AW44</f>
        <v>43.5006347551929</v>
      </c>
      <c r="CZ8" s="16" t="n">
        <f aca="false">Waterfall!AX44</f>
        <v>44.1754747855326</v>
      </c>
      <c r="DA8" s="16" t="n">
        <f aca="false">Waterfall!AY44</f>
        <v>43.7185522989792</v>
      </c>
      <c r="DB8" s="16" t="n">
        <f aca="false">Waterfall!AZ44</f>
        <v>44.3364424388821</v>
      </c>
      <c r="DC8" s="16" t="n">
        <f aca="false">Waterfall!BA44</f>
        <v>43.543829720821</v>
      </c>
      <c r="DD8" s="16" t="n">
        <f aca="false">Waterfall!BB44</f>
        <v>44.7848097266784</v>
      </c>
      <c r="DE8" s="16" t="n">
        <f aca="false">Waterfall!BC44</f>
        <v>41.3693070627511</v>
      </c>
      <c r="DF8" s="16" t="n">
        <f aca="false">Waterfall!BD44</f>
        <v>35.2535532770043</v>
      </c>
      <c r="DG8" s="16" t="n">
        <f aca="false">Waterfall!BE44</f>
        <v>34.8037917507731</v>
      </c>
      <c r="DH8" s="16" t="n">
        <f aca="false">Waterfall!BF44</f>
        <v>35.4911261343409</v>
      </c>
      <c r="DI8" s="16" t="n">
        <f aca="false">Waterfall!BG44</f>
        <v>35.0063413826083</v>
      </c>
      <c r="DJ8" s="16" t="n">
        <f aca="false">Waterfall!BH44</f>
        <v>35.6301644713499</v>
      </c>
      <c r="DK8" s="16" t="n">
        <f aca="false">Waterfall!BI44</f>
        <v>35.3515331654512</v>
      </c>
      <c r="DL8" s="16" t="n">
        <f aca="false">Waterfall!BJ44</f>
        <v>43.3576219239654</v>
      </c>
      <c r="DM8" s="16" t="n">
        <f aca="false">Waterfall!BK44</f>
        <v>38.0900629941884</v>
      </c>
      <c r="DN8" s="16" t="n">
        <f aca="false">Waterfall!BL44</f>
        <v>38.8201016869331</v>
      </c>
      <c r="DO8" s="16" t="n">
        <f aca="false">Waterfall!BM44</f>
        <v>54.8489876304097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1594.55628255608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50.1619722181901</v>
      </c>
      <c r="BT9" s="16" t="n">
        <f aca="false">Waterfall!R7</f>
        <v>50.7934598730592</v>
      </c>
      <c r="BU9" s="16" t="n">
        <f aca="false">Waterfall!S7</f>
        <v>50.3999718686923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52.4846384492289</v>
      </c>
      <c r="CP9" s="16" t="n">
        <f aca="false">Waterfall!AN7</f>
        <v>42.407025515208</v>
      </c>
      <c r="CQ9" s="16" t="n">
        <f aca="false">Waterfall!AO7</f>
        <v>41.5322726830367</v>
      </c>
      <c r="CR9" s="16" t="n">
        <f aca="false">Waterfall!AP7</f>
        <v>41.6216377830038</v>
      </c>
      <c r="CS9" s="16" t="n">
        <f aca="false">Waterfall!AQ7</f>
        <v>41.1745993340732</v>
      </c>
      <c r="CT9" s="16" t="n">
        <f aca="false">Waterfall!AR7</f>
        <v>41.770960831035</v>
      </c>
      <c r="CU9" s="16" t="n">
        <f aca="false">Waterfall!AS7</f>
        <v>41.5056129118261</v>
      </c>
      <c r="CV9" s="16" t="n">
        <f aca="false">Waterfall!AT7</f>
        <v>48.238693031292</v>
      </c>
      <c r="CW9" s="16" t="n">
        <f aca="false">Waterfall!AU7</f>
        <v>43.8015207396234</v>
      </c>
      <c r="CX9" s="16" t="n">
        <f aca="false">Waterfall!AV7</f>
        <v>43.9250195431293</v>
      </c>
      <c r="CY9" s="16" t="n">
        <f aca="false">Waterfall!AW7</f>
        <v>43.5006347551929</v>
      </c>
      <c r="CZ9" s="16" t="n">
        <f aca="false">Waterfall!AX7</f>
        <v>44.1754747855326</v>
      </c>
      <c r="DA9" s="16" t="n">
        <f aca="false">Waterfall!AY7</f>
        <v>43.7185522989792</v>
      </c>
      <c r="DB9" s="16" t="n">
        <f aca="false">Waterfall!AZ7</f>
        <v>44.3364424388821</v>
      </c>
      <c r="DC9" s="16" t="n">
        <f aca="false">Waterfall!BA7</f>
        <v>44.0387981074297</v>
      </c>
      <c r="DD9" s="16" t="n">
        <f aca="false">Waterfall!BB7</f>
        <v>46.2859599813229</v>
      </c>
      <c r="DE9" s="16" t="n">
        <f aca="false">Waterfall!BC7</f>
        <v>42.8868801360933</v>
      </c>
      <c r="DF9" s="16" t="n">
        <f aca="false">Waterfall!BD7</f>
        <v>36.7877288372509</v>
      </c>
      <c r="DG9" s="16" t="n">
        <f aca="false">Waterfall!BE7</f>
        <v>36.3547514317289</v>
      </c>
      <c r="DH9" s="16" t="n">
        <f aca="false">Waterfall!BF7</f>
        <v>37.0590535569129</v>
      </c>
      <c r="DI9" s="16" t="n">
        <f aca="false">Waterfall!BG7</f>
        <v>36.5914221765451</v>
      </c>
      <c r="DJ9" s="16" t="n">
        <f aca="false">Waterfall!BH7</f>
        <v>37.2325862972185</v>
      </c>
      <c r="DK9" s="16" t="n">
        <f aca="false">Waterfall!BI7</f>
        <v>36.9714857368546</v>
      </c>
      <c r="DL9" s="16" t="n">
        <f aca="false">Waterfall!BJ7</f>
        <v>44.9952970300032</v>
      </c>
      <c r="DM9" s="16" t="n">
        <f aca="false">Waterfall!BK7</f>
        <v>39.7456545221627</v>
      </c>
      <c r="DN9" s="16" t="n">
        <f aca="false">Waterfall!BL7</f>
        <v>40.4938056453036</v>
      </c>
      <c r="DO9" s="16" t="n">
        <f aca="false">Waterfall!BM7</f>
        <v>36.9078074684487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1912.21377544491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50.1619722181901</v>
      </c>
      <c r="BT10" s="11" t="n">
        <f aca="false">Waterfall!R7+Tax!R27</f>
        <v>50.7934598730592</v>
      </c>
      <c r="BU10" s="11" t="n">
        <f aca="false">Waterfall!S7+Tax!S27</f>
        <v>50.3999718686923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51.9872249530412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54.3101812323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42.4909024475175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-206.836577996795</v>
      </c>
      <c r="BS11" s="11" t="n">
        <f aca="false">BR11+BS8</f>
        <v>-194.299390866283</v>
      </c>
      <c r="BT11" s="11" t="n">
        <f aca="false">BS11+BT8</f>
        <v>-180.839243485781</v>
      </c>
      <c r="BU11" s="11" t="n">
        <f aca="false">BT11+BU8</f>
        <v>-168.190489398836</v>
      </c>
      <c r="BV11" s="11" t="n">
        <f aca="false">BU11+BV8</f>
        <v>-154.797038143709</v>
      </c>
      <c r="BW11" s="11" t="n">
        <f aca="false">BV11+BW8</f>
        <v>-142.364523155984</v>
      </c>
      <c r="BX11" s="11" t="n">
        <f aca="false">BW11+BX8</f>
        <v>-128.699058260072</v>
      </c>
      <c r="BY11" s="11" t="n">
        <f aca="false">BX11+BY8</f>
        <v>-114.294496306473</v>
      </c>
      <c r="BZ11" s="11" t="n">
        <f aca="false">BY11+BZ8</f>
        <v>-101.013714996336</v>
      </c>
      <c r="CA11" s="11" t="n">
        <f aca="false">BZ11+CA8</f>
        <v>-88.5150488417119</v>
      </c>
      <c r="CB11" s="11" t="n">
        <f aca="false">CA11+CB8</f>
        <v>-75.312995996413</v>
      </c>
      <c r="CC11" s="11" t="n">
        <f aca="false">CB11+CC8</f>
        <v>-69.1277263465044</v>
      </c>
      <c r="CD11" s="11" t="n">
        <f aca="false">CC11+CD8</f>
        <v>-61.9335608180851</v>
      </c>
      <c r="CE11" s="11" t="n">
        <f aca="false">CD11+CE8</f>
        <v>-55.0667718472071</v>
      </c>
      <c r="CF11" s="11" t="n">
        <f aca="false">CE11+CF8</f>
        <v>-46.8579345950175</v>
      </c>
      <c r="CG11" s="11" t="n">
        <f aca="false">CF11+CG8</f>
        <v>-38.0355223322867</v>
      </c>
      <c r="CH11" s="11" t="n">
        <f aca="false">CG11+CH8</f>
        <v>-28.3160970226753</v>
      </c>
      <c r="CI11" s="11" t="n">
        <f aca="false">CH11+CI8</f>
        <v>-18.1603330064928</v>
      </c>
      <c r="CJ11" s="11" t="n">
        <f aca="false">CI11+CJ8</f>
        <v>-6.6216199058639</v>
      </c>
      <c r="CK11" s="11" t="n">
        <f aca="false">CJ11+CK8</f>
        <v>5.79595808998294</v>
      </c>
      <c r="CL11" s="11" t="n">
        <f aca="false">CK11+CL8</f>
        <v>20.8511543754638</v>
      </c>
      <c r="CM11" s="11" t="n">
        <f aca="false">CL11+CM8</f>
        <v>52.7408700788446</v>
      </c>
      <c r="CN11" s="11" t="n">
        <f aca="false">CM11+CN8</f>
        <v>82.4471542369855</v>
      </c>
      <c r="CO11" s="11" t="n">
        <f aca="false">CN11+CO8</f>
        <v>115.79977543135</v>
      </c>
      <c r="CP11" s="11" t="n">
        <f aca="false">CO11+CP8</f>
        <v>139.30089319895</v>
      </c>
      <c r="CQ11" s="11" t="n">
        <f aca="false">CP11+CQ8</f>
        <v>180.833165881987</v>
      </c>
      <c r="CR11" s="11" t="n">
        <f aca="false">CQ11+CR8</f>
        <v>222.454803664991</v>
      </c>
      <c r="CS11" s="11" t="n">
        <f aca="false">CR11+CS8</f>
        <v>263.629402999064</v>
      </c>
      <c r="CT11" s="11" t="n">
        <f aca="false">CS11+CT8</f>
        <v>305.400363830099</v>
      </c>
      <c r="CU11" s="11" t="n">
        <f aca="false">CT11+CU8</f>
        <v>346.905976741925</v>
      </c>
      <c r="CV11" s="11" t="n">
        <f aca="false">CU11+CV8</f>
        <v>395.144669773217</v>
      </c>
      <c r="CW11" s="11" t="n">
        <f aca="false">CV11+CW8</f>
        <v>438.94619051284</v>
      </c>
      <c r="CX11" s="11" t="n">
        <f aca="false">CW11+CX8</f>
        <v>482.871210055969</v>
      </c>
      <c r="CY11" s="11" t="n">
        <f aca="false">CX11+CY8</f>
        <v>526.371844811162</v>
      </c>
      <c r="CZ11" s="11" t="n">
        <f aca="false">CY11+CZ8</f>
        <v>570.547319596695</v>
      </c>
      <c r="DA11" s="11" t="n">
        <f aca="false">CZ11+DA8</f>
        <v>614.265871895674</v>
      </c>
      <c r="DB11" s="11" t="n">
        <f aca="false">DA11+DB8</f>
        <v>658.602314334556</v>
      </c>
      <c r="DC11" s="11" t="n">
        <f aca="false">DB11+DC8</f>
        <v>702.146144055377</v>
      </c>
      <c r="DD11" s="11" t="n">
        <f aca="false">DC11+DD8</f>
        <v>746.930953782055</v>
      </c>
      <c r="DE11" s="11" t="n">
        <f aca="false">DD11+DE8</f>
        <v>788.300260844807</v>
      </c>
      <c r="DF11" s="11" t="n">
        <f aca="false">DE11+DF8</f>
        <v>823.553814121811</v>
      </c>
      <c r="DG11" s="11" t="n">
        <f aca="false">DF11+DG8</f>
        <v>858.357605872584</v>
      </c>
      <c r="DH11" s="11" t="n">
        <f aca="false">DG11+DH8</f>
        <v>893.848732006925</v>
      </c>
      <c r="DI11" s="11" t="n">
        <f aca="false">DH11+DI8</f>
        <v>928.855073389533</v>
      </c>
      <c r="DJ11" s="11" t="n">
        <f aca="false">DI11+DJ8</f>
        <v>964.485237860883</v>
      </c>
      <c r="DK11" s="11" t="n">
        <f aca="false">DJ11+DK8</f>
        <v>999.836771026334</v>
      </c>
      <c r="DL11" s="11" t="n">
        <f aca="false">DK11+DL8</f>
        <v>1043.1943929503</v>
      </c>
      <c r="DM11" s="11" t="n">
        <f aca="false">DL11+DM8</f>
        <v>1081.28445594449</v>
      </c>
      <c r="DN11" s="11" t="n">
        <f aca="false">DM11+DN8</f>
        <v>1120.10455763142</v>
      </c>
      <c r="DO11" s="11" t="n">
        <f aca="false">DN11+DO8</f>
        <v>1174.95354526183</v>
      </c>
      <c r="DP11" s="11" t="n">
        <f aca="false">DO11+DP8</f>
        <v>1174.95354526183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0.132662203987854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0.109610228238084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0.115860630640989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-43.0674358225567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1.41911920120461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1.8597281896005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0.132662203987854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0.109610228238084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-43.0674358225567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2026-10-03T20:47:06Z</dcterms:created>
  <dc:creator>openpyxl</dc:creator>
  <dc:description/>
  <dc:language>en-US</dc:language>
  <cp:lastModifiedBy/>
  <dcterms:modified xsi:type="dcterms:W3CDTF">2026-10-03T20:47:06Z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