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<sst xmlns="http://schemas.openxmlformats.org/spreadsheetml/2006/main" count="2268" uniqueCount="840">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</sst>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189.789738774698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9.40661283049369</v>
      </c>
      <c r="R13" s="11" t="n">
        <f aca="false">IF(Time!R17&gt;=Time!$F$11,Waterfall!R33*Inputs!$F$102/100*Time!R26/365,0)</f>
        <v>9.41259905062611</v>
      </c>
      <c r="S13" s="11" t="n">
        <f aca="false">IF(Time!S17&gt;=Time!$F$11,Waterfall!S33*Inputs!$F$102/100*Time!S26/365,0)</f>
        <v>9.06845442331276</v>
      </c>
      <c r="T13" s="11" t="n">
        <f aca="false">IF(Time!T17&gt;=Time!$F$11,Waterfall!T33*Inputs!$F$102/100*Time!T26/365,0)</f>
        <v>9.04729827548496</v>
      </c>
      <c r="U13" s="11" t="n">
        <f aca="false">IF(Time!U17&gt;=Time!$F$11,Waterfall!U33*Inputs!$F$102/100*Time!U26/365,0)</f>
        <v>8.74308140555614</v>
      </c>
      <c r="V13" s="11" t="n">
        <f aca="false">IF(Time!V17&gt;=Time!$F$11,Waterfall!V33*Inputs!$F$102/100*Time!V26/365,0)</f>
        <v>8.66247073274398</v>
      </c>
      <c r="W13" s="11" t="n">
        <f aca="false">IF(Time!W17&gt;=Time!$F$11,Waterfall!W33*Inputs!$F$102/100*Time!W26/365,0)</f>
        <v>8.28554579788215</v>
      </c>
      <c r="X13" s="11" t="n">
        <f aca="false">IF(Time!X17&gt;=Time!$F$11,Waterfall!X33*Inputs!$F$102/100*Time!X26/365,0)</f>
        <v>8.12983308788343</v>
      </c>
      <c r="Y13" s="11" t="n">
        <f aca="false">IF(Time!Y17&gt;=Time!$F$11,Waterfall!Y33*Inputs!$F$102/100*Time!Y26/365,0)</f>
        <v>7.7546224075282</v>
      </c>
      <c r="Z13" s="11" t="n">
        <f aca="false">IF(Time!Z17&gt;=Time!$F$11,Waterfall!Z33*Inputs!$F$102/100*Time!Z26/365,0)</f>
        <v>7.6559578560362</v>
      </c>
      <c r="AA13" s="11" t="n">
        <f aca="false">IF(Time!AA17&gt;=Time!$F$11,Waterfall!AA33*Inputs!$F$102/100*Time!AA26/365,0)</f>
        <v>7.26985820048247</v>
      </c>
      <c r="AB13" s="11" t="n">
        <f aca="false">IF(Time!AB17&gt;=Time!$F$11,Waterfall!AB33*Inputs!$F$102/100*Time!AB26/365,0)</f>
        <v>7.4422944791916</v>
      </c>
      <c r="AC13" s="11" t="n">
        <f aca="false">IF(Time!AC17&gt;=Time!$F$11,Waterfall!AC33*Inputs!$F$102/100*Time!AC26/365,0)</f>
        <v>7.37315380839081</v>
      </c>
      <c r="AD13" s="11" t="n">
        <f aca="false">IF(Time!AD17&gt;=Time!$F$11,Waterfall!AD33*Inputs!$F$102/100*Time!AD26/365,0)</f>
        <v>7.47842749677851</v>
      </c>
      <c r="AE13" s="11" t="n">
        <f aca="false">IF(Time!AE17&gt;=Time!$F$11,Waterfall!AE33*Inputs!$F$102/100*Time!AE26/365,0)</f>
        <v>7.32208731026983</v>
      </c>
      <c r="AF13" s="11" t="n">
        <f aca="false">IF(Time!AF17&gt;=Time!$F$11,Waterfall!AF33*Inputs!$F$102/100*Time!AF26/365,0)</f>
        <v>7.37159669487822</v>
      </c>
      <c r="AG13" s="11" t="n">
        <f aca="false">IF(Time!AG17&gt;=Time!$F$11,Waterfall!AG33*Inputs!$F$102/100*Time!AG26/365,0)</f>
        <v>7.14080237715229</v>
      </c>
      <c r="AH13" s="11" t="n">
        <f aca="false">IF(Time!AH17&gt;=Time!$F$11,Waterfall!AH33*Inputs!$F$102/100*Time!AH26/365,0)</f>
        <v>7.11477046573909</v>
      </c>
      <c r="AI13" s="11" t="n">
        <f aca="false">IF(Time!AI17&gt;=Time!$F$11,Waterfall!AI33*Inputs!$F$102/100*Time!AI26/365,0)</f>
        <v>6.79035865389187</v>
      </c>
      <c r="AJ13" s="11" t="n">
        <f aca="false">IF(Time!AJ17&gt;=Time!$F$11,Waterfall!AJ33*Inputs!$F$102/100*Time!AJ26/365,0)</f>
        <v>6.63341618805348</v>
      </c>
      <c r="AK13" s="11" t="n">
        <f aca="false">IF(Time!AK17&gt;=Time!$F$11,Waterfall!AK33*Inputs!$F$102/100*Time!AK26/365,0)</f>
        <v>6.16237526863671</v>
      </c>
      <c r="AL13" s="11" t="n">
        <f aca="false">IF(Time!AL17&gt;=Time!$F$11,Waterfall!AL33*Inputs!$F$102/100*Time!AL26/365,0)</f>
        <v>4.99800077188264</v>
      </c>
      <c r="AM13" s="11" t="n">
        <f aca="false">IF(Time!AM17&gt;=Time!$F$11,Waterfall!AM33*Inputs!$F$102/100*Time!AM26/365,0)</f>
        <v>3.75251455262526</v>
      </c>
      <c r="AN13" s="11" t="n">
        <f aca="false">IF(Time!AN17&gt;=Time!$F$11,Waterfall!AN33*Inputs!$F$102/100*Time!AN26/365,0)</f>
        <v>2.39714965492538</v>
      </c>
      <c r="AO13" s="11" t="n">
        <f aca="false">IF(Time!AO17&gt;=Time!$F$11,Waterfall!AO33*Inputs!$F$102/100*Time!AO26/365,0)</f>
        <v>1.36386642823581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0.92441244821243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185.958462379916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9.41259905062611</v>
      </c>
      <c r="S15" s="11" t="n">
        <f aca="false">S13*S14</f>
        <v>9.06845442331276</v>
      </c>
      <c r="T15" s="11" t="n">
        <f aca="false">T13*T14</f>
        <v>9.04729827548496</v>
      </c>
      <c r="U15" s="11" t="n">
        <f aca="false">U13*U14</f>
        <v>8.74308140555614</v>
      </c>
      <c r="V15" s="11" t="n">
        <f aca="false">V13*V14</f>
        <v>8.66247073274398</v>
      </c>
      <c r="W15" s="11" t="n">
        <f aca="false">W13*W14</f>
        <v>8.28554579788215</v>
      </c>
      <c r="X15" s="11" t="n">
        <f aca="false">X13*X14</f>
        <v>8.12983308788343</v>
      </c>
      <c r="Y15" s="11" t="n">
        <f aca="false">Y13*Y14</f>
        <v>7.7546224075282</v>
      </c>
      <c r="Z15" s="11" t="n">
        <f aca="false">Z13*Z14</f>
        <v>7.6559578560362</v>
      </c>
      <c r="AA15" s="11" t="n">
        <f aca="false">AA13*AA14</f>
        <v>7.26985820048247</v>
      </c>
      <c r="AB15" s="11" t="n">
        <f aca="false">AB13*AB14</f>
        <v>7.4422944791916</v>
      </c>
      <c r="AC15" s="11" t="n">
        <f aca="false">AC13*AC14</f>
        <v>7.37315380839081</v>
      </c>
      <c r="AD15" s="11" t="n">
        <f aca="false">AD13*AD14</f>
        <v>7.47842749677851</v>
      </c>
      <c r="AE15" s="11" t="n">
        <f aca="false">AE13*AE14</f>
        <v>7.32208731026983</v>
      </c>
      <c r="AF15" s="11" t="n">
        <f aca="false">AF13*AF14</f>
        <v>7.37159669487822</v>
      </c>
      <c r="AG15" s="11" t="n">
        <f aca="false">AG13*AG14</f>
        <v>7.14080237715229</v>
      </c>
      <c r="AH15" s="11" t="n">
        <f aca="false">AH13*AH14</f>
        <v>7.11477046573909</v>
      </c>
      <c r="AI15" s="11" t="n">
        <f aca="false">AI13*AI14</f>
        <v>6.79035865389187</v>
      </c>
      <c r="AJ15" s="11" t="n">
        <f aca="false">AJ13*AJ14</f>
        <v>6.63341618805348</v>
      </c>
      <c r="AK15" s="11" t="n">
        <f aca="false">AK13*AK14</f>
        <v>6.16237526863671</v>
      </c>
      <c r="AL15" s="11" t="n">
        <f aca="false">AL13*AL14</f>
        <v>4.99800077188264</v>
      </c>
      <c r="AM15" s="11" t="n">
        <f aca="false">AM13*AM14</f>
        <v>3.75251455262526</v>
      </c>
      <c r="AN15" s="11" t="n">
        <f aca="false">AN13*AN14</f>
        <v>2.39714965492538</v>
      </c>
      <c r="AO15" s="11" t="n">
        <f aca="false">AO13*AO14</f>
        <v>1.36386642823581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1268.54732800826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2.48636249460196</v>
      </c>
      <c r="Z18" s="11" t="n">
        <f aca="false">(Operations!Z79-Z16-Z15)*Z17-Z12</f>
        <v>8.23654470357855</v>
      </c>
      <c r="AA18" s="11" t="n">
        <f aca="false">(Operations!AA79-AA16-AA15)*AA17-AA12</f>
        <v>9.63137588722024</v>
      </c>
      <c r="AB18" s="11" t="n">
        <f aca="false">(Operations!AB79-AB16-AB15)*AB17-AB12</f>
        <v>10.4447274845766</v>
      </c>
      <c r="AC18" s="11" t="n">
        <f aca="false">(Operations!AC79-AC16-AC15)*AC17-AC12</f>
        <v>11.9577981107674</v>
      </c>
      <c r="AD18" s="11" t="n">
        <f aca="false">(Operations!AD79-AD16-AD15)*AD17-AD12</f>
        <v>0.412177519591062</v>
      </c>
      <c r="AE18" s="11" t="n">
        <f aca="false">(Operations!AE79-AE16-AE15)*AE17-AE12</f>
        <v>14.7325364392422</v>
      </c>
      <c r="AF18" s="11" t="n">
        <f aca="false">(Operations!AF79-AF16-AF15)*AF17-AF12</f>
        <v>15.7721679696252</v>
      </c>
      <c r="AG18" s="11" t="n">
        <f aca="false">(Operations!AG79-AG16-AG15)*AG17-AG12</f>
        <v>17.342056756771</v>
      </c>
      <c r="AH18" s="11" t="n">
        <f aca="false">(Operations!AH79-AH16-AH15)*AH17-AH12</f>
        <v>18.7952344110689</v>
      </c>
      <c r="AI18" s="11" t="n">
        <f aca="false">(Operations!AI79-AI16-AI15)*AI17-AI12</f>
        <v>20.6720766399009</v>
      </c>
      <c r="AJ18" s="11" t="n">
        <f aca="false">(Operations!AJ79-AJ16-AJ15)*AJ17-AJ12</f>
        <v>22.2589644348502</v>
      </c>
      <c r="AK18" s="11" t="n">
        <f aca="false">(Operations!AK79-AK16-AK15)*AK17-AK12</f>
        <v>24.3095935818973</v>
      </c>
      <c r="AL18" s="11" t="n">
        <f aca="false">(Operations!AL79-AL16-AL15)*AL17-AL12</f>
        <v>23.3107665449838</v>
      </c>
      <c r="AM18" s="11" t="n">
        <f aca="false">(Operations!AM79-AM16-AM15)*AM17-AM12</f>
        <v>28.1851670269894</v>
      </c>
      <c r="AN18" s="11" t="n">
        <f aca="false">(Operations!AN79-AN16-AN15)*AN17-AN12</f>
        <v>30.1238911981382</v>
      </c>
      <c r="AO18" s="11" t="n">
        <f aca="false">(Operations!AO79-AO16-AO15)*AO17-AO12</f>
        <v>31.8045782844458</v>
      </c>
      <c r="AP18" s="11" t="n">
        <f aca="false">(Operations!AP79-AP16-AP15)*AP17-AP12</f>
        <v>33.8416270753018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2.48636249460196</v>
      </c>
      <c r="Z20" s="11" t="n">
        <f aca="false">MIN(Y21,MAX(0,Z18-Z19))</f>
        <v>8.23654470357855</v>
      </c>
      <c r="AA20" s="11" t="n">
        <f aca="false">MIN(Z21,MAX(0,AA18-AA19))</f>
        <v>9.63137588722024</v>
      </c>
      <c r="AB20" s="11" t="n">
        <f aca="false">MIN(AA21,MAX(0,AB18-AB19))</f>
        <v>10.4447274845766</v>
      </c>
      <c r="AC20" s="11" t="n">
        <f aca="false">MIN(AB21,MAX(0,AC18-AC19))</f>
        <v>11.9577981107674</v>
      </c>
      <c r="AD20" s="11" t="n">
        <f aca="false">MIN(AC21,MAX(0,AD18-AD19))</f>
        <v>0.412177519591062</v>
      </c>
      <c r="AE20" s="11" t="n">
        <f aca="false">MIN(AD21,MAX(0,AE18-AE19))</f>
        <v>14.7325364392422</v>
      </c>
      <c r="AF20" s="11" t="n">
        <f aca="false">MIN(AE21,MAX(0,AF18-AF19))</f>
        <v>15.7721679696252</v>
      </c>
      <c r="AG20" s="11" t="n">
        <f aca="false">MIN(AF21,MAX(0,AG18-AG19))</f>
        <v>17.342056756771</v>
      </c>
      <c r="AH20" s="11" t="n">
        <f aca="false">MIN(AG21,MAX(0,AH18-AH19))</f>
        <v>18.7952344110689</v>
      </c>
      <c r="AI20" s="11" t="n">
        <f aca="false">MIN(AH21,MAX(0,AI18-AI19))</f>
        <v>20.6720766399009</v>
      </c>
      <c r="AJ20" s="11" t="n">
        <f aca="false">MIN(AI21,MAX(0,AJ18-AJ19))</f>
        <v>22.2589644348502</v>
      </c>
      <c r="AK20" s="11" t="n">
        <f aca="false">MIN(AJ21,MAX(0,AK18-AK19))</f>
        <v>24.3095935818973</v>
      </c>
      <c r="AL20" s="11" t="n">
        <f aca="false">MIN(AK21,MAX(0,AL18-AL19))</f>
        <v>23.3107665449838</v>
      </c>
      <c r="AM20" s="11" t="n">
        <f aca="false">MIN(AL21,MAX(0,AM18-AM19))</f>
        <v>25.5429861550904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223.419006639164</v>
      </c>
      <c r="Z21" s="11" t="n">
        <f aca="false">Y21+Z11-Z20</f>
        <v>215.182461935585</v>
      </c>
      <c r="AA21" s="11" t="n">
        <f aca="false">Z21+AA11-AA20</f>
        <v>205.551086048365</v>
      </c>
      <c r="AB21" s="11" t="n">
        <f aca="false">AA21+AB11-AB20</f>
        <v>195.106358563788</v>
      </c>
      <c r="AC21" s="11" t="n">
        <f aca="false">AB21+AC11-AC20</f>
        <v>183.148560453021</v>
      </c>
      <c r="AD21" s="11" t="n">
        <f aca="false">AC21+AD11-AD20</f>
        <v>182.73638293343</v>
      </c>
      <c r="AE21" s="11" t="n">
        <f aca="false">AD21+AE11-AE20</f>
        <v>168.003846494188</v>
      </c>
      <c r="AF21" s="11" t="n">
        <f aca="false">AE21+AF11-AF20</f>
        <v>152.231678524563</v>
      </c>
      <c r="AG21" s="11" t="n">
        <f aca="false">AF21+AG11-AG20</f>
        <v>134.889621767792</v>
      </c>
      <c r="AH21" s="11" t="n">
        <f aca="false">AG21+AH11-AH20</f>
        <v>116.094387356723</v>
      </c>
      <c r="AI21" s="11" t="n">
        <f aca="false">AH21+AI11-AI20</f>
        <v>95.4223107168218</v>
      </c>
      <c r="AJ21" s="11" t="n">
        <f aca="false">AI21+AJ11-AJ20</f>
        <v>73.1633462819716</v>
      </c>
      <c r="AK21" s="11" t="n">
        <f aca="false">AJ21+AK11-AK20</f>
        <v>48.8537527000743</v>
      </c>
      <c r="AL21" s="11" t="n">
        <f aca="false">AK21+AL11-AL20</f>
        <v>25.5429861550904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1042.64195887449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2.64218087189899</v>
      </c>
      <c r="AN23" s="11" t="n">
        <f aca="false">MAX(0,AN18-AN19-AN20)</f>
        <v>30.1238911981382</v>
      </c>
      <c r="AO23" s="11" t="n">
        <f aca="false">MAX(0,AO18-AO19-AO20)</f>
        <v>31.8045782844458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312.792587662347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0.792654261569698</v>
      </c>
      <c r="AN25" s="11" t="n">
        <f aca="false">AN23*AN24</f>
        <v>9.03716735944146</v>
      </c>
      <c r="AO25" s="11" t="n">
        <f aca="false">AO23*AO24</f>
        <v>9.54137348533374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317.657492888827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0.792654261569698</v>
      </c>
      <c r="AN27" s="11" t="n">
        <f aca="false">MAX(AN25,AN26)</f>
        <v>9.03716735944146</v>
      </c>
      <c r="AO27" s="11" t="n">
        <f aca="false">MAX(AO25,AO26)</f>
        <v>9.54137348533374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16.5552978954991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0.774232747054726</v>
      </c>
      <c r="AC115" s="11" t="n">
        <f aca="false">(Inputs!$F$93/100*Inputs!$F$94/100)*AC70*Time!AC20/365</f>
        <v>0.686187997224145</v>
      </c>
      <c r="AD115" s="11" t="n">
        <f aca="false">(Inputs!$F$93/100*Inputs!$F$94/100)*AD70*Time!AD20/365</f>
        <v>0.615787559721746</v>
      </c>
      <c r="AE115" s="11" t="n">
        <f aca="false">(Inputs!$F$93/100*Inputs!$F$94/100)*AE70*Time!AE20/365</f>
        <v>0.520868257399552</v>
      </c>
      <c r="AF115" s="11" t="n">
        <f aca="false">(Inputs!$F$93/100*Inputs!$F$94/100)*AF70*Time!AF20/365</f>
        <v>0.441537965700325</v>
      </c>
      <c r="AG115" s="11" t="n">
        <f aca="false">(Inputs!$F$93/100*Inputs!$F$94/100)*AG70*Time!AG20/365</f>
        <v>0.345789614192439</v>
      </c>
      <c r="AH115" s="11" t="n">
        <f aca="false">(Inputs!$F$93/100*Inputs!$F$94/100)*AH70*Time!AH20/365</f>
        <v>0.263541657586574</v>
      </c>
      <c r="AI115" s="11" t="n">
        <f aca="false">(Inputs!$F$93/100*Inputs!$F$94/100)*AI70*Time!AI20/365</f>
        <v>0.169925441831789</v>
      </c>
      <c r="AJ115" s="11" t="n">
        <f aca="false">(Inputs!$F$93/100*Inputs!$F$94/100)*AJ70*Time!AJ20/365</f>
        <v>0.0845978312266586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36.2147963766071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36.8037090789382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36.0663399929661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35.1472363198872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33.6860271504038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32.6914500540924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30.837436556463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29.1152170271438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26.4700604620926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23.7140398353964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854.89556703609</v>
      </c>
      <c r="Q136" s="11" t="n">
        <f aca="false">IF(Q134=1,(Waterfall!Q7+R136)/(1+Q135),0)</f>
        <v>833.984452052412</v>
      </c>
      <c r="R136" s="11" t="n">
        <f aca="false">IF(R134=1,(Waterfall!R7+S136)/(1+R135),0)</f>
        <v>812.188342505449</v>
      </c>
      <c r="S136" s="11" t="n">
        <f aca="false">IF(S134=1,(Waterfall!S7+T136)/(1+S135),0)</f>
        <v>789.318584686095</v>
      </c>
      <c r="T136" s="11" t="n">
        <f aca="false">IF(T134=1,(Waterfall!T7+U136)/(1+T135),0)</f>
        <v>765.774892102802</v>
      </c>
      <c r="U136" s="11" t="n">
        <f aca="false">IF(U134=1,(Waterfall!U7+V136)/(1+U135),0)</f>
        <v>741.148198096695</v>
      </c>
      <c r="V136" s="11" t="n">
        <f aca="false">IF(V134=1,(Waterfall!V7+W136)/(1+V135),0)</f>
        <v>715.736115466255</v>
      </c>
      <c r="W136" s="11" t="n">
        <f aca="false">IF(W134=1,(Waterfall!W7+X136)/(1+W135),0)</f>
        <v>688.663879431379</v>
      </c>
      <c r="X136" s="11" t="n">
        <f aca="false">IF(X134=1,(Waterfall!X7+Y136)/(1+X135),0)</f>
        <v>660.764061757014</v>
      </c>
      <c r="Y136" s="11" t="n">
        <f aca="false">IF(Y134=1,(Waterfall!Y7+Z136)/(1+Y135),0)</f>
        <v>633.63867978091</v>
      </c>
      <c r="Z136" s="11" t="n">
        <f aca="false">IF(Z134=1,(Waterfall!Z7+AA136)/(1+Z135),0)</f>
        <v>606.500533971463</v>
      </c>
      <c r="AA136" s="11" t="n">
        <f aca="false">IF(AA134=1,(Waterfall!AA7+AB136)/(1+AA135),0)</f>
        <v>578.238110280087</v>
      </c>
      <c r="AB136" s="11" t="n">
        <f aca="false">IF(AB134=1,(Waterfall!AB7+AC136)/(1+AB135),0)</f>
        <v>549.150918208658</v>
      </c>
      <c r="AC136" s="11" t="n">
        <f aca="false">IF(AC134=1,(Waterfall!AC7+AD136)/(1+AC135),0)</f>
        <v>518.674106238919</v>
      </c>
      <c r="AD136" s="11" t="n">
        <f aca="false">IF(AD134=1,(Waterfall!AD7+AE136)/(1+AD135),0)</f>
        <v>487.18764453773</v>
      </c>
      <c r="AE136" s="11" t="n">
        <f aca="false">IF(AE134=1,(Waterfall!AE7+AF136)/(1+AE135),0)</f>
        <v>452.806726060759</v>
      </c>
      <c r="AF136" s="11" t="n">
        <f aca="false">IF(AF134=1,(Waterfall!AF7+AG136)/(1+AF135),0)</f>
        <v>416.948097164912</v>
      </c>
      <c r="AG136" s="11" t="n">
        <f aca="false">IF(AG134=1,(Waterfall!AG7+AH136)/(1+AG135),0)</f>
        <v>379.831483488085</v>
      </c>
      <c r="AH136" s="11" t="n">
        <f aca="false">IF(AH134=1,(Waterfall!AH7+AI136)/(1+AH135),0)</f>
        <v>342.022154425807</v>
      </c>
      <c r="AI136" s="11" t="n">
        <f aca="false">IF(AI134=1,(Waterfall!AI7+AJ136)/(1+AI135),0)</f>
        <v>302.314738803312</v>
      </c>
      <c r="AJ136" s="11" t="n">
        <f aca="false">IF(AJ134=1,(Waterfall!AJ7+AK136)/(1+AJ135),0)</f>
        <v>261.441413340414</v>
      </c>
      <c r="AK136" s="11" t="n">
        <f aca="false">IF(AK134=1,(Waterfall!AK7+AL136)/(1+AK135),0)</f>
        <v>218.594819230627</v>
      </c>
      <c r="AL136" s="11" t="n">
        <f aca="false">IF(AL134=1,(Waterfall!AL7+AM136)/(1+AL135),0)</f>
        <v>174.361356741252</v>
      </c>
      <c r="AM136" s="11" t="n">
        <f aca="false">IF(AM134=1,(Waterfall!AM7+AN136)/(1+AM135),0)</f>
        <v>127.458902081805</v>
      </c>
      <c r="AN136" s="11" t="n">
        <f aca="false">IF(AN134=1,(Waterfall!AN7+AO136)/(1+AN135),0)</f>
        <v>79.5815814567633</v>
      </c>
      <c r="AO136" s="11" t="n">
        <f aca="false">IF(AO134=1,(Waterfall!AO7+AP136)/(1+AO135),0)</f>
        <v>40.0833603090188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1.35000000008424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633.255975582289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37.2458954381098</v>
      </c>
      <c r="Q140" s="11" t="n">
        <f aca="false">IF(Q134=1,Waterfall!Q7/$F$137,0)</f>
        <v>37.1570164556</v>
      </c>
      <c r="R140" s="11" t="n">
        <f aca="false">IF(R134=1,Waterfall!R7/$F$137,0)</f>
        <v>37.6247850888072</v>
      </c>
      <c r="S140" s="11" t="n">
        <f aca="false">IF(S134=1,Waterfall!S7/$F$137,0)</f>
        <v>37.3333124929981</v>
      </c>
      <c r="T140" s="11" t="n">
        <f aca="false">IF(T134=1,Waterfall!T7/$F$137,0)</f>
        <v>37.7512177828148</v>
      </c>
      <c r="U140" s="11" t="n">
        <f aca="false">IF(U134=1,Waterfall!U7/$F$137,0)</f>
        <v>37.5706927553469</v>
      </c>
      <c r="V140" s="11" t="n">
        <f aca="false">IF(V134=1,Waterfall!V7/$F$137,0)</f>
        <v>38.2879202359681</v>
      </c>
      <c r="W140" s="11" t="n">
        <f aca="false">IF(W134=1,Waterfall!W7/$F$137,0)</f>
        <v>38.0232274259144</v>
      </c>
      <c r="X140" s="11" t="n">
        <f aca="false">IF(X134=1,Waterfall!X7/$F$137,0)</f>
        <v>36.9267950752384</v>
      </c>
      <c r="Y140" s="11" t="n">
        <f aca="false">IF(Y134=1,Waterfall!Y7/$F$137,0)</f>
        <v>36.5703920444872</v>
      </c>
      <c r="Z140" s="11" t="n">
        <f aca="false">IF(Z134=1,Waterfall!Z7/$F$137,0)</f>
        <v>36.8713631089239</v>
      </c>
      <c r="AA140" s="11" t="n">
        <f aca="false">IF(AA134=1,Waterfall!AA7/$F$137,0)</f>
        <v>36.5742873546017</v>
      </c>
      <c r="AB140" s="11" t="n">
        <f aca="false">IF(AB134=1,Waterfall!AB7/$F$137,0)</f>
        <v>37.0047486321213</v>
      </c>
      <c r="AC140" s="11" t="n">
        <f aca="false">IF(AC134=1,Waterfall!AC7/$F$137,0)</f>
        <v>36.8529292145076</v>
      </c>
      <c r="AD140" s="11" t="n">
        <f aca="false">IF(AD134=1,Waterfall!AD7/$F$137,0)</f>
        <v>38.2685501329744</v>
      </c>
      <c r="AE140" s="11" t="n">
        <f aca="false">IF(AE134=1,Waterfall!AE7/$F$137,0)</f>
        <v>38.3302458773614</v>
      </c>
      <c r="AF140" s="11" t="n">
        <f aca="false">IF(AF134=1,Waterfall!AF7/$F$137,0)</f>
        <v>38.4493967774473</v>
      </c>
      <c r="AG140" s="11" t="n">
        <f aca="false">IF(AG134=1,Waterfall!AG7/$F$137,0)</f>
        <v>38.1772438138452</v>
      </c>
      <c r="AH140" s="11" t="n">
        <f aca="false">IF(AH134=1,Waterfall!AH7/$F$137,0)</f>
        <v>38.6731442036485</v>
      </c>
      <c r="AI140" s="11" t="n">
        <f aca="false">IF(AI134=1,Waterfall!AI7/$F$137,0)</f>
        <v>38.3712894424338</v>
      </c>
      <c r="AJ140" s="11" t="n">
        <f aca="false">IF(AJ134=1,Waterfall!AJ7/$F$137,0)</f>
        <v>38.8167394706435</v>
      </c>
      <c r="AK140" s="11" t="n">
        <f aca="false">IF(AK134=1,Waterfall!AK7/$F$137,0)</f>
        <v>38.6403947685337</v>
      </c>
      <c r="AL140" s="11" t="n">
        <f aca="false">IF(AL134=1,Waterfall!AL7/$F$137,0)</f>
        <v>39.4633896356256</v>
      </c>
      <c r="AM140" s="11" t="n">
        <f aca="false">IF(AM134=1,Waterfall!AM7/$F$137,0)</f>
        <v>38.8775099599659</v>
      </c>
      <c r="AN140" s="11" t="n">
        <f aca="false">IF(AN134=1,Waterfall!AN7/$F$137,0)</f>
        <v>31.4126114907865</v>
      </c>
      <c r="AO140" s="11" t="n">
        <f aca="false">IF(AO134=1,Waterfall!AO7/$F$137,0)</f>
        <v>30.7646464299593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617.766260741016</v>
      </c>
      <c r="R141" s="11" t="n">
        <f aca="false">IF(R134=1,IF(Time!R17=Time!$F$12,Funding!$F$25,Q141-Q142),0)</f>
        <v>601.620994410939</v>
      </c>
      <c r="S141" s="11" t="n">
        <f aca="false">IF(S134=1,IF(Time!S17=Time!$F$12,Funding!$F$25,R141-R142),0)</f>
        <v>584.680433064327</v>
      </c>
      <c r="T141" s="11" t="n">
        <f aca="false">IF(T134=1,IF(Time!T17=Time!$F$12,Funding!$F$25,S141-S142),0)</f>
        <v>567.240660781494</v>
      </c>
      <c r="U141" s="11" t="n">
        <f aca="false">IF(U134=1,IF(Time!U17=Time!$F$12,Funding!$F$25,T141-T142),0)</f>
        <v>548.998665222554</v>
      </c>
      <c r="V141" s="11" t="n">
        <f aca="false">IF(V134=1,IF(Time!V17=Time!$F$12,Funding!$F$25,U141-U142),0)</f>
        <v>530.174900312291</v>
      </c>
      <c r="W141" s="11" t="n">
        <f aca="false">IF(W134=1,IF(Time!W17=Time!$F$12,Funding!$F$25,V141-V142),0)</f>
        <v>510.12139213956</v>
      </c>
      <c r="X141" s="11" t="n">
        <f aca="false">IF(X134=1,IF(Time!X17=Time!$F$12,Funding!$F$25,W141-W142),0)</f>
        <v>489.454860530209</v>
      </c>
      <c r="Y141" s="11" t="n">
        <f aca="false">IF(Y134=1,IF(Time!Y17=Time!$F$12,Funding!$F$25,X141-X142),0)</f>
        <v>469.361984993608</v>
      </c>
      <c r="Z141" s="11" t="n">
        <f aca="false">IF(Z134=1,IF(Time!Z17=Time!$F$12,Funding!$F$25,Y141-Y142),0)</f>
        <v>449.259654765642</v>
      </c>
      <c r="AA141" s="11" t="n">
        <f aca="false">IF(AA134=1,IF(Time!AA17=Time!$F$12,Funding!$F$25,Z141-Z142),0)</f>
        <v>428.32452610667</v>
      </c>
      <c r="AB141" s="11" t="n">
        <f aca="false">IF(AB134=1,IF(Time!AB17=Time!$F$12,Funding!$F$25,AA141-AA142),0)</f>
        <v>406.778457906956</v>
      </c>
      <c r="AC141" s="11" t="n">
        <f aca="false">IF(AC134=1,IF(Time!AC17=Time!$F$12,Funding!$F$25,AB141-AB142),0)</f>
        <v>384.203041634484</v>
      </c>
      <c r="AD141" s="11" t="n">
        <f aca="false">IF(AD134=1,IF(Time!AD17=Time!$F$12,Funding!$F$25,AC141-AC142),0)</f>
        <v>360.879736672095</v>
      </c>
      <c r="AE141" s="11" t="n">
        <f aca="false">IF(AE134=1,IF(Time!AE17=Time!$F$12,Funding!$F$25,AD141-AD142),0)</f>
        <v>335.412389653706</v>
      </c>
      <c r="AF141" s="11" t="n">
        <f aca="false">IF(AF134=1,IF(Time!AF17=Time!$F$12,Funding!$F$25,AE141-AE142),0)</f>
        <v>308.850442325107</v>
      </c>
      <c r="AG141" s="11" t="n">
        <f aca="false">IF(AG134=1,IF(Time!AG17=Time!$F$12,Funding!$F$25,AF141-AF142),0)</f>
        <v>281.356654418061</v>
      </c>
      <c r="AH141" s="11" t="n">
        <f aca="false">IF(AH134=1,IF(Time!AH17=Time!$F$12,Funding!$F$25,AG141-AG142),0)</f>
        <v>253.349744003307</v>
      </c>
      <c r="AI141" s="11" t="n">
        <f aca="false">IF(AI134=1,IF(Time!AI17=Time!$F$12,Funding!$F$25,AH141-AH142),0)</f>
        <v>223.936843544035</v>
      </c>
      <c r="AJ141" s="11" t="n">
        <f aca="false">IF(AJ134=1,IF(Time!AJ17=Time!$F$12,Funding!$F$25,AI141-AI142),0)</f>
        <v>193.660306165999</v>
      </c>
      <c r="AK141" s="11" t="n">
        <f aca="false">IF(AK134=1,IF(Time!AK17=Time!$F$12,Funding!$F$25,AJ141-AJ142),0)</f>
        <v>161.922088308878</v>
      </c>
      <c r="AL141" s="11" t="n">
        <f aca="false">IF(AL134=1,IF(Time!AL17=Time!$F$12,Funding!$F$25,AK141-AK142),0)</f>
        <v>129.156560541015</v>
      </c>
      <c r="AM141" s="11" t="n">
        <f aca="false">IF(AM134=1,IF(Time!AM17=Time!$F$12,Funding!$F$25,AL141-AL142),0)</f>
        <v>94.4140015361855</v>
      </c>
      <c r="AN141" s="11" t="n">
        <f aca="false">IF(AN134=1,IF(Time!AN17=Time!$F$12,Funding!$F$25,AM141-AM142),0)</f>
        <v>58.9493195939232</v>
      </c>
      <c r="AO141" s="11" t="n">
        <f aca="false">IF(AO134=1,IF(Time!AO17=Time!$F$12,Funding!$F$25,AN141-AN142),0)</f>
        <v>29.691378004827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15.4897148017584</v>
      </c>
      <c r="Q142" s="11" t="n">
        <f aca="false">Q140-Q141*Q135</f>
        <v>16.1452663300764</v>
      </c>
      <c r="R142" s="11" t="n">
        <f aca="false">R140-R141*R135</f>
        <v>16.9405613466122</v>
      </c>
      <c r="S142" s="11" t="n">
        <f aca="false">S140-S141*S135</f>
        <v>17.439772282833</v>
      </c>
      <c r="T142" s="11" t="n">
        <f aca="false">T140-T141*T135</f>
        <v>18.2419955589405</v>
      </c>
      <c r="U142" s="11" t="n">
        <f aca="false">U140-U141*U135</f>
        <v>18.8237649102628</v>
      </c>
      <c r="V142" s="11" t="n">
        <f aca="false">V140-V141*V135</f>
        <v>20.0535081727306</v>
      </c>
      <c r="W142" s="11" t="n">
        <f aca="false">W140-W141*W135</f>
        <v>20.6665316093516</v>
      </c>
      <c r="X142" s="11" t="n">
        <f aca="false">X140-X141*X135</f>
        <v>20.0928755366008</v>
      </c>
      <c r="Y142" s="11" t="n">
        <f aca="false">Y140-Y141*Y135</f>
        <v>20.1023302279655</v>
      </c>
      <c r="Z142" s="11" t="n">
        <f aca="false">Z140-Z141*Z135</f>
        <v>20.9351286589726</v>
      </c>
      <c r="AA142" s="11" t="n">
        <f aca="false">AA140-AA141*AA135</f>
        <v>21.5460681997141</v>
      </c>
      <c r="AB142" s="11" t="n">
        <f aca="false">AB140-AB141*AB135</f>
        <v>22.5754162724716</v>
      </c>
      <c r="AC142" s="11" t="n">
        <f aca="false">AC140-AC141*AC135</f>
        <v>23.3233049623886</v>
      </c>
      <c r="AD142" s="11" t="n">
        <f aca="false">AD140-AD141*AD135</f>
        <v>25.4673470183896</v>
      </c>
      <c r="AE142" s="11" t="n">
        <f aca="false">AE140-AE141*AE135</f>
        <v>26.561947328599</v>
      </c>
      <c r="AF142" s="11" t="n">
        <f aca="false">AF140-AF141*AF135</f>
        <v>27.4937879070456</v>
      </c>
      <c r="AG142" s="11" t="n">
        <f aca="false">AG140-AG141*AG135</f>
        <v>28.0069104147543</v>
      </c>
      <c r="AH142" s="11" t="n">
        <f aca="false">AH140-AH141*AH135</f>
        <v>29.4129004592721</v>
      </c>
      <c r="AI142" s="11" t="n">
        <f aca="false">AI140-AI141*AI135</f>
        <v>30.2765373780352</v>
      </c>
      <c r="AJ142" s="11" t="n">
        <f aca="false">AJ140-AJ141*AJ135</f>
        <v>31.7382178571214</v>
      </c>
      <c r="AK142" s="11" t="n">
        <f aca="false">AK140-AK141*AK135</f>
        <v>32.7655277678628</v>
      </c>
      <c r="AL142" s="11" t="n">
        <f aca="false">AL140-AL141*AL135</f>
        <v>34.7425590048297</v>
      </c>
      <c r="AM142" s="11" t="n">
        <f aca="false">AM140-AM141*AM135</f>
        <v>35.4646819422624</v>
      </c>
      <c r="AN142" s="11" t="n">
        <f aca="false">AN140-AN141*AN135</f>
        <v>29.2579415890962</v>
      </c>
      <c r="AO142" s="11" t="n">
        <f aca="false">AO140-AO141*AO135</f>
        <v>29.6913780048279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1.01444896927205E-009</v>
      </c>
      <c r="Q143" s="11" t="n">
        <f aca="false">IF(Inputs!$F$8=1,Q142-Q134*Inputs!Q219*Funding!$F$25,0)</f>
        <v>4.89844609319334E-010</v>
      </c>
      <c r="R143" s="11" t="n">
        <f aca="false">IF(Inputs!$F$8=1,R142-R134*Inputs!R219*Funding!$F$25,0)</f>
        <v>1.18206600063786E-009</v>
      </c>
      <c r="S143" s="11" t="n">
        <f aca="false">IF(Inputs!$F$8=1,S142-S134*Inputs!S219*Funding!$F$25,0)</f>
        <v>5.33614041842156E-010</v>
      </c>
      <c r="T143" s="11" t="n">
        <f aca="false">IF(Inputs!$F$8=1,T142-T134*Inputs!T219*Funding!$F$25,0)</f>
        <v>1.17891474360476E-009</v>
      </c>
      <c r="U143" s="11" t="n">
        <f aca="false">IF(Inputs!$F$8=1,U142-U134*Inputs!U219*Funding!$F$25,0)</f>
        <v>6.45481890160227E-010</v>
      </c>
      <c r="V143" s="11" t="n">
        <f aca="false">IF(Inputs!$F$8=1,V142-V134*Inputs!V219*Funding!$F$25,0)</f>
        <v>9.84414327831473E-010</v>
      </c>
      <c r="W143" s="11" t="n">
        <f aca="false">IF(Inputs!$F$8=1,W142-W134*Inputs!W219*Funding!$F$25,0)</f>
        <v>2.50821585723315E-010</v>
      </c>
      <c r="X143" s="11" t="n">
        <f aca="false">IF(Inputs!$F$8=1,X142-X134*Inputs!X219*Funding!$F$25,0)</f>
        <v>8.66059224335913E-010</v>
      </c>
      <c r="Y143" s="11" t="n">
        <f aca="false">IF(Inputs!$F$8=1,Y142-Y134*Inputs!Y219*Funding!$F$25,0)</f>
        <v>1.93853821883749E-010</v>
      </c>
      <c r="Z143" s="11" t="n">
        <f aca="false">IF(Inputs!$F$8=1,Z142-Z134*Inputs!Z219*Funding!$F$25,0)</f>
        <v>6.71263933327282E-010</v>
      </c>
      <c r="AA143" s="11" t="n">
        <f aca="false">IF(Inputs!$F$8=1,AA142-AA134*Inputs!AA219*Funding!$F$25,0)</f>
        <v>2.94164692604682E-011</v>
      </c>
      <c r="AB143" s="11" t="n">
        <f aca="false">IF(Inputs!$F$8=1,AB142-AB134*Inputs!AB219*Funding!$F$25,0)</f>
        <v>4.31409574730424E-010</v>
      </c>
      <c r="AC143" s="11" t="n">
        <f aca="false">IF(Inputs!$F$8=1,AC142-AC134*Inputs!AC219*Funding!$F$25,0)</f>
        <v>-1.39870337534376E-011</v>
      </c>
      <c r="AD143" s="11" t="n">
        <f aca="false">IF(Inputs!$F$8=1,AD142-AD134*Inputs!AD219*Funding!$F$25,0)</f>
        <v>9.02993235740723E-011</v>
      </c>
      <c r="AE143" s="11" t="n">
        <f aca="false">IF(Inputs!$F$8=1,AE142-AE134*Inputs!AE219*Funding!$F$25,0)</f>
        <v>-5.01781727280104E-010</v>
      </c>
      <c r="AF143" s="11" t="n">
        <f aca="false">IF(Inputs!$F$8=1,AF142-AF134*Inputs!AF219*Funding!$F$25,0)</f>
        <v>-2.49610110358844E-010</v>
      </c>
      <c r="AG143" s="11" t="n">
        <f aca="false">IF(Inputs!$F$8=1,AG142-AG134*Inputs!AG219*Funding!$F$25,0)</f>
        <v>-7.66576135902142E-010</v>
      </c>
      <c r="AH143" s="11" t="n">
        <f aca="false">IF(Inputs!$F$8=1,AH142-AH134*Inputs!AH219*Funding!$F$25,0)</f>
        <v>-6.27036200739894E-010</v>
      </c>
      <c r="AI143" s="11" t="n">
        <f aca="false">IF(Inputs!$F$8=1,AI142-AI134*Inputs!AI219*Funding!$F$25,0)</f>
        <v>-1.1012666334409E-009</v>
      </c>
      <c r="AJ143" s="11" t="n">
        <f aca="false">IF(Inputs!$F$8=1,AJ142-AJ134*Inputs!AJ219*Funding!$F$25,0)</f>
        <v>-1.05942632444567E-009</v>
      </c>
      <c r="AK143" s="11" t="n">
        <f aca="false">IF(Inputs!$F$8=1,AK142-AK134*Inputs!AK219*Funding!$F$25,0)</f>
        <v>-1.41971412404018E-009</v>
      </c>
      <c r="AL143" s="11" t="n">
        <f aca="false">IF(Inputs!$F$8=1,AL142-AL134*Inputs!AL219*Funding!$F$25,0)</f>
        <v>-1.57970703185129E-009</v>
      </c>
      <c r="AM143" s="11" t="n">
        <f aca="false">IF(Inputs!$F$8=1,AM142-AM134*Inputs!AM219*Funding!$F$25,0)</f>
        <v>5.27286658780213E-010</v>
      </c>
      <c r="AN143" s="11" t="n">
        <f aca="false">IF(Inputs!$F$8=1,AN142-AN134*Inputs!AN219*Funding!$F$25,0)</f>
        <v>-8.28400459340628E-010</v>
      </c>
      <c r="AO143" s="11" t="n">
        <f aca="false">IF(Inputs!$F$8=1,AO142-AO134*Inputs!AO219*Funding!$F$25,0)</f>
        <v>-9.41007272103889E-010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2.92324644545162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40.169141882547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2305.54628255608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50.1619722181901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52.4846384492289</v>
      </c>
      <c r="AN7" s="11" t="n">
        <f aca="false">Operations!AN79-Tax!AN27-Operations!AN91-Reserves!AN7+Operations!AN74+Operations!AN92</f>
        <v>42.407025515208</v>
      </c>
      <c r="AO7" s="11" t="n">
        <f aca="false">Operations!AO79-Tax!AO27-Operations!AO91-Reserves!AO7+Operations!AO74+Operations!AO92</f>
        <v>41.5322726830367</v>
      </c>
      <c r="AP7" s="11" t="n">
        <f aca="false">Operations!AP79-Tax!AP27-Operations!AP91-Reserves!AP7+Operations!AP74+Operations!AP92</f>
        <v>41.6216377830038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52.4846384492289</v>
      </c>
      <c r="AN9" s="11" t="n">
        <f aca="false">AN7+AN8</f>
        <v>42.407025515208</v>
      </c>
      <c r="AO9" s="11" t="n">
        <f aca="false">AO7+AO8</f>
        <v>41.5322726830367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13.0049557630443</v>
      </c>
      <c r="R13" s="11" t="n">
        <f aca="false">MAX(0,R9-R10)</f>
        <v>13.1686747853812</v>
      </c>
      <c r="S13" s="11" t="n">
        <f aca="false">MAX(0,S9-S10)</f>
        <v>13.0666593761353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28.9153465959509</v>
      </c>
      <c r="AN13" s="11" t="n">
        <f aca="false">MAX(0,AN9-AN10)</f>
        <v>23.2750082603438</v>
      </c>
      <c r="AO13" s="11" t="n">
        <f aca="false">MAX(0,AO9-AO10)</f>
        <v>22.6263649354285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12.5371871305121</v>
      </c>
      <c r="R14" s="11" t="n">
        <f aca="false">R13-Reserves!R11+Reserves!R12</f>
        <v>13.4601473805023</v>
      </c>
      <c r="S14" s="11" t="n">
        <f aca="false">S13-Reserves!S11+Reserves!S12</f>
        <v>12.6487540869445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33.3526211943647</v>
      </c>
      <c r="AN14" s="11" t="n">
        <f aca="false">AN13-Reserves!AN11+Reserves!AN12</f>
        <v>23.5011177675998</v>
      </c>
      <c r="AO14" s="11" t="n">
        <f aca="false">AO13-Reserves!AO11+Reserves!AO12</f>
        <v>41.5322726830367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12.5371871305121</v>
      </c>
      <c r="R15" s="11" t="n">
        <f aca="false">R14-Reserves!R14+Reserves!R15</f>
        <v>13.4601473805023</v>
      </c>
      <c r="S15" s="11" t="n">
        <f aca="false">S14-Reserves!S14+Reserves!S15</f>
        <v>12.6487540869445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33.3526211943647</v>
      </c>
      <c r="AN15" s="11" t="n">
        <f aca="false">AN14-Reserves!AN14+Reserves!AN15</f>
        <v>23.5011177675998</v>
      </c>
      <c r="AO15" s="11" t="n">
        <f aca="false">AO14-Reserves!AO14+Reserves!AO15</f>
        <v>41.5322726830367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1.35000000010074</v>
      </c>
      <c r="R17" s="6" t="n">
        <f aca="false">IF(Debt!R121&gt;0.000000001,R7/Debt!R121,0)</f>
        <v>1.35000000012476</v>
      </c>
      <c r="S17" s="6" t="n">
        <f aca="false">IF(Debt!S121&gt;0.000000001,S7/Debt!S121,0)</f>
        <v>1.35000000010019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2.22682288360434</v>
      </c>
      <c r="AN17" s="6" t="n">
        <f aca="false">IF(Debt!AN121&gt;0.000000001,AN7/Debt!AN121,0)</f>
        <v>2.21654752608099</v>
      </c>
      <c r="AO17" s="6" t="n">
        <f aca="false">IF(Debt!AO121&gt;0.000000001,AO7/Debt!AO121,0)</f>
        <v>2.19678807479059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1.35000000011087</v>
      </c>
      <c r="R18" s="6" t="n">
        <f aca="false">IF(Debt!R121&gt;0.000000001,IF(Debt!Q121&gt;0.000000001,(R7+Q7)/(Debt!R121+Debt!Q121),R17),0)</f>
        <v>1.35000000011283</v>
      </c>
      <c r="S18" s="6" t="n">
        <f aca="false">IF(Debt!S121&gt;0.000000001,IF(Debt!R121&gt;0.000000001,(S7+R7)/(Debt!S121+Debt!R121),S17),0)</f>
        <v>1.35000000011252</v>
      </c>
      <c r="T18" s="6" t="n">
        <f aca="false">IF(Debt!T121&gt;0.000000001,IF(Debt!S121&gt;0.000000001,(T7+S7)/(Debt!T121+Debt!S121),T17),0)</f>
        <v>1.35000000011136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2.23673355247046</v>
      </c>
      <c r="AN18" s="6" t="n">
        <f aca="false">IF(Debt!AN121&gt;0.000000001,IF(Debt!AM121&gt;0.000000001,(AN7+AM7)/(Debt!AN121+Debt!AM121),AN17),0)</f>
        <v>2.22221908288856</v>
      </c>
      <c r="AO18" s="6" t="n">
        <f aca="false">IF(Debt!AO121&gt;0.000000001,IF(Debt!AN121&gt;0.000000001,(AO7+AN7)/(Debt!AO121+Debt!AN121),AO17),0)</f>
        <v>2.20672652866288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94.6658232061352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6.18526964990857</v>
      </c>
      <c r="AB29" s="11" t="n">
        <f aca="false">IF(AND(AB24=1,Time!AB21&gt;=2027,Inputs!$F$51=1),MIN(Inputs!$F$109*AB15,Debt!AB81),0)</f>
        <v>7.19416552841933</v>
      </c>
      <c r="AC29" s="11" t="n">
        <f aca="false">IF(AND(AC24=1,Time!AC21&gt;=2027,Inputs!$F$51=1),MIN(Inputs!$F$109*AC15,Debt!AC81),0)</f>
        <v>6.86678897087803</v>
      </c>
      <c r="AD29" s="11" t="n">
        <f aca="false">IF(AND(AD24=1,Time!AD21&gt;=2027,Inputs!$F$51=1),MIN(Inputs!$F$109*AD15,Debt!AD81),0)</f>
        <v>8.2088372521896</v>
      </c>
      <c r="AE29" s="11" t="n">
        <f aca="false">IF(AND(AE24=1,Time!AE21&gt;=2027,Inputs!$F$51=1),MIN(Inputs!$F$109*AE15,Debt!AE81),0)</f>
        <v>8.82241226273076</v>
      </c>
      <c r="AF29" s="11" t="n">
        <f aca="false">IF(AND(AF24=1,Time!AF21&gt;=2027,Inputs!$F$51=1),MIN(Inputs!$F$109*AF15,Debt!AF81),0)</f>
        <v>9.71942530961141</v>
      </c>
      <c r="AG29" s="11" t="n">
        <f aca="false">IF(AND(AG24=1,Time!AG21&gt;=2027,Inputs!$F$51=1),MIN(Inputs!$F$109*AG15,Debt!AG81),0)</f>
        <v>10.1557640161825</v>
      </c>
      <c r="AH29" s="11" t="n">
        <f aca="false">IF(AND(AH24=1,Time!AH21&gt;=2027,Inputs!$F$51=1),MIN(Inputs!$F$109*AH15,Debt!AH81),0)</f>
        <v>11.5387131006289</v>
      </c>
      <c r="AI29" s="11" t="n">
        <f aca="false">IF(AND(AI24=1,Time!AI21&gt;=2027,Inputs!$F$51=1),MIN(Inputs!$F$109*AI15,Debt!AI81),0)</f>
        <v>12.4175779958468</v>
      </c>
      <c r="AJ29" s="11" t="n">
        <f aca="false">IF(AND(AJ24=1,Time!AJ21&gt;=2027,Inputs!$F$51=1),MIN(Inputs!$F$109*AJ15,Debt!AJ81),0)</f>
        <v>13.5568691197393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1396.78731284589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12.5371871305121</v>
      </c>
      <c r="R31" s="11" t="n">
        <f aca="false">IF(R24=1,R15-R29,0)</f>
        <v>13.4601473805023</v>
      </c>
      <c r="S31" s="11" t="n">
        <f aca="false">IF(S24=1,S15-S29,0)</f>
        <v>12.6487540869445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33.3526211943647</v>
      </c>
      <c r="AN31" s="11" t="n">
        <f aca="false">IF(AN24=1,AN15-AN29,0)</f>
        <v>23.5011177675998</v>
      </c>
      <c r="AO31" s="11" t="n">
        <f aca="false">IF(AO24=1,AO15-AO29,0)</f>
        <v>41.5322726830367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196.544545393509</v>
      </c>
      <c r="S33" s="11" t="n">
        <f aca="false">IF(Time!S17&lt;Time!$F$11,0,IF(Time!S29=1,INDEX(Funding!$J$72:$BJ$72,1,Time!$F$13),R36))</f>
        <v>192.496997063632</v>
      </c>
      <c r="T33" s="11" t="n">
        <f aca="false">IF(Time!T17&lt;Time!$F$11,0,IF(Time!T29=1,INDEX(Funding!$J$72:$BJ$72,1,Time!$F$13),S36))</f>
        <v>188.916697400001</v>
      </c>
      <c r="U33" s="11" t="n">
        <f aca="false">IF(Time!U17&lt;Time!$F$11,0,IF(Time!U29=1,INDEX(Funding!$J$72:$BJ$72,1,Time!$F$13),T36))</f>
        <v>184.570544420358</v>
      </c>
      <c r="V33" s="11" t="n">
        <f aca="false">IF(Time!V17&lt;Time!$F$11,0,IF(Time!V29=1,INDEX(Funding!$J$72:$BJ$72,1,Time!$F$13),U36))</f>
        <v>180.881110838189</v>
      </c>
      <c r="W33" s="11" t="n">
        <f aca="false">IF(Time!W17&lt;Time!$F$11,0,IF(Time!W29=1,INDEX(Funding!$J$72:$BJ$72,1,Time!$F$13),V36))</f>
        <v>175.878116675021</v>
      </c>
      <c r="X33" s="11" t="n">
        <f aca="false">IF(Time!X17&lt;Time!$F$11,0,IF(Time!X29=1,INDEX(Funding!$J$72:$BJ$72,1,Time!$F$13),W36))</f>
        <v>169.759100519305</v>
      </c>
      <c r="Y33" s="11" t="n">
        <f aca="false">IF(Time!Y17&lt;Time!$F$11,0,IF(Time!Y29=1,INDEX(Funding!$J$72:$BJ$72,1,Time!$F$13),X36))</f>
        <v>164.608152297051</v>
      </c>
      <c r="Z33" s="11" t="n">
        <f aca="false">IF(Time!Z17&lt;Time!$F$11,0,IF(Time!Z29=1,INDEX(Funding!$J$72:$BJ$72,1,Time!$F$13),Y36))</f>
        <v>159.864108549955</v>
      </c>
      <c r="AA33" s="11" t="n">
        <f aca="false">IF(Time!AA17&lt;Time!$F$11,0,IF(Time!AA29=1,INDEX(Funding!$J$72:$BJ$72,1,Time!$F$13),Z36))</f>
        <v>154.318013560692</v>
      </c>
      <c r="AB33" s="11" t="n">
        <f aca="false">IF(Time!AB17&lt;Time!$F$11,0,IF(Time!AB29=1,INDEX(Funding!$J$72:$BJ$72,1,Time!$F$13),AA36))</f>
        <v>155.402602111266</v>
      </c>
      <c r="AC33" s="11" t="n">
        <f aca="false">IF(Time!AC17&lt;Time!$F$11,0,IF(Time!AC29=1,INDEX(Funding!$J$72:$BJ$72,1,Time!$F$13),AB36))</f>
        <v>155.650731062038</v>
      </c>
      <c r="AD33" s="11" t="n">
        <f aca="false">IF(Time!AD17&lt;Time!$F$11,0,IF(Time!AD29=1,INDEX(Funding!$J$72:$BJ$72,1,Time!$F$13),AC36))</f>
        <v>156.157095899551</v>
      </c>
      <c r="AE33" s="11" t="n">
        <f aca="false">IF(Time!AE17&lt;Time!$F$11,0,IF(Time!AE29=1,INDEX(Funding!$J$72:$BJ$72,1,Time!$F$13),AD36))</f>
        <v>155.42668614414</v>
      </c>
      <c r="AF33" s="11" t="n">
        <f aca="false">IF(Time!AF17&lt;Time!$F$11,0,IF(Time!AF29=1,INDEX(Funding!$J$72:$BJ$72,1,Time!$F$13),AE36))</f>
        <v>153.926361191679</v>
      </c>
      <c r="AG33" s="11" t="n">
        <f aca="false">IF(Time!AG17&lt;Time!$F$11,0,IF(Time!AG29=1,INDEX(Funding!$J$72:$BJ$72,1,Time!$F$13),AF36))</f>
        <v>151.578532576946</v>
      </c>
      <c r="AH33" s="11" t="n">
        <f aca="false">IF(Time!AH17&lt;Time!$F$11,0,IF(Time!AH29=1,INDEX(Funding!$J$72:$BJ$72,1,Time!$F$13),AG36))</f>
        <v>148.563570937916</v>
      </c>
      <c r="AI33" s="11" t="n">
        <f aca="false">IF(Time!AI17&lt;Time!$F$11,0,IF(Time!AI29=1,INDEX(Funding!$J$72:$BJ$72,1,Time!$F$13),AH36))</f>
        <v>144.139628303026</v>
      </c>
      <c r="AJ33" s="11" t="n">
        <f aca="false">IF(Time!AJ17&lt;Time!$F$11,0,IF(Time!AJ29=1,INDEX(Funding!$J$72:$BJ$72,1,Time!$F$13),AI36))</f>
        <v>138.512408961071</v>
      </c>
      <c r="AK33" s="11" t="n">
        <f aca="false">IF(Time!AK17&lt;Time!$F$11,0,IF(Time!AK29=1,INDEX(Funding!$J$72:$BJ$72,1,Time!$F$13),AJ36))</f>
        <v>130.090628863644</v>
      </c>
      <c r="AL33" s="11" t="n">
        <f aca="false">IF(Time!AL17&lt;Time!$F$11,0,IF(Time!AL29=1,INDEX(Funding!$J$72:$BJ$72,1,Time!$F$13),AK36))</f>
        <v>104.3632884289</v>
      </c>
      <c r="AM33" s="11" t="n">
        <f aca="false">IF(Time!AM17&lt;Time!$F$11,0,IF(Time!AM29=1,INDEX(Funding!$J$72:$BJ$72,1,Time!$F$13),AL36))</f>
        <v>79.6550050426414</v>
      </c>
      <c r="AN33" s="11" t="n">
        <f aca="false">IF(Time!AN17&lt;Time!$F$11,0,IF(Time!AN29=1,INDEX(Funding!$J$72:$BJ$72,1,Time!$F$13),AM36))</f>
        <v>50.0548984009019</v>
      </c>
      <c r="AO33" s="11" t="n">
        <f aca="false">IF(Time!AO17&lt;Time!$F$11,0,IF(Time!AO29=1,INDEX(Funding!$J$72:$BJ$72,1,Time!$F$13),AN36))</f>
        <v>28.9509302882274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184.748963093345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9.40661283049369</v>
      </c>
      <c r="R34" s="11" t="n">
        <f aca="false">R24*MIN(R31,Tax!R13)</f>
        <v>9.41259905062611</v>
      </c>
      <c r="S34" s="11" t="n">
        <f aca="false">S24*MIN(S31,Tax!S13)</f>
        <v>9.06845442331276</v>
      </c>
      <c r="T34" s="11" t="n">
        <f aca="false">T24*MIN(T31,Tax!T13)</f>
        <v>9.04729827548496</v>
      </c>
      <c r="U34" s="11" t="n">
        <f aca="false">U24*MIN(U31,Tax!U13)</f>
        <v>8.74308140555614</v>
      </c>
      <c r="V34" s="11" t="n">
        <f aca="false">V24*MIN(V31,Tax!V13)</f>
        <v>8.66247073274398</v>
      </c>
      <c r="W34" s="11" t="n">
        <f aca="false">W24*MIN(W31,Tax!W13)</f>
        <v>8.28554579788215</v>
      </c>
      <c r="X34" s="11" t="n">
        <f aca="false">X24*MIN(X31,Tax!X13)</f>
        <v>8.12983308788343</v>
      </c>
      <c r="Y34" s="11" t="n">
        <f aca="false">Y24*MIN(Y31,Tax!Y13)</f>
        <v>7.7546224075282</v>
      </c>
      <c r="Z34" s="11" t="n">
        <f aca="false">Z24*MIN(Z31,Tax!Z13)</f>
        <v>7.6559578560362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7.47842749677851</v>
      </c>
      <c r="AE34" s="11" t="n">
        <f aca="false">AE24*MIN(AE31,Tax!AE13)</f>
        <v>7.32208731026983</v>
      </c>
      <c r="AF34" s="11" t="n">
        <f aca="false">AF24*MIN(AF31,Tax!AF13)</f>
        <v>7.37159669487822</v>
      </c>
      <c r="AG34" s="11" t="n">
        <f aca="false">AG24*MIN(AG31,Tax!AG13)</f>
        <v>7.14080237715229</v>
      </c>
      <c r="AH34" s="11" t="n">
        <f aca="false">AH24*MIN(AH31,Tax!AH13)</f>
        <v>7.11477046573909</v>
      </c>
      <c r="AI34" s="11" t="n">
        <f aca="false">AI24*MIN(AI31,Tax!AI13)</f>
        <v>6.79035865389187</v>
      </c>
      <c r="AJ34" s="11" t="n">
        <f aca="false">AJ24*MIN(AJ31,Tax!AJ13)</f>
        <v>6.63341618805348</v>
      </c>
      <c r="AK34" s="11" t="n">
        <f aca="false">AK24*MIN(AK31,Tax!AK13)</f>
        <v>6.16237526863671</v>
      </c>
      <c r="AL34" s="11" t="n">
        <f aca="false">AL24*MIN(AL31,Tax!AL13)</f>
        <v>4.99800077188264</v>
      </c>
      <c r="AM34" s="11" t="n">
        <f aca="false">AM24*MIN(AM31,Tax!AM13)</f>
        <v>3.75251455262526</v>
      </c>
      <c r="AN34" s="11" t="n">
        <f aca="false">AN24*MIN(AN31,Tax!AN13)</f>
        <v>2.39714965492538</v>
      </c>
      <c r="AO34" s="11" t="n">
        <f aca="false">AO24*MIN(AO31,Tax!AO13)</f>
        <v>1.36386642823581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206.700494406125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3.13057430001842</v>
      </c>
      <c r="R35" s="11" t="n">
        <f aca="false">R24*MIN(R31-R34,R33+Tax!R13-R34)</f>
        <v>4.04754832987615</v>
      </c>
      <c r="S35" s="11" t="n">
        <f aca="false">S24*MIN(S31-S34,S33+Tax!S13-S34)</f>
        <v>3.58029966363175</v>
      </c>
      <c r="T35" s="11" t="n">
        <f aca="false">T24*MIN(T31-T34,T33+Tax!T13-T34)</f>
        <v>4.34615297964249</v>
      </c>
      <c r="U35" s="11" t="n">
        <f aca="false">U24*MIN(U31-U34,U33+Tax!U13-U34)</f>
        <v>3.68943358216871</v>
      </c>
      <c r="V35" s="11" t="n">
        <f aca="false">V24*MIN(V31-V34,V33+Tax!V13-V34)</f>
        <v>5.00299416316858</v>
      </c>
      <c r="W35" s="11" t="n">
        <f aca="false">W24*MIN(W31-W34,W33+Tax!W13-W34)</f>
        <v>6.1190161557159</v>
      </c>
      <c r="X35" s="11" t="n">
        <f aca="false">X24*MIN(X31-X34,X33+Tax!X13-X34)</f>
        <v>5.15094822225391</v>
      </c>
      <c r="Y35" s="11" t="n">
        <f aca="false">Y24*MIN(Y31-Y34,Y33+Tax!Y13-Y34)</f>
        <v>4.7440437470961</v>
      </c>
      <c r="Z35" s="11" t="n">
        <f aca="false">Z24*MIN(Z31-Z34,Z33+Tax!Z13-Z34)</f>
        <v>5.54609498926267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0.730409755411094</v>
      </c>
      <c r="AE35" s="11" t="n">
        <f aca="false">AE24*MIN(AE31-AE34,AE33+Tax!AE13-AE34)</f>
        <v>1.50032495246093</v>
      </c>
      <c r="AF35" s="11" t="n">
        <f aca="false">AF24*MIN(AF31-AF34,AF33+Tax!AF13-AF34)</f>
        <v>2.34782861473318</v>
      </c>
      <c r="AG35" s="11" t="n">
        <f aca="false">AG24*MIN(AG31-AG34,AG33+Tax!AG13-AG34)</f>
        <v>3.01496163903024</v>
      </c>
      <c r="AH35" s="11" t="n">
        <f aca="false">AH24*MIN(AH31-AH34,AH33+Tax!AH13-AH34)</f>
        <v>4.42394263488976</v>
      </c>
      <c r="AI35" s="11" t="n">
        <f aca="false">AI24*MIN(AI31-AI34,AI33+Tax!AI13-AI34)</f>
        <v>5.62721934195497</v>
      </c>
      <c r="AJ35" s="11" t="n">
        <f aca="false">AJ24*MIN(AJ31-AJ34,AJ33+Tax!AJ13-AJ34)</f>
        <v>8.42178009742737</v>
      </c>
      <c r="AK35" s="11" t="n">
        <f aca="false">AK24*MIN(AK31-AK34,AK33+Tax!AK13-AK34)</f>
        <v>25.7273404347441</v>
      </c>
      <c r="AL35" s="11" t="n">
        <f aca="false">AL24*MIN(AL31-AL34,AL33+Tax!AL13-AL34)</f>
        <v>24.7082833862582</v>
      </c>
      <c r="AM35" s="11" t="n">
        <f aca="false">AM24*MIN(AM31-AM34,AM33+Tax!AM13-AM34)</f>
        <v>29.6001066417395</v>
      </c>
      <c r="AN35" s="11" t="n">
        <f aca="false">AN24*MIN(AN31-AN34,AN33+Tax!AN13-AN34)</f>
        <v>21.1039681126745</v>
      </c>
      <c r="AO35" s="11" t="n">
        <f aca="false">AO24*MIN(AO31-AO34,AO33+Tax!AO13-AO34)</f>
        <v>28.9509302882274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196.544545393509</v>
      </c>
      <c r="R36" s="11" t="n">
        <f aca="false">R33+Tax!R13-R34-R35</f>
        <v>192.496997063632</v>
      </c>
      <c r="S36" s="11" t="n">
        <f aca="false">S33+Tax!S13-S34-S35</f>
        <v>188.916697400001</v>
      </c>
      <c r="T36" s="11" t="n">
        <f aca="false">T33+Tax!T13-T34-T35</f>
        <v>184.570544420358</v>
      </c>
      <c r="U36" s="11" t="n">
        <f aca="false">U33+Tax!U13-U34-U35</f>
        <v>180.881110838189</v>
      </c>
      <c r="V36" s="11" t="n">
        <f aca="false">V33+Tax!V13-V34-V35</f>
        <v>175.878116675021</v>
      </c>
      <c r="W36" s="11" t="n">
        <f aca="false">W33+Tax!W13-W34-W35</f>
        <v>169.759100519305</v>
      </c>
      <c r="X36" s="11" t="n">
        <f aca="false">X33+Tax!X13-X34-X35</f>
        <v>164.608152297051</v>
      </c>
      <c r="Y36" s="11" t="n">
        <f aca="false">Y33+Tax!Y13-Y34-Y35</f>
        <v>159.864108549955</v>
      </c>
      <c r="Z36" s="11" t="n">
        <f aca="false">Z33+Tax!Z13-Z34-Z35</f>
        <v>154.318013560692</v>
      </c>
      <c r="AA36" s="11" t="n">
        <f aca="false">AA33+Tax!AA13-AA34-AA35</f>
        <v>155.402602111266</v>
      </c>
      <c r="AB36" s="11" t="n">
        <f aca="false">AB33+Tax!AB13-AB34-AB35</f>
        <v>155.650731062038</v>
      </c>
      <c r="AC36" s="11" t="n">
        <f aca="false">AC33+Tax!AC13-AC34-AC35</f>
        <v>156.157095899551</v>
      </c>
      <c r="AD36" s="11" t="n">
        <f aca="false">AD33+Tax!AD13-AD34-AD35</f>
        <v>155.42668614414</v>
      </c>
      <c r="AE36" s="11" t="n">
        <f aca="false">AE33+Tax!AE13-AE34-AE35</f>
        <v>153.926361191679</v>
      </c>
      <c r="AF36" s="11" t="n">
        <f aca="false">AF33+Tax!AF13-AF34-AF35</f>
        <v>151.578532576946</v>
      </c>
      <c r="AG36" s="11" t="n">
        <f aca="false">AG33+Tax!AG13-AG34-AG35</f>
        <v>148.563570937916</v>
      </c>
      <c r="AH36" s="11" t="n">
        <f aca="false">AH33+Tax!AH13-AH34-AH35</f>
        <v>144.139628303026</v>
      </c>
      <c r="AI36" s="11" t="n">
        <f aca="false">AI33+Tax!AI13-AI34-AI35</f>
        <v>138.512408961071</v>
      </c>
      <c r="AJ36" s="11" t="n">
        <f aca="false">AJ33+Tax!AJ13-AJ34-AJ35</f>
        <v>130.090628863644</v>
      </c>
      <c r="AK36" s="11" t="n">
        <f aca="false">AK33+Tax!AK13-AK34-AK35</f>
        <v>104.3632884289</v>
      </c>
      <c r="AL36" s="11" t="n">
        <f aca="false">AL33+Tax!AL13-AL34-AL35</f>
        <v>79.6550050426414</v>
      </c>
      <c r="AM36" s="11" t="n">
        <f aca="false">AM33+Tax!AM13-AM34-AM35</f>
        <v>50.0548984009019</v>
      </c>
      <c r="AN36" s="11" t="n">
        <f aca="false">AN33+Tax!AN13-AN34-AN35</f>
        <v>28.9509302882274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35.1040275901293</v>
      </c>
      <c r="S37" s="11" t="n">
        <f aca="false">MAX(0,R43+Financials!S14)</f>
        <v>45.5389417020596</v>
      </c>
      <c r="T37" s="11" t="n">
        <f aca="false">MAX(0,S43+Financials!T14)</f>
        <v>56.456669276486</v>
      </c>
      <c r="U37" s="11" t="n">
        <f aca="false">MAX(0,T43+Financials!U14)</f>
        <v>68.6055233629479</v>
      </c>
      <c r="V37" s="11" t="n">
        <f aca="false">MAX(0,U43+Financials!V14)</f>
        <v>79.0699942459125</v>
      </c>
      <c r="W37" s="11" t="n">
        <f aca="false">MAX(0,V43+Financials!W14)</f>
        <v>93.3455880987402</v>
      </c>
      <c r="X37" s="11" t="n">
        <f aca="false">MAX(0,W43+Financials!X14)</f>
        <v>108.299883177138</v>
      </c>
      <c r="Y37" s="11" t="n">
        <f aca="false">MAX(0,X43+Financials!Y14)</f>
        <v>121.253833874482</v>
      </c>
      <c r="Z37" s="11" t="n">
        <f aca="false">MAX(0,Y43+Financials!Z14)</f>
        <v>129.006645978886</v>
      </c>
      <c r="AA37" s="11" t="n">
        <f aca="false">MAX(0,Z43+Financials!AA14)</f>
        <v>137.734064885907</v>
      </c>
      <c r="AB37" s="11" t="n">
        <f aca="false">MAX(0,AA43+Financials!AB14)</f>
        <v>147.028896786851</v>
      </c>
      <c r="AC37" s="11" t="n">
        <f aca="false">MAX(0,AB43+Financials!AC14)</f>
        <v>157.381988410481</v>
      </c>
      <c r="AD37" s="11" t="n">
        <f aca="false">MAX(0,AC43+Financials!AD14)</f>
        <v>159.657652830825</v>
      </c>
      <c r="AE37" s="11" t="n">
        <f aca="false">MAX(0,AD43+Financials!AE14)</f>
        <v>171.950471413052</v>
      </c>
      <c r="AF37" s="11" t="n">
        <f aca="false">MAX(0,AE43+Financials!AF14)</f>
        <v>184.96769001954</v>
      </c>
      <c r="AG37" s="11" t="n">
        <f aca="false">MAX(0,AF43+Financials!AG14)</f>
        <v>199.082224294238</v>
      </c>
      <c r="AH37" s="11" t="n">
        <f aca="false">MAX(0,AG43+Financials!AH14)</f>
        <v>214.212506978461</v>
      </c>
      <c r="AI37" s="11" t="n">
        <f aca="false">MAX(0,AH43+Financials!AI14)</f>
        <v>230.654646682377</v>
      </c>
      <c r="AJ37" s="11" t="n">
        <f aca="false">MAX(0,AI43+Financials!AJ14)</f>
        <v>248.205503788557</v>
      </c>
      <c r="AK37" s="11" t="n">
        <f aca="false">MAX(0,AJ43+Financials!AK14)</f>
        <v>267.190510035761</v>
      </c>
      <c r="AL37" s="11" t="n">
        <f aca="false">MAX(0,AK43+Financials!AL14)</f>
        <v>285.475579328215</v>
      </c>
      <c r="AM37" s="11" t="n">
        <f aca="false">MAX(0,AL43+Financials!AM14)</f>
        <v>307.54791859368</v>
      </c>
      <c r="AN37" s="11" t="n">
        <f aca="false">MAX(0,AM43+Financials!AN14)</f>
        <v>330.977364778949</v>
      </c>
      <c r="AO37" s="11" t="n">
        <f aca="false">MAX(0,AN43+Financials!AO14)</f>
        <v>355.583291924634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242.975486452026</v>
      </c>
      <c r="AX37" s="11" t="n">
        <f aca="false">MAX(0,AW43+Financials!AX14)</f>
        <v>226.299791155509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125.143337246242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95.4403893731833</v>
      </c>
      <c r="BI37" s="11" t="n">
        <f aca="false">MAX(0,BH43+Financials!BI14)</f>
        <v>87.8803499967852</v>
      </c>
      <c r="BJ37" s="11" t="n">
        <f aca="false">MAX(0,BI43+Financials!BJ14)</f>
        <v>68.4145510985352</v>
      </c>
      <c r="BK37" s="11" t="n">
        <f aca="false">MAX(0,BJ43+Financials!BK14)</f>
        <v>53.4662792626312</v>
      </c>
      <c r="BL37" s="11" t="n">
        <f aca="false">MAX(0,BK43+Financials!BL14)</f>
        <v>43.6937349468497</v>
      </c>
      <c r="BM37" s="11" t="n">
        <f aca="false">MAX(0,BL43+Financials!BM14)</f>
        <v>10.4822341135981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11.2174759665735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1005.33785534642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11.2174759665735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35.1040275901293</v>
      </c>
      <c r="S43" s="11" t="n">
        <f aca="false">IF(Time!S17&lt;Time!$F$11,0,R43+Financials!S14-S41)</f>
        <v>45.5389417020596</v>
      </c>
      <c r="T43" s="11" t="n">
        <f aca="false">IF(Time!T17&lt;Time!$F$11,0,S43+Financials!T14-T41)</f>
        <v>56.456669276486</v>
      </c>
      <c r="U43" s="11" t="n">
        <f aca="false">IF(Time!U17&lt;Time!$F$11,0,T43+Financials!U14-U41)</f>
        <v>68.6055233629479</v>
      </c>
      <c r="V43" s="11" t="n">
        <f aca="false">IF(Time!V17&lt;Time!$F$11,0,U43+Financials!V14-V41)</f>
        <v>79.0699942459125</v>
      </c>
      <c r="W43" s="11" t="n">
        <f aca="false">IF(Time!W17&lt;Time!$F$11,0,V43+Financials!W14-W41)</f>
        <v>93.3455880987402</v>
      </c>
      <c r="X43" s="11" t="n">
        <f aca="false">IF(Time!X17&lt;Time!$F$11,0,W43+Financials!X14-X41)</f>
        <v>108.299883177138</v>
      </c>
      <c r="Y43" s="11" t="n">
        <f aca="false">IF(Time!Y17&lt;Time!$F$11,0,X43+Financials!Y14-Y41)</f>
        <v>121.253833874482</v>
      </c>
      <c r="Z43" s="11" t="n">
        <f aca="false">IF(Time!Z17&lt;Time!$F$11,0,Y43+Financials!Z14-Z41)</f>
        <v>129.006645978886</v>
      </c>
      <c r="AA43" s="11" t="n">
        <f aca="false">IF(Time!AA17&lt;Time!$F$11,0,Z43+Financials!AA14-AA41)</f>
        <v>137.734064885907</v>
      </c>
      <c r="AB43" s="11" t="n">
        <f aca="false">IF(Time!AB17&lt;Time!$F$11,0,AA43+Financials!AB14-AB41)</f>
        <v>147.028896786851</v>
      </c>
      <c r="AC43" s="11" t="n">
        <f aca="false">IF(Time!AC17&lt;Time!$F$11,0,AB43+Financials!AC14-AC41)</f>
        <v>157.381988410481</v>
      </c>
      <c r="AD43" s="11" t="n">
        <f aca="false">IF(Time!AD17&lt;Time!$F$11,0,AC43+Financials!AD14-AD41)</f>
        <v>159.657652830825</v>
      </c>
      <c r="AE43" s="11" t="n">
        <f aca="false">IF(Time!AE17&lt;Time!$F$11,0,AD43+Financials!AE14-AE41)</f>
        <v>171.950471413052</v>
      </c>
      <c r="AF43" s="11" t="n">
        <f aca="false">IF(Time!AF17&lt;Time!$F$11,0,AE43+Financials!AF14-AF41)</f>
        <v>184.96769001954</v>
      </c>
      <c r="AG43" s="11" t="n">
        <f aca="false">IF(Time!AG17&lt;Time!$F$11,0,AF43+Financials!AG14-AG41)</f>
        <v>199.082224294238</v>
      </c>
      <c r="AH43" s="11" t="n">
        <f aca="false">IF(Time!AH17&lt;Time!$F$11,0,AG43+Financials!AH14-AH41)</f>
        <v>214.212506978461</v>
      </c>
      <c r="AI43" s="11" t="n">
        <f aca="false">IF(Time!AI17&lt;Time!$F$11,0,AH43+Financials!AI14-AI41)</f>
        <v>230.654646682377</v>
      </c>
      <c r="AJ43" s="11" t="n">
        <f aca="false">IF(Time!AJ17&lt;Time!$F$11,0,AI43+Financials!AJ14-AJ41)</f>
        <v>248.205503788557</v>
      </c>
      <c r="AK43" s="11" t="n">
        <f aca="false">IF(Time!AK17&lt;Time!$F$11,0,AJ43+Financials!AK14-AK41)</f>
        <v>267.190510035761</v>
      </c>
      <c r="AL43" s="11" t="n">
        <f aca="false">IF(Time!AL17&lt;Time!$F$11,0,AK43+Financials!AL14-AL41)</f>
        <v>285.475579328215</v>
      </c>
      <c r="AM43" s="11" t="n">
        <f aca="false">IF(Time!AM17&lt;Time!$F$11,0,AL43+Financials!AM14-AM41)</f>
        <v>307.54791859368</v>
      </c>
      <c r="AN43" s="11" t="n">
        <f aca="false">IF(Time!AN17&lt;Time!$F$11,0,AM43+Financials!AN14-AN41)</f>
        <v>330.977364778949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282.978611470768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147.965578199659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97.7318221903981</v>
      </c>
      <c r="BD43" s="11" t="n">
        <f aca="false">IF(Time!BD17&lt;Time!$F$11,0,BC43+Financials!BD14-BD41)</f>
        <v>89.8897839692382</v>
      </c>
      <c r="BE43" s="11" t="n">
        <f aca="false">IF(Time!BE17&lt;Time!$F$11,0,BD43+Financials!BE14-BE41)</f>
        <v>82.6223382422655</v>
      </c>
      <c r="BF43" s="11" t="n">
        <f aca="false">IF(Time!BF17&lt;Time!$F$11,0,BE43+Financials!BF14-BF41)</f>
        <v>74.8149197117575</v>
      </c>
      <c r="BG43" s="11" t="n">
        <f aca="false">IF(Time!BG17&lt;Time!$F$11,0,BF43+Financials!BG14-BG41)</f>
        <v>67.5848814330647</v>
      </c>
      <c r="BH43" s="11" t="n">
        <f aca="false">IF(Time!BH17&lt;Time!$F$11,0,BG43+Financials!BH14-BH41)</f>
        <v>59.8102249018334</v>
      </c>
      <c r="BI43" s="11" t="n">
        <f aca="false">IF(Time!BI17&lt;Time!$F$11,0,BH43+Financials!BI14-BI41)</f>
        <v>52.528816831334</v>
      </c>
      <c r="BJ43" s="11" t="n">
        <f aca="false">IF(Time!BJ17&lt;Time!$F$11,0,BI43+Financials!BJ14-BJ41)</f>
        <v>25.0569291745698</v>
      </c>
      <c r="BK43" s="11" t="n">
        <f aca="false">IF(Time!BK17&lt;Time!$F$11,0,BJ43+Financials!BK14-BK41)</f>
        <v>15.3762162684428</v>
      </c>
      <c r="BL43" s="11" t="n">
        <f aca="false">IF(Time!BL17&lt;Time!$F$11,0,BK43+Financials!BL14-BL41)</f>
        <v>4.87363325991664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1396.78731284589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12.5371871305121</v>
      </c>
      <c r="R44" s="11" t="n">
        <f aca="false">R34+R35+R41</f>
        <v>13.4601473805023</v>
      </c>
      <c r="S44" s="11" t="n">
        <f aca="false">S34+S35+S41</f>
        <v>12.6487540869445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31.8897157033808</v>
      </c>
      <c r="AL44" s="11" t="n">
        <f aca="false">AL34+AL35+AL41</f>
        <v>29.7062841581408</v>
      </c>
      <c r="AM44" s="11" t="n">
        <f aca="false">AM34+AM35+AM41</f>
        <v>33.3526211943647</v>
      </c>
      <c r="AN44" s="11" t="n">
        <f aca="false">AN34+AN35+AN41</f>
        <v>23.5011177675998</v>
      </c>
      <c r="AO44" s="11" t="n">
        <f aca="false">AO34+AO35+AO41</f>
        <v>41.5322726830367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502.538628379193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30.0968227928735</v>
      </c>
      <c r="S9" s="11" t="n">
        <f aca="false">Debt!S119+Debt!S117+Debt!S111-Debt!S110+Tax!S13</f>
        <v>28.9619946335699</v>
      </c>
      <c r="T9" s="11" t="n">
        <f aca="false">Debt!T119+Debt!T117+Debt!T111-Debt!T110+Tax!T13</f>
        <v>28.5565204994707</v>
      </c>
      <c r="U9" s="11" t="n">
        <f aca="false">Debt!U119+Debt!U117+Debt!U111-Debt!U110+Tax!U13</f>
        <v>27.490009250791</v>
      </c>
      <c r="V9" s="11" t="n">
        <f aca="false">Debt!V119+Debt!V117+Debt!V111-Debt!V110+Tax!V13</f>
        <v>26.8968827961556</v>
      </c>
      <c r="W9" s="11" t="n">
        <f aca="false">Debt!W119+Debt!W117+Debt!W111-Debt!W110+Tax!W13</f>
        <v>25.6422416146506</v>
      </c>
      <c r="X9" s="11" t="n">
        <f aca="false">Debt!X119+Debt!X117+Debt!X111-Debt!X110+Tax!X13</f>
        <v>24.9637526267375</v>
      </c>
      <c r="Y9" s="11" t="n">
        <f aca="false">Debt!Y119+Debt!Y117+Debt!Y111-Debt!Y110+Tax!Y13</f>
        <v>24.2226842243011</v>
      </c>
      <c r="Z9" s="11" t="n">
        <f aca="false">Debt!Z119+Debt!Z117+Debt!Z111-Debt!Z110+Tax!Z13</f>
        <v>23.5921923062484</v>
      </c>
      <c r="AA9" s="11" t="n">
        <f aca="false">Debt!AA119+Debt!AA117+Debt!AA111-Debt!AA110+Tax!AA13</f>
        <v>22.2980773556516</v>
      </c>
      <c r="AB9" s="11" t="n">
        <f aca="false">Debt!AB119+Debt!AB117+Debt!AB111-Debt!AB110+Tax!AB13</f>
        <v>21.5681805436356</v>
      </c>
      <c r="AC9" s="11" t="n">
        <f aca="false">Debt!AC119+Debt!AC117+Debt!AC111-Debt!AC110+Tax!AC13</f>
        <v>20.2701818213272</v>
      </c>
      <c r="AD9" s="11" t="n">
        <f aca="false">Debt!AD119+Debt!AD117+Debt!AD111-Debt!AD110+Tax!AD13</f>
        <v>19.3420256497124</v>
      </c>
      <c r="AE9" s="11" t="n">
        <f aca="false">Debt!AE119+Debt!AE117+Debt!AE111-Debt!AE110+Tax!AE13</f>
        <v>17.8370006565929</v>
      </c>
      <c r="AF9" s="11" t="n">
        <f aca="false">Debt!AF119+Debt!AF117+Debt!AF111-Debt!AF110+Tax!AF13</f>
        <v>16.7211259299159</v>
      </c>
      <c r="AG9" s="11" t="n">
        <f aca="false">Debt!AG119+Debt!AG117+Debt!AG111-Debt!AG110+Tax!AG13</f>
        <v>15.2923775297348</v>
      </c>
      <c r="AH9" s="11" t="n">
        <f aca="false">Debt!AH119+Debt!AH117+Debt!AH111-Debt!AH110+Tax!AH13</f>
        <v>14.00000441807</v>
      </c>
      <c r="AI9" s="11" t="n">
        <f aca="false">Debt!AI119+Debt!AI117+Debt!AI111-Debt!AI110+Tax!AI13</f>
        <v>12.2309735151664</v>
      </c>
      <c r="AJ9" s="11" t="n">
        <f aca="false">Debt!AJ119+Debt!AJ117+Debt!AJ111-Debt!AJ110+Tax!AJ13</f>
        <v>10.7341395887629</v>
      </c>
      <c r="AK9" s="11" t="n">
        <f aca="false">Debt!AK119+Debt!AK117+Debt!AK111-Debt!AK110+Tax!AK13</f>
        <v>8.8785859157716</v>
      </c>
      <c r="AL9" s="11" t="n">
        <f aca="false">Debt!AL119+Debt!AL117+Debt!AL111-Debt!AL110+Tax!AL13</f>
        <v>7.17165402330423</v>
      </c>
      <c r="AM9" s="11" t="n">
        <f aca="false">Debt!AM119+Debt!AM117+Debt!AM111-Debt!AM110+Tax!AM13</f>
        <v>5.33370360202661</v>
      </c>
      <c r="AN9" s="11" t="n">
        <f aca="false">Debt!AN119+Debt!AN117+Debt!AN111-Debt!AN110+Tax!AN13</f>
        <v>3.38924312403552</v>
      </c>
      <c r="AO9" s="11" t="n">
        <f aca="false">Debt!AO119+Debt!AO117+Debt!AO111-Debt!AO110+Tax!AO13</f>
        <v>1.86111981226642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-49.1206097715173</v>
      </c>
      <c r="Z12" s="11" t="n">
        <f aca="false">IF(Time!Z17&gt;=Time!$F$11,Inputs!$F$181/100*(Z11-Z10-Tax!Z21),0)</f>
        <v>-45.645622497627</v>
      </c>
      <c r="AA12" s="11" t="n">
        <f aca="false">IF(Time!AA17&gt;=Time!$F$11,Inputs!$F$181/100*(AA11-AA10-Tax!AA21),0)</f>
        <v>-41.7521858686443</v>
      </c>
      <c r="AB12" s="11" t="n">
        <f aca="false">IF(Time!AB17&gt;=Time!$F$11,Inputs!$F$181/100*(AB11-AB10-Tax!AB21),0)</f>
        <v>-37.6147437604545</v>
      </c>
      <c r="AC12" s="11" t="n">
        <f aca="false">IF(Time!AC17&gt;=Time!$F$11,Inputs!$F$181/100*(AC11-AC10-Tax!AC21),0)</f>
        <v>-33.0233804644075</v>
      </c>
      <c r="AD12" s="11" t="n">
        <f aca="false">IF(Time!AD17&gt;=Time!$F$11,Inputs!$F$181/100*(AD11-AD10-Tax!AD21),0)</f>
        <v>-31.8957033457135</v>
      </c>
      <c r="AE12" s="11" t="n">
        <f aca="false">IF(Time!AE17&gt;=Time!$F$11,Inputs!$F$181/100*(AE11-AE10-Tax!AE21),0)</f>
        <v>-26.4719185511241</v>
      </c>
      <c r="AF12" s="11" t="n">
        <f aca="false">IF(Time!AF17&gt;=Time!$F$11,Inputs!$F$181/100*(AF11-AF10-Tax!AF21),0)</f>
        <v>-20.7362442974198</v>
      </c>
      <c r="AG12" s="11" t="n">
        <f aca="false">IF(Time!AG17&gt;=Time!$F$11,Inputs!$F$181/100*(AG11-AG10-Tax!AG21),0)</f>
        <v>-14.5296034075718</v>
      </c>
      <c r="AH12" s="11" t="n">
        <f aca="false">IF(Time!AH17&gt;=Time!$F$11,Inputs!$F$181/100*(AH11-AH10-Tax!AH21),0)</f>
        <v>-7.88700922143433</v>
      </c>
      <c r="AI12" s="11" t="n">
        <f aca="false">IF(Time!AI17&gt;=Time!$F$11,Inputs!$F$181/100*(AI11-AI10-Tax!AI21),0)</f>
        <v>-0.681362366647343</v>
      </c>
      <c r="AJ12" s="11" t="n">
        <f aca="false">IF(Time!AJ17&gt;=Time!$F$11,Inputs!$F$181/100*(AJ11-AJ10-Tax!AJ21),0)</f>
        <v>7.00035082662446</v>
      </c>
      <c r="AK12" s="11" t="n">
        <f aca="false">IF(Time!AK17&gt;=Time!$F$11,Inputs!$F$181/100*(AK11-AK10-Tax!AK21),0)</f>
        <v>15.2972527640104</v>
      </c>
      <c r="AL12" s="11" t="n">
        <f aca="false">IF(Time!AL17&gt;=Time!$F$11,Inputs!$F$181/100*(AL11-AL10-Tax!AL21),0)</f>
        <v>23.2945065903223</v>
      </c>
      <c r="AM12" s="11" t="n">
        <f aca="false">IF(Time!AM17&gt;=Time!$F$11,Inputs!$F$181/100*(AM11-AM10-Tax!AM21),0)</f>
        <v>31.9614262996661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-2.26616284006962</v>
      </c>
      <c r="Z13" s="11" t="n">
        <f aca="false">Z12-Y12</f>
        <v>3.47498727389027</v>
      </c>
      <c r="AA13" s="11" t="n">
        <f aca="false">AA12-Z12</f>
        <v>3.89343662898278</v>
      </c>
      <c r="AB13" s="11" t="n">
        <f aca="false">AB12-AA12</f>
        <v>4.13744210818977</v>
      </c>
      <c r="AC13" s="11" t="n">
        <f aca="false">AC12-AB12</f>
        <v>4.59136329604697</v>
      </c>
      <c r="AD13" s="11" t="n">
        <f aca="false">AD12-AC12</f>
        <v>1.12767711869405</v>
      </c>
      <c r="AE13" s="11" t="n">
        <f aca="false">AE12-AD12</f>
        <v>5.42378479458938</v>
      </c>
      <c r="AF13" s="11" t="n">
        <f aca="false">AF12-AE12</f>
        <v>5.73567425370429</v>
      </c>
      <c r="AG13" s="11" t="n">
        <f aca="false">AG12-AF12</f>
        <v>6.20664088984801</v>
      </c>
      <c r="AH13" s="11" t="n">
        <f aca="false">AH12-AG12</f>
        <v>6.64259418613745</v>
      </c>
      <c r="AI13" s="11" t="n">
        <f aca="false">AI12-AH12</f>
        <v>7.20564685478699</v>
      </c>
      <c r="AJ13" s="11" t="n">
        <f aca="false">AJ12-AI12</f>
        <v>7.6817131932718</v>
      </c>
      <c r="AK13" s="11" t="n">
        <f aca="false">AK12-AJ12</f>
        <v>8.29690193738595</v>
      </c>
      <c r="AL13" s="11" t="n">
        <f aca="false">AL12-AK12</f>
        <v>7.99725382631186</v>
      </c>
      <c r="AM13" s="11" t="n">
        <f aca="false">AM12-AL12</f>
        <v>8.66691970934386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960.971101829606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8.73739886549769</v>
      </c>
      <c r="R14" s="11" t="n">
        <f aca="false">Operations!R79-R8-R9-Tax!R27-R13</f>
        <v>9.20599349377529</v>
      </c>
      <c r="S14" s="11" t="n">
        <f aca="false">Operations!S79-S8-S9-Tax!S27-S13</f>
        <v>10.4349141119303</v>
      </c>
      <c r="T14" s="11" t="n">
        <f aca="false">Operations!T79-T8-T9-Tax!T27-T13</f>
        <v>10.9177275744264</v>
      </c>
      <c r="U14" s="11" t="n">
        <f aca="false">Operations!U79-U8-U9-Tax!U27-U13</f>
        <v>12.1488540864619</v>
      </c>
      <c r="V14" s="11" t="n">
        <f aca="false">Operations!V79-V8-V9-Tax!V27-V13</f>
        <v>10.4644708829646</v>
      </c>
      <c r="W14" s="11" t="n">
        <f aca="false">Operations!W79-W8-W9-Tax!W27-W13</f>
        <v>14.2755938528278</v>
      </c>
      <c r="X14" s="11" t="n">
        <f aca="false">Operations!X79-X8-X9-Tax!X27-X13</f>
        <v>14.9542950783978</v>
      </c>
      <c r="Y14" s="11" t="n">
        <f aca="false">Operations!Y79-Y8-Y9-Tax!Y27-Y13</f>
        <v>12.9539506973443</v>
      </c>
      <c r="Z14" s="11" t="n">
        <f aca="false">Operations!Z79-Z8-Z9-Tax!Z27-Z13</f>
        <v>7.75281210440376</v>
      </c>
      <c r="AA14" s="11" t="n">
        <f aca="false">Operations!AA79-AA8-AA9-Tax!AA27-AA13</f>
        <v>8.72741890702061</v>
      </c>
      <c r="AB14" s="11" t="n">
        <f aca="false">Operations!AB79-AB8-AB9-Tax!AB27-AB13</f>
        <v>9.29483190094462</v>
      </c>
      <c r="AC14" s="11" t="n">
        <f aca="false">Operations!AC79-AC8-AC9-Tax!AC27-AC13</f>
        <v>10.3530916236297</v>
      </c>
      <c r="AD14" s="11" t="n">
        <f aca="false">Operations!AD79-AD8-AD9-Tax!AD27-AD13</f>
        <v>2.27566442034413</v>
      </c>
      <c r="AE14" s="11" t="n">
        <f aca="false">Operations!AE79-AE8-AE9-Tax!AE27-AE13</f>
        <v>12.2928185822269</v>
      </c>
      <c r="AF14" s="11" t="n">
        <f aca="false">Operations!AF79-AF8-AF9-Tax!AF27-AF13</f>
        <v>13.0172186064882</v>
      </c>
      <c r="AG14" s="11" t="n">
        <f aca="false">Operations!AG79-AG8-AG9-Tax!AG27-AG13</f>
        <v>14.1145342746973</v>
      </c>
      <c r="AH14" s="11" t="n">
        <f aca="false">Operations!AH79-AH8-AH9-Tax!AH27-AH13</f>
        <v>15.1302826842238</v>
      </c>
      <c r="AI14" s="11" t="n">
        <f aca="false">Operations!AI79-AI8-AI9-Tax!AI27-AI13</f>
        <v>16.4421397039156</v>
      </c>
      <c r="AJ14" s="11" t="n">
        <f aca="false">Operations!AJ79-AJ8-AJ9-Tax!AJ27-AJ13</f>
        <v>17.5508571061804</v>
      </c>
      <c r="AK14" s="11" t="n">
        <f aca="false">Operations!AK79-AK8-AK9-Tax!AK27-AK13</f>
        <v>18.9850062472035</v>
      </c>
      <c r="AL14" s="11" t="n">
        <f aca="false">Operations!AL79-AL8-AL9-Tax!AL27-AL13</f>
        <v>18.2850692924542</v>
      </c>
      <c r="AM14" s="11" t="n">
        <f aca="false">Operations!AM79-AM8-AM9-Tax!AM27-AM13</f>
        <v>22.072339265465</v>
      </c>
      <c r="AN14" s="11" t="n">
        <f aca="false">Operations!AN79-AN8-AN9-Tax!AN27-AN13</f>
        <v>23.4294461852691</v>
      </c>
      <c r="AO14" s="11" t="n">
        <f aca="false">Operations!AO79-AO8-AO9-Tax!AO27-AO13</f>
        <v>24.6059271456845</v>
      </c>
      <c r="AP14" s="11" t="n">
        <f aca="false">Operations!AP79-AP8-AP9-Tax!AP27-AP13</f>
        <v>26.0318612992837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49.1206097715173</v>
      </c>
      <c r="Z20" s="11" t="n">
        <f aca="false">MAX(0,-Z12)</f>
        <v>45.645622497627</v>
      </c>
      <c r="AA20" s="11" t="n">
        <f aca="false">MAX(0,-AA12)</f>
        <v>41.7521858686443</v>
      </c>
      <c r="AB20" s="11" t="n">
        <f aca="false">MAX(0,-AB12)</f>
        <v>37.6147437604545</v>
      </c>
      <c r="AC20" s="11" t="n">
        <f aca="false">MAX(0,-AC12)</f>
        <v>33.0233804644075</v>
      </c>
      <c r="AD20" s="11" t="n">
        <f aca="false">MAX(0,-AD12)</f>
        <v>31.8957033457135</v>
      </c>
      <c r="AE20" s="11" t="n">
        <f aca="false">MAX(0,-AE12)</f>
        <v>26.4719185511241</v>
      </c>
      <c r="AF20" s="11" t="n">
        <f aca="false">MAX(0,-AF12)</f>
        <v>20.7362442974198</v>
      </c>
      <c r="AG20" s="11" t="n">
        <f aca="false">MAX(0,-AG12)</f>
        <v>14.5296034075718</v>
      </c>
      <c r="AH20" s="11" t="n">
        <f aca="false">MAX(0,-AH12)</f>
        <v>7.88700922143433</v>
      </c>
      <c r="AI20" s="11" t="n">
        <f aca="false">MAX(0,-AI12)</f>
        <v>0.681362366647343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801.467119781521</v>
      </c>
      <c r="Z21" s="11" t="n">
        <f aca="false">Z16+Z17+Z18+Z19+Z20</f>
        <v>782.215473830459</v>
      </c>
      <c r="AA21" s="11" t="n">
        <f aca="false">AA16+AA17+AA18+AA19+AA20</f>
        <v>765.260681394723</v>
      </c>
      <c r="AB21" s="11" t="n">
        <f aca="false">AB16+AB17+AB18+AB19+AB20</f>
        <v>745.151054834773</v>
      </c>
      <c r="AC21" s="11" t="n">
        <f aca="false">AC16+AC17+AC18+AC19+AC20</f>
        <v>726.935926862879</v>
      </c>
      <c r="AD21" s="11" t="n">
        <f aca="false">AD16+AD17+AD18+AD19+AD20</f>
        <v>695.031425100091</v>
      </c>
      <c r="AE21" s="11" t="n">
        <f aca="false">AE16+AE17+AE18+AE19+AE20</f>
        <v>673.831796993694</v>
      </c>
      <c r="AF21" s="11" t="n">
        <f aca="false">AF16+AF17+AF18+AF19+AF20</f>
        <v>650.721343932667</v>
      </c>
      <c r="AG21" s="11" t="n">
        <f aca="false">AG16+AG17+AG18+AG19+AG20</f>
        <v>628.460397123491</v>
      </c>
      <c r="AH21" s="11" t="n">
        <f aca="false">AH16+AH17+AH18+AH19+AH20</f>
        <v>602.9621664433</v>
      </c>
      <c r="AI21" s="11" t="n">
        <f aca="false">AI16+AI17+AI18+AI19+AI20</f>
        <v>579.154133160309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196.544545393509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192.496997063632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188.916697400001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184.570544420358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180.881110838189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175.878116675021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169.759100519305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164.608152297051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159.864108549955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154.318013560692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155.402602111266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155.650731062038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156.157095899551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155.42668614414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153.926361191679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151.578532576946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148.563570937916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144.139628303026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138.512408961071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130.090628863644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104.3632884289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79.6550050426414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50.0548984009019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28.9509302882274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7.00035082662446</v>
      </c>
      <c r="AK25" s="11" t="n">
        <f aca="false">MAX(0,AK12)</f>
        <v>15.2972527640104</v>
      </c>
      <c r="AL25" s="11" t="n">
        <f aca="false">MAX(0,AL12)</f>
        <v>23.2945065903223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35.1040275901293</v>
      </c>
      <c r="S27" s="16" t="n">
        <f aca="false">Waterfall!S43</f>
        <v>45.5389417020596</v>
      </c>
      <c r="T27" s="16" t="n">
        <f aca="false">Waterfall!T43</f>
        <v>56.456669276486</v>
      </c>
      <c r="U27" s="16" t="n">
        <f aca="false">Waterfall!U43</f>
        <v>68.6055233629479</v>
      </c>
      <c r="V27" s="16" t="n">
        <f aca="false">Waterfall!V43</f>
        <v>79.0699942459125</v>
      </c>
      <c r="W27" s="16" t="n">
        <f aca="false">Waterfall!W43</f>
        <v>93.3455880987402</v>
      </c>
      <c r="X27" s="16" t="n">
        <f aca="false">Waterfall!X43</f>
        <v>108.299883177138</v>
      </c>
      <c r="Y27" s="16" t="n">
        <f aca="false">Waterfall!Y43</f>
        <v>121.253833874482</v>
      </c>
      <c r="Z27" s="16" t="n">
        <f aca="false">Waterfall!Z43</f>
        <v>129.006645978886</v>
      </c>
      <c r="AA27" s="16" t="n">
        <f aca="false">Waterfall!AA43</f>
        <v>137.734064885907</v>
      </c>
      <c r="AB27" s="16" t="n">
        <f aca="false">Waterfall!AB43</f>
        <v>147.028896786851</v>
      </c>
      <c r="AC27" s="16" t="n">
        <f aca="false">Waterfall!AC43</f>
        <v>157.381988410481</v>
      </c>
      <c r="AD27" s="16" t="n">
        <f aca="false">Waterfall!AD43</f>
        <v>159.657652830825</v>
      </c>
      <c r="AE27" s="16" t="n">
        <f aca="false">Waterfall!AE43</f>
        <v>171.950471413052</v>
      </c>
      <c r="AF27" s="16" t="n">
        <f aca="false">Waterfall!AF43</f>
        <v>184.96769001954</v>
      </c>
      <c r="AG27" s="16" t="n">
        <f aca="false">Waterfall!AG43</f>
        <v>199.082224294238</v>
      </c>
      <c r="AH27" s="16" t="n">
        <f aca="false">Waterfall!AH43</f>
        <v>214.212506978461</v>
      </c>
      <c r="AI27" s="16" t="n">
        <f aca="false">Waterfall!AI43</f>
        <v>230.654646682377</v>
      </c>
      <c r="AJ27" s="16" t="n">
        <f aca="false">Waterfall!AJ43</f>
        <v>248.205503788557</v>
      </c>
      <c r="AK27" s="16" t="n">
        <f aca="false">Waterfall!AK43</f>
        <v>267.190510035761</v>
      </c>
      <c r="AL27" s="16" t="n">
        <f aca="false">Waterfall!AL43</f>
        <v>285.475579328215</v>
      </c>
      <c r="AM27" s="16" t="n">
        <f aca="false">Waterfall!AM43</f>
        <v>307.54791859368</v>
      </c>
      <c r="AN27" s="16" t="n">
        <f aca="false">Waterfall!AN43</f>
        <v>330.977364778949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282.978611470768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147.965578199659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97.7318221903981</v>
      </c>
      <c r="BD27" s="16" t="n">
        <f aca="false">Waterfall!BD43</f>
        <v>89.8897839692382</v>
      </c>
      <c r="BE27" s="16" t="n">
        <f aca="false">Waterfall!BE43</f>
        <v>82.6223382422655</v>
      </c>
      <c r="BF27" s="16" t="n">
        <f aca="false">Waterfall!BF43</f>
        <v>74.8149197117575</v>
      </c>
      <c r="BG27" s="16" t="n">
        <f aca="false">Waterfall!BG43</f>
        <v>67.5848814330647</v>
      </c>
      <c r="BH27" s="16" t="n">
        <f aca="false">Waterfall!BH43</f>
        <v>59.8102249018334</v>
      </c>
      <c r="BI27" s="16" t="n">
        <f aca="false">Waterfall!BI43</f>
        <v>52.528816831334</v>
      </c>
      <c r="BJ27" s="16" t="n">
        <f aca="false">Waterfall!BJ43</f>
        <v>25.0569291745698</v>
      </c>
      <c r="BK27" s="16" t="n">
        <f aca="false">Waterfall!BK43</f>
        <v>15.3762162684428</v>
      </c>
      <c r="BL27" s="16" t="n">
        <f aca="false">Waterfall!BL43</f>
        <v>4.87363325991664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880.908176657117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801.467119781521</v>
      </c>
      <c r="Z28" s="11" t="n">
        <f aca="false">Z22+Z23+Z24+Z25+Z26+Z27</f>
        <v>782.215473830458</v>
      </c>
      <c r="AA28" s="11" t="n">
        <f aca="false">AA22+AA23+AA24+AA25+AA26+AA27</f>
        <v>765.260681394723</v>
      </c>
      <c r="AB28" s="11" t="n">
        <f aca="false">AB22+AB23+AB24+AB25+AB26+AB27</f>
        <v>745.151054834772</v>
      </c>
      <c r="AC28" s="11" t="n">
        <f aca="false">AC22+AC23+AC24+AC25+AC26+AC27</f>
        <v>726.935926862879</v>
      </c>
      <c r="AD28" s="11" t="n">
        <f aca="false">AD22+AD23+AD24+AD25+AD26+AD27</f>
        <v>695.031425100091</v>
      </c>
      <c r="AE28" s="11" t="n">
        <f aca="false">AE22+AE23+AE24+AE25+AE26+AE27</f>
        <v>673.831796993694</v>
      </c>
      <c r="AF28" s="11" t="n">
        <f aca="false">AF22+AF23+AF24+AF25+AF26+AF27</f>
        <v>650.721343932667</v>
      </c>
      <c r="AG28" s="11" t="n">
        <f aca="false">AG22+AG23+AG24+AG25+AG26+AG27</f>
        <v>628.460397123491</v>
      </c>
      <c r="AH28" s="11" t="n">
        <f aca="false">AH22+AH23+AH24+AH25+AH26+AH27</f>
        <v>602.9621664433</v>
      </c>
      <c r="AI28" s="11" t="n">
        <f aca="false">AI22+AI23+AI24+AI25+AI26+AI27</f>
        <v>579.154133160309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151.468455315689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-1.98951966012828E-013</v>
      </c>
      <c r="BN28" s="11" t="n">
        <f aca="false">BN22+BN23+BN24+BN25+BN26+BN27</f>
        <v>-1.98951966012828E-013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735.706858520276</v>
      </c>
      <c r="K11" s="11" t="n">
        <f aca="false">IF(Time!K17&lt;=$F$8,(Waterfall!K7+L11)/(1+K10),0)</f>
        <v>755.579724718338</v>
      </c>
      <c r="L11" s="11" t="n">
        <f aca="false">IF(Time!L17&lt;=$F$8,(Waterfall!L7+M11)/(1+L10),0)</f>
        <v>775.989395496039</v>
      </c>
      <c r="M11" s="11" t="n">
        <f aca="false">IF(Time!M17&lt;=$F$8,(Waterfall!M7+N11)/(1+M10),0)</f>
        <v>796.950370984053</v>
      </c>
      <c r="N11" s="11" t="n">
        <f aca="false">IF(Time!N17&lt;=$F$8,(Waterfall!N7+O11)/(1+N10),0)</f>
        <v>818.477542989648</v>
      </c>
      <c r="O11" s="11" t="n">
        <f aca="false">IF(Time!O17&lt;=$F$8,(Waterfall!O7+P11)/(1+O10),0)</f>
        <v>840.586205576628</v>
      </c>
      <c r="P11" s="11" t="n">
        <f aca="false">IF(Time!P17&lt;=$F$8,(Waterfall!P7+Q11)/(1+P10),0)</f>
        <v>861.419818733239</v>
      </c>
      <c r="Q11" s="11" t="n">
        <f aca="false">IF(Time!Q17&lt;=$F$8,(Waterfall!Q7+R11)/(1+Q10),0)</f>
        <v>840.732851335879</v>
      </c>
      <c r="R11" s="11" t="n">
        <f aca="false">IF(Time!R17&lt;=$F$8,(Waterfall!R7+S11)/(1+R10),0)</f>
        <v>819.166271448437</v>
      </c>
      <c r="S11" s="11" t="n">
        <f aca="false">IF(Time!S17&lt;=$F$8,(Waterfall!S7+T11)/(1+S10),0)</f>
        <v>796.536420555296</v>
      </c>
      <c r="T11" s="11" t="n">
        <f aca="false">IF(Time!T17&lt;=$F$8,(Waterfall!T7+U11)/(1+T10),0)</f>
        <v>773.238312226194</v>
      </c>
      <c r="U11" s="11" t="n">
        <f aca="false">IF(Time!U17&lt;=$F$8,(Waterfall!U7+V11)/(1+U10),0)</f>
        <v>748.868309130674</v>
      </c>
      <c r="V11" s="11" t="n">
        <f aca="false">IF(Time!V17&lt;=$F$8,(Waterfall!V7+W11)/(1+V10),0)</f>
        <v>723.719848934454</v>
      </c>
      <c r="W11" s="11" t="n">
        <f aca="false">IF(Time!W17&lt;=$F$8,(Waterfall!W7+X11)/(1+W10),0)</f>
        <v>696.922199051764</v>
      </c>
      <c r="X11" s="11" t="n">
        <f aca="false">IF(Time!X17&lt;=$F$8,(Waterfall!X7+Y11)/(1+X10),0)</f>
        <v>669.3033677148</v>
      </c>
      <c r="Y11" s="11" t="n">
        <f aca="false">IF(Time!Y17&lt;=$F$8,(Waterfall!Y7+Z11)/(1+Y10),0)</f>
        <v>642.471679807345</v>
      </c>
      <c r="Z11" s="11" t="n">
        <f aca="false">IF(Time!Z17&lt;=$F$8,(Waterfall!Z7+AA11)/(1+Z10),0)</f>
        <v>615.643449148915</v>
      </c>
      <c r="AA11" s="11" t="n">
        <f aca="false">IF(Time!AA17&lt;=$F$8,(Waterfall!AA7+AB11)/(1+AA10),0)</f>
        <v>587.705344897929</v>
      </c>
      <c r="AB11" s="11" t="n">
        <f aca="false">IF(Time!AB17&lt;=$F$8,(Waterfall!AB7+AC11)/(1+AB10),0)</f>
        <v>558.95032076916</v>
      </c>
      <c r="AC11" s="11" t="n">
        <f aca="false">IF(Time!AC17&lt;=$F$8,(Waterfall!AC7+AD11)/(1+AC10),0)</f>
        <v>528.703852213953</v>
      </c>
      <c r="AD11" s="11" t="n">
        <f aca="false">IF(Time!AD17&lt;=$F$8,(Waterfall!AD7+AE11)/(1+AD10),0)</f>
        <v>497.323402341104</v>
      </c>
      <c r="AE11" s="11" t="n">
        <f aca="false">IF(Time!AE17&lt;=$F$8,(Waterfall!AE7+AF11)/(1+AE10),0)</f>
        <v>462.924156310278</v>
      </c>
      <c r="AF11" s="11" t="n">
        <f aca="false">IF(Time!AF17&lt;=$F$8,(Waterfall!AF7+AG11)/(1+AF10),0)</f>
        <v>426.908665500291</v>
      </c>
      <c r="AG11" s="11" t="n">
        <f aca="false">IF(Time!AG17&lt;=$F$8,(Waterfall!AG7+AH11)/(1+AG10),0)</f>
        <v>389.457634225425</v>
      </c>
      <c r="AH11" s="11" t="n">
        <f aca="false">IF(Time!AH17&lt;=$F$8,(Waterfall!AH7+AI11)/(1+AH10),0)</f>
        <v>351.047005713586</v>
      </c>
      <c r="AI11" s="11" t="n">
        <f aca="false">IF(Time!AI17&lt;=$F$8,(Waterfall!AI7+AJ11)/(1+AI10),0)</f>
        <v>310.481734267983</v>
      </c>
      <c r="AJ11" s="11" t="n">
        <f aca="false">IF(Time!AJ17&lt;=$F$8,(Waterfall!AJ7+AK11)/(1+AJ10),0)</f>
        <v>268.504415311054</v>
      </c>
      <c r="AK11" s="11" t="n">
        <f aca="false">IF(Time!AK17&lt;=$F$8,(Waterfall!AK7+AL11)/(1+AK10),0)</f>
        <v>224.181020281188</v>
      </c>
      <c r="AL11" s="11" t="n">
        <f aca="false">IF(Time!AL17&lt;=$F$8,(Waterfall!AL7+AM11)/(1+AL10),0)</f>
        <v>178.081957951946</v>
      </c>
      <c r="AM11" s="11" t="n">
        <f aca="false">IF(Time!AM17&lt;=$F$8,(Waterfall!AM7+AN11)/(1+AM10),0)</f>
        <v>129.64033052065</v>
      </c>
      <c r="AN11" s="11" t="n">
        <f aca="false">IF(Time!AN17&lt;=$F$8,(Waterfall!AN7+AO11)/(1+AN10),0)</f>
        <v>80.6575283156708</v>
      </c>
      <c r="AO11" s="11" t="n">
        <f aca="false">IF(Time!AO17&lt;=$F$8,(Waterfall!AO7+AP11)/(1+AO10),0)</f>
        <v>40.439912378849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1005.23061335946</v>
      </c>
      <c r="K12" s="11" t="n">
        <f aca="false">IF(Time!K17&lt;=Time!$F$14,(Waterfall!K7+L12)/(1+K10),0)</f>
        <v>1032.38383783485</v>
      </c>
      <c r="L12" s="11" t="n">
        <f aca="false">IF(Time!L17&lt;=Time!$F$14,(Waterfall!L7+M12)/(1+L10),0)</f>
        <v>1060.27052345798</v>
      </c>
      <c r="M12" s="11" t="n">
        <f aca="false">IF(Time!M17&lt;=Time!$F$14,(Waterfall!M7+N12)/(1+M10),0)</f>
        <v>1088.91048243404</v>
      </c>
      <c r="N12" s="11" t="n">
        <f aca="false">IF(Time!N17&lt;=Time!$F$14,(Waterfall!N7+O12)/(1+N10),0)</f>
        <v>1118.32406213426</v>
      </c>
      <c r="O12" s="11" t="n">
        <f aca="false">IF(Time!O17&lt;=Time!$F$14,(Waterfall!O7+P12)/(1+O10),0)</f>
        <v>1148.53215955171</v>
      </c>
      <c r="P12" s="11" t="n">
        <f aca="false">IF(Time!P17&lt;=Time!$F$14,(Waterfall!P7+Q12)/(1+P10),0)</f>
        <v>1177.68398894989</v>
      </c>
      <c r="Q12" s="11" t="n">
        <f aca="false">IF(Time!Q17&lt;=Time!$F$14,(Waterfall!Q7+R12)/(1+Q10),0)</f>
        <v>1167.86261253277</v>
      </c>
      <c r="R12" s="11" t="n">
        <f aca="false">IF(Time!R17&lt;=Time!$F$14,(Waterfall!R7+S12)/(1+R10),0)</f>
        <v>1157.42252050604</v>
      </c>
      <c r="S12" s="11" t="n">
        <f aca="false">IF(Time!S17&lt;=Time!$F$14,(Waterfall!S7+T12)/(1+S10),0)</f>
        <v>1146.4221971771</v>
      </c>
      <c r="T12" s="11" t="n">
        <f aca="false">IF(Time!T17&lt;=Time!$F$14,(Waterfall!T7+U12)/(1+T10),0)</f>
        <v>1135.02882581638</v>
      </c>
      <c r="U12" s="11" t="n">
        <f aca="false">IF(Time!U17&lt;=Time!$F$14,(Waterfall!U7+V12)/(1+U10),0)</f>
        <v>1123.10195667814</v>
      </c>
      <c r="V12" s="11" t="n">
        <f aca="false">IF(Time!V17&lt;=Time!$F$14,(Waterfall!V7+W12)/(1+V10),0)</f>
        <v>1110.73263718335</v>
      </c>
      <c r="W12" s="11" t="n">
        <f aca="false">IF(Time!W17&lt;=Time!$F$14,(Waterfall!W7+X12)/(1+W10),0)</f>
        <v>1097.24559602717</v>
      </c>
      <c r="X12" s="11" t="n">
        <f aca="false">IF(Time!X17&lt;=Time!$F$14,(Waterfall!X7+Y12)/(1+X10),0)</f>
        <v>1083.24762344386</v>
      </c>
      <c r="Y12" s="11" t="n">
        <f aca="false">IF(Time!Y17&lt;=Time!$F$14,(Waterfall!Y7+Z12)/(1+Y10),0)</f>
        <v>1070.65280364489</v>
      </c>
      <c r="Z12" s="11" t="n">
        <f aca="false">IF(Time!Z17&lt;=Time!$F$14,(Waterfall!Z7+AA12)/(1+Z10),0)</f>
        <v>1058.84776072102</v>
      </c>
      <c r="AA12" s="11" t="n">
        <f aca="false">IF(Time!AA17&lt;=Time!$F$14,(Waterfall!AA7+AB12)/(1+AA10),0)</f>
        <v>1046.63109449261</v>
      </c>
      <c r="AB12" s="11" t="n">
        <f aca="false">IF(Time!AB17&lt;=Time!$F$14,(Waterfall!AB7+AC12)/(1+AB10),0)</f>
        <v>1033.97796582012</v>
      </c>
      <c r="AC12" s="11" t="n">
        <f aca="false">IF(Time!AC17&lt;=Time!$F$14,(Waterfall!AC7+AD12)/(1+AC10),0)</f>
        <v>1020.48212255765</v>
      </c>
      <c r="AD12" s="11" t="n">
        <f aca="false">IF(Time!AD17&lt;=Time!$F$14,(Waterfall!AD7+AE12)/(1+AD10),0)</f>
        <v>1006.18961485508</v>
      </c>
      <c r="AE12" s="11" t="n">
        <f aca="false">IF(Time!AE17&lt;=Time!$F$14,(Waterfall!AE7+AF12)/(1+AE10),0)</f>
        <v>989.454344300592</v>
      </c>
      <c r="AF12" s="11" t="n">
        <f aca="false">IF(Time!AF17&lt;=Time!$F$14,(Waterfall!AF7+AG12)/(1+AF10),0)</f>
        <v>971.330552072775</v>
      </c>
      <c r="AG12" s="11" t="n">
        <f aca="false">IF(Time!AG17&lt;=Time!$F$14,(Waterfall!AG7+AH12)/(1+AG10),0)</f>
        <v>952.314317896367</v>
      </c>
      <c r="AH12" s="11" t="n">
        <f aca="false">IF(Time!AH17&lt;=Time!$F$14,(Waterfall!AH7+AI12)/(1+AH10),0)</f>
        <v>932.877637025943</v>
      </c>
      <c r="AI12" s="11" t="n">
        <f aca="false">IF(Time!AI17&lt;=Time!$F$14,(Waterfall!AI7+AJ12)/(1+AI10),0)</f>
        <v>911.610434703049</v>
      </c>
      <c r="AJ12" s="11" t="n">
        <f aca="false">IF(Time!AJ17&lt;=Time!$F$14,(Waterfall!AJ7+AK12)/(1+AJ10),0)</f>
        <v>888.65336940091</v>
      </c>
      <c r="AK12" s="11" t="n">
        <f aca="false">IF(Time!AK17&lt;=Time!$F$14,(Waterfall!AK7+AL12)/(1+AK10),0)</f>
        <v>862.99003791228</v>
      </c>
      <c r="AL12" s="11" t="n">
        <f aca="false">IF(Time!AL17&lt;=Time!$F$14,(Waterfall!AL7+AM12)/(1+AL10),0)</f>
        <v>834.17467479167</v>
      </c>
      <c r="AM12" s="11" t="n">
        <f aca="false">IF(Time!AM17&lt;=Time!$F$14,(Waterfall!AM7+AN12)/(1+AM10),0)</f>
        <v>803.542366695532</v>
      </c>
      <c r="AN12" s="11" t="n">
        <f aca="false">IF(Time!AN17&lt;=Time!$F$14,(Waterfall!AN7+AO12)/(1+AN10),0)</f>
        <v>772.762962814772</v>
      </c>
      <c r="AO12" s="11" t="n">
        <f aca="false">IF(Time!AO17&lt;=Time!$F$14,(Waterfall!AO7+AP12)/(1+AO10),0)</f>
        <v>751.332214008505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1.41911920120461</v>
      </c>
      <c r="Q13" s="6" t="n">
        <f aca="false">IF(Debt!Q122&gt;0.000000001,(Q11+Reserves!Q9)/Debt!Q122,0)</f>
        <v>1.42107124260319</v>
      </c>
      <c r="R13" s="6" t="n">
        <f aca="false">IF(Debt!R122&gt;0.000000001,(R11+Reserves!R9)/Debt!R122,0)</f>
        <v>1.42413756250786</v>
      </c>
      <c r="S13" s="6" t="n">
        <f aca="false">IF(Debt!S122&gt;0.000000001,(S11+Reserves!S9)/Debt!S122,0)</f>
        <v>1.42619743348287</v>
      </c>
      <c r="T13" s="6" t="n">
        <f aca="false">IF(Debt!T122&gt;0.000000001,(T11+Reserves!T9)/Debt!T122,0)</f>
        <v>1.42970979704806</v>
      </c>
      <c r="U13" s="6" t="n">
        <f aca="false">IF(Debt!U122&gt;0.000000001,(U11+Reserves!U9)/Debt!U122,0)</f>
        <v>1.43249711100918</v>
      </c>
      <c r="V13" s="6" t="n">
        <f aca="false">IF(Debt!V122&gt;0.000000001,(V11+Reserves!V9)/Debt!V122,0)</f>
        <v>1.43727620585866</v>
      </c>
      <c r="W13" s="6" t="n">
        <f aca="false">IF(Debt!W122&gt;0.000000001,(W11+Reserves!W9)/Debt!W122,0)</f>
        <v>1.44072653645519</v>
      </c>
      <c r="X13" s="6" t="n">
        <f aca="false">IF(Debt!X122&gt;0.000000001,(X11+Reserves!X9)/Debt!X122,0)</f>
        <v>1.44289130567684</v>
      </c>
      <c r="Y13" s="6" t="n">
        <f aca="false">IF(Debt!Y122&gt;0.000000001,(Y11+Reserves!Y9)/Debt!Y122,0)</f>
        <v>1.44673427663892</v>
      </c>
      <c r="Z13" s="6" t="n">
        <f aca="false">IF(Debt!Z122&gt;0.000000001,(Z11+Reserves!Z9)/Debt!Z122,0)</f>
        <v>1.45242245842694</v>
      </c>
      <c r="AA13" s="6" t="n">
        <f aca="false">IF(Debt!AA122&gt;0.000000001,(AA11+Reserves!AA9)/Debt!AA122,0)</f>
        <v>1.45749214483604</v>
      </c>
      <c r="AB13" s="6" t="n">
        <f aca="false">IF(Debt!AB122&gt;0.000000001,(AB11+Reserves!AB9)/Debt!AB122,0)</f>
        <v>1.48768148550433</v>
      </c>
      <c r="AC13" s="6" t="n">
        <f aca="false">IF(Debt!AC122&gt;0.000000001,(AC11+Reserves!AC9)/Debt!AC122,0)</f>
        <v>1.52200717164904</v>
      </c>
      <c r="AD13" s="6" t="n">
        <f aca="false">IF(Debt!AD122&gt;0.000000001,(AD11+Reserves!AD9)/Debt!AD122,0)</f>
        <v>1.56283465266763</v>
      </c>
      <c r="AE13" s="6" t="n">
        <f aca="false">IF(Debt!AE122&gt;0.000000001,(AE11+Reserves!AE9)/Debt!AE122,0)</f>
        <v>1.61255625160236</v>
      </c>
      <c r="AF13" s="6" t="n">
        <f aca="false">IF(Debt!AF122&gt;0.000000001,(AF11+Reserves!AF9)/Debt!AF122,0)</f>
        <v>1.67343005098578</v>
      </c>
      <c r="AG13" s="6" t="n">
        <f aca="false">IF(Debt!AG122&gt;0.000000001,(AG11+Reserves!AG9)/Debt!AG122,0)</f>
        <v>1.74987156113913</v>
      </c>
      <c r="AH13" s="6" t="n">
        <f aca="false">IF(Debt!AH122&gt;0.000000001,(AH11+Reserves!AH9)/Debt!AH122,0)</f>
        <v>1.84856147532668</v>
      </c>
      <c r="AI13" s="6" t="n">
        <f aca="false">IF(Debt!AI122&gt;0.000000001,(AI11+Reserves!AI9)/Debt!AI122,0)</f>
        <v>1.98500469963102</v>
      </c>
      <c r="AJ13" s="6" t="n">
        <f aca="false">IF(Debt!AJ122&gt;0.000000001,(AJ11+Reserves!AJ9)/Debt!AJ122,0)</f>
        <v>2.18382685354074</v>
      </c>
      <c r="AK13" s="6" t="n">
        <f aca="false">IF(Debt!AK122&gt;0.000000001,(AK11+Reserves!AK9)/Debt!AK122,0)</f>
        <v>2.49673124213242</v>
      </c>
      <c r="AL13" s="6" t="n">
        <f aca="false">IF(Debt!AL122&gt;0.000000001,(AL11+Reserves!AL9)/Debt!AL122,0)</f>
        <v>2.52002232341538</v>
      </c>
      <c r="AM13" s="6" t="n">
        <f aca="false">IF(Debt!AM122&gt;0.000000001,(AM11+Reserves!AM9)/Debt!AM122,0)</f>
        <v>2.6173267749225</v>
      </c>
      <c r="AN13" s="6" t="n">
        <f aca="false">IF(Debt!AN122&gt;0.000000001,(AN11+Reserves!AN9)/Debt!AN122,0)</f>
        <v>2.73032633890191</v>
      </c>
      <c r="AO13" s="6" t="n">
        <f aca="false">IF(Debt!AO122&gt;0.000000001,(AO11+Reserves!AO9)/Debt!AO122,0)</f>
        <v>3.22380001027538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1.36030270854512</v>
      </c>
      <c r="Q14" s="6" t="n">
        <f aca="false">IF(Debt!Q122&gt;0.000000001,Q11/Debt!Q122,0)</f>
        <v>1.36092387163716</v>
      </c>
      <c r="R14" s="6" t="n">
        <f aca="false">IF(Debt!R122&gt;0.000000001,R11/Debt!R122,0)</f>
        <v>1.36159854635464</v>
      </c>
      <c r="S14" s="6" t="n">
        <f aca="false">IF(Debt!S122&gt;0.000000001,S11/Debt!S122,0)</f>
        <v>1.3623449246915</v>
      </c>
      <c r="T14" s="6" t="n">
        <f aca="false">IF(Debt!T122&gt;0.000000001,T11/Debt!T122,0)</f>
        <v>1.36315741392107</v>
      </c>
      <c r="U14" s="6" t="n">
        <f aca="false">IF(Debt!U122&gt;0.000000001,U11/Debt!U122,0)</f>
        <v>1.36406216729339</v>
      </c>
      <c r="V14" s="6" t="n">
        <f aca="false">IF(Debt!V122&gt;0.000000001,V11/Debt!V122,0)</f>
        <v>1.36505867875158</v>
      </c>
      <c r="W14" s="6" t="n">
        <f aca="false">IF(Debt!W122&gt;0.000000001,W11/Debt!W122,0)</f>
        <v>1.3661889302867</v>
      </c>
      <c r="X14" s="6" t="n">
        <f aca="false">IF(Debt!X122&gt;0.000000001,X11/Debt!X122,0)</f>
        <v>1.36744656490113</v>
      </c>
      <c r="Y14" s="6" t="n">
        <f aca="false">IF(Debt!Y122&gt;0.000000001,Y11/Debt!Y122,0)</f>
        <v>1.36881916375544</v>
      </c>
      <c r="Z14" s="6" t="n">
        <f aca="false">IF(Debt!Z122&gt;0.000000001,Z11/Debt!Z122,0)</f>
        <v>1.37035107116394</v>
      </c>
      <c r="AA14" s="6" t="n">
        <f aca="false">IF(Debt!AA122&gt;0.000000001,AA11/Debt!AA122,0)</f>
        <v>1.37210294780215</v>
      </c>
      <c r="AB14" s="6" t="n">
        <f aca="false">IF(Debt!AB122&gt;0.000000001,AB11/Debt!AB122,0)</f>
        <v>1.39530660316487</v>
      </c>
      <c r="AC14" s="6" t="n">
        <f aca="false">IF(Debt!AC122&gt;0.000000001,AC11/Debt!AC122,0)</f>
        <v>1.42443705258407</v>
      </c>
      <c r="AD14" s="6" t="n">
        <f aca="false">IF(Debt!AD122&gt;0.000000001,AD11/Debt!AD122,0)</f>
        <v>1.45514846586775</v>
      </c>
      <c r="AE14" s="6" t="n">
        <f aca="false">IF(Debt!AE122&gt;0.000000001,AE11/Debt!AE122,0)</f>
        <v>1.49600292551912</v>
      </c>
      <c r="AF14" s="6" t="n">
        <f aca="false">IF(Debt!AF122&gt;0.000000001,AF11/Debt!AF122,0)</f>
        <v>1.54613713851544</v>
      </c>
      <c r="AG14" s="6" t="n">
        <f aca="false">IF(Debt!AG122&gt;0.000000001,AG11/Debt!AG122,0)</f>
        <v>1.61056610462682</v>
      </c>
      <c r="AH14" s="6" t="n">
        <f aca="false">IF(Debt!AH122&gt;0.000000001,AH11/Debt!AH122,0)</f>
        <v>1.69107880911418</v>
      </c>
      <c r="AI14" s="6" t="n">
        <f aca="false">IF(Debt!AI122&gt;0.000000001,AI11/Debt!AI122,0)</f>
        <v>1.80566388985085</v>
      </c>
      <c r="AJ14" s="6" t="n">
        <f aca="false">IF(Debt!AJ122&gt;0.000000001,AJ11/Debt!AJ122,0)</f>
        <v>1.97018976148799</v>
      </c>
      <c r="AK14" s="6" t="n">
        <f aca="false">IF(Debt!AK122&gt;0.000000001,AK11/Debt!AK122,0)</f>
        <v>2.23306341057605</v>
      </c>
      <c r="AL14" s="6" t="n">
        <f aca="false">IF(Debt!AL122&gt;0.000000001,AL11/Debt!AL122,0)</f>
        <v>2.22388211043387</v>
      </c>
      <c r="AM14" s="6" t="n">
        <f aca="false">IF(Debt!AM122&gt;0.000000001,AM11/Debt!AM122,0)</f>
        <v>2.21468536325589</v>
      </c>
      <c r="AN14" s="6" t="n">
        <f aca="false">IF(Debt!AN122&gt;0.000000001,AN11/Debt!AN122,0)</f>
        <v>2.20685817068224</v>
      </c>
      <c r="AO14" s="6" t="n">
        <f aca="false">IF(Debt!AO122&gt;0.000000001,AO11/Debt!AO122,0)</f>
        <v>2.19678807479059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1.8597281896005</v>
      </c>
      <c r="Q15" s="6" t="n">
        <f aca="false">IF(Debt!Q122&gt;0.000000001,Q12/Debt!Q122,0)</f>
        <v>1.89046033548346</v>
      </c>
      <c r="R15" s="6" t="n">
        <f aca="false">IF(Debt!R122&gt;0.000000001,R12/Debt!R122,0)</f>
        <v>1.92383997775272</v>
      </c>
      <c r="S15" s="6" t="n">
        <f aca="false">IF(Debt!S122&gt;0.000000001,S12/Debt!S122,0)</f>
        <v>1.96076716842287</v>
      </c>
      <c r="T15" s="6" t="n">
        <f aca="false">IF(Debt!T122&gt;0.000000001,T12/Debt!T122,0)</f>
        <v>2.00096520627799</v>
      </c>
      <c r="U15" s="6" t="n">
        <f aca="false">IF(Debt!U122&gt;0.000000001,U12/Debt!U122,0)</f>
        <v>2.04572802779734</v>
      </c>
      <c r="V15" s="6" t="n">
        <f aca="false">IF(Debt!V122&gt;0.000000001,V12/Debt!V122,0)</f>
        <v>2.09503059559871</v>
      </c>
      <c r="W15" s="6" t="n">
        <f aca="false">IF(Debt!W122&gt;0.000000001,W12/Debt!W122,0)</f>
        <v>2.15094997567556</v>
      </c>
      <c r="X15" s="6" t="n">
        <f aca="false">IF(Debt!X122&gt;0.000000001,X12/Debt!X122,0)</f>
        <v>2.21317165439218</v>
      </c>
      <c r="Y15" s="6" t="n">
        <f aca="false">IF(Debt!Y122&gt;0.000000001,Y12/Debt!Y122,0)</f>
        <v>2.28108120780839</v>
      </c>
      <c r="Z15" s="6" t="n">
        <f aca="false">IF(Debt!Z122&gt;0.000000001,Z12/Debt!Z122,0)</f>
        <v>2.35687257796618</v>
      </c>
      <c r="AA15" s="6" t="n">
        <f aca="false">IF(Debt!AA122&gt;0.000000001,AA12/Debt!AA122,0)</f>
        <v>2.44354696189486</v>
      </c>
      <c r="AB15" s="6" t="n">
        <f aca="false">IF(Debt!AB122&gt;0.000000001,AB12/Debt!AB122,0)</f>
        <v>2.58111719347528</v>
      </c>
      <c r="AC15" s="6" t="n">
        <f aca="false">IF(Debt!AC122&gt;0.000000001,AC12/Debt!AC122,0)</f>
        <v>2.74938898361292</v>
      </c>
      <c r="AD15" s="6" t="n">
        <f aca="false">IF(Debt!AD122&gt;0.000000001,AD12/Debt!AD122,0)</f>
        <v>2.94407073452817</v>
      </c>
      <c r="AE15" s="6" t="n">
        <f aca="false">IF(Debt!AE122&gt;0.000000001,AE12/Debt!AE122,0)</f>
        <v>3.19755746932582</v>
      </c>
      <c r="AF15" s="6" t="n">
        <f aca="false">IF(Debt!AF122&gt;0.000000001,AF12/Debt!AF122,0)</f>
        <v>3.51787246711066</v>
      </c>
      <c r="AG15" s="6" t="n">
        <f aca="false">IF(Debt!AG122&gt;0.000000001,AG12/Debt!AG122,0)</f>
        <v>3.93820797583062</v>
      </c>
      <c r="AH15" s="6" t="n">
        <f aca="false">IF(Debt!AH122&gt;0.000000001,AH12/Debt!AH122,0)</f>
        <v>4.49389847454845</v>
      </c>
      <c r="AI15" s="6" t="n">
        <f aca="false">IF(Debt!AI122&gt;0.000000001,AI12/Debt!AI122,0)</f>
        <v>5.30163891101492</v>
      </c>
      <c r="AJ15" s="6" t="n">
        <f aca="false">IF(Debt!AJ122&gt;0.000000001,AJ12/Debt!AJ122,0)</f>
        <v>6.5206218969517</v>
      </c>
      <c r="AK15" s="6" t="n">
        <f aca="false">IF(Debt!AK122&gt;0.000000001,AK12/Debt!AK122,0)</f>
        <v>8.59622939951114</v>
      </c>
      <c r="AL15" s="6" t="n">
        <f aca="false">IF(Debt!AL122&gt;0.000000001,AL12/Debt!AL122,0)</f>
        <v>10.4171481355049</v>
      </c>
      <c r="AM15" s="6" t="n">
        <f aca="false">IF(Debt!AM122&gt;0.000000001,AM12/Debt!AM122,0)</f>
        <v>13.7271596819411</v>
      </c>
      <c r="AN15" s="6" t="n">
        <f aca="false">IF(Debt!AN122&gt;0.000000001,AN12/Debt!AN122,0)</f>
        <v>21.1434480339396</v>
      </c>
      <c r="AO15" s="6" t="n">
        <f aca="false">IF(Debt!AO122&gt;0.000000001,AO12/Debt!AO122,0)</f>
        <v>40.8140757694411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1.41911920120461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1174.95354526183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12.5371871305121</v>
      </c>
      <c r="BT8" s="16" t="n">
        <f aca="false">Waterfall!R44</f>
        <v>13.4601473805023</v>
      </c>
      <c r="BU8" s="16" t="n">
        <f aca="false">Waterfall!S44</f>
        <v>12.6487540869445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31.8897157033808</v>
      </c>
      <c r="CN8" s="16" t="n">
        <f aca="false">Waterfall!AL44</f>
        <v>29.7062841581408</v>
      </c>
      <c r="CO8" s="16" t="n">
        <f aca="false">Waterfall!AM44</f>
        <v>33.3526211943647</v>
      </c>
      <c r="CP8" s="16" t="n">
        <f aca="false">Waterfall!AN44</f>
        <v>23.5011177675998</v>
      </c>
      <c r="CQ8" s="16" t="n">
        <f aca="false">Waterfall!AO44</f>
        <v>41.5322726830367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1594.55628255608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52.4846384492289</v>
      </c>
      <c r="CP9" s="16" t="n">
        <f aca="false">Waterfall!AN7</f>
        <v>42.407025515208</v>
      </c>
      <c r="CQ9" s="16" t="n">
        <f aca="false">Waterfall!AO7</f>
        <v>41.5322726830367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-194.299390866283</v>
      </c>
      <c r="BT11" s="11" t="n">
        <f aca="false">BS11+BT8</f>
        <v>-180.839243485781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52.7408700788446</v>
      </c>
      <c r="CN11" s="11" t="n">
        <f aca="false">CM11+CN8</f>
        <v>82.4471542369855</v>
      </c>
      <c r="CO11" s="11" t="n">
        <f aca="false">CN11+CO8</f>
        <v>115.79977543135</v>
      </c>
      <c r="CP11" s="11" t="n">
        <f aca="false">CO11+CP8</f>
        <v>139.30089319895</v>
      </c>
      <c r="CQ11" s="11" t="n">
        <f aca="false">CP11+CQ8</f>
        <v>180.833165881987</v>
      </c>
      <c r="CR11" s="11" t="n">
        <f aca="false">CQ11+CR8</f>
        <v>222.454803664991</v>
      </c>
      <c r="CS11" s="11" t="n">
        <f aca="false">CR11+CS8</f>
        <v>263.629402999064</v>
      </c>
      <c r="CT11" s="11" t="n">
        <f aca="false">CS11+CT8</f>
        <v>305.400363830099</v>
      </c>
      <c r="CU11" s="11" t="n">
        <f aca="false">CT11+CU8</f>
        <v>346.905976741925</v>
      </c>
      <c r="CV11" s="11" t="n">
        <f aca="false">CU11+CV8</f>
        <v>395.144669773217</v>
      </c>
      <c r="CW11" s="11" t="n">
        <f aca="false">CV11+CW8</f>
        <v>438.94619051284</v>
      </c>
      <c r="CX11" s="11" t="n">
        <f aca="false">CW11+CX8</f>
        <v>482.871210055969</v>
      </c>
      <c r="CY11" s="11" t="n">
        <f aca="false">CX11+CY8</f>
        <v>526.371844811162</v>
      </c>
      <c r="CZ11" s="11" t="n">
        <f aca="false">CY11+CZ8</f>
        <v>570.547319596695</v>
      </c>
      <c r="DA11" s="11" t="n">
        <f aca="false">CZ11+DA8</f>
        <v>614.265871895674</v>
      </c>
      <c r="DB11" s="11" t="n">
        <f aca="false">DA11+DB8</f>
        <v>658.602314334556</v>
      </c>
      <c r="DC11" s="11" t="n">
        <f aca="false">DB11+DC8</f>
        <v>702.146144055377</v>
      </c>
      <c r="DD11" s="11" t="n">
        <f aca="false">DC11+DD8</f>
        <v>746.930953782055</v>
      </c>
      <c r="DE11" s="11" t="n">
        <f aca="false">DD11+DE8</f>
        <v>788.300260844807</v>
      </c>
      <c r="DF11" s="11" t="n">
        <f aca="false">DE11+DF8</f>
        <v>823.553814121811</v>
      </c>
      <c r="DG11" s="11" t="n">
        <f aca="false">DF11+DG8</f>
        <v>858.357605872584</v>
      </c>
      <c r="DH11" s="11" t="n">
        <f aca="false">DG11+DH8</f>
        <v>893.848732006925</v>
      </c>
      <c r="DI11" s="11" t="n">
        <f aca="false">DH11+DI8</f>
        <v>928.855073389533</v>
      </c>
      <c r="DJ11" s="11" t="n">
        <f aca="false">DI11+DJ8</f>
        <v>964.485237860883</v>
      </c>
      <c r="DK11" s="11" t="n">
        <f aca="false">DJ11+DK8</f>
        <v>999.836771026334</v>
      </c>
      <c r="DL11" s="11" t="n">
        <f aca="false">DK11+DL8</f>
        <v>1043.1943929503</v>
      </c>
      <c r="DM11" s="11" t="n">
        <f aca="false">DL11+DM8</f>
        <v>1081.28445594449</v>
      </c>
      <c r="DN11" s="11" t="n">
        <f aca="false">DM11+DN8</f>
        <v>1120.10455763142</v>
      </c>
      <c r="DO11" s="11" t="n">
        <f aca="false">DN11+DO8</f>
        <v>1174.95354526183</v>
      </c>
      <c r="DP11" s="11" t="n">
        <f aca="false">DO11+DP8</f>
        <v>1174.95354526183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0.109610228238084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1.41911920120461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1.8597281896005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0.132662203987854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0.109610228238084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-43.0674358225567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2026-10-03T20:47:30Z</dcterms:created>
  <dc:creator>openpyxl</dc:creator>
  <dc:description/>
  <dc:language>en-US</dc:language>
  <cp:lastModifiedBy/>
  <dcterms:modified xsi:type="dcterms:W3CDTF">2026-10-03T20:47:31Z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