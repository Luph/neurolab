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<sst xmlns="http://schemas.openxmlformats.org/spreadsheetml/2006/main" count="2268" uniqueCount="840">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</sst>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7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1.1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0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2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629.024</v>
      </c>
      <c r="J22" s="11" t="n">
        <f aca="false">IF(Inputs!$F$33=2,J20/100*Inputs!$F$56+J20/100*Inputs!$F$57*Inputs!$F$58/J16,Inputs!$F$55*Inputs!$F$35*J20/100)</f>
        <v>62.9024</v>
      </c>
      <c r="K22" s="11" t="n">
        <f aca="false">IF(Inputs!$F$33=2,K20/100*Inputs!$F$56+K20/100*Inputs!$F$57*Inputs!$F$58/K16,Inputs!$F$55*Inputs!$F$35*K20/100)</f>
        <v>0.067934592</v>
      </c>
      <c r="L22" s="11" t="n">
        <f aca="false">IF(Inputs!$F$33=2,L20/100*Inputs!$F$56+L20/100*Inputs!$F$57*Inputs!$F$58/L16,Inputs!$F$55*Inputs!$F$35*L20/100)</f>
        <v>0.712684192</v>
      </c>
      <c r="M22" s="11" t="n">
        <f aca="false">IF(Inputs!$F$33=2,M20/100*Inputs!$F$56+M20/100*Inputs!$F$57*Inputs!$F$58/M16,Inputs!$F$55*Inputs!$F$35*M20/100)</f>
        <v>2.037408736</v>
      </c>
      <c r="N22" s="11" t="n">
        <f aca="false">IF(Inputs!$F$33=2,N20/100*Inputs!$F$56+N20/100*Inputs!$F$57*Inputs!$F$58/N16,Inputs!$F$55*Inputs!$F$35*N20/100)</f>
        <v>3.959077056</v>
      </c>
      <c r="O22" s="11" t="n">
        <f aca="false">IF(Inputs!$F$33=2,O20/100*Inputs!$F$56+O20/100*Inputs!$F$57*Inputs!$F$58/O16,Inputs!$F$55*Inputs!$F$35*O20/100)</f>
        <v>6.361948736</v>
      </c>
      <c r="P22" s="11" t="n">
        <f aca="false">IF(Inputs!$F$33=2,P20/100*Inputs!$F$56+P20/100*Inputs!$F$57*Inputs!$F$58/P16,Inputs!$F$55*Inputs!$F$35*P20/100)</f>
        <v>9.118331904</v>
      </c>
      <c r="Q22" s="11" t="n">
        <f aca="false">IF(Inputs!$F$33=2,Q20/100*Inputs!$F$56+Q20/100*Inputs!$F$57*Inputs!$F$58/Q16,Inputs!$F$55*Inputs!$F$35*Q20/100)</f>
        <v>12.099905664</v>
      </c>
      <c r="R22" s="11" t="n">
        <f aca="false">IF(Inputs!$F$33=2,R20/100*Inputs!$F$56+R20/100*Inputs!$F$57*Inputs!$F$58/R16,Inputs!$F$55*Inputs!$F$35*R20/100)</f>
        <v>15.180236192</v>
      </c>
      <c r="S22" s="11" t="n">
        <f aca="false">IF(Inputs!$F$33=2,S20/100*Inputs!$F$56+S20/100*Inputs!$F$57*Inputs!$F$58/S16,Inputs!$F$55*Inputs!$F$35*S20/100)</f>
        <v>18.241066976</v>
      </c>
      <c r="T22" s="11" t="n">
        <f aca="false">IF(Inputs!$F$33=2,T20/100*Inputs!$F$56+T20/100*Inputs!$F$57*Inputs!$F$58/T16,Inputs!$F$55*Inputs!$F$35*T20/100)</f>
        <v>21.172318816</v>
      </c>
      <c r="U22" s="11" t="n">
        <f aca="false">IF(Inputs!$F$33=2,U20/100*Inputs!$F$56+U20/100*Inputs!$F$57*Inputs!$F$58/U16,Inputs!$F$55*Inputs!$F$35*U20/100)</f>
        <v>23.875863968</v>
      </c>
      <c r="V22" s="11" t="n">
        <f aca="false">IF(Inputs!$F$33=2,V20/100*Inputs!$F$56+V20/100*Inputs!$F$57*Inputs!$F$58/V16,Inputs!$F$55*Inputs!$F$35*V20/100)</f>
        <v>26.26489712</v>
      </c>
      <c r="W22" s="11" t="n">
        <f aca="false">IF(Inputs!$F$33=2,W20/100*Inputs!$F$56+W20/100*Inputs!$F$57*Inputs!$F$58/W16,Inputs!$F$55*Inputs!$F$35*W20/100)</f>
        <v>28.26519344</v>
      </c>
      <c r="X22" s="11" t="n">
        <f aca="false">IF(Inputs!$F$33=2,X20/100*Inputs!$F$56+X20/100*Inputs!$F$57*Inputs!$F$58/X16,Inputs!$F$55*Inputs!$F$35*X20/100)</f>
        <v>29.81888272</v>
      </c>
      <c r="Y22" s="11" t="n">
        <f aca="false">IF(Inputs!$F$33=2,Y20/100*Inputs!$F$56+Y20/100*Inputs!$F$57*Inputs!$F$58/Y16,Inputs!$F$55*Inputs!$F$35*Y20/100)</f>
        <v>30.879417184</v>
      </c>
      <c r="Z22" s="11" t="n">
        <f aca="false">IF(Inputs!$F$33=2,Z20/100*Inputs!$F$56+Z20/100*Inputs!$F$57*Inputs!$F$58/Z16,Inputs!$F$55*Inputs!$F$35*Z20/100)</f>
        <v>31.417232704</v>
      </c>
      <c r="AA22" s="11" t="n">
        <f aca="false">IF(Inputs!$F$33=2,AA20/100*Inputs!$F$56+AA20/100*Inputs!$F$57*Inputs!$F$58/AA16,Inputs!$F$55*Inputs!$F$35*AA20/100)</f>
        <v>31.417232704</v>
      </c>
      <c r="AB22" s="11" t="n">
        <f aca="false">IF(Inputs!$F$33=2,AB20/100*Inputs!$F$56+AB20/100*Inputs!$F$57*Inputs!$F$58/AB16,Inputs!$F$55*Inputs!$F$35*AB20/100)</f>
        <v>30.879417184</v>
      </c>
      <c r="AC22" s="11" t="n">
        <f aca="false">IF(Inputs!$F$33=2,AC20/100*Inputs!$F$56+AC20/100*Inputs!$F$57*Inputs!$F$58/AC16,Inputs!$F$55*Inputs!$F$35*AC20/100)</f>
        <v>29.81888272</v>
      </c>
      <c r="AD22" s="11" t="n">
        <f aca="false">IF(Inputs!$F$33=2,AD20/100*Inputs!$F$56+AD20/100*Inputs!$F$57*Inputs!$F$58/AD16,Inputs!$F$55*Inputs!$F$35*AD20/100)</f>
        <v>28.26519344</v>
      </c>
      <c r="AE22" s="11" t="n">
        <f aca="false">IF(Inputs!$F$33=2,AE20/100*Inputs!$F$56+AE20/100*Inputs!$F$57*Inputs!$F$58/AE16,Inputs!$F$55*Inputs!$F$35*AE20/100)</f>
        <v>26.26489712</v>
      </c>
      <c r="AF22" s="11" t="n">
        <f aca="false">IF(Inputs!$F$33=2,AF20/100*Inputs!$F$56+AF20/100*Inputs!$F$57*Inputs!$F$58/AF16,Inputs!$F$55*Inputs!$F$35*AF20/100)</f>
        <v>23.875863968</v>
      </c>
      <c r="AG22" s="11" t="n">
        <f aca="false">IF(Inputs!$F$33=2,AG20/100*Inputs!$F$56+AG20/100*Inputs!$F$57*Inputs!$F$58/AG16,Inputs!$F$55*Inputs!$F$35*AG20/100)</f>
        <v>21.172318816</v>
      </c>
      <c r="AH22" s="11" t="n">
        <f aca="false">IF(Inputs!$F$33=2,AH20/100*Inputs!$F$56+AH20/100*Inputs!$F$57*Inputs!$F$58/AH16,Inputs!$F$55*Inputs!$F$35*AH20/100)</f>
        <v>18.241066976</v>
      </c>
      <c r="AI22" s="11" t="n">
        <f aca="false">IF(Inputs!$F$33=2,AI20/100*Inputs!$F$56+AI20/100*Inputs!$F$57*Inputs!$F$58/AI16,Inputs!$F$55*Inputs!$F$35*AI20/100)</f>
        <v>15.180236192</v>
      </c>
      <c r="AJ22" s="11" t="n">
        <f aca="false">IF(Inputs!$F$33=2,AJ20/100*Inputs!$F$56+AJ20/100*Inputs!$F$57*Inputs!$F$58/AJ16,Inputs!$F$55*Inputs!$F$35*AJ20/100)</f>
        <v>12.099905664</v>
      </c>
      <c r="AK22" s="11" t="n">
        <f aca="false">IF(Inputs!$F$33=2,AK20/100*Inputs!$F$56+AK20/100*Inputs!$F$57*Inputs!$F$58/AK16,Inputs!$F$55*Inputs!$F$35*AK20/100)</f>
        <v>9.118331904</v>
      </c>
      <c r="AL22" s="11" t="n">
        <f aca="false">IF(Inputs!$F$33=2,AL20/100*Inputs!$F$56+AL20/100*Inputs!$F$57*Inputs!$F$58/AL16,Inputs!$F$55*Inputs!$F$35*AL20/100)</f>
        <v>6.361948736</v>
      </c>
      <c r="AM22" s="11" t="n">
        <f aca="false">IF(Inputs!$F$33=2,AM20/100*Inputs!$F$56+AM20/100*Inputs!$F$57*Inputs!$F$58/AM16,Inputs!$F$55*Inputs!$F$35*AM20/100)</f>
        <v>3.959077056</v>
      </c>
      <c r="AN22" s="11" t="n">
        <f aca="false">IF(Inputs!$F$33=2,AN20/100*Inputs!$F$56+AN20/100*Inputs!$F$57*Inputs!$F$58/AN16,Inputs!$F$55*Inputs!$F$35*AN20/100)</f>
        <v>2.037408736</v>
      </c>
      <c r="AO22" s="11" t="n">
        <f aca="false">IF(Inputs!$F$33=2,AO20/100*Inputs!$F$56+AO20/100*Inputs!$F$57*Inputs!$F$58/AO16,Inputs!$F$55*Inputs!$F$35*AO20/100)</f>
        <v>0.712684192</v>
      </c>
      <c r="AP22" s="11" t="n">
        <f aca="false">IF(Inputs!$F$33=2,AP20/100*Inputs!$F$56+AP20/100*Inputs!$F$57*Inputs!$F$58/AP16,Inputs!$F$55*Inputs!$F$35*AP20/100)</f>
        <v>47.244734592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50.798</v>
      </c>
      <c r="J23" s="11" t="n">
        <f aca="false">Inputs!$F$59*IF(Inputs!$F$33=1,Inputs!$F$35,1)*(Inputs!J227+IF(AND(Inputs!$F$33=1,J8&gt;33,J8&lt;=Time!$F$10),2.75,0))/100+IF(AND(Inputs!$F$33=2,J8&gt;=34,J8&lt;=40),Inputs!$F$67/7,0)</f>
        <v>6.09576</v>
      </c>
      <c r="K23" s="11" t="n">
        <f aca="false">Inputs!$F$59*IF(Inputs!$F$33=1,Inputs!$F$35,1)*(Inputs!K227+IF(AND(Inputs!$F$33=1,K8&gt;33,K8&lt;=Time!$F$10),2.75,0))/100+IF(AND(Inputs!$F$33=2,K8&gt;=34,K8&lt;=40),Inputs!$F$67/7,0)</f>
        <v>1.396945</v>
      </c>
      <c r="L23" s="11" t="n">
        <f aca="false">Inputs!$F$59*IF(Inputs!$F$33=1,Inputs!$F$35,1)*(Inputs!L227+IF(AND(Inputs!$F$33=1,L8&gt;33,L8&lt;=Time!$F$10),2.75,0))/100+IF(AND(Inputs!$F$33=2,L8&gt;=34,L8&lt;=40),Inputs!$F$67/7,0)</f>
        <v>1.396945</v>
      </c>
      <c r="M23" s="11" t="n">
        <f aca="false">Inputs!$F$59*IF(Inputs!$F$33=1,Inputs!$F$35,1)*(Inputs!M227+IF(AND(Inputs!$F$33=1,M8&gt;33,M8&lt;=Time!$F$10),2.75,0))/100+IF(AND(Inputs!$F$33=2,M8&gt;=34,M8&lt;=40),Inputs!$F$67/7,0)</f>
        <v>1.396945</v>
      </c>
      <c r="N23" s="11" t="n">
        <f aca="false">Inputs!$F$59*IF(Inputs!$F$33=1,Inputs!$F$35,1)*(Inputs!N227+IF(AND(Inputs!$F$33=1,N8&gt;33,N8&lt;=Time!$F$10),2.75,0))/100+IF(AND(Inputs!$F$33=2,N8&gt;=34,N8&lt;=40),Inputs!$F$67/7,0)</f>
        <v>1.396945</v>
      </c>
      <c r="O23" s="11" t="n">
        <f aca="false">Inputs!$F$59*IF(Inputs!$F$33=1,Inputs!$F$35,1)*(Inputs!O227+IF(AND(Inputs!$F$33=1,O8&gt;33,O8&lt;=Time!$F$10),2.75,0))/100+IF(AND(Inputs!$F$33=2,O8&gt;=34,O8&lt;=40),Inputs!$F$67/7,0)</f>
        <v>1.396945</v>
      </c>
      <c r="P23" s="11" t="n">
        <f aca="false">Inputs!$F$59*IF(Inputs!$F$33=1,Inputs!$F$35,1)*(Inputs!P227+IF(AND(Inputs!$F$33=1,P8&gt;33,P8&lt;=Time!$F$10),2.75,0))/100+IF(AND(Inputs!$F$33=2,P8&gt;=34,P8&lt;=40),Inputs!$F$67/7,0)</f>
        <v>1.396945</v>
      </c>
      <c r="Q23" s="11" t="n">
        <f aca="false">Inputs!$F$59*IF(Inputs!$F$33=1,Inputs!$F$35,1)*(Inputs!Q227+IF(AND(Inputs!$F$33=1,Q8&gt;33,Q8&lt;=Time!$F$10),2.75,0))/100+IF(AND(Inputs!$F$33=2,Q8&gt;=34,Q8&lt;=40),Inputs!$F$67/7,0)</f>
        <v>1.396945</v>
      </c>
      <c r="R23" s="11" t="n">
        <f aca="false">Inputs!$F$59*IF(Inputs!$F$33=1,Inputs!$F$35,1)*(Inputs!R227+IF(AND(Inputs!$F$33=1,R8&gt;33,R8&lt;=Time!$F$10),2.75,0))/100+IF(AND(Inputs!$F$33=2,R8&gt;=34,R8&lt;=40),Inputs!$F$67/7,0)</f>
        <v>1.396945</v>
      </c>
      <c r="S23" s="11" t="n">
        <f aca="false">Inputs!$F$59*IF(Inputs!$F$33=1,Inputs!$F$35,1)*(Inputs!S227+IF(AND(Inputs!$F$33=1,S8&gt;33,S8&lt;=Time!$F$10),2.75,0))/100+IF(AND(Inputs!$F$33=2,S8&gt;=34,S8&lt;=40),Inputs!$F$67/7,0)</f>
        <v>1.396945</v>
      </c>
      <c r="T23" s="11" t="n">
        <f aca="false">Inputs!$F$59*IF(Inputs!$F$33=1,Inputs!$F$35,1)*(Inputs!T227+IF(AND(Inputs!$F$33=1,T8&gt;33,T8&lt;=Time!$F$10),2.75,0))/100+IF(AND(Inputs!$F$33=2,T8&gt;=34,T8&lt;=40),Inputs!$F$67/7,0)</f>
        <v>1.396945</v>
      </c>
      <c r="U23" s="11" t="n">
        <f aca="false">Inputs!$F$59*IF(Inputs!$F$33=1,Inputs!$F$35,1)*(Inputs!U227+IF(AND(Inputs!$F$33=1,U8&gt;33,U8&lt;=Time!$F$10),2.75,0))/100+IF(AND(Inputs!$F$33=2,U8&gt;=34,U8&lt;=40),Inputs!$F$67/7,0)</f>
        <v>1.396945</v>
      </c>
      <c r="V23" s="11" t="n">
        <f aca="false">Inputs!$F$59*IF(Inputs!$F$33=1,Inputs!$F$35,1)*(Inputs!V227+IF(AND(Inputs!$F$33=1,V8&gt;33,V8&lt;=Time!$F$10),2.75,0))/100+IF(AND(Inputs!$F$33=2,V8&gt;=34,V8&lt;=40),Inputs!$F$67/7,0)</f>
        <v>1.396945</v>
      </c>
      <c r="W23" s="11" t="n">
        <f aca="false">Inputs!$F$59*IF(Inputs!$F$33=1,Inputs!$F$35,1)*(Inputs!W227+IF(AND(Inputs!$F$33=1,W8&gt;33,W8&lt;=Time!$F$10),2.75,0))/100+IF(AND(Inputs!$F$33=2,W8&gt;=34,W8&lt;=40),Inputs!$F$67/7,0)</f>
        <v>1.396945</v>
      </c>
      <c r="X23" s="11" t="n">
        <f aca="false">Inputs!$F$59*IF(Inputs!$F$33=1,Inputs!$F$35,1)*(Inputs!X227+IF(AND(Inputs!$F$33=1,X8&gt;33,X8&lt;=Time!$F$10),2.75,0))/100+IF(AND(Inputs!$F$33=2,X8&gt;=34,X8&lt;=40),Inputs!$F$67/7,0)</f>
        <v>1.396945</v>
      </c>
      <c r="Y23" s="11" t="n">
        <f aca="false">Inputs!$F$59*IF(Inputs!$F$33=1,Inputs!$F$35,1)*(Inputs!Y227+IF(AND(Inputs!$F$33=1,Y8&gt;33,Y8&lt;=Time!$F$10),2.75,0))/100+IF(AND(Inputs!$F$33=2,Y8&gt;=34,Y8&lt;=40),Inputs!$F$67/7,0)</f>
        <v>1.396945</v>
      </c>
      <c r="Z23" s="11" t="n">
        <f aca="false">Inputs!$F$59*IF(Inputs!$F$33=1,Inputs!$F$35,1)*(Inputs!Z227+IF(AND(Inputs!$F$33=1,Z8&gt;33,Z8&lt;=Time!$F$10),2.75,0))/100+IF(AND(Inputs!$F$33=2,Z8&gt;=34,Z8&lt;=40),Inputs!$F$67/7,0)</f>
        <v>1.396945</v>
      </c>
      <c r="AA23" s="11" t="n">
        <f aca="false">Inputs!$F$59*IF(Inputs!$F$33=1,Inputs!$F$35,1)*(Inputs!AA227+IF(AND(Inputs!$F$33=1,AA8&gt;33,AA8&lt;=Time!$F$10),2.75,0))/100+IF(AND(Inputs!$F$33=2,AA8&gt;=34,AA8&lt;=40),Inputs!$F$67/7,0)</f>
        <v>1.396945</v>
      </c>
      <c r="AB23" s="11" t="n">
        <f aca="false">Inputs!$F$59*IF(Inputs!$F$33=1,Inputs!$F$35,1)*(Inputs!AB227+IF(AND(Inputs!$F$33=1,AB8&gt;33,AB8&lt;=Time!$F$10),2.75,0))/100+IF(AND(Inputs!$F$33=2,AB8&gt;=34,AB8&lt;=40),Inputs!$F$67/7,0)</f>
        <v>1.396945</v>
      </c>
      <c r="AC23" s="11" t="n">
        <f aca="false">Inputs!$F$59*IF(Inputs!$F$33=1,Inputs!$F$35,1)*(Inputs!AC227+IF(AND(Inputs!$F$33=1,AC8&gt;33,AC8&lt;=Time!$F$10),2.75,0))/100+IF(AND(Inputs!$F$33=2,AC8&gt;=34,AC8&lt;=40),Inputs!$F$67/7,0)</f>
        <v>1.396945</v>
      </c>
      <c r="AD23" s="11" t="n">
        <f aca="false">Inputs!$F$59*IF(Inputs!$F$33=1,Inputs!$F$35,1)*(Inputs!AD227+IF(AND(Inputs!$F$33=1,AD8&gt;33,AD8&lt;=Time!$F$10),2.75,0))/100+IF(AND(Inputs!$F$33=2,AD8&gt;=34,AD8&lt;=40),Inputs!$F$67/7,0)</f>
        <v>1.396945</v>
      </c>
      <c r="AE23" s="11" t="n">
        <f aca="false">Inputs!$F$59*IF(Inputs!$F$33=1,Inputs!$F$35,1)*(Inputs!AE227+IF(AND(Inputs!$F$33=1,AE8&gt;33,AE8&lt;=Time!$F$10),2.75,0))/100+IF(AND(Inputs!$F$33=2,AE8&gt;=34,AE8&lt;=40),Inputs!$F$67/7,0)</f>
        <v>1.396945</v>
      </c>
      <c r="AF23" s="11" t="n">
        <f aca="false">Inputs!$F$59*IF(Inputs!$F$33=1,Inputs!$F$35,1)*(Inputs!AF227+IF(AND(Inputs!$F$33=1,AF8&gt;33,AF8&lt;=Time!$F$10),2.75,0))/100+IF(AND(Inputs!$F$33=2,AF8&gt;=34,AF8&lt;=40),Inputs!$F$67/7,0)</f>
        <v>1.396945</v>
      </c>
      <c r="AG23" s="11" t="n">
        <f aca="false">Inputs!$F$59*IF(Inputs!$F$33=1,Inputs!$F$35,1)*(Inputs!AG227+IF(AND(Inputs!$F$33=1,AG8&gt;33,AG8&lt;=Time!$F$10),2.75,0))/100+IF(AND(Inputs!$F$33=2,AG8&gt;=34,AG8&lt;=40),Inputs!$F$67/7,0)</f>
        <v>1.396945</v>
      </c>
      <c r="AH23" s="11" t="n">
        <f aca="false">Inputs!$F$59*IF(Inputs!$F$33=1,Inputs!$F$35,1)*(Inputs!AH227+IF(AND(Inputs!$F$33=1,AH8&gt;33,AH8&lt;=Time!$F$10),2.75,0))/100+IF(AND(Inputs!$F$33=2,AH8&gt;=34,AH8&lt;=40),Inputs!$F$67/7,0)</f>
        <v>1.396945</v>
      </c>
      <c r="AI23" s="11" t="n">
        <f aca="false">Inputs!$F$59*IF(Inputs!$F$33=1,Inputs!$F$35,1)*(Inputs!AI227+IF(AND(Inputs!$F$33=1,AI8&gt;33,AI8&lt;=Time!$F$10),2.75,0))/100+IF(AND(Inputs!$F$33=2,AI8&gt;=34,AI8&lt;=40),Inputs!$F$67/7,0)</f>
        <v>1.396945</v>
      </c>
      <c r="AJ23" s="11" t="n">
        <f aca="false">Inputs!$F$59*IF(Inputs!$F$33=1,Inputs!$F$35,1)*(Inputs!AJ227+IF(AND(Inputs!$F$33=1,AJ8&gt;33,AJ8&lt;=Time!$F$10),2.75,0))/100+IF(AND(Inputs!$F$33=2,AJ8&gt;=34,AJ8&lt;=40),Inputs!$F$67/7,0)</f>
        <v>1.396945</v>
      </c>
      <c r="AK23" s="11" t="n">
        <f aca="false">Inputs!$F$59*IF(Inputs!$F$33=1,Inputs!$F$35,1)*(Inputs!AK227+IF(AND(Inputs!$F$33=1,AK8&gt;33,AK8&lt;=Time!$F$10),2.75,0))/100+IF(AND(Inputs!$F$33=2,AK8&gt;=34,AK8&lt;=40),Inputs!$F$67/7,0)</f>
        <v>1.396945</v>
      </c>
      <c r="AL23" s="11" t="n">
        <f aca="false">Inputs!$F$59*IF(Inputs!$F$33=1,Inputs!$F$35,1)*(Inputs!AL227+IF(AND(Inputs!$F$33=1,AL8&gt;33,AL8&lt;=Time!$F$10),2.75,0))/100+IF(AND(Inputs!$F$33=2,AL8&gt;=34,AL8&lt;=40),Inputs!$F$67/7,0)</f>
        <v>1.396945</v>
      </c>
      <c r="AM23" s="11" t="n">
        <f aca="false">Inputs!$F$59*IF(Inputs!$F$33=1,Inputs!$F$35,1)*(Inputs!AM227+IF(AND(Inputs!$F$33=1,AM8&gt;33,AM8&lt;=Time!$F$10),2.75,0))/100+IF(AND(Inputs!$F$33=2,AM8&gt;=34,AM8&lt;=40),Inputs!$F$67/7,0)</f>
        <v>1.396945</v>
      </c>
      <c r="AN23" s="11" t="n">
        <f aca="false">Inputs!$F$59*IF(Inputs!$F$33=1,Inputs!$F$35,1)*(Inputs!AN227+IF(AND(Inputs!$F$33=1,AN8&gt;33,AN8&lt;=Time!$F$10),2.75,0))/100+IF(AND(Inputs!$F$33=2,AN8&gt;=34,AN8&lt;=40),Inputs!$F$67/7,0)</f>
        <v>1.396945</v>
      </c>
      <c r="AO23" s="11" t="n">
        <f aca="false">Inputs!$F$59*IF(Inputs!$F$33=1,Inputs!$F$35,1)*(Inputs!AO227+IF(AND(Inputs!$F$33=1,AO8&gt;33,AO8&lt;=Time!$F$10),2.75,0))/100+IF(AND(Inputs!$F$33=2,AO8&gt;=34,AO8&lt;=40),Inputs!$F$67/7,0)</f>
        <v>1.396945</v>
      </c>
      <c r="AP23" s="11" t="n">
        <f aca="false">Inputs!$F$59*IF(Inputs!$F$33=1,Inputs!$F$35,1)*(Inputs!AP227+IF(AND(Inputs!$F$33=1,AP8&gt;33,AP8&lt;=Time!$F$10),2.75,0))/100+IF(AND(Inputs!$F$33=2,AP8&gt;=34,AP8&lt;=40),Inputs!$F$67/7,0)</f>
        <v>1.396945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8.382</v>
      </c>
      <c r="J24" s="11" t="n">
        <f aca="false">Inputs!$F$60*Inputs!$F$35*(0.85*IF(J8=1,1,0)+0.15*IF(J8=18,1,0))</f>
        <v>7.1247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1.2573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9.867</v>
      </c>
      <c r="J26" s="11" t="n">
        <f aca="false">Inputs!$F$63*Inputs!$F$35*(0.7*IF(J8=1,1,0)+0.3/(Time!$F$10-1)*IF(AND(J8&gt;=2,J8&lt;=Time!$F$10),1,0))</f>
        <v>6.9069</v>
      </c>
      <c r="K26" s="11" t="n">
        <f aca="false">Inputs!$F$63*Inputs!$F$35*(0.7*IF(K8=1,1,0)+0.3/(Time!$F$10-1)*IF(AND(K8&gt;=2,K8&lt;=Time!$F$10),1,0))</f>
        <v>0.092503125</v>
      </c>
      <c r="L26" s="11" t="n">
        <f aca="false">Inputs!$F$63*Inputs!$F$35*(0.7*IF(L8=1,1,0)+0.3/(Time!$F$10-1)*IF(AND(L8&gt;=2,L8&lt;=Time!$F$10),1,0))</f>
        <v>0.092503125</v>
      </c>
      <c r="M26" s="11" t="n">
        <f aca="false">Inputs!$F$63*Inputs!$F$35*(0.7*IF(M8=1,1,0)+0.3/(Time!$F$10-1)*IF(AND(M8&gt;=2,M8&lt;=Time!$F$10),1,0))</f>
        <v>0.092503125</v>
      </c>
      <c r="N26" s="11" t="n">
        <f aca="false">Inputs!$F$63*Inputs!$F$35*(0.7*IF(N8=1,1,0)+0.3/(Time!$F$10-1)*IF(AND(N8&gt;=2,N8&lt;=Time!$F$10),1,0))</f>
        <v>0.092503125</v>
      </c>
      <c r="O26" s="11" t="n">
        <f aca="false">Inputs!$F$63*Inputs!$F$35*(0.7*IF(O8=1,1,0)+0.3/(Time!$F$10-1)*IF(AND(O8&gt;=2,O8&lt;=Time!$F$10),1,0))</f>
        <v>0.092503125</v>
      </c>
      <c r="P26" s="11" t="n">
        <f aca="false">Inputs!$F$63*Inputs!$F$35*(0.7*IF(P8=1,1,0)+0.3/(Time!$F$10-1)*IF(AND(P8&gt;=2,P8&lt;=Time!$F$10),1,0))</f>
        <v>0.092503125</v>
      </c>
      <c r="Q26" s="11" t="n">
        <f aca="false">Inputs!$F$63*Inputs!$F$35*(0.7*IF(Q8=1,1,0)+0.3/(Time!$F$10-1)*IF(AND(Q8&gt;=2,Q8&lt;=Time!$F$10),1,0))</f>
        <v>0.092503125</v>
      </c>
      <c r="R26" s="11" t="n">
        <f aca="false">Inputs!$F$63*Inputs!$F$35*(0.7*IF(R8=1,1,0)+0.3/(Time!$F$10-1)*IF(AND(R8&gt;=2,R8&lt;=Time!$F$10),1,0))</f>
        <v>0.092503125</v>
      </c>
      <c r="S26" s="11" t="n">
        <f aca="false">Inputs!$F$63*Inputs!$F$35*(0.7*IF(S8=1,1,0)+0.3/(Time!$F$10-1)*IF(AND(S8&gt;=2,S8&lt;=Time!$F$10),1,0))</f>
        <v>0.092503125</v>
      </c>
      <c r="T26" s="11" t="n">
        <f aca="false">Inputs!$F$63*Inputs!$F$35*(0.7*IF(T8=1,1,0)+0.3/(Time!$F$10-1)*IF(AND(T8&gt;=2,T8&lt;=Time!$F$10),1,0))</f>
        <v>0.092503125</v>
      </c>
      <c r="U26" s="11" t="n">
        <f aca="false">Inputs!$F$63*Inputs!$F$35*(0.7*IF(U8=1,1,0)+0.3/(Time!$F$10-1)*IF(AND(U8&gt;=2,U8&lt;=Time!$F$10),1,0))</f>
        <v>0.092503125</v>
      </c>
      <c r="V26" s="11" t="n">
        <f aca="false">Inputs!$F$63*Inputs!$F$35*(0.7*IF(V8=1,1,0)+0.3/(Time!$F$10-1)*IF(AND(V8&gt;=2,V8&lt;=Time!$F$10),1,0))</f>
        <v>0.092503125</v>
      </c>
      <c r="W26" s="11" t="n">
        <f aca="false">Inputs!$F$63*Inputs!$F$35*(0.7*IF(W8=1,1,0)+0.3/(Time!$F$10-1)*IF(AND(W8&gt;=2,W8&lt;=Time!$F$10),1,0))</f>
        <v>0.092503125</v>
      </c>
      <c r="X26" s="11" t="n">
        <f aca="false">Inputs!$F$63*Inputs!$F$35*(0.7*IF(X8=1,1,0)+0.3/(Time!$F$10-1)*IF(AND(X8&gt;=2,X8&lt;=Time!$F$10),1,0))</f>
        <v>0.092503125</v>
      </c>
      <c r="Y26" s="11" t="n">
        <f aca="false">Inputs!$F$63*Inputs!$F$35*(0.7*IF(Y8=1,1,0)+0.3/(Time!$F$10-1)*IF(AND(Y8&gt;=2,Y8&lt;=Time!$F$10),1,0))</f>
        <v>0.092503125</v>
      </c>
      <c r="Z26" s="11" t="n">
        <f aca="false">Inputs!$F$63*Inputs!$F$35*(0.7*IF(Z8=1,1,0)+0.3/(Time!$F$10-1)*IF(AND(Z8&gt;=2,Z8&lt;=Time!$F$10),1,0))</f>
        <v>0.092503125</v>
      </c>
      <c r="AA26" s="11" t="n">
        <f aca="false">Inputs!$F$63*Inputs!$F$35*(0.7*IF(AA8=1,1,0)+0.3/(Time!$F$10-1)*IF(AND(AA8&gt;=2,AA8&lt;=Time!$F$10),1,0))</f>
        <v>0.092503125</v>
      </c>
      <c r="AB26" s="11" t="n">
        <f aca="false">Inputs!$F$63*Inputs!$F$35*(0.7*IF(AB8=1,1,0)+0.3/(Time!$F$10-1)*IF(AND(AB8&gt;=2,AB8&lt;=Time!$F$10),1,0))</f>
        <v>0.092503125</v>
      </c>
      <c r="AC26" s="11" t="n">
        <f aca="false">Inputs!$F$63*Inputs!$F$35*(0.7*IF(AC8=1,1,0)+0.3/(Time!$F$10-1)*IF(AND(AC8&gt;=2,AC8&lt;=Time!$F$10),1,0))</f>
        <v>0.092503125</v>
      </c>
      <c r="AD26" s="11" t="n">
        <f aca="false">Inputs!$F$63*Inputs!$F$35*(0.7*IF(AD8=1,1,0)+0.3/(Time!$F$10-1)*IF(AND(AD8&gt;=2,AD8&lt;=Time!$F$10),1,0))</f>
        <v>0.092503125</v>
      </c>
      <c r="AE26" s="11" t="n">
        <f aca="false">Inputs!$F$63*Inputs!$F$35*(0.7*IF(AE8=1,1,0)+0.3/(Time!$F$10-1)*IF(AND(AE8&gt;=2,AE8&lt;=Time!$F$10),1,0))</f>
        <v>0.092503125</v>
      </c>
      <c r="AF26" s="11" t="n">
        <f aca="false">Inputs!$F$63*Inputs!$F$35*(0.7*IF(AF8=1,1,0)+0.3/(Time!$F$10-1)*IF(AND(AF8&gt;=2,AF8&lt;=Time!$F$10),1,0))</f>
        <v>0.092503125</v>
      </c>
      <c r="AG26" s="11" t="n">
        <f aca="false">Inputs!$F$63*Inputs!$F$35*(0.7*IF(AG8=1,1,0)+0.3/(Time!$F$10-1)*IF(AND(AG8&gt;=2,AG8&lt;=Time!$F$10),1,0))</f>
        <v>0.092503125</v>
      </c>
      <c r="AH26" s="11" t="n">
        <f aca="false">Inputs!$F$63*Inputs!$F$35*(0.7*IF(AH8=1,1,0)+0.3/(Time!$F$10-1)*IF(AND(AH8&gt;=2,AH8&lt;=Time!$F$10),1,0))</f>
        <v>0.092503125</v>
      </c>
      <c r="AI26" s="11" t="n">
        <f aca="false">Inputs!$F$63*Inputs!$F$35*(0.7*IF(AI8=1,1,0)+0.3/(Time!$F$10-1)*IF(AND(AI8&gt;=2,AI8&lt;=Time!$F$10),1,0))</f>
        <v>0.092503125</v>
      </c>
      <c r="AJ26" s="11" t="n">
        <f aca="false">Inputs!$F$63*Inputs!$F$35*(0.7*IF(AJ8=1,1,0)+0.3/(Time!$F$10-1)*IF(AND(AJ8&gt;=2,AJ8&lt;=Time!$F$10),1,0))</f>
        <v>0.092503125</v>
      </c>
      <c r="AK26" s="11" t="n">
        <f aca="false">Inputs!$F$63*Inputs!$F$35*(0.7*IF(AK8=1,1,0)+0.3/(Time!$F$10-1)*IF(AND(AK8&gt;=2,AK8&lt;=Time!$F$10),1,0))</f>
        <v>0.092503125</v>
      </c>
      <c r="AL26" s="11" t="n">
        <f aca="false">Inputs!$F$63*Inputs!$F$35*(0.7*IF(AL8=1,1,0)+0.3/(Time!$F$10-1)*IF(AND(AL8&gt;=2,AL8&lt;=Time!$F$10),1,0))</f>
        <v>0.092503125</v>
      </c>
      <c r="AM26" s="11" t="n">
        <f aca="false">Inputs!$F$63*Inputs!$F$35*(0.7*IF(AM8=1,1,0)+0.3/(Time!$F$10-1)*IF(AND(AM8&gt;=2,AM8&lt;=Time!$F$10),1,0))</f>
        <v>0.092503125</v>
      </c>
      <c r="AN26" s="11" t="n">
        <f aca="false">Inputs!$F$63*Inputs!$F$35*(0.7*IF(AN8=1,1,0)+0.3/(Time!$F$10-1)*IF(AND(AN8&gt;=2,AN8&lt;=Time!$F$10),1,0))</f>
        <v>0.092503125</v>
      </c>
      <c r="AO26" s="11" t="n">
        <f aca="false">Inputs!$F$63*Inputs!$F$35*(0.7*IF(AO8=1,1,0)+0.3/(Time!$F$10-1)*IF(AND(AO8&gt;=2,AO8&lt;=Time!$F$10),1,0))</f>
        <v>0.092503125</v>
      </c>
      <c r="AP26" s="11" t="n">
        <f aca="false">Inputs!$F$63*Inputs!$F$35*(0.7*IF(AP8=1,1,0)+0.3/(Time!$F$10-1)*IF(AND(AP8&gt;=2,AP8&lt;=Time!$F$10),1,0))</f>
        <v>0.092503125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42.24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0.0055296</v>
      </c>
      <c r="L27" s="11" t="n">
        <f aca="false">IF(Inputs!$F$33=1,Inputs!$F$64*Inputs!$F$35*L21/SUM($J$21:$BJ$21),0)</f>
        <v>0.0580096</v>
      </c>
      <c r="M27" s="11" t="n">
        <f aca="false">IF(Inputs!$F$33=1,Inputs!$F$64*Inputs!$F$35*M21/SUM($J$21:$BJ$21),0)</f>
        <v>0.1658368</v>
      </c>
      <c r="N27" s="11" t="n">
        <f aca="false">IF(Inputs!$F$33=1,Inputs!$F$64*Inputs!$F$35*N21/SUM($J$21:$BJ$21),0)</f>
        <v>0.3222528</v>
      </c>
      <c r="O27" s="11" t="n">
        <f aca="false">IF(Inputs!$F$33=1,Inputs!$F$64*Inputs!$F$35*O21/SUM($J$21:$BJ$21),0)</f>
        <v>0.5178368</v>
      </c>
      <c r="P27" s="11" t="n">
        <f aca="false">IF(Inputs!$F$33=1,Inputs!$F$64*Inputs!$F$35*P21/SUM($J$21:$BJ$21),0)</f>
        <v>0.7421952</v>
      </c>
      <c r="Q27" s="11" t="n">
        <f aca="false">IF(Inputs!$F$33=1,Inputs!$F$64*Inputs!$F$35*Q21/SUM($J$21:$BJ$21),0)</f>
        <v>0.9848832</v>
      </c>
      <c r="R27" s="11" t="n">
        <f aca="false">IF(Inputs!$F$33=1,Inputs!$F$64*Inputs!$F$35*R21/SUM($J$21:$BJ$21),0)</f>
        <v>1.2356096</v>
      </c>
      <c r="S27" s="11" t="n">
        <f aca="false">IF(Inputs!$F$33=1,Inputs!$F$64*Inputs!$F$35*S21/SUM($J$21:$BJ$21),0)</f>
        <v>1.4847488</v>
      </c>
      <c r="T27" s="11" t="n">
        <f aca="false">IF(Inputs!$F$33=1,Inputs!$F$64*Inputs!$F$35*T21/SUM($J$21:$BJ$21),0)</f>
        <v>1.7233408</v>
      </c>
      <c r="U27" s="11" t="n">
        <f aca="false">IF(Inputs!$F$33=1,Inputs!$F$64*Inputs!$F$35*U21/SUM($J$21:$BJ$21),0)</f>
        <v>1.9433984</v>
      </c>
      <c r="V27" s="11" t="n">
        <f aca="false">IF(Inputs!$F$33=1,Inputs!$F$64*Inputs!$F$35*V21/SUM($J$21:$BJ$21),0)</f>
        <v>2.137856</v>
      </c>
      <c r="W27" s="11" t="n">
        <f aca="false">IF(Inputs!$F$33=1,Inputs!$F$64*Inputs!$F$35*W21/SUM($J$21:$BJ$21),0)</f>
        <v>2.300672</v>
      </c>
      <c r="X27" s="11" t="n">
        <f aca="false">IF(Inputs!$F$33=1,Inputs!$F$64*Inputs!$F$35*X21/SUM($J$21:$BJ$21),0)</f>
        <v>2.427136</v>
      </c>
      <c r="Y27" s="11" t="n">
        <f aca="false">IF(Inputs!$F$33=1,Inputs!$F$64*Inputs!$F$35*Y21/SUM($J$21:$BJ$21),0)</f>
        <v>2.5134592</v>
      </c>
      <c r="Z27" s="11" t="n">
        <f aca="false">IF(Inputs!$F$33=1,Inputs!$F$64*Inputs!$F$35*Z21/SUM($J$21:$BJ$21),0)</f>
        <v>2.5572352</v>
      </c>
      <c r="AA27" s="11" t="n">
        <f aca="false">IF(Inputs!$F$33=1,Inputs!$F$64*Inputs!$F$35*AA21/SUM($J$21:$BJ$21),0)</f>
        <v>2.5572352</v>
      </c>
      <c r="AB27" s="11" t="n">
        <f aca="false">IF(Inputs!$F$33=1,Inputs!$F$64*Inputs!$F$35*AB21/SUM($J$21:$BJ$21),0)</f>
        <v>2.5134592</v>
      </c>
      <c r="AC27" s="11" t="n">
        <f aca="false">IF(Inputs!$F$33=1,Inputs!$F$64*Inputs!$F$35*AC21/SUM($J$21:$BJ$21),0)</f>
        <v>2.427136</v>
      </c>
      <c r="AD27" s="11" t="n">
        <f aca="false">IF(Inputs!$F$33=1,Inputs!$F$64*Inputs!$F$35*AD21/SUM($J$21:$BJ$21),0)</f>
        <v>2.300672</v>
      </c>
      <c r="AE27" s="11" t="n">
        <f aca="false">IF(Inputs!$F$33=1,Inputs!$F$64*Inputs!$F$35*AE21/SUM($J$21:$BJ$21),0)</f>
        <v>2.137856</v>
      </c>
      <c r="AF27" s="11" t="n">
        <f aca="false">IF(Inputs!$F$33=1,Inputs!$F$64*Inputs!$F$35*AF21/SUM($J$21:$BJ$21),0)</f>
        <v>1.9433984</v>
      </c>
      <c r="AG27" s="11" t="n">
        <f aca="false">IF(Inputs!$F$33=1,Inputs!$F$64*Inputs!$F$35*AG21/SUM($J$21:$BJ$21),0)</f>
        <v>1.7233408</v>
      </c>
      <c r="AH27" s="11" t="n">
        <f aca="false">IF(Inputs!$F$33=1,Inputs!$F$64*Inputs!$F$35*AH21/SUM($J$21:$BJ$21),0)</f>
        <v>1.4847488</v>
      </c>
      <c r="AI27" s="11" t="n">
        <f aca="false">IF(Inputs!$F$33=1,Inputs!$F$64*Inputs!$F$35*AI21/SUM($J$21:$BJ$21),0)</f>
        <v>1.2356096</v>
      </c>
      <c r="AJ27" s="11" t="n">
        <f aca="false">IF(Inputs!$F$33=1,Inputs!$F$64*Inputs!$F$35*AJ21/SUM($J$21:$BJ$21),0)</f>
        <v>0.9848832</v>
      </c>
      <c r="AK27" s="11" t="n">
        <f aca="false">IF(Inputs!$F$33=1,Inputs!$F$64*Inputs!$F$35*AK21/SUM($J$21:$BJ$21),0)</f>
        <v>0.7421952</v>
      </c>
      <c r="AL27" s="11" t="n">
        <f aca="false">IF(Inputs!$F$33=1,Inputs!$F$64*Inputs!$F$35*AL21/SUM($J$21:$BJ$21),0)</f>
        <v>0.5178368</v>
      </c>
      <c r="AM27" s="11" t="n">
        <f aca="false">IF(Inputs!$F$33=1,Inputs!$F$64*Inputs!$F$35*AM21/SUM($J$21:$BJ$21),0)</f>
        <v>0.3222528</v>
      </c>
      <c r="AN27" s="11" t="n">
        <f aca="false">IF(Inputs!$F$33=1,Inputs!$F$64*Inputs!$F$35*AN21/SUM($J$21:$BJ$21),0)</f>
        <v>0.1658368</v>
      </c>
      <c r="AO27" s="11" t="n">
        <f aca="false">IF(Inputs!$F$33=1,Inputs!$F$64*Inputs!$F$35*AO21/SUM($J$21:$BJ$21),0)</f>
        <v>0.0580096</v>
      </c>
      <c r="AP27" s="11" t="n">
        <f aca="false">IF(Inputs!$F$33=1,Inputs!$F$64*Inputs!$F$35*AP21/SUM($J$21:$BJ$21),0)</f>
        <v>0.00552959999999985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5.885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5.885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778.826</v>
      </c>
      <c r="J30" s="11" t="n">
        <f aca="false">J22+J23+J24+J25+J26+J27+J28+J29</f>
        <v>115.65976</v>
      </c>
      <c r="K30" s="11" t="n">
        <f aca="false">K22+K23+K24+K25+K26+K27+K28+K29</f>
        <v>1.562912317</v>
      </c>
      <c r="L30" s="11" t="n">
        <f aca="false">L22+L23+L24+L25+L26+L27+L28+L29</f>
        <v>2.260141917</v>
      </c>
      <c r="M30" s="11" t="n">
        <f aca="false">M22+M23+M24+M25+M26+M27+M28+M29</f>
        <v>3.692693661</v>
      </c>
      <c r="N30" s="11" t="n">
        <f aca="false">N22+N23+N24+N25+N26+N27+N28+N29</f>
        <v>5.770777981</v>
      </c>
      <c r="O30" s="11" t="n">
        <f aca="false">O22+O23+O24+O25+O26+O27+O28+O29</f>
        <v>8.369233661</v>
      </c>
      <c r="P30" s="11" t="n">
        <f aca="false">P22+P23+P24+P25+P26+P27+P28+P29</f>
        <v>11.349975229</v>
      </c>
      <c r="Q30" s="11" t="n">
        <f aca="false">Q22+Q23+Q24+Q25+Q26+Q27+Q28+Q29</f>
        <v>14.574236989</v>
      </c>
      <c r="R30" s="11" t="n">
        <f aca="false">R22+R23+R24+R25+R26+R27+R28+R29</f>
        <v>17.905293917</v>
      </c>
      <c r="S30" s="11" t="n">
        <f aca="false">S22+S23+S24+S25+S26+S27+S28+S29</f>
        <v>21.215263901</v>
      </c>
      <c r="T30" s="11" t="n">
        <f aca="false">T22+T23+T24+T25+T26+T27+T28+T29</f>
        <v>24.385107741</v>
      </c>
      <c r="U30" s="11" t="n">
        <f aca="false">U22+U23+U24+U25+U26+U27+U28+U29</f>
        <v>27.308710493</v>
      </c>
      <c r="V30" s="11" t="n">
        <f aca="false">V22+V23+V24+V25+V26+V27+V28+V29</f>
        <v>29.892201245</v>
      </c>
      <c r="W30" s="11" t="n">
        <f aca="false">W22+W23+W24+W25+W26+W27+W28+W29</f>
        <v>32.055313565</v>
      </c>
      <c r="X30" s="11" t="n">
        <f aca="false">X22+X23+X24+X25+X26+X27+X28+X29</f>
        <v>33.735466845</v>
      </c>
      <c r="Y30" s="11" t="n">
        <f aca="false">Y22+Y23+Y24+Y25+Y26+Y27+Y28+Y29</f>
        <v>34.882324509</v>
      </c>
      <c r="Z30" s="11" t="n">
        <f aca="false">Z22+Z23+Z24+Z25+Z26+Z27+Z28+Z29</f>
        <v>35.463916029</v>
      </c>
      <c r="AA30" s="11" t="n">
        <f aca="false">AA22+AA23+AA24+AA25+AA26+AA27+AA28+AA29</f>
        <v>36.721216029</v>
      </c>
      <c r="AB30" s="11" t="n">
        <f aca="false">AB22+AB23+AB24+AB25+AB26+AB27+AB28+AB29</f>
        <v>34.882324509</v>
      </c>
      <c r="AC30" s="11" t="n">
        <f aca="false">AC22+AC23+AC24+AC25+AC26+AC27+AC28+AC29</f>
        <v>33.735466845</v>
      </c>
      <c r="AD30" s="11" t="n">
        <f aca="false">AD22+AD23+AD24+AD25+AD26+AD27+AD28+AD29</f>
        <v>32.055313565</v>
      </c>
      <c r="AE30" s="11" t="n">
        <f aca="false">AE22+AE23+AE24+AE25+AE26+AE27+AE28+AE29</f>
        <v>29.892201245</v>
      </c>
      <c r="AF30" s="11" t="n">
        <f aca="false">AF22+AF23+AF24+AF25+AF26+AF27+AF28+AF29</f>
        <v>27.308710493</v>
      </c>
      <c r="AG30" s="11" t="n">
        <f aca="false">AG22+AG23+AG24+AG25+AG26+AG27+AG28+AG29</f>
        <v>24.385107741</v>
      </c>
      <c r="AH30" s="11" t="n">
        <f aca="false">AH22+AH23+AH24+AH25+AH26+AH27+AH28+AH29</f>
        <v>21.215263901</v>
      </c>
      <c r="AI30" s="11" t="n">
        <f aca="false">AI22+AI23+AI24+AI25+AI26+AI27+AI28+AI29</f>
        <v>17.905293917</v>
      </c>
      <c r="AJ30" s="11" t="n">
        <f aca="false">AJ22+AJ23+AJ24+AJ25+AJ26+AJ27+AJ28+AJ29</f>
        <v>14.574236989</v>
      </c>
      <c r="AK30" s="11" t="n">
        <f aca="false">AK22+AK23+AK24+AK25+AK26+AK27+AK28+AK29</f>
        <v>11.349975229</v>
      </c>
      <c r="AL30" s="11" t="n">
        <f aca="false">AL22+AL23+AL24+AL25+AL26+AL27+AL28+AL29</f>
        <v>8.369233661</v>
      </c>
      <c r="AM30" s="11" t="n">
        <f aca="false">AM22+AM23+AM24+AM25+AM26+AM27+AM28+AM29</f>
        <v>5.770777981</v>
      </c>
      <c r="AN30" s="11" t="n">
        <f aca="false">AN22+AN23+AN24+AN25+AN26+AN27+AN28+AN29</f>
        <v>3.692693661</v>
      </c>
      <c r="AO30" s="11" t="n">
        <f aca="false">AO22+AO23+AO24+AO25+AO26+AO27+AO28+AO29</f>
        <v>2.260141917</v>
      </c>
      <c r="AP30" s="11" t="n">
        <f aca="false">AP22+AP23+AP24+AP25+AP26+AP27+AP28+AP29</f>
        <v>54.624712317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47232.6778</v>
      </c>
      <c r="J32" s="11" t="n">
        <f aca="false">J20/100*Inputs!$F$57*Inputs!$F$58*Inputs!$F$35</f>
        <v>4723.26778</v>
      </c>
      <c r="K32" s="11" t="n">
        <f aca="false">K20/100*Inputs!$F$57*Inputs!$F$58*Inputs!$F$35</f>
        <v>5.1011292024</v>
      </c>
      <c r="L32" s="11" t="n">
        <f aca="false">L20/100*Inputs!$F$57*Inputs!$F$58*Inputs!$F$35</f>
        <v>53.5146239474</v>
      </c>
      <c r="M32" s="11" t="n">
        <f aca="false">M20/100*Inputs!$F$57*Inputs!$F$58*Inputs!$F$35</f>
        <v>152.9866433942</v>
      </c>
      <c r="N32" s="11" t="n">
        <f aca="false">N20/100*Inputs!$F$57*Inputs!$F$58*Inputs!$F$35</f>
        <v>297.2824740732</v>
      </c>
      <c r="O32" s="11" t="n">
        <f aca="false">O20/100*Inputs!$F$57*Inputs!$F$58*Inputs!$F$35</f>
        <v>477.7113032692</v>
      </c>
      <c r="P32" s="11" t="n">
        <f aca="false">P20/100*Inputs!$F$57*Inputs!$F$58*Inputs!$F$35</f>
        <v>684.6848973888</v>
      </c>
      <c r="Q32" s="11" t="n">
        <f aca="false">Q20/100*Inputs!$F$57*Inputs!$F$58*Inputs!$F$35</f>
        <v>908.5677901608</v>
      </c>
      <c r="R32" s="11" t="n">
        <f aca="false">R20/100*Inputs!$F$57*Inputs!$F$58*Inputs!$F$35</f>
        <v>1139.8662133474</v>
      </c>
      <c r="S32" s="11" t="n">
        <f aca="false">S20/100*Inputs!$F$57*Inputs!$F$58*Inputs!$F$35</f>
        <v>1369.7004235222</v>
      </c>
      <c r="T32" s="11" t="n">
        <f aca="false">T20/100*Inputs!$F$57*Inputs!$F$58*Inputs!$F$35</f>
        <v>1589.8047020702</v>
      </c>
      <c r="U32" s="11" t="n">
        <f aca="false">U20/100*Inputs!$F$57*Inputs!$F$58*Inputs!$F$35</f>
        <v>1792.8107512546</v>
      </c>
      <c r="V32" s="11" t="n">
        <f aca="false">V20/100*Inputs!$F$57*Inputs!$F$58*Inputs!$F$35</f>
        <v>1972.200461539</v>
      </c>
      <c r="W32" s="11" t="n">
        <f aca="false">W20/100*Inputs!$F$57*Inputs!$F$58*Inputs!$F$35</f>
        <v>2122.400376943</v>
      </c>
      <c r="X32" s="11" t="n">
        <f aca="false">X20/100*Inputs!$F$57*Inputs!$F$58*Inputs!$F$35</f>
        <v>2239.065091109</v>
      </c>
      <c r="Y32" s="11" t="n">
        <f aca="false">Y20/100*Inputs!$F$57*Inputs!$F$58*Inputs!$F$35</f>
        <v>2318.6993858798</v>
      </c>
      <c r="Z32" s="11" t="n">
        <f aca="false">Z20/100*Inputs!$F$57*Inputs!$F$58*Inputs!$F$35</f>
        <v>2359.0833253988</v>
      </c>
      <c r="AA32" s="11" t="n">
        <f aca="false">AA20/100*Inputs!$F$57*Inputs!$F$58*Inputs!$F$35</f>
        <v>2359.0833253988</v>
      </c>
      <c r="AB32" s="11" t="n">
        <f aca="false">AB20/100*Inputs!$F$57*Inputs!$F$58*Inputs!$F$35</f>
        <v>2318.6993858798</v>
      </c>
      <c r="AC32" s="11" t="n">
        <f aca="false">AC20/100*Inputs!$F$57*Inputs!$F$58*Inputs!$F$35</f>
        <v>2239.065091109</v>
      </c>
      <c r="AD32" s="11" t="n">
        <f aca="false">AD20/100*Inputs!$F$57*Inputs!$F$58*Inputs!$F$35</f>
        <v>2122.400376943</v>
      </c>
      <c r="AE32" s="11" t="n">
        <f aca="false">AE20/100*Inputs!$F$57*Inputs!$F$58*Inputs!$F$35</f>
        <v>1972.200461539</v>
      </c>
      <c r="AF32" s="11" t="n">
        <f aca="false">AF20/100*Inputs!$F$57*Inputs!$F$58*Inputs!$F$35</f>
        <v>1792.8107512546</v>
      </c>
      <c r="AG32" s="11" t="n">
        <f aca="false">AG20/100*Inputs!$F$57*Inputs!$F$58*Inputs!$F$35</f>
        <v>1589.8047020702</v>
      </c>
      <c r="AH32" s="11" t="n">
        <f aca="false">AH20/100*Inputs!$F$57*Inputs!$F$58*Inputs!$F$35</f>
        <v>1369.7004235222</v>
      </c>
      <c r="AI32" s="11" t="n">
        <f aca="false">AI20/100*Inputs!$F$57*Inputs!$F$58*Inputs!$F$35</f>
        <v>1139.8662133474</v>
      </c>
      <c r="AJ32" s="11" t="n">
        <f aca="false">AJ20/100*Inputs!$F$57*Inputs!$F$58*Inputs!$F$35</f>
        <v>908.5677901608</v>
      </c>
      <c r="AK32" s="11" t="n">
        <f aca="false">AK20/100*Inputs!$F$57*Inputs!$F$58*Inputs!$F$35</f>
        <v>684.6848973888</v>
      </c>
      <c r="AL32" s="11" t="n">
        <f aca="false">AL20/100*Inputs!$F$57*Inputs!$F$58*Inputs!$F$35</f>
        <v>477.7113032692</v>
      </c>
      <c r="AM32" s="11" t="n">
        <f aca="false">AM20/100*Inputs!$F$57*Inputs!$F$58*Inputs!$F$35</f>
        <v>297.2824740732</v>
      </c>
      <c r="AN32" s="11" t="n">
        <f aca="false">AN20/100*Inputs!$F$57*Inputs!$F$58*Inputs!$F$35</f>
        <v>152.9866433942</v>
      </c>
      <c r="AO32" s="11" t="n">
        <f aca="false">AO20/100*Inputs!$F$57*Inputs!$F$58*Inputs!$F$35</f>
        <v>53.5146239474</v>
      </c>
      <c r="AP32" s="11" t="n">
        <f aca="false">AP20/100*Inputs!$F$57*Inputs!$F$58*Inputs!$F$35</f>
        <v>3547.5519642024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8501.882004</v>
      </c>
      <c r="J33" s="11" t="n">
        <f aca="false">Inputs!$F$68/100*J32</f>
        <v>850.1882004</v>
      </c>
      <c r="K33" s="11" t="n">
        <f aca="false">Inputs!$F$68/100*K32</f>
        <v>0.918203256432</v>
      </c>
      <c r="L33" s="11" t="n">
        <f aca="false">Inputs!$F$68/100*L32</f>
        <v>9.632632310532</v>
      </c>
      <c r="M33" s="11" t="n">
        <f aca="false">Inputs!$F$68/100*M32</f>
        <v>27.537595810956</v>
      </c>
      <c r="N33" s="11" t="n">
        <f aca="false">Inputs!$F$68/100*N32</f>
        <v>53.510845333176</v>
      </c>
      <c r="O33" s="11" t="n">
        <f aca="false">Inputs!$F$68/100*O32</f>
        <v>85.988034588456</v>
      </c>
      <c r="P33" s="11" t="n">
        <f aca="false">Inputs!$F$68/100*P32</f>
        <v>123.243281529984</v>
      </c>
      <c r="Q33" s="11" t="n">
        <f aca="false">Inputs!$F$68/100*Q32</f>
        <v>163.542202228944</v>
      </c>
      <c r="R33" s="11" t="n">
        <f aca="false">Inputs!$F$68/100*R32</f>
        <v>205.175918402532</v>
      </c>
      <c r="S33" s="11" t="n">
        <f aca="false">Inputs!$F$68/100*S32</f>
        <v>246.546076233996</v>
      </c>
      <c r="T33" s="11" t="n">
        <f aca="false">Inputs!$F$68/100*T32</f>
        <v>286.164846372636</v>
      </c>
      <c r="U33" s="11" t="n">
        <f aca="false">Inputs!$F$68/100*U32</f>
        <v>322.705935225828</v>
      </c>
      <c r="V33" s="11" t="n">
        <f aca="false">Inputs!$F$68/100*V32</f>
        <v>354.99608307702</v>
      </c>
      <c r="W33" s="11" t="n">
        <f aca="false">Inputs!$F$68/100*W32</f>
        <v>382.03206784974</v>
      </c>
      <c r="X33" s="11" t="n">
        <f aca="false">Inputs!$F$68/100*X32</f>
        <v>403.03171639962</v>
      </c>
      <c r="Y33" s="11" t="n">
        <f aca="false">Inputs!$F$68/100*Y32</f>
        <v>417.365889458364</v>
      </c>
      <c r="Z33" s="11" t="n">
        <f aca="false">Inputs!$F$68/100*Z32</f>
        <v>424.634998571784</v>
      </c>
      <c r="AA33" s="11" t="n">
        <f aca="false">Inputs!$F$68/100*AA32</f>
        <v>424.634998571784</v>
      </c>
      <c r="AB33" s="11" t="n">
        <f aca="false">Inputs!$F$68/100*AB32</f>
        <v>417.365889458364</v>
      </c>
      <c r="AC33" s="11" t="n">
        <f aca="false">Inputs!$F$68/100*AC32</f>
        <v>403.03171639962</v>
      </c>
      <c r="AD33" s="11" t="n">
        <f aca="false">Inputs!$F$68/100*AD32</f>
        <v>382.03206784974</v>
      </c>
      <c r="AE33" s="11" t="n">
        <f aca="false">Inputs!$F$68/100*AE32</f>
        <v>354.99608307702</v>
      </c>
      <c r="AF33" s="11" t="n">
        <f aca="false">Inputs!$F$68/100*AF32</f>
        <v>322.705935225828</v>
      </c>
      <c r="AG33" s="11" t="n">
        <f aca="false">Inputs!$F$68/100*AG32</f>
        <v>286.164846372636</v>
      </c>
      <c r="AH33" s="11" t="n">
        <f aca="false">Inputs!$F$68/100*AH32</f>
        <v>246.546076233996</v>
      </c>
      <c r="AI33" s="11" t="n">
        <f aca="false">Inputs!$F$68/100*AI32</f>
        <v>205.175918402532</v>
      </c>
      <c r="AJ33" s="11" t="n">
        <f aca="false">Inputs!$F$68/100*AJ32</f>
        <v>163.542202228944</v>
      </c>
      <c r="AK33" s="11" t="n">
        <f aca="false">Inputs!$F$68/100*AK32</f>
        <v>123.243281529984</v>
      </c>
      <c r="AL33" s="11" t="n">
        <f aca="false">Inputs!$F$68/100*AL32</f>
        <v>85.988034588456</v>
      </c>
      <c r="AM33" s="11" t="n">
        <f aca="false">Inputs!$F$68/100*AM32</f>
        <v>53.510845333176</v>
      </c>
      <c r="AN33" s="11" t="n">
        <f aca="false">Inputs!$F$68/100*AN32</f>
        <v>27.537595810956</v>
      </c>
      <c r="AO33" s="11" t="n">
        <f aca="false">Inputs!$F$68/100*AO32</f>
        <v>9.632632310532</v>
      </c>
      <c r="AP33" s="11" t="n">
        <f aca="false">Inputs!$F$68/100*AP32</f>
        <v>638.559353556432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8501.882004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850.1882004</v>
      </c>
      <c r="T34" s="11" t="n">
        <f aca="false">K33</f>
        <v>0.918203256432</v>
      </c>
      <c r="U34" s="11" t="n">
        <f aca="false">L33</f>
        <v>9.632632310532</v>
      </c>
      <c r="V34" s="11" t="n">
        <f aca="false">M33</f>
        <v>27.537595810956</v>
      </c>
      <c r="W34" s="11" t="n">
        <f aca="false">N33</f>
        <v>53.510845333176</v>
      </c>
      <c r="X34" s="11" t="n">
        <f aca="false">O33</f>
        <v>85.988034588456</v>
      </c>
      <c r="Y34" s="11" t="n">
        <f aca="false">P33</f>
        <v>123.243281529984</v>
      </c>
      <c r="Z34" s="11" t="n">
        <f aca="false">Q33</f>
        <v>163.542202228944</v>
      </c>
      <c r="AA34" s="11" t="n">
        <f aca="false">R33</f>
        <v>205.175918402532</v>
      </c>
      <c r="AB34" s="11" t="n">
        <f aca="false">S33</f>
        <v>246.546076233996</v>
      </c>
      <c r="AC34" s="11" t="n">
        <f aca="false">T33</f>
        <v>286.164846372636</v>
      </c>
      <c r="AD34" s="11" t="n">
        <f aca="false">U33</f>
        <v>322.705935225828</v>
      </c>
      <c r="AE34" s="11" t="n">
        <f aca="false">V33</f>
        <v>354.99608307702</v>
      </c>
      <c r="AF34" s="11" t="n">
        <f aca="false">W33</f>
        <v>382.03206784974</v>
      </c>
      <c r="AG34" s="11" t="n">
        <f aca="false">X33</f>
        <v>403.03171639962</v>
      </c>
      <c r="AH34" s="11" t="n">
        <f aca="false">Y33</f>
        <v>417.365889458364</v>
      </c>
      <c r="AI34" s="11" t="n">
        <f aca="false">Z33</f>
        <v>424.634998571784</v>
      </c>
      <c r="AJ34" s="11" t="n">
        <f aca="false">AA33</f>
        <v>424.634998571784</v>
      </c>
      <c r="AK34" s="11" t="n">
        <f aca="false">AB33</f>
        <v>417.365889458364</v>
      </c>
      <c r="AL34" s="11" t="n">
        <f aca="false">AC33</f>
        <v>403.03171639962</v>
      </c>
      <c r="AM34" s="11" t="n">
        <f aca="false">AD33</f>
        <v>382.03206784974</v>
      </c>
      <c r="AN34" s="11" t="n">
        <f aca="false">AE33</f>
        <v>354.99608307702</v>
      </c>
      <c r="AO34" s="11" t="n">
        <f aca="false">AF33</f>
        <v>322.705935225828</v>
      </c>
      <c r="AP34" s="11" t="n">
        <f aca="false">AG33</f>
        <v>286.164846372636</v>
      </c>
      <c r="AQ34" s="11" t="n">
        <f aca="false">AH33</f>
        <v>246.546076233996</v>
      </c>
      <c r="AR34" s="11" t="n">
        <f aca="false">AI33</f>
        <v>205.175918402532</v>
      </c>
      <c r="AS34" s="11" t="n">
        <f aca="false">AJ33</f>
        <v>163.542202228944</v>
      </c>
      <c r="AT34" s="11" t="n">
        <f aca="false">AK33</f>
        <v>123.243281529984</v>
      </c>
      <c r="AU34" s="11" t="n">
        <f aca="false">AL33</f>
        <v>85.988034588456</v>
      </c>
      <c r="AV34" s="11" t="n">
        <f aca="false">AM33</f>
        <v>53.510845333176</v>
      </c>
      <c r="AW34" s="11" t="n">
        <f aca="false">AN33</f>
        <v>27.537595810956</v>
      </c>
      <c r="AX34" s="11" t="n">
        <f aca="false">AO33</f>
        <v>9.632632310532</v>
      </c>
      <c r="AY34" s="11" t="n">
        <f aca="false">AP33</f>
        <v>638.559353556432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850.1882004</v>
      </c>
      <c r="K35" s="11" t="n">
        <f aca="false">J35+K33-K34</f>
        <v>851.106403656432</v>
      </c>
      <c r="L35" s="11" t="n">
        <f aca="false">K35+L33-L34</f>
        <v>860.739035966964</v>
      </c>
      <c r="M35" s="11" t="n">
        <f aca="false">L35+M33-M34</f>
        <v>888.27663177792</v>
      </c>
      <c r="N35" s="11" t="n">
        <f aca="false">M35+N33-N34</f>
        <v>941.787477111096</v>
      </c>
      <c r="O35" s="11" t="n">
        <f aca="false">N35+O33-O34</f>
        <v>1027.77551169955</v>
      </c>
      <c r="P35" s="11" t="n">
        <f aca="false">O35+P33-P34</f>
        <v>1151.01879322954</v>
      </c>
      <c r="Q35" s="11" t="n">
        <f aca="false">P35+Q33-Q34</f>
        <v>1314.56099545848</v>
      </c>
      <c r="R35" s="11" t="n">
        <f aca="false">Q35+R33-R34</f>
        <v>1519.73691386101</v>
      </c>
      <c r="S35" s="11" t="n">
        <f aca="false">R35+S33-S34</f>
        <v>916.094789695008</v>
      </c>
      <c r="T35" s="11" t="n">
        <f aca="false">S35+T33-T34</f>
        <v>1201.34143281121</v>
      </c>
      <c r="U35" s="11" t="n">
        <f aca="false">T35+U33-U34</f>
        <v>1514.41473572651</v>
      </c>
      <c r="V35" s="11" t="n">
        <f aca="false">U35+V33-V34</f>
        <v>1841.87322299257</v>
      </c>
      <c r="W35" s="11" t="n">
        <f aca="false">V35+W33-W34</f>
        <v>2170.39444550914</v>
      </c>
      <c r="X35" s="11" t="n">
        <f aca="false">W35+X33-X34</f>
        <v>2487.4381273203</v>
      </c>
      <c r="Y35" s="11" t="n">
        <f aca="false">X35+Y33-Y34</f>
        <v>2781.56073524868</v>
      </c>
      <c r="Z35" s="11" t="n">
        <f aca="false">Y35+Z33-Z34</f>
        <v>3042.65353159152</v>
      </c>
      <c r="AA35" s="11" t="n">
        <f aca="false">Z35+AA33-AA34</f>
        <v>3262.11261176077</v>
      </c>
      <c r="AB35" s="11" t="n">
        <f aca="false">AA35+AB33-AB34</f>
        <v>3432.93242498514</v>
      </c>
      <c r="AC35" s="11" t="n">
        <f aca="false">AB35+AC33-AC34</f>
        <v>3549.79929501213</v>
      </c>
      <c r="AD35" s="11" t="n">
        <f aca="false">AC35+AD33-AD34</f>
        <v>3609.12542763604</v>
      </c>
      <c r="AE35" s="11" t="n">
        <f aca="false">AD35+AE33-AE34</f>
        <v>3609.12542763604</v>
      </c>
      <c r="AF35" s="11" t="n">
        <f aca="false">AE35+AF33-AF34</f>
        <v>3549.79929501213</v>
      </c>
      <c r="AG35" s="11" t="n">
        <f aca="false">AF35+AG33-AG34</f>
        <v>3432.93242498514</v>
      </c>
      <c r="AH35" s="11" t="n">
        <f aca="false">AG35+AH33-AH34</f>
        <v>3262.11261176077</v>
      </c>
      <c r="AI35" s="11" t="n">
        <f aca="false">AH35+AI33-AI34</f>
        <v>3042.65353159152</v>
      </c>
      <c r="AJ35" s="11" t="n">
        <f aca="false">AI35+AJ33-AJ34</f>
        <v>2781.56073524868</v>
      </c>
      <c r="AK35" s="11" t="n">
        <f aca="false">AJ35+AK33-AK34</f>
        <v>2487.4381273203</v>
      </c>
      <c r="AL35" s="11" t="n">
        <f aca="false">AK35+AL33-AL34</f>
        <v>2170.39444550914</v>
      </c>
      <c r="AM35" s="11" t="n">
        <f aca="false">AL35+AM33-AM34</f>
        <v>1841.87322299257</v>
      </c>
      <c r="AN35" s="11" t="n">
        <f aca="false">AM35+AN33-AN34</f>
        <v>1514.41473572651</v>
      </c>
      <c r="AO35" s="11" t="n">
        <f aca="false">AN35+AO33-AO34</f>
        <v>1201.34143281121</v>
      </c>
      <c r="AP35" s="11" t="n">
        <f aca="false">AO35+AP33-AP34</f>
        <v>1553.73593999501</v>
      </c>
      <c r="AQ35" s="11" t="n">
        <f aca="false">AP35+AQ33-AQ34</f>
        <v>1307.18986376101</v>
      </c>
      <c r="AR35" s="11" t="n">
        <f aca="false">AQ35+AR33-AR34</f>
        <v>1102.01394535848</v>
      </c>
      <c r="AS35" s="11" t="n">
        <f aca="false">AR35+AS33-AS34</f>
        <v>938.471743129537</v>
      </c>
      <c r="AT35" s="11" t="n">
        <f aca="false">AS35+AT33-AT34</f>
        <v>815.228461599553</v>
      </c>
      <c r="AU35" s="11" t="n">
        <f aca="false">AT35+AU33-AU34</f>
        <v>729.240427011097</v>
      </c>
      <c r="AV35" s="11" t="n">
        <f aca="false">AU35+AV33-AV34</f>
        <v>675.729581677921</v>
      </c>
      <c r="AW35" s="11" t="n">
        <f aca="false">AV35+AW33-AW34</f>
        <v>648.191985866965</v>
      </c>
      <c r="AX35" s="11" t="n">
        <f aca="false">AW35+AX33-AX34</f>
        <v>638.559353556433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1.79835380359527</v>
      </c>
      <c r="J36" s="11" t="n">
        <f aca="false">0*(J18+Inputs!$F$69)/100*J11/365/J16</f>
        <v>0</v>
      </c>
      <c r="K36" s="11" t="n">
        <f aca="false">J35*(K18+Inputs!$F$69)/100*K11/365/K16</f>
        <v>0.0213902965097506</v>
      </c>
      <c r="L36" s="11" t="n">
        <f aca="false">K35*(L18+Inputs!$F$69)/100*L11/365/L16</f>
        <v>0.0220341464394753</v>
      </c>
      <c r="M36" s="11" t="n">
        <f aca="false">L35*(M18+Inputs!$F$69)/100*M11/365/M16</f>
        <v>0.0214740339916263</v>
      </c>
      <c r="N36" s="11" t="n">
        <f aca="false">M35*(N18+Inputs!$F$69)/100*N11/365/N16</f>
        <v>0.0228034740504093</v>
      </c>
      <c r="O36" s="11" t="n">
        <f aca="false">N35*(O18+Inputs!$F$69)/100*O11/365/O16</f>
        <v>0.0240755319998248</v>
      </c>
      <c r="P36" s="11" t="n">
        <f aca="false">O35*(P18+Inputs!$F$69)/100*P11/365/P16</f>
        <v>0.0236313094397995</v>
      </c>
      <c r="Q36" s="11" t="n">
        <f aca="false">P35*(Q18+Inputs!$F$69)/100*Q11/365/Q16</f>
        <v>0.0291773470463707</v>
      </c>
      <c r="R36" s="11" t="n">
        <f aca="false">Q35*(R18+Inputs!$F$69)/100*R11/365/R16</f>
        <v>0.032112483349384</v>
      </c>
      <c r="S36" s="11" t="n">
        <f aca="false">R35*(S18+Inputs!$F$69)/100*S11/365/S16</f>
        <v>0.0382007776737884</v>
      </c>
      <c r="T36" s="11" t="n">
        <f aca="false">S35*(T18+Inputs!$F$69)/100*T11/365/T16</f>
        <v>0.0221908515595197</v>
      </c>
      <c r="U36" s="11" t="n">
        <f aca="false">T35*(U18+Inputs!$F$69)/100*U11/365/U16</f>
        <v>0.0299440578127453</v>
      </c>
      <c r="V36" s="11" t="n">
        <f aca="false">U35*(V18+Inputs!$F$69)/100*V11/365/V16</f>
        <v>0.0375888662167028</v>
      </c>
      <c r="W36" s="11" t="n">
        <f aca="false">V35*(W18+Inputs!$F$69)/100*W11/365/W16</f>
        <v>0.0440558817014945</v>
      </c>
      <c r="X36" s="11" t="n">
        <f aca="false">W35*(X18+Inputs!$F$69)/100*X11/365/X16</f>
        <v>0.0534187196016898</v>
      </c>
      <c r="Y36" s="11" t="n">
        <f aca="false">X35*(Y18+Inputs!$F$69)/100*Y11/365/Y16</f>
        <v>0.0589979410032407</v>
      </c>
      <c r="Z36" s="11" t="n">
        <f aca="false">Y35*(Z18+Inputs!$F$69)/100*Z11/365/Z16</f>
        <v>0.0678865529611454</v>
      </c>
      <c r="AA36" s="11" t="n">
        <f aca="false">Z35*(AA18+Inputs!$F$69)/100*AA11/365/AA16</f>
        <v>0.0739465496497872</v>
      </c>
      <c r="AB36" s="11" t="n">
        <f aca="false">AA35*(AB18+Inputs!$F$69)/100*AB11/365/AB16</f>
        <v>0.0738534637607191</v>
      </c>
      <c r="AC36" s="11" t="n">
        <f aca="false">AB35*(AC18+Inputs!$F$69)/100*AC11/365/AC16</f>
        <v>0.0827315331743052</v>
      </c>
      <c r="AD36" s="11" t="n">
        <f aca="false">AC35*(AD18+Inputs!$F$69)/100*AD11/365/AD16</f>
        <v>0.0824402652301631</v>
      </c>
      <c r="AE36" s="11" t="n">
        <f aca="false">AD35*(AE18+Inputs!$F$69)/100*AE11/365/AE16</f>
        <v>0.086247834284371</v>
      </c>
      <c r="AF36" s="11" t="n">
        <f aca="false">AE35*(AF18+Inputs!$F$69)/100*AF11/365/AF16</f>
        <v>0.0831147230521001</v>
      </c>
      <c r="AG36" s="11" t="n">
        <f aca="false">AF35*(AG18+Inputs!$F$69)/100*AG11/365/AG16</f>
        <v>0.0841182884115323</v>
      </c>
      <c r="AH36" s="11" t="n">
        <f aca="false">AG35*(AH18+Inputs!$F$69)/100*AH11/365/AH16</f>
        <v>0.0810069136348272</v>
      </c>
      <c r="AI36" s="11" t="n">
        <f aca="false">AH35*(AI18+Inputs!$F$69)/100*AI11/365/AI16</f>
        <v>0.0741797805086076</v>
      </c>
      <c r="AJ36" s="11" t="n">
        <f aca="false">AI35*(AJ18+Inputs!$F$69)/100*AJ11/365/AJ16</f>
        <v>0.0711950399836167</v>
      </c>
      <c r="AK36" s="11" t="n">
        <f aca="false">AJ35*(AK18+Inputs!$F$69)/100*AK11/365/AK16</f>
        <v>0.0627213716154098</v>
      </c>
      <c r="AL36" s="11" t="n">
        <f aca="false">AK35*(AL18+Inputs!$F$69)/100*AL11/365/AL16</f>
        <v>0.0577151632675836</v>
      </c>
      <c r="AM36" s="11" t="n">
        <f aca="false">AL35*(AM18+Inputs!$F$69)/100*AM11/365/AM16</f>
        <v>0.0501471797546113</v>
      </c>
      <c r="AN36" s="11" t="n">
        <f aca="false">AM35*(AN18+Inputs!$F$69)/100*AN11/365/AN16</f>
        <v>0.0382766674175561</v>
      </c>
      <c r="AO36" s="11" t="n">
        <f aca="false">AN35*(AO18+Inputs!$F$69)/100*AO11/365/AO16</f>
        <v>0.0346970918971182</v>
      </c>
      <c r="AP36" s="11" t="n">
        <f aca="false">AO35*(AP18+Inputs!$F$69)/100*AP11/365/AP16</f>
        <v>0.0265243328204506</v>
      </c>
      <c r="AQ36" s="11" t="n">
        <f aca="false">AP35*(AQ18+Inputs!$F$69)/100*AQ11/365/AQ16</f>
        <v>0.0352992815695252</v>
      </c>
      <c r="AR36" s="11" t="n">
        <f aca="false">AQ35*(AR18+Inputs!$F$69)/100*AR11/365/AR16</f>
        <v>0.0286191736581365</v>
      </c>
      <c r="AS36" s="11" t="n">
        <f aca="false">AR35*(AS18+Inputs!$F$69)/100*AS11/365/AS16</f>
        <v>0.0248265373079246</v>
      </c>
      <c r="AT36" s="11" t="n">
        <f aca="false">AS35*(AT18+Inputs!$F$69)/100*AT11/365/AT16</f>
        <v>0.0210533137905118</v>
      </c>
      <c r="AU36" s="11" t="n">
        <f aca="false">AT35*(AU18+Inputs!$F$69)/100*AU11/365/AU16</f>
        <v>0.0176241572756038</v>
      </c>
      <c r="AV36" s="11" t="n">
        <f aca="false">AU35*(AV18+Inputs!$F$69)/100*AV11/365/AV16</f>
        <v>0.0162222244001886</v>
      </c>
      <c r="AW36" s="11" t="n">
        <f aca="false">AV35*(AW18+Inputs!$F$69)/100*AW11/365/AW16</f>
        <v>0.0144857959415015</v>
      </c>
      <c r="AX36" s="11" t="n">
        <f aca="false">AW35*(AX18+Inputs!$F$69)/100*AX11/365/AX16</f>
        <v>0.0142982777907088</v>
      </c>
      <c r="AY36" s="11" t="n">
        <f aca="false">AX35*(AY18+Inputs!$F$69)/100*AY11/365/AY16</f>
        <v>0.0140265720414384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3.11</v>
      </c>
      <c r="R9" s="11" t="n">
        <f aca="false">R8+Inputs!$F$41*Time!R34</f>
        <v>3.11</v>
      </c>
      <c r="S9" s="11" t="n">
        <f aca="false">S8+Inputs!$F$41*Time!S34</f>
        <v>3.12</v>
      </c>
      <c r="T9" s="11" t="n">
        <f aca="false">T8+Inputs!$F$41*Time!T34</f>
        <v>3.12</v>
      </c>
      <c r="U9" s="11" t="n">
        <f aca="false">U8+Inputs!$F$41*Time!U34</f>
        <v>3.12</v>
      </c>
      <c r="V9" s="11" t="n">
        <f aca="false">V8+Inputs!$F$41*Time!V34</f>
        <v>3.12</v>
      </c>
      <c r="W9" s="11" t="n">
        <f aca="false">W8+Inputs!$F$41*Time!W34</f>
        <v>3.12</v>
      </c>
      <c r="X9" s="11" t="n">
        <f aca="false">X8+Inputs!$F$41*Time!X34</f>
        <v>3.12</v>
      </c>
      <c r="Y9" s="11" t="n">
        <f aca="false">Y8+Inputs!$F$41*Time!Y34</f>
        <v>3.12</v>
      </c>
      <c r="Z9" s="11" t="n">
        <f aca="false">Z8+Inputs!$F$41*Time!Z34</f>
        <v>3.12</v>
      </c>
      <c r="AA9" s="11" t="n">
        <f aca="false">AA8+Inputs!$F$41*Time!AA34</f>
        <v>3.12</v>
      </c>
      <c r="AB9" s="11" t="n">
        <f aca="false">AB8+Inputs!$F$41*Time!AB34</f>
        <v>3.12</v>
      </c>
      <c r="AC9" s="11" t="n">
        <f aca="false">AC8+Inputs!$F$41*Time!AC34</f>
        <v>3.12</v>
      </c>
      <c r="AD9" s="11" t="n">
        <f aca="false">AD8+Inputs!$F$41*Time!AD34</f>
        <v>3.12</v>
      </c>
      <c r="AE9" s="11" t="n">
        <f aca="false">AE8+Inputs!$F$41*Time!AE34</f>
        <v>3.12</v>
      </c>
      <c r="AF9" s="11" t="n">
        <f aca="false">AF8+Inputs!$F$41*Time!AF34</f>
        <v>3.12</v>
      </c>
      <c r="AG9" s="11" t="n">
        <f aca="false">AG8+Inputs!$F$41*Time!AG34</f>
        <v>3.12</v>
      </c>
      <c r="AH9" s="11" t="n">
        <f aca="false">AH8+Inputs!$F$41*Time!AH34</f>
        <v>3.12</v>
      </c>
      <c r="AI9" s="11" t="n">
        <f aca="false">AI8+Inputs!$F$41*Time!AI34</f>
        <v>3.12</v>
      </c>
      <c r="AJ9" s="11" t="n">
        <f aca="false">AJ8+Inputs!$F$41*Time!AJ34</f>
        <v>3.12</v>
      </c>
      <c r="AK9" s="11" t="n">
        <f aca="false">AK8+Inputs!$F$41*Time!AK34</f>
        <v>3.12</v>
      </c>
      <c r="AL9" s="11" t="n">
        <f aca="false">AL8+Inputs!$F$41*Time!AL34</f>
        <v>3.12</v>
      </c>
      <c r="AM9" s="11" t="n">
        <f aca="false">AM8+Inputs!$F$41*Time!AM34</f>
        <v>3.12</v>
      </c>
      <c r="AN9" s="11" t="n">
        <f aca="false">AN8+Inputs!$F$41*Time!AN34</f>
        <v>3.12</v>
      </c>
      <c r="AO9" s="11" t="n">
        <f aca="false">AO8+Inputs!$F$41*Time!AO34</f>
        <v>3.12</v>
      </c>
      <c r="AP9" s="11" t="n">
        <f aca="false">AP8+Inputs!$F$41*Time!AP34</f>
        <v>3.12</v>
      </c>
      <c r="AQ9" s="11" t="n">
        <f aca="false">AQ8+Inputs!$F$41*Time!AQ34</f>
        <v>3.12</v>
      </c>
      <c r="AR9" s="11" t="n">
        <f aca="false">AR8+Inputs!$F$41*Time!AR34</f>
        <v>3.12</v>
      </c>
      <c r="AS9" s="11" t="n">
        <f aca="false">AS8+Inputs!$F$41*Time!AS34</f>
        <v>3.12</v>
      </c>
      <c r="AT9" s="11" t="n">
        <f aca="false">AT8+Inputs!$F$41*Time!AT34</f>
        <v>3.12</v>
      </c>
      <c r="AU9" s="11" t="n">
        <f aca="false">AU8+Inputs!$F$41*Time!AU34</f>
        <v>3.12</v>
      </c>
      <c r="AV9" s="11" t="n">
        <f aca="false">AV8+Inputs!$F$41*Time!AV34</f>
        <v>3.12</v>
      </c>
      <c r="AW9" s="11" t="n">
        <f aca="false">AW8+Inputs!$F$41*Time!AW34</f>
        <v>3.12</v>
      </c>
      <c r="AX9" s="11" t="n">
        <f aca="false">AX8+Inputs!$F$41*Time!AX34</f>
        <v>3.12</v>
      </c>
      <c r="AY9" s="11" t="n">
        <f aca="false">AY8+Inputs!$F$41*Time!AY34</f>
        <v>3.12</v>
      </c>
      <c r="AZ9" s="11" t="n">
        <f aca="false">AZ8+Inputs!$F$41*Time!AZ34</f>
        <v>3.12</v>
      </c>
      <c r="BA9" s="11" t="n">
        <f aca="false">BA8+Inputs!$F$41*Time!BA34</f>
        <v>3.12</v>
      </c>
      <c r="BB9" s="11" t="n">
        <f aca="false">BB8+Inputs!$F$41*Time!BB34</f>
        <v>3.12</v>
      </c>
      <c r="BC9" s="11" t="n">
        <f aca="false">BC8+Inputs!$F$41*Time!BC34</f>
        <v>3.12</v>
      </c>
      <c r="BD9" s="11" t="n">
        <f aca="false">BD8+Inputs!$F$41*Time!BD34</f>
        <v>3.12</v>
      </c>
      <c r="BE9" s="11" t="n">
        <f aca="false">BE8+Inputs!$F$41*Time!BE34</f>
        <v>3.12</v>
      </c>
      <c r="BF9" s="11" t="n">
        <f aca="false">BF8+Inputs!$F$41*Time!BF34</f>
        <v>3.12</v>
      </c>
      <c r="BG9" s="11" t="n">
        <f aca="false">BG8+Inputs!$F$41*Time!BG34</f>
        <v>3.12</v>
      </c>
      <c r="BH9" s="11" t="n">
        <f aca="false">BH8+Inputs!$F$41*Time!BH34</f>
        <v>3.12</v>
      </c>
      <c r="BI9" s="11" t="n">
        <f aca="false">BI8+Inputs!$F$41*Time!BI34</f>
        <v>3.12</v>
      </c>
      <c r="BJ9" s="11" t="n">
        <f aca="false">BJ8+Inputs!$F$41*Time!BJ34</f>
        <v>3.12</v>
      </c>
      <c r="BK9" s="11" t="n">
        <f aca="false">BK8+Inputs!$F$41*Time!BK34</f>
        <v>3.12</v>
      </c>
      <c r="BL9" s="11" t="n">
        <f aca="false">BL8+Inputs!$F$41*Time!BL34</f>
        <v>3.12</v>
      </c>
      <c r="BM9" s="11" t="n">
        <f aca="false">BM8+Inputs!$F$41*Time!BM34</f>
        <v>3.12</v>
      </c>
      <c r="BN9" s="11" t="n">
        <f aca="false">BN8+Inputs!$F$41*Time!BN34</f>
        <v>3.12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93.8</v>
      </c>
      <c r="P28" s="11" t="n">
        <f aca="false">IF(Time!P25&gt;0,P27+Inputs!$F$36,0)</f>
        <v>93.8</v>
      </c>
      <c r="Q28" s="11" t="n">
        <f aca="false">IF(Time!Q25&gt;0,Q27+Inputs!$F$36,0)</f>
        <v>93.5</v>
      </c>
      <c r="R28" s="11" t="n">
        <f aca="false">IF(Time!R25&gt;0,R27+Inputs!$F$36,0)</f>
        <v>92.9</v>
      </c>
      <c r="S28" s="11" t="n">
        <f aca="false">IF(Time!S25&gt;0,S27+Inputs!$F$36,0)</f>
        <v>93.2</v>
      </c>
      <c r="T28" s="11" t="n">
        <f aca="false">IF(Time!T25&gt;0,T27+Inputs!$F$36,0)</f>
        <v>93.8</v>
      </c>
      <c r="U28" s="11" t="n">
        <f aca="false">IF(Time!U25&gt;0,U27+Inputs!$F$36,0)</f>
        <v>92.7333333333333</v>
      </c>
      <c r="V28" s="11" t="n">
        <f aca="false">IF(Time!V25&gt;0,V27+Inputs!$F$36,0)</f>
        <v>90.6</v>
      </c>
      <c r="W28" s="11" t="n">
        <f aca="false">IF(Time!W25&gt;0,W27+Inputs!$F$36,0)</f>
        <v>91.6666666666667</v>
      </c>
      <c r="X28" s="11" t="n">
        <f aca="false">IF(Time!X25&gt;0,X27+Inputs!$F$36,0)</f>
        <v>93.8</v>
      </c>
      <c r="Y28" s="11" t="n">
        <f aca="false">IF(Time!Y25&gt;0,Y27+Inputs!$F$36,0)</f>
        <v>93.5</v>
      </c>
      <c r="Z28" s="11" t="n">
        <f aca="false">IF(Time!Z25&gt;0,Z27+Inputs!$F$36,0)</f>
        <v>92.9</v>
      </c>
      <c r="AA28" s="11" t="n">
        <f aca="false">IF(Time!AA25&gt;0,AA27+Inputs!$F$36,0)</f>
        <v>93.2</v>
      </c>
      <c r="AB28" s="11" t="n">
        <f aca="false">IF(Time!AB25&gt;0,AB27+Inputs!$F$36,0)</f>
        <v>93.8</v>
      </c>
      <c r="AC28" s="11" t="n">
        <f aca="false">IF(Time!AC25&gt;0,AC27+Inputs!$F$36,0)</f>
        <v>92.1</v>
      </c>
      <c r="AD28" s="11" t="n">
        <f aca="false">IF(Time!AD25&gt;0,AD27+Inputs!$F$36,0)</f>
        <v>88.7</v>
      </c>
      <c r="AE28" s="11" t="n">
        <f aca="false">IF(Time!AE25&gt;0,AE27+Inputs!$F$36,0)</f>
        <v>90.4</v>
      </c>
      <c r="AF28" s="11" t="n">
        <f aca="false">IF(Time!AF25&gt;0,AF27+Inputs!$F$36,0)</f>
        <v>93.8</v>
      </c>
      <c r="AG28" s="11" t="n">
        <f aca="false">IF(Time!AG25&gt;0,AG27+Inputs!$F$36,0)</f>
        <v>93.5</v>
      </c>
      <c r="AH28" s="11" t="n">
        <f aca="false">IF(Time!AH25&gt;0,AH27+Inputs!$F$36,0)</f>
        <v>92.9</v>
      </c>
      <c r="AI28" s="11" t="n">
        <f aca="false">IF(Time!AI25&gt;0,AI27+Inputs!$F$36,0)</f>
        <v>93.2</v>
      </c>
      <c r="AJ28" s="11" t="n">
        <f aca="false">IF(Time!AJ25&gt;0,AJ27+Inputs!$F$36,0)</f>
        <v>93.8</v>
      </c>
      <c r="AK28" s="11" t="n">
        <f aca="false">IF(Time!AK25&gt;0,AK27+Inputs!$F$36,0)</f>
        <v>92.7333333333333</v>
      </c>
      <c r="AL28" s="11" t="n">
        <f aca="false">IF(Time!AL25&gt;0,AL27+Inputs!$F$36,0)</f>
        <v>90.6</v>
      </c>
      <c r="AM28" s="11" t="n">
        <f aca="false">IF(Time!AM25&gt;0,AM27+Inputs!$F$36,0)</f>
        <v>91.6666666666667</v>
      </c>
      <c r="AN28" s="11" t="n">
        <f aca="false">IF(Time!AN25&gt;0,AN27+Inputs!$F$36,0)</f>
        <v>93.8</v>
      </c>
      <c r="AO28" s="11" t="n">
        <f aca="false">IF(Time!AO25&gt;0,AO27+Inputs!$F$36,0)</f>
        <v>93.5</v>
      </c>
      <c r="AP28" s="11" t="n">
        <f aca="false">IF(Time!AP25&gt;0,AP27+Inputs!$F$36,0)</f>
        <v>92.9</v>
      </c>
      <c r="AQ28" s="11" t="n">
        <f aca="false">IF(Time!AQ25&gt;0,AQ27+Inputs!$F$36,0)</f>
        <v>93.2</v>
      </c>
      <c r="AR28" s="11" t="n">
        <f aca="false">IF(Time!AR25&gt;0,AR27+Inputs!$F$36,0)</f>
        <v>93.8</v>
      </c>
      <c r="AS28" s="11" t="n">
        <f aca="false">IF(Time!AS25&gt;0,AS27+Inputs!$F$36,0)</f>
        <v>92.1</v>
      </c>
      <c r="AT28" s="11" t="n">
        <f aca="false">IF(Time!AT25&gt;0,AT27+Inputs!$F$36,0)</f>
        <v>88.7</v>
      </c>
      <c r="AU28" s="11" t="n">
        <f aca="false">IF(Time!AU25&gt;0,AU27+Inputs!$F$36,0)</f>
        <v>90.4</v>
      </c>
      <c r="AV28" s="11" t="n">
        <f aca="false">IF(Time!AV25&gt;0,AV27+Inputs!$F$36,0)</f>
        <v>93.8</v>
      </c>
      <c r="AW28" s="11" t="n">
        <f aca="false">IF(Time!AW25&gt;0,AW27+Inputs!$F$36,0)</f>
        <v>93.5</v>
      </c>
      <c r="AX28" s="11" t="n">
        <f aca="false">IF(Time!AX25&gt;0,AX27+Inputs!$F$36,0)</f>
        <v>92.9</v>
      </c>
      <c r="AY28" s="11" t="n">
        <f aca="false">IF(Time!AY25&gt;0,AY27+Inputs!$F$36,0)</f>
        <v>93.2</v>
      </c>
      <c r="AZ28" s="11" t="n">
        <f aca="false">IF(Time!AZ25&gt;0,AZ27+Inputs!$F$36,0)</f>
        <v>93.8</v>
      </c>
      <c r="BA28" s="11" t="n">
        <f aca="false">IF(Time!BA25&gt;0,BA27+Inputs!$F$36,0)</f>
        <v>92.7333333333333</v>
      </c>
      <c r="BB28" s="11" t="n">
        <f aca="false">IF(Time!BB25&gt;0,BB27+Inputs!$F$36,0)</f>
        <v>90.6</v>
      </c>
      <c r="BC28" s="11" t="n">
        <f aca="false">IF(Time!BC25&gt;0,BC27+Inputs!$F$36,0)</f>
        <v>91.6666666666667</v>
      </c>
      <c r="BD28" s="11" t="n">
        <f aca="false">IF(Time!BD25&gt;0,BD27+Inputs!$F$36,0)</f>
        <v>93.8</v>
      </c>
      <c r="BE28" s="11" t="n">
        <f aca="false">IF(Time!BE25&gt;0,BE27+Inputs!$F$36,0)</f>
        <v>93.5</v>
      </c>
      <c r="BF28" s="11" t="n">
        <f aca="false">IF(Time!BF25&gt;0,BF27+Inputs!$F$36,0)</f>
        <v>92.9</v>
      </c>
      <c r="BG28" s="11" t="n">
        <f aca="false">IF(Time!BG25&gt;0,BG27+Inputs!$F$36,0)</f>
        <v>93.2</v>
      </c>
      <c r="BH28" s="11" t="n">
        <f aca="false">IF(Time!BH25&gt;0,BH27+Inputs!$F$36,0)</f>
        <v>93.8</v>
      </c>
      <c r="BI28" s="11" t="n">
        <f aca="false">IF(Time!BI25&gt;0,BI27+Inputs!$F$36,0)</f>
        <v>92.1</v>
      </c>
      <c r="BJ28" s="11" t="n">
        <f aca="false">IF(Time!BJ25&gt;0,BJ27+Inputs!$F$36,0)</f>
        <v>88.7</v>
      </c>
      <c r="BK28" s="11" t="n">
        <f aca="false">IF(Time!BK25&gt;0,BK27+Inputs!$F$36,0)</f>
        <v>90.4</v>
      </c>
      <c r="BL28" s="11" t="n">
        <f aca="false">IF(Time!BL25&gt;0,BL27+Inputs!$F$36,0)</f>
        <v>93.8</v>
      </c>
      <c r="BM28" s="11" t="n">
        <f aca="false">IF(Time!BM25&gt;0,BM27+Inputs!$F$36,0)</f>
        <v>93.8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610197.884664083</v>
      </c>
      <c r="P33" s="13" t="n">
        <f aca="false">$F$30*730*Time!P25*P28/100*Inputs!$F$37/100*P32</f>
        <v>1829678.24273885</v>
      </c>
      <c r="Q33" s="13" t="n">
        <f aca="false">$F$30*730*Time!Q25*Q28/100*Inputs!$F$37/100*Q32</f>
        <v>1822457.66810013</v>
      </c>
      <c r="R33" s="13" t="n">
        <f aca="false">$F$30*730*Time!R25*R28/100*Inputs!$F$37/100*R32</f>
        <v>1809402.81059825</v>
      </c>
      <c r="S33" s="13" t="n">
        <f aca="false">$F$30*730*Time!S25*S28/100*Inputs!$F$37/100*S32</f>
        <v>1813881.54310857</v>
      </c>
      <c r="T33" s="13" t="n">
        <f aca="false">$F$30*730*Time!T25*T28/100*Inputs!$F$37/100*T32</f>
        <v>1824185.77521843</v>
      </c>
      <c r="U33" s="13" t="n">
        <f aca="false">$F$30*730*Time!U25*U28/100*Inputs!$F$37/100*U32</f>
        <v>1802084.15618238</v>
      </c>
      <c r="V33" s="13" t="n">
        <f aca="false">$F$30*730*Time!V25*V28/100*Inputs!$F$37/100*V32</f>
        <v>1759300.87906306</v>
      </c>
      <c r="W33" s="13" t="n">
        <f aca="false">$F$30*730*Time!W25*W28/100*Inputs!$F$37/100*W32</f>
        <v>1778671.87902979</v>
      </c>
      <c r="X33" s="13" t="n">
        <f aca="false">$F$30*730*Time!X25*X28/100*Inputs!$F$37/100*X32</f>
        <v>1818693.30769801</v>
      </c>
      <c r="Y33" s="13" t="n">
        <f aca="false">$F$30*730*Time!Y25*Y28/100*Inputs!$F$37/100*Y32</f>
        <v>1811507.8661138</v>
      </c>
      <c r="Z33" s="13" t="n">
        <f aca="false">$F$30*730*Time!Z25*Z28/100*Inputs!$F$37/100*Z32</f>
        <v>1798523.27472092</v>
      </c>
      <c r="AA33" s="13" t="n">
        <f aca="false">$F$30*730*Time!AA25*AA28/100*Inputs!$F$37/100*AA32</f>
        <v>1802966.87417673</v>
      </c>
      <c r="AB33" s="13" t="n">
        <f aca="false">$F$30*730*Time!AB25*AB28/100*Inputs!$F$37/100*AB32</f>
        <v>1813200.8401776</v>
      </c>
      <c r="AC33" s="13" t="n">
        <f aca="false">$F$30*730*Time!AC25*AC28/100*Inputs!$F$37/100*AC32</f>
        <v>1778990.7602953</v>
      </c>
      <c r="AD33" s="13" t="n">
        <f aca="false">$F$30*730*Time!AD25*AD28/100*Inputs!$F$37/100*AD32</f>
        <v>1712018.37515162</v>
      </c>
      <c r="AE33" s="13" t="n">
        <f aca="false">$F$30*730*Time!AE25*AE28/100*Inputs!$F$37/100*AE32</f>
        <v>1743507.10718732</v>
      </c>
      <c r="AF33" s="13" t="n">
        <f aca="false">$F$30*730*Time!AF25*AF28/100*Inputs!$F$37/100*AF32</f>
        <v>1807708.37265718</v>
      </c>
      <c r="AG33" s="13" t="n">
        <f aca="false">$F$30*730*Time!AG25*AG28/100*Inputs!$F$37/100*AG32</f>
        <v>1800558.06412747</v>
      </c>
      <c r="AH33" s="13" t="n">
        <f aca="false">$F$30*730*Time!AH25*AH28/100*Inputs!$F$37/100*AH32</f>
        <v>1787643.73884359</v>
      </c>
      <c r="AI33" s="13" t="n">
        <f aca="false">$F$30*730*Time!AI25*AI28/100*Inputs!$F$37/100*AI32</f>
        <v>1792052.2052449</v>
      </c>
      <c r="AJ33" s="13" t="n">
        <f aca="false">$F$30*730*Time!AJ25*AJ28/100*Inputs!$F$37/100*AJ32</f>
        <v>1802215.90513676</v>
      </c>
      <c r="AK33" s="13" t="n">
        <f aca="false">$F$30*730*Time!AK25*AK28/100*Inputs!$F$37/100*AK32</f>
        <v>1780364.12115495</v>
      </c>
      <c r="AL33" s="13" t="n">
        <f aca="false">$F$30*730*Time!AL25*AL28/100*Inputs!$F$37/100*AL32</f>
        <v>1738080.51414409</v>
      </c>
      <c r="AM33" s="13" t="n">
        <f aca="false">$F$30*730*Time!AM25*AM28/100*Inputs!$F$37/100*AM32</f>
        <v>1757201.67905659</v>
      </c>
      <c r="AN33" s="13" t="n">
        <f aca="false">$F$30*730*Time!AN25*AN28/100*Inputs!$F$37/100*AN32</f>
        <v>1796723.43761635</v>
      </c>
      <c r="AO33" s="13" t="n">
        <f aca="false">$F$30*730*Time!AO25*AO28/100*Inputs!$F$37/100*AO32</f>
        <v>1789608.26214114</v>
      </c>
      <c r="AP33" s="13" t="n">
        <f aca="false">$F$30*730*Time!AP25*AP28/100*Inputs!$F$37/100*AP32</f>
        <v>1776764.20296626</v>
      </c>
      <c r="AQ33" s="13" t="n">
        <f aca="false">$F$30*730*Time!AQ25*AQ28/100*Inputs!$F$37/100*AQ32</f>
        <v>1781137.53631307</v>
      </c>
      <c r="AR33" s="13" t="n">
        <f aca="false">$F$30*730*Time!AR25*AR28/100*Inputs!$F$37/100*AR32</f>
        <v>1791230.97009593</v>
      </c>
      <c r="AS33" s="13" t="n">
        <f aca="false">$F$30*730*Time!AS25*AS28/100*Inputs!$F$37/100*AS32</f>
        <v>1757419.06483132</v>
      </c>
      <c r="AT33" s="13" t="n">
        <f aca="false">$F$30*730*Time!AT25*AT28/100*Inputs!$F$37/100*AT32</f>
        <v>1691243.02892301</v>
      </c>
      <c r="AU33" s="13" t="n">
        <f aca="false">$F$30*730*Time!AU25*AU28/100*Inputs!$F$37/100*AU32</f>
        <v>1722333.58634102</v>
      </c>
      <c r="AV33" s="13" t="n">
        <f aca="false">$F$30*730*Time!AV25*AV28/100*Inputs!$F$37/100*AV32</f>
        <v>1785738.50257551</v>
      </c>
      <c r="AW33" s="13" t="n">
        <f aca="false">$F$30*730*Time!AW25*AW28/100*Inputs!$F$37/100*AW32</f>
        <v>1778658.4601548</v>
      </c>
      <c r="AX33" s="13" t="n">
        <f aca="false">$F$30*730*Time!AX25*AX28/100*Inputs!$F$37/100*AX32</f>
        <v>1765884.66708893</v>
      </c>
      <c r="AY33" s="13" t="n">
        <f aca="false">$F$30*730*Time!AY25*AY28/100*Inputs!$F$37/100*AY32</f>
        <v>1770222.86738124</v>
      </c>
      <c r="AZ33" s="13" t="n">
        <f aca="false">$F$30*730*Time!AZ25*AZ28/100*Inputs!$F$37/100*AZ32</f>
        <v>1780246.0350551</v>
      </c>
      <c r="BA33" s="13" t="n">
        <f aca="false">$F$30*730*Time!BA25*BA28/100*Inputs!$F$37/100*BA32</f>
        <v>1758644.08612751</v>
      </c>
      <c r="BB33" s="13" t="n">
        <f aca="false">$F$30*730*Time!BB25*BB28/100*Inputs!$F$37/100*BB32</f>
        <v>1716860.14922513</v>
      </c>
      <c r="BC33" s="13" t="n">
        <f aca="false">$F$30*730*Time!BC25*BC28/100*Inputs!$F$37/100*BC32</f>
        <v>1735731.47908339</v>
      </c>
      <c r="BD33" s="13" t="n">
        <f aca="false">$F$30*730*Time!BD25*BD28/100*Inputs!$F$37/100*BD32</f>
        <v>1774753.56753468</v>
      </c>
      <c r="BE33" s="13" t="n">
        <f aca="false">$F$30*730*Time!BE25*BE28/100*Inputs!$F$37/100*BE32</f>
        <v>1767708.65816847</v>
      </c>
      <c r="BF33" s="13" t="n">
        <f aca="false">$F$30*730*Time!BF25*BF28/100*Inputs!$F$37/100*BF32</f>
        <v>1755005.1312116</v>
      </c>
      <c r="BG33" s="13" t="n">
        <f aca="false">$F$30*730*Time!BG25*BG28/100*Inputs!$F$37/100*BG32</f>
        <v>1759308.19844941</v>
      </c>
      <c r="BH33" s="13" t="n">
        <f aca="false">$F$30*730*Time!BH25*BH28/100*Inputs!$F$37/100*BH32</f>
        <v>1769261.10001426</v>
      </c>
      <c r="BI33" s="13" t="n">
        <f aca="false">$F$30*730*Time!BI25*BI28/100*Inputs!$F$37/100*BI32</f>
        <v>1735847.36936733</v>
      </c>
      <c r="BJ33" s="13" t="n">
        <f aca="false">$F$30*730*Time!BJ25*BJ28/100*Inputs!$F$37/100*BJ32</f>
        <v>1670467.6826944</v>
      </c>
      <c r="BK33" s="13" t="n">
        <f aca="false">$F$30*730*Time!BK25*BK28/100*Inputs!$F$37/100*BK32</f>
        <v>1701160.06549472</v>
      </c>
      <c r="BL33" s="13" t="n">
        <f aca="false">$F$30*730*Time!BL25*BL28/100*Inputs!$F$37/100*BL32</f>
        <v>1763768.63249384</v>
      </c>
      <c r="BM33" s="13" t="n">
        <f aca="false">$F$30*730*Time!BM25*BM28/100*Inputs!$F$37/100*BM32</f>
        <v>1175082.91228473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6456.243024</v>
      </c>
      <c r="K34" s="11" t="n">
        <f aca="false">$F$31*(1+Inputs!$F$125/100*K29)*(1+Inputs!$F$126/100)*(1+Inputs!$F$120/100)*Inputs!$F$38</f>
        <v>6456.243024</v>
      </c>
      <c r="L34" s="11" t="n">
        <f aca="false">$F$31*(1+Inputs!$F$125/100*L29)*(1+Inputs!$F$126/100)*(1+Inputs!$F$120/100)*Inputs!$F$38</f>
        <v>6456.243024</v>
      </c>
      <c r="M34" s="11" t="n">
        <f aca="false">$F$31*(1+Inputs!$F$125/100*M29)*(1+Inputs!$F$126/100)*(1+Inputs!$F$120/100)*Inputs!$F$38</f>
        <v>6456.243024</v>
      </c>
      <c r="N34" s="11" t="n">
        <f aca="false">$F$31*(1+Inputs!$F$125/100*N29)*(1+Inputs!$F$126/100)*(1+Inputs!$F$120/100)*Inputs!$F$38</f>
        <v>6456.243024</v>
      </c>
      <c r="O34" s="11" t="n">
        <f aca="false">$F$31*(1+Inputs!$F$125/100*O29)*(1+Inputs!$F$126/100)*(1+Inputs!$F$120/100)*Inputs!$F$38</f>
        <v>6456.8886483024</v>
      </c>
      <c r="P34" s="11" t="n">
        <f aca="false">$F$31*(1+Inputs!$F$125/100*P29)*(1+Inputs!$F$126/100)*(1+Inputs!$F$120/100)*Inputs!$F$38</f>
        <v>6459.471145512</v>
      </c>
      <c r="Q34" s="11" t="n">
        <f aca="false">$F$31*(1+Inputs!$F$125/100*Q29)*(1+Inputs!$F$126/100)*(1+Inputs!$F$120/100)*Inputs!$F$38</f>
        <v>6463.3448913264</v>
      </c>
      <c r="R34" s="11" t="n">
        <f aca="false">$F$31*(1+Inputs!$F$125/100*R29)*(1+Inputs!$F$126/100)*(1+Inputs!$F$120/100)*Inputs!$F$38</f>
        <v>6467.2186371408</v>
      </c>
      <c r="S34" s="11" t="n">
        <f aca="false">$F$31*(1+Inputs!$F$125/100*S29)*(1+Inputs!$F$126/100)*(1+Inputs!$F$120/100)*Inputs!$F$38</f>
        <v>6471.0923829552</v>
      </c>
      <c r="T34" s="11" t="n">
        <f aca="false">$F$31*(1+Inputs!$F$125/100*T29)*(1+Inputs!$F$126/100)*(1+Inputs!$F$120/100)*Inputs!$F$38</f>
        <v>6474.9661287696</v>
      </c>
      <c r="U34" s="11" t="n">
        <f aca="false">$F$31*(1+Inputs!$F$125/100*U29)*(1+Inputs!$F$126/100)*(1+Inputs!$F$120/100)*Inputs!$F$38</f>
        <v>6478.839874584</v>
      </c>
      <c r="V34" s="11" t="n">
        <f aca="false">$F$31*(1+Inputs!$F$125/100*V29)*(1+Inputs!$F$126/100)*(1+Inputs!$F$120/100)*Inputs!$F$38</f>
        <v>6482.7136203984</v>
      </c>
      <c r="W34" s="11" t="n">
        <f aca="false">$F$31*(1+Inputs!$F$125/100*W29)*(1+Inputs!$F$126/100)*(1+Inputs!$F$120/100)*Inputs!$F$38</f>
        <v>6486.5873662128</v>
      </c>
      <c r="X34" s="11" t="n">
        <f aca="false">$F$31*(1+Inputs!$F$125/100*X29)*(1+Inputs!$F$126/100)*(1+Inputs!$F$120/100)*Inputs!$F$38</f>
        <v>6490.4611120272</v>
      </c>
      <c r="Y34" s="11" t="n">
        <f aca="false">$F$31*(1+Inputs!$F$125/100*Y29)*(1+Inputs!$F$126/100)*(1+Inputs!$F$120/100)*Inputs!$F$38</f>
        <v>6494.3348578416</v>
      </c>
      <c r="Z34" s="11" t="n">
        <f aca="false">$F$31*(1+Inputs!$F$125/100*Z29)*(1+Inputs!$F$126/100)*(1+Inputs!$F$120/100)*Inputs!$F$38</f>
        <v>6498.208603656</v>
      </c>
      <c r="AA34" s="11" t="n">
        <f aca="false">$F$31*(1+Inputs!$F$125/100*AA29)*(1+Inputs!$F$126/100)*(1+Inputs!$F$120/100)*Inputs!$F$38</f>
        <v>6502.0823494704</v>
      </c>
      <c r="AB34" s="11" t="n">
        <f aca="false">$F$31*(1+Inputs!$F$125/100*AB29)*(1+Inputs!$F$126/100)*(1+Inputs!$F$120/100)*Inputs!$F$38</f>
        <v>6505.9560952848</v>
      </c>
      <c r="AC34" s="11" t="n">
        <f aca="false">$F$31*(1+Inputs!$F$125/100*AC29)*(1+Inputs!$F$126/100)*(1+Inputs!$F$120/100)*Inputs!$F$38</f>
        <v>6509.8298410992</v>
      </c>
      <c r="AD34" s="11" t="n">
        <f aca="false">$F$31*(1+Inputs!$F$125/100*AD29)*(1+Inputs!$F$126/100)*(1+Inputs!$F$120/100)*Inputs!$F$38</f>
        <v>6513.7035869136</v>
      </c>
      <c r="AE34" s="11" t="n">
        <f aca="false">$F$31*(1+Inputs!$F$125/100*AE29)*(1+Inputs!$F$126/100)*(1+Inputs!$F$120/100)*Inputs!$F$38</f>
        <v>6517.577332728</v>
      </c>
      <c r="AF34" s="11" t="n">
        <f aca="false">$F$31*(1+Inputs!$F$125/100*AF29)*(1+Inputs!$F$126/100)*(1+Inputs!$F$120/100)*Inputs!$F$38</f>
        <v>6521.4510785424</v>
      </c>
      <c r="AG34" s="11" t="n">
        <f aca="false">$F$31*(1+Inputs!$F$125/100*AG29)*(1+Inputs!$F$126/100)*(1+Inputs!$F$120/100)*Inputs!$F$38</f>
        <v>6525.3248243568</v>
      </c>
      <c r="AH34" s="11" t="n">
        <f aca="false">$F$31*(1+Inputs!$F$125/100*AH29)*(1+Inputs!$F$126/100)*(1+Inputs!$F$120/100)*Inputs!$F$38</f>
        <v>6529.1985701712</v>
      </c>
      <c r="AI34" s="11" t="n">
        <f aca="false">$F$31*(1+Inputs!$F$125/100*AI29)*(1+Inputs!$F$126/100)*(1+Inputs!$F$120/100)*Inputs!$F$38</f>
        <v>6533.0723159856</v>
      </c>
      <c r="AJ34" s="11" t="n">
        <f aca="false">$F$31*(1+Inputs!$F$125/100*AJ29)*(1+Inputs!$F$126/100)*(1+Inputs!$F$120/100)*Inputs!$F$38</f>
        <v>6536.9460618</v>
      </c>
      <c r="AK34" s="11" t="n">
        <f aca="false">$F$31*(1+Inputs!$F$125/100*AK29)*(1+Inputs!$F$126/100)*(1+Inputs!$F$120/100)*Inputs!$F$38</f>
        <v>6540.8198076144</v>
      </c>
      <c r="AL34" s="11" t="n">
        <f aca="false">$F$31*(1+Inputs!$F$125/100*AL29)*(1+Inputs!$F$126/100)*(1+Inputs!$F$120/100)*Inputs!$F$38</f>
        <v>6544.6935534288</v>
      </c>
      <c r="AM34" s="11" t="n">
        <f aca="false">$F$31*(1+Inputs!$F$125/100*AM29)*(1+Inputs!$F$126/100)*(1+Inputs!$F$120/100)*Inputs!$F$38</f>
        <v>6548.5672992432</v>
      </c>
      <c r="AN34" s="11" t="n">
        <f aca="false">$F$31*(1+Inputs!$F$125/100*AN29)*(1+Inputs!$F$126/100)*(1+Inputs!$F$120/100)*Inputs!$F$38</f>
        <v>6552.4410450576</v>
      </c>
      <c r="AO34" s="11" t="n">
        <f aca="false">$F$31*(1+Inputs!$F$125/100*AO29)*(1+Inputs!$F$126/100)*(1+Inputs!$F$120/100)*Inputs!$F$38</f>
        <v>6556.314790872</v>
      </c>
      <c r="AP34" s="11" t="n">
        <f aca="false">$F$31*(1+Inputs!$F$125/100*AP29)*(1+Inputs!$F$126/100)*(1+Inputs!$F$120/100)*Inputs!$F$38</f>
        <v>6560.1885366864</v>
      </c>
      <c r="AQ34" s="11" t="n">
        <f aca="false">$F$31*(1+Inputs!$F$125/100*AQ29)*(1+Inputs!$F$126/100)*(1+Inputs!$F$120/100)*Inputs!$F$38</f>
        <v>6564.0622825008</v>
      </c>
      <c r="AR34" s="11" t="n">
        <f aca="false">$F$31*(1+Inputs!$F$125/100*AR29)*(1+Inputs!$F$126/100)*(1+Inputs!$F$120/100)*Inputs!$F$38</f>
        <v>6567.9360283152</v>
      </c>
      <c r="AS34" s="11" t="n">
        <f aca="false">$F$31*(1+Inputs!$F$125/100*AS29)*(1+Inputs!$F$126/100)*(1+Inputs!$F$120/100)*Inputs!$F$38</f>
        <v>6571.8097741296</v>
      </c>
      <c r="AT34" s="11" t="n">
        <f aca="false">$F$31*(1+Inputs!$F$125/100*AT29)*(1+Inputs!$F$126/100)*(1+Inputs!$F$120/100)*Inputs!$F$38</f>
        <v>6575.683519944</v>
      </c>
      <c r="AU34" s="11" t="n">
        <f aca="false">$F$31*(1+Inputs!$F$125/100*AU29)*(1+Inputs!$F$126/100)*(1+Inputs!$F$120/100)*Inputs!$F$38</f>
        <v>6579.5572657584</v>
      </c>
      <c r="AV34" s="11" t="n">
        <f aca="false">$F$31*(1+Inputs!$F$125/100*AV29)*(1+Inputs!$F$126/100)*(1+Inputs!$F$120/100)*Inputs!$F$38</f>
        <v>6583.4310115728</v>
      </c>
      <c r="AW34" s="11" t="n">
        <f aca="false">$F$31*(1+Inputs!$F$125/100*AW29)*(1+Inputs!$F$126/100)*(1+Inputs!$F$120/100)*Inputs!$F$38</f>
        <v>6587.3047573872</v>
      </c>
      <c r="AX34" s="11" t="n">
        <f aca="false">$F$31*(1+Inputs!$F$125/100*AX29)*(1+Inputs!$F$126/100)*(1+Inputs!$F$120/100)*Inputs!$F$38</f>
        <v>6591.1785032016</v>
      </c>
      <c r="AY34" s="11" t="n">
        <f aca="false">$F$31*(1+Inputs!$F$125/100*AY29)*(1+Inputs!$F$126/100)*(1+Inputs!$F$120/100)*Inputs!$F$38</f>
        <v>6595.052249016</v>
      </c>
      <c r="AZ34" s="11" t="n">
        <f aca="false">$F$31*(1+Inputs!$F$125/100*AZ29)*(1+Inputs!$F$126/100)*(1+Inputs!$F$120/100)*Inputs!$F$38</f>
        <v>6598.9259948304</v>
      </c>
      <c r="BA34" s="11" t="n">
        <f aca="false">$F$31*(1+Inputs!$F$125/100*BA29)*(1+Inputs!$F$126/100)*(1+Inputs!$F$120/100)*Inputs!$F$38</f>
        <v>6602.7997406448</v>
      </c>
      <c r="BB34" s="11" t="n">
        <f aca="false">$F$31*(1+Inputs!$F$125/100*BB29)*(1+Inputs!$F$126/100)*(1+Inputs!$F$120/100)*Inputs!$F$38</f>
        <v>6606.6734864592</v>
      </c>
      <c r="BC34" s="11" t="n">
        <f aca="false">$F$31*(1+Inputs!$F$125/100*BC29)*(1+Inputs!$F$126/100)*(1+Inputs!$F$120/100)*Inputs!$F$38</f>
        <v>6610.5472322736</v>
      </c>
      <c r="BD34" s="11" t="n">
        <f aca="false">$F$31*(1+Inputs!$F$125/100*BD29)*(1+Inputs!$F$126/100)*(1+Inputs!$F$120/100)*Inputs!$F$38</f>
        <v>6614.420978088</v>
      </c>
      <c r="BE34" s="11" t="n">
        <f aca="false">$F$31*(1+Inputs!$F$125/100*BE29)*(1+Inputs!$F$126/100)*(1+Inputs!$F$120/100)*Inputs!$F$38</f>
        <v>6618.2947239024</v>
      </c>
      <c r="BF34" s="11" t="n">
        <f aca="false">$F$31*(1+Inputs!$F$125/100*BF29)*(1+Inputs!$F$126/100)*(1+Inputs!$F$120/100)*Inputs!$F$38</f>
        <v>6622.1684697168</v>
      </c>
      <c r="BG34" s="11" t="n">
        <f aca="false">$F$31*(1+Inputs!$F$125/100*BG29)*(1+Inputs!$F$126/100)*(1+Inputs!$F$120/100)*Inputs!$F$38</f>
        <v>6626.0422155312</v>
      </c>
      <c r="BH34" s="11" t="n">
        <f aca="false">$F$31*(1+Inputs!$F$125/100*BH29)*(1+Inputs!$F$126/100)*(1+Inputs!$F$120/100)*Inputs!$F$38</f>
        <v>6629.9159613456</v>
      </c>
      <c r="BI34" s="11" t="n">
        <f aca="false">$F$31*(1+Inputs!$F$125/100*BI29)*(1+Inputs!$F$126/100)*(1+Inputs!$F$120/100)*Inputs!$F$38</f>
        <v>6633.78970716</v>
      </c>
      <c r="BJ34" s="11" t="n">
        <f aca="false">$F$31*(1+Inputs!$F$125/100*BJ29)*(1+Inputs!$F$126/100)*(1+Inputs!$F$120/100)*Inputs!$F$38</f>
        <v>6637.6634529744</v>
      </c>
      <c r="BK34" s="11" t="n">
        <f aca="false">$F$31*(1+Inputs!$F$125/100*BK29)*(1+Inputs!$F$126/100)*(1+Inputs!$F$120/100)*Inputs!$F$38</f>
        <v>6641.5371987888</v>
      </c>
      <c r="BL34" s="11" t="n">
        <f aca="false">$F$31*(1+Inputs!$F$125/100*BL29)*(1+Inputs!$F$126/100)*(1+Inputs!$F$120/100)*Inputs!$F$38</f>
        <v>6645.4109446032</v>
      </c>
      <c r="BM34" s="11" t="n">
        <f aca="false">$F$31*(1+Inputs!$F$125/100*BM29)*(1+Inputs!$F$126/100)*(1+Inputs!$F$120/100)*Inputs!$F$38</f>
        <v>6648.6390661152</v>
      </c>
      <c r="BN34" s="11" t="n">
        <f aca="false">$F$31*(1+Inputs!$F$125/100*BN29)*(1+Inputs!$F$126/100)*(1+Inputs!$F$120/100)*Inputs!$F$38</f>
        <v>6456.243024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4137692.79785515</v>
      </c>
      <c r="P37" s="13" t="n">
        <f aca="false">P33*P34*(1000*Inputs!$F$121/Inputs!$F$122)</f>
        <v>12411833.3306604</v>
      </c>
      <c r="Q37" s="13" t="n">
        <f aca="false">Q33*Q34*(1000*Inputs!$F$121/Inputs!$F$122)</f>
        <v>12370265.7340664</v>
      </c>
      <c r="R37" s="13" t="n">
        <f aca="false">R33*R34*(1000*Inputs!$F$121/Inputs!$F$122)</f>
        <v>12289014.3890996</v>
      </c>
      <c r="S37" s="13" t="n">
        <f aca="false">S33*S34*(1000*Inputs!$F$121/Inputs!$F$122)</f>
        <v>12326811.9428824</v>
      </c>
      <c r="T37" s="13" t="n">
        <f aca="false">T33*T34*(1000*Inputs!$F$121/Inputs!$F$122)</f>
        <v>12404258.6807638</v>
      </c>
      <c r="U37" s="13" t="n">
        <f aca="false">U33*U34*(1000*Inputs!$F$121/Inputs!$F$122)</f>
        <v>12261301.2719524</v>
      </c>
      <c r="V37" s="13" t="n">
        <f aca="false">V33*V34*(1000*Inputs!$F$121/Inputs!$F$122)</f>
        <v>11977362.8114126</v>
      </c>
      <c r="W37" s="13" t="n">
        <f aca="false">W33*W34*(1000*Inputs!$F$121/Inputs!$F$122)</f>
        <v>12116476.923861</v>
      </c>
      <c r="X37" s="13" t="n">
        <f aca="false">X33*X34*(1000*Inputs!$F$121/Inputs!$F$122)</f>
        <v>12396505.2780672</v>
      </c>
      <c r="Y37" s="13" t="n">
        <f aca="false">Y33*Y34*(1000*Inputs!$F$121/Inputs!$F$122)</f>
        <v>12354897.6145475</v>
      </c>
      <c r="Z37" s="13" t="n">
        <f aca="false">Z33*Z34*(1000*Inputs!$F$121/Inputs!$F$122)</f>
        <v>12273656.3696857</v>
      </c>
      <c r="AA37" s="13" t="n">
        <f aca="false">AA33*AA34*(1000*Inputs!$F$121/Inputs!$F$122)</f>
        <v>12311315.5234461</v>
      </c>
      <c r="AB37" s="13" t="n">
        <f aca="false">AB33*AB34*(1000*Inputs!$F$121/Inputs!$F$122)</f>
        <v>12388573.1225706</v>
      </c>
      <c r="AC37" s="13" t="n">
        <f aca="false">AC33*AC34*(1000*Inputs!$F$121/Inputs!$F$122)</f>
        <v>12162072.2211507</v>
      </c>
      <c r="AD37" s="13" t="n">
        <f aca="false">AD33*AD34*(1000*Inputs!$F$121/Inputs!$F$122)</f>
        <v>11711180.1610953</v>
      </c>
      <c r="AE37" s="13" t="n">
        <f aca="false">AE33*AE34*(1000*Inputs!$F$121/Inputs!$F$122)</f>
        <v>11933673.8339858</v>
      </c>
      <c r="AF37" s="13" t="n">
        <f aca="false">AF33*AF34*(1000*Inputs!$F$121/Inputs!$F$122)</f>
        <v>12380462.2142742</v>
      </c>
      <c r="AG37" s="13" t="n">
        <f aca="false">AG33*AG34*(1000*Inputs!$F$121/Inputs!$F$122)</f>
        <v>12338816.7706452</v>
      </c>
      <c r="AH37" s="13" t="n">
        <f aca="false">AH33*AH34*(1000*Inputs!$F$121/Inputs!$F$122)</f>
        <v>12257590.1995206</v>
      </c>
      <c r="AI37" s="13" t="n">
        <f aca="false">AI33*AI34*(1000*Inputs!$F$121/Inputs!$F$122)</f>
        <v>12295108.6664425</v>
      </c>
      <c r="AJ37" s="13" t="n">
        <f aca="false">AJ33*AJ34*(1000*Inputs!$F$121/Inputs!$F$122)</f>
        <v>12372172.5531778</v>
      </c>
      <c r="AK37" s="13" t="n">
        <f aca="false">AK33*AK34*(1000*Inputs!$F$121/Inputs!$F$122)</f>
        <v>12229403.2985218</v>
      </c>
      <c r="AL37" s="13" t="n">
        <f aca="false">AL33*AL34*(1000*Inputs!$F$121/Inputs!$F$122)</f>
        <v>11946025.9972694</v>
      </c>
      <c r="AM37" s="13" t="n">
        <f aca="false">AM33*AM34*(1000*Inputs!$F$121/Inputs!$F$122)</f>
        <v>12084596.482688</v>
      </c>
      <c r="AN37" s="13" t="n">
        <f aca="false">AN33*AN34*(1000*Inputs!$F$121/Inputs!$F$122)</f>
        <v>12363704.1392815</v>
      </c>
      <c r="AO37" s="13" t="n">
        <f aca="false">AO33*AO34*(1000*Inputs!$F$121/Inputs!$F$122)</f>
        <v>12322023.2023594</v>
      </c>
      <c r="AP37" s="13" t="n">
        <f aca="false">AP33*AP34*(1000*Inputs!$F$121/Inputs!$F$122)</f>
        <v>12240815.8786045</v>
      </c>
      <c r="AQ37" s="13" t="n">
        <f aca="false">AQ33*AQ34*(1000*Inputs!$F$121/Inputs!$F$122)</f>
        <v>12278191.3718717</v>
      </c>
      <c r="AR37" s="13" t="n">
        <f aca="false">AR33*AR34*(1000*Inputs!$F$121/Inputs!$F$122)</f>
        <v>12355056.9725853</v>
      </c>
      <c r="AS37" s="13" t="n">
        <f aca="false">AS33*AS34*(1000*Inputs!$F$121/Inputs!$F$122)</f>
        <v>12128987.9935759</v>
      </c>
      <c r="AT37" s="13" t="n">
        <f aca="false">AT33*AT34*(1000*Inputs!$F$121/Inputs!$F$122)</f>
        <v>11679148.2501102</v>
      </c>
      <c r="AU37" s="13" t="n">
        <f aca="false">AU33*AU34*(1000*Inputs!$F$121/Inputs!$F$122)</f>
        <v>11900855.7346466</v>
      </c>
      <c r="AV37" s="13" t="n">
        <f aca="false">AV33*AV34*(1000*Inputs!$F$121/Inputs!$F$122)</f>
        <v>12346231.0530892</v>
      </c>
      <c r="AW37" s="13" t="n">
        <f aca="false">AW33*AW34*(1000*Inputs!$F$121/Inputs!$F$122)</f>
        <v>12304516.9096901</v>
      </c>
      <c r="AX37" s="13" t="n">
        <f aca="false">AX33*AX34*(1000*Inputs!$F$121/Inputs!$F$122)</f>
        <v>12223333.4069373</v>
      </c>
      <c r="AY37" s="13" t="n">
        <f aca="false">AY33*AY34*(1000*Inputs!$F$121/Inputs!$F$122)</f>
        <v>12260563.6397335</v>
      </c>
      <c r="AZ37" s="13" t="n">
        <f aca="false">AZ33*AZ34*(1000*Inputs!$F$121/Inputs!$F$122)</f>
        <v>12337226.3807931</v>
      </c>
      <c r="BA37" s="13" t="n">
        <f aca="false">BA33*BA34*(1000*Inputs!$F$121/Inputs!$F$122)</f>
        <v>12194677.8039008</v>
      </c>
      <c r="BB37" s="13" t="n">
        <f aca="false">BB33*BB34*(1000*Inputs!$F$121/Inputs!$F$122)</f>
        <v>11911926.7091521</v>
      </c>
      <c r="BC37" s="13" t="n">
        <f aca="false">BC33*BC34*(1000*Inputs!$F$121/Inputs!$F$122)</f>
        <v>12049921.0439328</v>
      </c>
      <c r="BD37" s="13" t="n">
        <f aca="false">BD33*BD34*(1000*Inputs!$F$121/Inputs!$F$122)</f>
        <v>12328042.9556971</v>
      </c>
      <c r="BE37" s="13" t="n">
        <f aca="false">BE33*BE34*(1000*Inputs!$F$121/Inputs!$F$122)</f>
        <v>12286297.8926373</v>
      </c>
      <c r="BF37" s="13" t="n">
        <f aca="false">BF33*BF34*(1000*Inputs!$F$121/Inputs!$F$122)</f>
        <v>12205142.7845191</v>
      </c>
      <c r="BG37" s="13" t="n">
        <f aca="false">BG33*BG34*(1000*Inputs!$F$121/Inputs!$F$122)</f>
        <v>12242225.4700281</v>
      </c>
      <c r="BH37" s="13" t="n">
        <f aca="false">BH33*BH34*(1000*Inputs!$F$121/Inputs!$F$122)</f>
        <v>12318680.7778012</v>
      </c>
      <c r="BI37" s="13" t="n">
        <f aca="false">BI33*BI34*(1000*Inputs!$F$121/Inputs!$F$122)</f>
        <v>12093095.5557029</v>
      </c>
      <c r="BJ37" s="13" t="n">
        <f aca="false">BJ33*BJ34*(1000*Inputs!$F$121/Inputs!$F$122)</f>
        <v>11644411.7978281</v>
      </c>
      <c r="BK37" s="13" t="n">
        <f aca="false">BK33*BK34*(1000*Inputs!$F$121/Inputs!$F$122)</f>
        <v>11865281.2595099</v>
      </c>
      <c r="BL37" s="13" t="n">
        <f aca="false">BL33*BL34*(1000*Inputs!$F$121/Inputs!$F$122)</f>
        <v>12309139.8471054</v>
      </c>
      <c r="BM37" s="13" t="n">
        <f aca="false">BM33*BM34*(1000*Inputs!$F$121/Inputs!$F$122)</f>
        <v>8204753.10262872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2.51170328386162</v>
      </c>
      <c r="R41" s="11" t="n">
        <f aca="false">Inputs!$F$133*(Inputs!$F$134*R18/100+(1-Inputs!$F$134)*R22/100*Inputs!$F$135/R11)</f>
        <v>2.53918171083852</v>
      </c>
      <c r="S41" s="11" t="n">
        <f aca="false">Inputs!$F$133*(Inputs!$F$134*S18/100+(1-Inputs!$F$134)*S22/100*Inputs!$F$135/S11)</f>
        <v>2.56696075610658</v>
      </c>
      <c r="T41" s="11" t="n">
        <f aca="false">Inputs!$F$133*(Inputs!$F$134*T18/100+(1-Inputs!$F$134)*T22/100*Inputs!$F$135/T11)</f>
        <v>2.59504370847696</v>
      </c>
      <c r="U41" s="11" t="n">
        <f aca="false">Inputs!$F$133*(Inputs!$F$134*U18/100+(1-Inputs!$F$134)*U22/100*Inputs!$F$135/U11)</f>
        <v>2.62343389274092</v>
      </c>
      <c r="V41" s="11" t="n">
        <f aca="false">Inputs!$F$133*(Inputs!$F$134*V18/100+(1-Inputs!$F$134)*V22/100*Inputs!$F$135/V11)</f>
        <v>2.65213467006346</v>
      </c>
      <c r="W41" s="11" t="n">
        <f aca="false">Inputs!$F$133*(Inputs!$F$134*W18/100+(1-Inputs!$F$134)*W22/100*Inputs!$F$135/W11)</f>
        <v>2.68114943838122</v>
      </c>
      <c r="X41" s="11" t="n">
        <f aca="false">Inputs!$F$133*(Inputs!$F$134*X18/100+(1-Inputs!$F$134)*X22/100*Inputs!$F$135/X11)</f>
        <v>2.71048163280485</v>
      </c>
      <c r="Y41" s="11" t="n">
        <f aca="false">Inputs!$F$133*(Inputs!$F$134*Y18/100+(1-Inputs!$F$134)*Y22/100*Inputs!$F$135/Y11)</f>
        <v>2.74013472602561</v>
      </c>
      <c r="Z41" s="11" t="n">
        <f aca="false">Inputs!$F$133*(Inputs!$F$134*Z18/100+(1-Inputs!$F$134)*Z22/100*Inputs!$F$135/Z11)</f>
        <v>2.77011222872656</v>
      </c>
      <c r="AA41" s="11" t="n">
        <f aca="false">Inputs!$F$133*(Inputs!$F$134*AA18/100+(1-Inputs!$F$134)*AA22/100*Inputs!$F$135/AA11)</f>
        <v>2.80041768999817</v>
      </c>
      <c r="AB41" s="11" t="n">
        <f aca="false">Inputs!$F$133*(Inputs!$F$134*AB18/100+(1-Inputs!$F$134)*AB22/100*Inputs!$F$135/AB11)</f>
        <v>2.83105469775854</v>
      </c>
      <c r="AC41" s="11" t="n">
        <f aca="false">Inputs!$F$133*(Inputs!$F$134*AC18/100+(1-Inputs!$F$134)*AC22/100*Inputs!$F$135/AC11)</f>
        <v>2.86202687917813</v>
      </c>
      <c r="AD41" s="11" t="n">
        <f aca="false">Inputs!$F$133*(Inputs!$F$134*AD18/100+(1-Inputs!$F$134)*AD22/100*Inputs!$F$135/AD11)</f>
        <v>2.89333790110923</v>
      </c>
      <c r="AE41" s="11" t="n">
        <f aca="false">Inputs!$F$133*(Inputs!$F$134*AE18/100+(1-Inputs!$F$134)*AE22/100*Inputs!$F$135/AE11)</f>
        <v>2.92499147052005</v>
      </c>
      <c r="AF41" s="11" t="n">
        <f aca="false">Inputs!$F$133*(Inputs!$F$134*AF18/100+(1-Inputs!$F$134)*AF22/100*Inputs!$F$135/AF11)</f>
        <v>2.95699133493363</v>
      </c>
      <c r="AG41" s="11" t="n">
        <f aca="false">Inputs!$F$133*(Inputs!$F$134*AG18/100+(1-Inputs!$F$134)*AG22/100*Inputs!$F$135/AG11)</f>
        <v>2.98934128287149</v>
      </c>
      <c r="AH41" s="11" t="n">
        <f aca="false">Inputs!$F$133*(Inputs!$F$134*AH18/100+(1-Inputs!$F$134)*AH22/100*Inputs!$F$135/AH11)</f>
        <v>3.02204514430217</v>
      </c>
      <c r="AI41" s="11" t="n">
        <f aca="false">Inputs!$F$133*(Inputs!$F$134*AI18/100+(1-Inputs!$F$134)*AI22/100*Inputs!$F$135/AI11)</f>
        <v>3.05510679109467</v>
      </c>
      <c r="AJ41" s="11" t="n">
        <f aca="false">Inputs!$F$133*(Inputs!$F$134*AJ18/100+(1-Inputs!$F$134)*AJ22/100*Inputs!$F$135/AJ11)</f>
        <v>3.08853013747682</v>
      </c>
      <c r="AK41" s="11" t="n">
        <f aca="false">Inputs!$F$133*(Inputs!$F$134*AK18/100+(1-Inputs!$F$134)*AK22/100*Inputs!$F$135/AK11)</f>
        <v>3.12231914049875</v>
      </c>
      <c r="AL41" s="11" t="n">
        <f aca="false">Inputs!$F$133*(Inputs!$F$134*AL18/100+(1-Inputs!$F$134)*AL22/100*Inputs!$F$135/AL11)</f>
        <v>3.15647780050131</v>
      </c>
      <c r="AM41" s="11" t="n">
        <f aca="false">Inputs!$F$133*(Inputs!$F$134*AM18/100+(1-Inputs!$F$134)*AM22/100*Inputs!$F$135/AM11)</f>
        <v>3.19101016158972</v>
      </c>
      <c r="AN41" s="11" t="n">
        <f aca="false">Inputs!$F$133*(Inputs!$F$134*AN18/100+(1-Inputs!$F$134)*AN22/100*Inputs!$F$135/AN11)</f>
        <v>3.22592031211234</v>
      </c>
      <c r="AO41" s="11" t="n">
        <f aca="false">Inputs!$F$133*(Inputs!$F$134*AO18/100+(1-Inputs!$F$134)*AO22/100*Inputs!$F$135/AO11)</f>
        <v>3.26121238514469</v>
      </c>
      <c r="AP41" s="11" t="n">
        <f aca="false">Inputs!$F$133*(Inputs!$F$134*AP18/100+(1-Inputs!$F$134)*AP22/100*Inputs!$F$135/AP11)</f>
        <v>3.29689055897881</v>
      </c>
      <c r="AQ41" s="11" t="n">
        <f aca="false">Inputs!$F$133*(Inputs!$F$134*AQ18/100+(1-Inputs!$F$134)*AQ22/100*Inputs!$F$135/AQ11)</f>
        <v>3.33295905761788</v>
      </c>
      <c r="AR41" s="11" t="n">
        <f aca="false">Inputs!$F$133*(Inputs!$F$134*AR18/100+(1-Inputs!$F$134)*AR22/100*Inputs!$F$135/AR11)</f>
        <v>3.36942215127634</v>
      </c>
      <c r="AS41" s="11" t="n">
        <f aca="false">Inputs!$F$133*(Inputs!$F$134*AS18/100+(1-Inputs!$F$134)*AS22/100*Inputs!$F$135/AS11)</f>
        <v>3.40628415688547</v>
      </c>
      <c r="AT41" s="11" t="n">
        <f aca="false">Inputs!$F$133*(Inputs!$F$134*AT18/100+(1-Inputs!$F$134)*AT22/100*Inputs!$F$135/AT11)</f>
        <v>3.44354943860442</v>
      </c>
      <c r="AU41" s="11" t="n">
        <f aca="false">Inputs!$F$133*(Inputs!$F$134*AU18/100+(1-Inputs!$F$134)*AU22/100*Inputs!$F$135/AU11)</f>
        <v>3.48122240833695</v>
      </c>
      <c r="AV41" s="11" t="n">
        <f aca="false">Inputs!$F$133*(Inputs!$F$134*AV18/100+(1-Inputs!$F$134)*AV22/100*Inputs!$F$135/AV11)</f>
        <v>3.51930752625372</v>
      </c>
      <c r="AW41" s="11" t="n">
        <f aca="false">Inputs!$F$133*(Inputs!$F$134*AW18/100+(1-Inputs!$F$134)*AW22/100*Inputs!$F$135/AW11)</f>
        <v>3.55780930132036</v>
      </c>
      <c r="AX41" s="11" t="n">
        <f aca="false">Inputs!$F$133*(Inputs!$F$134*AX18/100+(1-Inputs!$F$134)*AX22/100*Inputs!$F$135/AX11)</f>
        <v>3.5967322918313</v>
      </c>
      <c r="AY41" s="11" t="n">
        <f aca="false">Inputs!$F$133*(Inputs!$F$134*AY18/100+(1-Inputs!$F$134)*AY22/100*Inputs!$F$135/AY11)</f>
        <v>3.63608110594941</v>
      </c>
      <c r="AZ41" s="11" t="n">
        <f aca="false">Inputs!$F$133*(Inputs!$F$134*AZ18/100+(1-Inputs!$F$134)*AZ22/100*Inputs!$F$135/AZ11)</f>
        <v>3.67586040225159</v>
      </c>
      <c r="BA41" s="11" t="n">
        <f aca="false">Inputs!$F$133*(Inputs!$F$134*BA18/100+(1-Inputs!$F$134)*BA22/100*Inputs!$F$135/BA11)</f>
        <v>3.7160748902803</v>
      </c>
      <c r="BB41" s="11" t="n">
        <f aca="false">Inputs!$F$133*(Inputs!$F$134*BB18/100+(1-Inputs!$F$134)*BB22/100*Inputs!$F$135/BB11)</f>
        <v>3.75672933110112</v>
      </c>
      <c r="BC41" s="11" t="n">
        <f aca="false">Inputs!$F$133*(Inputs!$F$134*BC18/100+(1-Inputs!$F$134)*BC22/100*Inputs!$F$135/BC11)</f>
        <v>3.79782853786646</v>
      </c>
      <c r="BD41" s="11" t="n">
        <f aca="false">Inputs!$F$133*(Inputs!$F$134*BD18/100+(1-Inputs!$F$134)*BD22/100*Inputs!$F$135/BD11)</f>
        <v>3.83937737638535</v>
      </c>
      <c r="BE41" s="11" t="n">
        <f aca="false">Inputs!$F$133*(Inputs!$F$134*BE18/100+(1-Inputs!$F$134)*BE22/100*Inputs!$F$135/BE11)</f>
        <v>3.88138076569952</v>
      </c>
      <c r="BF41" s="11" t="n">
        <f aca="false">Inputs!$F$133*(Inputs!$F$134*BF18/100+(1-Inputs!$F$134)*BF22/100*Inputs!$F$135/BF11)</f>
        <v>3.92384367866582</v>
      </c>
      <c r="BG41" s="11" t="n">
        <f aca="false">Inputs!$F$133*(Inputs!$F$134*BG18/100+(1-Inputs!$F$134)*BG22/100*Inputs!$F$135/BG11)</f>
        <v>3.96677114254491</v>
      </c>
      <c r="BH41" s="11" t="n">
        <f aca="false">Inputs!$F$133*(Inputs!$F$134*BH18/100+(1-Inputs!$F$134)*BH22/100*Inputs!$F$135/BH11)</f>
        <v>4.01016823959647</v>
      </c>
      <c r="BI41" s="11" t="n">
        <f aca="false">Inputs!$F$133*(Inputs!$F$134*BI18/100+(1-Inputs!$F$134)*BI22/100*Inputs!$F$135/BI11)</f>
        <v>4.0540401076809</v>
      </c>
      <c r="BJ41" s="11" t="n">
        <f aca="false">Inputs!$F$133*(Inputs!$F$134*BJ18/100+(1-Inputs!$F$134)*BJ22/100*Inputs!$F$135/BJ11)</f>
        <v>4.09839194086759</v>
      </c>
      <c r="BK41" s="11" t="n">
        <f aca="false">Inputs!$F$133*(Inputs!$F$134*BK18/100+(1-Inputs!$F$134)*BK22/100*Inputs!$F$135/BK11)</f>
        <v>4.14322899004988</v>
      </c>
      <c r="BL41" s="11" t="n">
        <f aca="false">Inputs!$F$133*(Inputs!$F$134*BL18/100+(1-Inputs!$F$134)*BL22/100*Inputs!$F$135/BL11)</f>
        <v>4.18855656356668</v>
      </c>
      <c r="BM41" s="11" t="n">
        <f aca="false">Inputs!$F$133*(Inputs!$F$134*BM18/100+(1-Inputs!$F$134)*BM22/100*Inputs!$F$135/BM11)</f>
        <v>4.23438002783098</v>
      </c>
      <c r="BN41" s="11" t="n">
        <f aca="false">Inputs!$F$133*(Inputs!$F$134*BN18/100+(1-Inputs!$F$134)*BN22/100*Inputs!$F$135/BN11)</f>
        <v>4.28070480796515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1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0.985555555555556</v>
      </c>
      <c r="AE42" s="11" t="n">
        <f aca="false">MIN(1,AE28/Inputs!$F$130)</f>
        <v>1</v>
      </c>
      <c r="AF42" s="11" t="n">
        <f aca="false">MIN(1,AF28/Inputs!$F$130)</f>
        <v>1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0.985555555555556</v>
      </c>
      <c r="AU42" s="11" t="n">
        <f aca="false">MIN(1,AU28/Inputs!$F$130)</f>
        <v>1</v>
      </c>
      <c r="AV42" s="11" t="n">
        <f aca="false">MIN(1,AV28/Inputs!$F$130)</f>
        <v>1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0.985555555555556</v>
      </c>
      <c r="BK42" s="11" t="n">
        <f aca="false">MIN(1,BK28/Inputs!$F$130)</f>
        <v>1</v>
      </c>
      <c r="BL42" s="11" t="n">
        <f aca="false">MIN(1,BL28/Inputs!$F$130)</f>
        <v>1</v>
      </c>
      <c r="BM42" s="11" t="n">
        <f aca="false">MIN(1,BM28/Inputs!$F$130)</f>
        <v>1</v>
      </c>
      <c r="BN42" s="11" t="n">
        <f aca="false">MIN(1,BN28/Inputs!$F$130)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3334.80820236449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20.0787247448473</v>
      </c>
      <c r="P43" s="11" t="n">
        <f aca="false">$F$30*1000*Time!P25*(P40+P41)*P42/1000000</f>
        <v>60.4514649070976</v>
      </c>
      <c r="Q43" s="11" t="n">
        <f aca="false">$F$30*1000*Time!Q25*(Q40+Q41)*Q42/1000000</f>
        <v>60.6691108933017</v>
      </c>
      <c r="R43" s="11" t="n">
        <f aca="false">$F$30*1000*Time!R25*(R40+R41)*R42/1000000</f>
        <v>60.8891379606538</v>
      </c>
      <c r="S43" s="11" t="n">
        <f aca="false">$F$30*1000*Time!S25*(S40+S41)*S42/1000000</f>
        <v>61.1115721585543</v>
      </c>
      <c r="T43" s="11" t="n">
        <f aca="false">$F$30*1000*Time!T25*(T40+T41)*T42/1000000</f>
        <v>61.3364398213882</v>
      </c>
      <c r="U43" s="11" t="n">
        <f aca="false">$F$30*1000*Time!U25*(U40+U41)*U42/1000000</f>
        <v>61.5637675716425</v>
      </c>
      <c r="V43" s="11" t="n">
        <f aca="false">$F$30*1000*Time!V25*(V40+V41)*V42/1000000</f>
        <v>61.7935823230587</v>
      </c>
      <c r="W43" s="11" t="n">
        <f aca="false">$F$30*1000*Time!W25*(W40+W41)*W42/1000000</f>
        <v>62.0259112838186</v>
      </c>
      <c r="X43" s="11" t="n">
        <f aca="false">$F$30*1000*Time!X25*(X40+X41)*X42/1000000</f>
        <v>62.260781959766</v>
      </c>
      <c r="Y43" s="11" t="n">
        <f aca="false">$F$30*1000*Time!Y25*(Y40+Y41)*Y42/1000000</f>
        <v>62.4982221576627</v>
      </c>
      <c r="Z43" s="11" t="n">
        <f aca="false">$F$30*1000*Time!Z25*(Z40+Z41)*Z42/1000000</f>
        <v>62.7382599884808</v>
      </c>
      <c r="AA43" s="11" t="n">
        <f aca="false">$F$30*1000*Time!AA25*(AA40+AA41)*AA42/1000000</f>
        <v>62.9809238707312</v>
      </c>
      <c r="AB43" s="11" t="n">
        <f aca="false">$F$30*1000*Time!AB25*(AB40+AB41)*AB42/1000000</f>
        <v>63.2262425338274</v>
      </c>
      <c r="AC43" s="11" t="n">
        <f aca="false">$F$30*1000*Time!AC25*(AC40+AC41)*AC42/1000000</f>
        <v>63.4742450214873</v>
      </c>
      <c r="AD43" s="11" t="n">
        <f aca="false">$F$30*1000*Time!AD25*(AD40+AD41)*AD42/1000000</f>
        <v>62.8044890406858</v>
      </c>
      <c r="AE43" s="11" t="n">
        <f aca="false">$F$30*1000*Time!AE25*(AE40+AE41)*AE42/1000000</f>
        <v>63.97841923756</v>
      </c>
      <c r="AF43" s="11" t="n">
        <f aca="false">$F$30*1000*Time!AF25*(AF40+AF41)*AF42/1000000</f>
        <v>64.2346506560654</v>
      </c>
      <c r="AG43" s="11" t="n">
        <f aca="false">$F$30*1000*Time!AG25*(AG40+AG41)*AG42/1000000</f>
        <v>64.4936852863863</v>
      </c>
      <c r="AH43" s="11" t="n">
        <f aca="false">$F$30*1000*Time!AH25*(AH40+AH41)*AH42/1000000</f>
        <v>64.7555537960988</v>
      </c>
      <c r="AI43" s="11" t="n">
        <f aca="false">$F$30*1000*Time!AI25*(AI40+AI41)*AI42/1000000</f>
        <v>65.0202871882868</v>
      </c>
      <c r="AJ43" s="11" t="n">
        <f aca="false">$F$30*1000*Time!AJ25*(AJ40+AJ41)*AJ42/1000000</f>
        <v>65.287916805213</v>
      </c>
      <c r="AK43" s="11" t="n">
        <f aca="false">$F$30*1000*Time!AK25*(AK40+AK41)*AK42/1000000</f>
        <v>65.5584743320291</v>
      </c>
      <c r="AL43" s="11" t="n">
        <f aca="false">$F$30*1000*Time!AL25*(AL40+AL41)*AL42/1000000</f>
        <v>65.8319918005277</v>
      </c>
      <c r="AM43" s="11" t="n">
        <f aca="false">$F$30*1000*Time!AM25*(AM40+AM41)*AM42/1000000</f>
        <v>66.1085015929338</v>
      </c>
      <c r="AN43" s="11" t="n">
        <f aca="false">$F$30*1000*Time!AN25*(AN40+AN41)*AN42/1000000</f>
        <v>66.3880364457393</v>
      </c>
      <c r="AO43" s="11" t="n">
        <f aca="false">$F$30*1000*Time!AO25*(AO40+AO41)*AO42/1000000</f>
        <v>66.6706294535783</v>
      </c>
      <c r="AP43" s="11" t="n">
        <f aca="false">$F$30*1000*Time!AP25*(AP40+AP41)*AP42/1000000</f>
        <v>66.9563140731455</v>
      </c>
      <c r="AQ43" s="11" t="n">
        <f aca="false">$F$30*1000*Time!AQ25*(AQ40+AQ41)*AQ42/1000000</f>
        <v>67.245124127157</v>
      </c>
      <c r="AR43" s="11" t="n">
        <f aca="false">$F$30*1000*Time!AR25*(AR40+AR41)*AR42/1000000</f>
        <v>67.5370938083547</v>
      </c>
      <c r="AS43" s="11" t="n">
        <f aca="false">$F$30*1000*Time!AS25*(AS40+AS41)*AS42/1000000</f>
        <v>67.8322576835545</v>
      </c>
      <c r="AT43" s="11" t="n">
        <f aca="false">$F$30*1000*Time!AT25*(AT40+AT41)*AT42/1000000</f>
        <v>67.1465412987712</v>
      </c>
      <c r="AU43" s="11" t="n">
        <f aca="false">$F$30*1000*Time!AU25*(AU40+AU41)*AU42/1000000</f>
        <v>68.4323081781927</v>
      </c>
      <c r="AV43" s="11" t="n">
        <f aca="false">$F$30*1000*Time!AV25*(AV40+AV41)*AV42/1000000</f>
        <v>68.7372658386888</v>
      </c>
      <c r="AW43" s="11" t="n">
        <f aca="false">$F$30*1000*Time!AW25*(AW40+AW41)*AW42/1000000</f>
        <v>69.0455597837129</v>
      </c>
      <c r="AX43" s="11" t="n">
        <f aca="false">$F$30*1000*Time!AX25*(AX40+AX41)*AX42/1000000</f>
        <v>69.3572265127399</v>
      </c>
      <c r="AY43" s="11" t="n">
        <f aca="false">$F$30*1000*Time!AY25*(AY40+AY41)*AY42/1000000</f>
        <v>69.6723029245546</v>
      </c>
      <c r="AZ43" s="11" t="n">
        <f aca="false">$F$30*1000*Time!AZ25*(AZ40+AZ41)*AZ42/1000000</f>
        <v>69.9908263216202</v>
      </c>
      <c r="BA43" s="11" t="n">
        <f aca="false">$F$30*1000*Time!BA25*(BA40+BA41)*BA42/1000000</f>
        <v>70.3128344144948</v>
      </c>
      <c r="BB43" s="11" t="n">
        <f aca="false">$F$30*1000*Time!BB25*(BB40+BB41)*BB42/1000000</f>
        <v>70.6383653262959</v>
      </c>
      <c r="BC43" s="11" t="n">
        <f aca="false">$F$30*1000*Time!BC25*(BC40+BC41)*BC42/1000000</f>
        <v>70.9674575972137</v>
      </c>
      <c r="BD43" s="11" t="n">
        <f aca="false">$F$30*1000*Time!BD25*(BD40+BD41)*BD42/1000000</f>
        <v>71.3001501890743</v>
      </c>
      <c r="BE43" s="11" t="n">
        <f aca="false">$F$30*1000*Time!BE25*(BE40+BE41)*BE42/1000000</f>
        <v>71.6364824899524</v>
      </c>
      <c r="BF43" s="11" t="n">
        <f aca="false">$F$30*1000*Time!BF25*(BF40+BF41)*BF42/1000000</f>
        <v>71.976494318834</v>
      </c>
      <c r="BG43" s="11" t="n">
        <f aca="false">$F$30*1000*Time!BG25*(BG40+BG41)*BG42/1000000</f>
        <v>72.3202259303313</v>
      </c>
      <c r="BH43" s="11" t="n">
        <f aca="false">$F$30*1000*Time!BH25*(BH40+BH41)*BH42/1000000</f>
        <v>72.6677180194483</v>
      </c>
      <c r="BI43" s="11" t="n">
        <f aca="false">$F$30*1000*Time!BI25*(BI40+BI41)*BI42/1000000</f>
        <v>73.0190117263986</v>
      </c>
      <c r="BJ43" s="11" t="n">
        <f aca="false">$F$30*1000*Time!BJ25*(BJ40+BJ41)*BJ42/1000000</f>
        <v>72.314299827766</v>
      </c>
      <c r="BK43" s="11" t="n">
        <f aca="false">$F$30*1000*Time!BK25*(BK40+BK41)*BK42/1000000</f>
        <v>73.7331708099794</v>
      </c>
      <c r="BL43" s="11" t="n">
        <f aca="false">$F$30*1000*Time!BL25*(BL40+BL41)*BL42/1000000</f>
        <v>74.0961207371887</v>
      </c>
      <c r="BM43" s="11" t="n">
        <f aca="false">$F$30*1000*Time!BM25*(BM40+BM41)*BM42/1000000</f>
        <v>49.6420275955993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4.21467045440645</v>
      </c>
      <c r="R44" s="11" t="n">
        <f aca="false">Inputs!$F$136*(Inputs!$F$137*R18/100+(1-Inputs!$F$137)*R22/100*Inputs!$F$135/R11)</f>
        <v>4.26077960872305</v>
      </c>
      <c r="S44" s="11" t="n">
        <f aca="false">Inputs!$F$136*(Inputs!$F$137*S18/100+(1-Inputs!$F$137)*S22/100*Inputs!$F$135/S11)</f>
        <v>4.30739320440339</v>
      </c>
      <c r="T44" s="11" t="n">
        <f aca="false">Inputs!$F$136*(Inputs!$F$137*T18/100+(1-Inputs!$F$137)*T22/100*Inputs!$F$135/T11)</f>
        <v>4.35451676011495</v>
      </c>
      <c r="U44" s="11" t="n">
        <f aca="false">Inputs!$F$136*(Inputs!$F$137*U18/100+(1-Inputs!$F$137)*U22/100*Inputs!$F$135/U11)</f>
        <v>4.40215585490027</v>
      </c>
      <c r="V44" s="11" t="n">
        <f aca="false">Inputs!$F$136*(Inputs!$F$137*V18/100+(1-Inputs!$F$137)*V22/100*Inputs!$F$135/V11)</f>
        <v>4.45031612883748</v>
      </c>
      <c r="W44" s="11" t="n">
        <f aca="false">Inputs!$F$136*(Inputs!$F$137*W18/100+(1-Inputs!$F$137)*W22/100*Inputs!$F$135/W11)</f>
        <v>4.49900328370807</v>
      </c>
      <c r="X44" s="11" t="n">
        <f aca="false">Inputs!$F$136*(Inputs!$F$137*X18/100+(1-Inputs!$F$137)*X22/100*Inputs!$F$135/X11)</f>
        <v>4.5482230836719</v>
      </c>
      <c r="Y44" s="11" t="n">
        <f aca="false">Inputs!$F$136*(Inputs!$F$137*Y18/100+(1-Inputs!$F$137)*Y22/100*Inputs!$F$135/Y11)</f>
        <v>4.59798135594965</v>
      </c>
      <c r="Z44" s="11" t="n">
        <f aca="false">Inputs!$F$136*(Inputs!$F$137*Z18/100+(1-Inputs!$F$137)*Z22/100*Inputs!$F$135/Z11)</f>
        <v>4.64828399151269</v>
      </c>
      <c r="AA44" s="11" t="n">
        <f aca="false">Inputs!$F$136*(Inputs!$F$137*AA18/100+(1-Inputs!$F$137)*AA22/100*Inputs!$F$135/AA11)</f>
        <v>4.69913694578054</v>
      </c>
      <c r="AB44" s="11" t="n">
        <f aca="false">Inputs!$F$136*(Inputs!$F$137*AB18/100+(1-Inputs!$F$137)*AB22/100*Inputs!$F$135/AB11)</f>
        <v>4.75054623932596</v>
      </c>
      <c r="AC44" s="11" t="n">
        <f aca="false">Inputs!$F$136*(Inputs!$F$137*AC18/100+(1-Inputs!$F$137)*AC22/100*Inputs!$F$135/AC11)</f>
        <v>4.80251795858771</v>
      </c>
      <c r="AD44" s="11" t="n">
        <f aca="false">Inputs!$F$136*(Inputs!$F$137*AD18/100+(1-Inputs!$F$137)*AD22/100*Inputs!$F$135/AD11)</f>
        <v>4.85505825659113</v>
      </c>
      <c r="AE44" s="11" t="n">
        <f aca="false">Inputs!$F$136*(Inputs!$F$137*AE18/100+(1-Inputs!$F$137)*AE22/100*Inputs!$F$135/AE11)</f>
        <v>4.90817335367664</v>
      </c>
      <c r="AF44" s="11" t="n">
        <f aca="false">Inputs!$F$136*(Inputs!$F$137*AF18/100+(1-Inputs!$F$137)*AF22/100*Inputs!$F$135/AF11)</f>
        <v>4.96186953823614</v>
      </c>
      <c r="AG44" s="11" t="n">
        <f aca="false">Inputs!$F$136*(Inputs!$F$137*AG18/100+(1-Inputs!$F$137)*AG22/100*Inputs!$F$135/AG11)</f>
        <v>5.01615316745753</v>
      </c>
      <c r="AH44" s="11" t="n">
        <f aca="false">Inputs!$F$136*(Inputs!$F$137*AH18/100+(1-Inputs!$F$137)*AH22/100*Inputs!$F$135/AH11)</f>
        <v>5.07103066807733</v>
      </c>
      <c r="AI44" s="11" t="n">
        <f aca="false">Inputs!$F$136*(Inputs!$F$137*AI18/100+(1-Inputs!$F$137)*AI22/100*Inputs!$F$135/AI11)</f>
        <v>5.12650853714159</v>
      </c>
      <c r="AJ44" s="11" t="n">
        <f aca="false">Inputs!$F$136*(Inputs!$F$137*AJ18/100+(1-Inputs!$F$137)*AJ22/100*Inputs!$F$135/AJ11)</f>
        <v>5.18259334277503</v>
      </c>
      <c r="AK44" s="11" t="n">
        <f aca="false">Inputs!$F$136*(Inputs!$F$137*AK18/100+(1-Inputs!$F$137)*AK22/100*Inputs!$F$135/AK11)</f>
        <v>5.2392917249587</v>
      </c>
      <c r="AL44" s="11" t="n">
        <f aca="false">Inputs!$F$136*(Inputs!$F$137*AL18/100+(1-Inputs!$F$137)*AL22/100*Inputs!$F$135/AL11)</f>
        <v>5.29661039631608</v>
      </c>
      <c r="AM44" s="11" t="n">
        <f aca="false">Inputs!$F$136*(Inputs!$F$137*AM18/100+(1-Inputs!$F$137)*AM22/100*Inputs!$F$135/AM11)</f>
        <v>5.3545561429078</v>
      </c>
      <c r="AN44" s="11" t="n">
        <f aca="false">Inputs!$F$136*(Inputs!$F$137*AN18/100+(1-Inputs!$F$137)*AN22/100*Inputs!$F$135/AN11)</f>
        <v>5.41313582503504</v>
      </c>
      <c r="AO44" s="11" t="n">
        <f aca="false">Inputs!$F$136*(Inputs!$F$137*AO18/100+(1-Inputs!$F$137)*AO22/100*Inputs!$F$135/AO11)</f>
        <v>5.47235637805177</v>
      </c>
      <c r="AP44" s="11" t="n">
        <f aca="false">Inputs!$F$136*(Inputs!$F$137*AP18/100+(1-Inputs!$F$137)*AP22/100*Inputs!$F$135/AP11)</f>
        <v>5.53222481318581</v>
      </c>
      <c r="AQ44" s="11" t="n">
        <f aca="false">Inputs!$F$136*(Inputs!$F$137*AQ18/100+(1-Inputs!$F$137)*AQ22/100*Inputs!$F$135/AQ11)</f>
        <v>5.59274821836891</v>
      </c>
      <c r="AR44" s="11" t="n">
        <f aca="false">Inputs!$F$136*(Inputs!$F$137*AR18/100+(1-Inputs!$F$137)*AR22/100*Inputs!$F$135/AR11)</f>
        <v>5.65393375907589</v>
      </c>
      <c r="AS44" s="11" t="n">
        <f aca="false">Inputs!$F$136*(Inputs!$F$137*AS18/100+(1-Inputs!$F$137)*AS22/100*Inputs!$F$135/AS11)</f>
        <v>5.71578867917302</v>
      </c>
      <c r="AT44" s="11" t="n">
        <f aca="false">Inputs!$F$136*(Inputs!$F$137*AT18/100+(1-Inputs!$F$137)*AT22/100*Inputs!$F$135/AT11)</f>
        <v>5.77832030177556</v>
      </c>
      <c r="AU44" s="11" t="n">
        <f aca="false">Inputs!$F$136*(Inputs!$F$137*AU18/100+(1-Inputs!$F$137)*AU22/100*Inputs!$F$135/AU11)</f>
        <v>5.84153603011483</v>
      </c>
      <c r="AV44" s="11" t="n">
        <f aca="false">Inputs!$F$136*(Inputs!$F$137*AV18/100+(1-Inputs!$F$137)*AV22/100*Inputs!$F$135/AV11)</f>
        <v>5.90544334841462</v>
      </c>
      <c r="AW44" s="11" t="n">
        <f aca="false">Inputs!$F$136*(Inputs!$F$137*AW18/100+(1-Inputs!$F$137)*AW22/100*Inputs!$F$135/AW11)</f>
        <v>5.97004982277735</v>
      </c>
      <c r="AX44" s="11" t="n">
        <f aca="false">Inputs!$F$136*(Inputs!$F$137*AX18/100+(1-Inputs!$F$137)*AX22/100*Inputs!$F$135/AX11)</f>
        <v>6.03536310207975</v>
      </c>
      <c r="AY44" s="11" t="n">
        <f aca="false">Inputs!$F$136*(Inputs!$F$137*AY18/100+(1-Inputs!$F$137)*AY22/100*Inputs!$F$135/AY11)</f>
        <v>6.10139091887845</v>
      </c>
      <c r="AZ44" s="11" t="n">
        <f aca="false">Inputs!$F$136*(Inputs!$F$137*AZ18/100+(1-Inputs!$F$137)*AZ22/100*Inputs!$F$135/AZ11)</f>
        <v>6.1681410903255</v>
      </c>
      <c r="BA44" s="11" t="n">
        <f aca="false">Inputs!$F$136*(Inputs!$F$137*BA18/100+(1-Inputs!$F$137)*BA22/100*Inputs!$F$135/BA11)</f>
        <v>6.23562151909378</v>
      </c>
      <c r="BB44" s="11" t="n">
        <f aca="false">Inputs!$F$136*(Inputs!$F$137*BB18/100+(1-Inputs!$F$137)*BB22/100*Inputs!$F$135/BB11)</f>
        <v>6.30384019431266</v>
      </c>
      <c r="BC44" s="11" t="n">
        <f aca="false">Inputs!$F$136*(Inputs!$F$137*BC18/100+(1-Inputs!$F$137)*BC22/100*Inputs!$F$135/BC11)</f>
        <v>6.37280519251384</v>
      </c>
      <c r="BD44" s="11" t="n">
        <f aca="false">Inputs!$F$136*(Inputs!$F$137*BD18/100+(1-Inputs!$F$137)*BD22/100*Inputs!$F$135/BD11)</f>
        <v>6.44252467858754</v>
      </c>
      <c r="BE44" s="11" t="n">
        <f aca="false">Inputs!$F$136*(Inputs!$F$137*BE18/100+(1-Inputs!$F$137)*BE22/100*Inputs!$F$135/BE11)</f>
        <v>6.51300690674914</v>
      </c>
      <c r="BF44" s="11" t="n">
        <f aca="false">Inputs!$F$136*(Inputs!$F$137*BF18/100+(1-Inputs!$F$137)*BF22/100*Inputs!$F$135/BF11)</f>
        <v>6.58426022151646</v>
      </c>
      <c r="BG44" s="11" t="n">
        <f aca="false">Inputs!$F$136*(Inputs!$F$137*BG18/100+(1-Inputs!$F$137)*BG22/100*Inputs!$F$135/BG11)</f>
        <v>6.65629305869762</v>
      </c>
      <c r="BH44" s="11" t="n">
        <f aca="false">Inputs!$F$136*(Inputs!$F$137*BH18/100+(1-Inputs!$F$137)*BH22/100*Inputs!$F$135/BH11)</f>
        <v>6.72911394638982</v>
      </c>
      <c r="BI44" s="11" t="n">
        <f aca="false">Inputs!$F$136*(Inputs!$F$137*BI18/100+(1-Inputs!$F$137)*BI22/100*Inputs!$F$135/BI11)</f>
        <v>6.80273150598897</v>
      </c>
      <c r="BJ44" s="11" t="n">
        <f aca="false">Inputs!$F$136*(Inputs!$F$137*BJ18/100+(1-Inputs!$F$137)*BJ22/100*Inputs!$F$135/BJ11)</f>
        <v>6.8771544532104</v>
      </c>
      <c r="BK44" s="11" t="n">
        <f aca="false">Inputs!$F$136*(Inputs!$F$137*BK18/100+(1-Inputs!$F$137)*BK22/100*Inputs!$F$135/BK11)</f>
        <v>6.95239159912073</v>
      </c>
      <c r="BL44" s="11" t="n">
        <f aca="false">Inputs!$F$136*(Inputs!$F$137*BL18/100+(1-Inputs!$F$137)*BL22/100*Inputs!$F$135/BL11)</f>
        <v>7.02845185118103</v>
      </c>
      <c r="BM44" s="11" t="n">
        <f aca="false">Inputs!$F$136*(Inputs!$F$137*BM18/100+(1-Inputs!$F$137)*BM22/100*Inputs!$F$135/BM11)</f>
        <v>7.10534421430138</v>
      </c>
      <c r="BN44" s="11" t="n">
        <f aca="false">Inputs!$F$136*(Inputs!$F$137*BN18/100+(1-Inputs!$F$137)*BN22/100*Inputs!$F$135/BN11)</f>
        <v>7.18307779190701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485.811746936375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2.51642171803819</v>
      </c>
      <c r="P45" s="11" t="n">
        <f aca="false">P33*P44/1000000</f>
        <v>7.62803889157132</v>
      </c>
      <c r="Q45" s="11" t="n">
        <f aca="false">Q33*Q44/1000000</f>
        <v>7.68105848814811</v>
      </c>
      <c r="R45" s="11" t="n">
        <f aca="false">R33*R44/1000000</f>
        <v>7.70946659936317</v>
      </c>
      <c r="S45" s="11" t="n">
        <f aca="false">S33*S44/1000000</f>
        <v>7.81310103237857</v>
      </c>
      <c r="T45" s="11" t="n">
        <f aca="false">T33*T44/1000000</f>
        <v>7.94344753175194</v>
      </c>
      <c r="U45" s="11" t="n">
        <f aca="false">U33*U44/1000000</f>
        <v>7.93305531916128</v>
      </c>
      <c r="V45" s="11" t="n">
        <f aca="false">V33*V44/1000000</f>
        <v>7.82944507757228</v>
      </c>
      <c r="W45" s="11" t="n">
        <f aca="false">W33*W44/1000000</f>
        <v>8.00225062439422</v>
      </c>
      <c r="X45" s="11" t="n">
        <f aca="false">X33*X44/1000000</f>
        <v>8.27182288419171</v>
      </c>
      <c r="Y45" s="11" t="n">
        <f aca="false">Y33*Y44/1000000</f>
        <v>8.32927939454739</v>
      </c>
      <c r="Z45" s="11" t="n">
        <f aca="false">Z33*Z44/1000000</f>
        <v>8.36004694624821</v>
      </c>
      <c r="AA45" s="11" t="n">
        <f aca="false">AA33*AA44/1000000</f>
        <v>8.47238825046235</v>
      </c>
      <c r="AB45" s="11" t="n">
        <f aca="false">AB33*AB44/1000000</f>
        <v>8.61369443244836</v>
      </c>
      <c r="AC45" s="11" t="n">
        <f aca="false">AC33*AC44/1000000</f>
        <v>8.54363507447978</v>
      </c>
      <c r="AD45" s="11" t="n">
        <f aca="false">AD33*AD44/1000000</f>
        <v>8.31194894771562</v>
      </c>
      <c r="AE45" s="11" t="n">
        <f aca="false">AE33*AE44/1000000</f>
        <v>8.55743512544264</v>
      </c>
      <c r="AF45" s="11" t="n">
        <f aca="false">AF33*AF44/1000000</f>
        <v>8.96961310830208</v>
      </c>
      <c r="AG45" s="11" t="n">
        <f aca="false">AG33*AG44/1000000</f>
        <v>9.03187503656419</v>
      </c>
      <c r="AH45" s="11" t="n">
        <f aca="false">AH33*AH44/1000000</f>
        <v>9.06519622327226</v>
      </c>
      <c r="AI45" s="11" t="n">
        <f aca="false">AI33*AI44/1000000</f>
        <v>9.18697092919141</v>
      </c>
      <c r="AJ45" s="11" t="n">
        <f aca="false">AJ33*AJ44/1000000</f>
        <v>9.34015215220506</v>
      </c>
      <c r="AK45" s="11" t="n">
        <f aca="false">AK33*AK44/1000000</f>
        <v>9.32784700738049</v>
      </c>
      <c r="AL45" s="11" t="n">
        <f aca="false">AL33*AL44/1000000</f>
        <v>9.20593532085</v>
      </c>
      <c r="AM45" s="11" t="n">
        <f aca="false">AM33*AM44/1000000</f>
        <v>9.40903504492034</v>
      </c>
      <c r="AN45" s="11" t="n">
        <f aca="false">AN33*AN44/1000000</f>
        <v>9.72590800784114</v>
      </c>
      <c r="AO45" s="11" t="n">
        <f aca="false">AO33*AO44/1000000</f>
        <v>9.79337418754218</v>
      </c>
      <c r="AP45" s="11" t="n">
        <f aca="false">AP33*AP44/1000000</f>
        <v>9.82945901083024</v>
      </c>
      <c r="AQ45" s="11" t="n">
        <f aca="false">AQ33*AQ44/1000000</f>
        <v>9.96145378288492</v>
      </c>
      <c r="AR45" s="11" t="n">
        <f aca="false">AR33*AR44/1000000</f>
        <v>10.1275012521276</v>
      </c>
      <c r="AS45" s="11" t="n">
        <f aca="false">AS33*AS44/1000000</f>
        <v>10.0450359953257</v>
      </c>
      <c r="AT45" s="11" t="n">
        <f aca="false">AT33*AT44/1000000</f>
        <v>9.77254392926223</v>
      </c>
      <c r="AU45" s="11" t="n">
        <f aca="false">AU33*AU44/1000000</f>
        <v>10.061073700488</v>
      </c>
      <c r="AV45" s="11" t="n">
        <f aca="false">AV33*AV44/1000000</f>
        <v>10.5455775620424</v>
      </c>
      <c r="AW45" s="11" t="n">
        <f aca="false">AW33*AW44/1000000</f>
        <v>10.6186796248286</v>
      </c>
      <c r="AX45" s="11" t="n">
        <f aca="false">AX33*AX44/1000000</f>
        <v>10.6577551622769</v>
      </c>
      <c r="AY45" s="11" t="n">
        <f aca="false">AY33*AY44/1000000</f>
        <v>10.8008217274309</v>
      </c>
      <c r="AZ45" s="11" t="n">
        <f aca="false">AZ33*AZ44/1000000</f>
        <v>10.9808087197124</v>
      </c>
      <c r="BA45" s="11" t="n">
        <f aca="false">BA33*BA44/1000000</f>
        <v>10.9662389078837</v>
      </c>
      <c r="BB45" s="11" t="n">
        <f aca="false">BB33*BB44/1000000</f>
        <v>10.822812016699</v>
      </c>
      <c r="BC45" s="11" t="n">
        <f aca="false">BC33*BC44/1000000</f>
        <v>11.0614785827123</v>
      </c>
      <c r="BD45" s="11" t="n">
        <f aca="false">BD33*BD44/1000000</f>
        <v>11.4338936572534</v>
      </c>
      <c r="BE45" s="11" t="n">
        <f aca="false">BE33*BE44/1000000</f>
        <v>11.5130986997715</v>
      </c>
      <c r="BF45" s="11" t="n">
        <f aca="false">BF33*BF44/1000000</f>
        <v>11.5554104739938</v>
      </c>
      <c r="BG45" s="11" t="n">
        <f aca="false">BG33*BG44/1000000</f>
        <v>11.7104709494486</v>
      </c>
      <c r="BH45" s="11" t="n">
        <f aca="false">BH33*BH44/1000000</f>
        <v>11.905559542911</v>
      </c>
      <c r="BI45" s="11" t="n">
        <f aca="false">BI33*BI44/1000000</f>
        <v>11.8085035891832</v>
      </c>
      <c r="BJ45" s="11" t="n">
        <f aca="false">BJ33*BJ44/1000000</f>
        <v>11.4880642629858</v>
      </c>
      <c r="BK45" s="11" t="n">
        <f aca="false">BK33*BK44/1000000</f>
        <v>11.8271309481052</v>
      </c>
      <c r="BL45" s="11" t="n">
        <f aca="false">BL33*BL44/1000000</f>
        <v>12.3965629101064</v>
      </c>
      <c r="BM45" s="11" t="n">
        <f aca="false">BM33*BM44/1000000</f>
        <v>8.34936857212671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4886.82613822903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25.7791196996463</v>
      </c>
      <c r="P46" s="11" t="n">
        <f aca="false">P33*P35*(1000*Inputs!$F$121/Inputs!$F$122)*P36/1000000</f>
        <v>77.3244496667218</v>
      </c>
      <c r="Q46" s="11" t="n">
        <f aca="false">Q33*Q35*(1000*Inputs!$F$121/Inputs!$F$122)*Q36/1000000</f>
        <v>78.5989487836604</v>
      </c>
      <c r="R46" s="11" t="n">
        <f aca="false">R33*R35*(1000*Inputs!$F$121/Inputs!$F$122)*R36/1000000</f>
        <v>78.0749011546623</v>
      </c>
      <c r="S46" s="11" t="n">
        <f aca="false">S33*S35*(1000*Inputs!$F$121/Inputs!$F$122)*S36/1000000</f>
        <v>79.8733798268943</v>
      </c>
      <c r="T46" s="11" t="n">
        <f aca="false">T33*T35*(1000*Inputs!$F$121/Inputs!$F$122)*T36/1000000</f>
        <v>80.3672083375917</v>
      </c>
      <c r="U46" s="11" t="n">
        <f aca="false">U33*U35*(1000*Inputs!$F$121/Inputs!$F$122)*U36/1000000</f>
        <v>81.021751587173</v>
      </c>
      <c r="V46" s="11" t="n">
        <f aca="false">V33*V35*(1000*Inputs!$F$121/Inputs!$F$122)*V36/1000000</f>
        <v>79.137648401152</v>
      </c>
      <c r="W46" s="11" t="n">
        <f aca="false">W33*W35*(1000*Inputs!$F$121/Inputs!$F$122)*W36/1000000</f>
        <v>81.6498489848216</v>
      </c>
      <c r="X46" s="11" t="n">
        <f aca="false">X33*X35*(1000*Inputs!$F$121/Inputs!$F$122)*X36/1000000</f>
        <v>83.5286114440956</v>
      </c>
      <c r="Y46" s="11" t="n">
        <f aca="false">Y33*Y35*(1000*Inputs!$F$121/Inputs!$F$122)*Y36/1000000</f>
        <v>84.9048165069735</v>
      </c>
      <c r="Z46" s="11" t="n">
        <f aca="false">Z33*Z35*(1000*Inputs!$F$121/Inputs!$F$122)*Z36/1000000</f>
        <v>84.3381746041477</v>
      </c>
      <c r="AA46" s="11" t="n">
        <f aca="false">AA33*AA35*(1000*Inputs!$F$121/Inputs!$F$122)*AA36/1000000</f>
        <v>86.2803657749892</v>
      </c>
      <c r="AB46" s="11" t="n">
        <f aca="false">AB33*AB35*(1000*Inputs!$F$121/Inputs!$F$122)*AB36/1000000</f>
        <v>86.8132386021557</v>
      </c>
      <c r="AC46" s="11" t="n">
        <f aca="false">AC33*AC35*(1000*Inputs!$F$121/Inputs!$F$122)*AC36/1000000</f>
        <v>86.9219818515905</v>
      </c>
      <c r="AD46" s="11" t="n">
        <f aca="false">AD33*AD35*(1000*Inputs!$F$121/Inputs!$F$122)*AD36/1000000</f>
        <v>83.6912300873451</v>
      </c>
      <c r="AE46" s="11" t="n">
        <f aca="false">AE33*AE35*(1000*Inputs!$F$121/Inputs!$F$122)*AE36/1000000</f>
        <v>86.9783006666355</v>
      </c>
      <c r="AF46" s="11" t="n">
        <f aca="false">AF33*AF35*(1000*Inputs!$F$121/Inputs!$F$122)*AF36/1000000</f>
        <v>90.2258441743053</v>
      </c>
      <c r="AG46" s="11" t="n">
        <f aca="false">AG33*AG35*(1000*Inputs!$F$121/Inputs!$F$122)*AG36/1000000</f>
        <v>91.7117897628972</v>
      </c>
      <c r="AH46" s="11" t="n">
        <f aca="false">AH33*AH35*(1000*Inputs!$F$121/Inputs!$F$122)*AH36/1000000</f>
        <v>91.0991206249612</v>
      </c>
      <c r="AI46" s="11" t="n">
        <f aca="false">AI33*AI35*(1000*Inputs!$F$121/Inputs!$F$122)*AI36/1000000</f>
        <v>93.1963942315242</v>
      </c>
      <c r="AJ46" s="11" t="n">
        <f aca="false">AJ33*AJ35*(1000*Inputs!$F$121/Inputs!$F$122)*AJ36/1000000</f>
        <v>93.7713638483066</v>
      </c>
      <c r="AK46" s="11" t="n">
        <f aca="false">AK33*AK35*(1000*Inputs!$F$121/Inputs!$F$122)*AK36/1000000</f>
        <v>94.5338347262224</v>
      </c>
      <c r="AL46" s="11" t="n">
        <f aca="false">AL33*AL35*(1000*Inputs!$F$121/Inputs!$F$122)*AL36/1000000</f>
        <v>92.3343043481119</v>
      </c>
      <c r="AM46" s="11" t="n">
        <f aca="false">AM33*AM35*(1000*Inputs!$F$121/Inputs!$F$122)*AM36/1000000</f>
        <v>95.2641759921699</v>
      </c>
      <c r="AN46" s="11" t="n">
        <f aca="false">AN33*AN35*(1000*Inputs!$F$121/Inputs!$F$122)*AN36/1000000</f>
        <v>97.454921459431</v>
      </c>
      <c r="AO46" s="11" t="n">
        <f aca="false">AO33*AO35*(1000*Inputs!$F$121/Inputs!$F$122)*AO36/1000000</f>
        <v>99.0592696696603</v>
      </c>
      <c r="AP46" s="11" t="n">
        <f aca="false">AP33*AP35*(1000*Inputs!$F$121/Inputs!$F$122)*AP36/1000000</f>
        <v>98.3968661325441</v>
      </c>
      <c r="AQ46" s="11" t="n">
        <f aca="false">AQ33*AQ35*(1000*Inputs!$F$121/Inputs!$F$122)*AQ36/1000000</f>
        <v>100.661481636439</v>
      </c>
      <c r="AR46" s="11" t="n">
        <f aca="false">AR33*AR35*(1000*Inputs!$F$121/Inputs!$F$122)*AR36/1000000</f>
        <v>101.281836065243</v>
      </c>
      <c r="AS46" s="11" t="n">
        <f aca="false">AS33*AS35*(1000*Inputs!$F$121/Inputs!$F$122)*AS36/1000000</f>
        <v>101.407363093729</v>
      </c>
      <c r="AT46" s="11" t="n">
        <f aca="false">AT33*AT35*(1000*Inputs!$F$121/Inputs!$F$122)*AT36/1000000</f>
        <v>97.6369218120997</v>
      </c>
      <c r="AU46" s="11" t="n">
        <f aca="false">AU33*AU35*(1000*Inputs!$F$121/Inputs!$F$122)*AU36/1000000</f>
        <v>101.470383003147</v>
      </c>
      <c r="AV46" s="11" t="n">
        <f aca="false">AV33*AV35*(1000*Inputs!$F$121/Inputs!$F$122)*AV36/1000000</f>
        <v>105.257629282044</v>
      </c>
      <c r="AW46" s="11" t="n">
        <f aca="false">AW33*AW35*(1000*Inputs!$F$121/Inputs!$F$122)*AW36/1000000</f>
        <v>106.989718090849</v>
      </c>
      <c r="AX46" s="11" t="n">
        <f aca="false">AX33*AX35*(1000*Inputs!$F$121/Inputs!$F$122)*AX36/1000000</f>
        <v>106.273577101457</v>
      </c>
      <c r="AY46" s="11" t="n">
        <f aca="false">AY33*AY35*(1000*Inputs!$F$121/Inputs!$F$122)*AY36/1000000</f>
        <v>108.718752184724</v>
      </c>
      <c r="AZ46" s="11" t="n">
        <f aca="false">AZ33*AZ35*(1000*Inputs!$F$121/Inputs!$F$122)*AZ36/1000000</f>
        <v>109.388032892451</v>
      </c>
      <c r="BA46" s="11" t="n">
        <f aca="false">BA33*BA35*(1000*Inputs!$F$121/Inputs!$F$122)*BA36/1000000</f>
        <v>110.276019419535</v>
      </c>
      <c r="BB46" s="11" t="n">
        <f aca="false">BB33*BB35*(1000*Inputs!$F$121/Inputs!$F$122)*BB36/1000000</f>
        <v>107.708780540664</v>
      </c>
      <c r="BC46" s="11" t="n">
        <f aca="false">BC33*BC35*(1000*Inputs!$F$121/Inputs!$F$122)*BC36/1000000</f>
        <v>111.125021868197</v>
      </c>
      <c r="BD46" s="11" t="n">
        <f aca="false">BD33*BD35*(1000*Inputs!$F$121/Inputs!$F$122)*BD36/1000000</f>
        <v>113.678996733924</v>
      </c>
      <c r="BE46" s="11" t="n">
        <f aca="false">BE33*BE35*(1000*Inputs!$F$121/Inputs!$F$122)*BE36/1000000</f>
        <v>115.548892032972</v>
      </c>
      <c r="BF46" s="11" t="n">
        <f aca="false">BF33*BF35*(1000*Inputs!$F$121/Inputs!$F$122)*BF36/1000000</f>
        <v>114.774691266782</v>
      </c>
      <c r="BG46" s="11" t="n">
        <f aca="false">BG33*BG35*(1000*Inputs!$F$121/Inputs!$F$122)*BG36/1000000</f>
        <v>117.414675751632</v>
      </c>
      <c r="BH46" s="11" t="n">
        <f aca="false">BH33*BH35*(1000*Inputs!$F$121/Inputs!$F$122)*BH36/1000000</f>
        <v>118.136696878405</v>
      </c>
      <c r="BI46" s="11" t="n">
        <f aca="false">BI33*BI35*(1000*Inputs!$F$121/Inputs!$F$122)*BI36/1000000</f>
        <v>118.281530787593</v>
      </c>
      <c r="BJ46" s="11" t="n">
        <f aca="false">BJ33*BJ35*(1000*Inputs!$F$121/Inputs!$F$122)*BJ36/1000000</f>
        <v>113.882163597378</v>
      </c>
      <c r="BK46" s="11" t="n">
        <f aca="false">BK33*BK35*(1000*Inputs!$F$121/Inputs!$F$122)*BK36/1000000</f>
        <v>118.351865898643</v>
      </c>
      <c r="BL46" s="11" t="n">
        <f aca="false">BL33*BL35*(1000*Inputs!$F$121/Inputs!$F$122)*BL36/1000000</f>
        <v>122.767544113567</v>
      </c>
      <c r="BM46" s="11" t="n">
        <f aca="false">BM33*BM35*(1000*Inputs!$F$121/Inputs!$F$122)*BM36/1000000</f>
        <v>83.4617032271672</v>
      </c>
      <c r="BN46" s="11" t="n">
        <f aca="false">BN33*BN35*(1000*Inputs!$F$121/Inputs!$F$122)*BN36/1000000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146.429542661692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0.822072217410972</v>
      </c>
      <c r="P48" s="11" t="n">
        <f aca="false">P37*Inputs!$F$145*(1+Inputs!$F$146/100)^(Time!P21-2018)/1000000</f>
        <v>2.46596928451541</v>
      </c>
      <c r="Q48" s="11" t="n">
        <f aca="false">Q37*Inputs!$F$145*(1+Inputs!$F$146/100)^(Time!Q21-2018)/1000000</f>
        <v>2.49457634071986</v>
      </c>
      <c r="R48" s="11" t="n">
        <f aca="false">R37*Inputs!$F$145*(1+Inputs!$F$146/100)^(Time!R21-2018)/1000000</f>
        <v>2.47819126968233</v>
      </c>
      <c r="S48" s="11" t="n">
        <f aca="false">S37*Inputs!$F$145*(1+Inputs!$F$146/100)^(Time!S21-2018)/1000000</f>
        <v>2.52310069174203</v>
      </c>
      <c r="T48" s="11" t="n">
        <f aca="false">T37*Inputs!$F$145*(1+Inputs!$F$146/100)^(Time!T21-2018)/1000000</f>
        <v>2.53895279679783</v>
      </c>
      <c r="U48" s="11" t="n">
        <f aca="false">U37*Inputs!$F$145*(1+Inputs!$F$146/100)^(Time!U21-2018)/1000000</f>
        <v>2.54733708376765</v>
      </c>
      <c r="V48" s="11" t="n">
        <f aca="false">V37*Inputs!$F$145*(1+Inputs!$F$146/100)^(Time!V21-2018)/1000000</f>
        <v>2.48834767032787</v>
      </c>
      <c r="W48" s="11" t="n">
        <f aca="false">W37*Inputs!$F$145*(1+Inputs!$F$146/100)^(Time!W21-2018)/1000000</f>
        <v>2.5550079524854</v>
      </c>
      <c r="X48" s="11" t="n">
        <f aca="false">X37*Inputs!$F$145*(1+Inputs!$F$146/100)^(Time!X21-2018)/1000000</f>
        <v>2.61405768091835</v>
      </c>
      <c r="Y48" s="11" t="n">
        <f aca="false">Y37*Inputs!$F$145*(1+Inputs!$F$146/100)^(Time!Y21-2018)/1000000</f>
        <v>2.64436310847705</v>
      </c>
      <c r="Z48" s="11" t="n">
        <f aca="false">Z37*Inputs!$F$145*(1+Inputs!$F$146/100)^(Time!Z21-2018)/1000000</f>
        <v>2.62697475306514</v>
      </c>
      <c r="AA48" s="11" t="n">
        <f aca="false">AA37*Inputs!$F$145*(1+Inputs!$F$146/100)^(Time!AA21-2018)/1000000</f>
        <v>2.6745606031505</v>
      </c>
      <c r="AB48" s="11" t="n">
        <f aca="false">AB37*Inputs!$F$145*(1+Inputs!$F$146/100)^(Time!AB21-2018)/1000000</f>
        <v>2.69134436037929</v>
      </c>
      <c r="AC48" s="11" t="n">
        <f aca="false">AC37*Inputs!$F$145*(1+Inputs!$F$146/100)^(Time!AC21-2018)/1000000</f>
        <v>2.68177045261444</v>
      </c>
      <c r="AD48" s="11" t="n">
        <f aca="false">AD37*Inputs!$F$145*(1+Inputs!$F$146/100)^(Time!AD21-2018)/1000000</f>
        <v>2.58234751037338</v>
      </c>
      <c r="AE48" s="11" t="n">
        <f aca="false">AE37*Inputs!$F$145*(1+Inputs!$F$146/100)^(Time!AE21-2018)/1000000</f>
        <v>2.67087909828532</v>
      </c>
      <c r="AF48" s="11" t="n">
        <f aca="false">AF37*Inputs!$F$145*(1+Inputs!$F$146/100)^(Time!AF21-2018)/1000000</f>
        <v>2.77087493886801</v>
      </c>
      <c r="AG48" s="11" t="n">
        <f aca="false">AG37*Inputs!$F$145*(1+Inputs!$F$146/100)^(Time!AG21-2018)/1000000</f>
        <v>2.80297757361037</v>
      </c>
      <c r="AH48" s="11" t="n">
        <f aca="false">AH37*Inputs!$F$145*(1+Inputs!$F$146/100)^(Time!AH21-2018)/1000000</f>
        <v>2.78452554036638</v>
      </c>
      <c r="AI48" s="11" t="n">
        <f aca="false">AI37*Inputs!$F$145*(1+Inputs!$F$146/100)^(Time!AI21-2018)/1000000</f>
        <v>2.83494424264546</v>
      </c>
      <c r="AJ48" s="11" t="n">
        <f aca="false">AJ37*Inputs!$F$145*(1+Inputs!$F$146/100)^(Time!AJ21-2018)/1000000</f>
        <v>2.85271324558339</v>
      </c>
      <c r="AK48" s="11" t="n">
        <f aca="false">AK37*Inputs!$F$145*(1+Inputs!$F$146/100)^(Time!AK21-2018)/1000000</f>
        <v>2.86209114322515</v>
      </c>
      <c r="AL48" s="11" t="n">
        <f aca="false">AL37*Inputs!$F$145*(1+Inputs!$F$146/100)^(Time!AL21-2018)/1000000</f>
        <v>2.79577133641956</v>
      </c>
      <c r="AM48" s="11" t="n">
        <f aca="false">AM37*Inputs!$F$145*(1+Inputs!$F$146/100)^(Time!AM21-2018)/1000000</f>
        <v>2.87062450669468</v>
      </c>
      <c r="AN48" s="11" t="n">
        <f aca="false">AN37*Inputs!$F$145*(1+Inputs!$F$146/100)^(Time!AN21-2018)/1000000</f>
        <v>2.93692488173585</v>
      </c>
      <c r="AO48" s="11" t="n">
        <f aca="false">AO37*Inputs!$F$145*(1+Inputs!$F$146/100)^(Time!AO21-2018)/1000000</f>
        <v>2.97092917871418</v>
      </c>
      <c r="AP48" s="11" t="n">
        <f aca="false">AP37*Inputs!$F$145*(1+Inputs!$F$146/100)^(Time!AP21-2018)/1000000</f>
        <v>2.95134950387454</v>
      </c>
      <c r="AQ48" s="11" t="n">
        <f aca="false">AQ37*Inputs!$F$145*(1+Inputs!$F$146/100)^(Time!AQ21-2018)/1000000</f>
        <v>3.00476642152149</v>
      </c>
      <c r="AR48" s="11" t="n">
        <f aca="false">AR37*Inputs!$F$145*(1+Inputs!$F$146/100)^(Time!AR21-2018)/1000000</f>
        <v>3.02357726824958</v>
      </c>
      <c r="AS48" s="11" t="n">
        <f aca="false">AS37*Inputs!$F$145*(1+Inputs!$F$146/100)^(Time!AS21-2018)/1000000</f>
        <v>3.0127765863489</v>
      </c>
      <c r="AT48" s="11" t="n">
        <f aca="false">AT37*Inputs!$F$145*(1+Inputs!$F$146/100)^(Time!AT21-2018)/1000000</f>
        <v>2.90103876886235</v>
      </c>
      <c r="AU48" s="11" t="n">
        <f aca="false">AU37*Inputs!$F$145*(1+Inputs!$F$146/100)^(Time!AU21-2018)/1000000</f>
        <v>3.00045138364863</v>
      </c>
      <c r="AV48" s="11" t="n">
        <f aca="false">AV37*Inputs!$F$145*(1+Inputs!$F$146/100)^(Time!AV21-2018)/1000000</f>
        <v>3.11273969469616</v>
      </c>
      <c r="AW48" s="11" t="n">
        <f aca="false">AW37*Inputs!$F$145*(1+Inputs!$F$146/100)^(Time!AW21-2018)/1000000</f>
        <v>3.14875603856921</v>
      </c>
      <c r="AX48" s="11" t="n">
        <f aca="false">AX37*Inputs!$F$145*(1+Inputs!$F$146/100)^(Time!AX21-2018)/1000000</f>
        <v>3.12798098121417</v>
      </c>
      <c r="AY48" s="11" t="n">
        <f aca="false">AY37*Inputs!$F$145*(1+Inputs!$F$146/100)^(Time!AY21-2018)/1000000</f>
        <v>3.18457091338283</v>
      </c>
      <c r="AZ48" s="11" t="n">
        <f aca="false">AZ37*Inputs!$F$145*(1+Inputs!$F$146/100)^(Time!AZ21-2018)/1000000</f>
        <v>3.20448336948944</v>
      </c>
      <c r="BA48" s="11" t="n">
        <f aca="false">BA37*Inputs!$F$145*(1+Inputs!$F$146/100)^(Time!BA21-2018)/1000000</f>
        <v>3.21496952620687</v>
      </c>
      <c r="BB48" s="11" t="n">
        <f aca="false">BB37*Inputs!$F$145*(1+Inputs!$F$146/100)^(Time!BB21-2018)/1000000</f>
        <v>3.14042584676436</v>
      </c>
      <c r="BC48" s="11" t="n">
        <f aca="false">BC37*Inputs!$F$145*(1+Inputs!$F$146/100)^(Time!BC21-2018)/1000000</f>
        <v>3.22445836749426</v>
      </c>
      <c r="BD48" s="11" t="n">
        <f aca="false">BD37*Inputs!$F$145*(1+Inputs!$F$146/100)^(Time!BD21-2018)/1000000</f>
        <v>3.29888147137207</v>
      </c>
      <c r="BE48" s="11" t="n">
        <f aca="false">BE37*Inputs!$F$145*(1+Inputs!$F$146/100)^(Time!BE21-2018)/1000000</f>
        <v>3.33702650328729</v>
      </c>
      <c r="BF48" s="11" t="n">
        <f aca="false">BF37*Inputs!$F$145*(1+Inputs!$F$146/100)^(Time!BF21-2018)/1000000</f>
        <v>3.31498432678839</v>
      </c>
      <c r="BG48" s="11" t="n">
        <f aca="false">BG37*Inputs!$F$145*(1+Inputs!$F$146/100)^(Time!BG21-2018)/1000000</f>
        <v>3.37493203223909</v>
      </c>
      <c r="BH48" s="11" t="n">
        <f aca="false">BH37*Inputs!$F$145*(1+Inputs!$F$146/100)^(Time!BH21-2018)/1000000</f>
        <v>3.39600920222504</v>
      </c>
      <c r="BI48" s="11" t="n">
        <f aca="false">BI37*Inputs!$F$145*(1+Inputs!$F$146/100)^(Time!BI21-2018)/1000000</f>
        <v>3.38382725385082</v>
      </c>
      <c r="BJ48" s="11" t="n">
        <f aca="false">BJ37*Inputs!$F$145*(1+Inputs!$F$146/100)^(Time!BJ21-2018)/1000000</f>
        <v>3.25827889270016</v>
      </c>
      <c r="BK48" s="11" t="n">
        <f aca="false">BK37*Inputs!$F$145*(1+Inputs!$F$146/100)^(Time!BK21-2018)/1000000</f>
        <v>3.36988266108797</v>
      </c>
      <c r="BL48" s="11" t="n">
        <f aca="false">BL37*Inputs!$F$145*(1+Inputs!$F$146/100)^(Time!BL21-2018)/1000000</f>
        <v>3.49594384123186</v>
      </c>
      <c r="BM48" s="11" t="n">
        <f aca="false">BM37*Inputs!$F$145*(1+Inputs!$F$146/100)^(Time!BM21-2018)/1000000</f>
        <v>2.36520234401095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3820.61994930087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22.5951464628854</v>
      </c>
      <c r="P50" s="11" t="n">
        <f aca="false">P43+P45</f>
        <v>68.079503798669</v>
      </c>
      <c r="Q50" s="11" t="n">
        <f aca="false">Q43+Q45</f>
        <v>68.3501693814498</v>
      </c>
      <c r="R50" s="11" t="n">
        <f aca="false">R43+R45</f>
        <v>68.598604560017</v>
      </c>
      <c r="S50" s="11" t="n">
        <f aca="false">S43+S45</f>
        <v>68.9246731909329</v>
      </c>
      <c r="T50" s="11" t="n">
        <f aca="false">T43+T45</f>
        <v>69.2798873531401</v>
      </c>
      <c r="U50" s="11" t="n">
        <f aca="false">U43+U45</f>
        <v>69.4968228908038</v>
      </c>
      <c r="V50" s="11" t="n">
        <f aca="false">V43+V45</f>
        <v>69.623027400631</v>
      </c>
      <c r="W50" s="11" t="n">
        <f aca="false">W43+W45</f>
        <v>70.0281619082129</v>
      </c>
      <c r="X50" s="11" t="n">
        <f aca="false">X43+X45</f>
        <v>70.5326048439577</v>
      </c>
      <c r="Y50" s="11" t="n">
        <f aca="false">Y43+Y45</f>
        <v>70.82750155221</v>
      </c>
      <c r="Z50" s="11" t="n">
        <f aca="false">Z43+Z45</f>
        <v>71.098306934729</v>
      </c>
      <c r="AA50" s="11" t="n">
        <f aca="false">AA43+AA45</f>
        <v>71.4533121211936</v>
      </c>
      <c r="AB50" s="11" t="n">
        <f aca="false">AB43+AB45</f>
        <v>71.8399369662758</v>
      </c>
      <c r="AC50" s="11" t="n">
        <f aca="false">AC43+AC45</f>
        <v>72.0178800959671</v>
      </c>
      <c r="AD50" s="11" t="n">
        <f aca="false">AD43+AD45</f>
        <v>71.1164379884014</v>
      </c>
      <c r="AE50" s="11" t="n">
        <f aca="false">AE43+AE45</f>
        <v>72.5358543630027</v>
      </c>
      <c r="AF50" s="11" t="n">
        <f aca="false">AF43+AF45</f>
        <v>73.2042637643675</v>
      </c>
      <c r="AG50" s="11" t="n">
        <f aca="false">AG43+AG45</f>
        <v>73.5255603229505</v>
      </c>
      <c r="AH50" s="11" t="n">
        <f aca="false">AH43+AH45</f>
        <v>73.8207500193711</v>
      </c>
      <c r="AI50" s="11" t="n">
        <f aca="false">AI43+AI45</f>
        <v>74.2072581174783</v>
      </c>
      <c r="AJ50" s="11" t="n">
        <f aca="false">AJ43+AJ45</f>
        <v>74.6280689574181</v>
      </c>
      <c r="AK50" s="11" t="n">
        <f aca="false">AK43+AK45</f>
        <v>74.8863213394096</v>
      </c>
      <c r="AL50" s="11" t="n">
        <f aca="false">AL43+AL45</f>
        <v>75.0379271213777</v>
      </c>
      <c r="AM50" s="11" t="n">
        <f aca="false">AM43+AM45</f>
        <v>75.5175366378541</v>
      </c>
      <c r="AN50" s="11" t="n">
        <f aca="false">AN43+AN45</f>
        <v>76.1139444535804</v>
      </c>
      <c r="AO50" s="11" t="n">
        <f aca="false">AO43+AO45</f>
        <v>76.4640036411205</v>
      </c>
      <c r="AP50" s="11" t="n">
        <f aca="false">AP43+AP45</f>
        <v>76.7857730839758</v>
      </c>
      <c r="AQ50" s="11" t="n">
        <f aca="false">AQ43+AQ45</f>
        <v>77.206577910042</v>
      </c>
      <c r="AR50" s="11" t="n">
        <f aca="false">AR43+AR45</f>
        <v>77.6645950604824</v>
      </c>
      <c r="AS50" s="11" t="n">
        <f aca="false">AS43+AS45</f>
        <v>77.8772936788802</v>
      </c>
      <c r="AT50" s="11" t="n">
        <f aca="false">AT43+AT45</f>
        <v>76.9190852280334</v>
      </c>
      <c r="AU50" s="11" t="n">
        <f aca="false">AU43+AU45</f>
        <v>78.4933818786806</v>
      </c>
      <c r="AV50" s="11" t="n">
        <f aca="false">AV43+AV45</f>
        <v>79.2828434007312</v>
      </c>
      <c r="AW50" s="11" t="n">
        <f aca="false">AW43+AW45</f>
        <v>79.6642394085416</v>
      </c>
      <c r="AX50" s="11" t="n">
        <f aca="false">AX43+AX45</f>
        <v>80.0149816750168</v>
      </c>
      <c r="AY50" s="11" t="n">
        <f aca="false">AY43+AY45</f>
        <v>80.4731246519855</v>
      </c>
      <c r="AZ50" s="11" t="n">
        <f aca="false">AZ43+AZ45</f>
        <v>80.9716350413326</v>
      </c>
      <c r="BA50" s="11" t="n">
        <f aca="false">BA43+BA45</f>
        <v>81.2790733223785</v>
      </c>
      <c r="BB50" s="11" t="n">
        <f aca="false">BB43+BB45</f>
        <v>81.4611773429948</v>
      </c>
      <c r="BC50" s="11" t="n">
        <f aca="false">BC43+BC45</f>
        <v>82.028936179926</v>
      </c>
      <c r="BD50" s="11" t="n">
        <f aca="false">BD43+BD45</f>
        <v>82.7340438463278</v>
      </c>
      <c r="BE50" s="11" t="n">
        <f aca="false">BE43+BE45</f>
        <v>83.1495811897239</v>
      </c>
      <c r="BF50" s="11" t="n">
        <f aca="false">BF43+BF45</f>
        <v>83.5319047928278</v>
      </c>
      <c r="BG50" s="11" t="n">
        <f aca="false">BG43+BG45</f>
        <v>84.03069687978</v>
      </c>
      <c r="BH50" s="11" t="n">
        <f aca="false">BH43+BH45</f>
        <v>84.5732775623593</v>
      </c>
      <c r="BI50" s="11" t="n">
        <f aca="false">BI43+BI45</f>
        <v>84.8275153155818</v>
      </c>
      <c r="BJ50" s="11" t="n">
        <f aca="false">BJ43+BJ45</f>
        <v>83.8023640907518</v>
      </c>
      <c r="BK50" s="11" t="n">
        <f aca="false">BK43+BK45</f>
        <v>85.5603017580846</v>
      </c>
      <c r="BL50" s="11" t="n">
        <f aca="false">BL43+BL45</f>
        <v>86.492683647295</v>
      </c>
      <c r="BM50" s="11" t="n">
        <f aca="false">BM43+BM45</f>
        <v>57.991396167726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9544.22236214768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53.012677547694</v>
      </c>
      <c r="P51" s="11" t="n">
        <f aca="false">P50+P46+P47+P48+P49</f>
        <v>159.381503190336</v>
      </c>
      <c r="Q51" s="11" t="n">
        <f aca="false">Q50+Q46+Q47+Q48+Q49</f>
        <v>160.937444509165</v>
      </c>
      <c r="R51" s="11" t="n">
        <f aca="false">R50+R46+R47+R48+R49</f>
        <v>160.835951131398</v>
      </c>
      <c r="S51" s="11" t="n">
        <f aca="false">S50+S46+S47+S48+S49</f>
        <v>162.987309962954</v>
      </c>
      <c r="T51" s="11" t="n">
        <f aca="false">T50+T46+T47+T48+T49</f>
        <v>164.045566446772</v>
      </c>
      <c r="U51" s="11" t="n">
        <f aca="false">U50+U46+U47+U48+U49</f>
        <v>164.972480869412</v>
      </c>
      <c r="V51" s="11" t="n">
        <f aca="false">V50+V46+V47+V48+V49</f>
        <v>163.286434200741</v>
      </c>
      <c r="W51" s="11" t="n">
        <f aca="false">W50+W46+W47+W48+W49</f>
        <v>166.251784671663</v>
      </c>
      <c r="X51" s="11" t="n">
        <f aca="false">X50+X46+X47+X48+X49</f>
        <v>168.893245858532</v>
      </c>
      <c r="Y51" s="11" t="n">
        <f aca="false">Y50+Y46+Y47+Y48+Y49</f>
        <v>170.575728481196</v>
      </c>
      <c r="Z51" s="11" t="n">
        <f aca="false">Z50+Z46+Z47+Z48+Z49</f>
        <v>170.464697759845</v>
      </c>
      <c r="AA51" s="11" t="n">
        <f aca="false">AA50+AA46+AA47+AA48+AA49</f>
        <v>172.790271522572</v>
      </c>
      <c r="AB51" s="11" t="n">
        <f aca="false">AB50+AB46+AB47+AB48+AB49</f>
        <v>173.931780018733</v>
      </c>
      <c r="AC51" s="11" t="n">
        <f aca="false">AC50+AC46+AC47+AC48+AC49</f>
        <v>174.25883107632</v>
      </c>
      <c r="AD51" s="11" t="n">
        <f aca="false">AD50+AD46+AD47+AD48+AD49</f>
        <v>170.166084577391</v>
      </c>
      <c r="AE51" s="11" t="n">
        <f aca="false">AE50+AE46+AE47+AE48+AE49</f>
        <v>174.941314099289</v>
      </c>
      <c r="AF51" s="11" t="n">
        <f aca="false">AF50+AF46+AF47+AF48+AF49</f>
        <v>179.168692903681</v>
      </c>
      <c r="AG51" s="11" t="n">
        <f aca="false">AG50+AG46+AG47+AG48+AG49</f>
        <v>180.987951830394</v>
      </c>
      <c r="AH51" s="11" t="n">
        <f aca="false">AH50+AH46+AH47+AH48+AH49</f>
        <v>180.866621861231</v>
      </c>
      <c r="AI51" s="11" t="n">
        <f aca="false">AI50+AI46+AI47+AI48+AI49</f>
        <v>183.380435125148</v>
      </c>
      <c r="AJ51" s="11" t="n">
        <f aca="false">AJ50+AJ46+AJ47+AJ48+AJ49</f>
        <v>184.611805112988</v>
      </c>
      <c r="AK51" s="11" t="n">
        <f aca="false">AK50+AK46+AK47+AK48+AK49</f>
        <v>185.694909265728</v>
      </c>
      <c r="AL51" s="11" t="n">
        <f aca="false">AL50+AL46+AL47+AL48+AL49</f>
        <v>183.728056753514</v>
      </c>
      <c r="AM51" s="11" t="n">
        <f aca="false">AM50+AM46+AM47+AM48+AM49</f>
        <v>187.191387739894</v>
      </c>
      <c r="AN51" s="11" t="n">
        <f aca="false">AN50+AN46+AN47+AN48+AN49</f>
        <v>190.269245551567</v>
      </c>
      <c r="AO51" s="11" t="n">
        <f aca="false">AO50+AO46+AO47+AO48+AO49</f>
        <v>192.236338851718</v>
      </c>
      <c r="AP51" s="11" t="n">
        <f aca="false">AP50+AP46+AP47+AP48+AP49</f>
        <v>192.103895298566</v>
      </c>
      <c r="AQ51" s="11" t="n">
        <f aca="false">AQ50+AQ46+AQ47+AQ48+AQ49</f>
        <v>194.821094375658</v>
      </c>
      <c r="AR51" s="11" t="n">
        <f aca="false">AR50+AR46+AR47+AR48+AR49</f>
        <v>196.149463570819</v>
      </c>
      <c r="AS51" s="11" t="n">
        <f aca="false">AS50+AS46+AS47+AS48+AS49</f>
        <v>196.533143982971</v>
      </c>
      <c r="AT51" s="11" t="n">
        <f aca="false">AT50+AT46+AT47+AT48+AT49</f>
        <v>191.849192813492</v>
      </c>
      <c r="AU51" s="11" t="n">
        <f aca="false">AU50+AU46+AU47+AU48+AU49</f>
        <v>197.334071085754</v>
      </c>
      <c r="AV51" s="11" t="n">
        <f aca="false">AV50+AV46+AV47+AV48+AV49</f>
        <v>202.261241587036</v>
      </c>
      <c r="AW51" s="11" t="n">
        <f aca="false">AW50+AW46+AW47+AW48+AW49</f>
        <v>204.388116180541</v>
      </c>
      <c r="AX51" s="11" t="n">
        <f aca="false">AX50+AX46+AX47+AX48+AX49</f>
        <v>204.243689405396</v>
      </c>
      <c r="AY51" s="11" t="n">
        <f aca="false">AY50+AY46+AY47+AY48+AY49</f>
        <v>207.180631432313</v>
      </c>
      <c r="AZ51" s="11" t="n">
        <f aca="false">AZ50+AZ46+AZ47+AZ48+AZ49</f>
        <v>208.613708195696</v>
      </c>
      <c r="BA51" s="11" t="n">
        <f aca="false">BA50+BA46+BA47+BA48+BA49</f>
        <v>209.879326641693</v>
      </c>
      <c r="BB51" s="11" t="n">
        <f aca="false">BB50+BB46+BB47+BB48+BB49</f>
        <v>207.585683976232</v>
      </c>
      <c r="BC51" s="11" t="n">
        <f aca="false">BC50+BC46+BC47+BC48+BC49</f>
        <v>211.630056549633</v>
      </c>
      <c r="BD51" s="11" t="n">
        <f aca="false">BD50+BD46+BD47+BD48+BD49</f>
        <v>215.216351801121</v>
      </c>
      <c r="BE51" s="11" t="n">
        <f aca="false">BE50+BE46+BE47+BE48+BE49</f>
        <v>217.515914462009</v>
      </c>
      <c r="BF51" s="11" t="n">
        <f aca="false">BF50+BF46+BF47+BF48+BF49</f>
        <v>217.358576582138</v>
      </c>
      <c r="BG51" s="11" t="n">
        <f aca="false">BG50+BG46+BG47+BG48+BG49</f>
        <v>220.532925620718</v>
      </c>
      <c r="BH51" s="11" t="n">
        <f aca="false">BH50+BH46+BH47+BH48+BH49</f>
        <v>222.079034781665</v>
      </c>
      <c r="BI51" s="11" t="n">
        <f aca="false">BI50+BI46+BI47+BI48+BI49</f>
        <v>222.529295839892</v>
      </c>
      <c r="BJ51" s="11" t="n">
        <f aca="false">BJ50+BJ46+BJ47+BJ48+BJ49</f>
        <v>217.155453486585</v>
      </c>
      <c r="BK51" s="11" t="n">
        <f aca="false">BK50+BK46+BK47+BK48+BK49</f>
        <v>223.469585243309</v>
      </c>
      <c r="BL51" s="11" t="n">
        <f aca="false">BL50+BL46+BL47+BL48+BL49</f>
        <v>229.212008211435</v>
      </c>
      <c r="BM51" s="11" t="n">
        <f aca="false">BM50+BM46+BM47+BM48+BM49</f>
        <v>154.711350103131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279.359635423702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1.39895045552449</v>
      </c>
      <c r="P55" s="11" t="n">
        <f aca="false">Inputs!$F$148*(Inputs!$F$149*P19+(1-Inputs!$F$149)*P23*Inputs!$F$150/P11)*Time!P25/12*Inputs!$F$39</f>
        <v>4.24276557728068</v>
      </c>
      <c r="Q55" s="11" t="n">
        <f aca="false">Inputs!$F$148*(Inputs!$F$149*Q19+(1-Inputs!$F$149)*Q23*Inputs!$F$150/Q11)*Time!Q25/12*Inputs!$F$39</f>
        <v>4.28918209663807</v>
      </c>
      <c r="R55" s="11" t="n">
        <f aca="false">Inputs!$F$148*(Inputs!$F$149*R19+(1-Inputs!$F$149)*R23*Inputs!$F$150/R11)*Time!R25/12*Inputs!$F$39</f>
        <v>4.33610641998086</v>
      </c>
      <c r="S55" s="11" t="n">
        <f aca="false">Inputs!$F$148*(Inputs!$F$149*S19+(1-Inputs!$F$149)*S23*Inputs!$F$150/S11)*Time!S25/12*Inputs!$F$39</f>
        <v>4.38354410276411</v>
      </c>
      <c r="T55" s="11" t="n">
        <f aca="false">Inputs!$F$148*(Inputs!$F$149*T19+(1-Inputs!$F$149)*T23*Inputs!$F$150/T11)*Time!T25/12*Inputs!$F$39</f>
        <v>4.43150076122044</v>
      </c>
      <c r="U55" s="11" t="n">
        <f aca="false">Inputs!$F$148*(Inputs!$F$149*U19+(1-Inputs!$F$149)*U23*Inputs!$F$150/U11)*Time!U25/12*Inputs!$F$39</f>
        <v>4.47998207302492</v>
      </c>
      <c r="V55" s="11" t="n">
        <f aca="false">Inputs!$F$148*(Inputs!$F$149*V19+(1-Inputs!$F$149)*V23*Inputs!$F$150/V11)*Time!V25/12*Inputs!$F$39</f>
        <v>4.52899377796729</v>
      </c>
      <c r="W55" s="11" t="n">
        <f aca="false">Inputs!$F$148*(Inputs!$F$149*W19+(1-Inputs!$F$149)*W23*Inputs!$F$150/W11)*Time!W25/12*Inputs!$F$39</f>
        <v>4.57854167863147</v>
      </c>
      <c r="X55" s="11" t="n">
        <f aca="false">Inputs!$F$148*(Inputs!$F$149*X19+(1-Inputs!$F$149)*X23*Inputs!$F$150/X11)*Time!X25/12*Inputs!$F$39</f>
        <v>4.62863164108256</v>
      </c>
      <c r="Y55" s="11" t="n">
        <f aca="false">Inputs!$F$148*(Inputs!$F$149*Y19+(1-Inputs!$F$149)*Y23*Inputs!$F$150/Y11)*Time!Y25/12*Inputs!$F$39</f>
        <v>4.67926959556136</v>
      </c>
      <c r="Z55" s="11" t="n">
        <f aca="false">Inputs!$F$148*(Inputs!$F$149*Z19+(1-Inputs!$F$149)*Z23*Inputs!$F$150/Z11)*Time!Z25/12*Inputs!$F$39</f>
        <v>4.73046153718638</v>
      </c>
      <c r="AA55" s="11" t="n">
        <f aca="false">Inputs!$F$148*(Inputs!$F$149*AA19+(1-Inputs!$F$149)*AA23*Inputs!$F$150/AA11)*Time!AA25/12*Inputs!$F$39</f>
        <v>4.78221352666371</v>
      </c>
      <c r="AB55" s="11" t="n">
        <f aca="false">Inputs!$F$148*(Inputs!$F$149*AB19+(1-Inputs!$F$149)*AB23*Inputs!$F$150/AB11)*Time!AB25/12*Inputs!$F$39</f>
        <v>4.83453169100448</v>
      </c>
      <c r="AC55" s="11" t="n">
        <f aca="false">Inputs!$F$148*(Inputs!$F$149*AC19+(1-Inputs!$F$149)*AC23*Inputs!$F$150/AC11)*Time!AC25/12*Inputs!$F$39</f>
        <v>4.88742222425031</v>
      </c>
      <c r="AD55" s="11" t="n">
        <f aca="false">Inputs!$F$148*(Inputs!$F$149*AD19+(1-Inputs!$F$149)*AD23*Inputs!$F$150/AD11)*Time!AD25/12*Inputs!$F$39</f>
        <v>4.94089138820658</v>
      </c>
      <c r="AE55" s="11" t="n">
        <f aca="false">Inputs!$F$148*(Inputs!$F$149*AE19+(1-Inputs!$F$149)*AE23*Inputs!$F$150/AE11)*Time!AE25/12*Inputs!$F$39</f>
        <v>4.99494551318381</v>
      </c>
      <c r="AF55" s="11" t="n">
        <f aca="false">Inputs!$F$148*(Inputs!$F$149*AF19+(1-Inputs!$F$149)*AF23*Inputs!$F$150/AF11)*Time!AF25/12*Inputs!$F$39</f>
        <v>5.04959099874712</v>
      </c>
      <c r="AG55" s="11" t="n">
        <f aca="false">Inputs!$F$148*(Inputs!$F$149*AG19+(1-Inputs!$F$149)*AG23*Inputs!$F$150/AG11)*Time!AG25/12*Inputs!$F$39</f>
        <v>5.10483431447386</v>
      </c>
      <c r="AH55" s="11" t="n">
        <f aca="false">Inputs!$F$148*(Inputs!$F$149*AH19+(1-Inputs!$F$149)*AH23*Inputs!$F$150/AH11)*Time!AH25/12*Inputs!$F$39</f>
        <v>5.16068200071956</v>
      </c>
      <c r="AI55" s="11" t="n">
        <f aca="false">Inputs!$F$148*(Inputs!$F$149*AI19+(1-Inputs!$F$149)*AI23*Inputs!$F$150/AI11)*Time!AI25/12*Inputs!$F$39</f>
        <v>5.21714066939228</v>
      </c>
      <c r="AJ55" s="11" t="n">
        <f aca="false">Inputs!$F$148*(Inputs!$F$149*AJ19+(1-Inputs!$F$149)*AJ23*Inputs!$F$150/AJ11)*Time!AJ25/12*Inputs!$F$39</f>
        <v>5.27421700473539</v>
      </c>
      <c r="AK55" s="11" t="n">
        <f aca="false">Inputs!$F$148*(Inputs!$F$149*AK19+(1-Inputs!$F$149)*AK23*Inputs!$F$150/AK11)*Time!AK25/12*Inputs!$F$39</f>
        <v>5.33191776411891</v>
      </c>
      <c r="AL55" s="11" t="n">
        <f aca="false">Inputs!$F$148*(Inputs!$F$149*AL19+(1-Inputs!$F$149)*AL23*Inputs!$F$150/AL11)*Time!AL25/12*Inputs!$F$39</f>
        <v>5.39024977883957</v>
      </c>
      <c r="AM55" s="11" t="n">
        <f aca="false">Inputs!$F$148*(Inputs!$F$149*AM19+(1-Inputs!$F$149)*AM23*Inputs!$F$150/AM11)*Time!AM25/12*Inputs!$F$39</f>
        <v>5.44921995492953</v>
      </c>
      <c r="AN55" s="11" t="n">
        <f aca="false">Inputs!$F$148*(Inputs!$F$149*AN19+(1-Inputs!$F$149)*AN23*Inputs!$F$150/AN11)*Time!AN25/12*Inputs!$F$39</f>
        <v>5.50883527397404</v>
      </c>
      <c r="AO55" s="11" t="n">
        <f aca="false">Inputs!$F$148*(Inputs!$F$149*AO19+(1-Inputs!$F$149)*AO23*Inputs!$F$150/AO11)*Time!AO25/12*Inputs!$F$39</f>
        <v>5.56910279393798</v>
      </c>
      <c r="AP55" s="11" t="n">
        <f aca="false">Inputs!$F$148*(Inputs!$F$149*AP19+(1-Inputs!$F$149)*AP23*Inputs!$F$150/AP11)*Time!AP25/12*Inputs!$F$39</f>
        <v>5.63002965000146</v>
      </c>
      <c r="AQ55" s="11" t="n">
        <f aca="false">Inputs!$F$148*(Inputs!$F$149*AQ19+(1-Inputs!$F$149)*AQ23*Inputs!$F$150/AQ11)*Time!AQ25/12*Inputs!$F$39</f>
        <v>5.69162305540461</v>
      </c>
      <c r="AR55" s="11" t="n">
        <f aca="false">Inputs!$F$148*(Inputs!$F$149*AR19+(1-Inputs!$F$149)*AR23*Inputs!$F$150/AR11)*Time!AR25/12*Inputs!$F$39</f>
        <v>5.7538903023015</v>
      </c>
      <c r="AS55" s="11" t="n">
        <f aca="false">Inputs!$F$148*(Inputs!$F$149*AS19+(1-Inputs!$F$149)*AS23*Inputs!$F$150/AS11)*Time!AS25/12*Inputs!$F$39</f>
        <v>5.81683876262351</v>
      </c>
      <c r="AT55" s="11" t="n">
        <f aca="false">Inputs!$F$148*(Inputs!$F$149*AT19+(1-Inputs!$F$149)*AT23*Inputs!$F$150/AT11)*Time!AT25/12*Inputs!$F$39</f>
        <v>5.88047588895213</v>
      </c>
      <c r="AU55" s="11" t="n">
        <f aca="false">Inputs!$F$148*(Inputs!$F$149*AU19+(1-Inputs!$F$149)*AU23*Inputs!$F$150/AU11)*Time!AU25/12*Inputs!$F$39</f>
        <v>5.94480921540123</v>
      </c>
      <c r="AV55" s="11" t="n">
        <f aca="false">Inputs!$F$148*(Inputs!$F$149*AV19+(1-Inputs!$F$149)*AV23*Inputs!$F$150/AV11)*Time!AV25/12*Inputs!$F$39</f>
        <v>6.00984635850908</v>
      </c>
      <c r="AW55" s="11" t="n">
        <f aca="false">Inputs!$F$148*(Inputs!$F$149*AW19+(1-Inputs!$F$149)*AW23*Inputs!$F$150/AW11)*Time!AW25/12*Inputs!$F$39</f>
        <v>6.07559501814005</v>
      </c>
      <c r="AX55" s="11" t="n">
        <f aca="false">Inputs!$F$148*(Inputs!$F$149*AX19+(1-Inputs!$F$149)*AX23*Inputs!$F$150/AX11)*Time!AX25/12*Inputs!$F$39</f>
        <v>6.14206297839627</v>
      </c>
      <c r="AY55" s="11" t="n">
        <f aca="false">Inputs!$F$148*(Inputs!$F$149*AY19+(1-Inputs!$F$149)*AY23*Inputs!$F$150/AY11)*Time!AY25/12*Inputs!$F$39</f>
        <v>6.20925810853913</v>
      </c>
      <c r="AZ55" s="11" t="n">
        <f aca="false">Inputs!$F$148*(Inputs!$F$149*AZ19+(1-Inputs!$F$149)*AZ23*Inputs!$F$150/AZ11)*Time!AZ25/12*Inputs!$F$39</f>
        <v>6.27718836392099</v>
      </c>
      <c r="BA55" s="11" t="n">
        <f aca="false">Inputs!$F$148*(Inputs!$F$149*BA19+(1-Inputs!$F$149)*BA23*Inputs!$F$150/BA11)*Time!BA25/12*Inputs!$F$39</f>
        <v>6.34586178692699</v>
      </c>
      <c r="BB55" s="11" t="n">
        <f aca="false">Inputs!$F$148*(Inputs!$F$149*BB19+(1-Inputs!$F$149)*BB23*Inputs!$F$150/BB11)*Time!BB25/12*Inputs!$F$39</f>
        <v>6.41528650792725</v>
      </c>
      <c r="BC55" s="11" t="n">
        <f aca="false">Inputs!$F$148*(Inputs!$F$149*BC19+(1-Inputs!$F$149)*BC23*Inputs!$F$150/BC11)*Time!BC25/12*Inputs!$F$39</f>
        <v>6.48547074623939</v>
      </c>
      <c r="BD55" s="11" t="n">
        <f aca="false">Inputs!$F$148*(Inputs!$F$149*BD19+(1-Inputs!$F$149)*BD23*Inputs!$F$150/BD11)*Time!BD25/12*Inputs!$F$39</f>
        <v>6.55642281110165</v>
      </c>
      <c r="BE55" s="11" t="n">
        <f aca="false">Inputs!$F$148*(Inputs!$F$149*BE19+(1-Inputs!$F$149)*BE23*Inputs!$F$150/BE11)*Time!BE25/12*Inputs!$F$39</f>
        <v>6.62815110265665</v>
      </c>
      <c r="BF55" s="11" t="n">
        <f aca="false">Inputs!$F$148*(Inputs!$F$149*BF19+(1-Inputs!$F$149)*BF23*Inputs!$F$150/BF11)*Time!BF25/12*Inputs!$F$39</f>
        <v>6.70066411294588</v>
      </c>
      <c r="BG55" s="11" t="n">
        <f aca="false">Inputs!$F$148*(Inputs!$F$149*BG19+(1-Inputs!$F$149)*BG23*Inputs!$F$150/BG11)*Time!BG25/12*Inputs!$F$39</f>
        <v>6.7739704269151</v>
      </c>
      <c r="BH55" s="11" t="n">
        <f aca="false">Inputs!$F$148*(Inputs!$F$149*BH19+(1-Inputs!$F$149)*BH23*Inputs!$F$150/BH11)*Time!BH25/12*Inputs!$F$39</f>
        <v>6.84807872343069</v>
      </c>
      <c r="BI55" s="11" t="n">
        <f aca="false">Inputs!$F$148*(Inputs!$F$149*BI19+(1-Inputs!$F$149)*BI23*Inputs!$F$150/BI11)*Time!BI25/12*Inputs!$F$39</f>
        <v>6.92299777630723</v>
      </c>
      <c r="BJ55" s="11" t="n">
        <f aca="false">Inputs!$F$148*(Inputs!$F$149*BJ19+(1-Inputs!$F$149)*BJ23*Inputs!$F$150/BJ11)*Time!BJ25/12*Inputs!$F$39</f>
        <v>6.99873645534617</v>
      </c>
      <c r="BK55" s="11" t="n">
        <f aca="false">Inputs!$F$148*(Inputs!$F$149*BK19+(1-Inputs!$F$149)*BK23*Inputs!$F$150/BK11)*Time!BK25/12*Inputs!$F$39</f>
        <v>7.07530372738599</v>
      </c>
      <c r="BL55" s="11" t="n">
        <f aca="false">Inputs!$F$148*(Inputs!$F$149*BL19+(1-Inputs!$F$149)*BL23*Inputs!$F$150/BL11)*Time!BL25/12*Inputs!$F$39</f>
        <v>7.15270865736378</v>
      </c>
      <c r="BM55" s="11" t="n">
        <f aca="false">Inputs!$F$148*(Inputs!$F$149*BM19+(1-Inputs!$F$149)*BM23*Inputs!$F$150/BM11)*Time!BM25/12*Inputs!$F$39</f>
        <v>4.82064027292565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4.10798363305331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0.063700261300684</v>
      </c>
      <c r="P56" s="11" t="n">
        <f aca="false">IF(Time!P25&gt;0,Inputs!$F$151*MAX(-1,MIN(1,(P28-92)/3))*P19*Time!P25/12,0)</f>
        <v>0.193191456382922</v>
      </c>
      <c r="Q56" s="11" t="n">
        <f aca="false">IF(Time!Q25&gt;0,Inputs!$F$151*MAX(-1,MIN(1,(Q28-92)/3))*Q19*Time!Q25/12,0)</f>
        <v>0.162754167623248</v>
      </c>
      <c r="R56" s="11" t="n">
        <f aca="false">IF(Time!R25&gt;0,Inputs!$F$151*MAX(-1,MIN(1,(R28-92)/3))*R19*Time!R25/12,0)</f>
        <v>0.0987208342116753</v>
      </c>
      <c r="S56" s="11" t="n">
        <f aca="false">IF(Time!S25&gt;0,Inputs!$F$151*MAX(-1,MIN(1,(S28-92)/3))*S19*Time!S25/12,0)</f>
        <v>0.133067807448768</v>
      </c>
      <c r="T56" s="11" t="n">
        <f aca="false">IF(Time!T25&gt;0,Inputs!$F$151*MAX(-1,MIN(1,(T28-92)/3))*T19*Time!T25/12,0)</f>
        <v>0.201785385128659</v>
      </c>
      <c r="U56" s="11" t="n">
        <f aca="false">IF(Time!U25&gt;0,Inputs!$F$151*MAX(-1,MIN(1,(U28-92)/3))*U19*Time!U25/12,0)</f>
        <v>0.0831082384077247</v>
      </c>
      <c r="V56" s="11" t="n">
        <f aca="false">IF(Time!V25&gt;0,Inputs!$F$151*MAX(-1,MIN(1,(V28-92)/3))*V19*Time!V25/12,0)</f>
        <v>-0.160396960578939</v>
      </c>
      <c r="W56" s="11" t="n">
        <f aca="false">IF(Time!W25&gt;0,Inputs!$F$151*MAX(-1,MIN(1,(W28-92)/3))*W19*Time!W25/12,0)</f>
        <v>-0.0386075543875879</v>
      </c>
      <c r="X56" s="11" t="n">
        <f aca="false">IF(Time!X25&gt;0,Inputs!$F$151*MAX(-1,MIN(1,(X28-92)/3))*X19*Time!X25/12,0)</f>
        <v>0.210761606200723</v>
      </c>
      <c r="Y56" s="11" t="n">
        <f aca="false">IF(Time!Y25&gt;0,Inputs!$F$151*MAX(-1,MIN(1,(Y28-92)/3))*Y19*Time!Y25/12,0)</f>
        <v>0.177556142628519</v>
      </c>
      <c r="Z56" s="11" t="n">
        <f aca="false">IF(Time!Z25&gt;0,Inputs!$F$151*MAX(-1,MIN(1,(Z28-92)/3))*Z19*Time!Z25/12,0)</f>
        <v>0.107699180768572</v>
      </c>
      <c r="AA56" s="11" t="n">
        <f aca="false">IF(Time!AA25&gt;0,Inputs!$F$151*MAX(-1,MIN(1,(AA28-92)/3))*AA19*Time!AA25/12,0)</f>
        <v>0.145169902213078</v>
      </c>
      <c r="AB56" s="11" t="n">
        <f aca="false">IF(Time!AB25&gt;0,Inputs!$F$151*MAX(-1,MIN(1,(AB28-92)/3))*AB19*Time!AB25/12,0)</f>
        <v>0.220137125490956</v>
      </c>
      <c r="AC56" s="11" t="n">
        <f aca="false">IF(Time!AC25&gt;0,Inputs!$F$151*MAX(-1,MIN(1,(AC28-92)/3))*AC19*Time!AC25/12,0)</f>
        <v>0.0123636366718148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-0.202170186857499</v>
      </c>
      <c r="AF56" s="11" t="n">
        <f aca="false">IF(Time!AF25&gt;0,Inputs!$F$151*MAX(-1,MIN(1,(AF28-92)/3))*AF19*Time!AF25/12,0)</f>
        <v>0.229929705381295</v>
      </c>
      <c r="AG56" s="11" t="n">
        <f aca="false">IF(Time!AG25&gt;0,Inputs!$F$151*MAX(-1,MIN(1,(AG28-92)/3))*AG19*Time!AG25/12,0)</f>
        <v>0.19370431028284</v>
      </c>
      <c r="AH56" s="11" t="n">
        <f aca="false">IF(Time!AH25&gt;0,Inputs!$F$151*MAX(-1,MIN(1,(AH28-92)/3))*AH19*Time!AH25/12,0)</f>
        <v>0.117494079449845</v>
      </c>
      <c r="AI56" s="11" t="n">
        <f aca="false">IF(Time!AI25&gt;0,Inputs!$F$151*MAX(-1,MIN(1,(AI28-92)/3))*AI19*Time!AI25/12,0)</f>
        <v>0.158372644087251</v>
      </c>
      <c r="AJ56" s="11" t="n">
        <f aca="false">IF(Time!AJ25&gt;0,Inputs!$F$151*MAX(-1,MIN(1,(AJ28-92)/3))*AJ19*Time!AJ25/12,0)</f>
        <v>0.240157898395476</v>
      </c>
      <c r="AK56" s="11" t="n">
        <f aca="false">IF(Time!AK25&gt;0,Inputs!$F$151*MAX(-1,MIN(1,(AK28-92)/3))*AK19*Time!AK25/12,0)</f>
        <v>0.098912514712715</v>
      </c>
      <c r="AL56" s="11" t="n">
        <f aca="false">IF(Time!AL25&gt;0,Inputs!$F$151*MAX(-1,MIN(1,(AL28-92)/3))*AL19*Time!AL25/12,0)</f>
        <v>-0.190898845013474</v>
      </c>
      <c r="AM56" s="11" t="n">
        <f aca="false">IF(Time!AM25&gt;0,Inputs!$F$151*MAX(-1,MIN(1,(AM28-92)/3))*AM19*Time!AM25/12,0)</f>
        <v>-0.0459493591074514</v>
      </c>
      <c r="AN56" s="11" t="n">
        <f aca="false">IF(Time!AN25&gt;0,Inputs!$F$151*MAX(-1,MIN(1,(AN28-92)/3))*AN19*Time!AN25/12,0)</f>
        <v>0.250841082347701</v>
      </c>
      <c r="AO56" s="11" t="n">
        <f aca="false">IF(Time!AO25&gt;0,Inputs!$F$151*MAX(-1,MIN(1,(AO28-92)/3))*AO19*Time!AO25/12,0)</f>
        <v>0.211321102535172</v>
      </c>
      <c r="AP56" s="11" t="n">
        <f aca="false">IF(Time!AP25&gt;0,Inputs!$F$151*MAX(-1,MIN(1,(AP28-92)/3))*AP19*Time!AP25/12,0)</f>
        <v>0.128179793079678</v>
      </c>
      <c r="AQ56" s="11" t="n">
        <f aca="false">IF(Time!AQ25&gt;0,Inputs!$F$151*MAX(-1,MIN(1,(AQ28-92)/3))*AQ19*Time!AQ25/12,0)</f>
        <v>0.172776133432757</v>
      </c>
      <c r="AR56" s="11" t="n">
        <f aca="false">IF(Time!AR25&gt;0,Inputs!$F$151*MAX(-1,MIN(1,(AR28-92)/3))*AR19*Time!AR25/12,0)</f>
        <v>0.261999497054856</v>
      </c>
      <c r="AS56" s="11" t="n">
        <f aca="false">IF(Time!AS25&gt;0,Inputs!$F$151*MAX(-1,MIN(1,(AS28-92)/3))*AS19*Time!AS25/12,0)</f>
        <v>0.0147147673640244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-0.240615875936507</v>
      </c>
      <c r="AV56" s="11" t="n">
        <f aca="false">IF(Time!AV25&gt;0,Inputs!$F$151*MAX(-1,MIN(1,(AV28-92)/3))*AV19*Time!AV25/12,0)</f>
        <v>0.273654282681844</v>
      </c>
      <c r="AW56" s="11" t="n">
        <f aca="false">IF(Time!AW25&gt;0,Inputs!$F$151*MAX(-1,MIN(1,(AW28-92)/3))*AW19*Time!AW25/12,0)</f>
        <v>0.230540086131665</v>
      </c>
      <c r="AX56" s="11" t="n">
        <f aca="false">IF(Time!AX25&gt;0,Inputs!$F$151*MAX(-1,MIN(1,(AX28-92)/3))*AX19*Time!AX25/12,0)</f>
        <v>0.139837338450426</v>
      </c>
      <c r="AY56" s="11" t="n">
        <f aca="false">IF(Time!AY25&gt;0,Inputs!$F$151*MAX(-1,MIN(1,(AY28-92)/3))*AY19*Time!AY25/12,0)</f>
        <v>0.188489574421249</v>
      </c>
      <c r="AZ56" s="11" t="n">
        <f aca="false">IF(Time!AZ25&gt;0,Inputs!$F$151*MAX(-1,MIN(1,(AZ28-92)/3))*AZ19*Time!AZ25/12,0)</f>
        <v>0.285827519792663</v>
      </c>
      <c r="BA56" s="11" t="n">
        <f aca="false">IF(Time!BA25&gt;0,Inputs!$F$151*MAX(-1,MIN(1,(BA28-92)/3))*BA19*Time!BA25/12,0)</f>
        <v>0.117722210869093</v>
      </c>
      <c r="BB56" s="11" t="n">
        <f aca="false">IF(Time!BB25&gt;0,Inputs!$F$151*MAX(-1,MIN(1,(BB28-92)/3))*BB19*Time!BB25/12,0)</f>
        <v>-0.22720111962186</v>
      </c>
      <c r="BC56" s="11" t="n">
        <f aca="false">IF(Time!BC25&gt;0,Inputs!$F$151*MAX(-1,MIN(1,(BC28-92)/3))*BC19*Time!BC25/12,0)</f>
        <v>-0.054687317958278</v>
      </c>
      <c r="BD56" s="11" t="n">
        <f aca="false">IF(Time!BD25&gt;0,Inputs!$F$151*MAX(-1,MIN(1,(BD28-92)/3))*BD19*Time!BD25/12,0)</f>
        <v>0.29854227118312</v>
      </c>
      <c r="BE56" s="11" t="n">
        <f aca="false">IF(Time!BE25&gt;0,Inputs!$F$151*MAX(-1,MIN(1,(BE28-92)/3))*BE19*Time!BE25/12,0)</f>
        <v>0.251506975290124</v>
      </c>
      <c r="BF56" s="11" t="n">
        <f aca="false">IF(Time!BF25&gt;0,Inputs!$F$151*MAX(-1,MIN(1,(BF28-92)/3))*BF19*Time!BF25/12,0)</f>
        <v>0.152555100574578</v>
      </c>
      <c r="BG56" s="11" t="n">
        <f aca="false">IF(Time!BG25&gt;0,Inputs!$F$151*MAX(-1,MIN(1,(BG28-92)/3))*BG19*Time!BG25/12,0)</f>
        <v>0.205632102997206</v>
      </c>
      <c r="BH56" s="11" t="n">
        <f aca="false">IF(Time!BH25&gt;0,Inputs!$F$151*MAX(-1,MIN(1,(BH28-92)/3))*BH19*Time!BH25/12,0)</f>
        <v>0.311822625574429</v>
      </c>
      <c r="BI56" s="11" t="n">
        <f aca="false">IF(Time!BI25&gt;0,Inputs!$F$151*MAX(-1,MIN(1,(BI28-92)/3))*BI19*Time!BI25/12,0)</f>
        <v>0.0175130007719302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-0.286372588622579</v>
      </c>
      <c r="BL56" s="11" t="n">
        <f aca="false">IF(Time!BL25&gt;0,Inputs!$F$151*MAX(-1,MIN(1,(BL28-92)/3))*BL19*Time!BL25/12,0)</f>
        <v>0.325693743250482</v>
      </c>
      <c r="BM56" s="11" t="n">
        <f aca="false">IF(Time!BM25&gt;0,Inputs!$F$151*MAX(-1,MIN(1,(BM28-92)/3))*BM19*Time!BM25/12,0)</f>
        <v>0.219504589179205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93.2833128501808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0.46713524953835</v>
      </c>
      <c r="P57" s="11" t="n">
        <f aca="false">Inputs!$F$152*P19*Time!P25/12*Inputs!$F$39</f>
        <v>1.41673734680809</v>
      </c>
      <c r="Q57" s="11" t="n">
        <f aca="false">Inputs!$F$152*Q19*Time!Q25/12*Inputs!$F$39</f>
        <v>1.43223667508458</v>
      </c>
      <c r="R57" s="11" t="n">
        <f aca="false">Inputs!$F$152*R19*Time!R25/12*Inputs!$F$39</f>
        <v>1.44790556843787</v>
      </c>
      <c r="S57" s="11" t="n">
        <f aca="false">Inputs!$F$152*S19*Time!S25/12*Inputs!$F$39</f>
        <v>1.46374588193644</v>
      </c>
      <c r="T57" s="11" t="n">
        <f aca="false">Inputs!$F$152*T19*Time!T25/12*Inputs!$F$39</f>
        <v>1.47975949094351</v>
      </c>
      <c r="U57" s="11" t="n">
        <f aca="false">Inputs!$F$152*U19*Time!U25/12*Inputs!$F$39</f>
        <v>1.49594829133904</v>
      </c>
      <c r="V57" s="11" t="n">
        <f aca="false">Inputs!$F$152*V19*Time!V25/12*Inputs!$F$39</f>
        <v>1.51231419974426</v>
      </c>
      <c r="W57" s="11" t="n">
        <f aca="false">Inputs!$F$152*W19*Time!W25/12*Inputs!$F$39</f>
        <v>1.5288591537485</v>
      </c>
      <c r="X57" s="11" t="n">
        <f aca="false">Inputs!$F$152*X19*Time!X25/12*Inputs!$F$39</f>
        <v>1.54558511213864</v>
      </c>
      <c r="Y57" s="11" t="n">
        <f aca="false">Inputs!$F$152*Y19*Time!Y25/12*Inputs!$F$39</f>
        <v>1.56249405513097</v>
      </c>
      <c r="Z57" s="11" t="n">
        <f aca="false">Inputs!$F$152*Z19*Time!Z25/12*Inputs!$F$39</f>
        <v>1.57958798460568</v>
      </c>
      <c r="AA57" s="11" t="n">
        <f aca="false">Inputs!$F$152*AA19*Time!AA25/12*Inputs!$F$39</f>
        <v>1.59686892434385</v>
      </c>
      <c r="AB57" s="11" t="n">
        <f aca="false">Inputs!$F$152*AB19*Time!AB25/12*Inputs!$F$39</f>
        <v>1.61433892026701</v>
      </c>
      <c r="AC57" s="11" t="n">
        <f aca="false">Inputs!$F$152*AC19*Time!AC25/12*Inputs!$F$39</f>
        <v>1.63200004067941</v>
      </c>
      <c r="AD57" s="11" t="n">
        <f aca="false">Inputs!$F$152*AD19*Time!AD25/12*Inputs!$F$39</f>
        <v>1.64985437651288</v>
      </c>
      <c r="AE57" s="11" t="n">
        <f aca="false">Inputs!$F$152*AE19*Time!AE25/12*Inputs!$F$39</f>
        <v>1.66790404157436</v>
      </c>
      <c r="AF57" s="11" t="n">
        <f aca="false">Inputs!$F$152*AF19*Time!AF25/12*Inputs!$F$39</f>
        <v>1.68615117279617</v>
      </c>
      <c r="AG57" s="11" t="n">
        <f aca="false">Inputs!$F$152*AG19*Time!AG25/12*Inputs!$F$39</f>
        <v>1.704597930489</v>
      </c>
      <c r="AH57" s="11" t="n">
        <f aca="false">Inputs!$F$152*AH19*Time!AH25/12*Inputs!$F$39</f>
        <v>1.72324649859768</v>
      </c>
      <c r="AI57" s="11" t="n">
        <f aca="false">Inputs!$F$152*AI19*Time!AI25/12*Inputs!$F$39</f>
        <v>1.74209908495975</v>
      </c>
      <c r="AJ57" s="11" t="n">
        <f aca="false">Inputs!$F$152*AJ19*Time!AJ25/12*Inputs!$F$39</f>
        <v>1.76115792156683</v>
      </c>
      <c r="AK57" s="11" t="n">
        <f aca="false">Inputs!$F$152*AK19*Time!AK25/12*Inputs!$F$39</f>
        <v>1.78042526482887</v>
      </c>
      <c r="AL57" s="11" t="n">
        <f aca="false">Inputs!$F$152*AL19*Time!AL25/12*Inputs!$F$39</f>
        <v>1.7999033958413</v>
      </c>
      <c r="AM57" s="11" t="n">
        <f aca="false">Inputs!$F$152*AM19*Time!AM25/12*Inputs!$F$39</f>
        <v>1.8195946206551</v>
      </c>
      <c r="AN57" s="11" t="n">
        <f aca="false">Inputs!$F$152*AN19*Time!AN25/12*Inputs!$F$39</f>
        <v>1.83950127054981</v>
      </c>
      <c r="AO57" s="11" t="n">
        <f aca="false">Inputs!$F$152*AO19*Time!AO25/12*Inputs!$F$39</f>
        <v>1.85962570230951</v>
      </c>
      <c r="AP57" s="11" t="n">
        <f aca="false">Inputs!$F$152*AP19*Time!AP25/12*Inputs!$F$39</f>
        <v>1.8799702985019</v>
      </c>
      <c r="AQ57" s="11" t="n">
        <f aca="false">Inputs!$F$152*AQ19*Time!AQ25/12*Inputs!$F$39</f>
        <v>1.90053746776032</v>
      </c>
      <c r="AR57" s="11" t="n">
        <f aca="false">Inputs!$F$152*AR19*Time!AR25/12*Inputs!$F$39</f>
        <v>1.92132964506895</v>
      </c>
      <c r="AS57" s="11" t="n">
        <f aca="false">Inputs!$F$152*AS19*Time!AS25/12*Inputs!$F$39</f>
        <v>1.94234929205105</v>
      </c>
      <c r="AT57" s="11" t="n">
        <f aca="false">Inputs!$F$152*AT19*Time!AT25/12*Inputs!$F$39</f>
        <v>1.96359889726046</v>
      </c>
      <c r="AU57" s="11" t="n">
        <f aca="false">Inputs!$F$152*AU19*Time!AU25/12*Inputs!$F$39</f>
        <v>1.98508097647617</v>
      </c>
      <c r="AV57" s="11" t="n">
        <f aca="false">Inputs!$F$152*AV19*Time!AV25/12*Inputs!$F$39</f>
        <v>2.00679807300019</v>
      </c>
      <c r="AW57" s="11" t="n">
        <f aca="false">Inputs!$F$152*AW19*Time!AW25/12*Inputs!$F$39</f>
        <v>2.02875275795865</v>
      </c>
      <c r="AX57" s="11" t="n">
        <f aca="false">Inputs!$F$152*AX19*Time!AX25/12*Inputs!$F$39</f>
        <v>2.0509476306062</v>
      </c>
      <c r="AY57" s="11" t="n">
        <f aca="false">Inputs!$F$152*AY19*Time!AY25/12*Inputs!$F$39</f>
        <v>2.07338531863374</v>
      </c>
      <c r="AZ57" s="11" t="n">
        <f aca="false">Inputs!$F$152*AZ19*Time!AZ25/12*Inputs!$F$39</f>
        <v>2.09606847847953</v>
      </c>
      <c r="BA57" s="11" t="n">
        <f aca="false">Inputs!$F$152*BA19*Time!BA25/12*Inputs!$F$39</f>
        <v>2.11899979564368</v>
      </c>
      <c r="BB57" s="11" t="n">
        <f aca="false">Inputs!$F$152*BB19*Time!BB25/12*Inputs!$F$39</f>
        <v>2.14218198500608</v>
      </c>
      <c r="BC57" s="11" t="n">
        <f aca="false">Inputs!$F$152*BC19*Time!BC25/12*Inputs!$F$39</f>
        <v>2.16561779114784</v>
      </c>
      <c r="BD57" s="11" t="n">
        <f aca="false">Inputs!$F$152*BD19*Time!BD25/12*Inputs!$F$39</f>
        <v>2.18930998867621</v>
      </c>
      <c r="BE57" s="11" t="n">
        <f aca="false">Inputs!$F$152*BE19*Time!BE25/12*Inputs!$F$39</f>
        <v>2.21326138255309</v>
      </c>
      <c r="BF57" s="11" t="n">
        <f aca="false">Inputs!$F$152*BF19*Time!BF25/12*Inputs!$F$39</f>
        <v>2.23747480842709</v>
      </c>
      <c r="BG57" s="11" t="n">
        <f aca="false">Inputs!$F$152*BG19*Time!BG25/12*Inputs!$F$39</f>
        <v>2.26195313296926</v>
      </c>
      <c r="BH57" s="11" t="n">
        <f aca="false">Inputs!$F$152*BH19*Time!BH25/12*Inputs!$F$39</f>
        <v>2.28669925421249</v>
      </c>
      <c r="BI57" s="11" t="n">
        <f aca="false">Inputs!$F$152*BI19*Time!BI25/12*Inputs!$F$39</f>
        <v>2.31171610189458</v>
      </c>
      <c r="BJ57" s="11" t="n">
        <f aca="false">Inputs!$F$152*BJ19*Time!BJ25/12*Inputs!$F$39</f>
        <v>2.33700663780516</v>
      </c>
      <c r="BK57" s="11" t="n">
        <f aca="false">Inputs!$F$152*BK19*Time!BK25/12*Inputs!$F$39</f>
        <v>2.36257385613626</v>
      </c>
      <c r="BL57" s="11" t="n">
        <f aca="false">Inputs!$F$152*BL19*Time!BL25/12*Inputs!$F$39</f>
        <v>2.38842078383687</v>
      </c>
      <c r="BM57" s="11" t="n">
        <f aca="false">Inputs!$F$152*BM19*Time!BM25/12*Inputs!$F$39</f>
        <v>1.60970032064751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2813</v>
      </c>
      <c r="P58" s="13" t="n">
        <f aca="false">IF(P27&gt;0,2*(Inputs!$F$127*P28/P27+Inputs!$F$128*Inputs!$F$129)*Time!P25/12,0)</f>
        <v>8439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5626</v>
      </c>
      <c r="BN58" s="13" t="n">
        <f aca="false">IF(BN27&gt;0,2*(Inputs!$F$127*BN28/BN27+Inputs!$F$128*Inputs!$F$129)*Time!BN25/12,0)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289.839309311622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1.45142956381448</v>
      </c>
      <c r="P59" s="11" t="n">
        <f aca="false">P58*Inputs!$F$153*P19/1000000</f>
        <v>4.40192529112179</v>
      </c>
      <c r="Q59" s="11" t="n">
        <f aca="false">Q58*Inputs!$F$153*Q19/1000000</f>
        <v>4.45008304265519</v>
      </c>
      <c r="R59" s="11" t="n">
        <f aca="false">R58*Inputs!$F$153*R19/1000000</f>
        <v>4.49876764752647</v>
      </c>
      <c r="S59" s="11" t="n">
        <f aca="false">S58*Inputs!$F$153*S19/1000000</f>
        <v>4.5479848695936</v>
      </c>
      <c r="T59" s="11" t="n">
        <f aca="false">T58*Inputs!$F$153*T19/1000000</f>
        <v>4.59774053577205</v>
      </c>
      <c r="U59" s="11" t="n">
        <f aca="false">U58*Inputs!$F$153*U19/1000000</f>
        <v>4.64804053672466</v>
      </c>
      <c r="V59" s="11" t="n">
        <f aca="false">V58*Inputs!$F$153*V19/1000000</f>
        <v>4.69889082755904</v>
      </c>
      <c r="W59" s="11" t="n">
        <f aca="false">W58*Inputs!$F$153*W19/1000000</f>
        <v>4.7502974285326</v>
      </c>
      <c r="X59" s="11" t="n">
        <f aca="false">X58*Inputs!$F$153*X19/1000000</f>
        <v>4.80226642576533</v>
      </c>
      <c r="Y59" s="11" t="n">
        <f aca="false">Y58*Inputs!$F$153*Y19/1000000</f>
        <v>4.85480397196032</v>
      </c>
      <c r="Z59" s="11" t="n">
        <f aca="false">Z58*Inputs!$F$153*Z19/1000000</f>
        <v>4.90791628713217</v>
      </c>
      <c r="AA59" s="11" t="n">
        <f aca="false">AA58*Inputs!$F$153*AA19/1000000</f>
        <v>4.96160965934344</v>
      </c>
      <c r="AB59" s="11" t="n">
        <f aca="false">AB58*Inputs!$F$153*AB19/1000000</f>
        <v>5.01589044544908</v>
      </c>
      <c r="AC59" s="11" t="n">
        <f aca="false">AC58*Inputs!$F$153*AC19/1000000</f>
        <v>5.070765071849</v>
      </c>
      <c r="AD59" s="11" t="n">
        <f aca="false">AD58*Inputs!$F$153*AD19/1000000</f>
        <v>5.12624003524895</v>
      </c>
      <c r="AE59" s="11" t="n">
        <f aca="false">AE58*Inputs!$F$153*AE19/1000000</f>
        <v>5.18232190342967</v>
      </c>
      <c r="AF59" s="11" t="n">
        <f aca="false">AF58*Inputs!$F$153*AF19/1000000</f>
        <v>5.23901731602443</v>
      </c>
      <c r="AG59" s="11" t="n">
        <f aca="false">AG58*Inputs!$F$153*AG19/1000000</f>
        <v>5.29633298530513</v>
      </c>
      <c r="AH59" s="11" t="n">
        <f aca="false">AH58*Inputs!$F$153*AH19/1000000</f>
        <v>5.35427569697697</v>
      </c>
      <c r="AI59" s="11" t="n">
        <f aca="false">AI58*Inputs!$F$153*AI19/1000000</f>
        <v>5.41285231098184</v>
      </c>
      <c r="AJ59" s="11" t="n">
        <f aca="false">AJ58*Inputs!$F$153*AJ19/1000000</f>
        <v>5.47206976231046</v>
      </c>
      <c r="AK59" s="11" t="n">
        <f aca="false">AK58*Inputs!$F$153*AK19/1000000</f>
        <v>5.53193506182344</v>
      </c>
      <c r="AL59" s="11" t="n">
        <f aca="false">AL58*Inputs!$F$153*AL19/1000000</f>
        <v>5.59245529708129</v>
      </c>
      <c r="AM59" s="11" t="n">
        <f aca="false">AM58*Inputs!$F$153*AM19/1000000</f>
        <v>5.65363763318355</v>
      </c>
      <c r="AN59" s="11" t="n">
        <f aca="false">AN58*Inputs!$F$153*AN19/1000000</f>
        <v>5.71548931361708</v>
      </c>
      <c r="AO59" s="11" t="n">
        <f aca="false">AO58*Inputs!$F$153*AO19/1000000</f>
        <v>5.77801766111359</v>
      </c>
      <c r="AP59" s="11" t="n">
        <f aca="false">AP58*Inputs!$F$153*AP19/1000000</f>
        <v>5.84123007851665</v>
      </c>
      <c r="AQ59" s="11" t="n">
        <f aca="false">AQ58*Inputs!$F$153*AQ19/1000000</f>
        <v>5.90513404965809</v>
      </c>
      <c r="AR59" s="11" t="n">
        <f aca="false">AR58*Inputs!$F$153*AR19/1000000</f>
        <v>5.96973714024402</v>
      </c>
      <c r="AS59" s="11" t="n">
        <f aca="false">AS58*Inputs!$F$153*AS19/1000000</f>
        <v>6.03504699875056</v>
      </c>
      <c r="AT59" s="11" t="n">
        <f aca="false">AT58*Inputs!$F$153*AT19/1000000</f>
        <v>6.10107135732938</v>
      </c>
      <c r="AU59" s="11" t="n">
        <f aca="false">AU58*Inputs!$F$153*AU19/1000000</f>
        <v>6.16781803272308</v>
      </c>
      <c r="AV59" s="11" t="n">
        <f aca="false">AV58*Inputs!$F$153*AV19/1000000</f>
        <v>6.23529492719063</v>
      </c>
      <c r="AW59" s="11" t="n">
        <f aca="false">AW58*Inputs!$F$153*AW19/1000000</f>
        <v>6.30351002944298</v>
      </c>
      <c r="AX59" s="11" t="n">
        <f aca="false">AX58*Inputs!$F$153*AX19/1000000</f>
        <v>6.37247141558882</v>
      </c>
      <c r="AY59" s="11" t="n">
        <f aca="false">AY58*Inputs!$F$153*AY19/1000000</f>
        <v>6.44218725009073</v>
      </c>
      <c r="AZ59" s="11" t="n">
        <f aca="false">AZ58*Inputs!$F$153*AZ19/1000000</f>
        <v>6.51266578673177</v>
      </c>
      <c r="BA59" s="11" t="n">
        <f aca="false">BA58*Inputs!$F$153*BA19/1000000</f>
        <v>6.58391536959272</v>
      </c>
      <c r="BB59" s="11" t="n">
        <f aca="false">BB58*Inputs!$F$153*BB19/1000000</f>
        <v>6.65594443403987</v>
      </c>
      <c r="BC59" s="11" t="n">
        <f aca="false">BC58*Inputs!$F$153*BC19/1000000</f>
        <v>6.72876150772376</v>
      </c>
      <c r="BD59" s="11" t="n">
        <f aca="false">BD58*Inputs!$F$153*BD19/1000000</f>
        <v>6.80237521158875</v>
      </c>
      <c r="BE59" s="11" t="n">
        <f aca="false">BE58*Inputs!$F$153*BE19/1000000</f>
        <v>6.87679426089368</v>
      </c>
      <c r="BF59" s="11" t="n">
        <f aca="false">BF58*Inputs!$F$153*BF19/1000000</f>
        <v>6.9520274662437</v>
      </c>
      <c r="BG59" s="11" t="n">
        <f aca="false">BG58*Inputs!$F$153*BG19/1000000</f>
        <v>7.02808373463334</v>
      </c>
      <c r="BH59" s="11" t="n">
        <f aca="false">BH58*Inputs!$F$153*BH19/1000000</f>
        <v>7.10497207050106</v>
      </c>
      <c r="BI59" s="11" t="n">
        <f aca="false">BI58*Inputs!$F$153*BI19/1000000</f>
        <v>7.18270157679527</v>
      </c>
      <c r="BJ59" s="11" t="n">
        <f aca="false">BJ58*Inputs!$F$153*BJ19/1000000</f>
        <v>7.26128145605208</v>
      </c>
      <c r="BK59" s="11" t="n">
        <f aca="false">BK58*Inputs!$F$153*BK19/1000000</f>
        <v>7.34072101148476</v>
      </c>
      <c r="BL59" s="11" t="n">
        <f aca="false">BL58*Inputs!$F$153*BL19/1000000</f>
        <v>7.42102964808522</v>
      </c>
      <c r="BM59" s="11" t="n">
        <f aca="false">BM58*Inputs!$F$153*BM19/1000000</f>
        <v>5.00147791582495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154.41215043761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0.773250394122193</v>
      </c>
      <c r="P60" s="11" t="n">
        <f aca="false">Inputs!$F$154*P19*Time!P25/12*(1+Inputs!$F$155*Inputs!$F$45*IF(Time!P17&gt;=9,1,0))*Inputs!$F$39</f>
        <v>2.34512962331491</v>
      </c>
      <c r="Q60" s="11" t="n">
        <f aca="false">Inputs!$F$154*Q19*Time!Q25/12*(1+Inputs!$F$155*Inputs!$F$45*IF(Time!Q17&gt;=9,1,0))*Inputs!$F$39</f>
        <v>2.37078570837864</v>
      </c>
      <c r="R60" s="11" t="n">
        <f aca="false">Inputs!$F$154*R19*Time!R25/12*(1+Inputs!$F$155*Inputs!$F$45*IF(Time!R17&gt;=9,1,0))*Inputs!$F$39</f>
        <v>2.39672247502784</v>
      </c>
      <c r="S60" s="11" t="n">
        <f aca="false">Inputs!$F$154*S19*Time!S25/12*(1+Inputs!$F$155*Inputs!$F$45*IF(Time!S17&gt;=9,1,0))*Inputs!$F$39</f>
        <v>2.42294299396297</v>
      </c>
      <c r="T60" s="11" t="n">
        <f aca="false">Inputs!$F$154*T19*Time!T25/12*(1+Inputs!$F$155*Inputs!$F$45*IF(Time!T17&gt;=9,1,0))*Inputs!$F$39</f>
        <v>2.44945036947845</v>
      </c>
      <c r="U60" s="11" t="n">
        <f aca="false">Inputs!$F$154*U19*Time!U25/12*(1+Inputs!$F$155*Inputs!$F$45*IF(Time!U17&gt;=9,1,0))*Inputs!$F$39</f>
        <v>2.47624773983016</v>
      </c>
      <c r="V60" s="11" t="n">
        <f aca="false">Inputs!$F$154*V19*Time!V25/12*(1+Inputs!$F$155*Inputs!$F$45*IF(Time!V17&gt;=9,1,0))*Inputs!$F$39</f>
        <v>2.50333827760698</v>
      </c>
      <c r="W60" s="11" t="n">
        <f aca="false">Inputs!$F$154*W19*Time!W25/12*(1+Inputs!$F$155*Inputs!$F$45*IF(Time!W17&gt;=9,1,0))*Inputs!$F$39</f>
        <v>2.53072519010642</v>
      </c>
      <c r="X60" s="11" t="n">
        <f aca="false">Inputs!$F$154*X19*Time!X25/12*(1+Inputs!$F$155*Inputs!$F$45*IF(Time!X17&gt;=9,1,0))*Inputs!$F$39</f>
        <v>2.55841171971433</v>
      </c>
      <c r="Y60" s="11" t="n">
        <f aca="false">Inputs!$F$154*Y19*Time!Y25/12*(1+Inputs!$F$155*Inputs!$F$45*IF(Time!Y17&gt;=9,1,0))*Inputs!$F$39</f>
        <v>2.58640114428876</v>
      </c>
      <c r="Z60" s="11" t="n">
        <f aca="false">Inputs!$F$154*Z19*Time!Z25/12*(1+Inputs!$F$155*Inputs!$F$45*IF(Time!Z17&gt;=9,1,0))*Inputs!$F$39</f>
        <v>2.61469677754805</v>
      </c>
      <c r="AA60" s="11" t="n">
        <f aca="false">Inputs!$F$154*AA19*Time!AA25/12*(1+Inputs!$F$155*Inputs!$F$45*IF(Time!AA17&gt;=9,1,0))*Inputs!$F$39</f>
        <v>2.64330196946311</v>
      </c>
      <c r="AB60" s="11" t="n">
        <f aca="false">Inputs!$F$154*AB19*Time!AB25/12*(1+Inputs!$F$155*Inputs!$F$45*IF(Time!AB17&gt;=9,1,0))*Inputs!$F$39</f>
        <v>2.6722201066541</v>
      </c>
      <c r="AC60" s="11" t="n">
        <f aca="false">Inputs!$F$154*AC19*Time!AC25/12*(1+Inputs!$F$155*Inputs!$F$45*IF(Time!AC17&gt;=9,1,0))*Inputs!$F$39</f>
        <v>2.7014546127913</v>
      </c>
      <c r="AD60" s="11" t="n">
        <f aca="false">Inputs!$F$154*AD19*Time!AD25/12*(1+Inputs!$F$155*Inputs!$F$45*IF(Time!AD17&gt;=9,1,0))*Inputs!$F$39</f>
        <v>2.73100894900049</v>
      </c>
      <c r="AE60" s="11" t="n">
        <f aca="false">Inputs!$F$154*AE19*Time!AE25/12*(1+Inputs!$F$155*Inputs!$F$45*IF(Time!AE17&gt;=9,1,0))*Inputs!$F$39</f>
        <v>2.76088661427271</v>
      </c>
      <c r="AF60" s="11" t="n">
        <f aca="false">Inputs!$F$154*AF19*Time!AF25/12*(1+Inputs!$F$155*Inputs!$F$45*IF(Time!AF17&gt;=9,1,0))*Inputs!$F$39</f>
        <v>2.7910911458785</v>
      </c>
      <c r="AG60" s="11" t="n">
        <f aca="false">Inputs!$F$154*AG19*Time!AG25/12*(1+Inputs!$F$155*Inputs!$F$45*IF(Time!AG17&gt;=9,1,0))*Inputs!$F$39</f>
        <v>2.82162611978671</v>
      </c>
      <c r="AH60" s="11" t="n">
        <f aca="false">Inputs!$F$154*AH19*Time!AH25/12*(1+Inputs!$F$155*Inputs!$F$45*IF(Time!AH17&gt;=9,1,0))*Inputs!$F$39</f>
        <v>2.85249515108783</v>
      </c>
      <c r="AI60" s="11" t="n">
        <f aca="false">Inputs!$F$154*AI19*Time!AI25/12*(1+Inputs!$F$155*Inputs!$F$45*IF(Time!AI17&gt;=9,1,0))*Inputs!$F$39</f>
        <v>2.88370189442202</v>
      </c>
      <c r="AJ60" s="11" t="n">
        <f aca="false">Inputs!$F$154*AJ19*Time!AJ25/12*(1+Inputs!$F$155*Inputs!$F$45*IF(Time!AJ17&gt;=9,1,0))*Inputs!$F$39</f>
        <v>2.91525004441176</v>
      </c>
      <c r="AK60" s="11" t="n">
        <f aca="false">Inputs!$F$154*AK19*Time!AK25/12*(1+Inputs!$F$155*Inputs!$F$45*IF(Time!AK17&gt;=9,1,0))*Inputs!$F$39</f>
        <v>2.9471433360993</v>
      </c>
      <c r="AL60" s="11" t="n">
        <f aca="false">Inputs!$F$154*AL19*Time!AL25/12*(1+Inputs!$F$155*Inputs!$F$45*IF(Time!AL17&gt;=9,1,0))*Inputs!$F$39</f>
        <v>2.97938554538882</v>
      </c>
      <c r="AM60" s="11" t="n">
        <f aca="false">Inputs!$F$154*AM19*Time!AM25/12*(1+Inputs!$F$155*Inputs!$F$45*IF(Time!AM17&gt;=9,1,0))*Inputs!$F$39</f>
        <v>3.01198048949348</v>
      </c>
      <c r="AN60" s="11" t="n">
        <f aca="false">Inputs!$F$154*AN19*Time!AN25/12*(1+Inputs!$F$155*Inputs!$F$45*IF(Time!AN17&gt;=9,1,0))*Inputs!$F$39</f>
        <v>3.04493202738737</v>
      </c>
      <c r="AO60" s="11" t="n">
        <f aca="false">Inputs!$F$154*AO19*Time!AO25/12*(1+Inputs!$F$155*Inputs!$F$45*IF(Time!AO17&gt;=9,1,0))*Inputs!$F$39</f>
        <v>3.07824406026234</v>
      </c>
      <c r="AP60" s="11" t="n">
        <f aca="false">Inputs!$F$154*AP19*Time!AP25/12*(1+Inputs!$F$155*Inputs!$F$45*IF(Time!AP17&gt;=9,1,0))*Inputs!$F$39</f>
        <v>3.1119205319899</v>
      </c>
      <c r="AQ60" s="11" t="n">
        <f aca="false">Inputs!$F$154*AQ19*Time!AQ25/12*(1+Inputs!$F$155*Inputs!$F$45*IF(Time!AQ17&gt;=9,1,0))*Inputs!$F$39</f>
        <v>3.14596542958811</v>
      </c>
      <c r="AR60" s="11" t="n">
        <f aca="false">Inputs!$F$154*AR19*Time!AR25/12*(1+Inputs!$F$155*Inputs!$F$45*IF(Time!AR17&gt;=9,1,0))*Inputs!$F$39</f>
        <v>3.18038278369367</v>
      </c>
      <c r="AS60" s="11" t="n">
        <f aca="false">Inputs!$F$154*AS19*Time!AS25/12*(1+Inputs!$F$155*Inputs!$F$45*IF(Time!AS17&gt;=9,1,0))*Inputs!$F$39</f>
        <v>3.21517666903905</v>
      </c>
      <c r="AT60" s="11" t="n">
        <f aca="false">Inputs!$F$154*AT19*Time!AT25/12*(1+Inputs!$F$155*Inputs!$F$45*IF(Time!AT17&gt;=9,1,0))*Inputs!$F$39</f>
        <v>3.25035120493493</v>
      </c>
      <c r="AU60" s="11" t="n">
        <f aca="false">Inputs!$F$154*AU19*Time!AU25/12*(1+Inputs!$F$155*Inputs!$F$45*IF(Time!AU17&gt;=9,1,0))*Inputs!$F$39</f>
        <v>3.28591055575791</v>
      </c>
      <c r="AV60" s="11" t="n">
        <f aca="false">Inputs!$F$154*AV19*Time!AV25/12*(1+Inputs!$F$155*Inputs!$F$45*IF(Time!AV17&gt;=9,1,0))*Inputs!$F$39</f>
        <v>3.3218589314435</v>
      </c>
      <c r="AW60" s="11" t="n">
        <f aca="false">Inputs!$F$154*AW19*Time!AW25/12*(1+Inputs!$F$155*Inputs!$F$45*IF(Time!AW17&gt;=9,1,0))*Inputs!$F$39</f>
        <v>3.35820058798458</v>
      </c>
      <c r="AX60" s="11" t="n">
        <f aca="false">Inputs!$F$154*AX19*Time!AX25/12*(1+Inputs!$F$155*Inputs!$F$45*IF(Time!AX17&gt;=9,1,0))*Inputs!$F$39</f>
        <v>3.39493982793526</v>
      </c>
      <c r="AY60" s="11" t="n">
        <f aca="false">Inputs!$F$154*AY19*Time!AY25/12*(1+Inputs!$F$155*Inputs!$F$45*IF(Time!AY17&gt;=9,1,0))*Inputs!$F$39</f>
        <v>3.43208100092024</v>
      </c>
      <c r="AZ60" s="11" t="n">
        <f aca="false">Inputs!$F$154*AZ19*Time!AZ25/12*(1+Inputs!$F$155*Inputs!$F$45*IF(Time!AZ17&gt;=9,1,0))*Inputs!$F$39</f>
        <v>3.46962850414983</v>
      </c>
      <c r="BA60" s="11" t="n">
        <f aca="false">Inputs!$F$154*BA19*Time!BA25/12*(1+Inputs!$F$155*Inputs!$F$45*IF(Time!BA17&gt;=9,1,0))*Inputs!$F$39</f>
        <v>3.50758678294049</v>
      </c>
      <c r="BB60" s="11" t="n">
        <f aca="false">Inputs!$F$154*BB19*Time!BB25/12*(1+Inputs!$F$155*Inputs!$F$45*IF(Time!BB17&gt;=9,1,0))*Inputs!$F$39</f>
        <v>3.54596033124113</v>
      </c>
      <c r="BC60" s="11" t="n">
        <f aca="false">Inputs!$F$154*BC19*Time!BC25/12*(1+Inputs!$F$155*Inputs!$F$45*IF(Time!BC17&gt;=9,1,0))*Inputs!$F$39</f>
        <v>3.58475369216518</v>
      </c>
      <c r="BD60" s="11" t="n">
        <f aca="false">Inputs!$F$154*BD19*Time!BD25/12*(1+Inputs!$F$155*Inputs!$F$45*IF(Time!BD17&gt;=9,1,0))*Inputs!$F$39</f>
        <v>3.62397145852843</v>
      </c>
      <c r="BE60" s="11" t="n">
        <f aca="false">Inputs!$F$154*BE19*Time!BE25/12*(1+Inputs!$F$155*Inputs!$F$45*IF(Time!BE17&gt;=9,1,0))*Inputs!$F$39</f>
        <v>3.66361827339281</v>
      </c>
      <c r="BF60" s="11" t="n">
        <f aca="false">Inputs!$F$154*BF19*Time!BF25/12*(1+Inputs!$F$155*Inputs!$F$45*IF(Time!BF17&gt;=9,1,0))*Inputs!$F$39</f>
        <v>3.70369883061606</v>
      </c>
      <c r="BG60" s="11" t="n">
        <f aca="false">Inputs!$F$154*BG19*Time!BG25/12*(1+Inputs!$F$155*Inputs!$F$45*IF(Time!BG17&gt;=9,1,0))*Inputs!$F$39</f>
        <v>3.74421787540745</v>
      </c>
      <c r="BH60" s="11" t="n">
        <f aca="false">Inputs!$F$154*BH19*Time!BH25/12*(1+Inputs!$F$155*Inputs!$F$45*IF(Time!BH17&gt;=9,1,0))*Inputs!$F$39</f>
        <v>3.78518020488961</v>
      </c>
      <c r="BI60" s="11" t="n">
        <f aca="false">Inputs!$F$154*BI19*Time!BI25/12*(1+Inputs!$F$155*Inputs!$F$45*IF(Time!BI17&gt;=9,1,0))*Inputs!$F$39</f>
        <v>3.82659066866641</v>
      </c>
      <c r="BJ60" s="11" t="n">
        <f aca="false">Inputs!$F$154*BJ19*Time!BJ25/12*(1+Inputs!$F$155*Inputs!$F$45*IF(Time!BJ17&gt;=9,1,0))*Inputs!$F$39</f>
        <v>3.86845416939718</v>
      </c>
      <c r="BK60" s="11" t="n">
        <f aca="false">Inputs!$F$154*BK19*Time!BK25/12*(1+Inputs!$F$155*Inputs!$F$45*IF(Time!BK17&gt;=9,1,0))*Inputs!$F$39</f>
        <v>3.91077566337707</v>
      </c>
      <c r="BL60" s="11" t="n">
        <f aca="false">Inputs!$F$154*BL19*Time!BL25/12*(1+Inputs!$F$155*Inputs!$F$45*IF(Time!BL17&gt;=9,1,0))*Inputs!$F$39</f>
        <v>3.95356016112392</v>
      </c>
      <c r="BM60" s="11" t="n">
        <f aca="false">Inputs!$F$154*BM19*Time!BM25/12*(1+Inputs!$F$155*Inputs!$F$45*IF(Time!BM17&gt;=9,1,0))*Inputs!$F$39</f>
        <v>2.66454181864758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112.08275600111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0.561277302378987</v>
      </c>
      <c r="P61" s="11" t="n">
        <f aca="false">Inputs!$F$156*(0.5*P19+0.5*P23*Inputs!$F$150/P11)*Time!P25/12*Inputs!$F$39</f>
        <v>1.70225329170054</v>
      </c>
      <c r="Q61" s="11" t="n">
        <f aca="false">Inputs!$F$156*(0.5*Q19+0.5*Q23*Inputs!$F$150/Q11)*Time!Q25/12*Inputs!$F$39</f>
        <v>1.72087620909397</v>
      </c>
      <c r="R61" s="11" t="n">
        <f aca="false">Inputs!$F$156*(0.5*R19+0.5*R23*Inputs!$F$150/R11)*Time!R25/12*Inputs!$F$39</f>
        <v>1.73970286411795</v>
      </c>
      <c r="S61" s="11" t="n">
        <f aca="false">Inputs!$F$156*(0.5*S19+0.5*S23*Inputs!$F$150/S11)*Time!S25/12*Inputs!$F$39</f>
        <v>1.75873548569404</v>
      </c>
      <c r="T61" s="11" t="n">
        <f aca="false">Inputs!$F$156*(0.5*T19+0.5*T23*Inputs!$F$150/T11)*Time!T25/12*Inputs!$F$39</f>
        <v>1.77797632712855</v>
      </c>
      <c r="U61" s="11" t="n">
        <f aca="false">Inputs!$F$156*(0.5*U19+0.5*U23*Inputs!$F$150/U11)*Time!U25/12*Inputs!$F$39</f>
        <v>1.79742766637931</v>
      </c>
      <c r="V61" s="11" t="n">
        <f aca="false">Inputs!$F$156*(0.5*V19+0.5*V23*Inputs!$F$150/V11)*Time!V25/12*Inputs!$F$39</f>
        <v>1.81709180632538</v>
      </c>
      <c r="W61" s="11" t="n">
        <f aca="false">Inputs!$F$156*(0.5*W19+0.5*W23*Inputs!$F$150/W11)*Time!W25/12*Inputs!$F$39</f>
        <v>1.83697107503966</v>
      </c>
      <c r="X61" s="11" t="n">
        <f aca="false">Inputs!$F$156*(0.5*X19+0.5*X23*Inputs!$F$150/X11)*Time!X25/12*Inputs!$F$39</f>
        <v>1.85706782606454</v>
      </c>
      <c r="Y61" s="11" t="n">
        <f aca="false">Inputs!$F$156*(0.5*Y19+0.5*Y23*Inputs!$F$150/Y11)*Time!Y25/12*Inputs!$F$39</f>
        <v>1.87738443869053</v>
      </c>
      <c r="Z61" s="11" t="n">
        <f aca="false">Inputs!$F$156*(0.5*Z19+0.5*Z23*Inputs!$F$150/Z11)*Time!Z25/12*Inputs!$F$39</f>
        <v>1.89792331823795</v>
      </c>
      <c r="AA61" s="11" t="n">
        <f aca="false">Inputs!$F$156*(0.5*AA19+0.5*AA23*Inputs!$F$150/AA11)*Time!AA25/12*Inputs!$F$39</f>
        <v>1.91868689634172</v>
      </c>
      <c r="AB61" s="11" t="n">
        <f aca="false">Inputs!$F$156*(0.5*AB19+0.5*AB23*Inputs!$F$150/AB11)*Time!AB25/12*Inputs!$F$39</f>
        <v>1.93967763123919</v>
      </c>
      <c r="AC61" s="11" t="n">
        <f aca="false">Inputs!$F$156*(0.5*AC19+0.5*AC23*Inputs!$F$150/AC11)*Time!AC25/12*Inputs!$F$39</f>
        <v>1.96089800806124</v>
      </c>
      <c r="AD61" s="11" t="n">
        <f aca="false">Inputs!$F$156*(0.5*AD19+0.5*AD23*Inputs!$F$150/AD11)*Time!AD25/12*Inputs!$F$39</f>
        <v>1.98235053912645</v>
      </c>
      <c r="AE61" s="11" t="n">
        <f aca="false">Inputs!$F$156*(0.5*AE19+0.5*AE23*Inputs!$F$150/AE11)*Time!AE25/12*Inputs!$F$39</f>
        <v>2.00403776423858</v>
      </c>
      <c r="AF61" s="11" t="n">
        <f aca="false">Inputs!$F$156*(0.5*AF19+0.5*AF23*Inputs!$F$150/AF11)*Time!AF25/12*Inputs!$F$39</f>
        <v>2.02596225098723</v>
      </c>
      <c r="AG61" s="11" t="n">
        <f aca="false">Inputs!$F$156*(0.5*AG19+0.5*AG23*Inputs!$F$150/AG11)*Time!AG25/12*Inputs!$F$39</f>
        <v>2.04812659505183</v>
      </c>
      <c r="AH61" s="11" t="n">
        <f aca="false">Inputs!$F$156*(0.5*AH19+0.5*AH23*Inputs!$F$150/AH11)*Time!AH25/12*Inputs!$F$39</f>
        <v>2.07053342050895</v>
      </c>
      <c r="AI61" s="11" t="n">
        <f aca="false">Inputs!$F$156*(0.5*AI19+0.5*AI23*Inputs!$F$150/AI11)*Time!AI25/12*Inputs!$F$39</f>
        <v>2.09318538014297</v>
      </c>
      <c r="AJ61" s="11" t="n">
        <f aca="false">Inputs!$F$156*(0.5*AJ19+0.5*AJ23*Inputs!$F$150/AJ11)*Time!AJ25/12*Inputs!$F$39</f>
        <v>2.11608515576015</v>
      </c>
      <c r="AK61" s="11" t="n">
        <f aca="false">Inputs!$F$156*(0.5*AK19+0.5*AK23*Inputs!$F$150/AK11)*Time!AK25/12*Inputs!$F$39</f>
        <v>2.13923545850612</v>
      </c>
      <c r="AL61" s="11" t="n">
        <f aca="false">Inputs!$F$156*(0.5*AL19+0.5*AL23*Inputs!$F$150/AL11)*Time!AL25/12*Inputs!$F$39</f>
        <v>2.16263902918687</v>
      </c>
      <c r="AM61" s="11" t="n">
        <f aca="false">Inputs!$F$156*(0.5*AM19+0.5*AM23*Inputs!$F$150/AM11)*Time!AM25/12*Inputs!$F$39</f>
        <v>2.18629863859325</v>
      </c>
      <c r="AN61" s="11" t="n">
        <f aca="false">Inputs!$F$156*(0.5*AN19+0.5*AN23*Inputs!$F$150/AN11)*Time!AN25/12*Inputs!$F$39</f>
        <v>2.21021708782898</v>
      </c>
      <c r="AO61" s="11" t="n">
        <f aca="false">Inputs!$F$156*(0.5*AO19+0.5*AO23*Inputs!$F$150/AO11)*Time!AO25/12*Inputs!$F$39</f>
        <v>2.2343972086423</v>
      </c>
      <c r="AP61" s="11" t="n">
        <f aca="false">Inputs!$F$156*(0.5*AP19+0.5*AP23*Inputs!$F$150/AP11)*Time!AP25/12*Inputs!$F$39</f>
        <v>2.25884186376122</v>
      </c>
      <c r="AQ61" s="11" t="n">
        <f aca="false">Inputs!$F$156*(0.5*AQ19+0.5*AQ23*Inputs!$F$150/AQ11)*Time!AQ25/12*Inputs!$F$39</f>
        <v>2.28355394723243</v>
      </c>
      <c r="AR61" s="11" t="n">
        <f aca="false">Inputs!$F$156*(0.5*AR19+0.5*AR23*Inputs!$F$150/AR11)*Time!AR25/12*Inputs!$F$39</f>
        <v>2.30853638476397</v>
      </c>
      <c r="AS61" s="11" t="n">
        <f aca="false">Inputs!$F$156*(0.5*AS19+0.5*AS23*Inputs!$F$150/AS11)*Time!AS25/12*Inputs!$F$39</f>
        <v>2.33379213407155</v>
      </c>
      <c r="AT61" s="11" t="n">
        <f aca="false">Inputs!$F$156*(0.5*AT19+0.5*AT23*Inputs!$F$150/AT11)*Time!AT25/12*Inputs!$F$39</f>
        <v>2.35932418522877</v>
      </c>
      <c r="AU61" s="11" t="n">
        <f aca="false">Inputs!$F$156*(0.5*AU19+0.5*AU23*Inputs!$F$150/AU11)*Time!AU25/12*Inputs!$F$39</f>
        <v>2.38513556102112</v>
      </c>
      <c r="AV61" s="11" t="n">
        <f aca="false">Inputs!$F$156*(0.5*AV19+0.5*AV23*Inputs!$F$150/AV11)*Time!AV25/12*Inputs!$F$39</f>
        <v>2.41122931730381</v>
      </c>
      <c r="AW61" s="11" t="n">
        <f aca="false">Inputs!$F$156*(0.5*AW19+0.5*AW23*Inputs!$F$150/AW11)*Time!AW25/12*Inputs!$F$39</f>
        <v>2.43760854336359</v>
      </c>
      <c r="AX61" s="11" t="n">
        <f aca="false">Inputs!$F$156*(0.5*AX19+0.5*AX23*Inputs!$F$150/AX11)*Time!AX25/12*Inputs!$F$39</f>
        <v>2.46427636228449</v>
      </c>
      <c r="AY61" s="11" t="n">
        <f aca="false">Inputs!$F$156*(0.5*AY19+0.5*AY23*Inputs!$F$150/AY11)*Time!AY25/12*Inputs!$F$39</f>
        <v>2.49123593131758</v>
      </c>
      <c r="AZ61" s="11" t="n">
        <f aca="false">Inputs!$F$156*(0.5*AZ19+0.5*AZ23*Inputs!$F$150/AZ11)*Time!AZ25/12*Inputs!$F$39</f>
        <v>2.51849044225475</v>
      </c>
      <c r="BA61" s="11" t="n">
        <f aca="false">Inputs!$F$156*(0.5*BA19+0.5*BA23*Inputs!$F$150/BA11)*Time!BA25/12*Inputs!$F$39</f>
        <v>2.54604312180657</v>
      </c>
      <c r="BB61" s="11" t="n">
        <f aca="false">Inputs!$F$156*(0.5*BB19+0.5*BB23*Inputs!$F$150/BB11)*Time!BB25/12*Inputs!$F$39</f>
        <v>2.57389723198435</v>
      </c>
      <c r="BC61" s="11" t="n">
        <f aca="false">Inputs!$F$156*(0.5*BC19+0.5*BC23*Inputs!$F$150/BC11)*Time!BC25/12*Inputs!$F$39</f>
        <v>2.60205607048631</v>
      </c>
      <c r="BD61" s="11" t="n">
        <f aca="false">Inputs!$F$156*(0.5*BD19+0.5*BD23*Inputs!$F$150/BD11)*Time!BD25/12*Inputs!$F$39</f>
        <v>2.63052297108801</v>
      </c>
      <c r="BE61" s="11" t="n">
        <f aca="false">Inputs!$F$156*(0.5*BE19+0.5*BE23*Inputs!$F$150/BE11)*Time!BE25/12*Inputs!$F$39</f>
        <v>2.65930130403701</v>
      </c>
      <c r="BF61" s="11" t="n">
        <f aca="false">Inputs!$F$156*(0.5*BF19+0.5*BF23*Inputs!$F$150/BF11)*Time!BF25/12*Inputs!$F$39</f>
        <v>2.68839447645194</v>
      </c>
      <c r="BG61" s="11" t="n">
        <f aca="false">Inputs!$F$156*(0.5*BG19+0.5*BG23*Inputs!$F$150/BG11)*Time!BG25/12*Inputs!$F$39</f>
        <v>2.71780593272583</v>
      </c>
      <c r="BH61" s="11" t="n">
        <f aca="false">Inputs!$F$156*(0.5*BH19+0.5*BH23*Inputs!$F$150/BH11)*Time!BH25/12*Inputs!$F$39</f>
        <v>2.74753915493389</v>
      </c>
      <c r="BI61" s="11" t="n">
        <f aca="false">Inputs!$F$156*(0.5*BI19+0.5*BI23*Inputs!$F$150/BI11)*Time!BI25/12*Inputs!$F$39</f>
        <v>2.7775976632458</v>
      </c>
      <c r="BJ61" s="11" t="n">
        <f aca="false">Inputs!$F$156*(0.5*BJ19+0.5*BJ23*Inputs!$F$150/BJ11)*Time!BJ25/12*Inputs!$F$39</f>
        <v>2.80798501634243</v>
      </c>
      <c r="BK61" s="11" t="n">
        <f aca="false">Inputs!$F$156*(0.5*BK19+0.5*BK23*Inputs!$F$150/BK11)*Time!BK25/12*Inputs!$F$39</f>
        <v>2.8387048118372</v>
      </c>
      <c r="BL61" s="11" t="n">
        <f aca="false">Inputs!$F$156*(0.5*BL19+0.5*BL23*Inputs!$F$150/BL11)*Time!BL25/12*Inputs!$F$39</f>
        <v>2.86976068670197</v>
      </c>
      <c r="BM61" s="11" t="n">
        <f aca="false">Inputs!$F$156*(0.5*BM19+0.5*BM23*Inputs!$F$150/BM11)*Time!BM25/12*Inputs!$F$39</f>
        <v>1.93410421179841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25.0349026913824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0.125367390571663</v>
      </c>
      <c r="P62" s="11" t="n">
        <f aca="false">Inputs!$F$157*P23/P11*Time!P25/12*Inputs!$F$39</f>
        <v>0.38021678832903</v>
      </c>
      <c r="Q62" s="11" t="n">
        <f aca="false">Inputs!$F$157*Q23/Q11*Time!Q25/12*Inputs!$F$39</f>
        <v>0.384376419492718</v>
      </c>
      <c r="R62" s="11" t="n">
        <f aca="false">Inputs!$F$157*R23/R11*Time!R25/12*Inputs!$F$39</f>
        <v>0.388581557672269</v>
      </c>
      <c r="S62" s="11" t="n">
        <f aca="false">Inputs!$F$157*S23/S11*Time!S25/12*Inputs!$F$39</f>
        <v>0.392832700721557</v>
      </c>
      <c r="T62" s="11" t="n">
        <f aca="false">Inputs!$F$157*T23/T11*Time!T25/12*Inputs!$F$39</f>
        <v>0.397130351941059</v>
      </c>
      <c r="U62" s="11" t="n">
        <f aca="false">Inputs!$F$157*U23/U11*Time!U25/12*Inputs!$F$39</f>
        <v>0.401475020137432</v>
      </c>
      <c r="V62" s="11" t="n">
        <f aca="false">Inputs!$F$157*V23/V11*Time!V25/12*Inputs!$F$39</f>
        <v>0.405867219683762</v>
      </c>
      <c r="W62" s="11" t="n">
        <f aca="false">Inputs!$F$157*W23/W11*Time!W25/12*Inputs!$F$39</f>
        <v>0.410307470580455</v>
      </c>
      <c r="X62" s="11" t="n">
        <f aca="false">Inputs!$F$157*X23/X11*Time!X25/12*Inputs!$F$39</f>
        <v>0.414796298516805</v>
      </c>
      <c r="Y62" s="11" t="n">
        <f aca="false">Inputs!$F$157*Y23/Y11*Time!Y25/12*Inputs!$F$39</f>
        <v>0.419334234933225</v>
      </c>
      <c r="Z62" s="11" t="n">
        <f aca="false">Inputs!$F$157*Z23/Z11*Time!Z25/12*Inputs!$F$39</f>
        <v>0.423921817084174</v>
      </c>
      <c r="AA62" s="11" t="n">
        <f aca="false">Inputs!$F$157*AA23/AA11*Time!AA25/12*Inputs!$F$39</f>
        <v>0.428559588101756</v>
      </c>
      <c r="AB62" s="11" t="n">
        <f aca="false">Inputs!$F$157*AB23/AB11*Time!AB25/12*Inputs!$F$39</f>
        <v>0.433248097060026</v>
      </c>
      <c r="AC62" s="11" t="n">
        <f aca="false">Inputs!$F$157*AC23/AC11*Time!AC25/12*Inputs!$F$39</f>
        <v>0.437987899039995</v>
      </c>
      <c r="AD62" s="11" t="n">
        <f aca="false">Inputs!$F$157*AD23/AD11*Time!AD25/12*Inputs!$F$39</f>
        <v>0.442779555195347</v>
      </c>
      <c r="AE62" s="11" t="n">
        <f aca="false">Inputs!$F$157*AE23/AE11*Time!AE25/12*Inputs!$F$39</f>
        <v>0.447623632818875</v>
      </c>
      <c r="AF62" s="11" t="n">
        <f aca="false">Inputs!$F$157*AF23/AF11*Time!AF25/12*Inputs!$F$39</f>
        <v>0.452520705409644</v>
      </c>
      <c r="AG62" s="11" t="n">
        <f aca="false">Inputs!$F$157*AG23/AG11*Time!AG25/12*Inputs!$F$39</f>
        <v>0.45747135274089</v>
      </c>
      <c r="AH62" s="11" t="n">
        <f aca="false">Inputs!$F$157*AH23/AH11*Time!AH25/12*Inputs!$F$39</f>
        <v>0.462476160928656</v>
      </c>
      <c r="AI62" s="11" t="n">
        <f aca="false">Inputs!$F$157*AI23/AI11*Time!AI25/12*Inputs!$F$39</f>
        <v>0.46753572250119</v>
      </c>
      <c r="AJ62" s="11" t="n">
        <f aca="false">Inputs!$F$157*AJ23/AJ11*Time!AJ25/12*Inputs!$F$39</f>
        <v>0.472650636469087</v>
      </c>
      <c r="AK62" s="11" t="n">
        <f aca="false">Inputs!$F$157*AK23/AK11*Time!AK25/12*Inputs!$F$39</f>
        <v>0.477821508396216</v>
      </c>
      <c r="AL62" s="11" t="n">
        <f aca="false">Inputs!$F$157*AL23/AL11*Time!AL25/12*Inputs!$F$39</f>
        <v>0.483048950471407</v>
      </c>
      <c r="AM62" s="11" t="n">
        <f aca="false">Inputs!$F$157*AM23/AM11*Time!AM25/12*Inputs!$F$39</f>
        <v>0.488333581580932</v>
      </c>
      <c r="AN62" s="11" t="n">
        <f aca="false">Inputs!$F$157*AN23/AN11*Time!AN25/12*Inputs!$F$39</f>
        <v>0.493676027381778</v>
      </c>
      <c r="AO62" s="11" t="n">
        <f aca="false">Inputs!$F$157*AO23/AO11*Time!AO25/12*Inputs!$F$39</f>
        <v>0.499076920375713</v>
      </c>
      <c r="AP62" s="11" t="n">
        <f aca="false">Inputs!$F$157*AP23/AP11*Time!AP25/12*Inputs!$F$39</f>
        <v>0.504536899984177</v>
      </c>
      <c r="AQ62" s="11" t="n">
        <f aca="false">Inputs!$F$157*AQ23/AQ11*Time!AQ25/12*Inputs!$F$39</f>
        <v>0.510056612623979</v>
      </c>
      <c r="AR62" s="11" t="n">
        <f aca="false">Inputs!$F$157*AR23/AR11*Time!AR25/12*Inputs!$F$39</f>
        <v>0.515636711783829</v>
      </c>
      <c r="AS62" s="11" t="n">
        <f aca="false">Inputs!$F$157*AS23/AS11*Time!AS25/12*Inputs!$F$39</f>
        <v>0.521277858101706</v>
      </c>
      <c r="AT62" s="11" t="n">
        <f aca="false">Inputs!$F$157*AT23/AT11*Time!AT25/12*Inputs!$F$39</f>
        <v>0.526980719443073</v>
      </c>
      <c r="AU62" s="11" t="n">
        <f aca="false">Inputs!$F$157*AU23/AU11*Time!AU25/12*Inputs!$F$39</f>
        <v>0.532745970979944</v>
      </c>
      <c r="AV62" s="11" t="n">
        <f aca="false">Inputs!$F$157*AV23/AV11*Time!AV25/12*Inputs!$F$39</f>
        <v>0.538574295270821</v>
      </c>
      <c r="AW62" s="11" t="n">
        <f aca="false">Inputs!$F$157*AW23/AW11*Time!AW25/12*Inputs!$F$39</f>
        <v>0.544466382341503</v>
      </c>
      <c r="AX62" s="11" t="n">
        <f aca="false">Inputs!$F$157*AX23/AX11*Time!AX25/12*Inputs!$F$39</f>
        <v>0.550422929766779</v>
      </c>
      <c r="AY62" s="11" t="n">
        <f aca="false">Inputs!$F$157*AY23/AY11*Time!AY25/12*Inputs!$F$39</f>
        <v>0.556444642753016</v>
      </c>
      <c r="AZ62" s="11" t="n">
        <f aca="false">Inputs!$F$157*AZ23/AZ11*Time!AZ25/12*Inputs!$F$39</f>
        <v>0.562532234221648</v>
      </c>
      <c r="BA62" s="11" t="n">
        <f aca="false">Inputs!$F$157*BA23/BA11*Time!BA25/12*Inputs!$F$39</f>
        <v>0.568686424893582</v>
      </c>
      <c r="BB62" s="11" t="n">
        <f aca="false">Inputs!$F$157*BB23/BB11*Time!BB25/12*Inputs!$F$39</f>
        <v>0.574907943374524</v>
      </c>
      <c r="BC62" s="11" t="n">
        <f aca="false">Inputs!$F$157*BC23/BC11*Time!BC25/12*Inputs!$F$39</f>
        <v>0.581197526241241</v>
      </c>
      <c r="BD62" s="11" t="n">
        <f aca="false">Inputs!$F$157*BD23/BD11*Time!BD25/12*Inputs!$F$39</f>
        <v>0.587555918128764</v>
      </c>
      <c r="BE62" s="11" t="n">
        <f aca="false">Inputs!$F$157*BE23/BE11*Time!BE25/12*Inputs!$F$39</f>
        <v>0.593983871818548</v>
      </c>
      <c r="BF62" s="11" t="n">
        <f aca="false">Inputs!$F$157*BF23/BF11*Time!BF25/12*Inputs!$F$39</f>
        <v>0.600482148327596</v>
      </c>
      <c r="BG62" s="11" t="n">
        <f aca="false">Inputs!$F$157*BG23/BG11*Time!BG25/12*Inputs!$F$39</f>
        <v>0.607051516998556</v>
      </c>
      <c r="BH62" s="11" t="n">
        <f aca="false">Inputs!$F$157*BH23/BH11*Time!BH25/12*Inputs!$F$39</f>
        <v>0.613692755590804</v>
      </c>
      <c r="BI62" s="11" t="n">
        <f aca="false">Inputs!$F$157*BI23/BI11*Time!BI25/12*Inputs!$F$39</f>
        <v>0.620406650372524</v>
      </c>
      <c r="BJ62" s="11" t="n">
        <f aca="false">Inputs!$F$157*BJ23/BJ11*Time!BJ25/12*Inputs!$F$39</f>
        <v>0.627193996213801</v>
      </c>
      <c r="BK62" s="11" t="n">
        <f aca="false">Inputs!$F$157*BK23/BK11*Time!BK25/12*Inputs!$F$39</f>
        <v>0.63405559668072</v>
      </c>
      <c r="BL62" s="11" t="n">
        <f aca="false">Inputs!$F$157*BL23/BL11*Time!BL25/12*Inputs!$F$39</f>
        <v>0.640992264130505</v>
      </c>
      <c r="BM62" s="11" t="n">
        <f aca="false">Inputs!$F$157*BM23/BM11*Time!BM25/12*Inputs!$F$39</f>
        <v>0.43200321320513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21.0134097211548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0.12427330554587</v>
      </c>
      <c r="P63" s="11" t="n">
        <f aca="false">Inputs!$F$158/100*P50</f>
        <v>0.374437270892679</v>
      </c>
      <c r="Q63" s="11" t="n">
        <f aca="false">Inputs!$F$158/100*Q50</f>
        <v>0.375925931597974</v>
      </c>
      <c r="R63" s="11" t="n">
        <f aca="false">Inputs!$F$158/100*R50</f>
        <v>0.377292325080093</v>
      </c>
      <c r="S63" s="11" t="n">
        <f aca="false">Inputs!$F$158/100*S50</f>
        <v>0.379085702550131</v>
      </c>
      <c r="T63" s="11" t="n">
        <f aca="false">Inputs!$F$158/100*T50</f>
        <v>0.381039380442271</v>
      </c>
      <c r="U63" s="11" t="n">
        <f aca="false">Inputs!$F$158/100*U50</f>
        <v>0.382232525899421</v>
      </c>
      <c r="V63" s="11" t="n">
        <f aca="false">Inputs!$F$158/100*V50</f>
        <v>0.38292665070347</v>
      </c>
      <c r="W63" s="11" t="n">
        <f aca="false">Inputs!$F$158/100*W50</f>
        <v>0.385154890495171</v>
      </c>
      <c r="X63" s="11" t="n">
        <f aca="false">Inputs!$F$158/100*X50</f>
        <v>0.387929326641767</v>
      </c>
      <c r="Y63" s="11" t="n">
        <f aca="false">Inputs!$F$158/100*Y50</f>
        <v>0.389551258537155</v>
      </c>
      <c r="Z63" s="11" t="n">
        <f aca="false">Inputs!$F$158/100*Z50</f>
        <v>0.39104068814101</v>
      </c>
      <c r="AA63" s="11" t="n">
        <f aca="false">Inputs!$F$158/100*AA50</f>
        <v>0.392993216666565</v>
      </c>
      <c r="AB63" s="11" t="n">
        <f aca="false">Inputs!$F$158/100*AB50</f>
        <v>0.395119653314517</v>
      </c>
      <c r="AC63" s="11" t="n">
        <f aca="false">Inputs!$F$158/100*AC50</f>
        <v>0.396098340527819</v>
      </c>
      <c r="AD63" s="11" t="n">
        <f aca="false">Inputs!$F$158/100*AD50</f>
        <v>0.391140408936208</v>
      </c>
      <c r="AE63" s="11" t="n">
        <f aca="false">Inputs!$F$158/100*AE50</f>
        <v>0.398947198996515</v>
      </c>
      <c r="AF63" s="11" t="n">
        <f aca="false">Inputs!$F$158/100*AF50</f>
        <v>0.402623450704021</v>
      </c>
      <c r="AG63" s="11" t="n">
        <f aca="false">Inputs!$F$158/100*AG50</f>
        <v>0.404390581776228</v>
      </c>
      <c r="AH63" s="11" t="n">
        <f aca="false">Inputs!$F$158/100*AH50</f>
        <v>0.406014125106541</v>
      </c>
      <c r="AI63" s="11" t="n">
        <f aca="false">Inputs!$F$158/100*AI50</f>
        <v>0.40813991964613</v>
      </c>
      <c r="AJ63" s="11" t="n">
        <f aca="false">Inputs!$F$158/100*AJ50</f>
        <v>0.410454379265799</v>
      </c>
      <c r="AK63" s="11" t="n">
        <f aca="false">Inputs!$F$158/100*AK50</f>
        <v>0.411874767366753</v>
      </c>
      <c r="AL63" s="11" t="n">
        <f aca="false">Inputs!$F$158/100*AL50</f>
        <v>0.412708599167577</v>
      </c>
      <c r="AM63" s="11" t="n">
        <f aca="false">Inputs!$F$158/100*AM50</f>
        <v>0.415346451508198</v>
      </c>
      <c r="AN63" s="11" t="n">
        <f aca="false">Inputs!$F$158/100*AN50</f>
        <v>0.418626694494692</v>
      </c>
      <c r="AO63" s="11" t="n">
        <f aca="false">Inputs!$F$158/100*AO50</f>
        <v>0.420552020026163</v>
      </c>
      <c r="AP63" s="11" t="n">
        <f aca="false">Inputs!$F$158/100*AP50</f>
        <v>0.422321751961867</v>
      </c>
      <c r="AQ63" s="11" t="n">
        <f aca="false">Inputs!$F$158/100*AQ50</f>
        <v>0.424636178505231</v>
      </c>
      <c r="AR63" s="11" t="n">
        <f aca="false">Inputs!$F$158/100*AR50</f>
        <v>0.427155272832653</v>
      </c>
      <c r="AS63" s="11" t="n">
        <f aca="false">Inputs!$F$158/100*AS50</f>
        <v>0.428325115233841</v>
      </c>
      <c r="AT63" s="11" t="n">
        <f aca="false">Inputs!$F$158/100*AT50</f>
        <v>0.423054968754184</v>
      </c>
      <c r="AU63" s="11" t="n">
        <f aca="false">Inputs!$F$158/100*AU50</f>
        <v>0.431713600332744</v>
      </c>
      <c r="AV63" s="11" t="n">
        <f aca="false">Inputs!$F$158/100*AV50</f>
        <v>0.436055638704022</v>
      </c>
      <c r="AW63" s="11" t="n">
        <f aca="false">Inputs!$F$158/100*AW50</f>
        <v>0.438153316746979</v>
      </c>
      <c r="AX63" s="11" t="n">
        <f aca="false">Inputs!$F$158/100*AX50</f>
        <v>0.440082399212593</v>
      </c>
      <c r="AY63" s="11" t="n">
        <f aca="false">Inputs!$F$158/100*AY50</f>
        <v>0.44260218558592</v>
      </c>
      <c r="AZ63" s="11" t="n">
        <f aca="false">Inputs!$F$158/100*AZ50</f>
        <v>0.445343992727329</v>
      </c>
      <c r="BA63" s="11" t="n">
        <f aca="false">Inputs!$F$158/100*BA50</f>
        <v>0.447034903273082</v>
      </c>
      <c r="BB63" s="11" t="n">
        <f aca="false">Inputs!$F$158/100*BB50</f>
        <v>0.448036475386472</v>
      </c>
      <c r="BC63" s="11" t="n">
        <f aca="false">Inputs!$F$158/100*BC50</f>
        <v>0.451159148989593</v>
      </c>
      <c r="BD63" s="11" t="n">
        <f aca="false">Inputs!$F$158/100*BD50</f>
        <v>0.455037241154803</v>
      </c>
      <c r="BE63" s="11" t="n">
        <f aca="false">Inputs!$F$158/100*BE50</f>
        <v>0.457322696543481</v>
      </c>
      <c r="BF63" s="11" t="n">
        <f aca="false">Inputs!$F$158/100*BF50</f>
        <v>0.459425476360553</v>
      </c>
      <c r="BG63" s="11" t="n">
        <f aca="false">Inputs!$F$158/100*BG50</f>
        <v>0.46216883283879</v>
      </c>
      <c r="BH63" s="11" t="n">
        <f aca="false">Inputs!$F$158/100*BH50</f>
        <v>0.465153026592976</v>
      </c>
      <c r="BI63" s="11" t="n">
        <f aca="false">Inputs!$F$158/100*BI50</f>
        <v>0.4665513342357</v>
      </c>
      <c r="BJ63" s="11" t="n">
        <f aca="false">Inputs!$F$158/100*BJ50</f>
        <v>0.460913002499135</v>
      </c>
      <c r="BK63" s="11" t="n">
        <f aca="false">Inputs!$F$158/100*BK50</f>
        <v>0.470581659669465</v>
      </c>
      <c r="BL63" s="11" t="n">
        <f aca="false">Inputs!$F$158/100*BL50</f>
        <v>0.475709760060123</v>
      </c>
      <c r="BM63" s="11" t="n">
        <f aca="false">Inputs!$F$158/100*BM50</f>
        <v>0.318952678922493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134.870298707286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0.698605068579705</v>
      </c>
      <c r="P64" s="11" t="n">
        <f aca="false">Inputs!$F$159*(0.7*P19+0.3*P23*Inputs!$F$150/P11)*P33/1000000</f>
        <v>2.11768424774578</v>
      </c>
      <c r="Q64" s="11" t="n">
        <f aca="false">Inputs!$F$159*(0.7*Q19+0.3*Q23*Inputs!$F$150/Q11)*Q33/1000000</f>
        <v>2.13240346537019</v>
      </c>
      <c r="R64" s="11" t="n">
        <f aca="false">Inputs!$F$159*(0.7*R19+0.3*R23*Inputs!$F$150/R11)*R33/1000000</f>
        <v>2.14029008085334</v>
      </c>
      <c r="S64" s="11" t="n">
        <f aca="false">Inputs!$F$159*(0.7*S19+0.3*S23*Inputs!$F$150/S11)*S33/1000000</f>
        <v>2.16906091034705</v>
      </c>
      <c r="T64" s="11" t="n">
        <f aca="false">Inputs!$F$159*(0.7*T19+0.3*T23*Inputs!$F$150/T11)*T33/1000000</f>
        <v>2.20524750199865</v>
      </c>
      <c r="U64" s="11" t="n">
        <f aca="false">Inputs!$F$159*(0.7*U19+0.3*U23*Inputs!$F$150/U11)*U33/1000000</f>
        <v>2.20236243216415</v>
      </c>
      <c r="V64" s="11" t="n">
        <f aca="false">Inputs!$F$159*(0.7*V19+0.3*V23*Inputs!$F$150/V11)*V33/1000000</f>
        <v>2.17359831865647</v>
      </c>
      <c r="W64" s="11" t="n">
        <f aca="false">Inputs!$F$159*(0.7*W19+0.3*W23*Inputs!$F$150/W11)*W33/1000000</f>
        <v>2.22157232477123</v>
      </c>
      <c r="X64" s="11" t="n">
        <f aca="false">Inputs!$F$159*(0.7*X19+0.3*X23*Inputs!$F$150/X11)*X33/1000000</f>
        <v>2.29641055466452</v>
      </c>
      <c r="Y64" s="11" t="n">
        <f aca="false">Inputs!$F$159*(0.7*Y19+0.3*Y23*Inputs!$F$150/Y11)*Y33/1000000</f>
        <v>2.31236154136506</v>
      </c>
      <c r="Z64" s="11" t="n">
        <f aca="false">Inputs!$F$159*(0.7*Z19+0.3*Z23*Inputs!$F$150/Z11)*Z33/1000000</f>
        <v>2.32090318103218</v>
      </c>
      <c r="AA64" s="11" t="n">
        <f aca="false">Inputs!$F$159*(0.7*AA19+0.3*AA23*Inputs!$F$150/AA11)*AA33/1000000</f>
        <v>2.35209119851441</v>
      </c>
      <c r="AB64" s="11" t="n">
        <f aca="false">Inputs!$F$159*(0.7*AB19+0.3*AB23*Inputs!$F$150/AB11)*AB33/1000000</f>
        <v>2.39132040014205</v>
      </c>
      <c r="AC64" s="11" t="n">
        <f aca="false">Inputs!$F$159*(0.7*AC19+0.3*AC23*Inputs!$F$150/AC11)*AC33/1000000</f>
        <v>2.3718706305635</v>
      </c>
      <c r="AD64" s="11" t="n">
        <f aca="false">Inputs!$F$159*(0.7*AD19+0.3*AD23*Inputs!$F$150/AD11)*AD33/1000000</f>
        <v>2.30755028977292</v>
      </c>
      <c r="AE64" s="11" t="n">
        <f aca="false">Inputs!$F$159*(0.7*AE19+0.3*AE23*Inputs!$F$150/AE11)*AE33/1000000</f>
        <v>2.37570177916638</v>
      </c>
      <c r="AF64" s="11" t="n">
        <f aca="false">Inputs!$F$159*(0.7*AF19+0.3*AF23*Inputs!$F$150/AF11)*AF33/1000000</f>
        <v>2.49012998725189</v>
      </c>
      <c r="AG64" s="11" t="n">
        <f aca="false">Inputs!$F$159*(0.7*AG19+0.3*AG23*Inputs!$F$150/AG11)*AG33/1000000</f>
        <v>2.50741504656912</v>
      </c>
      <c r="AH64" s="11" t="n">
        <f aca="false">Inputs!$F$159*(0.7*AH19+0.3*AH23*Inputs!$F$150/AH11)*AH33/1000000</f>
        <v>2.51666562240006</v>
      </c>
      <c r="AI64" s="11" t="n">
        <f aca="false">Inputs!$F$159*(0.7*AI19+0.3*AI23*Inputs!$F$150/AI11)*AI33/1000000</f>
        <v>2.55047252613567</v>
      </c>
      <c r="AJ64" s="11" t="n">
        <f aca="false">Inputs!$F$159*(0.7*AJ19+0.3*AJ23*Inputs!$F$150/AJ11)*AJ33/1000000</f>
        <v>2.5929984581134</v>
      </c>
      <c r="AK64" s="11" t="n">
        <f aca="false">Inputs!$F$159*(0.7*AK19+0.3*AK23*Inputs!$F$150/AK11)*AK33/1000000</f>
        <v>2.58958232301871</v>
      </c>
      <c r="AL64" s="11" t="n">
        <f aca="false">Inputs!$F$159*(0.7*AL19+0.3*AL23*Inputs!$F$150/AL11)*AL33/1000000</f>
        <v>2.55573739093963</v>
      </c>
      <c r="AM64" s="11" t="n">
        <f aca="false">Inputs!$F$159*(0.7*AM19+0.3*AM23*Inputs!$F$150/AM11)*AM33/1000000</f>
        <v>2.61212161924509</v>
      </c>
      <c r="AN64" s="11" t="n">
        <f aca="false">Inputs!$F$159*(0.7*AN19+0.3*AN23*Inputs!$F$150/AN11)*AN33/1000000</f>
        <v>2.7000913964909</v>
      </c>
      <c r="AO64" s="11" t="n">
        <f aca="false">Inputs!$F$159*(0.7*AO19+0.3*AO23*Inputs!$F$150/AO11)*AO33/1000000</f>
        <v>2.71882125196743</v>
      </c>
      <c r="AP64" s="11" t="n">
        <f aca="false">Inputs!$F$159*(0.7*AP19+0.3*AP23*Inputs!$F$150/AP11)*AP33/1000000</f>
        <v>2.72883906427097</v>
      </c>
      <c r="AQ64" s="11" t="n">
        <f aca="false">Inputs!$F$159*(0.7*AQ19+0.3*AQ23*Inputs!$F$150/AQ11)*AQ33/1000000</f>
        <v>2.76548324681097</v>
      </c>
      <c r="AR64" s="11" t="n">
        <f aca="false">Inputs!$F$159*(0.7*AR19+0.3*AR23*Inputs!$F$150/AR11)*AR33/1000000</f>
        <v>2.81158108597929</v>
      </c>
      <c r="AS64" s="11" t="n">
        <f aca="false">Inputs!$F$159*(0.7*AS19+0.3*AS23*Inputs!$F$150/AS11)*AS33/1000000</f>
        <v>2.78868721013542</v>
      </c>
      <c r="AT64" s="11" t="n">
        <f aca="false">Inputs!$F$159*(0.7*AT19+0.3*AT23*Inputs!$F$150/AT11)*AT33/1000000</f>
        <v>2.71303838818515</v>
      </c>
      <c r="AU64" s="11" t="n">
        <f aca="false">Inputs!$F$159*(0.7*AU19+0.3*AU23*Inputs!$F$150/AU11)*AU33/1000000</f>
        <v>2.79313957280359</v>
      </c>
      <c r="AV64" s="11" t="n">
        <f aca="false">Inputs!$F$159*(0.7*AV19+0.3*AV23*Inputs!$F$150/AV11)*AV33/1000000</f>
        <v>2.9276467784131</v>
      </c>
      <c r="AW64" s="11" t="n">
        <f aca="false">Inputs!$F$159*(0.7*AW19+0.3*AW23*Inputs!$F$150/AW11)*AW33/1000000</f>
        <v>2.94794125895267</v>
      </c>
      <c r="AX64" s="11" t="n">
        <f aca="false">Inputs!$F$159*(0.7*AX19+0.3*AX23*Inputs!$F$150/AX11)*AX33/1000000</f>
        <v>2.95878934865209</v>
      </c>
      <c r="AY64" s="11" t="n">
        <f aca="false">Inputs!$F$159*(0.7*AY19+0.3*AY23*Inputs!$F$150/AY11)*AY33/1000000</f>
        <v>2.9985072651064</v>
      </c>
      <c r="AZ64" s="11" t="n">
        <f aca="false">Inputs!$F$159*(0.7*AZ19+0.3*AZ23*Inputs!$F$150/AZ11)*AZ33/1000000</f>
        <v>3.04847497289756</v>
      </c>
      <c r="BA64" s="11" t="n">
        <f aca="false">Inputs!$F$159*(0.7*BA19+0.3*BA23*Inputs!$F$150/BA11)*BA33/1000000</f>
        <v>3.04443012448492</v>
      </c>
      <c r="BB64" s="11" t="n">
        <f aca="false">Inputs!$F$159*(0.7*BB19+0.3*BB23*Inputs!$F$150/BB11)*BB33/1000000</f>
        <v>3.0046121748805</v>
      </c>
      <c r="BC64" s="11" t="n">
        <f aca="false">Inputs!$F$159*(0.7*BC19+0.3*BC23*Inputs!$F$150/BC11)*BC33/1000000</f>
        <v>3.07087041431719</v>
      </c>
      <c r="BD64" s="11" t="n">
        <f aca="false">Inputs!$F$159*(0.7*BD19+0.3*BD23*Inputs!$F$150/BD11)*BD33/1000000</f>
        <v>3.17425970587549</v>
      </c>
      <c r="BE64" s="11" t="n">
        <f aca="false">Inputs!$F$159*(0.7*BE19+0.3*BE23*Inputs!$F$150/BE11)*BE33/1000000</f>
        <v>3.1962484861199</v>
      </c>
      <c r="BF64" s="11" t="n">
        <f aca="false">Inputs!$F$159*(0.7*BF19+0.3*BF23*Inputs!$F$150/BF11)*BF33/1000000</f>
        <v>3.20799501481993</v>
      </c>
      <c r="BG64" s="11" t="n">
        <f aca="false">Inputs!$F$159*(0.7*BG19+0.3*BG23*Inputs!$F$150/BG11)*BG33/1000000</f>
        <v>3.25104266192638</v>
      </c>
      <c r="BH64" s="11" t="n">
        <f aca="false">Inputs!$F$159*(0.7*BH19+0.3*BH23*Inputs!$F$150/BH11)*BH33/1000000</f>
        <v>3.30520285265988</v>
      </c>
      <c r="BI64" s="11" t="n">
        <f aca="false">Inputs!$F$159*(0.7*BI19+0.3*BI23*Inputs!$F$150/BI11)*BI33/1000000</f>
        <v>3.27825833031531</v>
      </c>
      <c r="BJ64" s="11" t="n">
        <f aca="false">Inputs!$F$159*(0.7*BJ19+0.3*BJ23*Inputs!$F$150/BJ11)*BJ33/1000000</f>
        <v>3.18929846486466</v>
      </c>
      <c r="BK64" s="11" t="n">
        <f aca="false">Inputs!$F$159*(0.7*BK19+0.3*BK23*Inputs!$F$150/BK11)*BK33/1000000</f>
        <v>3.28342962861712</v>
      </c>
      <c r="BL64" s="11" t="n">
        <f aca="false">Inputs!$F$159*(0.7*BL19+0.3*BL23*Inputs!$F$150/BL11)*BL33/1000000</f>
        <v>3.44151444087802</v>
      </c>
      <c r="BM64" s="11" t="n">
        <f aca="false">Inputs!$F$159*(0.7*BM19+0.3*BM23*Inputs!$F$150/BM11)*BM33/1000000</f>
        <v>2.31793866748026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1128.1600087771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5.75836399137642</v>
      </c>
      <c r="P67" s="11" t="n">
        <f aca="false">P55+P56+P57+P59+P60+P61+P62+P63+P64+P65+P66</f>
        <v>17.4574658935764</v>
      </c>
      <c r="Q67" s="11" t="n">
        <f aca="false">Q55+Q56+Q57+Q59+Q60+Q61+Q62+Q63+Q64+Q65+Q66</f>
        <v>17.6017487159346</v>
      </c>
      <c r="R67" s="11" t="n">
        <f aca="false">R55+R56+R57+R59+R60+R61+R62+R63+R64+R65+R66</f>
        <v>17.7072147729084</v>
      </c>
      <c r="S67" s="11" t="n">
        <f aca="false">S55+S56+S57+S59+S60+S61+S62+S63+S64+S65+S66</f>
        <v>17.9341254550187</v>
      </c>
      <c r="T67" s="11" t="n">
        <f aca="false">T55+T56+T57+T59+T60+T61+T62+T63+T64+T65+T66</f>
        <v>18.2047551040536</v>
      </c>
      <c r="U67" s="11" t="n">
        <f aca="false">U55+U56+U57+U59+U60+U61+U62+U63+U64+U65+U66</f>
        <v>18.2499495239068</v>
      </c>
      <c r="V67" s="11" t="n">
        <f aca="false">V55+V56+V57+V59+V60+V61+V62+V63+V64+V65+V66</f>
        <v>18.1457491176677</v>
      </c>
      <c r="W67" s="11" t="n">
        <f aca="false">W55+W56+W57+W59+W60+W61+W62+W63+W64+W65+W66</f>
        <v>18.4869466575179</v>
      </c>
      <c r="X67" s="11" t="n">
        <f aca="false">X55+X56+X57+X59+X60+X61+X62+X63+X64+X65+X66</f>
        <v>18.9849855107892</v>
      </c>
      <c r="Y67" s="11" t="n">
        <f aca="false">Y55+Y56+Y57+Y59+Y60+Y61+Y62+Y63+Y64+Y65+Y66</f>
        <v>19.1422813830959</v>
      </c>
      <c r="Z67" s="11" t="n">
        <f aca="false">Z55+Z56+Z57+Z59+Z60+Z61+Z62+Z63+Z64+Z65+Z66</f>
        <v>19.2572757717362</v>
      </c>
      <c r="AA67" s="11" t="n">
        <f aca="false">AA55+AA56+AA57+AA59+AA60+AA61+AA62+AA63+AA64+AA65+AA66</f>
        <v>19.5046198816516</v>
      </c>
      <c r="AB67" s="11" t="n">
        <f aca="false">AB55+AB56+AB57+AB59+AB60+AB61+AB62+AB63+AB64+AB65+AB66</f>
        <v>19.7996090706214</v>
      </c>
      <c r="AC67" s="11" t="n">
        <f aca="false">AC55+AC56+AC57+AC59+AC60+AC61+AC62+AC63+AC64+AC65+AC66</f>
        <v>19.7539854644344</v>
      </c>
      <c r="AD67" s="11" t="n">
        <f aca="false">AD55+AD56+AD57+AD59+AD60+AD61+AD62+AD63+AD64+AD65+AD66</f>
        <v>19.4799736382469</v>
      </c>
      <c r="AE67" s="11" t="n">
        <f aca="false">AE55+AE56+AE57+AE59+AE60+AE61+AE62+AE63+AE64+AE65+AE66</f>
        <v>19.9133232608234</v>
      </c>
      <c r="AF67" s="11" t="n">
        <f aca="false">AF55+AF56+AF57+AF59+AF60+AF61+AF62+AF63+AF64+AF65+AF66</f>
        <v>20.6501417331803</v>
      </c>
      <c r="AG67" s="11" t="n">
        <f aca="false">AG55+AG56+AG57+AG59+AG60+AG61+AG62+AG63+AG64+AG65+AG66</f>
        <v>20.8216242364756</v>
      </c>
      <c r="AH67" s="11" t="n">
        <f aca="false">AH55+AH56+AH57+AH59+AH60+AH61+AH62+AH63+AH64+AH65+AH66</f>
        <v>20.9470077557761</v>
      </c>
      <c r="AI67" s="11" t="n">
        <f aca="false">AI55+AI56+AI57+AI59+AI60+AI61+AI62+AI63+AI64+AI65+AI66</f>
        <v>21.2166251522691</v>
      </c>
      <c r="AJ67" s="11" t="n">
        <f aca="false">AJ55+AJ56+AJ57+AJ59+AJ60+AJ61+AJ62+AJ63+AJ64+AJ65+AJ66</f>
        <v>21.5381662610284</v>
      </c>
      <c r="AK67" s="11" t="n">
        <f aca="false">AK55+AK56+AK57+AK59+AK60+AK61+AK62+AK63+AK64+AK65+AK66</f>
        <v>21.591972998871</v>
      </c>
      <c r="AL67" s="11" t="n">
        <f aca="false">AL55+AL56+AL57+AL59+AL60+AL61+AL62+AL63+AL64+AL65+AL66</f>
        <v>21.468354141903</v>
      </c>
      <c r="AM67" s="11" t="n">
        <f aca="false">AM55+AM56+AM57+AM59+AM60+AM61+AM62+AM63+AM64+AM65+AM66</f>
        <v>21.8737086300817</v>
      </c>
      <c r="AN67" s="11" t="n">
        <f aca="false">AN55+AN56+AN57+AN59+AN60+AN61+AN62+AN63+AN64+AN65+AN66</f>
        <v>22.4653351740724</v>
      </c>
      <c r="AO67" s="11" t="n">
        <f aca="false">AO55+AO56+AO57+AO59+AO60+AO61+AO62+AO63+AO64+AO65+AO66</f>
        <v>22.6522837211702</v>
      </c>
      <c r="AP67" s="11" t="n">
        <f aca="false">AP55+AP56+AP57+AP59+AP60+AP61+AP62+AP63+AP64+AP65+AP66</f>
        <v>22.7889949320678</v>
      </c>
      <c r="AQ67" s="11" t="n">
        <f aca="false">AQ55+AQ56+AQ57+AQ59+AQ60+AQ61+AQ62+AQ63+AQ64+AQ65+AQ66</f>
        <v>23.0828911210165</v>
      </c>
      <c r="AR67" s="11" t="n">
        <f aca="false">AR55+AR56+AR57+AR59+AR60+AR61+AR62+AR63+AR64+AR65+AR66</f>
        <v>23.4333738237227</v>
      </c>
      <c r="AS67" s="11" t="n">
        <f aca="false">AS55+AS56+AS57+AS59+AS60+AS61+AS62+AS63+AS64+AS65+AS66</f>
        <v>23.3793338073707</v>
      </c>
      <c r="AT67" s="11" t="n">
        <f aca="false">AT55+AT56+AT57+AT59+AT60+AT61+AT62+AT63+AT64+AT65+AT66</f>
        <v>23.054748133438</v>
      </c>
      <c r="AU67" s="11" t="n">
        <f aca="false">AU55+AU56+AU57+AU59+AU60+AU61+AU62+AU63+AU64+AU65+AU66</f>
        <v>23.5688626095593</v>
      </c>
      <c r="AV67" s="11" t="n">
        <f aca="false">AV55+AV56+AV57+AV59+AV60+AV61+AV62+AV63+AV64+AV65+AV66</f>
        <v>24.444083602517</v>
      </c>
      <c r="AW67" s="11" t="n">
        <f aca="false">AW55+AW56+AW57+AW59+AW60+AW61+AW62+AW63+AW64+AW65+AW66</f>
        <v>24.6478929810627</v>
      </c>
      <c r="AX67" s="11" t="n">
        <f aca="false">AX55+AX56+AX57+AX59+AX60+AX61+AX62+AX63+AX64+AX65+AX66</f>
        <v>24.7969552308929</v>
      </c>
      <c r="AY67" s="11" t="n">
        <f aca="false">AY55+AY56+AY57+AY59+AY60+AY61+AY62+AY63+AY64+AY65+AY66</f>
        <v>25.117316277368</v>
      </c>
      <c r="AZ67" s="11" t="n">
        <f aca="false">AZ55+AZ56+AZ57+AZ59+AZ60+AZ61+AZ62+AZ63+AZ64+AZ65+AZ66</f>
        <v>25.4993452951761</v>
      </c>
      <c r="BA67" s="11" t="n">
        <f aca="false">BA55+BA56+BA57+BA59+BA60+BA61+BA62+BA63+BA64+BA65+BA66</f>
        <v>25.5634055204311</v>
      </c>
      <c r="BB67" s="11" t="n">
        <f aca="false">BB55+BB56+BB57+BB59+BB60+BB61+BB62+BB63+BB64+BB65+BB66</f>
        <v>25.4167509642183</v>
      </c>
      <c r="BC67" s="11" t="n">
        <f aca="false">BC55+BC56+BC57+BC59+BC60+BC61+BC62+BC63+BC64+BC65+BC66</f>
        <v>25.8983245793522</v>
      </c>
      <c r="BD67" s="11" t="n">
        <f aca="false">BD55+BD56+BD57+BD59+BD60+BD61+BD62+BD63+BD64+BD65+BD66</f>
        <v>26.6011225773252</v>
      </c>
      <c r="BE67" s="11" t="n">
        <f aca="false">BE55+BE56+BE57+BE59+BE60+BE61+BE62+BE63+BE64+BE65+BE66</f>
        <v>26.8233133533053</v>
      </c>
      <c r="BF67" s="11" t="n">
        <f aca="false">BF55+BF56+BF57+BF59+BF60+BF61+BF62+BF63+BF64+BF65+BF66</f>
        <v>26.9858424347673</v>
      </c>
      <c r="BG67" s="11" t="n">
        <f aca="false">BG55+BG56+BG57+BG59+BG60+BG61+BG62+BG63+BG64+BG65+BG66</f>
        <v>27.3350512174119</v>
      </c>
      <c r="BH67" s="11" t="n">
        <f aca="false">BH55+BH56+BH57+BH59+BH60+BH61+BH62+BH63+BH64+BH65+BH66</f>
        <v>27.7514656683858</v>
      </c>
      <c r="BI67" s="11" t="n">
        <f aca="false">BI55+BI56+BI57+BI59+BI60+BI61+BI62+BI63+BI64+BI65+BI66</f>
        <v>27.6874581026048</v>
      </c>
      <c r="BJ67" s="11" t="n">
        <f aca="false">BJ55+BJ56+BJ57+BJ59+BJ60+BJ61+BJ62+BJ63+BJ64+BJ65+BJ66</f>
        <v>27.3028563262922</v>
      </c>
      <c r="BK67" s="11" t="n">
        <f aca="false">BK55+BK56+BK57+BK59+BK60+BK61+BK62+BK63+BK64+BK65+BK66</f>
        <v>27.912898366566</v>
      </c>
      <c r="BL67" s="11" t="n">
        <f aca="false">BL55+BL56+BL57+BL59+BL60+BL61+BL62+BL63+BL64+BL65+BL66</f>
        <v>28.9525151454309</v>
      </c>
      <c r="BM67" s="11" t="n">
        <f aca="false">BM55+BM56+BM57+BM59+BM60+BM61+BM62+BM63+BM64+BM65+BM66</f>
        <v>19.5076136886312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4890.55365079805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25.73098281395</v>
      </c>
      <c r="P68" s="11" t="n">
        <f aca="false">P37*P36/1000000</f>
        <v>77.1852057954582</v>
      </c>
      <c r="Q68" s="11" t="n">
        <f aca="false">Q37*Q36/1000000</f>
        <v>78.465244465635</v>
      </c>
      <c r="R68" s="11" t="n">
        <f aca="false">R37*R36/1000000</f>
        <v>77.9498629222601</v>
      </c>
      <c r="S68" s="11" t="n">
        <f aca="false">S37*S36/1000000</f>
        <v>79.7534070844464</v>
      </c>
      <c r="T68" s="11" t="n">
        <f aca="false">T37*T36/1000000</f>
        <v>80.2544807799192</v>
      </c>
      <c r="U68" s="11" t="n">
        <f aca="false">U37*U36/1000000</f>
        <v>80.9161498839552</v>
      </c>
      <c r="V68" s="11" t="n">
        <f aca="false">V37*V36/1000000</f>
        <v>79.0423514574039</v>
      </c>
      <c r="W68" s="11" t="n">
        <f aca="false">W37*W36/1000000</f>
        <v>81.5596170351762</v>
      </c>
      <c r="X68" s="11" t="n">
        <f aca="false">X37*X36/1000000</f>
        <v>83.4445713392668</v>
      </c>
      <c r="Y68" s="11" t="n">
        <f aca="false">Y37*Y36/1000000</f>
        <v>84.8277877116459</v>
      </c>
      <c r="Z68" s="11" t="n">
        <f aca="false">Z37*Z36/1000000</f>
        <v>84.2699915009788</v>
      </c>
      <c r="AA68" s="11" t="n">
        <f aca="false">AA37*AA36/1000000</f>
        <v>86.2191275153245</v>
      </c>
      <c r="AB68" s="11" t="n">
        <f aca="false">AB37*AB36/1000000</f>
        <v>86.760181213263</v>
      </c>
      <c r="AC68" s="11" t="n">
        <f aca="false">AC37*AC36/1000000</f>
        <v>86.8774192946939</v>
      </c>
      <c r="AD68" s="11" t="n">
        <f aca="false">AD37*AD36/1000000</f>
        <v>83.6565587500607</v>
      </c>
      <c r="AE68" s="11" t="n">
        <f aca="false">AE37*AE36/1000000</f>
        <v>86.950817416645</v>
      </c>
      <c r="AF68" s="11" t="n">
        <f aca="false">AF37*AF36/1000000</f>
        <v>90.2061950496166</v>
      </c>
      <c r="AG68" s="11" t="n">
        <f aca="false">AG37*AG36/1000000</f>
        <v>91.7008143065316</v>
      </c>
      <c r="AH68" s="11" t="n">
        <f aca="false">AH37*AH36/1000000</f>
        <v>91.0971468030825</v>
      </c>
      <c r="AI68" s="11" t="n">
        <f aca="false">AI37*AI36/1000000</f>
        <v>93.2034997853314</v>
      </c>
      <c r="AJ68" s="11" t="n">
        <f aca="false">AJ37*AJ36/1000000</f>
        <v>93.7876852647484</v>
      </c>
      <c r="AK68" s="11" t="n">
        <f aca="false">AK37*AK36/1000000</f>
        <v>94.5595263127573</v>
      </c>
      <c r="AL68" s="11" t="n">
        <f aca="false">AL37*AL36/1000000</f>
        <v>92.3684117734683</v>
      </c>
      <c r="AM68" s="11" t="n">
        <f aca="false">AM37*AM36/1000000</f>
        <v>95.3086561145915</v>
      </c>
      <c r="AN68" s="11" t="n">
        <f aca="false">AN37*AN36/1000000</f>
        <v>97.5099191604306</v>
      </c>
      <c r="AO68" s="11" t="n">
        <f aca="false">AO37*AO36/1000000</f>
        <v>99.1248142365637</v>
      </c>
      <c r="AP68" s="11" t="n">
        <f aca="false">AP37*AP36/1000000</f>
        <v>98.4715399528155</v>
      </c>
      <c r="AQ68" s="11" t="n">
        <f aca="false">AQ37*AQ36/1000000</f>
        <v>100.747652174361</v>
      </c>
      <c r="AR68" s="11" t="n">
        <f aca="false">AR37*AR36/1000000</f>
        <v>101.378366305647</v>
      </c>
      <c r="AS68" s="11" t="n">
        <f aca="false">AS37*AS36/1000000</f>
        <v>101.513844109913</v>
      </c>
      <c r="AT68" s="11" t="n">
        <f aca="false">AT37*AT36/1000000</f>
        <v>97.748900025806</v>
      </c>
      <c r="AU68" s="11" t="n">
        <f aca="false">AU37*AU36/1000000</f>
        <v>101.596575637686</v>
      </c>
      <c r="AV68" s="11" t="n">
        <f aca="false">AV37*AV36/1000000</f>
        <v>105.398706193355</v>
      </c>
      <c r="AW68" s="11" t="n">
        <f aca="false">AW37*AW36/1000000</f>
        <v>107.143448083852</v>
      </c>
      <c r="AX68" s="11" t="n">
        <f aca="false">AX37*AX36/1000000</f>
        <v>106.436530414813</v>
      </c>
      <c r="AY68" s="11" t="n">
        <f aca="false">AY37*AY36/1000000</f>
        <v>108.895932682542</v>
      </c>
      <c r="AZ68" s="11" t="n">
        <f aca="false">AZ37*AZ36/1000000</f>
        <v>109.576836182168</v>
      </c>
      <c r="BA68" s="11" t="n">
        <f aca="false">BA37*BA36/1000000</f>
        <v>110.476962502246</v>
      </c>
      <c r="BB68" s="11" t="n">
        <f aca="false">BB37*BB36/1000000</f>
        <v>107.915395678231</v>
      </c>
      <c r="BC68" s="11" t="n">
        <f aca="false">BC37*BC36/1000000</f>
        <v>111.348858138568</v>
      </c>
      <c r="BD68" s="11" t="n">
        <f aca="false">BD37*BD36/1000000</f>
        <v>113.918879733346</v>
      </c>
      <c r="BE68" s="11" t="n">
        <f aca="false">BE37*BE36/1000000</f>
        <v>115.803791645587</v>
      </c>
      <c r="BF68" s="11" t="n">
        <f aca="false">BF37*BF36/1000000</f>
        <v>115.038868858136</v>
      </c>
      <c r="BG68" s="11" t="n">
        <f aca="false">BG37*BG36/1000000</f>
        <v>117.696157361461</v>
      </c>
      <c r="BH68" s="11" t="n">
        <f aca="false">BH37*BH36/1000000</f>
        <v>118.431194953835</v>
      </c>
      <c r="BI68" s="11" t="n">
        <f aca="false">BI37*BI36/1000000</f>
        <v>118.58767824655</v>
      </c>
      <c r="BJ68" s="11" t="n">
        <f aca="false">BJ37*BJ36/1000000</f>
        <v>114.187782052212</v>
      </c>
      <c r="BK68" s="11" t="n">
        <f aca="false">BK37*BK36/1000000</f>
        <v>118.680752403128</v>
      </c>
      <c r="BL68" s="11" t="n">
        <f aca="false">BL37*BL36/1000000</f>
        <v>123.120383456475</v>
      </c>
      <c r="BM68" s="11" t="n">
        <f aca="false">BM37*BM36/1000000</f>
        <v>83.7081882181135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5727.32992541584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30.3693941991122</v>
      </c>
      <c r="P69" s="11" t="n">
        <f aca="false">P68+P47+P48+P49</f>
        <v>91.1627555204036</v>
      </c>
      <c r="Q69" s="11" t="n">
        <f aca="false">Q68+Q47+Q48+Q49</f>
        <v>92.4535708096896</v>
      </c>
      <c r="R69" s="11" t="n">
        <f aca="false">R68+R47+R48+R49</f>
        <v>92.1123083389789</v>
      </c>
      <c r="S69" s="11" t="n">
        <f aca="false">S68+S47+S48+S49</f>
        <v>93.9426640295733</v>
      </c>
      <c r="T69" s="11" t="n">
        <f aca="false">T68+T47+T48+T49</f>
        <v>94.652951535959</v>
      </c>
      <c r="U69" s="11" t="n">
        <f aca="false">U68+U47+U48+U49</f>
        <v>95.3700562753901</v>
      </c>
      <c r="V69" s="11" t="n">
        <f aca="false">V68+V47+V48+V49</f>
        <v>93.5681098563624</v>
      </c>
      <c r="W69" s="11" t="n">
        <f aca="false">W68+W47+W48+W49</f>
        <v>96.133390813805</v>
      </c>
      <c r="X69" s="11" t="n">
        <f aca="false">X68+X47+X48+X49</f>
        <v>98.2766009097452</v>
      </c>
      <c r="Y69" s="11" t="n">
        <f aca="false">Y68+Y47+Y48+Y49</f>
        <v>99.6711981336584</v>
      </c>
      <c r="Z69" s="11" t="n">
        <f aca="false">Z68+Z47+Z48+Z49</f>
        <v>99.2982077219474</v>
      </c>
      <c r="AA69" s="11" t="n">
        <f aca="false">AA68+AA47+AA48+AA49</f>
        <v>101.275721141714</v>
      </c>
      <c r="AB69" s="11" t="n">
        <f aca="false">AB68+AB47+AB48+AB49</f>
        <v>102.038785663564</v>
      </c>
      <c r="AC69" s="11" t="n">
        <f aca="false">AC68+AC47+AC48+AC49</f>
        <v>102.196388423457</v>
      </c>
      <c r="AD69" s="11" t="n">
        <f aca="false">AD68+AD47+AD48+AD49</f>
        <v>99.0149752517049</v>
      </c>
      <c r="AE69" s="11" t="n">
        <f aca="false">AE68+AE47+AE48+AE49</f>
        <v>102.377976486296</v>
      </c>
      <c r="AF69" s="11" t="n">
        <f aca="false">AF68+AF47+AF48+AF49</f>
        <v>105.944780014625</v>
      </c>
      <c r="AG69" s="11" t="n">
        <f aca="false">AG68+AG47+AG48+AG49</f>
        <v>107.451416051078</v>
      </c>
      <c r="AH69" s="11" t="n">
        <f aca="false">AH68+AH47+AH48+AH49</f>
        <v>107.043898019981</v>
      </c>
      <c r="AI69" s="11" t="n">
        <f aca="false">AI68+AI47+AI48+AI49</f>
        <v>109.180282561477</v>
      </c>
      <c r="AJ69" s="11" t="n">
        <f aca="false">AJ68+AJ47+AJ48+AJ49</f>
        <v>110.000057572012</v>
      </c>
      <c r="AK69" s="11" t="n">
        <f aca="false">AK68+AK47+AK48+AK49</f>
        <v>110.834279512853</v>
      </c>
      <c r="AL69" s="11" t="n">
        <f aca="false">AL68+AL47+AL48+AL49</f>
        <v>108.724237057493</v>
      </c>
      <c r="AM69" s="11" t="n">
        <f aca="false">AM68+AM47+AM48+AM49</f>
        <v>111.718331224462</v>
      </c>
      <c r="AN69" s="11" t="n">
        <f aca="false">AN68+AN47+AN48+AN49</f>
        <v>114.210298798986</v>
      </c>
      <c r="AO69" s="11" t="n">
        <f aca="false">AO68+AO47+AO48+AO49</f>
        <v>115.837879777501</v>
      </c>
      <c r="AP69" s="11" t="n">
        <f aca="false">AP68+AP47+AP48+AP49</f>
        <v>115.392796034862</v>
      </c>
      <c r="AQ69" s="11" t="n">
        <f aca="false">AQ68+AQ47+AQ48+AQ49</f>
        <v>117.700687003539</v>
      </c>
      <c r="AR69" s="11" t="n">
        <f aca="false">AR68+AR47+AR48+AR49</f>
        <v>118.581398750741</v>
      </c>
      <c r="AS69" s="11" t="n">
        <f aca="false">AS68+AS47+AS48+AS49</f>
        <v>118.762331320275</v>
      </c>
      <c r="AT69" s="11" t="n">
        <f aca="false">AT68+AT47+AT48+AT49</f>
        <v>115.042085799165</v>
      </c>
      <c r="AU69" s="11" t="n">
        <f aca="false">AU68+AU47+AU48+AU49</f>
        <v>118.966881841612</v>
      </c>
      <c r="AV69" s="11" t="n">
        <f aca="false">AV68+AV47+AV48+AV49</f>
        <v>123.119475097615</v>
      </c>
      <c r="AW69" s="11" t="n">
        <f aca="false">AW68+AW47+AW48+AW49</f>
        <v>124.877606765003</v>
      </c>
      <c r="AX69" s="11" t="n">
        <f aca="false">AX68+AX47+AX48+AX49</f>
        <v>124.391661043734</v>
      </c>
      <c r="AY69" s="11" t="n">
        <f aca="false">AY68+AY47+AY48+AY49</f>
        <v>126.884687278145</v>
      </c>
      <c r="AZ69" s="11" t="n">
        <f aca="false">AZ68+AZ47+AZ48+AZ49</f>
        <v>127.83087644408</v>
      </c>
      <c r="BA69" s="11" t="n">
        <f aca="false">BA68+BA47+BA48+BA49</f>
        <v>128.801196402025</v>
      </c>
      <c r="BB69" s="11" t="n">
        <f aca="false">BB68+BB47+BB48+BB49</f>
        <v>126.331121770805</v>
      </c>
      <c r="BC69" s="11" t="n">
        <f aca="false">BC68+BC47+BC48+BC49</f>
        <v>129.824956640078</v>
      </c>
      <c r="BD69" s="11" t="n">
        <f aca="false">BD68+BD47+BD48+BD49</f>
        <v>132.722190954215</v>
      </c>
      <c r="BE69" s="11" t="n">
        <f aca="false">BE68+BE47+BE48+BE49</f>
        <v>134.621232884901</v>
      </c>
      <c r="BF69" s="11" t="n">
        <f aca="false">BF68+BF47+BF48+BF49</f>
        <v>134.090849380663</v>
      </c>
      <c r="BG69" s="11" t="n">
        <f aca="false">BG68+BG47+BG48+BG49</f>
        <v>136.783710350767</v>
      </c>
      <c r="BH69" s="11" t="n">
        <f aca="false">BH68+BH47+BH48+BH49</f>
        <v>137.800255294735</v>
      </c>
      <c r="BI69" s="11" t="n">
        <f aca="false">BI68+BI47+BI48+BI49</f>
        <v>138.007927983268</v>
      </c>
      <c r="BJ69" s="11" t="n">
        <f aca="false">BJ68+BJ47+BJ48+BJ49</f>
        <v>133.658707850668</v>
      </c>
      <c r="BK69" s="11" t="n">
        <f aca="false">BK68+BK47+BK48+BK49</f>
        <v>138.23816998971</v>
      </c>
      <c r="BL69" s="11" t="n">
        <f aca="false">BL68+BL47+BL48+BL49</f>
        <v>143.072163907049</v>
      </c>
      <c r="BM69" s="11" t="n">
        <f aca="false">BM68+BM47+BM48+BM49</f>
        <v>96.9664389263518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0.122536878547878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0.108510306506439</v>
      </c>
      <c r="Q70" s="11" t="n">
        <f aca="false">SUMIFS(Construction!$J$36:$BJ$36,Construction!$J$12:$BJ$12,Time!Q17,Construction!$J$8:$BJ$8,"&gt;"&amp;Time!$F$13)</f>
        <v>0.0140265720414384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6926.37972641901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36.1277581904886</v>
      </c>
      <c r="P78" s="11" t="n">
        <f aca="false">P67+P69+P70+P71+P74+P77</f>
        <v>108.728731720486</v>
      </c>
      <c r="Q78" s="11" t="n">
        <f aca="false">Q67+Q69+Q70+Q71+Q74+Q77</f>
        <v>110.069346097666</v>
      </c>
      <c r="R78" s="11" t="n">
        <f aca="false">R67+R69+R70+R71+R74+R77</f>
        <v>109.819523111887</v>
      </c>
      <c r="S78" s="11" t="n">
        <f aca="false">S67+S69+S70+S71+S74+S77</f>
        <v>111.876789484592</v>
      </c>
      <c r="T78" s="11" t="n">
        <f aca="false">T67+T69+T70+T71+T74+T77</f>
        <v>112.857706640013</v>
      </c>
      <c r="U78" s="11" t="n">
        <f aca="false">U67+U69+U70+U71+U74+U77</f>
        <v>113.620005799297</v>
      </c>
      <c r="V78" s="11" t="n">
        <f aca="false">V67+V69+V70+V71+V74+V77</f>
        <v>114.211468788759</v>
      </c>
      <c r="W78" s="11" t="n">
        <f aca="false">W67+W69+W70+W71+W74+W77</f>
        <v>114.620337471323</v>
      </c>
      <c r="X78" s="11" t="n">
        <f aca="false">X67+X69+X70+X71+X74+X77</f>
        <v>117.261586420534</v>
      </c>
      <c r="Y78" s="11" t="n">
        <f aca="false">Y67+Y69+Y70+Y71+Y74+Y77</f>
        <v>118.813479516754</v>
      </c>
      <c r="Z78" s="11" t="n">
        <f aca="false">Z67+Z69+Z70+Z71+Z74+Z77</f>
        <v>118.555483493684</v>
      </c>
      <c r="AA78" s="11" t="n">
        <f aca="false">AA67+AA69+AA70+AA71+AA74+AA77</f>
        <v>120.780341023365</v>
      </c>
      <c r="AB78" s="11" t="n">
        <f aca="false">AB67+AB69+AB70+AB71+AB74+AB77</f>
        <v>121.838394734186</v>
      </c>
      <c r="AC78" s="11" t="n">
        <f aca="false">AC67+AC69+AC70+AC71+AC74+AC77</f>
        <v>121.950373887891</v>
      </c>
      <c r="AD78" s="11" t="n">
        <f aca="false">AD67+AD69+AD70+AD71+AD74+AD77</f>
        <v>130.331404151753</v>
      </c>
      <c r="AE78" s="11" t="n">
        <f aca="false">AE67+AE69+AE70+AE71+AE74+AE77</f>
        <v>122.29129974712</v>
      </c>
      <c r="AF78" s="11" t="n">
        <f aca="false">AF67+AF69+AF70+AF71+AF74+AF77</f>
        <v>126.594921747805</v>
      </c>
      <c r="AG78" s="11" t="n">
        <f aca="false">AG67+AG69+AG70+AG71+AG74+AG77</f>
        <v>128.273040287554</v>
      </c>
      <c r="AH78" s="11" t="n">
        <f aca="false">AH67+AH69+AH70+AH71+AH74+AH77</f>
        <v>127.990905775757</v>
      </c>
      <c r="AI78" s="11" t="n">
        <f aca="false">AI67+AI69+AI70+AI71+AI74+AI77</f>
        <v>130.396907713746</v>
      </c>
      <c r="AJ78" s="11" t="n">
        <f aca="false">AJ67+AJ69+AJ70+AJ71+AJ74+AJ77</f>
        <v>131.53822383304</v>
      </c>
      <c r="AK78" s="11" t="n">
        <f aca="false">AK67+AK69+AK70+AK71+AK74+AK77</f>
        <v>132.426252511724</v>
      </c>
      <c r="AL78" s="11" t="n">
        <f aca="false">AL67+AL69+AL70+AL71+AL74+AL77</f>
        <v>133.165158928891</v>
      </c>
      <c r="AM78" s="11" t="n">
        <f aca="false">AM67+AM69+AM70+AM71+AM74+AM77</f>
        <v>133.592039854543</v>
      </c>
      <c r="AN78" s="11" t="n">
        <f aca="false">AN67+AN69+AN70+AN71+AN74+AN77</f>
        <v>136.675633973058</v>
      </c>
      <c r="AO78" s="11" t="n">
        <f aca="false">AO67+AO69+AO70+AO71+AO74+AO77</f>
        <v>138.490163498671</v>
      </c>
      <c r="AP78" s="11" t="n">
        <f aca="false">AP67+AP69+AP70+AP71+AP74+AP77</f>
        <v>138.181790966929</v>
      </c>
      <c r="AQ78" s="11" t="n">
        <f aca="false">AQ67+AQ69+AQ70+AQ71+AQ74+AQ77</f>
        <v>140.783578124556</v>
      </c>
      <c r="AR78" s="11" t="n">
        <f aca="false">AR67+AR69+AR70+AR71+AR74+AR77</f>
        <v>142.014772574464</v>
      </c>
      <c r="AS78" s="11" t="n">
        <f aca="false">AS67+AS69+AS70+AS71+AS74+AS77</f>
        <v>142.141665127646</v>
      </c>
      <c r="AT78" s="11" t="n">
        <f aca="false">AT67+AT69+AT70+AT71+AT74+AT77</f>
        <v>152.184168445525</v>
      </c>
      <c r="AU78" s="11" t="n">
        <f aca="false">AU67+AU69+AU70+AU71+AU74+AU77</f>
        <v>142.535744451172</v>
      </c>
      <c r="AV78" s="11" t="n">
        <f aca="false">AV67+AV69+AV70+AV71+AV74+AV77</f>
        <v>147.563558700132</v>
      </c>
      <c r="AW78" s="11" t="n">
        <f aca="false">AW67+AW69+AW70+AW71+AW74+AW77</f>
        <v>149.525499746066</v>
      </c>
      <c r="AX78" s="11" t="n">
        <f aca="false">AX67+AX69+AX70+AX71+AX74+AX77</f>
        <v>149.188616274627</v>
      </c>
      <c r="AY78" s="11" t="n">
        <f aca="false">AY67+AY69+AY70+AY71+AY74+AY77</f>
        <v>152.002003555513</v>
      </c>
      <c r="AZ78" s="11" t="n">
        <f aca="false">AZ67+AZ69+AZ70+AZ71+AZ74+AZ77</f>
        <v>153.330221739256</v>
      </c>
      <c r="BA78" s="11" t="n">
        <f aca="false">BA67+BA69+BA70+BA71+BA74+BA77</f>
        <v>154.364601922456</v>
      </c>
      <c r="BB78" s="11" t="n">
        <f aca="false">BB67+BB69+BB70+BB71+BB74+BB77</f>
        <v>155.285718740564</v>
      </c>
      <c r="BC78" s="11" t="n">
        <f aca="false">BC67+BC69+BC70+BC71+BC74+BC77</f>
        <v>155.723281219431</v>
      </c>
      <c r="BD78" s="11" t="n">
        <f aca="false">BD67+BD69+BD70+BD71+BD74+BD77</f>
        <v>159.32331353154</v>
      </c>
      <c r="BE78" s="11" t="n">
        <f aca="false">BE67+BE69+BE70+BE71+BE74+BE77</f>
        <v>161.444546238206</v>
      </c>
      <c r="BF78" s="11" t="n">
        <f aca="false">BF67+BF69+BF70+BF71+BF74+BF77</f>
        <v>161.076691815431</v>
      </c>
      <c r="BG78" s="11" t="n">
        <f aca="false">BG67+BG69+BG70+BG71+BG74+BG77</f>
        <v>164.118761568179</v>
      </c>
      <c r="BH78" s="11" t="n">
        <f aca="false">BH67+BH69+BH70+BH71+BH74+BH77</f>
        <v>165.551720963121</v>
      </c>
      <c r="BI78" s="11" t="n">
        <f aca="false">BI67+BI69+BI70+BI71+BI74+BI77</f>
        <v>165.695386085873</v>
      </c>
      <c r="BJ78" s="11" t="n">
        <f aca="false">BJ67+BJ69+BJ70+BJ71+BJ74+BJ77</f>
        <v>177.727816343638</v>
      </c>
      <c r="BK78" s="11" t="n">
        <f aca="false">BK67+BK69+BK70+BK71+BK74+BK77</f>
        <v>166.151068356276</v>
      </c>
      <c r="BL78" s="11" t="n">
        <f aca="false">BL67+BL69+BL70+BL71+BL74+BL77</f>
        <v>172.02467905248</v>
      </c>
      <c r="BM78" s="11" t="n">
        <f aca="false">BM67+BM69+BM70+BM71+BM74+BM77</f>
        <v>135.543242471337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2617.84263572868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16.8849193572054</v>
      </c>
      <c r="P79" s="11" t="n">
        <f aca="false">P51-P78+P53</f>
        <v>50.6527714698497</v>
      </c>
      <c r="Q79" s="11" t="n">
        <f aca="false">Q51-Q78+Q53</f>
        <v>50.8680984114992</v>
      </c>
      <c r="R79" s="11" t="n">
        <f aca="false">R51-R78+R53</f>
        <v>51.0164280195108</v>
      </c>
      <c r="S79" s="11" t="n">
        <f aca="false">S51-S78+S53</f>
        <v>51.1105204783621</v>
      </c>
      <c r="T79" s="11" t="n">
        <f aca="false">T51-T78+T53</f>
        <v>51.187859806759</v>
      </c>
      <c r="U79" s="11" t="n">
        <f aca="false">U51-U78+U53</f>
        <v>51.3524750701148</v>
      </c>
      <c r="V79" s="11" t="n">
        <f aca="false">V51-V78+V53</f>
        <v>49.0749654119822</v>
      </c>
      <c r="W79" s="11" t="n">
        <f aca="false">W51-W78+W53</f>
        <v>51.6314472003403</v>
      </c>
      <c r="X79" s="11" t="n">
        <f aca="false">X51-X78+X53</f>
        <v>51.6316594379973</v>
      </c>
      <c r="Y79" s="11" t="n">
        <f aca="false">Y51-Y78+Y53</f>
        <v>51.7622489644418</v>
      </c>
      <c r="Z79" s="11" t="n">
        <f aca="false">Z51-Z78+Z53</f>
        <v>51.9092142661617</v>
      </c>
      <c r="AA79" s="11" t="n">
        <f aca="false">AA51-AA78+AA53</f>
        <v>52.0099304992066</v>
      </c>
      <c r="AB79" s="11" t="n">
        <f aca="false">AB51-AB78+AB53</f>
        <v>52.093385284547</v>
      </c>
      <c r="AC79" s="11" t="n">
        <f aca="false">AC51-AC78+AC53</f>
        <v>52.3084571884293</v>
      </c>
      <c r="AD79" s="11" t="n">
        <f aca="false">AD51-AD78+AD53</f>
        <v>39.8346804256382</v>
      </c>
      <c r="AE79" s="11" t="n">
        <f aca="false">AE51-AE78+AE53</f>
        <v>52.6500143521698</v>
      </c>
      <c r="AF79" s="11" t="n">
        <f aca="false">AF51-AF78+AF53</f>
        <v>52.5737711558758</v>
      </c>
      <c r="AG79" s="11" t="n">
        <f aca="false">AG51-AG78+AG53</f>
        <v>52.7149115428405</v>
      </c>
      <c r="AH79" s="11" t="n">
        <f aca="false">AH51-AH78+AH53</f>
        <v>52.8757160854737</v>
      </c>
      <c r="AI79" s="11" t="n">
        <f aca="false">AI51-AI78+AI53</f>
        <v>52.983527411402</v>
      </c>
      <c r="AJ79" s="11" t="n">
        <f aca="false">AJ51-AJ78+AJ53</f>
        <v>53.0735812799479</v>
      </c>
      <c r="AK79" s="11" t="n">
        <f aca="false">AK51-AK78+AK53</f>
        <v>53.2686567540037</v>
      </c>
      <c r="AL79" s="11" t="n">
        <f aca="false">AL51-AL78+AL53</f>
        <v>50.5628978246228</v>
      </c>
      <c r="AM79" s="11" t="n">
        <f aca="false">AM51-AM78+AM53</f>
        <v>53.5993478853508</v>
      </c>
      <c r="AN79" s="11" t="n">
        <f aca="false">AN51-AN78+AN53</f>
        <v>53.5936115785085</v>
      </c>
      <c r="AO79" s="11" t="n">
        <f aca="false">AO51-AO78+AO53</f>
        <v>53.746175353047</v>
      </c>
      <c r="AP79" s="11" t="n">
        <f aca="false">AP51-AP78+AP53</f>
        <v>53.9221043316366</v>
      </c>
      <c r="AQ79" s="11" t="n">
        <f aca="false">AQ51-AQ78+AQ53</f>
        <v>54.0375162511027</v>
      </c>
      <c r="AR79" s="11" t="n">
        <f aca="false">AR51-AR78+AR53</f>
        <v>54.1346909963557</v>
      </c>
      <c r="AS79" s="11" t="n">
        <f aca="false">AS51-AS78+AS53</f>
        <v>54.3914788553252</v>
      </c>
      <c r="AT79" s="11" t="n">
        <f aca="false">AT51-AT78+AT53</f>
        <v>39.6650243679675</v>
      </c>
      <c r="AU79" s="11" t="n">
        <f aca="false">AU51-AU78+AU53</f>
        <v>54.7983266345823</v>
      </c>
      <c r="AV79" s="11" t="n">
        <f aca="false">AV51-AV78+AV53</f>
        <v>54.6976828869036</v>
      </c>
      <c r="AW79" s="11" t="n">
        <f aca="false">AW51-AW78+AW53</f>
        <v>54.8626164344755</v>
      </c>
      <c r="AX79" s="11" t="n">
        <f aca="false">AX51-AX78+AX53</f>
        <v>55.0550731307683</v>
      </c>
      <c r="AY79" s="11" t="n">
        <f aca="false">AY51-AY78+AY53</f>
        <v>55.1786278768001</v>
      </c>
      <c r="AZ79" s="11" t="n">
        <f aca="false">AZ51-AZ78+AZ53</f>
        <v>55.2834864564394</v>
      </c>
      <c r="BA79" s="11" t="n">
        <f aca="false">BA51-BA78+BA53</f>
        <v>55.5147247192366</v>
      </c>
      <c r="BB79" s="11" t="n">
        <f aca="false">BB51-BB78+BB53</f>
        <v>52.2999652356685</v>
      </c>
      <c r="BC79" s="11" t="n">
        <f aca="false">BC51-BC78+BC53</f>
        <v>55.9067753302021</v>
      </c>
      <c r="BD79" s="11" t="n">
        <f aca="false">BD51-BD78+BD53</f>
        <v>55.8930382695803</v>
      </c>
      <c r="BE79" s="11" t="n">
        <f aca="false">BE51-BE78+BE53</f>
        <v>56.0713682238035</v>
      </c>
      <c r="BF79" s="11" t="n">
        <f aca="false">BF51-BF78+BF53</f>
        <v>56.2818847667069</v>
      </c>
      <c r="BG79" s="11" t="n">
        <f aca="false">BG51-BG78+BG53</f>
        <v>56.4141640525392</v>
      </c>
      <c r="BH79" s="11" t="n">
        <f aca="false">BH51-BH78+BH53</f>
        <v>56.5273138185437</v>
      </c>
      <c r="BI79" s="11" t="n">
        <f aca="false">BI51-BI78+BI53</f>
        <v>56.8339097540195</v>
      </c>
      <c r="BJ79" s="11" t="n">
        <f aca="false">BJ51-BJ78+BJ53</f>
        <v>39.4276371429473</v>
      </c>
      <c r="BK79" s="11" t="n">
        <f aca="false">BK51-BK78+BK53</f>
        <v>57.3185168870333</v>
      </c>
      <c r="BL79" s="11" t="n">
        <f aca="false">BL51-BL78+BL53</f>
        <v>57.1873291589556</v>
      </c>
      <c r="BM79" s="11" t="n">
        <f aca="false">BM51-BM78+BM53</f>
        <v>19.1681076317943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39.1077129450201</v>
      </c>
      <c r="P83" s="11" t="n">
        <f aca="false">(1-P81)*(P51/MAX(Time!P26,1)*Inputs!$F$165+P50/MAX(Time!P26,1)*P82)</f>
        <v>38.9791719758974</v>
      </c>
      <c r="Q83" s="11" t="n">
        <f aca="false">(1-Q81)*(Q51/MAX(Time!Q26,1)*Inputs!$F$165+Q50/MAX(Time!Q26,1)*Q82)</f>
        <v>40.0120718392951</v>
      </c>
      <c r="R83" s="11" t="n">
        <f aca="false">(1-R81)*(R51/MAX(Time!R26,1)*Inputs!$F$165+R50/MAX(Time!R26,1)*R82)</f>
        <v>39.3348793527876</v>
      </c>
      <c r="S83" s="11" t="n">
        <f aca="false">(1-S81)*(S51/MAX(Time!S26,1)*Inputs!$F$165+S50/MAX(Time!S26,1)*S82)</f>
        <v>40.521706896867</v>
      </c>
      <c r="T83" s="11" t="n">
        <f aca="false">(1-T81)*(T51/MAX(Time!T26,1)*Inputs!$F$165+T50/MAX(Time!T26,1)*T82)</f>
        <v>40.1198396201344</v>
      </c>
      <c r="U83" s="11" t="n">
        <f aca="false">(1-U81)*(U51/MAX(Time!U26,1)*Inputs!$F$165+U50/MAX(Time!U26,1)*U82)</f>
        <v>40.7898991160633</v>
      </c>
      <c r="V83" s="11" t="n">
        <f aca="false">(1-V81)*(V51/MAX(Time!V26,1)*Inputs!$F$165+V50/MAX(Time!V26,1)*V82)</f>
        <v>39.9341822773552</v>
      </c>
      <c r="W83" s="11" t="n">
        <f aca="false">(1-W81)*(W51/MAX(Time!W26,1)*Inputs!$F$165+W50/MAX(Time!W26,1)*W82)</f>
        <v>41.3333166310765</v>
      </c>
      <c r="X83" s="11" t="n">
        <f aca="false">(1-X81)*(X51/MAX(Time!X26,1)*Inputs!$F$165+X50/MAX(Time!X26,1)*X82)</f>
        <v>41.3054133893148</v>
      </c>
      <c r="Y83" s="11" t="n">
        <f aca="false">(1-Y81)*(Y51/MAX(Time!Y26,1)*Inputs!$F$165+Y50/MAX(Time!Y26,1)*Y82)</f>
        <v>42.4083302853802</v>
      </c>
      <c r="Z83" s="11" t="n">
        <f aca="false">(1-Z81)*(Z51/MAX(Time!Z26,1)*Inputs!$F$165+Z50/MAX(Time!Z26,1)*Z82)</f>
        <v>41.6897358651796</v>
      </c>
      <c r="AA83" s="11" t="n">
        <f aca="false">(1-AA81)*(AA51/MAX(Time!AA26,1)*Inputs!$F$165+AA50/MAX(Time!AA26,1)*AA82)</f>
        <v>42.9589072846173</v>
      </c>
      <c r="AB83" s="11" t="n">
        <f aca="false">(1-AB81)*(AB51/MAX(Time!AB26,1)*Inputs!$F$165+AB50/MAX(Time!AB26,1)*AB82)</f>
        <v>42.5376635915379</v>
      </c>
      <c r="AC83" s="11" t="n">
        <f aca="false">(1-AC81)*(AC51/MAX(Time!AC26,1)*Inputs!$F$165+AC50/MAX(Time!AC26,1)*AC82)</f>
        <v>43.0859747166726</v>
      </c>
      <c r="AD83" s="11" t="n">
        <f aca="false">(1-AD81)*(AD51/MAX(Time!AD26,1)*Inputs!$F$165+AD50/MAX(Time!AD26,1)*AD82)</f>
        <v>41.6167054672967</v>
      </c>
      <c r="AE83" s="11" t="n">
        <f aca="false">(1-AE81)*(AE51/MAX(Time!AE26,1)*Inputs!$F$165+AE50/MAX(Time!AE26,1)*AE82)</f>
        <v>43.4936968755139</v>
      </c>
      <c r="AF83" s="11" t="n">
        <f aca="false">(1-AF81)*(AF51/MAX(Time!AF26,1)*Inputs!$F$165+AF50/MAX(Time!AF26,1)*AF82)</f>
        <v>43.8184303297045</v>
      </c>
      <c r="AG83" s="11" t="n">
        <f aca="false">(1-AG81)*(AG51/MAX(Time!AG26,1)*Inputs!$F$165+AG50/MAX(Time!AG26,1)*AG82)</f>
        <v>44.9970045987169</v>
      </c>
      <c r="AH83" s="11" t="n">
        <f aca="false">(1-AH81)*(AH51/MAX(Time!AH26,1)*Inputs!$F$165+AH50/MAX(Time!AH26,1)*AH82)</f>
        <v>44.2336846943227</v>
      </c>
      <c r="AI83" s="11" t="n">
        <f aca="false">(1-AI81)*(AI51/MAX(Time!AI26,1)*Inputs!$F$165+AI50/MAX(Time!AI26,1)*AI82)</f>
        <v>45.5918208874678</v>
      </c>
      <c r="AJ83" s="11" t="n">
        <f aca="false">(1-AJ81)*(AJ51/MAX(Time!AJ26,1)*Inputs!$F$165+AJ50/MAX(Time!AJ26,1)*AJ82)</f>
        <v>45.149626250459</v>
      </c>
      <c r="AK83" s="11" t="n">
        <f aca="false">(1-AK81)*(AK51/MAX(Time!AK26,1)*Inputs!$F$165+AK50/MAX(Time!AK26,1)*AK82)</f>
        <v>45.9135764668008</v>
      </c>
      <c r="AL83" s="11" t="n">
        <f aca="false">(1-AL81)*(AL51/MAX(Time!AL26,1)*Inputs!$F$165+AL50/MAX(Time!AL26,1)*AL82)</f>
        <v>44.9334921408051</v>
      </c>
      <c r="AM83" s="11" t="n">
        <f aca="false">(1-AM81)*(AM51/MAX(Time!AM26,1)*Inputs!$F$165+AM50/MAX(Time!AM26,1)*AM82)</f>
        <v>46.5392952944488</v>
      </c>
      <c r="AN83" s="11" t="n">
        <f aca="false">(1-AN81)*(AN51/MAX(Time!AN26,1)*Inputs!$F$165+AN50/MAX(Time!AN26,1)*AN82)</f>
        <v>46.5332394011983</v>
      </c>
      <c r="AO83" s="11" t="n">
        <f aca="false">(1-AO81)*(AO51/MAX(Time!AO26,1)*Inputs!$F$165+AO50/MAX(Time!AO26,1)*AO82)</f>
        <v>47.7935649078857</v>
      </c>
      <c r="AP83" s="11" t="n">
        <f aca="false">(1-AP81)*(AP51/MAX(Time!AP26,1)*Inputs!$F$165+AP50/MAX(Time!AP26,1)*AP82)</f>
        <v>46.9819309154102</v>
      </c>
      <c r="AQ83" s="11" t="n">
        <f aca="false">(1-AQ81)*(AQ51/MAX(Time!AQ26,1)*Inputs!$F$165+AQ50/MAX(Time!AQ26,1)*AQ82)</f>
        <v>48.436183684556</v>
      </c>
      <c r="AR83" s="11" t="n">
        <f aca="false">(1-AR81)*(AR51/MAX(Time!AR26,1)*Inputs!$F$165+AR50/MAX(Time!AR26,1)*AR82)</f>
        <v>47.9713361993852</v>
      </c>
      <c r="AS83" s="11" t="n">
        <f aca="false">(1-AS81)*(AS51/MAX(Time!AS26,1)*Inputs!$F$165+AS50/MAX(Time!AS26,1)*AS82)</f>
        <v>48.5933597760093</v>
      </c>
      <c r="AT83" s="11" t="n">
        <f aca="false">(1-AT81)*(AT51/MAX(Time!AT26,1)*Inputs!$F$165+AT50/MAX(Time!AT26,1)*AT82)</f>
        <v>46.919639546778</v>
      </c>
      <c r="AU83" s="11" t="n">
        <f aca="false">(1-AU81)*(AU51/MAX(Time!AU26,1)*Inputs!$F$165+AU50/MAX(Time!AU26,1)*AU82)</f>
        <v>49.0609568997731</v>
      </c>
      <c r="AV83" s="11" t="n">
        <f aca="false">(1-AV81)*(AV51/MAX(Time!AV26,1)*Inputs!$F$165+AV50/MAX(Time!AV26,1)*AV82)</f>
        <v>49.4660645185685</v>
      </c>
      <c r="AW83" s="11" t="n">
        <f aca="false">(1-AW81)*(AW51/MAX(Time!AW26,1)*Inputs!$F$165+AW50/MAX(Time!AW26,1)*AW82)</f>
        <v>50.8147250172617</v>
      </c>
      <c r="AX83" s="11" t="n">
        <f aca="false">(1-AX81)*(AX51/MAX(Time!AX26,1)*Inputs!$F$165+AX50/MAX(Time!AX26,1)*AX82)</f>
        <v>49.9509023002326</v>
      </c>
      <c r="AY83" s="11" t="n">
        <f aca="false">(1-AY81)*(AY51/MAX(Time!AY26,1)*Inputs!$F$165+AY50/MAX(Time!AY26,1)*AY82)</f>
        <v>51.5089967649398</v>
      </c>
      <c r="AZ83" s="11" t="n">
        <f aca="false">(1-AZ81)*(AZ51/MAX(Time!AZ26,1)*Inputs!$F$165+AZ50/MAX(Time!AZ26,1)*AZ82)</f>
        <v>51.0196568956865</v>
      </c>
      <c r="BA83" s="11" t="n">
        <f aca="false">(1-BA81)*(BA51/MAX(Time!BA26,1)*Inputs!$F$165+BA50/MAX(Time!BA26,1)*BA82)</f>
        <v>51.8932401037153</v>
      </c>
      <c r="BB83" s="11" t="n">
        <f aca="false">(1-BB81)*(BB51/MAX(Time!BB26,1)*Inputs!$F$165+BB50/MAX(Time!BB26,1)*BB82)</f>
        <v>50.7682379289699</v>
      </c>
      <c r="BC83" s="11" t="n">
        <f aca="false">(1-BC81)*(BC51/MAX(Time!BC26,1)*Inputs!$F$165+BC50/MAX(Time!BC26,1)*BC82)</f>
        <v>52.6152074294667</v>
      </c>
      <c r="BD83" s="11" t="n">
        <f aca="false">(1-BD81)*(BD51/MAX(Time!BD26,1)*Inputs!$F$165+BD50/MAX(Time!BD26,1)*BD82)</f>
        <v>52.6344338644045</v>
      </c>
      <c r="BE83" s="11" t="n">
        <f aca="false">(1-BE81)*(BE51/MAX(Time!BE26,1)*Inputs!$F$165+BE50/MAX(Time!BE26,1)*BE82)</f>
        <v>54.0785422695604</v>
      </c>
      <c r="BF83" s="11" t="n">
        <f aca="false">(1-BF81)*(BF51/MAX(Time!BF26,1)*Inputs!$F$165+BF50/MAX(Time!BF26,1)*BF82)</f>
        <v>53.1583475336749</v>
      </c>
      <c r="BG83" s="11" t="n">
        <f aca="false">(1-BG81)*(BG51/MAX(Time!BG26,1)*Inputs!$F$165+BG50/MAX(Time!BG26,1)*BG82)</f>
        <v>54.8286279167531</v>
      </c>
      <c r="BH83" s="11" t="n">
        <f aca="false">(1-BH81)*(BH51/MAX(Time!BH26,1)*Inputs!$F$165+BH50/MAX(Time!BH26,1)*BH82)</f>
        <v>54.3128074194288</v>
      </c>
      <c r="BI83" s="11" t="n">
        <f aca="false">(1-BI81)*(BI51/MAX(Time!BI26,1)*Inputs!$F$165+BI50/MAX(Time!BI26,1)*BI82)</f>
        <v>55.0209797406327</v>
      </c>
      <c r="BJ83" s="11" t="n">
        <f aca="false">(1-BJ81)*(BJ51/MAX(Time!BJ26,1)*Inputs!$F$165+BJ50/MAX(Time!BJ26,1)*BJ82)</f>
        <v>53.108670689654</v>
      </c>
      <c r="BK83" s="11" t="n">
        <f aca="false">(1-BK81)*(BK51/MAX(Time!BK26,1)*Inputs!$F$165+BK50/MAX(Time!BK26,1)*BK82)</f>
        <v>55.5587366627012</v>
      </c>
      <c r="BL83" s="11" t="n">
        <f aca="false">(1-BL81)*(BL51/MAX(Time!BL26,1)*Inputs!$F$165+BL50/MAX(Time!BL26,1)*BL82)</f>
        <v>56.0572846169271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18.981872567668</v>
      </c>
      <c r="P85" s="11" t="n">
        <f aca="false">(1-P81)*(P68+P49)/MAX(Time!P26,1)*Inputs!$F$166</f>
        <v>18.8768166347588</v>
      </c>
      <c r="Q85" s="11" t="n">
        <f aca="false">(1-Q81)*(Q68+Q49)/MAX(Time!Q26,1)*Inputs!$F$166</f>
        <v>19.5079337069258</v>
      </c>
      <c r="R85" s="11" t="n">
        <f aca="false">(1-R81)*(R68+R49)/MAX(Time!R26,1)*Inputs!$F$166</f>
        <v>19.0638251712049</v>
      </c>
      <c r="S85" s="11" t="n">
        <f aca="false">(1-S81)*(S68+S49)/MAX(Time!S26,1)*Inputs!$F$166</f>
        <v>19.8281951314922</v>
      </c>
      <c r="T85" s="11" t="n">
        <f aca="false">(1-T81)*(T68+T49)/MAX(Time!T26,1)*Inputs!$F$166</f>
        <v>19.6274545385672</v>
      </c>
      <c r="U85" s="11" t="n">
        <f aca="false">(1-U81)*(U68+U49)/MAX(Time!U26,1)*Inputs!$F$166</f>
        <v>20.006740355923</v>
      </c>
      <c r="V85" s="11" t="n">
        <f aca="false">(1-V81)*(V68+V49)/MAX(Time!V26,1)*Inputs!$F$166</f>
        <v>19.3310098672999</v>
      </c>
      <c r="W85" s="11" t="n">
        <f aca="false">(1-W81)*(W68+W49)/MAX(Time!W26,1)*Inputs!$F$166</f>
        <v>20.2772528540493</v>
      </c>
      <c r="X85" s="11" t="n">
        <f aca="false">(1-X81)*(X68+X49)/MAX(Time!X26,1)*Inputs!$F$166</f>
        <v>20.407639729712</v>
      </c>
      <c r="Y85" s="11" t="n">
        <f aca="false">(1-Y81)*(Y68+Y49)/MAX(Time!Y26,1)*Inputs!$F$166</f>
        <v>21.0897814752711</v>
      </c>
      <c r="Z85" s="11" t="n">
        <f aca="false">(1-Z81)*(Z68+Z49)/MAX(Time!Z26,1)*Inputs!$F$166</f>
        <v>20.6095087910003</v>
      </c>
      <c r="AA85" s="11" t="n">
        <f aca="false">(1-AA81)*(AA68+AA49)/MAX(Time!AA26,1)*Inputs!$F$166</f>
        <v>21.4356946861304</v>
      </c>
      <c r="AB85" s="11" t="n">
        <f aca="false">(1-AB81)*(AB68+AB49)/MAX(Time!AB26,1)*Inputs!$F$166</f>
        <v>21.2185225793306</v>
      </c>
      <c r="AC85" s="11" t="n">
        <f aca="false">(1-AC81)*(AC68+AC49)/MAX(Time!AC26,1)*Inputs!$F$166</f>
        <v>21.4806805948419</v>
      </c>
      <c r="AD85" s="11" t="n">
        <f aca="false">(1-AD81)*(AD68+AD49)/MAX(Time!AD26,1)*Inputs!$F$166</f>
        <v>20.459484476917</v>
      </c>
      <c r="AE85" s="11" t="n">
        <f aca="false">(1-AE81)*(AE68+AE49)/MAX(Time!AE26,1)*Inputs!$F$166</f>
        <v>21.6176065400499</v>
      </c>
      <c r="AF85" s="11" t="n">
        <f aca="false">(1-AF81)*(AF68+AF49)/MAX(Time!AF26,1)*Inputs!$F$166</f>
        <v>22.0612977023519</v>
      </c>
      <c r="AG85" s="11" t="n">
        <f aca="false">(1-AG81)*(AG68+AG49)/MAX(Time!AG26,1)*Inputs!$F$166</f>
        <v>22.7985449933366</v>
      </c>
      <c r="AH85" s="11" t="n">
        <f aca="false">(1-AH81)*(AH68+AH49)/MAX(Time!AH26,1)*Inputs!$F$166</f>
        <v>22.2791935116234</v>
      </c>
      <c r="AI85" s="11" t="n">
        <f aca="false">(1-AI81)*(AI68+AI49)/MAX(Time!AI26,1)*Inputs!$F$166</f>
        <v>23.1721408306072</v>
      </c>
      <c r="AJ85" s="11" t="n">
        <f aca="false">(1-AJ81)*(AJ68+AJ49)/MAX(Time!AJ26,1)*Inputs!$F$166</f>
        <v>22.9372056354004</v>
      </c>
      <c r="AK85" s="11" t="n">
        <f aca="false">(1-AK81)*(AK68+AK49)/MAX(Time!AK26,1)*Inputs!$F$166</f>
        <v>23.3801026597477</v>
      </c>
      <c r="AL85" s="11" t="n">
        <f aca="false">(1-AL81)*(AL68+AL49)/MAX(Time!AL26,1)*Inputs!$F$166</f>
        <v>22.5901007054678</v>
      </c>
      <c r="AM85" s="11" t="n">
        <f aca="false">(1-AM81)*(AM68+AM49)/MAX(Time!AM26,1)*Inputs!$F$166</f>
        <v>23.6955222384344</v>
      </c>
      <c r="AN85" s="11" t="n">
        <f aca="false">(1-AN81)*(AN68+AN49)/MAX(Time!AN26,1)*Inputs!$F$166</f>
        <v>23.8475345772792</v>
      </c>
      <c r="AO85" s="11" t="n">
        <f aca="false">(1-AO81)*(AO68+AO49)/MAX(Time!AO26,1)*Inputs!$F$166</f>
        <v>24.6442908322948</v>
      </c>
      <c r="AP85" s="11" t="n">
        <f aca="false">(1-AP81)*(AP68+AP49)/MAX(Time!AP26,1)*Inputs!$F$166</f>
        <v>24.0827135754168</v>
      </c>
      <c r="AQ85" s="11" t="n">
        <f aca="false">(1-AQ81)*(AQ68+AQ49)/MAX(Time!AQ26,1)*Inputs!$F$166</f>
        <v>25.0477588278799</v>
      </c>
      <c r="AR85" s="11" t="n">
        <f aca="false">(1-AR81)*(AR68+AR49)/MAX(Time!AR26,1)*Inputs!$F$166</f>
        <v>24.7936221943159</v>
      </c>
      <c r="AS85" s="11" t="n">
        <f aca="false">(1-AS81)*(AS68+AS49)/MAX(Time!AS26,1)*Inputs!$F$166</f>
        <v>25.0995768403631</v>
      </c>
      <c r="AT85" s="11" t="n">
        <f aca="false">(1-AT81)*(AT68+AT49)/MAX(Time!AT26,1)*Inputs!$F$166</f>
        <v>23.9059809845721</v>
      </c>
      <c r="AU85" s="11" t="n">
        <f aca="false">(1-AU81)*(AU68+AU49)/MAX(Time!AU26,1)*Inputs!$F$166</f>
        <v>25.258817147491</v>
      </c>
      <c r="AV85" s="11" t="n">
        <f aca="false">(1-AV81)*(AV68+AV49)/MAX(Time!AV26,1)*Inputs!$F$166</f>
        <v>25.77685749294</v>
      </c>
      <c r="AW85" s="11" t="n">
        <f aca="false">(1-AW81)*(AW68+AW49)/MAX(Time!AW26,1)*Inputs!$F$166</f>
        <v>26.6378738330019</v>
      </c>
      <c r="AX85" s="11" t="n">
        <f aca="false">(1-AX81)*(AX68+AX49)/MAX(Time!AX26,1)*Inputs!$F$166</f>
        <v>26.0306731992748</v>
      </c>
      <c r="AY85" s="11" t="n">
        <f aca="false">(1-AY81)*(AY68+AY49)/MAX(Time!AY26,1)*Inputs!$F$166</f>
        <v>27.0735744238363</v>
      </c>
      <c r="AZ85" s="11" t="n">
        <f aca="false">(1-AZ81)*(AZ68+AZ49)/MAX(Time!AZ26,1)*Inputs!$F$166</f>
        <v>26.7986827619432</v>
      </c>
      <c r="BA85" s="11" t="n">
        <f aca="false">(1-BA81)*(BA68+BA49)/MAX(Time!BA26,1)*Inputs!$F$166</f>
        <v>27.315732486819</v>
      </c>
      <c r="BB85" s="11" t="n">
        <f aca="false">(1-BB81)*(BB68+BB49)/MAX(Time!BB26,1)*Inputs!$F$166</f>
        <v>26.3923522039153</v>
      </c>
      <c r="BC85" s="11" t="n">
        <f aca="false">(1-BC81)*(BC68+BC49)/MAX(Time!BC26,1)*Inputs!$F$166</f>
        <v>27.6834177692573</v>
      </c>
      <c r="BD85" s="11" t="n">
        <f aca="false">(1-BD81)*(BD68+BD49)/MAX(Time!BD26,1)*Inputs!$F$166</f>
        <v>27.8605955869597</v>
      </c>
      <c r="BE85" s="11" t="n">
        <f aca="false">(1-BE81)*(BE68+BE49)/MAX(Time!BE26,1)*Inputs!$F$166</f>
        <v>28.7909979229361</v>
      </c>
      <c r="BF85" s="11" t="n">
        <f aca="false">(1-BF81)*(BF68+BF49)/MAX(Time!BF26,1)*Inputs!$F$166</f>
        <v>28.1345059707397</v>
      </c>
      <c r="BG85" s="11" t="n">
        <f aca="false">(1-BG81)*(BG68+BG49)/MAX(Time!BG26,1)*Inputs!$F$166</f>
        <v>29.2614755871037</v>
      </c>
      <c r="BH85" s="11" t="n">
        <f aca="false">(1-BH81)*(BH68+BH49)/MAX(Time!BH26,1)*Inputs!$F$166</f>
        <v>28.9641509397965</v>
      </c>
      <c r="BI85" s="11" t="n">
        <f aca="false">(1-BI81)*(BI68+BI49)/MAX(Time!BI26,1)*Inputs!$F$166</f>
        <v>29.3211292367844</v>
      </c>
      <c r="BJ85" s="11" t="n">
        <f aca="false">(1-BJ81)*(BJ68+BJ49)/MAX(Time!BJ26,1)*Inputs!$F$166</f>
        <v>27.9263597410302</v>
      </c>
      <c r="BK85" s="11" t="n">
        <f aca="false">(1-BK81)*(BK68+BK49)/MAX(Time!BK26,1)*Inputs!$F$166</f>
        <v>29.5062644096175</v>
      </c>
      <c r="BL85" s="11" t="n">
        <f aca="false">(1-BL81)*(BL68+BL49)/MAX(Time!BL26,1)*Inputs!$F$166</f>
        <v>30.1109633453336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2.28118592712896</v>
      </c>
      <c r="P86" s="11" t="n">
        <f aca="false">(1-P81)*(P47+P48)/MAX(Time!P26,1)*Inputs!$F$167</f>
        <v>2.27894832471936</v>
      </c>
      <c r="Q86" s="11" t="n">
        <f aca="false">(1-Q81)*(Q47+Q48)/MAX(Time!Q26,1)*Inputs!$F$167</f>
        <v>2.31850712884883</v>
      </c>
      <c r="R86" s="11" t="n">
        <f aca="false">(1-R81)*(R47+R48)/MAX(Time!R26,1)*Inputs!$F$167</f>
        <v>2.30909436142154</v>
      </c>
      <c r="S86" s="11" t="n">
        <f aca="false">(1-S81)*(S47+S48)/MAX(Time!S26,1)*Inputs!$F$167</f>
        <v>2.35181054339118</v>
      </c>
      <c r="T86" s="11" t="n">
        <f aca="false">(1-T81)*(T47+T48)/MAX(Time!T26,1)*Inputs!$F$167</f>
        <v>2.34757675370215</v>
      </c>
      <c r="U86" s="11" t="n">
        <f aca="false">(1-U81)*(U47+U48)/MAX(Time!U26,1)*Inputs!$F$167</f>
        <v>2.38251204254421</v>
      </c>
      <c r="V86" s="11" t="n">
        <f aca="false">(1-V81)*(V47+V48)/MAX(Time!V26,1)*Inputs!$F$167</f>
        <v>2.36833017374323</v>
      </c>
      <c r="W86" s="11" t="n">
        <f aca="false">(1-W81)*(W47+W48)/MAX(Time!W26,1)*Inputs!$F$167</f>
        <v>2.41554261524233</v>
      </c>
      <c r="X86" s="11" t="n">
        <f aca="false">(1-X81)*(X47+X48)/MAX(Time!X26,1)*Inputs!$F$167</f>
        <v>2.41826569083887</v>
      </c>
      <c r="Y86" s="11" t="n">
        <f aca="false">(1-Y81)*(Y47+Y48)/MAX(Time!Y26,1)*Inputs!$F$167</f>
        <v>2.46023377160429</v>
      </c>
      <c r="Z86" s="11" t="n">
        <f aca="false">(1-Z81)*(Z47+Z48)/MAX(Time!Z26,1)*Inputs!$F$167</f>
        <v>2.45025264472314</v>
      </c>
      <c r="AA86" s="11" t="n">
        <f aca="false">(1-AA81)*(AA47+AA48)/MAX(Time!AA26,1)*Inputs!$F$167</f>
        <v>2.49556800437387</v>
      </c>
      <c r="AB86" s="11" t="n">
        <f aca="false">(1-AB81)*(AB47+AB48)/MAX(Time!AB26,1)*Inputs!$F$167</f>
        <v>2.49107681254913</v>
      </c>
      <c r="AC86" s="11" t="n">
        <f aca="false">(1-AC81)*(AC47+AC48)/MAX(Time!AC26,1)*Inputs!$F$167</f>
        <v>2.52510480144442</v>
      </c>
      <c r="AD86" s="11" t="n">
        <f aca="false">(1-AD81)*(AD47+AD48)/MAX(Time!AD26,1)*Inputs!$F$167</f>
        <v>2.50408964700721</v>
      </c>
      <c r="AE86" s="11" t="n">
        <f aca="false">(1-AE81)*(AE47+AE48)/MAX(Time!AE26,1)*Inputs!$F$167</f>
        <v>2.55698769110241</v>
      </c>
      <c r="AF86" s="11" t="n">
        <f aca="false">(1-AF81)*(AF47+AF48)/MAX(Time!AF26,1)*Inputs!$F$167</f>
        <v>2.56607363559912</v>
      </c>
      <c r="AG86" s="11" t="n">
        <f aca="false">(1-AG81)*(AG47+AG48)/MAX(Time!AG26,1)*Inputs!$F$167</f>
        <v>2.61059697423427</v>
      </c>
      <c r="AH86" s="11" t="n">
        <f aca="false">(1-AH81)*(AH47+AH48)/MAX(Time!AH26,1)*Inputs!$F$167</f>
        <v>2.60001378536387</v>
      </c>
      <c r="AI86" s="11" t="n">
        <f aca="false">(1-AI81)*(AI47+AI48)/MAX(Time!AI26,1)*Inputs!$F$167</f>
        <v>2.64808554300761</v>
      </c>
      <c r="AJ86" s="11" t="n">
        <f aca="false">(1-AJ81)*(AJ47+AJ48)/MAX(Time!AJ26,1)*Inputs!$F$167</f>
        <v>2.64332157183642</v>
      </c>
      <c r="AK86" s="11" t="n">
        <f aca="false">(1-AK81)*(AK47+AK48)/MAX(Time!AK26,1)*Inputs!$F$167</f>
        <v>2.68265162638937</v>
      </c>
      <c r="AL86" s="11" t="n">
        <f aca="false">(1-AL81)*(AL47+AL48)/MAX(Time!AL26,1)*Inputs!$F$167</f>
        <v>2.66671064413447</v>
      </c>
      <c r="AM86" s="11" t="n">
        <f aca="false">(1-AM81)*(AM47+AM48)/MAX(Time!AM26,1)*Inputs!$F$167</f>
        <v>2.71983565356964</v>
      </c>
      <c r="AN86" s="11" t="n">
        <f aca="false">(1-AN81)*(AN47+AN48)/MAX(Time!AN26,1)*Inputs!$F$167</f>
        <v>2.72288798454703</v>
      </c>
      <c r="AO86" s="11" t="n">
        <f aca="false">(1-AO81)*(AO47+AO48)/MAX(Time!AO26,1)*Inputs!$F$167</f>
        <v>2.77012136037635</v>
      </c>
      <c r="AP86" s="11" t="n">
        <f aca="false">(1-AP81)*(AP47+AP48)/MAX(Time!AP26,1)*Inputs!$F$167</f>
        <v>2.75890044815969</v>
      </c>
      <c r="AQ86" s="11" t="n">
        <f aca="false">(1-AQ81)*(AQ47+AQ48)/MAX(Time!AQ26,1)*Inputs!$F$167</f>
        <v>2.80989527555435</v>
      </c>
      <c r="AR86" s="11" t="n">
        <f aca="false">(1-AR81)*(AR47+AR48)/MAX(Time!AR26,1)*Inputs!$F$167</f>
        <v>2.80484224648267</v>
      </c>
      <c r="AS86" s="11" t="n">
        <f aca="false">(1-AS81)*(AS47+AS48)/MAX(Time!AS26,1)*Inputs!$F$167</f>
        <v>2.84315723247726</v>
      </c>
      <c r="AT86" s="11" t="n">
        <f aca="false">(1-AT81)*(AT47+AT48)/MAX(Time!AT26,1)*Inputs!$F$167</f>
        <v>2.81954115869986</v>
      </c>
      <c r="AU86" s="11" t="n">
        <f aca="false">(1-AU81)*(AU47+AU48)/MAX(Time!AU26,1)*Inputs!$F$167</f>
        <v>2.87905627689389</v>
      </c>
      <c r="AV86" s="11" t="n">
        <f aca="false">(1-AV81)*(AV47+AV48)/MAX(Time!AV26,1)*Inputs!$F$167</f>
        <v>2.88925579960767</v>
      </c>
      <c r="AW86" s="11" t="n">
        <f aca="false">(1-AW81)*(AW47+AW48)/MAX(Time!AW26,1)*Inputs!$F$167</f>
        <v>2.93936331731789</v>
      </c>
      <c r="AX86" s="11" t="n">
        <f aca="false">(1-AX81)*(AX47+AX48)/MAX(Time!AX26,1)*Inputs!$F$167</f>
        <v>2.9274669503677</v>
      </c>
      <c r="AY86" s="11" t="n">
        <f aca="false">(1-AY81)*(AY47+AY48)/MAX(Time!AY26,1)*Inputs!$F$167</f>
        <v>2.98156153518292</v>
      </c>
      <c r="AZ86" s="11" t="n">
        <f aca="false">(1-AZ81)*(AZ47+AZ48)/MAX(Time!AZ26,1)*Inputs!$F$167</f>
        <v>2.97620221661621</v>
      </c>
      <c r="BA86" s="11" t="n">
        <f aca="false">(1-BA81)*(BA47+BA48)/MAX(Time!BA26,1)*Inputs!$F$167</f>
        <v>3.02047811534827</v>
      </c>
      <c r="BB86" s="11" t="n">
        <f aca="false">(1-BB81)*(BB47+BB48)/MAX(Time!BB26,1)*Inputs!$F$167</f>
        <v>3.00256403683272</v>
      </c>
      <c r="BC86" s="11" t="n">
        <f aca="false">(1-BC81)*(BC47+BC48)/MAX(Time!BC26,1)*Inputs!$F$167</f>
        <v>3.0623367682061</v>
      </c>
      <c r="BD86" s="11" t="n">
        <f aca="false">(1-BD81)*(BD47+BD48)/MAX(Time!BD26,1)*Inputs!$F$167</f>
        <v>3.0657572642721</v>
      </c>
      <c r="BE86" s="11" t="n">
        <f aca="false">(1-BE81)*(BE47+BE48)/MAX(Time!BE26,1)*Inputs!$F$167</f>
        <v>3.11891291259338</v>
      </c>
      <c r="BF86" s="11" t="n">
        <f aca="false">(1-BF81)*(BF47+BF48)/MAX(Time!BF26,1)*Inputs!$F$167</f>
        <v>3.10630117215125</v>
      </c>
      <c r="BG86" s="11" t="n">
        <f aca="false">(1-BG81)*(BG47+BG48)/MAX(Time!BG26,1)*Inputs!$F$167</f>
        <v>3.16368281590701</v>
      </c>
      <c r="BH86" s="11" t="n">
        <f aca="false">(1-BH81)*(BH47+BH48)/MAX(Time!BH26,1)*Inputs!$F$167</f>
        <v>3.15799896862506</v>
      </c>
      <c r="BI86" s="11" t="n">
        <f aca="false">(1-BI81)*(BI47+BI48)/MAX(Time!BI26,1)*Inputs!$F$167</f>
        <v>3.20114006649192</v>
      </c>
      <c r="BJ86" s="11" t="n">
        <f aca="false">(1-BJ81)*(BJ47+BJ48)/MAX(Time!BJ26,1)*Inputs!$F$167</f>
        <v>3.17460746713951</v>
      </c>
      <c r="BK86" s="11" t="n">
        <f aca="false">(1-BK81)*(BK47+BK48)/MAX(Time!BK26,1)*Inputs!$F$167</f>
        <v>3.24156092595279</v>
      </c>
      <c r="BL86" s="11" t="n">
        <f aca="false">(1-BL81)*(BL47+BL48)/MAX(Time!BL26,1)*Inputs!$F$167</f>
        <v>3.25300768215875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1.6628928836941</v>
      </c>
      <c r="P87" s="11" t="n">
        <f aca="false">(1-P81)*(P55+P56+P57+P59)/MAX(Time!P26,1)*Inputs!$F$168</f>
        <v>1.67194885949894</v>
      </c>
      <c r="Q87" s="11" t="n">
        <f aca="false">(1-Q81)*(Q55+Q56+Q57+Q59)/MAX(Time!Q26,1)*Inputs!$F$168</f>
        <v>1.71286010751399</v>
      </c>
      <c r="R87" s="11" t="n">
        <f aca="false">(1-R81)*(R55+R56+R57+R59)/MAX(Time!R26,1)*Inputs!$F$168</f>
        <v>1.69263594622123</v>
      </c>
      <c r="S87" s="11" t="n">
        <f aca="false">(1-S81)*(S55+S56+S57+S59)/MAX(Time!S26,1)*Inputs!$F$168</f>
        <v>1.74502917045463</v>
      </c>
      <c r="T87" s="11" t="n">
        <f aca="false">(1-T81)*(T55+T56+T57+T59)/MAX(Time!T26,1)*Inputs!$F$168</f>
        <v>1.74632383256489</v>
      </c>
      <c r="U87" s="11" t="n">
        <f aca="false">(1-U81)*(U55+U56+U57+U59)/MAX(Time!U26,1)*Inputs!$F$168</f>
        <v>1.76490315486203</v>
      </c>
      <c r="V87" s="11" t="n">
        <f aca="false">(1-V81)*(V55+V56+V57+V59)/MAX(Time!V26,1)*Inputs!$F$168</f>
        <v>1.72496769206929</v>
      </c>
      <c r="W87" s="11" t="n">
        <f aca="false">(1-W81)*(W55+W56+W57+W59)/MAX(Time!W26,1)*Inputs!$F$168</f>
        <v>1.79321945412016</v>
      </c>
      <c r="X87" s="11" t="n">
        <f aca="false">(1-X81)*(X55+X56+X57+X59)/MAX(Time!X26,1)*Inputs!$F$168</f>
        <v>1.8240073019327</v>
      </c>
      <c r="Y87" s="11" t="n">
        <f aca="false">(1-Y81)*(Y55+Y56+Y57+Y59)/MAX(Time!Y26,1)*Inputs!$F$168</f>
        <v>1.8686392981129</v>
      </c>
      <c r="Z87" s="11" t="n">
        <f aca="false">(1-Z81)*(Z55+Z56+Z57+Z59)/MAX(Time!Z26,1)*Inputs!$F$168</f>
        <v>1.84657581353687</v>
      </c>
      <c r="AA87" s="11" t="n">
        <f aca="false">(1-AA81)*(AA55+AA56+AA57+AA59)/MAX(Time!AA26,1)*Inputs!$F$168</f>
        <v>1.90373403523161</v>
      </c>
      <c r="AB87" s="11" t="n">
        <f aca="false">(1-AB81)*(AB55+AB56+AB57+AB59)/MAX(Time!AB26,1)*Inputs!$F$168</f>
        <v>1.90514644275188</v>
      </c>
      <c r="AC87" s="11" t="n">
        <f aca="false">(1-AC81)*(AC55+AC56+AC57+AC59)/MAX(Time!AC26,1)*Inputs!$F$168</f>
        <v>1.91250840221712</v>
      </c>
      <c r="AD87" s="11" t="n">
        <f aca="false">(1-AD81)*(AD55+AD56+AD57+AD59)/MAX(Time!AD26,1)*Inputs!$F$168</f>
        <v>1.84924221133948</v>
      </c>
      <c r="AE87" s="11" t="n">
        <f aca="false">(1-AE81)*(AE55+AE56+AE57+AE59)/MAX(Time!AE26,1)*Inputs!$F$168</f>
        <v>1.9297792162426</v>
      </c>
      <c r="AF87" s="11" t="n">
        <f aca="false">(1-AF81)*(AF55+AF56+AF57+AF59)/MAX(Time!AF26,1)*Inputs!$F$168</f>
        <v>1.98989497711125</v>
      </c>
      <c r="AG87" s="11" t="n">
        <f aca="false">(1-AG81)*(AG55+AG56+AG57+AG59)/MAX(Time!AG26,1)*Inputs!$F$168</f>
        <v>2.03858611169351</v>
      </c>
      <c r="AH87" s="11" t="n">
        <f aca="false">(1-AH81)*(AH55+AH56+AH57+AH59)/MAX(Time!AH26,1)*Inputs!$F$168</f>
        <v>2.01451602321914</v>
      </c>
      <c r="AI87" s="11" t="n">
        <f aca="false">(1-AI81)*(AI55+AI56+AI57+AI59)/MAX(Time!AI26,1)*Inputs!$F$168</f>
        <v>2.07687260377146</v>
      </c>
      <c r="AJ87" s="11" t="n">
        <f aca="false">(1-AJ81)*(AJ55+AJ56+AJ57+AJ59)/MAX(Time!AJ26,1)*Inputs!$F$168</f>
        <v>2.07841346527307</v>
      </c>
      <c r="AK87" s="11" t="n">
        <f aca="false">(1-AK81)*(AK55+AK56+AK57+AK59)/MAX(Time!AK26,1)*Inputs!$F$168</f>
        <v>2.10052592398087</v>
      </c>
      <c r="AL87" s="11" t="n">
        <f aca="false">(1-AL81)*(AL55+AL56+AL57+AL59)/MAX(Time!AL26,1)*Inputs!$F$168</f>
        <v>2.05299613479598</v>
      </c>
      <c r="AM87" s="11" t="n">
        <f aca="false">(1-AM81)*(AM55+AM56+AM57+AM59)/MAX(Time!AM26,1)*Inputs!$F$168</f>
        <v>2.13422699165647</v>
      </c>
      <c r="AN87" s="11" t="n">
        <f aca="false">(1-AN81)*(AN55+AN56+AN57+AN59)/MAX(Time!AN26,1)*Inputs!$F$168</f>
        <v>2.17086960986228</v>
      </c>
      <c r="AO87" s="11" t="n">
        <f aca="false">(1-AO81)*(AO55+AO56+AO57+AO59)/MAX(Time!AO26,1)*Inputs!$F$168</f>
        <v>2.22398904860159</v>
      </c>
      <c r="AP87" s="11" t="n">
        <f aca="false">(1-AP81)*(AP55+AP56+AP57+AP59)/MAX(Time!AP26,1)*Inputs!$F$168</f>
        <v>2.19772986197278</v>
      </c>
      <c r="AQ87" s="11" t="n">
        <f aca="false">(1-AQ81)*(AQ55+AQ56+AQ57+AQ59)/MAX(Time!AQ26,1)*Inputs!$F$168</f>
        <v>2.2657575756225</v>
      </c>
      <c r="AR87" s="11" t="n">
        <f aca="false">(1-AR81)*(AR55+AR56+AR57+AR59)/MAX(Time!AR26,1)*Inputs!$F$168</f>
        <v>2.26743857358739</v>
      </c>
      <c r="AS87" s="11" t="n">
        <f aca="false">(1-AS81)*(AS55+AS56+AS57+AS59)/MAX(Time!AS26,1)*Inputs!$F$168</f>
        <v>2.2762005199103</v>
      </c>
      <c r="AT87" s="11" t="n">
        <f aca="false">(1-AT81)*(AT55+AT56+AT57+AT59)/MAX(Time!AT26,1)*Inputs!$F$168</f>
        <v>2.20090331525411</v>
      </c>
      <c r="AU87" s="11" t="n">
        <f aca="false">(1-AU81)*(AU55+AU56+AU57+AU59)/MAX(Time!AU26,1)*Inputs!$F$168</f>
        <v>2.29675563790011</v>
      </c>
      <c r="AV87" s="11" t="n">
        <f aca="false">(1-AV81)*(AV55+AV56+AV57+AV59)/MAX(Time!AV26,1)*Inputs!$F$168</f>
        <v>2.36830331109485</v>
      </c>
      <c r="AW87" s="11" t="n">
        <f aca="false">(1-AW81)*(AW55+AW56+AW57+AW59)/MAX(Time!AW26,1)*Inputs!$F$168</f>
        <v>2.4262537942</v>
      </c>
      <c r="AX87" s="11" t="n">
        <f aca="false">(1-AX81)*(AX55+AX56+AX57+AX59)/MAX(Time!AX26,1)*Inputs!$F$168</f>
        <v>2.39760641788724</v>
      </c>
      <c r="AY87" s="11" t="n">
        <f aca="false">(1-AY81)*(AY55+AY56+AY57+AY59)/MAX(Time!AY26,1)*Inputs!$F$168</f>
        <v>2.47182103619086</v>
      </c>
      <c r="AZ87" s="11" t="n">
        <f aca="false">(1-AZ81)*(AZ55+AZ56+AZ57+AZ59)/MAX(Time!AZ26,1)*Inputs!$F$168</f>
        <v>2.47365491558559</v>
      </c>
      <c r="BA87" s="11" t="n">
        <f aca="false">(1-BA81)*(BA55+BA56+BA57+BA59)/MAX(Time!BA26,1)*Inputs!$F$168</f>
        <v>2.49997238951085</v>
      </c>
      <c r="BB87" s="11" t="n">
        <f aca="false">(1-BB81)*(BB55+BB56+BB57+BB59)/MAX(Time!BB26,1)*Inputs!$F$168</f>
        <v>2.44340409902468</v>
      </c>
      <c r="BC87" s="11" t="n">
        <f aca="false">(1-BC81)*(BC55+BC56+BC57+BC59)/MAX(Time!BC26,1)*Inputs!$F$168</f>
        <v>2.54008221997006</v>
      </c>
      <c r="BD87" s="11" t="n">
        <f aca="false">(1-BD81)*(BD55+BD56+BD57+BD59)/MAX(Time!BD26,1)*Inputs!$F$168</f>
        <v>2.5836929808505</v>
      </c>
      <c r="BE87" s="11" t="n">
        <f aca="false">(1-BE81)*(BE55+BE56+BE57+BE59)/MAX(Time!BE26,1)*Inputs!$F$168</f>
        <v>2.64691387647407</v>
      </c>
      <c r="BF87" s="11" t="n">
        <f aca="false">(1-BF81)*(BF55+BF56+BF57+BF59)/MAX(Time!BF26,1)*Inputs!$F$168</f>
        <v>2.6156611122051</v>
      </c>
      <c r="BG87" s="11" t="n">
        <f aca="false">(1-BG81)*(BG55+BG56+BG57+BG59)/MAX(Time!BG26,1)*Inputs!$F$168</f>
        <v>2.69662531450523</v>
      </c>
      <c r="BH87" s="11" t="n">
        <f aca="false">(1-BH81)*(BH55+BH56+BH57+BH59)/MAX(Time!BH26,1)*Inputs!$F$168</f>
        <v>2.69862597941065</v>
      </c>
      <c r="BI87" s="11" t="n">
        <f aca="false">(1-BI81)*(BI55+BI56+BI57+BI59)/MAX(Time!BI26,1)*Inputs!$F$168</f>
        <v>2.70905414106083</v>
      </c>
      <c r="BJ87" s="11" t="n">
        <f aca="false">(1-BJ81)*(BJ55+BJ56+BJ57+BJ59)/MAX(Time!BJ26,1)*Inputs!$F$168</f>
        <v>2.61943804515896</v>
      </c>
      <c r="BK87" s="11" t="n">
        <f aca="false">(1-BK81)*(BK55+BK56+BK57+BK59)/MAX(Time!BK26,1)*Inputs!$F$168</f>
        <v>2.73351812260516</v>
      </c>
      <c r="BL87" s="11" t="n">
        <f aca="false">(1-BL81)*(BL55+BL56+BL57+BL59)/MAX(Time!BL26,1)*Inputs!$F$168</f>
        <v>2.81867165747875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1.16908940714676</v>
      </c>
      <c r="P88" s="11" t="n">
        <f aca="false">(1-P81)*(P60+P61+P62+P63+P64+P65+P66)/MAX(Time!P26,1)*Inputs!$F$169</f>
        <v>1.17437710141026</v>
      </c>
      <c r="Q88" s="11" t="n">
        <f aca="false">(1-Q81)*(Q60+Q61+Q62+Q63+Q64+Q65+Q66)/MAX(Time!Q26,1)*Inputs!$F$169</f>
        <v>1.20455680672931</v>
      </c>
      <c r="R88" s="11" t="n">
        <f aca="false">(1-R81)*(R60+R61+R62+R63+R64+R65+R66)/MAX(Time!R26,1)*Inputs!$F$169</f>
        <v>1.19440994066601</v>
      </c>
      <c r="S88" s="11" t="n">
        <f aca="false">(1-S81)*(S60+S61+S62+S63+S64+S65+S66)/MAX(Time!S26,1)*Inputs!$F$169</f>
        <v>1.22747781104018</v>
      </c>
      <c r="T88" s="11" t="n">
        <f aca="false">(1-T81)*(T60+T61+T62+T63+T64+T65+T66)/MAX(Time!T26,1)*Inputs!$F$169</f>
        <v>1.22184276048733</v>
      </c>
      <c r="U88" s="11" t="n">
        <f aca="false">(1-U81)*(U60+U61+U62+U63+U64+U65+U66)/MAX(Time!U26,1)*Inputs!$F$169</f>
        <v>1.24333028314458</v>
      </c>
      <c r="V88" s="11" t="n">
        <f aca="false">(1-V81)*(V60+V61+V62+V63+V64+V65+V66)/MAX(Time!V26,1)*Inputs!$F$169</f>
        <v>1.23357835972436</v>
      </c>
      <c r="W88" s="11" t="n">
        <f aca="false">(1-W81)*(W60+W61+W62+W63+W64+W65+W66)/MAX(Time!W26,1)*Inputs!$F$169</f>
        <v>1.2709153509933</v>
      </c>
      <c r="X88" s="11" t="n">
        <f aca="false">(1-X81)*(X60+X61+X62+X63+X64+X65+X66)/MAX(Time!X26,1)*Inputs!$F$169</f>
        <v>1.27137077047858</v>
      </c>
      <c r="Y88" s="11" t="n">
        <f aca="false">(1-Y81)*(Y60+Y61+Y62+Y63+Y64+Y65+Y66)/MAX(Time!Y26,1)*Inputs!$F$169</f>
        <v>1.30411452228973</v>
      </c>
      <c r="Z88" s="11" t="n">
        <f aca="false">(1-Z81)*(Z60+Z61+Z62+Z63+Z64+Z65+Z66)/MAX(Time!Z26,1)*Inputs!$F$169</f>
        <v>1.29319741011577</v>
      </c>
      <c r="AA88" s="11" t="n">
        <f aca="false">(1-AA81)*(AA60+AA61+AA62+AA63+AA64+AA65+AA66)/MAX(Time!AA26,1)*Inputs!$F$169</f>
        <v>1.32907588990402</v>
      </c>
      <c r="AB88" s="11" t="n">
        <f aca="false">(1-AB81)*(AB60+AB61+AB62+AB63+AB64+AB65+AB66)/MAX(Time!AB26,1)*Inputs!$F$169</f>
        <v>1.3230506883277</v>
      </c>
      <c r="AC88" s="11" t="n">
        <f aca="false">(1-AC81)*(AC60+AC61+AC62+AC63+AC64+AC65+AC66)/MAX(Time!AC26,1)*Inputs!$F$169</f>
        <v>1.34364304796437</v>
      </c>
      <c r="AD88" s="11" t="n">
        <f aca="false">(1-AD81)*(AD60+AD61+AD62+AD63+AD64+AD65+AD66)/MAX(Time!AD26,1)*Inputs!$F$169</f>
        <v>1.32684044707034</v>
      </c>
      <c r="AE88" s="11" t="n">
        <f aca="false">(1-AE81)*(AE60+AE61+AE62+AE63+AE64+AE65+AE66)/MAX(Time!AE26,1)*Inputs!$F$169</f>
        <v>1.37077160046846</v>
      </c>
      <c r="AF88" s="11" t="n">
        <f aca="false">(1-AF81)*(AF60+AF61+AF62+AF63+AF64+AF65+AF66)/MAX(Time!AF26,1)*Inputs!$F$169</f>
        <v>1.37697595764641</v>
      </c>
      <c r="AG88" s="11" t="n">
        <f aca="false">(1-AG81)*(AG60+AG61+AG62+AG63+AG64+AG65+AG66)/MAX(Time!AG26,1)*Inputs!$F$169</f>
        <v>1.41251182805383</v>
      </c>
      <c r="AH88" s="11" t="n">
        <f aca="false">(1-AH81)*(AH60+AH61+AH62+AH63+AH64+AH65+AH66)/MAX(Time!AH26,1)*Inputs!$F$169</f>
        <v>1.40075698044001</v>
      </c>
      <c r="AI88" s="11" t="n">
        <f aca="false">(1-AI81)*(AI60+AI61+AI62+AI63+AI64+AI65+AI66)/MAX(Time!AI26,1)*Inputs!$F$169</f>
        <v>1.43969510102453</v>
      </c>
      <c r="AJ88" s="11" t="n">
        <f aca="false">(1-AJ81)*(AJ60+AJ61+AJ62+AJ63+AJ64+AJ65+AJ66)/MAX(Time!AJ26,1)*Inputs!$F$169</f>
        <v>1.4332440772859</v>
      </c>
      <c r="AK88" s="11" t="n">
        <f aca="false">(1-AK81)*(AK60+AK61+AK62+AK63+AK64+AK65+AK66)/MAX(Time!AK26,1)*Inputs!$F$169</f>
        <v>1.45859050440447</v>
      </c>
      <c r="AL88" s="11" t="n">
        <f aca="false">(1-AL81)*(AL60+AL61+AL62+AL63+AL64+AL65+AL66)/MAX(Time!AL26,1)*Inputs!$F$169</f>
        <v>1.44727899703603</v>
      </c>
      <c r="AM88" s="11" t="n">
        <f aca="false">(1-AM81)*(AM60+AM61+AM62+AM63+AM64+AM65+AM66)/MAX(Time!AM26,1)*Inputs!$F$169</f>
        <v>1.49124957686535</v>
      </c>
      <c r="AN88" s="11" t="n">
        <f aca="false">(1-AN81)*(AN60+AN61+AN62+AN63+AN64+AN65+AN66)/MAX(Time!AN26,1)*Inputs!$F$169</f>
        <v>1.49195677721474</v>
      </c>
      <c r="AO88" s="11" t="n">
        <f aca="false">(1-AO81)*(AO60+AO61+AO62+AO63+AO64+AO65+AO66)/MAX(Time!AO26,1)*Inputs!$F$169</f>
        <v>1.53053311512828</v>
      </c>
      <c r="AP88" s="11" t="n">
        <f aca="false">(1-AP81)*(AP60+AP61+AP62+AP63+AP64+AP65+AP66)/MAX(Time!AP26,1)*Inputs!$F$169</f>
        <v>1.51786713782089</v>
      </c>
      <c r="AQ88" s="11" t="n">
        <f aca="false">(1-AQ81)*(AQ60+AQ61+AQ62+AQ63+AQ64+AQ65+AQ66)/MAX(Time!AQ26,1)*Inputs!$F$169</f>
        <v>1.56013598034708</v>
      </c>
      <c r="AR88" s="11" t="n">
        <f aca="false">(1-AR81)*(AR60+AR61+AR62+AR63+AR64+AR65+AR66)/MAX(Time!AR26,1)*Inputs!$F$169</f>
        <v>1.55322020201958</v>
      </c>
      <c r="AS88" s="11" t="n">
        <f aca="false">(1-AS81)*(AS60+AS61+AS62+AS63+AS64+AS65+AS66)/MAX(Time!AS26,1)*Inputs!$F$169</f>
        <v>1.57753582196399</v>
      </c>
      <c r="AT88" s="11" t="n">
        <f aca="false">(1-AT81)*(AT60+AT61+AT62+AT63+AT64+AT65+AT66)/MAX(Time!AT26,1)*Inputs!$F$169</f>
        <v>1.55802301084991</v>
      </c>
      <c r="AU88" s="11" t="n">
        <f aca="false">(1-AU81)*(AU60+AU61+AU62+AU63+AU64+AU65+AU66)/MAX(Time!AU26,1)*Inputs!$F$169</f>
        <v>1.60968567860143</v>
      </c>
      <c r="AV88" s="11" t="n">
        <f aca="false">(1-AV81)*(AV60+AV61+AV62+AV63+AV64+AV65+AV66)/MAX(Time!AV26,1)*Inputs!$F$169</f>
        <v>1.61714510235901</v>
      </c>
      <c r="AW88" s="11" t="n">
        <f aca="false">(1-AW81)*(AW60+AW61+AW62+AW63+AW64+AW65+AW66)/MAX(Time!AW26,1)*Inputs!$F$169</f>
        <v>1.6590323352579</v>
      </c>
      <c r="AX88" s="11" t="n">
        <f aca="false">(1-AX81)*(AX60+AX61+AX62+AX63+AX64+AX65+AX66)/MAX(Time!AX26,1)*Inputs!$F$169</f>
        <v>1.64537541323661</v>
      </c>
      <c r="AY88" s="11" t="n">
        <f aca="false">(1-AY81)*(AY60+AY61+AY62+AY63+AY64+AY65+AY66)/MAX(Time!AY26,1)*Inputs!$F$169</f>
        <v>1.6912700595055</v>
      </c>
      <c r="AZ88" s="11" t="n">
        <f aca="false">(1-AZ81)*(AZ60+AZ61+AZ62+AZ63+AZ64+AZ65+AZ66)/MAX(Time!AZ26,1)*Inputs!$F$169</f>
        <v>1.68384703471486</v>
      </c>
      <c r="BA88" s="11" t="n">
        <f aca="false">(1-BA81)*(BA60+BA61+BA62+BA63+BA64+BA65+BA66)/MAX(Time!BA26,1)*Inputs!$F$169</f>
        <v>1.71377577319758</v>
      </c>
      <c r="BB88" s="11" t="n">
        <f aca="false">(1-BB81)*(BB60+BB61+BB62+BB63+BB64+BB65+BB66)/MAX(Time!BB26,1)*Inputs!$F$169</f>
        <v>1.70063138427179</v>
      </c>
      <c r="BC88" s="11" t="n">
        <f aca="false">(1-BC81)*(BC60+BC61+BC62+BC63+BC64+BC65+BC66)/MAX(Time!BC26,1)*Inputs!$F$169</f>
        <v>1.75245776555793</v>
      </c>
      <c r="BD88" s="11" t="n">
        <f aca="false">(1-BD81)*(BD60+BD61+BD62+BD63+BD64+BD65+BD66)/MAX(Time!BD26,1)*Inputs!$F$169</f>
        <v>1.75344656980035</v>
      </c>
      <c r="BE88" s="11" t="n">
        <f aca="false">(1-BE81)*(BE60+BE61+BE62+BE63+BE64+BE65+BE66)/MAX(Time!BE26,1)*Inputs!$F$169</f>
        <v>1.79893916551024</v>
      </c>
      <c r="BF88" s="11" t="n">
        <f aca="false">(1-BF81)*(BF60+BF61+BF62+BF63+BF64+BF65+BF66)/MAX(Time!BF26,1)*Inputs!$F$169</f>
        <v>1.78420450215914</v>
      </c>
      <c r="BG88" s="11" t="n">
        <f aca="false">(1-BG81)*(BG60+BG61+BG62+BG63+BG64+BG65+BG66)/MAX(Time!BG26,1)*Inputs!$F$169</f>
        <v>1.83404615799398</v>
      </c>
      <c r="BH88" s="11" t="n">
        <f aca="false">(1-BH81)*(BH60+BH61+BH62+BH63+BH64+BH65+BH66)/MAX(Time!BH26,1)*Inputs!$F$169</f>
        <v>1.82606951000008</v>
      </c>
      <c r="BI88" s="11" t="n">
        <f aca="false">(1-BI81)*(BI60+BI61+BI62+BI63+BI64+BI65+BI66)/MAX(Time!BI26,1)*Inputs!$F$169</f>
        <v>1.85481257914875</v>
      </c>
      <c r="BJ88" s="11" t="n">
        <f aca="false">(1-BJ81)*(BJ60+BJ61+BJ62+BJ63+BJ64+BJ65+BJ66)/MAX(Time!BJ26,1)*Inputs!$F$169</f>
        <v>1.8321146167365</v>
      </c>
      <c r="BK88" s="11" t="n">
        <f aca="false">(1-BK81)*(BK60+BK61+BK62+BK63+BK64+BK65+BK66)/MAX(Time!BK26,1)*Inputs!$F$169</f>
        <v>1.89292912047208</v>
      </c>
      <c r="BL88" s="11" t="n">
        <f aca="false">(1-BL81)*(BL60+BL61+BL62+BL63+BL64+BL65+BL66)/MAX(Time!BL26,1)*Inputs!$F$169</f>
        <v>1.9018471162328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15.0126721593823</v>
      </c>
      <c r="P90" s="11" t="n">
        <f aca="false">P83+P84-P85-P86-P87-P88-P89</f>
        <v>14.9770810555101</v>
      </c>
      <c r="Q90" s="11" t="n">
        <f aca="false">Q83+Q84-Q85-Q86-Q87-Q88-Q89</f>
        <v>15.2682140892772</v>
      </c>
      <c r="R90" s="11" t="n">
        <f aca="false">R83+R84-R85-R86-R87-R88-R89</f>
        <v>15.0749139332739</v>
      </c>
      <c r="S90" s="11" t="n">
        <f aca="false">S83+S84-S85-S86-S87-S88-S89</f>
        <v>15.3691942404888</v>
      </c>
      <c r="T90" s="11" t="n">
        <f aca="false">T83+T84-T85-T86-T87-T88-T89</f>
        <v>15.1766417348128</v>
      </c>
      <c r="U90" s="11" t="n">
        <f aca="false">U83+U84-U85-U86-U87-U88-U89</f>
        <v>15.3924132795895</v>
      </c>
      <c r="V90" s="11" t="n">
        <f aca="false">V83+V84-V85-V86-V87-V88-V89</f>
        <v>15.2762961845185</v>
      </c>
      <c r="W90" s="11" t="n">
        <f aca="false">W83+W84-W85-W86-W87-W88-W89</f>
        <v>15.5763863566713</v>
      </c>
      <c r="X90" s="11" t="n">
        <f aca="false">X83+X84-X85-X86-X87-X88-X89</f>
        <v>15.3841298963527</v>
      </c>
      <c r="Y90" s="11" t="n">
        <f aca="false">Y83+Y84-Y85-Y86-Y87-Y88-Y89</f>
        <v>15.6855612181022</v>
      </c>
      <c r="Z90" s="11" t="n">
        <f aca="false">Z83+Z84-Z85-Z86-Z87-Z88-Z89</f>
        <v>15.4902012058035</v>
      </c>
      <c r="AA90" s="11" t="n">
        <f aca="false">AA83+AA84-AA85-AA86-AA87-AA88-AA89</f>
        <v>15.7948346689774</v>
      </c>
      <c r="AB90" s="11" t="n">
        <f aca="false">AB83+AB84-AB85-AB86-AB87-AB88-AB89</f>
        <v>15.5998670685786</v>
      </c>
      <c r="AC90" s="11" t="n">
        <f aca="false">AC83+AC84-AC85-AC86-AC87-AC88-AC89</f>
        <v>15.8240378702048</v>
      </c>
      <c r="AD90" s="11" t="n">
        <f aca="false">AD83+AD84-AD85-AD86-AD87-AD88-AD89</f>
        <v>15.4770486849626</v>
      </c>
      <c r="AE90" s="11" t="n">
        <f aca="false">AE83+AE84-AE85-AE86-AE87-AE88-AE89</f>
        <v>16.0185518276506</v>
      </c>
      <c r="AF90" s="11" t="n">
        <f aca="false">AF83+AF84-AF85-AF86-AF87-AF88-AF89</f>
        <v>15.8241880569958</v>
      </c>
      <c r="AG90" s="11" t="n">
        <f aca="false">AG83+AG84-AG85-AG86-AG87-AG88-AG89</f>
        <v>16.1367646913987</v>
      </c>
      <c r="AH90" s="11" t="n">
        <f aca="false">AH83+AH84-AH85-AH86-AH87-AH88-AH89</f>
        <v>15.9392043936763</v>
      </c>
      <c r="AI90" s="11" t="n">
        <f aca="false">AI83+AI84-AI85-AI86-AI87-AI88-AI89</f>
        <v>16.255026809057</v>
      </c>
      <c r="AJ90" s="11" t="n">
        <f aca="false">AJ83+AJ84-AJ85-AJ86-AJ87-AJ88-AJ89</f>
        <v>16.0574415006632</v>
      </c>
      <c r="AK90" s="11" t="n">
        <f aca="false">AK83+AK84-AK85-AK86-AK87-AK88-AK89</f>
        <v>16.2917057522784</v>
      </c>
      <c r="AL90" s="11" t="n">
        <f aca="false">AL83+AL84-AL85-AL86-AL87-AL88-AL89</f>
        <v>16.1764056593709</v>
      </c>
      <c r="AM90" s="11" t="n">
        <f aca="false">AM83+AM84-AM85-AM86-AM87-AM88-AM89</f>
        <v>16.498460833923</v>
      </c>
      <c r="AN90" s="11" t="n">
        <f aca="false">AN83+AN84-AN85-AN86-AN87-AN88-AN89</f>
        <v>16.2999904522951</v>
      </c>
      <c r="AO90" s="11" t="n">
        <f aca="false">AO83+AO84-AO85-AO86-AO87-AO88-AO89</f>
        <v>16.6246305514847</v>
      </c>
      <c r="AP90" s="11" t="n">
        <f aca="false">AP83+AP84-AP85-AP86-AP87-AP88-AP89</f>
        <v>16.42471989204</v>
      </c>
      <c r="AQ90" s="11" t="n">
        <f aca="false">AQ83+AQ84-AQ85-AQ86-AQ87-AQ88-AQ89</f>
        <v>16.7526360251521</v>
      </c>
      <c r="AR90" s="11" t="n">
        <f aca="false">AR83+AR84-AR85-AR86-AR87-AR88-AR89</f>
        <v>16.5522129829796</v>
      </c>
      <c r="AS90" s="11" t="n">
        <f aca="false">AS83+AS84-AS85-AS86-AS87-AS88-AS89</f>
        <v>16.7968893612946</v>
      </c>
      <c r="AT90" s="11" t="n">
        <f aca="false">AT83+AT84-AT85-AT86-AT87-AT88-AT89</f>
        <v>16.435191077402</v>
      </c>
      <c r="AU90" s="11" t="n">
        <f aca="false">AU83+AU84-AU85-AU86-AU87-AU88-AU89</f>
        <v>17.0166421588867</v>
      </c>
      <c r="AV90" s="11" t="n">
        <f aca="false">AV83+AV84-AV85-AV86-AV87-AV88-AV89</f>
        <v>16.814502812567</v>
      </c>
      <c r="AW90" s="11" t="n">
        <f aca="false">AW83+AW84-AW85-AW86-AW87-AW88-AW89</f>
        <v>17.152201737484</v>
      </c>
      <c r="AX90" s="11" t="n">
        <f aca="false">AX83+AX84-AX85-AX86-AX87-AX88-AX89</f>
        <v>16.9497803194663</v>
      </c>
      <c r="AY90" s="11" t="n">
        <f aca="false">AY83+AY84-AY85-AY86-AY87-AY88-AY89</f>
        <v>17.2907697102242</v>
      </c>
      <c r="AZ90" s="11" t="n">
        <f aca="false">AZ83+AZ84-AZ85-AZ86-AZ87-AZ88-AZ89</f>
        <v>17.0872699668267</v>
      </c>
      <c r="BA90" s="11" t="n">
        <f aca="false">BA83+BA84-BA85-BA86-BA87-BA88-BA89</f>
        <v>17.3432813388396</v>
      </c>
      <c r="BB90" s="11" t="n">
        <f aca="false">BB83+BB84-BB85-BB86-BB87-BB88-BB89</f>
        <v>17.2292862049255</v>
      </c>
      <c r="BC90" s="11" t="n">
        <f aca="false">BC83+BC84-BC85-BC86-BC87-BC88-BC89</f>
        <v>17.5769129064753</v>
      </c>
      <c r="BD90" s="11" t="n">
        <f aca="false">BD83+BD84-BD85-BD86-BD87-BD88-BD89</f>
        <v>17.3709414625219</v>
      </c>
      <c r="BE90" s="11" t="n">
        <f aca="false">BE83+BE84-BE85-BE86-BE87-BE88-BE89</f>
        <v>17.7227783920466</v>
      </c>
      <c r="BF90" s="11" t="n">
        <f aca="false">BF83+BF84-BF85-BF86-BF87-BF88-BF89</f>
        <v>17.5176747764197</v>
      </c>
      <c r="BG90" s="11" t="n">
        <f aca="false">BG83+BG84-BG85-BG86-BG87-BG88-BG89</f>
        <v>17.8727980412432</v>
      </c>
      <c r="BH90" s="11" t="n">
        <f aca="false">BH83+BH84-BH85-BH86-BH87-BH88-BH89</f>
        <v>17.6659620215965</v>
      </c>
      <c r="BI90" s="11" t="n">
        <f aca="false">BI83+BI84-BI85-BI86-BI87-BI88-BI89</f>
        <v>17.9348437171468</v>
      </c>
      <c r="BJ90" s="11" t="n">
        <f aca="false">BJ83+BJ84-BJ85-BJ86-BJ87-BJ88-BJ89</f>
        <v>17.5561508195889</v>
      </c>
      <c r="BK90" s="11" t="n">
        <f aca="false">BK83+BK84-BK85-BK86-BK87-BK88-BK89</f>
        <v>18.1844640840537</v>
      </c>
      <c r="BL90" s="11" t="n">
        <f aca="false">BL83+BL84-BL85-BL86-BL87-BL88-BL89</f>
        <v>17.9727948157232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15.0126721593823</v>
      </c>
      <c r="P91" s="11" t="n">
        <f aca="false">P90-O90</f>
        <v>-0.0355911038722496</v>
      </c>
      <c r="Q91" s="11" t="n">
        <f aca="false">Q90-P90</f>
        <v>0.291133033767096</v>
      </c>
      <c r="R91" s="11" t="n">
        <f aca="false">R90-Q90</f>
        <v>-0.193300156003295</v>
      </c>
      <c r="S91" s="11" t="n">
        <f aca="false">S90-R90</f>
        <v>0.294280307214954</v>
      </c>
      <c r="T91" s="11" t="n">
        <f aca="false">T90-S90</f>
        <v>-0.192552505676016</v>
      </c>
      <c r="U91" s="11" t="n">
        <f aca="false">U90-T90</f>
        <v>0.215771544776699</v>
      </c>
      <c r="V91" s="11" t="n">
        <f aca="false">V90-U90</f>
        <v>-0.116117095071015</v>
      </c>
      <c r="W91" s="11" t="n">
        <f aca="false">W90-V90</f>
        <v>0.300090172152856</v>
      </c>
      <c r="X91" s="11" t="n">
        <f aca="false">X90-W90</f>
        <v>-0.19225646031866</v>
      </c>
      <c r="Y91" s="11" t="n">
        <f aca="false">Y90-X90</f>
        <v>0.301431321749558</v>
      </c>
      <c r="Z91" s="11" t="n">
        <f aca="false">Z90-Y90</f>
        <v>-0.195360012298716</v>
      </c>
      <c r="AA91" s="11" t="n">
        <f aca="false">AA90-Z90</f>
        <v>0.304633463173856</v>
      </c>
      <c r="AB91" s="11" t="n">
        <f aca="false">AB90-AA90</f>
        <v>-0.194967600398813</v>
      </c>
      <c r="AC91" s="11" t="n">
        <f aca="false">AC90-AB90</f>
        <v>0.224170801626244</v>
      </c>
      <c r="AD91" s="11" t="n">
        <f aca="false">AD90-AC90</f>
        <v>-0.346989185242208</v>
      </c>
      <c r="AE91" s="11" t="n">
        <f aca="false">AE90-AD90</f>
        <v>0.541503142688004</v>
      </c>
      <c r="AF91" s="11" t="n">
        <f aca="false">AF90-AE90</f>
        <v>-0.194363770654764</v>
      </c>
      <c r="AG91" s="11" t="n">
        <f aca="false">AG90-AF90</f>
        <v>0.31257663440282</v>
      </c>
      <c r="AH91" s="11" t="n">
        <f aca="false">AH90-AG90</f>
        <v>-0.197560297722388</v>
      </c>
      <c r="AI91" s="11" t="n">
        <f aca="false">AI90-AH90</f>
        <v>0.315822415380714</v>
      </c>
      <c r="AJ91" s="11" t="n">
        <f aca="false">AJ90-AI90</f>
        <v>-0.197585308393784</v>
      </c>
      <c r="AK91" s="11" t="n">
        <f aca="false">AK90-AJ90</f>
        <v>0.234264251615162</v>
      </c>
      <c r="AL91" s="11" t="n">
        <f aca="false">AL90-AK90</f>
        <v>-0.115300092907503</v>
      </c>
      <c r="AM91" s="11" t="n">
        <f aca="false">AM90-AL90</f>
        <v>0.32205517455213</v>
      </c>
      <c r="AN91" s="11" t="n">
        <f aca="false">AN90-AM90</f>
        <v>-0.198470381627924</v>
      </c>
      <c r="AO91" s="11" t="n">
        <f aca="false">AO90-AN90</f>
        <v>0.324640099189601</v>
      </c>
      <c r="AP91" s="11" t="n">
        <f aca="false">AP90-AO90</f>
        <v>-0.199910659444708</v>
      </c>
      <c r="AQ91" s="11" t="n">
        <f aca="false">AQ90-AP90</f>
        <v>0.327916133112176</v>
      </c>
      <c r="AR91" s="11" t="n">
        <f aca="false">AR90-AQ90</f>
        <v>-0.200423042172499</v>
      </c>
      <c r="AS91" s="11" t="n">
        <f aca="false">AS90-AR90</f>
        <v>0.244676378315006</v>
      </c>
      <c r="AT91" s="11" t="n">
        <f aca="false">AT90-AS90</f>
        <v>-0.36169828389264</v>
      </c>
      <c r="AU91" s="11" t="n">
        <f aca="false">AU90-AT90</f>
        <v>0.581451081484683</v>
      </c>
      <c r="AV91" s="11" t="n">
        <f aca="false">AV90-AU90</f>
        <v>-0.202139346319708</v>
      </c>
      <c r="AW91" s="11" t="n">
        <f aca="false">AW90-AV90</f>
        <v>0.337698924917024</v>
      </c>
      <c r="AX91" s="11" t="n">
        <f aca="false">AX90-AW90</f>
        <v>-0.202421418017728</v>
      </c>
      <c r="AY91" s="11" t="n">
        <f aca="false">AY90-AX90</f>
        <v>0.340989390757922</v>
      </c>
      <c r="AZ91" s="11" t="n">
        <f aca="false">AZ90-AY90</f>
        <v>-0.203499743397543</v>
      </c>
      <c r="BA91" s="11" t="n">
        <f aca="false">BA90-AZ90</f>
        <v>0.256011372012942</v>
      </c>
      <c r="BB91" s="11" t="n">
        <f aca="false">BB90-BA90</f>
        <v>-0.113995133914148</v>
      </c>
      <c r="BC91" s="11" t="n">
        <f aca="false">BC90-BB90</f>
        <v>0.34762670154986</v>
      </c>
      <c r="BD91" s="11" t="n">
        <f aca="false">BD90-BC90</f>
        <v>-0.20597144395343</v>
      </c>
      <c r="BE91" s="11" t="n">
        <f aca="false">BE90-BD90</f>
        <v>0.35183692952474</v>
      </c>
      <c r="BF91" s="11" t="n">
        <f aca="false">BF90-BE90</f>
        <v>-0.205103615626875</v>
      </c>
      <c r="BG91" s="11" t="n">
        <f aca="false">BG90-BF90</f>
        <v>0.355123264823476</v>
      </c>
      <c r="BH91" s="11" t="n">
        <f aca="false">BH90-BG90</f>
        <v>-0.206836019646694</v>
      </c>
      <c r="BI91" s="11" t="n">
        <f aca="false">BI90-BH90</f>
        <v>0.26888169555026</v>
      </c>
      <c r="BJ91" s="11" t="n">
        <f aca="false">BJ90-BI90</f>
        <v>-0.378692897557905</v>
      </c>
      <c r="BK91" s="11" t="n">
        <f aca="false">BK90-BJ90</f>
        <v>0.628313264464811</v>
      </c>
      <c r="BL91" s="11" t="n">
        <f aca="false">BL90-BK90</f>
        <v>-0.211669268330493</v>
      </c>
      <c r="BM91" s="11" t="n">
        <f aca="false">BM90-BL90</f>
        <v>-17.9727948157232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5.885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5.885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916.099218989225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8.24489297090303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24.7346789127091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24.7346789127091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24.7346789127091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24.7346789127091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24.7346789127091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24.7346789127091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24.7346789127091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24.7346789127091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24.7346789127091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23.8185796937199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21.9863812557414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21.9863812557414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21.9863812557414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21.9863812557414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21.9863812557414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21.9863812557414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21.9863812557414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21.9863812557414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21.9863812557414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21.9863812557414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21.9863812557414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21.9863812557414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21.9863812557414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21.9863812557414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21.9863812557414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21.9863812557414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21.9863812557414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21.9863812557414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21.9863812557414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21.9863812557414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21.9863812557414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21.9863812557414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21.9863812557414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21.9863812557414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21.9863812557414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21.9863812557414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21.9863812557414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21.9863812557414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21.9863812557414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14.9629539101573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0.916099218989225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0.916099218989225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0.916099218989225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0.916099218989225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0.916099218989225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0.916099218989225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0.916099218989225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0.916099218989225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0.916099218989225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0.610732812659483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247.346789127091</v>
      </c>
      <c r="J11" s="11" t="n">
        <f aca="false">(Inputs!$F$174*Funding!$F$76/Inputs!$F$175+Inputs!$F$176*Funding!$F$76/Inputs!$F$177+Inputs!$F$178*Funding!$F$76/Inputs!$F$179)*J7</f>
        <v>0</v>
      </c>
      <c r="K11" s="11" t="n">
        <f aca="false">(Inputs!$F$174*Funding!$F$76/Inputs!$F$175+Inputs!$F$176*Funding!$F$76/Inputs!$F$177+Inputs!$F$178*Funding!$F$76/Inputs!$F$179)*K7</f>
        <v>0</v>
      </c>
      <c r="L11" s="11" t="n">
        <f aca="false">(Inputs!$F$174*Funding!$F$76/Inputs!$F$175+Inputs!$F$176*Funding!$F$76/Inputs!$F$177+Inputs!$F$178*Funding!$F$76/Inputs!$F$179)*L7</f>
        <v>0</v>
      </c>
      <c r="M11" s="11" t="n">
        <f aca="false">(Inputs!$F$174*Funding!$F$76/Inputs!$F$175+Inputs!$F$176*Funding!$F$76/Inputs!$F$177+Inputs!$F$178*Funding!$F$76/Inputs!$F$179)*M7</f>
        <v>0</v>
      </c>
      <c r="N11" s="11" t="n">
        <f aca="false">(Inputs!$F$174*Funding!$F$76/Inputs!$F$175+Inputs!$F$176*Funding!$F$76/Inputs!$F$177+Inputs!$F$178*Funding!$F$76/Inputs!$F$179)*N7</f>
        <v>0</v>
      </c>
      <c r="O11" s="11" t="n">
        <f aca="false">(Inputs!$F$174*Funding!$F$76/Inputs!$F$175+Inputs!$F$176*Funding!$F$76/Inputs!$F$177+Inputs!$F$178*Funding!$F$76/Inputs!$F$179)*O7</f>
        <v>8.24489297090303</v>
      </c>
      <c r="P11" s="11" t="n">
        <f aca="false">(Inputs!$F$174*Funding!$F$76/Inputs!$F$175+Inputs!$F$176*Funding!$F$76/Inputs!$F$177+Inputs!$F$178*Funding!$F$76/Inputs!$F$179)*P7</f>
        <v>24.7346789127091</v>
      </c>
      <c r="Q11" s="11" t="n">
        <f aca="false">(Inputs!$F$174*Funding!$F$76/Inputs!$F$175+Inputs!$F$176*Funding!$F$76/Inputs!$F$177+Inputs!$F$178*Funding!$F$76/Inputs!$F$179)*Q7</f>
        <v>24.7346789127091</v>
      </c>
      <c r="R11" s="11" t="n">
        <f aca="false">(Inputs!$F$174*Funding!$F$76/Inputs!$F$175+Inputs!$F$176*Funding!$F$76/Inputs!$F$177+Inputs!$F$178*Funding!$F$76/Inputs!$F$179)*R7</f>
        <v>24.7346789127091</v>
      </c>
      <c r="S11" s="11" t="n">
        <f aca="false">(Inputs!$F$174*Funding!$F$76/Inputs!$F$175+Inputs!$F$176*Funding!$F$76/Inputs!$F$177+Inputs!$F$178*Funding!$F$76/Inputs!$F$179)*S7</f>
        <v>24.7346789127091</v>
      </c>
      <c r="T11" s="11" t="n">
        <f aca="false">(Inputs!$F$174*Funding!$F$76/Inputs!$F$175+Inputs!$F$176*Funding!$F$76/Inputs!$F$177+Inputs!$F$178*Funding!$F$76/Inputs!$F$179)*T7</f>
        <v>24.7346789127091</v>
      </c>
      <c r="U11" s="11" t="n">
        <f aca="false">(Inputs!$F$174*Funding!$F$76/Inputs!$F$175+Inputs!$F$176*Funding!$F$76/Inputs!$F$177+Inputs!$F$178*Funding!$F$76/Inputs!$F$179)*U7</f>
        <v>24.7346789127091</v>
      </c>
      <c r="V11" s="11" t="n">
        <f aca="false">(Inputs!$F$174*Funding!$F$76/Inputs!$F$175+Inputs!$F$176*Funding!$F$76/Inputs!$F$177+Inputs!$F$178*Funding!$F$76/Inputs!$F$179)*V7</f>
        <v>24.7346789127091</v>
      </c>
      <c r="W11" s="11" t="n">
        <f aca="false">(Inputs!$F$174*Funding!$F$76/Inputs!$F$175+Inputs!$F$176*Funding!$F$76/Inputs!$F$177+Inputs!$F$178*Funding!$F$76/Inputs!$F$179)*W7</f>
        <v>24.7346789127091</v>
      </c>
      <c r="X11" s="11" t="n">
        <f aca="false">(Inputs!$F$174*Funding!$F$76/Inputs!$F$175+Inputs!$F$176*Funding!$F$76/Inputs!$F$177+Inputs!$F$178*Funding!$F$76/Inputs!$F$179)*X7</f>
        <v>24.7346789127091</v>
      </c>
      <c r="Y11" s="11" t="n">
        <f aca="false">(Inputs!$F$174*Funding!$F$76/Inputs!$F$175+Inputs!$F$176*Funding!$F$76/Inputs!$F$177+Inputs!$F$178*Funding!$F$76/Inputs!$F$179)*Y7</f>
        <v>16.4897859418061</v>
      </c>
      <c r="Z11" s="11" t="n">
        <f aca="false">(Inputs!$F$174*Funding!$F$76/Inputs!$F$175+Inputs!$F$176*Funding!$F$76/Inputs!$F$177+Inputs!$F$178*Funding!$F$76/Inputs!$F$179)*Z7</f>
        <v>0</v>
      </c>
      <c r="AA11" s="11" t="n">
        <f aca="false">(Inputs!$F$174*Funding!$F$76/Inputs!$F$175+Inputs!$F$176*Funding!$F$76/Inputs!$F$177+Inputs!$F$178*Funding!$F$76/Inputs!$F$179)*AA7</f>
        <v>0</v>
      </c>
      <c r="AB11" s="11" t="n">
        <f aca="false">(Inputs!$F$174*Funding!$F$76/Inputs!$F$175+Inputs!$F$176*Funding!$F$76/Inputs!$F$177+Inputs!$F$178*Funding!$F$76/Inputs!$F$179)*AB7</f>
        <v>0</v>
      </c>
      <c r="AC11" s="11" t="n">
        <f aca="false">(Inputs!$F$174*Funding!$F$76/Inputs!$F$175+Inputs!$F$176*Funding!$F$76/Inputs!$F$177+Inputs!$F$178*Funding!$F$76/Inputs!$F$179)*AC7</f>
        <v>0</v>
      </c>
      <c r="AD11" s="11" t="n">
        <f aca="false">(Inputs!$F$174*Funding!$F$76/Inputs!$F$175+Inputs!$F$176*Funding!$F$76/Inputs!$F$177+Inputs!$F$178*Funding!$F$76/Inputs!$F$179)*AD7</f>
        <v>0</v>
      </c>
      <c r="AE11" s="11" t="n">
        <f aca="false">(Inputs!$F$174*Funding!$F$76/Inputs!$F$175+Inputs!$F$176*Funding!$F$76/Inputs!$F$177+Inputs!$F$178*Funding!$F$76/Inputs!$F$179)*AE7</f>
        <v>0</v>
      </c>
      <c r="AF11" s="11" t="n">
        <f aca="false">(Inputs!$F$174*Funding!$F$76/Inputs!$F$175+Inputs!$F$176*Funding!$F$76/Inputs!$F$177+Inputs!$F$178*Funding!$F$76/Inputs!$F$179)*AF7</f>
        <v>0</v>
      </c>
      <c r="AG11" s="11" t="n">
        <f aca="false">(Inputs!$F$174*Funding!$F$76/Inputs!$F$175+Inputs!$F$176*Funding!$F$76/Inputs!$F$177+Inputs!$F$178*Funding!$F$76/Inputs!$F$179)*AG7</f>
        <v>0</v>
      </c>
      <c r="AH11" s="11" t="n">
        <f aca="false">(Inputs!$F$174*Funding!$F$76/Inputs!$F$175+Inputs!$F$176*Funding!$F$76/Inputs!$F$177+Inputs!$F$178*Funding!$F$76/Inputs!$F$179)*AH7</f>
        <v>0</v>
      </c>
      <c r="AI11" s="11" t="n">
        <f aca="false">(Inputs!$F$174*Funding!$F$76/Inputs!$F$175+Inputs!$F$176*Funding!$F$76/Inputs!$F$177+Inputs!$F$178*Funding!$F$76/Inputs!$F$179)*AI7</f>
        <v>0</v>
      </c>
      <c r="AJ11" s="11" t="n">
        <f aca="false">(Inputs!$F$174*Funding!$F$76/Inputs!$F$175+Inputs!$F$176*Funding!$F$76/Inputs!$F$177+Inputs!$F$178*Funding!$F$76/Inputs!$F$179)*AJ7</f>
        <v>0</v>
      </c>
      <c r="AK11" s="11" t="n">
        <f aca="false">(Inputs!$F$174*Funding!$F$76/Inputs!$F$175+Inputs!$F$176*Funding!$F$76/Inputs!$F$177+Inputs!$F$178*Funding!$F$76/Inputs!$F$179)*AK7</f>
        <v>0</v>
      </c>
      <c r="AL11" s="11" t="n">
        <f aca="false">(Inputs!$F$174*Funding!$F$76/Inputs!$F$175+Inputs!$F$176*Funding!$F$76/Inputs!$F$177+Inputs!$F$178*Funding!$F$76/Inputs!$F$179)*AL7</f>
        <v>0</v>
      </c>
      <c r="AM11" s="11" t="n">
        <f aca="false">(Inputs!$F$174*Funding!$F$76/Inputs!$F$175+Inputs!$F$176*Funding!$F$76/Inputs!$F$177+Inputs!$F$178*Funding!$F$76/Inputs!$F$179)*AM7</f>
        <v>0</v>
      </c>
      <c r="AN11" s="11" t="n">
        <f aca="false">(Inputs!$F$174*Funding!$F$76/Inputs!$F$175+Inputs!$F$176*Funding!$F$76/Inputs!$F$177+Inputs!$F$178*Funding!$F$76/Inputs!$F$179)*AN7</f>
        <v>0</v>
      </c>
      <c r="AO11" s="11" t="n">
        <f aca="false">(Inputs!$F$174*Funding!$F$76/Inputs!$F$175+Inputs!$F$176*Funding!$F$76/Inputs!$F$177+Inputs!$F$178*Funding!$F$76/Inputs!$F$179)*AO7</f>
        <v>0</v>
      </c>
      <c r="AP11" s="11" t="n">
        <f aca="false">(Inputs!$F$174*Funding!$F$76/Inputs!$F$175+Inputs!$F$176*Funding!$F$76/Inputs!$F$177+Inputs!$F$178*Funding!$F$76/Inputs!$F$179)*AP7</f>
        <v>0</v>
      </c>
      <c r="AQ11" s="11" t="n">
        <f aca="false">(Inputs!$F$174*Funding!$F$76/Inputs!$F$175+Inputs!$F$176*Funding!$F$76/Inputs!$F$177+Inputs!$F$178*Funding!$F$76/Inputs!$F$179)*AQ7</f>
        <v>0</v>
      </c>
      <c r="AR11" s="11" t="n">
        <f aca="false">(Inputs!$F$174*Funding!$F$76/Inputs!$F$175+Inputs!$F$176*Funding!$F$76/Inputs!$F$177+Inputs!$F$178*Funding!$F$76/Inputs!$F$179)*AR7</f>
        <v>0</v>
      </c>
      <c r="AS11" s="11" t="n">
        <f aca="false">(Inputs!$F$174*Funding!$F$76/Inputs!$F$175+Inputs!$F$176*Funding!$F$76/Inputs!$F$177+Inputs!$F$178*Funding!$F$76/Inputs!$F$179)*AS7</f>
        <v>0</v>
      </c>
      <c r="AT11" s="11" t="n">
        <f aca="false">(Inputs!$F$174*Funding!$F$76/Inputs!$F$175+Inputs!$F$176*Funding!$F$76/Inputs!$F$177+Inputs!$F$178*Funding!$F$76/Inputs!$F$179)*AT7</f>
        <v>0</v>
      </c>
      <c r="AU11" s="11" t="n">
        <f aca="false">(Inputs!$F$174*Funding!$F$76/Inputs!$F$175+Inputs!$F$176*Funding!$F$76/Inputs!$F$177+Inputs!$F$178*Funding!$F$76/Inputs!$F$179)*AU7</f>
        <v>0</v>
      </c>
      <c r="AV11" s="11" t="n">
        <f aca="false">(Inputs!$F$174*Funding!$F$76/Inputs!$F$175+Inputs!$F$176*Funding!$F$76/Inputs!$F$177+Inputs!$F$178*Funding!$F$76/Inputs!$F$179)*AV7</f>
        <v>0</v>
      </c>
      <c r="AW11" s="11" t="n">
        <f aca="false">(Inputs!$F$174*Funding!$F$76/Inputs!$F$175+Inputs!$F$176*Funding!$F$76/Inputs!$F$177+Inputs!$F$178*Funding!$F$76/Inputs!$F$179)*AW7</f>
        <v>0</v>
      </c>
      <c r="AX11" s="11" t="n">
        <f aca="false">(Inputs!$F$174*Funding!$F$76/Inputs!$F$175+Inputs!$F$176*Funding!$F$76/Inputs!$F$177+Inputs!$F$178*Funding!$F$76/Inputs!$F$179)*AX7</f>
        <v>0</v>
      </c>
      <c r="AY11" s="11" t="n">
        <f aca="false">(Inputs!$F$174*Funding!$F$76/Inputs!$F$175+Inputs!$F$176*Funding!$F$76/Inputs!$F$177+Inputs!$F$178*Funding!$F$76/Inputs!$F$179)*AY7</f>
        <v>0</v>
      </c>
      <c r="AZ11" s="11" t="n">
        <f aca="false">(Inputs!$F$174*Funding!$F$76/Inputs!$F$175+Inputs!$F$176*Funding!$F$76/Inputs!$F$177+Inputs!$F$178*Funding!$F$76/Inputs!$F$179)*AZ7</f>
        <v>0</v>
      </c>
      <c r="BA11" s="11" t="n">
        <f aca="false">(Inputs!$F$174*Funding!$F$76/Inputs!$F$175+Inputs!$F$176*Funding!$F$76/Inputs!$F$177+Inputs!$F$178*Funding!$F$76/Inputs!$F$179)*BA7</f>
        <v>0</v>
      </c>
      <c r="BB11" s="11" t="n">
        <f aca="false">(Inputs!$F$174*Funding!$F$76/Inputs!$F$175+Inputs!$F$176*Funding!$F$76/Inputs!$F$177+Inputs!$F$178*Funding!$F$76/Inputs!$F$179)*BB7</f>
        <v>0</v>
      </c>
      <c r="BC11" s="11" t="n">
        <f aca="false">(Inputs!$F$174*Funding!$F$76/Inputs!$F$175+Inputs!$F$176*Funding!$F$76/Inputs!$F$177+Inputs!$F$178*Funding!$F$76/Inputs!$F$179)*BC7</f>
        <v>0</v>
      </c>
      <c r="BD11" s="11" t="n">
        <f aca="false">(Inputs!$F$174*Funding!$F$76/Inputs!$F$175+Inputs!$F$176*Funding!$F$76/Inputs!$F$177+Inputs!$F$178*Funding!$F$76/Inputs!$F$179)*BD7</f>
        <v>0</v>
      </c>
      <c r="BE11" s="11" t="n">
        <f aca="false">(Inputs!$F$174*Funding!$F$76/Inputs!$F$175+Inputs!$F$176*Funding!$F$76/Inputs!$F$177+Inputs!$F$178*Funding!$F$76/Inputs!$F$179)*BE7</f>
        <v>0</v>
      </c>
      <c r="BF11" s="11" t="n">
        <f aca="false">(Inputs!$F$174*Funding!$F$76/Inputs!$F$175+Inputs!$F$176*Funding!$F$76/Inputs!$F$177+Inputs!$F$178*Funding!$F$76/Inputs!$F$179)*BF7</f>
        <v>0</v>
      </c>
      <c r="BG11" s="11" t="n">
        <f aca="false">(Inputs!$F$174*Funding!$F$76/Inputs!$F$175+Inputs!$F$176*Funding!$F$76/Inputs!$F$177+Inputs!$F$178*Funding!$F$76/Inputs!$F$179)*BG7</f>
        <v>0</v>
      </c>
      <c r="BH11" s="11" t="n">
        <f aca="false">(Inputs!$F$174*Funding!$F$76/Inputs!$F$175+Inputs!$F$176*Funding!$F$76/Inputs!$F$177+Inputs!$F$178*Funding!$F$76/Inputs!$F$179)*BH7</f>
        <v>0</v>
      </c>
      <c r="BI11" s="11" t="n">
        <f aca="false">(Inputs!$F$174*Funding!$F$76/Inputs!$F$175+Inputs!$F$176*Funding!$F$76/Inputs!$F$177+Inputs!$F$178*Funding!$F$76/Inputs!$F$179)*BI7</f>
        <v>0</v>
      </c>
      <c r="BJ11" s="11" t="n">
        <f aca="false">(Inputs!$F$174*Funding!$F$76/Inputs!$F$175+Inputs!$F$176*Funding!$F$76/Inputs!$F$177+Inputs!$F$178*Funding!$F$76/Inputs!$F$179)*BJ7</f>
        <v>0</v>
      </c>
      <c r="BK11" s="11" t="n">
        <f aca="false">(Inputs!$F$174*Funding!$F$76/Inputs!$F$175+Inputs!$F$176*Funding!$F$76/Inputs!$F$177+Inputs!$F$178*Funding!$F$76/Inputs!$F$179)*BK7</f>
        <v>0</v>
      </c>
      <c r="BL11" s="11" t="n">
        <f aca="false">(Inputs!$F$174*Funding!$F$76/Inputs!$F$175+Inputs!$F$176*Funding!$F$76/Inputs!$F$177+Inputs!$F$178*Funding!$F$76/Inputs!$F$179)*BL7</f>
        <v>0</v>
      </c>
      <c r="BM11" s="11" t="n">
        <f aca="false">(Inputs!$F$174*Funding!$F$76/Inputs!$F$175+Inputs!$F$176*Funding!$F$76/Inputs!$F$177+Inputs!$F$178*Funding!$F$76/Inputs!$F$179)*BM7</f>
        <v>0</v>
      </c>
      <c r="BN11" s="11" t="n">
        <f aca="false">(Inputs!$F$174*Funding!$F$76/Inputs!$F$175+Inputs!$F$176*Funding!$F$76/Inputs!$F$177+Inputs!$F$178*Funding!$F$76/Inputs!$F$179)*BN7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668.752429862134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7.3287937519138</v>
      </c>
      <c r="Z12" s="11" t="n">
        <f aca="false">Z10-Z11</f>
        <v>21.9863812557414</v>
      </c>
      <c r="AA12" s="11" t="n">
        <f aca="false">AA10-AA11</f>
        <v>21.9863812557414</v>
      </c>
      <c r="AB12" s="11" t="n">
        <f aca="false">AB10-AB11</f>
        <v>21.9863812557414</v>
      </c>
      <c r="AC12" s="11" t="n">
        <f aca="false">AC10-AC11</f>
        <v>21.9863812557414</v>
      </c>
      <c r="AD12" s="11" t="n">
        <f aca="false">AD10-AD11</f>
        <v>21.9863812557414</v>
      </c>
      <c r="AE12" s="11" t="n">
        <f aca="false">AE10-AE11</f>
        <v>21.9863812557414</v>
      </c>
      <c r="AF12" s="11" t="n">
        <f aca="false">AF10-AF11</f>
        <v>21.9863812557414</v>
      </c>
      <c r="AG12" s="11" t="n">
        <f aca="false">AG10-AG11</f>
        <v>21.9863812557414</v>
      </c>
      <c r="AH12" s="11" t="n">
        <f aca="false">AH10-AH11</f>
        <v>21.9863812557414</v>
      </c>
      <c r="AI12" s="11" t="n">
        <f aca="false">AI10-AI11</f>
        <v>21.9863812557414</v>
      </c>
      <c r="AJ12" s="11" t="n">
        <f aca="false">AJ10-AJ11</f>
        <v>21.9863812557414</v>
      </c>
      <c r="AK12" s="11" t="n">
        <f aca="false">AK10-AK11</f>
        <v>21.9863812557414</v>
      </c>
      <c r="AL12" s="11" t="n">
        <f aca="false">AL10-AL11</f>
        <v>21.9863812557414</v>
      </c>
      <c r="AM12" s="11" t="n">
        <f aca="false">AM10-AM11</f>
        <v>21.9863812557414</v>
      </c>
      <c r="AN12" s="11" t="n">
        <f aca="false">AN10-AN11</f>
        <v>21.9863812557414</v>
      </c>
      <c r="AO12" s="11" t="n">
        <f aca="false">AO10-AO11</f>
        <v>21.9863812557414</v>
      </c>
      <c r="AP12" s="11" t="n">
        <f aca="false">AP10-AP11</f>
        <v>21.9863812557414</v>
      </c>
      <c r="AQ12" s="11" t="n">
        <f aca="false">AQ10-AQ11</f>
        <v>21.9863812557414</v>
      </c>
      <c r="AR12" s="11" t="n">
        <f aca="false">AR10-AR11</f>
        <v>21.9863812557414</v>
      </c>
      <c r="AS12" s="11" t="n">
        <f aca="false">AS10-AS11</f>
        <v>21.9863812557414</v>
      </c>
      <c r="AT12" s="11" t="n">
        <f aca="false">AT10-AT11</f>
        <v>21.9863812557414</v>
      </c>
      <c r="AU12" s="11" t="n">
        <f aca="false">AU10-AU11</f>
        <v>21.9863812557414</v>
      </c>
      <c r="AV12" s="11" t="n">
        <f aca="false">AV10-AV11</f>
        <v>21.9863812557414</v>
      </c>
      <c r="AW12" s="11" t="n">
        <f aca="false">AW10-AW11</f>
        <v>21.9863812557414</v>
      </c>
      <c r="AX12" s="11" t="n">
        <f aca="false">AX10-AX11</f>
        <v>21.9863812557414</v>
      </c>
      <c r="AY12" s="11" t="n">
        <f aca="false">AY10-AY11</f>
        <v>21.9863812557414</v>
      </c>
      <c r="AZ12" s="11" t="n">
        <f aca="false">AZ10-AZ11</f>
        <v>21.9863812557414</v>
      </c>
      <c r="BA12" s="11" t="n">
        <f aca="false">BA10-BA11</f>
        <v>21.9863812557414</v>
      </c>
      <c r="BB12" s="11" t="n">
        <f aca="false">BB10-BB11</f>
        <v>21.9863812557414</v>
      </c>
      <c r="BC12" s="11" t="n">
        <f aca="false">BC10-BC11</f>
        <v>14.9629539101573</v>
      </c>
      <c r="BD12" s="11" t="n">
        <f aca="false">BD10-BD11</f>
        <v>0.916099218989225</v>
      </c>
      <c r="BE12" s="11" t="n">
        <f aca="false">BE10-BE11</f>
        <v>0.916099218989225</v>
      </c>
      <c r="BF12" s="11" t="n">
        <f aca="false">BF10-BF11</f>
        <v>0.916099218989225</v>
      </c>
      <c r="BG12" s="11" t="n">
        <f aca="false">BG10-BG11</f>
        <v>0.916099218989225</v>
      </c>
      <c r="BH12" s="11" t="n">
        <f aca="false">BH10-BH11</f>
        <v>0.916099218989225</v>
      </c>
      <c r="BI12" s="11" t="n">
        <f aca="false">BI10-BI11</f>
        <v>0.916099218989225</v>
      </c>
      <c r="BJ12" s="11" t="n">
        <f aca="false">BJ10-BJ11</f>
        <v>0.916099218989225</v>
      </c>
      <c r="BK12" s="11" t="n">
        <f aca="false">BK10-BK11</f>
        <v>0.916099218989225</v>
      </c>
      <c r="BL12" s="11" t="n">
        <f aca="false">BL10-BL11</f>
        <v>0.916099218989225</v>
      </c>
      <c r="BM12" s="11" t="n">
        <f aca="false">BM10-BM11</f>
        <v>0.610732812659483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345.254038505176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3.50463854678449</v>
      </c>
      <c r="P13" s="11" t="n">
        <f aca="false">IF(Time!P17&gt;=Time!$F$11,Waterfall!P33*Inputs!$F$102/100*Time!P26/365,0)</f>
        <v>10.7392073115523</v>
      </c>
      <c r="Q13" s="11" t="n">
        <f aca="false">IF(Time!Q17&gt;=Time!$F$11,Waterfall!Q33*Inputs!$F$102/100*Time!Q26/365,0)</f>
        <v>10.5324972632321</v>
      </c>
      <c r="R13" s="11" t="n">
        <f aca="false">IF(Time!R17&gt;=Time!$F$11,Waterfall!R33*Inputs!$F$102/100*Time!R26/365,0)</f>
        <v>10.7850767548457</v>
      </c>
      <c r="S13" s="11" t="n">
        <f aca="false">IF(Time!S17&gt;=Time!$F$11,Waterfall!S33*Inputs!$F$102/100*Time!S26/365,0)</f>
        <v>10.6525129641547</v>
      </c>
      <c r="T13" s="11" t="n">
        <f aca="false">IF(Time!T17&gt;=Time!$F$11,Waterfall!T33*Inputs!$F$102/100*Time!T26/365,0)</f>
        <v>10.9079614480826</v>
      </c>
      <c r="U13" s="11" t="n">
        <f aca="false">IF(Time!U17&gt;=Time!$F$11,Waterfall!U33*Inputs!$F$102/100*Time!U26/365,0)</f>
        <v>10.8430148231271</v>
      </c>
      <c r="V13" s="11" t="n">
        <f aca="false">IF(Time!V17&gt;=Time!$F$11,Waterfall!V33*Inputs!$F$102/100*Time!V26/365,0)</f>
        <v>11.0628166946216</v>
      </c>
      <c r="W13" s="11" t="n">
        <f aca="false">IF(Time!W17&gt;=Time!$F$11,Waterfall!W33*Inputs!$F$102/100*Time!W26/365,0)</f>
        <v>10.931973743873</v>
      </c>
      <c r="X13" s="11" t="n">
        <f aca="false">IF(Time!X17&gt;=Time!$F$11,Waterfall!X33*Inputs!$F$102/100*Time!X26/365,0)</f>
        <v>11.1172519781952</v>
      </c>
      <c r="Y13" s="11" t="n">
        <f aca="false">IF(Time!Y17&gt;=Time!$F$11,Waterfall!Y33*Inputs!$F$102/100*Time!Y26/365,0)</f>
        <v>10.9995583653103</v>
      </c>
      <c r="Z13" s="11" t="n">
        <f aca="false">IF(Time!Z17&gt;=Time!$F$11,Waterfall!Z33*Inputs!$F$102/100*Time!Z26/365,0)</f>
        <v>11.2800375416009</v>
      </c>
      <c r="AA13" s="11" t="n">
        <f aca="false">IF(Time!AA17&gt;=Time!$F$11,Waterfall!AA33*Inputs!$F$102/100*Time!AA26/365,0)</f>
        <v>11.1709448854053</v>
      </c>
      <c r="AB13" s="11" t="n">
        <f aca="false">IF(Time!AB17&gt;=Time!$F$11,Waterfall!AB33*Inputs!$F$102/100*Time!AB26/365,0)</f>
        <v>11.6800542092155</v>
      </c>
      <c r="AC13" s="11" t="n">
        <f aca="false">IF(Time!AC17&gt;=Time!$F$11,Waterfall!AC33*Inputs!$F$102/100*Time!AC26/365,0)</f>
        <v>11.8580970786552</v>
      </c>
      <c r="AD13" s="11" t="n">
        <f aca="false">IF(Time!AD17&gt;=Time!$F$11,Waterfall!AD33*Inputs!$F$102/100*Time!AD26/365,0)</f>
        <v>12.3302912372591</v>
      </c>
      <c r="AE13" s="11" t="n">
        <f aca="false">IF(Time!AE17&gt;=Time!$F$11,Waterfall!AE33*Inputs!$F$102/100*Time!AE26/365,0)</f>
        <v>12.4314384675885</v>
      </c>
      <c r="AF13" s="11" t="n">
        <f aca="false">IF(Time!AF17&gt;=Time!$F$11,Waterfall!AF33*Inputs!$F$102/100*Time!AF26/365,0)</f>
        <v>12.9282981909934</v>
      </c>
      <c r="AG13" s="11" t="n">
        <f aca="false">IF(Time!AG17&gt;=Time!$F$11,Waterfall!AG33*Inputs!$F$102/100*Time!AG26/365,0)</f>
        <v>12.9928760862881</v>
      </c>
      <c r="AH13" s="11" t="n">
        <f aca="false">IF(Time!AH17&gt;=Time!$F$11,Waterfall!AH33*Inputs!$F$102/100*Time!AH26/365,0)</f>
        <v>13.4826033632801</v>
      </c>
      <c r="AI13" s="11" t="n">
        <f aca="false">IF(Time!AI17&gt;=Time!$F$11,Waterfall!AI33*Inputs!$F$102/100*Time!AI26/365,0)</f>
        <v>13.5022696769854</v>
      </c>
      <c r="AJ13" s="11" t="n">
        <f aca="false">IF(Time!AJ17&gt;=Time!$F$11,Waterfall!AJ33*Inputs!$F$102/100*Time!AJ26/365,0)</f>
        <v>13.9459283060875</v>
      </c>
      <c r="AK13" s="11" t="n">
        <f aca="false">IF(Time!AK17&gt;=Time!$F$11,Waterfall!AK33*Inputs!$F$102/100*Time!AK26/365,0)</f>
        <v>13.9634482870116</v>
      </c>
      <c r="AL13" s="11" t="n">
        <f aca="false">IF(Time!AL17&gt;=Time!$F$11,Waterfall!AL33*Inputs!$F$102/100*Time!AL26/365,0)</f>
        <v>14.2334989490375</v>
      </c>
      <c r="AM13" s="11" t="n">
        <f aca="false">IF(Time!AM17&gt;=Time!$F$11,Waterfall!AM33*Inputs!$F$102/100*Time!AM26/365,0)</f>
        <v>13.5193268016592</v>
      </c>
      <c r="AN13" s="11" t="n">
        <f aca="false">IF(Time!AN17&gt;=Time!$F$11,Waterfall!AN33*Inputs!$F$102/100*Time!AN26/365,0)</f>
        <v>12.7653078344911</v>
      </c>
      <c r="AO13" s="11" t="n">
        <f aca="false">IF(Time!AO17&gt;=Time!$F$11,Waterfall!AO33*Inputs!$F$102/100*Time!AO26/365,0)</f>
        <v>11.7284361963406</v>
      </c>
      <c r="AP13" s="11" t="n">
        <f aca="false">IF(Time!AP17&gt;=Time!$F$11,Waterfall!AP33*Inputs!$F$102/100*Time!AP26/365,0)</f>
        <v>10.0568813544105</v>
      </c>
      <c r="AQ13" s="11" t="n">
        <f aca="false">IF(Time!AQ17&gt;=Time!$F$11,Waterfall!AQ33*Inputs!$F$102/100*Time!AQ26/365,0)</f>
        <v>7.94571494710025</v>
      </c>
      <c r="AR13" s="11" t="n">
        <f aca="false">IF(Time!AR17&gt;=Time!$F$11,Waterfall!AR33*Inputs!$F$102/100*Time!AR26/365,0)</f>
        <v>6.01668925892919</v>
      </c>
      <c r="AS13" s="11" t="n">
        <f aca="false">IF(Time!AS17&gt;=Time!$F$11,Waterfall!AS33*Inputs!$F$102/100*Time!AS26/365,0)</f>
        <v>3.7920672902852</v>
      </c>
      <c r="AT13" s="11" t="n">
        <f aca="false">IF(Time!AT17&gt;=Time!$F$11,Waterfall!AT33*Inputs!$F$102/100*Time!AT26/365,0)</f>
        <v>1.5533186487733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0.66032996609246</v>
      </c>
      <c r="P14" s="6" t="n">
        <f aca="false">IF(Waterfall!P33&gt;0,MIN(1,Inputs!$F$180*(Waterfall!$F$32+MAX(0,Waterfall!O43))/Waterfall!P33),1)</f>
        <v>0.771820452163358</v>
      </c>
      <c r="Q14" s="6" t="n">
        <f aca="false">IF(Waterfall!Q33&gt;0,MIN(1,Inputs!$F$180*(Waterfall!$F$32+MAX(0,Waterfall!P43))/Waterfall!Q33),1)</f>
        <v>0.817228520734371</v>
      </c>
      <c r="R14" s="6" t="n">
        <f aca="false">IF(Waterfall!R33&gt;0,MIN(1,Inputs!$F$180*(Waterfall!$F$32+MAX(0,Waterfall!Q43))/Waterfall!R33),1)</f>
        <v>0.870694396684769</v>
      </c>
      <c r="S14" s="6" t="n">
        <f aca="false">IF(Waterfall!S33&gt;0,MIN(1,Inputs!$F$180*(Waterfall!$F$32+MAX(0,Waterfall!R43))/Waterfall!S33),1)</f>
        <v>0.929525343924886</v>
      </c>
      <c r="T14" s="6" t="n">
        <f aca="false">IF(Waterfall!T33&gt;0,MIN(1,Inputs!$F$180*(Waterfall!$F$32+MAX(0,Waterfall!S43))/Waterfall!T33),1)</f>
        <v>0.999252764419667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337.534656376547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2.31421785276453</v>
      </c>
      <c r="P15" s="11" t="n">
        <f aca="false">P13*P14</f>
        <v>8.28873984307833</v>
      </c>
      <c r="Q15" s="11" t="n">
        <f aca="false">Q13*Q14</f>
        <v>8.60745715807</v>
      </c>
      <c r="R15" s="11" t="n">
        <f aca="false">R13*R14</f>
        <v>9.39050589825929</v>
      </c>
      <c r="S15" s="11" t="n">
        <f aca="false">S13*S14</f>
        <v>9.90178077667024</v>
      </c>
      <c r="T15" s="11" t="n">
        <f aca="false">T13*T14</f>
        <v>10.8998106311797</v>
      </c>
      <c r="U15" s="11" t="n">
        <f aca="false">U13*U14</f>
        <v>10.8430148231271</v>
      </c>
      <c r="V15" s="11" t="n">
        <f aca="false">V13*V14</f>
        <v>11.0628166946216</v>
      </c>
      <c r="W15" s="11" t="n">
        <f aca="false">W13*W14</f>
        <v>10.931973743873</v>
      </c>
      <c r="X15" s="11" t="n">
        <f aca="false">X13*X14</f>
        <v>11.1172519781952</v>
      </c>
      <c r="Y15" s="11" t="n">
        <f aca="false">Y13*Y14</f>
        <v>10.9995583653103</v>
      </c>
      <c r="Z15" s="11" t="n">
        <f aca="false">Z13*Z14</f>
        <v>11.2800375416009</v>
      </c>
      <c r="AA15" s="11" t="n">
        <f aca="false">AA13*AA14</f>
        <v>11.1709448854053</v>
      </c>
      <c r="AB15" s="11" t="n">
        <f aca="false">AB13*AB14</f>
        <v>11.6800542092155</v>
      </c>
      <c r="AC15" s="11" t="n">
        <f aca="false">AC13*AC14</f>
        <v>11.8580970786552</v>
      </c>
      <c r="AD15" s="11" t="n">
        <f aca="false">AD13*AD14</f>
        <v>12.3302912372591</v>
      </c>
      <c r="AE15" s="11" t="n">
        <f aca="false">AE13*AE14</f>
        <v>12.4314384675885</v>
      </c>
      <c r="AF15" s="11" t="n">
        <f aca="false">AF13*AF14</f>
        <v>12.9282981909934</v>
      </c>
      <c r="AG15" s="11" t="n">
        <f aca="false">AG13*AG14</f>
        <v>12.9928760862881</v>
      </c>
      <c r="AH15" s="11" t="n">
        <f aca="false">AH13*AH14</f>
        <v>13.4826033632801</v>
      </c>
      <c r="AI15" s="11" t="n">
        <f aca="false">AI13*AI14</f>
        <v>13.5022696769854</v>
      </c>
      <c r="AJ15" s="11" t="n">
        <f aca="false">AJ13*AJ14</f>
        <v>13.9459283060875</v>
      </c>
      <c r="AK15" s="11" t="n">
        <f aca="false">AK13*AK14</f>
        <v>13.9634482870116</v>
      </c>
      <c r="AL15" s="11" t="n">
        <f aca="false">AL13*AL14</f>
        <v>14.2334989490375</v>
      </c>
      <c r="AM15" s="11" t="n">
        <f aca="false">AM13*AM14</f>
        <v>13.5193268016592</v>
      </c>
      <c r="AN15" s="11" t="n">
        <f aca="false">AN13*AN14</f>
        <v>12.7653078344911</v>
      </c>
      <c r="AO15" s="11" t="n">
        <f aca="false">AO13*AO14</f>
        <v>11.7284361963406</v>
      </c>
      <c r="AP15" s="11" t="n">
        <f aca="false">AP13*AP14</f>
        <v>10.0568813544105</v>
      </c>
      <c r="AQ15" s="11" t="n">
        <f aca="false">AQ13*AQ14</f>
        <v>7.94571494710025</v>
      </c>
      <c r="AR15" s="11" t="n">
        <f aca="false">AR13*AR14</f>
        <v>6.01668925892919</v>
      </c>
      <c r="AS15" s="11" t="n">
        <f aca="false">AS13*AS14</f>
        <v>3.7920672902852</v>
      </c>
      <c r="AT15" s="11" t="n">
        <f aca="false">AT13*AT14</f>
        <v>1.5533186487733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350.356963816273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23.8767990812414</v>
      </c>
      <c r="Q16" s="11" t="n">
        <f aca="false">Debt!Q119+Debt!Q117+Debt!Q111-Debt!Q110</f>
        <v>23.0529265730097</v>
      </c>
      <c r="R16" s="11" t="n">
        <f aca="false">Debt!R119+Debt!R117+Debt!R111-Debt!R110</f>
        <v>22.7050016911826</v>
      </c>
      <c r="S16" s="11" t="n">
        <f aca="false">Debt!S119+Debt!S117+Debt!S111-Debt!S110</f>
        <v>21.8283114595013</v>
      </c>
      <c r="T16" s="11" t="n">
        <f aca="false">Debt!T119+Debt!T117+Debt!T111-Debt!T110</f>
        <v>21.4173948774799</v>
      </c>
      <c r="U16" s="11" t="n">
        <f aca="false">Debt!U119+Debt!U117+Debt!U111-Debt!U110</f>
        <v>20.5736612340971</v>
      </c>
      <c r="V16" s="11" t="n">
        <f aca="false">Debt!V119+Debt!V117+Debt!V111-Debt!V110</f>
        <v>20.0178971276787</v>
      </c>
      <c r="W16" s="11" t="n">
        <f aca="false">Debt!W119+Debt!W117+Debt!W111-Debt!W110</f>
        <v>19.0447430769965</v>
      </c>
      <c r="X16" s="11" t="n">
        <f aca="false">Debt!X119+Debt!X117+Debt!X111-Debt!X110</f>
        <v>18.4804241788837</v>
      </c>
      <c r="Y16" s="11" t="n">
        <f aca="false">Debt!Y119+Debt!Y117+Debt!Y111-Debt!Y110</f>
        <v>18.0686234275263</v>
      </c>
      <c r="Z16" s="11" t="n">
        <f aca="false">Debt!Z119+Debt!Z117+Debt!Z111-Debt!Z110</f>
        <v>17.4936379685215</v>
      </c>
      <c r="AA16" s="11" t="n">
        <f aca="false">Debt!AA119+Debt!AA117+Debt!AA111-Debt!AA110</f>
        <v>16.4888397749711</v>
      </c>
      <c r="AB16" s="11" t="n">
        <f aca="false">Debt!AB119+Debt!AB117+Debt!AB111-Debt!AB110</f>
        <v>15.6232934134946</v>
      </c>
      <c r="AC16" s="11" t="n">
        <f aca="false">Debt!AC119+Debt!AC117+Debt!AC111-Debt!AC110</f>
        <v>14.3907215371015</v>
      </c>
      <c r="AD16" s="11" t="n">
        <f aca="false">Debt!AD119+Debt!AD117+Debt!AD111-Debt!AD110</f>
        <v>13.3873941450756</v>
      </c>
      <c r="AE16" s="11" t="n">
        <f aca="false">Debt!AE119+Debt!AE117+Debt!AE111-Debt!AE110</f>
        <v>12.0187452412908</v>
      </c>
      <c r="AF16" s="11" t="n">
        <f aca="false">Debt!AF119+Debt!AF117+Debt!AF111-Debt!AF110</f>
        <v>10.878077372764</v>
      </c>
      <c r="AG16" s="11" t="n">
        <f aca="false">Debt!AG119+Debt!AG117+Debt!AG111-Debt!AG110</f>
        <v>9.70809912854477</v>
      </c>
      <c r="AH16" s="11" t="n">
        <f aca="false">Debt!AH119+Debt!AH117+Debt!AH111-Debt!AH110</f>
        <v>8.46014718382021</v>
      </c>
      <c r="AI16" s="11" t="n">
        <f aca="false">Debt!AI119+Debt!AI117+Debt!AI111-Debt!AI110</f>
        <v>6.97028665805171</v>
      </c>
      <c r="AJ16" s="11" t="n">
        <f aca="false">Debt!AJ119+Debt!AJ117+Debt!AJ111-Debt!AJ110</f>
        <v>5.62748062553862</v>
      </c>
      <c r="AK16" s="11" t="n">
        <f aca="false">Debt!AK119+Debt!AK117+Debt!AK111-Debt!AK110</f>
        <v>4.14216688772503</v>
      </c>
      <c r="AL16" s="11" t="n">
        <f aca="false">Debt!AL119+Debt!AL117+Debt!AL111-Debt!AL110</f>
        <v>2.72523834208825</v>
      </c>
      <c r="AM16" s="11" t="n">
        <f aca="false">Debt!AM119+Debt!AM117+Debt!AM111-Debt!AM110</f>
        <v>1.73844173117821</v>
      </c>
      <c r="AN16" s="11" t="n">
        <f aca="false">Debt!AN119+Debt!AN117+Debt!AN111-Debt!AN110</f>
        <v>1.09190476651279</v>
      </c>
      <c r="AO16" s="11" t="n">
        <f aca="false">Debt!AO119+Debt!AO117+Debt!AO111-Debt!AO110</f>
        <v>0.546706311997093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1055.01279159561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0.235895305287935</v>
      </c>
      <c r="Z18" s="11" t="n">
        <f aca="false">(Operations!Z79-Z16-Z15)*Z17-Z12</f>
        <v>1.14915750029784</v>
      </c>
      <c r="AA18" s="11" t="n">
        <f aca="false">(Operations!AA79-AA16-AA15)*AA17-AA12</f>
        <v>2.36376458308877</v>
      </c>
      <c r="AB18" s="11" t="n">
        <f aca="false">(Operations!AB79-AB16-AB15)*AB17-AB12</f>
        <v>2.80365640609557</v>
      </c>
      <c r="AC18" s="11" t="n">
        <f aca="false">(Operations!AC79-AC16-AC15)*AC17-AC12</f>
        <v>4.07325731693114</v>
      </c>
      <c r="AD18" s="11" t="n">
        <f aca="false">(Operations!AD79-AD16-AD15)*AD17-AD12</f>
        <v>-7.8693862124379</v>
      </c>
      <c r="AE18" s="11" t="n">
        <f aca="false">(Operations!AE79-AE16-AE15)*AE17-AE12</f>
        <v>6.21344938754909</v>
      </c>
      <c r="AF18" s="11" t="n">
        <f aca="false">(Operations!AF79-AF16-AF15)*AF17-AF12</f>
        <v>6.78101433637704</v>
      </c>
      <c r="AG18" s="11" t="n">
        <f aca="false">(Operations!AG79-AG16-AG15)*AG17-AG12</f>
        <v>8.02755507226626</v>
      </c>
      <c r="AH18" s="11" t="n">
        <f aca="false">(Operations!AH79-AH16-AH15)*AH17-AH12</f>
        <v>8.94658428263199</v>
      </c>
      <c r="AI18" s="11" t="n">
        <f aca="false">(Operations!AI79-AI16-AI15)*AI17-AI12</f>
        <v>10.5245898206235</v>
      </c>
      <c r="AJ18" s="11" t="n">
        <f aca="false">(Operations!AJ79-AJ16-AJ15)*AJ17-AJ12</f>
        <v>11.5137910925803</v>
      </c>
      <c r="AK18" s="11" t="n">
        <f aca="false">(Operations!AK79-AK16-AK15)*AK17-AK12</f>
        <v>13.1766603235256</v>
      </c>
      <c r="AL18" s="11" t="n">
        <f aca="false">(Operations!AL79-AL16-AL15)*AL17-AL12</f>
        <v>11.6177792777557</v>
      </c>
      <c r="AM18" s="11" t="n">
        <f aca="false">(Operations!AM79-AM16-AM15)*AM17-AM12</f>
        <v>16.3551980967719</v>
      </c>
      <c r="AN18" s="11" t="n">
        <f aca="false">(Operations!AN79-AN16-AN15)*AN17-AN12</f>
        <v>17.7500177217632</v>
      </c>
      <c r="AO18" s="11" t="n">
        <f aca="false">(Operations!AO79-AO16-AO15)*AO17-AO12</f>
        <v>19.4846515889679</v>
      </c>
      <c r="AP18" s="11" t="n">
        <f aca="false">(Operations!AP79-AP16-AP15)*AP17-AP12</f>
        <v>21.8788417214847</v>
      </c>
      <c r="AQ18" s="11" t="n">
        <f aca="false">(Operations!AQ79-AQ16-AQ15)*AQ17-AQ12</f>
        <v>24.105420048261</v>
      </c>
      <c r="AR18" s="11" t="n">
        <f aca="false">(Operations!AR79-AR16-AR15)*AR17-AR12</f>
        <v>26.1316204816851</v>
      </c>
      <c r="AS18" s="11" t="n">
        <f aca="false">(Operations!AS79-AS16-AS15)*AS17-AS12</f>
        <v>28.6130303092986</v>
      </c>
      <c r="AT18" s="11" t="n">
        <f aca="false">(Operations!AT79-AT16-AT15)*AT17-AT12</f>
        <v>16.1253244634528</v>
      </c>
      <c r="AU18" s="11" t="n">
        <f aca="false">(Operations!AU79-AU16-AU15)*AU17-AU12</f>
        <v>32.8119453788409</v>
      </c>
      <c r="AV18" s="11" t="n">
        <f aca="false">(Operations!AV79-AV16-AV15)*AV17-AV12</f>
        <v>32.7113016311622</v>
      </c>
      <c r="AW18" s="11" t="n">
        <f aca="false">(Operations!AW79-AW16-AW15)*AW17-AW12</f>
        <v>32.8762351787341</v>
      </c>
      <c r="AX18" s="11" t="n">
        <f aca="false">(Operations!AX79-AX16-AX15)*AX17-AX12</f>
        <v>33.0686918750269</v>
      </c>
      <c r="AY18" s="11" t="n">
        <f aca="false">(Operations!AY79-AY16-AY15)*AY17-AY12</f>
        <v>33.1922466210587</v>
      </c>
      <c r="AZ18" s="11" t="n">
        <f aca="false">(Operations!AZ79-AZ16-AZ15)*AZ17-AZ12</f>
        <v>33.297105200698</v>
      </c>
      <c r="BA18" s="11" t="n">
        <f aca="false">(Operations!BA79-BA16-BA15)*BA17-BA12</f>
        <v>33.5283434634952</v>
      </c>
      <c r="BB18" s="11" t="n">
        <f aca="false">(Operations!BB79-BB16-BB15)*BB17-BB12</f>
        <v>30.3135839799271</v>
      </c>
      <c r="BC18" s="11" t="n">
        <f aca="false">(Operations!BC79-BC16-BC15)*BC17-BC12</f>
        <v>40.9438214200448</v>
      </c>
      <c r="BD18" s="11" t="n">
        <f aca="false">(Operations!BD79-BD16-BD15)*BD17-BD12</f>
        <v>54.9769390505911</v>
      </c>
      <c r="BE18" s="11" t="n">
        <f aca="false">(Operations!BE79-BE16-BE15)*BE17-BE12</f>
        <v>55.1552690048142</v>
      </c>
      <c r="BF18" s="11" t="n">
        <f aca="false">(Operations!BF79-BF16-BF15)*BF17-BF12</f>
        <v>55.3657855477176</v>
      </c>
      <c r="BG18" s="11" t="n">
        <f aca="false">(Operations!BG79-BG16-BG15)*BG17-BG12</f>
        <v>55.4980648335499</v>
      </c>
      <c r="BH18" s="11" t="n">
        <f aca="false">(Operations!BH79-BH16-BH15)*BH17-BH12</f>
        <v>55.6112145995545</v>
      </c>
      <c r="BI18" s="11" t="n">
        <f aca="false">(Operations!BI79-BI16-BI15)*BI17-BI12</f>
        <v>55.9178105350303</v>
      </c>
      <c r="BJ18" s="11" t="n">
        <f aca="false">(Operations!BJ79-BJ16-BJ15)*BJ17-BJ12</f>
        <v>38.5115379239581</v>
      </c>
      <c r="BK18" s="11" t="n">
        <f aca="false">(Operations!BK79-BK16-BK15)*BK17-BK12</f>
        <v>56.4024176680441</v>
      </c>
      <c r="BL18" s="11" t="n">
        <f aca="false">(Operations!BL79-BL16-BL15)*BL17-BL12</f>
        <v>56.2712299399664</v>
      </c>
      <c r="BM18" s="11" t="n">
        <f aca="false">(Operations!BM79-BM16-BM15)*BM17-BM12</f>
        <v>18.5573748191348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7.8693862124379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6.21344938754909</v>
      </c>
      <c r="AF19" s="11" t="n">
        <f aca="false">MIN(AE22,MAX(0,AF18))</f>
        <v>1.65593682488881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247.346789127091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0.235895305287935</v>
      </c>
      <c r="Z20" s="11" t="n">
        <f aca="false">MIN(Y21,MAX(0,Z18-Z19))</f>
        <v>1.14915750029784</v>
      </c>
      <c r="AA20" s="11" t="n">
        <f aca="false">MIN(Z21,MAX(0,AA18-AA19))</f>
        <v>2.36376458308877</v>
      </c>
      <c r="AB20" s="11" t="n">
        <f aca="false">MIN(AA21,MAX(0,AB18-AB19))</f>
        <v>2.80365640609557</v>
      </c>
      <c r="AC20" s="11" t="n">
        <f aca="false">MIN(AB21,MAX(0,AC18-AC19))</f>
        <v>4.07325731693114</v>
      </c>
      <c r="AD20" s="11" t="n">
        <f aca="false">MIN(AC21,MAX(0,AD18-AD19))</f>
        <v>0</v>
      </c>
      <c r="AE20" s="11" t="n">
        <f aca="false">MIN(AD21,MAX(0,AE18-AE19))</f>
        <v>0</v>
      </c>
      <c r="AF20" s="11" t="n">
        <f aca="false">MIN(AE21,MAX(0,AF18-AF19))</f>
        <v>5.12507751148823</v>
      </c>
      <c r="AG20" s="11" t="n">
        <f aca="false">MIN(AF21,MAX(0,AG18-AG19))</f>
        <v>8.02755507226626</v>
      </c>
      <c r="AH20" s="11" t="n">
        <f aca="false">MIN(AG21,MAX(0,AH18-AH19))</f>
        <v>8.94658428263199</v>
      </c>
      <c r="AI20" s="11" t="n">
        <f aca="false">MIN(AH21,MAX(0,AI18-AI19))</f>
        <v>10.5245898206235</v>
      </c>
      <c r="AJ20" s="11" t="n">
        <f aca="false">MIN(AI21,MAX(0,AJ18-AJ19))</f>
        <v>11.5137910925803</v>
      </c>
      <c r="AK20" s="11" t="n">
        <f aca="false">MIN(AJ21,MAX(0,AK18-AK19))</f>
        <v>13.1766603235256</v>
      </c>
      <c r="AL20" s="11" t="n">
        <f aca="false">MIN(AK21,MAX(0,AL18-AL19))</f>
        <v>11.6177792777557</v>
      </c>
      <c r="AM20" s="11" t="n">
        <f aca="false">MIN(AL21,MAX(0,AM18-AM19))</f>
        <v>16.3551980967719</v>
      </c>
      <c r="AN20" s="11" t="n">
        <f aca="false">MIN(AM21,MAX(0,AN18-AN19))</f>
        <v>17.7500177217632</v>
      </c>
      <c r="AO20" s="11" t="n">
        <f aca="false">MIN(AN21,MAX(0,AO18-AO19))</f>
        <v>19.4846515889679</v>
      </c>
      <c r="AP20" s="11" t="n">
        <f aca="false">MIN(AO21,MAX(0,AP18-AP19))</f>
        <v>21.8788417214847</v>
      </c>
      <c r="AQ20" s="11" t="n">
        <f aca="false">MIN(AP21,MAX(0,AQ18-AQ19))</f>
        <v>24.105420048261</v>
      </c>
      <c r="AR20" s="11" t="n">
        <f aca="false">MIN(AQ21,MAX(0,AR18-AR19))</f>
        <v>26.1316204816851</v>
      </c>
      <c r="AS20" s="11" t="n">
        <f aca="false">MIN(AR21,MAX(0,AS18-AS19))</f>
        <v>28.6130303092986</v>
      </c>
      <c r="AT20" s="11" t="n">
        <f aca="false">MIN(AS21,MAX(0,AT18-AT19))</f>
        <v>13.4702406662856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8.24489297090303</v>
      </c>
      <c r="P21" s="11" t="n">
        <f aca="false">O21+P11-P20</f>
        <v>32.9795718836121</v>
      </c>
      <c r="Q21" s="11" t="n">
        <f aca="false">P21+Q11-Q20</f>
        <v>57.7142507963212</v>
      </c>
      <c r="R21" s="11" t="n">
        <f aca="false">Q21+R11-R20</f>
        <v>82.4489297090303</v>
      </c>
      <c r="S21" s="11" t="n">
        <f aca="false">R21+S11-S20</f>
        <v>107.183608621739</v>
      </c>
      <c r="T21" s="11" t="n">
        <f aca="false">S21+T11-T20</f>
        <v>131.918287534448</v>
      </c>
      <c r="U21" s="11" t="n">
        <f aca="false">T21+U11-U20</f>
        <v>156.652966447158</v>
      </c>
      <c r="V21" s="11" t="n">
        <f aca="false">U21+V11-V20</f>
        <v>181.387645359867</v>
      </c>
      <c r="W21" s="11" t="n">
        <f aca="false">V21+W11-W20</f>
        <v>206.122324272576</v>
      </c>
      <c r="X21" s="11" t="n">
        <f aca="false">W21+X11-X20</f>
        <v>230.857003185285</v>
      </c>
      <c r="Y21" s="11" t="n">
        <f aca="false">X21+Y11-Y20</f>
        <v>247.110893821803</v>
      </c>
      <c r="Z21" s="11" t="n">
        <f aca="false">Y21+Z11-Z20</f>
        <v>245.961736321505</v>
      </c>
      <c r="AA21" s="11" t="n">
        <f aca="false">Z21+AA11-AA20</f>
        <v>243.597971738416</v>
      </c>
      <c r="AB21" s="11" t="n">
        <f aca="false">AA21+AB11-AB20</f>
        <v>240.794315332321</v>
      </c>
      <c r="AC21" s="11" t="n">
        <f aca="false">AB21+AC11-AC20</f>
        <v>236.72105801539</v>
      </c>
      <c r="AD21" s="11" t="n">
        <f aca="false">AC21+AD11-AD20</f>
        <v>236.72105801539</v>
      </c>
      <c r="AE21" s="11" t="n">
        <f aca="false">AD21+AE11-AE20</f>
        <v>236.72105801539</v>
      </c>
      <c r="AF21" s="11" t="n">
        <f aca="false">AE21+AF11-AF20</f>
        <v>231.595980503901</v>
      </c>
      <c r="AG21" s="11" t="n">
        <f aca="false">AF21+AG11-AG20</f>
        <v>223.568425431635</v>
      </c>
      <c r="AH21" s="11" t="n">
        <f aca="false">AG21+AH11-AH20</f>
        <v>214.621841149003</v>
      </c>
      <c r="AI21" s="11" t="n">
        <f aca="false">AH21+AI11-AI20</f>
        <v>204.09725132838</v>
      </c>
      <c r="AJ21" s="11" t="n">
        <f aca="false">AI21+AJ11-AJ20</f>
        <v>192.583460235799</v>
      </c>
      <c r="AK21" s="11" t="n">
        <f aca="false">AJ21+AK11-AK20</f>
        <v>179.406799912274</v>
      </c>
      <c r="AL21" s="11" t="n">
        <f aca="false">AK21+AL11-AL20</f>
        <v>167.789020634518</v>
      </c>
      <c r="AM21" s="11" t="n">
        <f aca="false">AL21+AM11-AM20</f>
        <v>151.433822537746</v>
      </c>
      <c r="AN21" s="11" t="n">
        <f aca="false">AM21+AN11-AN20</f>
        <v>133.683804815983</v>
      </c>
      <c r="AO21" s="11" t="n">
        <f aca="false">AN21+AO11-AO20</f>
        <v>114.199153227015</v>
      </c>
      <c r="AP21" s="11" t="n">
        <f aca="false">AO21+AP11-AP20</f>
        <v>92.3203115055303</v>
      </c>
      <c r="AQ21" s="11" t="n">
        <f aca="false">AP21+AQ11-AQ20</f>
        <v>68.2148914572693</v>
      </c>
      <c r="AR21" s="11" t="n">
        <f aca="false">AQ21+AR11-AR20</f>
        <v>42.0832709755842</v>
      </c>
      <c r="AS21" s="11" t="n">
        <f aca="false">AR21+AS11-AS20</f>
        <v>13.4702406662856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7.8693862124379</v>
      </c>
      <c r="AE22" s="11" t="n">
        <f aca="false">AD22-AE19+MAX(0,-AE18)</f>
        <v>1.65593682488881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807.666002468516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</v>
      </c>
      <c r="AN23" s="11" t="n">
        <f aca="false">MAX(0,AN18-AN19-AN20)</f>
        <v>0</v>
      </c>
      <c r="AO23" s="11" t="n">
        <f aca="false">MAX(0,AO18-AO19-AO20)</f>
        <v>0</v>
      </c>
      <c r="AP23" s="11" t="n">
        <f aca="false">MAX(0,AP18-AP19-AP20)</f>
        <v>0</v>
      </c>
      <c r="AQ23" s="11" t="n">
        <f aca="false">MAX(0,AQ18-AQ19-AQ20)</f>
        <v>0</v>
      </c>
      <c r="AR23" s="11" t="n">
        <f aca="false">MAX(0,AR18-AR19-AR20)</f>
        <v>0</v>
      </c>
      <c r="AS23" s="11" t="n">
        <f aca="false">MAX(0,AS18-AS19-AS20)</f>
        <v>0</v>
      </c>
      <c r="AT23" s="11" t="n">
        <f aca="false">MAX(0,AT18-AT19-AT20)</f>
        <v>2.65508379716725</v>
      </c>
      <c r="AU23" s="11" t="n">
        <f aca="false">MAX(0,AU18-AU19-AU20)</f>
        <v>32.8119453788409</v>
      </c>
      <c r="AV23" s="11" t="n">
        <f aca="false">MAX(0,AV18-AV19-AV20)</f>
        <v>32.7113016311622</v>
      </c>
      <c r="AW23" s="11" t="n">
        <f aca="false">MAX(0,AW18-AW19-AW20)</f>
        <v>32.8762351787341</v>
      </c>
      <c r="AX23" s="11" t="n">
        <f aca="false">MAX(0,AX18-AX19-AX20)</f>
        <v>33.0686918750269</v>
      </c>
      <c r="AY23" s="11" t="n">
        <f aca="false">MAX(0,AY18-AY19-AY20)</f>
        <v>33.1922466210587</v>
      </c>
      <c r="AZ23" s="11" t="n">
        <f aca="false">MAX(0,AZ18-AZ19-AZ20)</f>
        <v>33.297105200698</v>
      </c>
      <c r="BA23" s="11" t="n">
        <f aca="false">MAX(0,BA18-BA19-BA20)</f>
        <v>33.5283434634952</v>
      </c>
      <c r="BB23" s="11" t="n">
        <f aca="false">MAX(0,BB18-BB19-BB20)</f>
        <v>30.3135839799271</v>
      </c>
      <c r="BC23" s="11" t="n">
        <f aca="false">MAX(0,BC18-BC19-BC20)</f>
        <v>40.9438214200448</v>
      </c>
      <c r="BD23" s="11" t="n">
        <f aca="false">MAX(0,BD18-BD19-BD20)</f>
        <v>54.9769390505911</v>
      </c>
      <c r="BE23" s="11" t="n">
        <f aca="false">MAX(0,BE18-BE19-BE20)</f>
        <v>55.1552690048142</v>
      </c>
      <c r="BF23" s="11" t="n">
        <f aca="false">MAX(0,BF18-BF19-BF20)</f>
        <v>55.3657855477176</v>
      </c>
      <c r="BG23" s="11" t="n">
        <f aca="false">MAX(0,BG18-BG19-BG20)</f>
        <v>55.4980648335499</v>
      </c>
      <c r="BH23" s="11" t="n">
        <f aca="false">MAX(0,BH18-BH19-BH20)</f>
        <v>55.6112145995545</v>
      </c>
      <c r="BI23" s="11" t="n">
        <f aca="false">MAX(0,BI18-BI19-BI20)</f>
        <v>55.9178105350303</v>
      </c>
      <c r="BJ23" s="11" t="n">
        <f aca="false">MAX(0,BJ18-BJ19-BJ20)</f>
        <v>38.5115379239581</v>
      </c>
      <c r="BK23" s="11" t="n">
        <f aca="false">MAX(0,BK18-BK19-BK20)</f>
        <v>56.4024176680441</v>
      </c>
      <c r="BL23" s="11" t="n">
        <f aca="false">MAX(0,BL18-BL19-BL20)</f>
        <v>56.2712299399664</v>
      </c>
      <c r="BM23" s="11" t="n">
        <f aca="false">MAX(0,BM18-BM19-BM20)</f>
        <v>18.5573748191348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0.15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0.2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242.299800740555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</v>
      </c>
      <c r="AN25" s="11" t="n">
        <f aca="false">AN23*AN24</f>
        <v>0</v>
      </c>
      <c r="AO25" s="11" t="n">
        <f aca="false">AO23*AO24</f>
        <v>0</v>
      </c>
      <c r="AP25" s="11" t="n">
        <f aca="false">AP23*AP24</f>
        <v>0</v>
      </c>
      <c r="AQ25" s="11" t="n">
        <f aca="false">AQ23*AQ24</f>
        <v>0</v>
      </c>
      <c r="AR25" s="11" t="n">
        <f aca="false">AR23*AR24</f>
        <v>0</v>
      </c>
      <c r="AS25" s="11" t="n">
        <f aca="false">AS23*AS24</f>
        <v>0</v>
      </c>
      <c r="AT25" s="11" t="n">
        <f aca="false">AT23*AT24</f>
        <v>0.796525139150175</v>
      </c>
      <c r="AU25" s="11" t="n">
        <f aca="false">AU23*AU24</f>
        <v>9.84358361365228</v>
      </c>
      <c r="AV25" s="11" t="n">
        <f aca="false">AV23*AV24</f>
        <v>9.81339048934867</v>
      </c>
      <c r="AW25" s="11" t="n">
        <f aca="false">AW23*AW24</f>
        <v>9.86287055362022</v>
      </c>
      <c r="AX25" s="11" t="n">
        <f aca="false">AX23*AX24</f>
        <v>9.92060756250806</v>
      </c>
      <c r="AY25" s="11" t="n">
        <f aca="false">AY23*AY24</f>
        <v>9.95767398631761</v>
      </c>
      <c r="AZ25" s="11" t="n">
        <f aca="false">AZ23*AZ24</f>
        <v>9.9891315602094</v>
      </c>
      <c r="BA25" s="11" t="n">
        <f aca="false">BA23*BA24</f>
        <v>10.0585030390486</v>
      </c>
      <c r="BB25" s="11" t="n">
        <f aca="false">BB23*BB24</f>
        <v>9.09407519397812</v>
      </c>
      <c r="BC25" s="11" t="n">
        <f aca="false">BC23*BC24</f>
        <v>12.2831464260134</v>
      </c>
      <c r="BD25" s="11" t="n">
        <f aca="false">BD23*BD24</f>
        <v>16.4930817151773</v>
      </c>
      <c r="BE25" s="11" t="n">
        <f aca="false">BE23*BE24</f>
        <v>16.5465807014443</v>
      </c>
      <c r="BF25" s="11" t="n">
        <f aca="false">BF23*BF24</f>
        <v>16.6097356643153</v>
      </c>
      <c r="BG25" s="11" t="n">
        <f aca="false">BG23*BG24</f>
        <v>16.649419450065</v>
      </c>
      <c r="BH25" s="11" t="n">
        <f aca="false">BH23*BH24</f>
        <v>16.6833643798663</v>
      </c>
      <c r="BI25" s="11" t="n">
        <f aca="false">BI23*BI24</f>
        <v>16.7753431605091</v>
      </c>
      <c r="BJ25" s="11" t="n">
        <f aca="false">BJ23*BJ24</f>
        <v>11.5534613771874</v>
      </c>
      <c r="BK25" s="11" t="n">
        <f aca="false">BK23*BK24</f>
        <v>16.9207253004132</v>
      </c>
      <c r="BL25" s="11" t="n">
        <f aca="false">BL23*BL24</f>
        <v>16.8813689819899</v>
      </c>
      <c r="BM25" s="11" t="n">
        <f aca="false">BM23*BM24</f>
        <v>5.56721244574044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15.6394650657101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0.11804583592035</v>
      </c>
      <c r="Z26" s="11" t="n">
        <f aca="false">IF(Time!Z25&gt;0,Inputs!$F$173/100*Operations!Z50*(Z8+Z9)/Time!Z25,0)</f>
        <v>0.355491534673645</v>
      </c>
      <c r="AA26" s="11" t="n">
        <f aca="false">IF(Time!AA25&gt;0,Inputs!$F$173/100*Operations!AA50*(AA8+AA9)/Time!AA25,0)</f>
        <v>0.357266560605968</v>
      </c>
      <c r="AB26" s="11" t="n">
        <f aca="false">IF(Time!AB25&gt;0,Inputs!$F$173/100*Operations!AB50*(AB8+AB9)/Time!AB25,0)</f>
        <v>0.359199684831379</v>
      </c>
      <c r="AC26" s="11" t="n">
        <f aca="false">IF(Time!AC25&gt;0,Inputs!$F$173/100*Operations!AC50*(AC8+AC9)/Time!AC25,0)</f>
        <v>0.360089400479836</v>
      </c>
      <c r="AD26" s="11" t="n">
        <f aca="false">IF(Time!AD25&gt;0,Inputs!$F$173/100*Operations!AD50*(AD8+AD9)/Time!AD25,0)</f>
        <v>0.355582189942007</v>
      </c>
      <c r="AE26" s="11" t="n">
        <f aca="false">IF(Time!AE25&gt;0,Inputs!$F$173/100*Operations!AE50*(AE8+AE9)/Time!AE25,0)</f>
        <v>0.362679271815013</v>
      </c>
      <c r="AF26" s="11" t="n">
        <f aca="false">IF(Time!AF25&gt;0,Inputs!$F$173/100*Operations!AF50*(AF8+AF9)/Time!AF25,0)</f>
        <v>0.366021318821837</v>
      </c>
      <c r="AG26" s="11" t="n">
        <f aca="false">IF(Time!AG25&gt;0,Inputs!$F$173/100*Operations!AG50*(AG8+AG9)/Time!AG25,0)</f>
        <v>0.367627801614753</v>
      </c>
      <c r="AH26" s="11" t="n">
        <f aca="false">IF(Time!AH25&gt;0,Inputs!$F$173/100*Operations!AH50*(AH8+AH9)/Time!AH25,0)</f>
        <v>0.369103750096856</v>
      </c>
      <c r="AI26" s="11" t="n">
        <f aca="false">IF(Time!AI25&gt;0,Inputs!$F$173/100*Operations!AI50*(AI8+AI9)/Time!AI25,0)</f>
        <v>0.371036290587391</v>
      </c>
      <c r="AJ26" s="11" t="n">
        <f aca="false">IF(Time!AJ25&gt;0,Inputs!$F$173/100*Operations!AJ50*(AJ8+AJ9)/Time!AJ25,0)</f>
        <v>0.37314034478709</v>
      </c>
      <c r="AK26" s="11" t="n">
        <f aca="false">IF(Time!AK25&gt;0,Inputs!$F$173/100*Operations!AK50*(AK8+AK9)/Time!AK25,0)</f>
        <v>0.374431606697048</v>
      </c>
      <c r="AL26" s="11" t="n">
        <f aca="false">IF(Time!AL25&gt;0,Inputs!$F$173/100*Operations!AL50*(AL8+AL9)/Time!AL25,0)</f>
        <v>0.375189635606888</v>
      </c>
      <c r="AM26" s="11" t="n">
        <f aca="false">IF(Time!AM25&gt;0,Inputs!$F$173/100*Operations!AM50*(AM8+AM9)/Time!AM25,0)</f>
        <v>0.377587683189271</v>
      </c>
      <c r="AN26" s="11" t="n">
        <f aca="false">IF(Time!AN25&gt;0,Inputs!$F$173/100*Operations!AN50*(AN8+AN9)/Time!AN25,0)</f>
        <v>0.380569722267902</v>
      </c>
      <c r="AO26" s="11" t="n">
        <f aca="false">IF(Time!AO25&gt;0,Inputs!$F$173/100*Operations!AO50*(AO8+AO9)/Time!AO25,0)</f>
        <v>0.382320018205603</v>
      </c>
      <c r="AP26" s="11" t="n">
        <f aca="false">IF(Time!AP25&gt;0,Inputs!$F$173/100*Operations!AP50*(AP8+AP9)/Time!AP25,0)</f>
        <v>0.383928865419879</v>
      </c>
      <c r="AQ26" s="11" t="n">
        <f aca="false">IF(Time!AQ25&gt;0,Inputs!$F$173/100*Operations!AQ50*(AQ8+AQ9)/Time!AQ25,0)</f>
        <v>0.38603288955021</v>
      </c>
      <c r="AR26" s="11" t="n">
        <f aca="false">IF(Time!AR25&gt;0,Inputs!$F$173/100*Operations!AR50*(AR8+AR9)/Time!AR25,0)</f>
        <v>0.388322975302412</v>
      </c>
      <c r="AS26" s="11" t="n">
        <f aca="false">IF(Time!AS25&gt;0,Inputs!$F$173/100*Operations!AS50*(AS8+AS9)/Time!AS25,0)</f>
        <v>0.389386468394401</v>
      </c>
      <c r="AT26" s="11" t="n">
        <f aca="false">IF(Time!AT25&gt;0,Inputs!$F$173/100*Operations!AT50*(AT8+AT9)/Time!AT25,0)</f>
        <v>0.384595426140167</v>
      </c>
      <c r="AU26" s="11" t="n">
        <f aca="false">IF(Time!AU25&gt;0,Inputs!$F$173/100*Operations!AU50*(AU8+AU9)/Time!AU25,0)</f>
        <v>0.392466909393403</v>
      </c>
      <c r="AV26" s="11" t="n">
        <f aca="false">IF(Time!AV25&gt;0,Inputs!$F$173/100*Operations!AV50*(AV8+AV9)/Time!AV25,0)</f>
        <v>0.396414217003656</v>
      </c>
      <c r="AW26" s="11" t="n">
        <f aca="false">IF(Time!AW25&gt;0,Inputs!$F$173/100*Operations!AW50*(AW8+AW9)/Time!AW25,0)</f>
        <v>0.398321197042708</v>
      </c>
      <c r="AX26" s="11" t="n">
        <f aca="false">IF(Time!AX25&gt;0,Inputs!$F$173/100*Operations!AX50*(AX8+AX9)/Time!AX25,0)</f>
        <v>0.400074908375084</v>
      </c>
      <c r="AY26" s="11" t="n">
        <f aca="false">IF(Time!AY25&gt;0,Inputs!$F$173/100*Operations!AY50*(AY8+AY9)/Time!AY25,0)</f>
        <v>0.402365623259928</v>
      </c>
      <c r="AZ26" s="11" t="n">
        <f aca="false">IF(Time!AZ25&gt;0,Inputs!$F$173/100*Operations!AZ50*(AZ8+AZ9)/Time!AZ25,0)</f>
        <v>0.404858175206663</v>
      </c>
      <c r="BA26" s="11" t="n">
        <f aca="false">IF(Time!BA25&gt;0,Inputs!$F$173/100*Operations!BA50*(BA8+BA9)/Time!BA25,0)</f>
        <v>0.406395366611893</v>
      </c>
      <c r="BB26" s="11" t="n">
        <f aca="false">IF(Time!BB25&gt;0,Inputs!$F$173/100*Operations!BB50*(BB8+BB9)/Time!BB25,0)</f>
        <v>0.407305886714974</v>
      </c>
      <c r="BC26" s="11" t="n">
        <f aca="false">IF(Time!BC25&gt;0,Inputs!$F$173/100*Operations!BC50*(BC8+BC9)/Time!BC25,0)</f>
        <v>0.41014468089963</v>
      </c>
      <c r="BD26" s="11" t="n">
        <f aca="false">IF(Time!BD25&gt;0,Inputs!$F$173/100*Operations!BD50*(BD8+BD9)/Time!BD25,0)</f>
        <v>0.413670219231639</v>
      </c>
      <c r="BE26" s="11" t="n">
        <f aca="false">IF(Time!BE25&gt;0,Inputs!$F$173/100*Operations!BE50*(BE8+BE9)/Time!BE25,0)</f>
        <v>0.41574790594862</v>
      </c>
      <c r="BF26" s="11" t="n">
        <f aca="false">IF(Time!BF25&gt;0,Inputs!$F$173/100*Operations!BF50*(BF8+BF9)/Time!BF25,0)</f>
        <v>0.417659523964139</v>
      </c>
      <c r="BG26" s="11" t="n">
        <f aca="false">IF(Time!BG25&gt;0,Inputs!$F$173/100*Operations!BG50*(BG8+BG9)/Time!BG25,0)</f>
        <v>0.4201534843989</v>
      </c>
      <c r="BH26" s="11" t="n">
        <f aca="false">IF(Time!BH25&gt;0,Inputs!$F$173/100*Operations!BH50*(BH8+BH9)/Time!BH25,0)</f>
        <v>0.422866387811796</v>
      </c>
      <c r="BI26" s="11" t="n">
        <f aca="false">IF(Time!BI25&gt;0,Inputs!$F$173/100*Operations!BI50*(BI8+BI9)/Time!BI25,0)</f>
        <v>0.424137576577909</v>
      </c>
      <c r="BJ26" s="11" t="n">
        <f aca="false">IF(Time!BJ25&gt;0,Inputs!$F$173/100*Operations!BJ50*(BJ8+BJ9)/Time!BJ25,0)</f>
        <v>0.419011820453759</v>
      </c>
      <c r="BK26" s="11" t="n">
        <f aca="false">IF(Time!BK25&gt;0,Inputs!$F$173/100*Operations!BK50*(BK8+BK9)/Time!BK25,0)</f>
        <v>0.427801508790423</v>
      </c>
      <c r="BL26" s="11" t="n">
        <f aca="false">IF(Time!BL25&gt;0,Inputs!$F$173/100*Operations!BL50*(BL8+BL9)/Time!BL25,0)</f>
        <v>0.432463418236475</v>
      </c>
      <c r="BM26" s="11" t="n">
        <f aca="false">IF(Time!BM25&gt;0,Inputs!$F$173/100*Operations!BM50*(BM8+BM9)/Time!BM25,0)</f>
        <v>0.28995698083863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249.852854589365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0.11804583592035</v>
      </c>
      <c r="Z27" s="11" t="n">
        <f aca="false">MAX(Z25,Z26)</f>
        <v>0.355491534673645</v>
      </c>
      <c r="AA27" s="11" t="n">
        <f aca="false">MAX(AA25,AA26)</f>
        <v>0.357266560605968</v>
      </c>
      <c r="AB27" s="11" t="n">
        <f aca="false">MAX(AB25,AB26)</f>
        <v>0.359199684831379</v>
      </c>
      <c r="AC27" s="11" t="n">
        <f aca="false">MAX(AC25,AC26)</f>
        <v>0.360089400479836</v>
      </c>
      <c r="AD27" s="11" t="n">
        <f aca="false">MAX(AD25,AD26)</f>
        <v>0.355582189942007</v>
      </c>
      <c r="AE27" s="11" t="n">
        <f aca="false">MAX(AE25,AE26)</f>
        <v>0.362679271815013</v>
      </c>
      <c r="AF27" s="11" t="n">
        <f aca="false">MAX(AF25,AF26)</f>
        <v>0.366021318821837</v>
      </c>
      <c r="AG27" s="11" t="n">
        <f aca="false">MAX(AG25,AG26)</f>
        <v>0.367627801614753</v>
      </c>
      <c r="AH27" s="11" t="n">
        <f aca="false">MAX(AH25,AH26)</f>
        <v>0.369103750096856</v>
      </c>
      <c r="AI27" s="11" t="n">
        <f aca="false">MAX(AI25,AI26)</f>
        <v>0.371036290587391</v>
      </c>
      <c r="AJ27" s="11" t="n">
        <f aca="false">MAX(AJ25,AJ26)</f>
        <v>0.37314034478709</v>
      </c>
      <c r="AK27" s="11" t="n">
        <f aca="false">MAX(AK25,AK26)</f>
        <v>0.374431606697048</v>
      </c>
      <c r="AL27" s="11" t="n">
        <f aca="false">MAX(AL25,AL26)</f>
        <v>0.375189635606888</v>
      </c>
      <c r="AM27" s="11" t="n">
        <f aca="false">MAX(AM25,AM26)</f>
        <v>0.377587683189271</v>
      </c>
      <c r="AN27" s="11" t="n">
        <f aca="false">MAX(AN25,AN26)</f>
        <v>0.380569722267902</v>
      </c>
      <c r="AO27" s="11" t="n">
        <f aca="false">MAX(AO25,AO26)</f>
        <v>0.382320018205603</v>
      </c>
      <c r="AP27" s="11" t="n">
        <f aca="false">MAX(AP25,AP26)</f>
        <v>0.383928865419879</v>
      </c>
      <c r="AQ27" s="11" t="n">
        <f aca="false">MAX(AQ25,AQ26)</f>
        <v>0.38603288955021</v>
      </c>
      <c r="AR27" s="11" t="n">
        <f aca="false">MAX(AR25,AR26)</f>
        <v>0.388322975302412</v>
      </c>
      <c r="AS27" s="11" t="n">
        <f aca="false">MAX(AS25,AS26)</f>
        <v>0.389386468394401</v>
      </c>
      <c r="AT27" s="11" t="n">
        <f aca="false">MAX(AT25,AT26)</f>
        <v>0.796525139150175</v>
      </c>
      <c r="AU27" s="11" t="n">
        <f aca="false">MAX(AU25,AU26)</f>
        <v>9.84358361365228</v>
      </c>
      <c r="AV27" s="11" t="n">
        <f aca="false">MAX(AV25,AV26)</f>
        <v>9.81339048934867</v>
      </c>
      <c r="AW27" s="11" t="n">
        <f aca="false">MAX(AW25,AW26)</f>
        <v>9.86287055362022</v>
      </c>
      <c r="AX27" s="11" t="n">
        <f aca="false">MAX(AX25,AX26)</f>
        <v>9.92060756250806</v>
      </c>
      <c r="AY27" s="11" t="n">
        <f aca="false">MAX(AY25,AY26)</f>
        <v>9.95767398631761</v>
      </c>
      <c r="AZ27" s="11" t="n">
        <f aca="false">MAX(AZ25,AZ26)</f>
        <v>9.9891315602094</v>
      </c>
      <c r="BA27" s="11" t="n">
        <f aca="false">MAX(BA25,BA26)</f>
        <v>10.0585030390486</v>
      </c>
      <c r="BB27" s="11" t="n">
        <f aca="false">MAX(BB25,BB26)</f>
        <v>9.09407519397812</v>
      </c>
      <c r="BC27" s="11" t="n">
        <f aca="false">MAX(BC25,BC26)</f>
        <v>12.2831464260134</v>
      </c>
      <c r="BD27" s="11" t="n">
        <f aca="false">MAX(BD25,BD26)</f>
        <v>16.4930817151773</v>
      </c>
      <c r="BE27" s="11" t="n">
        <f aca="false">MAX(BE25,BE26)</f>
        <v>16.5465807014443</v>
      </c>
      <c r="BF27" s="11" t="n">
        <f aca="false">MAX(BF25,BF26)</f>
        <v>16.6097356643153</v>
      </c>
      <c r="BG27" s="11" t="n">
        <f aca="false">MAX(BG25,BG26)</f>
        <v>16.649419450065</v>
      </c>
      <c r="BH27" s="11" t="n">
        <f aca="false">MAX(BH25,BH26)</f>
        <v>16.6833643798663</v>
      </c>
      <c r="BI27" s="11" t="n">
        <f aca="false">MAX(BI25,BI26)</f>
        <v>16.7753431605091</v>
      </c>
      <c r="BJ27" s="11" t="n">
        <f aca="false">MAX(BJ25,BJ26)</f>
        <v>11.5534613771874</v>
      </c>
      <c r="BK27" s="11" t="n">
        <f aca="false">MAX(BK25,BK26)</f>
        <v>16.9207253004132</v>
      </c>
      <c r="BL27" s="11" t="n">
        <f aca="false">MAX(BL25,BL26)</f>
        <v>16.8813689819899</v>
      </c>
      <c r="BM27" s="11" t="n">
        <f aca="false">MAX(BM25,BM26)</f>
        <v>5.56721244574044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7.71938212862986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1.19042069401996</v>
      </c>
      <c r="P28" s="11" t="n">
        <f aca="false">P13-P15</f>
        <v>2.45046746847397</v>
      </c>
      <c r="Q28" s="11" t="n">
        <f aca="false">Q13-Q15</f>
        <v>1.92504010516213</v>
      </c>
      <c r="R28" s="11" t="n">
        <f aca="false">R13-R15</f>
        <v>1.3945708565864</v>
      </c>
      <c r="S28" s="11" t="n">
        <f aca="false">S13-S15</f>
        <v>0.750732187484498</v>
      </c>
      <c r="T28" s="11" t="n">
        <f aca="false">T13-T15</f>
        <v>0.00815081690290676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0.740572531284416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0.975894364106692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0.0471537654476414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0.0589093210031969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0.0576315432254191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0.0705100651263155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115.704776666667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1.65418624005659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2.34820687457102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3.7852497257876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5.86091433476279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8.44269471263079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11.4412507308727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14.6534505326881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17.9951168400408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21.3045347982116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24.4680348642019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27.3730330430977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29.9629577328091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32.1446327416325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33.8193117037293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34.986809831231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35.5591861028856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36.8035131387336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35.006000719547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33.8204390130931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32.1627990943378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29.9749941389134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27.414596413198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24.4479820099121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21.2722965141533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17.9861879171174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14.6169304868159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11.4173682013656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8.39519607194698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5.77674976075673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3.79680139773309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2.24879412121024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54.6421617549762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-0.554163900679393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0.0127614762054949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87.804359251698</v>
      </c>
      <c r="K22" s="11" t="n">
        <f aca="false">J22+Construction!K14*$F$9/$F$10*(K21+(K19-K20)*J22)</f>
        <v>89.3531335646831</v>
      </c>
      <c r="L22" s="11" t="n">
        <f aca="false">K22+Construction!L14*$F$9/$F$10*(L21+(L19-L20)*K22)</f>
        <v>91.4437075219307</v>
      </c>
      <c r="M22" s="11" t="n">
        <f aca="false">L22+Construction!M14*$F$9/$F$10*(M21+(M19-M20)*L22)</f>
        <v>94.621836154684</v>
      </c>
      <c r="N22" s="11" t="n">
        <f aca="false">M22+Construction!N14*$F$9/$F$10*(N21+(N19-N20)*M22)</f>
        <v>99.3962791275599</v>
      </c>
      <c r="O22" s="11" t="n">
        <f aca="false">N22+Construction!O14*$F$9/$F$10*(O21+(O19-O20)*N22)</f>
        <v>106.164713226221</v>
      </c>
      <c r="P22" s="11" t="n">
        <f aca="false">O22+Construction!P14*$F$9/$F$10*(P21+(P19-P20)*O22)</f>
        <v>115.195896045772</v>
      </c>
      <c r="Q22" s="11" t="n">
        <f aca="false">P22+Construction!Q14*$F$9/$F$10*(Q21+(Q19-Q20)*P22)</f>
        <v>126.734931057075</v>
      </c>
      <c r="R22" s="11" t="n">
        <f aca="false">Q22+Construction!R14*$F$9/$F$10*(R21+(R19-R20)*Q22)</f>
        <v>140.836944354494</v>
      </c>
      <c r="S22" s="11" t="n">
        <f aca="false">R22+Construction!S14*$F$9/$F$10*(S21+(S19-S20)*R22)</f>
        <v>157.516529593172</v>
      </c>
      <c r="T22" s="11" t="n">
        <f aca="false">S22+Construction!T14*$F$9/$F$10*(T21+(T19-T20)*S22)</f>
        <v>176.638976234125</v>
      </c>
      <c r="U22" s="11" t="n">
        <f aca="false">T22+Construction!U14*$F$9/$F$10*(U21+(U19-U20)*T22)</f>
        <v>198.072014174426</v>
      </c>
      <c r="V22" s="11" t="n">
        <f aca="false">U22+Construction!V14*$F$9/$F$10*(V21+(V19-V20)*U22)</f>
        <v>221.550611071161</v>
      </c>
      <c r="W22" s="11" t="n">
        <f aca="false">V22+Construction!W14*$F$9/$F$10*(W21+(W19-W20)*V22)</f>
        <v>246.74588291417</v>
      </c>
      <c r="X22" s="11" t="n">
        <f aca="false">W22+Construction!X14*$F$9/$F$10*(X21+(X19-X20)*W22)</f>
        <v>273.332962551224</v>
      </c>
      <c r="Y22" s="11" t="n">
        <f aca="false">X22+Construction!Y14*$F$9/$F$10*(Y21+(Y19-Y20)*X22)</f>
        <v>300.872471422035</v>
      </c>
      <c r="Z22" s="11" t="n">
        <f aca="false">Y22+Construction!Z14*$F$9/$F$10*(Z21+(Z19-Z20)*Y22)</f>
        <v>328.982302440024</v>
      </c>
      <c r="AA22" s="11" t="n">
        <f aca="false">Z22+Construction!AA14*$F$9/$F$10*(AA21+(AA19-AA20)*Z22)</f>
        <v>358.159458959893</v>
      </c>
      <c r="AB22" s="11" t="n">
        <f aca="false">AA22+Construction!AB14*$F$9/$F$10*(AB21+(AB19-AB20)*AA22)</f>
        <v>385.995576842009</v>
      </c>
      <c r="AC22" s="11" t="n">
        <f aca="false">AB22+Construction!AC14*$F$9/$F$10*(AC21+(AC19-AC20)*AB22)</f>
        <v>413.125304089628</v>
      </c>
      <c r="AD22" s="11" t="n">
        <f aca="false">AC22+Construction!AD14*$F$9/$F$10*(AD21+(AD19-AD20)*AC22)</f>
        <v>439.049478088895</v>
      </c>
      <c r="AE22" s="11" t="n">
        <f aca="false">AD22+Construction!AE14*$F$9/$F$10*(AE21+(AE19-AE20)*AD22)</f>
        <v>463.462329829505</v>
      </c>
      <c r="AF22" s="11" t="n">
        <f aca="false">AE22+Construction!AF14*$F$9/$F$10*(AF21+(AF19-AF20)*AE22)</f>
        <v>485.968087081098</v>
      </c>
      <c r="AG22" s="11" t="n">
        <f aca="false">AF22+Construction!AG14*$F$9/$F$10*(AG21+(AG19-AG20)*AF22)</f>
        <v>506.377940063308</v>
      </c>
      <c r="AH22" s="11" t="n">
        <f aca="false">AG22+Construction!AH14*$F$9/$F$10*(AH21+(AH19-AH20)*AG22)</f>
        <v>524.45587110594</v>
      </c>
      <c r="AI22" s="11" t="n">
        <f aca="false">AH22+Construction!AI14*$F$9/$F$10*(AI21+(AI19-AI20)*AH22)</f>
        <v>540.044520748084</v>
      </c>
      <c r="AJ22" s="11" t="n">
        <f aca="false">AI22+Construction!AJ14*$F$9/$F$10*(AJ21+(AJ19-AJ20)*AI22)</f>
        <v>553.200580957696</v>
      </c>
      <c r="AK22" s="11" t="n">
        <f aca="false">AJ22+Construction!AK14*$F$9/$F$10*(AK21+(AK19-AK20)*AJ22)</f>
        <v>563.910684403538</v>
      </c>
      <c r="AL22" s="11" t="n">
        <f aca="false">AK22+Construction!AL14*$F$9/$F$10*(AL21+(AL19-AL20)*AK22)</f>
        <v>572.436489609046</v>
      </c>
      <c r="AM22" s="11" t="n">
        <f aca="false">AL22+Construction!AM14*$F$9/$F$10*(AM21+(AM19-AM20)*AL22)</f>
        <v>579.019523520274</v>
      </c>
      <c r="AN22" s="11" t="n">
        <f aca="false">AM22+Construction!AN14*$F$9/$F$10*(AN21+(AN19-AN20)*AM22)</f>
        <v>583.910055529328</v>
      </c>
      <c r="AO22" s="11" t="n">
        <f aca="false">AN22+Construction!AO14*$F$9/$F$10*(AO21+(AO19-AO20)*AN22)</f>
        <v>587.859926319279</v>
      </c>
      <c r="AP22" s="11" t="n">
        <f aca="false">AO22+Construction!AP14*$F$9/$F$10*(AP21+(AP19-AP20)*AO22)</f>
        <v>631.511634274969</v>
      </c>
      <c r="AQ22" s="11" t="n">
        <f aca="false">AP22+Construction!AQ14*$F$9/$F$10*(AQ21+(AQ19-AQ20)*AP22)</f>
        <v>633.517318711205</v>
      </c>
      <c r="AR22" s="11" t="n">
        <f aca="false">AQ22+Construction!AR14*$F$9/$F$10*(AR21+(AR19-AR20)*AQ22)</f>
        <v>635.882415185681</v>
      </c>
      <c r="AS22" s="11" t="n">
        <f aca="false">AR22+Construction!AS14*$F$9/$F$10*(AS21+(AS19-AS20)*AR22)</f>
        <v>635.882415185681</v>
      </c>
      <c r="AT22" s="11" t="n">
        <f aca="false">AS22+Construction!AT14*$F$9/$F$10*(AT21+(AT19-AT20)*AS22)</f>
        <v>635.882415185681</v>
      </c>
      <c r="AU22" s="11" t="n">
        <f aca="false">AT22+Construction!AU14*$F$9/$F$10*(AU21+(AU19-AU20)*AT22)</f>
        <v>635.882415185681</v>
      </c>
      <c r="AV22" s="11" t="n">
        <f aca="false">AU22+Construction!AV14*$F$9/$F$10*(AV21+(AV19-AV20)*AU22)</f>
        <v>635.882415185681</v>
      </c>
      <c r="AW22" s="11" t="n">
        <f aca="false">AV22+Construction!AW14*$F$9/$F$10*(AW21+(AW19-AW20)*AV22)</f>
        <v>635.882415185681</v>
      </c>
      <c r="AX22" s="11" t="n">
        <f aca="false">AW22+Construction!AX14*$F$9/$F$10*(AX21+(AX19-AX20)*AW22)</f>
        <v>635.882415185681</v>
      </c>
      <c r="AY22" s="11" t="n">
        <f aca="false">AX22+Construction!AY14*$F$9/$F$10*(AY21+(AY19-AY20)*AX22)</f>
        <v>635.882415185681</v>
      </c>
      <c r="AZ22" s="11" t="n">
        <f aca="false">AY22+Construction!AZ14*$F$9/$F$10*(AZ21+(AZ19-AZ20)*AY22)</f>
        <v>635.882415185681</v>
      </c>
      <c r="BA22" s="11" t="n">
        <f aca="false">AZ22+Construction!BA14*$F$9/$F$10*(BA21+(BA19-BA20)*AZ22)</f>
        <v>635.882415185681</v>
      </c>
      <c r="BB22" s="11" t="n">
        <f aca="false">BA22+Construction!BB14*$F$9/$F$10*(BB21+(BB19-BB20)*BA22)</f>
        <v>635.882415185681</v>
      </c>
      <c r="BC22" s="11" t="n">
        <f aca="false">BB22+Construction!BC14*$F$9/$F$10*(BC21+(BC19-BC20)*BB22)</f>
        <v>635.882415185681</v>
      </c>
      <c r="BD22" s="11" t="n">
        <f aca="false">BC22+Construction!BD14*$F$9/$F$10*(BD21+(BD19-BD20)*BC22)</f>
        <v>635.882415185681</v>
      </c>
      <c r="BE22" s="11" t="n">
        <f aca="false">BD22+Construction!BE14*$F$9/$F$10*(BE21+(BE19-BE20)*BD22)</f>
        <v>635.882415185681</v>
      </c>
      <c r="BF22" s="11" t="n">
        <f aca="false">BE22+Construction!BF14*$F$9/$F$10*(BF21+(BF19-BF20)*BE22)</f>
        <v>635.882415185681</v>
      </c>
      <c r="BG22" s="11" t="n">
        <f aca="false">BF22+Construction!BG14*$F$9/$F$10*(BG21+(BG19-BG20)*BF22)</f>
        <v>635.882415185681</v>
      </c>
      <c r="BH22" s="11" t="n">
        <f aca="false">BG22+Construction!BH14*$F$9/$F$10*(BH21+(BH19-BH20)*BG22)</f>
        <v>635.882415185681</v>
      </c>
      <c r="BI22" s="11" t="n">
        <f aca="false">BH22+Construction!BI14*$F$9/$F$10*(BI21+(BI19-BI20)*BH22)</f>
        <v>635.882415185681</v>
      </c>
      <c r="BJ22" s="11" t="n">
        <f aca="false">BI22+Construction!BJ14*$F$9/$F$10*(BJ21+(BJ19-BJ20)*BI22)</f>
        <v>635.882415185681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0.00932246850411913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0.00982579649361803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0.0103476404375495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0.0108543948707758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0.0113797913072085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0.0119090948981582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0.0123889146307161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0.0129218890161516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0.01343954689068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0.0139763430638164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0.014497712896278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0.0150398393301528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0.015583993190123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0.0161125630625409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0.0166607286584316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0.0171931953749219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0.017745402282973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0.0183006411680649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0.0188220289880693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0.0193813528649341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0.0199246877926284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0.0204881954335813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0.0210355945274096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0.0216038902858452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0.0221743577826383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0.0227285328159614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0.0233032981264983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0.0238616482286695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0.0244407437320131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0.0250225516120317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0.0255500744501565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0.0261361442955021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0.0267054876648769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0.0608263889125215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0.061524710328826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0.061524710328826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0.061524710328826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0.061524710328826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0.061524710328826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0.061524710328826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0.061524710328826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0.061524710328826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0.061524710328826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0.061524710328826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0.061524710328826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0.061524710328826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0.061524710328826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0.061524710328826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0.061524710328826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0.061524710328826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0.061524710328826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0.061524710328826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0.061524710328826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936.432450796817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693.496150463468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Funding!$F$8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28.9602663841459</v>
      </c>
      <c r="L28" s="11" t="n">
        <f aca="false">K61</f>
        <v>29.5662984768698</v>
      </c>
      <c r="M28" s="11" t="n">
        <f aca="false">L61</f>
        <v>30.3400721450488</v>
      </c>
      <c r="N28" s="11" t="n">
        <f aca="false">M61</f>
        <v>31.4358731236323</v>
      </c>
      <c r="O28" s="11" t="n">
        <f aca="false">N61</f>
        <v>33.0158054972776</v>
      </c>
      <c r="P28" s="11" t="n">
        <f aca="false">O61</f>
        <v>35.1950328445424</v>
      </c>
      <c r="Q28" s="11" t="n">
        <f aca="false">P61</f>
        <v>38.0391833208377</v>
      </c>
      <c r="R28" s="11" t="n">
        <f aca="false">Q61</f>
        <v>41.6506221772183</v>
      </c>
      <c r="S28" s="11" t="n">
        <f aca="false">R61</f>
        <v>46.0266516560796</v>
      </c>
      <c r="T28" s="11" t="n">
        <f aca="false">S61</f>
        <v>51.1813292344796</v>
      </c>
      <c r="U28" s="11" t="n">
        <f aca="false">T61</f>
        <v>57.0645315157606</v>
      </c>
      <c r="V28" s="11" t="n">
        <f aca="false">U61</f>
        <v>63.6467423333854</v>
      </c>
      <c r="W28" s="11" t="n">
        <f aca="false">V61</f>
        <v>70.8431904022166</v>
      </c>
      <c r="X28" s="11" t="n">
        <f aca="false">W61</f>
        <v>78.550262949433</v>
      </c>
      <c r="Y28" s="11" t="n">
        <f aca="false">X61</f>
        <v>86.6803828562698</v>
      </c>
      <c r="Z28" s="11" t="n">
        <f aca="false">Y61</f>
        <v>95.0918212512005</v>
      </c>
      <c r="AA28" s="11" t="n">
        <f aca="false">Z61</f>
        <v>103.679901897073</v>
      </c>
      <c r="AB28" s="11" t="n">
        <f aca="false">AA61</f>
        <v>112.589031966017</v>
      </c>
      <c r="AC28" s="11" t="n">
        <f aca="false">AB61</f>
        <v>121.086340672883</v>
      </c>
      <c r="AD28" s="11" t="n">
        <f aca="false">AC61</f>
        <v>129.382389555809</v>
      </c>
      <c r="AE28" s="11" t="n">
        <f aca="false">AD61</f>
        <v>137.312280692972</v>
      </c>
      <c r="AF28" s="11" t="n">
        <f aca="false">AE61</f>
        <v>144.794442267533</v>
      </c>
      <c r="AG28" s="11" t="n">
        <f aca="false">AF61</f>
        <v>151.69995012551</v>
      </c>
      <c r="AH28" s="11" t="n">
        <f aca="false">AG61</f>
        <v>157.982557197128</v>
      </c>
      <c r="AI28" s="11" t="n">
        <f aca="false">AH61</f>
        <v>163.566197792754</v>
      </c>
      <c r="AJ28" s="11" t="n">
        <f aca="false">AI61</f>
        <v>168.398476930785</v>
      </c>
      <c r="AK28" s="11" t="n">
        <f aca="false">AJ61</f>
        <v>172.506763660183</v>
      </c>
      <c r="AL28" s="11" t="n">
        <f aca="false">AK61</f>
        <v>175.876651840309</v>
      </c>
      <c r="AM28" s="11" t="n">
        <f aca="false">AL61</f>
        <v>178.597078548393</v>
      </c>
      <c r="AN28" s="11" t="n">
        <f aca="false">AM61</f>
        <v>180.735435855456</v>
      </c>
      <c r="AO28" s="11" t="n">
        <f aca="false">AN61</f>
        <v>182.350792309419</v>
      </c>
      <c r="AP28" s="11" t="n">
        <f aca="false">AO61</f>
        <v>183.700397992889</v>
      </c>
      <c r="AQ28" s="11" t="n">
        <f aca="false">AP61</f>
        <v>196.955855861614</v>
      </c>
      <c r="AR28" s="11" t="n">
        <f aca="false">AQ61</f>
        <v>207.143136946103</v>
      </c>
      <c r="AS28" s="11" t="n">
        <f aca="false">AR61</f>
        <v>208.04884513904</v>
      </c>
      <c r="AT28" s="11" t="n">
        <f aca="false">AS61</f>
        <v>208.04884513904</v>
      </c>
      <c r="AU28" s="11" t="n">
        <f aca="false">AT61</f>
        <v>208.04884513904</v>
      </c>
      <c r="AV28" s="11" t="n">
        <f aca="false">AU61</f>
        <v>208.04884513904</v>
      </c>
      <c r="AW28" s="11" t="n">
        <f aca="false">AV61</f>
        <v>208.04884513904</v>
      </c>
      <c r="AX28" s="11" t="n">
        <f aca="false">AW61</f>
        <v>208.04884513904</v>
      </c>
      <c r="AY28" s="11" t="n">
        <f aca="false">AX61</f>
        <v>208.04884513904</v>
      </c>
      <c r="AZ28" s="11" t="n">
        <f aca="false">AY61</f>
        <v>208.04884513904</v>
      </c>
      <c r="BA28" s="11" t="n">
        <f aca="false">AZ61</f>
        <v>208.04884513904</v>
      </c>
      <c r="BB28" s="11" t="n">
        <f aca="false">BA61</f>
        <v>208.04884513904</v>
      </c>
      <c r="BC28" s="11" t="n">
        <f aca="false">BB61</f>
        <v>208.04884513904</v>
      </c>
      <c r="BD28" s="11" t="n">
        <f aca="false">BC61</f>
        <v>208.04884513904</v>
      </c>
      <c r="BE28" s="11" t="n">
        <f aca="false">BD61</f>
        <v>208.04884513904</v>
      </c>
      <c r="BF28" s="11" t="n">
        <f aca="false">BE61</f>
        <v>208.04884513904</v>
      </c>
      <c r="BG28" s="11" t="n">
        <f aca="false">BF61</f>
        <v>208.04884513904</v>
      </c>
      <c r="BH28" s="11" t="n">
        <f aca="false">BG61</f>
        <v>208.04884513904</v>
      </c>
      <c r="BI28" s="11" t="n">
        <f aca="false">BH61</f>
        <v>208.04884513904</v>
      </c>
      <c r="BJ28" s="11" t="n">
        <f aca="false">BI61</f>
        <v>208.04884513904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21.237528681707</v>
      </c>
      <c r="L29" s="11" t="n">
        <f aca="false">K62</f>
        <v>21.6819522163712</v>
      </c>
      <c r="M29" s="11" t="n">
        <f aca="false">L62</f>
        <v>22.2493862397025</v>
      </c>
      <c r="N29" s="11" t="n">
        <f aca="false">M62</f>
        <v>23.052973623997</v>
      </c>
      <c r="O29" s="11" t="n">
        <f aca="false">N62</f>
        <v>24.2115906980036</v>
      </c>
      <c r="P29" s="11" t="n">
        <f aca="false">O62</f>
        <v>25.8096907526644</v>
      </c>
      <c r="Q29" s="11" t="n">
        <f aca="false">P62</f>
        <v>27.8954011019477</v>
      </c>
      <c r="R29" s="11" t="n">
        <f aca="false">Q62</f>
        <v>30.5437895966268</v>
      </c>
      <c r="S29" s="11" t="n">
        <f aca="false">R62</f>
        <v>33.7528778811251</v>
      </c>
      <c r="T29" s="11" t="n">
        <f aca="false">S62</f>
        <v>37.5329747719517</v>
      </c>
      <c r="U29" s="11" t="n">
        <f aca="false">T62</f>
        <v>41.8473231115578</v>
      </c>
      <c r="V29" s="11" t="n">
        <f aca="false">U62</f>
        <v>46.6742777111493</v>
      </c>
      <c r="W29" s="11" t="n">
        <f aca="false">V62</f>
        <v>51.9516729616255</v>
      </c>
      <c r="X29" s="11" t="n">
        <f aca="false">W62</f>
        <v>57.6035261629175</v>
      </c>
      <c r="Y29" s="11" t="n">
        <f aca="false">X62</f>
        <v>63.5656140945979</v>
      </c>
      <c r="Z29" s="11" t="n">
        <f aca="false">Y62</f>
        <v>69.7340022508804</v>
      </c>
      <c r="AA29" s="11" t="n">
        <f aca="false">Z62</f>
        <v>76.0319280578537</v>
      </c>
      <c r="AB29" s="11" t="n">
        <f aca="false">AA62</f>
        <v>82.5652901084125</v>
      </c>
      <c r="AC29" s="11" t="n">
        <f aca="false">AB62</f>
        <v>88.7966498267806</v>
      </c>
      <c r="AD29" s="11" t="n">
        <f aca="false">AC62</f>
        <v>94.8804190075931</v>
      </c>
      <c r="AE29" s="11" t="n">
        <f aca="false">AD62</f>
        <v>100.69567250818</v>
      </c>
      <c r="AF29" s="11" t="n">
        <f aca="false">AE62</f>
        <v>106.182590996191</v>
      </c>
      <c r="AG29" s="11" t="n">
        <f aca="false">AF62</f>
        <v>111.246630092041</v>
      </c>
      <c r="AH29" s="11" t="n">
        <f aca="false">AG62</f>
        <v>115.853875277894</v>
      </c>
      <c r="AI29" s="11" t="n">
        <f aca="false">AH62</f>
        <v>119.94854504802</v>
      </c>
      <c r="AJ29" s="11" t="n">
        <f aca="false">AI62</f>
        <v>123.492216415909</v>
      </c>
      <c r="AK29" s="11" t="n">
        <f aca="false">AJ62</f>
        <v>126.504960017467</v>
      </c>
      <c r="AL29" s="11" t="n">
        <f aca="false">AK62</f>
        <v>128.97621134956</v>
      </c>
      <c r="AM29" s="11" t="n">
        <f aca="false">AL62</f>
        <v>130.971190935488</v>
      </c>
      <c r="AN29" s="11" t="n">
        <f aca="false">AM62</f>
        <v>132.539319627334</v>
      </c>
      <c r="AO29" s="11" t="n">
        <f aca="false">AN62</f>
        <v>133.72391436024</v>
      </c>
      <c r="AP29" s="11" t="n">
        <f aca="false">AO62</f>
        <v>134.713625194785</v>
      </c>
      <c r="AQ29" s="11" t="n">
        <f aca="false">AP62</f>
        <v>144.434294298517</v>
      </c>
      <c r="AR29" s="11" t="n">
        <f aca="false">AQ62</f>
        <v>151.904967093809</v>
      </c>
      <c r="AS29" s="11" t="n">
        <f aca="false">AR62</f>
        <v>152.569153101963</v>
      </c>
      <c r="AT29" s="11" t="n">
        <f aca="false">AS62</f>
        <v>152.569153101963</v>
      </c>
      <c r="AU29" s="11" t="n">
        <f aca="false">AT62</f>
        <v>152.569153101963</v>
      </c>
      <c r="AV29" s="11" t="n">
        <f aca="false">AU62</f>
        <v>152.569153101963</v>
      </c>
      <c r="AW29" s="11" t="n">
        <f aca="false">AV62</f>
        <v>152.569153101963</v>
      </c>
      <c r="AX29" s="11" t="n">
        <f aca="false">AW62</f>
        <v>152.569153101963</v>
      </c>
      <c r="AY29" s="11" t="n">
        <f aca="false">AX62</f>
        <v>152.569153101963</v>
      </c>
      <c r="AZ29" s="11" t="n">
        <f aca="false">AY62</f>
        <v>152.569153101963</v>
      </c>
      <c r="BA29" s="11" t="n">
        <f aca="false">AZ62</f>
        <v>152.569153101963</v>
      </c>
      <c r="BB29" s="11" t="n">
        <f aca="false">BA62</f>
        <v>152.569153101963</v>
      </c>
      <c r="BC29" s="11" t="n">
        <f aca="false">BB62</f>
        <v>152.569153101963</v>
      </c>
      <c r="BD29" s="11" t="n">
        <f aca="false">BC62</f>
        <v>152.569153101963</v>
      </c>
      <c r="BE29" s="11" t="n">
        <f aca="false">BD62</f>
        <v>152.569153101963</v>
      </c>
      <c r="BF29" s="11" t="n">
        <f aca="false">BE62</f>
        <v>152.569153101963</v>
      </c>
      <c r="BG29" s="11" t="n">
        <f aca="false">BF62</f>
        <v>152.569153101963</v>
      </c>
      <c r="BH29" s="11" t="n">
        <f aca="false">BG62</f>
        <v>152.569153101963</v>
      </c>
      <c r="BI29" s="11" t="n">
        <f aca="false">BH62</f>
        <v>152.569153101963</v>
      </c>
      <c r="BJ29" s="11" t="n">
        <f aca="false">BI62</f>
        <v>152.569153101963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9.65342212804864</v>
      </c>
      <c r="L30" s="11" t="n">
        <f aca="false">K63</f>
        <v>9.85543282562326</v>
      </c>
      <c r="M30" s="11" t="n">
        <f aca="false">L63</f>
        <v>10.1133573816829</v>
      </c>
      <c r="N30" s="11" t="n">
        <f aca="false">M63</f>
        <v>10.4786243745441</v>
      </c>
      <c r="O30" s="11" t="n">
        <f aca="false">N63</f>
        <v>11.0052684990925</v>
      </c>
      <c r="P30" s="11" t="n">
        <f aca="false">O63</f>
        <v>11.7316776148475</v>
      </c>
      <c r="Q30" s="11" t="n">
        <f aca="false">P63</f>
        <v>12.6797277736126</v>
      </c>
      <c r="R30" s="11" t="n">
        <f aca="false">Q63</f>
        <v>13.8835407257394</v>
      </c>
      <c r="S30" s="11" t="n">
        <f aca="false">R63</f>
        <v>15.3422172186932</v>
      </c>
      <c r="T30" s="11" t="n">
        <f aca="false">S63</f>
        <v>17.0604430781599</v>
      </c>
      <c r="U30" s="11" t="n">
        <f aca="false">T63</f>
        <v>19.0215105052535</v>
      </c>
      <c r="V30" s="11" t="n">
        <f aca="false">U63</f>
        <v>21.2155807777951</v>
      </c>
      <c r="W30" s="11" t="n">
        <f aca="false">V63</f>
        <v>23.6143968007389</v>
      </c>
      <c r="X30" s="11" t="n">
        <f aca="false">W63</f>
        <v>26.1834209831443</v>
      </c>
      <c r="Y30" s="11" t="n">
        <f aca="false">X63</f>
        <v>28.8934609520899</v>
      </c>
      <c r="Z30" s="11" t="n">
        <f aca="false">Y63</f>
        <v>31.6972737504002</v>
      </c>
      <c r="AA30" s="11" t="n">
        <f aca="false">Z63</f>
        <v>34.5599672990244</v>
      </c>
      <c r="AB30" s="11" t="n">
        <f aca="false">AA63</f>
        <v>37.5296773220057</v>
      </c>
      <c r="AC30" s="11" t="n">
        <f aca="false">AB63</f>
        <v>40.3621135576275</v>
      </c>
      <c r="AD30" s="11" t="n">
        <f aca="false">AC63</f>
        <v>43.1274631852696</v>
      </c>
      <c r="AE30" s="11" t="n">
        <f aca="false">AD63</f>
        <v>45.7707602309908</v>
      </c>
      <c r="AF30" s="11" t="n">
        <f aca="false">AE63</f>
        <v>48.2648140891778</v>
      </c>
      <c r="AG30" s="11" t="n">
        <f aca="false">AF63</f>
        <v>50.5666500418368</v>
      </c>
      <c r="AH30" s="11" t="n">
        <f aca="false">AG63</f>
        <v>52.6608523990427</v>
      </c>
      <c r="AI30" s="11" t="n">
        <f aca="false">AH63</f>
        <v>54.5220659309182</v>
      </c>
      <c r="AJ30" s="11" t="n">
        <f aca="false">AI63</f>
        <v>56.1328256435951</v>
      </c>
      <c r="AK30" s="11" t="n">
        <f aca="false">AJ63</f>
        <v>57.5022545533942</v>
      </c>
      <c r="AL30" s="11" t="n">
        <f aca="false">AK63</f>
        <v>58.6255506134362</v>
      </c>
      <c r="AM30" s="11" t="n">
        <f aca="false">AL63</f>
        <v>59.5323595161311</v>
      </c>
      <c r="AN30" s="11" t="n">
        <f aca="false">AM63</f>
        <v>60.2451452851518</v>
      </c>
      <c r="AO30" s="11" t="n">
        <f aca="false">AN63</f>
        <v>60.7835974364729</v>
      </c>
      <c r="AP30" s="11" t="n">
        <f aca="false">AO63</f>
        <v>61.2334659976295</v>
      </c>
      <c r="AQ30" s="11" t="n">
        <f aca="false">AP63</f>
        <v>65.6519519538714</v>
      </c>
      <c r="AR30" s="11" t="n">
        <f aca="false">AQ63</f>
        <v>69.0477123153678</v>
      </c>
      <c r="AS30" s="11" t="n">
        <f aca="false">AR63</f>
        <v>69.3496150463468</v>
      </c>
      <c r="AT30" s="11" t="n">
        <f aca="false">AS63</f>
        <v>69.3496150463468</v>
      </c>
      <c r="AU30" s="11" t="n">
        <f aca="false">AT63</f>
        <v>69.3496150463468</v>
      </c>
      <c r="AV30" s="11" t="n">
        <f aca="false">AU63</f>
        <v>69.3496150463468</v>
      </c>
      <c r="AW30" s="11" t="n">
        <f aca="false">AV63</f>
        <v>69.3496150463468</v>
      </c>
      <c r="AX30" s="11" t="n">
        <f aca="false">AW63</f>
        <v>69.3496150463468</v>
      </c>
      <c r="AY30" s="11" t="n">
        <f aca="false">AX63</f>
        <v>69.3496150463468</v>
      </c>
      <c r="AZ30" s="11" t="n">
        <f aca="false">AY63</f>
        <v>69.3496150463468</v>
      </c>
      <c r="BA30" s="11" t="n">
        <f aca="false">AZ63</f>
        <v>69.3496150463468</v>
      </c>
      <c r="BB30" s="11" t="n">
        <f aca="false">BA63</f>
        <v>69.3496150463468</v>
      </c>
      <c r="BC30" s="11" t="n">
        <f aca="false">BB63</f>
        <v>69.3496150463468</v>
      </c>
      <c r="BD30" s="11" t="n">
        <f aca="false">BC63</f>
        <v>69.3496150463468</v>
      </c>
      <c r="BE30" s="11" t="n">
        <f aca="false">BD63</f>
        <v>69.3496150463468</v>
      </c>
      <c r="BF30" s="11" t="n">
        <f aca="false">BE63</f>
        <v>69.3496150463468</v>
      </c>
      <c r="BG30" s="11" t="n">
        <f aca="false">BF63</f>
        <v>69.3496150463468</v>
      </c>
      <c r="BH30" s="11" t="n">
        <f aca="false">BG63</f>
        <v>69.3496150463468</v>
      </c>
      <c r="BI30" s="11" t="n">
        <f aca="false">BH63</f>
        <v>69.3496150463468</v>
      </c>
      <c r="BJ30" s="11" t="n">
        <f aca="false">BI63</f>
        <v>69.3496150463468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36.6830040865848</v>
      </c>
      <c r="L31" s="11" t="n">
        <f aca="false">K64</f>
        <v>37.4506447373684</v>
      </c>
      <c r="M31" s="11" t="n">
        <f aca="false">L64</f>
        <v>38.4307580503952</v>
      </c>
      <c r="N31" s="11" t="n">
        <f aca="false">M64</f>
        <v>39.8187726232676</v>
      </c>
      <c r="O31" s="11" t="n">
        <f aca="false">N64</f>
        <v>41.8200202965517</v>
      </c>
      <c r="P31" s="11" t="n">
        <f aca="false">O64</f>
        <v>44.5803749364204</v>
      </c>
      <c r="Q31" s="11" t="n">
        <f aca="false">P64</f>
        <v>48.1829655397278</v>
      </c>
      <c r="R31" s="11" t="n">
        <f aca="false">Q64</f>
        <v>52.7574547578099</v>
      </c>
      <c r="S31" s="11" t="n">
        <f aca="false">R64</f>
        <v>58.3004254310342</v>
      </c>
      <c r="T31" s="11" t="n">
        <f aca="false">S64</f>
        <v>64.8296836970075</v>
      </c>
      <c r="U31" s="11" t="n">
        <f aca="false">T64</f>
        <v>72.2817399199634</v>
      </c>
      <c r="V31" s="11" t="n">
        <f aca="false">U64</f>
        <v>80.6192069556215</v>
      </c>
      <c r="W31" s="11" t="n">
        <f aca="false">V64</f>
        <v>89.7347078428077</v>
      </c>
      <c r="X31" s="11" t="n">
        <f aca="false">W64</f>
        <v>99.4969997359484</v>
      </c>
      <c r="Y31" s="11" t="n">
        <f aca="false">X64</f>
        <v>109.795151617942</v>
      </c>
      <c r="Z31" s="11" t="n">
        <f aca="false">Y64</f>
        <v>120.449640251521</v>
      </c>
      <c r="AA31" s="11" t="n">
        <f aca="false">Z64</f>
        <v>131.327875736293</v>
      </c>
      <c r="AB31" s="11" t="n">
        <f aca="false">AA64</f>
        <v>142.612773823622</v>
      </c>
      <c r="AC31" s="11" t="n">
        <f aca="false">AB64</f>
        <v>153.376031518985</v>
      </c>
      <c r="AD31" s="11" t="n">
        <f aca="false">AC64</f>
        <v>163.884360104025</v>
      </c>
      <c r="AE31" s="11" t="n">
        <f aca="false">AD64</f>
        <v>173.928888877765</v>
      </c>
      <c r="AF31" s="11" t="n">
        <f aca="false">AE64</f>
        <v>183.406293538876</v>
      </c>
      <c r="AG31" s="11" t="n">
        <f aca="false">AF64</f>
        <v>192.15327015898</v>
      </c>
      <c r="AH31" s="11" t="n">
        <f aca="false">AG64</f>
        <v>200.111239116362</v>
      </c>
      <c r="AI31" s="11" t="n">
        <f aca="false">AH64</f>
        <v>207.183850537489</v>
      </c>
      <c r="AJ31" s="11" t="n">
        <f aca="false">AI64</f>
        <v>213.304737445661</v>
      </c>
      <c r="AK31" s="11" t="n">
        <f aca="false">AJ64</f>
        <v>218.508567302898</v>
      </c>
      <c r="AL31" s="11" t="n">
        <f aca="false">AK64</f>
        <v>222.777092331058</v>
      </c>
      <c r="AM31" s="11" t="n">
        <f aca="false">AL64</f>
        <v>226.222966161298</v>
      </c>
      <c r="AN31" s="11" t="n">
        <f aca="false">AM64</f>
        <v>228.931552083577</v>
      </c>
      <c r="AO31" s="11" t="n">
        <f aca="false">AN64</f>
        <v>230.977670258597</v>
      </c>
      <c r="AP31" s="11" t="n">
        <f aca="false">AO64</f>
        <v>232.687170790992</v>
      </c>
      <c r="AQ31" s="11" t="n">
        <f aca="false">AP64</f>
        <v>249.477417424711</v>
      </c>
      <c r="AR31" s="11" t="n">
        <f aca="false">AQ64</f>
        <v>262.381306798398</v>
      </c>
      <c r="AS31" s="11" t="n">
        <f aca="false">AR64</f>
        <v>263.528537176118</v>
      </c>
      <c r="AT31" s="11" t="n">
        <f aca="false">AS64</f>
        <v>263.528537176118</v>
      </c>
      <c r="AU31" s="11" t="n">
        <f aca="false">AT64</f>
        <v>263.528537176118</v>
      </c>
      <c r="AV31" s="11" t="n">
        <f aca="false">AU64</f>
        <v>263.528537176118</v>
      </c>
      <c r="AW31" s="11" t="n">
        <f aca="false">AV64</f>
        <v>263.528537176118</v>
      </c>
      <c r="AX31" s="11" t="n">
        <f aca="false">AW64</f>
        <v>263.528537176118</v>
      </c>
      <c r="AY31" s="11" t="n">
        <f aca="false">AX64</f>
        <v>263.528537176118</v>
      </c>
      <c r="AZ31" s="11" t="n">
        <f aca="false">AY64</f>
        <v>263.528537176118</v>
      </c>
      <c r="BA31" s="11" t="n">
        <f aca="false">AZ64</f>
        <v>263.528537176118</v>
      </c>
      <c r="BB31" s="11" t="n">
        <f aca="false">BA64</f>
        <v>263.528537176118</v>
      </c>
      <c r="BC31" s="11" t="n">
        <f aca="false">BB64</f>
        <v>263.528537176118</v>
      </c>
      <c r="BD31" s="11" t="n">
        <f aca="false">BC64</f>
        <v>263.528537176118</v>
      </c>
      <c r="BE31" s="11" t="n">
        <f aca="false">BD64</f>
        <v>263.528537176118</v>
      </c>
      <c r="BF31" s="11" t="n">
        <f aca="false">BE64</f>
        <v>263.528537176118</v>
      </c>
      <c r="BG31" s="11" t="n">
        <f aca="false">BF64</f>
        <v>263.528537176118</v>
      </c>
      <c r="BH31" s="11" t="n">
        <f aca="false">BG64</f>
        <v>263.528537176118</v>
      </c>
      <c r="BI31" s="11" t="n">
        <f aca="false">BH64</f>
        <v>263.528537176118</v>
      </c>
      <c r="BJ31" s="11" t="n">
        <f aca="false">BI64</f>
        <v>263.528537176118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4.72955008490317E-014</v>
      </c>
      <c r="AT32" s="11" t="n">
        <f aca="false">AS65</f>
        <v>4.72955008490317E-014</v>
      </c>
      <c r="AU32" s="11" t="n">
        <f aca="false">AT65</f>
        <v>4.72955008490317E-014</v>
      </c>
      <c r="AV32" s="11" t="n">
        <f aca="false">AU65</f>
        <v>4.72955008490317E-014</v>
      </c>
      <c r="AW32" s="11" t="n">
        <f aca="false">AV65</f>
        <v>4.72955008490317E-014</v>
      </c>
      <c r="AX32" s="11" t="n">
        <f aca="false">AW65</f>
        <v>4.72955008490317E-014</v>
      </c>
      <c r="AY32" s="11" t="n">
        <f aca="false">AX65</f>
        <v>4.72955008490317E-014</v>
      </c>
      <c r="AZ32" s="11" t="n">
        <f aca="false">AY65</f>
        <v>4.72955008490317E-014</v>
      </c>
      <c r="BA32" s="11" t="n">
        <f aca="false">AZ65</f>
        <v>4.72955008490317E-014</v>
      </c>
      <c r="BB32" s="11" t="n">
        <f aca="false">BA65</f>
        <v>4.72955008490317E-014</v>
      </c>
      <c r="BC32" s="11" t="n">
        <f aca="false">BB65</f>
        <v>4.72955008490317E-014</v>
      </c>
      <c r="BD32" s="11" t="n">
        <f aca="false">BC65</f>
        <v>4.72955008490317E-014</v>
      </c>
      <c r="BE32" s="11" t="n">
        <f aca="false">BD65</f>
        <v>4.72955008490317E-014</v>
      </c>
      <c r="BF32" s="11" t="n">
        <f aca="false">BE65</f>
        <v>4.72955008490317E-014</v>
      </c>
      <c r="BG32" s="11" t="n">
        <f aca="false">BF65</f>
        <v>4.72955008490317E-014</v>
      </c>
      <c r="BH32" s="11" t="n">
        <f aca="false">BG65</f>
        <v>4.72955008490317E-014</v>
      </c>
      <c r="BI32" s="11" t="n">
        <f aca="false">BH65</f>
        <v>4.72955008490317E-014</v>
      </c>
      <c r="BJ32" s="11" t="n">
        <f aca="false">BI65</f>
        <v>4.72955008490317E-014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13.5751766039415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0.0933968590888706</v>
      </c>
      <c r="L33" s="11" t="n">
        <f aca="false">Construction!L14*L28*(Construction!L17+Inputs!$F$77)/100*Construction!L11/360*1</f>
        <v>0.0985296896741686</v>
      </c>
      <c r="M33" s="11" t="n">
        <f aca="false">Construction!M14*M28*(Construction!M17+Inputs!$F$77)/100*Construction!M11/360*1</f>
        <v>0.0978467326677825</v>
      </c>
      <c r="N33" s="11" t="n">
        <f aca="false">Construction!N14*N28*(Construction!N17+Inputs!$F$77)/100*Construction!N11/360*1</f>
        <v>0.104760047184505</v>
      </c>
      <c r="O33" s="11" t="n">
        <f aca="false">Construction!O14*O28*(Construction!O17+Inputs!$F$77)/100*Construction!O11/360*1</f>
        <v>0.117701346597795</v>
      </c>
      <c r="P33" s="11" t="n">
        <f aca="false">Construction!P14*P28*(Construction!P17+Inputs!$F$77)/100*Construction!P11/360*1</f>
        <v>0.113328005759427</v>
      </c>
      <c r="Q33" s="11" t="n">
        <f aca="false">Construction!Q14*Q28*(Construction!Q17+Inputs!$F$77)/100*Construction!Q11/360*1</f>
        <v>0.135609688538786</v>
      </c>
      <c r="R33" s="11" t="n">
        <f aca="false">Construction!R14*R28*(Construction!R17+Inputs!$F$77)/100*Construction!R11/360*1</f>
        <v>0.143694646511403</v>
      </c>
      <c r="S33" s="11" t="n">
        <f aca="false">Construction!S14*S28*(Construction!S17+Inputs!$F$77)/100*Construction!S11/360*1</f>
        <v>0.164085013153924</v>
      </c>
      <c r="T33" s="11" t="n">
        <f aca="false">Construction!T14*T28*(Construction!T17+Inputs!$F$77)/100*Construction!T11/360*1</f>
        <v>0.176575585858955</v>
      </c>
      <c r="U33" s="11" t="n">
        <f aca="false">Construction!U14*U28*(Construction!U17+Inputs!$F$77)/100*Construction!U11/360*1</f>
        <v>0.210805890174472</v>
      </c>
      <c r="V33" s="11" t="n">
        <f aca="false">Construction!V14*V28*(Construction!V17+Inputs!$F$77)/100*Construction!V11/360*1</f>
        <v>0.235121673969915</v>
      </c>
      <c r="W33" s="11" t="n">
        <f aca="false">Construction!W14*W28*(Construction!W17+Inputs!$F$77)/100*Construction!W11/360*1</f>
        <v>0.253264405687924</v>
      </c>
      <c r="X33" s="11" t="n">
        <f aca="false">Construction!X14*X28*(Construction!X17+Inputs!$F$77)/100*Construction!X11/360*1</f>
        <v>0.290177763045697</v>
      </c>
      <c r="Y33" s="11" t="n">
        <f aca="false">Construction!Y14*Y28*(Construction!Y17+Inputs!$F$77)/100*Construction!Y11/360*1</f>
        <v>0.309882368711165</v>
      </c>
      <c r="Z33" s="11" t="n">
        <f aca="false">Construction!Z14*Z28*(Construction!Z17+Inputs!$F$77)/100*Construction!Z11/360*1</f>
        <v>0.35128503633881</v>
      </c>
      <c r="AA33" s="11" t="n">
        <f aca="false">Construction!AA14*AA28*(Construction!AA17+Inputs!$F$77)/100*Construction!AA11/360*1</f>
        <v>0.390153230833236</v>
      </c>
      <c r="AB33" s="11" t="n">
        <f aca="false">Construction!AB14*AB28*(Construction!AB17+Inputs!$F$77)/100*Construction!AB11/360*1</f>
        <v>0.396344667251482</v>
      </c>
      <c r="AC33" s="11" t="n">
        <f aca="false">Construction!AC14*AC28*(Construction!AC17+Inputs!$F$77)/100*Construction!AC11/360*1</f>
        <v>0.455654626970984</v>
      </c>
      <c r="AD33" s="11" t="n">
        <f aca="false">Construction!AD14*AD28*(Construction!AD17+Inputs!$F$77)/100*Construction!AD11/360*1</f>
        <v>0.471167535299071</v>
      </c>
      <c r="AE33" s="11" t="n">
        <f aca="false">Construction!AE14*AE28*(Construction!AE17+Inputs!$F$77)/100*Construction!AE11/360*1</f>
        <v>0.516713740707694</v>
      </c>
      <c r="AF33" s="11" t="n">
        <f aca="false">Construction!AF14*AF28*(Construction!AF17+Inputs!$F$77)/100*Construction!AF11/360*1</f>
        <v>0.527293093924267</v>
      </c>
      <c r="AG33" s="11" t="n">
        <f aca="false">Construction!AG14*AG28*(Construction!AG17+Inputs!$F$77)/100*Construction!AG11/360*1</f>
        <v>0.576080560601626</v>
      </c>
      <c r="AH33" s="11" t="n">
        <f aca="false">Construction!AH14*AH28*(Construction!AH17+Inputs!$F$77)/100*Construction!AH11/360*1</f>
        <v>0.599938760956094</v>
      </c>
      <c r="AI33" s="11" t="n">
        <f aca="false">Construction!AI14*AI28*(Construction!AI17+Inputs!$F$77)/100*Construction!AI11/360*1</f>
        <v>0.601105776888373</v>
      </c>
      <c r="AJ33" s="11" t="n">
        <f aca="false">Construction!AJ14*AJ28*(Construction!AJ17+Inputs!$F$77)/100*Construction!AJ11/360*1</f>
        <v>0.639493216144657</v>
      </c>
      <c r="AK33" s="11" t="n">
        <f aca="false">Construction!AK14*AK28*(Construction!AK17+Inputs!$F$77)/100*Construction!AK11/360*1</f>
        <v>0.633962356451171</v>
      </c>
      <c r="AL33" s="11" t="n">
        <f aca="false">Construction!AL14*AL28*(Construction!AL17+Inputs!$F$77)/100*Construction!AL11/360*1</f>
        <v>0.667891585363572</v>
      </c>
      <c r="AM33" s="11" t="n">
        <f aca="false">Construction!AM14*AM28*(Construction!AM17+Inputs!$F$77)/100*Construction!AM11/360*1</f>
        <v>0.682836163650024</v>
      </c>
      <c r="AN33" s="11" t="n">
        <f aca="false">Construction!AN14*AN28*(Construction!AN17+Inputs!$F$77)/100*Construction!AN11/360*1</f>
        <v>0.624139705154173</v>
      </c>
      <c r="AO33" s="11" t="n">
        <f aca="false">Construction!AO14*AO28*(Construction!AO17+Inputs!$F$77)/100*Construction!AO11/360*1</f>
        <v>0.697187862596344</v>
      </c>
      <c r="AP33" s="11" t="n">
        <f aca="false">Construction!AP14*AP28*(Construction!AP17+Inputs!$F$77)/100*Construction!AP11/360*1</f>
        <v>0.679691472573688</v>
      </c>
      <c r="AQ33" s="11" t="n">
        <f aca="false">Construction!AQ14*AQ28*(Construction!AQ17+Inputs!$F$77)/100*Construction!AQ11/360*1</f>
        <v>0.753027888910905</v>
      </c>
      <c r="AR33" s="11" t="n">
        <f aca="false">Construction!AR14*AR28*(Construction!AR17+Inputs!$F$77)/100*Construction!AR11/360*1</f>
        <v>0.766429606700583</v>
      </c>
      <c r="AS33" s="11" t="n">
        <f aca="false">Construction!AS14*AS28*(Construction!AS17+Inputs!$F$77)/100*Construction!AS11/360*1</f>
        <v>0</v>
      </c>
      <c r="AT33" s="11" t="n">
        <f aca="false">Construction!AT14*AT28*(Construction!AT17+Inputs!$F$77)/100*Construction!AT11/360*1</f>
        <v>0</v>
      </c>
      <c r="AU33" s="11" t="n">
        <f aca="false">Construction!AU14*AU28*(Construction!AU17+Inputs!$F$77)/100*Construction!AU11/360*1</f>
        <v>0</v>
      </c>
      <c r="AV33" s="11" t="n">
        <f aca="false">Construction!AV14*AV28*(Construction!AV17+Inputs!$F$77)/100*Construction!AV11/360*1</f>
        <v>0</v>
      </c>
      <c r="AW33" s="11" t="n">
        <f aca="false">Construction!AW14*AW28*(Construction!AW17+Inputs!$F$77)/100*Construction!AW11/360*1</f>
        <v>0</v>
      </c>
      <c r="AX33" s="11" t="n">
        <f aca="false">Construction!AX14*AX28*(Construction!AX17+Inputs!$F$77)/100*Construction!AX11/360*1</f>
        <v>0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15.2058774322282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0.10919629330511</v>
      </c>
      <c r="L34" s="11" t="n">
        <f aca="false">Construction!L14*L29*(Construction!L17+Inputs!$F$78)/100*Construction!L11/360*1</f>
        <v>0.115197416678481</v>
      </c>
      <c r="M34" s="11" t="n">
        <f aca="false">Construction!M14*M29*(Construction!M17+Inputs!$F$78)/100*Construction!M11/360*1</f>
        <v>0.11439892758247</v>
      </c>
      <c r="N34" s="11" t="n">
        <f aca="false">Construction!N14*N29*(Construction!N17+Inputs!$F$78)/100*Construction!N11/360*1</f>
        <v>0.122481729585053</v>
      </c>
      <c r="O34" s="11" t="n">
        <f aca="false">Construction!O14*O29*(Construction!O17+Inputs!$F$78)/100*Construction!O11/360*1</f>
        <v>0.134266721304151</v>
      </c>
      <c r="P34" s="11" t="n">
        <f aca="false">Construction!P14*P29*(Construction!P17+Inputs!$F$78)/100*Construction!P11/360*1</f>
        <v>0.129277873236679</v>
      </c>
      <c r="Q34" s="11" t="n">
        <f aca="false">Construction!Q14*Q29*(Construction!Q17+Inputs!$F$78)/100*Construction!Q11/360*1</f>
        <v>0.154695496555356</v>
      </c>
      <c r="R34" s="11" t="n">
        <f aca="false">Construction!R14*R29*(Construction!R17+Inputs!$F$78)/100*Construction!R11/360*1</f>
        <v>0.163918337501897</v>
      </c>
      <c r="S34" s="11" t="n">
        <f aca="false">Construction!S14*S29*(Construction!S17+Inputs!$F$78)/100*Construction!S11/360*1</f>
        <v>0.187178459449661</v>
      </c>
      <c r="T34" s="11" t="n">
        <f aca="false">Construction!T14*T29*(Construction!T17+Inputs!$F$78)/100*Construction!T11/360*1</f>
        <v>0.201426964609474</v>
      </c>
      <c r="U34" s="11" t="n">
        <f aca="false">Construction!U14*U29*(Construction!U17+Inputs!$F$78)/100*Construction!U11/360*1</f>
        <v>0.23747193440167</v>
      </c>
      <c r="V34" s="11" t="n">
        <f aca="false">Construction!V14*V29*(Construction!V17+Inputs!$F$78)/100*Construction!V11/360*1</f>
        <v>0.26486356093363</v>
      </c>
      <c r="W34" s="11" t="n">
        <f aca="false">Construction!W14*W29*(Construction!W17+Inputs!$F$78)/100*Construction!W11/360*1</f>
        <v>0.285301270680927</v>
      </c>
      <c r="X34" s="11" t="n">
        <f aca="false">Construction!X14*X29*(Construction!X17+Inputs!$F$78)/100*Construction!X11/360*1</f>
        <v>0.326884009995067</v>
      </c>
      <c r="Y34" s="11" t="n">
        <f aca="false">Construction!Y14*Y29*(Construction!Y17+Inputs!$F$78)/100*Construction!Y11/360*1</f>
        <v>0.3490811640695</v>
      </c>
      <c r="Z34" s="11" t="n">
        <f aca="false">Construction!Z14*Z29*(Construction!Z17+Inputs!$F$78)/100*Construction!Z11/360*1</f>
        <v>0.395721092217565</v>
      </c>
      <c r="AA34" s="11" t="n">
        <f aca="false">Construction!AA14*AA29*(Construction!AA17+Inputs!$F$78)/100*Construction!AA11/360*1</f>
        <v>0.436697826792289</v>
      </c>
      <c r="AB34" s="11" t="n">
        <f aca="false">Construction!AB14*AB29*(Construction!AB17+Inputs!$F$78)/100*Construction!AB11/360*1</f>
        <v>0.443627890713062</v>
      </c>
      <c r="AC34" s="11" t="n">
        <f aca="false">Construction!AC14*AC29*(Construction!AC17+Inputs!$F$78)/100*Construction!AC11/360*1</f>
        <v>0.51001342457454</v>
      </c>
      <c r="AD34" s="11" t="n">
        <f aca="false">Construction!AD14*AD29*(Construction!AD17+Inputs!$F$78)/100*Construction!AD11/360*1</f>
        <v>0.527376995650538</v>
      </c>
      <c r="AE34" s="11" t="n">
        <f aca="false">Construction!AE14*AE29*(Construction!AE17+Inputs!$F$78)/100*Construction!AE11/360*1</f>
        <v>0.578356783458786</v>
      </c>
      <c r="AF34" s="11" t="n">
        <f aca="false">Construction!AF14*AF29*(Construction!AF17+Inputs!$F$78)/100*Construction!AF11/360*1</f>
        <v>0.590198234953829</v>
      </c>
      <c r="AG34" s="11" t="n">
        <f aca="false">Construction!AG14*AG29*(Construction!AG17+Inputs!$F$78)/100*Construction!AG11/360*1</f>
        <v>0.642789209040151</v>
      </c>
      <c r="AH34" s="11" t="n">
        <f aca="false">Construction!AH14*AH29*(Construction!AH17+Inputs!$F$78)/100*Construction!AH11/360*1</f>
        <v>0.669410127682076</v>
      </c>
      <c r="AI34" s="11" t="n">
        <f aca="false">Construction!AI14*AI29*(Construction!AI17+Inputs!$F$78)/100*Construction!AI11/360*1</f>
        <v>0.670712281060178</v>
      </c>
      <c r="AJ34" s="11" t="n">
        <f aca="false">Construction!AJ14*AJ29*(Construction!AJ17+Inputs!$F$78)/100*Construction!AJ11/360*1</f>
        <v>0.713544887129813</v>
      </c>
      <c r="AK34" s="11" t="n">
        <f aca="false">Construction!AK14*AK29*(Construction!AK17+Inputs!$F$78)/100*Construction!AK11/360*1</f>
        <v>0.707373568097671</v>
      </c>
      <c r="AL34" s="11" t="n">
        <f aca="false">Construction!AL14*AL29*(Construction!AL17+Inputs!$F$78)/100*Construction!AL11/360*1</f>
        <v>0.745231714522831</v>
      </c>
      <c r="AM34" s="11" t="n">
        <f aca="false">Construction!AM14*AM29*(Construction!AM17+Inputs!$F$78)/100*Construction!AM11/360*1</f>
        <v>0.760142239835027</v>
      </c>
      <c r="AN34" s="11" t="n">
        <f aca="false">Construction!AN14*AN29*(Construction!AN17+Inputs!$F$78)/100*Construction!AN11/360*1</f>
        <v>0.694800566668624</v>
      </c>
      <c r="AO34" s="11" t="n">
        <f aca="false">Construction!AO14*AO29*(Construction!AO17+Inputs!$F$78)/100*Construction!AO11/360*1</f>
        <v>0.776118740734128</v>
      </c>
      <c r="AP34" s="11" t="n">
        <f aca="false">Construction!AP14*AP29*(Construction!AP17+Inputs!$F$78)/100*Construction!AP11/360*1</f>
        <v>0.756641528177375</v>
      </c>
      <c r="AQ34" s="11" t="n">
        <f aca="false">Construction!AQ14*AQ29*(Construction!AQ17+Inputs!$F$78)/100*Construction!AQ11/360*1</f>
        <v>0.838280595853671</v>
      </c>
      <c r="AR34" s="11" t="n">
        <f aca="false">Construction!AR14*AR29*(Construction!AR17+Inputs!$F$78)/100*Construction!AR11/360*1</f>
        <v>0.853199565176895</v>
      </c>
      <c r="AS34" s="11" t="n">
        <f aca="false">Construction!AS14*AS29*(Construction!AS17+Inputs!$F$78)/100*Construction!AS11/360*1</f>
        <v>0</v>
      </c>
      <c r="AT34" s="11" t="n">
        <f aca="false">Construction!AT14*AT29*(Construction!AT17+Inputs!$F$78)/100*Construction!AT11/360*1</f>
        <v>0</v>
      </c>
      <c r="AU34" s="11" t="n">
        <f aca="false">Construction!AU14*AU29*(Construction!AU17+Inputs!$F$78)/100*Construction!AU11/360*1</f>
        <v>0</v>
      </c>
      <c r="AV34" s="11" t="n">
        <f aca="false">Construction!AV14*AV29*(Construction!AV17+Inputs!$F$78)/100*Construction!AV11/360*1</f>
        <v>0</v>
      </c>
      <c r="AW34" s="11" t="n">
        <f aca="false">Construction!AW14*AW29*(Construction!AW17+Inputs!$F$78)/100*Construction!AW11/360*1</f>
        <v>0</v>
      </c>
      <c r="AX34" s="11" t="n">
        <f aca="false">Construction!AX14*AX29*(Construction!AX17+Inputs!$F$78)/100*Construction!AX11/360*1</f>
        <v>0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6.65233816471483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0.04762354916504</v>
      </c>
      <c r="L35" s="11" t="n">
        <f aca="false">Construction!L14*L30*(Construction!L17+Inputs!$F$79)/100*Construction!L11/360*1</f>
        <v>0.0502408064488439</v>
      </c>
      <c r="M35" s="11" t="n">
        <f aca="false">Construction!M14*M30*(Construction!M17+Inputs!$F$79)/100*Construction!M11/360*1</f>
        <v>0.0498925630829692</v>
      </c>
      <c r="N35" s="11" t="n">
        <f aca="false">Construction!N14*N30*(Construction!N17+Inputs!$F$79)/100*Construction!N11/360*1</f>
        <v>0.0534176984782314</v>
      </c>
      <c r="O35" s="11" t="n">
        <f aca="false">Construction!O14*O30*(Construction!O17+Inputs!$F$79)/100*Construction!O11/360*1</f>
        <v>0.0586611381191908</v>
      </c>
      <c r="P35" s="11" t="n">
        <f aca="false">Construction!P14*P30*(Construction!P17+Inputs!$F$79)/100*Construction!P11/360*1</f>
        <v>0.0564815101168157</v>
      </c>
      <c r="Q35" s="11" t="n">
        <f aca="false">Construction!Q14*Q30*(Construction!Q17+Inputs!$F$79)/100*Construction!Q11/360*1</f>
        <v>0.0675864711799588</v>
      </c>
      <c r="R35" s="11" t="n">
        <f aca="false">Construction!R14*R30*(Construction!R17+Inputs!$F$79)/100*Construction!R11/360*1</f>
        <v>0.0716159309102726</v>
      </c>
      <c r="S35" s="11" t="n">
        <f aca="false">Construction!S14*S30*(Construction!S17+Inputs!$F$79)/100*Construction!S11/360*1</f>
        <v>0.08177827950264</v>
      </c>
      <c r="T35" s="11" t="n">
        <f aca="false">Construction!T14*T30*(Construction!T17+Inputs!$F$79)/100*Construction!T11/360*1</f>
        <v>0.0880034522115079</v>
      </c>
      <c r="U35" s="11" t="n">
        <f aca="false">Construction!U14*U30*(Construction!U17+Inputs!$F$79)/100*Construction!U11/360*1</f>
        <v>0.103846879852848</v>
      </c>
      <c r="V35" s="11" t="n">
        <f aca="false">Construction!V14*V30*(Construction!V17+Inputs!$F$79)/100*Construction!V11/360*1</f>
        <v>0.115825284612996</v>
      </c>
      <c r="W35" s="11" t="n">
        <f aca="false">Construction!W14*W30*(Construction!W17+Inputs!$F$79)/100*Construction!W11/360*1</f>
        <v>0.124762729763904</v>
      </c>
      <c r="X35" s="11" t="n">
        <f aca="false">Construction!X14*X30*(Construction!X17+Inputs!$F$79)/100*Construction!X11/360*1</f>
        <v>0.142946932222977</v>
      </c>
      <c r="Y35" s="11" t="n">
        <f aca="false">Construction!Y14*Y30*(Construction!Y17+Inputs!$F$79)/100*Construction!Y11/360*1</f>
        <v>0.152653785363542</v>
      </c>
      <c r="Z35" s="11" t="n">
        <f aca="false">Construction!Z14*Z30*(Construction!Z17+Inputs!$F$79)/100*Construction!Z11/360*1</f>
        <v>0.173049505080657</v>
      </c>
      <c r="AA35" s="11" t="n">
        <f aca="false">Construction!AA14*AA30*(Construction!AA17+Inputs!$F$79)/100*Construction!AA11/360*1</f>
        <v>0.191059019218107</v>
      </c>
      <c r="AB35" s="11" t="n">
        <f aca="false">Construction!AB14*AB30*(Construction!AB17+Inputs!$F$79)/100*Construction!AB11/360*1</f>
        <v>0.194090981216973</v>
      </c>
      <c r="AC35" s="11" t="n">
        <f aca="false">Construction!AC14*AC30*(Construction!AC17+Inputs!$F$79)/100*Construction!AC11/360*1</f>
        <v>0.223135217784418</v>
      </c>
      <c r="AD35" s="11" t="n">
        <f aca="false">Construction!AD14*AD30*(Construction!AD17+Inputs!$F$79)/100*Construction!AD11/360*1</f>
        <v>0.230731928041192</v>
      </c>
      <c r="AE35" s="11" t="n">
        <f aca="false">Construction!AE14*AE30*(Construction!AE17+Inputs!$F$79)/100*Construction!AE11/360*1</f>
        <v>0.253036019476994</v>
      </c>
      <c r="AF35" s="11" t="n">
        <f aca="false">Construction!AF14*AF30*(Construction!AF17+Inputs!$F$79)/100*Construction!AF11/360*1</f>
        <v>0.258216755377101</v>
      </c>
      <c r="AG35" s="11" t="n">
        <f aca="false">Construction!AG14*AG30*(Construction!AG17+Inputs!$F$79)/100*Construction!AG11/360*1</f>
        <v>0.281291037149395</v>
      </c>
      <c r="AH35" s="11" t="n">
        <f aca="false">Construction!AH14*AH30*(Construction!AH17+Inputs!$F$79)/100*Construction!AH11/360*1</f>
        <v>0.29294061948423</v>
      </c>
      <c r="AI35" s="11" t="n">
        <f aca="false">Construction!AI14*AI30*(Construction!AI17+Inputs!$F$79)/100*Construction!AI11/360*1</f>
        <v>0.293510454928109</v>
      </c>
      <c r="AJ35" s="11" t="n">
        <f aca="false">Construction!AJ14*AJ30*(Construction!AJ17+Inputs!$F$79)/100*Construction!AJ11/360*1</f>
        <v>0.312254435094065</v>
      </c>
      <c r="AK35" s="11" t="n">
        <f aca="false">Construction!AK14*AK30*(Construction!AK17+Inputs!$F$79)/100*Construction!AK11/360*1</f>
        <v>0.309553803679105</v>
      </c>
      <c r="AL35" s="11" t="n">
        <f aca="false">Construction!AL14*AL30*(Construction!AL17+Inputs!$F$79)/100*Construction!AL11/360*1</f>
        <v>0.326120910162409</v>
      </c>
      <c r="AM35" s="11" t="n">
        <f aca="false">Construction!AM14*AM30*(Construction!AM17+Inputs!$F$79)/100*Construction!AM11/360*1</f>
        <v>0.332703205862512</v>
      </c>
      <c r="AN35" s="11" t="n">
        <f aca="false">Construction!AN14*AN30*(Construction!AN17+Inputs!$F$79)/100*Construction!AN11/360*1</f>
        <v>0.304104105589383</v>
      </c>
      <c r="AO35" s="11" t="n">
        <f aca="false">Construction!AO14*AO30*(Construction!AO17+Inputs!$F$79)/100*Construction!AO11/360*1</f>
        <v>0.339695888006777</v>
      </c>
      <c r="AP35" s="11" t="n">
        <f aca="false">Construction!AP14*AP30*(Construction!AP17+Inputs!$F$79)/100*Construction!AP11/360*1</f>
        <v>0.331170995270513</v>
      </c>
      <c r="AQ35" s="11" t="n">
        <f aca="false">Construction!AQ14*AQ30*(Construction!AQ17+Inputs!$F$79)/100*Construction!AQ11/360*1</f>
        <v>0.366903228155538</v>
      </c>
      <c r="AR35" s="11" t="n">
        <f aca="false">Construction!AR14*AR30*(Construction!AR17+Inputs!$F$79)/100*Construction!AR11/360*1</f>
        <v>0.373433044105614</v>
      </c>
      <c r="AS35" s="11" t="n">
        <f aca="false">Construction!AS14*AS30*(Construction!AS17+Inputs!$F$79)/100*Construction!AS11/360*1</f>
        <v>0</v>
      </c>
      <c r="AT35" s="11" t="n">
        <f aca="false">Construction!AT14*AT30*(Construction!AT17+Inputs!$F$79)/100*Construction!AT11/360*1</f>
        <v>0</v>
      </c>
      <c r="AU35" s="11" t="n">
        <f aca="false">Construction!AU14*AU30*(Construction!AU17+Inputs!$F$79)/100*Construction!AU11/360*1</f>
        <v>0</v>
      </c>
      <c r="AV35" s="11" t="n">
        <f aca="false">Construction!AV14*AV30*(Construction!AV17+Inputs!$F$79)/100*Construction!AV11/360*1</f>
        <v>0</v>
      </c>
      <c r="AW35" s="11" t="n">
        <f aca="false">Construction!AW14*AW30*(Construction!AW17+Inputs!$F$79)/100*Construction!AW11/360*1</f>
        <v>0</v>
      </c>
      <c r="AX35" s="11" t="n">
        <f aca="false">Construction!AX14*AX30*(Construction!AX17+Inputs!$F$79)/100*Construction!AX11/360*1</f>
        <v>0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31.1546218062015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0.224853228752955</v>
      </c>
      <c r="L36" s="11" t="n">
        <f aca="false">Construction!L14*L31*(Construction!L17+Inputs!$F$80)/100*Construction!L11/360*(1/(1-Inputs!$F$91/100))</f>
        <v>0.237210534351936</v>
      </c>
      <c r="M36" s="11" t="n">
        <f aca="false">Construction!M14*M31*(Construction!M17+Inputs!$F$80)/100*Construction!M11/360*(1/(1-Inputs!$F$91/100))</f>
        <v>0.23556631323483</v>
      </c>
      <c r="N36" s="11" t="n">
        <f aca="false">Construction!N14*N31*(Construction!N17+Inputs!$F$80)/100*Construction!N11/360*(1/(1-Inputs!$F$91/100))</f>
        <v>0.252210139436635</v>
      </c>
      <c r="O36" s="11" t="n">
        <f aca="false">Construction!O14*O31*(Construction!O17+Inputs!$F$80)/100*Construction!O11/360*(1/(1-Inputs!$F$91/100))</f>
        <v>0.275689448615447</v>
      </c>
      <c r="P36" s="11" t="n">
        <f aca="false">Construction!P14*P31*(Construction!P17+Inputs!$F$80)/100*Construction!P11/360*(1/(1-Inputs!$F$91/100))</f>
        <v>0.265445862121427</v>
      </c>
      <c r="Q36" s="11" t="n">
        <f aca="false">Construction!Q14*Q31*(Construction!Q17+Inputs!$F$80)/100*Construction!Q11/360*(1/(1-Inputs!$F$91/100))</f>
        <v>0.317635790420693</v>
      </c>
      <c r="R36" s="11" t="n">
        <f aca="false">Construction!R14*R31*(Construction!R17+Inputs!$F$80)/100*Construction!R11/360*(1/(1-Inputs!$F$91/100))</f>
        <v>0.336573021556768</v>
      </c>
      <c r="S36" s="11" t="n">
        <f aca="false">Construction!S14*S31*(Construction!S17+Inputs!$F$80)/100*Construction!S11/360*(1/(1-Inputs!$F$91/100))</f>
        <v>0.384332958883167</v>
      </c>
      <c r="T36" s="11" t="n">
        <f aca="false">Construction!T14*T31*(Construction!T17+Inputs!$F$80)/100*Construction!T11/360*(1/(1-Inputs!$F$91/100))</f>
        <v>0.413589370992946</v>
      </c>
      <c r="U36" s="11" t="n">
        <f aca="false">Construction!U14*U31*(Construction!U17+Inputs!$F$80)/100*Construction!U11/360*(1/(1-Inputs!$F$91/100))</f>
        <v>0.486875522226322</v>
      </c>
      <c r="V36" s="11" t="n">
        <f aca="false">Construction!V14*V31*(Construction!V17+Inputs!$F$80)/100*Construction!V11/360*(1/(1-Inputs!$F$91/100))</f>
        <v>0.543035053271446</v>
      </c>
      <c r="W36" s="11" t="n">
        <f aca="false">Construction!W14*W31*(Construction!W17+Inputs!$F$80)/100*Construction!W11/360*(1/(1-Inputs!$F$91/100))</f>
        <v>0.584937354827191</v>
      </c>
      <c r="X36" s="11" t="n">
        <f aca="false">Construction!X14*X31*(Construction!X17+Inputs!$F$80)/100*Construction!X11/360*(1/(1-Inputs!$F$91/100))</f>
        <v>0.670192136493006</v>
      </c>
      <c r="Y36" s="11" t="n">
        <f aca="false">Construction!Y14*Y31*(Construction!Y17+Inputs!$F$80)/100*Construction!Y11/360*(1/(1-Inputs!$F$91/100))</f>
        <v>0.715701729065102</v>
      </c>
      <c r="Z36" s="11" t="n">
        <f aca="false">Construction!Z14*Z31*(Construction!Z17+Inputs!$F$80)/100*Construction!Z11/360*(1/(1-Inputs!$F$91/100))</f>
        <v>0.811324984212712</v>
      </c>
      <c r="AA36" s="11" t="n">
        <f aca="false">Construction!AA14*AA31*(Construction!AA17+Inputs!$F$80)/100*Construction!AA11/360*(1/(1-Inputs!$F$91/100))</f>
        <v>0.894650886806004</v>
      </c>
      <c r="AB36" s="11" t="n">
        <f aca="false">Construction!AB14*AB31*(Construction!AB17+Inputs!$F$80)/100*Construction!AB11/360*(1/(1-Inputs!$F$91/100))</f>
        <v>0.908848319108068</v>
      </c>
      <c r="AC36" s="11" t="n">
        <f aca="false">Construction!AC14*AC31*(Construction!AC17+Inputs!$F$80)/100*Construction!AC11/360*(1/(1-Inputs!$F$91/100))</f>
        <v>1.04485054558242</v>
      </c>
      <c r="AD36" s="11" t="n">
        <f aca="false">Construction!AD14*AD31*(Construction!AD17+Inputs!$F$80)/100*Construction!AD11/360*(1/(1-Inputs!$F$91/100))</f>
        <v>1.08042281846357</v>
      </c>
      <c r="AE36" s="11" t="n">
        <f aca="false">Construction!AE14*AE31*(Construction!AE17+Inputs!$F$80)/100*Construction!AE11/360*(1/(1-Inputs!$F$91/100))</f>
        <v>1.18486371460186</v>
      </c>
      <c r="AF36" s="11" t="n">
        <f aca="false">Construction!AF14*AF31*(Construction!AF17+Inputs!$F$80)/100*Construction!AF11/360*(1/(1-Inputs!$F$91/100))</f>
        <v>1.20912297221925</v>
      </c>
      <c r="AG36" s="11" t="n">
        <f aca="false">Construction!AG14*AG31*(Construction!AG17+Inputs!$F$80)/100*Construction!AG11/360*(1/(1-Inputs!$F$91/100))</f>
        <v>1.31636851371874</v>
      </c>
      <c r="AH36" s="11" t="n">
        <f aca="false">Construction!AH14*AH31*(Construction!AH17+Inputs!$F$80)/100*Construction!AH11/360*(1/(1-Inputs!$F$91/100))</f>
        <v>1.37088551340333</v>
      </c>
      <c r="AI36" s="11" t="n">
        <f aca="false">Construction!AI14*AI31*(Construction!AI17+Inputs!$F$80)/100*Construction!AI11/360*(1/(1-Inputs!$F$91/100))</f>
        <v>1.37355219430409</v>
      </c>
      <c r="AJ36" s="11" t="n">
        <f aca="false">Construction!AJ14*AJ31*(Construction!AJ17+Inputs!$F$80)/100*Construction!AJ11/360*(1/(1-Inputs!$F$91/100))</f>
        <v>1.4612691210938</v>
      </c>
      <c r="AK36" s="11" t="n">
        <f aca="false">Construction!AK14*AK31*(Construction!AK17+Inputs!$F$80)/100*Construction!AK11/360*(1/(1-Inputs!$F$91/100))</f>
        <v>1.44863087211921</v>
      </c>
      <c r="AL36" s="11" t="n">
        <f aca="false">Construction!AL14*AL31*(Construction!AL17+Inputs!$F$80)/100*Construction!AL11/360*(1/(1-Inputs!$F$91/100))</f>
        <v>1.52616059919141</v>
      </c>
      <c r="AM36" s="11" t="n">
        <f aca="false">Construction!AM14*AM31*(Construction!AM17+Inputs!$F$80)/100*Construction!AM11/360*(1/(1-Inputs!$F$91/100))</f>
        <v>1.55626039900283</v>
      </c>
      <c r="AN36" s="11" t="n">
        <f aca="false">Construction!AN14*AN31*(Construction!AN17+Inputs!$F$80)/100*Construction!AN11/360*(1/(1-Inputs!$F$91/100))</f>
        <v>1.42248456992178</v>
      </c>
      <c r="AO36" s="11" t="n">
        <f aca="false">Construction!AO14*AO31*(Construction!AO17+Inputs!$F$80)/100*Construction!AO11/360*(1/(1-Inputs!$F$91/100))</f>
        <v>1.58896953468947</v>
      </c>
      <c r="AP36" s="11" t="n">
        <f aca="false">Construction!AP14*AP31*(Construction!AP17+Inputs!$F$80)/100*Construction!AP11/360*(1/(1-Inputs!$F$91/100))</f>
        <v>1.54909329443262</v>
      </c>
      <c r="AQ36" s="11" t="n">
        <f aca="false">Construction!AQ14*AQ31*(Construction!AQ17+Inputs!$F$80)/100*Construction!AQ11/360*(1/(1-Inputs!$F$91/100))</f>
        <v>1.71623523363561</v>
      </c>
      <c r="AR36" s="11" t="n">
        <f aca="false">Construction!AR14*AR31*(Construction!AR17+Inputs!$F$80)/100*Construction!AR11/360*(1/(1-Inputs!$F$91/100))</f>
        <v>1.74677925544489</v>
      </c>
      <c r="AS36" s="11" t="n">
        <f aca="false">Construction!AS14*AS31*(Construction!AS17+Inputs!$F$80)/100*Construction!AS11/360*(1/(1-Inputs!$F$91/100))</f>
        <v>0</v>
      </c>
      <c r="AT36" s="11" t="n">
        <f aca="false">Construction!AT14*AT31*(Construction!AT17+Inputs!$F$80)/100*Construction!AT11/360*(1/(1-Inputs!$F$91/100))</f>
        <v>0</v>
      </c>
      <c r="AU36" s="11" t="n">
        <f aca="false">Construction!AU14*AU31*(Construction!AU17+Inputs!$F$80)/100*Construction!AU11/360*(1/(1-Inputs!$F$91/100))</f>
        <v>0</v>
      </c>
      <c r="AV36" s="11" t="n">
        <f aca="false">Construction!AV14*AV31*(Construction!AV17+Inputs!$F$80)/100*Construction!AV11/360*(1/(1-Inputs!$F$91/100))</f>
        <v>0</v>
      </c>
      <c r="AW36" s="11" t="n">
        <f aca="false">Construction!AW14*AW31*(Construction!AW17+Inputs!$F$80)/100*Construction!AW11/360*(1/(1-Inputs!$F$91/100))</f>
        <v>0</v>
      </c>
      <c r="AX36" s="11" t="n">
        <f aca="false">Construction!AX14*AX31*(Construction!AX17+Inputs!$F$80)/100*Construction!AX11/360*(1/(1-Inputs!$F$91/100))</f>
        <v>0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4.02535544358194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0.0312056788188619</v>
      </c>
      <c r="L38" s="11" t="n">
        <f aca="false">Construction!L14*(Inputs!$F$93/100*Inputs!$F$94/100)*L31*Construction!L11/365</f>
        <v>0.0329206557917388</v>
      </c>
      <c r="M38" s="11" t="n">
        <f aca="false">Construction!M14*(Inputs!$F$93/100*Inputs!$F$94/100)*M31*Construction!M11/365</f>
        <v>0.0326924667798567</v>
      </c>
      <c r="N38" s="11" t="n">
        <f aca="false">Construction!N14*(Inputs!$F$93/100*Inputs!$F$94/100)*N31*Construction!N11/365</f>
        <v>0.0350023375237682</v>
      </c>
      <c r="O38" s="11" t="n">
        <f aca="false">Construction!O14*(Inputs!$F$93/100*Inputs!$F$94/100)*O31*Construction!O11/365</f>
        <v>0.03676151647164</v>
      </c>
      <c r="P38" s="11" t="n">
        <f aca="false">Construction!P14*(Inputs!$F$93/100*Inputs!$F$94/100)*P31*Construction!P11/365</f>
        <v>0.0353955963193826</v>
      </c>
      <c r="Q38" s="11" t="n">
        <f aca="false">Construction!Q14*(Inputs!$F$93/100*Inputs!$F$94/100)*Q31*Construction!Q11/365</f>
        <v>0.0423548068312922</v>
      </c>
      <c r="R38" s="11" t="n">
        <f aca="false">Construction!R14*(Inputs!$F$93/100*Inputs!$F$94/100)*R31*Construction!R11/365</f>
        <v>0.0448799717871232</v>
      </c>
      <c r="S38" s="11" t="n">
        <f aca="false">Construction!S14*(Inputs!$F$93/100*Inputs!$F$94/100)*S31*Construction!S11/365</f>
        <v>0.0512484698617735</v>
      </c>
      <c r="T38" s="11" t="n">
        <f aca="false">Construction!T14*(Inputs!$F$93/100*Inputs!$F$94/100)*T31*Construction!T11/365</f>
        <v>0.0551496350353995</v>
      </c>
      <c r="U38" s="11" t="n">
        <f aca="false">Construction!U14*(Inputs!$F$93/100*Inputs!$F$94/100)*U31*Construction!U11/365</f>
        <v>0.0635386198721103</v>
      </c>
      <c r="V38" s="11" t="n">
        <f aca="false">Construction!V14*(Inputs!$F$93/100*Inputs!$F$94/100)*V31*Construction!V11/365</f>
        <v>0.0708675960320854</v>
      </c>
      <c r="W38" s="11" t="n">
        <f aca="false">Construction!W14*(Inputs!$F$93/100*Inputs!$F$94/100)*W31*Construction!W11/365</f>
        <v>0.076335963795046</v>
      </c>
      <c r="X38" s="11" t="n">
        <f aca="false">Construction!X14*(Inputs!$F$93/100*Inputs!$F$94/100)*X31*Construction!X11/365</f>
        <v>0.087461951685696</v>
      </c>
      <c r="Y38" s="11" t="n">
        <f aca="false">Construction!Y14*(Inputs!$F$93/100*Inputs!$F$94/100)*Y31*Construction!Y11/365</f>
        <v>0.093401081033893</v>
      </c>
      <c r="Z38" s="11" t="n">
        <f aca="false">Construction!Z14*(Inputs!$F$93/100*Inputs!$F$94/100)*Z31*Construction!Z11/365</f>
        <v>0.105880183766303</v>
      </c>
      <c r="AA38" s="11" t="n">
        <f aca="false">Construction!AA14*(Inputs!$F$93/100*Inputs!$F$94/100)*AA31*Construction!AA11/365</f>
        <v>0.11544259980819</v>
      </c>
      <c r="AB38" s="11" t="n">
        <f aca="false">Construction!AB14*(Inputs!$F$93/100*Inputs!$F$94/100)*AB31*Construction!AB11/365</f>
        <v>0.117274586474411</v>
      </c>
      <c r="AC38" s="11" t="n">
        <f aca="false">Construction!AC14*(Inputs!$F$93/100*Inputs!$F$94/100)*AC31*Construction!AC11/365</f>
        <v>0.134823834829771</v>
      </c>
      <c r="AD38" s="11" t="n">
        <f aca="false">Construction!AD14*(Inputs!$F$93/100*Inputs!$F$94/100)*AD31*Construction!AD11/365</f>
        <v>0.139413955650136</v>
      </c>
      <c r="AE38" s="11" t="n">
        <f aca="false">Construction!AE14*(Inputs!$F$93/100*Inputs!$F$94/100)*AE31*Construction!AE11/365</f>
        <v>0.152890641086112</v>
      </c>
      <c r="AF38" s="11" t="n">
        <f aca="false">Construction!AF14*(Inputs!$F$93/100*Inputs!$F$94/100)*AF31*Construction!AF11/365</f>
        <v>0.156020970257043</v>
      </c>
      <c r="AG38" s="11" t="n">
        <f aca="false">Construction!AG14*(Inputs!$F$93/100*Inputs!$F$94/100)*AG31*Construction!AG11/365</f>
        <v>0.168910621179476</v>
      </c>
      <c r="AH38" s="11" t="n">
        <f aca="false">Construction!AH14*(Inputs!$F$93/100*Inputs!$F$94/100)*AH31*Construction!AH11/365</f>
        <v>0.175906002932835</v>
      </c>
      <c r="AI38" s="11" t="n">
        <f aca="false">Construction!AI14*(Inputs!$F$93/100*Inputs!$F$94/100)*AI31*Construction!AI11/365</f>
        <v>0.176248179703809</v>
      </c>
      <c r="AJ38" s="11" t="n">
        <f aca="false">Construction!AJ14*(Inputs!$F$93/100*Inputs!$F$94/100)*AJ31*Construction!AJ11/365</f>
        <v>0.187503630162851</v>
      </c>
      <c r="AK38" s="11" t="n">
        <f aca="false">Construction!AK14*(Inputs!$F$93/100*Inputs!$F$94/100)*AK31*Construction!AK11/365</f>
        <v>0.185881945609726</v>
      </c>
      <c r="AL38" s="11" t="n">
        <f aca="false">Construction!AL14*(Inputs!$F$93/100*Inputs!$F$94/100)*AL31*Construction!AL11/365</f>
        <v>0.195830219381972</v>
      </c>
      <c r="AM38" s="11" t="n">
        <f aca="false">Construction!AM14*(Inputs!$F$93/100*Inputs!$F$94/100)*AM31*Construction!AM11/365</f>
        <v>0.198859284090007</v>
      </c>
      <c r="AN38" s="11" t="n">
        <f aca="false">Construction!AN14*(Inputs!$F$93/100*Inputs!$F$94/100)*AN31*Construction!AN11/365</f>
        <v>0.181765380257043</v>
      </c>
      <c r="AO38" s="11" t="n">
        <f aca="false">Construction!AO14*(Inputs!$F$93/100*Inputs!$F$94/100)*AO31*Construction!AO11/365</f>
        <v>0.203038864390331</v>
      </c>
      <c r="AP38" s="11" t="n">
        <f aca="false">Construction!AP14*(Inputs!$F$93/100*Inputs!$F$94/100)*AP31*Construction!AP11/365</f>
        <v>0.197943469946858</v>
      </c>
      <c r="AQ38" s="11" t="n">
        <f aca="false">Construction!AQ14*(Inputs!$F$93/100*Inputs!$F$94/100)*AQ31*Construction!AQ11/365</f>
        <v>0.219300902412928</v>
      </c>
      <c r="AR38" s="11" t="n">
        <f aca="false">Construction!AR14*(Inputs!$F$93/100*Inputs!$F$94/100)*AR31*Construction!AR11/365</f>
        <v>0.223203824002473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10.2220950413164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0.602074094050426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0.501547514168568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0.516511963878594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0.497683291479284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0.511101587959627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0.506529409960332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0.451814257365626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0.491992219666525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0.466007467750303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0.468877225884736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0.439316193152717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0.436934623596733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0.417886314954491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0.384252058626849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0.374756906247262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0.339899121315248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0.326887168147715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0.302034057951212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0.258429159776872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0.251661435841314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0.220309779219484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0.204705067825028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0.177147469375149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0.163068484678877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0.144887201536492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0.12457612515146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0.114744494264301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0.0995375737416235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0.0931033484997426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0.0852306854979074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0.0713932054362861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0.074367785439589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0.0681891789243063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0.032102083840235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0.00253648611144189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10.9017594852857</v>
      </c>
      <c r="J42" s="11" t="n">
        <f aca="false">IF(Construction!J8=1,Inputs!$F$73*$F$25*Inputs!$F$87/100+Inputs!$F$74*$F$25*Inputs!$F$88/100+Inputs!$F$75*$F$25*Inputs!$F$89/100+Inputs!$F$76*$F$25*Inputs!$F$90/100,0)</f>
        <v>10.9017594852857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40.840014591187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40.840014591187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127.208610246003</v>
      </c>
      <c r="K45" s="11" t="n">
        <f aca="false">Construction!K14*(Construction!K30+Construction!K36)+K33+K34+K35+K36+K37+K38+K39+K40+K41+K42+K43+K44</f>
        <v>2.662009363356</v>
      </c>
      <c r="L45" s="11" t="n">
        <f aca="false">Construction!L14*(Construction!L30+Construction!L36)+L33+L34+L35+L36+L37+L38+L39+L40+L41+L42+L43+L44</f>
        <v>3.39881794139479</v>
      </c>
      <c r="M45" s="11" t="n">
        <f aca="false">Construction!M14*(Construction!M30+Construction!M36)+M33+M34+M35+M36+M37+M38+M39+M40+M41+M42+M43+M44</f>
        <v>4.81333002061479</v>
      </c>
      <c r="N45" s="11" t="n">
        <f aca="false">Construction!N14*(Construction!N30+Construction!N36)+N33+N34+N35+N36+N37+N38+N39+N40+N41+N42+N43+N44</f>
        <v>6.93988787493061</v>
      </c>
      <c r="O45" s="11" t="n">
        <f aca="false">Construction!O14*(Construction!O30+Construction!O36)+O33+O34+O35+O36+O37+O38+O39+O40+O41+O42+O43+O44</f>
        <v>9.57230429369934</v>
      </c>
      <c r="P45" s="11" t="n">
        <f aca="false">Construction!P14*(Construction!P30+Construction!P36)+P33+P34+P35+P36+P37+P38+P39+P40+P41+P42+P43+P44</f>
        <v>12.4929938357921</v>
      </c>
      <c r="Q45" s="11" t="n">
        <f aca="false">Construction!Q14*(Construction!Q30+Construction!Q36)+Q33+Q34+Q35+Q36+Q37+Q38+Q39+Q40+Q41+Q42+Q43+Q44</f>
        <v>15.8633250058807</v>
      </c>
      <c r="R45" s="11" t="n">
        <f aca="false">Construction!R14*(Construction!R30+Construction!R36)+R33+R34+R35+R36+R37+R38+R39+R40+R41+R42+R43+R44</f>
        <v>19.2218062160586</v>
      </c>
      <c r="S45" s="11" t="n">
        <f aca="false">Construction!S14*(Construction!S30+Construction!S36)+S33+S34+S35+S36+S37+S38+S39+S40+S41+S42+S43+S44</f>
        <v>22.6420352049475</v>
      </c>
      <c r="T45" s="11" t="n">
        <f aca="false">Construction!T14*(Construction!T30+Construction!T36)+T33+T34+T35+T36+T37+T38+T39+T40+T41+T42+T43+T44</f>
        <v>25.8420960660629</v>
      </c>
      <c r="U45" s="11" t="n">
        <f aca="false">Construction!U14*(Construction!U30+Construction!U36)+U33+U34+U35+U36+U37+U38+U39+U40+U41+U42+U43+U44</f>
        <v>28.9125065132218</v>
      </c>
      <c r="V45" s="11" t="n">
        <f aca="false">Construction!V14*(Construction!V30+Construction!V36)+V33+V34+V35+V36+V37+V38+V39+V40+V41+V42+V43+V44</f>
        <v>31.6105572165837</v>
      </c>
      <c r="W45" s="11" t="n">
        <f aca="false">Construction!W14*(Construction!W30+Construction!W36)+W33+W34+W35+W36+W37+W38+W39+W40+W41+W42+W43+W44</f>
        <v>33.8534865250143</v>
      </c>
      <c r="X45" s="11" t="n">
        <f aca="false">Construction!X14*(Construction!X30+Construction!X36)+X33+X34+X35+X36+X37+X38+X39+X40+X41+X42+X43+X44</f>
        <v>35.711731403419</v>
      </c>
      <c r="Y45" s="11" t="n">
        <f aca="false">Construction!Y14*(Construction!Y30+Construction!Y36)+Y33+Y34+Y35+Y36+Y37+Y38+Y39+Y40+Y41+Y42+Y43+Y44</f>
        <v>36.9474290807895</v>
      </c>
      <c r="Z45" s="11" t="n">
        <f aca="false">Construction!Z14*(Construction!Z30+Construction!Z36)+Z33+Z34+Z35+Z36+Z37+Z38+Z39+Z40+Z41+Z42+Z43+Z44</f>
        <v>37.7233340726493</v>
      </c>
      <c r="AA45" s="11" t="n">
        <f aca="false">Construction!AA14*(Construction!AA30+Construction!AA36)+AA33+AA34+AA35+AA36+AA37+AA38+AA39+AA40+AA41+AA42+AA43+AA44</f>
        <v>39.1335507601427</v>
      </c>
      <c r="AB45" s="11" t="n">
        <f aca="false">Construction!AB14*(Construction!AB30+Construction!AB36)+AB33+AB34+AB35+AB36+AB37+AB38+AB39+AB40+AB41+AB42+AB43+AB44</f>
        <v>37.3246163240879</v>
      </c>
      <c r="AC45" s="11" t="n">
        <f aca="false">Construction!AC14*(Construction!AC30+Construction!AC36)+AC33+AC34+AC35+AC36+AC37+AC38+AC39+AC40+AC41+AC42+AC43+AC44</f>
        <v>36.4405780986766</v>
      </c>
      <c r="AD45" s="11" t="n">
        <f aca="false">Construction!AD14*(Construction!AD30+Construction!AD36)+AD33+AD34+AD35+AD36+AD37+AD38+AD39+AD40+AD41+AD42+AD43+AD44</f>
        <v>34.8322221066618</v>
      </c>
      <c r="AE45" s="11" t="n">
        <f aca="false">Construction!AE14*(Construction!AE30+Construction!AE36)+AE33+AE34+AE35+AE36+AE37+AE38+AE39+AE40+AE41+AE42+AE43+AE44</f>
        <v>32.8655601060699</v>
      </c>
      <c r="AF45" s="11" t="n">
        <f aca="false">Construction!AF14*(Construction!AF30+Construction!AF36)+AF33+AF34+AF35+AF36+AF37+AF38+AF39+AF40+AF41+AF42+AF43+AF44</f>
        <v>30.3325959093046</v>
      </c>
      <c r="AG45" s="11" t="n">
        <f aca="false">Construction!AG14*(Construction!AG30+Construction!AG36)+AG33+AG34+AG35+AG36+AG37+AG38+AG39+AG40+AG41+AG42+AG43+AG44</f>
        <v>27.5964904362803</v>
      </c>
      <c r="AH45" s="11" t="n">
        <f aca="false">Construction!AH14*(Construction!AH30+Construction!AH36)+AH33+AH34+AH35+AH36+AH37+AH38+AH39+AH40+AH41+AH42+AH43+AH44</f>
        <v>24.5262647401484</v>
      </c>
      <c r="AI45" s="11" t="n">
        <f aca="false">Construction!AI14*(Construction!AI30+Construction!AI36)+AI33+AI34+AI35+AI36+AI37+AI38+AI39+AI40+AI41+AI42+AI43+AI44</f>
        <v>21.2258929291534</v>
      </c>
      <c r="AJ45" s="11" t="n">
        <f aca="false">Construction!AJ14*(Construction!AJ30+Construction!AJ36)+AJ33+AJ34+AJ35+AJ36+AJ37+AJ38+AJ39+AJ40+AJ41+AJ42+AJ43+AJ44</f>
        <v>18.0457402707053</v>
      </c>
      <c r="AK45" s="11" t="n">
        <f aca="false">Construction!AK14*(Construction!AK30+Construction!AK36)+AK33+AK34+AK35+AK36+AK37+AK38+AK39+AK40+AK41+AK42+AK43+AK44</f>
        <v>14.8023083210641</v>
      </c>
      <c r="AL45" s="11" t="n">
        <f aca="false">Construction!AL14*(Construction!AL30+Construction!AL36)+AL33+AL34+AL35+AL36+AL37+AL38+AL39+AL40+AL41+AL42+AL43+AL44</f>
        <v>11.9495344490689</v>
      </c>
      <c r="AM45" s="11" t="n">
        <f aca="false">Construction!AM14*(Construction!AM30+Construction!AM36)+AM33+AM34+AM35+AM36+AM37+AM38+AM39+AM40+AM41+AM42+AM43+AM44</f>
        <v>9.39278173869504</v>
      </c>
      <c r="AN45" s="11" t="n">
        <f aca="false">Construction!AN14*(Construction!AN30+Construction!AN36)+AN33+AN34+AN35+AN36+AN37+AN38+AN39+AN40+AN41+AN42+AN43+AN44</f>
        <v>7.09548893076038</v>
      </c>
      <c r="AO45" s="11" t="n">
        <f aca="false">Construction!AO14*(Construction!AO30+Construction!AO36)+AO33+AO34+AO35+AO36+AO37+AO38+AO39+AO40+AO41+AO42+AO43+AO44</f>
        <v>5.92817279706688</v>
      </c>
      <c r="AP45" s="11" t="n">
        <f aca="false">Construction!AP14*(Construction!AP30+Construction!AP36)+AP33+AP34+AP35+AP36+AP37+AP38+AP39+AP40+AP41+AP42+AP43+AP44</f>
        <v>58.2248916943015</v>
      </c>
      <c r="AQ45" s="11" t="n">
        <f aca="false">Construction!AQ14*(Construction!AQ30+Construction!AQ36)+AQ33+AQ34+AQ35+AQ36+AQ37+AQ38+AQ39+AQ40+AQ41+AQ42+AQ43+AQ44</f>
        <v>44.7478573488783</v>
      </c>
      <c r="AR45" s="11" t="n">
        <f aca="false">Construction!AR14*(Construction!AR30+Construction!AR36)+AR33+AR34+AR35+AR36+AR37+AR38+AR39+AR40+AR41+AR42+AR43+AR44</f>
        <v>3.97834325774739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693.496150463468</v>
      </c>
      <c r="K46" s="11" t="n">
        <f aca="false">$F$25-K28-K29-K30-K31</f>
        <v>596.961929182982</v>
      </c>
      <c r="L46" s="11" t="n">
        <f aca="false">$F$25-L28-L29-L30-L31</f>
        <v>594.941822207236</v>
      </c>
      <c r="M46" s="11" t="n">
        <f aca="false">$F$25-M28-M29-M30-M31</f>
        <v>592.362576646639</v>
      </c>
      <c r="N46" s="11" t="n">
        <f aca="false">$F$25-N28-N29-N30-N31</f>
        <v>588.709906718027</v>
      </c>
      <c r="O46" s="11" t="n">
        <f aca="false">$F$25-O28-O29-O30-O31</f>
        <v>583.443465472543</v>
      </c>
      <c r="P46" s="11" t="n">
        <f aca="false">$F$25-P28-P29-P30-P31</f>
        <v>576.179374314993</v>
      </c>
      <c r="Q46" s="11" t="n">
        <f aca="false">$F$25-Q28-Q29-Q30-Q31</f>
        <v>566.698872727342</v>
      </c>
      <c r="R46" s="11" t="n">
        <f aca="false">$F$25-R28-R29-R30-R31</f>
        <v>554.660743206074</v>
      </c>
      <c r="S46" s="11" t="n">
        <f aca="false">$F$25-S28-S29-S30-S31</f>
        <v>540.073978276536</v>
      </c>
      <c r="T46" s="11" t="n">
        <f aca="false">$F$25-T28-T29-T30-T31</f>
        <v>522.89171968187</v>
      </c>
      <c r="U46" s="11" t="n">
        <f aca="false">$F$25-U28-U29-U30-U31</f>
        <v>503.281045410933</v>
      </c>
      <c r="V46" s="11" t="n">
        <f aca="false">$F$25-V28-V29-V30-V31</f>
        <v>481.340342685517</v>
      </c>
      <c r="W46" s="11" t="n">
        <f aca="false">$F$25-W28-W29-W30-W31</f>
        <v>457.352182456079</v>
      </c>
      <c r="X46" s="11" t="n">
        <f aca="false">$F$25-X28-X29-X30-X31</f>
        <v>431.661940632025</v>
      </c>
      <c r="Y46" s="11" t="n">
        <f aca="false">$F$25-Y28-Y29-Y30-Y31</f>
        <v>404.561540942569</v>
      </c>
      <c r="Z46" s="11" t="n">
        <f aca="false">$F$25-Z28-Z29-Z30-Z31</f>
        <v>376.523412959466</v>
      </c>
      <c r="AA46" s="11" t="n">
        <f aca="false">$F$25-AA28-AA29-AA30-AA31</f>
        <v>347.896477473224</v>
      </c>
      <c r="AB46" s="11" t="n">
        <f aca="false">$F$25-AB28-AB29-AB30-AB31</f>
        <v>318.199377243411</v>
      </c>
      <c r="AC46" s="11" t="n">
        <f aca="false">$F$25-AC28-AC29-AC30-AC31</f>
        <v>289.875014887193</v>
      </c>
      <c r="AD46" s="11" t="n">
        <f aca="false">$F$25-AD28-AD29-AD30-AD31</f>
        <v>262.221518610772</v>
      </c>
      <c r="AE46" s="11" t="n">
        <f aca="false">$F$25-AE28-AE29-AE30-AE31</f>
        <v>235.78854815356</v>
      </c>
      <c r="AF46" s="11" t="n">
        <f aca="false">$F$25-AF28-AF29-AF30-AF31</f>
        <v>210.84800957169</v>
      </c>
      <c r="AG46" s="11" t="n">
        <f aca="false">$F$25-AG28-AG29-AG30-AG31</f>
        <v>187.8296500451</v>
      </c>
      <c r="AH46" s="11" t="n">
        <f aca="false">$F$25-AH28-AH29-AH30-AH31</f>
        <v>166.887626473041</v>
      </c>
      <c r="AI46" s="11" t="n">
        <f aca="false">$F$25-AI28-AI29-AI30-AI31</f>
        <v>148.275491154287</v>
      </c>
      <c r="AJ46" s="11" t="n">
        <f aca="false">$F$25-AJ28-AJ29-AJ30-AJ31</f>
        <v>132.167894027517</v>
      </c>
      <c r="AK46" s="11" t="n">
        <f aca="false">$F$25-AK28-AK29-AK30-AK31</f>
        <v>118.473604929526</v>
      </c>
      <c r="AL46" s="11" t="n">
        <f aca="false">$F$25-AL28-AL29-AL30-AL31</f>
        <v>107.240644329106</v>
      </c>
      <c r="AM46" s="11" t="n">
        <f aca="false">$F$25-AM28-AM29-AM30-AM31</f>
        <v>98.1725553021566</v>
      </c>
      <c r="AN46" s="11" t="n">
        <f aca="false">$F$25-AN28-AN29-AN30-AN31</f>
        <v>91.0446976119498</v>
      </c>
      <c r="AO46" s="11" t="n">
        <f aca="false">$F$25-AO28-AO29-AO30-AO31</f>
        <v>85.6601760987389</v>
      </c>
      <c r="AP46" s="11" t="n">
        <f aca="false">$F$25-AP28-AP29-AP30-AP31</f>
        <v>81.1614904871728</v>
      </c>
      <c r="AQ46" s="11" t="n">
        <f aca="false">$F$25-AQ28-AQ29-AQ30-AQ31</f>
        <v>36.9766309247543</v>
      </c>
      <c r="AR46" s="11" t="n">
        <f aca="false">$F$25-AR28-AR29-AR30-AR31</f>
        <v>3.01902730978998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693.496150463468</v>
      </c>
      <c r="J47" s="11" t="n">
        <f aca="false">MIN($F$26*J45/(1-Inputs!$F$92/100*Inputs!$F$73*$F$26),J46)</f>
        <v>96.5342212804864</v>
      </c>
      <c r="K47" s="11" t="n">
        <f aca="false">MIN($F$26*K45/(1-Inputs!$F$92/100*Inputs!$F$73*$F$26),K46)</f>
        <v>2.02010697574624</v>
      </c>
      <c r="L47" s="11" t="n">
        <f aca="false">MIN($F$26*L45/(1-Inputs!$F$92/100*Inputs!$F$73*$F$26),L46)</f>
        <v>2.5792455605968</v>
      </c>
      <c r="M47" s="11" t="n">
        <f aca="false">MIN($F$26*M45/(1-Inputs!$F$92/100*Inputs!$F$73*$F$26),M46)</f>
        <v>3.65266992861151</v>
      </c>
      <c r="N47" s="11" t="n">
        <f aca="false">MIN($F$26*N45/(1-Inputs!$F$92/100*Inputs!$F$73*$F$26),N46)</f>
        <v>5.26644124548453</v>
      </c>
      <c r="O47" s="11" t="n">
        <f aca="false">MIN($F$26*O45/(1-Inputs!$F$92/100*Inputs!$F$73*$F$26),O46)</f>
        <v>7.26409115754928</v>
      </c>
      <c r="P47" s="11" t="n">
        <f aca="false">MIN($F$26*P45/(1-Inputs!$F$92/100*Inputs!$F$73*$F$26),P46)</f>
        <v>9.48050158765097</v>
      </c>
      <c r="Q47" s="11" t="n">
        <f aca="false">MIN($F$26*Q45/(1-Inputs!$F$92/100*Inputs!$F$73*$F$26),Q46)</f>
        <v>12.0381295212686</v>
      </c>
      <c r="R47" s="11" t="n">
        <f aca="false">MIN($F$26*R45/(1-Inputs!$F$92/100*Inputs!$F$73*$F$26),R46)</f>
        <v>14.5867649295378</v>
      </c>
      <c r="S47" s="11" t="n">
        <f aca="false">MIN($F$26*S45/(1-Inputs!$F$92/100*Inputs!$F$73*$F$26),S46)</f>
        <v>17.1822585946665</v>
      </c>
      <c r="T47" s="11" t="n">
        <f aca="false">MIN($F$26*T45/(1-Inputs!$F$92/100*Inputs!$F$73*$F$26),T46)</f>
        <v>19.6106742709367</v>
      </c>
      <c r="U47" s="11" t="n">
        <f aca="false">MIN($F$26*U45/(1-Inputs!$F$92/100*Inputs!$F$73*$F$26),U46)</f>
        <v>21.940702725416</v>
      </c>
      <c r="V47" s="11" t="n">
        <f aca="false">MIN($F$26*V45/(1-Inputs!$F$92/100*Inputs!$F$73*$F$26),V46)</f>
        <v>23.9881602294374</v>
      </c>
      <c r="W47" s="11" t="n">
        <f aca="false">MIN($F$26*W45/(1-Inputs!$F$92/100*Inputs!$F$73*$F$26),W46)</f>
        <v>25.6902418240544</v>
      </c>
      <c r="X47" s="11" t="n">
        <f aca="false">MIN($F$26*X45/(1-Inputs!$F$92/100*Inputs!$F$73*$F$26),X46)</f>
        <v>27.1003996894563</v>
      </c>
      <c r="Y47" s="11" t="n">
        <f aca="false">MIN($F$26*Y45/(1-Inputs!$F$92/100*Inputs!$F$73*$F$26),Y46)</f>
        <v>28.0381279831023</v>
      </c>
      <c r="Z47" s="11" t="n">
        <f aca="false">MIN($F$26*Z45/(1-Inputs!$F$92/100*Inputs!$F$73*$F$26),Z46)</f>
        <v>28.6269354862421</v>
      </c>
      <c r="AA47" s="11" t="n">
        <f aca="false">MIN($F$26*AA45/(1-Inputs!$F$92/100*Inputs!$F$73*$F$26),AA46)</f>
        <v>29.697100229813</v>
      </c>
      <c r="AB47" s="11" t="n">
        <f aca="false">MIN($F$26*AB45/(1-Inputs!$F$92/100*Inputs!$F$73*$F$26),AB46)</f>
        <v>28.3243623562185</v>
      </c>
      <c r="AC47" s="11" t="n">
        <f aca="false">MIN($F$26*AC45/(1-Inputs!$F$92/100*Inputs!$F$73*$F$26),AC46)</f>
        <v>27.6534962764207</v>
      </c>
      <c r="AD47" s="11" t="n">
        <f aca="false">MIN($F$26*AD45/(1-Inputs!$F$92/100*Inputs!$F$73*$F$26),AD46)</f>
        <v>26.4329704572116</v>
      </c>
      <c r="AE47" s="11" t="n">
        <f aca="false">MIN($F$26*AE45/(1-Inputs!$F$92/100*Inputs!$F$73*$F$26),AE46)</f>
        <v>24.9405385818698</v>
      </c>
      <c r="AF47" s="11" t="n">
        <f aca="false">MIN($F$26*AF45/(1-Inputs!$F$92/100*Inputs!$F$73*$F$26),AF46)</f>
        <v>23.0183595265903</v>
      </c>
      <c r="AG47" s="11" t="n">
        <f aca="false">MIN($F$26*AG45/(1-Inputs!$F$92/100*Inputs!$F$73*$F$26),AG46)</f>
        <v>20.9420235720594</v>
      </c>
      <c r="AH47" s="11" t="n">
        <f aca="false">MIN($F$26*AH45/(1-Inputs!$F$92/100*Inputs!$F$73*$F$26),AH46)</f>
        <v>18.6121353187543</v>
      </c>
      <c r="AI47" s="11" t="n">
        <f aca="false">MIN($F$26*AI45/(1-Inputs!$F$92/100*Inputs!$F$73*$F$26),AI46)</f>
        <v>16.1075971267691</v>
      </c>
      <c r="AJ47" s="11" t="n">
        <f aca="false">MIN($F$26*AJ45/(1-Inputs!$F$92/100*Inputs!$F$73*$F$26),AJ46)</f>
        <v>13.6942890979912</v>
      </c>
      <c r="AK47" s="11" t="n">
        <f aca="false">MIN($F$26*AK45/(1-Inputs!$F$92/100*Inputs!$F$73*$F$26),AK46)</f>
        <v>11.2329606004204</v>
      </c>
      <c r="AL47" s="11" t="n">
        <f aca="false">MIN($F$26*AL45/(1-Inputs!$F$92/100*Inputs!$F$73*$F$26),AL46)</f>
        <v>9.06808902694903</v>
      </c>
      <c r="AM47" s="11" t="n">
        <f aca="false">MIN($F$26*AM45/(1-Inputs!$F$92/100*Inputs!$F$73*$F$26),AM46)</f>
        <v>7.12785769020686</v>
      </c>
      <c r="AN47" s="11" t="n">
        <f aca="false">MIN($F$26*AN45/(1-Inputs!$F$92/100*Inputs!$F$73*$F$26),AN46)</f>
        <v>5.38452151321092</v>
      </c>
      <c r="AO47" s="11" t="n">
        <f aca="false">MIN($F$26*AO45/(1-Inputs!$F$92/100*Inputs!$F$73*$F$26),AO46)</f>
        <v>4.49868561156611</v>
      </c>
      <c r="AP47" s="11" t="n">
        <f aca="false">MIN($F$26*AP45/(1-Inputs!$F$92/100*Inputs!$F$73*$F$26),AP46)</f>
        <v>44.1848595624184</v>
      </c>
      <c r="AQ47" s="11" t="n">
        <f aca="false">MIN($F$26*AQ45/(1-Inputs!$F$92/100*Inputs!$F$73*$F$26),AQ46)</f>
        <v>33.9576036149644</v>
      </c>
      <c r="AR47" s="11" t="n">
        <f aca="false">MIN($F$26*AR45/(1-Inputs!$F$92/100*Inputs!$F$73*$F$26),AR46)</f>
        <v>3.01902730978998</v>
      </c>
      <c r="AS47" s="11" t="n">
        <f aca="false">MIN($F$26*AS45/(1-Inputs!$F$92/100*Inputs!$F$73*$F$26),AS46)</f>
        <v>0</v>
      </c>
      <c r="AT47" s="11" t="n">
        <f aca="false">MIN($F$26*AT45/(1-Inputs!$F$92/100*Inputs!$F$73*$F$26),AT46)</f>
        <v>0</v>
      </c>
      <c r="AU47" s="11" t="n">
        <f aca="false">MIN($F$26*AU45/(1-Inputs!$F$92/100*Inputs!$F$73*$F$26),AU46)</f>
        <v>0</v>
      </c>
      <c r="AV47" s="11" t="n">
        <f aca="false">MIN($F$26*AV45/(1-Inputs!$F$92/100*Inputs!$F$73*$F$26),AV46)</f>
        <v>0</v>
      </c>
      <c r="AW47" s="11" t="n">
        <f aca="false">MIN($F$26*AW45/(1-Inputs!$F$92/100*Inputs!$F$73*$F$26),AW46)</f>
        <v>0</v>
      </c>
      <c r="AX47" s="11" t="n">
        <f aca="false">MIN($F$26*AX45/(1-Inputs!$F$92/100*Inputs!$F$73*$F$26),AX46)</f>
        <v>0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22.5732996975859</v>
      </c>
      <c r="J48" s="11" t="n">
        <f aca="false">Inputs!$F$92/100*Inputs!$F$73*J47</f>
        <v>3.14218890267983</v>
      </c>
      <c r="K48" s="11" t="n">
        <f aca="false">Inputs!$F$92/100*Inputs!$F$73*K47</f>
        <v>0.06575448206054</v>
      </c>
      <c r="L48" s="11" t="n">
        <f aca="false">Inputs!$F$92/100*Inputs!$F$73*L47</f>
        <v>0.0839544429974259</v>
      </c>
      <c r="M48" s="11" t="n">
        <f aca="false">Inputs!$F$92/100*Inputs!$F$73*M47</f>
        <v>0.118894406176305</v>
      </c>
      <c r="N48" s="11" t="n">
        <f aca="false">Inputs!$F$92/100*Inputs!$F$73*N47</f>
        <v>0.171422662540522</v>
      </c>
      <c r="O48" s="11" t="n">
        <f aca="false">Inputs!$F$92/100*Inputs!$F$73*O47</f>
        <v>0.236446167178229</v>
      </c>
      <c r="P48" s="11" t="n">
        <f aca="false">Inputs!$F$92/100*Inputs!$F$73*P47</f>
        <v>0.308590326678039</v>
      </c>
      <c r="Q48" s="11" t="n">
        <f aca="false">Inputs!$F$92/100*Inputs!$F$73*Q47</f>
        <v>0.391841115917294</v>
      </c>
      <c r="R48" s="11" t="n">
        <f aca="false">Inputs!$F$92/100*Inputs!$F$73*R47</f>
        <v>0.474799198456454</v>
      </c>
      <c r="S48" s="11" t="n">
        <f aca="false">Inputs!$F$92/100*Inputs!$F$73*S47</f>
        <v>0.559282517256394</v>
      </c>
      <c r="T48" s="11" t="n">
        <f aca="false">Inputs!$F$92/100*Inputs!$F$73*T47</f>
        <v>0.63832744751899</v>
      </c>
      <c r="U48" s="11" t="n">
        <f aca="false">Inputs!$F$92/100*Inputs!$F$73*U47</f>
        <v>0.714169873712292</v>
      </c>
      <c r="V48" s="11" t="n">
        <f aca="false">Inputs!$F$92/100*Inputs!$F$73*V47</f>
        <v>0.780814615468187</v>
      </c>
      <c r="W48" s="11" t="n">
        <f aca="false">Inputs!$F$92/100*Inputs!$F$73*W47</f>
        <v>0.836217371372971</v>
      </c>
      <c r="X48" s="11" t="n">
        <f aca="false">Inputs!$F$92/100*Inputs!$F$73*X47</f>
        <v>0.882118009891804</v>
      </c>
      <c r="Y48" s="11" t="n">
        <f aca="false">Inputs!$F$92/100*Inputs!$F$73*Y47</f>
        <v>0.912641065849981</v>
      </c>
      <c r="Z48" s="11" t="n">
        <f aca="false">Inputs!$F$92/100*Inputs!$F$73*Z47</f>
        <v>0.931806750077181</v>
      </c>
      <c r="AA48" s="11" t="n">
        <f aca="false">Inputs!$F$92/100*Inputs!$F$73*AA47</f>
        <v>0.966640612480412</v>
      </c>
      <c r="AB48" s="11" t="n">
        <f aca="false">Inputs!$F$92/100*Inputs!$F$73*AB47</f>
        <v>0.921957994694913</v>
      </c>
      <c r="AC48" s="11" t="n">
        <f aca="false">Inputs!$F$92/100*Inputs!$F$73*AC47</f>
        <v>0.900121303797494</v>
      </c>
      <c r="AD48" s="11" t="n">
        <f aca="false">Inputs!$F$92/100*Inputs!$F$73*AD47</f>
        <v>0.860393188382238</v>
      </c>
      <c r="AE48" s="11" t="n">
        <f aca="false">Inputs!$F$92/100*Inputs!$F$73*AE47</f>
        <v>0.811814530839862</v>
      </c>
      <c r="AF48" s="11" t="n">
        <f aca="false">Inputs!$F$92/100*Inputs!$F$73*AF47</f>
        <v>0.749247602590513</v>
      </c>
      <c r="AG48" s="11" t="n">
        <f aca="false">Inputs!$F$92/100*Inputs!$F$73*AG47</f>
        <v>0.681662867270534</v>
      </c>
      <c r="AH48" s="11" t="n">
        <f aca="false">Inputs!$F$92/100*Inputs!$F$73*AH47</f>
        <v>0.605825004625452</v>
      </c>
      <c r="AI48" s="11" t="n">
        <f aca="false">Inputs!$F$92/100*Inputs!$F$73*AI47</f>
        <v>0.524302286476334</v>
      </c>
      <c r="AJ48" s="11" t="n">
        <f aca="false">Inputs!$F$92/100*Inputs!$F$73*AJ47</f>
        <v>0.445749110139615</v>
      </c>
      <c r="AK48" s="11" t="n">
        <f aca="false">Inputs!$F$92/100*Inputs!$F$73*AK47</f>
        <v>0.365632867543685</v>
      </c>
      <c r="AL48" s="11" t="n">
        <f aca="false">Inputs!$F$92/100*Inputs!$F$73*AL47</f>
        <v>0.295166297827191</v>
      </c>
      <c r="AM48" s="11" t="n">
        <f aca="false">Inputs!$F$92/100*Inputs!$F$73*AM47</f>
        <v>0.232011767816233</v>
      </c>
      <c r="AN48" s="11" t="n">
        <f aca="false">Inputs!$F$92/100*Inputs!$F$73*AN47</f>
        <v>0.175266175255015</v>
      </c>
      <c r="AO48" s="11" t="n">
        <f aca="false">Inputs!$F$92/100*Inputs!$F$73*AO47</f>
        <v>0.146432216656477</v>
      </c>
      <c r="AP48" s="11" t="n">
        <f aca="false">Inputs!$F$92/100*Inputs!$F$73*AP47</f>
        <v>1.43821717875672</v>
      </c>
      <c r="AQ48" s="11" t="n">
        <f aca="false">Inputs!$F$92/100*Inputs!$F$73*AQ47</f>
        <v>1.10531999766709</v>
      </c>
      <c r="AR48" s="11" t="n">
        <f aca="false">Inputs!$F$92/100*Inputs!$F$73*AR47</f>
        <v>0.0982693389336637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936.432450796817</v>
      </c>
      <c r="J49" s="11" t="n">
        <f aca="false">J45+J48</f>
        <v>130.350799148683</v>
      </c>
      <c r="K49" s="11" t="n">
        <f aca="false">K45+K48</f>
        <v>2.72776384541654</v>
      </c>
      <c r="L49" s="11" t="n">
        <f aca="false">L45+L48</f>
        <v>3.48277238439221</v>
      </c>
      <c r="M49" s="11" t="n">
        <f aca="false">M45+M48</f>
        <v>4.9322244267911</v>
      </c>
      <c r="N49" s="11" t="n">
        <f aca="false">N45+N48</f>
        <v>7.11131053747113</v>
      </c>
      <c r="O49" s="11" t="n">
        <f aca="false">O45+O48</f>
        <v>9.80875046087757</v>
      </c>
      <c r="P49" s="11" t="n">
        <f aca="false">P45+P48</f>
        <v>12.8015841624701</v>
      </c>
      <c r="Q49" s="11" t="n">
        <f aca="false">Q45+Q48</f>
        <v>16.255166121798</v>
      </c>
      <c r="R49" s="11" t="n">
        <f aca="false">R45+R48</f>
        <v>19.6966054145151</v>
      </c>
      <c r="S49" s="11" t="n">
        <f aca="false">S45+S48</f>
        <v>23.2013177222039</v>
      </c>
      <c r="T49" s="11" t="n">
        <f aca="false">T45+T48</f>
        <v>26.4804235135819</v>
      </c>
      <c r="U49" s="11" t="n">
        <f aca="false">U45+U48</f>
        <v>29.6266763869341</v>
      </c>
      <c r="V49" s="11" t="n">
        <f aca="false">V45+V48</f>
        <v>32.3913718320519</v>
      </c>
      <c r="W49" s="11" t="n">
        <f aca="false">W45+W48</f>
        <v>34.6897038963873</v>
      </c>
      <c r="X49" s="11" t="n">
        <f aca="false">X45+X48</f>
        <v>36.5938494133108</v>
      </c>
      <c r="Y49" s="11" t="n">
        <f aca="false">Y45+Y48</f>
        <v>37.8600701466395</v>
      </c>
      <c r="Z49" s="11" t="n">
        <f aca="false">Z45+Z48</f>
        <v>38.6551408227265</v>
      </c>
      <c r="AA49" s="11" t="n">
        <f aca="false">AA45+AA48</f>
        <v>40.1001913726231</v>
      </c>
      <c r="AB49" s="11" t="n">
        <f aca="false">AB45+AB48</f>
        <v>38.2465743187828</v>
      </c>
      <c r="AC49" s="11" t="n">
        <f aca="false">AC45+AC48</f>
        <v>37.3406994024741</v>
      </c>
      <c r="AD49" s="11" t="n">
        <f aca="false">AD45+AD48</f>
        <v>35.692615295044</v>
      </c>
      <c r="AE49" s="11" t="n">
        <f aca="false">AE45+AE48</f>
        <v>33.6773746369097</v>
      </c>
      <c r="AF49" s="11" t="n">
        <f aca="false">AF45+AF48</f>
        <v>31.0818435118951</v>
      </c>
      <c r="AG49" s="11" t="n">
        <f aca="false">AG45+AG48</f>
        <v>28.2781533035509</v>
      </c>
      <c r="AH49" s="11" t="n">
        <f aca="false">AH45+AH48</f>
        <v>25.1320897447739</v>
      </c>
      <c r="AI49" s="11" t="n">
        <f aca="false">AI45+AI48</f>
        <v>21.7501952156297</v>
      </c>
      <c r="AJ49" s="11" t="n">
        <f aca="false">AJ45+AJ48</f>
        <v>18.491489380845</v>
      </c>
      <c r="AK49" s="11" t="n">
        <f aca="false">AK45+AK48</f>
        <v>15.1679411886078</v>
      </c>
      <c r="AL49" s="11" t="n">
        <f aca="false">AL45+AL48</f>
        <v>12.2447007468961</v>
      </c>
      <c r="AM49" s="11" t="n">
        <f aca="false">AM45+AM48</f>
        <v>9.62479350651127</v>
      </c>
      <c r="AN49" s="11" t="n">
        <f aca="false">AN45+AN48</f>
        <v>7.2707551060154</v>
      </c>
      <c r="AO49" s="11" t="n">
        <f aca="false">AO45+AO48</f>
        <v>6.07460501372335</v>
      </c>
      <c r="AP49" s="11" t="n">
        <f aca="false">AP45+AP48</f>
        <v>59.6631088730582</v>
      </c>
      <c r="AQ49" s="11" t="n">
        <f aca="false">AQ45+AQ48</f>
        <v>45.8531773465454</v>
      </c>
      <c r="AR49" s="11" t="n">
        <f aca="false">AR45+AR48</f>
        <v>4.07661259668105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936.432450796817</v>
      </c>
      <c r="J50" s="11" t="n">
        <f aca="false">J47/$F$26</f>
        <v>130.350799148683</v>
      </c>
      <c r="K50" s="11" t="n">
        <f aca="false">K47/$F$26</f>
        <v>2.72776384541654</v>
      </c>
      <c r="L50" s="11" t="n">
        <f aca="false">L47/$F$26</f>
        <v>3.48277238439221</v>
      </c>
      <c r="M50" s="11" t="n">
        <f aca="false">M47/$F$26</f>
        <v>4.9322244267911</v>
      </c>
      <c r="N50" s="11" t="n">
        <f aca="false">N47/$F$26</f>
        <v>7.11131053747113</v>
      </c>
      <c r="O50" s="11" t="n">
        <f aca="false">O47/$F$26</f>
        <v>9.80875046087757</v>
      </c>
      <c r="P50" s="11" t="n">
        <f aca="false">P47/$F$26</f>
        <v>12.8015841624701</v>
      </c>
      <c r="Q50" s="11" t="n">
        <f aca="false">Q47/$F$26</f>
        <v>16.255166121798</v>
      </c>
      <c r="R50" s="11" t="n">
        <f aca="false">R47/$F$26</f>
        <v>19.6966054145151</v>
      </c>
      <c r="S50" s="11" t="n">
        <f aca="false">S47/$F$26</f>
        <v>23.2013177222039</v>
      </c>
      <c r="T50" s="11" t="n">
        <f aca="false">T47/$F$26</f>
        <v>26.4804235135819</v>
      </c>
      <c r="U50" s="11" t="n">
        <f aca="false">U47/$F$26</f>
        <v>29.6266763869341</v>
      </c>
      <c r="V50" s="11" t="n">
        <f aca="false">V47/$F$26</f>
        <v>32.3913718320519</v>
      </c>
      <c r="W50" s="11" t="n">
        <f aca="false">W47/$F$26</f>
        <v>34.6897038963873</v>
      </c>
      <c r="X50" s="11" t="n">
        <f aca="false">X47/$F$26</f>
        <v>36.5938494133108</v>
      </c>
      <c r="Y50" s="11" t="n">
        <f aca="false">Y47/$F$26</f>
        <v>37.8600701466395</v>
      </c>
      <c r="Z50" s="11" t="n">
        <f aca="false">Z47/$F$26</f>
        <v>38.6551408227265</v>
      </c>
      <c r="AA50" s="11" t="n">
        <f aca="false">AA47/$F$26</f>
        <v>40.1001913726231</v>
      </c>
      <c r="AB50" s="11" t="n">
        <f aca="false">AB47/$F$26</f>
        <v>38.2465743187828</v>
      </c>
      <c r="AC50" s="11" t="n">
        <f aca="false">AC47/$F$26</f>
        <v>37.3406994024741</v>
      </c>
      <c r="AD50" s="11" t="n">
        <f aca="false">AD47/$F$26</f>
        <v>35.692615295044</v>
      </c>
      <c r="AE50" s="11" t="n">
        <f aca="false">AE47/$F$26</f>
        <v>33.6773746369097</v>
      </c>
      <c r="AF50" s="11" t="n">
        <f aca="false">AF47/$F$26</f>
        <v>31.0818435118951</v>
      </c>
      <c r="AG50" s="11" t="n">
        <f aca="false">AG47/$F$26</f>
        <v>28.2781533035509</v>
      </c>
      <c r="AH50" s="11" t="n">
        <f aca="false">AH47/$F$26</f>
        <v>25.1320897447739</v>
      </c>
      <c r="AI50" s="11" t="n">
        <f aca="false">AI47/$F$26</f>
        <v>21.7501952156297</v>
      </c>
      <c r="AJ50" s="11" t="n">
        <f aca="false">AJ47/$F$26</f>
        <v>18.491489380845</v>
      </c>
      <c r="AK50" s="11" t="n">
        <f aca="false">AK47/$F$26</f>
        <v>15.1679411886078</v>
      </c>
      <c r="AL50" s="11" t="n">
        <f aca="false">AL47/$F$26</f>
        <v>12.2447007468961</v>
      </c>
      <c r="AM50" s="11" t="n">
        <f aca="false">AM47/$F$26</f>
        <v>9.62479350651127</v>
      </c>
      <c r="AN50" s="11" t="n">
        <f aca="false">AN47/$F$26</f>
        <v>7.2707551060154</v>
      </c>
      <c r="AO50" s="11" t="n">
        <f aca="false">AO47/$F$26</f>
        <v>6.07460501372335</v>
      </c>
      <c r="AP50" s="11" t="n">
        <f aca="false">AP47/$F$26</f>
        <v>59.6631088730582</v>
      </c>
      <c r="AQ50" s="11" t="n">
        <f aca="false">AQ47/$F$26</f>
        <v>45.8531773465454</v>
      </c>
      <c r="AR50" s="11" t="n">
        <f aca="false">AR47/$F$26</f>
        <v>4.07661259668099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6.30606677987089E-014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4.72955008490317E-014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4.72955008490317E-014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1.57651669496772E-014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1.57651669496772E-014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208.04884513904</v>
      </c>
      <c r="J57" s="11" t="n">
        <f aca="false">Inputs!$F$73*J47</f>
        <v>28.9602663841459</v>
      </c>
      <c r="K57" s="11" t="n">
        <f aca="false">Inputs!$F$73*K47</f>
        <v>0.606032092723871</v>
      </c>
      <c r="L57" s="11" t="n">
        <f aca="false">Inputs!$F$73*L47</f>
        <v>0.77377366817904</v>
      </c>
      <c r="M57" s="11" t="n">
        <f aca="false">Inputs!$F$73*M47</f>
        <v>1.09580097858345</v>
      </c>
      <c r="N57" s="11" t="n">
        <f aca="false">Inputs!$F$73*N47</f>
        <v>1.57993237364536</v>
      </c>
      <c r="O57" s="11" t="n">
        <f aca="false">Inputs!$F$73*O47</f>
        <v>2.17922734726479</v>
      </c>
      <c r="P57" s="11" t="n">
        <f aca="false">Inputs!$F$73*P47</f>
        <v>2.84415047629529</v>
      </c>
      <c r="Q57" s="11" t="n">
        <f aca="false">Inputs!$F$73*Q47</f>
        <v>3.61143885638059</v>
      </c>
      <c r="R57" s="11" t="n">
        <f aca="false">Inputs!$F$73*R47</f>
        <v>4.37602947886133</v>
      </c>
      <c r="S57" s="11" t="n">
        <f aca="false">Inputs!$F$73*S47</f>
        <v>5.15467757839995</v>
      </c>
      <c r="T57" s="11" t="n">
        <f aca="false">Inputs!$F$73*T47</f>
        <v>5.88320228128102</v>
      </c>
      <c r="U57" s="11" t="n">
        <f aca="false">Inputs!$F$73*U47</f>
        <v>6.58221081762481</v>
      </c>
      <c r="V57" s="11" t="n">
        <f aca="false">Inputs!$F$73*V47</f>
        <v>7.19644806883122</v>
      </c>
      <c r="W57" s="11" t="n">
        <f aca="false">Inputs!$F$73*W47</f>
        <v>7.70707254721633</v>
      </c>
      <c r="X57" s="11" t="n">
        <f aca="false">Inputs!$F$73*X47</f>
        <v>8.1301199068369</v>
      </c>
      <c r="Y57" s="11" t="n">
        <f aca="false">Inputs!$F$73*Y47</f>
        <v>8.4114383949307</v>
      </c>
      <c r="Z57" s="11" t="n">
        <f aca="false">Inputs!$F$73*Z47</f>
        <v>8.58808064587263</v>
      </c>
      <c r="AA57" s="11" t="n">
        <f aca="false">Inputs!$F$73*AA47</f>
        <v>8.90913006894389</v>
      </c>
      <c r="AB57" s="11" t="n">
        <f aca="false">Inputs!$F$73*AB47</f>
        <v>8.49730870686556</v>
      </c>
      <c r="AC57" s="11" t="n">
        <f aca="false">Inputs!$F$73*AC47</f>
        <v>8.29604888292621</v>
      </c>
      <c r="AD57" s="11" t="n">
        <f aca="false">Inputs!$F$73*AD47</f>
        <v>7.92989113716349</v>
      </c>
      <c r="AE57" s="11" t="n">
        <f aca="false">Inputs!$F$73*AE47</f>
        <v>7.48216157456094</v>
      </c>
      <c r="AF57" s="11" t="n">
        <f aca="false">Inputs!$F$73*AF47</f>
        <v>6.90550785797708</v>
      </c>
      <c r="AG57" s="11" t="n">
        <f aca="false">Inputs!$F$73*AG47</f>
        <v>6.28260707161783</v>
      </c>
      <c r="AH57" s="11" t="n">
        <f aca="false">Inputs!$F$73*AH47</f>
        <v>5.58364059562629</v>
      </c>
      <c r="AI57" s="11" t="n">
        <f aca="false">Inputs!$F$73*AI47</f>
        <v>4.83227913803073</v>
      </c>
      <c r="AJ57" s="11" t="n">
        <f aca="false">Inputs!$F$73*AJ47</f>
        <v>4.10828672939737</v>
      </c>
      <c r="AK57" s="11" t="n">
        <f aca="false">Inputs!$F$73*AK47</f>
        <v>3.36988818012613</v>
      </c>
      <c r="AL57" s="11" t="n">
        <f aca="false">Inputs!$F$73*AL47</f>
        <v>2.72042670808471</v>
      </c>
      <c r="AM57" s="11" t="n">
        <f aca="false">Inputs!$F$73*AM47</f>
        <v>2.13835730706206</v>
      </c>
      <c r="AN57" s="11" t="n">
        <f aca="false">Inputs!$F$73*AN47</f>
        <v>1.61535645396327</v>
      </c>
      <c r="AO57" s="11" t="n">
        <f aca="false">Inputs!$F$73*AO47</f>
        <v>1.34960568346983</v>
      </c>
      <c r="AP57" s="11" t="n">
        <f aca="false">Inputs!$F$73*AP47</f>
        <v>13.2554578687255</v>
      </c>
      <c r="AQ57" s="11" t="n">
        <f aca="false">Inputs!$F$73*AQ47</f>
        <v>10.1872810844893</v>
      </c>
      <c r="AR57" s="11" t="n">
        <f aca="false">Inputs!$F$73*AR47</f>
        <v>0.905708192936993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152.569153101963</v>
      </c>
      <c r="J58" s="11" t="n">
        <f aca="false">Inputs!$F$74*J47</f>
        <v>21.237528681707</v>
      </c>
      <c r="K58" s="11" t="n">
        <f aca="false">Inputs!$F$74*K47</f>
        <v>0.444423534664172</v>
      </c>
      <c r="L58" s="11" t="n">
        <f aca="false">Inputs!$F$74*L47</f>
        <v>0.567434023331296</v>
      </c>
      <c r="M58" s="11" t="n">
        <f aca="false">Inputs!$F$74*M47</f>
        <v>0.803587384294532</v>
      </c>
      <c r="N58" s="11" t="n">
        <f aca="false">Inputs!$F$74*N47</f>
        <v>1.1586170740066</v>
      </c>
      <c r="O58" s="11" t="n">
        <f aca="false">Inputs!$F$74*O47</f>
        <v>1.59810005466084</v>
      </c>
      <c r="P58" s="11" t="n">
        <f aca="false">Inputs!$F$74*P47</f>
        <v>2.08571034928321</v>
      </c>
      <c r="Q58" s="11" t="n">
        <f aca="false">Inputs!$F$74*Q47</f>
        <v>2.6483884946791</v>
      </c>
      <c r="R58" s="11" t="n">
        <f aca="false">Inputs!$F$74*R47</f>
        <v>3.20908828449831</v>
      </c>
      <c r="S58" s="11" t="n">
        <f aca="false">Inputs!$F$74*S47</f>
        <v>3.78009689082663</v>
      </c>
      <c r="T58" s="11" t="n">
        <f aca="false">Inputs!$F$74*T47</f>
        <v>4.31434833960608</v>
      </c>
      <c r="U58" s="11" t="n">
        <f aca="false">Inputs!$F$74*U47</f>
        <v>4.82695459959153</v>
      </c>
      <c r="V58" s="11" t="n">
        <f aca="false">Inputs!$F$74*V47</f>
        <v>5.27739525047623</v>
      </c>
      <c r="W58" s="11" t="n">
        <f aca="false">Inputs!$F$74*W47</f>
        <v>5.65185320129197</v>
      </c>
      <c r="X58" s="11" t="n">
        <f aca="false">Inputs!$F$74*X47</f>
        <v>5.96208793168039</v>
      </c>
      <c r="Y58" s="11" t="n">
        <f aca="false">Inputs!$F$74*Y47</f>
        <v>6.16838815628252</v>
      </c>
      <c r="Z58" s="11" t="n">
        <f aca="false">Inputs!$F$74*Z47</f>
        <v>6.29792580697326</v>
      </c>
      <c r="AA58" s="11" t="n">
        <f aca="false">Inputs!$F$74*AA47</f>
        <v>6.53336205055885</v>
      </c>
      <c r="AB58" s="11" t="n">
        <f aca="false">Inputs!$F$74*AB47</f>
        <v>6.23135971836808</v>
      </c>
      <c r="AC58" s="11" t="n">
        <f aca="false">Inputs!$F$74*AC47</f>
        <v>6.08376918081255</v>
      </c>
      <c r="AD58" s="11" t="n">
        <f aca="false">Inputs!$F$74*AD47</f>
        <v>5.81525350058656</v>
      </c>
      <c r="AE58" s="11" t="n">
        <f aca="false">Inputs!$F$74*AE47</f>
        <v>5.48691848801136</v>
      </c>
      <c r="AF58" s="11" t="n">
        <f aca="false">Inputs!$F$74*AF47</f>
        <v>5.06403909584986</v>
      </c>
      <c r="AG58" s="11" t="n">
        <f aca="false">Inputs!$F$74*AG47</f>
        <v>4.60724518585308</v>
      </c>
      <c r="AH58" s="11" t="n">
        <f aca="false">Inputs!$F$74*AH47</f>
        <v>4.09466977012594</v>
      </c>
      <c r="AI58" s="11" t="n">
        <f aca="false">Inputs!$F$74*AI47</f>
        <v>3.5436713678892</v>
      </c>
      <c r="AJ58" s="11" t="n">
        <f aca="false">Inputs!$F$74*AJ47</f>
        <v>3.01274360155807</v>
      </c>
      <c r="AK58" s="11" t="n">
        <f aca="false">Inputs!$F$74*AK47</f>
        <v>2.4712513320925</v>
      </c>
      <c r="AL58" s="11" t="n">
        <f aca="false">Inputs!$F$74*AL47</f>
        <v>1.99497958592879</v>
      </c>
      <c r="AM58" s="11" t="n">
        <f aca="false">Inputs!$F$74*AM47</f>
        <v>1.56812869184551</v>
      </c>
      <c r="AN58" s="11" t="n">
        <f aca="false">Inputs!$F$74*AN47</f>
        <v>1.1845947329064</v>
      </c>
      <c r="AO58" s="11" t="n">
        <f aca="false">Inputs!$F$74*AO47</f>
        <v>0.989710834544544</v>
      </c>
      <c r="AP58" s="11" t="n">
        <f aca="false">Inputs!$F$74*AP47</f>
        <v>9.72066910373206</v>
      </c>
      <c r="AQ58" s="11" t="n">
        <f aca="false">Inputs!$F$74*AQ47</f>
        <v>7.47067279529216</v>
      </c>
      <c r="AR58" s="11" t="n">
        <f aca="false">Inputs!$F$74*AR47</f>
        <v>0.664186008153795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69.3496150463468</v>
      </c>
      <c r="J59" s="11" t="n">
        <f aca="false">Inputs!$F$75*J47</f>
        <v>9.65342212804864</v>
      </c>
      <c r="K59" s="11" t="n">
        <f aca="false">Inputs!$F$75*K47</f>
        <v>0.202010697574624</v>
      </c>
      <c r="L59" s="11" t="n">
        <f aca="false">Inputs!$F$75*L47</f>
        <v>0.25792455605968</v>
      </c>
      <c r="M59" s="11" t="n">
        <f aca="false">Inputs!$F$75*M47</f>
        <v>0.365266992861151</v>
      </c>
      <c r="N59" s="11" t="n">
        <f aca="false">Inputs!$F$75*N47</f>
        <v>0.526644124548453</v>
      </c>
      <c r="O59" s="11" t="n">
        <f aca="false">Inputs!$F$75*O47</f>
        <v>0.726409115754928</v>
      </c>
      <c r="P59" s="11" t="n">
        <f aca="false">Inputs!$F$75*P47</f>
        <v>0.948050158765097</v>
      </c>
      <c r="Q59" s="11" t="n">
        <f aca="false">Inputs!$F$75*Q47</f>
        <v>1.20381295212686</v>
      </c>
      <c r="R59" s="11" t="n">
        <f aca="false">Inputs!$F$75*R47</f>
        <v>1.45867649295378</v>
      </c>
      <c r="S59" s="11" t="n">
        <f aca="false">Inputs!$F$75*S47</f>
        <v>1.71822585946665</v>
      </c>
      <c r="T59" s="11" t="n">
        <f aca="false">Inputs!$F$75*T47</f>
        <v>1.96106742709367</v>
      </c>
      <c r="U59" s="11" t="n">
        <f aca="false">Inputs!$F$75*U47</f>
        <v>2.1940702725416</v>
      </c>
      <c r="V59" s="11" t="n">
        <f aca="false">Inputs!$F$75*V47</f>
        <v>2.39881602294374</v>
      </c>
      <c r="W59" s="11" t="n">
        <f aca="false">Inputs!$F$75*W47</f>
        <v>2.56902418240544</v>
      </c>
      <c r="X59" s="11" t="n">
        <f aca="false">Inputs!$F$75*X47</f>
        <v>2.71003996894563</v>
      </c>
      <c r="Y59" s="11" t="n">
        <f aca="false">Inputs!$F$75*Y47</f>
        <v>2.80381279831023</v>
      </c>
      <c r="Z59" s="11" t="n">
        <f aca="false">Inputs!$F$75*Z47</f>
        <v>2.86269354862421</v>
      </c>
      <c r="AA59" s="11" t="n">
        <f aca="false">Inputs!$F$75*AA47</f>
        <v>2.9697100229813</v>
      </c>
      <c r="AB59" s="11" t="n">
        <f aca="false">Inputs!$F$75*AB47</f>
        <v>2.83243623562185</v>
      </c>
      <c r="AC59" s="11" t="n">
        <f aca="false">Inputs!$F$75*AC47</f>
        <v>2.76534962764207</v>
      </c>
      <c r="AD59" s="11" t="n">
        <f aca="false">Inputs!$F$75*AD47</f>
        <v>2.64329704572116</v>
      </c>
      <c r="AE59" s="11" t="n">
        <f aca="false">Inputs!$F$75*AE47</f>
        <v>2.49405385818698</v>
      </c>
      <c r="AF59" s="11" t="n">
        <f aca="false">Inputs!$F$75*AF47</f>
        <v>2.30183595265903</v>
      </c>
      <c r="AG59" s="11" t="n">
        <f aca="false">Inputs!$F$75*AG47</f>
        <v>2.09420235720594</v>
      </c>
      <c r="AH59" s="11" t="n">
        <f aca="false">Inputs!$F$75*AH47</f>
        <v>1.86121353187543</v>
      </c>
      <c r="AI59" s="11" t="n">
        <f aca="false">Inputs!$F$75*AI47</f>
        <v>1.61075971267691</v>
      </c>
      <c r="AJ59" s="11" t="n">
        <f aca="false">Inputs!$F$75*AJ47</f>
        <v>1.36942890979912</v>
      </c>
      <c r="AK59" s="11" t="n">
        <f aca="false">Inputs!$F$75*AK47</f>
        <v>1.12329606004204</v>
      </c>
      <c r="AL59" s="11" t="n">
        <f aca="false">Inputs!$F$75*AL47</f>
        <v>0.906808902694903</v>
      </c>
      <c r="AM59" s="11" t="n">
        <f aca="false">Inputs!$F$75*AM47</f>
        <v>0.712785769020686</v>
      </c>
      <c r="AN59" s="11" t="n">
        <f aca="false">Inputs!$F$75*AN47</f>
        <v>0.538452151321092</v>
      </c>
      <c r="AO59" s="11" t="n">
        <f aca="false">Inputs!$F$75*AO47</f>
        <v>0.449868561156611</v>
      </c>
      <c r="AP59" s="11" t="n">
        <f aca="false">Inputs!$F$75*AP47</f>
        <v>4.41848595624184</v>
      </c>
      <c r="AQ59" s="11" t="n">
        <f aca="false">Inputs!$F$75*AQ47</f>
        <v>3.39576036149644</v>
      </c>
      <c r="AR59" s="11" t="n">
        <f aca="false">Inputs!$F$75*AR47</f>
        <v>0.301902730978998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263.528537176118</v>
      </c>
      <c r="J60" s="11" t="n">
        <f aca="false">Inputs!$F$76*J47</f>
        <v>36.6830040865848</v>
      </c>
      <c r="K60" s="11" t="n">
        <f aca="false">Inputs!$F$76*K47</f>
        <v>0.76764065078357</v>
      </c>
      <c r="L60" s="11" t="n">
        <f aca="false">Inputs!$F$76*L47</f>
        <v>0.980113313026784</v>
      </c>
      <c r="M60" s="11" t="n">
        <f aca="false">Inputs!$F$76*M47</f>
        <v>1.38801457287237</v>
      </c>
      <c r="N60" s="11" t="n">
        <f aca="false">Inputs!$F$76*N47</f>
        <v>2.00124767328412</v>
      </c>
      <c r="O60" s="11" t="n">
        <f aca="false">Inputs!$F$76*O47</f>
        <v>2.76035463986873</v>
      </c>
      <c r="P60" s="11" t="n">
        <f aca="false">Inputs!$F$76*P47</f>
        <v>3.60259060330737</v>
      </c>
      <c r="Q60" s="11" t="n">
        <f aca="false">Inputs!$F$76*Q47</f>
        <v>4.57448921808208</v>
      </c>
      <c r="R60" s="11" t="n">
        <f aca="false">Inputs!$F$76*R47</f>
        <v>5.54297067322435</v>
      </c>
      <c r="S60" s="11" t="n">
        <f aca="false">Inputs!$F$76*S47</f>
        <v>6.52925826597327</v>
      </c>
      <c r="T60" s="11" t="n">
        <f aca="false">Inputs!$F$76*T47</f>
        <v>7.45205622295595</v>
      </c>
      <c r="U60" s="11" t="n">
        <f aca="false">Inputs!$F$76*U47</f>
        <v>8.33746703565809</v>
      </c>
      <c r="V60" s="11" t="n">
        <f aca="false">Inputs!$F$76*V47</f>
        <v>9.11550088718621</v>
      </c>
      <c r="W60" s="11" t="n">
        <f aca="false">Inputs!$F$76*W47</f>
        <v>9.76229189314068</v>
      </c>
      <c r="X60" s="11" t="n">
        <f aca="false">Inputs!$F$76*X47</f>
        <v>10.2981518819934</v>
      </c>
      <c r="Y60" s="11" t="n">
        <f aca="false">Inputs!$F$76*Y47</f>
        <v>10.6544886335789</v>
      </c>
      <c r="Z60" s="11" t="n">
        <f aca="false">Inputs!$F$76*Z47</f>
        <v>10.878235484772</v>
      </c>
      <c r="AA60" s="11" t="n">
        <f aca="false">Inputs!$F$76*AA47</f>
        <v>11.2848980873289</v>
      </c>
      <c r="AB60" s="11" t="n">
        <f aca="false">Inputs!$F$76*AB47</f>
        <v>10.763257695363</v>
      </c>
      <c r="AC60" s="11" t="n">
        <f aca="false">Inputs!$F$76*AC47</f>
        <v>10.5083285850399</v>
      </c>
      <c r="AD60" s="11" t="n">
        <f aca="false">Inputs!$F$76*AD47</f>
        <v>10.0445287737404</v>
      </c>
      <c r="AE60" s="11" t="n">
        <f aca="false">Inputs!$F$76*AE47</f>
        <v>9.47740466111053</v>
      </c>
      <c r="AF60" s="11" t="n">
        <f aca="false">Inputs!$F$76*AF47</f>
        <v>8.7469766201043</v>
      </c>
      <c r="AG60" s="11" t="n">
        <f aca="false">Inputs!$F$76*AG47</f>
        <v>7.95796895738258</v>
      </c>
      <c r="AH60" s="11" t="n">
        <f aca="false">Inputs!$F$76*AH47</f>
        <v>7.07261142112663</v>
      </c>
      <c r="AI60" s="11" t="n">
        <f aca="false">Inputs!$F$76*AI47</f>
        <v>6.12088690817226</v>
      </c>
      <c r="AJ60" s="11" t="n">
        <f aca="false">Inputs!$F$76*AJ47</f>
        <v>5.20382985723667</v>
      </c>
      <c r="AK60" s="11" t="n">
        <f aca="false">Inputs!$F$76*AK47</f>
        <v>4.26852502815977</v>
      </c>
      <c r="AL60" s="11" t="n">
        <f aca="false">Inputs!$F$76*AL47</f>
        <v>3.44587383024063</v>
      </c>
      <c r="AM60" s="11" t="n">
        <f aca="false">Inputs!$F$76*AM47</f>
        <v>2.70858592227861</v>
      </c>
      <c r="AN60" s="11" t="n">
        <f aca="false">Inputs!$F$76*AN47</f>
        <v>2.04611817502015</v>
      </c>
      <c r="AO60" s="11" t="n">
        <f aca="false">Inputs!$F$76*AO47</f>
        <v>1.70950053239512</v>
      </c>
      <c r="AP60" s="11" t="n">
        <f aca="false">Inputs!$F$76*AP47</f>
        <v>16.790246633719</v>
      </c>
      <c r="AQ60" s="11" t="n">
        <f aca="false">Inputs!$F$76*AQ47</f>
        <v>12.9038893736865</v>
      </c>
      <c r="AR60" s="11" t="n">
        <f aca="false">Inputs!$F$76*AR47</f>
        <v>1.14723037772019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28.9602663841459</v>
      </c>
      <c r="K61" s="11" t="n">
        <f aca="false">K28+K57</f>
        <v>29.5662984768698</v>
      </c>
      <c r="L61" s="11" t="n">
        <f aca="false">L28+L57</f>
        <v>30.3400721450488</v>
      </c>
      <c r="M61" s="11" t="n">
        <f aca="false">M28+M57</f>
        <v>31.4358731236323</v>
      </c>
      <c r="N61" s="11" t="n">
        <f aca="false">N28+N57</f>
        <v>33.0158054972776</v>
      </c>
      <c r="O61" s="11" t="n">
        <f aca="false">O28+O57</f>
        <v>35.1950328445424</v>
      </c>
      <c r="P61" s="11" t="n">
        <f aca="false">P28+P57</f>
        <v>38.0391833208377</v>
      </c>
      <c r="Q61" s="11" t="n">
        <f aca="false">Q28+Q57</f>
        <v>41.6506221772183</v>
      </c>
      <c r="R61" s="11" t="n">
        <f aca="false">R28+R57</f>
        <v>46.0266516560796</v>
      </c>
      <c r="S61" s="11" t="n">
        <f aca="false">S28+S57</f>
        <v>51.1813292344796</v>
      </c>
      <c r="T61" s="11" t="n">
        <f aca="false">T28+T57</f>
        <v>57.0645315157606</v>
      </c>
      <c r="U61" s="11" t="n">
        <f aca="false">U28+U57</f>
        <v>63.6467423333854</v>
      </c>
      <c r="V61" s="11" t="n">
        <f aca="false">V28+V57</f>
        <v>70.8431904022166</v>
      </c>
      <c r="W61" s="11" t="n">
        <f aca="false">W28+W57</f>
        <v>78.550262949433</v>
      </c>
      <c r="X61" s="11" t="n">
        <f aca="false">X28+X57</f>
        <v>86.6803828562698</v>
      </c>
      <c r="Y61" s="11" t="n">
        <f aca="false">Y28+Y57</f>
        <v>95.0918212512005</v>
      </c>
      <c r="Z61" s="11" t="n">
        <f aca="false">Z28+Z57</f>
        <v>103.679901897073</v>
      </c>
      <c r="AA61" s="11" t="n">
        <f aca="false">AA28+AA57</f>
        <v>112.589031966017</v>
      </c>
      <c r="AB61" s="11" t="n">
        <f aca="false">AB28+AB57</f>
        <v>121.086340672883</v>
      </c>
      <c r="AC61" s="11" t="n">
        <f aca="false">AC28+AC57</f>
        <v>129.382389555809</v>
      </c>
      <c r="AD61" s="11" t="n">
        <f aca="false">AD28+AD57</f>
        <v>137.312280692972</v>
      </c>
      <c r="AE61" s="11" t="n">
        <f aca="false">AE28+AE57</f>
        <v>144.794442267533</v>
      </c>
      <c r="AF61" s="11" t="n">
        <f aca="false">AF28+AF57</f>
        <v>151.69995012551</v>
      </c>
      <c r="AG61" s="11" t="n">
        <f aca="false">AG28+AG57</f>
        <v>157.982557197128</v>
      </c>
      <c r="AH61" s="11" t="n">
        <f aca="false">AH28+AH57</f>
        <v>163.566197792754</v>
      </c>
      <c r="AI61" s="11" t="n">
        <f aca="false">AI28+AI57</f>
        <v>168.398476930785</v>
      </c>
      <c r="AJ61" s="11" t="n">
        <f aca="false">AJ28+AJ57</f>
        <v>172.506763660183</v>
      </c>
      <c r="AK61" s="11" t="n">
        <f aca="false">AK28+AK57</f>
        <v>175.876651840309</v>
      </c>
      <c r="AL61" s="11" t="n">
        <f aca="false">AL28+AL57</f>
        <v>178.597078548393</v>
      </c>
      <c r="AM61" s="11" t="n">
        <f aca="false">AM28+AM57</f>
        <v>180.735435855456</v>
      </c>
      <c r="AN61" s="11" t="n">
        <f aca="false">AN28+AN57</f>
        <v>182.350792309419</v>
      </c>
      <c r="AO61" s="11" t="n">
        <f aca="false">AO28+AO57</f>
        <v>183.700397992889</v>
      </c>
      <c r="AP61" s="11" t="n">
        <f aca="false">AP28+AP57</f>
        <v>196.955855861614</v>
      </c>
      <c r="AQ61" s="11" t="n">
        <f aca="false">AQ28+AQ57</f>
        <v>207.143136946103</v>
      </c>
      <c r="AR61" s="11" t="n">
        <f aca="false">AR28+AR57</f>
        <v>208.04884513904</v>
      </c>
      <c r="AS61" s="11" t="n">
        <f aca="false">AS28+AS57</f>
        <v>208.04884513904</v>
      </c>
      <c r="AT61" s="11" t="n">
        <f aca="false">AT28+AT57</f>
        <v>208.04884513904</v>
      </c>
      <c r="AU61" s="11" t="n">
        <f aca="false">AU28+AU57</f>
        <v>208.04884513904</v>
      </c>
      <c r="AV61" s="11" t="n">
        <f aca="false">AV28+AV57</f>
        <v>208.04884513904</v>
      </c>
      <c r="AW61" s="11" t="n">
        <f aca="false">AW28+AW57</f>
        <v>208.04884513904</v>
      </c>
      <c r="AX61" s="11" t="n">
        <f aca="false">AX28+AX57</f>
        <v>208.04884513904</v>
      </c>
      <c r="AY61" s="11" t="n">
        <f aca="false">AY28+AY57</f>
        <v>208.04884513904</v>
      </c>
      <c r="AZ61" s="11" t="n">
        <f aca="false">AZ28+AZ57</f>
        <v>208.04884513904</v>
      </c>
      <c r="BA61" s="11" t="n">
        <f aca="false">BA28+BA57</f>
        <v>208.04884513904</v>
      </c>
      <c r="BB61" s="11" t="n">
        <f aca="false">BB28+BB57</f>
        <v>208.04884513904</v>
      </c>
      <c r="BC61" s="11" t="n">
        <f aca="false">BC28+BC57</f>
        <v>208.04884513904</v>
      </c>
      <c r="BD61" s="11" t="n">
        <f aca="false">BD28+BD57</f>
        <v>208.04884513904</v>
      </c>
      <c r="BE61" s="11" t="n">
        <f aca="false">BE28+BE57</f>
        <v>208.04884513904</v>
      </c>
      <c r="BF61" s="11" t="n">
        <f aca="false">BF28+BF57</f>
        <v>208.04884513904</v>
      </c>
      <c r="BG61" s="11" t="n">
        <f aca="false">BG28+BG57</f>
        <v>208.04884513904</v>
      </c>
      <c r="BH61" s="11" t="n">
        <f aca="false">BH28+BH57</f>
        <v>208.04884513904</v>
      </c>
      <c r="BI61" s="11" t="n">
        <f aca="false">BI28+BI57</f>
        <v>208.04884513904</v>
      </c>
      <c r="BJ61" s="11" t="n">
        <f aca="false">BJ28+BJ57</f>
        <v>208.04884513904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21.237528681707</v>
      </c>
      <c r="K62" s="11" t="n">
        <f aca="false">K29+K58</f>
        <v>21.6819522163712</v>
      </c>
      <c r="L62" s="11" t="n">
        <f aca="false">L29+L58</f>
        <v>22.2493862397025</v>
      </c>
      <c r="M62" s="11" t="n">
        <f aca="false">M29+M58</f>
        <v>23.052973623997</v>
      </c>
      <c r="N62" s="11" t="n">
        <f aca="false">N29+N58</f>
        <v>24.2115906980036</v>
      </c>
      <c r="O62" s="11" t="n">
        <f aca="false">O29+O58</f>
        <v>25.8096907526644</v>
      </c>
      <c r="P62" s="11" t="n">
        <f aca="false">P29+P58</f>
        <v>27.8954011019477</v>
      </c>
      <c r="Q62" s="11" t="n">
        <f aca="false">Q29+Q58</f>
        <v>30.5437895966268</v>
      </c>
      <c r="R62" s="11" t="n">
        <f aca="false">R29+R58</f>
        <v>33.7528778811251</v>
      </c>
      <c r="S62" s="11" t="n">
        <f aca="false">S29+S58</f>
        <v>37.5329747719517</v>
      </c>
      <c r="T62" s="11" t="n">
        <f aca="false">T29+T58</f>
        <v>41.8473231115578</v>
      </c>
      <c r="U62" s="11" t="n">
        <f aca="false">U29+U58</f>
        <v>46.6742777111493</v>
      </c>
      <c r="V62" s="11" t="n">
        <f aca="false">V29+V58</f>
        <v>51.9516729616255</v>
      </c>
      <c r="W62" s="11" t="n">
        <f aca="false">W29+W58</f>
        <v>57.6035261629175</v>
      </c>
      <c r="X62" s="11" t="n">
        <f aca="false">X29+X58</f>
        <v>63.5656140945979</v>
      </c>
      <c r="Y62" s="11" t="n">
        <f aca="false">Y29+Y58</f>
        <v>69.7340022508804</v>
      </c>
      <c r="Z62" s="11" t="n">
        <f aca="false">Z29+Z58</f>
        <v>76.0319280578537</v>
      </c>
      <c r="AA62" s="11" t="n">
        <f aca="false">AA29+AA58</f>
        <v>82.5652901084125</v>
      </c>
      <c r="AB62" s="11" t="n">
        <f aca="false">AB29+AB58</f>
        <v>88.7966498267806</v>
      </c>
      <c r="AC62" s="11" t="n">
        <f aca="false">AC29+AC58</f>
        <v>94.8804190075931</v>
      </c>
      <c r="AD62" s="11" t="n">
        <f aca="false">AD29+AD58</f>
        <v>100.69567250818</v>
      </c>
      <c r="AE62" s="11" t="n">
        <f aca="false">AE29+AE58</f>
        <v>106.182590996191</v>
      </c>
      <c r="AF62" s="11" t="n">
        <f aca="false">AF29+AF58</f>
        <v>111.246630092041</v>
      </c>
      <c r="AG62" s="11" t="n">
        <f aca="false">AG29+AG58</f>
        <v>115.853875277894</v>
      </c>
      <c r="AH62" s="11" t="n">
        <f aca="false">AH29+AH58</f>
        <v>119.94854504802</v>
      </c>
      <c r="AI62" s="11" t="n">
        <f aca="false">AI29+AI58</f>
        <v>123.492216415909</v>
      </c>
      <c r="AJ62" s="11" t="n">
        <f aca="false">AJ29+AJ58</f>
        <v>126.504960017467</v>
      </c>
      <c r="AK62" s="11" t="n">
        <f aca="false">AK29+AK58</f>
        <v>128.97621134956</v>
      </c>
      <c r="AL62" s="11" t="n">
        <f aca="false">AL29+AL58</f>
        <v>130.971190935488</v>
      </c>
      <c r="AM62" s="11" t="n">
        <f aca="false">AM29+AM58</f>
        <v>132.539319627334</v>
      </c>
      <c r="AN62" s="11" t="n">
        <f aca="false">AN29+AN58</f>
        <v>133.72391436024</v>
      </c>
      <c r="AO62" s="11" t="n">
        <f aca="false">AO29+AO58</f>
        <v>134.713625194785</v>
      </c>
      <c r="AP62" s="11" t="n">
        <f aca="false">AP29+AP58</f>
        <v>144.434294298517</v>
      </c>
      <c r="AQ62" s="11" t="n">
        <f aca="false">AQ29+AQ58</f>
        <v>151.904967093809</v>
      </c>
      <c r="AR62" s="11" t="n">
        <f aca="false">AR29+AR58</f>
        <v>152.569153101963</v>
      </c>
      <c r="AS62" s="11" t="n">
        <f aca="false">AS29+AS58</f>
        <v>152.569153101963</v>
      </c>
      <c r="AT62" s="11" t="n">
        <f aca="false">AT29+AT58</f>
        <v>152.569153101963</v>
      </c>
      <c r="AU62" s="11" t="n">
        <f aca="false">AU29+AU58</f>
        <v>152.569153101963</v>
      </c>
      <c r="AV62" s="11" t="n">
        <f aca="false">AV29+AV58</f>
        <v>152.569153101963</v>
      </c>
      <c r="AW62" s="11" t="n">
        <f aca="false">AW29+AW58</f>
        <v>152.569153101963</v>
      </c>
      <c r="AX62" s="11" t="n">
        <f aca="false">AX29+AX58</f>
        <v>152.569153101963</v>
      </c>
      <c r="AY62" s="11" t="n">
        <f aca="false">AY29+AY58</f>
        <v>152.569153101963</v>
      </c>
      <c r="AZ62" s="11" t="n">
        <f aca="false">AZ29+AZ58</f>
        <v>152.569153101963</v>
      </c>
      <c r="BA62" s="11" t="n">
        <f aca="false">BA29+BA58</f>
        <v>152.569153101963</v>
      </c>
      <c r="BB62" s="11" t="n">
        <f aca="false">BB29+BB58</f>
        <v>152.569153101963</v>
      </c>
      <c r="BC62" s="11" t="n">
        <f aca="false">BC29+BC58</f>
        <v>152.569153101963</v>
      </c>
      <c r="BD62" s="11" t="n">
        <f aca="false">BD29+BD58</f>
        <v>152.569153101963</v>
      </c>
      <c r="BE62" s="11" t="n">
        <f aca="false">BE29+BE58</f>
        <v>152.569153101963</v>
      </c>
      <c r="BF62" s="11" t="n">
        <f aca="false">BF29+BF58</f>
        <v>152.569153101963</v>
      </c>
      <c r="BG62" s="11" t="n">
        <f aca="false">BG29+BG58</f>
        <v>152.569153101963</v>
      </c>
      <c r="BH62" s="11" t="n">
        <f aca="false">BH29+BH58</f>
        <v>152.569153101963</v>
      </c>
      <c r="BI62" s="11" t="n">
        <f aca="false">BI29+BI58</f>
        <v>152.569153101963</v>
      </c>
      <c r="BJ62" s="11" t="n">
        <f aca="false">BJ29+BJ58</f>
        <v>152.569153101963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9.65342212804864</v>
      </c>
      <c r="K63" s="11" t="n">
        <f aca="false">K30+K59</f>
        <v>9.85543282562326</v>
      </c>
      <c r="L63" s="11" t="n">
        <f aca="false">L30+L59</f>
        <v>10.1133573816829</v>
      </c>
      <c r="M63" s="11" t="n">
        <f aca="false">M30+M59</f>
        <v>10.4786243745441</v>
      </c>
      <c r="N63" s="11" t="n">
        <f aca="false">N30+N59</f>
        <v>11.0052684990925</v>
      </c>
      <c r="O63" s="11" t="n">
        <f aca="false">O30+O59</f>
        <v>11.7316776148475</v>
      </c>
      <c r="P63" s="11" t="n">
        <f aca="false">P30+P59</f>
        <v>12.6797277736126</v>
      </c>
      <c r="Q63" s="11" t="n">
        <f aca="false">Q30+Q59</f>
        <v>13.8835407257394</v>
      </c>
      <c r="R63" s="11" t="n">
        <f aca="false">R30+R59</f>
        <v>15.3422172186932</v>
      </c>
      <c r="S63" s="11" t="n">
        <f aca="false">S30+S59</f>
        <v>17.0604430781599</v>
      </c>
      <c r="T63" s="11" t="n">
        <f aca="false">T30+T59</f>
        <v>19.0215105052535</v>
      </c>
      <c r="U63" s="11" t="n">
        <f aca="false">U30+U59</f>
        <v>21.2155807777951</v>
      </c>
      <c r="V63" s="11" t="n">
        <f aca="false">V30+V59</f>
        <v>23.6143968007389</v>
      </c>
      <c r="W63" s="11" t="n">
        <f aca="false">W30+W59</f>
        <v>26.1834209831443</v>
      </c>
      <c r="X63" s="11" t="n">
        <f aca="false">X30+X59</f>
        <v>28.8934609520899</v>
      </c>
      <c r="Y63" s="11" t="n">
        <f aca="false">Y30+Y59</f>
        <v>31.6972737504002</v>
      </c>
      <c r="Z63" s="11" t="n">
        <f aca="false">Z30+Z59</f>
        <v>34.5599672990244</v>
      </c>
      <c r="AA63" s="11" t="n">
        <f aca="false">AA30+AA59</f>
        <v>37.5296773220057</v>
      </c>
      <c r="AB63" s="11" t="n">
        <f aca="false">AB30+AB59</f>
        <v>40.3621135576275</v>
      </c>
      <c r="AC63" s="11" t="n">
        <f aca="false">AC30+AC59</f>
        <v>43.1274631852696</v>
      </c>
      <c r="AD63" s="11" t="n">
        <f aca="false">AD30+AD59</f>
        <v>45.7707602309908</v>
      </c>
      <c r="AE63" s="11" t="n">
        <f aca="false">AE30+AE59</f>
        <v>48.2648140891778</v>
      </c>
      <c r="AF63" s="11" t="n">
        <f aca="false">AF30+AF59</f>
        <v>50.5666500418368</v>
      </c>
      <c r="AG63" s="11" t="n">
        <f aca="false">AG30+AG59</f>
        <v>52.6608523990427</v>
      </c>
      <c r="AH63" s="11" t="n">
        <f aca="false">AH30+AH59</f>
        <v>54.5220659309182</v>
      </c>
      <c r="AI63" s="11" t="n">
        <f aca="false">AI30+AI59</f>
        <v>56.1328256435951</v>
      </c>
      <c r="AJ63" s="11" t="n">
        <f aca="false">AJ30+AJ59</f>
        <v>57.5022545533942</v>
      </c>
      <c r="AK63" s="11" t="n">
        <f aca="false">AK30+AK59</f>
        <v>58.6255506134362</v>
      </c>
      <c r="AL63" s="11" t="n">
        <f aca="false">AL30+AL59</f>
        <v>59.5323595161311</v>
      </c>
      <c r="AM63" s="11" t="n">
        <f aca="false">AM30+AM59</f>
        <v>60.2451452851518</v>
      </c>
      <c r="AN63" s="11" t="n">
        <f aca="false">AN30+AN59</f>
        <v>60.7835974364729</v>
      </c>
      <c r="AO63" s="11" t="n">
        <f aca="false">AO30+AO59</f>
        <v>61.2334659976295</v>
      </c>
      <c r="AP63" s="11" t="n">
        <f aca="false">AP30+AP59</f>
        <v>65.6519519538714</v>
      </c>
      <c r="AQ63" s="11" t="n">
        <f aca="false">AQ30+AQ59</f>
        <v>69.0477123153678</v>
      </c>
      <c r="AR63" s="11" t="n">
        <f aca="false">AR30+AR59</f>
        <v>69.3496150463468</v>
      </c>
      <c r="AS63" s="11" t="n">
        <f aca="false">AS30+AS59</f>
        <v>69.3496150463468</v>
      </c>
      <c r="AT63" s="11" t="n">
        <f aca="false">AT30+AT59</f>
        <v>69.3496150463468</v>
      </c>
      <c r="AU63" s="11" t="n">
        <f aca="false">AU30+AU59</f>
        <v>69.3496150463468</v>
      </c>
      <c r="AV63" s="11" t="n">
        <f aca="false">AV30+AV59</f>
        <v>69.3496150463468</v>
      </c>
      <c r="AW63" s="11" t="n">
        <f aca="false">AW30+AW59</f>
        <v>69.3496150463468</v>
      </c>
      <c r="AX63" s="11" t="n">
        <f aca="false">AX30+AX59</f>
        <v>69.3496150463468</v>
      </c>
      <c r="AY63" s="11" t="n">
        <f aca="false">AY30+AY59</f>
        <v>69.3496150463468</v>
      </c>
      <c r="AZ63" s="11" t="n">
        <f aca="false">AZ30+AZ59</f>
        <v>69.3496150463468</v>
      </c>
      <c r="BA63" s="11" t="n">
        <f aca="false">BA30+BA59</f>
        <v>69.3496150463468</v>
      </c>
      <c r="BB63" s="11" t="n">
        <f aca="false">BB30+BB59</f>
        <v>69.3496150463468</v>
      </c>
      <c r="BC63" s="11" t="n">
        <f aca="false">BC30+BC59</f>
        <v>69.3496150463468</v>
      </c>
      <c r="BD63" s="11" t="n">
        <f aca="false">BD30+BD59</f>
        <v>69.3496150463468</v>
      </c>
      <c r="BE63" s="11" t="n">
        <f aca="false">BE30+BE59</f>
        <v>69.3496150463468</v>
      </c>
      <c r="BF63" s="11" t="n">
        <f aca="false">BF30+BF59</f>
        <v>69.3496150463468</v>
      </c>
      <c r="BG63" s="11" t="n">
        <f aca="false">BG30+BG59</f>
        <v>69.3496150463468</v>
      </c>
      <c r="BH63" s="11" t="n">
        <f aca="false">BH30+BH59</f>
        <v>69.3496150463468</v>
      </c>
      <c r="BI63" s="11" t="n">
        <f aca="false">BI30+BI59</f>
        <v>69.3496150463468</v>
      </c>
      <c r="BJ63" s="11" t="n">
        <f aca="false">BJ30+BJ59</f>
        <v>69.3496150463468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36.6830040865848</v>
      </c>
      <c r="K64" s="11" t="n">
        <f aca="false">K31+K60</f>
        <v>37.4506447373684</v>
      </c>
      <c r="L64" s="11" t="n">
        <f aca="false">L31+L60</f>
        <v>38.4307580503952</v>
      </c>
      <c r="M64" s="11" t="n">
        <f aca="false">M31+M60</f>
        <v>39.8187726232676</v>
      </c>
      <c r="N64" s="11" t="n">
        <f aca="false">N31+N60</f>
        <v>41.8200202965517</v>
      </c>
      <c r="O64" s="11" t="n">
        <f aca="false">O31+O60</f>
        <v>44.5803749364204</v>
      </c>
      <c r="P64" s="11" t="n">
        <f aca="false">P31+P60</f>
        <v>48.1829655397278</v>
      </c>
      <c r="Q64" s="11" t="n">
        <f aca="false">Q31+Q60</f>
        <v>52.7574547578099</v>
      </c>
      <c r="R64" s="11" t="n">
        <f aca="false">R31+R60</f>
        <v>58.3004254310342</v>
      </c>
      <c r="S64" s="11" t="n">
        <f aca="false">S31+S60</f>
        <v>64.8296836970075</v>
      </c>
      <c r="T64" s="11" t="n">
        <f aca="false">T31+T60</f>
        <v>72.2817399199634</v>
      </c>
      <c r="U64" s="11" t="n">
        <f aca="false">U31+U60</f>
        <v>80.6192069556215</v>
      </c>
      <c r="V64" s="11" t="n">
        <f aca="false">V31+V60</f>
        <v>89.7347078428077</v>
      </c>
      <c r="W64" s="11" t="n">
        <f aca="false">W31+W60</f>
        <v>99.4969997359484</v>
      </c>
      <c r="X64" s="11" t="n">
        <f aca="false">X31+X60</f>
        <v>109.795151617942</v>
      </c>
      <c r="Y64" s="11" t="n">
        <f aca="false">Y31+Y60</f>
        <v>120.449640251521</v>
      </c>
      <c r="Z64" s="11" t="n">
        <f aca="false">Z31+Z60</f>
        <v>131.327875736293</v>
      </c>
      <c r="AA64" s="11" t="n">
        <f aca="false">AA31+AA60</f>
        <v>142.612773823622</v>
      </c>
      <c r="AB64" s="11" t="n">
        <f aca="false">AB31+AB60</f>
        <v>153.376031518985</v>
      </c>
      <c r="AC64" s="11" t="n">
        <f aca="false">AC31+AC60</f>
        <v>163.884360104025</v>
      </c>
      <c r="AD64" s="11" t="n">
        <f aca="false">AD31+AD60</f>
        <v>173.928888877765</v>
      </c>
      <c r="AE64" s="11" t="n">
        <f aca="false">AE31+AE60</f>
        <v>183.406293538876</v>
      </c>
      <c r="AF64" s="11" t="n">
        <f aca="false">AF31+AF60</f>
        <v>192.15327015898</v>
      </c>
      <c r="AG64" s="11" t="n">
        <f aca="false">AG31+AG60</f>
        <v>200.111239116362</v>
      </c>
      <c r="AH64" s="11" t="n">
        <f aca="false">AH31+AH60</f>
        <v>207.183850537489</v>
      </c>
      <c r="AI64" s="11" t="n">
        <f aca="false">AI31+AI60</f>
        <v>213.304737445661</v>
      </c>
      <c r="AJ64" s="11" t="n">
        <f aca="false">AJ31+AJ60</f>
        <v>218.508567302898</v>
      </c>
      <c r="AK64" s="11" t="n">
        <f aca="false">AK31+AK60</f>
        <v>222.777092331058</v>
      </c>
      <c r="AL64" s="11" t="n">
        <f aca="false">AL31+AL60</f>
        <v>226.222966161298</v>
      </c>
      <c r="AM64" s="11" t="n">
        <f aca="false">AM31+AM60</f>
        <v>228.931552083577</v>
      </c>
      <c r="AN64" s="11" t="n">
        <f aca="false">AN31+AN60</f>
        <v>230.977670258597</v>
      </c>
      <c r="AO64" s="11" t="n">
        <f aca="false">AO31+AO60</f>
        <v>232.687170790992</v>
      </c>
      <c r="AP64" s="11" t="n">
        <f aca="false">AP31+AP60</f>
        <v>249.477417424711</v>
      </c>
      <c r="AQ64" s="11" t="n">
        <f aca="false">AQ31+AQ60</f>
        <v>262.381306798398</v>
      </c>
      <c r="AR64" s="11" t="n">
        <f aca="false">AR31+AR60</f>
        <v>263.528537176118</v>
      </c>
      <c r="AS64" s="11" t="n">
        <f aca="false">AS31+AS60</f>
        <v>263.528537176118</v>
      </c>
      <c r="AT64" s="11" t="n">
        <f aca="false">AT31+AT60</f>
        <v>263.528537176118</v>
      </c>
      <c r="AU64" s="11" t="n">
        <f aca="false">AU31+AU60</f>
        <v>263.528537176118</v>
      </c>
      <c r="AV64" s="11" t="n">
        <f aca="false">AV31+AV60</f>
        <v>263.528537176118</v>
      </c>
      <c r="AW64" s="11" t="n">
        <f aca="false">AW31+AW60</f>
        <v>263.528537176118</v>
      </c>
      <c r="AX64" s="11" t="n">
        <f aca="false">AX31+AX60</f>
        <v>263.528537176118</v>
      </c>
      <c r="AY64" s="11" t="n">
        <f aca="false">AY31+AY60</f>
        <v>263.528537176118</v>
      </c>
      <c r="AZ64" s="11" t="n">
        <f aca="false">AZ31+AZ60</f>
        <v>263.528537176118</v>
      </c>
      <c r="BA64" s="11" t="n">
        <f aca="false">BA31+BA60</f>
        <v>263.528537176118</v>
      </c>
      <c r="BB64" s="11" t="n">
        <f aca="false">BB31+BB60</f>
        <v>263.528537176118</v>
      </c>
      <c r="BC64" s="11" t="n">
        <f aca="false">BC31+BC60</f>
        <v>263.528537176118</v>
      </c>
      <c r="BD64" s="11" t="n">
        <f aca="false">BD31+BD60</f>
        <v>263.528537176118</v>
      </c>
      <c r="BE64" s="11" t="n">
        <f aca="false">BE31+BE60</f>
        <v>263.528537176118</v>
      </c>
      <c r="BF64" s="11" t="n">
        <f aca="false">BF31+BF60</f>
        <v>263.528537176118</v>
      </c>
      <c r="BG64" s="11" t="n">
        <f aca="false">BG31+BG60</f>
        <v>263.528537176118</v>
      </c>
      <c r="BH64" s="11" t="n">
        <f aca="false">BH31+BH60</f>
        <v>263.528537176118</v>
      </c>
      <c r="BI64" s="11" t="n">
        <f aca="false">BI31+BI60</f>
        <v>263.528537176118</v>
      </c>
      <c r="BJ64" s="11" t="n">
        <f aca="false">BJ31+BJ60</f>
        <v>263.528537176118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4.72955008490317E-014</v>
      </c>
      <c r="AS65" s="11" t="n">
        <f aca="false">AS32+AS55</f>
        <v>4.72955008490317E-014</v>
      </c>
      <c r="AT65" s="11" t="n">
        <f aca="false">AT32+AT55</f>
        <v>4.72955008490317E-014</v>
      </c>
      <c r="AU65" s="11" t="n">
        <f aca="false">AU32+AU55</f>
        <v>4.72955008490317E-014</v>
      </c>
      <c r="AV65" s="11" t="n">
        <f aca="false">AV32+AV55</f>
        <v>4.72955008490317E-014</v>
      </c>
      <c r="AW65" s="11" t="n">
        <f aca="false">AW32+AW55</f>
        <v>4.72955008490317E-014</v>
      </c>
      <c r="AX65" s="11" t="n">
        <f aca="false">AX32+AX55</f>
        <v>4.72955008490317E-014</v>
      </c>
      <c r="AY65" s="11" t="n">
        <f aca="false">AY32+AY55</f>
        <v>4.72955008490317E-014</v>
      </c>
      <c r="AZ65" s="11" t="n">
        <f aca="false">AZ32+AZ55</f>
        <v>4.72955008490317E-014</v>
      </c>
      <c r="BA65" s="11" t="n">
        <f aca="false">BA32+BA55</f>
        <v>4.72955008490317E-014</v>
      </c>
      <c r="BB65" s="11" t="n">
        <f aca="false">BB32+BB55</f>
        <v>4.72955008490317E-014</v>
      </c>
      <c r="BC65" s="11" t="n">
        <f aca="false">BC32+BC55</f>
        <v>4.72955008490317E-014</v>
      </c>
      <c r="BD65" s="11" t="n">
        <f aca="false">BD32+BD55</f>
        <v>4.72955008490317E-014</v>
      </c>
      <c r="BE65" s="11" t="n">
        <f aca="false">BE32+BE55</f>
        <v>4.72955008490317E-014</v>
      </c>
      <c r="BF65" s="11" t="n">
        <f aca="false">BF32+BF55</f>
        <v>4.72955008490317E-014</v>
      </c>
      <c r="BG65" s="11" t="n">
        <f aca="false">BG32+BG55</f>
        <v>4.72955008490317E-014</v>
      </c>
      <c r="BH65" s="11" t="n">
        <f aca="false">BH32+BH55</f>
        <v>4.72955008490317E-014</v>
      </c>
      <c r="BI65" s="11" t="n">
        <f aca="false">BI32+BI55</f>
        <v>4.72955008490317E-014</v>
      </c>
      <c r="BJ65" s="11" t="n">
        <f aca="false">BJ32+BJ55</f>
        <v>4.72955008490317E-014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242.936300333349</v>
      </c>
      <c r="J67" s="11" t="n">
        <f aca="false">J50-J47+J56</f>
        <v>33.8165778681963</v>
      </c>
      <c r="K67" s="11" t="n">
        <f aca="false">K50-K47+K56</f>
        <v>0.7076568696703</v>
      </c>
      <c r="L67" s="11" t="n">
        <f aca="false">L50-L47+L56</f>
        <v>0.903526823795411</v>
      </c>
      <c r="M67" s="11" t="n">
        <f aca="false">M50-M47+M56</f>
        <v>1.27955449817959</v>
      </c>
      <c r="N67" s="11" t="n">
        <f aca="false">N50-N47+N56</f>
        <v>1.84486929198659</v>
      </c>
      <c r="O67" s="11" t="n">
        <f aca="false">O50-O47+O56</f>
        <v>2.54465930332829</v>
      </c>
      <c r="P67" s="11" t="n">
        <f aca="false">P50-P47+P56</f>
        <v>3.32108257481913</v>
      </c>
      <c r="Q67" s="11" t="n">
        <f aca="false">Q50-Q47+Q56</f>
        <v>4.21703660052937</v>
      </c>
      <c r="R67" s="11" t="n">
        <f aca="false">R50-R47+R56</f>
        <v>5.10984048497731</v>
      </c>
      <c r="S67" s="11" t="n">
        <f aca="false">S50-S47+S56</f>
        <v>6.01905912753737</v>
      </c>
      <c r="T67" s="11" t="n">
        <f aca="false">T50-T47+T56</f>
        <v>6.86974924264519</v>
      </c>
      <c r="U67" s="11" t="n">
        <f aca="false">U50-U47+U56</f>
        <v>7.68597366151808</v>
      </c>
      <c r="V67" s="11" t="n">
        <f aca="false">V50-V47+V56</f>
        <v>8.40321160261449</v>
      </c>
      <c r="W67" s="11" t="n">
        <f aca="false">W50-W47+W56</f>
        <v>8.9994620723329</v>
      </c>
      <c r="X67" s="11" t="n">
        <f aca="false">X50-X47+X56</f>
        <v>9.49344972385449</v>
      </c>
      <c r="Y67" s="11" t="n">
        <f aca="false">Y50-Y47+Y56</f>
        <v>9.82194216353713</v>
      </c>
      <c r="Z67" s="11" t="n">
        <f aca="false">Z50-Z47+Z56</f>
        <v>10.0282053364844</v>
      </c>
      <c r="AA67" s="11" t="n">
        <f aca="false">AA50-AA47+AA56</f>
        <v>10.4030911428101</v>
      </c>
      <c r="AB67" s="11" t="n">
        <f aca="false">AB50-AB47+AB56</f>
        <v>9.92221196256429</v>
      </c>
      <c r="AC67" s="11" t="n">
        <f aca="false">AC50-AC47+AC56</f>
        <v>9.68720312605337</v>
      </c>
      <c r="AD67" s="11" t="n">
        <f aca="false">AD50-AD47+AD56</f>
        <v>9.25964483783241</v>
      </c>
      <c r="AE67" s="11" t="n">
        <f aca="false">AE50-AE47+AE56</f>
        <v>8.7368360550399</v>
      </c>
      <c r="AF67" s="11" t="n">
        <f aca="false">AF50-AF47+AF56</f>
        <v>8.06348398530485</v>
      </c>
      <c r="AG67" s="11" t="n">
        <f aca="false">AG50-AG47+AG56</f>
        <v>7.33612973149143</v>
      </c>
      <c r="AH67" s="11" t="n">
        <f aca="false">AH50-AH47+AH56</f>
        <v>6.51995442601957</v>
      </c>
      <c r="AI67" s="11" t="n">
        <f aca="false">AI50-AI47+AI56</f>
        <v>5.64259808886063</v>
      </c>
      <c r="AJ67" s="11" t="n">
        <f aca="false">AJ50-AJ47+AJ56</f>
        <v>4.79720028285371</v>
      </c>
      <c r="AK67" s="11" t="n">
        <f aca="false">AK50-AK47+AK56</f>
        <v>3.93498058818737</v>
      </c>
      <c r="AL67" s="11" t="n">
        <f aca="false">AL50-AL47+AL56</f>
        <v>3.17661171994708</v>
      </c>
      <c r="AM67" s="11" t="n">
        <f aca="false">AM50-AM47+AM56</f>
        <v>2.49693581630441</v>
      </c>
      <c r="AN67" s="11" t="n">
        <f aca="false">AN50-AN47+AN56</f>
        <v>1.88623359280448</v>
      </c>
      <c r="AO67" s="11" t="n">
        <f aca="false">AO50-AO47+AO56</f>
        <v>1.57591940215725</v>
      </c>
      <c r="AP67" s="11" t="n">
        <f aca="false">AP50-AP47+AP56</f>
        <v>15.4782493106398</v>
      </c>
      <c r="AQ67" s="11" t="n">
        <f aca="false">AQ50-AQ47+AQ56</f>
        <v>11.895573731581</v>
      </c>
      <c r="AR67" s="11" t="n">
        <f aca="false">AR50-AR47+AR56</f>
        <v>1.05758528689103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228.736300333349</v>
      </c>
      <c r="J68" s="11" t="n">
        <f aca="false">J67-IF(Construction!J8=1,Inputs!$F$66,0)</f>
        <v>19.6165778681963</v>
      </c>
      <c r="K68" s="11" t="n">
        <f aca="false">K67-IF(Construction!K8=1,Inputs!$F$66,0)</f>
        <v>0.7076568696703</v>
      </c>
      <c r="L68" s="11" t="n">
        <f aca="false">L67-IF(Construction!L8=1,Inputs!$F$66,0)</f>
        <v>0.903526823795411</v>
      </c>
      <c r="M68" s="11" t="n">
        <f aca="false">M67-IF(Construction!M8=1,Inputs!$F$66,0)</f>
        <v>1.27955449817959</v>
      </c>
      <c r="N68" s="11" t="n">
        <f aca="false">N67-IF(Construction!N8=1,Inputs!$F$66,0)</f>
        <v>1.84486929198659</v>
      </c>
      <c r="O68" s="11" t="n">
        <f aca="false">O67-IF(Construction!O8=1,Inputs!$F$66,0)</f>
        <v>2.54465930332829</v>
      </c>
      <c r="P68" s="11" t="n">
        <f aca="false">P67-IF(Construction!P8=1,Inputs!$F$66,0)</f>
        <v>3.32108257481913</v>
      </c>
      <c r="Q68" s="11" t="n">
        <f aca="false">Q67-IF(Construction!Q8=1,Inputs!$F$66,0)</f>
        <v>4.21703660052937</v>
      </c>
      <c r="R68" s="11" t="n">
        <f aca="false">R67-IF(Construction!R8=1,Inputs!$F$66,0)</f>
        <v>5.10984048497731</v>
      </c>
      <c r="S68" s="11" t="n">
        <f aca="false">S67-IF(Construction!S8=1,Inputs!$F$66,0)</f>
        <v>6.01905912753737</v>
      </c>
      <c r="T68" s="11" t="n">
        <f aca="false">T67-IF(Construction!T8=1,Inputs!$F$66,0)</f>
        <v>6.86974924264519</v>
      </c>
      <c r="U68" s="11" t="n">
        <f aca="false">U67-IF(Construction!U8=1,Inputs!$F$66,0)</f>
        <v>7.68597366151808</v>
      </c>
      <c r="V68" s="11" t="n">
        <f aca="false">V67-IF(Construction!V8=1,Inputs!$F$66,0)</f>
        <v>8.40321160261449</v>
      </c>
      <c r="W68" s="11" t="n">
        <f aca="false">W67-IF(Construction!W8=1,Inputs!$F$66,0)</f>
        <v>8.9994620723329</v>
      </c>
      <c r="X68" s="11" t="n">
        <f aca="false">X67-IF(Construction!X8=1,Inputs!$F$66,0)</f>
        <v>9.49344972385449</v>
      </c>
      <c r="Y68" s="11" t="n">
        <f aca="false">Y67-IF(Construction!Y8=1,Inputs!$F$66,0)</f>
        <v>9.82194216353713</v>
      </c>
      <c r="Z68" s="11" t="n">
        <f aca="false">Z67-IF(Construction!Z8=1,Inputs!$F$66,0)</f>
        <v>10.0282053364844</v>
      </c>
      <c r="AA68" s="11" t="n">
        <f aca="false">AA67-IF(Construction!AA8=1,Inputs!$F$66,0)</f>
        <v>10.4030911428101</v>
      </c>
      <c r="AB68" s="11" t="n">
        <f aca="false">AB67-IF(Construction!AB8=1,Inputs!$F$66,0)</f>
        <v>9.92221196256429</v>
      </c>
      <c r="AC68" s="11" t="n">
        <f aca="false">AC67-IF(Construction!AC8=1,Inputs!$F$66,0)</f>
        <v>9.68720312605337</v>
      </c>
      <c r="AD68" s="11" t="n">
        <f aca="false">AD67-IF(Construction!AD8=1,Inputs!$F$66,0)</f>
        <v>9.25964483783241</v>
      </c>
      <c r="AE68" s="11" t="n">
        <f aca="false">AE67-IF(Construction!AE8=1,Inputs!$F$66,0)</f>
        <v>8.7368360550399</v>
      </c>
      <c r="AF68" s="11" t="n">
        <f aca="false">AF67-IF(Construction!AF8=1,Inputs!$F$66,0)</f>
        <v>8.06348398530485</v>
      </c>
      <c r="AG68" s="11" t="n">
        <f aca="false">AG67-IF(Construction!AG8=1,Inputs!$F$66,0)</f>
        <v>7.33612973149143</v>
      </c>
      <c r="AH68" s="11" t="n">
        <f aca="false">AH67-IF(Construction!AH8=1,Inputs!$F$66,0)</f>
        <v>6.51995442601957</v>
      </c>
      <c r="AI68" s="11" t="n">
        <f aca="false">AI67-IF(Construction!AI8=1,Inputs!$F$66,0)</f>
        <v>5.64259808886063</v>
      </c>
      <c r="AJ68" s="11" t="n">
        <f aca="false">AJ67-IF(Construction!AJ8=1,Inputs!$F$66,0)</f>
        <v>4.79720028285371</v>
      </c>
      <c r="AK68" s="11" t="n">
        <f aca="false">AK67-IF(Construction!AK8=1,Inputs!$F$66,0)</f>
        <v>3.93498058818737</v>
      </c>
      <c r="AL68" s="11" t="n">
        <f aca="false">AL67-IF(Construction!AL8=1,Inputs!$F$66,0)</f>
        <v>3.17661171994708</v>
      </c>
      <c r="AM68" s="11" t="n">
        <f aca="false">AM67-IF(Construction!AM8=1,Inputs!$F$66,0)</f>
        <v>2.49693581630441</v>
      </c>
      <c r="AN68" s="11" t="n">
        <f aca="false">AN67-IF(Construction!AN8=1,Inputs!$F$66,0)</f>
        <v>1.88623359280448</v>
      </c>
      <c r="AO68" s="11" t="n">
        <f aca="false">AO67-IF(Construction!AO8=1,Inputs!$F$66,0)</f>
        <v>1.57591940215725</v>
      </c>
      <c r="AP68" s="11" t="n">
        <f aca="false">AP67-IF(Construction!AP8=1,Inputs!$F$66,0)</f>
        <v>15.4782493106398</v>
      </c>
      <c r="AQ68" s="11" t="n">
        <f aca="false">AQ67-IF(Construction!AQ8=1,Inputs!$F$66,0)</f>
        <v>11.895573731581</v>
      </c>
      <c r="AR68" s="11" t="n">
        <f aca="false">AR67-IF(Construction!AR8=1,Inputs!$F$66,0)</f>
        <v>1.05758528689103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48.5872600666698</v>
      </c>
      <c r="J69" s="11" t="n">
        <f aca="false">(1-Inputs!$F$52)*J67</f>
        <v>6.76331557363925</v>
      </c>
      <c r="K69" s="11" t="n">
        <f aca="false">(1-Inputs!$F$52)*K67</f>
        <v>0.14153137393406</v>
      </c>
      <c r="L69" s="11" t="n">
        <f aca="false">(1-Inputs!$F$52)*L67</f>
        <v>0.180705364759082</v>
      </c>
      <c r="M69" s="11" t="n">
        <f aca="false">(1-Inputs!$F$52)*M67</f>
        <v>0.255910899635917</v>
      </c>
      <c r="N69" s="11" t="n">
        <f aca="false">(1-Inputs!$F$52)*N67</f>
        <v>0.368973858397319</v>
      </c>
      <c r="O69" s="11" t="n">
        <f aca="false">(1-Inputs!$F$52)*O67</f>
        <v>0.508931860665657</v>
      </c>
      <c r="P69" s="11" t="n">
        <f aca="false">(1-Inputs!$F$52)*P67</f>
        <v>0.664216514963825</v>
      </c>
      <c r="Q69" s="11" t="n">
        <f aca="false">(1-Inputs!$F$52)*Q67</f>
        <v>0.843407320105874</v>
      </c>
      <c r="R69" s="11" t="n">
        <f aca="false">(1-Inputs!$F$52)*R67</f>
        <v>1.02196809699546</v>
      </c>
      <c r="S69" s="11" t="n">
        <f aca="false">(1-Inputs!$F$52)*S67</f>
        <v>1.20381182550747</v>
      </c>
      <c r="T69" s="11" t="n">
        <f aca="false">(1-Inputs!$F$52)*T67</f>
        <v>1.37394984852904</v>
      </c>
      <c r="U69" s="11" t="n">
        <f aca="false">(1-Inputs!$F$52)*U67</f>
        <v>1.53719473230362</v>
      </c>
      <c r="V69" s="11" t="n">
        <f aca="false">(1-Inputs!$F$52)*V67</f>
        <v>1.6806423205229</v>
      </c>
      <c r="W69" s="11" t="n">
        <f aca="false">(1-Inputs!$F$52)*W67</f>
        <v>1.79989241446658</v>
      </c>
      <c r="X69" s="11" t="n">
        <f aca="false">(1-Inputs!$F$52)*X67</f>
        <v>1.8986899447709</v>
      </c>
      <c r="Y69" s="11" t="n">
        <f aca="false">(1-Inputs!$F$52)*Y67</f>
        <v>1.96438843270743</v>
      </c>
      <c r="Z69" s="11" t="n">
        <f aca="false">(1-Inputs!$F$52)*Z67</f>
        <v>2.00564106729687</v>
      </c>
      <c r="AA69" s="11" t="n">
        <f aca="false">(1-Inputs!$F$52)*AA67</f>
        <v>2.08061822856202</v>
      </c>
      <c r="AB69" s="11" t="n">
        <f aca="false">(1-Inputs!$F$52)*AB67</f>
        <v>1.98444239251286</v>
      </c>
      <c r="AC69" s="11" t="n">
        <f aca="false">(1-Inputs!$F$52)*AC67</f>
        <v>1.93744062521067</v>
      </c>
      <c r="AD69" s="11" t="n">
        <f aca="false">(1-Inputs!$F$52)*AD67</f>
        <v>1.85192896756648</v>
      </c>
      <c r="AE69" s="11" t="n">
        <f aca="false">(1-Inputs!$F$52)*AE67</f>
        <v>1.74736721100798</v>
      </c>
      <c r="AF69" s="11" t="n">
        <f aca="false">(1-Inputs!$F$52)*AF67</f>
        <v>1.61269679706097</v>
      </c>
      <c r="AG69" s="11" t="n">
        <f aca="false">(1-Inputs!$F$52)*AG67</f>
        <v>1.46722594629829</v>
      </c>
      <c r="AH69" s="11" t="n">
        <f aca="false">(1-Inputs!$F$52)*AH67</f>
        <v>1.30399088520391</v>
      </c>
      <c r="AI69" s="11" t="n">
        <f aca="false">(1-Inputs!$F$52)*AI67</f>
        <v>1.12851961777213</v>
      </c>
      <c r="AJ69" s="11" t="n">
        <f aca="false">(1-Inputs!$F$52)*AJ67</f>
        <v>0.959440056570742</v>
      </c>
      <c r="AK69" s="11" t="n">
        <f aca="false">(1-Inputs!$F$52)*AK67</f>
        <v>0.786996117637474</v>
      </c>
      <c r="AL69" s="11" t="n">
        <f aca="false">(1-Inputs!$F$52)*AL67</f>
        <v>0.635322343989416</v>
      </c>
      <c r="AM69" s="11" t="n">
        <f aca="false">(1-Inputs!$F$52)*AM67</f>
        <v>0.499387163260882</v>
      </c>
      <c r="AN69" s="11" t="n">
        <f aca="false">(1-Inputs!$F$52)*AN67</f>
        <v>0.377246718560896</v>
      </c>
      <c r="AO69" s="11" t="n">
        <f aca="false">(1-Inputs!$F$52)*AO67</f>
        <v>0.315183880431449</v>
      </c>
      <c r="AP69" s="11" t="n">
        <f aca="false">(1-Inputs!$F$52)*AP67</f>
        <v>3.09564986212796</v>
      </c>
      <c r="AQ69" s="11" t="n">
        <f aca="false">(1-Inputs!$F$52)*AQ67</f>
        <v>2.37911474631621</v>
      </c>
      <c r="AR69" s="11" t="n">
        <f aca="false">(1-Inputs!$F$52)*AR67</f>
        <v>0.211517057378206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194.349040266679</v>
      </c>
      <c r="J70" s="11" t="n">
        <f aca="false">Inputs!$F$52*J67</f>
        <v>27.053262294557</v>
      </c>
      <c r="K70" s="11" t="n">
        <f aca="false">Inputs!$F$52*K67</f>
        <v>0.56612549573624</v>
      </c>
      <c r="L70" s="11" t="n">
        <f aca="false">Inputs!$F$52*L67</f>
        <v>0.722821459036329</v>
      </c>
      <c r="M70" s="11" t="n">
        <f aca="false">Inputs!$F$52*M67</f>
        <v>1.02364359854367</v>
      </c>
      <c r="N70" s="11" t="n">
        <f aca="false">Inputs!$F$52*N67</f>
        <v>1.47589543358928</v>
      </c>
      <c r="O70" s="11" t="n">
        <f aca="false">Inputs!$F$52*O67</f>
        <v>2.03572744266263</v>
      </c>
      <c r="P70" s="11" t="n">
        <f aca="false">Inputs!$F$52*P67</f>
        <v>2.6568660598553</v>
      </c>
      <c r="Q70" s="11" t="n">
        <f aca="false">Inputs!$F$52*Q67</f>
        <v>3.3736292804235</v>
      </c>
      <c r="R70" s="11" t="n">
        <f aca="false">Inputs!$F$52*R67</f>
        <v>4.08787238798185</v>
      </c>
      <c r="S70" s="11" t="n">
        <f aca="false">Inputs!$F$52*S67</f>
        <v>4.8152473020299</v>
      </c>
      <c r="T70" s="11" t="n">
        <f aca="false">Inputs!$F$52*T67</f>
        <v>5.49579939411615</v>
      </c>
      <c r="U70" s="11" t="n">
        <f aca="false">Inputs!$F$52*U67</f>
        <v>6.14877892921447</v>
      </c>
      <c r="V70" s="11" t="n">
        <f aca="false">Inputs!$F$52*V67</f>
        <v>6.72256928209159</v>
      </c>
      <c r="W70" s="11" t="n">
        <f aca="false">Inputs!$F$52*W67</f>
        <v>7.19956965786632</v>
      </c>
      <c r="X70" s="11" t="n">
        <f aca="false">Inputs!$F$52*X67</f>
        <v>7.59475977908359</v>
      </c>
      <c r="Y70" s="11" t="n">
        <f aca="false">Inputs!$F$52*Y67</f>
        <v>7.85755373082971</v>
      </c>
      <c r="Z70" s="11" t="n">
        <f aca="false">Inputs!$F$52*Z67</f>
        <v>8.0225642691875</v>
      </c>
      <c r="AA70" s="11" t="n">
        <f aca="false">Inputs!$F$52*AA67</f>
        <v>8.32247291424809</v>
      </c>
      <c r="AB70" s="11" t="n">
        <f aca="false">Inputs!$F$52*AB67</f>
        <v>7.93776957005144</v>
      </c>
      <c r="AC70" s="11" t="n">
        <f aca="false">Inputs!$F$52*AC67</f>
        <v>7.7497625008427</v>
      </c>
      <c r="AD70" s="11" t="n">
        <f aca="false">Inputs!$F$52*AD67</f>
        <v>7.40771587026593</v>
      </c>
      <c r="AE70" s="11" t="n">
        <f aca="false">Inputs!$F$52*AE67</f>
        <v>6.98946884403192</v>
      </c>
      <c r="AF70" s="11" t="n">
        <f aca="false">Inputs!$F$52*AF67</f>
        <v>6.45078718824388</v>
      </c>
      <c r="AG70" s="11" t="n">
        <f aca="false">Inputs!$F$52*AG67</f>
        <v>5.86890378519315</v>
      </c>
      <c r="AH70" s="11" t="n">
        <f aca="false">Inputs!$F$52*AH67</f>
        <v>5.21596354081566</v>
      </c>
      <c r="AI70" s="11" t="n">
        <f aca="false">Inputs!$F$52*AI67</f>
        <v>4.51407847108851</v>
      </c>
      <c r="AJ70" s="11" t="n">
        <f aca="false">Inputs!$F$52*AJ67</f>
        <v>3.83776022628297</v>
      </c>
      <c r="AK70" s="11" t="n">
        <f aca="false">Inputs!$F$52*AK67</f>
        <v>3.1479844705499</v>
      </c>
      <c r="AL70" s="11" t="n">
        <f aca="false">Inputs!$F$52*AL67</f>
        <v>2.54128937595766</v>
      </c>
      <c r="AM70" s="11" t="n">
        <f aca="false">Inputs!$F$52*AM67</f>
        <v>1.99754865304353</v>
      </c>
      <c r="AN70" s="11" t="n">
        <f aca="false">Inputs!$F$52*AN67</f>
        <v>1.50898687424359</v>
      </c>
      <c r="AO70" s="11" t="n">
        <f aca="false">Inputs!$F$52*AO67</f>
        <v>1.2607355217258</v>
      </c>
      <c r="AP70" s="11" t="n">
        <f aca="false">Inputs!$F$52*AP67</f>
        <v>12.3825994485118</v>
      </c>
      <c r="AQ70" s="11" t="n">
        <f aca="false">Inputs!$F$52*AQ67</f>
        <v>9.51645898526484</v>
      </c>
      <c r="AR70" s="11" t="n">
        <f aca="false">Inputs!$F$52*AR67</f>
        <v>0.846068229512824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26.3917827835951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0.211237801478048</v>
      </c>
      <c r="L71" s="11" t="n">
        <f aca="false">IF(Construction!L8&lt;=Time!$F$10,K72*Inputs!$F$102/100*Construction!L11/365,0)</f>
        <v>0.224551211966484</v>
      </c>
      <c r="M71" s="11" t="n">
        <f aca="false">IF(Construction!M8&lt;=Time!$F$10,L72*Inputs!$F$102/100*Construction!M11/365,0)</f>
        <v>0.224704917942209</v>
      </c>
      <c r="N71" s="11" t="n">
        <f aca="false">IF(Construction!N8&lt;=Time!$F$10,M72*Inputs!$F$102/100*Construction!N11/365,0)</f>
        <v>0.24226737332855</v>
      </c>
      <c r="O71" s="11" t="n">
        <f aca="false">IF(Construction!O8&lt;=Time!$F$10,N72*Inputs!$F$102/100*Construction!O11/365,0)</f>
        <v>0.256130358167928</v>
      </c>
      <c r="P71" s="11" t="n">
        <f aca="false">IF(Construction!P8&lt;=Time!$F$10,O72*Inputs!$F$102/100*Construction!P11/365,0)</f>
        <v>0.248045855477924</v>
      </c>
      <c r="Q71" s="11" t="n">
        <f aca="false">IF(Construction!Q8&lt;=Time!$F$10,P72*Inputs!$F$102/100*Construction!Q11/365,0)</f>
        <v>0.298060459028482</v>
      </c>
      <c r="R71" s="11" t="n">
        <f aca="false">IF(Construction!R8&lt;=Time!$F$10,Q72*Inputs!$F$102/100*Construction!R11/365,0)</f>
        <v>0.317114963750991</v>
      </c>
      <c r="S71" s="11" t="n">
        <f aca="false">IF(Construction!S8&lt;=Time!$F$10,R72*Inputs!$F$102/100*Construction!S11/365,0)</f>
        <v>0.363227072819001</v>
      </c>
      <c r="T71" s="11" t="n">
        <f aca="false">IF(Construction!T8&lt;=Time!$F$10,S72*Inputs!$F$102/100*Construction!T11/365,0)</f>
        <v>0.391944733396903</v>
      </c>
      <c r="U71" s="11" t="n">
        <f aca="false">IF(Construction!U8&lt;=Time!$F$10,T72*Inputs!$F$102/100*Construction!U11/365,0)</f>
        <v>0.452514781009291</v>
      </c>
      <c r="V71" s="11" t="n">
        <f aca="false">IF(Construction!V8&lt;=Time!$F$10,U72*Inputs!$F$102/100*Construction!V11/365,0)</f>
        <v>0.505777274095891</v>
      </c>
      <c r="W71" s="11" t="n">
        <f aca="false">IF(Construction!W8&lt;=Time!$F$10,V72*Inputs!$F$102/100*Construction!W11/365,0)</f>
        <v>0.545902392363161</v>
      </c>
      <c r="X71" s="11" t="n">
        <f aca="false">IF(Construction!X8&lt;=Time!$F$10,W72*Inputs!$F$102/100*Construction!X11/365,0)</f>
        <v>0.626593426961365</v>
      </c>
      <c r="Y71" s="11" t="n">
        <f aca="false">IF(Construction!Y8&lt;=Time!$F$10,X72*Inputs!$F$102/100*Construction!Y11/365,0)</f>
        <v>0.670574863542291</v>
      </c>
      <c r="Z71" s="11" t="n">
        <f aca="false">IF(Construction!Z8&lt;=Time!$F$10,Y72*Inputs!$F$102/100*Construction!Z11/365,0)</f>
        <v>0.761736506145551</v>
      </c>
      <c r="AA71" s="11" t="n">
        <f aca="false">IF(Construction!AA8&lt;=Time!$F$10,Z72*Inputs!$F$102/100*Construction!AA11/365,0)</f>
        <v>0.832612576784882</v>
      </c>
      <c r="AB71" s="11" t="n">
        <f aca="false">IF(Construction!AB8&lt;=Time!$F$10,AA72*Inputs!$F$102/100*Construction!AB11/365,0)</f>
        <v>0.847997719984944</v>
      </c>
      <c r="AC71" s="11" t="n">
        <f aca="false">IF(Construction!AC8&lt;=Time!$F$10,AB72*Inputs!$F$102/100*Construction!AC11/365,0)</f>
        <v>0.977368224566387</v>
      </c>
      <c r="AD71" s="11" t="n">
        <f aca="false">IF(Construction!AD8&lt;=Time!$F$10,AC72*Inputs!$F$102/100*Construction!AD11/365,0)</f>
        <v>1.01398356682208</v>
      </c>
      <c r="AE71" s="11" t="n">
        <f aca="false">IF(Construction!AE8&lt;=Time!$F$10,AD72*Inputs!$F$102/100*Construction!AE11/365,0)</f>
        <v>1.11573344327475</v>
      </c>
      <c r="AF71" s="11" t="n">
        <f aca="false">IF(Construction!AF8&lt;=Time!$F$10,AE72*Inputs!$F$102/100*Construction!AF11/365,0)</f>
        <v>1.14302923782078</v>
      </c>
      <c r="AG71" s="11" t="n">
        <f aca="false">IF(Construction!AG8&lt;=Time!$F$10,AF72*Inputs!$F$102/100*Construction!AG11/365,0)</f>
        <v>1.24240086823606</v>
      </c>
      <c r="AH71" s="11" t="n">
        <f aca="false">IF(Construction!AH8&lt;=Time!$F$10,AG72*Inputs!$F$102/100*Construction!AH11/365,0)</f>
        <v>1.29977838112469</v>
      </c>
      <c r="AI71" s="11" t="n">
        <f aca="false">IF(Construction!AI8&lt;=Time!$F$10,AH72*Inputs!$F$102/100*Construction!AI11/365,0)</f>
        <v>1.30872638728403</v>
      </c>
      <c r="AJ71" s="11" t="n">
        <f aca="false">IF(Construction!AJ8&lt;=Time!$F$10,AI72*Inputs!$F$102/100*Construction!AJ11/365,0)</f>
        <v>1.39933186131105</v>
      </c>
      <c r="AK71" s="11" t="n">
        <f aca="false">IF(Construction!AK8&lt;=Time!$F$10,AJ72*Inputs!$F$102/100*Construction!AK11/365,0)</f>
        <v>1.39508448672514</v>
      </c>
      <c r="AL71" s="11" t="n">
        <f aca="false">IF(Construction!AL8&lt;=Time!$F$10,AK72*Inputs!$F$102/100*Construction!AL11/365,0)</f>
        <v>1.47824302371417</v>
      </c>
      <c r="AM71" s="11" t="n">
        <f aca="false">IF(Construction!AM8&lt;=Time!$F$10,AL72*Inputs!$F$102/100*Construction!AM11/365,0)</f>
        <v>1.51067459334988</v>
      </c>
      <c r="AN71" s="11" t="n">
        <f aca="false">IF(Construction!AN8&lt;=Time!$F$10,AM72*Inputs!$F$102/100*Construction!AN11/365,0)</f>
        <v>1.39004705549566</v>
      </c>
      <c r="AO71" s="11" t="n">
        <f aca="false">IF(Construction!AO8&lt;=Time!$F$10,AN72*Inputs!$F$102/100*Construction!AO11/365,0)</f>
        <v>1.56237150399019</v>
      </c>
      <c r="AP71" s="11" t="n">
        <f aca="false">IF(Construction!AP8&lt;=Time!$F$10,AO72*Inputs!$F$102/100*Construction!AP11/365,0)</f>
        <v>1.53401586163628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27.053262294557</v>
      </c>
      <c r="K72" s="11" t="n">
        <f aca="false">J72+K71+K70</f>
        <v>27.8306255917713</v>
      </c>
      <c r="L72" s="11" t="n">
        <f aca="false">K72+L71+L70</f>
        <v>28.7779982627741</v>
      </c>
      <c r="M72" s="11" t="n">
        <f aca="false">L72+M71+M70</f>
        <v>30.02634677926</v>
      </c>
      <c r="N72" s="11" t="n">
        <f aca="false">M72+N71+N70</f>
        <v>31.7445095861778</v>
      </c>
      <c r="O72" s="11" t="n">
        <f aca="false">N72+O71+O70</f>
        <v>34.0363673870084</v>
      </c>
      <c r="P72" s="11" t="n">
        <f aca="false">O72+P71+P70</f>
        <v>36.9412793023416</v>
      </c>
      <c r="Q72" s="11" t="n">
        <f aca="false">P72+Q71+Q70</f>
        <v>40.6129690417936</v>
      </c>
      <c r="R72" s="11" t="n">
        <f aca="false">Q72+R71+R70</f>
        <v>45.0179563935264</v>
      </c>
      <c r="S72" s="11" t="n">
        <f aca="false">R72+S71+S70</f>
        <v>50.1964307683753</v>
      </c>
      <c r="T72" s="11" t="n">
        <f aca="false">S72+T71+T70</f>
        <v>56.0841748958884</v>
      </c>
      <c r="U72" s="11" t="n">
        <f aca="false">T72+U71+U70</f>
        <v>62.6854686061121</v>
      </c>
      <c r="V72" s="11" t="n">
        <f aca="false">U72+V71+V70</f>
        <v>69.9138151622996</v>
      </c>
      <c r="W72" s="11" t="n">
        <f aca="false">V72+W71+W70</f>
        <v>77.6592872125291</v>
      </c>
      <c r="X72" s="11" t="n">
        <f aca="false">W72+X71+X70</f>
        <v>85.8806404185741</v>
      </c>
      <c r="Y72" s="11" t="n">
        <f aca="false">X72+Y71+Y70</f>
        <v>94.408769012946</v>
      </c>
      <c r="Z72" s="11" t="n">
        <f aca="false">Y72+Z71+Z70</f>
        <v>103.193069788279</v>
      </c>
      <c r="AA72" s="11" t="n">
        <f aca="false">Z72+AA71+AA70</f>
        <v>112.348155279312</v>
      </c>
      <c r="AB72" s="11" t="n">
        <f aca="false">AA72+AB71+AB70</f>
        <v>121.133922569348</v>
      </c>
      <c r="AC72" s="11" t="n">
        <f aca="false">AB72+AC71+AC70</f>
        <v>129.861053294758</v>
      </c>
      <c r="AD72" s="11" t="n">
        <f aca="false">AC72+AD71+AD70</f>
        <v>138.282752731846</v>
      </c>
      <c r="AE72" s="11" t="n">
        <f aca="false">AD72+AE71+AE70</f>
        <v>146.387955019152</v>
      </c>
      <c r="AF72" s="11" t="n">
        <f aca="false">AE72+AF71+AF70</f>
        <v>153.981771445217</v>
      </c>
      <c r="AG72" s="11" t="n">
        <f aca="false">AF72+AG71+AG70</f>
        <v>161.093076098646</v>
      </c>
      <c r="AH72" s="11" t="n">
        <f aca="false">AG72+AH71+AH70</f>
        <v>167.608818020586</v>
      </c>
      <c r="AI72" s="11" t="n">
        <f aca="false">AH72+AI71+AI70</f>
        <v>173.431622878959</v>
      </c>
      <c r="AJ72" s="11" t="n">
        <f aca="false">AI72+AJ71+AJ70</f>
        <v>178.668714966553</v>
      </c>
      <c r="AK72" s="11" t="n">
        <f aca="false">AJ72+AK71+AK70</f>
        <v>183.211783923828</v>
      </c>
      <c r="AL72" s="11" t="n">
        <f aca="false">AK72+AL71+AL70</f>
        <v>187.2313163235</v>
      </c>
      <c r="AM72" s="11" t="n">
        <f aca="false">AL72+AM71+AM70</f>
        <v>190.739539569893</v>
      </c>
      <c r="AN72" s="11" t="n">
        <f aca="false">AM72+AN71+AN70</f>
        <v>193.638573499633</v>
      </c>
      <c r="AO72" s="11" t="n">
        <f aca="false">AN72+AO71+AO70</f>
        <v>196.461680525349</v>
      </c>
      <c r="AP72" s="11" t="n">
        <f aca="false">AO72+AP71+AP70</f>
        <v>210.378295835497</v>
      </c>
      <c r="AQ72" s="11" t="n">
        <f aca="false">AP72+AQ71+AQ70</f>
        <v>219.894754820761</v>
      </c>
      <c r="AR72" s="11" t="n">
        <f aca="false">AQ72+AR71+AR70</f>
        <v>220.740823050274</v>
      </c>
      <c r="AS72" s="11" t="n">
        <f aca="false">AR72+AS71+AS70</f>
        <v>220.740823050274</v>
      </c>
      <c r="AT72" s="11" t="n">
        <f aca="false">AS72+AT71+AT70</f>
        <v>220.740823050274</v>
      </c>
      <c r="AU72" s="11" t="n">
        <f aca="false">AT72+AU71+AU70</f>
        <v>220.740823050274</v>
      </c>
      <c r="AV72" s="11" t="n">
        <f aca="false">AU72+AV71+AV70</f>
        <v>220.740823050274</v>
      </c>
      <c r="AW72" s="11" t="n">
        <f aca="false">AV72+AW71+AW70</f>
        <v>220.740823050274</v>
      </c>
      <c r="AX72" s="11" t="n">
        <f aca="false">AW72+AX71+AX70</f>
        <v>220.740823050274</v>
      </c>
      <c r="AY72" s="11" t="n">
        <f aca="false">AX72+AY71+AY70</f>
        <v>220.740823050274</v>
      </c>
      <c r="AZ72" s="11" t="n">
        <f aca="false">AY72+AZ71+AZ70</f>
        <v>220.740823050274</v>
      </c>
      <c r="BA72" s="11" t="n">
        <f aca="false">AZ72+BA71+BA70</f>
        <v>220.740823050274</v>
      </c>
      <c r="BB72" s="11" t="n">
        <f aca="false">BA72+BB71+BB70</f>
        <v>220.740823050274</v>
      </c>
      <c r="BC72" s="11" t="n">
        <f aca="false">BB72+BC71+BC70</f>
        <v>220.740823050274</v>
      </c>
      <c r="BD72" s="11" t="n">
        <f aca="false">BC72+BD71+BD70</f>
        <v>220.740823050274</v>
      </c>
      <c r="BE72" s="11" t="n">
        <f aca="false">BD72+BE71+BE70</f>
        <v>220.740823050274</v>
      </c>
      <c r="BF72" s="11" t="n">
        <f aca="false">BE72+BF71+BF70</f>
        <v>220.740823050274</v>
      </c>
      <c r="BG72" s="11" t="n">
        <f aca="false">BF72+BG71+BG70</f>
        <v>220.740823050274</v>
      </c>
      <c r="BH72" s="11" t="n">
        <f aca="false">BG72+BH71+BH70</f>
        <v>220.740823050274</v>
      </c>
      <c r="BI72" s="11" t="n">
        <f aca="false">BH72+BI71+BI70</f>
        <v>220.740823050274</v>
      </c>
      <c r="BJ72" s="11" t="n">
        <f aca="false">BI72+BJ71+BJ70</f>
        <v>220.740823050274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693.496150463468</v>
      </c>
      <c r="J73" s="11" t="n">
        <f aca="false">J47+J55</f>
        <v>96.5342212804864</v>
      </c>
      <c r="K73" s="11" t="n">
        <f aca="false">K47+K55</f>
        <v>2.02010697574624</v>
      </c>
      <c r="L73" s="11" t="n">
        <f aca="false">L47+L55</f>
        <v>2.5792455605968</v>
      </c>
      <c r="M73" s="11" t="n">
        <f aca="false">M47+M55</f>
        <v>3.65266992861151</v>
      </c>
      <c r="N73" s="11" t="n">
        <f aca="false">N47+N55</f>
        <v>5.26644124548453</v>
      </c>
      <c r="O73" s="11" t="n">
        <f aca="false">O47+O55</f>
        <v>7.26409115754928</v>
      </c>
      <c r="P73" s="11" t="n">
        <f aca="false">P47+P55</f>
        <v>9.48050158765097</v>
      </c>
      <c r="Q73" s="11" t="n">
        <f aca="false">Q47+Q55</f>
        <v>12.0381295212686</v>
      </c>
      <c r="R73" s="11" t="n">
        <f aca="false">R47+R55</f>
        <v>14.5867649295378</v>
      </c>
      <c r="S73" s="11" t="n">
        <f aca="false">S47+S55</f>
        <v>17.1822585946665</v>
      </c>
      <c r="T73" s="11" t="n">
        <f aca="false">T47+T55</f>
        <v>19.6106742709367</v>
      </c>
      <c r="U73" s="11" t="n">
        <f aca="false">U47+U55</f>
        <v>21.940702725416</v>
      </c>
      <c r="V73" s="11" t="n">
        <f aca="false">V47+V55</f>
        <v>23.9881602294374</v>
      </c>
      <c r="W73" s="11" t="n">
        <f aca="false">W47+W55</f>
        <v>25.6902418240544</v>
      </c>
      <c r="X73" s="11" t="n">
        <f aca="false">X47+X55</f>
        <v>27.1003996894563</v>
      </c>
      <c r="Y73" s="11" t="n">
        <f aca="false">Y47+Y55</f>
        <v>28.0381279831023</v>
      </c>
      <c r="Z73" s="11" t="n">
        <f aca="false">Z47+Z55</f>
        <v>28.6269354862421</v>
      </c>
      <c r="AA73" s="11" t="n">
        <f aca="false">AA47+AA55</f>
        <v>29.697100229813</v>
      </c>
      <c r="AB73" s="11" t="n">
        <f aca="false">AB47+AB55</f>
        <v>28.3243623562185</v>
      </c>
      <c r="AC73" s="11" t="n">
        <f aca="false">AC47+AC55</f>
        <v>27.6534962764207</v>
      </c>
      <c r="AD73" s="11" t="n">
        <f aca="false">AD47+AD55</f>
        <v>26.4329704572116</v>
      </c>
      <c r="AE73" s="11" t="n">
        <f aca="false">AE47+AE55</f>
        <v>24.9405385818698</v>
      </c>
      <c r="AF73" s="11" t="n">
        <f aca="false">AF47+AF55</f>
        <v>23.0183595265903</v>
      </c>
      <c r="AG73" s="11" t="n">
        <f aca="false">AG47+AG55</f>
        <v>20.9420235720594</v>
      </c>
      <c r="AH73" s="11" t="n">
        <f aca="false">AH47+AH55</f>
        <v>18.6121353187543</v>
      </c>
      <c r="AI73" s="11" t="n">
        <f aca="false">AI47+AI55</f>
        <v>16.1075971267691</v>
      </c>
      <c r="AJ73" s="11" t="n">
        <f aca="false">AJ47+AJ55</f>
        <v>13.6942890979912</v>
      </c>
      <c r="AK73" s="11" t="n">
        <f aca="false">AK47+AK55</f>
        <v>11.2329606004204</v>
      </c>
      <c r="AL73" s="11" t="n">
        <f aca="false">AL47+AL55</f>
        <v>9.06808902694903</v>
      </c>
      <c r="AM73" s="11" t="n">
        <f aca="false">AM47+AM55</f>
        <v>7.12785769020686</v>
      </c>
      <c r="AN73" s="11" t="n">
        <f aca="false">AN47+AN55</f>
        <v>5.38452151321092</v>
      </c>
      <c r="AO73" s="11" t="n">
        <f aca="false">AO47+AO55</f>
        <v>4.49868561156611</v>
      </c>
      <c r="AP73" s="11" t="n">
        <f aca="false">AP47+AP55</f>
        <v>44.1848595624184</v>
      </c>
      <c r="AQ73" s="11" t="n">
        <f aca="false">AQ47+AQ55</f>
        <v>33.9576036149644</v>
      </c>
      <c r="AR73" s="11" t="n">
        <f aca="false">AR47+AR55</f>
        <v>3.01902730979002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116.76643620563</v>
      </c>
      <c r="J74" s="11" t="n">
        <f aca="false">J33+J34+J35+J36+J37+J38+J39+J40+J41+J42+J43+J48+Construction!J14*Construction!J36</f>
        <v>14.6910391486826</v>
      </c>
      <c r="K74" s="11" t="n">
        <f aca="false">K33+K34+K35+K36+K37+K38+K39+K40+K41+K42+K43+K48+Construction!K14*Construction!K36</f>
        <v>1.16485152841654</v>
      </c>
      <c r="L74" s="11" t="n">
        <f aca="false">L33+L34+L35+L36+L37+L38+L39+L40+L41+L42+L43+L48+Construction!L14*Construction!L36</f>
        <v>1.22263046739221</v>
      </c>
      <c r="M74" s="11" t="n">
        <f aca="false">M33+M34+M35+M36+M37+M38+M39+M40+M41+M42+M43+M48+Construction!M14*Construction!M36</f>
        <v>1.23953076579109</v>
      </c>
      <c r="N74" s="11" t="n">
        <f aca="false">N33+N34+N35+N36+N37+N38+N39+N40+N41+N42+N43+N48+Construction!N14*Construction!N36</f>
        <v>1.34053255647113</v>
      </c>
      <c r="O74" s="11" t="n">
        <f aca="false">O33+O34+O35+O36+O37+O38+O39+O40+O41+O42+O43+O48+Construction!O14*Construction!O36</f>
        <v>1.43951679987757</v>
      </c>
      <c r="P74" s="11" t="n">
        <f aca="false">P33+P34+P35+P36+P37+P38+P39+P40+P41+P42+P43+P48+Construction!P14*Construction!P36</f>
        <v>1.45160893347009</v>
      </c>
      <c r="Q74" s="11" t="n">
        <f aca="false">Q33+Q34+Q35+Q36+Q37+Q38+Q39+Q40+Q41+Q42+Q43+Q48+Construction!Q14*Construction!Q36</f>
        <v>1.68092913279798</v>
      </c>
      <c r="R74" s="11" t="n">
        <f aca="false">R33+R34+R35+R36+R37+R38+R39+R40+R41+R42+R43+R48+Construction!R14*Construction!R36</f>
        <v>1.79131149751507</v>
      </c>
      <c r="S74" s="11" t="n">
        <f aca="false">S33+S34+S35+S36+S37+S38+S39+S40+S41+S42+S43+S48+Construction!S14*Construction!S36</f>
        <v>1.98605382120387</v>
      </c>
      <c r="T74" s="11" t="n">
        <f aca="false">T33+T34+T35+T36+T37+T38+T39+T40+T41+T42+T43+T48+Construction!T14*Construction!T36</f>
        <v>2.09531577258191</v>
      </c>
      <c r="U74" s="11" t="n">
        <f aca="false">U33+U34+U35+U36+U37+U38+U39+U40+U41+U42+U43+U48+Construction!U14*Construction!U36</f>
        <v>2.31796589393411</v>
      </c>
      <c r="V74" s="11" t="n">
        <f aca="false">V33+V34+V35+V36+V37+V38+V39+V40+V41+V42+V43+V48+Construction!V14*Construction!V36</f>
        <v>2.49917058705189</v>
      </c>
      <c r="W74" s="11" t="n">
        <f aca="false">W33+W34+W35+W36+W37+W38+W39+W40+W41+W42+W43+W48+Construction!W14*Construction!W36</f>
        <v>2.63439033138731</v>
      </c>
      <c r="X74" s="11" t="n">
        <f aca="false">X33+X34+X35+X36+X37+X38+X39+X40+X41+X42+X43+X48+Construction!X14*Construction!X36</f>
        <v>2.85838256831081</v>
      </c>
      <c r="Y74" s="11" t="n">
        <f aca="false">Y33+Y34+Y35+Y36+Y37+Y38+Y39+Y40+Y41+Y42+Y43+Y48+Construction!Y14*Construction!Y36</f>
        <v>2.97774563763946</v>
      </c>
      <c r="Z74" s="11" t="n">
        <f aca="false">Z33+Z34+Z35+Z36+Z37+Z38+Z39+Z40+Z41+Z42+Z43+Z48+Construction!Z14*Construction!Z36</f>
        <v>3.19122479372648</v>
      </c>
      <c r="AA74" s="11" t="n">
        <f aca="false">AA33+AA34+AA35+AA36+AA37+AA38+AA39+AA40+AA41+AA42+AA43+AA48+Construction!AA14*Construction!AA36</f>
        <v>3.37897534362306</v>
      </c>
      <c r="AB74" s="11" t="n">
        <f aca="false">AB33+AB34+AB35+AB36+AB37+AB38+AB39+AB40+AB41+AB42+AB43+AB48+Construction!AB14*Construction!AB36</f>
        <v>3.36424980978282</v>
      </c>
      <c r="AC74" s="11" t="n">
        <f aca="false">AC33+AC34+AC35+AC36+AC37+AC38+AC39+AC40+AC41+AC42+AC43+AC48+Construction!AC14*Construction!AC36</f>
        <v>3.60523255747407</v>
      </c>
      <c r="AD74" s="11" t="n">
        <f aca="false">AD33+AD34+AD35+AD36+AD37+AD38+AD39+AD40+AD41+AD42+AD43+AD48+Construction!AD14*Construction!AD36</f>
        <v>3.63730173004402</v>
      </c>
      <c r="AE74" s="11" t="n">
        <f aca="false">AE33+AE34+AE35+AE36+AE37+AE38+AE39+AE40+AE41+AE42+AE43+AE48+Construction!AE14*Construction!AE36</f>
        <v>3.78517339190971</v>
      </c>
      <c r="AF74" s="11" t="n">
        <f aca="false">AF33+AF34+AF35+AF36+AF37+AF38+AF39+AF40+AF41+AF42+AF43+AF48+Construction!AF14*Construction!AF36</f>
        <v>3.77313301889512</v>
      </c>
      <c r="AG74" s="11" t="n">
        <f aca="false">AG33+AG34+AG35+AG36+AG37+AG38+AG39+AG40+AG41+AG42+AG43+AG48+Construction!AG14*Construction!AG36</f>
        <v>3.89304556255087</v>
      </c>
      <c r="AH74" s="11" t="n">
        <f aca="false">AH33+AH34+AH35+AH36+AH37+AH38+AH39+AH40+AH41+AH42+AH43+AH48+Construction!AH14*Construction!AH36</f>
        <v>3.91682584377386</v>
      </c>
      <c r="AI74" s="11" t="n">
        <f aca="false">AI33+AI34+AI35+AI36+AI37+AI38+AI39+AI40+AI41+AI42+AI43+AI48+Construction!AI14*Construction!AI36</f>
        <v>3.84490129862973</v>
      </c>
      <c r="AJ74" s="11" t="n">
        <f aca="false">AJ33+AJ34+AJ35+AJ36+AJ37+AJ38+AJ39+AJ40+AJ41+AJ42+AJ43+AJ48+Construction!AJ14*Construction!AJ36</f>
        <v>3.91725239184495</v>
      </c>
      <c r="AK74" s="11" t="n">
        <f aca="false">AK33+AK34+AK35+AK36+AK37+AK38+AK39+AK40+AK41+AK42+AK43+AK48+Construction!AK14*Construction!AK36</f>
        <v>3.81796595960781</v>
      </c>
      <c r="AL74" s="11" t="n">
        <f aca="false">AL33+AL34+AL35+AL36+AL37+AL38+AL39+AL40+AL41+AL42+AL43+AL48+Construction!AL14*Construction!AL36</f>
        <v>3.87546708589611</v>
      </c>
      <c r="AM74" s="11" t="n">
        <f aca="false">AM33+AM34+AM35+AM36+AM37+AM38+AM39+AM40+AM41+AM42+AM43+AM48+Construction!AM14*Construction!AM36</f>
        <v>3.85401552551127</v>
      </c>
      <c r="AN74" s="11" t="n">
        <f aca="false">AN33+AN34+AN35+AN36+AN37+AN38+AN39+AN40+AN41+AN42+AN43+AN48+Construction!AN14*Construction!AN36</f>
        <v>3.5780614450154</v>
      </c>
      <c r="AO74" s="11" t="n">
        <f aca="false">AO33+AO34+AO35+AO36+AO37+AO38+AO39+AO40+AO41+AO42+AO43+AO48+Construction!AO14*Construction!AO36</f>
        <v>3.81446309672335</v>
      </c>
      <c r="AP74" s="11" t="n">
        <f aca="false">AP33+AP34+AP35+AP36+AP37+AP38+AP39+AP40+AP41+AP42+AP43+AP48+Construction!AP14*Construction!AP36</f>
        <v>5.03839655605822</v>
      </c>
      <c r="AQ74" s="11" t="n">
        <f aca="false">AQ33+AQ34+AQ35+AQ36+AQ37+AQ38+AQ39+AQ40+AQ41+AQ42+AQ43+AQ48+Construction!AQ14*Construction!AQ36</f>
        <v>5.01316275535845</v>
      </c>
      <c r="AR74" s="11" t="n">
        <f aca="false">AR33+AR34+AR35+AR36+AR37+AR38+AR39+AR40+AR41+AR42+AR43+AR48+Construction!AR14*Construction!AR36</f>
        <v>4.07661259668105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936.432450796817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916.099218989225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0.0224238888888889</v>
      </c>
      <c r="R10" s="14" t="n">
        <f aca="false">(Operations!R9+Inputs!$F$77+R9)/100*Time!R20/360</f>
        <v>0.0227955555555556</v>
      </c>
      <c r="S10" s="14" t="n">
        <f aca="false">(Operations!S9+Inputs!$F$77+S9)/100*Time!S20/360</f>
        <v>0.0224741666666667</v>
      </c>
      <c r="T10" s="14" t="n">
        <f aca="false">(Operations!T9+Inputs!$F$77+T9)/100*Time!T20/360</f>
        <v>0.0228466666666667</v>
      </c>
      <c r="U10" s="14" t="n">
        <f aca="false">(Operations!U9+Inputs!$F$77+U9)/100*Time!U20/360</f>
        <v>0.0225983333333333</v>
      </c>
      <c r="V10" s="14" t="n">
        <f aca="false">(Operations!V9+Inputs!$F$77+V9)/100*Time!V20/360</f>
        <v>0.0228466666666667</v>
      </c>
      <c r="W10" s="14" t="n">
        <f aca="false">(Operations!W9+Inputs!$F$77+W9)/100*Time!W20/360</f>
        <v>0.0224741666666667</v>
      </c>
      <c r="X10" s="14" t="n">
        <f aca="false">(Operations!X9+Inputs!$F$77+X9)/100*Time!X20/360</f>
        <v>0.0228466666666667</v>
      </c>
      <c r="Y10" s="14" t="n">
        <f aca="false">(Operations!Y9+Inputs!$F$77+Y9)/100*Time!Y20/360</f>
        <v>0.0224741666666667</v>
      </c>
      <c r="Z10" s="14" t="n">
        <f aca="false">(Operations!Z9+Inputs!$F$77+Z9)/100*Time!Z20/360</f>
        <v>0.0228466666666667</v>
      </c>
      <c r="AA10" s="14" t="n">
        <f aca="false">(Operations!AA9+Inputs!$F$77+AA9)/100*Time!AA20/360</f>
        <v>0.0224741666666667</v>
      </c>
      <c r="AB10" s="14" t="n">
        <f aca="false">(Operations!AB9+Inputs!$F$77+AB9)/100*Time!AB20/360</f>
        <v>0.0228466666666667</v>
      </c>
      <c r="AC10" s="14" t="n">
        <f aca="false">(Operations!AC9+Inputs!$F$77+AC9)/100*Time!AC20/360</f>
        <v>0.0225983333333333</v>
      </c>
      <c r="AD10" s="14" t="n">
        <f aca="false">(Operations!AD9+Inputs!$F$77+AD9)/100*Time!AD20/360</f>
        <v>0.0228466666666667</v>
      </c>
      <c r="AE10" s="14" t="n">
        <f aca="false">(Operations!AE9+Inputs!$F$77+AE9)/100*Time!AE20/360</f>
        <v>0.0224741666666667</v>
      </c>
      <c r="AF10" s="14" t="n">
        <f aca="false">(Operations!AF9+Inputs!$F$77+AF9)/100*Time!AF20/360</f>
        <v>0.0228466666666667</v>
      </c>
      <c r="AG10" s="14" t="n">
        <f aca="false">(Operations!AG9+Inputs!$F$77+AG9)/100*Time!AG20/360</f>
        <v>0.0224741666666667</v>
      </c>
      <c r="AH10" s="14" t="n">
        <f aca="false">(Operations!AH9+Inputs!$F$77+AH9)/100*Time!AH20/360</f>
        <v>0.0228466666666667</v>
      </c>
      <c r="AI10" s="14" t="n">
        <f aca="false">(Operations!AI9+Inputs!$F$77+AI9)/100*Time!AI20/360</f>
        <v>0.0224741666666667</v>
      </c>
      <c r="AJ10" s="14" t="n">
        <f aca="false">(Operations!AJ9+Inputs!$F$77+AJ9)/100*Time!AJ20/360</f>
        <v>0.0228466666666667</v>
      </c>
      <c r="AK10" s="14" t="n">
        <f aca="false">(Operations!AK9+Inputs!$F$77+AK9)/100*Time!AK20/360</f>
        <v>0.0225983333333333</v>
      </c>
      <c r="AL10" s="14" t="n">
        <f aca="false">(Operations!AL9+Inputs!$F$77+AL9)/100*Time!AL20/360</f>
        <v>0.0228466666666667</v>
      </c>
      <c r="AM10" s="14" t="n">
        <f aca="false">(Operations!AM9+Inputs!$F$77+AM9)/100*Time!AM20/360</f>
        <v>0.0224741666666667</v>
      </c>
      <c r="AN10" s="14" t="n">
        <f aca="false">(Operations!AN9+Inputs!$F$77+AN9)/100*Time!AN20/360</f>
        <v>0.0228466666666667</v>
      </c>
      <c r="AO10" s="14" t="n">
        <f aca="false">(Operations!AO9+Inputs!$F$77+AO9)/100*Time!AO20/360</f>
        <v>0.0224741666666667</v>
      </c>
      <c r="AP10" s="14" t="n">
        <f aca="false">(Operations!AP9+Inputs!$F$77+AP9)/100*Time!AP20/360</f>
        <v>0.0228466666666667</v>
      </c>
      <c r="AQ10" s="14" t="n">
        <f aca="false">(Operations!AQ9+Inputs!$F$77+AQ9)/100*Time!AQ20/360</f>
        <v>0.0224741666666667</v>
      </c>
      <c r="AR10" s="14" t="n">
        <f aca="false">(Operations!AR9+Inputs!$F$77+AR9)/100*Time!AR20/360</f>
        <v>0.0228466666666667</v>
      </c>
      <c r="AS10" s="14" t="n">
        <f aca="false">(Operations!AS9+Inputs!$F$77+AS9)/100*Time!AS20/360</f>
        <v>0.0225983333333333</v>
      </c>
      <c r="AT10" s="14" t="n">
        <f aca="false">(Operations!AT9+Inputs!$F$77+AT9)/100*Time!AT20/360</f>
        <v>0.0228466666666667</v>
      </c>
      <c r="AU10" s="14" t="n">
        <f aca="false">(Operations!AU9+Inputs!$F$77+AU9)/100*Time!AU20/360</f>
        <v>0.0224741666666667</v>
      </c>
      <c r="AV10" s="14" t="n">
        <f aca="false">(Operations!AV9+Inputs!$F$77+AV9)/100*Time!AV20/360</f>
        <v>0.0228466666666667</v>
      </c>
      <c r="AW10" s="14" t="n">
        <f aca="false">(Operations!AW9+Inputs!$F$77+AW9)/100*Time!AW20/360</f>
        <v>0.0224741666666667</v>
      </c>
      <c r="AX10" s="14" t="n">
        <f aca="false">(Operations!AX9+Inputs!$F$77+AX9)/100*Time!AX20/360</f>
        <v>0.0228466666666667</v>
      </c>
      <c r="AY10" s="14" t="n">
        <f aca="false">(Operations!AY9+Inputs!$F$77+AY9)/100*Time!AY20/360</f>
        <v>0.0224741666666667</v>
      </c>
      <c r="AZ10" s="14" t="n">
        <f aca="false">(Operations!AZ9+Inputs!$F$77+AZ9)/100*Time!AZ20/360</f>
        <v>0.0228466666666667</v>
      </c>
      <c r="BA10" s="14" t="n">
        <f aca="false">(Operations!BA9+Inputs!$F$77+BA9)/100*Time!BA20/360</f>
        <v>0.0225983333333333</v>
      </c>
      <c r="BB10" s="14" t="n">
        <f aca="false">(Operations!BB9+Inputs!$F$77+BB9)/100*Time!BB20/360</f>
        <v>0.0228466666666667</v>
      </c>
      <c r="BC10" s="14" t="n">
        <f aca="false">(Operations!BC9+Inputs!$F$77+BC9)/100*Time!BC20/360</f>
        <v>0.0224741666666667</v>
      </c>
      <c r="BD10" s="14" t="n">
        <f aca="false">(Operations!BD9+Inputs!$F$77+BD9)/100*Time!BD20/360</f>
        <v>0.0228466666666667</v>
      </c>
      <c r="BE10" s="14" t="n">
        <f aca="false">(Operations!BE9+Inputs!$F$77+BE9)/100*Time!BE20/360</f>
        <v>0.0224741666666667</v>
      </c>
      <c r="BF10" s="14" t="n">
        <f aca="false">(Operations!BF9+Inputs!$F$77+BF9)/100*Time!BF20/360</f>
        <v>0.0228466666666667</v>
      </c>
      <c r="BG10" s="14" t="n">
        <f aca="false">(Operations!BG9+Inputs!$F$77+BG9)/100*Time!BG20/360</f>
        <v>0.0224741666666667</v>
      </c>
      <c r="BH10" s="14" t="n">
        <f aca="false">(Operations!BH9+Inputs!$F$77+BH9)/100*Time!BH20/360</f>
        <v>0.0228466666666667</v>
      </c>
      <c r="BI10" s="14" t="n">
        <f aca="false">(Operations!BI9+Inputs!$F$77+BI9)/100*Time!BI20/360</f>
        <v>0.0225983333333333</v>
      </c>
      <c r="BJ10" s="14" t="n">
        <f aca="false">(Operations!BJ9+Inputs!$F$77+BJ9)/100*Time!BJ20/360</f>
        <v>0.0228466666666667</v>
      </c>
      <c r="BK10" s="14" t="n">
        <f aca="false">(Operations!BK9+Inputs!$F$77+BK9)/100*Time!BK20/360</f>
        <v>0.0224741666666667</v>
      </c>
      <c r="BL10" s="14" t="n">
        <f aca="false">(Operations!BL9+Inputs!$F$77+BL9)/100*Time!BL20/360</f>
        <v>0.0228466666666667</v>
      </c>
      <c r="BM10" s="14" t="n">
        <f aca="false">(Operations!BM9+Inputs!$F$77+BM9)/100*Time!BM20/360</f>
        <v>0.0224741666666667</v>
      </c>
      <c r="BN10" s="14" t="n">
        <f aca="false">(Operations!BN9+Inputs!$F$77+BN9)/100*Time!BN20/360</f>
        <v>0.0228466666666667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0.0339877777777778</v>
      </c>
      <c r="R11" s="14" t="n">
        <f aca="false">(Operations!R9+Inputs!$F$78+R9)/100*Time!R20/360</f>
        <v>0.0345511111111111</v>
      </c>
      <c r="S11" s="14" t="n">
        <f aca="false">(Operations!S9+Inputs!$F$78+S9)/100*Time!S20/360</f>
        <v>0.0340380555555556</v>
      </c>
      <c r="T11" s="14" t="n">
        <f aca="false">(Operations!T9+Inputs!$F$78+T9)/100*Time!T20/360</f>
        <v>0.0346022222222222</v>
      </c>
      <c r="U11" s="14" t="n">
        <f aca="false">(Operations!U9+Inputs!$F$78+U9)/100*Time!U20/360</f>
        <v>0.0342261111111111</v>
      </c>
      <c r="V11" s="14" t="n">
        <f aca="false">(Operations!V9+Inputs!$F$78+V9)/100*Time!V20/360</f>
        <v>0.0346022222222222</v>
      </c>
      <c r="W11" s="14" t="n">
        <f aca="false">(Operations!W9+Inputs!$F$78+W9)/100*Time!W20/360</f>
        <v>0.0340380555555556</v>
      </c>
      <c r="X11" s="14" t="n">
        <f aca="false">(Operations!X9+Inputs!$F$78+X9)/100*Time!X20/360</f>
        <v>0.0346022222222222</v>
      </c>
      <c r="Y11" s="14" t="n">
        <f aca="false">(Operations!Y9+Inputs!$F$78+Y9)/100*Time!Y20/360</f>
        <v>0.0340380555555556</v>
      </c>
      <c r="Z11" s="14" t="n">
        <f aca="false">(Operations!Z9+Inputs!$F$78+Z9)/100*Time!Z20/360</f>
        <v>0.0346022222222222</v>
      </c>
      <c r="AA11" s="14" t="n">
        <f aca="false">(Operations!AA9+Inputs!$F$78+AA9)/100*Time!AA20/360</f>
        <v>0.0340380555555556</v>
      </c>
      <c r="AB11" s="14" t="n">
        <f aca="false">(Operations!AB9+Inputs!$F$78+AB9)/100*Time!AB20/360</f>
        <v>0.0346022222222222</v>
      </c>
      <c r="AC11" s="14" t="n">
        <f aca="false">(Operations!AC9+Inputs!$F$78+AC9)/100*Time!AC20/360</f>
        <v>0.0342261111111111</v>
      </c>
      <c r="AD11" s="14" t="n">
        <f aca="false">(Operations!AD9+Inputs!$F$78+AD9)/100*Time!AD20/360</f>
        <v>0.0346022222222222</v>
      </c>
      <c r="AE11" s="14" t="n">
        <f aca="false">(Operations!AE9+Inputs!$F$78+AE9)/100*Time!AE20/360</f>
        <v>0.0340380555555556</v>
      </c>
      <c r="AF11" s="14" t="n">
        <f aca="false">(Operations!AF9+Inputs!$F$78+AF9)/100*Time!AF20/360</f>
        <v>0.0346022222222222</v>
      </c>
      <c r="AG11" s="14" t="n">
        <f aca="false">(Operations!AG9+Inputs!$F$78+AG9)/100*Time!AG20/360</f>
        <v>0.0340380555555556</v>
      </c>
      <c r="AH11" s="14" t="n">
        <f aca="false">(Operations!AH9+Inputs!$F$78+AH9)/100*Time!AH20/360</f>
        <v>0.0346022222222222</v>
      </c>
      <c r="AI11" s="14" t="n">
        <f aca="false">(Operations!AI9+Inputs!$F$78+AI9)/100*Time!AI20/360</f>
        <v>0.0340380555555556</v>
      </c>
      <c r="AJ11" s="14" t="n">
        <f aca="false">(Operations!AJ9+Inputs!$F$78+AJ9)/100*Time!AJ20/360</f>
        <v>0.0346022222222222</v>
      </c>
      <c r="AK11" s="14" t="n">
        <f aca="false">(Operations!AK9+Inputs!$F$78+AK9)/100*Time!AK20/360</f>
        <v>0.0342261111111111</v>
      </c>
      <c r="AL11" s="14" t="n">
        <f aca="false">(Operations!AL9+Inputs!$F$78+AL9)/100*Time!AL20/360</f>
        <v>0.0346022222222222</v>
      </c>
      <c r="AM11" s="14" t="n">
        <f aca="false">(Operations!AM9+Inputs!$F$78+AM9)/100*Time!AM20/360</f>
        <v>0.0340380555555556</v>
      </c>
      <c r="AN11" s="14" t="n">
        <f aca="false">(Operations!AN9+Inputs!$F$78+AN9)/100*Time!AN20/360</f>
        <v>0.0346022222222222</v>
      </c>
      <c r="AO11" s="14" t="n">
        <f aca="false">(Operations!AO9+Inputs!$F$78+AO9)/100*Time!AO20/360</f>
        <v>0.0340380555555556</v>
      </c>
      <c r="AP11" s="14" t="n">
        <f aca="false">(Operations!AP9+Inputs!$F$78+AP9)/100*Time!AP20/360</f>
        <v>0.0346022222222222</v>
      </c>
      <c r="AQ11" s="14" t="n">
        <f aca="false">(Operations!AQ9+Inputs!$F$78+AQ9)/100*Time!AQ20/360</f>
        <v>0.0340380555555556</v>
      </c>
      <c r="AR11" s="14" t="n">
        <f aca="false">(Operations!AR9+Inputs!$F$78+AR9)/100*Time!AR20/360</f>
        <v>0.0346022222222222</v>
      </c>
      <c r="AS11" s="14" t="n">
        <f aca="false">(Operations!AS9+Inputs!$F$78+AS9)/100*Time!AS20/360</f>
        <v>0.0342261111111111</v>
      </c>
      <c r="AT11" s="14" t="n">
        <f aca="false">(Operations!AT9+Inputs!$F$78+AT9)/100*Time!AT20/360</f>
        <v>0.0346022222222222</v>
      </c>
      <c r="AU11" s="14" t="n">
        <f aca="false">(Operations!AU9+Inputs!$F$78+AU9)/100*Time!AU20/360</f>
        <v>0.0340380555555556</v>
      </c>
      <c r="AV11" s="14" t="n">
        <f aca="false">(Operations!AV9+Inputs!$F$78+AV9)/100*Time!AV20/360</f>
        <v>0.0346022222222222</v>
      </c>
      <c r="AW11" s="14" t="n">
        <f aca="false">(Operations!AW9+Inputs!$F$78+AW9)/100*Time!AW20/360</f>
        <v>0.0340380555555556</v>
      </c>
      <c r="AX11" s="14" t="n">
        <f aca="false">(Operations!AX9+Inputs!$F$78+AX9)/100*Time!AX20/360</f>
        <v>0.0346022222222222</v>
      </c>
      <c r="AY11" s="14" t="n">
        <f aca="false">(Operations!AY9+Inputs!$F$78+AY9)/100*Time!AY20/360</f>
        <v>0.0340380555555556</v>
      </c>
      <c r="AZ11" s="14" t="n">
        <f aca="false">(Operations!AZ9+Inputs!$F$78+AZ9)/100*Time!AZ20/360</f>
        <v>0.0346022222222222</v>
      </c>
      <c r="BA11" s="14" t="n">
        <f aca="false">(Operations!BA9+Inputs!$F$78+BA9)/100*Time!BA20/360</f>
        <v>0.0342261111111111</v>
      </c>
      <c r="BB11" s="14" t="n">
        <f aca="false">(Operations!BB9+Inputs!$F$78+BB9)/100*Time!BB20/360</f>
        <v>0.0346022222222222</v>
      </c>
      <c r="BC11" s="14" t="n">
        <f aca="false">(Operations!BC9+Inputs!$F$78+BC9)/100*Time!BC20/360</f>
        <v>0.0340380555555556</v>
      </c>
      <c r="BD11" s="14" t="n">
        <f aca="false">(Operations!BD9+Inputs!$F$78+BD9)/100*Time!BD20/360</f>
        <v>0.0346022222222222</v>
      </c>
      <c r="BE11" s="14" t="n">
        <f aca="false">(Operations!BE9+Inputs!$F$78+BE9)/100*Time!BE20/360</f>
        <v>0.0340380555555556</v>
      </c>
      <c r="BF11" s="14" t="n">
        <f aca="false">(Operations!BF9+Inputs!$F$78+BF9)/100*Time!BF20/360</f>
        <v>0.0346022222222222</v>
      </c>
      <c r="BG11" s="14" t="n">
        <f aca="false">(Operations!BG9+Inputs!$F$78+BG9)/100*Time!BG20/360</f>
        <v>0.0340380555555556</v>
      </c>
      <c r="BH11" s="14" t="n">
        <f aca="false">(Operations!BH9+Inputs!$F$78+BH9)/100*Time!BH20/360</f>
        <v>0.0346022222222222</v>
      </c>
      <c r="BI11" s="14" t="n">
        <f aca="false">(Operations!BI9+Inputs!$F$78+BI9)/100*Time!BI20/360</f>
        <v>0.0342261111111111</v>
      </c>
      <c r="BJ11" s="14" t="n">
        <f aca="false">(Operations!BJ9+Inputs!$F$78+BJ9)/100*Time!BJ20/360</f>
        <v>0.0346022222222222</v>
      </c>
      <c r="BK11" s="14" t="n">
        <f aca="false">(Operations!BK9+Inputs!$F$78+BK9)/100*Time!BK20/360</f>
        <v>0.0340380555555556</v>
      </c>
      <c r="BL11" s="14" t="n">
        <f aca="false">(Operations!BL9+Inputs!$F$78+BL9)/100*Time!BL20/360</f>
        <v>0.0346022222222222</v>
      </c>
      <c r="BM11" s="14" t="n">
        <f aca="false">(Operations!BM9+Inputs!$F$78+BM9)/100*Time!BM20/360</f>
        <v>0.0340380555555556</v>
      </c>
      <c r="BN11" s="14" t="n">
        <f aca="false">(Operations!BN9+Inputs!$F$78+BN9)/100*Time!BN20/360</f>
        <v>0.0346022222222222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0.0327308333333333</v>
      </c>
      <c r="R12" s="14" t="n">
        <f aca="false">(Operations!R9+Inputs!$F$79+R9)/100*Time!R20/360</f>
        <v>0.0332733333333333</v>
      </c>
      <c r="S12" s="14" t="n">
        <f aca="false">(Operations!S9+Inputs!$F$79+S9)/100*Time!S20/360</f>
        <v>0.0327811111111111</v>
      </c>
      <c r="T12" s="14" t="n">
        <f aca="false">(Operations!T9+Inputs!$F$79+T9)/100*Time!T20/360</f>
        <v>0.0333244444444444</v>
      </c>
      <c r="U12" s="14" t="n">
        <f aca="false">(Operations!U9+Inputs!$F$79+U9)/100*Time!U20/360</f>
        <v>0.0329622222222222</v>
      </c>
      <c r="V12" s="14" t="n">
        <f aca="false">(Operations!V9+Inputs!$F$79+V9)/100*Time!V20/360</f>
        <v>0.0333244444444444</v>
      </c>
      <c r="W12" s="14" t="n">
        <f aca="false">(Operations!W9+Inputs!$F$79+W9)/100*Time!W20/360</f>
        <v>0.0327811111111111</v>
      </c>
      <c r="X12" s="14" t="n">
        <f aca="false">(Operations!X9+Inputs!$F$79+X9)/100*Time!X20/360</f>
        <v>0.0333244444444444</v>
      </c>
      <c r="Y12" s="14" t="n">
        <f aca="false">(Operations!Y9+Inputs!$F$79+Y9)/100*Time!Y20/360</f>
        <v>0.0327811111111111</v>
      </c>
      <c r="Z12" s="14" t="n">
        <f aca="false">(Operations!Z9+Inputs!$F$79+Z9)/100*Time!Z20/360</f>
        <v>0.0333244444444444</v>
      </c>
      <c r="AA12" s="14" t="n">
        <f aca="false">(Operations!AA9+Inputs!$F$79+AA9)/100*Time!AA20/360</f>
        <v>0.0327811111111111</v>
      </c>
      <c r="AB12" s="14" t="n">
        <f aca="false">(Operations!AB9+Inputs!$F$79+AB9)/100*Time!AB20/360</f>
        <v>0.0333244444444444</v>
      </c>
      <c r="AC12" s="14" t="n">
        <f aca="false">(Operations!AC9+Inputs!$F$79+AC9)/100*Time!AC20/360</f>
        <v>0.0329622222222222</v>
      </c>
      <c r="AD12" s="14" t="n">
        <f aca="false">(Operations!AD9+Inputs!$F$79+AD9)/100*Time!AD20/360</f>
        <v>0.0333244444444444</v>
      </c>
      <c r="AE12" s="14" t="n">
        <f aca="false">(Operations!AE9+Inputs!$F$79+AE9)/100*Time!AE20/360</f>
        <v>0.0327811111111111</v>
      </c>
      <c r="AF12" s="14" t="n">
        <f aca="false">(Operations!AF9+Inputs!$F$79+AF9)/100*Time!AF20/360</f>
        <v>0.0333244444444444</v>
      </c>
      <c r="AG12" s="14" t="n">
        <f aca="false">(Operations!AG9+Inputs!$F$79+AG9)/100*Time!AG20/360</f>
        <v>0.0327811111111111</v>
      </c>
      <c r="AH12" s="14" t="n">
        <f aca="false">(Operations!AH9+Inputs!$F$79+AH9)/100*Time!AH20/360</f>
        <v>0.0333244444444444</v>
      </c>
      <c r="AI12" s="14" t="n">
        <f aca="false">(Operations!AI9+Inputs!$F$79+AI9)/100*Time!AI20/360</f>
        <v>0.0327811111111111</v>
      </c>
      <c r="AJ12" s="14" t="n">
        <f aca="false">(Operations!AJ9+Inputs!$F$79+AJ9)/100*Time!AJ20/360</f>
        <v>0.0333244444444444</v>
      </c>
      <c r="AK12" s="14" t="n">
        <f aca="false">(Operations!AK9+Inputs!$F$79+AK9)/100*Time!AK20/360</f>
        <v>0.0329622222222222</v>
      </c>
      <c r="AL12" s="14" t="n">
        <f aca="false">(Operations!AL9+Inputs!$F$79+AL9)/100*Time!AL20/360</f>
        <v>0.0333244444444444</v>
      </c>
      <c r="AM12" s="14" t="n">
        <f aca="false">(Operations!AM9+Inputs!$F$79+AM9)/100*Time!AM20/360</f>
        <v>0.0327811111111111</v>
      </c>
      <c r="AN12" s="14" t="n">
        <f aca="false">(Operations!AN9+Inputs!$F$79+AN9)/100*Time!AN20/360</f>
        <v>0.0333244444444444</v>
      </c>
      <c r="AO12" s="14" t="n">
        <f aca="false">(Operations!AO9+Inputs!$F$79+AO9)/100*Time!AO20/360</f>
        <v>0.0327811111111111</v>
      </c>
      <c r="AP12" s="14" t="n">
        <f aca="false">(Operations!AP9+Inputs!$F$79+AP9)/100*Time!AP20/360</f>
        <v>0.0333244444444444</v>
      </c>
      <c r="AQ12" s="14" t="n">
        <f aca="false">(Operations!AQ9+Inputs!$F$79+AQ9)/100*Time!AQ20/360</f>
        <v>0.0327811111111111</v>
      </c>
      <c r="AR12" s="14" t="n">
        <f aca="false">(Operations!AR9+Inputs!$F$79+AR9)/100*Time!AR20/360</f>
        <v>0.0333244444444444</v>
      </c>
      <c r="AS12" s="14" t="n">
        <f aca="false">(Operations!AS9+Inputs!$F$79+AS9)/100*Time!AS20/360</f>
        <v>0.0329622222222222</v>
      </c>
      <c r="AT12" s="14" t="n">
        <f aca="false">(Operations!AT9+Inputs!$F$79+AT9)/100*Time!AT20/360</f>
        <v>0.0333244444444444</v>
      </c>
      <c r="AU12" s="14" t="n">
        <f aca="false">(Operations!AU9+Inputs!$F$79+AU9)/100*Time!AU20/360</f>
        <v>0.0327811111111111</v>
      </c>
      <c r="AV12" s="14" t="n">
        <f aca="false">(Operations!AV9+Inputs!$F$79+AV9)/100*Time!AV20/360</f>
        <v>0.0333244444444444</v>
      </c>
      <c r="AW12" s="14" t="n">
        <f aca="false">(Operations!AW9+Inputs!$F$79+AW9)/100*Time!AW20/360</f>
        <v>0.0327811111111111</v>
      </c>
      <c r="AX12" s="14" t="n">
        <f aca="false">(Operations!AX9+Inputs!$F$79+AX9)/100*Time!AX20/360</f>
        <v>0.0333244444444444</v>
      </c>
      <c r="AY12" s="14" t="n">
        <f aca="false">(Operations!AY9+Inputs!$F$79+AY9)/100*Time!AY20/360</f>
        <v>0.0327811111111111</v>
      </c>
      <c r="AZ12" s="14" t="n">
        <f aca="false">(Operations!AZ9+Inputs!$F$79+AZ9)/100*Time!AZ20/360</f>
        <v>0.0333244444444444</v>
      </c>
      <c r="BA12" s="14" t="n">
        <f aca="false">(Operations!BA9+Inputs!$F$79+BA9)/100*Time!BA20/360</f>
        <v>0.0329622222222222</v>
      </c>
      <c r="BB12" s="14" t="n">
        <f aca="false">(Operations!BB9+Inputs!$F$79+BB9)/100*Time!BB20/360</f>
        <v>0.0333244444444444</v>
      </c>
      <c r="BC12" s="14" t="n">
        <f aca="false">(Operations!BC9+Inputs!$F$79+BC9)/100*Time!BC20/360</f>
        <v>0.0327811111111111</v>
      </c>
      <c r="BD12" s="14" t="n">
        <f aca="false">(Operations!BD9+Inputs!$F$79+BD9)/100*Time!BD20/360</f>
        <v>0.0333244444444444</v>
      </c>
      <c r="BE12" s="14" t="n">
        <f aca="false">(Operations!BE9+Inputs!$F$79+BE9)/100*Time!BE20/360</f>
        <v>0.0327811111111111</v>
      </c>
      <c r="BF12" s="14" t="n">
        <f aca="false">(Operations!BF9+Inputs!$F$79+BF9)/100*Time!BF20/360</f>
        <v>0.0333244444444444</v>
      </c>
      <c r="BG12" s="14" t="n">
        <f aca="false">(Operations!BG9+Inputs!$F$79+BG9)/100*Time!BG20/360</f>
        <v>0.0327811111111111</v>
      </c>
      <c r="BH12" s="14" t="n">
        <f aca="false">(Operations!BH9+Inputs!$F$79+BH9)/100*Time!BH20/360</f>
        <v>0.0333244444444444</v>
      </c>
      <c r="BI12" s="14" t="n">
        <f aca="false">(Operations!BI9+Inputs!$F$79+BI9)/100*Time!BI20/360</f>
        <v>0.0329622222222222</v>
      </c>
      <c r="BJ12" s="14" t="n">
        <f aca="false">(Operations!BJ9+Inputs!$F$79+BJ9)/100*Time!BJ20/360</f>
        <v>0.0333244444444444</v>
      </c>
      <c r="BK12" s="14" t="n">
        <f aca="false">(Operations!BK9+Inputs!$F$79+BK9)/100*Time!BK20/360</f>
        <v>0.0327811111111111</v>
      </c>
      <c r="BL12" s="14" t="n">
        <f aca="false">(Operations!BL9+Inputs!$F$79+BL9)/100*Time!BL20/360</f>
        <v>0.0333244444444444</v>
      </c>
      <c r="BM12" s="14" t="n">
        <f aca="false">(Operations!BM9+Inputs!$F$79+BM9)/100*Time!BM20/360</f>
        <v>0.0327811111111111</v>
      </c>
      <c r="BN12" s="14" t="n">
        <f aca="false">(Operations!BN9+Inputs!$F$79+BN9)/100*Time!BN20/360</f>
        <v>0.0333244444444444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0.0402780864197531</v>
      </c>
      <c r="R13" s="14" t="n">
        <f aca="false">(Operations!R9+R8+R9)/100*Time!R20/360/(1-Inputs!$F$91/100)</f>
        <v>0.0409456790123457</v>
      </c>
      <c r="S13" s="14" t="n">
        <f aca="false">(Operations!S9+S8+S9)/100*Time!S20/360/(1-Inputs!$F$91/100)</f>
        <v>0.040333950617284</v>
      </c>
      <c r="T13" s="14" t="n">
        <f aca="false">(Operations!T9+T8+T9)/100*Time!T20/360/(1-Inputs!$F$91/100)</f>
        <v>0.0410024691358025</v>
      </c>
      <c r="U13" s="14" t="n">
        <f aca="false">(Operations!U9+U8+U9)/100*Time!U20/360/(1-Inputs!$F$91/100)</f>
        <v>0.0405567901234568</v>
      </c>
      <c r="V13" s="14" t="n">
        <f aca="false">(Operations!V9+V8+V9)/100*Time!V20/360/(1-Inputs!$F$91/100)</f>
        <v>0.0410024691358025</v>
      </c>
      <c r="W13" s="14" t="n">
        <f aca="false">(Operations!W9+W8+W9)/100*Time!W20/360/(1-Inputs!$F$91/100)</f>
        <v>0.040333950617284</v>
      </c>
      <c r="X13" s="14" t="n">
        <f aca="false">(Operations!X9+X8+X9)/100*Time!X20/360/(1-Inputs!$F$91/100)</f>
        <v>0.0410024691358025</v>
      </c>
      <c r="Y13" s="14" t="n">
        <f aca="false">(Operations!Y9+Y8+Y9)/100*Time!Y20/360/(1-Inputs!$F$91/100)</f>
        <v>0.0431271604938272</v>
      </c>
      <c r="Z13" s="14" t="n">
        <f aca="false">(Operations!Z9+Z8+Z9)/100*Time!Z20/360/(1-Inputs!$F$91/100)</f>
        <v>0.043841975308642</v>
      </c>
      <c r="AA13" s="14" t="n">
        <f aca="false">(Operations!AA9+AA8+AA9)/100*Time!AA20/360/(1-Inputs!$F$91/100)</f>
        <v>0.0431271604938272</v>
      </c>
      <c r="AB13" s="14" t="n">
        <f aca="false">(Operations!AB9+AB8+AB9)/100*Time!AB20/360/(1-Inputs!$F$91/100)</f>
        <v>0.043841975308642</v>
      </c>
      <c r="AC13" s="14" t="n">
        <f aca="false">(Operations!AC9+AC8+AC9)/100*Time!AC20/360/(1-Inputs!$F$91/100)</f>
        <v>0.0433654320987654</v>
      </c>
      <c r="AD13" s="14" t="n">
        <f aca="false">(Operations!AD9+AD8+AD9)/100*Time!AD20/360/(1-Inputs!$F$91/100)</f>
        <v>0.043841975308642</v>
      </c>
      <c r="AE13" s="14" t="n">
        <f aca="false">(Operations!AE9+AE8+AE9)/100*Time!AE20/360/(1-Inputs!$F$91/100)</f>
        <v>0.0431271604938272</v>
      </c>
      <c r="AF13" s="14" t="n">
        <f aca="false">(Operations!AF9+AF8+AF9)/100*Time!AF20/360/(1-Inputs!$F$91/100)</f>
        <v>0.043841975308642</v>
      </c>
      <c r="AG13" s="14" t="n">
        <f aca="false">(Operations!AG9+AG8+AG9)/100*Time!AG20/360/(1-Inputs!$F$91/100)</f>
        <v>0.0459203703703704</v>
      </c>
      <c r="AH13" s="14" t="n">
        <f aca="false">(Operations!AH9+AH8+AH9)/100*Time!AH20/360/(1-Inputs!$F$91/100)</f>
        <v>0.0466814814814815</v>
      </c>
      <c r="AI13" s="14" t="n">
        <f aca="false">(Operations!AI9+AI8+AI9)/100*Time!AI20/360/(1-Inputs!$F$91/100)</f>
        <v>0.0459203703703704</v>
      </c>
      <c r="AJ13" s="14" t="n">
        <f aca="false">(Operations!AJ9+AJ8+AJ9)/100*Time!AJ20/360/(1-Inputs!$F$91/100)</f>
        <v>0.0466814814814815</v>
      </c>
      <c r="AK13" s="14" t="n">
        <f aca="false">(Operations!AK9+AK8+AK9)/100*Time!AK20/360/(1-Inputs!$F$91/100)</f>
        <v>0.0461740740740741</v>
      </c>
      <c r="AL13" s="14" t="n">
        <f aca="false">(Operations!AL9+AL8+AL9)/100*Time!AL20/360/(1-Inputs!$F$91/100)</f>
        <v>0.0466814814814815</v>
      </c>
      <c r="AM13" s="14" t="n">
        <f aca="false">(Operations!AM9+AM8+AM9)/100*Time!AM20/360/(1-Inputs!$F$91/100)</f>
        <v>0.0459203703703704</v>
      </c>
      <c r="AN13" s="14" t="n">
        <f aca="false">(Operations!AN9+AN8+AN9)/100*Time!AN20/360/(1-Inputs!$F$91/100)</f>
        <v>0.0466814814814815</v>
      </c>
      <c r="AO13" s="14" t="n">
        <f aca="false">(Operations!AO9+AO8+AO9)/100*Time!AO20/360/(1-Inputs!$F$91/100)</f>
        <v>0.0459203703703704</v>
      </c>
      <c r="AP13" s="14" t="n">
        <f aca="false">(Operations!AP9+AP8+AP9)/100*Time!AP20/360/(1-Inputs!$F$91/100)</f>
        <v>0.0466814814814815</v>
      </c>
      <c r="AQ13" s="14" t="n">
        <f aca="false">(Operations!AQ9+AQ8+AQ9)/100*Time!AQ20/360/(1-Inputs!$F$91/100)</f>
        <v>0.0459203703703704</v>
      </c>
      <c r="AR13" s="14" t="n">
        <f aca="false">(Operations!AR9+AR8+AR9)/100*Time!AR20/360/(1-Inputs!$F$91/100)</f>
        <v>0.0466814814814815</v>
      </c>
      <c r="AS13" s="14" t="n">
        <f aca="false">(Operations!AS9+AS8+AS9)/100*Time!AS20/360/(1-Inputs!$F$91/100)</f>
        <v>0.0461740740740741</v>
      </c>
      <c r="AT13" s="14" t="n">
        <f aca="false">(Operations!AT9+AT8+AT9)/100*Time!AT20/360/(1-Inputs!$F$91/100)</f>
        <v>0.0466814814814815</v>
      </c>
      <c r="AU13" s="14" t="n">
        <f aca="false">(Operations!AU9+AU8+AU9)/100*Time!AU20/360/(1-Inputs!$F$91/100)</f>
        <v>0.0459203703703704</v>
      </c>
      <c r="AV13" s="14" t="n">
        <f aca="false">(Operations!AV9+AV8+AV9)/100*Time!AV20/360/(1-Inputs!$F$91/100)</f>
        <v>0.0466814814814815</v>
      </c>
      <c r="AW13" s="14" t="n">
        <f aca="false">(Operations!AW9+AW8+AW9)/100*Time!AW20/360/(1-Inputs!$F$91/100)</f>
        <v>0.0459203703703704</v>
      </c>
      <c r="AX13" s="14" t="n">
        <f aca="false">(Operations!AX9+AX8+AX9)/100*Time!AX20/360/(1-Inputs!$F$91/100)</f>
        <v>0.0466814814814815</v>
      </c>
      <c r="AY13" s="14" t="n">
        <f aca="false">(Operations!AY9+AY8+AY9)/100*Time!AY20/360/(1-Inputs!$F$91/100)</f>
        <v>0.0459203703703704</v>
      </c>
      <c r="AZ13" s="14" t="n">
        <f aca="false">(Operations!AZ9+AZ8+AZ9)/100*Time!AZ20/360/(1-Inputs!$F$91/100)</f>
        <v>0.0466814814814815</v>
      </c>
      <c r="BA13" s="14" t="n">
        <f aca="false">(Operations!BA9+BA8+BA9)/100*Time!BA20/360/(1-Inputs!$F$91/100)</f>
        <v>0.0461740740740741</v>
      </c>
      <c r="BB13" s="14" t="n">
        <f aca="false">(Operations!BB9+BB8+BB9)/100*Time!BB20/360/(1-Inputs!$F$91/100)</f>
        <v>0.0466814814814815</v>
      </c>
      <c r="BC13" s="14" t="n">
        <f aca="false">(Operations!BC9+BC8+BC9)/100*Time!BC20/360/(1-Inputs!$F$91/100)</f>
        <v>0.0459203703703704</v>
      </c>
      <c r="BD13" s="14" t="n">
        <f aca="false">(Operations!BD9+BD8+BD9)/100*Time!BD20/360/(1-Inputs!$F$91/100)</f>
        <v>0.0466814814814815</v>
      </c>
      <c r="BE13" s="14" t="n">
        <f aca="false">(Operations!BE9+BE8+BE9)/100*Time!BE20/360/(1-Inputs!$F$91/100)</f>
        <v>0.0459203703703704</v>
      </c>
      <c r="BF13" s="14" t="n">
        <f aca="false">(Operations!BF9+BF8+BF9)/100*Time!BF20/360/(1-Inputs!$F$91/100)</f>
        <v>0.0466814814814815</v>
      </c>
      <c r="BG13" s="14" t="n">
        <f aca="false">(Operations!BG9+BG8+BG9)/100*Time!BG20/360/(1-Inputs!$F$91/100)</f>
        <v>0.0459203703703704</v>
      </c>
      <c r="BH13" s="14" t="n">
        <f aca="false">(Operations!BH9+BH8+BH9)/100*Time!BH20/360/(1-Inputs!$F$91/100)</f>
        <v>0.0466814814814815</v>
      </c>
      <c r="BI13" s="14" t="n">
        <f aca="false">(Operations!BI9+BI8+BI9)/100*Time!BI20/360/(1-Inputs!$F$91/100)</f>
        <v>0.0461740740740741</v>
      </c>
      <c r="BJ13" s="14" t="n">
        <f aca="false">(Operations!BJ9+BJ8+BJ9)/100*Time!BJ20/360/(1-Inputs!$F$91/100)</f>
        <v>0.0466814814814815</v>
      </c>
      <c r="BK13" s="14" t="n">
        <f aca="false">(Operations!BK9+BK8+BK9)/100*Time!BK20/360/(1-Inputs!$F$91/100)</f>
        <v>0.0459203703703704</v>
      </c>
      <c r="BL13" s="14" t="n">
        <f aca="false">(Operations!BL9+BL8+BL9)/100*Time!BL20/360/(1-Inputs!$F$91/100)</f>
        <v>0.0466814814814815</v>
      </c>
      <c r="BM13" s="14" t="n">
        <f aca="false">(Operations!BM9+BM8+BM9)/100*Time!BM20/360/(1-Inputs!$F$91/100)</f>
        <v>0.0459203703703704</v>
      </c>
      <c r="BN13" s="14" t="n">
        <f aca="false">(Operations!BN9+BN8+BN9)/100*Time!BN20/360/(1-Inputs!$F$91/100)</f>
        <v>0.0466814814814815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0.0391027037037037</v>
      </c>
      <c r="R14" s="14" t="n">
        <f aca="false">(Inputs!$F$100*(Operations!R9+R8+Inputs!$F$99+R9)/(1-Inputs!$F$91/100)+(1-Inputs!$F$100)*(Operations!R9+Inputs!$F$78+Inputs!$F$99+R9))/100*Time!R20/360</f>
        <v>0.0397508148148148</v>
      </c>
      <c r="S14" s="14" t="n">
        <f aca="false">(Inputs!$F$100*(Operations!S9+S8+Inputs!$F$99+S9)/(1-Inputs!$F$91/100)+(1-Inputs!$F$100)*(Operations!S9+Inputs!$F$78+Inputs!$F$99+S9))/100*Time!S20/360</f>
        <v>0.0391563333333333</v>
      </c>
      <c r="T14" s="14" t="n">
        <f aca="false">(Inputs!$F$100*(Operations!T9+T8+Inputs!$F$99+T9)/(1-Inputs!$F$91/100)+(1-Inputs!$F$100)*(Operations!T9+Inputs!$F$78+Inputs!$F$99+T9))/100*Time!T20/360</f>
        <v>0.0398053333333333</v>
      </c>
      <c r="U14" s="14" t="n">
        <f aca="false">(Inputs!$F$100*(Operations!U9+U8+Inputs!$F$99+U9)/(1-Inputs!$F$91/100)+(1-Inputs!$F$100)*(Operations!U9+Inputs!$F$78+Inputs!$F$99+U9))/100*Time!U20/360</f>
        <v>0.0393726666666667</v>
      </c>
      <c r="V14" s="14" t="n">
        <f aca="false">(Inputs!$F$100*(Operations!V9+V8+Inputs!$F$99+V9)/(1-Inputs!$F$91/100)+(1-Inputs!$F$100)*(Operations!V9+Inputs!$F$78+Inputs!$F$99+V9))/100*Time!V20/360</f>
        <v>0.0398053333333333</v>
      </c>
      <c r="W14" s="14" t="n">
        <f aca="false">(Inputs!$F$100*(Operations!W9+W8+Inputs!$F$99+W9)/(1-Inputs!$F$91/100)+(1-Inputs!$F$100)*(Operations!W9+Inputs!$F$78+Inputs!$F$99+W9))/100*Time!W20/360</f>
        <v>0.0391563333333333</v>
      </c>
      <c r="X14" s="14" t="n">
        <f aca="false">(Inputs!$F$100*(Operations!X9+X8+Inputs!$F$99+X9)/(1-Inputs!$F$91/100)+(1-Inputs!$F$100)*(Operations!X9+Inputs!$F$78+Inputs!$F$99+X9))/100*Time!X20/360</f>
        <v>0.0398053333333333</v>
      </c>
      <c r="Y14" s="14" t="n">
        <f aca="false">(Inputs!$F$100*(Operations!Y9+Y8+Inputs!$F$99+Y9)/(1-Inputs!$F$91/100)+(1-Inputs!$F$100)*(Operations!Y9+Inputs!$F$78+Inputs!$F$99+Y9))/100*Time!Y20/360</f>
        <v>0.0408322592592593</v>
      </c>
      <c r="Z14" s="14" t="n">
        <f aca="false">(Inputs!$F$100*(Operations!Z9+Z8+Inputs!$F$99+Z9)/(1-Inputs!$F$91/100)+(1-Inputs!$F$100)*(Operations!Z9+Inputs!$F$78+Inputs!$F$99+Z9))/100*Time!Z20/360</f>
        <v>0.041509037037037</v>
      </c>
      <c r="AA14" s="14" t="n">
        <f aca="false">(Inputs!$F$100*(Operations!AA9+AA8+Inputs!$F$99+AA9)/(1-Inputs!$F$91/100)+(1-Inputs!$F$100)*(Operations!AA9+Inputs!$F$78+Inputs!$F$99+AA9))/100*Time!AA20/360</f>
        <v>0.0408322592592593</v>
      </c>
      <c r="AB14" s="14" t="n">
        <f aca="false">(Inputs!$F$100*(Operations!AB9+AB8+Inputs!$F$99+AB9)/(1-Inputs!$F$91/100)+(1-Inputs!$F$100)*(Operations!AB9+Inputs!$F$78+Inputs!$F$99+AB9))/100*Time!AB20/360</f>
        <v>0.041509037037037</v>
      </c>
      <c r="AC14" s="14" t="n">
        <f aca="false">(Inputs!$F$100*(Operations!AC9+AC8+Inputs!$F$99+AC9)/(1-Inputs!$F$91/100)+(1-Inputs!$F$100)*(Operations!AC9+Inputs!$F$78+Inputs!$F$99+AC9))/100*Time!AC20/360</f>
        <v>0.0410578518518518</v>
      </c>
      <c r="AD14" s="14" t="n">
        <f aca="false">(Inputs!$F$100*(Operations!AD9+AD8+Inputs!$F$99+AD9)/(1-Inputs!$F$91/100)+(1-Inputs!$F$100)*(Operations!AD9+Inputs!$F$78+Inputs!$F$99+AD9))/100*Time!AD20/360</f>
        <v>0.041509037037037</v>
      </c>
      <c r="AE14" s="14" t="n">
        <f aca="false">(Inputs!$F$100*(Operations!AE9+AE8+Inputs!$F$99+AE9)/(1-Inputs!$F$91/100)+(1-Inputs!$F$100)*(Operations!AE9+Inputs!$F$78+Inputs!$F$99+AE9))/100*Time!AE20/360</f>
        <v>0.0408322592592593</v>
      </c>
      <c r="AF14" s="14" t="n">
        <f aca="false">(Inputs!$F$100*(Operations!AF9+AF8+Inputs!$F$99+AF9)/(1-Inputs!$F$91/100)+(1-Inputs!$F$100)*(Operations!AF9+Inputs!$F$78+Inputs!$F$99+AF9))/100*Time!AF20/360</f>
        <v>0.041509037037037</v>
      </c>
      <c r="AG14" s="14" t="n">
        <f aca="false">(Inputs!$F$100*(Operations!AG9+AG8+Inputs!$F$99+AG9)/(1-Inputs!$F$91/100)+(1-Inputs!$F$100)*(Operations!AG9+Inputs!$F$78+Inputs!$F$99+AG9))/100*Time!AG20/360</f>
        <v>0.0425081851851852</v>
      </c>
      <c r="AH14" s="14" t="n">
        <f aca="false">(Inputs!$F$100*(Operations!AH9+AH8+Inputs!$F$99+AH9)/(1-Inputs!$F$91/100)+(1-Inputs!$F$100)*(Operations!AH9+Inputs!$F$78+Inputs!$F$99+AH9))/100*Time!AH20/360</f>
        <v>0.0432127407407407</v>
      </c>
      <c r="AI14" s="14" t="n">
        <f aca="false">(Inputs!$F$100*(Operations!AI9+AI8+Inputs!$F$99+AI9)/(1-Inputs!$F$91/100)+(1-Inputs!$F$100)*(Operations!AI9+Inputs!$F$78+Inputs!$F$99+AI9))/100*Time!AI20/360</f>
        <v>0.0425081851851852</v>
      </c>
      <c r="AJ14" s="14" t="n">
        <f aca="false">(Inputs!$F$100*(Operations!AJ9+AJ8+Inputs!$F$99+AJ9)/(1-Inputs!$F$91/100)+(1-Inputs!$F$100)*(Operations!AJ9+Inputs!$F$78+Inputs!$F$99+AJ9))/100*Time!AJ20/360</f>
        <v>0.0432127407407407</v>
      </c>
      <c r="AK14" s="14" t="n">
        <f aca="false">(Inputs!$F$100*(Operations!AK9+AK8+Inputs!$F$99+AK9)/(1-Inputs!$F$91/100)+(1-Inputs!$F$100)*(Operations!AK9+Inputs!$F$78+Inputs!$F$99+AK9))/100*Time!AK20/360</f>
        <v>0.042743037037037</v>
      </c>
      <c r="AL14" s="14" t="n">
        <f aca="false">(Inputs!$F$100*(Operations!AL9+AL8+Inputs!$F$99+AL9)/(1-Inputs!$F$91/100)+(1-Inputs!$F$100)*(Operations!AL9+Inputs!$F$78+Inputs!$F$99+AL9))/100*Time!AL20/360</f>
        <v>0.0432127407407407</v>
      </c>
      <c r="AM14" s="14" t="n">
        <f aca="false">(Inputs!$F$100*(Operations!AM9+AM8+Inputs!$F$99+AM9)/(1-Inputs!$F$91/100)+(1-Inputs!$F$100)*(Operations!AM9+Inputs!$F$78+Inputs!$F$99+AM9))/100*Time!AM20/360</f>
        <v>0.0425081851851852</v>
      </c>
      <c r="AN14" s="14" t="n">
        <f aca="false">(Inputs!$F$100*(Operations!AN9+AN8+Inputs!$F$99+AN9)/(1-Inputs!$F$91/100)+(1-Inputs!$F$100)*(Operations!AN9+Inputs!$F$78+Inputs!$F$99+AN9))/100*Time!AN20/360</f>
        <v>0.0432127407407407</v>
      </c>
      <c r="AO14" s="14" t="n">
        <f aca="false">(Inputs!$F$100*(Operations!AO9+AO8+Inputs!$F$99+AO9)/(1-Inputs!$F$91/100)+(1-Inputs!$F$100)*(Operations!AO9+Inputs!$F$78+Inputs!$F$99+AO9))/100*Time!AO20/360</f>
        <v>0.0425081851851852</v>
      </c>
      <c r="AP14" s="14" t="n">
        <f aca="false">(Inputs!$F$100*(Operations!AP9+AP8+Inputs!$F$99+AP9)/(1-Inputs!$F$91/100)+(1-Inputs!$F$100)*(Operations!AP9+Inputs!$F$78+Inputs!$F$99+AP9))/100*Time!AP20/360</f>
        <v>0.0432127407407407</v>
      </c>
      <c r="AQ14" s="14" t="n">
        <f aca="false">(Inputs!$F$100*(Operations!AQ9+AQ8+Inputs!$F$99+AQ9)/(1-Inputs!$F$91/100)+(1-Inputs!$F$100)*(Operations!AQ9+Inputs!$F$78+Inputs!$F$99+AQ9))/100*Time!AQ20/360</f>
        <v>0.0425081851851852</v>
      </c>
      <c r="AR14" s="14" t="n">
        <f aca="false">(Inputs!$F$100*(Operations!AR9+AR8+Inputs!$F$99+AR9)/(1-Inputs!$F$91/100)+(1-Inputs!$F$100)*(Operations!AR9+Inputs!$F$78+Inputs!$F$99+AR9))/100*Time!AR20/360</f>
        <v>0.0432127407407407</v>
      </c>
      <c r="AS14" s="14" t="n">
        <f aca="false">(Inputs!$F$100*(Operations!AS9+AS8+Inputs!$F$99+AS9)/(1-Inputs!$F$91/100)+(1-Inputs!$F$100)*(Operations!AS9+Inputs!$F$78+Inputs!$F$99+AS9))/100*Time!AS20/360</f>
        <v>0.042743037037037</v>
      </c>
      <c r="AT14" s="14" t="n">
        <f aca="false">(Inputs!$F$100*(Operations!AT9+AT8+Inputs!$F$99+AT9)/(1-Inputs!$F$91/100)+(1-Inputs!$F$100)*(Operations!AT9+Inputs!$F$78+Inputs!$F$99+AT9))/100*Time!AT20/360</f>
        <v>0.0432127407407407</v>
      </c>
      <c r="AU14" s="14" t="n">
        <f aca="false">(Inputs!$F$100*(Operations!AU9+AU8+Inputs!$F$99+AU9)/(1-Inputs!$F$91/100)+(1-Inputs!$F$100)*(Operations!AU9+Inputs!$F$78+Inputs!$F$99+AU9))/100*Time!AU20/360</f>
        <v>0.0425081851851852</v>
      </c>
      <c r="AV14" s="14" t="n">
        <f aca="false">(Inputs!$F$100*(Operations!AV9+AV8+Inputs!$F$99+AV9)/(1-Inputs!$F$91/100)+(1-Inputs!$F$100)*(Operations!AV9+Inputs!$F$78+Inputs!$F$99+AV9))/100*Time!AV20/360</f>
        <v>0.0432127407407407</v>
      </c>
      <c r="AW14" s="14" t="n">
        <f aca="false">(Inputs!$F$100*(Operations!AW9+AW8+Inputs!$F$99+AW9)/(1-Inputs!$F$91/100)+(1-Inputs!$F$100)*(Operations!AW9+Inputs!$F$78+Inputs!$F$99+AW9))/100*Time!AW20/360</f>
        <v>0.0425081851851852</v>
      </c>
      <c r="AX14" s="14" t="n">
        <f aca="false">(Inputs!$F$100*(Operations!AX9+AX8+Inputs!$F$99+AX9)/(1-Inputs!$F$91/100)+(1-Inputs!$F$100)*(Operations!AX9+Inputs!$F$78+Inputs!$F$99+AX9))/100*Time!AX20/360</f>
        <v>0.0432127407407407</v>
      </c>
      <c r="AY14" s="14" t="n">
        <f aca="false">(Inputs!$F$100*(Operations!AY9+AY8+Inputs!$F$99+AY9)/(1-Inputs!$F$91/100)+(1-Inputs!$F$100)*(Operations!AY9+Inputs!$F$78+Inputs!$F$99+AY9))/100*Time!AY20/360</f>
        <v>0.0425081851851852</v>
      </c>
      <c r="AZ14" s="14" t="n">
        <f aca="false">(Inputs!$F$100*(Operations!AZ9+AZ8+Inputs!$F$99+AZ9)/(1-Inputs!$F$91/100)+(1-Inputs!$F$100)*(Operations!AZ9+Inputs!$F$78+Inputs!$F$99+AZ9))/100*Time!AZ20/360</f>
        <v>0.0432127407407407</v>
      </c>
      <c r="BA14" s="14" t="n">
        <f aca="false">(Inputs!$F$100*(Operations!BA9+BA8+Inputs!$F$99+BA9)/(1-Inputs!$F$91/100)+(1-Inputs!$F$100)*(Operations!BA9+Inputs!$F$78+Inputs!$F$99+BA9))/100*Time!BA20/360</f>
        <v>0.042743037037037</v>
      </c>
      <c r="BB14" s="14" t="n">
        <f aca="false">(Inputs!$F$100*(Operations!BB9+BB8+Inputs!$F$99+BB9)/(1-Inputs!$F$91/100)+(1-Inputs!$F$100)*(Operations!BB9+Inputs!$F$78+Inputs!$F$99+BB9))/100*Time!BB20/360</f>
        <v>0.0432127407407407</v>
      </c>
      <c r="BC14" s="14" t="n">
        <f aca="false">(Inputs!$F$100*(Operations!BC9+BC8+Inputs!$F$99+BC9)/(1-Inputs!$F$91/100)+(1-Inputs!$F$100)*(Operations!BC9+Inputs!$F$78+Inputs!$F$99+BC9))/100*Time!BC20/360</f>
        <v>0.0425081851851852</v>
      </c>
      <c r="BD14" s="14" t="n">
        <f aca="false">(Inputs!$F$100*(Operations!BD9+BD8+Inputs!$F$99+BD9)/(1-Inputs!$F$91/100)+(1-Inputs!$F$100)*(Operations!BD9+Inputs!$F$78+Inputs!$F$99+BD9))/100*Time!BD20/360</f>
        <v>0.0432127407407407</v>
      </c>
      <c r="BE14" s="14" t="n">
        <f aca="false">(Inputs!$F$100*(Operations!BE9+BE8+Inputs!$F$99+BE9)/(1-Inputs!$F$91/100)+(1-Inputs!$F$100)*(Operations!BE9+Inputs!$F$78+Inputs!$F$99+BE9))/100*Time!BE20/360</f>
        <v>0.0425081851851852</v>
      </c>
      <c r="BF14" s="14" t="n">
        <f aca="false">(Inputs!$F$100*(Operations!BF9+BF8+Inputs!$F$99+BF9)/(1-Inputs!$F$91/100)+(1-Inputs!$F$100)*(Operations!BF9+Inputs!$F$78+Inputs!$F$99+BF9))/100*Time!BF20/360</f>
        <v>0.0432127407407407</v>
      </c>
      <c r="BG14" s="14" t="n">
        <f aca="false">(Inputs!$F$100*(Operations!BG9+BG8+Inputs!$F$99+BG9)/(1-Inputs!$F$91/100)+(1-Inputs!$F$100)*(Operations!BG9+Inputs!$F$78+Inputs!$F$99+BG9))/100*Time!BG20/360</f>
        <v>0.0425081851851852</v>
      </c>
      <c r="BH14" s="14" t="n">
        <f aca="false">(Inputs!$F$100*(Operations!BH9+BH8+Inputs!$F$99+BH9)/(1-Inputs!$F$91/100)+(1-Inputs!$F$100)*(Operations!BH9+Inputs!$F$78+Inputs!$F$99+BH9))/100*Time!BH20/360</f>
        <v>0.0432127407407407</v>
      </c>
      <c r="BI14" s="14" t="n">
        <f aca="false">(Inputs!$F$100*(Operations!BI9+BI8+Inputs!$F$99+BI9)/(1-Inputs!$F$91/100)+(1-Inputs!$F$100)*(Operations!BI9+Inputs!$F$78+Inputs!$F$99+BI9))/100*Time!BI20/360</f>
        <v>0.042743037037037</v>
      </c>
      <c r="BJ14" s="14" t="n">
        <f aca="false">(Inputs!$F$100*(Operations!BJ9+BJ8+Inputs!$F$99+BJ9)/(1-Inputs!$F$91/100)+(1-Inputs!$F$100)*(Operations!BJ9+Inputs!$F$78+Inputs!$F$99+BJ9))/100*Time!BJ20/360</f>
        <v>0.0432127407407407</v>
      </c>
      <c r="BK14" s="14" t="n">
        <f aca="false">(Inputs!$F$100*(Operations!BK9+BK8+Inputs!$F$99+BK9)/(1-Inputs!$F$91/100)+(1-Inputs!$F$100)*(Operations!BK9+Inputs!$F$78+Inputs!$F$99+BK9))/100*Time!BK20/360</f>
        <v>0.0425081851851852</v>
      </c>
      <c r="BL14" s="14" t="n">
        <f aca="false">(Inputs!$F$100*(Operations!BL9+BL8+Inputs!$F$99+BL9)/(1-Inputs!$F$91/100)+(1-Inputs!$F$100)*(Operations!BL9+Inputs!$F$78+Inputs!$F$99+BL9))/100*Time!BL20/360</f>
        <v>0.0432127407407407</v>
      </c>
      <c r="BM14" s="14" t="n">
        <f aca="false">(Inputs!$F$100*(Operations!BM9+BM8+Inputs!$F$99+BM9)/(1-Inputs!$F$91/100)+(1-Inputs!$F$100)*(Operations!BM9+Inputs!$F$78+Inputs!$F$99+BM9))/100*Time!BM20/360</f>
        <v>0.0425081851851852</v>
      </c>
      <c r="BN14" s="14" t="n">
        <f aca="false">(Inputs!$F$100*(Operations!BN9+BN8+Inputs!$F$99+BN9)/(1-Inputs!$F$91/100)+(1-Inputs!$F$100)*(Operations!BN9+Inputs!$F$78+Inputs!$F$99+BN9))/100*Time!BN20/360</f>
        <v>0.0432127407407407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Inputs!$F$49*IF(Time!J17=15,1,0)</f>
        <v>0</v>
      </c>
      <c r="K20" s="9" t="n">
        <f aca="false">Inputs!$F$49*IF(Time!K17=15,1,0)</f>
        <v>0</v>
      </c>
      <c r="L20" s="9" t="n">
        <f aca="false">Inputs!$F$49*IF(Time!L17=15,1,0)</f>
        <v>0</v>
      </c>
      <c r="M20" s="9" t="n">
        <f aca="false">Inputs!$F$49*IF(Time!M17=15,1,0)</f>
        <v>0</v>
      </c>
      <c r="N20" s="9" t="n">
        <f aca="false">Inputs!$F$49*IF(Time!N17=15,1,0)</f>
        <v>0</v>
      </c>
      <c r="O20" s="9" t="n">
        <f aca="false">Inputs!$F$49*IF(Time!O17=15,1,0)</f>
        <v>0</v>
      </c>
      <c r="P20" s="9" t="n">
        <f aca="false">Inputs!$F$49*IF(Time!P17=15,1,0)</f>
        <v>0</v>
      </c>
      <c r="Q20" s="9" t="n">
        <f aca="false">Inputs!$F$49*IF(Time!Q17=15,1,0)</f>
        <v>0</v>
      </c>
      <c r="R20" s="9" t="n">
        <f aca="false">Inputs!$F$49*IF(Time!R17=15,1,0)</f>
        <v>0</v>
      </c>
      <c r="S20" s="9" t="n">
        <f aca="false">Inputs!$F$49*IF(Time!S17=15,1,0)</f>
        <v>0</v>
      </c>
      <c r="T20" s="9" t="n">
        <f aca="false">Inputs!$F$49*IF(Time!T17=15,1,0)</f>
        <v>0</v>
      </c>
      <c r="U20" s="9" t="n">
        <f aca="false">Inputs!$F$49*IF(Time!U17=15,1,0)</f>
        <v>0</v>
      </c>
      <c r="V20" s="9" t="n">
        <f aca="false">Inputs!$F$49*IF(Time!V17=15,1,0)</f>
        <v>0</v>
      </c>
      <c r="W20" s="9" t="n">
        <f aca="false">Inputs!$F$49*IF(Time!W17=15,1,0)</f>
        <v>0</v>
      </c>
      <c r="X20" s="9" t="n">
        <f aca="false">Inputs!$F$49*IF(Time!X17=15,1,0)</f>
        <v>0</v>
      </c>
      <c r="Y20" s="9" t="n">
        <f aca="false">Inputs!$F$49*IF(Time!Y17=15,1,0)</f>
        <v>0</v>
      </c>
      <c r="Z20" s="9" t="n">
        <f aca="false">Inputs!$F$49*IF(Time!Z17=15,1,0)</f>
        <v>0</v>
      </c>
      <c r="AA20" s="9" t="n">
        <f aca="false">Inputs!$F$49*IF(Time!AA17=15,1,0)</f>
        <v>0</v>
      </c>
      <c r="AB20" s="9" t="n">
        <f aca="false">Inputs!$F$49*IF(Time!AB17=15,1,0)</f>
        <v>0</v>
      </c>
      <c r="AC20" s="9" t="n">
        <f aca="false">Inputs!$F$49*IF(Time!AC17=15,1,0)</f>
        <v>0</v>
      </c>
      <c r="AD20" s="9" t="n">
        <f aca="false">Inputs!$F$49*IF(Time!AD17=15,1,0)</f>
        <v>0</v>
      </c>
      <c r="AE20" s="9" t="n">
        <f aca="false">Inputs!$F$49*IF(Time!AE17=15,1,0)</f>
        <v>0</v>
      </c>
      <c r="AF20" s="9" t="n">
        <f aca="false">Inputs!$F$49*IF(Time!AF17=15,1,0)</f>
        <v>0</v>
      </c>
      <c r="AG20" s="9" t="n">
        <f aca="false">Inputs!$F$49*IF(Time!AG17=15,1,0)</f>
        <v>0</v>
      </c>
      <c r="AH20" s="9" t="n">
        <f aca="false">Inputs!$F$49*IF(Time!AH17=15,1,0)</f>
        <v>0</v>
      </c>
      <c r="AI20" s="9" t="n">
        <f aca="false">Inputs!$F$49*IF(Time!AI17=15,1,0)</f>
        <v>0</v>
      </c>
      <c r="AJ20" s="9" t="n">
        <f aca="false">Inputs!$F$49*IF(Time!AJ17=15,1,0)</f>
        <v>0</v>
      </c>
      <c r="AK20" s="9" t="n">
        <f aca="false">Inputs!$F$49*IF(Time!AK17=15,1,0)</f>
        <v>0</v>
      </c>
      <c r="AL20" s="9" t="n">
        <f aca="false">Inputs!$F$49*IF(Time!AL17=15,1,0)</f>
        <v>0</v>
      </c>
      <c r="AM20" s="9" t="n">
        <f aca="false">Inputs!$F$49*IF(Time!AM17=15,1,0)</f>
        <v>0</v>
      </c>
      <c r="AN20" s="9" t="n">
        <f aca="false">Inputs!$F$49*IF(Time!AN17=15,1,0)</f>
        <v>0</v>
      </c>
      <c r="AO20" s="9" t="n">
        <f aca="false">Inputs!$F$49*IF(Time!AO17=15,1,0)</f>
        <v>0</v>
      </c>
      <c r="AP20" s="9" t="n">
        <f aca="false">Inputs!$F$49*IF(Time!AP17=15,1,0)</f>
        <v>0</v>
      </c>
      <c r="AQ20" s="9" t="n">
        <f aca="false">Inputs!$F$49*IF(Time!AQ17=15,1,0)</f>
        <v>0</v>
      </c>
      <c r="AR20" s="9" t="n">
        <f aca="false">Inputs!$F$49*IF(Time!AR17=15,1,0)</f>
        <v>0</v>
      </c>
      <c r="AS20" s="9" t="n">
        <f aca="false">Inputs!$F$49*IF(Time!AS17=15,1,0)</f>
        <v>0</v>
      </c>
      <c r="AT20" s="9" t="n">
        <f aca="false">Inputs!$F$49*IF(Time!AT17=15,1,0)</f>
        <v>0</v>
      </c>
      <c r="AU20" s="9" t="n">
        <f aca="false">Inputs!$F$49*IF(Time!AU17=15,1,0)</f>
        <v>0</v>
      </c>
      <c r="AV20" s="9" t="n">
        <f aca="false">Inputs!$F$49*IF(Time!AV17=15,1,0)</f>
        <v>0</v>
      </c>
      <c r="AW20" s="9" t="n">
        <f aca="false">Inputs!$F$49*IF(Time!AW17=15,1,0)</f>
        <v>0</v>
      </c>
      <c r="AX20" s="9" t="n">
        <f aca="false">Inputs!$F$49*IF(Time!AX17=15,1,0)</f>
        <v>0</v>
      </c>
      <c r="AY20" s="9" t="n">
        <f aca="false">Inputs!$F$49*IF(Time!AY17=15,1,0)</f>
        <v>0</v>
      </c>
      <c r="AZ20" s="9" t="n">
        <f aca="false">Inputs!$F$49*IF(Time!AZ17=15,1,0)</f>
        <v>0</v>
      </c>
      <c r="BA20" s="9" t="n">
        <f aca="false">Inputs!$F$49*IF(Time!BA17=15,1,0)</f>
        <v>0</v>
      </c>
      <c r="BB20" s="9" t="n">
        <f aca="false">Inputs!$F$49*IF(Time!BB17=15,1,0)</f>
        <v>0</v>
      </c>
      <c r="BC20" s="9" t="n">
        <f aca="false">Inputs!$F$49*IF(Time!BC17=15,1,0)</f>
        <v>0</v>
      </c>
      <c r="BD20" s="9" t="n">
        <f aca="false">Inputs!$F$49*IF(Time!BD17=15,1,0)</f>
        <v>0</v>
      </c>
      <c r="BE20" s="9" t="n">
        <f aca="false">Inputs!$F$49*IF(Time!BE17=15,1,0)</f>
        <v>0</v>
      </c>
      <c r="BF20" s="9" t="n">
        <f aca="false">Inputs!$F$49*IF(Time!BF17=15,1,0)</f>
        <v>0</v>
      </c>
      <c r="BG20" s="9" t="n">
        <f aca="false">Inputs!$F$49*IF(Time!BG17=15,1,0)</f>
        <v>0</v>
      </c>
      <c r="BH20" s="9" t="n">
        <f aca="false">Inputs!$F$49*IF(Time!BH17=15,1,0)</f>
        <v>0</v>
      </c>
      <c r="BI20" s="9" t="n">
        <f aca="false">Inputs!$F$49*IF(Time!BI17=15,1,0)</f>
        <v>0</v>
      </c>
      <c r="BJ20" s="9" t="n">
        <f aca="false">Inputs!$F$49*IF(Time!BJ17=15,1,0)</f>
        <v>0</v>
      </c>
      <c r="BK20" s="9" t="n">
        <f aca="false">Inputs!$F$49*IF(Time!BK17=15,1,0)</f>
        <v>0</v>
      </c>
      <c r="BL20" s="9" t="n">
        <f aca="false">Inputs!$F$49*IF(Time!BL17=15,1,0)</f>
        <v>0</v>
      </c>
      <c r="BM20" s="9" t="n">
        <f aca="false">Inputs!$F$49*IF(Time!BM17=15,1,0)</f>
        <v>0</v>
      </c>
      <c r="BN20" s="9" t="n">
        <f aca="false">Inputs!$F$49*IF(Time!BN17=15,1,0)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208.04884513904</v>
      </c>
      <c r="Q25" s="11" t="n">
        <f aca="false">Time!Q30*P38</f>
        <v>202.959880486057</v>
      </c>
      <c r="R25" s="11" t="n">
        <f aca="false">Time!R30*Q38</f>
        <v>197.655542044633</v>
      </c>
      <c r="S25" s="11" t="n">
        <f aca="false">Time!S30*R38</f>
        <v>192.089918726349</v>
      </c>
      <c r="T25" s="11" t="n">
        <f aca="false">Time!T30*S38</f>
        <v>186.360285492789</v>
      </c>
      <c r="U25" s="11" t="n">
        <f aca="false">Time!U30*T38</f>
        <v>180.367091183693</v>
      </c>
      <c r="V25" s="11" t="n">
        <f aca="false">Time!V30*U38</f>
        <v>174.182763357559</v>
      </c>
      <c r="W25" s="11" t="n">
        <f aca="false">Time!W30*V38</f>
        <v>167.594417763912</v>
      </c>
      <c r="X25" s="11" t="n">
        <f aca="false">Time!X30*W38</f>
        <v>160.804670488938</v>
      </c>
      <c r="Y25" s="11" t="n">
        <f aca="false">Time!Y30*X38</f>
        <v>154.203391208234</v>
      </c>
      <c r="Z25" s="11" t="n">
        <f aca="false">Time!Z30*Y38</f>
        <v>147.59900569903</v>
      </c>
      <c r="AA25" s="11" t="n">
        <f aca="false">Time!AA30*Z38</f>
        <v>140.721014004655</v>
      </c>
      <c r="AB25" s="11" t="n">
        <f aca="false">Time!AB30*AA38</f>
        <v>133.642305268603</v>
      </c>
      <c r="AC25" s="11" t="n">
        <f aca="false">Time!AC30*AB38</f>
        <v>126.225416261113</v>
      </c>
      <c r="AD25" s="11" t="n">
        <f aca="false">Time!AD30*AC38</f>
        <v>118.562817170604</v>
      </c>
      <c r="AE25" s="11" t="n">
        <f aca="false">Time!AE30*AD38</f>
        <v>110.195818136175</v>
      </c>
      <c r="AF25" s="11" t="n">
        <f aca="false">Time!AF30*AE38</f>
        <v>101.46920097046</v>
      </c>
      <c r="AG25" s="11" t="n">
        <f aca="false">Time!AG30*AF38</f>
        <v>92.4364384802081</v>
      </c>
      <c r="AH25" s="11" t="n">
        <f aca="false">Time!AH30*AG38</f>
        <v>83.2350955906011</v>
      </c>
      <c r="AI25" s="11" t="n">
        <f aca="false">Time!AI30*AH38</f>
        <v>73.5718311142942</v>
      </c>
      <c r="AJ25" s="11" t="n">
        <f aca="false">Time!AJ30*AI38</f>
        <v>63.6248288279922</v>
      </c>
      <c r="AK25" s="11" t="n">
        <f aca="false">Time!AK30*AJ38</f>
        <v>53.1976085139539</v>
      </c>
      <c r="AL25" s="11" t="n">
        <f aca="false">Time!AL30*AK38</f>
        <v>42.4328775425208</v>
      </c>
      <c r="AM25" s="11" t="n">
        <f aca="false">Time!AM30*AL38</f>
        <v>31.0186160785637</v>
      </c>
      <c r="AN25" s="11" t="n">
        <f aca="false">Time!AN30*AM38</f>
        <v>19.3671095690874</v>
      </c>
      <c r="AO25" s="11" t="n">
        <f aca="false">Time!AO30*AN38</f>
        <v>9.75475501734081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71.8750523286669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4.72132179235529</v>
      </c>
      <c r="Q27" s="11" t="n">
        <f aca="false">Q25*Q10</f>
        <v>4.55114980892151</v>
      </c>
      <c r="R27" s="11" t="n">
        <f aca="false">R25*R10</f>
        <v>4.50566788954188</v>
      </c>
      <c r="S27" s="11" t="n">
        <f aca="false">S25*S10</f>
        <v>4.31706084844242</v>
      </c>
      <c r="T27" s="11" t="n">
        <f aca="false">T25*T10</f>
        <v>4.25771132255859</v>
      </c>
      <c r="U27" s="11" t="n">
        <f aca="false">U25*U10</f>
        <v>4.07599564893283</v>
      </c>
      <c r="V27" s="11" t="n">
        <f aca="false">V25*V10</f>
        <v>3.97949553350904</v>
      </c>
      <c r="W27" s="11" t="n">
        <f aca="false">W25*W10</f>
        <v>3.76654487722912</v>
      </c>
      <c r="X27" s="11" t="n">
        <f aca="false">X25*X10</f>
        <v>3.67385070510393</v>
      </c>
      <c r="Y27" s="11" t="n">
        <f aca="false">Y25*Y10</f>
        <v>3.46559271457906</v>
      </c>
      <c r="Z27" s="11" t="n">
        <f aca="false">Z25*Z10</f>
        <v>3.37214528353718</v>
      </c>
      <c r="AA27" s="11" t="n">
        <f aca="false">AA25*AA10</f>
        <v>3.16258752224295</v>
      </c>
      <c r="AB27" s="11" t="n">
        <f aca="false">AB25*AB10</f>
        <v>3.05328120103669</v>
      </c>
      <c r="AC27" s="11" t="n">
        <f aca="false">AC25*AC10</f>
        <v>2.85248403180738</v>
      </c>
      <c r="AD27" s="11" t="n">
        <f aca="false">AD25*AD10</f>
        <v>2.70876516295772</v>
      </c>
      <c r="AE27" s="11" t="n">
        <f aca="false">AE25*AE10</f>
        <v>2.47655918276209</v>
      </c>
      <c r="AF27" s="11" t="n">
        <f aca="false">AF25*AF10</f>
        <v>2.3182330115051</v>
      </c>
      <c r="AG27" s="11" t="n">
        <f aca="false">AG25*AG10</f>
        <v>2.07743192447728</v>
      </c>
      <c r="AH27" s="11" t="n">
        <f aca="false">AH25*AH10</f>
        <v>1.9016444839266</v>
      </c>
      <c r="AI27" s="11" t="n">
        <f aca="false">AI25*AI10</f>
        <v>1.6534655944345</v>
      </c>
      <c r="AJ27" s="11" t="n">
        <f aca="false">AJ25*AJ10</f>
        <v>1.45361525595686</v>
      </c>
      <c r="AK27" s="11" t="n">
        <f aca="false">AK25*AK10</f>
        <v>1.2021772897345</v>
      </c>
      <c r="AL27" s="11" t="n">
        <f aca="false">AL25*AL10</f>
        <v>0.969449808921458</v>
      </c>
      <c r="AM27" s="11" t="n">
        <f aca="false">AM25*AM10</f>
        <v>0.697117547518986</v>
      </c>
      <c r="AN27" s="11" t="n">
        <f aca="false">AN25*AN10</f>
        <v>0.44247389662175</v>
      </c>
      <c r="AO27" s="11" t="n">
        <f aca="false">AO25*AO10</f>
        <v>0.21922999005222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208.048845139041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5.08896465298368</v>
      </c>
      <c r="Q28" s="11" t="n">
        <f aca="false">Time!Q30*(Q25-Q26)*Q19</f>
        <v>5.30433844142357</v>
      </c>
      <c r="R28" s="11" t="n">
        <f aca="false">Time!R30*(R25-R26)*R19</f>
        <v>5.5656233182844</v>
      </c>
      <c r="S28" s="11" t="n">
        <f aca="false">Time!S30*(S25-S26)*S19</f>
        <v>5.72963323355983</v>
      </c>
      <c r="T28" s="11" t="n">
        <f aca="false">Time!T30*(T25-T26)*T19</f>
        <v>5.99319430909569</v>
      </c>
      <c r="U28" s="11" t="n">
        <f aca="false">Time!U30*(U25-U26)*U19</f>
        <v>6.18432782613381</v>
      </c>
      <c r="V28" s="11" t="n">
        <f aca="false">Time!V30*(V25-V26)*V19</f>
        <v>6.58834559364736</v>
      </c>
      <c r="W28" s="11" t="n">
        <f aca="false">Time!W30*(W25-W26)*W19</f>
        <v>6.78974727497452</v>
      </c>
      <c r="X28" s="11" t="n">
        <f aca="false">Time!X30*(X25-X26)*X19</f>
        <v>6.60127928070334</v>
      </c>
      <c r="Y28" s="11" t="n">
        <f aca="false">Time!Y30*(Y25-Y26)*Y19</f>
        <v>6.60438550920397</v>
      </c>
      <c r="Z28" s="11" t="n">
        <f aca="false">Time!Z30*(Z25-Z26)*Z19</f>
        <v>6.87799169437544</v>
      </c>
      <c r="AA28" s="11" t="n">
        <f aca="false">Time!AA30*(AA25-AA26)*AA19</f>
        <v>7.07870873605143</v>
      </c>
      <c r="AB28" s="11" t="n">
        <f aca="false">Time!AB30*(AB25-AB26)*AB19</f>
        <v>7.41688900749081</v>
      </c>
      <c r="AC28" s="11" t="n">
        <f aca="false">Time!AC30*(AC25-AC26)*AC19</f>
        <v>7.66259909050909</v>
      </c>
      <c r="AD28" s="11" t="n">
        <f aca="false">Time!AD30*(AD25-AD26)*AD19</f>
        <v>8.36699903442832</v>
      </c>
      <c r="AE28" s="11" t="n">
        <f aca="false">Time!AE30*(AE25-AE26)*AE19</f>
        <v>8.72661716571543</v>
      </c>
      <c r="AF28" s="11" t="n">
        <f aca="false">Time!AF30*(AF25-AF26)*AF19</f>
        <v>9.03276249025165</v>
      </c>
      <c r="AG28" s="11" t="n">
        <f aca="false">Time!AG30*(AG25-AG26)*AG19</f>
        <v>9.20134288960707</v>
      </c>
      <c r="AH28" s="11" t="n">
        <f aca="false">Time!AH30*(AH25-AH26)*AH19</f>
        <v>9.66326447630693</v>
      </c>
      <c r="AI28" s="11" t="n">
        <f aca="false">Time!AI30*(AI25-AI26)*AI19</f>
        <v>9.94700228630194</v>
      </c>
      <c r="AJ28" s="11" t="n">
        <f aca="false">Time!AJ30*(AJ25-AJ26)*AJ19</f>
        <v>10.4272203140383</v>
      </c>
      <c r="AK28" s="11" t="n">
        <f aca="false">Time!AK30*(AK25-AK26)*AK19</f>
        <v>10.7647309714331</v>
      </c>
      <c r="AL28" s="11" t="n">
        <f aca="false">Time!AL30*(AL25-AL26)*AL19</f>
        <v>11.4142614639571</v>
      </c>
      <c r="AM28" s="11" t="n">
        <f aca="false">Time!AM30*(AM25-AM26)*AM19</f>
        <v>11.6515065094763</v>
      </c>
      <c r="AN28" s="11" t="n">
        <f aca="false">Time!AN30*(AN25-AN26)*AN19</f>
        <v>9.6123545517466</v>
      </c>
      <c r="AO28" s="11" t="n">
        <f aca="false">Time!AO30*(AO25-AO26)*AO19</f>
        <v>9.75475501734081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208.048845139041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5.08896465298368</v>
      </c>
      <c r="Q32" s="11" t="n">
        <f aca="false">Q28-Q29+Q31</f>
        <v>5.30433844142357</v>
      </c>
      <c r="R32" s="11" t="n">
        <f aca="false">R28-R29+R31</f>
        <v>5.5656233182844</v>
      </c>
      <c r="S32" s="11" t="n">
        <f aca="false">S28-S29+S31</f>
        <v>5.72963323355983</v>
      </c>
      <c r="T32" s="11" t="n">
        <f aca="false">T28-T29+T31</f>
        <v>5.99319430909569</v>
      </c>
      <c r="U32" s="11" t="n">
        <f aca="false">U28-U29+U31</f>
        <v>6.18432782613381</v>
      </c>
      <c r="V32" s="11" t="n">
        <f aca="false">V28-V29+V31</f>
        <v>6.58834559364736</v>
      </c>
      <c r="W32" s="11" t="n">
        <f aca="false">W28-W29+W31</f>
        <v>6.78974727497452</v>
      </c>
      <c r="X32" s="11" t="n">
        <f aca="false">X28-X29+X31</f>
        <v>6.60127928070334</v>
      </c>
      <c r="Y32" s="11" t="n">
        <f aca="false">Y28-Y29+Y31</f>
        <v>6.60438550920397</v>
      </c>
      <c r="Z32" s="11" t="n">
        <f aca="false">Z28-Z29+Z31</f>
        <v>6.87799169437544</v>
      </c>
      <c r="AA32" s="11" t="n">
        <f aca="false">AA28-AA29+AA31</f>
        <v>7.07870873605143</v>
      </c>
      <c r="AB32" s="11" t="n">
        <f aca="false">AB28-AB29+AB31</f>
        <v>7.41688900749081</v>
      </c>
      <c r="AC32" s="11" t="n">
        <f aca="false">AC28-AC29+AC31</f>
        <v>7.66259909050909</v>
      </c>
      <c r="AD32" s="11" t="n">
        <f aca="false">AD28-AD29+AD31</f>
        <v>8.36699903442832</v>
      </c>
      <c r="AE32" s="11" t="n">
        <f aca="false">AE28-AE29+AE31</f>
        <v>8.72661716571543</v>
      </c>
      <c r="AF32" s="11" t="n">
        <f aca="false">AF28-AF29+AF31</f>
        <v>9.03276249025165</v>
      </c>
      <c r="AG32" s="11" t="n">
        <f aca="false">AG28-AG29+AG31</f>
        <v>9.20134288960707</v>
      </c>
      <c r="AH32" s="11" t="n">
        <f aca="false">AH28-AH29+AH31</f>
        <v>9.66326447630693</v>
      </c>
      <c r="AI32" s="11" t="n">
        <f aca="false">AI28-AI29+AI31</f>
        <v>9.94700228630194</v>
      </c>
      <c r="AJ32" s="11" t="n">
        <f aca="false">AJ28-AJ29+AJ31</f>
        <v>10.4272203140383</v>
      </c>
      <c r="AK32" s="11" t="n">
        <f aca="false">AK28-AK29+AK31</f>
        <v>10.7647309714331</v>
      </c>
      <c r="AL32" s="11" t="n">
        <f aca="false">AL28-AL29+AL31</f>
        <v>11.4142614639571</v>
      </c>
      <c r="AM32" s="11" t="n">
        <f aca="false">AM28-AM29+AM31</f>
        <v>11.6515065094763</v>
      </c>
      <c r="AN32" s="11" t="n">
        <f aca="false">AN28-AN29+AN31</f>
        <v>9.6123545517466</v>
      </c>
      <c r="AO32" s="11" t="n">
        <f aca="false">AO28-AO29+AO31</f>
        <v>9.75475501734081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202.959880486057</v>
      </c>
      <c r="Q36" s="11" t="n">
        <f aca="false">Q25-Q32-Q33-Q34</f>
        <v>197.655542044633</v>
      </c>
      <c r="R36" s="11" t="n">
        <f aca="false">R25-R32-R33-R34</f>
        <v>192.089918726349</v>
      </c>
      <c r="S36" s="11" t="n">
        <f aca="false">S25-S32-S33-S34</f>
        <v>186.360285492789</v>
      </c>
      <c r="T36" s="11" t="n">
        <f aca="false">T25-T32-T33-T34</f>
        <v>180.367091183693</v>
      </c>
      <c r="U36" s="11" t="n">
        <f aca="false">U25-U32-U33-U34</f>
        <v>174.182763357559</v>
      </c>
      <c r="V36" s="11" t="n">
        <f aca="false">V25-V32-V33-V34</f>
        <v>167.594417763912</v>
      </c>
      <c r="W36" s="11" t="n">
        <f aca="false">W25-W32-W33-W34</f>
        <v>160.804670488938</v>
      </c>
      <c r="X36" s="11" t="n">
        <f aca="false">X25-X32-X33-X34</f>
        <v>154.203391208234</v>
      </c>
      <c r="Y36" s="11" t="n">
        <f aca="false">Y25-Y32-Y33-Y34</f>
        <v>147.59900569903</v>
      </c>
      <c r="Z36" s="11" t="n">
        <f aca="false">Z25-Z32-Z33-Z34</f>
        <v>140.721014004655</v>
      </c>
      <c r="AA36" s="11" t="n">
        <f aca="false">AA25-AA32-AA33-AA34</f>
        <v>133.642305268603</v>
      </c>
      <c r="AB36" s="11" t="n">
        <f aca="false">AB25-AB32-AB33-AB34</f>
        <v>126.225416261113</v>
      </c>
      <c r="AC36" s="11" t="n">
        <f aca="false">AC25-AC32-AC33-AC34</f>
        <v>118.562817170604</v>
      </c>
      <c r="AD36" s="11" t="n">
        <f aca="false">AD25-AD32-AD33-AD34</f>
        <v>110.195818136175</v>
      </c>
      <c r="AE36" s="11" t="n">
        <f aca="false">AE25-AE32-AE33-AE34</f>
        <v>101.46920097046</v>
      </c>
      <c r="AF36" s="11" t="n">
        <f aca="false">AF25-AF32-AF33-AF34</f>
        <v>92.4364384802081</v>
      </c>
      <c r="AG36" s="11" t="n">
        <f aca="false">AG25-AG32-AG33-AG34</f>
        <v>83.2350955906011</v>
      </c>
      <c r="AH36" s="11" t="n">
        <f aca="false">AH25-AH32-AH33-AH34</f>
        <v>73.5718311142942</v>
      </c>
      <c r="AI36" s="11" t="n">
        <f aca="false">AI25-AI32-AI33-AI34</f>
        <v>63.6248288279922</v>
      </c>
      <c r="AJ36" s="11" t="n">
        <f aca="false">AJ25-AJ32-AJ33-AJ34</f>
        <v>53.1976085139539</v>
      </c>
      <c r="AK36" s="11" t="n">
        <f aca="false">AK25-AK32-AK33-AK34</f>
        <v>42.4328775425208</v>
      </c>
      <c r="AL36" s="11" t="n">
        <f aca="false">AL25-AL32-AL33-AL34</f>
        <v>31.0186160785637</v>
      </c>
      <c r="AM36" s="11" t="n">
        <f aca="false">AM25-AM32-AM33-AM34</f>
        <v>19.3671095690874</v>
      </c>
      <c r="AN36" s="11" t="n">
        <f aca="false">AN25-AN32-AN33-AN34</f>
        <v>9.75475501734081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208.04884513904</v>
      </c>
      <c r="P38" s="11" t="n">
        <f aca="false">IF(Time!P29=1,INDEX(Funding!$J$61:$BJ$61,1,Time!$F$13),Time!P30*(P36-P37))</f>
        <v>202.959880486057</v>
      </c>
      <c r="Q38" s="11" t="n">
        <f aca="false">IF(Time!Q29=1,INDEX(Funding!$J$61:$BJ$61,1,Time!$F$13),Time!Q30*(Q36-Q37))</f>
        <v>197.655542044633</v>
      </c>
      <c r="R38" s="11" t="n">
        <f aca="false">IF(Time!R29=1,INDEX(Funding!$J$61:$BJ$61,1,Time!$F$13),Time!R30*(R36-R37))</f>
        <v>192.089918726349</v>
      </c>
      <c r="S38" s="11" t="n">
        <f aca="false">IF(Time!S29=1,INDEX(Funding!$J$61:$BJ$61,1,Time!$F$13),Time!S30*(S36-S37))</f>
        <v>186.360285492789</v>
      </c>
      <c r="T38" s="11" t="n">
        <f aca="false">IF(Time!T29=1,INDEX(Funding!$J$61:$BJ$61,1,Time!$F$13),Time!T30*(T36-T37))</f>
        <v>180.367091183693</v>
      </c>
      <c r="U38" s="11" t="n">
        <f aca="false">IF(Time!U29=1,INDEX(Funding!$J$61:$BJ$61,1,Time!$F$13),Time!U30*(U36-U37))</f>
        <v>174.182763357559</v>
      </c>
      <c r="V38" s="11" t="n">
        <f aca="false">IF(Time!V29=1,INDEX(Funding!$J$61:$BJ$61,1,Time!$F$13),Time!V30*(V36-V37))</f>
        <v>167.594417763912</v>
      </c>
      <c r="W38" s="11" t="n">
        <f aca="false">IF(Time!W29=1,INDEX(Funding!$J$61:$BJ$61,1,Time!$F$13),Time!W30*(W36-W37))</f>
        <v>160.804670488938</v>
      </c>
      <c r="X38" s="11" t="n">
        <f aca="false">IF(Time!X29=1,INDEX(Funding!$J$61:$BJ$61,1,Time!$F$13),Time!X30*(X36-X37))</f>
        <v>154.203391208234</v>
      </c>
      <c r="Y38" s="11" t="n">
        <f aca="false">IF(Time!Y29=1,INDEX(Funding!$J$61:$BJ$61,1,Time!$F$13),Time!Y30*(Y36-Y37))</f>
        <v>147.59900569903</v>
      </c>
      <c r="Z38" s="11" t="n">
        <f aca="false">IF(Time!Z29=1,INDEX(Funding!$J$61:$BJ$61,1,Time!$F$13),Time!Z30*(Z36-Z37))</f>
        <v>140.721014004655</v>
      </c>
      <c r="AA38" s="11" t="n">
        <f aca="false">IF(Time!AA29=1,INDEX(Funding!$J$61:$BJ$61,1,Time!$F$13),Time!AA30*(AA36-AA37))</f>
        <v>133.642305268603</v>
      </c>
      <c r="AB38" s="11" t="n">
        <f aca="false">IF(Time!AB29=1,INDEX(Funding!$J$61:$BJ$61,1,Time!$F$13),Time!AB30*(AB36-AB37))</f>
        <v>126.225416261113</v>
      </c>
      <c r="AC38" s="11" t="n">
        <f aca="false">IF(Time!AC29=1,INDEX(Funding!$J$61:$BJ$61,1,Time!$F$13),Time!AC30*(AC36-AC37))</f>
        <v>118.562817170604</v>
      </c>
      <c r="AD38" s="11" t="n">
        <f aca="false">IF(Time!AD29=1,INDEX(Funding!$J$61:$BJ$61,1,Time!$F$13),Time!AD30*(AD36-AD37))</f>
        <v>110.195818136175</v>
      </c>
      <c r="AE38" s="11" t="n">
        <f aca="false">IF(Time!AE29=1,INDEX(Funding!$J$61:$BJ$61,1,Time!$F$13),Time!AE30*(AE36-AE37))</f>
        <v>101.46920097046</v>
      </c>
      <c r="AF38" s="11" t="n">
        <f aca="false">IF(Time!AF29=1,INDEX(Funding!$J$61:$BJ$61,1,Time!$F$13),Time!AF30*(AF36-AF37))</f>
        <v>92.4364384802081</v>
      </c>
      <c r="AG38" s="11" t="n">
        <f aca="false">IF(Time!AG29=1,INDEX(Funding!$J$61:$BJ$61,1,Time!$F$13),Time!AG30*(AG36-AG37))</f>
        <v>83.2350955906011</v>
      </c>
      <c r="AH38" s="11" t="n">
        <f aca="false">IF(Time!AH29=1,INDEX(Funding!$J$61:$BJ$61,1,Time!$F$13),Time!AH30*(AH36-AH37))</f>
        <v>73.5718311142942</v>
      </c>
      <c r="AI38" s="11" t="n">
        <f aca="false">IF(Time!AI29=1,INDEX(Funding!$J$61:$BJ$61,1,Time!$F$13),Time!AI30*(AI36-AI37))</f>
        <v>63.6248288279922</v>
      </c>
      <c r="AJ38" s="11" t="n">
        <f aca="false">IF(Time!AJ29=1,INDEX(Funding!$J$61:$BJ$61,1,Time!$F$13),Time!AJ30*(AJ36-AJ37))</f>
        <v>53.1976085139539</v>
      </c>
      <c r="AK38" s="11" t="n">
        <f aca="false">IF(Time!AK29=1,INDEX(Funding!$J$61:$BJ$61,1,Time!$F$13),Time!AK30*(AK36-AK37))</f>
        <v>42.4328775425208</v>
      </c>
      <c r="AL38" s="11" t="n">
        <f aca="false">IF(Time!AL29=1,INDEX(Funding!$J$61:$BJ$61,1,Time!$F$13),Time!AL30*(AL36-AL37))</f>
        <v>31.0186160785637</v>
      </c>
      <c r="AM38" s="11" t="n">
        <f aca="false">IF(Time!AM29=1,INDEX(Funding!$J$61:$BJ$61,1,Time!$F$13),Time!AM30*(AM36-AM37))</f>
        <v>19.3671095690874</v>
      </c>
      <c r="AN38" s="11" t="n">
        <f aca="false">IF(Time!AN29=1,INDEX(Funding!$J$61:$BJ$61,1,Time!$F$13),Time!AN30*(AN36-AN37))</f>
        <v>9.75475501734081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152.569153101963</v>
      </c>
      <c r="Q40" s="11" t="n">
        <f aca="false">Time!Q30*P53</f>
        <v>148.837245689775</v>
      </c>
      <c r="R40" s="11" t="n">
        <f aca="false">Time!R30*Q53</f>
        <v>144.947397499398</v>
      </c>
      <c r="S40" s="11" t="n">
        <f aca="false">Time!S30*R53</f>
        <v>140.865940399322</v>
      </c>
      <c r="T40" s="11" t="n">
        <f aca="false">Time!T30*S53</f>
        <v>136.664209361379</v>
      </c>
      <c r="U40" s="11" t="n">
        <f aca="false">Time!U30*T53</f>
        <v>132.269200201375</v>
      </c>
      <c r="V40" s="11" t="n">
        <f aca="false">Time!V30*U53</f>
        <v>127.73402646221</v>
      </c>
      <c r="W40" s="11" t="n">
        <f aca="false">Time!W30*V53</f>
        <v>122.902573026869</v>
      </c>
      <c r="X40" s="11" t="n">
        <f aca="false">Time!X30*W53</f>
        <v>117.923425025221</v>
      </c>
      <c r="Y40" s="11" t="n">
        <f aca="false">Time!Y30*X53</f>
        <v>113.082486886038</v>
      </c>
      <c r="Z40" s="11" t="n">
        <f aca="false">Time!Z30*Y53</f>
        <v>108.239270845955</v>
      </c>
      <c r="AA40" s="11" t="n">
        <f aca="false">Time!AA30*Z53</f>
        <v>103.19541027008</v>
      </c>
      <c r="AB40" s="11" t="n">
        <f aca="false">Time!AB30*AA53</f>
        <v>98.0043571969758</v>
      </c>
      <c r="AC40" s="11" t="n">
        <f aca="false">Time!AC30*AB53</f>
        <v>92.5653052581492</v>
      </c>
      <c r="AD40" s="11" t="n">
        <f aca="false">Time!AD30*AC53</f>
        <v>86.9460659251092</v>
      </c>
      <c r="AE40" s="11" t="n">
        <f aca="false">Time!AE30*AD53</f>
        <v>80.8102666331951</v>
      </c>
      <c r="AF40" s="11" t="n">
        <f aca="false">Time!AF30*AE53</f>
        <v>74.4107473783371</v>
      </c>
      <c r="AG40" s="11" t="n">
        <f aca="false">Time!AG30*AF53</f>
        <v>67.7867215521526</v>
      </c>
      <c r="AH40" s="11" t="n">
        <f aca="false">Time!AH30*AG53</f>
        <v>61.0390700997741</v>
      </c>
      <c r="AI40" s="11" t="n">
        <f aca="false">Time!AI30*AH53</f>
        <v>53.9526761504823</v>
      </c>
      <c r="AJ40" s="11" t="n">
        <f aca="false">Time!AJ30*AI53</f>
        <v>46.6582078071943</v>
      </c>
      <c r="AK40" s="11" t="n">
        <f aca="false">Time!AK30*AJ53</f>
        <v>39.0115795768995</v>
      </c>
      <c r="AL40" s="11" t="n">
        <f aca="false">Time!AL30*AK53</f>
        <v>31.1174435311819</v>
      </c>
      <c r="AM40" s="11" t="n">
        <f aca="false">Time!AM30*AL53</f>
        <v>22.74698512428</v>
      </c>
      <c r="AN40" s="11" t="n">
        <f aca="false">Time!AN30*AM53</f>
        <v>14.2025470173308</v>
      </c>
      <c r="AO40" s="11" t="n">
        <f aca="false">Time!AO30*AN53</f>
        <v>7.15348701271659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79.8487099018505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5.2558378030814</v>
      </c>
      <c r="Q42" s="11" t="n">
        <f aca="false">Q40*Q11</f>
        <v>5.05864723156058</v>
      </c>
      <c r="R42" s="11" t="n">
        <f aca="false">R40*R11</f>
        <v>5.00809363626807</v>
      </c>
      <c r="S42" s="11" t="n">
        <f aca="false">S40*S11</f>
        <v>4.79480270519771</v>
      </c>
      <c r="T42" s="11" t="n">
        <f aca="false">T40*T11</f>
        <v>4.72888534214672</v>
      </c>
      <c r="U42" s="11" t="n">
        <f aca="false">U40*U11</f>
        <v>4.52706034267006</v>
      </c>
      <c r="V42" s="11" t="n">
        <f aca="false">V40*V11</f>
        <v>4.41988116898461</v>
      </c>
      <c r="W42" s="11" t="n">
        <f aca="false">W40*W11</f>
        <v>4.18336460860928</v>
      </c>
      <c r="X42" s="11" t="n">
        <f aca="false">X40*X11</f>
        <v>4.08041255792825</v>
      </c>
      <c r="Y42" s="11" t="n">
        <f aca="false">Y40*Y11</f>
        <v>3.84910797098736</v>
      </c>
      <c r="Z42" s="11" t="n">
        <f aca="false">Z40*Z11</f>
        <v>3.74531930298305</v>
      </c>
      <c r="AA42" s="11" t="n">
        <f aca="false">AA40*AA11</f>
        <v>3.51257110785134</v>
      </c>
      <c r="AB42" s="11" t="n">
        <f aca="false">AB40*AB11</f>
        <v>3.3911685464758</v>
      </c>
      <c r="AC42" s="11" t="n">
        <f aca="false">AC40*AC11</f>
        <v>3.16815042279933</v>
      </c>
      <c r="AD42" s="11" t="n">
        <f aca="false">AD40*AD11</f>
        <v>3.00852709448861</v>
      </c>
      <c r="AE42" s="11" t="n">
        <f aca="false">AE40*AE11</f>
        <v>2.75062434511995</v>
      </c>
      <c r="AF42" s="11" t="n">
        <f aca="false">AF40*AF11</f>
        <v>2.57477721650686</v>
      </c>
      <c r="AG42" s="11" t="n">
        <f aca="false">AG40*AG11</f>
        <v>2.30732819412114</v>
      </c>
      <c r="AH42" s="11" t="n">
        <f aca="false">AH40*AH11</f>
        <v>2.11208746783018</v>
      </c>
      <c r="AI42" s="11" t="n">
        <f aca="false">AI40*AI11</f>
        <v>1.83644418818101</v>
      </c>
      <c r="AJ42" s="11" t="n">
        <f aca="false">AJ40*AJ11</f>
        <v>1.61447767503516</v>
      </c>
      <c r="AK42" s="11" t="n">
        <f aca="false">AK40*AK11</f>
        <v>1.33521465721891</v>
      </c>
      <c r="AL42" s="11" t="n">
        <f aca="false">AL40*AL11</f>
        <v>1.07673269605341</v>
      </c>
      <c r="AM42" s="11" t="n">
        <f aca="false">AM40*AM11</f>
        <v>0.774263143381638</v>
      </c>
      <c r="AN42" s="11" t="n">
        <f aca="false">AN40*AN11</f>
        <v>0.491439688015238</v>
      </c>
      <c r="AO42" s="11" t="n">
        <f aca="false">AO40*AO11</f>
        <v>0.243490788354792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152.569153101963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3.73190741218803</v>
      </c>
      <c r="Q43" s="11" t="n">
        <f aca="false">Time!Q30*(Q40-Q41)*Q19</f>
        <v>3.88984819037728</v>
      </c>
      <c r="R43" s="11" t="n">
        <f aca="false">Time!R30*(R40-R41)*R19</f>
        <v>4.08145710007523</v>
      </c>
      <c r="S43" s="11" t="n">
        <f aca="false">Time!S30*(S40-S41)*S19</f>
        <v>4.20173103794387</v>
      </c>
      <c r="T43" s="11" t="n">
        <f aca="false">Time!T30*(T40-T41)*T19</f>
        <v>4.39500916000351</v>
      </c>
      <c r="U43" s="11" t="n">
        <f aca="false">Time!U30*(U40-U41)*U19</f>
        <v>4.53517373916479</v>
      </c>
      <c r="V43" s="11" t="n">
        <f aca="false">Time!V30*(V40-V41)*V19</f>
        <v>4.8314534353414</v>
      </c>
      <c r="W43" s="11" t="n">
        <f aca="false">Time!W30*(W40-W41)*W19</f>
        <v>4.97914800164798</v>
      </c>
      <c r="X43" s="11" t="n">
        <f aca="false">Time!X30*(X40-X41)*X19</f>
        <v>4.84093813918245</v>
      </c>
      <c r="Y43" s="11" t="n">
        <f aca="false">Time!Y30*(Y40-Y41)*Y19</f>
        <v>4.84321604008291</v>
      </c>
      <c r="Z43" s="11" t="n">
        <f aca="false">Time!Z30*(Z40-Z41)*Z19</f>
        <v>5.04386057587532</v>
      </c>
      <c r="AA43" s="11" t="n">
        <f aca="false">Time!AA30*(AA40-AA41)*AA19</f>
        <v>5.19105307310438</v>
      </c>
      <c r="AB43" s="11" t="n">
        <f aca="false">Time!AB30*(AB40-AB41)*AB19</f>
        <v>5.43905193882659</v>
      </c>
      <c r="AC43" s="11" t="n">
        <f aca="false">Time!AC30*(AC40-AC41)*AC19</f>
        <v>5.61923933304</v>
      </c>
      <c r="AD43" s="11" t="n">
        <f aca="false">Time!AD30*(AD40-AD41)*AD19</f>
        <v>6.1357992919141</v>
      </c>
      <c r="AE43" s="11" t="n">
        <f aca="false">Time!AE30*(AE40-AE41)*AE19</f>
        <v>6.39951925485798</v>
      </c>
      <c r="AF43" s="11" t="n">
        <f aca="false">Time!AF30*(AF40-AF41)*AF19</f>
        <v>6.62402582618454</v>
      </c>
      <c r="AG43" s="11" t="n">
        <f aca="false">Time!AG30*(AG40-AG41)*AG19</f>
        <v>6.74765145237851</v>
      </c>
      <c r="AH43" s="11" t="n">
        <f aca="false">Time!AH30*(AH40-AH41)*AH19</f>
        <v>7.08639394929174</v>
      </c>
      <c r="AI43" s="11" t="n">
        <f aca="false">Time!AI30*(AI40-AI41)*AI19</f>
        <v>7.29446834328808</v>
      </c>
      <c r="AJ43" s="11" t="n">
        <f aca="false">Time!AJ30*(AJ40-AJ41)*AJ19</f>
        <v>7.64662823029478</v>
      </c>
      <c r="AK43" s="11" t="n">
        <f aca="false">Time!AK30*(AK40-AK41)*AK19</f>
        <v>7.89413604571761</v>
      </c>
      <c r="AL43" s="11" t="n">
        <f aca="false">Time!AL30*(AL40-AL41)*AL19</f>
        <v>8.37045840690187</v>
      </c>
      <c r="AM43" s="11" t="n">
        <f aca="false">Time!AM30*(AM40-AM41)*AM19</f>
        <v>8.54443810694924</v>
      </c>
      <c r="AN43" s="11" t="n">
        <f aca="false">Time!AN30*(AN40-AN41)*AN19</f>
        <v>7.04906000461417</v>
      </c>
      <c r="AO43" s="11" t="n">
        <f aca="false">Time!AO30*(AO40-AO41)*AO19</f>
        <v>7.15348701271659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152.569153101963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3.73190741218803</v>
      </c>
      <c r="Q47" s="11" t="n">
        <f aca="false">Q43-Q44+Q46</f>
        <v>3.88984819037728</v>
      </c>
      <c r="R47" s="11" t="n">
        <f aca="false">R43-R44+R46</f>
        <v>4.08145710007523</v>
      </c>
      <c r="S47" s="11" t="n">
        <f aca="false">S43-S44+S46</f>
        <v>4.20173103794387</v>
      </c>
      <c r="T47" s="11" t="n">
        <f aca="false">T43-T44+T46</f>
        <v>4.39500916000351</v>
      </c>
      <c r="U47" s="11" t="n">
        <f aca="false">U43-U44+U46</f>
        <v>4.53517373916479</v>
      </c>
      <c r="V47" s="11" t="n">
        <f aca="false">V43-V44+V46</f>
        <v>4.8314534353414</v>
      </c>
      <c r="W47" s="11" t="n">
        <f aca="false">W43-W44+W46</f>
        <v>4.97914800164798</v>
      </c>
      <c r="X47" s="11" t="n">
        <f aca="false">X43-X44+X46</f>
        <v>4.84093813918245</v>
      </c>
      <c r="Y47" s="11" t="n">
        <f aca="false">Y43-Y44+Y46</f>
        <v>4.84321604008291</v>
      </c>
      <c r="Z47" s="11" t="n">
        <f aca="false">Z43-Z44+Z46</f>
        <v>5.04386057587532</v>
      </c>
      <c r="AA47" s="11" t="n">
        <f aca="false">AA43-AA44+AA46</f>
        <v>5.19105307310438</v>
      </c>
      <c r="AB47" s="11" t="n">
        <f aca="false">AB43-AB44+AB46</f>
        <v>5.43905193882659</v>
      </c>
      <c r="AC47" s="11" t="n">
        <f aca="false">AC43-AC44+AC46</f>
        <v>5.61923933304</v>
      </c>
      <c r="AD47" s="11" t="n">
        <f aca="false">AD43-AD44+AD46</f>
        <v>6.1357992919141</v>
      </c>
      <c r="AE47" s="11" t="n">
        <f aca="false">AE43-AE44+AE46</f>
        <v>6.39951925485798</v>
      </c>
      <c r="AF47" s="11" t="n">
        <f aca="false">AF43-AF44+AF46</f>
        <v>6.62402582618454</v>
      </c>
      <c r="AG47" s="11" t="n">
        <f aca="false">AG43-AG44+AG46</f>
        <v>6.74765145237851</v>
      </c>
      <c r="AH47" s="11" t="n">
        <f aca="false">AH43-AH44+AH46</f>
        <v>7.08639394929174</v>
      </c>
      <c r="AI47" s="11" t="n">
        <f aca="false">AI43-AI44+AI46</f>
        <v>7.29446834328808</v>
      </c>
      <c r="AJ47" s="11" t="n">
        <f aca="false">AJ43-AJ44+AJ46</f>
        <v>7.64662823029478</v>
      </c>
      <c r="AK47" s="11" t="n">
        <f aca="false">AK43-AK44+AK46</f>
        <v>7.89413604571761</v>
      </c>
      <c r="AL47" s="11" t="n">
        <f aca="false">AL43-AL44+AL46</f>
        <v>8.37045840690187</v>
      </c>
      <c r="AM47" s="11" t="n">
        <f aca="false">AM43-AM44+AM46</f>
        <v>8.54443810694924</v>
      </c>
      <c r="AN47" s="11" t="n">
        <f aca="false">AN43-AN44+AN46</f>
        <v>7.04906000461417</v>
      </c>
      <c r="AO47" s="11" t="n">
        <f aca="false">AO43-AO44+AO46</f>
        <v>7.15348701271659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148.837245689775</v>
      </c>
      <c r="Q51" s="11" t="n">
        <f aca="false">Q40-Q47-Q48-Q49</f>
        <v>144.947397499398</v>
      </c>
      <c r="R51" s="11" t="n">
        <f aca="false">R40-R47-R48-R49</f>
        <v>140.865940399322</v>
      </c>
      <c r="S51" s="11" t="n">
        <f aca="false">S40-S47-S48-S49</f>
        <v>136.664209361379</v>
      </c>
      <c r="T51" s="11" t="n">
        <f aca="false">T40-T47-T48-T49</f>
        <v>132.269200201375</v>
      </c>
      <c r="U51" s="11" t="n">
        <f aca="false">U40-U47-U48-U49</f>
        <v>127.73402646221</v>
      </c>
      <c r="V51" s="11" t="n">
        <f aca="false">V40-V47-V48-V49</f>
        <v>122.902573026869</v>
      </c>
      <c r="W51" s="11" t="n">
        <f aca="false">W40-W47-W48-W49</f>
        <v>117.923425025221</v>
      </c>
      <c r="X51" s="11" t="n">
        <f aca="false">X40-X47-X48-X49</f>
        <v>113.082486886038</v>
      </c>
      <c r="Y51" s="11" t="n">
        <f aca="false">Y40-Y47-Y48-Y49</f>
        <v>108.239270845955</v>
      </c>
      <c r="Z51" s="11" t="n">
        <f aca="false">Z40-Z47-Z48-Z49</f>
        <v>103.19541027008</v>
      </c>
      <c r="AA51" s="11" t="n">
        <f aca="false">AA40-AA47-AA48-AA49</f>
        <v>98.0043571969758</v>
      </c>
      <c r="AB51" s="11" t="n">
        <f aca="false">AB40-AB47-AB48-AB49</f>
        <v>92.5653052581492</v>
      </c>
      <c r="AC51" s="11" t="n">
        <f aca="false">AC40-AC47-AC48-AC49</f>
        <v>86.9460659251092</v>
      </c>
      <c r="AD51" s="11" t="n">
        <f aca="false">AD40-AD47-AD48-AD49</f>
        <v>80.8102666331951</v>
      </c>
      <c r="AE51" s="11" t="n">
        <f aca="false">AE40-AE47-AE48-AE49</f>
        <v>74.4107473783371</v>
      </c>
      <c r="AF51" s="11" t="n">
        <f aca="false">AF40-AF47-AF48-AF49</f>
        <v>67.7867215521526</v>
      </c>
      <c r="AG51" s="11" t="n">
        <f aca="false">AG40-AG47-AG48-AG49</f>
        <v>61.0390700997741</v>
      </c>
      <c r="AH51" s="11" t="n">
        <f aca="false">AH40-AH47-AH48-AH49</f>
        <v>53.9526761504823</v>
      </c>
      <c r="AI51" s="11" t="n">
        <f aca="false">AI40-AI47-AI48-AI49</f>
        <v>46.6582078071943</v>
      </c>
      <c r="AJ51" s="11" t="n">
        <f aca="false">AJ40-AJ47-AJ48-AJ49</f>
        <v>39.0115795768995</v>
      </c>
      <c r="AK51" s="11" t="n">
        <f aca="false">AK40-AK47-AK48-AK49</f>
        <v>31.1174435311819</v>
      </c>
      <c r="AL51" s="11" t="n">
        <f aca="false">AL40-AL47-AL48-AL49</f>
        <v>22.74698512428</v>
      </c>
      <c r="AM51" s="11" t="n">
        <f aca="false">AM40-AM47-AM48-AM49</f>
        <v>14.2025470173308</v>
      </c>
      <c r="AN51" s="11" t="n">
        <f aca="false">AN40-AN47-AN48-AN49</f>
        <v>7.15348701271659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152.569153101963</v>
      </c>
      <c r="P53" s="11" t="n">
        <f aca="false">IF(Time!P29=1,INDEX(Funding!$J$62:$BJ$62,1,Time!$F$13),Time!P30*(P51-P52))</f>
        <v>148.837245689775</v>
      </c>
      <c r="Q53" s="11" t="n">
        <f aca="false">IF(Time!Q29=1,INDEX(Funding!$J$62:$BJ$62,1,Time!$F$13),Time!Q30*(Q51-Q52))</f>
        <v>144.947397499398</v>
      </c>
      <c r="R53" s="11" t="n">
        <f aca="false">IF(Time!R29=1,INDEX(Funding!$J$62:$BJ$62,1,Time!$F$13),Time!R30*(R51-R52))</f>
        <v>140.865940399322</v>
      </c>
      <c r="S53" s="11" t="n">
        <f aca="false">IF(Time!S29=1,INDEX(Funding!$J$62:$BJ$62,1,Time!$F$13),Time!S30*(S51-S52))</f>
        <v>136.664209361379</v>
      </c>
      <c r="T53" s="11" t="n">
        <f aca="false">IF(Time!T29=1,INDEX(Funding!$J$62:$BJ$62,1,Time!$F$13),Time!T30*(T51-T52))</f>
        <v>132.269200201375</v>
      </c>
      <c r="U53" s="11" t="n">
        <f aca="false">IF(Time!U29=1,INDEX(Funding!$J$62:$BJ$62,1,Time!$F$13),Time!U30*(U51-U52))</f>
        <v>127.73402646221</v>
      </c>
      <c r="V53" s="11" t="n">
        <f aca="false">IF(Time!V29=1,INDEX(Funding!$J$62:$BJ$62,1,Time!$F$13),Time!V30*(V51-V52))</f>
        <v>122.902573026869</v>
      </c>
      <c r="W53" s="11" t="n">
        <f aca="false">IF(Time!W29=1,INDEX(Funding!$J$62:$BJ$62,1,Time!$F$13),Time!W30*(W51-W52))</f>
        <v>117.923425025221</v>
      </c>
      <c r="X53" s="11" t="n">
        <f aca="false">IF(Time!X29=1,INDEX(Funding!$J$62:$BJ$62,1,Time!$F$13),Time!X30*(X51-X52))</f>
        <v>113.082486886038</v>
      </c>
      <c r="Y53" s="11" t="n">
        <f aca="false">IF(Time!Y29=1,INDEX(Funding!$J$62:$BJ$62,1,Time!$F$13),Time!Y30*(Y51-Y52))</f>
        <v>108.239270845955</v>
      </c>
      <c r="Z53" s="11" t="n">
        <f aca="false">IF(Time!Z29=1,INDEX(Funding!$J$62:$BJ$62,1,Time!$F$13),Time!Z30*(Z51-Z52))</f>
        <v>103.19541027008</v>
      </c>
      <c r="AA53" s="11" t="n">
        <f aca="false">IF(Time!AA29=1,INDEX(Funding!$J$62:$BJ$62,1,Time!$F$13),Time!AA30*(AA51-AA52))</f>
        <v>98.0043571969758</v>
      </c>
      <c r="AB53" s="11" t="n">
        <f aca="false">IF(Time!AB29=1,INDEX(Funding!$J$62:$BJ$62,1,Time!$F$13),Time!AB30*(AB51-AB52))</f>
        <v>92.5653052581492</v>
      </c>
      <c r="AC53" s="11" t="n">
        <f aca="false">IF(Time!AC29=1,INDEX(Funding!$J$62:$BJ$62,1,Time!$F$13),Time!AC30*(AC51-AC52))</f>
        <v>86.9460659251092</v>
      </c>
      <c r="AD53" s="11" t="n">
        <f aca="false">IF(Time!AD29=1,INDEX(Funding!$J$62:$BJ$62,1,Time!$F$13),Time!AD30*(AD51-AD52))</f>
        <v>80.8102666331951</v>
      </c>
      <c r="AE53" s="11" t="n">
        <f aca="false">IF(Time!AE29=1,INDEX(Funding!$J$62:$BJ$62,1,Time!$F$13),Time!AE30*(AE51-AE52))</f>
        <v>74.4107473783371</v>
      </c>
      <c r="AF53" s="11" t="n">
        <f aca="false">IF(Time!AF29=1,INDEX(Funding!$J$62:$BJ$62,1,Time!$F$13),Time!AF30*(AF51-AF52))</f>
        <v>67.7867215521526</v>
      </c>
      <c r="AG53" s="11" t="n">
        <f aca="false">IF(Time!AG29=1,INDEX(Funding!$J$62:$BJ$62,1,Time!$F$13),Time!AG30*(AG51-AG52))</f>
        <v>61.0390700997741</v>
      </c>
      <c r="AH53" s="11" t="n">
        <f aca="false">IF(Time!AH29=1,INDEX(Funding!$J$62:$BJ$62,1,Time!$F$13),Time!AH30*(AH51-AH52))</f>
        <v>53.9526761504823</v>
      </c>
      <c r="AI53" s="11" t="n">
        <f aca="false">IF(Time!AI29=1,INDEX(Funding!$J$62:$BJ$62,1,Time!$F$13),Time!AI30*(AI51-AI52))</f>
        <v>46.6582078071943</v>
      </c>
      <c r="AJ53" s="11" t="n">
        <f aca="false">IF(Time!AJ29=1,INDEX(Funding!$J$62:$BJ$62,1,Time!$F$13),Time!AJ30*(AJ51-AJ52))</f>
        <v>39.0115795768995</v>
      </c>
      <c r="AK53" s="11" t="n">
        <f aca="false">IF(Time!AK29=1,INDEX(Funding!$J$62:$BJ$62,1,Time!$F$13),Time!AK30*(AK51-AK52))</f>
        <v>31.1174435311819</v>
      </c>
      <c r="AL53" s="11" t="n">
        <f aca="false">IF(Time!AL29=1,INDEX(Funding!$J$62:$BJ$62,1,Time!$F$13),Time!AL30*(AL51-AL52))</f>
        <v>22.74698512428</v>
      </c>
      <c r="AM53" s="11" t="n">
        <f aca="false">IF(Time!AM29=1,INDEX(Funding!$J$62:$BJ$62,1,Time!$F$13),Time!AM30*(AM51-AM52))</f>
        <v>14.2025470173308</v>
      </c>
      <c r="AN53" s="11" t="n">
        <f aca="false">IF(Time!AN29=1,INDEX(Funding!$J$62:$BJ$62,1,Time!$F$13),Time!AN30*(AN51-AN52))</f>
        <v>7.15348701271659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69.3496150463468</v>
      </c>
      <c r="Q55" s="11" t="n">
        <f aca="false">Time!Q30*P68</f>
        <v>67.6532934953522</v>
      </c>
      <c r="R55" s="11" t="n">
        <f aca="false">Time!R30*Q68</f>
        <v>65.8851806815444</v>
      </c>
      <c r="S55" s="11" t="n">
        <f aca="false">Time!S30*R68</f>
        <v>64.0299729087829</v>
      </c>
      <c r="T55" s="11" t="n">
        <f aca="false">Time!T30*S68</f>
        <v>62.120095164263</v>
      </c>
      <c r="U55" s="11" t="n">
        <f aca="false">Time!U30*T68</f>
        <v>60.1223637278978</v>
      </c>
      <c r="V55" s="11" t="n">
        <f aca="false">Time!V30*U68</f>
        <v>58.0609211191865</v>
      </c>
      <c r="W55" s="11" t="n">
        <f aca="false">Time!W30*V68</f>
        <v>55.864805921304</v>
      </c>
      <c r="X55" s="11" t="n">
        <f aca="false">Time!X30*W68</f>
        <v>53.6015568296459</v>
      </c>
      <c r="Y55" s="11" t="n">
        <f aca="false">Time!Y30*X68</f>
        <v>51.4011304027447</v>
      </c>
      <c r="Z55" s="11" t="n">
        <f aca="false">Time!Z30*Y68</f>
        <v>49.1996685663434</v>
      </c>
      <c r="AA55" s="11" t="n">
        <f aca="false">Time!AA30*Z68</f>
        <v>46.9070046682183</v>
      </c>
      <c r="AB55" s="11" t="n">
        <f aca="false">Time!AB30*AA68</f>
        <v>44.5474350895345</v>
      </c>
      <c r="AC55" s="11" t="n">
        <f aca="false">Time!AC30*AB68</f>
        <v>42.0751387537042</v>
      </c>
      <c r="AD55" s="11" t="n">
        <f aca="false">Time!AD30*AC68</f>
        <v>39.5209390568678</v>
      </c>
      <c r="AE55" s="11" t="n">
        <f aca="false">Time!AE30*AD68</f>
        <v>36.7319393787251</v>
      </c>
      <c r="AF55" s="11" t="n">
        <f aca="false">Time!AF30*AE68</f>
        <v>33.8230669901532</v>
      </c>
      <c r="AG55" s="11" t="n">
        <f aca="false">Time!AG30*AF68</f>
        <v>30.8121461600694</v>
      </c>
      <c r="AH55" s="11" t="n">
        <f aca="false">Time!AH30*AG68</f>
        <v>27.7450318635337</v>
      </c>
      <c r="AI55" s="11" t="n">
        <f aca="false">Time!AI30*AH68</f>
        <v>24.5239437047647</v>
      </c>
      <c r="AJ55" s="11" t="n">
        <f aca="false">Time!AJ30*AI68</f>
        <v>21.2082762759974</v>
      </c>
      <c r="AK55" s="11" t="n">
        <f aca="false">Time!AK30*AJ68</f>
        <v>17.7325361713179</v>
      </c>
      <c r="AL55" s="11" t="n">
        <f aca="false">Time!AL30*AK68</f>
        <v>14.1442925141736</v>
      </c>
      <c r="AM55" s="11" t="n">
        <f aca="false">Time!AM30*AL68</f>
        <v>10.3395386928545</v>
      </c>
      <c r="AN55" s="11" t="n">
        <f aca="false">Time!AN30*AM68</f>
        <v>6.4557031896958</v>
      </c>
      <c r="AO55" s="11" t="n">
        <f aca="false">Time!AO30*AN68</f>
        <v>3.25158500578027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34.953942337098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2.30040378621515</v>
      </c>
      <c r="Q57" s="11" t="n">
        <f aca="false">Q55*Q12</f>
        <v>2.21434867384746</v>
      </c>
      <c r="R57" s="11" t="n">
        <f aca="false">R55*R12</f>
        <v>2.19221957854392</v>
      </c>
      <c r="S57" s="11" t="n">
        <f aca="false">S55*S12</f>
        <v>2.09897365636425</v>
      </c>
      <c r="T57" s="11" t="n">
        <f aca="false">T55*T12</f>
        <v>2.07011766018508</v>
      </c>
      <c r="U57" s="11" t="n">
        <f aca="false">U55*U12</f>
        <v>1.98176671372424</v>
      </c>
      <c r="V57" s="11" t="n">
        <f aca="false">V55*V12</f>
        <v>1.9348479402296</v>
      </c>
      <c r="W57" s="11" t="n">
        <f aca="false">W55*W12</f>
        <v>1.83131041010693</v>
      </c>
      <c r="X57" s="11" t="n">
        <f aca="false">X55*X12</f>
        <v>1.78624210270526</v>
      </c>
      <c r="Y57" s="11" t="n">
        <f aca="false">Y55*Y12</f>
        <v>1.68498616696909</v>
      </c>
      <c r="Z57" s="11" t="n">
        <f aca="false">Z55*Z12</f>
        <v>1.63955162182419</v>
      </c>
      <c r="AA57" s="11" t="n">
        <f aca="false">AA55*AA12</f>
        <v>1.53766373191827</v>
      </c>
      <c r="AB57" s="11" t="n">
        <f aca="false">AB55*AB12</f>
        <v>1.48451852578369</v>
      </c>
      <c r="AC57" s="11" t="n">
        <f aca="false">AC55*AC12</f>
        <v>1.38689007363043</v>
      </c>
      <c r="AD57" s="11" t="n">
        <f aca="false">AD55*AD12</f>
        <v>1.31701333799287</v>
      </c>
      <c r="AE57" s="11" t="n">
        <f aca="false">AE55*AE12</f>
        <v>1.20411378610058</v>
      </c>
      <c r="AF57" s="11" t="n">
        <f aca="false">AF55*AF12</f>
        <v>1.12713491685408</v>
      </c>
      <c r="AG57" s="11" t="n">
        <f aca="false">AG55*AG12</f>
        <v>1.01005638684503</v>
      </c>
      <c r="AH57" s="11" t="n">
        <f aca="false">AH55*AH12</f>
        <v>0.924587772945669</v>
      </c>
      <c r="AI57" s="11" t="n">
        <f aca="false">AI55*AI12</f>
        <v>0.803922123468525</v>
      </c>
      <c r="AJ57" s="11" t="n">
        <f aca="false">AJ55*AJ12</f>
        <v>0.706754024521904</v>
      </c>
      <c r="AK57" s="11" t="n">
        <f aca="false">AK55*AK12</f>
        <v>0.584503797842576</v>
      </c>
      <c r="AL57" s="11" t="n">
        <f aca="false">AL55*AL12</f>
        <v>0.471350690094549</v>
      </c>
      <c r="AM57" s="11" t="n">
        <f aca="false">AM55*AM12</f>
        <v>0.338941566728097</v>
      </c>
      <c r="AN57" s="11" t="n">
        <f aca="false">AN55*AN12</f>
        <v>0.21513272229484</v>
      </c>
      <c r="AO57" s="11" t="n">
        <f aca="false">AO55*AO12</f>
        <v>0.106590569361706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69.3496150463468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1.69632155099456</v>
      </c>
      <c r="Q58" s="11" t="n">
        <f aca="false">Time!Q30*(Q55-Q56)*Q19</f>
        <v>1.76811281380786</v>
      </c>
      <c r="R58" s="11" t="n">
        <f aca="false">Time!R30*(R55-R56)*R19</f>
        <v>1.85520777276147</v>
      </c>
      <c r="S58" s="11" t="n">
        <f aca="false">Time!S30*(S55-S56)*S19</f>
        <v>1.90987774451994</v>
      </c>
      <c r="T58" s="11" t="n">
        <f aca="false">Time!T30*(T55-T56)*T19</f>
        <v>1.99773143636523</v>
      </c>
      <c r="U58" s="11" t="n">
        <f aca="false">Time!U30*(U55-U56)*U19</f>
        <v>2.06144260871127</v>
      </c>
      <c r="V58" s="11" t="n">
        <f aca="false">Time!V30*(V55-V56)*V19</f>
        <v>2.19611519788245</v>
      </c>
      <c r="W58" s="11" t="n">
        <f aca="false">Time!W30*(W55-W56)*W19</f>
        <v>2.26324909165817</v>
      </c>
      <c r="X58" s="11" t="n">
        <f aca="false">Time!X30*(X55-X56)*X19</f>
        <v>2.20042642690111</v>
      </c>
      <c r="Y58" s="11" t="n">
        <f aca="false">Time!Y30*(Y55-Y56)*Y19</f>
        <v>2.20146183640132</v>
      </c>
      <c r="Z58" s="11" t="n">
        <f aca="false">Time!Z30*(Z55-Z56)*Z19</f>
        <v>2.29266389812515</v>
      </c>
      <c r="AA58" s="11" t="n">
        <f aca="false">Time!AA30*(AA55-AA56)*AA19</f>
        <v>2.35956957868381</v>
      </c>
      <c r="AB58" s="11" t="n">
        <f aca="false">Time!AB30*(AB55-AB56)*AB19</f>
        <v>2.47229633583027</v>
      </c>
      <c r="AC58" s="11" t="n">
        <f aca="false">Time!AC30*(AC55-AC56)*AC19</f>
        <v>2.55419969683636</v>
      </c>
      <c r="AD58" s="11" t="n">
        <f aca="false">Time!AD30*(AD55-AD56)*AD19</f>
        <v>2.78899967814277</v>
      </c>
      <c r="AE58" s="11" t="n">
        <f aca="false">Time!AE30*(AE55-AE56)*AE19</f>
        <v>2.90887238857181</v>
      </c>
      <c r="AF58" s="11" t="n">
        <f aca="false">Time!AF30*(AF55-AF56)*AF19</f>
        <v>3.01092083008388</v>
      </c>
      <c r="AG58" s="11" t="n">
        <f aca="false">Time!AG30*(AG55-AG56)*AG19</f>
        <v>3.06711429653569</v>
      </c>
      <c r="AH58" s="11" t="n">
        <f aca="false">Time!AH30*(AH55-AH56)*AH19</f>
        <v>3.22108815876897</v>
      </c>
      <c r="AI58" s="11" t="n">
        <f aca="false">Time!AI30*(AI55-AI56)*AI19</f>
        <v>3.31566742876731</v>
      </c>
      <c r="AJ58" s="11" t="n">
        <f aca="false">Time!AJ30*(AJ55-AJ56)*AJ19</f>
        <v>3.47574010467945</v>
      </c>
      <c r="AK58" s="11" t="n">
        <f aca="false">Time!AK30*(AK55-AK56)*AK19</f>
        <v>3.58824365714437</v>
      </c>
      <c r="AL58" s="11" t="n">
        <f aca="false">Time!AL30*(AL55-AL56)*AL19</f>
        <v>3.80475382131903</v>
      </c>
      <c r="AM58" s="11" t="n">
        <f aca="false">Time!AM30*(AM55-AM56)*AM19</f>
        <v>3.88383550315875</v>
      </c>
      <c r="AN58" s="11" t="n">
        <f aca="false">Time!AN30*(AN55-AN56)*AN19</f>
        <v>3.20411818391553</v>
      </c>
      <c r="AO58" s="11" t="n">
        <f aca="false">Time!AO30*(AO55-AO56)*AO19</f>
        <v>3.25158500578027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69.3496150463468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1.69632155099456</v>
      </c>
      <c r="Q62" s="11" t="n">
        <f aca="false">Q58-Q59+Q61</f>
        <v>1.76811281380786</v>
      </c>
      <c r="R62" s="11" t="n">
        <f aca="false">R58-R59+R61</f>
        <v>1.85520777276147</v>
      </c>
      <c r="S62" s="11" t="n">
        <f aca="false">S58-S59+S61</f>
        <v>1.90987774451994</v>
      </c>
      <c r="T62" s="11" t="n">
        <f aca="false">T58-T59+T61</f>
        <v>1.99773143636523</v>
      </c>
      <c r="U62" s="11" t="n">
        <f aca="false">U58-U59+U61</f>
        <v>2.06144260871127</v>
      </c>
      <c r="V62" s="11" t="n">
        <f aca="false">V58-V59+V61</f>
        <v>2.19611519788245</v>
      </c>
      <c r="W62" s="11" t="n">
        <f aca="false">W58-W59+W61</f>
        <v>2.26324909165817</v>
      </c>
      <c r="X62" s="11" t="n">
        <f aca="false">X58-X59+X61</f>
        <v>2.20042642690111</v>
      </c>
      <c r="Y62" s="11" t="n">
        <f aca="false">Y58-Y59+Y61</f>
        <v>2.20146183640132</v>
      </c>
      <c r="Z62" s="11" t="n">
        <f aca="false">Z58-Z59+Z61</f>
        <v>2.29266389812515</v>
      </c>
      <c r="AA62" s="11" t="n">
        <f aca="false">AA58-AA59+AA61</f>
        <v>2.35956957868381</v>
      </c>
      <c r="AB62" s="11" t="n">
        <f aca="false">AB58-AB59+AB61</f>
        <v>2.47229633583027</v>
      </c>
      <c r="AC62" s="11" t="n">
        <f aca="false">AC58-AC59+AC61</f>
        <v>2.55419969683636</v>
      </c>
      <c r="AD62" s="11" t="n">
        <f aca="false">AD58-AD59+AD61</f>
        <v>2.78899967814277</v>
      </c>
      <c r="AE62" s="11" t="n">
        <f aca="false">AE58-AE59+AE61</f>
        <v>2.90887238857181</v>
      </c>
      <c r="AF62" s="11" t="n">
        <f aca="false">AF58-AF59+AF61</f>
        <v>3.01092083008388</v>
      </c>
      <c r="AG62" s="11" t="n">
        <f aca="false">AG58-AG59+AG61</f>
        <v>3.06711429653569</v>
      </c>
      <c r="AH62" s="11" t="n">
        <f aca="false">AH58-AH59+AH61</f>
        <v>3.22108815876897</v>
      </c>
      <c r="AI62" s="11" t="n">
        <f aca="false">AI58-AI59+AI61</f>
        <v>3.31566742876731</v>
      </c>
      <c r="AJ62" s="11" t="n">
        <f aca="false">AJ58-AJ59+AJ61</f>
        <v>3.47574010467945</v>
      </c>
      <c r="AK62" s="11" t="n">
        <f aca="false">AK58-AK59+AK61</f>
        <v>3.58824365714437</v>
      </c>
      <c r="AL62" s="11" t="n">
        <f aca="false">AL58-AL59+AL61</f>
        <v>3.80475382131903</v>
      </c>
      <c r="AM62" s="11" t="n">
        <f aca="false">AM58-AM59+AM61</f>
        <v>3.88383550315875</v>
      </c>
      <c r="AN62" s="11" t="n">
        <f aca="false">AN58-AN59+AN61</f>
        <v>3.20411818391553</v>
      </c>
      <c r="AO62" s="11" t="n">
        <f aca="false">AO58-AO59+AO61</f>
        <v>3.25158500578027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67.6532934953522</v>
      </c>
      <c r="Q66" s="11" t="n">
        <f aca="false">Q55-Q62-Q63-Q64</f>
        <v>65.8851806815444</v>
      </c>
      <c r="R66" s="11" t="n">
        <f aca="false">R55-R62-R63-R64</f>
        <v>64.0299729087829</v>
      </c>
      <c r="S66" s="11" t="n">
        <f aca="false">S55-S62-S63-S64</f>
        <v>62.120095164263</v>
      </c>
      <c r="T66" s="11" t="n">
        <f aca="false">T55-T62-T63-T64</f>
        <v>60.1223637278978</v>
      </c>
      <c r="U66" s="11" t="n">
        <f aca="false">U55-U62-U63-U64</f>
        <v>58.0609211191865</v>
      </c>
      <c r="V66" s="11" t="n">
        <f aca="false">V55-V62-V63-V64</f>
        <v>55.864805921304</v>
      </c>
      <c r="W66" s="11" t="n">
        <f aca="false">W55-W62-W63-W64</f>
        <v>53.6015568296459</v>
      </c>
      <c r="X66" s="11" t="n">
        <f aca="false">X55-X62-X63-X64</f>
        <v>51.4011304027447</v>
      </c>
      <c r="Y66" s="11" t="n">
        <f aca="false">Y55-Y62-Y63-Y64</f>
        <v>49.1996685663434</v>
      </c>
      <c r="Z66" s="11" t="n">
        <f aca="false">Z55-Z62-Z63-Z64</f>
        <v>46.9070046682183</v>
      </c>
      <c r="AA66" s="11" t="n">
        <f aca="false">AA55-AA62-AA63-AA64</f>
        <v>44.5474350895345</v>
      </c>
      <c r="AB66" s="11" t="n">
        <f aca="false">AB55-AB62-AB63-AB64</f>
        <v>42.0751387537042</v>
      </c>
      <c r="AC66" s="11" t="n">
        <f aca="false">AC55-AC62-AC63-AC64</f>
        <v>39.5209390568678</v>
      </c>
      <c r="AD66" s="11" t="n">
        <f aca="false">AD55-AD62-AD63-AD64</f>
        <v>36.7319393787251</v>
      </c>
      <c r="AE66" s="11" t="n">
        <f aca="false">AE55-AE62-AE63-AE64</f>
        <v>33.8230669901532</v>
      </c>
      <c r="AF66" s="11" t="n">
        <f aca="false">AF55-AF62-AF63-AF64</f>
        <v>30.8121461600694</v>
      </c>
      <c r="AG66" s="11" t="n">
        <f aca="false">AG55-AG62-AG63-AG64</f>
        <v>27.7450318635337</v>
      </c>
      <c r="AH66" s="11" t="n">
        <f aca="false">AH55-AH62-AH63-AH64</f>
        <v>24.5239437047647</v>
      </c>
      <c r="AI66" s="11" t="n">
        <f aca="false">AI55-AI62-AI63-AI64</f>
        <v>21.2082762759974</v>
      </c>
      <c r="AJ66" s="11" t="n">
        <f aca="false">AJ55-AJ62-AJ63-AJ64</f>
        <v>17.7325361713179</v>
      </c>
      <c r="AK66" s="11" t="n">
        <f aca="false">AK55-AK62-AK63-AK64</f>
        <v>14.1442925141736</v>
      </c>
      <c r="AL66" s="11" t="n">
        <f aca="false">AL55-AL62-AL63-AL64</f>
        <v>10.3395386928545</v>
      </c>
      <c r="AM66" s="11" t="n">
        <f aca="false">AM55-AM62-AM63-AM64</f>
        <v>6.4557031896958</v>
      </c>
      <c r="AN66" s="11" t="n">
        <f aca="false">AN55-AN62-AN63-AN64</f>
        <v>3.25158500578027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69.3496150463468</v>
      </c>
      <c r="P68" s="11" t="n">
        <f aca="false">IF(Time!P29=1,INDEX(Funding!$J$63:$BJ$63,1,Time!$F$13),Time!P30*(P66-P67))</f>
        <v>67.6532934953522</v>
      </c>
      <c r="Q68" s="11" t="n">
        <f aca="false">IF(Time!Q29=1,INDEX(Funding!$J$63:$BJ$63,1,Time!$F$13),Time!Q30*(Q66-Q67))</f>
        <v>65.8851806815444</v>
      </c>
      <c r="R68" s="11" t="n">
        <f aca="false">IF(Time!R29=1,INDEX(Funding!$J$63:$BJ$63,1,Time!$F$13),Time!R30*(R66-R67))</f>
        <v>64.0299729087829</v>
      </c>
      <c r="S68" s="11" t="n">
        <f aca="false">IF(Time!S29=1,INDEX(Funding!$J$63:$BJ$63,1,Time!$F$13),Time!S30*(S66-S67))</f>
        <v>62.120095164263</v>
      </c>
      <c r="T68" s="11" t="n">
        <f aca="false">IF(Time!T29=1,INDEX(Funding!$J$63:$BJ$63,1,Time!$F$13),Time!T30*(T66-T67))</f>
        <v>60.1223637278978</v>
      </c>
      <c r="U68" s="11" t="n">
        <f aca="false">IF(Time!U29=1,INDEX(Funding!$J$63:$BJ$63,1,Time!$F$13),Time!U30*(U66-U67))</f>
        <v>58.0609211191865</v>
      </c>
      <c r="V68" s="11" t="n">
        <f aca="false">IF(Time!V29=1,INDEX(Funding!$J$63:$BJ$63,1,Time!$F$13),Time!V30*(V66-V67))</f>
        <v>55.864805921304</v>
      </c>
      <c r="W68" s="11" t="n">
        <f aca="false">IF(Time!W29=1,INDEX(Funding!$J$63:$BJ$63,1,Time!$F$13),Time!W30*(W66-W67))</f>
        <v>53.6015568296459</v>
      </c>
      <c r="X68" s="11" t="n">
        <f aca="false">IF(Time!X29=1,INDEX(Funding!$J$63:$BJ$63,1,Time!$F$13),Time!X30*(X66-X67))</f>
        <v>51.4011304027447</v>
      </c>
      <c r="Y68" s="11" t="n">
        <f aca="false">IF(Time!Y29=1,INDEX(Funding!$J$63:$BJ$63,1,Time!$F$13),Time!Y30*(Y66-Y67))</f>
        <v>49.1996685663434</v>
      </c>
      <c r="Z68" s="11" t="n">
        <f aca="false">IF(Time!Z29=1,INDEX(Funding!$J$63:$BJ$63,1,Time!$F$13),Time!Z30*(Z66-Z67))</f>
        <v>46.9070046682183</v>
      </c>
      <c r="AA68" s="11" t="n">
        <f aca="false">IF(Time!AA29=1,INDEX(Funding!$J$63:$BJ$63,1,Time!$F$13),Time!AA30*(AA66-AA67))</f>
        <v>44.5474350895345</v>
      </c>
      <c r="AB68" s="11" t="n">
        <f aca="false">IF(Time!AB29=1,INDEX(Funding!$J$63:$BJ$63,1,Time!$F$13),Time!AB30*(AB66-AB67))</f>
        <v>42.0751387537042</v>
      </c>
      <c r="AC68" s="11" t="n">
        <f aca="false">IF(Time!AC29=1,INDEX(Funding!$J$63:$BJ$63,1,Time!$F$13),Time!AC30*(AC66-AC67))</f>
        <v>39.5209390568678</v>
      </c>
      <c r="AD68" s="11" t="n">
        <f aca="false">IF(Time!AD29=1,INDEX(Funding!$J$63:$BJ$63,1,Time!$F$13),Time!AD30*(AD66-AD67))</f>
        <v>36.7319393787251</v>
      </c>
      <c r="AE68" s="11" t="n">
        <f aca="false">IF(Time!AE29=1,INDEX(Funding!$J$63:$BJ$63,1,Time!$F$13),Time!AE30*(AE66-AE67))</f>
        <v>33.8230669901532</v>
      </c>
      <c r="AF68" s="11" t="n">
        <f aca="false">IF(Time!AF29=1,INDEX(Funding!$J$63:$BJ$63,1,Time!$F$13),Time!AF30*(AF66-AF67))</f>
        <v>30.8121461600694</v>
      </c>
      <c r="AG68" s="11" t="n">
        <f aca="false">IF(Time!AG29=1,INDEX(Funding!$J$63:$BJ$63,1,Time!$F$13),Time!AG30*(AG66-AG67))</f>
        <v>27.7450318635337</v>
      </c>
      <c r="AH68" s="11" t="n">
        <f aca="false">IF(Time!AH29=1,INDEX(Funding!$J$63:$BJ$63,1,Time!$F$13),Time!AH30*(AH66-AH67))</f>
        <v>24.5239437047647</v>
      </c>
      <c r="AI68" s="11" t="n">
        <f aca="false">IF(Time!AI29=1,INDEX(Funding!$J$63:$BJ$63,1,Time!$F$13),Time!AI30*(AI66-AI67))</f>
        <v>21.2082762759974</v>
      </c>
      <c r="AJ68" s="11" t="n">
        <f aca="false">IF(Time!AJ29=1,INDEX(Funding!$J$63:$BJ$63,1,Time!$F$13),Time!AJ30*(AJ66-AJ67))</f>
        <v>17.7325361713179</v>
      </c>
      <c r="AK68" s="11" t="n">
        <f aca="false">IF(Time!AK29=1,INDEX(Funding!$J$63:$BJ$63,1,Time!$F$13),Time!AK30*(AK66-AK67))</f>
        <v>14.1442925141736</v>
      </c>
      <c r="AL68" s="11" t="n">
        <f aca="false">IF(Time!AL29=1,INDEX(Funding!$J$63:$BJ$63,1,Time!$F$13),Time!AL30*(AL66-AL67))</f>
        <v>10.3395386928545</v>
      </c>
      <c r="AM68" s="11" t="n">
        <f aca="false">IF(Time!AM29=1,INDEX(Funding!$J$63:$BJ$63,1,Time!$F$13),Time!AM30*(AM66-AM67))</f>
        <v>6.4557031896958</v>
      </c>
      <c r="AN68" s="11" t="n">
        <f aca="false">IF(Time!AN29=1,INDEX(Funding!$J$63:$BJ$63,1,Time!$F$13),Time!AN30*(AN66-AN67))</f>
        <v>3.25158500578027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263.528537176118</v>
      </c>
      <c r="Q70" s="11" t="n">
        <f aca="false">Time!Q30*P83</f>
        <v>257.082515282339</v>
      </c>
      <c r="R70" s="11" t="n">
        <f aca="false">Time!R30*Q83</f>
        <v>250.363686589869</v>
      </c>
      <c r="S70" s="11" t="n">
        <f aca="false">Time!S30*R83</f>
        <v>243.313897053375</v>
      </c>
      <c r="T70" s="11" t="n">
        <f aca="false">Time!T30*S83</f>
        <v>236.056361624199</v>
      </c>
      <c r="U70" s="11" t="n">
        <f aca="false">Time!U30*T83</f>
        <v>228.464982166011</v>
      </c>
      <c r="V70" s="11" t="n">
        <f aca="false">Time!V30*U83</f>
        <v>220.631500252909</v>
      </c>
      <c r="W70" s="11" t="n">
        <f aca="false">Time!W30*V83</f>
        <v>212.286262500955</v>
      </c>
      <c r="X70" s="11" t="n">
        <f aca="false">Time!X30*W83</f>
        <v>203.685915952654</v>
      </c>
      <c r="Y70" s="11" t="n">
        <f aca="false">Time!Y30*X83</f>
        <v>195.32429553043</v>
      </c>
      <c r="Z70" s="11" t="n">
        <f aca="false">Time!Z30*Y83</f>
        <v>186.958740552105</v>
      </c>
      <c r="AA70" s="11" t="n">
        <f aca="false">Time!AA30*Z83</f>
        <v>178.246617739229</v>
      </c>
      <c r="AB70" s="11" t="n">
        <f aca="false">Time!AB30*AA83</f>
        <v>164.873826334138</v>
      </c>
      <c r="AC70" s="11" t="n">
        <f aca="false">Time!AC30*AB83</f>
        <v>150.482286682553</v>
      </c>
      <c r="AD70" s="11" t="n">
        <f aca="false">Time!AD30*AC83</f>
        <v>136.627972196129</v>
      </c>
      <c r="AE70" s="11" t="n">
        <f aca="false">Time!AE30*AD83</f>
        <v>121.070323459339</v>
      </c>
      <c r="AF70" s="11" t="n">
        <f aca="false">Time!AF30*AE83</f>
        <v>105.123579571042</v>
      </c>
      <c r="AG70" s="11" t="n">
        <f aca="false">Time!AG30*AF83</f>
        <v>88.6824154398308</v>
      </c>
      <c r="AH70" s="11" t="n">
        <f aca="false">Time!AH30*AG83</f>
        <v>72.5911225472358</v>
      </c>
      <c r="AI70" s="11" t="n">
        <f aca="false">Time!AI30*AH83</f>
        <v>55.7646852075802</v>
      </c>
      <c r="AJ70" s="11" t="n">
        <f aca="false">Time!AJ30*AI83</f>
        <v>39.3139451948761</v>
      </c>
      <c r="AK70" s="11" t="n">
        <f aca="false">Time!AK30*AJ83</f>
        <v>22.4949208891092</v>
      </c>
      <c r="AL70" s="11" t="n">
        <f aca="false">Time!AL30*AK83</f>
        <v>6.41439729847958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153.162618367358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10.7604232574851</v>
      </c>
      <c r="Q72" s="11" t="n">
        <f aca="false">Q70*Q13</f>
        <v>10.3547917675495</v>
      </c>
      <c r="R72" s="11" t="n">
        <f aca="false">R70*R13</f>
        <v>10.2513111474563</v>
      </c>
      <c r="S72" s="11" t="n">
        <f aca="false">S70*S13</f>
        <v>9.81381070824974</v>
      </c>
      <c r="T72" s="11" t="n">
        <f aca="false">T70*T13</f>
        <v>9.67889368180606</v>
      </c>
      <c r="U72" s="11" t="n">
        <f aca="false">U70*U13</f>
        <v>9.26580633226623</v>
      </c>
      <c r="V72" s="11" t="n">
        <f aca="false">V70*V13</f>
        <v>9.04643627950568</v>
      </c>
      <c r="W72" s="11" t="n">
        <f aca="false">W70*W13</f>
        <v>8.56234362844131</v>
      </c>
      <c r="X72" s="11" t="n">
        <f aca="false">X70*X13</f>
        <v>8.35162548224636</v>
      </c>
      <c r="Y72" s="11" t="n">
        <f aca="false">Y70*Y13</f>
        <v>8.42378224168458</v>
      </c>
      <c r="Z72" s="11" t="n">
        <f aca="false">Z70*Z13</f>
        <v>8.19664048702019</v>
      </c>
      <c r="AA72" s="11" t="n">
        <f aca="false">AA70*AA13</f>
        <v>7.68727049072161</v>
      </c>
      <c r="AB72" s="11" t="n">
        <f aca="false">AB70*AB13</f>
        <v>7.2283942231826</v>
      </c>
      <c r="AC72" s="11" t="n">
        <f aca="false">AC70*AC13</f>
        <v>6.5257293851992</v>
      </c>
      <c r="AD72" s="11" t="n">
        <f aca="false">AD70*AD13</f>
        <v>5.9900401834925</v>
      </c>
      <c r="AE72" s="11" t="n">
        <f aca="false">AE70*AE13</f>
        <v>5.2214192708705</v>
      </c>
      <c r="AF72" s="11" t="n">
        <f aca="false">AF70*AF13</f>
        <v>4.60882537990967</v>
      </c>
      <c r="AG72" s="11" t="n">
        <f aca="false">AG70*AG13</f>
        <v>4.07232936233608</v>
      </c>
      <c r="AH72" s="11" t="n">
        <f aca="false">AH70*AH13</f>
        <v>3.38866114290874</v>
      </c>
      <c r="AI72" s="11" t="n">
        <f aca="false">AI70*AI13</f>
        <v>2.5607349983192</v>
      </c>
      <c r="AJ72" s="11" t="n">
        <f aca="false">AJ70*AJ13</f>
        <v>1.83523320457859</v>
      </c>
      <c r="AK72" s="11" t="n">
        <f aca="false">AK70*AK13</f>
        <v>1.03868214342416</v>
      </c>
      <c r="AL72" s="11" t="n">
        <f aca="false">AL70*AL13</f>
        <v>0.299433568703839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178.636350380959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6.44602189377933</v>
      </c>
      <c r="Q73" s="11" t="n">
        <f aca="false">Time!Q30*(Q70-Q71)*Q19</f>
        <v>6.71882869246986</v>
      </c>
      <c r="R73" s="11" t="n">
        <f aca="false">Time!R30*(R70-R71)*R19</f>
        <v>7.04978953649358</v>
      </c>
      <c r="S73" s="11" t="n">
        <f aca="false">Time!S30*(S70-S71)*S19</f>
        <v>7.25753542917578</v>
      </c>
      <c r="T73" s="11" t="n">
        <f aca="false">Time!T30*(T70-T71)*T19</f>
        <v>7.59137945818788</v>
      </c>
      <c r="U73" s="11" t="n">
        <f aca="false">Time!U30*(U70-U71)*U19</f>
        <v>7.83348191310282</v>
      </c>
      <c r="V73" s="11" t="n">
        <f aca="false">Time!V30*(V70-V71)*V19</f>
        <v>8.34523775195332</v>
      </c>
      <c r="W73" s="11" t="n">
        <f aca="false">Time!W30*(W70-W71)*W19</f>
        <v>8.60034654830106</v>
      </c>
      <c r="X73" s="11" t="n">
        <f aca="false">Time!X30*(X70-X71)*X19</f>
        <v>8.36162042222423</v>
      </c>
      <c r="Y73" s="11" t="n">
        <f aca="false">Time!Y30*(Y70-Y71)*Y19</f>
        <v>8.36555497832502</v>
      </c>
      <c r="Z73" s="11" t="n">
        <f aca="false">Time!Z30*(Z70-Z71)*Z19</f>
        <v>8.71212281287555</v>
      </c>
      <c r="AA73" s="11" t="n">
        <f aca="false">Time!AA30*(AA70-AA71)*AA19</f>
        <v>8.96636439899848</v>
      </c>
      <c r="AB73" s="11" t="n">
        <f aca="false">Time!AB30*(AB70-AB71)*AB19</f>
        <v>9.15017791486646</v>
      </c>
      <c r="AC73" s="11" t="n">
        <f aca="false">Time!AC30*(AC70-AC71)*AC19</f>
        <v>9.13512878171985</v>
      </c>
      <c r="AD73" s="11" t="n">
        <f aca="false">Time!AD30*(AD70-AD71)*AD19</f>
        <v>9.64186022837138</v>
      </c>
      <c r="AE73" s="11" t="n">
        <f aca="false">Time!AE30*(AE70-AE71)*AE19</f>
        <v>9.58778999810475</v>
      </c>
      <c r="AF73" s="11" t="n">
        <f aca="false">Time!AF30*(AF70-AF71)*AF19</f>
        <v>9.35807434481257</v>
      </c>
      <c r="AG73" s="11" t="n">
        <f aca="false">Time!AG30*(AG70-AG71)*AG19</f>
        <v>8.82765850953012</v>
      </c>
      <c r="AH73" s="11" t="n">
        <f aca="false">Time!AH30*(AH70-AH71)*AH19</f>
        <v>8.42754142142363</v>
      </c>
      <c r="AI73" s="11" t="n">
        <f aca="false">Time!AI30*(AI70-AI71)*AI19</f>
        <v>7.53945420215235</v>
      </c>
      <c r="AJ73" s="11" t="n">
        <f aca="false">Time!AJ30*(AJ70-AJ71)*AJ19</f>
        <v>6.44300622119156</v>
      </c>
      <c r="AK73" s="11" t="n">
        <f aca="false">Time!AK30*(AK70-AK71)*AK19</f>
        <v>4.55192965171385</v>
      </c>
      <c r="AL73" s="11" t="n">
        <f aca="false">Time!AL30*(AL70-AL71)*AL19</f>
        <v>1.72544527118574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178.636350380959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6.44602189377933</v>
      </c>
      <c r="Q77" s="11" t="n">
        <f aca="false">Q73-Q74+Q76</f>
        <v>6.71882869246986</v>
      </c>
      <c r="R77" s="11" t="n">
        <f aca="false">R73-R74+R76</f>
        <v>7.04978953649358</v>
      </c>
      <c r="S77" s="11" t="n">
        <f aca="false">S73-S74+S76</f>
        <v>7.25753542917578</v>
      </c>
      <c r="T77" s="11" t="n">
        <f aca="false">T73-T74+T76</f>
        <v>7.59137945818788</v>
      </c>
      <c r="U77" s="11" t="n">
        <f aca="false">U73-U74+U76</f>
        <v>7.83348191310282</v>
      </c>
      <c r="V77" s="11" t="n">
        <f aca="false">V73-V74+V76</f>
        <v>8.34523775195332</v>
      </c>
      <c r="W77" s="11" t="n">
        <f aca="false">W73-W74+W76</f>
        <v>8.60034654830106</v>
      </c>
      <c r="X77" s="11" t="n">
        <f aca="false">X73-X74+X76</f>
        <v>8.36162042222423</v>
      </c>
      <c r="Y77" s="11" t="n">
        <f aca="false">Y73-Y74+Y76</f>
        <v>8.36555497832502</v>
      </c>
      <c r="Z77" s="11" t="n">
        <f aca="false">Z73-Z74+Z76</f>
        <v>8.71212281287555</v>
      </c>
      <c r="AA77" s="11" t="n">
        <f aca="false">AA73-AA74+AA76</f>
        <v>8.96636439899848</v>
      </c>
      <c r="AB77" s="11" t="n">
        <f aca="false">AB73-AB74+AB76</f>
        <v>9.15017791486646</v>
      </c>
      <c r="AC77" s="11" t="n">
        <f aca="false">AC73-AC74+AC76</f>
        <v>9.13512878171985</v>
      </c>
      <c r="AD77" s="11" t="n">
        <f aca="false">AD73-AD74+AD76</f>
        <v>9.64186022837138</v>
      </c>
      <c r="AE77" s="11" t="n">
        <f aca="false">AE73-AE74+AE76</f>
        <v>9.58778999810475</v>
      </c>
      <c r="AF77" s="11" t="n">
        <f aca="false">AF73-AF74+AF76</f>
        <v>9.35807434481257</v>
      </c>
      <c r="AG77" s="11" t="n">
        <f aca="false">AG73-AG74+AG76</f>
        <v>8.82765850953012</v>
      </c>
      <c r="AH77" s="11" t="n">
        <f aca="false">AH73-AH74+AH76</f>
        <v>8.42754142142363</v>
      </c>
      <c r="AI77" s="11" t="n">
        <f aca="false">AI73-AI74+AI76</f>
        <v>7.53945420215235</v>
      </c>
      <c r="AJ77" s="11" t="n">
        <f aca="false">AJ73-AJ74+AJ76</f>
        <v>6.44300622119156</v>
      </c>
      <c r="AK77" s="11" t="n">
        <f aca="false">AK73-AK74+AK76</f>
        <v>4.55192965171385</v>
      </c>
      <c r="AL77" s="11" t="n">
        <f aca="false">AL73-AL74+AL76</f>
        <v>1.72544527118574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257.082515282339</v>
      </c>
      <c r="Q81" s="11" t="n">
        <f aca="false">Q70-Q77-Q78-Q79</f>
        <v>250.363686589869</v>
      </c>
      <c r="R81" s="11" t="n">
        <f aca="false">R70-R77-R78-R79</f>
        <v>243.313897053375</v>
      </c>
      <c r="S81" s="11" t="n">
        <f aca="false">S70-S77-S78-S79</f>
        <v>236.056361624199</v>
      </c>
      <c r="T81" s="11" t="n">
        <f aca="false">T70-T77-T78-T79</f>
        <v>228.464982166011</v>
      </c>
      <c r="U81" s="11" t="n">
        <f aca="false">U70-U77-U78-U79</f>
        <v>220.631500252909</v>
      </c>
      <c r="V81" s="11" t="n">
        <f aca="false">V70-V77-V78-V79</f>
        <v>212.286262500955</v>
      </c>
      <c r="W81" s="11" t="n">
        <f aca="false">W70-W77-W78-W79</f>
        <v>203.685915952654</v>
      </c>
      <c r="X81" s="11" t="n">
        <f aca="false">X70-X77-X78-X79</f>
        <v>195.32429553043</v>
      </c>
      <c r="Y81" s="11" t="n">
        <f aca="false">Y70-Y77-Y78-Y79</f>
        <v>186.958740552105</v>
      </c>
      <c r="Z81" s="11" t="n">
        <f aca="false">Z70-Z77-Z78-Z79</f>
        <v>178.246617739229</v>
      </c>
      <c r="AA81" s="11" t="n">
        <f aca="false">AA70-AA77-AA78-AA79</f>
        <v>169.280253340231</v>
      </c>
      <c r="AB81" s="11" t="n">
        <f aca="false">AB70-AB77-AB78-AB79</f>
        <v>155.723648419271</v>
      </c>
      <c r="AC81" s="11" t="n">
        <f aca="false">AC70-AC77-AC78-AC79</f>
        <v>141.347157900833</v>
      </c>
      <c r="AD81" s="11" t="n">
        <f aca="false">AD70-AD77-AD78-AD79</f>
        <v>126.986111967757</v>
      </c>
      <c r="AE81" s="11" t="n">
        <f aca="false">AE70-AE77-AE78-AE79</f>
        <v>111.482533461235</v>
      </c>
      <c r="AF81" s="11" t="n">
        <f aca="false">AF70-AF77-AF78-AF79</f>
        <v>95.7655052262292</v>
      </c>
      <c r="AG81" s="11" t="n">
        <f aca="false">AG70-AG77-AG78-AG79</f>
        <v>79.8547569303007</v>
      </c>
      <c r="AH81" s="11" t="n">
        <f aca="false">AH70-AH77-AH78-AH79</f>
        <v>64.1635811258121</v>
      </c>
      <c r="AI81" s="11" t="n">
        <f aca="false">AI70-AI77-AI78-AI79</f>
        <v>48.2252310054279</v>
      </c>
      <c r="AJ81" s="11" t="n">
        <f aca="false">AJ70-AJ77-AJ78-AJ79</f>
        <v>32.8709389736845</v>
      </c>
      <c r="AK81" s="11" t="n">
        <f aca="false">AK70-AK77-AK78-AK79</f>
        <v>17.9429912373954</v>
      </c>
      <c r="AL81" s="11" t="n">
        <f aca="false">AL70-AL77-AL78-AL79</f>
        <v>4.68895202729384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84.8921867951587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4.40642700609312</v>
      </c>
      <c r="AB82" s="11" t="n">
        <f aca="false">Waterfall!AB28*AB81/(AB36+AB51+AB66+AB81+AB96+0.000000001)+Waterfall!AB29</f>
        <v>5.24136173671851</v>
      </c>
      <c r="AC82" s="11" t="n">
        <f aca="false">Waterfall!AC28*AC81/(AC36+AC51+AC66+AC81+AC96+0.000000001)+Waterfall!AC29</f>
        <v>4.71918570470418</v>
      </c>
      <c r="AD82" s="11" t="n">
        <f aca="false">Waterfall!AD28*AD81/(AD36+AD51+AD66+AD81+AD96+0.000000001)+Waterfall!AD29</f>
        <v>5.91578850841811</v>
      </c>
      <c r="AE82" s="11" t="n">
        <f aca="false">Waterfall!AE28*AE81/(AE36+AE51+AE66+AE81+AE96+0.000000001)+Waterfall!AE29</f>
        <v>6.35895389019279</v>
      </c>
      <c r="AF82" s="11" t="n">
        <f aca="false">Waterfall!AF28*AF81/(AF36+AF51+AF66+AF81+AF96+0.000000001)+Waterfall!AF29</f>
        <v>7.08308978639843</v>
      </c>
      <c r="AG82" s="11" t="n">
        <f aca="false">Waterfall!AG28*AG81/(AG36+AG51+AG66+AG81+AG96+0.000000001)+Waterfall!AG29</f>
        <v>7.26363438306493</v>
      </c>
      <c r="AH82" s="11" t="n">
        <f aca="false">Waterfall!AH28*AH81/(AH36+AH51+AH66+AH81+AH96+0.000000001)+Waterfall!AH29</f>
        <v>8.39889591823189</v>
      </c>
      <c r="AI82" s="11" t="n">
        <f aca="false">Waterfall!AI28*AI81/(AI36+AI51+AI66+AI81+AI96+0.000000001)+Waterfall!AI29</f>
        <v>8.9112858105518</v>
      </c>
      <c r="AJ82" s="11" t="n">
        <f aca="false">Waterfall!AJ28*AJ81/(AJ36+AJ51+AJ66+AJ81+AJ96+0.000000001)+Waterfall!AJ29</f>
        <v>10.3760180845753</v>
      </c>
      <c r="AK82" s="11" t="n">
        <f aca="false">Waterfall!AK28*AK81/(AK36+AK51+AK66+AK81+AK96+0.000000001)+Waterfall!AK29</f>
        <v>11.5285939389158</v>
      </c>
      <c r="AL82" s="11" t="n">
        <f aca="false">Waterfall!AL28*AL81/(AL36+AL51+AL66+AL81+AL96+0.000000001)+Waterfall!AL29</f>
        <v>4.68895202729384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263.528537176118</v>
      </c>
      <c r="P83" s="11" t="n">
        <f aca="false">IF(Time!P29=1,INDEX(Funding!$J$64:$BJ$64,1,Time!$F$13),Time!P30*(P81-P82))</f>
        <v>257.082515282339</v>
      </c>
      <c r="Q83" s="11" t="n">
        <f aca="false">IF(Time!Q29=1,INDEX(Funding!$J$64:$BJ$64,1,Time!$F$13),Time!Q30*(Q81-Q82))</f>
        <v>250.363686589869</v>
      </c>
      <c r="R83" s="11" t="n">
        <f aca="false">IF(Time!R29=1,INDEX(Funding!$J$64:$BJ$64,1,Time!$F$13),Time!R30*(R81-R82))</f>
        <v>243.313897053375</v>
      </c>
      <c r="S83" s="11" t="n">
        <f aca="false">IF(Time!S29=1,INDEX(Funding!$J$64:$BJ$64,1,Time!$F$13),Time!S30*(S81-S82))</f>
        <v>236.056361624199</v>
      </c>
      <c r="T83" s="11" t="n">
        <f aca="false">IF(Time!T29=1,INDEX(Funding!$J$64:$BJ$64,1,Time!$F$13),Time!T30*(T81-T82))</f>
        <v>228.464982166011</v>
      </c>
      <c r="U83" s="11" t="n">
        <f aca="false">IF(Time!U29=1,INDEX(Funding!$J$64:$BJ$64,1,Time!$F$13),Time!U30*(U81-U82))</f>
        <v>220.631500252909</v>
      </c>
      <c r="V83" s="11" t="n">
        <f aca="false">IF(Time!V29=1,INDEX(Funding!$J$64:$BJ$64,1,Time!$F$13),Time!V30*(V81-V82))</f>
        <v>212.286262500955</v>
      </c>
      <c r="W83" s="11" t="n">
        <f aca="false">IF(Time!W29=1,INDEX(Funding!$J$64:$BJ$64,1,Time!$F$13),Time!W30*(W81-W82))</f>
        <v>203.685915952654</v>
      </c>
      <c r="X83" s="11" t="n">
        <f aca="false">IF(Time!X29=1,INDEX(Funding!$J$64:$BJ$64,1,Time!$F$13),Time!X30*(X81-X82))</f>
        <v>195.32429553043</v>
      </c>
      <c r="Y83" s="11" t="n">
        <f aca="false">IF(Time!Y29=1,INDEX(Funding!$J$64:$BJ$64,1,Time!$F$13),Time!Y30*(Y81-Y82))</f>
        <v>186.958740552105</v>
      </c>
      <c r="Z83" s="11" t="n">
        <f aca="false">IF(Time!Z29=1,INDEX(Funding!$J$64:$BJ$64,1,Time!$F$13),Time!Z30*(Z81-Z82))</f>
        <v>178.246617739229</v>
      </c>
      <c r="AA83" s="11" t="n">
        <f aca="false">IF(Time!AA29=1,INDEX(Funding!$J$64:$BJ$64,1,Time!$F$13),Time!AA30*(AA81-AA82))</f>
        <v>164.873826334138</v>
      </c>
      <c r="AB83" s="11" t="n">
        <f aca="false">IF(Time!AB29=1,INDEX(Funding!$J$64:$BJ$64,1,Time!$F$13),Time!AB30*(AB81-AB82))</f>
        <v>150.482286682553</v>
      </c>
      <c r="AC83" s="11" t="n">
        <f aca="false">IF(Time!AC29=1,INDEX(Funding!$J$64:$BJ$64,1,Time!$F$13),Time!AC30*(AC81-AC82))</f>
        <v>136.627972196129</v>
      </c>
      <c r="AD83" s="11" t="n">
        <f aca="false">IF(Time!AD29=1,INDEX(Funding!$J$64:$BJ$64,1,Time!$F$13),Time!AD30*(AD81-AD82))</f>
        <v>121.070323459339</v>
      </c>
      <c r="AE83" s="11" t="n">
        <f aca="false">IF(Time!AE29=1,INDEX(Funding!$J$64:$BJ$64,1,Time!$F$13),Time!AE30*(AE81-AE82))</f>
        <v>105.123579571042</v>
      </c>
      <c r="AF83" s="11" t="n">
        <f aca="false">IF(Time!AF29=1,INDEX(Funding!$J$64:$BJ$64,1,Time!$F$13),Time!AF30*(AF81-AF82))</f>
        <v>88.6824154398308</v>
      </c>
      <c r="AG83" s="11" t="n">
        <f aca="false">IF(Time!AG29=1,INDEX(Funding!$J$64:$BJ$64,1,Time!$F$13),Time!AG30*(AG81-AG82))</f>
        <v>72.5911225472358</v>
      </c>
      <c r="AH83" s="11" t="n">
        <f aca="false">IF(Time!AH29=1,INDEX(Funding!$J$64:$BJ$64,1,Time!$F$13),Time!AH30*(AH81-AH82))</f>
        <v>55.7646852075802</v>
      </c>
      <c r="AI83" s="11" t="n">
        <f aca="false">IF(Time!AI29=1,INDEX(Funding!$J$64:$BJ$64,1,Time!$F$13),Time!AI30*(AI81-AI82))</f>
        <v>39.3139451948761</v>
      </c>
      <c r="AJ83" s="11" t="n">
        <f aca="false">IF(Time!AJ29=1,INDEX(Funding!$J$64:$BJ$64,1,Time!$F$13),Time!AJ30*(AJ81-AJ82))</f>
        <v>22.4949208891092</v>
      </c>
      <c r="AK83" s="11" t="n">
        <f aca="false">IF(Time!AK29=1,INDEX(Funding!$J$64:$BJ$64,1,Time!$F$13),Time!AK30*(AK81-AK82))</f>
        <v>6.41439729847958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4.72955008490317E-014</v>
      </c>
      <c r="Q85" s="11" t="n">
        <f aca="false">Time!Q30*P98</f>
        <v>4.61386324612017E-014</v>
      </c>
      <c r="R85" s="11" t="n">
        <f aca="false">Time!R30*Q98</f>
        <v>4.49328034017218E-014</v>
      </c>
      <c r="S85" s="11" t="n">
        <f aca="false">Time!S30*R98</f>
        <v>4.36675767565107E-014</v>
      </c>
      <c r="T85" s="11" t="n">
        <f aca="false">Time!T30*S98</f>
        <v>4.23650659289146E-014</v>
      </c>
      <c r="U85" s="11" t="n">
        <f aca="false">Time!U30*T98</f>
        <v>4.10026400700024E-014</v>
      </c>
      <c r="V85" s="11" t="n">
        <f aca="false">Time!V30*U98</f>
        <v>3.95967640520118E-014</v>
      </c>
      <c r="W85" s="11" t="n">
        <f aca="false">Time!W30*V98</f>
        <v>3.80990431470493E-014</v>
      </c>
      <c r="X85" s="11" t="n">
        <f aca="false">Time!X30*W98</f>
        <v>3.65555378332194E-014</v>
      </c>
      <c r="Y85" s="11" t="n">
        <f aca="false">Time!Y30*X98</f>
        <v>3.50548767282921E-014</v>
      </c>
      <c r="Z85" s="11" t="n">
        <f aca="false">Time!Z30*Y98</f>
        <v>3.35535094880696E-014</v>
      </c>
      <c r="AA85" s="11" t="n">
        <f aca="false">Time!AA30*Z98</f>
        <v>3.19899436734958E-014</v>
      </c>
      <c r="AB85" s="11" t="n">
        <f aca="false">Time!AB30*AA98</f>
        <v>3.03807490883866E-014</v>
      </c>
      <c r="AC85" s="11" t="n">
        <f aca="false">Time!AC30*AB98</f>
        <v>2.86946763773532E-014</v>
      </c>
      <c r="AD85" s="11" t="n">
        <f aca="false">Time!AD30*AC98</f>
        <v>2.69527466802728E-014</v>
      </c>
      <c r="AE85" s="11" t="n">
        <f aca="false">Time!AE30*AD98</f>
        <v>2.50506865670711E-014</v>
      </c>
      <c r="AF85" s="11" t="n">
        <f aca="false">Time!AF30*AE98</f>
        <v>2.30668748843173E-014</v>
      </c>
      <c r="AG85" s="11" t="n">
        <f aca="false">Time!AG30*AF98</f>
        <v>2.10134675426841E-014</v>
      </c>
      <c r="AH85" s="11" t="n">
        <f aca="false">Time!AH30*AG98</f>
        <v>1.8921737015861E-014</v>
      </c>
      <c r="AI85" s="11" t="n">
        <f aca="false">Time!AI30*AH98</f>
        <v>1.67249983945139E-014</v>
      </c>
      <c r="AJ85" s="11" t="n">
        <f aca="false">Time!AJ30*AI98</f>
        <v>1.44637579883837E-014</v>
      </c>
      <c r="AK85" s="11" t="n">
        <f aca="false">Time!AK30*AJ98</f>
        <v>1.20933501791692E-014</v>
      </c>
      <c r="AL85" s="11" t="n">
        <f aca="false">Time!AL30*AK98</f>
        <v>9.64621646660876E-015</v>
      </c>
      <c r="AM85" s="11" t="n">
        <f aca="false">Time!AM30*AL98</f>
        <v>7.05142574619465E-015</v>
      </c>
      <c r="AN85" s="11" t="n">
        <f aca="false">Time!AN30*AM98</f>
        <v>4.40270238681647E-015</v>
      </c>
      <c r="AO85" s="11" t="n">
        <f aca="false">Time!AO30*AN98</f>
        <v>2.21753705912864E-015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2.92324294411368E-014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1.87487773454601E-015</v>
      </c>
      <c r="Q87" s="11" t="n">
        <f aca="false">Q85*Q14</f>
        <v>1.80414527442446E-015</v>
      </c>
      <c r="R87" s="11" t="n">
        <f aca="false">R85*R14</f>
        <v>1.78611554713232E-015</v>
      </c>
      <c r="S87" s="11" t="n">
        <f aca="false">S85*S14</f>
        <v>1.70986219133685E-015</v>
      </c>
      <c r="T87" s="11" t="n">
        <f aca="false">T85*T14</f>
        <v>1.68635557098909E-015</v>
      </c>
      <c r="U87" s="11" t="n">
        <f aca="false">U85*U14</f>
        <v>1.61438327992951E-015</v>
      </c>
      <c r="V87" s="11" t="n">
        <f aca="false">V85*V14</f>
        <v>1.57616239201168E-015</v>
      </c>
      <c r="W87" s="11" t="n">
        <f aca="false">W85*W14</f>
        <v>1.49181883314691E-015</v>
      </c>
      <c r="X87" s="11" t="n">
        <f aca="false">X85*X14</f>
        <v>1.45510536863058E-015</v>
      </c>
      <c r="Y87" s="11" t="n">
        <f aca="false">Y85*Y14</f>
        <v>1.431369814871E-015</v>
      </c>
      <c r="Z87" s="11" t="n">
        <f aca="false">Z85*Z14</f>
        <v>1.39277386806285E-015</v>
      </c>
      <c r="AA87" s="11" t="n">
        <f aca="false">AA85*AA14</f>
        <v>1.30622167376528E-015</v>
      </c>
      <c r="AB87" s="11" t="n">
        <f aca="false">AB85*AB14</f>
        <v>1.26107563912277E-015</v>
      </c>
      <c r="AC87" s="11" t="n">
        <f aca="false">AC85*AC14</f>
        <v>1.1781417716382E-015</v>
      </c>
      <c r="AD87" s="11" t="n">
        <f aca="false">AD85*AD14</f>
        <v>1.11878256020132E-015</v>
      </c>
      <c r="AE87" s="11" t="n">
        <f aca="false">AE85*AE14</f>
        <v>1.02287612852909E-015</v>
      </c>
      <c r="AF87" s="11" t="n">
        <f aca="false">AF85*AF14</f>
        <v>9.57483763901825E-016</v>
      </c>
      <c r="AG87" s="11" t="n">
        <f aca="false">AG85*AG14</f>
        <v>8.93244369687296E-016</v>
      </c>
      <c r="AH87" s="11" t="n">
        <f aca="false">AH85*AH14</f>
        <v>8.17660116030877E-016</v>
      </c>
      <c r="AI87" s="11" t="n">
        <f aca="false">AI85*AI14</f>
        <v>7.1094932897592E-016</v>
      </c>
      <c r="AJ87" s="11" t="n">
        <f aca="false">AJ85*AJ14</f>
        <v>6.25018624088843E-016</v>
      </c>
      <c r="AK87" s="11" t="n">
        <f aca="false">AK85*AK14</f>
        <v>5.16906514610087E-016</v>
      </c>
      <c r="AL87" s="11" t="n">
        <f aca="false">AL85*AL14</f>
        <v>4.16839451300628E-016</v>
      </c>
      <c r="AM87" s="11" t="n">
        <f aca="false">AM85*AM14</f>
        <v>2.99743311438825E-016</v>
      </c>
      <c r="AN87" s="11" t="n">
        <f aca="false">AN85*AN14</f>
        <v>1.9025283680014E-016</v>
      </c>
      <c r="AO87" s="11" t="n">
        <f aca="false">AO85*AO14</f>
        <v>9.42634759644512E-017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4.72955008490317E-014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1.15686838782994E-015</v>
      </c>
      <c r="Q88" s="11" t="n">
        <f aca="false">Time!Q30*(Q85-Q86)*Q19</f>
        <v>1.20582905947995E-015</v>
      </c>
      <c r="R88" s="11" t="n">
        <f aca="false">Time!R30*(R85-R86)*R19</f>
        <v>1.26522664521109E-015</v>
      </c>
      <c r="S88" s="11" t="n">
        <f aca="false">Time!S30*(S85-S86)*S19</f>
        <v>1.30251082759612E-015</v>
      </c>
      <c r="T88" s="11" t="n">
        <f aca="false">Time!T30*(T85-T86)*T19</f>
        <v>1.36242585891219E-015</v>
      </c>
      <c r="U88" s="11" t="n">
        <f aca="false">Time!U30*(U85-U86)*U19</f>
        <v>1.40587601799052E-015</v>
      </c>
      <c r="V88" s="11" t="n">
        <f aca="false">Time!V30*(V85-V86)*V19</f>
        <v>1.49772090496258E-015</v>
      </c>
      <c r="W88" s="11" t="n">
        <f aca="false">Time!W30*(W85-W86)*W19</f>
        <v>1.54350531382983E-015</v>
      </c>
      <c r="X88" s="11" t="n">
        <f aca="false">Time!X30*(X85-X86)*X19</f>
        <v>1.50066110492729E-015</v>
      </c>
      <c r="Y88" s="11" t="n">
        <f aca="false">Time!Y30*(Y85-Y86)*Y19</f>
        <v>1.50136724022254E-015</v>
      </c>
      <c r="Z88" s="11" t="n">
        <f aca="false">Time!Z30*(Z85-Z86)*Z19</f>
        <v>1.56356581457382E-015</v>
      </c>
      <c r="AA88" s="11" t="n">
        <f aca="false">Time!AA30*(AA85-AA86)*AA19</f>
        <v>1.60919458510921E-015</v>
      </c>
      <c r="AB88" s="11" t="n">
        <f aca="false">Time!AB30*(AB85-AB86)*AB19</f>
        <v>1.68607271103343E-015</v>
      </c>
      <c r="AC88" s="11" t="n">
        <f aca="false">Time!AC30*(AC85-AC86)*AC19</f>
        <v>1.74192969708033E-015</v>
      </c>
      <c r="AD88" s="11" t="n">
        <f aca="false">Time!AD30*(AD85-AD86)*AD19</f>
        <v>1.90206011320173E-015</v>
      </c>
      <c r="AE88" s="11" t="n">
        <f aca="false">Time!AE30*(AE85-AE86)*AE19</f>
        <v>1.98381168275382E-015</v>
      </c>
      <c r="AF88" s="11" t="n">
        <f aca="false">Time!AF30*(AF85-AF86)*AF19</f>
        <v>2.05340734163312E-015</v>
      </c>
      <c r="AG88" s="11" t="n">
        <f aca="false">Time!AG30*(AG85-AG86)*AG19</f>
        <v>2.0917305268232E-015</v>
      </c>
      <c r="AH88" s="11" t="n">
        <f aca="false">Time!AH30*(AH85-AH86)*AH19</f>
        <v>2.1967386213471E-015</v>
      </c>
      <c r="AI88" s="11" t="n">
        <f aca="false">Time!AI30*(AI85-AI86)*AI19</f>
        <v>2.26124040613015E-015</v>
      </c>
      <c r="AJ88" s="11" t="n">
        <f aca="false">Time!AJ30*(AJ85-AJ86)*AJ19</f>
        <v>2.37040780921451E-015</v>
      </c>
      <c r="AK88" s="11" t="n">
        <f aca="false">Time!AK30*(AK85-AK86)*AK19</f>
        <v>2.44713371256044E-015</v>
      </c>
      <c r="AL88" s="11" t="n">
        <f aca="false">Time!AL30*(AL85-AL86)*AL19</f>
        <v>2.5947907204141E-015</v>
      </c>
      <c r="AM88" s="11" t="n">
        <f aca="false">Time!AM30*(AM85-AM86)*AM19</f>
        <v>2.64872335937819E-015</v>
      </c>
      <c r="AN88" s="11" t="n">
        <f aca="false">Time!AN30*(AN85-AN86)*AN19</f>
        <v>2.18516532768782E-015</v>
      </c>
      <c r="AO88" s="11" t="n">
        <f aca="false">Time!AO30*(AO85-AO86)*AO19</f>
        <v>2.21753705912864E-015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4.72955008490317E-014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1.15686838782994E-015</v>
      </c>
      <c r="Q92" s="11" t="n">
        <f aca="false">Q88-Q89+Q91</f>
        <v>1.20582905947995E-015</v>
      </c>
      <c r="R92" s="11" t="n">
        <f aca="false">R88-R89+R91</f>
        <v>1.26522664521109E-015</v>
      </c>
      <c r="S92" s="11" t="n">
        <f aca="false">S88-S89+S91</f>
        <v>1.30251082759612E-015</v>
      </c>
      <c r="T92" s="11" t="n">
        <f aca="false">T88-T89+T91</f>
        <v>1.36242585891219E-015</v>
      </c>
      <c r="U92" s="11" t="n">
        <f aca="false">U88-U89+U91</f>
        <v>1.40587601799052E-015</v>
      </c>
      <c r="V92" s="11" t="n">
        <f aca="false">V88-V89+V91</f>
        <v>1.49772090496258E-015</v>
      </c>
      <c r="W92" s="11" t="n">
        <f aca="false">W88-W89+W91</f>
        <v>1.54350531382983E-015</v>
      </c>
      <c r="X92" s="11" t="n">
        <f aca="false">X88-X89+X91</f>
        <v>1.50066110492729E-015</v>
      </c>
      <c r="Y92" s="11" t="n">
        <f aca="false">Y88-Y89+Y91</f>
        <v>1.50136724022254E-015</v>
      </c>
      <c r="Z92" s="11" t="n">
        <f aca="false">Z88-Z89+Z91</f>
        <v>1.56356581457382E-015</v>
      </c>
      <c r="AA92" s="11" t="n">
        <f aca="false">AA88-AA89+AA91</f>
        <v>1.60919458510921E-015</v>
      </c>
      <c r="AB92" s="11" t="n">
        <f aca="false">AB88-AB89+AB91</f>
        <v>1.68607271103343E-015</v>
      </c>
      <c r="AC92" s="11" t="n">
        <f aca="false">AC88-AC89+AC91</f>
        <v>1.74192969708033E-015</v>
      </c>
      <c r="AD92" s="11" t="n">
        <f aca="false">AD88-AD89+AD91</f>
        <v>1.90206011320173E-015</v>
      </c>
      <c r="AE92" s="11" t="n">
        <f aca="false">AE88-AE89+AE91</f>
        <v>1.98381168275382E-015</v>
      </c>
      <c r="AF92" s="11" t="n">
        <f aca="false">AF88-AF89+AF91</f>
        <v>2.05340734163312E-015</v>
      </c>
      <c r="AG92" s="11" t="n">
        <f aca="false">AG88-AG89+AG91</f>
        <v>2.0917305268232E-015</v>
      </c>
      <c r="AH92" s="11" t="n">
        <f aca="false">AH88-AH89+AH91</f>
        <v>2.1967386213471E-015</v>
      </c>
      <c r="AI92" s="11" t="n">
        <f aca="false">AI88-AI89+AI91</f>
        <v>2.26124040613015E-015</v>
      </c>
      <c r="AJ92" s="11" t="n">
        <f aca="false">AJ88-AJ89+AJ91</f>
        <v>2.37040780921451E-015</v>
      </c>
      <c r="AK92" s="11" t="n">
        <f aca="false">AK88-AK89+AK91</f>
        <v>2.44713371256044E-015</v>
      </c>
      <c r="AL92" s="11" t="n">
        <f aca="false">AL88-AL89+AL91</f>
        <v>2.5947907204141E-015</v>
      </c>
      <c r="AM92" s="11" t="n">
        <f aca="false">AM88-AM89+AM91</f>
        <v>2.64872335937819E-015</v>
      </c>
      <c r="AN92" s="11" t="n">
        <f aca="false">AN88-AN89+AN91</f>
        <v>2.18516532768782E-015</v>
      </c>
      <c r="AO92" s="11" t="n">
        <f aca="false">AO88-AO89+AO91</f>
        <v>2.21753705912864E-015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4.61386324612017E-014</v>
      </c>
      <c r="Q96" s="11" t="n">
        <f aca="false">Q85-Q92-Q93-Q94</f>
        <v>4.49328034017218E-014</v>
      </c>
      <c r="R96" s="11" t="n">
        <f aca="false">R85-R92-R93-R94</f>
        <v>4.36675767565107E-014</v>
      </c>
      <c r="S96" s="11" t="n">
        <f aca="false">S85-S92-S93-S94</f>
        <v>4.23650659289146E-014</v>
      </c>
      <c r="T96" s="11" t="n">
        <f aca="false">T85-T92-T93-T94</f>
        <v>4.10026400700024E-014</v>
      </c>
      <c r="U96" s="11" t="n">
        <f aca="false">U85-U92-U93-U94</f>
        <v>3.95967640520118E-014</v>
      </c>
      <c r="V96" s="11" t="n">
        <f aca="false">V85-V92-V93-V94</f>
        <v>3.80990431470493E-014</v>
      </c>
      <c r="W96" s="11" t="n">
        <f aca="false">W85-W92-W93-W94</f>
        <v>3.65555378332194E-014</v>
      </c>
      <c r="X96" s="11" t="n">
        <f aca="false">X85-X92-X93-X94</f>
        <v>3.50548767282921E-014</v>
      </c>
      <c r="Y96" s="11" t="n">
        <f aca="false">Y85-Y92-Y93-Y94</f>
        <v>3.35535094880696E-014</v>
      </c>
      <c r="Z96" s="11" t="n">
        <f aca="false">Z85-Z92-Z93-Z94</f>
        <v>3.19899436734958E-014</v>
      </c>
      <c r="AA96" s="11" t="n">
        <f aca="false">AA85-AA92-AA93-AA94</f>
        <v>3.03807490883866E-014</v>
      </c>
      <c r="AB96" s="11" t="n">
        <f aca="false">AB85-AB92-AB93-AB94</f>
        <v>2.86946763773532E-014</v>
      </c>
      <c r="AC96" s="11" t="n">
        <f aca="false">AC85-AC92-AC93-AC94</f>
        <v>2.69527466802728E-014</v>
      </c>
      <c r="AD96" s="11" t="n">
        <f aca="false">AD85-AD92-AD93-AD94</f>
        <v>2.50506865670711E-014</v>
      </c>
      <c r="AE96" s="11" t="n">
        <f aca="false">AE85-AE92-AE93-AE94</f>
        <v>2.30668748843173E-014</v>
      </c>
      <c r="AF96" s="11" t="n">
        <f aca="false">AF85-AF92-AF93-AF94</f>
        <v>2.10134675426841E-014</v>
      </c>
      <c r="AG96" s="11" t="n">
        <f aca="false">AG85-AG92-AG93-AG94</f>
        <v>1.8921737015861E-014</v>
      </c>
      <c r="AH96" s="11" t="n">
        <f aca="false">AH85-AH92-AH93-AH94</f>
        <v>1.67249983945139E-014</v>
      </c>
      <c r="AI96" s="11" t="n">
        <f aca="false">AI85-AI92-AI93-AI94</f>
        <v>1.44637579883837E-014</v>
      </c>
      <c r="AJ96" s="11" t="n">
        <f aca="false">AJ85-AJ92-AJ93-AJ94</f>
        <v>1.20933501791692E-014</v>
      </c>
      <c r="AK96" s="11" t="n">
        <f aca="false">AK85-AK92-AK93-AK94</f>
        <v>9.64621646660876E-015</v>
      </c>
      <c r="AL96" s="11" t="n">
        <f aca="false">AL85-AL92-AL93-AL94</f>
        <v>7.05142574619465E-015</v>
      </c>
      <c r="AM96" s="11" t="n">
        <f aca="false">AM85-AM92-AM93-AM94</f>
        <v>4.40270238681647E-015</v>
      </c>
      <c r="AN96" s="11" t="n">
        <f aca="false">AN85-AN92-AN93-AN94</f>
        <v>2.21753705912864E-015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4.72955008490317E-014</v>
      </c>
      <c r="P98" s="11" t="n">
        <f aca="false">IF(Time!P29=1,INDEX(Funding!$J$65:$BJ$65,1,Time!$F$13),Time!P30*(P96-P97))</f>
        <v>4.61386324612017E-014</v>
      </c>
      <c r="Q98" s="11" t="n">
        <f aca="false">IF(Time!Q29=1,INDEX(Funding!$J$65:$BJ$65,1,Time!$F$13),Time!Q30*(Q96-Q97))</f>
        <v>4.49328034017218E-014</v>
      </c>
      <c r="R98" s="11" t="n">
        <f aca="false">IF(Time!R29=1,INDEX(Funding!$J$65:$BJ$65,1,Time!$F$13),Time!R30*(R96-R97))</f>
        <v>4.36675767565107E-014</v>
      </c>
      <c r="S98" s="11" t="n">
        <f aca="false">IF(Time!S29=1,INDEX(Funding!$J$65:$BJ$65,1,Time!$F$13),Time!S30*(S96-S97))</f>
        <v>4.23650659289146E-014</v>
      </c>
      <c r="T98" s="11" t="n">
        <f aca="false">IF(Time!T29=1,INDEX(Funding!$J$65:$BJ$65,1,Time!$F$13),Time!T30*(T96-T97))</f>
        <v>4.10026400700024E-014</v>
      </c>
      <c r="U98" s="11" t="n">
        <f aca="false">IF(Time!U29=1,INDEX(Funding!$J$65:$BJ$65,1,Time!$F$13),Time!U30*(U96-U97))</f>
        <v>3.95967640520118E-014</v>
      </c>
      <c r="V98" s="11" t="n">
        <f aca="false">IF(Time!V29=1,INDEX(Funding!$J$65:$BJ$65,1,Time!$F$13),Time!V30*(V96-V97))</f>
        <v>3.80990431470493E-014</v>
      </c>
      <c r="W98" s="11" t="n">
        <f aca="false">IF(Time!W29=1,INDEX(Funding!$J$65:$BJ$65,1,Time!$F$13),Time!W30*(W96-W97))</f>
        <v>3.65555378332194E-014</v>
      </c>
      <c r="X98" s="11" t="n">
        <f aca="false">IF(Time!X29=1,INDEX(Funding!$J$65:$BJ$65,1,Time!$F$13),Time!X30*(X96-X97))</f>
        <v>3.50548767282921E-014</v>
      </c>
      <c r="Y98" s="11" t="n">
        <f aca="false">IF(Time!Y29=1,INDEX(Funding!$J$65:$BJ$65,1,Time!$F$13),Time!Y30*(Y96-Y97))</f>
        <v>3.35535094880696E-014</v>
      </c>
      <c r="Z98" s="11" t="n">
        <f aca="false">IF(Time!Z29=1,INDEX(Funding!$J$65:$BJ$65,1,Time!$F$13),Time!Z30*(Z96-Z97))</f>
        <v>3.19899436734958E-014</v>
      </c>
      <c r="AA98" s="11" t="n">
        <f aca="false">IF(Time!AA29=1,INDEX(Funding!$J$65:$BJ$65,1,Time!$F$13),Time!AA30*(AA96-AA97))</f>
        <v>3.03807490883866E-014</v>
      </c>
      <c r="AB98" s="11" t="n">
        <f aca="false">IF(Time!AB29=1,INDEX(Funding!$J$65:$BJ$65,1,Time!$F$13),Time!AB30*(AB96-AB97))</f>
        <v>2.86946763773532E-014</v>
      </c>
      <c r="AC98" s="11" t="n">
        <f aca="false">IF(Time!AC29=1,INDEX(Funding!$J$65:$BJ$65,1,Time!$F$13),Time!AC30*(AC96-AC97))</f>
        <v>2.69527466802728E-014</v>
      </c>
      <c r="AD98" s="11" t="n">
        <f aca="false">IF(Time!AD29=1,INDEX(Funding!$J$65:$BJ$65,1,Time!$F$13),Time!AD30*(AD96-AD97))</f>
        <v>2.50506865670711E-014</v>
      </c>
      <c r="AE98" s="11" t="n">
        <f aca="false">IF(Time!AE29=1,INDEX(Funding!$J$65:$BJ$65,1,Time!$F$13),Time!AE30*(AE96-AE97))</f>
        <v>2.30668748843173E-014</v>
      </c>
      <c r="AF98" s="11" t="n">
        <f aca="false">IF(Time!AF29=1,INDEX(Funding!$J$65:$BJ$65,1,Time!$F$13),Time!AF30*(AF96-AF97))</f>
        <v>2.10134675426841E-014</v>
      </c>
      <c r="AG98" s="11" t="n">
        <f aca="false">IF(Time!AG29=1,INDEX(Funding!$J$65:$BJ$65,1,Time!$F$13),Time!AG30*(AG96-AG97))</f>
        <v>1.8921737015861E-014</v>
      </c>
      <c r="AH98" s="11" t="n">
        <f aca="false">IF(Time!AH29=1,INDEX(Funding!$J$65:$BJ$65,1,Time!$F$13),Time!AH30*(AH96-AH97))</f>
        <v>1.67249983945139E-014</v>
      </c>
      <c r="AI98" s="11" t="n">
        <f aca="false">IF(Time!AI29=1,INDEX(Funding!$J$65:$BJ$65,1,Time!$F$13),Time!AI30*(AI96-AI97))</f>
        <v>1.44637579883837E-014</v>
      </c>
      <c r="AJ98" s="11" t="n">
        <f aca="false">IF(Time!AJ29=1,INDEX(Funding!$J$65:$BJ$65,1,Time!$F$13),Time!AJ30*(AJ96-AJ97))</f>
        <v>1.20933501791692E-014</v>
      </c>
      <c r="AK98" s="11" t="n">
        <f aca="false">IF(Time!AK29=1,INDEX(Funding!$J$65:$BJ$65,1,Time!$F$13),Time!AK30*(AK96-AK97))</f>
        <v>9.64621646660876E-015</v>
      </c>
      <c r="AL98" s="11" t="n">
        <f aca="false">IF(Time!AL29=1,INDEX(Funding!$J$65:$BJ$65,1,Time!$F$13),Time!AL30*(AL96-AL97))</f>
        <v>7.05142574619465E-015</v>
      </c>
      <c r="AM98" s="11" t="n">
        <f aca="false">IF(Time!AM29=1,INDEX(Funding!$J$65:$BJ$65,1,Time!$F$13),Time!AM30*(AM96-AM97))</f>
        <v>4.40270238681647E-015</v>
      </c>
      <c r="AN98" s="11" t="n">
        <f aca="false">IF(Time!AN29=1,INDEX(Funding!$J$65:$BJ$65,1,Time!$F$13),Time!AN30*(AN96-AN97))</f>
        <v>2.21753705912864E-015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IF(Time!J17&gt;15,(1+Inputs!$F$199/200)^-(Time!J17-15),0)</f>
        <v>0</v>
      </c>
      <c r="K106" s="10" t="n">
        <f aca="false">IF(Time!K17&gt;15,(1+Inputs!$F$199/200)^-(Time!K17-15),0)</f>
        <v>0</v>
      </c>
      <c r="L106" s="10" t="n">
        <f aca="false">IF(Time!L17&gt;15,(1+Inputs!$F$199/200)^-(Time!L17-15),0)</f>
        <v>0</v>
      </c>
      <c r="M106" s="10" t="n">
        <f aca="false">IF(Time!M17&gt;15,(1+Inputs!$F$199/200)^-(Time!M17-15),0)</f>
        <v>0</v>
      </c>
      <c r="N106" s="10" t="n">
        <f aca="false">IF(Time!N17&gt;15,(1+Inputs!$F$199/200)^-(Time!N17-15),0)</f>
        <v>0</v>
      </c>
      <c r="O106" s="10" t="n">
        <f aca="false">IF(Time!O17&gt;15,(1+Inputs!$F$199/200)^-(Time!O17-15),0)</f>
        <v>0</v>
      </c>
      <c r="P106" s="10" t="n">
        <f aca="false">IF(Time!P17&gt;15,(1+Inputs!$F$199/200)^-(Time!P17-15),0)</f>
        <v>0</v>
      </c>
      <c r="Q106" s="10" t="n">
        <f aca="false">IF(Time!Q17&gt;15,(1+Inputs!$F$199/200)^-(Time!Q17-15),0)</f>
        <v>0</v>
      </c>
      <c r="R106" s="10" t="n">
        <f aca="false">IF(Time!R17&gt;15,(1+Inputs!$F$199/200)^-(Time!R17-15),0)</f>
        <v>0</v>
      </c>
      <c r="S106" s="10" t="n">
        <f aca="false">IF(Time!S17&gt;15,(1+Inputs!$F$199/200)^-(Time!S17-15),0)</f>
        <v>0</v>
      </c>
      <c r="T106" s="10" t="n">
        <f aca="false">IF(Time!T17&gt;15,(1+Inputs!$F$199/200)^-(Time!T17-15),0)</f>
        <v>0</v>
      </c>
      <c r="U106" s="10" t="n">
        <f aca="false">IF(Time!U17&gt;15,(1+Inputs!$F$199/200)^-(Time!U17-15),0)</f>
        <v>0</v>
      </c>
      <c r="V106" s="10" t="n">
        <f aca="false">IF(Time!V17&gt;15,(1+Inputs!$F$199/200)^-(Time!V17-15),0)</f>
        <v>0</v>
      </c>
      <c r="W106" s="10" t="n">
        <f aca="false">IF(Time!W17&gt;15,(1+Inputs!$F$199/200)^-(Time!W17-15),0)</f>
        <v>0</v>
      </c>
      <c r="X106" s="10" t="n">
        <f aca="false">IF(Time!X17&gt;15,(1+Inputs!$F$199/200)^-(Time!X17-15),0)</f>
        <v>0</v>
      </c>
      <c r="Y106" s="10" t="n">
        <f aca="false">IF(Time!Y17&gt;15,(1+Inputs!$F$199/200)^-(Time!Y17-15),0)</f>
        <v>0.981932443047918</v>
      </c>
      <c r="Z106" s="10" t="n">
        <f aca="false">IF(Time!Z17&gt;15,(1+Inputs!$F$199/200)^-(Time!Z17-15),0)</f>
        <v>0.964191322710053</v>
      </c>
      <c r="AA106" s="10" t="n">
        <f aca="false">IF(Time!AA17&gt;15,(1+Inputs!$F$199/200)^-(Time!AA17-15),0)</f>
        <v>0.946770741074287</v>
      </c>
      <c r="AB106" s="10" t="n">
        <f aca="false">IF(Time!AB17&gt;15,(1+Inputs!$F$199/200)^-(Time!AB17-15),0)</f>
        <v>0.929664906789362</v>
      </c>
      <c r="AC106" s="10" t="n">
        <f aca="false">IF(Time!AC17&gt;15,(1+Inputs!$F$199/200)^-(Time!AC17-15),0)</f>
        <v>0.912868133139594</v>
      </c>
      <c r="AD106" s="10" t="n">
        <f aca="false">IF(Time!AD17&gt;15,(1+Inputs!$F$199/200)^-(Time!AD17-15),0)</f>
        <v>0.896374836154354</v>
      </c>
      <c r="AE106" s="10" t="n">
        <f aca="false">IF(Time!AE17&gt;15,(1+Inputs!$F$199/200)^-(Time!AE17-15),0)</f>
        <v>0.880179532751722</v>
      </c>
      <c r="AF106" s="10" t="n">
        <f aca="false">IF(Time!AF17&gt;15,(1+Inputs!$F$199/200)^-(Time!AF17-15),0)</f>
        <v>0.864276838915674</v>
      </c>
      <c r="AG106" s="10" t="n">
        <f aca="false">IF(Time!AG17&gt;15,(1+Inputs!$F$199/200)^-(Time!AG17-15),0)</f>
        <v>0.8486614679062</v>
      </c>
      <c r="AH106" s="10" t="n">
        <f aca="false">IF(Time!AH17&gt;15,(1+Inputs!$F$199/200)^-(Time!AH17-15),0)</f>
        <v>0.833328228501767</v>
      </c>
      <c r="AI106" s="10" t="n">
        <f aca="false">IF(Time!AI17&gt;15,(1+Inputs!$F$199/200)^-(Time!AI17-15),0)</f>
        <v>0.818272023273534</v>
      </c>
      <c r="AJ106" s="10" t="n">
        <f aca="false">IF(Time!AJ17&gt;15,(1+Inputs!$F$199/200)^-(Time!AJ17-15),0)</f>
        <v>0.803487846890745</v>
      </c>
      <c r="AK106" s="10" t="n">
        <f aca="false">IF(Time!AK17&gt;15,(1+Inputs!$F$199/200)^-(Time!AK17-15),0)</f>
        <v>0.78897078445674</v>
      </c>
      <c r="AL106" s="10" t="n">
        <f aca="false">IF(Time!AL17&gt;15,(1+Inputs!$F$199/200)^-(Time!AL17-15),0)</f>
        <v>0.77471600987504</v>
      </c>
      <c r="AM106" s="10" t="n">
        <f aca="false">IF(Time!AM17&gt;15,(1+Inputs!$F$199/200)^-(Time!AM17-15),0)</f>
        <v>0.760718784244933</v>
      </c>
      <c r="AN106" s="10" t="n">
        <f aca="false">IF(Time!AN17&gt;15,(1+Inputs!$F$199/200)^-(Time!AN17-15),0)</f>
        <v>0.746974454286069</v>
      </c>
      <c r="AO106" s="10" t="n">
        <f aca="false">IF(Time!AO17&gt;15,(1+Inputs!$F$199/200)^-(Time!AO17-15),0)</f>
        <v>0.733478450791506</v>
      </c>
      <c r="AP106" s="10" t="n">
        <f aca="false">IF(Time!AP17&gt;15,(1+Inputs!$F$199/200)^-(Time!AP17-15),0)</f>
        <v>0.720226287108706</v>
      </c>
      <c r="AQ106" s="10" t="n">
        <f aca="false">IF(Time!AQ17&gt;15,(1+Inputs!$F$199/200)^-(Time!AQ17-15),0)</f>
        <v>0.707213557647983</v>
      </c>
      <c r="AR106" s="10" t="n">
        <f aca="false">IF(Time!AR17&gt;15,(1+Inputs!$F$199/200)^-(Time!AR17-15),0)</f>
        <v>0.694435936417893</v>
      </c>
      <c r="AS106" s="10" t="n">
        <f aca="false">IF(Time!AS17&gt;15,(1+Inputs!$F$199/200)^-(Time!AS17-15),0)</f>
        <v>0.681889175587091</v>
      </c>
      <c r="AT106" s="10" t="n">
        <f aca="false">IF(Time!AT17&gt;15,(1+Inputs!$F$199/200)^-(Time!AT17-15),0)</f>
        <v>0.669569104072163</v>
      </c>
      <c r="AU106" s="10" t="n">
        <f aca="false">IF(Time!AU17&gt;15,(1+Inputs!$F$199/200)^-(Time!AU17-15),0)</f>
        <v>0.657471626150985</v>
      </c>
      <c r="AV106" s="10" t="n">
        <f aca="false">IF(Time!AV17&gt;15,(1+Inputs!$F$199/200)^-(Time!AV17-15),0)</f>
        <v>0.645592720101125</v>
      </c>
      <c r="AW106" s="10" t="n">
        <f aca="false">IF(Time!AW17&gt;15,(1+Inputs!$F$199/200)^-(Time!AW17-15),0)</f>
        <v>0.633928436862848</v>
      </c>
      <c r="AX106" s="10" t="n">
        <f aca="false">IF(Time!AX17&gt;15,(1+Inputs!$F$199/200)^-(Time!AX17-15),0)</f>
        <v>0.622474898726284</v>
      </c>
      <c r="AY106" s="10" t="n">
        <f aca="false">IF(Time!AY17&gt;15,(1+Inputs!$F$199/200)^-(Time!AY17-15),0)</f>
        <v>0.611228298042306</v>
      </c>
      <c r="AZ106" s="10" t="n">
        <f aca="false">IF(Time!AZ17&gt;15,(1+Inputs!$F$199/200)^-(Time!AZ17-15),0)</f>
        <v>0.600184895956703</v>
      </c>
      <c r="BA106" s="10" t="n">
        <f aca="false">IF(Time!BA17&gt;15,(1+Inputs!$F$199/200)^-(Time!BA17-15),0)</f>
        <v>0.589341021167226</v>
      </c>
      <c r="BB106" s="10" t="n">
        <f aca="false">IF(Time!BB17&gt;15,(1+Inputs!$F$199/200)^-(Time!BB17-15),0)</f>
        <v>0.578693068703089</v>
      </c>
      <c r="BC106" s="10" t="n">
        <f aca="false">IF(Time!BC17&gt;15,(1+Inputs!$F$199/200)^-(Time!BC17-15),0)</f>
        <v>0.568237498726521</v>
      </c>
      <c r="BD106" s="10" t="n">
        <f aca="false">IF(Time!BD17&gt;15,(1+Inputs!$F$199/200)^-(Time!BD17-15),0)</f>
        <v>0.557970835355971</v>
      </c>
      <c r="BE106" s="10" t="n">
        <f aca="false">IF(Time!BE17&gt;15,(1+Inputs!$F$199/200)^-(Time!BE17-15),0)</f>
        <v>0.547889665510577</v>
      </c>
      <c r="BF106" s="10" t="n">
        <f aca="false">IF(Time!BF17&gt;15,(1+Inputs!$F$199/200)^-(Time!BF17-15),0)</f>
        <v>0.537990637775507</v>
      </c>
      <c r="BG106" s="10" t="n">
        <f aca="false">IF(Time!BG17&gt;15,(1+Inputs!$F$199/200)^-(Time!BG17-15),0)</f>
        <v>0.528270461287812</v>
      </c>
      <c r="BH106" s="10" t="n">
        <f aca="false">IF(Time!BH17&gt;15,(1+Inputs!$F$199/200)^-(Time!BH17-15),0)</f>
        <v>0.518725904642391</v>
      </c>
      <c r="BI106" s="10" t="n">
        <f aca="false">IF(Time!BI17&gt;15,(1+Inputs!$F$199/200)^-(Time!BI17-15),0)</f>
        <v>0.509353794817745</v>
      </c>
      <c r="BJ106" s="10" t="n">
        <f aca="false">IF(Time!BJ17&gt;15,(1+Inputs!$F$199/200)^-(Time!BJ17-15),0)</f>
        <v>0.500151016121117</v>
      </c>
      <c r="BK106" s="10" t="n">
        <f aca="false">IF(Time!BK17&gt;15,(1+Inputs!$F$199/200)^-(Time!BK17-15),0)</f>
        <v>0.491114509152707</v>
      </c>
      <c r="BL106" s="10" t="n">
        <f aca="false">IF(Time!BL17&gt;15,(1+Inputs!$F$199/200)^-(Time!BL17-15),0)</f>
        <v>0.482241269788597</v>
      </c>
      <c r="BM106" s="10" t="n">
        <f aca="false">IF(Time!BM17&gt;15,(1+Inputs!$F$199/200)^-(Time!BM17-15),0)</f>
        <v>0.473528348182047</v>
      </c>
      <c r="BN106" s="10" t="n">
        <f aca="false">IF(Time!BN17&gt;15,(1+Inputs!$F$199/200)^-(Time!BN17-15),0)</f>
        <v>0.464972847782843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IF(AND(Inputs!$F$49=1,Time!J17&gt;15),Inputs!$F$201,1)</f>
        <v>1</v>
      </c>
      <c r="K113" s="11" t="n">
        <f aca="false">IF(AND(Inputs!$F$49=1,Time!K17&gt;15),Inputs!$F$201,1)</f>
        <v>1</v>
      </c>
      <c r="L113" s="11" t="n">
        <f aca="false">IF(AND(Inputs!$F$49=1,Time!L17&gt;15),Inputs!$F$201,1)</f>
        <v>1</v>
      </c>
      <c r="M113" s="11" t="n">
        <f aca="false">IF(AND(Inputs!$F$49=1,Time!M17&gt;15),Inputs!$F$201,1)</f>
        <v>1</v>
      </c>
      <c r="N113" s="11" t="n">
        <f aca="false">IF(AND(Inputs!$F$49=1,Time!N17&gt;15),Inputs!$F$201,1)</f>
        <v>1</v>
      </c>
      <c r="O113" s="11" t="n">
        <f aca="false">IF(AND(Inputs!$F$49=1,Time!O17&gt;15),Inputs!$F$201,1)</f>
        <v>1</v>
      </c>
      <c r="P113" s="11" t="n">
        <f aca="false">IF(AND(Inputs!$F$49=1,Time!P17&gt;15),Inputs!$F$201,1)</f>
        <v>1</v>
      </c>
      <c r="Q113" s="11" t="n">
        <f aca="false">IF(AND(Inputs!$F$49=1,Time!Q17&gt;15),Inputs!$F$201,1)</f>
        <v>1</v>
      </c>
      <c r="R113" s="11" t="n">
        <f aca="false">IF(AND(Inputs!$F$49=1,Time!R17&gt;15),Inputs!$F$201,1)</f>
        <v>1</v>
      </c>
      <c r="S113" s="11" t="n">
        <f aca="false">IF(AND(Inputs!$F$49=1,Time!S17&gt;15),Inputs!$F$201,1)</f>
        <v>1</v>
      </c>
      <c r="T113" s="11" t="n">
        <f aca="false">IF(AND(Inputs!$F$49=1,Time!T17&gt;15),Inputs!$F$201,1)</f>
        <v>1</v>
      </c>
      <c r="U113" s="11" t="n">
        <f aca="false">IF(AND(Inputs!$F$49=1,Time!U17&gt;15),Inputs!$F$201,1)</f>
        <v>1</v>
      </c>
      <c r="V113" s="11" t="n">
        <f aca="false">IF(AND(Inputs!$F$49=1,Time!V17&gt;15),Inputs!$F$201,1)</f>
        <v>1</v>
      </c>
      <c r="W113" s="11" t="n">
        <f aca="false">IF(AND(Inputs!$F$49=1,Time!W17&gt;15),Inputs!$F$201,1)</f>
        <v>1</v>
      </c>
      <c r="X113" s="11" t="n">
        <f aca="false">IF(AND(Inputs!$F$49=1,Time!X17&gt;15),Inputs!$F$201,1)</f>
        <v>1</v>
      </c>
      <c r="Y113" s="11" t="n">
        <f aca="false">IF(AND(Inputs!$F$49=1,Time!Y17&gt;15),Inputs!$F$201,1)</f>
        <v>1</v>
      </c>
      <c r="Z113" s="11" t="n">
        <f aca="false">IF(AND(Inputs!$F$49=1,Time!Z17&gt;15),Inputs!$F$201,1)</f>
        <v>1</v>
      </c>
      <c r="AA113" s="11" t="n">
        <f aca="false">IF(AND(Inputs!$F$49=1,Time!AA17&gt;15),Inputs!$F$201,1)</f>
        <v>1</v>
      </c>
      <c r="AB113" s="11" t="n">
        <f aca="false">IF(AND(Inputs!$F$49=1,Time!AB17&gt;15),Inputs!$F$201,1)</f>
        <v>1</v>
      </c>
      <c r="AC113" s="11" t="n">
        <f aca="false">IF(AND(Inputs!$F$49=1,Time!AC17&gt;15),Inputs!$F$201,1)</f>
        <v>1</v>
      </c>
      <c r="AD113" s="11" t="n">
        <f aca="false">IF(AND(Inputs!$F$49=1,Time!AD17&gt;15),Inputs!$F$201,1)</f>
        <v>1</v>
      </c>
      <c r="AE113" s="11" t="n">
        <f aca="false">IF(AND(Inputs!$F$49=1,Time!AE17&gt;15),Inputs!$F$201,1)</f>
        <v>1</v>
      </c>
      <c r="AF113" s="11" t="n">
        <f aca="false">IF(AND(Inputs!$F$49=1,Time!AF17&gt;15),Inputs!$F$201,1)</f>
        <v>1</v>
      </c>
      <c r="AG113" s="11" t="n">
        <f aca="false">IF(AND(Inputs!$F$49=1,Time!AG17&gt;15),Inputs!$F$201,1)</f>
        <v>1</v>
      </c>
      <c r="AH113" s="11" t="n">
        <f aca="false">IF(AND(Inputs!$F$49=1,Time!AH17&gt;15),Inputs!$F$201,1)</f>
        <v>1</v>
      </c>
      <c r="AI113" s="11" t="n">
        <f aca="false">IF(AND(Inputs!$F$49=1,Time!AI17&gt;15),Inputs!$F$201,1)</f>
        <v>1</v>
      </c>
      <c r="AJ113" s="11" t="n">
        <f aca="false">IF(AND(Inputs!$F$49=1,Time!AJ17&gt;15),Inputs!$F$201,1)</f>
        <v>1</v>
      </c>
      <c r="AK113" s="11" t="n">
        <f aca="false">IF(AND(Inputs!$F$49=1,Time!AK17&gt;15),Inputs!$F$201,1)</f>
        <v>1</v>
      </c>
      <c r="AL113" s="11" t="n">
        <f aca="false">IF(AND(Inputs!$F$49=1,Time!AL17&gt;15),Inputs!$F$201,1)</f>
        <v>1</v>
      </c>
      <c r="AM113" s="11" t="n">
        <f aca="false">IF(AND(Inputs!$F$49=1,Time!AM17&gt;15),Inputs!$F$201,1)</f>
        <v>1</v>
      </c>
      <c r="AN113" s="11" t="n">
        <f aca="false">IF(AND(Inputs!$F$49=1,Time!AN17&gt;15),Inputs!$F$201,1)</f>
        <v>1</v>
      </c>
      <c r="AO113" s="11" t="n">
        <f aca="false">IF(AND(Inputs!$F$49=1,Time!AO17&gt;15),Inputs!$F$201,1)</f>
        <v>1</v>
      </c>
      <c r="AP113" s="11" t="n">
        <f aca="false">IF(AND(Inputs!$F$49=1,Time!AP17&gt;15),Inputs!$F$201,1)</f>
        <v>1</v>
      </c>
      <c r="AQ113" s="11" t="n">
        <f aca="false">IF(AND(Inputs!$F$49=1,Time!AQ17&gt;15),Inputs!$F$201,1)</f>
        <v>1</v>
      </c>
      <c r="AR113" s="11" t="n">
        <f aca="false">IF(AND(Inputs!$F$49=1,Time!AR17&gt;15),Inputs!$F$201,1)</f>
        <v>1</v>
      </c>
      <c r="AS113" s="11" t="n">
        <f aca="false">IF(AND(Inputs!$F$49=1,Time!AS17&gt;15),Inputs!$F$201,1)</f>
        <v>1</v>
      </c>
      <c r="AT113" s="11" t="n">
        <f aca="false">IF(AND(Inputs!$F$49=1,Time!AT17&gt;15),Inputs!$F$201,1)</f>
        <v>1</v>
      </c>
      <c r="AU113" s="11" t="n">
        <f aca="false">IF(AND(Inputs!$F$49=1,Time!AU17&gt;15),Inputs!$F$201,1)</f>
        <v>1</v>
      </c>
      <c r="AV113" s="11" t="n">
        <f aca="false">IF(AND(Inputs!$F$49=1,Time!AV17&gt;15),Inputs!$F$201,1)</f>
        <v>1</v>
      </c>
      <c r="AW113" s="11" t="n">
        <f aca="false">IF(AND(Inputs!$F$49=1,Time!AW17&gt;15),Inputs!$F$201,1)</f>
        <v>1</v>
      </c>
      <c r="AX113" s="11" t="n">
        <f aca="false">IF(AND(Inputs!$F$49=1,Time!AX17&gt;15),Inputs!$F$201,1)</f>
        <v>1</v>
      </c>
      <c r="AY113" s="11" t="n">
        <f aca="false">IF(AND(Inputs!$F$49=1,Time!AY17&gt;15),Inputs!$F$201,1)</f>
        <v>1</v>
      </c>
      <c r="AZ113" s="11" t="n">
        <f aca="false">IF(AND(Inputs!$F$49=1,Time!AZ17&gt;15),Inputs!$F$201,1)</f>
        <v>1</v>
      </c>
      <c r="BA113" s="11" t="n">
        <f aca="false">IF(AND(Inputs!$F$49=1,Time!BA17&gt;15),Inputs!$F$201,1)</f>
        <v>1</v>
      </c>
      <c r="BB113" s="11" t="n">
        <f aca="false">IF(AND(Inputs!$F$49=1,Time!BB17&gt;15),Inputs!$F$201,1)</f>
        <v>1</v>
      </c>
      <c r="BC113" s="11" t="n">
        <f aca="false">IF(AND(Inputs!$F$49=1,Time!BC17&gt;15),Inputs!$F$201,1)</f>
        <v>1</v>
      </c>
      <c r="BD113" s="11" t="n">
        <f aca="false">IF(AND(Inputs!$F$49=1,Time!BD17&gt;15),Inputs!$F$201,1)</f>
        <v>1</v>
      </c>
      <c r="BE113" s="11" t="n">
        <f aca="false">IF(AND(Inputs!$F$49=1,Time!BE17&gt;15),Inputs!$F$201,1)</f>
        <v>1</v>
      </c>
      <c r="BF113" s="11" t="n">
        <f aca="false">IF(AND(Inputs!$F$49=1,Time!BF17&gt;15),Inputs!$F$201,1)</f>
        <v>1</v>
      </c>
      <c r="BG113" s="11" t="n">
        <f aca="false">IF(AND(Inputs!$F$49=1,Time!BG17&gt;15),Inputs!$F$201,1)</f>
        <v>1</v>
      </c>
      <c r="BH113" s="11" t="n">
        <f aca="false">IF(AND(Inputs!$F$49=1,Time!BH17&gt;15),Inputs!$F$201,1)</f>
        <v>1</v>
      </c>
      <c r="BI113" s="11" t="n">
        <f aca="false">IF(AND(Inputs!$F$49=1,Time!BI17&gt;15),Inputs!$F$201,1)</f>
        <v>1</v>
      </c>
      <c r="BJ113" s="11" t="n">
        <f aca="false">IF(AND(Inputs!$F$49=1,Time!BJ17&gt;15),Inputs!$F$201,1)</f>
        <v>1</v>
      </c>
      <c r="BK113" s="11" t="n">
        <f aca="false">IF(AND(Inputs!$F$49=1,Time!BK17&gt;15),Inputs!$F$201,1)</f>
        <v>1</v>
      </c>
      <c r="BL113" s="11" t="n">
        <f aca="false">IF(AND(Inputs!$F$49=1,Time!BL17&gt;15),Inputs!$F$201,1)</f>
        <v>1</v>
      </c>
      <c r="BM113" s="11" t="n">
        <f aca="false">IF(AND(Inputs!$F$49=1,Time!BM17&gt;15),Inputs!$F$201,1)</f>
        <v>1</v>
      </c>
      <c r="BN113" s="11" t="n">
        <f aca="false">IF(AND(Inputs!$F$49=1,Time!BN17&gt;15),Inputs!$F$201,1)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-8.33420360298509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-0.536156725561862</v>
      </c>
      <c r="Q114" s="11" t="n">
        <f aca="false">Time!Q30*Inputs!Q222*Q113*(Inputs!$F$95/100*0.5-Operations!Q9/100*Time!Q20/360)</f>
        <v>-0.445478114360217</v>
      </c>
      <c r="R114" s="11" t="n">
        <f aca="false">Time!R30*Inputs!R222*R113*(Inputs!$F$95/100*0.5-Operations!R9/100*Time!R20/360)</f>
        <v>-0.558571669509065</v>
      </c>
      <c r="S114" s="11" t="n">
        <f aca="false">Time!S30*Inputs!S222*S113*(Inputs!$F$95/100*0.5-Operations!S9/100*Time!S20/360)</f>
        <v>-0.445136702711515</v>
      </c>
      <c r="T114" s="11" t="n">
        <f aca="false">Time!T30*Inputs!T222*T113*(Inputs!$F$95/100*0.5-Operations!T9/100*Time!T20/360)</f>
        <v>-0.549845280112812</v>
      </c>
      <c r="U114" s="11" t="n">
        <f aca="false">Time!U30*Inputs!U222*U113*(Inputs!$F$95/100*0.5-Operations!U9/100*Time!U20/360)</f>
        <v>-0.456034890910268</v>
      </c>
      <c r="V114" s="11" t="n">
        <f aca="false">Time!V30*Inputs!V222*V113*(Inputs!$F$95/100*0.5-Operations!V9/100*Time!V20/360)</f>
        <v>-0.513916202993083</v>
      </c>
      <c r="W114" s="11" t="n">
        <f aca="false">Time!W30*Inputs!W222*W113*(Inputs!$F$95/100*0.5-Operations!W9/100*Time!W20/360)</f>
        <v>-0.388372419598774</v>
      </c>
      <c r="X114" s="11" t="n">
        <f aca="false">Time!X30*Inputs!X222*X113*(Inputs!$F$95/100*0.5-Operations!X9/100*Time!X20/360)</f>
        <v>-0.474444911128126</v>
      </c>
      <c r="Y114" s="11" t="n">
        <f aca="false">Time!Y30*Inputs!Y222*Y113*(Inputs!$F$95/100*0.5-Operations!Y9/100*Time!Y20/360)</f>
        <v>-0.357340924315523</v>
      </c>
      <c r="Z114" s="11" t="n">
        <f aca="false">Time!Z30*Inputs!Z222*Z113*(Inputs!$F$95/100*0.5-Operations!Z9/100*Time!Z20/360)</f>
        <v>-0.435482358370267</v>
      </c>
      <c r="AA114" s="11" t="n">
        <f aca="false">Time!AA30*Inputs!AA222*AA113*(Inputs!$F$95/100*0.5-Operations!AA9/100*Time!AA20/360)</f>
        <v>-0.326097738973434</v>
      </c>
      <c r="AB114" s="11" t="n">
        <f aca="false">Time!AB30*Inputs!AB222*AB113*(Inputs!$F$95/100*0.5-Operations!AB9/100*Time!AB20/360)</f>
        <v>-0.394303918246469</v>
      </c>
      <c r="AC114" s="11" t="n">
        <f aca="false">Time!AC30*Inputs!AC222*AC113*(Inputs!$F$95/100*0.5-Operations!AC9/100*Time!AC20/360)</f>
        <v>-0.31914465968803</v>
      </c>
      <c r="AD114" s="11" t="n">
        <f aca="false">Time!AD30*Inputs!AD222*AD113*(Inputs!$F$95/100*0.5-Operations!AD9/100*Time!AD20/360)</f>
        <v>-0.349812757829549</v>
      </c>
      <c r="AE114" s="11" t="n">
        <f aca="false">Time!AE30*Inputs!AE222*AE113*(Inputs!$F$95/100*0.5-Operations!AE9/100*Time!AE20/360)</f>
        <v>-0.255360632473454</v>
      </c>
      <c r="AF114" s="11" t="n">
        <f aca="false">Time!AF30*Inputs!AF222*AF113*(Inputs!$F$95/100*0.5-Operations!AF9/100*Time!AF20/360)</f>
        <v>-0.299379028546211</v>
      </c>
      <c r="AG114" s="11" t="n">
        <f aca="false">Time!AG30*Inputs!AG222*AG113*(Inputs!$F$95/100*0.5-Operations!AG9/100*Time!AG20/360)</f>
        <v>-0.21420619941067</v>
      </c>
      <c r="AH114" s="11" t="n">
        <f aca="false">Time!AH30*Inputs!AH222*AH113*(Inputs!$F$95/100*0.5-Operations!AH9/100*Time!AH20/360)</f>
        <v>-0.245580351678532</v>
      </c>
      <c r="AI114" s="11" t="n">
        <f aca="false">Time!AI30*Inputs!AI222*AI113*(Inputs!$F$95/100*0.5-Operations!AI9/100*Time!AI20/360)</f>
        <v>-0.170490583429942</v>
      </c>
      <c r="AJ114" s="11" t="n">
        <f aca="false">Time!AJ30*Inputs!AJ222*AJ113*(Inputs!$F$95/100*0.5-Operations!AJ9/100*Time!AJ20/360)</f>
        <v>-0.187721389976143</v>
      </c>
      <c r="AK114" s="11" t="n">
        <f aca="false">Time!AK30*Inputs!AK222*AK113*(Inputs!$F$95/100*0.5-Operations!AK9/100*Time!AK20/360)</f>
        <v>-0.134503281259001</v>
      </c>
      <c r="AL114" s="11" t="n">
        <f aca="false">Time!AL30*Inputs!AL222*AL113*(Inputs!$F$95/100*0.5-Operations!AL9/100*Time!AL20/360)</f>
        <v>-0.125195759260965</v>
      </c>
      <c r="AM114" s="11" t="n">
        <f aca="false">Time!AM30*Inputs!AM222*AM113*(Inputs!$F$95/100*0.5-Operations!AM9/100*Time!AM20/360)</f>
        <v>-0.071880526450513</v>
      </c>
      <c r="AN114" s="11" t="n">
        <f aca="false">Time!AN30*Inputs!AN222*AN113*(Inputs!$F$95/100*0.5-Operations!AN9/100*Time!AN20/360)</f>
        <v>-0.0571415404190419</v>
      </c>
      <c r="AO114" s="11" t="n">
        <f aca="false">Time!AO30*Inputs!AO222*AO113*(Inputs!$F$95/100*0.5-Operations!AO9/100*Time!AO20/360)</f>
        <v>-0.0226050357716252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18.850844484285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1.3749691676663</v>
      </c>
      <c r="Q115" s="11" t="n">
        <f aca="false">(Inputs!$F$93/100*Inputs!$F$94/100)*Q70*Time!Q20/365</f>
        <v>1.31946720549087</v>
      </c>
      <c r="R115" s="11" t="n">
        <f aca="false">(Inputs!$F$93/100*Inputs!$F$94/100)*R70*Time!R20/365</f>
        <v>1.3062811088815</v>
      </c>
      <c r="S115" s="11" t="n">
        <f aca="false">(Inputs!$F$93/100*Inputs!$F$94/100)*S70*Time!S20/365</f>
        <v>1.24880024395874</v>
      </c>
      <c r="T115" s="11" t="n">
        <f aca="false">(Inputs!$F$93/100*Inputs!$F$94/100)*T70*Time!T20/365</f>
        <v>1.23163215089623</v>
      </c>
      <c r="U115" s="11" t="n">
        <f aca="false">(Inputs!$F$93/100*Inputs!$F$94/100)*U70*Time!U20/365</f>
        <v>1.17906708741402</v>
      </c>
      <c r="V115" s="11" t="n">
        <f aca="false">(Inputs!$F$93/100*Inputs!$F$94/100)*V70*Time!V20/365</f>
        <v>1.15115240844285</v>
      </c>
      <c r="W115" s="11" t="n">
        <f aca="false">(Inputs!$F$93/100*Inputs!$F$94/100)*W70*Time!W20/365</f>
        <v>1.08955197220867</v>
      </c>
      <c r="X115" s="11" t="n">
        <f aca="false">(Inputs!$F$93/100*Inputs!$F$94/100)*X70*Time!X20/365</f>
        <v>1.06273824202804</v>
      </c>
      <c r="Y115" s="11" t="n">
        <f aca="false">(Inputs!$F$93/100*Inputs!$F$94/100)*Y70*Time!Y20/365</f>
        <v>1.00249525762173</v>
      </c>
      <c r="Z115" s="11" t="n">
        <f aca="false">(Inputs!$F$93/100*Inputs!$F$94/100)*Z70*Time!Z20/365</f>
        <v>0.975463631527202</v>
      </c>
      <c r="AA115" s="11" t="n">
        <f aca="false">(Inputs!$F$93/100*Inputs!$F$94/100)*AA70*Time!AA20/365</f>
        <v>0.914844661210371</v>
      </c>
      <c r="AB115" s="11" t="n">
        <f aca="false">(Inputs!$F$93/100*Inputs!$F$94/100)*AB70*Time!AB20/365</f>
        <v>0.86023483526228</v>
      </c>
      <c r="AC115" s="11" t="n">
        <f aca="false">(Inputs!$F$93/100*Inputs!$F$94/100)*AC70*Time!AC20/365</f>
        <v>0.776612283353219</v>
      </c>
      <c r="AD115" s="11" t="n">
        <f aca="false">(Inputs!$F$93/100*Inputs!$F$94/100)*AD70*Time!AD20/365</f>
        <v>0.712861123973446</v>
      </c>
      <c r="AE115" s="11" t="n">
        <f aca="false">(Inputs!$F$93/100*Inputs!$F$94/100)*AE70*Time!AE20/365</f>
        <v>0.621389288911105</v>
      </c>
      <c r="AF115" s="11" t="n">
        <f aca="false">(Inputs!$F$93/100*Inputs!$F$94/100)*AF70*Time!AF20/365</f>
        <v>0.548485876534499</v>
      </c>
      <c r="AG115" s="11" t="n">
        <f aca="false">(Inputs!$F$93/100*Inputs!$F$94/100)*AG70*Time!AG20/365</f>
        <v>0.45515946017591</v>
      </c>
      <c r="AH115" s="11" t="n">
        <f aca="false">(Inputs!$F$93/100*Inputs!$F$94/100)*AH70*Time!AH20/365</f>
        <v>0.37874666788755</v>
      </c>
      <c r="AI115" s="11" t="n">
        <f aca="false">(Inputs!$F$93/100*Inputs!$F$94/100)*AI70*Time!AI20/365</f>
        <v>0.286210337078412</v>
      </c>
      <c r="AJ115" s="11" t="n">
        <f aca="false">(Inputs!$F$93/100*Inputs!$F$94/100)*AJ70*Time!AJ20/365</f>
        <v>0.205121855422252</v>
      </c>
      <c r="AK115" s="11" t="n">
        <f aca="false">(Inputs!$F$93/100*Inputs!$F$94/100)*AK70*Time!AK20/365</f>
        <v>0.116092280763877</v>
      </c>
      <c r="AL115" s="11" t="n">
        <f aca="false">(Inputs!$F$93/100*Inputs!$F$94/100)*AL70*Time!AL20/365</f>
        <v>0.0334673375759576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339.840322934973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23.0379866391369</v>
      </c>
      <c r="Q118" s="11" t="n">
        <f aca="false">Q27+Q42+Q57+Q72+Q87+Q101</f>
        <v>22.1789374818791</v>
      </c>
      <c r="R118" s="11" t="n">
        <f aca="false">R27+R42+R57+R72+R87+R101</f>
        <v>21.9572922518102</v>
      </c>
      <c r="S118" s="11" t="n">
        <f aca="false">S27+S42+S57+S72+S87+S101</f>
        <v>21.0246479182541</v>
      </c>
      <c r="T118" s="11" t="n">
        <f aca="false">T27+T42+T57+T72+T87+T101</f>
        <v>20.7356080066965</v>
      </c>
      <c r="U118" s="11" t="n">
        <f aca="false">U27+U42+U57+U72+U87+U101</f>
        <v>19.8506290375934</v>
      </c>
      <c r="V118" s="11" t="n">
        <f aca="false">V27+V42+V57+V72+V87+V101</f>
        <v>19.3806609222289</v>
      </c>
      <c r="W118" s="11" t="n">
        <f aca="false">W27+W42+W57+W72+W87+W101</f>
        <v>18.3435635243866</v>
      </c>
      <c r="X118" s="11" t="n">
        <f aca="false">X27+X42+X57+X72+X87+X101</f>
        <v>17.8921308479838</v>
      </c>
      <c r="Y118" s="11" t="n">
        <f aca="false">Y27+Y42+Y57+Y72+Y87+Y101</f>
        <v>17.4234690942201</v>
      </c>
      <c r="Z118" s="11" t="n">
        <f aca="false">Z27+Z42+Z57+Z72+Z87+Z101</f>
        <v>16.9536566953646</v>
      </c>
      <c r="AA118" s="11" t="n">
        <f aca="false">AA27+AA42+AA57+AA72+AA87+AA101</f>
        <v>15.9000928527342</v>
      </c>
      <c r="AB118" s="11" t="n">
        <f aca="false">AB27+AB42+AB57+AB72+AB87+AB101</f>
        <v>15.1573624964788</v>
      </c>
      <c r="AC118" s="11" t="n">
        <f aca="false">AC27+AC42+AC57+AC72+AC87+AC101</f>
        <v>13.9332539134363</v>
      </c>
      <c r="AD118" s="11" t="n">
        <f aca="false">AD27+AD42+AD57+AD72+AD87+AD101</f>
        <v>13.0243457789317</v>
      </c>
      <c r="AE118" s="11" t="n">
        <f aca="false">AE27+AE42+AE57+AE72+AE87+AE101</f>
        <v>11.6527165848531</v>
      </c>
      <c r="AF118" s="11" t="n">
        <f aca="false">AF27+AF42+AF57+AF72+AF87+AF101</f>
        <v>10.6289705247757</v>
      </c>
      <c r="AG118" s="11" t="n">
        <f aca="false">AG27+AG42+AG57+AG72+AG87+AG101</f>
        <v>9.46714586777953</v>
      </c>
      <c r="AH118" s="11" t="n">
        <f aca="false">AH27+AH42+AH57+AH72+AH87+AH101</f>
        <v>8.32698086761119</v>
      </c>
      <c r="AI118" s="11" t="n">
        <f aca="false">AI27+AI42+AI57+AI72+AI87+AI101</f>
        <v>6.85456690440324</v>
      </c>
      <c r="AJ118" s="11" t="n">
        <f aca="false">AJ27+AJ42+AJ57+AJ72+AJ87+AJ101</f>
        <v>5.61008016009251</v>
      </c>
      <c r="AK118" s="11" t="n">
        <f aca="false">AK27+AK42+AK57+AK72+AK87+AK101</f>
        <v>4.16057788822016</v>
      </c>
      <c r="AL118" s="11" t="n">
        <f aca="false">AL27+AL42+AL57+AL72+AL87+AL101</f>
        <v>2.81696676377325</v>
      </c>
      <c r="AM118" s="11" t="n">
        <f aca="false">AM27+AM42+AM57+AM72+AM87+AM101</f>
        <v>1.81032225762872</v>
      </c>
      <c r="AN118" s="11" t="n">
        <f aca="false">AN27+AN42+AN57+AN72+AN87+AN101</f>
        <v>1.14904630693183</v>
      </c>
      <c r="AO118" s="11" t="n">
        <f aca="false">AO27+AO42+AO57+AO72+AO87+AO101</f>
        <v>0.569311347768719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350.356963816273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23.8767990812414</v>
      </c>
      <c r="Q119" s="11" t="n">
        <f aca="false">Q118+Q114+Q115+Q116</f>
        <v>23.0529265730097</v>
      </c>
      <c r="R119" s="11" t="n">
        <f aca="false">R118+R114+R115+R116</f>
        <v>22.7050016911826</v>
      </c>
      <c r="S119" s="11" t="n">
        <f aca="false">S118+S114+S115+S116</f>
        <v>21.8283114595013</v>
      </c>
      <c r="T119" s="11" t="n">
        <f aca="false">T118+T114+T115+T116</f>
        <v>21.4173948774799</v>
      </c>
      <c r="U119" s="11" t="n">
        <f aca="false">U118+U114+U115+U116</f>
        <v>20.5736612340971</v>
      </c>
      <c r="V119" s="11" t="n">
        <f aca="false">V118+V114+V115+V116</f>
        <v>20.0178971276787</v>
      </c>
      <c r="W119" s="11" t="n">
        <f aca="false">W118+W114+W115+W116</f>
        <v>19.0447430769965</v>
      </c>
      <c r="X119" s="11" t="n">
        <f aca="false">X118+X114+X115+X116</f>
        <v>18.4804241788837</v>
      </c>
      <c r="Y119" s="11" t="n">
        <f aca="false">Y118+Y114+Y115+Y116</f>
        <v>18.0686234275263</v>
      </c>
      <c r="Z119" s="11" t="n">
        <f aca="false">Z118+Z114+Z115+Z116</f>
        <v>17.4936379685215</v>
      </c>
      <c r="AA119" s="11" t="n">
        <f aca="false">AA118+AA114+AA115+AA116</f>
        <v>16.4888397749711</v>
      </c>
      <c r="AB119" s="11" t="n">
        <f aca="false">AB118+AB114+AB115+AB116</f>
        <v>15.6232934134946</v>
      </c>
      <c r="AC119" s="11" t="n">
        <f aca="false">AC118+AC114+AC115+AC116</f>
        <v>14.3907215371015</v>
      </c>
      <c r="AD119" s="11" t="n">
        <f aca="false">AD118+AD114+AD115+AD116</f>
        <v>13.3873941450756</v>
      </c>
      <c r="AE119" s="11" t="n">
        <f aca="false">AE118+AE114+AE115+AE116</f>
        <v>12.0187452412908</v>
      </c>
      <c r="AF119" s="11" t="n">
        <f aca="false">AF118+AF114+AF115+AF116</f>
        <v>10.878077372764</v>
      </c>
      <c r="AG119" s="11" t="n">
        <f aca="false">AG118+AG114+AG115+AG116</f>
        <v>9.70809912854477</v>
      </c>
      <c r="AH119" s="11" t="n">
        <f aca="false">AH118+AH114+AH115+AH116</f>
        <v>8.46014718382021</v>
      </c>
      <c r="AI119" s="11" t="n">
        <f aca="false">AI118+AI114+AI115+AI116</f>
        <v>6.97028665805171</v>
      </c>
      <c r="AJ119" s="11" t="n">
        <f aca="false">AJ118+AJ114+AJ115+AJ116</f>
        <v>5.62748062553862</v>
      </c>
      <c r="AK119" s="11" t="n">
        <f aca="false">AK118+AK114+AK115+AK116</f>
        <v>4.14216688772503</v>
      </c>
      <c r="AL119" s="11" t="n">
        <f aca="false">AL118+AL114+AL115+AL116</f>
        <v>2.72523834208825</v>
      </c>
      <c r="AM119" s="11" t="n">
        <f aca="false">AM118+AM114+AM115+AM116</f>
        <v>1.73844173117821</v>
      </c>
      <c r="AN119" s="11" t="n">
        <f aca="false">AN118+AN114+AN115+AN116</f>
        <v>1.09190476651279</v>
      </c>
      <c r="AO119" s="11" t="n">
        <f aca="false">AO118+AO114+AO115+AO116</f>
        <v>0.546706311997093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608.60396366831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16.9632155099456</v>
      </c>
      <c r="Q120" s="11" t="n">
        <f aca="false">Q32+Q47+Q62+Q77+Q92+Q102</f>
        <v>17.6811281380786</v>
      </c>
      <c r="R120" s="11" t="n">
        <f aca="false">R32+R47+R62+R77+R92+R102</f>
        <v>18.5520777276147</v>
      </c>
      <c r="S120" s="11" t="n">
        <f aca="false">S32+S47+S62+S77+S92+S102</f>
        <v>19.0987774451994</v>
      </c>
      <c r="T120" s="11" t="n">
        <f aca="false">T32+T47+T62+T77+T92+T102</f>
        <v>19.9773143636523</v>
      </c>
      <c r="U120" s="11" t="n">
        <f aca="false">U32+U47+U62+U77+U92+U102</f>
        <v>20.6144260871127</v>
      </c>
      <c r="V120" s="11" t="n">
        <f aca="false">V32+V47+V62+V77+V92+V102</f>
        <v>21.9611519788245</v>
      </c>
      <c r="W120" s="11" t="n">
        <f aca="false">W32+W47+W62+W77+W92+W102</f>
        <v>22.6324909165817</v>
      </c>
      <c r="X120" s="11" t="n">
        <f aca="false">X32+X47+X62+X77+X92+X102</f>
        <v>22.0042642690111</v>
      </c>
      <c r="Y120" s="11" t="n">
        <f aca="false">Y32+Y47+Y62+Y77+Y92+Y102</f>
        <v>22.0146183640132</v>
      </c>
      <c r="Z120" s="11" t="n">
        <f aca="false">Z32+Z47+Z62+Z77+Z92+Z102</f>
        <v>22.9266389812515</v>
      </c>
      <c r="AA120" s="11" t="n">
        <f aca="false">AA32+AA47+AA62+AA77+AA92+AA102</f>
        <v>23.5956957868381</v>
      </c>
      <c r="AB120" s="11" t="n">
        <f aca="false">AB32+AB47+AB62+AB77+AB92+AB102</f>
        <v>24.4784151970141</v>
      </c>
      <c r="AC120" s="11" t="n">
        <f aca="false">AC32+AC47+AC62+AC77+AC92+AC102</f>
        <v>24.9711669021053</v>
      </c>
      <c r="AD120" s="11" t="n">
        <f aca="false">AD32+AD47+AD62+AD77+AD92+AD102</f>
        <v>26.9336582328566</v>
      </c>
      <c r="AE120" s="11" t="n">
        <f aca="false">AE32+AE47+AE62+AE77+AE92+AE102</f>
        <v>27.62279880725</v>
      </c>
      <c r="AF120" s="11" t="n">
        <f aca="false">AF32+AF47+AF62+AF77+AF92+AF102</f>
        <v>28.0257834913326</v>
      </c>
      <c r="AG120" s="11" t="n">
        <f aca="false">AG32+AG47+AG62+AG77+AG92+AG102</f>
        <v>27.8437671480514</v>
      </c>
      <c r="AH120" s="11" t="n">
        <f aca="false">AH32+AH47+AH62+AH77+AH92+AH102</f>
        <v>28.3982880057913</v>
      </c>
      <c r="AI120" s="11" t="n">
        <f aca="false">AI32+AI47+AI62+AI77+AI92+AI102</f>
        <v>28.0965922605097</v>
      </c>
      <c r="AJ120" s="11" t="n">
        <f aca="false">AJ32+AJ47+AJ62+AJ77+AJ92+AJ102</f>
        <v>27.9925948702041</v>
      </c>
      <c r="AK120" s="11" t="n">
        <f aca="false">AK32+AK47+AK62+AK77+AK92+AK102</f>
        <v>26.7990403260089</v>
      </c>
      <c r="AL120" s="11" t="n">
        <f aca="false">AL32+AL47+AL62+AL77+AL92+AL102</f>
        <v>25.3149189633637</v>
      </c>
      <c r="AM120" s="11" t="n">
        <f aca="false">AM32+AM47+AM62+AM77+AM92+AM102</f>
        <v>24.0797801195842</v>
      </c>
      <c r="AN120" s="11" t="n">
        <f aca="false">AN32+AN47+AN62+AN77+AN92+AN102</f>
        <v>19.8655327402763</v>
      </c>
      <c r="AO120" s="11" t="n">
        <f aca="false">AO32+AO47+AO62+AO77+AO92+AO102</f>
        <v>20.1598270358377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958.960927484583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40.840014591187</v>
      </c>
      <c r="Q121" s="11" t="n">
        <f aca="false">Q119+Q120</f>
        <v>40.7340547110883</v>
      </c>
      <c r="R121" s="11" t="n">
        <f aca="false">R119+R120</f>
        <v>41.2570794187973</v>
      </c>
      <c r="S121" s="11" t="n">
        <f aca="false">S119+S120</f>
        <v>40.9270889047008</v>
      </c>
      <c r="T121" s="11" t="n">
        <f aca="false">T119+T120</f>
        <v>41.3947092411322</v>
      </c>
      <c r="U121" s="11" t="n">
        <f aca="false">U119+U120</f>
        <v>41.1880873212098</v>
      </c>
      <c r="V121" s="11" t="n">
        <f aca="false">V119+V120</f>
        <v>41.9790491065032</v>
      </c>
      <c r="W121" s="11" t="n">
        <f aca="false">W119+W120</f>
        <v>41.6772339935783</v>
      </c>
      <c r="X121" s="11" t="n">
        <f aca="false">X119+X120</f>
        <v>40.4846884478948</v>
      </c>
      <c r="Y121" s="11" t="n">
        <f aca="false">Y119+Y120</f>
        <v>40.0832417915395</v>
      </c>
      <c r="Z121" s="11" t="n">
        <f aca="false">Z119+Z120</f>
        <v>40.420276949773</v>
      </c>
      <c r="AA121" s="11" t="n">
        <f aca="false">AA119+AA120</f>
        <v>40.0845355618092</v>
      </c>
      <c r="AB121" s="11" t="n">
        <f aca="false">AB119+AB120</f>
        <v>40.1017086105087</v>
      </c>
      <c r="AC121" s="11" t="n">
        <f aca="false">AC119+AC120</f>
        <v>39.3618884392068</v>
      </c>
      <c r="AD121" s="11" t="n">
        <f aca="false">AD119+AD120</f>
        <v>40.3210523779322</v>
      </c>
      <c r="AE121" s="11" t="n">
        <f aca="false">AE119+AE120</f>
        <v>39.6415440485407</v>
      </c>
      <c r="AF121" s="11" t="n">
        <f aca="false">AF119+AF120</f>
        <v>38.9038608640967</v>
      </c>
      <c r="AG121" s="11" t="n">
        <f aca="false">AG119+AG120</f>
        <v>37.5518662765962</v>
      </c>
      <c r="AH121" s="11" t="n">
        <f aca="false">AH119+AH120</f>
        <v>36.8584351896115</v>
      </c>
      <c r="AI121" s="11" t="n">
        <f aca="false">AI119+AI120</f>
        <v>35.0668789185614</v>
      </c>
      <c r="AJ121" s="11" t="n">
        <f aca="false">AJ119+AJ120</f>
        <v>33.6200754957428</v>
      </c>
      <c r="AK121" s="11" t="n">
        <f aca="false">AK119+AK120</f>
        <v>30.941207213734</v>
      </c>
      <c r="AL121" s="11" t="n">
        <f aca="false">AL119+AL120</f>
        <v>28.040157305452</v>
      </c>
      <c r="AM121" s="11" t="n">
        <f aca="false">AM119+AM120</f>
        <v>25.8182218507625</v>
      </c>
      <c r="AN121" s="11" t="n">
        <f aca="false">AN119+AN120</f>
        <v>20.9574375067891</v>
      </c>
      <c r="AO121" s="11" t="n">
        <f aca="false">AO119+AO120</f>
        <v>20.7065333478348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693.496150463468</v>
      </c>
      <c r="Q122" s="11" t="n">
        <f aca="false">Q25+Q40+Q55+Q70+Q85+Q100</f>
        <v>676.532934953523</v>
      </c>
      <c r="R122" s="11" t="n">
        <f aca="false">R25+R40+R55+R70+R85+R100</f>
        <v>658.851806815444</v>
      </c>
      <c r="S122" s="11" t="n">
        <f aca="false">S25+S40+S55+S70+S85+S100</f>
        <v>640.299729087829</v>
      </c>
      <c r="T122" s="11" t="n">
        <f aca="false">T25+T40+T55+T70+T85+T100</f>
        <v>621.20095164263</v>
      </c>
      <c r="U122" s="11" t="n">
        <f aca="false">U25+U40+U55+U70+U85+U100</f>
        <v>601.223637278978</v>
      </c>
      <c r="V122" s="11" t="n">
        <f aca="false">V25+V40+V55+V70+V85+V100</f>
        <v>580.609211191865</v>
      </c>
      <c r="W122" s="11" t="n">
        <f aca="false">W25+W40+W55+W70+W85+W100</f>
        <v>558.64805921304</v>
      </c>
      <c r="X122" s="11" t="n">
        <f aca="false">X25+X40+X55+X70+X85+X100</f>
        <v>536.015568296459</v>
      </c>
      <c r="Y122" s="11" t="n">
        <f aca="false">Y25+Y40+Y55+Y70+Y85+Y100</f>
        <v>514.011304027447</v>
      </c>
      <c r="Z122" s="11" t="n">
        <f aca="false">Z25+Z40+Z55+Z70+Z85+Z100</f>
        <v>491.996685663434</v>
      </c>
      <c r="AA122" s="11" t="n">
        <f aca="false">AA25+AA40+AA55+AA70+AA85+AA100</f>
        <v>469.070046682183</v>
      </c>
      <c r="AB122" s="11" t="n">
        <f aca="false">AB25+AB40+AB55+AB70+AB85+AB100</f>
        <v>441.067923889252</v>
      </c>
      <c r="AC122" s="11" t="n">
        <f aca="false">AC25+AC40+AC55+AC70+AC85+AC100</f>
        <v>411.348146955519</v>
      </c>
      <c r="AD122" s="11" t="n">
        <f aca="false">AD25+AD40+AD55+AD70+AD85+AD100</f>
        <v>381.657794348709</v>
      </c>
      <c r="AE122" s="11" t="n">
        <f aca="false">AE25+AE40+AE55+AE70+AE85+AE100</f>
        <v>348.808347607435</v>
      </c>
      <c r="AF122" s="11" t="n">
        <f aca="false">AF25+AF40+AF55+AF70+AF85+AF100</f>
        <v>314.826594909992</v>
      </c>
      <c r="AG122" s="11" t="n">
        <f aca="false">AG25+AG40+AG55+AG70+AG85+AG100</f>
        <v>279.717721632261</v>
      </c>
      <c r="AH122" s="11" t="n">
        <f aca="false">AH25+AH40+AH55+AH70+AH85+AH100</f>
        <v>244.610320101145</v>
      </c>
      <c r="AI122" s="11" t="n">
        <f aca="false">AI25+AI40+AI55+AI70+AI85+AI100</f>
        <v>207.813136177121</v>
      </c>
      <c r="AJ122" s="11" t="n">
        <f aca="false">AJ25+AJ40+AJ55+AJ70+AJ85+AJ100</f>
        <v>170.80525810606</v>
      </c>
      <c r="AK122" s="11" t="n">
        <f aca="false">AK25+AK40+AK55+AK70+AK85+AK100</f>
        <v>132.436645151281</v>
      </c>
      <c r="AL122" s="11" t="n">
        <f aca="false">AL25+AL40+AL55+AL70+AL85+AL100</f>
        <v>94.1090108863558</v>
      </c>
      <c r="AM122" s="11" t="n">
        <f aca="false">AM25+AM40+AM55+AM70+AM85+AM100</f>
        <v>64.1051398956982</v>
      </c>
      <c r="AN122" s="11" t="n">
        <f aca="false">AN25+AN40+AN55+AN70+AN85+AN100</f>
        <v>40.025359776114</v>
      </c>
      <c r="AO122" s="11" t="n">
        <f aca="false">AO25+AO40+AO55+AO70+AO85+AO100</f>
        <v>20.1598270358377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693.496150463468</v>
      </c>
      <c r="P123" s="11" t="n">
        <f aca="false">P38+P53+P68+P83+P98+P104</f>
        <v>676.532934953523</v>
      </c>
      <c r="Q123" s="11" t="n">
        <f aca="false">Q38+Q53+Q68+Q83+Q98+Q104</f>
        <v>658.851806815444</v>
      </c>
      <c r="R123" s="11" t="n">
        <f aca="false">R38+R53+R68+R83+R98+R104</f>
        <v>640.299729087829</v>
      </c>
      <c r="S123" s="11" t="n">
        <f aca="false">S38+S53+S68+S83+S98+S104</f>
        <v>621.20095164263</v>
      </c>
      <c r="T123" s="11" t="n">
        <f aca="false">T38+T53+T68+T83+T98+T104</f>
        <v>601.223637278978</v>
      </c>
      <c r="U123" s="11" t="n">
        <f aca="false">U38+U53+U68+U83+U98+U104</f>
        <v>580.609211191865</v>
      </c>
      <c r="V123" s="11" t="n">
        <f aca="false">V38+V53+V68+V83+V98+V104</f>
        <v>558.64805921304</v>
      </c>
      <c r="W123" s="11" t="n">
        <f aca="false">W38+W53+W68+W83+W98+W104</f>
        <v>536.015568296459</v>
      </c>
      <c r="X123" s="11" t="n">
        <f aca="false">X38+X53+X68+X83+X98+X104</f>
        <v>514.011304027447</v>
      </c>
      <c r="Y123" s="11" t="n">
        <f aca="false">Y38+Y53+Y68+Y83+Y98+Y104</f>
        <v>491.996685663434</v>
      </c>
      <c r="Z123" s="11" t="n">
        <f aca="false">Z38+Z53+Z68+Z83+Z98+Z104</f>
        <v>469.070046682183</v>
      </c>
      <c r="AA123" s="11" t="n">
        <f aca="false">AA38+AA53+AA68+AA83+AA98+AA104</f>
        <v>441.067923889252</v>
      </c>
      <c r="AB123" s="11" t="n">
        <f aca="false">AB38+AB53+AB68+AB83+AB98+AB104</f>
        <v>411.348146955519</v>
      </c>
      <c r="AC123" s="11" t="n">
        <f aca="false">AC38+AC53+AC68+AC83+AC98+AC104</f>
        <v>381.657794348709</v>
      </c>
      <c r="AD123" s="11" t="n">
        <f aca="false">AD38+AD53+AD68+AD83+AD98+AD104</f>
        <v>348.808347607435</v>
      </c>
      <c r="AE123" s="11" t="n">
        <f aca="false">AE38+AE53+AE68+AE83+AE98+AE104</f>
        <v>314.826594909992</v>
      </c>
      <c r="AF123" s="11" t="n">
        <f aca="false">AF38+AF53+AF68+AF83+AF98+AF104</f>
        <v>279.717721632261</v>
      </c>
      <c r="AG123" s="11" t="n">
        <f aca="false">AG38+AG53+AG68+AG83+AG98+AG104</f>
        <v>244.610320101145</v>
      </c>
      <c r="AH123" s="11" t="n">
        <f aca="false">AH38+AH53+AH68+AH83+AH98+AH104</f>
        <v>207.813136177121</v>
      </c>
      <c r="AI123" s="11" t="n">
        <f aca="false">AI38+AI53+AI68+AI83+AI98+AI104</f>
        <v>170.80525810606</v>
      </c>
      <c r="AJ123" s="11" t="n">
        <f aca="false">AJ38+AJ53+AJ68+AJ83+AJ98+AJ104</f>
        <v>132.436645151281</v>
      </c>
      <c r="AK123" s="11" t="n">
        <f aca="false">AK38+AK53+AK68+AK83+AK98+AK104</f>
        <v>94.1090108863558</v>
      </c>
      <c r="AL123" s="11" t="n">
        <f aca="false">AL38+AL53+AL68+AL83+AL98+AL104</f>
        <v>64.1051398956982</v>
      </c>
      <c r="AM123" s="11" t="n">
        <f aca="false">AM38+AM53+AM68+AM83+AM98+AM104</f>
        <v>40.025359776114</v>
      </c>
      <c r="AN123" s="11" t="n">
        <f aca="false">AN38+AN53+AN68+AN83+AN98+AN104</f>
        <v>20.1598270358377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263.528537176118</v>
      </c>
      <c r="P125" s="11" t="n">
        <f aca="false">IF(Time!P29=1,P83,P81)</f>
        <v>257.082515282339</v>
      </c>
      <c r="Q125" s="11" t="n">
        <f aca="false">IF(Time!Q29=1,Q83,Q81)</f>
        <v>250.363686589869</v>
      </c>
      <c r="R125" s="11" t="n">
        <f aca="false">IF(Time!R29=1,R83,R81)</f>
        <v>243.313897053375</v>
      </c>
      <c r="S125" s="11" t="n">
        <f aca="false">IF(Time!S29=1,S83,S81)</f>
        <v>236.056361624199</v>
      </c>
      <c r="T125" s="11" t="n">
        <f aca="false">IF(Time!T29=1,T83,T81)</f>
        <v>228.464982166011</v>
      </c>
      <c r="U125" s="11" t="n">
        <f aca="false">IF(Time!U29=1,U83,U81)</f>
        <v>220.631500252909</v>
      </c>
      <c r="V125" s="11" t="n">
        <f aca="false">IF(Time!V29=1,V83,V81)</f>
        <v>212.286262500955</v>
      </c>
      <c r="W125" s="11" t="n">
        <f aca="false">IF(Time!W29=1,W83,W81)</f>
        <v>203.685915952654</v>
      </c>
      <c r="X125" s="11" t="n">
        <f aca="false">IF(Time!X29=1,X83,X81)</f>
        <v>195.32429553043</v>
      </c>
      <c r="Y125" s="11" t="n">
        <f aca="false">IF(Time!Y29=1,Y83,Y81)</f>
        <v>186.958740552105</v>
      </c>
      <c r="Z125" s="11" t="n">
        <f aca="false">IF(Time!Z29=1,Z83,Z81)</f>
        <v>178.246617739229</v>
      </c>
      <c r="AA125" s="11" t="n">
        <f aca="false">IF(Time!AA29=1,AA83,AA81)</f>
        <v>169.280253340231</v>
      </c>
      <c r="AB125" s="11" t="n">
        <f aca="false">IF(Time!AB29=1,AB83,AB81)</f>
        <v>155.723648419271</v>
      </c>
      <c r="AC125" s="11" t="n">
        <f aca="false">IF(Time!AC29=1,AC83,AC81)</f>
        <v>141.347157900833</v>
      </c>
      <c r="AD125" s="11" t="n">
        <f aca="false">IF(Time!AD29=1,AD83,AD81)</f>
        <v>126.986111967757</v>
      </c>
      <c r="AE125" s="11" t="n">
        <f aca="false">IF(Time!AE29=1,AE83,AE81)</f>
        <v>111.482533461235</v>
      </c>
      <c r="AF125" s="11" t="n">
        <f aca="false">IF(Time!AF29=1,AF83,AF81)</f>
        <v>95.7655052262292</v>
      </c>
      <c r="AG125" s="11" t="n">
        <f aca="false">IF(Time!AG29=1,AG83,AG81)</f>
        <v>79.8547569303007</v>
      </c>
      <c r="AH125" s="11" t="n">
        <f aca="false">IF(Time!AH29=1,AH83,AH81)</f>
        <v>64.1635811258121</v>
      </c>
      <c r="AI125" s="11" t="n">
        <f aca="false">IF(Time!AI29=1,AI83,AI81)</f>
        <v>48.2252310054279</v>
      </c>
      <c r="AJ125" s="11" t="n">
        <f aca="false">IF(Time!AJ29=1,AJ83,AJ81)</f>
        <v>32.8709389736845</v>
      </c>
      <c r="AK125" s="11" t="n">
        <f aca="false">IF(Time!AK29=1,AK83,AK81)</f>
        <v>17.9429912373954</v>
      </c>
      <c r="AL125" s="11" t="n">
        <f aca="false">IF(Time!AL29=1,AL83,AL81)</f>
        <v>4.68895202729384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9.81028644533897</v>
      </c>
      <c r="P126" s="11" t="n">
        <f aca="false">IF(AND(Time!P17&gt;=Time!$F$11,Time!P17&lt;57),(IF(Time!P29=1,P38,P36)-P35)*Q19+IF(Time!P29=1,P38,P36)*Q10,0)</f>
        <v>9.85548825034508</v>
      </c>
      <c r="Q126" s="11" t="n">
        <f aca="false">IF(AND(Time!Q17&gt;=Time!$F$11,Time!Q17&lt;57),(IF(Time!Q29=1,Q38,Q36)-Q35)*R19+IF(Time!Q29=1,Q38,Q36)*R10,0)</f>
        <v>10.0712912078263</v>
      </c>
      <c r="R126" s="11" t="n">
        <f aca="false">IF(AND(Time!R17&gt;=Time!$F$11,Time!R17&lt;57),(IF(Time!R29=1,R38,R36)-R35)*S19+IF(Time!R29=1,R38,R36)*S10,0)</f>
        <v>10.0466940820022</v>
      </c>
      <c r="S126" s="11" t="n">
        <f aca="false">IF(AND(Time!S17&gt;=Time!$F$11,Time!S17&lt;57),(IF(Time!S29=1,S38,S36)-S35)*T19+IF(Time!S29=1,S38,S36)*T10,0)</f>
        <v>10.2509056316543</v>
      </c>
      <c r="T126" s="11" t="n">
        <f aca="false">IF(AND(Time!T17&gt;=Time!$F$11,Time!T17&lt;57),(IF(Time!T29=1,T38,T36)-T35)*U19+U22*MIN($F$30/4,T35)+IF(Time!T29=1,T38,T36)*U10,0)</f>
        <v>10.2603234750666</v>
      </c>
      <c r="U126" s="11" t="n">
        <f aca="false">IF(AND(Time!U17&gt;=Time!$F$11,Time!U17&lt;57),(IF(Time!U29=1,U38,U36)-U35)*V19+V22*MIN($F$30/4,U35)+IF(Time!U29=1,U38,U36)*V10,0)</f>
        <v>10.5678411271564</v>
      </c>
      <c r="V126" s="11" t="n">
        <f aca="false">IF(AND(Time!V17&gt;=Time!$F$11,Time!V17&lt;57),(IF(Time!V29=1,V38,V36)-V35)*W19+W22*MIN($F$30/4,V35)+IF(Time!V29=1,V38,V36)*W10,0)</f>
        <v>10.5562921522036</v>
      </c>
      <c r="W126" s="11" t="n">
        <f aca="false">IF(AND(Time!W17&gt;=Time!$F$11,Time!W17&lt;57),(IF(Time!W29=1,W38,W36)-W35)*X19+X22*MIN($F$30/4,W35)+IF(Time!W29=1,W38,W36)*X10,0)</f>
        <v>10.2751299858073</v>
      </c>
      <c r="X126" s="11" t="n">
        <f aca="false">IF(AND(Time!X17&gt;=Time!$F$11,Time!X17&lt;57),(IF(Time!X29=1,X38,X36)-X35)*Y19+IF(Time!X29=1,X38,X36)*Y10,0)</f>
        <v>10.069978223783</v>
      </c>
      <c r="Y126" s="11" t="n">
        <f aca="false">IF(AND(Time!Y17&gt;=Time!$F$11,Time!Y17&lt;57),(IF(Time!Y29=1,Y38,Y36)-Y35)*Z19+IF(Time!Y29=1,Y38,Y36)*Z10,0)</f>
        <v>10.2501369779126</v>
      </c>
      <c r="Z126" s="11" t="n">
        <f aca="false">IF(AND(Time!Z17&gt;=Time!$F$11,Time!Z17&lt;57),(IF(Time!Z29=1,Z38,Z36)-Z35)*AA19+IF(Time!Z29=1,Z38,Z36)*AA10,0)</f>
        <v>10.2412962582944</v>
      </c>
      <c r="AA126" s="11" t="n">
        <f aca="false">IF(AND(Time!AA17&gt;=Time!$F$11,Time!AA17&lt;57),(IF(Time!AA29=1,AA38,AA36)-AA35)*AB19+IF(Time!AA29=1,AA38,AA36)*AB10,0)</f>
        <v>10.4701702085275</v>
      </c>
      <c r="AB126" s="11" t="n">
        <f aca="false">IF(AND(Time!AB17&gt;=Time!$F$11,Time!AB17&lt;57),(IF(Time!AB29=1,AB38,AB36)-AB35)*AC19+IF(Time!AB29=1,AB38,AB36)*AC10,0)</f>
        <v>10.5150831223165</v>
      </c>
      <c r="AC126" s="11" t="n">
        <f aca="false">IF(AND(Time!AC17&gt;=Time!$F$11,Time!AC17&lt;57),(IF(Time!AC29=1,AC38,AC36)-AC35)*AD19+IF(Time!AC29=1,AC38,AC36)*AD10,0)</f>
        <v>11.075764197386</v>
      </c>
      <c r="AD126" s="11" t="n">
        <f aca="false">IF(AND(Time!AD17&gt;=Time!$F$11,Time!AD17&lt;57),(IF(Time!AD29=1,AD38,AD36)-AD35)*AE19+IF(Time!AD29=1,AD38,AD36)*AE10,0)</f>
        <v>11.2031763484775</v>
      </c>
      <c r="AE126" s="11" t="n">
        <f aca="false">IF(AND(Time!AE17&gt;=Time!$F$11,Time!AE17&lt;57),(IF(Time!AE29=1,AE38,AE36)-AE35)*AF19+IF(Time!AE29=1,AE38,AE36)*AF10,0)</f>
        <v>11.3509955017568</v>
      </c>
      <c r="AF126" s="11" t="n">
        <f aca="false">IF(AND(Time!AF17&gt;=Time!$F$11,Time!AF17&lt;57),(IF(Time!AF29=1,AF38,AF36)-AF35)*AG19+IF(Time!AF29=1,AF38,AF36)*AG10,0)</f>
        <v>11.2787748140843</v>
      </c>
      <c r="AG126" s="11" t="n">
        <f aca="false">IF(AND(Time!AG17&gt;=Time!$F$11,Time!AG17&lt;57),(IF(Time!AG29=1,AG38,AG36)-AG35)*AH19+IF(Time!AG29=1,AG38,AG36)*AH10,0)</f>
        <v>11.5649089602335</v>
      </c>
      <c r="AH126" s="11" t="n">
        <f aca="false">IF(AND(Time!AH17&gt;=Time!$F$11,Time!AH17&lt;57),(IF(Time!AH29=1,AH38,AH36)-AH35)*AI19+IF(Time!AH29=1,AH38,AH36)*AI10,0)</f>
        <v>11.6004678807364</v>
      </c>
      <c r="AI126" s="11" t="n">
        <f aca="false">IF(AND(Time!AI17&gt;=Time!$F$11,Time!AI17&lt;57),(IF(Time!AI29=1,AI38,AI36)-AI35)*AJ19+IF(Time!AI29=1,AI38,AI36)*AJ10,0)</f>
        <v>11.8808355699952</v>
      </c>
      <c r="AJ126" s="11" t="n">
        <f aca="false">IF(AND(Time!AJ17&gt;=Time!$F$11,Time!AJ17&lt;57),(IF(Time!AJ29=1,AJ38,AJ36)-AJ35)*AK19+IF(Time!AJ29=1,AJ38,AJ36)*AK10,0)</f>
        <v>11.9669082611676</v>
      </c>
      <c r="AK126" s="11" t="n">
        <f aca="false">IF(AND(Time!AK17&gt;=Time!$F$11,Time!AK17&lt;57),(IF(Time!AK29=1,AK38,AK36)-AK35)*AL19+IF(Time!AK29=1,AK38,AK36)*AL10,0)</f>
        <v>12.3837112728786</v>
      </c>
      <c r="AL126" s="11" t="n">
        <f aca="false">IF(AND(Time!AL17&gt;=Time!$F$11,Time!AL17&lt;57),(IF(Time!AL29=1,AL38,AL36)-AL35)*AM19+IF(Time!AL29=1,AL38,AL36)*AM10,0)</f>
        <v>12.3486240569952</v>
      </c>
      <c r="AM126" s="11" t="n">
        <f aca="false">IF(AND(Time!AM17&gt;=Time!$F$11,Time!AM17&lt;57),(IF(Time!AM29=1,AM38,AM36)-AM35)*AN19+IF(Time!AM29=1,AM38,AM36)*AN10,0)</f>
        <v>10.0548284483684</v>
      </c>
      <c r="AN126" s="11" t="n">
        <f aca="false">IF(AND(Time!AN17&gt;=Time!$F$11,Time!AN17&lt;57),(IF(Time!AN29=1,AN38,AN36)-AN35)*AO19+IF(Time!AN29=1,AN38,AN36)*AO10,0)</f>
        <v>9.97398500739303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8.98774521526943</v>
      </c>
      <c r="P127" s="11" t="n">
        <f aca="false">IF(AND(Time!P17&gt;=Time!$F$11,Time!P17&lt;57),(IF(Time!P29=1,P53,P51)-P50)*Q19+IF(Time!P29=1,P53,P51)*Q11,0)</f>
        <v>8.94849542193787</v>
      </c>
      <c r="Q127" s="11" t="n">
        <f aca="false">IF(AND(Time!Q17&gt;=Time!$F$11,Time!Q17&lt;57),(IF(Time!Q29=1,Q53,Q51)-Q50)*R19+IF(Time!Q29=1,Q53,Q51)*R11,0)</f>
        <v>9.0895507363433</v>
      </c>
      <c r="R127" s="11" t="n">
        <f aca="false">IF(AND(Time!R17&gt;=Time!$F$11,Time!R17&lt;57),(IF(Time!R29=1,R53,R51)-R50)*S19+IF(Time!R29=1,R53,R51)*S11,0)</f>
        <v>8.99653374314159</v>
      </c>
      <c r="S127" s="11" t="n">
        <f aca="false">IF(AND(Time!S17&gt;=Time!$F$11,Time!S17&lt;57),(IF(Time!S29=1,S53,S51)-S50)*T19+IF(Time!S29=1,S53,S51)*T11,0)</f>
        <v>9.12389450215023</v>
      </c>
      <c r="T127" s="11" t="n">
        <f aca="false">IF(AND(Time!T17&gt;=Time!$F$11,Time!T17&lt;57),(IF(Time!T29=1,T53,T51)-T50)*U19+U22*MIN($F$45/4,T50)+IF(Time!T29=1,T53,T51)*U11,0)</f>
        <v>9.06223408183485</v>
      </c>
      <c r="U127" s="11" t="n">
        <f aca="false">IF(AND(Time!U17&gt;=Time!$F$11,Time!U17&lt;57),(IF(Time!U29=1,U53,U51)-U50)*V19+V22*MIN($F$45/4,U50)+IF(Time!U29=1,U53,U51)*V11,0)</f>
        <v>9.25133460432601</v>
      </c>
      <c r="V127" s="11" t="n">
        <f aca="false">IF(AND(Time!V17&gt;=Time!$F$11,Time!V17&lt;57),(IF(Time!V29=1,V53,V51)-V50)*W19+W22*MIN($F$45/4,V50)+IF(Time!V29=1,V53,V51)*W11,0)</f>
        <v>9.16251261025727</v>
      </c>
      <c r="W127" s="11" t="n">
        <f aca="false">IF(AND(Time!W17&gt;=Time!$F$11,Time!W17&lt;57),(IF(Time!W29=1,W53,W51)-W50)*X19+X22*MIN($F$45/4,W50)+IF(Time!W29=1,W53,W51)*X11,0)</f>
        <v>8.9213506971107</v>
      </c>
      <c r="X127" s="11" t="n">
        <f aca="false">IF(AND(Time!X17&gt;=Time!$F$11,Time!X17&lt;57),(IF(Time!X29=1,X53,X51)-X50)*Y19+IF(Time!X29=1,X53,X51)*Y11,0)</f>
        <v>8.69232401107026</v>
      </c>
      <c r="Y127" s="11" t="n">
        <f aca="false">IF(AND(Time!Y17&gt;=Time!$F$11,Time!Y17&lt;57),(IF(Time!Y29=1,Y53,Y51)-Y50)*Z19+IF(Time!Y29=1,Y53,Y51)*Z11,0)</f>
        <v>8.78917987885837</v>
      </c>
      <c r="Z127" s="11" t="n">
        <f aca="false">IF(AND(Time!Z17&gt;=Time!$F$11,Time!Z17&lt;57),(IF(Time!Z29=1,Z53,Z51)-Z50)*AA19+IF(Time!Z29=1,Z53,Z51)*AA11,0)</f>
        <v>8.70362418095572</v>
      </c>
      <c r="AA127" s="11" t="n">
        <f aca="false">IF(AND(Time!AA17&gt;=Time!$F$11,Time!AA17&lt;57),(IF(Time!AA29=1,AA53,AA51)-AA50)*AB19+IF(Time!AA29=1,AA53,AA51)*AB11,0)</f>
        <v>8.83022048530239</v>
      </c>
      <c r="AB127" s="11" t="n">
        <f aca="false">IF(AND(Time!AB17&gt;=Time!$F$11,Time!AB17&lt;57),(IF(Time!AB29=1,AB53,AB51)-AB50)*AC19+IF(Time!AB29=1,AB53,AB51)*AC11,0)</f>
        <v>8.78738975583933</v>
      </c>
      <c r="AC127" s="11" t="n">
        <f aca="false">IF(AND(Time!AC17&gt;=Time!$F$11,Time!AC17&lt;57),(IF(Time!AC29=1,AC53,AC51)-AC50)*AD19+IF(Time!AC29=1,AC53,AC51)*AD11,0)</f>
        <v>9.14432638640271</v>
      </c>
      <c r="AD127" s="11" t="n">
        <f aca="false">IF(AND(Time!AD17&gt;=Time!$F$11,Time!AD17&lt;57),(IF(Time!AD29=1,AD53,AD51)-AD50)*AE19+IF(Time!AD29=1,AD53,AD51)*AE11,0)</f>
        <v>9.15014359997793</v>
      </c>
      <c r="AE127" s="11" t="n">
        <f aca="false">IF(AND(Time!AE17&gt;=Time!$F$11,Time!AE17&lt;57),(IF(Time!AE29=1,AE53,AE51)-AE50)*AF19+IF(Time!AE29=1,AE53,AE51)*AF11,0)</f>
        <v>9.1988030426914</v>
      </c>
      <c r="AF127" s="11" t="n">
        <f aca="false">IF(AND(Time!AF17&gt;=Time!$F$11,Time!AF17&lt;57),(IF(Time!AF29=1,AF53,AF51)-AF50)*AG19+IF(Time!AF29=1,AF53,AF51)*AG11,0)</f>
        <v>9.05497964649966</v>
      </c>
      <c r="AG127" s="11" t="n">
        <f aca="false">IF(AND(Time!AG17&gt;=Time!$F$11,Time!AG17&lt;57),(IF(Time!AG29=1,AG53,AG51)-AG50)*AH19+IF(Time!AG29=1,AG53,AG51)*AH11,0)</f>
        <v>9.19848141712192</v>
      </c>
      <c r="AH127" s="11" t="n">
        <f aca="false">IF(AND(Time!AH17&gt;=Time!$F$11,Time!AH17&lt;57),(IF(Time!AH29=1,AH53,AH51)-AH50)*AI19+IF(Time!AH29=1,AH53,AH51)*AI11,0)</f>
        <v>9.13091253146909</v>
      </c>
      <c r="AI127" s="11" t="n">
        <f aca="false">IF(AND(Time!AI17&gt;=Time!$F$11,Time!AI17&lt;57),(IF(Time!AI29=1,AI53,AI51)-AI50)*AJ19+IF(Time!AI29=1,AI53,AI51)*AJ11,0)</f>
        <v>9.26110590532994</v>
      </c>
      <c r="AJ127" s="11" t="n">
        <f aca="false">IF(AND(Time!AJ17&gt;=Time!$F$11,Time!AJ17&lt;57),(IF(Time!AJ29=1,AJ53,AJ51)-AJ50)*AK19+IF(Time!AJ29=1,AJ53,AJ51)*AK11,0)</f>
        <v>9.22935070293652</v>
      </c>
      <c r="AK127" s="11" t="n">
        <f aca="false">IF(AND(Time!AK17&gt;=Time!$F$11,Time!AK17&lt;57),(IF(Time!AK29=1,AK53,AK51)-AK50)*AL19+IF(Time!AK29=1,AK53,AK51)*AL11,0)</f>
        <v>9.44719110295528</v>
      </c>
      <c r="AL127" s="11" t="n">
        <f aca="false">IF(AND(Time!AL17&gt;=Time!$F$11,Time!AL17&lt;57),(IF(Time!AL29=1,AL53,AL51)-AL50)*AM19+IF(Time!AL29=1,AL53,AL51)*AM11,0)</f>
        <v>9.31870125033088</v>
      </c>
      <c r="AM127" s="11" t="n">
        <f aca="false">IF(AND(Time!AM17&gt;=Time!$F$11,Time!AM17&lt;57),(IF(Time!AM29=1,AM53,AM51)-AM50)*AN19+IF(Time!AM29=1,AM53,AM51)*AN11,0)</f>
        <v>7.5404996926294</v>
      </c>
      <c r="AN127" s="11" t="n">
        <f aca="false">IF(AND(Time!AN17&gt;=Time!$F$11,Time!AN17&lt;57),(IF(Time!AN29=1,AN53,AN51)-AN50)*AO19+IF(Time!AN29=1,AN53,AN51)*AO11,0)</f>
        <v>7.39697780107138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3.99672533720971</v>
      </c>
      <c r="P128" s="11" t="n">
        <f aca="false">IF(AND(Time!P17&gt;=Time!$F$11,Time!P17&lt;57),(IF(Time!P29=1,P68,P66)-P65)*Q19+IF(Time!P29=1,P68,P66)*Q12,0)</f>
        <v>3.98246148765532</v>
      </c>
      <c r="Q128" s="11" t="n">
        <f aca="false">IF(AND(Time!Q17&gt;=Time!$F$11,Time!Q17&lt;57),(IF(Time!Q29=1,Q68,Q66)-Q65)*R19+IF(Time!Q29=1,Q68,Q66)*R12,0)</f>
        <v>4.04742735130539</v>
      </c>
      <c r="R128" s="11" t="n">
        <f aca="false">IF(AND(Time!R17&gt;=Time!$F$11,Time!R17&lt;57),(IF(Time!R29=1,R68,R66)-R65)*S19+IF(Time!R29=1,R68,R66)*S12,0)</f>
        <v>4.00885140088419</v>
      </c>
      <c r="S128" s="11" t="n">
        <f aca="false">IF(AND(Time!S17&gt;=Time!$F$11,Time!S17&lt;57),(IF(Time!S29=1,S68,S66)-S65)*T19+IF(Time!S29=1,S68,S66)*T12,0)</f>
        <v>4.06784909655031</v>
      </c>
      <c r="T128" s="11" t="n">
        <f aca="false">IF(AND(Time!T17&gt;=Time!$F$11,Time!T17&lt;57),(IF(Time!T29=1,T68,T66)-T65)*U19+U22*MIN($F$60/4,T65)+IF(Time!T29=1,T68,T66)*U12,0)</f>
        <v>4.04320932243551</v>
      </c>
      <c r="U128" s="11" t="n">
        <f aca="false">IF(AND(Time!U17&gt;=Time!$F$11,Time!U17&lt;57),(IF(Time!U29=1,U68,U66)-U65)*V19+V22*MIN($F$60/4,U65)+IF(Time!U29=1,U68,U66)*V12,0)</f>
        <v>4.13096313811206</v>
      </c>
      <c r="V128" s="11" t="n">
        <f aca="false">IF(AND(Time!V17&gt;=Time!$F$11,Time!V17&lt;57),(IF(Time!V29=1,V68,V66)-V65)*W19+W22*MIN($F$60/4,V65)+IF(Time!V29=1,V68,V66)*W12,0)</f>
        <v>4.0945595017651</v>
      </c>
      <c r="W128" s="11" t="n">
        <f aca="false">IF(AND(Time!W17&gt;=Time!$F$11,Time!W17&lt;57),(IF(Time!W29=1,W68,W66)-W65)*X19+X22*MIN($F$60/4,W65)+IF(Time!W29=1,W68,W66)*X12,0)</f>
        <v>3.98666852960638</v>
      </c>
      <c r="X128" s="11" t="n">
        <f aca="false">IF(AND(Time!X17&gt;=Time!$F$11,Time!X17&lt;57),(IF(Time!X29=1,X68,X66)-X65)*Y19+IF(Time!X29=1,X68,X66)*Y12,0)</f>
        <v>3.88644800337041</v>
      </c>
      <c r="Y128" s="11" t="n">
        <f aca="false">IF(AND(Time!Y17&gt;=Time!$F$11,Time!Y17&lt;57),(IF(Time!Y29=1,Y68,Y66)-Y65)*Z19+IF(Time!Y29=1,Y68,Y66)*Z12,0)</f>
        <v>3.93221551994934</v>
      </c>
      <c r="Z128" s="11" t="n">
        <f aca="false">IF(AND(Time!Z17&gt;=Time!$F$11,Time!Z17&lt;57),(IF(Time!Z29=1,Z68,Z66)-Z65)*AA19+IF(Time!Z29=1,Z68,Z66)*AA12,0)</f>
        <v>3.89723331060208</v>
      </c>
      <c r="AA128" s="11" t="n">
        <f aca="false">IF(AND(Time!AA17&gt;=Time!$F$11,Time!AA17&lt;57),(IF(Time!AA29=1,AA68,AA66)-AA65)*AB19+IF(Time!AA29=1,AA68,AA66)*AB12,0)</f>
        <v>3.95681486161396</v>
      </c>
      <c r="AB128" s="11" t="n">
        <f aca="false">IF(AND(Time!AB17&gt;=Time!$F$11,Time!AB17&lt;57),(IF(Time!AB29=1,AB68,AB66)-AB65)*AC19+IF(Time!AB29=1,AB68,AB66)*AC12,0)</f>
        <v>3.9410897704668</v>
      </c>
      <c r="AC128" s="11" t="n">
        <f aca="false">IF(AND(Time!AC17&gt;=Time!$F$11,Time!AC17&lt;57),(IF(Time!AC29=1,AC68,AC66)-AC65)*AD19+IF(Time!AC29=1,AC68,AC66)*AD12,0)</f>
        <v>4.10601301613564</v>
      </c>
      <c r="AD128" s="11" t="n">
        <f aca="false">IF(AND(Time!AD17&gt;=Time!$F$11,Time!AD17&lt;57),(IF(Time!AD29=1,AD68,AD66)-AD65)*AE19+IF(Time!AD29=1,AD68,AD66)*AE12,0)</f>
        <v>4.11298617467239</v>
      </c>
      <c r="AE128" s="11" t="n">
        <f aca="false">IF(AND(Time!AE17&gt;=Time!$F$11,Time!AE17&lt;57),(IF(Time!AE29=1,AE68,AE66)-AE65)*AF19+IF(Time!AE29=1,AE68,AE66)*AF12,0)</f>
        <v>4.13805574693797</v>
      </c>
      <c r="AF128" s="11" t="n">
        <f aca="false">IF(AND(Time!AF17&gt;=Time!$F$11,Time!AF17&lt;57),(IF(Time!AF29=1,AF68,AF66)-AF65)*AG19+IF(Time!AF29=1,AF68,AF66)*AG12,0)</f>
        <v>4.07717068338072</v>
      </c>
      <c r="AG128" s="11" t="n">
        <f aca="false">IF(AND(Time!AG17&gt;=Time!$F$11,Time!AG17&lt;57),(IF(Time!AG29=1,AG68,AG66)-AG65)*AH19+IF(Time!AG29=1,AG68,AG66)*AH12,0)</f>
        <v>4.14567593171464</v>
      </c>
      <c r="AH128" s="11" t="n">
        <f aca="false">IF(AND(Time!AH17&gt;=Time!$F$11,Time!AH17&lt;57),(IF(Time!AH29=1,AH68,AH66)-AH65)*AI19+IF(Time!AH29=1,AH68,AH66)*AI12,0)</f>
        <v>4.11958955223583</v>
      </c>
      <c r="AI128" s="11" t="n">
        <f aca="false">IF(AND(Time!AI17&gt;=Time!$F$11,Time!AI17&lt;57),(IF(Time!AI29=1,AI68,AI66)-AI65)*AJ19+IF(Time!AI29=1,AI68,AI66)*AJ12,0)</f>
        <v>4.18249412920135</v>
      </c>
      <c r="AJ128" s="11" t="n">
        <f aca="false">IF(AND(Time!AJ17&gt;=Time!$F$11,Time!AJ17&lt;57),(IF(Time!AJ29=1,AJ68,AJ66)-AJ65)*AK19+IF(Time!AJ29=1,AJ68,AJ66)*AK12,0)</f>
        <v>4.17274745498694</v>
      </c>
      <c r="AK128" s="11" t="n">
        <f aca="false">IF(AND(Time!AK17&gt;=Time!$F$11,Time!AK17&lt;57),(IF(Time!AK29=1,AK68,AK66)-AK65)*AL19+IF(Time!AK29=1,AK68,AK66)*AL12,0)</f>
        <v>4.27610451141358</v>
      </c>
      <c r="AL128" s="11" t="n">
        <f aca="false">IF(AND(Time!AL17&gt;=Time!$F$11,Time!AL17&lt;57),(IF(Time!AL29=1,AL68,AL66)-AL65)*AM19+IF(Time!AL29=1,AL68,AL66)*AM12,0)</f>
        <v>4.22277706988684</v>
      </c>
      <c r="AM128" s="11" t="n">
        <f aca="false">IF(AND(Time!AM17&gt;=Time!$F$11,Time!AM17&lt;57),(IF(Time!AM29=1,AM68,AM66)-AM65)*AN19+IF(Time!AM29=1,AM68,AM66)*AN12,0)</f>
        <v>3.41925090621037</v>
      </c>
      <c r="AN128" s="11" t="n">
        <f aca="false">IF(AND(Time!AN17&gt;=Time!$F$11,Time!AN17&lt;57),(IF(Time!AN29=1,AN68,AN66)-AN65)*AO19+IF(Time!AN29=1,AN68,AN66)*AO12,0)</f>
        <v>3.35817557514197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17.2064451512644</v>
      </c>
      <c r="P129" s="11" t="n">
        <f aca="false">IF(AND(Time!P17&gt;=Time!$F$11,Time!P17&lt;57),(IF(Time!P29=1,P83,P81)-P80)*Q19+IF(Time!P29=1,P83,P81)*Q13,0)</f>
        <v>17.0736204600194</v>
      </c>
      <c r="Q129" s="11" t="n">
        <f aca="false">IF(AND(Time!Q17&gt;=Time!$F$11,Time!Q17&lt;57),(IF(Time!Q29=1,Q83,Q81)-Q80)*R19+IF(Time!Q29=1,Q83,Q81)*R13,0)</f>
        <v>17.3011006839499</v>
      </c>
      <c r="R129" s="11" t="n">
        <f aca="false">IF(AND(Time!R17&gt;=Time!$F$11,Time!R17&lt;57),(IF(Time!R29=1,R83,R81)-R80)*S19+IF(Time!R29=1,R83,R81)*S13,0)</f>
        <v>17.0713461374255</v>
      </c>
      <c r="S129" s="11" t="n">
        <f aca="false">IF(AND(Time!S17&gt;=Time!$F$11,Time!S17&lt;57),(IF(Time!S29=1,S83,S81)-S80)*T19+IF(Time!S29=1,S83,S81)*T13,0)</f>
        <v>17.2702731399939</v>
      </c>
      <c r="T129" s="11" t="n">
        <f aca="false">IF(AND(Time!T17&gt;=Time!$F$11,Time!T17&lt;57),(IF(Time!T29=1,T83,T81)-T80)*U19+U22*MIN($F$75/4,T80)+IF(Time!T29=1,T83,T81)*U13,0)</f>
        <v>17.099288245369</v>
      </c>
      <c r="U129" s="11" t="n">
        <f aca="false">IF(AND(Time!U17&gt;=Time!$F$11,Time!U17&lt;57),(IF(Time!U29=1,U83,U81)-U80)*V19+V22*MIN($F$75/4,U80)+IF(Time!U29=1,U83,U81)*V13,0)</f>
        <v>17.391674031459</v>
      </c>
      <c r="V129" s="11" t="n">
        <f aca="false">IF(AND(Time!V17&gt;=Time!$F$11,Time!V17&lt;57),(IF(Time!V29=1,V83,V81)-V80)*W19+W22*MIN($F$75/4,V80)+IF(Time!V29=1,V83,V81)*W13,0)</f>
        <v>17.1626901767424</v>
      </c>
      <c r="W129" s="11" t="n">
        <f aca="false">IF(AND(Time!W17&gt;=Time!$F$11,Time!W17&lt;57),(IF(Time!W29=1,W83,W81)-W80)*X19+X22*MIN($F$75/4,W80)+IF(Time!W29=1,W83,W81)*X13,0)</f>
        <v>16.7132459044706</v>
      </c>
      <c r="X129" s="11" t="n">
        <f aca="false">IF(AND(Time!X17&gt;=Time!$F$11,Time!X17&lt;57),(IF(Time!X29=1,X83,X81)-X80)*Y19+IF(Time!X29=1,X83,X81)*Y13,0)</f>
        <v>16.7893372200096</v>
      </c>
      <c r="Y129" s="11" t="n">
        <f aca="false">IF(AND(Time!Y17&gt;=Time!$F$11,Time!Y17&lt;57),(IF(Time!Y29=1,Y83,Y81)-Y80)*Z19+IF(Time!Y29=1,Y83,Y81)*Z13,0)</f>
        <v>16.9087632998957</v>
      </c>
      <c r="Z129" s="11" t="n">
        <f aca="false">IF(AND(Time!Z17&gt;=Time!$F$11,Time!Z17&lt;57),(IF(Time!Z29=1,Z83,Z81)-Z80)*AA19+IF(Time!Z29=1,Z83,Z81)*AA13,0)</f>
        <v>16.6536348897201</v>
      </c>
      <c r="AA129" s="11" t="n">
        <f aca="false">IF(AND(Time!AA17&gt;=Time!$F$11,Time!AA17&lt;57),(IF(Time!AA29=1,AA83,AA81)-AA80)*AB19+IF(Time!AA29=1,AA83,AA81)*AB13,0)</f>
        <v>16.8163067633381</v>
      </c>
      <c r="AB129" s="11" t="n">
        <f aca="false">IF(AND(Time!AB17&gt;=Time!$F$11,Time!AB17&lt;57),(IF(Time!AB29=1,AB83,AB81)-AB80)*AC19+IF(Time!AB29=1,AB83,AB81)*AC13,0)</f>
        <v>16.2063324853245</v>
      </c>
      <c r="AC129" s="11" t="n">
        <f aca="false">IF(AND(Time!AC17&gt;=Time!$F$11,Time!AC17&lt;57),(IF(Time!AC29=1,AC83,AC81)-AC80)*AD19+IF(Time!AC29=1,AC83,AC81)*AD13,0)</f>
        <v>16.1718326071184</v>
      </c>
      <c r="AD129" s="11" t="n">
        <f aca="false">IF(AND(Time!AD17&gt;=Time!$F$11,Time!AD17&lt;57),(IF(Time!AD29=1,AD83,AD81)-AD80)*AE19+IF(Time!AD29=1,AD83,AD81)*AE13,0)</f>
        <v>15.5328230126982</v>
      </c>
      <c r="AE129" s="11" t="n">
        <f aca="false">IF(AND(Time!AE17&gt;=Time!$F$11,Time!AE17&lt;57),(IF(Time!AE29=1,AE83,AE81)-AE80)*AF19+IF(Time!AE29=1,AE83,AE81)*AF13,0)</f>
        <v>14.8117612838593</v>
      </c>
      <c r="AF129" s="11" t="n">
        <f aca="false">IF(AND(Time!AF17&gt;=Time!$F$11,Time!AF17&lt;57),(IF(Time!AF29=1,AF83,AF81)-AF80)*AG19+IF(Time!AF29=1,AF83,AF81)*AG13,0)</f>
        <v>13.9303135783404</v>
      </c>
      <c r="AG129" s="11" t="n">
        <f aca="false">IF(AND(Time!AG17&gt;=Time!$F$11,Time!AG17&lt;57),(IF(Time!AG29=1,AG83,AG81)-AG80)*AH19+IF(Time!AG29=1,AG83,AG81)*AH13,0)</f>
        <v>12.9985589215811</v>
      </c>
      <c r="AH129" s="11" t="n">
        <f aca="false">IF(AND(Time!AH17&gt;=Time!$F$11,Time!AH17&lt;57),(IF(Time!AH29=1,AH83,AH81)-AH80)*AI19+IF(Time!AH29=1,AH83,AH81)*AI13,0)</f>
        <v>11.6214106963598</v>
      </c>
      <c r="AI129" s="11" t="n">
        <f aca="false">IF(AND(Time!AI17&gt;=Time!$F$11,Time!AI17&lt;57),(IF(Time!AI29=1,AI83,AI81)-AI80)*AJ19+IF(Time!AI29=1,AI83,AI81)*AJ13,0)</f>
        <v>10.1546666620993</v>
      </c>
      <c r="AJ129" s="11" t="n">
        <f aca="false">IF(AND(Time!AJ17&gt;=Time!$F$11,Time!AJ17&lt;57),(IF(Time!AJ29=1,AJ83,AJ81)-AJ80)*AK19+IF(Time!AJ29=1,AJ83,AJ81)*AK13,0)</f>
        <v>8.16934009456833</v>
      </c>
      <c r="AK129" s="11" t="n">
        <f aca="false">IF(AND(Time!AK17&gt;=Time!$F$11,Time!AK17&lt;57),(IF(Time!AK29=1,AK83,AK81)-AK80)*AL19+IF(Time!AK29=1,AK83,AK81)*AL13,0)</f>
        <v>5.66419284467115</v>
      </c>
      <c r="AL129" s="11" t="n">
        <f aca="false">IF(AND(Time!AL17&gt;=Time!$F$11,Time!AL17&lt;57),(IF(Time!AL29=1,AL83,AL81)-AL80)*AM19+IF(Time!AL29=1,AL83,AL81)*AM13,0)</f>
        <v>1.97662700759636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3.03174612237595E-015</v>
      </c>
      <c r="P130" s="11" t="n">
        <f aca="false">IF(AND(Time!P17&gt;=Time!$F$11,Time!P17&lt;57),(IF(Time!P29=1,P98,P96)-P95)*Q19+IF(Time!P29=1,P98,P96)*Q14,0)</f>
        <v>3.00997433390441E-015</v>
      </c>
      <c r="Q130" s="11" t="n">
        <f aca="false">IF(AND(Time!Q17&gt;=Time!$F$11,Time!Q17&lt;57),(IF(Time!Q29=1,Q98,Q96)-Q95)*R19+IF(Time!Q29=1,Q98,Q96)*R14,0)</f>
        <v>3.05134219234342E-015</v>
      </c>
      <c r="R130" s="11" t="n">
        <f aca="false">IF(AND(Time!R17&gt;=Time!$F$11,Time!R17&lt;57),(IF(Time!R29=1,R98,R96)-R95)*S19+IF(Time!R29=1,R98,R96)*S14,0)</f>
        <v>3.01237301893297E-015</v>
      </c>
      <c r="S130" s="11" t="n">
        <f aca="false">IF(AND(Time!S17&gt;=Time!$F$11,Time!S17&lt;57),(IF(Time!S29=1,S98,S96)-S95)*T19+IF(Time!S29=1,S98,S96)*T14,0)</f>
        <v>3.04878142990128E-015</v>
      </c>
      <c r="T130" s="11" t="n">
        <f aca="false">IF(AND(Time!T17&gt;=Time!$F$11,Time!T17&lt;57),(IF(Time!T29=1,T98,T96)-T95)*U19+U22*MIN($F$90/4,T95)+IF(Time!T29=1,T98,T96)*U14,0)</f>
        <v>3.02025929792004E-015</v>
      </c>
      <c r="U130" s="11" t="n">
        <f aca="false">IF(AND(Time!U17&gt;=Time!$F$11,Time!U17&lt;57),(IF(Time!U29=1,U98,U96)-U95)*V19+V22*MIN($F$90/4,U95)+IF(Time!U29=1,U98,U96)*V14,0)</f>
        <v>3.07388329697426E-015</v>
      </c>
      <c r="V130" s="11" t="n">
        <f aca="false">IF(AND(Time!V17&gt;=Time!$F$11,Time!V17&lt;57),(IF(Time!V29=1,V98,V96)-V95)*W19+W22*MIN($F$90/4,V95)+IF(Time!V29=1,V98,V96)*W14,0)</f>
        <v>3.03532414697674E-015</v>
      </c>
      <c r="W130" s="11" t="n">
        <f aca="false">IF(AND(Time!W17&gt;=Time!$F$11,Time!W17&lt;57),(IF(Time!W29=1,W98,W96)-W95)*X19+X22*MIN($F$90/4,W95)+IF(Time!W29=1,W98,W96)*X14,0)</f>
        <v>2.95576647355787E-015</v>
      </c>
      <c r="X130" s="11" t="n">
        <f aca="false">IF(AND(Time!X17&gt;=Time!$F$11,Time!X17&lt;57),(IF(Time!X29=1,X98,X96)-X95)*Y19+IF(Time!X29=1,X98,X96)*Y14,0)</f>
        <v>2.93273705509354E-015</v>
      </c>
      <c r="Y130" s="11" t="n">
        <f aca="false">IF(AND(Time!Y17&gt;=Time!$F$11,Time!Y17&lt;57),(IF(Time!Y29=1,Y98,Y96)-Y95)*Z19+IF(Time!Y29=1,Y98,Y96)*Z14,0)</f>
        <v>2.95633968263667E-015</v>
      </c>
      <c r="Z130" s="11" t="n">
        <f aca="false">IF(AND(Time!Z17&gt;=Time!$F$11,Time!Z17&lt;57),(IF(Time!Z29=1,Z98,Z96)-Z95)*AA19+IF(Time!Z29=1,Z98,Z96)*AA14,0)</f>
        <v>2.91541625887449E-015</v>
      </c>
      <c r="AA130" s="11" t="n">
        <f aca="false">IF(AND(Time!AA17&gt;=Time!$F$11,Time!AA17&lt;57),(IF(Time!AA29=1,AA98,AA96)-AA95)*AB19+IF(Time!AA29=1,AA98,AA96)*AB14,0)</f>
        <v>2.94714835015619E-015</v>
      </c>
      <c r="AB130" s="11" t="n">
        <f aca="false">IF(AND(Time!AB17&gt;=Time!$F$11,Time!AB17&lt;57),(IF(Time!AB29=1,AB98,AB96)-AB95)*AC19+IF(Time!AB29=1,AB98,AB96)*AC14,0)</f>
        <v>2.92007146871853E-015</v>
      </c>
      <c r="AC130" s="11" t="n">
        <f aca="false">IF(AND(Time!AC17&gt;=Time!$F$11,Time!AC17&lt;57),(IF(Time!AC29=1,AC98,AC96)-AC95)*AD19+IF(Time!AC29=1,AC98,AC96)*AD14,0)</f>
        <v>3.02084267340305E-015</v>
      </c>
      <c r="AD130" s="11" t="n">
        <f aca="false">IF(AND(Time!AD17&gt;=Time!$F$11,Time!AD17&lt;57),(IF(Time!AD29=1,AD98,AD96)-AD95)*AE19+IF(Time!AD29=1,AD98,AD96)*AE14,0)</f>
        <v>3.00668781128291E-015</v>
      </c>
      <c r="AE130" s="11" t="n">
        <f aca="false">IF(AND(Time!AE17&gt;=Time!$F$11,Time!AE17&lt;57),(IF(Time!AE29=1,AE98,AE96)-AE95)*AF19+IF(Time!AE29=1,AE98,AE96)*AF14,0)</f>
        <v>3.01089110553495E-015</v>
      </c>
      <c r="AF130" s="11" t="n">
        <f aca="false">IF(AND(Time!AF17&gt;=Time!$F$11,Time!AF17&lt;57),(IF(Time!AF29=1,AF98,AF96)-AF95)*AG19+IF(Time!AF29=1,AF98,AF96)*AG14,0)</f>
        <v>2.98497489651049E-015</v>
      </c>
      <c r="AG130" s="11" t="n">
        <f aca="false">IF(AND(Time!AG17&gt;=Time!$F$11,Time!AG17&lt;57),(IF(Time!AG29=1,AG98,AG96)-AG95)*AH19+IF(Time!AG29=1,AG98,AG96)*AH14,0)</f>
        <v>3.01439873737798E-015</v>
      </c>
      <c r="AH130" s="11" t="n">
        <f aca="false">IF(AND(Time!AH17&gt;=Time!$F$11,Time!AH17&lt;57),(IF(Time!AH29=1,AH98,AH96)-AH95)*AI19+IF(Time!AH29=1,AH98,AH96)*AI14,0)</f>
        <v>2.97218973510607E-015</v>
      </c>
      <c r="AI130" s="11" t="n">
        <f aca="false">IF(AND(Time!AI17&gt;=Time!$F$11,Time!AI17&lt;57),(IF(Time!AI29=1,AI98,AI96)-AI95)*AJ19+IF(Time!AI29=1,AI98,AI96)*AJ14,0)</f>
        <v>2.99542643330335E-015</v>
      </c>
      <c r="AJ130" s="11" t="n">
        <f aca="false">IF(AND(Time!AJ17&gt;=Time!$F$11,Time!AJ17&lt;57),(IF(Time!AJ29=1,AJ98,AJ96)-AJ95)*AK19+IF(Time!AJ29=1,AJ98,AJ96)*AK14,0)</f>
        <v>2.96404022717053E-015</v>
      </c>
      <c r="AK130" s="11" t="n">
        <f aca="false">IF(AND(Time!AK17&gt;=Time!$F$11,Time!AK17&lt;57),(IF(Time!AK29=1,AK98,AK96)-AK95)*AL19+IF(Time!AK29=1,AK98,AK96)*AL14,0)</f>
        <v>3.01163017171473E-015</v>
      </c>
      <c r="AL130" s="11" t="n">
        <f aca="false">IF(AND(Time!AL17&gt;=Time!$F$11,Time!AL17&lt;57),(IF(Time!AL29=1,AL98,AL96)-AL95)*AM19+IF(Time!AL29=1,AL98,AL96)*AM14,0)</f>
        <v>2.94846667081701E-015</v>
      </c>
      <c r="AM130" s="11" t="n">
        <f aca="false">IF(AND(Time!AM17&gt;=Time!$F$11,Time!AM17&lt;57),(IF(Time!AM29=1,AM98,AM96)-AM95)*AN19+IF(Time!AM29=1,AM98,AM96)*AN14,0)</f>
        <v>2.37541816448796E-015</v>
      </c>
      <c r="AN130" s="11" t="n">
        <f aca="false">IF(AND(Time!AN17&gt;=Time!$F$11,Time!AN17&lt;57),(IF(Time!AN29=1,AN98,AN96)-AN95)*AO19+IF(Time!AN29=1,AN98,AN96)*AO14,0)</f>
        <v>2.31180053509309E-015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40.840014591187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40.7340547110883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41.2570794187973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40.9270889047008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41.3947092411322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41.1880873212098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41.9790491065032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41.6772339935783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40.4846884478949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40.0832417915395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40.420276949773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40.0845355618092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40.5624339196071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39.9344124921423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40.8856070862169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40.3955203741877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39.7819004829281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38.6185456988274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38.0786898080084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36.6312074601165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35.5429976709695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33.5734842947147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31.7396221439247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27.8189147440583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20.9574375067891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20.7065333478348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0.034429605795626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0.034075098760112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0.034461469872758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0.0340907710371797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0.034477401911324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0.0342196479952278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0.034477401911324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0.0340907710371797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0.034477401911324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0.0351521907902661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0.035556414257003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0.0351521907902661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0.035556414257003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0.035286931945845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0.035556414257003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0.0351521907902661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0.035556414257003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0.0362136105433525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0.036635426602682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0.0362136105433525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0.036635426602682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0.0363542158964623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0.036635426602682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0.0362136105433525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0.036635426602682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0.0362136105433525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861.697810468344</v>
      </c>
      <c r="Q136" s="11" t="n">
        <f aca="false">IF(Q134=1,(Waterfall!Q7+R136)/(1+Q135),0)</f>
        <v>841.093632126456</v>
      </c>
      <c r="R136" s="11" t="n">
        <f aca="false">IF(R134=1,(Waterfall!R7+S136)/(1+R135),0)</f>
        <v>819.593283632389</v>
      </c>
      <c r="S136" s="11" t="n">
        <f aca="false">IF(S134=1,(Waterfall!S7+T136)/(1+S135),0)</f>
        <v>797.044213011142</v>
      </c>
      <c r="T136" s="11" t="n">
        <f aca="false">IF(T134=1,(Waterfall!T7+U136)/(1+T135),0)</f>
        <v>773.816092914722</v>
      </c>
      <c r="U136" s="11" t="n">
        <f aca="false">IF(U134=1,(Waterfall!U7+V136)/(1+U135),0)</f>
        <v>749.531117345613</v>
      </c>
      <c r="V136" s="11" t="n">
        <f aca="false">IF(V134=1,(Waterfall!V7+W136)/(1+V135),0)</f>
        <v>724.459373119766</v>
      </c>
      <c r="W136" s="11" t="n">
        <f aca="false">IF(W134=1,(Waterfall!W7+X136)/(1+W135),0)</f>
        <v>697.74815777346</v>
      </c>
      <c r="X136" s="11" t="n">
        <f aca="false">IF(X134=1,(Waterfall!X7+Y136)/(1+X135),0)</f>
        <v>670.203573433541</v>
      </c>
      <c r="Y136" s="11" t="n">
        <f aca="false">IF(Y134=1,(Waterfall!Y7+Z136)/(1+Y135),0)</f>
        <v>643.459278042532</v>
      </c>
      <c r="Z136" s="11" t="n">
        <f aca="false">IF(Z134=1,(Waterfall!Z7+AA136)/(1+Z135),0)</f>
        <v>616.708252086912</v>
      </c>
      <c r="AA136" s="11" t="n">
        <f aca="false">IF(AA134=1,(Waterfall!AA7+AB136)/(1+AA135),0)</f>
        <v>588.859845973673</v>
      </c>
      <c r="AB136" s="11" t="n">
        <f aca="false">IF(AB134=1,(Waterfall!AB7+AC136)/(1+AB135),0)</f>
        <v>560.184271696273</v>
      </c>
      <c r="AC136" s="11" t="n">
        <f aca="false">IF(AC134=1,(Waterfall!AC7+AD136)/(1+AC135),0)</f>
        <v>530.146005064483</v>
      </c>
      <c r="AD136" s="11" t="n">
        <f aca="false">IF(AD134=1,(Waterfall!AD7+AE136)/(1+AD135),0)</f>
        <v>499.101776623865</v>
      </c>
      <c r="AE136" s="11" t="n">
        <f aca="false">IF(AE134=1,(Waterfall!AE7+AF136)/(1+AE135),0)</f>
        <v>465.18550346717</v>
      </c>
      <c r="AF136" s="11" t="n">
        <f aca="false">IF(AF134=1,(Waterfall!AF7+AG136)/(1+AF135),0)</f>
        <v>429.791961100247</v>
      </c>
      <c r="AG136" s="11" t="n">
        <f aca="false">IF(AG134=1,(Waterfall!AG7+AH136)/(1+AG135),0)</f>
        <v>393.167136460665</v>
      </c>
      <c r="AH136" s="11" t="n">
        <f aca="false">IF(AH134=1,(Waterfall!AH7+AI136)/(1+AH135),0)</f>
        <v>355.865858866989</v>
      </c>
      <c r="AI136" s="11" t="n">
        <f aca="false">IF(AI134=1,(Waterfall!AI7+AJ136)/(1+AI135),0)</f>
        <v>316.694411741728</v>
      </c>
      <c r="AJ136" s="11" t="n">
        <f aca="false">IF(AJ134=1,(Waterfall!AJ7+AK136)/(1+AJ135),0)</f>
        <v>276.361819079281</v>
      </c>
      <c r="AK136" s="11" t="n">
        <f aca="false">IF(AK134=1,(Waterfall!AK7+AL136)/(1+AK135),0)</f>
        <v>234.083853929305</v>
      </c>
      <c r="AL136" s="11" t="n">
        <f aca="false">IF(AL134=1,(Waterfall!AL7+AM136)/(1+AL135),0)</f>
        <v>190.429255952151</v>
      </c>
      <c r="AM136" s="11" t="n">
        <f aca="false">IF(AM134=1,(Waterfall!AM7+AN136)/(1+AM135),0)</f>
        <v>144.130136970171</v>
      </c>
      <c r="AN136" s="11" t="n">
        <f aca="false">IF(AN134=1,(Waterfall!AN7+AO136)/(1+AN135),0)</f>
        <v>96.4499045903592</v>
      </c>
      <c r="AO136" s="11" t="n">
        <f aca="false">IF(AO134=1,(Waterfall!AO7+AP136)/(1+AO135),0)</f>
        <v>48.9197648384334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1.24254159146012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638.294674420996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702.324338097613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IF(J134=1,Waterfall!J7/$F$137,0)</f>
        <v>0</v>
      </c>
      <c r="K140" s="11" t="n">
        <f aca="false">IF(K134=1,Waterfall!K7/$F$137,0)</f>
        <v>0</v>
      </c>
      <c r="L140" s="11" t="n">
        <f aca="false">IF(L134=1,Waterfall!L7/$F$137,0)</f>
        <v>0</v>
      </c>
      <c r="M140" s="11" t="n">
        <f aca="false">IF(M134=1,Waterfall!M7/$F$137,0)</f>
        <v>0</v>
      </c>
      <c r="N140" s="11" t="n">
        <f aca="false">IF(N134=1,Waterfall!N7/$F$137,0)</f>
        <v>0</v>
      </c>
      <c r="O140" s="11" t="n">
        <f aca="false">IF(O134=1,Waterfall!O7/$F$137,0)</f>
        <v>0</v>
      </c>
      <c r="P140" s="11" t="n">
        <f aca="false">IF(P134=1,Waterfall!P7/$F$137,0)</f>
        <v>40.4590837174247</v>
      </c>
      <c r="Q140" s="11" t="n">
        <f aca="false">IF(Q134=1,Waterfall!Q7/$F$137,0)</f>
        <v>40.3694310275224</v>
      </c>
      <c r="R140" s="11" t="n">
        <f aca="false">IF(R134=1,Waterfall!R7/$F$137,0)</f>
        <v>40.8786798141473</v>
      </c>
      <c r="S140" s="11" t="n">
        <f aca="false">IF(S134=1,Waterfall!S7/$F$137,0)</f>
        <v>40.5619998679215</v>
      </c>
      <c r="T140" s="11" t="n">
        <f aca="false">IF(T134=1,Waterfall!T7/$F$137,0)</f>
        <v>41.016046754694</v>
      </c>
      <c r="U140" s="11" t="n">
        <f aca="false">IF(U134=1,Waterfall!U7/$F$137,0)</f>
        <v>40.8199094271615</v>
      </c>
      <c r="V140" s="11" t="n">
        <f aca="false">IF(V134=1,Waterfall!V7/$F$137,0)</f>
        <v>41.599164709684</v>
      </c>
      <c r="W140" s="11" t="n">
        <f aca="false">IF(W134=1,Waterfall!W7/$F$137,0)</f>
        <v>41.3115805386181</v>
      </c>
      <c r="X140" s="11" t="n">
        <f aca="false">IF(X134=1,Waterfall!X7/$F$137,0)</f>
        <v>40.1203257076506</v>
      </c>
      <c r="Y140" s="11" t="n">
        <f aca="false">IF(Y134=1,Waterfall!Y7/$F$137,0)</f>
        <v>39.7330999641818</v>
      </c>
      <c r="Z140" s="11" t="n">
        <f aca="false">IF(Z134=1,Waterfall!Z7/$F$137,0)</f>
        <v>40.0600998326831</v>
      </c>
      <c r="AA140" s="11" t="n">
        <f aca="false">IF(AA134=1,Waterfall!AA7/$F$137,0)</f>
        <v>39.7373321514108</v>
      </c>
      <c r="AB140" s="11" t="n">
        <f aca="false">IF(AB134=1,Waterfall!AB7/$F$137,0)</f>
        <v>40.2050209021791</v>
      </c>
      <c r="AC140" s="11" t="n">
        <f aca="false">IF(AC134=1,Waterfall!AC7/$F$137,0)</f>
        <v>40.0400717244616</v>
      </c>
      <c r="AD140" s="11" t="n">
        <f aca="false">IF(AD134=1,Waterfall!AD7/$F$137,0)</f>
        <v>41.5781194269965</v>
      </c>
      <c r="AE140" s="11" t="n">
        <f aca="false">IF(AE134=1,Waterfall!AE7/$F$137,0)</f>
        <v>41.6451507887635</v>
      </c>
      <c r="AF140" s="11" t="n">
        <f aca="false">IF(AF134=1,Waterfall!AF7/$F$137,0)</f>
        <v>41.7746061858556</v>
      </c>
      <c r="AG140" s="11" t="n">
        <f aca="false">IF(AG134=1,Waterfall!AG7/$F$137,0)</f>
        <v>41.4789166866783</v>
      </c>
      <c r="AH140" s="11" t="n">
        <f aca="false">IF(AH134=1,Waterfall!AH7/$F$137,0)</f>
        <v>42.0177039038448</v>
      </c>
      <c r="AI140" s="11" t="n">
        <f aca="false">IF(AI134=1,Waterfall!AI7/$F$137,0)</f>
        <v>41.6897439140415</v>
      </c>
      <c r="AJ140" s="11" t="n">
        <f aca="false">IF(AJ134=1,Waterfall!AJ7/$F$137,0)</f>
        <v>42.1737176838161</v>
      </c>
      <c r="AK140" s="11" t="n">
        <f aca="false">IF(AK134=1,Waterfall!AK7/$F$137,0)</f>
        <v>41.9821222076572</v>
      </c>
      <c r="AL140" s="11" t="n">
        <f aca="false">IF(AL134=1,Waterfall!AL7/$F$137,0)</f>
        <v>42.8762919306503</v>
      </c>
      <c r="AM140" s="11" t="n">
        <f aca="false">IF(AM134=1,Waterfall!AM7/$F$137,0)</f>
        <v>42.5737901984002</v>
      </c>
      <c r="AN140" s="11" t="n">
        <f aca="false">IF(AN134=1,Waterfall!AN7/$F$137,0)</f>
        <v>41.0961077708283</v>
      </c>
      <c r="AO140" s="11" t="n">
        <f aca="false">IF(AO134=1,Waterfall!AO7/$F$137,0)</f>
        <v>40.7964823862331</v>
      </c>
      <c r="AP140" s="11" t="n">
        <f aca="false">IF(AP134=1,Waterfall!AP7/$F$137,0)</f>
        <v>0</v>
      </c>
      <c r="AQ140" s="11" t="n">
        <f aca="false">IF(AQ134=1,Waterfall!AQ7/$F$137,0)</f>
        <v>0</v>
      </c>
      <c r="AR140" s="11" t="n">
        <f aca="false">IF(AR134=1,Waterfall!AR7/$F$137,0)</f>
        <v>0</v>
      </c>
      <c r="AS140" s="11" t="n">
        <f aca="false">IF(AS134=1,Waterfall!AS7/$F$137,0)</f>
        <v>0</v>
      </c>
      <c r="AT140" s="11" t="n">
        <f aca="false">IF(AT134=1,Waterfall!AT7/$F$137,0)</f>
        <v>0</v>
      </c>
      <c r="AU140" s="11" t="n">
        <f aca="false">IF(AU134=1,Waterfall!AU7/$F$137,0)</f>
        <v>0</v>
      </c>
      <c r="AV140" s="11" t="n">
        <f aca="false">IF(AV134=1,Waterfall!AV7/$F$137,0)</f>
        <v>0</v>
      </c>
      <c r="AW140" s="11" t="n">
        <f aca="false">IF(AW134=1,Waterfall!AW7/$F$137,0)</f>
        <v>0</v>
      </c>
      <c r="AX140" s="11" t="n">
        <f aca="false">IF(AX134=1,Waterfall!AX7/$F$137,0)</f>
        <v>0</v>
      </c>
      <c r="AY140" s="11" t="n">
        <f aca="false">IF(AY134=1,Waterfall!AY7/$F$137,0)</f>
        <v>0</v>
      </c>
      <c r="AZ140" s="11" t="n">
        <f aca="false">IF(AZ134=1,Waterfall!AZ7/$F$137,0)</f>
        <v>0</v>
      </c>
      <c r="BA140" s="11" t="n">
        <f aca="false">IF(BA134=1,Waterfall!BA7/$F$137,0)</f>
        <v>0</v>
      </c>
      <c r="BB140" s="11" t="n">
        <f aca="false">IF(BB134=1,Waterfall!BB7/$F$137,0)</f>
        <v>0</v>
      </c>
      <c r="BC140" s="11" t="n">
        <f aca="false">IF(BC134=1,Waterfall!BC7/$F$137,0)</f>
        <v>0</v>
      </c>
      <c r="BD140" s="11" t="n">
        <f aca="false">IF(BD134=1,Waterfall!BD7/$F$137,0)</f>
        <v>0</v>
      </c>
      <c r="BE140" s="11" t="n">
        <f aca="false">IF(BE134=1,Waterfall!BE7/$F$137,0)</f>
        <v>0</v>
      </c>
      <c r="BF140" s="11" t="n">
        <f aca="false">IF(BF134=1,Waterfall!BF7/$F$137,0)</f>
        <v>0</v>
      </c>
      <c r="BG140" s="11" t="n">
        <f aca="false">IF(BG134=1,Waterfall!BG7/$F$137,0)</f>
        <v>0</v>
      </c>
      <c r="BH140" s="11" t="n">
        <f aca="false">IF(BH134=1,Waterfall!BH7/$F$137,0)</f>
        <v>0</v>
      </c>
      <c r="BI140" s="11" t="n">
        <f aca="false">IF(BI134=1,Waterfall!BI7/$F$137,0)</f>
        <v>0</v>
      </c>
      <c r="BJ140" s="11" t="n">
        <f aca="false">IF(BJ134=1,Waterfall!BJ7/$F$137,0)</f>
        <v>0</v>
      </c>
      <c r="BK140" s="11" t="n">
        <f aca="false">IF(BK134=1,Waterfall!BK7/$F$137,0)</f>
        <v>0</v>
      </c>
      <c r="BL140" s="11" t="n">
        <f aca="false">IF(BL134=1,Waterfall!BL7/$F$137,0)</f>
        <v>0</v>
      </c>
      <c r="BM140" s="11" t="n">
        <f aca="false">IF(BM134=1,Waterfall!BM7/$F$137,0)</f>
        <v>0</v>
      </c>
      <c r="BN140" s="11" t="n">
        <f aca="false">IF(BN134=1,Waterfall!BN7/$F$137,0)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693.496150463468</v>
      </c>
      <c r="Q141" s="11" t="n">
        <f aca="false">IF(Q134=1,IF(Time!Q17=Time!$F$12,Funding!$F$25,P141-P142),0)</f>
        <v>676.913865827285</v>
      </c>
      <c r="R141" s="11" t="n">
        <f aca="false">IF(R134=1,IF(Time!R17=Time!$F$12,Funding!$F$25,Q141-Q142),0)</f>
        <v>659.610341629916</v>
      </c>
      <c r="S141" s="11" t="n">
        <f aca="false">IF(S134=1,IF(Time!S17=Time!$F$12,Funding!$F$25,R141-R142),0)</f>
        <v>641.462803731608</v>
      </c>
      <c r="T141" s="11" t="n">
        <f aca="false">IF(T134=1,IF(Time!T17=Time!$F$12,Funding!$F$25,S141-S142),0)</f>
        <v>622.768765434568</v>
      </c>
      <c r="U141" s="11" t="n">
        <f aca="false">IF(U134=1,IF(Time!U17=Time!$F$12,Funding!$F$25,T141-T142),0)</f>
        <v>603.224167703581</v>
      </c>
      <c r="V141" s="11" t="n">
        <f aca="false">IF(V134=1,IF(Time!V17=Time!$F$12,Funding!$F$25,U141-U142),0)</f>
        <v>583.04637695745</v>
      </c>
      <c r="W141" s="11" t="n">
        <f aca="false">IF(W134=1,IF(Time!W17=Time!$F$12,Funding!$F$25,V141-V142),0)</f>
        <v>561.549136519069</v>
      </c>
      <c r="X141" s="11" t="n">
        <f aca="false">IF(X134=1,IF(Time!X17=Time!$F$12,Funding!$F$25,W141-W142),0)</f>
        <v>539.381199019649</v>
      </c>
      <c r="Y141" s="11" t="n">
        <f aca="false">IF(Y134=1,IF(Time!Y17=Time!$F$12,Funding!$F$25,X141-X142),0)</f>
        <v>517.85733569401</v>
      </c>
      <c r="Z141" s="11" t="n">
        <f aca="false">IF(Z134=1,IF(Time!Z17=Time!$F$12,Funding!$F$25,Y141-Y142),0)</f>
        <v>496.328055596283</v>
      </c>
      <c r="AA141" s="11" t="n">
        <f aca="false">IF(AA134=1,IF(Time!AA17=Time!$F$12,Funding!$F$25,Z141-Z142),0)</f>
        <v>473.915601715755</v>
      </c>
      <c r="AB141" s="11" t="n">
        <f aca="false">IF(AB134=1,IF(Time!AB17=Time!$F$12,Funding!$F$25,AA141-AA142),0)</f>
        <v>450.83744121434</v>
      </c>
      <c r="AC141" s="11" t="n">
        <f aca="false">IF(AC134=1,IF(Time!AC17=Time!$F$12,Funding!$F$25,AB141-AB142),0)</f>
        <v>426.662583134545</v>
      </c>
      <c r="AD141" s="11" t="n">
        <f aca="false">IF(AD134=1,IF(Time!AD17=Time!$F$12,Funding!$F$25,AC141-AC142),0)</f>
        <v>401.678124944991</v>
      </c>
      <c r="AE141" s="11" t="n">
        <f aca="false">IF(AE134=1,IF(Time!AE17=Time!$F$12,Funding!$F$25,AD141-AD142),0)</f>
        <v>374.382239326514</v>
      </c>
      <c r="AF141" s="11" t="n">
        <f aca="false">IF(AF134=1,IF(Time!AF17=Time!$F$12,Funding!$F$25,AE141-AE142),0)</f>
        <v>345.897444443043</v>
      </c>
      <c r="AG141" s="11" t="n">
        <f aca="false">IF(AG134=1,IF(Time!AG17=Time!$F$12,Funding!$F$25,AF141-AF142),0)</f>
        <v>316.421711082243</v>
      </c>
      <c r="AH141" s="11" t="n">
        <f aca="false">IF(AH134=1,IF(Time!AH17=Time!$F$12,Funding!$F$25,AG141-AG142),0)</f>
        <v>286.401567008159</v>
      </c>
      <c r="AI141" s="11" t="n">
        <f aca="false">IF(AI134=1,IF(Time!AI17=Time!$F$12,Funding!$F$25,AH141-AH142),0)</f>
        <v>254.876306691334</v>
      </c>
      <c r="AJ141" s="11" t="n">
        <f aca="false">IF(AJ134=1,IF(Time!AJ17=Time!$F$12,Funding!$F$25,AI141-AI142),0)</f>
        <v>222.416554084541</v>
      </c>
      <c r="AK141" s="11" t="n">
        <f aca="false">IF(AK134=1,IF(Time!AK17=Time!$F$12,Funding!$F$25,AJ141-AJ142),0)</f>
        <v>188.39116174311</v>
      </c>
      <c r="AL141" s="11" t="n">
        <f aca="false">IF(AL134=1,IF(Time!AL17=Time!$F$12,Funding!$F$25,AK141-AK142),0)</f>
        <v>153.257852502448</v>
      </c>
      <c r="AM141" s="11" t="n">
        <f aca="false">IF(AM134=1,IF(Time!AM17=Time!$F$12,Funding!$F$25,AL141-AL142),0)</f>
        <v>115.996227378435</v>
      </c>
      <c r="AN141" s="11" t="n">
        <f aca="false">IF(AN134=1,IF(Time!AN17=Time!$F$12,Funding!$F$25,AM141-AM142),0)</f>
        <v>77.623079382816</v>
      </c>
      <c r="AO141" s="11" t="n">
        <f aca="false">IF(AO134=1,IF(Time!AO17=Time!$F$12,Funding!$F$25,AN141-AN142),0)</f>
        <v>39.3707262393911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16.5822846361833</v>
      </c>
      <c r="Q142" s="11" t="n">
        <f aca="false">Q140-Q141*Q135</f>
        <v>17.3035241973685</v>
      </c>
      <c r="R142" s="11" t="n">
        <f aca="false">R140-R141*R135</f>
        <v>18.1475378983083</v>
      </c>
      <c r="S142" s="11" t="n">
        <f aca="false">S140-S141*S135</f>
        <v>18.6940382970399</v>
      </c>
      <c r="T142" s="11" t="n">
        <f aca="false">T140-T141*T135</f>
        <v>19.5445977309874</v>
      </c>
      <c r="U142" s="11" t="n">
        <f aca="false">U140-U141*U135</f>
        <v>20.1777907461308</v>
      </c>
      <c r="V142" s="11" t="n">
        <f aca="false">V140-V141*V135</f>
        <v>21.4972404383807</v>
      </c>
      <c r="W142" s="11" t="n">
        <f aca="false">W140-W141*W135</f>
        <v>22.1679374994206</v>
      </c>
      <c r="X142" s="11" t="n">
        <f aca="false">X140-X141*X135</f>
        <v>21.5238633256383</v>
      </c>
      <c r="Y142" s="11" t="n">
        <f aca="false">Y140-Y141*Y135</f>
        <v>21.529280097727</v>
      </c>
      <c r="Z142" s="11" t="n">
        <f aca="false">Z140-Z141*Z135</f>
        <v>22.4124538805289</v>
      </c>
      <c r="AA142" s="11" t="n">
        <f aca="false">AA140-AA141*AA135</f>
        <v>23.0781605014148</v>
      </c>
      <c r="AB142" s="11" t="n">
        <f aca="false">AB140-AB141*AB135</f>
        <v>24.1748580797948</v>
      </c>
      <c r="AC142" s="11" t="n">
        <f aca="false">AC140-AC141*AC135</f>
        <v>24.9844581895544</v>
      </c>
      <c r="AD142" s="11" t="n">
        <f aca="false">AD140-AD141*AD135</f>
        <v>27.2958856184762</v>
      </c>
      <c r="AE142" s="11" t="n">
        <f aca="false">AE140-AE141*AE135</f>
        <v>28.4847948834708</v>
      </c>
      <c r="AF142" s="11" t="n">
        <f aca="false">AF140-AF141*AF135</f>
        <v>29.4757333608001</v>
      </c>
      <c r="AG142" s="11" t="n">
        <f aca="false">AG140-AG141*AG135</f>
        <v>30.0201440740848</v>
      </c>
      <c r="AH142" s="11" t="n">
        <f aca="false">AH140-AH141*AH135</f>
        <v>31.5252603168243</v>
      </c>
      <c r="AI142" s="11" t="n">
        <f aca="false">AI140-AI141*AI135</f>
        <v>32.4597526067935</v>
      </c>
      <c r="AJ142" s="11" t="n">
        <f aca="false">AJ140-AJ141*AJ135</f>
        <v>34.0253923414305</v>
      </c>
      <c r="AK142" s="11" t="n">
        <f aca="false">AK140-AK141*AK135</f>
        <v>35.1333092406628</v>
      </c>
      <c r="AL142" s="11" t="n">
        <f aca="false">AL140-AL141*AL135</f>
        <v>37.2616251240122</v>
      </c>
      <c r="AM142" s="11" t="n">
        <f aca="false">AM140-AM141*AM135</f>
        <v>38.3731479956194</v>
      </c>
      <c r="AN142" s="11" t="n">
        <f aca="false">AN140-AN141*AN135</f>
        <v>38.252353143425</v>
      </c>
      <c r="AO142" s="11" t="n">
        <f aca="false">AO140-AO141*AO135</f>
        <v>39.3707262393909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40.840014591187</v>
      </c>
      <c r="P9" s="11" t="n">
        <f aca="false">IF(Time!P29=1,SUM(Funding!$J$44:$BJ$44),O13)</f>
        <v>40.840014591187</v>
      </c>
      <c r="Q9" s="11" t="n">
        <f aca="false">IF(Time!Q29=1,SUM(Funding!$J$44:$BJ$44),P13)</f>
        <v>40.7340547110883</v>
      </c>
      <c r="R9" s="11" t="n">
        <f aca="false">IF(Time!R29=1,SUM(Funding!$J$44:$BJ$44),Q13)</f>
        <v>41.2570794187973</v>
      </c>
      <c r="S9" s="11" t="n">
        <f aca="false">IF(Time!S29=1,SUM(Funding!$J$44:$BJ$44),R13)</f>
        <v>40.9270889047008</v>
      </c>
      <c r="T9" s="11" t="n">
        <f aca="false">IF(Time!T29=1,SUM(Funding!$J$44:$BJ$44),S13)</f>
        <v>41.3947092411322</v>
      </c>
      <c r="U9" s="11" t="n">
        <f aca="false">IF(Time!U29=1,SUM(Funding!$J$44:$BJ$44),T13)</f>
        <v>41.1880873212098</v>
      </c>
      <c r="V9" s="11" t="n">
        <f aca="false">IF(Time!V29=1,SUM(Funding!$J$44:$BJ$44),U13)</f>
        <v>41.9790491065032</v>
      </c>
      <c r="W9" s="11" t="n">
        <f aca="false">IF(Time!W29=1,SUM(Funding!$J$44:$BJ$44),V13)</f>
        <v>41.6772339935783</v>
      </c>
      <c r="X9" s="11" t="n">
        <f aca="false">IF(Time!X29=1,SUM(Funding!$J$44:$BJ$44),W13)</f>
        <v>40.4846884478949</v>
      </c>
      <c r="Y9" s="11" t="n">
        <f aca="false">IF(Time!Y29=1,SUM(Funding!$J$44:$BJ$44),X13)</f>
        <v>40.0832417915395</v>
      </c>
      <c r="Z9" s="11" t="n">
        <f aca="false">IF(Time!Z29=1,SUM(Funding!$J$44:$BJ$44),Y13)</f>
        <v>40.420276949773</v>
      </c>
      <c r="AA9" s="11" t="n">
        <f aca="false">IF(Time!AA29=1,SUM(Funding!$J$44:$BJ$44),Z13)</f>
        <v>40.0845355618092</v>
      </c>
      <c r="AB9" s="11" t="n">
        <f aca="false">IF(Time!AB29=1,SUM(Funding!$J$44:$BJ$44),AA13)</f>
        <v>40.5624339196071</v>
      </c>
      <c r="AC9" s="11" t="n">
        <f aca="false">IF(Time!AC29=1,SUM(Funding!$J$44:$BJ$44),AB13)</f>
        <v>39.9344124921423</v>
      </c>
      <c r="AD9" s="11" t="n">
        <f aca="false">IF(Time!AD29=1,SUM(Funding!$J$44:$BJ$44),AC13)</f>
        <v>40.8856070862169</v>
      </c>
      <c r="AE9" s="11" t="n">
        <f aca="false">IF(Time!AE29=1,SUM(Funding!$J$44:$BJ$44),AD13)</f>
        <v>40.3955203741877</v>
      </c>
      <c r="AF9" s="11" t="n">
        <f aca="false">IF(Time!AF29=1,SUM(Funding!$J$44:$BJ$44),AE13)</f>
        <v>39.7819004829281</v>
      </c>
      <c r="AG9" s="11" t="n">
        <f aca="false">IF(Time!AG29=1,SUM(Funding!$J$44:$BJ$44),AF13)</f>
        <v>38.6185456988274</v>
      </c>
      <c r="AH9" s="11" t="n">
        <f aca="false">IF(Time!AH29=1,SUM(Funding!$J$44:$BJ$44),AG13)</f>
        <v>38.0786898080084</v>
      </c>
      <c r="AI9" s="11" t="n">
        <f aca="false">IF(Time!AI29=1,SUM(Funding!$J$44:$BJ$44),AH13)</f>
        <v>36.6312074601165</v>
      </c>
      <c r="AJ9" s="11" t="n">
        <f aca="false">IF(Time!AJ29=1,SUM(Funding!$J$44:$BJ$44),AI13)</f>
        <v>35.5429976709695</v>
      </c>
      <c r="AK9" s="11" t="n">
        <f aca="false">IF(Time!AK29=1,SUM(Funding!$J$44:$BJ$44),AJ13)</f>
        <v>33.5734842947147</v>
      </c>
      <c r="AL9" s="11" t="n">
        <f aca="false">IF(Time!AL29=1,SUM(Funding!$J$44:$BJ$44),AK13)</f>
        <v>31.7396221439247</v>
      </c>
      <c r="AM9" s="11" t="n">
        <f aca="false">IF(Time!AM29=1,SUM(Funding!$J$44:$BJ$44),AL13)</f>
        <v>27.8189147440583</v>
      </c>
      <c r="AN9" s="11" t="n">
        <f aca="false">IF(Time!AN29=1,SUM(Funding!$J$44:$BJ$44),AM13)</f>
        <v>20.9574375067891</v>
      </c>
      <c r="AO9" s="11" t="n">
        <f aca="false">IF(Time!AO29=1,SUM(Funding!$J$44:$BJ$44),AN13)</f>
        <v>20.7065333478348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3.54773493953978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0</v>
      </c>
      <c r="P11" s="11" t="n">
        <f aca="false">MIN(Waterfall!P13,MAX(0,Debt!P132-(P9-P10)))</f>
        <v>0</v>
      </c>
      <c r="Q11" s="11" t="n">
        <f aca="false">MIN(Waterfall!Q13,MAX(0,Debt!Q132-(Q9-Q10)))</f>
        <v>0.523024707708963</v>
      </c>
      <c r="R11" s="11" t="n">
        <f aca="false">MIN(Waterfall!R13,MAX(0,Debt!R132-(R9-R10)))</f>
        <v>0</v>
      </c>
      <c r="S11" s="11" t="n">
        <f aca="false">MIN(Waterfall!S13,MAX(0,Debt!S132-(S9-S10)))</f>
        <v>0.467620336431409</v>
      </c>
      <c r="T11" s="11" t="n">
        <f aca="false">MIN(Waterfall!T13,MAX(0,Debt!T132-(T9-T10)))</f>
        <v>0</v>
      </c>
      <c r="U11" s="11" t="n">
        <f aca="false">MIN(Waterfall!U13,MAX(0,Debt!U132-(U9-U10)))</f>
        <v>0.790961785293462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0.337035158233491</v>
      </c>
      <c r="Z11" s="11" t="n">
        <f aca="false">MIN(Waterfall!Z13,MAX(0,Debt!Z132-(Z9-Z10)))</f>
        <v>0</v>
      </c>
      <c r="AA11" s="11" t="n">
        <f aca="false">MIN(Waterfall!AA13,MAX(0,Debt!AA132-(AA9-AA10)))</f>
        <v>0.477898357797869</v>
      </c>
      <c r="AB11" s="11" t="n">
        <f aca="false">MIN(Waterfall!AB13,MAX(0,Debt!AB132-(AB9-AB10)))</f>
        <v>0</v>
      </c>
      <c r="AC11" s="11" t="n">
        <f aca="false">MIN(Waterfall!AC13,MAX(0,Debt!AC132-(AC9-AC10)))</f>
        <v>0.951194594074586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44.3877495307268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0.105959880098688</v>
      </c>
      <c r="Q12" s="11" t="n">
        <f aca="false">MAX(0,Q9-Q10-Debt!Q132)</f>
        <v>0</v>
      </c>
      <c r="R12" s="11" t="n">
        <f aca="false">MAX(0,R9-R10-Debt!R132)</f>
        <v>0.32999051409648</v>
      </c>
      <c r="S12" s="11" t="n">
        <f aca="false">MAX(0,S9-S10-Debt!S132)</f>
        <v>0</v>
      </c>
      <c r="T12" s="11" t="n">
        <f aca="false">MAX(0,T9-T10-Debt!T132)</f>
        <v>0.206621919922405</v>
      </c>
      <c r="U12" s="11" t="n">
        <f aca="false">MAX(0,U9-U10-Debt!U132)</f>
        <v>0</v>
      </c>
      <c r="V12" s="11" t="n">
        <f aca="false">MAX(0,V9-V10-Debt!V132)</f>
        <v>0.301815112924963</v>
      </c>
      <c r="W12" s="11" t="n">
        <f aca="false">MAX(0,W9-W10-Debt!W132)</f>
        <v>1.19254554568343</v>
      </c>
      <c r="X12" s="11" t="n">
        <f aca="false">MAX(0,X9-X10-Debt!X132)</f>
        <v>0.40144665635534</v>
      </c>
      <c r="Y12" s="11" t="n">
        <f aca="false">MAX(0,Y9-Y10-Debt!Y132)</f>
        <v>0</v>
      </c>
      <c r="Z12" s="11" t="n">
        <f aca="false">MAX(0,Z9-Z10-Debt!Z132)</f>
        <v>0.335741387963786</v>
      </c>
      <c r="AA12" s="11" t="n">
        <f aca="false">MAX(0,AA9-AA10-Debt!AA132)</f>
        <v>0</v>
      </c>
      <c r="AB12" s="11" t="n">
        <f aca="false">MAX(0,AB9-AB10-Debt!AB132)</f>
        <v>0.628021427464738</v>
      </c>
      <c r="AC12" s="11" t="n">
        <f aca="false">MAX(0,AC9-AC10-Debt!AC132)</f>
        <v>0</v>
      </c>
      <c r="AD12" s="11" t="n">
        <f aca="false">MAX(0,AD9-AD10-Debt!AD132)</f>
        <v>0.490086712029267</v>
      </c>
      <c r="AE12" s="11" t="n">
        <f aca="false">MAX(0,AE9-AE10-Debt!AE132)</f>
        <v>0.613619891259532</v>
      </c>
      <c r="AF12" s="11" t="n">
        <f aca="false">MAX(0,AF9-AF10-Debt!AF132)</f>
        <v>1.16335478410069</v>
      </c>
      <c r="AG12" s="11" t="n">
        <f aca="false">MAX(0,AG9-AG10-Debt!AG132)</f>
        <v>0.539855890819005</v>
      </c>
      <c r="AH12" s="11" t="n">
        <f aca="false">MAX(0,AH9-AH10-Debt!AH132)</f>
        <v>1.44748234789194</v>
      </c>
      <c r="AI12" s="11" t="n">
        <f aca="false">MAX(0,AI9-AI10-Debt!AI132)</f>
        <v>1.08820978914703</v>
      </c>
      <c r="AJ12" s="11" t="n">
        <f aca="false">MAX(0,AJ9-AJ10-Debt!AJ132)</f>
        <v>1.96951337625474</v>
      </c>
      <c r="AK12" s="11" t="n">
        <f aca="false">MAX(0,AK9-AK10-Debt!AK132)</f>
        <v>1.83386215079</v>
      </c>
      <c r="AL12" s="11" t="n">
        <f aca="false">MAX(0,AL9-AL10-Debt!AL132)</f>
        <v>3.92070739986637</v>
      </c>
      <c r="AM12" s="11" t="n">
        <f aca="false">MAX(0,AM9-AM10-Debt!AM132)</f>
        <v>6.86147723726926</v>
      </c>
      <c r="AN12" s="11" t="n">
        <f aca="false">MAX(0,AN9-AN10-Debt!AN132)</f>
        <v>0.25090415895432</v>
      </c>
      <c r="AO12" s="11" t="n">
        <f aca="false">MAX(0,AO9-AO10-Debt!AO132)</f>
        <v>20.7065333478348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40.840014591187</v>
      </c>
      <c r="P13" s="11" t="n">
        <f aca="false">(1-Time!P32)*(P9-P10+P11-P12)</f>
        <v>40.7340547110883</v>
      </c>
      <c r="Q13" s="11" t="n">
        <f aca="false">(1-Time!Q32)*(Q9-Q10+Q11-Q12)</f>
        <v>41.2570794187973</v>
      </c>
      <c r="R13" s="11" t="n">
        <f aca="false">(1-Time!R32)*(R9-R10+R11-R12)</f>
        <v>40.9270889047008</v>
      </c>
      <c r="S13" s="11" t="n">
        <f aca="false">(1-Time!S32)*(S9-S10+S11-S12)</f>
        <v>41.3947092411322</v>
      </c>
      <c r="T13" s="11" t="n">
        <f aca="false">(1-Time!T32)*(T9-T10+T11-T12)</f>
        <v>41.1880873212098</v>
      </c>
      <c r="U13" s="11" t="n">
        <f aca="false">(1-Time!U32)*(U9-U10+U11-U12)</f>
        <v>41.9790491065032</v>
      </c>
      <c r="V13" s="11" t="n">
        <f aca="false">(1-Time!V32)*(V9-V10+V11-V12)</f>
        <v>41.6772339935783</v>
      </c>
      <c r="W13" s="11" t="n">
        <f aca="false">(1-Time!W32)*(W9-W10+W11-W12)</f>
        <v>40.4846884478949</v>
      </c>
      <c r="X13" s="11" t="n">
        <f aca="false">(1-Time!X32)*(X9-X10+X11-X12)</f>
        <v>40.0832417915395</v>
      </c>
      <c r="Y13" s="11" t="n">
        <f aca="false">(1-Time!Y32)*(Y9-Y10+Y11-Y12)</f>
        <v>40.420276949773</v>
      </c>
      <c r="Z13" s="11" t="n">
        <f aca="false">(1-Time!Z32)*(Z9-Z10+Z11-Z12)</f>
        <v>40.0845355618092</v>
      </c>
      <c r="AA13" s="11" t="n">
        <f aca="false">(1-Time!AA32)*(AA9-AA10+AA11-AA12)</f>
        <v>40.5624339196071</v>
      </c>
      <c r="AB13" s="11" t="n">
        <f aca="false">(1-Time!AB32)*(AB9-AB10+AB11-AB12)</f>
        <v>39.9344124921423</v>
      </c>
      <c r="AC13" s="11" t="n">
        <f aca="false">(1-Time!AC32)*(AC9-AC10+AC11-AC12)</f>
        <v>40.8856070862169</v>
      </c>
      <c r="AD13" s="11" t="n">
        <f aca="false">(1-Time!AD32)*(AD9-AD10+AD11-AD12)</f>
        <v>40.3955203741877</v>
      </c>
      <c r="AE13" s="11" t="n">
        <f aca="false">(1-Time!AE32)*(AE9-AE10+AE11-AE12)</f>
        <v>39.7819004829281</v>
      </c>
      <c r="AF13" s="11" t="n">
        <f aca="false">(1-Time!AF32)*(AF9-AF10+AF11-AF12)</f>
        <v>38.6185456988274</v>
      </c>
      <c r="AG13" s="11" t="n">
        <f aca="false">(1-Time!AG32)*(AG9-AG10+AG11-AG12)</f>
        <v>38.0786898080084</v>
      </c>
      <c r="AH13" s="11" t="n">
        <f aca="false">(1-Time!AH32)*(AH9-AH10+AH11-AH12)</f>
        <v>36.6312074601165</v>
      </c>
      <c r="AI13" s="11" t="n">
        <f aca="false">(1-Time!AI32)*(AI9-AI10+AI11-AI12)</f>
        <v>35.5429976709695</v>
      </c>
      <c r="AJ13" s="11" t="n">
        <f aca="false">(1-Time!AJ32)*(AJ9-AJ10+AJ11-AJ12)</f>
        <v>33.5734842947147</v>
      </c>
      <c r="AK13" s="11" t="n">
        <f aca="false">(1-Time!AK32)*(AK9-AK10+AK11-AK12)</f>
        <v>31.7396221439247</v>
      </c>
      <c r="AL13" s="11" t="n">
        <f aca="false">(1-Time!AL32)*(AL9-AL10+AL11-AL12)</f>
        <v>27.8189147440583</v>
      </c>
      <c r="AM13" s="11" t="n">
        <f aca="false">(1-Time!AM32)*(AM9-AM10+AM11-AM12)</f>
        <v>20.9574375067891</v>
      </c>
      <c r="AN13" s="11" t="n">
        <f aca="false">(1-Time!AN32)*(AN9-AN10+AN11-AN12)</f>
        <v>20.7065333478348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2373.87478113931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1.87224719782305</v>
      </c>
      <c r="P7" s="11" t="n">
        <f aca="false">Operations!P79-Tax!P27-Operations!P91-Reserves!P7+Operations!P74+Operations!P92</f>
        <v>50.272094271267</v>
      </c>
      <c r="Q7" s="11" t="n">
        <f aca="false">Operations!Q79-Tax!Q27-Operations!Q91-Reserves!Q7+Operations!Q74+Operations!Q92</f>
        <v>50.1606970752772</v>
      </c>
      <c r="R7" s="11" t="n">
        <f aca="false">Operations!R79-Tax!R27-Operations!R91-Reserves!R7+Operations!R74+Operations!R92</f>
        <v>50.7934598730592</v>
      </c>
      <c r="S7" s="11" t="n">
        <f aca="false">Operations!S79-Tax!S27-Operations!S91-Reserves!S7+Operations!S74+Operations!S92</f>
        <v>50.3999718686923</v>
      </c>
      <c r="T7" s="11" t="n">
        <f aca="false">Operations!T79-Tax!T27-Operations!T91-Reserves!T7+Operations!T74+Operations!T92</f>
        <v>50.9641440099802</v>
      </c>
      <c r="U7" s="11" t="n">
        <f aca="false">Operations!U79-Tax!U27-Operations!U91-Reserves!U7+Operations!U74+Operations!U92</f>
        <v>50.7204352228832</v>
      </c>
      <c r="V7" s="11" t="n">
        <f aca="false">Operations!V79-Tax!V27-Operations!V91-Reserves!V7+Operations!V74+Operations!V92</f>
        <v>51.6886923217823</v>
      </c>
      <c r="W7" s="11" t="n">
        <f aca="false">Operations!W79-Tax!W27-Operations!W91-Reserves!W7+Operations!W74+Operations!W92</f>
        <v>51.3313570281874</v>
      </c>
      <c r="X7" s="11" t="n">
        <f aca="false">Operations!X79-Tax!X27-Operations!X91-Reserves!X7+Operations!X74+Operations!X92</f>
        <v>49.8511733546825</v>
      </c>
      <c r="Y7" s="11" t="n">
        <f aca="false">Operations!Y79-Tax!Y27-Operations!Y91-Reserves!Y7+Operations!Y74+Operations!Y92</f>
        <v>49.3700292631384</v>
      </c>
      <c r="Z7" s="11" t="n">
        <f aca="false">Operations!Z79-Tax!Z27-Operations!Z91-Reserves!Z7+Operations!Z74+Operations!Z92</f>
        <v>49.7763402001533</v>
      </c>
      <c r="AA7" s="11" t="n">
        <f aca="false">Operations!AA79-Tax!AA27-Operations!AA91-Reserves!AA7+Operations!AA74+Operations!AA92</f>
        <v>49.3752879317933</v>
      </c>
      <c r="AB7" s="11" t="n">
        <f aca="false">Operations!AB79-Tax!AB27-Operations!AB91-Reserves!AB7+Operations!AB74+Operations!AB92</f>
        <v>49.956410656481</v>
      </c>
      <c r="AC7" s="11" t="n">
        <f aca="false">Operations!AC79-Tax!AC27-Operations!AC91-Reserves!AC7+Operations!AC74+Operations!AC92</f>
        <v>49.7514544426898</v>
      </c>
      <c r="AD7" s="11" t="n">
        <f aca="false">Operations!AD79-Tax!AD27-Operations!AD91-Reserves!AD7+Operations!AD74+Operations!AD92</f>
        <v>51.6625426827391</v>
      </c>
      <c r="AE7" s="11" t="n">
        <f aca="false">Operations!AE79-Tax!AE27-Operations!AE91-Reserves!AE7+Operations!AE74+Operations!AE92</f>
        <v>51.7458319376668</v>
      </c>
      <c r="AF7" s="11" t="n">
        <f aca="false">Operations!AF79-Tax!AF27-Operations!AF91-Reserves!AF7+Operations!AF74+Operations!AF92</f>
        <v>51.9066856527928</v>
      </c>
      <c r="AG7" s="11" t="n">
        <f aca="false">Operations!AG79-Tax!AG27-Operations!AG91-Reserves!AG7+Operations!AG74+Operations!AG92</f>
        <v>51.539279151907</v>
      </c>
      <c r="AH7" s="11" t="n">
        <f aca="false">Operations!AH79-Tax!AH27-Operations!AH91-Reserves!AH7+Operations!AH74+Operations!AH92</f>
        <v>52.2087446781833</v>
      </c>
      <c r="AI7" s="11" t="n">
        <f aca="false">Operations!AI79-Tax!AI27-Operations!AI91-Reserves!AI7+Operations!AI74+Operations!AI92</f>
        <v>51.801240750518</v>
      </c>
      <c r="AJ7" s="11" t="n">
        <f aca="false">Operations!AJ79-Tax!AJ27-Operations!AJ91-Reserves!AJ7+Operations!AJ74+Operations!AJ92</f>
        <v>52.4025982886386</v>
      </c>
      <c r="AK7" s="11" t="n">
        <f aca="false">Operations!AK79-Tax!AK27-Operations!AK91-Reserves!AK7+Operations!AK74+Operations!AK92</f>
        <v>52.1645329407755</v>
      </c>
      <c r="AL7" s="11" t="n">
        <f aca="false">Operations!AL79-Tax!AL27-Operations!AL91-Reserves!AL7+Operations!AL74+Operations!AL92</f>
        <v>53.2755760114189</v>
      </c>
      <c r="AM7" s="11" t="n">
        <f aca="false">Operations!AM79-Tax!AM27-Operations!AM91-Reserves!AM7+Operations!AM74+Operations!AM92</f>
        <v>52.8997050276094</v>
      </c>
      <c r="AN7" s="11" t="n">
        <f aca="false">Operations!AN79-Tax!AN27-Operations!AN91-Reserves!AN7+Operations!AN74+Operations!AN92</f>
        <v>51.0636231523816</v>
      </c>
      <c r="AO7" s="11" t="n">
        <f aca="false">Operations!AO79-Tax!AO27-Operations!AO91-Reserves!AO7+Operations!AO74+Operations!AO92</f>
        <v>50.6913261501648</v>
      </c>
      <c r="AP7" s="11" t="n">
        <f aca="false">Operations!AP79-Tax!AP27-Operations!AP91-Reserves!AP7+Operations!AP74+Operations!AP92</f>
        <v>51.3901970401744</v>
      </c>
      <c r="AQ7" s="11" t="n">
        <f aca="false">Operations!AQ79-Tax!AQ27-Operations!AQ91-Reserves!AQ7+Operations!AQ74+Operations!AQ92</f>
        <v>50.9756781429533</v>
      </c>
      <c r="AR7" s="11" t="n">
        <f aca="false">Operations!AR79-Tax!AR27-Operations!AR91-Reserves!AR7+Operations!AR74+Operations!AR92</f>
        <v>51.5989019777388</v>
      </c>
      <c r="AS7" s="11" t="n">
        <f aca="false">Operations!AS79-Tax!AS27-Operations!AS91-Reserves!AS7+Operations!AS74+Operations!AS92</f>
        <v>51.4095269231289</v>
      </c>
      <c r="AT7" s="11" t="n">
        <f aca="false">Operations!AT79-Tax!AT27-Operations!AT91-Reserves!AT7+Operations!AT74+Operations!AT92</f>
        <v>53.3175320256316</v>
      </c>
      <c r="AU7" s="11" t="n">
        <f aca="false">Operations!AU79-Tax!AU27-Operations!AU91-Reserves!AU7+Operations!AU74+Operations!AU92</f>
        <v>44.3732919394454</v>
      </c>
      <c r="AV7" s="11" t="n">
        <f aca="false">Operations!AV79-Tax!AV27-Operations!AV91-Reserves!AV7+Operations!AV74+Operations!AV92</f>
        <v>44.4967907429513</v>
      </c>
      <c r="AW7" s="11" t="n">
        <f aca="false">Operations!AW79-Tax!AW27-Operations!AW91-Reserves!AW7+Operations!AW74+Operations!AW92</f>
        <v>44.0724059550148</v>
      </c>
      <c r="AX7" s="11" t="n">
        <f aca="false">Operations!AX79-Tax!AX27-Operations!AX91-Reserves!AX7+Operations!AX74+Operations!AX92</f>
        <v>44.7472459853546</v>
      </c>
      <c r="AY7" s="11" t="n">
        <f aca="false">Operations!AY79-Tax!AY27-Operations!AY91-Reserves!AY7+Operations!AY74+Operations!AY92</f>
        <v>44.2903234988012</v>
      </c>
      <c r="AZ7" s="11" t="n">
        <f aca="false">Operations!AZ79-Tax!AZ27-Operations!AZ91-Reserves!AZ7+Operations!AZ74+Operations!AZ92</f>
        <v>44.9082136387042</v>
      </c>
      <c r="BA7" s="11" t="n">
        <f aca="false">Operations!BA79-Tax!BA27-Operations!BA91-Reserves!BA7+Operations!BA74+Operations!BA92</f>
        <v>44.6105693072517</v>
      </c>
      <c r="BB7" s="11" t="n">
        <f aca="false">Operations!BB79-Tax!BB27-Operations!BB91-Reserves!BB7+Operations!BB74+Operations!BB92</f>
        <v>46.8577311811449</v>
      </c>
      <c r="BC7" s="11" t="n">
        <f aca="false">Operations!BC79-Tax!BC27-Operations!BC91-Reserves!BC7+Operations!BC74+Operations!BC92</f>
        <v>43.2760022026388</v>
      </c>
      <c r="BD7" s="11" t="n">
        <f aca="false">Operations!BD79-Tax!BD27-Operations!BD91-Reserves!BD7+Operations!BD74+Operations!BD92</f>
        <v>36.8115526372434</v>
      </c>
      <c r="BE7" s="11" t="n">
        <f aca="false">Operations!BE79-Tax!BE27-Operations!BE91-Reserves!BE7+Operations!BE74+Operations!BE92</f>
        <v>36.3785752317215</v>
      </c>
      <c r="BF7" s="11" t="n">
        <f aca="false">Operations!BF79-Tax!BF27-Operations!BF91-Reserves!BF7+Operations!BF74+Operations!BF92</f>
        <v>37.0828773569055</v>
      </c>
      <c r="BG7" s="11" t="n">
        <f aca="false">Operations!BG79-Tax!BG27-Operations!BG91-Reserves!BG7+Operations!BG74+Operations!BG92</f>
        <v>36.6152459765377</v>
      </c>
      <c r="BH7" s="11" t="n">
        <f aca="false">Operations!BH79-Tax!BH27-Operations!BH91-Reserves!BH7+Operations!BH74+Operations!BH92</f>
        <v>37.2564100972111</v>
      </c>
      <c r="BI7" s="11" t="n">
        <f aca="false">Operations!BI79-Tax!BI27-Operations!BI91-Reserves!BI7+Operations!BI74+Operations!BI92</f>
        <v>36.9953095368472</v>
      </c>
      <c r="BJ7" s="11" t="n">
        <f aca="false">Operations!BJ79-Tax!BJ27-Operations!BJ91-Reserves!BJ7+Operations!BJ74+Operations!BJ92</f>
        <v>45.0191208299957</v>
      </c>
      <c r="BK7" s="11" t="n">
        <f aca="false">Operations!BK79-Tax!BK27-Operations!BK91-Reserves!BK7+Operations!BK74+Operations!BK92</f>
        <v>39.7694783221553</v>
      </c>
      <c r="BL7" s="11" t="n">
        <f aca="false">Operations!BL79-Tax!BL27-Operations!BL91-Reserves!BL7+Operations!BL74+Operations!BL92</f>
        <v>40.5176294452962</v>
      </c>
      <c r="BM7" s="11" t="n">
        <f aca="false">Operations!BM79-Tax!BM27-Operations!BM91-Reserves!BM7+Operations!BM74+Operations!BM92</f>
        <v>37.4586900017771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1.87224719782305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1.87224719782305</v>
      </c>
      <c r="P9" s="11" t="n">
        <f aca="false">P7+P8</f>
        <v>52.1443414690901</v>
      </c>
      <c r="Q9" s="11" t="n">
        <f aca="false">Q7+Q8</f>
        <v>50.1606970752772</v>
      </c>
      <c r="R9" s="11" t="n">
        <f aca="false">R7+R8</f>
        <v>50.7934598730592</v>
      </c>
      <c r="S9" s="11" t="n">
        <f aca="false">S7+S8</f>
        <v>50.3999718686923</v>
      </c>
      <c r="T9" s="11" t="n">
        <f aca="false">T7+T8</f>
        <v>50.9641440099802</v>
      </c>
      <c r="U9" s="11" t="n">
        <f aca="false">U7+U8</f>
        <v>50.7204352228832</v>
      </c>
      <c r="V9" s="11" t="n">
        <f aca="false">V7+V8</f>
        <v>51.6886923217823</v>
      </c>
      <c r="W9" s="11" t="n">
        <f aca="false">W7+W8</f>
        <v>51.3313570281874</v>
      </c>
      <c r="X9" s="11" t="n">
        <f aca="false">X7+X8</f>
        <v>49.8511733546825</v>
      </c>
      <c r="Y9" s="11" t="n">
        <f aca="false">Y7+Y8</f>
        <v>49.3700292631384</v>
      </c>
      <c r="Z9" s="11" t="n">
        <f aca="false">Z7+Z8</f>
        <v>49.7763402001533</v>
      </c>
      <c r="AA9" s="11" t="n">
        <f aca="false">AA7+AA8</f>
        <v>49.3752879317933</v>
      </c>
      <c r="AB9" s="11" t="n">
        <f aca="false">AB7+AB8</f>
        <v>49.956410656481</v>
      </c>
      <c r="AC9" s="11" t="n">
        <f aca="false">AC7+AC8</f>
        <v>49.7514544426898</v>
      </c>
      <c r="AD9" s="11" t="n">
        <f aca="false">AD7+AD8</f>
        <v>51.6625426827391</v>
      </c>
      <c r="AE9" s="11" t="n">
        <f aca="false">AE7+AE8</f>
        <v>51.7458319376668</v>
      </c>
      <c r="AF9" s="11" t="n">
        <f aca="false">AF7+AF8</f>
        <v>51.9066856527928</v>
      </c>
      <c r="AG9" s="11" t="n">
        <f aca="false">AG7+AG8</f>
        <v>51.539279151907</v>
      </c>
      <c r="AH9" s="11" t="n">
        <f aca="false">AH7+AH8</f>
        <v>52.2087446781833</v>
      </c>
      <c r="AI9" s="11" t="n">
        <f aca="false">AI7+AI8</f>
        <v>51.801240750518</v>
      </c>
      <c r="AJ9" s="11" t="n">
        <f aca="false">AJ7+AJ8</f>
        <v>52.4025982886386</v>
      </c>
      <c r="AK9" s="11" t="n">
        <f aca="false">AK7+AK8</f>
        <v>52.1645329407755</v>
      </c>
      <c r="AL9" s="11" t="n">
        <f aca="false">AL7+AL8</f>
        <v>53.2755760114189</v>
      </c>
      <c r="AM9" s="11" t="n">
        <f aca="false">AM7+AM8</f>
        <v>52.8997050276094</v>
      </c>
      <c r="AN9" s="11" t="n">
        <f aca="false">AN7+AN8</f>
        <v>51.0636231523816</v>
      </c>
      <c r="AO9" s="11" t="n">
        <f aca="false">AO7+AO8</f>
        <v>50.6913261501648</v>
      </c>
      <c r="AP9" s="11" t="n">
        <f aca="false">AP7+AP8</f>
        <v>51.3901970401744</v>
      </c>
      <c r="AQ9" s="11" t="n">
        <f aca="false">AQ7+AQ8</f>
        <v>50.9756781429533</v>
      </c>
      <c r="AR9" s="11" t="n">
        <f aca="false">AR7+AR8</f>
        <v>51.5989019777388</v>
      </c>
      <c r="AS9" s="11" t="n">
        <f aca="false">AS7+AS8</f>
        <v>51.4095269231289</v>
      </c>
      <c r="AT9" s="11" t="n">
        <f aca="false">AT7+AT8</f>
        <v>53.3175320256316</v>
      </c>
      <c r="AU9" s="11" t="n">
        <f aca="false">AU7+AU8</f>
        <v>44.3732919394454</v>
      </c>
      <c r="AV9" s="11" t="n">
        <f aca="false">AV7+AV8</f>
        <v>44.4967907429513</v>
      </c>
      <c r="AW9" s="11" t="n">
        <f aca="false">AW7+AW8</f>
        <v>44.0724059550148</v>
      </c>
      <c r="AX9" s="11" t="n">
        <f aca="false">AX7+AX8</f>
        <v>44.7472459853546</v>
      </c>
      <c r="AY9" s="11" t="n">
        <f aca="false">AY7+AY8</f>
        <v>44.2903234988012</v>
      </c>
      <c r="AZ9" s="11" t="n">
        <f aca="false">AZ7+AZ8</f>
        <v>44.9082136387042</v>
      </c>
      <c r="BA9" s="11" t="n">
        <f aca="false">BA7+BA8</f>
        <v>44.6105693072517</v>
      </c>
      <c r="BB9" s="11" t="n">
        <f aca="false">BB7+BB8</f>
        <v>46.8577311811449</v>
      </c>
      <c r="BC9" s="11" t="n">
        <f aca="false">BC7+BC8</f>
        <v>43.2760022026388</v>
      </c>
      <c r="BD9" s="11" t="n">
        <f aca="false">BD7+BD8</f>
        <v>36.8115526372434</v>
      </c>
      <c r="BE9" s="11" t="n">
        <f aca="false">BE7+BE8</f>
        <v>36.3785752317215</v>
      </c>
      <c r="BF9" s="11" t="n">
        <f aca="false">BF7+BF8</f>
        <v>37.0828773569055</v>
      </c>
      <c r="BG9" s="11" t="n">
        <f aca="false">BG7+BG8</f>
        <v>36.6152459765377</v>
      </c>
      <c r="BH9" s="11" t="n">
        <f aca="false">BH7+BH8</f>
        <v>37.2564100972111</v>
      </c>
      <c r="BI9" s="11" t="n">
        <f aca="false">BI7+BI8</f>
        <v>36.9953095368472</v>
      </c>
      <c r="BJ9" s="11" t="n">
        <f aca="false">BJ7+BJ8</f>
        <v>45.0191208299957</v>
      </c>
      <c r="BK9" s="11" t="n">
        <f aca="false">BK7+BK8</f>
        <v>39.7694783221553</v>
      </c>
      <c r="BL9" s="11" t="n">
        <f aca="false">BL7+BL8</f>
        <v>40.5176294452962</v>
      </c>
      <c r="BM9" s="11" t="n">
        <f aca="false">BM7+BM8</f>
        <v>37.4586900017771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958.960927484583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40.840014591187</v>
      </c>
      <c r="Q10" s="11" t="n">
        <f aca="false">Debt!Q121+Debt!Q117</f>
        <v>40.7340547110883</v>
      </c>
      <c r="R10" s="11" t="n">
        <f aca="false">Debt!R121+Debt!R117</f>
        <v>41.2570794187973</v>
      </c>
      <c r="S10" s="11" t="n">
        <f aca="false">Debt!S121+Debt!S117</f>
        <v>40.9270889047008</v>
      </c>
      <c r="T10" s="11" t="n">
        <f aca="false">Debt!T121+Debt!T117</f>
        <v>41.3947092411322</v>
      </c>
      <c r="U10" s="11" t="n">
        <f aca="false">Debt!U121+Debt!U117</f>
        <v>41.1880873212098</v>
      </c>
      <c r="V10" s="11" t="n">
        <f aca="false">Debt!V121+Debt!V117</f>
        <v>41.9790491065032</v>
      </c>
      <c r="W10" s="11" t="n">
        <f aca="false">Debt!W121+Debt!W117</f>
        <v>41.6772339935783</v>
      </c>
      <c r="X10" s="11" t="n">
        <f aca="false">Debt!X121+Debt!X117</f>
        <v>40.4846884478948</v>
      </c>
      <c r="Y10" s="11" t="n">
        <f aca="false">Debt!Y121+Debt!Y117</f>
        <v>40.0832417915395</v>
      </c>
      <c r="Z10" s="11" t="n">
        <f aca="false">Debt!Z121+Debt!Z117</f>
        <v>40.420276949773</v>
      </c>
      <c r="AA10" s="11" t="n">
        <f aca="false">Debt!AA121+Debt!AA117</f>
        <v>40.0845355618092</v>
      </c>
      <c r="AB10" s="11" t="n">
        <f aca="false">Debt!AB121+Debt!AB117</f>
        <v>40.1017086105087</v>
      </c>
      <c r="AC10" s="11" t="n">
        <f aca="false">Debt!AC121+Debt!AC117</f>
        <v>39.3618884392068</v>
      </c>
      <c r="AD10" s="11" t="n">
        <f aca="false">Debt!AD121+Debt!AD117</f>
        <v>40.3210523779322</v>
      </c>
      <c r="AE10" s="11" t="n">
        <f aca="false">Debt!AE121+Debt!AE117</f>
        <v>39.6415440485407</v>
      </c>
      <c r="AF10" s="11" t="n">
        <f aca="false">Debt!AF121+Debt!AF117</f>
        <v>38.9038608640967</v>
      </c>
      <c r="AG10" s="11" t="n">
        <f aca="false">Debt!AG121+Debt!AG117</f>
        <v>37.5518662765962</v>
      </c>
      <c r="AH10" s="11" t="n">
        <f aca="false">Debt!AH121+Debt!AH117</f>
        <v>36.8584351896115</v>
      </c>
      <c r="AI10" s="11" t="n">
        <f aca="false">Debt!AI121+Debt!AI117</f>
        <v>35.0668789185614</v>
      </c>
      <c r="AJ10" s="11" t="n">
        <f aca="false">Debt!AJ121+Debt!AJ117</f>
        <v>33.6200754957428</v>
      </c>
      <c r="AK10" s="11" t="n">
        <f aca="false">Debt!AK121+Debt!AK117</f>
        <v>30.941207213734</v>
      </c>
      <c r="AL10" s="11" t="n">
        <f aca="false">Debt!AL121+Debt!AL117</f>
        <v>28.040157305452</v>
      </c>
      <c r="AM10" s="11" t="n">
        <f aca="false">Debt!AM121+Debt!AM117</f>
        <v>25.8182218507625</v>
      </c>
      <c r="AN10" s="11" t="n">
        <f aca="false">Debt!AN121+Debt!AN117</f>
        <v>20.9574375067891</v>
      </c>
      <c r="AO10" s="11" t="n">
        <f aca="false">Debt!AO121+Debt!AO117</f>
        <v>20.7065333478348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1.87224719782305</v>
      </c>
      <c r="P13" s="11" t="n">
        <f aca="false">MAX(0,P9-P10)</f>
        <v>11.3043268779031</v>
      </c>
      <c r="Q13" s="11" t="n">
        <f aca="false">MAX(0,Q9-Q10)</f>
        <v>9.42664236418892</v>
      </c>
      <c r="R13" s="11" t="n">
        <f aca="false">MAX(0,R9-R10)</f>
        <v>9.53638045426195</v>
      </c>
      <c r="S13" s="11" t="n">
        <f aca="false">MAX(0,S9-S10)</f>
        <v>9.47288296399152</v>
      </c>
      <c r="T13" s="11" t="n">
        <f aca="false">MAX(0,T9-T10)</f>
        <v>9.56943476884799</v>
      </c>
      <c r="U13" s="11" t="n">
        <f aca="false">MAX(0,U9-U10)</f>
        <v>9.53234790167343</v>
      </c>
      <c r="V13" s="11" t="n">
        <f aca="false">MAX(0,V9-V10)</f>
        <v>9.70964321527909</v>
      </c>
      <c r="W13" s="11" t="n">
        <f aca="false">MAX(0,W9-W10)</f>
        <v>9.65412303460915</v>
      </c>
      <c r="X13" s="11" t="n">
        <f aca="false">MAX(0,X9-X10)</f>
        <v>9.36648490678766</v>
      </c>
      <c r="Y13" s="11" t="n">
        <f aca="false">MAX(0,Y9-Y10)</f>
        <v>9.2867874715989</v>
      </c>
      <c r="Z13" s="11" t="n">
        <f aca="false">MAX(0,Z9-Z10)</f>
        <v>9.35606325038032</v>
      </c>
      <c r="AA13" s="11" t="n">
        <f aca="false">MAX(0,AA9-AA10)</f>
        <v>9.29075236998411</v>
      </c>
      <c r="AB13" s="11" t="n">
        <f aca="false">MAX(0,AB9-AB10)</f>
        <v>9.85470204597228</v>
      </c>
      <c r="AC13" s="11" t="n">
        <f aca="false">MAX(0,AC9-AC10)</f>
        <v>10.3895660034829</v>
      </c>
      <c r="AD13" s="11" t="n">
        <f aca="false">MAX(0,AD9-AD10)</f>
        <v>11.341490304807</v>
      </c>
      <c r="AE13" s="11" t="n">
        <f aca="false">MAX(0,AE9-AE10)</f>
        <v>12.104287889126</v>
      </c>
      <c r="AF13" s="11" t="n">
        <f aca="false">MAX(0,AF9-AF10)</f>
        <v>13.0028247886962</v>
      </c>
      <c r="AG13" s="11" t="n">
        <f aca="false">MAX(0,AG9-AG10)</f>
        <v>13.9874128753109</v>
      </c>
      <c r="AH13" s="11" t="n">
        <f aca="false">MAX(0,AH9-AH10)</f>
        <v>15.3503094885718</v>
      </c>
      <c r="AI13" s="11" t="n">
        <f aca="false">MAX(0,AI9-AI10)</f>
        <v>16.7343618319566</v>
      </c>
      <c r="AJ13" s="11" t="n">
        <f aca="false">MAX(0,AJ9-AJ10)</f>
        <v>18.7825227928959</v>
      </c>
      <c r="AK13" s="11" t="n">
        <f aca="false">MAX(0,AK9-AK10)</f>
        <v>21.2233257270416</v>
      </c>
      <c r="AL13" s="11" t="n">
        <f aca="false">MAX(0,AL9-AL10)</f>
        <v>25.2354187059669</v>
      </c>
      <c r="AM13" s="11" t="n">
        <f aca="false">MAX(0,AM9-AM10)</f>
        <v>27.0814831768469</v>
      </c>
      <c r="AN13" s="11" t="n">
        <f aca="false">MAX(0,AN9-AN10)</f>
        <v>30.1061856455925</v>
      </c>
      <c r="AO13" s="11" t="n">
        <f aca="false">MAX(0,AO9-AO10)</f>
        <v>29.9847928023301</v>
      </c>
      <c r="AP13" s="11" t="n">
        <f aca="false">MAX(0,AP9-AP10)</f>
        <v>51.3901970401744</v>
      </c>
      <c r="AQ13" s="11" t="n">
        <f aca="false">MAX(0,AQ9-AQ10)</f>
        <v>50.9756781429533</v>
      </c>
      <c r="AR13" s="11" t="n">
        <f aca="false">MAX(0,AR9-AR10)</f>
        <v>51.5989019777388</v>
      </c>
      <c r="AS13" s="11" t="n">
        <f aca="false">MAX(0,AS9-AS10)</f>
        <v>51.4095269231289</v>
      </c>
      <c r="AT13" s="11" t="n">
        <f aca="false">MAX(0,AT9-AT10)</f>
        <v>53.3175320256316</v>
      </c>
      <c r="AU13" s="11" t="n">
        <f aca="false">MAX(0,AU9-AU10)</f>
        <v>44.3732919394454</v>
      </c>
      <c r="AV13" s="11" t="n">
        <f aca="false">MAX(0,AV9-AV10)</f>
        <v>44.4967907429513</v>
      </c>
      <c r="AW13" s="11" t="n">
        <f aca="false">MAX(0,AW9-AW10)</f>
        <v>44.0724059550148</v>
      </c>
      <c r="AX13" s="11" t="n">
        <f aca="false">MAX(0,AX9-AX10)</f>
        <v>44.7472459853546</v>
      </c>
      <c r="AY13" s="11" t="n">
        <f aca="false">MAX(0,AY9-AY10)</f>
        <v>44.2903234988012</v>
      </c>
      <c r="AZ13" s="11" t="n">
        <f aca="false">MAX(0,AZ9-AZ10)</f>
        <v>44.9082136387042</v>
      </c>
      <c r="BA13" s="11" t="n">
        <f aca="false">MAX(0,BA9-BA10)</f>
        <v>44.6105693072517</v>
      </c>
      <c r="BB13" s="11" t="n">
        <f aca="false">MAX(0,BB9-BB10)</f>
        <v>46.8577311811449</v>
      </c>
      <c r="BC13" s="11" t="n">
        <f aca="false">MAX(0,BC9-BC10)</f>
        <v>43.2760022026388</v>
      </c>
      <c r="BD13" s="11" t="n">
        <f aca="false">MAX(0,BD9-BD10)</f>
        <v>36.8115526372434</v>
      </c>
      <c r="BE13" s="11" t="n">
        <f aca="false">MAX(0,BE9-BE10)</f>
        <v>36.3785752317215</v>
      </c>
      <c r="BF13" s="11" t="n">
        <f aca="false">MAX(0,BF9-BF10)</f>
        <v>37.0828773569055</v>
      </c>
      <c r="BG13" s="11" t="n">
        <f aca="false">MAX(0,BG9-BG10)</f>
        <v>36.6152459765377</v>
      </c>
      <c r="BH13" s="11" t="n">
        <f aca="false">MAX(0,BH9-BH10)</f>
        <v>37.2564100972111</v>
      </c>
      <c r="BI13" s="11" t="n">
        <f aca="false">MAX(0,BI9-BI10)</f>
        <v>36.9953095368472</v>
      </c>
      <c r="BJ13" s="11" t="n">
        <f aca="false">MAX(0,BJ9-BJ10)</f>
        <v>45.0191208299957</v>
      </c>
      <c r="BK13" s="11" t="n">
        <f aca="false">MAX(0,BK9-BK10)</f>
        <v>39.7694783221553</v>
      </c>
      <c r="BL13" s="11" t="n">
        <f aca="false">MAX(0,BL9-BL10)</f>
        <v>40.5176294452962</v>
      </c>
      <c r="BM13" s="11" t="n">
        <f aca="false">MAX(0,BM9-BM10)</f>
        <v>37.4586900017771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1.87224719782305</v>
      </c>
      <c r="P14" s="11" t="n">
        <f aca="false">P13-Reserves!P11+Reserves!P12</f>
        <v>11.4102867580018</v>
      </c>
      <c r="Q14" s="11" t="n">
        <f aca="false">Q13-Reserves!Q11+Reserves!Q12</f>
        <v>8.90361765647996</v>
      </c>
      <c r="R14" s="11" t="n">
        <f aca="false">R13-Reserves!R11+Reserves!R12</f>
        <v>9.86637096835842</v>
      </c>
      <c r="S14" s="11" t="n">
        <f aca="false">S13-Reserves!S11+Reserves!S12</f>
        <v>9.00526262756011</v>
      </c>
      <c r="T14" s="11" t="n">
        <f aca="false">T13-Reserves!T11+Reserves!T12</f>
        <v>9.7760566887704</v>
      </c>
      <c r="U14" s="11" t="n">
        <f aca="false">U13-Reserves!U11+Reserves!U12</f>
        <v>8.74138611637996</v>
      </c>
      <c r="V14" s="11" t="n">
        <f aca="false">V13-Reserves!V11+Reserves!V12</f>
        <v>10.0114583282041</v>
      </c>
      <c r="W14" s="11" t="n">
        <f aca="false">W13-Reserves!W11+Reserves!W12</f>
        <v>10.8466685802926</v>
      </c>
      <c r="X14" s="11" t="n">
        <f aca="false">X13-Reserves!X11+Reserves!X12</f>
        <v>9.767931563143</v>
      </c>
      <c r="Y14" s="11" t="n">
        <f aca="false">Y13-Reserves!Y11+Reserves!Y12</f>
        <v>8.94975231336541</v>
      </c>
      <c r="Z14" s="11" t="n">
        <f aca="false">Z13-Reserves!Z11+Reserves!Z12</f>
        <v>9.69180463834411</v>
      </c>
      <c r="AA14" s="11" t="n">
        <f aca="false">AA13-Reserves!AA11+Reserves!AA12</f>
        <v>8.81285401218624</v>
      </c>
      <c r="AB14" s="11" t="n">
        <f aca="false">AB13-Reserves!AB11+Reserves!AB12</f>
        <v>10.482723473437</v>
      </c>
      <c r="AC14" s="11" t="n">
        <f aca="false">AC13-Reserves!AC11+Reserves!AC12</f>
        <v>9.43837140940835</v>
      </c>
      <c r="AD14" s="11" t="n">
        <f aca="false">AD13-Reserves!AD11+Reserves!AD12</f>
        <v>11.8315770168362</v>
      </c>
      <c r="AE14" s="11" t="n">
        <f aca="false">AE13-Reserves!AE11+Reserves!AE12</f>
        <v>12.7179077803856</v>
      </c>
      <c r="AF14" s="11" t="n">
        <f aca="false">AF13-Reserves!AF11+Reserves!AF12</f>
        <v>14.1661795727969</v>
      </c>
      <c r="AG14" s="11" t="n">
        <f aca="false">AG13-Reserves!AG11+Reserves!AG12</f>
        <v>14.5272687661299</v>
      </c>
      <c r="AH14" s="11" t="n">
        <f aca="false">AH13-Reserves!AH11+Reserves!AH12</f>
        <v>16.7977918364638</v>
      </c>
      <c r="AI14" s="11" t="n">
        <f aca="false">AI13-Reserves!AI11+Reserves!AI12</f>
        <v>17.8225716211036</v>
      </c>
      <c r="AJ14" s="11" t="n">
        <f aca="false">AJ13-Reserves!AJ11+Reserves!AJ12</f>
        <v>20.7520361691506</v>
      </c>
      <c r="AK14" s="11" t="n">
        <f aca="false">AK13-Reserves!AK11+Reserves!AK12</f>
        <v>23.0571878778316</v>
      </c>
      <c r="AL14" s="11" t="n">
        <f aca="false">AL13-Reserves!AL11+Reserves!AL12</f>
        <v>29.1561261058333</v>
      </c>
      <c r="AM14" s="11" t="n">
        <f aca="false">AM13-Reserves!AM11+Reserves!AM12</f>
        <v>33.9429604141162</v>
      </c>
      <c r="AN14" s="11" t="n">
        <f aca="false">AN13-Reserves!AN11+Reserves!AN12</f>
        <v>30.3570898045468</v>
      </c>
      <c r="AO14" s="11" t="n">
        <f aca="false">AO13-Reserves!AO11+Reserves!AO12</f>
        <v>50.6913261501648</v>
      </c>
      <c r="AP14" s="11" t="n">
        <f aca="false">AP13-Reserves!AP11+Reserves!AP12</f>
        <v>51.3901970401744</v>
      </c>
      <c r="AQ14" s="11" t="n">
        <f aca="false">AQ13-Reserves!AQ11+Reserves!AQ12</f>
        <v>50.9756781429533</v>
      </c>
      <c r="AR14" s="11" t="n">
        <f aca="false">AR13-Reserves!AR11+Reserves!AR12</f>
        <v>51.5989019777388</v>
      </c>
      <c r="AS14" s="11" t="n">
        <f aca="false">AS13-Reserves!AS11+Reserves!AS12</f>
        <v>51.4095269231289</v>
      </c>
      <c r="AT14" s="11" t="n">
        <f aca="false">AT13-Reserves!AT11+Reserves!AT12</f>
        <v>53.3175320256316</v>
      </c>
      <c r="AU14" s="11" t="n">
        <f aca="false">AU13-Reserves!AU11+Reserves!AU12</f>
        <v>44.3732919394454</v>
      </c>
      <c r="AV14" s="11" t="n">
        <f aca="false">AV13-Reserves!AV11+Reserves!AV12</f>
        <v>44.4967907429513</v>
      </c>
      <c r="AW14" s="11" t="n">
        <f aca="false">AW13-Reserves!AW11+Reserves!AW12</f>
        <v>44.0724059550148</v>
      </c>
      <c r="AX14" s="11" t="n">
        <f aca="false">AX13-Reserves!AX11+Reserves!AX12</f>
        <v>44.7472459853546</v>
      </c>
      <c r="AY14" s="11" t="n">
        <f aca="false">AY13-Reserves!AY11+Reserves!AY12</f>
        <v>44.2903234988012</v>
      </c>
      <c r="AZ14" s="11" t="n">
        <f aca="false">AZ13-Reserves!AZ11+Reserves!AZ12</f>
        <v>44.9082136387042</v>
      </c>
      <c r="BA14" s="11" t="n">
        <f aca="false">BA13-Reserves!BA11+Reserves!BA12</f>
        <v>44.6105693072517</v>
      </c>
      <c r="BB14" s="11" t="n">
        <f aca="false">BB13-Reserves!BB11+Reserves!BB12</f>
        <v>46.8577311811449</v>
      </c>
      <c r="BC14" s="11" t="n">
        <f aca="false">BC13-Reserves!BC11+Reserves!BC12</f>
        <v>43.2760022026388</v>
      </c>
      <c r="BD14" s="11" t="n">
        <f aca="false">BD13-Reserves!BD11+Reserves!BD12</f>
        <v>36.8115526372434</v>
      </c>
      <c r="BE14" s="11" t="n">
        <f aca="false">BE13-Reserves!BE11+Reserves!BE12</f>
        <v>36.3785752317215</v>
      </c>
      <c r="BF14" s="11" t="n">
        <f aca="false">BF13-Reserves!BF11+Reserves!BF12</f>
        <v>37.0828773569055</v>
      </c>
      <c r="BG14" s="11" t="n">
        <f aca="false">BG13-Reserves!BG11+Reserves!BG12</f>
        <v>36.6152459765377</v>
      </c>
      <c r="BH14" s="11" t="n">
        <f aca="false">BH13-Reserves!BH11+Reserves!BH12</f>
        <v>37.2564100972111</v>
      </c>
      <c r="BI14" s="11" t="n">
        <f aca="false">BI13-Reserves!BI11+Reserves!BI12</f>
        <v>36.9953095368472</v>
      </c>
      <c r="BJ14" s="11" t="n">
        <f aca="false">BJ13-Reserves!BJ11+Reserves!BJ12</f>
        <v>45.0191208299957</v>
      </c>
      <c r="BK14" s="11" t="n">
        <f aca="false">BK13-Reserves!BK11+Reserves!BK12</f>
        <v>39.7694783221553</v>
      </c>
      <c r="BL14" s="11" t="n">
        <f aca="false">BL13-Reserves!BL11+Reserves!BL12</f>
        <v>40.5176294452962</v>
      </c>
      <c r="BM14" s="11" t="n">
        <f aca="false">BM13-Reserves!BM11+Reserves!BM12</f>
        <v>37.4586900017771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1.87224719782305</v>
      </c>
      <c r="P15" s="11" t="n">
        <f aca="false">P14-Reserves!P14+Reserves!P15</f>
        <v>11.4102867580018</v>
      </c>
      <c r="Q15" s="11" t="n">
        <f aca="false">Q14-Reserves!Q14+Reserves!Q15</f>
        <v>8.90361765647996</v>
      </c>
      <c r="R15" s="11" t="n">
        <f aca="false">R14-Reserves!R14+Reserves!R15</f>
        <v>9.86637096835842</v>
      </c>
      <c r="S15" s="11" t="n">
        <f aca="false">S14-Reserves!S14+Reserves!S15</f>
        <v>9.00526262756011</v>
      </c>
      <c r="T15" s="11" t="n">
        <f aca="false">T14-Reserves!T14+Reserves!T15</f>
        <v>9.7760566887704</v>
      </c>
      <c r="U15" s="11" t="n">
        <f aca="false">U14-Reserves!U14+Reserves!U15</f>
        <v>8.74138611637996</v>
      </c>
      <c r="V15" s="11" t="n">
        <f aca="false">V14-Reserves!V14+Reserves!V15</f>
        <v>10.0114583282041</v>
      </c>
      <c r="W15" s="11" t="n">
        <f aca="false">W14-Reserves!W14+Reserves!W15</f>
        <v>10.8466685802926</v>
      </c>
      <c r="X15" s="11" t="n">
        <f aca="false">X14-Reserves!X14+Reserves!X15</f>
        <v>9.767931563143</v>
      </c>
      <c r="Y15" s="11" t="n">
        <f aca="false">Y14-Reserves!Y14+Reserves!Y15</f>
        <v>8.94975231336541</v>
      </c>
      <c r="Z15" s="11" t="n">
        <f aca="false">Z14-Reserves!Z14+Reserves!Z15</f>
        <v>9.69180463834411</v>
      </c>
      <c r="AA15" s="11" t="n">
        <f aca="false">AA14-Reserves!AA14+Reserves!AA15</f>
        <v>8.81285401218624</v>
      </c>
      <c r="AB15" s="11" t="n">
        <f aca="false">AB14-Reserves!AB14+Reserves!AB15</f>
        <v>10.482723473437</v>
      </c>
      <c r="AC15" s="11" t="n">
        <f aca="false">AC14-Reserves!AC14+Reserves!AC15</f>
        <v>9.43837140940835</v>
      </c>
      <c r="AD15" s="11" t="n">
        <f aca="false">AD14-Reserves!AD14+Reserves!AD15</f>
        <v>11.8315770168362</v>
      </c>
      <c r="AE15" s="11" t="n">
        <f aca="false">AE14-Reserves!AE14+Reserves!AE15</f>
        <v>12.7179077803856</v>
      </c>
      <c r="AF15" s="11" t="n">
        <f aca="false">AF14-Reserves!AF14+Reserves!AF15</f>
        <v>14.1661795727969</v>
      </c>
      <c r="AG15" s="11" t="n">
        <f aca="false">AG14-Reserves!AG14+Reserves!AG15</f>
        <v>14.5272687661299</v>
      </c>
      <c r="AH15" s="11" t="n">
        <f aca="false">AH14-Reserves!AH14+Reserves!AH15</f>
        <v>16.7977918364638</v>
      </c>
      <c r="AI15" s="11" t="n">
        <f aca="false">AI14-Reserves!AI14+Reserves!AI15</f>
        <v>17.8225716211036</v>
      </c>
      <c r="AJ15" s="11" t="n">
        <f aca="false">AJ14-Reserves!AJ14+Reserves!AJ15</f>
        <v>20.7520361691506</v>
      </c>
      <c r="AK15" s="11" t="n">
        <f aca="false">AK14-Reserves!AK14+Reserves!AK15</f>
        <v>23.0571878778316</v>
      </c>
      <c r="AL15" s="11" t="n">
        <f aca="false">AL14-Reserves!AL14+Reserves!AL15</f>
        <v>29.1561261058333</v>
      </c>
      <c r="AM15" s="11" t="n">
        <f aca="false">AM14-Reserves!AM14+Reserves!AM15</f>
        <v>33.9429604141162</v>
      </c>
      <c r="AN15" s="11" t="n">
        <f aca="false">AN14-Reserves!AN14+Reserves!AN15</f>
        <v>30.3570898045468</v>
      </c>
      <c r="AO15" s="11" t="n">
        <f aca="false">AO14-Reserves!AO14+Reserves!AO15</f>
        <v>50.6913261501648</v>
      </c>
      <c r="AP15" s="11" t="n">
        <f aca="false">AP14-Reserves!AP14+Reserves!AP15</f>
        <v>51.3901970401744</v>
      </c>
      <c r="AQ15" s="11" t="n">
        <f aca="false">AQ14-Reserves!AQ14+Reserves!AQ15</f>
        <v>50.9756781429533</v>
      </c>
      <c r="AR15" s="11" t="n">
        <f aca="false">AR14-Reserves!AR14+Reserves!AR15</f>
        <v>51.5989019777388</v>
      </c>
      <c r="AS15" s="11" t="n">
        <f aca="false">AS14-Reserves!AS14+Reserves!AS15</f>
        <v>51.4095269231289</v>
      </c>
      <c r="AT15" s="11" t="n">
        <f aca="false">AT14-Reserves!AT14+Reserves!AT15</f>
        <v>53.3175320256316</v>
      </c>
      <c r="AU15" s="11" t="n">
        <f aca="false">AU14-Reserves!AU14+Reserves!AU15</f>
        <v>44.3732919394454</v>
      </c>
      <c r="AV15" s="11" t="n">
        <f aca="false">AV14-Reserves!AV14+Reserves!AV15</f>
        <v>44.4967907429513</v>
      </c>
      <c r="AW15" s="11" t="n">
        <f aca="false">AW14-Reserves!AW14+Reserves!AW15</f>
        <v>44.0724059550148</v>
      </c>
      <c r="AX15" s="11" t="n">
        <f aca="false">AX14-Reserves!AX14+Reserves!AX15</f>
        <v>44.7472459853546</v>
      </c>
      <c r="AY15" s="11" t="n">
        <f aca="false">AY14-Reserves!AY14+Reserves!AY15</f>
        <v>44.2903234988012</v>
      </c>
      <c r="AZ15" s="11" t="n">
        <f aca="false">AZ14-Reserves!AZ14+Reserves!AZ15</f>
        <v>44.9082136387042</v>
      </c>
      <c r="BA15" s="11" t="n">
        <f aca="false">BA14-Reserves!BA14+Reserves!BA15</f>
        <v>44.115600920643</v>
      </c>
      <c r="BB15" s="11" t="n">
        <f aca="false">BB14-Reserves!BB14+Reserves!BB15</f>
        <v>45.3565809265004</v>
      </c>
      <c r="BC15" s="11" t="n">
        <f aca="false">BC14-Reserves!BC14+Reserves!BC15</f>
        <v>41.7584291292966</v>
      </c>
      <c r="BD15" s="11" t="n">
        <f aca="false">BD14-Reserves!BD14+Reserves!BD15</f>
        <v>35.2773770769969</v>
      </c>
      <c r="BE15" s="11" t="n">
        <f aca="false">BE14-Reserves!BE14+Reserves!BE15</f>
        <v>34.8276155507657</v>
      </c>
      <c r="BF15" s="11" t="n">
        <f aca="false">BF14-Reserves!BF14+Reserves!BF15</f>
        <v>35.5149499343334</v>
      </c>
      <c r="BG15" s="11" t="n">
        <f aca="false">BG14-Reserves!BG14+Reserves!BG15</f>
        <v>35.0301651826009</v>
      </c>
      <c r="BH15" s="11" t="n">
        <f aca="false">BH14-Reserves!BH14+Reserves!BH15</f>
        <v>35.6539882713425</v>
      </c>
      <c r="BI15" s="11" t="n">
        <f aca="false">BI14-Reserves!BI14+Reserves!BI15</f>
        <v>35.3753569654438</v>
      </c>
      <c r="BJ15" s="11" t="n">
        <f aca="false">BJ14-Reserves!BJ14+Reserves!BJ15</f>
        <v>43.381445723958</v>
      </c>
      <c r="BK15" s="11" t="n">
        <f aca="false">BK14-Reserves!BK14+Reserves!BK15</f>
        <v>38.113886794181</v>
      </c>
      <c r="BL15" s="11" t="n">
        <f aca="false">BL14-Reserves!BL14+Reserves!BL15</f>
        <v>38.8439254869256</v>
      </c>
      <c r="BM15" s="11" t="n">
        <f aca="false">BM14-Reserves!BM14+Reserves!BM15</f>
        <v>55.3998701637381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1.23095191748818</v>
      </c>
      <c r="Q17" s="6" t="n">
        <f aca="false">IF(Debt!Q121&gt;0.000000001,Q7/Debt!Q121,0)</f>
        <v>1.23141920025022</v>
      </c>
      <c r="R17" s="6" t="n">
        <f aca="false">IF(Debt!R121&gt;0.000000001,R7/Debt!R121,0)</f>
        <v>1.23114531102551</v>
      </c>
      <c r="S17" s="6" t="n">
        <f aca="false">IF(Debt!S121&gt;0.000000001,S7/Debt!S121,0)</f>
        <v>1.23145753136875</v>
      </c>
      <c r="T17" s="6" t="n">
        <f aca="false">IF(Debt!T121&gt;0.000000001,T7/Debt!T121,0)</f>
        <v>1.23117531066843</v>
      </c>
      <c r="U17" s="6" t="n">
        <f aca="false">IF(Debt!U121&gt;0.000000001,U7/Debt!U121,0)</f>
        <v>1.23143458513464</v>
      </c>
      <c r="V17" s="6" t="n">
        <f aca="false">IF(Debt!V121&gt;0.000000001,V7/Debt!V121,0)</f>
        <v>1.23129735956251</v>
      </c>
      <c r="W17" s="6" t="n">
        <f aca="false">IF(Debt!W121&gt;0.000000001,W7/Debt!W121,0)</f>
        <v>1.23164020520404</v>
      </c>
      <c r="X17" s="6" t="n">
        <f aca="false">IF(Debt!X121&gt;0.000000001,X7/Debt!X121,0)</f>
        <v>1.23135870043418</v>
      </c>
      <c r="Y17" s="6" t="n">
        <f aca="false">IF(Debt!Y121&gt;0.000000001,Y7/Debt!Y121,0)</f>
        <v>1.23168753465342</v>
      </c>
      <c r="Z17" s="6" t="n">
        <f aca="false">IF(Debt!Z121&gt;0.000000001,Z7/Debt!Z121,0)</f>
        <v>1.2314695483657</v>
      </c>
      <c r="AA17" s="6" t="n">
        <f aca="false">IF(Debt!AA121&gt;0.000000001,AA7/Debt!AA121,0)</f>
        <v>1.23177897011325</v>
      </c>
      <c r="AB17" s="6" t="n">
        <f aca="false">IF(Debt!AB121&gt;0.000000001,AB7/Debt!AB121,0)</f>
        <v>1.24574269744182</v>
      </c>
      <c r="AC17" s="6" t="n">
        <f aca="false">IF(Debt!AC121&gt;0.000000001,AC7/Debt!AC121,0)</f>
        <v>1.26394988694532</v>
      </c>
      <c r="AD17" s="6" t="n">
        <f aca="false">IF(Debt!AD121&gt;0.000000001,AD7/Debt!AD121,0)</f>
        <v>1.28127962034578</v>
      </c>
      <c r="AE17" s="6" t="n">
        <f aca="false">IF(Debt!AE121&gt;0.000000001,AE7/Debt!AE121,0)</f>
        <v>1.30534350211749</v>
      </c>
      <c r="AF17" s="6" t="n">
        <f aca="false">IF(Debt!AF121&gt;0.000000001,AF7/Debt!AF121,0)</f>
        <v>1.33422967540726</v>
      </c>
      <c r="AG17" s="6" t="n">
        <f aca="false">IF(Debt!AG121&gt;0.000000001,AG7/Debt!AG121,0)</f>
        <v>1.37248249587074</v>
      </c>
      <c r="AH17" s="6" t="n">
        <f aca="false">IF(Debt!AH121&gt;0.000000001,AH7/Debt!AH121,0)</f>
        <v>1.41646666250493</v>
      </c>
      <c r="AI17" s="6" t="n">
        <f aca="false">IF(Debt!AI121&gt;0.000000001,AI7/Debt!AI121,0)</f>
        <v>1.47721275311727</v>
      </c>
      <c r="AJ17" s="6" t="n">
        <f aca="false">IF(Debt!AJ121&gt;0.000000001,AJ7/Debt!AJ121,0)</f>
        <v>1.55866985769483</v>
      </c>
      <c r="AK17" s="6" t="n">
        <f aca="false">IF(Debt!AK121&gt;0.000000001,AK7/Debt!AK121,0)</f>
        <v>1.68592429443481</v>
      </c>
      <c r="AL17" s="6" t="n">
        <f aca="false">IF(Debt!AL121&gt;0.000000001,AL7/Debt!AL121,0)</f>
        <v>1.89997422022523</v>
      </c>
      <c r="AM17" s="6" t="n">
        <f aca="false">IF(Debt!AM121&gt;0.000000001,AM7/Debt!AM121,0)</f>
        <v>2.04892906000214</v>
      </c>
      <c r="AN17" s="6" t="n">
        <f aca="false">IF(Debt!AN121&gt;0.000000001,AN7/Debt!AN121,0)</f>
        <v>2.43653944504616</v>
      </c>
      <c r="AO17" s="6" t="n">
        <f aca="false">IF(Debt!AO121&gt;0.000000001,AO7/Debt!AO121,0)</f>
        <v>2.44808366995268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1.23095191748818</v>
      </c>
      <c r="Q18" s="6" t="n">
        <f aca="false">IF(Debt!Q121&gt;0.000000001,IF(Debt!P121&gt;0.000000001,(Q7+P7)/(Debt!Q121+Debt!P121),Q17),0)</f>
        <v>1.2311852553829</v>
      </c>
      <c r="R18" s="6" t="n">
        <f aca="false">IF(Debt!R121&gt;0.000000001,IF(Debt!Q121&gt;0.000000001,(R7+Q7)/(Debt!R121+Debt!Q121),R17),0)</f>
        <v>1.23128138206273</v>
      </c>
      <c r="S18" s="6" t="n">
        <f aca="false">IF(Debt!S121&gt;0.000000001,IF(Debt!R121&gt;0.000000001,(S7+R7)/(Debt!S121+Debt!R121),S17),0)</f>
        <v>1.23130079437475</v>
      </c>
      <c r="T18" s="6" t="n">
        <f aca="false">IF(Debt!T121&gt;0.000000001,IF(Debt!S121&gt;0.000000001,(T7+S7)/(Debt!T121+Debt!S121),T17),0)</f>
        <v>1.23131561945605</v>
      </c>
      <c r="U18" s="6" t="n">
        <f aca="false">IF(Debt!U121&gt;0.000000001,IF(Debt!T121&gt;0.000000001,(U7+T7)/(Debt!U121+Debt!T121),U17),0)</f>
        <v>1.23130462354955</v>
      </c>
      <c r="V18" s="6" t="n">
        <f aca="false">IF(Debt!V121&gt;0.000000001,IF(Debt!U121&gt;0.000000001,(V7+U7)/(Debt!V121+Debt!U121),V17),0)</f>
        <v>1.23136531980607</v>
      </c>
      <c r="W18" s="6" t="n">
        <f aca="false">IF(Debt!W121&gt;0.000000001,IF(Debt!V121&gt;0.000000001,(W7+V7)/(Debt!W121+Debt!V121),W17),0)</f>
        <v>1.23146816392407</v>
      </c>
      <c r="X18" s="6" t="n">
        <f aca="false">IF(Debt!X121&gt;0.000000001,IF(Debt!W121&gt;0.000000001,(X7+W7)/(Debt!X121+Debt!W121),X17),0)</f>
        <v>1.23150149578043</v>
      </c>
      <c r="Y18" s="6" t="n">
        <f aca="false">IF(Debt!Y121&gt;0.000000001,IF(Debt!X121&gt;0.000000001,(Y7+X7)/(Debt!Y121+Debt!X121),Y17),0)</f>
        <v>1.23152229830098</v>
      </c>
      <c r="Z18" s="6" t="n">
        <f aca="false">IF(Debt!Z121&gt;0.000000001,IF(Debt!Y121&gt;0.000000001,(Z7+Y7)/(Debt!Z121+Debt!Y121),Z17),0)</f>
        <v>1.23157808520005</v>
      </c>
      <c r="AA18" s="6" t="n">
        <f aca="false">IF(Debt!AA121&gt;0.000000001,IF(Debt!Z121&gt;0.000000001,(AA7+Z7)/(Debt!AA121+Debt!Z121),AA17),0)</f>
        <v>1.23162361402533</v>
      </c>
      <c r="AB18" s="6" t="n">
        <f aca="false">IF(Debt!AB121&gt;0.000000001,IF(Debt!AA121&gt;0.000000001,(AB7+AA7)/(Debt!AB121+Debt!AA121),AB17),0)</f>
        <v>1.23876232904503</v>
      </c>
      <c r="AC18" s="6" t="n">
        <f aca="false">IF(Debt!AC121&gt;0.000000001,IF(Debt!AB121&gt;0.000000001,(AC7+AB7)/(Debt!AC121+Debt!AB121),AC17),0)</f>
        <v>1.25476153611307</v>
      </c>
      <c r="AD18" s="6" t="n">
        <f aca="false">IF(Debt!AD121&gt;0.000000001,IF(Debt!AC121&gt;0.000000001,(AD7+AC7)/(Debt!AD121+Debt!AC121),AD17),0)</f>
        <v>1.27271905486219</v>
      </c>
      <c r="AE18" s="6" t="n">
        <f aca="false">IF(Debt!AE121&gt;0.000000001,IF(Debt!AD121&gt;0.000000001,(AE7+AD7)/(Debt!AE121+Debt!AD121),AE17),0)</f>
        <v>1.29320931587673</v>
      </c>
      <c r="AF18" s="6" t="n">
        <f aca="false">IF(Debt!AF121&gt;0.000000001,IF(Debt!AE121&gt;0.000000001,(AF7+AE7)/(Debt!AF121+Debt!AE121),AF17),0)</f>
        <v>1.31965094209837</v>
      </c>
      <c r="AG18" s="6" t="n">
        <f aca="false">IF(Debt!AG121&gt;0.000000001,IF(Debt!AF121&gt;0.000000001,(AG7+AF7)/(Debt!AG121+Debt!AF121),AG17),0)</f>
        <v>1.35301786633119</v>
      </c>
      <c r="AH18" s="6" t="n">
        <f aca="false">IF(Debt!AH121&gt;0.000000001,IF(Debt!AG121&gt;0.000000001,(AH7+AG7)/(Debt!AH121+Debt!AG121),AH17),0)</f>
        <v>1.39426963452374</v>
      </c>
      <c r="AI18" s="6" t="n">
        <f aca="false">IF(Debt!AI121&gt;0.000000001,IF(Debt!AH121&gt;0.000000001,(AI7+AH7)/(Debt!AI121+Debt!AH121),AI17),0)</f>
        <v>1.44608315887609</v>
      </c>
      <c r="AJ18" s="6" t="n">
        <f aca="false">IF(Debt!AJ121&gt;0.000000001,IF(Debt!AI121&gt;0.000000001,(AJ7+AI7)/(Debt!AJ121+Debt!AI121),AJ17),0)</f>
        <v>1.51708341020076</v>
      </c>
      <c r="AK18" s="6" t="n">
        <f aca="false">IF(Debt!AK121&gt;0.000000001,IF(Debt!AJ121&gt;0.000000001,(AK7+AJ7)/(Debt!AK121+Debt!AJ121),AK17),0)</f>
        <v>1.61965696530477</v>
      </c>
      <c r="AL18" s="6" t="n">
        <f aca="false">IF(Debt!AL121&gt;0.000000001,IF(Debt!AK121&gt;0.000000001,(AL7+AK7)/(Debt!AL121+Debt!AK121),AL17),0)</f>
        <v>1.78768514109056</v>
      </c>
      <c r="AM18" s="6" t="n">
        <f aca="false">IF(Debt!AM121&gt;0.000000001,IF(Debt!AL121&gt;0.000000001,(AM7+AL7)/(Debt!AM121+Debt!AL121),AM17),0)</f>
        <v>1.97137906306223</v>
      </c>
      <c r="AN18" s="6" t="n">
        <f aca="false">IF(Debt!AN121&gt;0.000000001,IF(Debt!AM121&gt;0.000000001,(AN7+AM7)/(Debt!AN121+Debt!AM121),AN17),0)</f>
        <v>2.2225946059958</v>
      </c>
      <c r="AO18" s="6" t="n">
        <f aca="false">IF(Debt!AO121&gt;0.000000001,IF(Debt!AN121&gt;0.000000001,(AO7+AN7)/(Debt!AO121+Debt!AN121),AO17),0)</f>
        <v>2.44227679732196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84.8921867951587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4.40642700609312</v>
      </c>
      <c r="AB29" s="11" t="n">
        <f aca="false">IF(AND(AB24=1,Time!AB21&gt;=2027,Inputs!$F$51=1),MIN(Inputs!$F$109*AB15,Debt!AB81),0)</f>
        <v>5.24136173671851</v>
      </c>
      <c r="AC29" s="11" t="n">
        <f aca="false">IF(AND(AC24=1,Time!AC21&gt;=2027,Inputs!$F$51=1),MIN(Inputs!$F$109*AC15,Debt!AC81),0)</f>
        <v>4.71918570470418</v>
      </c>
      <c r="AD29" s="11" t="n">
        <f aca="false">IF(AND(AD24=1,Time!AD21&gt;=2027,Inputs!$F$51=1),MIN(Inputs!$F$109*AD15,Debt!AD81),0)</f>
        <v>5.91578850841811</v>
      </c>
      <c r="AE29" s="11" t="n">
        <f aca="false">IF(AND(AE24=1,Time!AE21&gt;=2027,Inputs!$F$51=1),MIN(Inputs!$F$109*AE15,Debt!AE81),0)</f>
        <v>6.35895389019279</v>
      </c>
      <c r="AF29" s="11" t="n">
        <f aca="false">IF(AND(AF24=1,Time!AF21&gt;=2027,Inputs!$F$51=1),MIN(Inputs!$F$109*AF15,Debt!AF81),0)</f>
        <v>7.08308978639843</v>
      </c>
      <c r="AG29" s="11" t="n">
        <f aca="false">IF(AND(AG24=1,Time!AG21&gt;=2027,Inputs!$F$51=1),MIN(Inputs!$F$109*AG15,Debt!AG81),0)</f>
        <v>7.26363438306493</v>
      </c>
      <c r="AH29" s="11" t="n">
        <f aca="false">IF(AND(AH24=1,Time!AH21&gt;=2027,Inputs!$F$51=1),MIN(Inputs!$F$109*AH15,Debt!AH81),0)</f>
        <v>8.39889591823189</v>
      </c>
      <c r="AI29" s="11" t="n">
        <f aca="false">IF(AND(AI24=1,Time!AI21&gt;=2027,Inputs!$F$51=1),MIN(Inputs!$F$109*AI15,Debt!AI81),0)</f>
        <v>8.9112858105518</v>
      </c>
      <c r="AJ29" s="11" t="n">
        <f aca="false">IF(AND(AJ24=1,Time!AJ21&gt;=2027,Inputs!$F$51=1),MIN(Inputs!$F$109*AJ15,Debt!AJ81),0)</f>
        <v>10.3760180845753</v>
      </c>
      <c r="AK29" s="11" t="n">
        <f aca="false">IF(AND(AK24=1,Time!AK21&gt;=2027,Inputs!$F$51=1),MIN(Inputs!$F$109*AK15,Debt!AK81),0)</f>
        <v>11.5285939389158</v>
      </c>
      <c r="AL29" s="11" t="n">
        <f aca="false">IF(AND(AL24=1,Time!AL21&gt;=2027,Inputs!$F$51=1),MIN(Inputs!$F$109*AL15,Debt!AL81),0)</f>
        <v>4.68895202729384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1.87224719782305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1370.86168145076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11.4102867580018</v>
      </c>
      <c r="Q31" s="11" t="n">
        <f aca="false">IF(Q24=1,Q15-Q29,0)</f>
        <v>8.90361765647996</v>
      </c>
      <c r="R31" s="11" t="n">
        <f aca="false">IF(R24=1,R15-R29,0)</f>
        <v>9.86637096835842</v>
      </c>
      <c r="S31" s="11" t="n">
        <f aca="false">IF(S24=1,S15-S29,0)</f>
        <v>9.00526262756011</v>
      </c>
      <c r="T31" s="11" t="n">
        <f aca="false">IF(T24=1,T15-T29,0)</f>
        <v>9.7760566887704</v>
      </c>
      <c r="U31" s="11" t="n">
        <f aca="false">IF(U24=1,U15-U29,0)</f>
        <v>8.74138611637996</v>
      </c>
      <c r="V31" s="11" t="n">
        <f aca="false">IF(V24=1,V15-V29,0)</f>
        <v>10.0114583282041</v>
      </c>
      <c r="W31" s="11" t="n">
        <f aca="false">IF(W24=1,W15-W29,0)</f>
        <v>10.8466685802926</v>
      </c>
      <c r="X31" s="11" t="n">
        <f aca="false">IF(X24=1,X15-X29,0)</f>
        <v>9.767931563143</v>
      </c>
      <c r="Y31" s="11" t="n">
        <f aca="false">IF(Y24=1,Y15-Y29,0)</f>
        <v>8.94975231336541</v>
      </c>
      <c r="Z31" s="11" t="n">
        <f aca="false">IF(Z24=1,Z15-Z29,0)</f>
        <v>9.69180463834411</v>
      </c>
      <c r="AA31" s="11" t="n">
        <f aca="false">IF(AA24=1,AA15-AA29,0)</f>
        <v>4.40642700609312</v>
      </c>
      <c r="AB31" s="11" t="n">
        <f aca="false">IF(AB24=1,AB15-AB29,0)</f>
        <v>5.24136173671851</v>
      </c>
      <c r="AC31" s="11" t="n">
        <f aca="false">IF(AC24=1,AC15-AC29,0)</f>
        <v>4.71918570470418</v>
      </c>
      <c r="AD31" s="11" t="n">
        <f aca="false">IF(AD24=1,AD15-AD29,0)</f>
        <v>5.91578850841811</v>
      </c>
      <c r="AE31" s="11" t="n">
        <f aca="false">IF(AE24=1,AE15-AE29,0)</f>
        <v>6.35895389019279</v>
      </c>
      <c r="AF31" s="11" t="n">
        <f aca="false">IF(AF24=1,AF15-AF29,0)</f>
        <v>7.08308978639843</v>
      </c>
      <c r="AG31" s="11" t="n">
        <f aca="false">IF(AG24=1,AG15-AG29,0)</f>
        <v>7.26363438306493</v>
      </c>
      <c r="AH31" s="11" t="n">
        <f aca="false">IF(AH24=1,AH15-AH29,0)</f>
        <v>8.39889591823189</v>
      </c>
      <c r="AI31" s="11" t="n">
        <f aca="false">IF(AI24=1,AI15-AI29,0)</f>
        <v>8.9112858105518</v>
      </c>
      <c r="AJ31" s="11" t="n">
        <f aca="false">IF(AJ24=1,AJ15-AJ29,0)</f>
        <v>10.3760180845753</v>
      </c>
      <c r="AK31" s="11" t="n">
        <f aca="false">IF(AK24=1,AK15-AK29,0)</f>
        <v>11.5285939389158</v>
      </c>
      <c r="AL31" s="11" t="n">
        <f aca="false">IF(AL24=1,AL15-AL29,0)</f>
        <v>24.4671740785395</v>
      </c>
      <c r="AM31" s="11" t="n">
        <f aca="false">IF(AM24=1,AM15-AM29,0)</f>
        <v>33.9429604141162</v>
      </c>
      <c r="AN31" s="11" t="n">
        <f aca="false">IF(AN24=1,AN15-AN29,0)</f>
        <v>30.3570898045468</v>
      </c>
      <c r="AO31" s="11" t="n">
        <f aca="false">IF(AO24=1,AO15-AO29,0)</f>
        <v>50.6913261501648</v>
      </c>
      <c r="AP31" s="11" t="n">
        <f aca="false">IF(AP24=1,AP15-AP29,0)</f>
        <v>51.3901970401744</v>
      </c>
      <c r="AQ31" s="11" t="n">
        <f aca="false">IF(AQ24=1,AQ15-AQ29,0)</f>
        <v>50.9756781429533</v>
      </c>
      <c r="AR31" s="11" t="n">
        <f aca="false">IF(AR24=1,AR15-AR29,0)</f>
        <v>51.5989019777388</v>
      </c>
      <c r="AS31" s="11" t="n">
        <f aca="false">IF(AS24=1,AS15-AS29,0)</f>
        <v>51.4095269231289</v>
      </c>
      <c r="AT31" s="11" t="n">
        <f aca="false">IF(AT24=1,AT15-AT29,0)</f>
        <v>53.3175320256316</v>
      </c>
      <c r="AU31" s="11" t="n">
        <f aca="false">IF(AU24=1,AU15-AU29,0)</f>
        <v>44.3732919394454</v>
      </c>
      <c r="AV31" s="11" t="n">
        <f aca="false">IF(AV24=1,AV15-AV29,0)</f>
        <v>44.4967907429513</v>
      </c>
      <c r="AW31" s="11" t="n">
        <f aca="false">IF(AW24=1,AW15-AW29,0)</f>
        <v>44.0724059550148</v>
      </c>
      <c r="AX31" s="11" t="n">
        <f aca="false">IF(AX24=1,AX15-AX29,0)</f>
        <v>44.7472459853546</v>
      </c>
      <c r="AY31" s="11" t="n">
        <f aca="false">IF(AY24=1,AY15-AY29,0)</f>
        <v>44.2903234988012</v>
      </c>
      <c r="AZ31" s="11" t="n">
        <f aca="false">IF(AZ24=1,AZ15-AZ29,0)</f>
        <v>44.9082136387042</v>
      </c>
      <c r="BA31" s="11" t="n">
        <f aca="false">IF(BA24=1,BA15-BA29,0)</f>
        <v>44.115600920643</v>
      </c>
      <c r="BB31" s="11" t="n">
        <f aca="false">IF(BB24=1,BB15-BB29,0)</f>
        <v>45.3565809265004</v>
      </c>
      <c r="BC31" s="11" t="n">
        <f aca="false">IF(BC24=1,BC15-BC29,0)</f>
        <v>41.7584291292966</v>
      </c>
      <c r="BD31" s="11" t="n">
        <f aca="false">IF(BD24=1,BD15-BD29,0)</f>
        <v>35.2773770769969</v>
      </c>
      <c r="BE31" s="11" t="n">
        <f aca="false">IF(BE24=1,BE15-BE29,0)</f>
        <v>34.8276155507657</v>
      </c>
      <c r="BF31" s="11" t="n">
        <f aca="false">IF(BF24=1,BF15-BF29,0)</f>
        <v>35.5149499343334</v>
      </c>
      <c r="BG31" s="11" t="n">
        <f aca="false">IF(BG24=1,BG15-BG29,0)</f>
        <v>35.0301651826009</v>
      </c>
      <c r="BH31" s="11" t="n">
        <f aca="false">IF(BH24=1,BH15-BH29,0)</f>
        <v>35.6539882713425</v>
      </c>
      <c r="BI31" s="11" t="n">
        <f aca="false">IF(BI24=1,BI15-BI29,0)</f>
        <v>35.3753569654438</v>
      </c>
      <c r="BJ31" s="11" t="n">
        <f aca="false">IF(BJ24=1,BJ15-BJ29,0)</f>
        <v>43.381445723958</v>
      </c>
      <c r="BK31" s="11" t="n">
        <f aca="false">IF(BK24=1,BK15-BK29,0)</f>
        <v>38.113886794181</v>
      </c>
      <c r="BL31" s="11" t="n">
        <f aca="false">IF(BL24=1,BL15-BL29,0)</f>
        <v>38.8439254869256</v>
      </c>
      <c r="BM31" s="11" t="n">
        <f aca="false">IF(BM24=1,BM15-BM29,0)</f>
        <v>55.3998701637381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48.5872600666698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220.740823050274</v>
      </c>
      <c r="P33" s="11" t="n">
        <f aca="false">IF(Time!P17&lt;Time!$F$11,0,IF(Time!P29=1,INDEX(Funding!$J$72:$BJ$72,1,Time!$F$13),O36))</f>
        <v>224.245461597059</v>
      </c>
      <c r="Q33" s="11" t="n">
        <f aca="false">IF(Time!Q17&lt;Time!$F$11,0,IF(Time!Q29=1,INDEX(Funding!$J$72:$BJ$72,1,Time!$F$13),P36))</f>
        <v>223.574382150609</v>
      </c>
      <c r="R33" s="11" t="n">
        <f aca="false">IF(Time!R17&lt;Time!$F$11,0,IF(Time!R29=1,INDEX(Funding!$J$72:$BJ$72,1,Time!$F$13),Q36))</f>
        <v>225.203261757361</v>
      </c>
      <c r="S33" s="11" t="n">
        <f aca="false">IF(Time!S17&lt;Time!$F$11,0,IF(Time!S29=1,INDEX(Funding!$J$72:$BJ$72,1,Time!$F$13),R36))</f>
        <v>226.121967543849</v>
      </c>
      <c r="T33" s="11" t="n">
        <f aca="false">IF(Time!T17&lt;Time!$F$11,0,IF(Time!T29=1,INDEX(Funding!$J$72:$BJ$72,1,Time!$F$13),S36))</f>
        <v>227.769217880443</v>
      </c>
      <c r="U33" s="11" t="n">
        <f aca="false">IF(Time!U17&lt;Time!$F$11,0,IF(Time!U29=1,INDEX(Funding!$J$72:$BJ$72,1,Time!$F$13),T36))</f>
        <v>228.901122639756</v>
      </c>
      <c r="V33" s="11" t="n">
        <f aca="false">IF(Time!V17&lt;Time!$F$11,0,IF(Time!V29=1,INDEX(Funding!$J$72:$BJ$72,1,Time!$F$13),U36))</f>
        <v>231.002751346503</v>
      </c>
      <c r="W33" s="11" t="n">
        <f aca="false">IF(Time!W17&lt;Time!$F$11,0,IF(Time!W29=1,INDEX(Funding!$J$72:$BJ$72,1,Time!$F$13),V36))</f>
        <v>232.05410971292</v>
      </c>
      <c r="X33" s="11" t="n">
        <f aca="false">IF(Time!X17&lt;Time!$F$11,0,IF(Time!X29=1,INDEX(Funding!$J$72:$BJ$72,1,Time!$F$13),W36))</f>
        <v>232.139414876501</v>
      </c>
      <c r="Y33" s="11" t="n">
        <f aca="false">IF(Time!Y17&lt;Time!$F$11,0,IF(Time!Y29=1,INDEX(Funding!$J$72:$BJ$72,1,Time!$F$13),X36))</f>
        <v>233.488735291553</v>
      </c>
      <c r="Z33" s="11" t="n">
        <f aca="false">IF(Time!Z17&lt;Time!$F$11,0,IF(Time!Z29=1,INDEX(Funding!$J$72:$BJ$72,1,Time!$F$13),Y36))</f>
        <v>235.538541343498</v>
      </c>
      <c r="AA33" s="11" t="n">
        <f aca="false">IF(Time!AA17&lt;Time!$F$11,0,IF(Time!AA29=1,INDEX(Funding!$J$72:$BJ$72,1,Time!$F$13),Z36))</f>
        <v>237.126774246754</v>
      </c>
      <c r="AB33" s="11" t="n">
        <f aca="false">IF(Time!AB17&lt;Time!$F$11,0,IF(Time!AB29=1,INDEX(Funding!$J$72:$BJ$72,1,Time!$F$13),AA36))</f>
        <v>243.891292126067</v>
      </c>
      <c r="AC33" s="11" t="n">
        <f aca="false">IF(Time!AC17&lt;Time!$F$11,0,IF(Time!AC29=1,INDEX(Funding!$J$72:$BJ$72,1,Time!$F$13),AB36))</f>
        <v>250.329984598564</v>
      </c>
      <c r="AD33" s="11" t="n">
        <f aca="false">IF(Time!AD17&lt;Time!$F$11,0,IF(Time!AD29=1,INDEX(Funding!$J$72:$BJ$72,1,Time!$F$13),AC36))</f>
        <v>257.468895972515</v>
      </c>
      <c r="AE33" s="11" t="n">
        <f aca="false">IF(Time!AE17&lt;Time!$F$11,0,IF(Time!AE29=1,INDEX(Funding!$J$72:$BJ$72,1,Time!$F$13),AD36))</f>
        <v>263.883398701356</v>
      </c>
      <c r="AF33" s="11" t="n">
        <f aca="false">IF(Time!AF17&lt;Time!$F$11,0,IF(Time!AF29=1,INDEX(Funding!$J$72:$BJ$72,1,Time!$F$13),AE36))</f>
        <v>269.955883278751</v>
      </c>
      <c r="AG33" s="11" t="n">
        <f aca="false">IF(Time!AG17&lt;Time!$F$11,0,IF(Time!AG29=1,INDEX(Funding!$J$72:$BJ$72,1,Time!$F$13),AF36))</f>
        <v>275.801091683346</v>
      </c>
      <c r="AH33" s="11" t="n">
        <f aca="false">IF(Time!AH17&lt;Time!$F$11,0,IF(Time!AH29=1,INDEX(Funding!$J$72:$BJ$72,1,Time!$F$13),AG36))</f>
        <v>281.530333386569</v>
      </c>
      <c r="AI33" s="11" t="n">
        <f aca="false">IF(Time!AI17&lt;Time!$F$11,0,IF(Time!AI29=1,INDEX(Funding!$J$72:$BJ$72,1,Time!$F$13),AH36))</f>
        <v>286.614040831618</v>
      </c>
      <c r="AJ33" s="11" t="n">
        <f aca="false">IF(Time!AJ17&lt;Time!$F$11,0,IF(Time!AJ29=1,INDEX(Funding!$J$72:$BJ$72,1,Time!$F$13),AI36))</f>
        <v>291.205024698051</v>
      </c>
      <c r="AK33" s="11" t="n">
        <f aca="false">IF(Time!AK17&lt;Time!$F$11,0,IF(Time!AK29=1,INDEX(Funding!$J$72:$BJ$72,1,Time!$F$13),AJ36))</f>
        <v>294.774934919563</v>
      </c>
      <c r="AL33" s="11" t="n">
        <f aca="false">IF(Time!AL17&lt;Time!$F$11,0,IF(Time!AL29=1,INDEX(Funding!$J$72:$BJ$72,1,Time!$F$13),AK36))</f>
        <v>297.209789267659</v>
      </c>
      <c r="AM33" s="11" t="n">
        <f aca="false">IF(Time!AM17&lt;Time!$F$11,0,IF(Time!AM29=1,INDEX(Funding!$J$72:$BJ$72,1,Time!$F$13),AL36))</f>
        <v>286.976114138157</v>
      </c>
      <c r="AN33" s="11" t="n">
        <f aca="false">IF(Time!AN17&lt;Time!$F$11,0,IF(Time!AN29=1,INDEX(Funding!$J$72:$BJ$72,1,Time!$F$13),AM36))</f>
        <v>266.5524805257</v>
      </c>
      <c r="AO33" s="11" t="n">
        <f aca="false">IF(Time!AO17&lt;Time!$F$11,0,IF(Time!AO29=1,INDEX(Funding!$J$72:$BJ$72,1,Time!$F$13),AN36))</f>
        <v>248.960698555645</v>
      </c>
      <c r="AP33" s="11" t="n">
        <f aca="false">IF(Time!AP17&lt;Time!$F$11,0,IF(Time!AP29=1,INDEX(Funding!$J$72:$BJ$72,1,Time!$F$13),AO36))</f>
        <v>209.99780860182</v>
      </c>
      <c r="AQ33" s="11" t="n">
        <f aca="false">IF(Time!AQ17&lt;Time!$F$11,0,IF(Time!AQ29=1,INDEX(Funding!$J$72:$BJ$72,1,Time!$F$13),AP36))</f>
        <v>168.664492916056</v>
      </c>
      <c r="AR33" s="11" t="n">
        <f aca="false">IF(Time!AR17&lt;Time!$F$11,0,IF(Time!AR29=1,INDEX(Funding!$J$72:$BJ$72,1,Time!$F$13),AQ36))</f>
        <v>125.634529720203</v>
      </c>
      <c r="AS33" s="11" t="n">
        <f aca="false">IF(Time!AS17&lt;Time!$F$11,0,IF(Time!AS29=1,INDEX(Funding!$J$72:$BJ$72,1,Time!$F$13),AR36))</f>
        <v>80.0523170013937</v>
      </c>
      <c r="AT33" s="11" t="n">
        <f aca="false">IF(Time!AT17&lt;Time!$F$11,0,IF(Time!AT29=1,INDEX(Funding!$J$72:$BJ$72,1,Time!$F$13),AS36))</f>
        <v>32.43485736855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268.113992841342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10.7392073115523</v>
      </c>
      <c r="Q34" s="11" t="n">
        <f aca="false">Q24*MIN(Q31,Tax!Q13)</f>
        <v>8.90361765647996</v>
      </c>
      <c r="R34" s="11" t="n">
        <f aca="false">R24*MIN(R31,Tax!R13)</f>
        <v>9.86637096835842</v>
      </c>
      <c r="S34" s="11" t="n">
        <f aca="false">S24*MIN(S31,Tax!S13)</f>
        <v>9.00526262756011</v>
      </c>
      <c r="T34" s="11" t="n">
        <f aca="false">T24*MIN(T31,Tax!T13)</f>
        <v>9.7760566887704</v>
      </c>
      <c r="U34" s="11" t="n">
        <f aca="false">U24*MIN(U31,Tax!U13)</f>
        <v>8.74138611637996</v>
      </c>
      <c r="V34" s="11" t="n">
        <f aca="false">V24*MIN(V31,Tax!V13)</f>
        <v>10.0114583282041</v>
      </c>
      <c r="W34" s="11" t="n">
        <f aca="false">W24*MIN(W31,Tax!W13)</f>
        <v>10.8466685802926</v>
      </c>
      <c r="X34" s="11" t="n">
        <f aca="false">X24*MIN(X31,Tax!X13)</f>
        <v>9.767931563143</v>
      </c>
      <c r="Y34" s="11" t="n">
        <f aca="false">Y24*MIN(Y31,Tax!Y13)</f>
        <v>8.94975231336541</v>
      </c>
      <c r="Z34" s="11" t="n">
        <f aca="false">Z24*MIN(Z31,Tax!Z13)</f>
        <v>9.69180463834411</v>
      </c>
      <c r="AA34" s="11" t="n">
        <f aca="false">AA24*MIN(AA31,Tax!AA13)</f>
        <v>4.40642700609312</v>
      </c>
      <c r="AB34" s="11" t="n">
        <f aca="false">AB24*MIN(AB31,Tax!AB13)</f>
        <v>5.24136173671851</v>
      </c>
      <c r="AC34" s="11" t="n">
        <f aca="false">AC24*MIN(AC31,Tax!AC13)</f>
        <v>4.71918570470418</v>
      </c>
      <c r="AD34" s="11" t="n">
        <f aca="false">AD24*MIN(AD31,Tax!AD13)</f>
        <v>5.91578850841811</v>
      </c>
      <c r="AE34" s="11" t="n">
        <f aca="false">AE24*MIN(AE31,Tax!AE13)</f>
        <v>6.35895389019279</v>
      </c>
      <c r="AF34" s="11" t="n">
        <f aca="false">AF24*MIN(AF31,Tax!AF13)</f>
        <v>7.08308978639843</v>
      </c>
      <c r="AG34" s="11" t="n">
        <f aca="false">AG24*MIN(AG31,Tax!AG13)</f>
        <v>7.26363438306493</v>
      </c>
      <c r="AH34" s="11" t="n">
        <f aca="false">AH24*MIN(AH31,Tax!AH13)</f>
        <v>8.39889591823189</v>
      </c>
      <c r="AI34" s="11" t="n">
        <f aca="false">AI24*MIN(AI31,Tax!AI13)</f>
        <v>8.9112858105518</v>
      </c>
      <c r="AJ34" s="11" t="n">
        <f aca="false">AJ24*MIN(AJ31,Tax!AJ13)</f>
        <v>10.3760180845753</v>
      </c>
      <c r="AK34" s="11" t="n">
        <f aca="false">AK24*MIN(AK31,Tax!AK13)</f>
        <v>11.5285939389158</v>
      </c>
      <c r="AL34" s="11" t="n">
        <f aca="false">AL24*MIN(AL31,Tax!AL13)</f>
        <v>14.2334989490375</v>
      </c>
      <c r="AM34" s="11" t="n">
        <f aca="false">AM24*MIN(AM31,Tax!AM13)</f>
        <v>13.5193268016592</v>
      </c>
      <c r="AN34" s="11" t="n">
        <f aca="false">AN24*MIN(AN31,Tax!AN13)</f>
        <v>12.7653078344911</v>
      </c>
      <c r="AO34" s="11" t="n">
        <f aca="false">AO24*MIN(AO31,Tax!AO13)</f>
        <v>11.7284361963406</v>
      </c>
      <c r="AP34" s="11" t="n">
        <f aca="false">AP24*MIN(AP31,Tax!AP13)</f>
        <v>10.0568813544105</v>
      </c>
      <c r="AQ34" s="11" t="n">
        <f aca="false">AQ24*MIN(AQ31,Tax!AQ13)</f>
        <v>7.94571494710025</v>
      </c>
      <c r="AR34" s="11" t="n">
        <f aca="false">AR24*MIN(AR31,Tax!AR13)</f>
        <v>6.01668925892919</v>
      </c>
      <c r="AS34" s="11" t="n">
        <f aca="false">AS24*MIN(AS31,Tax!AS13)</f>
        <v>3.7920672902852</v>
      </c>
      <c r="AT34" s="11" t="n">
        <f aca="false">AT24*MIN(AT31,Tax!AT13)</f>
        <v>1.5533186487733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297.880868714109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0.671079446449516</v>
      </c>
      <c r="Q35" s="11" t="n">
        <f aca="false">Q24*MIN(Q31-Q34,Q33+Tax!Q13-Q34)</f>
        <v>0</v>
      </c>
      <c r="R35" s="11" t="n">
        <f aca="false">R24*MIN(R31-R34,R33+Tax!R13-R34)</f>
        <v>0</v>
      </c>
      <c r="S35" s="11" t="n">
        <f aca="false">S24*MIN(S31-S34,S33+Tax!S13-S34)</f>
        <v>0</v>
      </c>
      <c r="T35" s="11" t="n">
        <f aca="false">T24*MIN(T31-T34,T33+Tax!T13-T34)</f>
        <v>0</v>
      </c>
      <c r="U35" s="11" t="n">
        <f aca="false">U24*MIN(U31-U34,U33+Tax!U13-U34)</f>
        <v>0</v>
      </c>
      <c r="V35" s="11" t="n">
        <f aca="false">V24*MIN(V31-V34,V33+Tax!V13-V34)</f>
        <v>0</v>
      </c>
      <c r="W35" s="11" t="n">
        <f aca="false">W24*MIN(W31-W34,W33+Tax!W13-W34)</f>
        <v>0</v>
      </c>
      <c r="X35" s="11" t="n">
        <f aca="false">X24*MIN(X31-X34,X33+Tax!X13-X34)</f>
        <v>0</v>
      </c>
      <c r="Y35" s="11" t="n">
        <f aca="false">Y24*MIN(Y31-Y34,Y33+Tax!Y13-Y34)</f>
        <v>0</v>
      </c>
      <c r="Z35" s="11" t="n">
        <f aca="false">Z24*MIN(Z31-Z34,Z33+Tax!Z13-Z34)</f>
        <v>0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</v>
      </c>
      <c r="AE35" s="11" t="n">
        <f aca="false">AE24*MIN(AE31-AE34,AE33+Tax!AE13-AE34)</f>
        <v>0</v>
      </c>
      <c r="AF35" s="11" t="n">
        <f aca="false">AF24*MIN(AF31-AF34,AF33+Tax!AF13-AF34)</f>
        <v>0</v>
      </c>
      <c r="AG35" s="11" t="n">
        <f aca="false">AG24*MIN(AG31-AG34,AG33+Tax!AG13-AG34)</f>
        <v>0</v>
      </c>
      <c r="AH35" s="11" t="n">
        <f aca="false">AH24*MIN(AH31-AH34,AH33+Tax!AH13-AH34)</f>
        <v>0</v>
      </c>
      <c r="AI35" s="11" t="n">
        <f aca="false">AI24*MIN(AI31-AI34,AI33+Tax!AI13-AI34)</f>
        <v>0</v>
      </c>
      <c r="AJ35" s="11" t="n">
        <f aca="false">AJ24*MIN(AJ31-AJ34,AJ33+Tax!AJ13-AJ34)</f>
        <v>0</v>
      </c>
      <c r="AK35" s="11" t="n">
        <f aca="false">AK24*MIN(AK31-AK34,AK33+Tax!AK13-AK34)</f>
        <v>0</v>
      </c>
      <c r="AL35" s="11" t="n">
        <f aca="false">AL24*MIN(AL31-AL34,AL33+Tax!AL13-AL34)</f>
        <v>10.233675129502</v>
      </c>
      <c r="AM35" s="11" t="n">
        <f aca="false">AM24*MIN(AM31-AM34,AM33+Tax!AM13-AM34)</f>
        <v>20.423633612457</v>
      </c>
      <c r="AN35" s="11" t="n">
        <f aca="false">AN24*MIN(AN31-AN34,AN33+Tax!AN13-AN34)</f>
        <v>17.5917819700557</v>
      </c>
      <c r="AO35" s="11" t="n">
        <f aca="false">AO24*MIN(AO31-AO34,AO33+Tax!AO13-AO34)</f>
        <v>38.9628899538242</v>
      </c>
      <c r="AP35" s="11" t="n">
        <f aca="false">AP24*MIN(AP31-AP34,AP33+Tax!AP13-AP34)</f>
        <v>41.333315685764</v>
      </c>
      <c r="AQ35" s="11" t="n">
        <f aca="false">AQ24*MIN(AQ31-AQ34,AQ33+Tax!AQ13-AQ34)</f>
        <v>43.0299631958531</v>
      </c>
      <c r="AR35" s="11" t="n">
        <f aca="false">AR24*MIN(AR31-AR34,AR33+Tax!AR13-AR34)</f>
        <v>45.5822127188096</v>
      </c>
      <c r="AS35" s="11" t="n">
        <f aca="false">AS24*MIN(AS31-AS34,AS33+Tax!AS13-AS34)</f>
        <v>47.6174596328437</v>
      </c>
      <c r="AT35" s="11" t="n">
        <f aca="false">AT24*MIN(AT31-AT34,AT33+Tax!AT13-AT34)</f>
        <v>32.43485736855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224.245461597059</v>
      </c>
      <c r="P36" s="11" t="n">
        <f aca="false">P33+Tax!P13-P34-P35</f>
        <v>223.574382150609</v>
      </c>
      <c r="Q36" s="11" t="n">
        <f aca="false">Q33+Tax!Q13-Q34-Q35</f>
        <v>225.203261757361</v>
      </c>
      <c r="R36" s="11" t="n">
        <f aca="false">R33+Tax!R13-R34-R35</f>
        <v>226.121967543849</v>
      </c>
      <c r="S36" s="11" t="n">
        <f aca="false">S33+Tax!S13-S34-S35</f>
        <v>227.769217880443</v>
      </c>
      <c r="T36" s="11" t="n">
        <f aca="false">T33+Tax!T13-T34-T35</f>
        <v>228.901122639756</v>
      </c>
      <c r="U36" s="11" t="n">
        <f aca="false">U33+Tax!U13-U34-U35</f>
        <v>231.002751346503</v>
      </c>
      <c r="V36" s="11" t="n">
        <f aca="false">V33+Tax!V13-V34-V35</f>
        <v>232.05410971292</v>
      </c>
      <c r="W36" s="11" t="n">
        <f aca="false">W33+Tax!W13-W34-W35</f>
        <v>232.139414876501</v>
      </c>
      <c r="X36" s="11" t="n">
        <f aca="false">X33+Tax!X13-X34-X35</f>
        <v>233.488735291553</v>
      </c>
      <c r="Y36" s="11" t="n">
        <f aca="false">Y33+Tax!Y13-Y34-Y35</f>
        <v>235.538541343498</v>
      </c>
      <c r="Z36" s="11" t="n">
        <f aca="false">Z33+Tax!Z13-Z34-Z35</f>
        <v>237.126774246754</v>
      </c>
      <c r="AA36" s="11" t="n">
        <f aca="false">AA33+Tax!AA13-AA34-AA35</f>
        <v>243.891292126067</v>
      </c>
      <c r="AB36" s="11" t="n">
        <f aca="false">AB33+Tax!AB13-AB34-AB35</f>
        <v>250.329984598564</v>
      </c>
      <c r="AC36" s="11" t="n">
        <f aca="false">AC33+Tax!AC13-AC34-AC35</f>
        <v>257.468895972515</v>
      </c>
      <c r="AD36" s="11" t="n">
        <f aca="false">AD33+Tax!AD13-AD34-AD35</f>
        <v>263.883398701356</v>
      </c>
      <c r="AE36" s="11" t="n">
        <f aca="false">AE33+Tax!AE13-AE34-AE35</f>
        <v>269.955883278751</v>
      </c>
      <c r="AF36" s="11" t="n">
        <f aca="false">AF33+Tax!AF13-AF34-AF35</f>
        <v>275.801091683346</v>
      </c>
      <c r="AG36" s="11" t="n">
        <f aca="false">AG33+Tax!AG13-AG34-AG35</f>
        <v>281.530333386569</v>
      </c>
      <c r="AH36" s="11" t="n">
        <f aca="false">AH33+Tax!AH13-AH34-AH35</f>
        <v>286.614040831618</v>
      </c>
      <c r="AI36" s="11" t="n">
        <f aca="false">AI33+Tax!AI13-AI34-AI35</f>
        <v>291.205024698051</v>
      </c>
      <c r="AJ36" s="11" t="n">
        <f aca="false">AJ33+Tax!AJ13-AJ34-AJ35</f>
        <v>294.774934919563</v>
      </c>
      <c r="AK36" s="11" t="n">
        <f aca="false">AK33+Tax!AK13-AK34-AK35</f>
        <v>297.209789267659</v>
      </c>
      <c r="AL36" s="11" t="n">
        <f aca="false">AL33+Tax!AL13-AL34-AL35</f>
        <v>286.976114138157</v>
      </c>
      <c r="AM36" s="11" t="n">
        <f aca="false">AM33+Tax!AM13-AM34-AM35</f>
        <v>266.5524805257</v>
      </c>
      <c r="AN36" s="11" t="n">
        <f aca="false">AN33+Tax!AN13-AN34-AN35</f>
        <v>248.960698555645</v>
      </c>
      <c r="AO36" s="11" t="n">
        <f aca="false">AO33+Tax!AO13-AO34-AO35</f>
        <v>209.99780860182</v>
      </c>
      <c r="AP36" s="11" t="n">
        <f aca="false">AP33+Tax!AP13-AP34-AP35</f>
        <v>168.664492916056</v>
      </c>
      <c r="AQ36" s="11" t="n">
        <f aca="false">AQ33+Tax!AQ13-AQ34-AQ35</f>
        <v>125.634529720203</v>
      </c>
      <c r="AR36" s="11" t="n">
        <f aca="false">AR33+Tax!AR13-AR34-AR35</f>
        <v>80.0523170013937</v>
      </c>
      <c r="AS36" s="11" t="n">
        <f aca="false">AS33+Tax!AS13-AS34-AS35</f>
        <v>32.43485736855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9.10515112180447</v>
      </c>
      <c r="P37" s="11" t="n">
        <f aca="false">MAX(0,O43+Financials!P14)</f>
        <v>12.3165271330113</v>
      </c>
      <c r="Q37" s="11" t="n">
        <f aca="false">MAX(0,P43+Financials!Q14)</f>
        <v>16.7738126424195</v>
      </c>
      <c r="R37" s="11" t="n">
        <f aca="false">MAX(0,Q43+Financials!R14)</f>
        <v>21.4747731500528</v>
      </c>
      <c r="S37" s="11" t="n">
        <f aca="false">MAX(0,R43+Financials!S14)</f>
        <v>27.2790801389097</v>
      </c>
      <c r="T37" s="11" t="n">
        <f aca="false">MAX(0,S43+Financials!T14)</f>
        <v>33.3161945542571</v>
      </c>
      <c r="U37" s="11" t="n">
        <f aca="false">MAX(0,T43+Financials!U14)</f>
        <v>40.4266045012986</v>
      </c>
      <c r="V37" s="11" t="n">
        <f aca="false">MAX(0,U43+Financials!V14)</f>
        <v>45.5954670251313</v>
      </c>
      <c r="W37" s="11" t="n">
        <f aca="false">MAX(0,V43+Financials!W14)</f>
        <v>54.4248083387529</v>
      </c>
      <c r="X37" s="11" t="n">
        <f aca="false">MAX(0,W43+Financials!X14)</f>
        <v>63.6334025538222</v>
      </c>
      <c r="Y37" s="11" t="n">
        <f aca="false">MAX(0,X43+Financials!Y14)</f>
        <v>71.1146281064973</v>
      </c>
      <c r="Z37" s="11" t="n">
        <f aca="false">MAX(0,Y43+Financials!Z14)</f>
        <v>74.128624635202</v>
      </c>
      <c r="AA37" s="11" t="n">
        <f aca="false">MAX(0,Z43+Financials!AA14)</f>
        <v>77.991071095928</v>
      </c>
      <c r="AB37" s="11" t="n">
        <f aca="false">MAX(0,AA43+Financials!AB14)</f>
        <v>82.1595087085334</v>
      </c>
      <c r="AC37" s="11" t="n">
        <f aca="false">MAX(0,AB43+Financials!AC14)</f>
        <v>87.2157772430752</v>
      </c>
      <c r="AD37" s="11" t="n">
        <f aca="false">MAX(0,AC43+Financials!AD14)</f>
        <v>81.5558866538651</v>
      </c>
      <c r="AE37" s="11" t="n">
        <f aca="false">MAX(0,AD43+Financials!AE14)</f>
        <v>89.971734582769</v>
      </c>
      <c r="AF37" s="11" t="n">
        <f aca="false">MAX(0,AE43+Financials!AF14)</f>
        <v>97.4142821600475</v>
      </c>
      <c r="AG37" s="11" t="n">
        <f aca="false">MAX(0,AF43+Financials!AG14)</f>
        <v>105.231020722189</v>
      </c>
      <c r="AH37" s="11" t="n">
        <f aca="false">MAX(0,AG43+Financials!AH14)</f>
        <v>113.689603783104</v>
      </c>
      <c r="AI37" s="11" t="n">
        <f aca="false">MAX(0,AH43+Financials!AI14)</f>
        <v>123.250858180123</v>
      </c>
      <c r="AJ37" s="11" t="n">
        <f aca="false">MAX(0,AI43+Financials!AJ14)</f>
        <v>133.502449413312</v>
      </c>
      <c r="AK37" s="11" t="n">
        <f aca="false">MAX(0,AJ43+Financials!AK14)</f>
        <v>144.916757846253</v>
      </c>
      <c r="AL37" s="11" t="n">
        <f aca="false">MAX(0,AK43+Financials!AL14)</f>
        <v>155.239091518245</v>
      </c>
      <c r="AM37" s="11" t="n">
        <f aca="false">MAX(0,AL43+Financials!AM14)</f>
        <v>168.875220315966</v>
      </c>
      <c r="AN37" s="11" t="n">
        <f aca="false">MAX(0,AM43+Financials!AN14)</f>
        <v>183.484740812102</v>
      </c>
      <c r="AO37" s="11" t="n">
        <f aca="false">MAX(0,AN43+Financials!AO14)</f>
        <v>199.306754719344</v>
      </c>
      <c r="AP37" s="11" t="n">
        <f aca="false">MAX(0,AO43+Financials!AP14)</f>
        <v>216.803092872133</v>
      </c>
      <c r="AQ37" s="11" t="n">
        <f aca="false">MAX(0,AP43+Financials!AQ14)</f>
        <v>235.855931829535</v>
      </c>
      <c r="AR37" s="11" t="n">
        <f aca="false">MAX(0,AQ43+Financials!AR14)</f>
        <v>256.324821004582</v>
      </c>
      <c r="AS37" s="11" t="n">
        <f aca="false">MAX(0,AR43+Financials!AS14)</f>
        <v>278.529633565867</v>
      </c>
      <c r="AT37" s="11" t="n">
        <f aca="false">MAX(0,AS43+Financials!AT14)</f>
        <v>292.382438503453</v>
      </c>
      <c r="AU37" s="11" t="n">
        <f aca="false">MAX(0,AT43+Financials!AU14)</f>
        <v>298.586522073504</v>
      </c>
      <c r="AV37" s="11" t="n">
        <f aca="false">MAX(0,AU43+Financials!AV14)</f>
        <v>279.676219089042</v>
      </c>
      <c r="AW37" s="11" t="n">
        <f aca="false">MAX(0,AV43+Financials!AW14)</f>
        <v>260.757870784374</v>
      </c>
      <c r="AX37" s="11" t="n">
        <f aca="false">MAX(0,AW43+Financials!AX14)</f>
        <v>242.398626955048</v>
      </c>
      <c r="AY37" s="11" t="n">
        <f aca="false">MAX(0,AX43+Financials!AY14)</f>
        <v>223.451031417604</v>
      </c>
      <c r="AZ37" s="11" t="n">
        <f aca="false">MAX(0,AY43+Financials!AZ14)</f>
        <v>205.033759372461</v>
      </c>
      <c r="BA37" s="11" t="n">
        <f aca="false">MAX(0,AZ43+Financials!BA14)</f>
        <v>186.160463971374</v>
      </c>
      <c r="BB37" s="11" t="n">
        <f aca="false">MAX(0,BA43+Financials!BB14)</f>
        <v>165.82944964985</v>
      </c>
      <c r="BC37" s="11" t="n">
        <f aca="false">MAX(0,BB43+Financials!BC14)</f>
        <v>146.782222388641</v>
      </c>
      <c r="BD37" s="11" t="n">
        <f aca="false">MAX(0,BC43+Financials!BD14)</f>
        <v>131.323530982202</v>
      </c>
      <c r="BE37" s="11" t="n">
        <f aca="false">MAX(0,BD43+Financials!BE14)</f>
        <v>122.470722596018</v>
      </c>
      <c r="BF37" s="11" t="n">
        <f aca="false">MAX(0,BE43+Financials!BF14)</f>
        <v>114.215037316098</v>
      </c>
      <c r="BG37" s="11" t="n">
        <f aca="false">MAX(0,BF43+Financials!BG14)</f>
        <v>105.364613152693</v>
      </c>
      <c r="BH37" s="11" t="n">
        <f aca="false">MAX(0,BG43+Financials!BH14)</f>
        <v>97.0781785772236</v>
      </c>
      <c r="BI37" s="11" t="n">
        <f aca="false">MAX(0,BH43+Financials!BI14)</f>
        <v>88.3825380678457</v>
      </c>
      <c r="BJ37" s="11" t="n">
        <f aca="false">MAX(0,BI43+Financials!BJ14)</f>
        <v>67.7811380366159</v>
      </c>
      <c r="BK37" s="11" t="n">
        <f aca="false">MAX(0,BJ43+Financials!BK14)</f>
        <v>51.697265067732</v>
      </c>
      <c r="BL37" s="11" t="n">
        <f aca="false">MAX(0,BK43+Financials!BL14)</f>
        <v>40.7891196189708</v>
      </c>
      <c r="BM37" s="11" t="n">
        <f aca="false">MAX(0,BL43+Financials!BM14)</f>
        <v>6.81261009706839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0</v>
      </c>
      <c r="AP38" s="11" t="n">
        <f aca="false">AP24*MIN(AP31-AP34-AP35,AP37)</f>
        <v>0</v>
      </c>
      <c r="AQ38" s="11" t="n">
        <f aca="false">AQ24*MIN(AQ31-AQ34-AQ35,AQ37)</f>
        <v>0</v>
      </c>
      <c r="AR38" s="11" t="n">
        <f aca="false">AR24*MIN(AR31-AR34-AR35,AR37)</f>
        <v>0</v>
      </c>
      <c r="AS38" s="11" t="n">
        <f aca="false">AS24*MIN(AS31-AS34-AS35,AS37)</f>
        <v>0</v>
      </c>
      <c r="AT38" s="11" t="n">
        <f aca="false">AT24*MIN(AT31-AT34-AT35,AT37)</f>
        <v>19.3293560083083</v>
      </c>
      <c r="AU38" s="11" t="n">
        <f aca="false">AU24*MIN(AU31-AU34-AU35,AU37)</f>
        <v>44.3732919394454</v>
      </c>
      <c r="AV38" s="11" t="n">
        <f aca="false">AV24*MIN(AV31-AV34-AV35,AV37)</f>
        <v>44.4967907429513</v>
      </c>
      <c r="AW38" s="11" t="n">
        <f aca="false">AW24*MIN(AW31-AW34-AW35,AW37)</f>
        <v>44.0724059550148</v>
      </c>
      <c r="AX38" s="11" t="n">
        <f aca="false">AX24*MIN(AX31-AX34-AX35,AX37)</f>
        <v>44.7472459853546</v>
      </c>
      <c r="AY38" s="11" t="n">
        <f aca="false">AY24*MIN(AY31-AY34-AY35,AY37)</f>
        <v>44.2903234988012</v>
      </c>
      <c r="AZ38" s="11" t="n">
        <f aca="false">AZ24*MIN(AZ31-AZ34-AZ35,AZ37)</f>
        <v>44.9082136387042</v>
      </c>
      <c r="BA38" s="11" t="n">
        <f aca="false">BA24*MIN(BA31-BA34-BA35,BA37)</f>
        <v>44.115600920643</v>
      </c>
      <c r="BB38" s="11" t="n">
        <f aca="false">BB24*MIN(BB31-BB34-BB35,BB37)</f>
        <v>45.3565809265004</v>
      </c>
      <c r="BC38" s="11" t="n">
        <f aca="false">BC24*MIN(BC31-BC34-BC35,BC37)</f>
        <v>41.7584291292966</v>
      </c>
      <c r="BD38" s="11" t="n">
        <f aca="false">BD24*MIN(BD31-BD34-BD35,BD37)</f>
        <v>35.2773770769969</v>
      </c>
      <c r="BE38" s="11" t="n">
        <f aca="false">BE24*MIN(BE31-BE34-BE35,BE37)</f>
        <v>34.8276155507657</v>
      </c>
      <c r="BF38" s="11" t="n">
        <f aca="false">BF24*MIN(BF31-BF34-BF35,BF37)</f>
        <v>35.5149499343334</v>
      </c>
      <c r="BG38" s="11" t="n">
        <f aca="false">BG24*MIN(BG31-BG34-BG35,BG37)</f>
        <v>35.0301651826009</v>
      </c>
      <c r="BH38" s="11" t="n">
        <f aca="false">BH24*MIN(BH31-BH34-BH35,BH37)</f>
        <v>35.6539882713425</v>
      </c>
      <c r="BI38" s="11" t="n">
        <f aca="false">BI24*MIN(BI31-BI34-BI35,BI37)</f>
        <v>35.3753569654438</v>
      </c>
      <c r="BJ38" s="11" t="n">
        <f aca="false">BJ24*MIN(BJ31-BJ34-BJ35,BJ37)</f>
        <v>43.381445723958</v>
      </c>
      <c r="BK38" s="11" t="n">
        <f aca="false">BK24*MIN(BK31-BK34-BK35,BK37)</f>
        <v>38.113886794181</v>
      </c>
      <c r="BL38" s="11" t="n">
        <f aca="false">BL24*MIN(BL31-BL34-BL35,BL37)</f>
        <v>38.8439254869256</v>
      </c>
      <c r="BM38" s="11" t="n">
        <f aca="false">BM24*MIN(BM31-BM34-BM35,BM37)</f>
        <v>6.81261009706839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48.5872600666697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48.5872600666697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48.5872600666697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804.866819895306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0</v>
      </c>
      <c r="AP41" s="11" t="n">
        <f aca="false">AP38+AP40</f>
        <v>0</v>
      </c>
      <c r="AQ41" s="11" t="n">
        <f aca="false">AQ38+AQ40</f>
        <v>0</v>
      </c>
      <c r="AR41" s="11" t="n">
        <f aca="false">AR38+AR40</f>
        <v>0</v>
      </c>
      <c r="AS41" s="11" t="n">
        <f aca="false">AS38+AS40</f>
        <v>0</v>
      </c>
      <c r="AT41" s="11" t="n">
        <f aca="false">AT38+AT40</f>
        <v>19.3293560083083</v>
      </c>
      <c r="AU41" s="11" t="n">
        <f aca="false">AU38+AU40</f>
        <v>44.3732919394454</v>
      </c>
      <c r="AV41" s="11" t="n">
        <f aca="false">AV38+AV40</f>
        <v>44.4967907429513</v>
      </c>
      <c r="AW41" s="11" t="n">
        <f aca="false">AW38+AW40</f>
        <v>44.0724059550148</v>
      </c>
      <c r="AX41" s="11" t="n">
        <f aca="false">AX38+AX40</f>
        <v>44.7472459853546</v>
      </c>
      <c r="AY41" s="11" t="n">
        <f aca="false">AY38+AY40</f>
        <v>44.2903234988012</v>
      </c>
      <c r="AZ41" s="11" t="n">
        <f aca="false">AZ38+AZ40</f>
        <v>44.9082136387042</v>
      </c>
      <c r="BA41" s="11" t="n">
        <f aca="false">BA38+BA40</f>
        <v>44.115600920643</v>
      </c>
      <c r="BB41" s="11" t="n">
        <f aca="false">BB38+BB40</f>
        <v>45.3565809265004</v>
      </c>
      <c r="BC41" s="11" t="n">
        <f aca="false">BC38+BC40</f>
        <v>41.7584291292966</v>
      </c>
      <c r="BD41" s="11" t="n">
        <f aca="false">BD38+BD40</f>
        <v>35.2773770769969</v>
      </c>
      <c r="BE41" s="11" t="n">
        <f aca="false">BE38+BE40</f>
        <v>34.8276155507657</v>
      </c>
      <c r="BF41" s="11" t="n">
        <f aca="false">BF38+BF40</f>
        <v>35.5149499343334</v>
      </c>
      <c r="BG41" s="11" t="n">
        <f aca="false">BG38+BG40</f>
        <v>35.0301651826009</v>
      </c>
      <c r="BH41" s="11" t="n">
        <f aca="false">BH38+BH40</f>
        <v>35.6539882713425</v>
      </c>
      <c r="BI41" s="11" t="n">
        <f aca="false">BI38+BI40</f>
        <v>35.3753569654438</v>
      </c>
      <c r="BJ41" s="11" t="n">
        <f aca="false">BJ38+BJ40</f>
        <v>43.381445723958</v>
      </c>
      <c r="BK41" s="11" t="n">
        <f aca="false">BK38+BK40</f>
        <v>38.113886794181</v>
      </c>
      <c r="BL41" s="11" t="n">
        <f aca="false">BL38+BL40</f>
        <v>38.8439254869256</v>
      </c>
      <c r="BM41" s="11" t="n">
        <f aca="false">BM38+BM40</f>
        <v>55.3998701637381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9.10515112180447</v>
      </c>
      <c r="P43" s="11" t="n">
        <f aca="false">IF(Time!P17&lt;Time!$F$11,0,O43+Financials!P14-P41)</f>
        <v>12.3165271330113</v>
      </c>
      <c r="Q43" s="11" t="n">
        <f aca="false">IF(Time!Q17&lt;Time!$F$11,0,P43+Financials!Q14-Q41)</f>
        <v>16.7738126424195</v>
      </c>
      <c r="R43" s="11" t="n">
        <f aca="false">IF(Time!R17&lt;Time!$F$11,0,Q43+Financials!R14-R41)</f>
        <v>21.4747731500528</v>
      </c>
      <c r="S43" s="11" t="n">
        <f aca="false">IF(Time!S17&lt;Time!$F$11,0,R43+Financials!S14-S41)</f>
        <v>27.2790801389097</v>
      </c>
      <c r="T43" s="11" t="n">
        <f aca="false">IF(Time!T17&lt;Time!$F$11,0,S43+Financials!T14-T41)</f>
        <v>33.3161945542571</v>
      </c>
      <c r="U43" s="11" t="n">
        <f aca="false">IF(Time!U17&lt;Time!$F$11,0,T43+Financials!U14-U41)</f>
        <v>40.4266045012986</v>
      </c>
      <c r="V43" s="11" t="n">
        <f aca="false">IF(Time!V17&lt;Time!$F$11,0,U43+Financials!V14-V41)</f>
        <v>45.5954670251313</v>
      </c>
      <c r="W43" s="11" t="n">
        <f aca="false">IF(Time!W17&lt;Time!$F$11,0,V43+Financials!W14-W41)</f>
        <v>54.4248083387529</v>
      </c>
      <c r="X43" s="11" t="n">
        <f aca="false">IF(Time!X17&lt;Time!$F$11,0,W43+Financials!X14-X41)</f>
        <v>63.6334025538222</v>
      </c>
      <c r="Y43" s="11" t="n">
        <f aca="false">IF(Time!Y17&lt;Time!$F$11,0,X43+Financials!Y14-Y41)</f>
        <v>71.1146281064973</v>
      </c>
      <c r="Z43" s="11" t="n">
        <f aca="false">IF(Time!Z17&lt;Time!$F$11,0,Y43+Financials!Z14-Z41)</f>
        <v>74.128624635202</v>
      </c>
      <c r="AA43" s="11" t="n">
        <f aca="false">IF(Time!AA17&lt;Time!$F$11,0,Z43+Financials!AA14-AA41)</f>
        <v>77.991071095928</v>
      </c>
      <c r="AB43" s="11" t="n">
        <f aca="false">IF(Time!AB17&lt;Time!$F$11,0,AA43+Financials!AB14-AB41)</f>
        <v>82.1595087085334</v>
      </c>
      <c r="AC43" s="11" t="n">
        <f aca="false">IF(Time!AC17&lt;Time!$F$11,0,AB43+Financials!AC14-AC41)</f>
        <v>87.2157772430752</v>
      </c>
      <c r="AD43" s="11" t="n">
        <f aca="false">IF(Time!AD17&lt;Time!$F$11,0,AC43+Financials!AD14-AD41)</f>
        <v>81.5558866538651</v>
      </c>
      <c r="AE43" s="11" t="n">
        <f aca="false">IF(Time!AE17&lt;Time!$F$11,0,AD43+Financials!AE14-AE41)</f>
        <v>89.971734582769</v>
      </c>
      <c r="AF43" s="11" t="n">
        <f aca="false">IF(Time!AF17&lt;Time!$F$11,0,AE43+Financials!AF14-AF41)</f>
        <v>97.4142821600475</v>
      </c>
      <c r="AG43" s="11" t="n">
        <f aca="false">IF(Time!AG17&lt;Time!$F$11,0,AF43+Financials!AG14-AG41)</f>
        <v>105.231020722189</v>
      </c>
      <c r="AH43" s="11" t="n">
        <f aca="false">IF(Time!AH17&lt;Time!$F$11,0,AG43+Financials!AH14-AH41)</f>
        <v>113.689603783104</v>
      </c>
      <c r="AI43" s="11" t="n">
        <f aca="false">IF(Time!AI17&lt;Time!$F$11,0,AH43+Financials!AI14-AI41)</f>
        <v>123.250858180123</v>
      </c>
      <c r="AJ43" s="11" t="n">
        <f aca="false">IF(Time!AJ17&lt;Time!$F$11,0,AI43+Financials!AJ14-AJ41)</f>
        <v>133.502449413312</v>
      </c>
      <c r="AK43" s="11" t="n">
        <f aca="false">IF(Time!AK17&lt;Time!$F$11,0,AJ43+Financials!AK14-AK41)</f>
        <v>144.916757846253</v>
      </c>
      <c r="AL43" s="11" t="n">
        <f aca="false">IF(Time!AL17&lt;Time!$F$11,0,AK43+Financials!AL14-AL41)</f>
        <v>155.239091518245</v>
      </c>
      <c r="AM43" s="11" t="n">
        <f aca="false">IF(Time!AM17&lt;Time!$F$11,0,AL43+Financials!AM14-AM41)</f>
        <v>168.875220315966</v>
      </c>
      <c r="AN43" s="11" t="n">
        <f aca="false">IF(Time!AN17&lt;Time!$F$11,0,AM43+Financials!AN14-AN41)</f>
        <v>183.484740812102</v>
      </c>
      <c r="AO43" s="11" t="n">
        <f aca="false">IF(Time!AO17&lt;Time!$F$11,0,AN43+Financials!AO14-AO41)</f>
        <v>199.306754719344</v>
      </c>
      <c r="AP43" s="11" t="n">
        <f aca="false">IF(Time!AP17&lt;Time!$F$11,0,AO43+Financials!AP14-AP41)</f>
        <v>216.803092872133</v>
      </c>
      <c r="AQ43" s="11" t="n">
        <f aca="false">IF(Time!AQ17&lt;Time!$F$11,0,AP43+Financials!AQ14-AQ41)</f>
        <v>235.855931829535</v>
      </c>
      <c r="AR43" s="11" t="n">
        <f aca="false">IF(Time!AR17&lt;Time!$F$11,0,AQ43+Financials!AR14-AR41)</f>
        <v>256.324821004582</v>
      </c>
      <c r="AS43" s="11" t="n">
        <f aca="false">IF(Time!AS17&lt;Time!$F$11,0,AR43+Financials!AS14-AS41)</f>
        <v>278.529633565867</v>
      </c>
      <c r="AT43" s="11" t="n">
        <f aca="false">IF(Time!AT17&lt;Time!$F$11,0,AS43+Financials!AT14-AT41)</f>
        <v>273.053082495145</v>
      </c>
      <c r="AU43" s="11" t="n">
        <f aca="false">IF(Time!AU17&lt;Time!$F$11,0,AT43+Financials!AU14-AU41)</f>
        <v>254.213230134058</v>
      </c>
      <c r="AV43" s="11" t="n">
        <f aca="false">IF(Time!AV17&lt;Time!$F$11,0,AU43+Financials!AV14-AV41)</f>
        <v>235.17942834609</v>
      </c>
      <c r="AW43" s="11" t="n">
        <f aca="false">IF(Time!AW17&lt;Time!$F$11,0,AV43+Financials!AW14-AW41)</f>
        <v>216.685464829359</v>
      </c>
      <c r="AX43" s="11" t="n">
        <f aca="false">IF(Time!AX17&lt;Time!$F$11,0,AW43+Financials!AX14-AX41)</f>
        <v>197.651380969693</v>
      </c>
      <c r="AY43" s="11" t="n">
        <f aca="false">IF(Time!AY17&lt;Time!$F$11,0,AX43+Financials!AY14-AY41)</f>
        <v>179.160707918803</v>
      </c>
      <c r="AZ43" s="11" t="n">
        <f aca="false">IF(Time!AZ17&lt;Time!$F$11,0,AY43+Financials!AZ14-AZ41)</f>
        <v>160.125545733757</v>
      </c>
      <c r="BA43" s="11" t="n">
        <f aca="false">IF(Time!BA17&lt;Time!$F$11,0,AZ43+Financials!BA14-BA41)</f>
        <v>142.044863050731</v>
      </c>
      <c r="BB43" s="11" t="n">
        <f aca="false">IF(Time!BB17&lt;Time!$F$11,0,BA43+Financials!BB14-BB41)</f>
        <v>120.472868723349</v>
      </c>
      <c r="BC43" s="11" t="n">
        <f aca="false">IF(Time!BC17&lt;Time!$F$11,0,BB43+Financials!BC14-BC41)</f>
        <v>105.023793259345</v>
      </c>
      <c r="BD43" s="11" t="n">
        <f aca="false">IF(Time!BD17&lt;Time!$F$11,0,BC43+Financials!BD14-BD41)</f>
        <v>96.0461539052051</v>
      </c>
      <c r="BE43" s="11" t="n">
        <f aca="false">IF(Time!BE17&lt;Time!$F$11,0,BD43+Financials!BE14-BE41)</f>
        <v>87.6431070452526</v>
      </c>
      <c r="BF43" s="11" t="n">
        <f aca="false">IF(Time!BF17&lt;Time!$F$11,0,BE43+Financials!BF14-BF41)</f>
        <v>78.7000873817649</v>
      </c>
      <c r="BG43" s="11" t="n">
        <f aca="false">IF(Time!BG17&lt;Time!$F$11,0,BF43+Financials!BG14-BG41)</f>
        <v>70.3344479700922</v>
      </c>
      <c r="BH43" s="11" t="n">
        <f aca="false">IF(Time!BH17&lt;Time!$F$11,0,BG43+Financials!BH14-BH41)</f>
        <v>61.4241903058812</v>
      </c>
      <c r="BI43" s="11" t="n">
        <f aca="false">IF(Time!BI17&lt;Time!$F$11,0,BH43+Financials!BI14-BI41)</f>
        <v>53.0071811024019</v>
      </c>
      <c r="BJ43" s="11" t="n">
        <f aca="false">IF(Time!BJ17&lt;Time!$F$11,0,BI43+Financials!BJ14-BJ41)</f>
        <v>24.3996923126579</v>
      </c>
      <c r="BK43" s="11" t="n">
        <f aca="false">IF(Time!BK17&lt;Time!$F$11,0,BJ43+Financials!BK14-BK41)</f>
        <v>13.583378273551</v>
      </c>
      <c r="BL43" s="11" t="n">
        <f aca="false">IF(Time!BL17&lt;Time!$F$11,0,BK43+Financials!BL14-BL41)</f>
        <v>1.94519413204512</v>
      </c>
      <c r="BM43" s="11" t="n">
        <f aca="false">IF(Time!BM17&lt;Time!$F$11,0,BL43+Financials!BM14-BM41)</f>
        <v>-48.5872600666697</v>
      </c>
      <c r="BN43" s="11" t="n">
        <f aca="false">IF(Time!BN17&lt;Time!$F$11,0,BM43+Financials!BN14-BN41)</f>
        <v>-48.5872600666697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1370.86168145076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11.4102867580018</v>
      </c>
      <c r="Q44" s="11" t="n">
        <f aca="false">Q34+Q35+Q41</f>
        <v>8.90361765647996</v>
      </c>
      <c r="R44" s="11" t="n">
        <f aca="false">R34+R35+R41</f>
        <v>9.86637096835842</v>
      </c>
      <c r="S44" s="11" t="n">
        <f aca="false">S34+S35+S41</f>
        <v>9.00526262756011</v>
      </c>
      <c r="T44" s="11" t="n">
        <f aca="false">T34+T35+T41</f>
        <v>9.7760566887704</v>
      </c>
      <c r="U44" s="11" t="n">
        <f aca="false">U34+U35+U41</f>
        <v>8.74138611637996</v>
      </c>
      <c r="V44" s="11" t="n">
        <f aca="false">V34+V35+V41</f>
        <v>10.0114583282041</v>
      </c>
      <c r="W44" s="11" t="n">
        <f aca="false">W34+W35+W41</f>
        <v>10.8466685802926</v>
      </c>
      <c r="X44" s="11" t="n">
        <f aca="false">X34+X35+X41</f>
        <v>9.767931563143</v>
      </c>
      <c r="Y44" s="11" t="n">
        <f aca="false">Y34+Y35+Y41</f>
        <v>8.94975231336541</v>
      </c>
      <c r="Z44" s="11" t="n">
        <f aca="false">Z34+Z35+Z41</f>
        <v>9.69180463834411</v>
      </c>
      <c r="AA44" s="11" t="n">
        <f aca="false">AA34+AA35+AA41</f>
        <v>4.40642700609312</v>
      </c>
      <c r="AB44" s="11" t="n">
        <f aca="false">AB34+AB35+AB41</f>
        <v>5.24136173671851</v>
      </c>
      <c r="AC44" s="11" t="n">
        <f aca="false">AC34+AC35+AC41</f>
        <v>4.71918570470418</v>
      </c>
      <c r="AD44" s="11" t="n">
        <f aca="false">AD34+AD35+AD41</f>
        <v>5.91578850841811</v>
      </c>
      <c r="AE44" s="11" t="n">
        <f aca="false">AE34+AE35+AE41</f>
        <v>6.35895389019279</v>
      </c>
      <c r="AF44" s="11" t="n">
        <f aca="false">AF34+AF35+AF41</f>
        <v>7.08308978639843</v>
      </c>
      <c r="AG44" s="11" t="n">
        <f aca="false">AG34+AG35+AG41</f>
        <v>7.26363438306493</v>
      </c>
      <c r="AH44" s="11" t="n">
        <f aca="false">AH34+AH35+AH41</f>
        <v>8.39889591823189</v>
      </c>
      <c r="AI44" s="11" t="n">
        <f aca="false">AI34+AI35+AI41</f>
        <v>8.9112858105518</v>
      </c>
      <c r="AJ44" s="11" t="n">
        <f aca="false">AJ34+AJ35+AJ41</f>
        <v>10.3760180845753</v>
      </c>
      <c r="AK44" s="11" t="n">
        <f aca="false">AK34+AK35+AK41</f>
        <v>11.5285939389158</v>
      </c>
      <c r="AL44" s="11" t="n">
        <f aca="false">AL34+AL35+AL41</f>
        <v>24.4671740785395</v>
      </c>
      <c r="AM44" s="11" t="n">
        <f aca="false">AM34+AM35+AM41</f>
        <v>33.9429604141162</v>
      </c>
      <c r="AN44" s="11" t="n">
        <f aca="false">AN34+AN35+AN41</f>
        <v>30.3570898045468</v>
      </c>
      <c r="AO44" s="11" t="n">
        <f aca="false">AO34+AO35+AO41</f>
        <v>50.6913261501648</v>
      </c>
      <c r="AP44" s="11" t="n">
        <f aca="false">AP34+AP35+AP41</f>
        <v>51.3901970401744</v>
      </c>
      <c r="AQ44" s="11" t="n">
        <f aca="false">AQ34+AQ35+AQ41</f>
        <v>50.9756781429533</v>
      </c>
      <c r="AR44" s="11" t="n">
        <f aca="false">AR34+AR35+AR41</f>
        <v>51.5989019777388</v>
      </c>
      <c r="AS44" s="11" t="n">
        <f aca="false">AS34+AS35+AS41</f>
        <v>51.4095269231289</v>
      </c>
      <c r="AT44" s="11" t="n">
        <f aca="false">AT34+AT35+AT41</f>
        <v>53.3175320256316</v>
      </c>
      <c r="AU44" s="11" t="n">
        <f aca="false">AU34+AU35+AU41</f>
        <v>44.3732919394454</v>
      </c>
      <c r="AV44" s="11" t="n">
        <f aca="false">AV34+AV35+AV41</f>
        <v>44.4967907429513</v>
      </c>
      <c r="AW44" s="11" t="n">
        <f aca="false">AW34+AW35+AW41</f>
        <v>44.0724059550148</v>
      </c>
      <c r="AX44" s="11" t="n">
        <f aca="false">AX34+AX35+AX41</f>
        <v>44.7472459853546</v>
      </c>
      <c r="AY44" s="11" t="n">
        <f aca="false">AY34+AY35+AY41</f>
        <v>44.2903234988012</v>
      </c>
      <c r="AZ44" s="11" t="n">
        <f aca="false">AZ34+AZ35+AZ41</f>
        <v>44.9082136387042</v>
      </c>
      <c r="BA44" s="11" t="n">
        <f aca="false">BA34+BA35+BA41</f>
        <v>44.115600920643</v>
      </c>
      <c r="BB44" s="11" t="n">
        <f aca="false">BB34+BB35+BB41</f>
        <v>45.3565809265004</v>
      </c>
      <c r="BC44" s="11" t="n">
        <f aca="false">BC34+BC35+BC41</f>
        <v>41.7584291292966</v>
      </c>
      <c r="BD44" s="11" t="n">
        <f aca="false">BD34+BD35+BD41</f>
        <v>35.2773770769969</v>
      </c>
      <c r="BE44" s="11" t="n">
        <f aca="false">BE34+BE35+BE41</f>
        <v>34.8276155507657</v>
      </c>
      <c r="BF44" s="11" t="n">
        <f aca="false">BF34+BF35+BF41</f>
        <v>35.5149499343334</v>
      </c>
      <c r="BG44" s="11" t="n">
        <f aca="false">BG34+BG35+BG41</f>
        <v>35.0301651826009</v>
      </c>
      <c r="BH44" s="11" t="n">
        <f aca="false">BH34+BH35+BH41</f>
        <v>35.6539882713425</v>
      </c>
      <c r="BI44" s="11" t="n">
        <f aca="false">BI34+BI35+BI41</f>
        <v>35.3753569654438</v>
      </c>
      <c r="BJ44" s="11" t="n">
        <f aca="false">BJ34+BJ35+BJ41</f>
        <v>43.381445723958</v>
      </c>
      <c r="BK44" s="11" t="n">
        <f aca="false">BK34+BK35+BK41</f>
        <v>38.113886794181</v>
      </c>
      <c r="BL44" s="11" t="n">
        <f aca="false">BL34+BL35+BL41</f>
        <v>38.8439254869256</v>
      </c>
      <c r="BM44" s="11" t="n">
        <f aca="false">BM34+BM35+BM41</f>
        <v>55.3998701637381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916.099218989225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6.10732812659483</v>
      </c>
      <c r="P8" s="11" t="n">
        <f aca="false">Funding!$F$76/300*Time!P25</f>
        <v>18.3219843797845</v>
      </c>
      <c r="Q8" s="11" t="n">
        <f aca="false">Funding!$F$76/300*Time!Q25</f>
        <v>18.3219843797845</v>
      </c>
      <c r="R8" s="11" t="n">
        <f aca="false">Funding!$F$76/300*Time!R25</f>
        <v>18.3219843797845</v>
      </c>
      <c r="S8" s="11" t="n">
        <f aca="false">Funding!$F$76/300*Time!S25</f>
        <v>18.3219843797845</v>
      </c>
      <c r="T8" s="11" t="n">
        <f aca="false">Funding!$F$76/300*Time!T25</f>
        <v>18.3219843797845</v>
      </c>
      <c r="U8" s="11" t="n">
        <f aca="false">Funding!$F$76/300*Time!U25</f>
        <v>18.3219843797845</v>
      </c>
      <c r="V8" s="11" t="n">
        <f aca="false">Funding!$F$76/300*Time!V25</f>
        <v>18.3219843797845</v>
      </c>
      <c r="W8" s="11" t="n">
        <f aca="false">Funding!$F$76/300*Time!W25</f>
        <v>18.3219843797845</v>
      </c>
      <c r="X8" s="11" t="n">
        <f aca="false">Funding!$F$76/300*Time!X25</f>
        <v>18.3219843797845</v>
      </c>
      <c r="Y8" s="11" t="n">
        <f aca="false">Funding!$F$76/300*Time!Y25</f>
        <v>18.3219843797845</v>
      </c>
      <c r="Z8" s="11" t="n">
        <f aca="false">Funding!$F$76/300*Time!Z25</f>
        <v>18.3219843797845</v>
      </c>
      <c r="AA8" s="11" t="n">
        <f aca="false">Funding!$F$76/300*Time!AA25</f>
        <v>18.3219843797845</v>
      </c>
      <c r="AB8" s="11" t="n">
        <f aca="false">Funding!$F$76/300*Time!AB25</f>
        <v>18.3219843797845</v>
      </c>
      <c r="AC8" s="11" t="n">
        <f aca="false">Funding!$F$76/300*Time!AC25</f>
        <v>18.3219843797845</v>
      </c>
      <c r="AD8" s="11" t="n">
        <f aca="false">Funding!$F$76/300*Time!AD25</f>
        <v>18.3219843797845</v>
      </c>
      <c r="AE8" s="11" t="n">
        <f aca="false">Funding!$F$76/300*Time!AE25</f>
        <v>18.3219843797845</v>
      </c>
      <c r="AF8" s="11" t="n">
        <f aca="false">Funding!$F$76/300*Time!AF25</f>
        <v>18.3219843797845</v>
      </c>
      <c r="AG8" s="11" t="n">
        <f aca="false">Funding!$F$76/300*Time!AG25</f>
        <v>18.3219843797845</v>
      </c>
      <c r="AH8" s="11" t="n">
        <f aca="false">Funding!$F$76/300*Time!AH25</f>
        <v>18.3219843797845</v>
      </c>
      <c r="AI8" s="11" t="n">
        <f aca="false">Funding!$F$76/300*Time!AI25</f>
        <v>18.3219843797845</v>
      </c>
      <c r="AJ8" s="11" t="n">
        <f aca="false">Funding!$F$76/300*Time!AJ25</f>
        <v>18.3219843797845</v>
      </c>
      <c r="AK8" s="11" t="n">
        <f aca="false">Funding!$F$76/300*Time!AK25</f>
        <v>18.3219843797845</v>
      </c>
      <c r="AL8" s="11" t="n">
        <f aca="false">Funding!$F$76/300*Time!AL25</f>
        <v>18.3219843797845</v>
      </c>
      <c r="AM8" s="11" t="n">
        <f aca="false">Funding!$F$76/300*Time!AM25</f>
        <v>18.3219843797845</v>
      </c>
      <c r="AN8" s="11" t="n">
        <f aca="false">Funding!$F$76/300*Time!AN25</f>
        <v>18.3219843797845</v>
      </c>
      <c r="AO8" s="11" t="n">
        <f aca="false">Funding!$F$76/300*Time!AO25</f>
        <v>18.3219843797845</v>
      </c>
      <c r="AP8" s="11" t="n">
        <f aca="false">Funding!$F$76/300*Time!AP25</f>
        <v>18.3219843797845</v>
      </c>
      <c r="AQ8" s="11" t="n">
        <f aca="false">Funding!$F$76/300*Time!AQ25</f>
        <v>18.3219843797845</v>
      </c>
      <c r="AR8" s="11" t="n">
        <f aca="false">Funding!$F$76/300*Time!AR25</f>
        <v>18.3219843797845</v>
      </c>
      <c r="AS8" s="11" t="n">
        <f aca="false">Funding!$F$76/300*Time!AS25</f>
        <v>18.3219843797845</v>
      </c>
      <c r="AT8" s="11" t="n">
        <f aca="false">Funding!$F$76/300*Time!AT25</f>
        <v>18.3219843797845</v>
      </c>
      <c r="AU8" s="11" t="n">
        <f aca="false">Funding!$F$76/300*Time!AU25</f>
        <v>18.3219843797845</v>
      </c>
      <c r="AV8" s="11" t="n">
        <f aca="false">Funding!$F$76/300*Time!AV25</f>
        <v>18.3219843797845</v>
      </c>
      <c r="AW8" s="11" t="n">
        <f aca="false">Funding!$F$76/300*Time!AW25</f>
        <v>18.3219843797845</v>
      </c>
      <c r="AX8" s="11" t="n">
        <f aca="false">Funding!$F$76/300*Time!AX25</f>
        <v>18.3219843797845</v>
      </c>
      <c r="AY8" s="11" t="n">
        <f aca="false">Funding!$F$76/300*Time!AY25</f>
        <v>18.3219843797845</v>
      </c>
      <c r="AZ8" s="11" t="n">
        <f aca="false">Funding!$F$76/300*Time!AZ25</f>
        <v>18.3219843797845</v>
      </c>
      <c r="BA8" s="11" t="n">
        <f aca="false">Funding!$F$76/300*Time!BA25</f>
        <v>18.3219843797845</v>
      </c>
      <c r="BB8" s="11" t="n">
        <f aca="false">Funding!$F$76/300*Time!BB25</f>
        <v>18.3219843797845</v>
      </c>
      <c r="BC8" s="11" t="n">
        <f aca="false">Funding!$F$76/300*Time!BC25</f>
        <v>18.3219843797845</v>
      </c>
      <c r="BD8" s="11" t="n">
        <f aca="false">Funding!$F$76/300*Time!BD25</f>
        <v>18.3219843797845</v>
      </c>
      <c r="BE8" s="11" t="n">
        <f aca="false">Funding!$F$76/300*Time!BE25</f>
        <v>18.3219843797845</v>
      </c>
      <c r="BF8" s="11" t="n">
        <f aca="false">Funding!$F$76/300*Time!BF25</f>
        <v>18.3219843797845</v>
      </c>
      <c r="BG8" s="11" t="n">
        <f aca="false">Funding!$F$76/300*Time!BG25</f>
        <v>18.3219843797845</v>
      </c>
      <c r="BH8" s="11" t="n">
        <f aca="false">Funding!$F$76/300*Time!BH25</f>
        <v>18.3219843797845</v>
      </c>
      <c r="BI8" s="11" t="n">
        <f aca="false">Funding!$F$76/300*Time!BI25</f>
        <v>18.3219843797845</v>
      </c>
      <c r="BJ8" s="11" t="n">
        <f aca="false">Funding!$F$76/300*Time!BJ25</f>
        <v>18.3219843797845</v>
      </c>
      <c r="BK8" s="11" t="n">
        <f aca="false">Funding!$F$76/300*Time!BK25</f>
        <v>18.3219843797845</v>
      </c>
      <c r="BL8" s="11" t="n">
        <f aca="false">Funding!$F$76/300*Time!BL25</f>
        <v>18.3219843797845</v>
      </c>
      <c r="BM8" s="11" t="n">
        <f aca="false">Funding!$F$76/300*Time!BM25</f>
        <v>12.2146562531897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695.611002321449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3.50463854678449</v>
      </c>
      <c r="P9" s="11" t="n">
        <f aca="false">Debt!P119+Debt!P117+Debt!P111-Debt!P110+Tax!P13</f>
        <v>34.6160063927937</v>
      </c>
      <c r="Q9" s="11" t="n">
        <f aca="false">Debt!Q119+Debt!Q117+Debt!Q111-Debt!Q110+Tax!Q13</f>
        <v>33.5854238362419</v>
      </c>
      <c r="R9" s="11" t="n">
        <f aca="false">Debt!R119+Debt!R117+Debt!R111-Debt!R110+Tax!R13</f>
        <v>33.4900784460283</v>
      </c>
      <c r="S9" s="11" t="n">
        <f aca="false">Debt!S119+Debt!S117+Debt!S111-Debt!S110+Tax!S13</f>
        <v>32.4808244236561</v>
      </c>
      <c r="T9" s="11" t="n">
        <f aca="false">Debt!T119+Debt!T117+Debt!T111-Debt!T110+Tax!T13</f>
        <v>32.3253563255625</v>
      </c>
      <c r="U9" s="11" t="n">
        <f aca="false">Debt!U119+Debt!U117+Debt!U111-Debt!U110+Tax!U13</f>
        <v>31.4166760572241</v>
      </c>
      <c r="V9" s="11" t="n">
        <f aca="false">Debt!V119+Debt!V117+Debt!V111-Debt!V110+Tax!V13</f>
        <v>31.0807138223003</v>
      </c>
      <c r="W9" s="11" t="n">
        <f aca="false">Debt!W119+Debt!W117+Debt!W111-Debt!W110+Tax!W13</f>
        <v>29.9767168208696</v>
      </c>
      <c r="X9" s="11" t="n">
        <f aca="false">Debt!X119+Debt!X117+Debt!X111-Debt!X110+Tax!X13</f>
        <v>29.5976761570789</v>
      </c>
      <c r="Y9" s="11" t="n">
        <f aca="false">Debt!Y119+Debt!Y117+Debt!Y111-Debt!Y110+Tax!Y13</f>
        <v>29.0681817928366</v>
      </c>
      <c r="Z9" s="11" t="n">
        <f aca="false">Debt!Z119+Debt!Z117+Debt!Z111-Debt!Z110+Tax!Z13</f>
        <v>28.7736755101225</v>
      </c>
      <c r="AA9" s="11" t="n">
        <f aca="false">Debt!AA119+Debt!AA117+Debt!AA111-Debt!AA110+Tax!AA13</f>
        <v>27.6597846603764</v>
      </c>
      <c r="AB9" s="11" t="n">
        <f aca="false">Debt!AB119+Debt!AB117+Debt!AB111-Debt!AB110+Tax!AB13</f>
        <v>27.3033476227101</v>
      </c>
      <c r="AC9" s="11" t="n">
        <f aca="false">Debt!AC119+Debt!AC117+Debt!AC111-Debt!AC110+Tax!AC13</f>
        <v>26.2488186157568</v>
      </c>
      <c r="AD9" s="11" t="n">
        <f aca="false">Debt!AD119+Debt!AD117+Debt!AD111-Debt!AD110+Tax!AD13</f>
        <v>25.7176853823347</v>
      </c>
      <c r="AE9" s="11" t="n">
        <f aca="false">Debt!AE119+Debt!AE117+Debt!AE111-Debt!AE110+Tax!AE13</f>
        <v>24.4501837088793</v>
      </c>
      <c r="AF9" s="11" t="n">
        <f aca="false">Debt!AF119+Debt!AF117+Debt!AF111-Debt!AF110+Tax!AF13</f>
        <v>23.8063755637574</v>
      </c>
      <c r="AG9" s="11" t="n">
        <f aca="false">Debt!AG119+Debt!AG117+Debt!AG111-Debt!AG110+Tax!AG13</f>
        <v>22.7009752148328</v>
      </c>
      <c r="AH9" s="11" t="n">
        <f aca="false">Debt!AH119+Debt!AH117+Debt!AH111-Debt!AH110+Tax!AH13</f>
        <v>21.9427505471003</v>
      </c>
      <c r="AI9" s="11" t="n">
        <f aca="false">Debt!AI119+Debt!AI117+Debt!AI111-Debt!AI110+Tax!AI13</f>
        <v>20.4725563350371</v>
      </c>
      <c r="AJ9" s="11" t="n">
        <f aca="false">Debt!AJ119+Debt!AJ117+Debt!AJ111-Debt!AJ110+Tax!AJ13</f>
        <v>19.5734089316261</v>
      </c>
      <c r="AK9" s="11" t="n">
        <f aca="false">Debt!AK119+Debt!AK117+Debt!AK111-Debt!AK110+Tax!AK13</f>
        <v>18.1056151747367</v>
      </c>
      <c r="AL9" s="11" t="n">
        <f aca="false">Debt!AL119+Debt!AL117+Debt!AL111-Debt!AL110+Tax!AL13</f>
        <v>16.9587372911257</v>
      </c>
      <c r="AM9" s="11" t="n">
        <f aca="false">Debt!AM119+Debt!AM117+Debt!AM111-Debt!AM110+Tax!AM13</f>
        <v>15.2577685328374</v>
      </c>
      <c r="AN9" s="11" t="n">
        <f aca="false">Debt!AN119+Debt!AN117+Debt!AN111-Debt!AN110+Tax!AN13</f>
        <v>13.8572126010039</v>
      </c>
      <c r="AO9" s="11" t="n">
        <f aca="false">Debt!AO119+Debt!AO117+Debt!AO111-Debt!AO110+Tax!AO13</f>
        <v>12.2751425083377</v>
      </c>
      <c r="AP9" s="11" t="n">
        <f aca="false">Debt!AP119+Debt!AP117+Debt!AP111-Debt!AP110+Tax!AP13</f>
        <v>10.0568813544105</v>
      </c>
      <c r="AQ9" s="11" t="n">
        <f aca="false">Debt!AQ119+Debt!AQ117+Debt!AQ111-Debt!AQ110+Tax!AQ13</f>
        <v>7.94571494710025</v>
      </c>
      <c r="AR9" s="11" t="n">
        <f aca="false">Debt!AR119+Debt!AR117+Debt!AR111-Debt!AR110+Tax!AR13</f>
        <v>6.01668925892919</v>
      </c>
      <c r="AS9" s="11" t="n">
        <f aca="false">Debt!AS119+Debt!AS117+Debt!AS111-Debt!AS110+Tax!AS13</f>
        <v>3.7920672902852</v>
      </c>
      <c r="AT9" s="11" t="n">
        <f aca="false">Debt!AT119+Debt!AT117+Debt!AT111-Debt!AT110+Tax!AT13</f>
        <v>1.5533186487733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916.099218989225</v>
      </c>
      <c r="K10" s="11" t="n">
        <f aca="false">Funding!$F$76-SUM(Tax!$J$10:K$10)</f>
        <v>916.099218989225</v>
      </c>
      <c r="L10" s="11" t="n">
        <f aca="false">Funding!$F$76-SUM(Tax!$J$10:L$10)</f>
        <v>916.099218989225</v>
      </c>
      <c r="M10" s="11" t="n">
        <f aca="false">Funding!$F$76-SUM(Tax!$J$10:M$10)</f>
        <v>916.099218989225</v>
      </c>
      <c r="N10" s="11" t="n">
        <f aca="false">Funding!$F$76-SUM(Tax!$J$10:N$10)</f>
        <v>916.099218989225</v>
      </c>
      <c r="O10" s="11" t="n">
        <f aca="false">Funding!$F$76-SUM(Tax!$J$10:O$10)</f>
        <v>907.854326018322</v>
      </c>
      <c r="P10" s="11" t="n">
        <f aca="false">Funding!$F$76-SUM(Tax!$J$10:P$10)</f>
        <v>883.119647105613</v>
      </c>
      <c r="Q10" s="11" t="n">
        <f aca="false">Funding!$F$76-SUM(Tax!$J$10:Q$10)</f>
        <v>858.384968192904</v>
      </c>
      <c r="R10" s="11" t="n">
        <f aca="false">Funding!$F$76-SUM(Tax!$J$10:R$10)</f>
        <v>833.650289280195</v>
      </c>
      <c r="S10" s="11" t="n">
        <f aca="false">Funding!$F$76-SUM(Tax!$J$10:S$10)</f>
        <v>808.915610367486</v>
      </c>
      <c r="T10" s="11" t="n">
        <f aca="false">Funding!$F$76-SUM(Tax!$J$10:T$10)</f>
        <v>784.180931454777</v>
      </c>
      <c r="U10" s="11" t="n">
        <f aca="false">Funding!$F$76-SUM(Tax!$J$10:U$10)</f>
        <v>759.446252542068</v>
      </c>
      <c r="V10" s="11" t="n">
        <f aca="false">Funding!$F$76-SUM(Tax!$J$10:V$10)</f>
        <v>734.711573629359</v>
      </c>
      <c r="W10" s="11" t="n">
        <f aca="false">Funding!$F$76-SUM(Tax!$J$10:W$10)</f>
        <v>709.976894716649</v>
      </c>
      <c r="X10" s="11" t="n">
        <f aca="false">Funding!$F$76-SUM(Tax!$J$10:X$10)</f>
        <v>685.24221580394</v>
      </c>
      <c r="Y10" s="11" t="n">
        <f aca="false">Funding!$F$76-SUM(Tax!$J$10:Y$10)</f>
        <v>661.423636110221</v>
      </c>
      <c r="Z10" s="11" t="n">
        <f aca="false">Funding!$F$76-SUM(Tax!$J$10:Z$10)</f>
        <v>639.437254854479</v>
      </c>
      <c r="AA10" s="11" t="n">
        <f aca="false">Funding!$F$76-SUM(Tax!$J$10:AA$10)</f>
        <v>617.450873598738</v>
      </c>
      <c r="AB10" s="11" t="n">
        <f aca="false">Funding!$F$76-SUM(Tax!$J$10:AB$10)</f>
        <v>595.464492342996</v>
      </c>
      <c r="AC10" s="11" t="n">
        <f aca="false">Funding!$F$76-SUM(Tax!$J$10:AC$10)</f>
        <v>573.478111087255</v>
      </c>
      <c r="AD10" s="11" t="n">
        <f aca="false">Funding!$F$76-SUM(Tax!$J$10:AD$10)</f>
        <v>551.491729831514</v>
      </c>
      <c r="AE10" s="11" t="n">
        <f aca="false">Funding!$F$76-SUM(Tax!$J$10:AE$10)</f>
        <v>529.505348575772</v>
      </c>
      <c r="AF10" s="11" t="n">
        <f aca="false">Funding!$F$76-SUM(Tax!$J$10:AF$10)</f>
        <v>507.518967320031</v>
      </c>
      <c r="AG10" s="11" t="n">
        <f aca="false">Funding!$F$76-SUM(Tax!$J$10:AG$10)</f>
        <v>485.532586064289</v>
      </c>
      <c r="AH10" s="11" t="n">
        <f aca="false">Funding!$F$76-SUM(Tax!$J$10:AH$10)</f>
        <v>463.546204808548</v>
      </c>
      <c r="AI10" s="11" t="n">
        <f aca="false">Funding!$F$76-SUM(Tax!$J$10:AI$10)</f>
        <v>441.559823552807</v>
      </c>
      <c r="AJ10" s="11" t="n">
        <f aca="false">Funding!$F$76-SUM(Tax!$J$10:AJ$10)</f>
        <v>419.573442297065</v>
      </c>
      <c r="AK10" s="11" t="n">
        <f aca="false">Funding!$F$76-SUM(Tax!$J$10:AK$10)</f>
        <v>397.587061041324</v>
      </c>
      <c r="AL10" s="11" t="n">
        <f aca="false">Funding!$F$76-SUM(Tax!$J$10:AL$10)</f>
        <v>375.600679785582</v>
      </c>
      <c r="AM10" s="11" t="n">
        <f aca="false">Funding!$F$76-SUM(Tax!$J$10:AM$10)</f>
        <v>353.614298529841</v>
      </c>
      <c r="AN10" s="11" t="n">
        <f aca="false">Funding!$F$76-SUM(Tax!$J$10:AN$10)</f>
        <v>331.627917274099</v>
      </c>
      <c r="AO10" s="11" t="n">
        <f aca="false">Funding!$F$76-SUM(Tax!$J$10:AO$10)</f>
        <v>309.641536018358</v>
      </c>
      <c r="AP10" s="11" t="n">
        <f aca="false">Funding!$F$76-SUM(Tax!$J$10:AP$10)</f>
        <v>287.655154762617</v>
      </c>
      <c r="AQ10" s="11" t="n">
        <f aca="false">Funding!$F$76-SUM(Tax!$J$10:AQ$10)</f>
        <v>265.668773506875</v>
      </c>
      <c r="AR10" s="11" t="n">
        <f aca="false">Funding!$F$76-SUM(Tax!$J$10:AR$10)</f>
        <v>243.682392251134</v>
      </c>
      <c r="AS10" s="11" t="n">
        <f aca="false">Funding!$F$76-SUM(Tax!$J$10:AS$10)</f>
        <v>221.696010995393</v>
      </c>
      <c r="AT10" s="11" t="n">
        <f aca="false">Funding!$F$76-SUM(Tax!$J$10:AT$10)</f>
        <v>199.709629739651</v>
      </c>
      <c r="AU10" s="11" t="n">
        <f aca="false">Funding!$F$76-SUM(Tax!$J$10:AU$10)</f>
        <v>177.72324848391</v>
      </c>
      <c r="AV10" s="11" t="n">
        <f aca="false">Funding!$F$76-SUM(Tax!$J$10:AV$10)</f>
        <v>155.736867228168</v>
      </c>
      <c r="AW10" s="11" t="n">
        <f aca="false">Funding!$F$76-SUM(Tax!$J$10:AW$10)</f>
        <v>133.750485972427</v>
      </c>
      <c r="AX10" s="11" t="n">
        <f aca="false">Funding!$F$76-SUM(Tax!$J$10:AX$10)</f>
        <v>111.764104716685</v>
      </c>
      <c r="AY10" s="11" t="n">
        <f aca="false">Funding!$F$76-SUM(Tax!$J$10:AY$10)</f>
        <v>89.7777234609441</v>
      </c>
      <c r="AZ10" s="11" t="n">
        <f aca="false">Funding!$F$76-SUM(Tax!$J$10:AZ$10)</f>
        <v>67.7913422052027</v>
      </c>
      <c r="BA10" s="11" t="n">
        <f aca="false">Funding!$F$76-SUM(Tax!$J$10:BA$10)</f>
        <v>45.8049609494613</v>
      </c>
      <c r="BB10" s="11" t="n">
        <f aca="false">Funding!$F$76-SUM(Tax!$J$10:BB$10)</f>
        <v>23.8185796937198</v>
      </c>
      <c r="BC10" s="11" t="n">
        <f aca="false">Funding!$F$76-SUM(Tax!$J$10:BC$10)</f>
        <v>8.85562578356257</v>
      </c>
      <c r="BD10" s="11" t="n">
        <f aca="false">Funding!$F$76-SUM(Tax!$J$10:BD$10)</f>
        <v>7.93952656457338</v>
      </c>
      <c r="BE10" s="11" t="n">
        <f aca="false">Funding!$F$76-SUM(Tax!$J$10:BE$10)</f>
        <v>7.02342734558408</v>
      </c>
      <c r="BF10" s="11" t="n">
        <f aca="false">Funding!$F$76-SUM(Tax!$J$10:BF$10)</f>
        <v>6.10732812659489</v>
      </c>
      <c r="BG10" s="11" t="n">
        <f aca="false">Funding!$F$76-SUM(Tax!$J$10:BG$10)</f>
        <v>5.19122890760571</v>
      </c>
      <c r="BH10" s="11" t="n">
        <f aca="false">Funding!$F$76-SUM(Tax!$J$10:BH$10)</f>
        <v>4.2751296886164</v>
      </c>
      <c r="BI10" s="11" t="n">
        <f aca="false">Funding!$F$76-SUM(Tax!$J$10:BI$10)</f>
        <v>3.35903046962721</v>
      </c>
      <c r="BJ10" s="11" t="n">
        <f aca="false">Funding!$F$76-SUM(Tax!$J$10:BJ$10)</f>
        <v>2.44293125063803</v>
      </c>
      <c r="BK10" s="11" t="n">
        <f aca="false">Funding!$F$76-SUM(Tax!$J$10:BK$10)</f>
        <v>1.52683203164872</v>
      </c>
      <c r="BL10" s="11" t="n">
        <f aca="false">Funding!$F$76-SUM(Tax!$J$10:BL$10)</f>
        <v>0.610732812659535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916.099218989225</v>
      </c>
      <c r="K11" s="11" t="n">
        <f aca="false">Funding!$F$76-SUM($J$8:K$8)</f>
        <v>916.099218989225</v>
      </c>
      <c r="L11" s="11" t="n">
        <f aca="false">Funding!$F$76-SUM($J$8:L$8)</f>
        <v>916.099218989225</v>
      </c>
      <c r="M11" s="11" t="n">
        <f aca="false">Funding!$F$76-SUM($J$8:M$8)</f>
        <v>916.099218989225</v>
      </c>
      <c r="N11" s="11" t="n">
        <f aca="false">Funding!$F$76-SUM($J$8:N$8)</f>
        <v>916.099218989225</v>
      </c>
      <c r="O11" s="11" t="n">
        <f aca="false">Funding!$F$76-SUM($J$8:O$8)</f>
        <v>909.99189086263</v>
      </c>
      <c r="P11" s="11" t="n">
        <f aca="false">Funding!$F$76-SUM($J$8:P$8)</f>
        <v>891.669906482846</v>
      </c>
      <c r="Q11" s="11" t="n">
        <f aca="false">Funding!$F$76-SUM($J$8:Q$8)</f>
        <v>873.347922103061</v>
      </c>
      <c r="R11" s="11" t="n">
        <f aca="false">Funding!$F$76-SUM($J$8:R$8)</f>
        <v>855.025937723277</v>
      </c>
      <c r="S11" s="11" t="n">
        <f aca="false">Funding!$F$76-SUM($J$8:S$8)</f>
        <v>836.703953343492</v>
      </c>
      <c r="T11" s="11" t="n">
        <f aca="false">Funding!$F$76-SUM($J$8:T$8)</f>
        <v>818.381968963708</v>
      </c>
      <c r="U11" s="11" t="n">
        <f aca="false">Funding!$F$76-SUM($J$8:U$8)</f>
        <v>800.059984583923</v>
      </c>
      <c r="V11" s="11" t="n">
        <f aca="false">Funding!$F$76-SUM($J$8:V$8)</f>
        <v>781.738000204139</v>
      </c>
      <c r="W11" s="11" t="n">
        <f aca="false">Funding!$F$76-SUM($J$8:W$8)</f>
        <v>763.416015824354</v>
      </c>
      <c r="X11" s="11" t="n">
        <f aca="false">Funding!$F$76-SUM($J$8:X$8)</f>
        <v>745.09403144457</v>
      </c>
      <c r="Y11" s="11" t="n">
        <f aca="false">Funding!$F$76-SUM($J$8:Y$8)</f>
        <v>726.772047064785</v>
      </c>
      <c r="Z11" s="11" t="n">
        <f aca="false">Funding!$F$76-SUM($J$8:Z$8)</f>
        <v>708.450062685001</v>
      </c>
      <c r="AA11" s="11" t="n">
        <f aca="false">Funding!$F$76-SUM($J$8:AA$8)</f>
        <v>690.128078305216</v>
      </c>
      <c r="AB11" s="11" t="n">
        <f aca="false">Funding!$F$76-SUM($J$8:AB$8)</f>
        <v>671.806093925432</v>
      </c>
      <c r="AC11" s="11" t="n">
        <f aca="false">Funding!$F$76-SUM($J$8:AC$8)</f>
        <v>653.484109545647</v>
      </c>
      <c r="AD11" s="11" t="n">
        <f aca="false">Funding!$F$76-SUM($J$8:AD$8)</f>
        <v>635.162125165863</v>
      </c>
      <c r="AE11" s="11" t="n">
        <f aca="false">Funding!$F$76-SUM($J$8:AE$8)</f>
        <v>616.840140786078</v>
      </c>
      <c r="AF11" s="11" t="n">
        <f aca="false">Funding!$F$76-SUM($J$8:AF$8)</f>
        <v>598.518156406294</v>
      </c>
      <c r="AG11" s="11" t="n">
        <f aca="false">Funding!$F$76-SUM($J$8:AG$8)</f>
        <v>580.196172026509</v>
      </c>
      <c r="AH11" s="11" t="n">
        <f aca="false">Funding!$F$76-SUM($J$8:AH$8)</f>
        <v>561.874187646725</v>
      </c>
      <c r="AI11" s="11" t="n">
        <f aca="false">Funding!$F$76-SUM($J$8:AI$8)</f>
        <v>543.55220326694</v>
      </c>
      <c r="AJ11" s="11" t="n">
        <f aca="false">Funding!$F$76-SUM($J$8:AJ$8)</f>
        <v>525.230218887156</v>
      </c>
      <c r="AK11" s="11" t="n">
        <f aca="false">Funding!$F$76-SUM($J$8:AK$8)</f>
        <v>506.908234507371</v>
      </c>
      <c r="AL11" s="11" t="n">
        <f aca="false">Funding!$F$76-SUM($J$8:AL$8)</f>
        <v>488.586250127587</v>
      </c>
      <c r="AM11" s="11" t="n">
        <f aca="false">Funding!$F$76-SUM($J$8:AM$8)</f>
        <v>470.264265747802</v>
      </c>
      <c r="AN11" s="11" t="n">
        <f aca="false">Funding!$F$76-SUM($J$8:AN$8)</f>
        <v>451.942281368018</v>
      </c>
      <c r="AO11" s="11" t="n">
        <f aca="false">Funding!$F$76-SUM($J$8:AO$8)</f>
        <v>433.620296988233</v>
      </c>
      <c r="AP11" s="11" t="n">
        <f aca="false">Funding!$F$76-SUM($J$8:AP$8)</f>
        <v>415.298312608449</v>
      </c>
      <c r="AQ11" s="11" t="n">
        <f aca="false">Funding!$F$76-SUM($J$8:AQ$8)</f>
        <v>396.976328228664</v>
      </c>
      <c r="AR11" s="11" t="n">
        <f aca="false">Funding!$F$76-SUM($J$8:AR$8)</f>
        <v>378.65434384888</v>
      </c>
      <c r="AS11" s="11" t="n">
        <f aca="false">Funding!$F$76-SUM($J$8:AS$8)</f>
        <v>360.332359469095</v>
      </c>
      <c r="AT11" s="11" t="n">
        <f aca="false">Funding!$F$76-SUM($J$8:AT$8)</f>
        <v>342.010375089311</v>
      </c>
      <c r="AU11" s="11" t="n">
        <f aca="false">Funding!$F$76-SUM($J$8:AU$8)</f>
        <v>323.688390709526</v>
      </c>
      <c r="AV11" s="11" t="n">
        <f aca="false">Funding!$F$76-SUM($J$8:AV$8)</f>
        <v>305.366406329742</v>
      </c>
      <c r="AW11" s="11" t="n">
        <f aca="false">Funding!$F$76-SUM($J$8:AW$8)</f>
        <v>287.044421949957</v>
      </c>
      <c r="AX11" s="11" t="n">
        <f aca="false">Funding!$F$76-SUM($J$8:AX$8)</f>
        <v>268.722437570173</v>
      </c>
      <c r="AY11" s="11" t="n">
        <f aca="false">Funding!$F$76-SUM($J$8:AY$8)</f>
        <v>250.400453190388</v>
      </c>
      <c r="AZ11" s="11" t="n">
        <f aca="false">Funding!$F$76-SUM($J$8:AZ$8)</f>
        <v>232.078468810604</v>
      </c>
      <c r="BA11" s="11" t="n">
        <f aca="false">Funding!$F$76-SUM($J$8:BA$8)</f>
        <v>213.756484430819</v>
      </c>
      <c r="BB11" s="11" t="n">
        <f aca="false">Funding!$F$76-SUM($J$8:BB$8)</f>
        <v>195.434500051035</v>
      </c>
      <c r="BC11" s="11" t="n">
        <f aca="false">Funding!$F$76-SUM($J$8:BC$8)</f>
        <v>177.11251567125</v>
      </c>
      <c r="BD11" s="11" t="n">
        <f aca="false">Funding!$F$76-SUM($J$8:BD$8)</f>
        <v>158.790531291466</v>
      </c>
      <c r="BE11" s="11" t="n">
        <f aca="false">Funding!$F$76-SUM($J$8:BE$8)</f>
        <v>140.468546911681</v>
      </c>
      <c r="BF11" s="11" t="n">
        <f aca="false">Funding!$F$76-SUM($J$8:BF$8)</f>
        <v>122.146562531897</v>
      </c>
      <c r="BG11" s="11" t="n">
        <f aca="false">Funding!$F$76-SUM($J$8:BG$8)</f>
        <v>103.824578152112</v>
      </c>
      <c r="BH11" s="11" t="n">
        <f aca="false">Funding!$F$76-SUM($J$8:BH$8)</f>
        <v>85.5025937723277</v>
      </c>
      <c r="BI11" s="11" t="n">
        <f aca="false">Funding!$F$76-SUM($J$8:BI$8)</f>
        <v>67.1806093925433</v>
      </c>
      <c r="BJ11" s="11" t="n">
        <f aca="false">Funding!$F$76-SUM($J$8:BJ$8)</f>
        <v>48.8586250127587</v>
      </c>
      <c r="BK11" s="11" t="n">
        <f aca="false">Funding!$F$76-SUM($J$8:BK$8)</f>
        <v>30.5366406329742</v>
      </c>
      <c r="BL11" s="11" t="n">
        <f aca="false">Funding!$F$76-SUM($J$8:BL$8)</f>
        <v>12.2146562531898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-1.83219843797843</v>
      </c>
      <c r="P12" s="11" t="n">
        <f aca="false">IF(Time!P17&gt;=Time!$F$11,Inputs!$F$181/100*(P11-P10-Tax!P21),0)</f>
        <v>-7.32879375191379</v>
      </c>
      <c r="Q12" s="11" t="n">
        <f aca="false">IF(Time!Q17&gt;=Time!$F$11,Inputs!$F$181/100*(Q11-Q10-Tax!Q21),0)</f>
        <v>-12.8253890658492</v>
      </c>
      <c r="R12" s="11" t="n">
        <f aca="false">IF(Time!R17&gt;=Time!$F$11,Inputs!$F$181/100*(R11-R10-Tax!R21),0)</f>
        <v>-18.3219843797845</v>
      </c>
      <c r="S12" s="11" t="n">
        <f aca="false">IF(Time!S17&gt;=Time!$F$11,Inputs!$F$181/100*(S11-S10-Tax!S21),0)</f>
        <v>-23.8185796937198</v>
      </c>
      <c r="T12" s="11" t="n">
        <f aca="false">IF(Time!T17&gt;=Time!$F$11,Inputs!$F$181/100*(T11-T10-Tax!T21),0)</f>
        <v>-29.3151750076552</v>
      </c>
      <c r="U12" s="11" t="n">
        <f aca="false">IF(Time!U17&gt;=Time!$F$11,Inputs!$F$181/100*(U11-U10-Tax!U21),0)</f>
        <v>-34.8117703215906</v>
      </c>
      <c r="V12" s="11" t="n">
        <f aca="false">IF(Time!V17&gt;=Time!$F$11,Inputs!$F$181/100*(V11-V10-Tax!V21),0)</f>
        <v>-40.3083656355259</v>
      </c>
      <c r="W12" s="11" t="n">
        <f aca="false">IF(Time!W17&gt;=Time!$F$11,Inputs!$F$181/100*(W11-W10-Tax!W21),0)</f>
        <v>-45.8049609494613</v>
      </c>
      <c r="X12" s="11" t="n">
        <f aca="false">IF(Time!X17&gt;=Time!$F$11,Inputs!$F$181/100*(X11-X10-Tax!X21),0)</f>
        <v>-51.3015562633966</v>
      </c>
      <c r="Y12" s="11" t="n">
        <f aca="false">IF(Time!Y17&gt;=Time!$F$11,Inputs!$F$181/100*(Y11-Y10-Tax!Y21),0)</f>
        <v>-54.5287448601714</v>
      </c>
      <c r="Z12" s="11" t="n">
        <f aca="false">IF(Time!Z17&gt;=Time!$F$11,Inputs!$F$181/100*(Z11-Z10-Tax!Z21),0)</f>
        <v>-53.084678547295</v>
      </c>
      <c r="AA12" s="11" t="n">
        <f aca="false">IF(Time!AA17&gt;=Time!$F$11,Inputs!$F$181/100*(AA11-AA10-Tax!AA21),0)</f>
        <v>-51.2762301095814</v>
      </c>
      <c r="AB12" s="11" t="n">
        <f aca="false">IF(Time!AB17&gt;=Time!$F$11,Inputs!$F$181/100*(AB11-AB10-Tax!AB21),0)</f>
        <v>-49.3358141249656</v>
      </c>
      <c r="AC12" s="11" t="n">
        <f aca="false">IF(Time!AC17&gt;=Time!$F$11,Inputs!$F$181/100*(AC11-AC10-Tax!AC21),0)</f>
        <v>-47.0145178670992</v>
      </c>
      <c r="AD12" s="11" t="n">
        <f aca="false">IF(Time!AD17&gt;=Time!$F$11,Inputs!$F$181/100*(AD11-AD10-Tax!AD21),0)</f>
        <v>-45.9151988043121</v>
      </c>
      <c r="AE12" s="11" t="n">
        <f aca="false">IF(Time!AE17&gt;=Time!$F$11,Inputs!$F$181/100*(AE11-AE10-Tax!AE21),0)</f>
        <v>-44.815879741525</v>
      </c>
      <c r="AF12" s="11" t="n">
        <f aca="false">IF(Time!AF17&gt;=Time!$F$11,Inputs!$F$181/100*(AF11-AF10-Tax!AF21),0)</f>
        <v>-42.1790374252915</v>
      </c>
      <c r="AG12" s="11" t="n">
        <f aca="false">IF(Time!AG17&gt;=Time!$F$11,Inputs!$F$181/100*(AG11-AG10-Tax!AG21),0)</f>
        <v>-38.6714518408246</v>
      </c>
      <c r="AH12" s="11" t="n">
        <f aca="false">IF(Time!AH17&gt;=Time!$F$11,Inputs!$F$181/100*(AH11-AH10-Tax!AH21),0)</f>
        <v>-34.8881574932479</v>
      </c>
      <c r="AI12" s="11" t="n">
        <f aca="false">IF(Time!AI17&gt;=Time!$F$11,Inputs!$F$181/100*(AI11-AI10-Tax!AI21),0)</f>
        <v>-30.6314614842738</v>
      </c>
      <c r="AJ12" s="11" t="n">
        <f aca="false">IF(Time!AJ17&gt;=Time!$F$11,Inputs!$F$181/100*(AJ11-AJ10-Tax!AJ21),0)</f>
        <v>-26.0780050937126</v>
      </c>
      <c r="AK12" s="11" t="n">
        <f aca="false">IF(Time!AK17&gt;=Time!$F$11,Inputs!$F$181/100*(AK11-AK10-Tax!AK21),0)</f>
        <v>-21.0256879338678</v>
      </c>
      <c r="AL12" s="11" t="n">
        <f aca="false">IF(Time!AL17&gt;=Time!$F$11,Inputs!$F$181/100*(AL11-AL10-Tax!AL21),0)</f>
        <v>-16.4410350877541</v>
      </c>
      <c r="AM12" s="11" t="n">
        <f aca="false">IF(Time!AM17&gt;=Time!$F$11,Inputs!$F$181/100*(AM11-AM10-Tax!AM21),0)</f>
        <v>-10.4351565959354</v>
      </c>
      <c r="AN12" s="11" t="n">
        <f aca="false">IF(Time!AN17&gt;=Time!$F$11,Inputs!$F$181/100*(AN11-AN10-Tax!AN21),0)</f>
        <v>-4.01083221661937</v>
      </c>
      <c r="AO12" s="11" t="n">
        <f aca="false">IF(Time!AO17&gt;=Time!$F$11,Inputs!$F$181/100*(AO11-AO10-Tax!AO21),0)</f>
        <v>2.93388232285805</v>
      </c>
      <c r="AP12" s="11" t="n">
        <f aca="false">IF(Time!AP17&gt;=Time!$F$11,Inputs!$F$181/100*(AP11-AP10-Tax!AP21),0)</f>
        <v>10.5968539020905</v>
      </c>
      <c r="AQ12" s="11" t="n">
        <f aca="false">IF(Time!AQ17&gt;=Time!$F$11,Inputs!$F$181/100*(AQ11-AQ10-Tax!AQ21),0)</f>
        <v>18.9277989793559</v>
      </c>
      <c r="AR12" s="11" t="n">
        <f aca="false">IF(Time!AR17&gt;=Time!$F$11,Inputs!$F$181/100*(AR11-AR10-Tax!AR21),0)</f>
        <v>27.8666041866485</v>
      </c>
      <c r="AS12" s="11" t="n">
        <f aca="false">IF(Time!AS17&gt;=Time!$F$11,Inputs!$F$181/100*(AS11-AS10-Tax!AS21),0)</f>
        <v>37.5498323422252</v>
      </c>
      <c r="AT12" s="11" t="n">
        <f aca="false">IF(Time!AT17&gt;=Time!$F$11,Inputs!$F$181/100*(AT11-AT10-Tax!AT21),0)</f>
        <v>42.6902236048979</v>
      </c>
      <c r="AU12" s="11" t="n">
        <f aca="false">IF(Time!AU17&gt;=Time!$F$11,Inputs!$F$181/100*(AU11-AU10-Tax!AU21),0)</f>
        <v>43.789542667685</v>
      </c>
      <c r="AV12" s="11" t="n">
        <f aca="false">IF(Time!AV17&gt;=Time!$F$11,Inputs!$F$181/100*(AV11-AV10-Tax!AV21),0)</f>
        <v>44.8888617304721</v>
      </c>
      <c r="AW12" s="11" t="n">
        <f aca="false">IF(Time!AW17&gt;=Time!$F$11,Inputs!$F$181/100*(AW11-AW10-Tax!AW21),0)</f>
        <v>45.9881807932591</v>
      </c>
      <c r="AX12" s="11" t="n">
        <f aca="false">IF(Time!AX17&gt;=Time!$F$11,Inputs!$F$181/100*(AX11-AX10-Tax!AX21),0)</f>
        <v>47.0874998560462</v>
      </c>
      <c r="AY12" s="11" t="n">
        <f aca="false">IF(Time!AY17&gt;=Time!$F$11,Inputs!$F$181/100*(AY11-AY10-Tax!AY21),0)</f>
        <v>48.1868189188332</v>
      </c>
      <c r="AZ12" s="11" t="n">
        <f aca="false">IF(Time!AZ17&gt;=Time!$F$11,Inputs!$F$181/100*(AZ11-AZ10-Tax!AZ21),0)</f>
        <v>49.2861379816203</v>
      </c>
      <c r="BA12" s="11" t="n">
        <f aca="false">IF(Time!BA17&gt;=Time!$F$11,Inputs!$F$181/100*(BA11-BA10-Tax!BA21),0)</f>
        <v>50.3854570444074</v>
      </c>
      <c r="BB12" s="11" t="n">
        <f aca="false">IF(Time!BB17&gt;=Time!$F$11,Inputs!$F$181/100*(BB11-BB10-Tax!BB21),0)</f>
        <v>51.4847761071945</v>
      </c>
      <c r="BC12" s="11" t="n">
        <f aca="false">IF(Time!BC17&gt;=Time!$F$11,Inputs!$F$181/100*(BC11-BC10-Tax!BC21),0)</f>
        <v>50.4770669663063</v>
      </c>
      <c r="BD12" s="11" t="n">
        <f aca="false">IF(Time!BD17&gt;=Time!$F$11,Inputs!$F$181/100*(BD11-BD10-Tax!BD21),0)</f>
        <v>45.2553014180677</v>
      </c>
      <c r="BE12" s="11" t="n">
        <f aca="false">IF(Time!BE17&gt;=Time!$F$11,Inputs!$F$181/100*(BE11-BE10-Tax!BE21),0)</f>
        <v>40.0335358698292</v>
      </c>
      <c r="BF12" s="11" t="n">
        <f aca="false">IF(Time!BF17&gt;=Time!$F$11,Inputs!$F$181/100*(BF11-BF10-Tax!BF21),0)</f>
        <v>34.8117703215906</v>
      </c>
      <c r="BG12" s="11" t="n">
        <f aca="false">IF(Time!BG17&gt;=Time!$F$11,Inputs!$F$181/100*(BG11-BG10-Tax!BG21),0)</f>
        <v>29.590004773352</v>
      </c>
      <c r="BH12" s="11" t="n">
        <f aca="false">IF(Time!BH17&gt;=Time!$F$11,Inputs!$F$181/100*(BH11-BH10-Tax!BH21),0)</f>
        <v>24.3682392251134</v>
      </c>
      <c r="BI12" s="11" t="n">
        <f aca="false">IF(Time!BI17&gt;=Time!$F$11,Inputs!$F$181/100*(BI11-BI10-Tax!BI21),0)</f>
        <v>19.1464736768748</v>
      </c>
      <c r="BJ12" s="11" t="n">
        <f aca="false">IF(Time!BJ17&gt;=Time!$F$11,Inputs!$F$181/100*(BJ11-BJ10-Tax!BJ21),0)</f>
        <v>13.9247081286362</v>
      </c>
      <c r="BK12" s="11" t="n">
        <f aca="false">IF(Time!BK17&gt;=Time!$F$11,Inputs!$F$181/100*(BK11-BK10-Tax!BK21),0)</f>
        <v>8.70294258039766</v>
      </c>
      <c r="BL12" s="11" t="n">
        <f aca="false">IF(Time!BL17&gt;=Time!$F$11,Inputs!$F$181/100*(BL11-BL10-Tax!BL21),0)</f>
        <v>3.48117703215908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-1.83219843797843</v>
      </c>
      <c r="P13" s="11" t="n">
        <f aca="false">P12-O12</f>
        <v>-5.49659531393536</v>
      </c>
      <c r="Q13" s="11" t="n">
        <f aca="false">Q12-P12</f>
        <v>-5.49659531393536</v>
      </c>
      <c r="R13" s="11" t="n">
        <f aca="false">R12-Q12</f>
        <v>-5.49659531393536</v>
      </c>
      <c r="S13" s="11" t="n">
        <f aca="false">S12-R12</f>
        <v>-5.49659531393533</v>
      </c>
      <c r="T13" s="11" t="n">
        <f aca="false">T12-S12</f>
        <v>-5.49659531393539</v>
      </c>
      <c r="U13" s="11" t="n">
        <f aca="false">U12-T12</f>
        <v>-5.49659531393533</v>
      </c>
      <c r="V13" s="11" t="n">
        <f aca="false">V12-U12</f>
        <v>-5.49659531393533</v>
      </c>
      <c r="W13" s="11" t="n">
        <f aca="false">W12-V12</f>
        <v>-5.49659531393536</v>
      </c>
      <c r="X13" s="11" t="n">
        <f aca="false">X12-W12</f>
        <v>-5.49659531393539</v>
      </c>
      <c r="Y13" s="11" t="n">
        <f aca="false">Y12-X12</f>
        <v>-3.2271885967748</v>
      </c>
      <c r="Z13" s="11" t="n">
        <f aca="false">Z12-Y12</f>
        <v>1.44406631287641</v>
      </c>
      <c r="AA13" s="11" t="n">
        <f aca="false">AA12-Z12</f>
        <v>1.80844843771366</v>
      </c>
      <c r="AB13" s="11" t="n">
        <f aca="false">AB12-AA12</f>
        <v>1.94041598461576</v>
      </c>
      <c r="AC13" s="11" t="n">
        <f aca="false">AC12-AB12</f>
        <v>2.32129625786641</v>
      </c>
      <c r="AD13" s="11" t="n">
        <f aca="false">AD12-AC12</f>
        <v>1.0993190627871</v>
      </c>
      <c r="AE13" s="11" t="n">
        <f aca="false">AE12-AD12</f>
        <v>1.09931906278709</v>
      </c>
      <c r="AF13" s="11" t="n">
        <f aca="false">AF12-AE12</f>
        <v>2.63684231623351</v>
      </c>
      <c r="AG13" s="11" t="n">
        <f aca="false">AG12-AF12</f>
        <v>3.50758558446692</v>
      </c>
      <c r="AH13" s="11" t="n">
        <f aca="false">AH12-AG12</f>
        <v>3.78329434757668</v>
      </c>
      <c r="AI13" s="11" t="n">
        <f aca="false">AI12-AH12</f>
        <v>4.25669600897415</v>
      </c>
      <c r="AJ13" s="11" t="n">
        <f aca="false">AJ12-AI12</f>
        <v>4.55345639056118</v>
      </c>
      <c r="AK13" s="11" t="n">
        <f aca="false">AK12-AJ12</f>
        <v>5.05231715984474</v>
      </c>
      <c r="AL13" s="11" t="n">
        <f aca="false">AL12-AK12</f>
        <v>4.58465284611378</v>
      </c>
      <c r="AM13" s="11" t="n">
        <f aca="false">AM12-AL12</f>
        <v>6.00587849181866</v>
      </c>
      <c r="AN13" s="11" t="n">
        <f aca="false">AN12-AM12</f>
        <v>6.42432437931604</v>
      </c>
      <c r="AO13" s="11" t="n">
        <f aca="false">AO12-AN12</f>
        <v>6.94471453947741</v>
      </c>
      <c r="AP13" s="11" t="n">
        <f aca="false">AP12-AO12</f>
        <v>7.66297157923248</v>
      </c>
      <c r="AQ13" s="11" t="n">
        <f aca="false">AQ12-AP12</f>
        <v>8.33094507726538</v>
      </c>
      <c r="AR13" s="11" t="n">
        <f aca="false">AR12-AQ12</f>
        <v>8.93880520729259</v>
      </c>
      <c r="AS13" s="11" t="n">
        <f aca="false">AS12-AR12</f>
        <v>9.68322815557668</v>
      </c>
      <c r="AT13" s="11" t="n">
        <f aca="false">AT12-AS12</f>
        <v>5.14039126267274</v>
      </c>
      <c r="AU13" s="11" t="n">
        <f aca="false">AU12-AT12</f>
        <v>1.0993190627871</v>
      </c>
      <c r="AV13" s="11" t="n">
        <f aca="false">AV12-AU12</f>
        <v>1.09931906278706</v>
      </c>
      <c r="AW13" s="11" t="n">
        <f aca="false">AW12-AV12</f>
        <v>1.09931906278706</v>
      </c>
      <c r="AX13" s="11" t="n">
        <f aca="false">AX12-AW12</f>
        <v>1.0993190627871</v>
      </c>
      <c r="AY13" s="11" t="n">
        <f aca="false">AY12-AX12</f>
        <v>1.09931906278702</v>
      </c>
      <c r="AZ13" s="11" t="n">
        <f aca="false">AZ12-AY12</f>
        <v>1.0993190627871</v>
      </c>
      <c r="BA13" s="11" t="n">
        <f aca="false">BA12-AZ12</f>
        <v>1.09931906278706</v>
      </c>
      <c r="BB13" s="11" t="n">
        <f aca="false">BB12-BA12</f>
        <v>1.09931906278709</v>
      </c>
      <c r="BC13" s="11" t="n">
        <f aca="false">BC12-BB12</f>
        <v>-1.0077091408882</v>
      </c>
      <c r="BD13" s="11" t="n">
        <f aca="false">BD12-BC12</f>
        <v>-5.22176554823858</v>
      </c>
      <c r="BE13" s="11" t="n">
        <f aca="false">BE12-BD12</f>
        <v>-5.22176554823854</v>
      </c>
      <c r="BF13" s="11" t="n">
        <f aca="false">BF12-BE12</f>
        <v>-5.22176554823862</v>
      </c>
      <c r="BG13" s="11" t="n">
        <f aca="false">BG12-BF12</f>
        <v>-5.22176554823858</v>
      </c>
      <c r="BH13" s="11" t="n">
        <f aca="false">BH12-BG12</f>
        <v>-5.22176554823858</v>
      </c>
      <c r="BI13" s="11" t="n">
        <f aca="false">BI12-BH12</f>
        <v>-5.22176554823858</v>
      </c>
      <c r="BJ13" s="11" t="n">
        <f aca="false">BJ12-BI12</f>
        <v>-5.22176554823861</v>
      </c>
      <c r="BK13" s="11" t="n">
        <f aca="false">BK12-BJ12</f>
        <v>-5.22176554823854</v>
      </c>
      <c r="BL13" s="11" t="n">
        <f aca="false">BL12-BK12</f>
        <v>-5.22176554823858</v>
      </c>
      <c r="BM13" s="11" t="n">
        <f aca="false">BM12-BL12</f>
        <v>-3.48117703215908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756.279559828636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9.10515112180447</v>
      </c>
      <c r="P14" s="11" t="n">
        <f aca="false">Operations!P79-P8-P9-Tax!P27-P13</f>
        <v>3.21137601120685</v>
      </c>
      <c r="Q14" s="11" t="n">
        <f aca="false">Operations!Q79-Q8-Q9-Tax!Q27-Q13</f>
        <v>4.45728550940818</v>
      </c>
      <c r="R14" s="11" t="n">
        <f aca="false">Operations!R79-R8-R9-Tax!R27-R13</f>
        <v>4.70096050763335</v>
      </c>
      <c r="S14" s="11" t="n">
        <f aca="false">Operations!S79-S8-S9-Tax!S27-S13</f>
        <v>5.80430698885686</v>
      </c>
      <c r="T14" s="11" t="n">
        <f aca="false">Operations!T79-T8-T9-Tax!T27-T13</f>
        <v>6.03711441534742</v>
      </c>
      <c r="U14" s="11" t="n">
        <f aca="false">Operations!U79-U8-U9-Tax!U27-U13</f>
        <v>7.11040994704144</v>
      </c>
      <c r="V14" s="11" t="n">
        <f aca="false">Operations!V79-V8-V9-Tax!V27-V13</f>
        <v>5.16886252383273</v>
      </c>
      <c r="W14" s="11" t="n">
        <f aca="false">Operations!W79-W8-W9-Tax!W27-W13</f>
        <v>8.82934131362156</v>
      </c>
      <c r="X14" s="11" t="n">
        <f aca="false">Operations!X79-X8-X9-Tax!X27-X13</f>
        <v>9.20859421506932</v>
      </c>
      <c r="Y14" s="11" t="n">
        <f aca="false">Operations!Y79-Y8-Y9-Tax!Y27-Y13</f>
        <v>7.48122555267515</v>
      </c>
      <c r="Z14" s="11" t="n">
        <f aca="false">Operations!Z79-Z8-Z9-Tax!Z27-Z13</f>
        <v>3.01399652870468</v>
      </c>
      <c r="AA14" s="11" t="n">
        <f aca="false">Operations!AA79-AA8-AA9-Tax!AA27-AA13</f>
        <v>3.86244646072604</v>
      </c>
      <c r="AB14" s="11" t="n">
        <f aca="false">Operations!AB79-AB8-AB9-Tax!AB27-AB13</f>
        <v>4.16843761260533</v>
      </c>
      <c r="AC14" s="11" t="n">
        <f aca="false">Operations!AC79-AC8-AC9-Tax!AC27-AC13</f>
        <v>5.05626853454179</v>
      </c>
      <c r="AD14" s="11" t="n">
        <f aca="false">Operations!AD79-AD8-AD9-Tax!AD27-AD13</f>
        <v>-5.6598905892101</v>
      </c>
      <c r="AE14" s="11" t="n">
        <f aca="false">Operations!AE79-AE8-AE9-Tax!AE27-AE13</f>
        <v>8.41584792890389</v>
      </c>
      <c r="AF14" s="11" t="n">
        <f aca="false">Operations!AF79-AF8-AF9-Tax!AF27-AF13</f>
        <v>7.44254757727858</v>
      </c>
      <c r="AG14" s="11" t="n">
        <f aca="false">Operations!AG79-AG8-AG9-Tax!AG27-AG13</f>
        <v>7.81673856214149</v>
      </c>
      <c r="AH14" s="11" t="n">
        <f aca="false">Operations!AH79-AH8-AH9-Tax!AH27-AH13</f>
        <v>8.45858306091536</v>
      </c>
      <c r="AI14" s="11" t="n">
        <f aca="false">Operations!AI79-AI8-AI9-Tax!AI27-AI13</f>
        <v>9.56125439701885</v>
      </c>
      <c r="AJ14" s="11" t="n">
        <f aca="false">Operations!AJ79-AJ8-AJ9-Tax!AJ27-AJ13</f>
        <v>10.251591233189</v>
      </c>
      <c r="AK14" s="11" t="n">
        <f aca="false">Operations!AK79-AK8-AK9-Tax!AK27-AK13</f>
        <v>11.4143084329407</v>
      </c>
      <c r="AL14" s="11" t="n">
        <f aca="false">Operations!AL79-AL8-AL9-Tax!AL27-AL13</f>
        <v>10.3223336719919</v>
      </c>
      <c r="AM14" s="11" t="n">
        <f aca="false">Operations!AM79-AM8-AM9-Tax!AM27-AM13</f>
        <v>13.6361287977209</v>
      </c>
      <c r="AN14" s="11" t="n">
        <f aca="false">Operations!AN79-AN8-AN9-Tax!AN27-AN13</f>
        <v>14.6095204961362</v>
      </c>
      <c r="AO14" s="11" t="n">
        <f aca="false">Operations!AO79-AO8-AO9-Tax!AO27-AO13</f>
        <v>15.8220139072418</v>
      </c>
      <c r="AP14" s="11" t="n">
        <f aca="false">Operations!AP79-AP8-AP9-Tax!AP27-AP13</f>
        <v>17.4963381527892</v>
      </c>
      <c r="AQ14" s="11" t="n">
        <f aca="false">Operations!AQ79-AQ8-AQ9-Tax!AQ27-AQ13</f>
        <v>19.0528389574023</v>
      </c>
      <c r="AR14" s="11" t="n">
        <f aca="false">Operations!AR79-AR8-AR9-Tax!AR27-AR13</f>
        <v>20.468889175047</v>
      </c>
      <c r="AS14" s="11" t="n">
        <f aca="false">Operations!AS79-AS8-AS9-Tax!AS27-AS13</f>
        <v>22.2048125612844</v>
      </c>
      <c r="AT14" s="11" t="n">
        <f aca="false">Operations!AT79-AT8-AT9-Tax!AT27-AT13</f>
        <v>13.8528049375868</v>
      </c>
      <c r="AU14" s="11" t="n">
        <f aca="false">Operations!AU79-AU8-AU9-Tax!AU27-AU13</f>
        <v>25.5334395783585</v>
      </c>
      <c r="AV14" s="11" t="n">
        <f aca="false">Operations!AV79-AV8-AV9-Tax!AV27-AV13</f>
        <v>25.4629889549834</v>
      </c>
      <c r="AW14" s="11" t="n">
        <f aca="false">Operations!AW79-AW8-AW9-Tax!AW27-AW13</f>
        <v>25.5784424382837</v>
      </c>
      <c r="AX14" s="11" t="n">
        <f aca="false">Operations!AX79-AX8-AX9-Tax!AX27-AX13</f>
        <v>25.7131621256886</v>
      </c>
      <c r="AY14" s="11" t="n">
        <f aca="false">Operations!AY79-AY8-AY9-Tax!AY27-AY13</f>
        <v>25.799650447911</v>
      </c>
      <c r="AZ14" s="11" t="n">
        <f aca="false">Operations!AZ79-AZ8-AZ9-Tax!AZ27-AZ13</f>
        <v>25.8730514536584</v>
      </c>
      <c r="BA14" s="11" t="n">
        <f aca="false">Operations!BA79-BA8-BA9-Tax!BA27-BA13</f>
        <v>26.0349182376165</v>
      </c>
      <c r="BB14" s="11" t="n">
        <f aca="false">Operations!BB79-BB8-BB9-Tax!BB27-BB13</f>
        <v>23.7845865991188</v>
      </c>
      <c r="BC14" s="11" t="n">
        <f aca="false">Operations!BC79-BC8-BC9-Tax!BC27-BC13</f>
        <v>26.3093536652924</v>
      </c>
      <c r="BD14" s="11" t="n">
        <f aca="false">Operations!BD79-BD8-BD9-Tax!BD27-BD13</f>
        <v>26.2997377228571</v>
      </c>
      <c r="BE14" s="11" t="n">
        <f aca="false">Operations!BE79-BE8-BE9-Tax!BE27-BE13</f>
        <v>26.4245686908132</v>
      </c>
      <c r="BF14" s="11" t="n">
        <f aca="false">Operations!BF79-BF8-BF9-Tax!BF27-BF13</f>
        <v>26.5719302708457</v>
      </c>
      <c r="BG14" s="11" t="n">
        <f aca="false">Operations!BG79-BG8-BG9-Tax!BG27-BG13</f>
        <v>26.6645257709283</v>
      </c>
      <c r="BH14" s="11" t="n">
        <f aca="false">Operations!BH79-BH8-BH9-Tax!BH27-BH13</f>
        <v>26.7437306071314</v>
      </c>
      <c r="BI14" s="11" t="n">
        <f aca="false">Operations!BI79-BI8-BI9-Tax!BI27-BI13</f>
        <v>26.9583477619645</v>
      </c>
      <c r="BJ14" s="11" t="n">
        <f aca="false">Operations!BJ79-BJ8-BJ9-Tax!BJ27-BJ13</f>
        <v>14.773956934214</v>
      </c>
      <c r="BK14" s="11" t="n">
        <f aca="false">Operations!BK79-BK8-BK9-Tax!BK27-BK13</f>
        <v>27.2975727550741</v>
      </c>
      <c r="BL14" s="11" t="n">
        <f aca="false">Operations!BL79-BL8-BL9-Tax!BL27-BL13</f>
        <v>27.2057413454198</v>
      </c>
      <c r="BM14" s="11" t="n">
        <f aca="false">Operations!BM79-BM8-BM9-Tax!BM27-BM13</f>
        <v>4.86741596502326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149.507631647469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259.626002485557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473.005914227724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695.075937534707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824.264072123405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909.99189086263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891.669906482846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873.347922103061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855.025937723277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836.703953343492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818.381968963708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800.059984583923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781.738000204139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763.416015824354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745.09403144457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726.772047064785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708.450062685001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690.128078305216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671.806093925432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653.484109545647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635.162125165863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616.840140786078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598.518156406294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580.196172026509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561.874187646725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543.55220326694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525.230218887156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506.908234507371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488.586250127587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470.264265747802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451.942281368018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433.620296988233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415.298312608449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396.976328228664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378.65434384888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360.332359469095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342.010375089311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323.688390709526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305.366406329742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287.044421949957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268.722437570173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250.400453190388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232.078468810604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213.756484430819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195.434500051035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177.11251567125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158.790531291466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140.468546911681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122.146562531897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103.824578152112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85.5025937723277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67.1806093925433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48.8586250127587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30.5366406329742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12.2146562531898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42.71226178901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41.1503230135432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42.089616023707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42.1758938120654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43.0597824509516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43.2694288334841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44.4766589212324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41.6772339935783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40.4846884478949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42.055984335173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44.3657620370399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46.0027631927096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48.4534040941409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49.7981252103096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52.7220623480177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40.3955203741877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39.7819004829281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39.1139736537434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39.0695457178403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38.1174913248642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37.5247094906331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36.0506240692943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34.7121898734202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27.8189147440583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20.9574375067891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23.0544224333217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39.1077129450201</v>
      </c>
      <c r="P18" s="11" t="n">
        <f aca="false">Operations!P83+Operations!P84</f>
        <v>38.9791719758974</v>
      </c>
      <c r="Q18" s="11" t="n">
        <f aca="false">Operations!Q83+Operations!Q84</f>
        <v>40.0120718392951</v>
      </c>
      <c r="R18" s="11" t="n">
        <f aca="false">Operations!R83+Operations!R84</f>
        <v>39.3348793527876</v>
      </c>
      <c r="S18" s="11" t="n">
        <f aca="false">Operations!S83+Operations!S84</f>
        <v>40.521706896867</v>
      </c>
      <c r="T18" s="11" t="n">
        <f aca="false">Operations!T83+Operations!T84</f>
        <v>40.1198396201344</v>
      </c>
      <c r="U18" s="11" t="n">
        <f aca="false">Operations!U83+Operations!U84</f>
        <v>40.7898991160633</v>
      </c>
      <c r="V18" s="11" t="n">
        <f aca="false">Operations!V83+Operations!V84</f>
        <v>39.9341822773552</v>
      </c>
      <c r="W18" s="11" t="n">
        <f aca="false">Operations!W83+Operations!W84</f>
        <v>41.3333166310765</v>
      </c>
      <c r="X18" s="11" t="n">
        <f aca="false">Operations!X83+Operations!X84</f>
        <v>41.3054133893148</v>
      </c>
      <c r="Y18" s="11" t="n">
        <f aca="false">Operations!Y83+Operations!Y84</f>
        <v>42.4083302853802</v>
      </c>
      <c r="Z18" s="11" t="n">
        <f aca="false">Operations!Z83+Operations!Z84</f>
        <v>41.6897358651796</v>
      </c>
      <c r="AA18" s="11" t="n">
        <f aca="false">Operations!AA83+Operations!AA84</f>
        <v>42.9589072846173</v>
      </c>
      <c r="AB18" s="11" t="n">
        <f aca="false">Operations!AB83+Operations!AB84</f>
        <v>42.5376635915379</v>
      </c>
      <c r="AC18" s="11" t="n">
        <f aca="false">Operations!AC83+Operations!AC84</f>
        <v>43.0859747166726</v>
      </c>
      <c r="AD18" s="11" t="n">
        <f aca="false">Operations!AD83+Operations!AD84</f>
        <v>41.6167054672967</v>
      </c>
      <c r="AE18" s="11" t="n">
        <f aca="false">Operations!AE83+Operations!AE84</f>
        <v>43.4936968755139</v>
      </c>
      <c r="AF18" s="11" t="n">
        <f aca="false">Operations!AF83+Operations!AF84</f>
        <v>43.8184303297045</v>
      </c>
      <c r="AG18" s="11" t="n">
        <f aca="false">Operations!AG83+Operations!AG84</f>
        <v>44.9970045987169</v>
      </c>
      <c r="AH18" s="11" t="n">
        <f aca="false">Operations!AH83+Operations!AH84</f>
        <v>44.2336846943227</v>
      </c>
      <c r="AI18" s="11" t="n">
        <f aca="false">Operations!AI83+Operations!AI84</f>
        <v>45.5918208874678</v>
      </c>
      <c r="AJ18" s="11" t="n">
        <f aca="false">Operations!AJ83+Operations!AJ84</f>
        <v>45.149626250459</v>
      </c>
      <c r="AK18" s="11" t="n">
        <f aca="false">Operations!AK83+Operations!AK84</f>
        <v>45.9135764668008</v>
      </c>
      <c r="AL18" s="11" t="n">
        <f aca="false">Operations!AL83+Operations!AL84</f>
        <v>44.9334921408051</v>
      </c>
      <c r="AM18" s="11" t="n">
        <f aca="false">Operations!AM83+Operations!AM84</f>
        <v>46.5392952944488</v>
      </c>
      <c r="AN18" s="11" t="n">
        <f aca="false">Operations!AN83+Operations!AN84</f>
        <v>46.5332394011983</v>
      </c>
      <c r="AO18" s="11" t="n">
        <f aca="false">Operations!AO83+Operations!AO84</f>
        <v>47.7935649078857</v>
      </c>
      <c r="AP18" s="11" t="n">
        <f aca="false">Operations!AP83+Operations!AP84</f>
        <v>46.9819309154102</v>
      </c>
      <c r="AQ18" s="11" t="n">
        <f aca="false">Operations!AQ83+Operations!AQ84</f>
        <v>48.436183684556</v>
      </c>
      <c r="AR18" s="11" t="n">
        <f aca="false">Operations!AR83+Operations!AR84</f>
        <v>47.9713361993852</v>
      </c>
      <c r="AS18" s="11" t="n">
        <f aca="false">Operations!AS83+Operations!AS84</f>
        <v>48.5933597760093</v>
      </c>
      <c r="AT18" s="11" t="n">
        <f aca="false">Operations!AT83+Operations!AT84</f>
        <v>46.919639546778</v>
      </c>
      <c r="AU18" s="11" t="n">
        <f aca="false">Operations!AU83+Operations!AU84</f>
        <v>49.0609568997731</v>
      </c>
      <c r="AV18" s="11" t="n">
        <f aca="false">Operations!AV83+Operations!AV84</f>
        <v>49.4660645185685</v>
      </c>
      <c r="AW18" s="11" t="n">
        <f aca="false">Operations!AW83+Operations!AW84</f>
        <v>50.8147250172617</v>
      </c>
      <c r="AX18" s="11" t="n">
        <f aca="false">Operations!AX83+Operations!AX84</f>
        <v>49.9509023002326</v>
      </c>
      <c r="AY18" s="11" t="n">
        <f aca="false">Operations!AY83+Operations!AY84</f>
        <v>51.5089967649398</v>
      </c>
      <c r="AZ18" s="11" t="n">
        <f aca="false">Operations!AZ83+Operations!AZ84</f>
        <v>51.0196568956865</v>
      </c>
      <c r="BA18" s="11" t="n">
        <f aca="false">Operations!BA83+Operations!BA84</f>
        <v>51.8932401037153</v>
      </c>
      <c r="BB18" s="11" t="n">
        <f aca="false">Operations!BB83+Operations!BB84</f>
        <v>50.7682379289699</v>
      </c>
      <c r="BC18" s="11" t="n">
        <f aca="false">Operations!BC83+Operations!BC84</f>
        <v>52.6152074294667</v>
      </c>
      <c r="BD18" s="11" t="n">
        <f aca="false">Operations!BD83+Operations!BD84</f>
        <v>52.6344338644045</v>
      </c>
      <c r="BE18" s="11" t="n">
        <f aca="false">Operations!BE83+Operations!BE84</f>
        <v>54.0785422695604</v>
      </c>
      <c r="BF18" s="11" t="n">
        <f aca="false">Operations!BF83+Operations!BF84</f>
        <v>53.1583475336749</v>
      </c>
      <c r="BG18" s="11" t="n">
        <f aca="false">Operations!BG83+Operations!BG84</f>
        <v>54.8286279167531</v>
      </c>
      <c r="BH18" s="11" t="n">
        <f aca="false">Operations!BH83+Operations!BH84</f>
        <v>54.3128074194288</v>
      </c>
      <c r="BI18" s="11" t="n">
        <f aca="false">Operations!BI83+Operations!BI84</f>
        <v>55.0209797406327</v>
      </c>
      <c r="BJ18" s="11" t="n">
        <f aca="false">Operations!BJ83+Operations!BJ84</f>
        <v>53.108670689654</v>
      </c>
      <c r="BK18" s="11" t="n">
        <f aca="false">Operations!BK83+Operations!BK84</f>
        <v>55.5587366627012</v>
      </c>
      <c r="BL18" s="11" t="n">
        <f aca="false">Operations!BL83+Operations!BL84</f>
        <v>56.0572846169271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5.885</v>
      </c>
      <c r="P19" s="11" t="n">
        <f aca="false">IF(Time!P17&lt;Time!$F$11,SUMIFS(Construction!$J$28:$BJ$28,Construction!$J$12:$BJ$12,"&lt;="&amp;Time!P17),IF(Time!P17&lt;Time!$F$14,Inputs!$F$65*Inputs!$F$35,0))</f>
        <v>5.885</v>
      </c>
      <c r="Q19" s="11" t="n">
        <f aca="false">IF(Time!Q17&lt;Time!$F$11,SUMIFS(Construction!$J$28:$BJ$28,Construction!$J$12:$BJ$12,"&lt;="&amp;Time!Q17),IF(Time!Q17&lt;Time!$F$14,Inputs!$F$65*Inputs!$F$35,0))</f>
        <v>5.885</v>
      </c>
      <c r="R19" s="11" t="n">
        <f aca="false">IF(Time!R17&lt;Time!$F$11,SUMIFS(Construction!$J$28:$BJ$28,Construction!$J$12:$BJ$12,"&lt;="&amp;Time!R17),IF(Time!R17&lt;Time!$F$14,Inputs!$F$65*Inputs!$F$35,0))</f>
        <v>5.885</v>
      </c>
      <c r="S19" s="11" t="n">
        <f aca="false">IF(Time!S17&lt;Time!$F$11,SUMIFS(Construction!$J$28:$BJ$28,Construction!$J$12:$BJ$12,"&lt;="&amp;Time!S17),IF(Time!S17&lt;Time!$F$14,Inputs!$F$65*Inputs!$F$35,0))</f>
        <v>5.885</v>
      </c>
      <c r="T19" s="11" t="n">
        <f aca="false">IF(Time!T17&lt;Time!$F$11,SUMIFS(Construction!$J$28:$BJ$28,Construction!$J$12:$BJ$12,"&lt;="&amp;Time!T17),IF(Time!T17&lt;Time!$F$14,Inputs!$F$65*Inputs!$F$35,0))</f>
        <v>5.885</v>
      </c>
      <c r="U19" s="11" t="n">
        <f aca="false">IF(Time!U17&lt;Time!$F$11,SUMIFS(Construction!$J$28:$BJ$28,Construction!$J$12:$BJ$12,"&lt;="&amp;Time!U17),IF(Time!U17&lt;Time!$F$14,Inputs!$F$65*Inputs!$F$35,0))</f>
        <v>5.885</v>
      </c>
      <c r="V19" s="11" t="n">
        <f aca="false">IF(Time!V17&lt;Time!$F$11,SUMIFS(Construction!$J$28:$BJ$28,Construction!$J$12:$BJ$12,"&lt;="&amp;Time!V17),IF(Time!V17&lt;Time!$F$14,Inputs!$F$65*Inputs!$F$35,0))</f>
        <v>5.885</v>
      </c>
      <c r="W19" s="11" t="n">
        <f aca="false">IF(Time!W17&lt;Time!$F$11,SUMIFS(Construction!$J$28:$BJ$28,Construction!$J$12:$BJ$12,"&lt;="&amp;Time!W17),IF(Time!W17&lt;Time!$F$14,Inputs!$F$65*Inputs!$F$35,0))</f>
        <v>5.885</v>
      </c>
      <c r="X19" s="11" t="n">
        <f aca="false">IF(Time!X17&lt;Time!$F$11,SUMIFS(Construction!$J$28:$BJ$28,Construction!$J$12:$BJ$12,"&lt;="&amp;Time!X17),IF(Time!X17&lt;Time!$F$14,Inputs!$F$65*Inputs!$F$35,0))</f>
        <v>5.885</v>
      </c>
      <c r="Y19" s="11" t="n">
        <f aca="false">IF(Time!Y17&lt;Time!$F$11,SUMIFS(Construction!$J$28:$BJ$28,Construction!$J$12:$BJ$12,"&lt;="&amp;Time!Y17),IF(Time!Y17&lt;Time!$F$14,Inputs!$F$65*Inputs!$F$35,0))</f>
        <v>5.885</v>
      </c>
      <c r="Z19" s="11" t="n">
        <f aca="false">IF(Time!Z17&lt;Time!$F$11,SUMIFS(Construction!$J$28:$BJ$28,Construction!$J$12:$BJ$12,"&lt;="&amp;Time!Z17),IF(Time!Z17&lt;Time!$F$14,Inputs!$F$65*Inputs!$F$35,0))</f>
        <v>5.885</v>
      </c>
      <c r="AA19" s="11" t="n">
        <f aca="false">IF(Time!AA17&lt;Time!$F$11,SUMIFS(Construction!$J$28:$BJ$28,Construction!$J$12:$BJ$12,"&lt;="&amp;Time!AA17),IF(Time!AA17&lt;Time!$F$14,Inputs!$F$65*Inputs!$F$35,0))</f>
        <v>5.885</v>
      </c>
      <c r="AB19" s="11" t="n">
        <f aca="false">IF(Time!AB17&lt;Time!$F$11,SUMIFS(Construction!$J$28:$BJ$28,Construction!$J$12:$BJ$12,"&lt;="&amp;Time!AB17),IF(Time!AB17&lt;Time!$F$14,Inputs!$F$65*Inputs!$F$35,0))</f>
        <v>5.885</v>
      </c>
      <c r="AC19" s="11" t="n">
        <f aca="false">IF(Time!AC17&lt;Time!$F$11,SUMIFS(Construction!$J$28:$BJ$28,Construction!$J$12:$BJ$12,"&lt;="&amp;Time!AC17),IF(Time!AC17&lt;Time!$F$14,Inputs!$F$65*Inputs!$F$35,0))</f>
        <v>5.885</v>
      </c>
      <c r="AD19" s="11" t="n">
        <f aca="false">IF(Time!AD17&lt;Time!$F$11,SUMIFS(Construction!$J$28:$BJ$28,Construction!$J$12:$BJ$12,"&lt;="&amp;Time!AD17),IF(Time!AD17&lt;Time!$F$14,Inputs!$F$65*Inputs!$F$35,0))</f>
        <v>5.885</v>
      </c>
      <c r="AE19" s="11" t="n">
        <f aca="false">IF(Time!AE17&lt;Time!$F$11,SUMIFS(Construction!$J$28:$BJ$28,Construction!$J$12:$BJ$12,"&lt;="&amp;Time!AE17),IF(Time!AE17&lt;Time!$F$14,Inputs!$F$65*Inputs!$F$35,0))</f>
        <v>5.885</v>
      </c>
      <c r="AF19" s="11" t="n">
        <f aca="false">IF(Time!AF17&lt;Time!$F$11,SUMIFS(Construction!$J$28:$BJ$28,Construction!$J$12:$BJ$12,"&lt;="&amp;Time!AF17),IF(Time!AF17&lt;Time!$F$14,Inputs!$F$65*Inputs!$F$35,0))</f>
        <v>5.885</v>
      </c>
      <c r="AG19" s="11" t="n">
        <f aca="false">IF(Time!AG17&lt;Time!$F$11,SUMIFS(Construction!$J$28:$BJ$28,Construction!$J$12:$BJ$12,"&lt;="&amp;Time!AG17),IF(Time!AG17&lt;Time!$F$14,Inputs!$F$65*Inputs!$F$35,0))</f>
        <v>5.885</v>
      </c>
      <c r="AH19" s="11" t="n">
        <f aca="false">IF(Time!AH17&lt;Time!$F$11,SUMIFS(Construction!$J$28:$BJ$28,Construction!$J$12:$BJ$12,"&lt;="&amp;Time!AH17),IF(Time!AH17&lt;Time!$F$14,Inputs!$F$65*Inputs!$F$35,0))</f>
        <v>5.885</v>
      </c>
      <c r="AI19" s="11" t="n">
        <f aca="false">IF(Time!AI17&lt;Time!$F$11,SUMIFS(Construction!$J$28:$BJ$28,Construction!$J$12:$BJ$12,"&lt;="&amp;Time!AI17),IF(Time!AI17&lt;Time!$F$14,Inputs!$F$65*Inputs!$F$35,0))</f>
        <v>5.885</v>
      </c>
      <c r="AJ19" s="11" t="n">
        <f aca="false">IF(Time!AJ17&lt;Time!$F$11,SUMIFS(Construction!$J$28:$BJ$28,Construction!$J$12:$BJ$12,"&lt;="&amp;Time!AJ17),IF(Time!AJ17&lt;Time!$F$14,Inputs!$F$65*Inputs!$F$35,0))</f>
        <v>5.885</v>
      </c>
      <c r="AK19" s="11" t="n">
        <f aca="false">IF(Time!AK17&lt;Time!$F$11,SUMIFS(Construction!$J$28:$BJ$28,Construction!$J$12:$BJ$12,"&lt;="&amp;Time!AK17),IF(Time!AK17&lt;Time!$F$14,Inputs!$F$65*Inputs!$F$35,0))</f>
        <v>5.885</v>
      </c>
      <c r="AL19" s="11" t="n">
        <f aca="false">IF(Time!AL17&lt;Time!$F$11,SUMIFS(Construction!$J$28:$BJ$28,Construction!$J$12:$BJ$12,"&lt;="&amp;Time!AL17),IF(Time!AL17&lt;Time!$F$14,Inputs!$F$65*Inputs!$F$35,0))</f>
        <v>5.885</v>
      </c>
      <c r="AM19" s="11" t="n">
        <f aca="false">IF(Time!AM17&lt;Time!$F$11,SUMIFS(Construction!$J$28:$BJ$28,Construction!$J$12:$BJ$12,"&lt;="&amp;Time!AM17),IF(Time!AM17&lt;Time!$F$14,Inputs!$F$65*Inputs!$F$35,0))</f>
        <v>5.885</v>
      </c>
      <c r="AN19" s="11" t="n">
        <f aca="false">IF(Time!AN17&lt;Time!$F$11,SUMIFS(Construction!$J$28:$BJ$28,Construction!$J$12:$BJ$12,"&lt;="&amp;Time!AN17),IF(Time!AN17&lt;Time!$F$14,Inputs!$F$65*Inputs!$F$35,0))</f>
        <v>5.885</v>
      </c>
      <c r="AO19" s="11" t="n">
        <f aca="false">IF(Time!AO17&lt;Time!$F$11,SUMIFS(Construction!$J$28:$BJ$28,Construction!$J$12:$BJ$12,"&lt;="&amp;Time!AO17),IF(Time!AO17&lt;Time!$F$14,Inputs!$F$65*Inputs!$F$35,0))</f>
        <v>5.885</v>
      </c>
      <c r="AP19" s="11" t="n">
        <f aca="false">IF(Time!AP17&lt;Time!$F$11,SUMIFS(Construction!$J$28:$BJ$28,Construction!$J$12:$BJ$12,"&lt;="&amp;Time!AP17),IF(Time!AP17&lt;Time!$F$14,Inputs!$F$65*Inputs!$F$35,0))</f>
        <v>5.885</v>
      </c>
      <c r="AQ19" s="11" t="n">
        <f aca="false">IF(Time!AQ17&lt;Time!$F$11,SUMIFS(Construction!$J$28:$BJ$28,Construction!$J$12:$BJ$12,"&lt;="&amp;Time!AQ17),IF(Time!AQ17&lt;Time!$F$14,Inputs!$F$65*Inputs!$F$35,0))</f>
        <v>5.885</v>
      </c>
      <c r="AR19" s="11" t="n">
        <f aca="false">IF(Time!AR17&lt;Time!$F$11,SUMIFS(Construction!$J$28:$BJ$28,Construction!$J$12:$BJ$12,"&lt;="&amp;Time!AR17),IF(Time!AR17&lt;Time!$F$14,Inputs!$F$65*Inputs!$F$35,0))</f>
        <v>5.885</v>
      </c>
      <c r="AS19" s="11" t="n">
        <f aca="false">IF(Time!AS17&lt;Time!$F$11,SUMIFS(Construction!$J$28:$BJ$28,Construction!$J$12:$BJ$12,"&lt;="&amp;Time!AS17),IF(Time!AS17&lt;Time!$F$14,Inputs!$F$65*Inputs!$F$35,0))</f>
        <v>5.885</v>
      </c>
      <c r="AT19" s="11" t="n">
        <f aca="false">IF(Time!AT17&lt;Time!$F$11,SUMIFS(Construction!$J$28:$BJ$28,Construction!$J$12:$BJ$12,"&lt;="&amp;Time!AT17),IF(Time!AT17&lt;Time!$F$14,Inputs!$F$65*Inputs!$F$35,0))</f>
        <v>5.885</v>
      </c>
      <c r="AU19" s="11" t="n">
        <f aca="false">IF(Time!AU17&lt;Time!$F$11,SUMIFS(Construction!$J$28:$BJ$28,Construction!$J$12:$BJ$12,"&lt;="&amp;Time!AU17),IF(Time!AU17&lt;Time!$F$14,Inputs!$F$65*Inputs!$F$35,0))</f>
        <v>5.885</v>
      </c>
      <c r="AV19" s="11" t="n">
        <f aca="false">IF(Time!AV17&lt;Time!$F$11,SUMIFS(Construction!$J$28:$BJ$28,Construction!$J$12:$BJ$12,"&lt;="&amp;Time!AV17),IF(Time!AV17&lt;Time!$F$14,Inputs!$F$65*Inputs!$F$35,0))</f>
        <v>5.885</v>
      </c>
      <c r="AW19" s="11" t="n">
        <f aca="false">IF(Time!AW17&lt;Time!$F$11,SUMIFS(Construction!$J$28:$BJ$28,Construction!$J$12:$BJ$12,"&lt;="&amp;Time!AW17),IF(Time!AW17&lt;Time!$F$14,Inputs!$F$65*Inputs!$F$35,0))</f>
        <v>5.885</v>
      </c>
      <c r="AX19" s="11" t="n">
        <f aca="false">IF(Time!AX17&lt;Time!$F$11,SUMIFS(Construction!$J$28:$BJ$28,Construction!$J$12:$BJ$12,"&lt;="&amp;Time!AX17),IF(Time!AX17&lt;Time!$F$14,Inputs!$F$65*Inputs!$F$35,0))</f>
        <v>5.885</v>
      </c>
      <c r="AY19" s="11" t="n">
        <f aca="false">IF(Time!AY17&lt;Time!$F$11,SUMIFS(Construction!$J$28:$BJ$28,Construction!$J$12:$BJ$12,"&lt;="&amp;Time!AY17),IF(Time!AY17&lt;Time!$F$14,Inputs!$F$65*Inputs!$F$35,0))</f>
        <v>5.885</v>
      </c>
      <c r="AZ19" s="11" t="n">
        <f aca="false">IF(Time!AZ17&lt;Time!$F$11,SUMIFS(Construction!$J$28:$BJ$28,Construction!$J$12:$BJ$12,"&lt;="&amp;Time!AZ17),IF(Time!AZ17&lt;Time!$F$14,Inputs!$F$65*Inputs!$F$35,0))</f>
        <v>5.885</v>
      </c>
      <c r="BA19" s="11" t="n">
        <f aca="false">IF(Time!BA17&lt;Time!$F$11,SUMIFS(Construction!$J$28:$BJ$28,Construction!$J$12:$BJ$12,"&lt;="&amp;Time!BA17),IF(Time!BA17&lt;Time!$F$14,Inputs!$F$65*Inputs!$F$35,0))</f>
        <v>5.885</v>
      </c>
      <c r="BB19" s="11" t="n">
        <f aca="false">IF(Time!BB17&lt;Time!$F$11,SUMIFS(Construction!$J$28:$BJ$28,Construction!$J$12:$BJ$12,"&lt;="&amp;Time!BB17),IF(Time!BB17&lt;Time!$F$14,Inputs!$F$65*Inputs!$F$35,0))</f>
        <v>5.885</v>
      </c>
      <c r="BC19" s="11" t="n">
        <f aca="false">IF(Time!BC17&lt;Time!$F$11,SUMIFS(Construction!$J$28:$BJ$28,Construction!$J$12:$BJ$12,"&lt;="&amp;Time!BC17),IF(Time!BC17&lt;Time!$F$14,Inputs!$F$65*Inputs!$F$35,0))</f>
        <v>5.885</v>
      </c>
      <c r="BD19" s="11" t="n">
        <f aca="false">IF(Time!BD17&lt;Time!$F$11,SUMIFS(Construction!$J$28:$BJ$28,Construction!$J$12:$BJ$12,"&lt;="&amp;Time!BD17),IF(Time!BD17&lt;Time!$F$14,Inputs!$F$65*Inputs!$F$35,0))</f>
        <v>5.885</v>
      </c>
      <c r="BE19" s="11" t="n">
        <f aca="false">IF(Time!BE17&lt;Time!$F$11,SUMIFS(Construction!$J$28:$BJ$28,Construction!$J$12:$BJ$12,"&lt;="&amp;Time!BE17),IF(Time!BE17&lt;Time!$F$14,Inputs!$F$65*Inputs!$F$35,0))</f>
        <v>5.885</v>
      </c>
      <c r="BF19" s="11" t="n">
        <f aca="false">IF(Time!BF17&lt;Time!$F$11,SUMIFS(Construction!$J$28:$BJ$28,Construction!$J$12:$BJ$12,"&lt;="&amp;Time!BF17),IF(Time!BF17&lt;Time!$F$14,Inputs!$F$65*Inputs!$F$35,0))</f>
        <v>5.885</v>
      </c>
      <c r="BG19" s="11" t="n">
        <f aca="false">IF(Time!BG17&lt;Time!$F$11,SUMIFS(Construction!$J$28:$BJ$28,Construction!$J$12:$BJ$12,"&lt;="&amp;Time!BG17),IF(Time!BG17&lt;Time!$F$14,Inputs!$F$65*Inputs!$F$35,0))</f>
        <v>5.885</v>
      </c>
      <c r="BH19" s="11" t="n">
        <f aca="false">IF(Time!BH17&lt;Time!$F$11,SUMIFS(Construction!$J$28:$BJ$28,Construction!$J$12:$BJ$12,"&lt;="&amp;Time!BH17),IF(Time!BH17&lt;Time!$F$14,Inputs!$F$65*Inputs!$F$35,0))</f>
        <v>5.885</v>
      </c>
      <c r="BI19" s="11" t="n">
        <f aca="false">IF(Time!BI17&lt;Time!$F$11,SUMIFS(Construction!$J$28:$BJ$28,Construction!$J$12:$BJ$12,"&lt;="&amp;Time!BI17),IF(Time!BI17&lt;Time!$F$14,Inputs!$F$65*Inputs!$F$35,0))</f>
        <v>5.885</v>
      </c>
      <c r="BJ19" s="11" t="n">
        <f aca="false">IF(Time!BJ17&lt;Time!$F$11,SUMIFS(Construction!$J$28:$BJ$28,Construction!$J$12:$BJ$12,"&lt;="&amp;Time!BJ17),IF(Time!BJ17&lt;Time!$F$14,Inputs!$F$65*Inputs!$F$35,0))</f>
        <v>5.885</v>
      </c>
      <c r="BK19" s="11" t="n">
        <f aca="false">IF(Time!BK17&lt;Time!$F$11,SUMIFS(Construction!$J$28:$BJ$28,Construction!$J$12:$BJ$12,"&lt;="&amp;Time!BK17),IF(Time!BK17&lt;Time!$F$14,Inputs!$F$65*Inputs!$F$35,0))</f>
        <v>5.885</v>
      </c>
      <c r="BL19" s="11" t="n">
        <f aca="false">IF(Time!BL17&lt;Time!$F$11,SUMIFS(Construction!$J$28:$BJ$28,Construction!$J$12:$BJ$12,"&lt;="&amp;Time!BL17),IF(Time!BL17&lt;Time!$F$14,Inputs!$F$65*Inputs!$F$35,0))</f>
        <v>5.885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1.83219843797843</v>
      </c>
      <c r="P20" s="11" t="n">
        <f aca="false">MAX(0,-P12)</f>
        <v>7.32879375191379</v>
      </c>
      <c r="Q20" s="11" t="n">
        <f aca="false">MAX(0,-Q12)</f>
        <v>12.8253890658492</v>
      </c>
      <c r="R20" s="11" t="n">
        <f aca="false">MAX(0,-R12)</f>
        <v>18.3219843797845</v>
      </c>
      <c r="S20" s="11" t="n">
        <f aca="false">MAX(0,-S12)</f>
        <v>23.8185796937198</v>
      </c>
      <c r="T20" s="11" t="n">
        <f aca="false">MAX(0,-T12)</f>
        <v>29.3151750076552</v>
      </c>
      <c r="U20" s="11" t="n">
        <f aca="false">MAX(0,-U12)</f>
        <v>34.8117703215906</v>
      </c>
      <c r="V20" s="11" t="n">
        <f aca="false">MAX(0,-V12)</f>
        <v>40.3083656355259</v>
      </c>
      <c r="W20" s="11" t="n">
        <f aca="false">MAX(0,-W12)</f>
        <v>45.8049609494613</v>
      </c>
      <c r="X20" s="11" t="n">
        <f aca="false">MAX(0,-X12)</f>
        <v>51.3015562633966</v>
      </c>
      <c r="Y20" s="11" t="n">
        <f aca="false">MAX(0,-Y12)</f>
        <v>54.5287448601714</v>
      </c>
      <c r="Z20" s="11" t="n">
        <f aca="false">MAX(0,-Z12)</f>
        <v>53.084678547295</v>
      </c>
      <c r="AA20" s="11" t="n">
        <f aca="false">MAX(0,-AA12)</f>
        <v>51.2762301095814</v>
      </c>
      <c r="AB20" s="11" t="n">
        <f aca="false">MAX(0,-AB12)</f>
        <v>49.3358141249656</v>
      </c>
      <c r="AC20" s="11" t="n">
        <f aca="false">MAX(0,-AC12)</f>
        <v>47.0145178670992</v>
      </c>
      <c r="AD20" s="11" t="n">
        <f aca="false">MAX(0,-AD12)</f>
        <v>45.9151988043121</v>
      </c>
      <c r="AE20" s="11" t="n">
        <f aca="false">MAX(0,-AE12)</f>
        <v>44.815879741525</v>
      </c>
      <c r="AF20" s="11" t="n">
        <f aca="false">MAX(0,-AF12)</f>
        <v>42.1790374252915</v>
      </c>
      <c r="AG20" s="11" t="n">
        <f aca="false">MAX(0,-AG12)</f>
        <v>38.6714518408246</v>
      </c>
      <c r="AH20" s="11" t="n">
        <f aca="false">MAX(0,-AH12)</f>
        <v>34.8881574932479</v>
      </c>
      <c r="AI20" s="11" t="n">
        <f aca="false">MAX(0,-AI12)</f>
        <v>30.6314614842738</v>
      </c>
      <c r="AJ20" s="11" t="n">
        <f aca="false">MAX(0,-AJ12)</f>
        <v>26.0780050937126</v>
      </c>
      <c r="AK20" s="11" t="n">
        <f aca="false">MAX(0,-AK12)</f>
        <v>21.0256879338678</v>
      </c>
      <c r="AL20" s="11" t="n">
        <f aca="false">MAX(0,-AL12)</f>
        <v>16.4410350877541</v>
      </c>
      <c r="AM20" s="11" t="n">
        <f aca="false">MAX(0,-AM12)</f>
        <v>10.4351565959354</v>
      </c>
      <c r="AN20" s="11" t="n">
        <f aca="false">MAX(0,-AN12)</f>
        <v>4.01083221661937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149.507631647469</v>
      </c>
      <c r="K21" s="11" t="n">
        <f aca="false">K16+K17+K18+K19+K20</f>
        <v>259.626002485557</v>
      </c>
      <c r="L21" s="11" t="n">
        <f aca="false">L16+L17+L18+L19+L20</f>
        <v>473.005914227724</v>
      </c>
      <c r="M21" s="11" t="n">
        <f aca="false">M16+M17+M18+M19+M20</f>
        <v>695.075937534707</v>
      </c>
      <c r="N21" s="11" t="n">
        <f aca="false">N16+N17+N18+N19+N20</f>
        <v>824.264072123405</v>
      </c>
      <c r="O21" s="11" t="n">
        <f aca="false">O16+O17+O18+O19+O20</f>
        <v>999.529064034639</v>
      </c>
      <c r="P21" s="11" t="n">
        <f aca="false">P16+P17+P18+P19+P20</f>
        <v>985.0131952242</v>
      </c>
      <c r="Q21" s="11" t="n">
        <f aca="false">Q16+Q17+Q18+Q19+Q20</f>
        <v>974.159999031913</v>
      </c>
      <c r="R21" s="11" t="n">
        <f aca="false">R16+R17+R18+R19+R20</f>
        <v>960.743695267914</v>
      </c>
      <c r="S21" s="11" t="n">
        <f aca="false">S16+S17+S18+S19+S20</f>
        <v>949.989022385031</v>
      </c>
      <c r="T21" s="11" t="n">
        <f aca="false">T16+T17+T18+T19+T20</f>
        <v>936.971412424982</v>
      </c>
      <c r="U21" s="11" t="n">
        <f aca="false">U16+U17+U18+U19+U20</f>
        <v>926.02331294281</v>
      </c>
      <c r="V21" s="11" t="n">
        <f aca="false">V16+V17+V18+V19+V20</f>
        <v>909.542782110598</v>
      </c>
      <c r="W21" s="11" t="n">
        <f aca="false">W16+W17+W18+W19+W20</f>
        <v>896.923981852787</v>
      </c>
      <c r="X21" s="11" t="n">
        <f aca="false">X16+X17+X18+X19+X20</f>
        <v>885.641985432454</v>
      </c>
      <c r="Y21" s="11" t="n">
        <f aca="false">Y16+Y17+Y18+Y19+Y20</f>
        <v>873.959884247377</v>
      </c>
      <c r="Z21" s="11" t="n">
        <f aca="false">Z16+Z17+Z18+Z19+Z20</f>
        <v>855.112240290185</v>
      </c>
      <c r="AA21" s="11" t="n">
        <f aca="false">AA16+AA17+AA18+AA19+AA20</f>
        <v>838.701619793556</v>
      </c>
      <c r="AB21" s="11" t="n">
        <f aca="false">AB16+AB17+AB18+AB19+AB20</f>
        <v>819.362696852245</v>
      </c>
      <c r="AC21" s="11" t="n">
        <f aca="false">AC16+AC17+AC18+AC19+AC20</f>
        <v>802.191664477437</v>
      </c>
      <c r="AD21" s="11" t="n">
        <f aca="false">AD16+AD17+AD18+AD19+AD20</f>
        <v>768.974549811659</v>
      </c>
      <c r="AE21" s="11" t="n">
        <f aca="false">AE16+AE17+AE18+AE19+AE20</f>
        <v>750.816617886045</v>
      </c>
      <c r="AF21" s="11" t="n">
        <f aca="false">AF16+AF17+AF18+AF19+AF20</f>
        <v>729.514597815033</v>
      </c>
      <c r="AG21" s="11" t="n">
        <f aca="false">AG16+AG17+AG18+AG19+AG20</f>
        <v>708.819174183891</v>
      </c>
      <c r="AH21" s="11" t="n">
        <f aca="false">AH16+AH17+AH18+AH19+AH20</f>
        <v>684.99852115916</v>
      </c>
      <c r="AI21" s="11" t="n">
        <f aca="false">AI16+AI17+AI18+AI19+AI20</f>
        <v>663.185195129315</v>
      </c>
      <c r="AJ21" s="11" t="n">
        <f aca="false">AJ16+AJ17+AJ18+AJ19+AJ20</f>
        <v>638.393474300622</v>
      </c>
      <c r="AK21" s="11" t="n">
        <f aca="false">AK16+AK17+AK18+AK19+AK20</f>
        <v>614.44468878146</v>
      </c>
      <c r="AL21" s="11" t="n">
        <f aca="false">AL16+AL17+AL18+AL19+AL20</f>
        <v>583.664692100204</v>
      </c>
      <c r="AM21" s="11" t="n">
        <f aca="false">AM16+AM17+AM18+AM19+AM20</f>
        <v>554.081155144976</v>
      </c>
      <c r="AN21" s="11" t="n">
        <f aca="false">AN16+AN17+AN18+AN19+AN20</f>
        <v>531.425775419157</v>
      </c>
      <c r="AO21" s="11" t="n">
        <f aca="false">AO16+AO17+AO18+AO19+AO20</f>
        <v>491.994640067093</v>
      </c>
      <c r="AP21" s="11" t="n">
        <f aca="false">AP16+AP17+AP18+AP19+AP20</f>
        <v>475.20891078032</v>
      </c>
      <c r="AQ21" s="11" t="n">
        <f aca="false">AQ16+AQ17+AQ18+AQ19+AQ20</f>
        <v>460.689068255168</v>
      </c>
      <c r="AR21" s="11" t="n">
        <f aca="false">AR16+AR17+AR18+AR19+AR20</f>
        <v>444.2501254757</v>
      </c>
      <c r="AS21" s="11" t="n">
        <f aca="false">AS16+AS17+AS18+AS19+AS20</f>
        <v>428.898053758026</v>
      </c>
      <c r="AT21" s="11" t="n">
        <f aca="false">AT16+AT17+AT18+AT19+AT20</f>
        <v>394.815014636089</v>
      </c>
      <c r="AU21" s="11" t="n">
        <f aca="false">AU16+AU17+AU18+AU19+AU20</f>
        <v>378.634347609299</v>
      </c>
      <c r="AV21" s="11" t="n">
        <f aca="false">AV16+AV17+AV18+AV19+AV20</f>
        <v>361.307111849234</v>
      </c>
      <c r="AW21" s="11" t="n">
        <f aca="false">AW16+AW17+AW18+AW19+AW20</f>
        <v>344.923428969066</v>
      </c>
      <c r="AX21" s="11" t="n">
        <f aca="false">AX16+AX17+AX18+AX19+AX20</f>
        <v>326.327262873176</v>
      </c>
      <c r="AY21" s="11" t="n">
        <f aca="false">AY16+AY17+AY18+AY19+AY20</f>
        <v>310.153013959022</v>
      </c>
      <c r="AZ21" s="11" t="n">
        <f aca="false">AZ16+AZ17+AZ18+AZ19+AZ20</f>
        <v>291.931330710907</v>
      </c>
      <c r="BA21" s="11" t="n">
        <f aca="false">BA16+BA17+BA18+BA19+BA20</f>
        <v>275.567538926684</v>
      </c>
      <c r="BB21" s="11" t="n">
        <f aca="false">BB16+BB17+BB18+BB19+BB20</f>
        <v>254.083856621258</v>
      </c>
      <c r="BC21" s="11" t="n">
        <f aca="false">BC16+BC17+BC18+BC19+BC20</f>
        <v>239.126414815312</v>
      </c>
      <c r="BD21" s="11" t="n">
        <f aca="false">BD16+BD17+BD18+BD19+BD20</f>
        <v>225.152207791825</v>
      </c>
      <c r="BE21" s="11" t="n">
        <f aca="false">BE16+BE17+BE18+BE19+BE20</f>
        <v>212.619666859265</v>
      </c>
      <c r="BF21" s="11" t="n">
        <f aca="false">BF16+BF17+BF18+BF19+BF20</f>
        <v>197.73979052728</v>
      </c>
      <c r="BG21" s="11" t="n">
        <f aca="false">BG16+BG17+BG18+BG19+BG20</f>
        <v>185.467542685624</v>
      </c>
      <c r="BH21" s="11" t="n">
        <f aca="false">BH16+BH17+BH18+BH19+BH20</f>
        <v>171.026534995497</v>
      </c>
      <c r="BI21" s="11" t="n">
        <f aca="false">BI16+BI17+BI18+BI19+BI20</f>
        <v>157.827050869432</v>
      </c>
      <c r="BJ21" s="11" t="n">
        <f aca="false">BJ16+BJ17+BJ18+BJ19+BJ20</f>
        <v>122.464180378029</v>
      </c>
      <c r="BK21" s="11" t="n">
        <f aca="false">BK16+BK17+BK18+BK19+BK20</f>
        <v>108.247853499266</v>
      </c>
      <c r="BL21" s="11" t="n">
        <f aca="false">BL16+BL17+BL18+BL19+BL20</f>
        <v>92.0981210320779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110.052684990925</v>
      </c>
      <c r="K22" s="11" t="n">
        <f aca="false">IF(Time!K17&lt;Time!$F$11,SUMIFS(Funding!$J$73:$BJ$73,Construction!$J$12:$BJ$12,"&lt;="&amp;Time!K17),Debt!K123)</f>
        <v>190.215105052535</v>
      </c>
      <c r="L22" s="11" t="n">
        <f aca="false">IF(Time!L17&lt;Time!$F$11,SUMIFS(Funding!$J$73:$BJ$73,Construction!$J$12:$BJ$12,"&lt;="&amp;Time!L17),Debt!L123)</f>
        <v>345.599672990244</v>
      </c>
      <c r="M22" s="11" t="n">
        <f aca="false">IF(Time!M17&lt;Time!$F$11,SUMIFS(Funding!$J$73:$BJ$73,Construction!$J$12:$BJ$12,"&lt;="&amp;Time!M17),Debt!M123)</f>
        <v>505.666500418368</v>
      </c>
      <c r="N22" s="11" t="n">
        <f aca="false">IF(Time!N17&lt;Time!$F$11,SUMIFS(Funding!$J$73:$BJ$73,Construction!$J$12:$BJ$12,"&lt;="&amp;Time!N17),Debt!N123)</f>
        <v>595.323595161311</v>
      </c>
      <c r="O22" s="11" t="n">
        <f aca="false">IF(Time!O17&lt;Time!$F$11,SUMIFS(Funding!$J$73:$BJ$73,Construction!$J$12:$BJ$12,"&lt;="&amp;Time!O17),Debt!O123)</f>
        <v>693.496150463468</v>
      </c>
      <c r="P22" s="11" t="n">
        <f aca="false">IF(Time!P17&lt;Time!$F$11,SUMIFS(Funding!$J$73:$BJ$73,Construction!$J$12:$BJ$12,"&lt;="&amp;Time!P17),Debt!P123)</f>
        <v>676.532934953523</v>
      </c>
      <c r="Q22" s="11" t="n">
        <f aca="false">IF(Time!Q17&lt;Time!$F$11,SUMIFS(Funding!$J$73:$BJ$73,Construction!$J$12:$BJ$12,"&lt;="&amp;Time!Q17),Debt!Q123)</f>
        <v>658.851806815444</v>
      </c>
      <c r="R22" s="11" t="n">
        <f aca="false">IF(Time!R17&lt;Time!$F$11,SUMIFS(Funding!$J$73:$BJ$73,Construction!$J$12:$BJ$12,"&lt;="&amp;Time!R17),Debt!R123)</f>
        <v>640.299729087829</v>
      </c>
      <c r="S22" s="11" t="n">
        <f aca="false">IF(Time!S17&lt;Time!$F$11,SUMIFS(Funding!$J$73:$BJ$73,Construction!$J$12:$BJ$12,"&lt;="&amp;Time!S17),Debt!S123)</f>
        <v>621.20095164263</v>
      </c>
      <c r="T22" s="11" t="n">
        <f aca="false">IF(Time!T17&lt;Time!$F$11,SUMIFS(Funding!$J$73:$BJ$73,Construction!$J$12:$BJ$12,"&lt;="&amp;Time!T17),Debt!T123)</f>
        <v>601.223637278978</v>
      </c>
      <c r="U22" s="11" t="n">
        <f aca="false">IF(Time!U17&lt;Time!$F$11,SUMIFS(Funding!$J$73:$BJ$73,Construction!$J$12:$BJ$12,"&lt;="&amp;Time!U17),Debt!U123)</f>
        <v>580.609211191865</v>
      </c>
      <c r="V22" s="11" t="n">
        <f aca="false">IF(Time!V17&lt;Time!$F$11,SUMIFS(Funding!$J$73:$BJ$73,Construction!$J$12:$BJ$12,"&lt;="&amp;Time!V17),Debt!V123)</f>
        <v>558.64805921304</v>
      </c>
      <c r="W22" s="11" t="n">
        <f aca="false">IF(Time!W17&lt;Time!$F$11,SUMIFS(Funding!$J$73:$BJ$73,Construction!$J$12:$BJ$12,"&lt;="&amp;Time!W17),Debt!W123)</f>
        <v>536.015568296459</v>
      </c>
      <c r="X22" s="11" t="n">
        <f aca="false">IF(Time!X17&lt;Time!$F$11,SUMIFS(Funding!$J$73:$BJ$73,Construction!$J$12:$BJ$12,"&lt;="&amp;Time!X17),Debt!X123)</f>
        <v>514.011304027447</v>
      </c>
      <c r="Y22" s="11" t="n">
        <f aca="false">IF(Time!Y17&lt;Time!$F$11,SUMIFS(Funding!$J$73:$BJ$73,Construction!$J$12:$BJ$12,"&lt;="&amp;Time!Y17),Debt!Y123)</f>
        <v>491.996685663434</v>
      </c>
      <c r="Z22" s="11" t="n">
        <f aca="false">IF(Time!Z17&lt;Time!$F$11,SUMIFS(Funding!$J$73:$BJ$73,Construction!$J$12:$BJ$12,"&lt;="&amp;Time!Z17),Debt!Z123)</f>
        <v>469.070046682183</v>
      </c>
      <c r="AA22" s="11" t="n">
        <f aca="false">IF(Time!AA17&lt;Time!$F$11,SUMIFS(Funding!$J$73:$BJ$73,Construction!$J$12:$BJ$12,"&lt;="&amp;Time!AA17),Debt!AA123)</f>
        <v>441.067923889252</v>
      </c>
      <c r="AB22" s="11" t="n">
        <f aca="false">IF(Time!AB17&lt;Time!$F$11,SUMIFS(Funding!$J$73:$BJ$73,Construction!$J$12:$BJ$12,"&lt;="&amp;Time!AB17),Debt!AB123)</f>
        <v>411.348146955519</v>
      </c>
      <c r="AC22" s="11" t="n">
        <f aca="false">IF(Time!AC17&lt;Time!$F$11,SUMIFS(Funding!$J$73:$BJ$73,Construction!$J$12:$BJ$12,"&lt;="&amp;Time!AC17),Debt!AC123)</f>
        <v>381.657794348709</v>
      </c>
      <c r="AD22" s="11" t="n">
        <f aca="false">IF(Time!AD17&lt;Time!$F$11,SUMIFS(Funding!$J$73:$BJ$73,Construction!$J$12:$BJ$12,"&lt;="&amp;Time!AD17),Debt!AD123)</f>
        <v>348.808347607435</v>
      </c>
      <c r="AE22" s="11" t="n">
        <f aca="false">IF(Time!AE17&lt;Time!$F$11,SUMIFS(Funding!$J$73:$BJ$73,Construction!$J$12:$BJ$12,"&lt;="&amp;Time!AE17),Debt!AE123)</f>
        <v>314.826594909992</v>
      </c>
      <c r="AF22" s="11" t="n">
        <f aca="false">IF(Time!AF17&lt;Time!$F$11,SUMIFS(Funding!$J$73:$BJ$73,Construction!$J$12:$BJ$12,"&lt;="&amp;Time!AF17),Debt!AF123)</f>
        <v>279.717721632261</v>
      </c>
      <c r="AG22" s="11" t="n">
        <f aca="false">IF(Time!AG17&lt;Time!$F$11,SUMIFS(Funding!$J$73:$BJ$73,Construction!$J$12:$BJ$12,"&lt;="&amp;Time!AG17),Debt!AG123)</f>
        <v>244.610320101145</v>
      </c>
      <c r="AH22" s="11" t="n">
        <f aca="false">IF(Time!AH17&lt;Time!$F$11,SUMIFS(Funding!$J$73:$BJ$73,Construction!$J$12:$BJ$12,"&lt;="&amp;Time!AH17),Debt!AH123)</f>
        <v>207.813136177121</v>
      </c>
      <c r="AI22" s="11" t="n">
        <f aca="false">IF(Time!AI17&lt;Time!$F$11,SUMIFS(Funding!$J$73:$BJ$73,Construction!$J$12:$BJ$12,"&lt;="&amp;Time!AI17),Debt!AI123)</f>
        <v>170.80525810606</v>
      </c>
      <c r="AJ22" s="11" t="n">
        <f aca="false">IF(Time!AJ17&lt;Time!$F$11,SUMIFS(Funding!$J$73:$BJ$73,Construction!$J$12:$BJ$12,"&lt;="&amp;Time!AJ17),Debt!AJ123)</f>
        <v>132.436645151281</v>
      </c>
      <c r="AK22" s="11" t="n">
        <f aca="false">IF(Time!AK17&lt;Time!$F$11,SUMIFS(Funding!$J$73:$BJ$73,Construction!$J$12:$BJ$12,"&lt;="&amp;Time!AK17),Debt!AK123)</f>
        <v>94.1090108863558</v>
      </c>
      <c r="AL22" s="11" t="n">
        <f aca="false">IF(Time!AL17&lt;Time!$F$11,SUMIFS(Funding!$J$73:$BJ$73,Construction!$J$12:$BJ$12,"&lt;="&amp;Time!AL17),Debt!AL123)</f>
        <v>64.1051398956982</v>
      </c>
      <c r="AM22" s="11" t="n">
        <f aca="false">IF(Time!AM17&lt;Time!$F$11,SUMIFS(Funding!$J$73:$BJ$73,Construction!$J$12:$BJ$12,"&lt;="&amp;Time!AM17),Debt!AM123)</f>
        <v>40.025359776114</v>
      </c>
      <c r="AN22" s="11" t="n">
        <f aca="false">IF(Time!AN17&lt;Time!$F$11,SUMIFS(Funding!$J$73:$BJ$73,Construction!$J$12:$BJ$12,"&lt;="&amp;Time!AN17),Debt!AN123)</f>
        <v>20.1598270358377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31.7445095861778</v>
      </c>
      <c r="K23" s="11" t="n">
        <f aca="false">IF(Time!K17&lt;Time!$F$11,SUMIFS(Funding!$J$70:$BJ$70,Construction!$J$12:$BJ$12,"&lt;="&amp;Time!K17)+SUMIFS(Funding!$J$71:$BJ$71,Construction!$J$12:$BJ$12,"&lt;="&amp;Time!K17),Waterfall!K36)</f>
        <v>56.0841748958884</v>
      </c>
      <c r="L23" s="11" t="n">
        <f aca="false">IF(Time!L17&lt;Time!$F$11,SUMIFS(Funding!$J$70:$BJ$70,Construction!$J$12:$BJ$12,"&lt;="&amp;Time!L17)+SUMIFS(Funding!$J$71:$BJ$71,Construction!$J$12:$BJ$12,"&lt;="&amp;Time!L17),Waterfall!L36)</f>
        <v>103.193069788279</v>
      </c>
      <c r="M23" s="11" t="n">
        <f aca="false">IF(Time!M17&lt;Time!$F$11,SUMIFS(Funding!$J$70:$BJ$70,Construction!$J$12:$BJ$12,"&lt;="&amp;Time!M17)+SUMIFS(Funding!$J$71:$BJ$71,Construction!$J$12:$BJ$12,"&lt;="&amp;Time!M17),Waterfall!M36)</f>
        <v>153.981771445217</v>
      </c>
      <c r="N23" s="11" t="n">
        <f aca="false">IF(Time!N17&lt;Time!$F$11,SUMIFS(Funding!$J$70:$BJ$70,Construction!$J$12:$BJ$12,"&lt;="&amp;Time!N17)+SUMIFS(Funding!$J$71:$BJ$71,Construction!$J$12:$BJ$12,"&lt;="&amp;Time!N17),Waterfall!N36)</f>
        <v>187.2313163235</v>
      </c>
      <c r="O23" s="11" t="n">
        <f aca="false">IF(Time!O17&lt;Time!$F$11,SUMIFS(Funding!$J$70:$BJ$70,Construction!$J$12:$BJ$12,"&lt;="&amp;Time!O17)+SUMIFS(Funding!$J$71:$BJ$71,Construction!$J$12:$BJ$12,"&lt;="&amp;Time!O17),Waterfall!O36)</f>
        <v>224.245461597059</v>
      </c>
      <c r="P23" s="11" t="n">
        <f aca="false">IF(Time!P17&lt;Time!$F$11,SUMIFS(Funding!$J$70:$BJ$70,Construction!$J$12:$BJ$12,"&lt;="&amp;Time!P17)+SUMIFS(Funding!$J$71:$BJ$71,Construction!$J$12:$BJ$12,"&lt;="&amp;Time!P17),Waterfall!P36)</f>
        <v>223.574382150609</v>
      </c>
      <c r="Q23" s="11" t="n">
        <f aca="false">IF(Time!Q17&lt;Time!$F$11,SUMIFS(Funding!$J$70:$BJ$70,Construction!$J$12:$BJ$12,"&lt;="&amp;Time!Q17)+SUMIFS(Funding!$J$71:$BJ$71,Construction!$J$12:$BJ$12,"&lt;="&amp;Time!Q17),Waterfall!Q36)</f>
        <v>225.203261757361</v>
      </c>
      <c r="R23" s="11" t="n">
        <f aca="false">IF(Time!R17&lt;Time!$F$11,SUMIFS(Funding!$J$70:$BJ$70,Construction!$J$12:$BJ$12,"&lt;="&amp;Time!R17)+SUMIFS(Funding!$J$71:$BJ$71,Construction!$J$12:$BJ$12,"&lt;="&amp;Time!R17),Waterfall!R36)</f>
        <v>226.121967543849</v>
      </c>
      <c r="S23" s="11" t="n">
        <f aca="false">IF(Time!S17&lt;Time!$F$11,SUMIFS(Funding!$J$70:$BJ$70,Construction!$J$12:$BJ$12,"&lt;="&amp;Time!S17)+SUMIFS(Funding!$J$71:$BJ$71,Construction!$J$12:$BJ$12,"&lt;="&amp;Time!S17),Waterfall!S36)</f>
        <v>227.769217880443</v>
      </c>
      <c r="T23" s="11" t="n">
        <f aca="false">IF(Time!T17&lt;Time!$F$11,SUMIFS(Funding!$J$70:$BJ$70,Construction!$J$12:$BJ$12,"&lt;="&amp;Time!T17)+SUMIFS(Funding!$J$71:$BJ$71,Construction!$J$12:$BJ$12,"&lt;="&amp;Time!T17),Waterfall!T36)</f>
        <v>228.901122639756</v>
      </c>
      <c r="U23" s="11" t="n">
        <f aca="false">IF(Time!U17&lt;Time!$F$11,SUMIFS(Funding!$J$70:$BJ$70,Construction!$J$12:$BJ$12,"&lt;="&amp;Time!U17)+SUMIFS(Funding!$J$71:$BJ$71,Construction!$J$12:$BJ$12,"&lt;="&amp;Time!U17),Waterfall!U36)</f>
        <v>231.002751346503</v>
      </c>
      <c r="V23" s="11" t="n">
        <f aca="false">IF(Time!V17&lt;Time!$F$11,SUMIFS(Funding!$J$70:$BJ$70,Construction!$J$12:$BJ$12,"&lt;="&amp;Time!V17)+SUMIFS(Funding!$J$71:$BJ$71,Construction!$J$12:$BJ$12,"&lt;="&amp;Time!V17),Waterfall!V36)</f>
        <v>232.05410971292</v>
      </c>
      <c r="W23" s="11" t="n">
        <f aca="false">IF(Time!W17&lt;Time!$F$11,SUMIFS(Funding!$J$70:$BJ$70,Construction!$J$12:$BJ$12,"&lt;="&amp;Time!W17)+SUMIFS(Funding!$J$71:$BJ$71,Construction!$J$12:$BJ$12,"&lt;="&amp;Time!W17),Waterfall!W36)</f>
        <v>232.139414876501</v>
      </c>
      <c r="X23" s="11" t="n">
        <f aca="false">IF(Time!X17&lt;Time!$F$11,SUMIFS(Funding!$J$70:$BJ$70,Construction!$J$12:$BJ$12,"&lt;="&amp;Time!X17)+SUMIFS(Funding!$J$71:$BJ$71,Construction!$J$12:$BJ$12,"&lt;="&amp;Time!X17),Waterfall!X36)</f>
        <v>233.488735291553</v>
      </c>
      <c r="Y23" s="11" t="n">
        <f aca="false">IF(Time!Y17&lt;Time!$F$11,SUMIFS(Funding!$J$70:$BJ$70,Construction!$J$12:$BJ$12,"&lt;="&amp;Time!Y17)+SUMIFS(Funding!$J$71:$BJ$71,Construction!$J$12:$BJ$12,"&lt;="&amp;Time!Y17),Waterfall!Y36)</f>
        <v>235.538541343498</v>
      </c>
      <c r="Z23" s="11" t="n">
        <f aca="false">IF(Time!Z17&lt;Time!$F$11,SUMIFS(Funding!$J$70:$BJ$70,Construction!$J$12:$BJ$12,"&lt;="&amp;Time!Z17)+SUMIFS(Funding!$J$71:$BJ$71,Construction!$J$12:$BJ$12,"&lt;="&amp;Time!Z17),Waterfall!Z36)</f>
        <v>237.126774246754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243.891292126067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250.329984598564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257.468895972515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263.883398701356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269.955883278751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275.801091683346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281.530333386569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286.614040831618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291.205024698051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294.774934919563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297.209789267659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286.976114138157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266.5524805257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248.960698555645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209.99780860182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168.664492916056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125.634529720203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80.0523170013937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32.43485736855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24.0950407856378</v>
      </c>
      <c r="P24" s="11" t="n">
        <f aca="false">Operations!P85+Operations!P86+Operations!P87+Operations!P88+Operations!P89</f>
        <v>24.0020909203874</v>
      </c>
      <c r="Q24" s="11" t="n">
        <f aca="false">Operations!Q85+Operations!Q86+Operations!Q87+Operations!Q88+Operations!Q89</f>
        <v>24.743857750018</v>
      </c>
      <c r="R24" s="11" t="n">
        <f aca="false">Operations!R85+Operations!R86+Operations!R87+Operations!R88+Operations!R89</f>
        <v>24.2599654195137</v>
      </c>
      <c r="S24" s="11" t="n">
        <f aca="false">Operations!S85+Operations!S86+Operations!S87+Operations!S88+Operations!S89</f>
        <v>25.1525126563782</v>
      </c>
      <c r="T24" s="11" t="n">
        <f aca="false">Operations!T85+Operations!T86+Operations!T87+Operations!T88+Operations!T89</f>
        <v>24.9431978853216</v>
      </c>
      <c r="U24" s="11" t="n">
        <f aca="false">Operations!U85+Operations!U86+Operations!U87+Operations!U88+Operations!U89</f>
        <v>25.3974858364738</v>
      </c>
      <c r="V24" s="11" t="n">
        <f aca="false">Operations!V85+Operations!V86+Operations!V87+Operations!V88+Operations!V89</f>
        <v>24.6578860928367</v>
      </c>
      <c r="W24" s="11" t="n">
        <f aca="false">Operations!W85+Operations!W86+Operations!W87+Operations!W88+Operations!W89</f>
        <v>25.7569302744051</v>
      </c>
      <c r="X24" s="11" t="n">
        <f aca="false">Operations!X85+Operations!X86+Operations!X87+Operations!X88+Operations!X89</f>
        <v>25.9212834929621</v>
      </c>
      <c r="Y24" s="11" t="n">
        <f aca="false">Operations!Y85+Operations!Y86+Operations!Y87+Operations!Y88+Operations!Y89</f>
        <v>26.722769067278</v>
      </c>
      <c r="Z24" s="11" t="n">
        <f aca="false">Operations!Z85+Operations!Z86+Operations!Z87+Operations!Z88+Operations!Z89</f>
        <v>26.199534659376</v>
      </c>
      <c r="AA24" s="11" t="n">
        <f aca="false">Operations!AA85+Operations!AA86+Operations!AA87+Operations!AA88+Operations!AA89</f>
        <v>27.1640726156399</v>
      </c>
      <c r="AB24" s="11" t="n">
        <f aca="false">Operations!AB85+Operations!AB86+Operations!AB87+Operations!AB88+Operations!AB89</f>
        <v>26.9377965229593</v>
      </c>
      <c r="AC24" s="11" t="n">
        <f aca="false">Operations!AC85+Operations!AC86+Operations!AC87+Operations!AC88+Operations!AC89</f>
        <v>27.2619368464678</v>
      </c>
      <c r="AD24" s="11" t="n">
        <f aca="false">Operations!AD85+Operations!AD86+Operations!AD87+Operations!AD88+Operations!AD89</f>
        <v>26.139656782334</v>
      </c>
      <c r="AE24" s="11" t="n">
        <f aca="false">Operations!AE85+Operations!AE86+Operations!AE87+Operations!AE88+Operations!AE89</f>
        <v>27.4751450478633</v>
      </c>
      <c r="AF24" s="11" t="n">
        <f aca="false">Operations!AF85+Operations!AF86+Operations!AF87+Operations!AF88+Operations!AF89</f>
        <v>27.9942422727087</v>
      </c>
      <c r="AG24" s="11" t="n">
        <f aca="false">Operations!AG85+Operations!AG86+Operations!AG87+Operations!AG88+Operations!AG89</f>
        <v>28.8602399073182</v>
      </c>
      <c r="AH24" s="11" t="n">
        <f aca="false">Operations!AH85+Operations!AH86+Operations!AH87+Operations!AH88+Operations!AH89</f>
        <v>28.2944803006464</v>
      </c>
      <c r="AI24" s="11" t="n">
        <f aca="false">Operations!AI85+Operations!AI86+Operations!AI87+Operations!AI88+Operations!AI89</f>
        <v>29.3367940784108</v>
      </c>
      <c r="AJ24" s="11" t="n">
        <f aca="false">Operations!AJ85+Operations!AJ86+Operations!AJ87+Operations!AJ88+Operations!AJ89</f>
        <v>29.0921847497958</v>
      </c>
      <c r="AK24" s="11" t="n">
        <f aca="false">Operations!AK85+Operations!AK86+Operations!AK87+Operations!AK88+Operations!AK89</f>
        <v>29.6218707145224</v>
      </c>
      <c r="AL24" s="11" t="n">
        <f aca="false">Operations!AL85+Operations!AL86+Operations!AL87+Operations!AL88+Operations!AL89</f>
        <v>28.7570864814343</v>
      </c>
      <c r="AM24" s="11" t="n">
        <f aca="false">Operations!AM85+Operations!AM86+Operations!AM87+Operations!AM88+Operations!AM89</f>
        <v>30.0408344605258</v>
      </c>
      <c r="AN24" s="11" t="n">
        <f aca="false">Operations!AN85+Operations!AN86+Operations!AN87+Operations!AN88+Operations!AN89</f>
        <v>30.2332489489033</v>
      </c>
      <c r="AO24" s="11" t="n">
        <f aca="false">Operations!AO85+Operations!AO86+Operations!AO87+Operations!AO88+Operations!AO89</f>
        <v>31.1689343564011</v>
      </c>
      <c r="AP24" s="11" t="n">
        <f aca="false">Operations!AP85+Operations!AP86+Operations!AP87+Operations!AP88+Operations!AP89</f>
        <v>30.5572110233702</v>
      </c>
      <c r="AQ24" s="11" t="n">
        <f aca="false">Operations!AQ85+Operations!AQ86+Operations!AQ87+Operations!AQ88+Operations!AQ89</f>
        <v>31.6835476594038</v>
      </c>
      <c r="AR24" s="11" t="n">
        <f aca="false">Operations!AR85+Operations!AR86+Operations!AR87+Operations!AR88+Operations!AR89</f>
        <v>31.4191232164055</v>
      </c>
      <c r="AS24" s="11" t="n">
        <f aca="false">Operations!AS85+Operations!AS86+Operations!AS87+Operations!AS88+Operations!AS89</f>
        <v>31.7964704147147</v>
      </c>
      <c r="AT24" s="11" t="n">
        <f aca="false">Operations!AT85+Operations!AT86+Operations!AT87+Operations!AT88+Operations!AT89</f>
        <v>30.484448469376</v>
      </c>
      <c r="AU24" s="11" t="n">
        <f aca="false">Operations!AU85+Operations!AU86+Operations!AU87+Operations!AU88+Operations!AU89</f>
        <v>32.0443147408864</v>
      </c>
      <c r="AV24" s="11" t="n">
        <f aca="false">Operations!AV85+Operations!AV86+Operations!AV87+Operations!AV88+Operations!AV89</f>
        <v>32.6515617060015</v>
      </c>
      <c r="AW24" s="11" t="n">
        <f aca="false">Operations!AW85+Operations!AW86+Operations!AW87+Operations!AW88+Operations!AW89</f>
        <v>33.6625232797777</v>
      </c>
      <c r="AX24" s="11" t="n">
        <f aca="false">Operations!AX85+Operations!AX86+Operations!AX87+Operations!AX88+Operations!AX89</f>
        <v>33.0011219807664</v>
      </c>
      <c r="AY24" s="11" t="n">
        <f aca="false">Operations!AY85+Operations!AY86+Operations!AY87+Operations!AY88+Operations!AY89</f>
        <v>34.2182270547156</v>
      </c>
      <c r="AZ24" s="11" t="n">
        <f aca="false">Operations!AZ85+Operations!AZ86+Operations!AZ87+Operations!AZ88+Operations!AZ89</f>
        <v>33.9323869288598</v>
      </c>
      <c r="BA24" s="11" t="n">
        <f aca="false">Operations!BA85+Operations!BA86+Operations!BA87+Operations!BA88+Operations!BA89</f>
        <v>34.5499587648757</v>
      </c>
      <c r="BB24" s="11" t="n">
        <f aca="false">Operations!BB85+Operations!BB86+Operations!BB87+Operations!BB88+Operations!BB89</f>
        <v>33.5389517240444</v>
      </c>
      <c r="BC24" s="11" t="n">
        <f aca="false">Operations!BC85+Operations!BC86+Operations!BC87+Operations!BC88+Operations!BC89</f>
        <v>35.0382945229914</v>
      </c>
      <c r="BD24" s="11" t="n">
        <f aca="false">Operations!BD85+Operations!BD86+Operations!BD87+Operations!BD88+Operations!BD89</f>
        <v>35.2634924018826</v>
      </c>
      <c r="BE24" s="11" t="n">
        <f aca="false">Operations!BE85+Operations!BE86+Operations!BE87+Operations!BE88+Operations!BE89</f>
        <v>36.3557638775137</v>
      </c>
      <c r="BF24" s="11" t="n">
        <f aca="false">Operations!BF85+Operations!BF86+Operations!BF87+Operations!BF88+Operations!BF89</f>
        <v>35.6406727572552</v>
      </c>
      <c r="BG24" s="11" t="n">
        <f aca="false">Operations!BG85+Operations!BG86+Operations!BG87+Operations!BG88+Operations!BG89</f>
        <v>36.9558298755099</v>
      </c>
      <c r="BH24" s="11" t="n">
        <f aca="false">Operations!BH85+Operations!BH86+Operations!BH87+Operations!BH88+Operations!BH89</f>
        <v>36.6468453978323</v>
      </c>
      <c r="BI24" s="11" t="n">
        <f aca="false">Operations!BI85+Operations!BI86+Operations!BI87+Operations!BI88+Operations!BI89</f>
        <v>37.0861360234859</v>
      </c>
      <c r="BJ24" s="11" t="n">
        <f aca="false">Operations!BJ85+Operations!BJ86+Operations!BJ87+Operations!BJ88+Operations!BJ89</f>
        <v>35.5525198700651</v>
      </c>
      <c r="BK24" s="11" t="n">
        <f aca="false">Operations!BK85+Operations!BK86+Operations!BK87+Operations!BK88+Operations!BK89</f>
        <v>37.3742725786475</v>
      </c>
      <c r="BL24" s="11" t="n">
        <f aca="false">Operations!BL85+Operations!BL86+Operations!BL87+Operations!BL88+Operations!BL89</f>
        <v>38.0844898012039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0</v>
      </c>
      <c r="AK25" s="11" t="n">
        <f aca="false">MAX(0,AK12)</f>
        <v>0</v>
      </c>
      <c r="AL25" s="11" t="n">
        <f aca="false">MAX(0,AL12)</f>
        <v>0</v>
      </c>
      <c r="AM25" s="11" t="n">
        <f aca="false">MAX(0,AM12)</f>
        <v>0</v>
      </c>
      <c r="AN25" s="11" t="n">
        <f aca="false">MAX(0,AN12)</f>
        <v>0</v>
      </c>
      <c r="AO25" s="11" t="n">
        <f aca="false">MAX(0,AO12)</f>
        <v>2.93388232285805</v>
      </c>
      <c r="AP25" s="11" t="n">
        <f aca="false">MAX(0,AP12)</f>
        <v>10.5968539020905</v>
      </c>
      <c r="AQ25" s="11" t="n">
        <f aca="false">MAX(0,AQ12)</f>
        <v>18.9277989793559</v>
      </c>
      <c r="AR25" s="11" t="n">
        <f aca="false">MAX(0,AR12)</f>
        <v>27.8666041866485</v>
      </c>
      <c r="AS25" s="11" t="n">
        <f aca="false">MAX(0,AS12)</f>
        <v>37.5498323422252</v>
      </c>
      <c r="AT25" s="11" t="n">
        <f aca="false">MAX(0,AT12)</f>
        <v>42.6902236048979</v>
      </c>
      <c r="AU25" s="11" t="n">
        <f aca="false">MAX(0,AU12)</f>
        <v>43.789542667685</v>
      </c>
      <c r="AV25" s="11" t="n">
        <f aca="false">MAX(0,AV12)</f>
        <v>44.8888617304721</v>
      </c>
      <c r="AW25" s="11" t="n">
        <f aca="false">MAX(0,AW12)</f>
        <v>45.9881807932591</v>
      </c>
      <c r="AX25" s="11" t="n">
        <f aca="false">MAX(0,AX12)</f>
        <v>47.0874998560462</v>
      </c>
      <c r="AY25" s="11" t="n">
        <f aca="false">MAX(0,AY12)</f>
        <v>48.1868189188332</v>
      </c>
      <c r="AZ25" s="11" t="n">
        <f aca="false">MAX(0,AZ12)</f>
        <v>49.2861379816203</v>
      </c>
      <c r="BA25" s="11" t="n">
        <f aca="false">MAX(0,BA12)</f>
        <v>50.3854570444074</v>
      </c>
      <c r="BB25" s="11" t="n">
        <f aca="false">MAX(0,BB12)</f>
        <v>51.4847761071945</v>
      </c>
      <c r="BC25" s="11" t="n">
        <f aca="false">MAX(0,BC12)</f>
        <v>50.4770669663063</v>
      </c>
      <c r="BD25" s="11" t="n">
        <f aca="false">MAX(0,BD12)</f>
        <v>45.2553014180677</v>
      </c>
      <c r="BE25" s="11" t="n">
        <f aca="false">MAX(0,BE12)</f>
        <v>40.0335358698292</v>
      </c>
      <c r="BF25" s="11" t="n">
        <f aca="false">MAX(0,BF12)</f>
        <v>34.8117703215906</v>
      </c>
      <c r="BG25" s="11" t="n">
        <f aca="false">MAX(0,BG12)</f>
        <v>29.590004773352</v>
      </c>
      <c r="BH25" s="11" t="n">
        <f aca="false">MAX(0,BH12)</f>
        <v>24.3682392251134</v>
      </c>
      <c r="BI25" s="11" t="n">
        <f aca="false">MAX(0,BI12)</f>
        <v>19.1464736768748</v>
      </c>
      <c r="BJ25" s="11" t="n">
        <f aca="false">MAX(0,BJ12)</f>
        <v>13.9247081286362</v>
      </c>
      <c r="BK25" s="11" t="n">
        <f aca="false">MAX(0,BK12)</f>
        <v>8.70294258039766</v>
      </c>
      <c r="BL25" s="11" t="n">
        <f aca="false">MAX(0,BL12)</f>
        <v>3.48117703215908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7.71043707036563</v>
      </c>
      <c r="K26" s="11" t="n">
        <f aca="false">SUMIFS(Funding!$J$69:$BJ$69,Construction!$J$12:$BJ$12,"&lt;="&amp;Time!K17)</f>
        <v>13.326722537133</v>
      </c>
      <c r="L26" s="11" t="n">
        <f aca="false">SUMIFS(Funding!$J$69:$BJ$69,Construction!$J$12:$BJ$12,"&lt;="&amp;Time!L17)</f>
        <v>24.2131714492012</v>
      </c>
      <c r="M26" s="11" t="n">
        <f aca="false">SUMIFS(Funding!$J$69:$BJ$69,Construction!$J$12:$BJ$12,"&lt;="&amp;Time!M17)</f>
        <v>35.4276656711222</v>
      </c>
      <c r="N26" s="11" t="n">
        <f aca="false">SUMIFS(Funding!$J$69:$BJ$69,Construction!$J$12:$BJ$12,"&lt;="&amp;Time!N17)</f>
        <v>41.7091606385942</v>
      </c>
      <c r="O26" s="11" t="n">
        <f aca="false">SUMIFS(Funding!$J$69:$BJ$69,Construction!$J$12:$BJ$12,"&lt;="&amp;Time!O17)</f>
        <v>48.5872600666698</v>
      </c>
      <c r="P26" s="11" t="n">
        <f aca="false">SUMIFS(Funding!$J$69:$BJ$69,Construction!$J$12:$BJ$12,"&lt;="&amp;Time!P17)</f>
        <v>48.5872600666698</v>
      </c>
      <c r="Q26" s="11" t="n">
        <f aca="false">SUMIFS(Funding!$J$69:$BJ$69,Construction!$J$12:$BJ$12,"&lt;="&amp;Time!Q17)</f>
        <v>48.5872600666698</v>
      </c>
      <c r="R26" s="11" t="n">
        <f aca="false">SUMIFS(Funding!$J$69:$BJ$69,Construction!$J$12:$BJ$12,"&lt;="&amp;Time!R17)</f>
        <v>48.5872600666698</v>
      </c>
      <c r="S26" s="11" t="n">
        <f aca="false">SUMIFS(Funding!$J$69:$BJ$69,Construction!$J$12:$BJ$12,"&lt;="&amp;Time!S17)</f>
        <v>48.5872600666698</v>
      </c>
      <c r="T26" s="11" t="n">
        <f aca="false">SUMIFS(Funding!$J$69:$BJ$69,Construction!$J$12:$BJ$12,"&lt;="&amp;Time!T17)</f>
        <v>48.5872600666698</v>
      </c>
      <c r="U26" s="11" t="n">
        <f aca="false">SUMIFS(Funding!$J$69:$BJ$69,Construction!$J$12:$BJ$12,"&lt;="&amp;Time!U17)</f>
        <v>48.5872600666698</v>
      </c>
      <c r="V26" s="11" t="n">
        <f aca="false">SUMIFS(Funding!$J$69:$BJ$69,Construction!$J$12:$BJ$12,"&lt;="&amp;Time!V17)</f>
        <v>48.5872600666698</v>
      </c>
      <c r="W26" s="11" t="n">
        <f aca="false">SUMIFS(Funding!$J$69:$BJ$69,Construction!$J$12:$BJ$12,"&lt;="&amp;Time!W17)</f>
        <v>48.5872600666698</v>
      </c>
      <c r="X26" s="11" t="n">
        <f aca="false">SUMIFS(Funding!$J$69:$BJ$69,Construction!$J$12:$BJ$12,"&lt;="&amp;Time!X17)</f>
        <v>48.5872600666698</v>
      </c>
      <c r="Y26" s="11" t="n">
        <f aca="false">SUMIFS(Funding!$J$69:$BJ$69,Construction!$J$12:$BJ$12,"&lt;="&amp;Time!Y17)</f>
        <v>48.5872600666698</v>
      </c>
      <c r="Z26" s="11" t="n">
        <f aca="false">SUMIFS(Funding!$J$69:$BJ$69,Construction!$J$12:$BJ$12,"&lt;="&amp;Time!Z17)</f>
        <v>48.5872600666698</v>
      </c>
      <c r="AA26" s="11" t="n">
        <f aca="false">SUMIFS(Funding!$J$69:$BJ$69,Construction!$J$12:$BJ$12,"&lt;="&amp;Time!AA17)</f>
        <v>48.5872600666698</v>
      </c>
      <c r="AB26" s="11" t="n">
        <f aca="false">SUMIFS(Funding!$J$69:$BJ$69,Construction!$J$12:$BJ$12,"&lt;="&amp;Time!AB17)</f>
        <v>48.5872600666698</v>
      </c>
      <c r="AC26" s="11" t="n">
        <f aca="false">SUMIFS(Funding!$J$69:$BJ$69,Construction!$J$12:$BJ$12,"&lt;="&amp;Time!AC17)</f>
        <v>48.5872600666698</v>
      </c>
      <c r="AD26" s="11" t="n">
        <f aca="false">SUMIFS(Funding!$J$69:$BJ$69,Construction!$J$12:$BJ$12,"&lt;="&amp;Time!AD17)</f>
        <v>48.5872600666698</v>
      </c>
      <c r="AE26" s="11" t="n">
        <f aca="false">SUMIFS(Funding!$J$69:$BJ$69,Construction!$J$12:$BJ$12,"&lt;="&amp;Time!AE17)</f>
        <v>48.5872600666698</v>
      </c>
      <c r="AF26" s="11" t="n">
        <f aca="false">SUMIFS(Funding!$J$69:$BJ$69,Construction!$J$12:$BJ$12,"&lt;="&amp;Time!AF17)</f>
        <v>48.5872600666698</v>
      </c>
      <c r="AG26" s="11" t="n">
        <f aca="false">SUMIFS(Funding!$J$69:$BJ$69,Construction!$J$12:$BJ$12,"&lt;="&amp;Time!AG17)</f>
        <v>48.5872600666698</v>
      </c>
      <c r="AH26" s="11" t="n">
        <f aca="false">SUMIFS(Funding!$J$69:$BJ$69,Construction!$J$12:$BJ$12,"&lt;="&amp;Time!AH17)</f>
        <v>48.5872600666698</v>
      </c>
      <c r="AI26" s="11" t="n">
        <f aca="false">SUMIFS(Funding!$J$69:$BJ$69,Construction!$J$12:$BJ$12,"&lt;="&amp;Time!AI17)</f>
        <v>48.5872600666698</v>
      </c>
      <c r="AJ26" s="11" t="n">
        <f aca="false">SUMIFS(Funding!$J$69:$BJ$69,Construction!$J$12:$BJ$12,"&lt;="&amp;Time!AJ17)</f>
        <v>48.5872600666698</v>
      </c>
      <c r="AK26" s="11" t="n">
        <f aca="false">SUMIFS(Funding!$J$69:$BJ$69,Construction!$J$12:$BJ$12,"&lt;="&amp;Time!AK17)</f>
        <v>48.5872600666698</v>
      </c>
      <c r="AL26" s="11" t="n">
        <f aca="false">SUMIFS(Funding!$J$69:$BJ$69,Construction!$J$12:$BJ$12,"&lt;="&amp;Time!AL17)</f>
        <v>48.5872600666698</v>
      </c>
      <c r="AM26" s="11" t="n">
        <f aca="false">SUMIFS(Funding!$J$69:$BJ$69,Construction!$J$12:$BJ$12,"&lt;="&amp;Time!AM17)</f>
        <v>48.5872600666698</v>
      </c>
      <c r="AN26" s="11" t="n">
        <f aca="false">SUMIFS(Funding!$J$69:$BJ$69,Construction!$J$12:$BJ$12,"&lt;="&amp;Time!AN17)</f>
        <v>48.5872600666698</v>
      </c>
      <c r="AO26" s="11" t="n">
        <f aca="false">SUMIFS(Funding!$J$69:$BJ$69,Construction!$J$12:$BJ$12,"&lt;="&amp;Time!AO17)</f>
        <v>48.5872600666698</v>
      </c>
      <c r="AP26" s="11" t="n">
        <f aca="false">SUMIFS(Funding!$J$69:$BJ$69,Construction!$J$12:$BJ$12,"&lt;="&amp;Time!AP17)</f>
        <v>48.5872600666698</v>
      </c>
      <c r="AQ26" s="11" t="n">
        <f aca="false">SUMIFS(Funding!$J$69:$BJ$69,Construction!$J$12:$BJ$12,"&lt;="&amp;Time!AQ17)</f>
        <v>48.5872600666698</v>
      </c>
      <c r="AR26" s="11" t="n">
        <f aca="false">SUMIFS(Funding!$J$69:$BJ$69,Construction!$J$12:$BJ$12,"&lt;="&amp;Time!AR17)</f>
        <v>48.5872600666698</v>
      </c>
      <c r="AS26" s="11" t="n">
        <f aca="false">SUMIFS(Funding!$J$69:$BJ$69,Construction!$J$12:$BJ$12,"&lt;="&amp;Time!AS17)</f>
        <v>48.5872600666698</v>
      </c>
      <c r="AT26" s="11" t="n">
        <f aca="false">SUMIFS(Funding!$J$69:$BJ$69,Construction!$J$12:$BJ$12,"&lt;="&amp;Time!AT17)</f>
        <v>48.5872600666698</v>
      </c>
      <c r="AU26" s="11" t="n">
        <f aca="false">SUMIFS(Funding!$J$69:$BJ$69,Construction!$J$12:$BJ$12,"&lt;="&amp;Time!AU17)</f>
        <v>48.5872600666698</v>
      </c>
      <c r="AV26" s="11" t="n">
        <f aca="false">SUMIFS(Funding!$J$69:$BJ$69,Construction!$J$12:$BJ$12,"&lt;="&amp;Time!AV17)</f>
        <v>48.5872600666698</v>
      </c>
      <c r="AW26" s="11" t="n">
        <f aca="false">SUMIFS(Funding!$J$69:$BJ$69,Construction!$J$12:$BJ$12,"&lt;="&amp;Time!AW17)</f>
        <v>48.5872600666698</v>
      </c>
      <c r="AX26" s="11" t="n">
        <f aca="false">SUMIFS(Funding!$J$69:$BJ$69,Construction!$J$12:$BJ$12,"&lt;="&amp;Time!AX17)</f>
        <v>48.5872600666698</v>
      </c>
      <c r="AY26" s="11" t="n">
        <f aca="false">SUMIFS(Funding!$J$69:$BJ$69,Construction!$J$12:$BJ$12,"&lt;="&amp;Time!AY17)</f>
        <v>48.5872600666698</v>
      </c>
      <c r="AZ26" s="11" t="n">
        <f aca="false">SUMIFS(Funding!$J$69:$BJ$69,Construction!$J$12:$BJ$12,"&lt;="&amp;Time!AZ17)</f>
        <v>48.5872600666698</v>
      </c>
      <c r="BA26" s="11" t="n">
        <f aca="false">SUMIFS(Funding!$J$69:$BJ$69,Construction!$J$12:$BJ$12,"&lt;="&amp;Time!BA17)</f>
        <v>48.5872600666698</v>
      </c>
      <c r="BB26" s="11" t="n">
        <f aca="false">SUMIFS(Funding!$J$69:$BJ$69,Construction!$J$12:$BJ$12,"&lt;="&amp;Time!BB17)</f>
        <v>48.5872600666698</v>
      </c>
      <c r="BC26" s="11" t="n">
        <f aca="false">SUMIFS(Funding!$J$69:$BJ$69,Construction!$J$12:$BJ$12,"&lt;="&amp;Time!BC17)</f>
        <v>48.5872600666698</v>
      </c>
      <c r="BD26" s="11" t="n">
        <f aca="false">SUMIFS(Funding!$J$69:$BJ$69,Construction!$J$12:$BJ$12,"&lt;="&amp;Time!BD17)</f>
        <v>48.5872600666698</v>
      </c>
      <c r="BE26" s="11" t="n">
        <f aca="false">SUMIFS(Funding!$J$69:$BJ$69,Construction!$J$12:$BJ$12,"&lt;="&amp;Time!BE17)</f>
        <v>48.5872600666698</v>
      </c>
      <c r="BF26" s="11" t="n">
        <f aca="false">SUMIFS(Funding!$J$69:$BJ$69,Construction!$J$12:$BJ$12,"&lt;="&amp;Time!BF17)</f>
        <v>48.5872600666698</v>
      </c>
      <c r="BG26" s="11" t="n">
        <f aca="false">SUMIFS(Funding!$J$69:$BJ$69,Construction!$J$12:$BJ$12,"&lt;="&amp;Time!BG17)</f>
        <v>48.5872600666698</v>
      </c>
      <c r="BH26" s="11" t="n">
        <f aca="false">SUMIFS(Funding!$J$69:$BJ$69,Construction!$J$12:$BJ$12,"&lt;="&amp;Time!BH17)</f>
        <v>48.5872600666698</v>
      </c>
      <c r="BI26" s="11" t="n">
        <f aca="false">SUMIFS(Funding!$J$69:$BJ$69,Construction!$J$12:$BJ$12,"&lt;="&amp;Time!BI17)</f>
        <v>48.5872600666698</v>
      </c>
      <c r="BJ26" s="11" t="n">
        <f aca="false">SUMIFS(Funding!$J$69:$BJ$69,Construction!$J$12:$BJ$12,"&lt;="&amp;Time!BJ17)</f>
        <v>48.5872600666698</v>
      </c>
      <c r="BK26" s="11" t="n">
        <f aca="false">SUMIFS(Funding!$J$69:$BJ$69,Construction!$J$12:$BJ$12,"&lt;="&amp;Time!BK17)</f>
        <v>48.5872600666698</v>
      </c>
      <c r="BL26" s="11" t="n">
        <f aca="false">SUMIFS(Funding!$J$69:$BJ$69,Construction!$J$12:$BJ$12,"&lt;="&amp;Time!BL17)</f>
        <v>48.5872600666698</v>
      </c>
      <c r="BM26" s="11" t="n">
        <f aca="false">SUMIFS(Funding!$J$69:$BJ$69,Construction!$J$12:$BJ$12,"&lt;="&amp;Time!BM17)</f>
        <v>48.5872600666698</v>
      </c>
      <c r="BN26" s="11" t="n">
        <f aca="false">SUMIFS(Funding!$J$69:$BJ$69,Construction!$J$12:$BJ$12,"&lt;="&amp;Time!BN17)</f>
        <v>48.5872600666698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9.10515112180447</v>
      </c>
      <c r="P27" s="16" t="n">
        <f aca="false">Waterfall!P43</f>
        <v>12.3165271330113</v>
      </c>
      <c r="Q27" s="16" t="n">
        <f aca="false">Waterfall!Q43</f>
        <v>16.7738126424195</v>
      </c>
      <c r="R27" s="16" t="n">
        <f aca="false">Waterfall!R43</f>
        <v>21.4747731500528</v>
      </c>
      <c r="S27" s="16" t="n">
        <f aca="false">Waterfall!S43</f>
        <v>27.2790801389097</v>
      </c>
      <c r="T27" s="16" t="n">
        <f aca="false">Waterfall!T43</f>
        <v>33.3161945542571</v>
      </c>
      <c r="U27" s="16" t="n">
        <f aca="false">Waterfall!U43</f>
        <v>40.4266045012986</v>
      </c>
      <c r="V27" s="16" t="n">
        <f aca="false">Waterfall!V43</f>
        <v>45.5954670251313</v>
      </c>
      <c r="W27" s="16" t="n">
        <f aca="false">Waterfall!W43</f>
        <v>54.4248083387529</v>
      </c>
      <c r="X27" s="16" t="n">
        <f aca="false">Waterfall!X43</f>
        <v>63.6334025538222</v>
      </c>
      <c r="Y27" s="16" t="n">
        <f aca="false">Waterfall!Y43</f>
        <v>71.1146281064973</v>
      </c>
      <c r="Z27" s="16" t="n">
        <f aca="false">Waterfall!Z43</f>
        <v>74.128624635202</v>
      </c>
      <c r="AA27" s="16" t="n">
        <f aca="false">Waterfall!AA43</f>
        <v>77.991071095928</v>
      </c>
      <c r="AB27" s="16" t="n">
        <f aca="false">Waterfall!AB43</f>
        <v>82.1595087085334</v>
      </c>
      <c r="AC27" s="16" t="n">
        <f aca="false">Waterfall!AC43</f>
        <v>87.2157772430752</v>
      </c>
      <c r="AD27" s="16" t="n">
        <f aca="false">Waterfall!AD43</f>
        <v>81.5558866538651</v>
      </c>
      <c r="AE27" s="16" t="n">
        <f aca="false">Waterfall!AE43</f>
        <v>89.971734582769</v>
      </c>
      <c r="AF27" s="16" t="n">
        <f aca="false">Waterfall!AF43</f>
        <v>97.4142821600475</v>
      </c>
      <c r="AG27" s="16" t="n">
        <f aca="false">Waterfall!AG43</f>
        <v>105.231020722189</v>
      </c>
      <c r="AH27" s="16" t="n">
        <f aca="false">Waterfall!AH43</f>
        <v>113.689603783104</v>
      </c>
      <c r="AI27" s="16" t="n">
        <f aca="false">Waterfall!AI43</f>
        <v>123.250858180123</v>
      </c>
      <c r="AJ27" s="16" t="n">
        <f aca="false">Waterfall!AJ43</f>
        <v>133.502449413312</v>
      </c>
      <c r="AK27" s="16" t="n">
        <f aca="false">Waterfall!AK43</f>
        <v>144.916757846253</v>
      </c>
      <c r="AL27" s="16" t="n">
        <f aca="false">Waterfall!AL43</f>
        <v>155.239091518245</v>
      </c>
      <c r="AM27" s="16" t="n">
        <f aca="false">Waterfall!AM43</f>
        <v>168.875220315966</v>
      </c>
      <c r="AN27" s="16" t="n">
        <f aca="false">Waterfall!AN43</f>
        <v>183.484740812102</v>
      </c>
      <c r="AO27" s="16" t="n">
        <f aca="false">Waterfall!AO43</f>
        <v>199.306754719344</v>
      </c>
      <c r="AP27" s="16" t="n">
        <f aca="false">Waterfall!AP43</f>
        <v>216.803092872133</v>
      </c>
      <c r="AQ27" s="16" t="n">
        <f aca="false">Waterfall!AQ43</f>
        <v>235.855931829535</v>
      </c>
      <c r="AR27" s="16" t="n">
        <f aca="false">Waterfall!AR43</f>
        <v>256.324821004582</v>
      </c>
      <c r="AS27" s="16" t="n">
        <f aca="false">Waterfall!AS43</f>
        <v>278.529633565867</v>
      </c>
      <c r="AT27" s="16" t="n">
        <f aca="false">Waterfall!AT43</f>
        <v>273.053082495145</v>
      </c>
      <c r="AU27" s="16" t="n">
        <f aca="false">Waterfall!AU43</f>
        <v>254.213230134058</v>
      </c>
      <c r="AV27" s="16" t="n">
        <f aca="false">Waterfall!AV43</f>
        <v>235.17942834609</v>
      </c>
      <c r="AW27" s="16" t="n">
        <f aca="false">Waterfall!AW43</f>
        <v>216.685464829359</v>
      </c>
      <c r="AX27" s="16" t="n">
        <f aca="false">Waterfall!AX43</f>
        <v>197.651380969693</v>
      </c>
      <c r="AY27" s="16" t="n">
        <f aca="false">Waterfall!AY43</f>
        <v>179.160707918803</v>
      </c>
      <c r="AZ27" s="16" t="n">
        <f aca="false">Waterfall!AZ43</f>
        <v>160.125545733757</v>
      </c>
      <c r="BA27" s="16" t="n">
        <f aca="false">Waterfall!BA43</f>
        <v>142.044863050731</v>
      </c>
      <c r="BB27" s="16" t="n">
        <f aca="false">Waterfall!BB43</f>
        <v>120.472868723349</v>
      </c>
      <c r="BC27" s="16" t="n">
        <f aca="false">Waterfall!BC43</f>
        <v>105.023793259345</v>
      </c>
      <c r="BD27" s="16" t="n">
        <f aca="false">Waterfall!BD43</f>
        <v>96.0461539052051</v>
      </c>
      <c r="BE27" s="16" t="n">
        <f aca="false">Waterfall!BE43</f>
        <v>87.6431070452526</v>
      </c>
      <c r="BF27" s="16" t="n">
        <f aca="false">Waterfall!BF43</f>
        <v>78.7000873817649</v>
      </c>
      <c r="BG27" s="16" t="n">
        <f aca="false">Waterfall!BG43</f>
        <v>70.3344479700922</v>
      </c>
      <c r="BH27" s="16" t="n">
        <f aca="false">Waterfall!BH43</f>
        <v>61.4241903058812</v>
      </c>
      <c r="BI27" s="16" t="n">
        <f aca="false">Waterfall!BI43</f>
        <v>53.0071811024019</v>
      </c>
      <c r="BJ27" s="16" t="n">
        <f aca="false">Waterfall!BJ43</f>
        <v>24.3996923126579</v>
      </c>
      <c r="BK27" s="16" t="n">
        <f aca="false">Waterfall!BK43</f>
        <v>13.583378273551</v>
      </c>
      <c r="BL27" s="16" t="n">
        <f aca="false">Waterfall!BL43</f>
        <v>1.94519413204512</v>
      </c>
      <c r="BM27" s="16" t="n">
        <f aca="false">Waterfall!BM43</f>
        <v>-48.5872600666697</v>
      </c>
      <c r="BN27" s="16" t="n">
        <f aca="false">Waterfall!BN43</f>
        <v>-48.5872600666697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149.507631647469</v>
      </c>
      <c r="K28" s="11" t="n">
        <f aca="false">K22+K23+K24+K25+K26+K27</f>
        <v>259.626002485557</v>
      </c>
      <c r="L28" s="11" t="n">
        <f aca="false">L22+L23+L24+L25+L26+L27</f>
        <v>473.005914227724</v>
      </c>
      <c r="M28" s="11" t="n">
        <f aca="false">M22+M23+M24+M25+M26+M27</f>
        <v>695.075937534707</v>
      </c>
      <c r="N28" s="11" t="n">
        <f aca="false">N22+N23+N24+N25+N26+N27</f>
        <v>824.264072123405</v>
      </c>
      <c r="O28" s="11" t="n">
        <f aca="false">O22+O23+O24+O25+O26+O27</f>
        <v>999.529064034639</v>
      </c>
      <c r="P28" s="11" t="n">
        <f aca="false">P22+P23+P24+P25+P26+P27</f>
        <v>985.0131952242</v>
      </c>
      <c r="Q28" s="11" t="n">
        <f aca="false">Q22+Q23+Q24+Q25+Q26+Q27</f>
        <v>974.159999031913</v>
      </c>
      <c r="R28" s="11" t="n">
        <f aca="false">R22+R23+R24+R25+R26+R27</f>
        <v>960.743695267915</v>
      </c>
      <c r="S28" s="11" t="n">
        <f aca="false">S22+S23+S24+S25+S26+S27</f>
        <v>949.989022385031</v>
      </c>
      <c r="T28" s="11" t="n">
        <f aca="false">T22+T23+T24+T25+T26+T27</f>
        <v>936.971412424982</v>
      </c>
      <c r="U28" s="11" t="n">
        <f aca="false">U22+U23+U24+U25+U26+U27</f>
        <v>926.02331294281</v>
      </c>
      <c r="V28" s="11" t="n">
        <f aca="false">V22+V23+V24+V25+V26+V27</f>
        <v>909.542782110598</v>
      </c>
      <c r="W28" s="11" t="n">
        <f aca="false">W22+W23+W24+W25+W26+W27</f>
        <v>896.923981852787</v>
      </c>
      <c r="X28" s="11" t="n">
        <f aca="false">X22+X23+X24+X25+X26+X27</f>
        <v>885.641985432454</v>
      </c>
      <c r="Y28" s="11" t="n">
        <f aca="false">Y22+Y23+Y24+Y25+Y26+Y27</f>
        <v>873.959884247377</v>
      </c>
      <c r="Z28" s="11" t="n">
        <f aca="false">Z22+Z23+Z24+Z25+Z26+Z27</f>
        <v>855.112240290185</v>
      </c>
      <c r="AA28" s="11" t="n">
        <f aca="false">AA22+AA23+AA24+AA25+AA26+AA27</f>
        <v>838.701619793556</v>
      </c>
      <c r="AB28" s="11" t="n">
        <f aca="false">AB22+AB23+AB24+AB25+AB26+AB27</f>
        <v>819.362696852245</v>
      </c>
      <c r="AC28" s="11" t="n">
        <f aca="false">AC22+AC23+AC24+AC25+AC26+AC27</f>
        <v>802.191664477437</v>
      </c>
      <c r="AD28" s="11" t="n">
        <f aca="false">AD22+AD23+AD24+AD25+AD26+AD27</f>
        <v>768.974549811659</v>
      </c>
      <c r="AE28" s="11" t="n">
        <f aca="false">AE22+AE23+AE24+AE25+AE26+AE27</f>
        <v>750.816617886046</v>
      </c>
      <c r="AF28" s="11" t="n">
        <f aca="false">AF22+AF23+AF24+AF25+AF26+AF27</f>
        <v>729.514597815033</v>
      </c>
      <c r="AG28" s="11" t="n">
        <f aca="false">AG22+AG23+AG24+AG25+AG26+AG27</f>
        <v>708.819174183891</v>
      </c>
      <c r="AH28" s="11" t="n">
        <f aca="false">AH22+AH23+AH24+AH25+AH26+AH27</f>
        <v>684.99852115916</v>
      </c>
      <c r="AI28" s="11" t="n">
        <f aca="false">AI22+AI23+AI24+AI25+AI26+AI27</f>
        <v>663.185195129315</v>
      </c>
      <c r="AJ28" s="11" t="n">
        <f aca="false">AJ22+AJ23+AJ24+AJ25+AJ26+AJ27</f>
        <v>638.393474300622</v>
      </c>
      <c r="AK28" s="11" t="n">
        <f aca="false">AK22+AK23+AK24+AK25+AK26+AK27</f>
        <v>614.44468878146</v>
      </c>
      <c r="AL28" s="11" t="n">
        <f aca="false">AL22+AL23+AL24+AL25+AL26+AL27</f>
        <v>583.664692100204</v>
      </c>
      <c r="AM28" s="11" t="n">
        <f aca="false">AM22+AM23+AM24+AM25+AM26+AM27</f>
        <v>554.081155144976</v>
      </c>
      <c r="AN28" s="11" t="n">
        <f aca="false">AN22+AN23+AN24+AN25+AN26+AN27</f>
        <v>531.425775419157</v>
      </c>
      <c r="AO28" s="11" t="n">
        <f aca="false">AO22+AO23+AO24+AO25+AO26+AO27</f>
        <v>491.994640067093</v>
      </c>
      <c r="AP28" s="11" t="n">
        <f aca="false">AP22+AP23+AP24+AP25+AP26+AP27</f>
        <v>475.20891078032</v>
      </c>
      <c r="AQ28" s="11" t="n">
        <f aca="false">AQ22+AQ23+AQ24+AQ25+AQ26+AQ27</f>
        <v>460.689068255168</v>
      </c>
      <c r="AR28" s="11" t="n">
        <f aca="false">AR22+AR23+AR24+AR25+AR26+AR27</f>
        <v>444.2501254757</v>
      </c>
      <c r="AS28" s="11" t="n">
        <f aca="false">AS22+AS23+AS24+AS25+AS26+AS27</f>
        <v>428.898053758026</v>
      </c>
      <c r="AT28" s="11" t="n">
        <f aca="false">AT22+AT23+AT24+AT25+AT26+AT27</f>
        <v>394.815014636089</v>
      </c>
      <c r="AU28" s="11" t="n">
        <f aca="false">AU22+AU23+AU24+AU25+AU26+AU27</f>
        <v>378.634347609299</v>
      </c>
      <c r="AV28" s="11" t="n">
        <f aca="false">AV22+AV23+AV24+AV25+AV26+AV27</f>
        <v>361.307111849234</v>
      </c>
      <c r="AW28" s="11" t="n">
        <f aca="false">AW22+AW23+AW24+AW25+AW26+AW27</f>
        <v>344.923428969066</v>
      </c>
      <c r="AX28" s="11" t="n">
        <f aca="false">AX22+AX23+AX24+AX25+AX26+AX27</f>
        <v>326.327262873176</v>
      </c>
      <c r="AY28" s="11" t="n">
        <f aca="false">AY22+AY23+AY24+AY25+AY26+AY27</f>
        <v>310.153013959022</v>
      </c>
      <c r="AZ28" s="11" t="n">
        <f aca="false">AZ22+AZ23+AZ24+AZ25+AZ26+AZ27</f>
        <v>291.931330710907</v>
      </c>
      <c r="BA28" s="11" t="n">
        <f aca="false">BA22+BA23+BA24+BA25+BA26+BA27</f>
        <v>275.567538926684</v>
      </c>
      <c r="BB28" s="11" t="n">
        <f aca="false">BB22+BB23+BB24+BB25+BB26+BB27</f>
        <v>254.083856621258</v>
      </c>
      <c r="BC28" s="11" t="n">
        <f aca="false">BC22+BC23+BC24+BC25+BC26+BC27</f>
        <v>239.126414815312</v>
      </c>
      <c r="BD28" s="11" t="n">
        <f aca="false">BD22+BD23+BD24+BD25+BD26+BD27</f>
        <v>225.152207791825</v>
      </c>
      <c r="BE28" s="11" t="n">
        <f aca="false">BE22+BE23+BE24+BE25+BE26+BE27</f>
        <v>212.619666859265</v>
      </c>
      <c r="BF28" s="11" t="n">
        <f aca="false">BF22+BF23+BF24+BF25+BF26+BF27</f>
        <v>197.73979052728</v>
      </c>
      <c r="BG28" s="11" t="n">
        <f aca="false">BG22+BG23+BG24+BG25+BG26+BG27</f>
        <v>185.467542685624</v>
      </c>
      <c r="BH28" s="11" t="n">
        <f aca="false">BH22+BH23+BH24+BH25+BH26+BH27</f>
        <v>171.026534995497</v>
      </c>
      <c r="BI28" s="11" t="n">
        <f aca="false">BI22+BI23+BI24+BI25+BI26+BI27</f>
        <v>157.827050869432</v>
      </c>
      <c r="BJ28" s="11" t="n">
        <f aca="false">BJ22+BJ23+BJ24+BJ25+BJ26+BJ27</f>
        <v>122.464180378029</v>
      </c>
      <c r="BK28" s="11" t="n">
        <f aca="false">BK22+BK23+BK24+BK25+BK26+BK27</f>
        <v>108.247853499266</v>
      </c>
      <c r="BL28" s="11" t="n">
        <f aca="false">BL22+BL23+BL24+BL25+BL26+BL27</f>
        <v>92.0981210320779</v>
      </c>
      <c r="BM28" s="11" t="n">
        <f aca="false">BM22+BM23+BM24+BM25+BM26+BM27</f>
        <v>0</v>
      </c>
      <c r="BN28" s="11" t="n">
        <f aca="false">BN22+BN23+BN24+BN25+BN26+BN27</f>
        <v>0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0.034429605795626</v>
      </c>
      <c r="Q7" s="14" t="n">
        <f aca="false">IF(Debt!Q122&gt;0.000000001,Debt!Q119/Debt!Q122,0)</f>
        <v>0.034075098760112</v>
      </c>
      <c r="R7" s="14" t="n">
        <f aca="false">IF(Debt!R122&gt;0.000000001,Debt!R119/Debt!R122,0)</f>
        <v>0.034461469872758</v>
      </c>
      <c r="S7" s="14" t="n">
        <f aca="false">IF(Debt!S122&gt;0.000000001,Debt!S119/Debt!S122,0)</f>
        <v>0.0340907710371797</v>
      </c>
      <c r="T7" s="14" t="n">
        <f aca="false">IF(Debt!T122&gt;0.000000001,Debt!T119/Debt!T122,0)</f>
        <v>0.034477401911324</v>
      </c>
      <c r="U7" s="14" t="n">
        <f aca="false">IF(Debt!U122&gt;0.000000001,Debt!U119/Debt!U122,0)</f>
        <v>0.0342196479952277</v>
      </c>
      <c r="V7" s="14" t="n">
        <f aca="false">IF(Debt!V122&gt;0.000000001,Debt!V119/Debt!V122,0)</f>
        <v>0.034477401911324</v>
      </c>
      <c r="W7" s="14" t="n">
        <f aca="false">IF(Debt!W122&gt;0.000000001,Debt!W119/Debt!W122,0)</f>
        <v>0.0340907710371797</v>
      </c>
      <c r="X7" s="14" t="n">
        <f aca="false">IF(Debt!X122&gt;0.000000001,Debt!X119/Debt!X122,0)</f>
        <v>0.034477401911324</v>
      </c>
      <c r="Y7" s="14" t="n">
        <f aca="false">IF(Debt!Y122&gt;0.000000001,Debt!Y119/Debt!Y122,0)</f>
        <v>0.0351521907902661</v>
      </c>
      <c r="Z7" s="14" t="n">
        <f aca="false">IF(Debt!Z122&gt;0.000000001,Debt!Z119/Debt!Z122,0)</f>
        <v>0.035556414257003</v>
      </c>
      <c r="AA7" s="14" t="n">
        <f aca="false">IF(Debt!AA122&gt;0.000000001,Debt!AA119/Debt!AA122,0)</f>
        <v>0.0351521907902661</v>
      </c>
      <c r="AB7" s="14" t="n">
        <f aca="false">IF(Debt!AB122&gt;0.000000001,Debt!AB119/Debt!AB122,0)</f>
        <v>0.0354215134842076</v>
      </c>
      <c r="AC7" s="14" t="n">
        <f aca="false">IF(Debt!AC122&gt;0.000000001,Debt!AC119/Debt!AC122,0)</f>
        <v>0.0349842867741365</v>
      </c>
      <c r="AD7" s="14" t="n">
        <f aca="false">IF(Debt!AD122&gt;0.000000001,Debt!AD119/Debt!AD122,0)</f>
        <v>0.0350769572724721</v>
      </c>
      <c r="AE7" s="14" t="n">
        <f aca="false">IF(Debt!AE122&gt;0.000000001,Debt!AE119/Debt!AE122,0)</f>
        <v>0.0344565871881519</v>
      </c>
      <c r="AF7" s="14" t="n">
        <f aca="false">IF(Debt!AF122&gt;0.000000001,Debt!AF119/Debt!AF122,0)</f>
        <v>0.0345525999030483</v>
      </c>
      <c r="AG7" s="14" t="n">
        <f aca="false">IF(Debt!AG122&gt;0.000000001,Debt!AG119/Debt!AG122,0)</f>
        <v>0.0347067717836906</v>
      </c>
      <c r="AH7" s="14" t="n">
        <f aca="false">IF(Debt!AH122&gt;0.000000001,Debt!AH119/Debt!AH122,0)</f>
        <v>0.0345862234280303</v>
      </c>
      <c r="AI7" s="14" t="n">
        <f aca="false">IF(Debt!AI122&gt;0.000000001,Debt!AI119/Debt!AI122,0)</f>
        <v>0.0335411263516607</v>
      </c>
      <c r="AJ7" s="14" t="n">
        <f aca="false">IF(Debt!AJ122&gt;0.000000001,Debt!AJ119/Debt!AJ122,0)</f>
        <v>0.0329467645664883</v>
      </c>
      <c r="AK7" s="14" t="n">
        <f aca="false">IF(Debt!AK122&gt;0.000000001,Debt!AK119/Debt!AK122,0)</f>
        <v>0.0312765917846491</v>
      </c>
      <c r="AL7" s="14" t="n">
        <f aca="false">IF(Debt!AL122&gt;0.000000001,Debt!AL119/Debt!AL122,0)</f>
        <v>0.0289583145803029</v>
      </c>
      <c r="AM7" s="14" t="n">
        <f aca="false">IF(Debt!AM122&gt;0.000000001,Debt!AM119/Debt!AM122,0)</f>
        <v>0.0271186013166297</v>
      </c>
      <c r="AN7" s="14" t="n">
        <f aca="false">IF(Debt!AN122&gt;0.000000001,Debt!AN119/Debt!AN122,0)</f>
        <v>0.0272803235903555</v>
      </c>
      <c r="AO7" s="14" t="n">
        <f aca="false">IF(Debt!AO122&gt;0.000000001,Debt!AO119/Debt!AO122,0)</f>
        <v>0.0271186013166296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0.0271186013166296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0.0271186013166296</v>
      </c>
      <c r="K10" s="14" t="n">
        <f aca="false">IF(K7&gt;0,K7,$F$9)</f>
        <v>0.0271186013166296</v>
      </c>
      <c r="L10" s="14" t="n">
        <f aca="false">IF(L7&gt;0,L7,$F$9)</f>
        <v>0.0271186013166296</v>
      </c>
      <c r="M10" s="14" t="n">
        <f aca="false">IF(M7&gt;0,M7,$F$9)</f>
        <v>0.0271186013166296</v>
      </c>
      <c r="N10" s="14" t="n">
        <f aca="false">IF(N7&gt;0,N7,$F$9)</f>
        <v>0.0271186013166296</v>
      </c>
      <c r="O10" s="14" t="n">
        <f aca="false">IF(O7&gt;0,O7,$F$9)</f>
        <v>0.0271186013166296</v>
      </c>
      <c r="P10" s="14" t="n">
        <f aca="false">IF(P7&gt;0,P7,$F$9)</f>
        <v>0.034429605795626</v>
      </c>
      <c r="Q10" s="14" t="n">
        <f aca="false">IF(Q7&gt;0,Q7,$F$9)</f>
        <v>0.034075098760112</v>
      </c>
      <c r="R10" s="14" t="n">
        <f aca="false">IF(R7&gt;0,R7,$F$9)</f>
        <v>0.034461469872758</v>
      </c>
      <c r="S10" s="14" t="n">
        <f aca="false">IF(S7&gt;0,S7,$F$9)</f>
        <v>0.0340907710371797</v>
      </c>
      <c r="T10" s="14" t="n">
        <f aca="false">IF(T7&gt;0,T7,$F$9)</f>
        <v>0.034477401911324</v>
      </c>
      <c r="U10" s="14" t="n">
        <f aca="false">IF(U7&gt;0,U7,$F$9)</f>
        <v>0.0342196479952277</v>
      </c>
      <c r="V10" s="14" t="n">
        <f aca="false">IF(V7&gt;0,V7,$F$9)</f>
        <v>0.034477401911324</v>
      </c>
      <c r="W10" s="14" t="n">
        <f aca="false">IF(W7&gt;0,W7,$F$9)</f>
        <v>0.0340907710371797</v>
      </c>
      <c r="X10" s="14" t="n">
        <f aca="false">IF(X7&gt;0,X7,$F$9)</f>
        <v>0.034477401911324</v>
      </c>
      <c r="Y10" s="14" t="n">
        <f aca="false">IF(Y7&gt;0,Y7,$F$9)</f>
        <v>0.0351521907902661</v>
      </c>
      <c r="Z10" s="14" t="n">
        <f aca="false">IF(Z7&gt;0,Z7,$F$9)</f>
        <v>0.035556414257003</v>
      </c>
      <c r="AA10" s="14" t="n">
        <f aca="false">IF(AA7&gt;0,AA7,$F$9)</f>
        <v>0.0351521907902661</v>
      </c>
      <c r="AB10" s="14" t="n">
        <f aca="false">IF(AB7&gt;0,AB7,$F$9)</f>
        <v>0.0354215134842076</v>
      </c>
      <c r="AC10" s="14" t="n">
        <f aca="false">IF(AC7&gt;0,AC7,$F$9)</f>
        <v>0.0349842867741365</v>
      </c>
      <c r="AD10" s="14" t="n">
        <f aca="false">IF(AD7&gt;0,AD7,$F$9)</f>
        <v>0.0350769572724721</v>
      </c>
      <c r="AE10" s="14" t="n">
        <f aca="false">IF(AE7&gt;0,AE7,$F$9)</f>
        <v>0.0344565871881519</v>
      </c>
      <c r="AF10" s="14" t="n">
        <f aca="false">IF(AF7&gt;0,AF7,$F$9)</f>
        <v>0.0345525999030483</v>
      </c>
      <c r="AG10" s="14" t="n">
        <f aca="false">IF(AG7&gt;0,AG7,$F$9)</f>
        <v>0.0347067717836906</v>
      </c>
      <c r="AH10" s="14" t="n">
        <f aca="false">IF(AH7&gt;0,AH7,$F$9)</f>
        <v>0.0345862234280303</v>
      </c>
      <c r="AI10" s="14" t="n">
        <f aca="false">IF(AI7&gt;0,AI7,$F$9)</f>
        <v>0.0335411263516607</v>
      </c>
      <c r="AJ10" s="14" t="n">
        <f aca="false">IF(AJ7&gt;0,AJ7,$F$9)</f>
        <v>0.0329467645664883</v>
      </c>
      <c r="AK10" s="14" t="n">
        <f aca="false">IF(AK7&gt;0,AK7,$F$9)</f>
        <v>0.0312765917846491</v>
      </c>
      <c r="AL10" s="14" t="n">
        <f aca="false">IF(AL7&gt;0,AL7,$F$9)</f>
        <v>0.0289583145803029</v>
      </c>
      <c r="AM10" s="14" t="n">
        <f aca="false">IF(AM7&gt;0,AM7,$F$9)</f>
        <v>0.0271186013166297</v>
      </c>
      <c r="AN10" s="14" t="n">
        <f aca="false">IF(AN7&gt;0,AN7,$F$9)</f>
        <v>0.0272803235903555</v>
      </c>
      <c r="AO10" s="14" t="n">
        <f aca="false">IF(AO7&gt;0,AO7,$F$9)</f>
        <v>0.0271186013166296</v>
      </c>
      <c r="AP10" s="14" t="n">
        <f aca="false">IF(AP7&gt;0,AP7,$F$9)</f>
        <v>0.0271186013166296</v>
      </c>
      <c r="AQ10" s="14" t="n">
        <f aca="false">IF(AQ7&gt;0,AQ7,$F$9)</f>
        <v>0.0271186013166296</v>
      </c>
      <c r="AR10" s="14" t="n">
        <f aca="false">IF(AR7&gt;0,AR7,$F$9)</f>
        <v>0.0271186013166296</v>
      </c>
      <c r="AS10" s="14" t="n">
        <f aca="false">IF(AS7&gt;0,AS7,$F$9)</f>
        <v>0.0271186013166296</v>
      </c>
      <c r="AT10" s="14" t="n">
        <f aca="false">IF(AT7&gt;0,AT7,$F$9)</f>
        <v>0.0271186013166296</v>
      </c>
      <c r="AU10" s="14" t="n">
        <f aca="false">IF(AU7&gt;0,AU7,$F$9)</f>
        <v>0.0271186013166296</v>
      </c>
      <c r="AV10" s="14" t="n">
        <f aca="false">IF(AV7&gt;0,AV7,$F$9)</f>
        <v>0.0271186013166296</v>
      </c>
      <c r="AW10" s="14" t="n">
        <f aca="false">IF(AW7&gt;0,AW7,$F$9)</f>
        <v>0.0271186013166296</v>
      </c>
      <c r="AX10" s="14" t="n">
        <f aca="false">IF(AX7&gt;0,AX7,$F$9)</f>
        <v>0.0271186013166296</v>
      </c>
      <c r="AY10" s="14" t="n">
        <f aca="false">IF(AY7&gt;0,AY7,$F$9)</f>
        <v>0.0271186013166296</v>
      </c>
      <c r="AZ10" s="14" t="n">
        <f aca="false">IF(AZ7&gt;0,AZ7,$F$9)</f>
        <v>0.0271186013166296</v>
      </c>
      <c r="BA10" s="14" t="n">
        <f aca="false">IF(BA7&gt;0,BA7,$F$9)</f>
        <v>0.0271186013166296</v>
      </c>
      <c r="BB10" s="14" t="n">
        <f aca="false">IF(BB7&gt;0,BB7,$F$9)</f>
        <v>0.0271186013166296</v>
      </c>
      <c r="BC10" s="14" t="n">
        <f aca="false">IF(BC7&gt;0,BC7,$F$9)</f>
        <v>0.0271186013166296</v>
      </c>
      <c r="BD10" s="14" t="n">
        <f aca="false">IF(BD7&gt;0,BD7,$F$9)</f>
        <v>0.0271186013166296</v>
      </c>
      <c r="BE10" s="14" t="n">
        <f aca="false">IF(BE7&gt;0,BE7,$F$9)</f>
        <v>0.0271186013166296</v>
      </c>
      <c r="BF10" s="14" t="n">
        <f aca="false">IF(BF7&gt;0,BF7,$F$9)</f>
        <v>0.0271186013166296</v>
      </c>
      <c r="BG10" s="14" t="n">
        <f aca="false">IF(BG7&gt;0,BG7,$F$9)</f>
        <v>0.0271186013166296</v>
      </c>
      <c r="BH10" s="14" t="n">
        <f aca="false">IF(BH7&gt;0,BH7,$F$9)</f>
        <v>0.0271186013166296</v>
      </c>
      <c r="BI10" s="14" t="n">
        <f aca="false">IF(BI7&gt;0,BI7,$F$9)</f>
        <v>0.0271186013166296</v>
      </c>
      <c r="BJ10" s="14" t="n">
        <f aca="false">IF(BJ7&gt;0,BJ7,$F$9)</f>
        <v>0.0271186013166296</v>
      </c>
      <c r="BK10" s="14" t="n">
        <f aca="false">IF(BK7&gt;0,BK7,$F$9)</f>
        <v>0.0271186013166296</v>
      </c>
      <c r="BL10" s="14" t="n">
        <f aca="false">IF(BL7&gt;0,BL7,$F$9)</f>
        <v>0.0271186013166296</v>
      </c>
      <c r="BM10" s="14" t="n">
        <f aca="false">IF(BM7&gt;0,BM7,$F$9)</f>
        <v>0.0271186013166296</v>
      </c>
      <c r="BN10" s="14" t="n">
        <f aca="false">IF(BN7&gt;0,BN7,$F$9)</f>
        <v>0.0271186013166296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739.545494757779</v>
      </c>
      <c r="K11" s="11" t="n">
        <f aca="false">IF(Time!K17&lt;=$F$8,(Waterfall!K7+L11)/(1+K10),0)</f>
        <v>759.600934185625</v>
      </c>
      <c r="L11" s="11" t="n">
        <f aca="false">IF(Time!L17&lt;=$F$8,(Waterfall!L7+M11)/(1+L10),0)</f>
        <v>780.200249079544</v>
      </c>
      <c r="M11" s="11" t="n">
        <f aca="false">IF(Time!M17&lt;=$F$8,(Waterfall!M7+N11)/(1+M10),0)</f>
        <v>801.358188581467</v>
      </c>
      <c r="N11" s="11" t="n">
        <f aca="false">IF(Time!N17&lt;=$F$8,(Waterfall!N7+O11)/(1+N10),0)</f>
        <v>823.089901809424</v>
      </c>
      <c r="O11" s="11" t="n">
        <f aca="false">IF(Time!O17&lt;=$F$8,(Waterfall!O7+P11)/(1+O10),0)</f>
        <v>845.410948704338</v>
      </c>
      <c r="P11" s="11" t="n">
        <f aca="false">IF(Time!P17&lt;=$F$8,(Waterfall!P7+Q11)/(1+P10),0)</f>
        <v>866.465063973141</v>
      </c>
      <c r="Q11" s="11" t="n">
        <f aca="false">IF(Time!Q17&lt;=$F$8,(Waterfall!Q7+R11)/(1+Q10),0)</f>
        <v>846.025020290151</v>
      </c>
      <c r="R11" s="11" t="n">
        <f aca="false">IF(Time!R17&lt;=$F$8,(Waterfall!R7+S11)/(1+R10),0)</f>
        <v>824.692709334787</v>
      </c>
      <c r="S11" s="11" t="n">
        <f aca="false">IF(Time!S17&lt;=$F$8,(Waterfall!S7+T11)/(1+S10),0)</f>
        <v>802.319372418751</v>
      </c>
      <c r="T11" s="11" t="n">
        <f aca="false">IF(Time!T17&lt;=$F$8,(Waterfall!T7+U11)/(1+T10),0)</f>
        <v>779.27108657388</v>
      </c>
      <c r="U11" s="11" t="n">
        <f aca="false">IF(Time!U17&lt;=$F$8,(Waterfall!U7+V11)/(1+U10),0)</f>
        <v>755.174185013582</v>
      </c>
      <c r="V11" s="11" t="n">
        <f aca="false">IF(Time!V17&lt;=$F$8,(Waterfall!V7+W11)/(1+V10),0)</f>
        <v>730.295544576947</v>
      </c>
      <c r="W11" s="11" t="n">
        <f aca="false">IF(Time!W17&lt;=$F$8,(Waterfall!W7+X11)/(1+W10),0)</f>
        <v>703.785545259593</v>
      </c>
      <c r="X11" s="11" t="n">
        <f aca="false">IF(Time!X17&lt;=$F$8,(Waterfall!X7+Y11)/(1+X10),0)</f>
        <v>676.446780114127</v>
      </c>
      <c r="Y11" s="11" t="n">
        <f aca="false">IF(Time!Y17&lt;=$F$8,(Waterfall!Y7+Z11)/(1+Y10),0)</f>
        <v>649.91773426906</v>
      </c>
      <c r="Z11" s="11" t="n">
        <f aca="false">IF(Time!Z17&lt;=$F$8,(Waterfall!Z7+AA11)/(1+Z10),0)</f>
        <v>623.393737198925</v>
      </c>
      <c r="AA11" s="11" t="n">
        <f aca="false">IF(Time!AA17&lt;=$F$8,(Waterfall!AA7+AB11)/(1+AA10),0)</f>
        <v>595.783042963838</v>
      </c>
      <c r="AB11" s="11" t="n">
        <f aca="false">IF(Time!AB17&lt;=$F$8,(Waterfall!AB7+AC11)/(1+AB10),0)</f>
        <v>567.350834227915</v>
      </c>
      <c r="AC11" s="11" t="n">
        <f aca="false">IF(Time!AC17&lt;=$F$8,(Waterfall!AC7+AD11)/(1+AC10),0)</f>
        <v>537.490848796314</v>
      </c>
      <c r="AD11" s="11" t="n">
        <f aca="false">IF(Time!AD17&lt;=$F$8,(Waterfall!AD7+AE11)/(1+AD10),0)</f>
        <v>506.543128346389</v>
      </c>
      <c r="AE11" s="11" t="n">
        <f aca="false">IF(Time!AE17&lt;=$F$8,(Waterfall!AE7+AF11)/(1+AE10),0)</f>
        <v>472.64857733332</v>
      </c>
      <c r="AF11" s="11" t="n">
        <f aca="false">IF(Time!AF17&lt;=$F$8,(Waterfall!AF7+AG11)/(1+AF10),0)</f>
        <v>437.188602309895</v>
      </c>
      <c r="AG11" s="11" t="n">
        <f aca="false">IF(Time!AG17&lt;=$F$8,(Waterfall!AG7+AH11)/(1+AG10),0)</f>
        <v>400.387919514889</v>
      </c>
      <c r="AH11" s="11" t="n">
        <f aca="false">IF(Time!AH17&lt;=$F$8,(Waterfall!AH7+AI11)/(1+AH10),0)</f>
        <v>362.744812510532</v>
      </c>
      <c r="AI11" s="11" t="n">
        <f aca="false">IF(Time!AI17&lt;=$F$8,(Waterfall!AI7+AJ11)/(1+AI10),0)</f>
        <v>323.082040965197</v>
      </c>
      <c r="AJ11" s="11" t="n">
        <f aca="false">IF(Time!AJ17&lt;=$F$8,(Waterfall!AJ7+AK11)/(1+AJ10),0)</f>
        <v>282.117335772645</v>
      </c>
      <c r="AK11" s="11" t="n">
        <f aca="false">IF(Time!AK17&lt;=$F$8,(Waterfall!AK7+AL11)/(1+AK10),0)</f>
        <v>239.009590925832</v>
      </c>
      <c r="AL11" s="11" t="n">
        <f aca="false">IF(Time!AL17&lt;=$F$8,(Waterfall!AL7+AM11)/(1+AL10),0)</f>
        <v>194.32046339306</v>
      </c>
      <c r="AM11" s="11" t="n">
        <f aca="false">IF(Time!AM17&lt;=$F$8,(Waterfall!AM7+AN11)/(1+AM10),0)</f>
        <v>146.672080489968</v>
      </c>
      <c r="AN11" s="11" t="n">
        <f aca="false">IF(Time!AN17&lt;=$F$8,(Waterfall!AN7+AO11)/(1+AN10),0)</f>
        <v>97.7499171374463</v>
      </c>
      <c r="AO11" s="11" t="n">
        <f aca="false">IF(Time!AO17&lt;=$F$8,(Waterfall!AO7+AP11)/(1+AO10),0)</f>
        <v>49.3529433555047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1020.86240146651</v>
      </c>
      <c r="K12" s="11" t="n">
        <f aca="false">IF(Time!K17&lt;=Time!$F$14,(Waterfall!K7+L12)/(1+K10),0)</f>
        <v>1048.54676193101</v>
      </c>
      <c r="L12" s="11" t="n">
        <f aca="false">IF(Time!L17&lt;=Time!$F$14,(Waterfall!L7+M12)/(1+L10),0)</f>
        <v>1076.98188352966</v>
      </c>
      <c r="M12" s="11" t="n">
        <f aca="false">IF(Time!M17&lt;=Time!$F$14,(Waterfall!M7+N12)/(1+M10),0)</f>
        <v>1106.18812585434</v>
      </c>
      <c r="N12" s="11" t="n">
        <f aca="false">IF(Time!N17&lt;=Time!$F$14,(Waterfall!N7+O12)/(1+N10),0)</f>
        <v>1136.18640062057</v>
      </c>
      <c r="O12" s="11" t="n">
        <f aca="false">IF(Time!O17&lt;=Time!$F$14,(Waterfall!O7+P12)/(1+O10),0)</f>
        <v>1166.99818664038</v>
      </c>
      <c r="P12" s="11" t="n">
        <f aca="false">IF(Time!P17&lt;=Time!$F$14,(Waterfall!P7+Q12)/(1+P10),0)</f>
        <v>1196.77329800328</v>
      </c>
      <c r="Q12" s="11" t="n">
        <f aca="false">IF(Time!Q17&lt;=Time!$F$14,(Waterfall!Q7+R12)/(1+Q10),0)</f>
        <v>1187.705636609</v>
      </c>
      <c r="R12" s="11" t="n">
        <f aca="false">IF(Time!R17&lt;=Time!$F$14,(Waterfall!R7+S12)/(1+R10),0)</f>
        <v>1178.01612639912</v>
      </c>
      <c r="S12" s="11" t="n">
        <f aca="false">IF(Time!S17&lt;=Time!$F$14,(Waterfall!S7+T12)/(1+S10),0)</f>
        <v>1167.81883377558</v>
      </c>
      <c r="T12" s="11" t="n">
        <f aca="false">IF(Time!T17&lt;=Time!$F$14,(Waterfall!T7+U12)/(1+T10),0)</f>
        <v>1157.23070638204</v>
      </c>
      <c r="U12" s="11" t="n">
        <f aca="false">IF(Time!U17&lt;=Time!$F$14,(Waterfall!U7+V12)/(1+U10),0)</f>
        <v>1146.16487054012</v>
      </c>
      <c r="V12" s="11" t="n">
        <f aca="false">IF(Time!V17&lt;=Time!$F$14,(Waterfall!V7+W12)/(1+V10),0)</f>
        <v>1134.66579373161</v>
      </c>
      <c r="W12" s="11" t="n">
        <f aca="false">IF(Time!W17&lt;=Time!$F$14,(Waterfall!W7+X12)/(1+W10),0)</f>
        <v>1122.09743001535</v>
      </c>
      <c r="X12" s="11" t="n">
        <f aca="false">IF(Time!X17&lt;=Time!$F$14,(Waterfall!X7+Y12)/(1+X10),0)</f>
        <v>1109.01923955522</v>
      </c>
      <c r="Y12" s="11" t="n">
        <f aca="false">IF(Time!Y17&lt;=Time!$F$14,(Waterfall!Y7+Z12)/(1+Y10),0)</f>
        <v>1097.40416825008</v>
      </c>
      <c r="Z12" s="11" t="n">
        <f aca="false">IF(Time!Z17&lt;=Time!$F$14,(Waterfall!Z7+AA12)/(1+Z10),0)</f>
        <v>1086.6102996833</v>
      </c>
      <c r="AA12" s="11" t="n">
        <f aca="false">IF(Time!AA17&lt;=Time!$F$14,(Waterfall!AA7+AB12)/(1+AA10),0)</f>
        <v>1075.46992543461</v>
      </c>
      <c r="AB12" s="11" t="n">
        <f aca="false">IF(Time!AB17&lt;=Time!$F$14,(Waterfall!AB7+AC12)/(1+AB10),0)</f>
        <v>1063.89976151089</v>
      </c>
      <c r="AC12" s="11" t="n">
        <f aca="false">IF(Time!AC17&lt;=Time!$F$14,(Waterfall!AC7+AD12)/(1+AC10),0)</f>
        <v>1051.62829060261</v>
      </c>
      <c r="AD12" s="11" t="n">
        <f aca="false">IF(Time!AD17&lt;=Time!$F$14,(Waterfall!AD7+AE12)/(1+AD10),0)</f>
        <v>1038.66730185816</v>
      </c>
      <c r="AE12" s="11" t="n">
        <f aca="false">IF(Time!AE17&lt;=Time!$F$14,(Waterfall!AE7+AF12)/(1+AE10),0)</f>
        <v>1023.43804774301</v>
      </c>
      <c r="AF12" s="11" t="n">
        <f aca="false">IF(Time!AF17&lt;=Time!$F$14,(Waterfall!AF7+AG12)/(1+AF10),0)</f>
        <v>1006.95639812907</v>
      </c>
      <c r="AG12" s="11" t="n">
        <f aca="false">IF(Time!AG17&lt;=Time!$F$14,(Waterfall!AG7+AH12)/(1+AG10),0)</f>
        <v>989.842674020647</v>
      </c>
      <c r="AH12" s="11" t="n">
        <f aca="false">IF(Time!AH17&lt;=Time!$F$14,(Waterfall!AH7+AI12)/(1+AH10),0)</f>
        <v>972.657638657733</v>
      </c>
      <c r="AI12" s="11" t="n">
        <f aca="false">IF(Time!AI17&lt;=Time!$F$14,(Waterfall!AI7+AJ12)/(1+AI10),0)</f>
        <v>954.089448389146</v>
      </c>
      <c r="AJ12" s="11" t="n">
        <f aca="false">IF(Time!AJ17&lt;=Time!$F$14,(Waterfall!AJ7+AK12)/(1+AJ10),0)</f>
        <v>934.289442377835</v>
      </c>
      <c r="AK12" s="11" t="n">
        <f aca="false">IF(Time!AK17&lt;=Time!$F$14,(Waterfall!AK7+AL12)/(1+AK10),0)</f>
        <v>912.668658384174</v>
      </c>
      <c r="AL12" s="11" t="n">
        <f aca="false">IF(Time!AL17&lt;=Time!$F$14,(Waterfall!AL7+AM12)/(1+AL10),0)</f>
        <v>889.049290506324</v>
      </c>
      <c r="AM12" s="11" t="n">
        <f aca="false">IF(Time!AM17&lt;=Time!$F$14,(Waterfall!AM7+AN12)/(1+AM10),0)</f>
        <v>861.519083526782</v>
      </c>
      <c r="AN12" s="11" t="n">
        <f aca="false">IF(Time!AN17&lt;=Time!$F$14,(Waterfall!AN7+AO12)/(1+AN10),0)</f>
        <v>831.982571052004</v>
      </c>
      <c r="AO12" s="11" t="n">
        <f aca="false">IF(Time!AO17&lt;=Time!$F$14,(Waterfall!AO7+AP12)/(1+AO10),0)</f>
        <v>803.615701659457</v>
      </c>
      <c r="AP12" s="11" t="n">
        <f aca="false">IF(Time!AP17&lt;=Time!$F$14,(Waterfall!AP7+AQ12)/(1+AP10),0)</f>
        <v>774.717309334379</v>
      </c>
      <c r="AQ12" s="11" t="n">
        <f aca="false">IF(Time!AQ17&lt;=Time!$F$14,(Waterfall!AQ7+AR12)/(1+AQ10),0)</f>
        <v>744.336362139135</v>
      </c>
      <c r="AR12" s="11" t="n">
        <f aca="false">IF(Time!AR17&lt;=Time!$F$14,(Waterfall!AR7+AS12)/(1+AR10),0)</f>
        <v>713.546045046503</v>
      </c>
      <c r="AS12" s="11" t="n">
        <f aca="false">IF(Time!AS17&lt;=Time!$F$14,(Waterfall!AS7+AT12)/(1+AS10),0)</f>
        <v>681.297513785438</v>
      </c>
      <c r="AT12" s="11" t="n">
        <f aca="false">IF(Time!AT17&lt;=Time!$F$14,(Waterfall!AT7+AU12)/(1+AT10),0)</f>
        <v>648.363822516668</v>
      </c>
      <c r="AU12" s="11" t="n">
        <f aca="false">IF(Time!AU17&lt;=Time!$F$14,(Waterfall!AU7+AV12)/(1+AU10),0)</f>
        <v>612.629010501992</v>
      </c>
      <c r="AV12" s="11" t="n">
        <f aca="false">IF(Time!AV17&lt;=Time!$F$14,(Waterfall!AV7+AW12)/(1+AV10),0)</f>
        <v>584.869360453351</v>
      </c>
      <c r="AW12" s="11" t="n">
        <f aca="false">IF(Time!AW17&lt;=Time!$F$14,(Waterfall!AW7+AX12)/(1+AW10),0)</f>
        <v>556.233408718846</v>
      </c>
      <c r="AX12" s="11" t="n">
        <f aca="false">IF(Time!AX17&lt;=Time!$F$14,(Waterfall!AX7+AY12)/(1+AX10),0)</f>
        <v>527.245274813868</v>
      </c>
      <c r="AY12" s="11" t="n">
        <f aca="false">IF(Time!AY17&lt;=Time!$F$14,(Waterfall!AY7+AZ12)/(1+AY10),0)</f>
        <v>496.796183232267</v>
      </c>
      <c r="AZ12" s="11" t="n">
        <f aca="false">IF(Time!AZ17&lt;=Time!$F$14,(Waterfall!AZ7+BA12)/(1+AZ10),0)</f>
        <v>465.978277362165</v>
      </c>
      <c r="BA12" s="11" t="n">
        <f aca="false">IF(Time!BA17&lt;=Time!$F$14,(Waterfall!BA7+BB12)/(1+BA10),0)</f>
        <v>433.706742849456</v>
      </c>
      <c r="BB12" s="11" t="n">
        <f aca="false">IF(Time!BB17&lt;=Time!$F$14,(Waterfall!BB7+BC12)/(1+BB10),0)</f>
        <v>400.857693789872</v>
      </c>
      <c r="BC12" s="11" t="n">
        <f aca="false">IF(Time!BC17&lt;=Time!$F$14,(Waterfall!BC7+BD12)/(1+BC10),0)</f>
        <v>364.870662591319</v>
      </c>
      <c r="BD12" s="11" t="n">
        <f aca="false">IF(Time!BD17&lt;=Time!$F$14,(Waterfall!BD7+BE12)/(1+BD10),0)</f>
        <v>331.489442419628</v>
      </c>
      <c r="BE12" s="11" t="n">
        <f aca="false">IF(Time!BE17&lt;=Time!$F$14,(Waterfall!BE7+BF12)/(1+BE10),0)</f>
        <v>303.667419812034</v>
      </c>
      <c r="BF12" s="11" t="n">
        <f aca="false">IF(Time!BF17&lt;=Time!$F$14,(Waterfall!BF7+BG12)/(1+BF10),0)</f>
        <v>275.523880271045</v>
      </c>
      <c r="BG12" s="11" t="n">
        <f aca="false">IF(Time!BG17&lt;=Time!$F$14,(Waterfall!BG7+BH12)/(1+BG10),0)</f>
        <v>245.912825176421</v>
      </c>
      <c r="BH12" s="11" t="n">
        <f aca="false">IF(Time!BH17&lt;=Time!$F$14,(Waterfall!BH7+BI12)/(1+BH10),0)</f>
        <v>215.966391064489</v>
      </c>
      <c r="BI12" s="11" t="n">
        <f aca="false">IF(Time!BI17&lt;=Time!$F$14,(Waterfall!BI7+BJ12)/(1+BI10),0)</f>
        <v>184.566687424347</v>
      </c>
      <c r="BJ12" s="11" t="n">
        <f aca="false">IF(Time!BJ17&lt;=Time!$F$14,(Waterfall!BJ7+BK12)/(1+BJ10),0)</f>
        <v>152.576568300091</v>
      </c>
      <c r="BK12" s="11" t="n">
        <f aca="false">IF(Time!BK17&lt;=Time!$F$14,(Waterfall!BK7+BL12)/(1+BK10),0)</f>
        <v>111.695110596085</v>
      </c>
      <c r="BL12" s="11" t="n">
        <f aca="false">IF(Time!BL17&lt;=Time!$F$14,(Waterfall!BL7+BM12)/(1+BL10),0)</f>
        <v>74.954647447202</v>
      </c>
      <c r="BM12" s="11" t="n">
        <f aca="false">IF(Time!BM17&lt;=Time!$F$14,(Waterfall!BM7+BN12)/(1+BM10),0)</f>
        <v>36.4696832028551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1.30830586147878</v>
      </c>
      <c r="Q13" s="6" t="n">
        <f aca="false">IF(Debt!Q122&gt;0.000000001,(Q11+Reserves!Q9)/Debt!Q122,0)</f>
        <v>1.31074043728878</v>
      </c>
      <c r="R13" s="6" t="n">
        <f aca="false">IF(Debt!R122&gt;0.000000001,(R11+Reserves!R9)/Debt!R122,0)</f>
        <v>1.31433165970834</v>
      </c>
      <c r="S13" s="6" t="n">
        <f aca="false">IF(Debt!S122&gt;0.000000001,(S11+Reserves!S9)/Debt!S122,0)</f>
        <v>1.31695583024022</v>
      </c>
      <c r="T13" s="6" t="n">
        <f aca="false">IF(Debt!T122&gt;0.000000001,(T11+Reserves!T9)/Debt!T122,0)</f>
        <v>1.32109552254378</v>
      </c>
      <c r="U13" s="6" t="n">
        <f aca="false">IF(Debt!U122&gt;0.000000001,(U11+Reserves!U9)/Debt!U122,0)</f>
        <v>1.32456913360721</v>
      </c>
      <c r="V13" s="6" t="n">
        <f aca="false">IF(Debt!V122&gt;0.000000001,(V11+Reserves!V9)/Debt!V122,0)</f>
        <v>1.3301108194583</v>
      </c>
      <c r="W13" s="6" t="n">
        <f aca="false">IF(Debt!W122&gt;0.000000001,(W11+Reserves!W9)/Debt!W122,0)</f>
        <v>1.33440502828076</v>
      </c>
      <c r="X13" s="6" t="n">
        <f aca="false">IF(Debt!X122&gt;0.000000001,(X11+Reserves!X9)/Debt!X122,0)</f>
        <v>1.33751986129907</v>
      </c>
      <c r="Y13" s="6" t="n">
        <f aca="false">IF(Debt!Y122&gt;0.000000001,(Y11+Reserves!Y9)/Debt!Y122,0)</f>
        <v>1.34238482822112</v>
      </c>
      <c r="Z13" s="6" t="n">
        <f aca="false">IF(Debt!Z122&gt;0.000000001,(Z11+Reserves!Z9)/Debt!Z122,0)</f>
        <v>1.34922456490449</v>
      </c>
      <c r="AA13" s="6" t="n">
        <f aca="false">IF(Debt!AA122&gt;0.000000001,(AA11+Reserves!AA9)/Debt!AA122,0)</f>
        <v>1.35559194841635</v>
      </c>
      <c r="AB13" s="6" t="n">
        <f aca="false">IF(Debt!AB122&gt;0.000000001,(AB11+Reserves!AB9)/Debt!AB122,0)</f>
        <v>1.37827585100059</v>
      </c>
      <c r="AC13" s="6" t="n">
        <f aca="false">IF(Debt!AC122&gt;0.000000001,(AC11+Reserves!AC9)/Debt!AC122,0)</f>
        <v>1.40373857415455</v>
      </c>
      <c r="AD13" s="6" t="n">
        <f aca="false">IF(Debt!AD122&gt;0.000000001,(AD11+Reserves!AD9)/Debt!AD122,0)</f>
        <v>1.4343444403298</v>
      </c>
      <c r="AE13" s="6" t="n">
        <f aca="false">IF(Debt!AE122&gt;0.000000001,(AE11+Reserves!AE9)/Debt!AE122,0)</f>
        <v>1.47084810678015</v>
      </c>
      <c r="AF13" s="6" t="n">
        <f aca="false">IF(Debt!AF122&gt;0.000000001,(AF11+Reserves!AF9)/Debt!AF122,0)</f>
        <v>1.51502608262554</v>
      </c>
      <c r="AG13" s="6" t="n">
        <f aca="false">IF(Debt!AG122&gt;0.000000001,(AG11+Reserves!AG9)/Debt!AG122,0)</f>
        <v>1.56946246613173</v>
      </c>
      <c r="AH13" s="6" t="n">
        <f aca="false">IF(Debt!AH122&gt;0.000000001,(AH11+Reserves!AH9)/Debt!AH122,0)</f>
        <v>1.63862057068076</v>
      </c>
      <c r="AI13" s="6" t="n">
        <f aca="false">IF(Debt!AI122&gt;0.000000001,(AI11+Reserves!AI9)/Debt!AI122,0)</f>
        <v>1.73094567091623</v>
      </c>
      <c r="AJ13" s="6" t="n">
        <f aca="false">IF(Debt!AJ122&gt;0.000000001,(AJ11+Reserves!AJ9)/Debt!AJ122,0)</f>
        <v>1.8597807641634</v>
      </c>
      <c r="AK13" s="6" t="n">
        <f aca="false">IF(Debt!AK122&gt;0.000000001,(AK11+Reserves!AK9)/Debt!AK122,0)</f>
        <v>2.05821489142359</v>
      </c>
      <c r="AL13" s="6" t="n">
        <f aca="false">IF(Debt!AL122&gt;0.000000001,(AL11+Reserves!AL9)/Debt!AL122,0)</f>
        <v>2.40210882473274</v>
      </c>
      <c r="AM13" s="6" t="n">
        <f aca="false">IF(Debt!AM122&gt;0.000000001,(AM11+Reserves!AM9)/Debt!AM122,0)</f>
        <v>2.72195015123483</v>
      </c>
      <c r="AN13" s="6" t="n">
        <f aca="false">IF(Debt!AN122&gt;0.000000001,(AN11+Reserves!AN9)/Debt!AN122,0)</f>
        <v>2.96580356324684</v>
      </c>
      <c r="AO13" s="6" t="n">
        <f aca="false">IF(Debt!AO122&gt;0.000000001,(AO11+Reserves!AO9)/Debt!AO122,0)</f>
        <v>3.47520227126931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1.24941582356885</v>
      </c>
      <c r="Q14" s="6" t="n">
        <f aca="false">IF(Debt!Q122&gt;0.000000001,Q11/Debt!Q122,0)</f>
        <v>1.25053042738898</v>
      </c>
      <c r="R14" s="6" t="n">
        <f aca="false">IF(Debt!R122&gt;0.000000001,R11/Debt!R122,0)</f>
        <v>1.25171199472144</v>
      </c>
      <c r="S14" s="6" t="n">
        <f aca="false">IF(Debt!S122&gt;0.000000001,S11/Debt!S122,0)</f>
        <v>1.2530371886331</v>
      </c>
      <c r="T14" s="6" t="n">
        <f aca="false">IF(Debt!T122&gt;0.000000001,T11/Debt!T122,0)</f>
        <v>1.2544589387915</v>
      </c>
      <c r="U14" s="6" t="n">
        <f aca="false">IF(Debt!U122&gt;0.000000001,U11/Debt!U122,0)</f>
        <v>1.25606203447249</v>
      </c>
      <c r="V14" s="6" t="n">
        <f aca="false">IF(Debt!V122&gt;0.000000001,V11/Debt!V122,0)</f>
        <v>1.25780909172593</v>
      </c>
      <c r="W14" s="6" t="n">
        <f aca="false">IF(Debt!W122&gt;0.000000001,W11/Debt!W122,0)</f>
        <v>1.25980128929653</v>
      </c>
      <c r="X14" s="6" t="n">
        <f aca="false">IF(Debt!X122&gt;0.000000001,X11/Debt!X122,0)</f>
        <v>1.26199091989806</v>
      </c>
      <c r="Y14" s="6" t="n">
        <f aca="false">IF(Debt!Y122&gt;0.000000001,Y11/Debt!Y122,0)</f>
        <v>1.2644035825219</v>
      </c>
      <c r="Z14" s="6" t="n">
        <f aca="false">IF(Debt!Z122&gt;0.000000001,Z11/Debt!Z122,0)</f>
        <v>1.26706897701619</v>
      </c>
      <c r="AA14" s="6" t="n">
        <f aca="false">IF(Debt!AA122&gt;0.000000001,AA11/Debt!AA122,0)</f>
        <v>1.27013661856671</v>
      </c>
      <c r="AB14" s="6" t="n">
        <f aca="false">IF(Debt!AB122&gt;0.000000001,AB11/Debt!AB122,0)</f>
        <v>1.28631170733325</v>
      </c>
      <c r="AC14" s="6" t="n">
        <f aca="false">IF(Debt!AC122&gt;0.000000001,AC11/Debt!AC122,0)</f>
        <v>1.30665678884032</v>
      </c>
      <c r="AD14" s="6" t="n">
        <f aca="false">IF(Debt!AD122&gt;0.000000001,AD11/Debt!AD122,0)</f>
        <v>1.3272180886828</v>
      </c>
      <c r="AE14" s="6" t="n">
        <f aca="false">IF(Debt!AE122&gt;0.000000001,AE11/Debt!AE122,0)</f>
        <v>1.35503803327913</v>
      </c>
      <c r="AF14" s="6" t="n">
        <f aca="false">IF(Debt!AF122&gt;0.000000001,AF11/Debt!AF122,0)</f>
        <v>1.38866477412712</v>
      </c>
      <c r="AG14" s="6" t="n">
        <f aca="false">IF(Debt!AG122&gt;0.000000001,AG11/Debt!AG122,0)</f>
        <v>1.43139990265354</v>
      </c>
      <c r="AH14" s="6" t="n">
        <f aca="false">IF(Debt!AH122&gt;0.000000001,AH11/Debt!AH122,0)</f>
        <v>1.48294974782969</v>
      </c>
      <c r="AI14" s="6" t="n">
        <f aca="false">IF(Debt!AI122&gt;0.000000001,AI11/Debt!AI122,0)</f>
        <v>1.55467573854345</v>
      </c>
      <c r="AJ14" s="6" t="n">
        <f aca="false">IF(Debt!AJ122&gt;0.000000001,AJ11/Debt!AJ122,0)</f>
        <v>1.65168999421239</v>
      </c>
      <c r="AK14" s="6" t="n">
        <f aca="false">IF(Debt!AK122&gt;0.000000001,AK11/Debt!AK122,0)</f>
        <v>1.80470889044958</v>
      </c>
      <c r="AL14" s="6" t="n">
        <f aca="false">IF(Debt!AL122&gt;0.000000001,AL11/Debt!AL122,0)</f>
        <v>2.06484439229435</v>
      </c>
      <c r="AM14" s="6" t="n">
        <f aca="false">IF(Debt!AM122&gt;0.000000001,AM11/Debt!AM122,0)</f>
        <v>2.28799251867494</v>
      </c>
      <c r="AN14" s="6" t="n">
        <f aca="false">IF(Debt!AN122&gt;0.000000001,AN11/Debt!AN122,0)</f>
        <v>2.442199587567</v>
      </c>
      <c r="AO14" s="6" t="n">
        <f aca="false">IF(Debt!AO122&gt;0.000000001,AO11/Debt!AO122,0)</f>
        <v>2.44808366995268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1.72571008101988</v>
      </c>
      <c r="Q15" s="6" t="n">
        <f aca="false">IF(Debt!Q122&gt;0.000000001,Q12/Debt!Q122,0)</f>
        <v>1.75557696491243</v>
      </c>
      <c r="R15" s="6" t="n">
        <f aca="false">IF(Debt!R122&gt;0.000000001,R12/Debt!R122,0)</f>
        <v>1.78798344971239</v>
      </c>
      <c r="S15" s="6" t="n">
        <f aca="false">IF(Debt!S122&gt;0.000000001,S12/Debt!S122,0)</f>
        <v>1.82386276414525</v>
      </c>
      <c r="T15" s="6" t="n">
        <f aca="false">IF(Debt!T122&gt;0.000000001,T12/Debt!T122,0)</f>
        <v>1.86289268122014</v>
      </c>
      <c r="U15" s="6" t="n">
        <f aca="false">IF(Debt!U122&gt;0.000000001,U12/Debt!U122,0)</f>
        <v>1.90638690742008</v>
      </c>
      <c r="V15" s="6" t="n">
        <f aca="false">IF(Debt!V122&gt;0.000000001,V12/Debt!V122,0)</f>
        <v>1.95426764140099</v>
      </c>
      <c r="W15" s="6" t="n">
        <f aca="false">IF(Debt!W122&gt;0.000000001,W12/Debt!W122,0)</f>
        <v>2.0085945194118</v>
      </c>
      <c r="X15" s="6" t="n">
        <f aca="false">IF(Debt!X122&gt;0.000000001,X12/Debt!X122,0)</f>
        <v>2.06900565048858</v>
      </c>
      <c r="Y15" s="6" t="n">
        <f aca="false">IF(Debt!Y122&gt;0.000000001,Y12/Debt!Y122,0)</f>
        <v>2.13498061161604</v>
      </c>
      <c r="Z15" s="6" t="n">
        <f aca="false">IF(Debt!Z122&gt;0.000000001,Z12/Debt!Z122,0)</f>
        <v>2.20857239763324</v>
      </c>
      <c r="AA15" s="6" t="n">
        <f aca="false">IF(Debt!AA122&gt;0.000000001,AA12/Debt!AA122,0)</f>
        <v>2.29277041465684</v>
      </c>
      <c r="AB15" s="6" t="n">
        <f aca="false">IF(Debt!AB122&gt;0.000000001,AB12/Debt!AB122,0)</f>
        <v>2.41209959710882</v>
      </c>
      <c r="AC15" s="6" t="n">
        <f aca="false">IF(Debt!AC122&gt;0.000000001,AC12/Debt!AC122,0)</f>
        <v>2.5565407268416</v>
      </c>
      <c r="AD15" s="6" t="n">
        <f aca="false">IF(Debt!AD122&gt;0.000000001,AD12/Debt!AD122,0)</f>
        <v>2.72146230795736</v>
      </c>
      <c r="AE15" s="6" t="n">
        <f aca="false">IF(Debt!AE122&gt;0.000000001,AE12/Debt!AE122,0)</f>
        <v>2.93409849495584</v>
      </c>
      <c r="AF15" s="6" t="n">
        <f aca="false">IF(Debt!AF122&gt;0.000000001,AF12/Debt!AF122,0)</f>
        <v>3.19844769917534</v>
      </c>
      <c r="AG15" s="6" t="n">
        <f aca="false">IF(Debt!AG122&gt;0.000000001,AG12/Debt!AG122,0)</f>
        <v>3.53871992180021</v>
      </c>
      <c r="AH15" s="6" t="n">
        <f aca="false">IF(Debt!AH122&gt;0.000000001,AH12/Debt!AH122,0)</f>
        <v>3.97635569200656</v>
      </c>
      <c r="AI15" s="6" t="n">
        <f aca="false">IF(Debt!AI122&gt;0.000000001,AI12/Debt!AI122,0)</f>
        <v>4.59109306533907</v>
      </c>
      <c r="AJ15" s="6" t="n">
        <f aca="false">IF(Debt!AJ122&gt;0.000000001,AJ12/Debt!AJ122,0)</f>
        <v>5.46991031035881</v>
      </c>
      <c r="AK15" s="6" t="n">
        <f aca="false">IF(Debt!AK122&gt;0.000000001,AK12/Debt!AK122,0)</f>
        <v>6.89136044892745</v>
      </c>
      <c r="AL15" s="6" t="n">
        <f aca="false">IF(Debt!AL122&gt;0.000000001,AL12/Debt!AL122,0)</f>
        <v>9.44701556347163</v>
      </c>
      <c r="AM15" s="6" t="n">
        <f aca="false">IF(Debt!AM122&gt;0.000000001,AM12/Debt!AM122,0)</f>
        <v>13.4391576857723</v>
      </c>
      <c r="AN15" s="6" t="n">
        <f aca="false">IF(Debt!AN122&gt;0.000000001,AN12/Debt!AN122,0)</f>
        <v>20.7863858240322</v>
      </c>
      <c r="AO15" s="6" t="n">
        <f aca="false">IF(Debt!AO122&gt;0.000000001,AO12/Debt!AO122,0)</f>
        <v>39.8622319641378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e">
        <f aca="false">MIN(IF(Debt!$J$121:$BN$121&gt;0.000000001,Waterfall!$J$17:$BN$17,999))</f>
        <v>#VALUE!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e">
        <f aca="false">SUM(Waterfall!$J$7:$BN$7*(Debt!$J$121:$BN$121&gt;0.000000001))/SUM(Debt!$J$121:$BN$121)</f>
        <v>#VALUE!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1.30830586147878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1.72571008101988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1127.92538111741</v>
      </c>
      <c r="J8" s="11" t="n">
        <f aca="false">-Inputs!$F$66</f>
        <v>-14.2</v>
      </c>
      <c r="K8" s="11" t="n">
        <f aca="false">-Funding!J68</f>
        <v>-19.6165778681963</v>
      </c>
      <c r="L8" s="11" t="n">
        <f aca="false">-Funding!K68</f>
        <v>-0.7076568696703</v>
      </c>
      <c r="M8" s="11" t="n">
        <f aca="false">-Funding!L68</f>
        <v>-0.903526823795411</v>
      </c>
      <c r="N8" s="11" t="n">
        <f aca="false">-Funding!M68</f>
        <v>-1.27955449817959</v>
      </c>
      <c r="O8" s="11" t="n">
        <f aca="false">-Funding!N68</f>
        <v>-1.84486929198659</v>
      </c>
      <c r="P8" s="11" t="n">
        <f aca="false">-Funding!O68</f>
        <v>-2.54465930332829</v>
      </c>
      <c r="Q8" s="11" t="n">
        <f aca="false">-Funding!P68</f>
        <v>-3.32108257481913</v>
      </c>
      <c r="R8" s="11" t="n">
        <f aca="false">-Funding!Q68</f>
        <v>-4.21703660052937</v>
      </c>
      <c r="S8" s="11" t="n">
        <f aca="false">-Funding!R68</f>
        <v>-5.10984048497731</v>
      </c>
      <c r="T8" s="11" t="n">
        <f aca="false">-Funding!S68</f>
        <v>-6.01905912753737</v>
      </c>
      <c r="U8" s="11" t="n">
        <f aca="false">-Funding!T68</f>
        <v>-6.86974924264519</v>
      </c>
      <c r="V8" s="11" t="n">
        <f aca="false">-Funding!U68</f>
        <v>-7.68597366151808</v>
      </c>
      <c r="W8" s="11" t="n">
        <f aca="false">-Funding!V68</f>
        <v>-8.40321160261449</v>
      </c>
      <c r="X8" s="11" t="n">
        <f aca="false">-Funding!W68</f>
        <v>-8.9994620723329</v>
      </c>
      <c r="Y8" s="11" t="n">
        <f aca="false">-Funding!X68</f>
        <v>-9.49344972385449</v>
      </c>
      <c r="Z8" s="11" t="n">
        <f aca="false">-Funding!Y68</f>
        <v>-9.82194216353713</v>
      </c>
      <c r="AA8" s="11" t="n">
        <f aca="false">-Funding!Z68</f>
        <v>-10.0282053364844</v>
      </c>
      <c r="AB8" s="11" t="n">
        <f aca="false">-Funding!AA68</f>
        <v>-10.4030911428101</v>
      </c>
      <c r="AC8" s="11" t="n">
        <f aca="false">-Funding!AB68</f>
        <v>-9.92221196256429</v>
      </c>
      <c r="AD8" s="11" t="n">
        <f aca="false">-Funding!AC68</f>
        <v>-9.68720312605337</v>
      </c>
      <c r="AE8" s="11" t="n">
        <f aca="false">-Funding!AD68</f>
        <v>-9.25964483783241</v>
      </c>
      <c r="AF8" s="11" t="n">
        <f aca="false">-Funding!AE68</f>
        <v>-8.7368360550399</v>
      </c>
      <c r="AG8" s="11" t="n">
        <f aca="false">-Funding!AF68</f>
        <v>-8.06348398530485</v>
      </c>
      <c r="AH8" s="11" t="n">
        <f aca="false">-Funding!AG68</f>
        <v>-7.33612973149143</v>
      </c>
      <c r="AI8" s="11" t="n">
        <f aca="false">-Funding!AH68</f>
        <v>-6.51995442601957</v>
      </c>
      <c r="AJ8" s="11" t="n">
        <f aca="false">-Funding!AI68</f>
        <v>-5.64259808886063</v>
      </c>
      <c r="AK8" s="11" t="n">
        <f aca="false">-Funding!AJ68</f>
        <v>-4.79720028285371</v>
      </c>
      <c r="AL8" s="11" t="n">
        <f aca="false">-Funding!AK68</f>
        <v>-3.93498058818737</v>
      </c>
      <c r="AM8" s="11" t="n">
        <f aca="false">-Funding!AL68</f>
        <v>-3.17661171994708</v>
      </c>
      <c r="AN8" s="11" t="n">
        <f aca="false">-Funding!AM68</f>
        <v>-2.49693581630441</v>
      </c>
      <c r="AO8" s="11" t="n">
        <f aca="false">-Funding!AN68</f>
        <v>-1.88623359280448</v>
      </c>
      <c r="AP8" s="11" t="n">
        <f aca="false">-Funding!AO68</f>
        <v>-1.57591940215725</v>
      </c>
      <c r="AQ8" s="11" t="n">
        <f aca="false">-Funding!AP68</f>
        <v>-15.4782493106398</v>
      </c>
      <c r="AR8" s="11" t="n">
        <f aca="false">-Funding!AQ68</f>
        <v>-11.895573731581</v>
      </c>
      <c r="AS8" s="11" t="n">
        <f aca="false">-Funding!AR68</f>
        <v>-1.05758528689103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11.4102867580018</v>
      </c>
      <c r="BS8" s="16" t="n">
        <f aca="false">Waterfall!Q44</f>
        <v>8.90361765647996</v>
      </c>
      <c r="BT8" s="16" t="n">
        <f aca="false">Waterfall!R44</f>
        <v>9.86637096835842</v>
      </c>
      <c r="BU8" s="16" t="n">
        <f aca="false">Waterfall!S44</f>
        <v>9.00526262756011</v>
      </c>
      <c r="BV8" s="16" t="n">
        <f aca="false">Waterfall!T44</f>
        <v>9.7760566887704</v>
      </c>
      <c r="BW8" s="16" t="n">
        <f aca="false">Waterfall!U44</f>
        <v>8.74138611637996</v>
      </c>
      <c r="BX8" s="16" t="n">
        <f aca="false">Waterfall!V44</f>
        <v>10.0114583282041</v>
      </c>
      <c r="BY8" s="16" t="n">
        <f aca="false">Waterfall!W44</f>
        <v>10.8466685802926</v>
      </c>
      <c r="BZ8" s="16" t="n">
        <f aca="false">Waterfall!X44</f>
        <v>9.767931563143</v>
      </c>
      <c r="CA8" s="16" t="n">
        <f aca="false">Waterfall!Y44</f>
        <v>8.94975231336541</v>
      </c>
      <c r="CB8" s="16" t="n">
        <f aca="false">Waterfall!Z44</f>
        <v>9.69180463834411</v>
      </c>
      <c r="CC8" s="16" t="n">
        <f aca="false">Waterfall!AA44</f>
        <v>4.40642700609312</v>
      </c>
      <c r="CD8" s="16" t="n">
        <f aca="false">Waterfall!AB44</f>
        <v>5.24136173671851</v>
      </c>
      <c r="CE8" s="16" t="n">
        <f aca="false">Waterfall!AC44</f>
        <v>4.71918570470418</v>
      </c>
      <c r="CF8" s="16" t="n">
        <f aca="false">Waterfall!AD44</f>
        <v>5.91578850841811</v>
      </c>
      <c r="CG8" s="16" t="n">
        <f aca="false">Waterfall!AE44</f>
        <v>6.35895389019279</v>
      </c>
      <c r="CH8" s="16" t="n">
        <f aca="false">Waterfall!AF44</f>
        <v>7.08308978639843</v>
      </c>
      <c r="CI8" s="16" t="n">
        <f aca="false">Waterfall!AG44</f>
        <v>7.26363438306493</v>
      </c>
      <c r="CJ8" s="16" t="n">
        <f aca="false">Waterfall!AH44</f>
        <v>8.39889591823189</v>
      </c>
      <c r="CK8" s="16" t="n">
        <f aca="false">Waterfall!AI44</f>
        <v>8.9112858105518</v>
      </c>
      <c r="CL8" s="16" t="n">
        <f aca="false">Waterfall!AJ44</f>
        <v>10.3760180845753</v>
      </c>
      <c r="CM8" s="16" t="n">
        <f aca="false">Waterfall!AK44</f>
        <v>11.5285939389158</v>
      </c>
      <c r="CN8" s="16" t="n">
        <f aca="false">Waterfall!AL44</f>
        <v>24.4671740785395</v>
      </c>
      <c r="CO8" s="16" t="n">
        <f aca="false">Waterfall!AM44</f>
        <v>33.9429604141162</v>
      </c>
      <c r="CP8" s="16" t="n">
        <f aca="false">Waterfall!AN44</f>
        <v>30.3570898045468</v>
      </c>
      <c r="CQ8" s="16" t="n">
        <f aca="false">Waterfall!AO44</f>
        <v>50.6913261501648</v>
      </c>
      <c r="CR8" s="16" t="n">
        <f aca="false">Waterfall!AP44</f>
        <v>51.3901970401744</v>
      </c>
      <c r="CS8" s="16" t="n">
        <f aca="false">Waterfall!AQ44</f>
        <v>50.9756781429533</v>
      </c>
      <c r="CT8" s="16" t="n">
        <f aca="false">Waterfall!AR44</f>
        <v>51.5989019777388</v>
      </c>
      <c r="CU8" s="16" t="n">
        <f aca="false">Waterfall!AS44</f>
        <v>51.4095269231289</v>
      </c>
      <c r="CV8" s="16" t="n">
        <f aca="false">Waterfall!AT44</f>
        <v>53.3175320256316</v>
      </c>
      <c r="CW8" s="16" t="n">
        <f aca="false">Waterfall!AU44</f>
        <v>44.3732919394454</v>
      </c>
      <c r="CX8" s="16" t="n">
        <f aca="false">Waterfall!AV44</f>
        <v>44.4967907429513</v>
      </c>
      <c r="CY8" s="16" t="n">
        <f aca="false">Waterfall!AW44</f>
        <v>44.0724059550148</v>
      </c>
      <c r="CZ8" s="16" t="n">
        <f aca="false">Waterfall!AX44</f>
        <v>44.7472459853546</v>
      </c>
      <c r="DA8" s="16" t="n">
        <f aca="false">Waterfall!AY44</f>
        <v>44.2903234988012</v>
      </c>
      <c r="DB8" s="16" t="n">
        <f aca="false">Waterfall!AZ44</f>
        <v>44.9082136387042</v>
      </c>
      <c r="DC8" s="16" t="n">
        <f aca="false">Waterfall!BA44</f>
        <v>44.115600920643</v>
      </c>
      <c r="DD8" s="16" t="n">
        <f aca="false">Waterfall!BB44</f>
        <v>45.3565809265004</v>
      </c>
      <c r="DE8" s="16" t="n">
        <f aca="false">Waterfall!BC44</f>
        <v>41.7584291292966</v>
      </c>
      <c r="DF8" s="16" t="n">
        <f aca="false">Waterfall!BD44</f>
        <v>35.2773770769969</v>
      </c>
      <c r="DG8" s="16" t="n">
        <f aca="false">Waterfall!BE44</f>
        <v>34.8276155507657</v>
      </c>
      <c r="DH8" s="16" t="n">
        <f aca="false">Waterfall!BF44</f>
        <v>35.5149499343334</v>
      </c>
      <c r="DI8" s="16" t="n">
        <f aca="false">Waterfall!BG44</f>
        <v>35.0301651826009</v>
      </c>
      <c r="DJ8" s="16" t="n">
        <f aca="false">Waterfall!BH44</f>
        <v>35.6539882713425</v>
      </c>
      <c r="DK8" s="16" t="n">
        <f aca="false">Waterfall!BI44</f>
        <v>35.3753569654438</v>
      </c>
      <c r="DL8" s="16" t="n">
        <f aca="false">Waterfall!BJ44</f>
        <v>43.381445723958</v>
      </c>
      <c r="DM8" s="16" t="n">
        <f aca="false">Waterfall!BK44</f>
        <v>38.113886794181</v>
      </c>
      <c r="DN8" s="16" t="n">
        <f aca="false">Waterfall!BL44</f>
        <v>38.8439254869256</v>
      </c>
      <c r="DO8" s="16" t="n">
        <f aca="false">Waterfall!BM44</f>
        <v>55.3998701637381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1595.04878113931</v>
      </c>
      <c r="J9" s="11" t="n">
        <f aca="false">0</f>
        <v>0</v>
      </c>
      <c r="K9" s="11" t="n">
        <f aca="false">-Construction!J30</f>
        <v>-115.65976</v>
      </c>
      <c r="L9" s="11" t="n">
        <f aca="false">-Construction!K30</f>
        <v>-1.562912317</v>
      </c>
      <c r="M9" s="11" t="n">
        <f aca="false">-Construction!L30</f>
        <v>-2.260141917</v>
      </c>
      <c r="N9" s="11" t="n">
        <f aca="false">-Construction!M30</f>
        <v>-3.692693661</v>
      </c>
      <c r="O9" s="11" t="n">
        <f aca="false">-Construction!N30</f>
        <v>-5.770777981</v>
      </c>
      <c r="P9" s="11" t="n">
        <f aca="false">-Construction!O30</f>
        <v>-8.369233661</v>
      </c>
      <c r="Q9" s="11" t="n">
        <f aca="false">-Construction!P30</f>
        <v>-11.349975229</v>
      </c>
      <c r="R9" s="11" t="n">
        <f aca="false">-Construction!Q30</f>
        <v>-14.574236989</v>
      </c>
      <c r="S9" s="11" t="n">
        <f aca="false">-Construction!R30</f>
        <v>-17.905293917</v>
      </c>
      <c r="T9" s="11" t="n">
        <f aca="false">-Construction!S30</f>
        <v>-21.215263901</v>
      </c>
      <c r="U9" s="11" t="n">
        <f aca="false">-Construction!T30</f>
        <v>-24.385107741</v>
      </c>
      <c r="V9" s="11" t="n">
        <f aca="false">-Construction!U30</f>
        <v>-27.308710493</v>
      </c>
      <c r="W9" s="11" t="n">
        <f aca="false">-Construction!V30</f>
        <v>-29.892201245</v>
      </c>
      <c r="X9" s="11" t="n">
        <f aca="false">-Construction!W30</f>
        <v>-32.055313565</v>
      </c>
      <c r="Y9" s="11" t="n">
        <f aca="false">-Construction!X30</f>
        <v>-33.735466845</v>
      </c>
      <c r="Z9" s="11" t="n">
        <f aca="false">-Construction!Y30</f>
        <v>-34.882324509</v>
      </c>
      <c r="AA9" s="11" t="n">
        <f aca="false">-Construction!Z30</f>
        <v>-35.463916029</v>
      </c>
      <c r="AB9" s="11" t="n">
        <f aca="false">-Construction!AA30</f>
        <v>-36.721216029</v>
      </c>
      <c r="AC9" s="11" t="n">
        <f aca="false">-Construction!AB30</f>
        <v>-34.882324509</v>
      </c>
      <c r="AD9" s="11" t="n">
        <f aca="false">-Construction!AC30</f>
        <v>-33.735466845</v>
      </c>
      <c r="AE9" s="11" t="n">
        <f aca="false">-Construction!AD30</f>
        <v>-32.055313565</v>
      </c>
      <c r="AF9" s="11" t="n">
        <f aca="false">-Construction!AE30</f>
        <v>-29.892201245</v>
      </c>
      <c r="AG9" s="11" t="n">
        <f aca="false">-Construction!AF30</f>
        <v>-27.308710493</v>
      </c>
      <c r="AH9" s="11" t="n">
        <f aca="false">-Construction!AG30</f>
        <v>-24.385107741</v>
      </c>
      <c r="AI9" s="11" t="n">
        <f aca="false">-Construction!AH30</f>
        <v>-21.215263901</v>
      </c>
      <c r="AJ9" s="11" t="n">
        <f aca="false">-Construction!AI30</f>
        <v>-17.905293917</v>
      </c>
      <c r="AK9" s="11" t="n">
        <f aca="false">-Construction!AJ30</f>
        <v>-14.574236989</v>
      </c>
      <c r="AL9" s="11" t="n">
        <f aca="false">-Construction!AK30</f>
        <v>-11.349975229</v>
      </c>
      <c r="AM9" s="11" t="n">
        <f aca="false">-Construction!AL30</f>
        <v>-8.369233661</v>
      </c>
      <c r="AN9" s="11" t="n">
        <f aca="false">-Construction!AM30</f>
        <v>-5.770777981</v>
      </c>
      <c r="AO9" s="11" t="n">
        <f aca="false">-Construction!AN30</f>
        <v>-3.692693661</v>
      </c>
      <c r="AP9" s="11" t="n">
        <f aca="false">-Construction!AO30</f>
        <v>-2.260141917</v>
      </c>
      <c r="AQ9" s="11" t="n">
        <f aca="false">-Construction!AP30</f>
        <v>-54.624712317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1.87224719782305</v>
      </c>
      <c r="BR9" s="16" t="n">
        <f aca="false">Waterfall!P7</f>
        <v>50.272094271267</v>
      </c>
      <c r="BS9" s="16" t="n">
        <f aca="false">Waterfall!Q7</f>
        <v>50.1606970752772</v>
      </c>
      <c r="BT9" s="16" t="n">
        <f aca="false">Waterfall!R7</f>
        <v>50.7934598730592</v>
      </c>
      <c r="BU9" s="16" t="n">
        <f aca="false">Waterfall!S7</f>
        <v>50.3999718686923</v>
      </c>
      <c r="BV9" s="16" t="n">
        <f aca="false">Waterfall!T7</f>
        <v>50.9641440099802</v>
      </c>
      <c r="BW9" s="16" t="n">
        <f aca="false">Waterfall!U7</f>
        <v>50.7204352228832</v>
      </c>
      <c r="BX9" s="16" t="n">
        <f aca="false">Waterfall!V7</f>
        <v>51.6886923217823</v>
      </c>
      <c r="BY9" s="16" t="n">
        <f aca="false">Waterfall!W7</f>
        <v>51.3313570281874</v>
      </c>
      <c r="BZ9" s="16" t="n">
        <f aca="false">Waterfall!X7</f>
        <v>49.8511733546825</v>
      </c>
      <c r="CA9" s="16" t="n">
        <f aca="false">Waterfall!Y7</f>
        <v>49.3700292631384</v>
      </c>
      <c r="CB9" s="16" t="n">
        <f aca="false">Waterfall!Z7</f>
        <v>49.7763402001533</v>
      </c>
      <c r="CC9" s="16" t="n">
        <f aca="false">Waterfall!AA7</f>
        <v>49.3752879317933</v>
      </c>
      <c r="CD9" s="16" t="n">
        <f aca="false">Waterfall!AB7</f>
        <v>49.956410656481</v>
      </c>
      <c r="CE9" s="16" t="n">
        <f aca="false">Waterfall!AC7</f>
        <v>49.7514544426898</v>
      </c>
      <c r="CF9" s="16" t="n">
        <f aca="false">Waterfall!AD7</f>
        <v>51.6625426827391</v>
      </c>
      <c r="CG9" s="16" t="n">
        <f aca="false">Waterfall!AE7</f>
        <v>51.7458319376668</v>
      </c>
      <c r="CH9" s="16" t="n">
        <f aca="false">Waterfall!AF7</f>
        <v>51.9066856527928</v>
      </c>
      <c r="CI9" s="16" t="n">
        <f aca="false">Waterfall!AG7</f>
        <v>51.539279151907</v>
      </c>
      <c r="CJ9" s="16" t="n">
        <f aca="false">Waterfall!AH7</f>
        <v>52.2087446781833</v>
      </c>
      <c r="CK9" s="16" t="n">
        <f aca="false">Waterfall!AI7</f>
        <v>51.801240750518</v>
      </c>
      <c r="CL9" s="16" t="n">
        <f aca="false">Waterfall!AJ7</f>
        <v>52.4025982886386</v>
      </c>
      <c r="CM9" s="16" t="n">
        <f aca="false">Waterfall!AK7</f>
        <v>52.1645329407755</v>
      </c>
      <c r="CN9" s="16" t="n">
        <f aca="false">Waterfall!AL7</f>
        <v>53.2755760114189</v>
      </c>
      <c r="CO9" s="16" t="n">
        <f aca="false">Waterfall!AM7</f>
        <v>52.8997050276094</v>
      </c>
      <c r="CP9" s="16" t="n">
        <f aca="false">Waterfall!AN7</f>
        <v>51.0636231523816</v>
      </c>
      <c r="CQ9" s="16" t="n">
        <f aca="false">Waterfall!AO7</f>
        <v>50.6913261501648</v>
      </c>
      <c r="CR9" s="16" t="n">
        <f aca="false">Waterfall!AP7</f>
        <v>51.3901970401744</v>
      </c>
      <c r="CS9" s="16" t="n">
        <f aca="false">Waterfall!AQ7</f>
        <v>50.9756781429533</v>
      </c>
      <c r="CT9" s="16" t="n">
        <f aca="false">Waterfall!AR7</f>
        <v>51.5989019777388</v>
      </c>
      <c r="CU9" s="16" t="n">
        <f aca="false">Waterfall!AS7</f>
        <v>51.4095269231289</v>
      </c>
      <c r="CV9" s="16" t="n">
        <f aca="false">Waterfall!AT7</f>
        <v>53.3175320256316</v>
      </c>
      <c r="CW9" s="16" t="n">
        <f aca="false">Waterfall!AU7</f>
        <v>44.3732919394454</v>
      </c>
      <c r="CX9" s="16" t="n">
        <f aca="false">Waterfall!AV7</f>
        <v>44.4967907429513</v>
      </c>
      <c r="CY9" s="16" t="n">
        <f aca="false">Waterfall!AW7</f>
        <v>44.0724059550148</v>
      </c>
      <c r="CZ9" s="16" t="n">
        <f aca="false">Waterfall!AX7</f>
        <v>44.7472459853546</v>
      </c>
      <c r="DA9" s="16" t="n">
        <f aca="false">Waterfall!AY7</f>
        <v>44.2903234988012</v>
      </c>
      <c r="DB9" s="16" t="n">
        <f aca="false">Waterfall!AZ7</f>
        <v>44.9082136387042</v>
      </c>
      <c r="DC9" s="16" t="n">
        <f aca="false">Waterfall!BA7</f>
        <v>44.6105693072517</v>
      </c>
      <c r="DD9" s="16" t="n">
        <f aca="false">Waterfall!BB7</f>
        <v>46.8577311811449</v>
      </c>
      <c r="DE9" s="16" t="n">
        <f aca="false">Waterfall!BC7</f>
        <v>43.2760022026388</v>
      </c>
      <c r="DF9" s="16" t="n">
        <f aca="false">Waterfall!BD7</f>
        <v>36.8115526372434</v>
      </c>
      <c r="DG9" s="16" t="n">
        <f aca="false">Waterfall!BE7</f>
        <v>36.3785752317215</v>
      </c>
      <c r="DH9" s="16" t="n">
        <f aca="false">Waterfall!BF7</f>
        <v>37.0828773569055</v>
      </c>
      <c r="DI9" s="16" t="n">
        <f aca="false">Waterfall!BG7</f>
        <v>36.6152459765377</v>
      </c>
      <c r="DJ9" s="16" t="n">
        <f aca="false">Waterfall!BH7</f>
        <v>37.2564100972111</v>
      </c>
      <c r="DK9" s="16" t="n">
        <f aca="false">Waterfall!BI7</f>
        <v>36.9953095368472</v>
      </c>
      <c r="DL9" s="16" t="n">
        <f aca="false">Waterfall!BJ7</f>
        <v>45.0191208299957</v>
      </c>
      <c r="DM9" s="16" t="n">
        <f aca="false">Waterfall!BK7</f>
        <v>39.7694783221553</v>
      </c>
      <c r="DN9" s="16" t="n">
        <f aca="false">Waterfall!BL7</f>
        <v>40.5176294452962</v>
      </c>
      <c r="DO9" s="16" t="n">
        <f aca="false">Waterfall!BM7</f>
        <v>37.4586900017771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1844.90163572868</v>
      </c>
      <c r="J10" s="11" t="n">
        <f aca="false">0</f>
        <v>0</v>
      </c>
      <c r="K10" s="11" t="n">
        <f aca="false">-Construction!J30</f>
        <v>-115.65976</v>
      </c>
      <c r="L10" s="11" t="n">
        <f aca="false">-Construction!K30</f>
        <v>-1.562912317</v>
      </c>
      <c r="M10" s="11" t="n">
        <f aca="false">-Construction!L30</f>
        <v>-2.260141917</v>
      </c>
      <c r="N10" s="11" t="n">
        <f aca="false">-Construction!M30</f>
        <v>-3.692693661</v>
      </c>
      <c r="O10" s="11" t="n">
        <f aca="false">-Construction!N30</f>
        <v>-5.770777981</v>
      </c>
      <c r="P10" s="11" t="n">
        <f aca="false">-Construction!O30</f>
        <v>-8.369233661</v>
      </c>
      <c r="Q10" s="11" t="n">
        <f aca="false">-Construction!P30</f>
        <v>-11.349975229</v>
      </c>
      <c r="R10" s="11" t="n">
        <f aca="false">-Construction!Q30</f>
        <v>-14.574236989</v>
      </c>
      <c r="S10" s="11" t="n">
        <f aca="false">-Construction!R30</f>
        <v>-17.905293917</v>
      </c>
      <c r="T10" s="11" t="n">
        <f aca="false">-Construction!S30</f>
        <v>-21.215263901</v>
      </c>
      <c r="U10" s="11" t="n">
        <f aca="false">-Construction!T30</f>
        <v>-24.385107741</v>
      </c>
      <c r="V10" s="11" t="n">
        <f aca="false">-Construction!U30</f>
        <v>-27.308710493</v>
      </c>
      <c r="W10" s="11" t="n">
        <f aca="false">-Construction!V30</f>
        <v>-29.892201245</v>
      </c>
      <c r="X10" s="11" t="n">
        <f aca="false">-Construction!W30</f>
        <v>-32.055313565</v>
      </c>
      <c r="Y10" s="11" t="n">
        <f aca="false">-Construction!X30</f>
        <v>-33.735466845</v>
      </c>
      <c r="Z10" s="11" t="n">
        <f aca="false">-Construction!Y30</f>
        <v>-34.882324509</v>
      </c>
      <c r="AA10" s="11" t="n">
        <f aca="false">-Construction!Z30</f>
        <v>-35.463916029</v>
      </c>
      <c r="AB10" s="11" t="n">
        <f aca="false">-Construction!AA30</f>
        <v>-36.721216029</v>
      </c>
      <c r="AC10" s="11" t="n">
        <f aca="false">-Construction!AB30</f>
        <v>-34.882324509</v>
      </c>
      <c r="AD10" s="11" t="n">
        <f aca="false">-Construction!AC30</f>
        <v>-33.735466845</v>
      </c>
      <c r="AE10" s="11" t="n">
        <f aca="false">-Construction!AD30</f>
        <v>-32.055313565</v>
      </c>
      <c r="AF10" s="11" t="n">
        <f aca="false">-Construction!AE30</f>
        <v>-29.892201245</v>
      </c>
      <c r="AG10" s="11" t="n">
        <f aca="false">-Construction!AF30</f>
        <v>-27.308710493</v>
      </c>
      <c r="AH10" s="11" t="n">
        <f aca="false">-Construction!AG30</f>
        <v>-24.385107741</v>
      </c>
      <c r="AI10" s="11" t="n">
        <f aca="false">-Construction!AH30</f>
        <v>-21.215263901</v>
      </c>
      <c r="AJ10" s="11" t="n">
        <f aca="false">-Construction!AI30</f>
        <v>-17.905293917</v>
      </c>
      <c r="AK10" s="11" t="n">
        <f aca="false">-Construction!AJ30</f>
        <v>-14.574236989</v>
      </c>
      <c r="AL10" s="11" t="n">
        <f aca="false">-Construction!AK30</f>
        <v>-11.349975229</v>
      </c>
      <c r="AM10" s="11" t="n">
        <f aca="false">-Construction!AL30</f>
        <v>-8.369233661</v>
      </c>
      <c r="AN10" s="11" t="n">
        <f aca="false">-Construction!AM30</f>
        <v>-5.770777981</v>
      </c>
      <c r="AO10" s="11" t="n">
        <f aca="false">-Construction!AN30</f>
        <v>-3.692693661</v>
      </c>
      <c r="AP10" s="11" t="n">
        <f aca="false">-Construction!AO30</f>
        <v>-2.260141917</v>
      </c>
      <c r="AQ10" s="11" t="n">
        <f aca="false">-Construction!AP30</f>
        <v>-54.624712317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1.87224719782305</v>
      </c>
      <c r="BR10" s="11" t="n">
        <f aca="false">Waterfall!P7+Tax!P27</f>
        <v>50.272094271267</v>
      </c>
      <c r="BS10" s="11" t="n">
        <f aca="false">Waterfall!Q7+Tax!Q27</f>
        <v>50.1606970752772</v>
      </c>
      <c r="BT10" s="11" t="n">
        <f aca="false">Waterfall!R7+Tax!R27</f>
        <v>50.7934598730592</v>
      </c>
      <c r="BU10" s="11" t="n">
        <f aca="false">Waterfall!S7+Tax!S27</f>
        <v>50.3999718686923</v>
      </c>
      <c r="BV10" s="11" t="n">
        <f aca="false">Waterfall!T7+Tax!T27</f>
        <v>50.9641440099802</v>
      </c>
      <c r="BW10" s="11" t="n">
        <f aca="false">Waterfall!U7+Tax!U27</f>
        <v>50.7204352228832</v>
      </c>
      <c r="BX10" s="11" t="n">
        <f aca="false">Waterfall!V7+Tax!V27</f>
        <v>51.6886923217823</v>
      </c>
      <c r="BY10" s="11" t="n">
        <f aca="false">Waterfall!W7+Tax!W27</f>
        <v>51.3313570281874</v>
      </c>
      <c r="BZ10" s="11" t="n">
        <f aca="false">Waterfall!X7+Tax!X27</f>
        <v>49.8511733546825</v>
      </c>
      <c r="CA10" s="11" t="n">
        <f aca="false">Waterfall!Y7+Tax!Y27</f>
        <v>49.4880750990588</v>
      </c>
      <c r="CB10" s="11" t="n">
        <f aca="false">Waterfall!Z7+Tax!Z27</f>
        <v>50.131831734827</v>
      </c>
      <c r="CC10" s="11" t="n">
        <f aca="false">Waterfall!AA7+Tax!AA27</f>
        <v>49.7325544923993</v>
      </c>
      <c r="CD10" s="11" t="n">
        <f aca="false">Waterfall!AB7+Tax!AB27</f>
        <v>50.3156103413124</v>
      </c>
      <c r="CE10" s="11" t="n">
        <f aca="false">Waterfall!AC7+Tax!AC27</f>
        <v>50.1115438431696</v>
      </c>
      <c r="CF10" s="11" t="n">
        <f aca="false">Waterfall!AD7+Tax!AD27</f>
        <v>52.0181248726811</v>
      </c>
      <c r="CG10" s="11" t="n">
        <f aca="false">Waterfall!AE7+Tax!AE27</f>
        <v>52.1085112094818</v>
      </c>
      <c r="CH10" s="11" t="n">
        <f aca="false">Waterfall!AF7+Tax!AF27</f>
        <v>52.2727069716147</v>
      </c>
      <c r="CI10" s="11" t="n">
        <f aca="false">Waterfall!AG7+Tax!AG27</f>
        <v>51.9069069535218</v>
      </c>
      <c r="CJ10" s="11" t="n">
        <f aca="false">Waterfall!AH7+Tax!AH27</f>
        <v>52.5778484282802</v>
      </c>
      <c r="CK10" s="11" t="n">
        <f aca="false">Waterfall!AI7+Tax!AI27</f>
        <v>52.1722770411054</v>
      </c>
      <c r="CL10" s="11" t="n">
        <f aca="false">Waterfall!AJ7+Tax!AJ27</f>
        <v>52.7757386334257</v>
      </c>
      <c r="CM10" s="11" t="n">
        <f aca="false">Waterfall!AK7+Tax!AK27</f>
        <v>52.5389645474726</v>
      </c>
      <c r="CN10" s="11" t="n">
        <f aca="false">Waterfall!AL7+Tax!AL27</f>
        <v>53.6507656470258</v>
      </c>
      <c r="CO10" s="11" t="n">
        <f aca="false">Waterfall!AM7+Tax!AM27</f>
        <v>53.2772927107986</v>
      </c>
      <c r="CP10" s="11" t="n">
        <f aca="false">Waterfall!AN7+Tax!AN27</f>
        <v>51.4441928746495</v>
      </c>
      <c r="CQ10" s="11" t="n">
        <f aca="false">Waterfall!AO7+Tax!AO27</f>
        <v>51.0736461683704</v>
      </c>
      <c r="CR10" s="11" t="n">
        <f aca="false">Waterfall!AP7+Tax!AP27</f>
        <v>51.7741259055943</v>
      </c>
      <c r="CS10" s="11" t="n">
        <f aca="false">Waterfall!AQ7+Tax!AQ27</f>
        <v>51.3617110325035</v>
      </c>
      <c r="CT10" s="11" t="n">
        <f aca="false">Waterfall!AR7+Tax!AR27</f>
        <v>51.9872249530413</v>
      </c>
      <c r="CU10" s="11" t="n">
        <f aca="false">Waterfall!AS7+Tax!AS27</f>
        <v>51.7989133915233</v>
      </c>
      <c r="CV10" s="11" t="n">
        <f aca="false">Waterfall!AT7+Tax!AT27</f>
        <v>54.1140571647818</v>
      </c>
      <c r="CW10" s="11" t="n">
        <f aca="false">Waterfall!AU7+Tax!AU27</f>
        <v>54.2168755530977</v>
      </c>
      <c r="CX10" s="11" t="n">
        <f aca="false">Waterfall!AV7+Tax!AV27</f>
        <v>54.3101812322999</v>
      </c>
      <c r="CY10" s="11" t="n">
        <f aca="false">Waterfall!AW7+Tax!AW27</f>
        <v>53.9352765086351</v>
      </c>
      <c r="CZ10" s="11" t="n">
        <f aca="false">Waterfall!AX7+Tax!AX27</f>
        <v>54.6678535478626</v>
      </c>
      <c r="DA10" s="11" t="n">
        <f aca="false">Waterfall!AY7+Tax!AY27</f>
        <v>54.2479974851188</v>
      </c>
      <c r="DB10" s="11" t="n">
        <f aca="false">Waterfall!AZ7+Tax!AZ27</f>
        <v>54.8973451989135</v>
      </c>
      <c r="DC10" s="11" t="n">
        <f aca="false">Waterfall!BA7+Tax!BA27</f>
        <v>54.6690723463003</v>
      </c>
      <c r="DD10" s="11" t="n">
        <f aca="false">Waterfall!BB7+Tax!BB27</f>
        <v>55.951806375123</v>
      </c>
      <c r="DE10" s="11" t="n">
        <f aca="false">Waterfall!BC7+Tax!BC27</f>
        <v>55.5591486286523</v>
      </c>
      <c r="DF10" s="11" t="n">
        <f aca="false">Waterfall!BD7+Tax!BD27</f>
        <v>53.3046343524208</v>
      </c>
      <c r="DG10" s="11" t="n">
        <f aca="false">Waterfall!BE7+Tax!BE27</f>
        <v>52.9251559331657</v>
      </c>
      <c r="DH10" s="11" t="n">
        <f aca="false">Waterfall!BF7+Tax!BF27</f>
        <v>53.6926130212208</v>
      </c>
      <c r="DI10" s="11" t="n">
        <f aca="false">Waterfall!BG7+Tax!BG27</f>
        <v>53.2646654266027</v>
      </c>
      <c r="DJ10" s="11" t="n">
        <f aca="false">Waterfall!BH7+Tax!BH27</f>
        <v>53.9397744770774</v>
      </c>
      <c r="DK10" s="11" t="n">
        <f aca="false">Waterfall!BI7+Tax!BI27</f>
        <v>53.7706526973563</v>
      </c>
      <c r="DL10" s="11" t="n">
        <f aca="false">Waterfall!BJ7+Tax!BJ27</f>
        <v>56.5725822071832</v>
      </c>
      <c r="DM10" s="11" t="n">
        <f aca="false">Waterfall!BK7+Tax!BK27</f>
        <v>56.6902036225685</v>
      </c>
      <c r="DN10" s="11" t="n">
        <f aca="false">Waterfall!BL7+Tax!BL27</f>
        <v>57.3989984272861</v>
      </c>
      <c r="DO10" s="11" t="n">
        <f aca="false">Waterfall!BM7+Tax!BM27</f>
        <v>43.0259024475175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-33.8165778681963</v>
      </c>
      <c r="L11" s="11" t="n">
        <f aca="false">K11+L8</f>
        <v>-34.5242347378666</v>
      </c>
      <c r="M11" s="11" t="n">
        <f aca="false">L11+M8</f>
        <v>-35.427761561662</v>
      </c>
      <c r="N11" s="11" t="n">
        <f aca="false">M11+N8</f>
        <v>-36.7073160598416</v>
      </c>
      <c r="O11" s="11" t="n">
        <f aca="false">N11+O8</f>
        <v>-38.5521853518282</v>
      </c>
      <c r="P11" s="11" t="n">
        <f aca="false">O11+P8</f>
        <v>-41.0968446551564</v>
      </c>
      <c r="Q11" s="11" t="n">
        <f aca="false">P11+Q8</f>
        <v>-44.4179272299756</v>
      </c>
      <c r="R11" s="11" t="n">
        <f aca="false">Q11+R8</f>
        <v>-48.6349638305049</v>
      </c>
      <c r="S11" s="11" t="n">
        <f aca="false">R11+S8</f>
        <v>-53.7448043154823</v>
      </c>
      <c r="T11" s="11" t="n">
        <f aca="false">S11+T8</f>
        <v>-59.7638634430196</v>
      </c>
      <c r="U11" s="11" t="n">
        <f aca="false">T11+U8</f>
        <v>-66.6336126856648</v>
      </c>
      <c r="V11" s="11" t="n">
        <f aca="false">U11+V8</f>
        <v>-74.3195863471829</v>
      </c>
      <c r="W11" s="11" t="n">
        <f aca="false">V11+W8</f>
        <v>-82.7227979497974</v>
      </c>
      <c r="X11" s="11" t="n">
        <f aca="false">W11+X8</f>
        <v>-91.7222600221303</v>
      </c>
      <c r="Y11" s="11" t="n">
        <f aca="false">X11+Y8</f>
        <v>-101.215709745985</v>
      </c>
      <c r="Z11" s="11" t="n">
        <f aca="false">Y11+Z8</f>
        <v>-111.037651909522</v>
      </c>
      <c r="AA11" s="11" t="n">
        <f aca="false">Z11+AA8</f>
        <v>-121.065857246006</v>
      </c>
      <c r="AB11" s="11" t="n">
        <f aca="false">AA11+AB8</f>
        <v>-131.468948388816</v>
      </c>
      <c r="AC11" s="11" t="n">
        <f aca="false">AB11+AC8</f>
        <v>-141.391160351381</v>
      </c>
      <c r="AD11" s="11" t="n">
        <f aca="false">AC11+AD8</f>
        <v>-151.078363477434</v>
      </c>
      <c r="AE11" s="11" t="n">
        <f aca="false">AD11+AE8</f>
        <v>-160.338008315266</v>
      </c>
      <c r="AF11" s="11" t="n">
        <f aca="false">AE11+AF8</f>
        <v>-169.074844370306</v>
      </c>
      <c r="AG11" s="11" t="n">
        <f aca="false">AF11+AG8</f>
        <v>-177.138328355611</v>
      </c>
      <c r="AH11" s="11" t="n">
        <f aca="false">AG11+AH8</f>
        <v>-184.474458087103</v>
      </c>
      <c r="AI11" s="11" t="n">
        <f aca="false">AH11+AI8</f>
        <v>-190.994412513122</v>
      </c>
      <c r="AJ11" s="11" t="n">
        <f aca="false">AI11+AJ8</f>
        <v>-196.637010601983</v>
      </c>
      <c r="AK11" s="11" t="n">
        <f aca="false">AJ11+AK8</f>
        <v>-201.434210884837</v>
      </c>
      <c r="AL11" s="11" t="n">
        <f aca="false">AK11+AL8</f>
        <v>-205.369191473024</v>
      </c>
      <c r="AM11" s="11" t="n">
        <f aca="false">AL11+AM8</f>
        <v>-208.545803192971</v>
      </c>
      <c r="AN11" s="11" t="n">
        <f aca="false">AM11+AN8</f>
        <v>-211.042739009275</v>
      </c>
      <c r="AO11" s="11" t="n">
        <f aca="false">AN11+AO8</f>
        <v>-212.92897260208</v>
      </c>
      <c r="AP11" s="11" t="n">
        <f aca="false">AO11+AP8</f>
        <v>-214.504892004237</v>
      </c>
      <c r="AQ11" s="11" t="n">
        <f aca="false">AP11+AQ8</f>
        <v>-229.983141314877</v>
      </c>
      <c r="AR11" s="11" t="n">
        <f aca="false">AQ11+AR8</f>
        <v>-241.878715046458</v>
      </c>
      <c r="AS11" s="11" t="n">
        <f aca="false">AR11+AS8</f>
        <v>-242.936300333349</v>
      </c>
      <c r="AT11" s="11" t="n">
        <f aca="false">AS11+AT8</f>
        <v>-242.936300333349</v>
      </c>
      <c r="AU11" s="11" t="n">
        <f aca="false">AT11+AU8</f>
        <v>-242.936300333349</v>
      </c>
      <c r="AV11" s="11" t="n">
        <f aca="false">AU11+AV8</f>
        <v>-242.936300333349</v>
      </c>
      <c r="AW11" s="11" t="n">
        <f aca="false">AV11+AW8</f>
        <v>-242.936300333349</v>
      </c>
      <c r="AX11" s="11" t="n">
        <f aca="false">AW11+AX8</f>
        <v>-242.936300333349</v>
      </c>
      <c r="AY11" s="11" t="n">
        <f aca="false">AX11+AY8</f>
        <v>-242.936300333349</v>
      </c>
      <c r="AZ11" s="11" t="n">
        <f aca="false">AY11+AZ8</f>
        <v>-242.936300333349</v>
      </c>
      <c r="BA11" s="11" t="n">
        <f aca="false">AZ11+BA8</f>
        <v>-242.936300333349</v>
      </c>
      <c r="BB11" s="11" t="n">
        <f aca="false">BA11+BB8</f>
        <v>-242.936300333349</v>
      </c>
      <c r="BC11" s="11" t="n">
        <f aca="false">BB11+BC8</f>
        <v>-242.936300333349</v>
      </c>
      <c r="BD11" s="11" t="n">
        <f aca="false">BC11+BD8</f>
        <v>-242.936300333349</v>
      </c>
      <c r="BE11" s="11" t="n">
        <f aca="false">BD11+BE8</f>
        <v>-242.936300333349</v>
      </c>
      <c r="BF11" s="11" t="n">
        <f aca="false">BE11+BF8</f>
        <v>-242.936300333349</v>
      </c>
      <c r="BG11" s="11" t="n">
        <f aca="false">BF11+BG8</f>
        <v>-242.936300333349</v>
      </c>
      <c r="BH11" s="11" t="n">
        <f aca="false">BG11+BH8</f>
        <v>-242.936300333349</v>
      </c>
      <c r="BI11" s="11" t="n">
        <f aca="false">BH11+BI8</f>
        <v>-242.936300333349</v>
      </c>
      <c r="BJ11" s="11" t="n">
        <f aca="false">BI11+BJ8</f>
        <v>-242.936300333349</v>
      </c>
      <c r="BK11" s="11" t="n">
        <f aca="false">BJ11+BK8</f>
        <v>-242.936300333349</v>
      </c>
      <c r="BL11" s="11" t="n">
        <f aca="false">BK11+BL8</f>
        <v>-242.936300333349</v>
      </c>
      <c r="BM11" s="11" t="n">
        <f aca="false">BL11+BM8</f>
        <v>-242.936300333349</v>
      </c>
      <c r="BN11" s="11" t="n">
        <f aca="false">BM11+BN8</f>
        <v>-242.936300333349</v>
      </c>
      <c r="BO11" s="11" t="n">
        <f aca="false">BN11+BO8</f>
        <v>-242.936300333349</v>
      </c>
      <c r="BP11" s="11" t="n">
        <f aca="false">BO11+BP8</f>
        <v>-242.936300333349</v>
      </c>
      <c r="BQ11" s="11" t="n">
        <f aca="false">BP11+BQ8</f>
        <v>-242.936300333349</v>
      </c>
      <c r="BR11" s="11" t="n">
        <f aca="false">BQ11+BR8</f>
        <v>-231.526013575347</v>
      </c>
      <c r="BS11" s="11" t="n">
        <f aca="false">BR11+BS8</f>
        <v>-222.622395918867</v>
      </c>
      <c r="BT11" s="11" t="n">
        <f aca="false">BS11+BT8</f>
        <v>-212.756024950509</v>
      </c>
      <c r="BU11" s="11" t="n">
        <f aca="false">BT11+BU8</f>
        <v>-203.750762322949</v>
      </c>
      <c r="BV11" s="11" t="n">
        <f aca="false">BU11+BV8</f>
        <v>-193.974705634178</v>
      </c>
      <c r="BW11" s="11" t="n">
        <f aca="false">BV11+BW8</f>
        <v>-185.233319517798</v>
      </c>
      <c r="BX11" s="11" t="n">
        <f aca="false">BW11+BX8</f>
        <v>-175.221861189594</v>
      </c>
      <c r="BY11" s="11" t="n">
        <f aca="false">BX11+BY8</f>
        <v>-164.375192609302</v>
      </c>
      <c r="BZ11" s="11" t="n">
        <f aca="false">BY11+BZ8</f>
        <v>-154.607261046159</v>
      </c>
      <c r="CA11" s="11" t="n">
        <f aca="false">BZ11+CA8</f>
        <v>-145.657508732793</v>
      </c>
      <c r="CB11" s="11" t="n">
        <f aca="false">CA11+CB8</f>
        <v>-135.965704094449</v>
      </c>
      <c r="CC11" s="11" t="n">
        <f aca="false">CB11+CC8</f>
        <v>-131.559277088356</v>
      </c>
      <c r="CD11" s="11" t="n">
        <f aca="false">CC11+CD8</f>
        <v>-126.317915351638</v>
      </c>
      <c r="CE11" s="11" t="n">
        <f aca="false">CD11+CE8</f>
        <v>-121.598729646933</v>
      </c>
      <c r="CF11" s="11" t="n">
        <f aca="false">CE11+CF8</f>
        <v>-115.682941138515</v>
      </c>
      <c r="CG11" s="11" t="n">
        <f aca="false">CF11+CG8</f>
        <v>-109.323987248323</v>
      </c>
      <c r="CH11" s="11" t="n">
        <f aca="false">CG11+CH8</f>
        <v>-102.240897461924</v>
      </c>
      <c r="CI11" s="11" t="n">
        <f aca="false">CH11+CI8</f>
        <v>-94.9772630788592</v>
      </c>
      <c r="CJ11" s="11" t="n">
        <f aca="false">CI11+CJ8</f>
        <v>-86.5783671606273</v>
      </c>
      <c r="CK11" s="11" t="n">
        <f aca="false">CJ11+CK8</f>
        <v>-77.6670813500755</v>
      </c>
      <c r="CL11" s="11" t="n">
        <f aca="false">CK11+CL8</f>
        <v>-67.2910632655002</v>
      </c>
      <c r="CM11" s="11" t="n">
        <f aca="false">CL11+CM8</f>
        <v>-55.7624693265844</v>
      </c>
      <c r="CN11" s="11" t="n">
        <f aca="false">CM11+CN8</f>
        <v>-31.2952952480449</v>
      </c>
      <c r="CO11" s="11" t="n">
        <f aca="false">CN11+CO8</f>
        <v>2.64766516607124</v>
      </c>
      <c r="CP11" s="11" t="n">
        <f aca="false">CO11+CP8</f>
        <v>33.004754970618</v>
      </c>
      <c r="CQ11" s="11" t="n">
        <f aca="false">CP11+CQ8</f>
        <v>83.6960811207829</v>
      </c>
      <c r="CR11" s="11" t="n">
        <f aca="false">CQ11+CR8</f>
        <v>135.086278160957</v>
      </c>
      <c r="CS11" s="11" t="n">
        <f aca="false">CR11+CS8</f>
        <v>186.061956303911</v>
      </c>
      <c r="CT11" s="11" t="n">
        <f aca="false">CS11+CT8</f>
        <v>237.66085828165</v>
      </c>
      <c r="CU11" s="11" t="n">
        <f aca="false">CT11+CU8</f>
        <v>289.070385204778</v>
      </c>
      <c r="CV11" s="11" t="n">
        <f aca="false">CU11+CV8</f>
        <v>342.38791723041</v>
      </c>
      <c r="CW11" s="11" t="n">
        <f aca="false">CV11+CW8</f>
        <v>386.761209169855</v>
      </c>
      <c r="CX11" s="11" t="n">
        <f aca="false">CW11+CX8</f>
        <v>431.257999912807</v>
      </c>
      <c r="CY11" s="11" t="n">
        <f aca="false">CX11+CY8</f>
        <v>475.330405867822</v>
      </c>
      <c r="CZ11" s="11" t="n">
        <f aca="false">CY11+CZ8</f>
        <v>520.077651853176</v>
      </c>
      <c r="DA11" s="11" t="n">
        <f aca="false">CZ11+DA8</f>
        <v>564.367975351977</v>
      </c>
      <c r="DB11" s="11" t="n">
        <f aca="false">DA11+DB8</f>
        <v>609.276188990682</v>
      </c>
      <c r="DC11" s="11" t="n">
        <f aca="false">DB11+DC8</f>
        <v>653.391789911325</v>
      </c>
      <c r="DD11" s="11" t="n">
        <f aca="false">DC11+DD8</f>
        <v>698.748370837825</v>
      </c>
      <c r="DE11" s="11" t="n">
        <f aca="false">DD11+DE8</f>
        <v>740.506799967122</v>
      </c>
      <c r="DF11" s="11" t="n">
        <f aca="false">DE11+DF8</f>
        <v>775.784177044118</v>
      </c>
      <c r="DG11" s="11" t="n">
        <f aca="false">DF11+DG8</f>
        <v>810.611792594884</v>
      </c>
      <c r="DH11" s="11" t="n">
        <f aca="false">DG11+DH8</f>
        <v>846.126742529218</v>
      </c>
      <c r="DI11" s="11" t="n">
        <f aca="false">DH11+DI8</f>
        <v>881.156907711819</v>
      </c>
      <c r="DJ11" s="11" t="n">
        <f aca="false">DI11+DJ8</f>
        <v>916.810895983161</v>
      </c>
      <c r="DK11" s="11" t="n">
        <f aca="false">DJ11+DK8</f>
        <v>952.186252948605</v>
      </c>
      <c r="DL11" s="11" t="n">
        <f aca="false">DK11+DL8</f>
        <v>995.567698672563</v>
      </c>
      <c r="DM11" s="11" t="n">
        <f aca="false">DL11+DM8</f>
        <v>1033.68158546674</v>
      </c>
      <c r="DN11" s="11" t="n">
        <f aca="false">DM11+DN8</f>
        <v>1072.52551095367</v>
      </c>
      <c r="DO11" s="11" t="n">
        <f aca="false">DN11+DO8</f>
        <v>1127.92538111741</v>
      </c>
      <c r="DP11" s="11" t="n">
        <f aca="false">DO11+DP8</f>
        <v>1127.92538111741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0.114367090881057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0.101137787910327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0.105469912875032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-79.9756064768464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936.432450796817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693.496150463468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242.936300333349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69.8332150563947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22.6841045266021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22.5732996975859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40.840014591187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4.72955008490317E-014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1.57651669496772E-014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e">
        <f aca="false">Ratios!$F$16</f>
        <v>#VALUE!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e">
        <f aca="false">Ratios!$F$17</f>
        <v>#VALUE!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1.30830586147878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1.72571008101988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0.114367090881057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0.101137787910327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-79.9756064768464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2026-10-03T20:47:21Z</dcterms:created>
  <dc:creator>openpyxl</dc:creator>
  <dc:description/>
  <dc:language>en-US</dc:language>
  <cp:lastModifiedBy/>
  <dcterms:modified xsi:type="dcterms:W3CDTF">2026-10-03T20:47:21Z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