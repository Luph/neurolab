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<sst xmlns="http://schemas.openxmlformats.org/spreadsheetml/2006/main" count="2278" uniqueCount="844">
  <si>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</si>
  <si>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</si>
  <si>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</si>
  <si>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</si>
  <si>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</si>
  <si>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</si>
  <si>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</si>
  <si>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</si>
  <si>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</si>
  <si>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</si>
  <si>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</si>
  <si>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</si>
  <si>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</si>
  <si>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</si>
  <si>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</si>
  <si>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</si>
  <si>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</si>
  <si>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</si>
  <si>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</si>
  <si>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</si>
  <si>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</si>
  <si>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</si>
  <si>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</si>
  <si>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</si>
  <si>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</si>
  <si>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</si>
  <si>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</si>
  <si>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</si>
  <si>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</si>
  <si>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</si>
  <si>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</si>
  <si>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</si>
  <si>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</si>
  <si>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</si>
  <si>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</si>
  <si>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</si>
  <si>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</si>
  <si>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</si>
  <si>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</si>
  <si>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</si>
  <si>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</si>
  <si>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</si>
  <si>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</si>
  <si>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</si>
  <si>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</si>
  <si>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</si>
  <si>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</si>
  <si>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</si>
  <si>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</si>
  <si>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</si>
  <si>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</si>
  <si>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</si>
  <si>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</si>
  <si>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</si>
  <si>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</si>
  <si>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</si>
  <si>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</si>
  <si>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</si>
  <si>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</si>
  <si>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</si>
  <si>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</si>
  <si>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</si>
  <si>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</si>
  <si>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</si>
  <si>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</si>
  <si>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</si>
  <si>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</si>
  <si>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</si>
  <si>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</si>
  <si>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</si>
  <si>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</si>
  <si>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</si>
  <si>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</si>
  <si>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</si>
  <si>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</si>
  <si>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</si>
  <si>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</si>
  <si>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</si>
  <si>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</si>
  <si>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</si>
  <si>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</si>
  <si>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</si>
  <si>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</si>
  <si>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</si>
  <si>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</si>
  <si>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</si>
  <si>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</si>
  <si>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</si>
  <si>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</si>
  <si>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</si>
  <si>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</si>
  <si>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</si>
  <si>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</si>
  <si>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</si>
  <si>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</si>
  <si>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</si>
  <si>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</si>
  <si>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</si>
  <si>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</si>
  <si>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</si>
  <si>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</si>
  <si>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</si>
  <si>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</si>
  <si>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</si>
  <si>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</si>
  <si>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</si>
  <si>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</si>
  <si>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</si>
  <si>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</si>
  <si>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</si>
  <si>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</si>
  <si>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</si>
  <si>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</si>
  <si>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</si>
  <si>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</si>
  <si>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</si>
  <si>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</si>
  <si>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</si>
  <si>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</si>
  <si>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</si>
  <si>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</si>
  <si>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</si>
  <si>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</si>
  <si>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</si>
  <si>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</si>
  <si>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</si>
  <si>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</si>
  <si>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</si>
  <si>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</si>
  <si>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</si>
  <si>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</si>
  <si>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</si>
  <si>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</si>
  <si>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</si>
  <si>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</si>
  <si>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</si>
  <si>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</si>
  <si>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</si>
  <si>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</si>
  <si>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</si>
  <si>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</si>
  <si>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</si>
  <si>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</si>
  <si>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</si>
  <si>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</si>
  <si>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</si>
  <si>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</si>
  <si>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</si>
  <si>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</si>
  <si>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</si>
  <si>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</si>
  <si>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</si>
  <si>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</si>
  <si>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</si>
  <si>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</si>
  <si>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</si>
  <si>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</si>
  <si>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</si>
  <si>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</si>
  <si>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</si>
  <si>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</si>
  <si>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</si>
  <si>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</si>
  <si>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</si>
  <si>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</si>
  <si>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</si>
  <si>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</si>
  <si>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</si>
  <si>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</si>
  <si>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</si>
  <si>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</si>
  <si>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</si>
  <si>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</si>
  <si>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</si>
  <si>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</si>
  <si>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</si>
  <si>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</si>
  <si>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</si>
  <si>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</si>
  <si>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</si>
  <si>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</si>
  <si>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</si>
  <si>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</si>
  <si>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</si>
  <si>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</si>
  <si>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</si>
  <si>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</si>
  <si>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</si>
  <si>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</si>
  <si>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</si>
  <si>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</si>
  <si>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</si>
  <si>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</si>
  <si>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</si>
  <si>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</si>
  <si>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</si>
  <si>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</si>
  <si>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</si>
  <si>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</si>
  <si>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</si>
  <si>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</si>
  <si>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</si>
  <si>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</si>
  <si>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</si>
  <si>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</si>
  <si>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</si>
  <si>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</si>
  <si>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</si>
  <si>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</si>
  <si>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</si>
  <si>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</si>
  <si>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</si>
  <si>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</si>
  <si>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</si>
  <si>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</si>
  <si>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</si>
  <si>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</si>
  <si>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</si>
  <si>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</si>
  <si>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</si>
  <si>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</si>
  <si>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</si>
  <si>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</si>
  <si>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</si>
  <si>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</si>
  <si>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</si>
  <si>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</si>
  <si>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</si>
  <si>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</si>
  <si>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</si>
  <si>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</si>
  <si>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</si>
  <si>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</si>
  <si>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</si>
  <si>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</si>
  <si>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</si>
  <si>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</si>
  <si>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</si>
  <si>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</si>
  <si>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</si>
  <si>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</si>
  <si>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</si>
  <si>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</si>
  <si>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</si>
  <si>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</si>
  <si>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</si>
  <si>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</si>
  <si>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</si>
  <si>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</si>
  <si>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</si>
  <si>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</si>
  <si>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</si>
  <si>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</si>
  <si>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</si>
  <si>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</si>
  <si>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</si>
  <si>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</si>
  <si>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</si>
  <si>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</si>
  <si>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</si>
  <si>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</si>
  <si>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</si>
  <si>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</si>
  <si>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</si>
  <si>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</si>
  <si>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</si>
  <si>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</si>
  <si>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</si>
  <si>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</si>
  <si>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</si>
  <si>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</si>
  <si>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</si>
  <si>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</si>
  <si>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</si>
  <si>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</si>
  <si>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</si>
  <si>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</si>
  <si>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</si>
  <si>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</si>
  <si>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</si>
  <si>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</si>
  <si>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</si>
  <si>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</si>
  <si>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</si>
  <si>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</si>
  <si>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</si>
  <si>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</si>
  <si>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</si>
  <si>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</si>
  <si>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</si>
  <si>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</si>
  <si>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</si>
  <si>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</si>
  <si>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</si>
  <si>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</si>
  <si>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</si>
  <si>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</si>
  <si>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</si>
  <si>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</si>
  <si>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</si>
  <si>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</si>
  <si>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</si>
  <si>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</si>
  <si>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</si>
  <si>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</si>
  <si>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</si>
  <si>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</si>
  <si>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</si>
  <si>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</si>
  <si>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</si>
  <si>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</si>
  <si>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</si>
  <si>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</si>
  <si>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</si>
  <si>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</si>
  <si>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</si>
  <si>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</si>
  <si>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</si>
  <si>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</si>
  <si>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</si>
  <si>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</si>
  <si>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</si>
  <si>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</si>
  <si>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</si>
  <si>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</si>
  <si>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</si>
  <si>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</si>
  <si>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</si>
  <si>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</si>
  <si>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</si>
  <si>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</si>
  <si>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</si>
  <si>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</si>
  <si>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</si>
  <si>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</si>
  <si>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</si>
  <si>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</si>
  <si>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</si>
  <si>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</si>
  <si>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</si>
  <si>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</si>
  <si>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</si>
  <si>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</si>
  <si>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</si>
  <si>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</si>
  <si>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</si>
  <si>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</si>
  <si>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</si>
  <si>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</si>
  <si>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</si>
  <si>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</si>
  <si>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</si>
  <si>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</si>
  <si>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</si>
  <si>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</si>
  <si>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</si>
  <si>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(Kessara 7.5% / US 2.2%)</t>
  </si>
  <si>
    <t xml:space="preserve">Semiannual timeline</t>
  </si>
  <si>
    <t xml:space="preserve">Period number</t>
  </si>
  <si>
    <t xml:space="preserve">Period start</t>
  </si>
  <si>
    <t xml:space="preserve">Period end</t>
  </si>
  <si>
    <t xml:space="preserve">Days in period</t>
  </si>
  <si>
    <t xml:space="preserve">Half (1 = 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</si>
  <si>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</si>
  <si>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</si>
  <si>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</si>
  <si>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</si>
  <si>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</si>
  <si>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</si>
  <si>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</si>
  <si>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</si>
  <si>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</si>
  <si>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</si>
  <si>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 (2022H1-2022H2)</t>
  </si>
  <si>
    <t xml:space="preserve">Flag from 2022H1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</si>
  <si>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</si>
  <si>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</si>
  <si>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</si>
  <si>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</si>
  <si>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</si>
  <si>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</si>
  <si>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</si>
  <si>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</si>
  <si>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</si>
  <si>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</si>
  <si>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</si>
  <si>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</si>
  <si>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</si>
  <si>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</si>
  <si>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</si>
  <si>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</si>
  <si>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</si>
  <si>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</si>
  <si>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</si>
  <si>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</si>
  <si>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</si>
  <si>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</si>
  <si>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</si>
  <si>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</si>
  <si>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</si>
  <si>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</si>
  <si>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</si>
  <si>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</si>
  <si>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</si>
  <si>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</si>
  <si>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</si>
  <si>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</si>
  <si>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</si>
  <si>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</si>
  <si>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</si>
  <si>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</si>
  <si>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</si>
  <si>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</si>
  <si>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</si>
  <si>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</si>
  <si>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</si>
  <si>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</si>
  <si>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</si>
  <si>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</si>
  <si>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</si>
  <si>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</si>
  <si>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</si>
  <si>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</si>
  <si>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</si>
  <si>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</si>
  <si>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</si>
  <si>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</si>
  <si>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</si>
  <si>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</si>
  <si>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</si>
  <si>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</si>
  <si>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</si>
  <si>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</si>
  <si>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</si>
  <si>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</si>
  <si>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</si>
  <si>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</si>
  <si>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</si>
  <si>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</si>
  <si>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</si>
  <si>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</si>
  <si>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</si>
  <si>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</si>
  <si>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</si>
  <si>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</si>
  <si>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</si>
  <si>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</si>
  <si>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</si>
  <si>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</si>
  <si>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</si>
  <si>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Uses before financing costs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</si>
  <si>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</si>
  <si>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</si>
  <si>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</si>
  <si>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</si>
  <si>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</si>
  <si>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</si>
  <si>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</si>
  <si>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</si>
  <si>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</si>
  <si>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</si>
  <si>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</si>
  <si>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</si>
  <si>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</si>
  <si>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</si>
  <si>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</si>
  <si>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</si>
  <si>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June 2018 (2018 price base)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</si>
  <si>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</si>
  <si>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</si>
  <si>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</si>
  <si>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June 2018 (2018 price base)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</si>
  <si>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</si>
  <si>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</si>
  <si>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</si>
  <si>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</si>
  <si>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</si>
  <si>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OY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</si>
  <si>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</si>
  <si>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</si>
  <si>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</si>
  <si>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</si>
  <si>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years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</si>
  <si>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</si>
  <si>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</si>
  <si>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</si>
  <si>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</si>
  <si>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</si>
  <si>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</si>
  <si>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</si>
  <si>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</si>
  <si>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</si>
  <si>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</si>
  <si>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</si>
  <si>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</si>
  <si>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</si>
  <si>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</si>
  <si>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</si>
  <si>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</si>
  <si>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</si>
  <si>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</si>
  <si>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</si>
  <si>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</si>
  <si>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</si>
  <si>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</si>
  <si>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</si>
  <si>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</si>
  <si>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</si>
  <si>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</si>
  <si>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</si>
  <si>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</si>
  <si>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</si>
  <si>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</si>
  <si>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</si>
  <si>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</si>
  <si>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</si>
  <si>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</si>
  <si>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</si>
  <si>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</si>
  <si>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</si>
  <si>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</si>
  <si>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month 7 could fall in the period</t>
  </si>
  <si>
    <t xml:space="preserve">Major maintenance outside LTSA (2018 prices)</t>
  </si>
  <si>
    <t xml:space="preserve">Major maintenance spend</t>
  </si>
  <si>
    <t xml:space="preserve">Months in period from OY20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</si>
  <si>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</si>
  <si>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</si>
  <si>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</si>
  <si>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</si>
  <si>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</si>
  <si>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</si>
  <si>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</si>
  <si>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</si>
  <si>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</si>
  <si>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</si>
  <si>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</si>
  <si>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</si>
  <si>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</si>
  <si>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</si>
  <si>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</si>
  <si>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</si>
  <si>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</si>
  <si>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</si>
  <si>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</si>
  <si>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</si>
  <si>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</si>
  <si>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</si>
  <si>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</si>
  <si>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</si>
  <si>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</si>
  <si>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</si>
  <si>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</si>
  <si>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</si>
  <si>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</si>
  <si>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</si>
  <si>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</si>
  <si>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</si>
  <si>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</si>
  <si>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</si>
  <si>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</si>
  <si>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</si>
  <si>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</si>
  <si>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</si>
  <si>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</si>
  <si>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</si>
  <si>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</si>
  <si>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</si>
  <si>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</si>
  <si>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</si>
  <si>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</si>
  <si>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</si>
  <si>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</si>
  <si>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</si>
  <si>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</si>
  <si>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</si>
  <si>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</si>
  <si>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</si>
  <si>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</si>
  <si>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</si>
  <si>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</si>
  <si>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</si>
  <si>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</si>
  <si>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</si>
  <si>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</si>
  <si>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</si>
  <si>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</si>
  <si>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</si>
  <si>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</si>
  <si>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</si>
  <si>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</si>
  <si>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</si>
  <si>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</si>
  <si>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</si>
  <si>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</si>
  <si>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</si>
  <si>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</si>
  <si>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</si>
  <si>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</si>
  <si>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</si>
  <si>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</si>
  <si>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</si>
  <si>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</si>
  <si>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</si>
  <si>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</si>
  <si>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</si>
  <si>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</si>
  <si>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</si>
  <si>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</si>
  <si>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</si>
  <si>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</si>
  <si>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</si>
  <si>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</si>
  <si>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</si>
  <si>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</si>
  <si>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</si>
  <si>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</si>
  <si>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</si>
  <si>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</si>
  <si>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</si>
  <si>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</si>
  <si>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</si>
  <si>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</si>
  <si>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</si>
  <si>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</si>
  <si>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</si>
  <si>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</si>
  <si>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</si>
  <si>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</si>
  <si>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</si>
  <si>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</si>
  <si>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</si>
  <si>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</si>
  <si>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</si>
  <si>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</si>
  <si>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</si>
  <si>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</si>
  <si>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</si>
  <si>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</si>
  <si>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</si>
  <si>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</si>
  <si>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</si>
  <si>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</si>
  <si>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</si>
  <si>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</si>
  <si>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</si>
  <si>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</si>
  <si>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</si>
  <si>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</si>
  <si>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</si>
  <si>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Flag_Refinancing (2025H1)</t>
  </si>
  <si>
    <t xml:space="preserve">Flag_Waiver deferral (2023H2)</t>
  </si>
  <si>
    <t xml:space="preserve">Flag_Deferred repayment (2024H1-2025H2)</t>
  </si>
  <si>
    <t xml:space="preserve">Flag_LD prepayment (2022H1)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</si>
  <si>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</si>
  <si>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</si>
  <si>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</si>
  <si>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</si>
  <si>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</si>
  <si>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</si>
  <si>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amount at 2023-12-31</t>
  </si>
  <si>
    <t xml:space="preserve">Deferred principal repaid</t>
  </si>
  <si>
    <t xml:space="preserve">Principal paid</t>
  </si>
  <si>
    <t xml:space="preserve">Performance LD prepayment</t>
  </si>
  <si>
    <t xml:space="preserve">Refinanced (prepaid from bond proceeds)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</si>
  <si>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</si>
  <si>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</si>
  <si>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</si>
  <si>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</si>
  <si>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</si>
  <si>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</si>
  <si>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Commercial tranche</t>
  </si>
  <si>
    <t xml:space="preserve">2025 project bond</t>
  </si>
  <si>
    <t xml:space="preserve">Balance after scheduled payment</t>
  </si>
  <si>
    <t xml:space="preserve">Refinancing 2025 (USD m)</t>
  </si>
  <si>
    <t xml:space="preserve">Swap unwind discount factor at 3.68%</t>
  </si>
  <si>
    <t xml:space="preserve">Swap unwind receipt (terminated share, MTM at 3.68% flat)</t>
  </si>
  <si>
    <t xml:space="preserve">Principal prepaid (B-loan, commercial, standby)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</si>
  <si>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</si>
  <si>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</si>
  <si>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</si>
  <si>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</si>
  <si>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</si>
  <si>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</si>
  <si>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</si>
  <si>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</si>
  <si>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</si>
  <si>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</si>
  <si>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</si>
  <si>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</si>
  <si>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</si>
  <si>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</si>
  <si>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</si>
  <si>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</si>
  <si>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</si>
  <si>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</si>
  <si>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</si>
  <si>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</si>
  <si>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</si>
  <si>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</si>
  <si>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</si>
  <si>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</si>
  <si>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Flag_SculptingPeriod (first repayment to 2034H1)</t>
  </si>
  <si>
    <t xml:space="preserve">Sculpting rate on scheduled balance</t>
  </si>
  <si>
    <t xml:space="preserve">PV of CFADS to 2034H1 at the sculpting rate</t>
  </si>
  <si>
    <t xml:space="preserve">Sculpted DSCR = PV(CFADS) / debt</t>
  </si>
  <si>
    <t xml:space="preserve">Debt capacity at the 1.35x target</t>
  </si>
  <si>
    <t xml:space="preserve">Debt at the 75%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</si>
  <si>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</si>
  <si>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</si>
  <si>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</si>
  <si>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</si>
  <si>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</si>
  <si>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</si>
  <si>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</si>
  <si>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</si>
  <si>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</si>
  <si>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</si>
  <si>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</si>
  <si>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</si>
  <si>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</si>
  <si>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</si>
  <si>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</si>
  <si>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</si>
  <si>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</si>
  <si>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</si>
  <si>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</si>
  <si>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</si>
  <si>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</si>
  <si>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</si>
  <si>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</si>
  <si>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</si>
  <si>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</si>
  <si>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</si>
  <si>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</si>
  <si>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</si>
  <si>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</si>
  <si>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</si>
  <si>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</si>
  <si>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 (2023H1, 2023H2)</t>
  </si>
  <si>
    <t xml:space="preserve">Waiver regime (from 2023H1)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</si>
  <si>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</si>
  <si>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</si>
  <si>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</si>
  <si>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</si>
  <si>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count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</si>
  <si>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</si>
  <si>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</si>
  <si>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</si>
  <si>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</si>
  <si>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</si>
  <si>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</si>
  <si>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</si>
  <si>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</si>
  <si>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</si>
  <si>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</si>
  <si>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</si>
  <si>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</si>
  <si>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</si>
  <si>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</si>
  <si>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</si>
  <si>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</si>
  <si>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</si>
  <si>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</si>
  <si>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</si>
  <si>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</si>
  <si>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</si>
  <si>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</si>
  <si>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</si>
  <si>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</si>
  <si>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</si>
  <si>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</si>
  <si>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</si>
  <si>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</si>
  <si>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</si>
  <si>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</si>
  <si>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</si>
  <si>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</si>
  <si>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</si>
  <si>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</si>
  <si>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</si>
  <si>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</si>
  <si>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</si>
  <si>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</si>
  <si>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</si>
  <si>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</si>
  <si>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</si>
  <si>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</si>
  <si>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</si>
  <si>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</si>
  <si>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</si>
  <si>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</si>
  <si>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</si>
  <si>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</si>
  <si>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</si>
  <si>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</si>
  <si>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</si>
  <si>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</si>
  <si>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</si>
  <si>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</si>
  <si>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</si>
  <si>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</si>
  <si>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</si>
  <si>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</si>
  <si>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</si>
  <si>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</si>
  <si>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</si>
  <si>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</si>
  <si>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</si>
  <si>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</si>
  <si>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</si>
  <si>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</si>
  <si>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</si>
  <si>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</si>
  <si>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</si>
  <si>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</si>
  <si>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</si>
  <si>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</si>
  <si>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</si>
  <si>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</si>
  <si>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</si>
  <si>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</si>
  <si>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</si>
  <si>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</si>
  <si>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</si>
  <si>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 (USD 224.1m)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</si>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</sst>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15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113</v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INDEX($J$10:$X$10,1,Scenario)</f>
        <v>2</v>
      </c>
    </row>
    <row r="34" customFormat="false" ht="15" hidden="false" customHeight="false" outlineLevel="0" collapsed="false">
      <c r="D34" s="0" t="s">
        <v>125</v>
      </c>
      <c r="E34" s="0" t="s">
        <v>94</v>
      </c>
      <c r="F34" s="6" t="n">
        <f aca="false">INDEX($J$11:$X$11,1,Scenario)</f>
        <v>2</v>
      </c>
    </row>
    <row r="35" customFormat="false" ht="15" hidden="false" customHeight="false" outlineLevel="0" collapsed="false">
      <c r="D35" s="0" t="s">
        <v>126</v>
      </c>
      <c r="E35" s="0" t="s">
        <v>97</v>
      </c>
      <c r="F35" s="6" t="n">
        <f aca="false">INDEX($J$12:$X$12,1,Scenario)</f>
        <v>0</v>
      </c>
    </row>
    <row r="36" customFormat="false" ht="15" hidden="false" customHeight="false" outlineLevel="0" collapsed="false">
      <c r="D36" s="0" t="s">
        <v>127</v>
      </c>
      <c r="E36" s="0" t="s">
        <v>99</v>
      </c>
      <c r="F36" s="6" t="n">
        <f aca="false">INDEX($J$13:$X$13,1,Scenario)</f>
        <v>1</v>
      </c>
    </row>
    <row r="37" customFormat="false" ht="15" hidden="false" customHeight="false" outlineLevel="0" collapsed="false">
      <c r="D37" s="0" t="s">
        <v>128</v>
      </c>
      <c r="E37" s="0" t="s">
        <v>101</v>
      </c>
      <c r="F37" s="6" t="n">
        <f aca="false">INDEX($J$14:$X$14,1,Scenario)</f>
        <v>0</v>
      </c>
    </row>
    <row r="38" customFormat="false" ht="15" hidden="false" customHeight="false" outlineLevel="0" collapsed="false">
      <c r="D38" s="0" t="s">
        <v>129</v>
      </c>
      <c r="E38" s="0" t="s">
        <v>103</v>
      </c>
      <c r="F38" s="6" t="n">
        <f aca="false">INDEX($J$15:$X$15,1,Scenario)</f>
        <v>76.5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INDEX($J$16:$X$16,1,Scenario)</f>
        <v>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INDEX($J$17:$X$17,1,Scenario)</f>
        <v>1</v>
      </c>
    </row>
    <row r="41" customFormat="false" ht="15" hidden="false" customHeight="false" outlineLevel="0" collapsed="false">
      <c r="D41" s="0" t="s">
        <v>132</v>
      </c>
      <c r="E41" s="0" t="s">
        <v>99</v>
      </c>
      <c r="F41" s="6" t="n">
        <f aca="false">INDEX($J$18:$X$18,1,Scenario)</f>
        <v>1</v>
      </c>
    </row>
    <row r="42" customFormat="false" ht="15" hidden="false" customHeight="false" outlineLevel="0" collapsed="false">
      <c r="D42" s="0" t="s">
        <v>133</v>
      </c>
      <c r="E42" s="0" t="s">
        <v>103</v>
      </c>
      <c r="F42" s="6" t="n">
        <f aca="false">INDEX($J$19:$X$19,1,Scenario)</f>
        <v>0</v>
      </c>
    </row>
    <row r="43" customFormat="false" ht="15" hidden="false" customHeight="false" outlineLevel="0" collapsed="false">
      <c r="D43" s="0" t="s">
        <v>134</v>
      </c>
      <c r="E43" s="0" t="s">
        <v>109</v>
      </c>
      <c r="F43" s="6" t="n">
        <f aca="false">INDEX($J$20:$X$20,1,Scenario)</f>
        <v>0</v>
      </c>
    </row>
    <row r="44" customFormat="false" ht="15" hidden="false" customHeight="false" outlineLevel="0" collapsed="false">
      <c r="D44" s="0" t="s">
        <v>135</v>
      </c>
      <c r="E44" s="0" t="s">
        <v>111</v>
      </c>
      <c r="F44" s="6" t="n">
        <f aca="false">INDEX($J$21:$X$21,1,Scenario)</f>
        <v>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INDEX($J$22:$X$22,1,Scenario)</f>
        <v>1</v>
      </c>
    </row>
    <row r="46" customFormat="false" ht="15" hidden="false" customHeight="false" outlineLevel="0" collapsed="false">
      <c r="D46" s="0" t="s">
        <v>137</v>
      </c>
      <c r="E46" s="0" t="s">
        <v>113</v>
      </c>
      <c r="F46" s="6" t="n">
        <f aca="false">INDEX($J$23:$X$23,1,Scenario)</f>
        <v>1</v>
      </c>
    </row>
    <row r="47" customFormat="false" ht="15" hidden="false" customHeight="false" outlineLevel="0" collapsed="false">
      <c r="D47" s="0" t="s">
        <v>138</v>
      </c>
      <c r="E47" s="0" t="s">
        <v>94</v>
      </c>
      <c r="F47" s="6" t="n">
        <f aca="false">INDEX($J$24:$X$24,1,Scenario)</f>
        <v>2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INDEX($J$25:$X$25,1,Scenario)</f>
        <v>1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INDEX($J$26:$X$26,1,Scenario)</f>
        <v>1</v>
      </c>
    </row>
    <row r="50" customFormat="false" ht="15" hidden="false" customHeight="false" outlineLevel="0" collapsed="false">
      <c r="D50" s="0" t="s">
        <v>141</v>
      </c>
      <c r="E50" s="0" t="s">
        <v>113</v>
      </c>
      <c r="F50" s="6" t="n">
        <f aca="false">INDEX($J$27:$X$27,1,Scenario)</f>
        <v>1</v>
      </c>
    </row>
    <row r="51" customFormat="false" ht="15" hidden="false" customHeight="false" outlineLevel="0" collapsed="false">
      <c r="D51" s="0" t="s">
        <v>142</v>
      </c>
      <c r="E51" s="0" t="s">
        <v>94</v>
      </c>
      <c r="F51" s="6" t="n">
        <f aca="false">INDEX($J$28:$X$28,1,Scenario)</f>
        <v>1</v>
      </c>
    </row>
    <row r="52" customFormat="false" ht="15" hidden="false" customHeight="false" outlineLevel="0" collapsed="false">
      <c r="D52" s="0" t="s">
        <v>143</v>
      </c>
      <c r="E52" s="0" t="s">
        <v>113</v>
      </c>
      <c r="F52" s="6" t="n">
        <f aca="false">INDEX($J$29:$X$29,1,Scenario)</f>
        <v>1</v>
      </c>
    </row>
    <row r="53" customFormat="false" ht="15" hidden="false" customHeight="false" outlineLevel="0" collapsed="false">
      <c r="D53" s="0" t="s">
        <v>144</v>
      </c>
      <c r="E53" s="0" t="s">
        <v>109</v>
      </c>
      <c r="F53" s="6" t="n">
        <f aca="false">INDEX($J$30:$X$30,1,Scenario)</f>
        <v>0.8</v>
      </c>
    </row>
    <row r="54" customFormat="false" ht="15" hidden="false" customHeight="false" outlineLevel="0" collapsed="false">
      <c r="D54" s="0" t="s">
        <v>145</v>
      </c>
      <c r="E54" s="0" t="s">
        <v>99</v>
      </c>
      <c r="F54" s="6" t="n">
        <f aca="false">INDEX($J$31:$X$31,1,Scenario)</f>
        <v>1</v>
      </c>
    </row>
    <row r="55" customFormat="false" ht="15" hidden="false" customHeight="false" outlineLevel="0" collapsed="false">
      <c r="D55" s="0" t="s">
        <v>146</v>
      </c>
      <c r="E55" s="0" t="s">
        <v>113</v>
      </c>
      <c r="F55" s="6" t="n">
        <f aca="false">INDEX($J$32:$X$32,1,Scenario)</f>
        <v>1</v>
      </c>
    </row>
    <row r="56" customFormat="false" ht="15" hidden="false" customHeight="false" outlineLevel="0" collapsed="false">
      <c r="B56" s="2" t="s">
        <v>147</v>
      </c>
    </row>
    <row r="57" customFormat="false" ht="15" hidden="false" customHeight="false" outlineLevel="0" collapsed="false">
      <c r="D57" s="0" t="s">
        <v>148</v>
      </c>
      <c r="E57" s="0" t="s">
        <v>149</v>
      </c>
      <c r="F57" s="7" t="n">
        <v>571.84</v>
      </c>
    </row>
    <row r="58" customFormat="false" ht="15" hidden="false" customHeight="false" outlineLevel="0" collapsed="false">
      <c r="D58" s="0" t="s">
        <v>150</v>
      </c>
      <c r="E58" s="0" t="s">
        <v>149</v>
      </c>
      <c r="F58" s="7" t="n">
        <v>489.17</v>
      </c>
    </row>
    <row r="59" customFormat="false" ht="15" hidden="false" customHeight="false" outlineLevel="0" collapsed="false">
      <c r="D59" s="0" t="s">
        <v>151</v>
      </c>
      <c r="E59" s="0" t="s">
        <v>149</v>
      </c>
      <c r="F59" s="7" t="n">
        <v>82.67</v>
      </c>
    </row>
    <row r="60" customFormat="false" ht="15" hidden="false" customHeight="false" outlineLevel="0" collapsed="false">
      <c r="D60" s="0" t="s">
        <v>152</v>
      </c>
      <c r="E60" s="0" t="s">
        <v>153</v>
      </c>
      <c r="F60" s="7" t="n">
        <v>519.4</v>
      </c>
    </row>
    <row r="61" customFormat="false" ht="15" hidden="false" customHeight="false" outlineLevel="0" collapsed="false">
      <c r="D61" s="0" t="s">
        <v>154</v>
      </c>
      <c r="E61" s="0" t="s">
        <v>149</v>
      </c>
      <c r="F61" s="7" t="n">
        <v>46.18</v>
      </c>
    </row>
    <row r="62" customFormat="false" ht="15" hidden="false" customHeight="false" outlineLevel="0" collapsed="false">
      <c r="D62" s="0" t="s">
        <v>155</v>
      </c>
      <c r="E62" s="0" t="s">
        <v>149</v>
      </c>
      <c r="F62" s="7" t="n">
        <v>7.62</v>
      </c>
    </row>
    <row r="63" customFormat="false" ht="15" hidden="false" customHeight="false" outlineLevel="0" collapsed="false">
      <c r="D63" s="0" t="s">
        <v>156</v>
      </c>
      <c r="E63" s="0" t="s">
        <v>149</v>
      </c>
      <c r="F63" s="7" t="n">
        <v>21.43</v>
      </c>
    </row>
    <row r="64" customFormat="false" ht="15" hidden="false" customHeight="false" outlineLevel="0" collapsed="false">
      <c r="D64" s="0" t="s">
        <v>157</v>
      </c>
      <c r="E64" s="0" t="s">
        <v>149</v>
      </c>
      <c r="F64" s="7" t="n">
        <v>11.2</v>
      </c>
    </row>
    <row r="65" customFormat="false" ht="15" hidden="false" customHeight="false" outlineLevel="0" collapsed="false">
      <c r="D65" s="0" t="s">
        <v>158</v>
      </c>
      <c r="E65" s="0" t="s">
        <v>149</v>
      </c>
      <c r="F65" s="7" t="n">
        <v>8.97</v>
      </c>
    </row>
    <row r="66" customFormat="false" ht="15" hidden="false" customHeight="false" outlineLevel="0" collapsed="false">
      <c r="D66" s="0" t="s">
        <v>159</v>
      </c>
      <c r="E66" s="0" t="s">
        <v>149</v>
      </c>
      <c r="F66" s="7" t="n">
        <v>38.4</v>
      </c>
    </row>
    <row r="67" customFormat="false" ht="15" hidden="false" customHeight="false" outlineLevel="0" collapsed="false">
      <c r="D67" s="0" t="s">
        <v>160</v>
      </c>
      <c r="E67" s="0" t="s">
        <v>149</v>
      </c>
      <c r="F67" s="7" t="n">
        <v>5.35</v>
      </c>
    </row>
    <row r="68" customFormat="false" ht="15" hidden="false" customHeight="false" outlineLevel="0" collapsed="false">
      <c r="D68" s="0" t="s">
        <v>161</v>
      </c>
      <c r="E68" s="0" t="s">
        <v>149</v>
      </c>
      <c r="F68" s="7" t="n">
        <v>14.2</v>
      </c>
    </row>
    <row r="69" customFormat="false" ht="15" hidden="false" customHeight="false" outlineLevel="0" collapsed="false">
      <c r="D69" s="0" t="s">
        <v>162</v>
      </c>
      <c r="E69" s="0" t="s">
        <v>149</v>
      </c>
      <c r="F69" s="7" t="n">
        <v>6.93</v>
      </c>
    </row>
    <row r="70" customFormat="false" ht="15" hidden="false" customHeight="false" outlineLevel="0" collapsed="false">
      <c r="D70" s="0" t="s">
        <v>163</v>
      </c>
      <c r="E70" s="0" t="s">
        <v>103</v>
      </c>
      <c r="F70" s="7" t="n">
        <v>18</v>
      </c>
    </row>
    <row r="71" customFormat="false" ht="15" hidden="false" customHeight="false" outlineLevel="0" collapsed="false">
      <c r="D71" s="0" t="s">
        <v>164</v>
      </c>
      <c r="E71" s="0" t="s">
        <v>103</v>
      </c>
      <c r="F71" s="7" t="n">
        <v>2.5</v>
      </c>
    </row>
    <row r="72" customFormat="false" ht="15" hidden="false" customHeight="false" outlineLevel="0" collapsed="false">
      <c r="D72" s="0" t="s">
        <v>165</v>
      </c>
      <c r="E72" s="0" t="s">
        <v>166</v>
      </c>
      <c r="F72" s="7" t="n">
        <v>7900</v>
      </c>
    </row>
    <row r="73" customFormat="false" ht="15" hidden="false" customHeight="false" outlineLevel="0" collapsed="false">
      <c r="D73" s="0" t="s">
        <v>167</v>
      </c>
      <c r="E73" s="0" t="s">
        <v>103</v>
      </c>
      <c r="F73" s="7" t="n">
        <v>13.5</v>
      </c>
    </row>
    <row r="74" customFormat="false" ht="15" hidden="false" customHeight="false" outlineLevel="0" collapsed="false">
      <c r="B74" s="2" t="s">
        <v>168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0.3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0.22</v>
      </c>
    </row>
    <row r="77" customFormat="false" ht="15" hidden="false" customHeight="false" outlineLevel="0" collapsed="false">
      <c r="D77" s="0" t="s">
        <v>171</v>
      </c>
      <c r="E77" s="0" t="s">
        <v>109</v>
      </c>
      <c r="F77" s="7" t="n">
        <v>0.1</v>
      </c>
    </row>
    <row r="78" customFormat="false" ht="15" hidden="false" customHeight="false" outlineLevel="0" collapsed="false">
      <c r="D78" s="0" t="s">
        <v>172</v>
      </c>
      <c r="E78" s="0" t="s">
        <v>109</v>
      </c>
      <c r="F78" s="7" t="n">
        <v>0.38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1.35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3.65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3.4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4.1</v>
      </c>
    </row>
    <row r="83" customFormat="false" ht="15" hidden="false" customHeight="false" outlineLevel="0" collapsed="false">
      <c r="D83" s="0" t="s">
        <v>177</v>
      </c>
      <c r="E83" s="0" t="s">
        <v>103</v>
      </c>
      <c r="F83" s="7" t="n">
        <v>4.6</v>
      </c>
    </row>
    <row r="84" customFormat="false" ht="15" hidden="false" customHeight="false" outlineLevel="0" collapsed="false">
      <c r="D84" s="0" t="s">
        <v>178</v>
      </c>
      <c r="E84" s="0" t="s">
        <v>103</v>
      </c>
      <c r="F84" s="7" t="n">
        <v>5.1</v>
      </c>
    </row>
    <row r="85" customFormat="false" ht="15" hidden="false" customHeight="false" outlineLevel="0" collapsed="false">
      <c r="D85" s="0" t="s">
        <v>179</v>
      </c>
      <c r="E85" s="0" t="s">
        <v>180</v>
      </c>
      <c r="F85" s="7" t="n">
        <v>0.45</v>
      </c>
    </row>
    <row r="86" customFormat="false" ht="15" hidden="false" customHeight="false" outlineLevel="0" collapsed="false">
      <c r="D86" s="0" t="s">
        <v>181</v>
      </c>
      <c r="E86" s="0" t="s">
        <v>180</v>
      </c>
      <c r="F86" s="7" t="n">
        <v>0.75</v>
      </c>
    </row>
    <row r="87" customFormat="false" ht="15" hidden="false" customHeight="false" outlineLevel="0" collapsed="false">
      <c r="D87" s="0" t="s">
        <v>182</v>
      </c>
      <c r="E87" s="0" t="s">
        <v>180</v>
      </c>
      <c r="F87" s="7" t="n">
        <v>0.85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40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1.1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1.25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1.5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2.15</v>
      </c>
    </row>
    <row r="93" customFormat="false" ht="15" hidden="false" customHeight="false" outlineLevel="0" collapsed="false">
      <c r="D93" s="0" t="s">
        <v>188</v>
      </c>
      <c r="E93" s="0" t="s">
        <v>103</v>
      </c>
      <c r="F93" s="7" t="n">
        <v>10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10.85</v>
      </c>
    </row>
    <row r="95" customFormat="false" ht="15" hidden="false" customHeight="false" outlineLevel="0" collapsed="false">
      <c r="D95" s="0" t="s">
        <v>190</v>
      </c>
      <c r="E95" s="0" t="s">
        <v>180</v>
      </c>
      <c r="F95" s="7" t="n">
        <v>1.15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90</v>
      </c>
    </row>
    <row r="97" customFormat="false" ht="15" hidden="false" customHeight="false" outlineLevel="0" collapsed="false">
      <c r="D97" s="0" t="s">
        <v>192</v>
      </c>
      <c r="E97" s="0" t="s">
        <v>103</v>
      </c>
      <c r="F97" s="7" t="n">
        <v>2.947</v>
      </c>
    </row>
    <row r="98" customFormat="false" ht="15" hidden="false" customHeight="false" outlineLevel="0" collapsed="false">
      <c r="D98" s="0" t="s">
        <v>193</v>
      </c>
      <c r="E98" s="0" t="s">
        <v>103</v>
      </c>
      <c r="F98" s="7" t="n">
        <v>0.42826</v>
      </c>
    </row>
    <row r="99" customFormat="false" ht="15" hidden="false" customHeight="false" outlineLevel="0" collapsed="false">
      <c r="D99" s="0" t="s">
        <v>194</v>
      </c>
      <c r="E99" s="0" t="s">
        <v>149</v>
      </c>
      <c r="F99" s="7" t="n">
        <v>46</v>
      </c>
    </row>
    <row r="100" customFormat="false" ht="15" hidden="false" customHeight="false" outlineLevel="0" collapsed="false">
      <c r="D100" s="0" t="s">
        <v>195</v>
      </c>
      <c r="E100" s="0" t="s">
        <v>180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103</v>
      </c>
      <c r="F101" s="7" t="n">
        <v>0.25</v>
      </c>
    </row>
    <row r="102" customFormat="false" ht="15" hidden="false" customHeight="false" outlineLevel="0" collapsed="false">
      <c r="D102" s="0" t="s">
        <v>197</v>
      </c>
      <c r="E102" s="0" t="s">
        <v>109</v>
      </c>
      <c r="F102" s="7" t="n">
        <v>0.6</v>
      </c>
    </row>
    <row r="103" customFormat="false" ht="15" hidden="false" customHeight="false" outlineLevel="0" collapsed="false">
      <c r="D103" s="0" t="s">
        <v>198</v>
      </c>
      <c r="E103" s="0" t="s">
        <v>149</v>
      </c>
      <c r="F103" s="7" t="n">
        <v>15.4</v>
      </c>
    </row>
    <row r="104" customFormat="false" ht="15" hidden="false" customHeight="false" outlineLevel="0" collapsed="false">
      <c r="D104" s="0" t="s">
        <v>199</v>
      </c>
      <c r="E104" s="0" t="s">
        <v>180</v>
      </c>
      <c r="F104" s="7" t="n">
        <v>9.5</v>
      </c>
    </row>
    <row r="105" customFormat="false" ht="15" hidden="false" customHeight="false" outlineLevel="0" collapsed="false">
      <c r="D105" s="0" t="s">
        <v>200</v>
      </c>
      <c r="E105" s="0" t="s">
        <v>109</v>
      </c>
      <c r="F105" s="7" t="n">
        <v>0.75</v>
      </c>
    </row>
    <row r="106" customFormat="false" ht="15" hidden="false" customHeight="false" outlineLevel="0" collapsed="false">
      <c r="D106" s="0" t="s">
        <v>201</v>
      </c>
      <c r="E106" s="0" t="s">
        <v>202</v>
      </c>
      <c r="F106" s="7" t="n">
        <v>1.35</v>
      </c>
    </row>
    <row r="107" customFormat="false" ht="15" hidden="false" customHeight="false" outlineLevel="0" collapsed="false">
      <c r="D107" s="0" t="s">
        <v>203</v>
      </c>
      <c r="E107" s="0" t="s">
        <v>204</v>
      </c>
      <c r="F107" s="7" t="n">
        <v>0.255</v>
      </c>
    </row>
    <row r="108" customFormat="false" ht="15" hidden="false" customHeight="false" outlineLevel="0" collapsed="false">
      <c r="D108" s="0" t="s">
        <v>205</v>
      </c>
      <c r="E108" s="0" t="s">
        <v>202</v>
      </c>
      <c r="F108" s="7" t="n">
        <v>1.2</v>
      </c>
    </row>
    <row r="109" customFormat="false" ht="15" hidden="false" customHeight="false" outlineLevel="0" collapsed="false">
      <c r="D109" s="0" t="s">
        <v>206</v>
      </c>
      <c r="E109" s="0" t="s">
        <v>202</v>
      </c>
      <c r="F109" s="7" t="n">
        <v>1.1</v>
      </c>
    </row>
    <row r="110" customFormat="false" ht="15" hidden="false" customHeight="false" outlineLevel="0" collapsed="false">
      <c r="D110" s="0" t="s">
        <v>207</v>
      </c>
      <c r="E110" s="0" t="s">
        <v>202</v>
      </c>
      <c r="F110" s="7" t="n">
        <v>1.25</v>
      </c>
    </row>
    <row r="111" customFormat="false" ht="15" hidden="false" customHeight="false" outlineLevel="0" collapsed="false">
      <c r="D111" s="0" t="s">
        <v>208</v>
      </c>
      <c r="E111" s="0" t="s">
        <v>109</v>
      </c>
      <c r="F111" s="7" t="n">
        <v>0.5</v>
      </c>
    </row>
    <row r="112" customFormat="false" ht="15" hidden="false" customHeight="false" outlineLevel="0" collapsed="false">
      <c r="B112" s="2" t="s">
        <v>209</v>
      </c>
    </row>
    <row r="113" customFormat="false" ht="15" hidden="false" customHeight="false" outlineLevel="0" collapsed="false">
      <c r="D113" s="0" t="s">
        <v>210</v>
      </c>
      <c r="E113" s="0" t="s">
        <v>149</v>
      </c>
      <c r="F113" s="7" t="n">
        <v>633.255975542774</v>
      </c>
    </row>
    <row r="114" customFormat="false" ht="15" hidden="false" customHeight="false" outlineLevel="0" collapsed="false">
      <c r="D114" s="0" t="s">
        <v>211</v>
      </c>
      <c r="E114" s="0" t="s">
        <v>149</v>
      </c>
      <c r="F114" s="7" t="n">
        <v>221.833767584051</v>
      </c>
    </row>
    <row r="115" customFormat="false" ht="15" hidden="false" customHeight="false" outlineLevel="0" collapsed="false">
      <c r="B115" s="2" t="s">
        <v>212</v>
      </c>
    </row>
    <row r="116" customFormat="false" ht="15" hidden="false" customHeight="false" outlineLevel="0" collapsed="false">
      <c r="D116" s="0" t="s">
        <v>213</v>
      </c>
      <c r="E116" s="0" t="s">
        <v>214</v>
      </c>
      <c r="F116" s="7" t="n">
        <v>588.4</v>
      </c>
    </row>
    <row r="117" customFormat="false" ht="15" hidden="false" customHeight="false" outlineLevel="0" collapsed="false">
      <c r="D117" s="0" t="s">
        <v>215</v>
      </c>
      <c r="E117" s="0" t="s">
        <v>214</v>
      </c>
      <c r="F117" s="7" t="n">
        <v>581.9</v>
      </c>
    </row>
    <row r="118" customFormat="false" ht="15" hidden="false" customHeight="false" outlineLevel="0" collapsed="false">
      <c r="D118" s="0" t="s">
        <v>216</v>
      </c>
      <c r="E118" s="0" t="s">
        <v>217</v>
      </c>
      <c r="F118" s="7" t="n">
        <v>6261</v>
      </c>
    </row>
    <row r="119" customFormat="false" ht="15" hidden="false" customHeight="false" outlineLevel="0" collapsed="false">
      <c r="D119" s="0" t="s">
        <v>218</v>
      </c>
      <c r="E119" s="0" t="s">
        <v>217</v>
      </c>
      <c r="F119" s="7" t="n">
        <v>6286</v>
      </c>
    </row>
    <row r="120" customFormat="false" ht="15" hidden="false" customHeight="false" outlineLevel="0" collapsed="false">
      <c r="D120" s="0" t="s">
        <v>219</v>
      </c>
      <c r="E120" s="0" t="s">
        <v>217</v>
      </c>
      <c r="F120" s="7" t="n">
        <v>6323</v>
      </c>
    </row>
    <row r="121" customFormat="false" ht="15" hidden="false" customHeight="false" outlineLevel="0" collapsed="false">
      <c r="D121" s="0" t="s">
        <v>220</v>
      </c>
      <c r="E121" s="0" t="s">
        <v>180</v>
      </c>
      <c r="F121" s="7" t="n">
        <v>0.1</v>
      </c>
    </row>
    <row r="122" customFormat="false" ht="15" hidden="false" customHeight="false" outlineLevel="0" collapsed="false">
      <c r="D122" s="0" t="s">
        <v>221</v>
      </c>
      <c r="E122" s="0" t="s">
        <v>103</v>
      </c>
      <c r="F122" s="7" t="n">
        <v>2.3</v>
      </c>
    </row>
    <row r="123" customFormat="false" ht="15" hidden="false" customHeight="false" outlineLevel="0" collapsed="false">
      <c r="D123" s="0" t="s">
        <v>222</v>
      </c>
      <c r="E123" s="0" t="s">
        <v>99</v>
      </c>
      <c r="F123" s="7" t="n">
        <v>1.108</v>
      </c>
    </row>
    <row r="124" customFormat="false" ht="15" hidden="false" customHeight="false" outlineLevel="0" collapsed="false">
      <c r="D124" s="0" t="s">
        <v>223</v>
      </c>
      <c r="E124" s="0" t="s">
        <v>224</v>
      </c>
      <c r="F124" s="7" t="n">
        <v>1055056</v>
      </c>
    </row>
    <row r="125" customFormat="false" ht="15" hidden="false" customHeight="false" outlineLevel="0" collapsed="false">
      <c r="D125" s="0" t="s">
        <v>225</v>
      </c>
      <c r="E125" s="0" t="s">
        <v>180</v>
      </c>
      <c r="F125" s="7" t="n">
        <v>0.15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1</v>
      </c>
    </row>
    <row r="127" customFormat="false" ht="15" hidden="false" customHeight="false" outlineLevel="0" collapsed="false">
      <c r="D127" s="0" t="s">
        <v>227</v>
      </c>
      <c r="E127" s="0" t="s">
        <v>180</v>
      </c>
      <c r="F127" s="7" t="n">
        <v>0.12</v>
      </c>
    </row>
    <row r="128" customFormat="false" ht="15" hidden="false" customHeight="false" outlineLevel="0" collapsed="false">
      <c r="D128" s="0" t="s">
        <v>228</v>
      </c>
      <c r="E128" s="0" t="s">
        <v>103</v>
      </c>
      <c r="F128" s="7" t="n">
        <v>0.8</v>
      </c>
    </row>
    <row r="129" customFormat="false" ht="15" hidden="false" customHeight="false" outlineLevel="0" collapsed="false">
      <c r="D129" s="0" t="s">
        <v>229</v>
      </c>
      <c r="E129" s="0" t="s">
        <v>230</v>
      </c>
      <c r="F129" s="7" t="n">
        <v>8059</v>
      </c>
    </row>
    <row r="130" customFormat="false" ht="15" hidden="false" customHeight="false" outlineLevel="0" collapsed="false">
      <c r="D130" s="0" t="s">
        <v>231</v>
      </c>
      <c r="E130" s="0" t="s">
        <v>232</v>
      </c>
      <c r="F130" s="7" t="n">
        <v>38</v>
      </c>
    </row>
    <row r="131" customFormat="false" ht="15" hidden="false" customHeight="false" outlineLevel="0" collapsed="false">
      <c r="D131" s="0" t="s">
        <v>233</v>
      </c>
      <c r="E131" s="0" t="s">
        <v>103</v>
      </c>
      <c r="F131" s="7" t="n">
        <v>76.5</v>
      </c>
    </row>
    <row r="132" customFormat="false" ht="15" hidden="false" customHeight="false" outlineLevel="0" collapsed="false">
      <c r="D132" s="0" t="s">
        <v>234</v>
      </c>
      <c r="E132" s="0" t="s">
        <v>230</v>
      </c>
      <c r="F132" s="7" t="n">
        <v>10</v>
      </c>
    </row>
    <row r="133" customFormat="false" ht="15" hidden="false" customHeight="false" outlineLevel="0" collapsed="false">
      <c r="D133" s="0" t="s">
        <v>235</v>
      </c>
      <c r="E133" s="0" t="s">
        <v>103</v>
      </c>
      <c r="F133" s="7" t="n">
        <v>90</v>
      </c>
    </row>
    <row r="134" customFormat="false" ht="15" hidden="false" customHeight="false" outlineLevel="0" collapsed="false">
      <c r="D134" s="0" t="s">
        <v>236</v>
      </c>
      <c r="E134" s="0" t="s">
        <v>237</v>
      </c>
      <c r="F134" s="7" t="n">
        <v>14.36</v>
      </c>
    </row>
    <row r="135" customFormat="false" ht="15" hidden="false" customHeight="false" outlineLevel="0" collapsed="false">
      <c r="D135" s="0" t="s">
        <v>238</v>
      </c>
      <c r="E135" s="0" t="s">
        <v>109</v>
      </c>
      <c r="F135" s="7" t="n">
        <v>0.2</v>
      </c>
    </row>
    <row r="136" customFormat="false" ht="15" hidden="false" customHeight="false" outlineLevel="0" collapsed="false">
      <c r="D136" s="0" t="s">
        <v>239</v>
      </c>
      <c r="E136" s="0" t="s">
        <v>237</v>
      </c>
      <c r="F136" s="7" t="n">
        <v>2.31</v>
      </c>
    </row>
    <row r="137" customFormat="false" ht="15" hidden="false" customHeight="false" outlineLevel="0" collapsed="false">
      <c r="D137" s="0" t="s">
        <v>240</v>
      </c>
      <c r="E137" s="0" t="s">
        <v>109</v>
      </c>
      <c r="F137" s="7" t="n">
        <v>0.62</v>
      </c>
    </row>
    <row r="138" customFormat="false" ht="15" hidden="false" customHeight="false" outlineLevel="0" collapsed="false">
      <c r="D138" s="0" t="s">
        <v>241</v>
      </c>
      <c r="E138" s="0" t="s">
        <v>153</v>
      </c>
      <c r="F138" s="7" t="n">
        <v>462.35</v>
      </c>
    </row>
    <row r="139" customFormat="false" ht="15" hidden="false" customHeight="false" outlineLevel="0" collapsed="false">
      <c r="D139" s="0" t="s">
        <v>242</v>
      </c>
      <c r="E139" s="0" t="s">
        <v>243</v>
      </c>
      <c r="F139" s="7" t="n">
        <v>3.86</v>
      </c>
    </row>
    <row r="140" customFormat="false" ht="15" hidden="false" customHeight="false" outlineLevel="0" collapsed="false">
      <c r="D140" s="0" t="s">
        <v>244</v>
      </c>
      <c r="E140" s="0" t="s">
        <v>109</v>
      </c>
      <c r="F140" s="7" t="n">
        <v>0.7</v>
      </c>
    </row>
    <row r="141" customFormat="false" ht="15" hidden="false" customHeight="false" outlineLevel="0" collapsed="false">
      <c r="B141" s="2" t="s">
        <v>245</v>
      </c>
    </row>
    <row r="142" customFormat="false" ht="15" hidden="false" customHeight="false" outlineLevel="0" collapsed="false">
      <c r="D142" s="0" t="s">
        <v>246</v>
      </c>
      <c r="E142" s="0" t="s">
        <v>247</v>
      </c>
      <c r="F142" s="7" t="n">
        <v>5.86</v>
      </c>
    </row>
    <row r="143" customFormat="false" ht="15" hidden="false" customHeight="false" outlineLevel="0" collapsed="false">
      <c r="D143" s="0" t="s">
        <v>248</v>
      </c>
      <c r="E143" s="0" t="s">
        <v>180</v>
      </c>
      <c r="F143" s="7" t="n">
        <v>2</v>
      </c>
    </row>
    <row r="144" customFormat="false" ht="15" hidden="false" customHeight="false" outlineLevel="0" collapsed="false">
      <c r="D144" s="0" t="s">
        <v>249</v>
      </c>
      <c r="E144" s="0" t="s">
        <v>250</v>
      </c>
      <c r="F144" s="7" t="n">
        <v>72400</v>
      </c>
    </row>
    <row r="145" customFormat="false" ht="15" hidden="false" customHeight="false" outlineLevel="0" collapsed="false">
      <c r="D145" s="0" t="s">
        <v>251</v>
      </c>
      <c r="E145" s="0" t="s">
        <v>109</v>
      </c>
      <c r="F145" s="7" t="n">
        <v>0.8</v>
      </c>
    </row>
    <row r="146" customFormat="false" ht="15" hidden="false" customHeight="false" outlineLevel="0" collapsed="false">
      <c r="D146" s="0" t="s">
        <v>252</v>
      </c>
      <c r="E146" s="0" t="s">
        <v>250</v>
      </c>
      <c r="F146" s="7" t="n">
        <v>96500</v>
      </c>
    </row>
    <row r="147" customFormat="false" ht="15" hidden="false" customHeight="false" outlineLevel="0" collapsed="false">
      <c r="D147" s="0" t="s">
        <v>253</v>
      </c>
      <c r="E147" s="0" t="s">
        <v>247</v>
      </c>
      <c r="F147" s="7" t="n">
        <v>0.62</v>
      </c>
    </row>
    <row r="148" customFormat="false" ht="15" hidden="false" customHeight="false" outlineLevel="0" collapsed="false">
      <c r="D148" s="0" t="s">
        <v>254</v>
      </c>
      <c r="E148" s="0" t="s">
        <v>247</v>
      </c>
      <c r="F148" s="7" t="n">
        <v>0.19</v>
      </c>
    </row>
    <row r="149" customFormat="false" ht="15" hidden="false" customHeight="false" outlineLevel="0" collapsed="false">
      <c r="D149" s="0" t="s">
        <v>255</v>
      </c>
      <c r="E149" s="0" t="s">
        <v>180</v>
      </c>
      <c r="F149" s="7" t="n">
        <v>1.5</v>
      </c>
    </row>
    <row r="150" customFormat="false" ht="15" hidden="false" customHeight="false" outlineLevel="0" collapsed="false">
      <c r="B150" s="2" t="s">
        <v>256</v>
      </c>
    </row>
    <row r="151" customFormat="false" ht="15" hidden="false" customHeight="false" outlineLevel="0" collapsed="false">
      <c r="D151" s="0" t="s">
        <v>257</v>
      </c>
      <c r="E151" s="0" t="s">
        <v>204</v>
      </c>
      <c r="F151" s="7" t="n">
        <v>7.92</v>
      </c>
    </row>
    <row r="152" customFormat="false" ht="15" hidden="false" customHeight="false" outlineLevel="0" collapsed="false">
      <c r="D152" s="0" t="s">
        <v>258</v>
      </c>
      <c r="E152" s="0" t="s">
        <v>109</v>
      </c>
      <c r="F152" s="7" t="n">
        <v>0.65</v>
      </c>
    </row>
    <row r="153" customFormat="false" ht="15" hidden="false" customHeight="false" outlineLevel="0" collapsed="false">
      <c r="D153" s="0" t="s">
        <v>259</v>
      </c>
      <c r="E153" s="0" t="s">
        <v>153</v>
      </c>
      <c r="F153" s="7" t="n">
        <v>516.8</v>
      </c>
    </row>
    <row r="154" customFormat="false" ht="15" hidden="false" customHeight="false" outlineLevel="0" collapsed="false">
      <c r="D154" s="0" t="s">
        <v>260</v>
      </c>
      <c r="E154" s="0" t="s">
        <v>204</v>
      </c>
      <c r="F154" s="7" t="n">
        <v>0.6</v>
      </c>
    </row>
    <row r="155" customFormat="false" ht="15" hidden="false" customHeight="false" outlineLevel="0" collapsed="false">
      <c r="D155" s="0" t="s">
        <v>261</v>
      </c>
      <c r="E155" s="0" t="s">
        <v>204</v>
      </c>
      <c r="F155" s="7" t="n">
        <v>2.64</v>
      </c>
    </row>
    <row r="156" customFormat="false" ht="15" hidden="false" customHeight="false" outlineLevel="0" collapsed="false">
      <c r="D156" s="0" t="s">
        <v>262</v>
      </c>
      <c r="E156" s="0" t="s">
        <v>263</v>
      </c>
      <c r="F156" s="7" t="n">
        <v>486</v>
      </c>
    </row>
    <row r="157" customFormat="false" ht="15" hidden="false" customHeight="false" outlineLevel="0" collapsed="false">
      <c r="D157" s="0" t="s">
        <v>264</v>
      </c>
      <c r="E157" s="0" t="s">
        <v>204</v>
      </c>
      <c r="F157" s="7" t="n">
        <v>4.37</v>
      </c>
    </row>
    <row r="158" customFormat="false" ht="15" hidden="false" customHeight="false" outlineLevel="0" collapsed="false">
      <c r="D158" s="0" t="s">
        <v>265</v>
      </c>
      <c r="E158" s="0" t="s">
        <v>109</v>
      </c>
      <c r="F158" s="7" t="n">
        <v>0.18</v>
      </c>
    </row>
    <row r="159" customFormat="false" ht="15" hidden="false" customHeight="false" outlineLevel="0" collapsed="false">
      <c r="D159" s="0" t="s">
        <v>266</v>
      </c>
      <c r="E159" s="0" t="s">
        <v>204</v>
      </c>
      <c r="F159" s="7" t="n">
        <v>3.18</v>
      </c>
    </row>
    <row r="160" customFormat="false" ht="15" hidden="false" customHeight="false" outlineLevel="0" collapsed="false">
      <c r="D160" s="0" t="s">
        <v>267</v>
      </c>
      <c r="E160" s="0" t="s">
        <v>268</v>
      </c>
      <c r="F160" s="7" t="n">
        <v>368</v>
      </c>
    </row>
    <row r="161" customFormat="false" ht="15" hidden="false" customHeight="false" outlineLevel="0" collapsed="false">
      <c r="D161" s="0" t="s">
        <v>269</v>
      </c>
      <c r="E161" s="0" t="s">
        <v>270</v>
      </c>
      <c r="F161" s="7" t="n">
        <v>0.55</v>
      </c>
    </row>
    <row r="162" customFormat="false" ht="15" hidden="false" customHeight="false" outlineLevel="0" collapsed="false">
      <c r="D162" s="0" t="s">
        <v>271</v>
      </c>
      <c r="E162" s="0" t="s">
        <v>243</v>
      </c>
      <c r="F162" s="7" t="n">
        <v>1.08</v>
      </c>
    </row>
    <row r="163" customFormat="false" ht="15" hidden="false" customHeight="false" outlineLevel="0" collapsed="false">
      <c r="D163" s="0" t="s">
        <v>272</v>
      </c>
      <c r="E163" s="0" t="s">
        <v>204</v>
      </c>
      <c r="F163" s="7" t="n">
        <v>0.31125</v>
      </c>
    </row>
    <row r="164" customFormat="false" ht="15" hidden="false" customHeight="false" outlineLevel="0" collapsed="false">
      <c r="D164" s="0" t="s">
        <v>273</v>
      </c>
      <c r="E164" s="0" t="s">
        <v>149</v>
      </c>
      <c r="F164" s="7" t="n">
        <v>9.47</v>
      </c>
    </row>
    <row r="165" customFormat="false" ht="15" hidden="false" customHeight="false" outlineLevel="0" collapsed="false">
      <c r="D165" s="0" t="s">
        <v>274</v>
      </c>
      <c r="E165" s="0" t="s">
        <v>149</v>
      </c>
      <c r="F165" s="7" t="n">
        <v>2.18</v>
      </c>
    </row>
    <row r="166" customFormat="false" ht="15" hidden="false" customHeight="false" outlineLevel="0" collapsed="false">
      <c r="D166" s="0" t="s">
        <v>275</v>
      </c>
      <c r="E166" s="0" t="s">
        <v>204</v>
      </c>
      <c r="F166" s="7" t="n">
        <v>1.85</v>
      </c>
    </row>
    <row r="167" customFormat="false" ht="15" hidden="false" customHeight="false" outlineLevel="0" collapsed="false">
      <c r="B167" s="2" t="s">
        <v>276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45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45</v>
      </c>
    </row>
    <row r="170" customFormat="false" ht="15" hidden="false" customHeight="false" outlineLevel="0" collapsed="false">
      <c r="D170" s="0" t="s">
        <v>279</v>
      </c>
      <c r="E170" s="0" t="s">
        <v>111</v>
      </c>
      <c r="F170" s="7" t="n">
        <v>30</v>
      </c>
    </row>
    <row r="171" customFormat="false" ht="15" hidden="false" customHeight="false" outlineLevel="0" collapsed="false">
      <c r="D171" s="0" t="s">
        <v>280</v>
      </c>
      <c r="E171" s="0" t="s">
        <v>111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111</v>
      </c>
      <c r="F172" s="7" t="n">
        <v>30</v>
      </c>
    </row>
    <row r="173" customFormat="false" ht="15" hidden="false" customHeight="false" outlineLevel="0" collapsed="false">
      <c r="B173" s="2" t="s">
        <v>282</v>
      </c>
    </row>
    <row r="174" customFormat="false" ht="15" hidden="false" customHeight="false" outlineLevel="0" collapsed="false">
      <c r="D174" s="0" t="s">
        <v>283</v>
      </c>
      <c r="E174" s="0" t="s">
        <v>103</v>
      </c>
      <c r="F174" s="7" t="n">
        <v>30</v>
      </c>
    </row>
    <row r="175" customFormat="false" ht="15" hidden="false" customHeight="false" outlineLevel="0" collapsed="false">
      <c r="D175" s="0" t="s">
        <v>284</v>
      </c>
      <c r="E175" s="0" t="s">
        <v>103</v>
      </c>
      <c r="F175" s="7" t="n">
        <v>15</v>
      </c>
    </row>
    <row r="176" customFormat="false" ht="15" hidden="false" customHeight="false" outlineLevel="0" collapsed="false">
      <c r="D176" s="0" t="s">
        <v>285</v>
      </c>
      <c r="E176" s="0" t="s">
        <v>103</v>
      </c>
      <c r="F176" s="7" t="n">
        <v>0.5</v>
      </c>
    </row>
    <row r="177" customFormat="false" ht="15" hidden="false" customHeight="false" outlineLevel="0" collapsed="false">
      <c r="D177" s="0" t="s">
        <v>286</v>
      </c>
      <c r="E177" s="0" t="s">
        <v>109</v>
      </c>
      <c r="F177" s="7" t="n">
        <v>0.92</v>
      </c>
    </row>
    <row r="178" customFormat="false" ht="15" hidden="false" customHeight="false" outlineLevel="0" collapsed="false">
      <c r="D178" s="0" t="s">
        <v>287</v>
      </c>
      <c r="E178" s="0" t="s">
        <v>97</v>
      </c>
      <c r="F178" s="7" t="n">
        <v>240</v>
      </c>
    </row>
    <row r="179" customFormat="false" ht="15" hidden="false" customHeight="false" outlineLevel="0" collapsed="false">
      <c r="D179" s="0" t="s">
        <v>288</v>
      </c>
      <c r="E179" s="0" t="s">
        <v>109</v>
      </c>
      <c r="F179" s="7" t="n">
        <v>0.05</v>
      </c>
    </row>
    <row r="180" customFormat="false" ht="15" hidden="false" customHeight="false" outlineLevel="0" collapsed="false">
      <c r="D180" s="0" t="s">
        <v>289</v>
      </c>
      <c r="E180" s="0" t="s">
        <v>97</v>
      </c>
      <c r="F180" s="7" t="n">
        <v>300</v>
      </c>
    </row>
    <row r="181" customFormat="false" ht="15" hidden="false" customHeight="false" outlineLevel="0" collapsed="false">
      <c r="D181" s="0" t="s">
        <v>290</v>
      </c>
      <c r="E181" s="0" t="s">
        <v>109</v>
      </c>
      <c r="F181" s="7" t="n">
        <v>0.03</v>
      </c>
    </row>
    <row r="182" customFormat="false" ht="15" hidden="false" customHeight="false" outlineLevel="0" collapsed="false">
      <c r="D182" s="0" t="s">
        <v>291</v>
      </c>
      <c r="E182" s="0" t="s">
        <v>97</v>
      </c>
      <c r="F182" s="7" t="n">
        <v>60</v>
      </c>
    </row>
    <row r="183" customFormat="false" ht="15" hidden="false" customHeight="false" outlineLevel="0" collapsed="false">
      <c r="D183" s="0" t="s">
        <v>292</v>
      </c>
      <c r="E183" s="0" t="s">
        <v>202</v>
      </c>
      <c r="F183" s="7" t="n">
        <v>3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30</v>
      </c>
    </row>
    <row r="185" customFormat="false" ht="15" hidden="false" customHeight="false" outlineLevel="0" collapsed="false">
      <c r="B185" s="2" t="s">
        <v>294</v>
      </c>
    </row>
    <row r="186" customFormat="false" ht="15" hidden="false" customHeight="false" outlineLevel="0" collapsed="false">
      <c r="D186" s="0" t="s">
        <v>295</v>
      </c>
      <c r="E186" s="0" t="s">
        <v>109</v>
      </c>
      <c r="F186" s="7" t="n">
        <v>0.8</v>
      </c>
    </row>
    <row r="187" customFormat="false" ht="15" hidden="false" customHeight="false" outlineLevel="0" collapsed="false">
      <c r="D187" s="0" t="s">
        <v>296</v>
      </c>
      <c r="E187" s="0" t="s">
        <v>103</v>
      </c>
      <c r="F187" s="7" t="n">
        <v>2</v>
      </c>
    </row>
    <row r="188" customFormat="false" ht="15" hidden="false" customHeight="false" outlineLevel="0" collapsed="false">
      <c r="D188" s="0" t="s">
        <v>297</v>
      </c>
      <c r="E188" s="0" t="s">
        <v>109</v>
      </c>
      <c r="F188" s="7" t="n">
        <v>0.6</v>
      </c>
    </row>
    <row r="189" customFormat="false" ht="15" hidden="false" customHeight="false" outlineLevel="0" collapsed="false">
      <c r="D189" s="0" t="s">
        <v>298</v>
      </c>
      <c r="E189" s="0" t="s">
        <v>149</v>
      </c>
      <c r="F189" s="7" t="n">
        <v>10.1393</v>
      </c>
    </row>
    <row r="190" customFormat="false" ht="15" hidden="false" customHeight="false" outlineLevel="0" collapsed="false">
      <c r="D190" s="0" t="s">
        <v>299</v>
      </c>
      <c r="E190" s="0" t="s">
        <v>149</v>
      </c>
      <c r="F190" s="7" t="n">
        <v>7.0804</v>
      </c>
    </row>
    <row r="191" customFormat="false" ht="15" hidden="false" customHeight="false" outlineLevel="0" collapsed="false">
      <c r="D191" s="0" t="s">
        <v>300</v>
      </c>
      <c r="E191" s="0" t="s">
        <v>149</v>
      </c>
      <c r="F191" s="7" t="n">
        <v>18.485</v>
      </c>
    </row>
    <row r="192" customFormat="false" ht="15" hidden="false" customHeight="false" outlineLevel="0" collapsed="false">
      <c r="D192" s="0" t="s">
        <v>301</v>
      </c>
      <c r="E192" s="0" t="s">
        <v>302</v>
      </c>
      <c r="F192" s="7" t="n">
        <v>0.25</v>
      </c>
    </row>
    <row r="193" customFormat="false" ht="15" hidden="false" customHeight="false" outlineLevel="0" collapsed="false">
      <c r="D193" s="0" t="s">
        <v>303</v>
      </c>
      <c r="E193" s="0" t="s">
        <v>103</v>
      </c>
      <c r="F193" s="7" t="n">
        <v>0.5</v>
      </c>
    </row>
    <row r="194" customFormat="false" ht="15" hidden="false" customHeight="false" outlineLevel="0" collapsed="false">
      <c r="D194" s="0" t="s">
        <v>304</v>
      </c>
      <c r="E194" s="0" t="s">
        <v>109</v>
      </c>
      <c r="F194" s="7" t="n">
        <v>0.6</v>
      </c>
    </row>
    <row r="195" customFormat="false" ht="15" hidden="false" customHeight="false" outlineLevel="0" collapsed="false">
      <c r="D195" s="0" t="s">
        <v>305</v>
      </c>
      <c r="E195" s="0" t="s">
        <v>103</v>
      </c>
      <c r="F195" s="7" t="n">
        <v>7.875</v>
      </c>
    </row>
    <row r="196" customFormat="false" ht="15" hidden="false" customHeight="false" outlineLevel="0" collapsed="false">
      <c r="D196" s="0" t="s">
        <v>306</v>
      </c>
      <c r="E196" s="0" t="s">
        <v>109</v>
      </c>
      <c r="F196" s="7" t="n">
        <v>0.99512</v>
      </c>
    </row>
    <row r="197" customFormat="false" ht="15" hidden="false" customHeight="false" outlineLevel="0" collapsed="false">
      <c r="D197" s="0" t="s">
        <v>307</v>
      </c>
      <c r="E197" s="0" t="s">
        <v>109</v>
      </c>
      <c r="F197" s="7" t="n">
        <v>0.01</v>
      </c>
    </row>
    <row r="198" customFormat="false" ht="15" hidden="false" customHeight="false" outlineLevel="0" collapsed="false">
      <c r="D198" s="0" t="s">
        <v>308</v>
      </c>
      <c r="E198" s="0" t="s">
        <v>149</v>
      </c>
      <c r="F198" s="7" t="n">
        <v>3.1</v>
      </c>
    </row>
    <row r="199" customFormat="false" ht="15" hidden="false" customHeight="false" outlineLevel="0" collapsed="false">
      <c r="D199" s="0" t="s">
        <v>309</v>
      </c>
      <c r="E199" s="0" t="s">
        <v>149</v>
      </c>
      <c r="F199" s="7" t="n">
        <v>95</v>
      </c>
    </row>
    <row r="200" customFormat="false" ht="15" hidden="false" customHeight="false" outlineLevel="0" collapsed="false">
      <c r="D200" s="0" t="s">
        <v>310</v>
      </c>
      <c r="E200" s="0" t="s">
        <v>180</v>
      </c>
      <c r="F200" s="7" t="n">
        <v>1.1</v>
      </c>
    </row>
    <row r="201" customFormat="false" ht="15" hidden="false" customHeight="false" outlineLevel="0" collapsed="false">
      <c r="D201" s="0" t="s">
        <v>311</v>
      </c>
      <c r="E201" s="0" t="s">
        <v>103</v>
      </c>
      <c r="F201" s="7" t="n">
        <v>0.75</v>
      </c>
    </row>
    <row r="202" customFormat="false" ht="15" hidden="false" customHeight="false" outlineLevel="0" collapsed="false">
      <c r="D202" s="0" t="s">
        <v>312</v>
      </c>
      <c r="E202" s="0" t="s">
        <v>103</v>
      </c>
      <c r="F202" s="7" t="n">
        <v>3.68</v>
      </c>
    </row>
    <row r="203" customFormat="false" ht="15" hidden="false" customHeight="false" outlineLevel="0" collapsed="false">
      <c r="D203" s="0" t="s">
        <v>313</v>
      </c>
      <c r="E203" s="0" t="s">
        <v>109</v>
      </c>
      <c r="F203" s="7" t="n">
        <v>0.48</v>
      </c>
    </row>
    <row r="204" customFormat="false" ht="15" hidden="false" customHeight="false" outlineLevel="0" collapsed="false">
      <c r="D204" s="0" t="s">
        <v>314</v>
      </c>
      <c r="E204" s="0" t="s">
        <v>109</v>
      </c>
      <c r="F204" s="7" t="n">
        <v>0.52</v>
      </c>
    </row>
    <row r="205" customFormat="false" ht="15" hidden="false" customHeight="false" outlineLevel="0" collapsed="false">
      <c r="B205" s="2" t="s">
        <v>315</v>
      </c>
    </row>
    <row r="206" customFormat="false" ht="15" hidden="false" customHeight="false" outlineLevel="0" collapsed="false">
      <c r="D206" s="0" t="s">
        <v>316</v>
      </c>
      <c r="E206" s="0" t="s">
        <v>317</v>
      </c>
      <c r="J206" s="5" t="n">
        <v>2015</v>
      </c>
      <c r="K206" s="5" t="n">
        <v>2016</v>
      </c>
      <c r="L206" s="5" t="n">
        <v>2017</v>
      </c>
      <c r="M206" s="5" t="n">
        <v>2018</v>
      </c>
      <c r="N206" s="5" t="n">
        <v>2019</v>
      </c>
      <c r="O206" s="5" t="n">
        <v>2020</v>
      </c>
      <c r="P206" s="5" t="n">
        <v>2021</v>
      </c>
      <c r="Q206" s="5" t="n">
        <v>2022</v>
      </c>
      <c r="R206" s="5" t="n">
        <v>2023</v>
      </c>
      <c r="S206" s="5" t="n">
        <v>2024</v>
      </c>
      <c r="T206" s="5" t="n">
        <v>2025</v>
      </c>
      <c r="U206" s="5" t="n">
        <v>2026</v>
      </c>
      <c r="V206" s="5" t="n">
        <v>2027</v>
      </c>
      <c r="W206" s="5" t="n">
        <v>2028</v>
      </c>
      <c r="X206" s="5" t="n">
        <v>2029</v>
      </c>
      <c r="Y206" s="5" t="n">
        <v>2030</v>
      </c>
      <c r="Z206" s="5" t="n">
        <v>2031</v>
      </c>
      <c r="AA206" s="5" t="n">
        <v>2032</v>
      </c>
      <c r="AB206" s="5" t="n">
        <v>2033</v>
      </c>
      <c r="AC206" s="5" t="n">
        <v>2034</v>
      </c>
      <c r="AD206" s="5" t="n">
        <v>2035</v>
      </c>
      <c r="AE206" s="5" t="n">
        <v>2036</v>
      </c>
      <c r="AF206" s="5" t="n">
        <v>2037</v>
      </c>
      <c r="AG206" s="5" t="n">
        <v>2038</v>
      </c>
      <c r="AH206" s="5" t="n">
        <v>2039</v>
      </c>
      <c r="AI206" s="5" t="n">
        <v>2040</v>
      </c>
      <c r="AJ206" s="5" t="n">
        <v>2041</v>
      </c>
      <c r="AK206" s="5" t="n">
        <v>2042</v>
      </c>
      <c r="AL206" s="5" t="n">
        <v>2043</v>
      </c>
      <c r="AM206" s="5" t="n">
        <v>2044</v>
      </c>
      <c r="AN206" s="5" t="n">
        <v>2045</v>
      </c>
      <c r="AO206" s="5" t="n">
        <v>2046</v>
      </c>
      <c r="AP206" s="5" t="n">
        <v>2047</v>
      </c>
      <c r="AQ206" s="5" t="n">
        <v>2048</v>
      </c>
      <c r="AR206" s="5" t="n">
        <v>2049</v>
      </c>
    </row>
    <row r="207" customFormat="false" ht="15" hidden="false" customHeight="false" outlineLevel="0" collapsed="false">
      <c r="D207" s="0" t="s">
        <v>318</v>
      </c>
      <c r="E207" s="0" t="s">
        <v>103</v>
      </c>
      <c r="J207" s="5" t="n">
        <v>0.1</v>
      </c>
      <c r="K207" s="5" t="n">
        <v>1.3</v>
      </c>
      <c r="L207" s="5" t="n">
        <v>2.1</v>
      </c>
      <c r="M207" s="5" t="n">
        <v>2.2</v>
      </c>
      <c r="N207" s="5" t="n">
        <v>2.2</v>
      </c>
      <c r="O207" s="5" t="n">
        <v>2.2</v>
      </c>
      <c r="P207" s="5" t="n">
        <v>2.2</v>
      </c>
      <c r="Q207" s="5" t="n">
        <v>2.2</v>
      </c>
      <c r="R207" s="5" t="n">
        <v>2.2</v>
      </c>
      <c r="S207" s="5" t="n">
        <v>2.2</v>
      </c>
      <c r="T207" s="5" t="n">
        <v>2.2</v>
      </c>
      <c r="U207" s="5" t="n">
        <v>2.2</v>
      </c>
      <c r="V207" s="5" t="n">
        <v>2.2</v>
      </c>
      <c r="W207" s="5" t="n">
        <v>2.2</v>
      </c>
      <c r="X207" s="5" t="n">
        <v>2.2</v>
      </c>
      <c r="Y207" s="5" t="n">
        <v>2.2</v>
      </c>
      <c r="Z207" s="5" t="n">
        <v>2.2</v>
      </c>
      <c r="AA207" s="5" t="n">
        <v>2.2</v>
      </c>
      <c r="AB207" s="5" t="n">
        <v>2.2</v>
      </c>
      <c r="AC207" s="5" t="n">
        <v>2.2</v>
      </c>
      <c r="AD207" s="5" t="n">
        <v>2.2</v>
      </c>
      <c r="AE207" s="5" t="n">
        <v>2.2</v>
      </c>
      <c r="AF207" s="5" t="n">
        <v>2.2</v>
      </c>
      <c r="AG207" s="5" t="n">
        <v>2.2</v>
      </c>
      <c r="AH207" s="5" t="n">
        <v>2.2</v>
      </c>
      <c r="AI207" s="5" t="n">
        <v>2.2</v>
      </c>
      <c r="AJ207" s="5" t="n">
        <v>2.2</v>
      </c>
      <c r="AK207" s="5" t="n">
        <v>2.2</v>
      </c>
      <c r="AL207" s="5" t="n">
        <v>2.2</v>
      </c>
      <c r="AM207" s="5" t="n">
        <v>2.2</v>
      </c>
      <c r="AN207" s="5" t="n">
        <v>2.2</v>
      </c>
      <c r="AO207" s="5" t="n">
        <v>2.2</v>
      </c>
      <c r="AP207" s="5" t="n">
        <v>2.2</v>
      </c>
      <c r="AQ207" s="5" t="n">
        <v>2.2</v>
      </c>
      <c r="AR207" s="5" t="n">
        <v>2.2</v>
      </c>
    </row>
    <row r="208" customFormat="false" ht="15" hidden="false" customHeight="false" outlineLevel="0" collapsed="false">
      <c r="D208" s="0" t="s">
        <v>319</v>
      </c>
      <c r="E208" s="0" t="s">
        <v>103</v>
      </c>
      <c r="J208" s="5" t="n">
        <v>8.7</v>
      </c>
      <c r="K208" s="5" t="n">
        <v>9.4</v>
      </c>
      <c r="L208" s="5" t="n">
        <v>8.1</v>
      </c>
      <c r="M208" s="5" t="n">
        <v>7.5</v>
      </c>
      <c r="N208" s="5" t="n">
        <v>7.5</v>
      </c>
      <c r="O208" s="5" t="n">
        <v>7.5</v>
      </c>
      <c r="P208" s="5" t="n">
        <v>7.5</v>
      </c>
      <c r="Q208" s="5" t="n">
        <v>7.5</v>
      </c>
      <c r="R208" s="5" t="n">
        <v>7.5</v>
      </c>
      <c r="S208" s="5" t="n">
        <v>7.5</v>
      </c>
      <c r="T208" s="5" t="n">
        <v>7.5</v>
      </c>
      <c r="U208" s="5" t="n">
        <v>7.5</v>
      </c>
      <c r="V208" s="5" t="n">
        <v>7.5</v>
      </c>
      <c r="W208" s="5" t="n">
        <v>7.5</v>
      </c>
      <c r="X208" s="5" t="n">
        <v>7.5</v>
      </c>
      <c r="Y208" s="5" t="n">
        <v>7.5</v>
      </c>
      <c r="Z208" s="5" t="n">
        <v>7.5</v>
      </c>
      <c r="AA208" s="5" t="n">
        <v>7.5</v>
      </c>
      <c r="AB208" s="5" t="n">
        <v>7.5</v>
      </c>
      <c r="AC208" s="5" t="n">
        <v>7.5</v>
      </c>
      <c r="AD208" s="5" t="n">
        <v>7.5</v>
      </c>
      <c r="AE208" s="5" t="n">
        <v>7.5</v>
      </c>
      <c r="AF208" s="5" t="n">
        <v>7.5</v>
      </c>
      <c r="AG208" s="5" t="n">
        <v>7.5</v>
      </c>
      <c r="AH208" s="5" t="n">
        <v>7.5</v>
      </c>
      <c r="AI208" s="5" t="n">
        <v>7.5</v>
      </c>
      <c r="AJ208" s="5" t="n">
        <v>7.5</v>
      </c>
      <c r="AK208" s="5" t="n">
        <v>7.5</v>
      </c>
      <c r="AL208" s="5" t="n">
        <v>7.5</v>
      </c>
      <c r="AM208" s="5" t="n">
        <v>7.5</v>
      </c>
      <c r="AN208" s="5" t="n">
        <v>7.5</v>
      </c>
      <c r="AO208" s="5" t="n">
        <v>7.5</v>
      </c>
      <c r="AP208" s="5" t="n">
        <v>7.5</v>
      </c>
      <c r="AQ208" s="5" t="n">
        <v>7.5</v>
      </c>
      <c r="AR208" s="5" t="n">
        <v>7.5</v>
      </c>
    </row>
    <row r="209" customFormat="false" ht="15" hidden="false" customHeight="false" outlineLevel="0" collapsed="false">
      <c r="D209" s="0" t="s">
        <v>320</v>
      </c>
      <c r="E209" s="0" t="s">
        <v>103</v>
      </c>
      <c r="J209" s="5" t="n">
        <v>0.1</v>
      </c>
      <c r="K209" s="5" t="n">
        <v>1.3</v>
      </c>
      <c r="L209" s="5" t="n">
        <v>2.1</v>
      </c>
      <c r="M209" s="5" t="n">
        <v>2.4</v>
      </c>
      <c r="N209" s="5" t="n">
        <v>1.8</v>
      </c>
      <c r="O209" s="5" t="n">
        <v>1.2</v>
      </c>
      <c r="P209" s="5" t="n">
        <v>4.7</v>
      </c>
      <c r="Q209" s="5" t="n">
        <v>8</v>
      </c>
      <c r="R209" s="5" t="n">
        <v>4.1</v>
      </c>
      <c r="S209" s="5" t="n">
        <v>2.9</v>
      </c>
      <c r="T209" s="5" t="n">
        <v>2.7</v>
      </c>
      <c r="U209" s="5" t="n">
        <v>2.6</v>
      </c>
      <c r="V209" s="5" t="n">
        <v>2.3</v>
      </c>
      <c r="W209" s="5" t="n">
        <v>2.3</v>
      </c>
      <c r="X209" s="5" t="n">
        <v>2.3</v>
      </c>
      <c r="Y209" s="5" t="n">
        <v>2.3</v>
      </c>
      <c r="Z209" s="5" t="n">
        <v>2.3</v>
      </c>
      <c r="AA209" s="5" t="n">
        <v>2.3</v>
      </c>
      <c r="AB209" s="5" t="n">
        <v>2.3</v>
      </c>
      <c r="AC209" s="5" t="n">
        <v>2.3</v>
      </c>
      <c r="AD209" s="5" t="n">
        <v>2.3</v>
      </c>
      <c r="AE209" s="5" t="n">
        <v>2.3</v>
      </c>
      <c r="AF209" s="5" t="n">
        <v>2.3</v>
      </c>
      <c r="AG209" s="5" t="n">
        <v>2.3</v>
      </c>
      <c r="AH209" s="5" t="n">
        <v>2.3</v>
      </c>
      <c r="AI209" s="5" t="n">
        <v>2.3</v>
      </c>
      <c r="AJ209" s="5" t="n">
        <v>2.3</v>
      </c>
      <c r="AK209" s="5" t="n">
        <v>2.3</v>
      </c>
      <c r="AL209" s="5" t="n">
        <v>2.3</v>
      </c>
      <c r="AM209" s="5" t="n">
        <v>2.3</v>
      </c>
      <c r="AN209" s="5" t="n">
        <v>2.3</v>
      </c>
      <c r="AO209" s="5" t="n">
        <v>2.3</v>
      </c>
      <c r="AP209" s="5" t="n">
        <v>2.3</v>
      </c>
      <c r="AQ209" s="5" t="n">
        <v>2.3</v>
      </c>
      <c r="AR209" s="5" t="n">
        <v>2.3</v>
      </c>
    </row>
    <row r="210" customFormat="false" ht="15" hidden="false" customHeight="false" outlineLevel="0" collapsed="false">
      <c r="D210" s="0" t="s">
        <v>321</v>
      </c>
      <c r="E210" s="0" t="s">
        <v>103</v>
      </c>
      <c r="J210" s="5" t="n">
        <v>8.7</v>
      </c>
      <c r="K210" s="5" t="n">
        <v>9.4</v>
      </c>
      <c r="L210" s="5" t="n">
        <v>8.1</v>
      </c>
      <c r="M210" s="5" t="n">
        <v>7.6</v>
      </c>
      <c r="N210" s="5" t="n">
        <v>7.9</v>
      </c>
      <c r="O210" s="5" t="n">
        <v>9.8</v>
      </c>
      <c r="P210" s="5" t="n">
        <v>10.6</v>
      </c>
      <c r="Q210" s="5" t="n">
        <v>26.3</v>
      </c>
      <c r="R210" s="5" t="n">
        <v>34.8</v>
      </c>
      <c r="S210" s="5" t="n">
        <v>19.2</v>
      </c>
      <c r="T210" s="5" t="n">
        <v>12.4</v>
      </c>
      <c r="U210" s="5" t="n">
        <v>9.6</v>
      </c>
      <c r="V210" s="5" t="n">
        <v>8</v>
      </c>
      <c r="W210" s="5" t="n">
        <v>7</v>
      </c>
      <c r="X210" s="5" t="n">
        <v>7</v>
      </c>
      <c r="Y210" s="5" t="n">
        <v>7</v>
      </c>
      <c r="Z210" s="5" t="n">
        <v>7</v>
      </c>
      <c r="AA210" s="5" t="n">
        <v>7</v>
      </c>
      <c r="AB210" s="5" t="n">
        <v>7</v>
      </c>
      <c r="AC210" s="5" t="n">
        <v>7</v>
      </c>
      <c r="AD210" s="5" t="n">
        <v>7</v>
      </c>
      <c r="AE210" s="5" t="n">
        <v>7</v>
      </c>
      <c r="AF210" s="5" t="n">
        <v>7</v>
      </c>
      <c r="AG210" s="5" t="n">
        <v>7</v>
      </c>
      <c r="AH210" s="5" t="n">
        <v>7</v>
      </c>
      <c r="AI210" s="5" t="n">
        <v>7</v>
      </c>
      <c r="AJ210" s="5" t="n">
        <v>7</v>
      </c>
      <c r="AK210" s="5" t="n">
        <v>7</v>
      </c>
      <c r="AL210" s="5" t="n">
        <v>7</v>
      </c>
      <c r="AM210" s="5" t="n">
        <v>7</v>
      </c>
      <c r="AN210" s="5" t="n">
        <v>7</v>
      </c>
      <c r="AO210" s="5" t="n">
        <v>7</v>
      </c>
      <c r="AP210" s="5" t="n">
        <v>7</v>
      </c>
      <c r="AQ210" s="5" t="n">
        <v>7</v>
      </c>
      <c r="AR210" s="5" t="n">
        <v>7</v>
      </c>
    </row>
    <row r="211" customFormat="false" ht="15" hidden="false" customHeight="false" outlineLevel="0" collapsed="false">
      <c r="D211" s="0" t="s">
        <v>322</v>
      </c>
      <c r="E211" s="0" t="s">
        <v>103</v>
      </c>
      <c r="J211" s="5" t="n">
        <v>0.1</v>
      </c>
      <c r="K211" s="5" t="n">
        <v>1.3</v>
      </c>
      <c r="L211" s="5" t="n">
        <v>2.1</v>
      </c>
      <c r="M211" s="5" t="n">
        <v>2.4</v>
      </c>
      <c r="N211" s="5" t="n">
        <v>1.8</v>
      </c>
      <c r="O211" s="5" t="n">
        <v>1.2</v>
      </c>
      <c r="P211" s="5" t="n">
        <v>4.7</v>
      </c>
      <c r="Q211" s="5" t="n">
        <v>2.2</v>
      </c>
      <c r="R211" s="5" t="n">
        <v>2.2</v>
      </c>
      <c r="S211" s="5" t="n">
        <v>2.2</v>
      </c>
      <c r="T211" s="5" t="n">
        <v>2.2</v>
      </c>
      <c r="U211" s="5" t="n">
        <v>2.2</v>
      </c>
      <c r="V211" s="5" t="n">
        <v>2.2</v>
      </c>
      <c r="W211" s="5" t="n">
        <v>2.2</v>
      </c>
      <c r="X211" s="5" t="n">
        <v>2.2</v>
      </c>
      <c r="Y211" s="5" t="n">
        <v>2.2</v>
      </c>
      <c r="Z211" s="5" t="n">
        <v>2.2</v>
      </c>
      <c r="AA211" s="5" t="n">
        <v>2.2</v>
      </c>
      <c r="AB211" s="5" t="n">
        <v>2.2</v>
      </c>
      <c r="AC211" s="5" t="n">
        <v>2.2</v>
      </c>
      <c r="AD211" s="5" t="n">
        <v>2.2</v>
      </c>
      <c r="AE211" s="5" t="n">
        <v>2.2</v>
      </c>
      <c r="AF211" s="5" t="n">
        <v>2.2</v>
      </c>
      <c r="AG211" s="5" t="n">
        <v>2.2</v>
      </c>
      <c r="AH211" s="5" t="n">
        <v>2.2</v>
      </c>
      <c r="AI211" s="5" t="n">
        <v>2.2</v>
      </c>
      <c r="AJ211" s="5" t="n">
        <v>2.2</v>
      </c>
      <c r="AK211" s="5" t="n">
        <v>2.2</v>
      </c>
      <c r="AL211" s="5" t="n">
        <v>2.2</v>
      </c>
      <c r="AM211" s="5" t="n">
        <v>2.2</v>
      </c>
      <c r="AN211" s="5" t="n">
        <v>2.2</v>
      </c>
      <c r="AO211" s="5" t="n">
        <v>2.2</v>
      </c>
      <c r="AP211" s="5" t="n">
        <v>2.2</v>
      </c>
      <c r="AQ211" s="5" t="n">
        <v>2.2</v>
      </c>
      <c r="AR211" s="5" t="n">
        <v>2.2</v>
      </c>
    </row>
    <row r="212" customFormat="false" ht="15" hidden="false" customHeight="false" outlineLevel="0" collapsed="false">
      <c r="D212" s="0" t="s">
        <v>323</v>
      </c>
      <c r="E212" s="0" t="s">
        <v>103</v>
      </c>
      <c r="J212" s="5" t="n">
        <v>8.7</v>
      </c>
      <c r="K212" s="5" t="n">
        <v>9.4</v>
      </c>
      <c r="L212" s="5" t="n">
        <v>8.1</v>
      </c>
      <c r="M212" s="5" t="n">
        <v>7.6</v>
      </c>
      <c r="N212" s="5" t="n">
        <v>7.9</v>
      </c>
      <c r="O212" s="5" t="n">
        <v>9.8</v>
      </c>
      <c r="P212" s="5" t="n">
        <v>10.6</v>
      </c>
      <c r="Q212" s="5" t="n">
        <v>7.5</v>
      </c>
      <c r="R212" s="5" t="n">
        <v>7.5</v>
      </c>
      <c r="S212" s="5" t="n">
        <v>7.5</v>
      </c>
      <c r="T212" s="5" t="n">
        <v>7.5</v>
      </c>
      <c r="U212" s="5" t="n">
        <v>7.5</v>
      </c>
      <c r="V212" s="5" t="n">
        <v>7.5</v>
      </c>
      <c r="W212" s="5" t="n">
        <v>7.5</v>
      </c>
      <c r="X212" s="5" t="n">
        <v>7.5</v>
      </c>
      <c r="Y212" s="5" t="n">
        <v>7.5</v>
      </c>
      <c r="Z212" s="5" t="n">
        <v>7.5</v>
      </c>
      <c r="AA212" s="5" t="n">
        <v>7.5</v>
      </c>
      <c r="AB212" s="5" t="n">
        <v>7.5</v>
      </c>
      <c r="AC212" s="5" t="n">
        <v>7.5</v>
      </c>
      <c r="AD212" s="5" t="n">
        <v>7.5</v>
      </c>
      <c r="AE212" s="5" t="n">
        <v>7.5</v>
      </c>
      <c r="AF212" s="5" t="n">
        <v>7.5</v>
      </c>
      <c r="AG212" s="5" t="n">
        <v>7.5</v>
      </c>
      <c r="AH212" s="5" t="n">
        <v>7.5</v>
      </c>
      <c r="AI212" s="5" t="n">
        <v>7.5</v>
      </c>
      <c r="AJ212" s="5" t="n">
        <v>7.5</v>
      </c>
      <c r="AK212" s="5" t="n">
        <v>7.5</v>
      </c>
      <c r="AL212" s="5" t="n">
        <v>7.5</v>
      </c>
      <c r="AM212" s="5" t="n">
        <v>7.5</v>
      </c>
      <c r="AN212" s="5" t="n">
        <v>7.5</v>
      </c>
      <c r="AO212" s="5" t="n">
        <v>7.5</v>
      </c>
      <c r="AP212" s="5" t="n">
        <v>7.5</v>
      </c>
      <c r="AQ212" s="5" t="n">
        <v>7.5</v>
      </c>
      <c r="AR212" s="5" t="n">
        <v>7.5</v>
      </c>
    </row>
    <row r="213" customFormat="false" ht="15" hidden="false" customHeight="false" outlineLevel="0" collapsed="false">
      <c r="D213" s="0" t="s">
        <v>324</v>
      </c>
      <c r="E213" s="0" t="s">
        <v>103</v>
      </c>
      <c r="J213" s="5" t="n">
        <v>15.5</v>
      </c>
      <c r="K213" s="5" t="n">
        <v>15.5</v>
      </c>
      <c r="L213" s="5" t="n">
        <v>15.5</v>
      </c>
      <c r="M213" s="5" t="n">
        <v>13.5</v>
      </c>
      <c r="N213" s="5" t="n">
        <v>13.5</v>
      </c>
      <c r="O213" s="5" t="n">
        <v>13.5</v>
      </c>
      <c r="P213" s="5" t="n">
        <v>13.5</v>
      </c>
      <c r="Q213" s="5" t="n">
        <v>19</v>
      </c>
      <c r="R213" s="5" t="n">
        <v>27</v>
      </c>
      <c r="S213" s="5" t="n">
        <v>24.5</v>
      </c>
      <c r="T213" s="5" t="n">
        <v>18</v>
      </c>
      <c r="U213" s="5" t="n">
        <v>15.5</v>
      </c>
      <c r="V213" s="5" t="n">
        <v>15.5</v>
      </c>
      <c r="W213" s="5" t="n">
        <v>15.5</v>
      </c>
      <c r="X213" s="5" t="n">
        <v>15.5</v>
      </c>
      <c r="Y213" s="5" t="n">
        <v>15.5</v>
      </c>
      <c r="Z213" s="5" t="n">
        <v>15.5</v>
      </c>
      <c r="AA213" s="5" t="n">
        <v>15.5</v>
      </c>
      <c r="AB213" s="5" t="n">
        <v>15.5</v>
      </c>
      <c r="AC213" s="5" t="n">
        <v>15.5</v>
      </c>
      <c r="AD213" s="5" t="n">
        <v>15.5</v>
      </c>
      <c r="AE213" s="5" t="n">
        <v>15.5</v>
      </c>
      <c r="AF213" s="5" t="n">
        <v>15.5</v>
      </c>
      <c r="AG213" s="5" t="n">
        <v>15.5</v>
      </c>
      <c r="AH213" s="5" t="n">
        <v>15.5</v>
      </c>
      <c r="AI213" s="5" t="n">
        <v>15.5</v>
      </c>
      <c r="AJ213" s="5" t="n">
        <v>15.5</v>
      </c>
      <c r="AK213" s="5" t="n">
        <v>15.5</v>
      </c>
      <c r="AL213" s="5" t="n">
        <v>15.5</v>
      </c>
      <c r="AM213" s="5" t="n">
        <v>15.5</v>
      </c>
      <c r="AN213" s="5" t="n">
        <v>15.5</v>
      </c>
      <c r="AO213" s="5" t="n">
        <v>15.5</v>
      </c>
      <c r="AP213" s="5" t="n">
        <v>15.5</v>
      </c>
      <c r="AQ213" s="5" t="n">
        <v>15.5</v>
      </c>
      <c r="AR213" s="5" t="n">
        <v>15.5</v>
      </c>
    </row>
    <row r="214" customFormat="false" ht="15" hidden="false" customHeight="false" outlineLevel="0" collapsed="false">
      <c r="B214" s="2" t="s">
        <v>325</v>
      </c>
    </row>
    <row r="215" customFormat="false" ht="15" hidden="false" customHeight="false" outlineLevel="0" collapsed="false">
      <c r="D215" s="0" t="s">
        <v>326</v>
      </c>
      <c r="E215" s="0" t="s">
        <v>103</v>
      </c>
      <c r="J215" s="5" t="n">
        <v>2.52</v>
      </c>
      <c r="K215" s="5" t="n">
        <v>2.79</v>
      </c>
      <c r="L215" s="5" t="n">
        <v>2.94</v>
      </c>
      <c r="M215" s="5" t="n">
        <v>3.02</v>
      </c>
      <c r="N215" s="5" t="n">
        <v>3.06</v>
      </c>
      <c r="O215" s="5" t="n">
        <v>3.09</v>
      </c>
      <c r="P215" s="5" t="n">
        <v>3.09</v>
      </c>
      <c r="Q215" s="5" t="n">
        <v>3.11</v>
      </c>
      <c r="R215" s="5" t="n">
        <v>3.11</v>
      </c>
      <c r="S215" s="5" t="n">
        <v>3.12</v>
      </c>
      <c r="T215" s="5" t="n">
        <v>3.12</v>
      </c>
      <c r="U215" s="5" t="n">
        <v>3.12</v>
      </c>
      <c r="V215" s="5" t="n">
        <v>3.12</v>
      </c>
      <c r="W215" s="5" t="n">
        <v>3.12</v>
      </c>
      <c r="X215" s="5" t="n">
        <v>3.12</v>
      </c>
      <c r="Y215" s="5" t="n">
        <v>3.12</v>
      </c>
      <c r="Z215" s="5" t="n">
        <v>3.12</v>
      </c>
      <c r="AA215" s="5" t="n">
        <v>3.12</v>
      </c>
      <c r="AB215" s="5" t="n">
        <v>3.12</v>
      </c>
      <c r="AC215" s="5" t="n">
        <v>3.12</v>
      </c>
      <c r="AD215" s="5" t="n">
        <v>3.12</v>
      </c>
      <c r="AE215" s="5" t="n">
        <v>3.12</v>
      </c>
      <c r="AF215" s="5" t="n">
        <v>3.12</v>
      </c>
      <c r="AG215" s="5" t="n">
        <v>3.12</v>
      </c>
      <c r="AH215" s="5" t="n">
        <v>3.12</v>
      </c>
      <c r="AI215" s="5" t="n">
        <v>3.12</v>
      </c>
      <c r="AJ215" s="5" t="n">
        <v>3.12</v>
      </c>
      <c r="AK215" s="5" t="n">
        <v>3.12</v>
      </c>
      <c r="AL215" s="5" t="n">
        <v>3.12</v>
      </c>
      <c r="AM215" s="5" t="n">
        <v>3.12</v>
      </c>
      <c r="AN215" s="5" t="n">
        <v>3.12</v>
      </c>
      <c r="AO215" s="5" t="n">
        <v>3.12</v>
      </c>
      <c r="AP215" s="5" t="n">
        <v>3.12</v>
      </c>
      <c r="AQ215" s="5" t="n">
        <v>3.12</v>
      </c>
      <c r="AR215" s="5" t="n">
        <v>3.12</v>
      </c>
      <c r="AS215" s="5" t="n">
        <v>3.12</v>
      </c>
      <c r="AT215" s="5" t="n">
        <v>3.12</v>
      </c>
      <c r="AU215" s="5" t="n">
        <v>3.12</v>
      </c>
      <c r="AV215" s="5" t="n">
        <v>3.12</v>
      </c>
      <c r="AW215" s="5" t="n">
        <v>3.12</v>
      </c>
      <c r="AX215" s="5" t="n">
        <v>3.12</v>
      </c>
      <c r="AY215" s="5" t="n">
        <v>3.12</v>
      </c>
      <c r="AZ215" s="5" t="n">
        <v>3.12</v>
      </c>
      <c r="BA215" s="5" t="n">
        <v>3.12</v>
      </c>
      <c r="BB215" s="5" t="n">
        <v>3.12</v>
      </c>
      <c r="BC215" s="5" t="n">
        <v>3.12</v>
      </c>
      <c r="BD215" s="5" t="n">
        <v>3.12</v>
      </c>
      <c r="BE215" s="5" t="n">
        <v>3.12</v>
      </c>
      <c r="BF215" s="5" t="n">
        <v>3.12</v>
      </c>
      <c r="BG215" s="5" t="n">
        <v>3.12</v>
      </c>
      <c r="BH215" s="5" t="n">
        <v>3.12</v>
      </c>
      <c r="BI215" s="5" t="n">
        <v>3.12</v>
      </c>
      <c r="BJ215" s="5" t="n">
        <v>3.12</v>
      </c>
      <c r="BK215" s="5" t="n">
        <v>3.12</v>
      </c>
      <c r="BL215" s="5" t="n">
        <v>3.12</v>
      </c>
      <c r="BM215" s="5" t="n">
        <v>3.12</v>
      </c>
      <c r="BN215" s="5" t="n">
        <v>3.12</v>
      </c>
    </row>
    <row r="216" customFormat="false" ht="15" hidden="false" customHeight="false" outlineLevel="0" collapsed="false">
      <c r="D216" s="0" t="s">
        <v>327</v>
      </c>
      <c r="E216" s="0" t="s">
        <v>103</v>
      </c>
      <c r="J216" s="5" t="n">
        <v>2.52</v>
      </c>
      <c r="K216" s="5" t="n">
        <v>2.87</v>
      </c>
      <c r="L216" s="5" t="n">
        <v>2.2</v>
      </c>
      <c r="M216" s="5" t="n">
        <v>1.91</v>
      </c>
      <c r="N216" s="5" t="n">
        <v>0.37</v>
      </c>
      <c r="O216" s="5" t="n">
        <v>0.25</v>
      </c>
      <c r="P216" s="5" t="n">
        <v>0.16</v>
      </c>
      <c r="Q216" s="5" t="n">
        <v>0.34</v>
      </c>
      <c r="R216" s="5" t="n">
        <v>2.94</v>
      </c>
      <c r="S216" s="5" t="n">
        <v>5.28826</v>
      </c>
      <c r="T216" s="5" t="n">
        <v>5.89826</v>
      </c>
      <c r="U216" s="5" t="n">
        <v>5.58826</v>
      </c>
      <c r="V216" s="5" t="n">
        <v>5.64826</v>
      </c>
      <c r="W216" s="5" t="n">
        <v>4.67826</v>
      </c>
      <c r="X216" s="5" t="n">
        <v>4.59826</v>
      </c>
      <c r="Y216" s="5" t="n">
        <v>4.04826</v>
      </c>
      <c r="Z216" s="5" t="n">
        <v>4.00826</v>
      </c>
      <c r="AA216" s="5" t="n">
        <v>3.87826</v>
      </c>
      <c r="AB216" s="5" t="n">
        <v>3.87826</v>
      </c>
      <c r="AC216" s="5" t="n">
        <v>3.92826</v>
      </c>
      <c r="AD216" s="5" t="n">
        <v>3.92826</v>
      </c>
      <c r="AE216" s="5" t="n">
        <v>3.92826</v>
      </c>
      <c r="AF216" s="5" t="n">
        <v>3.92826</v>
      </c>
      <c r="AG216" s="5" t="n">
        <v>3.92826</v>
      </c>
      <c r="AH216" s="5" t="n">
        <v>3.92826</v>
      </c>
      <c r="AI216" s="5" t="n">
        <v>3.92826</v>
      </c>
      <c r="AJ216" s="5" t="n">
        <v>3.92826</v>
      </c>
      <c r="AK216" s="5" t="n">
        <v>3.92826</v>
      </c>
      <c r="AL216" s="5" t="n">
        <v>3.92826</v>
      </c>
      <c r="AM216" s="5" t="n">
        <v>3.92826</v>
      </c>
      <c r="AN216" s="5" t="n">
        <v>3.92826</v>
      </c>
      <c r="AO216" s="5" t="n">
        <v>3.92826</v>
      </c>
      <c r="AP216" s="5" t="n">
        <v>3.92826</v>
      </c>
      <c r="AQ216" s="5" t="n">
        <v>3.92826</v>
      </c>
      <c r="AR216" s="5" t="n">
        <v>3.92826</v>
      </c>
      <c r="AS216" s="5" t="n">
        <v>3.92826</v>
      </c>
      <c r="AT216" s="5" t="n">
        <v>3.92826</v>
      </c>
      <c r="AU216" s="5" t="n">
        <v>3.92826</v>
      </c>
      <c r="AV216" s="5" t="n">
        <v>3.92826</v>
      </c>
      <c r="AW216" s="5" t="n">
        <v>3.92826</v>
      </c>
      <c r="AX216" s="5" t="n">
        <v>3.92826</v>
      </c>
      <c r="AY216" s="5" t="n">
        <v>3.92826</v>
      </c>
      <c r="AZ216" s="5" t="n">
        <v>3.92826</v>
      </c>
      <c r="BA216" s="5" t="n">
        <v>3.92826</v>
      </c>
      <c r="BB216" s="5" t="n">
        <v>3.92826</v>
      </c>
      <c r="BC216" s="5" t="n">
        <v>3.92826</v>
      </c>
      <c r="BD216" s="5" t="n">
        <v>3.92826</v>
      </c>
      <c r="BE216" s="5" t="n">
        <v>3.92826</v>
      </c>
      <c r="BF216" s="5" t="n">
        <v>3.92826</v>
      </c>
      <c r="BG216" s="5" t="n">
        <v>3.92826</v>
      </c>
      <c r="BH216" s="5" t="n">
        <v>3.92826</v>
      </c>
      <c r="BI216" s="5" t="n">
        <v>3.92826</v>
      </c>
      <c r="BJ216" s="5" t="n">
        <v>3.92826</v>
      </c>
      <c r="BK216" s="5" t="n">
        <v>3.92826</v>
      </c>
      <c r="BL216" s="5" t="n">
        <v>3.92826</v>
      </c>
      <c r="BM216" s="5" t="n">
        <v>3.92826</v>
      </c>
      <c r="BN216" s="5" t="n">
        <v>3.92826</v>
      </c>
    </row>
    <row r="217" customFormat="false" ht="15" hidden="false" customHeight="false" outlineLevel="0" collapsed="false">
      <c r="D217" s="0" t="s">
        <v>328</v>
      </c>
      <c r="E217" s="0" t="s">
        <v>103</v>
      </c>
      <c r="J217" s="5" t="n">
        <v>2.52</v>
      </c>
      <c r="K217" s="5" t="n">
        <v>2.87</v>
      </c>
      <c r="L217" s="5" t="n">
        <v>2.2</v>
      </c>
      <c r="M217" s="5" t="n">
        <v>1.91</v>
      </c>
      <c r="N217" s="5" t="n">
        <v>0.37</v>
      </c>
      <c r="O217" s="5" t="n">
        <v>0.25</v>
      </c>
      <c r="P217" s="5" t="n">
        <v>0.16</v>
      </c>
      <c r="Q217" s="5" t="n">
        <v>3.11</v>
      </c>
      <c r="R217" s="5" t="n">
        <v>3.11</v>
      </c>
      <c r="S217" s="5" t="n">
        <v>3.12</v>
      </c>
      <c r="T217" s="5" t="n">
        <v>3.12</v>
      </c>
      <c r="U217" s="5" t="n">
        <v>3.12</v>
      </c>
      <c r="V217" s="5" t="n">
        <v>3.12</v>
      </c>
      <c r="W217" s="5" t="n">
        <v>3.12</v>
      </c>
      <c r="X217" s="5" t="n">
        <v>3.12</v>
      </c>
      <c r="Y217" s="5" t="n">
        <v>3.12</v>
      </c>
      <c r="Z217" s="5" t="n">
        <v>3.12</v>
      </c>
      <c r="AA217" s="5" t="n">
        <v>3.12</v>
      </c>
      <c r="AB217" s="5" t="n">
        <v>3.12</v>
      </c>
      <c r="AC217" s="5" t="n">
        <v>3.12</v>
      </c>
      <c r="AD217" s="5" t="n">
        <v>3.12</v>
      </c>
      <c r="AE217" s="5" t="n">
        <v>3.12</v>
      </c>
      <c r="AF217" s="5" t="n">
        <v>3.12</v>
      </c>
      <c r="AG217" s="5" t="n">
        <v>3.12</v>
      </c>
      <c r="AH217" s="5" t="n">
        <v>3.12</v>
      </c>
      <c r="AI217" s="5" t="n">
        <v>3.12</v>
      </c>
      <c r="AJ217" s="5" t="n">
        <v>3.12</v>
      </c>
      <c r="AK217" s="5" t="n">
        <v>3.12</v>
      </c>
      <c r="AL217" s="5" t="n">
        <v>3.12</v>
      </c>
      <c r="AM217" s="5" t="n">
        <v>3.12</v>
      </c>
      <c r="AN217" s="5" t="n">
        <v>3.12</v>
      </c>
      <c r="AO217" s="5" t="n">
        <v>3.12</v>
      </c>
      <c r="AP217" s="5" t="n">
        <v>3.12</v>
      </c>
      <c r="AQ217" s="5" t="n">
        <v>3.12</v>
      </c>
      <c r="AR217" s="5" t="n">
        <v>3.12</v>
      </c>
      <c r="AS217" s="5" t="n">
        <v>3.12</v>
      </c>
      <c r="AT217" s="5" t="n">
        <v>3.12</v>
      </c>
      <c r="AU217" s="5" t="n">
        <v>3.12</v>
      </c>
      <c r="AV217" s="5" t="n">
        <v>3.12</v>
      </c>
      <c r="AW217" s="5" t="n">
        <v>3.12</v>
      </c>
      <c r="AX217" s="5" t="n">
        <v>3.12</v>
      </c>
      <c r="AY217" s="5" t="n">
        <v>3.12</v>
      </c>
      <c r="AZ217" s="5" t="n">
        <v>3.12</v>
      </c>
      <c r="BA217" s="5" t="n">
        <v>3.12</v>
      </c>
      <c r="BB217" s="5" t="n">
        <v>3.12</v>
      </c>
      <c r="BC217" s="5" t="n">
        <v>3.12</v>
      </c>
      <c r="BD217" s="5" t="n">
        <v>3.12</v>
      </c>
      <c r="BE217" s="5" t="n">
        <v>3.12</v>
      </c>
      <c r="BF217" s="5" t="n">
        <v>3.12</v>
      </c>
      <c r="BG217" s="5" t="n">
        <v>3.12</v>
      </c>
      <c r="BH217" s="5" t="n">
        <v>3.12</v>
      </c>
      <c r="BI217" s="5" t="n">
        <v>3.12</v>
      </c>
      <c r="BJ217" s="5" t="n">
        <v>3.12</v>
      </c>
      <c r="BK217" s="5" t="n">
        <v>3.12</v>
      </c>
      <c r="BL217" s="5" t="n">
        <v>3.12</v>
      </c>
      <c r="BM217" s="5" t="n">
        <v>3.12</v>
      </c>
      <c r="BN217" s="5" t="n">
        <v>3.12</v>
      </c>
    </row>
    <row r="218" customFormat="false" ht="15" hidden="false" customHeight="false" outlineLevel="0" collapsed="false">
      <c r="D218" s="0" t="s">
        <v>329</v>
      </c>
      <c r="E218" s="0" t="s">
        <v>153</v>
      </c>
      <c r="J218" s="5" t="n">
        <v>524.6</v>
      </c>
      <c r="K218" s="5" t="n">
        <v>539.1</v>
      </c>
      <c r="L218" s="5" t="n">
        <v>551.3</v>
      </c>
      <c r="M218" s="5" t="n">
        <v>566</v>
      </c>
      <c r="N218" s="5" t="n">
        <v>579.8</v>
      </c>
      <c r="O218" s="5" t="n">
        <v>597.4</v>
      </c>
      <c r="P218" s="5" t="n">
        <v>609.6</v>
      </c>
      <c r="Q218" s="5" t="n">
        <v>654.9</v>
      </c>
      <c r="R218" s="5" t="n">
        <v>830.3</v>
      </c>
      <c r="S218" s="5" t="n">
        <v>1052.8</v>
      </c>
      <c r="T218" s="5" t="n">
        <v>1043.8</v>
      </c>
      <c r="U218" s="5" t="n">
        <v>1093.1</v>
      </c>
      <c r="V218" s="5" t="n">
        <v>1050.7</v>
      </c>
      <c r="W218" s="5" t="n">
        <v>1035.6</v>
      </c>
      <c r="X218" s="5" t="n">
        <v>1023.8</v>
      </c>
      <c r="Y218" s="5" t="n">
        <v>1028.9</v>
      </c>
      <c r="Z218" s="5" t="n">
        <v>1043.9</v>
      </c>
    </row>
    <row r="219" customFormat="false" ht="15" hidden="false" customHeight="false" outlineLevel="0" collapsed="false">
      <c r="D219" s="0" t="s">
        <v>330</v>
      </c>
      <c r="E219" s="0" t="s">
        <v>149</v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</v>
      </c>
      <c r="Q219" s="5" t="n">
        <v>18.4</v>
      </c>
      <c r="R219" s="5" t="n">
        <v>68.9</v>
      </c>
      <c r="S219" s="5" t="n">
        <v>112.6</v>
      </c>
      <c r="T219" s="5" t="n">
        <v>71.8</v>
      </c>
      <c r="U219" s="5" t="n">
        <v>34.6</v>
      </c>
      <c r="V219" s="5" t="n">
        <v>12.3</v>
      </c>
      <c r="W219" s="5" t="n">
        <v>0</v>
      </c>
      <c r="X219" s="5" t="n">
        <v>0</v>
      </c>
      <c r="Y219" s="5" t="n">
        <v>0</v>
      </c>
      <c r="Z219" s="5" t="n">
        <v>0</v>
      </c>
      <c r="AA219" s="5" t="n">
        <v>0</v>
      </c>
      <c r="AB219" s="5" t="n">
        <v>0</v>
      </c>
      <c r="AC219" s="5" t="n">
        <v>0</v>
      </c>
      <c r="AD219" s="5" t="n">
        <v>0</v>
      </c>
      <c r="AE219" s="5" t="n">
        <v>0</v>
      </c>
      <c r="AF219" s="5" t="n">
        <v>0</v>
      </c>
      <c r="AG219" s="5" t="n">
        <v>0</v>
      </c>
      <c r="AH219" s="5" t="n">
        <v>0</v>
      </c>
      <c r="AI219" s="5" t="n">
        <v>0</v>
      </c>
      <c r="AJ219" s="5" t="n">
        <v>0</v>
      </c>
      <c r="AK219" s="5" t="n">
        <v>0</v>
      </c>
      <c r="AL219" s="5" t="n">
        <v>0</v>
      </c>
      <c r="AM219" s="5" t="n">
        <v>0</v>
      </c>
      <c r="AN219" s="5" t="n">
        <v>0</v>
      </c>
      <c r="AO219" s="5" t="n">
        <v>0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 customFormat="false" ht="15" hidden="false" customHeight="false" outlineLevel="0" collapsed="false">
      <c r="D220" s="0" t="s">
        <v>331</v>
      </c>
      <c r="E220" s="0" t="s">
        <v>149</v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</v>
      </c>
      <c r="R220" s="5" t="n">
        <v>1.27</v>
      </c>
      <c r="S220" s="5" t="n">
        <v>3.84</v>
      </c>
      <c r="T220" s="5" t="n">
        <v>1.12</v>
      </c>
      <c r="U220" s="5" t="n">
        <v>0.31</v>
      </c>
      <c r="V220" s="5" t="n">
        <v>0</v>
      </c>
      <c r="W220" s="5" t="n">
        <v>0</v>
      </c>
      <c r="X220" s="5" t="n">
        <v>0</v>
      </c>
      <c r="Y220" s="5" t="n">
        <v>0</v>
      </c>
      <c r="Z220" s="5" t="n">
        <v>0</v>
      </c>
      <c r="AA220" s="5" t="n">
        <v>0</v>
      </c>
      <c r="AB220" s="5" t="n">
        <v>0</v>
      </c>
      <c r="AC220" s="5" t="n">
        <v>0</v>
      </c>
      <c r="AD220" s="5" t="n">
        <v>0</v>
      </c>
      <c r="AE220" s="5" t="n">
        <v>0</v>
      </c>
      <c r="AF220" s="5" t="n">
        <v>0</v>
      </c>
      <c r="AG220" s="5" t="n">
        <v>0</v>
      </c>
      <c r="AH220" s="5" t="n">
        <v>0</v>
      </c>
      <c r="AI220" s="5" t="n">
        <v>0</v>
      </c>
      <c r="AJ220" s="5" t="n">
        <v>0</v>
      </c>
      <c r="AK220" s="5" t="n">
        <v>0</v>
      </c>
      <c r="AL220" s="5" t="n">
        <v>0</v>
      </c>
      <c r="AM220" s="5" t="n">
        <v>0</v>
      </c>
      <c r="AN220" s="5" t="n">
        <v>0</v>
      </c>
      <c r="AO220" s="5" t="n">
        <v>0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 customFormat="false" ht="15" hidden="false" customHeight="false" outlineLevel="0" collapsed="false">
      <c r="D221" s="0" t="s">
        <v>332</v>
      </c>
      <c r="E221" s="0" t="s">
        <v>109</v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0.2</v>
      </c>
      <c r="V221" s="5" t="n">
        <v>0.4</v>
      </c>
      <c r="W221" s="5" t="n">
        <v>0.4</v>
      </c>
      <c r="X221" s="5" t="n">
        <v>0</v>
      </c>
      <c r="Y221" s="5" t="n">
        <v>0</v>
      </c>
      <c r="Z221" s="5" t="n">
        <v>0</v>
      </c>
      <c r="AA221" s="5" t="n">
        <v>0</v>
      </c>
      <c r="AB221" s="5" t="n">
        <v>0</v>
      </c>
      <c r="AC221" s="5" t="n">
        <v>0</v>
      </c>
      <c r="AD221" s="5" t="n">
        <v>0</v>
      </c>
      <c r="AE221" s="5" t="n">
        <v>0</v>
      </c>
      <c r="AF221" s="5" t="n">
        <v>0</v>
      </c>
      <c r="AG221" s="5" t="n">
        <v>0</v>
      </c>
      <c r="AH221" s="5" t="n">
        <v>0</v>
      </c>
      <c r="AI221" s="5" t="n">
        <v>0</v>
      </c>
      <c r="AJ221" s="5" t="n">
        <v>0</v>
      </c>
      <c r="AK221" s="5" t="n">
        <v>0</v>
      </c>
      <c r="AL221" s="5" t="n">
        <v>0</v>
      </c>
      <c r="AM221" s="5" t="n">
        <v>0</v>
      </c>
      <c r="AN221" s="5" t="n">
        <v>0</v>
      </c>
      <c r="AO221" s="5" t="n">
        <v>0</v>
      </c>
      <c r="AP221" s="5" t="n">
        <v>0</v>
      </c>
      <c r="AQ221" s="5" t="n">
        <v>0</v>
      </c>
      <c r="AR221" s="5" t="n">
        <v>0</v>
      </c>
      <c r="AS221" s="5" t="n">
        <v>0</v>
      </c>
      <c r="AT221" s="5" t="n">
        <v>0</v>
      </c>
      <c r="AU221" s="5" t="n">
        <v>0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 customFormat="false" ht="15" hidden="false" customHeight="false" outlineLevel="0" collapsed="false">
      <c r="D222" s="0" t="s">
        <v>333</v>
      </c>
      <c r="E222" s="0" t="s">
        <v>109</v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0.024460432114308</v>
      </c>
      <c r="Q222" s="5" t="n">
        <v>0.0254956399199363</v>
      </c>
      <c r="R222" s="5" t="n">
        <v>0.0267515222906662</v>
      </c>
      <c r="S222" s="5" t="n">
        <v>0.0275398463746851</v>
      </c>
      <c r="T222" s="5" t="n">
        <v>0.0288066694390464</v>
      </c>
      <c r="U222" s="5" t="n">
        <v>0.0297253648392077</v>
      </c>
      <c r="V222" s="5" t="n">
        <v>0.0316673019225092</v>
      </c>
      <c r="W222" s="5" t="n">
        <v>0.0326353519070817</v>
      </c>
      <c r="X222" s="5" t="n">
        <v>0.0317294685115491</v>
      </c>
      <c r="Y222" s="5" t="n">
        <v>0.0317443987963029</v>
      </c>
      <c r="Z222" s="5" t="n">
        <v>0.0330595043187038</v>
      </c>
      <c r="AA222" s="5" t="n">
        <v>0.0340242635392698</v>
      </c>
      <c r="AB222" s="5" t="n">
        <v>0.035649748512346</v>
      </c>
      <c r="AC222" s="5" t="n">
        <v>0.036830769646369</v>
      </c>
      <c r="AD222" s="5" t="n">
        <v>0.0402165127561107</v>
      </c>
      <c r="AE222" s="5" t="n">
        <v>0.0419450401653678</v>
      </c>
      <c r="AF222" s="5" t="n">
        <v>0.0434165471296656</v>
      </c>
      <c r="AG222" s="5" t="n">
        <v>0.0442268395359645</v>
      </c>
      <c r="AH222" s="5" t="n">
        <v>0.0464470950071792</v>
      </c>
      <c r="AI222" s="5" t="n">
        <v>0.0478108988283702</v>
      </c>
      <c r="AJ222" s="5" t="n">
        <v>0.0501190973065472</v>
      </c>
      <c r="AK222" s="5" t="n">
        <v>0.0517413637371501</v>
      </c>
      <c r="AL222" s="5" t="n">
        <v>0.0548633733406637</v>
      </c>
      <c r="AM222" s="5" t="n">
        <v>0.0560037067338176</v>
      </c>
      <c r="AN222" s="5" t="n">
        <v>0.0462023932183935</v>
      </c>
      <c r="AO222" s="5" t="n">
        <v>0.0468868501087888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 customFormat="false" ht="15" hidden="false" customHeight="false" outlineLevel="0" collapsed="false">
      <c r="D223" s="0" t="s">
        <v>334</v>
      </c>
      <c r="E223" s="0" t="s">
        <v>109</v>
      </c>
      <c r="J223" s="5" t="n">
        <v>0</v>
      </c>
      <c r="K223" s="5" t="n">
        <v>0</v>
      </c>
      <c r="L223" s="5" t="n">
        <v>0</v>
      </c>
      <c r="M223" s="5" t="n">
        <v>0</v>
      </c>
      <c r="N223" s="5" t="n">
        <v>0</v>
      </c>
      <c r="O223" s="5" t="n">
        <v>0</v>
      </c>
      <c r="P223" s="5" t="n">
        <v>0</v>
      </c>
      <c r="Q223" s="5" t="n">
        <v>0.0254815794663755</v>
      </c>
      <c r="R223" s="5" t="n">
        <v>0.0272404616966825</v>
      </c>
      <c r="S223" s="5" t="n">
        <v>0.0281997800818635</v>
      </c>
      <c r="T223" s="5" t="n">
        <v>0.0295228109676876</v>
      </c>
      <c r="U223" s="5" t="n">
        <v>0.0303446121914986</v>
      </c>
      <c r="V223" s="5" t="n">
        <v>0.0317336885618467</v>
      </c>
      <c r="W223" s="5" t="n">
        <v>0.033467483780784</v>
      </c>
      <c r="X223" s="5" t="n">
        <v>0.0350039124595733</v>
      </c>
      <c r="Y223" s="5" t="n">
        <v>0.0325817454453932</v>
      </c>
      <c r="Z223" s="5" t="n">
        <v>0.0341159156522278</v>
      </c>
      <c r="AA223" s="5" t="n">
        <v>0.0348226141250488</v>
      </c>
      <c r="AB223" s="5" t="n">
        <v>0.0365180095175597</v>
      </c>
      <c r="AC223" s="5" t="n">
        <v>0.0375492755811024</v>
      </c>
      <c r="AD223" s="5" t="n">
        <v>0.0393340416498319</v>
      </c>
      <c r="AE223" s="5" t="n">
        <v>0.0424788624188137</v>
      </c>
      <c r="AF223" s="5" t="n">
        <v>0.0447618765783362</v>
      </c>
      <c r="AG223" s="5" t="n">
        <v>0.0451083917771355</v>
      </c>
      <c r="AH223" s="5" t="n">
        <v>0.0474375734175925</v>
      </c>
      <c r="AI223" s="5" t="n">
        <v>0.0489070592882663</v>
      </c>
      <c r="AJ223" s="5" t="n">
        <v>0.0513038213658132</v>
      </c>
      <c r="AK223" s="5" t="n">
        <v>0.0528163392817864</v>
      </c>
      <c r="AL223" s="5" t="n">
        <v>0.0552930464138874</v>
      </c>
      <c r="AM223" s="5" t="n">
        <v>0.0578441612372633</v>
      </c>
      <c r="AN223" s="5" t="n">
        <v>0.050237404554169</v>
      </c>
      <c r="AO223" s="5" t="n">
        <v>0.0478955324894626</v>
      </c>
      <c r="AP223" s="5" t="n">
        <v>0</v>
      </c>
      <c r="AQ223" s="5" t="n">
        <v>0</v>
      </c>
      <c r="AR223" s="5" t="n">
        <v>0</v>
      </c>
      <c r="AS223" s="5" t="n">
        <v>0</v>
      </c>
      <c r="AT223" s="5" t="n">
        <v>0</v>
      </c>
      <c r="AU223" s="5" t="n">
        <v>0</v>
      </c>
      <c r="AV223" s="5" t="n">
        <v>0</v>
      </c>
      <c r="AW223" s="5" t="n">
        <v>0</v>
      </c>
      <c r="AX223" s="5" t="n">
        <v>0</v>
      </c>
      <c r="AY223" s="5" t="n">
        <v>0</v>
      </c>
      <c r="AZ223" s="5" t="n">
        <v>0</v>
      </c>
      <c r="BA223" s="5" t="n">
        <v>0</v>
      </c>
      <c r="BB223" s="5" t="n">
        <v>0</v>
      </c>
      <c r="BC223" s="5" t="n">
        <v>0</v>
      </c>
      <c r="BD223" s="5" t="n">
        <v>0</v>
      </c>
      <c r="BE223" s="5" t="n">
        <v>0</v>
      </c>
      <c r="BF223" s="5" t="n">
        <v>0</v>
      </c>
      <c r="BG223" s="5" t="n">
        <v>0</v>
      </c>
      <c r="BH223" s="5" t="n">
        <v>0</v>
      </c>
      <c r="BI223" s="5" t="n">
        <v>0</v>
      </c>
      <c r="BJ223" s="5" t="n">
        <v>0</v>
      </c>
      <c r="BK223" s="5" t="n">
        <v>0</v>
      </c>
      <c r="BL223" s="5" t="n">
        <v>0</v>
      </c>
      <c r="BM223" s="5" t="n">
        <v>0</v>
      </c>
      <c r="BN223" s="5" t="n">
        <v>0</v>
      </c>
    </row>
    <row r="224" customFormat="false" ht="15" hidden="false" customHeight="false" outlineLevel="0" collapsed="false">
      <c r="D224" s="0" t="s">
        <v>335</v>
      </c>
      <c r="E224" s="0" t="s">
        <v>109</v>
      </c>
      <c r="J224" s="5" t="n">
        <v>0</v>
      </c>
      <c r="K224" s="5" t="n">
        <v>0</v>
      </c>
      <c r="L224" s="5" t="n">
        <v>0</v>
      </c>
      <c r="M224" s="5" t="n">
        <v>0</v>
      </c>
      <c r="N224" s="5" t="n">
        <v>0</v>
      </c>
      <c r="O224" s="5" t="n">
        <v>0</v>
      </c>
      <c r="P224" s="5" t="n">
        <v>0</v>
      </c>
      <c r="Q224" s="5" t="n">
        <v>0</v>
      </c>
      <c r="R224" s="5" t="n">
        <v>0</v>
      </c>
      <c r="S224" s="5" t="n">
        <v>0</v>
      </c>
      <c r="T224" s="5" t="n">
        <v>0</v>
      </c>
      <c r="U224" s="5" t="n">
        <v>0</v>
      </c>
      <c r="V224" s="5" t="n">
        <v>0</v>
      </c>
      <c r="W224" s="5" t="n">
        <v>0</v>
      </c>
      <c r="X224" s="5" t="n">
        <v>0.0112446792656657</v>
      </c>
      <c r="Y224" s="5" t="n">
        <v>0.0166044948312686</v>
      </c>
      <c r="Z224" s="5" t="n">
        <v>0.018134080626777</v>
      </c>
      <c r="AA224" s="5" t="n">
        <v>0.0180818761438085</v>
      </c>
      <c r="AB224" s="5" t="n">
        <v>0.0194216374020789</v>
      </c>
      <c r="AC224" s="5" t="n">
        <v>0.019460397096262</v>
      </c>
      <c r="AD224" s="5" t="n">
        <v>0.0205929299479628</v>
      </c>
      <c r="AE224" s="5" t="n">
        <v>0.0226422219505928</v>
      </c>
      <c r="AF224" s="5" t="n">
        <v>0.0241540569543948</v>
      </c>
      <c r="AG224" s="5" t="n">
        <v>0.0243817345221278</v>
      </c>
      <c r="AH224" s="5" t="n">
        <v>0.0257776829177445</v>
      </c>
      <c r="AI224" s="5" t="n">
        <v>0.0258644850439458</v>
      </c>
      <c r="AJ224" s="5" t="n">
        <v>0.027144560096898</v>
      </c>
      <c r="AK224" s="5" t="n">
        <v>0.0272624404276804</v>
      </c>
      <c r="AL224" s="5" t="n">
        <v>0.0283936733862867</v>
      </c>
      <c r="AM224" s="5" t="n">
        <v>0.0256865156686768</v>
      </c>
      <c r="AN224" s="5" t="n">
        <v>0.0235119055190009</v>
      </c>
      <c r="AO224" s="5" t="n">
        <v>0.0205075628133926</v>
      </c>
      <c r="AP224" s="5" t="n">
        <v>0.0890892224864926</v>
      </c>
      <c r="AQ224" s="5" t="n">
        <v>0.0910548118277837</v>
      </c>
      <c r="AR224" s="5" t="n">
        <v>0.0958509778997726</v>
      </c>
      <c r="AS224" s="5" t="n">
        <v>0.0980653776749948</v>
      </c>
      <c r="AT224" s="5" t="n">
        <v>0.102789589089454</v>
      </c>
      <c r="AU224" s="5" t="n">
        <v>0.124283086406939</v>
      </c>
      <c r="AV224" s="5" t="n">
        <v>0</v>
      </c>
      <c r="AW224" s="5" t="n">
        <v>0</v>
      </c>
      <c r="AX224" s="5" t="n">
        <v>0</v>
      </c>
      <c r="AY224" s="5" t="n">
        <v>0</v>
      </c>
      <c r="AZ224" s="5" t="n">
        <v>0</v>
      </c>
      <c r="BA224" s="5" t="n">
        <v>0</v>
      </c>
      <c r="BB224" s="5" t="n">
        <v>0</v>
      </c>
      <c r="BC224" s="5" t="n">
        <v>0</v>
      </c>
      <c r="BD224" s="5" t="n">
        <v>0</v>
      </c>
      <c r="BE224" s="5" t="n">
        <v>0</v>
      </c>
      <c r="BF224" s="5" t="n">
        <v>0</v>
      </c>
      <c r="BG224" s="5" t="n">
        <v>0</v>
      </c>
      <c r="BH224" s="5" t="n">
        <v>0</v>
      </c>
      <c r="BI224" s="5" t="n">
        <v>0</v>
      </c>
      <c r="BJ224" s="5" t="n">
        <v>0</v>
      </c>
      <c r="BK224" s="5" t="n">
        <v>0</v>
      </c>
      <c r="BL224" s="5" t="n">
        <v>0</v>
      </c>
      <c r="BM224" s="5" t="n">
        <v>0</v>
      </c>
      <c r="BN224" s="5" t="n">
        <v>0</v>
      </c>
    </row>
    <row r="225" customFormat="false" ht="15" hidden="false" customHeight="false" outlineLevel="0" collapsed="false">
      <c r="D225" s="0" t="s">
        <v>336</v>
      </c>
      <c r="E225" s="0" t="s">
        <v>149</v>
      </c>
      <c r="J225" s="5" t="n">
        <v>0</v>
      </c>
      <c r="K225" s="5" t="n">
        <v>0</v>
      </c>
      <c r="L225" s="5" t="n">
        <v>0</v>
      </c>
      <c r="M225" s="5" t="n">
        <v>0</v>
      </c>
      <c r="N225" s="5" t="n">
        <v>0</v>
      </c>
      <c r="O225" s="5" t="n">
        <v>0</v>
      </c>
      <c r="P225" s="5" t="n">
        <v>506.604780058454</v>
      </c>
      <c r="Q225" s="5" t="n">
        <v>494.213008227051</v>
      </c>
      <c r="R225" s="5" t="n">
        <v>481.296795172962</v>
      </c>
      <c r="S225" s="5" t="n">
        <v>467.74434610667</v>
      </c>
      <c r="T225" s="5" t="n">
        <v>453.792528291179</v>
      </c>
      <c r="U225" s="5" t="n">
        <v>439.198931855794</v>
      </c>
      <c r="V225" s="5" t="n">
        <v>424.13991993927</v>
      </c>
      <c r="W225" s="5" t="n">
        <v>408.097113413773</v>
      </c>
      <c r="X225" s="5" t="n">
        <v>391.563888138755</v>
      </c>
      <c r="Y225" s="5" t="n">
        <v>375.48958772209</v>
      </c>
      <c r="Z225" s="5" t="n">
        <v>359.407723551801</v>
      </c>
      <c r="AA225" s="5" t="n">
        <v>342.659620637583</v>
      </c>
      <c r="AB225" s="5" t="n">
        <v>325.42276609062</v>
      </c>
      <c r="AC225" s="5" t="n">
        <v>307.362433086384</v>
      </c>
      <c r="AD225" s="5" t="n">
        <v>288.703789130302</v>
      </c>
      <c r="AE225" s="5" t="n">
        <v>268.329911530774</v>
      </c>
      <c r="AF225" s="5" t="n">
        <v>247.080353683255</v>
      </c>
      <c r="AG225" s="5" t="n">
        <v>225.085323373733</v>
      </c>
      <c r="AH225" s="5" t="n">
        <v>202.679795057935</v>
      </c>
      <c r="AI225" s="5" t="n">
        <v>179.149474707469</v>
      </c>
      <c r="AJ225" s="5" t="n">
        <v>154.928244822126</v>
      </c>
      <c r="AK225" s="5" t="n">
        <v>129.537670554414</v>
      </c>
      <c r="AL225" s="5" t="n">
        <v>103.325248358431</v>
      </c>
      <c r="AM225" s="5" t="n">
        <v>75.5312011739189</v>
      </c>
      <c r="AN225" s="5" t="n">
        <v>47.1594556415751</v>
      </c>
      <c r="AO225" s="5" t="n">
        <v>23.7531023869967</v>
      </c>
      <c r="AP225" s="5" t="n">
        <v>0</v>
      </c>
      <c r="AQ225" s="5" t="n">
        <v>0</v>
      </c>
      <c r="AR225" s="5" t="n">
        <v>0</v>
      </c>
      <c r="AS225" s="5" t="n">
        <v>0</v>
      </c>
      <c r="AT225" s="5" t="n">
        <v>0</v>
      </c>
      <c r="AU225" s="5" t="n">
        <v>0</v>
      </c>
      <c r="AV225" s="5" t="n">
        <v>0</v>
      </c>
      <c r="AW225" s="5" t="n">
        <v>0</v>
      </c>
      <c r="AX225" s="5" t="n">
        <v>0</v>
      </c>
      <c r="AY225" s="5" t="n">
        <v>0</v>
      </c>
      <c r="AZ225" s="5" t="n">
        <v>0</v>
      </c>
      <c r="BA225" s="5" t="n">
        <v>0</v>
      </c>
      <c r="BB225" s="5" t="n">
        <v>0</v>
      </c>
      <c r="BC225" s="5" t="n">
        <v>0</v>
      </c>
      <c r="BD225" s="5" t="n">
        <v>0</v>
      </c>
      <c r="BE225" s="5" t="n">
        <v>0</v>
      </c>
      <c r="BF225" s="5" t="n">
        <v>0</v>
      </c>
      <c r="BG225" s="5" t="n">
        <v>0</v>
      </c>
      <c r="BH225" s="5" t="n">
        <v>0</v>
      </c>
      <c r="BI225" s="5" t="n">
        <v>0</v>
      </c>
      <c r="BJ225" s="5" t="n">
        <v>0</v>
      </c>
      <c r="BK225" s="5" t="n">
        <v>0</v>
      </c>
      <c r="BL225" s="5" t="n">
        <v>0</v>
      </c>
      <c r="BM225" s="5" t="n">
        <v>0</v>
      </c>
      <c r="BN225" s="5" t="n">
        <v>0</v>
      </c>
    </row>
    <row r="226" customFormat="false" ht="15" hidden="false" customHeight="false" outlineLevel="0" collapsed="false">
      <c r="D226" s="0" t="s">
        <v>337</v>
      </c>
      <c r="E226" s="0" t="s">
        <v>103</v>
      </c>
      <c r="J226" s="5" t="n">
        <v>93.8</v>
      </c>
      <c r="K226" s="5" t="n">
        <v>92.9</v>
      </c>
      <c r="L226" s="5" t="n">
        <v>93.8</v>
      </c>
      <c r="M226" s="5" t="n">
        <v>90.6</v>
      </c>
      <c r="N226" s="5" t="n">
        <v>93.8</v>
      </c>
      <c r="O226" s="5" t="n">
        <v>92.9</v>
      </c>
      <c r="P226" s="5" t="n">
        <v>93.8</v>
      </c>
      <c r="Q226" s="5" t="n">
        <v>88.7</v>
      </c>
    </row>
    <row r="227" customFormat="false" ht="15" hidden="false" customHeight="false" outlineLevel="0" collapsed="false">
      <c r="D227" s="0" t="s">
        <v>338</v>
      </c>
      <c r="E227" s="0" t="s">
        <v>103</v>
      </c>
      <c r="J227" s="5" t="n">
        <v>0</v>
      </c>
      <c r="K227" s="5" t="n">
        <v>0</v>
      </c>
      <c r="L227" s="5" t="n">
        <v>0</v>
      </c>
      <c r="M227" s="5" t="n">
        <v>0</v>
      </c>
      <c r="N227" s="5" t="n">
        <v>0</v>
      </c>
      <c r="O227" s="5" t="n">
        <v>0</v>
      </c>
      <c r="P227" s="5" t="n">
        <v>0</v>
      </c>
      <c r="Q227" s="5" t="n">
        <v>84</v>
      </c>
      <c r="R227" s="5" t="n">
        <v>81.5</v>
      </c>
      <c r="S227" s="5" t="n">
        <v>0</v>
      </c>
      <c r="T227" s="5" t="n">
        <v>0</v>
      </c>
      <c r="U227" s="5" t="n">
        <v>0</v>
      </c>
      <c r="V227" s="5" t="n">
        <v>0</v>
      </c>
      <c r="W227" s="5" t="n">
        <v>0</v>
      </c>
      <c r="X227" s="5" t="n">
        <v>0</v>
      </c>
      <c r="Y227" s="5" t="n">
        <v>0</v>
      </c>
      <c r="Z227" s="5" t="n">
        <v>0</v>
      </c>
      <c r="AA227" s="5" t="n">
        <v>0</v>
      </c>
      <c r="AB227" s="5" t="n">
        <v>0</v>
      </c>
      <c r="AC227" s="5" t="n">
        <v>0</v>
      </c>
      <c r="AD227" s="5" t="n">
        <v>0</v>
      </c>
      <c r="AE227" s="5" t="n">
        <v>0</v>
      </c>
      <c r="AF227" s="5" t="n">
        <v>0</v>
      </c>
      <c r="AG227" s="5" t="n">
        <v>0</v>
      </c>
      <c r="AH227" s="5" t="n">
        <v>0</v>
      </c>
      <c r="AI227" s="5" t="n">
        <v>0</v>
      </c>
      <c r="AJ227" s="5" t="n">
        <v>0</v>
      </c>
      <c r="AK227" s="5" t="n">
        <v>0</v>
      </c>
      <c r="AL227" s="5" t="n">
        <v>0</v>
      </c>
      <c r="AM227" s="5" t="n">
        <v>0</v>
      </c>
      <c r="AN227" s="5" t="n">
        <v>0</v>
      </c>
      <c r="AO227" s="5" t="n">
        <v>0</v>
      </c>
      <c r="AP227" s="5" t="n">
        <v>0</v>
      </c>
      <c r="AQ227" s="5" t="n">
        <v>0</v>
      </c>
      <c r="AR227" s="5" t="n">
        <v>0</v>
      </c>
      <c r="AS227" s="5" t="n">
        <v>0</v>
      </c>
      <c r="AT227" s="5" t="n">
        <v>0</v>
      </c>
      <c r="AU227" s="5" t="n">
        <v>0</v>
      </c>
      <c r="AV227" s="5" t="n">
        <v>0</v>
      </c>
      <c r="AW227" s="5" t="n">
        <v>0</v>
      </c>
      <c r="AX227" s="5" t="n">
        <v>0</v>
      </c>
      <c r="AY227" s="5" t="n">
        <v>0</v>
      </c>
      <c r="AZ227" s="5" t="n">
        <v>0</v>
      </c>
      <c r="BA227" s="5" t="n">
        <v>0</v>
      </c>
      <c r="BB227" s="5" t="n">
        <v>0</v>
      </c>
      <c r="BC227" s="5" t="n">
        <v>0</v>
      </c>
      <c r="BD227" s="5" t="n">
        <v>0</v>
      </c>
      <c r="BE227" s="5" t="n">
        <v>0</v>
      </c>
      <c r="BF227" s="5" t="n">
        <v>0</v>
      </c>
      <c r="BG227" s="5" t="n">
        <v>0</v>
      </c>
      <c r="BH227" s="5" t="n">
        <v>0</v>
      </c>
      <c r="BI227" s="5" t="n">
        <v>0</v>
      </c>
      <c r="BJ227" s="5" t="n">
        <v>0</v>
      </c>
      <c r="BK227" s="5" t="n">
        <v>0</v>
      </c>
      <c r="BL227" s="5" t="n">
        <v>0</v>
      </c>
      <c r="BM227" s="5" t="n">
        <v>0</v>
      </c>
      <c r="BN227" s="5" t="n">
        <v>0</v>
      </c>
    </row>
    <row r="228" customFormat="false" ht="15" hidden="false" customHeight="false" outlineLevel="0" collapsed="false">
      <c r="B228" s="2" t="s">
        <v>339</v>
      </c>
    </row>
    <row r="229" customFormat="false" ht="15" hidden="false" customHeight="false" outlineLevel="0" collapsed="false">
      <c r="D229" s="0" t="s">
        <v>340</v>
      </c>
      <c r="E229" s="0" t="s">
        <v>103</v>
      </c>
      <c r="J229" s="5" t="n">
        <v>10</v>
      </c>
      <c r="K229" s="5" t="n">
        <v>0.0108</v>
      </c>
      <c r="L229" s="5" t="n">
        <v>0.1133</v>
      </c>
      <c r="M229" s="5" t="n">
        <v>0.3239</v>
      </c>
      <c r="N229" s="5" t="n">
        <v>0.6294</v>
      </c>
      <c r="O229" s="5" t="n">
        <v>1.0114</v>
      </c>
      <c r="P229" s="5" t="n">
        <v>1.4496</v>
      </c>
      <c r="Q229" s="5" t="n">
        <v>1.9236</v>
      </c>
      <c r="R229" s="5" t="n">
        <v>2.4133</v>
      </c>
      <c r="S229" s="5" t="n">
        <v>2.8999</v>
      </c>
      <c r="T229" s="5" t="n">
        <v>3.3659</v>
      </c>
      <c r="U229" s="5" t="n">
        <v>3.7957</v>
      </c>
      <c r="V229" s="5" t="n">
        <v>4.1755</v>
      </c>
      <c r="W229" s="5" t="n">
        <v>4.4935</v>
      </c>
      <c r="X229" s="5" t="n">
        <v>4.7405</v>
      </c>
      <c r="Y229" s="5" t="n">
        <v>4.9091</v>
      </c>
      <c r="Z229" s="5" t="n">
        <v>4.9946</v>
      </c>
      <c r="AA229" s="5" t="n">
        <v>4.9946</v>
      </c>
      <c r="AB229" s="5" t="n">
        <v>4.9091</v>
      </c>
      <c r="AC229" s="5" t="n">
        <v>4.7405</v>
      </c>
      <c r="AD229" s="5" t="n">
        <v>4.4935</v>
      </c>
      <c r="AE229" s="5" t="n">
        <v>4.1755</v>
      </c>
      <c r="AF229" s="5" t="n">
        <v>3.7957</v>
      </c>
      <c r="AG229" s="5" t="n">
        <v>3.3659</v>
      </c>
      <c r="AH229" s="5" t="n">
        <v>2.8999</v>
      </c>
      <c r="AI229" s="5" t="n">
        <v>2.4133</v>
      </c>
      <c r="AJ229" s="5" t="n">
        <v>1.9236</v>
      </c>
      <c r="AK229" s="5" t="n">
        <v>1.4496</v>
      </c>
      <c r="AL229" s="5" t="n">
        <v>1.0114</v>
      </c>
      <c r="AM229" s="5" t="n">
        <v>0.6294</v>
      </c>
      <c r="AN229" s="5" t="n">
        <v>0.3239</v>
      </c>
      <c r="AO229" s="5" t="n">
        <v>0.1133</v>
      </c>
      <c r="AP229" s="5" t="n">
        <v>7.5108</v>
      </c>
    </row>
    <row r="230" customFormat="false" ht="15" hidden="false" customHeight="false" outlineLevel="0" collapsed="false">
      <c r="D230" s="0" t="s">
        <v>341</v>
      </c>
      <c r="E230" s="0" t="s">
        <v>103</v>
      </c>
      <c r="J230" s="5" t="n">
        <v>10</v>
      </c>
      <c r="K230" s="5" t="n">
        <v>0.0102</v>
      </c>
      <c r="L230" s="5" t="n">
        <v>0.0868</v>
      </c>
      <c r="M230" s="5" t="n">
        <v>0.2284</v>
      </c>
      <c r="N230" s="5" t="n">
        <v>0.4235</v>
      </c>
      <c r="O230" s="5" t="n">
        <v>0.6612</v>
      </c>
      <c r="P230" s="5" t="n">
        <v>0.9313</v>
      </c>
      <c r="Q230" s="5" t="n">
        <v>1.2242</v>
      </c>
      <c r="R230" s="5" t="n">
        <v>1.5311</v>
      </c>
      <c r="S230" s="5" t="n">
        <v>1.8437</v>
      </c>
      <c r="T230" s="5" t="n">
        <v>2.1545</v>
      </c>
      <c r="U230" s="5" t="n">
        <v>2.4565</v>
      </c>
      <c r="V230" s="5" t="n">
        <v>2.7436</v>
      </c>
      <c r="W230" s="5" t="n">
        <v>3.01</v>
      </c>
      <c r="X230" s="5" t="n">
        <v>3.2509</v>
      </c>
      <c r="Y230" s="5" t="n">
        <v>3.4619</v>
      </c>
      <c r="Z230" s="5" t="n">
        <v>3.6396</v>
      </c>
      <c r="AA230" s="5" t="n">
        <v>3.7808</v>
      </c>
      <c r="AB230" s="5" t="n">
        <v>3.8833</v>
      </c>
      <c r="AC230" s="5" t="n">
        <v>3.9455</v>
      </c>
      <c r="AD230" s="5" t="n">
        <v>3.966</v>
      </c>
      <c r="AE230" s="5" t="n">
        <v>3.9455</v>
      </c>
      <c r="AF230" s="5" t="n">
        <v>3.8833</v>
      </c>
      <c r="AG230" s="5" t="n">
        <v>3.7808</v>
      </c>
      <c r="AH230" s="5" t="n">
        <v>3.6396</v>
      </c>
      <c r="AI230" s="5" t="n">
        <v>3.4619</v>
      </c>
      <c r="AJ230" s="5" t="n">
        <v>3.2509</v>
      </c>
      <c r="AK230" s="5" t="n">
        <v>3.01</v>
      </c>
      <c r="AL230" s="5" t="n">
        <v>2.7436</v>
      </c>
      <c r="AM230" s="5" t="n">
        <v>2.4565</v>
      </c>
      <c r="AN230" s="5" t="n">
        <v>2.1545</v>
      </c>
      <c r="AO230" s="5" t="n">
        <v>1.8437</v>
      </c>
      <c r="AP230" s="5" t="n">
        <v>1.5311</v>
      </c>
      <c r="AQ230" s="5" t="n">
        <v>1.2242</v>
      </c>
      <c r="AR230" s="5" t="n">
        <v>0.9313</v>
      </c>
      <c r="AS230" s="5" t="n">
        <v>0.6612</v>
      </c>
      <c r="AT230" s="5" t="n">
        <v>0.4235</v>
      </c>
      <c r="AU230" s="5" t="n">
        <v>0.2284</v>
      </c>
      <c r="AV230" s="5" t="n">
        <v>0.0868</v>
      </c>
      <c r="AW230" s="5" t="n">
        <v>7.5102</v>
      </c>
    </row>
    <row r="231" customFormat="false" ht="15" hidden="false" customHeight="false" outlineLevel="0" collapsed="false">
      <c r="D231" s="0" t="s">
        <v>342</v>
      </c>
      <c r="E231" s="0" t="s">
        <v>103</v>
      </c>
      <c r="J231" s="5" t="n">
        <v>12</v>
      </c>
      <c r="K231" s="5" t="n">
        <v>2.75</v>
      </c>
      <c r="L231" s="5" t="n">
        <v>2.75</v>
      </c>
      <c r="M231" s="5" t="n">
        <v>2.75</v>
      </c>
      <c r="N231" s="5" t="n">
        <v>2.75</v>
      </c>
      <c r="O231" s="5" t="n">
        <v>2.75</v>
      </c>
      <c r="P231" s="5" t="n">
        <v>2.75</v>
      </c>
      <c r="Q231" s="5" t="n">
        <v>2.75</v>
      </c>
      <c r="R231" s="5" t="n">
        <v>2.75</v>
      </c>
      <c r="S231" s="5" t="n">
        <v>2.75</v>
      </c>
      <c r="T231" s="5" t="n">
        <v>2.75</v>
      </c>
      <c r="U231" s="5" t="n">
        <v>2.75</v>
      </c>
      <c r="V231" s="5" t="n">
        <v>2.75</v>
      </c>
      <c r="W231" s="5" t="n">
        <v>2.75</v>
      </c>
      <c r="X231" s="5" t="n">
        <v>2.75</v>
      </c>
      <c r="Y231" s="5" t="n">
        <v>2.75</v>
      </c>
      <c r="Z231" s="5" t="n">
        <v>2.75</v>
      </c>
      <c r="AA231" s="5" t="n">
        <v>2.75</v>
      </c>
      <c r="AB231" s="5" t="n">
        <v>2.75</v>
      </c>
      <c r="AC231" s="5" t="n">
        <v>2.75</v>
      </c>
      <c r="AD231" s="5" t="n">
        <v>2.75</v>
      </c>
      <c r="AE231" s="5" t="n">
        <v>2.75</v>
      </c>
      <c r="AF231" s="5" t="n">
        <v>2.75</v>
      </c>
      <c r="AG231" s="5" t="n">
        <v>2.75</v>
      </c>
      <c r="AH231" s="5" t="n">
        <v>2.75</v>
      </c>
      <c r="AI231" s="5" t="n">
        <v>2.75</v>
      </c>
      <c r="AJ231" s="5" t="n">
        <v>2.75</v>
      </c>
      <c r="AK231" s="5" t="n">
        <v>2.75</v>
      </c>
      <c r="AL231" s="5" t="n">
        <v>2.75</v>
      </c>
      <c r="AM231" s="5" t="n">
        <v>2.75</v>
      </c>
      <c r="AN231" s="5" t="n">
        <v>2.75</v>
      </c>
      <c r="AO231" s="5" t="n">
        <v>2.75</v>
      </c>
      <c r="AP231" s="5" t="n">
        <v>2.75</v>
      </c>
    </row>
    <row r="232" customFormat="false" ht="15" hidden="false" customHeight="false" outlineLevel="0" collapsed="false">
      <c r="D232" s="0" t="s">
        <v>343</v>
      </c>
      <c r="E232" s="0" t="s">
        <v>149</v>
      </c>
      <c r="J232" s="5" t="n">
        <v>0</v>
      </c>
      <c r="K232" s="5" t="n">
        <v>0</v>
      </c>
      <c r="L232" s="5" t="n">
        <v>0</v>
      </c>
      <c r="M232" s="5" t="n">
        <v>0</v>
      </c>
      <c r="N232" s="5" t="n">
        <v>0</v>
      </c>
      <c r="O232" s="5" t="n">
        <v>0</v>
      </c>
      <c r="P232" s="5" t="n">
        <v>0</v>
      </c>
      <c r="Q232" s="5" t="n">
        <v>0</v>
      </c>
      <c r="R232" s="5" t="n">
        <v>0</v>
      </c>
      <c r="S232" s="5" t="n">
        <v>0</v>
      </c>
      <c r="T232" s="5" t="n">
        <v>0</v>
      </c>
      <c r="U232" s="5" t="n">
        <v>0</v>
      </c>
      <c r="V232" s="5" t="n">
        <v>0</v>
      </c>
      <c r="W232" s="5" t="n">
        <v>0</v>
      </c>
      <c r="X232" s="5" t="n">
        <v>0</v>
      </c>
      <c r="Y232" s="5" t="n">
        <v>0</v>
      </c>
      <c r="Z232" s="5" t="n">
        <v>0</v>
      </c>
      <c r="AA232" s="5" t="n">
        <v>0</v>
      </c>
      <c r="AB232" s="5" t="n">
        <v>0</v>
      </c>
      <c r="AC232" s="5" t="n">
        <v>0</v>
      </c>
      <c r="AD232" s="5" t="n">
        <v>0.3425</v>
      </c>
      <c r="AE232" s="5" t="n">
        <v>0.3425</v>
      </c>
      <c r="AF232" s="5" t="n">
        <v>0.3425</v>
      </c>
      <c r="AG232" s="5" t="n">
        <v>0.3425</v>
      </c>
      <c r="AH232" s="5" t="n">
        <v>0.3425</v>
      </c>
      <c r="AI232" s="5" t="n">
        <v>0.3425</v>
      </c>
      <c r="AJ232" s="5" t="n">
        <v>1.90916666666667</v>
      </c>
      <c r="AK232" s="5" t="n">
        <v>1.90916666666667</v>
      </c>
      <c r="AL232" s="5" t="n">
        <v>1.90916666666667</v>
      </c>
      <c r="AM232" s="5" t="n">
        <v>2.45416666666667</v>
      </c>
      <c r="AN232" s="5" t="n">
        <v>2.45416666666667</v>
      </c>
      <c r="AO232" s="5" t="n">
        <v>2.45416666666667</v>
      </c>
      <c r="AP232" s="5" t="n">
        <v>0.545</v>
      </c>
      <c r="AQ232" s="5" t="n">
        <v>2.08785714285714</v>
      </c>
      <c r="AR232" s="5" t="n">
        <v>0.667857142857143</v>
      </c>
      <c r="AS232" s="5" t="n">
        <v>1.12285714285714</v>
      </c>
      <c r="AT232" s="5" t="n">
        <v>0.122857142857143</v>
      </c>
      <c r="AU232" s="5" t="n">
        <v>2.76285714285714</v>
      </c>
      <c r="AV232" s="5" t="n">
        <v>0.807857142857143</v>
      </c>
      <c r="AW232" s="5" t="n">
        <v>9.07785714285714</v>
      </c>
      <c r="AX232" s="5" t="n">
        <v>0</v>
      </c>
      <c r="AY232" s="5" t="n">
        <v>0</v>
      </c>
      <c r="AZ232" s="5" t="n">
        <v>0</v>
      </c>
      <c r="BA232" s="5" t="n">
        <v>0</v>
      </c>
      <c r="BB232" s="5" t="n">
        <v>0</v>
      </c>
      <c r="BC232" s="5" t="n">
        <v>0</v>
      </c>
      <c r="BD232" s="5" t="n">
        <v>0</v>
      </c>
      <c r="BE232" s="5" t="n">
        <v>0</v>
      </c>
      <c r="BF232" s="5" t="n">
        <v>0</v>
      </c>
      <c r="BG232" s="5" t="n">
        <v>0</v>
      </c>
      <c r="BH232" s="5" t="n">
        <v>0</v>
      </c>
      <c r="BI232" s="5" t="n">
        <v>0</v>
      </c>
      <c r="BJ232" s="5" t="n">
        <v>0</v>
      </c>
    </row>
    <row r="233" customFormat="false" ht="15" hidden="false" customHeight="false" outlineLevel="0" collapsed="false">
      <c r="D233" s="0" t="s">
        <v>344</v>
      </c>
      <c r="E233" s="0" t="s">
        <v>149</v>
      </c>
      <c r="J233" s="5" t="n">
        <v>0</v>
      </c>
      <c r="K233" s="5" t="n">
        <v>72.038294745219</v>
      </c>
      <c r="L233" s="5" t="n">
        <v>73.5188727634301</v>
      </c>
      <c r="M233" s="5" t="n">
        <v>75.4061755390283</v>
      </c>
      <c r="N233" s="5" t="n">
        <v>78.0742147371756</v>
      </c>
      <c r="O233" s="5" t="n">
        <v>81.9159930804807</v>
      </c>
      <c r="P233" s="5" t="n">
        <v>87.2100026806785</v>
      </c>
      <c r="Q233" s="5" t="n">
        <v>94.1161870320207</v>
      </c>
      <c r="R233" s="5" t="n">
        <v>102.882341590788</v>
      </c>
      <c r="S233" s="5" t="n">
        <v>113.502241333422</v>
      </c>
      <c r="T233" s="5" t="n">
        <v>126.009719559759</v>
      </c>
      <c r="U233" s="5" t="n">
        <v>140.283618220881</v>
      </c>
      <c r="V233" s="5" t="n">
        <v>156.251143836047</v>
      </c>
      <c r="W233" s="5" t="n">
        <v>173.70770245687</v>
      </c>
      <c r="X233" s="5" t="n">
        <v>192.40256095453</v>
      </c>
      <c r="Y233" s="5" t="n">
        <v>212.12249619229</v>
      </c>
      <c r="Z233" s="5" t="n">
        <v>232.524998799284</v>
      </c>
      <c r="AA233" s="5" t="n">
        <v>253.355055082995</v>
      </c>
      <c r="AB233" s="5" t="n">
        <v>274.962511213658</v>
      </c>
      <c r="AC233" s="5" t="n">
        <v>295.573347969675</v>
      </c>
      <c r="AD233" s="5" t="n">
        <v>315.694288641713</v>
      </c>
      <c r="AE233" s="5" t="n">
        <v>334.928570701731</v>
      </c>
      <c r="AF233" s="5" t="n">
        <v>353.076211300926</v>
      </c>
      <c r="AG233" s="5" t="n">
        <v>369.827085578369</v>
      </c>
      <c r="AH233" s="5" t="n">
        <v>385.065863152433</v>
      </c>
      <c r="AI233" s="5" t="n">
        <v>398.61005725205</v>
      </c>
      <c r="AJ233" s="5" t="n">
        <v>410.334188843346</v>
      </c>
      <c r="AK233" s="5" t="n">
        <v>420.301584953568</v>
      </c>
      <c r="AL233" s="5" t="n">
        <v>428.480478068478</v>
      </c>
      <c r="AM233" s="5" t="n">
        <v>435.083252022206</v>
      </c>
      <c r="AN233" s="5" t="n">
        <v>440.274336168893</v>
      </c>
      <c r="AO233" s="5" t="n">
        <v>444.202704163639</v>
      </c>
      <c r="AP233" s="5" t="n">
        <v>447.481635057216</v>
      </c>
      <c r="AQ233" s="5" t="n">
        <v>479.624991969377</v>
      </c>
      <c r="AR233" s="5" t="n">
        <v>504.400258343845</v>
      </c>
      <c r="AS233" s="5" t="n">
        <v>0</v>
      </c>
      <c r="AT233" s="5" t="n">
        <v>0</v>
      </c>
      <c r="AU233" s="5" t="n">
        <v>0</v>
      </c>
      <c r="AV233" s="5" t="n">
        <v>0</v>
      </c>
      <c r="AW233" s="5" t="n">
        <v>0</v>
      </c>
      <c r="AX233" s="5" t="n">
        <v>0</v>
      </c>
      <c r="AY233" s="5" t="n">
        <v>0</v>
      </c>
      <c r="AZ233" s="5" t="n">
        <v>0</v>
      </c>
      <c r="BA233" s="5" t="n">
        <v>0</v>
      </c>
      <c r="BB233" s="5" t="n">
        <v>0</v>
      </c>
      <c r="BC233" s="5" t="n">
        <v>0</v>
      </c>
      <c r="BD233" s="5" t="n">
        <v>0</v>
      </c>
      <c r="BE233" s="5" t="n">
        <v>0</v>
      </c>
      <c r="BF233" s="5" t="n">
        <v>0</v>
      </c>
      <c r="BG233" s="5" t="n">
        <v>0</v>
      </c>
      <c r="BH233" s="5" t="n">
        <v>0</v>
      </c>
      <c r="BI233" s="5" t="n">
        <v>0</v>
      </c>
      <c r="BJ233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345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347</v>
      </c>
    </row>
    <row r="8" customFormat="false" ht="15" hidden="false" customHeight="false" outlineLevel="0" collapsed="false">
      <c r="D8" s="0" t="s">
        <v>348</v>
      </c>
      <c r="E8" s="0" t="s">
        <v>349</v>
      </c>
      <c r="F8" s="8" t="n">
        <f aca="false">IF(Inputs!$F$34=2,DATE(2021,12,1),EDATE(DATE(2021,5,1),Inputs!$F$35))</f>
        <v>44531</v>
      </c>
    </row>
    <row r="9" customFormat="false" ht="15" hidden="false" customHeight="false" outlineLevel="0" collapsed="false">
      <c r="D9" s="0" t="s">
        <v>350</v>
      </c>
      <c r="E9" s="0" t="s">
        <v>349</v>
      </c>
      <c r="F9" s="8" t="n">
        <f aca="false">EDATE(Time!$F$8,300)-1</f>
        <v>53661</v>
      </c>
    </row>
    <row r="10" customFormat="false" ht="15" hidden="false" customHeight="false" outlineLevel="0" collapsed="false">
      <c r="D10" s="0" t="s">
        <v>351</v>
      </c>
      <c r="E10" s="0" t="s">
        <v>97</v>
      </c>
      <c r="F10" s="9" t="n">
        <f aca="false">(YEAR(Time!$F$8)-2018)*12+MONTH(Time!$F$8)-8</f>
        <v>40</v>
      </c>
    </row>
    <row r="11" customFormat="false" ht="15" hidden="false" customHeight="false" outlineLevel="0" collapsed="false">
      <c r="D11" s="0" t="s">
        <v>352</v>
      </c>
      <c r="E11" s="0" t="s">
        <v>91</v>
      </c>
      <c r="F11" s="9" t="n">
        <f aca="false">(YEAR(Time!$F$8)-2018)*2+IF(MONTH(Time!$F$8)&lt;=6,0,1)</f>
        <v>7</v>
      </c>
    </row>
    <row r="12" customFormat="false" ht="15" hidden="false" customHeight="false" outlineLevel="0" collapsed="false">
      <c r="D12" s="0" t="s">
        <v>353</v>
      </c>
      <c r="E12" s="0" t="s">
        <v>91</v>
      </c>
      <c r="F12" s="9" t="n">
        <f aca="false">Time!$F$11+1</f>
        <v>8</v>
      </c>
    </row>
    <row r="13" customFormat="false" ht="15" hidden="false" customHeight="false" outlineLevel="0" collapsed="false">
      <c r="D13" s="0" t="s">
        <v>354</v>
      </c>
      <c r="E13" s="0" t="s">
        <v>91</v>
      </c>
      <c r="F13" s="9" t="n">
        <f aca="false">(YEAR(Time!$F$8)-2018)*12+IF(MONTH(Time!$F$8)&lt;=6,6,12)-7</f>
        <v>41</v>
      </c>
    </row>
    <row r="14" customFormat="false" ht="15" hidden="false" customHeight="false" outlineLevel="0" collapsed="false">
      <c r="D14" s="0" t="s">
        <v>355</v>
      </c>
      <c r="E14" s="0" t="s">
        <v>91</v>
      </c>
      <c r="F14" s="9" t="n">
        <f aca="false">SUMPRODUCT($J$32:$BN$32,$J$17:$BN$17)</f>
        <v>57</v>
      </c>
    </row>
    <row r="15" customFormat="false" ht="15" hidden="false" customHeight="false" outlineLevel="0" collapsed="false">
      <c r="D15" s="0" t="s">
        <v>356</v>
      </c>
      <c r="E15" s="0" t="s">
        <v>99</v>
      </c>
      <c r="F15" s="10" t="n">
        <f aca="false">1.075/1.022</f>
        <v>1.05185909980431</v>
      </c>
    </row>
    <row r="16" customFormat="false" ht="15" hidden="false" customHeight="false" outlineLevel="0" collapsed="false">
      <c r="B16" s="2" t="s">
        <v>357</v>
      </c>
    </row>
    <row r="17" customFormat="false" ht="15" hidden="false" customHeight="false" outlineLevel="0" collapsed="false">
      <c r="D17" s="0" t="s">
        <v>358</v>
      </c>
      <c r="E17" s="0" t="s">
        <v>91</v>
      </c>
      <c r="J17" s="9" t="n">
        <f aca="false">1</f>
        <v>1</v>
      </c>
      <c r="K17" s="9" t="n">
        <f aca="false">2</f>
        <v>2</v>
      </c>
      <c r="L17" s="9" t="n">
        <f aca="false">3</f>
        <v>3</v>
      </c>
      <c r="M17" s="9" t="n">
        <f aca="false">4</f>
        <v>4</v>
      </c>
      <c r="N17" s="9" t="n">
        <f aca="false">5</f>
        <v>5</v>
      </c>
      <c r="O17" s="9" t="n">
        <f aca="false">6</f>
        <v>6</v>
      </c>
      <c r="P17" s="9" t="n">
        <f aca="false">7</f>
        <v>7</v>
      </c>
      <c r="Q17" s="9" t="n">
        <f aca="false">8</f>
        <v>8</v>
      </c>
      <c r="R17" s="9" t="n">
        <f aca="false">9</f>
        <v>9</v>
      </c>
      <c r="S17" s="9" t="n">
        <f aca="false">10</f>
        <v>10</v>
      </c>
      <c r="T17" s="9" t="n">
        <f aca="false">11</f>
        <v>11</v>
      </c>
      <c r="U17" s="9" t="n">
        <f aca="false">12</f>
        <v>12</v>
      </c>
      <c r="V17" s="9" t="n">
        <f aca="false">13</f>
        <v>13</v>
      </c>
      <c r="W17" s="9" t="n">
        <f aca="false">14</f>
        <v>14</v>
      </c>
      <c r="X17" s="9" t="n">
        <f aca="false">15</f>
        <v>15</v>
      </c>
      <c r="Y17" s="9" t="n">
        <f aca="false">16</f>
        <v>16</v>
      </c>
      <c r="Z17" s="9" t="n">
        <f aca="false">17</f>
        <v>17</v>
      </c>
      <c r="AA17" s="9" t="n">
        <f aca="false">18</f>
        <v>18</v>
      </c>
      <c r="AB17" s="9" t="n">
        <f aca="false">19</f>
        <v>19</v>
      </c>
      <c r="AC17" s="9" t="n">
        <f aca="false">20</f>
        <v>20</v>
      </c>
      <c r="AD17" s="9" t="n">
        <f aca="false">21</f>
        <v>21</v>
      </c>
      <c r="AE17" s="9" t="n">
        <f aca="false">22</f>
        <v>22</v>
      </c>
      <c r="AF17" s="9" t="n">
        <f aca="false">23</f>
        <v>23</v>
      </c>
      <c r="AG17" s="9" t="n">
        <f aca="false">24</f>
        <v>24</v>
      </c>
      <c r="AH17" s="9" t="n">
        <f aca="false">25</f>
        <v>25</v>
      </c>
      <c r="AI17" s="9" t="n">
        <f aca="false">26</f>
        <v>26</v>
      </c>
      <c r="AJ17" s="9" t="n">
        <f aca="false">27</f>
        <v>27</v>
      </c>
      <c r="AK17" s="9" t="n">
        <f aca="false">28</f>
        <v>28</v>
      </c>
      <c r="AL17" s="9" t="n">
        <f aca="false">29</f>
        <v>29</v>
      </c>
      <c r="AM17" s="9" t="n">
        <f aca="false">30</f>
        <v>30</v>
      </c>
      <c r="AN17" s="9" t="n">
        <f aca="false">31</f>
        <v>31</v>
      </c>
      <c r="AO17" s="9" t="n">
        <f aca="false">32</f>
        <v>32</v>
      </c>
      <c r="AP17" s="9" t="n">
        <f aca="false">33</f>
        <v>33</v>
      </c>
      <c r="AQ17" s="9" t="n">
        <f aca="false">34</f>
        <v>34</v>
      </c>
      <c r="AR17" s="9" t="n">
        <f aca="false">35</f>
        <v>35</v>
      </c>
      <c r="AS17" s="9" t="n">
        <f aca="false">36</f>
        <v>36</v>
      </c>
      <c r="AT17" s="9" t="n">
        <f aca="false">37</f>
        <v>37</v>
      </c>
      <c r="AU17" s="9" t="n">
        <f aca="false">38</f>
        <v>38</v>
      </c>
      <c r="AV17" s="9" t="n">
        <f aca="false">39</f>
        <v>39</v>
      </c>
      <c r="AW17" s="9" t="n">
        <f aca="false">40</f>
        <v>40</v>
      </c>
      <c r="AX17" s="9" t="n">
        <f aca="false">41</f>
        <v>41</v>
      </c>
      <c r="AY17" s="9" t="n">
        <f aca="false">42</f>
        <v>42</v>
      </c>
      <c r="AZ17" s="9" t="n">
        <f aca="false">43</f>
        <v>43</v>
      </c>
      <c r="BA17" s="9" t="n">
        <f aca="false">44</f>
        <v>44</v>
      </c>
      <c r="BB17" s="9" t="n">
        <f aca="false">45</f>
        <v>45</v>
      </c>
      <c r="BC17" s="9" t="n">
        <f aca="false">46</f>
        <v>46</v>
      </c>
      <c r="BD17" s="9" t="n">
        <f aca="false">47</f>
        <v>47</v>
      </c>
      <c r="BE17" s="9" t="n">
        <f aca="false">48</f>
        <v>48</v>
      </c>
      <c r="BF17" s="9" t="n">
        <f aca="false">49</f>
        <v>49</v>
      </c>
      <c r="BG17" s="9" t="n">
        <f aca="false">50</f>
        <v>50</v>
      </c>
      <c r="BH17" s="9" t="n">
        <f aca="false">51</f>
        <v>51</v>
      </c>
      <c r="BI17" s="9" t="n">
        <f aca="false">52</f>
        <v>52</v>
      </c>
      <c r="BJ17" s="9" t="n">
        <f aca="false">53</f>
        <v>53</v>
      </c>
      <c r="BK17" s="9" t="n">
        <f aca="false">54</f>
        <v>54</v>
      </c>
      <c r="BL17" s="9" t="n">
        <f aca="false">55</f>
        <v>55</v>
      </c>
      <c r="BM17" s="9" t="n">
        <f aca="false">56</f>
        <v>56</v>
      </c>
      <c r="BN17" s="9" t="n">
        <f aca="false">57</f>
        <v>57</v>
      </c>
    </row>
    <row r="18" customFormat="false" ht="15" hidden="false" customHeight="false" outlineLevel="0" collapsed="false">
      <c r="D18" s="0" t="s">
        <v>359</v>
      </c>
      <c r="E18" s="0" t="s">
        <v>349</v>
      </c>
      <c r="J18" s="8" t="n">
        <f aca="false">DATE(2018,7,1)</f>
        <v>43282</v>
      </c>
      <c r="K18" s="8" t="n">
        <f aca="false">EDATE(J18,6)</f>
        <v>43466</v>
      </c>
      <c r="L18" s="8" t="n">
        <f aca="false">EDATE(K18,6)</f>
        <v>43647</v>
      </c>
      <c r="M18" s="8" t="n">
        <f aca="false">EDATE(L18,6)</f>
        <v>43831</v>
      </c>
      <c r="N18" s="8" t="n">
        <f aca="false">EDATE(M18,6)</f>
        <v>44013</v>
      </c>
      <c r="O18" s="8" t="n">
        <f aca="false">EDATE(N18,6)</f>
        <v>44197</v>
      </c>
      <c r="P18" s="8" t="n">
        <f aca="false">EDATE(O18,6)</f>
        <v>44378</v>
      </c>
      <c r="Q18" s="8" t="n">
        <f aca="false">EDATE(P18,6)</f>
        <v>44562</v>
      </c>
      <c r="R18" s="8" t="n">
        <f aca="false">EDATE(Q18,6)</f>
        <v>44743</v>
      </c>
      <c r="S18" s="8" t="n">
        <f aca="false">EDATE(R18,6)</f>
        <v>44927</v>
      </c>
      <c r="T18" s="8" t="n">
        <f aca="false">EDATE(S18,6)</f>
        <v>45108</v>
      </c>
      <c r="U18" s="8" t="n">
        <f aca="false">EDATE(T18,6)</f>
        <v>45292</v>
      </c>
      <c r="V18" s="8" t="n">
        <f aca="false">EDATE(U18,6)</f>
        <v>45474</v>
      </c>
      <c r="W18" s="8" t="n">
        <f aca="false">EDATE(V18,6)</f>
        <v>45658</v>
      </c>
      <c r="X18" s="8" t="n">
        <f aca="false">EDATE(W18,6)</f>
        <v>45839</v>
      </c>
      <c r="Y18" s="8" t="n">
        <f aca="false">EDATE(X18,6)</f>
        <v>46023</v>
      </c>
      <c r="Z18" s="8" t="n">
        <f aca="false">EDATE(Y18,6)</f>
        <v>46204</v>
      </c>
      <c r="AA18" s="8" t="n">
        <f aca="false">EDATE(Z18,6)</f>
        <v>46388</v>
      </c>
      <c r="AB18" s="8" t="n">
        <f aca="false">EDATE(AA18,6)</f>
        <v>46569</v>
      </c>
      <c r="AC18" s="8" t="n">
        <f aca="false">EDATE(AB18,6)</f>
        <v>46753</v>
      </c>
      <c r="AD18" s="8" t="n">
        <f aca="false">EDATE(AC18,6)</f>
        <v>46935</v>
      </c>
      <c r="AE18" s="8" t="n">
        <f aca="false">EDATE(AD18,6)</f>
        <v>47119</v>
      </c>
      <c r="AF18" s="8" t="n">
        <f aca="false">EDATE(AE18,6)</f>
        <v>47300</v>
      </c>
      <c r="AG18" s="8" t="n">
        <f aca="false">EDATE(AF18,6)</f>
        <v>47484</v>
      </c>
      <c r="AH18" s="8" t="n">
        <f aca="false">EDATE(AG18,6)</f>
        <v>47665</v>
      </c>
      <c r="AI18" s="8" t="n">
        <f aca="false">EDATE(AH18,6)</f>
        <v>47849</v>
      </c>
      <c r="AJ18" s="8" t="n">
        <f aca="false">EDATE(AI18,6)</f>
        <v>48030</v>
      </c>
      <c r="AK18" s="8" t="n">
        <f aca="false">EDATE(AJ18,6)</f>
        <v>48214</v>
      </c>
      <c r="AL18" s="8" t="n">
        <f aca="false">EDATE(AK18,6)</f>
        <v>48396</v>
      </c>
      <c r="AM18" s="8" t="n">
        <f aca="false">EDATE(AL18,6)</f>
        <v>48580</v>
      </c>
      <c r="AN18" s="8" t="n">
        <f aca="false">EDATE(AM18,6)</f>
        <v>48761</v>
      </c>
      <c r="AO18" s="8" t="n">
        <f aca="false">EDATE(AN18,6)</f>
        <v>48945</v>
      </c>
      <c r="AP18" s="8" t="n">
        <f aca="false">EDATE(AO18,6)</f>
        <v>49126</v>
      </c>
      <c r="AQ18" s="8" t="n">
        <f aca="false">EDATE(AP18,6)</f>
        <v>49310</v>
      </c>
      <c r="AR18" s="8" t="n">
        <f aca="false">EDATE(AQ18,6)</f>
        <v>49491</v>
      </c>
      <c r="AS18" s="8" t="n">
        <f aca="false">EDATE(AR18,6)</f>
        <v>49675</v>
      </c>
      <c r="AT18" s="8" t="n">
        <f aca="false">EDATE(AS18,6)</f>
        <v>49857</v>
      </c>
      <c r="AU18" s="8" t="n">
        <f aca="false">EDATE(AT18,6)</f>
        <v>50041</v>
      </c>
      <c r="AV18" s="8" t="n">
        <f aca="false">EDATE(AU18,6)</f>
        <v>50222</v>
      </c>
      <c r="AW18" s="8" t="n">
        <f aca="false">EDATE(AV18,6)</f>
        <v>50406</v>
      </c>
      <c r="AX18" s="8" t="n">
        <f aca="false">EDATE(AW18,6)</f>
        <v>50587</v>
      </c>
      <c r="AY18" s="8" t="n">
        <f aca="false">EDATE(AX18,6)</f>
        <v>50771</v>
      </c>
      <c r="AZ18" s="8" t="n">
        <f aca="false">EDATE(AY18,6)</f>
        <v>50952</v>
      </c>
      <c r="BA18" s="8" t="n">
        <f aca="false">EDATE(AZ18,6)</f>
        <v>51136</v>
      </c>
      <c r="BB18" s="8" t="n">
        <f aca="false">EDATE(BA18,6)</f>
        <v>51318</v>
      </c>
      <c r="BC18" s="8" t="n">
        <f aca="false">EDATE(BB18,6)</f>
        <v>51502</v>
      </c>
      <c r="BD18" s="8" t="n">
        <f aca="false">EDATE(BC18,6)</f>
        <v>51683</v>
      </c>
      <c r="BE18" s="8" t="n">
        <f aca="false">EDATE(BD18,6)</f>
        <v>51867</v>
      </c>
      <c r="BF18" s="8" t="n">
        <f aca="false">EDATE(BE18,6)</f>
        <v>52048</v>
      </c>
      <c r="BG18" s="8" t="n">
        <f aca="false">EDATE(BF18,6)</f>
        <v>52232</v>
      </c>
      <c r="BH18" s="8" t="n">
        <f aca="false">EDATE(BG18,6)</f>
        <v>52413</v>
      </c>
      <c r="BI18" s="8" t="n">
        <f aca="false">EDATE(BH18,6)</f>
        <v>52597</v>
      </c>
      <c r="BJ18" s="8" t="n">
        <f aca="false">EDATE(BI18,6)</f>
        <v>52779</v>
      </c>
      <c r="BK18" s="8" t="n">
        <f aca="false">EDATE(BJ18,6)</f>
        <v>52963</v>
      </c>
      <c r="BL18" s="8" t="n">
        <f aca="false">EDATE(BK18,6)</f>
        <v>53144</v>
      </c>
      <c r="BM18" s="8" t="n">
        <f aca="false">EDATE(BL18,6)</f>
        <v>53328</v>
      </c>
      <c r="BN18" s="8" t="n">
        <f aca="false">EDATE(BM18,6)</f>
        <v>53509</v>
      </c>
    </row>
    <row r="19" customFormat="false" ht="15" hidden="false" customHeight="false" outlineLevel="0" collapsed="false">
      <c r="D19" s="0" t="s">
        <v>360</v>
      </c>
      <c r="E19" s="0" t="s">
        <v>349</v>
      </c>
      <c r="J19" s="8" t="n">
        <f aca="false">EOMONTH(J18,5)</f>
        <v>43465</v>
      </c>
      <c r="K19" s="8" t="n">
        <f aca="false">EOMONTH(K18,5)</f>
        <v>43646</v>
      </c>
      <c r="L19" s="8" t="n">
        <f aca="false">EOMONTH(L18,5)</f>
        <v>43830</v>
      </c>
      <c r="M19" s="8" t="n">
        <f aca="false">EOMONTH(M18,5)</f>
        <v>44012</v>
      </c>
      <c r="N19" s="8" t="n">
        <f aca="false">EOMONTH(N18,5)</f>
        <v>44196</v>
      </c>
      <c r="O19" s="8" t="n">
        <f aca="false">EOMONTH(O18,5)</f>
        <v>44377</v>
      </c>
      <c r="P19" s="8" t="n">
        <f aca="false">EOMONTH(P18,5)</f>
        <v>44561</v>
      </c>
      <c r="Q19" s="8" t="n">
        <f aca="false">EOMONTH(Q18,5)</f>
        <v>44742</v>
      </c>
      <c r="R19" s="8" t="n">
        <f aca="false">EOMONTH(R18,5)</f>
        <v>44926</v>
      </c>
      <c r="S19" s="8" t="n">
        <f aca="false">EOMONTH(S18,5)</f>
        <v>45107</v>
      </c>
      <c r="T19" s="8" t="n">
        <f aca="false">EOMONTH(T18,5)</f>
        <v>45291</v>
      </c>
      <c r="U19" s="8" t="n">
        <f aca="false">EOMONTH(U18,5)</f>
        <v>45473</v>
      </c>
      <c r="V19" s="8" t="n">
        <f aca="false">EOMONTH(V18,5)</f>
        <v>45657</v>
      </c>
      <c r="W19" s="8" t="n">
        <f aca="false">EOMONTH(W18,5)</f>
        <v>45838</v>
      </c>
      <c r="X19" s="8" t="n">
        <f aca="false">EOMONTH(X18,5)</f>
        <v>46022</v>
      </c>
      <c r="Y19" s="8" t="n">
        <f aca="false">EOMONTH(Y18,5)</f>
        <v>46203</v>
      </c>
      <c r="Z19" s="8" t="n">
        <f aca="false">EOMONTH(Z18,5)</f>
        <v>46387</v>
      </c>
      <c r="AA19" s="8" t="n">
        <f aca="false">EOMONTH(AA18,5)</f>
        <v>46568</v>
      </c>
      <c r="AB19" s="8" t="n">
        <f aca="false">EOMONTH(AB18,5)</f>
        <v>46752</v>
      </c>
      <c r="AC19" s="8" t="n">
        <f aca="false">EOMONTH(AC18,5)</f>
        <v>46934</v>
      </c>
      <c r="AD19" s="8" t="n">
        <f aca="false">EOMONTH(AD18,5)</f>
        <v>47118</v>
      </c>
      <c r="AE19" s="8" t="n">
        <f aca="false">EOMONTH(AE18,5)</f>
        <v>47299</v>
      </c>
      <c r="AF19" s="8" t="n">
        <f aca="false">EOMONTH(AF18,5)</f>
        <v>47483</v>
      </c>
      <c r="AG19" s="8" t="n">
        <f aca="false">EOMONTH(AG18,5)</f>
        <v>47664</v>
      </c>
      <c r="AH19" s="8" t="n">
        <f aca="false">EOMONTH(AH18,5)</f>
        <v>47848</v>
      </c>
      <c r="AI19" s="8" t="n">
        <f aca="false">EOMONTH(AI18,5)</f>
        <v>48029</v>
      </c>
      <c r="AJ19" s="8" t="n">
        <f aca="false">EOMONTH(AJ18,5)</f>
        <v>48213</v>
      </c>
      <c r="AK19" s="8" t="n">
        <f aca="false">EOMONTH(AK18,5)</f>
        <v>48395</v>
      </c>
      <c r="AL19" s="8" t="n">
        <f aca="false">EOMONTH(AL18,5)</f>
        <v>48579</v>
      </c>
      <c r="AM19" s="8" t="n">
        <f aca="false">EOMONTH(AM18,5)</f>
        <v>48760</v>
      </c>
      <c r="AN19" s="8" t="n">
        <f aca="false">EOMONTH(AN18,5)</f>
        <v>48944</v>
      </c>
      <c r="AO19" s="8" t="n">
        <f aca="false">EOMONTH(AO18,5)</f>
        <v>49125</v>
      </c>
      <c r="AP19" s="8" t="n">
        <f aca="false">EOMONTH(AP18,5)</f>
        <v>49309</v>
      </c>
      <c r="AQ19" s="8" t="n">
        <f aca="false">EOMONTH(AQ18,5)</f>
        <v>49490</v>
      </c>
      <c r="AR19" s="8" t="n">
        <f aca="false">EOMONTH(AR18,5)</f>
        <v>49674</v>
      </c>
      <c r="AS19" s="8" t="n">
        <f aca="false">EOMONTH(AS18,5)</f>
        <v>49856</v>
      </c>
      <c r="AT19" s="8" t="n">
        <f aca="false">EOMONTH(AT18,5)</f>
        <v>50040</v>
      </c>
      <c r="AU19" s="8" t="n">
        <f aca="false">EOMONTH(AU18,5)</f>
        <v>50221</v>
      </c>
      <c r="AV19" s="8" t="n">
        <f aca="false">EOMONTH(AV18,5)</f>
        <v>50405</v>
      </c>
      <c r="AW19" s="8" t="n">
        <f aca="false">EOMONTH(AW18,5)</f>
        <v>50586</v>
      </c>
      <c r="AX19" s="8" t="n">
        <f aca="false">EOMONTH(AX18,5)</f>
        <v>50770</v>
      </c>
      <c r="AY19" s="8" t="n">
        <f aca="false">EOMONTH(AY18,5)</f>
        <v>50951</v>
      </c>
      <c r="AZ19" s="8" t="n">
        <f aca="false">EOMONTH(AZ18,5)</f>
        <v>51135</v>
      </c>
      <c r="BA19" s="8" t="n">
        <f aca="false">EOMONTH(BA18,5)</f>
        <v>51317</v>
      </c>
      <c r="BB19" s="8" t="n">
        <f aca="false">EOMONTH(BB18,5)</f>
        <v>51501</v>
      </c>
      <c r="BC19" s="8" t="n">
        <f aca="false">EOMONTH(BC18,5)</f>
        <v>51682</v>
      </c>
      <c r="BD19" s="8" t="n">
        <f aca="false">EOMONTH(BD18,5)</f>
        <v>51866</v>
      </c>
      <c r="BE19" s="8" t="n">
        <f aca="false">EOMONTH(BE18,5)</f>
        <v>52047</v>
      </c>
      <c r="BF19" s="8" t="n">
        <f aca="false">EOMONTH(BF18,5)</f>
        <v>52231</v>
      </c>
      <c r="BG19" s="8" t="n">
        <f aca="false">EOMONTH(BG18,5)</f>
        <v>52412</v>
      </c>
      <c r="BH19" s="8" t="n">
        <f aca="false">EOMONTH(BH18,5)</f>
        <v>52596</v>
      </c>
      <c r="BI19" s="8" t="n">
        <f aca="false">EOMONTH(BI18,5)</f>
        <v>52778</v>
      </c>
      <c r="BJ19" s="8" t="n">
        <f aca="false">EOMONTH(BJ18,5)</f>
        <v>52962</v>
      </c>
      <c r="BK19" s="8" t="n">
        <f aca="false">EOMONTH(BK18,5)</f>
        <v>53143</v>
      </c>
      <c r="BL19" s="8" t="n">
        <f aca="false">EOMONTH(BL18,5)</f>
        <v>53327</v>
      </c>
      <c r="BM19" s="8" t="n">
        <f aca="false">EOMONTH(BM18,5)</f>
        <v>53508</v>
      </c>
      <c r="BN19" s="8" t="n">
        <f aca="false">EOMONTH(BN18,5)</f>
        <v>53692</v>
      </c>
    </row>
    <row r="20" customFormat="false" ht="15" hidden="false" customHeight="false" outlineLevel="0" collapsed="false">
      <c r="D20" s="0" t="s">
        <v>361</v>
      </c>
      <c r="E20" s="0" t="s">
        <v>111</v>
      </c>
      <c r="J20" s="9" t="n">
        <f aca="false">J19-J18+1</f>
        <v>184</v>
      </c>
      <c r="K20" s="9" t="n">
        <f aca="false">K19-K18+1</f>
        <v>181</v>
      </c>
      <c r="L20" s="9" t="n">
        <f aca="false">L19-L18+1</f>
        <v>184</v>
      </c>
      <c r="M20" s="9" t="n">
        <f aca="false">M19-M18+1</f>
        <v>182</v>
      </c>
      <c r="N20" s="9" t="n">
        <f aca="false">N19-N18+1</f>
        <v>184</v>
      </c>
      <c r="O20" s="9" t="n">
        <f aca="false">O19-O18+1</f>
        <v>181</v>
      </c>
      <c r="P20" s="9" t="n">
        <f aca="false">P19-P18+1</f>
        <v>184</v>
      </c>
      <c r="Q20" s="9" t="n">
        <f aca="false">Q19-Q18+1</f>
        <v>181</v>
      </c>
      <c r="R20" s="9" t="n">
        <f aca="false">R19-R18+1</f>
        <v>184</v>
      </c>
      <c r="S20" s="9" t="n">
        <f aca="false">S19-S18+1</f>
        <v>181</v>
      </c>
      <c r="T20" s="9" t="n">
        <f aca="false">T19-T18+1</f>
        <v>184</v>
      </c>
      <c r="U20" s="9" t="n">
        <f aca="false">U19-U18+1</f>
        <v>182</v>
      </c>
      <c r="V20" s="9" t="n">
        <f aca="false">V19-V18+1</f>
        <v>184</v>
      </c>
      <c r="W20" s="9" t="n">
        <f aca="false">W19-W18+1</f>
        <v>181</v>
      </c>
      <c r="X20" s="9" t="n">
        <f aca="false">X19-X18+1</f>
        <v>184</v>
      </c>
      <c r="Y20" s="9" t="n">
        <f aca="false">Y19-Y18+1</f>
        <v>181</v>
      </c>
      <c r="Z20" s="9" t="n">
        <f aca="false">Z19-Z18+1</f>
        <v>184</v>
      </c>
      <c r="AA20" s="9" t="n">
        <f aca="false">AA19-AA18+1</f>
        <v>181</v>
      </c>
      <c r="AB20" s="9" t="n">
        <f aca="false">AB19-AB18+1</f>
        <v>184</v>
      </c>
      <c r="AC20" s="9" t="n">
        <f aca="false">AC19-AC18+1</f>
        <v>182</v>
      </c>
      <c r="AD20" s="9" t="n">
        <f aca="false">AD19-AD18+1</f>
        <v>184</v>
      </c>
      <c r="AE20" s="9" t="n">
        <f aca="false">AE19-AE18+1</f>
        <v>181</v>
      </c>
      <c r="AF20" s="9" t="n">
        <f aca="false">AF19-AF18+1</f>
        <v>184</v>
      </c>
      <c r="AG20" s="9" t="n">
        <f aca="false">AG19-AG18+1</f>
        <v>181</v>
      </c>
      <c r="AH20" s="9" t="n">
        <f aca="false">AH19-AH18+1</f>
        <v>184</v>
      </c>
      <c r="AI20" s="9" t="n">
        <f aca="false">AI19-AI18+1</f>
        <v>181</v>
      </c>
      <c r="AJ20" s="9" t="n">
        <f aca="false">AJ19-AJ18+1</f>
        <v>184</v>
      </c>
      <c r="AK20" s="9" t="n">
        <f aca="false">AK19-AK18+1</f>
        <v>182</v>
      </c>
      <c r="AL20" s="9" t="n">
        <f aca="false">AL19-AL18+1</f>
        <v>184</v>
      </c>
      <c r="AM20" s="9" t="n">
        <f aca="false">AM19-AM18+1</f>
        <v>181</v>
      </c>
      <c r="AN20" s="9" t="n">
        <f aca="false">AN19-AN18+1</f>
        <v>184</v>
      </c>
      <c r="AO20" s="9" t="n">
        <f aca="false">AO19-AO18+1</f>
        <v>181</v>
      </c>
      <c r="AP20" s="9" t="n">
        <f aca="false">AP19-AP18+1</f>
        <v>184</v>
      </c>
      <c r="AQ20" s="9" t="n">
        <f aca="false">AQ19-AQ18+1</f>
        <v>181</v>
      </c>
      <c r="AR20" s="9" t="n">
        <f aca="false">AR19-AR18+1</f>
        <v>184</v>
      </c>
      <c r="AS20" s="9" t="n">
        <f aca="false">AS19-AS18+1</f>
        <v>182</v>
      </c>
      <c r="AT20" s="9" t="n">
        <f aca="false">AT19-AT18+1</f>
        <v>184</v>
      </c>
      <c r="AU20" s="9" t="n">
        <f aca="false">AU19-AU18+1</f>
        <v>181</v>
      </c>
      <c r="AV20" s="9" t="n">
        <f aca="false">AV19-AV18+1</f>
        <v>184</v>
      </c>
      <c r="AW20" s="9" t="n">
        <f aca="false">AW19-AW18+1</f>
        <v>181</v>
      </c>
      <c r="AX20" s="9" t="n">
        <f aca="false">AX19-AX18+1</f>
        <v>184</v>
      </c>
      <c r="AY20" s="9" t="n">
        <f aca="false">AY19-AY18+1</f>
        <v>181</v>
      </c>
      <c r="AZ20" s="9" t="n">
        <f aca="false">AZ19-AZ18+1</f>
        <v>184</v>
      </c>
      <c r="BA20" s="9" t="n">
        <f aca="false">BA19-BA18+1</f>
        <v>182</v>
      </c>
      <c r="BB20" s="9" t="n">
        <f aca="false">BB19-BB18+1</f>
        <v>184</v>
      </c>
      <c r="BC20" s="9" t="n">
        <f aca="false">BC19-BC18+1</f>
        <v>181</v>
      </c>
      <c r="BD20" s="9" t="n">
        <f aca="false">BD19-BD18+1</f>
        <v>184</v>
      </c>
      <c r="BE20" s="9" t="n">
        <f aca="false">BE19-BE18+1</f>
        <v>181</v>
      </c>
      <c r="BF20" s="9" t="n">
        <f aca="false">BF19-BF18+1</f>
        <v>184</v>
      </c>
      <c r="BG20" s="9" t="n">
        <f aca="false">BG19-BG18+1</f>
        <v>181</v>
      </c>
      <c r="BH20" s="9" t="n">
        <f aca="false">BH19-BH18+1</f>
        <v>184</v>
      </c>
      <c r="BI20" s="9" t="n">
        <f aca="false">BI19-BI18+1</f>
        <v>182</v>
      </c>
      <c r="BJ20" s="9" t="n">
        <f aca="false">BJ19-BJ18+1</f>
        <v>184</v>
      </c>
      <c r="BK20" s="9" t="n">
        <f aca="false">BK19-BK18+1</f>
        <v>181</v>
      </c>
      <c r="BL20" s="9" t="n">
        <f aca="false">BL19-BL18+1</f>
        <v>184</v>
      </c>
      <c r="BM20" s="9" t="n">
        <f aca="false">BM19-BM18+1</f>
        <v>181</v>
      </c>
      <c r="BN20" s="9" t="n">
        <f aca="false">BN19-BN18+1</f>
        <v>184</v>
      </c>
    </row>
    <row r="21" customFormat="false" ht="15" hidden="false" customHeight="false" outlineLevel="0" collapsed="false">
      <c r="D21" s="0" t="s">
        <v>316</v>
      </c>
      <c r="E21" s="0" t="s">
        <v>317</v>
      </c>
      <c r="J21" s="9" t="n">
        <f aca="false">YEAR(J18)</f>
        <v>2018</v>
      </c>
      <c r="K21" s="9" t="n">
        <f aca="false">YEAR(K18)</f>
        <v>2019</v>
      </c>
      <c r="L21" s="9" t="n">
        <f aca="false">YEAR(L18)</f>
        <v>2019</v>
      </c>
      <c r="M21" s="9" t="n">
        <f aca="false">YEAR(M18)</f>
        <v>2020</v>
      </c>
      <c r="N21" s="9" t="n">
        <f aca="false">YEAR(N18)</f>
        <v>2020</v>
      </c>
      <c r="O21" s="9" t="n">
        <f aca="false">YEAR(O18)</f>
        <v>2021</v>
      </c>
      <c r="P21" s="9" t="n">
        <f aca="false">YEAR(P18)</f>
        <v>2021</v>
      </c>
      <c r="Q21" s="9" t="n">
        <f aca="false">YEAR(Q18)</f>
        <v>2022</v>
      </c>
      <c r="R21" s="9" t="n">
        <f aca="false">YEAR(R18)</f>
        <v>2022</v>
      </c>
      <c r="S21" s="9" t="n">
        <f aca="false">YEAR(S18)</f>
        <v>2023</v>
      </c>
      <c r="T21" s="9" t="n">
        <f aca="false">YEAR(T18)</f>
        <v>2023</v>
      </c>
      <c r="U21" s="9" t="n">
        <f aca="false">YEAR(U18)</f>
        <v>2024</v>
      </c>
      <c r="V21" s="9" t="n">
        <f aca="false">YEAR(V18)</f>
        <v>2024</v>
      </c>
      <c r="W21" s="9" t="n">
        <f aca="false">YEAR(W18)</f>
        <v>2025</v>
      </c>
      <c r="X21" s="9" t="n">
        <f aca="false">YEAR(X18)</f>
        <v>2025</v>
      </c>
      <c r="Y21" s="9" t="n">
        <f aca="false">YEAR(Y18)</f>
        <v>2026</v>
      </c>
      <c r="Z21" s="9" t="n">
        <f aca="false">YEAR(Z18)</f>
        <v>2026</v>
      </c>
      <c r="AA21" s="9" t="n">
        <f aca="false">YEAR(AA18)</f>
        <v>2027</v>
      </c>
      <c r="AB21" s="9" t="n">
        <f aca="false">YEAR(AB18)</f>
        <v>2027</v>
      </c>
      <c r="AC21" s="9" t="n">
        <f aca="false">YEAR(AC18)</f>
        <v>2028</v>
      </c>
      <c r="AD21" s="9" t="n">
        <f aca="false">YEAR(AD18)</f>
        <v>2028</v>
      </c>
      <c r="AE21" s="9" t="n">
        <f aca="false">YEAR(AE18)</f>
        <v>2029</v>
      </c>
      <c r="AF21" s="9" t="n">
        <f aca="false">YEAR(AF18)</f>
        <v>2029</v>
      </c>
      <c r="AG21" s="9" t="n">
        <f aca="false">YEAR(AG18)</f>
        <v>2030</v>
      </c>
      <c r="AH21" s="9" t="n">
        <f aca="false">YEAR(AH18)</f>
        <v>2030</v>
      </c>
      <c r="AI21" s="9" t="n">
        <f aca="false">YEAR(AI18)</f>
        <v>2031</v>
      </c>
      <c r="AJ21" s="9" t="n">
        <f aca="false">YEAR(AJ18)</f>
        <v>2031</v>
      </c>
      <c r="AK21" s="9" t="n">
        <f aca="false">YEAR(AK18)</f>
        <v>2032</v>
      </c>
      <c r="AL21" s="9" t="n">
        <f aca="false">YEAR(AL18)</f>
        <v>2032</v>
      </c>
      <c r="AM21" s="9" t="n">
        <f aca="false">YEAR(AM18)</f>
        <v>2033</v>
      </c>
      <c r="AN21" s="9" t="n">
        <f aca="false">YEAR(AN18)</f>
        <v>2033</v>
      </c>
      <c r="AO21" s="9" t="n">
        <f aca="false">YEAR(AO18)</f>
        <v>2034</v>
      </c>
      <c r="AP21" s="9" t="n">
        <f aca="false">YEAR(AP18)</f>
        <v>2034</v>
      </c>
      <c r="AQ21" s="9" t="n">
        <f aca="false">YEAR(AQ18)</f>
        <v>2035</v>
      </c>
      <c r="AR21" s="9" t="n">
        <f aca="false">YEAR(AR18)</f>
        <v>2035</v>
      </c>
      <c r="AS21" s="9" t="n">
        <f aca="false">YEAR(AS18)</f>
        <v>2036</v>
      </c>
      <c r="AT21" s="9" t="n">
        <f aca="false">YEAR(AT18)</f>
        <v>2036</v>
      </c>
      <c r="AU21" s="9" t="n">
        <f aca="false">YEAR(AU18)</f>
        <v>2037</v>
      </c>
      <c r="AV21" s="9" t="n">
        <f aca="false">YEAR(AV18)</f>
        <v>2037</v>
      </c>
      <c r="AW21" s="9" t="n">
        <f aca="false">YEAR(AW18)</f>
        <v>2038</v>
      </c>
      <c r="AX21" s="9" t="n">
        <f aca="false">YEAR(AX18)</f>
        <v>2038</v>
      </c>
      <c r="AY21" s="9" t="n">
        <f aca="false">YEAR(AY18)</f>
        <v>2039</v>
      </c>
      <c r="AZ21" s="9" t="n">
        <f aca="false">YEAR(AZ18)</f>
        <v>2039</v>
      </c>
      <c r="BA21" s="9" t="n">
        <f aca="false">YEAR(BA18)</f>
        <v>2040</v>
      </c>
      <c r="BB21" s="9" t="n">
        <f aca="false">YEAR(BB18)</f>
        <v>2040</v>
      </c>
      <c r="BC21" s="9" t="n">
        <f aca="false">YEAR(BC18)</f>
        <v>2041</v>
      </c>
      <c r="BD21" s="9" t="n">
        <f aca="false">YEAR(BD18)</f>
        <v>2041</v>
      </c>
      <c r="BE21" s="9" t="n">
        <f aca="false">YEAR(BE18)</f>
        <v>2042</v>
      </c>
      <c r="BF21" s="9" t="n">
        <f aca="false">YEAR(BF18)</f>
        <v>2042</v>
      </c>
      <c r="BG21" s="9" t="n">
        <f aca="false">YEAR(BG18)</f>
        <v>2043</v>
      </c>
      <c r="BH21" s="9" t="n">
        <f aca="false">YEAR(BH18)</f>
        <v>2043</v>
      </c>
      <c r="BI21" s="9" t="n">
        <f aca="false">YEAR(BI18)</f>
        <v>2044</v>
      </c>
      <c r="BJ21" s="9" t="n">
        <f aca="false">YEAR(BJ18)</f>
        <v>2044</v>
      </c>
      <c r="BK21" s="9" t="n">
        <f aca="false">YEAR(BK18)</f>
        <v>2045</v>
      </c>
      <c r="BL21" s="9" t="n">
        <f aca="false">YEAR(BL18)</f>
        <v>2045</v>
      </c>
      <c r="BM21" s="9" t="n">
        <f aca="false">YEAR(BM18)</f>
        <v>2046</v>
      </c>
      <c r="BN21" s="9" t="n">
        <f aca="false">YEAR(BN18)</f>
        <v>2046</v>
      </c>
    </row>
    <row r="22" customFormat="false" ht="15" hidden="false" customHeight="false" outlineLevel="0" collapsed="false">
      <c r="D22" s="0" t="s">
        <v>362</v>
      </c>
      <c r="E22" s="0" t="s">
        <v>91</v>
      </c>
      <c r="J22" s="9" t="n">
        <f aca="false">IF(MONTH(J18)=1,1,2)</f>
        <v>2</v>
      </c>
      <c r="K22" s="9" t="n">
        <f aca="false">IF(MONTH(K18)=1,1,2)</f>
        <v>1</v>
      </c>
      <c r="L22" s="9" t="n">
        <f aca="false">IF(MONTH(L18)=1,1,2)</f>
        <v>2</v>
      </c>
      <c r="M22" s="9" t="n">
        <f aca="false">IF(MONTH(M18)=1,1,2)</f>
        <v>1</v>
      </c>
      <c r="N22" s="9" t="n">
        <f aca="false">IF(MONTH(N18)=1,1,2)</f>
        <v>2</v>
      </c>
      <c r="O22" s="9" t="n">
        <f aca="false">IF(MONTH(O18)=1,1,2)</f>
        <v>1</v>
      </c>
      <c r="P22" s="9" t="n">
        <f aca="false">IF(MONTH(P18)=1,1,2)</f>
        <v>2</v>
      </c>
      <c r="Q22" s="9" t="n">
        <f aca="false">IF(MONTH(Q18)=1,1,2)</f>
        <v>1</v>
      </c>
      <c r="R22" s="9" t="n">
        <f aca="false">IF(MONTH(R18)=1,1,2)</f>
        <v>2</v>
      </c>
      <c r="S22" s="9" t="n">
        <f aca="false">IF(MONTH(S18)=1,1,2)</f>
        <v>1</v>
      </c>
      <c r="T22" s="9" t="n">
        <f aca="false">IF(MONTH(T18)=1,1,2)</f>
        <v>2</v>
      </c>
      <c r="U22" s="9" t="n">
        <f aca="false">IF(MONTH(U18)=1,1,2)</f>
        <v>1</v>
      </c>
      <c r="V22" s="9" t="n">
        <f aca="false">IF(MONTH(V18)=1,1,2)</f>
        <v>2</v>
      </c>
      <c r="W22" s="9" t="n">
        <f aca="false">IF(MONTH(W18)=1,1,2)</f>
        <v>1</v>
      </c>
      <c r="X22" s="9" t="n">
        <f aca="false">IF(MONTH(X18)=1,1,2)</f>
        <v>2</v>
      </c>
      <c r="Y22" s="9" t="n">
        <f aca="false">IF(MONTH(Y18)=1,1,2)</f>
        <v>1</v>
      </c>
      <c r="Z22" s="9" t="n">
        <f aca="false">IF(MONTH(Z18)=1,1,2)</f>
        <v>2</v>
      </c>
      <c r="AA22" s="9" t="n">
        <f aca="false">IF(MONTH(AA18)=1,1,2)</f>
        <v>1</v>
      </c>
      <c r="AB22" s="9" t="n">
        <f aca="false">IF(MONTH(AB18)=1,1,2)</f>
        <v>2</v>
      </c>
      <c r="AC22" s="9" t="n">
        <f aca="false">IF(MONTH(AC18)=1,1,2)</f>
        <v>1</v>
      </c>
      <c r="AD22" s="9" t="n">
        <f aca="false">IF(MONTH(AD18)=1,1,2)</f>
        <v>2</v>
      </c>
      <c r="AE22" s="9" t="n">
        <f aca="false">IF(MONTH(AE18)=1,1,2)</f>
        <v>1</v>
      </c>
      <c r="AF22" s="9" t="n">
        <f aca="false">IF(MONTH(AF18)=1,1,2)</f>
        <v>2</v>
      </c>
      <c r="AG22" s="9" t="n">
        <f aca="false">IF(MONTH(AG18)=1,1,2)</f>
        <v>1</v>
      </c>
      <c r="AH22" s="9" t="n">
        <f aca="false">IF(MONTH(AH18)=1,1,2)</f>
        <v>2</v>
      </c>
      <c r="AI22" s="9" t="n">
        <f aca="false">IF(MONTH(AI18)=1,1,2)</f>
        <v>1</v>
      </c>
      <c r="AJ22" s="9" t="n">
        <f aca="false">IF(MONTH(AJ18)=1,1,2)</f>
        <v>2</v>
      </c>
      <c r="AK22" s="9" t="n">
        <f aca="false">IF(MONTH(AK18)=1,1,2)</f>
        <v>1</v>
      </c>
      <c r="AL22" s="9" t="n">
        <f aca="false">IF(MONTH(AL18)=1,1,2)</f>
        <v>2</v>
      </c>
      <c r="AM22" s="9" t="n">
        <f aca="false">IF(MONTH(AM18)=1,1,2)</f>
        <v>1</v>
      </c>
      <c r="AN22" s="9" t="n">
        <f aca="false">IF(MONTH(AN18)=1,1,2)</f>
        <v>2</v>
      </c>
      <c r="AO22" s="9" t="n">
        <f aca="false">IF(MONTH(AO18)=1,1,2)</f>
        <v>1</v>
      </c>
      <c r="AP22" s="9" t="n">
        <f aca="false">IF(MONTH(AP18)=1,1,2)</f>
        <v>2</v>
      </c>
      <c r="AQ22" s="9" t="n">
        <f aca="false">IF(MONTH(AQ18)=1,1,2)</f>
        <v>1</v>
      </c>
      <c r="AR22" s="9" t="n">
        <f aca="false">IF(MONTH(AR18)=1,1,2)</f>
        <v>2</v>
      </c>
      <c r="AS22" s="9" t="n">
        <f aca="false">IF(MONTH(AS18)=1,1,2)</f>
        <v>1</v>
      </c>
      <c r="AT22" s="9" t="n">
        <f aca="false">IF(MONTH(AT18)=1,1,2)</f>
        <v>2</v>
      </c>
      <c r="AU22" s="9" t="n">
        <f aca="false">IF(MONTH(AU18)=1,1,2)</f>
        <v>1</v>
      </c>
      <c r="AV22" s="9" t="n">
        <f aca="false">IF(MONTH(AV18)=1,1,2)</f>
        <v>2</v>
      </c>
      <c r="AW22" s="9" t="n">
        <f aca="false">IF(MONTH(AW18)=1,1,2)</f>
        <v>1</v>
      </c>
      <c r="AX22" s="9" t="n">
        <f aca="false">IF(MONTH(AX18)=1,1,2)</f>
        <v>2</v>
      </c>
      <c r="AY22" s="9" t="n">
        <f aca="false">IF(MONTH(AY18)=1,1,2)</f>
        <v>1</v>
      </c>
      <c r="AZ22" s="9" t="n">
        <f aca="false">IF(MONTH(AZ18)=1,1,2)</f>
        <v>2</v>
      </c>
      <c r="BA22" s="9" t="n">
        <f aca="false">IF(MONTH(BA18)=1,1,2)</f>
        <v>1</v>
      </c>
      <c r="BB22" s="9" t="n">
        <f aca="false">IF(MONTH(BB18)=1,1,2)</f>
        <v>2</v>
      </c>
      <c r="BC22" s="9" t="n">
        <f aca="false">IF(MONTH(BC18)=1,1,2)</f>
        <v>1</v>
      </c>
      <c r="BD22" s="9" t="n">
        <f aca="false">IF(MONTH(BD18)=1,1,2)</f>
        <v>2</v>
      </c>
      <c r="BE22" s="9" t="n">
        <f aca="false">IF(MONTH(BE18)=1,1,2)</f>
        <v>1</v>
      </c>
      <c r="BF22" s="9" t="n">
        <f aca="false">IF(MONTH(BF18)=1,1,2)</f>
        <v>2</v>
      </c>
      <c r="BG22" s="9" t="n">
        <f aca="false">IF(MONTH(BG18)=1,1,2)</f>
        <v>1</v>
      </c>
      <c r="BH22" s="9" t="n">
        <f aca="false">IF(MONTH(BH18)=1,1,2)</f>
        <v>2</v>
      </c>
      <c r="BI22" s="9" t="n">
        <f aca="false">IF(MONTH(BI18)=1,1,2)</f>
        <v>1</v>
      </c>
      <c r="BJ22" s="9" t="n">
        <f aca="false">IF(MONTH(BJ18)=1,1,2)</f>
        <v>2</v>
      </c>
      <c r="BK22" s="9" t="n">
        <f aca="false">IF(MONTH(BK18)=1,1,2)</f>
        <v>1</v>
      </c>
      <c r="BL22" s="9" t="n">
        <f aca="false">IF(MONTH(BL18)=1,1,2)</f>
        <v>2</v>
      </c>
      <c r="BM22" s="9" t="n">
        <f aca="false">IF(MONTH(BM18)=1,1,2)</f>
        <v>1</v>
      </c>
      <c r="BN22" s="9" t="n">
        <f aca="false">IF(MONTH(BN18)=1,1,2)</f>
        <v>2</v>
      </c>
    </row>
    <row r="23" customFormat="false" ht="15" hidden="false" customHeight="false" outlineLevel="0" collapsed="false">
      <c r="D23" s="0" t="s">
        <v>363</v>
      </c>
      <c r="E23" s="0" t="s">
        <v>349</v>
      </c>
      <c r="J23" s="8" t="n">
        <f aca="false">MAX(J18,$F$8)</f>
        <v>44531</v>
      </c>
      <c r="K23" s="8" t="n">
        <f aca="false">MAX(K18,$F$8)</f>
        <v>44531</v>
      </c>
      <c r="L23" s="8" t="n">
        <f aca="false">MAX(L18,$F$8)</f>
        <v>44531</v>
      </c>
      <c r="M23" s="8" t="n">
        <f aca="false">MAX(M18,$F$8)</f>
        <v>44531</v>
      </c>
      <c r="N23" s="8" t="n">
        <f aca="false">MAX(N18,$F$8)</f>
        <v>44531</v>
      </c>
      <c r="O23" s="8" t="n">
        <f aca="false">MAX(O18,$F$8)</f>
        <v>44531</v>
      </c>
      <c r="P23" s="8" t="n">
        <f aca="false">MAX(P18,$F$8)</f>
        <v>44531</v>
      </c>
      <c r="Q23" s="8" t="n">
        <f aca="false">MAX(Q18,$F$8)</f>
        <v>44562</v>
      </c>
      <c r="R23" s="8" t="n">
        <f aca="false">MAX(R18,$F$8)</f>
        <v>44743</v>
      </c>
      <c r="S23" s="8" t="n">
        <f aca="false">MAX(S18,$F$8)</f>
        <v>44927</v>
      </c>
      <c r="T23" s="8" t="n">
        <f aca="false">MAX(T18,$F$8)</f>
        <v>45108</v>
      </c>
      <c r="U23" s="8" t="n">
        <f aca="false">MAX(U18,$F$8)</f>
        <v>45292</v>
      </c>
      <c r="V23" s="8" t="n">
        <f aca="false">MAX(V18,$F$8)</f>
        <v>45474</v>
      </c>
      <c r="W23" s="8" t="n">
        <f aca="false">MAX(W18,$F$8)</f>
        <v>45658</v>
      </c>
      <c r="X23" s="8" t="n">
        <f aca="false">MAX(X18,$F$8)</f>
        <v>45839</v>
      </c>
      <c r="Y23" s="8" t="n">
        <f aca="false">MAX(Y18,$F$8)</f>
        <v>46023</v>
      </c>
      <c r="Z23" s="8" t="n">
        <f aca="false">MAX(Z18,$F$8)</f>
        <v>46204</v>
      </c>
      <c r="AA23" s="8" t="n">
        <f aca="false">MAX(AA18,$F$8)</f>
        <v>46388</v>
      </c>
      <c r="AB23" s="8" t="n">
        <f aca="false">MAX(AB18,$F$8)</f>
        <v>46569</v>
      </c>
      <c r="AC23" s="8" t="n">
        <f aca="false">MAX(AC18,$F$8)</f>
        <v>46753</v>
      </c>
      <c r="AD23" s="8" t="n">
        <f aca="false">MAX(AD18,$F$8)</f>
        <v>46935</v>
      </c>
      <c r="AE23" s="8" t="n">
        <f aca="false">MAX(AE18,$F$8)</f>
        <v>47119</v>
      </c>
      <c r="AF23" s="8" t="n">
        <f aca="false">MAX(AF18,$F$8)</f>
        <v>47300</v>
      </c>
      <c r="AG23" s="8" t="n">
        <f aca="false">MAX(AG18,$F$8)</f>
        <v>47484</v>
      </c>
      <c r="AH23" s="8" t="n">
        <f aca="false">MAX(AH18,$F$8)</f>
        <v>47665</v>
      </c>
      <c r="AI23" s="8" t="n">
        <f aca="false">MAX(AI18,$F$8)</f>
        <v>47849</v>
      </c>
      <c r="AJ23" s="8" t="n">
        <f aca="false">MAX(AJ18,$F$8)</f>
        <v>48030</v>
      </c>
      <c r="AK23" s="8" t="n">
        <f aca="false">MAX(AK18,$F$8)</f>
        <v>48214</v>
      </c>
      <c r="AL23" s="8" t="n">
        <f aca="false">MAX(AL18,$F$8)</f>
        <v>48396</v>
      </c>
      <c r="AM23" s="8" t="n">
        <f aca="false">MAX(AM18,$F$8)</f>
        <v>48580</v>
      </c>
      <c r="AN23" s="8" t="n">
        <f aca="false">MAX(AN18,$F$8)</f>
        <v>48761</v>
      </c>
      <c r="AO23" s="8" t="n">
        <f aca="false">MAX(AO18,$F$8)</f>
        <v>48945</v>
      </c>
      <c r="AP23" s="8" t="n">
        <f aca="false">MAX(AP18,$F$8)</f>
        <v>49126</v>
      </c>
      <c r="AQ23" s="8" t="n">
        <f aca="false">MAX(AQ18,$F$8)</f>
        <v>49310</v>
      </c>
      <c r="AR23" s="8" t="n">
        <f aca="false">MAX(AR18,$F$8)</f>
        <v>49491</v>
      </c>
      <c r="AS23" s="8" t="n">
        <f aca="false">MAX(AS18,$F$8)</f>
        <v>49675</v>
      </c>
      <c r="AT23" s="8" t="n">
        <f aca="false">MAX(AT18,$F$8)</f>
        <v>49857</v>
      </c>
      <c r="AU23" s="8" t="n">
        <f aca="false">MAX(AU18,$F$8)</f>
        <v>50041</v>
      </c>
      <c r="AV23" s="8" t="n">
        <f aca="false">MAX(AV18,$F$8)</f>
        <v>50222</v>
      </c>
      <c r="AW23" s="8" t="n">
        <f aca="false">MAX(AW18,$F$8)</f>
        <v>50406</v>
      </c>
      <c r="AX23" s="8" t="n">
        <f aca="false">MAX(AX18,$F$8)</f>
        <v>50587</v>
      </c>
      <c r="AY23" s="8" t="n">
        <f aca="false">MAX(AY18,$F$8)</f>
        <v>50771</v>
      </c>
      <c r="AZ23" s="8" t="n">
        <f aca="false">MAX(AZ18,$F$8)</f>
        <v>50952</v>
      </c>
      <c r="BA23" s="8" t="n">
        <f aca="false">MAX(BA18,$F$8)</f>
        <v>51136</v>
      </c>
      <c r="BB23" s="8" t="n">
        <f aca="false">MAX(BB18,$F$8)</f>
        <v>51318</v>
      </c>
      <c r="BC23" s="8" t="n">
        <f aca="false">MAX(BC18,$F$8)</f>
        <v>51502</v>
      </c>
      <c r="BD23" s="8" t="n">
        <f aca="false">MAX(BD18,$F$8)</f>
        <v>51683</v>
      </c>
      <c r="BE23" s="8" t="n">
        <f aca="false">MAX(BE18,$F$8)</f>
        <v>51867</v>
      </c>
      <c r="BF23" s="8" t="n">
        <f aca="false">MAX(BF18,$F$8)</f>
        <v>52048</v>
      </c>
      <c r="BG23" s="8" t="n">
        <f aca="false">MAX(BG18,$F$8)</f>
        <v>52232</v>
      </c>
      <c r="BH23" s="8" t="n">
        <f aca="false">MAX(BH18,$F$8)</f>
        <v>52413</v>
      </c>
      <c r="BI23" s="8" t="n">
        <f aca="false">MAX(BI18,$F$8)</f>
        <v>52597</v>
      </c>
      <c r="BJ23" s="8" t="n">
        <f aca="false">MAX(BJ18,$F$8)</f>
        <v>52779</v>
      </c>
      <c r="BK23" s="8" t="n">
        <f aca="false">MAX(BK18,$F$8)</f>
        <v>52963</v>
      </c>
      <c r="BL23" s="8" t="n">
        <f aca="false">MAX(BL18,$F$8)</f>
        <v>53144</v>
      </c>
      <c r="BM23" s="8" t="n">
        <f aca="false">MAX(BM18,$F$8)</f>
        <v>53328</v>
      </c>
      <c r="BN23" s="8" t="n">
        <f aca="false">MAX(BN18,$F$8)</f>
        <v>53509</v>
      </c>
    </row>
    <row r="24" customFormat="false" ht="15" hidden="false" customHeight="false" outlineLevel="0" collapsed="false">
      <c r="D24" s="0" t="s">
        <v>364</v>
      </c>
      <c r="E24" s="0" t="s">
        <v>349</v>
      </c>
      <c r="J24" s="8" t="n">
        <f aca="false">MIN(J19,$F$9)</f>
        <v>43465</v>
      </c>
      <c r="K24" s="8" t="n">
        <f aca="false">MIN(K19,$F$9)</f>
        <v>43646</v>
      </c>
      <c r="L24" s="8" t="n">
        <f aca="false">MIN(L19,$F$9)</f>
        <v>43830</v>
      </c>
      <c r="M24" s="8" t="n">
        <f aca="false">MIN(M19,$F$9)</f>
        <v>44012</v>
      </c>
      <c r="N24" s="8" t="n">
        <f aca="false">MIN(N19,$F$9)</f>
        <v>44196</v>
      </c>
      <c r="O24" s="8" t="n">
        <f aca="false">MIN(O19,$F$9)</f>
        <v>44377</v>
      </c>
      <c r="P24" s="8" t="n">
        <f aca="false">MIN(P19,$F$9)</f>
        <v>44561</v>
      </c>
      <c r="Q24" s="8" t="n">
        <f aca="false">MIN(Q19,$F$9)</f>
        <v>44742</v>
      </c>
      <c r="R24" s="8" t="n">
        <f aca="false">MIN(R19,$F$9)</f>
        <v>44926</v>
      </c>
      <c r="S24" s="8" t="n">
        <f aca="false">MIN(S19,$F$9)</f>
        <v>45107</v>
      </c>
      <c r="T24" s="8" t="n">
        <f aca="false">MIN(T19,$F$9)</f>
        <v>45291</v>
      </c>
      <c r="U24" s="8" t="n">
        <f aca="false">MIN(U19,$F$9)</f>
        <v>45473</v>
      </c>
      <c r="V24" s="8" t="n">
        <f aca="false">MIN(V19,$F$9)</f>
        <v>45657</v>
      </c>
      <c r="W24" s="8" t="n">
        <f aca="false">MIN(W19,$F$9)</f>
        <v>45838</v>
      </c>
      <c r="X24" s="8" t="n">
        <f aca="false">MIN(X19,$F$9)</f>
        <v>46022</v>
      </c>
      <c r="Y24" s="8" t="n">
        <f aca="false">MIN(Y19,$F$9)</f>
        <v>46203</v>
      </c>
      <c r="Z24" s="8" t="n">
        <f aca="false">MIN(Z19,$F$9)</f>
        <v>46387</v>
      </c>
      <c r="AA24" s="8" t="n">
        <f aca="false">MIN(AA19,$F$9)</f>
        <v>46568</v>
      </c>
      <c r="AB24" s="8" t="n">
        <f aca="false">MIN(AB19,$F$9)</f>
        <v>46752</v>
      </c>
      <c r="AC24" s="8" t="n">
        <f aca="false">MIN(AC19,$F$9)</f>
        <v>46934</v>
      </c>
      <c r="AD24" s="8" t="n">
        <f aca="false">MIN(AD19,$F$9)</f>
        <v>47118</v>
      </c>
      <c r="AE24" s="8" t="n">
        <f aca="false">MIN(AE19,$F$9)</f>
        <v>47299</v>
      </c>
      <c r="AF24" s="8" t="n">
        <f aca="false">MIN(AF19,$F$9)</f>
        <v>47483</v>
      </c>
      <c r="AG24" s="8" t="n">
        <f aca="false">MIN(AG19,$F$9)</f>
        <v>47664</v>
      </c>
      <c r="AH24" s="8" t="n">
        <f aca="false">MIN(AH19,$F$9)</f>
        <v>47848</v>
      </c>
      <c r="AI24" s="8" t="n">
        <f aca="false">MIN(AI19,$F$9)</f>
        <v>48029</v>
      </c>
      <c r="AJ24" s="8" t="n">
        <f aca="false">MIN(AJ19,$F$9)</f>
        <v>48213</v>
      </c>
      <c r="AK24" s="8" t="n">
        <f aca="false">MIN(AK19,$F$9)</f>
        <v>48395</v>
      </c>
      <c r="AL24" s="8" t="n">
        <f aca="false">MIN(AL19,$F$9)</f>
        <v>48579</v>
      </c>
      <c r="AM24" s="8" t="n">
        <f aca="false">MIN(AM19,$F$9)</f>
        <v>48760</v>
      </c>
      <c r="AN24" s="8" t="n">
        <f aca="false">MIN(AN19,$F$9)</f>
        <v>48944</v>
      </c>
      <c r="AO24" s="8" t="n">
        <f aca="false">MIN(AO19,$F$9)</f>
        <v>49125</v>
      </c>
      <c r="AP24" s="8" t="n">
        <f aca="false">MIN(AP19,$F$9)</f>
        <v>49309</v>
      </c>
      <c r="AQ24" s="8" t="n">
        <f aca="false">MIN(AQ19,$F$9)</f>
        <v>49490</v>
      </c>
      <c r="AR24" s="8" t="n">
        <f aca="false">MIN(AR19,$F$9)</f>
        <v>49674</v>
      </c>
      <c r="AS24" s="8" t="n">
        <f aca="false">MIN(AS19,$F$9)</f>
        <v>49856</v>
      </c>
      <c r="AT24" s="8" t="n">
        <f aca="false">MIN(AT19,$F$9)</f>
        <v>50040</v>
      </c>
      <c r="AU24" s="8" t="n">
        <f aca="false">MIN(AU19,$F$9)</f>
        <v>50221</v>
      </c>
      <c r="AV24" s="8" t="n">
        <f aca="false">MIN(AV19,$F$9)</f>
        <v>50405</v>
      </c>
      <c r="AW24" s="8" t="n">
        <f aca="false">MIN(AW19,$F$9)</f>
        <v>50586</v>
      </c>
      <c r="AX24" s="8" t="n">
        <f aca="false">MIN(AX19,$F$9)</f>
        <v>50770</v>
      </c>
      <c r="AY24" s="8" t="n">
        <f aca="false">MIN(AY19,$F$9)</f>
        <v>50951</v>
      </c>
      <c r="AZ24" s="8" t="n">
        <f aca="false">MIN(AZ19,$F$9)</f>
        <v>51135</v>
      </c>
      <c r="BA24" s="8" t="n">
        <f aca="false">MIN(BA19,$F$9)</f>
        <v>51317</v>
      </c>
      <c r="BB24" s="8" t="n">
        <f aca="false">MIN(BB19,$F$9)</f>
        <v>51501</v>
      </c>
      <c r="BC24" s="8" t="n">
        <f aca="false">MIN(BC19,$F$9)</f>
        <v>51682</v>
      </c>
      <c r="BD24" s="8" t="n">
        <f aca="false">MIN(BD19,$F$9)</f>
        <v>51866</v>
      </c>
      <c r="BE24" s="8" t="n">
        <f aca="false">MIN(BE19,$F$9)</f>
        <v>52047</v>
      </c>
      <c r="BF24" s="8" t="n">
        <f aca="false">MIN(BF19,$F$9)</f>
        <v>52231</v>
      </c>
      <c r="BG24" s="8" t="n">
        <f aca="false">MIN(BG19,$F$9)</f>
        <v>52412</v>
      </c>
      <c r="BH24" s="8" t="n">
        <f aca="false">MIN(BH19,$F$9)</f>
        <v>52596</v>
      </c>
      <c r="BI24" s="8" t="n">
        <f aca="false">MIN(BI19,$F$9)</f>
        <v>52778</v>
      </c>
      <c r="BJ24" s="8" t="n">
        <f aca="false">MIN(BJ19,$F$9)</f>
        <v>52962</v>
      </c>
      <c r="BK24" s="8" t="n">
        <f aca="false">MIN(BK19,$F$9)</f>
        <v>53143</v>
      </c>
      <c r="BL24" s="8" t="n">
        <f aca="false">MIN(BL19,$F$9)</f>
        <v>53327</v>
      </c>
      <c r="BM24" s="8" t="n">
        <f aca="false">MIN(BM19,$F$9)</f>
        <v>53508</v>
      </c>
      <c r="BN24" s="8" t="n">
        <f aca="false">MIN(BN19,$F$9)</f>
        <v>53661</v>
      </c>
    </row>
    <row r="25" customFormat="false" ht="15" hidden="false" customHeight="false" outlineLevel="0" collapsed="false">
      <c r="D25" s="0" t="s">
        <v>365</v>
      </c>
      <c r="E25" s="0" t="s">
        <v>97</v>
      </c>
      <c r="J25" s="9" t="n">
        <f aca="false">IF(J24&gt;=J23,(YEAR(J24)-YEAR(J23))*12+MONTH(J24)-MONTH(J23)+1,0)</f>
        <v>0</v>
      </c>
      <c r="K25" s="9" t="n">
        <f aca="false">IF(K24&gt;=K23,(YEAR(K24)-YEAR(K23))*12+MONTH(K24)-MONTH(K23)+1,0)</f>
        <v>0</v>
      </c>
      <c r="L25" s="9" t="n">
        <f aca="false">IF(L24&gt;=L23,(YEAR(L24)-YEAR(L23))*12+MONTH(L24)-MONTH(L23)+1,0)</f>
        <v>0</v>
      </c>
      <c r="M25" s="9" t="n">
        <f aca="false">IF(M24&gt;=M23,(YEAR(M24)-YEAR(M23))*12+MONTH(M24)-MONTH(M23)+1,0)</f>
        <v>0</v>
      </c>
      <c r="N25" s="9" t="n">
        <f aca="false">IF(N24&gt;=N23,(YEAR(N24)-YEAR(N23))*12+MONTH(N24)-MONTH(N23)+1,0)</f>
        <v>0</v>
      </c>
      <c r="O25" s="9" t="n">
        <f aca="false">IF(O24&gt;=O23,(YEAR(O24)-YEAR(O23))*12+MONTH(O24)-MONTH(O23)+1,0)</f>
        <v>0</v>
      </c>
      <c r="P25" s="9" t="n">
        <f aca="false">IF(P24&gt;=P23,(YEAR(P24)-YEAR(P23))*12+MONTH(P24)-MONTH(P23)+1,0)</f>
        <v>1</v>
      </c>
      <c r="Q25" s="9" t="n">
        <f aca="false">IF(Q24&gt;=Q23,(YEAR(Q24)-YEAR(Q23))*12+MONTH(Q24)-MONTH(Q23)+1,0)</f>
        <v>6</v>
      </c>
      <c r="R25" s="9" t="n">
        <f aca="false">IF(R24&gt;=R23,(YEAR(R24)-YEAR(R23))*12+MONTH(R24)-MONTH(R23)+1,0)</f>
        <v>6</v>
      </c>
      <c r="S25" s="9" t="n">
        <f aca="false">IF(S24&gt;=S23,(YEAR(S24)-YEAR(S23))*12+MONTH(S24)-MONTH(S23)+1,0)</f>
        <v>6</v>
      </c>
      <c r="T25" s="9" t="n">
        <f aca="false">IF(T24&gt;=T23,(YEAR(T24)-YEAR(T23))*12+MONTH(T24)-MONTH(T23)+1,0)</f>
        <v>6</v>
      </c>
      <c r="U25" s="9" t="n">
        <f aca="false">IF(U24&gt;=U23,(YEAR(U24)-YEAR(U23))*12+MONTH(U24)-MONTH(U23)+1,0)</f>
        <v>6</v>
      </c>
      <c r="V25" s="9" t="n">
        <f aca="false">IF(V24&gt;=V23,(YEAR(V24)-YEAR(V23))*12+MONTH(V24)-MONTH(V23)+1,0)</f>
        <v>6</v>
      </c>
      <c r="W25" s="9" t="n">
        <f aca="false">IF(W24&gt;=W23,(YEAR(W24)-YEAR(W23))*12+MONTH(W24)-MONTH(W23)+1,0)</f>
        <v>6</v>
      </c>
      <c r="X25" s="9" t="n">
        <f aca="false">IF(X24&gt;=X23,(YEAR(X24)-YEAR(X23))*12+MONTH(X24)-MONTH(X23)+1,0)</f>
        <v>6</v>
      </c>
      <c r="Y25" s="9" t="n">
        <f aca="false">IF(Y24&gt;=Y23,(YEAR(Y24)-YEAR(Y23))*12+MONTH(Y24)-MONTH(Y23)+1,0)</f>
        <v>6</v>
      </c>
      <c r="Z25" s="9" t="n">
        <f aca="false">IF(Z24&gt;=Z23,(YEAR(Z24)-YEAR(Z23))*12+MONTH(Z24)-MONTH(Z23)+1,0)</f>
        <v>6</v>
      </c>
      <c r="AA25" s="9" t="n">
        <f aca="false">IF(AA24&gt;=AA23,(YEAR(AA24)-YEAR(AA23))*12+MONTH(AA24)-MONTH(AA23)+1,0)</f>
        <v>6</v>
      </c>
      <c r="AB25" s="9" t="n">
        <f aca="false">IF(AB24&gt;=AB23,(YEAR(AB24)-YEAR(AB23))*12+MONTH(AB24)-MONTH(AB23)+1,0)</f>
        <v>6</v>
      </c>
      <c r="AC25" s="9" t="n">
        <f aca="false">IF(AC24&gt;=AC23,(YEAR(AC24)-YEAR(AC23))*12+MONTH(AC24)-MONTH(AC23)+1,0)</f>
        <v>6</v>
      </c>
      <c r="AD25" s="9" t="n">
        <f aca="false">IF(AD24&gt;=AD23,(YEAR(AD24)-YEAR(AD23))*12+MONTH(AD24)-MONTH(AD23)+1,0)</f>
        <v>6</v>
      </c>
      <c r="AE25" s="9" t="n">
        <f aca="false">IF(AE24&gt;=AE23,(YEAR(AE24)-YEAR(AE23))*12+MONTH(AE24)-MONTH(AE23)+1,0)</f>
        <v>6</v>
      </c>
      <c r="AF25" s="9" t="n">
        <f aca="false">IF(AF24&gt;=AF23,(YEAR(AF24)-YEAR(AF23))*12+MONTH(AF24)-MONTH(AF23)+1,0)</f>
        <v>6</v>
      </c>
      <c r="AG25" s="9" t="n">
        <f aca="false">IF(AG24&gt;=AG23,(YEAR(AG24)-YEAR(AG23))*12+MONTH(AG24)-MONTH(AG23)+1,0)</f>
        <v>6</v>
      </c>
      <c r="AH25" s="9" t="n">
        <f aca="false">IF(AH24&gt;=AH23,(YEAR(AH24)-YEAR(AH23))*12+MONTH(AH24)-MONTH(AH23)+1,0)</f>
        <v>6</v>
      </c>
      <c r="AI25" s="9" t="n">
        <f aca="false">IF(AI24&gt;=AI23,(YEAR(AI24)-YEAR(AI23))*12+MONTH(AI24)-MONTH(AI23)+1,0)</f>
        <v>6</v>
      </c>
      <c r="AJ25" s="9" t="n">
        <f aca="false">IF(AJ24&gt;=AJ23,(YEAR(AJ24)-YEAR(AJ23))*12+MONTH(AJ24)-MONTH(AJ23)+1,0)</f>
        <v>6</v>
      </c>
      <c r="AK25" s="9" t="n">
        <f aca="false">IF(AK24&gt;=AK23,(YEAR(AK24)-YEAR(AK23))*12+MONTH(AK24)-MONTH(AK23)+1,0)</f>
        <v>6</v>
      </c>
      <c r="AL25" s="9" t="n">
        <f aca="false">IF(AL24&gt;=AL23,(YEAR(AL24)-YEAR(AL23))*12+MONTH(AL24)-MONTH(AL23)+1,0)</f>
        <v>6</v>
      </c>
      <c r="AM25" s="9" t="n">
        <f aca="false">IF(AM24&gt;=AM23,(YEAR(AM24)-YEAR(AM23))*12+MONTH(AM24)-MONTH(AM23)+1,0)</f>
        <v>6</v>
      </c>
      <c r="AN25" s="9" t="n">
        <f aca="false">IF(AN24&gt;=AN23,(YEAR(AN24)-YEAR(AN23))*12+MONTH(AN24)-MONTH(AN23)+1,0)</f>
        <v>6</v>
      </c>
      <c r="AO25" s="9" t="n">
        <f aca="false">IF(AO24&gt;=AO23,(YEAR(AO24)-YEAR(AO23))*12+MONTH(AO24)-MONTH(AO23)+1,0)</f>
        <v>6</v>
      </c>
      <c r="AP25" s="9" t="n">
        <f aca="false">IF(AP24&gt;=AP23,(YEAR(AP24)-YEAR(AP23))*12+MONTH(AP24)-MONTH(AP23)+1,0)</f>
        <v>6</v>
      </c>
      <c r="AQ25" s="9" t="n">
        <f aca="false">IF(AQ24&gt;=AQ23,(YEAR(AQ24)-YEAR(AQ23))*12+MONTH(AQ24)-MONTH(AQ23)+1,0)</f>
        <v>6</v>
      </c>
      <c r="AR25" s="9" t="n">
        <f aca="false">IF(AR24&gt;=AR23,(YEAR(AR24)-YEAR(AR23))*12+MONTH(AR24)-MONTH(AR23)+1,0)</f>
        <v>6</v>
      </c>
      <c r="AS25" s="9" t="n">
        <f aca="false">IF(AS24&gt;=AS23,(YEAR(AS24)-YEAR(AS23))*12+MONTH(AS24)-MONTH(AS23)+1,0)</f>
        <v>6</v>
      </c>
      <c r="AT25" s="9" t="n">
        <f aca="false">IF(AT24&gt;=AT23,(YEAR(AT24)-YEAR(AT23))*12+MONTH(AT24)-MONTH(AT23)+1,0)</f>
        <v>6</v>
      </c>
      <c r="AU25" s="9" t="n">
        <f aca="false">IF(AU24&gt;=AU23,(YEAR(AU24)-YEAR(AU23))*12+MONTH(AU24)-MONTH(AU23)+1,0)</f>
        <v>6</v>
      </c>
      <c r="AV25" s="9" t="n">
        <f aca="false">IF(AV24&gt;=AV23,(YEAR(AV24)-YEAR(AV23))*12+MONTH(AV24)-MONTH(AV23)+1,0)</f>
        <v>6</v>
      </c>
      <c r="AW25" s="9" t="n">
        <f aca="false">IF(AW24&gt;=AW23,(YEAR(AW24)-YEAR(AW23))*12+MONTH(AW24)-MONTH(AW23)+1,0)</f>
        <v>6</v>
      </c>
      <c r="AX25" s="9" t="n">
        <f aca="false">IF(AX24&gt;=AX23,(YEAR(AX24)-YEAR(AX23))*12+MONTH(AX24)-MONTH(AX23)+1,0)</f>
        <v>6</v>
      </c>
      <c r="AY25" s="9" t="n">
        <f aca="false">IF(AY24&gt;=AY23,(YEAR(AY24)-YEAR(AY23))*12+MONTH(AY24)-MONTH(AY23)+1,0)</f>
        <v>6</v>
      </c>
      <c r="AZ25" s="9" t="n">
        <f aca="false">IF(AZ24&gt;=AZ23,(YEAR(AZ24)-YEAR(AZ23))*12+MONTH(AZ24)-MONTH(AZ23)+1,0)</f>
        <v>6</v>
      </c>
      <c r="BA25" s="9" t="n">
        <f aca="false">IF(BA24&gt;=BA23,(YEAR(BA24)-YEAR(BA23))*12+MONTH(BA24)-MONTH(BA23)+1,0)</f>
        <v>6</v>
      </c>
      <c r="BB25" s="9" t="n">
        <f aca="false">IF(BB24&gt;=BB23,(YEAR(BB24)-YEAR(BB23))*12+MONTH(BB24)-MONTH(BB23)+1,0)</f>
        <v>6</v>
      </c>
      <c r="BC25" s="9" t="n">
        <f aca="false">IF(BC24&gt;=BC23,(YEAR(BC24)-YEAR(BC23))*12+MONTH(BC24)-MONTH(BC23)+1,0)</f>
        <v>6</v>
      </c>
      <c r="BD25" s="9" t="n">
        <f aca="false">IF(BD24&gt;=BD23,(YEAR(BD24)-YEAR(BD23))*12+MONTH(BD24)-MONTH(BD23)+1,0)</f>
        <v>6</v>
      </c>
      <c r="BE25" s="9" t="n">
        <f aca="false">IF(BE24&gt;=BE23,(YEAR(BE24)-YEAR(BE23))*12+MONTH(BE24)-MONTH(BE23)+1,0)</f>
        <v>6</v>
      </c>
      <c r="BF25" s="9" t="n">
        <f aca="false">IF(BF24&gt;=BF23,(YEAR(BF24)-YEAR(BF23))*12+MONTH(BF24)-MONTH(BF23)+1,0)</f>
        <v>6</v>
      </c>
      <c r="BG25" s="9" t="n">
        <f aca="false">IF(BG24&gt;=BG23,(YEAR(BG24)-YEAR(BG23))*12+MONTH(BG24)-MONTH(BG23)+1,0)</f>
        <v>6</v>
      </c>
      <c r="BH25" s="9" t="n">
        <f aca="false">IF(BH24&gt;=BH23,(YEAR(BH24)-YEAR(BH23))*12+MONTH(BH24)-MONTH(BH23)+1,0)</f>
        <v>6</v>
      </c>
      <c r="BI25" s="9" t="n">
        <f aca="false">IF(BI24&gt;=BI23,(YEAR(BI24)-YEAR(BI23))*12+MONTH(BI24)-MONTH(BI23)+1,0)</f>
        <v>6</v>
      </c>
      <c r="BJ25" s="9" t="n">
        <f aca="false">IF(BJ24&gt;=BJ23,(YEAR(BJ24)-YEAR(BJ23))*12+MONTH(BJ24)-MONTH(BJ23)+1,0)</f>
        <v>6</v>
      </c>
      <c r="BK25" s="9" t="n">
        <f aca="false">IF(BK24&gt;=BK23,(YEAR(BK24)-YEAR(BK23))*12+MONTH(BK24)-MONTH(BK23)+1,0)</f>
        <v>6</v>
      </c>
      <c r="BL25" s="9" t="n">
        <f aca="false">IF(BL24&gt;=BL23,(YEAR(BL24)-YEAR(BL23))*12+MONTH(BL24)-MONTH(BL23)+1,0)</f>
        <v>6</v>
      </c>
      <c r="BM25" s="9" t="n">
        <f aca="false">IF(BM24&gt;=BM23,(YEAR(BM24)-YEAR(BM23))*12+MONTH(BM24)-MONTH(BM23)+1,0)</f>
        <v>6</v>
      </c>
      <c r="BN25" s="9" t="n">
        <f aca="false">IF(BN24&gt;=BN23,(YEAR(BN24)-YEAR(BN23))*12+MONTH(BN24)-MONTH(BN23)+1,0)</f>
        <v>5</v>
      </c>
    </row>
    <row r="26" customFormat="false" ht="15" hidden="false" customHeight="false" outlineLevel="0" collapsed="false">
      <c r="D26" s="0" t="s">
        <v>366</v>
      </c>
      <c r="E26" s="0" t="s">
        <v>111</v>
      </c>
      <c r="J26" s="9" t="n">
        <f aca="false">IF(J24&gt;=J23,J24-J23+1,0)</f>
        <v>0</v>
      </c>
      <c r="K26" s="9" t="n">
        <f aca="false">IF(K24&gt;=K23,K24-K23+1,0)</f>
        <v>0</v>
      </c>
      <c r="L26" s="9" t="n">
        <f aca="false">IF(L24&gt;=L23,L24-L23+1,0)</f>
        <v>0</v>
      </c>
      <c r="M26" s="9" t="n">
        <f aca="false">IF(M24&gt;=M23,M24-M23+1,0)</f>
        <v>0</v>
      </c>
      <c r="N26" s="9" t="n">
        <f aca="false">IF(N24&gt;=N23,N24-N23+1,0)</f>
        <v>0</v>
      </c>
      <c r="O26" s="9" t="n">
        <f aca="false">IF(O24&gt;=O23,O24-O23+1,0)</f>
        <v>0</v>
      </c>
      <c r="P26" s="9" t="n">
        <f aca="false">IF(P24&gt;=P23,P24-P23+1,0)</f>
        <v>31</v>
      </c>
      <c r="Q26" s="9" t="n">
        <f aca="false">IF(Q24&gt;=Q23,Q24-Q23+1,0)</f>
        <v>181</v>
      </c>
      <c r="R26" s="9" t="n">
        <f aca="false">IF(R24&gt;=R23,R24-R23+1,0)</f>
        <v>184</v>
      </c>
      <c r="S26" s="9" t="n">
        <f aca="false">IF(S24&gt;=S23,S24-S23+1,0)</f>
        <v>181</v>
      </c>
      <c r="T26" s="9" t="n">
        <f aca="false">IF(T24&gt;=T23,T24-T23+1,0)</f>
        <v>184</v>
      </c>
      <c r="U26" s="9" t="n">
        <f aca="false">IF(U24&gt;=U23,U24-U23+1,0)</f>
        <v>182</v>
      </c>
      <c r="V26" s="9" t="n">
        <f aca="false">IF(V24&gt;=V23,V24-V23+1,0)</f>
        <v>184</v>
      </c>
      <c r="W26" s="9" t="n">
        <f aca="false">IF(W24&gt;=W23,W24-W23+1,0)</f>
        <v>181</v>
      </c>
      <c r="X26" s="9" t="n">
        <f aca="false">IF(X24&gt;=X23,X24-X23+1,0)</f>
        <v>184</v>
      </c>
      <c r="Y26" s="9" t="n">
        <f aca="false">IF(Y24&gt;=Y23,Y24-Y23+1,0)</f>
        <v>181</v>
      </c>
      <c r="Z26" s="9" t="n">
        <f aca="false">IF(Z24&gt;=Z23,Z24-Z23+1,0)</f>
        <v>184</v>
      </c>
      <c r="AA26" s="9" t="n">
        <f aca="false">IF(AA24&gt;=AA23,AA24-AA23+1,0)</f>
        <v>181</v>
      </c>
      <c r="AB26" s="9" t="n">
        <f aca="false">IF(AB24&gt;=AB23,AB24-AB23+1,0)</f>
        <v>184</v>
      </c>
      <c r="AC26" s="9" t="n">
        <f aca="false">IF(AC24&gt;=AC23,AC24-AC23+1,0)</f>
        <v>182</v>
      </c>
      <c r="AD26" s="9" t="n">
        <f aca="false">IF(AD24&gt;=AD23,AD24-AD23+1,0)</f>
        <v>184</v>
      </c>
      <c r="AE26" s="9" t="n">
        <f aca="false">IF(AE24&gt;=AE23,AE24-AE23+1,0)</f>
        <v>181</v>
      </c>
      <c r="AF26" s="9" t="n">
        <f aca="false">IF(AF24&gt;=AF23,AF24-AF23+1,0)</f>
        <v>184</v>
      </c>
      <c r="AG26" s="9" t="n">
        <f aca="false">IF(AG24&gt;=AG23,AG24-AG23+1,0)</f>
        <v>181</v>
      </c>
      <c r="AH26" s="9" t="n">
        <f aca="false">IF(AH24&gt;=AH23,AH24-AH23+1,0)</f>
        <v>184</v>
      </c>
      <c r="AI26" s="9" t="n">
        <f aca="false">IF(AI24&gt;=AI23,AI24-AI23+1,0)</f>
        <v>181</v>
      </c>
      <c r="AJ26" s="9" t="n">
        <f aca="false">IF(AJ24&gt;=AJ23,AJ24-AJ23+1,0)</f>
        <v>184</v>
      </c>
      <c r="AK26" s="9" t="n">
        <f aca="false">IF(AK24&gt;=AK23,AK24-AK23+1,0)</f>
        <v>182</v>
      </c>
      <c r="AL26" s="9" t="n">
        <f aca="false">IF(AL24&gt;=AL23,AL24-AL23+1,0)</f>
        <v>184</v>
      </c>
      <c r="AM26" s="9" t="n">
        <f aca="false">IF(AM24&gt;=AM23,AM24-AM23+1,0)</f>
        <v>181</v>
      </c>
      <c r="AN26" s="9" t="n">
        <f aca="false">IF(AN24&gt;=AN23,AN24-AN23+1,0)</f>
        <v>184</v>
      </c>
      <c r="AO26" s="9" t="n">
        <f aca="false">IF(AO24&gt;=AO23,AO24-AO23+1,0)</f>
        <v>181</v>
      </c>
      <c r="AP26" s="9" t="n">
        <f aca="false">IF(AP24&gt;=AP23,AP24-AP23+1,0)</f>
        <v>184</v>
      </c>
      <c r="AQ26" s="9" t="n">
        <f aca="false">IF(AQ24&gt;=AQ23,AQ24-AQ23+1,0)</f>
        <v>181</v>
      </c>
      <c r="AR26" s="9" t="n">
        <f aca="false">IF(AR24&gt;=AR23,AR24-AR23+1,0)</f>
        <v>184</v>
      </c>
      <c r="AS26" s="9" t="n">
        <f aca="false">IF(AS24&gt;=AS23,AS24-AS23+1,0)</f>
        <v>182</v>
      </c>
      <c r="AT26" s="9" t="n">
        <f aca="false">IF(AT24&gt;=AT23,AT24-AT23+1,0)</f>
        <v>184</v>
      </c>
      <c r="AU26" s="9" t="n">
        <f aca="false">IF(AU24&gt;=AU23,AU24-AU23+1,0)</f>
        <v>181</v>
      </c>
      <c r="AV26" s="9" t="n">
        <f aca="false">IF(AV24&gt;=AV23,AV24-AV23+1,0)</f>
        <v>184</v>
      </c>
      <c r="AW26" s="9" t="n">
        <f aca="false">IF(AW24&gt;=AW23,AW24-AW23+1,0)</f>
        <v>181</v>
      </c>
      <c r="AX26" s="9" t="n">
        <f aca="false">IF(AX24&gt;=AX23,AX24-AX23+1,0)</f>
        <v>184</v>
      </c>
      <c r="AY26" s="9" t="n">
        <f aca="false">IF(AY24&gt;=AY23,AY24-AY23+1,0)</f>
        <v>181</v>
      </c>
      <c r="AZ26" s="9" t="n">
        <f aca="false">IF(AZ24&gt;=AZ23,AZ24-AZ23+1,0)</f>
        <v>184</v>
      </c>
      <c r="BA26" s="9" t="n">
        <f aca="false">IF(BA24&gt;=BA23,BA24-BA23+1,0)</f>
        <v>182</v>
      </c>
      <c r="BB26" s="9" t="n">
        <f aca="false">IF(BB24&gt;=BB23,BB24-BB23+1,0)</f>
        <v>184</v>
      </c>
      <c r="BC26" s="9" t="n">
        <f aca="false">IF(BC24&gt;=BC23,BC24-BC23+1,0)</f>
        <v>181</v>
      </c>
      <c r="BD26" s="9" t="n">
        <f aca="false">IF(BD24&gt;=BD23,BD24-BD23+1,0)</f>
        <v>184</v>
      </c>
      <c r="BE26" s="9" t="n">
        <f aca="false">IF(BE24&gt;=BE23,BE24-BE23+1,0)</f>
        <v>181</v>
      </c>
      <c r="BF26" s="9" t="n">
        <f aca="false">IF(BF24&gt;=BF23,BF24-BF23+1,0)</f>
        <v>184</v>
      </c>
      <c r="BG26" s="9" t="n">
        <f aca="false">IF(BG24&gt;=BG23,BG24-BG23+1,0)</f>
        <v>181</v>
      </c>
      <c r="BH26" s="9" t="n">
        <f aca="false">IF(BH24&gt;=BH23,BH24-BH23+1,0)</f>
        <v>184</v>
      </c>
      <c r="BI26" s="9" t="n">
        <f aca="false">IF(BI24&gt;=BI23,BI24-BI23+1,0)</f>
        <v>182</v>
      </c>
      <c r="BJ26" s="9" t="n">
        <f aca="false">IF(BJ24&gt;=BJ23,BJ24-BJ23+1,0)</f>
        <v>184</v>
      </c>
      <c r="BK26" s="9" t="n">
        <f aca="false">IF(BK24&gt;=BK23,BK24-BK23+1,0)</f>
        <v>181</v>
      </c>
      <c r="BL26" s="9" t="n">
        <f aca="false">IF(BL24&gt;=BL23,BL24-BL23+1,0)</f>
        <v>184</v>
      </c>
      <c r="BM26" s="9" t="n">
        <f aca="false">IF(BM24&gt;=BM23,BM24-BM23+1,0)</f>
        <v>181</v>
      </c>
      <c r="BN26" s="9" t="n">
        <f aca="false">IF(BN24&gt;=BN23,BN24-BN23+1,0)</f>
        <v>153</v>
      </c>
    </row>
    <row r="27" customFormat="false" ht="15" hidden="false" customHeight="false" outlineLevel="0" collapsed="false">
      <c r="D27" s="0" t="s">
        <v>367</v>
      </c>
      <c r="E27" s="0" t="s">
        <v>97</v>
      </c>
      <c r="J27" s="9" t="n">
        <f aca="false">MIN(MAX((YEAR(J18)-YEAR($F$8))*12+MONTH(J18)-MONTH($F$8),0),300)</f>
        <v>0</v>
      </c>
      <c r="K27" s="9" t="n">
        <f aca="false">MIN(MAX((YEAR(K18)-YEAR($F$8))*12+MONTH(K18)-MONTH($F$8),0),300)</f>
        <v>0</v>
      </c>
      <c r="L27" s="9" t="n">
        <f aca="false">MIN(MAX((YEAR(L18)-YEAR($F$8))*12+MONTH(L18)-MONTH($F$8),0),300)</f>
        <v>0</v>
      </c>
      <c r="M27" s="9" t="n">
        <f aca="false">MIN(MAX((YEAR(M18)-YEAR($F$8))*12+MONTH(M18)-MONTH($F$8),0),300)</f>
        <v>0</v>
      </c>
      <c r="N27" s="9" t="n">
        <f aca="false">MIN(MAX((YEAR(N18)-YEAR($F$8))*12+MONTH(N18)-MONTH($F$8),0),300)</f>
        <v>0</v>
      </c>
      <c r="O27" s="9" t="n">
        <f aca="false">MIN(MAX((YEAR(O18)-YEAR($F$8))*12+MONTH(O18)-MONTH($F$8),0),300)</f>
        <v>0</v>
      </c>
      <c r="P27" s="9" t="n">
        <f aca="false">MIN(MAX((YEAR(P18)-YEAR($F$8))*12+MONTH(P18)-MONTH($F$8),0),300)</f>
        <v>0</v>
      </c>
      <c r="Q27" s="9" t="n">
        <f aca="false">MIN(MAX((YEAR(Q18)-YEAR($F$8))*12+MONTH(Q18)-MONTH($F$8),0),300)</f>
        <v>1</v>
      </c>
      <c r="R27" s="9" t="n">
        <f aca="false">MIN(MAX((YEAR(R18)-YEAR($F$8))*12+MONTH(R18)-MONTH($F$8),0),300)</f>
        <v>7</v>
      </c>
      <c r="S27" s="9" t="n">
        <f aca="false">MIN(MAX((YEAR(S18)-YEAR($F$8))*12+MONTH(S18)-MONTH($F$8),0),300)</f>
        <v>13</v>
      </c>
      <c r="T27" s="9" t="n">
        <f aca="false">MIN(MAX((YEAR(T18)-YEAR($F$8))*12+MONTH(T18)-MONTH($F$8),0),300)</f>
        <v>19</v>
      </c>
      <c r="U27" s="9" t="n">
        <f aca="false">MIN(MAX((YEAR(U18)-YEAR($F$8))*12+MONTH(U18)-MONTH($F$8),0),300)</f>
        <v>25</v>
      </c>
      <c r="V27" s="9" t="n">
        <f aca="false">MIN(MAX((YEAR(V18)-YEAR($F$8))*12+MONTH(V18)-MONTH($F$8),0),300)</f>
        <v>31</v>
      </c>
      <c r="W27" s="9" t="n">
        <f aca="false">MIN(MAX((YEAR(W18)-YEAR($F$8))*12+MONTH(W18)-MONTH($F$8),0),300)</f>
        <v>37</v>
      </c>
      <c r="X27" s="9" t="n">
        <f aca="false">MIN(MAX((YEAR(X18)-YEAR($F$8))*12+MONTH(X18)-MONTH($F$8),0),300)</f>
        <v>43</v>
      </c>
      <c r="Y27" s="9" t="n">
        <f aca="false">MIN(MAX((YEAR(Y18)-YEAR($F$8))*12+MONTH(Y18)-MONTH($F$8),0),300)</f>
        <v>49</v>
      </c>
      <c r="Z27" s="9" t="n">
        <f aca="false">MIN(MAX((YEAR(Z18)-YEAR($F$8))*12+MONTH(Z18)-MONTH($F$8),0),300)</f>
        <v>55</v>
      </c>
      <c r="AA27" s="9" t="n">
        <f aca="false">MIN(MAX((YEAR(AA18)-YEAR($F$8))*12+MONTH(AA18)-MONTH($F$8),0),300)</f>
        <v>61</v>
      </c>
      <c r="AB27" s="9" t="n">
        <f aca="false">MIN(MAX((YEAR(AB18)-YEAR($F$8))*12+MONTH(AB18)-MONTH($F$8),0),300)</f>
        <v>67</v>
      </c>
      <c r="AC27" s="9" t="n">
        <f aca="false">MIN(MAX((YEAR(AC18)-YEAR($F$8))*12+MONTH(AC18)-MONTH($F$8),0),300)</f>
        <v>73</v>
      </c>
      <c r="AD27" s="9" t="n">
        <f aca="false">MIN(MAX((YEAR(AD18)-YEAR($F$8))*12+MONTH(AD18)-MONTH($F$8),0),300)</f>
        <v>79</v>
      </c>
      <c r="AE27" s="9" t="n">
        <f aca="false">MIN(MAX((YEAR(AE18)-YEAR($F$8))*12+MONTH(AE18)-MONTH($F$8),0),300)</f>
        <v>85</v>
      </c>
      <c r="AF27" s="9" t="n">
        <f aca="false">MIN(MAX((YEAR(AF18)-YEAR($F$8))*12+MONTH(AF18)-MONTH($F$8),0),300)</f>
        <v>91</v>
      </c>
      <c r="AG27" s="9" t="n">
        <f aca="false">MIN(MAX((YEAR(AG18)-YEAR($F$8))*12+MONTH(AG18)-MONTH($F$8),0),300)</f>
        <v>97</v>
      </c>
      <c r="AH27" s="9" t="n">
        <f aca="false">MIN(MAX((YEAR(AH18)-YEAR($F$8))*12+MONTH(AH18)-MONTH($F$8),0),300)</f>
        <v>103</v>
      </c>
      <c r="AI27" s="9" t="n">
        <f aca="false">MIN(MAX((YEAR(AI18)-YEAR($F$8))*12+MONTH(AI18)-MONTH($F$8),0),300)</f>
        <v>109</v>
      </c>
      <c r="AJ27" s="9" t="n">
        <f aca="false">MIN(MAX((YEAR(AJ18)-YEAR($F$8))*12+MONTH(AJ18)-MONTH($F$8),0),300)</f>
        <v>115</v>
      </c>
      <c r="AK27" s="9" t="n">
        <f aca="false">MIN(MAX((YEAR(AK18)-YEAR($F$8))*12+MONTH(AK18)-MONTH($F$8),0),300)</f>
        <v>121</v>
      </c>
      <c r="AL27" s="9" t="n">
        <f aca="false">MIN(MAX((YEAR(AL18)-YEAR($F$8))*12+MONTH(AL18)-MONTH($F$8),0),300)</f>
        <v>127</v>
      </c>
      <c r="AM27" s="9" t="n">
        <f aca="false">MIN(MAX((YEAR(AM18)-YEAR($F$8))*12+MONTH(AM18)-MONTH($F$8),0),300)</f>
        <v>133</v>
      </c>
      <c r="AN27" s="9" t="n">
        <f aca="false">MIN(MAX((YEAR(AN18)-YEAR($F$8))*12+MONTH(AN18)-MONTH($F$8),0),300)</f>
        <v>139</v>
      </c>
      <c r="AO27" s="9" t="n">
        <f aca="false">MIN(MAX((YEAR(AO18)-YEAR($F$8))*12+MONTH(AO18)-MONTH($F$8),0),300)</f>
        <v>145</v>
      </c>
      <c r="AP27" s="9" t="n">
        <f aca="false">MIN(MAX((YEAR(AP18)-YEAR($F$8))*12+MONTH(AP18)-MONTH($F$8),0),300)</f>
        <v>151</v>
      </c>
      <c r="AQ27" s="9" t="n">
        <f aca="false">MIN(MAX((YEAR(AQ18)-YEAR($F$8))*12+MONTH(AQ18)-MONTH($F$8),0),300)</f>
        <v>157</v>
      </c>
      <c r="AR27" s="9" t="n">
        <f aca="false">MIN(MAX((YEAR(AR18)-YEAR($F$8))*12+MONTH(AR18)-MONTH($F$8),0),300)</f>
        <v>163</v>
      </c>
      <c r="AS27" s="9" t="n">
        <f aca="false">MIN(MAX((YEAR(AS18)-YEAR($F$8))*12+MONTH(AS18)-MONTH($F$8),0),300)</f>
        <v>169</v>
      </c>
      <c r="AT27" s="9" t="n">
        <f aca="false">MIN(MAX((YEAR(AT18)-YEAR($F$8))*12+MONTH(AT18)-MONTH($F$8),0),300)</f>
        <v>175</v>
      </c>
      <c r="AU27" s="9" t="n">
        <f aca="false">MIN(MAX((YEAR(AU18)-YEAR($F$8))*12+MONTH(AU18)-MONTH($F$8),0),300)</f>
        <v>181</v>
      </c>
      <c r="AV27" s="9" t="n">
        <f aca="false">MIN(MAX((YEAR(AV18)-YEAR($F$8))*12+MONTH(AV18)-MONTH($F$8),0),300)</f>
        <v>187</v>
      </c>
      <c r="AW27" s="9" t="n">
        <f aca="false">MIN(MAX((YEAR(AW18)-YEAR($F$8))*12+MONTH(AW18)-MONTH($F$8),0),300)</f>
        <v>193</v>
      </c>
      <c r="AX27" s="9" t="n">
        <f aca="false">MIN(MAX((YEAR(AX18)-YEAR($F$8))*12+MONTH(AX18)-MONTH($F$8),0),300)</f>
        <v>199</v>
      </c>
      <c r="AY27" s="9" t="n">
        <f aca="false">MIN(MAX((YEAR(AY18)-YEAR($F$8))*12+MONTH(AY18)-MONTH($F$8),0),300)</f>
        <v>205</v>
      </c>
      <c r="AZ27" s="9" t="n">
        <f aca="false">MIN(MAX((YEAR(AZ18)-YEAR($F$8))*12+MONTH(AZ18)-MONTH($F$8),0),300)</f>
        <v>211</v>
      </c>
      <c r="BA27" s="9" t="n">
        <f aca="false">MIN(MAX((YEAR(BA18)-YEAR($F$8))*12+MONTH(BA18)-MONTH($F$8),0),300)</f>
        <v>217</v>
      </c>
      <c r="BB27" s="9" t="n">
        <f aca="false">MIN(MAX((YEAR(BB18)-YEAR($F$8))*12+MONTH(BB18)-MONTH($F$8),0),300)</f>
        <v>223</v>
      </c>
      <c r="BC27" s="9" t="n">
        <f aca="false">MIN(MAX((YEAR(BC18)-YEAR($F$8))*12+MONTH(BC18)-MONTH($F$8),0),300)</f>
        <v>229</v>
      </c>
      <c r="BD27" s="9" t="n">
        <f aca="false">MIN(MAX((YEAR(BD18)-YEAR($F$8))*12+MONTH(BD18)-MONTH($F$8),0),300)</f>
        <v>235</v>
      </c>
      <c r="BE27" s="9" t="n">
        <f aca="false">MIN(MAX((YEAR(BE18)-YEAR($F$8))*12+MONTH(BE18)-MONTH($F$8),0),300)</f>
        <v>241</v>
      </c>
      <c r="BF27" s="9" t="n">
        <f aca="false">MIN(MAX((YEAR(BF18)-YEAR($F$8))*12+MONTH(BF18)-MONTH($F$8),0),300)</f>
        <v>247</v>
      </c>
      <c r="BG27" s="9" t="n">
        <f aca="false">MIN(MAX((YEAR(BG18)-YEAR($F$8))*12+MONTH(BG18)-MONTH($F$8),0),300)</f>
        <v>253</v>
      </c>
      <c r="BH27" s="9" t="n">
        <f aca="false">MIN(MAX((YEAR(BH18)-YEAR($F$8))*12+MONTH(BH18)-MONTH($F$8),0),300)</f>
        <v>259</v>
      </c>
      <c r="BI27" s="9" t="n">
        <f aca="false">MIN(MAX((YEAR(BI18)-YEAR($F$8))*12+MONTH(BI18)-MONTH($F$8),0),300)</f>
        <v>265</v>
      </c>
      <c r="BJ27" s="9" t="n">
        <f aca="false">MIN(MAX((YEAR(BJ18)-YEAR($F$8))*12+MONTH(BJ18)-MONTH($F$8),0),300)</f>
        <v>271</v>
      </c>
      <c r="BK27" s="9" t="n">
        <f aca="false">MIN(MAX((YEAR(BK18)-YEAR($F$8))*12+MONTH(BK18)-MONTH($F$8),0),300)</f>
        <v>277</v>
      </c>
      <c r="BL27" s="9" t="n">
        <f aca="false">MIN(MAX((YEAR(BL18)-YEAR($F$8))*12+MONTH(BL18)-MONTH($F$8),0),300)</f>
        <v>283</v>
      </c>
      <c r="BM27" s="9" t="n">
        <f aca="false">MIN(MAX((YEAR(BM18)-YEAR($F$8))*12+MONTH(BM18)-MONTH($F$8),0),300)</f>
        <v>289</v>
      </c>
      <c r="BN27" s="9" t="n">
        <f aca="false">MIN(MAX((YEAR(BN18)-YEAR($F$8))*12+MONTH(BN18)-MONTH($F$8),0),300)</f>
        <v>295</v>
      </c>
    </row>
    <row r="28" customFormat="false" ht="15" hidden="false" customHeight="false" outlineLevel="0" collapsed="false">
      <c r="D28" s="0" t="s">
        <v>368</v>
      </c>
      <c r="E28" s="0" t="s">
        <v>97</v>
      </c>
      <c r="J28" s="9" t="n">
        <f aca="false">J27+J25</f>
        <v>0</v>
      </c>
      <c r="K28" s="9" t="n">
        <f aca="false">K27+K25</f>
        <v>0</v>
      </c>
      <c r="L28" s="9" t="n">
        <f aca="false">L27+L25</f>
        <v>0</v>
      </c>
      <c r="M28" s="9" t="n">
        <f aca="false">M27+M25</f>
        <v>0</v>
      </c>
      <c r="N28" s="9" t="n">
        <f aca="false">N27+N25</f>
        <v>0</v>
      </c>
      <c r="O28" s="9" t="n">
        <f aca="false">O27+O25</f>
        <v>0</v>
      </c>
      <c r="P28" s="9" t="n">
        <f aca="false">P27+P25</f>
        <v>1</v>
      </c>
      <c r="Q28" s="9" t="n">
        <f aca="false">Q27+Q25</f>
        <v>7</v>
      </c>
      <c r="R28" s="9" t="n">
        <f aca="false">R27+R25</f>
        <v>13</v>
      </c>
      <c r="S28" s="9" t="n">
        <f aca="false">S27+S25</f>
        <v>19</v>
      </c>
      <c r="T28" s="9" t="n">
        <f aca="false">T27+T25</f>
        <v>25</v>
      </c>
      <c r="U28" s="9" t="n">
        <f aca="false">U27+U25</f>
        <v>31</v>
      </c>
      <c r="V28" s="9" t="n">
        <f aca="false">V27+V25</f>
        <v>37</v>
      </c>
      <c r="W28" s="9" t="n">
        <f aca="false">W27+W25</f>
        <v>43</v>
      </c>
      <c r="X28" s="9" t="n">
        <f aca="false">X27+X25</f>
        <v>49</v>
      </c>
      <c r="Y28" s="9" t="n">
        <f aca="false">Y27+Y25</f>
        <v>55</v>
      </c>
      <c r="Z28" s="9" t="n">
        <f aca="false">Z27+Z25</f>
        <v>61</v>
      </c>
      <c r="AA28" s="9" t="n">
        <f aca="false">AA27+AA25</f>
        <v>67</v>
      </c>
      <c r="AB28" s="9" t="n">
        <f aca="false">AB27+AB25</f>
        <v>73</v>
      </c>
      <c r="AC28" s="9" t="n">
        <f aca="false">AC27+AC25</f>
        <v>79</v>
      </c>
      <c r="AD28" s="9" t="n">
        <f aca="false">AD27+AD25</f>
        <v>85</v>
      </c>
      <c r="AE28" s="9" t="n">
        <f aca="false">AE27+AE25</f>
        <v>91</v>
      </c>
      <c r="AF28" s="9" t="n">
        <f aca="false">AF27+AF25</f>
        <v>97</v>
      </c>
      <c r="AG28" s="9" t="n">
        <f aca="false">AG27+AG25</f>
        <v>103</v>
      </c>
      <c r="AH28" s="9" t="n">
        <f aca="false">AH27+AH25</f>
        <v>109</v>
      </c>
      <c r="AI28" s="9" t="n">
        <f aca="false">AI27+AI25</f>
        <v>115</v>
      </c>
      <c r="AJ28" s="9" t="n">
        <f aca="false">AJ27+AJ25</f>
        <v>121</v>
      </c>
      <c r="AK28" s="9" t="n">
        <f aca="false">AK27+AK25</f>
        <v>127</v>
      </c>
      <c r="AL28" s="9" t="n">
        <f aca="false">AL27+AL25</f>
        <v>133</v>
      </c>
      <c r="AM28" s="9" t="n">
        <f aca="false">AM27+AM25</f>
        <v>139</v>
      </c>
      <c r="AN28" s="9" t="n">
        <f aca="false">AN27+AN25</f>
        <v>145</v>
      </c>
      <c r="AO28" s="9" t="n">
        <f aca="false">AO27+AO25</f>
        <v>151</v>
      </c>
      <c r="AP28" s="9" t="n">
        <f aca="false">AP27+AP25</f>
        <v>157</v>
      </c>
      <c r="AQ28" s="9" t="n">
        <f aca="false">AQ27+AQ25</f>
        <v>163</v>
      </c>
      <c r="AR28" s="9" t="n">
        <f aca="false">AR27+AR25</f>
        <v>169</v>
      </c>
      <c r="AS28" s="9" t="n">
        <f aca="false">AS27+AS25</f>
        <v>175</v>
      </c>
      <c r="AT28" s="9" t="n">
        <f aca="false">AT27+AT25</f>
        <v>181</v>
      </c>
      <c r="AU28" s="9" t="n">
        <f aca="false">AU27+AU25</f>
        <v>187</v>
      </c>
      <c r="AV28" s="9" t="n">
        <f aca="false">AV27+AV25</f>
        <v>193</v>
      </c>
      <c r="AW28" s="9" t="n">
        <f aca="false">AW27+AW25</f>
        <v>199</v>
      </c>
      <c r="AX28" s="9" t="n">
        <f aca="false">AX27+AX25</f>
        <v>205</v>
      </c>
      <c r="AY28" s="9" t="n">
        <f aca="false">AY27+AY25</f>
        <v>211</v>
      </c>
      <c r="AZ28" s="9" t="n">
        <f aca="false">AZ27+AZ25</f>
        <v>217</v>
      </c>
      <c r="BA28" s="9" t="n">
        <f aca="false">BA27+BA25</f>
        <v>223</v>
      </c>
      <c r="BB28" s="9" t="n">
        <f aca="false">BB27+BB25</f>
        <v>229</v>
      </c>
      <c r="BC28" s="9" t="n">
        <f aca="false">BC27+BC25</f>
        <v>235</v>
      </c>
      <c r="BD28" s="9" t="n">
        <f aca="false">BD27+BD25</f>
        <v>241</v>
      </c>
      <c r="BE28" s="9" t="n">
        <f aca="false">BE27+BE25</f>
        <v>247</v>
      </c>
      <c r="BF28" s="9" t="n">
        <f aca="false">BF27+BF25</f>
        <v>253</v>
      </c>
      <c r="BG28" s="9" t="n">
        <f aca="false">BG27+BG25</f>
        <v>259</v>
      </c>
      <c r="BH28" s="9" t="n">
        <f aca="false">BH27+BH25</f>
        <v>265</v>
      </c>
      <c r="BI28" s="9" t="n">
        <f aca="false">BI27+BI25</f>
        <v>271</v>
      </c>
      <c r="BJ28" s="9" t="n">
        <f aca="false">BJ27+BJ25</f>
        <v>277</v>
      </c>
      <c r="BK28" s="9" t="n">
        <f aca="false">BK27+BK25</f>
        <v>283</v>
      </c>
      <c r="BL28" s="9" t="n">
        <f aca="false">BL27+BL25</f>
        <v>289</v>
      </c>
      <c r="BM28" s="9" t="n">
        <f aca="false">BM27+BM25</f>
        <v>295</v>
      </c>
      <c r="BN28" s="9" t="n">
        <f aca="false">BN27+BN25</f>
        <v>300</v>
      </c>
    </row>
    <row r="29" customFormat="false" ht="15" hidden="false" customHeight="false" outlineLevel="0" collapsed="false">
      <c r="D29" s="0" t="s">
        <v>369</v>
      </c>
      <c r="E29" s="0" t="s">
        <v>113</v>
      </c>
      <c r="J29" s="9" t="n">
        <f aca="false">IF(J17=$F$11,1,0)</f>
        <v>0</v>
      </c>
      <c r="K29" s="9" t="n">
        <f aca="false">IF(K17=$F$11,1,0)</f>
        <v>0</v>
      </c>
      <c r="L29" s="9" t="n">
        <f aca="false">IF(L17=$F$11,1,0)</f>
        <v>0</v>
      </c>
      <c r="M29" s="9" t="n">
        <f aca="false">IF(M17=$F$11,1,0)</f>
        <v>0</v>
      </c>
      <c r="N29" s="9" t="n">
        <f aca="false">IF(N17=$F$11,1,0)</f>
        <v>0</v>
      </c>
      <c r="O29" s="9" t="n">
        <f aca="false">IF(O17=$F$11,1,0)</f>
        <v>0</v>
      </c>
      <c r="P29" s="9" t="n">
        <f aca="false">IF(P17=$F$11,1,0)</f>
        <v>1</v>
      </c>
      <c r="Q29" s="9" t="n">
        <f aca="false">IF(Q17=$F$11,1,0)</f>
        <v>0</v>
      </c>
      <c r="R29" s="9" t="n">
        <f aca="false">IF(R17=$F$11,1,0)</f>
        <v>0</v>
      </c>
      <c r="S29" s="9" t="n">
        <f aca="false">IF(S17=$F$11,1,0)</f>
        <v>0</v>
      </c>
      <c r="T29" s="9" t="n">
        <f aca="false">IF(T17=$F$11,1,0)</f>
        <v>0</v>
      </c>
      <c r="U29" s="9" t="n">
        <f aca="false">IF(U17=$F$11,1,0)</f>
        <v>0</v>
      </c>
      <c r="V29" s="9" t="n">
        <f aca="false">IF(V17=$F$11,1,0)</f>
        <v>0</v>
      </c>
      <c r="W29" s="9" t="n">
        <f aca="false">IF(W17=$F$11,1,0)</f>
        <v>0</v>
      </c>
      <c r="X29" s="9" t="n">
        <f aca="false">IF(X17=$F$11,1,0)</f>
        <v>0</v>
      </c>
      <c r="Y29" s="9" t="n">
        <f aca="false">IF(Y17=$F$11,1,0)</f>
        <v>0</v>
      </c>
      <c r="Z29" s="9" t="n">
        <f aca="false">IF(Z17=$F$11,1,0)</f>
        <v>0</v>
      </c>
      <c r="AA29" s="9" t="n">
        <f aca="false">IF(AA17=$F$11,1,0)</f>
        <v>0</v>
      </c>
      <c r="AB29" s="9" t="n">
        <f aca="false">IF(AB17=$F$11,1,0)</f>
        <v>0</v>
      </c>
      <c r="AC29" s="9" t="n">
        <f aca="false">IF(AC17=$F$11,1,0)</f>
        <v>0</v>
      </c>
      <c r="AD29" s="9" t="n">
        <f aca="false">IF(AD17=$F$11,1,0)</f>
        <v>0</v>
      </c>
      <c r="AE29" s="9" t="n">
        <f aca="false">IF(AE17=$F$11,1,0)</f>
        <v>0</v>
      </c>
      <c r="AF29" s="9" t="n">
        <f aca="false">IF(AF17=$F$11,1,0)</f>
        <v>0</v>
      </c>
      <c r="AG29" s="9" t="n">
        <f aca="false">IF(AG17=$F$11,1,0)</f>
        <v>0</v>
      </c>
      <c r="AH29" s="9" t="n">
        <f aca="false">IF(AH17=$F$11,1,0)</f>
        <v>0</v>
      </c>
      <c r="AI29" s="9" t="n">
        <f aca="false">IF(AI17=$F$11,1,0)</f>
        <v>0</v>
      </c>
      <c r="AJ29" s="9" t="n">
        <f aca="false">IF(AJ17=$F$11,1,0)</f>
        <v>0</v>
      </c>
      <c r="AK29" s="9" t="n">
        <f aca="false">IF(AK17=$F$11,1,0)</f>
        <v>0</v>
      </c>
      <c r="AL29" s="9" t="n">
        <f aca="false">IF(AL17=$F$11,1,0)</f>
        <v>0</v>
      </c>
      <c r="AM29" s="9" t="n">
        <f aca="false">IF(AM17=$F$11,1,0)</f>
        <v>0</v>
      </c>
      <c r="AN29" s="9" t="n">
        <f aca="false">IF(AN17=$F$11,1,0)</f>
        <v>0</v>
      </c>
      <c r="AO29" s="9" t="n">
        <f aca="false">IF(AO17=$F$11,1,0)</f>
        <v>0</v>
      </c>
      <c r="AP29" s="9" t="n">
        <f aca="false">IF(AP17=$F$11,1,0)</f>
        <v>0</v>
      </c>
      <c r="AQ29" s="9" t="n">
        <f aca="false">IF(AQ17=$F$11,1,0)</f>
        <v>0</v>
      </c>
      <c r="AR29" s="9" t="n">
        <f aca="false">IF(AR17=$F$11,1,0)</f>
        <v>0</v>
      </c>
      <c r="AS29" s="9" t="n">
        <f aca="false">IF(AS17=$F$11,1,0)</f>
        <v>0</v>
      </c>
      <c r="AT29" s="9" t="n">
        <f aca="false">IF(AT17=$F$11,1,0)</f>
        <v>0</v>
      </c>
      <c r="AU29" s="9" t="n">
        <f aca="false">IF(AU17=$F$11,1,0)</f>
        <v>0</v>
      </c>
      <c r="AV29" s="9" t="n">
        <f aca="false">IF(AV17=$F$11,1,0)</f>
        <v>0</v>
      </c>
      <c r="AW29" s="9" t="n">
        <f aca="false">IF(AW17=$F$11,1,0)</f>
        <v>0</v>
      </c>
      <c r="AX29" s="9" t="n">
        <f aca="false">IF(AX17=$F$11,1,0)</f>
        <v>0</v>
      </c>
      <c r="AY29" s="9" t="n">
        <f aca="false">IF(AY17=$F$11,1,0)</f>
        <v>0</v>
      </c>
      <c r="AZ29" s="9" t="n">
        <f aca="false">IF(AZ17=$F$11,1,0)</f>
        <v>0</v>
      </c>
      <c r="BA29" s="9" t="n">
        <f aca="false">IF(BA17=$F$11,1,0)</f>
        <v>0</v>
      </c>
      <c r="BB29" s="9" t="n">
        <f aca="false">IF(BB17=$F$11,1,0)</f>
        <v>0</v>
      </c>
      <c r="BC29" s="9" t="n">
        <f aca="false">IF(BC17=$F$11,1,0)</f>
        <v>0</v>
      </c>
      <c r="BD29" s="9" t="n">
        <f aca="false">IF(BD17=$F$11,1,0)</f>
        <v>0</v>
      </c>
      <c r="BE29" s="9" t="n">
        <f aca="false">IF(BE17=$F$11,1,0)</f>
        <v>0</v>
      </c>
      <c r="BF29" s="9" t="n">
        <f aca="false">IF(BF17=$F$11,1,0)</f>
        <v>0</v>
      </c>
      <c r="BG29" s="9" t="n">
        <f aca="false">IF(BG17=$F$11,1,0)</f>
        <v>0</v>
      </c>
      <c r="BH29" s="9" t="n">
        <f aca="false">IF(BH17=$F$11,1,0)</f>
        <v>0</v>
      </c>
      <c r="BI29" s="9" t="n">
        <f aca="false">IF(BI17=$F$11,1,0)</f>
        <v>0</v>
      </c>
      <c r="BJ29" s="9" t="n">
        <f aca="false">IF(BJ17=$F$11,1,0)</f>
        <v>0</v>
      </c>
      <c r="BK29" s="9" t="n">
        <f aca="false">IF(BK17=$F$11,1,0)</f>
        <v>0</v>
      </c>
      <c r="BL29" s="9" t="n">
        <f aca="false">IF(BL17=$F$11,1,0)</f>
        <v>0</v>
      </c>
      <c r="BM29" s="9" t="n">
        <f aca="false">IF(BM17=$F$11,1,0)</f>
        <v>0</v>
      </c>
      <c r="BN29" s="9" t="n">
        <f aca="false">IF(BN17=$F$11,1,0)</f>
        <v>0</v>
      </c>
    </row>
    <row r="30" customFormat="false" ht="15" hidden="false" customHeight="false" outlineLevel="0" collapsed="false">
      <c r="D30" s="0" t="s">
        <v>370</v>
      </c>
      <c r="E30" s="0" t="s">
        <v>113</v>
      </c>
      <c r="J30" s="9" t="n">
        <f aca="false">IF(J17&gt;$F$11,1,0)</f>
        <v>0</v>
      </c>
      <c r="K30" s="9" t="n">
        <f aca="false">IF(K17&gt;$F$11,1,0)</f>
        <v>0</v>
      </c>
      <c r="L30" s="9" t="n">
        <f aca="false">IF(L17&gt;$F$11,1,0)</f>
        <v>0</v>
      </c>
      <c r="M30" s="9" t="n">
        <f aca="false">IF(M17&gt;$F$11,1,0)</f>
        <v>0</v>
      </c>
      <c r="N30" s="9" t="n">
        <f aca="false">IF(N17&gt;$F$11,1,0)</f>
        <v>0</v>
      </c>
      <c r="O30" s="9" t="n">
        <f aca="false">IF(O17&gt;$F$11,1,0)</f>
        <v>0</v>
      </c>
      <c r="P30" s="9" t="n">
        <f aca="false">IF(P17&gt;$F$11,1,0)</f>
        <v>0</v>
      </c>
      <c r="Q30" s="9" t="n">
        <f aca="false">IF(Q17&gt;$F$11,1,0)</f>
        <v>1</v>
      </c>
      <c r="R30" s="9" t="n">
        <f aca="false">IF(R17&gt;$F$11,1,0)</f>
        <v>1</v>
      </c>
      <c r="S30" s="9" t="n">
        <f aca="false">IF(S17&gt;$F$11,1,0)</f>
        <v>1</v>
      </c>
      <c r="T30" s="9" t="n">
        <f aca="false">IF(T17&gt;$F$11,1,0)</f>
        <v>1</v>
      </c>
      <c r="U30" s="9" t="n">
        <f aca="false">IF(U17&gt;$F$11,1,0)</f>
        <v>1</v>
      </c>
      <c r="V30" s="9" t="n">
        <f aca="false">IF(V17&gt;$F$11,1,0)</f>
        <v>1</v>
      </c>
      <c r="W30" s="9" t="n">
        <f aca="false">IF(W17&gt;$F$11,1,0)</f>
        <v>1</v>
      </c>
      <c r="X30" s="9" t="n">
        <f aca="false">IF(X17&gt;$F$11,1,0)</f>
        <v>1</v>
      </c>
      <c r="Y30" s="9" t="n">
        <f aca="false">IF(Y17&gt;$F$11,1,0)</f>
        <v>1</v>
      </c>
      <c r="Z30" s="9" t="n">
        <f aca="false">IF(Z17&gt;$F$11,1,0)</f>
        <v>1</v>
      </c>
      <c r="AA30" s="9" t="n">
        <f aca="false">IF(AA17&gt;$F$11,1,0)</f>
        <v>1</v>
      </c>
      <c r="AB30" s="9" t="n">
        <f aca="false">IF(AB17&gt;$F$11,1,0)</f>
        <v>1</v>
      </c>
      <c r="AC30" s="9" t="n">
        <f aca="false">IF(AC17&gt;$F$11,1,0)</f>
        <v>1</v>
      </c>
      <c r="AD30" s="9" t="n">
        <f aca="false">IF(AD17&gt;$F$11,1,0)</f>
        <v>1</v>
      </c>
      <c r="AE30" s="9" t="n">
        <f aca="false">IF(AE17&gt;$F$11,1,0)</f>
        <v>1</v>
      </c>
      <c r="AF30" s="9" t="n">
        <f aca="false">IF(AF17&gt;$F$11,1,0)</f>
        <v>1</v>
      </c>
      <c r="AG30" s="9" t="n">
        <f aca="false">IF(AG17&gt;$F$11,1,0)</f>
        <v>1</v>
      </c>
      <c r="AH30" s="9" t="n">
        <f aca="false">IF(AH17&gt;$F$11,1,0)</f>
        <v>1</v>
      </c>
      <c r="AI30" s="9" t="n">
        <f aca="false">IF(AI17&gt;$F$11,1,0)</f>
        <v>1</v>
      </c>
      <c r="AJ30" s="9" t="n">
        <f aca="false">IF(AJ17&gt;$F$11,1,0)</f>
        <v>1</v>
      </c>
      <c r="AK30" s="9" t="n">
        <f aca="false">IF(AK17&gt;$F$11,1,0)</f>
        <v>1</v>
      </c>
      <c r="AL30" s="9" t="n">
        <f aca="false">IF(AL17&gt;$F$11,1,0)</f>
        <v>1</v>
      </c>
      <c r="AM30" s="9" t="n">
        <f aca="false">IF(AM17&gt;$F$11,1,0)</f>
        <v>1</v>
      </c>
      <c r="AN30" s="9" t="n">
        <f aca="false">IF(AN17&gt;$F$11,1,0)</f>
        <v>1</v>
      </c>
      <c r="AO30" s="9" t="n">
        <f aca="false">IF(AO17&gt;$F$11,1,0)</f>
        <v>1</v>
      </c>
      <c r="AP30" s="9" t="n">
        <f aca="false">IF(AP17&gt;$F$11,1,0)</f>
        <v>1</v>
      </c>
      <c r="AQ30" s="9" t="n">
        <f aca="false">IF(AQ17&gt;$F$11,1,0)</f>
        <v>1</v>
      </c>
      <c r="AR30" s="9" t="n">
        <f aca="false">IF(AR17&gt;$F$11,1,0)</f>
        <v>1</v>
      </c>
      <c r="AS30" s="9" t="n">
        <f aca="false">IF(AS17&gt;$F$11,1,0)</f>
        <v>1</v>
      </c>
      <c r="AT30" s="9" t="n">
        <f aca="false">IF(AT17&gt;$F$11,1,0)</f>
        <v>1</v>
      </c>
      <c r="AU30" s="9" t="n">
        <f aca="false">IF(AU17&gt;$F$11,1,0)</f>
        <v>1</v>
      </c>
      <c r="AV30" s="9" t="n">
        <f aca="false">IF(AV17&gt;$F$11,1,0)</f>
        <v>1</v>
      </c>
      <c r="AW30" s="9" t="n">
        <f aca="false">IF(AW17&gt;$F$11,1,0)</f>
        <v>1</v>
      </c>
      <c r="AX30" s="9" t="n">
        <f aca="false">IF(AX17&gt;$F$11,1,0)</f>
        <v>1</v>
      </c>
      <c r="AY30" s="9" t="n">
        <f aca="false">IF(AY17&gt;$F$11,1,0)</f>
        <v>1</v>
      </c>
      <c r="AZ30" s="9" t="n">
        <f aca="false">IF(AZ17&gt;$F$11,1,0)</f>
        <v>1</v>
      </c>
      <c r="BA30" s="9" t="n">
        <f aca="false">IF(BA17&gt;$F$11,1,0)</f>
        <v>1</v>
      </c>
      <c r="BB30" s="9" t="n">
        <f aca="false">IF(BB17&gt;$F$11,1,0)</f>
        <v>1</v>
      </c>
      <c r="BC30" s="9" t="n">
        <f aca="false">IF(BC17&gt;$F$11,1,0)</f>
        <v>1</v>
      </c>
      <c r="BD30" s="9" t="n">
        <f aca="false">IF(BD17&gt;$F$11,1,0)</f>
        <v>1</v>
      </c>
      <c r="BE30" s="9" t="n">
        <f aca="false">IF(BE17&gt;$F$11,1,0)</f>
        <v>1</v>
      </c>
      <c r="BF30" s="9" t="n">
        <f aca="false">IF(BF17&gt;$F$11,1,0)</f>
        <v>1</v>
      </c>
      <c r="BG30" s="9" t="n">
        <f aca="false">IF(BG17&gt;$F$11,1,0)</f>
        <v>1</v>
      </c>
      <c r="BH30" s="9" t="n">
        <f aca="false">IF(BH17&gt;$F$11,1,0)</f>
        <v>1</v>
      </c>
      <c r="BI30" s="9" t="n">
        <f aca="false">IF(BI17&gt;$F$11,1,0)</f>
        <v>1</v>
      </c>
      <c r="BJ30" s="9" t="n">
        <f aca="false">IF(BJ17&gt;$F$11,1,0)</f>
        <v>1</v>
      </c>
      <c r="BK30" s="9" t="n">
        <f aca="false">IF(BK17&gt;$F$11,1,0)</f>
        <v>1</v>
      </c>
      <c r="BL30" s="9" t="n">
        <f aca="false">IF(BL17&gt;$F$11,1,0)</f>
        <v>1</v>
      </c>
      <c r="BM30" s="9" t="n">
        <f aca="false">IF(BM17&gt;$F$11,1,0)</f>
        <v>1</v>
      </c>
      <c r="BN30" s="9" t="n">
        <f aca="false">IF(BN17&gt;$F$11,1,0)</f>
        <v>1</v>
      </c>
    </row>
    <row r="31" customFormat="false" ht="15" hidden="false" customHeight="false" outlineLevel="0" collapsed="false">
      <c r="D31" s="0" t="s">
        <v>371</v>
      </c>
      <c r="E31" s="0" t="s">
        <v>113</v>
      </c>
      <c r="J31" s="9" t="n">
        <f aca="false">IF(J25&gt;0,1,0)</f>
        <v>0</v>
      </c>
      <c r="K31" s="9" t="n">
        <f aca="false">IF(K25&gt;0,1,0)</f>
        <v>0</v>
      </c>
      <c r="L31" s="9" t="n">
        <f aca="false">IF(L25&gt;0,1,0)</f>
        <v>0</v>
      </c>
      <c r="M31" s="9" t="n">
        <f aca="false">IF(M25&gt;0,1,0)</f>
        <v>0</v>
      </c>
      <c r="N31" s="9" t="n">
        <f aca="false">IF(N25&gt;0,1,0)</f>
        <v>0</v>
      </c>
      <c r="O31" s="9" t="n">
        <f aca="false">IF(O25&gt;0,1,0)</f>
        <v>0</v>
      </c>
      <c r="P31" s="9" t="n">
        <f aca="false">IF(P25&gt;0,1,0)</f>
        <v>1</v>
      </c>
      <c r="Q31" s="9" t="n">
        <f aca="false">IF(Q25&gt;0,1,0)</f>
        <v>1</v>
      </c>
      <c r="R31" s="9" t="n">
        <f aca="false">IF(R25&gt;0,1,0)</f>
        <v>1</v>
      </c>
      <c r="S31" s="9" t="n">
        <f aca="false">IF(S25&gt;0,1,0)</f>
        <v>1</v>
      </c>
      <c r="T31" s="9" t="n">
        <f aca="false">IF(T25&gt;0,1,0)</f>
        <v>1</v>
      </c>
      <c r="U31" s="9" t="n">
        <f aca="false">IF(U25&gt;0,1,0)</f>
        <v>1</v>
      </c>
      <c r="V31" s="9" t="n">
        <f aca="false">IF(V25&gt;0,1,0)</f>
        <v>1</v>
      </c>
      <c r="W31" s="9" t="n">
        <f aca="false">IF(W25&gt;0,1,0)</f>
        <v>1</v>
      </c>
      <c r="X31" s="9" t="n">
        <f aca="false">IF(X25&gt;0,1,0)</f>
        <v>1</v>
      </c>
      <c r="Y31" s="9" t="n">
        <f aca="false">IF(Y25&gt;0,1,0)</f>
        <v>1</v>
      </c>
      <c r="Z31" s="9" t="n">
        <f aca="false">IF(Z25&gt;0,1,0)</f>
        <v>1</v>
      </c>
      <c r="AA31" s="9" t="n">
        <f aca="false">IF(AA25&gt;0,1,0)</f>
        <v>1</v>
      </c>
      <c r="AB31" s="9" t="n">
        <f aca="false">IF(AB25&gt;0,1,0)</f>
        <v>1</v>
      </c>
      <c r="AC31" s="9" t="n">
        <f aca="false">IF(AC25&gt;0,1,0)</f>
        <v>1</v>
      </c>
      <c r="AD31" s="9" t="n">
        <f aca="false">IF(AD25&gt;0,1,0)</f>
        <v>1</v>
      </c>
      <c r="AE31" s="9" t="n">
        <f aca="false">IF(AE25&gt;0,1,0)</f>
        <v>1</v>
      </c>
      <c r="AF31" s="9" t="n">
        <f aca="false">IF(AF25&gt;0,1,0)</f>
        <v>1</v>
      </c>
      <c r="AG31" s="9" t="n">
        <f aca="false">IF(AG25&gt;0,1,0)</f>
        <v>1</v>
      </c>
      <c r="AH31" s="9" t="n">
        <f aca="false">IF(AH25&gt;0,1,0)</f>
        <v>1</v>
      </c>
      <c r="AI31" s="9" t="n">
        <f aca="false">IF(AI25&gt;0,1,0)</f>
        <v>1</v>
      </c>
      <c r="AJ31" s="9" t="n">
        <f aca="false">IF(AJ25&gt;0,1,0)</f>
        <v>1</v>
      </c>
      <c r="AK31" s="9" t="n">
        <f aca="false">IF(AK25&gt;0,1,0)</f>
        <v>1</v>
      </c>
      <c r="AL31" s="9" t="n">
        <f aca="false">IF(AL25&gt;0,1,0)</f>
        <v>1</v>
      </c>
      <c r="AM31" s="9" t="n">
        <f aca="false">IF(AM25&gt;0,1,0)</f>
        <v>1</v>
      </c>
      <c r="AN31" s="9" t="n">
        <f aca="false">IF(AN25&gt;0,1,0)</f>
        <v>1</v>
      </c>
      <c r="AO31" s="9" t="n">
        <f aca="false">IF(AO25&gt;0,1,0)</f>
        <v>1</v>
      </c>
      <c r="AP31" s="9" t="n">
        <f aca="false">IF(AP25&gt;0,1,0)</f>
        <v>1</v>
      </c>
      <c r="AQ31" s="9" t="n">
        <f aca="false">IF(AQ25&gt;0,1,0)</f>
        <v>1</v>
      </c>
      <c r="AR31" s="9" t="n">
        <f aca="false">IF(AR25&gt;0,1,0)</f>
        <v>1</v>
      </c>
      <c r="AS31" s="9" t="n">
        <f aca="false">IF(AS25&gt;0,1,0)</f>
        <v>1</v>
      </c>
      <c r="AT31" s="9" t="n">
        <f aca="false">IF(AT25&gt;0,1,0)</f>
        <v>1</v>
      </c>
      <c r="AU31" s="9" t="n">
        <f aca="false">IF(AU25&gt;0,1,0)</f>
        <v>1</v>
      </c>
      <c r="AV31" s="9" t="n">
        <f aca="false">IF(AV25&gt;0,1,0)</f>
        <v>1</v>
      </c>
      <c r="AW31" s="9" t="n">
        <f aca="false">IF(AW25&gt;0,1,0)</f>
        <v>1</v>
      </c>
      <c r="AX31" s="9" t="n">
        <f aca="false">IF(AX25&gt;0,1,0)</f>
        <v>1</v>
      </c>
      <c r="AY31" s="9" t="n">
        <f aca="false">IF(AY25&gt;0,1,0)</f>
        <v>1</v>
      </c>
      <c r="AZ31" s="9" t="n">
        <f aca="false">IF(AZ25&gt;0,1,0)</f>
        <v>1</v>
      </c>
      <c r="BA31" s="9" t="n">
        <f aca="false">IF(BA25&gt;0,1,0)</f>
        <v>1</v>
      </c>
      <c r="BB31" s="9" t="n">
        <f aca="false">IF(BB25&gt;0,1,0)</f>
        <v>1</v>
      </c>
      <c r="BC31" s="9" t="n">
        <f aca="false">IF(BC25&gt;0,1,0)</f>
        <v>1</v>
      </c>
      <c r="BD31" s="9" t="n">
        <f aca="false">IF(BD25&gt;0,1,0)</f>
        <v>1</v>
      </c>
      <c r="BE31" s="9" t="n">
        <f aca="false">IF(BE25&gt;0,1,0)</f>
        <v>1</v>
      </c>
      <c r="BF31" s="9" t="n">
        <f aca="false">IF(BF25&gt;0,1,0)</f>
        <v>1</v>
      </c>
      <c r="BG31" s="9" t="n">
        <f aca="false">IF(BG25&gt;0,1,0)</f>
        <v>1</v>
      </c>
      <c r="BH31" s="9" t="n">
        <f aca="false">IF(BH25&gt;0,1,0)</f>
        <v>1</v>
      </c>
      <c r="BI31" s="9" t="n">
        <f aca="false">IF(BI25&gt;0,1,0)</f>
        <v>1</v>
      </c>
      <c r="BJ31" s="9" t="n">
        <f aca="false">IF(BJ25&gt;0,1,0)</f>
        <v>1</v>
      </c>
      <c r="BK31" s="9" t="n">
        <f aca="false">IF(BK25&gt;0,1,0)</f>
        <v>1</v>
      </c>
      <c r="BL31" s="9" t="n">
        <f aca="false">IF(BL25&gt;0,1,0)</f>
        <v>1</v>
      </c>
      <c r="BM31" s="9" t="n">
        <f aca="false">IF(BM25&gt;0,1,0)</f>
        <v>1</v>
      </c>
      <c r="BN31" s="9" t="n">
        <f aca="false">IF(BN25&gt;0,1,0)</f>
        <v>1</v>
      </c>
    </row>
    <row r="32" customFormat="false" ht="15" hidden="false" customHeight="false" outlineLevel="0" collapsed="false">
      <c r="D32" s="0" t="s">
        <v>372</v>
      </c>
      <c r="E32" s="0" t="s">
        <v>113</v>
      </c>
      <c r="J32" s="9" t="n">
        <f aca="false">IF(AND(J25&gt;0,K25=0),1,0)</f>
        <v>0</v>
      </c>
      <c r="K32" s="9" t="n">
        <f aca="false">IF(AND(K25&gt;0,L25=0),1,0)</f>
        <v>0</v>
      </c>
      <c r="L32" s="9" t="n">
        <f aca="false">IF(AND(L25&gt;0,M25=0),1,0)</f>
        <v>0</v>
      </c>
      <c r="M32" s="9" t="n">
        <f aca="false">IF(AND(M25&gt;0,N25=0),1,0)</f>
        <v>0</v>
      </c>
      <c r="N32" s="9" t="n">
        <f aca="false">IF(AND(N25&gt;0,O25=0),1,0)</f>
        <v>0</v>
      </c>
      <c r="O32" s="9" t="n">
        <f aca="false">IF(AND(O25&gt;0,P25=0),1,0)</f>
        <v>0</v>
      </c>
      <c r="P32" s="9" t="n">
        <f aca="false">IF(AND(P25&gt;0,Q25=0),1,0)</f>
        <v>0</v>
      </c>
      <c r="Q32" s="9" t="n">
        <f aca="false">IF(AND(Q25&gt;0,R25=0),1,0)</f>
        <v>0</v>
      </c>
      <c r="R32" s="9" t="n">
        <f aca="false">IF(AND(R25&gt;0,S25=0),1,0)</f>
        <v>0</v>
      </c>
      <c r="S32" s="9" t="n">
        <f aca="false">IF(AND(S25&gt;0,T25=0),1,0)</f>
        <v>0</v>
      </c>
      <c r="T32" s="9" t="n">
        <f aca="false">IF(AND(T25&gt;0,U25=0),1,0)</f>
        <v>0</v>
      </c>
      <c r="U32" s="9" t="n">
        <f aca="false">IF(AND(U25&gt;0,V25=0),1,0)</f>
        <v>0</v>
      </c>
      <c r="V32" s="9" t="n">
        <f aca="false">IF(AND(V25&gt;0,W25=0),1,0)</f>
        <v>0</v>
      </c>
      <c r="W32" s="9" t="n">
        <f aca="false">IF(AND(W25&gt;0,X25=0),1,0)</f>
        <v>0</v>
      </c>
      <c r="X32" s="9" t="n">
        <f aca="false">IF(AND(X25&gt;0,Y25=0),1,0)</f>
        <v>0</v>
      </c>
      <c r="Y32" s="9" t="n">
        <f aca="false">IF(AND(Y25&gt;0,Z25=0),1,0)</f>
        <v>0</v>
      </c>
      <c r="Z32" s="9" t="n">
        <f aca="false">IF(AND(Z25&gt;0,AA25=0),1,0)</f>
        <v>0</v>
      </c>
      <c r="AA32" s="9" t="n">
        <f aca="false">IF(AND(AA25&gt;0,AB25=0),1,0)</f>
        <v>0</v>
      </c>
      <c r="AB32" s="9" t="n">
        <f aca="false">IF(AND(AB25&gt;0,AC25=0),1,0)</f>
        <v>0</v>
      </c>
      <c r="AC32" s="9" t="n">
        <f aca="false">IF(AND(AC25&gt;0,AD25=0),1,0)</f>
        <v>0</v>
      </c>
      <c r="AD32" s="9" t="n">
        <f aca="false">IF(AND(AD25&gt;0,AE25=0),1,0)</f>
        <v>0</v>
      </c>
      <c r="AE32" s="9" t="n">
        <f aca="false">IF(AND(AE25&gt;0,AF25=0),1,0)</f>
        <v>0</v>
      </c>
      <c r="AF32" s="9" t="n">
        <f aca="false">IF(AND(AF25&gt;0,AG25=0),1,0)</f>
        <v>0</v>
      </c>
      <c r="AG32" s="9" t="n">
        <f aca="false">IF(AND(AG25&gt;0,AH25=0),1,0)</f>
        <v>0</v>
      </c>
      <c r="AH32" s="9" t="n">
        <f aca="false">IF(AND(AH25&gt;0,AI25=0),1,0)</f>
        <v>0</v>
      </c>
      <c r="AI32" s="9" t="n">
        <f aca="false">IF(AND(AI25&gt;0,AJ25=0),1,0)</f>
        <v>0</v>
      </c>
      <c r="AJ32" s="9" t="n">
        <f aca="false">IF(AND(AJ25&gt;0,AK25=0),1,0)</f>
        <v>0</v>
      </c>
      <c r="AK32" s="9" t="n">
        <f aca="false">IF(AND(AK25&gt;0,AL25=0),1,0)</f>
        <v>0</v>
      </c>
      <c r="AL32" s="9" t="n">
        <f aca="false">IF(AND(AL25&gt;0,AM25=0),1,0)</f>
        <v>0</v>
      </c>
      <c r="AM32" s="9" t="n">
        <f aca="false">IF(AND(AM25&gt;0,AN25=0),1,0)</f>
        <v>0</v>
      </c>
      <c r="AN32" s="9" t="n">
        <f aca="false">IF(AND(AN25&gt;0,AO25=0),1,0)</f>
        <v>0</v>
      </c>
      <c r="AO32" s="9" t="n">
        <f aca="false">IF(AND(AO25&gt;0,AP25=0),1,0)</f>
        <v>0</v>
      </c>
      <c r="AP32" s="9" t="n">
        <f aca="false">IF(AND(AP25&gt;0,AQ25=0),1,0)</f>
        <v>0</v>
      </c>
      <c r="AQ32" s="9" t="n">
        <f aca="false">IF(AND(AQ25&gt;0,AR25=0),1,0)</f>
        <v>0</v>
      </c>
      <c r="AR32" s="9" t="n">
        <f aca="false">IF(AND(AR25&gt;0,AS25=0),1,0)</f>
        <v>0</v>
      </c>
      <c r="AS32" s="9" t="n">
        <f aca="false">IF(AND(AS25&gt;0,AT25=0),1,0)</f>
        <v>0</v>
      </c>
      <c r="AT32" s="9" t="n">
        <f aca="false">IF(AND(AT25&gt;0,AU25=0),1,0)</f>
        <v>0</v>
      </c>
      <c r="AU32" s="9" t="n">
        <f aca="false">IF(AND(AU25&gt;0,AV25=0),1,0)</f>
        <v>0</v>
      </c>
      <c r="AV32" s="9" t="n">
        <f aca="false">IF(AND(AV25&gt;0,AW25=0),1,0)</f>
        <v>0</v>
      </c>
      <c r="AW32" s="9" t="n">
        <f aca="false">IF(AND(AW25&gt;0,AX25=0),1,0)</f>
        <v>0</v>
      </c>
      <c r="AX32" s="9" t="n">
        <f aca="false">IF(AND(AX25&gt;0,AY25=0),1,0)</f>
        <v>0</v>
      </c>
      <c r="AY32" s="9" t="n">
        <f aca="false">IF(AND(AY25&gt;0,AZ25=0),1,0)</f>
        <v>0</v>
      </c>
      <c r="AZ32" s="9" t="n">
        <f aca="false">IF(AND(AZ25&gt;0,BA25=0),1,0)</f>
        <v>0</v>
      </c>
      <c r="BA32" s="9" t="n">
        <f aca="false">IF(AND(BA25&gt;0,BB25=0),1,0)</f>
        <v>0</v>
      </c>
      <c r="BB32" s="9" t="n">
        <f aca="false">IF(AND(BB25&gt;0,BC25=0),1,0)</f>
        <v>0</v>
      </c>
      <c r="BC32" s="9" t="n">
        <f aca="false">IF(AND(BC25&gt;0,BD25=0),1,0)</f>
        <v>0</v>
      </c>
      <c r="BD32" s="9" t="n">
        <f aca="false">IF(AND(BD25&gt;0,BE25=0),1,0)</f>
        <v>0</v>
      </c>
      <c r="BE32" s="9" t="n">
        <f aca="false">IF(AND(BE25&gt;0,BF25=0),1,0)</f>
        <v>0</v>
      </c>
      <c r="BF32" s="9" t="n">
        <f aca="false">IF(AND(BF25&gt;0,BG25=0),1,0)</f>
        <v>0</v>
      </c>
      <c r="BG32" s="9" t="n">
        <f aca="false">IF(AND(BG25&gt;0,BH25=0),1,0)</f>
        <v>0</v>
      </c>
      <c r="BH32" s="9" t="n">
        <f aca="false">IF(AND(BH25&gt;0,BI25=0),1,0)</f>
        <v>0</v>
      </c>
      <c r="BI32" s="9" t="n">
        <f aca="false">IF(AND(BI25&gt;0,BJ25=0),1,0)</f>
        <v>0</v>
      </c>
      <c r="BJ32" s="9" t="n">
        <f aca="false">IF(AND(BJ25&gt;0,BK25=0),1,0)</f>
        <v>0</v>
      </c>
      <c r="BK32" s="9" t="n">
        <f aca="false">IF(AND(BK25&gt;0,BL25=0),1,0)</f>
        <v>0</v>
      </c>
      <c r="BL32" s="9" t="n">
        <f aca="false">IF(AND(BL25&gt;0,BM25=0),1,0)</f>
        <v>0</v>
      </c>
      <c r="BM32" s="9" t="n">
        <f aca="false">IF(AND(BM25&gt;0,BN25=0),1,0)</f>
        <v>0</v>
      </c>
      <c r="BN32" s="9" t="n">
        <f aca="false">IF(AND(BN25&gt;0,0=0),1,0)</f>
        <v>1</v>
      </c>
    </row>
    <row r="33" customFormat="false" ht="15" hidden="false" customHeight="false" outlineLevel="0" collapsed="false">
      <c r="D33" s="0" t="s">
        <v>373</v>
      </c>
      <c r="E33" s="0" t="s">
        <v>113</v>
      </c>
      <c r="J33" s="9" t="n">
        <f aca="false">IF(AND(J17&gt;=8,J17&lt;=9),1,0)</f>
        <v>0</v>
      </c>
      <c r="K33" s="9" t="n">
        <f aca="false">IF(AND(K17&gt;=8,K17&lt;=9),1,0)</f>
        <v>0</v>
      </c>
      <c r="L33" s="9" t="n">
        <f aca="false">IF(AND(L17&gt;=8,L17&lt;=9),1,0)</f>
        <v>0</v>
      </c>
      <c r="M33" s="9" t="n">
        <f aca="false">IF(AND(M17&gt;=8,M17&lt;=9),1,0)</f>
        <v>0</v>
      </c>
      <c r="N33" s="9" t="n">
        <f aca="false">IF(AND(N17&gt;=8,N17&lt;=9),1,0)</f>
        <v>0</v>
      </c>
      <c r="O33" s="9" t="n">
        <f aca="false">IF(AND(O17&gt;=8,O17&lt;=9),1,0)</f>
        <v>0</v>
      </c>
      <c r="P33" s="9" t="n">
        <f aca="false">IF(AND(P17&gt;=8,P17&lt;=9),1,0)</f>
        <v>0</v>
      </c>
      <c r="Q33" s="9" t="n">
        <f aca="false">IF(AND(Q17&gt;=8,Q17&lt;=9),1,0)</f>
        <v>1</v>
      </c>
      <c r="R33" s="9" t="n">
        <f aca="false">IF(AND(R17&gt;=8,R17&lt;=9),1,0)</f>
        <v>1</v>
      </c>
      <c r="S33" s="9" t="n">
        <f aca="false">IF(AND(S17&gt;=8,S17&lt;=9),1,0)</f>
        <v>0</v>
      </c>
      <c r="T33" s="9" t="n">
        <f aca="false">IF(AND(T17&gt;=8,T17&lt;=9),1,0)</f>
        <v>0</v>
      </c>
      <c r="U33" s="9" t="n">
        <f aca="false">IF(AND(U17&gt;=8,U17&lt;=9),1,0)</f>
        <v>0</v>
      </c>
      <c r="V33" s="9" t="n">
        <f aca="false">IF(AND(V17&gt;=8,V17&lt;=9),1,0)</f>
        <v>0</v>
      </c>
      <c r="W33" s="9" t="n">
        <f aca="false">IF(AND(W17&gt;=8,W17&lt;=9),1,0)</f>
        <v>0</v>
      </c>
      <c r="X33" s="9" t="n">
        <f aca="false">IF(AND(X17&gt;=8,X17&lt;=9),1,0)</f>
        <v>0</v>
      </c>
      <c r="Y33" s="9" t="n">
        <f aca="false">IF(AND(Y17&gt;=8,Y17&lt;=9),1,0)</f>
        <v>0</v>
      </c>
      <c r="Z33" s="9" t="n">
        <f aca="false">IF(AND(Z17&gt;=8,Z17&lt;=9),1,0)</f>
        <v>0</v>
      </c>
      <c r="AA33" s="9" t="n">
        <f aca="false">IF(AND(AA17&gt;=8,AA17&lt;=9),1,0)</f>
        <v>0</v>
      </c>
      <c r="AB33" s="9" t="n">
        <f aca="false">IF(AND(AB17&gt;=8,AB17&lt;=9),1,0)</f>
        <v>0</v>
      </c>
      <c r="AC33" s="9" t="n">
        <f aca="false">IF(AND(AC17&gt;=8,AC17&lt;=9),1,0)</f>
        <v>0</v>
      </c>
      <c r="AD33" s="9" t="n">
        <f aca="false">IF(AND(AD17&gt;=8,AD17&lt;=9),1,0)</f>
        <v>0</v>
      </c>
      <c r="AE33" s="9" t="n">
        <f aca="false">IF(AND(AE17&gt;=8,AE17&lt;=9),1,0)</f>
        <v>0</v>
      </c>
      <c r="AF33" s="9" t="n">
        <f aca="false">IF(AND(AF17&gt;=8,AF17&lt;=9),1,0)</f>
        <v>0</v>
      </c>
      <c r="AG33" s="9" t="n">
        <f aca="false">IF(AND(AG17&gt;=8,AG17&lt;=9),1,0)</f>
        <v>0</v>
      </c>
      <c r="AH33" s="9" t="n">
        <f aca="false">IF(AND(AH17&gt;=8,AH17&lt;=9),1,0)</f>
        <v>0</v>
      </c>
      <c r="AI33" s="9" t="n">
        <f aca="false">IF(AND(AI17&gt;=8,AI17&lt;=9),1,0)</f>
        <v>0</v>
      </c>
      <c r="AJ33" s="9" t="n">
        <f aca="false">IF(AND(AJ17&gt;=8,AJ17&lt;=9),1,0)</f>
        <v>0</v>
      </c>
      <c r="AK33" s="9" t="n">
        <f aca="false">IF(AND(AK17&gt;=8,AK17&lt;=9),1,0)</f>
        <v>0</v>
      </c>
      <c r="AL33" s="9" t="n">
        <f aca="false">IF(AND(AL17&gt;=8,AL17&lt;=9),1,0)</f>
        <v>0</v>
      </c>
      <c r="AM33" s="9" t="n">
        <f aca="false">IF(AND(AM17&gt;=8,AM17&lt;=9),1,0)</f>
        <v>0</v>
      </c>
      <c r="AN33" s="9" t="n">
        <f aca="false">IF(AND(AN17&gt;=8,AN17&lt;=9),1,0)</f>
        <v>0</v>
      </c>
      <c r="AO33" s="9" t="n">
        <f aca="false">IF(AND(AO17&gt;=8,AO17&lt;=9),1,0)</f>
        <v>0</v>
      </c>
      <c r="AP33" s="9" t="n">
        <f aca="false">IF(AND(AP17&gt;=8,AP17&lt;=9),1,0)</f>
        <v>0</v>
      </c>
      <c r="AQ33" s="9" t="n">
        <f aca="false">IF(AND(AQ17&gt;=8,AQ17&lt;=9),1,0)</f>
        <v>0</v>
      </c>
      <c r="AR33" s="9" t="n">
        <f aca="false">IF(AND(AR17&gt;=8,AR17&lt;=9),1,0)</f>
        <v>0</v>
      </c>
      <c r="AS33" s="9" t="n">
        <f aca="false">IF(AND(AS17&gt;=8,AS17&lt;=9),1,0)</f>
        <v>0</v>
      </c>
      <c r="AT33" s="9" t="n">
        <f aca="false">IF(AND(AT17&gt;=8,AT17&lt;=9),1,0)</f>
        <v>0</v>
      </c>
      <c r="AU33" s="9" t="n">
        <f aca="false">IF(AND(AU17&gt;=8,AU17&lt;=9),1,0)</f>
        <v>0</v>
      </c>
      <c r="AV33" s="9" t="n">
        <f aca="false">IF(AND(AV17&gt;=8,AV17&lt;=9),1,0)</f>
        <v>0</v>
      </c>
      <c r="AW33" s="9" t="n">
        <f aca="false">IF(AND(AW17&gt;=8,AW17&lt;=9),1,0)</f>
        <v>0</v>
      </c>
      <c r="AX33" s="9" t="n">
        <f aca="false">IF(AND(AX17&gt;=8,AX17&lt;=9),1,0)</f>
        <v>0</v>
      </c>
      <c r="AY33" s="9" t="n">
        <f aca="false">IF(AND(AY17&gt;=8,AY17&lt;=9),1,0)</f>
        <v>0</v>
      </c>
      <c r="AZ33" s="9" t="n">
        <f aca="false">IF(AND(AZ17&gt;=8,AZ17&lt;=9),1,0)</f>
        <v>0</v>
      </c>
      <c r="BA33" s="9" t="n">
        <f aca="false">IF(AND(BA17&gt;=8,BA17&lt;=9),1,0)</f>
        <v>0</v>
      </c>
      <c r="BB33" s="9" t="n">
        <f aca="false">IF(AND(BB17&gt;=8,BB17&lt;=9),1,0)</f>
        <v>0</v>
      </c>
      <c r="BC33" s="9" t="n">
        <f aca="false">IF(AND(BC17&gt;=8,BC17&lt;=9),1,0)</f>
        <v>0</v>
      </c>
      <c r="BD33" s="9" t="n">
        <f aca="false">IF(AND(BD17&gt;=8,BD17&lt;=9),1,0)</f>
        <v>0</v>
      </c>
      <c r="BE33" s="9" t="n">
        <f aca="false">IF(AND(BE17&gt;=8,BE17&lt;=9),1,0)</f>
        <v>0</v>
      </c>
      <c r="BF33" s="9" t="n">
        <f aca="false">IF(AND(BF17&gt;=8,BF17&lt;=9),1,0)</f>
        <v>0</v>
      </c>
      <c r="BG33" s="9" t="n">
        <f aca="false">IF(AND(BG17&gt;=8,BG17&lt;=9),1,0)</f>
        <v>0</v>
      </c>
      <c r="BH33" s="9" t="n">
        <f aca="false">IF(AND(BH17&gt;=8,BH17&lt;=9),1,0)</f>
        <v>0</v>
      </c>
      <c r="BI33" s="9" t="n">
        <f aca="false">IF(AND(BI17&gt;=8,BI17&lt;=9),1,0)</f>
        <v>0</v>
      </c>
      <c r="BJ33" s="9" t="n">
        <f aca="false">IF(AND(BJ17&gt;=8,BJ17&lt;=9),1,0)</f>
        <v>0</v>
      </c>
      <c r="BK33" s="9" t="n">
        <f aca="false">IF(AND(BK17&gt;=8,BK17&lt;=9),1,0)</f>
        <v>0</v>
      </c>
      <c r="BL33" s="9" t="n">
        <f aca="false">IF(AND(BL17&gt;=8,BL17&lt;=9),1,0)</f>
        <v>0</v>
      </c>
      <c r="BM33" s="9" t="n">
        <f aca="false">IF(AND(BM17&gt;=8,BM17&lt;=9),1,0)</f>
        <v>0</v>
      </c>
      <c r="BN33" s="9" t="n">
        <f aca="false">IF(AND(BN17&gt;=8,BN17&lt;=9),1,0)</f>
        <v>0</v>
      </c>
    </row>
    <row r="34" customFormat="false" ht="15" hidden="false" customHeight="false" outlineLevel="0" collapsed="false">
      <c r="D34" s="0" t="s">
        <v>374</v>
      </c>
      <c r="E34" s="0" t="s">
        <v>113</v>
      </c>
      <c r="J34" s="9" t="n">
        <f aca="false">IF(J17&gt;=8,1,0)</f>
        <v>0</v>
      </c>
      <c r="K34" s="9" t="n">
        <f aca="false">IF(K17&gt;=8,1,0)</f>
        <v>0</v>
      </c>
      <c r="L34" s="9" t="n">
        <f aca="false">IF(L17&gt;=8,1,0)</f>
        <v>0</v>
      </c>
      <c r="M34" s="9" t="n">
        <f aca="false">IF(M17&gt;=8,1,0)</f>
        <v>0</v>
      </c>
      <c r="N34" s="9" t="n">
        <f aca="false">IF(N17&gt;=8,1,0)</f>
        <v>0</v>
      </c>
      <c r="O34" s="9" t="n">
        <f aca="false">IF(O17&gt;=8,1,0)</f>
        <v>0</v>
      </c>
      <c r="P34" s="9" t="n">
        <f aca="false">IF(P17&gt;=8,1,0)</f>
        <v>0</v>
      </c>
      <c r="Q34" s="9" t="n">
        <f aca="false">IF(Q17&gt;=8,1,0)</f>
        <v>1</v>
      </c>
      <c r="R34" s="9" t="n">
        <f aca="false">IF(R17&gt;=8,1,0)</f>
        <v>1</v>
      </c>
      <c r="S34" s="9" t="n">
        <f aca="false">IF(S17&gt;=8,1,0)</f>
        <v>1</v>
      </c>
      <c r="T34" s="9" t="n">
        <f aca="false">IF(T17&gt;=8,1,0)</f>
        <v>1</v>
      </c>
      <c r="U34" s="9" t="n">
        <f aca="false">IF(U17&gt;=8,1,0)</f>
        <v>1</v>
      </c>
      <c r="V34" s="9" t="n">
        <f aca="false">IF(V17&gt;=8,1,0)</f>
        <v>1</v>
      </c>
      <c r="W34" s="9" t="n">
        <f aca="false">IF(W17&gt;=8,1,0)</f>
        <v>1</v>
      </c>
      <c r="X34" s="9" t="n">
        <f aca="false">IF(X17&gt;=8,1,0)</f>
        <v>1</v>
      </c>
      <c r="Y34" s="9" t="n">
        <f aca="false">IF(Y17&gt;=8,1,0)</f>
        <v>1</v>
      </c>
      <c r="Z34" s="9" t="n">
        <f aca="false">IF(Z17&gt;=8,1,0)</f>
        <v>1</v>
      </c>
      <c r="AA34" s="9" t="n">
        <f aca="false">IF(AA17&gt;=8,1,0)</f>
        <v>1</v>
      </c>
      <c r="AB34" s="9" t="n">
        <f aca="false">IF(AB17&gt;=8,1,0)</f>
        <v>1</v>
      </c>
      <c r="AC34" s="9" t="n">
        <f aca="false">IF(AC17&gt;=8,1,0)</f>
        <v>1</v>
      </c>
      <c r="AD34" s="9" t="n">
        <f aca="false">IF(AD17&gt;=8,1,0)</f>
        <v>1</v>
      </c>
      <c r="AE34" s="9" t="n">
        <f aca="false">IF(AE17&gt;=8,1,0)</f>
        <v>1</v>
      </c>
      <c r="AF34" s="9" t="n">
        <f aca="false">IF(AF17&gt;=8,1,0)</f>
        <v>1</v>
      </c>
      <c r="AG34" s="9" t="n">
        <f aca="false">IF(AG17&gt;=8,1,0)</f>
        <v>1</v>
      </c>
      <c r="AH34" s="9" t="n">
        <f aca="false">IF(AH17&gt;=8,1,0)</f>
        <v>1</v>
      </c>
      <c r="AI34" s="9" t="n">
        <f aca="false">IF(AI17&gt;=8,1,0)</f>
        <v>1</v>
      </c>
      <c r="AJ34" s="9" t="n">
        <f aca="false">IF(AJ17&gt;=8,1,0)</f>
        <v>1</v>
      </c>
      <c r="AK34" s="9" t="n">
        <f aca="false">IF(AK17&gt;=8,1,0)</f>
        <v>1</v>
      </c>
      <c r="AL34" s="9" t="n">
        <f aca="false">IF(AL17&gt;=8,1,0)</f>
        <v>1</v>
      </c>
      <c r="AM34" s="9" t="n">
        <f aca="false">IF(AM17&gt;=8,1,0)</f>
        <v>1</v>
      </c>
      <c r="AN34" s="9" t="n">
        <f aca="false">IF(AN17&gt;=8,1,0)</f>
        <v>1</v>
      </c>
      <c r="AO34" s="9" t="n">
        <f aca="false">IF(AO17&gt;=8,1,0)</f>
        <v>1</v>
      </c>
      <c r="AP34" s="9" t="n">
        <f aca="false">IF(AP17&gt;=8,1,0)</f>
        <v>1</v>
      </c>
      <c r="AQ34" s="9" t="n">
        <f aca="false">IF(AQ17&gt;=8,1,0)</f>
        <v>1</v>
      </c>
      <c r="AR34" s="9" t="n">
        <f aca="false">IF(AR17&gt;=8,1,0)</f>
        <v>1</v>
      </c>
      <c r="AS34" s="9" t="n">
        <f aca="false">IF(AS17&gt;=8,1,0)</f>
        <v>1</v>
      </c>
      <c r="AT34" s="9" t="n">
        <f aca="false">IF(AT17&gt;=8,1,0)</f>
        <v>1</v>
      </c>
      <c r="AU34" s="9" t="n">
        <f aca="false">IF(AU17&gt;=8,1,0)</f>
        <v>1</v>
      </c>
      <c r="AV34" s="9" t="n">
        <f aca="false">IF(AV17&gt;=8,1,0)</f>
        <v>1</v>
      </c>
      <c r="AW34" s="9" t="n">
        <f aca="false">IF(AW17&gt;=8,1,0)</f>
        <v>1</v>
      </c>
      <c r="AX34" s="9" t="n">
        <f aca="false">IF(AX17&gt;=8,1,0)</f>
        <v>1</v>
      </c>
      <c r="AY34" s="9" t="n">
        <f aca="false">IF(AY17&gt;=8,1,0)</f>
        <v>1</v>
      </c>
      <c r="AZ34" s="9" t="n">
        <f aca="false">IF(AZ17&gt;=8,1,0)</f>
        <v>1</v>
      </c>
      <c r="BA34" s="9" t="n">
        <f aca="false">IF(BA17&gt;=8,1,0)</f>
        <v>1</v>
      </c>
      <c r="BB34" s="9" t="n">
        <f aca="false">IF(BB17&gt;=8,1,0)</f>
        <v>1</v>
      </c>
      <c r="BC34" s="9" t="n">
        <f aca="false">IF(BC17&gt;=8,1,0)</f>
        <v>1</v>
      </c>
      <c r="BD34" s="9" t="n">
        <f aca="false">IF(BD17&gt;=8,1,0)</f>
        <v>1</v>
      </c>
      <c r="BE34" s="9" t="n">
        <f aca="false">IF(BE17&gt;=8,1,0)</f>
        <v>1</v>
      </c>
      <c r="BF34" s="9" t="n">
        <f aca="false">IF(BF17&gt;=8,1,0)</f>
        <v>1</v>
      </c>
      <c r="BG34" s="9" t="n">
        <f aca="false">IF(BG17&gt;=8,1,0)</f>
        <v>1</v>
      </c>
      <c r="BH34" s="9" t="n">
        <f aca="false">IF(BH17&gt;=8,1,0)</f>
        <v>1</v>
      </c>
      <c r="BI34" s="9" t="n">
        <f aca="false">IF(BI17&gt;=8,1,0)</f>
        <v>1</v>
      </c>
      <c r="BJ34" s="9" t="n">
        <f aca="false">IF(BJ17&gt;=8,1,0)</f>
        <v>1</v>
      </c>
      <c r="BK34" s="9" t="n">
        <f aca="false">IF(BK17&gt;=8,1,0)</f>
        <v>1</v>
      </c>
      <c r="BL34" s="9" t="n">
        <f aca="false">IF(BL17&gt;=8,1,0)</f>
        <v>1</v>
      </c>
      <c r="BM34" s="9" t="n">
        <f aca="false">IF(BM17&gt;=8,1,0)</f>
        <v>1</v>
      </c>
      <c r="BN34" s="9" t="n">
        <f aca="false">IF(BN17&gt;=8,1,0)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375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376</v>
      </c>
      <c r="J5" s="3" t="s">
        <v>377</v>
      </c>
      <c r="K5" s="3" t="s">
        <v>378</v>
      </c>
      <c r="L5" s="3" t="s">
        <v>379</v>
      </c>
      <c r="M5" s="3" t="s">
        <v>380</v>
      </c>
      <c r="N5" s="3" t="s">
        <v>381</v>
      </c>
      <c r="O5" s="3" t="s">
        <v>382</v>
      </c>
      <c r="P5" s="3" t="s">
        <v>383</v>
      </c>
      <c r="Q5" s="3" t="s">
        <v>384</v>
      </c>
      <c r="R5" s="3" t="s">
        <v>385</v>
      </c>
      <c r="S5" s="3" t="s">
        <v>386</v>
      </c>
      <c r="T5" s="3" t="s">
        <v>387</v>
      </c>
      <c r="U5" s="3" t="s">
        <v>388</v>
      </c>
      <c r="V5" s="3" t="s">
        <v>389</v>
      </c>
      <c r="W5" s="3" t="s">
        <v>390</v>
      </c>
      <c r="X5" s="3" t="s">
        <v>391</v>
      </c>
      <c r="Y5" s="3" t="s">
        <v>392</v>
      </c>
      <c r="Z5" s="3" t="s">
        <v>393</v>
      </c>
      <c r="AA5" s="3" t="s">
        <v>394</v>
      </c>
      <c r="AB5" s="3" t="s">
        <v>395</v>
      </c>
      <c r="AC5" s="3" t="s">
        <v>396</v>
      </c>
      <c r="AD5" s="3" t="s">
        <v>397</v>
      </c>
      <c r="AE5" s="3" t="s">
        <v>398</v>
      </c>
      <c r="AF5" s="3" t="s">
        <v>399</v>
      </c>
      <c r="AG5" s="3" t="s">
        <v>400</v>
      </c>
      <c r="AH5" s="3" t="s">
        <v>401</v>
      </c>
      <c r="AI5" s="3" t="s">
        <v>402</v>
      </c>
      <c r="AJ5" s="3" t="s">
        <v>403</v>
      </c>
      <c r="AK5" s="3" t="s">
        <v>404</v>
      </c>
      <c r="AL5" s="3" t="s">
        <v>405</v>
      </c>
      <c r="AM5" s="3" t="s">
        <v>406</v>
      </c>
      <c r="AN5" s="3" t="s">
        <v>407</v>
      </c>
      <c r="AO5" s="3" t="s">
        <v>408</v>
      </c>
      <c r="AP5" s="3" t="s">
        <v>409</v>
      </c>
      <c r="AQ5" s="3" t="s">
        <v>410</v>
      </c>
      <c r="AR5" s="3" t="s">
        <v>411</v>
      </c>
      <c r="AS5" s="3" t="s">
        <v>412</v>
      </c>
      <c r="AT5" s="3" t="s">
        <v>413</v>
      </c>
      <c r="AU5" s="3" t="s">
        <v>414</v>
      </c>
      <c r="AV5" s="3" t="s">
        <v>415</v>
      </c>
      <c r="AW5" s="3" t="s">
        <v>416</v>
      </c>
      <c r="AX5" s="3" t="s">
        <v>417</v>
      </c>
      <c r="AY5" s="3" t="s">
        <v>418</v>
      </c>
      <c r="AZ5" s="3" t="s">
        <v>419</v>
      </c>
      <c r="BA5" s="3" t="s">
        <v>420</v>
      </c>
      <c r="BB5" s="3" t="s">
        <v>421</v>
      </c>
      <c r="BC5" s="3" t="s">
        <v>422</v>
      </c>
      <c r="BD5" s="3" t="s">
        <v>423</v>
      </c>
      <c r="BE5" s="3" t="s">
        <v>424</v>
      </c>
      <c r="BF5" s="3" t="s">
        <v>425</v>
      </c>
      <c r="BG5" s="3" t="s">
        <v>426</v>
      </c>
      <c r="BH5" s="3" t="s">
        <v>427</v>
      </c>
      <c r="BI5" s="3" t="s">
        <v>428</v>
      </c>
      <c r="BJ5" s="3" t="s">
        <v>429</v>
      </c>
    </row>
    <row r="7" customFormat="false" ht="15" hidden="false" customHeight="false" outlineLevel="0" collapsed="false">
      <c r="B7" s="2" t="s">
        <v>430</v>
      </c>
    </row>
    <row r="8" customFormat="false" ht="15" hidden="false" customHeight="false" outlineLevel="0" collapsed="false">
      <c r="D8" s="0" t="s">
        <v>431</v>
      </c>
      <c r="E8" s="0" t="s">
        <v>91</v>
      </c>
      <c r="J8" s="9" t="n">
        <f aca="false">1</f>
        <v>1</v>
      </c>
      <c r="K8" s="9" t="n">
        <f aca="false">2</f>
        <v>2</v>
      </c>
      <c r="L8" s="9" t="n">
        <f aca="false">3</f>
        <v>3</v>
      </c>
      <c r="M8" s="9" t="n">
        <f aca="false">4</f>
        <v>4</v>
      </c>
      <c r="N8" s="9" t="n">
        <f aca="false">5</f>
        <v>5</v>
      </c>
      <c r="O8" s="9" t="n">
        <f aca="false">6</f>
        <v>6</v>
      </c>
      <c r="P8" s="9" t="n">
        <f aca="false">7</f>
        <v>7</v>
      </c>
      <c r="Q8" s="9" t="n">
        <f aca="false">8</f>
        <v>8</v>
      </c>
      <c r="R8" s="9" t="n">
        <f aca="false">9</f>
        <v>9</v>
      </c>
      <c r="S8" s="9" t="n">
        <f aca="false">10</f>
        <v>10</v>
      </c>
      <c r="T8" s="9" t="n">
        <f aca="false">11</f>
        <v>11</v>
      </c>
      <c r="U8" s="9" t="n">
        <f aca="false">12</f>
        <v>12</v>
      </c>
      <c r="V8" s="9" t="n">
        <f aca="false">13</f>
        <v>13</v>
      </c>
      <c r="W8" s="9" t="n">
        <f aca="false">14</f>
        <v>14</v>
      </c>
      <c r="X8" s="9" t="n">
        <f aca="false">15</f>
        <v>15</v>
      </c>
      <c r="Y8" s="9" t="n">
        <f aca="false">16</f>
        <v>16</v>
      </c>
      <c r="Z8" s="9" t="n">
        <f aca="false">17</f>
        <v>17</v>
      </c>
      <c r="AA8" s="9" t="n">
        <f aca="false">18</f>
        <v>18</v>
      </c>
      <c r="AB8" s="9" t="n">
        <f aca="false">19</f>
        <v>19</v>
      </c>
      <c r="AC8" s="9" t="n">
        <f aca="false">20</f>
        <v>20</v>
      </c>
      <c r="AD8" s="9" t="n">
        <f aca="false">21</f>
        <v>21</v>
      </c>
      <c r="AE8" s="9" t="n">
        <f aca="false">22</f>
        <v>22</v>
      </c>
      <c r="AF8" s="9" t="n">
        <f aca="false">23</f>
        <v>23</v>
      </c>
      <c r="AG8" s="9" t="n">
        <f aca="false">24</f>
        <v>24</v>
      </c>
      <c r="AH8" s="9" t="n">
        <f aca="false">25</f>
        <v>25</v>
      </c>
      <c r="AI8" s="9" t="n">
        <f aca="false">26</f>
        <v>26</v>
      </c>
      <c r="AJ8" s="9" t="n">
        <f aca="false">27</f>
        <v>27</v>
      </c>
      <c r="AK8" s="9" t="n">
        <f aca="false">28</f>
        <v>28</v>
      </c>
      <c r="AL8" s="9" t="n">
        <f aca="false">29</f>
        <v>29</v>
      </c>
      <c r="AM8" s="9" t="n">
        <f aca="false">30</f>
        <v>30</v>
      </c>
      <c r="AN8" s="9" t="n">
        <f aca="false">31</f>
        <v>31</v>
      </c>
      <c r="AO8" s="9" t="n">
        <f aca="false">32</f>
        <v>32</v>
      </c>
      <c r="AP8" s="9" t="n">
        <f aca="false">33</f>
        <v>33</v>
      </c>
      <c r="AQ8" s="9" t="n">
        <f aca="false">34</f>
        <v>34</v>
      </c>
      <c r="AR8" s="9" t="n">
        <f aca="false">35</f>
        <v>35</v>
      </c>
      <c r="AS8" s="9" t="n">
        <f aca="false">36</f>
        <v>36</v>
      </c>
      <c r="AT8" s="9" t="n">
        <f aca="false">37</f>
        <v>37</v>
      </c>
      <c r="AU8" s="9" t="n">
        <f aca="false">38</f>
        <v>38</v>
      </c>
      <c r="AV8" s="9" t="n">
        <f aca="false">39</f>
        <v>39</v>
      </c>
      <c r="AW8" s="9" t="n">
        <f aca="false">40</f>
        <v>40</v>
      </c>
      <c r="AX8" s="9" t="n">
        <f aca="false">41</f>
        <v>41</v>
      </c>
      <c r="AY8" s="9" t="n">
        <f aca="false">42</f>
        <v>42</v>
      </c>
      <c r="AZ8" s="9" t="n">
        <f aca="false">43</f>
        <v>43</v>
      </c>
      <c r="BA8" s="9" t="n">
        <f aca="false">44</f>
        <v>44</v>
      </c>
      <c r="BB8" s="9" t="n">
        <f aca="false">45</f>
        <v>45</v>
      </c>
      <c r="BC8" s="9" t="n">
        <f aca="false">46</f>
        <v>46</v>
      </c>
      <c r="BD8" s="9" t="n">
        <f aca="false">47</f>
        <v>47</v>
      </c>
      <c r="BE8" s="9" t="n">
        <f aca="false">48</f>
        <v>48</v>
      </c>
      <c r="BF8" s="9" t="n">
        <f aca="false">49</f>
        <v>49</v>
      </c>
      <c r="BG8" s="9" t="n">
        <f aca="false">50</f>
        <v>50</v>
      </c>
      <c r="BH8" s="9" t="n">
        <f aca="false">51</f>
        <v>51</v>
      </c>
      <c r="BI8" s="9" t="n">
        <f aca="false">52</f>
        <v>52</v>
      </c>
      <c r="BJ8" s="9" t="n">
        <f aca="false">53</f>
        <v>53</v>
      </c>
    </row>
    <row r="9" customFormat="false" ht="15" hidden="false" customHeight="false" outlineLevel="0" collapsed="false">
      <c r="D9" s="0" t="s">
        <v>432</v>
      </c>
      <c r="E9" s="0" t="s">
        <v>349</v>
      </c>
      <c r="J9" s="8" t="n">
        <f aca="false">DATE(2018,8,1)</f>
        <v>43313</v>
      </c>
      <c r="K9" s="8" t="n">
        <f aca="false">EDATE(J9,1)</f>
        <v>43344</v>
      </c>
      <c r="L9" s="8" t="n">
        <f aca="false">EDATE(K9,1)</f>
        <v>43374</v>
      </c>
      <c r="M9" s="8" t="n">
        <f aca="false">EDATE(L9,1)</f>
        <v>43405</v>
      </c>
      <c r="N9" s="8" t="n">
        <f aca="false">EDATE(M9,1)</f>
        <v>43435</v>
      </c>
      <c r="O9" s="8" t="n">
        <f aca="false">EDATE(N9,1)</f>
        <v>43466</v>
      </c>
      <c r="P9" s="8" t="n">
        <f aca="false">EDATE(O9,1)</f>
        <v>43497</v>
      </c>
      <c r="Q9" s="8" t="n">
        <f aca="false">EDATE(P9,1)</f>
        <v>43525</v>
      </c>
      <c r="R9" s="8" t="n">
        <f aca="false">EDATE(Q9,1)</f>
        <v>43556</v>
      </c>
      <c r="S9" s="8" t="n">
        <f aca="false">EDATE(R9,1)</f>
        <v>43586</v>
      </c>
      <c r="T9" s="8" t="n">
        <f aca="false">EDATE(S9,1)</f>
        <v>43617</v>
      </c>
      <c r="U9" s="8" t="n">
        <f aca="false">EDATE(T9,1)</f>
        <v>43647</v>
      </c>
      <c r="V9" s="8" t="n">
        <f aca="false">EDATE(U9,1)</f>
        <v>43678</v>
      </c>
      <c r="W9" s="8" t="n">
        <f aca="false">EDATE(V9,1)</f>
        <v>43709</v>
      </c>
      <c r="X9" s="8" t="n">
        <f aca="false">EDATE(W9,1)</f>
        <v>43739</v>
      </c>
      <c r="Y9" s="8" t="n">
        <f aca="false">EDATE(X9,1)</f>
        <v>43770</v>
      </c>
      <c r="Z9" s="8" t="n">
        <f aca="false">EDATE(Y9,1)</f>
        <v>43800</v>
      </c>
      <c r="AA9" s="8" t="n">
        <f aca="false">EDATE(Z9,1)</f>
        <v>43831</v>
      </c>
      <c r="AB9" s="8" t="n">
        <f aca="false">EDATE(AA9,1)</f>
        <v>43862</v>
      </c>
      <c r="AC9" s="8" t="n">
        <f aca="false">EDATE(AB9,1)</f>
        <v>43891</v>
      </c>
      <c r="AD9" s="8" t="n">
        <f aca="false">EDATE(AC9,1)</f>
        <v>43922</v>
      </c>
      <c r="AE9" s="8" t="n">
        <f aca="false">EDATE(AD9,1)</f>
        <v>43952</v>
      </c>
      <c r="AF9" s="8" t="n">
        <f aca="false">EDATE(AE9,1)</f>
        <v>43983</v>
      </c>
      <c r="AG9" s="8" t="n">
        <f aca="false">EDATE(AF9,1)</f>
        <v>44013</v>
      </c>
      <c r="AH9" s="8" t="n">
        <f aca="false">EDATE(AG9,1)</f>
        <v>44044</v>
      </c>
      <c r="AI9" s="8" t="n">
        <f aca="false">EDATE(AH9,1)</f>
        <v>44075</v>
      </c>
      <c r="AJ9" s="8" t="n">
        <f aca="false">EDATE(AI9,1)</f>
        <v>44105</v>
      </c>
      <c r="AK9" s="8" t="n">
        <f aca="false">EDATE(AJ9,1)</f>
        <v>44136</v>
      </c>
      <c r="AL9" s="8" t="n">
        <f aca="false">EDATE(AK9,1)</f>
        <v>44166</v>
      </c>
      <c r="AM9" s="8" t="n">
        <f aca="false">EDATE(AL9,1)</f>
        <v>44197</v>
      </c>
      <c r="AN9" s="8" t="n">
        <f aca="false">EDATE(AM9,1)</f>
        <v>44228</v>
      </c>
      <c r="AO9" s="8" t="n">
        <f aca="false">EDATE(AN9,1)</f>
        <v>44256</v>
      </c>
      <c r="AP9" s="8" t="n">
        <f aca="false">EDATE(AO9,1)</f>
        <v>44287</v>
      </c>
      <c r="AQ9" s="8" t="n">
        <f aca="false">EDATE(AP9,1)</f>
        <v>44317</v>
      </c>
      <c r="AR9" s="8" t="n">
        <f aca="false">EDATE(AQ9,1)</f>
        <v>44348</v>
      </c>
      <c r="AS9" s="8" t="n">
        <f aca="false">EDATE(AR9,1)</f>
        <v>44378</v>
      </c>
      <c r="AT9" s="8" t="n">
        <f aca="false">EDATE(AS9,1)</f>
        <v>44409</v>
      </c>
      <c r="AU9" s="8" t="n">
        <f aca="false">EDATE(AT9,1)</f>
        <v>44440</v>
      </c>
      <c r="AV9" s="8" t="n">
        <f aca="false">EDATE(AU9,1)</f>
        <v>44470</v>
      </c>
      <c r="AW9" s="8" t="n">
        <f aca="false">EDATE(AV9,1)</f>
        <v>44501</v>
      </c>
      <c r="AX9" s="8" t="n">
        <f aca="false">EDATE(AW9,1)</f>
        <v>44531</v>
      </c>
      <c r="AY9" s="8" t="n">
        <f aca="false">EDATE(AX9,1)</f>
        <v>44562</v>
      </c>
      <c r="AZ9" s="8" t="n">
        <f aca="false">EDATE(AY9,1)</f>
        <v>44593</v>
      </c>
      <c r="BA9" s="8" t="n">
        <f aca="false">EDATE(AZ9,1)</f>
        <v>44621</v>
      </c>
      <c r="BB9" s="8" t="n">
        <f aca="false">EDATE(BA9,1)</f>
        <v>44652</v>
      </c>
      <c r="BC9" s="8" t="n">
        <f aca="false">EDATE(BB9,1)</f>
        <v>44682</v>
      </c>
      <c r="BD9" s="8" t="n">
        <f aca="false">EDATE(BC9,1)</f>
        <v>44713</v>
      </c>
      <c r="BE9" s="8" t="n">
        <f aca="false">EDATE(BD9,1)</f>
        <v>44743</v>
      </c>
      <c r="BF9" s="8" t="n">
        <f aca="false">EDATE(BE9,1)</f>
        <v>44774</v>
      </c>
      <c r="BG9" s="8" t="n">
        <f aca="false">EDATE(BF9,1)</f>
        <v>44805</v>
      </c>
      <c r="BH9" s="8" t="n">
        <f aca="false">EDATE(BG9,1)</f>
        <v>44835</v>
      </c>
      <c r="BI9" s="8" t="n">
        <f aca="false">EDATE(BH9,1)</f>
        <v>44866</v>
      </c>
      <c r="BJ9" s="8" t="n">
        <f aca="false">EDATE(BI9,1)</f>
        <v>44896</v>
      </c>
    </row>
    <row r="10" customFormat="false" ht="15" hidden="false" customHeight="false" outlineLevel="0" collapsed="false">
      <c r="D10" s="0" t="s">
        <v>433</v>
      </c>
      <c r="E10" s="0" t="s">
        <v>349</v>
      </c>
      <c r="J10" s="8" t="n">
        <f aca="false">EOMONTH(J9,0)</f>
        <v>43343</v>
      </c>
      <c r="K10" s="8" t="n">
        <f aca="false">EOMONTH(K9,0)</f>
        <v>43373</v>
      </c>
      <c r="L10" s="8" t="n">
        <f aca="false">EOMONTH(L9,0)</f>
        <v>43404</v>
      </c>
      <c r="M10" s="8" t="n">
        <f aca="false">EOMONTH(M9,0)</f>
        <v>43434</v>
      </c>
      <c r="N10" s="8" t="n">
        <f aca="false">EOMONTH(N9,0)</f>
        <v>43465</v>
      </c>
      <c r="O10" s="8" t="n">
        <f aca="false">EOMONTH(O9,0)</f>
        <v>43496</v>
      </c>
      <c r="P10" s="8" t="n">
        <f aca="false">EOMONTH(P9,0)</f>
        <v>43524</v>
      </c>
      <c r="Q10" s="8" t="n">
        <f aca="false">EOMONTH(Q9,0)</f>
        <v>43555</v>
      </c>
      <c r="R10" s="8" t="n">
        <f aca="false">EOMONTH(R9,0)</f>
        <v>43585</v>
      </c>
      <c r="S10" s="8" t="n">
        <f aca="false">EOMONTH(S9,0)</f>
        <v>43616</v>
      </c>
      <c r="T10" s="8" t="n">
        <f aca="false">EOMONTH(T9,0)</f>
        <v>43646</v>
      </c>
      <c r="U10" s="8" t="n">
        <f aca="false">EOMONTH(U9,0)</f>
        <v>43677</v>
      </c>
      <c r="V10" s="8" t="n">
        <f aca="false">EOMONTH(V9,0)</f>
        <v>43708</v>
      </c>
      <c r="W10" s="8" t="n">
        <f aca="false">EOMONTH(W9,0)</f>
        <v>43738</v>
      </c>
      <c r="X10" s="8" t="n">
        <f aca="false">EOMONTH(X9,0)</f>
        <v>43769</v>
      </c>
      <c r="Y10" s="8" t="n">
        <f aca="false">EOMONTH(Y9,0)</f>
        <v>43799</v>
      </c>
      <c r="Z10" s="8" t="n">
        <f aca="false">EOMONTH(Z9,0)</f>
        <v>43830</v>
      </c>
      <c r="AA10" s="8" t="n">
        <f aca="false">EOMONTH(AA9,0)</f>
        <v>43861</v>
      </c>
      <c r="AB10" s="8" t="n">
        <f aca="false">EOMONTH(AB9,0)</f>
        <v>43890</v>
      </c>
      <c r="AC10" s="8" t="n">
        <f aca="false">EOMONTH(AC9,0)</f>
        <v>43921</v>
      </c>
      <c r="AD10" s="8" t="n">
        <f aca="false">EOMONTH(AD9,0)</f>
        <v>43951</v>
      </c>
      <c r="AE10" s="8" t="n">
        <f aca="false">EOMONTH(AE9,0)</f>
        <v>43982</v>
      </c>
      <c r="AF10" s="8" t="n">
        <f aca="false">EOMONTH(AF9,0)</f>
        <v>44012</v>
      </c>
      <c r="AG10" s="8" t="n">
        <f aca="false">EOMONTH(AG9,0)</f>
        <v>44043</v>
      </c>
      <c r="AH10" s="8" t="n">
        <f aca="false">EOMONTH(AH9,0)</f>
        <v>44074</v>
      </c>
      <c r="AI10" s="8" t="n">
        <f aca="false">EOMONTH(AI9,0)</f>
        <v>44104</v>
      </c>
      <c r="AJ10" s="8" t="n">
        <f aca="false">EOMONTH(AJ9,0)</f>
        <v>44135</v>
      </c>
      <c r="AK10" s="8" t="n">
        <f aca="false">EOMONTH(AK9,0)</f>
        <v>44165</v>
      </c>
      <c r="AL10" s="8" t="n">
        <f aca="false">EOMONTH(AL9,0)</f>
        <v>44196</v>
      </c>
      <c r="AM10" s="8" t="n">
        <f aca="false">EOMONTH(AM9,0)</f>
        <v>44227</v>
      </c>
      <c r="AN10" s="8" t="n">
        <f aca="false">EOMONTH(AN9,0)</f>
        <v>44255</v>
      </c>
      <c r="AO10" s="8" t="n">
        <f aca="false">EOMONTH(AO9,0)</f>
        <v>44286</v>
      </c>
      <c r="AP10" s="8" t="n">
        <f aca="false">EOMONTH(AP9,0)</f>
        <v>44316</v>
      </c>
      <c r="AQ10" s="8" t="n">
        <f aca="false">EOMONTH(AQ9,0)</f>
        <v>44347</v>
      </c>
      <c r="AR10" s="8" t="n">
        <f aca="false">EOMONTH(AR9,0)</f>
        <v>44377</v>
      </c>
      <c r="AS10" s="8" t="n">
        <f aca="false">EOMONTH(AS9,0)</f>
        <v>44408</v>
      </c>
      <c r="AT10" s="8" t="n">
        <f aca="false">EOMONTH(AT9,0)</f>
        <v>44439</v>
      </c>
      <c r="AU10" s="8" t="n">
        <f aca="false">EOMONTH(AU9,0)</f>
        <v>44469</v>
      </c>
      <c r="AV10" s="8" t="n">
        <f aca="false">EOMONTH(AV9,0)</f>
        <v>44500</v>
      </c>
      <c r="AW10" s="8" t="n">
        <f aca="false">EOMONTH(AW9,0)</f>
        <v>44530</v>
      </c>
      <c r="AX10" s="8" t="n">
        <f aca="false">EOMONTH(AX9,0)</f>
        <v>44561</v>
      </c>
      <c r="AY10" s="8" t="n">
        <f aca="false">EOMONTH(AY9,0)</f>
        <v>44592</v>
      </c>
      <c r="AZ10" s="8" t="n">
        <f aca="false">EOMONTH(AZ9,0)</f>
        <v>44620</v>
      </c>
      <c r="BA10" s="8" t="n">
        <f aca="false">EOMONTH(BA9,0)</f>
        <v>44651</v>
      </c>
      <c r="BB10" s="8" t="n">
        <f aca="false">EOMONTH(BB9,0)</f>
        <v>44681</v>
      </c>
      <c r="BC10" s="8" t="n">
        <f aca="false">EOMONTH(BC9,0)</f>
        <v>44712</v>
      </c>
      <c r="BD10" s="8" t="n">
        <f aca="false">EOMONTH(BD9,0)</f>
        <v>44742</v>
      </c>
      <c r="BE10" s="8" t="n">
        <f aca="false">EOMONTH(BE9,0)</f>
        <v>44773</v>
      </c>
      <c r="BF10" s="8" t="n">
        <f aca="false">EOMONTH(BF9,0)</f>
        <v>44804</v>
      </c>
      <c r="BG10" s="8" t="n">
        <f aca="false">EOMONTH(BG9,0)</f>
        <v>44834</v>
      </c>
      <c r="BH10" s="8" t="n">
        <f aca="false">EOMONTH(BH9,0)</f>
        <v>44865</v>
      </c>
      <c r="BI10" s="8" t="n">
        <f aca="false">EOMONTH(BI9,0)</f>
        <v>44895</v>
      </c>
      <c r="BJ10" s="8" t="n">
        <f aca="false">EOMONTH(BJ9,0)</f>
        <v>44926</v>
      </c>
    </row>
    <row r="11" customFormat="false" ht="15" hidden="false" customHeight="false" outlineLevel="0" collapsed="false">
      <c r="D11" s="0" t="s">
        <v>434</v>
      </c>
      <c r="E11" s="0" t="s">
        <v>111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435</v>
      </c>
      <c r="E12" s="0" t="s">
        <v>91</v>
      </c>
      <c r="J12" s="9" t="n">
        <f aca="false">(YEAR(J9)-2018)*2+IF(MONTH(J9)&lt;=6,0,1)</f>
        <v>1</v>
      </c>
      <c r="K12" s="9" t="n">
        <f aca="false">(YEAR(K9)-2018)*2+IF(MONTH(K9)&lt;=6,0,1)</f>
        <v>1</v>
      </c>
      <c r="L12" s="9" t="n">
        <f aca="false">(YEAR(L9)-2018)*2+IF(MONTH(L9)&lt;=6,0,1)</f>
        <v>1</v>
      </c>
      <c r="M12" s="9" t="n">
        <f aca="false">(YEAR(M9)-2018)*2+IF(MONTH(M9)&lt;=6,0,1)</f>
        <v>1</v>
      </c>
      <c r="N12" s="9" t="n">
        <f aca="false">(YEAR(N9)-2018)*2+IF(MONTH(N9)&lt;=6,0,1)</f>
        <v>1</v>
      </c>
      <c r="O12" s="9" t="n">
        <f aca="false">(YEAR(O9)-2018)*2+IF(MONTH(O9)&lt;=6,0,1)</f>
        <v>2</v>
      </c>
      <c r="P12" s="9" t="n">
        <f aca="false">(YEAR(P9)-2018)*2+IF(MONTH(P9)&lt;=6,0,1)</f>
        <v>2</v>
      </c>
      <c r="Q12" s="9" t="n">
        <f aca="false">(YEAR(Q9)-2018)*2+IF(MONTH(Q9)&lt;=6,0,1)</f>
        <v>2</v>
      </c>
      <c r="R12" s="9" t="n">
        <f aca="false">(YEAR(R9)-2018)*2+IF(MONTH(R9)&lt;=6,0,1)</f>
        <v>2</v>
      </c>
      <c r="S12" s="9" t="n">
        <f aca="false">(YEAR(S9)-2018)*2+IF(MONTH(S9)&lt;=6,0,1)</f>
        <v>2</v>
      </c>
      <c r="T12" s="9" t="n">
        <f aca="false">(YEAR(T9)-2018)*2+IF(MONTH(T9)&lt;=6,0,1)</f>
        <v>2</v>
      </c>
      <c r="U12" s="9" t="n">
        <f aca="false">(YEAR(U9)-2018)*2+IF(MONTH(U9)&lt;=6,0,1)</f>
        <v>3</v>
      </c>
      <c r="V12" s="9" t="n">
        <f aca="false">(YEAR(V9)-2018)*2+IF(MONTH(V9)&lt;=6,0,1)</f>
        <v>3</v>
      </c>
      <c r="W12" s="9" t="n">
        <f aca="false">(YEAR(W9)-2018)*2+IF(MONTH(W9)&lt;=6,0,1)</f>
        <v>3</v>
      </c>
      <c r="X12" s="9" t="n">
        <f aca="false">(YEAR(X9)-2018)*2+IF(MONTH(X9)&lt;=6,0,1)</f>
        <v>3</v>
      </c>
      <c r="Y12" s="9" t="n">
        <f aca="false">(YEAR(Y9)-2018)*2+IF(MONTH(Y9)&lt;=6,0,1)</f>
        <v>3</v>
      </c>
      <c r="Z12" s="9" t="n">
        <f aca="false">(YEAR(Z9)-2018)*2+IF(MONTH(Z9)&lt;=6,0,1)</f>
        <v>3</v>
      </c>
      <c r="AA12" s="9" t="n">
        <f aca="false">(YEAR(AA9)-2018)*2+IF(MONTH(AA9)&lt;=6,0,1)</f>
        <v>4</v>
      </c>
      <c r="AB12" s="9" t="n">
        <f aca="false">(YEAR(AB9)-2018)*2+IF(MONTH(AB9)&lt;=6,0,1)</f>
        <v>4</v>
      </c>
      <c r="AC12" s="9" t="n">
        <f aca="false">(YEAR(AC9)-2018)*2+IF(MONTH(AC9)&lt;=6,0,1)</f>
        <v>4</v>
      </c>
      <c r="AD12" s="9" t="n">
        <f aca="false">(YEAR(AD9)-2018)*2+IF(MONTH(AD9)&lt;=6,0,1)</f>
        <v>4</v>
      </c>
      <c r="AE12" s="9" t="n">
        <f aca="false">(YEAR(AE9)-2018)*2+IF(MONTH(AE9)&lt;=6,0,1)</f>
        <v>4</v>
      </c>
      <c r="AF12" s="9" t="n">
        <f aca="false">(YEAR(AF9)-2018)*2+IF(MONTH(AF9)&lt;=6,0,1)</f>
        <v>4</v>
      </c>
      <c r="AG12" s="9" t="n">
        <f aca="false">(YEAR(AG9)-2018)*2+IF(MONTH(AG9)&lt;=6,0,1)</f>
        <v>5</v>
      </c>
      <c r="AH12" s="9" t="n">
        <f aca="false">(YEAR(AH9)-2018)*2+IF(MONTH(AH9)&lt;=6,0,1)</f>
        <v>5</v>
      </c>
      <c r="AI12" s="9" t="n">
        <f aca="false">(YEAR(AI9)-2018)*2+IF(MONTH(AI9)&lt;=6,0,1)</f>
        <v>5</v>
      </c>
      <c r="AJ12" s="9" t="n">
        <f aca="false">(YEAR(AJ9)-2018)*2+IF(MONTH(AJ9)&lt;=6,0,1)</f>
        <v>5</v>
      </c>
      <c r="AK12" s="9" t="n">
        <f aca="false">(YEAR(AK9)-2018)*2+IF(MONTH(AK9)&lt;=6,0,1)</f>
        <v>5</v>
      </c>
      <c r="AL12" s="9" t="n">
        <f aca="false">(YEAR(AL9)-2018)*2+IF(MONTH(AL9)&lt;=6,0,1)</f>
        <v>5</v>
      </c>
      <c r="AM12" s="9" t="n">
        <f aca="false">(YEAR(AM9)-2018)*2+IF(MONTH(AM9)&lt;=6,0,1)</f>
        <v>6</v>
      </c>
      <c r="AN12" s="9" t="n">
        <f aca="false">(YEAR(AN9)-2018)*2+IF(MONTH(AN9)&lt;=6,0,1)</f>
        <v>6</v>
      </c>
      <c r="AO12" s="9" t="n">
        <f aca="false">(YEAR(AO9)-2018)*2+IF(MONTH(AO9)&lt;=6,0,1)</f>
        <v>6</v>
      </c>
      <c r="AP12" s="9" t="n">
        <f aca="false">(YEAR(AP9)-2018)*2+IF(MONTH(AP9)&lt;=6,0,1)</f>
        <v>6</v>
      </c>
      <c r="AQ12" s="9" t="n">
        <f aca="false">(YEAR(AQ9)-2018)*2+IF(MONTH(AQ9)&lt;=6,0,1)</f>
        <v>6</v>
      </c>
      <c r="AR12" s="9" t="n">
        <f aca="false">(YEAR(AR9)-2018)*2+IF(MONTH(AR9)&lt;=6,0,1)</f>
        <v>6</v>
      </c>
      <c r="AS12" s="9" t="n">
        <f aca="false">(YEAR(AS9)-2018)*2+IF(MONTH(AS9)&lt;=6,0,1)</f>
        <v>7</v>
      </c>
      <c r="AT12" s="9" t="n">
        <f aca="false">(YEAR(AT9)-2018)*2+IF(MONTH(AT9)&lt;=6,0,1)</f>
        <v>7</v>
      </c>
      <c r="AU12" s="9" t="n">
        <f aca="false">(YEAR(AU9)-2018)*2+IF(MONTH(AU9)&lt;=6,0,1)</f>
        <v>7</v>
      </c>
      <c r="AV12" s="9" t="n">
        <f aca="false">(YEAR(AV9)-2018)*2+IF(MONTH(AV9)&lt;=6,0,1)</f>
        <v>7</v>
      </c>
      <c r="AW12" s="9" t="n">
        <f aca="false">(YEAR(AW9)-2018)*2+IF(MONTH(AW9)&lt;=6,0,1)</f>
        <v>7</v>
      </c>
      <c r="AX12" s="9" t="n">
        <f aca="false">(YEAR(AX9)-2018)*2+IF(MONTH(AX9)&lt;=6,0,1)</f>
        <v>7</v>
      </c>
      <c r="AY12" s="9" t="n">
        <f aca="false">(YEAR(AY9)-2018)*2+IF(MONTH(AY9)&lt;=6,0,1)</f>
        <v>8</v>
      </c>
      <c r="AZ12" s="9" t="n">
        <f aca="false">(YEAR(AZ9)-2018)*2+IF(MONTH(AZ9)&lt;=6,0,1)</f>
        <v>8</v>
      </c>
      <c r="BA12" s="9" t="n">
        <f aca="false">(YEAR(BA9)-2018)*2+IF(MONTH(BA9)&lt;=6,0,1)</f>
        <v>8</v>
      </c>
      <c r="BB12" s="9" t="n">
        <f aca="false">(YEAR(BB9)-2018)*2+IF(MONTH(BB9)&lt;=6,0,1)</f>
        <v>8</v>
      </c>
      <c r="BC12" s="9" t="n">
        <f aca="false">(YEAR(BC9)-2018)*2+IF(MONTH(BC9)&lt;=6,0,1)</f>
        <v>8</v>
      </c>
      <c r="BD12" s="9" t="n">
        <f aca="false">(YEAR(BD9)-2018)*2+IF(MONTH(BD9)&lt;=6,0,1)</f>
        <v>8</v>
      </c>
      <c r="BE12" s="9" t="n">
        <f aca="false">(YEAR(BE9)-2018)*2+IF(MONTH(BE9)&lt;=6,0,1)</f>
        <v>9</v>
      </c>
      <c r="BF12" s="9" t="n">
        <f aca="false">(YEAR(BF9)-2018)*2+IF(MONTH(BF9)&lt;=6,0,1)</f>
        <v>9</v>
      </c>
      <c r="BG12" s="9" t="n">
        <f aca="false">(YEAR(BG9)-2018)*2+IF(MONTH(BG9)&lt;=6,0,1)</f>
        <v>9</v>
      </c>
      <c r="BH12" s="9" t="n">
        <f aca="false">(YEAR(BH9)-2018)*2+IF(MONTH(BH9)&lt;=6,0,1)</f>
        <v>9</v>
      </c>
      <c r="BI12" s="9" t="n">
        <f aca="false">(YEAR(BI9)-2018)*2+IF(MONTH(BI9)&lt;=6,0,1)</f>
        <v>9</v>
      </c>
      <c r="BJ12" s="9" t="n">
        <f aca="false">(YEAR(BJ9)-2018)*2+IF(MONTH(BJ9)&lt;=6,0,1)</f>
        <v>9</v>
      </c>
    </row>
    <row r="13" customFormat="false" ht="15" hidden="false" customHeight="false" outlineLevel="0" collapsed="false">
      <c r="D13" s="0" t="s">
        <v>436</v>
      </c>
      <c r="E13" s="0" t="s">
        <v>113</v>
      </c>
      <c r="J13" s="9" t="n">
        <f aca="false">IF(J8&lt;=Time!$F$10,1,0)</f>
        <v>1</v>
      </c>
      <c r="K13" s="9" t="n">
        <f aca="false">IF(K8&lt;=Time!$F$10,1,0)</f>
        <v>1</v>
      </c>
      <c r="L13" s="9" t="n">
        <f aca="false">IF(L8&lt;=Time!$F$10,1,0)</f>
        <v>1</v>
      </c>
      <c r="M13" s="9" t="n">
        <f aca="false">IF(M8&lt;=Time!$F$10,1,0)</f>
        <v>1</v>
      </c>
      <c r="N13" s="9" t="n">
        <f aca="false">IF(N8&lt;=Time!$F$10,1,0)</f>
        <v>1</v>
      </c>
      <c r="O13" s="9" t="n">
        <f aca="false">IF(O8&lt;=Time!$F$10,1,0)</f>
        <v>1</v>
      </c>
      <c r="P13" s="9" t="n">
        <f aca="false">IF(P8&lt;=Time!$F$10,1,0)</f>
        <v>1</v>
      </c>
      <c r="Q13" s="9" t="n">
        <f aca="false">IF(Q8&lt;=Time!$F$10,1,0)</f>
        <v>1</v>
      </c>
      <c r="R13" s="9" t="n">
        <f aca="false">IF(R8&lt;=Time!$F$10,1,0)</f>
        <v>1</v>
      </c>
      <c r="S13" s="9" t="n">
        <f aca="false">IF(S8&lt;=Time!$F$10,1,0)</f>
        <v>1</v>
      </c>
      <c r="T13" s="9" t="n">
        <f aca="false">IF(T8&lt;=Time!$F$10,1,0)</f>
        <v>1</v>
      </c>
      <c r="U13" s="9" t="n">
        <f aca="false">IF(U8&lt;=Time!$F$10,1,0)</f>
        <v>1</v>
      </c>
      <c r="V13" s="9" t="n">
        <f aca="false">IF(V8&lt;=Time!$F$10,1,0)</f>
        <v>1</v>
      </c>
      <c r="W13" s="9" t="n">
        <f aca="false">IF(W8&lt;=Time!$F$10,1,0)</f>
        <v>1</v>
      </c>
      <c r="X13" s="9" t="n">
        <f aca="false">IF(X8&lt;=Time!$F$10,1,0)</f>
        <v>1</v>
      </c>
      <c r="Y13" s="9" t="n">
        <f aca="false">IF(Y8&lt;=Time!$F$10,1,0)</f>
        <v>1</v>
      </c>
      <c r="Z13" s="9" t="n">
        <f aca="false">IF(Z8&lt;=Time!$F$10,1,0)</f>
        <v>1</v>
      </c>
      <c r="AA13" s="9" t="n">
        <f aca="false">IF(AA8&lt;=Time!$F$10,1,0)</f>
        <v>1</v>
      </c>
      <c r="AB13" s="9" t="n">
        <f aca="false">IF(AB8&lt;=Time!$F$10,1,0)</f>
        <v>1</v>
      </c>
      <c r="AC13" s="9" t="n">
        <f aca="false">IF(AC8&lt;=Time!$F$10,1,0)</f>
        <v>1</v>
      </c>
      <c r="AD13" s="9" t="n">
        <f aca="false">IF(AD8&lt;=Time!$F$10,1,0)</f>
        <v>1</v>
      </c>
      <c r="AE13" s="9" t="n">
        <f aca="false">IF(AE8&lt;=Time!$F$10,1,0)</f>
        <v>1</v>
      </c>
      <c r="AF13" s="9" t="n">
        <f aca="false">IF(AF8&lt;=Time!$F$10,1,0)</f>
        <v>1</v>
      </c>
      <c r="AG13" s="9" t="n">
        <f aca="false">IF(AG8&lt;=Time!$F$10,1,0)</f>
        <v>1</v>
      </c>
      <c r="AH13" s="9" t="n">
        <f aca="false">IF(AH8&lt;=Time!$F$10,1,0)</f>
        <v>1</v>
      </c>
      <c r="AI13" s="9" t="n">
        <f aca="false">IF(AI8&lt;=Time!$F$10,1,0)</f>
        <v>1</v>
      </c>
      <c r="AJ13" s="9" t="n">
        <f aca="false">IF(AJ8&lt;=Time!$F$10,1,0)</f>
        <v>1</v>
      </c>
      <c r="AK13" s="9" t="n">
        <f aca="false">IF(AK8&lt;=Time!$F$10,1,0)</f>
        <v>1</v>
      </c>
      <c r="AL13" s="9" t="n">
        <f aca="false">IF(AL8&lt;=Time!$F$10,1,0)</f>
        <v>1</v>
      </c>
      <c r="AM13" s="9" t="n">
        <f aca="false">IF(AM8&lt;=Time!$F$10,1,0)</f>
        <v>1</v>
      </c>
      <c r="AN13" s="9" t="n">
        <f aca="false">IF(AN8&lt;=Time!$F$10,1,0)</f>
        <v>1</v>
      </c>
      <c r="AO13" s="9" t="n">
        <f aca="false">IF(AO8&lt;=Time!$F$10,1,0)</f>
        <v>1</v>
      </c>
      <c r="AP13" s="9" t="n">
        <f aca="false">IF(AP8&lt;=Time!$F$10,1,0)</f>
        <v>1</v>
      </c>
      <c r="AQ13" s="9" t="n">
        <f aca="false">IF(AQ8&lt;=Time!$F$10,1,0)</f>
        <v>1</v>
      </c>
      <c r="AR13" s="9" t="n">
        <f aca="false">IF(AR8&lt;=Time!$F$10,1,0)</f>
        <v>1</v>
      </c>
      <c r="AS13" s="9" t="n">
        <f aca="false">IF(AS8&lt;=Time!$F$10,1,0)</f>
        <v>1</v>
      </c>
      <c r="AT13" s="9" t="n">
        <f aca="false">IF(AT8&lt;=Time!$F$10,1,0)</f>
        <v>1</v>
      </c>
      <c r="AU13" s="9" t="n">
        <f aca="false">IF(AU8&lt;=Time!$F$10,1,0)</f>
        <v>1</v>
      </c>
      <c r="AV13" s="9" t="n">
        <f aca="false">IF(AV8&lt;=Time!$F$10,1,0)</f>
        <v>1</v>
      </c>
      <c r="AW13" s="9" t="n">
        <f aca="false">IF(AW8&lt;=Time!$F$10,1,0)</f>
        <v>1</v>
      </c>
      <c r="AX13" s="9" t="n">
        <f aca="false">IF(AX8&lt;=Time!$F$10,1,0)</f>
        <v>0</v>
      </c>
      <c r="AY13" s="9" t="n">
        <f aca="false">IF(AY8&lt;=Time!$F$10,1,0)</f>
        <v>0</v>
      </c>
      <c r="AZ13" s="9" t="n">
        <f aca="false">IF(AZ8&lt;=Time!$F$10,1,0)</f>
        <v>0</v>
      </c>
      <c r="BA13" s="9" t="n">
        <f aca="false">IF(BA8&lt;=Time!$F$10,1,0)</f>
        <v>0</v>
      </c>
      <c r="BB13" s="9" t="n">
        <f aca="false">IF(BB8&lt;=Time!$F$10,1,0)</f>
        <v>0</v>
      </c>
      <c r="BC13" s="9" t="n">
        <f aca="false">IF(BC8&lt;=Time!$F$10,1,0)</f>
        <v>0</v>
      </c>
      <c r="BD13" s="9" t="n">
        <f aca="false">IF(BD8&lt;=Time!$F$10,1,0)</f>
        <v>0</v>
      </c>
      <c r="BE13" s="9" t="n">
        <f aca="false">IF(BE8&lt;=Time!$F$10,1,0)</f>
        <v>0</v>
      </c>
      <c r="BF13" s="9" t="n">
        <f aca="false">IF(BF8&lt;=Time!$F$10,1,0)</f>
        <v>0</v>
      </c>
      <c r="BG13" s="9" t="n">
        <f aca="false">IF(BG8&lt;=Time!$F$10,1,0)</f>
        <v>0</v>
      </c>
      <c r="BH13" s="9" t="n">
        <f aca="false">IF(BH8&lt;=Time!$F$10,1,0)</f>
        <v>0</v>
      </c>
      <c r="BI13" s="9" t="n">
        <f aca="false">IF(BI8&lt;=Time!$F$10,1,0)</f>
        <v>0</v>
      </c>
      <c r="BJ13" s="9" t="n">
        <f aca="false">IF(BJ8&lt;=Time!$F$10,1,0)</f>
        <v>0</v>
      </c>
    </row>
    <row r="14" customFormat="false" ht="15" hidden="false" customHeight="false" outlineLevel="0" collapsed="false">
      <c r="D14" s="0" t="s">
        <v>437</v>
      </c>
      <c r="E14" s="0" t="s">
        <v>113</v>
      </c>
      <c r="J14" s="9" t="n">
        <f aca="false">IF(J8&lt;=Time!$F$13,1,0)</f>
        <v>1</v>
      </c>
      <c r="K14" s="9" t="n">
        <f aca="false">IF(K8&lt;=Time!$F$13,1,0)</f>
        <v>1</v>
      </c>
      <c r="L14" s="9" t="n">
        <f aca="false">IF(L8&lt;=Time!$F$13,1,0)</f>
        <v>1</v>
      </c>
      <c r="M14" s="9" t="n">
        <f aca="false">IF(M8&lt;=Time!$F$13,1,0)</f>
        <v>1</v>
      </c>
      <c r="N14" s="9" t="n">
        <f aca="false">IF(N8&lt;=Time!$F$13,1,0)</f>
        <v>1</v>
      </c>
      <c r="O14" s="9" t="n">
        <f aca="false">IF(O8&lt;=Time!$F$13,1,0)</f>
        <v>1</v>
      </c>
      <c r="P14" s="9" t="n">
        <f aca="false">IF(P8&lt;=Time!$F$13,1,0)</f>
        <v>1</v>
      </c>
      <c r="Q14" s="9" t="n">
        <f aca="false">IF(Q8&lt;=Time!$F$13,1,0)</f>
        <v>1</v>
      </c>
      <c r="R14" s="9" t="n">
        <f aca="false">IF(R8&lt;=Time!$F$13,1,0)</f>
        <v>1</v>
      </c>
      <c r="S14" s="9" t="n">
        <f aca="false">IF(S8&lt;=Time!$F$13,1,0)</f>
        <v>1</v>
      </c>
      <c r="T14" s="9" t="n">
        <f aca="false">IF(T8&lt;=Time!$F$13,1,0)</f>
        <v>1</v>
      </c>
      <c r="U14" s="9" t="n">
        <f aca="false">IF(U8&lt;=Time!$F$13,1,0)</f>
        <v>1</v>
      </c>
      <c r="V14" s="9" t="n">
        <f aca="false">IF(V8&lt;=Time!$F$13,1,0)</f>
        <v>1</v>
      </c>
      <c r="W14" s="9" t="n">
        <f aca="false">IF(W8&lt;=Time!$F$13,1,0)</f>
        <v>1</v>
      </c>
      <c r="X14" s="9" t="n">
        <f aca="false">IF(X8&lt;=Time!$F$13,1,0)</f>
        <v>1</v>
      </c>
      <c r="Y14" s="9" t="n">
        <f aca="false">IF(Y8&lt;=Time!$F$13,1,0)</f>
        <v>1</v>
      </c>
      <c r="Z14" s="9" t="n">
        <f aca="false">IF(Z8&lt;=Time!$F$13,1,0)</f>
        <v>1</v>
      </c>
      <c r="AA14" s="9" t="n">
        <f aca="false">IF(AA8&lt;=Time!$F$13,1,0)</f>
        <v>1</v>
      </c>
      <c r="AB14" s="9" t="n">
        <f aca="false">IF(AB8&lt;=Time!$F$13,1,0)</f>
        <v>1</v>
      </c>
      <c r="AC14" s="9" t="n">
        <f aca="false">IF(AC8&lt;=Time!$F$13,1,0)</f>
        <v>1</v>
      </c>
      <c r="AD14" s="9" t="n">
        <f aca="false">IF(AD8&lt;=Time!$F$13,1,0)</f>
        <v>1</v>
      </c>
      <c r="AE14" s="9" t="n">
        <f aca="false">IF(AE8&lt;=Time!$F$13,1,0)</f>
        <v>1</v>
      </c>
      <c r="AF14" s="9" t="n">
        <f aca="false">IF(AF8&lt;=Time!$F$13,1,0)</f>
        <v>1</v>
      </c>
      <c r="AG14" s="9" t="n">
        <f aca="false">IF(AG8&lt;=Time!$F$13,1,0)</f>
        <v>1</v>
      </c>
      <c r="AH14" s="9" t="n">
        <f aca="false">IF(AH8&lt;=Time!$F$13,1,0)</f>
        <v>1</v>
      </c>
      <c r="AI14" s="9" t="n">
        <f aca="false">IF(AI8&lt;=Time!$F$13,1,0)</f>
        <v>1</v>
      </c>
      <c r="AJ14" s="9" t="n">
        <f aca="false">IF(AJ8&lt;=Time!$F$13,1,0)</f>
        <v>1</v>
      </c>
      <c r="AK14" s="9" t="n">
        <f aca="false">IF(AK8&lt;=Time!$F$13,1,0)</f>
        <v>1</v>
      </c>
      <c r="AL14" s="9" t="n">
        <f aca="false">IF(AL8&lt;=Time!$F$13,1,0)</f>
        <v>1</v>
      </c>
      <c r="AM14" s="9" t="n">
        <f aca="false">IF(AM8&lt;=Time!$F$13,1,0)</f>
        <v>1</v>
      </c>
      <c r="AN14" s="9" t="n">
        <f aca="false">IF(AN8&lt;=Time!$F$13,1,0)</f>
        <v>1</v>
      </c>
      <c r="AO14" s="9" t="n">
        <f aca="false">IF(AO8&lt;=Time!$F$13,1,0)</f>
        <v>1</v>
      </c>
      <c r="AP14" s="9" t="n">
        <f aca="false">IF(AP8&lt;=Time!$F$13,1,0)</f>
        <v>1</v>
      </c>
      <c r="AQ14" s="9" t="n">
        <f aca="false">IF(AQ8&lt;=Time!$F$13,1,0)</f>
        <v>1</v>
      </c>
      <c r="AR14" s="9" t="n">
        <f aca="false">IF(AR8&lt;=Time!$F$13,1,0)</f>
        <v>1</v>
      </c>
      <c r="AS14" s="9" t="n">
        <f aca="false">IF(AS8&lt;=Time!$F$13,1,0)</f>
        <v>1</v>
      </c>
      <c r="AT14" s="9" t="n">
        <f aca="false">IF(AT8&lt;=Time!$F$13,1,0)</f>
        <v>1</v>
      </c>
      <c r="AU14" s="9" t="n">
        <f aca="false">IF(AU8&lt;=Time!$F$13,1,0)</f>
        <v>1</v>
      </c>
      <c r="AV14" s="9" t="n">
        <f aca="false">IF(AV8&lt;=Time!$F$13,1,0)</f>
        <v>1</v>
      </c>
      <c r="AW14" s="9" t="n">
        <f aca="false">IF(AW8&lt;=Time!$F$13,1,0)</f>
        <v>1</v>
      </c>
      <c r="AX14" s="9" t="n">
        <f aca="false">IF(AX8&lt;=Time!$F$13,1,0)</f>
        <v>1</v>
      </c>
      <c r="AY14" s="9" t="n">
        <f aca="false">IF(AY8&lt;=Time!$F$13,1,0)</f>
        <v>0</v>
      </c>
      <c r="AZ14" s="9" t="n">
        <f aca="false">IF(AZ8&lt;=Time!$F$13,1,0)</f>
        <v>0</v>
      </c>
      <c r="BA14" s="9" t="n">
        <f aca="false">IF(BA8&lt;=Time!$F$13,1,0)</f>
        <v>0</v>
      </c>
      <c r="BB14" s="9" t="n">
        <f aca="false">IF(BB8&lt;=Time!$F$13,1,0)</f>
        <v>0</v>
      </c>
      <c r="BC14" s="9" t="n">
        <f aca="false">IF(BC8&lt;=Time!$F$13,1,0)</f>
        <v>0</v>
      </c>
      <c r="BD14" s="9" t="n">
        <f aca="false">IF(BD8&lt;=Time!$F$13,1,0)</f>
        <v>0</v>
      </c>
      <c r="BE14" s="9" t="n">
        <f aca="false">IF(BE8&lt;=Time!$F$13,1,0)</f>
        <v>0</v>
      </c>
      <c r="BF14" s="9" t="n">
        <f aca="false">IF(BF8&lt;=Time!$F$13,1,0)</f>
        <v>0</v>
      </c>
      <c r="BG14" s="9" t="n">
        <f aca="false">IF(BG8&lt;=Time!$F$13,1,0)</f>
        <v>0</v>
      </c>
      <c r="BH14" s="9" t="n">
        <f aca="false">IF(BH8&lt;=Time!$F$13,1,0)</f>
        <v>0</v>
      </c>
      <c r="BI14" s="9" t="n">
        <f aca="false">IF(BI8&lt;=Time!$F$13,1,0)</f>
        <v>0</v>
      </c>
      <c r="BJ14" s="9" t="n">
        <f aca="false">IF(BJ8&lt;=Time!$F$13,1,0)</f>
        <v>0</v>
      </c>
    </row>
    <row r="15" customFormat="false" ht="15" hidden="false" customHeight="false" outlineLevel="0" collapsed="false">
      <c r="D15" s="0" t="s">
        <v>438</v>
      </c>
      <c r="E15" s="0" t="s">
        <v>113</v>
      </c>
      <c r="J15" s="9" t="n">
        <f aca="false">IF(J8=Time!$F$10+1,1,0)</f>
        <v>0</v>
      </c>
      <c r="K15" s="9" t="n">
        <f aca="false">IF(K8=Time!$F$10+1,1,0)</f>
        <v>0</v>
      </c>
      <c r="L15" s="9" t="n">
        <f aca="false">IF(L8=Time!$F$10+1,1,0)</f>
        <v>0</v>
      </c>
      <c r="M15" s="9" t="n">
        <f aca="false">IF(M8=Time!$F$10+1,1,0)</f>
        <v>0</v>
      </c>
      <c r="N15" s="9" t="n">
        <f aca="false">IF(N8=Time!$F$10+1,1,0)</f>
        <v>0</v>
      </c>
      <c r="O15" s="9" t="n">
        <f aca="false">IF(O8=Time!$F$10+1,1,0)</f>
        <v>0</v>
      </c>
      <c r="P15" s="9" t="n">
        <f aca="false">IF(P8=Time!$F$10+1,1,0)</f>
        <v>0</v>
      </c>
      <c r="Q15" s="9" t="n">
        <f aca="false">IF(Q8=Time!$F$10+1,1,0)</f>
        <v>0</v>
      </c>
      <c r="R15" s="9" t="n">
        <f aca="false">IF(R8=Time!$F$10+1,1,0)</f>
        <v>0</v>
      </c>
      <c r="S15" s="9" t="n">
        <f aca="false">IF(S8=Time!$F$10+1,1,0)</f>
        <v>0</v>
      </c>
      <c r="T15" s="9" t="n">
        <f aca="false">IF(T8=Time!$F$10+1,1,0)</f>
        <v>0</v>
      </c>
      <c r="U15" s="9" t="n">
        <f aca="false">IF(U8=Time!$F$10+1,1,0)</f>
        <v>0</v>
      </c>
      <c r="V15" s="9" t="n">
        <f aca="false">IF(V8=Time!$F$10+1,1,0)</f>
        <v>0</v>
      </c>
      <c r="W15" s="9" t="n">
        <f aca="false">IF(W8=Time!$F$10+1,1,0)</f>
        <v>0</v>
      </c>
      <c r="X15" s="9" t="n">
        <f aca="false">IF(X8=Time!$F$10+1,1,0)</f>
        <v>0</v>
      </c>
      <c r="Y15" s="9" t="n">
        <f aca="false">IF(Y8=Time!$F$10+1,1,0)</f>
        <v>0</v>
      </c>
      <c r="Z15" s="9" t="n">
        <f aca="false">IF(Z8=Time!$F$10+1,1,0)</f>
        <v>0</v>
      </c>
      <c r="AA15" s="9" t="n">
        <f aca="false">IF(AA8=Time!$F$10+1,1,0)</f>
        <v>0</v>
      </c>
      <c r="AB15" s="9" t="n">
        <f aca="false">IF(AB8=Time!$F$10+1,1,0)</f>
        <v>0</v>
      </c>
      <c r="AC15" s="9" t="n">
        <f aca="false">IF(AC8=Time!$F$10+1,1,0)</f>
        <v>0</v>
      </c>
      <c r="AD15" s="9" t="n">
        <f aca="false">IF(AD8=Time!$F$10+1,1,0)</f>
        <v>0</v>
      </c>
      <c r="AE15" s="9" t="n">
        <f aca="false">IF(AE8=Time!$F$10+1,1,0)</f>
        <v>0</v>
      </c>
      <c r="AF15" s="9" t="n">
        <f aca="false">IF(AF8=Time!$F$10+1,1,0)</f>
        <v>0</v>
      </c>
      <c r="AG15" s="9" t="n">
        <f aca="false">IF(AG8=Time!$F$10+1,1,0)</f>
        <v>0</v>
      </c>
      <c r="AH15" s="9" t="n">
        <f aca="false">IF(AH8=Time!$F$10+1,1,0)</f>
        <v>0</v>
      </c>
      <c r="AI15" s="9" t="n">
        <f aca="false">IF(AI8=Time!$F$10+1,1,0)</f>
        <v>0</v>
      </c>
      <c r="AJ15" s="9" t="n">
        <f aca="false">IF(AJ8=Time!$F$10+1,1,0)</f>
        <v>0</v>
      </c>
      <c r="AK15" s="9" t="n">
        <f aca="false">IF(AK8=Time!$F$10+1,1,0)</f>
        <v>0</v>
      </c>
      <c r="AL15" s="9" t="n">
        <f aca="false">IF(AL8=Time!$F$10+1,1,0)</f>
        <v>0</v>
      </c>
      <c r="AM15" s="9" t="n">
        <f aca="false">IF(AM8=Time!$F$10+1,1,0)</f>
        <v>0</v>
      </c>
      <c r="AN15" s="9" t="n">
        <f aca="false">IF(AN8=Time!$F$10+1,1,0)</f>
        <v>0</v>
      </c>
      <c r="AO15" s="9" t="n">
        <f aca="false">IF(AO8=Time!$F$10+1,1,0)</f>
        <v>0</v>
      </c>
      <c r="AP15" s="9" t="n">
        <f aca="false">IF(AP8=Time!$F$10+1,1,0)</f>
        <v>0</v>
      </c>
      <c r="AQ15" s="9" t="n">
        <f aca="false">IF(AQ8=Time!$F$10+1,1,0)</f>
        <v>0</v>
      </c>
      <c r="AR15" s="9" t="n">
        <f aca="false">IF(AR8=Time!$F$10+1,1,0)</f>
        <v>0</v>
      </c>
      <c r="AS15" s="9" t="n">
        <f aca="false">IF(AS8=Time!$F$10+1,1,0)</f>
        <v>0</v>
      </c>
      <c r="AT15" s="9" t="n">
        <f aca="false">IF(AT8=Time!$F$10+1,1,0)</f>
        <v>0</v>
      </c>
      <c r="AU15" s="9" t="n">
        <f aca="false">IF(AU8=Time!$F$10+1,1,0)</f>
        <v>0</v>
      </c>
      <c r="AV15" s="9" t="n">
        <f aca="false">IF(AV8=Time!$F$10+1,1,0)</f>
        <v>0</v>
      </c>
      <c r="AW15" s="9" t="n">
        <f aca="false">IF(AW8=Time!$F$10+1,1,0)</f>
        <v>0</v>
      </c>
      <c r="AX15" s="9" t="n">
        <f aca="false">IF(AX8=Time!$F$10+1,1,0)</f>
        <v>1</v>
      </c>
      <c r="AY15" s="9" t="n">
        <f aca="false">IF(AY8=Time!$F$10+1,1,0)</f>
        <v>0</v>
      </c>
      <c r="AZ15" s="9" t="n">
        <f aca="false">IF(AZ8=Time!$F$10+1,1,0)</f>
        <v>0</v>
      </c>
      <c r="BA15" s="9" t="n">
        <f aca="false">IF(BA8=Time!$F$10+1,1,0)</f>
        <v>0</v>
      </c>
      <c r="BB15" s="9" t="n">
        <f aca="false">IF(BB8=Time!$F$10+1,1,0)</f>
        <v>0</v>
      </c>
      <c r="BC15" s="9" t="n">
        <f aca="false">IF(BC8=Time!$F$10+1,1,0)</f>
        <v>0</v>
      </c>
      <c r="BD15" s="9" t="n">
        <f aca="false">IF(BD8=Time!$F$10+1,1,0)</f>
        <v>0</v>
      </c>
      <c r="BE15" s="9" t="n">
        <f aca="false">IF(BE8=Time!$F$10+1,1,0)</f>
        <v>0</v>
      </c>
      <c r="BF15" s="9" t="n">
        <f aca="false">IF(BF8=Time!$F$10+1,1,0)</f>
        <v>0</v>
      </c>
      <c r="BG15" s="9" t="n">
        <f aca="false">IF(BG8=Time!$F$10+1,1,0)</f>
        <v>0</v>
      </c>
      <c r="BH15" s="9" t="n">
        <f aca="false">IF(BH8=Time!$F$10+1,1,0)</f>
        <v>0</v>
      </c>
      <c r="BI15" s="9" t="n">
        <f aca="false">IF(BI8=Time!$F$10+1,1,0)</f>
        <v>0</v>
      </c>
      <c r="BJ15" s="9" t="n">
        <f aca="false">IF(BJ8=Time!$F$10+1,1,0)</f>
        <v>0</v>
      </c>
    </row>
    <row r="16" customFormat="false" ht="15" hidden="false" customHeight="false" outlineLevel="0" collapsed="false">
      <c r="D16" s="0" t="s">
        <v>439</v>
      </c>
      <c r="E16" s="0" t="s">
        <v>153</v>
      </c>
      <c r="J16" s="11" t="n">
        <f aca="false">IF(Inputs!$F$33=1,Inputs!$F$60*Time!$F$15^((J8-0.5)/12),INDEX(Operations!$J$11:$BN$11,1,J12))</f>
        <v>524.6</v>
      </c>
      <c r="K16" s="11" t="n">
        <f aca="false">IF(Inputs!$F$33=1,Inputs!$F$60*Time!$F$15^((K8-0.5)/12),INDEX(Operations!$J$11:$BN$11,1,K12))</f>
        <v>524.6</v>
      </c>
      <c r="L16" s="11" t="n">
        <f aca="false">IF(Inputs!$F$33=1,Inputs!$F$60*Time!$F$15^((L8-0.5)/12),INDEX(Operations!$J$11:$BN$11,1,L12))</f>
        <v>524.6</v>
      </c>
      <c r="M16" s="11" t="n">
        <f aca="false">IF(Inputs!$F$33=1,Inputs!$F$60*Time!$F$15^((M8-0.5)/12),INDEX(Operations!$J$11:$BN$11,1,M12))</f>
        <v>524.6</v>
      </c>
      <c r="N16" s="11" t="n">
        <f aca="false">IF(Inputs!$F$33=1,Inputs!$F$60*Time!$F$15^((N8-0.5)/12),INDEX(Operations!$J$11:$BN$11,1,N12))</f>
        <v>524.6</v>
      </c>
      <c r="O16" s="11" t="n">
        <f aca="false">IF(Inputs!$F$33=1,Inputs!$F$60*Time!$F$15^((O8-0.5)/12),INDEX(Operations!$J$11:$BN$11,1,O12))</f>
        <v>539.1</v>
      </c>
      <c r="P16" s="11" t="n">
        <f aca="false">IF(Inputs!$F$33=1,Inputs!$F$60*Time!$F$15^((P8-0.5)/12),INDEX(Operations!$J$11:$BN$11,1,P12))</f>
        <v>539.1</v>
      </c>
      <c r="Q16" s="11" t="n">
        <f aca="false">IF(Inputs!$F$33=1,Inputs!$F$60*Time!$F$15^((Q8-0.5)/12),INDEX(Operations!$J$11:$BN$11,1,Q12))</f>
        <v>539.1</v>
      </c>
      <c r="R16" s="11" t="n">
        <f aca="false">IF(Inputs!$F$33=1,Inputs!$F$60*Time!$F$15^((R8-0.5)/12),INDEX(Operations!$J$11:$BN$11,1,R12))</f>
        <v>539.1</v>
      </c>
      <c r="S16" s="11" t="n">
        <f aca="false">IF(Inputs!$F$33=1,Inputs!$F$60*Time!$F$15^((S8-0.5)/12),INDEX(Operations!$J$11:$BN$11,1,S12))</f>
        <v>539.1</v>
      </c>
      <c r="T16" s="11" t="n">
        <f aca="false">IF(Inputs!$F$33=1,Inputs!$F$60*Time!$F$15^((T8-0.5)/12),INDEX(Operations!$J$11:$BN$11,1,T12))</f>
        <v>539.1</v>
      </c>
      <c r="U16" s="11" t="n">
        <f aca="false">IF(Inputs!$F$33=1,Inputs!$F$60*Time!$F$15^((U8-0.5)/12),INDEX(Operations!$J$11:$BN$11,1,U12))</f>
        <v>551.3</v>
      </c>
      <c r="V16" s="11" t="n">
        <f aca="false">IF(Inputs!$F$33=1,Inputs!$F$60*Time!$F$15^((V8-0.5)/12),INDEX(Operations!$J$11:$BN$11,1,V12))</f>
        <v>551.3</v>
      </c>
      <c r="W16" s="11" t="n">
        <f aca="false">IF(Inputs!$F$33=1,Inputs!$F$60*Time!$F$15^((W8-0.5)/12),INDEX(Operations!$J$11:$BN$11,1,W12))</f>
        <v>551.3</v>
      </c>
      <c r="X16" s="11" t="n">
        <f aca="false">IF(Inputs!$F$33=1,Inputs!$F$60*Time!$F$15^((X8-0.5)/12),INDEX(Operations!$J$11:$BN$11,1,X12))</f>
        <v>551.3</v>
      </c>
      <c r="Y16" s="11" t="n">
        <f aca="false">IF(Inputs!$F$33=1,Inputs!$F$60*Time!$F$15^((Y8-0.5)/12),INDEX(Operations!$J$11:$BN$11,1,Y12))</f>
        <v>551.3</v>
      </c>
      <c r="Z16" s="11" t="n">
        <f aca="false">IF(Inputs!$F$33=1,Inputs!$F$60*Time!$F$15^((Z8-0.5)/12),INDEX(Operations!$J$11:$BN$11,1,Z12))</f>
        <v>551.3</v>
      </c>
      <c r="AA16" s="11" t="n">
        <f aca="false">IF(Inputs!$F$33=1,Inputs!$F$60*Time!$F$15^((AA8-0.5)/12),INDEX(Operations!$J$11:$BN$11,1,AA12))</f>
        <v>566</v>
      </c>
      <c r="AB16" s="11" t="n">
        <f aca="false">IF(Inputs!$F$33=1,Inputs!$F$60*Time!$F$15^((AB8-0.5)/12),INDEX(Operations!$J$11:$BN$11,1,AB12))</f>
        <v>566</v>
      </c>
      <c r="AC16" s="11" t="n">
        <f aca="false">IF(Inputs!$F$33=1,Inputs!$F$60*Time!$F$15^((AC8-0.5)/12),INDEX(Operations!$J$11:$BN$11,1,AC12))</f>
        <v>566</v>
      </c>
      <c r="AD16" s="11" t="n">
        <f aca="false">IF(Inputs!$F$33=1,Inputs!$F$60*Time!$F$15^((AD8-0.5)/12),INDEX(Operations!$J$11:$BN$11,1,AD12))</f>
        <v>566</v>
      </c>
      <c r="AE16" s="11" t="n">
        <f aca="false">IF(Inputs!$F$33=1,Inputs!$F$60*Time!$F$15^((AE8-0.5)/12),INDEX(Operations!$J$11:$BN$11,1,AE12))</f>
        <v>566</v>
      </c>
      <c r="AF16" s="11" t="n">
        <f aca="false">IF(Inputs!$F$33=1,Inputs!$F$60*Time!$F$15^((AF8-0.5)/12),INDEX(Operations!$J$11:$BN$11,1,AF12))</f>
        <v>566</v>
      </c>
      <c r="AG16" s="11" t="n">
        <f aca="false">IF(Inputs!$F$33=1,Inputs!$F$60*Time!$F$15^((AG8-0.5)/12),INDEX(Operations!$J$11:$BN$11,1,AG12))</f>
        <v>579.8</v>
      </c>
      <c r="AH16" s="11" t="n">
        <f aca="false">IF(Inputs!$F$33=1,Inputs!$F$60*Time!$F$15^((AH8-0.5)/12),INDEX(Operations!$J$11:$BN$11,1,AH12))</f>
        <v>579.8</v>
      </c>
      <c r="AI16" s="11" t="n">
        <f aca="false">IF(Inputs!$F$33=1,Inputs!$F$60*Time!$F$15^((AI8-0.5)/12),INDEX(Operations!$J$11:$BN$11,1,AI12))</f>
        <v>579.8</v>
      </c>
      <c r="AJ16" s="11" t="n">
        <f aca="false">IF(Inputs!$F$33=1,Inputs!$F$60*Time!$F$15^((AJ8-0.5)/12),INDEX(Operations!$J$11:$BN$11,1,AJ12))</f>
        <v>579.8</v>
      </c>
      <c r="AK16" s="11" t="n">
        <f aca="false">IF(Inputs!$F$33=1,Inputs!$F$60*Time!$F$15^((AK8-0.5)/12),INDEX(Operations!$J$11:$BN$11,1,AK12))</f>
        <v>579.8</v>
      </c>
      <c r="AL16" s="11" t="n">
        <f aca="false">IF(Inputs!$F$33=1,Inputs!$F$60*Time!$F$15^((AL8-0.5)/12),INDEX(Operations!$J$11:$BN$11,1,AL12))</f>
        <v>579.8</v>
      </c>
      <c r="AM16" s="11" t="n">
        <f aca="false">IF(Inputs!$F$33=1,Inputs!$F$60*Time!$F$15^((AM8-0.5)/12),INDEX(Operations!$J$11:$BN$11,1,AM12))</f>
        <v>597.4</v>
      </c>
      <c r="AN16" s="11" t="n">
        <f aca="false">IF(Inputs!$F$33=1,Inputs!$F$60*Time!$F$15^((AN8-0.5)/12),INDEX(Operations!$J$11:$BN$11,1,AN12))</f>
        <v>597.4</v>
      </c>
      <c r="AO16" s="11" t="n">
        <f aca="false">IF(Inputs!$F$33=1,Inputs!$F$60*Time!$F$15^((AO8-0.5)/12),INDEX(Operations!$J$11:$BN$11,1,AO12))</f>
        <v>597.4</v>
      </c>
      <c r="AP16" s="11" t="n">
        <f aca="false">IF(Inputs!$F$33=1,Inputs!$F$60*Time!$F$15^((AP8-0.5)/12),INDEX(Operations!$J$11:$BN$11,1,AP12))</f>
        <v>597.4</v>
      </c>
      <c r="AQ16" s="11" t="n">
        <f aca="false">IF(Inputs!$F$33=1,Inputs!$F$60*Time!$F$15^((AQ8-0.5)/12),INDEX(Operations!$J$11:$BN$11,1,AQ12))</f>
        <v>597.4</v>
      </c>
      <c r="AR16" s="11" t="n">
        <f aca="false">IF(Inputs!$F$33=1,Inputs!$F$60*Time!$F$15^((AR8-0.5)/12),INDEX(Operations!$J$11:$BN$11,1,AR12))</f>
        <v>597.4</v>
      </c>
      <c r="AS16" s="11" t="n">
        <f aca="false">IF(Inputs!$F$33=1,Inputs!$F$60*Time!$F$15^((AS8-0.5)/12),INDEX(Operations!$J$11:$BN$11,1,AS12))</f>
        <v>609.6</v>
      </c>
      <c r="AT16" s="11" t="n">
        <f aca="false">IF(Inputs!$F$33=1,Inputs!$F$60*Time!$F$15^((AT8-0.5)/12),INDEX(Operations!$J$11:$BN$11,1,AT12))</f>
        <v>609.6</v>
      </c>
      <c r="AU16" s="11" t="n">
        <f aca="false">IF(Inputs!$F$33=1,Inputs!$F$60*Time!$F$15^((AU8-0.5)/12),INDEX(Operations!$J$11:$BN$11,1,AU12))</f>
        <v>609.6</v>
      </c>
      <c r="AV16" s="11" t="n">
        <f aca="false">IF(Inputs!$F$33=1,Inputs!$F$60*Time!$F$15^((AV8-0.5)/12),INDEX(Operations!$J$11:$BN$11,1,AV12))</f>
        <v>609.6</v>
      </c>
      <c r="AW16" s="11" t="n">
        <f aca="false">IF(Inputs!$F$33=1,Inputs!$F$60*Time!$F$15^((AW8-0.5)/12),INDEX(Operations!$J$11:$BN$11,1,AW12))</f>
        <v>609.6</v>
      </c>
      <c r="AX16" s="11" t="n">
        <f aca="false">IF(Inputs!$F$33=1,Inputs!$F$60*Time!$F$15^((AX8-0.5)/12),INDEX(Operations!$J$11:$BN$11,1,AX12))</f>
        <v>609.6</v>
      </c>
      <c r="AY16" s="11" t="n">
        <f aca="false">IF(Inputs!$F$33=1,Inputs!$F$60*Time!$F$15^((AY8-0.5)/12),INDEX(Operations!$J$11:$BN$11,1,AY12))</f>
        <v>654.9</v>
      </c>
      <c r="AZ16" s="11" t="n">
        <f aca="false">IF(Inputs!$F$33=1,Inputs!$F$60*Time!$F$15^((AZ8-0.5)/12),INDEX(Operations!$J$11:$BN$11,1,AZ12))</f>
        <v>654.9</v>
      </c>
      <c r="BA16" s="11" t="n">
        <f aca="false">IF(Inputs!$F$33=1,Inputs!$F$60*Time!$F$15^((BA8-0.5)/12),INDEX(Operations!$J$11:$BN$11,1,BA12))</f>
        <v>654.9</v>
      </c>
      <c r="BB16" s="11" t="n">
        <f aca="false">IF(Inputs!$F$33=1,Inputs!$F$60*Time!$F$15^((BB8-0.5)/12),INDEX(Operations!$J$11:$BN$11,1,BB12))</f>
        <v>654.9</v>
      </c>
      <c r="BC16" s="11" t="n">
        <f aca="false">IF(Inputs!$F$33=1,Inputs!$F$60*Time!$F$15^((BC8-0.5)/12),INDEX(Operations!$J$11:$BN$11,1,BC12))</f>
        <v>654.9</v>
      </c>
      <c r="BD16" s="11" t="n">
        <f aca="false">IF(Inputs!$F$33=1,Inputs!$F$60*Time!$F$15^((BD8-0.5)/12),INDEX(Operations!$J$11:$BN$11,1,BD12))</f>
        <v>654.9</v>
      </c>
      <c r="BE16" s="11" t="n">
        <f aca="false">IF(Inputs!$F$33=1,Inputs!$F$60*Time!$F$15^((BE8-0.5)/12),INDEX(Operations!$J$11:$BN$11,1,BE12))</f>
        <v>830.3</v>
      </c>
      <c r="BF16" s="11" t="n">
        <f aca="false">IF(Inputs!$F$33=1,Inputs!$F$60*Time!$F$15^((BF8-0.5)/12),INDEX(Operations!$J$11:$BN$11,1,BF12))</f>
        <v>830.3</v>
      </c>
      <c r="BG16" s="11" t="n">
        <f aca="false">IF(Inputs!$F$33=1,Inputs!$F$60*Time!$F$15^((BG8-0.5)/12),INDEX(Operations!$J$11:$BN$11,1,BG12))</f>
        <v>830.3</v>
      </c>
      <c r="BH16" s="11" t="n">
        <f aca="false">IF(Inputs!$F$33=1,Inputs!$F$60*Time!$F$15^((BH8-0.5)/12),INDEX(Operations!$J$11:$BN$11,1,BH12))</f>
        <v>830.3</v>
      </c>
      <c r="BI16" s="11" t="n">
        <f aca="false">IF(Inputs!$F$33=1,Inputs!$F$60*Time!$F$15^((BI8-0.5)/12),INDEX(Operations!$J$11:$BN$11,1,BI12))</f>
        <v>830.3</v>
      </c>
      <c r="BJ16" s="11" t="n">
        <f aca="false">IF(Inputs!$F$33=1,Inputs!$F$60*Time!$F$15^((BJ8-0.5)/12),INDEX(Operations!$J$11:$BN$11,1,BJ12))</f>
        <v>830.3</v>
      </c>
    </row>
    <row r="17" customFormat="false" ht="15" hidden="false" customHeight="false" outlineLevel="0" collapsed="false">
      <c r="D17" s="0" t="s">
        <v>440</v>
      </c>
      <c r="E17" s="0" t="s">
        <v>103</v>
      </c>
      <c r="J17" s="11" t="n">
        <f aca="false">INDEX(Operations!$J$8:$BN$8,1,J12)</f>
        <v>2.52</v>
      </c>
      <c r="K17" s="11" t="n">
        <f aca="false">INDEX(Operations!$J$8:$BN$8,1,K12)</f>
        <v>2.52</v>
      </c>
      <c r="L17" s="11" t="n">
        <f aca="false">INDEX(Operations!$J$8:$BN$8,1,L12)</f>
        <v>2.52</v>
      </c>
      <c r="M17" s="11" t="n">
        <f aca="false">INDEX(Operations!$J$8:$BN$8,1,M12)</f>
        <v>2.52</v>
      </c>
      <c r="N17" s="11" t="n">
        <f aca="false">INDEX(Operations!$J$8:$BN$8,1,N12)</f>
        <v>2.52</v>
      </c>
      <c r="O17" s="11" t="n">
        <f aca="false">INDEX(Operations!$J$8:$BN$8,1,O12)</f>
        <v>2.87</v>
      </c>
      <c r="P17" s="11" t="n">
        <f aca="false">INDEX(Operations!$J$8:$BN$8,1,P12)</f>
        <v>2.87</v>
      </c>
      <c r="Q17" s="11" t="n">
        <f aca="false">INDEX(Operations!$J$8:$BN$8,1,Q12)</f>
        <v>2.87</v>
      </c>
      <c r="R17" s="11" t="n">
        <f aca="false">INDEX(Operations!$J$8:$BN$8,1,R12)</f>
        <v>2.87</v>
      </c>
      <c r="S17" s="11" t="n">
        <f aca="false">INDEX(Operations!$J$8:$BN$8,1,S12)</f>
        <v>2.87</v>
      </c>
      <c r="T17" s="11" t="n">
        <f aca="false">INDEX(Operations!$J$8:$BN$8,1,T12)</f>
        <v>2.87</v>
      </c>
      <c r="U17" s="11" t="n">
        <f aca="false">INDEX(Operations!$J$8:$BN$8,1,U12)</f>
        <v>2.2</v>
      </c>
      <c r="V17" s="11" t="n">
        <f aca="false">INDEX(Operations!$J$8:$BN$8,1,V12)</f>
        <v>2.2</v>
      </c>
      <c r="W17" s="11" t="n">
        <f aca="false">INDEX(Operations!$J$8:$BN$8,1,W12)</f>
        <v>2.2</v>
      </c>
      <c r="X17" s="11" t="n">
        <f aca="false">INDEX(Operations!$J$8:$BN$8,1,X12)</f>
        <v>2.2</v>
      </c>
      <c r="Y17" s="11" t="n">
        <f aca="false">INDEX(Operations!$J$8:$BN$8,1,Y12)</f>
        <v>2.2</v>
      </c>
      <c r="Z17" s="11" t="n">
        <f aca="false">INDEX(Operations!$J$8:$BN$8,1,Z12)</f>
        <v>2.2</v>
      </c>
      <c r="AA17" s="11" t="n">
        <f aca="false">INDEX(Operations!$J$8:$BN$8,1,AA12)</f>
        <v>1.91</v>
      </c>
      <c r="AB17" s="11" t="n">
        <f aca="false">INDEX(Operations!$J$8:$BN$8,1,AB12)</f>
        <v>1.91</v>
      </c>
      <c r="AC17" s="11" t="n">
        <f aca="false">INDEX(Operations!$J$8:$BN$8,1,AC12)</f>
        <v>1.91</v>
      </c>
      <c r="AD17" s="11" t="n">
        <f aca="false">INDEX(Operations!$J$8:$BN$8,1,AD12)</f>
        <v>1.91</v>
      </c>
      <c r="AE17" s="11" t="n">
        <f aca="false">INDEX(Operations!$J$8:$BN$8,1,AE12)</f>
        <v>1.91</v>
      </c>
      <c r="AF17" s="11" t="n">
        <f aca="false">INDEX(Operations!$J$8:$BN$8,1,AF12)</f>
        <v>1.91</v>
      </c>
      <c r="AG17" s="11" t="n">
        <f aca="false">INDEX(Operations!$J$8:$BN$8,1,AG12)</f>
        <v>0.37</v>
      </c>
      <c r="AH17" s="11" t="n">
        <f aca="false">INDEX(Operations!$J$8:$BN$8,1,AH12)</f>
        <v>0.37</v>
      </c>
      <c r="AI17" s="11" t="n">
        <f aca="false">INDEX(Operations!$J$8:$BN$8,1,AI12)</f>
        <v>0.37</v>
      </c>
      <c r="AJ17" s="11" t="n">
        <f aca="false">INDEX(Operations!$J$8:$BN$8,1,AJ12)</f>
        <v>0.37</v>
      </c>
      <c r="AK17" s="11" t="n">
        <f aca="false">INDEX(Operations!$J$8:$BN$8,1,AK12)</f>
        <v>0.37</v>
      </c>
      <c r="AL17" s="11" t="n">
        <f aca="false">INDEX(Operations!$J$8:$BN$8,1,AL12)</f>
        <v>0.37</v>
      </c>
      <c r="AM17" s="11" t="n">
        <f aca="false">INDEX(Operations!$J$8:$BN$8,1,AM12)</f>
        <v>0.25</v>
      </c>
      <c r="AN17" s="11" t="n">
        <f aca="false">INDEX(Operations!$J$8:$BN$8,1,AN12)</f>
        <v>0.25</v>
      </c>
      <c r="AO17" s="11" t="n">
        <f aca="false">INDEX(Operations!$J$8:$BN$8,1,AO12)</f>
        <v>0.25</v>
      </c>
      <c r="AP17" s="11" t="n">
        <f aca="false">INDEX(Operations!$J$8:$BN$8,1,AP12)</f>
        <v>0.25</v>
      </c>
      <c r="AQ17" s="11" t="n">
        <f aca="false">INDEX(Operations!$J$8:$BN$8,1,AQ12)</f>
        <v>0.25</v>
      </c>
      <c r="AR17" s="11" t="n">
        <f aca="false">INDEX(Operations!$J$8:$BN$8,1,AR12)</f>
        <v>0.25</v>
      </c>
      <c r="AS17" s="11" t="n">
        <f aca="false">INDEX(Operations!$J$8:$BN$8,1,AS12)</f>
        <v>0.16</v>
      </c>
      <c r="AT17" s="11" t="n">
        <f aca="false">INDEX(Operations!$J$8:$BN$8,1,AT12)</f>
        <v>0.16</v>
      </c>
      <c r="AU17" s="11" t="n">
        <f aca="false">INDEX(Operations!$J$8:$BN$8,1,AU12)</f>
        <v>0.16</v>
      </c>
      <c r="AV17" s="11" t="n">
        <f aca="false">INDEX(Operations!$J$8:$BN$8,1,AV12)</f>
        <v>0.16</v>
      </c>
      <c r="AW17" s="11" t="n">
        <f aca="false">INDEX(Operations!$J$8:$BN$8,1,AW12)</f>
        <v>0.16</v>
      </c>
      <c r="AX17" s="11" t="n">
        <f aca="false">INDEX(Operations!$J$8:$BN$8,1,AX12)</f>
        <v>0.16</v>
      </c>
      <c r="AY17" s="11" t="n">
        <f aca="false">INDEX(Operations!$J$8:$BN$8,1,AY12)</f>
        <v>0.34</v>
      </c>
      <c r="AZ17" s="11" t="n">
        <f aca="false">INDEX(Operations!$J$8:$BN$8,1,AZ12)</f>
        <v>0.34</v>
      </c>
      <c r="BA17" s="11" t="n">
        <f aca="false">INDEX(Operations!$J$8:$BN$8,1,BA12)</f>
        <v>0.34</v>
      </c>
      <c r="BB17" s="11" t="n">
        <f aca="false">INDEX(Operations!$J$8:$BN$8,1,BB12)</f>
        <v>0.34</v>
      </c>
      <c r="BC17" s="11" t="n">
        <f aca="false">INDEX(Operations!$J$8:$BN$8,1,BC12)</f>
        <v>0.34</v>
      </c>
      <c r="BD17" s="11" t="n">
        <f aca="false">INDEX(Operations!$J$8:$BN$8,1,BD12)</f>
        <v>0.34</v>
      </c>
      <c r="BE17" s="11" t="n">
        <f aca="false">INDEX(Operations!$J$8:$BN$8,1,BE12)</f>
        <v>2.94</v>
      </c>
      <c r="BF17" s="11" t="n">
        <f aca="false">INDEX(Operations!$J$8:$BN$8,1,BF12)</f>
        <v>2.94</v>
      </c>
      <c r="BG17" s="11" t="n">
        <f aca="false">INDEX(Operations!$J$8:$BN$8,1,BG12)</f>
        <v>2.94</v>
      </c>
      <c r="BH17" s="11" t="n">
        <f aca="false">INDEX(Operations!$J$8:$BN$8,1,BH12)</f>
        <v>2.94</v>
      </c>
      <c r="BI17" s="11" t="n">
        <f aca="false">INDEX(Operations!$J$8:$BN$8,1,BI12)</f>
        <v>2.94</v>
      </c>
      <c r="BJ17" s="11" t="n">
        <f aca="false">INDEX(Operations!$J$8:$BN$8,1,BJ12)</f>
        <v>2.94</v>
      </c>
    </row>
    <row r="18" customFormat="false" ht="15" hidden="false" customHeight="false" outlineLevel="0" collapsed="false">
      <c r="D18" s="0" t="s">
        <v>441</v>
      </c>
      <c r="E18" s="0" t="s">
        <v>103</v>
      </c>
      <c r="J18" s="11" t="n">
        <f aca="false">IF(Inputs!$F$33=1,Inputs!$F$73,INDEX(Inputs!$J$213:$AR$213,1,YEAR(J9)-2014))</f>
        <v>13.5</v>
      </c>
      <c r="K18" s="11" t="n">
        <f aca="false">IF(Inputs!$F$33=1,Inputs!$F$73,INDEX(Inputs!$J$213:$AR$213,1,YEAR(K9)-2014))</f>
        <v>13.5</v>
      </c>
      <c r="L18" s="11" t="n">
        <f aca="false">IF(Inputs!$F$33=1,Inputs!$F$73,INDEX(Inputs!$J$213:$AR$213,1,YEAR(L9)-2014))</f>
        <v>13.5</v>
      </c>
      <c r="M18" s="11" t="n">
        <f aca="false">IF(Inputs!$F$33=1,Inputs!$F$73,INDEX(Inputs!$J$213:$AR$213,1,YEAR(M9)-2014))</f>
        <v>13.5</v>
      </c>
      <c r="N18" s="11" t="n">
        <f aca="false">IF(Inputs!$F$33=1,Inputs!$F$73,INDEX(Inputs!$J$213:$AR$213,1,YEAR(N9)-2014))</f>
        <v>13.5</v>
      </c>
      <c r="O18" s="11" t="n">
        <f aca="false">IF(Inputs!$F$33=1,Inputs!$F$73,INDEX(Inputs!$J$213:$AR$213,1,YEAR(O9)-2014))</f>
        <v>13.5</v>
      </c>
      <c r="P18" s="11" t="n">
        <f aca="false">IF(Inputs!$F$33=1,Inputs!$F$73,INDEX(Inputs!$J$213:$AR$213,1,YEAR(P9)-2014))</f>
        <v>13.5</v>
      </c>
      <c r="Q18" s="11" t="n">
        <f aca="false">IF(Inputs!$F$33=1,Inputs!$F$73,INDEX(Inputs!$J$213:$AR$213,1,YEAR(Q9)-2014))</f>
        <v>13.5</v>
      </c>
      <c r="R18" s="11" t="n">
        <f aca="false">IF(Inputs!$F$33=1,Inputs!$F$73,INDEX(Inputs!$J$213:$AR$213,1,YEAR(R9)-2014))</f>
        <v>13.5</v>
      </c>
      <c r="S18" s="11" t="n">
        <f aca="false">IF(Inputs!$F$33=1,Inputs!$F$73,INDEX(Inputs!$J$213:$AR$213,1,YEAR(S9)-2014))</f>
        <v>13.5</v>
      </c>
      <c r="T18" s="11" t="n">
        <f aca="false">IF(Inputs!$F$33=1,Inputs!$F$73,INDEX(Inputs!$J$213:$AR$213,1,YEAR(T9)-2014))</f>
        <v>13.5</v>
      </c>
      <c r="U18" s="11" t="n">
        <f aca="false">IF(Inputs!$F$33=1,Inputs!$F$73,INDEX(Inputs!$J$213:$AR$213,1,YEAR(U9)-2014))</f>
        <v>13.5</v>
      </c>
      <c r="V18" s="11" t="n">
        <f aca="false">IF(Inputs!$F$33=1,Inputs!$F$73,INDEX(Inputs!$J$213:$AR$213,1,YEAR(V9)-2014))</f>
        <v>13.5</v>
      </c>
      <c r="W18" s="11" t="n">
        <f aca="false">IF(Inputs!$F$33=1,Inputs!$F$73,INDEX(Inputs!$J$213:$AR$213,1,YEAR(W9)-2014))</f>
        <v>13.5</v>
      </c>
      <c r="X18" s="11" t="n">
        <f aca="false">IF(Inputs!$F$33=1,Inputs!$F$73,INDEX(Inputs!$J$213:$AR$213,1,YEAR(X9)-2014))</f>
        <v>13.5</v>
      </c>
      <c r="Y18" s="11" t="n">
        <f aca="false">IF(Inputs!$F$33=1,Inputs!$F$73,INDEX(Inputs!$J$213:$AR$213,1,YEAR(Y9)-2014))</f>
        <v>13.5</v>
      </c>
      <c r="Z18" s="11" t="n">
        <f aca="false">IF(Inputs!$F$33=1,Inputs!$F$73,INDEX(Inputs!$J$213:$AR$213,1,YEAR(Z9)-2014))</f>
        <v>13.5</v>
      </c>
      <c r="AA18" s="11" t="n">
        <f aca="false">IF(Inputs!$F$33=1,Inputs!$F$73,INDEX(Inputs!$J$213:$AR$213,1,YEAR(AA9)-2014))</f>
        <v>13.5</v>
      </c>
      <c r="AB18" s="11" t="n">
        <f aca="false">IF(Inputs!$F$33=1,Inputs!$F$73,INDEX(Inputs!$J$213:$AR$213,1,YEAR(AB9)-2014))</f>
        <v>13.5</v>
      </c>
      <c r="AC18" s="11" t="n">
        <f aca="false">IF(Inputs!$F$33=1,Inputs!$F$73,INDEX(Inputs!$J$213:$AR$213,1,YEAR(AC9)-2014))</f>
        <v>13.5</v>
      </c>
      <c r="AD18" s="11" t="n">
        <f aca="false">IF(Inputs!$F$33=1,Inputs!$F$73,INDEX(Inputs!$J$213:$AR$213,1,YEAR(AD9)-2014))</f>
        <v>13.5</v>
      </c>
      <c r="AE18" s="11" t="n">
        <f aca="false">IF(Inputs!$F$33=1,Inputs!$F$73,INDEX(Inputs!$J$213:$AR$213,1,YEAR(AE9)-2014))</f>
        <v>13.5</v>
      </c>
      <c r="AF18" s="11" t="n">
        <f aca="false">IF(Inputs!$F$33=1,Inputs!$F$73,INDEX(Inputs!$J$213:$AR$213,1,YEAR(AF9)-2014))</f>
        <v>13.5</v>
      </c>
      <c r="AG18" s="11" t="n">
        <f aca="false">IF(Inputs!$F$33=1,Inputs!$F$73,INDEX(Inputs!$J$213:$AR$213,1,YEAR(AG9)-2014))</f>
        <v>13.5</v>
      </c>
      <c r="AH18" s="11" t="n">
        <f aca="false">IF(Inputs!$F$33=1,Inputs!$F$73,INDEX(Inputs!$J$213:$AR$213,1,YEAR(AH9)-2014))</f>
        <v>13.5</v>
      </c>
      <c r="AI18" s="11" t="n">
        <f aca="false">IF(Inputs!$F$33=1,Inputs!$F$73,INDEX(Inputs!$J$213:$AR$213,1,YEAR(AI9)-2014))</f>
        <v>13.5</v>
      </c>
      <c r="AJ18" s="11" t="n">
        <f aca="false">IF(Inputs!$F$33=1,Inputs!$F$73,INDEX(Inputs!$J$213:$AR$213,1,YEAR(AJ9)-2014))</f>
        <v>13.5</v>
      </c>
      <c r="AK18" s="11" t="n">
        <f aca="false">IF(Inputs!$F$33=1,Inputs!$F$73,INDEX(Inputs!$J$213:$AR$213,1,YEAR(AK9)-2014))</f>
        <v>13.5</v>
      </c>
      <c r="AL18" s="11" t="n">
        <f aca="false">IF(Inputs!$F$33=1,Inputs!$F$73,INDEX(Inputs!$J$213:$AR$213,1,YEAR(AL9)-2014))</f>
        <v>13.5</v>
      </c>
      <c r="AM18" s="11" t="n">
        <f aca="false">IF(Inputs!$F$33=1,Inputs!$F$73,INDEX(Inputs!$J$213:$AR$213,1,YEAR(AM9)-2014))</f>
        <v>13.5</v>
      </c>
      <c r="AN18" s="11" t="n">
        <f aca="false">IF(Inputs!$F$33=1,Inputs!$F$73,INDEX(Inputs!$J$213:$AR$213,1,YEAR(AN9)-2014))</f>
        <v>13.5</v>
      </c>
      <c r="AO18" s="11" t="n">
        <f aca="false">IF(Inputs!$F$33=1,Inputs!$F$73,INDEX(Inputs!$J$213:$AR$213,1,YEAR(AO9)-2014))</f>
        <v>13.5</v>
      </c>
      <c r="AP18" s="11" t="n">
        <f aca="false">IF(Inputs!$F$33=1,Inputs!$F$73,INDEX(Inputs!$J$213:$AR$213,1,YEAR(AP9)-2014))</f>
        <v>13.5</v>
      </c>
      <c r="AQ18" s="11" t="n">
        <f aca="false">IF(Inputs!$F$33=1,Inputs!$F$73,INDEX(Inputs!$J$213:$AR$213,1,YEAR(AQ9)-2014))</f>
        <v>13.5</v>
      </c>
      <c r="AR18" s="11" t="n">
        <f aca="false">IF(Inputs!$F$33=1,Inputs!$F$73,INDEX(Inputs!$J$213:$AR$213,1,YEAR(AR9)-2014))</f>
        <v>13.5</v>
      </c>
      <c r="AS18" s="11" t="n">
        <f aca="false">IF(Inputs!$F$33=1,Inputs!$F$73,INDEX(Inputs!$J$213:$AR$213,1,YEAR(AS9)-2014))</f>
        <v>13.5</v>
      </c>
      <c r="AT18" s="11" t="n">
        <f aca="false">IF(Inputs!$F$33=1,Inputs!$F$73,INDEX(Inputs!$J$213:$AR$213,1,YEAR(AT9)-2014))</f>
        <v>13.5</v>
      </c>
      <c r="AU18" s="11" t="n">
        <f aca="false">IF(Inputs!$F$33=1,Inputs!$F$73,INDEX(Inputs!$J$213:$AR$213,1,YEAR(AU9)-2014))</f>
        <v>13.5</v>
      </c>
      <c r="AV18" s="11" t="n">
        <f aca="false">IF(Inputs!$F$33=1,Inputs!$F$73,INDEX(Inputs!$J$213:$AR$213,1,YEAR(AV9)-2014))</f>
        <v>13.5</v>
      </c>
      <c r="AW18" s="11" t="n">
        <f aca="false">IF(Inputs!$F$33=1,Inputs!$F$73,INDEX(Inputs!$J$213:$AR$213,1,YEAR(AW9)-2014))</f>
        <v>13.5</v>
      </c>
      <c r="AX18" s="11" t="n">
        <f aca="false">IF(Inputs!$F$33=1,Inputs!$F$73,INDEX(Inputs!$J$213:$AR$213,1,YEAR(AX9)-2014))</f>
        <v>13.5</v>
      </c>
      <c r="AY18" s="11" t="n">
        <f aca="false">IF(Inputs!$F$33=1,Inputs!$F$73,INDEX(Inputs!$J$213:$AR$213,1,YEAR(AY9)-2014))</f>
        <v>19</v>
      </c>
      <c r="AZ18" s="11" t="n">
        <f aca="false">IF(Inputs!$F$33=1,Inputs!$F$73,INDEX(Inputs!$J$213:$AR$213,1,YEAR(AZ9)-2014))</f>
        <v>19</v>
      </c>
      <c r="BA18" s="11" t="n">
        <f aca="false">IF(Inputs!$F$33=1,Inputs!$F$73,INDEX(Inputs!$J$213:$AR$213,1,YEAR(BA9)-2014))</f>
        <v>19</v>
      </c>
      <c r="BB18" s="11" t="n">
        <f aca="false">IF(Inputs!$F$33=1,Inputs!$F$73,INDEX(Inputs!$J$213:$AR$213,1,YEAR(BB9)-2014))</f>
        <v>19</v>
      </c>
      <c r="BC18" s="11" t="n">
        <f aca="false">IF(Inputs!$F$33=1,Inputs!$F$73,INDEX(Inputs!$J$213:$AR$213,1,YEAR(BC9)-2014))</f>
        <v>19</v>
      </c>
      <c r="BD18" s="11" t="n">
        <f aca="false">IF(Inputs!$F$33=1,Inputs!$F$73,INDEX(Inputs!$J$213:$AR$213,1,YEAR(BD9)-2014))</f>
        <v>19</v>
      </c>
      <c r="BE18" s="11" t="n">
        <f aca="false">IF(Inputs!$F$33=1,Inputs!$F$73,INDEX(Inputs!$J$213:$AR$213,1,YEAR(BE9)-2014))</f>
        <v>19</v>
      </c>
      <c r="BF18" s="11" t="n">
        <f aca="false">IF(Inputs!$F$33=1,Inputs!$F$73,INDEX(Inputs!$J$213:$AR$213,1,YEAR(BF9)-2014))</f>
        <v>19</v>
      </c>
      <c r="BG18" s="11" t="n">
        <f aca="false">IF(Inputs!$F$33=1,Inputs!$F$73,INDEX(Inputs!$J$213:$AR$213,1,YEAR(BG9)-2014))</f>
        <v>19</v>
      </c>
      <c r="BH18" s="11" t="n">
        <f aca="false">IF(Inputs!$F$33=1,Inputs!$F$73,INDEX(Inputs!$J$213:$AR$213,1,YEAR(BH9)-2014))</f>
        <v>19</v>
      </c>
      <c r="BI18" s="11" t="n">
        <f aca="false">IF(Inputs!$F$33=1,Inputs!$F$73,INDEX(Inputs!$J$213:$AR$213,1,YEAR(BI9)-2014))</f>
        <v>19</v>
      </c>
      <c r="BJ18" s="11" t="n">
        <f aca="false">IF(Inputs!$F$33=1,Inputs!$F$73,INDEX(Inputs!$J$213:$AR$213,1,YEAR(BJ9)-2014))</f>
        <v>19</v>
      </c>
    </row>
    <row r="19" customFormat="false" ht="15" hidden="false" customHeight="false" outlineLevel="0" collapsed="false">
      <c r="B19" s="2" t="s">
        <v>442</v>
      </c>
    </row>
    <row r="20" customFormat="false" ht="15" hidden="false" customHeight="false" outlineLevel="0" collapsed="false">
      <c r="D20" s="0" t="s">
        <v>443</v>
      </c>
      <c r="E20" s="0" t="s">
        <v>103</v>
      </c>
      <c r="J20" s="11" t="n">
        <f aca="false">IF(Inputs!$F$34=2,Inputs!J230,Inputs!J229+IF(Inputs!$F$35&gt;0,IF(J8=33,-7.5,0)+IF(J8=33+Inputs!$F$35,7.5,0),0))</f>
        <v>10</v>
      </c>
      <c r="K20" s="11" t="n">
        <f aca="false">IF(Inputs!$F$34=2,Inputs!K230,Inputs!K229+IF(Inputs!$F$35&gt;0,IF(K8=33,-7.5,0)+IF(K8=33+Inputs!$F$35,7.5,0),0))</f>
        <v>0.0102</v>
      </c>
      <c r="L20" s="11" t="n">
        <f aca="false">IF(Inputs!$F$34=2,Inputs!L230,Inputs!L229+IF(Inputs!$F$35&gt;0,IF(L8=33,-7.5,0)+IF(L8=33+Inputs!$F$35,7.5,0),0))</f>
        <v>0.0868</v>
      </c>
      <c r="M20" s="11" t="n">
        <f aca="false">IF(Inputs!$F$34=2,Inputs!M230,Inputs!M229+IF(Inputs!$F$35&gt;0,IF(M8=33,-7.5,0)+IF(M8=33+Inputs!$F$35,7.5,0),0))</f>
        <v>0.2284</v>
      </c>
      <c r="N20" s="11" t="n">
        <f aca="false">IF(Inputs!$F$34=2,Inputs!N230,Inputs!N229+IF(Inputs!$F$35&gt;0,IF(N8=33,-7.5,0)+IF(N8=33+Inputs!$F$35,7.5,0),0))</f>
        <v>0.4235</v>
      </c>
      <c r="O20" s="11" t="n">
        <f aca="false">IF(Inputs!$F$34=2,Inputs!O230,Inputs!O229+IF(Inputs!$F$35&gt;0,IF(O8=33,-7.5,0)+IF(O8=33+Inputs!$F$35,7.5,0),0))</f>
        <v>0.6612</v>
      </c>
      <c r="P20" s="11" t="n">
        <f aca="false">IF(Inputs!$F$34=2,Inputs!P230,Inputs!P229+IF(Inputs!$F$35&gt;0,IF(P8=33,-7.5,0)+IF(P8=33+Inputs!$F$35,7.5,0),0))</f>
        <v>0.9313</v>
      </c>
      <c r="Q20" s="11" t="n">
        <f aca="false">IF(Inputs!$F$34=2,Inputs!Q230,Inputs!Q229+IF(Inputs!$F$35&gt;0,IF(Q8=33,-7.5,0)+IF(Q8=33+Inputs!$F$35,7.5,0),0))</f>
        <v>1.2242</v>
      </c>
      <c r="R20" s="11" t="n">
        <f aca="false">IF(Inputs!$F$34=2,Inputs!R230,Inputs!R229+IF(Inputs!$F$35&gt;0,IF(R8=33,-7.5,0)+IF(R8=33+Inputs!$F$35,7.5,0),0))</f>
        <v>1.5311</v>
      </c>
      <c r="S20" s="11" t="n">
        <f aca="false">IF(Inputs!$F$34=2,Inputs!S230,Inputs!S229+IF(Inputs!$F$35&gt;0,IF(S8=33,-7.5,0)+IF(S8=33+Inputs!$F$35,7.5,0),0))</f>
        <v>1.8437</v>
      </c>
      <c r="T20" s="11" t="n">
        <f aca="false">IF(Inputs!$F$34=2,Inputs!T230,Inputs!T229+IF(Inputs!$F$35&gt;0,IF(T8=33,-7.5,0)+IF(T8=33+Inputs!$F$35,7.5,0),0))</f>
        <v>2.1545</v>
      </c>
      <c r="U20" s="11" t="n">
        <f aca="false">IF(Inputs!$F$34=2,Inputs!U230,Inputs!U229+IF(Inputs!$F$35&gt;0,IF(U8=33,-7.5,0)+IF(U8=33+Inputs!$F$35,7.5,0),0))</f>
        <v>2.4565</v>
      </c>
      <c r="V20" s="11" t="n">
        <f aca="false">IF(Inputs!$F$34=2,Inputs!V230,Inputs!V229+IF(Inputs!$F$35&gt;0,IF(V8=33,-7.5,0)+IF(V8=33+Inputs!$F$35,7.5,0),0))</f>
        <v>2.7436</v>
      </c>
      <c r="W20" s="11" t="n">
        <f aca="false">IF(Inputs!$F$34=2,Inputs!W230,Inputs!W229+IF(Inputs!$F$35&gt;0,IF(W8=33,-7.5,0)+IF(W8=33+Inputs!$F$35,7.5,0),0))</f>
        <v>3.01</v>
      </c>
      <c r="X20" s="11" t="n">
        <f aca="false">IF(Inputs!$F$34=2,Inputs!X230,Inputs!X229+IF(Inputs!$F$35&gt;0,IF(X8=33,-7.5,0)+IF(X8=33+Inputs!$F$35,7.5,0),0))</f>
        <v>3.2509</v>
      </c>
      <c r="Y20" s="11" t="n">
        <f aca="false">IF(Inputs!$F$34=2,Inputs!Y230,Inputs!Y229+IF(Inputs!$F$35&gt;0,IF(Y8=33,-7.5,0)+IF(Y8=33+Inputs!$F$35,7.5,0),0))</f>
        <v>3.4619</v>
      </c>
      <c r="Z20" s="11" t="n">
        <f aca="false">IF(Inputs!$F$34=2,Inputs!Z230,Inputs!Z229+IF(Inputs!$F$35&gt;0,IF(Z8=33,-7.5,0)+IF(Z8=33+Inputs!$F$35,7.5,0),0))</f>
        <v>3.6396</v>
      </c>
      <c r="AA20" s="11" t="n">
        <f aca="false">IF(Inputs!$F$34=2,Inputs!AA230,Inputs!AA229+IF(Inputs!$F$35&gt;0,IF(AA8=33,-7.5,0)+IF(AA8=33+Inputs!$F$35,7.5,0),0))</f>
        <v>3.7808</v>
      </c>
      <c r="AB20" s="11" t="n">
        <f aca="false">IF(Inputs!$F$34=2,Inputs!AB230,Inputs!AB229+IF(Inputs!$F$35&gt;0,IF(AB8=33,-7.5,0)+IF(AB8=33+Inputs!$F$35,7.5,0),0))</f>
        <v>3.8833</v>
      </c>
      <c r="AC20" s="11" t="n">
        <f aca="false">IF(Inputs!$F$34=2,Inputs!AC230,Inputs!AC229+IF(Inputs!$F$35&gt;0,IF(AC8=33,-7.5,0)+IF(AC8=33+Inputs!$F$35,7.5,0),0))</f>
        <v>3.9455</v>
      </c>
      <c r="AD20" s="11" t="n">
        <f aca="false">IF(Inputs!$F$34=2,Inputs!AD230,Inputs!AD229+IF(Inputs!$F$35&gt;0,IF(AD8=33,-7.5,0)+IF(AD8=33+Inputs!$F$35,7.5,0),0))</f>
        <v>3.966</v>
      </c>
      <c r="AE20" s="11" t="n">
        <f aca="false">IF(Inputs!$F$34=2,Inputs!AE230,Inputs!AE229+IF(Inputs!$F$35&gt;0,IF(AE8=33,-7.5,0)+IF(AE8=33+Inputs!$F$35,7.5,0),0))</f>
        <v>3.9455</v>
      </c>
      <c r="AF20" s="11" t="n">
        <f aca="false">IF(Inputs!$F$34=2,Inputs!AF230,Inputs!AF229+IF(Inputs!$F$35&gt;0,IF(AF8=33,-7.5,0)+IF(AF8=33+Inputs!$F$35,7.5,0),0))</f>
        <v>3.8833</v>
      </c>
      <c r="AG20" s="11" t="n">
        <f aca="false">IF(Inputs!$F$34=2,Inputs!AG230,Inputs!AG229+IF(Inputs!$F$35&gt;0,IF(AG8=33,-7.5,0)+IF(AG8=33+Inputs!$F$35,7.5,0),0))</f>
        <v>3.7808</v>
      </c>
      <c r="AH20" s="11" t="n">
        <f aca="false">IF(Inputs!$F$34=2,Inputs!AH230,Inputs!AH229+IF(Inputs!$F$35&gt;0,IF(AH8=33,-7.5,0)+IF(AH8=33+Inputs!$F$35,7.5,0),0))</f>
        <v>3.6396</v>
      </c>
      <c r="AI20" s="11" t="n">
        <f aca="false">IF(Inputs!$F$34=2,Inputs!AI230,Inputs!AI229+IF(Inputs!$F$35&gt;0,IF(AI8=33,-7.5,0)+IF(AI8=33+Inputs!$F$35,7.5,0),0))</f>
        <v>3.4619</v>
      </c>
      <c r="AJ20" s="11" t="n">
        <f aca="false">IF(Inputs!$F$34=2,Inputs!AJ230,Inputs!AJ229+IF(Inputs!$F$35&gt;0,IF(AJ8=33,-7.5,0)+IF(AJ8=33+Inputs!$F$35,7.5,0),0))</f>
        <v>3.2509</v>
      </c>
      <c r="AK20" s="11" t="n">
        <f aca="false">IF(Inputs!$F$34=2,Inputs!AK230,Inputs!AK229+IF(Inputs!$F$35&gt;0,IF(AK8=33,-7.5,0)+IF(AK8=33+Inputs!$F$35,7.5,0),0))</f>
        <v>3.01</v>
      </c>
      <c r="AL20" s="11" t="n">
        <f aca="false">IF(Inputs!$F$34=2,Inputs!AL230,Inputs!AL229+IF(Inputs!$F$35&gt;0,IF(AL8=33,-7.5,0)+IF(AL8=33+Inputs!$F$35,7.5,0),0))</f>
        <v>2.7436</v>
      </c>
      <c r="AM20" s="11" t="n">
        <f aca="false">IF(Inputs!$F$34=2,Inputs!AM230,Inputs!AM229+IF(Inputs!$F$35&gt;0,IF(AM8=33,-7.5,0)+IF(AM8=33+Inputs!$F$35,7.5,0),0))</f>
        <v>2.4565</v>
      </c>
      <c r="AN20" s="11" t="n">
        <f aca="false">IF(Inputs!$F$34=2,Inputs!AN230,Inputs!AN229+IF(Inputs!$F$35&gt;0,IF(AN8=33,-7.5,0)+IF(AN8=33+Inputs!$F$35,7.5,0),0))</f>
        <v>2.1545</v>
      </c>
      <c r="AO20" s="11" t="n">
        <f aca="false">IF(Inputs!$F$34=2,Inputs!AO230,Inputs!AO229+IF(Inputs!$F$35&gt;0,IF(AO8=33,-7.5,0)+IF(AO8=33+Inputs!$F$35,7.5,0),0))</f>
        <v>1.8437</v>
      </c>
      <c r="AP20" s="11" t="n">
        <f aca="false">IF(Inputs!$F$34=2,Inputs!AP230,Inputs!AP229+IF(Inputs!$F$35&gt;0,IF(AP8=33,-7.5,0)+IF(AP8=33+Inputs!$F$35,7.5,0),0))</f>
        <v>1.5311</v>
      </c>
      <c r="AQ20" s="11" t="n">
        <f aca="false">IF(Inputs!$F$34=2,Inputs!AQ230,Inputs!AQ229+IF(Inputs!$F$35&gt;0,IF(AQ8=33,-7.5,0)+IF(AQ8=33+Inputs!$F$35,7.5,0),0))</f>
        <v>1.2242</v>
      </c>
      <c r="AR20" s="11" t="n">
        <f aca="false">IF(Inputs!$F$34=2,Inputs!AR230,Inputs!AR229+IF(Inputs!$F$35&gt;0,IF(AR8=33,-7.5,0)+IF(AR8=33+Inputs!$F$35,7.5,0),0))</f>
        <v>0.9313</v>
      </c>
      <c r="AS20" s="11" t="n">
        <f aca="false">IF(Inputs!$F$34=2,Inputs!AS230,Inputs!AS229+IF(Inputs!$F$35&gt;0,IF(AS8=33,-7.5,0)+IF(AS8=33+Inputs!$F$35,7.5,0),0))</f>
        <v>0.6612</v>
      </c>
      <c r="AT20" s="11" t="n">
        <f aca="false">IF(Inputs!$F$34=2,Inputs!AT230,Inputs!AT229+IF(Inputs!$F$35&gt;0,IF(AT8=33,-7.5,0)+IF(AT8=33+Inputs!$F$35,7.5,0),0))</f>
        <v>0.4235</v>
      </c>
      <c r="AU20" s="11" t="n">
        <f aca="false">IF(Inputs!$F$34=2,Inputs!AU230,Inputs!AU229+IF(Inputs!$F$35&gt;0,IF(AU8=33,-7.5,0)+IF(AU8=33+Inputs!$F$35,7.5,0),0))</f>
        <v>0.2284</v>
      </c>
      <c r="AV20" s="11" t="n">
        <f aca="false">IF(Inputs!$F$34=2,Inputs!AV230,Inputs!AV229+IF(Inputs!$F$35&gt;0,IF(AV8=33,-7.5,0)+IF(AV8=33+Inputs!$F$35,7.5,0),0))</f>
        <v>0.0868</v>
      </c>
      <c r="AW20" s="11" t="n">
        <f aca="false">IF(Inputs!$F$34=2,Inputs!AW230,Inputs!AW229+IF(Inputs!$F$35&gt;0,IF(AW8=33,-7.5,0)+IF(AW8=33+Inputs!$F$35,7.5,0),0))</f>
        <v>7.5102</v>
      </c>
      <c r="AX20" s="11" t="n">
        <f aca="false">IF(Inputs!$F$34=2,Inputs!AX230,Inputs!AX229+IF(Inputs!$F$35&gt;0,IF(AX8=33,-7.5,0)+IF(AX8=33+Inputs!$F$35,7.5,0),0))</f>
        <v>0</v>
      </c>
      <c r="AY20" s="11" t="n">
        <f aca="false">IF(Inputs!$F$34=2,Inputs!AY230,Inputs!AY229+IF(Inputs!$F$35&gt;0,IF(AY8=33,-7.5,0)+IF(AY8=33+Inputs!$F$35,7.5,0),0))</f>
        <v>0</v>
      </c>
      <c r="AZ20" s="11" t="n">
        <f aca="false">IF(Inputs!$F$34=2,Inputs!AZ230,Inputs!AZ229+IF(Inputs!$F$35&gt;0,IF(AZ8=33,-7.5,0)+IF(AZ8=33+Inputs!$F$35,7.5,0),0))</f>
        <v>0</v>
      </c>
      <c r="BA20" s="11" t="n">
        <f aca="false">IF(Inputs!$F$34=2,Inputs!BA230,Inputs!BA229+IF(Inputs!$F$35&gt;0,IF(BA8=33,-7.5,0)+IF(BA8=33+Inputs!$F$35,7.5,0),0))</f>
        <v>0</v>
      </c>
      <c r="BB20" s="11" t="n">
        <f aca="false">IF(Inputs!$F$34=2,Inputs!BB230,Inputs!BB229+IF(Inputs!$F$35&gt;0,IF(BB8=33,-7.5,0)+IF(BB8=33+Inputs!$F$35,7.5,0),0))</f>
        <v>0</v>
      </c>
      <c r="BC20" s="11" t="n">
        <f aca="false">IF(Inputs!$F$34=2,Inputs!BC230,Inputs!BC229+IF(Inputs!$F$35&gt;0,IF(BC8=33,-7.5,0)+IF(BC8=33+Inputs!$F$35,7.5,0),0))</f>
        <v>0</v>
      </c>
      <c r="BD20" s="11" t="n">
        <f aca="false">IF(Inputs!$F$34=2,Inputs!BD230,Inputs!BD229+IF(Inputs!$F$35&gt;0,IF(BD8=33,-7.5,0)+IF(BD8=33+Inputs!$F$35,7.5,0),0))</f>
        <v>0</v>
      </c>
      <c r="BE20" s="11" t="n">
        <f aca="false">IF(Inputs!$F$34=2,Inputs!BE230,Inputs!BE229+IF(Inputs!$F$35&gt;0,IF(BE8=33,-7.5,0)+IF(BE8=33+Inputs!$F$35,7.5,0),0))</f>
        <v>0</v>
      </c>
      <c r="BF20" s="11" t="n">
        <f aca="false">IF(Inputs!$F$34=2,Inputs!BF230,Inputs!BF229+IF(Inputs!$F$35&gt;0,IF(BF8=33,-7.5,0)+IF(BF8=33+Inputs!$F$35,7.5,0),0))</f>
        <v>0</v>
      </c>
      <c r="BG20" s="11" t="n">
        <f aca="false">IF(Inputs!$F$34=2,Inputs!BG230,Inputs!BG229+IF(Inputs!$F$35&gt;0,IF(BG8=33,-7.5,0)+IF(BG8=33+Inputs!$F$35,7.5,0),0))</f>
        <v>0</v>
      </c>
      <c r="BH20" s="11" t="n">
        <f aca="false">IF(Inputs!$F$34=2,Inputs!BH230,Inputs!BH229+IF(Inputs!$F$35&gt;0,IF(BH8=33,-7.5,0)+IF(BH8=33+Inputs!$F$35,7.5,0),0))</f>
        <v>0</v>
      </c>
      <c r="BI20" s="11" t="n">
        <f aca="false">IF(Inputs!$F$34=2,Inputs!BI230,Inputs!BI229+IF(Inputs!$F$35&gt;0,IF(BI8=33,-7.5,0)+IF(BI8=33+Inputs!$F$35,7.5,0),0))</f>
        <v>0</v>
      </c>
      <c r="BJ20" s="11" t="n">
        <f aca="false">IF(Inputs!$F$34=2,Inputs!BJ230,Inputs!BJ229+IF(Inputs!$F$35&gt;0,IF(BJ8=33,-7.5,0)+IF(BJ8=33+Inputs!$F$35,7.5,0),0))</f>
        <v>0</v>
      </c>
    </row>
    <row r="21" customFormat="false" ht="15" hidden="false" customHeight="false" outlineLevel="0" collapsed="false">
      <c r="D21" s="0" t="s">
        <v>444</v>
      </c>
      <c r="E21" s="0" t="s">
        <v>103</v>
      </c>
      <c r="J21" s="11" t="n">
        <f aca="false">IF(J8=1,0,J20)-IF(J8=Time!$F$10,7.5,0)</f>
        <v>0</v>
      </c>
      <c r="K21" s="11" t="n">
        <f aca="false">IF(K8=1,0,K20)-IF(K8=Time!$F$10,7.5,0)</f>
        <v>0.0102</v>
      </c>
      <c r="L21" s="11" t="n">
        <f aca="false">IF(L8=1,0,L20)-IF(L8=Time!$F$10,7.5,0)</f>
        <v>0.0868</v>
      </c>
      <c r="M21" s="11" t="n">
        <f aca="false">IF(M8=1,0,M20)-IF(M8=Time!$F$10,7.5,0)</f>
        <v>0.2284</v>
      </c>
      <c r="N21" s="11" t="n">
        <f aca="false">IF(N8=1,0,N20)-IF(N8=Time!$F$10,7.5,0)</f>
        <v>0.4235</v>
      </c>
      <c r="O21" s="11" t="n">
        <f aca="false">IF(O8=1,0,O20)-IF(O8=Time!$F$10,7.5,0)</f>
        <v>0.6612</v>
      </c>
      <c r="P21" s="11" t="n">
        <f aca="false">IF(P8=1,0,P20)-IF(P8=Time!$F$10,7.5,0)</f>
        <v>0.9313</v>
      </c>
      <c r="Q21" s="11" t="n">
        <f aca="false">IF(Q8=1,0,Q20)-IF(Q8=Time!$F$10,7.5,0)</f>
        <v>1.2242</v>
      </c>
      <c r="R21" s="11" t="n">
        <f aca="false">IF(R8=1,0,R20)-IF(R8=Time!$F$10,7.5,0)</f>
        <v>1.5311</v>
      </c>
      <c r="S21" s="11" t="n">
        <f aca="false">IF(S8=1,0,S20)-IF(S8=Time!$F$10,7.5,0)</f>
        <v>1.8437</v>
      </c>
      <c r="T21" s="11" t="n">
        <f aca="false">IF(T8=1,0,T20)-IF(T8=Time!$F$10,7.5,0)</f>
        <v>2.1545</v>
      </c>
      <c r="U21" s="11" t="n">
        <f aca="false">IF(U8=1,0,U20)-IF(U8=Time!$F$10,7.5,0)</f>
        <v>2.4565</v>
      </c>
      <c r="V21" s="11" t="n">
        <f aca="false">IF(V8=1,0,V20)-IF(V8=Time!$F$10,7.5,0)</f>
        <v>2.7436</v>
      </c>
      <c r="W21" s="11" t="n">
        <f aca="false">IF(W8=1,0,W20)-IF(W8=Time!$F$10,7.5,0)</f>
        <v>3.01</v>
      </c>
      <c r="X21" s="11" t="n">
        <f aca="false">IF(X8=1,0,X20)-IF(X8=Time!$F$10,7.5,0)</f>
        <v>3.2509</v>
      </c>
      <c r="Y21" s="11" t="n">
        <f aca="false">IF(Y8=1,0,Y20)-IF(Y8=Time!$F$10,7.5,0)</f>
        <v>3.4619</v>
      </c>
      <c r="Z21" s="11" t="n">
        <f aca="false">IF(Z8=1,0,Z20)-IF(Z8=Time!$F$10,7.5,0)</f>
        <v>3.6396</v>
      </c>
      <c r="AA21" s="11" t="n">
        <f aca="false">IF(AA8=1,0,AA20)-IF(AA8=Time!$F$10,7.5,0)</f>
        <v>3.7808</v>
      </c>
      <c r="AB21" s="11" t="n">
        <f aca="false">IF(AB8=1,0,AB20)-IF(AB8=Time!$F$10,7.5,0)</f>
        <v>3.8833</v>
      </c>
      <c r="AC21" s="11" t="n">
        <f aca="false">IF(AC8=1,0,AC20)-IF(AC8=Time!$F$10,7.5,0)</f>
        <v>3.9455</v>
      </c>
      <c r="AD21" s="11" t="n">
        <f aca="false">IF(AD8=1,0,AD20)-IF(AD8=Time!$F$10,7.5,0)</f>
        <v>3.966</v>
      </c>
      <c r="AE21" s="11" t="n">
        <f aca="false">IF(AE8=1,0,AE20)-IF(AE8=Time!$F$10,7.5,0)</f>
        <v>3.9455</v>
      </c>
      <c r="AF21" s="11" t="n">
        <f aca="false">IF(AF8=1,0,AF20)-IF(AF8=Time!$F$10,7.5,0)</f>
        <v>3.8833</v>
      </c>
      <c r="AG21" s="11" t="n">
        <f aca="false">IF(AG8=1,0,AG20)-IF(AG8=Time!$F$10,7.5,0)</f>
        <v>3.7808</v>
      </c>
      <c r="AH21" s="11" t="n">
        <f aca="false">IF(AH8=1,0,AH20)-IF(AH8=Time!$F$10,7.5,0)</f>
        <v>3.6396</v>
      </c>
      <c r="AI21" s="11" t="n">
        <f aca="false">IF(AI8=1,0,AI20)-IF(AI8=Time!$F$10,7.5,0)</f>
        <v>3.4619</v>
      </c>
      <c r="AJ21" s="11" t="n">
        <f aca="false">IF(AJ8=1,0,AJ20)-IF(AJ8=Time!$F$10,7.5,0)</f>
        <v>3.2509</v>
      </c>
      <c r="AK21" s="11" t="n">
        <f aca="false">IF(AK8=1,0,AK20)-IF(AK8=Time!$F$10,7.5,0)</f>
        <v>3.01</v>
      </c>
      <c r="AL21" s="11" t="n">
        <f aca="false">IF(AL8=1,0,AL20)-IF(AL8=Time!$F$10,7.5,0)</f>
        <v>2.7436</v>
      </c>
      <c r="AM21" s="11" t="n">
        <f aca="false">IF(AM8=1,0,AM20)-IF(AM8=Time!$F$10,7.5,0)</f>
        <v>2.4565</v>
      </c>
      <c r="AN21" s="11" t="n">
        <f aca="false">IF(AN8=1,0,AN20)-IF(AN8=Time!$F$10,7.5,0)</f>
        <v>2.1545</v>
      </c>
      <c r="AO21" s="11" t="n">
        <f aca="false">IF(AO8=1,0,AO20)-IF(AO8=Time!$F$10,7.5,0)</f>
        <v>1.8437</v>
      </c>
      <c r="AP21" s="11" t="n">
        <f aca="false">IF(AP8=1,0,AP20)-IF(AP8=Time!$F$10,7.5,0)</f>
        <v>1.5311</v>
      </c>
      <c r="AQ21" s="11" t="n">
        <f aca="false">IF(AQ8=1,0,AQ20)-IF(AQ8=Time!$F$10,7.5,0)</f>
        <v>1.2242</v>
      </c>
      <c r="AR21" s="11" t="n">
        <f aca="false">IF(AR8=1,0,AR20)-IF(AR8=Time!$F$10,7.5,0)</f>
        <v>0.9313</v>
      </c>
      <c r="AS21" s="11" t="n">
        <f aca="false">IF(AS8=1,0,AS20)-IF(AS8=Time!$F$10,7.5,0)</f>
        <v>0.6612</v>
      </c>
      <c r="AT21" s="11" t="n">
        <f aca="false">IF(AT8=1,0,AT20)-IF(AT8=Time!$F$10,7.5,0)</f>
        <v>0.4235</v>
      </c>
      <c r="AU21" s="11" t="n">
        <f aca="false">IF(AU8=1,0,AU20)-IF(AU8=Time!$F$10,7.5,0)</f>
        <v>0.2284</v>
      </c>
      <c r="AV21" s="11" t="n">
        <f aca="false">IF(AV8=1,0,AV20)-IF(AV8=Time!$F$10,7.5,0)</f>
        <v>0.0868</v>
      </c>
      <c r="AW21" s="11" t="n">
        <f aca="false">IF(AW8=1,0,AW20)-IF(AW8=Time!$F$10,7.5,0)</f>
        <v>0.0102000000000002</v>
      </c>
      <c r="AX21" s="11" t="n">
        <f aca="false">IF(AX8=1,0,AX20)-IF(AX8=Time!$F$10,7.5,0)</f>
        <v>0</v>
      </c>
      <c r="AY21" s="11" t="n">
        <f aca="false">IF(AY8=1,0,AY20)-IF(AY8=Time!$F$10,7.5,0)</f>
        <v>0</v>
      </c>
      <c r="AZ21" s="11" t="n">
        <f aca="false">IF(AZ8=1,0,AZ20)-IF(AZ8=Time!$F$10,7.5,0)</f>
        <v>0</v>
      </c>
      <c r="BA21" s="11" t="n">
        <f aca="false">IF(BA8=1,0,BA20)-IF(BA8=Time!$F$10,7.5,0)</f>
        <v>0</v>
      </c>
      <c r="BB21" s="11" t="n">
        <f aca="false">IF(BB8=1,0,BB20)-IF(BB8=Time!$F$10,7.5,0)</f>
        <v>0</v>
      </c>
      <c r="BC21" s="11" t="n">
        <f aca="false">IF(BC8=1,0,BC20)-IF(BC8=Time!$F$10,7.5,0)</f>
        <v>0</v>
      </c>
      <c r="BD21" s="11" t="n">
        <f aca="false">IF(BD8=1,0,BD20)-IF(BD8=Time!$F$10,7.5,0)</f>
        <v>0</v>
      </c>
      <c r="BE21" s="11" t="n">
        <f aca="false">IF(BE8=1,0,BE20)-IF(BE8=Time!$F$10,7.5,0)</f>
        <v>0</v>
      </c>
      <c r="BF21" s="11" t="n">
        <f aca="false">IF(BF8=1,0,BF20)-IF(BF8=Time!$F$10,7.5,0)</f>
        <v>0</v>
      </c>
      <c r="BG21" s="11" t="n">
        <f aca="false">IF(BG8=1,0,BG20)-IF(BG8=Time!$F$10,7.5,0)</f>
        <v>0</v>
      </c>
      <c r="BH21" s="11" t="n">
        <f aca="false">IF(BH8=1,0,BH20)-IF(BH8=Time!$F$10,7.5,0)</f>
        <v>0</v>
      </c>
      <c r="BI21" s="11" t="n">
        <f aca="false">IF(BI8=1,0,BI20)-IF(BI8=Time!$F$10,7.5,0)</f>
        <v>0</v>
      </c>
      <c r="BJ21" s="11" t="n">
        <f aca="false">IF(BJ8=1,0,BJ20)-IF(BJ8=Time!$F$10,7.5,0)</f>
        <v>0</v>
      </c>
    </row>
    <row r="22" customFormat="false" ht="15" hidden="false" customHeight="false" outlineLevel="0" collapsed="false">
      <c r="D22" s="0" t="s">
        <v>445</v>
      </c>
      <c r="E22" s="0" t="s">
        <v>149</v>
      </c>
      <c r="G22" s="11" t="n">
        <f aca="false">SUM(J22:BJ22)</f>
        <v>565.121630382208</v>
      </c>
      <c r="J22" s="11" t="n">
        <f aca="false">IF(Inputs!$F$34=2,J20/100*Inputs!$F$58+J20/100*Inputs!$F$59*Inputs!$F$60/J16,Inputs!$F$57*Inputs!$F$36*J20/100)</f>
        <v>57.1020548989707</v>
      </c>
      <c r="K22" s="11" t="n">
        <f aca="false">IF(Inputs!$F$34=2,K20/100*Inputs!$F$58+K20/100*Inputs!$F$59*Inputs!$F$60/K16,Inputs!$F$57*Inputs!$F$36*K20/100)</f>
        <v>0.0582440959969501</v>
      </c>
      <c r="L22" s="11" t="n">
        <f aca="false">IF(Inputs!$F$34=2,L20/100*Inputs!$F$58+L20/100*Inputs!$F$59*Inputs!$F$60/L16,Inputs!$F$57*Inputs!$F$36*L20/100)</f>
        <v>0.495645836523065</v>
      </c>
      <c r="M22" s="11" t="n">
        <f aca="false">IF(Inputs!$F$34=2,M20/100*Inputs!$F$58+M20/100*Inputs!$F$59*Inputs!$F$60/M16,Inputs!$F$57*Inputs!$F$36*M20/100)</f>
        <v>1.30421093389249</v>
      </c>
      <c r="N22" s="11" t="n">
        <f aca="false">IF(Inputs!$F$34=2,N20/100*Inputs!$F$58+N20/100*Inputs!$F$59*Inputs!$F$60/N16,Inputs!$F$57*Inputs!$F$36*N20/100)</f>
        <v>2.41827202497141</v>
      </c>
      <c r="O22" s="11" t="n">
        <f aca="false">IF(Inputs!$F$34=2,O20/100*Inputs!$F$58+O20/100*Inputs!$F$59*Inputs!$F$60/O16,Inputs!$F$57*Inputs!$F$36*O20/100)</f>
        <v>3.76103149905398</v>
      </c>
      <c r="P22" s="11" t="n">
        <f aca="false">IF(Inputs!$F$34=2,P20/100*Inputs!$F$58+P20/100*Inputs!$F$59*Inputs!$F$60/P16,Inputs!$F$57*Inputs!$F$36*P20/100)</f>
        <v>5.29741172877945</v>
      </c>
      <c r="Q22" s="11" t="n">
        <f aca="false">IF(Inputs!$F$34=2,Q20/100*Inputs!$F$58+Q20/100*Inputs!$F$59*Inputs!$F$60/Q16,Inputs!$F$57*Inputs!$F$36*Q20/100)</f>
        <v>6.9634826998516</v>
      </c>
      <c r="R22" s="11" t="n">
        <f aca="false">IF(Inputs!$F$34=2,R20/100*Inputs!$F$58+R20/100*Inputs!$F$59*Inputs!$F$60/R16,Inputs!$F$57*Inputs!$F$36*R20/100)</f>
        <v>8.70918833666296</v>
      </c>
      <c r="S22" s="11" t="n">
        <f aca="false">IF(Inputs!$F$34=2,S20/100*Inputs!$F$58+S20/100*Inputs!$F$59*Inputs!$F$60/S16,Inputs!$F$57*Inputs!$F$36*S20/100)</f>
        <v>10.487316658811</v>
      </c>
      <c r="T22" s="11" t="n">
        <f aca="false">IF(Inputs!$F$34=2,T20/100*Inputs!$F$58+T20/100*Inputs!$F$59*Inputs!$F$60/T16,Inputs!$F$57*Inputs!$F$36*T20/100)</f>
        <v>12.2552062382211</v>
      </c>
      <c r="U22" s="11" t="n">
        <f aca="false">IF(Inputs!$F$34=2,U20/100*Inputs!$F$58+U20/100*Inputs!$F$59*Inputs!$F$60/U16,Inputs!$F$57*Inputs!$F$36*U20/100)</f>
        <v>13.9297416102576</v>
      </c>
      <c r="V22" s="11" t="n">
        <f aca="false">IF(Inputs!$F$34=2,V20/100*Inputs!$F$58+V20/100*Inputs!$F$59*Inputs!$F$60/V16,Inputs!$F$57*Inputs!$F$36*V20/100)</f>
        <v>15.5577606683911</v>
      </c>
      <c r="W22" s="11" t="n">
        <f aca="false">IF(Inputs!$F$34=2,W20/100*Inputs!$F$58+W20/100*Inputs!$F$59*Inputs!$F$60/W16,Inputs!$F$57*Inputs!$F$36*W20/100)</f>
        <v>17.0683990420824</v>
      </c>
      <c r="X22" s="11" t="n">
        <f aca="false">IF(Inputs!$F$34=2,X20/100*Inputs!$F$58+X20/100*Inputs!$F$59*Inputs!$F$60/X16,Inputs!$F$57*Inputs!$F$36*X20/100)</f>
        <v>18.4344380218955</v>
      </c>
      <c r="Y22" s="11" t="n">
        <f aca="false">IF(Inputs!$F$34=2,Y20/100*Inputs!$F$58+Y20/100*Inputs!$F$59*Inputs!$F$60/Y16,Inputs!$F$57*Inputs!$F$36*Y20/100)</f>
        <v>19.630927124181</v>
      </c>
      <c r="Z22" s="11" t="n">
        <f aca="false">IF(Inputs!$F$34=2,Z20/100*Inputs!$F$58+Z20/100*Inputs!$F$59*Inputs!$F$60/Z16,Inputs!$F$57*Inputs!$F$36*Z20/100)</f>
        <v>20.6385864297551</v>
      </c>
      <c r="AA22" s="11" t="n">
        <f aca="false">IF(Inputs!$F$34=2,AA20/100*Inputs!$F$58+AA20/100*Inputs!$F$59*Inputs!$F$60/AA16,Inputs!$F$57*Inputs!$F$36*AA20/100)</f>
        <v>21.3627903755194</v>
      </c>
      <c r="AB22" s="11" t="n">
        <f aca="false">IF(Inputs!$F$34=2,AB20/100*Inputs!$F$58+AB20/100*Inputs!$F$59*Inputs!$F$60/AB16,Inputs!$F$57*Inputs!$F$36*AB20/100)</f>
        <v>21.9419498162438</v>
      </c>
      <c r="AC22" s="11" t="n">
        <f aca="false">IF(Inputs!$F$34=2,AC20/100*Inputs!$F$58+AC20/100*Inputs!$F$59*Inputs!$F$60/AC16,Inputs!$F$57*Inputs!$F$36*AC20/100)</f>
        <v>22.2934007158834</v>
      </c>
      <c r="AD22" s="11" t="n">
        <f aca="false">IF(Inputs!$F$34=2,AD20/100*Inputs!$F$58+AD20/100*Inputs!$F$59*Inputs!$F$60/AD16,Inputs!$F$57*Inputs!$F$36*AD20/100)</f>
        <v>22.4092326040283</v>
      </c>
      <c r="AE22" s="11" t="n">
        <f aca="false">IF(Inputs!$F$34=2,AE20/100*Inputs!$F$58+AE20/100*Inputs!$F$59*Inputs!$F$60/AE16,Inputs!$F$57*Inputs!$F$36*AE20/100)</f>
        <v>22.2934007158834</v>
      </c>
      <c r="AF22" s="11" t="n">
        <f aca="false">IF(Inputs!$F$34=2,AF20/100*Inputs!$F$58+AF20/100*Inputs!$F$59*Inputs!$F$60/AF16,Inputs!$F$57*Inputs!$F$36*AF20/100)</f>
        <v>21.9419498162438</v>
      </c>
      <c r="AG22" s="11" t="n">
        <f aca="false">IF(Inputs!$F$34=2,AG20/100*Inputs!$F$58+AG20/100*Inputs!$F$59*Inputs!$F$60/AG16,Inputs!$F$57*Inputs!$F$36*AG20/100)</f>
        <v>21.2945222416557</v>
      </c>
      <c r="AH22" s="11" t="n">
        <f aca="false">IF(Inputs!$F$34=2,AH20/100*Inputs!$F$58+AH20/100*Inputs!$F$59*Inputs!$F$60/AH16,Inputs!$F$57*Inputs!$F$36*AH20/100)</f>
        <v>20.4992443796896</v>
      </c>
      <c r="AI22" s="11" t="n">
        <f aca="false">IF(Inputs!$F$34=2,AI20/100*Inputs!$F$58+AI20/100*Inputs!$F$59*Inputs!$F$60/AI16,Inputs!$F$57*Inputs!$F$36*AI20/100)</f>
        <v>19.498388316861</v>
      </c>
      <c r="AJ22" s="11" t="n">
        <f aca="false">IF(Inputs!$F$34=2,AJ20/100*Inputs!$F$58+AJ20/100*Inputs!$F$59*Inputs!$F$60/AJ16,Inputs!$F$57*Inputs!$F$36*AJ20/100)</f>
        <v>18.3099773474922</v>
      </c>
      <c r="AK22" s="11" t="n">
        <f aca="false">IF(Inputs!$F$34=2,AK20/100*Inputs!$F$58+AK20/100*Inputs!$F$59*Inputs!$F$60/AK16,Inputs!$F$57*Inputs!$F$36*AK20/100)</f>
        <v>16.9531612218006</v>
      </c>
      <c r="AL22" s="11" t="n">
        <f aca="false">IF(Inputs!$F$34=2,AL20/100*Inputs!$F$58+AL20/100*Inputs!$F$59*Inputs!$F$60/AL16,Inputs!$F$57*Inputs!$F$36*AL20/100)</f>
        <v>15.4527219694791</v>
      </c>
      <c r="AM22" s="11" t="n">
        <f aca="false">IF(Inputs!$F$34=2,AM20/100*Inputs!$F$58+AM20/100*Inputs!$F$59*Inputs!$F$60/AM16,Inputs!$F$57*Inputs!$F$36*AM20/100)</f>
        <v>13.7820980986609</v>
      </c>
      <c r="AN22" s="11" t="n">
        <f aca="false">IF(Inputs!$F$34=2,AN20/100*Inputs!$F$58+AN20/100*Inputs!$F$59*Inputs!$F$60/AN16,Inputs!$F$57*Inputs!$F$36*AN20/100)</f>
        <v>12.0877387964848</v>
      </c>
      <c r="AO22" s="11" t="n">
        <f aca="false">IF(Inputs!$F$34=2,AO20/100*Inputs!$F$58+AO20/100*Inputs!$F$59*Inputs!$F$60/AO16,Inputs!$F$57*Inputs!$F$36*AO20/100)</f>
        <v>10.3440074351724</v>
      </c>
      <c r="AP22" s="11" t="n">
        <f aca="false">IF(Inputs!$F$34=2,AP20/100*Inputs!$F$58+AP20/100*Inputs!$F$59*Inputs!$F$60/AP16,Inputs!$F$57*Inputs!$F$36*AP20/100)</f>
        <v>8.59017724358219</v>
      </c>
      <c r="AQ22" s="11" t="n">
        <f aca="false">IF(Inputs!$F$34=2,AQ20/100*Inputs!$F$58+AQ20/100*Inputs!$F$59*Inputs!$F$60/AQ16,Inputs!$F$57*Inputs!$F$36*AQ20/100)</f>
        <v>6.86832668120522</v>
      </c>
      <c r="AR22" s="11" t="n">
        <f aca="false">IF(Inputs!$F$34=2,AR20/100*Inputs!$F$58+AR20/100*Inputs!$F$59*Inputs!$F$60/AR16,Inputs!$F$57*Inputs!$F$36*AR20/100)</f>
        <v>5.22502257654503</v>
      </c>
      <c r="AS22" s="11" t="n">
        <f aca="false">IF(Inputs!$F$34=2,AS20/100*Inputs!$F$58+AS20/100*Inputs!$F$59*Inputs!$F$60/AS16,Inputs!$F$57*Inputs!$F$36*AS20/100)</f>
        <v>3.70012585295276</v>
      </c>
      <c r="AT22" s="11" t="n">
        <f aca="false">IF(Inputs!$F$34=2,AT20/100*Inputs!$F$58+AT20/100*Inputs!$F$59*Inputs!$F$60/AT16,Inputs!$F$57*Inputs!$F$36*AT20/100)</f>
        <v>2.36993844332349</v>
      </c>
      <c r="AU22" s="11" t="n">
        <f aca="false">IF(Inputs!$F$34=2,AU20/100*Inputs!$F$58+AU20/100*Inputs!$F$59*Inputs!$F$60/AU16,Inputs!$F$57*Inputs!$F$36*AU20/100)</f>
        <v>1.27814389717848</v>
      </c>
      <c r="AV22" s="11" t="n">
        <f aca="false">IF(Inputs!$F$34=2,AV20/100*Inputs!$F$58+AV20/100*Inputs!$F$59*Inputs!$F$60/AV16,Inputs!$F$57*Inputs!$F$36*AV20/100)</f>
        <v>0.485739449540683</v>
      </c>
      <c r="AW22" s="11" t="n">
        <f aca="false">IF(Inputs!$F$34=2,AW20/100*Inputs!$F$58+AW20/100*Inputs!$F$59*Inputs!$F$60/AW16,Inputs!$F$57*Inputs!$F$36*AW20/100)</f>
        <v>42.0276545384843</v>
      </c>
      <c r="AX22" s="11" t="n">
        <f aca="false">IF(Inputs!$F$34=2,AX20/100*Inputs!$F$58+AX20/100*Inputs!$F$59*Inputs!$F$60/AX16,Inputs!$F$57*Inputs!$F$36*AX20/100)</f>
        <v>0</v>
      </c>
      <c r="AY22" s="11" t="n">
        <f aca="false">IF(Inputs!$F$34=2,AY20/100*Inputs!$F$58+AY20/100*Inputs!$F$59*Inputs!$F$60/AY16,Inputs!$F$57*Inputs!$F$36*AY20/100)</f>
        <v>0</v>
      </c>
      <c r="AZ22" s="11" t="n">
        <f aca="false">IF(Inputs!$F$34=2,AZ20/100*Inputs!$F$58+AZ20/100*Inputs!$F$59*Inputs!$F$60/AZ16,Inputs!$F$57*Inputs!$F$36*AZ20/100)</f>
        <v>0</v>
      </c>
      <c r="BA22" s="11" t="n">
        <f aca="false">IF(Inputs!$F$34=2,BA20/100*Inputs!$F$58+BA20/100*Inputs!$F$59*Inputs!$F$60/BA16,Inputs!$F$57*Inputs!$F$36*BA20/100)</f>
        <v>0</v>
      </c>
      <c r="BB22" s="11" t="n">
        <f aca="false">IF(Inputs!$F$34=2,BB20/100*Inputs!$F$58+BB20/100*Inputs!$F$59*Inputs!$F$60/BB16,Inputs!$F$57*Inputs!$F$36*BB20/100)</f>
        <v>0</v>
      </c>
      <c r="BC22" s="11" t="n">
        <f aca="false">IF(Inputs!$F$34=2,BC20/100*Inputs!$F$58+BC20/100*Inputs!$F$59*Inputs!$F$60/BC16,Inputs!$F$57*Inputs!$F$36*BC20/100)</f>
        <v>0</v>
      </c>
      <c r="BD22" s="11" t="n">
        <f aca="false">IF(Inputs!$F$34=2,BD20/100*Inputs!$F$58+BD20/100*Inputs!$F$59*Inputs!$F$60/BD16,Inputs!$F$57*Inputs!$F$36*BD20/100)</f>
        <v>0</v>
      </c>
      <c r="BE22" s="11" t="n">
        <f aca="false">IF(Inputs!$F$34=2,BE20/100*Inputs!$F$58+BE20/100*Inputs!$F$59*Inputs!$F$60/BE16,Inputs!$F$57*Inputs!$F$36*BE20/100)</f>
        <v>0</v>
      </c>
      <c r="BF22" s="11" t="n">
        <f aca="false">IF(Inputs!$F$34=2,BF20/100*Inputs!$F$58+BF20/100*Inputs!$F$59*Inputs!$F$60/BF16,Inputs!$F$57*Inputs!$F$36*BF20/100)</f>
        <v>0</v>
      </c>
      <c r="BG22" s="11" t="n">
        <f aca="false">IF(Inputs!$F$34=2,BG20/100*Inputs!$F$58+BG20/100*Inputs!$F$59*Inputs!$F$60/BG16,Inputs!$F$57*Inputs!$F$36*BG20/100)</f>
        <v>0</v>
      </c>
      <c r="BH22" s="11" t="n">
        <f aca="false">IF(Inputs!$F$34=2,BH20/100*Inputs!$F$58+BH20/100*Inputs!$F$59*Inputs!$F$60/BH16,Inputs!$F$57*Inputs!$F$36*BH20/100)</f>
        <v>0</v>
      </c>
      <c r="BI22" s="11" t="n">
        <f aca="false">IF(Inputs!$F$34=2,BI20/100*Inputs!$F$58+BI20/100*Inputs!$F$59*Inputs!$F$60/BI16,Inputs!$F$57*Inputs!$F$36*BI20/100)</f>
        <v>0</v>
      </c>
      <c r="BJ22" s="11" t="n">
        <f aca="false">IF(Inputs!$F$34=2,BJ20/100*Inputs!$F$58+BJ20/100*Inputs!$F$59*Inputs!$F$60/BJ16,Inputs!$F$57*Inputs!$F$36*BJ20/100)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154</v>
      </c>
      <c r="E23" s="0" t="s">
        <v>149</v>
      </c>
      <c r="G23" s="11" t="n">
        <f aca="false">SUM(J23:BJ23)</f>
        <v>53.11</v>
      </c>
      <c r="J23" s="11" t="n">
        <f aca="false">Inputs!$F$61*IF(Inputs!$F$34=1,Inputs!$F$36,1)*(Inputs!J231+IF(AND(Inputs!$F$34=1,J8&gt;33,J8&lt;=Time!$F$10),2.75,0))/100+IF(AND(Inputs!$F$34=2,J8&gt;=34,J8&lt;=40),Inputs!$F$69/7,0)</f>
        <v>5.5416</v>
      </c>
      <c r="K23" s="11" t="n">
        <f aca="false">Inputs!$F$61*IF(Inputs!$F$34=1,Inputs!$F$36,1)*(Inputs!K231+IF(AND(Inputs!$F$34=1,K8&gt;33,K8&lt;=Time!$F$10),2.75,0))/100+IF(AND(Inputs!$F$34=2,K8&gt;=34,K8&lt;=40),Inputs!$F$69/7,0)</f>
        <v>1.26995</v>
      </c>
      <c r="L23" s="11" t="n">
        <f aca="false">Inputs!$F$61*IF(Inputs!$F$34=1,Inputs!$F$36,1)*(Inputs!L231+IF(AND(Inputs!$F$34=1,L8&gt;33,L8&lt;=Time!$F$10),2.75,0))/100+IF(AND(Inputs!$F$34=2,L8&gt;=34,L8&lt;=40),Inputs!$F$69/7,0)</f>
        <v>1.26995</v>
      </c>
      <c r="M23" s="11" t="n">
        <f aca="false">Inputs!$F$61*IF(Inputs!$F$34=1,Inputs!$F$36,1)*(Inputs!M231+IF(AND(Inputs!$F$34=1,M8&gt;33,M8&lt;=Time!$F$10),2.75,0))/100+IF(AND(Inputs!$F$34=2,M8&gt;=34,M8&lt;=40),Inputs!$F$69/7,0)</f>
        <v>1.26995</v>
      </c>
      <c r="N23" s="11" t="n">
        <f aca="false">Inputs!$F$61*IF(Inputs!$F$34=1,Inputs!$F$36,1)*(Inputs!N231+IF(AND(Inputs!$F$34=1,N8&gt;33,N8&lt;=Time!$F$10),2.75,0))/100+IF(AND(Inputs!$F$34=2,N8&gt;=34,N8&lt;=40),Inputs!$F$69/7,0)</f>
        <v>1.26995</v>
      </c>
      <c r="O23" s="11" t="n">
        <f aca="false">Inputs!$F$61*IF(Inputs!$F$34=1,Inputs!$F$36,1)*(Inputs!O231+IF(AND(Inputs!$F$34=1,O8&gt;33,O8&lt;=Time!$F$10),2.75,0))/100+IF(AND(Inputs!$F$34=2,O8&gt;=34,O8&lt;=40),Inputs!$F$69/7,0)</f>
        <v>1.26995</v>
      </c>
      <c r="P23" s="11" t="n">
        <f aca="false">Inputs!$F$61*IF(Inputs!$F$34=1,Inputs!$F$36,1)*(Inputs!P231+IF(AND(Inputs!$F$34=1,P8&gt;33,P8&lt;=Time!$F$10),2.75,0))/100+IF(AND(Inputs!$F$34=2,P8&gt;=34,P8&lt;=40),Inputs!$F$69/7,0)</f>
        <v>1.26995</v>
      </c>
      <c r="Q23" s="11" t="n">
        <f aca="false">Inputs!$F$61*IF(Inputs!$F$34=1,Inputs!$F$36,1)*(Inputs!Q231+IF(AND(Inputs!$F$34=1,Q8&gt;33,Q8&lt;=Time!$F$10),2.75,0))/100+IF(AND(Inputs!$F$34=2,Q8&gt;=34,Q8&lt;=40),Inputs!$F$69/7,0)</f>
        <v>1.26995</v>
      </c>
      <c r="R23" s="11" t="n">
        <f aca="false">Inputs!$F$61*IF(Inputs!$F$34=1,Inputs!$F$36,1)*(Inputs!R231+IF(AND(Inputs!$F$34=1,R8&gt;33,R8&lt;=Time!$F$10),2.75,0))/100+IF(AND(Inputs!$F$34=2,R8&gt;=34,R8&lt;=40),Inputs!$F$69/7,0)</f>
        <v>1.26995</v>
      </c>
      <c r="S23" s="11" t="n">
        <f aca="false">Inputs!$F$61*IF(Inputs!$F$34=1,Inputs!$F$36,1)*(Inputs!S231+IF(AND(Inputs!$F$34=1,S8&gt;33,S8&lt;=Time!$F$10),2.75,0))/100+IF(AND(Inputs!$F$34=2,S8&gt;=34,S8&lt;=40),Inputs!$F$69/7,0)</f>
        <v>1.26995</v>
      </c>
      <c r="T23" s="11" t="n">
        <f aca="false">Inputs!$F$61*IF(Inputs!$F$34=1,Inputs!$F$36,1)*(Inputs!T231+IF(AND(Inputs!$F$34=1,T8&gt;33,T8&lt;=Time!$F$10),2.75,0))/100+IF(AND(Inputs!$F$34=2,T8&gt;=34,T8&lt;=40),Inputs!$F$69/7,0)</f>
        <v>1.26995</v>
      </c>
      <c r="U23" s="11" t="n">
        <f aca="false">Inputs!$F$61*IF(Inputs!$F$34=1,Inputs!$F$36,1)*(Inputs!U231+IF(AND(Inputs!$F$34=1,U8&gt;33,U8&lt;=Time!$F$10),2.75,0))/100+IF(AND(Inputs!$F$34=2,U8&gt;=34,U8&lt;=40),Inputs!$F$69/7,0)</f>
        <v>1.26995</v>
      </c>
      <c r="V23" s="11" t="n">
        <f aca="false">Inputs!$F$61*IF(Inputs!$F$34=1,Inputs!$F$36,1)*(Inputs!V231+IF(AND(Inputs!$F$34=1,V8&gt;33,V8&lt;=Time!$F$10),2.75,0))/100+IF(AND(Inputs!$F$34=2,V8&gt;=34,V8&lt;=40),Inputs!$F$69/7,0)</f>
        <v>1.26995</v>
      </c>
      <c r="W23" s="11" t="n">
        <f aca="false">Inputs!$F$61*IF(Inputs!$F$34=1,Inputs!$F$36,1)*(Inputs!W231+IF(AND(Inputs!$F$34=1,W8&gt;33,W8&lt;=Time!$F$10),2.75,0))/100+IF(AND(Inputs!$F$34=2,W8&gt;=34,W8&lt;=40),Inputs!$F$69/7,0)</f>
        <v>1.26995</v>
      </c>
      <c r="X23" s="11" t="n">
        <f aca="false">Inputs!$F$61*IF(Inputs!$F$34=1,Inputs!$F$36,1)*(Inputs!X231+IF(AND(Inputs!$F$34=1,X8&gt;33,X8&lt;=Time!$F$10),2.75,0))/100+IF(AND(Inputs!$F$34=2,X8&gt;=34,X8&lt;=40),Inputs!$F$69/7,0)</f>
        <v>1.26995</v>
      </c>
      <c r="Y23" s="11" t="n">
        <f aca="false">Inputs!$F$61*IF(Inputs!$F$34=1,Inputs!$F$36,1)*(Inputs!Y231+IF(AND(Inputs!$F$34=1,Y8&gt;33,Y8&lt;=Time!$F$10),2.75,0))/100+IF(AND(Inputs!$F$34=2,Y8&gt;=34,Y8&lt;=40),Inputs!$F$69/7,0)</f>
        <v>1.26995</v>
      </c>
      <c r="Z23" s="11" t="n">
        <f aca="false">Inputs!$F$61*IF(Inputs!$F$34=1,Inputs!$F$36,1)*(Inputs!Z231+IF(AND(Inputs!$F$34=1,Z8&gt;33,Z8&lt;=Time!$F$10),2.75,0))/100+IF(AND(Inputs!$F$34=2,Z8&gt;=34,Z8&lt;=40),Inputs!$F$69/7,0)</f>
        <v>1.26995</v>
      </c>
      <c r="AA23" s="11" t="n">
        <f aca="false">Inputs!$F$61*IF(Inputs!$F$34=1,Inputs!$F$36,1)*(Inputs!AA231+IF(AND(Inputs!$F$34=1,AA8&gt;33,AA8&lt;=Time!$F$10),2.75,0))/100+IF(AND(Inputs!$F$34=2,AA8&gt;=34,AA8&lt;=40),Inputs!$F$69/7,0)</f>
        <v>1.26995</v>
      </c>
      <c r="AB23" s="11" t="n">
        <f aca="false">Inputs!$F$61*IF(Inputs!$F$34=1,Inputs!$F$36,1)*(Inputs!AB231+IF(AND(Inputs!$F$34=1,AB8&gt;33,AB8&lt;=Time!$F$10),2.75,0))/100+IF(AND(Inputs!$F$34=2,AB8&gt;=34,AB8&lt;=40),Inputs!$F$69/7,0)</f>
        <v>1.26995</v>
      </c>
      <c r="AC23" s="11" t="n">
        <f aca="false">Inputs!$F$61*IF(Inputs!$F$34=1,Inputs!$F$36,1)*(Inputs!AC231+IF(AND(Inputs!$F$34=1,AC8&gt;33,AC8&lt;=Time!$F$10),2.75,0))/100+IF(AND(Inputs!$F$34=2,AC8&gt;=34,AC8&lt;=40),Inputs!$F$69/7,0)</f>
        <v>1.26995</v>
      </c>
      <c r="AD23" s="11" t="n">
        <f aca="false">Inputs!$F$61*IF(Inputs!$F$34=1,Inputs!$F$36,1)*(Inputs!AD231+IF(AND(Inputs!$F$34=1,AD8&gt;33,AD8&lt;=Time!$F$10),2.75,0))/100+IF(AND(Inputs!$F$34=2,AD8&gt;=34,AD8&lt;=40),Inputs!$F$69/7,0)</f>
        <v>1.26995</v>
      </c>
      <c r="AE23" s="11" t="n">
        <f aca="false">Inputs!$F$61*IF(Inputs!$F$34=1,Inputs!$F$36,1)*(Inputs!AE231+IF(AND(Inputs!$F$34=1,AE8&gt;33,AE8&lt;=Time!$F$10),2.75,0))/100+IF(AND(Inputs!$F$34=2,AE8&gt;=34,AE8&lt;=40),Inputs!$F$69/7,0)</f>
        <v>1.26995</v>
      </c>
      <c r="AF23" s="11" t="n">
        <f aca="false">Inputs!$F$61*IF(Inputs!$F$34=1,Inputs!$F$36,1)*(Inputs!AF231+IF(AND(Inputs!$F$34=1,AF8&gt;33,AF8&lt;=Time!$F$10),2.75,0))/100+IF(AND(Inputs!$F$34=2,AF8&gt;=34,AF8&lt;=40),Inputs!$F$69/7,0)</f>
        <v>1.26995</v>
      </c>
      <c r="AG23" s="11" t="n">
        <f aca="false">Inputs!$F$61*IF(Inputs!$F$34=1,Inputs!$F$36,1)*(Inputs!AG231+IF(AND(Inputs!$F$34=1,AG8&gt;33,AG8&lt;=Time!$F$10),2.75,0))/100+IF(AND(Inputs!$F$34=2,AG8&gt;=34,AG8&lt;=40),Inputs!$F$69/7,0)</f>
        <v>1.26995</v>
      </c>
      <c r="AH23" s="11" t="n">
        <f aca="false">Inputs!$F$61*IF(Inputs!$F$34=1,Inputs!$F$36,1)*(Inputs!AH231+IF(AND(Inputs!$F$34=1,AH8&gt;33,AH8&lt;=Time!$F$10),2.75,0))/100+IF(AND(Inputs!$F$34=2,AH8&gt;=34,AH8&lt;=40),Inputs!$F$69/7,0)</f>
        <v>1.26995</v>
      </c>
      <c r="AI23" s="11" t="n">
        <f aca="false">Inputs!$F$61*IF(Inputs!$F$34=1,Inputs!$F$36,1)*(Inputs!AI231+IF(AND(Inputs!$F$34=1,AI8&gt;33,AI8&lt;=Time!$F$10),2.75,0))/100+IF(AND(Inputs!$F$34=2,AI8&gt;=34,AI8&lt;=40),Inputs!$F$69/7,0)</f>
        <v>1.26995</v>
      </c>
      <c r="AJ23" s="11" t="n">
        <f aca="false">Inputs!$F$61*IF(Inputs!$F$34=1,Inputs!$F$36,1)*(Inputs!AJ231+IF(AND(Inputs!$F$34=1,AJ8&gt;33,AJ8&lt;=Time!$F$10),2.75,0))/100+IF(AND(Inputs!$F$34=2,AJ8&gt;=34,AJ8&lt;=40),Inputs!$F$69/7,0)</f>
        <v>1.26995</v>
      </c>
      <c r="AK23" s="11" t="n">
        <f aca="false">Inputs!$F$61*IF(Inputs!$F$34=1,Inputs!$F$36,1)*(Inputs!AK231+IF(AND(Inputs!$F$34=1,AK8&gt;33,AK8&lt;=Time!$F$10),2.75,0))/100+IF(AND(Inputs!$F$34=2,AK8&gt;=34,AK8&lt;=40),Inputs!$F$69/7,0)</f>
        <v>1.26995</v>
      </c>
      <c r="AL23" s="11" t="n">
        <f aca="false">Inputs!$F$61*IF(Inputs!$F$34=1,Inputs!$F$36,1)*(Inputs!AL231+IF(AND(Inputs!$F$34=1,AL8&gt;33,AL8&lt;=Time!$F$10),2.75,0))/100+IF(AND(Inputs!$F$34=2,AL8&gt;=34,AL8&lt;=40),Inputs!$F$69/7,0)</f>
        <v>1.26995</v>
      </c>
      <c r="AM23" s="11" t="n">
        <f aca="false">Inputs!$F$61*IF(Inputs!$F$34=1,Inputs!$F$36,1)*(Inputs!AM231+IF(AND(Inputs!$F$34=1,AM8&gt;33,AM8&lt;=Time!$F$10),2.75,0))/100+IF(AND(Inputs!$F$34=2,AM8&gt;=34,AM8&lt;=40),Inputs!$F$69/7,0)</f>
        <v>1.26995</v>
      </c>
      <c r="AN23" s="11" t="n">
        <f aca="false">Inputs!$F$61*IF(Inputs!$F$34=1,Inputs!$F$36,1)*(Inputs!AN231+IF(AND(Inputs!$F$34=1,AN8&gt;33,AN8&lt;=Time!$F$10),2.75,0))/100+IF(AND(Inputs!$F$34=2,AN8&gt;=34,AN8&lt;=40),Inputs!$F$69/7,0)</f>
        <v>1.26995</v>
      </c>
      <c r="AO23" s="11" t="n">
        <f aca="false">Inputs!$F$61*IF(Inputs!$F$34=1,Inputs!$F$36,1)*(Inputs!AO231+IF(AND(Inputs!$F$34=1,AO8&gt;33,AO8&lt;=Time!$F$10),2.75,0))/100+IF(AND(Inputs!$F$34=2,AO8&gt;=34,AO8&lt;=40),Inputs!$F$69/7,0)</f>
        <v>1.26995</v>
      </c>
      <c r="AP23" s="11" t="n">
        <f aca="false">Inputs!$F$61*IF(Inputs!$F$34=1,Inputs!$F$36,1)*(Inputs!AP231+IF(AND(Inputs!$F$34=1,AP8&gt;33,AP8&lt;=Time!$F$10),2.75,0))/100+IF(AND(Inputs!$F$34=2,AP8&gt;=34,AP8&lt;=40),Inputs!$F$69/7,0)</f>
        <v>1.26995</v>
      </c>
      <c r="AQ23" s="11" t="n">
        <f aca="false">Inputs!$F$61*IF(Inputs!$F$34=1,Inputs!$F$36,1)*(Inputs!AQ231+IF(AND(Inputs!$F$34=1,AQ8&gt;33,AQ8&lt;=Time!$F$10),2.75,0))/100+IF(AND(Inputs!$F$34=2,AQ8&gt;=34,AQ8&lt;=40),Inputs!$F$69/7,0)</f>
        <v>0.99</v>
      </c>
      <c r="AR23" s="11" t="n">
        <f aca="false">Inputs!$F$61*IF(Inputs!$F$34=1,Inputs!$F$36,1)*(Inputs!AR231+IF(AND(Inputs!$F$34=1,AR8&gt;33,AR8&lt;=Time!$F$10),2.75,0))/100+IF(AND(Inputs!$F$34=2,AR8&gt;=34,AR8&lt;=40),Inputs!$F$69/7,0)</f>
        <v>0.99</v>
      </c>
      <c r="AS23" s="11" t="n">
        <f aca="false">Inputs!$F$61*IF(Inputs!$F$34=1,Inputs!$F$36,1)*(Inputs!AS231+IF(AND(Inputs!$F$34=1,AS8&gt;33,AS8&lt;=Time!$F$10),2.75,0))/100+IF(AND(Inputs!$F$34=2,AS8&gt;=34,AS8&lt;=40),Inputs!$F$69/7,0)</f>
        <v>0.99</v>
      </c>
      <c r="AT23" s="11" t="n">
        <f aca="false">Inputs!$F$61*IF(Inputs!$F$34=1,Inputs!$F$36,1)*(Inputs!AT231+IF(AND(Inputs!$F$34=1,AT8&gt;33,AT8&lt;=Time!$F$10),2.75,0))/100+IF(AND(Inputs!$F$34=2,AT8&gt;=34,AT8&lt;=40),Inputs!$F$69/7,0)</f>
        <v>0.99</v>
      </c>
      <c r="AU23" s="11" t="n">
        <f aca="false">Inputs!$F$61*IF(Inputs!$F$34=1,Inputs!$F$36,1)*(Inputs!AU231+IF(AND(Inputs!$F$34=1,AU8&gt;33,AU8&lt;=Time!$F$10),2.75,0))/100+IF(AND(Inputs!$F$34=2,AU8&gt;=34,AU8&lt;=40),Inputs!$F$69/7,0)</f>
        <v>0.99</v>
      </c>
      <c r="AV23" s="11" t="n">
        <f aca="false">Inputs!$F$61*IF(Inputs!$F$34=1,Inputs!$F$36,1)*(Inputs!AV231+IF(AND(Inputs!$F$34=1,AV8&gt;33,AV8&lt;=Time!$F$10),2.75,0))/100+IF(AND(Inputs!$F$34=2,AV8&gt;=34,AV8&lt;=40),Inputs!$F$69/7,0)</f>
        <v>0.99</v>
      </c>
      <c r="AW23" s="11" t="n">
        <f aca="false">Inputs!$F$61*IF(Inputs!$F$34=1,Inputs!$F$36,1)*(Inputs!AW231+IF(AND(Inputs!$F$34=1,AW8&gt;33,AW8&lt;=Time!$F$10),2.75,0))/100+IF(AND(Inputs!$F$34=2,AW8&gt;=34,AW8&lt;=40),Inputs!$F$69/7,0)</f>
        <v>0.99</v>
      </c>
      <c r="AX23" s="11" t="n">
        <f aca="false">Inputs!$F$61*IF(Inputs!$F$34=1,Inputs!$F$36,1)*(Inputs!AX231+IF(AND(Inputs!$F$34=1,AX8&gt;33,AX8&lt;=Time!$F$10),2.75,0))/100+IF(AND(Inputs!$F$34=2,AX8&gt;=34,AX8&lt;=40),Inputs!$F$69/7,0)</f>
        <v>0</v>
      </c>
      <c r="AY23" s="11" t="n">
        <f aca="false">Inputs!$F$61*IF(Inputs!$F$34=1,Inputs!$F$36,1)*(Inputs!AY231+IF(AND(Inputs!$F$34=1,AY8&gt;33,AY8&lt;=Time!$F$10),2.75,0))/100+IF(AND(Inputs!$F$34=2,AY8&gt;=34,AY8&lt;=40),Inputs!$F$69/7,0)</f>
        <v>0</v>
      </c>
      <c r="AZ23" s="11" t="n">
        <f aca="false">Inputs!$F$61*IF(Inputs!$F$34=1,Inputs!$F$36,1)*(Inputs!AZ231+IF(AND(Inputs!$F$34=1,AZ8&gt;33,AZ8&lt;=Time!$F$10),2.75,0))/100+IF(AND(Inputs!$F$34=2,AZ8&gt;=34,AZ8&lt;=40),Inputs!$F$69/7,0)</f>
        <v>0</v>
      </c>
      <c r="BA23" s="11" t="n">
        <f aca="false">Inputs!$F$61*IF(Inputs!$F$34=1,Inputs!$F$36,1)*(Inputs!BA231+IF(AND(Inputs!$F$34=1,BA8&gt;33,BA8&lt;=Time!$F$10),2.75,0))/100+IF(AND(Inputs!$F$34=2,BA8&gt;=34,BA8&lt;=40),Inputs!$F$69/7,0)</f>
        <v>0</v>
      </c>
      <c r="BB23" s="11" t="n">
        <f aca="false">Inputs!$F$61*IF(Inputs!$F$34=1,Inputs!$F$36,1)*(Inputs!BB231+IF(AND(Inputs!$F$34=1,BB8&gt;33,BB8&lt;=Time!$F$10),2.75,0))/100+IF(AND(Inputs!$F$34=2,BB8&gt;=34,BB8&lt;=40),Inputs!$F$69/7,0)</f>
        <v>0</v>
      </c>
      <c r="BC23" s="11" t="n">
        <f aca="false">Inputs!$F$61*IF(Inputs!$F$34=1,Inputs!$F$36,1)*(Inputs!BC231+IF(AND(Inputs!$F$34=1,BC8&gt;33,BC8&lt;=Time!$F$10),2.75,0))/100+IF(AND(Inputs!$F$34=2,BC8&gt;=34,BC8&lt;=40),Inputs!$F$69/7,0)</f>
        <v>0</v>
      </c>
      <c r="BD23" s="11" t="n">
        <f aca="false">Inputs!$F$61*IF(Inputs!$F$34=1,Inputs!$F$36,1)*(Inputs!BD231+IF(AND(Inputs!$F$34=1,BD8&gt;33,BD8&lt;=Time!$F$10),2.75,0))/100+IF(AND(Inputs!$F$34=2,BD8&gt;=34,BD8&lt;=40),Inputs!$F$69/7,0)</f>
        <v>0</v>
      </c>
      <c r="BE23" s="11" t="n">
        <f aca="false">Inputs!$F$61*IF(Inputs!$F$34=1,Inputs!$F$36,1)*(Inputs!BE231+IF(AND(Inputs!$F$34=1,BE8&gt;33,BE8&lt;=Time!$F$10),2.75,0))/100+IF(AND(Inputs!$F$34=2,BE8&gt;=34,BE8&lt;=40),Inputs!$F$69/7,0)</f>
        <v>0</v>
      </c>
      <c r="BF23" s="11" t="n">
        <f aca="false">Inputs!$F$61*IF(Inputs!$F$34=1,Inputs!$F$36,1)*(Inputs!BF231+IF(AND(Inputs!$F$34=1,BF8&gt;33,BF8&lt;=Time!$F$10),2.75,0))/100+IF(AND(Inputs!$F$34=2,BF8&gt;=34,BF8&lt;=40),Inputs!$F$69/7,0)</f>
        <v>0</v>
      </c>
      <c r="BG23" s="11" t="n">
        <f aca="false">Inputs!$F$61*IF(Inputs!$F$34=1,Inputs!$F$36,1)*(Inputs!BG231+IF(AND(Inputs!$F$34=1,BG8&gt;33,BG8&lt;=Time!$F$10),2.75,0))/100+IF(AND(Inputs!$F$34=2,BG8&gt;=34,BG8&lt;=40),Inputs!$F$69/7,0)</f>
        <v>0</v>
      </c>
      <c r="BH23" s="11" t="n">
        <f aca="false">Inputs!$F$61*IF(Inputs!$F$34=1,Inputs!$F$36,1)*(Inputs!BH231+IF(AND(Inputs!$F$34=1,BH8&gt;33,BH8&lt;=Time!$F$10),2.75,0))/100+IF(AND(Inputs!$F$34=2,BH8&gt;=34,BH8&lt;=40),Inputs!$F$69/7,0)</f>
        <v>0</v>
      </c>
      <c r="BI23" s="11" t="n">
        <f aca="false">Inputs!$F$61*IF(Inputs!$F$34=1,Inputs!$F$36,1)*(Inputs!BI231+IF(AND(Inputs!$F$34=1,BI8&gt;33,BI8&lt;=Time!$F$10),2.75,0))/100+IF(AND(Inputs!$F$34=2,BI8&gt;=34,BI8&lt;=40),Inputs!$F$69/7,0)</f>
        <v>0</v>
      </c>
      <c r="BJ23" s="11" t="n">
        <f aca="false">Inputs!$F$61*IF(Inputs!$F$34=1,Inputs!$F$36,1)*(Inputs!BJ231+IF(AND(Inputs!$F$34=1,BJ8&gt;33,BJ8&lt;=Time!$F$10),2.75,0))/100+IF(AND(Inputs!$F$34=2,BJ8&gt;=34,BJ8&lt;=40),Inputs!$F$69/7,0)</f>
        <v>0</v>
      </c>
    </row>
    <row r="24" customFormat="false" ht="15" hidden="false" customHeight="false" outlineLevel="0" collapsed="false">
      <c r="D24" s="0" t="s">
        <v>155</v>
      </c>
      <c r="E24" s="0" t="s">
        <v>149</v>
      </c>
      <c r="G24" s="11" t="n">
        <f aca="false">SUM(J24:BJ24)</f>
        <v>7.62</v>
      </c>
      <c r="J24" s="11" t="n">
        <f aca="false">Inputs!$F$62*Inputs!$F$36*(0.85*IF(J8=1,1,0)+0.15*IF(J8=18,1,0))</f>
        <v>6.477</v>
      </c>
      <c r="K24" s="11" t="n">
        <f aca="false">Inputs!$F$62*Inputs!$F$36*(0.85*IF(K8=1,1,0)+0.15*IF(K8=18,1,0))</f>
        <v>0</v>
      </c>
      <c r="L24" s="11" t="n">
        <f aca="false">Inputs!$F$62*Inputs!$F$36*(0.85*IF(L8=1,1,0)+0.15*IF(L8=18,1,0))</f>
        <v>0</v>
      </c>
      <c r="M24" s="11" t="n">
        <f aca="false">Inputs!$F$62*Inputs!$F$36*(0.85*IF(M8=1,1,0)+0.15*IF(M8=18,1,0))</f>
        <v>0</v>
      </c>
      <c r="N24" s="11" t="n">
        <f aca="false">Inputs!$F$62*Inputs!$F$36*(0.85*IF(N8=1,1,0)+0.15*IF(N8=18,1,0))</f>
        <v>0</v>
      </c>
      <c r="O24" s="11" t="n">
        <f aca="false">Inputs!$F$62*Inputs!$F$36*(0.85*IF(O8=1,1,0)+0.15*IF(O8=18,1,0))</f>
        <v>0</v>
      </c>
      <c r="P24" s="11" t="n">
        <f aca="false">Inputs!$F$62*Inputs!$F$36*(0.85*IF(P8=1,1,0)+0.15*IF(P8=18,1,0))</f>
        <v>0</v>
      </c>
      <c r="Q24" s="11" t="n">
        <f aca="false">Inputs!$F$62*Inputs!$F$36*(0.85*IF(Q8=1,1,0)+0.15*IF(Q8=18,1,0))</f>
        <v>0</v>
      </c>
      <c r="R24" s="11" t="n">
        <f aca="false">Inputs!$F$62*Inputs!$F$36*(0.85*IF(R8=1,1,0)+0.15*IF(R8=18,1,0))</f>
        <v>0</v>
      </c>
      <c r="S24" s="11" t="n">
        <f aca="false">Inputs!$F$62*Inputs!$F$36*(0.85*IF(S8=1,1,0)+0.15*IF(S8=18,1,0))</f>
        <v>0</v>
      </c>
      <c r="T24" s="11" t="n">
        <f aca="false">Inputs!$F$62*Inputs!$F$36*(0.85*IF(T8=1,1,0)+0.15*IF(T8=18,1,0))</f>
        <v>0</v>
      </c>
      <c r="U24" s="11" t="n">
        <f aca="false">Inputs!$F$62*Inputs!$F$36*(0.85*IF(U8=1,1,0)+0.15*IF(U8=18,1,0))</f>
        <v>0</v>
      </c>
      <c r="V24" s="11" t="n">
        <f aca="false">Inputs!$F$62*Inputs!$F$36*(0.85*IF(V8=1,1,0)+0.15*IF(V8=18,1,0))</f>
        <v>0</v>
      </c>
      <c r="W24" s="11" t="n">
        <f aca="false">Inputs!$F$62*Inputs!$F$36*(0.85*IF(W8=1,1,0)+0.15*IF(W8=18,1,0))</f>
        <v>0</v>
      </c>
      <c r="X24" s="11" t="n">
        <f aca="false">Inputs!$F$62*Inputs!$F$36*(0.85*IF(X8=1,1,0)+0.15*IF(X8=18,1,0))</f>
        <v>0</v>
      </c>
      <c r="Y24" s="11" t="n">
        <f aca="false">Inputs!$F$62*Inputs!$F$36*(0.85*IF(Y8=1,1,0)+0.15*IF(Y8=18,1,0))</f>
        <v>0</v>
      </c>
      <c r="Z24" s="11" t="n">
        <f aca="false">Inputs!$F$62*Inputs!$F$36*(0.85*IF(Z8=1,1,0)+0.15*IF(Z8=18,1,0))</f>
        <v>0</v>
      </c>
      <c r="AA24" s="11" t="n">
        <f aca="false">Inputs!$F$62*Inputs!$F$36*(0.85*IF(AA8=1,1,0)+0.15*IF(AA8=18,1,0))</f>
        <v>1.143</v>
      </c>
      <c r="AB24" s="11" t="n">
        <f aca="false">Inputs!$F$62*Inputs!$F$36*(0.85*IF(AB8=1,1,0)+0.15*IF(AB8=18,1,0))</f>
        <v>0</v>
      </c>
      <c r="AC24" s="11" t="n">
        <f aca="false">Inputs!$F$62*Inputs!$F$36*(0.85*IF(AC8=1,1,0)+0.15*IF(AC8=18,1,0))</f>
        <v>0</v>
      </c>
      <c r="AD24" s="11" t="n">
        <f aca="false">Inputs!$F$62*Inputs!$F$36*(0.85*IF(AD8=1,1,0)+0.15*IF(AD8=18,1,0))</f>
        <v>0</v>
      </c>
      <c r="AE24" s="11" t="n">
        <f aca="false">Inputs!$F$62*Inputs!$F$36*(0.85*IF(AE8=1,1,0)+0.15*IF(AE8=18,1,0))</f>
        <v>0</v>
      </c>
      <c r="AF24" s="11" t="n">
        <f aca="false">Inputs!$F$62*Inputs!$F$36*(0.85*IF(AF8=1,1,0)+0.15*IF(AF8=18,1,0))</f>
        <v>0</v>
      </c>
      <c r="AG24" s="11" t="n">
        <f aca="false">Inputs!$F$62*Inputs!$F$36*(0.85*IF(AG8=1,1,0)+0.15*IF(AG8=18,1,0))</f>
        <v>0</v>
      </c>
      <c r="AH24" s="11" t="n">
        <f aca="false">Inputs!$F$62*Inputs!$F$36*(0.85*IF(AH8=1,1,0)+0.15*IF(AH8=18,1,0))</f>
        <v>0</v>
      </c>
      <c r="AI24" s="11" t="n">
        <f aca="false">Inputs!$F$62*Inputs!$F$36*(0.85*IF(AI8=1,1,0)+0.15*IF(AI8=18,1,0))</f>
        <v>0</v>
      </c>
      <c r="AJ24" s="11" t="n">
        <f aca="false">Inputs!$F$62*Inputs!$F$36*(0.85*IF(AJ8=1,1,0)+0.15*IF(AJ8=18,1,0))</f>
        <v>0</v>
      </c>
      <c r="AK24" s="11" t="n">
        <f aca="false">Inputs!$F$62*Inputs!$F$36*(0.85*IF(AK8=1,1,0)+0.15*IF(AK8=18,1,0))</f>
        <v>0</v>
      </c>
      <c r="AL24" s="11" t="n">
        <f aca="false">Inputs!$F$62*Inputs!$F$36*(0.85*IF(AL8=1,1,0)+0.15*IF(AL8=18,1,0))</f>
        <v>0</v>
      </c>
      <c r="AM24" s="11" t="n">
        <f aca="false">Inputs!$F$62*Inputs!$F$36*(0.85*IF(AM8=1,1,0)+0.15*IF(AM8=18,1,0))</f>
        <v>0</v>
      </c>
      <c r="AN24" s="11" t="n">
        <f aca="false">Inputs!$F$62*Inputs!$F$36*(0.85*IF(AN8=1,1,0)+0.15*IF(AN8=18,1,0))</f>
        <v>0</v>
      </c>
      <c r="AO24" s="11" t="n">
        <f aca="false">Inputs!$F$62*Inputs!$F$36*(0.85*IF(AO8=1,1,0)+0.15*IF(AO8=18,1,0))</f>
        <v>0</v>
      </c>
      <c r="AP24" s="11" t="n">
        <f aca="false">Inputs!$F$62*Inputs!$F$36*(0.85*IF(AP8=1,1,0)+0.15*IF(AP8=18,1,0))</f>
        <v>0</v>
      </c>
      <c r="AQ24" s="11" t="n">
        <f aca="false">Inputs!$F$62*Inputs!$F$36*(0.85*IF(AQ8=1,1,0)+0.15*IF(AQ8=18,1,0))</f>
        <v>0</v>
      </c>
      <c r="AR24" s="11" t="n">
        <f aca="false">Inputs!$F$62*Inputs!$F$36*(0.85*IF(AR8=1,1,0)+0.15*IF(AR8=18,1,0))</f>
        <v>0</v>
      </c>
      <c r="AS24" s="11" t="n">
        <f aca="false">Inputs!$F$62*Inputs!$F$36*(0.85*IF(AS8=1,1,0)+0.15*IF(AS8=18,1,0))</f>
        <v>0</v>
      </c>
      <c r="AT24" s="11" t="n">
        <f aca="false">Inputs!$F$62*Inputs!$F$36*(0.85*IF(AT8=1,1,0)+0.15*IF(AT8=18,1,0))</f>
        <v>0</v>
      </c>
      <c r="AU24" s="11" t="n">
        <f aca="false">Inputs!$F$62*Inputs!$F$36*(0.85*IF(AU8=1,1,0)+0.15*IF(AU8=18,1,0))</f>
        <v>0</v>
      </c>
      <c r="AV24" s="11" t="n">
        <f aca="false">Inputs!$F$62*Inputs!$F$36*(0.85*IF(AV8=1,1,0)+0.15*IF(AV8=18,1,0))</f>
        <v>0</v>
      </c>
      <c r="AW24" s="11" t="n">
        <f aca="false">Inputs!$F$62*Inputs!$F$36*(0.85*IF(AW8=1,1,0)+0.15*IF(AW8=18,1,0))</f>
        <v>0</v>
      </c>
      <c r="AX24" s="11" t="n">
        <f aca="false">Inputs!$F$62*Inputs!$F$36*(0.85*IF(AX8=1,1,0)+0.15*IF(AX8=18,1,0))</f>
        <v>0</v>
      </c>
      <c r="AY24" s="11" t="n">
        <f aca="false">Inputs!$F$62*Inputs!$F$36*(0.85*IF(AY8=1,1,0)+0.15*IF(AY8=18,1,0))</f>
        <v>0</v>
      </c>
      <c r="AZ24" s="11" t="n">
        <f aca="false">Inputs!$F$62*Inputs!$F$36*(0.85*IF(AZ8=1,1,0)+0.15*IF(AZ8=18,1,0))</f>
        <v>0</v>
      </c>
      <c r="BA24" s="11" t="n">
        <f aca="false">Inputs!$F$62*Inputs!$F$36*(0.85*IF(BA8=1,1,0)+0.15*IF(BA8=18,1,0))</f>
        <v>0</v>
      </c>
      <c r="BB24" s="11" t="n">
        <f aca="false">Inputs!$F$62*Inputs!$F$36*(0.85*IF(BB8=1,1,0)+0.15*IF(BB8=18,1,0))</f>
        <v>0</v>
      </c>
      <c r="BC24" s="11" t="n">
        <f aca="false">Inputs!$F$62*Inputs!$F$36*(0.85*IF(BC8=1,1,0)+0.15*IF(BC8=18,1,0))</f>
        <v>0</v>
      </c>
      <c r="BD24" s="11" t="n">
        <f aca="false">Inputs!$F$62*Inputs!$F$36*(0.85*IF(BD8=1,1,0)+0.15*IF(BD8=18,1,0))</f>
        <v>0</v>
      </c>
      <c r="BE24" s="11" t="n">
        <f aca="false">Inputs!$F$62*Inputs!$F$36*(0.85*IF(BE8=1,1,0)+0.15*IF(BE8=18,1,0))</f>
        <v>0</v>
      </c>
      <c r="BF24" s="11" t="n">
        <f aca="false">Inputs!$F$62*Inputs!$F$36*(0.85*IF(BF8=1,1,0)+0.15*IF(BF8=18,1,0))</f>
        <v>0</v>
      </c>
      <c r="BG24" s="11" t="n">
        <f aca="false">Inputs!$F$62*Inputs!$F$36*(0.85*IF(BG8=1,1,0)+0.15*IF(BG8=18,1,0))</f>
        <v>0</v>
      </c>
      <c r="BH24" s="11" t="n">
        <f aca="false">Inputs!$F$62*Inputs!$F$36*(0.85*IF(BH8=1,1,0)+0.15*IF(BH8=18,1,0))</f>
        <v>0</v>
      </c>
      <c r="BI24" s="11" t="n">
        <f aca="false">Inputs!$F$62*Inputs!$F$36*(0.85*IF(BI8=1,1,0)+0.15*IF(BI8=18,1,0))</f>
        <v>0</v>
      </c>
      <c r="BJ24" s="11" t="n">
        <f aca="false">Inputs!$F$62*Inputs!$F$36*(0.85*IF(BJ8=1,1,0)+0.15*IF(BJ8=18,1,0))</f>
        <v>0</v>
      </c>
    </row>
    <row r="25" customFormat="false" ht="15" hidden="false" customHeight="false" outlineLevel="0" collapsed="false">
      <c r="D25" s="0" t="s">
        <v>446</v>
      </c>
      <c r="E25" s="0" t="s">
        <v>149</v>
      </c>
      <c r="G25" s="11" t="n">
        <f aca="false">SUM(J25:BJ25)</f>
        <v>32.63</v>
      </c>
      <c r="J25" s="11" t="n">
        <f aca="false">IF(J8=1,Inputs!$F$63+Inputs!$F$64,0)</f>
        <v>32.63</v>
      </c>
      <c r="K25" s="11" t="n">
        <f aca="false">IF(K8=1,Inputs!$F$63+Inputs!$F$64,0)</f>
        <v>0</v>
      </c>
      <c r="L25" s="11" t="n">
        <f aca="false">IF(L8=1,Inputs!$F$63+Inputs!$F$64,0)</f>
        <v>0</v>
      </c>
      <c r="M25" s="11" t="n">
        <f aca="false">IF(M8=1,Inputs!$F$63+Inputs!$F$64,0)</f>
        <v>0</v>
      </c>
      <c r="N25" s="11" t="n">
        <f aca="false">IF(N8=1,Inputs!$F$63+Inputs!$F$64,0)</f>
        <v>0</v>
      </c>
      <c r="O25" s="11" t="n">
        <f aca="false">IF(O8=1,Inputs!$F$63+Inputs!$F$64,0)</f>
        <v>0</v>
      </c>
      <c r="P25" s="11" t="n">
        <f aca="false">IF(P8=1,Inputs!$F$63+Inputs!$F$64,0)</f>
        <v>0</v>
      </c>
      <c r="Q25" s="11" t="n">
        <f aca="false">IF(Q8=1,Inputs!$F$63+Inputs!$F$64,0)</f>
        <v>0</v>
      </c>
      <c r="R25" s="11" t="n">
        <f aca="false">IF(R8=1,Inputs!$F$63+Inputs!$F$64,0)</f>
        <v>0</v>
      </c>
      <c r="S25" s="11" t="n">
        <f aca="false">IF(S8=1,Inputs!$F$63+Inputs!$F$64,0)</f>
        <v>0</v>
      </c>
      <c r="T25" s="11" t="n">
        <f aca="false">IF(T8=1,Inputs!$F$63+Inputs!$F$64,0)</f>
        <v>0</v>
      </c>
      <c r="U25" s="11" t="n">
        <f aca="false">IF(U8=1,Inputs!$F$63+Inputs!$F$64,0)</f>
        <v>0</v>
      </c>
      <c r="V25" s="11" t="n">
        <f aca="false">IF(V8=1,Inputs!$F$63+Inputs!$F$64,0)</f>
        <v>0</v>
      </c>
      <c r="W25" s="11" t="n">
        <f aca="false">IF(W8=1,Inputs!$F$63+Inputs!$F$64,0)</f>
        <v>0</v>
      </c>
      <c r="X25" s="11" t="n">
        <f aca="false">IF(X8=1,Inputs!$F$63+Inputs!$F$64,0)</f>
        <v>0</v>
      </c>
      <c r="Y25" s="11" t="n">
        <f aca="false">IF(Y8=1,Inputs!$F$63+Inputs!$F$64,0)</f>
        <v>0</v>
      </c>
      <c r="Z25" s="11" t="n">
        <f aca="false">IF(Z8=1,Inputs!$F$63+Inputs!$F$64,0)</f>
        <v>0</v>
      </c>
      <c r="AA25" s="11" t="n">
        <f aca="false">IF(AA8=1,Inputs!$F$63+Inputs!$F$64,0)</f>
        <v>0</v>
      </c>
      <c r="AB25" s="11" t="n">
        <f aca="false">IF(AB8=1,Inputs!$F$63+Inputs!$F$64,0)</f>
        <v>0</v>
      </c>
      <c r="AC25" s="11" t="n">
        <f aca="false">IF(AC8=1,Inputs!$F$63+Inputs!$F$64,0)</f>
        <v>0</v>
      </c>
      <c r="AD25" s="11" t="n">
        <f aca="false">IF(AD8=1,Inputs!$F$63+Inputs!$F$64,0)</f>
        <v>0</v>
      </c>
      <c r="AE25" s="11" t="n">
        <f aca="false">IF(AE8=1,Inputs!$F$63+Inputs!$F$64,0)</f>
        <v>0</v>
      </c>
      <c r="AF25" s="11" t="n">
        <f aca="false">IF(AF8=1,Inputs!$F$63+Inputs!$F$64,0)</f>
        <v>0</v>
      </c>
      <c r="AG25" s="11" t="n">
        <f aca="false">IF(AG8=1,Inputs!$F$63+Inputs!$F$64,0)</f>
        <v>0</v>
      </c>
      <c r="AH25" s="11" t="n">
        <f aca="false">IF(AH8=1,Inputs!$F$63+Inputs!$F$64,0)</f>
        <v>0</v>
      </c>
      <c r="AI25" s="11" t="n">
        <f aca="false">IF(AI8=1,Inputs!$F$63+Inputs!$F$64,0)</f>
        <v>0</v>
      </c>
      <c r="AJ25" s="11" t="n">
        <f aca="false">IF(AJ8=1,Inputs!$F$63+Inputs!$F$64,0)</f>
        <v>0</v>
      </c>
      <c r="AK25" s="11" t="n">
        <f aca="false">IF(AK8=1,Inputs!$F$63+Inputs!$F$64,0)</f>
        <v>0</v>
      </c>
      <c r="AL25" s="11" t="n">
        <f aca="false">IF(AL8=1,Inputs!$F$63+Inputs!$F$64,0)</f>
        <v>0</v>
      </c>
      <c r="AM25" s="11" t="n">
        <f aca="false">IF(AM8=1,Inputs!$F$63+Inputs!$F$64,0)</f>
        <v>0</v>
      </c>
      <c r="AN25" s="11" t="n">
        <f aca="false">IF(AN8=1,Inputs!$F$63+Inputs!$F$64,0)</f>
        <v>0</v>
      </c>
      <c r="AO25" s="11" t="n">
        <f aca="false">IF(AO8=1,Inputs!$F$63+Inputs!$F$64,0)</f>
        <v>0</v>
      </c>
      <c r="AP25" s="11" t="n">
        <f aca="false">IF(AP8=1,Inputs!$F$63+Inputs!$F$64,0)</f>
        <v>0</v>
      </c>
      <c r="AQ25" s="11" t="n">
        <f aca="false">IF(AQ8=1,Inputs!$F$63+Inputs!$F$64,0)</f>
        <v>0</v>
      </c>
      <c r="AR25" s="11" t="n">
        <f aca="false">IF(AR8=1,Inputs!$F$63+Inputs!$F$64,0)</f>
        <v>0</v>
      </c>
      <c r="AS25" s="11" t="n">
        <f aca="false">IF(AS8=1,Inputs!$F$63+Inputs!$F$64,0)</f>
        <v>0</v>
      </c>
      <c r="AT25" s="11" t="n">
        <f aca="false">IF(AT8=1,Inputs!$F$63+Inputs!$F$64,0)</f>
        <v>0</v>
      </c>
      <c r="AU25" s="11" t="n">
        <f aca="false">IF(AU8=1,Inputs!$F$63+Inputs!$F$64,0)</f>
        <v>0</v>
      </c>
      <c r="AV25" s="11" t="n">
        <f aca="false">IF(AV8=1,Inputs!$F$63+Inputs!$F$64,0)</f>
        <v>0</v>
      </c>
      <c r="AW25" s="11" t="n">
        <f aca="false">IF(AW8=1,Inputs!$F$63+Inputs!$F$64,0)</f>
        <v>0</v>
      </c>
      <c r="AX25" s="11" t="n">
        <f aca="false">IF(AX8=1,Inputs!$F$63+Inputs!$F$64,0)</f>
        <v>0</v>
      </c>
      <c r="AY25" s="11" t="n">
        <f aca="false">IF(AY8=1,Inputs!$F$63+Inputs!$F$64,0)</f>
        <v>0</v>
      </c>
      <c r="AZ25" s="11" t="n">
        <f aca="false">IF(AZ8=1,Inputs!$F$63+Inputs!$F$64,0)</f>
        <v>0</v>
      </c>
      <c r="BA25" s="11" t="n">
        <f aca="false">IF(BA8=1,Inputs!$F$63+Inputs!$F$64,0)</f>
        <v>0</v>
      </c>
      <c r="BB25" s="11" t="n">
        <f aca="false">IF(BB8=1,Inputs!$F$63+Inputs!$F$64,0)</f>
        <v>0</v>
      </c>
      <c r="BC25" s="11" t="n">
        <f aca="false">IF(BC8=1,Inputs!$F$63+Inputs!$F$64,0)</f>
        <v>0</v>
      </c>
      <c r="BD25" s="11" t="n">
        <f aca="false">IF(BD8=1,Inputs!$F$63+Inputs!$F$64,0)</f>
        <v>0</v>
      </c>
      <c r="BE25" s="11" t="n">
        <f aca="false">IF(BE8=1,Inputs!$F$63+Inputs!$F$64,0)</f>
        <v>0</v>
      </c>
      <c r="BF25" s="11" t="n">
        <f aca="false">IF(BF8=1,Inputs!$F$63+Inputs!$F$64,0)</f>
        <v>0</v>
      </c>
      <c r="BG25" s="11" t="n">
        <f aca="false">IF(BG8=1,Inputs!$F$63+Inputs!$F$64,0)</f>
        <v>0</v>
      </c>
      <c r="BH25" s="11" t="n">
        <f aca="false">IF(BH8=1,Inputs!$F$63+Inputs!$F$64,0)</f>
        <v>0</v>
      </c>
      <c r="BI25" s="11" t="n">
        <f aca="false">IF(BI8=1,Inputs!$F$63+Inputs!$F$64,0)</f>
        <v>0</v>
      </c>
      <c r="BJ25" s="11" t="n">
        <f aca="false">IF(BJ8=1,Inputs!$F$63+Inputs!$F$64,0)</f>
        <v>0</v>
      </c>
    </row>
    <row r="26" customFormat="false" ht="15" hidden="false" customHeight="false" outlineLevel="0" collapsed="false">
      <c r="D26" s="0" t="s">
        <v>158</v>
      </c>
      <c r="E26" s="0" t="s">
        <v>149</v>
      </c>
      <c r="G26" s="11" t="n">
        <f aca="false">SUM(J26:BJ26)</f>
        <v>8.97</v>
      </c>
      <c r="J26" s="11" t="n">
        <f aca="false">Inputs!$F$65*Inputs!$F$36*(0.7*IF(J8=1,1,0)+0.3/(Time!$F$10-1)*IF(AND(J8&gt;=2,J8&lt;=Time!$F$10),1,0))</f>
        <v>6.279</v>
      </c>
      <c r="K26" s="11" t="n">
        <f aca="false">Inputs!$F$65*Inputs!$F$36*(0.7*IF(K8=1,1,0)+0.3/(Time!$F$10-1)*IF(AND(K8&gt;=2,K8&lt;=Time!$F$10),1,0))</f>
        <v>0.069</v>
      </c>
      <c r="L26" s="11" t="n">
        <f aca="false">Inputs!$F$65*Inputs!$F$36*(0.7*IF(L8=1,1,0)+0.3/(Time!$F$10-1)*IF(AND(L8&gt;=2,L8&lt;=Time!$F$10),1,0))</f>
        <v>0.069</v>
      </c>
      <c r="M26" s="11" t="n">
        <f aca="false">Inputs!$F$65*Inputs!$F$36*(0.7*IF(M8=1,1,0)+0.3/(Time!$F$10-1)*IF(AND(M8&gt;=2,M8&lt;=Time!$F$10),1,0))</f>
        <v>0.069</v>
      </c>
      <c r="N26" s="11" t="n">
        <f aca="false">Inputs!$F$65*Inputs!$F$36*(0.7*IF(N8=1,1,0)+0.3/(Time!$F$10-1)*IF(AND(N8&gt;=2,N8&lt;=Time!$F$10),1,0))</f>
        <v>0.069</v>
      </c>
      <c r="O26" s="11" t="n">
        <f aca="false">Inputs!$F$65*Inputs!$F$36*(0.7*IF(O8=1,1,0)+0.3/(Time!$F$10-1)*IF(AND(O8&gt;=2,O8&lt;=Time!$F$10),1,0))</f>
        <v>0.069</v>
      </c>
      <c r="P26" s="11" t="n">
        <f aca="false">Inputs!$F$65*Inputs!$F$36*(0.7*IF(P8=1,1,0)+0.3/(Time!$F$10-1)*IF(AND(P8&gt;=2,P8&lt;=Time!$F$10),1,0))</f>
        <v>0.069</v>
      </c>
      <c r="Q26" s="11" t="n">
        <f aca="false">Inputs!$F$65*Inputs!$F$36*(0.7*IF(Q8=1,1,0)+0.3/(Time!$F$10-1)*IF(AND(Q8&gt;=2,Q8&lt;=Time!$F$10),1,0))</f>
        <v>0.069</v>
      </c>
      <c r="R26" s="11" t="n">
        <f aca="false">Inputs!$F$65*Inputs!$F$36*(0.7*IF(R8=1,1,0)+0.3/(Time!$F$10-1)*IF(AND(R8&gt;=2,R8&lt;=Time!$F$10),1,0))</f>
        <v>0.069</v>
      </c>
      <c r="S26" s="11" t="n">
        <f aca="false">Inputs!$F$65*Inputs!$F$36*(0.7*IF(S8=1,1,0)+0.3/(Time!$F$10-1)*IF(AND(S8&gt;=2,S8&lt;=Time!$F$10),1,0))</f>
        <v>0.069</v>
      </c>
      <c r="T26" s="11" t="n">
        <f aca="false">Inputs!$F$65*Inputs!$F$36*(0.7*IF(T8=1,1,0)+0.3/(Time!$F$10-1)*IF(AND(T8&gt;=2,T8&lt;=Time!$F$10),1,0))</f>
        <v>0.069</v>
      </c>
      <c r="U26" s="11" t="n">
        <f aca="false">Inputs!$F$65*Inputs!$F$36*(0.7*IF(U8=1,1,0)+0.3/(Time!$F$10-1)*IF(AND(U8&gt;=2,U8&lt;=Time!$F$10),1,0))</f>
        <v>0.069</v>
      </c>
      <c r="V26" s="11" t="n">
        <f aca="false">Inputs!$F$65*Inputs!$F$36*(0.7*IF(V8=1,1,0)+0.3/(Time!$F$10-1)*IF(AND(V8&gt;=2,V8&lt;=Time!$F$10),1,0))</f>
        <v>0.069</v>
      </c>
      <c r="W26" s="11" t="n">
        <f aca="false">Inputs!$F$65*Inputs!$F$36*(0.7*IF(W8=1,1,0)+0.3/(Time!$F$10-1)*IF(AND(W8&gt;=2,W8&lt;=Time!$F$10),1,0))</f>
        <v>0.069</v>
      </c>
      <c r="X26" s="11" t="n">
        <f aca="false">Inputs!$F$65*Inputs!$F$36*(0.7*IF(X8=1,1,0)+0.3/(Time!$F$10-1)*IF(AND(X8&gt;=2,X8&lt;=Time!$F$10),1,0))</f>
        <v>0.069</v>
      </c>
      <c r="Y26" s="11" t="n">
        <f aca="false">Inputs!$F$65*Inputs!$F$36*(0.7*IF(Y8=1,1,0)+0.3/(Time!$F$10-1)*IF(AND(Y8&gt;=2,Y8&lt;=Time!$F$10),1,0))</f>
        <v>0.069</v>
      </c>
      <c r="Z26" s="11" t="n">
        <f aca="false">Inputs!$F$65*Inputs!$F$36*(0.7*IF(Z8=1,1,0)+0.3/(Time!$F$10-1)*IF(AND(Z8&gt;=2,Z8&lt;=Time!$F$10),1,0))</f>
        <v>0.069</v>
      </c>
      <c r="AA26" s="11" t="n">
        <f aca="false">Inputs!$F$65*Inputs!$F$36*(0.7*IF(AA8=1,1,0)+0.3/(Time!$F$10-1)*IF(AND(AA8&gt;=2,AA8&lt;=Time!$F$10),1,0))</f>
        <v>0.069</v>
      </c>
      <c r="AB26" s="11" t="n">
        <f aca="false">Inputs!$F$65*Inputs!$F$36*(0.7*IF(AB8=1,1,0)+0.3/(Time!$F$10-1)*IF(AND(AB8&gt;=2,AB8&lt;=Time!$F$10),1,0))</f>
        <v>0.069</v>
      </c>
      <c r="AC26" s="11" t="n">
        <f aca="false">Inputs!$F$65*Inputs!$F$36*(0.7*IF(AC8=1,1,0)+0.3/(Time!$F$10-1)*IF(AND(AC8&gt;=2,AC8&lt;=Time!$F$10),1,0))</f>
        <v>0.069</v>
      </c>
      <c r="AD26" s="11" t="n">
        <f aca="false">Inputs!$F$65*Inputs!$F$36*(0.7*IF(AD8=1,1,0)+0.3/(Time!$F$10-1)*IF(AND(AD8&gt;=2,AD8&lt;=Time!$F$10),1,0))</f>
        <v>0.069</v>
      </c>
      <c r="AE26" s="11" t="n">
        <f aca="false">Inputs!$F$65*Inputs!$F$36*(0.7*IF(AE8=1,1,0)+0.3/(Time!$F$10-1)*IF(AND(AE8&gt;=2,AE8&lt;=Time!$F$10),1,0))</f>
        <v>0.069</v>
      </c>
      <c r="AF26" s="11" t="n">
        <f aca="false">Inputs!$F$65*Inputs!$F$36*(0.7*IF(AF8=1,1,0)+0.3/(Time!$F$10-1)*IF(AND(AF8&gt;=2,AF8&lt;=Time!$F$10),1,0))</f>
        <v>0.069</v>
      </c>
      <c r="AG26" s="11" t="n">
        <f aca="false">Inputs!$F$65*Inputs!$F$36*(0.7*IF(AG8=1,1,0)+0.3/(Time!$F$10-1)*IF(AND(AG8&gt;=2,AG8&lt;=Time!$F$10),1,0))</f>
        <v>0.069</v>
      </c>
      <c r="AH26" s="11" t="n">
        <f aca="false">Inputs!$F$65*Inputs!$F$36*(0.7*IF(AH8=1,1,0)+0.3/(Time!$F$10-1)*IF(AND(AH8&gt;=2,AH8&lt;=Time!$F$10),1,0))</f>
        <v>0.069</v>
      </c>
      <c r="AI26" s="11" t="n">
        <f aca="false">Inputs!$F$65*Inputs!$F$36*(0.7*IF(AI8=1,1,0)+0.3/(Time!$F$10-1)*IF(AND(AI8&gt;=2,AI8&lt;=Time!$F$10),1,0))</f>
        <v>0.069</v>
      </c>
      <c r="AJ26" s="11" t="n">
        <f aca="false">Inputs!$F$65*Inputs!$F$36*(0.7*IF(AJ8=1,1,0)+0.3/(Time!$F$10-1)*IF(AND(AJ8&gt;=2,AJ8&lt;=Time!$F$10),1,0))</f>
        <v>0.069</v>
      </c>
      <c r="AK26" s="11" t="n">
        <f aca="false">Inputs!$F$65*Inputs!$F$36*(0.7*IF(AK8=1,1,0)+0.3/(Time!$F$10-1)*IF(AND(AK8&gt;=2,AK8&lt;=Time!$F$10),1,0))</f>
        <v>0.069</v>
      </c>
      <c r="AL26" s="11" t="n">
        <f aca="false">Inputs!$F$65*Inputs!$F$36*(0.7*IF(AL8=1,1,0)+0.3/(Time!$F$10-1)*IF(AND(AL8&gt;=2,AL8&lt;=Time!$F$10),1,0))</f>
        <v>0.069</v>
      </c>
      <c r="AM26" s="11" t="n">
        <f aca="false">Inputs!$F$65*Inputs!$F$36*(0.7*IF(AM8=1,1,0)+0.3/(Time!$F$10-1)*IF(AND(AM8&gt;=2,AM8&lt;=Time!$F$10),1,0))</f>
        <v>0.069</v>
      </c>
      <c r="AN26" s="11" t="n">
        <f aca="false">Inputs!$F$65*Inputs!$F$36*(0.7*IF(AN8=1,1,0)+0.3/(Time!$F$10-1)*IF(AND(AN8&gt;=2,AN8&lt;=Time!$F$10),1,0))</f>
        <v>0.069</v>
      </c>
      <c r="AO26" s="11" t="n">
        <f aca="false">Inputs!$F$65*Inputs!$F$36*(0.7*IF(AO8=1,1,0)+0.3/(Time!$F$10-1)*IF(AND(AO8&gt;=2,AO8&lt;=Time!$F$10),1,0))</f>
        <v>0.069</v>
      </c>
      <c r="AP26" s="11" t="n">
        <f aca="false">Inputs!$F$65*Inputs!$F$36*(0.7*IF(AP8=1,1,0)+0.3/(Time!$F$10-1)*IF(AND(AP8&gt;=2,AP8&lt;=Time!$F$10),1,0))</f>
        <v>0.069</v>
      </c>
      <c r="AQ26" s="11" t="n">
        <f aca="false">Inputs!$F$65*Inputs!$F$36*(0.7*IF(AQ8=1,1,0)+0.3/(Time!$F$10-1)*IF(AND(AQ8&gt;=2,AQ8&lt;=Time!$F$10),1,0))</f>
        <v>0.069</v>
      </c>
      <c r="AR26" s="11" t="n">
        <f aca="false">Inputs!$F$65*Inputs!$F$36*(0.7*IF(AR8=1,1,0)+0.3/(Time!$F$10-1)*IF(AND(AR8&gt;=2,AR8&lt;=Time!$F$10),1,0))</f>
        <v>0.069</v>
      </c>
      <c r="AS26" s="11" t="n">
        <f aca="false">Inputs!$F$65*Inputs!$F$36*(0.7*IF(AS8=1,1,0)+0.3/(Time!$F$10-1)*IF(AND(AS8&gt;=2,AS8&lt;=Time!$F$10),1,0))</f>
        <v>0.069</v>
      </c>
      <c r="AT26" s="11" t="n">
        <f aca="false">Inputs!$F$65*Inputs!$F$36*(0.7*IF(AT8=1,1,0)+0.3/(Time!$F$10-1)*IF(AND(AT8&gt;=2,AT8&lt;=Time!$F$10),1,0))</f>
        <v>0.069</v>
      </c>
      <c r="AU26" s="11" t="n">
        <f aca="false">Inputs!$F$65*Inputs!$F$36*(0.7*IF(AU8=1,1,0)+0.3/(Time!$F$10-1)*IF(AND(AU8&gt;=2,AU8&lt;=Time!$F$10),1,0))</f>
        <v>0.069</v>
      </c>
      <c r="AV26" s="11" t="n">
        <f aca="false">Inputs!$F$65*Inputs!$F$36*(0.7*IF(AV8=1,1,0)+0.3/(Time!$F$10-1)*IF(AND(AV8&gt;=2,AV8&lt;=Time!$F$10),1,0))</f>
        <v>0.069</v>
      </c>
      <c r="AW26" s="11" t="n">
        <f aca="false">Inputs!$F$65*Inputs!$F$36*(0.7*IF(AW8=1,1,0)+0.3/(Time!$F$10-1)*IF(AND(AW8&gt;=2,AW8&lt;=Time!$F$10),1,0))</f>
        <v>0.069</v>
      </c>
      <c r="AX26" s="11" t="n">
        <f aca="false">Inputs!$F$65*Inputs!$F$36*(0.7*IF(AX8=1,1,0)+0.3/(Time!$F$10-1)*IF(AND(AX8&gt;=2,AX8&lt;=Time!$F$10),1,0))</f>
        <v>0</v>
      </c>
      <c r="AY26" s="11" t="n">
        <f aca="false">Inputs!$F$65*Inputs!$F$36*(0.7*IF(AY8=1,1,0)+0.3/(Time!$F$10-1)*IF(AND(AY8&gt;=2,AY8&lt;=Time!$F$10),1,0))</f>
        <v>0</v>
      </c>
      <c r="AZ26" s="11" t="n">
        <f aca="false">Inputs!$F$65*Inputs!$F$36*(0.7*IF(AZ8=1,1,0)+0.3/(Time!$F$10-1)*IF(AND(AZ8&gt;=2,AZ8&lt;=Time!$F$10),1,0))</f>
        <v>0</v>
      </c>
      <c r="BA26" s="11" t="n">
        <f aca="false">Inputs!$F$65*Inputs!$F$36*(0.7*IF(BA8=1,1,0)+0.3/(Time!$F$10-1)*IF(AND(BA8&gt;=2,BA8&lt;=Time!$F$10),1,0))</f>
        <v>0</v>
      </c>
      <c r="BB26" s="11" t="n">
        <f aca="false">Inputs!$F$65*Inputs!$F$36*(0.7*IF(BB8=1,1,0)+0.3/(Time!$F$10-1)*IF(AND(BB8&gt;=2,BB8&lt;=Time!$F$10),1,0))</f>
        <v>0</v>
      </c>
      <c r="BC26" s="11" t="n">
        <f aca="false">Inputs!$F$65*Inputs!$F$36*(0.7*IF(BC8=1,1,0)+0.3/(Time!$F$10-1)*IF(AND(BC8&gt;=2,BC8&lt;=Time!$F$10),1,0))</f>
        <v>0</v>
      </c>
      <c r="BD26" s="11" t="n">
        <f aca="false">Inputs!$F$65*Inputs!$F$36*(0.7*IF(BD8=1,1,0)+0.3/(Time!$F$10-1)*IF(AND(BD8&gt;=2,BD8&lt;=Time!$F$10),1,0))</f>
        <v>0</v>
      </c>
      <c r="BE26" s="11" t="n">
        <f aca="false">Inputs!$F$65*Inputs!$F$36*(0.7*IF(BE8=1,1,0)+0.3/(Time!$F$10-1)*IF(AND(BE8&gt;=2,BE8&lt;=Time!$F$10),1,0))</f>
        <v>0</v>
      </c>
      <c r="BF26" s="11" t="n">
        <f aca="false">Inputs!$F$65*Inputs!$F$36*(0.7*IF(BF8=1,1,0)+0.3/(Time!$F$10-1)*IF(AND(BF8&gt;=2,BF8&lt;=Time!$F$10),1,0))</f>
        <v>0</v>
      </c>
      <c r="BG26" s="11" t="n">
        <f aca="false">Inputs!$F$65*Inputs!$F$36*(0.7*IF(BG8=1,1,0)+0.3/(Time!$F$10-1)*IF(AND(BG8&gt;=2,BG8&lt;=Time!$F$10),1,0))</f>
        <v>0</v>
      </c>
      <c r="BH26" s="11" t="n">
        <f aca="false">Inputs!$F$65*Inputs!$F$36*(0.7*IF(BH8=1,1,0)+0.3/(Time!$F$10-1)*IF(AND(BH8&gt;=2,BH8&lt;=Time!$F$10),1,0))</f>
        <v>0</v>
      </c>
      <c r="BI26" s="11" t="n">
        <f aca="false">Inputs!$F$65*Inputs!$F$36*(0.7*IF(BI8=1,1,0)+0.3/(Time!$F$10-1)*IF(AND(BI8&gt;=2,BI8&lt;=Time!$F$10),1,0))</f>
        <v>0</v>
      </c>
      <c r="BJ26" s="11" t="n">
        <f aca="false">Inputs!$F$65*Inputs!$F$36*(0.7*IF(BJ8=1,1,0)+0.3/(Time!$F$10-1)*IF(AND(BJ8&gt;=2,BJ8&lt;=Time!$F$10),1,0))</f>
        <v>0</v>
      </c>
    </row>
    <row r="27" customFormat="false" ht="15" hidden="false" customHeight="false" outlineLevel="0" collapsed="false">
      <c r="D27" s="0" t="s">
        <v>447</v>
      </c>
      <c r="E27" s="0" t="s">
        <v>149</v>
      </c>
      <c r="G27" s="11" t="n">
        <f aca="false">SUM(J27:BJ27)</f>
        <v>0</v>
      </c>
      <c r="J27" s="11" t="n">
        <f aca="false">IF(Inputs!$F$34=1,Inputs!$F$66*Inputs!$F$36*J21/SUM($J$21:$BJ$21),0)</f>
        <v>0</v>
      </c>
      <c r="K27" s="11" t="n">
        <f aca="false">IF(Inputs!$F$34=1,Inputs!$F$66*Inputs!$F$36*K21/SUM($J$21:$BJ$21),0)</f>
        <v>0</v>
      </c>
      <c r="L27" s="11" t="n">
        <f aca="false">IF(Inputs!$F$34=1,Inputs!$F$66*Inputs!$F$36*L21/SUM($J$21:$BJ$21),0)</f>
        <v>0</v>
      </c>
      <c r="M27" s="11" t="n">
        <f aca="false">IF(Inputs!$F$34=1,Inputs!$F$66*Inputs!$F$36*M21/SUM($J$21:$BJ$21),0)</f>
        <v>0</v>
      </c>
      <c r="N27" s="11" t="n">
        <f aca="false">IF(Inputs!$F$34=1,Inputs!$F$66*Inputs!$F$36*N21/SUM($J$21:$BJ$21),0)</f>
        <v>0</v>
      </c>
      <c r="O27" s="11" t="n">
        <f aca="false">IF(Inputs!$F$34=1,Inputs!$F$66*Inputs!$F$36*O21/SUM($J$21:$BJ$21),0)</f>
        <v>0</v>
      </c>
      <c r="P27" s="11" t="n">
        <f aca="false">IF(Inputs!$F$34=1,Inputs!$F$66*Inputs!$F$36*P21/SUM($J$21:$BJ$21),0)</f>
        <v>0</v>
      </c>
      <c r="Q27" s="11" t="n">
        <f aca="false">IF(Inputs!$F$34=1,Inputs!$F$66*Inputs!$F$36*Q21/SUM($J$21:$BJ$21),0)</f>
        <v>0</v>
      </c>
      <c r="R27" s="11" t="n">
        <f aca="false">IF(Inputs!$F$34=1,Inputs!$F$66*Inputs!$F$36*R21/SUM($J$21:$BJ$21),0)</f>
        <v>0</v>
      </c>
      <c r="S27" s="11" t="n">
        <f aca="false">IF(Inputs!$F$34=1,Inputs!$F$66*Inputs!$F$36*S21/SUM($J$21:$BJ$21),0)</f>
        <v>0</v>
      </c>
      <c r="T27" s="11" t="n">
        <f aca="false">IF(Inputs!$F$34=1,Inputs!$F$66*Inputs!$F$36*T21/SUM($J$21:$BJ$21),0)</f>
        <v>0</v>
      </c>
      <c r="U27" s="11" t="n">
        <f aca="false">IF(Inputs!$F$34=1,Inputs!$F$66*Inputs!$F$36*U21/SUM($J$21:$BJ$21),0)</f>
        <v>0</v>
      </c>
      <c r="V27" s="11" t="n">
        <f aca="false">IF(Inputs!$F$34=1,Inputs!$F$66*Inputs!$F$36*V21/SUM($J$21:$BJ$21),0)</f>
        <v>0</v>
      </c>
      <c r="W27" s="11" t="n">
        <f aca="false">IF(Inputs!$F$34=1,Inputs!$F$66*Inputs!$F$36*W21/SUM($J$21:$BJ$21),0)</f>
        <v>0</v>
      </c>
      <c r="X27" s="11" t="n">
        <f aca="false">IF(Inputs!$F$34=1,Inputs!$F$66*Inputs!$F$36*X21/SUM($J$21:$BJ$21),0)</f>
        <v>0</v>
      </c>
      <c r="Y27" s="11" t="n">
        <f aca="false">IF(Inputs!$F$34=1,Inputs!$F$66*Inputs!$F$36*Y21/SUM($J$21:$BJ$21),0)</f>
        <v>0</v>
      </c>
      <c r="Z27" s="11" t="n">
        <f aca="false">IF(Inputs!$F$34=1,Inputs!$F$66*Inputs!$F$36*Z21/SUM($J$21:$BJ$21),0)</f>
        <v>0</v>
      </c>
      <c r="AA27" s="11" t="n">
        <f aca="false">IF(Inputs!$F$34=1,Inputs!$F$66*Inputs!$F$36*AA21/SUM($J$21:$BJ$21),0)</f>
        <v>0</v>
      </c>
      <c r="AB27" s="11" t="n">
        <f aca="false">IF(Inputs!$F$34=1,Inputs!$F$66*Inputs!$F$36*AB21/SUM($J$21:$BJ$21),0)</f>
        <v>0</v>
      </c>
      <c r="AC27" s="11" t="n">
        <f aca="false">IF(Inputs!$F$34=1,Inputs!$F$66*Inputs!$F$36*AC21/SUM($J$21:$BJ$21),0)</f>
        <v>0</v>
      </c>
      <c r="AD27" s="11" t="n">
        <f aca="false">IF(Inputs!$F$34=1,Inputs!$F$66*Inputs!$F$36*AD21/SUM($J$21:$BJ$21),0)</f>
        <v>0</v>
      </c>
      <c r="AE27" s="11" t="n">
        <f aca="false">IF(Inputs!$F$34=1,Inputs!$F$66*Inputs!$F$36*AE21/SUM($J$21:$BJ$21),0)</f>
        <v>0</v>
      </c>
      <c r="AF27" s="11" t="n">
        <f aca="false">IF(Inputs!$F$34=1,Inputs!$F$66*Inputs!$F$36*AF21/SUM($J$21:$BJ$21),0)</f>
        <v>0</v>
      </c>
      <c r="AG27" s="11" t="n">
        <f aca="false">IF(Inputs!$F$34=1,Inputs!$F$66*Inputs!$F$36*AG21/SUM($J$21:$BJ$21),0)</f>
        <v>0</v>
      </c>
      <c r="AH27" s="11" t="n">
        <f aca="false">IF(Inputs!$F$34=1,Inputs!$F$66*Inputs!$F$36*AH21/SUM($J$21:$BJ$21),0)</f>
        <v>0</v>
      </c>
      <c r="AI27" s="11" t="n">
        <f aca="false">IF(Inputs!$F$34=1,Inputs!$F$66*Inputs!$F$36*AI21/SUM($J$21:$BJ$21),0)</f>
        <v>0</v>
      </c>
      <c r="AJ27" s="11" t="n">
        <f aca="false">IF(Inputs!$F$34=1,Inputs!$F$66*Inputs!$F$36*AJ21/SUM($J$21:$BJ$21),0)</f>
        <v>0</v>
      </c>
      <c r="AK27" s="11" t="n">
        <f aca="false">IF(Inputs!$F$34=1,Inputs!$F$66*Inputs!$F$36*AK21/SUM($J$21:$BJ$21),0)</f>
        <v>0</v>
      </c>
      <c r="AL27" s="11" t="n">
        <f aca="false">IF(Inputs!$F$34=1,Inputs!$F$66*Inputs!$F$36*AL21/SUM($J$21:$BJ$21),0)</f>
        <v>0</v>
      </c>
      <c r="AM27" s="11" t="n">
        <f aca="false">IF(Inputs!$F$34=1,Inputs!$F$66*Inputs!$F$36*AM21/SUM($J$21:$BJ$21),0)</f>
        <v>0</v>
      </c>
      <c r="AN27" s="11" t="n">
        <f aca="false">IF(Inputs!$F$34=1,Inputs!$F$66*Inputs!$F$36*AN21/SUM($J$21:$BJ$21),0)</f>
        <v>0</v>
      </c>
      <c r="AO27" s="11" t="n">
        <f aca="false">IF(Inputs!$F$34=1,Inputs!$F$66*Inputs!$F$36*AO21/SUM($J$21:$BJ$21),0)</f>
        <v>0</v>
      </c>
      <c r="AP27" s="11" t="n">
        <f aca="false">IF(Inputs!$F$34=1,Inputs!$F$66*Inputs!$F$36*AP21/SUM($J$21:$BJ$21),0)</f>
        <v>0</v>
      </c>
      <c r="AQ27" s="11" t="n">
        <f aca="false">IF(Inputs!$F$34=1,Inputs!$F$66*Inputs!$F$36*AQ21/SUM($J$21:$BJ$21),0)</f>
        <v>0</v>
      </c>
      <c r="AR27" s="11" t="n">
        <f aca="false">IF(Inputs!$F$34=1,Inputs!$F$66*Inputs!$F$36*AR21/SUM($J$21:$BJ$21),0)</f>
        <v>0</v>
      </c>
      <c r="AS27" s="11" t="n">
        <f aca="false">IF(Inputs!$F$34=1,Inputs!$F$66*Inputs!$F$36*AS21/SUM($J$21:$BJ$21),0)</f>
        <v>0</v>
      </c>
      <c r="AT27" s="11" t="n">
        <f aca="false">IF(Inputs!$F$34=1,Inputs!$F$66*Inputs!$F$36*AT21/SUM($J$21:$BJ$21),0)</f>
        <v>0</v>
      </c>
      <c r="AU27" s="11" t="n">
        <f aca="false">IF(Inputs!$F$34=1,Inputs!$F$66*Inputs!$F$36*AU21/SUM($J$21:$BJ$21),0)</f>
        <v>0</v>
      </c>
      <c r="AV27" s="11" t="n">
        <f aca="false">IF(Inputs!$F$34=1,Inputs!$F$66*Inputs!$F$36*AV21/SUM($J$21:$BJ$21),0)</f>
        <v>0</v>
      </c>
      <c r="AW27" s="11" t="n">
        <f aca="false">IF(Inputs!$F$34=1,Inputs!$F$66*Inputs!$F$36*AW21/SUM($J$21:$BJ$21),0)</f>
        <v>0</v>
      </c>
      <c r="AX27" s="11" t="n">
        <f aca="false">IF(Inputs!$F$34=1,Inputs!$F$66*Inputs!$F$36*AX21/SUM($J$21:$BJ$21),0)</f>
        <v>0</v>
      </c>
      <c r="AY27" s="11" t="n">
        <f aca="false">IF(Inputs!$F$34=1,Inputs!$F$66*Inputs!$F$36*AY21/SUM($J$21:$BJ$21),0)</f>
        <v>0</v>
      </c>
      <c r="AZ27" s="11" t="n">
        <f aca="false">IF(Inputs!$F$34=1,Inputs!$F$66*Inputs!$F$36*AZ21/SUM($J$21:$BJ$21),0)</f>
        <v>0</v>
      </c>
      <c r="BA27" s="11" t="n">
        <f aca="false">IF(Inputs!$F$34=1,Inputs!$F$66*Inputs!$F$36*BA21/SUM($J$21:$BJ$21),0)</f>
        <v>0</v>
      </c>
      <c r="BB27" s="11" t="n">
        <f aca="false">IF(Inputs!$F$34=1,Inputs!$F$66*Inputs!$F$36*BB21/SUM($J$21:$BJ$21),0)</f>
        <v>0</v>
      </c>
      <c r="BC27" s="11" t="n">
        <f aca="false">IF(Inputs!$F$34=1,Inputs!$F$66*Inputs!$F$36*BC21/SUM($J$21:$BJ$21),0)</f>
        <v>0</v>
      </c>
      <c r="BD27" s="11" t="n">
        <f aca="false">IF(Inputs!$F$34=1,Inputs!$F$66*Inputs!$F$36*BD21/SUM($J$21:$BJ$21),0)</f>
        <v>0</v>
      </c>
      <c r="BE27" s="11" t="n">
        <f aca="false">IF(Inputs!$F$34=1,Inputs!$F$66*Inputs!$F$36*BE21/SUM($J$21:$BJ$21),0)</f>
        <v>0</v>
      </c>
      <c r="BF27" s="11" t="n">
        <f aca="false">IF(Inputs!$F$34=1,Inputs!$F$66*Inputs!$F$36*BF21/SUM($J$21:$BJ$21),0)</f>
        <v>0</v>
      </c>
      <c r="BG27" s="11" t="n">
        <f aca="false">IF(Inputs!$F$34=1,Inputs!$F$66*Inputs!$F$36*BG21/SUM($J$21:$BJ$21),0)</f>
        <v>0</v>
      </c>
      <c r="BH27" s="11" t="n">
        <f aca="false">IF(Inputs!$F$34=1,Inputs!$F$66*Inputs!$F$36*BH21/SUM($J$21:$BJ$21),0)</f>
        <v>0</v>
      </c>
      <c r="BI27" s="11" t="n">
        <f aca="false">IF(Inputs!$F$34=1,Inputs!$F$66*Inputs!$F$36*BI21/SUM($J$21:$BJ$21),0)</f>
        <v>0</v>
      </c>
      <c r="BJ27" s="11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448</v>
      </c>
      <c r="E28" s="0" t="s">
        <v>149</v>
      </c>
      <c r="G28" s="11" t="n">
        <f aca="false">SUM(J28:BJ28)</f>
        <v>5.35</v>
      </c>
      <c r="J28" s="11" t="n">
        <f aca="false">IF(J8=Time!$F$10,Inputs!$F$67*Inputs!$F$36,0)</f>
        <v>0</v>
      </c>
      <c r="K28" s="11" t="n">
        <f aca="false">IF(K8=Time!$F$10,Inputs!$F$67*Inputs!$F$36,0)</f>
        <v>0</v>
      </c>
      <c r="L28" s="11" t="n">
        <f aca="false">IF(L8=Time!$F$10,Inputs!$F$67*Inputs!$F$36,0)</f>
        <v>0</v>
      </c>
      <c r="M28" s="11" t="n">
        <f aca="false">IF(M8=Time!$F$10,Inputs!$F$67*Inputs!$F$36,0)</f>
        <v>0</v>
      </c>
      <c r="N28" s="11" t="n">
        <f aca="false">IF(N8=Time!$F$10,Inputs!$F$67*Inputs!$F$36,0)</f>
        <v>0</v>
      </c>
      <c r="O28" s="11" t="n">
        <f aca="false">IF(O8=Time!$F$10,Inputs!$F$67*Inputs!$F$36,0)</f>
        <v>0</v>
      </c>
      <c r="P28" s="11" t="n">
        <f aca="false">IF(P8=Time!$F$10,Inputs!$F$67*Inputs!$F$36,0)</f>
        <v>0</v>
      </c>
      <c r="Q28" s="11" t="n">
        <f aca="false">IF(Q8=Time!$F$10,Inputs!$F$67*Inputs!$F$36,0)</f>
        <v>0</v>
      </c>
      <c r="R28" s="11" t="n">
        <f aca="false">IF(R8=Time!$F$10,Inputs!$F$67*Inputs!$F$36,0)</f>
        <v>0</v>
      </c>
      <c r="S28" s="11" t="n">
        <f aca="false">IF(S8=Time!$F$10,Inputs!$F$67*Inputs!$F$36,0)</f>
        <v>0</v>
      </c>
      <c r="T28" s="11" t="n">
        <f aca="false">IF(T8=Time!$F$10,Inputs!$F$67*Inputs!$F$36,0)</f>
        <v>0</v>
      </c>
      <c r="U28" s="11" t="n">
        <f aca="false">IF(U8=Time!$F$10,Inputs!$F$67*Inputs!$F$36,0)</f>
        <v>0</v>
      </c>
      <c r="V28" s="11" t="n">
        <f aca="false">IF(V8=Time!$F$10,Inputs!$F$67*Inputs!$F$36,0)</f>
        <v>0</v>
      </c>
      <c r="W28" s="11" t="n">
        <f aca="false">IF(W8=Time!$F$10,Inputs!$F$67*Inputs!$F$36,0)</f>
        <v>0</v>
      </c>
      <c r="X28" s="11" t="n">
        <f aca="false">IF(X8=Time!$F$10,Inputs!$F$67*Inputs!$F$36,0)</f>
        <v>0</v>
      </c>
      <c r="Y28" s="11" t="n">
        <f aca="false">IF(Y8=Time!$F$10,Inputs!$F$67*Inputs!$F$36,0)</f>
        <v>0</v>
      </c>
      <c r="Z28" s="11" t="n">
        <f aca="false">IF(Z8=Time!$F$10,Inputs!$F$67*Inputs!$F$36,0)</f>
        <v>0</v>
      </c>
      <c r="AA28" s="11" t="n">
        <f aca="false">IF(AA8=Time!$F$10,Inputs!$F$67*Inputs!$F$36,0)</f>
        <v>0</v>
      </c>
      <c r="AB28" s="11" t="n">
        <f aca="false">IF(AB8=Time!$F$10,Inputs!$F$67*Inputs!$F$36,0)</f>
        <v>0</v>
      </c>
      <c r="AC28" s="11" t="n">
        <f aca="false">IF(AC8=Time!$F$10,Inputs!$F$67*Inputs!$F$36,0)</f>
        <v>0</v>
      </c>
      <c r="AD28" s="11" t="n">
        <f aca="false">IF(AD8=Time!$F$10,Inputs!$F$67*Inputs!$F$36,0)</f>
        <v>0</v>
      </c>
      <c r="AE28" s="11" t="n">
        <f aca="false">IF(AE8=Time!$F$10,Inputs!$F$67*Inputs!$F$36,0)</f>
        <v>0</v>
      </c>
      <c r="AF28" s="11" t="n">
        <f aca="false">IF(AF8=Time!$F$10,Inputs!$F$67*Inputs!$F$36,0)</f>
        <v>0</v>
      </c>
      <c r="AG28" s="11" t="n">
        <f aca="false">IF(AG8=Time!$F$10,Inputs!$F$67*Inputs!$F$36,0)</f>
        <v>0</v>
      </c>
      <c r="AH28" s="11" t="n">
        <f aca="false">IF(AH8=Time!$F$10,Inputs!$F$67*Inputs!$F$36,0)</f>
        <v>0</v>
      </c>
      <c r="AI28" s="11" t="n">
        <f aca="false">IF(AI8=Time!$F$10,Inputs!$F$67*Inputs!$F$36,0)</f>
        <v>0</v>
      </c>
      <c r="AJ28" s="11" t="n">
        <f aca="false">IF(AJ8=Time!$F$10,Inputs!$F$67*Inputs!$F$36,0)</f>
        <v>0</v>
      </c>
      <c r="AK28" s="11" t="n">
        <f aca="false">IF(AK8=Time!$F$10,Inputs!$F$67*Inputs!$F$36,0)</f>
        <v>0</v>
      </c>
      <c r="AL28" s="11" t="n">
        <f aca="false">IF(AL8=Time!$F$10,Inputs!$F$67*Inputs!$F$36,0)</f>
        <v>0</v>
      </c>
      <c r="AM28" s="11" t="n">
        <f aca="false">IF(AM8=Time!$F$10,Inputs!$F$67*Inputs!$F$36,0)</f>
        <v>0</v>
      </c>
      <c r="AN28" s="11" t="n">
        <f aca="false">IF(AN8=Time!$F$10,Inputs!$F$67*Inputs!$F$36,0)</f>
        <v>0</v>
      </c>
      <c r="AO28" s="11" t="n">
        <f aca="false">IF(AO8=Time!$F$10,Inputs!$F$67*Inputs!$F$36,0)</f>
        <v>0</v>
      </c>
      <c r="AP28" s="11" t="n">
        <f aca="false">IF(AP8=Time!$F$10,Inputs!$F$67*Inputs!$F$36,0)</f>
        <v>0</v>
      </c>
      <c r="AQ28" s="11" t="n">
        <f aca="false">IF(AQ8=Time!$F$10,Inputs!$F$67*Inputs!$F$36,0)</f>
        <v>0</v>
      </c>
      <c r="AR28" s="11" t="n">
        <f aca="false">IF(AR8=Time!$F$10,Inputs!$F$67*Inputs!$F$36,0)</f>
        <v>0</v>
      </c>
      <c r="AS28" s="11" t="n">
        <f aca="false">IF(AS8=Time!$F$10,Inputs!$F$67*Inputs!$F$36,0)</f>
        <v>0</v>
      </c>
      <c r="AT28" s="11" t="n">
        <f aca="false">IF(AT8=Time!$F$10,Inputs!$F$67*Inputs!$F$36,0)</f>
        <v>0</v>
      </c>
      <c r="AU28" s="11" t="n">
        <f aca="false">IF(AU8=Time!$F$10,Inputs!$F$67*Inputs!$F$36,0)</f>
        <v>0</v>
      </c>
      <c r="AV28" s="11" t="n">
        <f aca="false">IF(AV8=Time!$F$10,Inputs!$F$67*Inputs!$F$36,0)</f>
        <v>0</v>
      </c>
      <c r="AW28" s="11" t="n">
        <f aca="false">IF(AW8=Time!$F$10,Inputs!$F$67*Inputs!$F$36,0)</f>
        <v>5.35</v>
      </c>
      <c r="AX28" s="11" t="n">
        <f aca="false">IF(AX8=Time!$F$10,Inputs!$F$67*Inputs!$F$36,0)</f>
        <v>0</v>
      </c>
      <c r="AY28" s="11" t="n">
        <f aca="false">IF(AY8=Time!$F$10,Inputs!$F$67*Inputs!$F$36,0)</f>
        <v>0</v>
      </c>
      <c r="AZ28" s="11" t="n">
        <f aca="false">IF(AZ8=Time!$F$10,Inputs!$F$67*Inputs!$F$36,0)</f>
        <v>0</v>
      </c>
      <c r="BA28" s="11" t="n">
        <f aca="false">IF(BA8=Time!$F$10,Inputs!$F$67*Inputs!$F$36,0)</f>
        <v>0</v>
      </c>
      <c r="BB28" s="11" t="n">
        <f aca="false">IF(BB8=Time!$F$10,Inputs!$F$67*Inputs!$F$36,0)</f>
        <v>0</v>
      </c>
      <c r="BC28" s="11" t="n">
        <f aca="false">IF(BC8=Time!$F$10,Inputs!$F$67*Inputs!$F$36,0)</f>
        <v>0</v>
      </c>
      <c r="BD28" s="11" t="n">
        <f aca="false">IF(BD8=Time!$F$10,Inputs!$F$67*Inputs!$F$36,0)</f>
        <v>0</v>
      </c>
      <c r="BE28" s="11" t="n">
        <f aca="false">IF(BE8=Time!$F$10,Inputs!$F$67*Inputs!$F$36,0)</f>
        <v>0</v>
      </c>
      <c r="BF28" s="11" t="n">
        <f aca="false">IF(BF8=Time!$F$10,Inputs!$F$67*Inputs!$F$36,0)</f>
        <v>0</v>
      </c>
      <c r="BG28" s="11" t="n">
        <f aca="false">IF(BG8=Time!$F$10,Inputs!$F$67*Inputs!$F$36,0)</f>
        <v>0</v>
      </c>
      <c r="BH28" s="11" t="n">
        <f aca="false">IF(BH8=Time!$F$10,Inputs!$F$67*Inputs!$F$36,0)</f>
        <v>0</v>
      </c>
      <c r="BI28" s="11" t="n">
        <f aca="false">IF(BI8=Time!$F$10,Inputs!$F$67*Inputs!$F$36,0)</f>
        <v>0</v>
      </c>
      <c r="BJ28" s="11" t="n">
        <f aca="false">IF(BJ8=Time!$F$10,Inputs!$F$67*Inputs!$F$36,0)</f>
        <v>0</v>
      </c>
    </row>
    <row r="29" customFormat="false" ht="15" hidden="false" customHeight="false" outlineLevel="0" collapsed="false">
      <c r="D29" s="0" t="s">
        <v>449</v>
      </c>
      <c r="E29" s="0" t="s">
        <v>149</v>
      </c>
      <c r="G29" s="11" t="n">
        <f aca="false">SUM(J29:BJ29)</f>
        <v>32.34</v>
      </c>
      <c r="J29" s="11" t="n">
        <f aca="false">IF(Inputs!$F$34=2,Inputs!J232,0)</f>
        <v>0</v>
      </c>
      <c r="K29" s="11" t="n">
        <f aca="false">IF(Inputs!$F$34=2,Inputs!K232,0)</f>
        <v>0</v>
      </c>
      <c r="L29" s="11" t="n">
        <f aca="false">IF(Inputs!$F$34=2,Inputs!L232,0)</f>
        <v>0</v>
      </c>
      <c r="M29" s="11" t="n">
        <f aca="false">IF(Inputs!$F$34=2,Inputs!M232,0)</f>
        <v>0</v>
      </c>
      <c r="N29" s="11" t="n">
        <f aca="false">IF(Inputs!$F$34=2,Inputs!N232,0)</f>
        <v>0</v>
      </c>
      <c r="O29" s="11" t="n">
        <f aca="false">IF(Inputs!$F$34=2,Inputs!O232,0)</f>
        <v>0</v>
      </c>
      <c r="P29" s="11" t="n">
        <f aca="false">IF(Inputs!$F$34=2,Inputs!P232,0)</f>
        <v>0</v>
      </c>
      <c r="Q29" s="11" t="n">
        <f aca="false">IF(Inputs!$F$34=2,Inputs!Q232,0)</f>
        <v>0</v>
      </c>
      <c r="R29" s="11" t="n">
        <f aca="false">IF(Inputs!$F$34=2,Inputs!R232,0)</f>
        <v>0</v>
      </c>
      <c r="S29" s="11" t="n">
        <f aca="false">IF(Inputs!$F$34=2,Inputs!S232,0)</f>
        <v>0</v>
      </c>
      <c r="T29" s="11" t="n">
        <f aca="false">IF(Inputs!$F$34=2,Inputs!T232,0)</f>
        <v>0</v>
      </c>
      <c r="U29" s="11" t="n">
        <f aca="false">IF(Inputs!$F$34=2,Inputs!U232,0)</f>
        <v>0</v>
      </c>
      <c r="V29" s="11" t="n">
        <f aca="false">IF(Inputs!$F$34=2,Inputs!V232,0)</f>
        <v>0</v>
      </c>
      <c r="W29" s="11" t="n">
        <f aca="false">IF(Inputs!$F$34=2,Inputs!W232,0)</f>
        <v>0</v>
      </c>
      <c r="X29" s="11" t="n">
        <f aca="false">IF(Inputs!$F$34=2,Inputs!X232,0)</f>
        <v>0</v>
      </c>
      <c r="Y29" s="11" t="n">
        <f aca="false">IF(Inputs!$F$34=2,Inputs!Y232,0)</f>
        <v>0</v>
      </c>
      <c r="Z29" s="11" t="n">
        <f aca="false">IF(Inputs!$F$34=2,Inputs!Z232,0)</f>
        <v>0</v>
      </c>
      <c r="AA29" s="11" t="n">
        <f aca="false">IF(Inputs!$F$34=2,Inputs!AA232,0)</f>
        <v>0</v>
      </c>
      <c r="AB29" s="11" t="n">
        <f aca="false">IF(Inputs!$F$34=2,Inputs!AB232,0)</f>
        <v>0</v>
      </c>
      <c r="AC29" s="11" t="n">
        <f aca="false">IF(Inputs!$F$34=2,Inputs!AC232,0)</f>
        <v>0</v>
      </c>
      <c r="AD29" s="11" t="n">
        <f aca="false">IF(Inputs!$F$34=2,Inputs!AD232,0)</f>
        <v>0.3425</v>
      </c>
      <c r="AE29" s="11" t="n">
        <f aca="false">IF(Inputs!$F$34=2,Inputs!AE232,0)</f>
        <v>0.3425</v>
      </c>
      <c r="AF29" s="11" t="n">
        <f aca="false">IF(Inputs!$F$34=2,Inputs!AF232,0)</f>
        <v>0.3425</v>
      </c>
      <c r="AG29" s="11" t="n">
        <f aca="false">IF(Inputs!$F$34=2,Inputs!AG232,0)</f>
        <v>0.3425</v>
      </c>
      <c r="AH29" s="11" t="n">
        <f aca="false">IF(Inputs!$F$34=2,Inputs!AH232,0)</f>
        <v>0.3425</v>
      </c>
      <c r="AI29" s="11" t="n">
        <f aca="false">IF(Inputs!$F$34=2,Inputs!AI232,0)</f>
        <v>0.3425</v>
      </c>
      <c r="AJ29" s="11" t="n">
        <f aca="false">IF(Inputs!$F$34=2,Inputs!AJ232,0)</f>
        <v>1.90916666666667</v>
      </c>
      <c r="AK29" s="11" t="n">
        <f aca="false">IF(Inputs!$F$34=2,Inputs!AK232,0)</f>
        <v>1.90916666666667</v>
      </c>
      <c r="AL29" s="11" t="n">
        <f aca="false">IF(Inputs!$F$34=2,Inputs!AL232,0)</f>
        <v>1.90916666666667</v>
      </c>
      <c r="AM29" s="11" t="n">
        <f aca="false">IF(Inputs!$F$34=2,Inputs!AM232,0)</f>
        <v>2.45416666666667</v>
      </c>
      <c r="AN29" s="11" t="n">
        <f aca="false">IF(Inputs!$F$34=2,Inputs!AN232,0)</f>
        <v>2.45416666666667</v>
      </c>
      <c r="AO29" s="11" t="n">
        <f aca="false">IF(Inputs!$F$34=2,Inputs!AO232,0)</f>
        <v>2.45416666666667</v>
      </c>
      <c r="AP29" s="11" t="n">
        <f aca="false">IF(Inputs!$F$34=2,Inputs!AP232,0)</f>
        <v>0.545</v>
      </c>
      <c r="AQ29" s="11" t="n">
        <f aca="false">IF(Inputs!$F$34=2,Inputs!AQ232,0)</f>
        <v>2.08785714285714</v>
      </c>
      <c r="AR29" s="11" t="n">
        <f aca="false">IF(Inputs!$F$34=2,Inputs!AR232,0)</f>
        <v>0.667857142857143</v>
      </c>
      <c r="AS29" s="11" t="n">
        <f aca="false">IF(Inputs!$F$34=2,Inputs!AS232,0)</f>
        <v>1.12285714285714</v>
      </c>
      <c r="AT29" s="11" t="n">
        <f aca="false">IF(Inputs!$F$34=2,Inputs!AT232,0)</f>
        <v>0.122857142857143</v>
      </c>
      <c r="AU29" s="11" t="n">
        <f aca="false">IF(Inputs!$F$34=2,Inputs!AU232,0)</f>
        <v>2.76285714285714</v>
      </c>
      <c r="AV29" s="11" t="n">
        <f aca="false">IF(Inputs!$F$34=2,Inputs!AV232,0)</f>
        <v>0.807857142857143</v>
      </c>
      <c r="AW29" s="11" t="n">
        <f aca="false">IF(Inputs!$F$34=2,Inputs!AW232,0)</f>
        <v>9.07785714285714</v>
      </c>
      <c r="AX29" s="11" t="n">
        <f aca="false">IF(Inputs!$F$34=2,Inputs!AX232,0)</f>
        <v>0</v>
      </c>
      <c r="AY29" s="11" t="n">
        <f aca="false">IF(Inputs!$F$34=2,Inputs!AY232,0)</f>
        <v>0</v>
      </c>
      <c r="AZ29" s="11" t="n">
        <f aca="false">IF(Inputs!$F$34=2,Inputs!AZ232,0)</f>
        <v>0</v>
      </c>
      <c r="BA29" s="11" t="n">
        <f aca="false">IF(Inputs!$F$34=2,Inputs!BA232,0)</f>
        <v>0</v>
      </c>
      <c r="BB29" s="11" t="n">
        <f aca="false">IF(Inputs!$F$34=2,Inputs!BB232,0)</f>
        <v>0</v>
      </c>
      <c r="BC29" s="11" t="n">
        <f aca="false">IF(Inputs!$F$34=2,Inputs!BC232,0)</f>
        <v>0</v>
      </c>
      <c r="BD29" s="11" t="n">
        <f aca="false">IF(Inputs!$F$34=2,Inputs!BD232,0)</f>
        <v>0</v>
      </c>
      <c r="BE29" s="11" t="n">
        <f aca="false">IF(Inputs!$F$34=2,Inputs!BE232,0)</f>
        <v>0</v>
      </c>
      <c r="BF29" s="11" t="n">
        <f aca="false">IF(Inputs!$F$34=2,Inputs!BF232,0)</f>
        <v>0</v>
      </c>
      <c r="BG29" s="11" t="n">
        <f aca="false">IF(Inputs!$F$34=2,Inputs!BG232,0)</f>
        <v>0</v>
      </c>
      <c r="BH29" s="11" t="n">
        <f aca="false">IF(Inputs!$F$34=2,Inputs!BH232,0)</f>
        <v>0</v>
      </c>
      <c r="BI29" s="11" t="n">
        <f aca="false">IF(Inputs!$F$34=2,Inputs!BI232,0)</f>
        <v>0</v>
      </c>
      <c r="BJ29" s="11" t="n">
        <f aca="false">IF(Inputs!$F$34=2,Inputs!BJ232,0)</f>
        <v>0</v>
      </c>
    </row>
    <row r="30" customFormat="false" ht="15" hidden="false" customHeight="false" outlineLevel="0" collapsed="false">
      <c r="D30" s="0" t="s">
        <v>450</v>
      </c>
      <c r="E30" s="0" t="s">
        <v>149</v>
      </c>
      <c r="G30" s="11" t="n">
        <f aca="false">SUM(J30:BJ30)</f>
        <v>705.141630382208</v>
      </c>
      <c r="J30" s="11" t="n">
        <f aca="false">J22+J23+J24+J25+J26+J27+J28+J29</f>
        <v>108.029654898971</v>
      </c>
      <c r="K30" s="11" t="n">
        <f aca="false">K22+K23+K24+K25+K26+K27+K28+K29</f>
        <v>1.39719409599695</v>
      </c>
      <c r="L30" s="11" t="n">
        <f aca="false">L22+L23+L24+L25+L26+L27+L28+L29</f>
        <v>1.83459583652307</v>
      </c>
      <c r="M30" s="11" t="n">
        <f aca="false">M22+M23+M24+M25+M26+M27+M28+M29</f>
        <v>2.64316093389249</v>
      </c>
      <c r="N30" s="11" t="n">
        <f aca="false">N22+N23+N24+N25+N26+N27+N28+N29</f>
        <v>3.75722202497141</v>
      </c>
      <c r="O30" s="11" t="n">
        <f aca="false">O22+O23+O24+O25+O26+O27+O28+O29</f>
        <v>5.09998149905398</v>
      </c>
      <c r="P30" s="11" t="n">
        <f aca="false">P22+P23+P24+P25+P26+P27+P28+P29</f>
        <v>6.63636172877945</v>
      </c>
      <c r="Q30" s="11" t="n">
        <f aca="false">Q22+Q23+Q24+Q25+Q26+Q27+Q28+Q29</f>
        <v>8.30243269985161</v>
      </c>
      <c r="R30" s="11" t="n">
        <f aca="false">R22+R23+R24+R25+R26+R27+R28+R29</f>
        <v>10.048138336663</v>
      </c>
      <c r="S30" s="11" t="n">
        <f aca="false">S22+S23+S24+S25+S26+S27+S28+S29</f>
        <v>11.826266658811</v>
      </c>
      <c r="T30" s="11" t="n">
        <f aca="false">T22+T23+T24+T25+T26+T27+T28+T29</f>
        <v>13.5941562382211</v>
      </c>
      <c r="U30" s="11" t="n">
        <f aca="false">U22+U23+U24+U25+U26+U27+U28+U29</f>
        <v>15.2686916102576</v>
      </c>
      <c r="V30" s="11" t="n">
        <f aca="false">V22+V23+V24+V25+V26+V27+V28+V29</f>
        <v>16.8967106683911</v>
      </c>
      <c r="W30" s="11" t="n">
        <f aca="false">W22+W23+W24+W25+W26+W27+W28+W29</f>
        <v>18.4073490420824</v>
      </c>
      <c r="X30" s="11" t="n">
        <f aca="false">X22+X23+X24+X25+X26+X27+X28+X29</f>
        <v>19.7733880218955</v>
      </c>
      <c r="Y30" s="11" t="n">
        <f aca="false">Y22+Y23+Y24+Y25+Y26+Y27+Y28+Y29</f>
        <v>20.969877124181</v>
      </c>
      <c r="Z30" s="11" t="n">
        <f aca="false">Z22+Z23+Z24+Z25+Z26+Z27+Z28+Z29</f>
        <v>21.9775364297551</v>
      </c>
      <c r="AA30" s="11" t="n">
        <f aca="false">AA22+AA23+AA24+AA25+AA26+AA27+AA28+AA29</f>
        <v>23.8447403755194</v>
      </c>
      <c r="AB30" s="11" t="n">
        <f aca="false">AB22+AB23+AB24+AB25+AB26+AB27+AB28+AB29</f>
        <v>23.2808998162438</v>
      </c>
      <c r="AC30" s="11" t="n">
        <f aca="false">AC22+AC23+AC24+AC25+AC26+AC27+AC28+AC29</f>
        <v>23.6323507158834</v>
      </c>
      <c r="AD30" s="11" t="n">
        <f aca="false">AD22+AD23+AD24+AD25+AD26+AD27+AD28+AD29</f>
        <v>24.0906826040283</v>
      </c>
      <c r="AE30" s="11" t="n">
        <f aca="false">AE22+AE23+AE24+AE25+AE26+AE27+AE28+AE29</f>
        <v>23.9748507158834</v>
      </c>
      <c r="AF30" s="11" t="n">
        <f aca="false">AF22+AF23+AF24+AF25+AF26+AF27+AF28+AF29</f>
        <v>23.6233998162438</v>
      </c>
      <c r="AG30" s="11" t="n">
        <f aca="false">AG22+AG23+AG24+AG25+AG26+AG27+AG28+AG29</f>
        <v>22.9759722416557</v>
      </c>
      <c r="AH30" s="11" t="n">
        <f aca="false">AH22+AH23+AH24+AH25+AH26+AH27+AH28+AH29</f>
        <v>22.1806943796896</v>
      </c>
      <c r="AI30" s="11" t="n">
        <f aca="false">AI22+AI23+AI24+AI25+AI26+AI27+AI28+AI29</f>
        <v>21.179838316861</v>
      </c>
      <c r="AJ30" s="11" t="n">
        <f aca="false">AJ22+AJ23+AJ24+AJ25+AJ26+AJ27+AJ28+AJ29</f>
        <v>21.5580940141589</v>
      </c>
      <c r="AK30" s="11" t="n">
        <f aca="false">AK22+AK23+AK24+AK25+AK26+AK27+AK28+AK29</f>
        <v>20.2012778884673</v>
      </c>
      <c r="AL30" s="11" t="n">
        <f aca="false">AL22+AL23+AL24+AL25+AL26+AL27+AL28+AL29</f>
        <v>18.7008386361458</v>
      </c>
      <c r="AM30" s="11" t="n">
        <f aca="false">AM22+AM23+AM24+AM25+AM26+AM27+AM28+AM29</f>
        <v>17.5752147653275</v>
      </c>
      <c r="AN30" s="11" t="n">
        <f aca="false">AN22+AN23+AN24+AN25+AN26+AN27+AN28+AN29</f>
        <v>15.8808554631514</v>
      </c>
      <c r="AO30" s="11" t="n">
        <f aca="false">AO22+AO23+AO24+AO25+AO26+AO27+AO28+AO29</f>
        <v>14.1371241018391</v>
      </c>
      <c r="AP30" s="11" t="n">
        <f aca="false">AP22+AP23+AP24+AP25+AP26+AP27+AP28+AP29</f>
        <v>10.4741272435822</v>
      </c>
      <c r="AQ30" s="11" t="n">
        <f aca="false">AQ22+AQ23+AQ24+AQ25+AQ26+AQ27+AQ28+AQ29</f>
        <v>10.0151838240624</v>
      </c>
      <c r="AR30" s="11" t="n">
        <f aca="false">AR22+AR23+AR24+AR25+AR26+AR27+AR28+AR29</f>
        <v>6.95187971940217</v>
      </c>
      <c r="AS30" s="11" t="n">
        <f aca="false">AS22+AS23+AS24+AS25+AS26+AS27+AS28+AS29</f>
        <v>5.8819829958099</v>
      </c>
      <c r="AT30" s="11" t="n">
        <f aca="false">AT22+AT23+AT24+AT25+AT26+AT27+AT28+AT29</f>
        <v>3.55179558618063</v>
      </c>
      <c r="AU30" s="11" t="n">
        <f aca="false">AU22+AU23+AU24+AU25+AU26+AU27+AU28+AU29</f>
        <v>5.10000104003562</v>
      </c>
      <c r="AV30" s="11" t="n">
        <f aca="false">AV22+AV23+AV24+AV25+AV26+AV27+AV28+AV29</f>
        <v>2.35259659239783</v>
      </c>
      <c r="AW30" s="11" t="n">
        <f aca="false">AW22+AW23+AW24+AW25+AW26+AW27+AW28+AW29</f>
        <v>57.5145116813414</v>
      </c>
      <c r="AX30" s="11" t="n">
        <f aca="false">AX22+AX23+AX24+AX25+AX26+AX27+AX28+AX29</f>
        <v>0</v>
      </c>
      <c r="AY30" s="11" t="n">
        <f aca="false">AY22+AY23+AY24+AY25+AY26+AY27+AY28+AY29</f>
        <v>0</v>
      </c>
      <c r="AZ30" s="11" t="n">
        <f aca="false">AZ22+AZ23+AZ24+AZ25+AZ26+AZ27+AZ28+AZ29</f>
        <v>0</v>
      </c>
      <c r="BA30" s="11" t="n">
        <f aca="false">BA22+BA23+BA24+BA25+BA26+BA27+BA28+BA29</f>
        <v>0</v>
      </c>
      <c r="BB30" s="11" t="n">
        <f aca="false">BB22+BB23+BB24+BB25+BB26+BB27+BB28+BB29</f>
        <v>0</v>
      </c>
      <c r="BC30" s="11" t="n">
        <f aca="false">BC22+BC23+BC24+BC25+BC26+BC27+BC28+BC29</f>
        <v>0</v>
      </c>
      <c r="BD30" s="11" t="n">
        <f aca="false">BD22+BD23+BD24+BD25+BD26+BD27+BD28+BD29</f>
        <v>0</v>
      </c>
      <c r="BE30" s="11" t="n">
        <f aca="false">BE22+BE23+BE24+BE25+BE26+BE27+BE28+BE29</f>
        <v>0</v>
      </c>
      <c r="BF30" s="11" t="n">
        <f aca="false">BF22+BF23+BF24+BF25+BF26+BF27+BF28+BF29</f>
        <v>0</v>
      </c>
      <c r="BG30" s="11" t="n">
        <f aca="false">BG22+BG23+BG24+BG25+BG26+BG27+BG28+BG29</f>
        <v>0</v>
      </c>
      <c r="BH30" s="11" t="n">
        <f aca="false">BH22+BH23+BH24+BH25+BH26+BH27+BH28+BH29</f>
        <v>0</v>
      </c>
      <c r="BI30" s="11" t="n">
        <f aca="false">BI22+BI23+BI24+BI25+BI26+BI27+BI28+BI29</f>
        <v>0</v>
      </c>
      <c r="BJ30" s="11" t="n">
        <f aca="false">BJ22+BJ23+BJ24+BJ25+BJ26+BJ27+BJ28+BJ29</f>
        <v>0</v>
      </c>
    </row>
    <row r="31" customFormat="false" ht="15" hidden="false" customHeight="false" outlineLevel="0" collapsed="false">
      <c r="B31" s="2" t="s">
        <v>451</v>
      </c>
    </row>
    <row r="32" customFormat="false" ht="15" hidden="false" customHeight="false" outlineLevel="0" collapsed="false">
      <c r="D32" s="0" t="s">
        <v>452</v>
      </c>
      <c r="E32" s="0" t="s">
        <v>166</v>
      </c>
      <c r="G32" s="11" t="n">
        <f aca="false">SUM(J32:BJ32)</f>
        <v>42938.798</v>
      </c>
      <c r="J32" s="11" t="n">
        <f aca="false">J20/100*Inputs!$F$59*Inputs!$F$60*Inputs!$F$36</f>
        <v>4293.8798</v>
      </c>
      <c r="K32" s="11" t="n">
        <f aca="false">K20/100*Inputs!$F$59*Inputs!$F$60*Inputs!$F$36</f>
        <v>4.379757396</v>
      </c>
      <c r="L32" s="11" t="n">
        <f aca="false">L20/100*Inputs!$F$59*Inputs!$F$60*Inputs!$F$36</f>
        <v>37.270876664</v>
      </c>
      <c r="M32" s="11" t="n">
        <f aca="false">M20/100*Inputs!$F$59*Inputs!$F$60*Inputs!$F$36</f>
        <v>98.072214632</v>
      </c>
      <c r="N32" s="11" t="n">
        <f aca="false">N20/100*Inputs!$F$59*Inputs!$F$60*Inputs!$F$36</f>
        <v>181.84580953</v>
      </c>
      <c r="O32" s="11" t="n">
        <f aca="false">O20/100*Inputs!$F$59*Inputs!$F$60*Inputs!$F$36</f>
        <v>283.911332376</v>
      </c>
      <c r="P32" s="11" t="n">
        <f aca="false">P20/100*Inputs!$F$59*Inputs!$F$60*Inputs!$F$36</f>
        <v>399.889025774</v>
      </c>
      <c r="Q32" s="11" t="n">
        <f aca="false">Q20/100*Inputs!$F$59*Inputs!$F$60*Inputs!$F$36</f>
        <v>525.656765116</v>
      </c>
      <c r="R32" s="11" t="n">
        <f aca="false">R20/100*Inputs!$F$59*Inputs!$F$60*Inputs!$F$36</f>
        <v>657.435936178</v>
      </c>
      <c r="S32" s="11" t="n">
        <f aca="false">S20/100*Inputs!$F$59*Inputs!$F$60*Inputs!$F$36</f>
        <v>791.662618726</v>
      </c>
      <c r="T32" s="11" t="n">
        <f aca="false">T20/100*Inputs!$F$59*Inputs!$F$60*Inputs!$F$36</f>
        <v>925.11640291</v>
      </c>
      <c r="U32" s="11" t="n">
        <f aca="false">U20/100*Inputs!$F$59*Inputs!$F$60*Inputs!$F$36</f>
        <v>1054.79157287</v>
      </c>
      <c r="V32" s="11" t="n">
        <f aca="false">V20/100*Inputs!$F$59*Inputs!$F$60*Inputs!$F$36</f>
        <v>1178.068861928</v>
      </c>
      <c r="W32" s="11" t="n">
        <f aca="false">W20/100*Inputs!$F$59*Inputs!$F$60*Inputs!$F$36</f>
        <v>1292.4578198</v>
      </c>
      <c r="X32" s="11" t="n">
        <f aca="false">X20/100*Inputs!$F$59*Inputs!$F$60*Inputs!$F$36</f>
        <v>1395.897384182</v>
      </c>
      <c r="Y32" s="11" t="n">
        <f aca="false">Y20/100*Inputs!$F$59*Inputs!$F$60*Inputs!$F$36</f>
        <v>1486.498247962</v>
      </c>
      <c r="Z32" s="11" t="n">
        <f aca="false">Z20/100*Inputs!$F$59*Inputs!$F$60*Inputs!$F$36</f>
        <v>1562.800492008</v>
      </c>
      <c r="AA32" s="11" t="n">
        <f aca="false">AA20/100*Inputs!$F$59*Inputs!$F$60*Inputs!$F$36</f>
        <v>1623.430074784</v>
      </c>
      <c r="AB32" s="11" t="n">
        <f aca="false">AB20/100*Inputs!$F$59*Inputs!$F$60*Inputs!$F$36</f>
        <v>1667.442342734</v>
      </c>
      <c r="AC32" s="11" t="n">
        <f aca="false">AC20/100*Inputs!$F$59*Inputs!$F$60*Inputs!$F$36</f>
        <v>1694.15027509</v>
      </c>
      <c r="AD32" s="11" t="n">
        <f aca="false">AD20/100*Inputs!$F$59*Inputs!$F$60*Inputs!$F$36</f>
        <v>1702.95272868</v>
      </c>
      <c r="AE32" s="11" t="n">
        <f aca="false">AE20/100*Inputs!$F$59*Inputs!$F$60*Inputs!$F$36</f>
        <v>1694.15027509</v>
      </c>
      <c r="AF32" s="11" t="n">
        <f aca="false">AF20/100*Inputs!$F$59*Inputs!$F$60*Inputs!$F$36</f>
        <v>1667.442342734</v>
      </c>
      <c r="AG32" s="11" t="n">
        <f aca="false">AG20/100*Inputs!$F$59*Inputs!$F$60*Inputs!$F$36</f>
        <v>1623.430074784</v>
      </c>
      <c r="AH32" s="11" t="n">
        <f aca="false">AH20/100*Inputs!$F$59*Inputs!$F$60*Inputs!$F$36</f>
        <v>1562.800492008</v>
      </c>
      <c r="AI32" s="11" t="n">
        <f aca="false">AI20/100*Inputs!$F$59*Inputs!$F$60*Inputs!$F$36</f>
        <v>1486.498247962</v>
      </c>
      <c r="AJ32" s="11" t="n">
        <f aca="false">AJ20/100*Inputs!$F$59*Inputs!$F$60*Inputs!$F$36</f>
        <v>1395.897384182</v>
      </c>
      <c r="AK32" s="11" t="n">
        <f aca="false">AK20/100*Inputs!$F$59*Inputs!$F$60*Inputs!$F$36</f>
        <v>1292.4578198</v>
      </c>
      <c r="AL32" s="11" t="n">
        <f aca="false">AL20/100*Inputs!$F$59*Inputs!$F$60*Inputs!$F$36</f>
        <v>1178.068861928</v>
      </c>
      <c r="AM32" s="11" t="n">
        <f aca="false">AM20/100*Inputs!$F$59*Inputs!$F$60*Inputs!$F$36</f>
        <v>1054.79157287</v>
      </c>
      <c r="AN32" s="11" t="n">
        <f aca="false">AN20/100*Inputs!$F$59*Inputs!$F$60*Inputs!$F$36</f>
        <v>925.11640291</v>
      </c>
      <c r="AO32" s="11" t="n">
        <f aca="false">AO20/100*Inputs!$F$59*Inputs!$F$60*Inputs!$F$36</f>
        <v>791.662618726</v>
      </c>
      <c r="AP32" s="11" t="n">
        <f aca="false">AP20/100*Inputs!$F$59*Inputs!$F$60*Inputs!$F$36</f>
        <v>657.435936178</v>
      </c>
      <c r="AQ32" s="11" t="n">
        <f aca="false">AQ20/100*Inputs!$F$59*Inputs!$F$60*Inputs!$F$36</f>
        <v>525.656765116</v>
      </c>
      <c r="AR32" s="11" t="n">
        <f aca="false">AR20/100*Inputs!$F$59*Inputs!$F$60*Inputs!$F$36</f>
        <v>399.889025774</v>
      </c>
      <c r="AS32" s="11" t="n">
        <f aca="false">AS20/100*Inputs!$F$59*Inputs!$F$60*Inputs!$F$36</f>
        <v>283.911332376</v>
      </c>
      <c r="AT32" s="11" t="n">
        <f aca="false">AT20/100*Inputs!$F$59*Inputs!$F$60*Inputs!$F$36</f>
        <v>181.84580953</v>
      </c>
      <c r="AU32" s="11" t="n">
        <f aca="false">AU20/100*Inputs!$F$59*Inputs!$F$60*Inputs!$F$36</f>
        <v>98.072214632</v>
      </c>
      <c r="AV32" s="11" t="n">
        <f aca="false">AV20/100*Inputs!$F$59*Inputs!$F$60*Inputs!$F$36</f>
        <v>37.270876664</v>
      </c>
      <c r="AW32" s="11" t="n">
        <f aca="false">AW20/100*Inputs!$F$59*Inputs!$F$60*Inputs!$F$36</f>
        <v>3224.789607396</v>
      </c>
      <c r="AX32" s="11" t="n">
        <f aca="false">AX20/100*Inputs!$F$59*Inputs!$F$60*Inputs!$F$36</f>
        <v>0</v>
      </c>
      <c r="AY32" s="11" t="n">
        <f aca="false">AY20/100*Inputs!$F$59*Inputs!$F$60*Inputs!$F$36</f>
        <v>0</v>
      </c>
      <c r="AZ32" s="11" t="n">
        <f aca="false">AZ20/100*Inputs!$F$59*Inputs!$F$60*Inputs!$F$36</f>
        <v>0</v>
      </c>
      <c r="BA32" s="11" t="n">
        <f aca="false">BA20/100*Inputs!$F$59*Inputs!$F$60*Inputs!$F$36</f>
        <v>0</v>
      </c>
      <c r="BB32" s="11" t="n">
        <f aca="false">BB20/100*Inputs!$F$59*Inputs!$F$60*Inputs!$F$36</f>
        <v>0</v>
      </c>
      <c r="BC32" s="11" t="n">
        <f aca="false">BC20/100*Inputs!$F$59*Inputs!$F$60*Inputs!$F$36</f>
        <v>0</v>
      </c>
      <c r="BD32" s="11" t="n">
        <f aca="false">BD20/100*Inputs!$F$59*Inputs!$F$60*Inputs!$F$36</f>
        <v>0</v>
      </c>
      <c r="BE32" s="11" t="n">
        <f aca="false">BE20/100*Inputs!$F$59*Inputs!$F$60*Inputs!$F$36</f>
        <v>0</v>
      </c>
      <c r="BF32" s="11" t="n">
        <f aca="false">BF20/100*Inputs!$F$59*Inputs!$F$60*Inputs!$F$36</f>
        <v>0</v>
      </c>
      <c r="BG32" s="11" t="n">
        <f aca="false">BG20/100*Inputs!$F$59*Inputs!$F$60*Inputs!$F$36</f>
        <v>0</v>
      </c>
      <c r="BH32" s="11" t="n">
        <f aca="false">BH20/100*Inputs!$F$59*Inputs!$F$60*Inputs!$F$36</f>
        <v>0</v>
      </c>
      <c r="BI32" s="11" t="n">
        <f aca="false">BI20/100*Inputs!$F$59*Inputs!$F$60*Inputs!$F$36</f>
        <v>0</v>
      </c>
      <c r="BJ32" s="11" t="n">
        <f aca="false">BJ20/100*Inputs!$F$59*Inputs!$F$60*Inputs!$F$36</f>
        <v>0</v>
      </c>
    </row>
    <row r="33" customFormat="false" ht="15" hidden="false" customHeight="false" outlineLevel="0" collapsed="false">
      <c r="D33" s="0" t="s">
        <v>453</v>
      </c>
      <c r="E33" s="0" t="s">
        <v>166</v>
      </c>
      <c r="G33" s="11" t="n">
        <f aca="false">SUM(J33:BJ33)</f>
        <v>7728.98364</v>
      </c>
      <c r="J33" s="11" t="n">
        <f aca="false">Inputs!$F$70/100*J32</f>
        <v>772.898364</v>
      </c>
      <c r="K33" s="11" t="n">
        <f aca="false">Inputs!$F$70/100*K32</f>
        <v>0.78835633128</v>
      </c>
      <c r="L33" s="11" t="n">
        <f aca="false">Inputs!$F$70/100*L32</f>
        <v>6.70875779952</v>
      </c>
      <c r="M33" s="11" t="n">
        <f aca="false">Inputs!$F$70/100*M32</f>
        <v>17.65299863376</v>
      </c>
      <c r="N33" s="11" t="n">
        <f aca="false">Inputs!$F$70/100*N32</f>
        <v>32.7322457154</v>
      </c>
      <c r="O33" s="11" t="n">
        <f aca="false">Inputs!$F$70/100*O32</f>
        <v>51.10403982768</v>
      </c>
      <c r="P33" s="11" t="n">
        <f aca="false">Inputs!$F$70/100*P32</f>
        <v>71.98002463932</v>
      </c>
      <c r="Q33" s="11" t="n">
        <f aca="false">Inputs!$F$70/100*Q32</f>
        <v>94.61821772088</v>
      </c>
      <c r="R33" s="11" t="n">
        <f aca="false">Inputs!$F$70/100*R32</f>
        <v>118.33846851204</v>
      </c>
      <c r="S33" s="11" t="n">
        <f aca="false">Inputs!$F$70/100*S32</f>
        <v>142.49927137068</v>
      </c>
      <c r="T33" s="11" t="n">
        <f aca="false">Inputs!$F$70/100*T32</f>
        <v>166.5209525238</v>
      </c>
      <c r="U33" s="11" t="n">
        <f aca="false">Inputs!$F$70/100*U32</f>
        <v>189.8624831166</v>
      </c>
      <c r="V33" s="11" t="n">
        <f aca="false">Inputs!$F$70/100*V32</f>
        <v>212.05239514704</v>
      </c>
      <c r="W33" s="11" t="n">
        <f aca="false">Inputs!$F$70/100*W32</f>
        <v>232.642407564</v>
      </c>
      <c r="X33" s="11" t="n">
        <f aca="false">Inputs!$F$70/100*X32</f>
        <v>251.26152915276</v>
      </c>
      <c r="Y33" s="11" t="n">
        <f aca="false">Inputs!$F$70/100*Y32</f>
        <v>267.56968463316</v>
      </c>
      <c r="Z33" s="11" t="n">
        <f aca="false">Inputs!$F$70/100*Z32</f>
        <v>281.30408856144</v>
      </c>
      <c r="AA33" s="11" t="n">
        <f aca="false">Inputs!$F$70/100*AA32</f>
        <v>292.21741346112</v>
      </c>
      <c r="AB33" s="11" t="n">
        <f aca="false">Inputs!$F$70/100*AB32</f>
        <v>300.13962169212</v>
      </c>
      <c r="AC33" s="11" t="n">
        <f aca="false">Inputs!$F$70/100*AC32</f>
        <v>304.9470495162</v>
      </c>
      <c r="AD33" s="11" t="n">
        <f aca="false">Inputs!$F$70/100*AD32</f>
        <v>306.5314911624</v>
      </c>
      <c r="AE33" s="11" t="n">
        <f aca="false">Inputs!$F$70/100*AE32</f>
        <v>304.9470495162</v>
      </c>
      <c r="AF33" s="11" t="n">
        <f aca="false">Inputs!$F$70/100*AF32</f>
        <v>300.13962169212</v>
      </c>
      <c r="AG33" s="11" t="n">
        <f aca="false">Inputs!$F$70/100*AG32</f>
        <v>292.21741346112</v>
      </c>
      <c r="AH33" s="11" t="n">
        <f aca="false">Inputs!$F$70/100*AH32</f>
        <v>281.30408856144</v>
      </c>
      <c r="AI33" s="11" t="n">
        <f aca="false">Inputs!$F$70/100*AI32</f>
        <v>267.56968463316</v>
      </c>
      <c r="AJ33" s="11" t="n">
        <f aca="false">Inputs!$F$70/100*AJ32</f>
        <v>251.26152915276</v>
      </c>
      <c r="AK33" s="11" t="n">
        <f aca="false">Inputs!$F$70/100*AK32</f>
        <v>232.642407564</v>
      </c>
      <c r="AL33" s="11" t="n">
        <f aca="false">Inputs!$F$70/100*AL32</f>
        <v>212.05239514704</v>
      </c>
      <c r="AM33" s="11" t="n">
        <f aca="false">Inputs!$F$70/100*AM32</f>
        <v>189.8624831166</v>
      </c>
      <c r="AN33" s="11" t="n">
        <f aca="false">Inputs!$F$70/100*AN32</f>
        <v>166.5209525238</v>
      </c>
      <c r="AO33" s="11" t="n">
        <f aca="false">Inputs!$F$70/100*AO32</f>
        <v>142.49927137068</v>
      </c>
      <c r="AP33" s="11" t="n">
        <f aca="false">Inputs!$F$70/100*AP32</f>
        <v>118.33846851204</v>
      </c>
      <c r="AQ33" s="11" t="n">
        <f aca="false">Inputs!$F$70/100*AQ32</f>
        <v>94.61821772088</v>
      </c>
      <c r="AR33" s="11" t="n">
        <f aca="false">Inputs!$F$70/100*AR32</f>
        <v>71.98002463932</v>
      </c>
      <c r="AS33" s="11" t="n">
        <f aca="false">Inputs!$F$70/100*AS32</f>
        <v>51.10403982768</v>
      </c>
      <c r="AT33" s="11" t="n">
        <f aca="false">Inputs!$F$70/100*AT32</f>
        <v>32.7322457154</v>
      </c>
      <c r="AU33" s="11" t="n">
        <f aca="false">Inputs!$F$70/100*AU32</f>
        <v>17.65299863376</v>
      </c>
      <c r="AV33" s="11" t="n">
        <f aca="false">Inputs!$F$70/100*AV32</f>
        <v>6.70875779952</v>
      </c>
      <c r="AW33" s="11" t="n">
        <f aca="false">Inputs!$F$70/100*AW32</f>
        <v>580.46212933128</v>
      </c>
      <c r="AX33" s="11" t="n">
        <f aca="false">Inputs!$F$70/100*AX32</f>
        <v>0</v>
      </c>
      <c r="AY33" s="11" t="n">
        <f aca="false">Inputs!$F$70/100*AY32</f>
        <v>0</v>
      </c>
      <c r="AZ33" s="11" t="n">
        <f aca="false">Inputs!$F$70/100*AZ32</f>
        <v>0</v>
      </c>
      <c r="BA33" s="11" t="n">
        <f aca="false">Inputs!$F$70/100*BA32</f>
        <v>0</v>
      </c>
      <c r="BB33" s="11" t="n">
        <f aca="false">Inputs!$F$70/100*BB32</f>
        <v>0</v>
      </c>
      <c r="BC33" s="11" t="n">
        <f aca="false">Inputs!$F$70/100*BC32</f>
        <v>0</v>
      </c>
      <c r="BD33" s="11" t="n">
        <f aca="false">Inputs!$F$70/100*BD32</f>
        <v>0</v>
      </c>
      <c r="BE33" s="11" t="n">
        <f aca="false">Inputs!$F$70/100*BE32</f>
        <v>0</v>
      </c>
      <c r="BF33" s="11" t="n">
        <f aca="false">Inputs!$F$70/100*BF32</f>
        <v>0</v>
      </c>
      <c r="BG33" s="11" t="n">
        <f aca="false">Inputs!$F$70/100*BG32</f>
        <v>0</v>
      </c>
      <c r="BH33" s="11" t="n">
        <f aca="false">Inputs!$F$70/100*BH32</f>
        <v>0</v>
      </c>
      <c r="BI33" s="11" t="n">
        <f aca="false">Inputs!$F$70/100*BI32</f>
        <v>0</v>
      </c>
      <c r="BJ33" s="11" t="n">
        <f aca="false">Inputs!$F$70/100*BJ32</f>
        <v>0</v>
      </c>
    </row>
    <row r="34" customFormat="false" ht="15" hidden="false" customHeight="false" outlineLevel="0" collapsed="false">
      <c r="D34" s="0" t="s">
        <v>454</v>
      </c>
      <c r="E34" s="0" t="s">
        <v>166</v>
      </c>
      <c r="G34" s="11" t="n">
        <f aca="false">SUM(J34:BJ34)</f>
        <v>7728.98364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J33</f>
        <v>772.898364</v>
      </c>
      <c r="T34" s="11" t="n">
        <f aca="false">K33</f>
        <v>0.78835633128</v>
      </c>
      <c r="U34" s="11" t="n">
        <f aca="false">L33</f>
        <v>6.70875779952</v>
      </c>
      <c r="V34" s="11" t="n">
        <f aca="false">M33</f>
        <v>17.65299863376</v>
      </c>
      <c r="W34" s="11" t="n">
        <f aca="false">N33</f>
        <v>32.7322457154</v>
      </c>
      <c r="X34" s="11" t="n">
        <f aca="false">O33</f>
        <v>51.10403982768</v>
      </c>
      <c r="Y34" s="11" t="n">
        <f aca="false">P33</f>
        <v>71.98002463932</v>
      </c>
      <c r="Z34" s="11" t="n">
        <f aca="false">Q33</f>
        <v>94.61821772088</v>
      </c>
      <c r="AA34" s="11" t="n">
        <f aca="false">R33</f>
        <v>118.33846851204</v>
      </c>
      <c r="AB34" s="11" t="n">
        <f aca="false">S33</f>
        <v>142.49927137068</v>
      </c>
      <c r="AC34" s="11" t="n">
        <f aca="false">T33</f>
        <v>166.5209525238</v>
      </c>
      <c r="AD34" s="11" t="n">
        <f aca="false">U33</f>
        <v>189.8624831166</v>
      </c>
      <c r="AE34" s="11" t="n">
        <f aca="false">V33</f>
        <v>212.05239514704</v>
      </c>
      <c r="AF34" s="11" t="n">
        <f aca="false">W33</f>
        <v>232.642407564</v>
      </c>
      <c r="AG34" s="11" t="n">
        <f aca="false">X33</f>
        <v>251.26152915276</v>
      </c>
      <c r="AH34" s="11" t="n">
        <f aca="false">Y33</f>
        <v>267.56968463316</v>
      </c>
      <c r="AI34" s="11" t="n">
        <f aca="false">Z33</f>
        <v>281.30408856144</v>
      </c>
      <c r="AJ34" s="11" t="n">
        <f aca="false">AA33</f>
        <v>292.21741346112</v>
      </c>
      <c r="AK34" s="11" t="n">
        <f aca="false">AB33</f>
        <v>300.13962169212</v>
      </c>
      <c r="AL34" s="11" t="n">
        <f aca="false">AC33</f>
        <v>304.9470495162</v>
      </c>
      <c r="AM34" s="11" t="n">
        <f aca="false">AD33</f>
        <v>306.5314911624</v>
      </c>
      <c r="AN34" s="11" t="n">
        <f aca="false">AE33</f>
        <v>304.9470495162</v>
      </c>
      <c r="AO34" s="11" t="n">
        <f aca="false">AF33</f>
        <v>300.13962169212</v>
      </c>
      <c r="AP34" s="11" t="n">
        <f aca="false">AG33</f>
        <v>292.21741346112</v>
      </c>
      <c r="AQ34" s="11" t="n">
        <f aca="false">AH33</f>
        <v>281.30408856144</v>
      </c>
      <c r="AR34" s="11" t="n">
        <f aca="false">AI33</f>
        <v>267.56968463316</v>
      </c>
      <c r="AS34" s="11" t="n">
        <f aca="false">AJ33</f>
        <v>251.26152915276</v>
      </c>
      <c r="AT34" s="11" t="n">
        <f aca="false">AK33</f>
        <v>232.642407564</v>
      </c>
      <c r="AU34" s="11" t="n">
        <f aca="false">AL33</f>
        <v>212.05239514704</v>
      </c>
      <c r="AV34" s="11" t="n">
        <f aca="false">AM33</f>
        <v>189.8624831166</v>
      </c>
      <c r="AW34" s="11" t="n">
        <f aca="false">AN33</f>
        <v>166.5209525238</v>
      </c>
      <c r="AX34" s="11" t="n">
        <f aca="false">AO33</f>
        <v>142.49927137068</v>
      </c>
      <c r="AY34" s="11" t="n">
        <f aca="false">AP33</f>
        <v>118.33846851204</v>
      </c>
      <c r="AZ34" s="11" t="n">
        <f aca="false">AQ33</f>
        <v>94.61821772088</v>
      </c>
      <c r="BA34" s="11" t="n">
        <f aca="false">AR33</f>
        <v>71.98002463932</v>
      </c>
      <c r="BB34" s="11" t="n">
        <f aca="false">AS33</f>
        <v>51.10403982768</v>
      </c>
      <c r="BC34" s="11" t="n">
        <f aca="false">AT33</f>
        <v>32.7322457154</v>
      </c>
      <c r="BD34" s="11" t="n">
        <f aca="false">AU33</f>
        <v>17.65299863376</v>
      </c>
      <c r="BE34" s="11" t="n">
        <f aca="false">AV33</f>
        <v>6.70875779952</v>
      </c>
      <c r="BF34" s="11" t="n">
        <f aca="false">AW33</f>
        <v>580.46212933128</v>
      </c>
      <c r="BG34" s="11" t="n">
        <f aca="false">AX33</f>
        <v>0</v>
      </c>
      <c r="BH34" s="11" t="n">
        <f aca="false">AY33</f>
        <v>0</v>
      </c>
      <c r="BI34" s="11" t="n">
        <f aca="false">AZ33</f>
        <v>0</v>
      </c>
      <c r="BJ34" s="11" t="n">
        <f aca="false">BA33</f>
        <v>0</v>
      </c>
    </row>
    <row r="35" customFormat="false" ht="15" hidden="false" customHeight="false" outlineLevel="0" collapsed="false">
      <c r="D35" s="0" t="s">
        <v>455</v>
      </c>
      <c r="E35" s="0" t="s">
        <v>166</v>
      </c>
      <c r="J35" s="11" t="n">
        <f aca="false">0+J33-J34</f>
        <v>772.898364</v>
      </c>
      <c r="K35" s="11" t="n">
        <f aca="false">J35+K33-K34</f>
        <v>773.68672033128</v>
      </c>
      <c r="L35" s="11" t="n">
        <f aca="false">K35+L33-L34</f>
        <v>780.3954781308</v>
      </c>
      <c r="M35" s="11" t="n">
        <f aca="false">L35+M33-M34</f>
        <v>798.04847676456</v>
      </c>
      <c r="N35" s="11" t="n">
        <f aca="false">M35+N33-N34</f>
        <v>830.78072247996</v>
      </c>
      <c r="O35" s="11" t="n">
        <f aca="false">N35+O33-O34</f>
        <v>881.88476230764</v>
      </c>
      <c r="P35" s="11" t="n">
        <f aca="false">O35+P33-P34</f>
        <v>953.86478694696</v>
      </c>
      <c r="Q35" s="11" t="n">
        <f aca="false">P35+Q33-Q34</f>
        <v>1048.48300466784</v>
      </c>
      <c r="R35" s="11" t="n">
        <f aca="false">Q35+R33-R34</f>
        <v>1166.82147317988</v>
      </c>
      <c r="S35" s="11" t="n">
        <f aca="false">R35+S33-S34</f>
        <v>536.42238055056</v>
      </c>
      <c r="T35" s="11" t="n">
        <f aca="false">S35+T33-T34</f>
        <v>702.15497674308</v>
      </c>
      <c r="U35" s="11" t="n">
        <f aca="false">T35+U33-U34</f>
        <v>885.30870206016</v>
      </c>
      <c r="V35" s="11" t="n">
        <f aca="false">U35+V33-V34</f>
        <v>1079.70809857344</v>
      </c>
      <c r="W35" s="11" t="n">
        <f aca="false">V35+W33-W34</f>
        <v>1279.61826042204</v>
      </c>
      <c r="X35" s="11" t="n">
        <f aca="false">W35+X33-X34</f>
        <v>1479.77574974712</v>
      </c>
      <c r="Y35" s="11" t="n">
        <f aca="false">X35+Y33-Y34</f>
        <v>1675.36540974096</v>
      </c>
      <c r="Z35" s="11" t="n">
        <f aca="false">Y35+Z33-Z34</f>
        <v>1862.05128058152</v>
      </c>
      <c r="AA35" s="11" t="n">
        <f aca="false">Z35+AA33-AA34</f>
        <v>2035.9302255306</v>
      </c>
      <c r="AB35" s="11" t="n">
        <f aca="false">AA35+AB33-AB34</f>
        <v>2193.57057585204</v>
      </c>
      <c r="AC35" s="11" t="n">
        <f aca="false">AB35+AC33-AC34</f>
        <v>2331.99667284444</v>
      </c>
      <c r="AD35" s="11" t="n">
        <f aca="false">AC35+AD33-AD34</f>
        <v>2448.66568089024</v>
      </c>
      <c r="AE35" s="11" t="n">
        <f aca="false">AD35+AE33-AE34</f>
        <v>2541.5603352594</v>
      </c>
      <c r="AF35" s="11" t="n">
        <f aca="false">AE35+AF33-AF34</f>
        <v>2609.05754938752</v>
      </c>
      <c r="AG35" s="11" t="n">
        <f aca="false">AF35+AG33-AG34</f>
        <v>2650.01343369588</v>
      </c>
      <c r="AH35" s="11" t="n">
        <f aca="false">AG35+AH33-AH34</f>
        <v>2663.74783762416</v>
      </c>
      <c r="AI35" s="11" t="n">
        <f aca="false">AH35+AI33-AI34</f>
        <v>2650.01343369588</v>
      </c>
      <c r="AJ35" s="11" t="n">
        <f aca="false">AI35+AJ33-AJ34</f>
        <v>2609.05754938752</v>
      </c>
      <c r="AK35" s="11" t="n">
        <f aca="false">AJ35+AK33-AK34</f>
        <v>2541.5603352594</v>
      </c>
      <c r="AL35" s="11" t="n">
        <f aca="false">AK35+AL33-AL34</f>
        <v>2448.66568089024</v>
      </c>
      <c r="AM35" s="11" t="n">
        <f aca="false">AL35+AM33-AM34</f>
        <v>2331.99667284444</v>
      </c>
      <c r="AN35" s="11" t="n">
        <f aca="false">AM35+AN33-AN34</f>
        <v>2193.57057585204</v>
      </c>
      <c r="AO35" s="11" t="n">
        <f aca="false">AN35+AO33-AO34</f>
        <v>2035.9302255306</v>
      </c>
      <c r="AP35" s="11" t="n">
        <f aca="false">AO35+AP33-AP34</f>
        <v>1862.05128058152</v>
      </c>
      <c r="AQ35" s="11" t="n">
        <f aca="false">AP35+AQ33-AQ34</f>
        <v>1675.36540974096</v>
      </c>
      <c r="AR35" s="11" t="n">
        <f aca="false">AQ35+AR33-AR34</f>
        <v>1479.77574974712</v>
      </c>
      <c r="AS35" s="11" t="n">
        <f aca="false">AR35+AS33-AS34</f>
        <v>1279.61826042204</v>
      </c>
      <c r="AT35" s="11" t="n">
        <f aca="false">AS35+AT33-AT34</f>
        <v>1079.70809857344</v>
      </c>
      <c r="AU35" s="11" t="n">
        <f aca="false">AT35+AU33-AU34</f>
        <v>885.30870206016</v>
      </c>
      <c r="AV35" s="11" t="n">
        <f aca="false">AU35+AV33-AV34</f>
        <v>702.15497674308</v>
      </c>
      <c r="AW35" s="11" t="n">
        <f aca="false">AV35+AW33-AW34</f>
        <v>1116.09615355056</v>
      </c>
      <c r="AX35" s="11" t="n">
        <f aca="false">AW35+AX33-AX34</f>
        <v>973.59688217988</v>
      </c>
      <c r="AY35" s="11" t="n">
        <f aca="false">AX35+AY33-AY34</f>
        <v>855.25841366784</v>
      </c>
      <c r="AZ35" s="11" t="n">
        <f aca="false">AY35+AZ33-AZ34</f>
        <v>760.64019594696</v>
      </c>
      <c r="BA35" s="11" t="n">
        <f aca="false">AZ35+BA33-BA34</f>
        <v>688.66017130764</v>
      </c>
      <c r="BB35" s="11" t="n">
        <f aca="false">BA35+BB33-BB34</f>
        <v>637.55613147996</v>
      </c>
      <c r="BC35" s="11" t="n">
        <f aca="false">BB35+BC33-BC34</f>
        <v>604.82388576456</v>
      </c>
      <c r="BD35" s="11" t="n">
        <f aca="false">BC35+BD33-BD34</f>
        <v>587.1708871308</v>
      </c>
      <c r="BE35" s="11" t="n">
        <f aca="false">BD35+BE33-BE34</f>
        <v>580.46212933128</v>
      </c>
      <c r="BF35" s="11" t="n">
        <f aca="false">BE35+BF33-BF34</f>
        <v>0</v>
      </c>
      <c r="BG35" s="11" t="n">
        <f aca="false">BF35+BG33-BG34</f>
        <v>0</v>
      </c>
      <c r="BH35" s="11" t="n">
        <f aca="false">BG35+BH33-BH34</f>
        <v>0</v>
      </c>
      <c r="BI35" s="11" t="n">
        <f aca="false">BH35+BI33-BI34</f>
        <v>0</v>
      </c>
      <c r="BJ35" s="11" t="n">
        <f aca="false">BI35+BJ33-BJ34</f>
        <v>0</v>
      </c>
    </row>
    <row r="36" customFormat="false" ht="15" hidden="false" customHeight="false" outlineLevel="0" collapsed="false">
      <c r="D36" s="0" t="s">
        <v>456</v>
      </c>
      <c r="E36" s="0" t="s">
        <v>149</v>
      </c>
      <c r="G36" s="11" t="n">
        <f aca="false">SUM(J36:BJ36)</f>
        <v>1.6358440014071</v>
      </c>
      <c r="J36" s="11" t="n">
        <f aca="false">0*(J18+Inputs!$F$71)/100*J11/365/J16</f>
        <v>0</v>
      </c>
      <c r="K36" s="11" t="n">
        <f aca="false">J35*(K18+Inputs!$F$71)/100*K11/365/K16</f>
        <v>0.0193750340622209</v>
      </c>
      <c r="L36" s="11" t="n">
        <f aca="false">K35*(L18+Inputs!$F$71)/100*L11/365/L16</f>
        <v>0.0200412898168632</v>
      </c>
      <c r="M36" s="11" t="n">
        <f aca="false">L35*(M18+Inputs!$F$71)/100*M11/365/M16</f>
        <v>0.0195629718926245</v>
      </c>
      <c r="N36" s="11" t="n">
        <f aca="false">M35*(N18+Inputs!$F$71)/100*N11/365/N16</f>
        <v>0.0206723475929591</v>
      </c>
      <c r="O36" s="11" t="n">
        <f aca="false">N35*(O18+Inputs!$F$71)/100*O11/365/O16</f>
        <v>0.0209414086059241</v>
      </c>
      <c r="P36" s="11" t="n">
        <f aca="false">O35*(P18+Inputs!$F$71)/100*P11/365/P16</f>
        <v>0.0200783331688696</v>
      </c>
      <c r="Q36" s="11" t="n">
        <f aca="false">P35*(Q18+Inputs!$F$71)/100*Q11/365/Q16</f>
        <v>0.0240439766086904</v>
      </c>
      <c r="R36" s="11" t="n">
        <f aca="false">Q35*(R18+Inputs!$F$71)/100*R11/365/R16</f>
        <v>0.0255764601195073</v>
      </c>
      <c r="S36" s="11" t="n">
        <f aca="false">R35*(S18+Inputs!$F$71)/100*S11/365/S16</f>
        <v>0.0294119550187512</v>
      </c>
      <c r="T36" s="11" t="n">
        <f aca="false">S35*(T18+Inputs!$F$71)/100*T11/365/T16</f>
        <v>0.013085367681004</v>
      </c>
      <c r="U36" s="11" t="n">
        <f aca="false">T35*(U18+Inputs!$F$71)/100*U11/365/U16</f>
        <v>0.0173074783868052</v>
      </c>
      <c r="V36" s="11" t="n">
        <f aca="false">U35*(V18+Inputs!$F$71)/100*V11/365/V16</f>
        <v>0.0218220503080807</v>
      </c>
      <c r="W36" s="11" t="n">
        <f aca="false">V35*(W18+Inputs!$F$71)/100*W11/365/W16</f>
        <v>0.0257553074956206</v>
      </c>
      <c r="X36" s="11" t="n">
        <f aca="false">W35*(X18+Inputs!$F$71)/100*X11/365/X16</f>
        <v>0.0315414205113856</v>
      </c>
      <c r="Y36" s="11" t="n">
        <f aca="false">X35*(Y18+Inputs!$F$71)/100*Y11/365/Y16</f>
        <v>0.0352985029098652</v>
      </c>
      <c r="Z36" s="11" t="n">
        <f aca="false">Y35*(Z18+Inputs!$F$71)/100*Z11/365/Z16</f>
        <v>0.0412962260177819</v>
      </c>
      <c r="AA36" s="11" t="n">
        <f aca="false">Z35*(AA18+Inputs!$F$71)/100*AA11/365/AA16</f>
        <v>0.0447058151492538</v>
      </c>
      <c r="AB36" s="11" t="n">
        <f aca="false">AA35*(AB18+Inputs!$F$71)/100*AB11/365/AB16</f>
        <v>0.0457268805192022</v>
      </c>
      <c r="AC36" s="11" t="n">
        <f aca="false">AB35*(AC18+Inputs!$F$71)/100*AC11/365/AC16</f>
        <v>0.0526652309222427</v>
      </c>
      <c r="AD36" s="11" t="n">
        <f aca="false">AC35*(AD18+Inputs!$F$71)/100*AD11/365/AD16</f>
        <v>0.0541826033673136</v>
      </c>
      <c r="AE36" s="11" t="n">
        <f aca="false">AD35*(AE18+Inputs!$F$71)/100*AE11/365/AE16</f>
        <v>0.058789785455325</v>
      </c>
      <c r="AF36" s="11" t="n">
        <f aca="false">AE35*(AF18+Inputs!$F$71)/100*AF11/365/AF16</f>
        <v>0.0590516947056736</v>
      </c>
      <c r="AG36" s="11" t="n">
        <f aca="false">AF35*(AG18+Inputs!$F$71)/100*AG11/365/AG16</f>
        <v>0.061149689996844</v>
      </c>
      <c r="AH36" s="11" t="n">
        <f aca="false">AG35*(AH18+Inputs!$F$71)/100*AH11/365/AH16</f>
        <v>0.0621095920233787</v>
      </c>
      <c r="AI36" s="11" t="n">
        <f aca="false">AH35*(AI18+Inputs!$F$71)/100*AI11/365/AI16</f>
        <v>0.0604175725242808</v>
      </c>
      <c r="AJ36" s="11" t="n">
        <f aca="false">AI35*(AJ18+Inputs!$F$71)/100*AJ11/365/AJ16</f>
        <v>0.0621095920233787</v>
      </c>
      <c r="AK36" s="11" t="n">
        <f aca="false">AJ35*(AK18+Inputs!$F$71)/100*AK11/365/AK16</f>
        <v>0.0591771193517845</v>
      </c>
      <c r="AL36" s="11" t="n">
        <f aca="false">AK35*(AL18+Inputs!$F$71)/100*AL11/365/AL16</f>
        <v>0.0595677265324681</v>
      </c>
      <c r="AM36" s="11" t="n">
        <f aca="false">AL35*(AM18+Inputs!$F$71)/100*AM11/365/AM16</f>
        <v>0.0556997297752159</v>
      </c>
      <c r="AN36" s="11" t="n">
        <f aca="false">AM35*(AN18+Inputs!$F$71)/100*AN11/365/AN16</f>
        <v>0.0479123924877349</v>
      </c>
      <c r="AO36" s="11" t="n">
        <f aca="false">AN35*(AO18+Inputs!$F$71)/100*AO11/365/AO16</f>
        <v>0.049897088553715</v>
      </c>
      <c r="AP36" s="11" t="n">
        <f aca="false">AO35*(AP18+Inputs!$F$71)/100*AP11/365/AP16</f>
        <v>0.0448173366897968</v>
      </c>
      <c r="AQ36" s="11" t="n">
        <f aca="false">AP35*(AQ18+Inputs!$F$71)/100*AQ11/365/AQ16</f>
        <v>0.0423560284139231</v>
      </c>
      <c r="AR36" s="11" t="n">
        <f aca="false">AQ35*(AR18+Inputs!$F$71)/100*AR11/365/AR16</f>
        <v>0.0368801517386144</v>
      </c>
      <c r="AS36" s="11" t="n">
        <f aca="false">AR35*(AS18+Inputs!$F$71)/100*AS11/365/AS16</f>
        <v>0.032986767513149</v>
      </c>
      <c r="AT36" s="11" t="n">
        <f aca="false">AS35*(AT18+Inputs!$F$71)/100*AT11/365/AT16</f>
        <v>0.0285249099867567</v>
      </c>
      <c r="AU36" s="11" t="n">
        <f aca="false">AT35*(AU18+Inputs!$F$71)/100*AU11/365/AU16</f>
        <v>0.0232921604697107</v>
      </c>
      <c r="AV36" s="11" t="n">
        <f aca="false">AU35*(AV18+Inputs!$F$71)/100*AV11/365/AV16</f>
        <v>0.0197350661660842</v>
      </c>
      <c r="AW36" s="11" t="n">
        <f aca="false">AV35*(AW18+Inputs!$F$71)/100*AW11/365/AW16</f>
        <v>0.0151473406696814</v>
      </c>
      <c r="AX36" s="11" t="n">
        <f aca="false">AW35*(AX18+Inputs!$F$71)/100*AX11/365/AX16</f>
        <v>0.0248797186639826</v>
      </c>
      <c r="AY36" s="11" t="n">
        <f aca="false">AX35*(AY18+Inputs!$F$71)/100*AY11/365/AY16</f>
        <v>0.0271463518208527</v>
      </c>
      <c r="AZ36" s="11" t="n">
        <f aca="false">AY35*(AZ18+Inputs!$F$71)/100*AZ11/365/AZ16</f>
        <v>0.0215390225854011</v>
      </c>
      <c r="BA36" s="11" t="n">
        <f aca="false">AZ35*(BA18+Inputs!$F$71)/100*BA11/365/BA16</f>
        <v>0.0212085789778069</v>
      </c>
      <c r="BB36" s="11" t="n">
        <f aca="false">BA35*(BB18+Inputs!$F$71)/100*BB11/365/BB16</f>
        <v>0.0185821869905236</v>
      </c>
      <c r="BC36" s="11" t="n">
        <f aca="false">BB35*(BC18+Inputs!$F$71)/100*BC11/365/BC16</f>
        <v>0.0177766829038583</v>
      </c>
      <c r="BD36" s="11" t="n">
        <f aca="false">BC35*(BD18+Inputs!$F$71)/100*BD11/365/BD16</f>
        <v>0.0163200240261774</v>
      </c>
      <c r="BE36" s="11" t="n">
        <f aca="false">BD35*(BE18+Inputs!$F$71)/100*BE11/365/BE16</f>
        <v>0.0129132858819037</v>
      </c>
      <c r="BF36" s="11" t="n">
        <f aca="false">BE35*(BF18+Inputs!$F$71)/100*BF11/365/BF16</f>
        <v>0.0127657443241112</v>
      </c>
      <c r="BG36" s="11" t="n">
        <f aca="false">BF35*(BG18+Inputs!$F$71)/100*BG11/365/BG16</f>
        <v>0</v>
      </c>
      <c r="BH36" s="11" t="n">
        <f aca="false">BG35*(BH18+Inputs!$F$71)/100*BH11/365/BH16</f>
        <v>0</v>
      </c>
      <c r="BI36" s="11" t="n">
        <f aca="false">BH35*(BI18+Inputs!$F$71)/100*BI11/365/BI16</f>
        <v>0</v>
      </c>
      <c r="BJ36" s="11" t="n">
        <f aca="false">BI35*(BJ18+Inputs!$F$71)/100*BJ11/365/BJ16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457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458</v>
      </c>
    </row>
    <row r="8" customFormat="false" ht="15" hidden="false" customHeight="false" outlineLevel="0" collapsed="false">
      <c r="D8" s="0" t="s">
        <v>459</v>
      </c>
      <c r="E8" s="0" t="s">
        <v>103</v>
      </c>
      <c r="J8" s="11" t="n">
        <f aca="false">CHOOSE(Inputs!$F$33,Inputs!J215,Inputs!J216,Inputs!J217)</f>
        <v>2.52</v>
      </c>
      <c r="K8" s="11" t="n">
        <f aca="false">CHOOSE(Inputs!$F$33,Inputs!K215,Inputs!K216,Inputs!K217)</f>
        <v>2.87</v>
      </c>
      <c r="L8" s="11" t="n">
        <f aca="false">CHOOSE(Inputs!$F$33,Inputs!L215,Inputs!L216,Inputs!L217)</f>
        <v>2.2</v>
      </c>
      <c r="M8" s="11" t="n">
        <f aca="false">CHOOSE(Inputs!$F$33,Inputs!M215,Inputs!M216,Inputs!M217)</f>
        <v>1.91</v>
      </c>
      <c r="N8" s="11" t="n">
        <f aca="false">CHOOSE(Inputs!$F$33,Inputs!N215,Inputs!N216,Inputs!N217)</f>
        <v>0.37</v>
      </c>
      <c r="O8" s="11" t="n">
        <f aca="false">CHOOSE(Inputs!$F$33,Inputs!O215,Inputs!O216,Inputs!O217)</f>
        <v>0.25</v>
      </c>
      <c r="P8" s="11" t="n">
        <f aca="false">CHOOSE(Inputs!$F$33,Inputs!P215,Inputs!P216,Inputs!P217)</f>
        <v>0.16</v>
      </c>
      <c r="Q8" s="11" t="n">
        <f aca="false">CHOOSE(Inputs!$F$33,Inputs!Q215,Inputs!Q216,Inputs!Q217)</f>
        <v>0.34</v>
      </c>
      <c r="R8" s="11" t="n">
        <f aca="false">CHOOSE(Inputs!$F$33,Inputs!R215,Inputs!R216,Inputs!R217)</f>
        <v>2.94</v>
      </c>
      <c r="S8" s="11" t="n">
        <f aca="false">CHOOSE(Inputs!$F$33,Inputs!S215,Inputs!S216,Inputs!S217)</f>
        <v>5.28826</v>
      </c>
      <c r="T8" s="11" t="n">
        <f aca="false">CHOOSE(Inputs!$F$33,Inputs!T215,Inputs!T216,Inputs!T217)</f>
        <v>5.89826</v>
      </c>
      <c r="U8" s="11" t="n">
        <f aca="false">CHOOSE(Inputs!$F$33,Inputs!U215,Inputs!U216,Inputs!U217)</f>
        <v>5.58826</v>
      </c>
      <c r="V8" s="11" t="n">
        <f aca="false">CHOOSE(Inputs!$F$33,Inputs!V215,Inputs!V216,Inputs!V217)</f>
        <v>5.64826</v>
      </c>
      <c r="W8" s="11" t="n">
        <f aca="false">CHOOSE(Inputs!$F$33,Inputs!W215,Inputs!W216,Inputs!W217)</f>
        <v>4.67826</v>
      </c>
      <c r="X8" s="11" t="n">
        <f aca="false">CHOOSE(Inputs!$F$33,Inputs!X215,Inputs!X216,Inputs!X217)</f>
        <v>4.59826</v>
      </c>
      <c r="Y8" s="11" t="n">
        <f aca="false">CHOOSE(Inputs!$F$33,Inputs!Y215,Inputs!Y216,Inputs!Y217)</f>
        <v>4.04826</v>
      </c>
      <c r="Z8" s="11" t="n">
        <f aca="false">CHOOSE(Inputs!$F$33,Inputs!Z215,Inputs!Z216,Inputs!Z217)</f>
        <v>4.00826</v>
      </c>
      <c r="AA8" s="11" t="n">
        <f aca="false">CHOOSE(Inputs!$F$33,Inputs!AA215,Inputs!AA216,Inputs!AA217)</f>
        <v>3.87826</v>
      </c>
      <c r="AB8" s="11" t="n">
        <f aca="false">CHOOSE(Inputs!$F$33,Inputs!AB215,Inputs!AB216,Inputs!AB217)</f>
        <v>3.87826</v>
      </c>
      <c r="AC8" s="11" t="n">
        <f aca="false">CHOOSE(Inputs!$F$33,Inputs!AC215,Inputs!AC216,Inputs!AC217)</f>
        <v>3.92826</v>
      </c>
      <c r="AD8" s="11" t="n">
        <f aca="false">CHOOSE(Inputs!$F$33,Inputs!AD215,Inputs!AD216,Inputs!AD217)</f>
        <v>3.92826</v>
      </c>
      <c r="AE8" s="11" t="n">
        <f aca="false">CHOOSE(Inputs!$F$33,Inputs!AE215,Inputs!AE216,Inputs!AE217)</f>
        <v>3.92826</v>
      </c>
      <c r="AF8" s="11" t="n">
        <f aca="false">CHOOSE(Inputs!$F$33,Inputs!AF215,Inputs!AF216,Inputs!AF217)</f>
        <v>3.92826</v>
      </c>
      <c r="AG8" s="11" t="n">
        <f aca="false">CHOOSE(Inputs!$F$33,Inputs!AG215,Inputs!AG216,Inputs!AG217)</f>
        <v>3.92826</v>
      </c>
      <c r="AH8" s="11" t="n">
        <f aca="false">CHOOSE(Inputs!$F$33,Inputs!AH215,Inputs!AH216,Inputs!AH217)</f>
        <v>3.92826</v>
      </c>
      <c r="AI8" s="11" t="n">
        <f aca="false">CHOOSE(Inputs!$F$33,Inputs!AI215,Inputs!AI216,Inputs!AI217)</f>
        <v>3.92826</v>
      </c>
      <c r="AJ8" s="11" t="n">
        <f aca="false">CHOOSE(Inputs!$F$33,Inputs!AJ215,Inputs!AJ216,Inputs!AJ217)</f>
        <v>3.92826</v>
      </c>
      <c r="AK8" s="11" t="n">
        <f aca="false">CHOOSE(Inputs!$F$33,Inputs!AK215,Inputs!AK216,Inputs!AK217)</f>
        <v>3.92826</v>
      </c>
      <c r="AL8" s="11" t="n">
        <f aca="false">CHOOSE(Inputs!$F$33,Inputs!AL215,Inputs!AL216,Inputs!AL217)</f>
        <v>3.92826</v>
      </c>
      <c r="AM8" s="11" t="n">
        <f aca="false">CHOOSE(Inputs!$F$33,Inputs!AM215,Inputs!AM216,Inputs!AM217)</f>
        <v>3.92826</v>
      </c>
      <c r="AN8" s="11" t="n">
        <f aca="false">CHOOSE(Inputs!$F$33,Inputs!AN215,Inputs!AN216,Inputs!AN217)</f>
        <v>3.92826</v>
      </c>
      <c r="AO8" s="11" t="n">
        <f aca="false">CHOOSE(Inputs!$F$33,Inputs!AO215,Inputs!AO216,Inputs!AO217)</f>
        <v>3.92826</v>
      </c>
      <c r="AP8" s="11" t="n">
        <f aca="false">CHOOSE(Inputs!$F$33,Inputs!AP215,Inputs!AP216,Inputs!AP217)</f>
        <v>3.92826</v>
      </c>
      <c r="AQ8" s="11" t="n">
        <f aca="false">CHOOSE(Inputs!$F$33,Inputs!AQ215,Inputs!AQ216,Inputs!AQ217)</f>
        <v>3.92826</v>
      </c>
      <c r="AR8" s="11" t="n">
        <f aca="false">CHOOSE(Inputs!$F$33,Inputs!AR215,Inputs!AR216,Inputs!AR217)</f>
        <v>3.92826</v>
      </c>
      <c r="AS8" s="11" t="n">
        <f aca="false">CHOOSE(Inputs!$F$33,Inputs!AS215,Inputs!AS216,Inputs!AS217)</f>
        <v>3.92826</v>
      </c>
      <c r="AT8" s="11" t="n">
        <f aca="false">CHOOSE(Inputs!$F$33,Inputs!AT215,Inputs!AT216,Inputs!AT217)</f>
        <v>3.92826</v>
      </c>
      <c r="AU8" s="11" t="n">
        <f aca="false">CHOOSE(Inputs!$F$33,Inputs!AU215,Inputs!AU216,Inputs!AU217)</f>
        <v>3.92826</v>
      </c>
      <c r="AV8" s="11" t="n">
        <f aca="false">CHOOSE(Inputs!$F$33,Inputs!AV215,Inputs!AV216,Inputs!AV217)</f>
        <v>3.92826</v>
      </c>
      <c r="AW8" s="11" t="n">
        <f aca="false">CHOOSE(Inputs!$F$33,Inputs!AW215,Inputs!AW216,Inputs!AW217)</f>
        <v>3.92826</v>
      </c>
      <c r="AX8" s="11" t="n">
        <f aca="false">CHOOSE(Inputs!$F$33,Inputs!AX215,Inputs!AX216,Inputs!AX217)</f>
        <v>3.92826</v>
      </c>
      <c r="AY8" s="11" t="n">
        <f aca="false">CHOOSE(Inputs!$F$33,Inputs!AY215,Inputs!AY216,Inputs!AY217)</f>
        <v>3.92826</v>
      </c>
      <c r="AZ8" s="11" t="n">
        <f aca="false">CHOOSE(Inputs!$F$33,Inputs!AZ215,Inputs!AZ216,Inputs!AZ217)</f>
        <v>3.92826</v>
      </c>
      <c r="BA8" s="11" t="n">
        <f aca="false">CHOOSE(Inputs!$F$33,Inputs!BA215,Inputs!BA216,Inputs!BA217)</f>
        <v>3.92826</v>
      </c>
      <c r="BB8" s="11" t="n">
        <f aca="false">CHOOSE(Inputs!$F$33,Inputs!BB215,Inputs!BB216,Inputs!BB217)</f>
        <v>3.92826</v>
      </c>
      <c r="BC8" s="11" t="n">
        <f aca="false">CHOOSE(Inputs!$F$33,Inputs!BC215,Inputs!BC216,Inputs!BC217)</f>
        <v>3.92826</v>
      </c>
      <c r="BD8" s="11" t="n">
        <f aca="false">CHOOSE(Inputs!$F$33,Inputs!BD215,Inputs!BD216,Inputs!BD217)</f>
        <v>3.92826</v>
      </c>
      <c r="BE8" s="11" t="n">
        <f aca="false">CHOOSE(Inputs!$F$33,Inputs!BE215,Inputs!BE216,Inputs!BE217)</f>
        <v>3.92826</v>
      </c>
      <c r="BF8" s="11" t="n">
        <f aca="false">CHOOSE(Inputs!$F$33,Inputs!BF215,Inputs!BF216,Inputs!BF217)</f>
        <v>3.92826</v>
      </c>
      <c r="BG8" s="11" t="n">
        <f aca="false">CHOOSE(Inputs!$F$33,Inputs!BG215,Inputs!BG216,Inputs!BG217)</f>
        <v>3.92826</v>
      </c>
      <c r="BH8" s="11" t="n">
        <f aca="false">CHOOSE(Inputs!$F$33,Inputs!BH215,Inputs!BH216,Inputs!BH217)</f>
        <v>3.92826</v>
      </c>
      <c r="BI8" s="11" t="n">
        <f aca="false">CHOOSE(Inputs!$F$33,Inputs!BI215,Inputs!BI216,Inputs!BI217)</f>
        <v>3.92826</v>
      </c>
      <c r="BJ8" s="11" t="n">
        <f aca="false">CHOOSE(Inputs!$F$33,Inputs!BJ215,Inputs!BJ216,Inputs!BJ217)</f>
        <v>3.92826</v>
      </c>
      <c r="BK8" s="11" t="n">
        <f aca="false">CHOOSE(Inputs!$F$33,Inputs!BK215,Inputs!BK216,Inputs!BK217)</f>
        <v>3.92826</v>
      </c>
      <c r="BL8" s="11" t="n">
        <f aca="false">CHOOSE(Inputs!$F$33,Inputs!BL215,Inputs!BL216,Inputs!BL217)</f>
        <v>3.92826</v>
      </c>
      <c r="BM8" s="11" t="n">
        <f aca="false">CHOOSE(Inputs!$F$33,Inputs!BM215,Inputs!BM216,Inputs!BM217)</f>
        <v>3.92826</v>
      </c>
      <c r="BN8" s="11" t="n">
        <f aca="false">CHOOSE(Inputs!$F$33,Inputs!BN215,Inputs!BN216,Inputs!BN217)</f>
        <v>3.92826</v>
      </c>
    </row>
    <row r="9" customFormat="false" ht="15" hidden="false" customHeight="false" outlineLevel="0" collapsed="false">
      <c r="D9" s="0" t="s">
        <v>460</v>
      </c>
      <c r="E9" s="0" t="s">
        <v>103</v>
      </c>
      <c r="J9" s="11" t="n">
        <f aca="false">J8+Inputs!$F$42*Time!J34</f>
        <v>2.52</v>
      </c>
      <c r="K9" s="11" t="n">
        <f aca="false">K8+Inputs!$F$42*Time!K34</f>
        <v>2.87</v>
      </c>
      <c r="L9" s="11" t="n">
        <f aca="false">L8+Inputs!$F$42*Time!L34</f>
        <v>2.2</v>
      </c>
      <c r="M9" s="11" t="n">
        <f aca="false">M8+Inputs!$F$42*Time!M34</f>
        <v>1.91</v>
      </c>
      <c r="N9" s="11" t="n">
        <f aca="false">N8+Inputs!$F$42*Time!N34</f>
        <v>0.37</v>
      </c>
      <c r="O9" s="11" t="n">
        <f aca="false">O8+Inputs!$F$42*Time!O34</f>
        <v>0.25</v>
      </c>
      <c r="P9" s="11" t="n">
        <f aca="false">P8+Inputs!$F$42*Time!P34</f>
        <v>0.16</v>
      </c>
      <c r="Q9" s="11" t="n">
        <f aca="false">Q8+Inputs!$F$42*Time!Q34</f>
        <v>0.34</v>
      </c>
      <c r="R9" s="11" t="n">
        <f aca="false">R8+Inputs!$F$42*Time!R34</f>
        <v>2.94</v>
      </c>
      <c r="S9" s="11" t="n">
        <f aca="false">S8+Inputs!$F$42*Time!S34</f>
        <v>5.28826</v>
      </c>
      <c r="T9" s="11" t="n">
        <f aca="false">T8+Inputs!$F$42*Time!T34</f>
        <v>5.89826</v>
      </c>
      <c r="U9" s="11" t="n">
        <f aca="false">U8+Inputs!$F$42*Time!U34</f>
        <v>5.58826</v>
      </c>
      <c r="V9" s="11" t="n">
        <f aca="false">V8+Inputs!$F$42*Time!V34</f>
        <v>5.64826</v>
      </c>
      <c r="W9" s="11" t="n">
        <f aca="false">W8+Inputs!$F$42*Time!W34</f>
        <v>4.67826</v>
      </c>
      <c r="X9" s="11" t="n">
        <f aca="false">X8+Inputs!$F$42*Time!X34</f>
        <v>4.59826</v>
      </c>
      <c r="Y9" s="11" t="n">
        <f aca="false">Y8+Inputs!$F$42*Time!Y34</f>
        <v>4.04826</v>
      </c>
      <c r="Z9" s="11" t="n">
        <f aca="false">Z8+Inputs!$F$42*Time!Z34</f>
        <v>4.00826</v>
      </c>
      <c r="AA9" s="11" t="n">
        <f aca="false">AA8+Inputs!$F$42*Time!AA34</f>
        <v>3.87826</v>
      </c>
      <c r="AB9" s="11" t="n">
        <f aca="false">AB8+Inputs!$F$42*Time!AB34</f>
        <v>3.87826</v>
      </c>
      <c r="AC9" s="11" t="n">
        <f aca="false">AC8+Inputs!$F$42*Time!AC34</f>
        <v>3.92826</v>
      </c>
      <c r="AD9" s="11" t="n">
        <f aca="false">AD8+Inputs!$F$42*Time!AD34</f>
        <v>3.92826</v>
      </c>
      <c r="AE9" s="11" t="n">
        <f aca="false">AE8+Inputs!$F$42*Time!AE34</f>
        <v>3.92826</v>
      </c>
      <c r="AF9" s="11" t="n">
        <f aca="false">AF8+Inputs!$F$42*Time!AF34</f>
        <v>3.92826</v>
      </c>
      <c r="AG9" s="11" t="n">
        <f aca="false">AG8+Inputs!$F$42*Time!AG34</f>
        <v>3.92826</v>
      </c>
      <c r="AH9" s="11" t="n">
        <f aca="false">AH8+Inputs!$F$42*Time!AH34</f>
        <v>3.92826</v>
      </c>
      <c r="AI9" s="11" t="n">
        <f aca="false">AI8+Inputs!$F$42*Time!AI34</f>
        <v>3.92826</v>
      </c>
      <c r="AJ9" s="11" t="n">
        <f aca="false">AJ8+Inputs!$F$42*Time!AJ34</f>
        <v>3.92826</v>
      </c>
      <c r="AK9" s="11" t="n">
        <f aca="false">AK8+Inputs!$F$42*Time!AK34</f>
        <v>3.92826</v>
      </c>
      <c r="AL9" s="11" t="n">
        <f aca="false">AL8+Inputs!$F$42*Time!AL34</f>
        <v>3.92826</v>
      </c>
      <c r="AM9" s="11" t="n">
        <f aca="false">AM8+Inputs!$F$42*Time!AM34</f>
        <v>3.92826</v>
      </c>
      <c r="AN9" s="11" t="n">
        <f aca="false">AN8+Inputs!$F$42*Time!AN34</f>
        <v>3.92826</v>
      </c>
      <c r="AO9" s="11" t="n">
        <f aca="false">AO8+Inputs!$F$42*Time!AO34</f>
        <v>3.92826</v>
      </c>
      <c r="AP9" s="11" t="n">
        <f aca="false">AP8+Inputs!$F$42*Time!AP34</f>
        <v>3.92826</v>
      </c>
      <c r="AQ9" s="11" t="n">
        <f aca="false">AQ8+Inputs!$F$42*Time!AQ34</f>
        <v>3.92826</v>
      </c>
      <c r="AR9" s="11" t="n">
        <f aca="false">AR8+Inputs!$F$42*Time!AR34</f>
        <v>3.92826</v>
      </c>
      <c r="AS9" s="11" t="n">
        <f aca="false">AS8+Inputs!$F$42*Time!AS34</f>
        <v>3.92826</v>
      </c>
      <c r="AT9" s="11" t="n">
        <f aca="false">AT8+Inputs!$F$42*Time!AT34</f>
        <v>3.92826</v>
      </c>
      <c r="AU9" s="11" t="n">
        <f aca="false">AU8+Inputs!$F$42*Time!AU34</f>
        <v>3.92826</v>
      </c>
      <c r="AV9" s="11" t="n">
        <f aca="false">AV8+Inputs!$F$42*Time!AV34</f>
        <v>3.92826</v>
      </c>
      <c r="AW9" s="11" t="n">
        <f aca="false">AW8+Inputs!$F$42*Time!AW34</f>
        <v>3.92826</v>
      </c>
      <c r="AX9" s="11" t="n">
        <f aca="false">AX8+Inputs!$F$42*Time!AX34</f>
        <v>3.92826</v>
      </c>
      <c r="AY9" s="11" t="n">
        <f aca="false">AY8+Inputs!$F$42*Time!AY34</f>
        <v>3.92826</v>
      </c>
      <c r="AZ9" s="11" t="n">
        <f aca="false">AZ8+Inputs!$F$42*Time!AZ34</f>
        <v>3.92826</v>
      </c>
      <c r="BA9" s="11" t="n">
        <f aca="false">BA8+Inputs!$F$42*Time!BA34</f>
        <v>3.92826</v>
      </c>
      <c r="BB9" s="11" t="n">
        <f aca="false">BB8+Inputs!$F$42*Time!BB34</f>
        <v>3.92826</v>
      </c>
      <c r="BC9" s="11" t="n">
        <f aca="false">BC8+Inputs!$F$42*Time!BC34</f>
        <v>3.92826</v>
      </c>
      <c r="BD9" s="11" t="n">
        <f aca="false">BD8+Inputs!$F$42*Time!BD34</f>
        <v>3.92826</v>
      </c>
      <c r="BE9" s="11" t="n">
        <f aca="false">BE8+Inputs!$F$42*Time!BE34</f>
        <v>3.92826</v>
      </c>
      <c r="BF9" s="11" t="n">
        <f aca="false">BF8+Inputs!$F$42*Time!BF34</f>
        <v>3.92826</v>
      </c>
      <c r="BG9" s="11" t="n">
        <f aca="false">BG8+Inputs!$F$42*Time!BG34</f>
        <v>3.92826</v>
      </c>
      <c r="BH9" s="11" t="n">
        <f aca="false">BH8+Inputs!$F$42*Time!BH34</f>
        <v>3.92826</v>
      </c>
      <c r="BI9" s="11" t="n">
        <f aca="false">BI8+Inputs!$F$42*Time!BI34</f>
        <v>3.92826</v>
      </c>
      <c r="BJ9" s="11" t="n">
        <f aca="false">BJ8+Inputs!$F$42*Time!BJ34</f>
        <v>3.92826</v>
      </c>
      <c r="BK9" s="11" t="n">
        <f aca="false">BK8+Inputs!$F$42*Time!BK34</f>
        <v>3.92826</v>
      </c>
      <c r="BL9" s="11" t="n">
        <f aca="false">BL8+Inputs!$F$42*Time!BL34</f>
        <v>3.92826</v>
      </c>
      <c r="BM9" s="11" t="n">
        <f aca="false">BM8+Inputs!$F$42*Time!BM34</f>
        <v>3.92826</v>
      </c>
      <c r="BN9" s="11" t="n">
        <f aca="false">BN8+Inputs!$F$42*Time!BN34</f>
        <v>3.92826</v>
      </c>
    </row>
    <row r="10" customFormat="false" ht="15" hidden="false" customHeight="false" outlineLevel="0" collapsed="false">
      <c r="D10" s="0" t="s">
        <v>461</v>
      </c>
      <c r="E10" s="0" t="s">
        <v>153</v>
      </c>
      <c r="J10" s="11" t="n">
        <f aca="false">CHOOSE(Inputs!$F$33,Inputs!$F$60*Time!$F$15^((Time!J17-0.5)/2),Inputs!J218,Inputs!J218)</f>
        <v>524.6</v>
      </c>
      <c r="K10" s="11" t="n">
        <f aca="false">CHOOSE(Inputs!$F$33,Inputs!$F$60*Time!$F$15^((Time!K17-0.5)/2),Inputs!K218,Inputs!K218)</f>
        <v>539.1</v>
      </c>
      <c r="L10" s="11" t="n">
        <f aca="false">CHOOSE(Inputs!$F$33,Inputs!$F$60*Time!$F$15^((Time!L17-0.5)/2),Inputs!L218,Inputs!L218)</f>
        <v>551.3</v>
      </c>
      <c r="M10" s="11" t="n">
        <f aca="false">CHOOSE(Inputs!$F$33,Inputs!$F$60*Time!$F$15^((Time!M17-0.5)/2),Inputs!M218,Inputs!M218)</f>
        <v>566</v>
      </c>
      <c r="N10" s="11" t="n">
        <f aca="false">CHOOSE(Inputs!$F$33,Inputs!$F$60*Time!$F$15^((Time!N17-0.5)/2),Inputs!N218,Inputs!N218)</f>
        <v>579.8</v>
      </c>
      <c r="O10" s="11" t="n">
        <f aca="false">CHOOSE(Inputs!$F$33,Inputs!$F$60*Time!$F$15^((Time!O17-0.5)/2),Inputs!O218,Inputs!O218)</f>
        <v>597.4</v>
      </c>
      <c r="P10" s="11" t="n">
        <f aca="false">CHOOSE(Inputs!$F$33,Inputs!$F$60*Time!$F$15^((Time!P17-0.5)/2),Inputs!P218,Inputs!P218)</f>
        <v>609.6</v>
      </c>
      <c r="Q10" s="11" t="n">
        <f aca="false">CHOOSE(Inputs!$F$33,Inputs!$F$60*Time!$F$15^((Time!Q17-0.5)/2),Inputs!Q218,P10*Time!$F$15^0.5)</f>
        <v>654.9</v>
      </c>
      <c r="R10" s="11" t="n">
        <f aca="false">CHOOSE(Inputs!$F$33,Inputs!$F$60*Time!$F$15^((Time!R17-0.5)/2),Inputs!R218,Q10*Time!$F$15^0.5)</f>
        <v>830.3</v>
      </c>
      <c r="S10" s="11" t="n">
        <f aca="false">CHOOSE(Inputs!$F$33,Inputs!$F$60*Time!$F$15^((Time!S17-0.5)/2),Inputs!S218,R10*Time!$F$15^0.5)</f>
        <v>1052.8</v>
      </c>
      <c r="T10" s="11" t="n">
        <f aca="false">CHOOSE(Inputs!$F$33,Inputs!$F$60*Time!$F$15^((Time!T17-0.5)/2),Inputs!T218,S10*Time!$F$15^0.5)</f>
        <v>1043.8</v>
      </c>
      <c r="U10" s="11" t="n">
        <f aca="false">CHOOSE(Inputs!$F$33,Inputs!$F$60*Time!$F$15^((Time!U17-0.5)/2),Inputs!U218,T10*Time!$F$15^0.5)</f>
        <v>1093.1</v>
      </c>
      <c r="V10" s="11" t="n">
        <f aca="false">CHOOSE(Inputs!$F$33,Inputs!$F$60*Time!$F$15^((Time!V17-0.5)/2),Inputs!V218,U10*Time!$F$15^0.5)</f>
        <v>1050.7</v>
      </c>
      <c r="W10" s="11" t="n">
        <f aca="false">CHOOSE(Inputs!$F$33,Inputs!$F$60*Time!$F$15^((Time!W17-0.5)/2),Inputs!W218,V10*Time!$F$15^0.5)</f>
        <v>1035.6</v>
      </c>
      <c r="X10" s="11" t="n">
        <f aca="false">CHOOSE(Inputs!$F$33,Inputs!$F$60*Time!$F$15^((Time!X17-0.5)/2),Inputs!X218,W10*Time!$F$15^0.5)</f>
        <v>1023.8</v>
      </c>
      <c r="Y10" s="11" t="n">
        <f aca="false">CHOOSE(Inputs!$F$33,Inputs!$F$60*Time!$F$15^((Time!Y17-0.5)/2),Inputs!Y218,X10*Time!$F$15^0.5)</f>
        <v>1028.9</v>
      </c>
      <c r="Z10" s="11" t="n">
        <f aca="false">CHOOSE(Inputs!$F$33,Inputs!$F$60*Time!$F$15^((Time!Z17-0.5)/2),Inputs!Z218,Y10*Time!$F$15^0.5)</f>
        <v>1043.9</v>
      </c>
      <c r="AA10" s="11" t="n">
        <f aca="false">CHOOSE(Inputs!$F$33,Inputs!$F$60*Time!$F$15^((Time!AA17-0.5)/2),Z10*((1+AA13/100)/(1+AA12/100))^0.5,Z10*Time!$F$15^0.5)</f>
        <v>1072.58806090087</v>
      </c>
      <c r="AB10" s="11" t="n">
        <f aca="false">CHOOSE(Inputs!$F$33,Inputs!$F$60*Time!$F$15^((Time!AB17-0.5)/2),AA10*((1+AB13/100)/(1+AB12/100))^0.5,AA10*Time!$F$15^0.5)</f>
        <v>1102.06451612903</v>
      </c>
      <c r="AC10" s="11" t="n">
        <f aca="false">CHOOSE(Inputs!$F$33,Inputs!$F$60*Time!$F$15^((Time!AC17-0.5)/2),AB10*((1+AC13/100)/(1+AC12/100))^0.5,AB10*Time!$F$15^0.5)</f>
        <v>1127.09647453254</v>
      </c>
      <c r="AD10" s="11" t="n">
        <f aca="false">CHOOSE(Inputs!$F$33,Inputs!$F$60*Time!$F$15^((Time!AD17-0.5)/2),AC10*((1+AD13/100)/(1+AD12/100))^0.5,AC10*Time!$F$15^0.5)</f>
        <v>1152.69700122978</v>
      </c>
      <c r="AE10" s="11" t="n">
        <f aca="false">CHOOSE(Inputs!$F$33,Inputs!$F$60*Time!$F$15^((Time!AE17-0.5)/2),AD10*((1+AE13/100)/(1+AE12/100))^0.5,AD10*Time!$F$15^0.5)</f>
        <v>1178.87901050813</v>
      </c>
      <c r="AF10" s="11" t="n">
        <f aca="false">CHOOSE(Inputs!$F$33,Inputs!$F$60*Time!$F$15^((Time!AF17-0.5)/2),AE10*((1+AF13/100)/(1+AF12/100))^0.5,AE10*Time!$F$15^0.5)</f>
        <v>1205.65570998618</v>
      </c>
      <c r="AG10" s="11" t="n">
        <f aca="false">CHOOSE(Inputs!$F$33,Inputs!$F$60*Time!$F$15^((Time!AG17-0.5)/2),AF10*((1+AG13/100)/(1+AG12/100))^0.5,AF10*Time!$F$15^0.5)</f>
        <v>1233.04060727635</v>
      </c>
      <c r="AH10" s="11" t="n">
        <f aca="false">CHOOSE(Inputs!$F$33,Inputs!$F$60*Time!$F$15^((Time!AH17-0.5)/2),AG10*((1+AH13/100)/(1+AH12/100))^0.5,AG10*Time!$F$15^0.5)</f>
        <v>1261.04751679884</v>
      </c>
      <c r="AI10" s="11" t="n">
        <f aca="false">CHOOSE(Inputs!$F$33,Inputs!$F$60*Time!$F$15^((Time!AI17-0.5)/2),AH10*((1+AI13/100)/(1+AI12/100))^0.5,AH10*Time!$F$15^0.5)</f>
        <v>1289.69056675043</v>
      </c>
      <c r="AJ10" s="11" t="n">
        <f aca="false">CHOOSE(Inputs!$F$33,Inputs!$F$60*Time!$F$15^((Time!AJ17-0.5)/2),AI10*((1+AJ13/100)/(1+AJ12/100))^0.5,AI10*Time!$F$15^0.5)</f>
        <v>1318.98420623144</v>
      </c>
      <c r="AK10" s="11" t="n">
        <f aca="false">CHOOSE(Inputs!$F$33,Inputs!$F$60*Time!$F$15^((Time!AK17-0.5)/2),AJ10*((1+AK13/100)/(1+AK12/100))^0.5,AJ10*Time!$F$15^0.5)</f>
        <v>1348.94321253467</v>
      </c>
      <c r="AL10" s="11" t="n">
        <f aca="false">CHOOSE(Inputs!$F$33,Inputs!$F$60*Time!$F$15^((Time!AL17-0.5)/2),AK10*((1+AL13/100)/(1+AL12/100))^0.5,AK10*Time!$F$15^0.5)</f>
        <v>1379.58269859984</v>
      </c>
      <c r="AM10" s="11" t="n">
        <f aca="false">CHOOSE(Inputs!$F$33,Inputs!$F$60*Time!$F$15^((Time!AM17-0.5)/2),AL10*((1+AM13/100)/(1+AM12/100))^0.5,AL10*Time!$F$15^0.5)</f>
        <v>1410.91812063743</v>
      </c>
      <c r="AN10" s="11" t="n">
        <f aca="false">CHOOSE(Inputs!$F$33,Inputs!$F$60*Time!$F$15^((Time!AN17-0.5)/2),AM10*((1+AN13/100)/(1+AN12/100))^0.5,AM10*Time!$F$15^0.5)</f>
        <v>1442.96528592555</v>
      </c>
      <c r="AO10" s="11" t="n">
        <f aca="false">CHOOSE(Inputs!$F$33,Inputs!$F$60*Time!$F$15^((Time!AO17-0.5)/2),AN10*((1+AO13/100)/(1+AO12/100))^0.5,AN10*Time!$F$15^0.5)</f>
        <v>1475.74036078402</v>
      </c>
      <c r="AP10" s="11" t="n">
        <f aca="false">CHOOSE(Inputs!$F$33,Inputs!$F$60*Time!$F$15^((Time!AP17-0.5)/2),AO10*((1+AP13/100)/(1+AP12/100))^0.5,AO10*Time!$F$15^0.5)</f>
        <v>1509.25987872956</v>
      </c>
      <c r="AQ10" s="11" t="n">
        <f aca="false">CHOOSE(Inputs!$F$33,Inputs!$F$60*Time!$F$15^((Time!AQ17-0.5)/2),AP10*((1+AQ13/100)/(1+AQ12/100))^0.5,AP10*Time!$F$15^0.5)</f>
        <v>1543.54074881613</v>
      </c>
      <c r="AR10" s="11" t="n">
        <f aca="false">CHOOSE(Inputs!$F$33,Inputs!$F$60*Time!$F$15^((Time!AR17-0.5)/2),AQ10*((1+AR13/100)/(1+AR12/100))^0.5,AQ10*Time!$F$15^0.5)</f>
        <v>1578.60026416483</v>
      </c>
      <c r="AS10" s="11" t="n">
        <f aca="false">CHOOSE(Inputs!$F$33,Inputs!$F$60*Time!$F$15^((Time!AS17-0.5)/2),AR10*((1+AS13/100)/(1+AS12/100))^0.5,AR10*Time!$F$15^0.5)</f>
        <v>1614.45611068745</v>
      </c>
      <c r="AT10" s="11" t="n">
        <f aca="false">CHOOSE(Inputs!$F$33,Inputs!$F$60*Time!$F$15^((Time!AT17-0.5)/2),AS10*((1+AT13/100)/(1+AT12/100))^0.5,AS10*Time!$F$15^0.5)</f>
        <v>1651.12637600818</v>
      </c>
      <c r="AU10" s="11" t="n">
        <f aca="false">CHOOSE(Inputs!$F$33,Inputs!$F$60*Time!$F$15^((Time!AU17-0.5)/2),AT10*((1+AU13/100)/(1+AU12/100))^0.5,AT10*Time!$F$15^0.5)</f>
        <v>1688.62955858805</v>
      </c>
      <c r="AV10" s="11" t="n">
        <f aca="false">CHOOSE(Inputs!$F$33,Inputs!$F$60*Time!$F$15^((Time!AV17-0.5)/2),AU10*((1+AV13/100)/(1+AV12/100))^0.5,AU10*Time!$F$15^0.5)</f>
        <v>1726.98457705646</v>
      </c>
      <c r="AW10" s="11" t="n">
        <f aca="false">CHOOSE(Inputs!$F$33,Inputs!$F$60*Time!$F$15^((Time!AW17-0.5)/2),AV10*((1+AW13/100)/(1+AW12/100))^0.5,AV10*Time!$F$15^0.5)</f>
        <v>1766.21077975485</v>
      </c>
      <c r="AX10" s="11" t="n">
        <f aca="false">CHOOSE(Inputs!$F$33,Inputs!$F$60*Time!$F$15^((Time!AX17-0.5)/2),AW10*((1+AX13/100)/(1+AX12/100))^0.5,AW10*Time!$F$15^0.5)</f>
        <v>1806.32795449698</v>
      </c>
      <c r="AY10" s="11" t="n">
        <f aca="false">CHOOSE(Inputs!$F$33,Inputs!$F$60*Time!$F$15^((Time!AY17-0.5)/2),AX10*((1+AY13/100)/(1+AY12/100))^0.5,AX10*Time!$F$15^0.5)</f>
        <v>1847.35633855102</v>
      </c>
      <c r="AZ10" s="11" t="n">
        <f aca="false">CHOOSE(Inputs!$F$33,Inputs!$F$60*Time!$F$15^((Time!AZ17-0.5)/2),AY10*((1+AZ13/100)/(1+AZ12/100))^0.5,AY10*Time!$F$15^0.5)</f>
        <v>1889.31662884826</v>
      </c>
      <c r="BA10" s="11" t="n">
        <f aca="false">CHOOSE(Inputs!$F$33,Inputs!$F$60*Time!$F$15^((Time!BA17-0.5)/2),AZ10*((1+BA13/100)/(1+BA12/100))^0.5,AZ10*Time!$F$15^0.5)</f>
        <v>1932.22999242384</v>
      </c>
      <c r="BB10" s="11" t="n">
        <f aca="false">CHOOSE(Inputs!$F$33,Inputs!$F$60*Time!$F$15^((Time!BB17-0.5)/2),BA10*((1+BB13/100)/(1+BB12/100))^0.5,BA10*Time!$F$15^0.5)</f>
        <v>1976.11807709447</v>
      </c>
      <c r="BC10" s="11" t="n">
        <f aca="false">CHOOSE(Inputs!$F$33,Inputs!$F$60*Time!$F$15^((Time!BC17-0.5)/2),BB10*((1+BC13/100)/(1+BC12/100))^0.5,BB10*Time!$F$15^0.5)</f>
        <v>2021.0030223788</v>
      </c>
      <c r="BD10" s="11" t="n">
        <f aca="false">CHOOSE(Inputs!$F$33,Inputs!$F$60*Time!$F$15^((Time!BD17-0.5)/2),BC10*((1+BD13/100)/(1+BD12/100))^0.5,BC10*Time!$F$15^0.5)</f>
        <v>2066.90747066577</v>
      </c>
      <c r="BE10" s="11" t="n">
        <f aca="false">CHOOSE(Inputs!$F$33,Inputs!$F$60*Time!$F$15^((Time!BE17-0.5)/2),BD10*((1+BE13/100)/(1+BE12/100))^0.5,BD10*Time!$F$15^0.5)</f>
        <v>2113.85457863667</v>
      </c>
      <c r="BF10" s="11" t="n">
        <f aca="false">CHOOSE(Inputs!$F$33,Inputs!$F$60*Time!$F$15^((Time!BF17-0.5)/2),BE10*((1+BF13/100)/(1+BF12/100))^0.5,BE10*Time!$F$15^0.5)</f>
        <v>2161.8680289466</v>
      </c>
      <c r="BG10" s="11" t="n">
        <f aca="false">CHOOSE(Inputs!$F$33,Inputs!$F$60*Time!$F$15^((Time!BG17-0.5)/2),BF10*((1+BG13/100)/(1+BG12/100))^0.5,BF10*Time!$F$15^0.5)</f>
        <v>2210.9720421713</v>
      </c>
      <c r="BH10" s="11" t="n">
        <f aca="false">CHOOSE(Inputs!$F$33,Inputs!$F$60*Time!$F$15^((Time!BH17-0.5)/2),BG10*((1+BH13/100)/(1+BH12/100))^0.5,BG10*Time!$F$15^0.5)</f>
        <v>2261.19138902528</v>
      </c>
      <c r="BI10" s="11" t="n">
        <f aca="false">CHOOSE(Inputs!$F$33,Inputs!$F$60*Time!$F$15^((Time!BI17-0.5)/2),BH10*((1+BI13/100)/(1+BI12/100))^0.5,BH10*Time!$F$15^0.5)</f>
        <v>2312.55140285756</v>
      </c>
      <c r="BJ10" s="11" t="n">
        <f aca="false">CHOOSE(Inputs!$F$33,Inputs!$F$60*Time!$F$15^((Time!BJ17-0.5)/2),BI10*((1+BJ13/100)/(1+BJ12/100))^0.5,BI10*Time!$F$15^0.5)</f>
        <v>2365.07799243114</v>
      </c>
      <c r="BK10" s="11" t="n">
        <f aca="false">CHOOSE(Inputs!$F$33,Inputs!$F$60*Time!$F$15^((Time!BK17-0.5)/2),BJ10*((1+BK13/100)/(1+BK12/100))^0.5,BJ10*Time!$F$15^0.5)</f>
        <v>2418.79765499276</v>
      </c>
      <c r="BL10" s="11" t="n">
        <f aca="false">CHOOSE(Inputs!$F$33,Inputs!$F$60*Time!$F$15^((Time!BL17-0.5)/2),BK10*((1+BL13/100)/(1+BL12/100))^0.5,BK10*Time!$F$15^0.5)</f>
        <v>2473.73748963961</v>
      </c>
      <c r="BM10" s="11" t="n">
        <f aca="false">CHOOSE(Inputs!$F$33,Inputs!$F$60*Time!$F$15^((Time!BM17-0.5)/2),BL10*((1+BM13/100)/(1+BM12/100))^0.5,BL10*Time!$F$15^0.5)</f>
        <v>2529.9252109895</v>
      </c>
      <c r="BN10" s="11" t="n">
        <f aca="false">CHOOSE(Inputs!$F$33,Inputs!$F$60*Time!$F$15^((Time!BN17-0.5)/2),BM10*((1+BN13/100)/(1+BN12/100))^0.5,BM10*Time!$F$15^0.5)</f>
        <v>2587.38916316166</v>
      </c>
    </row>
    <row r="11" customFormat="false" ht="15" hidden="false" customHeight="false" outlineLevel="0" collapsed="false">
      <c r="D11" s="0" t="s">
        <v>462</v>
      </c>
      <c r="E11" s="0" t="s">
        <v>153</v>
      </c>
      <c r="J11" s="11" t="n">
        <f aca="false">J10/(1-Inputs!$F$43*Time!J34)</f>
        <v>524.6</v>
      </c>
      <c r="K11" s="11" t="n">
        <f aca="false">K10/(1-Inputs!$F$43*Time!K34)</f>
        <v>539.1</v>
      </c>
      <c r="L11" s="11" t="n">
        <f aca="false">L10/(1-Inputs!$F$43*Time!L34)</f>
        <v>551.3</v>
      </c>
      <c r="M11" s="11" t="n">
        <f aca="false">M10/(1-Inputs!$F$43*Time!M34)</f>
        <v>566</v>
      </c>
      <c r="N11" s="11" t="n">
        <f aca="false">N10/(1-Inputs!$F$43*Time!N34)</f>
        <v>579.8</v>
      </c>
      <c r="O11" s="11" t="n">
        <f aca="false">O10/(1-Inputs!$F$43*Time!O34)</f>
        <v>597.4</v>
      </c>
      <c r="P11" s="11" t="n">
        <f aca="false">P10/(1-Inputs!$F$43*Time!P34)</f>
        <v>609.6</v>
      </c>
      <c r="Q11" s="11" t="n">
        <f aca="false">Q10/(1-Inputs!$F$43*Time!Q34)</f>
        <v>654.9</v>
      </c>
      <c r="R11" s="11" t="n">
        <f aca="false">R10/(1-Inputs!$F$43*Time!R34)</f>
        <v>830.3</v>
      </c>
      <c r="S11" s="11" t="n">
        <f aca="false">S10/(1-Inputs!$F$43*Time!S34)</f>
        <v>1052.8</v>
      </c>
      <c r="T11" s="11" t="n">
        <f aca="false">T10/(1-Inputs!$F$43*Time!T34)</f>
        <v>1043.8</v>
      </c>
      <c r="U11" s="11" t="n">
        <f aca="false">U10/(1-Inputs!$F$43*Time!U34)</f>
        <v>1093.1</v>
      </c>
      <c r="V11" s="11" t="n">
        <f aca="false">V10/(1-Inputs!$F$43*Time!V34)</f>
        <v>1050.7</v>
      </c>
      <c r="W11" s="11" t="n">
        <f aca="false">W10/(1-Inputs!$F$43*Time!W34)</f>
        <v>1035.6</v>
      </c>
      <c r="X11" s="11" t="n">
        <f aca="false">X10/(1-Inputs!$F$43*Time!X34)</f>
        <v>1023.8</v>
      </c>
      <c r="Y11" s="11" t="n">
        <f aca="false">Y10/(1-Inputs!$F$43*Time!Y34)</f>
        <v>1028.9</v>
      </c>
      <c r="Z11" s="11" t="n">
        <f aca="false">Z10/(1-Inputs!$F$43*Time!Z34)</f>
        <v>1043.9</v>
      </c>
      <c r="AA11" s="11" t="n">
        <f aca="false">AA10/(1-Inputs!$F$43*Time!AA34)</f>
        <v>1072.58806090087</v>
      </c>
      <c r="AB11" s="11" t="n">
        <f aca="false">AB10/(1-Inputs!$F$43*Time!AB34)</f>
        <v>1102.06451612903</v>
      </c>
      <c r="AC11" s="11" t="n">
        <f aca="false">AC10/(1-Inputs!$F$43*Time!AC34)</f>
        <v>1127.09647453254</v>
      </c>
      <c r="AD11" s="11" t="n">
        <f aca="false">AD10/(1-Inputs!$F$43*Time!AD34)</f>
        <v>1152.69700122978</v>
      </c>
      <c r="AE11" s="11" t="n">
        <f aca="false">AE10/(1-Inputs!$F$43*Time!AE34)</f>
        <v>1178.87901050813</v>
      </c>
      <c r="AF11" s="11" t="n">
        <f aca="false">AF10/(1-Inputs!$F$43*Time!AF34)</f>
        <v>1205.65570998618</v>
      </c>
      <c r="AG11" s="11" t="n">
        <f aca="false">AG10/(1-Inputs!$F$43*Time!AG34)</f>
        <v>1233.04060727635</v>
      </c>
      <c r="AH11" s="11" t="n">
        <f aca="false">AH10/(1-Inputs!$F$43*Time!AH34)</f>
        <v>1261.04751679884</v>
      </c>
      <c r="AI11" s="11" t="n">
        <f aca="false">AI10/(1-Inputs!$F$43*Time!AI34)</f>
        <v>1289.69056675043</v>
      </c>
      <c r="AJ11" s="11" t="n">
        <f aca="false">AJ10/(1-Inputs!$F$43*Time!AJ34)</f>
        <v>1318.98420623144</v>
      </c>
      <c r="AK11" s="11" t="n">
        <f aca="false">AK10/(1-Inputs!$F$43*Time!AK34)</f>
        <v>1348.94321253467</v>
      </c>
      <c r="AL11" s="11" t="n">
        <f aca="false">AL10/(1-Inputs!$F$43*Time!AL34)</f>
        <v>1379.58269859984</v>
      </c>
      <c r="AM11" s="11" t="n">
        <f aca="false">AM10/(1-Inputs!$F$43*Time!AM34)</f>
        <v>1410.91812063743</v>
      </c>
      <c r="AN11" s="11" t="n">
        <f aca="false">AN10/(1-Inputs!$F$43*Time!AN34)</f>
        <v>1442.96528592555</v>
      </c>
      <c r="AO11" s="11" t="n">
        <f aca="false">AO10/(1-Inputs!$F$43*Time!AO34)</f>
        <v>1475.74036078402</v>
      </c>
      <c r="AP11" s="11" t="n">
        <f aca="false">AP10/(1-Inputs!$F$43*Time!AP34)</f>
        <v>1509.25987872956</v>
      </c>
      <c r="AQ11" s="11" t="n">
        <f aca="false">AQ10/(1-Inputs!$F$43*Time!AQ34)</f>
        <v>1543.54074881613</v>
      </c>
      <c r="AR11" s="11" t="n">
        <f aca="false">AR10/(1-Inputs!$F$43*Time!AR34)</f>
        <v>1578.60026416483</v>
      </c>
      <c r="AS11" s="11" t="n">
        <f aca="false">AS10/(1-Inputs!$F$43*Time!AS34)</f>
        <v>1614.45611068745</v>
      </c>
      <c r="AT11" s="11" t="n">
        <f aca="false">AT10/(1-Inputs!$F$43*Time!AT34)</f>
        <v>1651.12637600818</v>
      </c>
      <c r="AU11" s="11" t="n">
        <f aca="false">AU10/(1-Inputs!$F$43*Time!AU34)</f>
        <v>1688.62955858805</v>
      </c>
      <c r="AV11" s="11" t="n">
        <f aca="false">AV10/(1-Inputs!$F$43*Time!AV34)</f>
        <v>1726.98457705646</v>
      </c>
      <c r="AW11" s="11" t="n">
        <f aca="false">AW10/(1-Inputs!$F$43*Time!AW34)</f>
        <v>1766.21077975485</v>
      </c>
      <c r="AX11" s="11" t="n">
        <f aca="false">AX10/(1-Inputs!$F$43*Time!AX34)</f>
        <v>1806.32795449698</v>
      </c>
      <c r="AY11" s="11" t="n">
        <f aca="false">AY10/(1-Inputs!$F$43*Time!AY34)</f>
        <v>1847.35633855102</v>
      </c>
      <c r="AZ11" s="11" t="n">
        <f aca="false">AZ10/(1-Inputs!$F$43*Time!AZ34)</f>
        <v>1889.31662884826</v>
      </c>
      <c r="BA11" s="11" t="n">
        <f aca="false">BA10/(1-Inputs!$F$43*Time!BA34)</f>
        <v>1932.22999242384</v>
      </c>
      <c r="BB11" s="11" t="n">
        <f aca="false">BB10/(1-Inputs!$F$43*Time!BB34)</f>
        <v>1976.11807709447</v>
      </c>
      <c r="BC11" s="11" t="n">
        <f aca="false">BC10/(1-Inputs!$F$43*Time!BC34)</f>
        <v>2021.0030223788</v>
      </c>
      <c r="BD11" s="11" t="n">
        <f aca="false">BD10/(1-Inputs!$F$43*Time!BD34)</f>
        <v>2066.90747066577</v>
      </c>
      <c r="BE11" s="11" t="n">
        <f aca="false">BE10/(1-Inputs!$F$43*Time!BE34)</f>
        <v>2113.85457863667</v>
      </c>
      <c r="BF11" s="11" t="n">
        <f aca="false">BF10/(1-Inputs!$F$43*Time!BF34)</f>
        <v>2161.8680289466</v>
      </c>
      <c r="BG11" s="11" t="n">
        <f aca="false">BG10/(1-Inputs!$F$43*Time!BG34)</f>
        <v>2210.9720421713</v>
      </c>
      <c r="BH11" s="11" t="n">
        <f aca="false">BH10/(1-Inputs!$F$43*Time!BH34)</f>
        <v>2261.19138902528</v>
      </c>
      <c r="BI11" s="11" t="n">
        <f aca="false">BI10/(1-Inputs!$F$43*Time!BI34)</f>
        <v>2312.55140285756</v>
      </c>
      <c r="BJ11" s="11" t="n">
        <f aca="false">BJ10/(1-Inputs!$F$43*Time!BJ34)</f>
        <v>2365.07799243114</v>
      </c>
      <c r="BK11" s="11" t="n">
        <f aca="false">BK10/(1-Inputs!$F$43*Time!BK34)</f>
        <v>2418.79765499276</v>
      </c>
      <c r="BL11" s="11" t="n">
        <f aca="false">BL10/(1-Inputs!$F$43*Time!BL34)</f>
        <v>2473.73748963961</v>
      </c>
      <c r="BM11" s="11" t="n">
        <f aca="false">BM10/(1-Inputs!$F$43*Time!BM34)</f>
        <v>2529.9252109895</v>
      </c>
      <c r="BN11" s="11" t="n">
        <f aca="false">BN10/(1-Inputs!$F$43*Time!BN34)</f>
        <v>2587.38916316166</v>
      </c>
    </row>
    <row r="12" customFormat="false" ht="15" hidden="false" customHeight="false" outlineLevel="0" collapsed="false">
      <c r="D12" s="0" t="s">
        <v>463</v>
      </c>
      <c r="E12" s="0" t="s">
        <v>103</v>
      </c>
      <c r="J12" s="11" t="n">
        <f aca="false">CHOOSE(Inputs!$F$33,INDEX(Inputs!$J$207:$AR$207,1,(Time!J21-0)-2014),INDEX(Inputs!$J$209:$AR$209,1,(Time!J21-0)-2014),INDEX(Inputs!$J$211:$AR$211,1,(Time!J21-0)-2014))</f>
        <v>2.4</v>
      </c>
      <c r="K12" s="11" t="n">
        <f aca="false">CHOOSE(Inputs!$F$33,INDEX(Inputs!$J$207:$AR$207,1,(Time!K21-0)-2014),INDEX(Inputs!$J$209:$AR$209,1,(Time!K21-0)-2014),INDEX(Inputs!$J$211:$AR$211,1,(Time!K21-0)-2014))</f>
        <v>1.8</v>
      </c>
      <c r="L12" s="11" t="n">
        <f aca="false">CHOOSE(Inputs!$F$33,INDEX(Inputs!$J$207:$AR$207,1,(Time!L21-0)-2014),INDEX(Inputs!$J$209:$AR$209,1,(Time!L21-0)-2014),INDEX(Inputs!$J$211:$AR$211,1,(Time!L21-0)-2014))</f>
        <v>1.8</v>
      </c>
      <c r="M12" s="11" t="n">
        <f aca="false">CHOOSE(Inputs!$F$33,INDEX(Inputs!$J$207:$AR$207,1,(Time!M21-0)-2014),INDEX(Inputs!$J$209:$AR$209,1,(Time!M21-0)-2014),INDEX(Inputs!$J$211:$AR$211,1,(Time!M21-0)-2014))</f>
        <v>1.2</v>
      </c>
      <c r="N12" s="11" t="n">
        <f aca="false">CHOOSE(Inputs!$F$33,INDEX(Inputs!$J$207:$AR$207,1,(Time!N21-0)-2014),INDEX(Inputs!$J$209:$AR$209,1,(Time!N21-0)-2014),INDEX(Inputs!$J$211:$AR$211,1,(Time!N21-0)-2014))</f>
        <v>1.2</v>
      </c>
      <c r="O12" s="11" t="n">
        <f aca="false">CHOOSE(Inputs!$F$33,INDEX(Inputs!$J$207:$AR$207,1,(Time!O21-0)-2014),INDEX(Inputs!$J$209:$AR$209,1,(Time!O21-0)-2014),INDEX(Inputs!$J$211:$AR$211,1,(Time!O21-0)-2014))</f>
        <v>4.7</v>
      </c>
      <c r="P12" s="11" t="n">
        <f aca="false">CHOOSE(Inputs!$F$33,INDEX(Inputs!$J$207:$AR$207,1,(Time!P21-0)-2014),INDEX(Inputs!$J$209:$AR$209,1,(Time!P21-0)-2014),INDEX(Inputs!$J$211:$AR$211,1,(Time!P21-0)-2014))</f>
        <v>4.7</v>
      </c>
      <c r="Q12" s="11" t="n">
        <f aca="false">CHOOSE(Inputs!$F$33,INDEX(Inputs!$J$207:$AR$207,1,(Time!Q21-0)-2014),INDEX(Inputs!$J$209:$AR$209,1,(Time!Q21-0)-2014),INDEX(Inputs!$J$211:$AR$211,1,(Time!Q21-0)-2014))</f>
        <v>8</v>
      </c>
      <c r="R12" s="11" t="n">
        <f aca="false">CHOOSE(Inputs!$F$33,INDEX(Inputs!$J$207:$AR$207,1,(Time!R21-0)-2014),INDEX(Inputs!$J$209:$AR$209,1,(Time!R21-0)-2014),INDEX(Inputs!$J$211:$AR$211,1,(Time!R21-0)-2014))</f>
        <v>8</v>
      </c>
      <c r="S12" s="11" t="n">
        <f aca="false">CHOOSE(Inputs!$F$33,INDEX(Inputs!$J$207:$AR$207,1,(Time!S21-0)-2014),INDEX(Inputs!$J$209:$AR$209,1,(Time!S21-0)-2014),INDEX(Inputs!$J$211:$AR$211,1,(Time!S21-0)-2014))</f>
        <v>4.1</v>
      </c>
      <c r="T12" s="11" t="n">
        <f aca="false">CHOOSE(Inputs!$F$33,INDEX(Inputs!$J$207:$AR$207,1,(Time!T21-0)-2014),INDEX(Inputs!$J$209:$AR$209,1,(Time!T21-0)-2014),INDEX(Inputs!$J$211:$AR$211,1,(Time!T21-0)-2014))</f>
        <v>4.1</v>
      </c>
      <c r="U12" s="11" t="n">
        <f aca="false">CHOOSE(Inputs!$F$33,INDEX(Inputs!$J$207:$AR$207,1,(Time!U21-0)-2014),INDEX(Inputs!$J$209:$AR$209,1,(Time!U21-0)-2014),INDEX(Inputs!$J$211:$AR$211,1,(Time!U21-0)-2014))</f>
        <v>2.9</v>
      </c>
      <c r="V12" s="11" t="n">
        <f aca="false">CHOOSE(Inputs!$F$33,INDEX(Inputs!$J$207:$AR$207,1,(Time!V21-0)-2014),INDEX(Inputs!$J$209:$AR$209,1,(Time!V21-0)-2014),INDEX(Inputs!$J$211:$AR$211,1,(Time!V21-0)-2014))</f>
        <v>2.9</v>
      </c>
      <c r="W12" s="11" t="n">
        <f aca="false">CHOOSE(Inputs!$F$33,INDEX(Inputs!$J$207:$AR$207,1,(Time!W21-0)-2014),INDEX(Inputs!$J$209:$AR$209,1,(Time!W21-0)-2014),INDEX(Inputs!$J$211:$AR$211,1,(Time!W21-0)-2014))</f>
        <v>2.7</v>
      </c>
      <c r="X12" s="11" t="n">
        <f aca="false">CHOOSE(Inputs!$F$33,INDEX(Inputs!$J$207:$AR$207,1,(Time!X21-0)-2014),INDEX(Inputs!$J$209:$AR$209,1,(Time!X21-0)-2014),INDEX(Inputs!$J$211:$AR$211,1,(Time!X21-0)-2014))</f>
        <v>2.7</v>
      </c>
      <c r="Y12" s="11" t="n">
        <f aca="false">CHOOSE(Inputs!$F$33,INDEX(Inputs!$J$207:$AR$207,1,(Time!Y21-0)-2014),INDEX(Inputs!$J$209:$AR$209,1,(Time!Y21-0)-2014),INDEX(Inputs!$J$211:$AR$211,1,(Time!Y21-0)-2014))</f>
        <v>2.6</v>
      </c>
      <c r="Z12" s="11" t="n">
        <f aca="false">CHOOSE(Inputs!$F$33,INDEX(Inputs!$J$207:$AR$207,1,(Time!Z21-0)-2014),INDEX(Inputs!$J$209:$AR$209,1,(Time!Z21-0)-2014),INDEX(Inputs!$J$211:$AR$211,1,(Time!Z21-0)-2014))</f>
        <v>2.6</v>
      </c>
      <c r="AA12" s="11" t="n">
        <f aca="false">CHOOSE(Inputs!$F$33,INDEX(Inputs!$J$207:$AR$207,1,(Time!AA21-0)-2014),INDEX(Inputs!$J$209:$AR$209,1,(Time!AA21-0)-2014),INDEX(Inputs!$J$211:$AR$211,1,(Time!AA21-0)-2014))</f>
        <v>2.3</v>
      </c>
      <c r="AB12" s="11" t="n">
        <f aca="false">CHOOSE(Inputs!$F$33,INDEX(Inputs!$J$207:$AR$207,1,(Time!AB21-0)-2014),INDEX(Inputs!$J$209:$AR$209,1,(Time!AB21-0)-2014),INDEX(Inputs!$J$211:$AR$211,1,(Time!AB21-0)-2014))</f>
        <v>2.3</v>
      </c>
      <c r="AC12" s="11" t="n">
        <f aca="false">CHOOSE(Inputs!$F$33,INDEX(Inputs!$J$207:$AR$207,1,(Time!AC21-0)-2014),INDEX(Inputs!$J$209:$AR$209,1,(Time!AC21-0)-2014),INDEX(Inputs!$J$211:$AR$211,1,(Time!AC21-0)-2014))</f>
        <v>2.3</v>
      </c>
      <c r="AD12" s="11" t="n">
        <f aca="false">CHOOSE(Inputs!$F$33,INDEX(Inputs!$J$207:$AR$207,1,(Time!AD21-0)-2014),INDEX(Inputs!$J$209:$AR$209,1,(Time!AD21-0)-2014),INDEX(Inputs!$J$211:$AR$211,1,(Time!AD21-0)-2014))</f>
        <v>2.3</v>
      </c>
      <c r="AE12" s="11" t="n">
        <f aca="false">CHOOSE(Inputs!$F$33,INDEX(Inputs!$J$207:$AR$207,1,(Time!AE21-0)-2014),INDEX(Inputs!$J$209:$AR$209,1,(Time!AE21-0)-2014),INDEX(Inputs!$J$211:$AR$211,1,(Time!AE21-0)-2014))</f>
        <v>2.3</v>
      </c>
      <c r="AF12" s="11" t="n">
        <f aca="false">CHOOSE(Inputs!$F$33,INDEX(Inputs!$J$207:$AR$207,1,(Time!AF21-0)-2014),INDEX(Inputs!$J$209:$AR$209,1,(Time!AF21-0)-2014),INDEX(Inputs!$J$211:$AR$211,1,(Time!AF21-0)-2014))</f>
        <v>2.3</v>
      </c>
      <c r="AG12" s="11" t="n">
        <f aca="false">CHOOSE(Inputs!$F$33,INDEX(Inputs!$J$207:$AR$207,1,(Time!AG21-0)-2014),INDEX(Inputs!$J$209:$AR$209,1,(Time!AG21-0)-2014),INDEX(Inputs!$J$211:$AR$211,1,(Time!AG21-0)-2014))</f>
        <v>2.3</v>
      </c>
      <c r="AH12" s="11" t="n">
        <f aca="false">CHOOSE(Inputs!$F$33,INDEX(Inputs!$J$207:$AR$207,1,(Time!AH21-0)-2014),INDEX(Inputs!$J$209:$AR$209,1,(Time!AH21-0)-2014),INDEX(Inputs!$J$211:$AR$211,1,(Time!AH21-0)-2014))</f>
        <v>2.3</v>
      </c>
      <c r="AI12" s="11" t="n">
        <f aca="false">CHOOSE(Inputs!$F$33,INDEX(Inputs!$J$207:$AR$207,1,(Time!AI21-0)-2014),INDEX(Inputs!$J$209:$AR$209,1,(Time!AI21-0)-2014),INDEX(Inputs!$J$211:$AR$211,1,(Time!AI21-0)-2014))</f>
        <v>2.3</v>
      </c>
      <c r="AJ12" s="11" t="n">
        <f aca="false">CHOOSE(Inputs!$F$33,INDEX(Inputs!$J$207:$AR$207,1,(Time!AJ21-0)-2014),INDEX(Inputs!$J$209:$AR$209,1,(Time!AJ21-0)-2014),INDEX(Inputs!$J$211:$AR$211,1,(Time!AJ21-0)-2014))</f>
        <v>2.3</v>
      </c>
      <c r="AK12" s="11" t="n">
        <f aca="false">CHOOSE(Inputs!$F$33,INDEX(Inputs!$J$207:$AR$207,1,(Time!AK21-0)-2014),INDEX(Inputs!$J$209:$AR$209,1,(Time!AK21-0)-2014),INDEX(Inputs!$J$211:$AR$211,1,(Time!AK21-0)-2014))</f>
        <v>2.3</v>
      </c>
      <c r="AL12" s="11" t="n">
        <f aca="false">CHOOSE(Inputs!$F$33,INDEX(Inputs!$J$207:$AR$207,1,(Time!AL21-0)-2014),INDEX(Inputs!$J$209:$AR$209,1,(Time!AL21-0)-2014),INDEX(Inputs!$J$211:$AR$211,1,(Time!AL21-0)-2014))</f>
        <v>2.3</v>
      </c>
      <c r="AM12" s="11" t="n">
        <f aca="false">CHOOSE(Inputs!$F$33,INDEX(Inputs!$J$207:$AR$207,1,(Time!AM21-0)-2014),INDEX(Inputs!$J$209:$AR$209,1,(Time!AM21-0)-2014),INDEX(Inputs!$J$211:$AR$211,1,(Time!AM21-0)-2014))</f>
        <v>2.3</v>
      </c>
      <c r="AN12" s="11" t="n">
        <f aca="false">CHOOSE(Inputs!$F$33,INDEX(Inputs!$J$207:$AR$207,1,(Time!AN21-0)-2014),INDEX(Inputs!$J$209:$AR$209,1,(Time!AN21-0)-2014),INDEX(Inputs!$J$211:$AR$211,1,(Time!AN21-0)-2014))</f>
        <v>2.3</v>
      </c>
      <c r="AO12" s="11" t="n">
        <f aca="false">CHOOSE(Inputs!$F$33,INDEX(Inputs!$J$207:$AR$207,1,(Time!AO21-0)-2014),INDEX(Inputs!$J$209:$AR$209,1,(Time!AO21-0)-2014),INDEX(Inputs!$J$211:$AR$211,1,(Time!AO21-0)-2014))</f>
        <v>2.3</v>
      </c>
      <c r="AP12" s="11" t="n">
        <f aca="false">CHOOSE(Inputs!$F$33,INDEX(Inputs!$J$207:$AR$207,1,(Time!AP21-0)-2014),INDEX(Inputs!$J$209:$AR$209,1,(Time!AP21-0)-2014),INDEX(Inputs!$J$211:$AR$211,1,(Time!AP21-0)-2014))</f>
        <v>2.3</v>
      </c>
      <c r="AQ12" s="11" t="n">
        <f aca="false">CHOOSE(Inputs!$F$33,INDEX(Inputs!$J$207:$AR$207,1,(Time!AQ21-0)-2014),INDEX(Inputs!$J$209:$AR$209,1,(Time!AQ21-0)-2014),INDEX(Inputs!$J$211:$AR$211,1,(Time!AQ21-0)-2014))</f>
        <v>2.3</v>
      </c>
      <c r="AR12" s="11" t="n">
        <f aca="false">CHOOSE(Inputs!$F$33,INDEX(Inputs!$J$207:$AR$207,1,(Time!AR21-0)-2014),INDEX(Inputs!$J$209:$AR$209,1,(Time!AR21-0)-2014),INDEX(Inputs!$J$211:$AR$211,1,(Time!AR21-0)-2014))</f>
        <v>2.3</v>
      </c>
      <c r="AS12" s="11" t="n">
        <f aca="false">CHOOSE(Inputs!$F$33,INDEX(Inputs!$J$207:$AR$207,1,(Time!AS21-0)-2014),INDEX(Inputs!$J$209:$AR$209,1,(Time!AS21-0)-2014),INDEX(Inputs!$J$211:$AR$211,1,(Time!AS21-0)-2014))</f>
        <v>2.3</v>
      </c>
      <c r="AT12" s="11" t="n">
        <f aca="false">CHOOSE(Inputs!$F$33,INDEX(Inputs!$J$207:$AR$207,1,(Time!AT21-0)-2014),INDEX(Inputs!$J$209:$AR$209,1,(Time!AT21-0)-2014),INDEX(Inputs!$J$211:$AR$211,1,(Time!AT21-0)-2014))</f>
        <v>2.3</v>
      </c>
      <c r="AU12" s="11" t="n">
        <f aca="false">CHOOSE(Inputs!$F$33,INDEX(Inputs!$J$207:$AR$207,1,(Time!AU21-0)-2014),INDEX(Inputs!$J$209:$AR$209,1,(Time!AU21-0)-2014),INDEX(Inputs!$J$211:$AR$211,1,(Time!AU21-0)-2014))</f>
        <v>2.3</v>
      </c>
      <c r="AV12" s="11" t="n">
        <f aca="false">CHOOSE(Inputs!$F$33,INDEX(Inputs!$J$207:$AR$207,1,(Time!AV21-0)-2014),INDEX(Inputs!$J$209:$AR$209,1,(Time!AV21-0)-2014),INDEX(Inputs!$J$211:$AR$211,1,(Time!AV21-0)-2014))</f>
        <v>2.3</v>
      </c>
      <c r="AW12" s="11" t="n">
        <f aca="false">CHOOSE(Inputs!$F$33,INDEX(Inputs!$J$207:$AR$207,1,(Time!AW21-0)-2014),INDEX(Inputs!$J$209:$AR$209,1,(Time!AW21-0)-2014),INDEX(Inputs!$J$211:$AR$211,1,(Time!AW21-0)-2014))</f>
        <v>2.3</v>
      </c>
      <c r="AX12" s="11" t="n">
        <f aca="false">CHOOSE(Inputs!$F$33,INDEX(Inputs!$J$207:$AR$207,1,(Time!AX21-0)-2014),INDEX(Inputs!$J$209:$AR$209,1,(Time!AX21-0)-2014),INDEX(Inputs!$J$211:$AR$211,1,(Time!AX21-0)-2014))</f>
        <v>2.3</v>
      </c>
      <c r="AY12" s="11" t="n">
        <f aca="false">CHOOSE(Inputs!$F$33,INDEX(Inputs!$J$207:$AR$207,1,(Time!AY21-0)-2014),INDEX(Inputs!$J$209:$AR$209,1,(Time!AY21-0)-2014),INDEX(Inputs!$J$211:$AR$211,1,(Time!AY21-0)-2014))</f>
        <v>2.3</v>
      </c>
      <c r="AZ12" s="11" t="n">
        <f aca="false">CHOOSE(Inputs!$F$33,INDEX(Inputs!$J$207:$AR$207,1,(Time!AZ21-0)-2014),INDEX(Inputs!$J$209:$AR$209,1,(Time!AZ21-0)-2014),INDEX(Inputs!$J$211:$AR$211,1,(Time!AZ21-0)-2014))</f>
        <v>2.3</v>
      </c>
      <c r="BA12" s="11" t="n">
        <f aca="false">CHOOSE(Inputs!$F$33,INDEX(Inputs!$J$207:$AR$207,1,(Time!BA21-0)-2014),INDEX(Inputs!$J$209:$AR$209,1,(Time!BA21-0)-2014),INDEX(Inputs!$J$211:$AR$211,1,(Time!BA21-0)-2014))</f>
        <v>2.3</v>
      </c>
      <c r="BB12" s="11" t="n">
        <f aca="false">CHOOSE(Inputs!$F$33,INDEX(Inputs!$J$207:$AR$207,1,(Time!BB21-0)-2014),INDEX(Inputs!$J$209:$AR$209,1,(Time!BB21-0)-2014),INDEX(Inputs!$J$211:$AR$211,1,(Time!BB21-0)-2014))</f>
        <v>2.3</v>
      </c>
      <c r="BC12" s="11" t="n">
        <f aca="false">CHOOSE(Inputs!$F$33,INDEX(Inputs!$J$207:$AR$207,1,(Time!BC21-0)-2014),INDEX(Inputs!$J$209:$AR$209,1,(Time!BC21-0)-2014),INDEX(Inputs!$J$211:$AR$211,1,(Time!BC21-0)-2014))</f>
        <v>2.3</v>
      </c>
      <c r="BD12" s="11" t="n">
        <f aca="false">CHOOSE(Inputs!$F$33,INDEX(Inputs!$J$207:$AR$207,1,(Time!BD21-0)-2014),INDEX(Inputs!$J$209:$AR$209,1,(Time!BD21-0)-2014),INDEX(Inputs!$J$211:$AR$211,1,(Time!BD21-0)-2014))</f>
        <v>2.3</v>
      </c>
      <c r="BE12" s="11" t="n">
        <f aca="false">CHOOSE(Inputs!$F$33,INDEX(Inputs!$J$207:$AR$207,1,(Time!BE21-0)-2014),INDEX(Inputs!$J$209:$AR$209,1,(Time!BE21-0)-2014),INDEX(Inputs!$J$211:$AR$211,1,(Time!BE21-0)-2014))</f>
        <v>2.3</v>
      </c>
      <c r="BF12" s="11" t="n">
        <f aca="false">CHOOSE(Inputs!$F$33,INDEX(Inputs!$J$207:$AR$207,1,(Time!BF21-0)-2014),INDEX(Inputs!$J$209:$AR$209,1,(Time!BF21-0)-2014),INDEX(Inputs!$J$211:$AR$211,1,(Time!BF21-0)-2014))</f>
        <v>2.3</v>
      </c>
      <c r="BG12" s="11" t="n">
        <f aca="false">CHOOSE(Inputs!$F$33,INDEX(Inputs!$J$207:$AR$207,1,(Time!BG21-0)-2014),INDEX(Inputs!$J$209:$AR$209,1,(Time!BG21-0)-2014),INDEX(Inputs!$J$211:$AR$211,1,(Time!BG21-0)-2014))</f>
        <v>2.3</v>
      </c>
      <c r="BH12" s="11" t="n">
        <f aca="false">CHOOSE(Inputs!$F$33,INDEX(Inputs!$J$207:$AR$207,1,(Time!BH21-0)-2014),INDEX(Inputs!$J$209:$AR$209,1,(Time!BH21-0)-2014),INDEX(Inputs!$J$211:$AR$211,1,(Time!BH21-0)-2014))</f>
        <v>2.3</v>
      </c>
      <c r="BI12" s="11" t="n">
        <f aca="false">CHOOSE(Inputs!$F$33,INDEX(Inputs!$J$207:$AR$207,1,(Time!BI21-0)-2014),INDEX(Inputs!$J$209:$AR$209,1,(Time!BI21-0)-2014),INDEX(Inputs!$J$211:$AR$211,1,(Time!BI21-0)-2014))</f>
        <v>2.3</v>
      </c>
      <c r="BJ12" s="11" t="n">
        <f aca="false">CHOOSE(Inputs!$F$33,INDEX(Inputs!$J$207:$AR$207,1,(Time!BJ21-0)-2014),INDEX(Inputs!$J$209:$AR$209,1,(Time!BJ21-0)-2014),INDEX(Inputs!$J$211:$AR$211,1,(Time!BJ21-0)-2014))</f>
        <v>2.3</v>
      </c>
      <c r="BK12" s="11" t="n">
        <f aca="false">CHOOSE(Inputs!$F$33,INDEX(Inputs!$J$207:$AR$207,1,(Time!BK21-0)-2014),INDEX(Inputs!$J$209:$AR$209,1,(Time!BK21-0)-2014),INDEX(Inputs!$J$211:$AR$211,1,(Time!BK21-0)-2014))</f>
        <v>2.3</v>
      </c>
      <c r="BL12" s="11" t="n">
        <f aca="false">CHOOSE(Inputs!$F$33,INDEX(Inputs!$J$207:$AR$207,1,(Time!BL21-0)-2014),INDEX(Inputs!$J$209:$AR$209,1,(Time!BL21-0)-2014),INDEX(Inputs!$J$211:$AR$211,1,(Time!BL21-0)-2014))</f>
        <v>2.3</v>
      </c>
      <c r="BM12" s="11" t="n">
        <f aca="false">CHOOSE(Inputs!$F$33,INDEX(Inputs!$J$207:$AR$207,1,(Time!BM21-0)-2014),INDEX(Inputs!$J$209:$AR$209,1,(Time!BM21-0)-2014),INDEX(Inputs!$J$211:$AR$211,1,(Time!BM21-0)-2014))</f>
        <v>2.3</v>
      </c>
      <c r="BN12" s="11" t="n">
        <f aca="false">CHOOSE(Inputs!$F$33,INDEX(Inputs!$J$207:$AR$207,1,(Time!BN21-0)-2014),INDEX(Inputs!$J$209:$AR$209,1,(Time!BN21-0)-2014),INDEX(Inputs!$J$211:$AR$211,1,(Time!BN21-0)-2014))</f>
        <v>2.3</v>
      </c>
    </row>
    <row r="13" customFormat="false" ht="15" hidden="false" customHeight="false" outlineLevel="0" collapsed="false">
      <c r="D13" s="0" t="s">
        <v>464</v>
      </c>
      <c r="E13" s="0" t="s">
        <v>103</v>
      </c>
      <c r="J13" s="11" t="n">
        <f aca="false">CHOOSE(Inputs!$F$33,INDEX(Inputs!$J$208:$AR$208,1,(Time!J21-0)-2014),INDEX(Inputs!$J$210:$AR$210,1,(Time!J21-0)-2014),INDEX(Inputs!$J$212:$AR$212,1,(Time!J21-0)-2014))</f>
        <v>7.6</v>
      </c>
      <c r="K13" s="11" t="n">
        <f aca="false">CHOOSE(Inputs!$F$33,INDEX(Inputs!$J$208:$AR$208,1,(Time!K21-0)-2014),INDEX(Inputs!$J$210:$AR$210,1,(Time!K21-0)-2014),INDEX(Inputs!$J$212:$AR$212,1,(Time!K21-0)-2014))</f>
        <v>7.9</v>
      </c>
      <c r="L13" s="11" t="n">
        <f aca="false">CHOOSE(Inputs!$F$33,INDEX(Inputs!$J$208:$AR$208,1,(Time!L21-0)-2014),INDEX(Inputs!$J$210:$AR$210,1,(Time!L21-0)-2014),INDEX(Inputs!$J$212:$AR$212,1,(Time!L21-0)-2014))</f>
        <v>7.9</v>
      </c>
      <c r="M13" s="11" t="n">
        <f aca="false">CHOOSE(Inputs!$F$33,INDEX(Inputs!$J$208:$AR$208,1,(Time!M21-0)-2014),INDEX(Inputs!$J$210:$AR$210,1,(Time!M21-0)-2014),INDEX(Inputs!$J$212:$AR$212,1,(Time!M21-0)-2014))</f>
        <v>9.8</v>
      </c>
      <c r="N13" s="11" t="n">
        <f aca="false">CHOOSE(Inputs!$F$33,INDEX(Inputs!$J$208:$AR$208,1,(Time!N21-0)-2014),INDEX(Inputs!$J$210:$AR$210,1,(Time!N21-0)-2014),INDEX(Inputs!$J$212:$AR$212,1,(Time!N21-0)-2014))</f>
        <v>9.8</v>
      </c>
      <c r="O13" s="11" t="n">
        <f aca="false">CHOOSE(Inputs!$F$33,INDEX(Inputs!$J$208:$AR$208,1,(Time!O21-0)-2014),INDEX(Inputs!$J$210:$AR$210,1,(Time!O21-0)-2014),INDEX(Inputs!$J$212:$AR$212,1,(Time!O21-0)-2014))</f>
        <v>10.6</v>
      </c>
      <c r="P13" s="11" t="n">
        <f aca="false">CHOOSE(Inputs!$F$33,INDEX(Inputs!$J$208:$AR$208,1,(Time!P21-0)-2014),INDEX(Inputs!$J$210:$AR$210,1,(Time!P21-0)-2014),INDEX(Inputs!$J$212:$AR$212,1,(Time!P21-0)-2014))</f>
        <v>10.6</v>
      </c>
      <c r="Q13" s="11" t="n">
        <f aca="false">CHOOSE(Inputs!$F$33,INDEX(Inputs!$J$208:$AR$208,1,(Time!Q21-0)-2014),INDEX(Inputs!$J$210:$AR$210,1,(Time!Q21-0)-2014),INDEX(Inputs!$J$212:$AR$212,1,(Time!Q21-0)-2014))</f>
        <v>26.3</v>
      </c>
      <c r="R13" s="11" t="n">
        <f aca="false">CHOOSE(Inputs!$F$33,INDEX(Inputs!$J$208:$AR$208,1,(Time!R21-0)-2014),INDEX(Inputs!$J$210:$AR$210,1,(Time!R21-0)-2014),INDEX(Inputs!$J$212:$AR$212,1,(Time!R21-0)-2014))</f>
        <v>26.3</v>
      </c>
      <c r="S13" s="11" t="n">
        <f aca="false">CHOOSE(Inputs!$F$33,INDEX(Inputs!$J$208:$AR$208,1,(Time!S21-0)-2014),INDEX(Inputs!$J$210:$AR$210,1,(Time!S21-0)-2014),INDEX(Inputs!$J$212:$AR$212,1,(Time!S21-0)-2014))</f>
        <v>34.8</v>
      </c>
      <c r="T13" s="11" t="n">
        <f aca="false">CHOOSE(Inputs!$F$33,INDEX(Inputs!$J$208:$AR$208,1,(Time!T21-0)-2014),INDEX(Inputs!$J$210:$AR$210,1,(Time!T21-0)-2014),INDEX(Inputs!$J$212:$AR$212,1,(Time!T21-0)-2014))</f>
        <v>34.8</v>
      </c>
      <c r="U13" s="11" t="n">
        <f aca="false">CHOOSE(Inputs!$F$33,INDEX(Inputs!$J$208:$AR$208,1,(Time!U21-0)-2014),INDEX(Inputs!$J$210:$AR$210,1,(Time!U21-0)-2014),INDEX(Inputs!$J$212:$AR$212,1,(Time!U21-0)-2014))</f>
        <v>19.2</v>
      </c>
      <c r="V13" s="11" t="n">
        <f aca="false">CHOOSE(Inputs!$F$33,INDEX(Inputs!$J$208:$AR$208,1,(Time!V21-0)-2014),INDEX(Inputs!$J$210:$AR$210,1,(Time!V21-0)-2014),INDEX(Inputs!$J$212:$AR$212,1,(Time!V21-0)-2014))</f>
        <v>19.2</v>
      </c>
      <c r="W13" s="11" t="n">
        <f aca="false">CHOOSE(Inputs!$F$33,INDEX(Inputs!$J$208:$AR$208,1,(Time!W21-0)-2014),INDEX(Inputs!$J$210:$AR$210,1,(Time!W21-0)-2014),INDEX(Inputs!$J$212:$AR$212,1,(Time!W21-0)-2014))</f>
        <v>12.4</v>
      </c>
      <c r="X13" s="11" t="n">
        <f aca="false">CHOOSE(Inputs!$F$33,INDEX(Inputs!$J$208:$AR$208,1,(Time!X21-0)-2014),INDEX(Inputs!$J$210:$AR$210,1,(Time!X21-0)-2014),INDEX(Inputs!$J$212:$AR$212,1,(Time!X21-0)-2014))</f>
        <v>12.4</v>
      </c>
      <c r="Y13" s="11" t="n">
        <f aca="false">CHOOSE(Inputs!$F$33,INDEX(Inputs!$J$208:$AR$208,1,(Time!Y21-0)-2014),INDEX(Inputs!$J$210:$AR$210,1,(Time!Y21-0)-2014),INDEX(Inputs!$J$212:$AR$212,1,(Time!Y21-0)-2014))</f>
        <v>9.6</v>
      </c>
      <c r="Z13" s="11" t="n">
        <f aca="false">CHOOSE(Inputs!$F$33,INDEX(Inputs!$J$208:$AR$208,1,(Time!Z21-0)-2014),INDEX(Inputs!$J$210:$AR$210,1,(Time!Z21-0)-2014),INDEX(Inputs!$J$212:$AR$212,1,(Time!Z21-0)-2014))</f>
        <v>9.6</v>
      </c>
      <c r="AA13" s="11" t="n">
        <f aca="false">CHOOSE(Inputs!$F$33,INDEX(Inputs!$J$208:$AR$208,1,(Time!AA21-0)-2014),INDEX(Inputs!$J$210:$AR$210,1,(Time!AA21-0)-2014),INDEX(Inputs!$J$212:$AR$212,1,(Time!AA21-0)-2014))</f>
        <v>8</v>
      </c>
      <c r="AB13" s="11" t="n">
        <f aca="false">CHOOSE(Inputs!$F$33,INDEX(Inputs!$J$208:$AR$208,1,(Time!AB21-0)-2014),INDEX(Inputs!$J$210:$AR$210,1,(Time!AB21-0)-2014),INDEX(Inputs!$J$212:$AR$212,1,(Time!AB21-0)-2014))</f>
        <v>8</v>
      </c>
      <c r="AC13" s="11" t="n">
        <f aca="false">CHOOSE(Inputs!$F$33,INDEX(Inputs!$J$208:$AR$208,1,(Time!AC21-0)-2014),INDEX(Inputs!$J$210:$AR$210,1,(Time!AC21-0)-2014),INDEX(Inputs!$J$212:$AR$212,1,(Time!AC21-0)-2014))</f>
        <v>7</v>
      </c>
      <c r="AD13" s="11" t="n">
        <f aca="false">CHOOSE(Inputs!$F$33,INDEX(Inputs!$J$208:$AR$208,1,(Time!AD21-0)-2014),INDEX(Inputs!$J$210:$AR$210,1,(Time!AD21-0)-2014),INDEX(Inputs!$J$212:$AR$212,1,(Time!AD21-0)-2014))</f>
        <v>7</v>
      </c>
      <c r="AE13" s="11" t="n">
        <f aca="false">CHOOSE(Inputs!$F$33,INDEX(Inputs!$J$208:$AR$208,1,(Time!AE21-0)-2014),INDEX(Inputs!$J$210:$AR$210,1,(Time!AE21-0)-2014),INDEX(Inputs!$J$212:$AR$212,1,(Time!AE21-0)-2014))</f>
        <v>7</v>
      </c>
      <c r="AF13" s="11" t="n">
        <f aca="false">CHOOSE(Inputs!$F$33,INDEX(Inputs!$J$208:$AR$208,1,(Time!AF21-0)-2014),INDEX(Inputs!$J$210:$AR$210,1,(Time!AF21-0)-2014),INDEX(Inputs!$J$212:$AR$212,1,(Time!AF21-0)-2014))</f>
        <v>7</v>
      </c>
      <c r="AG13" s="11" t="n">
        <f aca="false">CHOOSE(Inputs!$F$33,INDEX(Inputs!$J$208:$AR$208,1,(Time!AG21-0)-2014),INDEX(Inputs!$J$210:$AR$210,1,(Time!AG21-0)-2014),INDEX(Inputs!$J$212:$AR$212,1,(Time!AG21-0)-2014))</f>
        <v>7</v>
      </c>
      <c r="AH13" s="11" t="n">
        <f aca="false">CHOOSE(Inputs!$F$33,INDEX(Inputs!$J$208:$AR$208,1,(Time!AH21-0)-2014),INDEX(Inputs!$J$210:$AR$210,1,(Time!AH21-0)-2014),INDEX(Inputs!$J$212:$AR$212,1,(Time!AH21-0)-2014))</f>
        <v>7</v>
      </c>
      <c r="AI13" s="11" t="n">
        <f aca="false">CHOOSE(Inputs!$F$33,INDEX(Inputs!$J$208:$AR$208,1,(Time!AI21-0)-2014),INDEX(Inputs!$J$210:$AR$210,1,(Time!AI21-0)-2014),INDEX(Inputs!$J$212:$AR$212,1,(Time!AI21-0)-2014))</f>
        <v>7</v>
      </c>
      <c r="AJ13" s="11" t="n">
        <f aca="false">CHOOSE(Inputs!$F$33,INDEX(Inputs!$J$208:$AR$208,1,(Time!AJ21-0)-2014),INDEX(Inputs!$J$210:$AR$210,1,(Time!AJ21-0)-2014),INDEX(Inputs!$J$212:$AR$212,1,(Time!AJ21-0)-2014))</f>
        <v>7</v>
      </c>
      <c r="AK13" s="11" t="n">
        <f aca="false">CHOOSE(Inputs!$F$33,INDEX(Inputs!$J$208:$AR$208,1,(Time!AK21-0)-2014),INDEX(Inputs!$J$210:$AR$210,1,(Time!AK21-0)-2014),INDEX(Inputs!$J$212:$AR$212,1,(Time!AK21-0)-2014))</f>
        <v>7</v>
      </c>
      <c r="AL13" s="11" t="n">
        <f aca="false">CHOOSE(Inputs!$F$33,INDEX(Inputs!$J$208:$AR$208,1,(Time!AL21-0)-2014),INDEX(Inputs!$J$210:$AR$210,1,(Time!AL21-0)-2014),INDEX(Inputs!$J$212:$AR$212,1,(Time!AL21-0)-2014))</f>
        <v>7</v>
      </c>
      <c r="AM13" s="11" t="n">
        <f aca="false">CHOOSE(Inputs!$F$33,INDEX(Inputs!$J$208:$AR$208,1,(Time!AM21-0)-2014),INDEX(Inputs!$J$210:$AR$210,1,(Time!AM21-0)-2014),INDEX(Inputs!$J$212:$AR$212,1,(Time!AM21-0)-2014))</f>
        <v>7</v>
      </c>
      <c r="AN13" s="11" t="n">
        <f aca="false">CHOOSE(Inputs!$F$33,INDEX(Inputs!$J$208:$AR$208,1,(Time!AN21-0)-2014),INDEX(Inputs!$J$210:$AR$210,1,(Time!AN21-0)-2014),INDEX(Inputs!$J$212:$AR$212,1,(Time!AN21-0)-2014))</f>
        <v>7</v>
      </c>
      <c r="AO13" s="11" t="n">
        <f aca="false">CHOOSE(Inputs!$F$33,INDEX(Inputs!$J$208:$AR$208,1,(Time!AO21-0)-2014),INDEX(Inputs!$J$210:$AR$210,1,(Time!AO21-0)-2014),INDEX(Inputs!$J$212:$AR$212,1,(Time!AO21-0)-2014))</f>
        <v>7</v>
      </c>
      <c r="AP13" s="11" t="n">
        <f aca="false">CHOOSE(Inputs!$F$33,INDEX(Inputs!$J$208:$AR$208,1,(Time!AP21-0)-2014),INDEX(Inputs!$J$210:$AR$210,1,(Time!AP21-0)-2014),INDEX(Inputs!$J$212:$AR$212,1,(Time!AP21-0)-2014))</f>
        <v>7</v>
      </c>
      <c r="AQ13" s="11" t="n">
        <f aca="false">CHOOSE(Inputs!$F$33,INDEX(Inputs!$J$208:$AR$208,1,(Time!AQ21-0)-2014),INDEX(Inputs!$J$210:$AR$210,1,(Time!AQ21-0)-2014),INDEX(Inputs!$J$212:$AR$212,1,(Time!AQ21-0)-2014))</f>
        <v>7</v>
      </c>
      <c r="AR13" s="11" t="n">
        <f aca="false">CHOOSE(Inputs!$F$33,INDEX(Inputs!$J$208:$AR$208,1,(Time!AR21-0)-2014),INDEX(Inputs!$J$210:$AR$210,1,(Time!AR21-0)-2014),INDEX(Inputs!$J$212:$AR$212,1,(Time!AR21-0)-2014))</f>
        <v>7</v>
      </c>
      <c r="AS13" s="11" t="n">
        <f aca="false">CHOOSE(Inputs!$F$33,INDEX(Inputs!$J$208:$AR$208,1,(Time!AS21-0)-2014),INDEX(Inputs!$J$210:$AR$210,1,(Time!AS21-0)-2014),INDEX(Inputs!$J$212:$AR$212,1,(Time!AS21-0)-2014))</f>
        <v>7</v>
      </c>
      <c r="AT13" s="11" t="n">
        <f aca="false">CHOOSE(Inputs!$F$33,INDEX(Inputs!$J$208:$AR$208,1,(Time!AT21-0)-2014),INDEX(Inputs!$J$210:$AR$210,1,(Time!AT21-0)-2014),INDEX(Inputs!$J$212:$AR$212,1,(Time!AT21-0)-2014))</f>
        <v>7</v>
      </c>
      <c r="AU13" s="11" t="n">
        <f aca="false">CHOOSE(Inputs!$F$33,INDEX(Inputs!$J$208:$AR$208,1,(Time!AU21-0)-2014),INDEX(Inputs!$J$210:$AR$210,1,(Time!AU21-0)-2014),INDEX(Inputs!$J$212:$AR$212,1,(Time!AU21-0)-2014))</f>
        <v>7</v>
      </c>
      <c r="AV13" s="11" t="n">
        <f aca="false">CHOOSE(Inputs!$F$33,INDEX(Inputs!$J$208:$AR$208,1,(Time!AV21-0)-2014),INDEX(Inputs!$J$210:$AR$210,1,(Time!AV21-0)-2014),INDEX(Inputs!$J$212:$AR$212,1,(Time!AV21-0)-2014))</f>
        <v>7</v>
      </c>
      <c r="AW13" s="11" t="n">
        <f aca="false">CHOOSE(Inputs!$F$33,INDEX(Inputs!$J$208:$AR$208,1,(Time!AW21-0)-2014),INDEX(Inputs!$J$210:$AR$210,1,(Time!AW21-0)-2014),INDEX(Inputs!$J$212:$AR$212,1,(Time!AW21-0)-2014))</f>
        <v>7</v>
      </c>
      <c r="AX13" s="11" t="n">
        <f aca="false">CHOOSE(Inputs!$F$33,INDEX(Inputs!$J$208:$AR$208,1,(Time!AX21-0)-2014),INDEX(Inputs!$J$210:$AR$210,1,(Time!AX21-0)-2014),INDEX(Inputs!$J$212:$AR$212,1,(Time!AX21-0)-2014))</f>
        <v>7</v>
      </c>
      <c r="AY13" s="11" t="n">
        <f aca="false">CHOOSE(Inputs!$F$33,INDEX(Inputs!$J$208:$AR$208,1,(Time!AY21-0)-2014),INDEX(Inputs!$J$210:$AR$210,1,(Time!AY21-0)-2014),INDEX(Inputs!$J$212:$AR$212,1,(Time!AY21-0)-2014))</f>
        <v>7</v>
      </c>
      <c r="AZ13" s="11" t="n">
        <f aca="false">CHOOSE(Inputs!$F$33,INDEX(Inputs!$J$208:$AR$208,1,(Time!AZ21-0)-2014),INDEX(Inputs!$J$210:$AR$210,1,(Time!AZ21-0)-2014),INDEX(Inputs!$J$212:$AR$212,1,(Time!AZ21-0)-2014))</f>
        <v>7</v>
      </c>
      <c r="BA13" s="11" t="n">
        <f aca="false">CHOOSE(Inputs!$F$33,INDEX(Inputs!$J$208:$AR$208,1,(Time!BA21-0)-2014),INDEX(Inputs!$J$210:$AR$210,1,(Time!BA21-0)-2014),INDEX(Inputs!$J$212:$AR$212,1,(Time!BA21-0)-2014))</f>
        <v>7</v>
      </c>
      <c r="BB13" s="11" t="n">
        <f aca="false">CHOOSE(Inputs!$F$33,INDEX(Inputs!$J$208:$AR$208,1,(Time!BB21-0)-2014),INDEX(Inputs!$J$210:$AR$210,1,(Time!BB21-0)-2014),INDEX(Inputs!$J$212:$AR$212,1,(Time!BB21-0)-2014))</f>
        <v>7</v>
      </c>
      <c r="BC13" s="11" t="n">
        <f aca="false">CHOOSE(Inputs!$F$33,INDEX(Inputs!$J$208:$AR$208,1,(Time!BC21-0)-2014),INDEX(Inputs!$J$210:$AR$210,1,(Time!BC21-0)-2014),INDEX(Inputs!$J$212:$AR$212,1,(Time!BC21-0)-2014))</f>
        <v>7</v>
      </c>
      <c r="BD13" s="11" t="n">
        <f aca="false">CHOOSE(Inputs!$F$33,INDEX(Inputs!$J$208:$AR$208,1,(Time!BD21-0)-2014),INDEX(Inputs!$J$210:$AR$210,1,(Time!BD21-0)-2014),INDEX(Inputs!$J$212:$AR$212,1,(Time!BD21-0)-2014))</f>
        <v>7</v>
      </c>
      <c r="BE13" s="11" t="n">
        <f aca="false">CHOOSE(Inputs!$F$33,INDEX(Inputs!$J$208:$AR$208,1,(Time!BE21-0)-2014),INDEX(Inputs!$J$210:$AR$210,1,(Time!BE21-0)-2014),INDEX(Inputs!$J$212:$AR$212,1,(Time!BE21-0)-2014))</f>
        <v>7</v>
      </c>
      <c r="BF13" s="11" t="n">
        <f aca="false">CHOOSE(Inputs!$F$33,INDEX(Inputs!$J$208:$AR$208,1,(Time!BF21-0)-2014),INDEX(Inputs!$J$210:$AR$210,1,(Time!BF21-0)-2014),INDEX(Inputs!$J$212:$AR$212,1,(Time!BF21-0)-2014))</f>
        <v>7</v>
      </c>
      <c r="BG13" s="11" t="n">
        <f aca="false">CHOOSE(Inputs!$F$33,INDEX(Inputs!$J$208:$AR$208,1,(Time!BG21-0)-2014),INDEX(Inputs!$J$210:$AR$210,1,(Time!BG21-0)-2014),INDEX(Inputs!$J$212:$AR$212,1,(Time!BG21-0)-2014))</f>
        <v>7</v>
      </c>
      <c r="BH13" s="11" t="n">
        <f aca="false">CHOOSE(Inputs!$F$33,INDEX(Inputs!$J$208:$AR$208,1,(Time!BH21-0)-2014),INDEX(Inputs!$J$210:$AR$210,1,(Time!BH21-0)-2014),INDEX(Inputs!$J$212:$AR$212,1,(Time!BH21-0)-2014))</f>
        <v>7</v>
      </c>
      <c r="BI13" s="11" t="n">
        <f aca="false">CHOOSE(Inputs!$F$33,INDEX(Inputs!$J$208:$AR$208,1,(Time!BI21-0)-2014),INDEX(Inputs!$J$210:$AR$210,1,(Time!BI21-0)-2014),INDEX(Inputs!$J$212:$AR$212,1,(Time!BI21-0)-2014))</f>
        <v>7</v>
      </c>
      <c r="BJ13" s="11" t="n">
        <f aca="false">CHOOSE(Inputs!$F$33,INDEX(Inputs!$J$208:$AR$208,1,(Time!BJ21-0)-2014),INDEX(Inputs!$J$210:$AR$210,1,(Time!BJ21-0)-2014),INDEX(Inputs!$J$212:$AR$212,1,(Time!BJ21-0)-2014))</f>
        <v>7</v>
      </c>
      <c r="BK13" s="11" t="n">
        <f aca="false">CHOOSE(Inputs!$F$33,INDEX(Inputs!$J$208:$AR$208,1,(Time!BK21-0)-2014),INDEX(Inputs!$J$210:$AR$210,1,(Time!BK21-0)-2014),INDEX(Inputs!$J$212:$AR$212,1,(Time!BK21-0)-2014))</f>
        <v>7</v>
      </c>
      <c r="BL13" s="11" t="n">
        <f aca="false">CHOOSE(Inputs!$F$33,INDEX(Inputs!$J$208:$AR$208,1,(Time!BL21-0)-2014),INDEX(Inputs!$J$210:$AR$210,1,(Time!BL21-0)-2014),INDEX(Inputs!$J$212:$AR$212,1,(Time!BL21-0)-2014))</f>
        <v>7</v>
      </c>
      <c r="BM13" s="11" t="n">
        <f aca="false">CHOOSE(Inputs!$F$33,INDEX(Inputs!$J$208:$AR$208,1,(Time!BM21-0)-2014),INDEX(Inputs!$J$210:$AR$210,1,(Time!BM21-0)-2014),INDEX(Inputs!$J$212:$AR$212,1,(Time!BM21-0)-2014))</f>
        <v>7</v>
      </c>
      <c r="BN13" s="11" t="n">
        <f aca="false">CHOOSE(Inputs!$F$33,INDEX(Inputs!$J$208:$AR$208,1,(Time!BN21-0)-2014),INDEX(Inputs!$J$210:$AR$210,1,(Time!BN21-0)-2014),INDEX(Inputs!$J$212:$AR$212,1,(Time!BN21-0)-2014))</f>
        <v>7</v>
      </c>
    </row>
    <row r="14" customFormat="false" ht="15" hidden="false" customHeight="false" outlineLevel="0" collapsed="false">
      <c r="D14" s="0" t="s">
        <v>465</v>
      </c>
      <c r="E14" s="0" t="s">
        <v>103</v>
      </c>
      <c r="J14" s="11" t="n">
        <f aca="false">CHOOSE(Inputs!$F$33,INDEX(Inputs!$J$207:$AR$207,1,(Time!J21-1)-2014),INDEX(Inputs!$J$209:$AR$209,1,(Time!J21-1)-2014),INDEX(Inputs!$J$211:$AR$211,1,(Time!J21-1)-2014))</f>
        <v>2.1</v>
      </c>
      <c r="K14" s="11" t="n">
        <f aca="false">CHOOSE(Inputs!$F$33,INDEX(Inputs!$J$207:$AR$207,1,(Time!K21-1)-2014),INDEX(Inputs!$J$209:$AR$209,1,(Time!K21-1)-2014),INDEX(Inputs!$J$211:$AR$211,1,(Time!K21-1)-2014))</f>
        <v>2.4</v>
      </c>
      <c r="L14" s="11" t="n">
        <f aca="false">CHOOSE(Inputs!$F$33,INDEX(Inputs!$J$207:$AR$207,1,(Time!L21-1)-2014),INDEX(Inputs!$J$209:$AR$209,1,(Time!L21-1)-2014),INDEX(Inputs!$J$211:$AR$211,1,(Time!L21-1)-2014))</f>
        <v>2.4</v>
      </c>
      <c r="M14" s="11" t="n">
        <f aca="false">CHOOSE(Inputs!$F$33,INDEX(Inputs!$J$207:$AR$207,1,(Time!M21-1)-2014),INDEX(Inputs!$J$209:$AR$209,1,(Time!M21-1)-2014),INDEX(Inputs!$J$211:$AR$211,1,(Time!M21-1)-2014))</f>
        <v>1.8</v>
      </c>
      <c r="N14" s="11" t="n">
        <f aca="false">CHOOSE(Inputs!$F$33,INDEX(Inputs!$J$207:$AR$207,1,(Time!N21-1)-2014),INDEX(Inputs!$J$209:$AR$209,1,(Time!N21-1)-2014),INDEX(Inputs!$J$211:$AR$211,1,(Time!N21-1)-2014))</f>
        <v>1.8</v>
      </c>
      <c r="O14" s="11" t="n">
        <f aca="false">CHOOSE(Inputs!$F$33,INDEX(Inputs!$J$207:$AR$207,1,(Time!O21-1)-2014),INDEX(Inputs!$J$209:$AR$209,1,(Time!O21-1)-2014),INDEX(Inputs!$J$211:$AR$211,1,(Time!O21-1)-2014))</f>
        <v>1.2</v>
      </c>
      <c r="P14" s="11" t="n">
        <f aca="false">CHOOSE(Inputs!$F$33,INDEX(Inputs!$J$207:$AR$207,1,(Time!P21-1)-2014),INDEX(Inputs!$J$209:$AR$209,1,(Time!P21-1)-2014),INDEX(Inputs!$J$211:$AR$211,1,(Time!P21-1)-2014))</f>
        <v>1.2</v>
      </c>
      <c r="Q14" s="11" t="n">
        <f aca="false">CHOOSE(Inputs!$F$33,INDEX(Inputs!$J$207:$AR$207,1,(Time!Q21-1)-2014),INDEX(Inputs!$J$209:$AR$209,1,(Time!Q21-1)-2014),INDEX(Inputs!$J$211:$AR$211,1,(Time!Q21-1)-2014))</f>
        <v>4.7</v>
      </c>
      <c r="R14" s="11" t="n">
        <f aca="false">CHOOSE(Inputs!$F$33,INDEX(Inputs!$J$207:$AR$207,1,(Time!R21-1)-2014),INDEX(Inputs!$J$209:$AR$209,1,(Time!R21-1)-2014),INDEX(Inputs!$J$211:$AR$211,1,(Time!R21-1)-2014))</f>
        <v>4.7</v>
      </c>
      <c r="S14" s="11" t="n">
        <f aca="false">CHOOSE(Inputs!$F$33,INDEX(Inputs!$J$207:$AR$207,1,(Time!S21-1)-2014),INDEX(Inputs!$J$209:$AR$209,1,(Time!S21-1)-2014),INDEX(Inputs!$J$211:$AR$211,1,(Time!S21-1)-2014))</f>
        <v>8</v>
      </c>
      <c r="T14" s="11" t="n">
        <f aca="false">CHOOSE(Inputs!$F$33,INDEX(Inputs!$J$207:$AR$207,1,(Time!T21-1)-2014),INDEX(Inputs!$J$209:$AR$209,1,(Time!T21-1)-2014),INDEX(Inputs!$J$211:$AR$211,1,(Time!T21-1)-2014))</f>
        <v>8</v>
      </c>
      <c r="U14" s="11" t="n">
        <f aca="false">CHOOSE(Inputs!$F$33,INDEX(Inputs!$J$207:$AR$207,1,(Time!U21-1)-2014),INDEX(Inputs!$J$209:$AR$209,1,(Time!U21-1)-2014),INDEX(Inputs!$J$211:$AR$211,1,(Time!U21-1)-2014))</f>
        <v>4.1</v>
      </c>
      <c r="V14" s="11" t="n">
        <f aca="false">CHOOSE(Inputs!$F$33,INDEX(Inputs!$J$207:$AR$207,1,(Time!V21-1)-2014),INDEX(Inputs!$J$209:$AR$209,1,(Time!V21-1)-2014),INDEX(Inputs!$J$211:$AR$211,1,(Time!V21-1)-2014))</f>
        <v>4.1</v>
      </c>
      <c r="W14" s="11" t="n">
        <f aca="false">CHOOSE(Inputs!$F$33,INDEX(Inputs!$J$207:$AR$207,1,(Time!W21-1)-2014),INDEX(Inputs!$J$209:$AR$209,1,(Time!W21-1)-2014),INDEX(Inputs!$J$211:$AR$211,1,(Time!W21-1)-2014))</f>
        <v>2.9</v>
      </c>
      <c r="X14" s="11" t="n">
        <f aca="false">CHOOSE(Inputs!$F$33,INDEX(Inputs!$J$207:$AR$207,1,(Time!X21-1)-2014),INDEX(Inputs!$J$209:$AR$209,1,(Time!X21-1)-2014),INDEX(Inputs!$J$211:$AR$211,1,(Time!X21-1)-2014))</f>
        <v>2.9</v>
      </c>
      <c r="Y14" s="11" t="n">
        <f aca="false">CHOOSE(Inputs!$F$33,INDEX(Inputs!$J$207:$AR$207,1,(Time!Y21-1)-2014),INDEX(Inputs!$J$209:$AR$209,1,(Time!Y21-1)-2014),INDEX(Inputs!$J$211:$AR$211,1,(Time!Y21-1)-2014))</f>
        <v>2.7</v>
      </c>
      <c r="Z14" s="11" t="n">
        <f aca="false">CHOOSE(Inputs!$F$33,INDEX(Inputs!$J$207:$AR$207,1,(Time!Z21-1)-2014),INDEX(Inputs!$J$209:$AR$209,1,(Time!Z21-1)-2014),INDEX(Inputs!$J$211:$AR$211,1,(Time!Z21-1)-2014))</f>
        <v>2.7</v>
      </c>
      <c r="AA14" s="11" t="n">
        <f aca="false">CHOOSE(Inputs!$F$33,INDEX(Inputs!$J$207:$AR$207,1,(Time!AA21-1)-2014),INDEX(Inputs!$J$209:$AR$209,1,(Time!AA21-1)-2014),INDEX(Inputs!$J$211:$AR$211,1,(Time!AA21-1)-2014))</f>
        <v>2.6</v>
      </c>
      <c r="AB14" s="11" t="n">
        <f aca="false">CHOOSE(Inputs!$F$33,INDEX(Inputs!$J$207:$AR$207,1,(Time!AB21-1)-2014),INDEX(Inputs!$J$209:$AR$209,1,(Time!AB21-1)-2014),INDEX(Inputs!$J$211:$AR$211,1,(Time!AB21-1)-2014))</f>
        <v>2.6</v>
      </c>
      <c r="AC14" s="11" t="n">
        <f aca="false">CHOOSE(Inputs!$F$33,INDEX(Inputs!$J$207:$AR$207,1,(Time!AC21-1)-2014),INDEX(Inputs!$J$209:$AR$209,1,(Time!AC21-1)-2014),INDEX(Inputs!$J$211:$AR$211,1,(Time!AC21-1)-2014))</f>
        <v>2.3</v>
      </c>
      <c r="AD14" s="11" t="n">
        <f aca="false">CHOOSE(Inputs!$F$33,INDEX(Inputs!$J$207:$AR$207,1,(Time!AD21-1)-2014),INDEX(Inputs!$J$209:$AR$209,1,(Time!AD21-1)-2014),INDEX(Inputs!$J$211:$AR$211,1,(Time!AD21-1)-2014))</f>
        <v>2.3</v>
      </c>
      <c r="AE14" s="11" t="n">
        <f aca="false">CHOOSE(Inputs!$F$33,INDEX(Inputs!$J$207:$AR$207,1,(Time!AE21-1)-2014),INDEX(Inputs!$J$209:$AR$209,1,(Time!AE21-1)-2014),INDEX(Inputs!$J$211:$AR$211,1,(Time!AE21-1)-2014))</f>
        <v>2.3</v>
      </c>
      <c r="AF14" s="11" t="n">
        <f aca="false">CHOOSE(Inputs!$F$33,INDEX(Inputs!$J$207:$AR$207,1,(Time!AF21-1)-2014),INDEX(Inputs!$J$209:$AR$209,1,(Time!AF21-1)-2014),INDEX(Inputs!$J$211:$AR$211,1,(Time!AF21-1)-2014))</f>
        <v>2.3</v>
      </c>
      <c r="AG14" s="11" t="n">
        <f aca="false">CHOOSE(Inputs!$F$33,INDEX(Inputs!$J$207:$AR$207,1,(Time!AG21-1)-2014),INDEX(Inputs!$J$209:$AR$209,1,(Time!AG21-1)-2014),INDEX(Inputs!$J$211:$AR$211,1,(Time!AG21-1)-2014))</f>
        <v>2.3</v>
      </c>
      <c r="AH14" s="11" t="n">
        <f aca="false">CHOOSE(Inputs!$F$33,INDEX(Inputs!$J$207:$AR$207,1,(Time!AH21-1)-2014),INDEX(Inputs!$J$209:$AR$209,1,(Time!AH21-1)-2014),INDEX(Inputs!$J$211:$AR$211,1,(Time!AH21-1)-2014))</f>
        <v>2.3</v>
      </c>
      <c r="AI14" s="11" t="n">
        <f aca="false">CHOOSE(Inputs!$F$33,INDEX(Inputs!$J$207:$AR$207,1,(Time!AI21-1)-2014),INDEX(Inputs!$J$209:$AR$209,1,(Time!AI21-1)-2014),INDEX(Inputs!$J$211:$AR$211,1,(Time!AI21-1)-2014))</f>
        <v>2.3</v>
      </c>
      <c r="AJ14" s="11" t="n">
        <f aca="false">CHOOSE(Inputs!$F$33,INDEX(Inputs!$J$207:$AR$207,1,(Time!AJ21-1)-2014),INDEX(Inputs!$J$209:$AR$209,1,(Time!AJ21-1)-2014),INDEX(Inputs!$J$211:$AR$211,1,(Time!AJ21-1)-2014))</f>
        <v>2.3</v>
      </c>
      <c r="AK14" s="11" t="n">
        <f aca="false">CHOOSE(Inputs!$F$33,INDEX(Inputs!$J$207:$AR$207,1,(Time!AK21-1)-2014),INDEX(Inputs!$J$209:$AR$209,1,(Time!AK21-1)-2014),INDEX(Inputs!$J$211:$AR$211,1,(Time!AK21-1)-2014))</f>
        <v>2.3</v>
      </c>
      <c r="AL14" s="11" t="n">
        <f aca="false">CHOOSE(Inputs!$F$33,INDEX(Inputs!$J$207:$AR$207,1,(Time!AL21-1)-2014),INDEX(Inputs!$J$209:$AR$209,1,(Time!AL21-1)-2014),INDEX(Inputs!$J$211:$AR$211,1,(Time!AL21-1)-2014))</f>
        <v>2.3</v>
      </c>
      <c r="AM14" s="11" t="n">
        <f aca="false">CHOOSE(Inputs!$F$33,INDEX(Inputs!$J$207:$AR$207,1,(Time!AM21-1)-2014),INDEX(Inputs!$J$209:$AR$209,1,(Time!AM21-1)-2014),INDEX(Inputs!$J$211:$AR$211,1,(Time!AM21-1)-2014))</f>
        <v>2.3</v>
      </c>
      <c r="AN14" s="11" t="n">
        <f aca="false">CHOOSE(Inputs!$F$33,INDEX(Inputs!$J$207:$AR$207,1,(Time!AN21-1)-2014),INDEX(Inputs!$J$209:$AR$209,1,(Time!AN21-1)-2014),INDEX(Inputs!$J$211:$AR$211,1,(Time!AN21-1)-2014))</f>
        <v>2.3</v>
      </c>
      <c r="AO14" s="11" t="n">
        <f aca="false">CHOOSE(Inputs!$F$33,INDEX(Inputs!$J$207:$AR$207,1,(Time!AO21-1)-2014),INDEX(Inputs!$J$209:$AR$209,1,(Time!AO21-1)-2014),INDEX(Inputs!$J$211:$AR$211,1,(Time!AO21-1)-2014))</f>
        <v>2.3</v>
      </c>
      <c r="AP14" s="11" t="n">
        <f aca="false">CHOOSE(Inputs!$F$33,INDEX(Inputs!$J$207:$AR$207,1,(Time!AP21-1)-2014),INDEX(Inputs!$J$209:$AR$209,1,(Time!AP21-1)-2014),INDEX(Inputs!$J$211:$AR$211,1,(Time!AP21-1)-2014))</f>
        <v>2.3</v>
      </c>
      <c r="AQ14" s="11" t="n">
        <f aca="false">CHOOSE(Inputs!$F$33,INDEX(Inputs!$J$207:$AR$207,1,(Time!AQ21-1)-2014),INDEX(Inputs!$J$209:$AR$209,1,(Time!AQ21-1)-2014),INDEX(Inputs!$J$211:$AR$211,1,(Time!AQ21-1)-2014))</f>
        <v>2.3</v>
      </c>
      <c r="AR14" s="11" t="n">
        <f aca="false">CHOOSE(Inputs!$F$33,INDEX(Inputs!$J$207:$AR$207,1,(Time!AR21-1)-2014),INDEX(Inputs!$J$209:$AR$209,1,(Time!AR21-1)-2014),INDEX(Inputs!$J$211:$AR$211,1,(Time!AR21-1)-2014))</f>
        <v>2.3</v>
      </c>
      <c r="AS14" s="11" t="n">
        <f aca="false">CHOOSE(Inputs!$F$33,INDEX(Inputs!$J$207:$AR$207,1,(Time!AS21-1)-2014),INDEX(Inputs!$J$209:$AR$209,1,(Time!AS21-1)-2014),INDEX(Inputs!$J$211:$AR$211,1,(Time!AS21-1)-2014))</f>
        <v>2.3</v>
      </c>
      <c r="AT14" s="11" t="n">
        <f aca="false">CHOOSE(Inputs!$F$33,INDEX(Inputs!$J$207:$AR$207,1,(Time!AT21-1)-2014),INDEX(Inputs!$J$209:$AR$209,1,(Time!AT21-1)-2014),INDEX(Inputs!$J$211:$AR$211,1,(Time!AT21-1)-2014))</f>
        <v>2.3</v>
      </c>
      <c r="AU14" s="11" t="n">
        <f aca="false">CHOOSE(Inputs!$F$33,INDEX(Inputs!$J$207:$AR$207,1,(Time!AU21-1)-2014),INDEX(Inputs!$J$209:$AR$209,1,(Time!AU21-1)-2014),INDEX(Inputs!$J$211:$AR$211,1,(Time!AU21-1)-2014))</f>
        <v>2.3</v>
      </c>
      <c r="AV14" s="11" t="n">
        <f aca="false">CHOOSE(Inputs!$F$33,INDEX(Inputs!$J$207:$AR$207,1,(Time!AV21-1)-2014),INDEX(Inputs!$J$209:$AR$209,1,(Time!AV21-1)-2014),INDEX(Inputs!$J$211:$AR$211,1,(Time!AV21-1)-2014))</f>
        <v>2.3</v>
      </c>
      <c r="AW14" s="11" t="n">
        <f aca="false">CHOOSE(Inputs!$F$33,INDEX(Inputs!$J$207:$AR$207,1,(Time!AW21-1)-2014),INDEX(Inputs!$J$209:$AR$209,1,(Time!AW21-1)-2014),INDEX(Inputs!$J$211:$AR$211,1,(Time!AW21-1)-2014))</f>
        <v>2.3</v>
      </c>
      <c r="AX14" s="11" t="n">
        <f aca="false">CHOOSE(Inputs!$F$33,INDEX(Inputs!$J$207:$AR$207,1,(Time!AX21-1)-2014),INDEX(Inputs!$J$209:$AR$209,1,(Time!AX21-1)-2014),INDEX(Inputs!$J$211:$AR$211,1,(Time!AX21-1)-2014))</f>
        <v>2.3</v>
      </c>
      <c r="AY14" s="11" t="n">
        <f aca="false">CHOOSE(Inputs!$F$33,INDEX(Inputs!$J$207:$AR$207,1,(Time!AY21-1)-2014),INDEX(Inputs!$J$209:$AR$209,1,(Time!AY21-1)-2014),INDEX(Inputs!$J$211:$AR$211,1,(Time!AY21-1)-2014))</f>
        <v>2.3</v>
      </c>
      <c r="AZ14" s="11" t="n">
        <f aca="false">CHOOSE(Inputs!$F$33,INDEX(Inputs!$J$207:$AR$207,1,(Time!AZ21-1)-2014),INDEX(Inputs!$J$209:$AR$209,1,(Time!AZ21-1)-2014),INDEX(Inputs!$J$211:$AR$211,1,(Time!AZ21-1)-2014))</f>
        <v>2.3</v>
      </c>
      <c r="BA14" s="11" t="n">
        <f aca="false">CHOOSE(Inputs!$F$33,INDEX(Inputs!$J$207:$AR$207,1,(Time!BA21-1)-2014),INDEX(Inputs!$J$209:$AR$209,1,(Time!BA21-1)-2014),INDEX(Inputs!$J$211:$AR$211,1,(Time!BA21-1)-2014))</f>
        <v>2.3</v>
      </c>
      <c r="BB14" s="11" t="n">
        <f aca="false">CHOOSE(Inputs!$F$33,INDEX(Inputs!$J$207:$AR$207,1,(Time!BB21-1)-2014),INDEX(Inputs!$J$209:$AR$209,1,(Time!BB21-1)-2014),INDEX(Inputs!$J$211:$AR$211,1,(Time!BB21-1)-2014))</f>
        <v>2.3</v>
      </c>
      <c r="BC14" s="11" t="n">
        <f aca="false">CHOOSE(Inputs!$F$33,INDEX(Inputs!$J$207:$AR$207,1,(Time!BC21-1)-2014),INDEX(Inputs!$J$209:$AR$209,1,(Time!BC21-1)-2014),INDEX(Inputs!$J$211:$AR$211,1,(Time!BC21-1)-2014))</f>
        <v>2.3</v>
      </c>
      <c r="BD14" s="11" t="n">
        <f aca="false">CHOOSE(Inputs!$F$33,INDEX(Inputs!$J$207:$AR$207,1,(Time!BD21-1)-2014),INDEX(Inputs!$J$209:$AR$209,1,(Time!BD21-1)-2014),INDEX(Inputs!$J$211:$AR$211,1,(Time!BD21-1)-2014))</f>
        <v>2.3</v>
      </c>
      <c r="BE14" s="11" t="n">
        <f aca="false">CHOOSE(Inputs!$F$33,INDEX(Inputs!$J$207:$AR$207,1,(Time!BE21-1)-2014),INDEX(Inputs!$J$209:$AR$209,1,(Time!BE21-1)-2014),INDEX(Inputs!$J$211:$AR$211,1,(Time!BE21-1)-2014))</f>
        <v>2.3</v>
      </c>
      <c r="BF14" s="11" t="n">
        <f aca="false">CHOOSE(Inputs!$F$33,INDEX(Inputs!$J$207:$AR$207,1,(Time!BF21-1)-2014),INDEX(Inputs!$J$209:$AR$209,1,(Time!BF21-1)-2014),INDEX(Inputs!$J$211:$AR$211,1,(Time!BF21-1)-2014))</f>
        <v>2.3</v>
      </c>
      <c r="BG14" s="11" t="n">
        <f aca="false">CHOOSE(Inputs!$F$33,INDEX(Inputs!$J$207:$AR$207,1,(Time!BG21-1)-2014),INDEX(Inputs!$J$209:$AR$209,1,(Time!BG21-1)-2014),INDEX(Inputs!$J$211:$AR$211,1,(Time!BG21-1)-2014))</f>
        <v>2.3</v>
      </c>
      <c r="BH14" s="11" t="n">
        <f aca="false">CHOOSE(Inputs!$F$33,INDEX(Inputs!$J$207:$AR$207,1,(Time!BH21-1)-2014),INDEX(Inputs!$J$209:$AR$209,1,(Time!BH21-1)-2014),INDEX(Inputs!$J$211:$AR$211,1,(Time!BH21-1)-2014))</f>
        <v>2.3</v>
      </c>
      <c r="BI14" s="11" t="n">
        <f aca="false">CHOOSE(Inputs!$F$33,INDEX(Inputs!$J$207:$AR$207,1,(Time!BI21-1)-2014),INDEX(Inputs!$J$209:$AR$209,1,(Time!BI21-1)-2014),INDEX(Inputs!$J$211:$AR$211,1,(Time!BI21-1)-2014))</f>
        <v>2.3</v>
      </c>
      <c r="BJ14" s="11" t="n">
        <f aca="false">CHOOSE(Inputs!$F$33,INDEX(Inputs!$J$207:$AR$207,1,(Time!BJ21-1)-2014),INDEX(Inputs!$J$209:$AR$209,1,(Time!BJ21-1)-2014),INDEX(Inputs!$J$211:$AR$211,1,(Time!BJ21-1)-2014))</f>
        <v>2.3</v>
      </c>
      <c r="BK14" s="11" t="n">
        <f aca="false">CHOOSE(Inputs!$F$33,INDEX(Inputs!$J$207:$AR$207,1,(Time!BK21-1)-2014),INDEX(Inputs!$J$209:$AR$209,1,(Time!BK21-1)-2014),INDEX(Inputs!$J$211:$AR$211,1,(Time!BK21-1)-2014))</f>
        <v>2.3</v>
      </c>
      <c r="BL14" s="11" t="n">
        <f aca="false">CHOOSE(Inputs!$F$33,INDEX(Inputs!$J$207:$AR$207,1,(Time!BL21-1)-2014),INDEX(Inputs!$J$209:$AR$209,1,(Time!BL21-1)-2014),INDEX(Inputs!$J$211:$AR$211,1,(Time!BL21-1)-2014))</f>
        <v>2.3</v>
      </c>
      <c r="BM14" s="11" t="n">
        <f aca="false">CHOOSE(Inputs!$F$33,INDEX(Inputs!$J$207:$AR$207,1,(Time!BM21-1)-2014),INDEX(Inputs!$J$209:$AR$209,1,(Time!BM21-1)-2014),INDEX(Inputs!$J$211:$AR$211,1,(Time!BM21-1)-2014))</f>
        <v>2.3</v>
      </c>
      <c r="BN14" s="11" t="n">
        <f aca="false">CHOOSE(Inputs!$F$33,INDEX(Inputs!$J$207:$AR$207,1,(Time!BN21-1)-2014),INDEX(Inputs!$J$209:$AR$209,1,(Time!BN21-1)-2014),INDEX(Inputs!$J$211:$AR$211,1,(Time!BN21-1)-2014))</f>
        <v>2.3</v>
      </c>
    </row>
    <row r="15" customFormat="false" ht="15" hidden="false" customHeight="false" outlineLevel="0" collapsed="false">
      <c r="D15" s="0" t="s">
        <v>466</v>
      </c>
      <c r="E15" s="0" t="s">
        <v>103</v>
      </c>
      <c r="J15" s="11" t="n">
        <f aca="false">CHOOSE(Inputs!$F$33,INDEX(Inputs!$J$208:$AR$208,1,(Time!J21-1)-2014),INDEX(Inputs!$J$210:$AR$210,1,(Time!J21-1)-2014),INDEX(Inputs!$J$212:$AR$212,1,(Time!J21-1)-2014))</f>
        <v>8.1</v>
      </c>
      <c r="K15" s="11" t="n">
        <f aca="false">CHOOSE(Inputs!$F$33,INDEX(Inputs!$J$208:$AR$208,1,(Time!K21-1)-2014),INDEX(Inputs!$J$210:$AR$210,1,(Time!K21-1)-2014),INDEX(Inputs!$J$212:$AR$212,1,(Time!K21-1)-2014))</f>
        <v>7.6</v>
      </c>
      <c r="L15" s="11" t="n">
        <f aca="false">CHOOSE(Inputs!$F$33,INDEX(Inputs!$J$208:$AR$208,1,(Time!L21-1)-2014),INDEX(Inputs!$J$210:$AR$210,1,(Time!L21-1)-2014),INDEX(Inputs!$J$212:$AR$212,1,(Time!L21-1)-2014))</f>
        <v>7.6</v>
      </c>
      <c r="M15" s="11" t="n">
        <f aca="false">CHOOSE(Inputs!$F$33,INDEX(Inputs!$J$208:$AR$208,1,(Time!M21-1)-2014),INDEX(Inputs!$J$210:$AR$210,1,(Time!M21-1)-2014),INDEX(Inputs!$J$212:$AR$212,1,(Time!M21-1)-2014))</f>
        <v>7.9</v>
      </c>
      <c r="N15" s="11" t="n">
        <f aca="false">CHOOSE(Inputs!$F$33,INDEX(Inputs!$J$208:$AR$208,1,(Time!N21-1)-2014),INDEX(Inputs!$J$210:$AR$210,1,(Time!N21-1)-2014),INDEX(Inputs!$J$212:$AR$212,1,(Time!N21-1)-2014))</f>
        <v>7.9</v>
      </c>
      <c r="O15" s="11" t="n">
        <f aca="false">CHOOSE(Inputs!$F$33,INDEX(Inputs!$J$208:$AR$208,1,(Time!O21-1)-2014),INDEX(Inputs!$J$210:$AR$210,1,(Time!O21-1)-2014),INDEX(Inputs!$J$212:$AR$212,1,(Time!O21-1)-2014))</f>
        <v>9.8</v>
      </c>
      <c r="P15" s="11" t="n">
        <f aca="false">CHOOSE(Inputs!$F$33,INDEX(Inputs!$J$208:$AR$208,1,(Time!P21-1)-2014),INDEX(Inputs!$J$210:$AR$210,1,(Time!P21-1)-2014),INDEX(Inputs!$J$212:$AR$212,1,(Time!P21-1)-2014))</f>
        <v>9.8</v>
      </c>
      <c r="Q15" s="11" t="n">
        <f aca="false">CHOOSE(Inputs!$F$33,INDEX(Inputs!$J$208:$AR$208,1,(Time!Q21-1)-2014),INDEX(Inputs!$J$210:$AR$210,1,(Time!Q21-1)-2014),INDEX(Inputs!$J$212:$AR$212,1,(Time!Q21-1)-2014))</f>
        <v>10.6</v>
      </c>
      <c r="R15" s="11" t="n">
        <f aca="false">CHOOSE(Inputs!$F$33,INDEX(Inputs!$J$208:$AR$208,1,(Time!R21-1)-2014),INDEX(Inputs!$J$210:$AR$210,1,(Time!R21-1)-2014),INDEX(Inputs!$J$212:$AR$212,1,(Time!R21-1)-2014))</f>
        <v>10.6</v>
      </c>
      <c r="S15" s="11" t="n">
        <f aca="false">CHOOSE(Inputs!$F$33,INDEX(Inputs!$J$208:$AR$208,1,(Time!S21-1)-2014),INDEX(Inputs!$J$210:$AR$210,1,(Time!S21-1)-2014),INDEX(Inputs!$J$212:$AR$212,1,(Time!S21-1)-2014))</f>
        <v>26.3</v>
      </c>
      <c r="T15" s="11" t="n">
        <f aca="false">CHOOSE(Inputs!$F$33,INDEX(Inputs!$J$208:$AR$208,1,(Time!T21-1)-2014),INDEX(Inputs!$J$210:$AR$210,1,(Time!T21-1)-2014),INDEX(Inputs!$J$212:$AR$212,1,(Time!T21-1)-2014))</f>
        <v>26.3</v>
      </c>
      <c r="U15" s="11" t="n">
        <f aca="false">CHOOSE(Inputs!$F$33,INDEX(Inputs!$J$208:$AR$208,1,(Time!U21-1)-2014),INDEX(Inputs!$J$210:$AR$210,1,(Time!U21-1)-2014),INDEX(Inputs!$J$212:$AR$212,1,(Time!U21-1)-2014))</f>
        <v>34.8</v>
      </c>
      <c r="V15" s="11" t="n">
        <f aca="false">CHOOSE(Inputs!$F$33,INDEX(Inputs!$J$208:$AR$208,1,(Time!V21-1)-2014),INDEX(Inputs!$J$210:$AR$210,1,(Time!V21-1)-2014),INDEX(Inputs!$J$212:$AR$212,1,(Time!V21-1)-2014))</f>
        <v>34.8</v>
      </c>
      <c r="W15" s="11" t="n">
        <f aca="false">CHOOSE(Inputs!$F$33,INDEX(Inputs!$J$208:$AR$208,1,(Time!W21-1)-2014),INDEX(Inputs!$J$210:$AR$210,1,(Time!W21-1)-2014),INDEX(Inputs!$J$212:$AR$212,1,(Time!W21-1)-2014))</f>
        <v>19.2</v>
      </c>
      <c r="X15" s="11" t="n">
        <f aca="false">CHOOSE(Inputs!$F$33,INDEX(Inputs!$J$208:$AR$208,1,(Time!X21-1)-2014),INDEX(Inputs!$J$210:$AR$210,1,(Time!X21-1)-2014),INDEX(Inputs!$J$212:$AR$212,1,(Time!X21-1)-2014))</f>
        <v>19.2</v>
      </c>
      <c r="Y15" s="11" t="n">
        <f aca="false">CHOOSE(Inputs!$F$33,INDEX(Inputs!$J$208:$AR$208,1,(Time!Y21-1)-2014),INDEX(Inputs!$J$210:$AR$210,1,(Time!Y21-1)-2014),INDEX(Inputs!$J$212:$AR$212,1,(Time!Y21-1)-2014))</f>
        <v>12.4</v>
      </c>
      <c r="Z15" s="11" t="n">
        <f aca="false">CHOOSE(Inputs!$F$33,INDEX(Inputs!$J$208:$AR$208,1,(Time!Z21-1)-2014),INDEX(Inputs!$J$210:$AR$210,1,(Time!Z21-1)-2014),INDEX(Inputs!$J$212:$AR$212,1,(Time!Z21-1)-2014))</f>
        <v>12.4</v>
      </c>
      <c r="AA15" s="11" t="n">
        <f aca="false">CHOOSE(Inputs!$F$33,INDEX(Inputs!$J$208:$AR$208,1,(Time!AA21-1)-2014),INDEX(Inputs!$J$210:$AR$210,1,(Time!AA21-1)-2014),INDEX(Inputs!$J$212:$AR$212,1,(Time!AA21-1)-2014))</f>
        <v>9.6</v>
      </c>
      <c r="AB15" s="11" t="n">
        <f aca="false">CHOOSE(Inputs!$F$33,INDEX(Inputs!$J$208:$AR$208,1,(Time!AB21-1)-2014),INDEX(Inputs!$J$210:$AR$210,1,(Time!AB21-1)-2014),INDEX(Inputs!$J$212:$AR$212,1,(Time!AB21-1)-2014))</f>
        <v>9.6</v>
      </c>
      <c r="AC15" s="11" t="n">
        <f aca="false">CHOOSE(Inputs!$F$33,INDEX(Inputs!$J$208:$AR$208,1,(Time!AC21-1)-2014),INDEX(Inputs!$J$210:$AR$210,1,(Time!AC21-1)-2014),INDEX(Inputs!$J$212:$AR$212,1,(Time!AC21-1)-2014))</f>
        <v>8</v>
      </c>
      <c r="AD15" s="11" t="n">
        <f aca="false">CHOOSE(Inputs!$F$33,INDEX(Inputs!$J$208:$AR$208,1,(Time!AD21-1)-2014),INDEX(Inputs!$J$210:$AR$210,1,(Time!AD21-1)-2014),INDEX(Inputs!$J$212:$AR$212,1,(Time!AD21-1)-2014))</f>
        <v>8</v>
      </c>
      <c r="AE15" s="11" t="n">
        <f aca="false">CHOOSE(Inputs!$F$33,INDEX(Inputs!$J$208:$AR$208,1,(Time!AE21-1)-2014),INDEX(Inputs!$J$210:$AR$210,1,(Time!AE21-1)-2014),INDEX(Inputs!$J$212:$AR$212,1,(Time!AE21-1)-2014))</f>
        <v>7</v>
      </c>
      <c r="AF15" s="11" t="n">
        <f aca="false">CHOOSE(Inputs!$F$33,INDEX(Inputs!$J$208:$AR$208,1,(Time!AF21-1)-2014),INDEX(Inputs!$J$210:$AR$210,1,(Time!AF21-1)-2014),INDEX(Inputs!$J$212:$AR$212,1,(Time!AF21-1)-2014))</f>
        <v>7</v>
      </c>
      <c r="AG15" s="11" t="n">
        <f aca="false">CHOOSE(Inputs!$F$33,INDEX(Inputs!$J$208:$AR$208,1,(Time!AG21-1)-2014),INDEX(Inputs!$J$210:$AR$210,1,(Time!AG21-1)-2014),INDEX(Inputs!$J$212:$AR$212,1,(Time!AG21-1)-2014))</f>
        <v>7</v>
      </c>
      <c r="AH15" s="11" t="n">
        <f aca="false">CHOOSE(Inputs!$F$33,INDEX(Inputs!$J$208:$AR$208,1,(Time!AH21-1)-2014),INDEX(Inputs!$J$210:$AR$210,1,(Time!AH21-1)-2014),INDEX(Inputs!$J$212:$AR$212,1,(Time!AH21-1)-2014))</f>
        <v>7</v>
      </c>
      <c r="AI15" s="11" t="n">
        <f aca="false">CHOOSE(Inputs!$F$33,INDEX(Inputs!$J$208:$AR$208,1,(Time!AI21-1)-2014),INDEX(Inputs!$J$210:$AR$210,1,(Time!AI21-1)-2014),INDEX(Inputs!$J$212:$AR$212,1,(Time!AI21-1)-2014))</f>
        <v>7</v>
      </c>
      <c r="AJ15" s="11" t="n">
        <f aca="false">CHOOSE(Inputs!$F$33,INDEX(Inputs!$J$208:$AR$208,1,(Time!AJ21-1)-2014),INDEX(Inputs!$J$210:$AR$210,1,(Time!AJ21-1)-2014),INDEX(Inputs!$J$212:$AR$212,1,(Time!AJ21-1)-2014))</f>
        <v>7</v>
      </c>
      <c r="AK15" s="11" t="n">
        <f aca="false">CHOOSE(Inputs!$F$33,INDEX(Inputs!$J$208:$AR$208,1,(Time!AK21-1)-2014),INDEX(Inputs!$J$210:$AR$210,1,(Time!AK21-1)-2014),INDEX(Inputs!$J$212:$AR$212,1,(Time!AK21-1)-2014))</f>
        <v>7</v>
      </c>
      <c r="AL15" s="11" t="n">
        <f aca="false">CHOOSE(Inputs!$F$33,INDEX(Inputs!$J$208:$AR$208,1,(Time!AL21-1)-2014),INDEX(Inputs!$J$210:$AR$210,1,(Time!AL21-1)-2014),INDEX(Inputs!$J$212:$AR$212,1,(Time!AL21-1)-2014))</f>
        <v>7</v>
      </c>
      <c r="AM15" s="11" t="n">
        <f aca="false">CHOOSE(Inputs!$F$33,INDEX(Inputs!$J$208:$AR$208,1,(Time!AM21-1)-2014),INDEX(Inputs!$J$210:$AR$210,1,(Time!AM21-1)-2014),INDEX(Inputs!$J$212:$AR$212,1,(Time!AM21-1)-2014))</f>
        <v>7</v>
      </c>
      <c r="AN15" s="11" t="n">
        <f aca="false">CHOOSE(Inputs!$F$33,INDEX(Inputs!$J$208:$AR$208,1,(Time!AN21-1)-2014),INDEX(Inputs!$J$210:$AR$210,1,(Time!AN21-1)-2014),INDEX(Inputs!$J$212:$AR$212,1,(Time!AN21-1)-2014))</f>
        <v>7</v>
      </c>
      <c r="AO15" s="11" t="n">
        <f aca="false">CHOOSE(Inputs!$F$33,INDEX(Inputs!$J$208:$AR$208,1,(Time!AO21-1)-2014),INDEX(Inputs!$J$210:$AR$210,1,(Time!AO21-1)-2014),INDEX(Inputs!$J$212:$AR$212,1,(Time!AO21-1)-2014))</f>
        <v>7</v>
      </c>
      <c r="AP15" s="11" t="n">
        <f aca="false">CHOOSE(Inputs!$F$33,INDEX(Inputs!$J$208:$AR$208,1,(Time!AP21-1)-2014),INDEX(Inputs!$J$210:$AR$210,1,(Time!AP21-1)-2014),INDEX(Inputs!$J$212:$AR$212,1,(Time!AP21-1)-2014))</f>
        <v>7</v>
      </c>
      <c r="AQ15" s="11" t="n">
        <f aca="false">CHOOSE(Inputs!$F$33,INDEX(Inputs!$J$208:$AR$208,1,(Time!AQ21-1)-2014),INDEX(Inputs!$J$210:$AR$210,1,(Time!AQ21-1)-2014),INDEX(Inputs!$J$212:$AR$212,1,(Time!AQ21-1)-2014))</f>
        <v>7</v>
      </c>
      <c r="AR15" s="11" t="n">
        <f aca="false">CHOOSE(Inputs!$F$33,INDEX(Inputs!$J$208:$AR$208,1,(Time!AR21-1)-2014),INDEX(Inputs!$J$210:$AR$210,1,(Time!AR21-1)-2014),INDEX(Inputs!$J$212:$AR$212,1,(Time!AR21-1)-2014))</f>
        <v>7</v>
      </c>
      <c r="AS15" s="11" t="n">
        <f aca="false">CHOOSE(Inputs!$F$33,INDEX(Inputs!$J$208:$AR$208,1,(Time!AS21-1)-2014),INDEX(Inputs!$J$210:$AR$210,1,(Time!AS21-1)-2014),INDEX(Inputs!$J$212:$AR$212,1,(Time!AS21-1)-2014))</f>
        <v>7</v>
      </c>
      <c r="AT15" s="11" t="n">
        <f aca="false">CHOOSE(Inputs!$F$33,INDEX(Inputs!$J$208:$AR$208,1,(Time!AT21-1)-2014),INDEX(Inputs!$J$210:$AR$210,1,(Time!AT21-1)-2014),INDEX(Inputs!$J$212:$AR$212,1,(Time!AT21-1)-2014))</f>
        <v>7</v>
      </c>
      <c r="AU15" s="11" t="n">
        <f aca="false">CHOOSE(Inputs!$F$33,INDEX(Inputs!$J$208:$AR$208,1,(Time!AU21-1)-2014),INDEX(Inputs!$J$210:$AR$210,1,(Time!AU21-1)-2014),INDEX(Inputs!$J$212:$AR$212,1,(Time!AU21-1)-2014))</f>
        <v>7</v>
      </c>
      <c r="AV15" s="11" t="n">
        <f aca="false">CHOOSE(Inputs!$F$33,INDEX(Inputs!$J$208:$AR$208,1,(Time!AV21-1)-2014),INDEX(Inputs!$J$210:$AR$210,1,(Time!AV21-1)-2014),INDEX(Inputs!$J$212:$AR$212,1,(Time!AV21-1)-2014))</f>
        <v>7</v>
      </c>
      <c r="AW15" s="11" t="n">
        <f aca="false">CHOOSE(Inputs!$F$33,INDEX(Inputs!$J$208:$AR$208,1,(Time!AW21-1)-2014),INDEX(Inputs!$J$210:$AR$210,1,(Time!AW21-1)-2014),INDEX(Inputs!$J$212:$AR$212,1,(Time!AW21-1)-2014))</f>
        <v>7</v>
      </c>
      <c r="AX15" s="11" t="n">
        <f aca="false">CHOOSE(Inputs!$F$33,INDEX(Inputs!$J$208:$AR$208,1,(Time!AX21-1)-2014),INDEX(Inputs!$J$210:$AR$210,1,(Time!AX21-1)-2014),INDEX(Inputs!$J$212:$AR$212,1,(Time!AX21-1)-2014))</f>
        <v>7</v>
      </c>
      <c r="AY15" s="11" t="n">
        <f aca="false">CHOOSE(Inputs!$F$33,INDEX(Inputs!$J$208:$AR$208,1,(Time!AY21-1)-2014),INDEX(Inputs!$J$210:$AR$210,1,(Time!AY21-1)-2014),INDEX(Inputs!$J$212:$AR$212,1,(Time!AY21-1)-2014))</f>
        <v>7</v>
      </c>
      <c r="AZ15" s="11" t="n">
        <f aca="false">CHOOSE(Inputs!$F$33,INDEX(Inputs!$J$208:$AR$208,1,(Time!AZ21-1)-2014),INDEX(Inputs!$J$210:$AR$210,1,(Time!AZ21-1)-2014),INDEX(Inputs!$J$212:$AR$212,1,(Time!AZ21-1)-2014))</f>
        <v>7</v>
      </c>
      <c r="BA15" s="11" t="n">
        <f aca="false">CHOOSE(Inputs!$F$33,INDEX(Inputs!$J$208:$AR$208,1,(Time!BA21-1)-2014),INDEX(Inputs!$J$210:$AR$210,1,(Time!BA21-1)-2014),INDEX(Inputs!$J$212:$AR$212,1,(Time!BA21-1)-2014))</f>
        <v>7</v>
      </c>
      <c r="BB15" s="11" t="n">
        <f aca="false">CHOOSE(Inputs!$F$33,INDEX(Inputs!$J$208:$AR$208,1,(Time!BB21-1)-2014),INDEX(Inputs!$J$210:$AR$210,1,(Time!BB21-1)-2014),INDEX(Inputs!$J$212:$AR$212,1,(Time!BB21-1)-2014))</f>
        <v>7</v>
      </c>
      <c r="BC15" s="11" t="n">
        <f aca="false">CHOOSE(Inputs!$F$33,INDEX(Inputs!$J$208:$AR$208,1,(Time!BC21-1)-2014),INDEX(Inputs!$J$210:$AR$210,1,(Time!BC21-1)-2014),INDEX(Inputs!$J$212:$AR$212,1,(Time!BC21-1)-2014))</f>
        <v>7</v>
      </c>
      <c r="BD15" s="11" t="n">
        <f aca="false">CHOOSE(Inputs!$F$33,INDEX(Inputs!$J$208:$AR$208,1,(Time!BD21-1)-2014),INDEX(Inputs!$J$210:$AR$210,1,(Time!BD21-1)-2014),INDEX(Inputs!$J$212:$AR$212,1,(Time!BD21-1)-2014))</f>
        <v>7</v>
      </c>
      <c r="BE15" s="11" t="n">
        <f aca="false">CHOOSE(Inputs!$F$33,INDEX(Inputs!$J$208:$AR$208,1,(Time!BE21-1)-2014),INDEX(Inputs!$J$210:$AR$210,1,(Time!BE21-1)-2014),INDEX(Inputs!$J$212:$AR$212,1,(Time!BE21-1)-2014))</f>
        <v>7</v>
      </c>
      <c r="BF15" s="11" t="n">
        <f aca="false">CHOOSE(Inputs!$F$33,INDEX(Inputs!$J$208:$AR$208,1,(Time!BF21-1)-2014),INDEX(Inputs!$J$210:$AR$210,1,(Time!BF21-1)-2014),INDEX(Inputs!$J$212:$AR$212,1,(Time!BF21-1)-2014))</f>
        <v>7</v>
      </c>
      <c r="BG15" s="11" t="n">
        <f aca="false">CHOOSE(Inputs!$F$33,INDEX(Inputs!$J$208:$AR$208,1,(Time!BG21-1)-2014),INDEX(Inputs!$J$210:$AR$210,1,(Time!BG21-1)-2014),INDEX(Inputs!$J$212:$AR$212,1,(Time!BG21-1)-2014))</f>
        <v>7</v>
      </c>
      <c r="BH15" s="11" t="n">
        <f aca="false">CHOOSE(Inputs!$F$33,INDEX(Inputs!$J$208:$AR$208,1,(Time!BH21-1)-2014),INDEX(Inputs!$J$210:$AR$210,1,(Time!BH21-1)-2014),INDEX(Inputs!$J$212:$AR$212,1,(Time!BH21-1)-2014))</f>
        <v>7</v>
      </c>
      <c r="BI15" s="11" t="n">
        <f aca="false">CHOOSE(Inputs!$F$33,INDEX(Inputs!$J$208:$AR$208,1,(Time!BI21-1)-2014),INDEX(Inputs!$J$210:$AR$210,1,(Time!BI21-1)-2014),INDEX(Inputs!$J$212:$AR$212,1,(Time!BI21-1)-2014))</f>
        <v>7</v>
      </c>
      <c r="BJ15" s="11" t="n">
        <f aca="false">CHOOSE(Inputs!$F$33,INDEX(Inputs!$J$208:$AR$208,1,(Time!BJ21-1)-2014),INDEX(Inputs!$J$210:$AR$210,1,(Time!BJ21-1)-2014),INDEX(Inputs!$J$212:$AR$212,1,(Time!BJ21-1)-2014))</f>
        <v>7</v>
      </c>
      <c r="BK15" s="11" t="n">
        <f aca="false">CHOOSE(Inputs!$F$33,INDEX(Inputs!$J$208:$AR$208,1,(Time!BK21-1)-2014),INDEX(Inputs!$J$210:$AR$210,1,(Time!BK21-1)-2014),INDEX(Inputs!$J$212:$AR$212,1,(Time!BK21-1)-2014))</f>
        <v>7</v>
      </c>
      <c r="BL15" s="11" t="n">
        <f aca="false">CHOOSE(Inputs!$F$33,INDEX(Inputs!$J$208:$AR$208,1,(Time!BL21-1)-2014),INDEX(Inputs!$J$210:$AR$210,1,(Time!BL21-1)-2014),INDEX(Inputs!$J$212:$AR$212,1,(Time!BL21-1)-2014))</f>
        <v>7</v>
      </c>
      <c r="BM15" s="11" t="n">
        <f aca="false">CHOOSE(Inputs!$F$33,INDEX(Inputs!$J$208:$AR$208,1,(Time!BM21-1)-2014),INDEX(Inputs!$J$210:$AR$210,1,(Time!BM21-1)-2014),INDEX(Inputs!$J$212:$AR$212,1,(Time!BM21-1)-2014))</f>
        <v>7</v>
      </c>
      <c r="BN15" s="11" t="n">
        <f aca="false">CHOOSE(Inputs!$F$33,INDEX(Inputs!$J$208:$AR$208,1,(Time!BN21-1)-2014),INDEX(Inputs!$J$210:$AR$210,1,(Time!BN21-1)-2014),INDEX(Inputs!$J$212:$AR$212,1,(Time!BN21-1)-2014))</f>
        <v>7</v>
      </c>
    </row>
    <row r="16" customFormat="false" ht="15" hidden="false" customHeight="false" outlineLevel="0" collapsed="false">
      <c r="D16" s="0" t="s">
        <v>467</v>
      </c>
      <c r="E16" s="0" t="s">
        <v>91</v>
      </c>
      <c r="F16" s="6" t="n">
        <f aca="false">100*(1+CHOOSE(Inputs!$F$33,INDEX(Inputs!$J$207:$AR$207,1,2016-2014),INDEX(Inputs!$J$209:$AR$209,1,2016-2014),INDEX(Inputs!$J$211:$AR$211,1,2016-2014))/100)^(1/12)*(1+CHOOSE(Inputs!$F$33,INDEX(Inputs!$J$207:$AR$207,1,2017-2014),INDEX(Inputs!$J$209:$AR$209,1,2017-2014),INDEX(Inputs!$J$211:$AR$211,1,2017-2014))/100)*(1+CHOOSE(Inputs!$F$33,INDEX(Inputs!$J$207:$AR$207,1,2018-2014),INDEX(Inputs!$J$209:$AR$209,1,2018-2014),INDEX(Inputs!$J$211:$AR$211,1,2018-2014))/100)^(6/12)</f>
        <v>103.429202060808</v>
      </c>
    </row>
    <row r="17" customFormat="false" ht="15" hidden="false" customHeight="false" outlineLevel="0" collapsed="false">
      <c r="D17" s="0" t="s">
        <v>468</v>
      </c>
      <c r="E17" s="0" t="s">
        <v>91</v>
      </c>
      <c r="J17" s="11" t="n">
        <f aca="false">100*(1+CHOOSE(Inputs!$F$33,INDEX(Inputs!$J$207:$AR$207,1,2016-2014),INDEX(Inputs!$J$209:$AR$209,1,2016-2014),INDEX(Inputs!$J$211:$AR$211,1,2016-2014))/100)^(1/12)*(1+CHOOSE(Inputs!$F$33,INDEX(Inputs!$J$207:$AR$207,1,2017-2014),INDEX(Inputs!$J$209:$AR$209,1,2017-2014),INDEX(Inputs!$J$211:$AR$211,1,2017-2014))/100)*(1+CHOOSE(Inputs!$F$33,INDEX(Inputs!$J$207:$AR$207,1,2018-2014),INDEX(Inputs!$J$209:$AR$209,1,2018-2014),INDEX(Inputs!$J$211:$AR$211,1,2018-2014))/100)^(9/12)</f>
        <v>104.044269021353</v>
      </c>
      <c r="K17" s="11" t="n">
        <f aca="false">J17*IF(Time!K22=1,(1+K14/100)^0.25*(1+K12/100)^0.25,(1+K12/100)^0.5)</f>
        <v>105.130830933754</v>
      </c>
      <c r="L17" s="11" t="n">
        <f aca="false">K17*IF(Time!L22=1,(1+L14/100)^0.25*(1+L12/100)^0.25,(1+L12/100)^0.5)</f>
        <v>106.072788507951</v>
      </c>
      <c r="M17" s="11" t="n">
        <f aca="false">L17*IF(Time!M22=1,(1+M14/100)^0.25*(1+M12/100)^0.25,(1+M12/100)^0.5)</f>
        <v>106.86513989817</v>
      </c>
      <c r="N17" s="11" t="n">
        <f aca="false">M17*IF(Time!N22=1,(1+N14/100)^0.25*(1+N12/100)^0.25,(1+N12/100)^0.5)</f>
        <v>107.504418620636</v>
      </c>
      <c r="O17" s="11" t="n">
        <f aca="false">N17*IF(Time!O22=1,(1+O14/100)^0.25*(1+O12/100)^0.25,(1+O12/100)^0.5)</f>
        <v>109.070703276742</v>
      </c>
      <c r="P17" s="11" t="n">
        <f aca="false">O17*IF(Time!P22=1,(1+P14/100)^0.25*(1+P12/100)^0.25,(1+P12/100)^0.5)</f>
        <v>111.604435279282</v>
      </c>
      <c r="Q17" s="11" t="n">
        <f aca="false">P17*IF(Time!Q22=1,(1+Q14/100)^0.25*(1+Q12/100)^0.25,(1+Q12/100)^0.5)</f>
        <v>115.086415471788</v>
      </c>
      <c r="R17" s="11" t="n">
        <f aca="false">Q17*IF(Time!R22=1,(1+R14/100)^0.25*(1+R12/100)^0.25,(1+R12/100)^0.5)</f>
        <v>119.60131131487</v>
      </c>
      <c r="S17" s="11" t="n">
        <f aca="false">R17*IF(Time!S22=1,(1+S14/100)^0.25*(1+S12/100)^0.25,(1+S12/100)^0.5)</f>
        <v>123.155712907472</v>
      </c>
      <c r="T17" s="11" t="n">
        <f aca="false">S17*IF(Time!T22=1,(1+T14/100)^0.25*(1+T12/100)^0.25,(1+T12/100)^0.5)</f>
        <v>125.655044213272</v>
      </c>
      <c r="U17" s="11" t="n">
        <f aca="false">T17*IF(Time!U22=1,(1+U14/100)^0.25*(1+U12/100)^0.25,(1+U12/100)^0.5)</f>
        <v>127.834022052385</v>
      </c>
      <c r="V17" s="11" t="n">
        <f aca="false">U17*IF(Time!V22=1,(1+V14/100)^0.25*(1+V12/100)^0.25,(1+V12/100)^0.5)</f>
        <v>129.674368217926</v>
      </c>
      <c r="W17" s="11" t="n">
        <f aca="false">V17*IF(Time!W22=1,(1+W14/100)^0.25*(1+W12/100)^0.25,(1+W12/100)^0.5)</f>
        <v>131.477245041245</v>
      </c>
      <c r="X17" s="11" t="n">
        <f aca="false">W17*IF(Time!X22=1,(1+X14/100)^0.25*(1+X12/100)^0.25,(1+X12/100)^0.5)</f>
        <v>133.240366048183</v>
      </c>
      <c r="Y17" s="11" t="n">
        <f aca="false">X17*IF(Time!Y22=1,(1+Y14/100)^0.25*(1+Y12/100)^0.25,(1+Y12/100)^0.5)</f>
        <v>134.994249337337</v>
      </c>
      <c r="Z17" s="11" t="n">
        <f aca="false">Y17*IF(Time!Z22=1,(1+Z14/100)^0.25*(1+Z12/100)^0.25,(1+Z12/100)^0.5)</f>
        <v>136.737913489124</v>
      </c>
      <c r="AA17" s="11" t="n">
        <f aca="false">Z17*IF(Time!AA22=1,(1+AA14/100)^0.25*(1+AA12/100)^0.25,(1+AA12/100)^0.5)</f>
        <v>138.402742928363</v>
      </c>
      <c r="AB17" s="11" t="n">
        <f aca="false">AA17*IF(Time!AB22=1,(1+AB14/100)^0.25*(1+AB12/100)^0.25,(1+AB12/100)^0.5)</f>
        <v>139.985326348323</v>
      </c>
      <c r="AC17" s="11" t="n">
        <f aca="false">AB17*IF(Time!AC22=1,(1+AC14/100)^0.25*(1+AC12/100)^0.25,(1+AC12/100)^0.5)</f>
        <v>141.586006015715</v>
      </c>
      <c r="AD17" s="11" t="n">
        <f aca="false">AC17*IF(Time!AD22=1,(1+AD14/100)^0.25*(1+AD12/100)^0.25,(1+AD12/100)^0.5)</f>
        <v>143.204988854335</v>
      </c>
      <c r="AE17" s="11" t="n">
        <f aca="false">AD17*IF(Time!AE22=1,(1+AE14/100)^0.25*(1+AE12/100)^0.25,(1+AE12/100)^0.5)</f>
        <v>144.842484154076</v>
      </c>
      <c r="AF17" s="11" t="n">
        <f aca="false">AE17*IF(Time!AF22=1,(1+AF14/100)^0.25*(1+AF12/100)^0.25,(1+AF12/100)^0.5)</f>
        <v>146.498703597984</v>
      </c>
      <c r="AG17" s="11" t="n">
        <f aca="false">AF17*IF(Time!AG22=1,(1+AG14/100)^0.25*(1+AG12/100)^0.25,(1+AG12/100)^0.5)</f>
        <v>148.17386128962</v>
      </c>
      <c r="AH17" s="11" t="n">
        <f aca="false">AG17*IF(Time!AH22=1,(1+AH14/100)^0.25*(1+AH12/100)^0.25,(1+AH12/100)^0.5)</f>
        <v>149.868173780738</v>
      </c>
      <c r="AI17" s="11" t="n">
        <f aca="false">AH17*IF(Time!AI22=1,(1+AI14/100)^0.25*(1+AI12/100)^0.25,(1+AI12/100)^0.5)</f>
        <v>151.581860099281</v>
      </c>
      <c r="AJ17" s="11" t="n">
        <f aca="false">AI17*IF(Time!AJ22=1,(1+AJ14/100)^0.25*(1+AJ12/100)^0.25,(1+AJ12/100)^0.5)</f>
        <v>153.315141777695</v>
      </c>
      <c r="AK17" s="11" t="n">
        <f aca="false">AJ17*IF(Time!AK22=1,(1+AK14/100)^0.25*(1+AK12/100)^0.25,(1+AK12/100)^0.5)</f>
        <v>155.068242881565</v>
      </c>
      <c r="AL17" s="11" t="n">
        <f aca="false">AK17*IF(Time!AL22=1,(1+AL14/100)^0.25*(1+AL12/100)^0.25,(1+AL12/100)^0.5)</f>
        <v>156.841390038582</v>
      </c>
      <c r="AM17" s="11" t="n">
        <f aca="false">AL17*IF(Time!AM22=1,(1+AM14/100)^0.25*(1+AM12/100)^0.25,(1+AM12/100)^0.5)</f>
        <v>158.634812467841</v>
      </c>
      <c r="AN17" s="11" t="n">
        <f aca="false">AM17*IF(Time!AN22=1,(1+AN14/100)^0.25*(1+AN12/100)^0.25,(1+AN12/100)^0.5)</f>
        <v>160.448742009469</v>
      </c>
      <c r="AO17" s="11" t="n">
        <f aca="false">AN17*IF(Time!AO22=1,(1+AO14/100)^0.25*(1+AO12/100)^0.25,(1+AO12/100)^0.5)</f>
        <v>162.283413154601</v>
      </c>
      <c r="AP17" s="11" t="n">
        <f aca="false">AO17*IF(Time!AP22=1,(1+AP14/100)^0.25*(1+AP12/100)^0.25,(1+AP12/100)^0.5)</f>
        <v>164.139063075687</v>
      </c>
      <c r="AQ17" s="11" t="n">
        <f aca="false">AP17*IF(Time!AQ22=1,(1+AQ14/100)^0.25*(1+AQ12/100)^0.25,(1+AQ12/100)^0.5)</f>
        <v>166.015931657157</v>
      </c>
      <c r="AR17" s="11" t="n">
        <f aca="false">AQ17*IF(Time!AR22=1,(1+AR14/100)^0.25*(1+AR12/100)^0.25,(1+AR12/100)^0.5)</f>
        <v>167.914261526428</v>
      </c>
      <c r="AS17" s="11" t="n">
        <f aca="false">AR17*IF(Time!AS22=1,(1+AS14/100)^0.25*(1+AS12/100)^0.25,(1+AS12/100)^0.5)</f>
        <v>169.834298085271</v>
      </c>
      <c r="AT17" s="11" t="n">
        <f aca="false">AS17*IF(Time!AT22=1,(1+AT14/100)^0.25*(1+AT12/100)^0.25,(1+AT12/100)^0.5)</f>
        <v>171.776289541536</v>
      </c>
      <c r="AU17" s="11" t="n">
        <f aca="false">AT17*IF(Time!AU22=1,(1+AU14/100)^0.25*(1+AU12/100)^0.25,(1+AU12/100)^0.5)</f>
        <v>173.740486941233</v>
      </c>
      <c r="AV17" s="11" t="n">
        <f aca="false">AU17*IF(Time!AV22=1,(1+AV14/100)^0.25*(1+AV12/100)^0.25,(1+AV12/100)^0.5)</f>
        <v>175.727144200991</v>
      </c>
      <c r="AW17" s="11" t="n">
        <f aca="false">AV17*IF(Time!AW22=1,(1+AW14/100)^0.25*(1+AW12/100)^0.25,(1+AW12/100)^0.5)</f>
        <v>177.736518140881</v>
      </c>
      <c r="AX17" s="11" t="n">
        <f aca="false">AW17*IF(Time!AX22=1,(1+AX14/100)^0.25*(1+AX12/100)^0.25,(1+AX12/100)^0.5)</f>
        <v>179.768868517614</v>
      </c>
      <c r="AY17" s="11" t="n">
        <f aca="false">AX17*IF(Time!AY22=1,(1+AY14/100)^0.25*(1+AY12/100)^0.25,(1+AY12/100)^0.5)</f>
        <v>181.824458058121</v>
      </c>
      <c r="AZ17" s="11" t="n">
        <f aca="false">AY17*IF(Time!AZ22=1,(1+AZ14/100)^0.25*(1+AZ12/100)^0.25,(1+AZ12/100)^0.5)</f>
        <v>183.903552493519</v>
      </c>
      <c r="BA17" s="11" t="n">
        <f aca="false">AZ17*IF(Time!BA22=1,(1+BA14/100)^0.25*(1+BA12/100)^0.25,(1+BA12/100)^0.5)</f>
        <v>186.006420593458</v>
      </c>
      <c r="BB17" s="11" t="n">
        <f aca="false">BA17*IF(Time!BB22=1,(1+BB14/100)^0.25*(1+BB12/100)^0.25,(1+BB12/100)^0.5)</f>
        <v>188.13333420087</v>
      </c>
      <c r="BC17" s="11" t="n">
        <f aca="false">BB17*IF(Time!BC22=1,(1+BC14/100)^0.25*(1+BC12/100)^0.25,(1+BC12/100)^0.5)</f>
        <v>190.284568267107</v>
      </c>
      <c r="BD17" s="11" t="n">
        <f aca="false">BC17*IF(Time!BD22=1,(1+BD14/100)^0.25*(1+BD12/100)^0.25,(1+BD12/100)^0.5)</f>
        <v>192.46040088749</v>
      </c>
      <c r="BE17" s="11" t="n">
        <f aca="false">BD17*IF(Time!BE22=1,(1+BE14/100)^0.25*(1+BE12/100)^0.25,(1+BE12/100)^0.5)</f>
        <v>194.661113337251</v>
      </c>
      <c r="BF17" s="11" t="n">
        <f aca="false">BE17*IF(Time!BF22=1,(1+BF14/100)^0.25*(1+BF12/100)^0.25,(1+BF12/100)^0.5)</f>
        <v>196.886990107902</v>
      </c>
      <c r="BG17" s="11" t="n">
        <f aca="false">BF17*IF(Time!BG22=1,(1+BG14/100)^0.25*(1+BG12/100)^0.25,(1+BG12/100)^0.5)</f>
        <v>199.138318944007</v>
      </c>
      <c r="BH17" s="11" t="n">
        <f aca="false">BG17*IF(Time!BH22=1,(1+BH14/100)^0.25*(1+BH12/100)^0.25,(1+BH12/100)^0.5)</f>
        <v>201.415390880383</v>
      </c>
      <c r="BI17" s="11" t="n">
        <f aca="false">BH17*IF(Time!BI22=1,(1+BI14/100)^0.25*(1+BI12/100)^0.25,(1+BI12/100)^0.5)</f>
        <v>203.718500279719</v>
      </c>
      <c r="BJ17" s="11" t="n">
        <f aca="false">BI17*IF(Time!BJ22=1,(1+BJ14/100)^0.25*(1+BJ12/100)^0.25,(1+BJ12/100)^0.5)</f>
        <v>206.047944870632</v>
      </c>
      <c r="BK17" s="11" t="n">
        <f aca="false">BJ17*IF(Time!BK22=1,(1+BK14/100)^0.25*(1+BK12/100)^0.25,(1+BK12/100)^0.5)</f>
        <v>208.404025786153</v>
      </c>
      <c r="BL17" s="11" t="n">
        <f aca="false">BK17*IF(Time!BL22=1,(1+BL14/100)^0.25*(1+BL12/100)^0.25,(1+BL12/100)^0.5)</f>
        <v>210.787047602657</v>
      </c>
      <c r="BM17" s="11" t="n">
        <f aca="false">BL17*IF(Time!BM22=1,(1+BM14/100)^0.25*(1+BM12/100)^0.25,(1+BM12/100)^0.5)</f>
        <v>213.197318379234</v>
      </c>
      <c r="BN17" s="11" t="n">
        <f aca="false">BM17*IF(Time!BN22=1,(1+BN14/100)^0.25*(1+BN12/100)^0.25,(1+BN12/100)^0.5)</f>
        <v>215.635149697518</v>
      </c>
    </row>
    <row r="18" customFormat="false" ht="15" hidden="false" customHeight="false" outlineLevel="0" collapsed="false">
      <c r="D18" s="0" t="s">
        <v>469</v>
      </c>
      <c r="E18" s="0" t="s">
        <v>91</v>
      </c>
      <c r="J18" s="11" t="n">
        <f aca="false">100*(1+CHOOSE(Inputs!$F$33,INDEX(Inputs!$J$207:$AR$207,1,2016-2014),INDEX(Inputs!$J$209:$AR$209,1,2016-2014),INDEX(Inputs!$J$211:$AR$211,1,2016-2014))/100)^(1/12)*(1+CHOOSE(Inputs!$F$33,INDEX(Inputs!$J$207:$AR$207,1,2017-2014),INDEX(Inputs!$J$209:$AR$209,1,2017-2014),INDEX(Inputs!$J$211:$AR$211,1,2017-2014))/100)*(1+CHOOSE(Inputs!$F$33,INDEX(Inputs!$J$207:$AR$207,1,2018-2014),INDEX(Inputs!$J$209:$AR$209,1,2018-2014),INDEX(Inputs!$J$211:$AR$211,1,2018-2014))/100)^(3/12)</f>
        <v>102.817771123367</v>
      </c>
      <c r="K18" s="11" t="n">
        <f aca="false">J17</f>
        <v>104.044269021353</v>
      </c>
      <c r="L18" s="11" t="n">
        <f aca="false">K17</f>
        <v>105.130830933754</v>
      </c>
      <c r="M18" s="11" t="n">
        <f aca="false">L17</f>
        <v>106.072788507951</v>
      </c>
      <c r="N18" s="11" t="n">
        <f aca="false">M17</f>
        <v>106.86513989817</v>
      </c>
      <c r="O18" s="11" t="n">
        <f aca="false">N17</f>
        <v>107.504418620636</v>
      </c>
      <c r="P18" s="11" t="n">
        <f aca="false">O17</f>
        <v>109.070703276742</v>
      </c>
      <c r="Q18" s="11" t="n">
        <f aca="false">P17</f>
        <v>111.604435279282</v>
      </c>
      <c r="R18" s="11" t="n">
        <f aca="false">Q17</f>
        <v>115.086415471788</v>
      </c>
      <c r="S18" s="11" t="n">
        <f aca="false">R17</f>
        <v>119.60131131487</v>
      </c>
      <c r="T18" s="11" t="n">
        <f aca="false">S17</f>
        <v>123.155712907472</v>
      </c>
      <c r="U18" s="11" t="n">
        <f aca="false">T17</f>
        <v>125.655044213272</v>
      </c>
      <c r="V18" s="11" t="n">
        <f aca="false">U17</f>
        <v>127.834022052385</v>
      </c>
      <c r="W18" s="11" t="n">
        <f aca="false">V17</f>
        <v>129.674368217926</v>
      </c>
      <c r="X18" s="11" t="n">
        <f aca="false">W17</f>
        <v>131.477245041245</v>
      </c>
      <c r="Y18" s="11" t="n">
        <f aca="false">X17</f>
        <v>133.240366048183</v>
      </c>
      <c r="Z18" s="11" t="n">
        <f aca="false">Y17</f>
        <v>134.994249337337</v>
      </c>
      <c r="AA18" s="11" t="n">
        <f aca="false">Z17</f>
        <v>136.737913489124</v>
      </c>
      <c r="AB18" s="11" t="n">
        <f aca="false">AA17</f>
        <v>138.402742928363</v>
      </c>
      <c r="AC18" s="11" t="n">
        <f aca="false">AB17</f>
        <v>139.985326348323</v>
      </c>
      <c r="AD18" s="11" t="n">
        <f aca="false">AC17</f>
        <v>141.586006015715</v>
      </c>
      <c r="AE18" s="11" t="n">
        <f aca="false">AD17</f>
        <v>143.204988854335</v>
      </c>
      <c r="AF18" s="11" t="n">
        <f aca="false">AE17</f>
        <v>144.842484154076</v>
      </c>
      <c r="AG18" s="11" t="n">
        <f aca="false">AF17</f>
        <v>146.498703597984</v>
      </c>
      <c r="AH18" s="11" t="n">
        <f aca="false">AG17</f>
        <v>148.17386128962</v>
      </c>
      <c r="AI18" s="11" t="n">
        <f aca="false">AH17</f>
        <v>149.868173780738</v>
      </c>
      <c r="AJ18" s="11" t="n">
        <f aca="false">AI17</f>
        <v>151.581860099281</v>
      </c>
      <c r="AK18" s="11" t="n">
        <f aca="false">AJ17</f>
        <v>153.315141777695</v>
      </c>
      <c r="AL18" s="11" t="n">
        <f aca="false">AK17</f>
        <v>155.068242881565</v>
      </c>
      <c r="AM18" s="11" t="n">
        <f aca="false">AL17</f>
        <v>156.841390038582</v>
      </c>
      <c r="AN18" s="11" t="n">
        <f aca="false">AM17</f>
        <v>158.634812467841</v>
      </c>
      <c r="AO18" s="11" t="n">
        <f aca="false">AN17</f>
        <v>160.448742009469</v>
      </c>
      <c r="AP18" s="11" t="n">
        <f aca="false">AO17</f>
        <v>162.283413154601</v>
      </c>
      <c r="AQ18" s="11" t="n">
        <f aca="false">AP17</f>
        <v>164.139063075687</v>
      </c>
      <c r="AR18" s="11" t="n">
        <f aca="false">AQ17</f>
        <v>166.015931657157</v>
      </c>
      <c r="AS18" s="11" t="n">
        <f aca="false">AR17</f>
        <v>167.914261526428</v>
      </c>
      <c r="AT18" s="11" t="n">
        <f aca="false">AS17</f>
        <v>169.834298085271</v>
      </c>
      <c r="AU18" s="11" t="n">
        <f aca="false">AT17</f>
        <v>171.776289541536</v>
      </c>
      <c r="AV18" s="11" t="n">
        <f aca="false">AU17</f>
        <v>173.740486941233</v>
      </c>
      <c r="AW18" s="11" t="n">
        <f aca="false">AV17</f>
        <v>175.727144200991</v>
      </c>
      <c r="AX18" s="11" t="n">
        <f aca="false">AW17</f>
        <v>177.736518140881</v>
      </c>
      <c r="AY18" s="11" t="n">
        <f aca="false">AX17</f>
        <v>179.768868517614</v>
      </c>
      <c r="AZ18" s="11" t="n">
        <f aca="false">AY17</f>
        <v>181.824458058121</v>
      </c>
      <c r="BA18" s="11" t="n">
        <f aca="false">AZ17</f>
        <v>183.903552493519</v>
      </c>
      <c r="BB18" s="11" t="n">
        <f aca="false">BA17</f>
        <v>186.006420593458</v>
      </c>
      <c r="BC18" s="11" t="n">
        <f aca="false">BB17</f>
        <v>188.13333420087</v>
      </c>
      <c r="BD18" s="11" t="n">
        <f aca="false">BC17</f>
        <v>190.284568267107</v>
      </c>
      <c r="BE18" s="11" t="n">
        <f aca="false">BD17</f>
        <v>192.46040088749</v>
      </c>
      <c r="BF18" s="11" t="n">
        <f aca="false">BE17</f>
        <v>194.661113337251</v>
      </c>
      <c r="BG18" s="11" t="n">
        <f aca="false">BF17</f>
        <v>196.886990107902</v>
      </c>
      <c r="BH18" s="11" t="n">
        <f aca="false">BG17</f>
        <v>199.138318944007</v>
      </c>
      <c r="BI18" s="11" t="n">
        <f aca="false">BH17</f>
        <v>201.415390880383</v>
      </c>
      <c r="BJ18" s="11" t="n">
        <f aca="false">BI17</f>
        <v>203.718500279719</v>
      </c>
      <c r="BK18" s="11" t="n">
        <f aca="false">BJ17</f>
        <v>206.047944870632</v>
      </c>
      <c r="BL18" s="11" t="n">
        <f aca="false">BK17</f>
        <v>208.404025786153</v>
      </c>
      <c r="BM18" s="11" t="n">
        <f aca="false">BL17</f>
        <v>210.787047602657</v>
      </c>
      <c r="BN18" s="11" t="n">
        <f aca="false">BM17</f>
        <v>213.197318379234</v>
      </c>
    </row>
    <row r="19" customFormat="false" ht="15" hidden="false" customHeight="false" outlineLevel="0" collapsed="false">
      <c r="D19" s="0" t="s">
        <v>470</v>
      </c>
      <c r="E19" s="0" t="s">
        <v>99</v>
      </c>
      <c r="J19" s="11" t="n">
        <f aca="false">J17/$F$16</f>
        <v>1.00594674374635</v>
      </c>
      <c r="K19" s="11" t="n">
        <f aca="false">K17/$F$16</f>
        <v>1.01645211254695</v>
      </c>
      <c r="L19" s="11" t="n">
        <f aca="false">L17/$F$16</f>
        <v>1.02555938162984</v>
      </c>
      <c r="M19" s="11" t="n">
        <f aca="false">M17/$F$16</f>
        <v>1.03322019090258</v>
      </c>
      <c r="N19" s="11" t="n">
        <f aca="false">N17/$F$16</f>
        <v>1.0394010248424</v>
      </c>
      <c r="O19" s="11" t="n">
        <f aca="false">O17/$F$16</f>
        <v>1.0545445686859</v>
      </c>
      <c r="P19" s="11" t="n">
        <f aca="false">P17/$F$16</f>
        <v>1.07904182818376</v>
      </c>
      <c r="Q19" s="11" t="n">
        <f aca="false">Q17/$F$16</f>
        <v>1.11270717726437</v>
      </c>
      <c r="R19" s="11" t="n">
        <f aca="false">R17/$F$16</f>
        <v>1.15635921898106</v>
      </c>
      <c r="S19" s="11" t="n">
        <f aca="false">S17/$F$16</f>
        <v>1.19072477069934</v>
      </c>
      <c r="T19" s="11" t="n">
        <f aca="false">T17/$F$16</f>
        <v>1.21488942880364</v>
      </c>
      <c r="U19" s="11" t="n">
        <f aca="false">U17/$F$16</f>
        <v>1.23595676564563</v>
      </c>
      <c r="V19" s="11" t="n">
        <f aca="false">V17/$F$16</f>
        <v>1.25375005930808</v>
      </c>
      <c r="W19" s="11" t="n">
        <f aca="false">W17/$F$16</f>
        <v>1.2711810825336</v>
      </c>
      <c r="X19" s="11" t="n">
        <f aca="false">X17/$F$16</f>
        <v>1.28822772866262</v>
      </c>
      <c r="Y19" s="11" t="n">
        <f aca="false">Y17/$F$16</f>
        <v>1.30518506038528</v>
      </c>
      <c r="Z19" s="11" t="n">
        <f aca="false">Z17/$F$16</f>
        <v>1.32204358889603</v>
      </c>
      <c r="AA19" s="11" t="n">
        <f aca="false">AA17/$F$16</f>
        <v>1.33813990798259</v>
      </c>
      <c r="AB19" s="11" t="n">
        <f aca="false">AB17/$F$16</f>
        <v>1.35344103559866</v>
      </c>
      <c r="AC19" s="11" t="n">
        <f aca="false">AC17/$F$16</f>
        <v>1.36891712586619</v>
      </c>
      <c r="AD19" s="11" t="n">
        <f aca="false">AD17/$F$16</f>
        <v>1.38457017941743</v>
      </c>
      <c r="AE19" s="11" t="n">
        <f aca="false">AE17/$F$16</f>
        <v>1.40040221976111</v>
      </c>
      <c r="AF19" s="11" t="n">
        <f aca="false">AF17/$F$16</f>
        <v>1.41641529354403</v>
      </c>
      <c r="AG19" s="11" t="n">
        <f aca="false">AG17/$F$16</f>
        <v>1.43261147081562</v>
      </c>
      <c r="AH19" s="11" t="n">
        <f aca="false">AH17/$F$16</f>
        <v>1.44899284529554</v>
      </c>
      <c r="AI19" s="11" t="n">
        <f aca="false">AI17/$F$16</f>
        <v>1.46556153464437</v>
      </c>
      <c r="AJ19" s="11" t="n">
        <f aca="false">AJ17/$F$16</f>
        <v>1.48231968073734</v>
      </c>
      <c r="AK19" s="11" t="n">
        <f aca="false">AK17/$F$16</f>
        <v>1.49926944994119</v>
      </c>
      <c r="AL19" s="11" t="n">
        <f aca="false">AL17/$F$16</f>
        <v>1.5164130333943</v>
      </c>
      <c r="AM19" s="11" t="n">
        <f aca="false">AM17/$F$16</f>
        <v>1.53375264728984</v>
      </c>
      <c r="AN19" s="11" t="n">
        <f aca="false">AN17/$F$16</f>
        <v>1.55129053316236</v>
      </c>
      <c r="AO19" s="11" t="n">
        <f aca="false">AO17/$F$16</f>
        <v>1.56902895817751</v>
      </c>
      <c r="AP19" s="11" t="n">
        <f aca="false">AP17/$F$16</f>
        <v>1.5869702154251</v>
      </c>
      <c r="AQ19" s="11" t="n">
        <f aca="false">AQ17/$F$16</f>
        <v>1.60511662421559</v>
      </c>
      <c r="AR19" s="11" t="n">
        <f aca="false">AR17/$F$16</f>
        <v>1.62347053037988</v>
      </c>
      <c r="AS19" s="11" t="n">
        <f aca="false">AS17/$F$16</f>
        <v>1.64203430657255</v>
      </c>
      <c r="AT19" s="11" t="n">
        <f aca="false">AT17/$F$16</f>
        <v>1.66081035257861</v>
      </c>
      <c r="AU19" s="11" t="n">
        <f aca="false">AU17/$F$16</f>
        <v>1.67980109562372</v>
      </c>
      <c r="AV19" s="11" t="n">
        <f aca="false">AV17/$F$16</f>
        <v>1.69900899068792</v>
      </c>
      <c r="AW19" s="11" t="n">
        <f aca="false">AW17/$F$16</f>
        <v>1.71843652082306</v>
      </c>
      <c r="AX19" s="11" t="n">
        <f aca="false">AX17/$F$16</f>
        <v>1.73808619747374</v>
      </c>
      <c r="AY19" s="11" t="n">
        <f aca="false">AY17/$F$16</f>
        <v>1.75796056080199</v>
      </c>
      <c r="AZ19" s="11" t="n">
        <f aca="false">AZ17/$F$16</f>
        <v>1.77806218001564</v>
      </c>
      <c r="BA19" s="11" t="n">
        <f aca="false">BA17/$F$16</f>
        <v>1.79839365370044</v>
      </c>
      <c r="BB19" s="11" t="n">
        <f aca="false">BB17/$F$16</f>
        <v>1.818957610156</v>
      </c>
      <c r="BC19" s="11" t="n">
        <f aca="false">BC17/$F$16</f>
        <v>1.83975670773555</v>
      </c>
      <c r="BD19" s="11" t="n">
        <f aca="false">BD17/$F$16</f>
        <v>1.86079363518958</v>
      </c>
      <c r="BE19" s="11" t="n">
        <f aca="false">BE17/$F$16</f>
        <v>1.88207111201346</v>
      </c>
      <c r="BF19" s="11" t="n">
        <f aca="false">BF17/$F$16</f>
        <v>1.90359188879894</v>
      </c>
      <c r="BG19" s="11" t="n">
        <f aca="false">BG17/$F$16</f>
        <v>1.92535874758977</v>
      </c>
      <c r="BH19" s="11" t="n">
        <f aca="false">BH17/$F$16</f>
        <v>1.94737450224132</v>
      </c>
      <c r="BI19" s="11" t="n">
        <f aca="false">BI17/$F$16</f>
        <v>1.96964199878434</v>
      </c>
      <c r="BJ19" s="11" t="n">
        <f aca="false">BJ17/$F$16</f>
        <v>1.99216411579287</v>
      </c>
      <c r="BK19" s="11" t="n">
        <f aca="false">BK17/$F$16</f>
        <v>2.01494376475638</v>
      </c>
      <c r="BL19" s="11" t="n">
        <f aca="false">BL17/$F$16</f>
        <v>2.0379838904561</v>
      </c>
      <c r="BM19" s="11" t="n">
        <f aca="false">BM17/$F$16</f>
        <v>2.06128747134577</v>
      </c>
      <c r="BN19" s="11" t="n">
        <f aca="false">BN17/$F$16</f>
        <v>2.08485751993659</v>
      </c>
    </row>
    <row r="20" customFormat="false" ht="15" hidden="false" customHeight="false" outlineLevel="0" collapsed="false">
      <c r="D20" s="0" t="s">
        <v>471</v>
      </c>
      <c r="E20" s="0" t="s">
        <v>91</v>
      </c>
      <c r="F20" s="6" t="n">
        <f aca="false">100*(1+CHOOSE(Inputs!$F$33,INDEX(Inputs!$J$208:$AR$208,1,2016-2014),INDEX(Inputs!$J$210:$AR$210,1,2016-2014),INDEX(Inputs!$J$212:$AR$212,1,2016-2014))/100)^(1/12)*(1+CHOOSE(Inputs!$F$33,INDEX(Inputs!$J$208:$AR$208,1,2017-2014),INDEX(Inputs!$J$210:$AR$210,1,2017-2014),INDEX(Inputs!$J$212:$AR$212,1,2017-2014))/100)*(1+CHOOSE(Inputs!$F$33,INDEX(Inputs!$J$208:$AR$208,1,2018-2014),INDEX(Inputs!$J$210:$AR$210,1,2018-2014),INDEX(Inputs!$J$212:$AR$212,1,2018-2014))/100)^(6/12)</f>
        <v>112.975240134372</v>
      </c>
    </row>
    <row r="21" customFormat="false" ht="15" hidden="false" customHeight="false" outlineLevel="0" collapsed="false">
      <c r="D21" s="0" t="s">
        <v>472</v>
      </c>
      <c r="E21" s="0" t="s">
        <v>91</v>
      </c>
      <c r="J21" s="11" t="n">
        <f aca="false">100*(1+CHOOSE(Inputs!$F$33,INDEX(Inputs!$J$208:$AR$208,1,2016-2014),INDEX(Inputs!$J$210:$AR$210,1,2016-2014),INDEX(Inputs!$J$212:$AR$212,1,2016-2014))/100)^(1/12)*(1+CHOOSE(Inputs!$F$33,INDEX(Inputs!$J$208:$AR$208,1,2017-2014),INDEX(Inputs!$J$210:$AR$210,1,2017-2014),INDEX(Inputs!$J$212:$AR$212,1,2017-2014))/100)*(1+CHOOSE(Inputs!$F$33,INDEX(Inputs!$J$208:$AR$208,1,2018-2014),INDEX(Inputs!$J$210:$AR$210,1,2018-2014),INDEX(Inputs!$J$212:$AR$212,1,2018-2014))/100)^(9/12)</f>
        <v>115.063171655127</v>
      </c>
      <c r="K21" s="11" t="n">
        <f aca="false">J21*IF(Time!K22=1,(1+K15/100)^0.25*(1+K13/100)^0.25,(1+K13/100)^0.5)</f>
        <v>119.438618093899</v>
      </c>
      <c r="L21" s="11" t="n">
        <f aca="false">K21*IF(Time!L22=1,(1+L15/100)^0.25*(1+L13/100)^0.25,(1+L13/100)^0.5)</f>
        <v>124.066774714516</v>
      </c>
      <c r="M21" s="11" t="n">
        <f aca="false">L21*IF(Time!M22=1,(1+M15/100)^0.25*(1+M13/100)^0.25,(1+M13/100)^0.5)</f>
        <v>129.43789408732</v>
      </c>
      <c r="N21" s="11" t="n">
        <f aca="false">M21*IF(Time!N22=1,(1+N15/100)^0.25*(1+N13/100)^0.25,(1+N13/100)^0.5)</f>
        <v>135.632138269234</v>
      </c>
      <c r="O21" s="11" t="n">
        <f aca="false">N21*IF(Time!O22=1,(1+O15/100)^0.25*(1+O13/100)^0.25,(1+O13/100)^0.5)</f>
        <v>142.380979176357</v>
      </c>
      <c r="P21" s="11" t="n">
        <f aca="false">O21*IF(Time!P22=1,(1+P15/100)^0.25*(1+P13/100)^0.25,(1+P13/100)^0.5)</f>
        <v>149.737141730859</v>
      </c>
      <c r="Q21" s="11" t="n">
        <f aca="false">P21*IF(Time!Q22=1,(1+Q15/100)^0.25*(1+Q13/100)^0.25,(1+Q13/100)^0.5)</f>
        <v>162.786789552918</v>
      </c>
      <c r="R21" s="11" t="n">
        <f aca="false">Q21*IF(Time!R22=1,(1+R15/100)^0.25*(1+R13/100)^0.25,(1+R13/100)^0.5)</f>
        <v>182.945121747673</v>
      </c>
      <c r="S21" s="11" t="n">
        <f aca="false">R21*IF(Time!S22=1,(1+S15/100)^0.25*(1+S13/100)^0.25,(1+S13/100)^0.5)</f>
        <v>208.97490869617</v>
      </c>
      <c r="T21" s="11" t="n">
        <f aca="false">S21*IF(Time!T22=1,(1+T15/100)^0.25*(1+T13/100)^0.25,(1+T13/100)^0.5)</f>
        <v>242.626978718864</v>
      </c>
      <c r="U21" s="11" t="n">
        <f aca="false">T21*IF(Time!U22=1,(1+U15/100)^0.25*(1+U13/100)^0.25,(1+U13/100)^0.5)</f>
        <v>273.168505817987</v>
      </c>
      <c r="V21" s="11" t="n">
        <f aca="false">U21*IF(Time!V22=1,(1+V15/100)^0.25*(1+V13/100)^0.25,(1+V13/100)^0.5)</f>
        <v>298.24196690679</v>
      </c>
      <c r="W21" s="11" t="n">
        <f aca="false">V21*IF(Time!W22=1,(1+W15/100)^0.25*(1+W13/100)^0.25,(1+W13/100)^0.5)</f>
        <v>320.870208524834</v>
      </c>
      <c r="X21" s="11" t="n">
        <f aca="false">W21*IF(Time!X22=1,(1+X15/100)^0.25*(1+X13/100)^0.25,(1+X13/100)^0.5)</f>
        <v>340.182957197885</v>
      </c>
      <c r="Y21" s="11" t="n">
        <f aca="false">X21*IF(Time!Y22=1,(1+Y15/100)^0.25*(1+Y13/100)^0.25,(1+Y13/100)^0.5)</f>
        <v>358.390730528705</v>
      </c>
      <c r="Z21" s="11" t="n">
        <f aca="false">Y21*IF(Time!Z22=1,(1+Z15/100)^0.25*(1+Z13/100)^0.25,(1+Z13/100)^0.5)</f>
        <v>375.199322545861</v>
      </c>
      <c r="AA21" s="11" t="n">
        <f aca="false">Z21*IF(Time!AA22=1,(1+AA15/100)^0.25*(1+AA13/100)^0.25,(1+AA13/100)^0.5)</f>
        <v>391.354762255077</v>
      </c>
      <c r="AB21" s="11" t="n">
        <f aca="false">AA21*IF(Time!AB22=1,(1+AB15/100)^0.25*(1+AB13/100)^0.25,(1+AB13/100)^0.5)</f>
        <v>406.707799205899</v>
      </c>
      <c r="AC21" s="11" t="n">
        <f aca="false">AB21*IF(Time!AC22=1,(1+AC15/100)^0.25*(1+AC13/100)^0.25,(1+AC13/100)^0.5)</f>
        <v>421.681340686519</v>
      </c>
      <c r="AD21" s="11" t="n">
        <f aca="false">AC21*IF(Time!AD22=1,(1+AD15/100)^0.25*(1+AD13/100)^0.25,(1+AD13/100)^0.5)</f>
        <v>436.190570506748</v>
      </c>
      <c r="AE21" s="11" t="n">
        <f aca="false">AD21*IF(Time!AE22=1,(1+AE15/100)^0.25*(1+AE13/100)^0.25,(1+AE13/100)^0.5)</f>
        <v>451.199034534575</v>
      </c>
      <c r="AF21" s="11" t="n">
        <f aca="false">AE21*IF(Time!AF22=1,(1+AF15/100)^0.25*(1+AF13/100)^0.25,(1+AF13/100)^0.5)</f>
        <v>466.723910442221</v>
      </c>
      <c r="AG21" s="11" t="n">
        <f aca="false">AF21*IF(Time!AG22=1,(1+AG15/100)^0.25*(1+AG13/100)^0.25,(1+AG13/100)^0.5)</f>
        <v>482.782966951996</v>
      </c>
      <c r="AH21" s="11" t="n">
        <f aca="false">AG21*IF(Time!AH22=1,(1+AH15/100)^0.25*(1+AH13/100)^0.25,(1+AH13/100)^0.5)</f>
        <v>499.394584173176</v>
      </c>
      <c r="AI21" s="11" t="n">
        <f aca="false">AH21*IF(Time!AI22=1,(1+AI15/100)^0.25*(1+AI13/100)^0.25,(1+AI13/100)^0.5)</f>
        <v>516.577774638636</v>
      </c>
      <c r="AJ21" s="11" t="n">
        <f aca="false">AI21*IF(Time!AJ22=1,(1+AJ15/100)^0.25*(1+AJ13/100)^0.25,(1+AJ13/100)^0.5)</f>
        <v>534.352205065299</v>
      </c>
      <c r="AK21" s="11" t="n">
        <f aca="false">AJ21*IF(Time!AK22=1,(1+AK15/100)^0.25*(1+AK13/100)^0.25,(1+AK13/100)^0.5)</f>
        <v>552.73821886334</v>
      </c>
      <c r="AL21" s="11" t="n">
        <f aca="false">AK21*IF(Time!AL22=1,(1+AL15/100)^0.25*(1+AL13/100)^0.25,(1+AL13/100)^0.5)</f>
        <v>571.75685941987</v>
      </c>
      <c r="AM21" s="11" t="n">
        <f aca="false">AL21*IF(Time!AM22=1,(1+AM15/100)^0.25*(1+AM13/100)^0.25,(1+AM13/100)^0.5)</f>
        <v>591.429894183774</v>
      </c>
      <c r="AN21" s="11" t="n">
        <f aca="false">AM21*IF(Time!AN22=1,(1+AN15/100)^0.25*(1+AN13/100)^0.25,(1+AN13/100)^0.5)</f>
        <v>611.779839579261</v>
      </c>
      <c r="AO21" s="11" t="n">
        <f aca="false">AN21*IF(Time!AO22=1,(1+AO15/100)^0.25*(1+AO13/100)^0.25,(1+AO13/100)^0.5)</f>
        <v>632.829986776638</v>
      </c>
      <c r="AP21" s="11" t="n">
        <f aca="false">AO21*IF(Time!AP22=1,(1+AP15/100)^0.25*(1+AP13/100)^0.25,(1+AP13/100)^0.5)</f>
        <v>654.604428349809</v>
      </c>
      <c r="AQ21" s="11" t="n">
        <f aca="false">AP21*IF(Time!AQ22=1,(1+AQ15/100)^0.25*(1+AQ13/100)^0.25,(1+AQ13/100)^0.5)</f>
        <v>677.128085851003</v>
      </c>
      <c r="AR21" s="11" t="n">
        <f aca="false">AQ21*IF(Time!AR22=1,(1+AR15/100)^0.25*(1+AR13/100)^0.25,(1+AR13/100)^0.5)</f>
        <v>700.426738334296</v>
      </c>
      <c r="AS21" s="11" t="n">
        <f aca="false">AR21*IF(Time!AS22=1,(1+AS15/100)^0.25*(1+AS13/100)^0.25,(1+AS13/100)^0.5)</f>
        <v>724.527051860574</v>
      </c>
      <c r="AT21" s="11" t="n">
        <f aca="false">AS21*IF(Time!AT22=1,(1+AT15/100)^0.25*(1+AT13/100)^0.25,(1+AT13/100)^0.5)</f>
        <v>749.456610017697</v>
      </c>
      <c r="AU21" s="11" t="n">
        <f aca="false">AT21*IF(Time!AU22=1,(1+AU15/100)^0.25*(1+AU13/100)^0.25,(1+AU13/100)^0.5)</f>
        <v>775.243945490814</v>
      </c>
      <c r="AV21" s="11" t="n">
        <f aca="false">AU21*IF(Time!AV22=1,(1+AV15/100)^0.25*(1+AV13/100)^0.25,(1+AV13/100)^0.5)</f>
        <v>801.918572718936</v>
      </c>
      <c r="AW21" s="11" t="n">
        <f aca="false">AV21*IF(Time!AW22=1,(1+AW15/100)^0.25*(1+AW13/100)^0.25,(1+AW13/100)^0.5)</f>
        <v>829.511021675171</v>
      </c>
      <c r="AX21" s="11" t="n">
        <f aca="false">AW21*IF(Time!AX22=1,(1+AX15/100)^0.25*(1+AX13/100)^0.25,(1+AX13/100)^0.5)</f>
        <v>858.052872809262</v>
      </c>
      <c r="AY21" s="11" t="n">
        <f aca="false">AX21*IF(Time!AY22=1,(1+AY15/100)^0.25*(1+AY13/100)^0.25,(1+AY13/100)^0.5)</f>
        <v>887.576793192433</v>
      </c>
      <c r="AZ21" s="11" t="n">
        <f aca="false">AY21*IF(Time!AZ22=1,(1+AZ15/100)^0.25*(1+AZ13/100)^0.25,(1+AZ13/100)^0.5)</f>
        <v>918.11657390591</v>
      </c>
      <c r="BA21" s="11" t="n">
        <f aca="false">AZ21*IF(Time!BA22=1,(1+BA15/100)^0.25*(1+BA13/100)^0.25,(1+BA13/100)^0.5)</f>
        <v>949.707168715904</v>
      </c>
      <c r="BB21" s="11" t="n">
        <f aca="false">BA21*IF(Time!BB22=1,(1+BB15/100)^0.25*(1+BB13/100)^0.25,(1+BB13/100)^0.5)</f>
        <v>982.384734079324</v>
      </c>
      <c r="BC21" s="11" t="n">
        <f aca="false">BB21*IF(Time!BC22=1,(1+BC15/100)^0.25*(1+BC13/100)^0.25,(1+BC13/100)^0.5)</f>
        <v>1016.18667052602</v>
      </c>
      <c r="BD21" s="11" t="n">
        <f aca="false">BC21*IF(Time!BD22=1,(1+BD15/100)^0.25*(1+BD13/100)^0.25,(1+BD13/100)^0.5)</f>
        <v>1051.15166546488</v>
      </c>
      <c r="BE21" s="11" t="n">
        <f aca="false">BD21*IF(Time!BE22=1,(1+BE15/100)^0.25*(1+BE13/100)^0.25,(1+BE13/100)^0.5)</f>
        <v>1087.31973746284</v>
      </c>
      <c r="BF21" s="11" t="n">
        <f aca="false">BE21*IF(Time!BF22=1,(1+BF15/100)^0.25*(1+BF13/100)^0.25,(1+BF13/100)^0.5)</f>
        <v>1124.73228204742</v>
      </c>
      <c r="BG21" s="11" t="n">
        <f aca="false">BF21*IF(Time!BG22=1,(1+BG15/100)^0.25*(1+BG13/100)^0.25,(1+BG13/100)^0.5)</f>
        <v>1163.43211908524</v>
      </c>
      <c r="BH21" s="11" t="n">
        <f aca="false">BG21*IF(Time!BH22=1,(1+BH15/100)^0.25*(1+BH13/100)^0.25,(1+BH13/100)^0.5)</f>
        <v>1203.46354179074</v>
      </c>
      <c r="BI21" s="11" t="n">
        <f aca="false">BH21*IF(Time!BI22=1,(1+BI15/100)^0.25*(1+BI13/100)^0.25,(1+BI13/100)^0.5)</f>
        <v>1244.8723674212</v>
      </c>
      <c r="BJ21" s="11" t="n">
        <f aca="false">BI21*IF(Time!BJ22=1,(1+BJ15/100)^0.25*(1+BJ13/100)^0.25,(1+BJ13/100)^0.5)</f>
        <v>1287.70598971609</v>
      </c>
      <c r="BK21" s="11" t="n">
        <f aca="false">BJ21*IF(Time!BK22=1,(1+BK15/100)^0.25*(1+BK13/100)^0.25,(1+BK13/100)^0.5)</f>
        <v>1332.01343314069</v>
      </c>
      <c r="BL21" s="11" t="n">
        <f aca="false">BK21*IF(Time!BL22=1,(1+BL15/100)^0.25*(1+BL13/100)^0.25,(1+BL13/100)^0.5)</f>
        <v>1377.84540899622</v>
      </c>
      <c r="BM21" s="11" t="n">
        <f aca="false">BL21*IF(Time!BM22=1,(1+BM15/100)^0.25*(1+BM13/100)^0.25,(1+BM13/100)^0.5)</f>
        <v>1425.25437346054</v>
      </c>
      <c r="BN21" s="11" t="n">
        <f aca="false">BM21*IF(Time!BN22=1,(1+BN15/100)^0.25*(1+BN13/100)^0.25,(1+BN13/100)^0.5)</f>
        <v>1474.29458762595</v>
      </c>
    </row>
    <row r="22" customFormat="false" ht="15" hidden="false" customHeight="false" outlineLevel="0" collapsed="false">
      <c r="D22" s="0" t="s">
        <v>473</v>
      </c>
      <c r="E22" s="0" t="s">
        <v>91</v>
      </c>
      <c r="J22" s="11" t="n">
        <f aca="false">100*(1+CHOOSE(Inputs!$F$33,INDEX(Inputs!$J$208:$AR$208,1,2016-2014),INDEX(Inputs!$J$210:$AR$210,1,2016-2014),INDEX(Inputs!$J$212:$AR$212,1,2016-2014))/100)^(1/12)*(1+CHOOSE(Inputs!$F$33,INDEX(Inputs!$J$208:$AR$208,1,2017-2014),INDEX(Inputs!$J$210:$AR$210,1,2017-2014),INDEX(Inputs!$J$212:$AR$212,1,2017-2014))/100)*(1+CHOOSE(Inputs!$F$33,INDEX(Inputs!$J$208:$AR$208,1,2018-2014),INDEX(Inputs!$J$210:$AR$210,1,2018-2014),INDEX(Inputs!$J$212:$AR$212,1,2018-2014))/100)^(3/12)</f>
        <v>110.925196132035</v>
      </c>
      <c r="K22" s="11" t="n">
        <f aca="false">J21</f>
        <v>115.063171655127</v>
      </c>
      <c r="L22" s="11" t="n">
        <f aca="false">K21</f>
        <v>119.438618093899</v>
      </c>
      <c r="M22" s="11" t="n">
        <f aca="false">L21</f>
        <v>124.066774714516</v>
      </c>
      <c r="N22" s="11" t="n">
        <f aca="false">M21</f>
        <v>129.43789408732</v>
      </c>
      <c r="O22" s="11" t="n">
        <f aca="false">N21</f>
        <v>135.632138269234</v>
      </c>
      <c r="P22" s="11" t="n">
        <f aca="false">O21</f>
        <v>142.380979176357</v>
      </c>
      <c r="Q22" s="11" t="n">
        <f aca="false">P21</f>
        <v>149.737141730859</v>
      </c>
      <c r="R22" s="11" t="n">
        <f aca="false">Q21</f>
        <v>162.786789552918</v>
      </c>
      <c r="S22" s="11" t="n">
        <f aca="false">R21</f>
        <v>182.945121747673</v>
      </c>
      <c r="T22" s="11" t="n">
        <f aca="false">S21</f>
        <v>208.97490869617</v>
      </c>
      <c r="U22" s="11" t="n">
        <f aca="false">T21</f>
        <v>242.626978718864</v>
      </c>
      <c r="V22" s="11" t="n">
        <f aca="false">U21</f>
        <v>273.168505817987</v>
      </c>
      <c r="W22" s="11" t="n">
        <f aca="false">V21</f>
        <v>298.24196690679</v>
      </c>
      <c r="X22" s="11" t="n">
        <f aca="false">W21</f>
        <v>320.870208524834</v>
      </c>
      <c r="Y22" s="11" t="n">
        <f aca="false">X21</f>
        <v>340.182957197885</v>
      </c>
      <c r="Z22" s="11" t="n">
        <f aca="false">Y21</f>
        <v>358.390730528705</v>
      </c>
      <c r="AA22" s="11" t="n">
        <f aca="false">Z21</f>
        <v>375.199322545861</v>
      </c>
      <c r="AB22" s="11" t="n">
        <f aca="false">AA21</f>
        <v>391.354762255077</v>
      </c>
      <c r="AC22" s="11" t="n">
        <f aca="false">AB21</f>
        <v>406.707799205899</v>
      </c>
      <c r="AD22" s="11" t="n">
        <f aca="false">AC21</f>
        <v>421.681340686519</v>
      </c>
      <c r="AE22" s="11" t="n">
        <f aca="false">AD21</f>
        <v>436.190570506748</v>
      </c>
      <c r="AF22" s="11" t="n">
        <f aca="false">AE21</f>
        <v>451.199034534575</v>
      </c>
      <c r="AG22" s="11" t="n">
        <f aca="false">AF21</f>
        <v>466.723910442221</v>
      </c>
      <c r="AH22" s="11" t="n">
        <f aca="false">AG21</f>
        <v>482.782966951996</v>
      </c>
      <c r="AI22" s="11" t="n">
        <f aca="false">AH21</f>
        <v>499.394584173176</v>
      </c>
      <c r="AJ22" s="11" t="n">
        <f aca="false">AI21</f>
        <v>516.577774638636</v>
      </c>
      <c r="AK22" s="11" t="n">
        <f aca="false">AJ21</f>
        <v>534.352205065299</v>
      </c>
      <c r="AL22" s="11" t="n">
        <f aca="false">AK21</f>
        <v>552.73821886334</v>
      </c>
      <c r="AM22" s="11" t="n">
        <f aca="false">AL21</f>
        <v>571.75685941987</v>
      </c>
      <c r="AN22" s="11" t="n">
        <f aca="false">AM21</f>
        <v>591.429894183774</v>
      </c>
      <c r="AO22" s="11" t="n">
        <f aca="false">AN21</f>
        <v>611.779839579261</v>
      </c>
      <c r="AP22" s="11" t="n">
        <f aca="false">AO21</f>
        <v>632.829986776638</v>
      </c>
      <c r="AQ22" s="11" t="n">
        <f aca="false">AP21</f>
        <v>654.604428349809</v>
      </c>
      <c r="AR22" s="11" t="n">
        <f aca="false">AQ21</f>
        <v>677.128085851003</v>
      </c>
      <c r="AS22" s="11" t="n">
        <f aca="false">AR21</f>
        <v>700.426738334296</v>
      </c>
      <c r="AT22" s="11" t="n">
        <f aca="false">AS21</f>
        <v>724.527051860574</v>
      </c>
      <c r="AU22" s="11" t="n">
        <f aca="false">AT21</f>
        <v>749.456610017697</v>
      </c>
      <c r="AV22" s="11" t="n">
        <f aca="false">AU21</f>
        <v>775.243945490814</v>
      </c>
      <c r="AW22" s="11" t="n">
        <f aca="false">AV21</f>
        <v>801.918572718936</v>
      </c>
      <c r="AX22" s="11" t="n">
        <f aca="false">AW21</f>
        <v>829.511021675171</v>
      </c>
      <c r="AY22" s="11" t="n">
        <f aca="false">AX21</f>
        <v>858.052872809262</v>
      </c>
      <c r="AZ22" s="11" t="n">
        <f aca="false">AY21</f>
        <v>887.576793192433</v>
      </c>
      <c r="BA22" s="11" t="n">
        <f aca="false">AZ21</f>
        <v>918.11657390591</v>
      </c>
      <c r="BB22" s="11" t="n">
        <f aca="false">BA21</f>
        <v>949.707168715904</v>
      </c>
      <c r="BC22" s="11" t="n">
        <f aca="false">BB21</f>
        <v>982.384734079324</v>
      </c>
      <c r="BD22" s="11" t="n">
        <f aca="false">BC21</f>
        <v>1016.18667052602</v>
      </c>
      <c r="BE22" s="11" t="n">
        <f aca="false">BD21</f>
        <v>1051.15166546488</v>
      </c>
      <c r="BF22" s="11" t="n">
        <f aca="false">BE21</f>
        <v>1087.31973746284</v>
      </c>
      <c r="BG22" s="11" t="n">
        <f aca="false">BF21</f>
        <v>1124.73228204742</v>
      </c>
      <c r="BH22" s="11" t="n">
        <f aca="false">BG21</f>
        <v>1163.43211908524</v>
      </c>
      <c r="BI22" s="11" t="n">
        <f aca="false">BH21</f>
        <v>1203.46354179074</v>
      </c>
      <c r="BJ22" s="11" t="n">
        <f aca="false">BI21</f>
        <v>1244.8723674212</v>
      </c>
      <c r="BK22" s="11" t="n">
        <f aca="false">BJ21</f>
        <v>1287.70598971609</v>
      </c>
      <c r="BL22" s="11" t="n">
        <f aca="false">BK21</f>
        <v>1332.01343314069</v>
      </c>
      <c r="BM22" s="11" t="n">
        <f aca="false">BL21</f>
        <v>1377.84540899622</v>
      </c>
      <c r="BN22" s="11" t="n">
        <f aca="false">BM21</f>
        <v>1425.25437346054</v>
      </c>
    </row>
    <row r="23" customFormat="false" ht="15" hidden="false" customHeight="false" outlineLevel="0" collapsed="false">
      <c r="D23" s="0" t="s">
        <v>474</v>
      </c>
      <c r="E23" s="0" t="s">
        <v>99</v>
      </c>
      <c r="J23" s="11" t="n">
        <f aca="false">J21/$F$20</f>
        <v>1.01848131960836</v>
      </c>
      <c r="K23" s="11" t="n">
        <f aca="false">K21/$F$20</f>
        <v>1.05721057066876</v>
      </c>
      <c r="L23" s="11" t="n">
        <f aca="false">L21/$F$20</f>
        <v>1.09817668514758</v>
      </c>
      <c r="M23" s="11" t="n">
        <f aca="false">M21/$F$20</f>
        <v>1.14571913220426</v>
      </c>
      <c r="N23" s="11" t="n">
        <f aca="false">N21/$F$20</f>
        <v>1.20054746604579</v>
      </c>
      <c r="O23" s="11" t="n">
        <f aca="false">O21/$F$20</f>
        <v>1.26028481114102</v>
      </c>
      <c r="P23" s="11" t="n">
        <f aca="false">P21/$F$20</f>
        <v>1.32539786198076</v>
      </c>
      <c r="Q23" s="11" t="n">
        <f aca="false">Q21/$F$20</f>
        <v>1.44090678062999</v>
      </c>
      <c r="R23" s="11" t="n">
        <f aca="false">R21/$F$20</f>
        <v>1.61933819773323</v>
      </c>
      <c r="S23" s="11" t="n">
        <f aca="false">S21/$F$20</f>
        <v>1.84974077902041</v>
      </c>
      <c r="T23" s="11" t="n">
        <f aca="false">T21/$F$20</f>
        <v>2.1476119761311</v>
      </c>
      <c r="U23" s="11" t="n">
        <f aca="false">U21/$F$20</f>
        <v>2.41795021186131</v>
      </c>
      <c r="V23" s="11" t="n">
        <f aca="false">V21/$F$20</f>
        <v>2.63988787766297</v>
      </c>
      <c r="W23" s="11" t="n">
        <f aca="false">W21/$F$20</f>
        <v>2.84018169063588</v>
      </c>
      <c r="X23" s="11" t="n">
        <f aca="false">X21/$F$20</f>
        <v>3.01112842772695</v>
      </c>
      <c r="Y23" s="11" t="n">
        <f aca="false">Y21/$F$20</f>
        <v>3.17229447888262</v>
      </c>
      <c r="Z23" s="11" t="n">
        <f aca="false">Z21/$F$20</f>
        <v>3.32107568082708</v>
      </c>
      <c r="AA23" s="11" t="n">
        <f aca="false">AA21/$F$20</f>
        <v>3.46407550707219</v>
      </c>
      <c r="AB23" s="11" t="n">
        <f aca="false">AB21/$F$20</f>
        <v>3.59997286770238</v>
      </c>
      <c r="AC23" s="11" t="n">
        <f aca="false">AC21/$F$20</f>
        <v>3.73251112531361</v>
      </c>
      <c r="AD23" s="11" t="n">
        <f aca="false">AD21/$F$20</f>
        <v>3.86093952965223</v>
      </c>
      <c r="AE23" s="11" t="n">
        <f aca="false">AE21/$F$20</f>
        <v>3.99378690408556</v>
      </c>
      <c r="AF23" s="11" t="n">
        <f aca="false">AF21/$F$20</f>
        <v>4.13120529672788</v>
      </c>
      <c r="AG23" s="11" t="n">
        <f aca="false">AG21/$F$20</f>
        <v>4.27335198737155</v>
      </c>
      <c r="AH23" s="11" t="n">
        <f aca="false">AH21/$F$20</f>
        <v>4.42038966749884</v>
      </c>
      <c r="AI23" s="11" t="n">
        <f aca="false">AI21/$F$20</f>
        <v>4.57248662648756</v>
      </c>
      <c r="AJ23" s="11" t="n">
        <f aca="false">AJ21/$F$20</f>
        <v>4.72981694422376</v>
      </c>
      <c r="AK23" s="11" t="n">
        <f aca="false">AK21/$F$20</f>
        <v>4.89256069034169</v>
      </c>
      <c r="AL23" s="11" t="n">
        <f aca="false">AL21/$F$20</f>
        <v>5.06090413031942</v>
      </c>
      <c r="AM23" s="11" t="n">
        <f aca="false">AM21/$F$20</f>
        <v>5.23503993866561</v>
      </c>
      <c r="AN23" s="11" t="n">
        <f aca="false">AN21/$F$20</f>
        <v>5.41516741944178</v>
      </c>
      <c r="AO23" s="11" t="n">
        <f aca="false">AO21/$F$20</f>
        <v>5.60149273437221</v>
      </c>
      <c r="AP23" s="11" t="n">
        <f aca="false">AP21/$F$20</f>
        <v>5.79422913880271</v>
      </c>
      <c r="AQ23" s="11" t="n">
        <f aca="false">AQ21/$F$20</f>
        <v>5.99359722577826</v>
      </c>
      <c r="AR23" s="11" t="n">
        <f aca="false">AR21/$F$20</f>
        <v>6.1998251785189</v>
      </c>
      <c r="AS23" s="11" t="n">
        <f aca="false">AS21/$F$20</f>
        <v>6.41314903158274</v>
      </c>
      <c r="AT23" s="11" t="n">
        <f aca="false">AT21/$F$20</f>
        <v>6.63381294101522</v>
      </c>
      <c r="AU23" s="11" t="n">
        <f aca="false">AU21/$F$20</f>
        <v>6.86206946379354</v>
      </c>
      <c r="AV23" s="11" t="n">
        <f aca="false">AV21/$F$20</f>
        <v>7.09817984688629</v>
      </c>
      <c r="AW23" s="11" t="n">
        <f aca="false">AW21/$F$20</f>
        <v>7.34241432625909</v>
      </c>
      <c r="AX23" s="11" t="n">
        <f aca="false">AX21/$F$20</f>
        <v>7.59505243616833</v>
      </c>
      <c r="AY23" s="11" t="n">
        <f aca="false">AY21/$F$20</f>
        <v>7.85638332909722</v>
      </c>
      <c r="AZ23" s="11" t="n">
        <f aca="false">AZ21/$F$20</f>
        <v>8.12670610670011</v>
      </c>
      <c r="BA23" s="11" t="n">
        <f aca="false">BA21/$F$20</f>
        <v>8.40633016213403</v>
      </c>
      <c r="BB23" s="11" t="n">
        <f aca="false">BB21/$F$20</f>
        <v>8.69557553416913</v>
      </c>
      <c r="BC23" s="11" t="n">
        <f aca="false">BC21/$F$20</f>
        <v>8.99477327348341</v>
      </c>
      <c r="BD23" s="11" t="n">
        <f aca="false">BD21/$F$20</f>
        <v>9.30426582156096</v>
      </c>
      <c r="BE23" s="11" t="n">
        <f aca="false">BE21/$F$20</f>
        <v>9.62440740262725</v>
      </c>
      <c r="BF23" s="11" t="n">
        <f aca="false">BF21/$F$20</f>
        <v>9.95556442907023</v>
      </c>
      <c r="BG23" s="11" t="n">
        <f aca="false">BG21/$F$20</f>
        <v>10.2981159208112</v>
      </c>
      <c r="BH23" s="11" t="n">
        <f aca="false">BH21/$F$20</f>
        <v>10.6524539391052</v>
      </c>
      <c r="BI23" s="11" t="n">
        <f aca="false">BI21/$F$20</f>
        <v>11.018984035268</v>
      </c>
      <c r="BJ23" s="11" t="n">
        <f aca="false">BJ21/$F$20</f>
        <v>11.3981257148425</v>
      </c>
      <c r="BK23" s="11" t="n">
        <f aca="false">BK21/$F$20</f>
        <v>11.7903129177367</v>
      </c>
      <c r="BL23" s="11" t="n">
        <f aca="false">BL21/$F$20</f>
        <v>12.1959945148815</v>
      </c>
      <c r="BM23" s="11" t="n">
        <f aca="false">BM21/$F$20</f>
        <v>12.6156348219783</v>
      </c>
      <c r="BN23" s="11" t="n">
        <f aca="false">BN21/$F$20</f>
        <v>13.0497141309232</v>
      </c>
    </row>
    <row r="24" customFormat="false" ht="15" hidden="false" customHeight="false" outlineLevel="0" collapsed="false">
      <c r="B24" s="2" t="s">
        <v>475</v>
      </c>
    </row>
    <row r="25" customFormat="false" ht="15" hidden="false" customHeight="false" outlineLevel="0" collapsed="false">
      <c r="D25" s="0" t="s">
        <v>476</v>
      </c>
      <c r="E25" s="0" t="s">
        <v>477</v>
      </c>
      <c r="J25" s="9" t="n">
        <f aca="false">INT(Time!J27/12)+1</f>
        <v>1</v>
      </c>
      <c r="K25" s="9" t="n">
        <f aca="false">INT(Time!K27/12)+1</f>
        <v>1</v>
      </c>
      <c r="L25" s="9" t="n">
        <f aca="false">INT(Time!L27/12)+1</f>
        <v>1</v>
      </c>
      <c r="M25" s="9" t="n">
        <f aca="false">INT(Time!M27/12)+1</f>
        <v>1</v>
      </c>
      <c r="N25" s="9" t="n">
        <f aca="false">INT(Time!N27/12)+1</f>
        <v>1</v>
      </c>
      <c r="O25" s="9" t="n">
        <f aca="false">INT(Time!O27/12)+1</f>
        <v>1</v>
      </c>
      <c r="P25" s="9" t="n">
        <f aca="false">INT(Time!P27/12)+1</f>
        <v>1</v>
      </c>
      <c r="Q25" s="9" t="n">
        <f aca="false">INT(Time!Q27/12)+1</f>
        <v>1</v>
      </c>
      <c r="R25" s="9" t="n">
        <f aca="false">INT(Time!R27/12)+1</f>
        <v>1</v>
      </c>
      <c r="S25" s="9" t="n">
        <f aca="false">INT(Time!S27/12)+1</f>
        <v>2</v>
      </c>
      <c r="T25" s="9" t="n">
        <f aca="false">INT(Time!T27/12)+1</f>
        <v>2</v>
      </c>
      <c r="U25" s="9" t="n">
        <f aca="false">INT(Time!U27/12)+1</f>
        <v>3</v>
      </c>
      <c r="V25" s="9" t="n">
        <f aca="false">INT(Time!V27/12)+1</f>
        <v>3</v>
      </c>
      <c r="W25" s="9" t="n">
        <f aca="false">INT(Time!W27/12)+1</f>
        <v>4</v>
      </c>
      <c r="X25" s="9" t="n">
        <f aca="false">INT(Time!X27/12)+1</f>
        <v>4</v>
      </c>
      <c r="Y25" s="9" t="n">
        <f aca="false">INT(Time!Y27/12)+1</f>
        <v>5</v>
      </c>
      <c r="Z25" s="9" t="n">
        <f aca="false">INT(Time!Z27/12)+1</f>
        <v>5</v>
      </c>
      <c r="AA25" s="9" t="n">
        <f aca="false">INT(Time!AA27/12)+1</f>
        <v>6</v>
      </c>
      <c r="AB25" s="9" t="n">
        <f aca="false">INT(Time!AB27/12)+1</f>
        <v>6</v>
      </c>
      <c r="AC25" s="9" t="n">
        <f aca="false">INT(Time!AC27/12)+1</f>
        <v>7</v>
      </c>
      <c r="AD25" s="9" t="n">
        <f aca="false">INT(Time!AD27/12)+1</f>
        <v>7</v>
      </c>
      <c r="AE25" s="9" t="n">
        <f aca="false">INT(Time!AE27/12)+1</f>
        <v>8</v>
      </c>
      <c r="AF25" s="9" t="n">
        <f aca="false">INT(Time!AF27/12)+1</f>
        <v>8</v>
      </c>
      <c r="AG25" s="9" t="n">
        <f aca="false">INT(Time!AG27/12)+1</f>
        <v>9</v>
      </c>
      <c r="AH25" s="9" t="n">
        <f aca="false">INT(Time!AH27/12)+1</f>
        <v>9</v>
      </c>
      <c r="AI25" s="9" t="n">
        <f aca="false">INT(Time!AI27/12)+1</f>
        <v>10</v>
      </c>
      <c r="AJ25" s="9" t="n">
        <f aca="false">INT(Time!AJ27/12)+1</f>
        <v>10</v>
      </c>
      <c r="AK25" s="9" t="n">
        <f aca="false">INT(Time!AK27/12)+1</f>
        <v>11</v>
      </c>
      <c r="AL25" s="9" t="n">
        <f aca="false">INT(Time!AL27/12)+1</f>
        <v>11</v>
      </c>
      <c r="AM25" s="9" t="n">
        <f aca="false">INT(Time!AM27/12)+1</f>
        <v>12</v>
      </c>
      <c r="AN25" s="9" t="n">
        <f aca="false">INT(Time!AN27/12)+1</f>
        <v>12</v>
      </c>
      <c r="AO25" s="9" t="n">
        <f aca="false">INT(Time!AO27/12)+1</f>
        <v>13</v>
      </c>
      <c r="AP25" s="9" t="n">
        <f aca="false">INT(Time!AP27/12)+1</f>
        <v>13</v>
      </c>
      <c r="AQ25" s="9" t="n">
        <f aca="false">INT(Time!AQ27/12)+1</f>
        <v>14</v>
      </c>
      <c r="AR25" s="9" t="n">
        <f aca="false">INT(Time!AR27/12)+1</f>
        <v>14</v>
      </c>
      <c r="AS25" s="9" t="n">
        <f aca="false">INT(Time!AS27/12)+1</f>
        <v>15</v>
      </c>
      <c r="AT25" s="9" t="n">
        <f aca="false">INT(Time!AT27/12)+1</f>
        <v>15</v>
      </c>
      <c r="AU25" s="9" t="n">
        <f aca="false">INT(Time!AU27/12)+1</f>
        <v>16</v>
      </c>
      <c r="AV25" s="9" t="n">
        <f aca="false">INT(Time!AV27/12)+1</f>
        <v>16</v>
      </c>
      <c r="AW25" s="9" t="n">
        <f aca="false">INT(Time!AW27/12)+1</f>
        <v>17</v>
      </c>
      <c r="AX25" s="9" t="n">
        <f aca="false">INT(Time!AX27/12)+1</f>
        <v>17</v>
      </c>
      <c r="AY25" s="9" t="n">
        <f aca="false">INT(Time!AY27/12)+1</f>
        <v>18</v>
      </c>
      <c r="AZ25" s="9" t="n">
        <f aca="false">INT(Time!AZ27/12)+1</f>
        <v>18</v>
      </c>
      <c r="BA25" s="9" t="n">
        <f aca="false">INT(Time!BA27/12)+1</f>
        <v>19</v>
      </c>
      <c r="BB25" s="9" t="n">
        <f aca="false">INT(Time!BB27/12)+1</f>
        <v>19</v>
      </c>
      <c r="BC25" s="9" t="n">
        <f aca="false">INT(Time!BC27/12)+1</f>
        <v>20</v>
      </c>
      <c r="BD25" s="9" t="n">
        <f aca="false">INT(Time!BD27/12)+1</f>
        <v>20</v>
      </c>
      <c r="BE25" s="9" t="n">
        <f aca="false">INT(Time!BE27/12)+1</f>
        <v>21</v>
      </c>
      <c r="BF25" s="9" t="n">
        <f aca="false">INT(Time!BF27/12)+1</f>
        <v>21</v>
      </c>
      <c r="BG25" s="9" t="n">
        <f aca="false">INT(Time!BG27/12)+1</f>
        <v>22</v>
      </c>
      <c r="BH25" s="9" t="n">
        <f aca="false">INT(Time!BH27/12)+1</f>
        <v>22</v>
      </c>
      <c r="BI25" s="9" t="n">
        <f aca="false">INT(Time!BI27/12)+1</f>
        <v>23</v>
      </c>
      <c r="BJ25" s="9" t="n">
        <f aca="false">INT(Time!BJ27/12)+1</f>
        <v>23</v>
      </c>
      <c r="BK25" s="9" t="n">
        <f aca="false">INT(Time!BK27/12)+1</f>
        <v>24</v>
      </c>
      <c r="BL25" s="9" t="n">
        <f aca="false">INT(Time!BL27/12)+1</f>
        <v>24</v>
      </c>
      <c r="BM25" s="9" t="n">
        <f aca="false">INT(Time!BM27/12)+1</f>
        <v>25</v>
      </c>
      <c r="BN25" s="9" t="n">
        <f aca="false">INT(Time!BN27/12)+1</f>
        <v>25</v>
      </c>
    </row>
    <row r="26" customFormat="false" ht="15" hidden="false" customHeight="false" outlineLevel="0" collapsed="false">
      <c r="D26" s="0" t="s">
        <v>478</v>
      </c>
      <c r="E26" s="0" t="s">
        <v>97</v>
      </c>
      <c r="J26" s="9" t="n">
        <f aca="false">MIN(Time!J28,J25*12)-Time!J27</f>
        <v>0</v>
      </c>
      <c r="K26" s="9" t="n">
        <f aca="false">MIN(Time!K28,K25*12)-Time!K27</f>
        <v>0</v>
      </c>
      <c r="L26" s="9" t="n">
        <f aca="false">MIN(Time!L28,L25*12)-Time!L27</f>
        <v>0</v>
      </c>
      <c r="M26" s="9" t="n">
        <f aca="false">MIN(Time!M28,M25*12)-Time!M27</f>
        <v>0</v>
      </c>
      <c r="N26" s="9" t="n">
        <f aca="false">MIN(Time!N28,N25*12)-Time!N27</f>
        <v>0</v>
      </c>
      <c r="O26" s="9" t="n">
        <f aca="false">MIN(Time!O28,O25*12)-Time!O27</f>
        <v>0</v>
      </c>
      <c r="P26" s="9" t="n">
        <f aca="false">MIN(Time!P28,P25*12)-Time!P27</f>
        <v>1</v>
      </c>
      <c r="Q26" s="9" t="n">
        <f aca="false">MIN(Time!Q28,Q25*12)-Time!Q27</f>
        <v>6</v>
      </c>
      <c r="R26" s="9" t="n">
        <f aca="false">MIN(Time!R28,R25*12)-Time!R27</f>
        <v>5</v>
      </c>
      <c r="S26" s="9" t="n">
        <f aca="false">MIN(Time!S28,S25*12)-Time!S27</f>
        <v>6</v>
      </c>
      <c r="T26" s="9" t="n">
        <f aca="false">MIN(Time!T28,T25*12)-Time!T27</f>
        <v>5</v>
      </c>
      <c r="U26" s="9" t="n">
        <f aca="false">MIN(Time!U28,U25*12)-Time!U27</f>
        <v>6</v>
      </c>
      <c r="V26" s="9" t="n">
        <f aca="false">MIN(Time!V28,V25*12)-Time!V27</f>
        <v>5</v>
      </c>
      <c r="W26" s="9" t="n">
        <f aca="false">MIN(Time!W28,W25*12)-Time!W27</f>
        <v>6</v>
      </c>
      <c r="X26" s="9" t="n">
        <f aca="false">MIN(Time!X28,X25*12)-Time!X27</f>
        <v>5</v>
      </c>
      <c r="Y26" s="9" t="n">
        <f aca="false">MIN(Time!Y28,Y25*12)-Time!Y27</f>
        <v>6</v>
      </c>
      <c r="Z26" s="9" t="n">
        <f aca="false">MIN(Time!Z28,Z25*12)-Time!Z27</f>
        <v>5</v>
      </c>
      <c r="AA26" s="9" t="n">
        <f aca="false">MIN(Time!AA28,AA25*12)-Time!AA27</f>
        <v>6</v>
      </c>
      <c r="AB26" s="9" t="n">
        <f aca="false">MIN(Time!AB28,AB25*12)-Time!AB27</f>
        <v>5</v>
      </c>
      <c r="AC26" s="9" t="n">
        <f aca="false">MIN(Time!AC28,AC25*12)-Time!AC27</f>
        <v>6</v>
      </c>
      <c r="AD26" s="9" t="n">
        <f aca="false">MIN(Time!AD28,AD25*12)-Time!AD27</f>
        <v>5</v>
      </c>
      <c r="AE26" s="9" t="n">
        <f aca="false">MIN(Time!AE28,AE25*12)-Time!AE27</f>
        <v>6</v>
      </c>
      <c r="AF26" s="9" t="n">
        <f aca="false">MIN(Time!AF28,AF25*12)-Time!AF27</f>
        <v>5</v>
      </c>
      <c r="AG26" s="9" t="n">
        <f aca="false">MIN(Time!AG28,AG25*12)-Time!AG27</f>
        <v>6</v>
      </c>
      <c r="AH26" s="9" t="n">
        <f aca="false">MIN(Time!AH28,AH25*12)-Time!AH27</f>
        <v>5</v>
      </c>
      <c r="AI26" s="9" t="n">
        <f aca="false">MIN(Time!AI28,AI25*12)-Time!AI27</f>
        <v>6</v>
      </c>
      <c r="AJ26" s="9" t="n">
        <f aca="false">MIN(Time!AJ28,AJ25*12)-Time!AJ27</f>
        <v>5</v>
      </c>
      <c r="AK26" s="9" t="n">
        <f aca="false">MIN(Time!AK28,AK25*12)-Time!AK27</f>
        <v>6</v>
      </c>
      <c r="AL26" s="9" t="n">
        <f aca="false">MIN(Time!AL28,AL25*12)-Time!AL27</f>
        <v>5</v>
      </c>
      <c r="AM26" s="9" t="n">
        <f aca="false">MIN(Time!AM28,AM25*12)-Time!AM27</f>
        <v>6</v>
      </c>
      <c r="AN26" s="9" t="n">
        <f aca="false">MIN(Time!AN28,AN25*12)-Time!AN27</f>
        <v>5</v>
      </c>
      <c r="AO26" s="9" t="n">
        <f aca="false">MIN(Time!AO28,AO25*12)-Time!AO27</f>
        <v>6</v>
      </c>
      <c r="AP26" s="9" t="n">
        <f aca="false">MIN(Time!AP28,AP25*12)-Time!AP27</f>
        <v>5</v>
      </c>
      <c r="AQ26" s="9" t="n">
        <f aca="false">MIN(Time!AQ28,AQ25*12)-Time!AQ27</f>
        <v>6</v>
      </c>
      <c r="AR26" s="9" t="n">
        <f aca="false">MIN(Time!AR28,AR25*12)-Time!AR27</f>
        <v>5</v>
      </c>
      <c r="AS26" s="9" t="n">
        <f aca="false">MIN(Time!AS28,AS25*12)-Time!AS27</f>
        <v>6</v>
      </c>
      <c r="AT26" s="9" t="n">
        <f aca="false">MIN(Time!AT28,AT25*12)-Time!AT27</f>
        <v>5</v>
      </c>
      <c r="AU26" s="9" t="n">
        <f aca="false">MIN(Time!AU28,AU25*12)-Time!AU27</f>
        <v>6</v>
      </c>
      <c r="AV26" s="9" t="n">
        <f aca="false">MIN(Time!AV28,AV25*12)-Time!AV27</f>
        <v>5</v>
      </c>
      <c r="AW26" s="9" t="n">
        <f aca="false">MIN(Time!AW28,AW25*12)-Time!AW27</f>
        <v>6</v>
      </c>
      <c r="AX26" s="9" t="n">
        <f aca="false">MIN(Time!AX28,AX25*12)-Time!AX27</f>
        <v>5</v>
      </c>
      <c r="AY26" s="9" t="n">
        <f aca="false">MIN(Time!AY28,AY25*12)-Time!AY27</f>
        <v>6</v>
      </c>
      <c r="AZ26" s="9" t="n">
        <f aca="false">MIN(Time!AZ28,AZ25*12)-Time!AZ27</f>
        <v>5</v>
      </c>
      <c r="BA26" s="9" t="n">
        <f aca="false">MIN(Time!BA28,BA25*12)-Time!BA27</f>
        <v>6</v>
      </c>
      <c r="BB26" s="9" t="n">
        <f aca="false">MIN(Time!BB28,BB25*12)-Time!BB27</f>
        <v>5</v>
      </c>
      <c r="BC26" s="9" t="n">
        <f aca="false">MIN(Time!BC28,BC25*12)-Time!BC27</f>
        <v>6</v>
      </c>
      <c r="BD26" s="9" t="n">
        <f aca="false">MIN(Time!BD28,BD25*12)-Time!BD27</f>
        <v>5</v>
      </c>
      <c r="BE26" s="9" t="n">
        <f aca="false">MIN(Time!BE28,BE25*12)-Time!BE27</f>
        <v>6</v>
      </c>
      <c r="BF26" s="9" t="n">
        <f aca="false">MIN(Time!BF28,BF25*12)-Time!BF27</f>
        <v>5</v>
      </c>
      <c r="BG26" s="9" t="n">
        <f aca="false">MIN(Time!BG28,BG25*12)-Time!BG27</f>
        <v>6</v>
      </c>
      <c r="BH26" s="9" t="n">
        <f aca="false">MIN(Time!BH28,BH25*12)-Time!BH27</f>
        <v>5</v>
      </c>
      <c r="BI26" s="9" t="n">
        <f aca="false">MIN(Time!BI28,BI25*12)-Time!BI27</f>
        <v>6</v>
      </c>
      <c r="BJ26" s="9" t="n">
        <f aca="false">MIN(Time!BJ28,BJ25*12)-Time!BJ27</f>
        <v>5</v>
      </c>
      <c r="BK26" s="9" t="n">
        <f aca="false">MIN(Time!BK28,BK25*12)-Time!BK27</f>
        <v>6</v>
      </c>
      <c r="BL26" s="9" t="n">
        <f aca="false">MIN(Time!BL28,BL25*12)-Time!BL27</f>
        <v>5</v>
      </c>
      <c r="BM26" s="9" t="n">
        <f aca="false">MIN(Time!BM28,BM25*12)-Time!BM27</f>
        <v>6</v>
      </c>
      <c r="BN26" s="9" t="n">
        <f aca="false">MIN(Time!BN28,BN25*12)-Time!BN27</f>
        <v>5</v>
      </c>
    </row>
    <row r="27" customFormat="false" ht="15" hidden="false" customHeight="false" outlineLevel="0" collapsed="false">
      <c r="D27" s="0" t="s">
        <v>479</v>
      </c>
      <c r="E27" s="0" t="s">
        <v>103</v>
      </c>
      <c r="J27" s="11" t="n">
        <f aca="false">IF(Time!J25&gt;0,(J26*INDEX(Inputs!$J$226:$Q$226,1,MOD(J25-1,8)+1)+(Time!J25-J26)*INDEX(Inputs!$J$226:$Q$226,1,MOD(J25,8)+1))/Time!J25,0)</f>
        <v>0</v>
      </c>
      <c r="K27" s="11" t="n">
        <f aca="false">IF(Time!K25&gt;0,(K26*INDEX(Inputs!$J$226:$Q$226,1,MOD(K25-1,8)+1)+(Time!K25-K26)*INDEX(Inputs!$J$226:$Q$226,1,MOD(K25,8)+1))/Time!K25,0)</f>
        <v>0</v>
      </c>
      <c r="L27" s="11" t="n">
        <f aca="false">IF(Time!L25&gt;0,(L26*INDEX(Inputs!$J$226:$Q$226,1,MOD(L25-1,8)+1)+(Time!L25-L26)*INDEX(Inputs!$J$226:$Q$226,1,MOD(L25,8)+1))/Time!L25,0)</f>
        <v>0</v>
      </c>
      <c r="M27" s="11" t="n">
        <f aca="false">IF(Time!M25&gt;0,(M26*INDEX(Inputs!$J$226:$Q$226,1,MOD(M25-1,8)+1)+(Time!M25-M26)*INDEX(Inputs!$J$226:$Q$226,1,MOD(M25,8)+1))/Time!M25,0)</f>
        <v>0</v>
      </c>
      <c r="N27" s="11" t="n">
        <f aca="false">IF(Time!N25&gt;0,(N26*INDEX(Inputs!$J$226:$Q$226,1,MOD(N25-1,8)+1)+(Time!N25-N26)*INDEX(Inputs!$J$226:$Q$226,1,MOD(N25,8)+1))/Time!N25,0)</f>
        <v>0</v>
      </c>
      <c r="O27" s="11" t="n">
        <f aca="false">IF(Time!O25&gt;0,(O26*INDEX(Inputs!$J$226:$Q$226,1,MOD(O25-1,8)+1)+(Time!O25-O26)*INDEX(Inputs!$J$226:$Q$226,1,MOD(O25,8)+1))/Time!O25,0)</f>
        <v>0</v>
      </c>
      <c r="P27" s="11" t="n">
        <f aca="false">IF(Time!P25&gt;0,(P26*INDEX(Inputs!$J$226:$Q$226,1,MOD(P25-1,8)+1)+(Time!P25-P26)*INDEX(Inputs!$J$226:$Q$226,1,MOD(P25,8)+1))/Time!P25,0)</f>
        <v>93.8</v>
      </c>
      <c r="Q27" s="11" t="n">
        <f aca="false">IF(Time!Q25&gt;0,(Q26*INDEX(Inputs!$J$226:$Q$226,1,MOD(Q25-1,8)+1)+(Time!Q25-Q26)*INDEX(Inputs!$J$226:$Q$226,1,MOD(Q25,8)+1))/Time!Q25,0)</f>
        <v>93.8</v>
      </c>
      <c r="R27" s="11" t="n">
        <f aca="false">IF(Time!R25&gt;0,(R26*INDEX(Inputs!$J$226:$Q$226,1,MOD(R25-1,8)+1)+(Time!R25-R26)*INDEX(Inputs!$J$226:$Q$226,1,MOD(R25,8)+1))/Time!R25,0)</f>
        <v>93.65</v>
      </c>
      <c r="S27" s="11" t="n">
        <f aca="false">IF(Time!S25&gt;0,(S26*INDEX(Inputs!$J$226:$Q$226,1,MOD(S25-1,8)+1)+(Time!S25-S26)*INDEX(Inputs!$J$226:$Q$226,1,MOD(S25,8)+1))/Time!S25,0)</f>
        <v>92.9</v>
      </c>
      <c r="T27" s="11" t="n">
        <f aca="false">IF(Time!T25&gt;0,(T26*INDEX(Inputs!$J$226:$Q$226,1,MOD(T25-1,8)+1)+(Time!T25-T26)*INDEX(Inputs!$J$226:$Q$226,1,MOD(T25,8)+1))/Time!T25,0)</f>
        <v>93.05</v>
      </c>
      <c r="U27" s="11" t="n">
        <f aca="false">IF(Time!U25&gt;0,(U26*INDEX(Inputs!$J$226:$Q$226,1,MOD(U25-1,8)+1)+(Time!U25-U26)*INDEX(Inputs!$J$226:$Q$226,1,MOD(U25,8)+1))/Time!U25,0)</f>
        <v>93.8</v>
      </c>
      <c r="V27" s="11" t="n">
        <f aca="false">IF(Time!V25&gt;0,(V26*INDEX(Inputs!$J$226:$Q$226,1,MOD(V25-1,8)+1)+(Time!V25-V26)*INDEX(Inputs!$J$226:$Q$226,1,MOD(V25,8)+1))/Time!V25,0)</f>
        <v>93.2666666666667</v>
      </c>
      <c r="W27" s="11" t="n">
        <f aca="false">IF(Time!W25&gt;0,(W26*INDEX(Inputs!$J$226:$Q$226,1,MOD(W25-1,8)+1)+(Time!W25-W26)*INDEX(Inputs!$J$226:$Q$226,1,MOD(W25,8)+1))/Time!W25,0)</f>
        <v>90.6</v>
      </c>
      <c r="X27" s="11" t="n">
        <f aca="false">IF(Time!X25&gt;0,(X26*INDEX(Inputs!$J$226:$Q$226,1,MOD(X25-1,8)+1)+(Time!X25-X26)*INDEX(Inputs!$J$226:$Q$226,1,MOD(X25,8)+1))/Time!X25,0)</f>
        <v>91.1333333333333</v>
      </c>
      <c r="Y27" s="11" t="n">
        <f aca="false">IF(Time!Y25&gt;0,(Y26*INDEX(Inputs!$J$226:$Q$226,1,MOD(Y25-1,8)+1)+(Time!Y25-Y26)*INDEX(Inputs!$J$226:$Q$226,1,MOD(Y25,8)+1))/Time!Y25,0)</f>
        <v>93.8</v>
      </c>
      <c r="Z27" s="11" t="n">
        <f aca="false">IF(Time!Z25&gt;0,(Z26*INDEX(Inputs!$J$226:$Q$226,1,MOD(Z25-1,8)+1)+(Time!Z25-Z26)*INDEX(Inputs!$J$226:$Q$226,1,MOD(Z25,8)+1))/Time!Z25,0)</f>
        <v>93.65</v>
      </c>
      <c r="AA27" s="11" t="n">
        <f aca="false">IF(Time!AA25&gt;0,(AA26*INDEX(Inputs!$J$226:$Q$226,1,MOD(AA25-1,8)+1)+(Time!AA25-AA26)*INDEX(Inputs!$J$226:$Q$226,1,MOD(AA25,8)+1))/Time!AA25,0)</f>
        <v>92.9</v>
      </c>
      <c r="AB27" s="11" t="n">
        <f aca="false">IF(Time!AB25&gt;0,(AB26*INDEX(Inputs!$J$226:$Q$226,1,MOD(AB25-1,8)+1)+(Time!AB25-AB26)*INDEX(Inputs!$J$226:$Q$226,1,MOD(AB25,8)+1))/Time!AB25,0)</f>
        <v>93.05</v>
      </c>
      <c r="AC27" s="11" t="n">
        <f aca="false">IF(Time!AC25&gt;0,(AC26*INDEX(Inputs!$J$226:$Q$226,1,MOD(AC25-1,8)+1)+(Time!AC25-AC26)*INDEX(Inputs!$J$226:$Q$226,1,MOD(AC25,8)+1))/Time!AC25,0)</f>
        <v>93.8</v>
      </c>
      <c r="AD27" s="11" t="n">
        <f aca="false">IF(Time!AD25&gt;0,(AD26*INDEX(Inputs!$J$226:$Q$226,1,MOD(AD25-1,8)+1)+(Time!AD25-AD26)*INDEX(Inputs!$J$226:$Q$226,1,MOD(AD25,8)+1))/Time!AD25,0)</f>
        <v>92.95</v>
      </c>
      <c r="AE27" s="11" t="n">
        <f aca="false">IF(Time!AE25&gt;0,(AE26*INDEX(Inputs!$J$226:$Q$226,1,MOD(AE25-1,8)+1)+(Time!AE25-AE26)*INDEX(Inputs!$J$226:$Q$226,1,MOD(AE25,8)+1))/Time!AE25,0)</f>
        <v>88.7</v>
      </c>
      <c r="AF27" s="11" t="n">
        <f aca="false">IF(Time!AF25&gt;0,(AF26*INDEX(Inputs!$J$226:$Q$226,1,MOD(AF25-1,8)+1)+(Time!AF25-AF26)*INDEX(Inputs!$J$226:$Q$226,1,MOD(AF25,8)+1))/Time!AF25,0)</f>
        <v>89.55</v>
      </c>
      <c r="AG27" s="11" t="n">
        <f aca="false">IF(Time!AG25&gt;0,(AG26*INDEX(Inputs!$J$226:$Q$226,1,MOD(AG25-1,8)+1)+(Time!AG25-AG26)*INDEX(Inputs!$J$226:$Q$226,1,MOD(AG25,8)+1))/Time!AG25,0)</f>
        <v>93.8</v>
      </c>
      <c r="AH27" s="11" t="n">
        <f aca="false">IF(Time!AH25&gt;0,(AH26*INDEX(Inputs!$J$226:$Q$226,1,MOD(AH25-1,8)+1)+(Time!AH25-AH26)*INDEX(Inputs!$J$226:$Q$226,1,MOD(AH25,8)+1))/Time!AH25,0)</f>
        <v>93.65</v>
      </c>
      <c r="AI27" s="11" t="n">
        <f aca="false">IF(Time!AI25&gt;0,(AI26*INDEX(Inputs!$J$226:$Q$226,1,MOD(AI25-1,8)+1)+(Time!AI25-AI26)*INDEX(Inputs!$J$226:$Q$226,1,MOD(AI25,8)+1))/Time!AI25,0)</f>
        <v>92.9</v>
      </c>
      <c r="AJ27" s="11" t="n">
        <f aca="false">IF(Time!AJ25&gt;0,(AJ26*INDEX(Inputs!$J$226:$Q$226,1,MOD(AJ25-1,8)+1)+(Time!AJ25-AJ26)*INDEX(Inputs!$J$226:$Q$226,1,MOD(AJ25,8)+1))/Time!AJ25,0)</f>
        <v>93.05</v>
      </c>
      <c r="AK27" s="11" t="n">
        <f aca="false">IF(Time!AK25&gt;0,(AK26*INDEX(Inputs!$J$226:$Q$226,1,MOD(AK25-1,8)+1)+(Time!AK25-AK26)*INDEX(Inputs!$J$226:$Q$226,1,MOD(AK25,8)+1))/Time!AK25,0)</f>
        <v>93.8</v>
      </c>
      <c r="AL27" s="11" t="n">
        <f aca="false">IF(Time!AL25&gt;0,(AL26*INDEX(Inputs!$J$226:$Q$226,1,MOD(AL25-1,8)+1)+(Time!AL25-AL26)*INDEX(Inputs!$J$226:$Q$226,1,MOD(AL25,8)+1))/Time!AL25,0)</f>
        <v>93.2666666666667</v>
      </c>
      <c r="AM27" s="11" t="n">
        <f aca="false">IF(Time!AM25&gt;0,(AM26*INDEX(Inputs!$J$226:$Q$226,1,MOD(AM25-1,8)+1)+(Time!AM25-AM26)*INDEX(Inputs!$J$226:$Q$226,1,MOD(AM25,8)+1))/Time!AM25,0)</f>
        <v>90.6</v>
      </c>
      <c r="AN27" s="11" t="n">
        <f aca="false">IF(Time!AN25&gt;0,(AN26*INDEX(Inputs!$J$226:$Q$226,1,MOD(AN25-1,8)+1)+(Time!AN25-AN26)*INDEX(Inputs!$J$226:$Q$226,1,MOD(AN25,8)+1))/Time!AN25,0)</f>
        <v>91.1333333333333</v>
      </c>
      <c r="AO27" s="11" t="n">
        <f aca="false">IF(Time!AO25&gt;0,(AO26*INDEX(Inputs!$J$226:$Q$226,1,MOD(AO25-1,8)+1)+(Time!AO25-AO26)*INDEX(Inputs!$J$226:$Q$226,1,MOD(AO25,8)+1))/Time!AO25,0)</f>
        <v>93.8</v>
      </c>
      <c r="AP27" s="11" t="n">
        <f aca="false">IF(Time!AP25&gt;0,(AP26*INDEX(Inputs!$J$226:$Q$226,1,MOD(AP25-1,8)+1)+(Time!AP25-AP26)*INDEX(Inputs!$J$226:$Q$226,1,MOD(AP25,8)+1))/Time!AP25,0)</f>
        <v>93.65</v>
      </c>
      <c r="AQ27" s="11" t="n">
        <f aca="false">IF(Time!AQ25&gt;0,(AQ26*INDEX(Inputs!$J$226:$Q$226,1,MOD(AQ25-1,8)+1)+(Time!AQ25-AQ26)*INDEX(Inputs!$J$226:$Q$226,1,MOD(AQ25,8)+1))/Time!AQ25,0)</f>
        <v>92.9</v>
      </c>
      <c r="AR27" s="11" t="n">
        <f aca="false">IF(Time!AR25&gt;0,(AR26*INDEX(Inputs!$J$226:$Q$226,1,MOD(AR25-1,8)+1)+(Time!AR25-AR26)*INDEX(Inputs!$J$226:$Q$226,1,MOD(AR25,8)+1))/Time!AR25,0)</f>
        <v>93.05</v>
      </c>
      <c r="AS27" s="11" t="n">
        <f aca="false">IF(Time!AS25&gt;0,(AS26*INDEX(Inputs!$J$226:$Q$226,1,MOD(AS25-1,8)+1)+(Time!AS25-AS26)*INDEX(Inputs!$J$226:$Q$226,1,MOD(AS25,8)+1))/Time!AS25,0)</f>
        <v>93.8</v>
      </c>
      <c r="AT27" s="11" t="n">
        <f aca="false">IF(Time!AT25&gt;0,(AT26*INDEX(Inputs!$J$226:$Q$226,1,MOD(AT25-1,8)+1)+(Time!AT25-AT26)*INDEX(Inputs!$J$226:$Q$226,1,MOD(AT25,8)+1))/Time!AT25,0)</f>
        <v>92.95</v>
      </c>
      <c r="AU27" s="11" t="n">
        <f aca="false">IF(Time!AU25&gt;0,(AU26*INDEX(Inputs!$J$226:$Q$226,1,MOD(AU25-1,8)+1)+(Time!AU25-AU26)*INDEX(Inputs!$J$226:$Q$226,1,MOD(AU25,8)+1))/Time!AU25,0)</f>
        <v>88.7</v>
      </c>
      <c r="AV27" s="11" t="n">
        <f aca="false">IF(Time!AV25&gt;0,(AV26*INDEX(Inputs!$J$226:$Q$226,1,MOD(AV25-1,8)+1)+(Time!AV25-AV26)*INDEX(Inputs!$J$226:$Q$226,1,MOD(AV25,8)+1))/Time!AV25,0)</f>
        <v>89.55</v>
      </c>
      <c r="AW27" s="11" t="n">
        <f aca="false">IF(Time!AW25&gt;0,(AW26*INDEX(Inputs!$J$226:$Q$226,1,MOD(AW25-1,8)+1)+(Time!AW25-AW26)*INDEX(Inputs!$J$226:$Q$226,1,MOD(AW25,8)+1))/Time!AW25,0)</f>
        <v>93.8</v>
      </c>
      <c r="AX27" s="11" t="n">
        <f aca="false">IF(Time!AX25&gt;0,(AX26*INDEX(Inputs!$J$226:$Q$226,1,MOD(AX25-1,8)+1)+(Time!AX25-AX26)*INDEX(Inputs!$J$226:$Q$226,1,MOD(AX25,8)+1))/Time!AX25,0)</f>
        <v>93.65</v>
      </c>
      <c r="AY27" s="11" t="n">
        <f aca="false">IF(Time!AY25&gt;0,(AY26*INDEX(Inputs!$J$226:$Q$226,1,MOD(AY25-1,8)+1)+(Time!AY25-AY26)*INDEX(Inputs!$J$226:$Q$226,1,MOD(AY25,8)+1))/Time!AY25,0)</f>
        <v>92.9</v>
      </c>
      <c r="AZ27" s="11" t="n">
        <f aca="false">IF(Time!AZ25&gt;0,(AZ26*INDEX(Inputs!$J$226:$Q$226,1,MOD(AZ25-1,8)+1)+(Time!AZ25-AZ26)*INDEX(Inputs!$J$226:$Q$226,1,MOD(AZ25,8)+1))/Time!AZ25,0)</f>
        <v>93.05</v>
      </c>
      <c r="BA27" s="11" t="n">
        <f aca="false">IF(Time!BA25&gt;0,(BA26*INDEX(Inputs!$J$226:$Q$226,1,MOD(BA25-1,8)+1)+(Time!BA25-BA26)*INDEX(Inputs!$J$226:$Q$226,1,MOD(BA25,8)+1))/Time!BA25,0)</f>
        <v>93.8</v>
      </c>
      <c r="BB27" s="11" t="n">
        <f aca="false">IF(Time!BB25&gt;0,(BB26*INDEX(Inputs!$J$226:$Q$226,1,MOD(BB25-1,8)+1)+(Time!BB25-BB26)*INDEX(Inputs!$J$226:$Q$226,1,MOD(BB25,8)+1))/Time!BB25,0)</f>
        <v>93.2666666666667</v>
      </c>
      <c r="BC27" s="11" t="n">
        <f aca="false">IF(Time!BC25&gt;0,(BC26*INDEX(Inputs!$J$226:$Q$226,1,MOD(BC25-1,8)+1)+(Time!BC25-BC26)*INDEX(Inputs!$J$226:$Q$226,1,MOD(BC25,8)+1))/Time!BC25,0)</f>
        <v>90.6</v>
      </c>
      <c r="BD27" s="11" t="n">
        <f aca="false">IF(Time!BD25&gt;0,(BD26*INDEX(Inputs!$J$226:$Q$226,1,MOD(BD25-1,8)+1)+(Time!BD25-BD26)*INDEX(Inputs!$J$226:$Q$226,1,MOD(BD25,8)+1))/Time!BD25,0)</f>
        <v>91.1333333333333</v>
      </c>
      <c r="BE27" s="11" t="n">
        <f aca="false">IF(Time!BE25&gt;0,(BE26*INDEX(Inputs!$J$226:$Q$226,1,MOD(BE25-1,8)+1)+(Time!BE25-BE26)*INDEX(Inputs!$J$226:$Q$226,1,MOD(BE25,8)+1))/Time!BE25,0)</f>
        <v>93.8</v>
      </c>
      <c r="BF27" s="11" t="n">
        <f aca="false">IF(Time!BF25&gt;0,(BF26*INDEX(Inputs!$J$226:$Q$226,1,MOD(BF25-1,8)+1)+(Time!BF25-BF26)*INDEX(Inputs!$J$226:$Q$226,1,MOD(BF25,8)+1))/Time!BF25,0)</f>
        <v>93.65</v>
      </c>
      <c r="BG27" s="11" t="n">
        <f aca="false">IF(Time!BG25&gt;0,(BG26*INDEX(Inputs!$J$226:$Q$226,1,MOD(BG25-1,8)+1)+(Time!BG25-BG26)*INDEX(Inputs!$J$226:$Q$226,1,MOD(BG25,8)+1))/Time!BG25,0)</f>
        <v>92.9</v>
      </c>
      <c r="BH27" s="11" t="n">
        <f aca="false">IF(Time!BH25&gt;0,(BH26*INDEX(Inputs!$J$226:$Q$226,1,MOD(BH25-1,8)+1)+(Time!BH25-BH26)*INDEX(Inputs!$J$226:$Q$226,1,MOD(BH25,8)+1))/Time!BH25,0)</f>
        <v>93.05</v>
      </c>
      <c r="BI27" s="11" t="n">
        <f aca="false">IF(Time!BI25&gt;0,(BI26*INDEX(Inputs!$J$226:$Q$226,1,MOD(BI25-1,8)+1)+(Time!BI25-BI26)*INDEX(Inputs!$J$226:$Q$226,1,MOD(BI25,8)+1))/Time!BI25,0)</f>
        <v>93.8</v>
      </c>
      <c r="BJ27" s="11" t="n">
        <f aca="false">IF(Time!BJ25&gt;0,(BJ26*INDEX(Inputs!$J$226:$Q$226,1,MOD(BJ25-1,8)+1)+(Time!BJ25-BJ26)*INDEX(Inputs!$J$226:$Q$226,1,MOD(BJ25,8)+1))/Time!BJ25,0)</f>
        <v>92.95</v>
      </c>
      <c r="BK27" s="11" t="n">
        <f aca="false">IF(Time!BK25&gt;0,(BK26*INDEX(Inputs!$J$226:$Q$226,1,MOD(BK25-1,8)+1)+(Time!BK25-BK26)*INDEX(Inputs!$J$226:$Q$226,1,MOD(BK25,8)+1))/Time!BK25,0)</f>
        <v>88.7</v>
      </c>
      <c r="BL27" s="11" t="n">
        <f aca="false">IF(Time!BL25&gt;0,(BL26*INDEX(Inputs!$J$226:$Q$226,1,MOD(BL25-1,8)+1)+(Time!BL25-BL26)*INDEX(Inputs!$J$226:$Q$226,1,MOD(BL25,8)+1))/Time!BL25,0)</f>
        <v>89.55</v>
      </c>
      <c r="BM27" s="11" t="n">
        <f aca="false">IF(Time!BM25&gt;0,(BM26*INDEX(Inputs!$J$226:$Q$226,1,MOD(BM25-1,8)+1)+(Time!BM25-BM26)*INDEX(Inputs!$J$226:$Q$226,1,MOD(BM25,8)+1))/Time!BM25,0)</f>
        <v>93.8</v>
      </c>
      <c r="BN27" s="11" t="n">
        <f aca="false">IF(Time!BN25&gt;0,(BN26*INDEX(Inputs!$J$226:$Q$226,1,MOD(BN25-1,8)+1)+(Time!BN25-BN26)*INDEX(Inputs!$J$226:$Q$226,1,MOD(BN25,8)+1))/Time!BN25,0)</f>
        <v>93.8</v>
      </c>
    </row>
    <row r="28" customFormat="false" ht="15" hidden="false" customHeight="false" outlineLevel="0" collapsed="false">
      <c r="D28" s="0" t="s">
        <v>480</v>
      </c>
      <c r="E28" s="0" t="s">
        <v>103</v>
      </c>
      <c r="J28" s="11" t="n">
        <f aca="false">IF(Time!J25&gt;0,J27+Inputs!$F$37,0)</f>
        <v>0</v>
      </c>
      <c r="K28" s="11" t="n">
        <f aca="false">IF(Time!K25&gt;0,K27+Inputs!$F$37,0)</f>
        <v>0</v>
      </c>
      <c r="L28" s="11" t="n">
        <f aca="false">IF(Time!L25&gt;0,L27+Inputs!$F$37,0)</f>
        <v>0</v>
      </c>
      <c r="M28" s="11" t="n">
        <f aca="false">IF(Time!M25&gt;0,M27+Inputs!$F$37,0)</f>
        <v>0</v>
      </c>
      <c r="N28" s="11" t="n">
        <f aca="false">IF(Time!N25&gt;0,N27+Inputs!$F$37,0)</f>
        <v>0</v>
      </c>
      <c r="O28" s="11" t="n">
        <f aca="false">IF(Time!O25&gt;0,O27+Inputs!$F$37,0)</f>
        <v>0</v>
      </c>
      <c r="P28" s="11" t="n">
        <f aca="false">IF(Time!P25&gt;0,P27+Inputs!$F$37,0)</f>
        <v>93.8</v>
      </c>
      <c r="Q28" s="11" t="n">
        <f aca="false">IF(Time!Q25&gt;0,Q27+Inputs!$F$37,0)</f>
        <v>93.8</v>
      </c>
      <c r="R28" s="11" t="n">
        <f aca="false">IF(Time!R25&gt;0,R27+Inputs!$F$37,0)</f>
        <v>93.65</v>
      </c>
      <c r="S28" s="11" t="n">
        <f aca="false">IF(Time!S25&gt;0,S27+Inputs!$F$37,0)</f>
        <v>92.9</v>
      </c>
      <c r="T28" s="11" t="n">
        <f aca="false">IF(Time!T25&gt;0,T27+Inputs!$F$37,0)</f>
        <v>93.05</v>
      </c>
      <c r="U28" s="11" t="n">
        <f aca="false">IF(Time!U25&gt;0,U27+Inputs!$F$37,0)</f>
        <v>93.8</v>
      </c>
      <c r="V28" s="11" t="n">
        <f aca="false">IF(Time!V25&gt;0,V27+Inputs!$F$37,0)</f>
        <v>93.2666666666667</v>
      </c>
      <c r="W28" s="11" t="n">
        <f aca="false">IF(Time!W25&gt;0,W27+Inputs!$F$37,0)</f>
        <v>90.6</v>
      </c>
      <c r="X28" s="11" t="n">
        <f aca="false">IF(Time!X25&gt;0,X27+Inputs!$F$37,0)</f>
        <v>91.1333333333333</v>
      </c>
      <c r="Y28" s="11" t="n">
        <f aca="false">IF(Time!Y25&gt;0,Y27+Inputs!$F$37,0)</f>
        <v>93.8</v>
      </c>
      <c r="Z28" s="11" t="n">
        <f aca="false">IF(Time!Z25&gt;0,Z27+Inputs!$F$37,0)</f>
        <v>93.65</v>
      </c>
      <c r="AA28" s="11" t="n">
        <f aca="false">IF(Time!AA25&gt;0,AA27+Inputs!$F$37,0)</f>
        <v>92.9</v>
      </c>
      <c r="AB28" s="11" t="n">
        <f aca="false">IF(Time!AB25&gt;0,AB27+Inputs!$F$37,0)</f>
        <v>93.05</v>
      </c>
      <c r="AC28" s="11" t="n">
        <f aca="false">IF(Time!AC25&gt;0,AC27+Inputs!$F$37,0)</f>
        <v>93.8</v>
      </c>
      <c r="AD28" s="11" t="n">
        <f aca="false">IF(Time!AD25&gt;0,AD27+Inputs!$F$37,0)</f>
        <v>92.95</v>
      </c>
      <c r="AE28" s="11" t="n">
        <f aca="false">IF(Time!AE25&gt;0,AE27+Inputs!$F$37,0)</f>
        <v>88.7</v>
      </c>
      <c r="AF28" s="11" t="n">
        <f aca="false">IF(Time!AF25&gt;0,AF27+Inputs!$F$37,0)</f>
        <v>89.55</v>
      </c>
      <c r="AG28" s="11" t="n">
        <f aca="false">IF(Time!AG25&gt;0,AG27+Inputs!$F$37,0)</f>
        <v>93.8</v>
      </c>
      <c r="AH28" s="11" t="n">
        <f aca="false">IF(Time!AH25&gt;0,AH27+Inputs!$F$37,0)</f>
        <v>93.65</v>
      </c>
      <c r="AI28" s="11" t="n">
        <f aca="false">IF(Time!AI25&gt;0,AI27+Inputs!$F$37,0)</f>
        <v>92.9</v>
      </c>
      <c r="AJ28" s="11" t="n">
        <f aca="false">IF(Time!AJ25&gt;0,AJ27+Inputs!$F$37,0)</f>
        <v>93.05</v>
      </c>
      <c r="AK28" s="11" t="n">
        <f aca="false">IF(Time!AK25&gt;0,AK27+Inputs!$F$37,0)</f>
        <v>93.8</v>
      </c>
      <c r="AL28" s="11" t="n">
        <f aca="false">IF(Time!AL25&gt;0,AL27+Inputs!$F$37,0)</f>
        <v>93.2666666666667</v>
      </c>
      <c r="AM28" s="11" t="n">
        <f aca="false">IF(Time!AM25&gt;0,AM27+Inputs!$F$37,0)</f>
        <v>90.6</v>
      </c>
      <c r="AN28" s="11" t="n">
        <f aca="false">IF(Time!AN25&gt;0,AN27+Inputs!$F$37,0)</f>
        <v>91.1333333333333</v>
      </c>
      <c r="AO28" s="11" t="n">
        <f aca="false">IF(Time!AO25&gt;0,AO27+Inputs!$F$37,0)</f>
        <v>93.8</v>
      </c>
      <c r="AP28" s="11" t="n">
        <f aca="false">IF(Time!AP25&gt;0,AP27+Inputs!$F$37,0)</f>
        <v>93.65</v>
      </c>
      <c r="AQ28" s="11" t="n">
        <f aca="false">IF(Time!AQ25&gt;0,AQ27+Inputs!$F$37,0)</f>
        <v>92.9</v>
      </c>
      <c r="AR28" s="11" t="n">
        <f aca="false">IF(Time!AR25&gt;0,AR27+Inputs!$F$37,0)</f>
        <v>93.05</v>
      </c>
      <c r="AS28" s="11" t="n">
        <f aca="false">IF(Time!AS25&gt;0,AS27+Inputs!$F$37,0)</f>
        <v>93.8</v>
      </c>
      <c r="AT28" s="11" t="n">
        <f aca="false">IF(Time!AT25&gt;0,AT27+Inputs!$F$37,0)</f>
        <v>92.95</v>
      </c>
      <c r="AU28" s="11" t="n">
        <f aca="false">IF(Time!AU25&gt;0,AU27+Inputs!$F$37,0)</f>
        <v>88.7</v>
      </c>
      <c r="AV28" s="11" t="n">
        <f aca="false">IF(Time!AV25&gt;0,AV27+Inputs!$F$37,0)</f>
        <v>89.55</v>
      </c>
      <c r="AW28" s="11" t="n">
        <f aca="false">IF(Time!AW25&gt;0,AW27+Inputs!$F$37,0)</f>
        <v>93.8</v>
      </c>
      <c r="AX28" s="11" t="n">
        <f aca="false">IF(Time!AX25&gt;0,AX27+Inputs!$F$37,0)</f>
        <v>93.65</v>
      </c>
      <c r="AY28" s="11" t="n">
        <f aca="false">IF(Time!AY25&gt;0,AY27+Inputs!$F$37,0)</f>
        <v>92.9</v>
      </c>
      <c r="AZ28" s="11" t="n">
        <f aca="false">IF(Time!AZ25&gt;0,AZ27+Inputs!$F$37,0)</f>
        <v>93.05</v>
      </c>
      <c r="BA28" s="11" t="n">
        <f aca="false">IF(Time!BA25&gt;0,BA27+Inputs!$F$37,0)</f>
        <v>93.8</v>
      </c>
      <c r="BB28" s="11" t="n">
        <f aca="false">IF(Time!BB25&gt;0,BB27+Inputs!$F$37,0)</f>
        <v>93.2666666666667</v>
      </c>
      <c r="BC28" s="11" t="n">
        <f aca="false">IF(Time!BC25&gt;0,BC27+Inputs!$F$37,0)</f>
        <v>90.6</v>
      </c>
      <c r="BD28" s="11" t="n">
        <f aca="false">IF(Time!BD25&gt;0,BD27+Inputs!$F$37,0)</f>
        <v>91.1333333333333</v>
      </c>
      <c r="BE28" s="11" t="n">
        <f aca="false">IF(Time!BE25&gt;0,BE27+Inputs!$F$37,0)</f>
        <v>93.8</v>
      </c>
      <c r="BF28" s="11" t="n">
        <f aca="false">IF(Time!BF25&gt;0,BF27+Inputs!$F$37,0)</f>
        <v>93.65</v>
      </c>
      <c r="BG28" s="11" t="n">
        <f aca="false">IF(Time!BG25&gt;0,BG27+Inputs!$F$37,0)</f>
        <v>92.9</v>
      </c>
      <c r="BH28" s="11" t="n">
        <f aca="false">IF(Time!BH25&gt;0,BH27+Inputs!$F$37,0)</f>
        <v>93.05</v>
      </c>
      <c r="BI28" s="11" t="n">
        <f aca="false">IF(Time!BI25&gt;0,BI27+Inputs!$F$37,0)</f>
        <v>93.8</v>
      </c>
      <c r="BJ28" s="11" t="n">
        <f aca="false">IF(Time!BJ25&gt;0,BJ27+Inputs!$F$37,0)</f>
        <v>92.95</v>
      </c>
      <c r="BK28" s="11" t="n">
        <f aca="false">IF(Time!BK25&gt;0,BK27+Inputs!$F$37,0)</f>
        <v>88.7</v>
      </c>
      <c r="BL28" s="11" t="n">
        <f aca="false">IF(Time!BL25&gt;0,BL27+Inputs!$F$37,0)</f>
        <v>89.55</v>
      </c>
      <c r="BM28" s="11" t="n">
        <f aca="false">IF(Time!BM25&gt;0,BM27+Inputs!$F$37,0)</f>
        <v>93.8</v>
      </c>
      <c r="BN28" s="11" t="n">
        <f aca="false">IF(Time!BN25&gt;0,BN27+Inputs!$F$37,0)</f>
        <v>93.8</v>
      </c>
    </row>
    <row r="29" customFormat="false" ht="15" hidden="false" customHeight="false" outlineLevel="0" collapsed="false">
      <c r="D29" s="0" t="s">
        <v>481</v>
      </c>
      <c r="E29" s="0" t="s">
        <v>482</v>
      </c>
      <c r="J29" s="11" t="n">
        <f aca="false">IF(Time!J25&gt;0,(Time!J27+Time!J28)/24,0)</f>
        <v>0</v>
      </c>
      <c r="K29" s="11" t="n">
        <f aca="false">IF(Time!K25&gt;0,(Time!K27+Time!K28)/24,0)</f>
        <v>0</v>
      </c>
      <c r="L29" s="11" t="n">
        <f aca="false">IF(Time!L25&gt;0,(Time!L27+Time!L28)/24,0)</f>
        <v>0</v>
      </c>
      <c r="M29" s="11" t="n">
        <f aca="false">IF(Time!M25&gt;0,(Time!M27+Time!M28)/24,0)</f>
        <v>0</v>
      </c>
      <c r="N29" s="11" t="n">
        <f aca="false">IF(Time!N25&gt;0,(Time!N27+Time!N28)/24,0)</f>
        <v>0</v>
      </c>
      <c r="O29" s="11" t="n">
        <f aca="false">IF(Time!O25&gt;0,(Time!O27+Time!O28)/24,0)</f>
        <v>0</v>
      </c>
      <c r="P29" s="11" t="n">
        <f aca="false">IF(Time!P25&gt;0,(Time!P27+Time!P28)/24,0)</f>
        <v>0.0416666666666667</v>
      </c>
      <c r="Q29" s="11" t="n">
        <f aca="false">IF(Time!Q25&gt;0,(Time!Q27+Time!Q28)/24,0)</f>
        <v>0.333333333333333</v>
      </c>
      <c r="R29" s="11" t="n">
        <f aca="false">IF(Time!R25&gt;0,(Time!R27+Time!R28)/24,0)</f>
        <v>0.833333333333333</v>
      </c>
      <c r="S29" s="11" t="n">
        <f aca="false">IF(Time!S25&gt;0,(Time!S27+Time!S28)/24,0)</f>
        <v>1.33333333333333</v>
      </c>
      <c r="T29" s="11" t="n">
        <f aca="false">IF(Time!T25&gt;0,(Time!T27+Time!T28)/24,0)</f>
        <v>1.83333333333333</v>
      </c>
      <c r="U29" s="11" t="n">
        <f aca="false">IF(Time!U25&gt;0,(Time!U27+Time!U28)/24,0)</f>
        <v>2.33333333333333</v>
      </c>
      <c r="V29" s="11" t="n">
        <f aca="false">IF(Time!V25&gt;0,(Time!V27+Time!V28)/24,0)</f>
        <v>2.83333333333333</v>
      </c>
      <c r="W29" s="11" t="n">
        <f aca="false">IF(Time!W25&gt;0,(Time!W27+Time!W28)/24,0)</f>
        <v>3.33333333333333</v>
      </c>
      <c r="X29" s="11" t="n">
        <f aca="false">IF(Time!X25&gt;0,(Time!X27+Time!X28)/24,0)</f>
        <v>3.83333333333333</v>
      </c>
      <c r="Y29" s="11" t="n">
        <f aca="false">IF(Time!Y25&gt;0,(Time!Y27+Time!Y28)/24,0)</f>
        <v>4.33333333333333</v>
      </c>
      <c r="Z29" s="11" t="n">
        <f aca="false">IF(Time!Z25&gt;0,(Time!Z27+Time!Z28)/24,0)</f>
        <v>4.83333333333333</v>
      </c>
      <c r="AA29" s="11" t="n">
        <f aca="false">IF(Time!AA25&gt;0,(Time!AA27+Time!AA28)/24,0)</f>
        <v>5.33333333333333</v>
      </c>
      <c r="AB29" s="11" t="n">
        <f aca="false">IF(Time!AB25&gt;0,(Time!AB27+Time!AB28)/24,0)</f>
        <v>5.83333333333333</v>
      </c>
      <c r="AC29" s="11" t="n">
        <f aca="false">IF(Time!AC25&gt;0,(Time!AC27+Time!AC28)/24,0)</f>
        <v>6.33333333333333</v>
      </c>
      <c r="AD29" s="11" t="n">
        <f aca="false">IF(Time!AD25&gt;0,(Time!AD27+Time!AD28)/24,0)</f>
        <v>6.83333333333333</v>
      </c>
      <c r="AE29" s="11" t="n">
        <f aca="false">IF(Time!AE25&gt;0,(Time!AE27+Time!AE28)/24,0)</f>
        <v>7.33333333333333</v>
      </c>
      <c r="AF29" s="11" t="n">
        <f aca="false">IF(Time!AF25&gt;0,(Time!AF27+Time!AF28)/24,0)</f>
        <v>7.83333333333333</v>
      </c>
      <c r="AG29" s="11" t="n">
        <f aca="false">IF(Time!AG25&gt;0,(Time!AG27+Time!AG28)/24,0)</f>
        <v>8.33333333333333</v>
      </c>
      <c r="AH29" s="11" t="n">
        <f aca="false">IF(Time!AH25&gt;0,(Time!AH27+Time!AH28)/24,0)</f>
        <v>8.83333333333333</v>
      </c>
      <c r="AI29" s="11" t="n">
        <f aca="false">IF(Time!AI25&gt;0,(Time!AI27+Time!AI28)/24,0)</f>
        <v>9.33333333333333</v>
      </c>
      <c r="AJ29" s="11" t="n">
        <f aca="false">IF(Time!AJ25&gt;0,(Time!AJ27+Time!AJ28)/24,0)</f>
        <v>9.83333333333333</v>
      </c>
      <c r="AK29" s="11" t="n">
        <f aca="false">IF(Time!AK25&gt;0,(Time!AK27+Time!AK28)/24,0)</f>
        <v>10.3333333333333</v>
      </c>
      <c r="AL29" s="11" t="n">
        <f aca="false">IF(Time!AL25&gt;0,(Time!AL27+Time!AL28)/24,0)</f>
        <v>10.8333333333333</v>
      </c>
      <c r="AM29" s="11" t="n">
        <f aca="false">IF(Time!AM25&gt;0,(Time!AM27+Time!AM28)/24,0)</f>
        <v>11.3333333333333</v>
      </c>
      <c r="AN29" s="11" t="n">
        <f aca="false">IF(Time!AN25&gt;0,(Time!AN27+Time!AN28)/24,0)</f>
        <v>11.8333333333333</v>
      </c>
      <c r="AO29" s="11" t="n">
        <f aca="false">IF(Time!AO25&gt;0,(Time!AO27+Time!AO28)/24,0)</f>
        <v>12.3333333333333</v>
      </c>
      <c r="AP29" s="11" t="n">
        <f aca="false">IF(Time!AP25&gt;0,(Time!AP27+Time!AP28)/24,0)</f>
        <v>12.8333333333333</v>
      </c>
      <c r="AQ29" s="11" t="n">
        <f aca="false">IF(Time!AQ25&gt;0,(Time!AQ27+Time!AQ28)/24,0)</f>
        <v>13.3333333333333</v>
      </c>
      <c r="AR29" s="11" t="n">
        <f aca="false">IF(Time!AR25&gt;0,(Time!AR27+Time!AR28)/24,0)</f>
        <v>13.8333333333333</v>
      </c>
      <c r="AS29" s="11" t="n">
        <f aca="false">IF(Time!AS25&gt;0,(Time!AS27+Time!AS28)/24,0)</f>
        <v>14.3333333333333</v>
      </c>
      <c r="AT29" s="11" t="n">
        <f aca="false">IF(Time!AT25&gt;0,(Time!AT27+Time!AT28)/24,0)</f>
        <v>14.8333333333333</v>
      </c>
      <c r="AU29" s="11" t="n">
        <f aca="false">IF(Time!AU25&gt;0,(Time!AU27+Time!AU28)/24,0)</f>
        <v>15.3333333333333</v>
      </c>
      <c r="AV29" s="11" t="n">
        <f aca="false">IF(Time!AV25&gt;0,(Time!AV27+Time!AV28)/24,0)</f>
        <v>15.8333333333333</v>
      </c>
      <c r="AW29" s="11" t="n">
        <f aca="false">IF(Time!AW25&gt;0,(Time!AW27+Time!AW28)/24,0)</f>
        <v>16.3333333333333</v>
      </c>
      <c r="AX29" s="11" t="n">
        <f aca="false">IF(Time!AX25&gt;0,(Time!AX27+Time!AX28)/24,0)</f>
        <v>16.8333333333333</v>
      </c>
      <c r="AY29" s="11" t="n">
        <f aca="false">IF(Time!AY25&gt;0,(Time!AY27+Time!AY28)/24,0)</f>
        <v>17.3333333333333</v>
      </c>
      <c r="AZ29" s="11" t="n">
        <f aca="false">IF(Time!AZ25&gt;0,(Time!AZ27+Time!AZ28)/24,0)</f>
        <v>17.8333333333333</v>
      </c>
      <c r="BA29" s="11" t="n">
        <f aca="false">IF(Time!BA25&gt;0,(Time!BA27+Time!BA28)/24,0)</f>
        <v>18.3333333333333</v>
      </c>
      <c r="BB29" s="11" t="n">
        <f aca="false">IF(Time!BB25&gt;0,(Time!BB27+Time!BB28)/24,0)</f>
        <v>18.8333333333333</v>
      </c>
      <c r="BC29" s="11" t="n">
        <f aca="false">IF(Time!BC25&gt;0,(Time!BC27+Time!BC28)/24,0)</f>
        <v>19.3333333333333</v>
      </c>
      <c r="BD29" s="11" t="n">
        <f aca="false">IF(Time!BD25&gt;0,(Time!BD27+Time!BD28)/24,0)</f>
        <v>19.8333333333333</v>
      </c>
      <c r="BE29" s="11" t="n">
        <f aca="false">IF(Time!BE25&gt;0,(Time!BE27+Time!BE28)/24,0)</f>
        <v>20.3333333333333</v>
      </c>
      <c r="BF29" s="11" t="n">
        <f aca="false">IF(Time!BF25&gt;0,(Time!BF27+Time!BF28)/24,0)</f>
        <v>20.8333333333333</v>
      </c>
      <c r="BG29" s="11" t="n">
        <f aca="false">IF(Time!BG25&gt;0,(Time!BG27+Time!BG28)/24,0)</f>
        <v>21.3333333333333</v>
      </c>
      <c r="BH29" s="11" t="n">
        <f aca="false">IF(Time!BH25&gt;0,(Time!BH27+Time!BH28)/24,0)</f>
        <v>21.8333333333333</v>
      </c>
      <c r="BI29" s="11" t="n">
        <f aca="false">IF(Time!BI25&gt;0,(Time!BI27+Time!BI28)/24,0)</f>
        <v>22.3333333333333</v>
      </c>
      <c r="BJ29" s="11" t="n">
        <f aca="false">IF(Time!BJ25&gt;0,(Time!BJ27+Time!BJ28)/24,0)</f>
        <v>22.8333333333333</v>
      </c>
      <c r="BK29" s="11" t="n">
        <f aca="false">IF(Time!BK25&gt;0,(Time!BK27+Time!BK28)/24,0)</f>
        <v>23.3333333333333</v>
      </c>
      <c r="BL29" s="11" t="n">
        <f aca="false">IF(Time!BL25&gt;0,(Time!BL27+Time!BL28)/24,0)</f>
        <v>23.8333333333333</v>
      </c>
      <c r="BM29" s="11" t="n">
        <f aca="false">IF(Time!BM25&gt;0,(Time!BM27+Time!BM28)/24,0)</f>
        <v>24.3333333333333</v>
      </c>
      <c r="BN29" s="11" t="n">
        <f aca="false">IF(Time!BN25&gt;0,(Time!BN27+Time!BN28)/24,0)</f>
        <v>24.7916666666667</v>
      </c>
    </row>
    <row r="30" customFormat="false" ht="15" hidden="false" customHeight="false" outlineLevel="0" collapsed="false">
      <c r="D30" s="0" t="s">
        <v>483</v>
      </c>
      <c r="E30" s="0" t="s">
        <v>214</v>
      </c>
      <c r="F30" s="12" t="n">
        <f aca="false">IF(Inputs!$F$34=2,Inputs!$F$117,Inputs!$F$116)</f>
        <v>581.9</v>
      </c>
    </row>
    <row r="31" customFormat="false" ht="15" hidden="false" customHeight="false" outlineLevel="0" collapsed="false">
      <c r="D31" s="0" t="s">
        <v>484</v>
      </c>
      <c r="E31" s="0" t="s">
        <v>217</v>
      </c>
      <c r="F31" s="9" t="n">
        <f aca="false">IF(Inputs!$F$34=2,Inputs!$F$119,Inputs!$F$118)</f>
        <v>6286</v>
      </c>
    </row>
    <row r="32" customFormat="false" ht="15" hidden="false" customHeight="false" outlineLevel="0" collapsed="false">
      <c r="D32" s="0" t="s">
        <v>485</v>
      </c>
      <c r="E32" s="0" t="s">
        <v>99</v>
      </c>
      <c r="J32" s="11" t="n">
        <f aca="false">(1-Inputs!$F$125/100*J29)*(1-Inputs!$F$126/100)</f>
        <v>0.99</v>
      </c>
      <c r="K32" s="11" t="n">
        <f aca="false">(1-Inputs!$F$125/100*K29)*(1-Inputs!$F$126/100)</f>
        <v>0.99</v>
      </c>
      <c r="L32" s="11" t="n">
        <f aca="false">(1-Inputs!$F$125/100*L29)*(1-Inputs!$F$126/100)</f>
        <v>0.99</v>
      </c>
      <c r="M32" s="11" t="n">
        <f aca="false">(1-Inputs!$F$125/100*M29)*(1-Inputs!$F$126/100)</f>
        <v>0.99</v>
      </c>
      <c r="N32" s="11" t="n">
        <f aca="false">(1-Inputs!$F$125/100*N29)*(1-Inputs!$F$126/100)</f>
        <v>0.99</v>
      </c>
      <c r="O32" s="11" t="n">
        <f aca="false">(1-Inputs!$F$125/100*O29)*(1-Inputs!$F$126/100)</f>
        <v>0.99</v>
      </c>
      <c r="P32" s="11" t="n">
        <f aca="false">(1-Inputs!$F$125/100*P29)*(1-Inputs!$F$126/100)</f>
        <v>0.989938125</v>
      </c>
      <c r="Q32" s="11" t="n">
        <f aca="false">(1-Inputs!$F$125/100*Q29)*(1-Inputs!$F$126/100)</f>
        <v>0.989505</v>
      </c>
      <c r="R32" s="11" t="n">
        <f aca="false">(1-Inputs!$F$125/100*R29)*(1-Inputs!$F$126/100)</f>
        <v>0.9887625</v>
      </c>
      <c r="S32" s="11" t="n">
        <f aca="false">(1-Inputs!$F$125/100*S29)*(1-Inputs!$F$126/100)</f>
        <v>0.98802</v>
      </c>
      <c r="T32" s="11" t="n">
        <f aca="false">(1-Inputs!$F$125/100*T29)*(1-Inputs!$F$126/100)</f>
        <v>0.9872775</v>
      </c>
      <c r="U32" s="11" t="n">
        <f aca="false">(1-Inputs!$F$125/100*U29)*(1-Inputs!$F$126/100)</f>
        <v>0.986535</v>
      </c>
      <c r="V32" s="11" t="n">
        <f aca="false">(1-Inputs!$F$125/100*V29)*(1-Inputs!$F$126/100)</f>
        <v>0.9857925</v>
      </c>
      <c r="W32" s="11" t="n">
        <f aca="false">(1-Inputs!$F$125/100*W29)*(1-Inputs!$F$126/100)</f>
        <v>0.98505</v>
      </c>
      <c r="X32" s="11" t="n">
        <f aca="false">(1-Inputs!$F$125/100*X29)*(1-Inputs!$F$126/100)</f>
        <v>0.9843075</v>
      </c>
      <c r="Y32" s="11" t="n">
        <f aca="false">(1-Inputs!$F$125/100*Y29)*(1-Inputs!$F$126/100)</f>
        <v>0.983565</v>
      </c>
      <c r="Z32" s="11" t="n">
        <f aca="false">(1-Inputs!$F$125/100*Z29)*(1-Inputs!$F$126/100)</f>
        <v>0.9828225</v>
      </c>
      <c r="AA32" s="11" t="n">
        <f aca="false">(1-Inputs!$F$125/100*AA29)*(1-Inputs!$F$126/100)</f>
        <v>0.98208</v>
      </c>
      <c r="AB32" s="11" t="n">
        <f aca="false">(1-Inputs!$F$125/100*AB29)*(1-Inputs!$F$126/100)</f>
        <v>0.9813375</v>
      </c>
      <c r="AC32" s="11" t="n">
        <f aca="false">(1-Inputs!$F$125/100*AC29)*(1-Inputs!$F$126/100)</f>
        <v>0.980595</v>
      </c>
      <c r="AD32" s="11" t="n">
        <f aca="false">(1-Inputs!$F$125/100*AD29)*(1-Inputs!$F$126/100)</f>
        <v>0.9798525</v>
      </c>
      <c r="AE32" s="11" t="n">
        <f aca="false">(1-Inputs!$F$125/100*AE29)*(1-Inputs!$F$126/100)</f>
        <v>0.97911</v>
      </c>
      <c r="AF32" s="11" t="n">
        <f aca="false">(1-Inputs!$F$125/100*AF29)*(1-Inputs!$F$126/100)</f>
        <v>0.9783675</v>
      </c>
      <c r="AG32" s="11" t="n">
        <f aca="false">(1-Inputs!$F$125/100*AG29)*(1-Inputs!$F$126/100)</f>
        <v>0.977625</v>
      </c>
      <c r="AH32" s="11" t="n">
        <f aca="false">(1-Inputs!$F$125/100*AH29)*(1-Inputs!$F$126/100)</f>
        <v>0.9768825</v>
      </c>
      <c r="AI32" s="11" t="n">
        <f aca="false">(1-Inputs!$F$125/100*AI29)*(1-Inputs!$F$126/100)</f>
        <v>0.97614</v>
      </c>
      <c r="AJ32" s="11" t="n">
        <f aca="false">(1-Inputs!$F$125/100*AJ29)*(1-Inputs!$F$126/100)</f>
        <v>0.9753975</v>
      </c>
      <c r="AK32" s="11" t="n">
        <f aca="false">(1-Inputs!$F$125/100*AK29)*(1-Inputs!$F$126/100)</f>
        <v>0.974655</v>
      </c>
      <c r="AL32" s="11" t="n">
        <f aca="false">(1-Inputs!$F$125/100*AL29)*(1-Inputs!$F$126/100)</f>
        <v>0.9739125</v>
      </c>
      <c r="AM32" s="11" t="n">
        <f aca="false">(1-Inputs!$F$125/100*AM29)*(1-Inputs!$F$126/100)</f>
        <v>0.97317</v>
      </c>
      <c r="AN32" s="11" t="n">
        <f aca="false">(1-Inputs!$F$125/100*AN29)*(1-Inputs!$F$126/100)</f>
        <v>0.9724275</v>
      </c>
      <c r="AO32" s="11" t="n">
        <f aca="false">(1-Inputs!$F$125/100*AO29)*(1-Inputs!$F$126/100)</f>
        <v>0.971685</v>
      </c>
      <c r="AP32" s="11" t="n">
        <f aca="false">(1-Inputs!$F$125/100*AP29)*(1-Inputs!$F$126/100)</f>
        <v>0.9709425</v>
      </c>
      <c r="AQ32" s="11" t="n">
        <f aca="false">(1-Inputs!$F$125/100*AQ29)*(1-Inputs!$F$126/100)</f>
        <v>0.9702</v>
      </c>
      <c r="AR32" s="11" t="n">
        <f aca="false">(1-Inputs!$F$125/100*AR29)*(1-Inputs!$F$126/100)</f>
        <v>0.9694575</v>
      </c>
      <c r="AS32" s="11" t="n">
        <f aca="false">(1-Inputs!$F$125/100*AS29)*(1-Inputs!$F$126/100)</f>
        <v>0.968715</v>
      </c>
      <c r="AT32" s="11" t="n">
        <f aca="false">(1-Inputs!$F$125/100*AT29)*(1-Inputs!$F$126/100)</f>
        <v>0.9679725</v>
      </c>
      <c r="AU32" s="11" t="n">
        <f aca="false">(1-Inputs!$F$125/100*AU29)*(1-Inputs!$F$126/100)</f>
        <v>0.96723</v>
      </c>
      <c r="AV32" s="11" t="n">
        <f aca="false">(1-Inputs!$F$125/100*AV29)*(1-Inputs!$F$126/100)</f>
        <v>0.9664875</v>
      </c>
      <c r="AW32" s="11" t="n">
        <f aca="false">(1-Inputs!$F$125/100*AW29)*(1-Inputs!$F$126/100)</f>
        <v>0.965745</v>
      </c>
      <c r="AX32" s="11" t="n">
        <f aca="false">(1-Inputs!$F$125/100*AX29)*(1-Inputs!$F$126/100)</f>
        <v>0.9650025</v>
      </c>
      <c r="AY32" s="11" t="n">
        <f aca="false">(1-Inputs!$F$125/100*AY29)*(1-Inputs!$F$126/100)</f>
        <v>0.96426</v>
      </c>
      <c r="AZ32" s="11" t="n">
        <f aca="false">(1-Inputs!$F$125/100*AZ29)*(1-Inputs!$F$126/100)</f>
        <v>0.9635175</v>
      </c>
      <c r="BA32" s="11" t="n">
        <f aca="false">(1-Inputs!$F$125/100*BA29)*(1-Inputs!$F$126/100)</f>
        <v>0.962775</v>
      </c>
      <c r="BB32" s="11" t="n">
        <f aca="false">(1-Inputs!$F$125/100*BB29)*(1-Inputs!$F$126/100)</f>
        <v>0.9620325</v>
      </c>
      <c r="BC32" s="11" t="n">
        <f aca="false">(1-Inputs!$F$125/100*BC29)*(1-Inputs!$F$126/100)</f>
        <v>0.96129</v>
      </c>
      <c r="BD32" s="11" t="n">
        <f aca="false">(1-Inputs!$F$125/100*BD29)*(1-Inputs!$F$126/100)</f>
        <v>0.9605475</v>
      </c>
      <c r="BE32" s="11" t="n">
        <f aca="false">(1-Inputs!$F$125/100*BE29)*(1-Inputs!$F$126/100)</f>
        <v>0.959805</v>
      </c>
      <c r="BF32" s="11" t="n">
        <f aca="false">(1-Inputs!$F$125/100*BF29)*(1-Inputs!$F$126/100)</f>
        <v>0.9590625</v>
      </c>
      <c r="BG32" s="11" t="n">
        <f aca="false">(1-Inputs!$F$125/100*BG29)*(1-Inputs!$F$126/100)</f>
        <v>0.95832</v>
      </c>
      <c r="BH32" s="11" t="n">
        <f aca="false">(1-Inputs!$F$125/100*BH29)*(1-Inputs!$F$126/100)</f>
        <v>0.9575775</v>
      </c>
      <c r="BI32" s="11" t="n">
        <f aca="false">(1-Inputs!$F$125/100*BI29)*(1-Inputs!$F$126/100)</f>
        <v>0.956835</v>
      </c>
      <c r="BJ32" s="11" t="n">
        <f aca="false">(1-Inputs!$F$125/100*BJ29)*(1-Inputs!$F$126/100)</f>
        <v>0.9560925</v>
      </c>
      <c r="BK32" s="11" t="n">
        <f aca="false">(1-Inputs!$F$125/100*BK29)*(1-Inputs!$F$126/100)</f>
        <v>0.95535</v>
      </c>
      <c r="BL32" s="11" t="n">
        <f aca="false">(1-Inputs!$F$125/100*BL29)*(1-Inputs!$F$126/100)</f>
        <v>0.9546075</v>
      </c>
      <c r="BM32" s="11" t="n">
        <f aca="false">(1-Inputs!$F$125/100*BM29)*(1-Inputs!$F$126/100)</f>
        <v>0.953865</v>
      </c>
      <c r="BN32" s="11" t="n">
        <f aca="false">(1-Inputs!$F$125/100*BN29)*(1-Inputs!$F$126/100)</f>
        <v>0.953184375</v>
      </c>
    </row>
    <row r="33" customFormat="false" ht="15" hidden="false" customHeight="false" outlineLevel="0" collapsed="false">
      <c r="D33" s="0" t="s">
        <v>129</v>
      </c>
      <c r="E33" s="0" t="s">
        <v>103</v>
      </c>
      <c r="J33" s="11" t="n">
        <f aca="false">IF(AND(Inputs!$F$55=1,Inputs!J227&gt;0),Inputs!J227,Inputs!$F$38)</f>
        <v>76.5</v>
      </c>
      <c r="K33" s="11" t="n">
        <f aca="false">IF(AND(Inputs!$F$55=1,Inputs!K227&gt;0),Inputs!K227,Inputs!$F$38)</f>
        <v>76.5</v>
      </c>
      <c r="L33" s="11" t="n">
        <f aca="false">IF(AND(Inputs!$F$55=1,Inputs!L227&gt;0),Inputs!L227,Inputs!$F$38)</f>
        <v>76.5</v>
      </c>
      <c r="M33" s="11" t="n">
        <f aca="false">IF(AND(Inputs!$F$55=1,Inputs!M227&gt;0),Inputs!M227,Inputs!$F$38)</f>
        <v>76.5</v>
      </c>
      <c r="N33" s="11" t="n">
        <f aca="false">IF(AND(Inputs!$F$55=1,Inputs!N227&gt;0),Inputs!N227,Inputs!$F$38)</f>
        <v>76.5</v>
      </c>
      <c r="O33" s="11" t="n">
        <f aca="false">IF(AND(Inputs!$F$55=1,Inputs!O227&gt;0),Inputs!O227,Inputs!$F$38)</f>
        <v>76.5</v>
      </c>
      <c r="P33" s="11" t="n">
        <f aca="false">IF(AND(Inputs!$F$55=1,Inputs!P227&gt;0),Inputs!P227,Inputs!$F$38)</f>
        <v>76.5</v>
      </c>
      <c r="Q33" s="11" t="n">
        <f aca="false">IF(AND(Inputs!$F$55=1,Inputs!Q227&gt;0),Inputs!Q227,Inputs!$F$38)</f>
        <v>84</v>
      </c>
      <c r="R33" s="11" t="n">
        <f aca="false">IF(AND(Inputs!$F$55=1,Inputs!R227&gt;0),Inputs!R227,Inputs!$F$38)</f>
        <v>81.5</v>
      </c>
      <c r="S33" s="11" t="n">
        <f aca="false">IF(AND(Inputs!$F$55=1,Inputs!S227&gt;0),Inputs!S227,Inputs!$F$38)</f>
        <v>76.5</v>
      </c>
      <c r="T33" s="11" t="n">
        <f aca="false">IF(AND(Inputs!$F$55=1,Inputs!T227&gt;0),Inputs!T227,Inputs!$F$38)</f>
        <v>76.5</v>
      </c>
      <c r="U33" s="11" t="n">
        <f aca="false">IF(AND(Inputs!$F$55=1,Inputs!U227&gt;0),Inputs!U227,Inputs!$F$38)</f>
        <v>76.5</v>
      </c>
      <c r="V33" s="11" t="n">
        <f aca="false">IF(AND(Inputs!$F$55=1,Inputs!V227&gt;0),Inputs!V227,Inputs!$F$38)</f>
        <v>76.5</v>
      </c>
      <c r="W33" s="11" t="n">
        <f aca="false">IF(AND(Inputs!$F$55=1,Inputs!W227&gt;0),Inputs!W227,Inputs!$F$38)</f>
        <v>76.5</v>
      </c>
      <c r="X33" s="11" t="n">
        <f aca="false">IF(AND(Inputs!$F$55=1,Inputs!X227&gt;0),Inputs!X227,Inputs!$F$38)</f>
        <v>76.5</v>
      </c>
      <c r="Y33" s="11" t="n">
        <f aca="false">IF(AND(Inputs!$F$55=1,Inputs!Y227&gt;0),Inputs!Y227,Inputs!$F$38)</f>
        <v>76.5</v>
      </c>
      <c r="Z33" s="11" t="n">
        <f aca="false">IF(AND(Inputs!$F$55=1,Inputs!Z227&gt;0),Inputs!Z227,Inputs!$F$38)</f>
        <v>76.5</v>
      </c>
      <c r="AA33" s="11" t="n">
        <f aca="false">IF(AND(Inputs!$F$55=1,Inputs!AA227&gt;0),Inputs!AA227,Inputs!$F$38)</f>
        <v>76.5</v>
      </c>
      <c r="AB33" s="11" t="n">
        <f aca="false">IF(AND(Inputs!$F$55=1,Inputs!AB227&gt;0),Inputs!AB227,Inputs!$F$38)</f>
        <v>76.5</v>
      </c>
      <c r="AC33" s="11" t="n">
        <f aca="false">IF(AND(Inputs!$F$55=1,Inputs!AC227&gt;0),Inputs!AC227,Inputs!$F$38)</f>
        <v>76.5</v>
      </c>
      <c r="AD33" s="11" t="n">
        <f aca="false">IF(AND(Inputs!$F$55=1,Inputs!AD227&gt;0),Inputs!AD227,Inputs!$F$38)</f>
        <v>76.5</v>
      </c>
      <c r="AE33" s="11" t="n">
        <f aca="false">IF(AND(Inputs!$F$55=1,Inputs!AE227&gt;0),Inputs!AE227,Inputs!$F$38)</f>
        <v>76.5</v>
      </c>
      <c r="AF33" s="11" t="n">
        <f aca="false">IF(AND(Inputs!$F$55=1,Inputs!AF227&gt;0),Inputs!AF227,Inputs!$F$38)</f>
        <v>76.5</v>
      </c>
      <c r="AG33" s="11" t="n">
        <f aca="false">IF(AND(Inputs!$F$55=1,Inputs!AG227&gt;0),Inputs!AG227,Inputs!$F$38)</f>
        <v>76.5</v>
      </c>
      <c r="AH33" s="11" t="n">
        <f aca="false">IF(AND(Inputs!$F$55=1,Inputs!AH227&gt;0),Inputs!AH227,Inputs!$F$38)</f>
        <v>76.5</v>
      </c>
      <c r="AI33" s="11" t="n">
        <f aca="false">IF(AND(Inputs!$F$55=1,Inputs!AI227&gt;0),Inputs!AI227,Inputs!$F$38)</f>
        <v>76.5</v>
      </c>
      <c r="AJ33" s="11" t="n">
        <f aca="false">IF(AND(Inputs!$F$55=1,Inputs!AJ227&gt;0),Inputs!AJ227,Inputs!$F$38)</f>
        <v>76.5</v>
      </c>
      <c r="AK33" s="11" t="n">
        <f aca="false">IF(AND(Inputs!$F$55=1,Inputs!AK227&gt;0),Inputs!AK227,Inputs!$F$38)</f>
        <v>76.5</v>
      </c>
      <c r="AL33" s="11" t="n">
        <f aca="false">IF(AND(Inputs!$F$55=1,Inputs!AL227&gt;0),Inputs!AL227,Inputs!$F$38)</f>
        <v>76.5</v>
      </c>
      <c r="AM33" s="11" t="n">
        <f aca="false">IF(AND(Inputs!$F$55=1,Inputs!AM227&gt;0),Inputs!AM227,Inputs!$F$38)</f>
        <v>76.5</v>
      </c>
      <c r="AN33" s="11" t="n">
        <f aca="false">IF(AND(Inputs!$F$55=1,Inputs!AN227&gt;0),Inputs!AN227,Inputs!$F$38)</f>
        <v>76.5</v>
      </c>
      <c r="AO33" s="11" t="n">
        <f aca="false">IF(AND(Inputs!$F$55=1,Inputs!AO227&gt;0),Inputs!AO227,Inputs!$F$38)</f>
        <v>76.5</v>
      </c>
      <c r="AP33" s="11" t="n">
        <f aca="false">IF(AND(Inputs!$F$55=1,Inputs!AP227&gt;0),Inputs!AP227,Inputs!$F$38)</f>
        <v>76.5</v>
      </c>
      <c r="AQ33" s="11" t="n">
        <f aca="false">IF(AND(Inputs!$F$55=1,Inputs!AQ227&gt;0),Inputs!AQ227,Inputs!$F$38)</f>
        <v>76.5</v>
      </c>
      <c r="AR33" s="11" t="n">
        <f aca="false">IF(AND(Inputs!$F$55=1,Inputs!AR227&gt;0),Inputs!AR227,Inputs!$F$38)</f>
        <v>76.5</v>
      </c>
      <c r="AS33" s="11" t="n">
        <f aca="false">IF(AND(Inputs!$F$55=1,Inputs!AS227&gt;0),Inputs!AS227,Inputs!$F$38)</f>
        <v>76.5</v>
      </c>
      <c r="AT33" s="11" t="n">
        <f aca="false">IF(AND(Inputs!$F$55=1,Inputs!AT227&gt;0),Inputs!AT227,Inputs!$F$38)</f>
        <v>76.5</v>
      </c>
      <c r="AU33" s="11" t="n">
        <f aca="false">IF(AND(Inputs!$F$55=1,Inputs!AU227&gt;0),Inputs!AU227,Inputs!$F$38)</f>
        <v>76.5</v>
      </c>
      <c r="AV33" s="11" t="n">
        <f aca="false">IF(AND(Inputs!$F$55=1,Inputs!AV227&gt;0),Inputs!AV227,Inputs!$F$38)</f>
        <v>76.5</v>
      </c>
      <c r="AW33" s="11" t="n">
        <f aca="false">IF(AND(Inputs!$F$55=1,Inputs!AW227&gt;0),Inputs!AW227,Inputs!$F$38)</f>
        <v>76.5</v>
      </c>
      <c r="AX33" s="11" t="n">
        <f aca="false">IF(AND(Inputs!$F$55=1,Inputs!AX227&gt;0),Inputs!AX227,Inputs!$F$38)</f>
        <v>76.5</v>
      </c>
      <c r="AY33" s="11" t="n">
        <f aca="false">IF(AND(Inputs!$F$55=1,Inputs!AY227&gt;0),Inputs!AY227,Inputs!$F$38)</f>
        <v>76.5</v>
      </c>
      <c r="AZ33" s="11" t="n">
        <f aca="false">IF(AND(Inputs!$F$55=1,Inputs!AZ227&gt;0),Inputs!AZ227,Inputs!$F$38)</f>
        <v>76.5</v>
      </c>
      <c r="BA33" s="11" t="n">
        <f aca="false">IF(AND(Inputs!$F$55=1,Inputs!BA227&gt;0),Inputs!BA227,Inputs!$F$38)</f>
        <v>76.5</v>
      </c>
      <c r="BB33" s="11" t="n">
        <f aca="false">IF(AND(Inputs!$F$55=1,Inputs!BB227&gt;0),Inputs!BB227,Inputs!$F$38)</f>
        <v>76.5</v>
      </c>
      <c r="BC33" s="11" t="n">
        <f aca="false">IF(AND(Inputs!$F$55=1,Inputs!BC227&gt;0),Inputs!BC227,Inputs!$F$38)</f>
        <v>76.5</v>
      </c>
      <c r="BD33" s="11" t="n">
        <f aca="false">IF(AND(Inputs!$F$55=1,Inputs!BD227&gt;0),Inputs!BD227,Inputs!$F$38)</f>
        <v>76.5</v>
      </c>
      <c r="BE33" s="11" t="n">
        <f aca="false">IF(AND(Inputs!$F$55=1,Inputs!BE227&gt;0),Inputs!BE227,Inputs!$F$38)</f>
        <v>76.5</v>
      </c>
      <c r="BF33" s="11" t="n">
        <f aca="false">IF(AND(Inputs!$F$55=1,Inputs!BF227&gt;0),Inputs!BF227,Inputs!$F$38)</f>
        <v>76.5</v>
      </c>
      <c r="BG33" s="11" t="n">
        <f aca="false">IF(AND(Inputs!$F$55=1,Inputs!BG227&gt;0),Inputs!BG227,Inputs!$F$38)</f>
        <v>76.5</v>
      </c>
      <c r="BH33" s="11" t="n">
        <f aca="false">IF(AND(Inputs!$F$55=1,Inputs!BH227&gt;0),Inputs!BH227,Inputs!$F$38)</f>
        <v>76.5</v>
      </c>
      <c r="BI33" s="11" t="n">
        <f aca="false">IF(AND(Inputs!$F$55=1,Inputs!BI227&gt;0),Inputs!BI227,Inputs!$F$38)</f>
        <v>76.5</v>
      </c>
      <c r="BJ33" s="11" t="n">
        <f aca="false">IF(AND(Inputs!$F$55=1,Inputs!BJ227&gt;0),Inputs!BJ227,Inputs!$F$38)</f>
        <v>76.5</v>
      </c>
      <c r="BK33" s="11" t="n">
        <f aca="false">IF(AND(Inputs!$F$55=1,Inputs!BK227&gt;0),Inputs!BK227,Inputs!$F$38)</f>
        <v>76.5</v>
      </c>
      <c r="BL33" s="11" t="n">
        <f aca="false">IF(AND(Inputs!$F$55=1,Inputs!BL227&gt;0),Inputs!BL227,Inputs!$F$38)</f>
        <v>76.5</v>
      </c>
      <c r="BM33" s="11" t="n">
        <f aca="false">IF(AND(Inputs!$F$55=1,Inputs!BM227&gt;0),Inputs!BM227,Inputs!$F$38)</f>
        <v>76.5</v>
      </c>
      <c r="BN33" s="11" t="n">
        <f aca="false">IF(AND(Inputs!$F$55=1,Inputs!BN227&gt;0),Inputs!BN227,Inputs!$F$38)</f>
        <v>76.5</v>
      </c>
    </row>
    <row r="34" customFormat="false" ht="15" hidden="false" customHeight="false" outlineLevel="0" collapsed="false">
      <c r="D34" s="0" t="s">
        <v>486</v>
      </c>
      <c r="E34" s="0" t="s">
        <v>487</v>
      </c>
      <c r="J34" s="13" t="n">
        <f aca="false">$F$30*730*Time!J25*J28/100*J33/100*J32</f>
        <v>0</v>
      </c>
      <c r="K34" s="13" t="n">
        <f aca="false">$F$30*730*Time!K25*K28/100*K33/100*K32</f>
        <v>0</v>
      </c>
      <c r="L34" s="13" t="n">
        <f aca="false">$F$30*730*Time!L25*L28/100*L33/100*L32</f>
        <v>0</v>
      </c>
      <c r="M34" s="13" t="n">
        <f aca="false">$F$30*730*Time!M25*M28/100*M33/100*M32</f>
        <v>0</v>
      </c>
      <c r="N34" s="13" t="n">
        <f aca="false">$F$30*730*Time!N25*N28/100*N33/100*N32</f>
        <v>0</v>
      </c>
      <c r="O34" s="13" t="n">
        <f aca="false">$F$30*730*Time!O25*O28/100*O33/100*O32</f>
        <v>0</v>
      </c>
      <c r="P34" s="13" t="n">
        <f aca="false">$F$30*730*Time!P25*P28/100*P33/100*P32</f>
        <v>301747.40312263</v>
      </c>
      <c r="Q34" s="13" t="n">
        <f aca="false">$F$30*730*Time!Q25*Q28/100*Q33/100*Q32</f>
        <v>1987113.09428367</v>
      </c>
      <c r="R34" s="13" t="n">
        <f aca="false">$F$30*730*Time!R25*R28/100*R33/100*R32</f>
        <v>1923445.32195087</v>
      </c>
      <c r="S34" s="13" t="n">
        <f aca="false">$F$30*730*Time!S25*S28/100*S33/100*S32</f>
        <v>1789638.65940505</v>
      </c>
      <c r="T34" s="13" t="n">
        <f aca="false">$F$30*730*Time!T25*T28/100*T33/100*T32</f>
        <v>1791181.19010013</v>
      </c>
      <c r="U34" s="13" t="n">
        <f aca="false">$F$30*730*Time!U25*U28/100*U33/100*U32</f>
        <v>1804260.4895508</v>
      </c>
      <c r="V34" s="13" t="n">
        <f aca="false">$F$30*730*Time!V25*V28/100*V33/100*V32</f>
        <v>1792651.49635368</v>
      </c>
      <c r="W34" s="13" t="n">
        <f aca="false">$F$30*730*Time!W25*W28/100*W33/100*W32</f>
        <v>1740084.64970185</v>
      </c>
      <c r="X34" s="13" t="n">
        <f aca="false">$F$30*730*Time!X25*X28/100*X33/100*X32</f>
        <v>1749008.63092106</v>
      </c>
      <c r="Y34" s="13" t="n">
        <f aca="false">$F$30*730*Time!Y25*Y28/100*Y33/100*Y32</f>
        <v>1798828.69680755</v>
      </c>
      <c r="Z34" s="13" t="n">
        <f aca="false">$F$30*730*Time!Z25*Z28/100*Z33/100*Z32</f>
        <v>1794596.32844803</v>
      </c>
      <c r="AA34" s="13" t="n">
        <f aca="false">$F$30*730*Time!AA25*AA28/100*AA33/100*AA32</f>
        <v>1778879.30874731</v>
      </c>
      <c r="AB34" s="13" t="n">
        <f aca="false">$F$30*730*Time!AB25*AB28/100*AB33/100*AB32</f>
        <v>1780404.46697092</v>
      </c>
      <c r="AC34" s="13" t="n">
        <f aca="false">$F$30*730*Time!AC25*AC28/100*AC33/100*AC32</f>
        <v>1793396.9040643</v>
      </c>
      <c r="AD34" s="13" t="n">
        <f aca="false">$F$30*730*Time!AD25*AD28/100*AD33/100*AD32</f>
        <v>1775799.79689664</v>
      </c>
      <c r="AE34" s="13" t="n">
        <f aca="false">$F$30*730*Time!AE25*AE28/100*AE33/100*AE32</f>
        <v>1693319.88680533</v>
      </c>
      <c r="AF34" s="13" t="n">
        <f aca="false">$F$30*730*Time!AF25*AF28/100*AF33/100*AF32</f>
        <v>1708250.31960383</v>
      </c>
      <c r="AG34" s="13" t="n">
        <f aca="false">$F$30*730*Time!AG25*AG28/100*AG33/100*AG32</f>
        <v>1787965.11132104</v>
      </c>
      <c r="AH34" s="13" t="n">
        <f aca="false">$F$30*730*Time!AH25*AH28/100*AH33/100*AH32</f>
        <v>1783750.11543299</v>
      </c>
      <c r="AI34" s="13" t="n">
        <f aca="false">$F$30*730*Time!AI25*AI28/100*AI33/100*AI32</f>
        <v>1768119.95808956</v>
      </c>
      <c r="AJ34" s="13" t="n">
        <f aca="false">$F$30*730*Time!AJ25*AJ28/100*AJ33/100*AJ32</f>
        <v>1769627.74384172</v>
      </c>
      <c r="AK34" s="13" t="n">
        <f aca="false">$F$30*730*Time!AK25*AK28/100*AK33/100*AK32</f>
        <v>1782533.31857779</v>
      </c>
      <c r="AL34" s="13" t="n">
        <f aca="false">$F$30*730*Time!AL25*AL28/100*AL33/100*AL32</f>
        <v>1771047.86295549</v>
      </c>
      <c r="AM34" s="13" t="n">
        <f aca="false">$F$30*730*Time!AM25*AM28/100*AM33/100*AM32</f>
        <v>1719098.70417781</v>
      </c>
      <c r="AN34" s="13" t="n">
        <f aca="false">$F$30*730*Time!AN25*AN28/100*AN33/100*AN32</f>
        <v>1727899.14782219</v>
      </c>
      <c r="AO34" s="13" t="n">
        <f aca="false">$F$30*730*Time!AO25*AO28/100*AO33/100*AO32</f>
        <v>1777101.52583454</v>
      </c>
      <c r="AP34" s="13" t="n">
        <f aca="false">$F$30*730*Time!AP25*AP28/100*AP33/100*AP32</f>
        <v>1772903.90241794</v>
      </c>
      <c r="AQ34" s="13" t="n">
        <f aca="false">$F$30*730*Time!AQ25*AQ28/100*AQ33/100*AQ32</f>
        <v>1757360.60743181</v>
      </c>
      <c r="AR34" s="13" t="n">
        <f aca="false">$F$30*730*Time!AR25*AR28/100*AR33/100*AR32</f>
        <v>1758851.02071251</v>
      </c>
      <c r="AS34" s="13" t="n">
        <f aca="false">$F$30*730*Time!AS25*AS28/100*AS33/100*AS32</f>
        <v>1771669.73309128</v>
      </c>
      <c r="AT34" s="13" t="n">
        <f aca="false">$F$30*730*Time!AT25*AT28/100*AT33/100*AT32</f>
        <v>1754269.51393351</v>
      </c>
      <c r="AU34" s="13" t="n">
        <f aca="false">$F$30*730*Time!AU25*AU28/100*AU33/100*AU32</f>
        <v>1672774.04389161</v>
      </c>
      <c r="AV34" s="13" t="n">
        <f aca="false">$F$30*730*Time!AV25*AV28/100*AV33/100*AV32</f>
        <v>1687507.58868023</v>
      </c>
      <c r="AW34" s="13" t="n">
        <f aca="false">$F$30*730*Time!AW25*AW28/100*AW33/100*AW32</f>
        <v>1766237.94034803</v>
      </c>
      <c r="AX34" s="13" t="n">
        <f aca="false">$F$30*730*Time!AX25*AX28/100*AX33/100*AX32</f>
        <v>1762057.68940289</v>
      </c>
      <c r="AY34" s="13" t="n">
        <f aca="false">$F$30*730*Time!AY25*AY28/100*AY33/100*AY32</f>
        <v>1746601.25677407</v>
      </c>
      <c r="AZ34" s="13" t="n">
        <f aca="false">$F$30*730*Time!AZ25*AZ28/100*AZ33/100*AZ32</f>
        <v>1748074.29758331</v>
      </c>
      <c r="BA34" s="13" t="n">
        <f aca="false">$F$30*730*Time!BA25*BA28/100*BA33/100*BA32</f>
        <v>1760806.14760477</v>
      </c>
      <c r="BB34" s="13" t="n">
        <f aca="false">$F$30*730*Time!BB25*BB28/100*BB33/100*BB32</f>
        <v>1749444.2295573</v>
      </c>
      <c r="BC34" s="13" t="n">
        <f aca="false">$F$30*730*Time!BC25*BC28/100*BC33/100*BC32</f>
        <v>1698112.75865376</v>
      </c>
      <c r="BD34" s="13" t="n">
        <f aca="false">$F$30*730*Time!BD25*BD28/100*BD33/100*BD32</f>
        <v>1706789.66472332</v>
      </c>
      <c r="BE34" s="13" t="n">
        <f aca="false">$F$30*730*Time!BE25*BE28/100*BE33/100*BE32</f>
        <v>1755374.35486152</v>
      </c>
      <c r="BF34" s="13" t="n">
        <f aca="false">$F$30*730*Time!BF25*BF28/100*BF33/100*BF32</f>
        <v>1751211.47638785</v>
      </c>
      <c r="BG34" s="13" t="n">
        <f aca="false">$F$30*730*Time!BG25*BG28/100*BG33/100*BG32</f>
        <v>1735841.90611632</v>
      </c>
      <c r="BH34" s="13" t="n">
        <f aca="false">$F$30*730*Time!BH25*BH28/100*BH33/100*BH32</f>
        <v>1737297.5744541</v>
      </c>
      <c r="BI34" s="13" t="n">
        <f aca="false">$F$30*730*Time!BI25*BI28/100*BI33/100*BI32</f>
        <v>1749942.56211827</v>
      </c>
      <c r="BJ34" s="13" t="n">
        <f aca="false">$F$30*730*Time!BJ25*BJ28/100*BJ33/100*BJ32</f>
        <v>1732739.23097038</v>
      </c>
      <c r="BK34" s="13" t="n">
        <f aca="false">$F$30*730*Time!BK25*BK28/100*BK33/100*BK32</f>
        <v>1652228.2009779</v>
      </c>
      <c r="BL34" s="13" t="n">
        <f aca="false">$F$30*730*Time!BL25*BL28/100*BL33/100*BL32</f>
        <v>1666764.85775663</v>
      </c>
      <c r="BM34" s="13" t="n">
        <f aca="false">$F$30*730*Time!BM25*BM28/100*BM33/100*BM32</f>
        <v>1744510.76937501</v>
      </c>
      <c r="BN34" s="13" t="n">
        <f aca="false">$F$30*730*Time!BN25*BN28/100*BN33/100*BN32</f>
        <v>1452721.65294835</v>
      </c>
    </row>
    <row r="35" customFormat="false" ht="15" hidden="false" customHeight="false" outlineLevel="0" collapsed="false">
      <c r="D35" s="0" t="s">
        <v>488</v>
      </c>
      <c r="E35" s="0" t="s">
        <v>217</v>
      </c>
      <c r="J35" s="11" t="n">
        <f aca="false">$F$31*(1+Inputs!$F$127/100*J29)*(1+Inputs!$F$128/100)*(1+Inputs!$F$122/100)*Inputs!$F$39</f>
        <v>6482.022624</v>
      </c>
      <c r="K35" s="11" t="n">
        <f aca="false">$F$31*(1+Inputs!$F$127/100*K29)*(1+Inputs!$F$128/100)*(1+Inputs!$F$122/100)*Inputs!$F$39</f>
        <v>6482.022624</v>
      </c>
      <c r="L35" s="11" t="n">
        <f aca="false">$F$31*(1+Inputs!$F$127/100*L29)*(1+Inputs!$F$128/100)*(1+Inputs!$F$122/100)*Inputs!$F$39</f>
        <v>6482.022624</v>
      </c>
      <c r="M35" s="11" t="n">
        <f aca="false">$F$31*(1+Inputs!$F$127/100*M29)*(1+Inputs!$F$128/100)*(1+Inputs!$F$122/100)*Inputs!$F$39</f>
        <v>6482.022624</v>
      </c>
      <c r="N35" s="11" t="n">
        <f aca="false">$F$31*(1+Inputs!$F$127/100*N29)*(1+Inputs!$F$128/100)*(1+Inputs!$F$122/100)*Inputs!$F$39</f>
        <v>6482.022624</v>
      </c>
      <c r="O35" s="11" t="n">
        <f aca="false">$F$31*(1+Inputs!$F$127/100*O29)*(1+Inputs!$F$128/100)*(1+Inputs!$F$122/100)*Inputs!$F$39</f>
        <v>6482.022624</v>
      </c>
      <c r="P35" s="11" t="n">
        <f aca="false">$F$31*(1+Inputs!$F$127/100*P29)*(1+Inputs!$F$128/100)*(1+Inputs!$F$122/100)*Inputs!$F$39</f>
        <v>6482.3467251312</v>
      </c>
      <c r="Q35" s="11" t="n">
        <f aca="false">$F$31*(1+Inputs!$F$127/100*Q29)*(1+Inputs!$F$128/100)*(1+Inputs!$F$122/100)*Inputs!$F$39</f>
        <v>6484.6154330496</v>
      </c>
      <c r="R35" s="11" t="n">
        <f aca="false">$F$31*(1+Inputs!$F$127/100*R29)*(1+Inputs!$F$128/100)*(1+Inputs!$F$122/100)*Inputs!$F$39</f>
        <v>6488.504646624</v>
      </c>
      <c r="S35" s="11" t="n">
        <f aca="false">$F$31*(1+Inputs!$F$127/100*S29)*(1+Inputs!$F$128/100)*(1+Inputs!$F$122/100)*Inputs!$F$39</f>
        <v>6492.3938601984</v>
      </c>
      <c r="T35" s="11" t="n">
        <f aca="false">$F$31*(1+Inputs!$F$127/100*T29)*(1+Inputs!$F$128/100)*(1+Inputs!$F$122/100)*Inputs!$F$39</f>
        <v>6496.2830737728</v>
      </c>
      <c r="U35" s="11" t="n">
        <f aca="false">$F$31*(1+Inputs!$F$127/100*U29)*(1+Inputs!$F$128/100)*(1+Inputs!$F$122/100)*Inputs!$F$39</f>
        <v>6500.1722873472</v>
      </c>
      <c r="V35" s="11" t="n">
        <f aca="false">$F$31*(1+Inputs!$F$127/100*V29)*(1+Inputs!$F$128/100)*(1+Inputs!$F$122/100)*Inputs!$F$39</f>
        <v>6504.0615009216</v>
      </c>
      <c r="W35" s="11" t="n">
        <f aca="false">$F$31*(1+Inputs!$F$127/100*W29)*(1+Inputs!$F$128/100)*(1+Inputs!$F$122/100)*Inputs!$F$39</f>
        <v>6507.950714496</v>
      </c>
      <c r="X35" s="11" t="n">
        <f aca="false">$F$31*(1+Inputs!$F$127/100*X29)*(1+Inputs!$F$128/100)*(1+Inputs!$F$122/100)*Inputs!$F$39</f>
        <v>6511.8399280704</v>
      </c>
      <c r="Y35" s="11" t="n">
        <f aca="false">$F$31*(1+Inputs!$F$127/100*Y29)*(1+Inputs!$F$128/100)*(1+Inputs!$F$122/100)*Inputs!$F$39</f>
        <v>6515.7291416448</v>
      </c>
      <c r="Z35" s="11" t="n">
        <f aca="false">$F$31*(1+Inputs!$F$127/100*Z29)*(1+Inputs!$F$128/100)*(1+Inputs!$F$122/100)*Inputs!$F$39</f>
        <v>6519.6183552192</v>
      </c>
      <c r="AA35" s="11" t="n">
        <f aca="false">$F$31*(1+Inputs!$F$127/100*AA29)*(1+Inputs!$F$128/100)*(1+Inputs!$F$122/100)*Inputs!$F$39</f>
        <v>6523.5075687936</v>
      </c>
      <c r="AB35" s="11" t="n">
        <f aca="false">$F$31*(1+Inputs!$F$127/100*AB29)*(1+Inputs!$F$128/100)*(1+Inputs!$F$122/100)*Inputs!$F$39</f>
        <v>6527.396782368</v>
      </c>
      <c r="AC35" s="11" t="n">
        <f aca="false">$F$31*(1+Inputs!$F$127/100*AC29)*(1+Inputs!$F$128/100)*(1+Inputs!$F$122/100)*Inputs!$F$39</f>
        <v>6531.2859959424</v>
      </c>
      <c r="AD35" s="11" t="n">
        <f aca="false">$F$31*(1+Inputs!$F$127/100*AD29)*(1+Inputs!$F$128/100)*(1+Inputs!$F$122/100)*Inputs!$F$39</f>
        <v>6535.1752095168</v>
      </c>
      <c r="AE35" s="11" t="n">
        <f aca="false">$F$31*(1+Inputs!$F$127/100*AE29)*(1+Inputs!$F$128/100)*(1+Inputs!$F$122/100)*Inputs!$F$39</f>
        <v>6539.0644230912</v>
      </c>
      <c r="AF35" s="11" t="n">
        <f aca="false">$F$31*(1+Inputs!$F$127/100*AF29)*(1+Inputs!$F$128/100)*(1+Inputs!$F$122/100)*Inputs!$F$39</f>
        <v>6542.9536366656</v>
      </c>
      <c r="AG35" s="11" t="n">
        <f aca="false">$F$31*(1+Inputs!$F$127/100*AG29)*(1+Inputs!$F$128/100)*(1+Inputs!$F$122/100)*Inputs!$F$39</f>
        <v>6546.84285024</v>
      </c>
      <c r="AH35" s="11" t="n">
        <f aca="false">$F$31*(1+Inputs!$F$127/100*AH29)*(1+Inputs!$F$128/100)*(1+Inputs!$F$122/100)*Inputs!$F$39</f>
        <v>6550.7320638144</v>
      </c>
      <c r="AI35" s="11" t="n">
        <f aca="false">$F$31*(1+Inputs!$F$127/100*AI29)*(1+Inputs!$F$128/100)*(1+Inputs!$F$122/100)*Inputs!$F$39</f>
        <v>6554.6212773888</v>
      </c>
      <c r="AJ35" s="11" t="n">
        <f aca="false">$F$31*(1+Inputs!$F$127/100*AJ29)*(1+Inputs!$F$128/100)*(1+Inputs!$F$122/100)*Inputs!$F$39</f>
        <v>6558.5104909632</v>
      </c>
      <c r="AK35" s="11" t="n">
        <f aca="false">$F$31*(1+Inputs!$F$127/100*AK29)*(1+Inputs!$F$128/100)*(1+Inputs!$F$122/100)*Inputs!$F$39</f>
        <v>6562.3997045376</v>
      </c>
      <c r="AL35" s="11" t="n">
        <f aca="false">$F$31*(1+Inputs!$F$127/100*AL29)*(1+Inputs!$F$128/100)*(1+Inputs!$F$122/100)*Inputs!$F$39</f>
        <v>6566.288918112</v>
      </c>
      <c r="AM35" s="11" t="n">
        <f aca="false">$F$31*(1+Inputs!$F$127/100*AM29)*(1+Inputs!$F$128/100)*(1+Inputs!$F$122/100)*Inputs!$F$39</f>
        <v>6570.1781316864</v>
      </c>
      <c r="AN35" s="11" t="n">
        <f aca="false">$F$31*(1+Inputs!$F$127/100*AN29)*(1+Inputs!$F$128/100)*(1+Inputs!$F$122/100)*Inputs!$F$39</f>
        <v>6574.0673452608</v>
      </c>
      <c r="AO35" s="11" t="n">
        <f aca="false">$F$31*(1+Inputs!$F$127/100*AO29)*(1+Inputs!$F$128/100)*(1+Inputs!$F$122/100)*Inputs!$F$39</f>
        <v>6577.9565588352</v>
      </c>
      <c r="AP35" s="11" t="n">
        <f aca="false">$F$31*(1+Inputs!$F$127/100*AP29)*(1+Inputs!$F$128/100)*(1+Inputs!$F$122/100)*Inputs!$F$39</f>
        <v>6581.8457724096</v>
      </c>
      <c r="AQ35" s="11" t="n">
        <f aca="false">$F$31*(1+Inputs!$F$127/100*AQ29)*(1+Inputs!$F$128/100)*(1+Inputs!$F$122/100)*Inputs!$F$39</f>
        <v>6585.734985984</v>
      </c>
      <c r="AR35" s="11" t="n">
        <f aca="false">$F$31*(1+Inputs!$F$127/100*AR29)*(1+Inputs!$F$128/100)*(1+Inputs!$F$122/100)*Inputs!$F$39</f>
        <v>6589.6241995584</v>
      </c>
      <c r="AS35" s="11" t="n">
        <f aca="false">$F$31*(1+Inputs!$F$127/100*AS29)*(1+Inputs!$F$128/100)*(1+Inputs!$F$122/100)*Inputs!$F$39</f>
        <v>6593.5134131328</v>
      </c>
      <c r="AT35" s="11" t="n">
        <f aca="false">$F$31*(1+Inputs!$F$127/100*AT29)*(1+Inputs!$F$128/100)*(1+Inputs!$F$122/100)*Inputs!$F$39</f>
        <v>6597.4026267072</v>
      </c>
      <c r="AU35" s="11" t="n">
        <f aca="false">$F$31*(1+Inputs!$F$127/100*AU29)*(1+Inputs!$F$128/100)*(1+Inputs!$F$122/100)*Inputs!$F$39</f>
        <v>6601.2918402816</v>
      </c>
      <c r="AV35" s="11" t="n">
        <f aca="false">$F$31*(1+Inputs!$F$127/100*AV29)*(1+Inputs!$F$128/100)*(1+Inputs!$F$122/100)*Inputs!$F$39</f>
        <v>6605.181053856</v>
      </c>
      <c r="AW35" s="11" t="n">
        <f aca="false">$F$31*(1+Inputs!$F$127/100*AW29)*(1+Inputs!$F$128/100)*(1+Inputs!$F$122/100)*Inputs!$F$39</f>
        <v>6609.0702674304</v>
      </c>
      <c r="AX35" s="11" t="n">
        <f aca="false">$F$31*(1+Inputs!$F$127/100*AX29)*(1+Inputs!$F$128/100)*(1+Inputs!$F$122/100)*Inputs!$F$39</f>
        <v>6612.9594810048</v>
      </c>
      <c r="AY35" s="11" t="n">
        <f aca="false">$F$31*(1+Inputs!$F$127/100*AY29)*(1+Inputs!$F$128/100)*(1+Inputs!$F$122/100)*Inputs!$F$39</f>
        <v>6616.8486945792</v>
      </c>
      <c r="AZ35" s="11" t="n">
        <f aca="false">$F$31*(1+Inputs!$F$127/100*AZ29)*(1+Inputs!$F$128/100)*(1+Inputs!$F$122/100)*Inputs!$F$39</f>
        <v>6620.7379081536</v>
      </c>
      <c r="BA35" s="11" t="n">
        <f aca="false">$F$31*(1+Inputs!$F$127/100*BA29)*(1+Inputs!$F$128/100)*(1+Inputs!$F$122/100)*Inputs!$F$39</f>
        <v>6624.627121728</v>
      </c>
      <c r="BB35" s="11" t="n">
        <f aca="false">$F$31*(1+Inputs!$F$127/100*BB29)*(1+Inputs!$F$128/100)*(1+Inputs!$F$122/100)*Inputs!$F$39</f>
        <v>6628.5163353024</v>
      </c>
      <c r="BC35" s="11" t="n">
        <f aca="false">$F$31*(1+Inputs!$F$127/100*BC29)*(1+Inputs!$F$128/100)*(1+Inputs!$F$122/100)*Inputs!$F$39</f>
        <v>6632.4055488768</v>
      </c>
      <c r="BD35" s="11" t="n">
        <f aca="false">$F$31*(1+Inputs!$F$127/100*BD29)*(1+Inputs!$F$128/100)*(1+Inputs!$F$122/100)*Inputs!$F$39</f>
        <v>6636.2947624512</v>
      </c>
      <c r="BE35" s="11" t="n">
        <f aca="false">$F$31*(1+Inputs!$F$127/100*BE29)*(1+Inputs!$F$128/100)*(1+Inputs!$F$122/100)*Inputs!$F$39</f>
        <v>6640.1839760256</v>
      </c>
      <c r="BF35" s="11" t="n">
        <f aca="false">$F$31*(1+Inputs!$F$127/100*BF29)*(1+Inputs!$F$128/100)*(1+Inputs!$F$122/100)*Inputs!$F$39</f>
        <v>6644.0731896</v>
      </c>
      <c r="BG35" s="11" t="n">
        <f aca="false">$F$31*(1+Inputs!$F$127/100*BG29)*(1+Inputs!$F$128/100)*(1+Inputs!$F$122/100)*Inputs!$F$39</f>
        <v>6647.9624031744</v>
      </c>
      <c r="BH35" s="11" t="n">
        <f aca="false">$F$31*(1+Inputs!$F$127/100*BH29)*(1+Inputs!$F$128/100)*(1+Inputs!$F$122/100)*Inputs!$F$39</f>
        <v>6651.8516167488</v>
      </c>
      <c r="BI35" s="11" t="n">
        <f aca="false">$F$31*(1+Inputs!$F$127/100*BI29)*(1+Inputs!$F$128/100)*(1+Inputs!$F$122/100)*Inputs!$F$39</f>
        <v>6655.7408303232</v>
      </c>
      <c r="BJ35" s="11" t="n">
        <f aca="false">$F$31*(1+Inputs!$F$127/100*BJ29)*(1+Inputs!$F$128/100)*(1+Inputs!$F$122/100)*Inputs!$F$39</f>
        <v>6659.6300438976</v>
      </c>
      <c r="BK35" s="11" t="n">
        <f aca="false">$F$31*(1+Inputs!$F$127/100*BK29)*(1+Inputs!$F$128/100)*(1+Inputs!$F$122/100)*Inputs!$F$39</f>
        <v>6663.519257472</v>
      </c>
      <c r="BL35" s="11" t="n">
        <f aca="false">$F$31*(1+Inputs!$F$127/100*BL29)*(1+Inputs!$F$128/100)*(1+Inputs!$F$122/100)*Inputs!$F$39</f>
        <v>6667.4084710464</v>
      </c>
      <c r="BM35" s="11" t="n">
        <f aca="false">$F$31*(1+Inputs!$F$127/100*BM29)*(1+Inputs!$F$128/100)*(1+Inputs!$F$122/100)*Inputs!$F$39</f>
        <v>6671.2976846208</v>
      </c>
      <c r="BN35" s="11" t="n">
        <f aca="false">$F$31*(1+Inputs!$F$127/100*BN29)*(1+Inputs!$F$128/100)*(1+Inputs!$F$122/100)*Inputs!$F$39</f>
        <v>6674.862797064</v>
      </c>
    </row>
    <row r="36" customFormat="false" ht="15" hidden="false" customHeight="false" outlineLevel="0" collapsed="false">
      <c r="D36" s="0" t="s">
        <v>489</v>
      </c>
      <c r="E36" s="0" t="s">
        <v>217</v>
      </c>
      <c r="J36" s="11" t="n">
        <f aca="false">Inputs!$F$120*(1+Inputs!$F$121/100*J29)*(1+Inputs!$F$122/100)</f>
        <v>6468.429</v>
      </c>
      <c r="K36" s="11" t="n">
        <f aca="false">Inputs!$F$120*(1+Inputs!$F$121/100*K29)*(1+Inputs!$F$122/100)</f>
        <v>6468.429</v>
      </c>
      <c r="L36" s="11" t="n">
        <f aca="false">Inputs!$F$120*(1+Inputs!$F$121/100*L29)*(1+Inputs!$F$122/100)</f>
        <v>6468.429</v>
      </c>
      <c r="M36" s="11" t="n">
        <f aca="false">Inputs!$F$120*(1+Inputs!$F$121/100*M29)*(1+Inputs!$F$122/100)</f>
        <v>6468.429</v>
      </c>
      <c r="N36" s="11" t="n">
        <f aca="false">Inputs!$F$120*(1+Inputs!$F$121/100*N29)*(1+Inputs!$F$122/100)</f>
        <v>6468.429</v>
      </c>
      <c r="O36" s="11" t="n">
        <f aca="false">Inputs!$F$120*(1+Inputs!$F$121/100*O29)*(1+Inputs!$F$122/100)</f>
        <v>6468.429</v>
      </c>
      <c r="P36" s="11" t="n">
        <f aca="false">Inputs!$F$120*(1+Inputs!$F$121/100*P29)*(1+Inputs!$F$122/100)</f>
        <v>6468.698517875</v>
      </c>
      <c r="Q36" s="11" t="n">
        <f aca="false">Inputs!$F$120*(1+Inputs!$F$121/100*Q29)*(1+Inputs!$F$122/100)</f>
        <v>6470.585143</v>
      </c>
      <c r="R36" s="11" t="n">
        <f aca="false">Inputs!$F$120*(1+Inputs!$F$121/100*R29)*(1+Inputs!$F$122/100)</f>
        <v>6473.8193575</v>
      </c>
      <c r="S36" s="11" t="n">
        <f aca="false">Inputs!$F$120*(1+Inputs!$F$121/100*S29)*(1+Inputs!$F$122/100)</f>
        <v>6477.053572</v>
      </c>
      <c r="T36" s="11" t="n">
        <f aca="false">Inputs!$F$120*(1+Inputs!$F$121/100*T29)*(1+Inputs!$F$122/100)</f>
        <v>6480.2877865</v>
      </c>
      <c r="U36" s="11" t="n">
        <f aca="false">Inputs!$F$120*(1+Inputs!$F$121/100*U29)*(1+Inputs!$F$122/100)</f>
        <v>6483.522001</v>
      </c>
      <c r="V36" s="11" t="n">
        <f aca="false">Inputs!$F$120*(1+Inputs!$F$121/100*V29)*(1+Inputs!$F$122/100)</f>
        <v>6486.7562155</v>
      </c>
      <c r="W36" s="11" t="n">
        <f aca="false">Inputs!$F$120*(1+Inputs!$F$121/100*W29)*(1+Inputs!$F$122/100)</f>
        <v>6489.99043</v>
      </c>
      <c r="X36" s="11" t="n">
        <f aca="false">Inputs!$F$120*(1+Inputs!$F$121/100*X29)*(1+Inputs!$F$122/100)</f>
        <v>6493.2246445</v>
      </c>
      <c r="Y36" s="11" t="n">
        <f aca="false">Inputs!$F$120*(1+Inputs!$F$121/100*Y29)*(1+Inputs!$F$122/100)</f>
        <v>6496.458859</v>
      </c>
      <c r="Z36" s="11" t="n">
        <f aca="false">Inputs!$F$120*(1+Inputs!$F$121/100*Z29)*(1+Inputs!$F$122/100)</f>
        <v>6499.6930735</v>
      </c>
      <c r="AA36" s="11" t="n">
        <f aca="false">Inputs!$F$120*(1+Inputs!$F$121/100*AA29)*(1+Inputs!$F$122/100)</f>
        <v>6502.927288</v>
      </c>
      <c r="AB36" s="11" t="n">
        <f aca="false">Inputs!$F$120*(1+Inputs!$F$121/100*AB29)*(1+Inputs!$F$122/100)</f>
        <v>6506.1615025</v>
      </c>
      <c r="AC36" s="11" t="n">
        <f aca="false">Inputs!$F$120*(1+Inputs!$F$121/100*AC29)*(1+Inputs!$F$122/100)</f>
        <v>6509.395717</v>
      </c>
      <c r="AD36" s="11" t="n">
        <f aca="false">Inputs!$F$120*(1+Inputs!$F$121/100*AD29)*(1+Inputs!$F$122/100)</f>
        <v>6512.6299315</v>
      </c>
      <c r="AE36" s="11" t="n">
        <f aca="false">Inputs!$F$120*(1+Inputs!$F$121/100*AE29)*(1+Inputs!$F$122/100)</f>
        <v>6515.864146</v>
      </c>
      <c r="AF36" s="11" t="n">
        <f aca="false">Inputs!$F$120*(1+Inputs!$F$121/100*AF29)*(1+Inputs!$F$122/100)</f>
        <v>6519.0983605</v>
      </c>
      <c r="AG36" s="11" t="n">
        <f aca="false">Inputs!$F$120*(1+Inputs!$F$121/100*AG29)*(1+Inputs!$F$122/100)</f>
        <v>6522.332575</v>
      </c>
      <c r="AH36" s="11" t="n">
        <f aca="false">Inputs!$F$120*(1+Inputs!$F$121/100*AH29)*(1+Inputs!$F$122/100)</f>
        <v>6525.5667895</v>
      </c>
      <c r="AI36" s="11" t="n">
        <f aca="false">Inputs!$F$120*(1+Inputs!$F$121/100*AI29)*(1+Inputs!$F$122/100)</f>
        <v>6528.801004</v>
      </c>
      <c r="AJ36" s="11" t="n">
        <f aca="false">Inputs!$F$120*(1+Inputs!$F$121/100*AJ29)*(1+Inputs!$F$122/100)</f>
        <v>6532.0352185</v>
      </c>
      <c r="AK36" s="11" t="n">
        <f aca="false">Inputs!$F$120*(1+Inputs!$F$121/100*AK29)*(1+Inputs!$F$122/100)</f>
        <v>6535.269433</v>
      </c>
      <c r="AL36" s="11" t="n">
        <f aca="false">Inputs!$F$120*(1+Inputs!$F$121/100*AL29)*(1+Inputs!$F$122/100)</f>
        <v>6538.5036475</v>
      </c>
      <c r="AM36" s="11" t="n">
        <f aca="false">Inputs!$F$120*(1+Inputs!$F$121/100*AM29)*(1+Inputs!$F$122/100)</f>
        <v>6541.737862</v>
      </c>
      <c r="AN36" s="11" t="n">
        <f aca="false">Inputs!$F$120*(1+Inputs!$F$121/100*AN29)*(1+Inputs!$F$122/100)</f>
        <v>6544.9720765</v>
      </c>
      <c r="AO36" s="11" t="n">
        <f aca="false">Inputs!$F$120*(1+Inputs!$F$121/100*AO29)*(1+Inputs!$F$122/100)</f>
        <v>6548.206291</v>
      </c>
      <c r="AP36" s="11" t="n">
        <f aca="false">Inputs!$F$120*(1+Inputs!$F$121/100*AP29)*(1+Inputs!$F$122/100)</f>
        <v>6551.4405055</v>
      </c>
      <c r="AQ36" s="11" t="n">
        <f aca="false">Inputs!$F$120*(1+Inputs!$F$121/100*AQ29)*(1+Inputs!$F$122/100)</f>
        <v>6554.67472</v>
      </c>
      <c r="AR36" s="11" t="n">
        <f aca="false">Inputs!$F$120*(1+Inputs!$F$121/100*AR29)*(1+Inputs!$F$122/100)</f>
        <v>6557.9089345</v>
      </c>
      <c r="AS36" s="11" t="n">
        <f aca="false">Inputs!$F$120*(1+Inputs!$F$121/100*AS29)*(1+Inputs!$F$122/100)</f>
        <v>6561.143149</v>
      </c>
      <c r="AT36" s="11" t="n">
        <f aca="false">Inputs!$F$120*(1+Inputs!$F$121/100*AT29)*(1+Inputs!$F$122/100)</f>
        <v>6564.3773635</v>
      </c>
      <c r="AU36" s="11" t="n">
        <f aca="false">Inputs!$F$120*(1+Inputs!$F$121/100*AU29)*(1+Inputs!$F$122/100)</f>
        <v>6567.611578</v>
      </c>
      <c r="AV36" s="11" t="n">
        <f aca="false">Inputs!$F$120*(1+Inputs!$F$121/100*AV29)*(1+Inputs!$F$122/100)</f>
        <v>6570.8457925</v>
      </c>
      <c r="AW36" s="11" t="n">
        <f aca="false">Inputs!$F$120*(1+Inputs!$F$121/100*AW29)*(1+Inputs!$F$122/100)</f>
        <v>6574.080007</v>
      </c>
      <c r="AX36" s="11" t="n">
        <f aca="false">Inputs!$F$120*(1+Inputs!$F$121/100*AX29)*(1+Inputs!$F$122/100)</f>
        <v>6577.3142215</v>
      </c>
      <c r="AY36" s="11" t="n">
        <f aca="false">Inputs!$F$120*(1+Inputs!$F$121/100*AY29)*(1+Inputs!$F$122/100)</f>
        <v>6580.548436</v>
      </c>
      <c r="AZ36" s="11" t="n">
        <f aca="false">Inputs!$F$120*(1+Inputs!$F$121/100*AZ29)*(1+Inputs!$F$122/100)</f>
        <v>6583.7826505</v>
      </c>
      <c r="BA36" s="11" t="n">
        <f aca="false">Inputs!$F$120*(1+Inputs!$F$121/100*BA29)*(1+Inputs!$F$122/100)</f>
        <v>6587.016865</v>
      </c>
      <c r="BB36" s="11" t="n">
        <f aca="false">Inputs!$F$120*(1+Inputs!$F$121/100*BB29)*(1+Inputs!$F$122/100)</f>
        <v>6590.2510795</v>
      </c>
      <c r="BC36" s="11" t="n">
        <f aca="false">Inputs!$F$120*(1+Inputs!$F$121/100*BC29)*(1+Inputs!$F$122/100)</f>
        <v>6593.485294</v>
      </c>
      <c r="BD36" s="11" t="n">
        <f aca="false">Inputs!$F$120*(1+Inputs!$F$121/100*BD29)*(1+Inputs!$F$122/100)</f>
        <v>6596.7195085</v>
      </c>
      <c r="BE36" s="11" t="n">
        <f aca="false">Inputs!$F$120*(1+Inputs!$F$121/100*BE29)*(1+Inputs!$F$122/100)</f>
        <v>6599.953723</v>
      </c>
      <c r="BF36" s="11" t="n">
        <f aca="false">Inputs!$F$120*(1+Inputs!$F$121/100*BF29)*(1+Inputs!$F$122/100)</f>
        <v>6603.1879375</v>
      </c>
      <c r="BG36" s="11" t="n">
        <f aca="false">Inputs!$F$120*(1+Inputs!$F$121/100*BG29)*(1+Inputs!$F$122/100)</f>
        <v>6606.422152</v>
      </c>
      <c r="BH36" s="11" t="n">
        <f aca="false">Inputs!$F$120*(1+Inputs!$F$121/100*BH29)*(1+Inputs!$F$122/100)</f>
        <v>6609.6563665</v>
      </c>
      <c r="BI36" s="11" t="n">
        <f aca="false">Inputs!$F$120*(1+Inputs!$F$121/100*BI29)*(1+Inputs!$F$122/100)</f>
        <v>6612.890581</v>
      </c>
      <c r="BJ36" s="11" t="n">
        <f aca="false">Inputs!$F$120*(1+Inputs!$F$121/100*BJ29)*(1+Inputs!$F$122/100)</f>
        <v>6616.1247955</v>
      </c>
      <c r="BK36" s="11" t="n">
        <f aca="false">Inputs!$F$120*(1+Inputs!$F$121/100*BK29)*(1+Inputs!$F$122/100)</f>
        <v>6619.35901</v>
      </c>
      <c r="BL36" s="11" t="n">
        <f aca="false">Inputs!$F$120*(1+Inputs!$F$121/100*BL29)*(1+Inputs!$F$122/100)</f>
        <v>6622.5932245</v>
      </c>
      <c r="BM36" s="11" t="n">
        <f aca="false">Inputs!$F$120*(1+Inputs!$F$121/100*BM29)*(1+Inputs!$F$122/100)</f>
        <v>6625.827439</v>
      </c>
      <c r="BN36" s="11" t="n">
        <f aca="false">Inputs!$F$120*(1+Inputs!$F$121/100*BN29)*(1+Inputs!$F$122/100)</f>
        <v>6628.792135625</v>
      </c>
    </row>
    <row r="37" customFormat="false" ht="15" hidden="false" customHeight="false" outlineLevel="0" collapsed="false">
      <c r="D37" s="0" t="s">
        <v>490</v>
      </c>
      <c r="E37" s="0" t="s">
        <v>247</v>
      </c>
      <c r="J37" s="11" t="n">
        <f aca="false">Inputs!$F$142*(1+Inputs!$F$143/100)^(Time!J21-2018)*Inputs!$F$41</f>
        <v>5.86</v>
      </c>
      <c r="K37" s="11" t="n">
        <f aca="false">Inputs!$F$142*(1+Inputs!$F$143/100)^(Time!K21-2018)*Inputs!$F$41</f>
        <v>5.9772</v>
      </c>
      <c r="L37" s="11" t="n">
        <f aca="false">Inputs!$F$142*(1+Inputs!$F$143/100)^(Time!L21-2018)*Inputs!$F$41</f>
        <v>5.9772</v>
      </c>
      <c r="M37" s="11" t="n">
        <f aca="false">Inputs!$F$142*(1+Inputs!$F$143/100)^(Time!M21-2018)*Inputs!$F$41</f>
        <v>6.096744</v>
      </c>
      <c r="N37" s="11" t="n">
        <f aca="false">Inputs!$F$142*(1+Inputs!$F$143/100)^(Time!N21-2018)*Inputs!$F$41</f>
        <v>6.096744</v>
      </c>
      <c r="O37" s="11" t="n">
        <f aca="false">Inputs!$F$142*(1+Inputs!$F$143/100)^(Time!O21-2018)*Inputs!$F$41</f>
        <v>6.21867888</v>
      </c>
      <c r="P37" s="11" t="n">
        <f aca="false">Inputs!$F$142*(1+Inputs!$F$143/100)^(Time!P21-2018)*Inputs!$F$41</f>
        <v>6.21867888</v>
      </c>
      <c r="Q37" s="11" t="n">
        <f aca="false">Inputs!$F$142*(1+Inputs!$F$143/100)^(Time!Q21-2018)*Inputs!$F$41</f>
        <v>6.3430524576</v>
      </c>
      <c r="R37" s="11" t="n">
        <f aca="false">Inputs!$F$142*(1+Inputs!$F$143/100)^(Time!R21-2018)*Inputs!$F$41</f>
        <v>6.3430524576</v>
      </c>
      <c r="S37" s="11" t="n">
        <f aca="false">Inputs!$F$142*(1+Inputs!$F$143/100)^(Time!S21-2018)*Inputs!$F$41</f>
        <v>6.469913506752</v>
      </c>
      <c r="T37" s="11" t="n">
        <f aca="false">Inputs!$F$142*(1+Inputs!$F$143/100)^(Time!T21-2018)*Inputs!$F$41</f>
        <v>6.469913506752</v>
      </c>
      <c r="U37" s="11" t="n">
        <f aca="false">Inputs!$F$142*(1+Inputs!$F$143/100)^(Time!U21-2018)*Inputs!$F$41</f>
        <v>6.59931177688704</v>
      </c>
      <c r="V37" s="11" t="n">
        <f aca="false">Inputs!$F$142*(1+Inputs!$F$143/100)^(Time!V21-2018)*Inputs!$F$41</f>
        <v>6.59931177688704</v>
      </c>
      <c r="W37" s="11" t="n">
        <f aca="false">Inputs!$F$142*(1+Inputs!$F$143/100)^(Time!W21-2018)*Inputs!$F$41</f>
        <v>6.73129801242478</v>
      </c>
      <c r="X37" s="11" t="n">
        <f aca="false">Inputs!$F$142*(1+Inputs!$F$143/100)^(Time!X21-2018)*Inputs!$F$41</f>
        <v>6.73129801242478</v>
      </c>
      <c r="Y37" s="11" t="n">
        <f aca="false">Inputs!$F$142*(1+Inputs!$F$143/100)^(Time!Y21-2018)*Inputs!$F$41</f>
        <v>6.86592397267328</v>
      </c>
      <c r="Z37" s="11" t="n">
        <f aca="false">Inputs!$F$142*(1+Inputs!$F$143/100)^(Time!Z21-2018)*Inputs!$F$41</f>
        <v>6.86592397267328</v>
      </c>
      <c r="AA37" s="11" t="n">
        <f aca="false">Inputs!$F$142*(1+Inputs!$F$143/100)^(Time!AA21-2018)*Inputs!$F$41</f>
        <v>7.00324245212674</v>
      </c>
      <c r="AB37" s="11" t="n">
        <f aca="false">Inputs!$F$142*(1+Inputs!$F$143/100)^(Time!AB21-2018)*Inputs!$F$41</f>
        <v>7.00324245212674</v>
      </c>
      <c r="AC37" s="11" t="n">
        <f aca="false">Inputs!$F$142*(1+Inputs!$F$143/100)^(Time!AC21-2018)*Inputs!$F$41</f>
        <v>7.14330730116928</v>
      </c>
      <c r="AD37" s="11" t="n">
        <f aca="false">Inputs!$F$142*(1+Inputs!$F$143/100)^(Time!AD21-2018)*Inputs!$F$41</f>
        <v>7.14330730116928</v>
      </c>
      <c r="AE37" s="11" t="n">
        <f aca="false">Inputs!$F$142*(1+Inputs!$F$143/100)^(Time!AE21-2018)*Inputs!$F$41</f>
        <v>7.28617344719266</v>
      </c>
      <c r="AF37" s="11" t="n">
        <f aca="false">Inputs!$F$142*(1+Inputs!$F$143/100)^(Time!AF21-2018)*Inputs!$F$41</f>
        <v>7.28617344719266</v>
      </c>
      <c r="AG37" s="11" t="n">
        <f aca="false">Inputs!$F$142*(1+Inputs!$F$143/100)^(Time!AG21-2018)*Inputs!$F$41</f>
        <v>7.43189691613652</v>
      </c>
      <c r="AH37" s="11" t="n">
        <f aca="false">Inputs!$F$142*(1+Inputs!$F$143/100)^(Time!AH21-2018)*Inputs!$F$41</f>
        <v>7.43189691613652</v>
      </c>
      <c r="AI37" s="11" t="n">
        <f aca="false">Inputs!$F$142*(1+Inputs!$F$143/100)^(Time!AI21-2018)*Inputs!$F$41</f>
        <v>7.58053485445925</v>
      </c>
      <c r="AJ37" s="11" t="n">
        <f aca="false">Inputs!$F$142*(1+Inputs!$F$143/100)^(Time!AJ21-2018)*Inputs!$F$41</f>
        <v>7.58053485445925</v>
      </c>
      <c r="AK37" s="11" t="n">
        <f aca="false">Inputs!$F$142*(1+Inputs!$F$143/100)^(Time!AK21-2018)*Inputs!$F$41</f>
        <v>7.73214555154843</v>
      </c>
      <c r="AL37" s="11" t="n">
        <f aca="false">Inputs!$F$142*(1+Inputs!$F$143/100)^(Time!AL21-2018)*Inputs!$F$41</f>
        <v>7.73214555154843</v>
      </c>
      <c r="AM37" s="11" t="n">
        <f aca="false">Inputs!$F$142*(1+Inputs!$F$143/100)^(Time!AM21-2018)*Inputs!$F$41</f>
        <v>7.8867884625794</v>
      </c>
      <c r="AN37" s="11" t="n">
        <f aca="false">Inputs!$F$142*(1+Inputs!$F$143/100)^(Time!AN21-2018)*Inputs!$F$41</f>
        <v>7.8867884625794</v>
      </c>
      <c r="AO37" s="11" t="n">
        <f aca="false">Inputs!$F$142*(1+Inputs!$F$143/100)^(Time!AO21-2018)*Inputs!$F$41</f>
        <v>8.04452423183099</v>
      </c>
      <c r="AP37" s="11" t="n">
        <f aca="false">Inputs!$F$142*(1+Inputs!$F$143/100)^(Time!AP21-2018)*Inputs!$F$41</f>
        <v>8.04452423183099</v>
      </c>
      <c r="AQ37" s="11" t="n">
        <f aca="false">Inputs!$F$142*(1+Inputs!$F$143/100)^(Time!AQ21-2018)*Inputs!$F$41</f>
        <v>8.20541471646761</v>
      </c>
      <c r="AR37" s="11" t="n">
        <f aca="false">Inputs!$F$142*(1+Inputs!$F$143/100)^(Time!AR21-2018)*Inputs!$F$41</f>
        <v>8.20541471646761</v>
      </c>
      <c r="AS37" s="11" t="n">
        <f aca="false">Inputs!$F$142*(1+Inputs!$F$143/100)^(Time!AS21-2018)*Inputs!$F$41</f>
        <v>8.36952301079696</v>
      </c>
      <c r="AT37" s="11" t="n">
        <f aca="false">Inputs!$F$142*(1+Inputs!$F$143/100)^(Time!AT21-2018)*Inputs!$F$41</f>
        <v>8.36952301079696</v>
      </c>
      <c r="AU37" s="11" t="n">
        <f aca="false">Inputs!$F$142*(1+Inputs!$F$143/100)^(Time!AU21-2018)*Inputs!$F$41</f>
        <v>8.5369134710129</v>
      </c>
      <c r="AV37" s="11" t="n">
        <f aca="false">Inputs!$F$142*(1+Inputs!$F$143/100)^(Time!AV21-2018)*Inputs!$F$41</f>
        <v>8.5369134710129</v>
      </c>
      <c r="AW37" s="11" t="n">
        <f aca="false">Inputs!$F$142*(1+Inputs!$F$143/100)^(Time!AW21-2018)*Inputs!$F$41</f>
        <v>8.70765174043316</v>
      </c>
      <c r="AX37" s="11" t="n">
        <f aca="false">Inputs!$F$142*(1+Inputs!$F$143/100)^(Time!AX21-2018)*Inputs!$F$41</f>
        <v>8.70765174043316</v>
      </c>
      <c r="AY37" s="11" t="n">
        <f aca="false">Inputs!$F$142*(1+Inputs!$F$143/100)^(Time!AY21-2018)*Inputs!$F$41</f>
        <v>8.88180477524182</v>
      </c>
      <c r="AZ37" s="11" t="n">
        <f aca="false">Inputs!$F$142*(1+Inputs!$F$143/100)^(Time!AZ21-2018)*Inputs!$F$41</f>
        <v>8.88180477524182</v>
      </c>
      <c r="BA37" s="11" t="n">
        <f aca="false">Inputs!$F$142*(1+Inputs!$F$143/100)^(Time!BA21-2018)*Inputs!$F$41</f>
        <v>9.05944087074666</v>
      </c>
      <c r="BB37" s="11" t="n">
        <f aca="false">Inputs!$F$142*(1+Inputs!$F$143/100)^(Time!BB21-2018)*Inputs!$F$41</f>
        <v>9.05944087074666</v>
      </c>
      <c r="BC37" s="11" t="n">
        <f aca="false">Inputs!$F$142*(1+Inputs!$F$143/100)^(Time!BC21-2018)*Inputs!$F$41</f>
        <v>9.24062968816159</v>
      </c>
      <c r="BD37" s="11" t="n">
        <f aca="false">Inputs!$F$142*(1+Inputs!$F$143/100)^(Time!BD21-2018)*Inputs!$F$41</f>
        <v>9.24062968816159</v>
      </c>
      <c r="BE37" s="11" t="n">
        <f aca="false">Inputs!$F$142*(1+Inputs!$F$143/100)^(Time!BE21-2018)*Inputs!$F$41</f>
        <v>9.42544228192483</v>
      </c>
      <c r="BF37" s="11" t="n">
        <f aca="false">Inputs!$F$142*(1+Inputs!$F$143/100)^(Time!BF21-2018)*Inputs!$F$41</f>
        <v>9.42544228192483</v>
      </c>
      <c r="BG37" s="11" t="n">
        <f aca="false">Inputs!$F$142*(1+Inputs!$F$143/100)^(Time!BG21-2018)*Inputs!$F$41</f>
        <v>9.61395112756332</v>
      </c>
      <c r="BH37" s="11" t="n">
        <f aca="false">Inputs!$F$142*(1+Inputs!$F$143/100)^(Time!BH21-2018)*Inputs!$F$41</f>
        <v>9.61395112756332</v>
      </c>
      <c r="BI37" s="11" t="n">
        <f aca="false">Inputs!$F$142*(1+Inputs!$F$143/100)^(Time!BI21-2018)*Inputs!$F$41</f>
        <v>9.80623015011459</v>
      </c>
      <c r="BJ37" s="11" t="n">
        <f aca="false">Inputs!$F$142*(1+Inputs!$F$143/100)^(Time!BJ21-2018)*Inputs!$F$41</f>
        <v>9.80623015011459</v>
      </c>
      <c r="BK37" s="11" t="n">
        <f aca="false">Inputs!$F$142*(1+Inputs!$F$143/100)^(Time!BK21-2018)*Inputs!$F$41</f>
        <v>10.0023547531169</v>
      </c>
      <c r="BL37" s="11" t="n">
        <f aca="false">Inputs!$F$142*(1+Inputs!$F$143/100)^(Time!BL21-2018)*Inputs!$F$41</f>
        <v>10.0023547531169</v>
      </c>
      <c r="BM37" s="11" t="n">
        <f aca="false">Inputs!$F$142*(1+Inputs!$F$143/100)^(Time!BM21-2018)*Inputs!$F$41</f>
        <v>10.2024018481792</v>
      </c>
      <c r="BN37" s="11" t="n">
        <f aca="false">Inputs!$F$142*(1+Inputs!$F$143/100)^(Time!BN21-2018)*Inputs!$F$41</f>
        <v>10.2024018481792</v>
      </c>
    </row>
    <row r="38" customFormat="false" ht="15" hidden="false" customHeight="false" outlineLevel="0" collapsed="false">
      <c r="D38" s="0" t="s">
        <v>491</v>
      </c>
      <c r="E38" s="0" t="s">
        <v>492</v>
      </c>
      <c r="J38" s="13" t="n">
        <f aca="false">J34*J35*(1000*Inputs!$F$123/Inputs!$F$124)</f>
        <v>0</v>
      </c>
      <c r="K38" s="13" t="n">
        <f aca="false">K34*K35*(1000*Inputs!$F$123/Inputs!$F$124)</f>
        <v>0</v>
      </c>
      <c r="L38" s="13" t="n">
        <f aca="false">L34*L35*(1000*Inputs!$F$123/Inputs!$F$124)</f>
        <v>0</v>
      </c>
      <c r="M38" s="13" t="n">
        <f aca="false">M34*M35*(1000*Inputs!$F$123/Inputs!$F$124)</f>
        <v>0</v>
      </c>
      <c r="N38" s="13" t="n">
        <f aca="false">N34*N35*(1000*Inputs!$F$123/Inputs!$F$124)</f>
        <v>0</v>
      </c>
      <c r="O38" s="13" t="n">
        <f aca="false">O34*O35*(1000*Inputs!$F$123/Inputs!$F$124)</f>
        <v>0</v>
      </c>
      <c r="P38" s="13" t="n">
        <f aca="false">P34*P35*(1000*Inputs!$F$123/Inputs!$F$124)</f>
        <v>2054187.33206323</v>
      </c>
      <c r="Q38" s="13" t="n">
        <f aca="false">Q34*Q35*(1000*Inputs!$F$123/Inputs!$F$124)</f>
        <v>13532282.6240074</v>
      </c>
      <c r="R38" s="13" t="n">
        <f aca="false">R34*R35*(1000*Inputs!$F$123/Inputs!$F$124)</f>
        <v>13106559.8140553</v>
      </c>
      <c r="S38" s="13" t="n">
        <f aca="false">S34*S35*(1000*Inputs!$F$123/Inputs!$F$124)</f>
        <v>12202096.6290689</v>
      </c>
      <c r="T38" s="13" t="n">
        <f aca="false">T34*T35*(1000*Inputs!$F$123/Inputs!$F$124)</f>
        <v>12219929.7595738</v>
      </c>
      <c r="U38" s="13" t="n">
        <f aca="false">U34*U35*(1000*Inputs!$F$123/Inputs!$F$124)</f>
        <v>12316529.6144789</v>
      </c>
      <c r="V38" s="13" t="n">
        <f aca="false">V34*V35*(1000*Inputs!$F$123/Inputs!$F$124)</f>
        <v>12244604.3289264</v>
      </c>
      <c r="W38" s="13" t="n">
        <f aca="false">W34*W35*(1000*Inputs!$F$123/Inputs!$F$124)</f>
        <v>11892656.6308862</v>
      </c>
      <c r="X38" s="13" t="n">
        <f aca="false">X34*X35*(1000*Inputs!$F$123/Inputs!$F$124)</f>
        <v>11960791.4414094</v>
      </c>
      <c r="Y38" s="13" t="n">
        <f aca="false">Y34*Y35*(1000*Inputs!$F$123/Inputs!$F$124)</f>
        <v>12308838.6409465</v>
      </c>
      <c r="Z38" s="13" t="n">
        <f aca="false">Z34*Z35*(1000*Inputs!$F$123/Inputs!$F$124)</f>
        <v>12287207.6409024</v>
      </c>
      <c r="AA38" s="13" t="n">
        <f aca="false">AA34*AA35*(1000*Inputs!$F$123/Inputs!$F$124)</f>
        <v>12186862.2699822</v>
      </c>
      <c r="AB38" s="13" t="n">
        <f aca="false">AB34*AB35*(1000*Inputs!$F$123/Inputs!$F$124)</f>
        <v>12204582.7700461</v>
      </c>
      <c r="AC38" s="13" t="n">
        <f aca="false">AC34*AC35*(1000*Inputs!$F$123/Inputs!$F$124)</f>
        <v>12300970.1834094</v>
      </c>
      <c r="AD38" s="13" t="n">
        <f aca="false">AD34*AD35*(1000*Inputs!$F$123/Inputs!$F$124)</f>
        <v>12187524.0681028</v>
      </c>
      <c r="AE38" s="13" t="n">
        <f aca="false">AE34*AE35*(1000*Inputs!$F$123/Inputs!$F$124)</f>
        <v>11628370.8487734</v>
      </c>
      <c r="AF38" s="13" t="n">
        <f aca="false">AF34*AF35*(1000*Inputs!$F$123/Inputs!$F$124)</f>
        <v>11737878.2986056</v>
      </c>
      <c r="AG38" s="13" t="n">
        <f aca="false">AG34*AG35*(1000*Inputs!$F$123/Inputs!$F$124)</f>
        <v>12292924.2418678</v>
      </c>
      <c r="AH38" s="13" t="n">
        <f aca="false">AH34*AH35*(1000*Inputs!$F$123/Inputs!$F$124)</f>
        <v>12271230.0911984</v>
      </c>
      <c r="AI38" s="13" t="n">
        <f aca="false">AI34*AI35*(1000*Inputs!$F$123/Inputs!$F$124)</f>
        <v>12170924.78663</v>
      </c>
      <c r="AJ38" s="13" t="n">
        <f aca="false">AJ34*AJ35*(1000*Inputs!$F$123/Inputs!$F$124)</f>
        <v>12188531.5209607</v>
      </c>
      <c r="AK38" s="13" t="n">
        <f aca="false">AK34*AK35*(1000*Inputs!$F$123/Inputs!$F$124)</f>
        <v>12284700.8163215</v>
      </c>
      <c r="AL38" s="13" t="n">
        <f aca="false">AL34*AL35*(1000*Inputs!$F$123/Inputs!$F$124)</f>
        <v>12212780.0298898</v>
      </c>
      <c r="AM38" s="13" t="n">
        <f aca="false">AM34*AM35*(1000*Inputs!$F$123/Inputs!$F$124)</f>
        <v>11861570.8183628</v>
      </c>
      <c r="AN38" s="13" t="n">
        <f aca="false">AN34*AN35*(1000*Inputs!$F$123/Inputs!$F$124)</f>
        <v>11929350.1983504</v>
      </c>
      <c r="AO38" s="13" t="n">
        <f aca="false">AO34*AO35*(1000*Inputs!$F$123/Inputs!$F$124)</f>
        <v>12276299.9067707</v>
      </c>
      <c r="AP38" s="13" t="n">
        <f aca="false">AP34*AP35*(1000*Inputs!$F$123/Inputs!$F$124)</f>
        <v>12254543.7407682</v>
      </c>
      <c r="AQ38" s="13" t="n">
        <f aca="false">AQ34*AQ35*(1000*Inputs!$F$123/Inputs!$F$124)</f>
        <v>12154284.1790123</v>
      </c>
      <c r="AR38" s="13" t="n">
        <f aca="false">AR34*AR35*(1000*Inputs!$F$123/Inputs!$F$124)</f>
        <v>12171776.0123176</v>
      </c>
      <c r="AS38" s="13" t="n">
        <f aca="false">AS34*AS35*(1000*Inputs!$F$123/Inputs!$F$124)</f>
        <v>12267721.5132153</v>
      </c>
      <c r="AT38" s="13" t="n">
        <f aca="false">AT34*AT35*(1000*Inputs!$F$123/Inputs!$F$124)</f>
        <v>12154400.8161543</v>
      </c>
      <c r="AU38" s="13" t="n">
        <f aca="false">AU34*AU35*(1000*Inputs!$F$123/Inputs!$F$124)</f>
        <v>11596594.2740545</v>
      </c>
      <c r="AV38" s="13" t="n">
        <f aca="false">AV34*AV35*(1000*Inputs!$F$123/Inputs!$F$124)</f>
        <v>11705627.770954</v>
      </c>
      <c r="AW38" s="13" t="n">
        <f aca="false">AW34*AW35*(1000*Inputs!$F$123/Inputs!$F$124)</f>
        <v>12258965.6356553</v>
      </c>
      <c r="AX38" s="13" t="n">
        <f aca="false">AX34*AX35*(1000*Inputs!$F$123/Inputs!$F$124)</f>
        <v>12237148.5896117</v>
      </c>
      <c r="AY38" s="13" t="n">
        <f aca="false">AY34*AY35*(1000*Inputs!$F$123/Inputs!$F$124)</f>
        <v>12136940.447129</v>
      </c>
      <c r="AZ38" s="13" t="n">
        <f aca="false">AZ34*AZ35*(1000*Inputs!$F$123/Inputs!$F$124)</f>
        <v>12154316.2441168</v>
      </c>
      <c r="BA38" s="13" t="n">
        <f aca="false">BA34*BA35*(1000*Inputs!$F$123/Inputs!$F$124)</f>
        <v>12250032.2740907</v>
      </c>
      <c r="BB38" s="13" t="n">
        <f aca="false">BB34*BB35*(1000*Inputs!$F$123/Inputs!$F$124)</f>
        <v>12178132.1331567</v>
      </c>
      <c r="BC38" s="13" t="n">
        <f aca="false">BC34*BC35*(1000*Inputs!$F$123/Inputs!$F$124)</f>
        <v>11827742.1400286</v>
      </c>
      <c r="BD38" s="13" t="n">
        <f aca="false">BD34*BD35*(1000*Inputs!$F$123/Inputs!$F$124)</f>
        <v>11895149.9431035</v>
      </c>
      <c r="BE38" s="13" t="n">
        <f aca="false">BE34*BE35*(1000*Inputs!$F$123/Inputs!$F$124)</f>
        <v>12240921.4285215</v>
      </c>
      <c r="BF38" s="13" t="n">
        <f aca="false">BF34*BF35*(1000*Inputs!$F$123/Inputs!$F$124)</f>
        <v>12219044.637729</v>
      </c>
      <c r="BG38" s="13" t="n">
        <f aca="false">BG34*BG35*(1000*Inputs!$F$123/Inputs!$F$124)</f>
        <v>12118893.5909802</v>
      </c>
      <c r="BH38" s="13" t="n">
        <f aca="false">BH34*BH35*(1000*Inputs!$F$123/Inputs!$F$124)</f>
        <v>12136152.2163583</v>
      </c>
      <c r="BI38" s="13" t="n">
        <f aca="false">BI34*BI35*(1000*Inputs!$F$123/Inputs!$F$124)</f>
        <v>12231633.0989477</v>
      </c>
      <c r="BJ38" s="13" t="n">
        <f aca="false">BJ34*BJ35*(1000*Inputs!$F$123/Inputs!$F$124)</f>
        <v>12118463.5534207</v>
      </c>
      <c r="BK38" s="13" t="n">
        <f aca="false">BK34*BK35*(1000*Inputs!$F$123/Inputs!$F$124)</f>
        <v>11562132.3549931</v>
      </c>
      <c r="BL38" s="13" t="n">
        <f aca="false">BL34*BL35*(1000*Inputs!$F$123/Inputs!$F$124)</f>
        <v>11670666.1656715</v>
      </c>
      <c r="BM38" s="13" t="n">
        <f aca="false">BM34*BM35*(1000*Inputs!$F$123/Inputs!$F$124)</f>
        <v>12222167.2853693</v>
      </c>
      <c r="BN38" s="13" t="n">
        <f aca="false">BN34*BN35*(1000*Inputs!$F$123/Inputs!$F$124)</f>
        <v>10183310.8660163</v>
      </c>
    </row>
    <row r="39" customFormat="false" ht="15" hidden="false" customHeight="false" outlineLevel="0" collapsed="false">
      <c r="D39" s="0" t="s">
        <v>493</v>
      </c>
      <c r="E39" s="0" t="s">
        <v>492</v>
      </c>
      <c r="J39" s="13" t="n">
        <f aca="false">Inputs!$F$145*Inputs!$F$144*Time!J26</f>
        <v>0</v>
      </c>
      <c r="K39" s="13" t="n">
        <f aca="false">Inputs!$F$145*Inputs!$F$144*Time!K26</f>
        <v>0</v>
      </c>
      <c r="L39" s="13" t="n">
        <f aca="false">Inputs!$F$145*Inputs!$F$144*Time!L26</f>
        <v>0</v>
      </c>
      <c r="M39" s="13" t="n">
        <f aca="false">Inputs!$F$145*Inputs!$F$144*Time!M26</f>
        <v>0</v>
      </c>
      <c r="N39" s="13" t="n">
        <f aca="false">Inputs!$F$145*Inputs!$F$144*Time!N26</f>
        <v>0</v>
      </c>
      <c r="O39" s="13" t="n">
        <f aca="false">Inputs!$F$145*Inputs!$F$144*Time!O26</f>
        <v>0</v>
      </c>
      <c r="P39" s="13" t="n">
        <f aca="false">Inputs!$F$145*Inputs!$F$144*Time!P26</f>
        <v>1795520</v>
      </c>
      <c r="Q39" s="13" t="n">
        <f aca="false">Inputs!$F$145*Inputs!$F$144*Time!Q26</f>
        <v>10483520</v>
      </c>
      <c r="R39" s="13" t="n">
        <f aca="false">Inputs!$F$145*Inputs!$F$144*Time!R26</f>
        <v>10657280</v>
      </c>
      <c r="S39" s="13" t="n">
        <f aca="false">Inputs!$F$145*Inputs!$F$144*Time!S26</f>
        <v>10483520</v>
      </c>
      <c r="T39" s="13" t="n">
        <f aca="false">Inputs!$F$145*Inputs!$F$144*Time!T26</f>
        <v>10657280</v>
      </c>
      <c r="U39" s="13" t="n">
        <f aca="false">Inputs!$F$145*Inputs!$F$144*Time!U26</f>
        <v>10541440</v>
      </c>
      <c r="V39" s="13" t="n">
        <f aca="false">Inputs!$F$145*Inputs!$F$144*Time!V26</f>
        <v>10657280</v>
      </c>
      <c r="W39" s="13" t="n">
        <f aca="false">Inputs!$F$145*Inputs!$F$144*Time!W26</f>
        <v>10483520</v>
      </c>
      <c r="X39" s="13" t="n">
        <f aca="false">Inputs!$F$145*Inputs!$F$144*Time!X26</f>
        <v>10657280</v>
      </c>
      <c r="Y39" s="13" t="n">
        <f aca="false">Inputs!$F$145*Inputs!$F$144*Time!Y26</f>
        <v>10483520</v>
      </c>
      <c r="Z39" s="13" t="n">
        <f aca="false">Inputs!$F$145*Inputs!$F$144*Time!Z26</f>
        <v>10657280</v>
      </c>
      <c r="AA39" s="13" t="n">
        <f aca="false">Inputs!$F$145*Inputs!$F$144*Time!AA26</f>
        <v>10483520</v>
      </c>
      <c r="AB39" s="13" t="n">
        <f aca="false">Inputs!$F$145*Inputs!$F$144*Time!AB26</f>
        <v>10657280</v>
      </c>
      <c r="AC39" s="13" t="n">
        <f aca="false">Inputs!$F$145*Inputs!$F$144*Time!AC26</f>
        <v>10541440</v>
      </c>
      <c r="AD39" s="13" t="n">
        <f aca="false">Inputs!$F$145*Inputs!$F$144*Time!AD26</f>
        <v>10657280</v>
      </c>
      <c r="AE39" s="13" t="n">
        <f aca="false">Inputs!$F$145*Inputs!$F$144*Time!AE26</f>
        <v>10483520</v>
      </c>
      <c r="AF39" s="13" t="n">
        <f aca="false">Inputs!$F$145*Inputs!$F$144*Time!AF26</f>
        <v>10657280</v>
      </c>
      <c r="AG39" s="13" t="n">
        <f aca="false">Inputs!$F$145*Inputs!$F$144*Time!AG26</f>
        <v>10483520</v>
      </c>
      <c r="AH39" s="13" t="n">
        <f aca="false">Inputs!$F$145*Inputs!$F$144*Time!AH26</f>
        <v>10657280</v>
      </c>
      <c r="AI39" s="13" t="n">
        <f aca="false">Inputs!$F$145*Inputs!$F$144*Time!AI26</f>
        <v>10483520</v>
      </c>
      <c r="AJ39" s="13" t="n">
        <f aca="false">Inputs!$F$145*Inputs!$F$144*Time!AJ26</f>
        <v>10657280</v>
      </c>
      <c r="AK39" s="13" t="n">
        <f aca="false">Inputs!$F$145*Inputs!$F$144*Time!AK26</f>
        <v>10541440</v>
      </c>
      <c r="AL39" s="13" t="n">
        <f aca="false">Inputs!$F$145*Inputs!$F$144*Time!AL26</f>
        <v>10657280</v>
      </c>
      <c r="AM39" s="13" t="n">
        <f aca="false">Inputs!$F$145*Inputs!$F$144*Time!AM26</f>
        <v>10483520</v>
      </c>
      <c r="AN39" s="13" t="n">
        <f aca="false">Inputs!$F$145*Inputs!$F$144*Time!AN26</f>
        <v>10657280</v>
      </c>
      <c r="AO39" s="13" t="n">
        <f aca="false">Inputs!$F$145*Inputs!$F$144*Time!AO26</f>
        <v>10483520</v>
      </c>
      <c r="AP39" s="13" t="n">
        <f aca="false">Inputs!$F$145*Inputs!$F$144*Time!AP26</f>
        <v>10657280</v>
      </c>
      <c r="AQ39" s="13" t="n">
        <f aca="false">Inputs!$F$145*Inputs!$F$144*Time!AQ26</f>
        <v>10483520</v>
      </c>
      <c r="AR39" s="13" t="n">
        <f aca="false">Inputs!$F$145*Inputs!$F$144*Time!AR26</f>
        <v>10657280</v>
      </c>
      <c r="AS39" s="13" t="n">
        <f aca="false">Inputs!$F$145*Inputs!$F$144*Time!AS26</f>
        <v>10541440</v>
      </c>
      <c r="AT39" s="13" t="n">
        <f aca="false">Inputs!$F$145*Inputs!$F$144*Time!AT26</f>
        <v>10657280</v>
      </c>
      <c r="AU39" s="13" t="n">
        <f aca="false">Inputs!$F$145*Inputs!$F$144*Time!AU26</f>
        <v>10483520</v>
      </c>
      <c r="AV39" s="13" t="n">
        <f aca="false">Inputs!$F$145*Inputs!$F$144*Time!AV26</f>
        <v>10657280</v>
      </c>
      <c r="AW39" s="13" t="n">
        <f aca="false">Inputs!$F$145*Inputs!$F$144*Time!AW26</f>
        <v>10483520</v>
      </c>
      <c r="AX39" s="13" t="n">
        <f aca="false">Inputs!$F$145*Inputs!$F$144*Time!AX26</f>
        <v>10657280</v>
      </c>
      <c r="AY39" s="13" t="n">
        <f aca="false">Inputs!$F$145*Inputs!$F$144*Time!AY26</f>
        <v>10483520</v>
      </c>
      <c r="AZ39" s="13" t="n">
        <f aca="false">Inputs!$F$145*Inputs!$F$144*Time!AZ26</f>
        <v>10657280</v>
      </c>
      <c r="BA39" s="13" t="n">
        <f aca="false">Inputs!$F$145*Inputs!$F$144*Time!BA26</f>
        <v>10541440</v>
      </c>
      <c r="BB39" s="13" t="n">
        <f aca="false">Inputs!$F$145*Inputs!$F$144*Time!BB26</f>
        <v>10657280</v>
      </c>
      <c r="BC39" s="13" t="n">
        <f aca="false">Inputs!$F$145*Inputs!$F$144*Time!BC26</f>
        <v>10483520</v>
      </c>
      <c r="BD39" s="13" t="n">
        <f aca="false">Inputs!$F$145*Inputs!$F$144*Time!BD26</f>
        <v>10657280</v>
      </c>
      <c r="BE39" s="13" t="n">
        <f aca="false">Inputs!$F$145*Inputs!$F$144*Time!BE26</f>
        <v>10483520</v>
      </c>
      <c r="BF39" s="13" t="n">
        <f aca="false">Inputs!$F$145*Inputs!$F$144*Time!BF26</f>
        <v>10657280</v>
      </c>
      <c r="BG39" s="13" t="n">
        <f aca="false">Inputs!$F$145*Inputs!$F$144*Time!BG26</f>
        <v>10483520</v>
      </c>
      <c r="BH39" s="13" t="n">
        <f aca="false">Inputs!$F$145*Inputs!$F$144*Time!BH26</f>
        <v>10657280</v>
      </c>
      <c r="BI39" s="13" t="n">
        <f aca="false">Inputs!$F$145*Inputs!$F$144*Time!BI26</f>
        <v>10541440</v>
      </c>
      <c r="BJ39" s="13" t="n">
        <f aca="false">Inputs!$F$145*Inputs!$F$144*Time!BJ26</f>
        <v>10657280</v>
      </c>
      <c r="BK39" s="13" t="n">
        <f aca="false">Inputs!$F$145*Inputs!$F$144*Time!BK26</f>
        <v>10483520</v>
      </c>
      <c r="BL39" s="13" t="n">
        <f aca="false">Inputs!$F$145*Inputs!$F$144*Time!BL26</f>
        <v>10657280</v>
      </c>
      <c r="BM39" s="13" t="n">
        <f aca="false">Inputs!$F$145*Inputs!$F$144*Time!BM26</f>
        <v>10483520</v>
      </c>
      <c r="BN39" s="13" t="n">
        <f aca="false">Inputs!$F$145*Inputs!$F$144*Time!BN26</f>
        <v>8861760</v>
      </c>
    </row>
    <row r="40" customFormat="false" ht="15" hidden="false" customHeight="false" outlineLevel="0" collapsed="false">
      <c r="B40" s="2" t="s">
        <v>494</v>
      </c>
    </row>
    <row r="41" customFormat="false" ht="15" hidden="false" customHeight="false" outlineLevel="0" collapsed="false">
      <c r="D41" s="0" t="s">
        <v>495</v>
      </c>
      <c r="E41" s="0" t="s">
        <v>237</v>
      </c>
      <c r="J41" s="11" t="n">
        <f aca="false">Inputs!$F$134*Inputs!$F$54*(1-Inputs!$F$135+Inputs!$F$135*J18/100)</f>
        <v>14.4409263866631</v>
      </c>
      <c r="K41" s="11" t="n">
        <f aca="false">Inputs!$F$134*Inputs!$F$54*(1-Inputs!$F$135+Inputs!$F$135*K18/100)</f>
        <v>14.4761514062933</v>
      </c>
      <c r="L41" s="11" t="n">
        <f aca="false">Inputs!$F$134*Inputs!$F$54*(1-Inputs!$F$135+Inputs!$F$135*L18/100)</f>
        <v>14.5073574644174</v>
      </c>
      <c r="M41" s="11" t="n">
        <f aca="false">Inputs!$F$134*Inputs!$F$54*(1-Inputs!$F$135+Inputs!$F$135*M18/100)</f>
        <v>14.5344104859483</v>
      </c>
      <c r="N41" s="11" t="n">
        <f aca="false">Inputs!$F$134*Inputs!$F$54*(1-Inputs!$F$135+Inputs!$F$135*N18/100)</f>
        <v>14.5571668178754</v>
      </c>
      <c r="O41" s="11" t="n">
        <f aca="false">Inputs!$F$134*Inputs!$F$54*(1-Inputs!$F$135+Inputs!$F$135*O18/100)</f>
        <v>14.5755269027847</v>
      </c>
      <c r="P41" s="11" t="n">
        <f aca="false">Inputs!$F$134*Inputs!$F$54*(1-Inputs!$F$135+Inputs!$F$135*P18/100)</f>
        <v>14.620510598108</v>
      </c>
      <c r="Q41" s="11" t="n">
        <f aca="false">Inputs!$F$134*Inputs!$F$54*(1-Inputs!$F$135+Inputs!$F$135*Q18/100)</f>
        <v>14.693279381221</v>
      </c>
      <c r="R41" s="11" t="n">
        <f aca="false">Inputs!$F$134*Inputs!$F$54*(1-Inputs!$F$135+Inputs!$F$135*R18/100)</f>
        <v>14.7932818523497</v>
      </c>
      <c r="S41" s="11" t="n">
        <f aca="false">Inputs!$F$134*Inputs!$F$54*(1-Inputs!$F$135+Inputs!$F$135*S18/100)</f>
        <v>14.9229496609631</v>
      </c>
      <c r="T41" s="11" t="n">
        <f aca="false">Inputs!$F$134*Inputs!$F$54*(1-Inputs!$F$135+Inputs!$F$135*T18/100)</f>
        <v>15.0250320747026</v>
      </c>
      <c r="U41" s="11" t="n">
        <f aca="false">Inputs!$F$134*Inputs!$F$54*(1-Inputs!$F$135+Inputs!$F$135*U18/100)</f>
        <v>15.0968128698052</v>
      </c>
      <c r="V41" s="11" t="n">
        <f aca="false">Inputs!$F$134*Inputs!$F$54*(1-Inputs!$F$135+Inputs!$F$135*V18/100)</f>
        <v>15.1593931133445</v>
      </c>
      <c r="W41" s="11" t="n">
        <f aca="false">Inputs!$F$134*Inputs!$F$54*(1-Inputs!$F$135+Inputs!$F$135*W18/100)</f>
        <v>15.2122478552188</v>
      </c>
      <c r="X41" s="11" t="n">
        <f aca="false">Inputs!$F$134*Inputs!$F$54*(1-Inputs!$F$135+Inputs!$F$135*X18/100)</f>
        <v>15.2640264775846</v>
      </c>
      <c r="Y41" s="11" t="n">
        <f aca="false">Inputs!$F$134*Inputs!$F$54*(1-Inputs!$F$135+Inputs!$F$135*Y18/100)</f>
        <v>15.3146633129038</v>
      </c>
      <c r="Z41" s="11" t="n">
        <f aca="false">Inputs!$F$134*Inputs!$F$54*(1-Inputs!$F$135+Inputs!$F$135*Z18/100)</f>
        <v>15.3650348409683</v>
      </c>
      <c r="AA41" s="11" t="n">
        <f aca="false">Inputs!$F$134*Inputs!$F$54*(1-Inputs!$F$135+Inputs!$F$135*AA18/100)</f>
        <v>15.4151128754076</v>
      </c>
      <c r="AB41" s="11" t="n">
        <f aca="false">Inputs!$F$134*Inputs!$F$54*(1-Inputs!$F$135+Inputs!$F$135*AB18/100)</f>
        <v>15.4629267769026</v>
      </c>
      <c r="AC41" s="11" t="n">
        <f aca="false">Inputs!$F$134*Inputs!$F$54*(1-Inputs!$F$135+Inputs!$F$135*AC18/100)</f>
        <v>15.5083785727238</v>
      </c>
      <c r="AD41" s="11" t="n">
        <f aca="false">Inputs!$F$134*Inputs!$F$54*(1-Inputs!$F$135+Inputs!$F$135*AD18/100)</f>
        <v>15.5543500927713</v>
      </c>
      <c r="AE41" s="11" t="n">
        <f aca="false">Inputs!$F$134*Inputs!$F$54*(1-Inputs!$F$135+Inputs!$F$135*AE18/100)</f>
        <v>15.6008472798965</v>
      </c>
      <c r="AF41" s="11" t="n">
        <f aca="false">Inputs!$F$134*Inputs!$F$54*(1-Inputs!$F$135+Inputs!$F$135*AF18/100)</f>
        <v>15.6478761449051</v>
      </c>
      <c r="AG41" s="11" t="n">
        <f aca="false">Inputs!$F$134*Inputs!$F$54*(1-Inputs!$F$135+Inputs!$F$135*AG18/100)</f>
        <v>15.6954427673341</v>
      </c>
      <c r="AH41" s="11" t="n">
        <f aca="false">Inputs!$F$134*Inputs!$F$54*(1-Inputs!$F$135+Inputs!$F$135*AH18/100)</f>
        <v>15.7435532962379</v>
      </c>
      <c r="AI41" s="11" t="n">
        <f aca="false">Inputs!$F$134*Inputs!$F$54*(1-Inputs!$F$135+Inputs!$F$135*AI18/100)</f>
        <v>15.7922139509828</v>
      </c>
      <c r="AJ41" s="11" t="n">
        <f aca="false">Inputs!$F$134*Inputs!$F$54*(1-Inputs!$F$135+Inputs!$F$135*AJ18/100)</f>
        <v>15.8414310220514</v>
      </c>
      <c r="AK41" s="11" t="n">
        <f aca="false">Inputs!$F$134*Inputs!$F$54*(1-Inputs!$F$135+Inputs!$F$135*AK18/100)</f>
        <v>15.8912108718554</v>
      </c>
      <c r="AL41" s="11" t="n">
        <f aca="false">Inputs!$F$134*Inputs!$F$54*(1-Inputs!$F$135+Inputs!$F$135*AL18/100)</f>
        <v>15.9415599355585</v>
      </c>
      <c r="AM41" s="11" t="n">
        <f aca="false">Inputs!$F$134*Inputs!$F$54*(1-Inputs!$F$135+Inputs!$F$135*AM18/100)</f>
        <v>15.9924847219081</v>
      </c>
      <c r="AN41" s="11" t="n">
        <f aca="false">Inputs!$F$134*Inputs!$F$54*(1-Inputs!$F$135+Inputs!$F$135*AN18/100)</f>
        <v>16.0439918140764</v>
      </c>
      <c r="AO41" s="11" t="n">
        <f aca="false">Inputs!$F$134*Inputs!$F$54*(1-Inputs!$F$135+Inputs!$F$135*AO18/100)</f>
        <v>16.096087870512</v>
      </c>
      <c r="AP41" s="11" t="n">
        <f aca="false">Inputs!$F$134*Inputs!$F$54*(1-Inputs!$F$135+Inputs!$F$135*AP18/100)</f>
        <v>16.1487796258001</v>
      </c>
      <c r="AQ41" s="11" t="n">
        <f aca="false">Inputs!$F$134*Inputs!$F$54*(1-Inputs!$F$135+Inputs!$F$135*AQ18/100)</f>
        <v>16.2020738915337</v>
      </c>
      <c r="AR41" s="11" t="n">
        <f aca="false">Inputs!$F$134*Inputs!$F$54*(1-Inputs!$F$135+Inputs!$F$135*AR18/100)</f>
        <v>16.2559775571935</v>
      </c>
      <c r="AS41" s="11" t="n">
        <f aca="false">Inputs!$F$134*Inputs!$F$54*(1-Inputs!$F$135+Inputs!$F$135*AS18/100)</f>
        <v>16.310497591039</v>
      </c>
      <c r="AT41" s="11" t="n">
        <f aca="false">Inputs!$F$134*Inputs!$F$54*(1-Inputs!$F$135+Inputs!$F$135*AT18/100)</f>
        <v>16.365641041009</v>
      </c>
      <c r="AU41" s="11" t="n">
        <f aca="false">Inputs!$F$134*Inputs!$F$54*(1-Inputs!$F$135+Inputs!$F$135*AU18/100)</f>
        <v>16.4214150356329</v>
      </c>
      <c r="AV41" s="11" t="n">
        <f aca="false">Inputs!$F$134*Inputs!$F$54*(1-Inputs!$F$135+Inputs!$F$135*AV18/100)</f>
        <v>16.4778267849522</v>
      </c>
      <c r="AW41" s="11" t="n">
        <f aca="false">Inputs!$F$134*Inputs!$F$54*(1-Inputs!$F$135+Inputs!$F$135*AW18/100)</f>
        <v>16.5348835814525</v>
      </c>
      <c r="AX41" s="11" t="n">
        <f aca="false">Inputs!$F$134*Inputs!$F$54*(1-Inputs!$F$135+Inputs!$F$135*AX18/100)</f>
        <v>16.5925928010061</v>
      </c>
      <c r="AY41" s="11" t="n">
        <f aca="false">Inputs!$F$134*Inputs!$F$54*(1-Inputs!$F$135+Inputs!$F$135*AY18/100)</f>
        <v>16.6509619038259</v>
      </c>
      <c r="AZ41" s="11" t="n">
        <f aca="false">Inputs!$F$134*Inputs!$F$54*(1-Inputs!$F$135+Inputs!$F$135*AZ18/100)</f>
        <v>16.7099984354292</v>
      </c>
      <c r="BA41" s="11" t="n">
        <f aca="false">Inputs!$F$134*Inputs!$F$54*(1-Inputs!$F$135+Inputs!$F$135*BA18/100)</f>
        <v>16.7697100276139</v>
      </c>
      <c r="BB41" s="11" t="n">
        <f aca="false">Inputs!$F$134*Inputs!$F$54*(1-Inputs!$F$135+Inputs!$F$135*BB18/100)</f>
        <v>16.8301043994441</v>
      </c>
      <c r="BC41" s="11" t="n">
        <f aca="false">Inputs!$F$134*Inputs!$F$54*(1-Inputs!$F$135+Inputs!$F$135*BC18/100)</f>
        <v>16.891189358249</v>
      </c>
      <c r="BD41" s="11" t="n">
        <f aca="false">Inputs!$F$134*Inputs!$F$54*(1-Inputs!$F$135+Inputs!$F$135*BD18/100)</f>
        <v>16.9529728006313</v>
      </c>
      <c r="BE41" s="11" t="n">
        <f aca="false">Inputs!$F$134*Inputs!$F$54*(1-Inputs!$F$135+Inputs!$F$135*BE18/100)</f>
        <v>17.0154627134887</v>
      </c>
      <c r="BF41" s="11" t="n">
        <f aca="false">Inputs!$F$134*Inputs!$F$54*(1-Inputs!$F$135+Inputs!$F$135*BF18/100)</f>
        <v>17.0786671750458</v>
      </c>
      <c r="BG41" s="11" t="n">
        <f aca="false">Inputs!$F$134*Inputs!$F$54*(1-Inputs!$F$135+Inputs!$F$135*BG18/100)</f>
        <v>17.1425943558989</v>
      </c>
      <c r="BH41" s="11" t="n">
        <f aca="false">Inputs!$F$134*Inputs!$F$54*(1-Inputs!$F$135+Inputs!$F$135*BH18/100)</f>
        <v>17.2072525200719</v>
      </c>
      <c r="BI41" s="11" t="n">
        <f aca="false">Inputs!$F$134*Inputs!$F$54*(1-Inputs!$F$135+Inputs!$F$135*BI18/100)</f>
        <v>17.2726500260846</v>
      </c>
      <c r="BJ41" s="11" t="n">
        <f aca="false">Inputs!$F$134*Inputs!$F$54*(1-Inputs!$F$135+Inputs!$F$135*BJ18/100)</f>
        <v>17.3387953280335</v>
      </c>
      <c r="BK41" s="11" t="n">
        <f aca="false">Inputs!$F$134*Inputs!$F$54*(1-Inputs!$F$135+Inputs!$F$135*BK18/100)</f>
        <v>17.4056969766846</v>
      </c>
      <c r="BL41" s="11" t="n">
        <f aca="false">Inputs!$F$134*Inputs!$F$54*(1-Inputs!$F$135+Inputs!$F$135*BL18/100)</f>
        <v>17.4733636205783</v>
      </c>
      <c r="BM41" s="11" t="n">
        <f aca="false">Inputs!$F$134*Inputs!$F$54*(1-Inputs!$F$135+Inputs!$F$135*BM18/100)</f>
        <v>17.5418040071483</v>
      </c>
      <c r="BN41" s="11" t="n">
        <f aca="false">Inputs!$F$134*Inputs!$F$54*(1-Inputs!$F$135+Inputs!$F$135*BN18/100)</f>
        <v>17.6110269838516</v>
      </c>
    </row>
    <row r="42" customFormat="false" ht="15" hidden="false" customHeight="false" outlineLevel="0" collapsed="false">
      <c r="D42" s="0" t="s">
        <v>496</v>
      </c>
      <c r="E42" s="0" t="s">
        <v>237</v>
      </c>
      <c r="J42" s="11" t="n">
        <f aca="false">Inputs!$F$136*(Inputs!$F$137*J18/100+(1-Inputs!$F$137)*J22/100*Inputs!$F$138/J11)</f>
        <v>2.3307162956518</v>
      </c>
      <c r="K42" s="11" t="n">
        <f aca="false">Inputs!$F$136*(Inputs!$F$137*K18/100+(1-Inputs!$F$137)*K22/100*Inputs!$F$138/K11)</f>
        <v>2.35635247387625</v>
      </c>
      <c r="L42" s="11" t="n">
        <f aca="false">Inputs!$F$136*(Inputs!$F$137*L18/100+(1-Inputs!$F$137)*L22/100*Inputs!$F$138/L11)</f>
        <v>2.38495570490063</v>
      </c>
      <c r="M42" s="11" t="n">
        <f aca="false">Inputs!$F$136*(Inputs!$F$137*M18/100+(1-Inputs!$F$137)*M22/100*Inputs!$F$138/M11)</f>
        <v>2.40879644685733</v>
      </c>
      <c r="N42" s="11" t="n">
        <f aca="false">Inputs!$F$136*(Inputs!$F$137*N18/100+(1-Inputs!$F$137)*N22/100*Inputs!$F$138/N11)</f>
        <v>2.43656732059625</v>
      </c>
      <c r="O42" s="11" t="n">
        <f aca="false">Inputs!$F$136*(Inputs!$F$137*O18/100+(1-Inputs!$F$137)*O22/100*Inputs!$F$138/O11)</f>
        <v>2.46111142528661</v>
      </c>
      <c r="P42" s="11" t="n">
        <f aca="false">Inputs!$F$136*(Inputs!$F$137*P18/100+(1-Inputs!$F$137)*P22/100*Inputs!$F$138/P11)</f>
        <v>2.51003447346692</v>
      </c>
      <c r="Q42" s="11" t="n">
        <f aca="false">Inputs!$F$136*(Inputs!$F$137*Q18/100+(1-Inputs!$F$137)*Q22/100*Inputs!$F$138/Q11)</f>
        <v>2.52634105301043</v>
      </c>
      <c r="R42" s="11" t="n">
        <f aca="false">Inputs!$F$136*(Inputs!$F$137*R18/100+(1-Inputs!$F$137)*R22/100*Inputs!$F$138/R11)</f>
        <v>2.44396984223142</v>
      </c>
      <c r="S42" s="11" t="n">
        <f aca="false">Inputs!$F$136*(Inputs!$F$137*S18/100+(1-Inputs!$F$137)*S22/100*Inputs!$F$138/S11)</f>
        <v>2.41817722139762</v>
      </c>
      <c r="T42" s="11" t="n">
        <f aca="false">Inputs!$F$136*(Inputs!$F$137*T18/100+(1-Inputs!$F$137)*T22/100*Inputs!$F$138/T11)</f>
        <v>2.57637338931154</v>
      </c>
      <c r="U42" s="11" t="n">
        <f aca="false">Inputs!$F$136*(Inputs!$F$137*U18/100+(1-Inputs!$F$137)*U22/100*Inputs!$F$138/U11)</f>
        <v>2.70046733769182</v>
      </c>
      <c r="V42" s="11" t="n">
        <f aca="false">Inputs!$F$136*(Inputs!$F$137*V18/100+(1-Inputs!$F$137)*V22/100*Inputs!$F$138/V11)</f>
        <v>2.88599889825026</v>
      </c>
      <c r="W42" s="11" t="n">
        <f aca="false">Inputs!$F$136*(Inputs!$F$137*W18/100+(1-Inputs!$F$137)*W22/100*Inputs!$F$138/W11)</f>
        <v>3.02600423720958</v>
      </c>
      <c r="X42" s="11" t="n">
        <f aca="false">Inputs!$F$136*(Inputs!$F$137*X18/100+(1-Inputs!$F$137)*X22/100*Inputs!$F$138/X11)</f>
        <v>3.15499835423356</v>
      </c>
      <c r="Y42" s="11" t="n">
        <f aca="false">Inputs!$F$136*(Inputs!$F$137*Y18/100+(1-Inputs!$F$137)*Y22/100*Inputs!$F$138/Y11)</f>
        <v>3.25012424739984</v>
      </c>
      <c r="Z42" s="11" t="n">
        <f aca="false">Inputs!$F$136*(Inputs!$F$137*Z18/100+(1-Inputs!$F$137)*Z22/100*Inputs!$F$138/Z11)</f>
        <v>3.32675075280742</v>
      </c>
      <c r="AA42" s="11" t="n">
        <f aca="false">Inputs!$F$136*(Inputs!$F$137*AA18/100+(1-Inputs!$F$137)*AA22/100*Inputs!$F$138/AA11)</f>
        <v>3.37805694239915</v>
      </c>
      <c r="AB42" s="11" t="n">
        <f aca="false">Inputs!$F$136*(Inputs!$F$137*AB18/100+(1-Inputs!$F$137)*AB22/100*Inputs!$F$138/AB11)</f>
        <v>3.42342329381372</v>
      </c>
      <c r="AC42" s="11" t="n">
        <f aca="false">Inputs!$F$136*(Inputs!$F$137*AC18/100+(1-Inputs!$F$137)*AC22/100*Inputs!$F$138/AC11)</f>
        <v>3.46936469071856</v>
      </c>
      <c r="AD42" s="11" t="n">
        <f aca="false">Inputs!$F$136*(Inputs!$F$137*AD18/100+(1-Inputs!$F$137)*AD22/100*Inputs!$F$138/AD11)</f>
        <v>3.51248435339282</v>
      </c>
      <c r="AE42" s="11" t="n">
        <f aca="false">Inputs!$F$136*(Inputs!$F$137*AE18/100+(1-Inputs!$F$137)*AE22/100*Inputs!$F$138/AE11)</f>
        <v>3.55264829366551</v>
      </c>
      <c r="AF42" s="11" t="n">
        <f aca="false">Inputs!$F$136*(Inputs!$F$137*AF18/100+(1-Inputs!$F$137)*AF22/100*Inputs!$F$138/AF11)</f>
        <v>3.59327149352085</v>
      </c>
      <c r="AG42" s="11" t="n">
        <f aca="false">Inputs!$F$136*(Inputs!$F$137*AG18/100+(1-Inputs!$F$137)*AG22/100*Inputs!$F$138/AG11)</f>
        <v>3.63435920441981</v>
      </c>
      <c r="AH42" s="11" t="n">
        <f aca="false">Inputs!$F$136*(Inputs!$F$137*AH18/100+(1-Inputs!$F$137)*AH22/100*Inputs!$F$138/AH11)</f>
        <v>3.67591673787183</v>
      </c>
      <c r="AI42" s="11" t="n">
        <f aca="false">Inputs!$F$136*(Inputs!$F$137*AI18/100+(1-Inputs!$F$137)*AI22/100*Inputs!$F$138/AI11)</f>
        <v>3.71794946612147</v>
      </c>
      <c r="AJ42" s="11" t="n">
        <f aca="false">Inputs!$F$136*(Inputs!$F$137*AJ18/100+(1-Inputs!$F$137)*AJ22/100*Inputs!$F$138/AJ11)</f>
        <v>3.76046282284288</v>
      </c>
      <c r="AK42" s="11" t="n">
        <f aca="false">Inputs!$F$136*(Inputs!$F$137*AK18/100+(1-Inputs!$F$137)*AK22/100*Inputs!$F$138/AK11)</f>
        <v>3.80346230384226</v>
      </c>
      <c r="AL42" s="11" t="n">
        <f aca="false">Inputs!$F$136*(Inputs!$F$137*AL18/100+(1-Inputs!$F$137)*AL22/100*Inputs!$F$138/AL11)</f>
        <v>3.84695346776827</v>
      </c>
      <c r="AM42" s="11" t="n">
        <f aca="false">Inputs!$F$136*(Inputs!$F$137*AM18/100+(1-Inputs!$F$137)*AM22/100*Inputs!$F$138/AM11)</f>
        <v>3.89094193683063</v>
      </c>
      <c r="AN42" s="11" t="n">
        <f aca="false">Inputs!$F$136*(Inputs!$F$137*AN18/100+(1-Inputs!$F$137)*AN22/100*Inputs!$F$138/AN11)</f>
        <v>3.93543339752694</v>
      </c>
      <c r="AO42" s="11" t="n">
        <f aca="false">Inputs!$F$136*(Inputs!$F$137*AO18/100+(1-Inputs!$F$137)*AO22/100*Inputs!$F$138/AO11)</f>
        <v>3.98043360137774</v>
      </c>
      <c r="AP42" s="11" t="n">
        <f aca="false">Inputs!$F$136*(Inputs!$F$137*AP18/100+(1-Inputs!$F$137)*AP22/100*Inputs!$F$138/AP11)</f>
        <v>4.02594836567006</v>
      </c>
      <c r="AQ42" s="11" t="n">
        <f aca="false">Inputs!$F$136*(Inputs!$F$137*AQ18/100+(1-Inputs!$F$137)*AQ22/100*Inputs!$F$138/AQ11)</f>
        <v>4.07198357420942</v>
      </c>
      <c r="AR42" s="11" t="n">
        <f aca="false">Inputs!$F$136*(Inputs!$F$137*AR18/100+(1-Inputs!$F$137)*AR22/100*Inputs!$F$138/AR11)</f>
        <v>4.11854517808047</v>
      </c>
      <c r="AS42" s="11" t="n">
        <f aca="false">Inputs!$F$136*(Inputs!$F$137*AS18/100+(1-Inputs!$F$137)*AS22/100*Inputs!$F$138/AS11)</f>
        <v>4.16563919641624</v>
      </c>
      <c r="AT42" s="11" t="n">
        <f aca="false">Inputs!$F$136*(Inputs!$F$137*AT18/100+(1-Inputs!$F$137)*AT22/100*Inputs!$F$138/AT11)</f>
        <v>4.21327171717632</v>
      </c>
      <c r="AU42" s="11" t="n">
        <f aca="false">Inputs!$F$136*(Inputs!$F$137*AU18/100+(1-Inputs!$F$137)*AU22/100*Inputs!$F$138/AU11)</f>
        <v>4.26144889793381</v>
      </c>
      <c r="AV42" s="11" t="n">
        <f aca="false">Inputs!$F$136*(Inputs!$F$137*AV18/100+(1-Inputs!$F$137)*AV22/100*Inputs!$F$138/AV11)</f>
        <v>4.31017696667137</v>
      </c>
      <c r="AW42" s="11" t="n">
        <f aca="false">Inputs!$F$136*(Inputs!$F$137*AW18/100+(1-Inputs!$F$137)*AW22/100*Inputs!$F$138/AW11)</f>
        <v>4.35946222258629</v>
      </c>
      <c r="AX42" s="11" t="n">
        <f aca="false">Inputs!$F$136*(Inputs!$F$137*AX18/100+(1-Inputs!$F$137)*AX22/100*Inputs!$F$138/AX11)</f>
        <v>4.40931103690481</v>
      </c>
      <c r="AY42" s="11" t="n">
        <f aca="false">Inputs!$F$136*(Inputs!$F$137*AY18/100+(1-Inputs!$F$137)*AY22/100*Inputs!$F$138/AY11)</f>
        <v>4.45972985370577</v>
      </c>
      <c r="AZ42" s="11" t="n">
        <f aca="false">Inputs!$F$136*(Inputs!$F$137*AZ18/100+(1-Inputs!$F$137)*AZ22/100*Inputs!$F$138/AZ11)</f>
        <v>4.51072519075362</v>
      </c>
      <c r="BA42" s="11" t="n">
        <f aca="false">Inputs!$F$136*(Inputs!$F$137*BA18/100+(1-Inputs!$F$137)*BA22/100*Inputs!$F$138/BA11)</f>
        <v>4.562303640341</v>
      </c>
      <c r="BB42" s="11" t="n">
        <f aca="false">Inputs!$F$136*(Inputs!$F$137*BB18/100+(1-Inputs!$F$137)*BB22/100*Inputs!$F$138/BB11)</f>
        <v>4.61447187014095</v>
      </c>
      <c r="BC42" s="11" t="n">
        <f aca="false">Inputs!$F$136*(Inputs!$F$137*BC18/100+(1-Inputs!$F$137)*BC22/100*Inputs!$F$138/BC11)</f>
        <v>4.66723662406885</v>
      </c>
      <c r="BD42" s="11" t="n">
        <f aca="false">Inputs!$F$136*(Inputs!$F$137*BD18/100+(1-Inputs!$F$137)*BD22/100*Inputs!$F$138/BD11)</f>
        <v>4.7206047231542</v>
      </c>
      <c r="BE42" s="11" t="n">
        <f aca="false">Inputs!$F$136*(Inputs!$F$137*BE18/100+(1-Inputs!$F$137)*BE22/100*Inputs!$F$138/BE11)</f>
        <v>4.77458306642243</v>
      </c>
      <c r="BF42" s="11" t="n">
        <f aca="false">Inputs!$F$136*(Inputs!$F$137*BF18/100+(1-Inputs!$F$137)*BF22/100*Inputs!$F$138/BF11)</f>
        <v>4.82917863178674</v>
      </c>
      <c r="BG42" s="11" t="n">
        <f aca="false">Inputs!$F$136*(Inputs!$F$137*BG18/100+(1-Inputs!$F$137)*BG22/100*Inputs!$F$138/BG11)</f>
        <v>4.88439847695014</v>
      </c>
      <c r="BH42" s="11" t="n">
        <f aca="false">Inputs!$F$136*(Inputs!$F$137*BH18/100+(1-Inputs!$F$137)*BH22/100*Inputs!$F$138/BH11)</f>
        <v>4.94024974031783</v>
      </c>
      <c r="BI42" s="11" t="n">
        <f aca="false">Inputs!$F$136*(Inputs!$F$137*BI18/100+(1-Inputs!$F$137)*BI22/100*Inputs!$F$138/BI11)</f>
        <v>4.99673964191999</v>
      </c>
      <c r="BJ42" s="11" t="n">
        <f aca="false">Inputs!$F$136*(Inputs!$F$137*BJ18/100+(1-Inputs!$F$137)*BJ22/100*Inputs!$F$138/BJ11)</f>
        <v>5.05387548434515</v>
      </c>
      <c r="BK42" s="11" t="n">
        <f aca="false">Inputs!$F$136*(Inputs!$F$137*BK18/100+(1-Inputs!$F$137)*BK22/100*Inputs!$F$138/BK11)</f>
        <v>5.11166465368416</v>
      </c>
      <c r="BL42" s="11" t="n">
        <f aca="false">Inputs!$F$136*(Inputs!$F$137*BL18/100+(1-Inputs!$F$137)*BL22/100*Inputs!$F$138/BL11)</f>
        <v>5.17011462048508</v>
      </c>
      <c r="BM42" s="11" t="n">
        <f aca="false">Inputs!$F$136*(Inputs!$F$137*BM18/100+(1-Inputs!$F$137)*BM22/100*Inputs!$F$138/BM11)</f>
        <v>5.22923294071889</v>
      </c>
      <c r="BN42" s="11" t="n">
        <f aca="false">Inputs!$F$136*(Inputs!$F$137*BN18/100+(1-Inputs!$F$137)*BN22/100*Inputs!$F$138/BN11)</f>
        <v>5.28902725675624</v>
      </c>
    </row>
    <row r="43" customFormat="false" ht="15" hidden="false" customHeight="false" outlineLevel="0" collapsed="false">
      <c r="D43" s="0" t="s">
        <v>497</v>
      </c>
      <c r="E43" s="0" t="s">
        <v>99</v>
      </c>
      <c r="J43" s="11" t="n">
        <f aca="false">MIN(1,J28/Inputs!$F$133)</f>
        <v>0</v>
      </c>
      <c r="K43" s="11" t="n">
        <f aca="false">MIN(1,K28/Inputs!$F$133)</f>
        <v>0</v>
      </c>
      <c r="L43" s="11" t="n">
        <f aca="false">MIN(1,L28/Inputs!$F$133)</f>
        <v>0</v>
      </c>
      <c r="M43" s="11" t="n">
        <f aca="false">MIN(1,M28/Inputs!$F$133)</f>
        <v>0</v>
      </c>
      <c r="N43" s="11" t="n">
        <f aca="false">MIN(1,N28/Inputs!$F$133)</f>
        <v>0</v>
      </c>
      <c r="O43" s="11" t="n">
        <f aca="false">MIN(1,O28/Inputs!$F$133)</f>
        <v>0</v>
      </c>
      <c r="P43" s="11" t="n">
        <f aca="false">MIN(1,P28/Inputs!$F$133)</f>
        <v>1</v>
      </c>
      <c r="Q43" s="11" t="n">
        <f aca="false">MIN(1,Q28/Inputs!$F$133)</f>
        <v>1</v>
      </c>
      <c r="R43" s="11" t="n">
        <f aca="false">MIN(1,R28/Inputs!$F$133)</f>
        <v>1</v>
      </c>
      <c r="S43" s="11" t="n">
        <f aca="false">MIN(1,S28/Inputs!$F$133)</f>
        <v>1</v>
      </c>
      <c r="T43" s="11" t="n">
        <f aca="false">MIN(1,T28/Inputs!$F$133)</f>
        <v>1</v>
      </c>
      <c r="U43" s="11" t="n">
        <f aca="false">MIN(1,U28/Inputs!$F$133)</f>
        <v>1</v>
      </c>
      <c r="V43" s="11" t="n">
        <f aca="false">MIN(1,V28/Inputs!$F$133)</f>
        <v>1</v>
      </c>
      <c r="W43" s="11" t="n">
        <f aca="false">MIN(1,W28/Inputs!$F$133)</f>
        <v>1</v>
      </c>
      <c r="X43" s="11" t="n">
        <f aca="false">MIN(1,X28/Inputs!$F$133)</f>
        <v>1</v>
      </c>
      <c r="Y43" s="11" t="n">
        <f aca="false">MIN(1,Y28/Inputs!$F$133)</f>
        <v>1</v>
      </c>
      <c r="Z43" s="11" t="n">
        <f aca="false">MIN(1,Z28/Inputs!$F$133)</f>
        <v>1</v>
      </c>
      <c r="AA43" s="11" t="n">
        <f aca="false">MIN(1,AA28/Inputs!$F$133)</f>
        <v>1</v>
      </c>
      <c r="AB43" s="11" t="n">
        <f aca="false">MIN(1,AB28/Inputs!$F$133)</f>
        <v>1</v>
      </c>
      <c r="AC43" s="11" t="n">
        <f aca="false">MIN(1,AC28/Inputs!$F$133)</f>
        <v>1</v>
      </c>
      <c r="AD43" s="11" t="n">
        <f aca="false">MIN(1,AD28/Inputs!$F$133)</f>
        <v>1</v>
      </c>
      <c r="AE43" s="11" t="n">
        <f aca="false">MIN(1,AE28/Inputs!$F$133)</f>
        <v>0.985555555555556</v>
      </c>
      <c r="AF43" s="11" t="n">
        <f aca="false">MIN(1,AF28/Inputs!$F$133)</f>
        <v>0.995</v>
      </c>
      <c r="AG43" s="11" t="n">
        <f aca="false">MIN(1,AG28/Inputs!$F$133)</f>
        <v>1</v>
      </c>
      <c r="AH43" s="11" t="n">
        <f aca="false">MIN(1,AH28/Inputs!$F$133)</f>
        <v>1</v>
      </c>
      <c r="AI43" s="11" t="n">
        <f aca="false">MIN(1,AI28/Inputs!$F$133)</f>
        <v>1</v>
      </c>
      <c r="AJ43" s="11" t="n">
        <f aca="false">MIN(1,AJ28/Inputs!$F$133)</f>
        <v>1</v>
      </c>
      <c r="AK43" s="11" t="n">
        <f aca="false">MIN(1,AK28/Inputs!$F$133)</f>
        <v>1</v>
      </c>
      <c r="AL43" s="11" t="n">
        <f aca="false">MIN(1,AL28/Inputs!$F$133)</f>
        <v>1</v>
      </c>
      <c r="AM43" s="11" t="n">
        <f aca="false">MIN(1,AM28/Inputs!$F$133)</f>
        <v>1</v>
      </c>
      <c r="AN43" s="11" t="n">
        <f aca="false">MIN(1,AN28/Inputs!$F$133)</f>
        <v>1</v>
      </c>
      <c r="AO43" s="11" t="n">
        <f aca="false">MIN(1,AO28/Inputs!$F$133)</f>
        <v>1</v>
      </c>
      <c r="AP43" s="11" t="n">
        <f aca="false">MIN(1,AP28/Inputs!$F$133)</f>
        <v>1</v>
      </c>
      <c r="AQ43" s="11" t="n">
        <f aca="false">MIN(1,AQ28/Inputs!$F$133)</f>
        <v>1</v>
      </c>
      <c r="AR43" s="11" t="n">
        <f aca="false">MIN(1,AR28/Inputs!$F$133)</f>
        <v>1</v>
      </c>
      <c r="AS43" s="11" t="n">
        <f aca="false">MIN(1,AS28/Inputs!$F$133)</f>
        <v>1</v>
      </c>
      <c r="AT43" s="11" t="n">
        <f aca="false">MIN(1,AT28/Inputs!$F$133)</f>
        <v>1</v>
      </c>
      <c r="AU43" s="11" t="n">
        <f aca="false">MIN(1,AU28/Inputs!$F$133)</f>
        <v>0.985555555555556</v>
      </c>
      <c r="AV43" s="11" t="n">
        <f aca="false">MIN(1,AV28/Inputs!$F$133)</f>
        <v>0.995</v>
      </c>
      <c r="AW43" s="11" t="n">
        <f aca="false">MIN(1,AW28/Inputs!$F$133)</f>
        <v>1</v>
      </c>
      <c r="AX43" s="11" t="n">
        <f aca="false">MIN(1,AX28/Inputs!$F$133)</f>
        <v>1</v>
      </c>
      <c r="AY43" s="11" t="n">
        <f aca="false">MIN(1,AY28/Inputs!$F$133)</f>
        <v>1</v>
      </c>
      <c r="AZ43" s="11" t="n">
        <f aca="false">MIN(1,AZ28/Inputs!$F$133)</f>
        <v>1</v>
      </c>
      <c r="BA43" s="11" t="n">
        <f aca="false">MIN(1,BA28/Inputs!$F$133)</f>
        <v>1</v>
      </c>
      <c r="BB43" s="11" t="n">
        <f aca="false">MIN(1,BB28/Inputs!$F$133)</f>
        <v>1</v>
      </c>
      <c r="BC43" s="11" t="n">
        <f aca="false">MIN(1,BC28/Inputs!$F$133)</f>
        <v>1</v>
      </c>
      <c r="BD43" s="11" t="n">
        <f aca="false">MIN(1,BD28/Inputs!$F$133)</f>
        <v>1</v>
      </c>
      <c r="BE43" s="11" t="n">
        <f aca="false">MIN(1,BE28/Inputs!$F$133)</f>
        <v>1</v>
      </c>
      <c r="BF43" s="11" t="n">
        <f aca="false">MIN(1,BF28/Inputs!$F$133)</f>
        <v>1</v>
      </c>
      <c r="BG43" s="11" t="n">
        <f aca="false">MIN(1,BG28/Inputs!$F$133)</f>
        <v>1</v>
      </c>
      <c r="BH43" s="11" t="n">
        <f aca="false">MIN(1,BH28/Inputs!$F$133)</f>
        <v>1</v>
      </c>
      <c r="BI43" s="11" t="n">
        <f aca="false">MIN(1,BI28/Inputs!$F$133)</f>
        <v>1</v>
      </c>
      <c r="BJ43" s="11" t="n">
        <f aca="false">MIN(1,BJ28/Inputs!$F$133)</f>
        <v>1</v>
      </c>
      <c r="BK43" s="11" t="n">
        <f aca="false">MIN(1,BK28/Inputs!$F$133)</f>
        <v>0.985555555555556</v>
      </c>
      <c r="BL43" s="11" t="n">
        <f aca="false">MIN(1,BL28/Inputs!$F$133)</f>
        <v>0.995</v>
      </c>
      <c r="BM43" s="11" t="n">
        <f aca="false">MIN(1,BM28/Inputs!$F$133)</f>
        <v>1</v>
      </c>
      <c r="BN43" s="11" t="n">
        <f aca="false">MIN(1,BN28/Inputs!$F$133)</f>
        <v>1</v>
      </c>
    </row>
    <row r="44" customFormat="false" ht="15" hidden="false" customHeight="false" outlineLevel="0" collapsed="false">
      <c r="D44" s="0" t="s">
        <v>498</v>
      </c>
      <c r="E44" s="0" t="s">
        <v>149</v>
      </c>
      <c r="G44" s="11" t="n">
        <f aca="false">SUM(J44:BN44)</f>
        <v>3510.02594171799</v>
      </c>
      <c r="J44" s="11" t="n">
        <f aca="false">$F$30*1000*Time!J25*(J41+J42)*J43/1000000</f>
        <v>0</v>
      </c>
      <c r="K44" s="11" t="n">
        <f aca="false">$F$30*1000*Time!K25*(K41+K42)*K43/1000000</f>
        <v>0</v>
      </c>
      <c r="L44" s="11" t="n">
        <f aca="false">$F$30*1000*Time!L25*(L41+L42)*L43/1000000</f>
        <v>0</v>
      </c>
      <c r="M44" s="11" t="n">
        <f aca="false">$F$30*1000*Time!M25*(M41+M42)*M43/1000000</f>
        <v>0</v>
      </c>
      <c r="N44" s="11" t="n">
        <f aca="false">$F$30*1000*Time!N25*(N41+N42)*N43/1000000</f>
        <v>0</v>
      </c>
      <c r="O44" s="11" t="n">
        <f aca="false">$F$30*1000*Time!O25*(O41+O42)*O43/1000000</f>
        <v>0</v>
      </c>
      <c r="P44" s="11" t="n">
        <f aca="false">$F$30*1000*Time!P25*(P41+P42)*P43/1000000</f>
        <v>9.96826417714946</v>
      </c>
      <c r="Q44" s="11" t="n">
        <f aca="false">$F$30*1000*Time!Q25*(Q41+Q42)*Q43/1000000</f>
        <v>60.1205827840755</v>
      </c>
      <c r="R44" s="11" t="n">
        <f aca="false">$F$30*1000*Time!R25*(R41+R42)*R43/1000000</f>
        <v>60.1821405664607</v>
      </c>
      <c r="S44" s="11" t="n">
        <f aca="false">$F$30*1000*Time!S25*(S41+S42)*S43/1000000</f>
        <v>60.5448103970742</v>
      </c>
      <c r="T44" s="11" t="n">
        <f aca="false">$F$30*1000*Time!T25*(T41+T42)*T43/1000000</f>
        <v>61.453547037059</v>
      </c>
      <c r="U44" s="11" t="n">
        <f aca="false">$F$30*1000*Time!U25*(U41+U42)*U43/1000000</f>
        <v>62.137424116455</v>
      </c>
      <c r="V44" s="11" t="n">
        <f aca="false">$F$30*1000*Time!V25*(V41+V42)*V43/1000000</f>
        <v>63.0036816692819</v>
      </c>
      <c r="W44" s="11" t="n">
        <f aca="false">$F$30*1000*Time!W25*(W41+W42)*W43/1000000</f>
        <v>63.6770333555045</v>
      </c>
      <c r="X44" s="11" t="n">
        <f aca="false">$F$30*1000*Time!X25*(X41+X42)*X43/1000000</f>
        <v>64.3081832978098</v>
      </c>
      <c r="Y44" s="11" t="n">
        <f aca="false">$F$30*1000*Time!Y25*(Y41+Y42)*Y43/1000000</f>
        <v>64.8170992880442</v>
      </c>
      <c r="Z44" s="11" t="n">
        <f aca="false">$F$30*1000*Time!Z25*(Z41+Z42)*Z43/1000000</f>
        <v>65.2605002221086</v>
      </c>
      <c r="AA44" s="11" t="n">
        <f aca="false">$F$30*1000*Time!AA25*(AA41+AA42)*AA43/1000000</f>
        <v>65.6144731018906</v>
      </c>
      <c r="AB44" s="11" t="n">
        <f aca="false">$F$30*1000*Time!AB25*(AB41+AB42)*AB43/1000000</f>
        <v>65.9398026368989</v>
      </c>
      <c r="AC44" s="11" t="n">
        <f aca="false">$F$30*1000*Time!AC25*(AC41+AC42)*AC43/1000000</f>
        <v>66.2588928299828</v>
      </c>
      <c r="AD44" s="11" t="n">
        <f aca="false">$F$30*1000*Time!AD25*(AD41+AD42)*AD43/1000000</f>
        <v>66.5699457853375</v>
      </c>
      <c r="AE44" s="11" t="n">
        <f aca="false">$F$30*1000*Time!AE25*(AE41+AE42)*AE43/1000000</f>
        <v>65.9065781257656</v>
      </c>
      <c r="AF44" s="11" t="n">
        <f aca="false">$F$30*1000*Time!AF25*(AF41+AF42)*AF43/1000000</f>
        <v>66.8426501504763</v>
      </c>
      <c r="AG44" s="11" t="n">
        <f aca="false">$F$30*1000*Time!AG25*(AG41+AG42)*AG43/1000000</f>
        <v>67.4880706041817</v>
      </c>
      <c r="AH44" s="11" t="n">
        <f aca="false">$F$30*1000*Time!AH25*(AH41+AH42)*AH43/1000000</f>
        <v>67.8011376770907</v>
      </c>
      <c r="AI44" s="11" t="n">
        <f aca="false">$F$30*1000*Time!AI25*(AI41+AI42)*AI43/1000000</f>
        <v>68.1177845544778</v>
      </c>
      <c r="AJ44" s="11" t="n">
        <f aca="false">$F$30*1000*Time!AJ25*(AJ41+AJ42)*AJ43/1000000</f>
        <v>68.4380521700638</v>
      </c>
      <c r="AK44" s="11" t="n">
        <f aca="false">$F$30*1000*Time!AK25*(AK41+AK42)*AK43/1000000</f>
        <v>68.7619819256308</v>
      </c>
      <c r="AL44" s="11" t="n">
        <f aca="false">$F$30*1000*Time!AL25*(AL41+AL42)*AL43/1000000</f>
        <v>69.0896156963752</v>
      </c>
      <c r="AM44" s="11" t="n">
        <f aca="false">$F$30*1000*Time!AM25*(AM41+AM42)*AM43/1000000</f>
        <v>69.4209958363203</v>
      </c>
      <c r="AN44" s="11" t="n">
        <f aca="false">$F$30*1000*Time!AN25*(AN41+AN42)*AN43/1000000</f>
        <v>69.7561651837919</v>
      </c>
      <c r="AO44" s="11" t="n">
        <f aca="false">$F$30*1000*Time!AO25*(AO41+AO42)*AO43/1000000</f>
        <v>70.0951670669557</v>
      </c>
      <c r="AP44" s="11" t="n">
        <f aca="false">$F$30*1000*Time!AP25*(AP41+AP42)*AP43/1000000</f>
        <v>70.438045309419</v>
      </c>
      <c r="AQ44" s="11" t="n">
        <f aca="false">$F$30*1000*Time!AQ25*(AQ41+AQ42)*AQ43/1000000</f>
        <v>70.7848442358957</v>
      </c>
      <c r="AR44" s="11" t="n">
        <f aca="false">$F$30*1000*Time!AR25*(AR41+AR42)*AR43/1000000</f>
        <v>71.1356086779357</v>
      </c>
      <c r="AS44" s="11" t="n">
        <f aca="false">$F$30*1000*Time!AS25*(AS41+AS42)*AS43/1000000</f>
        <v>71.4903839797212</v>
      </c>
      <c r="AT44" s="11" t="n">
        <f aca="false">$F$30*1000*Time!AT25*(AT41+AT42)*AT43/1000000</f>
        <v>71.8492160039282</v>
      </c>
      <c r="AU44" s="11" t="n">
        <f aca="false">$F$30*1000*Time!AU25*(AU41+AU42)*AU43/1000000</f>
        <v>71.1690867323331</v>
      </c>
      <c r="AV44" s="11" t="n">
        <f aca="false">$F$30*1000*Time!AV25*(AV41+AV42)*AV43/1000000</f>
        <v>72.2163401169265</v>
      </c>
      <c r="AW44" s="11" t="n">
        <f aca="false">$F$30*1000*Time!AW25*(AW41+AW42)*AW43/1000000</f>
        <v>72.9505189402209</v>
      </c>
      <c r="AX44" s="11" t="n">
        <f aca="false">$F$30*1000*Time!AX25*(AX41+AX42)*AX43/1000000</f>
        <v>73.3260470596821</v>
      </c>
      <c r="AY44" s="11" t="n">
        <f aca="false">$F$30*1000*Time!AY25*(AY41+AY42)*AY43/1000000</f>
        <v>73.705869202246</v>
      </c>
      <c r="AZ44" s="11" t="n">
        <f aca="false">$F$30*1000*Time!AZ25*(AZ41+AZ42)*AZ43/1000000</f>
        <v>74.0900344684548</v>
      </c>
      <c r="BA44" s="11" t="n">
        <f aca="false">$F$30*1000*Time!BA25*(BA41+BA42)*BA43/1000000</f>
        <v>74.4785925202976</v>
      </c>
      <c r="BB44" s="11" t="n">
        <f aca="false">$F$30*1000*Time!BB25*(BB41+BB42)*BB43/1000000</f>
        <v>74.8715935876293</v>
      </c>
      <c r="BC44" s="11" t="n">
        <f aca="false">$F$30*1000*Time!BC25*(BC41+BC42)*BC43/1000000</f>
        <v>75.2690884746644</v>
      </c>
      <c r="BD44" s="11" t="n">
        <f aca="false">$F$30*1000*Time!BD25*(BD41+BD42)*BD43/1000000</f>
        <v>75.6711285665448</v>
      </c>
      <c r="BE44" s="11" t="n">
        <f aca="false">$F$30*1000*Time!BE25*(BE41+BE42)*BE43/1000000</f>
        <v>76.0777658359817</v>
      </c>
      <c r="BF44" s="11" t="n">
        <f aca="false">$F$30*1000*Time!BF25*(BF41+BF42)*BF43/1000000</f>
        <v>76.4890528499753</v>
      </c>
      <c r="BG44" s="11" t="n">
        <f aca="false">$F$30*1000*Time!BG25*(BG41+BG42)*BG43/1000000</f>
        <v>76.9050427766093</v>
      </c>
      <c r="BH44" s="11" t="n">
        <f aca="false">$F$30*1000*Time!BH25*(BH41+BH42)*BH43/1000000</f>
        <v>77.3257893919247</v>
      </c>
      <c r="BI44" s="11" t="n">
        <f aca="false">$F$30*1000*Time!BI25*(BI41+BI42)*BI43/1000000</f>
        <v>77.7513470868713</v>
      </c>
      <c r="BJ44" s="11" t="n">
        <f aca="false">$F$30*1000*Time!BJ25*(BJ41+BJ42)*BJ43/1000000</f>
        <v>78.181770874339</v>
      </c>
      <c r="BK44" s="11" t="n">
        <f aca="false">$F$30*1000*Time!BK25*(BK41+BK42)*BK43/1000000</f>
        <v>77.481535826101</v>
      </c>
      <c r="BL44" s="11" t="n">
        <f aca="false">$F$30*1000*Time!BL25*(BL41+BL42)*BL43/1000000</f>
        <v>78.6621527311945</v>
      </c>
      <c r="BM44" s="11" t="n">
        <f aca="false">$F$30*1000*Time!BM25*(BM41+BM42)*BM43/1000000</f>
        <v>79.5027983997835</v>
      </c>
      <c r="BN44" s="11" t="n">
        <f aca="false">$F$30*1000*Time!BN25*(BN41+BN42)*BN43/1000000</f>
        <v>66.6277078130485</v>
      </c>
    </row>
    <row r="45" customFormat="false" ht="15" hidden="false" customHeight="false" outlineLevel="0" collapsed="false">
      <c r="D45" s="0" t="s">
        <v>499</v>
      </c>
      <c r="E45" s="0" t="s">
        <v>243</v>
      </c>
      <c r="J45" s="11" t="n">
        <f aca="false">Inputs!$F$139*(Inputs!$F$140*J18/100+(1-Inputs!$F$140)*J22/100*Inputs!$F$138/J11)</f>
        <v>3.91022718246032</v>
      </c>
      <c r="K45" s="11" t="n">
        <f aca="false">Inputs!$F$139*(Inputs!$F$140*K18/100+(1-Inputs!$F$140)*K22/100*Inputs!$F$138/K11)</f>
        <v>3.9540135202476</v>
      </c>
      <c r="L45" s="11" t="n">
        <f aca="false">Inputs!$F$139*(Inputs!$F$140*L18/100+(1-Inputs!$F$140)*L22/100*Inputs!$F$138/L11)</f>
        <v>4.00057685117118</v>
      </c>
      <c r="M45" s="11" t="n">
        <f aca="false">Inputs!$F$139*(Inputs!$F$140*M18/100+(1-Inputs!$F$140)*M22/100*Inputs!$F$138/M11)</f>
        <v>4.03968237214488</v>
      </c>
      <c r="N45" s="11" t="n">
        <f aca="false">Inputs!$F$139*(Inputs!$F$140*N18/100+(1-Inputs!$F$140)*N22/100*Inputs!$F$138/N11)</f>
        <v>4.0827568038087</v>
      </c>
      <c r="O45" s="11" t="n">
        <f aca="false">Inputs!$F$139*(Inputs!$F$140*O18/100+(1-Inputs!$F$140)*O22/100*Inputs!$F$138/O11)</f>
        <v>4.12033054196868</v>
      </c>
      <c r="P45" s="11" t="n">
        <f aca="false">Inputs!$F$139*(Inputs!$F$140*P18/100+(1-Inputs!$F$140)*P22/100*Inputs!$F$138/P11)</f>
        <v>4.1975982986382</v>
      </c>
      <c r="Q45" s="11" t="n">
        <f aca="false">Inputs!$F$139*(Inputs!$F$140*Q18/100+(1-Inputs!$F$140)*Q22/100*Inputs!$F$138/Q11)</f>
        <v>4.2396999606688</v>
      </c>
      <c r="R45" s="11" t="n">
        <f aca="false">Inputs!$F$139*(Inputs!$F$140*R18/100+(1-Inputs!$F$140)*R22/100*Inputs!$F$138/R11)</f>
        <v>4.15933094447549</v>
      </c>
      <c r="S45" s="11" t="n">
        <f aca="false">Inputs!$F$139*(Inputs!$F$140*S18/100+(1-Inputs!$F$140)*S22/100*Inputs!$F$138/S11)</f>
        <v>4.1619946050975</v>
      </c>
      <c r="T45" s="11" t="n">
        <f aca="false">Inputs!$F$139*(Inputs!$F$140*T18/100+(1-Inputs!$F$140)*T22/100*Inputs!$F$138/T11)</f>
        <v>4.3995723041597</v>
      </c>
      <c r="U45" s="11" t="n">
        <f aca="false">Inputs!$F$139*(Inputs!$F$140*U18/100+(1-Inputs!$F$140)*U22/100*Inputs!$F$138/U11)</f>
        <v>4.58358827846067</v>
      </c>
      <c r="V45" s="11" t="n">
        <f aca="false">Inputs!$F$139*(Inputs!$F$140*V18/100+(1-Inputs!$F$140)*V22/100*Inputs!$F$138/V11)</f>
        <v>4.8460498940529</v>
      </c>
      <c r="W45" s="11" t="n">
        <f aca="false">Inputs!$F$139*(Inputs!$F$140*W18/100+(1-Inputs!$F$140)*W22/100*Inputs!$F$138/W11)</f>
        <v>5.04570116656443</v>
      </c>
      <c r="X45" s="11" t="n">
        <f aca="false">Inputs!$F$139*(Inputs!$F$140*X18/100+(1-Inputs!$F$140)*X22/100*Inputs!$F$138/X11)</f>
        <v>5.23052186911629</v>
      </c>
      <c r="Y45" s="11" t="n">
        <f aca="false">Inputs!$F$139*(Inputs!$F$140*Y18/100+(1-Inputs!$F$140)*Y22/100*Inputs!$F$138/Y11)</f>
        <v>5.37034030167829</v>
      </c>
      <c r="Z45" s="11" t="n">
        <f aca="false">Inputs!$F$139*(Inputs!$F$140*Z18/100+(1-Inputs!$F$140)*Z22/100*Inputs!$F$138/Z11)</f>
        <v>5.48567914179088</v>
      </c>
      <c r="AA45" s="11" t="n">
        <f aca="false">Inputs!$F$139*(Inputs!$F$140*AA18/100+(1-Inputs!$F$140)*AA22/100*Inputs!$F$138/AA11)</f>
        <v>5.56753219734782</v>
      </c>
      <c r="AB45" s="11" t="n">
        <f aca="false">Inputs!$F$139*(Inputs!$F$140*AB18/100+(1-Inputs!$F$140)*AB22/100*Inputs!$F$138/AB11)</f>
        <v>5.64090874038769</v>
      </c>
      <c r="AC45" s="11" t="n">
        <f aca="false">Inputs!$F$139*(Inputs!$F$140*AC18/100+(1-Inputs!$F$140)*AC22/100*Inputs!$F$138/AC11)</f>
        <v>5.71437553040107</v>
      </c>
      <c r="AD45" s="11" t="n">
        <f aca="false">Inputs!$F$139*(Inputs!$F$140*AD18/100+(1-Inputs!$F$140)*AD22/100*Inputs!$F$138/AD11)</f>
        <v>5.78426692437989</v>
      </c>
      <c r="AE45" s="11" t="n">
        <f aca="false">Inputs!$F$139*(Inputs!$F$140*AE18/100+(1-Inputs!$F$140)*AE22/100*Inputs!$F$138/AE11)</f>
        <v>5.85040784570461</v>
      </c>
      <c r="AF45" s="11" t="n">
        <f aca="false">Inputs!$F$139*(Inputs!$F$140*AF18/100+(1-Inputs!$F$140)*AF22/100*Inputs!$F$138/AF11)</f>
        <v>5.91730506364062</v>
      </c>
      <c r="AG45" s="11" t="n">
        <f aca="false">Inputs!$F$139*(Inputs!$F$140*AG18/100+(1-Inputs!$F$140)*AG22/100*Inputs!$F$138/AG11)</f>
        <v>5.98496722615582</v>
      </c>
      <c r="AH45" s="11" t="n">
        <f aca="false">Inputs!$F$139*(Inputs!$F$140*AH18/100+(1-Inputs!$F$140)*AH22/100*Inputs!$F$138/AH11)</f>
        <v>6.05340308010436</v>
      </c>
      <c r="AI45" s="11" t="n">
        <f aca="false">Inputs!$F$139*(Inputs!$F$140*AI18/100+(1-Inputs!$F$140)*AI22/100*Inputs!$F$138/AI11)</f>
        <v>6.1226214723574</v>
      </c>
      <c r="AJ45" s="11" t="n">
        <f aca="false">Inputs!$F$139*(Inputs!$F$140*AJ18/100+(1-Inputs!$F$140)*AJ22/100*Inputs!$F$138/AJ11)</f>
        <v>6.19263135094675</v>
      </c>
      <c r="AK45" s="11" t="n">
        <f aca="false">Inputs!$F$139*(Inputs!$F$140*AK18/100+(1-Inputs!$F$140)*AK22/100*Inputs!$F$138/AK11)</f>
        <v>6.26344176622162</v>
      </c>
      <c r="AL45" s="11" t="n">
        <f aca="false">Inputs!$F$139*(Inputs!$F$140*AL18/100+(1-Inputs!$F$140)*AL22/100*Inputs!$F$138/AL11)</f>
        <v>6.33506187201853</v>
      </c>
      <c r="AM45" s="11" t="n">
        <f aca="false">Inputs!$F$139*(Inputs!$F$140*AM18/100+(1-Inputs!$F$140)*AM22/100*Inputs!$F$138/AM11)</f>
        <v>6.40750092684471</v>
      </c>
      <c r="AN45" s="11" t="n">
        <f aca="false">Inputs!$F$139*(Inputs!$F$140*AN18/100+(1-Inputs!$F$140)*AN22/100*Inputs!$F$138/AN11)</f>
        <v>6.48076829507495</v>
      </c>
      <c r="AO45" s="11" t="n">
        <f aca="false">Inputs!$F$139*(Inputs!$F$140*AO18/100+(1-Inputs!$F$140)*AO22/100*Inputs!$F$138/AO11)</f>
        <v>6.55487344816214</v>
      </c>
      <c r="AP45" s="11" t="n">
        <f aca="false">Inputs!$F$139*(Inputs!$F$140*AP18/100+(1-Inputs!$F$140)*AP22/100*Inputs!$F$138/AP11)</f>
        <v>6.62982596586167</v>
      </c>
      <c r="AQ45" s="11" t="n">
        <f aca="false">Inputs!$F$139*(Inputs!$F$140*AQ18/100+(1-Inputs!$F$140)*AQ22/100*Inputs!$F$138/AQ11)</f>
        <v>6.70563553746987</v>
      </c>
      <c r="AR45" s="11" t="n">
        <f aca="false">Inputs!$F$139*(Inputs!$F$140*AR18/100+(1-Inputs!$F$140)*AR22/100*Inputs!$F$138/AR11)</f>
        <v>6.78231196307649</v>
      </c>
      <c r="AS45" s="11" t="n">
        <f aca="false">Inputs!$F$139*(Inputs!$F$140*AS18/100+(1-Inputs!$F$140)*AS22/100*Inputs!$F$138/AS11)</f>
        <v>6.85986515483167</v>
      </c>
      <c r="AT45" s="11" t="n">
        <f aca="false">Inputs!$F$139*(Inputs!$F$140*AT18/100+(1-Inputs!$F$140)*AT22/100*Inputs!$F$138/AT11)</f>
        <v>6.93830513822725</v>
      </c>
      <c r="AU45" s="11" t="n">
        <f aca="false">Inputs!$F$139*(Inputs!$F$140*AU18/100+(1-Inputs!$F$140)*AU22/100*Inputs!$F$138/AU11)</f>
        <v>7.0176420533928</v>
      </c>
      <c r="AV45" s="11" t="n">
        <f aca="false">Inputs!$F$139*(Inputs!$F$140*AV18/100+(1-Inputs!$F$140)*AV22/100*Inputs!$F$138/AV11)</f>
        <v>7.09788615640647</v>
      </c>
      <c r="AW45" s="11" t="n">
        <f aca="false">Inputs!$F$139*(Inputs!$F$140*AW18/100+(1-Inputs!$F$140)*AW22/100*Inputs!$F$138/AW11)</f>
        <v>7.17904782062083</v>
      </c>
      <c r="AX45" s="11" t="n">
        <f aca="false">Inputs!$F$139*(Inputs!$F$140*AX18/100+(1-Inputs!$F$140)*AX22/100*Inputs!$F$138/AX11)</f>
        <v>7.26113753800382</v>
      </c>
      <c r="AY45" s="11" t="n">
        <f aca="false">Inputs!$F$139*(Inputs!$F$140*AY18/100+(1-Inputs!$F$140)*AY22/100*Inputs!$F$138/AY11)</f>
        <v>7.34416592049511</v>
      </c>
      <c r="AZ45" s="11" t="n">
        <f aca="false">Inputs!$F$139*(Inputs!$F$140*AZ18/100+(1-Inputs!$F$140)*AZ22/100*Inputs!$F$138/AZ11)</f>
        <v>7.42814370137791</v>
      </c>
      <c r="BA45" s="11" t="n">
        <f aca="false">Inputs!$F$139*(Inputs!$F$140*BA18/100+(1-Inputs!$F$140)*BA22/100*Inputs!$F$138/BA11)</f>
        <v>7.5130817366665</v>
      </c>
      <c r="BB45" s="11" t="n">
        <f aca="false">Inputs!$F$139*(Inputs!$F$140*BB18/100+(1-Inputs!$F$140)*BB22/100*Inputs!$F$138/BB11)</f>
        <v>7.5989910065096</v>
      </c>
      <c r="BC45" s="11" t="n">
        <f aca="false">Inputs!$F$139*(Inputs!$F$140*BC18/100+(1-Inputs!$F$140)*BC22/100*Inputs!$F$138/BC11)</f>
        <v>7.68588261660982</v>
      </c>
      <c r="BD45" s="11" t="n">
        <f aca="false">Inputs!$F$139*(Inputs!$F$140*BD18/100+(1-Inputs!$F$140)*BD22/100*Inputs!$F$138/BD11)</f>
        <v>7.77376779965932</v>
      </c>
      <c r="BE45" s="11" t="n">
        <f aca="false">Inputs!$F$139*(Inputs!$F$140*BE18/100+(1-Inputs!$F$140)*BE22/100*Inputs!$F$138/BE11)</f>
        <v>7.86265791679185</v>
      </c>
      <c r="BF45" s="11" t="n">
        <f aca="false">Inputs!$F$139*(Inputs!$F$140*BF18/100+(1-Inputs!$F$140)*BF22/100*Inputs!$F$138/BF11)</f>
        <v>7.95256445905148</v>
      </c>
      <c r="BG45" s="11" t="n">
        <f aca="false">Inputs!$F$139*(Inputs!$F$140*BG18/100+(1-Inputs!$F$140)*BG22/100*Inputs!$F$138/BG11)</f>
        <v>8.04349904887806</v>
      </c>
      <c r="BH45" s="11" t="n">
        <f aca="false">Inputs!$F$139*(Inputs!$F$140*BH18/100+(1-Inputs!$F$140)*BH22/100*Inputs!$F$138/BH11)</f>
        <v>8.13547344160966</v>
      </c>
      <c r="BI45" s="11" t="n">
        <f aca="false">Inputs!$F$139*(Inputs!$F$140*BI18/100+(1-Inputs!$F$140)*BI22/100*Inputs!$F$138/BI11)</f>
        <v>8.22849952700225</v>
      </c>
      <c r="BJ45" s="11" t="n">
        <f aca="false">Inputs!$F$139*(Inputs!$F$140*BJ18/100+(1-Inputs!$F$140)*BJ22/100*Inputs!$F$138/BJ11)</f>
        <v>8.32258933076668</v>
      </c>
      <c r="BK45" s="11" t="n">
        <f aca="false">Inputs!$F$139*(Inputs!$F$140*BK18/100+(1-Inputs!$F$140)*BK22/100*Inputs!$F$138/BK11)</f>
        <v>8.4177550161233</v>
      </c>
      <c r="BL45" s="11" t="n">
        <f aca="false">Inputs!$F$139*(Inputs!$F$140*BL18/100+(1-Inputs!$F$140)*BL22/100*Inputs!$F$138/BL11)</f>
        <v>8.51400888537432</v>
      </c>
      <c r="BM45" s="11" t="n">
        <f aca="false">Inputs!$F$139*(Inputs!$F$140*BM18/100+(1-Inputs!$F$140)*BM22/100*Inputs!$F$138/BM11)</f>
        <v>8.61136338149414</v>
      </c>
      <c r="BN45" s="11" t="n">
        <f aca="false">Inputs!$F$139*(Inputs!$F$140*BN18/100+(1-Inputs!$F$140)*BN22/100*Inputs!$F$138/BN11)</f>
        <v>8.70983108973792</v>
      </c>
    </row>
    <row r="46" customFormat="false" ht="15" hidden="false" customHeight="false" outlineLevel="0" collapsed="false">
      <c r="D46" s="0" t="s">
        <v>500</v>
      </c>
      <c r="E46" s="0" t="s">
        <v>149</v>
      </c>
      <c r="G46" s="11" t="n">
        <f aca="false">SUM(J46:BN46)</f>
        <v>575.479732566376</v>
      </c>
      <c r="J46" s="11" t="n">
        <f aca="false">J34*J45/1000000</f>
        <v>0</v>
      </c>
      <c r="K46" s="11" t="n">
        <f aca="false">K34*K45/1000000</f>
        <v>0</v>
      </c>
      <c r="L46" s="11" t="n">
        <f aca="false">L34*L45/1000000</f>
        <v>0</v>
      </c>
      <c r="M46" s="11" t="n">
        <f aca="false">M34*M45/1000000</f>
        <v>0</v>
      </c>
      <c r="N46" s="11" t="n">
        <f aca="false">N34*N45/1000000</f>
        <v>0</v>
      </c>
      <c r="O46" s="11" t="n">
        <f aca="false">O34*O45/1000000</f>
        <v>0</v>
      </c>
      <c r="P46" s="11" t="n">
        <f aca="false">P34*P45/1000000</f>
        <v>1.26661438596605</v>
      </c>
      <c r="Q46" s="11" t="n">
        <f aca="false">Q34*Q45/1000000</f>
        <v>8.42476330767893</v>
      </c>
      <c r="R46" s="11" t="n">
        <f aca="false">R34*R45/1000000</f>
        <v>8.00024564759685</v>
      </c>
      <c r="S46" s="11" t="n">
        <f aca="false">S34*S45/1000000</f>
        <v>7.44846644551775</v>
      </c>
      <c r="T46" s="11" t="n">
        <f aca="false">T34*T45/1000000</f>
        <v>7.88043115569634</v>
      </c>
      <c r="U46" s="11" t="n">
        <f aca="false">U34*U45/1000000</f>
        <v>8.26998723119478</v>
      </c>
      <c r="V46" s="11" t="n">
        <f aca="false">V34*V45/1000000</f>
        <v>8.6872785939785</v>
      </c>
      <c r="W46" s="11" t="n">
        <f aca="false">W34*W45/1000000</f>
        <v>8.77994714692147</v>
      </c>
      <c r="X46" s="11" t="n">
        <f aca="false">X34*X45/1000000</f>
        <v>9.14822789330573</v>
      </c>
      <c r="Y46" s="11" t="n">
        <f aca="false">Y34*Y45/1000000</f>
        <v>9.66032224628101</v>
      </c>
      <c r="Z46" s="11" t="n">
        <f aca="false">Z34*Z45/1000000</f>
        <v>9.84457964690187</v>
      </c>
      <c r="AA46" s="11" t="n">
        <f aca="false">AA34*AA45/1000000</f>
        <v>9.90396782664646</v>
      </c>
      <c r="AB46" s="11" t="n">
        <f aca="false">AB34*AB45/1000000</f>
        <v>10.0430991191616</v>
      </c>
      <c r="AC46" s="11" t="n">
        <f aca="false">AC34*AC45/1000000</f>
        <v>10.2481433848821</v>
      </c>
      <c r="AD46" s="11" t="n">
        <f aca="false">AD34*AD45/1000000</f>
        <v>10.2717000295098</v>
      </c>
      <c r="AE46" s="11" t="n">
        <f aca="false">AE34*AE45/1000000</f>
        <v>9.90661195105354</v>
      </c>
      <c r="AF46" s="11" t="n">
        <f aca="false">AF34*AF45/1000000</f>
        <v>10.1082382661574</v>
      </c>
      <c r="AG46" s="11" t="n">
        <f aca="false">AG34*AG45/1000000</f>
        <v>10.7009125927665</v>
      </c>
      <c r="AH46" s="11" t="n">
        <f aca="false">AH34*AH45/1000000</f>
        <v>10.7977584428985</v>
      </c>
      <c r="AI46" s="11" t="n">
        <f aca="false">AI34*AI45/1000000</f>
        <v>10.8255292211028</v>
      </c>
      <c r="AJ46" s="11" t="n">
        <f aca="false">AJ34*AJ45/1000000</f>
        <v>10.9586522460194</v>
      </c>
      <c r="AK46" s="11" t="n">
        <f aca="false">AK34*AK45/1000000</f>
        <v>11.1647936372617</v>
      </c>
      <c r="AL46" s="11" t="n">
        <f aca="false">AL34*AL45/1000000</f>
        <v>11.2196977901292</v>
      </c>
      <c r="AM46" s="11" t="n">
        <f aca="false">AM34*AM45/1000000</f>
        <v>11.0151265403568</v>
      </c>
      <c r="AN46" s="11" t="n">
        <f aca="false">AN34*AN45/1000000</f>
        <v>11.1981140142931</v>
      </c>
      <c r="AO46" s="11" t="n">
        <f aca="false">AO34*AO45/1000000</f>
        <v>11.6486756063812</v>
      </c>
      <c r="AP46" s="11" t="n">
        <f aca="false">AP34*AP45/1000000</f>
        <v>11.7540443272279</v>
      </c>
      <c r="AQ46" s="11" t="n">
        <f aca="false">AQ34*AQ45/1000000</f>
        <v>11.7842197413444</v>
      </c>
      <c r="AR46" s="11" t="n">
        <f aca="false">AR34*AR45/1000000</f>
        <v>11.9290763190478</v>
      </c>
      <c r="AS46" s="11" t="n">
        <f aca="false">AS34*AS45/1000000</f>
        <v>12.1534154679028</v>
      </c>
      <c r="AT46" s="11" t="n">
        <f aca="false">AT34*AT45/1000000</f>
        <v>12.1716571823603</v>
      </c>
      <c r="AU46" s="11" t="n">
        <f aca="false">AU34*AU45/1000000</f>
        <v>11.7389294762377</v>
      </c>
      <c r="AV46" s="11" t="n">
        <f aca="false">AV34*AV45/1000000</f>
        <v>11.9777367525243</v>
      </c>
      <c r="AW46" s="11" t="n">
        <f aca="false">AW34*AW45/1000000</f>
        <v>12.6799066363533</v>
      </c>
      <c r="AX46" s="11" t="n">
        <f aca="false">AX34*AX45/1000000</f>
        <v>12.7945432326516</v>
      </c>
      <c r="AY46" s="11" t="n">
        <f aca="false">AY34*AY45/1000000</f>
        <v>12.827329426694</v>
      </c>
      <c r="AZ46" s="11" t="n">
        <f aca="false">AZ34*AZ45/1000000</f>
        <v>12.984947083134</v>
      </c>
      <c r="BA46" s="11" t="n">
        <f aca="false">BA34*BA45/1000000</f>
        <v>13.2290805093795</v>
      </c>
      <c r="BB46" s="11" t="n">
        <f aca="false">BB34*BB45/1000000</f>
        <v>13.2940109667961</v>
      </c>
      <c r="BC46" s="11" t="n">
        <f aca="false">BC34*BC45/1000000</f>
        <v>13.0514953327803</v>
      </c>
      <c r="BD46" s="11" t="n">
        <f aca="false">BD34*BD45/1000000</f>
        <v>13.2681865364174</v>
      </c>
      <c r="BE46" s="11" t="n">
        <f aca="false">BE34*BE45/1000000</f>
        <v>13.8019080681853</v>
      </c>
      <c r="BF46" s="11" t="n">
        <f aca="false">BF34*BF45/1000000</f>
        <v>13.926622147405</v>
      </c>
      <c r="BG46" s="11" t="n">
        <f aca="false">BG34*BG45/1000000</f>
        <v>13.9622427208493</v>
      </c>
      <c r="BH46" s="11" t="n">
        <f aca="false">BH34*BH45/1000000</f>
        <v>14.1337382771442</v>
      </c>
      <c r="BI46" s="11" t="n">
        <f aca="false">BI34*BI45/1000000</f>
        <v>14.3994015446713</v>
      </c>
      <c r="BJ46" s="11" t="n">
        <f aca="false">BJ34*BJ45/1000000</f>
        <v>14.4208770366749</v>
      </c>
      <c r="BK46" s="11" t="n">
        <f aca="false">BK34*BK45/1000000</f>
        <v>13.9080522265621</v>
      </c>
      <c r="BL46" s="11" t="n">
        <f aca="false">BL34*BL45/1000000</f>
        <v>14.1908508087696</v>
      </c>
      <c r="BM46" s="11" t="n">
        <f aca="false">BM34*BM45/1000000</f>
        <v>15.0226161580181</v>
      </c>
      <c r="BN46" s="11" t="n">
        <f aca="false">BN34*BN45/1000000</f>
        <v>12.652960217585</v>
      </c>
    </row>
    <row r="47" customFormat="false" ht="15" hidden="false" customHeight="false" outlineLevel="0" collapsed="false">
      <c r="D47" s="0" t="s">
        <v>501</v>
      </c>
      <c r="E47" s="0" t="s">
        <v>149</v>
      </c>
      <c r="G47" s="11" t="n">
        <f aca="false">SUM(J47:BN47)</f>
        <v>4901.59159924169</v>
      </c>
      <c r="J47" s="11" t="n">
        <f aca="false">J34*J36*(1000*Inputs!$F$123/Inputs!$F$124)*J37/1000000</f>
        <v>0</v>
      </c>
      <c r="K47" s="11" t="n">
        <f aca="false">K34*K36*(1000*Inputs!$F$123/Inputs!$F$124)*K37/1000000</f>
        <v>0</v>
      </c>
      <c r="L47" s="11" t="n">
        <f aca="false">L34*L36*(1000*Inputs!$F$123/Inputs!$F$124)*L37/1000000</f>
        <v>0</v>
      </c>
      <c r="M47" s="11" t="n">
        <f aca="false">M34*M36*(1000*Inputs!$F$123/Inputs!$F$124)*M37/1000000</f>
        <v>0</v>
      </c>
      <c r="N47" s="11" t="n">
        <f aca="false">N34*N36*(1000*Inputs!$F$123/Inputs!$F$124)*N37/1000000</f>
        <v>0</v>
      </c>
      <c r="O47" s="11" t="n">
        <f aca="false">O34*O36*(1000*Inputs!$F$123/Inputs!$F$124)*O37/1000000</f>
        <v>0</v>
      </c>
      <c r="P47" s="11" t="n">
        <f aca="false">P34*P36*(1000*Inputs!$F$123/Inputs!$F$124)*P37/1000000</f>
        <v>12.7474357593207</v>
      </c>
      <c r="Q47" s="11" t="n">
        <f aca="false">Q34*Q36*(1000*Inputs!$F$123/Inputs!$F$124)*Q37/1000000</f>
        <v>85.6502615009521</v>
      </c>
      <c r="R47" s="11" t="n">
        <f aca="false">R34*R36*(1000*Inputs!$F$123/Inputs!$F$124)*R37/1000000</f>
        <v>82.9474374816999</v>
      </c>
      <c r="S47" s="11" t="n">
        <f aca="false">S34*S36*(1000*Inputs!$F$123/Inputs!$F$124)*S37/1000000</f>
        <v>78.7599742483568</v>
      </c>
      <c r="T47" s="11" t="n">
        <f aca="false">T34*T36*(1000*Inputs!$F$123/Inputs!$F$124)*T37/1000000</f>
        <v>78.8672207281559</v>
      </c>
      <c r="U47" s="11" t="n">
        <f aca="false">U34*U36*(1000*Inputs!$F$123/Inputs!$F$124)*U37/1000000</f>
        <v>81.0724174414755</v>
      </c>
      <c r="V47" s="11" t="n">
        <f aca="false">V34*V36*(1000*Inputs!$F$123/Inputs!$F$124)*V37/1000000</f>
        <v>80.5909620115782</v>
      </c>
      <c r="W47" s="11" t="n">
        <f aca="false">W34*W36*(1000*Inputs!$F$123/Inputs!$F$124)*W37/1000000</f>
        <v>79.8320900308212</v>
      </c>
      <c r="X47" s="11" t="n">
        <f aca="false">X34*X36*(1000*Inputs!$F$123/Inputs!$F$124)*X37/1000000</f>
        <v>80.2814943979829</v>
      </c>
      <c r="Y47" s="11" t="n">
        <f aca="false">Y34*Y36*(1000*Inputs!$F$123/Inputs!$F$124)*Y37/1000000</f>
        <v>84.2616072128242</v>
      </c>
      <c r="Z47" s="11" t="n">
        <f aca="false">Z34*Z36*(1000*Inputs!$F$123/Inputs!$F$124)*Z37/1000000</f>
        <v>84.1052028840303</v>
      </c>
      <c r="AA47" s="11" t="n">
        <f aca="false">AA34*AA36*(1000*Inputs!$F$123/Inputs!$F$124)*AA37/1000000</f>
        <v>85.0782978110295</v>
      </c>
      <c r="AB47" s="11" t="n">
        <f aca="false">AB34*AB36*(1000*Inputs!$F$123/Inputs!$F$124)*AB37/1000000</f>
        <v>85.1935911690799</v>
      </c>
      <c r="AC47" s="11" t="n">
        <f aca="false">AC34*AC36*(1000*Inputs!$F$123/Inputs!$F$124)*AC37/1000000</f>
        <v>87.5751060575128</v>
      </c>
      <c r="AD47" s="11" t="n">
        <f aca="false">AD34*AD36*(1000*Inputs!$F$123/Inputs!$F$124)*AD37/1000000</f>
        <v>86.758889656688</v>
      </c>
      <c r="AE47" s="11" t="n">
        <f aca="false">AE34*AE36*(1000*Inputs!$F$123/Inputs!$F$124)*AE37/1000000</f>
        <v>84.4257220958956</v>
      </c>
      <c r="AF47" s="11" t="n">
        <f aca="false">AF34*AF36*(1000*Inputs!$F$123/Inputs!$F$124)*AF37/1000000</f>
        <v>85.212400239831</v>
      </c>
      <c r="AG47" s="11" t="n">
        <f aca="false">AG34*AG36*(1000*Inputs!$F$123/Inputs!$F$124)*AG37/1000000</f>
        <v>91.0177102868353</v>
      </c>
      <c r="AH47" s="11" t="n">
        <f aca="false">AH34*AH36*(1000*Inputs!$F$123/Inputs!$F$124)*AH37/1000000</f>
        <v>90.8481690991381</v>
      </c>
      <c r="AI47" s="11" t="n">
        <f aca="false">AI34*AI36*(1000*Inputs!$F$123/Inputs!$F$124)*AI37/1000000</f>
        <v>91.8986762616863</v>
      </c>
      <c r="AJ47" s="11" t="n">
        <f aca="false">AJ34*AJ36*(1000*Inputs!$F$123/Inputs!$F$124)*AJ37/1000000</f>
        <v>92.0226072379984</v>
      </c>
      <c r="AK47" s="11" t="n">
        <f aca="false">AK34*AK36*(1000*Inputs!$F$123/Inputs!$F$124)*AK37/1000000</f>
        <v>94.5943991409492</v>
      </c>
      <c r="AL47" s="11" t="n">
        <f aca="false">AL34*AL36*(1000*Inputs!$F$123/Inputs!$F$124)*AL37/1000000</f>
        <v>94.031407760169</v>
      </c>
      <c r="AM47" s="11" t="n">
        <f aca="false">AM34*AM36*(1000*Inputs!$F$123/Inputs!$F$124)*AM37/1000000</f>
        <v>93.1447521523658</v>
      </c>
      <c r="AN47" s="11" t="n">
        <f aca="false">AN34*AN36*(1000*Inputs!$F$123/Inputs!$F$124)*AN37/1000000</f>
        <v>93.6678667990417</v>
      </c>
      <c r="AO47" s="11" t="n">
        <f aca="false">AO34*AO36*(1000*Inputs!$F$123/Inputs!$F$124)*AO37/1000000</f>
        <v>98.3103416716607</v>
      </c>
      <c r="AP47" s="11" t="n">
        <f aca="false">AP34*AP36*(1000*Inputs!$F$123/Inputs!$F$124)*AP37/1000000</f>
        <v>98.1265681974824</v>
      </c>
      <c r="AQ47" s="11" t="n">
        <f aca="false">AQ34*AQ36*(1000*Inputs!$F$123/Inputs!$F$124)*AQ37/1000000</f>
        <v>99.2605817716774</v>
      </c>
      <c r="AR47" s="11" t="n">
        <f aca="false">AR34*AR36*(1000*Inputs!$F$123/Inputs!$F$124)*AR37/1000000</f>
        <v>99.3937832292389</v>
      </c>
      <c r="AS47" s="11" t="n">
        <f aca="false">AS34*AS36*(1000*Inputs!$F$123/Inputs!$F$124)*AS37/1000000</f>
        <v>102.17090387996</v>
      </c>
      <c r="AT47" s="11" t="n">
        <f aca="false">AT34*AT36*(1000*Inputs!$F$123/Inputs!$F$124)*AT37/1000000</f>
        <v>101.217314841923</v>
      </c>
      <c r="AU47" s="11" t="n">
        <f aca="false">AU34*AU36*(1000*Inputs!$F$123/Inputs!$F$124)*AU37/1000000</f>
        <v>98.4940212879942</v>
      </c>
      <c r="AV47" s="11" t="n">
        <f aca="false">AV34*AV36*(1000*Inputs!$F$123/Inputs!$F$124)*AV37/1000000</f>
        <v>99.4104724700738</v>
      </c>
      <c r="AW47" s="11" t="n">
        <f aca="false">AW34*AW36*(1000*Inputs!$F$123/Inputs!$F$124)*AW37/1000000</f>
        <v>106.181656117547</v>
      </c>
      <c r="AX47" s="11" t="n">
        <f aca="false">AX34*AX36*(1000*Inputs!$F$123/Inputs!$F$124)*AX37/1000000</f>
        <v>105.982464224198</v>
      </c>
      <c r="AY47" s="11" t="n">
        <f aca="false">AY34*AY36*(1000*Inputs!$F$123/Inputs!$F$124)*AY37/1000000</f>
        <v>107.206552453022</v>
      </c>
      <c r="AZ47" s="11" t="n">
        <f aca="false">AZ34*AZ36*(1000*Inputs!$F$123/Inputs!$F$124)*AZ37/1000000</f>
        <v>107.349702259629</v>
      </c>
      <c r="BA47" s="11" t="n">
        <f aca="false">BA34*BA36*(1000*Inputs!$F$123/Inputs!$F$124)*BA37/1000000</f>
        <v>110.348380761902</v>
      </c>
      <c r="BB47" s="11" t="n">
        <f aca="false">BB34*BB36*(1000*Inputs!$F$123/Inputs!$F$124)*BB37/1000000</f>
        <v>109.690169270263</v>
      </c>
      <c r="BC47" s="11" t="n">
        <f aca="false">BC34*BC36*(1000*Inputs!$F$123/Inputs!$F$124)*BC37/1000000</f>
        <v>108.654416087526</v>
      </c>
      <c r="BD47" s="11" t="n">
        <f aca="false">BD34*BD36*(1000*Inputs!$F$123/Inputs!$F$124)*BD37/1000000</f>
        <v>109.263180487887</v>
      </c>
      <c r="BE47" s="11" t="n">
        <f aca="false">BE34*BE36*(1000*Inputs!$F$123/Inputs!$F$124)*BE37/1000000</f>
        <v>114.677080174812</v>
      </c>
      <c r="BF47" s="11" t="n">
        <f aca="false">BF34*BF36*(1000*Inputs!$F$123/Inputs!$F$124)*BF37/1000000</f>
        <v>114.461185565561</v>
      </c>
      <c r="BG47" s="11" t="n">
        <f aca="false">BG34*BG36*(1000*Inputs!$F$123/Inputs!$F$124)*BG37/1000000</f>
        <v>115.782427124093</v>
      </c>
      <c r="BH47" s="11" t="n">
        <f aca="false">BH34*BH36*(1000*Inputs!$F$123/Inputs!$F$124)*BH37/1000000</f>
        <v>115.936251219054</v>
      </c>
      <c r="BI47" s="11" t="n">
        <f aca="false">BI34*BI36*(1000*Inputs!$F$123/Inputs!$F$124)*BI37/1000000</f>
        <v>119.173984954597</v>
      </c>
      <c r="BJ47" s="11" t="n">
        <f aca="false">BJ34*BJ36*(1000*Inputs!$F$123/Inputs!$F$124)*BJ37/1000000</f>
        <v>118.060121925624</v>
      </c>
      <c r="BK47" s="11" t="n">
        <f aca="false">BK34*BK36*(1000*Inputs!$F$123/Inputs!$F$124)*BK37/1000000</f>
        <v>114.882127395559</v>
      </c>
      <c r="BL47" s="11" t="n">
        <f aca="false">BL34*BL36*(1000*Inputs!$F$123/Inputs!$F$124)*BL37/1000000</f>
        <v>115.949510089741</v>
      </c>
      <c r="BM47" s="11" t="n">
        <f aca="false">BM34*BM36*(1000*Inputs!$F$123/Inputs!$F$124)*BM37/1000000</f>
        <v>123.845562492629</v>
      </c>
      <c r="BN47" s="11" t="n">
        <f aca="false">BN34*BN36*(1000*Inputs!$F$123/Inputs!$F$124)*BN37/1000000</f>
        <v>103.177139822621</v>
      </c>
    </row>
    <row r="48" customFormat="false" ht="15" hidden="false" customHeight="false" outlineLevel="0" collapsed="false">
      <c r="D48" s="0" t="s">
        <v>502</v>
      </c>
      <c r="E48" s="0" t="s">
        <v>149</v>
      </c>
      <c r="G48" s="11" t="n">
        <f aca="false">SUM(J48:BN48)</f>
        <v>696.384199649914</v>
      </c>
      <c r="J48" s="11" t="n">
        <f aca="false">Inputs!$F$146*Time!J26*Inputs!$F$147*(1+Inputs!$F$149/100)^(Time!J21-2018)/1000000</f>
        <v>0</v>
      </c>
      <c r="K48" s="11" t="n">
        <f aca="false">Inputs!$F$146*Time!K26*Inputs!$F$147*(1+Inputs!$F$149/100)^(Time!K21-2018)/1000000</f>
        <v>0</v>
      </c>
      <c r="L48" s="11" t="n">
        <f aca="false">Inputs!$F$146*Time!L26*Inputs!$F$147*(1+Inputs!$F$149/100)^(Time!L21-2018)/1000000</f>
        <v>0</v>
      </c>
      <c r="M48" s="11" t="n">
        <f aca="false">Inputs!$F$146*Time!M26*Inputs!$F$147*(1+Inputs!$F$149/100)^(Time!M21-2018)/1000000</f>
        <v>0</v>
      </c>
      <c r="N48" s="11" t="n">
        <f aca="false">Inputs!$F$146*Time!N26*Inputs!$F$147*(1+Inputs!$F$149/100)^(Time!N21-2018)/1000000</f>
        <v>0</v>
      </c>
      <c r="O48" s="11" t="n">
        <f aca="false">Inputs!$F$146*Time!O26*Inputs!$F$147*(1+Inputs!$F$149/100)^(Time!O21-2018)/1000000</f>
        <v>0</v>
      </c>
      <c r="P48" s="11" t="n">
        <f aca="false">Inputs!$F$146*Time!P26*Inputs!$F$147*(1+Inputs!$F$149/100)^(Time!P21-2018)/1000000</f>
        <v>1.93945105246375</v>
      </c>
      <c r="Q48" s="11" t="n">
        <f aca="false">Inputs!$F$146*Time!Q26*Inputs!$F$147*(1+Inputs!$F$149/100)^(Time!Q21-2018)/1000000</f>
        <v>11.4937500033348</v>
      </c>
      <c r="R48" s="11" t="n">
        <f aca="false">Inputs!$F$146*Time!R26*Inputs!$F$147*(1+Inputs!$F$149/100)^(Time!R21-2018)/1000000</f>
        <v>11.6842541470364</v>
      </c>
      <c r="S48" s="11" t="n">
        <f aca="false">Inputs!$F$146*Time!S26*Inputs!$F$147*(1+Inputs!$F$149/100)^(Time!S21-2018)/1000000</f>
        <v>11.6661562533848</v>
      </c>
      <c r="T48" s="11" t="n">
        <f aca="false">Inputs!$F$146*Time!T26*Inputs!$F$147*(1+Inputs!$F$149/100)^(Time!T21-2018)/1000000</f>
        <v>11.859517959242</v>
      </c>
      <c r="U48" s="11" t="n">
        <f aca="false">Inputs!$F$146*Time!U26*Inputs!$F$147*(1+Inputs!$F$149/100)^(Time!U21-2018)/1000000</f>
        <v>11.9065693076672</v>
      </c>
      <c r="V48" s="11" t="n">
        <f aca="false">Inputs!$F$146*Time!V26*Inputs!$F$147*(1+Inputs!$F$149/100)^(Time!V21-2018)/1000000</f>
        <v>12.0374107286306</v>
      </c>
      <c r="W48" s="11" t="n">
        <f aca="false">Inputs!$F$146*Time!W26*Inputs!$F$147*(1+Inputs!$F$149/100)^(Time!W21-2018)/1000000</f>
        <v>12.0187658261433</v>
      </c>
      <c r="X48" s="11" t="n">
        <f aca="false">Inputs!$F$146*Time!X26*Inputs!$F$147*(1+Inputs!$F$149/100)^(Time!X21-2018)/1000000</f>
        <v>12.2179718895601</v>
      </c>
      <c r="Y48" s="11" t="n">
        <f aca="false">Inputs!$F$146*Time!Y26*Inputs!$F$147*(1+Inputs!$F$149/100)^(Time!Y21-2018)/1000000</f>
        <v>12.1990473135355</v>
      </c>
      <c r="Z48" s="11" t="n">
        <f aca="false">Inputs!$F$146*Time!Z26*Inputs!$F$147*(1+Inputs!$F$149/100)^(Time!Z21-2018)/1000000</f>
        <v>12.4012414679035</v>
      </c>
      <c r="AA48" s="11" t="n">
        <f aca="false">Inputs!$F$146*Time!AA26*Inputs!$F$147*(1+Inputs!$F$149/100)^(Time!AA21-2018)/1000000</f>
        <v>12.3820330232385</v>
      </c>
      <c r="AB48" s="11" t="n">
        <f aca="false">Inputs!$F$146*Time!AB26*Inputs!$F$147*(1+Inputs!$F$149/100)^(Time!AB21-2018)/1000000</f>
        <v>12.587260089922</v>
      </c>
      <c r="AC48" s="11" t="n">
        <f aca="false">Inputs!$F$146*Time!AC26*Inputs!$F$147*(1+Inputs!$F$149/100)^(Time!AC21-2018)/1000000</f>
        <v>12.6371986761484</v>
      </c>
      <c r="AD48" s="11" t="n">
        <f aca="false">Inputs!$F$146*Time!AD26*Inputs!$F$147*(1+Inputs!$F$149/100)^(Time!AD21-2018)/1000000</f>
        <v>12.7760689912709</v>
      </c>
      <c r="AE48" s="11" t="n">
        <f aca="false">Inputs!$F$146*Time!AE26*Inputs!$F$147*(1+Inputs!$F$149/100)^(Time!AE21-2018)/1000000</f>
        <v>12.7562799713659</v>
      </c>
      <c r="AF48" s="11" t="n">
        <f aca="false">Inputs!$F$146*Time!AF26*Inputs!$F$147*(1+Inputs!$F$149/100)^(Time!AF21-2018)/1000000</f>
        <v>12.9677100261399</v>
      </c>
      <c r="AG48" s="11" t="n">
        <f aca="false">Inputs!$F$146*Time!AG26*Inputs!$F$147*(1+Inputs!$F$149/100)^(Time!AG21-2018)/1000000</f>
        <v>12.9476241709364</v>
      </c>
      <c r="AH48" s="11" t="n">
        <f aca="false">Inputs!$F$146*Time!AH26*Inputs!$F$147*(1+Inputs!$F$149/100)^(Time!AH21-2018)/1000000</f>
        <v>13.162225676532</v>
      </c>
      <c r="AI48" s="11" t="n">
        <f aca="false">Inputs!$F$146*Time!AI26*Inputs!$F$147*(1+Inputs!$F$149/100)^(Time!AI21-2018)/1000000</f>
        <v>13.1418385335004</v>
      </c>
      <c r="AJ48" s="11" t="n">
        <f aca="false">Inputs!$F$146*Time!AJ26*Inputs!$F$147*(1+Inputs!$F$149/100)^(Time!AJ21-2018)/1000000</f>
        <v>13.35965906168</v>
      </c>
      <c r="AK48" s="11" t="n">
        <f aca="false">Inputs!$F$146*Time!AK26*Inputs!$F$147*(1+Inputs!$F$149/100)^(Time!AK21-2018)/1000000</f>
        <v>13.4126620568704</v>
      </c>
      <c r="AL48" s="11" t="n">
        <f aca="false">Inputs!$F$146*Time!AL26*Inputs!$F$147*(1+Inputs!$F$149/100)^(Time!AL21-2018)/1000000</f>
        <v>13.5600539476052</v>
      </c>
      <c r="AM48" s="11" t="n">
        <f aca="false">Inputs!$F$146*Time!AM26*Inputs!$F$147*(1+Inputs!$F$149/100)^(Time!AM21-2018)/1000000</f>
        <v>13.5390506031755</v>
      </c>
      <c r="AN48" s="11" t="n">
        <f aca="false">Inputs!$F$146*Time!AN26*Inputs!$F$147*(1+Inputs!$F$149/100)^(Time!AN21-2018)/1000000</f>
        <v>13.7634547568193</v>
      </c>
      <c r="AO48" s="11" t="n">
        <f aca="false">Inputs!$F$146*Time!AO26*Inputs!$F$147*(1+Inputs!$F$149/100)^(Time!AO21-2018)/1000000</f>
        <v>13.7421363622231</v>
      </c>
      <c r="AP48" s="11" t="n">
        <f aca="false">Inputs!$F$146*Time!AP26*Inputs!$F$147*(1+Inputs!$F$149/100)^(Time!AP21-2018)/1000000</f>
        <v>13.9699065781716</v>
      </c>
      <c r="AQ48" s="11" t="n">
        <f aca="false">Inputs!$F$146*Time!AQ26*Inputs!$F$147*(1+Inputs!$F$149/100)^(Time!AQ21-2018)/1000000</f>
        <v>13.9482684076565</v>
      </c>
      <c r="AR48" s="11" t="n">
        <f aca="false">Inputs!$F$146*Time!AR26*Inputs!$F$147*(1+Inputs!$F$149/100)^(Time!AR21-2018)/1000000</f>
        <v>14.1794551768441</v>
      </c>
      <c r="AS48" s="11" t="n">
        <f aca="false">Inputs!$F$146*Time!AS26*Inputs!$F$147*(1+Inputs!$F$149/100)^(Time!AS21-2018)/1000000</f>
        <v>14.2357106240131</v>
      </c>
      <c r="AT48" s="11" t="n">
        <f aca="false">Inputs!$F$146*Time!AT26*Inputs!$F$147*(1+Inputs!$F$149/100)^(Time!AT21-2018)/1000000</f>
        <v>14.3921470044968</v>
      </c>
      <c r="AU48" s="11" t="n">
        <f aca="false">Inputs!$F$146*Time!AU26*Inputs!$F$147*(1+Inputs!$F$149/100)^(Time!AU21-2018)/1000000</f>
        <v>14.3698548202779</v>
      </c>
      <c r="AV48" s="11" t="n">
        <f aca="false">Inputs!$F$146*Time!AV26*Inputs!$F$147*(1+Inputs!$F$149/100)^(Time!AV21-2018)/1000000</f>
        <v>14.6080292095642</v>
      </c>
      <c r="AW48" s="11" t="n">
        <f aca="false">Inputs!$F$146*Time!AW26*Inputs!$F$147*(1+Inputs!$F$149/100)^(Time!AW21-2018)/1000000</f>
        <v>14.585402642582</v>
      </c>
      <c r="AX48" s="11" t="n">
        <f aca="false">Inputs!$F$146*Time!AX26*Inputs!$F$147*(1+Inputs!$F$149/100)^(Time!AX21-2018)/1000000</f>
        <v>14.8271496477077</v>
      </c>
      <c r="AY48" s="11" t="n">
        <f aca="false">Inputs!$F$146*Time!AY26*Inputs!$F$147*(1+Inputs!$F$149/100)^(Time!AY21-2018)/1000000</f>
        <v>14.8041836822208</v>
      </c>
      <c r="AZ48" s="11" t="n">
        <f aca="false">Inputs!$F$146*Time!AZ26*Inputs!$F$147*(1+Inputs!$F$149/100)^(Time!AZ21-2018)/1000000</f>
        <v>15.0495568924233</v>
      </c>
      <c r="BA48" s="11" t="n">
        <f aca="false">Inputs!$F$146*Time!BA26*Inputs!$F$147*(1+Inputs!$F$149/100)^(Time!BA21-2018)/1000000</f>
        <v>15.1092643735726</v>
      </c>
      <c r="BB48" s="11" t="n">
        <f aca="false">Inputs!$F$146*Time!BB26*Inputs!$F$147*(1+Inputs!$F$149/100)^(Time!BB21-2018)/1000000</f>
        <v>15.2753002458097</v>
      </c>
      <c r="BC48" s="11" t="n">
        <f aca="false">Inputs!$F$146*Time!BC26*Inputs!$F$147*(1+Inputs!$F$149/100)^(Time!BC21-2018)/1000000</f>
        <v>15.2516401340159</v>
      </c>
      <c r="BD48" s="11" t="n">
        <f aca="false">Inputs!$F$146*Time!BD26*Inputs!$F$147*(1+Inputs!$F$149/100)^(Time!BD21-2018)/1000000</f>
        <v>15.5044297494968</v>
      </c>
      <c r="BE48" s="11" t="n">
        <f aca="false">Inputs!$F$146*Time!BE26*Inputs!$F$147*(1+Inputs!$F$149/100)^(Time!BE21-2018)/1000000</f>
        <v>15.4804147360261</v>
      </c>
      <c r="BF48" s="11" t="n">
        <f aca="false">Inputs!$F$146*Time!BF26*Inputs!$F$147*(1+Inputs!$F$149/100)^(Time!BF21-2018)/1000000</f>
        <v>15.7369961957393</v>
      </c>
      <c r="BG48" s="11" t="n">
        <f aca="false">Inputs!$F$146*Time!BG26*Inputs!$F$147*(1+Inputs!$F$149/100)^(Time!BG21-2018)/1000000</f>
        <v>15.7126209570665</v>
      </c>
      <c r="BH48" s="11" t="n">
        <f aca="false">Inputs!$F$146*Time!BH26*Inputs!$F$147*(1+Inputs!$F$149/100)^(Time!BH21-2018)/1000000</f>
        <v>15.9730511386753</v>
      </c>
      <c r="BI48" s="11" t="n">
        <f aca="false">Inputs!$F$146*Time!BI26*Inputs!$F$147*(1+Inputs!$F$149/100)^(Time!BI21-2018)/1000000</f>
        <v>16.0364224828668</v>
      </c>
      <c r="BJ48" s="11" t="n">
        <f aca="false">Inputs!$F$146*Time!BJ26*Inputs!$F$147*(1+Inputs!$F$149/100)^(Time!BJ21-2018)/1000000</f>
        <v>16.2126469057555</v>
      </c>
      <c r="BK48" s="11" t="n">
        <f aca="false">Inputs!$F$146*Time!BK26*Inputs!$F$147*(1+Inputs!$F$149/100)^(Time!BK21-2018)/1000000</f>
        <v>16.1875349254938</v>
      </c>
      <c r="BL48" s="11" t="n">
        <f aca="false">Inputs!$F$146*Time!BL26*Inputs!$F$147*(1+Inputs!$F$149/100)^(Time!BL21-2018)/1000000</f>
        <v>16.4558366093418</v>
      </c>
      <c r="BM48" s="11" t="n">
        <f aca="false">Inputs!$F$146*Time!BM26*Inputs!$F$147*(1+Inputs!$F$149/100)^(Time!BM21-2018)/1000000</f>
        <v>16.4303479493762</v>
      </c>
      <c r="BN48" s="11" t="n">
        <f aca="false">Inputs!$F$146*Time!BN26*Inputs!$F$147*(1+Inputs!$F$149/100)^(Time!BN21-2018)/1000000</f>
        <v>13.8886366643899</v>
      </c>
    </row>
    <row r="49" customFormat="false" ht="15" hidden="false" customHeight="false" outlineLevel="0" collapsed="false">
      <c r="D49" s="0" t="s">
        <v>503</v>
      </c>
      <c r="E49" s="0" t="s">
        <v>149</v>
      </c>
      <c r="G49" s="11" t="n">
        <f aca="false">SUM(J49:BN49)</f>
        <v>147.06187326324</v>
      </c>
      <c r="J49" s="11" t="n">
        <f aca="false">J38*Inputs!$F$148*(1+Inputs!$F$149/100)^(Time!J21-2018)/1000000</f>
        <v>0</v>
      </c>
      <c r="K49" s="11" t="n">
        <f aca="false">K38*Inputs!$F$148*(1+Inputs!$F$149/100)^(Time!K21-2018)/1000000</f>
        <v>0</v>
      </c>
      <c r="L49" s="11" t="n">
        <f aca="false">L38*Inputs!$F$148*(1+Inputs!$F$149/100)^(Time!L21-2018)/1000000</f>
        <v>0</v>
      </c>
      <c r="M49" s="11" t="n">
        <f aca="false">M38*Inputs!$F$148*(1+Inputs!$F$149/100)^(Time!M21-2018)/1000000</f>
        <v>0</v>
      </c>
      <c r="N49" s="11" t="n">
        <f aca="false">N38*Inputs!$F$148*(1+Inputs!$F$149/100)^(Time!N21-2018)/1000000</f>
        <v>0</v>
      </c>
      <c r="O49" s="11" t="n">
        <f aca="false">O38*Inputs!$F$148*(1+Inputs!$F$149/100)^(Time!O21-2018)/1000000</f>
        <v>0</v>
      </c>
      <c r="P49" s="11" t="n">
        <f aca="false">P38*Inputs!$F$148*(1+Inputs!$F$149/100)^(Time!P21-2018)/1000000</f>
        <v>0.408123661554118</v>
      </c>
      <c r="Q49" s="11" t="n">
        <f aca="false">Q38*Inputs!$F$148*(1+Inputs!$F$149/100)^(Time!Q21-2018)/1000000</f>
        <v>2.72890759143673</v>
      </c>
      <c r="R49" s="11" t="n">
        <f aca="false">R38*Inputs!$F$148*(1+Inputs!$F$149/100)^(Time!R21-2018)/1000000</f>
        <v>2.64305672353769</v>
      </c>
      <c r="S49" s="11" t="n">
        <f aca="false">S38*Inputs!$F$148*(1+Inputs!$F$149/100)^(Time!S21-2018)/1000000</f>
        <v>2.497573467346</v>
      </c>
      <c r="T49" s="11" t="n">
        <f aca="false">T38*Inputs!$F$148*(1+Inputs!$F$149/100)^(Time!T21-2018)/1000000</f>
        <v>2.50122362313011</v>
      </c>
      <c r="U49" s="11" t="n">
        <f aca="false">U38*Inputs!$F$148*(1+Inputs!$F$149/100)^(Time!U21-2018)/1000000</f>
        <v>2.55881100499938</v>
      </c>
      <c r="V49" s="11" t="n">
        <f aca="false">V38*Inputs!$F$148*(1+Inputs!$F$149/100)^(Time!V21-2018)/1000000</f>
        <v>2.54386822339043</v>
      </c>
      <c r="W49" s="11" t="n">
        <f aca="false">W38*Inputs!$F$148*(1+Inputs!$F$149/100)^(Time!W21-2018)/1000000</f>
        <v>2.50781084790856</v>
      </c>
      <c r="X49" s="11" t="n">
        <f aca="false">X38*Inputs!$F$148*(1+Inputs!$F$149/100)^(Time!X21-2018)/1000000</f>
        <v>2.52217847175019</v>
      </c>
      <c r="Y49" s="11" t="n">
        <f aca="false">Y38*Inputs!$F$148*(1+Inputs!$F$149/100)^(Time!Y21-2018)/1000000</f>
        <v>2.63450494093857</v>
      </c>
      <c r="Z49" s="11" t="n">
        <f aca="false">Z38*Inputs!$F$148*(1+Inputs!$F$149/100)^(Time!Z21-2018)/1000000</f>
        <v>2.62987518031242</v>
      </c>
      <c r="AA49" s="11" t="n">
        <f aca="false">AA38*Inputs!$F$148*(1+Inputs!$F$149/100)^(Time!AA21-2018)/1000000</f>
        <v>2.64752386869151</v>
      </c>
      <c r="AB49" s="11" t="n">
        <f aca="false">AB38*Inputs!$F$148*(1+Inputs!$F$149/100)^(Time!AB21-2018)/1000000</f>
        <v>2.65137354269658</v>
      </c>
      <c r="AC49" s="11" t="n">
        <f aca="false">AC38*Inputs!$F$148*(1+Inputs!$F$149/100)^(Time!AC21-2018)/1000000</f>
        <v>2.71239783620011</v>
      </c>
      <c r="AD49" s="11" t="n">
        <f aca="false">AD38*Inputs!$F$148*(1+Inputs!$F$149/100)^(Time!AD21-2018)/1000000</f>
        <v>2.68738265503187</v>
      </c>
      <c r="AE49" s="11" t="n">
        <f aca="false">AE38*Inputs!$F$148*(1+Inputs!$F$149/100)^(Time!AE21-2018)/1000000</f>
        <v>2.60254914615226</v>
      </c>
      <c r="AF49" s="11" t="n">
        <f aca="false">AF38*Inputs!$F$148*(1+Inputs!$F$149/100)^(Time!AF21-2018)/1000000</f>
        <v>2.62705804114404</v>
      </c>
      <c r="AG49" s="11" t="n">
        <f aca="false">AG38*Inputs!$F$148*(1+Inputs!$F$149/100)^(Time!AG21-2018)/1000000</f>
        <v>2.79255228475565</v>
      </c>
      <c r="AH49" s="11" t="n">
        <f aca="false">AH38*Inputs!$F$148*(1+Inputs!$F$149/100)^(Time!AH21-2018)/1000000</f>
        <v>2.78762407981226</v>
      </c>
      <c r="AI49" s="11" t="n">
        <f aca="false">AI38*Inputs!$F$148*(1+Inputs!$F$149/100)^(Time!AI21-2018)/1000000</f>
        <v>2.80631054898283</v>
      </c>
      <c r="AJ49" s="11" t="n">
        <f aca="false">AJ38*Inputs!$F$148*(1+Inputs!$F$149/100)^(Time!AJ21-2018)/1000000</f>
        <v>2.81037022112372</v>
      </c>
      <c r="AK49" s="11" t="n">
        <f aca="false">AK38*Inputs!$F$148*(1+Inputs!$F$149/100)^(Time!AK21-2018)/1000000</f>
        <v>2.87503261976931</v>
      </c>
      <c r="AL49" s="11" t="n">
        <f aca="false">AL38*Inputs!$F$148*(1+Inputs!$F$149/100)^(Time!AL21-2018)/1000000</f>
        <v>2.85820074000908</v>
      </c>
      <c r="AM49" s="11" t="n">
        <f aca="false">AM38*Inputs!$F$148*(1+Inputs!$F$149/100)^(Time!AM21-2018)/1000000</f>
        <v>2.81764607762169</v>
      </c>
      <c r="AN49" s="11" t="n">
        <f aca="false">AN38*Inputs!$F$148*(1+Inputs!$F$149/100)^(Time!AN21-2018)/1000000</f>
        <v>2.83374666894219</v>
      </c>
      <c r="AO49" s="11" t="n">
        <f aca="false">AO38*Inputs!$F$148*(1+Inputs!$F$149/100)^(Time!AO21-2018)/1000000</f>
        <v>2.95990496046848</v>
      </c>
      <c r="AP49" s="11" t="n">
        <f aca="false">AP38*Inputs!$F$148*(1+Inputs!$F$149/100)^(Time!AP21-2018)/1000000</f>
        <v>2.95465939102487</v>
      </c>
      <c r="AQ49" s="11" t="n">
        <f aca="false">AQ38*Inputs!$F$148*(1+Inputs!$F$149/100)^(Time!AQ21-2018)/1000000</f>
        <v>2.97444337464817</v>
      </c>
      <c r="AR49" s="11" t="n">
        <f aca="false">AR38*Inputs!$F$148*(1+Inputs!$F$149/100)^(Time!AR21-2018)/1000000</f>
        <v>2.97872404366323</v>
      </c>
      <c r="AS49" s="11" t="n">
        <f aca="false">AS38*Inputs!$F$148*(1+Inputs!$F$149/100)^(Time!AS21-2018)/1000000</f>
        <v>3.04723726022646</v>
      </c>
      <c r="AT49" s="11" t="n">
        <f aca="false">AT38*Inputs!$F$148*(1+Inputs!$F$149/100)^(Time!AT21-2018)/1000000</f>
        <v>3.01908899731821</v>
      </c>
      <c r="AU49" s="11" t="n">
        <f aca="false">AU38*Inputs!$F$148*(1+Inputs!$F$149/100)^(Time!AU21-2018)/1000000</f>
        <v>2.92374078898384</v>
      </c>
      <c r="AV49" s="11" t="n">
        <f aca="false">AV38*Inputs!$F$148*(1+Inputs!$F$149/100)^(Time!AV21-2018)/1000000</f>
        <v>2.95123038418024</v>
      </c>
      <c r="AW49" s="11" t="n">
        <f aca="false">AW38*Inputs!$F$148*(1+Inputs!$F$149/100)^(Time!AW21-2018)/1000000</f>
        <v>3.1370993558864</v>
      </c>
      <c r="AX49" s="11" t="n">
        <f aca="false">AX38*Inputs!$F$148*(1+Inputs!$F$149/100)^(Time!AX21-2018)/1000000</f>
        <v>3.13151632032495</v>
      </c>
      <c r="AY49" s="11" t="n">
        <f aca="false">AY38*Inputs!$F$148*(1+Inputs!$F$149/100)^(Time!AY21-2018)/1000000</f>
        <v>3.15246090319439</v>
      </c>
      <c r="AZ49" s="11" t="n">
        <f aca="false">AZ38*Inputs!$F$148*(1+Inputs!$F$149/100)^(Time!AZ21-2018)/1000000</f>
        <v>3.15697410987151</v>
      </c>
      <c r="BA49" s="11" t="n">
        <f aca="false">BA38*Inputs!$F$148*(1+Inputs!$F$149/100)^(Time!BA21-2018)/1000000</f>
        <v>3.22956301835661</v>
      </c>
      <c r="BB49" s="11" t="n">
        <f aca="false">BB38*Inputs!$F$148*(1+Inputs!$F$149/100)^(Time!BB21-2018)/1000000</f>
        <v>3.21060747350747</v>
      </c>
      <c r="BC49" s="11" t="n">
        <f aca="false">BC38*Inputs!$F$148*(1+Inputs!$F$149/100)^(Time!BC21-2018)/1000000</f>
        <v>3.16500514592022</v>
      </c>
      <c r="BD49" s="11" t="n">
        <f aca="false">BD38*Inputs!$F$148*(1+Inputs!$F$149/100)^(Time!BD21-2018)/1000000</f>
        <v>3.18304291179991</v>
      </c>
      <c r="BE49" s="11" t="n">
        <f aca="false">BE38*Inputs!$F$148*(1+Inputs!$F$149/100)^(Time!BE21-2018)/1000000</f>
        <v>3.32470200450799</v>
      </c>
      <c r="BF49" s="11" t="n">
        <f aca="false">BF38*Inputs!$F$148*(1+Inputs!$F$149/100)^(Time!BF21-2018)/1000000</f>
        <v>3.31876014705678</v>
      </c>
      <c r="BG49" s="11" t="n">
        <f aca="false">BG38*Inputs!$F$148*(1+Inputs!$F$149/100)^(Time!BG21-2018)/1000000</f>
        <v>3.34093194702467</v>
      </c>
      <c r="BH49" s="11" t="n">
        <f aca="false">BH38*Inputs!$F$148*(1+Inputs!$F$149/100)^(Time!BH21-2018)/1000000</f>
        <v>3.3456897982637</v>
      </c>
      <c r="BI49" s="11" t="n">
        <f aca="false">BI38*Inputs!$F$148*(1+Inputs!$F$149/100)^(Time!BI21-2018)/1000000</f>
        <v>3.42259211040503</v>
      </c>
      <c r="BJ49" s="11" t="n">
        <f aca="false">BJ38*Inputs!$F$148*(1+Inputs!$F$149/100)^(Time!BJ21-2018)/1000000</f>
        <v>3.39092559535138</v>
      </c>
      <c r="BK49" s="11" t="n">
        <f aca="false">BK38*Inputs!$F$148*(1+Inputs!$F$149/100)^(Time!BK21-2018)/1000000</f>
        <v>3.28378472419834</v>
      </c>
      <c r="BL49" s="11" t="n">
        <f aca="false">BL38*Inputs!$F$148*(1+Inputs!$F$149/100)^(Time!BL21-2018)/1000000</f>
        <v>3.3146096324957</v>
      </c>
      <c r="BM49" s="11" t="n">
        <f aca="false">BM38*Inputs!$F$148*(1+Inputs!$F$149/100)^(Time!BM21-2018)/1000000</f>
        <v>3.5233112259024</v>
      </c>
      <c r="BN49" s="11" t="n">
        <f aca="false">BN38*Inputs!$F$148*(1+Inputs!$F$149/100)^(Time!BN21-2018)/1000000</f>
        <v>2.93556557142191</v>
      </c>
    </row>
    <row r="50" customFormat="false" ht="15" hidden="false" customHeight="false" outlineLevel="0" collapsed="false">
      <c r="D50" s="0" t="s">
        <v>504</v>
      </c>
      <c r="E50" s="0" t="s">
        <v>149</v>
      </c>
      <c r="G50" s="11" t="n">
        <f aca="false">SUM(J50:BN50)</f>
        <v>0</v>
      </c>
      <c r="J50" s="11" t="n">
        <f aca="false">MAX(0,J39-J38)*J37/1000000</f>
        <v>0</v>
      </c>
      <c r="K50" s="11" t="n">
        <f aca="false">MAX(0,K39-K38)*K37/1000000</f>
        <v>0</v>
      </c>
      <c r="L50" s="11" t="n">
        <f aca="false">MAX(0,L39-L38)*L37/1000000</f>
        <v>0</v>
      </c>
      <c r="M50" s="11" t="n">
        <f aca="false">MAX(0,M39-M38)*M37/1000000</f>
        <v>0</v>
      </c>
      <c r="N50" s="11" t="n">
        <f aca="false">MAX(0,N39-N38)*N37/1000000</f>
        <v>0</v>
      </c>
      <c r="O50" s="11" t="n">
        <f aca="false">MAX(0,O39-O38)*O37/1000000</f>
        <v>0</v>
      </c>
      <c r="P50" s="11" t="n">
        <f aca="false">MAX(0,P39-P38)*P37/1000000</f>
        <v>0</v>
      </c>
      <c r="Q50" s="11" t="n">
        <f aca="false">MAX(0,Q39-Q38)*Q37/1000000</f>
        <v>0</v>
      </c>
      <c r="R50" s="11" t="n">
        <f aca="false">MAX(0,R39-R38)*R37/1000000</f>
        <v>0</v>
      </c>
      <c r="S50" s="11" t="n">
        <f aca="false">MAX(0,S39-S38)*S37/1000000</f>
        <v>0</v>
      </c>
      <c r="T50" s="11" t="n">
        <f aca="false">MAX(0,T39-T38)*T37/1000000</f>
        <v>0</v>
      </c>
      <c r="U50" s="11" t="n">
        <f aca="false">MAX(0,U39-U38)*U37/1000000</f>
        <v>0</v>
      </c>
      <c r="V50" s="11" t="n">
        <f aca="false">MAX(0,V39-V38)*V37/1000000</f>
        <v>0</v>
      </c>
      <c r="W50" s="11" t="n">
        <f aca="false">MAX(0,W39-W38)*W37/1000000</f>
        <v>0</v>
      </c>
      <c r="X50" s="11" t="n">
        <f aca="false">MAX(0,X39-X38)*X37/1000000</f>
        <v>0</v>
      </c>
      <c r="Y50" s="11" t="n">
        <f aca="false">MAX(0,Y39-Y38)*Y37/1000000</f>
        <v>0</v>
      </c>
      <c r="Z50" s="11" t="n">
        <f aca="false">MAX(0,Z39-Z38)*Z37/1000000</f>
        <v>0</v>
      </c>
      <c r="AA50" s="11" t="n">
        <f aca="false">MAX(0,AA39-AA38)*AA37/1000000</f>
        <v>0</v>
      </c>
      <c r="AB50" s="11" t="n">
        <f aca="false">MAX(0,AB39-AB38)*AB37/1000000</f>
        <v>0</v>
      </c>
      <c r="AC50" s="11" t="n">
        <f aca="false">MAX(0,AC39-AC38)*AC37/1000000</f>
        <v>0</v>
      </c>
      <c r="AD50" s="11" t="n">
        <f aca="false">MAX(0,AD39-AD38)*AD37/1000000</f>
        <v>0</v>
      </c>
      <c r="AE50" s="11" t="n">
        <f aca="false">MAX(0,AE39-AE38)*AE37/1000000</f>
        <v>0</v>
      </c>
      <c r="AF50" s="11" t="n">
        <f aca="false">MAX(0,AF39-AF38)*AF37/1000000</f>
        <v>0</v>
      </c>
      <c r="AG50" s="11" t="n">
        <f aca="false">MAX(0,AG39-AG38)*AG37/1000000</f>
        <v>0</v>
      </c>
      <c r="AH50" s="11" t="n">
        <f aca="false">MAX(0,AH39-AH38)*AH37/1000000</f>
        <v>0</v>
      </c>
      <c r="AI50" s="11" t="n">
        <f aca="false">MAX(0,AI39-AI38)*AI37/1000000</f>
        <v>0</v>
      </c>
      <c r="AJ50" s="11" t="n">
        <f aca="false">MAX(0,AJ39-AJ38)*AJ37/1000000</f>
        <v>0</v>
      </c>
      <c r="AK50" s="11" t="n">
        <f aca="false">MAX(0,AK39-AK38)*AK37/1000000</f>
        <v>0</v>
      </c>
      <c r="AL50" s="11" t="n">
        <f aca="false">MAX(0,AL39-AL38)*AL37/1000000</f>
        <v>0</v>
      </c>
      <c r="AM50" s="11" t="n">
        <f aca="false">MAX(0,AM39-AM38)*AM37/1000000</f>
        <v>0</v>
      </c>
      <c r="AN50" s="11" t="n">
        <f aca="false">MAX(0,AN39-AN38)*AN37/1000000</f>
        <v>0</v>
      </c>
      <c r="AO50" s="11" t="n">
        <f aca="false">MAX(0,AO39-AO38)*AO37/1000000</f>
        <v>0</v>
      </c>
      <c r="AP50" s="11" t="n">
        <f aca="false">MAX(0,AP39-AP38)*AP37/1000000</f>
        <v>0</v>
      </c>
      <c r="AQ50" s="11" t="n">
        <f aca="false">MAX(0,AQ39-AQ38)*AQ37/1000000</f>
        <v>0</v>
      </c>
      <c r="AR50" s="11" t="n">
        <f aca="false">MAX(0,AR39-AR38)*AR37/1000000</f>
        <v>0</v>
      </c>
      <c r="AS50" s="11" t="n">
        <f aca="false">MAX(0,AS39-AS38)*AS37/1000000</f>
        <v>0</v>
      </c>
      <c r="AT50" s="11" t="n">
        <f aca="false">MAX(0,AT39-AT38)*AT37/1000000</f>
        <v>0</v>
      </c>
      <c r="AU50" s="11" t="n">
        <f aca="false">MAX(0,AU39-AU38)*AU37/1000000</f>
        <v>0</v>
      </c>
      <c r="AV50" s="11" t="n">
        <f aca="false">MAX(0,AV39-AV38)*AV37/1000000</f>
        <v>0</v>
      </c>
      <c r="AW50" s="11" t="n">
        <f aca="false">MAX(0,AW39-AW38)*AW37/1000000</f>
        <v>0</v>
      </c>
      <c r="AX50" s="11" t="n">
        <f aca="false">MAX(0,AX39-AX38)*AX37/1000000</f>
        <v>0</v>
      </c>
      <c r="AY50" s="11" t="n">
        <f aca="false">MAX(0,AY39-AY38)*AY37/1000000</f>
        <v>0</v>
      </c>
      <c r="AZ50" s="11" t="n">
        <f aca="false">MAX(0,AZ39-AZ38)*AZ37/1000000</f>
        <v>0</v>
      </c>
      <c r="BA50" s="11" t="n">
        <f aca="false">MAX(0,BA39-BA38)*BA37/1000000</f>
        <v>0</v>
      </c>
      <c r="BB50" s="11" t="n">
        <f aca="false">MAX(0,BB39-BB38)*BB37/1000000</f>
        <v>0</v>
      </c>
      <c r="BC50" s="11" t="n">
        <f aca="false">MAX(0,BC39-BC38)*BC37/1000000</f>
        <v>0</v>
      </c>
      <c r="BD50" s="11" t="n">
        <f aca="false">MAX(0,BD39-BD38)*BD37/1000000</f>
        <v>0</v>
      </c>
      <c r="BE50" s="11" t="n">
        <f aca="false">MAX(0,BE39-BE38)*BE37/1000000</f>
        <v>0</v>
      </c>
      <c r="BF50" s="11" t="n">
        <f aca="false">MAX(0,BF39-BF38)*BF37/1000000</f>
        <v>0</v>
      </c>
      <c r="BG50" s="11" t="n">
        <f aca="false">MAX(0,BG39-BG38)*BG37/1000000</f>
        <v>0</v>
      </c>
      <c r="BH50" s="11" t="n">
        <f aca="false">MAX(0,BH39-BH38)*BH37/1000000</f>
        <v>0</v>
      </c>
      <c r="BI50" s="11" t="n">
        <f aca="false">MAX(0,BI39-BI38)*BI37/1000000</f>
        <v>0</v>
      </c>
      <c r="BJ50" s="11" t="n">
        <f aca="false">MAX(0,BJ39-BJ38)*BJ37/1000000</f>
        <v>0</v>
      </c>
      <c r="BK50" s="11" t="n">
        <f aca="false">MAX(0,BK39-BK38)*BK37/1000000</f>
        <v>0</v>
      </c>
      <c r="BL50" s="11" t="n">
        <f aca="false">MAX(0,BL39-BL38)*BL37/1000000</f>
        <v>0</v>
      </c>
      <c r="BM50" s="11" t="n">
        <f aca="false">MAX(0,BM39-BM38)*BM37/1000000</f>
        <v>0</v>
      </c>
      <c r="BN50" s="11" t="n">
        <f aca="false">MAX(0,BN39-BN38)*BN37/1000000</f>
        <v>0</v>
      </c>
    </row>
    <row r="51" customFormat="false" ht="15" hidden="false" customHeight="false" outlineLevel="0" collapsed="false">
      <c r="D51" s="0" t="s">
        <v>505</v>
      </c>
      <c r="E51" s="0" t="s">
        <v>149</v>
      </c>
      <c r="G51" s="11" t="n">
        <f aca="false">SUM(J51:BN51)</f>
        <v>4085.50567428437</v>
      </c>
      <c r="J51" s="11" t="n">
        <f aca="false">J44+J46</f>
        <v>0</v>
      </c>
      <c r="K51" s="11" t="n">
        <f aca="false">K44+K46</f>
        <v>0</v>
      </c>
      <c r="L51" s="11" t="n">
        <f aca="false">L44+L46</f>
        <v>0</v>
      </c>
      <c r="M51" s="11" t="n">
        <f aca="false">M44+M46</f>
        <v>0</v>
      </c>
      <c r="N51" s="11" t="n">
        <f aca="false">N44+N46</f>
        <v>0</v>
      </c>
      <c r="O51" s="11" t="n">
        <f aca="false">O44+O46</f>
        <v>0</v>
      </c>
      <c r="P51" s="11" t="n">
        <f aca="false">P44+P46</f>
        <v>11.2348785631155</v>
      </c>
      <c r="Q51" s="11" t="n">
        <f aca="false">Q44+Q46</f>
        <v>68.5453460917544</v>
      </c>
      <c r="R51" s="11" t="n">
        <f aca="false">R44+R46</f>
        <v>68.1823862140575</v>
      </c>
      <c r="S51" s="11" t="n">
        <f aca="false">S44+S46</f>
        <v>67.9932768425919</v>
      </c>
      <c r="T51" s="11" t="n">
        <f aca="false">T44+T46</f>
        <v>69.3339781927553</v>
      </c>
      <c r="U51" s="11" t="n">
        <f aca="false">U44+U46</f>
        <v>70.4074113476498</v>
      </c>
      <c r="V51" s="11" t="n">
        <f aca="false">V44+V46</f>
        <v>71.6909602632604</v>
      </c>
      <c r="W51" s="11" t="n">
        <f aca="false">W44+W46</f>
        <v>72.456980502426</v>
      </c>
      <c r="X51" s="11" t="n">
        <f aca="false">X44+X46</f>
        <v>73.4564111911155</v>
      </c>
      <c r="Y51" s="11" t="n">
        <f aca="false">Y44+Y46</f>
        <v>74.4774215343252</v>
      </c>
      <c r="Z51" s="11" t="n">
        <f aca="false">Z44+Z46</f>
        <v>75.1050798690105</v>
      </c>
      <c r="AA51" s="11" t="n">
        <f aca="false">AA44+AA46</f>
        <v>75.5184409285371</v>
      </c>
      <c r="AB51" s="11" t="n">
        <f aca="false">AB44+AB46</f>
        <v>75.9829017560604</v>
      </c>
      <c r="AC51" s="11" t="n">
        <f aca="false">AC44+AC46</f>
        <v>76.5070362148649</v>
      </c>
      <c r="AD51" s="11" t="n">
        <f aca="false">AD44+AD46</f>
        <v>76.8416458148473</v>
      </c>
      <c r="AE51" s="11" t="n">
        <f aca="false">AE44+AE46</f>
        <v>75.8131900768191</v>
      </c>
      <c r="AF51" s="11" t="n">
        <f aca="false">AF44+AF46</f>
        <v>76.9508884166337</v>
      </c>
      <c r="AG51" s="11" t="n">
        <f aca="false">AG44+AG46</f>
        <v>78.1889831969481</v>
      </c>
      <c r="AH51" s="11" t="n">
        <f aca="false">AH44+AH46</f>
        <v>78.5988961199892</v>
      </c>
      <c r="AI51" s="11" t="n">
        <f aca="false">AI44+AI46</f>
        <v>78.9433137755806</v>
      </c>
      <c r="AJ51" s="11" t="n">
        <f aca="false">AJ44+AJ46</f>
        <v>79.3967044160832</v>
      </c>
      <c r="AK51" s="11" t="n">
        <f aca="false">AK44+AK46</f>
        <v>79.9267755628926</v>
      </c>
      <c r="AL51" s="11" t="n">
        <f aca="false">AL44+AL46</f>
        <v>80.3093134865044</v>
      </c>
      <c r="AM51" s="11" t="n">
        <f aca="false">AM44+AM46</f>
        <v>80.4361223766772</v>
      </c>
      <c r="AN51" s="11" t="n">
        <f aca="false">AN44+AN46</f>
        <v>80.9542791980849</v>
      </c>
      <c r="AO51" s="11" t="n">
        <f aca="false">AO44+AO46</f>
        <v>81.7438426733369</v>
      </c>
      <c r="AP51" s="11" t="n">
        <f aca="false">AP44+AP46</f>
        <v>82.192089636647</v>
      </c>
      <c r="AQ51" s="11" t="n">
        <f aca="false">AQ44+AQ46</f>
        <v>82.5690639772401</v>
      </c>
      <c r="AR51" s="11" t="n">
        <f aca="false">AR44+AR46</f>
        <v>83.0646849969834</v>
      </c>
      <c r="AS51" s="11" t="n">
        <f aca="false">AS44+AS46</f>
        <v>83.6437994476241</v>
      </c>
      <c r="AT51" s="11" t="n">
        <f aca="false">AT44+AT46</f>
        <v>84.0208731862885</v>
      </c>
      <c r="AU51" s="11" t="n">
        <f aca="false">AU44+AU46</f>
        <v>82.9080162085709</v>
      </c>
      <c r="AV51" s="11" t="n">
        <f aca="false">AV44+AV46</f>
        <v>84.1940768694507</v>
      </c>
      <c r="AW51" s="11" t="n">
        <f aca="false">AW44+AW46</f>
        <v>85.6304255765742</v>
      </c>
      <c r="AX51" s="11" t="n">
        <f aca="false">AX44+AX46</f>
        <v>86.1205902923337</v>
      </c>
      <c r="AY51" s="11" t="n">
        <f aca="false">AY44+AY46</f>
        <v>86.53319862894</v>
      </c>
      <c r="AZ51" s="11" t="n">
        <f aca="false">AZ44+AZ46</f>
        <v>87.0749815515889</v>
      </c>
      <c r="BA51" s="11" t="n">
        <f aca="false">BA44+BA46</f>
        <v>87.7076730296771</v>
      </c>
      <c r="BB51" s="11" t="n">
        <f aca="false">BB44+BB46</f>
        <v>88.1656045544253</v>
      </c>
      <c r="BC51" s="11" t="n">
        <f aca="false">BC44+BC46</f>
        <v>88.3205838074448</v>
      </c>
      <c r="BD51" s="11" t="n">
        <f aca="false">BD44+BD46</f>
        <v>88.9393151029622</v>
      </c>
      <c r="BE51" s="11" t="n">
        <f aca="false">BE44+BE46</f>
        <v>89.879673904167</v>
      </c>
      <c r="BF51" s="11" t="n">
        <f aca="false">BF44+BF46</f>
        <v>90.4156749973803</v>
      </c>
      <c r="BG51" s="11" t="n">
        <f aca="false">BG44+BG46</f>
        <v>90.8672854974586</v>
      </c>
      <c r="BH51" s="11" t="n">
        <f aca="false">BH44+BH46</f>
        <v>91.4595276690689</v>
      </c>
      <c r="BI51" s="11" t="n">
        <f aca="false">BI44+BI46</f>
        <v>92.1507486315425</v>
      </c>
      <c r="BJ51" s="11" t="n">
        <f aca="false">BJ44+BJ46</f>
        <v>92.6026479110139</v>
      </c>
      <c r="BK51" s="11" t="n">
        <f aca="false">BK44+BK46</f>
        <v>91.3895880526631</v>
      </c>
      <c r="BL51" s="11" t="n">
        <f aca="false">BL44+BL46</f>
        <v>92.8530035399641</v>
      </c>
      <c r="BM51" s="11" t="n">
        <f aca="false">BM44+BM46</f>
        <v>94.5254145578016</v>
      </c>
      <c r="BN51" s="11" t="n">
        <f aca="false">BN44+BN46</f>
        <v>79.2806680306335</v>
      </c>
    </row>
    <row r="52" customFormat="false" ht="15" hidden="false" customHeight="false" outlineLevel="0" collapsed="false">
      <c r="D52" s="0" t="s">
        <v>506</v>
      </c>
      <c r="E52" s="0" t="s">
        <v>149</v>
      </c>
      <c r="G52" s="11" t="n">
        <f aca="false">SUM(J52:BN52)</f>
        <v>9830.54334643921</v>
      </c>
      <c r="J52" s="11" t="n">
        <f aca="false">J51+J47+J48+J49+J50</f>
        <v>0</v>
      </c>
      <c r="K52" s="11" t="n">
        <f aca="false">K51+K47+K48+K49+K50</f>
        <v>0</v>
      </c>
      <c r="L52" s="11" t="n">
        <f aca="false">L51+L47+L48+L49+L50</f>
        <v>0</v>
      </c>
      <c r="M52" s="11" t="n">
        <f aca="false">M51+M47+M48+M49+M50</f>
        <v>0</v>
      </c>
      <c r="N52" s="11" t="n">
        <f aca="false">N51+N47+N48+N49+N50</f>
        <v>0</v>
      </c>
      <c r="O52" s="11" t="n">
        <f aca="false">O51+O47+O48+O49+O50</f>
        <v>0</v>
      </c>
      <c r="P52" s="11" t="n">
        <f aca="false">P51+P47+P48+P49+P50</f>
        <v>26.3298890364541</v>
      </c>
      <c r="Q52" s="11" t="n">
        <f aca="false">Q51+Q47+Q48+Q49+Q50</f>
        <v>168.418265187478</v>
      </c>
      <c r="R52" s="11" t="n">
        <f aca="false">R51+R47+R48+R49+R50</f>
        <v>165.457134566332</v>
      </c>
      <c r="S52" s="11" t="n">
        <f aca="false">S51+S47+S48+S49+S50</f>
        <v>160.916980811679</v>
      </c>
      <c r="T52" s="11" t="n">
        <f aca="false">T51+T47+T48+T49+T50</f>
        <v>162.561940503283</v>
      </c>
      <c r="U52" s="11" t="n">
        <f aca="false">U51+U47+U48+U49+U50</f>
        <v>165.945209101792</v>
      </c>
      <c r="V52" s="11" t="n">
        <f aca="false">V51+V47+V48+V49+V50</f>
        <v>166.86320122686</v>
      </c>
      <c r="W52" s="11" t="n">
        <f aca="false">W51+W47+W48+W49+W50</f>
        <v>166.815647207299</v>
      </c>
      <c r="X52" s="11" t="n">
        <f aca="false">X51+X47+X48+X49+X50</f>
        <v>168.478055950409</v>
      </c>
      <c r="Y52" s="11" t="n">
        <f aca="false">Y51+Y47+Y48+Y49+Y50</f>
        <v>173.572581001623</v>
      </c>
      <c r="Z52" s="11" t="n">
        <f aca="false">Z51+Z47+Z48+Z49+Z50</f>
        <v>174.241399401257</v>
      </c>
      <c r="AA52" s="11" t="n">
        <f aca="false">AA51+AA47+AA48+AA49+AA50</f>
        <v>175.626295631497</v>
      </c>
      <c r="AB52" s="11" t="n">
        <f aca="false">AB51+AB47+AB48+AB49+AB50</f>
        <v>176.415126557759</v>
      </c>
      <c r="AC52" s="11" t="n">
        <f aca="false">AC51+AC47+AC48+AC49+AC50</f>
        <v>179.431738784726</v>
      </c>
      <c r="AD52" s="11" t="n">
        <f aca="false">AD51+AD47+AD48+AD49+AD50</f>
        <v>179.063987117838</v>
      </c>
      <c r="AE52" s="11" t="n">
        <f aca="false">AE51+AE47+AE48+AE49+AE50</f>
        <v>175.597741290233</v>
      </c>
      <c r="AF52" s="11" t="n">
        <f aca="false">AF51+AF47+AF48+AF49+AF50</f>
        <v>177.758056723749</v>
      </c>
      <c r="AG52" s="11" t="n">
        <f aca="false">AG51+AG47+AG48+AG49+AG50</f>
        <v>184.946869939475</v>
      </c>
      <c r="AH52" s="11" t="n">
        <f aca="false">AH51+AH47+AH48+AH49+AH50</f>
        <v>185.396914975472</v>
      </c>
      <c r="AI52" s="11" t="n">
        <f aca="false">AI51+AI47+AI48+AI49+AI50</f>
        <v>186.79013911975</v>
      </c>
      <c r="AJ52" s="11" t="n">
        <f aca="false">AJ51+AJ47+AJ48+AJ49+AJ50</f>
        <v>187.589340936885</v>
      </c>
      <c r="AK52" s="11" t="n">
        <f aca="false">AK51+AK47+AK48+AK49+AK50</f>
        <v>190.808869380481</v>
      </c>
      <c r="AL52" s="11" t="n">
        <f aca="false">AL51+AL47+AL48+AL49+AL50</f>
        <v>190.758975934288</v>
      </c>
      <c r="AM52" s="11" t="n">
        <f aca="false">AM51+AM47+AM48+AM49+AM50</f>
        <v>189.93757120984</v>
      </c>
      <c r="AN52" s="11" t="n">
        <f aca="false">AN51+AN47+AN48+AN49+AN50</f>
        <v>191.219347422888</v>
      </c>
      <c r="AO52" s="11" t="n">
        <f aca="false">AO51+AO47+AO48+AO49+AO50</f>
        <v>196.756225667689</v>
      </c>
      <c r="AP52" s="11" t="n">
        <f aca="false">AP51+AP47+AP48+AP49+AP50</f>
        <v>197.243223803326</v>
      </c>
      <c r="AQ52" s="11" t="n">
        <f aca="false">AQ51+AQ47+AQ48+AQ49+AQ50</f>
        <v>198.752357531222</v>
      </c>
      <c r="AR52" s="11" t="n">
        <f aca="false">AR51+AR47+AR48+AR49+AR50</f>
        <v>199.61664744673</v>
      </c>
      <c r="AS52" s="11" t="n">
        <f aca="false">AS51+AS47+AS48+AS49+AS50</f>
        <v>203.097651211824</v>
      </c>
      <c r="AT52" s="11" t="n">
        <f aca="false">AT51+AT47+AT48+AT49+AT50</f>
        <v>202.649424030027</v>
      </c>
      <c r="AU52" s="11" t="n">
        <f aca="false">AU51+AU47+AU48+AU49+AU50</f>
        <v>198.695633105827</v>
      </c>
      <c r="AV52" s="11" t="n">
        <f aca="false">AV51+AV47+AV48+AV49+AV50</f>
        <v>201.163808933269</v>
      </c>
      <c r="AW52" s="11" t="n">
        <f aca="false">AW51+AW47+AW48+AW49+AW50</f>
        <v>209.53458369259</v>
      </c>
      <c r="AX52" s="11" t="n">
        <f aca="false">AX51+AX47+AX48+AX49+AX50</f>
        <v>210.061720484565</v>
      </c>
      <c r="AY52" s="11" t="n">
        <f aca="false">AY51+AY47+AY48+AY49+AY50</f>
        <v>211.696395667377</v>
      </c>
      <c r="AZ52" s="11" t="n">
        <f aca="false">AZ51+AZ47+AZ48+AZ49+AZ50</f>
        <v>212.631214813512</v>
      </c>
      <c r="BA52" s="11" t="n">
        <f aca="false">BA51+BA47+BA48+BA49+BA50</f>
        <v>216.394881183508</v>
      </c>
      <c r="BB52" s="11" t="n">
        <f aca="false">BB51+BB47+BB48+BB49+BB50</f>
        <v>216.341681544005</v>
      </c>
      <c r="BC52" s="11" t="n">
        <f aca="false">BC51+BC47+BC48+BC49+BC50</f>
        <v>215.391645174906</v>
      </c>
      <c r="BD52" s="11" t="n">
        <f aca="false">BD51+BD47+BD48+BD49+BD50</f>
        <v>216.889968252146</v>
      </c>
      <c r="BE52" s="11" t="n">
        <f aca="false">BE51+BE47+BE48+BE49+BE50</f>
        <v>223.361870819514</v>
      </c>
      <c r="BF52" s="11" t="n">
        <f aca="false">BF51+BF47+BF48+BF49+BF50</f>
        <v>223.932616905737</v>
      </c>
      <c r="BG52" s="11" t="n">
        <f aca="false">BG51+BG47+BG48+BG49+BG50</f>
        <v>225.703265525642</v>
      </c>
      <c r="BH52" s="11" t="n">
        <f aca="false">BH51+BH47+BH48+BH49+BH50</f>
        <v>226.714519825062</v>
      </c>
      <c r="BI52" s="11" t="n">
        <f aca="false">BI51+BI47+BI48+BI49+BI50</f>
        <v>230.783748179411</v>
      </c>
      <c r="BJ52" s="11" t="n">
        <f aca="false">BJ51+BJ47+BJ48+BJ49+BJ50</f>
        <v>230.266342337745</v>
      </c>
      <c r="BK52" s="11" t="n">
        <f aca="false">BK51+BK47+BK48+BK49+BK50</f>
        <v>225.743035097914</v>
      </c>
      <c r="BL52" s="11" t="n">
        <f aca="false">BL51+BL47+BL48+BL49+BL50</f>
        <v>228.572959871542</v>
      </c>
      <c r="BM52" s="11" t="n">
        <f aca="false">BM51+BM47+BM48+BM49+BM50</f>
        <v>238.324636225709</v>
      </c>
      <c r="BN52" s="11" t="n">
        <f aca="false">BN51+BN47+BN48+BN49+BN50</f>
        <v>199.282010089067</v>
      </c>
    </row>
    <row r="53" customFormat="false" ht="15" hidden="false" customHeight="false" outlineLevel="0" collapsed="false">
      <c r="D53" s="0" t="s">
        <v>507</v>
      </c>
      <c r="E53" s="0" t="s">
        <v>149</v>
      </c>
      <c r="G53" s="11" t="n">
        <f aca="false">SUM(J53:BN53)</f>
        <v>8.70703702777778</v>
      </c>
      <c r="J53" s="11" t="n">
        <f aca="false">IF(Inputs!$F$45=1,(0+J85)/2*(J9-IF(Time!J17&gt;=10,Inputs!$F$98,0)+Inputs!$F$187)/100*MAX(0,MIN(Time!J20,DATE(2024,3,21)-Time!J18))/360,0)</f>
        <v>0</v>
      </c>
      <c r="K53" s="11" t="n">
        <f aca="false">IF(Inputs!$F$45=1,(J85+K85)/2*(K9-IF(Time!K17&gt;=10,Inputs!$F$98,0)+Inputs!$F$187)/100*MAX(0,MIN(Time!K20,DATE(2024,3,21)-Time!K18))/360,0)</f>
        <v>0</v>
      </c>
      <c r="L53" s="11" t="n">
        <f aca="false">IF(Inputs!$F$45=1,(K85+L85)/2*(L9-IF(Time!L17&gt;=10,Inputs!$F$98,0)+Inputs!$F$187)/100*MAX(0,MIN(Time!L20,DATE(2024,3,21)-Time!L18))/360,0)</f>
        <v>0</v>
      </c>
      <c r="M53" s="11" t="n">
        <f aca="false">IF(Inputs!$F$45=1,(L85+M85)/2*(M9-IF(Time!M17&gt;=10,Inputs!$F$98,0)+Inputs!$F$187)/100*MAX(0,MIN(Time!M20,DATE(2024,3,21)-Time!M18))/360,0)</f>
        <v>0</v>
      </c>
      <c r="N53" s="11" t="n">
        <f aca="false">IF(Inputs!$F$45=1,(M85+N85)/2*(N9-IF(Time!N17&gt;=10,Inputs!$F$98,0)+Inputs!$F$187)/100*MAX(0,MIN(Time!N20,DATE(2024,3,21)-Time!N18))/360,0)</f>
        <v>0</v>
      </c>
      <c r="O53" s="11" t="n">
        <f aca="false">IF(Inputs!$F$45=1,(N85+O85)/2*(O9-IF(Time!O17&gt;=10,Inputs!$F$98,0)+Inputs!$F$187)/100*MAX(0,MIN(Time!O20,DATE(2024,3,21)-Time!O18))/360,0)</f>
        <v>0</v>
      </c>
      <c r="P53" s="11" t="n">
        <f aca="false">IF(Inputs!$F$45=1,(O85+P85)/2*(P9-IF(Time!P17&gt;=10,Inputs!$F$98,0)+Inputs!$F$187)/100*MAX(0,MIN(Time!P20,DATE(2024,3,21)-Time!P18))/360,0)</f>
        <v>0</v>
      </c>
      <c r="Q53" s="11" t="n">
        <f aca="false">IF(Inputs!$F$45=1,(P85+Q85)/2*(Q9-IF(Time!Q17&gt;=10,Inputs!$F$98,0)+Inputs!$F$187)/100*MAX(0,MIN(Time!Q20,DATE(2024,3,21)-Time!Q18))/360,0)</f>
        <v>0.108238</v>
      </c>
      <c r="R53" s="11" t="n">
        <f aca="false">IF(Inputs!$F$45=1,(Q85+R85)/2*(R9-IF(Time!R17&gt;=10,Inputs!$F$98,0)+Inputs!$F$187)/100*MAX(0,MIN(Time!R20,DATE(2024,3,21)-Time!R18))/360,0)</f>
        <v>1.102114</v>
      </c>
      <c r="S53" s="11" t="n">
        <f aca="false">IF(Inputs!$F$45=1,(R85+S85)/2*(S9-IF(Time!S17&gt;=10,Inputs!$F$98,0)+Inputs!$F$187)/100*MAX(0,MIN(Time!S20,DATE(2024,3,21)-Time!S18))/360,0)</f>
        <v>3.13001791666667</v>
      </c>
      <c r="T53" s="11" t="n">
        <f aca="false">IF(Inputs!$F$45=1,(S85+T85)/2*(T9-IF(Time!T17&gt;=10,Inputs!$F$98,0)+Inputs!$F$187)/100*MAX(0,MIN(Time!T20,DATE(2024,3,21)-Time!T18))/360,0)</f>
        <v>3.520196</v>
      </c>
      <c r="U53" s="11" t="n">
        <f aca="false">IF(Inputs!$F$45=1,(T85+U85)/2*(U9-IF(Time!U17&gt;=10,Inputs!$F$98,0)+Inputs!$F$187)/100*MAX(0,MIN(Time!U20,DATE(2024,3,21)-Time!U18))/360,0)</f>
        <v>0.846471111111111</v>
      </c>
      <c r="V53" s="11" t="n">
        <f aca="false">IF(Inputs!$F$45=1,(U85+V85)/2*(V9-IF(Time!V17&gt;=10,Inputs!$F$98,0)+Inputs!$F$187)/100*MAX(0,MIN(Time!V20,DATE(2024,3,21)-Time!V18))/360,0)</f>
        <v>0</v>
      </c>
      <c r="W53" s="11" t="n">
        <f aca="false">IF(Inputs!$F$45=1,(V85+W85)/2*(W9-IF(Time!W17&gt;=10,Inputs!$F$98,0)+Inputs!$F$187)/100*MAX(0,MIN(Time!W20,DATE(2024,3,21)-Time!W18))/360,0)</f>
        <v>0</v>
      </c>
      <c r="X53" s="11" t="n">
        <f aca="false">IF(Inputs!$F$45=1,(W85+X85)/2*(X9-IF(Time!X17&gt;=10,Inputs!$F$98,0)+Inputs!$F$187)/100*MAX(0,MIN(Time!X20,DATE(2024,3,21)-Time!X18))/360,0)</f>
        <v>0</v>
      </c>
      <c r="Y53" s="11" t="n">
        <f aca="false">IF(Inputs!$F$45=1,(X85+Y85)/2*(Y9-IF(Time!Y17&gt;=10,Inputs!$F$98,0)+Inputs!$F$187)/100*MAX(0,MIN(Time!Y20,DATE(2024,3,21)-Time!Y18))/360,0)</f>
        <v>0</v>
      </c>
      <c r="Z53" s="11" t="n">
        <f aca="false">IF(Inputs!$F$45=1,(Y85+Z85)/2*(Z9-IF(Time!Z17&gt;=10,Inputs!$F$98,0)+Inputs!$F$187)/100*MAX(0,MIN(Time!Z20,DATE(2024,3,21)-Time!Z18))/360,0)</f>
        <v>0</v>
      </c>
      <c r="AA53" s="11" t="n">
        <f aca="false">IF(Inputs!$F$45=1,(Z85+AA85)/2*(AA9-IF(Time!AA17&gt;=10,Inputs!$F$98,0)+Inputs!$F$187)/100*MAX(0,MIN(Time!AA20,DATE(2024,3,21)-Time!AA18))/360,0)</f>
        <v>0</v>
      </c>
      <c r="AB53" s="11" t="n">
        <f aca="false">IF(Inputs!$F$45=1,(AA85+AB85)/2*(AB9-IF(Time!AB17&gt;=10,Inputs!$F$98,0)+Inputs!$F$187)/100*MAX(0,MIN(Time!AB20,DATE(2024,3,21)-Time!AB18))/360,0)</f>
        <v>0</v>
      </c>
      <c r="AC53" s="11" t="n">
        <f aca="false">IF(Inputs!$F$45=1,(AB85+AC85)/2*(AC9-IF(Time!AC17&gt;=10,Inputs!$F$98,0)+Inputs!$F$187)/100*MAX(0,MIN(Time!AC20,DATE(2024,3,21)-Time!AC18))/360,0)</f>
        <v>0</v>
      </c>
      <c r="AD53" s="11" t="n">
        <f aca="false">IF(Inputs!$F$45=1,(AC85+AD85)/2*(AD9-IF(Time!AD17&gt;=10,Inputs!$F$98,0)+Inputs!$F$187)/100*MAX(0,MIN(Time!AD20,DATE(2024,3,21)-Time!AD18))/360,0)</f>
        <v>0</v>
      </c>
      <c r="AE53" s="11" t="n">
        <f aca="false">IF(Inputs!$F$45=1,(AD85+AE85)/2*(AE9-IF(Time!AE17&gt;=10,Inputs!$F$98,0)+Inputs!$F$187)/100*MAX(0,MIN(Time!AE20,DATE(2024,3,21)-Time!AE18))/360,0)</f>
        <v>0</v>
      </c>
      <c r="AF53" s="11" t="n">
        <f aca="false">IF(Inputs!$F$45=1,(AE85+AF85)/2*(AF9-IF(Time!AF17&gt;=10,Inputs!$F$98,0)+Inputs!$F$187)/100*MAX(0,MIN(Time!AF20,DATE(2024,3,21)-Time!AF18))/360,0)</f>
        <v>0</v>
      </c>
      <c r="AG53" s="11" t="n">
        <f aca="false">IF(Inputs!$F$45=1,(AF85+AG85)/2*(AG9-IF(Time!AG17&gt;=10,Inputs!$F$98,0)+Inputs!$F$187)/100*MAX(0,MIN(Time!AG20,DATE(2024,3,21)-Time!AG18))/360,0)</f>
        <v>0</v>
      </c>
      <c r="AH53" s="11" t="n">
        <f aca="false">IF(Inputs!$F$45=1,(AG85+AH85)/2*(AH9-IF(Time!AH17&gt;=10,Inputs!$F$98,0)+Inputs!$F$187)/100*MAX(0,MIN(Time!AH20,DATE(2024,3,21)-Time!AH18))/360,0)</f>
        <v>0</v>
      </c>
      <c r="AI53" s="11" t="n">
        <f aca="false">IF(Inputs!$F$45=1,(AH85+AI85)/2*(AI9-IF(Time!AI17&gt;=10,Inputs!$F$98,0)+Inputs!$F$187)/100*MAX(0,MIN(Time!AI20,DATE(2024,3,21)-Time!AI18))/360,0)</f>
        <v>0</v>
      </c>
      <c r="AJ53" s="11" t="n">
        <f aca="false">IF(Inputs!$F$45=1,(AI85+AJ85)/2*(AJ9-IF(Time!AJ17&gt;=10,Inputs!$F$98,0)+Inputs!$F$187)/100*MAX(0,MIN(Time!AJ20,DATE(2024,3,21)-Time!AJ18))/360,0)</f>
        <v>0</v>
      </c>
      <c r="AK53" s="11" t="n">
        <f aca="false">IF(Inputs!$F$45=1,(AJ85+AK85)/2*(AK9-IF(Time!AK17&gt;=10,Inputs!$F$98,0)+Inputs!$F$187)/100*MAX(0,MIN(Time!AK20,DATE(2024,3,21)-Time!AK18))/360,0)</f>
        <v>0</v>
      </c>
      <c r="AL53" s="11" t="n">
        <f aca="false">IF(Inputs!$F$45=1,(AK85+AL85)/2*(AL9-IF(Time!AL17&gt;=10,Inputs!$F$98,0)+Inputs!$F$187)/100*MAX(0,MIN(Time!AL20,DATE(2024,3,21)-Time!AL18))/360,0)</f>
        <v>0</v>
      </c>
      <c r="AM53" s="11" t="n">
        <f aca="false">IF(Inputs!$F$45=1,(AL85+AM85)/2*(AM9-IF(Time!AM17&gt;=10,Inputs!$F$98,0)+Inputs!$F$187)/100*MAX(0,MIN(Time!AM20,DATE(2024,3,21)-Time!AM18))/360,0)</f>
        <v>0</v>
      </c>
      <c r="AN53" s="11" t="n">
        <f aca="false">IF(Inputs!$F$45=1,(AM85+AN85)/2*(AN9-IF(Time!AN17&gt;=10,Inputs!$F$98,0)+Inputs!$F$187)/100*MAX(0,MIN(Time!AN20,DATE(2024,3,21)-Time!AN18))/360,0)</f>
        <v>0</v>
      </c>
      <c r="AO53" s="11" t="n">
        <f aca="false">IF(Inputs!$F$45=1,(AN85+AO85)/2*(AO9-IF(Time!AO17&gt;=10,Inputs!$F$98,0)+Inputs!$F$187)/100*MAX(0,MIN(Time!AO20,DATE(2024,3,21)-Time!AO18))/360,0)</f>
        <v>0</v>
      </c>
      <c r="AP53" s="11" t="n">
        <f aca="false">IF(Inputs!$F$45=1,(AO85+AP85)/2*(AP9-IF(Time!AP17&gt;=10,Inputs!$F$98,0)+Inputs!$F$187)/100*MAX(0,MIN(Time!AP20,DATE(2024,3,21)-Time!AP18))/360,0)</f>
        <v>0</v>
      </c>
      <c r="AQ53" s="11" t="n">
        <f aca="false">IF(Inputs!$F$45=1,(AP85+AQ85)/2*(AQ9-IF(Time!AQ17&gt;=10,Inputs!$F$98,0)+Inputs!$F$187)/100*MAX(0,MIN(Time!AQ20,DATE(2024,3,21)-Time!AQ18))/360,0)</f>
        <v>0</v>
      </c>
      <c r="AR53" s="11" t="n">
        <f aca="false">IF(Inputs!$F$45=1,(AQ85+AR85)/2*(AR9-IF(Time!AR17&gt;=10,Inputs!$F$98,0)+Inputs!$F$187)/100*MAX(0,MIN(Time!AR20,DATE(2024,3,21)-Time!AR18))/360,0)</f>
        <v>0</v>
      </c>
      <c r="AS53" s="11" t="n">
        <f aca="false">IF(Inputs!$F$45=1,(AR85+AS85)/2*(AS9-IF(Time!AS17&gt;=10,Inputs!$F$98,0)+Inputs!$F$187)/100*MAX(0,MIN(Time!AS20,DATE(2024,3,21)-Time!AS18))/360,0)</f>
        <v>0</v>
      </c>
      <c r="AT53" s="11" t="n">
        <f aca="false">IF(Inputs!$F$45=1,(AS85+AT85)/2*(AT9-IF(Time!AT17&gt;=10,Inputs!$F$98,0)+Inputs!$F$187)/100*MAX(0,MIN(Time!AT20,DATE(2024,3,21)-Time!AT18))/360,0)</f>
        <v>0</v>
      </c>
      <c r="AU53" s="11" t="n">
        <f aca="false">IF(Inputs!$F$45=1,(AT85+AU85)/2*(AU9-IF(Time!AU17&gt;=10,Inputs!$F$98,0)+Inputs!$F$187)/100*MAX(0,MIN(Time!AU20,DATE(2024,3,21)-Time!AU18))/360,0)</f>
        <v>0</v>
      </c>
      <c r="AV53" s="11" t="n">
        <f aca="false">IF(Inputs!$F$45=1,(AU85+AV85)/2*(AV9-IF(Time!AV17&gt;=10,Inputs!$F$98,0)+Inputs!$F$187)/100*MAX(0,MIN(Time!AV20,DATE(2024,3,21)-Time!AV18))/360,0)</f>
        <v>0</v>
      </c>
      <c r="AW53" s="11" t="n">
        <f aca="false">IF(Inputs!$F$45=1,(AV85+AW85)/2*(AW9-IF(Time!AW17&gt;=10,Inputs!$F$98,0)+Inputs!$F$187)/100*MAX(0,MIN(Time!AW20,DATE(2024,3,21)-Time!AW18))/360,0)</f>
        <v>0</v>
      </c>
      <c r="AX53" s="11" t="n">
        <f aca="false">IF(Inputs!$F$45=1,(AW85+AX85)/2*(AX9-IF(Time!AX17&gt;=10,Inputs!$F$98,0)+Inputs!$F$187)/100*MAX(0,MIN(Time!AX20,DATE(2024,3,21)-Time!AX18))/360,0)</f>
        <v>0</v>
      </c>
      <c r="AY53" s="11" t="n">
        <f aca="false">IF(Inputs!$F$45=1,(AX85+AY85)/2*(AY9-IF(Time!AY17&gt;=10,Inputs!$F$98,0)+Inputs!$F$187)/100*MAX(0,MIN(Time!AY20,DATE(2024,3,21)-Time!AY18))/360,0)</f>
        <v>0</v>
      </c>
      <c r="AZ53" s="11" t="n">
        <f aca="false">IF(Inputs!$F$45=1,(AY85+AZ85)/2*(AZ9-IF(Time!AZ17&gt;=10,Inputs!$F$98,0)+Inputs!$F$187)/100*MAX(0,MIN(Time!AZ20,DATE(2024,3,21)-Time!AZ18))/360,0)</f>
        <v>0</v>
      </c>
      <c r="BA53" s="11" t="n">
        <f aca="false">IF(Inputs!$F$45=1,(AZ85+BA85)/2*(BA9-IF(Time!BA17&gt;=10,Inputs!$F$98,0)+Inputs!$F$187)/100*MAX(0,MIN(Time!BA20,DATE(2024,3,21)-Time!BA18))/360,0)</f>
        <v>0</v>
      </c>
      <c r="BB53" s="11" t="n">
        <f aca="false">IF(Inputs!$F$45=1,(BA85+BB85)/2*(BB9-IF(Time!BB17&gt;=10,Inputs!$F$98,0)+Inputs!$F$187)/100*MAX(0,MIN(Time!BB20,DATE(2024,3,21)-Time!BB18))/360,0)</f>
        <v>0</v>
      </c>
      <c r="BC53" s="11" t="n">
        <f aca="false">IF(Inputs!$F$45=1,(BB85+BC85)/2*(BC9-IF(Time!BC17&gt;=10,Inputs!$F$98,0)+Inputs!$F$187)/100*MAX(0,MIN(Time!BC20,DATE(2024,3,21)-Time!BC18))/360,0)</f>
        <v>0</v>
      </c>
      <c r="BD53" s="11" t="n">
        <f aca="false">IF(Inputs!$F$45=1,(BC85+BD85)/2*(BD9-IF(Time!BD17&gt;=10,Inputs!$F$98,0)+Inputs!$F$187)/100*MAX(0,MIN(Time!BD20,DATE(2024,3,21)-Time!BD18))/360,0)</f>
        <v>0</v>
      </c>
      <c r="BE53" s="11" t="n">
        <f aca="false">IF(Inputs!$F$45=1,(BD85+BE85)/2*(BE9-IF(Time!BE17&gt;=10,Inputs!$F$98,0)+Inputs!$F$187)/100*MAX(0,MIN(Time!BE20,DATE(2024,3,21)-Time!BE18))/360,0)</f>
        <v>0</v>
      </c>
      <c r="BF53" s="11" t="n">
        <f aca="false">IF(Inputs!$F$45=1,(BE85+BF85)/2*(BF9-IF(Time!BF17&gt;=10,Inputs!$F$98,0)+Inputs!$F$187)/100*MAX(0,MIN(Time!BF20,DATE(2024,3,21)-Time!BF18))/360,0)</f>
        <v>0</v>
      </c>
      <c r="BG53" s="11" t="n">
        <f aca="false">IF(Inputs!$F$45=1,(BF85+BG85)/2*(BG9-IF(Time!BG17&gt;=10,Inputs!$F$98,0)+Inputs!$F$187)/100*MAX(0,MIN(Time!BG20,DATE(2024,3,21)-Time!BG18))/360,0)</f>
        <v>0</v>
      </c>
      <c r="BH53" s="11" t="n">
        <f aca="false">IF(Inputs!$F$45=1,(BG85+BH85)/2*(BH9-IF(Time!BH17&gt;=10,Inputs!$F$98,0)+Inputs!$F$187)/100*MAX(0,MIN(Time!BH20,DATE(2024,3,21)-Time!BH18))/360,0)</f>
        <v>0</v>
      </c>
      <c r="BI53" s="11" t="n">
        <f aca="false">IF(Inputs!$F$45=1,(BH85+BI85)/2*(BI9-IF(Time!BI17&gt;=10,Inputs!$F$98,0)+Inputs!$F$187)/100*MAX(0,MIN(Time!BI20,DATE(2024,3,21)-Time!BI18))/360,0)</f>
        <v>0</v>
      </c>
      <c r="BJ53" s="11" t="n">
        <f aca="false">IF(Inputs!$F$45=1,(BI85+BJ85)/2*(BJ9-IF(Time!BJ17&gt;=10,Inputs!$F$98,0)+Inputs!$F$187)/100*MAX(0,MIN(Time!BJ20,DATE(2024,3,21)-Time!BJ18))/360,0)</f>
        <v>0</v>
      </c>
      <c r="BK53" s="11" t="n">
        <f aca="false">IF(Inputs!$F$45=1,(BJ85+BK85)/2*(BK9-IF(Time!BK17&gt;=10,Inputs!$F$98,0)+Inputs!$F$187)/100*MAX(0,MIN(Time!BK20,DATE(2024,3,21)-Time!BK18))/360,0)</f>
        <v>0</v>
      </c>
      <c r="BL53" s="11" t="n">
        <f aca="false">IF(Inputs!$F$45=1,(BK85+BL85)/2*(BL9-IF(Time!BL17&gt;=10,Inputs!$F$98,0)+Inputs!$F$187)/100*MAX(0,MIN(Time!BL20,DATE(2024,3,21)-Time!BL18))/360,0)</f>
        <v>0</v>
      </c>
      <c r="BM53" s="11" t="n">
        <f aca="false">IF(Inputs!$F$45=1,(BL85+BM85)/2*(BM9-IF(Time!BM17&gt;=10,Inputs!$F$98,0)+Inputs!$F$187)/100*MAX(0,MIN(Time!BM20,DATE(2024,3,21)-Time!BM18))/360,0)</f>
        <v>0</v>
      </c>
      <c r="BN53" s="11" t="n">
        <f aca="false">IF(Inputs!$F$45=1,(BM85+BN85)/2*(BN9-IF(Time!BN17&gt;=10,Inputs!$F$98,0)+Inputs!$F$187)/100*MAX(0,MIN(Time!BN20,DATE(2024,3,21)-Time!BN18))/360,0)</f>
        <v>0</v>
      </c>
    </row>
    <row r="54" customFormat="false" ht="15" hidden="false" customHeight="false" outlineLevel="0" collapsed="false">
      <c r="D54" s="0" t="s">
        <v>508</v>
      </c>
      <c r="E54" s="0" t="s">
        <v>149</v>
      </c>
      <c r="G54" s="11" t="n">
        <f aca="false">SUM(J54:BN54)</f>
        <v>5.22422221666667</v>
      </c>
      <c r="J54" s="11" t="n">
        <f aca="false">Inputs!$F$188*SUM($J$53:$BN$53)*Inputs!J221</f>
        <v>0</v>
      </c>
      <c r="K54" s="11" t="n">
        <f aca="false">Inputs!$F$188*SUM($J$53:$BN$53)*Inputs!K221</f>
        <v>0</v>
      </c>
      <c r="L54" s="11" t="n">
        <f aca="false">Inputs!$F$188*SUM($J$53:$BN$53)*Inputs!L221</f>
        <v>0</v>
      </c>
      <c r="M54" s="11" t="n">
        <f aca="false">Inputs!$F$188*SUM($J$53:$BN$53)*Inputs!M221</f>
        <v>0</v>
      </c>
      <c r="N54" s="11" t="n">
        <f aca="false">Inputs!$F$188*SUM($J$53:$BN$53)*Inputs!N221</f>
        <v>0</v>
      </c>
      <c r="O54" s="11" t="n">
        <f aca="false">Inputs!$F$188*SUM($J$53:$BN$53)*Inputs!O221</f>
        <v>0</v>
      </c>
      <c r="P54" s="11" t="n">
        <f aca="false">Inputs!$F$188*SUM($J$53:$BN$53)*Inputs!P221</f>
        <v>0</v>
      </c>
      <c r="Q54" s="11" t="n">
        <f aca="false">Inputs!$F$188*SUM($J$53:$BN$53)*Inputs!Q221</f>
        <v>0</v>
      </c>
      <c r="R54" s="11" t="n">
        <f aca="false">Inputs!$F$188*SUM($J$53:$BN$53)*Inputs!R221</f>
        <v>0</v>
      </c>
      <c r="S54" s="11" t="n">
        <f aca="false">Inputs!$F$188*SUM($J$53:$BN$53)*Inputs!S221</f>
        <v>0</v>
      </c>
      <c r="T54" s="11" t="n">
        <f aca="false">Inputs!$F$188*SUM($J$53:$BN$53)*Inputs!T221</f>
        <v>0</v>
      </c>
      <c r="U54" s="11" t="n">
        <f aca="false">Inputs!$F$188*SUM($J$53:$BN$53)*Inputs!U221</f>
        <v>1.04484444333333</v>
      </c>
      <c r="V54" s="11" t="n">
        <f aca="false">Inputs!$F$188*SUM($J$53:$BN$53)*Inputs!V221</f>
        <v>2.08968888666667</v>
      </c>
      <c r="W54" s="11" t="n">
        <f aca="false">Inputs!$F$188*SUM($J$53:$BN$53)*Inputs!W221</f>
        <v>2.08968888666667</v>
      </c>
      <c r="X54" s="11" t="n">
        <f aca="false">Inputs!$F$188*SUM($J$53:$BN$53)*Inputs!X221</f>
        <v>0</v>
      </c>
      <c r="Y54" s="11" t="n">
        <f aca="false">Inputs!$F$188*SUM($J$53:$BN$53)*Inputs!Y221</f>
        <v>0</v>
      </c>
      <c r="Z54" s="11" t="n">
        <f aca="false">Inputs!$F$188*SUM($J$53:$BN$53)*Inputs!Z221</f>
        <v>0</v>
      </c>
      <c r="AA54" s="11" t="n">
        <f aca="false">Inputs!$F$188*SUM($J$53:$BN$53)*Inputs!AA221</f>
        <v>0</v>
      </c>
      <c r="AB54" s="11" t="n">
        <f aca="false">Inputs!$F$188*SUM($J$53:$BN$53)*Inputs!AB221</f>
        <v>0</v>
      </c>
      <c r="AC54" s="11" t="n">
        <f aca="false">Inputs!$F$188*SUM($J$53:$BN$53)*Inputs!AC221</f>
        <v>0</v>
      </c>
      <c r="AD54" s="11" t="n">
        <f aca="false">Inputs!$F$188*SUM($J$53:$BN$53)*Inputs!AD221</f>
        <v>0</v>
      </c>
      <c r="AE54" s="11" t="n">
        <f aca="false">Inputs!$F$188*SUM($J$53:$BN$53)*Inputs!AE221</f>
        <v>0</v>
      </c>
      <c r="AF54" s="11" t="n">
        <f aca="false">Inputs!$F$188*SUM($J$53:$BN$53)*Inputs!AF221</f>
        <v>0</v>
      </c>
      <c r="AG54" s="11" t="n">
        <f aca="false">Inputs!$F$188*SUM($J$53:$BN$53)*Inputs!AG221</f>
        <v>0</v>
      </c>
      <c r="AH54" s="11" t="n">
        <f aca="false">Inputs!$F$188*SUM($J$53:$BN$53)*Inputs!AH221</f>
        <v>0</v>
      </c>
      <c r="AI54" s="11" t="n">
        <f aca="false">Inputs!$F$188*SUM($J$53:$BN$53)*Inputs!AI221</f>
        <v>0</v>
      </c>
      <c r="AJ54" s="11" t="n">
        <f aca="false">Inputs!$F$188*SUM($J$53:$BN$53)*Inputs!AJ221</f>
        <v>0</v>
      </c>
      <c r="AK54" s="11" t="n">
        <f aca="false">Inputs!$F$188*SUM($J$53:$BN$53)*Inputs!AK221</f>
        <v>0</v>
      </c>
      <c r="AL54" s="11" t="n">
        <f aca="false">Inputs!$F$188*SUM($J$53:$BN$53)*Inputs!AL221</f>
        <v>0</v>
      </c>
      <c r="AM54" s="11" t="n">
        <f aca="false">Inputs!$F$188*SUM($J$53:$BN$53)*Inputs!AM221</f>
        <v>0</v>
      </c>
      <c r="AN54" s="11" t="n">
        <f aca="false">Inputs!$F$188*SUM($J$53:$BN$53)*Inputs!AN221</f>
        <v>0</v>
      </c>
      <c r="AO54" s="11" t="n">
        <f aca="false">Inputs!$F$188*SUM($J$53:$BN$53)*Inputs!AO221</f>
        <v>0</v>
      </c>
      <c r="AP54" s="11" t="n">
        <f aca="false">Inputs!$F$188*SUM($J$53:$BN$53)*Inputs!AP221</f>
        <v>0</v>
      </c>
      <c r="AQ54" s="11" t="n">
        <f aca="false">Inputs!$F$188*SUM($J$53:$BN$53)*Inputs!AQ221</f>
        <v>0</v>
      </c>
      <c r="AR54" s="11" t="n">
        <f aca="false">Inputs!$F$188*SUM($J$53:$BN$53)*Inputs!AR221</f>
        <v>0</v>
      </c>
      <c r="AS54" s="11" t="n">
        <f aca="false">Inputs!$F$188*SUM($J$53:$BN$53)*Inputs!AS221</f>
        <v>0</v>
      </c>
      <c r="AT54" s="11" t="n">
        <f aca="false">Inputs!$F$188*SUM($J$53:$BN$53)*Inputs!AT221</f>
        <v>0</v>
      </c>
      <c r="AU54" s="11" t="n">
        <f aca="false">Inputs!$F$188*SUM($J$53:$BN$53)*Inputs!AU221</f>
        <v>0</v>
      </c>
      <c r="AV54" s="11" t="n">
        <f aca="false">Inputs!$F$188*SUM($J$53:$BN$53)*Inputs!AV221</f>
        <v>0</v>
      </c>
      <c r="AW54" s="11" t="n">
        <f aca="false">Inputs!$F$188*SUM($J$53:$BN$53)*Inputs!AW221</f>
        <v>0</v>
      </c>
      <c r="AX54" s="11" t="n">
        <f aca="false">Inputs!$F$188*SUM($J$53:$BN$53)*Inputs!AX221</f>
        <v>0</v>
      </c>
      <c r="AY54" s="11" t="n">
        <f aca="false">Inputs!$F$188*SUM($J$53:$BN$53)*Inputs!AY221</f>
        <v>0</v>
      </c>
      <c r="AZ54" s="11" t="n">
        <f aca="false">Inputs!$F$188*SUM($J$53:$BN$53)*Inputs!AZ221</f>
        <v>0</v>
      </c>
      <c r="BA54" s="11" t="n">
        <f aca="false">Inputs!$F$188*SUM($J$53:$BN$53)*Inputs!BA221</f>
        <v>0</v>
      </c>
      <c r="BB54" s="11" t="n">
        <f aca="false">Inputs!$F$188*SUM($J$53:$BN$53)*Inputs!BB221</f>
        <v>0</v>
      </c>
      <c r="BC54" s="11" t="n">
        <f aca="false">Inputs!$F$188*SUM($J$53:$BN$53)*Inputs!BC221</f>
        <v>0</v>
      </c>
      <c r="BD54" s="11" t="n">
        <f aca="false">Inputs!$F$188*SUM($J$53:$BN$53)*Inputs!BD221</f>
        <v>0</v>
      </c>
      <c r="BE54" s="11" t="n">
        <f aca="false">Inputs!$F$188*SUM($J$53:$BN$53)*Inputs!BE221</f>
        <v>0</v>
      </c>
      <c r="BF54" s="11" t="n">
        <f aca="false">Inputs!$F$188*SUM($J$53:$BN$53)*Inputs!BF221</f>
        <v>0</v>
      </c>
      <c r="BG54" s="11" t="n">
        <f aca="false">Inputs!$F$188*SUM($J$53:$BN$53)*Inputs!BG221</f>
        <v>0</v>
      </c>
      <c r="BH54" s="11" t="n">
        <f aca="false">Inputs!$F$188*SUM($J$53:$BN$53)*Inputs!BH221</f>
        <v>0</v>
      </c>
      <c r="BI54" s="11" t="n">
        <f aca="false">Inputs!$F$188*SUM($J$53:$BN$53)*Inputs!BI221</f>
        <v>0</v>
      </c>
      <c r="BJ54" s="11" t="n">
        <f aca="false">Inputs!$F$188*SUM($J$53:$BN$53)*Inputs!BJ221</f>
        <v>0</v>
      </c>
      <c r="BK54" s="11" t="n">
        <f aca="false">Inputs!$F$188*SUM($J$53:$BN$53)*Inputs!BK221</f>
        <v>0</v>
      </c>
      <c r="BL54" s="11" t="n">
        <f aca="false">Inputs!$F$188*SUM($J$53:$BN$53)*Inputs!BL221</f>
        <v>0</v>
      </c>
      <c r="BM54" s="11" t="n">
        <f aca="false">Inputs!$F$188*SUM($J$53:$BN$53)*Inputs!BM221</f>
        <v>0</v>
      </c>
      <c r="BN54" s="11" t="n">
        <f aca="false">Inputs!$F$188*SUM($J$53:$BN$53)*Inputs!BN221</f>
        <v>0</v>
      </c>
    </row>
    <row r="55" customFormat="false" ht="15" hidden="false" customHeight="false" outlineLevel="0" collapsed="false">
      <c r="B55" s="2" t="s">
        <v>509</v>
      </c>
    </row>
    <row r="56" customFormat="false" ht="15" hidden="false" customHeight="false" outlineLevel="0" collapsed="false">
      <c r="D56" s="0" t="s">
        <v>257</v>
      </c>
      <c r="E56" s="0" t="s">
        <v>149</v>
      </c>
      <c r="G56" s="11" t="n">
        <f aca="false">SUM(J56:BN56)</f>
        <v>338.881253378071</v>
      </c>
      <c r="J56" s="11" t="n">
        <f aca="false">Inputs!$F$151*(Inputs!$F$152*J19+(1-Inputs!$F$152)*J23*Inputs!$F$153/J11)*Time!J25/12*Inputs!$F$40</f>
        <v>0</v>
      </c>
      <c r="K56" s="11" t="n">
        <f aca="false">Inputs!$F$151*(Inputs!$F$152*K19+(1-Inputs!$F$152)*K23*Inputs!$F$153/K11)*Time!K25/12*Inputs!$F$40</f>
        <v>0</v>
      </c>
      <c r="L56" s="11" t="n">
        <f aca="false">Inputs!$F$151*(Inputs!$F$152*L19+(1-Inputs!$F$152)*L23*Inputs!$F$153/L11)*Time!L25/12*Inputs!$F$40</f>
        <v>0</v>
      </c>
      <c r="M56" s="11" t="n">
        <f aca="false">Inputs!$F$151*(Inputs!$F$152*M19+(1-Inputs!$F$152)*M23*Inputs!$F$153/M11)*Time!M25/12*Inputs!$F$40</f>
        <v>0</v>
      </c>
      <c r="N56" s="11" t="n">
        <f aca="false">Inputs!$F$151*(Inputs!$F$152*N19+(1-Inputs!$F$152)*N23*Inputs!$F$153/N11)*Time!N25/12*Inputs!$F$40</f>
        <v>0</v>
      </c>
      <c r="O56" s="11" t="n">
        <f aca="false">Inputs!$F$151*(Inputs!$F$152*O19+(1-Inputs!$F$152)*O23*Inputs!$F$153/O11)*Time!O25/12*Inputs!$F$40</f>
        <v>0</v>
      </c>
      <c r="P56" s="11" t="n">
        <f aca="false">Inputs!$F$151*(Inputs!$F$152*P19+(1-Inputs!$F$152)*P23*Inputs!$F$153/P11)*Time!P25/12*Inputs!$F$40</f>
        <v>0.72246776496267</v>
      </c>
      <c r="Q56" s="11" t="n">
        <f aca="false">Inputs!$F$151*(Inputs!$F$152*Q19+(1-Inputs!$F$152)*Q23*Inputs!$F$153/Q11)*Time!Q25/12*Inputs!$F$40</f>
        <v>4.44007349825496</v>
      </c>
      <c r="R56" s="11" t="n">
        <f aca="false">Inputs!$F$151*(Inputs!$F$152*R19+(1-Inputs!$F$152)*R23*Inputs!$F$153/R11)*Time!R25/12*Inputs!$F$40</f>
        <v>4.37344241876445</v>
      </c>
      <c r="S56" s="11" t="n">
        <f aca="false">Inputs!$F$151*(Inputs!$F$152*S19+(1-Inputs!$F$152)*S23*Inputs!$F$153/S11)*Time!S25/12*Inputs!$F$40</f>
        <v>4.32341834468938</v>
      </c>
      <c r="T56" s="11" t="n">
        <f aca="false">Inputs!$F$151*(Inputs!$F$152*T19+(1-Inputs!$F$152)*T23*Inputs!$F$153/T11)*Time!T25/12*Inputs!$F$40</f>
        <v>4.60087688887899</v>
      </c>
      <c r="U56" s="11" t="n">
        <f aca="false">Inputs!$F$151*(Inputs!$F$152*U19+(1-Inputs!$F$152)*U23*Inputs!$F$153/U11)*Time!U25/12*Inputs!$F$40</f>
        <v>4.76578321876328</v>
      </c>
      <c r="V56" s="11" t="n">
        <f aca="false">Inputs!$F$151*(Inputs!$F$152*V19+(1-Inputs!$F$152)*V23*Inputs!$F$153/V11)*Time!V25/12*Inputs!$F$40</f>
        <v>5.02682102657566</v>
      </c>
      <c r="W56" s="11" t="n">
        <f aca="false">Inputs!$F$151*(Inputs!$F$152*W19+(1-Inputs!$F$152)*W23*Inputs!$F$153/W11)*Time!W25/12*Inputs!$F$40</f>
        <v>5.23646484788682</v>
      </c>
      <c r="X56" s="11" t="n">
        <f aca="false">Inputs!$F$151*(Inputs!$F$152*X19+(1-Inputs!$F$152)*X23*Inputs!$F$153/X11)*Time!X25/12*Inputs!$F$40</f>
        <v>5.42258456118134</v>
      </c>
      <c r="Y56" s="11" t="n">
        <f aca="false">Inputs!$F$151*(Inputs!$F$152*Y19+(1-Inputs!$F$152)*Y23*Inputs!$F$153/Y11)*Time!Y25/12*Inputs!$F$40</f>
        <v>5.56798867835768</v>
      </c>
      <c r="Z56" s="11" t="n">
        <f aca="false">Inputs!$F$151*(Inputs!$F$152*Z19+(1-Inputs!$F$152)*Z23*Inputs!$F$153/Z11)*Time!Z25/12*Inputs!$F$40</f>
        <v>5.68173704600891</v>
      </c>
      <c r="AA56" s="11" t="n">
        <f aca="false">Inputs!$F$151*(Inputs!$F$152*AA19+(1-Inputs!$F$152)*AA23*Inputs!$F$153/AA11)*Time!AA25/12*Inputs!$F$40</f>
        <v>5.75771563517926</v>
      </c>
      <c r="AB56" s="11" t="n">
        <f aca="false">Inputs!$F$151*(Inputs!$F$152*AB19+(1-Inputs!$F$152)*AB23*Inputs!$F$153/AB11)*Time!AB25/12*Inputs!$F$40</f>
        <v>5.82355295247723</v>
      </c>
      <c r="AC56" s="11" t="n">
        <f aca="false">Inputs!$F$151*(Inputs!$F$152*AC19+(1-Inputs!$F$152)*AC23*Inputs!$F$153/AC11)*Time!AC25/12*Inputs!$F$40</f>
        <v>5.89565314468475</v>
      </c>
      <c r="AD56" s="11" t="n">
        <f aca="false">Inputs!$F$151*(Inputs!$F$152*AD19+(1-Inputs!$F$152)*AD23*Inputs!$F$153/AD11)*Time!AD25/12*Inputs!$F$40</f>
        <v>5.96306772563309</v>
      </c>
      <c r="AE56" s="11" t="n">
        <f aca="false">Inputs!$F$151*(Inputs!$F$152*AE19+(1-Inputs!$F$152)*AE23*Inputs!$F$153/AE11)*Time!AE25/12*Inputs!$F$40</f>
        <v>6.03125316701249</v>
      </c>
      <c r="AF56" s="11" t="n">
        <f aca="false">Inputs!$F$151*(Inputs!$F$152*AF19+(1-Inputs!$F$152)*AF23*Inputs!$F$153/AF11)*Time!AF25/12*Inputs!$F$40</f>
        <v>6.10021828332265</v>
      </c>
      <c r="AG56" s="11" t="n">
        <f aca="false">Inputs!$F$151*(Inputs!$F$152*AG19+(1-Inputs!$F$152)*AG23*Inputs!$F$153/AG11)*Time!AG25/12*Inputs!$F$40</f>
        <v>6.16997198985378</v>
      </c>
      <c r="AH56" s="11" t="n">
        <f aca="false">Inputs!$F$151*(Inputs!$F$152*AH19+(1-Inputs!$F$152)*AH23*Inputs!$F$153/AH11)*Time!AH25/12*Inputs!$F$40</f>
        <v>6.24052330383907</v>
      </c>
      <c r="AI56" s="11" t="n">
        <f aca="false">Inputs!$F$151*(Inputs!$F$152*AI19+(1-Inputs!$F$152)*AI23*Inputs!$F$153/AI11)*Time!AI25/12*Inputs!$F$40</f>
        <v>6.31188134562042</v>
      </c>
      <c r="AJ56" s="11" t="n">
        <f aca="false">Inputs!$F$151*(Inputs!$F$152*AJ19+(1-Inputs!$F$152)*AJ23*Inputs!$F$153/AJ11)*Time!AJ25/12*Inputs!$F$40</f>
        <v>6.38405533982737</v>
      </c>
      <c r="AK56" s="11" t="n">
        <f aca="false">Inputs!$F$151*(Inputs!$F$152*AK19+(1-Inputs!$F$152)*AK23*Inputs!$F$153/AK11)*Time!AK25/12*Inputs!$F$40</f>
        <v>6.45705461656968</v>
      </c>
      <c r="AL56" s="11" t="n">
        <f aca="false">Inputs!$F$151*(Inputs!$F$152*AL19+(1-Inputs!$F$152)*AL23*Inputs!$F$153/AL11)*Time!AL25/12*Inputs!$F$40</f>
        <v>6.5308886126434</v>
      </c>
      <c r="AM56" s="11" t="n">
        <f aca="false">Inputs!$F$151*(Inputs!$F$152*AM19+(1-Inputs!$F$152)*AM23*Inputs!$F$153/AM11)*Time!AM25/12*Inputs!$F$40</f>
        <v>6.60556687275078</v>
      </c>
      <c r="AN56" s="11" t="n">
        <f aca="false">Inputs!$F$151*(Inputs!$F$152*AN19+(1-Inputs!$F$152)*AN23*Inputs!$F$153/AN11)*Time!AN25/12*Inputs!$F$40</f>
        <v>6.68109905073419</v>
      </c>
      <c r="AO56" s="11" t="n">
        <f aca="false">Inputs!$F$151*(Inputs!$F$152*AO19+(1-Inputs!$F$152)*AO23*Inputs!$F$153/AO11)*Time!AO25/12*Inputs!$F$40</f>
        <v>6.75749491082405</v>
      </c>
      <c r="AP56" s="11" t="n">
        <f aca="false">Inputs!$F$151*(Inputs!$F$152*AP19+(1-Inputs!$F$152)*AP23*Inputs!$F$153/AP11)*Time!AP25/12*Inputs!$F$40</f>
        <v>6.83476432890108</v>
      </c>
      <c r="AQ56" s="11" t="n">
        <f aca="false">Inputs!$F$151*(Inputs!$F$152*AQ19+(1-Inputs!$F$152)*AQ23*Inputs!$F$153/AQ11)*Time!AQ25/12*Inputs!$F$40</f>
        <v>6.912917293773</v>
      </c>
      <c r="AR56" s="11" t="n">
        <f aca="false">Inputs!$F$151*(Inputs!$F$152*AR19+(1-Inputs!$F$152)*AR23*Inputs!$F$153/AR11)*Time!AR25/12*Inputs!$F$40</f>
        <v>6.9919639084658</v>
      </c>
      <c r="AS56" s="11" t="n">
        <f aca="false">Inputs!$F$151*(Inputs!$F$152*AS19+(1-Inputs!$F$152)*AS23*Inputs!$F$153/AS11)*Time!AS25/12*Inputs!$F$40</f>
        <v>7.07191439152978</v>
      </c>
      <c r="AT56" s="11" t="n">
        <f aca="false">Inputs!$F$151*(Inputs!$F$152*AT19+(1-Inputs!$F$152)*AT23*Inputs!$F$153/AT11)*Time!AT25/12*Inputs!$F$40</f>
        <v>7.15277907836051</v>
      </c>
      <c r="AU56" s="11" t="n">
        <f aca="false">Inputs!$F$151*(Inputs!$F$152*AU19+(1-Inputs!$F$152)*AU23*Inputs!$F$153/AU11)*Time!AU25/12*Inputs!$F$40</f>
        <v>7.23456842253496</v>
      </c>
      <c r="AV56" s="11" t="n">
        <f aca="false">Inputs!$F$151*(Inputs!$F$152*AV19+(1-Inputs!$F$152)*AV23*Inputs!$F$153/AV11)*Time!AV25/12*Inputs!$F$40</f>
        <v>7.31729299716281</v>
      </c>
      <c r="AW56" s="11" t="n">
        <f aca="false">Inputs!$F$151*(Inputs!$F$152*AW19+(1-Inputs!$F$152)*AW23*Inputs!$F$153/AW11)*Time!AW25/12*Inputs!$F$40</f>
        <v>7.40096349625326</v>
      </c>
      <c r="AX56" s="11" t="n">
        <f aca="false">Inputs!$F$151*(Inputs!$F$152*AX19+(1-Inputs!$F$152)*AX23*Inputs!$F$153/AX11)*Time!AX25/12*Inputs!$F$40</f>
        <v>7.48559073609755</v>
      </c>
      <c r="AY56" s="11" t="n">
        <f aca="false">Inputs!$F$151*(Inputs!$F$152*AY19+(1-Inputs!$F$152)*AY23*Inputs!$F$153/AY11)*Time!AY25/12*Inputs!$F$40</f>
        <v>7.57118565666709</v>
      </c>
      <c r="AZ56" s="11" t="n">
        <f aca="false">Inputs!$F$151*(Inputs!$F$152*AZ19+(1-Inputs!$F$152)*AZ23*Inputs!$F$153/AZ11)*Time!AZ25/12*Inputs!$F$40</f>
        <v>7.65775932302779</v>
      </c>
      <c r="BA56" s="11" t="n">
        <f aca="false">Inputs!$F$151*(Inputs!$F$152*BA19+(1-Inputs!$F$152)*BA23*Inputs!$F$153/BA11)*Time!BA25/12*Inputs!$F$40</f>
        <v>7.74532292677043</v>
      </c>
      <c r="BB56" s="11" t="n">
        <f aca="false">Inputs!$F$151*(Inputs!$F$152*BB19+(1-Inputs!$F$152)*BB23*Inputs!$F$153/BB11)*Time!BB25/12*Inputs!$F$40</f>
        <v>7.83388778745743</v>
      </c>
      <c r="BC56" s="11" t="n">
        <f aca="false">Inputs!$F$151*(Inputs!$F$152*BC19+(1-Inputs!$F$152)*BC23*Inputs!$F$153/BC11)*Time!BC25/12*Inputs!$F$40</f>
        <v>7.92346535408615</v>
      </c>
      <c r="BD56" s="11" t="n">
        <f aca="false">Inputs!$F$151*(Inputs!$F$152*BD19+(1-Inputs!$F$152)*BD23*Inputs!$F$153/BD11)*Time!BD25/12*Inputs!$F$40</f>
        <v>8.01406720656895</v>
      </c>
      <c r="BE56" s="11" t="n">
        <f aca="false">Inputs!$F$151*(Inputs!$F$152*BE19+(1-Inputs!$F$152)*BE23*Inputs!$F$153/BE11)*Time!BE25/12*Inputs!$F$40</f>
        <v>8.10570505723013</v>
      </c>
      <c r="BF56" s="11" t="n">
        <f aca="false">Inputs!$F$151*(Inputs!$F$152*BF19+(1-Inputs!$F$152)*BF23*Inputs!$F$153/BF11)*Time!BF25/12*Inputs!$F$40</f>
        <v>8.19839075232003</v>
      </c>
      <c r="BG56" s="11" t="n">
        <f aca="false">Inputs!$F$151*(Inputs!$F$152*BG19+(1-Inputs!$F$152)*BG23*Inputs!$F$153/BG11)*Time!BG25/12*Inputs!$F$40</f>
        <v>8.29213627354642</v>
      </c>
      <c r="BH56" s="11" t="n">
        <f aca="false">Inputs!$F$151*(Inputs!$F$152*BH19+(1-Inputs!$F$152)*BH23*Inputs!$F$153/BH11)*Time!BH25/12*Inputs!$F$40</f>
        <v>8.38695373962339</v>
      </c>
      <c r="BI56" s="11" t="n">
        <f aca="false">Inputs!$F$151*(Inputs!$F$152*BI19+(1-Inputs!$F$152)*BI23*Inputs!$F$153/BI11)*Time!BI25/12*Inputs!$F$40</f>
        <v>8.48285540783799</v>
      </c>
      <c r="BJ56" s="11" t="n">
        <f aca="false">Inputs!$F$151*(Inputs!$F$152*BJ19+(1-Inputs!$F$152)*BJ23*Inputs!$F$153/BJ11)*Time!BJ25/12*Inputs!$F$40</f>
        <v>8.57985367563473</v>
      </c>
      <c r="BK56" s="11" t="n">
        <f aca="false">Inputs!$F$151*(Inputs!$F$152*BK19+(1-Inputs!$F$152)*BK23*Inputs!$F$153/BK11)*Time!BK25/12*Inputs!$F$40</f>
        <v>8.67796108221826</v>
      </c>
      <c r="BL56" s="11" t="n">
        <f aca="false">Inputs!$F$151*(Inputs!$F$152*BL19+(1-Inputs!$F$152)*BL23*Inputs!$F$153/BL11)*Time!BL25/12*Inputs!$F$40</f>
        <v>8.77719031017432</v>
      </c>
      <c r="BM56" s="11" t="n">
        <f aca="false">Inputs!$F$151*(Inputs!$F$152*BM19+(1-Inputs!$F$152)*BM23*Inputs!$F$153/BM11)*Time!BM25/12*Inputs!$F$40</f>
        <v>8.87755418710927</v>
      </c>
      <c r="BN56" s="11" t="n">
        <f aca="false">Inputs!$F$151*(Inputs!$F$152*BN19+(1-Inputs!$F$152)*BN23*Inputs!$F$153/BN11)*Time!BN25/12*Inputs!$F$40</f>
        <v>7.48255473942361</v>
      </c>
    </row>
    <row r="57" customFormat="false" ht="15" hidden="false" customHeight="false" outlineLevel="0" collapsed="false">
      <c r="D57" s="0" t="s">
        <v>510</v>
      </c>
      <c r="E57" s="0" t="s">
        <v>149</v>
      </c>
      <c r="G57" s="11" t="n">
        <f aca="false">SUM(J57:BN57)</f>
        <v>4.59656485532543</v>
      </c>
      <c r="J57" s="11" t="n">
        <f aca="false">IF(Time!J25&gt;0,Inputs!$F$154*MAX(-1,MIN(1,(J28-92)/3))*J19*Time!J25/12,0)</f>
        <v>0</v>
      </c>
      <c r="K57" s="11" t="n">
        <f aca="false">IF(Time!K25&gt;0,Inputs!$F$154*MAX(-1,MIN(1,(K28-92)/3))*K19*Time!K25/12,0)</f>
        <v>0</v>
      </c>
      <c r="L57" s="11" t="n">
        <f aca="false">IF(Time!L25&gt;0,Inputs!$F$154*MAX(-1,MIN(1,(L28-92)/3))*L19*Time!L25/12,0)</f>
        <v>0</v>
      </c>
      <c r="M57" s="11" t="n">
        <f aca="false">IF(Time!M25&gt;0,Inputs!$F$154*MAX(-1,MIN(1,(M28-92)/3))*M19*Time!M25/12,0)</f>
        <v>0</v>
      </c>
      <c r="N57" s="11" t="n">
        <f aca="false">IF(Time!N25&gt;0,Inputs!$F$154*MAX(-1,MIN(1,(N28-92)/3))*N19*Time!N25/12,0)</f>
        <v>0</v>
      </c>
      <c r="O57" s="11" t="n">
        <f aca="false">IF(Time!O25&gt;0,Inputs!$F$154*MAX(-1,MIN(1,(O28-92)/3))*O19*Time!O25/12,0)</f>
        <v>0</v>
      </c>
      <c r="P57" s="11" t="n">
        <f aca="false">IF(Time!P25&gt;0,Inputs!$F$154*MAX(-1,MIN(1,(P28-92)/3))*P19*Time!P25/12,0)</f>
        <v>0.0323712548455126</v>
      </c>
      <c r="Q57" s="11" t="n">
        <f aca="false">IF(Time!Q25&gt;0,Inputs!$F$154*MAX(-1,MIN(1,(Q28-92)/3))*Q19*Time!Q25/12,0)</f>
        <v>0.200287291907586</v>
      </c>
      <c r="R57" s="11" t="n">
        <f aca="false">IF(Time!R25&gt;0,Inputs!$F$154*MAX(-1,MIN(1,(R28-92)/3))*R19*Time!R25/12,0)</f>
        <v>0.190799271131874</v>
      </c>
      <c r="S57" s="11" t="n">
        <f aca="false">IF(Time!S25&gt;0,Inputs!$F$154*MAX(-1,MIN(1,(S28-92)/3))*S19*Time!S25/12,0)</f>
        <v>0.107165229362943</v>
      </c>
      <c r="T57" s="11" t="n">
        <f aca="false">IF(Time!T25&gt;0,Inputs!$F$154*MAX(-1,MIN(1,(T28-92)/3))*T19*Time!T25/12,0)</f>
        <v>0.127563390024382</v>
      </c>
      <c r="U57" s="11" t="n">
        <f aca="false">IF(Time!U25&gt;0,Inputs!$F$154*MAX(-1,MIN(1,(U28-92)/3))*U19*Time!U25/12,0)</f>
        <v>0.222472217816213</v>
      </c>
      <c r="V57" s="11" t="n">
        <f aca="false">IF(Time!V25&gt;0,Inputs!$F$154*MAX(-1,MIN(1,(V28-92)/3))*V19*Time!V25/12,0)</f>
        <v>0.15880834084569</v>
      </c>
      <c r="W57" s="11" t="n">
        <f aca="false">IF(Time!W25&gt;0,Inputs!$F$154*MAX(-1,MIN(1,(W28-92)/3))*W19*Time!W25/12,0)</f>
        <v>-0.177965351554707</v>
      </c>
      <c r="X57" s="11" t="n">
        <f aca="false">IF(Time!X25&gt;0,Inputs!$F$154*MAX(-1,MIN(1,(X28-92)/3))*X19*Time!X25/12,0)</f>
        <v>-0.111646403150762</v>
      </c>
      <c r="Y57" s="11" t="n">
        <f aca="false">IF(Time!Y25&gt;0,Inputs!$F$154*MAX(-1,MIN(1,(Y28-92)/3))*Y19*Time!Y25/12,0)</f>
        <v>0.23493331086935</v>
      </c>
      <c r="Z57" s="11" t="n">
        <f aca="false">IF(Time!Z25&gt;0,Inputs!$F$154*MAX(-1,MIN(1,(Z28-92)/3))*Z19*Time!Z25/12,0)</f>
        <v>0.218137192167844</v>
      </c>
      <c r="AA57" s="11" t="n">
        <f aca="false">IF(Time!AA25&gt;0,Inputs!$F$154*MAX(-1,MIN(1,(AA28-92)/3))*AA19*Time!AA25/12,0)</f>
        <v>0.120432591718436</v>
      </c>
      <c r="AB57" s="11" t="n">
        <f aca="false">IF(Time!AB25&gt;0,Inputs!$F$154*MAX(-1,MIN(1,(AB28-92)/3))*AB19*Time!AB25/12,0)</f>
        <v>0.142111308737859</v>
      </c>
      <c r="AC57" s="11" t="n">
        <f aca="false">IF(Time!AC25&gt;0,Inputs!$F$154*MAX(-1,MIN(1,(AC28-92)/3))*AC19*Time!AC25/12,0)</f>
        <v>0.246405082655914</v>
      </c>
      <c r="AD57" s="11" t="n">
        <f aca="false">IF(Time!AD25&gt;0,Inputs!$F$154*MAX(-1,MIN(1,(AD28-92)/3))*AD19*Time!AD25/12,0)</f>
        <v>0.131534167044656</v>
      </c>
      <c r="AE57" s="11" t="n">
        <f aca="false">IF(Time!AE25&gt;0,Inputs!$F$154*MAX(-1,MIN(1,(AE28-92)/3))*AE19*Time!AE25/12,0)</f>
        <v>-0.420120665928333</v>
      </c>
      <c r="AF57" s="11" t="n">
        <f aca="false">IF(Time!AF25&gt;0,Inputs!$F$154*MAX(-1,MIN(1,(AF28-92)/3))*AF19*Time!AF25/12,0)</f>
        <v>-0.347021746918287</v>
      </c>
      <c r="AG57" s="11" t="n">
        <f aca="false">IF(Time!AG25&gt;0,Inputs!$F$154*MAX(-1,MIN(1,(AG28-92)/3))*AG19*Time!AG25/12,0)</f>
        <v>0.25787006474681</v>
      </c>
      <c r="AH57" s="11" t="n">
        <f aca="false">IF(Time!AH25&gt;0,Inputs!$F$154*MAX(-1,MIN(1,(AH28-92)/3))*AH19*Time!AH25/12,0)</f>
        <v>0.239083819473763</v>
      </c>
      <c r="AI57" s="11" t="n">
        <f aca="false">IF(Time!AI25&gt;0,Inputs!$F$154*MAX(-1,MIN(1,(AI28-92)/3))*AI19*Time!AI25/12,0)</f>
        <v>0.131900538117997</v>
      </c>
      <c r="AJ57" s="11" t="n">
        <f aca="false">IF(Time!AJ25&gt;0,Inputs!$F$154*MAX(-1,MIN(1,(AJ28-92)/3))*AJ19*Time!AJ25/12,0)</f>
        <v>0.15564356647742</v>
      </c>
      <c r="AK57" s="11" t="n">
        <f aca="false">IF(Time!AK25&gt;0,Inputs!$F$154*MAX(-1,MIN(1,(AK28-92)/3))*AK19*Time!AK25/12,0)</f>
        <v>0.269868500989415</v>
      </c>
      <c r="AL57" s="11" t="n">
        <f aca="false">IF(Time!AL25&gt;0,Inputs!$F$154*MAX(-1,MIN(1,(AL28-92)/3))*AL19*Time!AL25/12,0)</f>
        <v>0.192078984229944</v>
      </c>
      <c r="AM57" s="11" t="n">
        <f aca="false">IF(Time!AM25&gt;0,Inputs!$F$154*MAX(-1,MIN(1,(AM28-92)/3))*AM19*Time!AM25/12,0)</f>
        <v>-0.214725370620581</v>
      </c>
      <c r="AN57" s="11" t="n">
        <f aca="false">IF(Time!AN25&gt;0,Inputs!$F$154*MAX(-1,MIN(1,(AN28-92)/3))*AN19*Time!AN25/12,0)</f>
        <v>-0.134445179540739</v>
      </c>
      <c r="AO57" s="11" t="n">
        <f aca="false">IF(Time!AO25&gt;0,Inputs!$F$154*MAX(-1,MIN(1,(AO28-92)/3))*AO19*Time!AO25/12,0)</f>
        <v>0.282425212471951</v>
      </c>
      <c r="AP57" s="11" t="n">
        <f aca="false">IF(Time!AP25&gt;0,Inputs!$F$154*MAX(-1,MIN(1,(AP28-92)/3))*AP19*Time!AP25/12,0)</f>
        <v>0.26185008554514</v>
      </c>
      <c r="AQ57" s="11" t="n">
        <f aca="false">IF(Time!AQ25&gt;0,Inputs!$F$154*MAX(-1,MIN(1,(AQ28-92)/3))*AQ19*Time!AQ25/12,0)</f>
        <v>0.144460496179406</v>
      </c>
      <c r="AR57" s="11" t="n">
        <f aca="false">IF(Time!AR25&gt;0,Inputs!$F$154*MAX(-1,MIN(1,(AR28-92)/3))*AR19*Time!AR25/12,0)</f>
        <v>0.170464405689886</v>
      </c>
      <c r="AS57" s="11" t="n">
        <f aca="false">IF(Time!AS25&gt;0,Inputs!$F$154*MAX(-1,MIN(1,(AS28-92)/3))*AS19*Time!AS25/12,0)</f>
        <v>0.295566175183058</v>
      </c>
      <c r="AT57" s="11" t="n">
        <f aca="false">IF(Time!AT25&gt;0,Inputs!$F$154*MAX(-1,MIN(1,(AT28-92)/3))*AT19*Time!AT25/12,0)</f>
        <v>0.157776983494969</v>
      </c>
      <c r="AU57" s="11" t="n">
        <f aca="false">IF(Time!AU25&gt;0,Inputs!$F$154*MAX(-1,MIN(1,(AU28-92)/3))*AU19*Time!AU25/12,0)</f>
        <v>-0.503940328687115</v>
      </c>
      <c r="AV57" s="11" t="n">
        <f aca="false">IF(Time!AV25&gt;0,Inputs!$F$154*MAX(-1,MIN(1,(AV28-92)/3))*AV19*Time!AV25/12,0)</f>
        <v>-0.416257202718541</v>
      </c>
      <c r="AW57" s="11" t="n">
        <f aca="false">IF(Time!AW25&gt;0,Inputs!$F$154*MAX(-1,MIN(1,(AW28-92)/3))*AW19*Time!AW25/12,0)</f>
        <v>0.30931857374815</v>
      </c>
      <c r="AX57" s="11" t="n">
        <f aca="false">IF(Time!AX25&gt;0,Inputs!$F$154*MAX(-1,MIN(1,(AX28-92)/3))*AX19*Time!AX25/12,0)</f>
        <v>0.286784222583166</v>
      </c>
      <c r="AY57" s="11" t="n">
        <f aca="false">IF(Time!AY25&gt;0,Inputs!$F$154*MAX(-1,MIN(1,(AY28-92)/3))*AY19*Time!AY25/12,0)</f>
        <v>0.158216450472183</v>
      </c>
      <c r="AZ57" s="11" t="n">
        <f aca="false">IF(Time!AZ25&gt;0,Inputs!$F$154*MAX(-1,MIN(1,(AZ28-92)/3))*AZ19*Time!AZ25/12,0)</f>
        <v>0.186696528901641</v>
      </c>
      <c r="BA57" s="11" t="n">
        <f aca="false">IF(Time!BA25&gt;0,Inputs!$F$154*MAX(-1,MIN(1,(BA28-92)/3))*BA19*Time!BA25/12,0)</f>
        <v>0.323710857666078</v>
      </c>
      <c r="BB57" s="11" t="n">
        <f aca="false">IF(Time!BB25&gt;0,Inputs!$F$154*MAX(-1,MIN(1,(BB28-92)/3))*BB19*Time!BB25/12,0)</f>
        <v>0.230401297286426</v>
      </c>
      <c r="BC57" s="11" t="n">
        <f aca="false">IF(Time!BC25&gt;0,Inputs!$F$154*MAX(-1,MIN(1,(BC28-92)/3))*BC19*Time!BC25/12,0)</f>
        <v>-0.25756593908298</v>
      </c>
      <c r="BD57" s="11" t="n">
        <f aca="false">IF(Time!BD25&gt;0,Inputs!$F$154*MAX(-1,MIN(1,(BD28-92)/3))*BD19*Time!BD25/12,0)</f>
        <v>-0.161268781716432</v>
      </c>
      <c r="BE57" s="11" t="n">
        <f aca="false">IF(Time!BE25&gt;0,Inputs!$F$154*MAX(-1,MIN(1,(BE28-92)/3))*BE19*Time!BE25/12,0)</f>
        <v>0.338772800162423</v>
      </c>
      <c r="BF57" s="11" t="n">
        <f aca="false">IF(Time!BF25&gt;0,Inputs!$F$154*MAX(-1,MIN(1,(BF28-92)/3))*BF19*Time!BF25/12,0)</f>
        <v>0.314092661651824</v>
      </c>
      <c r="BG57" s="11" t="n">
        <f aca="false">IF(Time!BG25&gt;0,Inputs!$F$154*MAX(-1,MIN(1,(BG28-92)/3))*BG19*Time!BG25/12,0)</f>
        <v>0.173282287283083</v>
      </c>
      <c r="BH57" s="11" t="n">
        <f aca="false">IF(Time!BH25&gt;0,Inputs!$F$154*MAX(-1,MIN(1,(BH28-92)/3))*BH19*Time!BH25/12,0)</f>
        <v>0.204474322735338</v>
      </c>
      <c r="BI57" s="11" t="n">
        <f aca="false">IF(Time!BI25&gt;0,Inputs!$F$154*MAX(-1,MIN(1,(BI28-92)/3))*BI19*Time!BI25/12,0)</f>
        <v>0.35453555978118</v>
      </c>
      <c r="BJ57" s="11" t="n">
        <f aca="false">IF(Time!BJ25&gt;0,Inputs!$F$154*MAX(-1,MIN(1,(BJ28-92)/3))*BJ19*Time!BJ25/12,0)</f>
        <v>0.189255591000323</v>
      </c>
      <c r="BK57" s="11" t="n">
        <f aca="false">IF(Time!BK25&gt;0,Inputs!$F$154*MAX(-1,MIN(1,(BK28-92)/3))*BK19*Time!BK25/12,0)</f>
        <v>-0.604483129426913</v>
      </c>
      <c r="BL57" s="11" t="n">
        <f aca="false">IF(Time!BL25&gt;0,Inputs!$F$154*MAX(-1,MIN(1,(BL28-92)/3))*BL19*Time!BL25/12,0)</f>
        <v>-0.499306053161746</v>
      </c>
      <c r="BM57" s="11" t="n">
        <f aca="false">IF(Time!BM25&gt;0,Inputs!$F$154*MAX(-1,MIN(1,(BM28-92)/3))*BM19*Time!BM25/12,0)</f>
        <v>0.371031744842238</v>
      </c>
      <c r="BN57" s="11" t="n">
        <f aca="false">IF(Time!BN25&gt;0,Inputs!$F$154*MAX(-1,MIN(1,(BN28-92)/3))*BN19*Time!BN25/12,0)</f>
        <v>0.312728627990489</v>
      </c>
    </row>
    <row r="58" customFormat="false" ht="15" hidden="false" customHeight="false" outlineLevel="0" collapsed="false">
      <c r="D58" s="0" t="s">
        <v>261</v>
      </c>
      <c r="E58" s="0" t="s">
        <v>149</v>
      </c>
      <c r="G58" s="11" t="n">
        <f aca="false">SUM(J58:BN58)</f>
        <v>105.034312734486</v>
      </c>
      <c r="J58" s="11" t="n">
        <f aca="false">Inputs!$F$155*J19*Time!J25/12*Inputs!$F$40</f>
        <v>0</v>
      </c>
      <c r="K58" s="11" t="n">
        <f aca="false">Inputs!$F$155*K19*Time!K25/12*Inputs!$F$40</f>
        <v>0</v>
      </c>
      <c r="L58" s="11" t="n">
        <f aca="false">Inputs!$F$155*L19*Time!L25/12*Inputs!$F$40</f>
        <v>0</v>
      </c>
      <c r="M58" s="11" t="n">
        <f aca="false">Inputs!$F$155*M19*Time!M25/12*Inputs!$F$40</f>
        <v>0</v>
      </c>
      <c r="N58" s="11" t="n">
        <f aca="false">Inputs!$F$155*N19*Time!N25/12*Inputs!$F$40</f>
        <v>0</v>
      </c>
      <c r="O58" s="11" t="n">
        <f aca="false">Inputs!$F$155*O19*Time!O25/12*Inputs!$F$40</f>
        <v>0</v>
      </c>
      <c r="P58" s="11" t="n">
        <f aca="false">Inputs!$F$155*P19*Time!P25/12*Inputs!$F$40</f>
        <v>0.237389202200426</v>
      </c>
      <c r="Q58" s="11" t="n">
        <f aca="false">Inputs!$F$155*Q19*Time!Q25/12*Inputs!$F$40</f>
        <v>1.46877347398896</v>
      </c>
      <c r="R58" s="11" t="n">
        <f aca="false">Inputs!$F$155*R19*Time!R25/12*Inputs!$F$40</f>
        <v>1.526394169055</v>
      </c>
      <c r="S58" s="11" t="n">
        <f aca="false">Inputs!$F$155*S19*Time!S25/12*Inputs!$F$40</f>
        <v>1.57175669732314</v>
      </c>
      <c r="T58" s="11" t="n">
        <f aca="false">Inputs!$F$155*T19*Time!T25/12*Inputs!$F$40</f>
        <v>1.60365404602081</v>
      </c>
      <c r="U58" s="11" t="n">
        <f aca="false">Inputs!$F$155*U19*Time!U25/12*Inputs!$F$40</f>
        <v>1.63146293065223</v>
      </c>
      <c r="V58" s="11" t="n">
        <f aca="false">Inputs!$F$155*V19*Time!V25/12*Inputs!$F$40</f>
        <v>1.65495007828667</v>
      </c>
      <c r="W58" s="11" t="n">
        <f aca="false">Inputs!$F$155*W19*Time!W25/12*Inputs!$F$40</f>
        <v>1.67795902894435</v>
      </c>
      <c r="X58" s="11" t="n">
        <f aca="false">Inputs!$F$155*X19*Time!X25/12*Inputs!$F$40</f>
        <v>1.70046060183466</v>
      </c>
      <c r="Y58" s="11" t="n">
        <f aca="false">Inputs!$F$155*Y19*Time!Y25/12*Inputs!$F$40</f>
        <v>1.72284427970857</v>
      </c>
      <c r="Z58" s="11" t="n">
        <f aca="false">Inputs!$F$155*Z19*Time!Z25/12*Inputs!$F$40</f>
        <v>1.74509753734276</v>
      </c>
      <c r="AA58" s="11" t="n">
        <f aca="false">Inputs!$F$155*AA19*Time!AA25/12*Inputs!$F$40</f>
        <v>1.76634467853702</v>
      </c>
      <c r="AB58" s="11" t="n">
        <f aca="false">Inputs!$F$155*AB19*Time!AB25/12*Inputs!$F$40</f>
        <v>1.78654216699023</v>
      </c>
      <c r="AC58" s="11" t="n">
        <f aca="false">Inputs!$F$155*AC19*Time!AC25/12*Inputs!$F$40</f>
        <v>1.80697060614337</v>
      </c>
      <c r="AD58" s="11" t="n">
        <f aca="false">Inputs!$F$155*AD19*Time!AD25/12*Inputs!$F$40</f>
        <v>1.82763263683101</v>
      </c>
      <c r="AE58" s="11" t="n">
        <f aca="false">Inputs!$F$155*AE19*Time!AE25/12*Inputs!$F$40</f>
        <v>1.84853093008467</v>
      </c>
      <c r="AF58" s="11" t="n">
        <f aca="false">Inputs!$F$155*AF19*Time!AF25/12*Inputs!$F$40</f>
        <v>1.86966818747812</v>
      </c>
      <c r="AG58" s="11" t="n">
        <f aca="false">Inputs!$F$155*AG19*Time!AG25/12*Inputs!$F$40</f>
        <v>1.89104714147661</v>
      </c>
      <c r="AH58" s="11" t="n">
        <f aca="false">Inputs!$F$155*AH19*Time!AH25/12*Inputs!$F$40</f>
        <v>1.91267055579011</v>
      </c>
      <c r="AI58" s="11" t="n">
        <f aca="false">Inputs!$F$155*AI19*Time!AI25/12*Inputs!$F$40</f>
        <v>1.93454122573057</v>
      </c>
      <c r="AJ58" s="11" t="n">
        <f aca="false">Inputs!$F$155*AJ19*Time!AJ25/12*Inputs!$F$40</f>
        <v>1.95666197857329</v>
      </c>
      <c r="AK58" s="11" t="n">
        <f aca="false">Inputs!$F$155*AK19*Time!AK25/12*Inputs!$F$40</f>
        <v>1.97903567392238</v>
      </c>
      <c r="AL58" s="11" t="n">
        <f aca="false">Inputs!$F$155*AL19*Time!AL25/12*Inputs!$F$40</f>
        <v>2.00166520408047</v>
      </c>
      <c r="AM58" s="11" t="n">
        <f aca="false">Inputs!$F$155*AM19*Time!AM25/12*Inputs!$F$40</f>
        <v>2.02455349442259</v>
      </c>
      <c r="AN58" s="11" t="n">
        <f aca="false">Inputs!$F$155*AN19*Time!AN25/12*Inputs!$F$40</f>
        <v>2.04770350377432</v>
      </c>
      <c r="AO58" s="11" t="n">
        <f aca="false">Inputs!$F$155*AO19*Time!AO25/12*Inputs!$F$40</f>
        <v>2.07111822479431</v>
      </c>
      <c r="AP58" s="11" t="n">
        <f aca="false">Inputs!$F$155*AP19*Time!AP25/12*Inputs!$F$40</f>
        <v>2.09480068436113</v>
      </c>
      <c r="AQ58" s="11" t="n">
        <f aca="false">Inputs!$F$155*AQ19*Time!AQ25/12*Inputs!$F$40</f>
        <v>2.11875394396458</v>
      </c>
      <c r="AR58" s="11" t="n">
        <f aca="false">Inputs!$F$155*AR19*Time!AR25/12*Inputs!$F$40</f>
        <v>2.14298110010144</v>
      </c>
      <c r="AS58" s="11" t="n">
        <f aca="false">Inputs!$F$155*AS19*Time!AS25/12*Inputs!$F$40</f>
        <v>2.16748528467576</v>
      </c>
      <c r="AT58" s="11" t="n">
        <f aca="false">Inputs!$F$155*AT19*Time!AT25/12*Inputs!$F$40</f>
        <v>2.19226966540377</v>
      </c>
      <c r="AU58" s="11" t="n">
        <f aca="false">Inputs!$F$155*AU19*Time!AU25/12*Inputs!$F$40</f>
        <v>2.21733744622331</v>
      </c>
      <c r="AV58" s="11" t="n">
        <f aca="false">Inputs!$F$155*AV19*Time!AV25/12*Inputs!$F$40</f>
        <v>2.24269186770805</v>
      </c>
      <c r="AW58" s="11" t="n">
        <f aca="false">Inputs!$F$155*AW19*Time!AW25/12*Inputs!$F$40</f>
        <v>2.26833620748644</v>
      </c>
      <c r="AX58" s="11" t="n">
        <f aca="false">Inputs!$F$155*AX19*Time!AX25/12*Inputs!$F$40</f>
        <v>2.29427378066534</v>
      </c>
      <c r="AY58" s="11" t="n">
        <f aca="false">Inputs!$F$155*AY19*Time!AY25/12*Inputs!$F$40</f>
        <v>2.32050794025863</v>
      </c>
      <c r="AZ58" s="11" t="n">
        <f aca="false">Inputs!$F$155*AZ19*Time!AZ25/12*Inputs!$F$40</f>
        <v>2.34704207762064</v>
      </c>
      <c r="BA58" s="11" t="n">
        <f aca="false">Inputs!$F$155*BA19*Time!BA25/12*Inputs!$F$40</f>
        <v>2.37387962288458</v>
      </c>
      <c r="BB58" s="11" t="n">
        <f aca="false">Inputs!$F$155*BB19*Time!BB25/12*Inputs!$F$40</f>
        <v>2.40102404540592</v>
      </c>
      <c r="BC58" s="11" t="n">
        <f aca="false">Inputs!$F$155*BC19*Time!BC25/12*Inputs!$F$40</f>
        <v>2.42847885421092</v>
      </c>
      <c r="BD58" s="11" t="n">
        <f aca="false">Inputs!$F$155*BD19*Time!BD25/12*Inputs!$F$40</f>
        <v>2.45624759845025</v>
      </c>
      <c r="BE58" s="11" t="n">
        <f aca="false">Inputs!$F$155*BE19*Time!BE25/12*Inputs!$F$40</f>
        <v>2.48433386785777</v>
      </c>
      <c r="BF58" s="11" t="n">
        <f aca="false">Inputs!$F$155*BF19*Time!BF25/12*Inputs!$F$40</f>
        <v>2.51274129321461</v>
      </c>
      <c r="BG58" s="11" t="n">
        <f aca="false">Inputs!$F$155*BG19*Time!BG25/12*Inputs!$F$40</f>
        <v>2.5414735468185</v>
      </c>
      <c r="BH58" s="11" t="n">
        <f aca="false">Inputs!$F$155*BH19*Time!BH25/12*Inputs!$F$40</f>
        <v>2.57053434295854</v>
      </c>
      <c r="BI58" s="11" t="n">
        <f aca="false">Inputs!$F$155*BI19*Time!BI25/12*Inputs!$F$40</f>
        <v>2.59992743839532</v>
      </c>
      <c r="BJ58" s="11" t="n">
        <f aca="false">Inputs!$F$155*BJ19*Time!BJ25/12*Inputs!$F$40</f>
        <v>2.62965663284659</v>
      </c>
      <c r="BK58" s="11" t="n">
        <f aca="false">Inputs!$F$155*BK19*Time!BK25/12*Inputs!$F$40</f>
        <v>2.65972576947842</v>
      </c>
      <c r="BL58" s="11" t="n">
        <f aca="false">Inputs!$F$155*BL19*Time!BL25/12*Inputs!$F$40</f>
        <v>2.69013873540206</v>
      </c>
      <c r="BM58" s="11" t="n">
        <f aca="false">Inputs!$F$155*BM19*Time!BM25/12*Inputs!$F$40</f>
        <v>2.72089946217642</v>
      </c>
      <c r="BN58" s="11" t="n">
        <f aca="false">Inputs!$F$155*BN19*Time!BN25/12*Inputs!$F$40</f>
        <v>2.29334327193025</v>
      </c>
    </row>
    <row r="59" customFormat="false" ht="15" hidden="false" customHeight="false" outlineLevel="0" collapsed="false">
      <c r="D59" s="0" t="s">
        <v>511</v>
      </c>
      <c r="E59" s="0" t="s">
        <v>512</v>
      </c>
      <c r="J59" s="13" t="n">
        <f aca="false">IF(J27&gt;0,2*(Inputs!$F$129*J28/J27*J33/Inputs!$F$131+Inputs!$F$130*Inputs!$F$132)*Time!J25/12,0)</f>
        <v>0</v>
      </c>
      <c r="K59" s="13" t="n">
        <f aca="false">IF(K27&gt;0,2*(Inputs!$F$129*K28/K27*K33/Inputs!$F$131+Inputs!$F$130*Inputs!$F$132)*Time!K25/12,0)</f>
        <v>0</v>
      </c>
      <c r="L59" s="13" t="n">
        <f aca="false">IF(L27&gt;0,2*(Inputs!$F$129*L28/L27*L33/Inputs!$F$131+Inputs!$F$130*Inputs!$F$132)*Time!L25/12,0)</f>
        <v>0</v>
      </c>
      <c r="M59" s="13" t="n">
        <f aca="false">IF(M27&gt;0,2*(Inputs!$F$129*M28/M27*M33/Inputs!$F$131+Inputs!$F$130*Inputs!$F$132)*Time!M25/12,0)</f>
        <v>0</v>
      </c>
      <c r="N59" s="13" t="n">
        <f aca="false">IF(N27&gt;0,2*(Inputs!$F$129*N28/N27*N33/Inputs!$F$131+Inputs!$F$130*Inputs!$F$132)*Time!N25/12,0)</f>
        <v>0</v>
      </c>
      <c r="O59" s="13" t="n">
        <f aca="false">IF(O27&gt;0,2*(Inputs!$F$129*O28/O27*O33/Inputs!$F$131+Inputs!$F$130*Inputs!$F$132)*Time!O25/12,0)</f>
        <v>0</v>
      </c>
      <c r="P59" s="13" t="n">
        <f aca="false">IF(P27&gt;0,2*(Inputs!$F$129*P28/P27*P33/Inputs!$F$131+Inputs!$F$130*Inputs!$F$132)*Time!P25/12,0)</f>
        <v>1406.5</v>
      </c>
      <c r="Q59" s="13" t="n">
        <f aca="false">IF(Q27&gt;0,2*(Inputs!$F$129*Q28/Q27*Q33/Inputs!$F$131+Inputs!$F$130*Inputs!$F$132)*Time!Q25/12,0)</f>
        <v>9229.09803921569</v>
      </c>
      <c r="R59" s="13" t="n">
        <f aca="false">IF(R27&gt;0,2*(Inputs!$F$129*R28/R27*R33/Inputs!$F$131+Inputs!$F$130*Inputs!$F$132)*Time!R25/12,0)</f>
        <v>8965.73202614379</v>
      </c>
      <c r="S59" s="13" t="n">
        <f aca="false">IF(S27&gt;0,2*(Inputs!$F$129*S28/S27*S33/Inputs!$F$131+Inputs!$F$130*Inputs!$F$132)*Time!S25/12,0)</f>
        <v>8439</v>
      </c>
      <c r="T59" s="13" t="n">
        <f aca="false">IF(T27&gt;0,2*(Inputs!$F$129*T28/T27*T33/Inputs!$F$131+Inputs!$F$130*Inputs!$F$132)*Time!T25/12,0)</f>
        <v>8439</v>
      </c>
      <c r="U59" s="13" t="n">
        <f aca="false">IF(U27&gt;0,2*(Inputs!$F$129*U28/U27*U33/Inputs!$F$131+Inputs!$F$130*Inputs!$F$132)*Time!U25/12,0)</f>
        <v>8439</v>
      </c>
      <c r="V59" s="13" t="n">
        <f aca="false">IF(V27&gt;0,2*(Inputs!$F$129*V28/V27*V33/Inputs!$F$131+Inputs!$F$130*Inputs!$F$132)*Time!V25/12,0)</f>
        <v>8439</v>
      </c>
      <c r="W59" s="13" t="n">
        <f aca="false">IF(W27&gt;0,2*(Inputs!$F$129*W28/W27*W33/Inputs!$F$131+Inputs!$F$130*Inputs!$F$132)*Time!W25/12,0)</f>
        <v>8439</v>
      </c>
      <c r="X59" s="13" t="n">
        <f aca="false">IF(X27&gt;0,2*(Inputs!$F$129*X28/X27*X33/Inputs!$F$131+Inputs!$F$130*Inputs!$F$132)*Time!X25/12,0)</f>
        <v>8439</v>
      </c>
      <c r="Y59" s="13" t="n">
        <f aca="false">IF(Y27&gt;0,2*(Inputs!$F$129*Y28/Y27*Y33/Inputs!$F$131+Inputs!$F$130*Inputs!$F$132)*Time!Y25/12,0)</f>
        <v>8439</v>
      </c>
      <c r="Z59" s="13" t="n">
        <f aca="false">IF(Z27&gt;0,2*(Inputs!$F$129*Z28/Z27*Z33/Inputs!$F$131+Inputs!$F$130*Inputs!$F$132)*Time!Z25/12,0)</f>
        <v>8439</v>
      </c>
      <c r="AA59" s="13" t="n">
        <f aca="false">IF(AA27&gt;0,2*(Inputs!$F$129*AA28/AA27*AA33/Inputs!$F$131+Inputs!$F$130*Inputs!$F$132)*Time!AA25/12,0)</f>
        <v>8439</v>
      </c>
      <c r="AB59" s="13" t="n">
        <f aca="false">IF(AB27&gt;0,2*(Inputs!$F$129*AB28/AB27*AB33/Inputs!$F$131+Inputs!$F$130*Inputs!$F$132)*Time!AB25/12,0)</f>
        <v>8439</v>
      </c>
      <c r="AC59" s="13" t="n">
        <f aca="false">IF(AC27&gt;0,2*(Inputs!$F$129*AC28/AC27*AC33/Inputs!$F$131+Inputs!$F$130*Inputs!$F$132)*Time!AC25/12,0)</f>
        <v>8439</v>
      </c>
      <c r="AD59" s="13" t="n">
        <f aca="false">IF(AD27&gt;0,2*(Inputs!$F$129*AD28/AD27*AD33/Inputs!$F$131+Inputs!$F$130*Inputs!$F$132)*Time!AD25/12,0)</f>
        <v>8439</v>
      </c>
      <c r="AE59" s="13" t="n">
        <f aca="false">IF(AE27&gt;0,2*(Inputs!$F$129*AE28/AE27*AE33/Inputs!$F$131+Inputs!$F$130*Inputs!$F$132)*Time!AE25/12,0)</f>
        <v>8439</v>
      </c>
      <c r="AF59" s="13" t="n">
        <f aca="false">IF(AF27&gt;0,2*(Inputs!$F$129*AF28/AF27*AF33/Inputs!$F$131+Inputs!$F$130*Inputs!$F$132)*Time!AF25/12,0)</f>
        <v>8439</v>
      </c>
      <c r="AG59" s="13" t="n">
        <f aca="false">IF(AG27&gt;0,2*(Inputs!$F$129*AG28/AG27*AG33/Inputs!$F$131+Inputs!$F$130*Inputs!$F$132)*Time!AG25/12,0)</f>
        <v>8439</v>
      </c>
      <c r="AH59" s="13" t="n">
        <f aca="false">IF(AH27&gt;0,2*(Inputs!$F$129*AH28/AH27*AH33/Inputs!$F$131+Inputs!$F$130*Inputs!$F$132)*Time!AH25/12,0)</f>
        <v>8439</v>
      </c>
      <c r="AI59" s="13" t="n">
        <f aca="false">IF(AI27&gt;0,2*(Inputs!$F$129*AI28/AI27*AI33/Inputs!$F$131+Inputs!$F$130*Inputs!$F$132)*Time!AI25/12,0)</f>
        <v>8439</v>
      </c>
      <c r="AJ59" s="13" t="n">
        <f aca="false">IF(AJ27&gt;0,2*(Inputs!$F$129*AJ28/AJ27*AJ33/Inputs!$F$131+Inputs!$F$130*Inputs!$F$132)*Time!AJ25/12,0)</f>
        <v>8439</v>
      </c>
      <c r="AK59" s="13" t="n">
        <f aca="false">IF(AK27&gt;0,2*(Inputs!$F$129*AK28/AK27*AK33/Inputs!$F$131+Inputs!$F$130*Inputs!$F$132)*Time!AK25/12,0)</f>
        <v>8439</v>
      </c>
      <c r="AL59" s="13" t="n">
        <f aca="false">IF(AL27&gt;0,2*(Inputs!$F$129*AL28/AL27*AL33/Inputs!$F$131+Inputs!$F$130*Inputs!$F$132)*Time!AL25/12,0)</f>
        <v>8439</v>
      </c>
      <c r="AM59" s="13" t="n">
        <f aca="false">IF(AM27&gt;0,2*(Inputs!$F$129*AM28/AM27*AM33/Inputs!$F$131+Inputs!$F$130*Inputs!$F$132)*Time!AM25/12,0)</f>
        <v>8439</v>
      </c>
      <c r="AN59" s="13" t="n">
        <f aca="false">IF(AN27&gt;0,2*(Inputs!$F$129*AN28/AN27*AN33/Inputs!$F$131+Inputs!$F$130*Inputs!$F$132)*Time!AN25/12,0)</f>
        <v>8439</v>
      </c>
      <c r="AO59" s="13" t="n">
        <f aca="false">IF(AO27&gt;0,2*(Inputs!$F$129*AO28/AO27*AO33/Inputs!$F$131+Inputs!$F$130*Inputs!$F$132)*Time!AO25/12,0)</f>
        <v>8439</v>
      </c>
      <c r="AP59" s="13" t="n">
        <f aca="false">IF(AP27&gt;0,2*(Inputs!$F$129*AP28/AP27*AP33/Inputs!$F$131+Inputs!$F$130*Inputs!$F$132)*Time!AP25/12,0)</f>
        <v>8439</v>
      </c>
      <c r="AQ59" s="13" t="n">
        <f aca="false">IF(AQ27&gt;0,2*(Inputs!$F$129*AQ28/AQ27*AQ33/Inputs!$F$131+Inputs!$F$130*Inputs!$F$132)*Time!AQ25/12,0)</f>
        <v>8439</v>
      </c>
      <c r="AR59" s="13" t="n">
        <f aca="false">IF(AR27&gt;0,2*(Inputs!$F$129*AR28/AR27*AR33/Inputs!$F$131+Inputs!$F$130*Inputs!$F$132)*Time!AR25/12,0)</f>
        <v>8439</v>
      </c>
      <c r="AS59" s="13" t="n">
        <f aca="false">IF(AS27&gt;0,2*(Inputs!$F$129*AS28/AS27*AS33/Inputs!$F$131+Inputs!$F$130*Inputs!$F$132)*Time!AS25/12,0)</f>
        <v>8439</v>
      </c>
      <c r="AT59" s="13" t="n">
        <f aca="false">IF(AT27&gt;0,2*(Inputs!$F$129*AT28/AT27*AT33/Inputs!$F$131+Inputs!$F$130*Inputs!$F$132)*Time!AT25/12,0)</f>
        <v>8439</v>
      </c>
      <c r="AU59" s="13" t="n">
        <f aca="false">IF(AU27&gt;0,2*(Inputs!$F$129*AU28/AU27*AU33/Inputs!$F$131+Inputs!$F$130*Inputs!$F$132)*Time!AU25/12,0)</f>
        <v>8439</v>
      </c>
      <c r="AV59" s="13" t="n">
        <f aca="false">IF(AV27&gt;0,2*(Inputs!$F$129*AV28/AV27*AV33/Inputs!$F$131+Inputs!$F$130*Inputs!$F$132)*Time!AV25/12,0)</f>
        <v>8439</v>
      </c>
      <c r="AW59" s="13" t="n">
        <f aca="false">IF(AW27&gt;0,2*(Inputs!$F$129*AW28/AW27*AW33/Inputs!$F$131+Inputs!$F$130*Inputs!$F$132)*Time!AW25/12,0)</f>
        <v>8439</v>
      </c>
      <c r="AX59" s="13" t="n">
        <f aca="false">IF(AX27&gt;0,2*(Inputs!$F$129*AX28/AX27*AX33/Inputs!$F$131+Inputs!$F$130*Inputs!$F$132)*Time!AX25/12,0)</f>
        <v>8439</v>
      </c>
      <c r="AY59" s="13" t="n">
        <f aca="false">IF(AY27&gt;0,2*(Inputs!$F$129*AY28/AY27*AY33/Inputs!$F$131+Inputs!$F$130*Inputs!$F$132)*Time!AY25/12,0)</f>
        <v>8439</v>
      </c>
      <c r="AZ59" s="13" t="n">
        <f aca="false">IF(AZ27&gt;0,2*(Inputs!$F$129*AZ28/AZ27*AZ33/Inputs!$F$131+Inputs!$F$130*Inputs!$F$132)*Time!AZ25/12,0)</f>
        <v>8439</v>
      </c>
      <c r="BA59" s="13" t="n">
        <f aca="false">IF(BA27&gt;0,2*(Inputs!$F$129*BA28/BA27*BA33/Inputs!$F$131+Inputs!$F$130*Inputs!$F$132)*Time!BA25/12,0)</f>
        <v>8439</v>
      </c>
      <c r="BB59" s="13" t="n">
        <f aca="false">IF(BB27&gt;0,2*(Inputs!$F$129*BB28/BB27*BB33/Inputs!$F$131+Inputs!$F$130*Inputs!$F$132)*Time!BB25/12,0)</f>
        <v>8439</v>
      </c>
      <c r="BC59" s="13" t="n">
        <f aca="false">IF(BC27&gt;0,2*(Inputs!$F$129*BC28/BC27*BC33/Inputs!$F$131+Inputs!$F$130*Inputs!$F$132)*Time!BC25/12,0)</f>
        <v>8439</v>
      </c>
      <c r="BD59" s="13" t="n">
        <f aca="false">IF(BD27&gt;0,2*(Inputs!$F$129*BD28/BD27*BD33/Inputs!$F$131+Inputs!$F$130*Inputs!$F$132)*Time!BD25/12,0)</f>
        <v>8439</v>
      </c>
      <c r="BE59" s="13" t="n">
        <f aca="false">IF(BE27&gt;0,2*(Inputs!$F$129*BE28/BE27*BE33/Inputs!$F$131+Inputs!$F$130*Inputs!$F$132)*Time!BE25/12,0)</f>
        <v>8439</v>
      </c>
      <c r="BF59" s="13" t="n">
        <f aca="false">IF(BF27&gt;0,2*(Inputs!$F$129*BF28/BF27*BF33/Inputs!$F$131+Inputs!$F$130*Inputs!$F$132)*Time!BF25/12,0)</f>
        <v>8439</v>
      </c>
      <c r="BG59" s="13" t="n">
        <f aca="false">IF(BG27&gt;0,2*(Inputs!$F$129*BG28/BG27*BG33/Inputs!$F$131+Inputs!$F$130*Inputs!$F$132)*Time!BG25/12,0)</f>
        <v>8439</v>
      </c>
      <c r="BH59" s="13" t="n">
        <f aca="false">IF(BH27&gt;0,2*(Inputs!$F$129*BH28/BH27*BH33/Inputs!$F$131+Inputs!$F$130*Inputs!$F$132)*Time!BH25/12,0)</f>
        <v>8439</v>
      </c>
      <c r="BI59" s="13" t="n">
        <f aca="false">IF(BI27&gt;0,2*(Inputs!$F$129*BI28/BI27*BI33/Inputs!$F$131+Inputs!$F$130*Inputs!$F$132)*Time!BI25/12,0)</f>
        <v>8439</v>
      </c>
      <c r="BJ59" s="13" t="n">
        <f aca="false">IF(BJ27&gt;0,2*(Inputs!$F$129*BJ28/BJ27*BJ33/Inputs!$F$131+Inputs!$F$130*Inputs!$F$132)*Time!BJ25/12,0)</f>
        <v>8439</v>
      </c>
      <c r="BK59" s="13" t="n">
        <f aca="false">IF(BK27&gt;0,2*(Inputs!$F$129*BK28/BK27*BK33/Inputs!$F$131+Inputs!$F$130*Inputs!$F$132)*Time!BK25/12,0)</f>
        <v>8439</v>
      </c>
      <c r="BL59" s="13" t="n">
        <f aca="false">IF(BL27&gt;0,2*(Inputs!$F$129*BL28/BL27*BL33/Inputs!$F$131+Inputs!$F$130*Inputs!$F$132)*Time!BL25/12,0)</f>
        <v>8439</v>
      </c>
      <c r="BM59" s="13" t="n">
        <f aca="false">IF(BM27&gt;0,2*(Inputs!$F$129*BM28/BM27*BM33/Inputs!$F$131+Inputs!$F$130*Inputs!$F$132)*Time!BM25/12,0)</f>
        <v>8439</v>
      </c>
      <c r="BN59" s="13" t="n">
        <f aca="false">IF(BN27&gt;0,2*(Inputs!$F$129*BN28/BN27*BN33/Inputs!$F$131+Inputs!$F$130*Inputs!$F$132)*Time!BN25/12,0)</f>
        <v>7032.5</v>
      </c>
    </row>
    <row r="60" customFormat="false" ht="15" hidden="false" customHeight="false" outlineLevel="0" collapsed="false">
      <c r="D60" s="0" t="s">
        <v>262</v>
      </c>
      <c r="E60" s="0" t="s">
        <v>149</v>
      </c>
      <c r="G60" s="11" t="n">
        <f aca="false">SUM(J60:BN60)</f>
        <v>327.073965059202</v>
      </c>
      <c r="J60" s="11" t="n">
        <f aca="false">J59*Inputs!$F$156*J19/1000000</f>
        <v>0</v>
      </c>
      <c r="K60" s="11" t="n">
        <f aca="false">K59*Inputs!$F$156*K19/1000000</f>
        <v>0</v>
      </c>
      <c r="L60" s="11" t="n">
        <f aca="false">L59*Inputs!$F$156*L19/1000000</f>
        <v>0</v>
      </c>
      <c r="M60" s="11" t="n">
        <f aca="false">M59*Inputs!$F$156*M19/1000000</f>
        <v>0</v>
      </c>
      <c r="N60" s="11" t="n">
        <f aca="false">N59*Inputs!$F$156*N19/1000000</f>
        <v>0</v>
      </c>
      <c r="O60" s="11" t="n">
        <f aca="false">O59*Inputs!$F$156*O19/1000000</f>
        <v>0</v>
      </c>
      <c r="P60" s="11" t="n">
        <f aca="false">P59*Inputs!$F$156*P19/1000000</f>
        <v>0.73758875303146</v>
      </c>
      <c r="Q60" s="11" t="n">
        <f aca="false">Q59*Inputs!$F$156*Q19/1000000</f>
        <v>4.99087184316513</v>
      </c>
      <c r="R60" s="11" t="n">
        <f aca="false">R59*Inputs!$F$156*R19/1000000</f>
        <v>5.03865694530572</v>
      </c>
      <c r="S60" s="11" t="n">
        <f aca="false">S59*Inputs!$F$156*S19/1000000</f>
        <v>4.88358380120684</v>
      </c>
      <c r="T60" s="11" t="n">
        <f aca="false">T59*Inputs!$F$156*T19/1000000</f>
        <v>4.98269161838154</v>
      </c>
      <c r="U60" s="11" t="n">
        <f aca="false">U59*Inputs!$F$156*U19/1000000</f>
        <v>5.06909622460776</v>
      </c>
      <c r="V60" s="11" t="n">
        <f aca="false">V59*Inputs!$F$156*V19/1000000</f>
        <v>5.14207282074343</v>
      </c>
      <c r="W60" s="11" t="n">
        <f aca="false">W59*Inputs!$F$156*W19/1000000</f>
        <v>5.21356361757352</v>
      </c>
      <c r="X60" s="11" t="n">
        <f aca="false">X59*Inputs!$F$156*X19/1000000</f>
        <v>5.28347794786137</v>
      </c>
      <c r="Y60" s="11" t="n">
        <f aca="false">Y59*Inputs!$F$156*Y19/1000000</f>
        <v>5.3530259681514</v>
      </c>
      <c r="Z60" s="11" t="n">
        <f aca="false">Z59*Inputs!$F$156*Z19/1000000</f>
        <v>5.42216876149309</v>
      </c>
      <c r="AA60" s="11" t="n">
        <f aca="false">AA59*Inputs!$F$156*AA19/1000000</f>
        <v>5.48818546416403</v>
      </c>
      <c r="AB60" s="11" t="n">
        <f aca="false">AB59*Inputs!$F$156*AB19/1000000</f>
        <v>5.55094080511671</v>
      </c>
      <c r="AC60" s="11" t="n">
        <f aca="false">AC59*Inputs!$F$156*AC19/1000000</f>
        <v>5.6144137298398</v>
      </c>
      <c r="AD60" s="11" t="n">
        <f aca="false">AD59*Inputs!$F$156*AD19/1000000</f>
        <v>5.67861244363439</v>
      </c>
      <c r="AE60" s="11" t="n">
        <f aca="false">AE59*Inputs!$F$156*AE19/1000000</f>
        <v>5.74354524562611</v>
      </c>
      <c r="AF60" s="11" t="n">
        <f aca="false">AF59*Inputs!$F$156*AF19/1000000</f>
        <v>5.80922052983798</v>
      </c>
      <c r="AG60" s="11" t="n">
        <f aca="false">AG59*Inputs!$F$156*AG19/1000000</f>
        <v>5.87564678627551</v>
      </c>
      <c r="AH60" s="11" t="n">
        <f aca="false">AH59*Inputs!$F$156*AH19/1000000</f>
        <v>5.94283260202425</v>
      </c>
      <c r="AI60" s="11" t="n">
        <f aca="false">AI59*Inputs!$F$156*AI19/1000000</f>
        <v>6.01078666235984</v>
      </c>
      <c r="AJ60" s="11" t="n">
        <f aca="false">AJ59*Inputs!$F$156*AJ19/1000000</f>
        <v>6.07951775187081</v>
      </c>
      <c r="AK60" s="11" t="n">
        <f aca="false">AK59*Inputs!$F$156*AK19/1000000</f>
        <v>6.14903475559412</v>
      </c>
      <c r="AL60" s="11" t="n">
        <f aca="false">AL59*Inputs!$F$156*AL19/1000000</f>
        <v>6.21934666016383</v>
      </c>
      <c r="AM60" s="11" t="n">
        <f aca="false">AM59*Inputs!$F$156*AM19/1000000</f>
        <v>6.29046255497278</v>
      </c>
      <c r="AN60" s="11" t="n">
        <f aca="false">AN59*Inputs!$F$156*AN19/1000000</f>
        <v>6.3623916333476</v>
      </c>
      <c r="AO60" s="11" t="n">
        <f aca="false">AO59*Inputs!$F$156*AO19/1000000</f>
        <v>6.43514319373715</v>
      </c>
      <c r="AP60" s="11" t="n">
        <f aca="false">AP59*Inputs!$F$156*AP19/1000000</f>
        <v>6.50872664091459</v>
      </c>
      <c r="AQ60" s="11" t="n">
        <f aca="false">AQ59*Inputs!$F$156*AQ19/1000000</f>
        <v>6.58315148719311</v>
      </c>
      <c r="AR60" s="11" t="n">
        <f aca="false">AR59*Inputs!$F$156*AR19/1000000</f>
        <v>6.65842735365563</v>
      </c>
      <c r="AS60" s="11" t="n">
        <f aca="false">AS59*Inputs!$F$156*AS19/1000000</f>
        <v>6.73456397139855</v>
      </c>
      <c r="AT60" s="11" t="n">
        <f aca="false">AT59*Inputs!$F$156*AT19/1000000</f>
        <v>6.8115711827897</v>
      </c>
      <c r="AU60" s="11" t="n">
        <f aca="false">AU59*Inputs!$F$156*AU19/1000000</f>
        <v>6.88945894274071</v>
      </c>
      <c r="AV60" s="11" t="n">
        <f aca="false">AV59*Inputs!$F$156*AV19/1000000</f>
        <v>6.96823731999386</v>
      </c>
      <c r="AW60" s="11" t="n">
        <f aca="false">AW59*Inputs!$F$156*AW19/1000000</f>
        <v>7.04791649842374</v>
      </c>
      <c r="AX60" s="11" t="n">
        <f aca="false">AX59*Inputs!$F$156*AX19/1000000</f>
        <v>7.12850677835372</v>
      </c>
      <c r="AY60" s="11" t="n">
        <f aca="false">AY59*Inputs!$F$156*AY19/1000000</f>
        <v>7.21001857788749</v>
      </c>
      <c r="AZ60" s="11" t="n">
        <f aca="false">AZ59*Inputs!$F$156*AZ19/1000000</f>
        <v>7.29246243425585</v>
      </c>
      <c r="BA60" s="11" t="n">
        <f aca="false">BA59*Inputs!$F$156*BA19/1000000</f>
        <v>7.3758490051789</v>
      </c>
      <c r="BB60" s="11" t="n">
        <f aca="false">BB59*Inputs!$F$156*BB19/1000000</f>
        <v>7.46018907024374</v>
      </c>
      <c r="BC60" s="11" t="n">
        <f aca="false">BC59*Inputs!$F$156*BC19/1000000</f>
        <v>7.54549353229801</v>
      </c>
      <c r="BD60" s="11" t="n">
        <f aca="false">BD59*Inputs!$F$156*BD19/1000000</f>
        <v>7.63177341885934</v>
      </c>
      <c r="BE60" s="11" t="n">
        <f aca="false">BE59*Inputs!$F$156*BE19/1000000</f>
        <v>7.71903988354087</v>
      </c>
      <c r="BF60" s="11" t="n">
        <f aca="false">BF59*Inputs!$F$156*BF19/1000000</f>
        <v>7.80730420749311</v>
      </c>
      <c r="BG60" s="11" t="n">
        <f aca="false">BG59*Inputs!$F$156*BG19/1000000</f>
        <v>7.89657780086231</v>
      </c>
      <c r="BH60" s="11" t="n">
        <f aca="false">BH59*Inputs!$F$156*BH19/1000000</f>
        <v>7.98687220426544</v>
      </c>
      <c r="BI60" s="11" t="n">
        <f aca="false">BI59*Inputs!$F$156*BI19/1000000</f>
        <v>8.07819909028213</v>
      </c>
      <c r="BJ60" s="11" t="n">
        <f aca="false">BJ59*Inputs!$F$156*BJ19/1000000</f>
        <v>8.17057026496355</v>
      </c>
      <c r="BK60" s="11" t="n">
        <f aca="false">BK59*Inputs!$F$156*BK19/1000000</f>
        <v>8.26399766935862</v>
      </c>
      <c r="BL60" s="11" t="n">
        <f aca="false">BL59*Inputs!$F$156*BL19/1000000</f>
        <v>8.3584933810577</v>
      </c>
      <c r="BM60" s="11" t="n">
        <f aca="false">BM59*Inputs!$F$156*BM19/1000000</f>
        <v>8.45406961575386</v>
      </c>
      <c r="BN60" s="11" t="n">
        <f aca="false">BN59*Inputs!$F$156*BN19/1000000</f>
        <v>7.12561560735169</v>
      </c>
    </row>
    <row r="61" customFormat="false" ht="15" hidden="false" customHeight="false" outlineLevel="0" collapsed="false">
      <c r="D61" s="0" t="s">
        <v>264</v>
      </c>
      <c r="E61" s="0" t="s">
        <v>149</v>
      </c>
      <c r="G61" s="11" t="n">
        <f aca="false">SUM(J61:BN61)</f>
        <v>204.650708138469</v>
      </c>
      <c r="J61" s="11" t="n">
        <f aca="false">Inputs!$F$157*J19*Time!J25/12*(1+Inputs!$F$158*Inputs!$F$46*IF(Time!J17&gt;=9,1,0))*Inputs!$F$40</f>
        <v>0</v>
      </c>
      <c r="K61" s="11" t="n">
        <f aca="false">Inputs!$F$157*K19*Time!K25/12*(1+Inputs!$F$158*Inputs!$F$46*IF(Time!K17&gt;=9,1,0))*Inputs!$F$40</f>
        <v>0</v>
      </c>
      <c r="L61" s="11" t="n">
        <f aca="false">Inputs!$F$157*L19*Time!L25/12*(1+Inputs!$F$158*Inputs!$F$46*IF(Time!L17&gt;=9,1,0))*Inputs!$F$40</f>
        <v>0</v>
      </c>
      <c r="M61" s="11" t="n">
        <f aca="false">Inputs!$F$157*M19*Time!M25/12*(1+Inputs!$F$158*Inputs!$F$46*IF(Time!M17&gt;=9,1,0))*Inputs!$F$40</f>
        <v>0</v>
      </c>
      <c r="N61" s="11" t="n">
        <f aca="false">Inputs!$F$157*N19*Time!N25/12*(1+Inputs!$F$158*Inputs!$F$46*IF(Time!N17&gt;=9,1,0))*Inputs!$F$40</f>
        <v>0</v>
      </c>
      <c r="O61" s="11" t="n">
        <f aca="false">Inputs!$F$157*O19*Time!O25/12*(1+Inputs!$F$158*Inputs!$F$46*IF(Time!O17&gt;=9,1,0))*Inputs!$F$40</f>
        <v>0</v>
      </c>
      <c r="P61" s="11" t="n">
        <f aca="false">Inputs!$F$157*P19*Time!P25/12*(1+Inputs!$F$158*Inputs!$F$46*IF(Time!P17&gt;=9,1,0))*Inputs!$F$40</f>
        <v>0.392951065763585</v>
      </c>
      <c r="Q61" s="11" t="n">
        <f aca="false">Inputs!$F$157*Q19*Time!Q25/12*(1+Inputs!$F$158*Inputs!$F$46*IF(Time!Q17&gt;=9,1,0))*Inputs!$F$40</f>
        <v>2.43126518232264</v>
      </c>
      <c r="R61" s="11" t="n">
        <f aca="false">Inputs!$F$157*R19*Time!R25/12*(1+Inputs!$F$158*Inputs!$F$46*IF(Time!R17&gt;=9,1,0))*Inputs!$F$40</f>
        <v>2.98144097429886</v>
      </c>
      <c r="S61" s="11" t="n">
        <f aca="false">Inputs!$F$157*S19*Time!S25/12*(1+Inputs!$F$158*Inputs!$F$46*IF(Time!S17&gt;=9,1,0))*Inputs!$F$40</f>
        <v>3.07004567629412</v>
      </c>
      <c r="T61" s="11" t="n">
        <f aca="false">Inputs!$F$157*T19*Time!T25/12*(1+Inputs!$F$158*Inputs!$F$46*IF(Time!T17&gt;=9,1,0))*Inputs!$F$40</f>
        <v>3.13234941428444</v>
      </c>
      <c r="U61" s="11" t="n">
        <f aca="false">Inputs!$F$157*U19*Time!U25/12*(1+Inputs!$F$158*Inputs!$F$46*IF(Time!U17&gt;=9,1,0))*Inputs!$F$40</f>
        <v>3.18666732886412</v>
      </c>
      <c r="V61" s="11" t="n">
        <f aca="false">Inputs!$F$157*V19*Time!V25/12*(1+Inputs!$F$158*Inputs!$F$46*IF(Time!V17&gt;=9,1,0))*Inputs!$F$40</f>
        <v>3.23254377791402</v>
      </c>
      <c r="W61" s="11" t="n">
        <f aca="false">Inputs!$F$157*W19*Time!W25/12*(1+Inputs!$F$158*Inputs!$F$46*IF(Time!W17&gt;=9,1,0))*Inputs!$F$40</f>
        <v>3.27748618509638</v>
      </c>
      <c r="X61" s="11" t="n">
        <f aca="false">Inputs!$F$157*X19*Time!X25/12*(1+Inputs!$F$158*Inputs!$F$46*IF(Time!X17&gt;=9,1,0))*Inputs!$F$40</f>
        <v>3.32143755281084</v>
      </c>
      <c r="Y61" s="11" t="n">
        <f aca="false">Inputs!$F$157*Y19*Time!Y25/12*(1+Inputs!$F$158*Inputs!$F$46*IF(Time!Y17&gt;=9,1,0))*Inputs!$F$40</f>
        <v>3.36515864119136</v>
      </c>
      <c r="Z61" s="11" t="n">
        <f aca="false">Inputs!$F$157*Z19*Time!Z25/12*(1+Inputs!$F$158*Inputs!$F$46*IF(Time!Z17&gt;=9,1,0))*Inputs!$F$40</f>
        <v>3.40862498525064</v>
      </c>
      <c r="AA61" s="11" t="n">
        <f aca="false">Inputs!$F$157*AA19*Time!AA25/12*(1+Inputs!$F$158*Inputs!$F$46*IF(Time!AA17&gt;=9,1,0))*Inputs!$F$40</f>
        <v>3.45012612475151</v>
      </c>
      <c r="AB61" s="11" t="n">
        <f aca="false">Inputs!$F$157*AB19*Time!AB25/12*(1+Inputs!$F$158*Inputs!$F$46*IF(Time!AB17&gt;=9,1,0))*Inputs!$F$40</f>
        <v>3.48957702208402</v>
      </c>
      <c r="AC61" s="11" t="n">
        <f aca="false">Inputs!$F$157*AC19*Time!AC25/12*(1+Inputs!$F$158*Inputs!$F$46*IF(Time!AC17&gt;=9,1,0))*Inputs!$F$40</f>
        <v>3.52947902562079</v>
      </c>
      <c r="AD61" s="11" t="n">
        <f aca="false">Inputs!$F$157*AD19*Time!AD25/12*(1+Inputs!$F$158*Inputs!$F$46*IF(Time!AD17&gt;=9,1,0))*Inputs!$F$40</f>
        <v>3.56983729359196</v>
      </c>
      <c r="AE61" s="11" t="n">
        <f aca="false">Inputs!$F$157*AE19*Time!AE25/12*(1+Inputs!$F$158*Inputs!$F$46*IF(Time!AE17&gt;=9,1,0))*Inputs!$F$40</f>
        <v>3.61065704321007</v>
      </c>
      <c r="AF61" s="11" t="n">
        <f aca="false">Inputs!$F$157*AF19*Time!AF25/12*(1+Inputs!$F$158*Inputs!$F$46*IF(Time!AF17&gt;=9,1,0))*Inputs!$F$40</f>
        <v>3.65194355134457</v>
      </c>
      <c r="AG61" s="11" t="n">
        <f aca="false">Inputs!$F$157*AG19*Time!AG25/12*(1+Inputs!$F$158*Inputs!$F$46*IF(Time!AG17&gt;=9,1,0))*Inputs!$F$40</f>
        <v>3.6937021552039</v>
      </c>
      <c r="AH61" s="11" t="n">
        <f aca="false">Inputs!$F$157*AH19*Time!AH25/12*(1+Inputs!$F$158*Inputs!$F$46*IF(Time!AH17&gt;=9,1,0))*Inputs!$F$40</f>
        <v>3.73593825302549</v>
      </c>
      <c r="AI61" s="11" t="n">
        <f aca="false">Inputs!$F$157*AI19*Time!AI25/12*(1+Inputs!$F$158*Inputs!$F$46*IF(Time!AI17&gt;=9,1,0))*Inputs!$F$40</f>
        <v>3.77865730477359</v>
      </c>
      <c r="AJ61" s="11" t="n">
        <f aca="false">Inputs!$F$157*AJ19*Time!AJ25/12*(1+Inputs!$F$158*Inputs!$F$46*IF(Time!AJ17&gt;=9,1,0))*Inputs!$F$40</f>
        <v>3.82186483284508</v>
      </c>
      <c r="AK61" s="11" t="n">
        <f aca="false">Inputs!$F$157*AK19*Time!AK25/12*(1+Inputs!$F$158*Inputs!$F$46*IF(Time!AK17&gt;=9,1,0))*Inputs!$F$40</f>
        <v>3.86556642278338</v>
      </c>
      <c r="AL61" s="11" t="n">
        <f aca="false">Inputs!$F$157*AL19*Time!AL25/12*(1+Inputs!$F$158*Inputs!$F$46*IF(Time!AL17&gt;=9,1,0))*Inputs!$F$40</f>
        <v>3.90976772400051</v>
      </c>
      <c r="AM61" s="11" t="n">
        <f aca="false">Inputs!$F$157*AM19*Time!AM25/12*(1+Inputs!$F$158*Inputs!$F$46*IF(Time!AM17&gt;=9,1,0))*Inputs!$F$40</f>
        <v>3.9544744505074</v>
      </c>
      <c r="AN61" s="11" t="n">
        <f aca="false">Inputs!$F$157*AN19*Time!AN25/12*(1+Inputs!$F$158*Inputs!$F$46*IF(Time!AN17&gt;=9,1,0))*Inputs!$F$40</f>
        <v>3.99969238165252</v>
      </c>
      <c r="AO61" s="11" t="n">
        <f aca="false">Inputs!$F$157*AO19*Time!AO25/12*(1+Inputs!$F$158*Inputs!$F$46*IF(Time!AO17&gt;=9,1,0))*Inputs!$F$40</f>
        <v>4.04542736286907</v>
      </c>
      <c r="AP61" s="11" t="n">
        <f aca="false">Inputs!$F$157*AP19*Time!AP25/12*(1+Inputs!$F$158*Inputs!$F$46*IF(Time!AP17&gt;=9,1,0))*Inputs!$F$40</f>
        <v>4.09168530643053</v>
      </c>
      <c r="AQ61" s="11" t="n">
        <f aca="false">Inputs!$F$157*AQ19*Time!AQ25/12*(1+Inputs!$F$158*Inputs!$F$46*IF(Time!AQ17&gt;=9,1,0))*Inputs!$F$40</f>
        <v>4.13847219221506</v>
      </c>
      <c r="AR61" s="11" t="n">
        <f aca="false">Inputs!$F$157*AR19*Time!AR25/12*(1+Inputs!$F$158*Inputs!$F$46*IF(Time!AR17&gt;=9,1,0))*Inputs!$F$40</f>
        <v>4.18579406847843</v>
      </c>
      <c r="AS61" s="11" t="n">
        <f aca="false">Inputs!$F$157*AS19*Time!AS25/12*(1+Inputs!$F$158*Inputs!$F$46*IF(Time!AS17&gt;=9,1,0))*Inputs!$F$40</f>
        <v>4.233657052636</v>
      </c>
      <c r="AT61" s="11" t="n">
        <f aca="false">Inputs!$F$157*AT19*Time!AT25/12*(1+Inputs!$F$158*Inputs!$F$46*IF(Time!AT17&gt;=9,1,0))*Inputs!$F$40</f>
        <v>4.28206733205344</v>
      </c>
      <c r="AU61" s="11" t="n">
        <f aca="false">Inputs!$F$157*AU19*Time!AU25/12*(1+Inputs!$F$158*Inputs!$F$46*IF(Time!AU17&gt;=9,1,0))*Inputs!$F$40</f>
        <v>4.33103116484663</v>
      </c>
      <c r="AV61" s="11" t="n">
        <f aca="false">Inputs!$F$157*AV19*Time!AV25/12*(1+Inputs!$F$158*Inputs!$F$46*IF(Time!AV17&gt;=9,1,0))*Inputs!$F$40</f>
        <v>4.38055488069066</v>
      </c>
      <c r="AW61" s="11" t="n">
        <f aca="false">Inputs!$F$157*AW19*Time!AW25/12*(1+Inputs!$F$158*Inputs!$F$46*IF(Time!AW17&gt;=9,1,0))*Inputs!$F$40</f>
        <v>4.4306448816381</v>
      </c>
      <c r="AX61" s="11" t="n">
        <f aca="false">Inputs!$F$157*AX19*Time!AX25/12*(1+Inputs!$F$158*Inputs!$F$46*IF(Time!AX17&gt;=9,1,0))*Inputs!$F$40</f>
        <v>4.48130764294655</v>
      </c>
      <c r="AY61" s="11" t="n">
        <f aca="false">Inputs!$F$157*AY19*Time!AY25/12*(1+Inputs!$F$158*Inputs!$F$46*IF(Time!AY17&gt;=9,1,0))*Inputs!$F$40</f>
        <v>4.53254971391577</v>
      </c>
      <c r="AZ61" s="11" t="n">
        <f aca="false">Inputs!$F$157*AZ19*Time!AZ25/12*(1+Inputs!$F$158*Inputs!$F$46*IF(Time!AZ17&gt;=9,1,0))*Inputs!$F$40</f>
        <v>4.58437771873432</v>
      </c>
      <c r="BA61" s="11" t="n">
        <f aca="false">Inputs!$F$157*BA19*Time!BA25/12*(1+Inputs!$F$158*Inputs!$F$46*IF(Time!BA17&gt;=9,1,0))*Inputs!$F$40</f>
        <v>4.63679835733584</v>
      </c>
      <c r="BB61" s="11" t="n">
        <f aca="false">Inputs!$F$157*BB19*Time!BB25/12*(1+Inputs!$F$158*Inputs!$F$46*IF(Time!BB17&gt;=9,1,0))*Inputs!$F$40</f>
        <v>4.68981840626521</v>
      </c>
      <c r="BC61" s="11" t="n">
        <f aca="false">Inputs!$F$157*BC19*Time!BC25/12*(1+Inputs!$F$158*Inputs!$F$46*IF(Time!BC17&gt;=9,1,0))*Inputs!$F$40</f>
        <v>4.74344471955456</v>
      </c>
      <c r="BD61" s="11" t="n">
        <f aca="false">Inputs!$F$157*BD19*Time!BD25/12*(1+Inputs!$F$158*Inputs!$F$46*IF(Time!BD17&gt;=9,1,0))*Inputs!$F$40</f>
        <v>4.79768422960931</v>
      </c>
      <c r="BE61" s="11" t="n">
        <f aca="false">Inputs!$F$157*BE19*Time!BE25/12*(1+Inputs!$F$158*Inputs!$F$46*IF(Time!BE17&gt;=9,1,0))*Inputs!$F$40</f>
        <v>4.85254394810431</v>
      </c>
      <c r="BF61" s="11" t="n">
        <f aca="false">Inputs!$F$157*BF19*Time!BF25/12*(1+Inputs!$F$158*Inputs!$F$46*IF(Time!BF17&gt;=9,1,0))*Inputs!$F$40</f>
        <v>4.90803096689032</v>
      </c>
      <c r="BG61" s="11" t="n">
        <f aca="false">Inputs!$F$157*BG19*Time!BG25/12*(1+Inputs!$F$158*Inputs!$F$46*IF(Time!BG17&gt;=9,1,0))*Inputs!$F$40</f>
        <v>4.96415245891071</v>
      </c>
      <c r="BH61" s="11" t="n">
        <f aca="false">Inputs!$F$157*BH19*Time!BH25/12*(1+Inputs!$F$158*Inputs!$F$46*IF(Time!BH17&gt;=9,1,0))*Inputs!$F$40</f>
        <v>5.02091567912879</v>
      </c>
      <c r="BI61" s="11" t="n">
        <f aca="false">Inputs!$F$157*BI19*Time!BI25/12*(1+Inputs!$F$158*Inputs!$F$46*IF(Time!BI17&gt;=9,1,0))*Inputs!$F$40</f>
        <v>5.07832796546565</v>
      </c>
      <c r="BJ61" s="11" t="n">
        <f aca="false">Inputs!$F$157*BJ19*Time!BJ25/12*(1+Inputs!$F$158*Inputs!$F$46*IF(Time!BJ17&gt;=9,1,0))*Inputs!$F$40</f>
        <v>5.13639673974875</v>
      </c>
      <c r="BK61" s="11" t="n">
        <f aca="false">Inputs!$F$157*BK19*Time!BK25/12*(1+Inputs!$F$158*Inputs!$F$46*IF(Time!BK17&gt;=9,1,0))*Inputs!$F$40</f>
        <v>5.19512950867136</v>
      </c>
      <c r="BL61" s="11" t="n">
        <f aca="false">Inputs!$F$157*BL19*Time!BL25/12*(1+Inputs!$F$158*Inputs!$F$46*IF(Time!BL17&gt;=9,1,0))*Inputs!$F$40</f>
        <v>5.25453386476297</v>
      </c>
      <c r="BM61" s="11" t="n">
        <f aca="false">Inputs!$F$157*BM19*Time!BM25/12*(1+Inputs!$F$158*Inputs!$F$46*IF(Time!BM17&gt;=9,1,0))*Inputs!$F$40</f>
        <v>5.3146174873708</v>
      </c>
      <c r="BN61" s="11" t="n">
        <f aca="false">Inputs!$F$157*BN19*Time!BN25/12*(1+Inputs!$F$158*Inputs!$F$46*IF(Time!BN17&gt;=9,1,0))*Inputs!$F$40</f>
        <v>4.47949011971043</v>
      </c>
    </row>
    <row r="62" customFormat="false" ht="15" hidden="false" customHeight="false" outlineLevel="0" collapsed="false">
      <c r="D62" s="0" t="s">
        <v>513</v>
      </c>
      <c r="E62" s="0" t="s">
        <v>149</v>
      </c>
      <c r="G62" s="11" t="n">
        <f aca="false">SUM(J62:BN62)</f>
        <v>140.157680861502</v>
      </c>
      <c r="J62" s="11" t="n">
        <f aca="false">Inputs!$F$159*(0.5*J19+0.5*J23*Inputs!$F$153/J11)*Time!J25/12*Inputs!$F$40</f>
        <v>0</v>
      </c>
      <c r="K62" s="11" t="n">
        <f aca="false">Inputs!$F$159*(0.5*K19+0.5*K23*Inputs!$F$153/K11)*Time!K25/12*Inputs!$F$40</f>
        <v>0</v>
      </c>
      <c r="L62" s="11" t="n">
        <f aca="false">Inputs!$F$159*(0.5*L19+0.5*L23*Inputs!$F$153/L11)*Time!L25/12*Inputs!$F$40</f>
        <v>0</v>
      </c>
      <c r="M62" s="11" t="n">
        <f aca="false">Inputs!$F$159*(0.5*M19+0.5*M23*Inputs!$F$153/M11)*Time!M25/12*Inputs!$F$40</f>
        <v>0</v>
      </c>
      <c r="N62" s="11" t="n">
        <f aca="false">Inputs!$F$159*(0.5*N19+0.5*N23*Inputs!$F$153/N11)*Time!N25/12*Inputs!$F$40</f>
        <v>0</v>
      </c>
      <c r="O62" s="11" t="n">
        <f aca="false">Inputs!$F$159*(0.5*O19+0.5*O23*Inputs!$F$153/O11)*Time!O25/12*Inputs!$F$40</f>
        <v>0</v>
      </c>
      <c r="P62" s="11" t="n">
        <f aca="false">Inputs!$F$159*(0.5*P19+0.5*P23*Inputs!$F$153/P11)*Time!P25/12*Inputs!$F$40</f>
        <v>0.291854183961701</v>
      </c>
      <c r="Q62" s="11" t="n">
        <f aca="false">Inputs!$F$159*(0.5*Q19+0.5*Q23*Inputs!$F$153/Q11)*Time!Q25/12*Inputs!$F$40</f>
        <v>1.78856494262164</v>
      </c>
      <c r="R62" s="11" t="n">
        <f aca="false">Inputs!$F$159*(0.5*R19+0.5*R23*Inputs!$F$153/R11)*Time!R25/12*Inputs!$F$40</f>
        <v>1.7206000685129</v>
      </c>
      <c r="S62" s="11" t="n">
        <f aca="false">Inputs!$F$159*(0.5*S19+0.5*S23*Inputs!$F$153/S11)*Time!S25/12*Inputs!$F$40</f>
        <v>1.66848893729679</v>
      </c>
      <c r="T62" s="11" t="n">
        <f aca="false">Inputs!$F$159*(0.5*T19+0.5*T23*Inputs!$F$153/T11)*Time!T25/12*Inputs!$F$40</f>
        <v>1.8111707480021</v>
      </c>
      <c r="U62" s="11" t="n">
        <f aca="false">Inputs!$F$159*(0.5*U19+0.5*U23*Inputs!$F$153/U11)*Time!U25/12*Inputs!$F$40</f>
        <v>1.89140399136734</v>
      </c>
      <c r="V62" s="11" t="n">
        <f aca="false">Inputs!$F$159*(0.5*V19+0.5*V23*Inputs!$F$153/V11)*Time!V25/12*Inputs!$F$40</f>
        <v>2.02900861119303</v>
      </c>
      <c r="W62" s="11" t="n">
        <f aca="false">Inputs!$F$159*(0.5*W19+0.5*W23*Inputs!$F$153/W11)*Time!W25/12*Inputs!$F$40</f>
        <v>2.13738085776359</v>
      </c>
      <c r="X62" s="11" t="n">
        <f aca="false">Inputs!$F$159*(0.5*X19+0.5*X23*Inputs!$F$153/X11)*Time!X25/12*Inputs!$F$40</f>
        <v>2.23252176444911</v>
      </c>
      <c r="Y62" s="11" t="n">
        <f aca="false">Inputs!$F$159*(0.5*Y19+0.5*Y23*Inputs!$F$153/Y11)*Time!Y25/12*Inputs!$F$40</f>
        <v>2.30436934860236</v>
      </c>
      <c r="Z62" s="11" t="n">
        <f aca="false">Inputs!$F$159*(0.5*Z19+0.5*Z23*Inputs!$F$153/Z11)*Time!Z25/12*Inputs!$F$40</f>
        <v>2.35812674142016</v>
      </c>
      <c r="AA62" s="11" t="n">
        <f aca="false">Inputs!$F$159*(0.5*AA19+0.5*AA23*Inputs!$F$153/AA11)*Time!AA25/12*Inputs!$F$40</f>
        <v>2.39073904218923</v>
      </c>
      <c r="AB62" s="11" t="n">
        <f aca="false">Inputs!$F$159*(0.5*AB19+0.5*AB23*Inputs!$F$153/AB11)*Time!AB25/12*Inputs!$F$40</f>
        <v>2.41807624584263</v>
      </c>
      <c r="AC62" s="11" t="n">
        <f aca="false">Inputs!$F$159*(0.5*AC19+0.5*AC23*Inputs!$F$153/AC11)*Time!AC25/12*Inputs!$F$40</f>
        <v>2.44888656661529</v>
      </c>
      <c r="AD62" s="11" t="n">
        <f aca="false">Inputs!$F$159*(0.5*AD19+0.5*AD23*Inputs!$F$153/AD11)*Time!AD25/12*Inputs!$F$40</f>
        <v>2.47688866538653</v>
      </c>
      <c r="AE62" s="11" t="n">
        <f aca="false">Inputs!$F$159*(0.5*AE19+0.5*AE23*Inputs!$F$153/AE11)*Time!AE25/12*Inputs!$F$40</f>
        <v>2.50521095764744</v>
      </c>
      <c r="AF62" s="11" t="n">
        <f aca="false">Inputs!$F$159*(0.5*AF19+0.5*AF23*Inputs!$F$153/AF11)*Time!AF25/12*Inputs!$F$40</f>
        <v>2.53385710469042</v>
      </c>
      <c r="AG62" s="11" t="n">
        <f aca="false">Inputs!$F$159*(0.5*AG19+0.5*AG23*Inputs!$F$153/AG11)*Time!AG25/12*Inputs!$F$40</f>
        <v>2.56283080967333</v>
      </c>
      <c r="AH62" s="11" t="n">
        <f aca="false">Inputs!$F$159*(0.5*AH19+0.5*AH23*Inputs!$F$153/AH11)*Time!AH25/12*Inputs!$F$40</f>
        <v>2.59213581809829</v>
      </c>
      <c r="AI62" s="11" t="n">
        <f aca="false">Inputs!$F$159*(0.5*AI19+0.5*AI23*Inputs!$F$153/AI11)*Time!AI25/12*Inputs!$F$40</f>
        <v>2.62177591829582</v>
      </c>
      <c r="AJ62" s="11" t="n">
        <f aca="false">Inputs!$F$159*(0.5*AJ19+0.5*AJ23*Inputs!$F$153/AJ11)*Time!AJ25/12*Inputs!$F$40</f>
        <v>2.65175494191456</v>
      </c>
      <c r="AK62" s="11" t="n">
        <f aca="false">Inputs!$F$159*(0.5*AK19+0.5*AK23*Inputs!$F$153/AK11)*Time!AK25/12*Inputs!$F$40</f>
        <v>2.68207676441662</v>
      </c>
      <c r="AL62" s="11" t="n">
        <f aca="false">Inputs!$F$159*(0.5*AL19+0.5*AL23*Inputs!$F$153/AL11)*Time!AL25/12*Inputs!$F$40</f>
        <v>2.71274530557859</v>
      </c>
      <c r="AM62" s="11" t="n">
        <f aca="false">Inputs!$F$159*(0.5*AM19+0.5*AM23*Inputs!$F$153/AM11)*Time!AM25/12*Inputs!$F$40</f>
        <v>2.7437645299982</v>
      </c>
      <c r="AN62" s="11" t="n">
        <f aca="false">Inputs!$F$159*(0.5*AN19+0.5*AN23*Inputs!$F$153/AN11)*Time!AN25/12*Inputs!$F$40</f>
        <v>2.7751384476069</v>
      </c>
      <c r="AO62" s="11" t="n">
        <f aca="false">Inputs!$F$159*(0.5*AO19+0.5*AO23*Inputs!$F$153/AO11)*Time!AO25/12*Inputs!$F$40</f>
        <v>2.80687111418816</v>
      </c>
      <c r="AP62" s="11" t="n">
        <f aca="false">Inputs!$F$159*(0.5*AP19+0.5*AP23*Inputs!$F$153/AP11)*Time!AP25/12*Inputs!$F$40</f>
        <v>2.83896663190185</v>
      </c>
      <c r="AQ62" s="11" t="n">
        <f aca="false">Inputs!$F$159*(0.5*AQ19+0.5*AQ23*Inputs!$F$153/AQ11)*Time!AQ25/12*Inputs!$F$40</f>
        <v>2.87142914981449</v>
      </c>
      <c r="AR62" s="11" t="n">
        <f aca="false">Inputs!$F$159*(0.5*AR19+0.5*AR23*Inputs!$F$153/AR11)*Time!AR25/12*Inputs!$F$40</f>
        <v>2.9042628644356</v>
      </c>
      <c r="AS62" s="11" t="n">
        <f aca="false">Inputs!$F$159*(0.5*AS19+0.5*AS23*Inputs!$F$153/AS11)*Time!AS25/12*Inputs!$F$40</f>
        <v>2.93747202026022</v>
      </c>
      <c r="AT62" s="11" t="n">
        <f aca="false">Inputs!$F$159*(0.5*AT19+0.5*AT23*Inputs!$F$153/AT11)*Time!AT25/12*Inputs!$F$40</f>
        <v>2.97106091031761</v>
      </c>
      <c r="AU62" s="11" t="n">
        <f aca="false">Inputs!$F$159*(0.5*AU19+0.5*AU23*Inputs!$F$153/AU11)*Time!AU25/12*Inputs!$F$40</f>
        <v>3.00503387672621</v>
      </c>
      <c r="AV62" s="11" t="n">
        <f aca="false">Inputs!$F$159*(0.5*AV19+0.5*AV23*Inputs!$F$153/AV11)*Time!AV25/12*Inputs!$F$40</f>
        <v>3.03939531125492</v>
      </c>
      <c r="AW62" s="11" t="n">
        <f aca="false">Inputs!$F$159*(0.5*AW19+0.5*AW23*Inputs!$F$153/AW11)*Time!AW25/12*Inputs!$F$40</f>
        <v>3.07414965589091</v>
      </c>
      <c r="AX62" s="11" t="n">
        <f aca="false">Inputs!$F$159*(0.5*AX19+0.5*AX23*Inputs!$F$153/AX11)*Time!AX25/12*Inputs!$F$40</f>
        <v>3.10930140341378</v>
      </c>
      <c r="AY62" s="11" t="n">
        <f aca="false">Inputs!$F$159*(0.5*AY19+0.5*AY23*Inputs!$F$153/AY11)*Time!AY25/12*Inputs!$F$40</f>
        <v>3.1448550979764</v>
      </c>
      <c r="AZ62" s="11" t="n">
        <f aca="false">Inputs!$F$159*(0.5*AZ19+0.5*AZ23*Inputs!$F$153/AZ11)*Time!AZ25/12*Inputs!$F$40</f>
        <v>3.1808153356923</v>
      </c>
      <c r="BA62" s="11" t="n">
        <f aca="false">Inputs!$F$159*(0.5*BA19+0.5*BA23*Inputs!$F$153/BA11)*Time!BA25/12*Inputs!$F$40</f>
        <v>3.21718676522985</v>
      </c>
      <c r="BB62" s="11" t="n">
        <f aca="false">Inputs!$F$159*(0.5*BB19+0.5*BB23*Inputs!$F$153/BB11)*Time!BB25/12*Inputs!$F$40</f>
        <v>3.25397408841322</v>
      </c>
      <c r="BC62" s="11" t="n">
        <f aca="false">Inputs!$F$159*(0.5*BC19+0.5*BC23*Inputs!$F$153/BC11)*Time!BC25/12*Inputs!$F$40</f>
        <v>3.29118206083014</v>
      </c>
      <c r="BD62" s="11" t="n">
        <f aca="false">Inputs!$F$159*(0.5*BD19+0.5*BD23*Inputs!$F$153/BD11)*Time!BD25/12*Inputs!$F$40</f>
        <v>3.32881549244672</v>
      </c>
      <c r="BE62" s="11" t="n">
        <f aca="false">Inputs!$F$159*(0.5*BE19+0.5*BE23*Inputs!$F$153/BE11)*Time!BE25/12*Inputs!$F$40</f>
        <v>3.36687924822923</v>
      </c>
      <c r="BF62" s="11" t="n">
        <f aca="false">Inputs!$F$159*(0.5*BF19+0.5*BF23*Inputs!$F$153/BF11)*Time!BF25/12*Inputs!$F$40</f>
        <v>3.405378248773</v>
      </c>
      <c r="BG62" s="11" t="n">
        <f aca="false">Inputs!$F$159*(0.5*BG19+0.5*BG23*Inputs!$F$153/BG11)*Time!BG25/12*Inputs!$F$40</f>
        <v>3.4443174709385</v>
      </c>
      <c r="BH62" s="11" t="n">
        <f aca="false">Inputs!$F$159*(0.5*BH19+0.5*BH23*Inputs!$F$153/BH11)*Time!BH25/12*Inputs!$F$40</f>
        <v>3.48370194849477</v>
      </c>
      <c r="BI62" s="11" t="n">
        <f aca="false">Inputs!$F$159*(0.5*BI19+0.5*BI23*Inputs!$F$153/BI11)*Time!BI25/12*Inputs!$F$40</f>
        <v>3.52353677277009</v>
      </c>
      <c r="BJ62" s="11" t="n">
        <f aca="false">Inputs!$F$159*(0.5*BJ19+0.5*BJ23*Inputs!$F$153/BJ11)*Time!BJ25/12*Inputs!$F$40</f>
        <v>3.56382709331015</v>
      </c>
      <c r="BK62" s="11" t="n">
        <f aca="false">Inputs!$F$159*(0.5*BK19+0.5*BK23*Inputs!$F$153/BK11)*Time!BK25/12*Inputs!$F$40</f>
        <v>3.6045781185438</v>
      </c>
      <c r="BL62" s="11" t="n">
        <f aca="false">Inputs!$F$159*(0.5*BL19+0.5*BL23*Inputs!$F$153/BL11)*Time!BL25/12*Inputs!$F$40</f>
        <v>3.64579511645629</v>
      </c>
      <c r="BM62" s="11" t="n">
        <f aca="false">Inputs!$F$159*(0.5*BM19+0.5*BM23*Inputs!$F$153/BM11)*Time!BM25/12*Inputs!$F$40</f>
        <v>3.68748341527031</v>
      </c>
      <c r="BN62" s="11" t="n">
        <f aca="false">Inputs!$F$159*(0.5*BN19+0.5*BN23*Inputs!$F$153/BN11)*Time!BN25/12*Inputs!$F$40</f>
        <v>3.10804033677898</v>
      </c>
    </row>
    <row r="63" customFormat="false" ht="15" hidden="false" customHeight="false" outlineLevel="0" collapsed="false">
      <c r="D63" s="0" t="s">
        <v>267</v>
      </c>
      <c r="E63" s="0" t="s">
        <v>149</v>
      </c>
      <c r="G63" s="11" t="n">
        <f aca="false">SUM(J63:BN63)</f>
        <v>34.4385909242128</v>
      </c>
      <c r="J63" s="11" t="n">
        <f aca="false">Inputs!$F$160*J23/J11*Time!J25/12*Inputs!$F$40</f>
        <v>0</v>
      </c>
      <c r="K63" s="11" t="n">
        <f aca="false">Inputs!$F$160*K23/K11*Time!K25/12*Inputs!$F$40</f>
        <v>0</v>
      </c>
      <c r="L63" s="11" t="n">
        <f aca="false">Inputs!$F$160*L23/L11*Time!L25/12*Inputs!$F$40</f>
        <v>0</v>
      </c>
      <c r="M63" s="11" t="n">
        <f aca="false">Inputs!$F$160*M23/M11*Time!M25/12*Inputs!$F$40</f>
        <v>0</v>
      </c>
      <c r="N63" s="11" t="n">
        <f aca="false">Inputs!$F$160*N23/N11*Time!N25/12*Inputs!$F$40</f>
        <v>0</v>
      </c>
      <c r="O63" s="11" t="n">
        <f aca="false">Inputs!$F$160*O23/O11*Time!O25/12*Inputs!$F$40</f>
        <v>0</v>
      </c>
      <c r="P63" s="11" t="n">
        <f aca="false">Inputs!$F$160*P23/P11*Time!P25/12*Inputs!$F$40</f>
        <v>0.0666757454627242</v>
      </c>
      <c r="Q63" s="11" t="n">
        <f aca="false">Inputs!$F$160*Q23/Q11*Time!Q25/12*Inputs!$F$40</f>
        <v>0.404835620149517</v>
      </c>
      <c r="R63" s="11" t="n">
        <f aca="false">Inputs!$F$160*R23/R11*Time!R25/12*Inputs!$F$40</f>
        <v>0.358856110300994</v>
      </c>
      <c r="S63" s="11" t="n">
        <f aca="false">Inputs!$F$160*S23/S11*Time!S25/12*Inputs!$F$40</f>
        <v>0.323282962898704</v>
      </c>
      <c r="T63" s="11" t="n">
        <f aca="false">Inputs!$F$160*T23/T11*Time!T25/12*Inputs!$F$40</f>
        <v>0.378578849979041</v>
      </c>
      <c r="U63" s="11" t="n">
        <f aca="false">Inputs!$F$160*U23/U11*Time!U25/12*Inputs!$F$40</f>
        <v>0.407010190268486</v>
      </c>
      <c r="V63" s="11" t="n">
        <f aca="false">Inputs!$F$160*V23/V11*Time!V25/12*Inputs!$F$40</f>
        <v>0.462300722841901</v>
      </c>
      <c r="W63" s="11" t="n">
        <f aca="false">Inputs!$F$160*W23/W11*Time!W25/12*Inputs!$F$40</f>
        <v>0.504628651097916</v>
      </c>
      <c r="X63" s="11" t="n">
        <f aca="false">Inputs!$F$160*X23/X11*Time!X25/12*Inputs!$F$40</f>
        <v>0.541167836200194</v>
      </c>
      <c r="Y63" s="11" t="n">
        <f aca="false">Inputs!$F$160*Y23/Y11*Time!Y25/12*Inputs!$F$40</f>
        <v>0.567307011482555</v>
      </c>
      <c r="Z63" s="11" t="n">
        <f aca="false">Inputs!$F$160*Z23/Z11*Time!Z25/12*Inputs!$F$40</f>
        <v>0.585379754068572</v>
      </c>
      <c r="AA63" s="11" t="n">
        <f aca="false">Inputs!$F$160*AA23/AA11*Time!AA25/12*Inputs!$F$40</f>
        <v>0.594254137759035</v>
      </c>
      <c r="AB63" s="11" t="n">
        <f aca="false">Inputs!$F$160*AB23/AB11*Time!AB25/12*Inputs!$F$40</f>
        <v>0.601049210788384</v>
      </c>
      <c r="AC63" s="11" t="n">
        <f aca="false">Inputs!$F$160*AC23/AC11*Time!AC25/12*Inputs!$F$40</f>
        <v>0.609337410395631</v>
      </c>
      <c r="AD63" s="11" t="n">
        <f aca="false">Inputs!$F$160*AD23/AD11*Time!AD25/12*Inputs!$F$40</f>
        <v>0.616304954986514</v>
      </c>
      <c r="AE63" s="11" t="n">
        <f aca="false">Inputs!$F$160*AE23/AE11*Time!AE25/12*Inputs!$F$40</f>
        <v>0.623352170834731</v>
      </c>
      <c r="AF63" s="11" t="n">
        <f aca="false">Inputs!$F$160*AF23/AF11*Time!AF25/12*Inputs!$F$40</f>
        <v>0.630479968951204</v>
      </c>
      <c r="AG63" s="11" t="n">
        <f aca="false">Inputs!$F$160*AG23/AG11*Time!AG25/12*Inputs!$F$40</f>
        <v>0.637689270763929</v>
      </c>
      <c r="AH63" s="11" t="n">
        <f aca="false">Inputs!$F$160*AH23/AH11*Time!AH25/12*Inputs!$F$40</f>
        <v>0.644981008237082</v>
      </c>
      <c r="AI63" s="11" t="n">
        <f aca="false">Inputs!$F$160*AI23/AI11*Time!AI25/12*Inputs!$F$40</f>
        <v>0.652356123991499</v>
      </c>
      <c r="AJ63" s="11" t="n">
        <f aca="false">Inputs!$F$160*AJ23/AJ11*Time!AJ25/12*Inputs!$F$40</f>
        <v>0.659815571426535</v>
      </c>
      <c r="AK63" s="11" t="n">
        <f aca="false">Inputs!$F$160*AK23/AK11*Time!AK25/12*Inputs!$F$40</f>
        <v>0.667360314843304</v>
      </c>
      <c r="AL63" s="11" t="n">
        <f aca="false">Inputs!$F$160*AL23/AL11*Time!AL25/12*Inputs!$F$40</f>
        <v>0.674991329569345</v>
      </c>
      <c r="AM63" s="11" t="n">
        <f aca="false">Inputs!$F$160*AM23/AM11*Time!AM25/12*Inputs!$F$40</f>
        <v>0.6827096020847</v>
      </c>
      <c r="AN63" s="11" t="n">
        <f aca="false">Inputs!$F$160*AN23/AN11*Time!AN25/12*Inputs!$F$40</f>
        <v>0.690516130149439</v>
      </c>
      <c r="AO63" s="11" t="n">
        <f aca="false">Inputs!$F$160*AO23/AO11*Time!AO25/12*Inputs!$F$40</f>
        <v>0.698411922932647</v>
      </c>
      <c r="AP63" s="11" t="n">
        <f aca="false">Inputs!$F$160*AP23/AP11*Time!AP25/12*Inputs!$F$40</f>
        <v>0.706398001142876</v>
      </c>
      <c r="AQ63" s="11" t="n">
        <f aca="false">Inputs!$F$160*AQ23/AQ11*Time!AQ25/12*Inputs!$F$40</f>
        <v>0.714475397160098</v>
      </c>
      <c r="AR63" s="11" t="n">
        <f aca="false">Inputs!$F$160*AR23/AR11*Time!AR25/12*Inputs!$F$40</f>
        <v>0.722645155169162</v>
      </c>
      <c r="AS63" s="11" t="n">
        <f aca="false">Inputs!$F$160*AS23/AS11*Time!AS25/12*Inputs!$F$40</f>
        <v>0.73090833129478</v>
      </c>
      <c r="AT63" s="11" t="n">
        <f aca="false">Inputs!$F$160*AT23/AT11*Time!AT25/12*Inputs!$F$40</f>
        <v>0.739265993738053</v>
      </c>
      <c r="AU63" s="11" t="n">
        <f aca="false">Inputs!$F$160*AU23/AU11*Time!AU25/12*Inputs!$F$40</f>
        <v>0.74771922291456</v>
      </c>
      <c r="AV63" s="11" t="n">
        <f aca="false">Inputs!$F$160*AV23/AV11*Time!AV25/12*Inputs!$F$40</f>
        <v>0.756269111594028</v>
      </c>
      <c r="AW63" s="11" t="n">
        <f aca="false">Inputs!$F$160*AW23/AW11*Time!AW25/12*Inputs!$F$40</f>
        <v>0.764916765041595</v>
      </c>
      <c r="AX63" s="11" t="n">
        <f aca="false">Inputs!$F$160*AX23/AX11*Time!AX25/12*Inputs!$F$40</f>
        <v>0.773663301160691</v>
      </c>
      <c r="AY63" s="11" t="n">
        <f aca="false">Inputs!$F$160*AY23/AY11*Time!AY25/12*Inputs!$F$40</f>
        <v>0.782509850637551</v>
      </c>
      <c r="AZ63" s="11" t="n">
        <f aca="false">Inputs!$F$160*AZ23/AZ11*Time!AZ25/12*Inputs!$F$40</f>
        <v>0.791457557087386</v>
      </c>
      <c r="BA63" s="11" t="n">
        <f aca="false">Inputs!$F$160*BA23/BA11*Time!BA25/12*Inputs!$F$40</f>
        <v>0.800507577202215</v>
      </c>
      <c r="BB63" s="11" t="n">
        <f aca="false">Inputs!$F$160*BB23/BB11*Time!BB25/12*Inputs!$F$40</f>
        <v>0.809661080900396</v>
      </c>
      <c r="BC63" s="11" t="n">
        <f aca="false">Inputs!$F$160*BC23/BC11*Time!BC25/12*Inputs!$F$40</f>
        <v>0.818919251477866</v>
      </c>
      <c r="BD63" s="11" t="n">
        <f aca="false">Inputs!$F$160*BD23/BD11*Time!BD25/12*Inputs!$F$40</f>
        <v>0.828283285761105</v>
      </c>
      <c r="BE63" s="11" t="n">
        <f aca="false">Inputs!$F$160*BE23/BE11*Time!BE25/12*Inputs!$F$40</f>
        <v>0.837754394261857</v>
      </c>
      <c r="BF63" s="11" t="n">
        <f aca="false">Inputs!$F$160*BF23/BF11*Time!BF25/12*Inputs!$F$40</f>
        <v>0.84733380133361</v>
      </c>
      <c r="BG63" s="11" t="n">
        <f aca="false">Inputs!$F$160*BG23/BG11*Time!BG25/12*Inputs!$F$40</f>
        <v>0.857022745329879</v>
      </c>
      <c r="BH63" s="11" t="n">
        <f aca="false">Inputs!$F$160*BH23/BH11*Time!BH25/12*Inputs!$F$40</f>
        <v>0.866822478764283</v>
      </c>
      <c r="BI63" s="11" t="n">
        <f aca="false">Inputs!$F$160*BI23/BI11*Time!BI25/12*Inputs!$F$40</f>
        <v>0.876734268472466</v>
      </c>
      <c r="BJ63" s="11" t="n">
        <f aca="false">Inputs!$F$160*BJ23/BJ11*Time!BJ25/12*Inputs!$F$40</f>
        <v>0.886759395775862</v>
      </c>
      <c r="BK63" s="11" t="n">
        <f aca="false">Inputs!$F$160*BK23/BK11*Time!BK25/12*Inputs!$F$40</f>
        <v>0.896899156647333</v>
      </c>
      <c r="BL63" s="11" t="n">
        <f aca="false">Inputs!$F$160*BL23/BL11*Time!BL25/12*Inputs!$F$40</f>
        <v>0.907154861878707</v>
      </c>
      <c r="BM63" s="11" t="n">
        <f aca="false">Inputs!$F$160*BM23/BM11*Time!BM25/12*Inputs!$F$40</f>
        <v>0.917527837250222</v>
      </c>
      <c r="BN63" s="11" t="n">
        <f aca="false">Inputs!$F$160*BN23/BN11*Time!BN25/12*Inputs!$F$40</f>
        <v>0.773349519751597</v>
      </c>
    </row>
    <row r="64" customFormat="false" ht="15" hidden="false" customHeight="false" outlineLevel="0" collapsed="false">
      <c r="D64" s="0" t="s">
        <v>514</v>
      </c>
      <c r="E64" s="0" t="s">
        <v>149</v>
      </c>
      <c r="G64" s="11" t="n">
        <f aca="false">SUM(J64:BN64)</f>
        <v>22.470281208564</v>
      </c>
      <c r="J64" s="11" t="n">
        <f aca="false">Inputs!$F$161/100*J51</f>
        <v>0</v>
      </c>
      <c r="K64" s="11" t="n">
        <f aca="false">Inputs!$F$161/100*K51</f>
        <v>0</v>
      </c>
      <c r="L64" s="11" t="n">
        <f aca="false">Inputs!$F$161/100*L51</f>
        <v>0</v>
      </c>
      <c r="M64" s="11" t="n">
        <f aca="false">Inputs!$F$161/100*M51</f>
        <v>0</v>
      </c>
      <c r="N64" s="11" t="n">
        <f aca="false">Inputs!$F$161/100*N51</f>
        <v>0</v>
      </c>
      <c r="O64" s="11" t="n">
        <f aca="false">Inputs!$F$161/100*O51</f>
        <v>0</v>
      </c>
      <c r="P64" s="11" t="n">
        <f aca="false">Inputs!$F$161/100*P51</f>
        <v>0.0617918320971353</v>
      </c>
      <c r="Q64" s="11" t="n">
        <f aca="false">Inputs!$F$161/100*Q51</f>
        <v>0.376999403504649</v>
      </c>
      <c r="R64" s="11" t="n">
        <f aca="false">Inputs!$F$161/100*R51</f>
        <v>0.375003124177316</v>
      </c>
      <c r="S64" s="11" t="n">
        <f aca="false">Inputs!$F$161/100*S51</f>
        <v>0.373963022634255</v>
      </c>
      <c r="T64" s="11" t="n">
        <f aca="false">Inputs!$F$161/100*T51</f>
        <v>0.381336880060154</v>
      </c>
      <c r="U64" s="11" t="n">
        <f aca="false">Inputs!$F$161/100*U51</f>
        <v>0.387240762412074</v>
      </c>
      <c r="V64" s="11" t="n">
        <f aca="false">Inputs!$F$161/100*V51</f>
        <v>0.394300281447932</v>
      </c>
      <c r="W64" s="11" t="n">
        <f aca="false">Inputs!$F$161/100*W51</f>
        <v>0.398513392763343</v>
      </c>
      <c r="X64" s="11" t="n">
        <f aca="false">Inputs!$F$161/100*X51</f>
        <v>0.404010261551135</v>
      </c>
      <c r="Y64" s="11" t="n">
        <f aca="false">Inputs!$F$161/100*Y51</f>
        <v>0.409625818438789</v>
      </c>
      <c r="Z64" s="11" t="n">
        <f aca="false">Inputs!$F$161/100*Z51</f>
        <v>0.413077939279558</v>
      </c>
      <c r="AA64" s="11" t="n">
        <f aca="false">Inputs!$F$161/100*AA51</f>
        <v>0.415351425106954</v>
      </c>
      <c r="AB64" s="11" t="n">
        <f aca="false">Inputs!$F$161/100*AB51</f>
        <v>0.417905959658333</v>
      </c>
      <c r="AC64" s="11" t="n">
        <f aca="false">Inputs!$F$161/100*AC51</f>
        <v>0.420788699181757</v>
      </c>
      <c r="AD64" s="11" t="n">
        <f aca="false">Inputs!$F$161/100*AD51</f>
        <v>0.42262905198166</v>
      </c>
      <c r="AE64" s="11" t="n">
        <f aca="false">Inputs!$F$161/100*AE51</f>
        <v>0.416972545422505</v>
      </c>
      <c r="AF64" s="11" t="n">
        <f aca="false">Inputs!$F$161/100*AF51</f>
        <v>0.423229886291486</v>
      </c>
      <c r="AG64" s="11" t="n">
        <f aca="false">Inputs!$F$161/100*AG51</f>
        <v>0.430039407583215</v>
      </c>
      <c r="AH64" s="11" t="n">
        <f aca="false">Inputs!$F$161/100*AH51</f>
        <v>0.432293928659941</v>
      </c>
      <c r="AI64" s="11" t="n">
        <f aca="false">Inputs!$F$161/100*AI51</f>
        <v>0.434188225765694</v>
      </c>
      <c r="AJ64" s="11" t="n">
        <f aca="false">Inputs!$F$161/100*AJ51</f>
        <v>0.436681874288457</v>
      </c>
      <c r="AK64" s="11" t="n">
        <f aca="false">Inputs!$F$161/100*AK51</f>
        <v>0.439597265595909</v>
      </c>
      <c r="AL64" s="11" t="n">
        <f aca="false">Inputs!$F$161/100*AL51</f>
        <v>0.441701224175774</v>
      </c>
      <c r="AM64" s="11" t="n">
        <f aca="false">Inputs!$F$161/100*AM51</f>
        <v>0.442398673071725</v>
      </c>
      <c r="AN64" s="11" t="n">
        <f aca="false">Inputs!$F$161/100*AN51</f>
        <v>0.445248535589467</v>
      </c>
      <c r="AO64" s="11" t="n">
        <f aca="false">Inputs!$F$161/100*AO51</f>
        <v>0.449591134703353</v>
      </c>
      <c r="AP64" s="11" t="n">
        <f aca="false">Inputs!$F$161/100*AP51</f>
        <v>0.452056493001559</v>
      </c>
      <c r="AQ64" s="11" t="n">
        <f aca="false">Inputs!$F$161/100*AQ51</f>
        <v>0.45412985187482</v>
      </c>
      <c r="AR64" s="11" t="n">
        <f aca="false">Inputs!$F$161/100*AR51</f>
        <v>0.456855767483409</v>
      </c>
      <c r="AS64" s="11" t="n">
        <f aca="false">Inputs!$F$161/100*AS51</f>
        <v>0.460040896961932</v>
      </c>
      <c r="AT64" s="11" t="n">
        <f aca="false">Inputs!$F$161/100*AT51</f>
        <v>0.462114802524587</v>
      </c>
      <c r="AU64" s="11" t="n">
        <f aca="false">Inputs!$F$161/100*AU51</f>
        <v>0.45599408914714</v>
      </c>
      <c r="AV64" s="11" t="n">
        <f aca="false">Inputs!$F$161/100*AV51</f>
        <v>0.463067422781979</v>
      </c>
      <c r="AW64" s="11" t="n">
        <f aca="false">Inputs!$F$161/100*AW51</f>
        <v>0.470967340671158</v>
      </c>
      <c r="AX64" s="11" t="n">
        <f aca="false">Inputs!$F$161/100*AX51</f>
        <v>0.473663246607836</v>
      </c>
      <c r="AY64" s="11" t="n">
        <f aca="false">Inputs!$F$161/100*AY51</f>
        <v>0.47593259245917</v>
      </c>
      <c r="AZ64" s="11" t="n">
        <f aca="false">Inputs!$F$161/100*AZ51</f>
        <v>0.478912398533739</v>
      </c>
      <c r="BA64" s="11" t="n">
        <f aca="false">Inputs!$F$161/100*BA51</f>
        <v>0.482392201663224</v>
      </c>
      <c r="BB64" s="11" t="n">
        <f aca="false">Inputs!$F$161/100*BB51</f>
        <v>0.484910825049339</v>
      </c>
      <c r="BC64" s="11" t="n">
        <f aca="false">Inputs!$F$161/100*BC51</f>
        <v>0.485763210940946</v>
      </c>
      <c r="BD64" s="11" t="n">
        <f aca="false">Inputs!$F$161/100*BD51</f>
        <v>0.489166233066292</v>
      </c>
      <c r="BE64" s="11" t="n">
        <f aca="false">Inputs!$F$161/100*BE51</f>
        <v>0.494338206472919</v>
      </c>
      <c r="BF64" s="11" t="n">
        <f aca="false">Inputs!$F$161/100*BF51</f>
        <v>0.497286212485592</v>
      </c>
      <c r="BG64" s="11" t="n">
        <f aca="false">Inputs!$F$161/100*BG51</f>
        <v>0.499770070236022</v>
      </c>
      <c r="BH64" s="11" t="n">
        <f aca="false">Inputs!$F$161/100*BH51</f>
        <v>0.503027402179879</v>
      </c>
      <c r="BI64" s="11" t="n">
        <f aca="false">Inputs!$F$161/100*BI51</f>
        <v>0.506829117473484</v>
      </c>
      <c r="BJ64" s="11" t="n">
        <f aca="false">Inputs!$F$161/100*BJ51</f>
        <v>0.509314563510577</v>
      </c>
      <c r="BK64" s="11" t="n">
        <f aca="false">Inputs!$F$161/100*BK51</f>
        <v>0.502642734289647</v>
      </c>
      <c r="BL64" s="11" t="n">
        <f aca="false">Inputs!$F$161/100*BL51</f>
        <v>0.510691519469803</v>
      </c>
      <c r="BM64" s="11" t="n">
        <f aca="false">Inputs!$F$161/100*BM51</f>
        <v>0.519889780067909</v>
      </c>
      <c r="BN64" s="11" t="n">
        <f aca="false">Inputs!$F$161/100*BN51</f>
        <v>0.436043674168484</v>
      </c>
    </row>
    <row r="65" customFormat="false" ht="15" hidden="false" customHeight="false" outlineLevel="0" collapsed="false">
      <c r="D65" s="0" t="s">
        <v>271</v>
      </c>
      <c r="E65" s="0" t="s">
        <v>149</v>
      </c>
      <c r="G65" s="11" t="n">
        <f aca="false">SUM(J65:BN65)</f>
        <v>160.427041379098</v>
      </c>
      <c r="J65" s="11" t="n">
        <f aca="false">Inputs!$F$162*(0.7*J19+0.3*J23*Inputs!$F$153/J11)*J34/1000000</f>
        <v>0</v>
      </c>
      <c r="K65" s="11" t="n">
        <f aca="false">Inputs!$F$162*(0.7*K19+0.3*K23*Inputs!$F$153/K11)*K34/1000000</f>
        <v>0</v>
      </c>
      <c r="L65" s="11" t="n">
        <f aca="false">Inputs!$F$162*(0.7*L19+0.3*L23*Inputs!$F$153/L11)*L34/1000000</f>
        <v>0</v>
      </c>
      <c r="M65" s="11" t="n">
        <f aca="false">Inputs!$F$162*(0.7*M19+0.3*M23*Inputs!$F$153/M11)*M34/1000000</f>
        <v>0</v>
      </c>
      <c r="N65" s="11" t="n">
        <f aca="false">Inputs!$F$162*(0.7*N19+0.3*N23*Inputs!$F$153/N11)*N34/1000000</f>
        <v>0</v>
      </c>
      <c r="O65" s="11" t="n">
        <f aca="false">Inputs!$F$162*(0.7*O19+0.3*O23*Inputs!$F$153/O11)*O34/1000000</f>
        <v>0</v>
      </c>
      <c r="P65" s="11" t="n">
        <f aca="false">Inputs!$F$162*(0.7*P19+0.3*P23*Inputs!$F$153/P11)*P34/1000000</f>
        <v>0.356005252375428</v>
      </c>
      <c r="Q65" s="11" t="n">
        <f aca="false">Inputs!$F$162*(0.7*Q19+0.3*Q23*Inputs!$F$153/Q11)*Q34/1000000</f>
        <v>2.40363997932023</v>
      </c>
      <c r="R65" s="11" t="n">
        <f aca="false">Inputs!$F$162*(0.7*R19+0.3*R23*Inputs!$F$153/R11)*R34/1000000</f>
        <v>2.30962096125699</v>
      </c>
      <c r="S65" s="11" t="n">
        <f aca="false">Inputs!$F$162*(0.7*S19+0.3*S23*Inputs!$F$153/S11)*S34/1000000</f>
        <v>2.13751049254861</v>
      </c>
      <c r="T65" s="11" t="n">
        <f aca="false">Inputs!$F$162*(0.7*T19+0.3*T23*Inputs!$F$153/T11)*T34/1000000</f>
        <v>2.26220765204961</v>
      </c>
      <c r="U65" s="11" t="n">
        <f aca="false">Inputs!$F$162*(0.7*U19+0.3*U23*Inputs!$F$153/U11)*U34/1000000</f>
        <v>2.35414435706886</v>
      </c>
      <c r="V65" s="11" t="n">
        <f aca="false">Inputs!$F$162*(0.7*V19+0.3*V23*Inputs!$F$153/V11)*V34/1000000</f>
        <v>2.45330943950071</v>
      </c>
      <c r="W65" s="11" t="n">
        <f aca="false">Inputs!$F$162*(0.7*W19+0.3*W23*Inputs!$F$153/W11)*W34/1000000</f>
        <v>2.47132694222147</v>
      </c>
      <c r="X65" s="11" t="n">
        <f aca="false">Inputs!$F$162*(0.7*X19+0.3*X23*Inputs!$F$153/X11)*X34/1000000</f>
        <v>2.56469781833309</v>
      </c>
      <c r="Y65" s="11" t="n">
        <f aca="false">Inputs!$F$162*(0.7*Y19+0.3*Y23*Inputs!$F$153/Y11)*Y34/1000000</f>
        <v>2.70360202987744</v>
      </c>
      <c r="Z65" s="11" t="n">
        <f aca="false">Inputs!$F$162*(0.7*Z19+0.3*Z23*Inputs!$F$153/Z11)*Z34/1000000</f>
        <v>2.74962793058749</v>
      </c>
      <c r="AA65" s="11" t="n">
        <f aca="false">Inputs!$F$162*(0.7*AA19+0.3*AA23*Inputs!$F$153/AA11)*AA34/1000000</f>
        <v>2.76155958143079</v>
      </c>
      <c r="AB65" s="11" t="n">
        <f aca="false">Inputs!$F$162*(0.7*AB19+0.3*AB23*Inputs!$F$153/AB11)*AB34/1000000</f>
        <v>2.7955317313643</v>
      </c>
      <c r="AC65" s="11" t="n">
        <f aca="false">Inputs!$F$162*(0.7*AC19+0.3*AC23*Inputs!$F$153/AC11)*AC34/1000000</f>
        <v>2.85044115798956</v>
      </c>
      <c r="AD65" s="11" t="n">
        <f aca="false">Inputs!$F$162*(0.7*AD19+0.3*AD23*Inputs!$F$153/AD11)*AD34/1000000</f>
        <v>2.85474606748907</v>
      </c>
      <c r="AE65" s="11" t="n">
        <f aca="false">Inputs!$F$162*(0.7*AE19+0.3*AE23*Inputs!$F$153/AE11)*AE34/1000000</f>
        <v>2.75327953777483</v>
      </c>
      <c r="AF65" s="11" t="n">
        <f aca="false">Inputs!$F$162*(0.7*AF19+0.3*AF23*Inputs!$F$153/AF11)*AF34/1000000</f>
        <v>2.80931621412748</v>
      </c>
      <c r="AG65" s="11" t="n">
        <f aca="false">Inputs!$F$162*(0.7*AG19+0.3*AG23*Inputs!$F$153/AG11)*AG34/1000000</f>
        <v>2.97403429373729</v>
      </c>
      <c r="AH65" s="11" t="n">
        <f aca="false">Inputs!$F$162*(0.7*AH19+0.3*AH23*Inputs!$F$153/AH11)*AH34/1000000</f>
        <v>3.00095002424177</v>
      </c>
      <c r="AI65" s="11" t="n">
        <f aca="false">Inputs!$F$162*(0.7*AI19+0.3*AI23*Inputs!$F$153/AI11)*AI34/1000000</f>
        <v>3.008668174075</v>
      </c>
      <c r="AJ65" s="11" t="n">
        <f aca="false">Inputs!$F$162*(0.7*AJ19+0.3*AJ23*Inputs!$F$153/AJ11)*AJ34/1000000</f>
        <v>3.04566618129689</v>
      </c>
      <c r="AK65" s="11" t="n">
        <f aca="false">Inputs!$F$162*(0.7*AK19+0.3*AK23*Inputs!$F$153/AK11)*AK34/1000000</f>
        <v>3.10295770308055</v>
      </c>
      <c r="AL65" s="11" t="n">
        <f aca="false">Inputs!$F$162*(0.7*AL19+0.3*AL23*Inputs!$F$153/AL11)*AL34/1000000</f>
        <v>3.11821685337085</v>
      </c>
      <c r="AM65" s="11" t="n">
        <f aca="false">Inputs!$F$162*(0.7*AM19+0.3*AM23*Inputs!$F$153/AM11)*AM34/1000000</f>
        <v>3.06136171068452</v>
      </c>
      <c r="AN65" s="11" t="n">
        <f aca="false">Inputs!$F$162*(0.7*AN19+0.3*AN23*Inputs!$F$153/AN11)*AN34/1000000</f>
        <v>3.11221821643511</v>
      </c>
      <c r="AO65" s="11" t="n">
        <f aca="false">Inputs!$F$162*(0.7*AO19+0.3*AO23*Inputs!$F$153/AO11)*AO34/1000000</f>
        <v>3.23743983792718</v>
      </c>
      <c r="AP65" s="11" t="n">
        <f aca="false">Inputs!$F$162*(0.7*AP19+0.3*AP23*Inputs!$F$153/AP11)*AP34/1000000</f>
        <v>3.26672427386372</v>
      </c>
      <c r="AQ65" s="11" t="n">
        <f aca="false">Inputs!$F$162*(0.7*AQ19+0.3*AQ23*Inputs!$F$153/AQ11)*AQ34/1000000</f>
        <v>3.27511072834899</v>
      </c>
      <c r="AR65" s="11" t="n">
        <f aca="false">Inputs!$F$162*(0.7*AR19+0.3*AR23*Inputs!$F$153/AR11)*AR34/1000000</f>
        <v>3.3153697647656</v>
      </c>
      <c r="AS65" s="11" t="n">
        <f aca="false">Inputs!$F$162*(0.7*AS19+0.3*AS23*Inputs!$F$153/AS11)*AS34/1000000</f>
        <v>3.37771886969837</v>
      </c>
      <c r="AT65" s="11" t="n">
        <f aca="false">Inputs!$F$162*(0.7*AT19+0.3*AT23*Inputs!$F$153/AT11)*AT34/1000000</f>
        <v>3.3827886694844</v>
      </c>
      <c r="AU65" s="11" t="n">
        <f aca="false">Inputs!$F$162*(0.7*AU19+0.3*AU23*Inputs!$F$153/AU11)*AU34/1000000</f>
        <v>3.2625235026865</v>
      </c>
      <c r="AV65" s="11" t="n">
        <f aca="false">Inputs!$F$162*(0.7*AV19+0.3*AV23*Inputs!$F$153/AV11)*AV34/1000000</f>
        <v>3.32889363916909</v>
      </c>
      <c r="AW65" s="11" t="n">
        <f aca="false">Inputs!$F$162*(0.7*AW19+0.3*AW23*Inputs!$F$153/AW11)*AW34/1000000</f>
        <v>3.52404309922063</v>
      </c>
      <c r="AX65" s="11" t="n">
        <f aca="false">Inputs!$F$162*(0.7*AX19+0.3*AX23*Inputs!$F$153/AX11)*AX34/1000000</f>
        <v>3.55590329485842</v>
      </c>
      <c r="AY65" s="11" t="n">
        <f aca="false">Inputs!$F$162*(0.7*AY19+0.3*AY23*Inputs!$F$153/AY11)*AY34/1000000</f>
        <v>3.56501534624638</v>
      </c>
      <c r="AZ65" s="11" t="n">
        <f aca="false">Inputs!$F$162*(0.7*AZ19+0.3*AZ23*Inputs!$F$153/AZ11)*AZ34/1000000</f>
        <v>3.60882098539046</v>
      </c>
      <c r="BA65" s="11" t="n">
        <f aca="false">Inputs!$F$162*(0.7*BA19+0.3*BA23*Inputs!$F$153/BA11)*BA34/1000000</f>
        <v>3.67667138371932</v>
      </c>
      <c r="BB65" s="11" t="n">
        <f aca="false">Inputs!$F$162*(0.7*BB19+0.3*BB23*Inputs!$F$153/BB11)*BB34/1000000</f>
        <v>3.69471707892437</v>
      </c>
      <c r="BC65" s="11" t="n">
        <f aca="false">Inputs!$F$162*(0.7*BC19+0.3*BC23*Inputs!$F$153/BC11)*BC34/1000000</f>
        <v>3.62731630295524</v>
      </c>
      <c r="BD65" s="11" t="n">
        <f aca="false">Inputs!$F$162*(0.7*BD19+0.3*BD23*Inputs!$F$153/BD11)*BD34/1000000</f>
        <v>3.68753986474787</v>
      </c>
      <c r="BE65" s="11" t="n">
        <f aca="false">Inputs!$F$162*(0.7*BE19+0.3*BE23*Inputs!$F$153/BE11)*BE34/1000000</f>
        <v>3.83587358161765</v>
      </c>
      <c r="BF65" s="11" t="n">
        <f aca="false">Inputs!$F$162*(0.7*BF19+0.3*BF23*Inputs!$F$153/BF11)*BF34/1000000</f>
        <v>3.87053454583878</v>
      </c>
      <c r="BG65" s="11" t="n">
        <f aca="false">Inputs!$F$162*(0.7*BG19+0.3*BG23*Inputs!$F$153/BG11)*BG34/1000000</f>
        <v>3.88043433766191</v>
      </c>
      <c r="BH65" s="11" t="n">
        <f aca="false">Inputs!$F$162*(0.7*BH19+0.3*BH23*Inputs!$F$153/BH11)*BH34/1000000</f>
        <v>3.92809697028535</v>
      </c>
      <c r="BI65" s="11" t="n">
        <f aca="false">Inputs!$F$162*(0.7*BI19+0.3*BI23*Inputs!$F$153/BI11)*BI34/1000000</f>
        <v>4.00193101587374</v>
      </c>
      <c r="BJ65" s="11" t="n">
        <f aca="false">Inputs!$F$162*(0.7*BJ19+0.3*BJ23*Inputs!$F$153/BJ11)*BJ34/1000000</f>
        <v>4.00789955819573</v>
      </c>
      <c r="BK65" s="11" t="n">
        <f aca="false">Inputs!$F$162*(0.7*BK19+0.3*BK23*Inputs!$F$153/BK11)*BK34/1000000</f>
        <v>3.86537352980952</v>
      </c>
      <c r="BL65" s="11" t="n">
        <f aca="false">Inputs!$F$162*(0.7*BL19+0.3*BL23*Inputs!$F$153/BL11)*BL34/1000000</f>
        <v>3.94396988076692</v>
      </c>
      <c r="BM65" s="11" t="n">
        <f aca="false">Inputs!$F$162*(0.7*BM19+0.3*BM23*Inputs!$F$153/BM11)*BM34/1000000</f>
        <v>4.17513695661797</v>
      </c>
      <c r="BN65" s="11" t="n">
        <f aca="false">Inputs!$F$162*(0.7*BN19+0.3*BN23*Inputs!$F$153/BN11)*BN34/1000000</f>
        <v>3.51655405818644</v>
      </c>
    </row>
    <row r="66" customFormat="false" ht="15" hidden="false" customHeight="false" outlineLevel="0" collapsed="false">
      <c r="D66" s="0" t="s">
        <v>203</v>
      </c>
      <c r="E66" s="0" t="s">
        <v>149</v>
      </c>
      <c r="G66" s="11" t="n">
        <f aca="false">SUM(J66:BN66)</f>
        <v>6.375</v>
      </c>
      <c r="J66" s="11" t="n">
        <f aca="false">Inputs!$F$107*Time!J25/12</f>
        <v>0</v>
      </c>
      <c r="K66" s="11" t="n">
        <f aca="false">Inputs!$F$107*Time!K25/12</f>
        <v>0</v>
      </c>
      <c r="L66" s="11" t="n">
        <f aca="false">Inputs!$F$107*Time!L25/12</f>
        <v>0</v>
      </c>
      <c r="M66" s="11" t="n">
        <f aca="false">Inputs!$F$107*Time!M25/12</f>
        <v>0</v>
      </c>
      <c r="N66" s="11" t="n">
        <f aca="false">Inputs!$F$107*Time!N25/12</f>
        <v>0</v>
      </c>
      <c r="O66" s="11" t="n">
        <f aca="false">Inputs!$F$107*Time!O25/12</f>
        <v>0</v>
      </c>
      <c r="P66" s="11" t="n">
        <f aca="false">Inputs!$F$107*Time!P25/12</f>
        <v>0.02125</v>
      </c>
      <c r="Q66" s="11" t="n">
        <f aca="false">Inputs!$F$107*Time!Q25/12</f>
        <v>0.1275</v>
      </c>
      <c r="R66" s="11" t="n">
        <f aca="false">Inputs!$F$107*Time!R25/12</f>
        <v>0.1275</v>
      </c>
      <c r="S66" s="11" t="n">
        <f aca="false">Inputs!$F$107*Time!S25/12</f>
        <v>0.1275</v>
      </c>
      <c r="T66" s="11" t="n">
        <f aca="false">Inputs!$F$107*Time!T25/12</f>
        <v>0.1275</v>
      </c>
      <c r="U66" s="11" t="n">
        <f aca="false">Inputs!$F$107*Time!U25/12</f>
        <v>0.1275</v>
      </c>
      <c r="V66" s="11" t="n">
        <f aca="false">Inputs!$F$107*Time!V25/12</f>
        <v>0.1275</v>
      </c>
      <c r="W66" s="11" t="n">
        <f aca="false">Inputs!$F$107*Time!W25/12</f>
        <v>0.1275</v>
      </c>
      <c r="X66" s="11" t="n">
        <f aca="false">Inputs!$F$107*Time!X25/12</f>
        <v>0.1275</v>
      </c>
      <c r="Y66" s="11" t="n">
        <f aca="false">Inputs!$F$107*Time!Y25/12</f>
        <v>0.1275</v>
      </c>
      <c r="Z66" s="11" t="n">
        <f aca="false">Inputs!$F$107*Time!Z25/12</f>
        <v>0.1275</v>
      </c>
      <c r="AA66" s="11" t="n">
        <f aca="false">Inputs!$F$107*Time!AA25/12</f>
        <v>0.1275</v>
      </c>
      <c r="AB66" s="11" t="n">
        <f aca="false">Inputs!$F$107*Time!AB25/12</f>
        <v>0.1275</v>
      </c>
      <c r="AC66" s="11" t="n">
        <f aca="false">Inputs!$F$107*Time!AC25/12</f>
        <v>0.1275</v>
      </c>
      <c r="AD66" s="11" t="n">
        <f aca="false">Inputs!$F$107*Time!AD25/12</f>
        <v>0.1275</v>
      </c>
      <c r="AE66" s="11" t="n">
        <f aca="false">Inputs!$F$107*Time!AE25/12</f>
        <v>0.1275</v>
      </c>
      <c r="AF66" s="11" t="n">
        <f aca="false">Inputs!$F$107*Time!AF25/12</f>
        <v>0.1275</v>
      </c>
      <c r="AG66" s="11" t="n">
        <f aca="false">Inputs!$F$107*Time!AG25/12</f>
        <v>0.1275</v>
      </c>
      <c r="AH66" s="11" t="n">
        <f aca="false">Inputs!$F$107*Time!AH25/12</f>
        <v>0.1275</v>
      </c>
      <c r="AI66" s="11" t="n">
        <f aca="false">Inputs!$F$107*Time!AI25/12</f>
        <v>0.1275</v>
      </c>
      <c r="AJ66" s="11" t="n">
        <f aca="false">Inputs!$F$107*Time!AJ25/12</f>
        <v>0.1275</v>
      </c>
      <c r="AK66" s="11" t="n">
        <f aca="false">Inputs!$F$107*Time!AK25/12</f>
        <v>0.1275</v>
      </c>
      <c r="AL66" s="11" t="n">
        <f aca="false">Inputs!$F$107*Time!AL25/12</f>
        <v>0.1275</v>
      </c>
      <c r="AM66" s="11" t="n">
        <f aca="false">Inputs!$F$107*Time!AM25/12</f>
        <v>0.1275</v>
      </c>
      <c r="AN66" s="11" t="n">
        <f aca="false">Inputs!$F$107*Time!AN25/12</f>
        <v>0.1275</v>
      </c>
      <c r="AO66" s="11" t="n">
        <f aca="false">Inputs!$F$107*Time!AO25/12</f>
        <v>0.1275</v>
      </c>
      <c r="AP66" s="11" t="n">
        <f aca="false">Inputs!$F$107*Time!AP25/12</f>
        <v>0.1275</v>
      </c>
      <c r="AQ66" s="11" t="n">
        <f aca="false">Inputs!$F$107*Time!AQ25/12</f>
        <v>0.1275</v>
      </c>
      <c r="AR66" s="11" t="n">
        <f aca="false">Inputs!$F$107*Time!AR25/12</f>
        <v>0.1275</v>
      </c>
      <c r="AS66" s="11" t="n">
        <f aca="false">Inputs!$F$107*Time!AS25/12</f>
        <v>0.1275</v>
      </c>
      <c r="AT66" s="11" t="n">
        <f aca="false">Inputs!$F$107*Time!AT25/12</f>
        <v>0.1275</v>
      </c>
      <c r="AU66" s="11" t="n">
        <f aca="false">Inputs!$F$107*Time!AU25/12</f>
        <v>0.1275</v>
      </c>
      <c r="AV66" s="11" t="n">
        <f aca="false">Inputs!$F$107*Time!AV25/12</f>
        <v>0.1275</v>
      </c>
      <c r="AW66" s="11" t="n">
        <f aca="false">Inputs!$F$107*Time!AW25/12</f>
        <v>0.1275</v>
      </c>
      <c r="AX66" s="11" t="n">
        <f aca="false">Inputs!$F$107*Time!AX25/12</f>
        <v>0.1275</v>
      </c>
      <c r="AY66" s="11" t="n">
        <f aca="false">Inputs!$F$107*Time!AY25/12</f>
        <v>0.1275</v>
      </c>
      <c r="AZ66" s="11" t="n">
        <f aca="false">Inputs!$F$107*Time!AZ25/12</f>
        <v>0.1275</v>
      </c>
      <c r="BA66" s="11" t="n">
        <f aca="false">Inputs!$F$107*Time!BA25/12</f>
        <v>0.1275</v>
      </c>
      <c r="BB66" s="11" t="n">
        <f aca="false">Inputs!$F$107*Time!BB25/12</f>
        <v>0.1275</v>
      </c>
      <c r="BC66" s="11" t="n">
        <f aca="false">Inputs!$F$107*Time!BC25/12</f>
        <v>0.1275</v>
      </c>
      <c r="BD66" s="11" t="n">
        <f aca="false">Inputs!$F$107*Time!BD25/12</f>
        <v>0.1275</v>
      </c>
      <c r="BE66" s="11" t="n">
        <f aca="false">Inputs!$F$107*Time!BE25/12</f>
        <v>0.1275</v>
      </c>
      <c r="BF66" s="11" t="n">
        <f aca="false">Inputs!$F$107*Time!BF25/12</f>
        <v>0.1275</v>
      </c>
      <c r="BG66" s="11" t="n">
        <f aca="false">Inputs!$F$107*Time!BG25/12</f>
        <v>0.1275</v>
      </c>
      <c r="BH66" s="11" t="n">
        <f aca="false">Inputs!$F$107*Time!BH25/12</f>
        <v>0.1275</v>
      </c>
      <c r="BI66" s="11" t="n">
        <f aca="false">Inputs!$F$107*Time!BI25/12</f>
        <v>0.1275</v>
      </c>
      <c r="BJ66" s="11" t="n">
        <f aca="false">Inputs!$F$107*Time!BJ25/12</f>
        <v>0.1275</v>
      </c>
      <c r="BK66" s="11" t="n">
        <f aca="false">Inputs!$F$107*Time!BK25/12</f>
        <v>0.1275</v>
      </c>
      <c r="BL66" s="11" t="n">
        <f aca="false">Inputs!$F$107*Time!BL25/12</f>
        <v>0.1275</v>
      </c>
      <c r="BM66" s="11" t="n">
        <f aca="false">Inputs!$F$107*Time!BM25/12</f>
        <v>0.1275</v>
      </c>
      <c r="BN66" s="11" t="n">
        <f aca="false">Inputs!$F$107*Time!BN25/12</f>
        <v>0.10625</v>
      </c>
    </row>
    <row r="67" customFormat="false" ht="15" hidden="false" customHeight="false" outlineLevel="0" collapsed="false">
      <c r="D67" s="0" t="s">
        <v>515</v>
      </c>
      <c r="E67" s="0" t="s">
        <v>149</v>
      </c>
      <c r="G67" s="11" t="n">
        <f aca="false">SUM(J67:BN67)</f>
        <v>7.78125</v>
      </c>
      <c r="J67" s="11" t="n">
        <f aca="false">Inputs!$F$163*Time!J25/12</f>
        <v>0</v>
      </c>
      <c r="K67" s="11" t="n">
        <f aca="false">Inputs!$F$163*Time!K25/12</f>
        <v>0</v>
      </c>
      <c r="L67" s="11" t="n">
        <f aca="false">Inputs!$F$163*Time!L25/12</f>
        <v>0</v>
      </c>
      <c r="M67" s="11" t="n">
        <f aca="false">Inputs!$F$163*Time!M25/12</f>
        <v>0</v>
      </c>
      <c r="N67" s="11" t="n">
        <f aca="false">Inputs!$F$163*Time!N25/12</f>
        <v>0</v>
      </c>
      <c r="O67" s="11" t="n">
        <f aca="false">Inputs!$F$163*Time!O25/12</f>
        <v>0</v>
      </c>
      <c r="P67" s="11" t="n">
        <f aca="false">Inputs!$F$163*Time!P25/12</f>
        <v>0.0259375</v>
      </c>
      <c r="Q67" s="11" t="n">
        <f aca="false">Inputs!$F$163*Time!Q25/12</f>
        <v>0.155625</v>
      </c>
      <c r="R67" s="11" t="n">
        <f aca="false">Inputs!$F$163*Time!R25/12</f>
        <v>0.155625</v>
      </c>
      <c r="S67" s="11" t="n">
        <f aca="false">Inputs!$F$163*Time!S25/12</f>
        <v>0.155625</v>
      </c>
      <c r="T67" s="11" t="n">
        <f aca="false">Inputs!$F$163*Time!T25/12</f>
        <v>0.155625</v>
      </c>
      <c r="U67" s="11" t="n">
        <f aca="false">Inputs!$F$163*Time!U25/12</f>
        <v>0.155625</v>
      </c>
      <c r="V67" s="11" t="n">
        <f aca="false">Inputs!$F$163*Time!V25/12</f>
        <v>0.155625</v>
      </c>
      <c r="W67" s="11" t="n">
        <f aca="false">Inputs!$F$163*Time!W25/12</f>
        <v>0.155625</v>
      </c>
      <c r="X67" s="11" t="n">
        <f aca="false">Inputs!$F$163*Time!X25/12</f>
        <v>0.155625</v>
      </c>
      <c r="Y67" s="11" t="n">
        <f aca="false">Inputs!$F$163*Time!Y25/12</f>
        <v>0.155625</v>
      </c>
      <c r="Z67" s="11" t="n">
        <f aca="false">Inputs!$F$163*Time!Z25/12</f>
        <v>0.155625</v>
      </c>
      <c r="AA67" s="11" t="n">
        <f aca="false">Inputs!$F$163*Time!AA25/12</f>
        <v>0.155625</v>
      </c>
      <c r="AB67" s="11" t="n">
        <f aca="false">Inputs!$F$163*Time!AB25/12</f>
        <v>0.155625</v>
      </c>
      <c r="AC67" s="11" t="n">
        <f aca="false">Inputs!$F$163*Time!AC25/12</f>
        <v>0.155625</v>
      </c>
      <c r="AD67" s="11" t="n">
        <f aca="false">Inputs!$F$163*Time!AD25/12</f>
        <v>0.155625</v>
      </c>
      <c r="AE67" s="11" t="n">
        <f aca="false">Inputs!$F$163*Time!AE25/12</f>
        <v>0.155625</v>
      </c>
      <c r="AF67" s="11" t="n">
        <f aca="false">Inputs!$F$163*Time!AF25/12</f>
        <v>0.155625</v>
      </c>
      <c r="AG67" s="11" t="n">
        <f aca="false">Inputs!$F$163*Time!AG25/12</f>
        <v>0.155625</v>
      </c>
      <c r="AH67" s="11" t="n">
        <f aca="false">Inputs!$F$163*Time!AH25/12</f>
        <v>0.155625</v>
      </c>
      <c r="AI67" s="11" t="n">
        <f aca="false">Inputs!$F$163*Time!AI25/12</f>
        <v>0.155625</v>
      </c>
      <c r="AJ67" s="11" t="n">
        <f aca="false">Inputs!$F$163*Time!AJ25/12</f>
        <v>0.155625</v>
      </c>
      <c r="AK67" s="11" t="n">
        <f aca="false">Inputs!$F$163*Time!AK25/12</f>
        <v>0.155625</v>
      </c>
      <c r="AL67" s="11" t="n">
        <f aca="false">Inputs!$F$163*Time!AL25/12</f>
        <v>0.155625</v>
      </c>
      <c r="AM67" s="11" t="n">
        <f aca="false">Inputs!$F$163*Time!AM25/12</f>
        <v>0.155625</v>
      </c>
      <c r="AN67" s="11" t="n">
        <f aca="false">Inputs!$F$163*Time!AN25/12</f>
        <v>0.155625</v>
      </c>
      <c r="AO67" s="11" t="n">
        <f aca="false">Inputs!$F$163*Time!AO25/12</f>
        <v>0.155625</v>
      </c>
      <c r="AP67" s="11" t="n">
        <f aca="false">Inputs!$F$163*Time!AP25/12</f>
        <v>0.155625</v>
      </c>
      <c r="AQ67" s="11" t="n">
        <f aca="false">Inputs!$F$163*Time!AQ25/12</f>
        <v>0.155625</v>
      </c>
      <c r="AR67" s="11" t="n">
        <f aca="false">Inputs!$F$163*Time!AR25/12</f>
        <v>0.155625</v>
      </c>
      <c r="AS67" s="11" t="n">
        <f aca="false">Inputs!$F$163*Time!AS25/12</f>
        <v>0.155625</v>
      </c>
      <c r="AT67" s="11" t="n">
        <f aca="false">Inputs!$F$163*Time!AT25/12</f>
        <v>0.155625</v>
      </c>
      <c r="AU67" s="11" t="n">
        <f aca="false">Inputs!$F$163*Time!AU25/12</f>
        <v>0.155625</v>
      </c>
      <c r="AV67" s="11" t="n">
        <f aca="false">Inputs!$F$163*Time!AV25/12</f>
        <v>0.155625</v>
      </c>
      <c r="AW67" s="11" t="n">
        <f aca="false">Inputs!$F$163*Time!AW25/12</f>
        <v>0.155625</v>
      </c>
      <c r="AX67" s="11" t="n">
        <f aca="false">Inputs!$F$163*Time!AX25/12</f>
        <v>0.155625</v>
      </c>
      <c r="AY67" s="11" t="n">
        <f aca="false">Inputs!$F$163*Time!AY25/12</f>
        <v>0.155625</v>
      </c>
      <c r="AZ67" s="11" t="n">
        <f aca="false">Inputs!$F$163*Time!AZ25/12</f>
        <v>0.155625</v>
      </c>
      <c r="BA67" s="11" t="n">
        <f aca="false">Inputs!$F$163*Time!BA25/12</f>
        <v>0.155625</v>
      </c>
      <c r="BB67" s="11" t="n">
        <f aca="false">Inputs!$F$163*Time!BB25/12</f>
        <v>0.155625</v>
      </c>
      <c r="BC67" s="11" t="n">
        <f aca="false">Inputs!$F$163*Time!BC25/12</f>
        <v>0.155625</v>
      </c>
      <c r="BD67" s="11" t="n">
        <f aca="false">Inputs!$F$163*Time!BD25/12</f>
        <v>0.155625</v>
      </c>
      <c r="BE67" s="11" t="n">
        <f aca="false">Inputs!$F$163*Time!BE25/12</f>
        <v>0.155625</v>
      </c>
      <c r="BF67" s="11" t="n">
        <f aca="false">Inputs!$F$163*Time!BF25/12</f>
        <v>0.155625</v>
      </c>
      <c r="BG67" s="11" t="n">
        <f aca="false">Inputs!$F$163*Time!BG25/12</f>
        <v>0.155625</v>
      </c>
      <c r="BH67" s="11" t="n">
        <f aca="false">Inputs!$F$163*Time!BH25/12</f>
        <v>0.155625</v>
      </c>
      <c r="BI67" s="11" t="n">
        <f aca="false">Inputs!$F$163*Time!BI25/12</f>
        <v>0.155625</v>
      </c>
      <c r="BJ67" s="11" t="n">
        <f aca="false">Inputs!$F$163*Time!BJ25/12</f>
        <v>0.155625</v>
      </c>
      <c r="BK67" s="11" t="n">
        <f aca="false">Inputs!$F$163*Time!BK25/12</f>
        <v>0.155625</v>
      </c>
      <c r="BL67" s="11" t="n">
        <f aca="false">Inputs!$F$163*Time!BL25/12</f>
        <v>0.155625</v>
      </c>
      <c r="BM67" s="11" t="n">
        <f aca="false">Inputs!$F$163*Time!BM25/12</f>
        <v>0.155625</v>
      </c>
      <c r="BN67" s="11" t="n">
        <f aca="false">Inputs!$F$163*Time!BN25/12</f>
        <v>0.1296875</v>
      </c>
    </row>
    <row r="68" customFormat="false" ht="15" hidden="false" customHeight="false" outlineLevel="0" collapsed="false">
      <c r="D68" s="0" t="s">
        <v>516</v>
      </c>
      <c r="E68" s="0" t="s">
        <v>149</v>
      </c>
      <c r="G68" s="11" t="n">
        <f aca="false">SUM(J68:BN68)</f>
        <v>1351.88664853893</v>
      </c>
      <c r="J68" s="11" t="n">
        <f aca="false">J56+J57+J58+J60+J61+J62+J63+J64+J65+J66+J67</f>
        <v>0</v>
      </c>
      <c r="K68" s="11" t="n">
        <f aca="false">K56+K57+K58+K60+K61+K62+K63+K64+K65+K66+K67</f>
        <v>0</v>
      </c>
      <c r="L68" s="11" t="n">
        <f aca="false">L56+L57+L58+L60+L61+L62+L63+L64+L65+L66+L67</f>
        <v>0</v>
      </c>
      <c r="M68" s="11" t="n">
        <f aca="false">M56+M57+M58+M60+M61+M62+M63+M64+M65+M66+M67</f>
        <v>0</v>
      </c>
      <c r="N68" s="11" t="n">
        <f aca="false">N56+N57+N58+N60+N61+N62+N63+N64+N65+N66+N67</f>
        <v>0</v>
      </c>
      <c r="O68" s="11" t="n">
        <f aca="false">O56+O57+O58+O60+O61+O62+O63+O64+O65+O66+O67</f>
        <v>0</v>
      </c>
      <c r="P68" s="11" t="n">
        <f aca="false">P56+P57+P58+P60+P61+P62+P63+P64+P65+P66+P67</f>
        <v>2.94628255470064</v>
      </c>
      <c r="Q68" s="11" t="n">
        <f aca="false">Q56+Q57+Q58+Q60+Q61+Q62+Q63+Q64+Q65+Q66+Q67</f>
        <v>18.7884362352353</v>
      </c>
      <c r="R68" s="11" t="n">
        <f aca="false">R56+R57+R58+R60+R61+R62+R63+R64+R65+R66+R67</f>
        <v>19.1579390428041</v>
      </c>
      <c r="S68" s="11" t="n">
        <f aca="false">S56+S57+S58+S60+S61+S62+S63+S64+S65+S66+S67</f>
        <v>18.7423401642548</v>
      </c>
      <c r="T68" s="11" t="n">
        <f aca="false">T56+T57+T58+T60+T61+T62+T63+T64+T65+T66+T67</f>
        <v>19.5635544876811</v>
      </c>
      <c r="U68" s="11" t="n">
        <f aca="false">U56+U57+U58+U60+U61+U62+U63+U64+U65+U66+U67</f>
        <v>20.1984062218204</v>
      </c>
      <c r="V68" s="11" t="n">
        <f aca="false">V56+V57+V58+V60+V61+V62+V63+V64+V65+V66+V67</f>
        <v>20.8372400993491</v>
      </c>
      <c r="W68" s="11" t="n">
        <f aca="false">W56+W57+W58+W60+W61+W62+W63+W64+W65+W66+W67</f>
        <v>21.0224831717927</v>
      </c>
      <c r="X68" s="11" t="n">
        <f aca="false">X56+X57+X58+X60+X61+X62+X63+X64+X65+X66+X67</f>
        <v>21.641836941071</v>
      </c>
      <c r="Y68" s="11" t="n">
        <f aca="false">Y56+Y57+Y58+Y60+Y61+Y62+Y63+Y64+Y65+Y66+Y67</f>
        <v>22.5119800866795</v>
      </c>
      <c r="Z68" s="11" t="n">
        <f aca="false">Z56+Z57+Z58+Z60+Z61+Z62+Z63+Z64+Z65+Z66+Z67</f>
        <v>22.865102887619</v>
      </c>
      <c r="AA68" s="11" t="n">
        <f aca="false">AA56+AA57+AA58+AA60+AA61+AA62+AA63+AA64+AA65+AA66+AA67</f>
        <v>23.0278336808363</v>
      </c>
      <c r="AB68" s="11" t="n">
        <f aca="false">AB56+AB57+AB58+AB60+AB61+AB62+AB63+AB64+AB65+AB66+AB67</f>
        <v>23.3084124030597</v>
      </c>
      <c r="AC68" s="11" t="n">
        <f aca="false">AC56+AC57+AC58+AC60+AC61+AC62+AC63+AC64+AC65+AC66+AC67</f>
        <v>23.7055004231269</v>
      </c>
      <c r="AD68" s="11" t="n">
        <f aca="false">AD56+AD57+AD58+AD60+AD61+AD62+AD63+AD64+AD65+AD66+AD67</f>
        <v>23.8243780065789</v>
      </c>
      <c r="AE68" s="11" t="n">
        <f aca="false">AE56+AE57+AE58+AE60+AE61+AE62+AE63+AE64+AE65+AE66+AE67</f>
        <v>23.3958059316845</v>
      </c>
      <c r="AF68" s="11" t="n">
        <f aca="false">AF56+AF57+AF58+AF60+AF61+AF62+AF63+AF64+AF65+AF66+AF67</f>
        <v>23.7640369791256</v>
      </c>
      <c r="AG68" s="11" t="n">
        <f aca="false">AG56+AG57+AG58+AG60+AG61+AG62+AG63+AG64+AG65+AG66+AG67</f>
        <v>24.7759569193144</v>
      </c>
      <c r="AH68" s="11" t="n">
        <f aca="false">AH56+AH57+AH58+AH60+AH61+AH62+AH63+AH64+AH65+AH66+AH67</f>
        <v>25.0245343133898</v>
      </c>
      <c r="AI68" s="11" t="n">
        <f aca="false">AI56+AI57+AI58+AI60+AI61+AI62+AI63+AI64+AI65+AI66+AI67</f>
        <v>25.1678805187304</v>
      </c>
      <c r="AJ68" s="11" t="n">
        <f aca="false">AJ56+AJ57+AJ58+AJ60+AJ61+AJ62+AJ63+AJ64+AJ65+AJ66+AJ67</f>
        <v>25.4747870385204</v>
      </c>
      <c r="AK68" s="11" t="n">
        <f aca="false">AK56+AK57+AK58+AK60+AK61+AK62+AK63+AK64+AK65+AK66+AK67</f>
        <v>25.8956770177954</v>
      </c>
      <c r="AL68" s="11" t="n">
        <f aca="false">AL56+AL57+AL58+AL60+AL61+AL62+AL63+AL64+AL65+AL66+AL67</f>
        <v>26.0845268978127</v>
      </c>
      <c r="AM68" s="11" t="n">
        <f aca="false">AM56+AM57+AM58+AM60+AM61+AM62+AM63+AM64+AM65+AM66+AM67</f>
        <v>25.8736915178721</v>
      </c>
      <c r="AN68" s="11" t="n">
        <f aca="false">AN56+AN57+AN58+AN60+AN61+AN62+AN63+AN64+AN65+AN66+AN67</f>
        <v>26.2626877197488</v>
      </c>
      <c r="AO68" s="11" t="n">
        <f aca="false">AO56+AO57+AO58+AO60+AO61+AO62+AO63+AO64+AO65+AO66+AO67</f>
        <v>27.0670479144479</v>
      </c>
      <c r="AP68" s="11" t="n">
        <f aca="false">AP56+AP57+AP58+AP60+AP61+AP62+AP63+AP64+AP65+AP66+AP67</f>
        <v>27.3390974460625</v>
      </c>
      <c r="AQ68" s="11" t="n">
        <f aca="false">AQ56+AQ57+AQ58+AQ60+AQ61+AQ62+AQ63+AQ64+AQ65+AQ66+AQ67</f>
        <v>27.4960255405235</v>
      </c>
      <c r="AR68" s="11" t="n">
        <f aca="false">AR56+AR57+AR58+AR60+AR61+AR62+AR63+AR64+AR65+AR66+AR67</f>
        <v>27.831889388245</v>
      </c>
      <c r="AS68" s="11" t="n">
        <f aca="false">AS56+AS57+AS58+AS60+AS61+AS62+AS63+AS64+AS65+AS66+AS67</f>
        <v>28.2924519936384</v>
      </c>
      <c r="AT68" s="11" t="n">
        <f aca="false">AT56+AT57+AT58+AT60+AT61+AT62+AT63+AT64+AT65+AT66+AT67</f>
        <v>28.434819618167</v>
      </c>
      <c r="AU68" s="11" t="n">
        <f aca="false">AU56+AU57+AU58+AU60+AU61+AU62+AU63+AU64+AU65+AU66+AU67</f>
        <v>27.9228513391329</v>
      </c>
      <c r="AV68" s="11" t="n">
        <f aca="false">AV56+AV57+AV58+AV60+AV61+AV62+AV63+AV64+AV65+AV66+AV67</f>
        <v>28.3632703476369</v>
      </c>
      <c r="AW68" s="11" t="n">
        <f aca="false">AW56+AW57+AW58+AW60+AW61+AW62+AW63+AW64+AW65+AW66+AW67</f>
        <v>29.574381518374</v>
      </c>
      <c r="AX68" s="11" t="n">
        <f aca="false">AX56+AX57+AX58+AX60+AX61+AX62+AX63+AX64+AX65+AX66+AX67</f>
        <v>29.8721194066871</v>
      </c>
      <c r="AY68" s="11" t="n">
        <f aca="false">AY56+AY57+AY58+AY60+AY61+AY62+AY63+AY64+AY65+AY66+AY67</f>
        <v>30.0439162265207</v>
      </c>
      <c r="AZ68" s="11" t="n">
        <f aca="false">AZ56+AZ57+AZ58+AZ60+AZ61+AZ62+AZ63+AZ64+AZ65+AZ66+AZ67</f>
        <v>30.4114693592441</v>
      </c>
      <c r="BA68" s="11" t="n">
        <f aca="false">BA56+BA57+BA58+BA60+BA61+BA62+BA63+BA64+BA65+BA66+BA67</f>
        <v>30.9154436976504</v>
      </c>
      <c r="BB68" s="11" t="n">
        <f aca="false">BB56+BB57+BB58+BB60+BB61+BB62+BB63+BB64+BB65+BB66+BB67</f>
        <v>31.141708679946</v>
      </c>
      <c r="BC68" s="11" t="n">
        <f aca="false">BC56+BC57+BC58+BC60+BC61+BC62+BC63+BC64+BC65+BC66+BC67</f>
        <v>30.8896223472709</v>
      </c>
      <c r="BD68" s="11" t="n">
        <f aca="false">BD56+BD57+BD58+BD60+BD61+BD62+BD63+BD64+BD65+BD66+BD67</f>
        <v>31.3554335477934</v>
      </c>
      <c r="BE68" s="11" t="n">
        <f aca="false">BE56+BE57+BE58+BE60+BE61+BE62+BE63+BE64+BE65+BE66+BE67</f>
        <v>32.3183659874772</v>
      </c>
      <c r="BF68" s="11" t="n">
        <f aca="false">BF56+BF57+BF58+BF60+BF61+BF62+BF63+BF64+BF65+BF66+BF67</f>
        <v>32.6442176900009</v>
      </c>
      <c r="BG68" s="11" t="n">
        <f aca="false">BG56+BG57+BG58+BG60+BG61+BG62+BG63+BG64+BG65+BG66+BG67</f>
        <v>32.8322919915873</v>
      </c>
      <c r="BH68" s="11" t="n">
        <f aca="false">BH56+BH57+BH58+BH60+BH61+BH62+BH63+BH64+BH65+BH66+BH67</f>
        <v>33.2345240884358</v>
      </c>
      <c r="BI68" s="11" t="n">
        <f aca="false">BI56+BI57+BI58+BI60+BI61+BI62+BI63+BI64+BI65+BI66+BI67</f>
        <v>33.7860016363521</v>
      </c>
      <c r="BJ68" s="11" t="n">
        <f aca="false">BJ56+BJ57+BJ58+BJ60+BJ61+BJ62+BJ63+BJ64+BJ65+BJ66+BJ67</f>
        <v>33.9566585149863</v>
      </c>
      <c r="BK68" s="11" t="n">
        <f aca="false">BK56+BK57+BK58+BK60+BK61+BK62+BK63+BK64+BK65+BK66+BK67</f>
        <v>33.3449494395901</v>
      </c>
      <c r="BL68" s="11" t="n">
        <f aca="false">BL56+BL57+BL58+BL60+BL61+BL62+BL63+BL64+BL65+BL66+BL67</f>
        <v>33.871786616807</v>
      </c>
      <c r="BM68" s="11" t="n">
        <f aca="false">BM56+BM57+BM58+BM60+BM61+BM62+BM63+BM64+BM65+BM66+BM67</f>
        <v>35.321335486459</v>
      </c>
      <c r="BN68" s="11" t="n">
        <f aca="false">BN56+BN57+BN58+BN60+BN61+BN62+BN63+BN64+BN65+BN66+BN67</f>
        <v>29.763657455292</v>
      </c>
    </row>
    <row r="69" customFormat="false" ht="15" hidden="false" customHeight="false" outlineLevel="0" collapsed="false">
      <c r="D69" s="0" t="s">
        <v>517</v>
      </c>
      <c r="E69" s="0" t="s">
        <v>149</v>
      </c>
      <c r="G69" s="11" t="n">
        <f aca="false">SUM(J69:BN69)</f>
        <v>4924.88335275013</v>
      </c>
      <c r="J69" s="11" t="n">
        <f aca="false">J38*J37/1000000</f>
        <v>0</v>
      </c>
      <c r="K69" s="11" t="n">
        <f aca="false">K38*K37/1000000</f>
        <v>0</v>
      </c>
      <c r="L69" s="11" t="n">
        <f aca="false">L38*L37/1000000</f>
        <v>0</v>
      </c>
      <c r="M69" s="11" t="n">
        <f aca="false">M38*M37/1000000</f>
        <v>0</v>
      </c>
      <c r="N69" s="11" t="n">
        <f aca="false">N38*N37/1000000</f>
        <v>0</v>
      </c>
      <c r="O69" s="11" t="n">
        <f aca="false">O38*O37/1000000</f>
        <v>0</v>
      </c>
      <c r="P69" s="11" t="n">
        <f aca="false">P38*P37/1000000</f>
        <v>12.7743313774651</v>
      </c>
      <c r="Q69" s="11" t="n">
        <f aca="false">Q38*Q37/1000000</f>
        <v>85.8359785551481</v>
      </c>
      <c r="R69" s="11" t="n">
        <f aca="false">R38*R37/1000000</f>
        <v>83.1355964392251</v>
      </c>
      <c r="S69" s="11" t="n">
        <f aca="false">S38*S37/1000000</f>
        <v>78.9465097911059</v>
      </c>
      <c r="T69" s="11" t="n">
        <f aca="false">T38*T37/1000000</f>
        <v>79.0618886030274</v>
      </c>
      <c r="U69" s="11" t="n">
        <f aca="false">U38*U37/1000000</f>
        <v>81.2806189352087</v>
      </c>
      <c r="V69" s="11" t="n">
        <f aca="false">V38*V37/1000000</f>
        <v>80.8059615512063</v>
      </c>
      <c r="W69" s="11" t="n">
        <f aca="false">W38*W37/1000000</f>
        <v>80.0530159419344</v>
      </c>
      <c r="X69" s="11" t="n">
        <f aca="false">X38*X37/1000000</f>
        <v>80.5116516565862</v>
      </c>
      <c r="Y69" s="11" t="n">
        <f aca="false">Y38*Y37/1000000</f>
        <v>84.5115503006415</v>
      </c>
      <c r="Z69" s="11" t="n">
        <f aca="false">Z38*Z37/1000000</f>
        <v>84.3630334988862</v>
      </c>
      <c r="AA69" s="11" t="n">
        <f aca="false">AA38*AA37/1000000</f>
        <v>85.3475512073613</v>
      </c>
      <c r="AB69" s="11" t="n">
        <f aca="false">AB38*AB37/1000000</f>
        <v>85.4716521656814</v>
      </c>
      <c r="AC69" s="11" t="n">
        <f aca="false">AC38*AC37/1000000</f>
        <v>87.8696101226141</v>
      </c>
      <c r="AD69" s="11" t="n">
        <f aca="false">AD38*AD37/1000000</f>
        <v>87.0592296588549</v>
      </c>
      <c r="AE69" s="11" t="n">
        <f aca="false">AE38*AE37/1000000</f>
        <v>84.726326912442</v>
      </c>
      <c r="AF69" s="11" t="n">
        <f aca="false">AF38*AF37/1000000</f>
        <v>85.5242171856791</v>
      </c>
      <c r="AG69" s="11" t="n">
        <f aca="false">AG38*AG37/1000000</f>
        <v>91.359745763437</v>
      </c>
      <c r="AH69" s="11" t="n">
        <f aca="false">AH38*AH37/1000000</f>
        <v>91.1985170719793</v>
      </c>
      <c r="AI69" s="11" t="n">
        <f aca="false">AI38*AI37/1000000</f>
        <v>92.262119556051</v>
      </c>
      <c r="AJ69" s="11" t="n">
        <f aca="false">AJ38*AJ37/1000000</f>
        <v>92.3955880193175</v>
      </c>
      <c r="AK69" s="11" t="n">
        <f aca="false">AK38*AK37/1000000</f>
        <v>94.987094769024</v>
      </c>
      <c r="AL69" s="11" t="n">
        <f aca="false">AL38*AL37/1000000</f>
        <v>94.4309927801518</v>
      </c>
      <c r="AM69" s="11" t="n">
        <f aca="false">AM38*AM37/1000000</f>
        <v>93.5496998783324</v>
      </c>
      <c r="AN69" s="11" t="n">
        <f aca="false">AN38*AN37/1000000</f>
        <v>94.0842615104193</v>
      </c>
      <c r="AO69" s="11" t="n">
        <f aca="false">AO38*AO37/1000000</f>
        <v>98.7569920772416</v>
      </c>
      <c r="AP69" s="11" t="n">
        <f aca="false">AP38*AP37/1000000</f>
        <v>98.5819740726427</v>
      </c>
      <c r="AQ69" s="11" t="n">
        <f aca="false">AQ38*AQ37/1000000</f>
        <v>99.730942270597</v>
      </c>
      <c r="AR69" s="11" t="n">
        <f aca="false">AR38*AR37/1000000</f>
        <v>99.874470017018</v>
      </c>
      <c r="AS69" s="11" t="n">
        <f aca="false">AS38*AS37/1000000</f>
        <v>102.674977494904</v>
      </c>
      <c r="AT69" s="11" t="n">
        <f aca="false">AT38*AT37/1000000</f>
        <v>101.726537313252</v>
      </c>
      <c r="AU69" s="11" t="n">
        <f aca="false">AU38*AU37/1000000</f>
        <v>98.9991218760468</v>
      </c>
      <c r="AV69" s="11" t="n">
        <f aca="false">AV38*AV37/1000000</f>
        <v>99.9299314045201</v>
      </c>
      <c r="AW69" s="11" t="n">
        <f aca="false">AW38*AW37/1000000</f>
        <v>106.746803453224</v>
      </c>
      <c r="AX69" s="11" t="n">
        <f aca="false">AX38*AX37/1000000</f>
        <v>106.556828214272</v>
      </c>
      <c r="AY69" s="11" t="n">
        <f aca="false">AY38*AY37/1000000</f>
        <v>107.797935620136</v>
      </c>
      <c r="AZ69" s="11" t="n">
        <f aca="false">AZ38*AZ37/1000000</f>
        <v>107.952264056796</v>
      </c>
      <c r="BA69" s="11" t="n">
        <f aca="false">BA38*BA37/1000000</f>
        <v>110.978443051863</v>
      </c>
      <c r="BB69" s="11" t="n">
        <f aca="false">BB38*BB37/1000000</f>
        <v>110.327067976473</v>
      </c>
      <c r="BC69" s="11" t="n">
        <f aca="false">BC38*BC37/1000000</f>
        <v>109.295785163068</v>
      </c>
      <c r="BD69" s="11" t="n">
        <f aca="false">BD38*BD37/1000000</f>
        <v>109.918675709376</v>
      </c>
      <c r="BE69" s="11" t="n">
        <f aca="false">BE38*BE37/1000000</f>
        <v>115.376098402106</v>
      </c>
      <c r="BF69" s="11" t="n">
        <f aca="false">BF38*BF37/1000000</f>
        <v>115.169899973178</v>
      </c>
      <c r="BG69" s="11" t="n">
        <f aca="false">BG38*BG37/1000000</f>
        <v>116.510450703824</v>
      </c>
      <c r="BH69" s="11" t="n">
        <f aca="false">BH38*BH37/1000000</f>
        <v>116.676374284738</v>
      </c>
      <c r="BI69" s="11" t="n">
        <f aca="false">BI38*BI37/1000000</f>
        <v>119.94620928004</v>
      </c>
      <c r="BJ69" s="11" t="n">
        <f aca="false">BJ38*BJ37/1000000</f>
        <v>118.836442670619</v>
      </c>
      <c r="BK69" s="11" t="n">
        <f aca="false">BK38*BK37/1000000</f>
        <v>115.648549517132</v>
      </c>
      <c r="BL69" s="11" t="n">
        <f aca="false">BL38*BL37/1000000</f>
        <v>116.734143194245</v>
      </c>
      <c r="BM69" s="11" t="n">
        <f aca="false">BM38*BM37/1000000</f>
        <v>124.695462101007</v>
      </c>
      <c r="BN69" s="11" t="n">
        <f aca="false">BN38*BN37/1000000</f>
        <v>103.894229600028</v>
      </c>
    </row>
    <row r="70" customFormat="false" ht="15" hidden="false" customHeight="false" outlineLevel="0" collapsed="false">
      <c r="D70" s="0" t="s">
        <v>518</v>
      </c>
      <c r="E70" s="0" t="s">
        <v>149</v>
      </c>
      <c r="G70" s="11" t="n">
        <f aca="false">SUM(J70:BN70)</f>
        <v>5768.32942566328</v>
      </c>
      <c r="J70" s="11" t="n">
        <f aca="false">J69+J48+J49+J50</f>
        <v>0</v>
      </c>
      <c r="K70" s="11" t="n">
        <f aca="false">K69+K48+K49+K50</f>
        <v>0</v>
      </c>
      <c r="L70" s="11" t="n">
        <f aca="false">L69+L48+L49+L50</f>
        <v>0</v>
      </c>
      <c r="M70" s="11" t="n">
        <f aca="false">M69+M48+M49+M50</f>
        <v>0</v>
      </c>
      <c r="N70" s="11" t="n">
        <f aca="false">N69+N48+N49+N50</f>
        <v>0</v>
      </c>
      <c r="O70" s="11" t="n">
        <f aca="false">O69+O48+O49+O50</f>
        <v>0</v>
      </c>
      <c r="P70" s="11" t="n">
        <f aca="false">P69+P48+P49+P50</f>
        <v>15.121906091483</v>
      </c>
      <c r="Q70" s="11" t="n">
        <f aca="false">Q69+Q48+Q49+Q50</f>
        <v>100.05863614992</v>
      </c>
      <c r="R70" s="11" t="n">
        <f aca="false">R69+R48+R49+R50</f>
        <v>97.4629073097992</v>
      </c>
      <c r="S70" s="11" t="n">
        <f aca="false">S69+S48+S49+S50</f>
        <v>93.1102395118367</v>
      </c>
      <c r="T70" s="11" t="n">
        <f aca="false">T69+T48+T49+T50</f>
        <v>93.4226301853995</v>
      </c>
      <c r="U70" s="11" t="n">
        <f aca="false">U69+U48+U49+U50</f>
        <v>95.7459992478753</v>
      </c>
      <c r="V70" s="11" t="n">
        <f aca="false">V69+V48+V49+V50</f>
        <v>95.3872405032273</v>
      </c>
      <c r="W70" s="11" t="n">
        <f aca="false">W69+W48+W49+W50</f>
        <v>94.5795926159863</v>
      </c>
      <c r="X70" s="11" t="n">
        <f aca="false">X69+X48+X49+X50</f>
        <v>95.2518020178965</v>
      </c>
      <c r="Y70" s="11" t="n">
        <f aca="false">Y69+Y48+Y49+Y50</f>
        <v>99.3451025551155</v>
      </c>
      <c r="Z70" s="11" t="n">
        <f aca="false">Z69+Z48+Z49+Z50</f>
        <v>99.3941501471021</v>
      </c>
      <c r="AA70" s="11" t="n">
        <f aca="false">AA69+AA48+AA49+AA50</f>
        <v>100.377108099291</v>
      </c>
      <c r="AB70" s="11" t="n">
        <f aca="false">AB69+AB48+AB49+AB50</f>
        <v>100.7102857983</v>
      </c>
      <c r="AC70" s="11" t="n">
        <f aca="false">AC69+AC48+AC49+AC50</f>
        <v>103.219206634963</v>
      </c>
      <c r="AD70" s="11" t="n">
        <f aca="false">AD69+AD48+AD49+AD50</f>
        <v>102.522681305158</v>
      </c>
      <c r="AE70" s="11" t="n">
        <f aca="false">AE69+AE48+AE49+AE50</f>
        <v>100.08515602996</v>
      </c>
      <c r="AF70" s="11" t="n">
        <f aca="false">AF69+AF48+AF49+AF50</f>
        <v>101.118985252963</v>
      </c>
      <c r="AG70" s="11" t="n">
        <f aca="false">AG69+AG48+AG49+AG50</f>
        <v>107.099922219129</v>
      </c>
      <c r="AH70" s="11" t="n">
        <f aca="false">AH69+AH48+AH49+AH50</f>
        <v>107.148366828324</v>
      </c>
      <c r="AI70" s="11" t="n">
        <f aca="false">AI69+AI48+AI49+AI50</f>
        <v>108.210268638534</v>
      </c>
      <c r="AJ70" s="11" t="n">
        <f aca="false">AJ69+AJ48+AJ49+AJ50</f>
        <v>108.565617302121</v>
      </c>
      <c r="AK70" s="11" t="n">
        <f aca="false">AK69+AK48+AK49+AK50</f>
        <v>111.274789445664</v>
      </c>
      <c r="AL70" s="11" t="n">
        <f aca="false">AL69+AL48+AL49+AL50</f>
        <v>110.849247467766</v>
      </c>
      <c r="AM70" s="11" t="n">
        <f aca="false">AM69+AM48+AM49+AM50</f>
        <v>109.90639655913</v>
      </c>
      <c r="AN70" s="11" t="n">
        <f aca="false">AN69+AN48+AN49+AN50</f>
        <v>110.681462936181</v>
      </c>
      <c r="AO70" s="11" t="n">
        <f aca="false">AO69+AO48+AO49+AO50</f>
        <v>115.459033399933</v>
      </c>
      <c r="AP70" s="11" t="n">
        <f aca="false">AP69+AP48+AP49+AP50</f>
        <v>115.506540041839</v>
      </c>
      <c r="AQ70" s="11" t="n">
        <f aca="false">AQ69+AQ48+AQ49+AQ50</f>
        <v>116.653654052902</v>
      </c>
      <c r="AR70" s="11" t="n">
        <f aca="false">AR69+AR48+AR49+AR50</f>
        <v>117.032649237525</v>
      </c>
      <c r="AS70" s="11" t="n">
        <f aca="false">AS69+AS48+AS49+AS50</f>
        <v>119.957925379144</v>
      </c>
      <c r="AT70" s="11" t="n">
        <f aca="false">AT69+AT48+AT49+AT50</f>
        <v>119.137773315067</v>
      </c>
      <c r="AU70" s="11" t="n">
        <f aca="false">AU69+AU48+AU49+AU50</f>
        <v>116.292717485309</v>
      </c>
      <c r="AV70" s="11" t="n">
        <f aca="false">AV69+AV48+AV49+AV50</f>
        <v>117.489190998265</v>
      </c>
      <c r="AW70" s="11" t="n">
        <f aca="false">AW69+AW48+AW49+AW50</f>
        <v>124.469305451692</v>
      </c>
      <c r="AX70" s="11" t="n">
        <f aca="false">AX69+AX48+AX49+AX50</f>
        <v>124.515494182305</v>
      </c>
      <c r="AY70" s="11" t="n">
        <f aca="false">AY69+AY48+AY49+AY50</f>
        <v>125.754580205551</v>
      </c>
      <c r="AZ70" s="11" t="n">
        <f aca="false">AZ69+AZ48+AZ49+AZ50</f>
        <v>126.158795059091</v>
      </c>
      <c r="BA70" s="11" t="n">
        <f aca="false">BA69+BA48+BA49+BA50</f>
        <v>129.317270443792</v>
      </c>
      <c r="BB70" s="11" t="n">
        <f aca="false">BB69+BB48+BB49+BB50</f>
        <v>128.81297569579</v>
      </c>
      <c r="BC70" s="11" t="n">
        <f aca="false">BC69+BC48+BC49+BC50</f>
        <v>127.712430443004</v>
      </c>
      <c r="BD70" s="11" t="n">
        <f aca="false">BD69+BD48+BD49+BD50</f>
        <v>128.606148370672</v>
      </c>
      <c r="BE70" s="11" t="n">
        <f aca="false">BE69+BE48+BE49+BE50</f>
        <v>134.18121514264</v>
      </c>
      <c r="BF70" s="11" t="n">
        <f aca="false">BF69+BF48+BF49+BF50</f>
        <v>134.225656315974</v>
      </c>
      <c r="BG70" s="11" t="n">
        <f aca="false">BG69+BG48+BG49+BG50</f>
        <v>135.564003607915</v>
      </c>
      <c r="BH70" s="11" t="n">
        <f aca="false">BH69+BH48+BH49+BH50</f>
        <v>135.995115221677</v>
      </c>
      <c r="BI70" s="11" t="n">
        <f aca="false">BI69+BI48+BI49+BI50</f>
        <v>139.405223873312</v>
      </c>
      <c r="BJ70" s="11" t="n">
        <f aca="false">BJ69+BJ48+BJ49+BJ50</f>
        <v>138.440015171726</v>
      </c>
      <c r="BK70" s="11" t="n">
        <f aca="false">BK69+BK48+BK49+BK50</f>
        <v>135.119869166824</v>
      </c>
      <c r="BL70" s="11" t="n">
        <f aca="false">BL69+BL48+BL49+BL50</f>
        <v>136.504589436082</v>
      </c>
      <c r="BM70" s="11" t="n">
        <f aca="false">BM69+BM48+BM49+BM50</f>
        <v>144.649121276285</v>
      </c>
      <c r="BN70" s="11" t="n">
        <f aca="false">BN69+BN48+BN49+BN50</f>
        <v>120.71843183584</v>
      </c>
    </row>
    <row r="71" customFormat="false" ht="15" hidden="false" customHeight="false" outlineLevel="0" collapsed="false">
      <c r="D71" s="0" t="s">
        <v>519</v>
      </c>
      <c r="E71" s="0" t="s">
        <v>149</v>
      </c>
      <c r="G71" s="11" t="n">
        <f aca="false">SUM(J71:BN71)</f>
        <v>0.148251877510635</v>
      </c>
      <c r="J71" s="11" t="n">
        <f aca="false">SUMIFS(Construction!$J$36:$BJ$36,Construction!$J$12:$BJ$12,Time!J17,Construction!$J$8:$BJ$8,"&gt;"&amp;Time!$F$13)</f>
        <v>0</v>
      </c>
      <c r="K71" s="11" t="n">
        <f aca="false">SUMIFS(Construction!$J$36:$BJ$36,Construction!$J$12:$BJ$12,Time!K17,Construction!$J$8:$BJ$8,"&gt;"&amp;Time!$F$13)</f>
        <v>0</v>
      </c>
      <c r="L71" s="11" t="n">
        <f aca="false">SUMIFS(Construction!$J$36:$BJ$36,Construction!$J$12:$BJ$12,Time!L17,Construction!$J$8:$BJ$8,"&gt;"&amp;Time!$F$13)</f>
        <v>0</v>
      </c>
      <c r="M71" s="11" t="n">
        <f aca="false">SUMIFS(Construction!$J$36:$BJ$36,Construction!$J$12:$BJ$12,Time!M17,Construction!$J$8:$BJ$8,"&gt;"&amp;Time!$F$13)</f>
        <v>0</v>
      </c>
      <c r="N71" s="11" t="n">
        <f aca="false">SUMIFS(Construction!$J$36:$BJ$36,Construction!$J$12:$BJ$12,Time!N17,Construction!$J$8:$BJ$8,"&gt;"&amp;Time!$F$13)</f>
        <v>0</v>
      </c>
      <c r="O71" s="11" t="n">
        <f aca="false">SUMIFS(Construction!$J$36:$BJ$36,Construction!$J$12:$BJ$12,Time!O17,Construction!$J$8:$BJ$8,"&gt;"&amp;Time!$F$13)</f>
        <v>0</v>
      </c>
      <c r="P71" s="11" t="n">
        <f aca="false">SUMIFS(Construction!$J$36:$BJ$36,Construction!$J$12:$BJ$12,Time!P17,Construction!$J$8:$BJ$8,"&gt;"&amp;Time!$F$13)</f>
        <v>0</v>
      </c>
      <c r="Q71" s="11" t="n">
        <f aca="false">SUMIFS(Construction!$J$36:$BJ$36,Construction!$J$12:$BJ$12,Time!Q17,Construction!$J$8:$BJ$8,"&gt;"&amp;Time!$F$13)</f>
        <v>0.12257284730462</v>
      </c>
      <c r="R71" s="11" t="n">
        <f aca="false">SUMIFS(Construction!$J$36:$BJ$36,Construction!$J$12:$BJ$12,Time!R17,Construction!$J$8:$BJ$8,"&gt;"&amp;Time!$F$13)</f>
        <v>0.0256790302060149</v>
      </c>
      <c r="S71" s="11" t="n">
        <f aca="false">SUMIFS(Construction!$J$36:$BJ$36,Construction!$J$12:$BJ$12,Time!S17,Construction!$J$8:$BJ$8,"&gt;"&amp;Time!$F$13)</f>
        <v>0</v>
      </c>
      <c r="T71" s="11" t="n">
        <f aca="false">SUMIFS(Construction!$J$36:$BJ$36,Construction!$J$12:$BJ$12,Time!T17,Construction!$J$8:$BJ$8,"&gt;"&amp;Time!$F$13)</f>
        <v>0</v>
      </c>
      <c r="U71" s="11" t="n">
        <f aca="false">SUMIFS(Construction!$J$36:$BJ$36,Construction!$J$12:$BJ$12,Time!U17,Construction!$J$8:$BJ$8,"&gt;"&amp;Time!$F$13)</f>
        <v>0</v>
      </c>
      <c r="V71" s="11" t="n">
        <f aca="false">SUMIFS(Construction!$J$36:$BJ$36,Construction!$J$12:$BJ$12,Time!V17,Construction!$J$8:$BJ$8,"&gt;"&amp;Time!$F$13)</f>
        <v>0</v>
      </c>
      <c r="W71" s="11" t="n">
        <f aca="false">SUMIFS(Construction!$J$36:$BJ$36,Construction!$J$12:$BJ$12,Time!W17,Construction!$J$8:$BJ$8,"&gt;"&amp;Time!$F$13)</f>
        <v>0</v>
      </c>
      <c r="X71" s="11" t="n">
        <f aca="false">SUMIFS(Construction!$J$36:$BJ$36,Construction!$J$12:$BJ$12,Time!X17,Construction!$J$8:$BJ$8,"&gt;"&amp;Time!$F$13)</f>
        <v>0</v>
      </c>
      <c r="Y71" s="11" t="n">
        <f aca="false">SUMIFS(Construction!$J$36:$BJ$36,Construction!$J$12:$BJ$12,Time!Y17,Construction!$J$8:$BJ$8,"&gt;"&amp;Time!$F$13)</f>
        <v>0</v>
      </c>
      <c r="Z71" s="11" t="n">
        <f aca="false">SUMIFS(Construction!$J$36:$BJ$36,Construction!$J$12:$BJ$12,Time!Z17,Construction!$J$8:$BJ$8,"&gt;"&amp;Time!$F$13)</f>
        <v>0</v>
      </c>
      <c r="AA71" s="11" t="n">
        <f aca="false">SUMIFS(Construction!$J$36:$BJ$36,Construction!$J$12:$BJ$12,Time!AA17,Construction!$J$8:$BJ$8,"&gt;"&amp;Time!$F$13)</f>
        <v>0</v>
      </c>
      <c r="AB71" s="11" t="n">
        <f aca="false">SUMIFS(Construction!$J$36:$BJ$36,Construction!$J$12:$BJ$12,Time!AB17,Construction!$J$8:$BJ$8,"&gt;"&amp;Time!$F$13)</f>
        <v>0</v>
      </c>
      <c r="AC71" s="11" t="n">
        <f aca="false">SUMIFS(Construction!$J$36:$BJ$36,Construction!$J$12:$BJ$12,Time!AC17,Construction!$J$8:$BJ$8,"&gt;"&amp;Time!$F$13)</f>
        <v>0</v>
      </c>
      <c r="AD71" s="11" t="n">
        <f aca="false">SUMIFS(Construction!$J$36:$BJ$36,Construction!$J$12:$BJ$12,Time!AD17,Construction!$J$8:$BJ$8,"&gt;"&amp;Time!$F$13)</f>
        <v>0</v>
      </c>
      <c r="AE71" s="11" t="n">
        <f aca="false">SUMIFS(Construction!$J$36:$BJ$36,Construction!$J$12:$BJ$12,Time!AE17,Construction!$J$8:$BJ$8,"&gt;"&amp;Time!$F$13)</f>
        <v>0</v>
      </c>
      <c r="AF71" s="11" t="n">
        <f aca="false">SUMIFS(Construction!$J$36:$BJ$36,Construction!$J$12:$BJ$12,Time!AF17,Construction!$J$8:$BJ$8,"&gt;"&amp;Time!$F$13)</f>
        <v>0</v>
      </c>
      <c r="AG71" s="11" t="n">
        <f aca="false">SUMIFS(Construction!$J$36:$BJ$36,Construction!$J$12:$BJ$12,Time!AG17,Construction!$J$8:$BJ$8,"&gt;"&amp;Time!$F$13)</f>
        <v>0</v>
      </c>
      <c r="AH71" s="11" t="n">
        <f aca="false">SUMIFS(Construction!$J$36:$BJ$36,Construction!$J$12:$BJ$12,Time!AH17,Construction!$J$8:$BJ$8,"&gt;"&amp;Time!$F$13)</f>
        <v>0</v>
      </c>
      <c r="AI71" s="11" t="n">
        <f aca="false">SUMIFS(Construction!$J$36:$BJ$36,Construction!$J$12:$BJ$12,Time!AI17,Construction!$J$8:$BJ$8,"&gt;"&amp;Time!$F$13)</f>
        <v>0</v>
      </c>
      <c r="AJ71" s="11" t="n">
        <f aca="false">SUMIFS(Construction!$J$36:$BJ$36,Construction!$J$12:$BJ$12,Time!AJ17,Construction!$J$8:$BJ$8,"&gt;"&amp;Time!$F$13)</f>
        <v>0</v>
      </c>
      <c r="AK71" s="11" t="n">
        <f aca="false">SUMIFS(Construction!$J$36:$BJ$36,Construction!$J$12:$BJ$12,Time!AK17,Construction!$J$8:$BJ$8,"&gt;"&amp;Time!$F$13)</f>
        <v>0</v>
      </c>
      <c r="AL71" s="11" t="n">
        <f aca="false">SUMIFS(Construction!$J$36:$BJ$36,Construction!$J$12:$BJ$12,Time!AL17,Construction!$J$8:$BJ$8,"&gt;"&amp;Time!$F$13)</f>
        <v>0</v>
      </c>
      <c r="AM71" s="11" t="n">
        <f aca="false">SUMIFS(Construction!$J$36:$BJ$36,Construction!$J$12:$BJ$12,Time!AM17,Construction!$J$8:$BJ$8,"&gt;"&amp;Time!$F$13)</f>
        <v>0</v>
      </c>
      <c r="AN71" s="11" t="n">
        <f aca="false">SUMIFS(Construction!$J$36:$BJ$36,Construction!$J$12:$BJ$12,Time!AN17,Construction!$J$8:$BJ$8,"&gt;"&amp;Time!$F$13)</f>
        <v>0</v>
      </c>
      <c r="AO71" s="11" t="n">
        <f aca="false">SUMIFS(Construction!$J$36:$BJ$36,Construction!$J$12:$BJ$12,Time!AO17,Construction!$J$8:$BJ$8,"&gt;"&amp;Time!$F$13)</f>
        <v>0</v>
      </c>
      <c r="AP71" s="11" t="n">
        <f aca="false">SUMIFS(Construction!$J$36:$BJ$36,Construction!$J$12:$BJ$12,Time!AP17,Construction!$J$8:$BJ$8,"&gt;"&amp;Time!$F$13)</f>
        <v>0</v>
      </c>
      <c r="AQ71" s="11" t="n">
        <f aca="false">SUMIFS(Construction!$J$36:$BJ$36,Construction!$J$12:$BJ$12,Time!AQ17,Construction!$J$8:$BJ$8,"&gt;"&amp;Time!$F$13)</f>
        <v>0</v>
      </c>
      <c r="AR71" s="11" t="n">
        <f aca="false">SUMIFS(Construction!$J$36:$BJ$36,Construction!$J$12:$BJ$12,Time!AR17,Construction!$J$8:$BJ$8,"&gt;"&amp;Time!$F$13)</f>
        <v>0</v>
      </c>
      <c r="AS71" s="11" t="n">
        <f aca="false">SUMIFS(Construction!$J$36:$BJ$36,Construction!$J$12:$BJ$12,Time!AS17,Construction!$J$8:$BJ$8,"&gt;"&amp;Time!$F$13)</f>
        <v>0</v>
      </c>
      <c r="AT71" s="11" t="n">
        <f aca="false">SUMIFS(Construction!$J$36:$BJ$36,Construction!$J$12:$BJ$12,Time!AT17,Construction!$J$8:$BJ$8,"&gt;"&amp;Time!$F$13)</f>
        <v>0</v>
      </c>
      <c r="AU71" s="11" t="n">
        <f aca="false">SUMIFS(Construction!$J$36:$BJ$36,Construction!$J$12:$BJ$12,Time!AU17,Construction!$J$8:$BJ$8,"&gt;"&amp;Time!$F$13)</f>
        <v>0</v>
      </c>
      <c r="AV71" s="11" t="n">
        <f aca="false">SUMIFS(Construction!$J$36:$BJ$36,Construction!$J$12:$BJ$12,Time!AV17,Construction!$J$8:$BJ$8,"&gt;"&amp;Time!$F$13)</f>
        <v>0</v>
      </c>
      <c r="AW71" s="11" t="n">
        <f aca="false">SUMIFS(Construction!$J$36:$BJ$36,Construction!$J$12:$BJ$12,Time!AW17,Construction!$J$8:$BJ$8,"&gt;"&amp;Time!$F$13)</f>
        <v>0</v>
      </c>
      <c r="AX71" s="11" t="n">
        <f aca="false">SUMIFS(Construction!$J$36:$BJ$36,Construction!$J$12:$BJ$12,Time!AX17,Construction!$J$8:$BJ$8,"&gt;"&amp;Time!$F$13)</f>
        <v>0</v>
      </c>
      <c r="AY71" s="11" t="n">
        <f aca="false">SUMIFS(Construction!$J$36:$BJ$36,Construction!$J$12:$BJ$12,Time!AY17,Construction!$J$8:$BJ$8,"&gt;"&amp;Time!$F$13)</f>
        <v>0</v>
      </c>
      <c r="AZ71" s="11" t="n">
        <f aca="false">SUMIFS(Construction!$J$36:$BJ$36,Construction!$J$12:$BJ$12,Time!AZ17,Construction!$J$8:$BJ$8,"&gt;"&amp;Time!$F$13)</f>
        <v>0</v>
      </c>
      <c r="BA71" s="11" t="n">
        <f aca="false">SUMIFS(Construction!$J$36:$BJ$36,Construction!$J$12:$BJ$12,Time!BA17,Construction!$J$8:$BJ$8,"&gt;"&amp;Time!$F$13)</f>
        <v>0</v>
      </c>
      <c r="BB71" s="11" t="n">
        <f aca="false">SUMIFS(Construction!$J$36:$BJ$36,Construction!$J$12:$BJ$12,Time!BB17,Construction!$J$8:$BJ$8,"&gt;"&amp;Time!$F$13)</f>
        <v>0</v>
      </c>
      <c r="BC71" s="11" t="n">
        <f aca="false">SUMIFS(Construction!$J$36:$BJ$36,Construction!$J$12:$BJ$12,Time!BC17,Construction!$J$8:$BJ$8,"&gt;"&amp;Time!$F$13)</f>
        <v>0</v>
      </c>
      <c r="BD71" s="11" t="n">
        <f aca="false">SUMIFS(Construction!$J$36:$BJ$36,Construction!$J$12:$BJ$12,Time!BD17,Construction!$J$8:$BJ$8,"&gt;"&amp;Time!$F$13)</f>
        <v>0</v>
      </c>
      <c r="BE71" s="11" t="n">
        <f aca="false">SUMIFS(Construction!$J$36:$BJ$36,Construction!$J$12:$BJ$12,Time!BE17,Construction!$J$8:$BJ$8,"&gt;"&amp;Time!$F$13)</f>
        <v>0</v>
      </c>
      <c r="BF71" s="11" t="n">
        <f aca="false">SUMIFS(Construction!$J$36:$BJ$36,Construction!$J$12:$BJ$12,Time!BF17,Construction!$J$8:$BJ$8,"&gt;"&amp;Time!$F$13)</f>
        <v>0</v>
      </c>
      <c r="BG71" s="11" t="n">
        <f aca="false">SUMIFS(Construction!$J$36:$BJ$36,Construction!$J$12:$BJ$12,Time!BG17,Construction!$J$8:$BJ$8,"&gt;"&amp;Time!$F$13)</f>
        <v>0</v>
      </c>
      <c r="BH71" s="11" t="n">
        <f aca="false">SUMIFS(Construction!$J$36:$BJ$36,Construction!$J$12:$BJ$12,Time!BH17,Construction!$J$8:$BJ$8,"&gt;"&amp;Time!$F$13)</f>
        <v>0</v>
      </c>
      <c r="BI71" s="11" t="n">
        <f aca="false">SUMIFS(Construction!$J$36:$BJ$36,Construction!$J$12:$BJ$12,Time!BI17,Construction!$J$8:$BJ$8,"&gt;"&amp;Time!$F$13)</f>
        <v>0</v>
      </c>
      <c r="BJ71" s="11" t="n">
        <f aca="false">SUMIFS(Construction!$J$36:$BJ$36,Construction!$J$12:$BJ$12,Time!BJ17,Construction!$J$8:$BJ$8,"&gt;"&amp;Time!$F$13)</f>
        <v>0</v>
      </c>
      <c r="BK71" s="11" t="n">
        <f aca="false">SUMIFS(Construction!$J$36:$BJ$36,Construction!$J$12:$BJ$12,Time!BK17,Construction!$J$8:$BJ$8,"&gt;"&amp;Time!$F$13)</f>
        <v>0</v>
      </c>
      <c r="BL71" s="11" t="n">
        <f aca="false">SUMIFS(Construction!$J$36:$BJ$36,Construction!$J$12:$BJ$12,Time!BL17,Construction!$J$8:$BJ$8,"&gt;"&amp;Time!$F$13)</f>
        <v>0</v>
      </c>
      <c r="BM71" s="11" t="n">
        <f aca="false">SUMIFS(Construction!$J$36:$BJ$36,Construction!$J$12:$BJ$12,Time!BM17,Construction!$J$8:$BJ$8,"&gt;"&amp;Time!$F$13)</f>
        <v>0</v>
      </c>
      <c r="BN71" s="11" t="n">
        <f aca="false">SUMIFS(Construction!$J$36:$BJ$36,Construction!$J$12:$BJ$12,Time!BN17,Construction!$J$8:$BJ$8,"&gt;"&amp;Time!$F$13)</f>
        <v>0</v>
      </c>
    </row>
    <row r="72" customFormat="false" ht="15" hidden="false" customHeight="false" outlineLevel="0" collapsed="false">
      <c r="D72" s="0" t="s">
        <v>520</v>
      </c>
      <c r="E72" s="0" t="s">
        <v>149</v>
      </c>
      <c r="G72" s="11" t="n">
        <f aca="false">SUM(J72:BN72)</f>
        <v>6.54</v>
      </c>
      <c r="J72" s="11" t="n">
        <f aca="false">Inputs!$F$45*Inputs!J220</f>
        <v>0</v>
      </c>
      <c r="K72" s="11" t="n">
        <f aca="false">Inputs!$F$45*Inputs!K220</f>
        <v>0</v>
      </c>
      <c r="L72" s="11" t="n">
        <f aca="false">Inputs!$F$45*Inputs!L220</f>
        <v>0</v>
      </c>
      <c r="M72" s="11" t="n">
        <f aca="false">Inputs!$F$45*Inputs!M220</f>
        <v>0</v>
      </c>
      <c r="N72" s="11" t="n">
        <f aca="false">Inputs!$F$45*Inputs!N220</f>
        <v>0</v>
      </c>
      <c r="O72" s="11" t="n">
        <f aca="false">Inputs!$F$45*Inputs!O220</f>
        <v>0</v>
      </c>
      <c r="P72" s="11" t="n">
        <f aca="false">Inputs!$F$45*Inputs!P220</f>
        <v>0</v>
      </c>
      <c r="Q72" s="11" t="n">
        <f aca="false">Inputs!$F$45*Inputs!Q220</f>
        <v>0</v>
      </c>
      <c r="R72" s="11" t="n">
        <f aca="false">Inputs!$F$45*Inputs!R220</f>
        <v>1.27</v>
      </c>
      <c r="S72" s="11" t="n">
        <f aca="false">Inputs!$F$45*Inputs!S220</f>
        <v>3.84</v>
      </c>
      <c r="T72" s="11" t="n">
        <f aca="false">Inputs!$F$45*Inputs!T220</f>
        <v>1.12</v>
      </c>
      <c r="U72" s="11" t="n">
        <f aca="false">Inputs!$F$45*Inputs!U220</f>
        <v>0.31</v>
      </c>
      <c r="V72" s="11" t="n">
        <f aca="false">Inputs!$F$45*Inputs!V220</f>
        <v>0</v>
      </c>
      <c r="W72" s="11" t="n">
        <f aca="false">Inputs!$F$45*Inputs!W220</f>
        <v>0</v>
      </c>
      <c r="X72" s="11" t="n">
        <f aca="false">Inputs!$F$45*Inputs!X220</f>
        <v>0</v>
      </c>
      <c r="Y72" s="11" t="n">
        <f aca="false">Inputs!$F$45*Inputs!Y220</f>
        <v>0</v>
      </c>
      <c r="Z72" s="11" t="n">
        <f aca="false">Inputs!$F$45*Inputs!Z220</f>
        <v>0</v>
      </c>
      <c r="AA72" s="11" t="n">
        <f aca="false">Inputs!$F$45*Inputs!AA220</f>
        <v>0</v>
      </c>
      <c r="AB72" s="11" t="n">
        <f aca="false">Inputs!$F$45*Inputs!AB220</f>
        <v>0</v>
      </c>
      <c r="AC72" s="11" t="n">
        <f aca="false">Inputs!$F$45*Inputs!AC220</f>
        <v>0</v>
      </c>
      <c r="AD72" s="11" t="n">
        <f aca="false">Inputs!$F$45*Inputs!AD220</f>
        <v>0</v>
      </c>
      <c r="AE72" s="11" t="n">
        <f aca="false">Inputs!$F$45*Inputs!AE220</f>
        <v>0</v>
      </c>
      <c r="AF72" s="11" t="n">
        <f aca="false">Inputs!$F$45*Inputs!AF220</f>
        <v>0</v>
      </c>
      <c r="AG72" s="11" t="n">
        <f aca="false">Inputs!$F$45*Inputs!AG220</f>
        <v>0</v>
      </c>
      <c r="AH72" s="11" t="n">
        <f aca="false">Inputs!$F$45*Inputs!AH220</f>
        <v>0</v>
      </c>
      <c r="AI72" s="11" t="n">
        <f aca="false">Inputs!$F$45*Inputs!AI220</f>
        <v>0</v>
      </c>
      <c r="AJ72" s="11" t="n">
        <f aca="false">Inputs!$F$45*Inputs!AJ220</f>
        <v>0</v>
      </c>
      <c r="AK72" s="11" t="n">
        <f aca="false">Inputs!$F$45*Inputs!AK220</f>
        <v>0</v>
      </c>
      <c r="AL72" s="11" t="n">
        <f aca="false">Inputs!$F$45*Inputs!AL220</f>
        <v>0</v>
      </c>
      <c r="AM72" s="11" t="n">
        <f aca="false">Inputs!$F$45*Inputs!AM220</f>
        <v>0</v>
      </c>
      <c r="AN72" s="11" t="n">
        <f aca="false">Inputs!$F$45*Inputs!AN220</f>
        <v>0</v>
      </c>
      <c r="AO72" s="11" t="n">
        <f aca="false">Inputs!$F$45*Inputs!AO220</f>
        <v>0</v>
      </c>
      <c r="AP72" s="11" t="n">
        <f aca="false">Inputs!$F$45*Inputs!AP220</f>
        <v>0</v>
      </c>
      <c r="AQ72" s="11" t="n">
        <f aca="false">Inputs!$F$45*Inputs!AQ220</f>
        <v>0</v>
      </c>
      <c r="AR72" s="11" t="n">
        <f aca="false">Inputs!$F$45*Inputs!AR220</f>
        <v>0</v>
      </c>
      <c r="AS72" s="11" t="n">
        <f aca="false">Inputs!$F$45*Inputs!AS220</f>
        <v>0</v>
      </c>
      <c r="AT72" s="11" t="n">
        <f aca="false">Inputs!$F$45*Inputs!AT220</f>
        <v>0</v>
      </c>
      <c r="AU72" s="11" t="n">
        <f aca="false">Inputs!$F$45*Inputs!AU220</f>
        <v>0</v>
      </c>
      <c r="AV72" s="11" t="n">
        <f aca="false">Inputs!$F$45*Inputs!AV220</f>
        <v>0</v>
      </c>
      <c r="AW72" s="11" t="n">
        <f aca="false">Inputs!$F$45*Inputs!AW220</f>
        <v>0</v>
      </c>
      <c r="AX72" s="11" t="n">
        <f aca="false">Inputs!$F$45*Inputs!AX220</f>
        <v>0</v>
      </c>
      <c r="AY72" s="11" t="n">
        <f aca="false">Inputs!$F$45*Inputs!AY220</f>
        <v>0</v>
      </c>
      <c r="AZ72" s="11" t="n">
        <f aca="false">Inputs!$F$45*Inputs!AZ220</f>
        <v>0</v>
      </c>
      <c r="BA72" s="11" t="n">
        <f aca="false">Inputs!$F$45*Inputs!BA220</f>
        <v>0</v>
      </c>
      <c r="BB72" s="11" t="n">
        <f aca="false">Inputs!$F$45*Inputs!BB220</f>
        <v>0</v>
      </c>
      <c r="BC72" s="11" t="n">
        <f aca="false">Inputs!$F$45*Inputs!BC220</f>
        <v>0</v>
      </c>
      <c r="BD72" s="11" t="n">
        <f aca="false">Inputs!$F$45*Inputs!BD220</f>
        <v>0</v>
      </c>
      <c r="BE72" s="11" t="n">
        <f aca="false">Inputs!$F$45*Inputs!BE220</f>
        <v>0</v>
      </c>
      <c r="BF72" s="11" t="n">
        <f aca="false">Inputs!$F$45*Inputs!BF220</f>
        <v>0</v>
      </c>
      <c r="BG72" s="11" t="n">
        <f aca="false">Inputs!$F$45*Inputs!BG220</f>
        <v>0</v>
      </c>
      <c r="BH72" s="11" t="n">
        <f aca="false">Inputs!$F$45*Inputs!BH220</f>
        <v>0</v>
      </c>
      <c r="BI72" s="11" t="n">
        <f aca="false">Inputs!$F$45*Inputs!BI220</f>
        <v>0</v>
      </c>
      <c r="BJ72" s="11" t="n">
        <f aca="false">Inputs!$F$45*Inputs!BJ220</f>
        <v>0</v>
      </c>
      <c r="BK72" s="11" t="n">
        <f aca="false">Inputs!$F$45*Inputs!BK220</f>
        <v>0</v>
      </c>
      <c r="BL72" s="11" t="n">
        <f aca="false">Inputs!$F$45*Inputs!BL220</f>
        <v>0</v>
      </c>
      <c r="BM72" s="11" t="n">
        <f aca="false">Inputs!$F$45*Inputs!BM220</f>
        <v>0</v>
      </c>
      <c r="BN72" s="11" t="n">
        <f aca="false">Inputs!$F$45*Inputs!BN220</f>
        <v>0</v>
      </c>
    </row>
    <row r="73" customFormat="false" ht="15" hidden="false" customHeight="false" outlineLevel="0" collapsed="false">
      <c r="D73" s="0" t="s">
        <v>521</v>
      </c>
      <c r="E73" s="0" t="s">
        <v>477</v>
      </c>
      <c r="J73" s="9" t="n">
        <f aca="false">INT((Time!J28-7)/12)+1</f>
        <v>0</v>
      </c>
      <c r="K73" s="9" t="n">
        <f aca="false">INT((Time!K28-7)/12)+1</f>
        <v>0</v>
      </c>
      <c r="L73" s="9" t="n">
        <f aca="false">INT((Time!L28-7)/12)+1</f>
        <v>0</v>
      </c>
      <c r="M73" s="9" t="n">
        <f aca="false">INT((Time!M28-7)/12)+1</f>
        <v>0</v>
      </c>
      <c r="N73" s="9" t="n">
        <f aca="false">INT((Time!N28-7)/12)+1</f>
        <v>0</v>
      </c>
      <c r="O73" s="9" t="n">
        <f aca="false">INT((Time!O28-7)/12)+1</f>
        <v>0</v>
      </c>
      <c r="P73" s="9" t="n">
        <f aca="false">INT((Time!P28-7)/12)+1</f>
        <v>0</v>
      </c>
      <c r="Q73" s="9" t="n">
        <f aca="false">INT((Time!Q28-7)/12)+1</f>
        <v>1</v>
      </c>
      <c r="R73" s="9" t="n">
        <f aca="false">INT((Time!R28-7)/12)+1</f>
        <v>1</v>
      </c>
      <c r="S73" s="9" t="n">
        <f aca="false">INT((Time!S28-7)/12)+1</f>
        <v>2</v>
      </c>
      <c r="T73" s="9" t="n">
        <f aca="false">INT((Time!T28-7)/12)+1</f>
        <v>2</v>
      </c>
      <c r="U73" s="9" t="n">
        <f aca="false">INT((Time!U28-7)/12)+1</f>
        <v>3</v>
      </c>
      <c r="V73" s="9" t="n">
        <f aca="false">INT((Time!V28-7)/12)+1</f>
        <v>3</v>
      </c>
      <c r="W73" s="9" t="n">
        <f aca="false">INT((Time!W28-7)/12)+1</f>
        <v>4</v>
      </c>
      <c r="X73" s="9" t="n">
        <f aca="false">INT((Time!X28-7)/12)+1</f>
        <v>4</v>
      </c>
      <c r="Y73" s="9" t="n">
        <f aca="false">INT((Time!Y28-7)/12)+1</f>
        <v>5</v>
      </c>
      <c r="Z73" s="9" t="n">
        <f aca="false">INT((Time!Z28-7)/12)+1</f>
        <v>5</v>
      </c>
      <c r="AA73" s="9" t="n">
        <f aca="false">INT((Time!AA28-7)/12)+1</f>
        <v>6</v>
      </c>
      <c r="AB73" s="9" t="n">
        <f aca="false">INT((Time!AB28-7)/12)+1</f>
        <v>6</v>
      </c>
      <c r="AC73" s="9" t="n">
        <f aca="false">INT((Time!AC28-7)/12)+1</f>
        <v>7</v>
      </c>
      <c r="AD73" s="9" t="n">
        <f aca="false">INT((Time!AD28-7)/12)+1</f>
        <v>7</v>
      </c>
      <c r="AE73" s="9" t="n">
        <f aca="false">INT((Time!AE28-7)/12)+1</f>
        <v>8</v>
      </c>
      <c r="AF73" s="9" t="n">
        <f aca="false">INT((Time!AF28-7)/12)+1</f>
        <v>8</v>
      </c>
      <c r="AG73" s="9" t="n">
        <f aca="false">INT((Time!AG28-7)/12)+1</f>
        <v>9</v>
      </c>
      <c r="AH73" s="9" t="n">
        <f aca="false">INT((Time!AH28-7)/12)+1</f>
        <v>9</v>
      </c>
      <c r="AI73" s="9" t="n">
        <f aca="false">INT((Time!AI28-7)/12)+1</f>
        <v>10</v>
      </c>
      <c r="AJ73" s="9" t="n">
        <f aca="false">INT((Time!AJ28-7)/12)+1</f>
        <v>10</v>
      </c>
      <c r="AK73" s="9" t="n">
        <f aca="false">INT((Time!AK28-7)/12)+1</f>
        <v>11</v>
      </c>
      <c r="AL73" s="9" t="n">
        <f aca="false">INT((Time!AL28-7)/12)+1</f>
        <v>11</v>
      </c>
      <c r="AM73" s="9" t="n">
        <f aca="false">INT((Time!AM28-7)/12)+1</f>
        <v>12</v>
      </c>
      <c r="AN73" s="9" t="n">
        <f aca="false">INT((Time!AN28-7)/12)+1</f>
        <v>12</v>
      </c>
      <c r="AO73" s="9" t="n">
        <f aca="false">INT((Time!AO28-7)/12)+1</f>
        <v>13</v>
      </c>
      <c r="AP73" s="9" t="n">
        <f aca="false">INT((Time!AP28-7)/12)+1</f>
        <v>13</v>
      </c>
      <c r="AQ73" s="9" t="n">
        <f aca="false">INT((Time!AQ28-7)/12)+1</f>
        <v>14</v>
      </c>
      <c r="AR73" s="9" t="n">
        <f aca="false">INT((Time!AR28-7)/12)+1</f>
        <v>14</v>
      </c>
      <c r="AS73" s="9" t="n">
        <f aca="false">INT((Time!AS28-7)/12)+1</f>
        <v>15</v>
      </c>
      <c r="AT73" s="9" t="n">
        <f aca="false">INT((Time!AT28-7)/12)+1</f>
        <v>15</v>
      </c>
      <c r="AU73" s="9" t="n">
        <f aca="false">INT((Time!AU28-7)/12)+1</f>
        <v>16</v>
      </c>
      <c r="AV73" s="9" t="n">
        <f aca="false">INT((Time!AV28-7)/12)+1</f>
        <v>16</v>
      </c>
      <c r="AW73" s="9" t="n">
        <f aca="false">INT((Time!AW28-7)/12)+1</f>
        <v>17</v>
      </c>
      <c r="AX73" s="9" t="n">
        <f aca="false">INT((Time!AX28-7)/12)+1</f>
        <v>17</v>
      </c>
      <c r="AY73" s="9" t="n">
        <f aca="false">INT((Time!AY28-7)/12)+1</f>
        <v>18</v>
      </c>
      <c r="AZ73" s="9" t="n">
        <f aca="false">INT((Time!AZ28-7)/12)+1</f>
        <v>18</v>
      </c>
      <c r="BA73" s="9" t="n">
        <f aca="false">INT((Time!BA28-7)/12)+1</f>
        <v>19</v>
      </c>
      <c r="BB73" s="9" t="n">
        <f aca="false">INT((Time!BB28-7)/12)+1</f>
        <v>19</v>
      </c>
      <c r="BC73" s="9" t="n">
        <f aca="false">INT((Time!BC28-7)/12)+1</f>
        <v>20</v>
      </c>
      <c r="BD73" s="9" t="n">
        <f aca="false">INT((Time!BD28-7)/12)+1</f>
        <v>20</v>
      </c>
      <c r="BE73" s="9" t="n">
        <f aca="false">INT((Time!BE28-7)/12)+1</f>
        <v>21</v>
      </c>
      <c r="BF73" s="9" t="n">
        <f aca="false">INT((Time!BF28-7)/12)+1</f>
        <v>21</v>
      </c>
      <c r="BG73" s="9" t="n">
        <f aca="false">INT((Time!BG28-7)/12)+1</f>
        <v>22</v>
      </c>
      <c r="BH73" s="9" t="n">
        <f aca="false">INT((Time!BH28-7)/12)+1</f>
        <v>22</v>
      </c>
      <c r="BI73" s="9" t="n">
        <f aca="false">INT((Time!BI28-7)/12)+1</f>
        <v>23</v>
      </c>
      <c r="BJ73" s="9" t="n">
        <f aca="false">INT((Time!BJ28-7)/12)+1</f>
        <v>23</v>
      </c>
      <c r="BK73" s="9" t="n">
        <f aca="false">INT((Time!BK28-7)/12)+1</f>
        <v>24</v>
      </c>
      <c r="BL73" s="9" t="n">
        <f aca="false">INT((Time!BL28-7)/12)+1</f>
        <v>24</v>
      </c>
      <c r="BM73" s="9" t="n">
        <f aca="false">INT((Time!BM28-7)/12)+1</f>
        <v>25</v>
      </c>
      <c r="BN73" s="9" t="n">
        <f aca="false">INT((Time!BN28-7)/12)+1</f>
        <v>25</v>
      </c>
    </row>
    <row r="74" customFormat="false" ht="15" hidden="false" customHeight="false" outlineLevel="0" collapsed="false">
      <c r="D74" s="0" t="s">
        <v>522</v>
      </c>
      <c r="E74" s="0" t="s">
        <v>149</v>
      </c>
      <c r="J74" s="11" t="n">
        <f aca="false">IF(AND(Time!J25&gt;0,J73&gt;=1,J73&lt;=24,Time!J27&lt;(J73-1)*12+7,(J73-1)*12+7&lt;=Time!J28),IF(MOD(J73,8)=0,Inputs!$F$164,IF(MOD(J73,4)=0,Inputs!$F$165,0)),0)</f>
        <v>0</v>
      </c>
      <c r="K74" s="11" t="n">
        <f aca="false">IF(AND(Time!K25&gt;0,K73&gt;=1,K73&lt;=24,Time!K27&lt;(K73-1)*12+7,(K73-1)*12+7&lt;=Time!K28),IF(MOD(K73,8)=0,Inputs!$F$164,IF(MOD(K73,4)=0,Inputs!$F$165,0)),0)</f>
        <v>0</v>
      </c>
      <c r="L74" s="11" t="n">
        <f aca="false">IF(AND(Time!L25&gt;0,L73&gt;=1,L73&lt;=24,Time!L27&lt;(L73-1)*12+7,(L73-1)*12+7&lt;=Time!L28),IF(MOD(L73,8)=0,Inputs!$F$164,IF(MOD(L73,4)=0,Inputs!$F$165,0)),0)</f>
        <v>0</v>
      </c>
      <c r="M74" s="11" t="n">
        <f aca="false">IF(AND(Time!M25&gt;0,M73&gt;=1,M73&lt;=24,Time!M27&lt;(M73-1)*12+7,(M73-1)*12+7&lt;=Time!M28),IF(MOD(M73,8)=0,Inputs!$F$164,IF(MOD(M73,4)=0,Inputs!$F$165,0)),0)</f>
        <v>0</v>
      </c>
      <c r="N74" s="11" t="n">
        <f aca="false">IF(AND(Time!N25&gt;0,N73&gt;=1,N73&lt;=24,Time!N27&lt;(N73-1)*12+7,(N73-1)*12+7&lt;=Time!N28),IF(MOD(N73,8)=0,Inputs!$F$164,IF(MOD(N73,4)=0,Inputs!$F$165,0)),0)</f>
        <v>0</v>
      </c>
      <c r="O74" s="11" t="n">
        <f aca="false">IF(AND(Time!O25&gt;0,O73&gt;=1,O73&lt;=24,Time!O27&lt;(O73-1)*12+7,(O73-1)*12+7&lt;=Time!O28),IF(MOD(O73,8)=0,Inputs!$F$164,IF(MOD(O73,4)=0,Inputs!$F$165,0)),0)</f>
        <v>0</v>
      </c>
      <c r="P74" s="11" t="n">
        <f aca="false">IF(AND(Time!P25&gt;0,P73&gt;=1,P73&lt;=24,Time!P27&lt;(P73-1)*12+7,(P73-1)*12+7&lt;=Time!P28),IF(MOD(P73,8)=0,Inputs!$F$164,IF(MOD(P73,4)=0,Inputs!$F$165,0)),0)</f>
        <v>0</v>
      </c>
      <c r="Q74" s="11" t="n">
        <f aca="false">IF(AND(Time!Q25&gt;0,Q73&gt;=1,Q73&lt;=24,Time!Q27&lt;(Q73-1)*12+7,(Q73-1)*12+7&lt;=Time!Q28),IF(MOD(Q73,8)=0,Inputs!$F$164,IF(MOD(Q73,4)=0,Inputs!$F$165,0)),0)</f>
        <v>0</v>
      </c>
      <c r="R74" s="11" t="n">
        <f aca="false">IF(AND(Time!R25&gt;0,R73&gt;=1,R73&lt;=24,Time!R27&lt;(R73-1)*12+7,(R73-1)*12+7&lt;=Time!R28),IF(MOD(R73,8)=0,Inputs!$F$164,IF(MOD(R73,4)=0,Inputs!$F$165,0)),0)</f>
        <v>0</v>
      </c>
      <c r="S74" s="11" t="n">
        <f aca="false">IF(AND(Time!S25&gt;0,S73&gt;=1,S73&lt;=24,Time!S27&lt;(S73-1)*12+7,(S73-1)*12+7&lt;=Time!S28),IF(MOD(S73,8)=0,Inputs!$F$164,IF(MOD(S73,4)=0,Inputs!$F$165,0)),0)</f>
        <v>0</v>
      </c>
      <c r="T74" s="11" t="n">
        <f aca="false">IF(AND(Time!T25&gt;0,T73&gt;=1,T73&lt;=24,Time!T27&lt;(T73-1)*12+7,(T73-1)*12+7&lt;=Time!T28),IF(MOD(T73,8)=0,Inputs!$F$164,IF(MOD(T73,4)=0,Inputs!$F$165,0)),0)</f>
        <v>0</v>
      </c>
      <c r="U74" s="11" t="n">
        <f aca="false">IF(AND(Time!U25&gt;0,U73&gt;=1,U73&lt;=24,Time!U27&lt;(U73-1)*12+7,(U73-1)*12+7&lt;=Time!U28),IF(MOD(U73,8)=0,Inputs!$F$164,IF(MOD(U73,4)=0,Inputs!$F$165,0)),0)</f>
        <v>0</v>
      </c>
      <c r="V74" s="11" t="n">
        <f aca="false">IF(AND(Time!V25&gt;0,V73&gt;=1,V73&lt;=24,Time!V27&lt;(V73-1)*12+7,(V73-1)*12+7&lt;=Time!V28),IF(MOD(V73,8)=0,Inputs!$F$164,IF(MOD(V73,4)=0,Inputs!$F$165,0)),0)</f>
        <v>0</v>
      </c>
      <c r="W74" s="11" t="n">
        <f aca="false">IF(AND(Time!W25&gt;0,W73&gt;=1,W73&lt;=24,Time!W27&lt;(W73-1)*12+7,(W73-1)*12+7&lt;=Time!W28),IF(MOD(W73,8)=0,Inputs!$F$164,IF(MOD(W73,4)=0,Inputs!$F$165,0)),0)</f>
        <v>2.18</v>
      </c>
      <c r="X74" s="11" t="n">
        <f aca="false">IF(AND(Time!X25&gt;0,X73&gt;=1,X73&lt;=24,Time!X27&lt;(X73-1)*12+7,(X73-1)*12+7&lt;=Time!X28),IF(MOD(X73,8)=0,Inputs!$F$164,IF(MOD(X73,4)=0,Inputs!$F$165,0)),0)</f>
        <v>0</v>
      </c>
      <c r="Y74" s="11" t="n">
        <f aca="false">IF(AND(Time!Y25&gt;0,Y73&gt;=1,Y73&lt;=24,Time!Y27&lt;(Y73-1)*12+7,(Y73-1)*12+7&lt;=Time!Y28),IF(MOD(Y73,8)=0,Inputs!$F$164,IF(MOD(Y73,4)=0,Inputs!$F$165,0)),0)</f>
        <v>0</v>
      </c>
      <c r="Z74" s="11" t="n">
        <f aca="false">IF(AND(Time!Z25&gt;0,Z73&gt;=1,Z73&lt;=24,Time!Z27&lt;(Z73-1)*12+7,(Z73-1)*12+7&lt;=Time!Z28),IF(MOD(Z73,8)=0,Inputs!$F$164,IF(MOD(Z73,4)=0,Inputs!$F$165,0)),0)</f>
        <v>0</v>
      </c>
      <c r="AA74" s="11" t="n">
        <f aca="false">IF(AND(Time!AA25&gt;0,AA73&gt;=1,AA73&lt;=24,Time!AA27&lt;(AA73-1)*12+7,(AA73-1)*12+7&lt;=Time!AA28),IF(MOD(AA73,8)=0,Inputs!$F$164,IF(MOD(AA73,4)=0,Inputs!$F$165,0)),0)</f>
        <v>0</v>
      </c>
      <c r="AB74" s="11" t="n">
        <f aca="false">IF(AND(Time!AB25&gt;0,AB73&gt;=1,AB73&lt;=24,Time!AB27&lt;(AB73-1)*12+7,(AB73-1)*12+7&lt;=Time!AB28),IF(MOD(AB73,8)=0,Inputs!$F$164,IF(MOD(AB73,4)=0,Inputs!$F$165,0)),0)</f>
        <v>0</v>
      </c>
      <c r="AC74" s="11" t="n">
        <f aca="false">IF(AND(Time!AC25&gt;0,AC73&gt;=1,AC73&lt;=24,Time!AC27&lt;(AC73-1)*12+7,(AC73-1)*12+7&lt;=Time!AC28),IF(MOD(AC73,8)=0,Inputs!$F$164,IF(MOD(AC73,4)=0,Inputs!$F$165,0)),0)</f>
        <v>0</v>
      </c>
      <c r="AD74" s="11" t="n">
        <f aca="false">IF(AND(Time!AD25&gt;0,AD73&gt;=1,AD73&lt;=24,Time!AD27&lt;(AD73-1)*12+7,(AD73-1)*12+7&lt;=Time!AD28),IF(MOD(AD73,8)=0,Inputs!$F$164,IF(MOD(AD73,4)=0,Inputs!$F$165,0)),0)</f>
        <v>0</v>
      </c>
      <c r="AE74" s="11" t="n">
        <f aca="false">IF(AND(Time!AE25&gt;0,AE73&gt;=1,AE73&lt;=24,Time!AE27&lt;(AE73-1)*12+7,(AE73-1)*12+7&lt;=Time!AE28),IF(MOD(AE73,8)=0,Inputs!$F$164,IF(MOD(AE73,4)=0,Inputs!$F$165,0)),0)</f>
        <v>9.47</v>
      </c>
      <c r="AF74" s="11" t="n">
        <f aca="false">IF(AND(Time!AF25&gt;0,AF73&gt;=1,AF73&lt;=24,Time!AF27&lt;(AF73-1)*12+7,(AF73-1)*12+7&lt;=Time!AF28),IF(MOD(AF73,8)=0,Inputs!$F$164,IF(MOD(AF73,4)=0,Inputs!$F$165,0)),0)</f>
        <v>0</v>
      </c>
      <c r="AG74" s="11" t="n">
        <f aca="false">IF(AND(Time!AG25&gt;0,AG73&gt;=1,AG73&lt;=24,Time!AG27&lt;(AG73-1)*12+7,(AG73-1)*12+7&lt;=Time!AG28),IF(MOD(AG73,8)=0,Inputs!$F$164,IF(MOD(AG73,4)=0,Inputs!$F$165,0)),0)</f>
        <v>0</v>
      </c>
      <c r="AH74" s="11" t="n">
        <f aca="false">IF(AND(Time!AH25&gt;0,AH73&gt;=1,AH73&lt;=24,Time!AH27&lt;(AH73-1)*12+7,(AH73-1)*12+7&lt;=Time!AH28),IF(MOD(AH73,8)=0,Inputs!$F$164,IF(MOD(AH73,4)=0,Inputs!$F$165,0)),0)</f>
        <v>0</v>
      </c>
      <c r="AI74" s="11" t="n">
        <f aca="false">IF(AND(Time!AI25&gt;0,AI73&gt;=1,AI73&lt;=24,Time!AI27&lt;(AI73-1)*12+7,(AI73-1)*12+7&lt;=Time!AI28),IF(MOD(AI73,8)=0,Inputs!$F$164,IF(MOD(AI73,4)=0,Inputs!$F$165,0)),0)</f>
        <v>0</v>
      </c>
      <c r="AJ74" s="11" t="n">
        <f aca="false">IF(AND(Time!AJ25&gt;0,AJ73&gt;=1,AJ73&lt;=24,Time!AJ27&lt;(AJ73-1)*12+7,(AJ73-1)*12+7&lt;=Time!AJ28),IF(MOD(AJ73,8)=0,Inputs!$F$164,IF(MOD(AJ73,4)=0,Inputs!$F$165,0)),0)</f>
        <v>0</v>
      </c>
      <c r="AK74" s="11" t="n">
        <f aca="false">IF(AND(Time!AK25&gt;0,AK73&gt;=1,AK73&lt;=24,Time!AK27&lt;(AK73-1)*12+7,(AK73-1)*12+7&lt;=Time!AK28),IF(MOD(AK73,8)=0,Inputs!$F$164,IF(MOD(AK73,4)=0,Inputs!$F$165,0)),0)</f>
        <v>0</v>
      </c>
      <c r="AL74" s="11" t="n">
        <f aca="false">IF(AND(Time!AL25&gt;0,AL73&gt;=1,AL73&lt;=24,Time!AL27&lt;(AL73-1)*12+7,(AL73-1)*12+7&lt;=Time!AL28),IF(MOD(AL73,8)=0,Inputs!$F$164,IF(MOD(AL73,4)=0,Inputs!$F$165,0)),0)</f>
        <v>0</v>
      </c>
      <c r="AM74" s="11" t="n">
        <f aca="false">IF(AND(Time!AM25&gt;0,AM73&gt;=1,AM73&lt;=24,Time!AM27&lt;(AM73-1)*12+7,(AM73-1)*12+7&lt;=Time!AM28),IF(MOD(AM73,8)=0,Inputs!$F$164,IF(MOD(AM73,4)=0,Inputs!$F$165,0)),0)</f>
        <v>2.18</v>
      </c>
      <c r="AN74" s="11" t="n">
        <f aca="false">IF(AND(Time!AN25&gt;0,AN73&gt;=1,AN73&lt;=24,Time!AN27&lt;(AN73-1)*12+7,(AN73-1)*12+7&lt;=Time!AN28),IF(MOD(AN73,8)=0,Inputs!$F$164,IF(MOD(AN73,4)=0,Inputs!$F$165,0)),0)</f>
        <v>0</v>
      </c>
      <c r="AO74" s="11" t="n">
        <f aca="false">IF(AND(Time!AO25&gt;0,AO73&gt;=1,AO73&lt;=24,Time!AO27&lt;(AO73-1)*12+7,(AO73-1)*12+7&lt;=Time!AO28),IF(MOD(AO73,8)=0,Inputs!$F$164,IF(MOD(AO73,4)=0,Inputs!$F$165,0)),0)</f>
        <v>0</v>
      </c>
      <c r="AP74" s="11" t="n">
        <f aca="false">IF(AND(Time!AP25&gt;0,AP73&gt;=1,AP73&lt;=24,Time!AP27&lt;(AP73-1)*12+7,(AP73-1)*12+7&lt;=Time!AP28),IF(MOD(AP73,8)=0,Inputs!$F$164,IF(MOD(AP73,4)=0,Inputs!$F$165,0)),0)</f>
        <v>0</v>
      </c>
      <c r="AQ74" s="11" t="n">
        <f aca="false">IF(AND(Time!AQ25&gt;0,AQ73&gt;=1,AQ73&lt;=24,Time!AQ27&lt;(AQ73-1)*12+7,(AQ73-1)*12+7&lt;=Time!AQ28),IF(MOD(AQ73,8)=0,Inputs!$F$164,IF(MOD(AQ73,4)=0,Inputs!$F$165,0)),0)</f>
        <v>0</v>
      </c>
      <c r="AR74" s="11" t="n">
        <f aca="false">IF(AND(Time!AR25&gt;0,AR73&gt;=1,AR73&lt;=24,Time!AR27&lt;(AR73-1)*12+7,(AR73-1)*12+7&lt;=Time!AR28),IF(MOD(AR73,8)=0,Inputs!$F$164,IF(MOD(AR73,4)=0,Inputs!$F$165,0)),0)</f>
        <v>0</v>
      </c>
      <c r="AS74" s="11" t="n">
        <f aca="false">IF(AND(Time!AS25&gt;0,AS73&gt;=1,AS73&lt;=24,Time!AS27&lt;(AS73-1)*12+7,(AS73-1)*12+7&lt;=Time!AS28),IF(MOD(AS73,8)=0,Inputs!$F$164,IF(MOD(AS73,4)=0,Inputs!$F$165,0)),0)</f>
        <v>0</v>
      </c>
      <c r="AT74" s="11" t="n">
        <f aca="false">IF(AND(Time!AT25&gt;0,AT73&gt;=1,AT73&lt;=24,Time!AT27&lt;(AT73-1)*12+7,(AT73-1)*12+7&lt;=Time!AT28),IF(MOD(AT73,8)=0,Inputs!$F$164,IF(MOD(AT73,4)=0,Inputs!$F$165,0)),0)</f>
        <v>0</v>
      </c>
      <c r="AU74" s="11" t="n">
        <f aca="false">IF(AND(Time!AU25&gt;0,AU73&gt;=1,AU73&lt;=24,Time!AU27&lt;(AU73-1)*12+7,(AU73-1)*12+7&lt;=Time!AU28),IF(MOD(AU73,8)=0,Inputs!$F$164,IF(MOD(AU73,4)=0,Inputs!$F$165,0)),0)</f>
        <v>9.47</v>
      </c>
      <c r="AV74" s="11" t="n">
        <f aca="false">IF(AND(Time!AV25&gt;0,AV73&gt;=1,AV73&lt;=24,Time!AV27&lt;(AV73-1)*12+7,(AV73-1)*12+7&lt;=Time!AV28),IF(MOD(AV73,8)=0,Inputs!$F$164,IF(MOD(AV73,4)=0,Inputs!$F$165,0)),0)</f>
        <v>0</v>
      </c>
      <c r="AW74" s="11" t="n">
        <f aca="false">IF(AND(Time!AW25&gt;0,AW73&gt;=1,AW73&lt;=24,Time!AW27&lt;(AW73-1)*12+7,(AW73-1)*12+7&lt;=Time!AW28),IF(MOD(AW73,8)=0,Inputs!$F$164,IF(MOD(AW73,4)=0,Inputs!$F$165,0)),0)</f>
        <v>0</v>
      </c>
      <c r="AX74" s="11" t="n">
        <f aca="false">IF(AND(Time!AX25&gt;0,AX73&gt;=1,AX73&lt;=24,Time!AX27&lt;(AX73-1)*12+7,(AX73-1)*12+7&lt;=Time!AX28),IF(MOD(AX73,8)=0,Inputs!$F$164,IF(MOD(AX73,4)=0,Inputs!$F$165,0)),0)</f>
        <v>0</v>
      </c>
      <c r="AY74" s="11" t="n">
        <f aca="false">IF(AND(Time!AY25&gt;0,AY73&gt;=1,AY73&lt;=24,Time!AY27&lt;(AY73-1)*12+7,(AY73-1)*12+7&lt;=Time!AY28),IF(MOD(AY73,8)=0,Inputs!$F$164,IF(MOD(AY73,4)=0,Inputs!$F$165,0)),0)</f>
        <v>0</v>
      </c>
      <c r="AZ74" s="11" t="n">
        <f aca="false">IF(AND(Time!AZ25&gt;0,AZ73&gt;=1,AZ73&lt;=24,Time!AZ27&lt;(AZ73-1)*12+7,(AZ73-1)*12+7&lt;=Time!AZ28),IF(MOD(AZ73,8)=0,Inputs!$F$164,IF(MOD(AZ73,4)=0,Inputs!$F$165,0)),0)</f>
        <v>0</v>
      </c>
      <c r="BA74" s="11" t="n">
        <f aca="false">IF(AND(Time!BA25&gt;0,BA73&gt;=1,BA73&lt;=24,Time!BA27&lt;(BA73-1)*12+7,(BA73-1)*12+7&lt;=Time!BA28),IF(MOD(BA73,8)=0,Inputs!$F$164,IF(MOD(BA73,4)=0,Inputs!$F$165,0)),0)</f>
        <v>0</v>
      </c>
      <c r="BB74" s="11" t="n">
        <f aca="false">IF(AND(Time!BB25&gt;0,BB73&gt;=1,BB73&lt;=24,Time!BB27&lt;(BB73-1)*12+7,(BB73-1)*12+7&lt;=Time!BB28),IF(MOD(BB73,8)=0,Inputs!$F$164,IF(MOD(BB73,4)=0,Inputs!$F$165,0)),0)</f>
        <v>0</v>
      </c>
      <c r="BC74" s="11" t="n">
        <f aca="false">IF(AND(Time!BC25&gt;0,BC73&gt;=1,BC73&lt;=24,Time!BC27&lt;(BC73-1)*12+7,(BC73-1)*12+7&lt;=Time!BC28),IF(MOD(BC73,8)=0,Inputs!$F$164,IF(MOD(BC73,4)=0,Inputs!$F$165,0)),0)</f>
        <v>2.18</v>
      </c>
      <c r="BD74" s="11" t="n">
        <f aca="false">IF(AND(Time!BD25&gt;0,BD73&gt;=1,BD73&lt;=24,Time!BD27&lt;(BD73-1)*12+7,(BD73-1)*12+7&lt;=Time!BD28),IF(MOD(BD73,8)=0,Inputs!$F$164,IF(MOD(BD73,4)=0,Inputs!$F$165,0)),0)</f>
        <v>0</v>
      </c>
      <c r="BE74" s="11" t="n">
        <f aca="false">IF(AND(Time!BE25&gt;0,BE73&gt;=1,BE73&lt;=24,Time!BE27&lt;(BE73-1)*12+7,(BE73-1)*12+7&lt;=Time!BE28),IF(MOD(BE73,8)=0,Inputs!$F$164,IF(MOD(BE73,4)=0,Inputs!$F$165,0)),0)</f>
        <v>0</v>
      </c>
      <c r="BF74" s="11" t="n">
        <f aca="false">IF(AND(Time!BF25&gt;0,BF73&gt;=1,BF73&lt;=24,Time!BF27&lt;(BF73-1)*12+7,(BF73-1)*12+7&lt;=Time!BF28),IF(MOD(BF73,8)=0,Inputs!$F$164,IF(MOD(BF73,4)=0,Inputs!$F$165,0)),0)</f>
        <v>0</v>
      </c>
      <c r="BG74" s="11" t="n">
        <f aca="false">IF(AND(Time!BG25&gt;0,BG73&gt;=1,BG73&lt;=24,Time!BG27&lt;(BG73-1)*12+7,(BG73-1)*12+7&lt;=Time!BG28),IF(MOD(BG73,8)=0,Inputs!$F$164,IF(MOD(BG73,4)=0,Inputs!$F$165,0)),0)</f>
        <v>0</v>
      </c>
      <c r="BH74" s="11" t="n">
        <f aca="false">IF(AND(Time!BH25&gt;0,BH73&gt;=1,BH73&lt;=24,Time!BH27&lt;(BH73-1)*12+7,(BH73-1)*12+7&lt;=Time!BH28),IF(MOD(BH73,8)=0,Inputs!$F$164,IF(MOD(BH73,4)=0,Inputs!$F$165,0)),0)</f>
        <v>0</v>
      </c>
      <c r="BI74" s="11" t="n">
        <f aca="false">IF(AND(Time!BI25&gt;0,BI73&gt;=1,BI73&lt;=24,Time!BI27&lt;(BI73-1)*12+7,(BI73-1)*12+7&lt;=Time!BI28),IF(MOD(BI73,8)=0,Inputs!$F$164,IF(MOD(BI73,4)=0,Inputs!$F$165,0)),0)</f>
        <v>0</v>
      </c>
      <c r="BJ74" s="11" t="n">
        <f aca="false">IF(AND(Time!BJ25&gt;0,BJ73&gt;=1,BJ73&lt;=24,Time!BJ27&lt;(BJ73-1)*12+7,(BJ73-1)*12+7&lt;=Time!BJ28),IF(MOD(BJ73,8)=0,Inputs!$F$164,IF(MOD(BJ73,4)=0,Inputs!$F$165,0)),0)</f>
        <v>0</v>
      </c>
      <c r="BK74" s="11" t="n">
        <f aca="false">IF(AND(Time!BK25&gt;0,BK73&gt;=1,BK73&lt;=24,Time!BK27&lt;(BK73-1)*12+7,(BK73-1)*12+7&lt;=Time!BK28),IF(MOD(BK73,8)=0,Inputs!$F$164,IF(MOD(BK73,4)=0,Inputs!$F$165,0)),0)</f>
        <v>9.47</v>
      </c>
      <c r="BL74" s="11" t="n">
        <f aca="false">IF(AND(Time!BL25&gt;0,BL73&gt;=1,BL73&lt;=24,Time!BL27&lt;(BL73-1)*12+7,(BL73-1)*12+7&lt;=Time!BL28),IF(MOD(BL73,8)=0,Inputs!$F$164,IF(MOD(BL73,4)=0,Inputs!$F$165,0)),0)</f>
        <v>0</v>
      </c>
      <c r="BM74" s="11" t="n">
        <f aca="false">IF(AND(Time!BM25&gt;0,BM73&gt;=1,BM73&lt;=24,Time!BM27&lt;(BM73-1)*12+7,(BM73-1)*12+7&lt;=Time!BM28),IF(MOD(BM73,8)=0,Inputs!$F$164,IF(MOD(BM73,4)=0,Inputs!$F$165,0)),0)</f>
        <v>0</v>
      </c>
      <c r="BN74" s="11" t="n">
        <f aca="false">IF(AND(Time!BN25&gt;0,BN73&gt;=1,BN73&lt;=24,Time!BN27&lt;(BN73-1)*12+7,(BN73-1)*12+7&lt;=Time!BN28),IF(MOD(BN73,8)=0,Inputs!$F$164,IF(MOD(BN73,4)=0,Inputs!$F$165,0)),0)</f>
        <v>0</v>
      </c>
    </row>
    <row r="75" customFormat="false" ht="15" hidden="false" customHeight="false" outlineLevel="0" collapsed="false">
      <c r="D75" s="0" t="s">
        <v>523</v>
      </c>
      <c r="E75" s="0" t="s">
        <v>149</v>
      </c>
      <c r="G75" s="11" t="n">
        <f aca="false">SUM(J75:BN75)</f>
        <v>58.3764680028158</v>
      </c>
      <c r="J75" s="11" t="n">
        <f aca="false">J74*J19</f>
        <v>0</v>
      </c>
      <c r="K75" s="11" t="n">
        <f aca="false">K74*K19</f>
        <v>0</v>
      </c>
      <c r="L75" s="11" t="n">
        <f aca="false">L74*L19</f>
        <v>0</v>
      </c>
      <c r="M75" s="11" t="n">
        <f aca="false">M74*M19</f>
        <v>0</v>
      </c>
      <c r="N75" s="11" t="n">
        <f aca="false">N74*N19</f>
        <v>0</v>
      </c>
      <c r="O75" s="11" t="n">
        <f aca="false">O74*O19</f>
        <v>0</v>
      </c>
      <c r="P75" s="11" t="n">
        <f aca="false">P74*P19</f>
        <v>0</v>
      </c>
      <c r="Q75" s="11" t="n">
        <f aca="false">Q74*Q19</f>
        <v>0</v>
      </c>
      <c r="R75" s="11" t="n">
        <f aca="false">R74*R19</f>
        <v>0</v>
      </c>
      <c r="S75" s="11" t="n">
        <f aca="false">S74*S19</f>
        <v>0</v>
      </c>
      <c r="T75" s="11" t="n">
        <f aca="false">T74*T19</f>
        <v>0</v>
      </c>
      <c r="U75" s="11" t="n">
        <f aca="false">U74*U19</f>
        <v>0</v>
      </c>
      <c r="V75" s="11" t="n">
        <f aca="false">V74*V19</f>
        <v>0</v>
      </c>
      <c r="W75" s="11" t="n">
        <f aca="false">W74*W19</f>
        <v>2.77117475992325</v>
      </c>
      <c r="X75" s="11" t="n">
        <f aca="false">X74*X19</f>
        <v>0</v>
      </c>
      <c r="Y75" s="11" t="n">
        <f aca="false">Y74*Y19</f>
        <v>0</v>
      </c>
      <c r="Z75" s="11" t="n">
        <f aca="false">Z74*Z19</f>
        <v>0</v>
      </c>
      <c r="AA75" s="11" t="n">
        <f aca="false">AA74*AA19</f>
        <v>0</v>
      </c>
      <c r="AB75" s="11" t="n">
        <f aca="false">AB74*AB19</f>
        <v>0</v>
      </c>
      <c r="AC75" s="11" t="n">
        <f aca="false">AC74*AC19</f>
        <v>0</v>
      </c>
      <c r="AD75" s="11" t="n">
        <f aca="false">AD74*AD19</f>
        <v>0</v>
      </c>
      <c r="AE75" s="11" t="n">
        <f aca="false">AE74*AE19</f>
        <v>13.2618090211377</v>
      </c>
      <c r="AF75" s="11" t="n">
        <f aca="false">AF74*AF19</f>
        <v>0</v>
      </c>
      <c r="AG75" s="11" t="n">
        <f aca="false">AG74*AG19</f>
        <v>0</v>
      </c>
      <c r="AH75" s="11" t="n">
        <f aca="false">AH74*AH19</f>
        <v>0</v>
      </c>
      <c r="AI75" s="11" t="n">
        <f aca="false">AI74*AI19</f>
        <v>0</v>
      </c>
      <c r="AJ75" s="11" t="n">
        <f aca="false">AJ74*AJ19</f>
        <v>0</v>
      </c>
      <c r="AK75" s="11" t="n">
        <f aca="false">AK74*AK19</f>
        <v>0</v>
      </c>
      <c r="AL75" s="11" t="n">
        <f aca="false">AL74*AL19</f>
        <v>0</v>
      </c>
      <c r="AM75" s="11" t="n">
        <f aca="false">AM74*AM19</f>
        <v>3.34358077109185</v>
      </c>
      <c r="AN75" s="11" t="n">
        <f aca="false">AN74*AN19</f>
        <v>0</v>
      </c>
      <c r="AO75" s="11" t="n">
        <f aca="false">AO74*AO19</f>
        <v>0</v>
      </c>
      <c r="AP75" s="11" t="n">
        <f aca="false">AP74*AP19</f>
        <v>0</v>
      </c>
      <c r="AQ75" s="11" t="n">
        <f aca="false">AQ74*AQ19</f>
        <v>0</v>
      </c>
      <c r="AR75" s="11" t="n">
        <f aca="false">AR74*AR19</f>
        <v>0</v>
      </c>
      <c r="AS75" s="11" t="n">
        <f aca="false">AS74*AS19</f>
        <v>0</v>
      </c>
      <c r="AT75" s="11" t="n">
        <f aca="false">AT74*AT19</f>
        <v>0</v>
      </c>
      <c r="AU75" s="11" t="n">
        <f aca="false">AU74*AU19</f>
        <v>15.9077163755566</v>
      </c>
      <c r="AV75" s="11" t="n">
        <f aca="false">AV74*AV19</f>
        <v>0</v>
      </c>
      <c r="AW75" s="11" t="n">
        <f aca="false">AW74*AW19</f>
        <v>0</v>
      </c>
      <c r="AX75" s="11" t="n">
        <f aca="false">AX74*AX19</f>
        <v>0</v>
      </c>
      <c r="AY75" s="11" t="n">
        <f aca="false">AY74*AY19</f>
        <v>0</v>
      </c>
      <c r="AZ75" s="11" t="n">
        <f aca="false">AZ74*AZ19</f>
        <v>0</v>
      </c>
      <c r="BA75" s="11" t="n">
        <f aca="false">BA74*BA19</f>
        <v>0</v>
      </c>
      <c r="BB75" s="11" t="n">
        <f aca="false">BB74*BB19</f>
        <v>0</v>
      </c>
      <c r="BC75" s="11" t="n">
        <f aca="false">BC74*BC19</f>
        <v>4.01066962286349</v>
      </c>
      <c r="BD75" s="11" t="n">
        <f aca="false">BD74*BD19</f>
        <v>0</v>
      </c>
      <c r="BE75" s="11" t="n">
        <f aca="false">BE74*BE19</f>
        <v>0</v>
      </c>
      <c r="BF75" s="11" t="n">
        <f aca="false">BF74*BF19</f>
        <v>0</v>
      </c>
      <c r="BG75" s="11" t="n">
        <f aca="false">BG74*BG19</f>
        <v>0</v>
      </c>
      <c r="BH75" s="11" t="n">
        <f aca="false">BH74*BH19</f>
        <v>0</v>
      </c>
      <c r="BI75" s="11" t="n">
        <f aca="false">BI74*BI19</f>
        <v>0</v>
      </c>
      <c r="BJ75" s="11" t="n">
        <f aca="false">BJ74*BJ19</f>
        <v>0</v>
      </c>
      <c r="BK75" s="11" t="n">
        <f aca="false">BK74*BK19</f>
        <v>19.0815174522429</v>
      </c>
      <c r="BL75" s="11" t="n">
        <f aca="false">BL74*BL19</f>
        <v>0</v>
      </c>
      <c r="BM75" s="11" t="n">
        <f aca="false">BM74*BM19</f>
        <v>0</v>
      </c>
      <c r="BN75" s="11" t="n">
        <f aca="false">BN74*BN19</f>
        <v>0</v>
      </c>
    </row>
    <row r="76" customFormat="false" ht="15" hidden="false" customHeight="false" outlineLevel="0" collapsed="false">
      <c r="D76" s="0" t="s">
        <v>524</v>
      </c>
      <c r="E76" s="0" t="s">
        <v>97</v>
      </c>
      <c r="J76" s="9" t="n">
        <f aca="false">MAX(0,MIN(Time!J28,300)-MAX(Time!J27,228))</f>
        <v>0</v>
      </c>
      <c r="K76" s="9" t="n">
        <f aca="false">MAX(0,MIN(Time!K28,300)-MAX(Time!K27,228))</f>
        <v>0</v>
      </c>
      <c r="L76" s="9" t="n">
        <f aca="false">MAX(0,MIN(Time!L28,300)-MAX(Time!L27,228))</f>
        <v>0</v>
      </c>
      <c r="M76" s="9" t="n">
        <f aca="false">MAX(0,MIN(Time!M28,300)-MAX(Time!M27,228))</f>
        <v>0</v>
      </c>
      <c r="N76" s="9" t="n">
        <f aca="false">MAX(0,MIN(Time!N28,300)-MAX(Time!N27,228))</f>
        <v>0</v>
      </c>
      <c r="O76" s="9" t="n">
        <f aca="false">MAX(0,MIN(Time!O28,300)-MAX(Time!O27,228))</f>
        <v>0</v>
      </c>
      <c r="P76" s="9" t="n">
        <f aca="false">MAX(0,MIN(Time!P28,300)-MAX(Time!P27,228))</f>
        <v>0</v>
      </c>
      <c r="Q76" s="9" t="n">
        <f aca="false">MAX(0,MIN(Time!Q28,300)-MAX(Time!Q27,228))</f>
        <v>0</v>
      </c>
      <c r="R76" s="9" t="n">
        <f aca="false">MAX(0,MIN(Time!R28,300)-MAX(Time!R27,228))</f>
        <v>0</v>
      </c>
      <c r="S76" s="9" t="n">
        <f aca="false">MAX(0,MIN(Time!S28,300)-MAX(Time!S27,228))</f>
        <v>0</v>
      </c>
      <c r="T76" s="9" t="n">
        <f aca="false">MAX(0,MIN(Time!T28,300)-MAX(Time!T27,228))</f>
        <v>0</v>
      </c>
      <c r="U76" s="9" t="n">
        <f aca="false">MAX(0,MIN(Time!U28,300)-MAX(Time!U27,228))</f>
        <v>0</v>
      </c>
      <c r="V76" s="9" t="n">
        <f aca="false">MAX(0,MIN(Time!V28,300)-MAX(Time!V27,228))</f>
        <v>0</v>
      </c>
      <c r="W76" s="9" t="n">
        <f aca="false">MAX(0,MIN(Time!W28,300)-MAX(Time!W27,228))</f>
        <v>0</v>
      </c>
      <c r="X76" s="9" t="n">
        <f aca="false">MAX(0,MIN(Time!X28,300)-MAX(Time!X27,228))</f>
        <v>0</v>
      </c>
      <c r="Y76" s="9" t="n">
        <f aca="false">MAX(0,MIN(Time!Y28,300)-MAX(Time!Y27,228))</f>
        <v>0</v>
      </c>
      <c r="Z76" s="9" t="n">
        <f aca="false">MAX(0,MIN(Time!Z28,300)-MAX(Time!Z27,228))</f>
        <v>0</v>
      </c>
      <c r="AA76" s="9" t="n">
        <f aca="false">MAX(0,MIN(Time!AA28,300)-MAX(Time!AA27,228))</f>
        <v>0</v>
      </c>
      <c r="AB76" s="9" t="n">
        <f aca="false">MAX(0,MIN(Time!AB28,300)-MAX(Time!AB27,228))</f>
        <v>0</v>
      </c>
      <c r="AC76" s="9" t="n">
        <f aca="false">MAX(0,MIN(Time!AC28,300)-MAX(Time!AC27,228))</f>
        <v>0</v>
      </c>
      <c r="AD76" s="9" t="n">
        <f aca="false">MAX(0,MIN(Time!AD28,300)-MAX(Time!AD27,228))</f>
        <v>0</v>
      </c>
      <c r="AE76" s="9" t="n">
        <f aca="false">MAX(0,MIN(Time!AE28,300)-MAX(Time!AE27,228))</f>
        <v>0</v>
      </c>
      <c r="AF76" s="9" t="n">
        <f aca="false">MAX(0,MIN(Time!AF28,300)-MAX(Time!AF27,228))</f>
        <v>0</v>
      </c>
      <c r="AG76" s="9" t="n">
        <f aca="false">MAX(0,MIN(Time!AG28,300)-MAX(Time!AG27,228))</f>
        <v>0</v>
      </c>
      <c r="AH76" s="9" t="n">
        <f aca="false">MAX(0,MIN(Time!AH28,300)-MAX(Time!AH27,228))</f>
        <v>0</v>
      </c>
      <c r="AI76" s="9" t="n">
        <f aca="false">MAX(0,MIN(Time!AI28,300)-MAX(Time!AI27,228))</f>
        <v>0</v>
      </c>
      <c r="AJ76" s="9" t="n">
        <f aca="false">MAX(0,MIN(Time!AJ28,300)-MAX(Time!AJ27,228))</f>
        <v>0</v>
      </c>
      <c r="AK76" s="9" t="n">
        <f aca="false">MAX(0,MIN(Time!AK28,300)-MAX(Time!AK27,228))</f>
        <v>0</v>
      </c>
      <c r="AL76" s="9" t="n">
        <f aca="false">MAX(0,MIN(Time!AL28,300)-MAX(Time!AL27,228))</f>
        <v>0</v>
      </c>
      <c r="AM76" s="9" t="n">
        <f aca="false">MAX(0,MIN(Time!AM28,300)-MAX(Time!AM27,228))</f>
        <v>0</v>
      </c>
      <c r="AN76" s="9" t="n">
        <f aca="false">MAX(0,MIN(Time!AN28,300)-MAX(Time!AN27,228))</f>
        <v>0</v>
      </c>
      <c r="AO76" s="9" t="n">
        <f aca="false">MAX(0,MIN(Time!AO28,300)-MAX(Time!AO27,228))</f>
        <v>0</v>
      </c>
      <c r="AP76" s="9" t="n">
        <f aca="false">MAX(0,MIN(Time!AP28,300)-MAX(Time!AP27,228))</f>
        <v>0</v>
      </c>
      <c r="AQ76" s="9" t="n">
        <f aca="false">MAX(0,MIN(Time!AQ28,300)-MAX(Time!AQ27,228))</f>
        <v>0</v>
      </c>
      <c r="AR76" s="9" t="n">
        <f aca="false">MAX(0,MIN(Time!AR28,300)-MAX(Time!AR27,228))</f>
        <v>0</v>
      </c>
      <c r="AS76" s="9" t="n">
        <f aca="false">MAX(0,MIN(Time!AS28,300)-MAX(Time!AS27,228))</f>
        <v>0</v>
      </c>
      <c r="AT76" s="9" t="n">
        <f aca="false">MAX(0,MIN(Time!AT28,300)-MAX(Time!AT27,228))</f>
        <v>0</v>
      </c>
      <c r="AU76" s="9" t="n">
        <f aca="false">MAX(0,MIN(Time!AU28,300)-MAX(Time!AU27,228))</f>
        <v>0</v>
      </c>
      <c r="AV76" s="9" t="n">
        <f aca="false">MAX(0,MIN(Time!AV28,300)-MAX(Time!AV27,228))</f>
        <v>0</v>
      </c>
      <c r="AW76" s="9" t="n">
        <f aca="false">MAX(0,MIN(Time!AW28,300)-MAX(Time!AW27,228))</f>
        <v>0</v>
      </c>
      <c r="AX76" s="9" t="n">
        <f aca="false">MAX(0,MIN(Time!AX28,300)-MAX(Time!AX27,228))</f>
        <v>0</v>
      </c>
      <c r="AY76" s="9" t="n">
        <f aca="false">MAX(0,MIN(Time!AY28,300)-MAX(Time!AY27,228))</f>
        <v>0</v>
      </c>
      <c r="AZ76" s="9" t="n">
        <f aca="false">MAX(0,MIN(Time!AZ28,300)-MAX(Time!AZ27,228))</f>
        <v>0</v>
      </c>
      <c r="BA76" s="9" t="n">
        <f aca="false">MAX(0,MIN(Time!BA28,300)-MAX(Time!BA27,228))</f>
        <v>0</v>
      </c>
      <c r="BB76" s="9" t="n">
        <f aca="false">MAX(0,MIN(Time!BB28,300)-MAX(Time!BB27,228))</f>
        <v>1</v>
      </c>
      <c r="BC76" s="9" t="n">
        <f aca="false">MAX(0,MIN(Time!BC28,300)-MAX(Time!BC27,228))</f>
        <v>6</v>
      </c>
      <c r="BD76" s="9" t="n">
        <f aca="false">MAX(0,MIN(Time!BD28,300)-MAX(Time!BD27,228))</f>
        <v>6</v>
      </c>
      <c r="BE76" s="9" t="n">
        <f aca="false">MAX(0,MIN(Time!BE28,300)-MAX(Time!BE27,228))</f>
        <v>6</v>
      </c>
      <c r="BF76" s="9" t="n">
        <f aca="false">MAX(0,MIN(Time!BF28,300)-MAX(Time!BF27,228))</f>
        <v>6</v>
      </c>
      <c r="BG76" s="9" t="n">
        <f aca="false">MAX(0,MIN(Time!BG28,300)-MAX(Time!BG27,228))</f>
        <v>6</v>
      </c>
      <c r="BH76" s="9" t="n">
        <f aca="false">MAX(0,MIN(Time!BH28,300)-MAX(Time!BH27,228))</f>
        <v>6</v>
      </c>
      <c r="BI76" s="9" t="n">
        <f aca="false">MAX(0,MIN(Time!BI28,300)-MAX(Time!BI27,228))</f>
        <v>6</v>
      </c>
      <c r="BJ76" s="9" t="n">
        <f aca="false">MAX(0,MIN(Time!BJ28,300)-MAX(Time!BJ27,228))</f>
        <v>6</v>
      </c>
      <c r="BK76" s="9" t="n">
        <f aca="false">MAX(0,MIN(Time!BK28,300)-MAX(Time!BK27,228))</f>
        <v>6</v>
      </c>
      <c r="BL76" s="9" t="n">
        <f aca="false">MAX(0,MIN(Time!BL28,300)-MAX(Time!BL27,228))</f>
        <v>6</v>
      </c>
      <c r="BM76" s="9" t="n">
        <f aca="false">MAX(0,MIN(Time!BM28,300)-MAX(Time!BM27,228))</f>
        <v>6</v>
      </c>
      <c r="BN76" s="9" t="n">
        <f aca="false">MAX(0,MIN(Time!BN28,300)-MAX(Time!BN27,228))</f>
        <v>5</v>
      </c>
    </row>
    <row r="77" customFormat="false" ht="15" hidden="false" customHeight="false" outlineLevel="0" collapsed="false">
      <c r="D77" s="0" t="s">
        <v>525</v>
      </c>
      <c r="E77" s="0" t="s">
        <v>149</v>
      </c>
      <c r="G77" s="11" t="n">
        <f aca="false">SUM(J77:BN77)</f>
        <v>21.7148455502848</v>
      </c>
      <c r="J77" s="11" t="n">
        <f aca="false">Inputs!$F$166*J19*J76/12</f>
        <v>0</v>
      </c>
      <c r="K77" s="11" t="n">
        <f aca="false">Inputs!$F$166*K19*K76/12</f>
        <v>0</v>
      </c>
      <c r="L77" s="11" t="n">
        <f aca="false">Inputs!$F$166*L19*L76/12</f>
        <v>0</v>
      </c>
      <c r="M77" s="11" t="n">
        <f aca="false">Inputs!$F$166*M19*M76/12</f>
        <v>0</v>
      </c>
      <c r="N77" s="11" t="n">
        <f aca="false">Inputs!$F$166*N19*N76/12</f>
        <v>0</v>
      </c>
      <c r="O77" s="11" t="n">
        <f aca="false">Inputs!$F$166*O19*O76/12</f>
        <v>0</v>
      </c>
      <c r="P77" s="11" t="n">
        <f aca="false">Inputs!$F$166*P19*P76/12</f>
        <v>0</v>
      </c>
      <c r="Q77" s="11" t="n">
        <f aca="false">Inputs!$F$166*Q19*Q76/12</f>
        <v>0</v>
      </c>
      <c r="R77" s="11" t="n">
        <f aca="false">Inputs!$F$166*R19*R76/12</f>
        <v>0</v>
      </c>
      <c r="S77" s="11" t="n">
        <f aca="false">Inputs!$F$166*S19*S76/12</f>
        <v>0</v>
      </c>
      <c r="T77" s="11" t="n">
        <f aca="false">Inputs!$F$166*T19*T76/12</f>
        <v>0</v>
      </c>
      <c r="U77" s="11" t="n">
        <f aca="false">Inputs!$F$166*U19*U76/12</f>
        <v>0</v>
      </c>
      <c r="V77" s="11" t="n">
        <f aca="false">Inputs!$F$166*V19*V76/12</f>
        <v>0</v>
      </c>
      <c r="W77" s="11" t="n">
        <f aca="false">Inputs!$F$166*W19*W76/12</f>
        <v>0</v>
      </c>
      <c r="X77" s="11" t="n">
        <f aca="false">Inputs!$F$166*X19*X76/12</f>
        <v>0</v>
      </c>
      <c r="Y77" s="11" t="n">
        <f aca="false">Inputs!$F$166*Y19*Y76/12</f>
        <v>0</v>
      </c>
      <c r="Z77" s="11" t="n">
        <f aca="false">Inputs!$F$166*Z19*Z76/12</f>
        <v>0</v>
      </c>
      <c r="AA77" s="11" t="n">
        <f aca="false">Inputs!$F$166*AA19*AA76/12</f>
        <v>0</v>
      </c>
      <c r="AB77" s="11" t="n">
        <f aca="false">Inputs!$F$166*AB19*AB76/12</f>
        <v>0</v>
      </c>
      <c r="AC77" s="11" t="n">
        <f aca="false">Inputs!$F$166*AC19*AC76/12</f>
        <v>0</v>
      </c>
      <c r="AD77" s="11" t="n">
        <f aca="false">Inputs!$F$166*AD19*AD76/12</f>
        <v>0</v>
      </c>
      <c r="AE77" s="11" t="n">
        <f aca="false">Inputs!$F$166*AE19*AE76/12</f>
        <v>0</v>
      </c>
      <c r="AF77" s="11" t="n">
        <f aca="false">Inputs!$F$166*AF19*AF76/12</f>
        <v>0</v>
      </c>
      <c r="AG77" s="11" t="n">
        <f aca="false">Inputs!$F$166*AG19*AG76/12</f>
        <v>0</v>
      </c>
      <c r="AH77" s="11" t="n">
        <f aca="false">Inputs!$F$166*AH19*AH76/12</f>
        <v>0</v>
      </c>
      <c r="AI77" s="11" t="n">
        <f aca="false">Inputs!$F$166*AI19*AI76/12</f>
        <v>0</v>
      </c>
      <c r="AJ77" s="11" t="n">
        <f aca="false">Inputs!$F$166*AJ19*AJ76/12</f>
        <v>0</v>
      </c>
      <c r="AK77" s="11" t="n">
        <f aca="false">Inputs!$F$166*AK19*AK76/12</f>
        <v>0</v>
      </c>
      <c r="AL77" s="11" t="n">
        <f aca="false">Inputs!$F$166*AL19*AL76/12</f>
        <v>0</v>
      </c>
      <c r="AM77" s="11" t="n">
        <f aca="false">Inputs!$F$166*AM19*AM76/12</f>
        <v>0</v>
      </c>
      <c r="AN77" s="11" t="n">
        <f aca="false">Inputs!$F$166*AN19*AN76/12</f>
        <v>0</v>
      </c>
      <c r="AO77" s="11" t="n">
        <f aca="false">Inputs!$F$166*AO19*AO76/12</f>
        <v>0</v>
      </c>
      <c r="AP77" s="11" t="n">
        <f aca="false">Inputs!$F$166*AP19*AP76/12</f>
        <v>0</v>
      </c>
      <c r="AQ77" s="11" t="n">
        <f aca="false">Inputs!$F$166*AQ19*AQ76/12</f>
        <v>0</v>
      </c>
      <c r="AR77" s="11" t="n">
        <f aca="false">Inputs!$F$166*AR19*AR76/12</f>
        <v>0</v>
      </c>
      <c r="AS77" s="11" t="n">
        <f aca="false">Inputs!$F$166*AS19*AS76/12</f>
        <v>0</v>
      </c>
      <c r="AT77" s="11" t="n">
        <f aca="false">Inputs!$F$166*AT19*AT76/12</f>
        <v>0</v>
      </c>
      <c r="AU77" s="11" t="n">
        <f aca="false">Inputs!$F$166*AU19*AU76/12</f>
        <v>0</v>
      </c>
      <c r="AV77" s="11" t="n">
        <f aca="false">Inputs!$F$166*AV19*AV76/12</f>
        <v>0</v>
      </c>
      <c r="AW77" s="11" t="n">
        <f aca="false">Inputs!$F$166*AW19*AW76/12</f>
        <v>0</v>
      </c>
      <c r="AX77" s="11" t="n">
        <f aca="false">Inputs!$F$166*AX19*AX76/12</f>
        <v>0</v>
      </c>
      <c r="AY77" s="11" t="n">
        <f aca="false">Inputs!$F$166*AY19*AY76/12</f>
        <v>0</v>
      </c>
      <c r="AZ77" s="11" t="n">
        <f aca="false">Inputs!$F$166*AZ19*AZ76/12</f>
        <v>0</v>
      </c>
      <c r="BA77" s="11" t="n">
        <f aca="false">Inputs!$F$166*BA19*BA76/12</f>
        <v>0</v>
      </c>
      <c r="BB77" s="11" t="n">
        <f aca="false">Inputs!$F$166*BB19*BB76/12</f>
        <v>0.280422631565716</v>
      </c>
      <c r="BC77" s="11" t="n">
        <f aca="false">Inputs!$F$166*BC19*BC76/12</f>
        <v>1.70177495465538</v>
      </c>
      <c r="BD77" s="11" t="n">
        <f aca="false">Inputs!$F$166*BD19*BD76/12</f>
        <v>1.72123411255037</v>
      </c>
      <c r="BE77" s="11" t="n">
        <f aca="false">Inputs!$F$166*BE19*BE76/12</f>
        <v>1.74091577861245</v>
      </c>
      <c r="BF77" s="11" t="n">
        <f aca="false">Inputs!$F$166*BF19*BF76/12</f>
        <v>1.76082249713902</v>
      </c>
      <c r="BG77" s="11" t="n">
        <f aca="false">Inputs!$F$166*BG19*BG76/12</f>
        <v>1.78095684152054</v>
      </c>
      <c r="BH77" s="11" t="n">
        <f aca="false">Inputs!$F$166*BH19*BH76/12</f>
        <v>1.80132141457322</v>
      </c>
      <c r="BI77" s="11" t="n">
        <f aca="false">Inputs!$F$166*BI19*BI76/12</f>
        <v>1.82191884887551</v>
      </c>
      <c r="BJ77" s="11" t="n">
        <f aca="false">Inputs!$F$166*BJ19*BJ76/12</f>
        <v>1.8427518071084</v>
      </c>
      <c r="BK77" s="11" t="n">
        <f aca="false">Inputs!$F$166*BK19*BK76/12</f>
        <v>1.86382298239965</v>
      </c>
      <c r="BL77" s="11" t="n">
        <f aca="false">Inputs!$F$166*BL19*BL76/12</f>
        <v>1.8851350986719</v>
      </c>
      <c r="BM77" s="11" t="n">
        <f aca="false">Inputs!$F$166*BM19*BM76/12</f>
        <v>1.90669091099484</v>
      </c>
      <c r="BN77" s="11" t="n">
        <f aca="false">Inputs!$F$166*BN19*BN76/12</f>
        <v>1.60707767161779</v>
      </c>
    </row>
    <row r="78" customFormat="false" ht="15" hidden="false" customHeight="false" outlineLevel="0" collapsed="false">
      <c r="D78" s="0" t="s">
        <v>526</v>
      </c>
      <c r="E78" s="0" t="s">
        <v>149</v>
      </c>
      <c r="G78" s="11" t="n">
        <f aca="false">SUM(J78:BN78)</f>
        <v>21.7148455502848</v>
      </c>
      <c r="J78" s="11" t="n">
        <f aca="false">Time!J32*SUM($J$77:$BN$77)</f>
        <v>0</v>
      </c>
      <c r="K78" s="11" t="n">
        <f aca="false">Time!K32*SUM($J$77:$BN$77)</f>
        <v>0</v>
      </c>
      <c r="L78" s="11" t="n">
        <f aca="false">Time!L32*SUM($J$77:$BN$77)</f>
        <v>0</v>
      </c>
      <c r="M78" s="11" t="n">
        <f aca="false">Time!M32*SUM($J$77:$BN$77)</f>
        <v>0</v>
      </c>
      <c r="N78" s="11" t="n">
        <f aca="false">Time!N32*SUM($J$77:$BN$77)</f>
        <v>0</v>
      </c>
      <c r="O78" s="11" t="n">
        <f aca="false">Time!O32*SUM($J$77:$BN$77)</f>
        <v>0</v>
      </c>
      <c r="P78" s="11" t="n">
        <f aca="false">Time!P32*SUM($J$77:$BN$77)</f>
        <v>0</v>
      </c>
      <c r="Q78" s="11" t="n">
        <f aca="false">Time!Q32*SUM($J$77:$BN$77)</f>
        <v>0</v>
      </c>
      <c r="R78" s="11" t="n">
        <f aca="false">Time!R32*SUM($J$77:$BN$77)</f>
        <v>0</v>
      </c>
      <c r="S78" s="11" t="n">
        <f aca="false">Time!S32*SUM($J$77:$BN$77)</f>
        <v>0</v>
      </c>
      <c r="T78" s="11" t="n">
        <f aca="false">Time!T32*SUM($J$77:$BN$77)</f>
        <v>0</v>
      </c>
      <c r="U78" s="11" t="n">
        <f aca="false">Time!U32*SUM($J$77:$BN$77)</f>
        <v>0</v>
      </c>
      <c r="V78" s="11" t="n">
        <f aca="false">Time!V32*SUM($J$77:$BN$77)</f>
        <v>0</v>
      </c>
      <c r="W78" s="11" t="n">
        <f aca="false">Time!W32*SUM($J$77:$BN$77)</f>
        <v>0</v>
      </c>
      <c r="X78" s="11" t="n">
        <f aca="false">Time!X32*SUM($J$77:$BN$77)</f>
        <v>0</v>
      </c>
      <c r="Y78" s="11" t="n">
        <f aca="false">Time!Y32*SUM($J$77:$BN$77)</f>
        <v>0</v>
      </c>
      <c r="Z78" s="11" t="n">
        <f aca="false">Time!Z32*SUM($J$77:$BN$77)</f>
        <v>0</v>
      </c>
      <c r="AA78" s="11" t="n">
        <f aca="false">Time!AA32*SUM($J$77:$BN$77)</f>
        <v>0</v>
      </c>
      <c r="AB78" s="11" t="n">
        <f aca="false">Time!AB32*SUM($J$77:$BN$77)</f>
        <v>0</v>
      </c>
      <c r="AC78" s="11" t="n">
        <f aca="false">Time!AC32*SUM($J$77:$BN$77)</f>
        <v>0</v>
      </c>
      <c r="AD78" s="11" t="n">
        <f aca="false">Time!AD32*SUM($J$77:$BN$77)</f>
        <v>0</v>
      </c>
      <c r="AE78" s="11" t="n">
        <f aca="false">Time!AE32*SUM($J$77:$BN$77)</f>
        <v>0</v>
      </c>
      <c r="AF78" s="11" t="n">
        <f aca="false">Time!AF32*SUM($J$77:$BN$77)</f>
        <v>0</v>
      </c>
      <c r="AG78" s="11" t="n">
        <f aca="false">Time!AG32*SUM($J$77:$BN$77)</f>
        <v>0</v>
      </c>
      <c r="AH78" s="11" t="n">
        <f aca="false">Time!AH32*SUM($J$77:$BN$77)</f>
        <v>0</v>
      </c>
      <c r="AI78" s="11" t="n">
        <f aca="false">Time!AI32*SUM($J$77:$BN$77)</f>
        <v>0</v>
      </c>
      <c r="AJ78" s="11" t="n">
        <f aca="false">Time!AJ32*SUM($J$77:$BN$77)</f>
        <v>0</v>
      </c>
      <c r="AK78" s="11" t="n">
        <f aca="false">Time!AK32*SUM($J$77:$BN$77)</f>
        <v>0</v>
      </c>
      <c r="AL78" s="11" t="n">
        <f aca="false">Time!AL32*SUM($J$77:$BN$77)</f>
        <v>0</v>
      </c>
      <c r="AM78" s="11" t="n">
        <f aca="false">Time!AM32*SUM($J$77:$BN$77)</f>
        <v>0</v>
      </c>
      <c r="AN78" s="11" t="n">
        <f aca="false">Time!AN32*SUM($J$77:$BN$77)</f>
        <v>0</v>
      </c>
      <c r="AO78" s="11" t="n">
        <f aca="false">Time!AO32*SUM($J$77:$BN$77)</f>
        <v>0</v>
      </c>
      <c r="AP78" s="11" t="n">
        <f aca="false">Time!AP32*SUM($J$77:$BN$77)</f>
        <v>0</v>
      </c>
      <c r="AQ78" s="11" t="n">
        <f aca="false">Time!AQ32*SUM($J$77:$BN$77)</f>
        <v>0</v>
      </c>
      <c r="AR78" s="11" t="n">
        <f aca="false">Time!AR32*SUM($J$77:$BN$77)</f>
        <v>0</v>
      </c>
      <c r="AS78" s="11" t="n">
        <f aca="false">Time!AS32*SUM($J$77:$BN$77)</f>
        <v>0</v>
      </c>
      <c r="AT78" s="11" t="n">
        <f aca="false">Time!AT32*SUM($J$77:$BN$77)</f>
        <v>0</v>
      </c>
      <c r="AU78" s="11" t="n">
        <f aca="false">Time!AU32*SUM($J$77:$BN$77)</f>
        <v>0</v>
      </c>
      <c r="AV78" s="11" t="n">
        <f aca="false">Time!AV32*SUM($J$77:$BN$77)</f>
        <v>0</v>
      </c>
      <c r="AW78" s="11" t="n">
        <f aca="false">Time!AW32*SUM($J$77:$BN$77)</f>
        <v>0</v>
      </c>
      <c r="AX78" s="11" t="n">
        <f aca="false">Time!AX32*SUM($J$77:$BN$77)</f>
        <v>0</v>
      </c>
      <c r="AY78" s="11" t="n">
        <f aca="false">Time!AY32*SUM($J$77:$BN$77)</f>
        <v>0</v>
      </c>
      <c r="AZ78" s="11" t="n">
        <f aca="false">Time!AZ32*SUM($J$77:$BN$77)</f>
        <v>0</v>
      </c>
      <c r="BA78" s="11" t="n">
        <f aca="false">Time!BA32*SUM($J$77:$BN$77)</f>
        <v>0</v>
      </c>
      <c r="BB78" s="11" t="n">
        <f aca="false">Time!BB32*SUM($J$77:$BN$77)</f>
        <v>0</v>
      </c>
      <c r="BC78" s="11" t="n">
        <f aca="false">Time!BC32*SUM($J$77:$BN$77)</f>
        <v>0</v>
      </c>
      <c r="BD78" s="11" t="n">
        <f aca="false">Time!BD32*SUM($J$77:$BN$77)</f>
        <v>0</v>
      </c>
      <c r="BE78" s="11" t="n">
        <f aca="false">Time!BE32*SUM($J$77:$BN$77)</f>
        <v>0</v>
      </c>
      <c r="BF78" s="11" t="n">
        <f aca="false">Time!BF32*SUM($J$77:$BN$77)</f>
        <v>0</v>
      </c>
      <c r="BG78" s="11" t="n">
        <f aca="false">Time!BG32*SUM($J$77:$BN$77)</f>
        <v>0</v>
      </c>
      <c r="BH78" s="11" t="n">
        <f aca="false">Time!BH32*SUM($J$77:$BN$77)</f>
        <v>0</v>
      </c>
      <c r="BI78" s="11" t="n">
        <f aca="false">Time!BI32*SUM($J$77:$BN$77)</f>
        <v>0</v>
      </c>
      <c r="BJ78" s="11" t="n">
        <f aca="false">Time!BJ32*SUM($J$77:$BN$77)</f>
        <v>0</v>
      </c>
      <c r="BK78" s="11" t="n">
        <f aca="false">Time!BK32*SUM($J$77:$BN$77)</f>
        <v>0</v>
      </c>
      <c r="BL78" s="11" t="n">
        <f aca="false">Time!BL32*SUM($J$77:$BN$77)</f>
        <v>0</v>
      </c>
      <c r="BM78" s="11" t="n">
        <f aca="false">Time!BM32*SUM($J$77:$BN$77)</f>
        <v>0</v>
      </c>
      <c r="BN78" s="11" t="n">
        <f aca="false">Time!BN32*SUM($J$77:$BN$77)</f>
        <v>21.7148455502848</v>
      </c>
    </row>
    <row r="79" customFormat="false" ht="15" hidden="false" customHeight="false" outlineLevel="0" collapsed="false">
      <c r="D79" s="0" t="s">
        <v>527</v>
      </c>
      <c r="E79" s="0" t="s">
        <v>149</v>
      </c>
      <c r="G79" s="11" t="n">
        <f aca="false">SUM(J79:BN79)</f>
        <v>7206.99563963282</v>
      </c>
      <c r="J79" s="11" t="n">
        <f aca="false">J68+J70+J71+J72+J75+J78</f>
        <v>0</v>
      </c>
      <c r="K79" s="11" t="n">
        <f aca="false">K68+K70+K71+K72+K75+K78</f>
        <v>0</v>
      </c>
      <c r="L79" s="11" t="n">
        <f aca="false">L68+L70+L71+L72+L75+L78</f>
        <v>0</v>
      </c>
      <c r="M79" s="11" t="n">
        <f aca="false">M68+M70+M71+M72+M75+M78</f>
        <v>0</v>
      </c>
      <c r="N79" s="11" t="n">
        <f aca="false">N68+N70+N71+N72+N75+N78</f>
        <v>0</v>
      </c>
      <c r="O79" s="11" t="n">
        <f aca="false">O68+O70+O71+O72+O75+O78</f>
        <v>0</v>
      </c>
      <c r="P79" s="11" t="n">
        <f aca="false">P68+P70+P71+P72+P75+P78</f>
        <v>18.0681886461837</v>
      </c>
      <c r="Q79" s="11" t="n">
        <f aca="false">Q68+Q70+Q71+Q72+Q75+Q78</f>
        <v>118.96964523246</v>
      </c>
      <c r="R79" s="11" t="n">
        <f aca="false">R68+R70+R71+R72+R75+R78</f>
        <v>117.916525382809</v>
      </c>
      <c r="S79" s="11" t="n">
        <f aca="false">S68+S70+S71+S72+S75+S78</f>
        <v>115.692579676092</v>
      </c>
      <c r="T79" s="11" t="n">
        <f aca="false">T68+T70+T71+T72+T75+T78</f>
        <v>114.106184673081</v>
      </c>
      <c r="U79" s="11" t="n">
        <f aca="false">U68+U70+U71+U72+U75+U78</f>
        <v>116.254405469696</v>
      </c>
      <c r="V79" s="11" t="n">
        <f aca="false">V68+V70+V71+V72+V75+V78</f>
        <v>116.224480602576</v>
      </c>
      <c r="W79" s="11" t="n">
        <f aca="false">W68+W70+W71+W72+W75+W78</f>
        <v>118.373250547702</v>
      </c>
      <c r="X79" s="11" t="n">
        <f aca="false">X68+X70+X71+X72+X75+X78</f>
        <v>116.893638958967</v>
      </c>
      <c r="Y79" s="11" t="n">
        <f aca="false">Y68+Y70+Y71+Y72+Y75+Y78</f>
        <v>121.857082641795</v>
      </c>
      <c r="Z79" s="11" t="n">
        <f aca="false">Z68+Z70+Z71+Z72+Z75+Z78</f>
        <v>122.259253034721</v>
      </c>
      <c r="AA79" s="11" t="n">
        <f aca="false">AA68+AA70+AA71+AA72+AA75+AA78</f>
        <v>123.404941780128</v>
      </c>
      <c r="AB79" s="11" t="n">
        <f aca="false">AB68+AB70+AB71+AB72+AB75+AB78</f>
        <v>124.01869820136</v>
      </c>
      <c r="AC79" s="11" t="n">
        <f aca="false">AC68+AC70+AC71+AC72+AC75+AC78</f>
        <v>126.924707058089</v>
      </c>
      <c r="AD79" s="11" t="n">
        <f aca="false">AD68+AD70+AD71+AD72+AD75+AD78</f>
        <v>126.347059311736</v>
      </c>
      <c r="AE79" s="11" t="n">
        <f aca="false">AE68+AE70+AE71+AE72+AE75+AE78</f>
        <v>136.742770982782</v>
      </c>
      <c r="AF79" s="11" t="n">
        <f aca="false">AF68+AF70+AF71+AF72+AF75+AF78</f>
        <v>124.883022232089</v>
      </c>
      <c r="AG79" s="11" t="n">
        <f aca="false">AG68+AG70+AG71+AG72+AG75+AG78</f>
        <v>131.875879138443</v>
      </c>
      <c r="AH79" s="11" t="n">
        <f aca="false">AH68+AH70+AH71+AH72+AH75+AH78</f>
        <v>132.172901141713</v>
      </c>
      <c r="AI79" s="11" t="n">
        <f aca="false">AI68+AI70+AI71+AI72+AI75+AI78</f>
        <v>133.378149157265</v>
      </c>
      <c r="AJ79" s="11" t="n">
        <f aca="false">AJ68+AJ70+AJ71+AJ72+AJ75+AJ78</f>
        <v>134.040404340642</v>
      </c>
      <c r="AK79" s="11" t="n">
        <f aca="false">AK68+AK70+AK71+AK72+AK75+AK78</f>
        <v>137.170466463459</v>
      </c>
      <c r="AL79" s="11" t="n">
        <f aca="false">AL68+AL70+AL71+AL72+AL75+AL78</f>
        <v>136.933774365579</v>
      </c>
      <c r="AM79" s="11" t="n">
        <f aca="false">AM68+AM70+AM71+AM72+AM75+AM78</f>
        <v>139.123668848094</v>
      </c>
      <c r="AN79" s="11" t="n">
        <f aca="false">AN68+AN70+AN71+AN72+AN75+AN78</f>
        <v>136.94415065593</v>
      </c>
      <c r="AO79" s="11" t="n">
        <f aca="false">AO68+AO70+AO71+AO72+AO75+AO78</f>
        <v>142.526081314381</v>
      </c>
      <c r="AP79" s="11" t="n">
        <f aca="false">AP68+AP70+AP71+AP72+AP75+AP78</f>
        <v>142.845637487902</v>
      </c>
      <c r="AQ79" s="11" t="n">
        <f aca="false">AQ68+AQ70+AQ71+AQ72+AQ75+AQ78</f>
        <v>144.149679593425</v>
      </c>
      <c r="AR79" s="11" t="n">
        <f aca="false">AR68+AR70+AR71+AR72+AR75+AR78</f>
        <v>144.86453862577</v>
      </c>
      <c r="AS79" s="11" t="n">
        <f aca="false">AS68+AS70+AS71+AS72+AS75+AS78</f>
        <v>148.250377372782</v>
      </c>
      <c r="AT79" s="11" t="n">
        <f aca="false">AT68+AT70+AT71+AT72+AT75+AT78</f>
        <v>147.572592933235</v>
      </c>
      <c r="AU79" s="11" t="n">
        <f aca="false">AU68+AU70+AU71+AU72+AU75+AU78</f>
        <v>160.123285199998</v>
      </c>
      <c r="AV79" s="11" t="n">
        <f aca="false">AV68+AV70+AV71+AV72+AV75+AV78</f>
        <v>145.852461345901</v>
      </c>
      <c r="AW79" s="11" t="n">
        <f aca="false">AW68+AW70+AW71+AW72+AW75+AW78</f>
        <v>154.043686970066</v>
      </c>
      <c r="AX79" s="11" t="n">
        <f aca="false">AX68+AX70+AX71+AX72+AX75+AX78</f>
        <v>154.387613588992</v>
      </c>
      <c r="AY79" s="11" t="n">
        <f aca="false">AY68+AY70+AY71+AY72+AY75+AY78</f>
        <v>155.798496432072</v>
      </c>
      <c r="AZ79" s="11" t="n">
        <f aca="false">AZ68+AZ70+AZ71+AZ72+AZ75+AZ78</f>
        <v>156.570264418335</v>
      </c>
      <c r="BA79" s="11" t="n">
        <f aca="false">BA68+BA70+BA71+BA72+BA75+BA78</f>
        <v>160.232714141442</v>
      </c>
      <c r="BB79" s="11" t="n">
        <f aca="false">BB68+BB70+BB71+BB72+BB75+BB78</f>
        <v>159.954684375736</v>
      </c>
      <c r="BC79" s="11" t="n">
        <f aca="false">BC68+BC70+BC71+BC72+BC75+BC78</f>
        <v>162.612722413139</v>
      </c>
      <c r="BD79" s="11" t="n">
        <f aca="false">BD68+BD70+BD71+BD72+BD75+BD78</f>
        <v>159.961581918466</v>
      </c>
      <c r="BE79" s="11" t="n">
        <f aca="false">BE68+BE70+BE71+BE72+BE75+BE78</f>
        <v>166.499581130117</v>
      </c>
      <c r="BF79" s="11" t="n">
        <f aca="false">BF68+BF70+BF71+BF72+BF75+BF78</f>
        <v>166.869874005975</v>
      </c>
      <c r="BG79" s="11" t="n">
        <f aca="false">BG68+BG70+BG71+BG72+BG75+BG78</f>
        <v>168.396295599503</v>
      </c>
      <c r="BH79" s="11" t="n">
        <f aca="false">BH68+BH70+BH71+BH72+BH75+BH78</f>
        <v>169.229639310113</v>
      </c>
      <c r="BI79" s="11" t="n">
        <f aca="false">BI68+BI70+BI71+BI72+BI75+BI78</f>
        <v>173.191225509664</v>
      </c>
      <c r="BJ79" s="11" t="n">
        <f aca="false">BJ68+BJ70+BJ71+BJ72+BJ75+BJ78</f>
        <v>172.396673686712</v>
      </c>
      <c r="BK79" s="11" t="n">
        <f aca="false">BK68+BK70+BK71+BK72+BK75+BK78</f>
        <v>187.546336058657</v>
      </c>
      <c r="BL79" s="11" t="n">
        <f aca="false">BL68+BL70+BL71+BL72+BL75+BL78</f>
        <v>170.376376052889</v>
      </c>
      <c r="BM79" s="11" t="n">
        <f aca="false">BM68+BM70+BM71+BM72+BM75+BM78</f>
        <v>179.970456762744</v>
      </c>
      <c r="BN79" s="11" t="n">
        <f aca="false">BN68+BN70+BN71+BN72+BN75+BN78</f>
        <v>172.196934841417</v>
      </c>
    </row>
    <row r="80" customFormat="false" ht="15" hidden="false" customHeight="false" outlineLevel="0" collapsed="false">
      <c r="D80" s="0" t="s">
        <v>528</v>
      </c>
      <c r="E80" s="0" t="s">
        <v>149</v>
      </c>
      <c r="G80" s="11" t="n">
        <f aca="false">SUM(J80:BN80)</f>
        <v>2628.77192902305</v>
      </c>
      <c r="J80" s="11" t="n">
        <f aca="false">J52-J79+J54</f>
        <v>0</v>
      </c>
      <c r="K80" s="11" t="n">
        <f aca="false">K52-K79+K54</f>
        <v>0</v>
      </c>
      <c r="L80" s="11" t="n">
        <f aca="false">L52-L79+L54</f>
        <v>0</v>
      </c>
      <c r="M80" s="11" t="n">
        <f aca="false">M52-M79+M54</f>
        <v>0</v>
      </c>
      <c r="N80" s="11" t="n">
        <f aca="false">N52-N79+N54</f>
        <v>0</v>
      </c>
      <c r="O80" s="11" t="n">
        <f aca="false">O52-O79+O54</f>
        <v>0</v>
      </c>
      <c r="P80" s="11" t="n">
        <f aca="false">P52-P79+P54</f>
        <v>8.26170039027042</v>
      </c>
      <c r="Q80" s="11" t="n">
        <f aca="false">Q52-Q79+Q54</f>
        <v>49.4486199550185</v>
      </c>
      <c r="R80" s="11" t="n">
        <f aca="false">R52-R79+R54</f>
        <v>47.5406091835222</v>
      </c>
      <c r="S80" s="11" t="n">
        <f aca="false">S52-S79+S54</f>
        <v>45.2244011355879</v>
      </c>
      <c r="T80" s="11" t="n">
        <f aca="false">T52-T79+T54</f>
        <v>48.4557558302027</v>
      </c>
      <c r="U80" s="11" t="n">
        <f aca="false">U52-U79+U54</f>
        <v>50.7356480754295</v>
      </c>
      <c r="V80" s="11" t="n">
        <f aca="false">V52-V79+V54</f>
        <v>52.72840951095</v>
      </c>
      <c r="W80" s="11" t="n">
        <f aca="false">W52-W79+W54</f>
        <v>50.5320855462635</v>
      </c>
      <c r="X80" s="11" t="n">
        <f aca="false">X52-X79+X54</f>
        <v>51.5844169914412</v>
      </c>
      <c r="Y80" s="11" t="n">
        <f aca="false">Y52-Y79+Y54</f>
        <v>51.7154983598284</v>
      </c>
      <c r="Z80" s="11" t="n">
        <f aca="false">Z52-Z79+Z54</f>
        <v>51.9821463665356</v>
      </c>
      <c r="AA80" s="11" t="n">
        <f aca="false">AA52-AA79+AA54</f>
        <v>52.221353851369</v>
      </c>
      <c r="AB80" s="11" t="n">
        <f aca="false">AB52-AB79+AB54</f>
        <v>52.3964283563992</v>
      </c>
      <c r="AC80" s="11" t="n">
        <f aca="false">AC52-AC79+AC54</f>
        <v>52.5070317266368</v>
      </c>
      <c r="AD80" s="11" t="n">
        <f aca="false">AD52-AD79+AD54</f>
        <v>52.7169278061015</v>
      </c>
      <c r="AE80" s="11" t="n">
        <f aca="false">AE52-AE79+AE54</f>
        <v>38.8549703074505</v>
      </c>
      <c r="AF80" s="11" t="n">
        <f aca="false">AF52-AF79+AF54</f>
        <v>52.8750344916599</v>
      </c>
      <c r="AG80" s="11" t="n">
        <f aca="false">AG52-AG79+AG54</f>
        <v>53.0709908010321</v>
      </c>
      <c r="AH80" s="11" t="n">
        <f aca="false">AH52-AH79+AH54</f>
        <v>53.2240138337583</v>
      </c>
      <c r="AI80" s="11" t="n">
        <f aca="false">AI52-AI79+AI54</f>
        <v>53.4119899624854</v>
      </c>
      <c r="AJ80" s="11" t="n">
        <f aca="false">AJ52-AJ79+AJ54</f>
        <v>53.5489365962437</v>
      </c>
      <c r="AK80" s="11" t="n">
        <f aca="false">AK52-AK79+AK54</f>
        <v>53.6384029170224</v>
      </c>
      <c r="AL80" s="11" t="n">
        <f aca="false">AL52-AL79+AL54</f>
        <v>53.825201568709</v>
      </c>
      <c r="AM80" s="11" t="n">
        <f aca="false">AM52-AM79+AM54</f>
        <v>50.8139023617466</v>
      </c>
      <c r="AN80" s="11" t="n">
        <f aca="false">AN52-AN79+AN54</f>
        <v>54.2751967669584</v>
      </c>
      <c r="AO80" s="11" t="n">
        <f aca="false">AO52-AO79+AO54</f>
        <v>54.2301443533082</v>
      </c>
      <c r="AP80" s="11" t="n">
        <f aca="false">AP52-AP79+AP54</f>
        <v>54.3975863154242</v>
      </c>
      <c r="AQ80" s="11" t="n">
        <f aca="false">AQ52-AQ79+AQ54</f>
        <v>54.6026779377969</v>
      </c>
      <c r="AR80" s="11" t="n">
        <f aca="false">AR52-AR79+AR54</f>
        <v>54.7521088209594</v>
      </c>
      <c r="AS80" s="11" t="n">
        <f aca="false">AS52-AS79+AS54</f>
        <v>54.8472738390416</v>
      </c>
      <c r="AT80" s="11" t="n">
        <f aca="false">AT52-AT79+AT54</f>
        <v>55.076831096792</v>
      </c>
      <c r="AU80" s="11" t="n">
        <f aca="false">AU52-AU79+AU54</f>
        <v>38.5723479058288</v>
      </c>
      <c r="AV80" s="11" t="n">
        <f aca="false">AV52-AV79+AV54</f>
        <v>55.3113475873675</v>
      </c>
      <c r="AW80" s="11" t="n">
        <f aca="false">AW52-AW79+AW54</f>
        <v>55.4908967225231</v>
      </c>
      <c r="AX80" s="11" t="n">
        <f aca="false">AX52-AX79+AX54</f>
        <v>55.6741068955729</v>
      </c>
      <c r="AY80" s="11" t="n">
        <f aca="false">AY52-AY79+AY54</f>
        <v>55.8978992353053</v>
      </c>
      <c r="AZ80" s="11" t="n">
        <f aca="false">AZ52-AZ79+AZ54</f>
        <v>56.0609503951778</v>
      </c>
      <c r="BA80" s="11" t="n">
        <f aca="false">BA52-BA79+BA54</f>
        <v>56.1621670420655</v>
      </c>
      <c r="BB80" s="11" t="n">
        <f aca="false">BB52-BB79+BB54</f>
        <v>56.3869971682689</v>
      </c>
      <c r="BC80" s="11" t="n">
        <f aca="false">BC52-BC79+BC54</f>
        <v>52.7789227617678</v>
      </c>
      <c r="BD80" s="11" t="n">
        <f aca="false">BD52-BD79+BD54</f>
        <v>56.92838633368</v>
      </c>
      <c r="BE80" s="11" t="n">
        <f aca="false">BE52-BE79+BE54</f>
        <v>56.8622896893965</v>
      </c>
      <c r="BF80" s="11" t="n">
        <f aca="false">BF52-BF79+BF54</f>
        <v>57.0627428997619</v>
      </c>
      <c r="BG80" s="11" t="n">
        <f aca="false">BG52-BG79+BG54</f>
        <v>57.3069699261398</v>
      </c>
      <c r="BH80" s="11" t="n">
        <f aca="false">BH52-BH79+BH54</f>
        <v>57.4848805149485</v>
      </c>
      <c r="BI80" s="11" t="n">
        <f aca="false">BI52-BI79+BI54</f>
        <v>57.5925226697471</v>
      </c>
      <c r="BJ80" s="11" t="n">
        <f aca="false">BJ52-BJ79+BJ54</f>
        <v>57.8696686510322</v>
      </c>
      <c r="BK80" s="11" t="n">
        <f aca="false">BK52-BK79+BK54</f>
        <v>38.1966990392571</v>
      </c>
      <c r="BL80" s="11" t="n">
        <f aca="false">BL52-BL79+BL54</f>
        <v>58.1965838186532</v>
      </c>
      <c r="BM80" s="11" t="n">
        <f aca="false">BM52-BM79+BM54</f>
        <v>58.3541794629647</v>
      </c>
      <c r="BN80" s="11" t="n">
        <f aca="false">BN52-BN79+BN54</f>
        <v>27.0850752476498</v>
      </c>
    </row>
    <row r="81" customFormat="false" ht="15" hidden="false" customHeight="false" outlineLevel="0" collapsed="false">
      <c r="B81" s="2" t="s">
        <v>529</v>
      </c>
    </row>
    <row r="82" customFormat="false" ht="15" hidden="false" customHeight="false" outlineLevel="0" collapsed="false">
      <c r="D82" s="0" t="s">
        <v>530</v>
      </c>
      <c r="E82" s="0" t="s">
        <v>113</v>
      </c>
      <c r="J82" s="9" t="n">
        <f aca="false">IF(Time!J17&gt;=Time!$F$14,1,0)</f>
        <v>0</v>
      </c>
      <c r="K82" s="9" t="n">
        <f aca="false">IF(Time!K17&gt;=Time!$F$14,1,0)</f>
        <v>0</v>
      </c>
      <c r="L82" s="9" t="n">
        <f aca="false">IF(Time!L17&gt;=Time!$F$14,1,0)</f>
        <v>0</v>
      </c>
      <c r="M82" s="9" t="n">
        <f aca="false">IF(Time!M17&gt;=Time!$F$14,1,0)</f>
        <v>0</v>
      </c>
      <c r="N82" s="9" t="n">
        <f aca="false">IF(Time!N17&gt;=Time!$F$14,1,0)</f>
        <v>0</v>
      </c>
      <c r="O82" s="9" t="n">
        <f aca="false">IF(Time!O17&gt;=Time!$F$14,1,0)</f>
        <v>0</v>
      </c>
      <c r="P82" s="9" t="n">
        <f aca="false">IF(Time!P17&gt;=Time!$F$14,1,0)</f>
        <v>0</v>
      </c>
      <c r="Q82" s="9" t="n">
        <f aca="false">IF(Time!Q17&gt;=Time!$F$14,1,0)</f>
        <v>0</v>
      </c>
      <c r="R82" s="9" t="n">
        <f aca="false">IF(Time!R17&gt;=Time!$F$14,1,0)</f>
        <v>0</v>
      </c>
      <c r="S82" s="9" t="n">
        <f aca="false">IF(Time!S17&gt;=Time!$F$14,1,0)</f>
        <v>0</v>
      </c>
      <c r="T82" s="9" t="n">
        <f aca="false">IF(Time!T17&gt;=Time!$F$14,1,0)</f>
        <v>0</v>
      </c>
      <c r="U82" s="9" t="n">
        <f aca="false">IF(Time!U17&gt;=Time!$F$14,1,0)</f>
        <v>0</v>
      </c>
      <c r="V82" s="9" t="n">
        <f aca="false">IF(Time!V17&gt;=Time!$F$14,1,0)</f>
        <v>0</v>
      </c>
      <c r="W82" s="9" t="n">
        <f aca="false">IF(Time!W17&gt;=Time!$F$14,1,0)</f>
        <v>0</v>
      </c>
      <c r="X82" s="9" t="n">
        <f aca="false">IF(Time!X17&gt;=Time!$F$14,1,0)</f>
        <v>0</v>
      </c>
      <c r="Y82" s="9" t="n">
        <f aca="false">IF(Time!Y17&gt;=Time!$F$14,1,0)</f>
        <v>0</v>
      </c>
      <c r="Z82" s="9" t="n">
        <f aca="false">IF(Time!Z17&gt;=Time!$F$14,1,0)</f>
        <v>0</v>
      </c>
      <c r="AA82" s="9" t="n">
        <f aca="false">IF(Time!AA17&gt;=Time!$F$14,1,0)</f>
        <v>0</v>
      </c>
      <c r="AB82" s="9" t="n">
        <f aca="false">IF(Time!AB17&gt;=Time!$F$14,1,0)</f>
        <v>0</v>
      </c>
      <c r="AC82" s="9" t="n">
        <f aca="false">IF(Time!AC17&gt;=Time!$F$14,1,0)</f>
        <v>0</v>
      </c>
      <c r="AD82" s="9" t="n">
        <f aca="false">IF(Time!AD17&gt;=Time!$F$14,1,0)</f>
        <v>0</v>
      </c>
      <c r="AE82" s="9" t="n">
        <f aca="false">IF(Time!AE17&gt;=Time!$F$14,1,0)</f>
        <v>0</v>
      </c>
      <c r="AF82" s="9" t="n">
        <f aca="false">IF(Time!AF17&gt;=Time!$F$14,1,0)</f>
        <v>0</v>
      </c>
      <c r="AG82" s="9" t="n">
        <f aca="false">IF(Time!AG17&gt;=Time!$F$14,1,0)</f>
        <v>0</v>
      </c>
      <c r="AH82" s="9" t="n">
        <f aca="false">IF(Time!AH17&gt;=Time!$F$14,1,0)</f>
        <v>0</v>
      </c>
      <c r="AI82" s="9" t="n">
        <f aca="false">IF(Time!AI17&gt;=Time!$F$14,1,0)</f>
        <v>0</v>
      </c>
      <c r="AJ82" s="9" t="n">
        <f aca="false">IF(Time!AJ17&gt;=Time!$F$14,1,0)</f>
        <v>0</v>
      </c>
      <c r="AK82" s="9" t="n">
        <f aca="false">IF(Time!AK17&gt;=Time!$F$14,1,0)</f>
        <v>0</v>
      </c>
      <c r="AL82" s="9" t="n">
        <f aca="false">IF(Time!AL17&gt;=Time!$F$14,1,0)</f>
        <v>0</v>
      </c>
      <c r="AM82" s="9" t="n">
        <f aca="false">IF(Time!AM17&gt;=Time!$F$14,1,0)</f>
        <v>0</v>
      </c>
      <c r="AN82" s="9" t="n">
        <f aca="false">IF(Time!AN17&gt;=Time!$F$14,1,0)</f>
        <v>0</v>
      </c>
      <c r="AO82" s="9" t="n">
        <f aca="false">IF(Time!AO17&gt;=Time!$F$14,1,0)</f>
        <v>0</v>
      </c>
      <c r="AP82" s="9" t="n">
        <f aca="false">IF(Time!AP17&gt;=Time!$F$14,1,0)</f>
        <v>0</v>
      </c>
      <c r="AQ82" s="9" t="n">
        <f aca="false">IF(Time!AQ17&gt;=Time!$F$14,1,0)</f>
        <v>0</v>
      </c>
      <c r="AR82" s="9" t="n">
        <f aca="false">IF(Time!AR17&gt;=Time!$F$14,1,0)</f>
        <v>0</v>
      </c>
      <c r="AS82" s="9" t="n">
        <f aca="false">IF(Time!AS17&gt;=Time!$F$14,1,0)</f>
        <v>0</v>
      </c>
      <c r="AT82" s="9" t="n">
        <f aca="false">IF(Time!AT17&gt;=Time!$F$14,1,0)</f>
        <v>0</v>
      </c>
      <c r="AU82" s="9" t="n">
        <f aca="false">IF(Time!AU17&gt;=Time!$F$14,1,0)</f>
        <v>0</v>
      </c>
      <c r="AV82" s="9" t="n">
        <f aca="false">IF(Time!AV17&gt;=Time!$F$14,1,0)</f>
        <v>0</v>
      </c>
      <c r="AW82" s="9" t="n">
        <f aca="false">IF(Time!AW17&gt;=Time!$F$14,1,0)</f>
        <v>0</v>
      </c>
      <c r="AX82" s="9" t="n">
        <f aca="false">IF(Time!AX17&gt;=Time!$F$14,1,0)</f>
        <v>0</v>
      </c>
      <c r="AY82" s="9" t="n">
        <f aca="false">IF(Time!AY17&gt;=Time!$F$14,1,0)</f>
        <v>0</v>
      </c>
      <c r="AZ82" s="9" t="n">
        <f aca="false">IF(Time!AZ17&gt;=Time!$F$14,1,0)</f>
        <v>0</v>
      </c>
      <c r="BA82" s="9" t="n">
        <f aca="false">IF(Time!BA17&gt;=Time!$F$14,1,0)</f>
        <v>0</v>
      </c>
      <c r="BB82" s="9" t="n">
        <f aca="false">IF(Time!BB17&gt;=Time!$F$14,1,0)</f>
        <v>0</v>
      </c>
      <c r="BC82" s="9" t="n">
        <f aca="false">IF(Time!BC17&gt;=Time!$F$14,1,0)</f>
        <v>0</v>
      </c>
      <c r="BD82" s="9" t="n">
        <f aca="false">IF(Time!BD17&gt;=Time!$F$14,1,0)</f>
        <v>0</v>
      </c>
      <c r="BE82" s="9" t="n">
        <f aca="false">IF(Time!BE17&gt;=Time!$F$14,1,0)</f>
        <v>0</v>
      </c>
      <c r="BF82" s="9" t="n">
        <f aca="false">IF(Time!BF17&gt;=Time!$F$14,1,0)</f>
        <v>0</v>
      </c>
      <c r="BG82" s="9" t="n">
        <f aca="false">IF(Time!BG17&gt;=Time!$F$14,1,0)</f>
        <v>0</v>
      </c>
      <c r="BH82" s="9" t="n">
        <f aca="false">IF(Time!BH17&gt;=Time!$F$14,1,0)</f>
        <v>0</v>
      </c>
      <c r="BI82" s="9" t="n">
        <f aca="false">IF(Time!BI17&gt;=Time!$F$14,1,0)</f>
        <v>0</v>
      </c>
      <c r="BJ82" s="9" t="n">
        <f aca="false">IF(Time!BJ17&gt;=Time!$F$14,1,0)</f>
        <v>0</v>
      </c>
      <c r="BK82" s="9" t="n">
        <f aca="false">IF(Time!BK17&gt;=Time!$F$14,1,0)</f>
        <v>0</v>
      </c>
      <c r="BL82" s="9" t="n">
        <f aca="false">IF(Time!BL17&gt;=Time!$F$14,1,0)</f>
        <v>0</v>
      </c>
      <c r="BM82" s="9" t="n">
        <f aca="false">IF(Time!BM17&gt;=Time!$F$14,1,0)</f>
        <v>0</v>
      </c>
      <c r="BN82" s="9" t="n">
        <f aca="false">IF(Time!BN17&gt;=Time!$F$14,1,0)</f>
        <v>1</v>
      </c>
    </row>
    <row r="83" customFormat="false" ht="15" hidden="false" customHeight="false" outlineLevel="0" collapsed="false">
      <c r="D83" s="0" t="s">
        <v>531</v>
      </c>
      <c r="E83" s="0" t="s">
        <v>111</v>
      </c>
      <c r="J83" s="9" t="n">
        <f aca="false">Inputs!$F$44*Time!J33</f>
        <v>0</v>
      </c>
      <c r="K83" s="9" t="n">
        <f aca="false">Inputs!$F$44*Time!K33</f>
        <v>0</v>
      </c>
      <c r="L83" s="9" t="n">
        <f aca="false">Inputs!$F$44*Time!L33</f>
        <v>0</v>
      </c>
      <c r="M83" s="9" t="n">
        <f aca="false">Inputs!$F$44*Time!M33</f>
        <v>0</v>
      </c>
      <c r="N83" s="9" t="n">
        <f aca="false">Inputs!$F$44*Time!N33</f>
        <v>0</v>
      </c>
      <c r="O83" s="9" t="n">
        <f aca="false">Inputs!$F$44*Time!O33</f>
        <v>0</v>
      </c>
      <c r="P83" s="9" t="n">
        <f aca="false">Inputs!$F$44*Time!P33</f>
        <v>0</v>
      </c>
      <c r="Q83" s="9" t="n">
        <f aca="false">Inputs!$F$44*Time!Q33</f>
        <v>0</v>
      </c>
      <c r="R83" s="9" t="n">
        <f aca="false">Inputs!$F$44*Time!R33</f>
        <v>0</v>
      </c>
      <c r="S83" s="9" t="n">
        <f aca="false">Inputs!$F$44*Time!S33</f>
        <v>0</v>
      </c>
      <c r="T83" s="9" t="n">
        <f aca="false">Inputs!$F$44*Time!T33</f>
        <v>0</v>
      </c>
      <c r="U83" s="9" t="n">
        <f aca="false">Inputs!$F$44*Time!U33</f>
        <v>0</v>
      </c>
      <c r="V83" s="9" t="n">
        <f aca="false">Inputs!$F$44*Time!V33</f>
        <v>0</v>
      </c>
      <c r="W83" s="9" t="n">
        <f aca="false">Inputs!$F$44*Time!W33</f>
        <v>0</v>
      </c>
      <c r="X83" s="9" t="n">
        <f aca="false">Inputs!$F$44*Time!X33</f>
        <v>0</v>
      </c>
      <c r="Y83" s="9" t="n">
        <f aca="false">Inputs!$F$44*Time!Y33</f>
        <v>0</v>
      </c>
      <c r="Z83" s="9" t="n">
        <f aca="false">Inputs!$F$44*Time!Z33</f>
        <v>0</v>
      </c>
      <c r="AA83" s="9" t="n">
        <f aca="false">Inputs!$F$44*Time!AA33</f>
        <v>0</v>
      </c>
      <c r="AB83" s="9" t="n">
        <f aca="false">Inputs!$F$44*Time!AB33</f>
        <v>0</v>
      </c>
      <c r="AC83" s="9" t="n">
        <f aca="false">Inputs!$F$44*Time!AC33</f>
        <v>0</v>
      </c>
      <c r="AD83" s="9" t="n">
        <f aca="false">Inputs!$F$44*Time!AD33</f>
        <v>0</v>
      </c>
      <c r="AE83" s="9" t="n">
        <f aca="false">Inputs!$F$44*Time!AE33</f>
        <v>0</v>
      </c>
      <c r="AF83" s="9" t="n">
        <f aca="false">Inputs!$F$44*Time!AF33</f>
        <v>0</v>
      </c>
      <c r="AG83" s="9" t="n">
        <f aca="false">Inputs!$F$44*Time!AG33</f>
        <v>0</v>
      </c>
      <c r="AH83" s="9" t="n">
        <f aca="false">Inputs!$F$44*Time!AH33</f>
        <v>0</v>
      </c>
      <c r="AI83" s="9" t="n">
        <f aca="false">Inputs!$F$44*Time!AI33</f>
        <v>0</v>
      </c>
      <c r="AJ83" s="9" t="n">
        <f aca="false">Inputs!$F$44*Time!AJ33</f>
        <v>0</v>
      </c>
      <c r="AK83" s="9" t="n">
        <f aca="false">Inputs!$F$44*Time!AK33</f>
        <v>0</v>
      </c>
      <c r="AL83" s="9" t="n">
        <f aca="false">Inputs!$F$44*Time!AL33</f>
        <v>0</v>
      </c>
      <c r="AM83" s="9" t="n">
        <f aca="false">Inputs!$F$44*Time!AM33</f>
        <v>0</v>
      </c>
      <c r="AN83" s="9" t="n">
        <f aca="false">Inputs!$F$44*Time!AN33</f>
        <v>0</v>
      </c>
      <c r="AO83" s="9" t="n">
        <f aca="false">Inputs!$F$44*Time!AO33</f>
        <v>0</v>
      </c>
      <c r="AP83" s="9" t="n">
        <f aca="false">Inputs!$F$44*Time!AP33</f>
        <v>0</v>
      </c>
      <c r="AQ83" s="9" t="n">
        <f aca="false">Inputs!$F$44*Time!AQ33</f>
        <v>0</v>
      </c>
      <c r="AR83" s="9" t="n">
        <f aca="false">Inputs!$F$44*Time!AR33</f>
        <v>0</v>
      </c>
      <c r="AS83" s="9" t="n">
        <f aca="false">Inputs!$F$44*Time!AS33</f>
        <v>0</v>
      </c>
      <c r="AT83" s="9" t="n">
        <f aca="false">Inputs!$F$44*Time!AT33</f>
        <v>0</v>
      </c>
      <c r="AU83" s="9" t="n">
        <f aca="false">Inputs!$F$44*Time!AU33</f>
        <v>0</v>
      </c>
      <c r="AV83" s="9" t="n">
        <f aca="false">Inputs!$F$44*Time!AV33</f>
        <v>0</v>
      </c>
      <c r="AW83" s="9" t="n">
        <f aca="false">Inputs!$F$44*Time!AW33</f>
        <v>0</v>
      </c>
      <c r="AX83" s="9" t="n">
        <f aca="false">Inputs!$F$44*Time!AX33</f>
        <v>0</v>
      </c>
      <c r="AY83" s="9" t="n">
        <f aca="false">Inputs!$F$44*Time!AY33</f>
        <v>0</v>
      </c>
      <c r="AZ83" s="9" t="n">
        <f aca="false">Inputs!$F$44*Time!AZ33</f>
        <v>0</v>
      </c>
      <c r="BA83" s="9" t="n">
        <f aca="false">Inputs!$F$44*Time!BA33</f>
        <v>0</v>
      </c>
      <c r="BB83" s="9" t="n">
        <f aca="false">Inputs!$F$44*Time!BB33</f>
        <v>0</v>
      </c>
      <c r="BC83" s="9" t="n">
        <f aca="false">Inputs!$F$44*Time!BC33</f>
        <v>0</v>
      </c>
      <c r="BD83" s="9" t="n">
        <f aca="false">Inputs!$F$44*Time!BD33</f>
        <v>0</v>
      </c>
      <c r="BE83" s="9" t="n">
        <f aca="false">Inputs!$F$44*Time!BE33</f>
        <v>0</v>
      </c>
      <c r="BF83" s="9" t="n">
        <f aca="false">Inputs!$F$44*Time!BF33</f>
        <v>0</v>
      </c>
      <c r="BG83" s="9" t="n">
        <f aca="false">Inputs!$F$44*Time!BG33</f>
        <v>0</v>
      </c>
      <c r="BH83" s="9" t="n">
        <f aca="false">Inputs!$F$44*Time!BH33</f>
        <v>0</v>
      </c>
      <c r="BI83" s="9" t="n">
        <f aca="false">Inputs!$F$44*Time!BI33</f>
        <v>0</v>
      </c>
      <c r="BJ83" s="9" t="n">
        <f aca="false">Inputs!$F$44*Time!BJ33</f>
        <v>0</v>
      </c>
      <c r="BK83" s="9" t="n">
        <f aca="false">Inputs!$F$44*Time!BK33</f>
        <v>0</v>
      </c>
      <c r="BL83" s="9" t="n">
        <f aca="false">Inputs!$F$44*Time!BL33</f>
        <v>0</v>
      </c>
      <c r="BM83" s="9" t="n">
        <f aca="false">Inputs!$F$44*Time!BM33</f>
        <v>0</v>
      </c>
      <c r="BN83" s="9" t="n">
        <f aca="false">Inputs!$F$44*Time!BN33</f>
        <v>0</v>
      </c>
    </row>
    <row r="84" customFormat="false" ht="15" hidden="false" customHeight="false" outlineLevel="0" collapsed="false">
      <c r="D84" s="0" t="s">
        <v>532</v>
      </c>
      <c r="E84" s="0" t="s">
        <v>149</v>
      </c>
      <c r="J84" s="11" t="n">
        <f aca="false">(1-J82)*(J52/MAX(Time!J26,1)*Inputs!$F$168+J51/MAX(Time!J26,1)*J83)</f>
        <v>0</v>
      </c>
      <c r="K84" s="11" t="n">
        <f aca="false">(1-K82)*(K52/MAX(Time!K26,1)*Inputs!$F$168+K51/MAX(Time!K26,1)*K83)</f>
        <v>0</v>
      </c>
      <c r="L84" s="11" t="n">
        <f aca="false">(1-L82)*(L52/MAX(Time!L26,1)*Inputs!$F$168+L51/MAX(Time!L26,1)*L83)</f>
        <v>0</v>
      </c>
      <c r="M84" s="11" t="n">
        <f aca="false">(1-M82)*(M52/MAX(Time!M26,1)*Inputs!$F$168+M51/MAX(Time!M26,1)*M83)</f>
        <v>0</v>
      </c>
      <c r="N84" s="11" t="n">
        <f aca="false">(1-N82)*(N52/MAX(Time!N26,1)*Inputs!$F$168+N51/MAX(Time!N26,1)*N83)</f>
        <v>0</v>
      </c>
      <c r="O84" s="11" t="n">
        <f aca="false">(1-O82)*(O52/MAX(Time!O26,1)*Inputs!$F$168+O51/MAX(Time!O26,1)*O83)</f>
        <v>0</v>
      </c>
      <c r="P84" s="11" t="n">
        <f aca="false">(1-P82)*(P52/MAX(Time!P26,1)*Inputs!$F$168+P51/MAX(Time!P26,1)*P83)</f>
        <v>38.2208066658204</v>
      </c>
      <c r="Q84" s="11" t="n">
        <f aca="false">(1-Q82)*(Q52/MAX(Time!Q26,1)*Inputs!$F$168+Q51/MAX(Time!Q26,1)*Q83)</f>
        <v>41.8719443836271</v>
      </c>
      <c r="R84" s="11" t="n">
        <f aca="false">(1-R82)*(R52/MAX(Time!R26,1)*Inputs!$F$168+R51/MAX(Time!R26,1)*R83)</f>
        <v>40.4650600841572</v>
      </c>
      <c r="S84" s="11" t="n">
        <f aca="false">(1-S82)*(S52/MAX(Time!S26,1)*Inputs!$F$168+S51/MAX(Time!S26,1)*S83)</f>
        <v>40.0069841796993</v>
      </c>
      <c r="T84" s="11" t="n">
        <f aca="false">(1-T82)*(T52/MAX(Time!T26,1)*Inputs!$F$168+T51/MAX(Time!T26,1)*T83)</f>
        <v>39.7569963187378</v>
      </c>
      <c r="U84" s="11" t="n">
        <f aca="false">(1-U82)*(U52/MAX(Time!U26,1)*Inputs!$F$168+U51/MAX(Time!U26,1)*U83)</f>
        <v>41.0304088438496</v>
      </c>
      <c r="V84" s="11" t="n">
        <f aca="false">(1-V82)*(V52/MAX(Time!V26,1)*Inputs!$F$168+V51/MAX(Time!V26,1)*V83)</f>
        <v>40.8089350826559</v>
      </c>
      <c r="W84" s="11" t="n">
        <f aca="false">(1-W82)*(W52/MAX(Time!W26,1)*Inputs!$F$168+W51/MAX(Time!W26,1)*W83)</f>
        <v>41.4735034493285</v>
      </c>
      <c r="X84" s="11" t="n">
        <f aca="false">(1-X82)*(X52/MAX(Time!X26,1)*Inputs!$F$168+X51/MAX(Time!X26,1)*X83)</f>
        <v>41.203872379176</v>
      </c>
      <c r="Y84" s="11" t="n">
        <f aca="false">(1-Y82)*(Y52/MAX(Time!Y26,1)*Inputs!$F$168+Y51/MAX(Time!Y26,1)*Y83)</f>
        <v>43.1534041164257</v>
      </c>
      <c r="Z84" s="11" t="n">
        <f aca="false">(1-Z82)*(Z52/MAX(Time!Z26,1)*Inputs!$F$168+Z51/MAX(Time!Z26,1)*Z83)</f>
        <v>42.6133857231334</v>
      </c>
      <c r="AA84" s="11" t="n">
        <f aca="false">(1-AA82)*(AA52/MAX(Time!AA26,1)*Inputs!$F$168+AA51/MAX(Time!AA26,1)*AA83)</f>
        <v>43.6639961514771</v>
      </c>
      <c r="AB84" s="11" t="n">
        <f aca="false">(1-AB82)*(AB52/MAX(Time!AB26,1)*Inputs!$F$168+AB51/MAX(Time!AB26,1)*AB83)</f>
        <v>43.1450037777128</v>
      </c>
      <c r="AC84" s="11" t="n">
        <f aca="false">(1-AC82)*(AC52/MAX(Time!AC26,1)*Inputs!$F$168+AC51/MAX(Time!AC26,1)*AC83)</f>
        <v>44.3649903588609</v>
      </c>
      <c r="AD84" s="11" t="n">
        <f aca="false">(1-AD82)*(AD52/MAX(Time!AD26,1)*Inputs!$F$168+AD51/MAX(Time!AD26,1)*AD83)</f>
        <v>43.7928229364278</v>
      </c>
      <c r="AE84" s="11" t="n">
        <f aca="false">(1-AE82)*(AE52/MAX(Time!AE26,1)*Inputs!$F$168+AE51/MAX(Time!AE26,1)*AE83)</f>
        <v>43.656897005859</v>
      </c>
      <c r="AF84" s="11" t="n">
        <f aca="false">(1-AF82)*(AF52/MAX(Time!AF26,1)*Inputs!$F$168+AF51/MAX(Time!AF26,1)*AF83)</f>
        <v>43.4734377856994</v>
      </c>
      <c r="AG84" s="11" t="n">
        <f aca="false">(1-AG82)*(AG52/MAX(Time!AG26,1)*Inputs!$F$168+AG51/MAX(Time!AG26,1)*AG83)</f>
        <v>45.9812660070519</v>
      </c>
      <c r="AH84" s="11" t="n">
        <f aca="false">(1-AH82)*(AH52/MAX(Time!AH26,1)*Inputs!$F$168+AH51/MAX(Time!AH26,1)*AH83)</f>
        <v>45.3416368146534</v>
      </c>
      <c r="AI84" s="11" t="n">
        <f aca="false">(1-AI82)*(AI52/MAX(Time!AI26,1)*Inputs!$F$168+AI51/MAX(Time!AI26,1)*AI83)</f>
        <v>46.4395373502141</v>
      </c>
      <c r="AJ84" s="11" t="n">
        <f aca="false">(1-AJ82)*(AJ52/MAX(Time!AJ26,1)*Inputs!$F$168+AJ51/MAX(Time!AJ26,1)*AJ83)</f>
        <v>45.8778279465209</v>
      </c>
      <c r="AK84" s="11" t="n">
        <f aca="false">(1-AK82)*(AK52/MAX(Time!AK26,1)*Inputs!$F$168+AK51/MAX(Time!AK26,1)*AK83)</f>
        <v>47.1780171545147</v>
      </c>
      <c r="AL84" s="11" t="n">
        <f aca="false">(1-AL82)*(AL52/MAX(Time!AL26,1)*Inputs!$F$168+AL51/MAX(Time!AL26,1)*AL83)</f>
        <v>46.6530104187117</v>
      </c>
      <c r="AM84" s="11" t="n">
        <f aca="false">(1-AM82)*(AM52/MAX(Time!AM26,1)*Inputs!$F$168+AM51/MAX(Time!AM26,1)*AM83)</f>
        <v>47.2220480908442</v>
      </c>
      <c r="AN84" s="11" t="n">
        <f aca="false">(1-AN82)*(AN52/MAX(Time!AN26,1)*Inputs!$F$168+AN51/MAX(Time!AN26,1)*AN83)</f>
        <v>46.765601271902</v>
      </c>
      <c r="AO84" s="11" t="n">
        <f aca="false">(1-AO82)*(AO52/MAX(Time!AO26,1)*Inputs!$F$168+AO51/MAX(Time!AO26,1)*AO83)</f>
        <v>48.9172936742874</v>
      </c>
      <c r="AP84" s="11" t="n">
        <f aca="false">(1-AP82)*(AP52/MAX(Time!AP26,1)*Inputs!$F$168+AP51/MAX(Time!AP26,1)*AP83)</f>
        <v>48.2388319084221</v>
      </c>
      <c r="AQ84" s="11" t="n">
        <f aca="false">(1-AQ82)*(AQ52/MAX(Time!AQ26,1)*Inputs!$F$168+AQ51/MAX(Time!AQ26,1)*AQ83)</f>
        <v>49.4135695519613</v>
      </c>
      <c r="AR84" s="11" t="n">
        <f aca="false">(1-AR82)*(AR52/MAX(Time!AR26,1)*Inputs!$F$168+AR51/MAX(Time!AR26,1)*AR83)</f>
        <v>48.8192887777328</v>
      </c>
      <c r="AS84" s="11" t="n">
        <f aca="false">(1-AS82)*(AS52/MAX(Time!AS26,1)*Inputs!$F$168+AS51/MAX(Time!AS26,1)*AS83)</f>
        <v>50.2164522227038</v>
      </c>
      <c r="AT84" s="11" t="n">
        <f aca="false">(1-AT82)*(AT52/MAX(Time!AT26,1)*Inputs!$F$168+AT51/MAX(Time!AT26,1)*AT83)</f>
        <v>49.5610004421261</v>
      </c>
      <c r="AU84" s="11" t="n">
        <f aca="false">(1-AU82)*(AU52/MAX(Time!AU26,1)*Inputs!$F$168+AU51/MAX(Time!AU26,1)*AU83)</f>
        <v>49.3994667942663</v>
      </c>
      <c r="AV84" s="11" t="n">
        <f aca="false">(1-AV82)*(AV52/MAX(Time!AV26,1)*Inputs!$F$168+AV51/MAX(Time!AV26,1)*AV83)</f>
        <v>49.1976706630277</v>
      </c>
      <c r="AW84" s="11" t="n">
        <f aca="false">(1-AW82)*(AW52/MAX(Time!AW26,1)*Inputs!$F$168+AW51/MAX(Time!AW26,1)*AW83)</f>
        <v>52.0942335147322</v>
      </c>
      <c r="AX84" s="11" t="n">
        <f aca="false">(1-AX82)*(AX52/MAX(Time!AX26,1)*Inputs!$F$168+AX51/MAX(Time!AX26,1)*AX83)</f>
        <v>51.3737903358989</v>
      </c>
      <c r="AY84" s="11" t="n">
        <f aca="false">(1-AY82)*(AY52/MAX(Time!AY26,1)*Inputs!$F$168+AY51/MAX(Time!AY26,1)*AY83)</f>
        <v>52.6317005802872</v>
      </c>
      <c r="AZ84" s="11" t="n">
        <f aca="false">(1-AZ82)*(AZ52/MAX(Time!AZ26,1)*Inputs!$F$168+AZ51/MAX(Time!AZ26,1)*AZ83)</f>
        <v>52.0021992750438</v>
      </c>
      <c r="BA84" s="11" t="n">
        <f aca="false">(1-BA82)*(BA52/MAX(Time!BA26,1)*Inputs!$F$168+BA51/MAX(Time!BA26,1)*BA83)</f>
        <v>53.5042288640541</v>
      </c>
      <c r="BB84" s="11" t="n">
        <f aca="false">(1-BB82)*(BB52/MAX(Time!BB26,1)*Inputs!$F$168+BB51/MAX(Time!BB26,1)*BB83)</f>
        <v>52.9096503776099</v>
      </c>
      <c r="BC84" s="11" t="n">
        <f aca="false">(1-BC82)*(BC52/MAX(Time!BC26,1)*Inputs!$F$168+BC51/MAX(Time!BC26,1)*BC83)</f>
        <v>53.5504090213856</v>
      </c>
      <c r="BD84" s="11" t="n">
        <f aca="false">(1-BD82)*(BD52/MAX(Time!BD26,1)*Inputs!$F$168+BD51/MAX(Time!BD26,1)*BD83)</f>
        <v>53.0437422355791</v>
      </c>
      <c r="BE84" s="11" t="n">
        <f aca="false">(1-BE82)*(BE52/MAX(Time!BE26,1)*Inputs!$F$168+BE51/MAX(Time!BE26,1)*BE83)</f>
        <v>55.5319568335807</v>
      </c>
      <c r="BF84" s="11" t="n">
        <f aca="false">(1-BF82)*(BF52/MAX(Time!BF26,1)*Inputs!$F$168+BF51/MAX(Time!BF26,1)*BF83)</f>
        <v>54.7661291345552</v>
      </c>
      <c r="BG84" s="11" t="n">
        <f aca="false">(1-BG82)*(BG52/MAX(Time!BG26,1)*Inputs!$F$168+BG51/MAX(Time!BG26,1)*BG83)</f>
        <v>56.1140715395244</v>
      </c>
      <c r="BH84" s="11" t="n">
        <f aca="false">(1-BH82)*(BH52/MAX(Time!BH26,1)*Inputs!$F$168+BH51/MAX(Time!BH26,1)*BH83)</f>
        <v>55.4464858267814</v>
      </c>
      <c r="BI84" s="11" t="n">
        <f aca="false">(1-BI82)*(BI52/MAX(Time!BI26,1)*Inputs!$F$168+BI51/MAX(Time!BI26,1)*BI83)</f>
        <v>57.0619157586456</v>
      </c>
      <c r="BJ84" s="11" t="n">
        <f aca="false">(1-BJ82)*(BJ52/MAX(Time!BJ26,1)*Inputs!$F$168+BJ51/MAX(Time!BJ26,1)*BJ83)</f>
        <v>56.315138071731</v>
      </c>
      <c r="BK84" s="11" t="n">
        <f aca="false">(1-BK82)*(BK52/MAX(Time!BK26,1)*Inputs!$F$168+BK51/MAX(Time!BK26,1)*BK83)</f>
        <v>56.1239590022439</v>
      </c>
      <c r="BL84" s="11" t="n">
        <f aca="false">(1-BL82)*(BL52/MAX(Time!BL26,1)*Inputs!$F$168+BL51/MAX(Time!BL26,1)*BL83)</f>
        <v>55.9009956207576</v>
      </c>
      <c r="BM84" s="11" t="n">
        <f aca="false">(1-BM82)*(BM52/MAX(Time!BM26,1)*Inputs!$F$168+BM51/MAX(Time!BM26,1)*BM83)</f>
        <v>59.2519813820824</v>
      </c>
      <c r="BN84" s="11" t="n">
        <f aca="false">(1-BN82)*(BN52/MAX(Time!BN26,1)*Inputs!$F$168+BN51/MAX(Time!BN26,1)*BN83)</f>
        <v>0</v>
      </c>
    </row>
    <row r="85" customFormat="false" ht="15" hidden="false" customHeight="false" outlineLevel="0" collapsed="false">
      <c r="D85" s="0" t="s">
        <v>533</v>
      </c>
      <c r="E85" s="0" t="s">
        <v>149</v>
      </c>
      <c r="J85" s="11" t="n">
        <f aca="false">Inputs!$F$45*Inputs!J219</f>
        <v>0</v>
      </c>
      <c r="K85" s="11" t="n">
        <f aca="false">Inputs!$F$45*Inputs!K219</f>
        <v>0</v>
      </c>
      <c r="L85" s="11" t="n">
        <f aca="false">Inputs!$F$45*Inputs!L219</f>
        <v>0</v>
      </c>
      <c r="M85" s="11" t="n">
        <f aca="false">Inputs!$F$45*Inputs!M219</f>
        <v>0</v>
      </c>
      <c r="N85" s="11" t="n">
        <f aca="false">Inputs!$F$45*Inputs!N219</f>
        <v>0</v>
      </c>
      <c r="O85" s="11" t="n">
        <f aca="false">Inputs!$F$45*Inputs!O219</f>
        <v>0</v>
      </c>
      <c r="P85" s="11" t="n">
        <f aca="false">Inputs!$F$45*Inputs!P219</f>
        <v>0</v>
      </c>
      <c r="Q85" s="11" t="n">
        <f aca="false">Inputs!$F$45*Inputs!Q219</f>
        <v>18.4</v>
      </c>
      <c r="R85" s="11" t="n">
        <f aca="false">Inputs!$F$45*Inputs!R219</f>
        <v>68.9</v>
      </c>
      <c r="S85" s="11" t="n">
        <f aca="false">Inputs!$F$45*Inputs!S219</f>
        <v>112.6</v>
      </c>
      <c r="T85" s="11" t="n">
        <f aca="false">Inputs!$F$45*Inputs!T219</f>
        <v>71.8</v>
      </c>
      <c r="U85" s="11" t="n">
        <f aca="false">Inputs!$F$45*Inputs!U219</f>
        <v>34.6</v>
      </c>
      <c r="V85" s="11" t="n">
        <f aca="false">Inputs!$F$45*Inputs!V219</f>
        <v>12.3</v>
      </c>
      <c r="W85" s="11" t="n">
        <f aca="false">Inputs!$F$45*Inputs!W219</f>
        <v>0</v>
      </c>
      <c r="X85" s="11" t="n">
        <f aca="false">Inputs!$F$45*Inputs!X219</f>
        <v>0</v>
      </c>
      <c r="Y85" s="11" t="n">
        <f aca="false">Inputs!$F$45*Inputs!Y219</f>
        <v>0</v>
      </c>
      <c r="Z85" s="11" t="n">
        <f aca="false">Inputs!$F$45*Inputs!Z219</f>
        <v>0</v>
      </c>
      <c r="AA85" s="11" t="n">
        <f aca="false">Inputs!$F$45*Inputs!AA219</f>
        <v>0</v>
      </c>
      <c r="AB85" s="11" t="n">
        <f aca="false">Inputs!$F$45*Inputs!AB219</f>
        <v>0</v>
      </c>
      <c r="AC85" s="11" t="n">
        <f aca="false">Inputs!$F$45*Inputs!AC219</f>
        <v>0</v>
      </c>
      <c r="AD85" s="11" t="n">
        <f aca="false">Inputs!$F$45*Inputs!AD219</f>
        <v>0</v>
      </c>
      <c r="AE85" s="11" t="n">
        <f aca="false">Inputs!$F$45*Inputs!AE219</f>
        <v>0</v>
      </c>
      <c r="AF85" s="11" t="n">
        <f aca="false">Inputs!$F$45*Inputs!AF219</f>
        <v>0</v>
      </c>
      <c r="AG85" s="11" t="n">
        <f aca="false">Inputs!$F$45*Inputs!AG219</f>
        <v>0</v>
      </c>
      <c r="AH85" s="11" t="n">
        <f aca="false">Inputs!$F$45*Inputs!AH219</f>
        <v>0</v>
      </c>
      <c r="AI85" s="11" t="n">
        <f aca="false">Inputs!$F$45*Inputs!AI219</f>
        <v>0</v>
      </c>
      <c r="AJ85" s="11" t="n">
        <f aca="false">Inputs!$F$45*Inputs!AJ219</f>
        <v>0</v>
      </c>
      <c r="AK85" s="11" t="n">
        <f aca="false">Inputs!$F$45*Inputs!AK219</f>
        <v>0</v>
      </c>
      <c r="AL85" s="11" t="n">
        <f aca="false">Inputs!$F$45*Inputs!AL219</f>
        <v>0</v>
      </c>
      <c r="AM85" s="11" t="n">
        <f aca="false">Inputs!$F$45*Inputs!AM219</f>
        <v>0</v>
      </c>
      <c r="AN85" s="11" t="n">
        <f aca="false">Inputs!$F$45*Inputs!AN219</f>
        <v>0</v>
      </c>
      <c r="AO85" s="11" t="n">
        <f aca="false">Inputs!$F$45*Inputs!AO219</f>
        <v>0</v>
      </c>
      <c r="AP85" s="11" t="n">
        <f aca="false">Inputs!$F$45*Inputs!AP219</f>
        <v>0</v>
      </c>
      <c r="AQ85" s="11" t="n">
        <f aca="false">Inputs!$F$45*Inputs!AQ219</f>
        <v>0</v>
      </c>
      <c r="AR85" s="11" t="n">
        <f aca="false">Inputs!$F$45*Inputs!AR219</f>
        <v>0</v>
      </c>
      <c r="AS85" s="11" t="n">
        <f aca="false">Inputs!$F$45*Inputs!AS219</f>
        <v>0</v>
      </c>
      <c r="AT85" s="11" t="n">
        <f aca="false">Inputs!$F$45*Inputs!AT219</f>
        <v>0</v>
      </c>
      <c r="AU85" s="11" t="n">
        <f aca="false">Inputs!$F$45*Inputs!AU219</f>
        <v>0</v>
      </c>
      <c r="AV85" s="11" t="n">
        <f aca="false">Inputs!$F$45*Inputs!AV219</f>
        <v>0</v>
      </c>
      <c r="AW85" s="11" t="n">
        <f aca="false">Inputs!$F$45*Inputs!AW219</f>
        <v>0</v>
      </c>
      <c r="AX85" s="11" t="n">
        <f aca="false">Inputs!$F$45*Inputs!AX219</f>
        <v>0</v>
      </c>
      <c r="AY85" s="11" t="n">
        <f aca="false">Inputs!$F$45*Inputs!AY219</f>
        <v>0</v>
      </c>
      <c r="AZ85" s="11" t="n">
        <f aca="false">Inputs!$F$45*Inputs!AZ219</f>
        <v>0</v>
      </c>
      <c r="BA85" s="11" t="n">
        <f aca="false">Inputs!$F$45*Inputs!BA219</f>
        <v>0</v>
      </c>
      <c r="BB85" s="11" t="n">
        <f aca="false">Inputs!$F$45*Inputs!BB219</f>
        <v>0</v>
      </c>
      <c r="BC85" s="11" t="n">
        <f aca="false">Inputs!$F$45*Inputs!BC219</f>
        <v>0</v>
      </c>
      <c r="BD85" s="11" t="n">
        <f aca="false">Inputs!$F$45*Inputs!BD219</f>
        <v>0</v>
      </c>
      <c r="BE85" s="11" t="n">
        <f aca="false">Inputs!$F$45*Inputs!BE219</f>
        <v>0</v>
      </c>
      <c r="BF85" s="11" t="n">
        <f aca="false">Inputs!$F$45*Inputs!BF219</f>
        <v>0</v>
      </c>
      <c r="BG85" s="11" t="n">
        <f aca="false">Inputs!$F$45*Inputs!BG219</f>
        <v>0</v>
      </c>
      <c r="BH85" s="11" t="n">
        <f aca="false">Inputs!$F$45*Inputs!BH219</f>
        <v>0</v>
      </c>
      <c r="BI85" s="11" t="n">
        <f aca="false">Inputs!$F$45*Inputs!BI219</f>
        <v>0</v>
      </c>
      <c r="BJ85" s="11" t="n">
        <f aca="false">Inputs!$F$45*Inputs!BJ219</f>
        <v>0</v>
      </c>
      <c r="BK85" s="11" t="n">
        <f aca="false">Inputs!$F$45*Inputs!BK219</f>
        <v>0</v>
      </c>
      <c r="BL85" s="11" t="n">
        <f aca="false">Inputs!$F$45*Inputs!BL219</f>
        <v>0</v>
      </c>
      <c r="BM85" s="11" t="n">
        <f aca="false">Inputs!$F$45*Inputs!BM219</f>
        <v>0</v>
      </c>
      <c r="BN85" s="11" t="n">
        <f aca="false">Inputs!$F$45*Inputs!BN219</f>
        <v>0</v>
      </c>
    </row>
    <row r="86" customFormat="false" ht="15" hidden="false" customHeight="false" outlineLevel="0" collapsed="false">
      <c r="D86" s="0" t="s">
        <v>534</v>
      </c>
      <c r="E86" s="0" t="s">
        <v>149</v>
      </c>
      <c r="J86" s="11" t="n">
        <f aca="false">(1-J82)*(J69+J50)/MAX(Time!J26,1)*Inputs!$F$169</f>
        <v>0</v>
      </c>
      <c r="K86" s="11" t="n">
        <f aca="false">(1-K82)*(K69+K50)/MAX(Time!K26,1)*Inputs!$F$169</f>
        <v>0</v>
      </c>
      <c r="L86" s="11" t="n">
        <f aca="false">(1-L82)*(L69+L50)/MAX(Time!L26,1)*Inputs!$F$169</f>
        <v>0</v>
      </c>
      <c r="M86" s="11" t="n">
        <f aca="false">(1-M82)*(M69+M50)/MAX(Time!M26,1)*Inputs!$F$169</f>
        <v>0</v>
      </c>
      <c r="N86" s="11" t="n">
        <f aca="false">(1-N82)*(N69+N50)/MAX(Time!N26,1)*Inputs!$F$169</f>
        <v>0</v>
      </c>
      <c r="O86" s="11" t="n">
        <f aca="false">(1-O82)*(O69+O50)/MAX(Time!O26,1)*Inputs!$F$169</f>
        <v>0</v>
      </c>
      <c r="P86" s="11" t="n">
        <f aca="false">(1-P82)*(P69+P50)/MAX(Time!P26,1)*Inputs!$F$169</f>
        <v>18.5433842576107</v>
      </c>
      <c r="Q86" s="11" t="n">
        <f aca="false">(1-Q82)*(Q69+Q50)/MAX(Time!Q26,1)*Inputs!$F$169</f>
        <v>21.3404366573573</v>
      </c>
      <c r="R86" s="11" t="n">
        <f aca="false">(1-R82)*(R69+R50)/MAX(Time!R26,1)*Inputs!$F$169</f>
        <v>20.3320752161148</v>
      </c>
      <c r="S86" s="11" t="n">
        <f aca="false">(1-S82)*(S69+S50)/MAX(Time!S26,1)*Inputs!$F$169</f>
        <v>19.627585307181</v>
      </c>
      <c r="T86" s="11" t="n">
        <f aca="false">(1-T82)*(T69+T50)/MAX(Time!T26,1)*Inputs!$F$169</f>
        <v>19.3357879735665</v>
      </c>
      <c r="U86" s="11" t="n">
        <f aca="false">(1-U82)*(U69+U50)/MAX(Time!U26,1)*Inputs!$F$169</f>
        <v>20.096856330134</v>
      </c>
      <c r="V86" s="11" t="n">
        <f aca="false">(1-V82)*(V69+V50)/MAX(Time!V26,1)*Inputs!$F$169</f>
        <v>19.7623275532841</v>
      </c>
      <c r="W86" s="11" t="n">
        <f aca="false">(1-W82)*(W69+W50)/MAX(Time!W26,1)*Inputs!$F$169</f>
        <v>19.9026835214754</v>
      </c>
      <c r="X86" s="11" t="n">
        <f aca="false">(1-X82)*(X69+X50)/MAX(Time!X26,1)*Inputs!$F$169</f>
        <v>19.690349589926</v>
      </c>
      <c r="Y86" s="11" t="n">
        <f aca="false">(1-Y82)*(Y69+Y50)/MAX(Time!Y26,1)*Inputs!$F$169</f>
        <v>21.0111589145241</v>
      </c>
      <c r="Z86" s="11" t="n">
        <f aca="false">(1-Z82)*(Z69+Z50)/MAX(Time!Z26,1)*Inputs!$F$169</f>
        <v>20.632263627445</v>
      </c>
      <c r="AA86" s="11" t="n">
        <f aca="false">(1-AA82)*(AA69+AA50)/MAX(Time!AA26,1)*Inputs!$F$169</f>
        <v>21.2190044438191</v>
      </c>
      <c r="AB86" s="11" t="n">
        <f aca="false">(1-AB82)*(AB69+AB50)/MAX(Time!AB26,1)*Inputs!$F$169</f>
        <v>20.9033931926938</v>
      </c>
      <c r="AC86" s="11" t="n">
        <f aca="false">(1-AC82)*(AC69+AC50)/MAX(Time!AC26,1)*Inputs!$F$169</f>
        <v>21.7260025028441</v>
      </c>
      <c r="AD86" s="11" t="n">
        <f aca="false">(1-AD82)*(AD69+AD50)/MAX(Time!AD26,1)*Inputs!$F$169</f>
        <v>21.2916594274373</v>
      </c>
      <c r="AE86" s="11" t="n">
        <f aca="false">(1-AE82)*(AE69+AE50)/MAX(Time!AE26,1)*Inputs!$F$169</f>
        <v>21.0645564146955</v>
      </c>
      <c r="AF86" s="11" t="n">
        <f aca="false">(1-AF82)*(AF69+AF50)/MAX(Time!AF26,1)*Inputs!$F$169</f>
        <v>20.9162487682367</v>
      </c>
      <c r="AG86" s="11" t="n">
        <f aca="false">(1-AG82)*(AG69+AG50)/MAX(Time!AG26,1)*Inputs!$F$169</f>
        <v>22.7137489467109</v>
      </c>
      <c r="AH86" s="11" t="n">
        <f aca="false">(1-AH82)*(AH69+AH50)/MAX(Time!AH26,1)*Inputs!$F$169</f>
        <v>22.3039851534732</v>
      </c>
      <c r="AI86" s="11" t="n">
        <f aca="false">(1-AI82)*(AI69+AI50)/MAX(Time!AI26,1)*Inputs!$F$169</f>
        <v>22.9380960222226</v>
      </c>
      <c r="AJ86" s="11" t="n">
        <f aca="false">(1-AJ82)*(AJ69+AJ50)/MAX(Time!AJ26,1)*Inputs!$F$169</f>
        <v>22.5967470699418</v>
      </c>
      <c r="AK86" s="11" t="n">
        <f aca="false">(1-AK82)*(AK69+AK50)/MAX(Time!AK26,1)*Inputs!$F$169</f>
        <v>23.4858201351983</v>
      </c>
      <c r="AL86" s="11" t="n">
        <f aca="false">(1-AL82)*(AL69+AL50)/MAX(Time!AL26,1)*Inputs!$F$169</f>
        <v>23.0945362777545</v>
      </c>
      <c r="AM86" s="11" t="n">
        <f aca="false">(1-AM82)*(AM69+AM50)/MAX(Time!AM26,1)*Inputs!$F$169</f>
        <v>23.2582126769335</v>
      </c>
      <c r="AN86" s="11" t="n">
        <f aca="false">(1-AN82)*(AN69+AN50)/MAX(Time!AN26,1)*Inputs!$F$169</f>
        <v>23.009737869396</v>
      </c>
      <c r="AO86" s="11" t="n">
        <f aca="false">(1-AO82)*(AO69+AO50)/MAX(Time!AO26,1)*Inputs!$F$169</f>
        <v>24.5528433341208</v>
      </c>
      <c r="AP86" s="11" t="n">
        <f aca="false">(1-AP82)*(AP69+AP50)/MAX(Time!AP26,1)*Inputs!$F$169</f>
        <v>24.1097219199398</v>
      </c>
      <c r="AQ86" s="11" t="n">
        <f aca="false">(1-AQ82)*(AQ69+AQ50)/MAX(Time!AQ26,1)*Inputs!$F$169</f>
        <v>24.794985647386</v>
      </c>
      <c r="AR86" s="11" t="n">
        <f aca="false">(1-AR82)*(AR69+AR50)/MAX(Time!AR26,1)*Inputs!$F$169</f>
        <v>24.4258214715533</v>
      </c>
      <c r="AS86" s="11" t="n">
        <f aca="false">(1-AS82)*(AS69+AS50)/MAX(Time!AS26,1)*Inputs!$F$169</f>
        <v>25.3866702597291</v>
      </c>
      <c r="AT86" s="11" t="n">
        <f aca="false">(1-AT82)*(AT69+AT50)/MAX(Time!AT26,1)*Inputs!$F$169</f>
        <v>24.8787727124802</v>
      </c>
      <c r="AU86" s="11" t="n">
        <f aca="false">(1-AU82)*(AU69+AU50)/MAX(Time!AU26,1)*Inputs!$F$169</f>
        <v>24.6130413503984</v>
      </c>
      <c r="AV86" s="11" t="n">
        <f aca="false">(1-AV82)*(AV69+AV50)/MAX(Time!AV26,1)*Inputs!$F$169</f>
        <v>24.4393853978446</v>
      </c>
      <c r="AW86" s="11" t="n">
        <f aca="false">(1-AW82)*(AW69+AW50)/MAX(Time!AW26,1)*Inputs!$F$169</f>
        <v>26.5392605270446</v>
      </c>
      <c r="AX86" s="11" t="n">
        <f aca="false">(1-AX82)*(AX69+AX50)/MAX(Time!AX26,1)*Inputs!$F$169</f>
        <v>26.0600938567513</v>
      </c>
      <c r="AY86" s="11" t="n">
        <f aca="false">(1-AY82)*(AY69+AY50)/MAX(Time!AY26,1)*Inputs!$F$169</f>
        <v>26.8005917287631</v>
      </c>
      <c r="AZ86" s="11" t="n">
        <f aca="false">(1-AZ82)*(AZ69+AZ50)/MAX(Time!AZ26,1)*Inputs!$F$169</f>
        <v>26.4013689269337</v>
      </c>
      <c r="BA86" s="11" t="n">
        <f aca="false">(1-BA82)*(BA69+BA50)/MAX(Time!BA26,1)*Inputs!$F$169</f>
        <v>27.4397249304056</v>
      </c>
      <c r="BB86" s="11" t="n">
        <f aca="false">(1-BB82)*(BB69+BB50)/MAX(Time!BB26,1)*Inputs!$F$169</f>
        <v>26.9821633638113</v>
      </c>
      <c r="BC86" s="11" t="n">
        <f aca="false">(1-BC82)*(BC69+BC50)/MAX(Time!BC26,1)*Inputs!$F$169</f>
        <v>27.1729852615363</v>
      </c>
      <c r="BD86" s="11" t="n">
        <f aca="false">(1-BD82)*(BD69+BD50)/MAX(Time!BD26,1)*Inputs!$F$169</f>
        <v>26.8822848202277</v>
      </c>
      <c r="BE86" s="11" t="n">
        <f aca="false">(1-BE82)*(BE69+BE50)/MAX(Time!BE26,1)*Inputs!$F$169</f>
        <v>28.6846653485898</v>
      </c>
      <c r="BF86" s="11" t="n">
        <f aca="false">(1-BF82)*(BF69+BF50)/MAX(Time!BF26,1)*Inputs!$F$169</f>
        <v>28.1665516238751</v>
      </c>
      <c r="BG86" s="11" t="n">
        <f aca="false">(1-BG82)*(BG69+BG50)/MAX(Time!BG26,1)*Inputs!$F$169</f>
        <v>28.9666866390723</v>
      </c>
      <c r="BH86" s="11" t="n">
        <f aca="false">(1-BH82)*(BH69+BH50)/MAX(Time!BH26,1)*Inputs!$F$169</f>
        <v>28.5349828413762</v>
      </c>
      <c r="BI86" s="11" t="n">
        <f aca="false">(1-BI82)*(BI69+BI50)/MAX(Time!BI26,1)*Inputs!$F$169</f>
        <v>29.6570297670429</v>
      </c>
      <c r="BJ86" s="11" t="n">
        <f aca="false">(1-BJ82)*(BJ69+BJ50)/MAX(Time!BJ26,1)*Inputs!$F$169</f>
        <v>29.0632604357493</v>
      </c>
      <c r="BK86" s="11" t="n">
        <f aca="false">(1-BK82)*(BK69+BK50)/MAX(Time!BK26,1)*Inputs!$F$169</f>
        <v>28.7524018136516</v>
      </c>
      <c r="BL86" s="11" t="n">
        <f aca="false">(1-BL82)*(BL69+BL50)/MAX(Time!BL26,1)*Inputs!$F$169</f>
        <v>28.5491111072881</v>
      </c>
      <c r="BM86" s="11" t="n">
        <f aca="false">(1-BM82)*(BM69+BM50)/MAX(Time!BM26,1)*Inputs!$F$169</f>
        <v>31.0016342240072</v>
      </c>
      <c r="BN86" s="11" t="n">
        <f aca="false">(1-BN82)*(BN69+BN50)/MAX(Time!BN26,1)*Inputs!$F$169</f>
        <v>0</v>
      </c>
    </row>
    <row r="87" customFormat="false" ht="15" hidden="false" customHeight="false" outlineLevel="0" collapsed="false">
      <c r="D87" s="0" t="s">
        <v>535</v>
      </c>
      <c r="E87" s="0" t="s">
        <v>149</v>
      </c>
      <c r="J87" s="11" t="n">
        <f aca="false">(1-J82)*(J48+J49)/MAX(Time!J26,1)*Inputs!$F$170</f>
        <v>0</v>
      </c>
      <c r="K87" s="11" t="n">
        <f aca="false">(1-K82)*(K48+K49)/MAX(Time!K26,1)*Inputs!$F$170</f>
        <v>0</v>
      </c>
      <c r="L87" s="11" t="n">
        <f aca="false">(1-L82)*(L48+L49)/MAX(Time!L26,1)*Inputs!$F$170</f>
        <v>0</v>
      </c>
      <c r="M87" s="11" t="n">
        <f aca="false">(1-M82)*(M48+M49)/MAX(Time!M26,1)*Inputs!$F$170</f>
        <v>0</v>
      </c>
      <c r="N87" s="11" t="n">
        <f aca="false">(1-N82)*(N48+N49)/MAX(Time!N26,1)*Inputs!$F$170</f>
        <v>0</v>
      </c>
      <c r="O87" s="11" t="n">
        <f aca="false">(1-O82)*(O48+O49)/MAX(Time!O26,1)*Inputs!$F$170</f>
        <v>0</v>
      </c>
      <c r="P87" s="11" t="n">
        <f aca="false">(1-P82)*(P48+P49)/MAX(Time!P26,1)*Inputs!$F$170</f>
        <v>2.27184649743665</v>
      </c>
      <c r="Q87" s="11" t="n">
        <f aca="false">(1-Q82)*(Q48+Q49)/MAX(Time!Q26,1)*Inputs!$F$170</f>
        <v>2.35734656266931</v>
      </c>
      <c r="R87" s="11" t="n">
        <f aca="false">(1-R82)*(R48+R49)/MAX(Time!R26,1)*Inputs!$F$170</f>
        <v>2.33597459846318</v>
      </c>
      <c r="S87" s="11" t="n">
        <f aca="false">(1-S82)*(S48+S49)/MAX(Time!S26,1)*Inputs!$F$170</f>
        <v>2.34757951172334</v>
      </c>
      <c r="T87" s="11" t="n">
        <f aca="false">(1-T82)*(T48+T49)/MAX(Time!T26,1)*Inputs!$F$170</f>
        <v>2.34142525799545</v>
      </c>
      <c r="U87" s="11" t="n">
        <f aca="false">(1-U82)*(U48+U49)/MAX(Time!U26,1)*Inputs!$F$170</f>
        <v>2.38440334824175</v>
      </c>
      <c r="V87" s="11" t="n">
        <f aca="false">(1-V82)*(V48+V49)/MAX(Time!V26,1)*Inputs!$F$170</f>
        <v>2.37738243782952</v>
      </c>
      <c r="W87" s="11" t="n">
        <f aca="false">(1-W82)*(W48+W49)/MAX(Time!W26,1)*Inputs!$F$170</f>
        <v>2.40771989072683</v>
      </c>
      <c r="X87" s="11" t="n">
        <f aca="false">(1-X82)*(X48+X49)/MAX(Time!X26,1)*Inputs!$F$170</f>
        <v>2.40328538499624</v>
      </c>
      <c r="Y87" s="11" t="n">
        <f aca="false">(1-Y82)*(Y48+Y49)/MAX(Time!Y26,1)*Inputs!$F$170</f>
        <v>2.45859982118354</v>
      </c>
      <c r="Z87" s="11" t="n">
        <f aca="false">(1-Z82)*(Z48+Z49)/MAX(Time!Z26,1)*Inputs!$F$170</f>
        <v>2.45072554046998</v>
      </c>
      <c r="AA87" s="11" t="n">
        <f aca="false">(1-AA82)*(AA48+AA49)/MAX(Time!AA26,1)*Inputs!$F$170</f>
        <v>2.49108677766796</v>
      </c>
      <c r="AB87" s="11" t="n">
        <f aca="false">(1-AB82)*(AB48+AB49)/MAX(Time!AB26,1)*Inputs!$F$170</f>
        <v>2.48455983140521</v>
      </c>
      <c r="AC87" s="11" t="n">
        <f aca="false">(1-AC82)*(AC48+AC49)/MAX(Time!AC26,1)*Inputs!$F$170</f>
        <v>2.53015327126623</v>
      </c>
      <c r="AD87" s="11" t="n">
        <f aca="false">(1-AD82)*(AD48+AD49)/MAX(Time!AD26,1)*Inputs!$F$170</f>
        <v>2.52121494233197</v>
      </c>
      <c r="AE87" s="11" t="n">
        <f aca="false">(1-AE82)*(AE48+AE49)/MAX(Time!AE26,1)*Inputs!$F$170</f>
        <v>2.54566228467152</v>
      </c>
      <c r="AF87" s="11" t="n">
        <f aca="false">(1-AF82)*(AF48+AF49)/MAX(Time!AF26,1)*Inputs!$F$170</f>
        <v>2.54262522836152</v>
      </c>
      <c r="AG87" s="11" t="n">
        <f aca="false">(1-AG82)*(AG48+AG49)/MAX(Time!AG26,1)*Inputs!$F$170</f>
        <v>2.60886902580531</v>
      </c>
      <c r="AH87" s="11" t="n">
        <f aca="false">(1-AH82)*(AH48+AH49)/MAX(Time!AH26,1)*Inputs!$F$170</f>
        <v>2.60051898201265</v>
      </c>
      <c r="AI87" s="11" t="n">
        <f aca="false">(1-AI82)*(AI48+AI49)/MAX(Time!AI26,1)*Inputs!$F$170</f>
        <v>2.64333962693093</v>
      </c>
      <c r="AJ87" s="11" t="n">
        <f aca="false">(1-AJ82)*(AJ48+AJ49)/MAX(Time!AJ26,1)*Inputs!$F$170</f>
        <v>2.63641781784843</v>
      </c>
      <c r="AK87" s="11" t="n">
        <f aca="false">(1-AK82)*(AK48+AK49)/MAX(Time!AK26,1)*Inputs!$F$170</f>
        <v>2.68478483680874</v>
      </c>
      <c r="AL87" s="11" t="n">
        <f aca="false">(1-AL82)*(AL48+AL49)/MAX(Time!AL26,1)*Inputs!$F$170</f>
        <v>2.67688935124146</v>
      </c>
      <c r="AM87" s="11" t="n">
        <f aca="false">(1-AM82)*(AM48+AM49)/MAX(Time!AM26,1)*Inputs!$F$170</f>
        <v>2.71105469847467</v>
      </c>
      <c r="AN87" s="11" t="n">
        <f aca="false">(1-AN82)*(AN48+AN49)/MAX(Time!AN26,1)*Inputs!$F$170</f>
        <v>2.70606544985241</v>
      </c>
      <c r="AO87" s="11" t="n">
        <f aca="false">(1-AO82)*(AO48+AO49)/MAX(Time!AO26,1)*Inputs!$F$170</f>
        <v>2.76829414188258</v>
      </c>
      <c r="AP87" s="11" t="n">
        <f aca="false">(1-AP82)*(AP48+AP49)/MAX(Time!AP26,1)*Inputs!$F$170</f>
        <v>2.75944010367333</v>
      </c>
      <c r="AQ87" s="11" t="n">
        <f aca="false">(1-AQ82)*(AQ48+AQ49)/MAX(Time!AQ26,1)*Inputs!$F$170</f>
        <v>2.80486935618309</v>
      </c>
      <c r="AR87" s="11" t="n">
        <f aca="false">(1-AR82)*(AR48+AR49)/MAX(Time!AR26,1)*Inputs!$F$170</f>
        <v>2.7975292207349</v>
      </c>
      <c r="AS87" s="11" t="n">
        <f aca="false">(1-AS82)*(AS48+AS49)/MAX(Time!AS26,1)*Inputs!$F$170</f>
        <v>2.8488375633362</v>
      </c>
      <c r="AT87" s="11" t="n">
        <f aca="false">(1-AT82)*(AT48+AT49)/MAX(Time!AT26,1)*Inputs!$F$170</f>
        <v>2.83878847855679</v>
      </c>
      <c r="AU87" s="11" t="n">
        <f aca="false">(1-AU82)*(AU48+AU49)/MAX(Time!AU26,1)*Inputs!$F$170</f>
        <v>2.86634181368979</v>
      </c>
      <c r="AV87" s="11" t="n">
        <f aca="false">(1-AV82)*(AV48+AV49)/MAX(Time!AV26,1)*Inputs!$F$170</f>
        <v>2.86292275984964</v>
      </c>
      <c r="AW87" s="11" t="n">
        <f aca="false">(1-AW82)*(AW48+AW49)/MAX(Time!AW26,1)*Inputs!$F$170</f>
        <v>2.93743127046438</v>
      </c>
      <c r="AX87" s="11" t="n">
        <f aca="false">(1-AX82)*(AX48+AX49)/MAX(Time!AX26,1)*Inputs!$F$170</f>
        <v>2.92804336435315</v>
      </c>
      <c r="AY87" s="11" t="n">
        <f aca="false">(1-AY82)*(AY48+AY49)/MAX(Time!AY26,1)*Inputs!$F$170</f>
        <v>2.97623943404671</v>
      </c>
      <c r="AZ87" s="11" t="n">
        <f aca="false">(1-AZ82)*(AZ48+AZ49)/MAX(Time!AZ26,1)*Inputs!$F$170</f>
        <v>2.9684561416785</v>
      </c>
      <c r="BA87" s="11" t="n">
        <f aca="false">(1-BA82)*(BA48+BA49)/MAX(Time!BA26,1)*Inputs!$F$170</f>
        <v>3.02288363603229</v>
      </c>
      <c r="BB87" s="11" t="n">
        <f aca="false">(1-BB82)*(BB48+BB49)/MAX(Time!BB26,1)*Inputs!$F$170</f>
        <v>3.01400669336692</v>
      </c>
      <c r="BC87" s="11" t="n">
        <f aca="false">(1-BC82)*(BC48+BC49)/MAX(Time!BC26,1)*Inputs!$F$170</f>
        <v>3.05248264308333</v>
      </c>
      <c r="BD87" s="11" t="n">
        <f aca="false">(1-BD82)*(BD48+BD49)/MAX(Time!BD26,1)*Inputs!$F$170</f>
        <v>3.04687054260273</v>
      </c>
      <c r="BE87" s="11" t="n">
        <f aca="false">(1-BE82)*(BE48+BE49)/MAX(Time!BE26,1)*Inputs!$F$170</f>
        <v>3.11687017798908</v>
      </c>
      <c r="BF87" s="11" t="n">
        <f aca="false">(1-BF82)*(BF48+BF49)/MAX(Time!BF26,1)*Inputs!$F$170</f>
        <v>3.10691679502109</v>
      </c>
      <c r="BG87" s="11" t="n">
        <f aca="false">(1-BG82)*(BG48+BG49)/MAX(Time!BG26,1)*Inputs!$F$170</f>
        <v>3.15804744266705</v>
      </c>
      <c r="BH87" s="11" t="n">
        <f aca="false">(1-BH82)*(BH48+BH49)/MAX(Time!BH26,1)*Inputs!$F$170</f>
        <v>3.14979471797919</v>
      </c>
      <c r="BI87" s="11" t="n">
        <f aca="false">(1-BI82)*(BI48+BI49)/MAX(Time!BI26,1)*Inputs!$F$170</f>
        <v>3.20752987801185</v>
      </c>
      <c r="BJ87" s="11" t="n">
        <f aca="false">(1-BJ82)*(BJ48+BJ49)/MAX(Time!BJ26,1)*Inputs!$F$170</f>
        <v>3.1962346469196</v>
      </c>
      <c r="BK87" s="11" t="n">
        <f aca="false">(1-BK82)*(BK48+BK49)/MAX(Time!BK26,1)*Inputs!$F$170</f>
        <v>3.22729054967274</v>
      </c>
      <c r="BL87" s="11" t="n">
        <f aca="false">(1-BL82)*(BL48+BL49)/MAX(Time!BL26,1)*Inputs!$F$170</f>
        <v>3.22344232203872</v>
      </c>
      <c r="BM87" s="11" t="n">
        <f aca="false">(1-BM82)*(BM48+BM49)/MAX(Time!BM26,1)*Inputs!$F$170</f>
        <v>3.30723632739425</v>
      </c>
      <c r="BN87" s="11" t="n">
        <f aca="false">(1-BN82)*(BN48+BN49)/MAX(Time!BN26,1)*Inputs!$F$170</f>
        <v>0</v>
      </c>
    </row>
    <row r="88" customFormat="false" ht="15" hidden="false" customHeight="false" outlineLevel="0" collapsed="false">
      <c r="D88" s="0" t="s">
        <v>536</v>
      </c>
      <c r="E88" s="0" t="s">
        <v>149</v>
      </c>
      <c r="J88" s="11" t="n">
        <f aca="false">(1-J82)*(J56+J57+J58+J60)/MAX(Time!J26,1)*Inputs!$F$171</f>
        <v>0</v>
      </c>
      <c r="K88" s="11" t="n">
        <f aca="false">(1-K82)*(K56+K57+K58+K60)/MAX(Time!K26,1)*Inputs!$F$171</f>
        <v>0</v>
      </c>
      <c r="L88" s="11" t="n">
        <f aca="false">(1-L82)*(L56+L57+L58+L60)/MAX(Time!L26,1)*Inputs!$F$171</f>
        <v>0</v>
      </c>
      <c r="M88" s="11" t="n">
        <f aca="false">(1-M82)*(M56+M57+M58+M60)/MAX(Time!M26,1)*Inputs!$F$171</f>
        <v>0</v>
      </c>
      <c r="N88" s="11" t="n">
        <f aca="false">(1-N82)*(N56+N57+N58+N60)/MAX(Time!N26,1)*Inputs!$F$171</f>
        <v>0</v>
      </c>
      <c r="O88" s="11" t="n">
        <f aca="false">(1-O82)*(O56+O57+O58+O60)/MAX(Time!O26,1)*Inputs!$F$171</f>
        <v>0</v>
      </c>
      <c r="P88" s="11" t="n">
        <f aca="false">(1-P82)*(P56+P57+P58+P60)/MAX(Time!P26,1)*Inputs!$F$171</f>
        <v>1.67401642745813</v>
      </c>
      <c r="Q88" s="11" t="n">
        <f aca="false">(1-Q82)*(Q56+Q57+Q58+Q60)/MAX(Time!Q26,1)*Inputs!$F$171</f>
        <v>1.83978001778729</v>
      </c>
      <c r="R88" s="11" t="n">
        <f aca="false">(1-R82)*(R56+R57+R58+R60)/MAX(Time!R26,1)*Inputs!$F$171</f>
        <v>1.81455860938973</v>
      </c>
      <c r="S88" s="11" t="n">
        <f aca="false">(1-S82)*(S56+S57+S58+S60)/MAX(Time!S26,1)*Inputs!$F$171</f>
        <v>1.80429680761033</v>
      </c>
      <c r="T88" s="11" t="n">
        <f aca="false">(1-T82)*(T56+T57+T58+T60)/MAX(Time!T26,1)*Inputs!$F$171</f>
        <v>1.84480205597376</v>
      </c>
      <c r="U88" s="11" t="n">
        <f aca="false">(1-U82)*(U56+U57+U58+U60)/MAX(Time!U26,1)*Inputs!$F$171</f>
        <v>1.92672767997354</v>
      </c>
      <c r="V88" s="11" t="n">
        <f aca="false">(1-V82)*(V56+V57+V58+V60)/MAX(Time!V26,1)*Inputs!$F$171</f>
        <v>1.95369330431274</v>
      </c>
      <c r="W88" s="11" t="n">
        <f aca="false">(1-W82)*(W56+W57+W58+W60)/MAX(Time!W26,1)*Inputs!$F$171</f>
        <v>1.98066665351105</v>
      </c>
      <c r="X88" s="11" t="n">
        <f aca="false">(1-X82)*(X56+X57+X58+X60)/MAX(Time!X26,1)*Inputs!$F$171</f>
        <v>2.00459946321629</v>
      </c>
      <c r="Y88" s="11" t="n">
        <f aca="false">(1-Y82)*(Y56+Y57+Y58+Y60)/MAX(Time!Y26,1)*Inputs!$F$171</f>
        <v>2.13460644813597</v>
      </c>
      <c r="Z88" s="11" t="n">
        <f aca="false">(1-Z82)*(Z56+Z57+Z58+Z60)/MAX(Time!Z26,1)*Inputs!$F$171</f>
        <v>2.13051204407814</v>
      </c>
      <c r="AA88" s="11" t="n">
        <f aca="false">(1-AA82)*(AA56+AA57+AA58+AA60)/MAX(Time!AA26,1)*Inputs!$F$171</f>
        <v>2.17668702258543</v>
      </c>
      <c r="AB88" s="11" t="n">
        <f aca="false">(1-AB82)*(AB56+AB57+AB58+AB60)/MAX(Time!AB26,1)*Inputs!$F$171</f>
        <v>2.16899139673729</v>
      </c>
      <c r="AC88" s="11" t="n">
        <f aca="false">(1-AC82)*(AC56+AC57+AC58+AC60)/MAX(Time!AC26,1)*Inputs!$F$171</f>
        <v>2.23573229065777</v>
      </c>
      <c r="AD88" s="11" t="n">
        <f aca="false">(1-AD82)*(AD56+AD57+AD58+AD60)/MAX(Time!AD26,1)*Inputs!$F$171</f>
        <v>2.21752939779508</v>
      </c>
      <c r="AE88" s="11" t="n">
        <f aca="false">(1-AE82)*(AE56+AE57+AE58+AE60)/MAX(Time!AE26,1)*Inputs!$F$171</f>
        <v>2.18837712875054</v>
      </c>
      <c r="AF88" s="11" t="n">
        <f aca="false">(1-AF82)*(AF56+AF57+AF58+AF60)/MAX(Time!AF26,1)*Inputs!$F$171</f>
        <v>2.19001390006312</v>
      </c>
      <c r="AG88" s="11" t="n">
        <f aca="false">(1-AG82)*(AG56+AG57+AG58+AG60)/MAX(Time!AG26,1)*Inputs!$F$171</f>
        <v>2.35268552193691</v>
      </c>
      <c r="AH88" s="11" t="n">
        <f aca="false">(1-AH82)*(AH56+AH57+AH58+AH60)/MAX(Time!AH26,1)*Inputs!$F$171</f>
        <v>2.33724624148813</v>
      </c>
      <c r="AI88" s="11" t="n">
        <f aca="false">(1-AI82)*(AI56+AI57+AI58+AI60)/MAX(Time!AI26,1)*Inputs!$F$171</f>
        <v>2.3849353212976</v>
      </c>
      <c r="AJ88" s="11" t="n">
        <f aca="false">(1-AJ82)*(AJ56+AJ57+AJ58+AJ60)/MAX(Time!AJ26,1)*Inputs!$F$171</f>
        <v>2.37650195164384</v>
      </c>
      <c r="AK88" s="11" t="n">
        <f aca="false">(1-AK82)*(AK56+AK57+AK58+AK60)/MAX(Time!AK26,1)*Inputs!$F$171</f>
        <v>2.44862530995752</v>
      </c>
      <c r="AL88" s="11" t="n">
        <f aca="false">(1-AL82)*(AL56+AL57+AL58+AL60)/MAX(Time!AL26,1)*Inputs!$F$171</f>
        <v>2.43651839039962</v>
      </c>
      <c r="AM88" s="11" t="n">
        <f aca="false">(1-AM82)*(AM56+AM57+AM58+AM60)/MAX(Time!AM26,1)*Inputs!$F$171</f>
        <v>2.43743495329153</v>
      </c>
      <c r="AN88" s="11" t="n">
        <f aca="false">(1-AN82)*(AN56+AN57+AN58+AN60)/MAX(Time!AN26,1)*Inputs!$F$171</f>
        <v>2.43860038179055</v>
      </c>
      <c r="AO88" s="11" t="n">
        <f aca="false">(1-AO82)*(AO56+AO57+AO58+AO60)/MAX(Time!AO26,1)*Inputs!$F$171</f>
        <v>2.57671517267859</v>
      </c>
      <c r="AP88" s="11" t="n">
        <f aca="false">(1-AP82)*(AP56+AP57+AP58+AP60)/MAX(Time!AP26,1)*Inputs!$F$171</f>
        <v>2.55980571843293</v>
      </c>
      <c r="AQ88" s="11" t="n">
        <f aca="false">(1-AQ82)*(AQ56+AQ57+AQ58+AQ60)/MAX(Time!AQ26,1)*Inputs!$F$171</f>
        <v>2.61203589300167</v>
      </c>
      <c r="AR88" s="11" t="n">
        <f aca="false">(1-AR82)*(AR56+AR57+AR58+AR60)/MAX(Time!AR26,1)*Inputs!$F$171</f>
        <v>2.60279947302925</v>
      </c>
      <c r="AS88" s="11" t="n">
        <f aca="false">(1-AS82)*(AS56+AS57+AS58+AS60)/MAX(Time!AS26,1)*Inputs!$F$171</f>
        <v>2.68179063012975</v>
      </c>
      <c r="AT88" s="11" t="n">
        <f aca="false">(1-AT82)*(AT56+AT57+AT58+AT60)/MAX(Time!AT26,1)*Inputs!$F$171</f>
        <v>2.65995601794276</v>
      </c>
      <c r="AU88" s="11" t="n">
        <f aca="false">(1-AU82)*(AU56+AU57+AU58+AU60)/MAX(Time!AU26,1)*Inputs!$F$171</f>
        <v>2.62498748333898</v>
      </c>
      <c r="AV88" s="11" t="n">
        <f aca="false">(1-AV82)*(AV56+AV57+AV58+AV60)/MAX(Time!AV26,1)*Inputs!$F$171</f>
        <v>2.62695081230644</v>
      </c>
      <c r="AW88" s="11" t="n">
        <f aca="false">(1-AW82)*(AW56+AW57+AW58+AW60)/MAX(Time!AW26,1)*Inputs!$F$171</f>
        <v>2.82207758716767</v>
      </c>
      <c r="AX88" s="11" t="n">
        <f aca="false">(1-AX82)*(AX56+AX57+AX58+AX60)/MAX(Time!AX26,1)*Inputs!$F$171</f>
        <v>2.80355796484235</v>
      </c>
      <c r="AY88" s="11" t="n">
        <f aca="false">(1-AY82)*(AY56+AY57+AY58+AY60)/MAX(Time!AY26,1)*Inputs!$F$171</f>
        <v>2.86076165059979</v>
      </c>
      <c r="AZ88" s="11" t="n">
        <f aca="false">(1-AZ82)*(AZ56+AZ57+AZ58+AZ60)/MAX(Time!AZ26,1)*Inputs!$F$171</f>
        <v>2.8506457114901</v>
      </c>
      <c r="BA88" s="11" t="n">
        <f aca="false">(1-BA82)*(BA56+BA57+BA58+BA60)/MAX(Time!BA26,1)*Inputs!$F$171</f>
        <v>2.93715863942307</v>
      </c>
      <c r="BB88" s="11" t="n">
        <f aca="false">(1-BB82)*(BB56+BB57+BB58+BB60)/MAX(Time!BB26,1)*Inputs!$F$171</f>
        <v>2.92263622832503</v>
      </c>
      <c r="BC88" s="11" t="n">
        <f aca="false">(1-BC82)*(BC56+BC57+BC58+BC60)/MAX(Time!BC26,1)*Inputs!$F$171</f>
        <v>2.92373565770919</v>
      </c>
      <c r="BD88" s="11" t="n">
        <f aca="false">(1-BD82)*(BD56+BD57+BD58+BD60)/MAX(Time!BD26,1)*Inputs!$F$171</f>
        <v>2.92513360470034</v>
      </c>
      <c r="BE88" s="11" t="n">
        <f aca="false">(1-BE82)*(BE56+BE57+BE58+BE60)/MAX(Time!BE26,1)*Inputs!$F$171</f>
        <v>3.09080413405379</v>
      </c>
      <c r="BF88" s="11" t="n">
        <f aca="false">(1-BF82)*(BF56+BF57+BF58+BF60)/MAX(Time!BF26,1)*Inputs!$F$171</f>
        <v>3.07052101869776</v>
      </c>
      <c r="BG88" s="11" t="n">
        <f aca="false">(1-BG82)*(BG56+BG57+BG58+BG60)/MAX(Time!BG26,1)*Inputs!$F$171</f>
        <v>3.13317180804038</v>
      </c>
      <c r="BH88" s="11" t="n">
        <f aca="false">(1-BH82)*(BH56+BH57+BH58+BH60)/MAX(Time!BH26,1)*Inputs!$F$171</f>
        <v>3.12209259938849</v>
      </c>
      <c r="BI88" s="11" t="n">
        <f aca="false">(1-BI82)*(BI56+BI57+BI58+BI60)/MAX(Time!BI26,1)*Inputs!$F$171</f>
        <v>3.2168435433456</v>
      </c>
      <c r="BJ88" s="11" t="n">
        <f aca="false">(1-BJ82)*(BJ56+BJ57+BJ58+BJ60)/MAX(Time!BJ26,1)*Inputs!$F$171</f>
        <v>3.19065263550737</v>
      </c>
      <c r="BK88" s="11" t="n">
        <f aca="false">(1-BK82)*(BK56+BK57+BK58+BK60)/MAX(Time!BK26,1)*Inputs!$F$171</f>
        <v>3.14870741297708</v>
      </c>
      <c r="BL88" s="11" t="n">
        <f aca="false">(1-BL82)*(BL56+BL57+BL58+BL60)/MAX(Time!BL26,1)*Inputs!$F$171</f>
        <v>3.15106245219658</v>
      </c>
      <c r="BM88" s="11" t="n">
        <f aca="false">(1-BM82)*(BM56+BM57+BM58+BM60)/MAX(Time!BM26,1)*Inputs!$F$171</f>
        <v>3.38511961489753</v>
      </c>
      <c r="BN88" s="11" t="n">
        <f aca="false">(1-BN82)*(BN56+BN57+BN58+BN60)/MAX(Time!BN26,1)*Inputs!$F$171</f>
        <v>0</v>
      </c>
    </row>
    <row r="89" customFormat="false" ht="15" hidden="false" customHeight="false" outlineLevel="0" collapsed="false">
      <c r="D89" s="0" t="s">
        <v>537</v>
      </c>
      <c r="E89" s="0" t="s">
        <v>149</v>
      </c>
      <c r="J89" s="11" t="n">
        <f aca="false">(1-J82)*(J61+J62+J63+J64+J65+J66+J67)/MAX(Time!J26,1)*Inputs!$F$172</f>
        <v>0</v>
      </c>
      <c r="K89" s="11" t="n">
        <f aca="false">(1-K82)*(K61+K62+K63+K64+K65+K66+K67)/MAX(Time!K26,1)*Inputs!$F$172</f>
        <v>0</v>
      </c>
      <c r="L89" s="11" t="n">
        <f aca="false">(1-L82)*(L61+L62+L63+L64+L65+L66+L67)/MAX(Time!L26,1)*Inputs!$F$172</f>
        <v>0</v>
      </c>
      <c r="M89" s="11" t="n">
        <f aca="false">(1-M82)*(M61+M62+M63+M64+M65+M66+M67)/MAX(Time!M26,1)*Inputs!$F$172</f>
        <v>0</v>
      </c>
      <c r="N89" s="11" t="n">
        <f aca="false">(1-N82)*(N61+N62+N63+N64+N65+N66+N67)/MAX(Time!N26,1)*Inputs!$F$172</f>
        <v>0</v>
      </c>
      <c r="O89" s="11" t="n">
        <f aca="false">(1-O82)*(O61+O62+O63+O64+O65+O66+O67)/MAX(Time!O26,1)*Inputs!$F$172</f>
        <v>0</v>
      </c>
      <c r="P89" s="11" t="n">
        <f aca="false">(1-P82)*(P61+P62+P63+P64+P65+P66+P67)/MAX(Time!P26,1)*Inputs!$F$172</f>
        <v>1.17722475451023</v>
      </c>
      <c r="Q89" s="11" t="n">
        <f aca="false">(1-Q82)*(Q61+Q62+Q63+Q64+Q65+Q66+Q67)/MAX(Time!Q26,1)*Inputs!$F$172</f>
        <v>1.27432543556663</v>
      </c>
      <c r="R89" s="11" t="n">
        <f aca="false">(1-R82)*(R61+R62+R63+R64+R65+R66+R67)/MAX(Time!R26,1)*Inputs!$F$172</f>
        <v>1.30901840845876</v>
      </c>
      <c r="S89" s="11" t="n">
        <f aca="false">(1-S82)*(S61+S62+S63+S64+S65+S66+S67)/MAX(Time!S26,1)*Inputs!$F$172</f>
        <v>1.30216841298439</v>
      </c>
      <c r="T89" s="11" t="n">
        <f aca="false">(1-T82)*(T61+T62+T63+T64+T65+T66+T67)/MAX(Time!T26,1)*Inputs!$F$172</f>
        <v>1.34490791484381</v>
      </c>
      <c r="U89" s="11" t="n">
        <f aca="false">(1-U82)*(U61+U62+U63+U64+U65+U66+U67)/MAX(Time!U26,1)*Inputs!$F$172</f>
        <v>1.40267993900784</v>
      </c>
      <c r="V89" s="11" t="n">
        <f aca="false">(1-V82)*(V61+V62+V63+V64+V65+V66+V67)/MAX(Time!V26,1)*Inputs!$F$172</f>
        <v>1.443682798842</v>
      </c>
      <c r="W89" s="11" t="n">
        <f aca="false">(1-W82)*(W61+W62+W63+W64+W65+W66+W67)/MAX(Time!W26,1)*Inputs!$F$172</f>
        <v>1.50372282247669</v>
      </c>
      <c r="X89" s="11" t="n">
        <f aca="false">(1-X82)*(X61+X62+X63+X64+X65+X66+X67)/MAX(Time!X26,1)*Inputs!$F$172</f>
        <v>1.5239609076105</v>
      </c>
      <c r="Y89" s="11" t="n">
        <f aca="false">(1-Y82)*(Y61+Y62+Y63+Y64+Y65+Y66+Y67)/MAX(Time!Y26,1)*Inputs!$F$172</f>
        <v>1.59666096954572</v>
      </c>
      <c r="Z89" s="11" t="n">
        <f aca="false">(1-Z82)*(Z61+Z62+Z63+Z64+Z65+Z66+Z67)/MAX(Time!Z26,1)*Inputs!$F$172</f>
        <v>1.59749386151192</v>
      </c>
      <c r="AA89" s="11" t="n">
        <f aca="false">(1-AA82)*(AA61+AA62+AA63+AA64+AA65+AA66+AA67)/MAX(Time!AA26,1)*Inputs!$F$172</f>
        <v>1.64008099081285</v>
      </c>
      <c r="AB89" s="11" t="n">
        <f aca="false">(1-AB82)*(AB61+AB62+AB63+AB64+AB65+AB66+AB67)/MAX(Time!AB26,1)*Inputs!$F$172</f>
        <v>1.63129323419636</v>
      </c>
      <c r="AC89" s="11" t="n">
        <f aca="false">(1-AC82)*(AC61+AC62+AC63+AC64+AC65+AC66+AC67)/MAX(Time!AC26,1)*Inputs!$F$172</f>
        <v>1.67176777908841</v>
      </c>
      <c r="AD89" s="11" t="n">
        <f aca="false">(1-AD82)*(AD61+AD62+AD63+AD64+AD65+AD66+AD67)/MAX(Time!AD26,1)*Inputs!$F$172</f>
        <v>1.6668800597993</v>
      </c>
      <c r="AE89" s="11" t="n">
        <f aca="false">(1-AE82)*(AE61+AE62+AE63+AE64+AE65+AE66+AE67)/MAX(Time!AE26,1)*Inputs!$F$172</f>
        <v>1.68938076047894</v>
      </c>
      <c r="AF89" s="11" t="n">
        <f aca="false">(1-AF82)*(AF61+AF62+AF63+AF64+AF65+AF66+AF67)/MAX(Time!AF26,1)*Inputs!$F$172</f>
        <v>1.68455734653345</v>
      </c>
      <c r="AG89" s="11" t="n">
        <f aca="false">(1-AG82)*(AG61+AG62+AG63+AG64+AG65+AG66+AG67)/MAX(Time!AG26,1)*Inputs!$F$172</f>
        <v>1.75382667463453</v>
      </c>
      <c r="AH89" s="11" t="n">
        <f aca="false">(1-AH82)*(AH61+AH62+AH63+AH64+AH65+AH66+AH67)/MAX(Time!AH26,1)*Inputs!$F$172</f>
        <v>1.74284087482542</v>
      </c>
      <c r="AI89" s="11" t="n">
        <f aca="false">(1-AI82)*(AI61+AI62+AI63+AI64+AI65+AI66+AI67)/MAX(Time!AI26,1)*Inputs!$F$172</f>
        <v>1.78653658788424</v>
      </c>
      <c r="AJ89" s="11" t="n">
        <f aca="false">(1-AJ82)*(AJ61+AJ62+AJ63+AJ64+AJ65+AJ66+AJ67)/MAX(Time!AJ26,1)*Inputs!$F$172</f>
        <v>1.77699593507144</v>
      </c>
      <c r="AK89" s="11" t="n">
        <f aca="false">(1-AK82)*(AK61+AK62+AK63+AK64+AK65+AK66+AK67)/MAX(Time!AK26,1)*Inputs!$F$172</f>
        <v>1.81989287978897</v>
      </c>
      <c r="AL89" s="11" t="n">
        <f aca="false">(1-AL82)*(AL61+AL62+AL63+AL64+AL65+AL66+AL67)/MAX(Time!AL26,1)*Inputs!$F$172</f>
        <v>1.81639360380898</v>
      </c>
      <c r="AM89" s="11" t="n">
        <f aca="false">(1-AM82)*(AM61+AM62+AM63+AM64+AM65+AM66+AM67)/MAX(Time!AM26,1)*Inputs!$F$172</f>
        <v>1.85102220436683</v>
      </c>
      <c r="AN89" s="11" t="n">
        <f aca="false">(1-AN82)*(AN61+AN62+AN63+AN64+AN65+AN66+AN67)/MAX(Time!AN26,1)*Inputs!$F$172</f>
        <v>1.84335957251632</v>
      </c>
      <c r="AO89" s="11" t="n">
        <f aca="false">(1-AO82)*(AO61+AO62+AO63+AO64+AO65+AO66+AO67)/MAX(Time!AO26,1)*Inputs!$F$172</f>
        <v>1.90953586286526</v>
      </c>
      <c r="AP89" s="11" t="n">
        <f aca="false">(1-AP82)*(AP61+AP62+AP63+AP64+AP65+AP66+AP67)/MAX(Time!AP26,1)*Inputs!$F$172</f>
        <v>1.89765582168596</v>
      </c>
      <c r="AQ89" s="11" t="n">
        <f aca="false">(1-AQ82)*(AQ61+AQ62+AQ63+AQ64+AQ65+AQ66+AQ67)/MAX(Time!AQ26,1)*Inputs!$F$172</f>
        <v>1.94531640653262</v>
      </c>
      <c r="AR89" s="11" t="n">
        <f aca="false">(1-AR82)*(AR61+AR62+AR63+AR64+AR65+AR66+AR67)/MAX(Time!AR26,1)*Inputs!$F$172</f>
        <v>1.93500857940199</v>
      </c>
      <c r="AS89" s="11" t="n">
        <f aca="false">(1-AS82)*(AS61+AS62+AS63+AS64+AS65+AS66+AS67)/MAX(Time!AS26,1)*Inputs!$F$172</f>
        <v>1.98180035783263</v>
      </c>
      <c r="AT89" s="11" t="n">
        <f aca="false">(1-AT82)*(AT61+AT62+AT63+AT64+AT65+AT66+AT67)/MAX(Time!AT26,1)*Inputs!$F$172</f>
        <v>1.9761558763236</v>
      </c>
      <c r="AU89" s="11" t="n">
        <f aca="false">(1-AU82)*(AU61+AU62+AU63+AU64+AU65+AU66+AU67)/MAX(Time!AU26,1)*Inputs!$F$172</f>
        <v>2.00310942369962</v>
      </c>
      <c r="AV89" s="11" t="n">
        <f aca="false">(1-AV82)*(AV61+AV62+AV63+AV64+AV65+AV66+AV67)/MAX(Time!AV26,1)*Inputs!$F$172</f>
        <v>1.99749544002565</v>
      </c>
      <c r="AW89" s="11" t="n">
        <f aca="false">(1-AW82)*(AW61+AW62+AW63+AW64+AW65+AW66+AW67)/MAX(Time!AW26,1)*Inputs!$F$172</f>
        <v>2.07975360372305</v>
      </c>
      <c r="AX89" s="11" t="n">
        <f aca="false">(1-AX82)*(AX61+AX62+AX63+AX64+AX65+AX66+AX67)/MAX(Time!AX26,1)*Inputs!$F$172</f>
        <v>2.06689628624793</v>
      </c>
      <c r="AY89" s="11" t="n">
        <f aca="false">(1-AY82)*(AY61+AY62+AY63+AY64+AY65+AY66+AY67)/MAX(Time!AY26,1)*Inputs!$F$172</f>
        <v>2.11889297258043</v>
      </c>
      <c r="AZ89" s="11" t="n">
        <f aca="false">(1-AZ82)*(AZ61+AZ62+AZ63+AZ64+AZ65+AZ66+AZ67)/MAX(Time!AZ26,1)*Inputs!$F$172</f>
        <v>2.10774603186492</v>
      </c>
      <c r="BA89" s="11" t="n">
        <f aca="false">(1-BA82)*(BA61+BA62+BA63+BA64+BA65+BA66+BA67)/MAX(Time!BA26,1)*Inputs!$F$172</f>
        <v>2.15879361843139</v>
      </c>
      <c r="BB89" s="11" t="n">
        <f aca="false">(1-BB82)*(BB61+BB62+BB63+BB64+BB65+BB66+BB67)/MAX(Time!BB26,1)*Inputs!$F$172</f>
        <v>2.15481627384009</v>
      </c>
      <c r="BC89" s="11" t="n">
        <f aca="false">(1-BC82)*(BC61+BC62+BC63+BC64+BC65+BC66+BC67)/MAX(Time!BC26,1)*Inputs!$F$172</f>
        <v>2.19609125067825</v>
      </c>
      <c r="BD89" s="11" t="n">
        <f aca="false">(1-BD82)*(BD61+BD62+BD63+BD64+BD65+BD66+BD67)/MAX(Time!BD26,1)*Inputs!$F$172</f>
        <v>2.18716534330945</v>
      </c>
      <c r="BE89" s="11" t="n">
        <f aca="false">(1-BE82)*(BE61+BE62+BE63+BE64+BE65+BE66+BE67)/MAX(Time!BE26,1)*Inputs!$F$172</f>
        <v>2.26583111248939</v>
      </c>
      <c r="BF89" s="11" t="n">
        <f aca="false">(1-BF82)*(BF61+BF62+BF63+BF64+BF65+BF66+BF67)/MAX(Time!BF26,1)*Inputs!$F$172</f>
        <v>2.25190577858499</v>
      </c>
      <c r="BG89" s="11" t="n">
        <f aca="false">(1-BG82)*(BG61+BG62+BG63+BG64+BG65+BG66+BG67)/MAX(Time!BG26,1)*Inputs!$F$172</f>
        <v>2.30864454415641</v>
      </c>
      <c r="BH89" s="11" t="n">
        <f aca="false">(1-BH82)*(BH61+BH62+BH63+BH64+BH65+BH66+BH67)/MAX(Time!BH26,1)*Inputs!$F$172</f>
        <v>2.29657980633474</v>
      </c>
      <c r="BI89" s="11" t="n">
        <f aca="false">(1-BI82)*(BI61+BI62+BI63+BI64+BI65+BI66+BI67)/MAX(Time!BI26,1)*Inputs!$F$172</f>
        <v>2.35227760550364</v>
      </c>
      <c r="BJ89" s="11" t="n">
        <f aca="false">(1-BJ82)*(BJ61+BJ62+BJ63+BJ64+BJ65+BJ66+BJ67)/MAX(Time!BJ26,1)*Inputs!$F$172</f>
        <v>2.34575907889257</v>
      </c>
      <c r="BK89" s="11" t="n">
        <f aca="false">(1-BK82)*(BK61+BK62+BK63+BK64+BK65+BK66+BK67)/MAX(Time!BK26,1)*Inputs!$F$172</f>
        <v>2.37807978695497</v>
      </c>
      <c r="BL89" s="11" t="n">
        <f aca="false">(1-BL82)*(BL61+BL62+BL63+BL64+BL65+BL66+BL67)/MAX(Time!BL26,1)*Inputs!$F$172</f>
        <v>2.37151145271761</v>
      </c>
      <c r="BM89" s="11" t="n">
        <f aca="false">(1-BM82)*(BM61+BM62+BM63+BM64+BM65+BM66+BM67)/MAX(Time!BM26,1)*Inputs!$F$172</f>
        <v>2.4692453828581</v>
      </c>
      <c r="BN89" s="11" t="n">
        <f aca="false">(1-BN82)*(BN61+BN62+BN63+BN64+BN65+BN66+BN67)/MAX(Time!BN26,1)*Inputs!$F$172</f>
        <v>0</v>
      </c>
    </row>
    <row r="90" customFormat="false" ht="15" hidden="false" customHeight="false" outlineLevel="0" collapsed="false">
      <c r="D90" s="0" t="s">
        <v>538</v>
      </c>
      <c r="E90" s="0" t="s">
        <v>149</v>
      </c>
      <c r="J90" s="11" t="n">
        <f aca="false">Inputs!$F$186*J85</f>
        <v>0</v>
      </c>
      <c r="K90" s="11" t="n">
        <f aca="false">Inputs!$F$186*K85</f>
        <v>0</v>
      </c>
      <c r="L90" s="11" t="n">
        <f aca="false">Inputs!$F$186*L85</f>
        <v>0</v>
      </c>
      <c r="M90" s="11" t="n">
        <f aca="false">Inputs!$F$186*M85</f>
        <v>0</v>
      </c>
      <c r="N90" s="11" t="n">
        <f aca="false">Inputs!$F$186*N85</f>
        <v>0</v>
      </c>
      <c r="O90" s="11" t="n">
        <f aca="false">Inputs!$F$186*O85</f>
        <v>0</v>
      </c>
      <c r="P90" s="11" t="n">
        <f aca="false">Inputs!$F$186*P85</f>
        <v>0</v>
      </c>
      <c r="Q90" s="11" t="n">
        <f aca="false">Inputs!$F$186*Q85</f>
        <v>14.72</v>
      </c>
      <c r="R90" s="11" t="n">
        <f aca="false">Inputs!$F$186*R85</f>
        <v>55.12</v>
      </c>
      <c r="S90" s="11" t="n">
        <f aca="false">Inputs!$F$186*S85</f>
        <v>90.08</v>
      </c>
      <c r="T90" s="11" t="n">
        <f aca="false">Inputs!$F$186*T85</f>
        <v>57.44</v>
      </c>
      <c r="U90" s="11" t="n">
        <f aca="false">Inputs!$F$186*U85</f>
        <v>27.68</v>
      </c>
      <c r="V90" s="11" t="n">
        <f aca="false">Inputs!$F$186*V85</f>
        <v>9.84</v>
      </c>
      <c r="W90" s="11" t="n">
        <f aca="false">Inputs!$F$186*W85</f>
        <v>0</v>
      </c>
      <c r="X90" s="11" t="n">
        <f aca="false">Inputs!$F$186*X85</f>
        <v>0</v>
      </c>
      <c r="Y90" s="11" t="n">
        <f aca="false">Inputs!$F$186*Y85</f>
        <v>0</v>
      </c>
      <c r="Z90" s="11" t="n">
        <f aca="false">Inputs!$F$186*Z85</f>
        <v>0</v>
      </c>
      <c r="AA90" s="11" t="n">
        <f aca="false">Inputs!$F$186*AA85</f>
        <v>0</v>
      </c>
      <c r="AB90" s="11" t="n">
        <f aca="false">Inputs!$F$186*AB85</f>
        <v>0</v>
      </c>
      <c r="AC90" s="11" t="n">
        <f aca="false">Inputs!$F$186*AC85</f>
        <v>0</v>
      </c>
      <c r="AD90" s="11" t="n">
        <f aca="false">Inputs!$F$186*AD85</f>
        <v>0</v>
      </c>
      <c r="AE90" s="11" t="n">
        <f aca="false">Inputs!$F$186*AE85</f>
        <v>0</v>
      </c>
      <c r="AF90" s="11" t="n">
        <f aca="false">Inputs!$F$186*AF85</f>
        <v>0</v>
      </c>
      <c r="AG90" s="11" t="n">
        <f aca="false">Inputs!$F$186*AG85</f>
        <v>0</v>
      </c>
      <c r="AH90" s="11" t="n">
        <f aca="false">Inputs!$F$186*AH85</f>
        <v>0</v>
      </c>
      <c r="AI90" s="11" t="n">
        <f aca="false">Inputs!$F$186*AI85</f>
        <v>0</v>
      </c>
      <c r="AJ90" s="11" t="n">
        <f aca="false">Inputs!$F$186*AJ85</f>
        <v>0</v>
      </c>
      <c r="AK90" s="11" t="n">
        <f aca="false">Inputs!$F$186*AK85</f>
        <v>0</v>
      </c>
      <c r="AL90" s="11" t="n">
        <f aca="false">Inputs!$F$186*AL85</f>
        <v>0</v>
      </c>
      <c r="AM90" s="11" t="n">
        <f aca="false">Inputs!$F$186*AM85</f>
        <v>0</v>
      </c>
      <c r="AN90" s="11" t="n">
        <f aca="false">Inputs!$F$186*AN85</f>
        <v>0</v>
      </c>
      <c r="AO90" s="11" t="n">
        <f aca="false">Inputs!$F$186*AO85</f>
        <v>0</v>
      </c>
      <c r="AP90" s="11" t="n">
        <f aca="false">Inputs!$F$186*AP85</f>
        <v>0</v>
      </c>
      <c r="AQ90" s="11" t="n">
        <f aca="false">Inputs!$F$186*AQ85</f>
        <v>0</v>
      </c>
      <c r="AR90" s="11" t="n">
        <f aca="false">Inputs!$F$186*AR85</f>
        <v>0</v>
      </c>
      <c r="AS90" s="11" t="n">
        <f aca="false">Inputs!$F$186*AS85</f>
        <v>0</v>
      </c>
      <c r="AT90" s="11" t="n">
        <f aca="false">Inputs!$F$186*AT85</f>
        <v>0</v>
      </c>
      <c r="AU90" s="11" t="n">
        <f aca="false">Inputs!$F$186*AU85</f>
        <v>0</v>
      </c>
      <c r="AV90" s="11" t="n">
        <f aca="false">Inputs!$F$186*AV85</f>
        <v>0</v>
      </c>
      <c r="AW90" s="11" t="n">
        <f aca="false">Inputs!$F$186*AW85</f>
        <v>0</v>
      </c>
      <c r="AX90" s="11" t="n">
        <f aca="false">Inputs!$F$186*AX85</f>
        <v>0</v>
      </c>
      <c r="AY90" s="11" t="n">
        <f aca="false">Inputs!$F$186*AY85</f>
        <v>0</v>
      </c>
      <c r="AZ90" s="11" t="n">
        <f aca="false">Inputs!$F$186*AZ85</f>
        <v>0</v>
      </c>
      <c r="BA90" s="11" t="n">
        <f aca="false">Inputs!$F$186*BA85</f>
        <v>0</v>
      </c>
      <c r="BB90" s="11" t="n">
        <f aca="false">Inputs!$F$186*BB85</f>
        <v>0</v>
      </c>
      <c r="BC90" s="11" t="n">
        <f aca="false">Inputs!$F$186*BC85</f>
        <v>0</v>
      </c>
      <c r="BD90" s="11" t="n">
        <f aca="false">Inputs!$F$186*BD85</f>
        <v>0</v>
      </c>
      <c r="BE90" s="11" t="n">
        <f aca="false">Inputs!$F$186*BE85</f>
        <v>0</v>
      </c>
      <c r="BF90" s="11" t="n">
        <f aca="false">Inputs!$F$186*BF85</f>
        <v>0</v>
      </c>
      <c r="BG90" s="11" t="n">
        <f aca="false">Inputs!$F$186*BG85</f>
        <v>0</v>
      </c>
      <c r="BH90" s="11" t="n">
        <f aca="false">Inputs!$F$186*BH85</f>
        <v>0</v>
      </c>
      <c r="BI90" s="11" t="n">
        <f aca="false">Inputs!$F$186*BI85</f>
        <v>0</v>
      </c>
      <c r="BJ90" s="11" t="n">
        <f aca="false">Inputs!$F$186*BJ85</f>
        <v>0</v>
      </c>
      <c r="BK90" s="11" t="n">
        <f aca="false">Inputs!$F$186*BK85</f>
        <v>0</v>
      </c>
      <c r="BL90" s="11" t="n">
        <f aca="false">Inputs!$F$186*BL85</f>
        <v>0</v>
      </c>
      <c r="BM90" s="11" t="n">
        <f aca="false">Inputs!$F$186*BM85</f>
        <v>0</v>
      </c>
      <c r="BN90" s="11" t="n">
        <f aca="false">Inputs!$F$186*BN85</f>
        <v>0</v>
      </c>
    </row>
    <row r="91" customFormat="false" ht="15" hidden="false" customHeight="false" outlineLevel="0" collapsed="false">
      <c r="D91" s="0" t="s">
        <v>539</v>
      </c>
      <c r="E91" s="0" t="s">
        <v>149</v>
      </c>
      <c r="J91" s="11" t="n">
        <f aca="false">J84+J85-J86-J87-J88-J89-J90</f>
        <v>0</v>
      </c>
      <c r="K91" s="11" t="n">
        <f aca="false">K84+K85-K86-K87-K88-K89-K90</f>
        <v>0</v>
      </c>
      <c r="L91" s="11" t="n">
        <f aca="false">L84+L85-L86-L87-L88-L89-L90</f>
        <v>0</v>
      </c>
      <c r="M91" s="11" t="n">
        <f aca="false">M84+M85-M86-M87-M88-M89-M90</f>
        <v>0</v>
      </c>
      <c r="N91" s="11" t="n">
        <f aca="false">N84+N85-N86-N87-N88-N89-N90</f>
        <v>0</v>
      </c>
      <c r="O91" s="11" t="n">
        <f aca="false">O84+O85-O86-O87-O88-O89-O90</f>
        <v>0</v>
      </c>
      <c r="P91" s="11" t="n">
        <f aca="false">P84+P85-P86-P87-P88-P89-P90</f>
        <v>14.5543347288047</v>
      </c>
      <c r="Q91" s="11" t="n">
        <f aca="false">Q84+Q85-Q86-Q87-Q88-Q89-Q90</f>
        <v>18.7400557102466</v>
      </c>
      <c r="R91" s="11" t="n">
        <f aca="false">R84+R85-R86-R87-R88-R89-R90</f>
        <v>28.4534332517307</v>
      </c>
      <c r="S91" s="11" t="n">
        <f aca="false">S84+S85-S86-S87-S88-S89-S90</f>
        <v>37.4453541402003</v>
      </c>
      <c r="T91" s="11" t="n">
        <f aca="false">T84+T85-T86-T87-T88-T89-T90</f>
        <v>29.2500731163583</v>
      </c>
      <c r="U91" s="11" t="n">
        <f aca="false">U84+U85-U86-U87-U88-U89-U90</f>
        <v>22.1397415464925</v>
      </c>
      <c r="V91" s="11" t="n">
        <f aca="false">V84+V85-V86-V87-V88-V89-V90</f>
        <v>17.7318489883875</v>
      </c>
      <c r="W91" s="11" t="n">
        <f aca="false">W84+W85-W86-W87-W88-W89-W90</f>
        <v>15.6787105611385</v>
      </c>
      <c r="X91" s="11" t="n">
        <f aca="false">X84+X85-X86-X87-X88-X89-X90</f>
        <v>15.581677033427</v>
      </c>
      <c r="Y91" s="11" t="n">
        <f aca="false">Y84+Y85-Y86-Y87-Y88-Y89-Y90</f>
        <v>15.9523779630364</v>
      </c>
      <c r="Z91" s="11" t="n">
        <f aca="false">Z84+Z85-Z86-Z87-Z88-Z89-Z90</f>
        <v>15.8023906496284</v>
      </c>
      <c r="AA91" s="11" t="n">
        <f aca="false">AA84+AA85-AA86-AA87-AA88-AA89-AA90</f>
        <v>16.1371369165917</v>
      </c>
      <c r="AB91" s="11" t="n">
        <f aca="false">AB84+AB85-AB86-AB87-AB88-AB89-AB90</f>
        <v>15.9567661226801</v>
      </c>
      <c r="AC91" s="11" t="n">
        <f aca="false">AC84+AC85-AC86-AC87-AC88-AC89-AC90</f>
        <v>16.2013345150043</v>
      </c>
      <c r="AD91" s="11" t="n">
        <f aca="false">AD84+AD85-AD86-AD87-AD88-AD89-AD90</f>
        <v>16.0955391090641</v>
      </c>
      <c r="AE91" s="11" t="n">
        <f aca="false">AE84+AE85-AE86-AE87-AE88-AE89-AE90</f>
        <v>16.1689204172625</v>
      </c>
      <c r="AF91" s="11" t="n">
        <f aca="false">AF84+AF85-AF86-AF87-AF88-AF89-AF90</f>
        <v>16.1399925425046</v>
      </c>
      <c r="AG91" s="11" t="n">
        <f aca="false">AG84+AG85-AG86-AG87-AG88-AG89-AG90</f>
        <v>16.5521358379643</v>
      </c>
      <c r="AH91" s="11" t="n">
        <f aca="false">AH84+AH85-AH86-AH87-AH88-AH89-AH90</f>
        <v>16.357045562854</v>
      </c>
      <c r="AI91" s="11" t="n">
        <f aca="false">AI84+AI85-AI86-AI87-AI88-AI89-AI90</f>
        <v>16.6866297918787</v>
      </c>
      <c r="AJ91" s="11" t="n">
        <f aca="false">AJ84+AJ85-AJ86-AJ87-AJ88-AJ89-AJ90</f>
        <v>16.4911651720154</v>
      </c>
      <c r="AK91" s="11" t="n">
        <f aca="false">AK84+AK85-AK86-AK87-AK88-AK89-AK90</f>
        <v>16.7388939927612</v>
      </c>
      <c r="AL91" s="11" t="n">
        <f aca="false">AL84+AL85-AL86-AL87-AL88-AL89-AL90</f>
        <v>16.6286727955071</v>
      </c>
      <c r="AM91" s="11" t="n">
        <f aca="false">AM84+AM85-AM86-AM87-AM88-AM89-AM90</f>
        <v>16.9643235577777</v>
      </c>
      <c r="AN91" s="11" t="n">
        <f aca="false">AN84+AN85-AN86-AN87-AN88-AN89-AN90</f>
        <v>16.7678379983467</v>
      </c>
      <c r="AO91" s="11" t="n">
        <f aca="false">AO84+AO85-AO86-AO87-AO88-AO89-AO90</f>
        <v>17.1099051627401</v>
      </c>
      <c r="AP91" s="11" t="n">
        <f aca="false">AP84+AP85-AP86-AP87-AP88-AP89-AP90</f>
        <v>16.9122083446901</v>
      </c>
      <c r="AQ91" s="11" t="n">
        <f aca="false">AQ84+AQ85-AQ86-AQ87-AQ88-AQ89-AQ90</f>
        <v>17.2563622488579</v>
      </c>
      <c r="AR91" s="11" t="n">
        <f aca="false">AR84+AR85-AR86-AR87-AR88-AR89-AR90</f>
        <v>17.0581300330134</v>
      </c>
      <c r="AS91" s="11" t="n">
        <f aca="false">AS84+AS85-AS86-AS87-AS88-AS89-AS90</f>
        <v>17.3173534116761</v>
      </c>
      <c r="AT91" s="11" t="n">
        <f aca="false">AT84+AT85-AT86-AT87-AT88-AT89-AT90</f>
        <v>17.2073273568227</v>
      </c>
      <c r="AU91" s="11" t="n">
        <f aca="false">AU84+AU85-AU86-AU87-AU88-AU89-AU90</f>
        <v>17.2919867231396</v>
      </c>
      <c r="AV91" s="11" t="n">
        <f aca="false">AV84+AV85-AV86-AV87-AV88-AV89-AV90</f>
        <v>17.2709162530014</v>
      </c>
      <c r="AW91" s="11" t="n">
        <f aca="false">AW84+AW85-AW86-AW87-AW88-AW89-AW90</f>
        <v>17.7157105263325</v>
      </c>
      <c r="AX91" s="11" t="n">
        <f aca="false">AX84+AX85-AX86-AX87-AX88-AX89-AX90</f>
        <v>17.5151988637042</v>
      </c>
      <c r="AY91" s="11" t="n">
        <f aca="false">AY84+AY85-AY86-AY87-AY88-AY89-AY90</f>
        <v>17.8752147942971</v>
      </c>
      <c r="AZ91" s="11" t="n">
        <f aca="false">AZ84+AZ85-AZ86-AZ87-AZ88-AZ89-AZ90</f>
        <v>17.6739824630766</v>
      </c>
      <c r="BA91" s="11" t="n">
        <f aca="false">BA84+BA85-BA86-BA87-BA88-BA89-BA90</f>
        <v>17.9456680397618</v>
      </c>
      <c r="BB91" s="11" t="n">
        <f aca="false">BB84+BB85-BB86-BB87-BB88-BB89-BB90</f>
        <v>17.8360278182666</v>
      </c>
      <c r="BC91" s="11" t="n">
        <f aca="false">BC84+BC85-BC86-BC87-BC88-BC89-BC90</f>
        <v>18.2051142083785</v>
      </c>
      <c r="BD91" s="11" t="n">
        <f aca="false">BD84+BD85-BD86-BD87-BD88-BD89-BD90</f>
        <v>18.0022879247389</v>
      </c>
      <c r="BE91" s="11" t="n">
        <f aca="false">BE84+BE85-BE86-BE87-BE88-BE89-BE90</f>
        <v>18.3737860604586</v>
      </c>
      <c r="BF91" s="11" t="n">
        <f aca="false">BF84+BF85-BF86-BF87-BF88-BF89-BF90</f>
        <v>18.1702339183763</v>
      </c>
      <c r="BG91" s="11" t="n">
        <f aca="false">BG84+BG85-BG86-BG87-BG88-BG89-BG90</f>
        <v>18.5475211055882</v>
      </c>
      <c r="BH91" s="11" t="n">
        <f aca="false">BH84+BH85-BH86-BH87-BH88-BH89-BH90</f>
        <v>18.3430358617027</v>
      </c>
      <c r="BI91" s="11" t="n">
        <f aca="false">BI84+BI85-BI86-BI87-BI88-BI89-BI90</f>
        <v>18.6282349647416</v>
      </c>
      <c r="BJ91" s="11" t="n">
        <f aca="false">BJ84+BJ85-BJ86-BJ87-BJ88-BJ89-BJ90</f>
        <v>18.5192312746622</v>
      </c>
      <c r="BK91" s="11" t="n">
        <f aca="false">BK84+BK85-BK86-BK87-BK88-BK89-BK90</f>
        <v>18.6174794389875</v>
      </c>
      <c r="BL91" s="11" t="n">
        <f aca="false">BL84+BL85-BL86-BL87-BL88-BL89-BL90</f>
        <v>18.6058682865166</v>
      </c>
      <c r="BM91" s="11" t="n">
        <f aca="false">BM84+BM85-BM86-BM87-BM88-BM89-BM90</f>
        <v>19.0887458329253</v>
      </c>
      <c r="BN91" s="11" t="n">
        <f aca="false">BN84+BN85-BN86-BN87-BN88-BN89-BN90</f>
        <v>0</v>
      </c>
    </row>
    <row r="92" customFormat="false" ht="15" hidden="false" customHeight="false" outlineLevel="0" collapsed="false">
      <c r="D92" s="0" t="s">
        <v>540</v>
      </c>
      <c r="E92" s="0" t="s">
        <v>149</v>
      </c>
      <c r="G92" s="11" t="n">
        <f aca="false">SUM(J92:BN92)</f>
        <v>0</v>
      </c>
      <c r="J92" s="11" t="n">
        <f aca="false">J91-0</f>
        <v>0</v>
      </c>
      <c r="K92" s="11" t="n">
        <f aca="false">K91-J91</f>
        <v>0</v>
      </c>
      <c r="L92" s="11" t="n">
        <f aca="false">L91-K91</f>
        <v>0</v>
      </c>
      <c r="M92" s="11" t="n">
        <f aca="false">M91-L91</f>
        <v>0</v>
      </c>
      <c r="N92" s="11" t="n">
        <f aca="false">N91-M91</f>
        <v>0</v>
      </c>
      <c r="O92" s="11" t="n">
        <f aca="false">O91-N91</f>
        <v>0</v>
      </c>
      <c r="P92" s="11" t="n">
        <f aca="false">P91-O91</f>
        <v>14.5543347288047</v>
      </c>
      <c r="Q92" s="11" t="n">
        <f aca="false">Q91-P91</f>
        <v>4.18572098144191</v>
      </c>
      <c r="R92" s="11" t="n">
        <f aca="false">R91-Q91</f>
        <v>9.71337754148403</v>
      </c>
      <c r="S92" s="11" t="n">
        <f aca="false">S91-R91</f>
        <v>8.99192088846959</v>
      </c>
      <c r="T92" s="11" t="n">
        <f aca="false">T91-S91</f>
        <v>-8.19528102384201</v>
      </c>
      <c r="U92" s="11" t="n">
        <f aca="false">U91-T91</f>
        <v>-7.11033156986577</v>
      </c>
      <c r="V92" s="11" t="n">
        <f aca="false">V91-U91</f>
        <v>-4.40789255810498</v>
      </c>
      <c r="W92" s="11" t="n">
        <f aca="false">W91-V91</f>
        <v>-2.05313842724898</v>
      </c>
      <c r="X92" s="11" t="n">
        <f aca="false">X91-W91</f>
        <v>-0.0970335277114973</v>
      </c>
      <c r="Y92" s="11" t="n">
        <f aca="false">Y91-X91</f>
        <v>0.370700929609333</v>
      </c>
      <c r="Z92" s="11" t="n">
        <f aca="false">Z91-Y91</f>
        <v>-0.149987313407944</v>
      </c>
      <c r="AA92" s="11" t="n">
        <f aca="false">AA91-Z91</f>
        <v>0.334746266963307</v>
      </c>
      <c r="AB92" s="11" t="n">
        <f aca="false">AB91-AA91</f>
        <v>-0.180370793911614</v>
      </c>
      <c r="AC92" s="11" t="n">
        <f aca="false">AC91-AB91</f>
        <v>0.244568392324208</v>
      </c>
      <c r="AD92" s="11" t="n">
        <f aca="false">AD91-AC91</f>
        <v>-0.105795405940238</v>
      </c>
      <c r="AE92" s="11" t="n">
        <f aca="false">AE91-AD91</f>
        <v>0.0733813081984103</v>
      </c>
      <c r="AF92" s="11" t="n">
        <f aca="false">AF91-AE91</f>
        <v>-0.0289278747579225</v>
      </c>
      <c r="AG92" s="11" t="n">
        <f aca="false">AG91-AF91</f>
        <v>0.412143295459735</v>
      </c>
      <c r="AH92" s="11" t="n">
        <f aca="false">AH91-AG91</f>
        <v>-0.195090275110317</v>
      </c>
      <c r="AI92" s="11" t="n">
        <f aca="false">AI91-AH91</f>
        <v>0.329584229024736</v>
      </c>
      <c r="AJ92" s="11" t="n">
        <f aca="false">AJ91-AI91</f>
        <v>-0.195464619863358</v>
      </c>
      <c r="AK92" s="11" t="n">
        <f aca="false">AK91-AJ91</f>
        <v>0.247728820745809</v>
      </c>
      <c r="AL92" s="11" t="n">
        <f aca="false">AL91-AK91</f>
        <v>-0.110221197254056</v>
      </c>
      <c r="AM92" s="11" t="n">
        <f aca="false">AM91-AL91</f>
        <v>0.335650762270618</v>
      </c>
      <c r="AN92" s="11" t="n">
        <f aca="false">AN91-AM91</f>
        <v>-0.196485559431071</v>
      </c>
      <c r="AO92" s="11" t="n">
        <f aca="false">AO91-AN91</f>
        <v>0.342067164393455</v>
      </c>
      <c r="AP92" s="11" t="n">
        <f aca="false">AP91-AO91</f>
        <v>-0.197696818050037</v>
      </c>
      <c r="AQ92" s="11" t="n">
        <f aca="false">AQ91-AP91</f>
        <v>0.344153904167836</v>
      </c>
      <c r="AR92" s="11" t="n">
        <f aca="false">AR91-AQ91</f>
        <v>-0.198232215844552</v>
      </c>
      <c r="AS92" s="11" t="n">
        <f aca="false">AS91-AR91</f>
        <v>0.259223378662707</v>
      </c>
      <c r="AT92" s="11" t="n">
        <f aca="false">AT91-AS91</f>
        <v>-0.110026054853407</v>
      </c>
      <c r="AU92" s="11" t="n">
        <f aca="false">AU91-AT91</f>
        <v>0.0846593663168918</v>
      </c>
      <c r="AV92" s="11" t="n">
        <f aca="false">AV91-AU91</f>
        <v>-0.0210704701381488</v>
      </c>
      <c r="AW92" s="11" t="n">
        <f aca="false">AW91-AV91</f>
        <v>0.444794273331066</v>
      </c>
      <c r="AX92" s="11" t="n">
        <f aca="false">AX91-AW91</f>
        <v>-0.200511662628255</v>
      </c>
      <c r="AY92" s="11" t="n">
        <f aca="false">AY91-AX91</f>
        <v>0.360015930592883</v>
      </c>
      <c r="AZ92" s="11" t="n">
        <f aca="false">AZ91-AY91</f>
        <v>-0.201232331220549</v>
      </c>
      <c r="BA92" s="11" t="n">
        <f aca="false">BA91-AZ91</f>
        <v>0.271685576685222</v>
      </c>
      <c r="BB92" s="11" t="n">
        <f aca="false">BB91-BA91</f>
        <v>-0.109640221495216</v>
      </c>
      <c r="BC92" s="11" t="n">
        <f aca="false">BC91-BB91</f>
        <v>0.369086390111971</v>
      </c>
      <c r="BD92" s="11" t="n">
        <f aca="false">BD91-BC91</f>
        <v>-0.202826283639673</v>
      </c>
      <c r="BE92" s="11" t="n">
        <f aca="false">BE91-BD91</f>
        <v>0.371498135719779</v>
      </c>
      <c r="BF92" s="11" t="n">
        <f aca="false">BF91-BE91</f>
        <v>-0.203552142082341</v>
      </c>
      <c r="BG92" s="11" t="n">
        <f aca="false">BG91-BF91</f>
        <v>0.377287187211927</v>
      </c>
      <c r="BH92" s="11" t="n">
        <f aca="false">BH91-BG91</f>
        <v>-0.204485243885479</v>
      </c>
      <c r="BI92" s="11" t="n">
        <f aca="false">BI91-BH91</f>
        <v>0.285199103038902</v>
      </c>
      <c r="BJ92" s="11" t="n">
        <f aca="false">BJ91-BI91</f>
        <v>-0.109003690079433</v>
      </c>
      <c r="BK92" s="11" t="n">
        <f aca="false">BK91-BJ91</f>
        <v>0.0982481643252768</v>
      </c>
      <c r="BL92" s="11" t="n">
        <f aca="false">BL91-BK91</f>
        <v>-0.0116111524708629</v>
      </c>
      <c r="BM92" s="11" t="n">
        <f aca="false">BM91-BL91</f>
        <v>0.482877546408673</v>
      </c>
      <c r="BN92" s="11" t="n">
        <f aca="false">BN91-BM91</f>
        <v>-19.0887458329253</v>
      </c>
    </row>
    <row r="93" customFormat="false" ht="15" hidden="false" customHeight="false" outlineLevel="0" collapsed="false">
      <c r="D93" s="0" t="s">
        <v>541</v>
      </c>
      <c r="E93" s="0" t="s">
        <v>149</v>
      </c>
      <c r="G93" s="11" t="n">
        <f aca="false">SUM(J93:BN93)</f>
        <v>5.35</v>
      </c>
      <c r="J93" s="11" t="n">
        <f aca="false">Time!J32*Inputs!$F$67*Inputs!$F$36</f>
        <v>0</v>
      </c>
      <c r="K93" s="11" t="n">
        <f aca="false">Time!K32*Inputs!$F$67*Inputs!$F$36</f>
        <v>0</v>
      </c>
      <c r="L93" s="11" t="n">
        <f aca="false">Time!L32*Inputs!$F$67*Inputs!$F$36</f>
        <v>0</v>
      </c>
      <c r="M93" s="11" t="n">
        <f aca="false">Time!M32*Inputs!$F$67*Inputs!$F$36</f>
        <v>0</v>
      </c>
      <c r="N93" s="11" t="n">
        <f aca="false">Time!N32*Inputs!$F$67*Inputs!$F$36</f>
        <v>0</v>
      </c>
      <c r="O93" s="11" t="n">
        <f aca="false">Time!O32*Inputs!$F$67*Inputs!$F$36</f>
        <v>0</v>
      </c>
      <c r="P93" s="11" t="n">
        <f aca="false">Time!P32*Inputs!$F$67*Inputs!$F$36</f>
        <v>0</v>
      </c>
      <c r="Q93" s="11" t="n">
        <f aca="false">Time!Q32*Inputs!$F$67*Inputs!$F$36</f>
        <v>0</v>
      </c>
      <c r="R93" s="11" t="n">
        <f aca="false">Time!R32*Inputs!$F$67*Inputs!$F$36</f>
        <v>0</v>
      </c>
      <c r="S93" s="11" t="n">
        <f aca="false">Time!S32*Inputs!$F$67*Inputs!$F$36</f>
        <v>0</v>
      </c>
      <c r="T93" s="11" t="n">
        <f aca="false">Time!T32*Inputs!$F$67*Inputs!$F$36</f>
        <v>0</v>
      </c>
      <c r="U93" s="11" t="n">
        <f aca="false">Time!U32*Inputs!$F$67*Inputs!$F$36</f>
        <v>0</v>
      </c>
      <c r="V93" s="11" t="n">
        <f aca="false">Time!V32*Inputs!$F$67*Inputs!$F$36</f>
        <v>0</v>
      </c>
      <c r="W93" s="11" t="n">
        <f aca="false">Time!W32*Inputs!$F$67*Inputs!$F$36</f>
        <v>0</v>
      </c>
      <c r="X93" s="11" t="n">
        <f aca="false">Time!X32*Inputs!$F$67*Inputs!$F$36</f>
        <v>0</v>
      </c>
      <c r="Y93" s="11" t="n">
        <f aca="false">Time!Y32*Inputs!$F$67*Inputs!$F$36</f>
        <v>0</v>
      </c>
      <c r="Z93" s="11" t="n">
        <f aca="false">Time!Z32*Inputs!$F$67*Inputs!$F$36</f>
        <v>0</v>
      </c>
      <c r="AA93" s="11" t="n">
        <f aca="false">Time!AA32*Inputs!$F$67*Inputs!$F$36</f>
        <v>0</v>
      </c>
      <c r="AB93" s="11" t="n">
        <f aca="false">Time!AB32*Inputs!$F$67*Inputs!$F$36</f>
        <v>0</v>
      </c>
      <c r="AC93" s="11" t="n">
        <f aca="false">Time!AC32*Inputs!$F$67*Inputs!$F$36</f>
        <v>0</v>
      </c>
      <c r="AD93" s="11" t="n">
        <f aca="false">Time!AD32*Inputs!$F$67*Inputs!$F$36</f>
        <v>0</v>
      </c>
      <c r="AE93" s="11" t="n">
        <f aca="false">Time!AE32*Inputs!$F$67*Inputs!$F$36</f>
        <v>0</v>
      </c>
      <c r="AF93" s="11" t="n">
        <f aca="false">Time!AF32*Inputs!$F$67*Inputs!$F$36</f>
        <v>0</v>
      </c>
      <c r="AG93" s="11" t="n">
        <f aca="false">Time!AG32*Inputs!$F$67*Inputs!$F$36</f>
        <v>0</v>
      </c>
      <c r="AH93" s="11" t="n">
        <f aca="false">Time!AH32*Inputs!$F$67*Inputs!$F$36</f>
        <v>0</v>
      </c>
      <c r="AI93" s="11" t="n">
        <f aca="false">Time!AI32*Inputs!$F$67*Inputs!$F$36</f>
        <v>0</v>
      </c>
      <c r="AJ93" s="11" t="n">
        <f aca="false">Time!AJ32*Inputs!$F$67*Inputs!$F$36</f>
        <v>0</v>
      </c>
      <c r="AK93" s="11" t="n">
        <f aca="false">Time!AK32*Inputs!$F$67*Inputs!$F$36</f>
        <v>0</v>
      </c>
      <c r="AL93" s="11" t="n">
        <f aca="false">Time!AL32*Inputs!$F$67*Inputs!$F$36</f>
        <v>0</v>
      </c>
      <c r="AM93" s="11" t="n">
        <f aca="false">Time!AM32*Inputs!$F$67*Inputs!$F$36</f>
        <v>0</v>
      </c>
      <c r="AN93" s="11" t="n">
        <f aca="false">Time!AN32*Inputs!$F$67*Inputs!$F$36</f>
        <v>0</v>
      </c>
      <c r="AO93" s="11" t="n">
        <f aca="false">Time!AO32*Inputs!$F$67*Inputs!$F$36</f>
        <v>0</v>
      </c>
      <c r="AP93" s="11" t="n">
        <f aca="false">Time!AP32*Inputs!$F$67*Inputs!$F$36</f>
        <v>0</v>
      </c>
      <c r="AQ93" s="11" t="n">
        <f aca="false">Time!AQ32*Inputs!$F$67*Inputs!$F$36</f>
        <v>0</v>
      </c>
      <c r="AR93" s="11" t="n">
        <f aca="false">Time!AR32*Inputs!$F$67*Inputs!$F$36</f>
        <v>0</v>
      </c>
      <c r="AS93" s="11" t="n">
        <f aca="false">Time!AS32*Inputs!$F$67*Inputs!$F$36</f>
        <v>0</v>
      </c>
      <c r="AT93" s="11" t="n">
        <f aca="false">Time!AT32*Inputs!$F$67*Inputs!$F$36</f>
        <v>0</v>
      </c>
      <c r="AU93" s="11" t="n">
        <f aca="false">Time!AU32*Inputs!$F$67*Inputs!$F$36</f>
        <v>0</v>
      </c>
      <c r="AV93" s="11" t="n">
        <f aca="false">Time!AV32*Inputs!$F$67*Inputs!$F$36</f>
        <v>0</v>
      </c>
      <c r="AW93" s="11" t="n">
        <f aca="false">Time!AW32*Inputs!$F$67*Inputs!$F$36</f>
        <v>0</v>
      </c>
      <c r="AX93" s="11" t="n">
        <f aca="false">Time!AX32*Inputs!$F$67*Inputs!$F$36</f>
        <v>0</v>
      </c>
      <c r="AY93" s="11" t="n">
        <f aca="false">Time!AY32*Inputs!$F$67*Inputs!$F$36</f>
        <v>0</v>
      </c>
      <c r="AZ93" s="11" t="n">
        <f aca="false">Time!AZ32*Inputs!$F$67*Inputs!$F$36</f>
        <v>0</v>
      </c>
      <c r="BA93" s="11" t="n">
        <f aca="false">Time!BA32*Inputs!$F$67*Inputs!$F$36</f>
        <v>0</v>
      </c>
      <c r="BB93" s="11" t="n">
        <f aca="false">Time!BB32*Inputs!$F$67*Inputs!$F$36</f>
        <v>0</v>
      </c>
      <c r="BC93" s="11" t="n">
        <f aca="false">Time!BC32*Inputs!$F$67*Inputs!$F$36</f>
        <v>0</v>
      </c>
      <c r="BD93" s="11" t="n">
        <f aca="false">Time!BD32*Inputs!$F$67*Inputs!$F$36</f>
        <v>0</v>
      </c>
      <c r="BE93" s="11" t="n">
        <f aca="false">Time!BE32*Inputs!$F$67*Inputs!$F$36</f>
        <v>0</v>
      </c>
      <c r="BF93" s="11" t="n">
        <f aca="false">Time!BF32*Inputs!$F$67*Inputs!$F$36</f>
        <v>0</v>
      </c>
      <c r="BG93" s="11" t="n">
        <f aca="false">Time!BG32*Inputs!$F$67*Inputs!$F$36</f>
        <v>0</v>
      </c>
      <c r="BH93" s="11" t="n">
        <f aca="false">Time!BH32*Inputs!$F$67*Inputs!$F$36</f>
        <v>0</v>
      </c>
      <c r="BI93" s="11" t="n">
        <f aca="false">Time!BI32*Inputs!$F$67*Inputs!$F$36</f>
        <v>0</v>
      </c>
      <c r="BJ93" s="11" t="n">
        <f aca="false">Time!BJ32*Inputs!$F$67*Inputs!$F$36</f>
        <v>0</v>
      </c>
      <c r="BK93" s="11" t="n">
        <f aca="false">Time!BK32*Inputs!$F$67*Inputs!$F$36</f>
        <v>0</v>
      </c>
      <c r="BL93" s="11" t="n">
        <f aca="false">Time!BL32*Inputs!$F$67*Inputs!$F$36</f>
        <v>0</v>
      </c>
      <c r="BM93" s="11" t="n">
        <f aca="false">Time!BM32*Inputs!$F$67*Inputs!$F$36</f>
        <v>0</v>
      </c>
      <c r="BN93" s="11" t="n">
        <f aca="false">Time!BN32*Inputs!$F$67*Inputs!$F$36</f>
        <v>5.35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542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543</v>
      </c>
      <c r="E7" s="0" t="s">
        <v>97</v>
      </c>
      <c r="J7" s="9" t="n">
        <f aca="false">MAX(0,MIN(Time!J28,60)-MIN(Time!J27,60))</f>
        <v>0</v>
      </c>
      <c r="K7" s="9" t="n">
        <f aca="false">MAX(0,MIN(Time!K28,60)-MIN(Time!K27,60))</f>
        <v>0</v>
      </c>
      <c r="L7" s="9" t="n">
        <f aca="false">MAX(0,MIN(Time!L28,60)-MIN(Time!L27,60))</f>
        <v>0</v>
      </c>
      <c r="M7" s="9" t="n">
        <f aca="false">MAX(0,MIN(Time!M28,60)-MIN(Time!M27,60))</f>
        <v>0</v>
      </c>
      <c r="N7" s="9" t="n">
        <f aca="false">MAX(0,MIN(Time!N28,60)-MIN(Time!N27,60))</f>
        <v>0</v>
      </c>
      <c r="O7" s="9" t="n">
        <f aca="false">MAX(0,MIN(Time!O28,60)-MIN(Time!O27,60))</f>
        <v>0</v>
      </c>
      <c r="P7" s="9" t="n">
        <f aca="false">MAX(0,MIN(Time!P28,60)-MIN(Time!P27,60))</f>
        <v>1</v>
      </c>
      <c r="Q7" s="9" t="n">
        <f aca="false">MAX(0,MIN(Time!Q28,60)-MIN(Time!Q27,60))</f>
        <v>6</v>
      </c>
      <c r="R7" s="9" t="n">
        <f aca="false">MAX(0,MIN(Time!R28,60)-MIN(Time!R27,60))</f>
        <v>6</v>
      </c>
      <c r="S7" s="9" t="n">
        <f aca="false">MAX(0,MIN(Time!S28,60)-MIN(Time!S27,60))</f>
        <v>6</v>
      </c>
      <c r="T7" s="9" t="n">
        <f aca="false">MAX(0,MIN(Time!T28,60)-MIN(Time!T27,60))</f>
        <v>6</v>
      </c>
      <c r="U7" s="9" t="n">
        <f aca="false">MAX(0,MIN(Time!U28,60)-MIN(Time!U27,60))</f>
        <v>6</v>
      </c>
      <c r="V7" s="9" t="n">
        <f aca="false">MAX(0,MIN(Time!V28,60)-MIN(Time!V27,60))</f>
        <v>6</v>
      </c>
      <c r="W7" s="9" t="n">
        <f aca="false">MAX(0,MIN(Time!W28,60)-MIN(Time!W27,60))</f>
        <v>6</v>
      </c>
      <c r="X7" s="9" t="n">
        <f aca="false">MAX(0,MIN(Time!X28,60)-MIN(Time!X27,60))</f>
        <v>6</v>
      </c>
      <c r="Y7" s="9" t="n">
        <f aca="false">MAX(0,MIN(Time!Y28,60)-MIN(Time!Y27,60))</f>
        <v>6</v>
      </c>
      <c r="Z7" s="9" t="n">
        <f aca="false">MAX(0,MIN(Time!Z28,60)-MIN(Time!Z27,60))</f>
        <v>5</v>
      </c>
      <c r="AA7" s="9" t="n">
        <f aca="false">MAX(0,MIN(Time!AA28,60)-MIN(Time!AA27,60))</f>
        <v>0</v>
      </c>
      <c r="AB7" s="9" t="n">
        <f aca="false">MAX(0,MIN(Time!AB28,60)-MIN(Time!AB27,60))</f>
        <v>0</v>
      </c>
      <c r="AC7" s="9" t="n">
        <f aca="false">MAX(0,MIN(Time!AC28,60)-MIN(Time!AC27,60))</f>
        <v>0</v>
      </c>
      <c r="AD7" s="9" t="n">
        <f aca="false">MAX(0,MIN(Time!AD28,60)-MIN(Time!AD27,60))</f>
        <v>0</v>
      </c>
      <c r="AE7" s="9" t="n">
        <f aca="false">MAX(0,MIN(Time!AE28,60)-MIN(Time!AE27,60))</f>
        <v>0</v>
      </c>
      <c r="AF7" s="9" t="n">
        <f aca="false">MAX(0,MIN(Time!AF28,60)-MIN(Time!AF27,60))</f>
        <v>0</v>
      </c>
      <c r="AG7" s="9" t="n">
        <f aca="false">MAX(0,MIN(Time!AG28,60)-MIN(Time!AG27,60))</f>
        <v>0</v>
      </c>
      <c r="AH7" s="9" t="n">
        <f aca="false">MAX(0,MIN(Time!AH28,60)-MIN(Time!AH27,60))</f>
        <v>0</v>
      </c>
      <c r="AI7" s="9" t="n">
        <f aca="false">MAX(0,MIN(Time!AI28,60)-MIN(Time!AI27,60))</f>
        <v>0</v>
      </c>
      <c r="AJ7" s="9" t="n">
        <f aca="false">MAX(0,MIN(Time!AJ28,60)-MIN(Time!AJ27,60))</f>
        <v>0</v>
      </c>
      <c r="AK7" s="9" t="n">
        <f aca="false">MAX(0,MIN(Time!AK28,60)-MIN(Time!AK27,60))</f>
        <v>0</v>
      </c>
      <c r="AL7" s="9" t="n">
        <f aca="false">MAX(0,MIN(Time!AL28,60)-MIN(Time!AL27,60))</f>
        <v>0</v>
      </c>
      <c r="AM7" s="9" t="n">
        <f aca="false">MAX(0,MIN(Time!AM28,60)-MIN(Time!AM27,60))</f>
        <v>0</v>
      </c>
      <c r="AN7" s="9" t="n">
        <f aca="false">MAX(0,MIN(Time!AN28,60)-MIN(Time!AN27,60))</f>
        <v>0</v>
      </c>
      <c r="AO7" s="9" t="n">
        <f aca="false">MAX(0,MIN(Time!AO28,60)-MIN(Time!AO27,60))</f>
        <v>0</v>
      </c>
      <c r="AP7" s="9" t="n">
        <f aca="false">MAX(0,MIN(Time!AP28,60)-MIN(Time!AP27,60))</f>
        <v>0</v>
      </c>
      <c r="AQ7" s="9" t="n">
        <f aca="false">MAX(0,MIN(Time!AQ28,60)-MIN(Time!AQ27,60))</f>
        <v>0</v>
      </c>
      <c r="AR7" s="9" t="n">
        <f aca="false">MAX(0,MIN(Time!AR28,60)-MIN(Time!AR27,60))</f>
        <v>0</v>
      </c>
      <c r="AS7" s="9" t="n">
        <f aca="false">MAX(0,MIN(Time!AS28,60)-MIN(Time!AS27,60))</f>
        <v>0</v>
      </c>
      <c r="AT7" s="9" t="n">
        <f aca="false">MAX(0,MIN(Time!AT28,60)-MIN(Time!AT27,60))</f>
        <v>0</v>
      </c>
      <c r="AU7" s="9" t="n">
        <f aca="false">MAX(0,MIN(Time!AU28,60)-MIN(Time!AU27,60))</f>
        <v>0</v>
      </c>
      <c r="AV7" s="9" t="n">
        <f aca="false">MAX(0,MIN(Time!AV28,60)-MIN(Time!AV27,60))</f>
        <v>0</v>
      </c>
      <c r="AW7" s="9" t="n">
        <f aca="false">MAX(0,MIN(Time!AW28,60)-MIN(Time!AW27,60))</f>
        <v>0</v>
      </c>
      <c r="AX7" s="9" t="n">
        <f aca="false">MAX(0,MIN(Time!AX28,60)-MIN(Time!AX27,60))</f>
        <v>0</v>
      </c>
      <c r="AY7" s="9" t="n">
        <f aca="false">MAX(0,MIN(Time!AY28,60)-MIN(Time!AY27,60))</f>
        <v>0</v>
      </c>
      <c r="AZ7" s="9" t="n">
        <f aca="false">MAX(0,MIN(Time!AZ28,60)-MIN(Time!AZ27,60))</f>
        <v>0</v>
      </c>
      <c r="BA7" s="9" t="n">
        <f aca="false">MAX(0,MIN(Time!BA28,60)-MIN(Time!BA27,60))</f>
        <v>0</v>
      </c>
      <c r="BB7" s="9" t="n">
        <f aca="false">MAX(0,MIN(Time!BB28,60)-MIN(Time!BB27,60))</f>
        <v>0</v>
      </c>
      <c r="BC7" s="9" t="n">
        <f aca="false">MAX(0,MIN(Time!BC28,60)-MIN(Time!BC27,60))</f>
        <v>0</v>
      </c>
      <c r="BD7" s="9" t="n">
        <f aca="false">MAX(0,MIN(Time!BD28,60)-MIN(Time!BD27,60))</f>
        <v>0</v>
      </c>
      <c r="BE7" s="9" t="n">
        <f aca="false">MAX(0,MIN(Time!BE28,60)-MIN(Time!BE27,60))</f>
        <v>0</v>
      </c>
      <c r="BF7" s="9" t="n">
        <f aca="false">MAX(0,MIN(Time!BF28,60)-MIN(Time!BF27,60))</f>
        <v>0</v>
      </c>
      <c r="BG7" s="9" t="n">
        <f aca="false">MAX(0,MIN(Time!BG28,60)-MIN(Time!BG27,60))</f>
        <v>0</v>
      </c>
      <c r="BH7" s="9" t="n">
        <f aca="false">MAX(0,MIN(Time!BH28,60)-MIN(Time!BH27,60))</f>
        <v>0</v>
      </c>
      <c r="BI7" s="9" t="n">
        <f aca="false">MAX(0,MIN(Time!BI28,60)-MIN(Time!BI27,60))</f>
        <v>0</v>
      </c>
      <c r="BJ7" s="9" t="n">
        <f aca="false">MAX(0,MIN(Time!BJ28,60)-MIN(Time!BJ27,60))</f>
        <v>0</v>
      </c>
      <c r="BK7" s="9" t="n">
        <f aca="false">MAX(0,MIN(Time!BK28,60)-MIN(Time!BK27,60))</f>
        <v>0</v>
      </c>
      <c r="BL7" s="9" t="n">
        <f aca="false">MAX(0,MIN(Time!BL28,60)-MIN(Time!BL27,60))</f>
        <v>0</v>
      </c>
      <c r="BM7" s="9" t="n">
        <f aca="false">MAX(0,MIN(Time!BM28,60)-MIN(Time!BM27,60))</f>
        <v>0</v>
      </c>
      <c r="BN7" s="9" t="n">
        <f aca="false">MAX(0,MIN(Time!BN28,60)-MIN(Time!BN27,60))</f>
        <v>0</v>
      </c>
    </row>
    <row r="8" customFormat="false" ht="15" hidden="false" customHeight="false" outlineLevel="0" collapsed="false">
      <c r="D8" s="0" t="s">
        <v>544</v>
      </c>
      <c r="E8" s="0" t="s">
        <v>97</v>
      </c>
      <c r="J8" s="9" t="n">
        <f aca="false">MAX(0,MIN(Time!J28,96)-MIN(MAX(Time!J27,60),96))</f>
        <v>0</v>
      </c>
      <c r="K8" s="9" t="n">
        <f aca="false">MAX(0,MIN(Time!K28,96)-MIN(MAX(Time!K27,60),96))</f>
        <v>0</v>
      </c>
      <c r="L8" s="9" t="n">
        <f aca="false">MAX(0,MIN(Time!L28,96)-MIN(MAX(Time!L27,60),96))</f>
        <v>0</v>
      </c>
      <c r="M8" s="9" t="n">
        <f aca="false">MAX(0,MIN(Time!M28,96)-MIN(MAX(Time!M27,60),96))</f>
        <v>0</v>
      </c>
      <c r="N8" s="9" t="n">
        <f aca="false">MAX(0,MIN(Time!N28,96)-MIN(MAX(Time!N27,60),96))</f>
        <v>0</v>
      </c>
      <c r="O8" s="9" t="n">
        <f aca="false">MAX(0,MIN(Time!O28,96)-MIN(MAX(Time!O27,60),96))</f>
        <v>0</v>
      </c>
      <c r="P8" s="9" t="n">
        <f aca="false">MAX(0,MIN(Time!P28,96)-MIN(MAX(Time!P27,60),96))</f>
        <v>0</v>
      </c>
      <c r="Q8" s="9" t="n">
        <f aca="false">MAX(0,MIN(Time!Q28,96)-MIN(MAX(Time!Q27,60),96))</f>
        <v>0</v>
      </c>
      <c r="R8" s="9" t="n">
        <f aca="false">MAX(0,MIN(Time!R28,96)-MIN(MAX(Time!R27,60),96))</f>
        <v>0</v>
      </c>
      <c r="S8" s="9" t="n">
        <f aca="false">MAX(0,MIN(Time!S28,96)-MIN(MAX(Time!S27,60),96))</f>
        <v>0</v>
      </c>
      <c r="T8" s="9" t="n">
        <f aca="false">MAX(0,MIN(Time!T28,96)-MIN(MAX(Time!T27,60),96))</f>
        <v>0</v>
      </c>
      <c r="U8" s="9" t="n">
        <f aca="false">MAX(0,MIN(Time!U28,96)-MIN(MAX(Time!U27,60),96))</f>
        <v>0</v>
      </c>
      <c r="V8" s="9" t="n">
        <f aca="false">MAX(0,MIN(Time!V28,96)-MIN(MAX(Time!V27,60),96))</f>
        <v>0</v>
      </c>
      <c r="W8" s="9" t="n">
        <f aca="false">MAX(0,MIN(Time!W28,96)-MIN(MAX(Time!W27,60),96))</f>
        <v>0</v>
      </c>
      <c r="X8" s="9" t="n">
        <f aca="false">MAX(0,MIN(Time!X28,96)-MIN(MAX(Time!X27,60),96))</f>
        <v>0</v>
      </c>
      <c r="Y8" s="9" t="n">
        <f aca="false">MAX(0,MIN(Time!Y28,96)-MIN(MAX(Time!Y27,60),96))</f>
        <v>0</v>
      </c>
      <c r="Z8" s="9" t="n">
        <f aca="false">MAX(0,MIN(Time!Z28,96)-MIN(MAX(Time!Z27,60),96))</f>
        <v>1</v>
      </c>
      <c r="AA8" s="9" t="n">
        <f aca="false">MAX(0,MIN(Time!AA28,96)-MIN(MAX(Time!AA27,60),96))</f>
        <v>6</v>
      </c>
      <c r="AB8" s="9" t="n">
        <f aca="false">MAX(0,MIN(Time!AB28,96)-MIN(MAX(Time!AB27,60),96))</f>
        <v>6</v>
      </c>
      <c r="AC8" s="9" t="n">
        <f aca="false">MAX(0,MIN(Time!AC28,96)-MIN(MAX(Time!AC27,60),96))</f>
        <v>6</v>
      </c>
      <c r="AD8" s="9" t="n">
        <f aca="false">MAX(0,MIN(Time!AD28,96)-MIN(MAX(Time!AD27,60),96))</f>
        <v>6</v>
      </c>
      <c r="AE8" s="9" t="n">
        <f aca="false">MAX(0,MIN(Time!AE28,96)-MIN(MAX(Time!AE27,60),96))</f>
        <v>6</v>
      </c>
      <c r="AF8" s="9" t="n">
        <f aca="false">MAX(0,MIN(Time!AF28,96)-MIN(MAX(Time!AF27,60),96))</f>
        <v>5</v>
      </c>
      <c r="AG8" s="9" t="n">
        <f aca="false">MAX(0,MIN(Time!AG28,96)-MIN(MAX(Time!AG27,60),96))</f>
        <v>0</v>
      </c>
      <c r="AH8" s="9" t="n">
        <f aca="false">MAX(0,MIN(Time!AH28,96)-MIN(MAX(Time!AH27,60),96))</f>
        <v>0</v>
      </c>
      <c r="AI8" s="9" t="n">
        <f aca="false">MAX(0,MIN(Time!AI28,96)-MIN(MAX(Time!AI27,60),96))</f>
        <v>0</v>
      </c>
      <c r="AJ8" s="9" t="n">
        <f aca="false">MAX(0,MIN(Time!AJ28,96)-MIN(MAX(Time!AJ27,60),96))</f>
        <v>0</v>
      </c>
      <c r="AK8" s="9" t="n">
        <f aca="false">MAX(0,MIN(Time!AK28,96)-MIN(MAX(Time!AK27,60),96))</f>
        <v>0</v>
      </c>
      <c r="AL8" s="9" t="n">
        <f aca="false">MAX(0,MIN(Time!AL28,96)-MIN(MAX(Time!AL27,60),96))</f>
        <v>0</v>
      </c>
      <c r="AM8" s="9" t="n">
        <f aca="false">MAX(0,MIN(Time!AM28,96)-MIN(MAX(Time!AM27,60),96))</f>
        <v>0</v>
      </c>
      <c r="AN8" s="9" t="n">
        <f aca="false">MAX(0,MIN(Time!AN28,96)-MIN(MAX(Time!AN27,60),96))</f>
        <v>0</v>
      </c>
      <c r="AO8" s="9" t="n">
        <f aca="false">MAX(0,MIN(Time!AO28,96)-MIN(MAX(Time!AO27,60),96))</f>
        <v>0</v>
      </c>
      <c r="AP8" s="9" t="n">
        <f aca="false">MAX(0,MIN(Time!AP28,96)-MIN(MAX(Time!AP27,60),96))</f>
        <v>0</v>
      </c>
      <c r="AQ8" s="9" t="n">
        <f aca="false">MAX(0,MIN(Time!AQ28,96)-MIN(MAX(Time!AQ27,60),96))</f>
        <v>0</v>
      </c>
      <c r="AR8" s="9" t="n">
        <f aca="false">MAX(0,MIN(Time!AR28,96)-MIN(MAX(Time!AR27,60),96))</f>
        <v>0</v>
      </c>
      <c r="AS8" s="9" t="n">
        <f aca="false">MAX(0,MIN(Time!AS28,96)-MIN(MAX(Time!AS27,60),96))</f>
        <v>0</v>
      </c>
      <c r="AT8" s="9" t="n">
        <f aca="false">MAX(0,MIN(Time!AT28,96)-MIN(MAX(Time!AT27,60),96))</f>
        <v>0</v>
      </c>
      <c r="AU8" s="9" t="n">
        <f aca="false">MAX(0,MIN(Time!AU28,96)-MIN(MAX(Time!AU27,60),96))</f>
        <v>0</v>
      </c>
      <c r="AV8" s="9" t="n">
        <f aca="false">MAX(0,MIN(Time!AV28,96)-MIN(MAX(Time!AV27,60),96))</f>
        <v>0</v>
      </c>
      <c r="AW8" s="9" t="n">
        <f aca="false">MAX(0,MIN(Time!AW28,96)-MIN(MAX(Time!AW27,60),96))</f>
        <v>0</v>
      </c>
      <c r="AX8" s="9" t="n">
        <f aca="false">MAX(0,MIN(Time!AX28,96)-MIN(MAX(Time!AX27,60),96))</f>
        <v>0</v>
      </c>
      <c r="AY8" s="9" t="n">
        <f aca="false">MAX(0,MIN(Time!AY28,96)-MIN(MAX(Time!AY27,60),96))</f>
        <v>0</v>
      </c>
      <c r="AZ8" s="9" t="n">
        <f aca="false">MAX(0,MIN(Time!AZ28,96)-MIN(MAX(Time!AZ27,60),96))</f>
        <v>0</v>
      </c>
      <c r="BA8" s="9" t="n">
        <f aca="false">MAX(0,MIN(Time!BA28,96)-MIN(MAX(Time!BA27,60),96))</f>
        <v>0</v>
      </c>
      <c r="BB8" s="9" t="n">
        <f aca="false">MAX(0,MIN(Time!BB28,96)-MIN(MAX(Time!BB27,60),96))</f>
        <v>0</v>
      </c>
      <c r="BC8" s="9" t="n">
        <f aca="false">MAX(0,MIN(Time!BC28,96)-MIN(MAX(Time!BC27,60),96))</f>
        <v>0</v>
      </c>
      <c r="BD8" s="9" t="n">
        <f aca="false">MAX(0,MIN(Time!BD28,96)-MIN(MAX(Time!BD27,60),96))</f>
        <v>0</v>
      </c>
      <c r="BE8" s="9" t="n">
        <f aca="false">MAX(0,MIN(Time!BE28,96)-MIN(MAX(Time!BE27,60),96))</f>
        <v>0</v>
      </c>
      <c r="BF8" s="9" t="n">
        <f aca="false">MAX(0,MIN(Time!BF28,96)-MIN(MAX(Time!BF27,60),96))</f>
        <v>0</v>
      </c>
      <c r="BG8" s="9" t="n">
        <f aca="false">MAX(0,MIN(Time!BG28,96)-MIN(MAX(Time!BG27,60),96))</f>
        <v>0</v>
      </c>
      <c r="BH8" s="9" t="n">
        <f aca="false">MAX(0,MIN(Time!BH28,96)-MIN(MAX(Time!BH27,60),96))</f>
        <v>0</v>
      </c>
      <c r="BI8" s="9" t="n">
        <f aca="false">MAX(0,MIN(Time!BI28,96)-MIN(MAX(Time!BI27,60),96))</f>
        <v>0</v>
      </c>
      <c r="BJ8" s="9" t="n">
        <f aca="false">MAX(0,MIN(Time!BJ28,96)-MIN(MAX(Time!BJ27,60),96))</f>
        <v>0</v>
      </c>
      <c r="BK8" s="9" t="n">
        <f aca="false">MAX(0,MIN(Time!BK28,96)-MIN(MAX(Time!BK27,60),96))</f>
        <v>0</v>
      </c>
      <c r="BL8" s="9" t="n">
        <f aca="false">MAX(0,MIN(Time!BL28,96)-MIN(MAX(Time!BL27,60),96))</f>
        <v>0</v>
      </c>
      <c r="BM8" s="9" t="n">
        <f aca="false">MAX(0,MIN(Time!BM28,96)-MIN(MAX(Time!BM27,60),96))</f>
        <v>0</v>
      </c>
      <c r="BN8" s="9" t="n">
        <f aca="false">MAX(0,MIN(Time!BN28,96)-MIN(MAX(Time!BN27,60),96))</f>
        <v>0</v>
      </c>
    </row>
    <row r="9" customFormat="false" ht="15" hidden="false" customHeight="false" outlineLevel="0" collapsed="false">
      <c r="D9" s="0" t="s">
        <v>545</v>
      </c>
      <c r="E9" s="0" t="s">
        <v>97</v>
      </c>
      <c r="J9" s="9" t="n">
        <f aca="false">Time!J25-J7-J8</f>
        <v>0</v>
      </c>
      <c r="K9" s="9" t="n">
        <f aca="false">Time!K25-K7-K8</f>
        <v>0</v>
      </c>
      <c r="L9" s="9" t="n">
        <f aca="false">Time!L25-L7-L8</f>
        <v>0</v>
      </c>
      <c r="M9" s="9" t="n">
        <f aca="false">Time!M25-M7-M8</f>
        <v>0</v>
      </c>
      <c r="N9" s="9" t="n">
        <f aca="false">Time!N25-N7-N8</f>
        <v>0</v>
      </c>
      <c r="O9" s="9" t="n">
        <f aca="false">Time!O25-O7-O8</f>
        <v>0</v>
      </c>
      <c r="P9" s="9" t="n">
        <f aca="false">Time!P25-P7-P8</f>
        <v>0</v>
      </c>
      <c r="Q9" s="9" t="n">
        <f aca="false">Time!Q25-Q7-Q8</f>
        <v>0</v>
      </c>
      <c r="R9" s="9" t="n">
        <f aca="false">Time!R25-R7-R8</f>
        <v>0</v>
      </c>
      <c r="S9" s="9" t="n">
        <f aca="false">Time!S25-S7-S8</f>
        <v>0</v>
      </c>
      <c r="T9" s="9" t="n">
        <f aca="false">Time!T25-T7-T8</f>
        <v>0</v>
      </c>
      <c r="U9" s="9" t="n">
        <f aca="false">Time!U25-U7-U8</f>
        <v>0</v>
      </c>
      <c r="V9" s="9" t="n">
        <f aca="false">Time!V25-V7-V8</f>
        <v>0</v>
      </c>
      <c r="W9" s="9" t="n">
        <f aca="false">Time!W25-W7-W8</f>
        <v>0</v>
      </c>
      <c r="X9" s="9" t="n">
        <f aca="false">Time!X25-X7-X8</f>
        <v>0</v>
      </c>
      <c r="Y9" s="9" t="n">
        <f aca="false">Time!Y25-Y7-Y8</f>
        <v>0</v>
      </c>
      <c r="Z9" s="9" t="n">
        <f aca="false">Time!Z25-Z7-Z8</f>
        <v>0</v>
      </c>
      <c r="AA9" s="9" t="n">
        <f aca="false">Time!AA25-AA7-AA8</f>
        <v>0</v>
      </c>
      <c r="AB9" s="9" t="n">
        <f aca="false">Time!AB25-AB7-AB8</f>
        <v>0</v>
      </c>
      <c r="AC9" s="9" t="n">
        <f aca="false">Time!AC25-AC7-AC8</f>
        <v>0</v>
      </c>
      <c r="AD9" s="9" t="n">
        <f aca="false">Time!AD25-AD7-AD8</f>
        <v>0</v>
      </c>
      <c r="AE9" s="9" t="n">
        <f aca="false">Time!AE25-AE7-AE8</f>
        <v>0</v>
      </c>
      <c r="AF9" s="9" t="n">
        <f aca="false">Time!AF25-AF7-AF8</f>
        <v>1</v>
      </c>
      <c r="AG9" s="9" t="n">
        <f aca="false">Time!AG25-AG7-AG8</f>
        <v>6</v>
      </c>
      <c r="AH9" s="9" t="n">
        <f aca="false">Time!AH25-AH7-AH8</f>
        <v>6</v>
      </c>
      <c r="AI9" s="9" t="n">
        <f aca="false">Time!AI25-AI7-AI8</f>
        <v>6</v>
      </c>
      <c r="AJ9" s="9" t="n">
        <f aca="false">Time!AJ25-AJ7-AJ8</f>
        <v>6</v>
      </c>
      <c r="AK9" s="9" t="n">
        <f aca="false">Time!AK25-AK7-AK8</f>
        <v>6</v>
      </c>
      <c r="AL9" s="9" t="n">
        <f aca="false">Time!AL25-AL7-AL8</f>
        <v>6</v>
      </c>
      <c r="AM9" s="9" t="n">
        <f aca="false">Time!AM25-AM7-AM8</f>
        <v>6</v>
      </c>
      <c r="AN9" s="9" t="n">
        <f aca="false">Time!AN25-AN7-AN8</f>
        <v>6</v>
      </c>
      <c r="AO9" s="9" t="n">
        <f aca="false">Time!AO25-AO7-AO8</f>
        <v>6</v>
      </c>
      <c r="AP9" s="9" t="n">
        <f aca="false">Time!AP25-AP7-AP8</f>
        <v>6</v>
      </c>
      <c r="AQ9" s="9" t="n">
        <f aca="false">Time!AQ25-AQ7-AQ8</f>
        <v>6</v>
      </c>
      <c r="AR9" s="9" t="n">
        <f aca="false">Time!AR25-AR7-AR8</f>
        <v>6</v>
      </c>
      <c r="AS9" s="9" t="n">
        <f aca="false">Time!AS25-AS7-AS8</f>
        <v>6</v>
      </c>
      <c r="AT9" s="9" t="n">
        <f aca="false">Time!AT25-AT7-AT8</f>
        <v>6</v>
      </c>
      <c r="AU9" s="9" t="n">
        <f aca="false">Time!AU25-AU7-AU8</f>
        <v>6</v>
      </c>
      <c r="AV9" s="9" t="n">
        <f aca="false">Time!AV25-AV7-AV8</f>
        <v>6</v>
      </c>
      <c r="AW9" s="9" t="n">
        <f aca="false">Time!AW25-AW7-AW8</f>
        <v>6</v>
      </c>
      <c r="AX9" s="9" t="n">
        <f aca="false">Time!AX25-AX7-AX8</f>
        <v>6</v>
      </c>
      <c r="AY9" s="9" t="n">
        <f aca="false">Time!AY25-AY7-AY8</f>
        <v>6</v>
      </c>
      <c r="AZ9" s="9" t="n">
        <f aca="false">Time!AZ25-AZ7-AZ8</f>
        <v>6</v>
      </c>
      <c r="BA9" s="9" t="n">
        <f aca="false">Time!BA25-BA7-BA8</f>
        <v>6</v>
      </c>
      <c r="BB9" s="9" t="n">
        <f aca="false">Time!BB25-BB7-BB8</f>
        <v>6</v>
      </c>
      <c r="BC9" s="9" t="n">
        <f aca="false">Time!BC25-BC7-BC8</f>
        <v>6</v>
      </c>
      <c r="BD9" s="9" t="n">
        <f aca="false">Time!BD25-BD7-BD8</f>
        <v>6</v>
      </c>
      <c r="BE9" s="9" t="n">
        <f aca="false">Time!BE25-BE7-BE8</f>
        <v>6</v>
      </c>
      <c r="BF9" s="9" t="n">
        <f aca="false">Time!BF25-BF7-BF8</f>
        <v>6</v>
      </c>
      <c r="BG9" s="9" t="n">
        <f aca="false">Time!BG25-BG7-BG8</f>
        <v>6</v>
      </c>
      <c r="BH9" s="9" t="n">
        <f aca="false">Time!BH25-BH7-BH8</f>
        <v>6</v>
      </c>
      <c r="BI9" s="9" t="n">
        <f aca="false">Time!BI25-BI7-BI8</f>
        <v>6</v>
      </c>
      <c r="BJ9" s="9" t="n">
        <f aca="false">Time!BJ25-BJ7-BJ8</f>
        <v>6</v>
      </c>
      <c r="BK9" s="9" t="n">
        <f aca="false">Time!BK25-BK7-BK8</f>
        <v>6</v>
      </c>
      <c r="BL9" s="9" t="n">
        <f aca="false">Time!BL25-BL7-BL8</f>
        <v>6</v>
      </c>
      <c r="BM9" s="9" t="n">
        <f aca="false">Time!BM25-BM7-BM8</f>
        <v>6</v>
      </c>
      <c r="BN9" s="9" t="n">
        <f aca="false">Time!BN25-BN7-BN8</f>
        <v>5</v>
      </c>
    </row>
    <row r="10" customFormat="false" ht="15" hidden="false" customHeight="false" outlineLevel="0" collapsed="false">
      <c r="D10" s="0" t="s">
        <v>546</v>
      </c>
      <c r="E10" s="0" t="s">
        <v>149</v>
      </c>
      <c r="G10" s="11" t="n">
        <f aca="false">SUM(J10:BN10)</f>
        <v>801.39807969148</v>
      </c>
      <c r="J10" s="11" t="n">
        <f aca="false">Inputs!$F$177*Funding!$F$76/Inputs!$F$178*MAX(0,MIN(Time!J28,Inputs!$F$178)-MIN(Time!J27,Inputs!$F$178))+Inputs!$F$179*Funding!$F$76/Inputs!$F$180*MAX(0,MIN(Time!J28,Inputs!$F$180)-MIN(Time!J27,Inputs!$F$180))+Inputs!$F$181*Funding!$F$76/Inputs!$F$182*MAX(0,MIN(Time!J28,Inputs!$F$182)-MIN(Time!J27,Inputs!$F$182))</f>
        <v>0</v>
      </c>
      <c r="K10" s="11" t="n">
        <f aca="false">Inputs!$F$177*Funding!$F$76/Inputs!$F$178*MAX(0,MIN(Time!K28,Inputs!$F$178)-MIN(Time!K27,Inputs!$F$178))+Inputs!$F$179*Funding!$F$76/Inputs!$F$180*MAX(0,MIN(Time!K28,Inputs!$F$180)-MIN(Time!K27,Inputs!$F$180))+Inputs!$F$181*Funding!$F$76/Inputs!$F$182*MAX(0,MIN(Time!K28,Inputs!$F$182)-MIN(Time!K27,Inputs!$F$182))</f>
        <v>0</v>
      </c>
      <c r="L10" s="11" t="n">
        <f aca="false">Inputs!$F$177*Funding!$F$76/Inputs!$F$178*MAX(0,MIN(Time!L28,Inputs!$F$178)-MIN(Time!L27,Inputs!$F$178))+Inputs!$F$179*Funding!$F$76/Inputs!$F$180*MAX(0,MIN(Time!L28,Inputs!$F$180)-MIN(Time!L27,Inputs!$F$180))+Inputs!$F$181*Funding!$F$76/Inputs!$F$182*MAX(0,MIN(Time!L28,Inputs!$F$182)-MIN(Time!L27,Inputs!$F$182))</f>
        <v>0</v>
      </c>
      <c r="M10" s="11" t="n">
        <f aca="false">Inputs!$F$177*Funding!$F$76/Inputs!$F$178*MAX(0,MIN(Time!M28,Inputs!$F$178)-MIN(Time!M27,Inputs!$F$178))+Inputs!$F$179*Funding!$F$76/Inputs!$F$180*MAX(0,MIN(Time!M28,Inputs!$F$180)-MIN(Time!M27,Inputs!$F$180))+Inputs!$F$181*Funding!$F$76/Inputs!$F$182*MAX(0,MIN(Time!M28,Inputs!$F$182)-MIN(Time!M27,Inputs!$F$182))</f>
        <v>0</v>
      </c>
      <c r="N10" s="11" t="n">
        <f aca="false">Inputs!$F$177*Funding!$F$76/Inputs!$F$178*MAX(0,MIN(Time!N28,Inputs!$F$178)-MIN(Time!N27,Inputs!$F$178))+Inputs!$F$179*Funding!$F$76/Inputs!$F$180*MAX(0,MIN(Time!N28,Inputs!$F$180)-MIN(Time!N27,Inputs!$F$180))+Inputs!$F$181*Funding!$F$76/Inputs!$F$182*MAX(0,MIN(Time!N28,Inputs!$F$182)-MIN(Time!N27,Inputs!$F$182))</f>
        <v>0</v>
      </c>
      <c r="O10" s="11" t="n">
        <f aca="false">Inputs!$F$177*Funding!$F$76/Inputs!$F$178*MAX(0,MIN(Time!O28,Inputs!$F$178)-MIN(Time!O27,Inputs!$F$178))+Inputs!$F$179*Funding!$F$76/Inputs!$F$180*MAX(0,MIN(Time!O28,Inputs!$F$180)-MIN(Time!O27,Inputs!$F$180))+Inputs!$F$181*Funding!$F$76/Inputs!$F$182*MAX(0,MIN(Time!O28,Inputs!$F$182)-MIN(Time!O27,Inputs!$F$182))</f>
        <v>0</v>
      </c>
      <c r="P10" s="11" t="n">
        <f aca="false">Inputs!$F$177*Funding!$F$76/Inputs!$F$178*MAX(0,MIN(Time!P28,Inputs!$F$178)-MIN(Time!P27,Inputs!$F$178))+Inputs!$F$179*Funding!$F$76/Inputs!$F$180*MAX(0,MIN(Time!P28,Inputs!$F$180)-MIN(Time!P27,Inputs!$F$180))+Inputs!$F$181*Funding!$F$76/Inputs!$F$182*MAX(0,MIN(Time!P28,Inputs!$F$182)-MIN(Time!P27,Inputs!$F$182))</f>
        <v>3.60629135861166</v>
      </c>
      <c r="Q10" s="11" t="n">
        <f aca="false">Inputs!$F$177*Funding!$F$76/Inputs!$F$178*MAX(0,MIN(Time!Q28,Inputs!$F$178)-MIN(Time!Q27,Inputs!$F$178))+Inputs!$F$179*Funding!$F$76/Inputs!$F$180*MAX(0,MIN(Time!Q28,Inputs!$F$180)-MIN(Time!Q27,Inputs!$F$180))+Inputs!$F$181*Funding!$F$76/Inputs!$F$182*MAX(0,MIN(Time!Q28,Inputs!$F$182)-MIN(Time!Q27,Inputs!$F$182))</f>
        <v>21.63774815167</v>
      </c>
      <c r="R10" s="11" t="n">
        <f aca="false">Inputs!$F$177*Funding!$F$76/Inputs!$F$178*MAX(0,MIN(Time!R28,Inputs!$F$178)-MIN(Time!R27,Inputs!$F$178))+Inputs!$F$179*Funding!$F$76/Inputs!$F$180*MAX(0,MIN(Time!R28,Inputs!$F$180)-MIN(Time!R27,Inputs!$F$180))+Inputs!$F$181*Funding!$F$76/Inputs!$F$182*MAX(0,MIN(Time!R28,Inputs!$F$182)-MIN(Time!R27,Inputs!$F$182))</f>
        <v>21.63774815167</v>
      </c>
      <c r="S10" s="11" t="n">
        <f aca="false">Inputs!$F$177*Funding!$F$76/Inputs!$F$178*MAX(0,MIN(Time!S28,Inputs!$F$178)-MIN(Time!S27,Inputs!$F$178))+Inputs!$F$179*Funding!$F$76/Inputs!$F$180*MAX(0,MIN(Time!S28,Inputs!$F$180)-MIN(Time!S27,Inputs!$F$180))+Inputs!$F$181*Funding!$F$76/Inputs!$F$182*MAX(0,MIN(Time!S28,Inputs!$F$182)-MIN(Time!S27,Inputs!$F$182))</f>
        <v>21.63774815167</v>
      </c>
      <c r="T10" s="11" t="n">
        <f aca="false">Inputs!$F$177*Funding!$F$76/Inputs!$F$178*MAX(0,MIN(Time!T28,Inputs!$F$178)-MIN(Time!T27,Inputs!$F$178))+Inputs!$F$179*Funding!$F$76/Inputs!$F$180*MAX(0,MIN(Time!T28,Inputs!$F$180)-MIN(Time!T27,Inputs!$F$180))+Inputs!$F$181*Funding!$F$76/Inputs!$F$182*MAX(0,MIN(Time!T28,Inputs!$F$182)-MIN(Time!T27,Inputs!$F$182))</f>
        <v>21.63774815167</v>
      </c>
      <c r="U10" s="11" t="n">
        <f aca="false">Inputs!$F$177*Funding!$F$76/Inputs!$F$178*MAX(0,MIN(Time!U28,Inputs!$F$178)-MIN(Time!U27,Inputs!$F$178))+Inputs!$F$179*Funding!$F$76/Inputs!$F$180*MAX(0,MIN(Time!U28,Inputs!$F$180)-MIN(Time!U27,Inputs!$F$180))+Inputs!$F$181*Funding!$F$76/Inputs!$F$182*MAX(0,MIN(Time!U28,Inputs!$F$182)-MIN(Time!U27,Inputs!$F$182))</f>
        <v>21.63774815167</v>
      </c>
      <c r="V10" s="11" t="n">
        <f aca="false">Inputs!$F$177*Funding!$F$76/Inputs!$F$178*MAX(0,MIN(Time!V28,Inputs!$F$178)-MIN(Time!V27,Inputs!$F$178))+Inputs!$F$179*Funding!$F$76/Inputs!$F$180*MAX(0,MIN(Time!V28,Inputs!$F$180)-MIN(Time!V27,Inputs!$F$180))+Inputs!$F$181*Funding!$F$76/Inputs!$F$182*MAX(0,MIN(Time!V28,Inputs!$F$182)-MIN(Time!V27,Inputs!$F$182))</f>
        <v>21.63774815167</v>
      </c>
      <c r="W10" s="11" t="n">
        <f aca="false">Inputs!$F$177*Funding!$F$76/Inputs!$F$178*MAX(0,MIN(Time!W28,Inputs!$F$178)-MIN(Time!W27,Inputs!$F$178))+Inputs!$F$179*Funding!$F$76/Inputs!$F$180*MAX(0,MIN(Time!W28,Inputs!$F$180)-MIN(Time!W27,Inputs!$F$180))+Inputs!$F$181*Funding!$F$76/Inputs!$F$182*MAX(0,MIN(Time!W28,Inputs!$F$182)-MIN(Time!W27,Inputs!$F$182))</f>
        <v>21.63774815167</v>
      </c>
      <c r="X10" s="11" t="n">
        <f aca="false">Inputs!$F$177*Funding!$F$76/Inputs!$F$178*MAX(0,MIN(Time!X28,Inputs!$F$178)-MIN(Time!X27,Inputs!$F$178))+Inputs!$F$179*Funding!$F$76/Inputs!$F$180*MAX(0,MIN(Time!X28,Inputs!$F$180)-MIN(Time!X27,Inputs!$F$180))+Inputs!$F$181*Funding!$F$76/Inputs!$F$182*MAX(0,MIN(Time!X28,Inputs!$F$182)-MIN(Time!X27,Inputs!$F$182))</f>
        <v>21.63774815167</v>
      </c>
      <c r="Y10" s="11" t="n">
        <f aca="false">Inputs!$F$177*Funding!$F$76/Inputs!$F$178*MAX(0,MIN(Time!Y28,Inputs!$F$178)-MIN(Time!Y27,Inputs!$F$178))+Inputs!$F$179*Funding!$F$76/Inputs!$F$180*MAX(0,MIN(Time!Y28,Inputs!$F$180)-MIN(Time!Y27,Inputs!$F$180))+Inputs!$F$181*Funding!$F$76/Inputs!$F$182*MAX(0,MIN(Time!Y28,Inputs!$F$182)-MIN(Time!Y27,Inputs!$F$182))</f>
        <v>21.63774815167</v>
      </c>
      <c r="Z10" s="11" t="n">
        <f aca="false">Inputs!$F$177*Funding!$F$76/Inputs!$F$178*MAX(0,MIN(Time!Z28,Inputs!$F$178)-MIN(Time!Z27,Inputs!$F$178))+Inputs!$F$179*Funding!$F$76/Inputs!$F$180*MAX(0,MIN(Time!Z28,Inputs!$F$180)-MIN(Time!Z27,Inputs!$F$180))+Inputs!$F$181*Funding!$F$76/Inputs!$F$182*MAX(0,MIN(Time!Z28,Inputs!$F$182)-MIN(Time!Z27,Inputs!$F$182))</f>
        <v>21.2370491118242</v>
      </c>
      <c r="AA10" s="11" t="n">
        <f aca="false">Inputs!$F$177*Funding!$F$76/Inputs!$F$178*MAX(0,MIN(Time!AA28,Inputs!$F$178)-MIN(Time!AA27,Inputs!$F$178))+Inputs!$F$179*Funding!$F$76/Inputs!$F$180*MAX(0,MIN(Time!AA28,Inputs!$F$180)-MIN(Time!AA27,Inputs!$F$180))+Inputs!$F$181*Funding!$F$76/Inputs!$F$182*MAX(0,MIN(Time!AA28,Inputs!$F$182)-MIN(Time!AA27,Inputs!$F$182))</f>
        <v>19.2335539125955</v>
      </c>
      <c r="AB10" s="11" t="n">
        <f aca="false">Inputs!$F$177*Funding!$F$76/Inputs!$F$178*MAX(0,MIN(Time!AB28,Inputs!$F$178)-MIN(Time!AB27,Inputs!$F$178))+Inputs!$F$179*Funding!$F$76/Inputs!$F$180*MAX(0,MIN(Time!AB28,Inputs!$F$180)-MIN(Time!AB27,Inputs!$F$180))+Inputs!$F$181*Funding!$F$76/Inputs!$F$182*MAX(0,MIN(Time!AB28,Inputs!$F$182)-MIN(Time!AB27,Inputs!$F$182))</f>
        <v>19.2335539125955</v>
      </c>
      <c r="AC10" s="11" t="n">
        <f aca="false">Inputs!$F$177*Funding!$F$76/Inputs!$F$178*MAX(0,MIN(Time!AC28,Inputs!$F$178)-MIN(Time!AC27,Inputs!$F$178))+Inputs!$F$179*Funding!$F$76/Inputs!$F$180*MAX(0,MIN(Time!AC28,Inputs!$F$180)-MIN(Time!AC27,Inputs!$F$180))+Inputs!$F$181*Funding!$F$76/Inputs!$F$182*MAX(0,MIN(Time!AC28,Inputs!$F$182)-MIN(Time!AC27,Inputs!$F$182))</f>
        <v>19.2335539125955</v>
      </c>
      <c r="AD10" s="11" t="n">
        <f aca="false">Inputs!$F$177*Funding!$F$76/Inputs!$F$178*MAX(0,MIN(Time!AD28,Inputs!$F$178)-MIN(Time!AD27,Inputs!$F$178))+Inputs!$F$179*Funding!$F$76/Inputs!$F$180*MAX(0,MIN(Time!AD28,Inputs!$F$180)-MIN(Time!AD27,Inputs!$F$180))+Inputs!$F$181*Funding!$F$76/Inputs!$F$182*MAX(0,MIN(Time!AD28,Inputs!$F$182)-MIN(Time!AD27,Inputs!$F$182))</f>
        <v>19.2335539125955</v>
      </c>
      <c r="AE10" s="11" t="n">
        <f aca="false">Inputs!$F$177*Funding!$F$76/Inputs!$F$178*MAX(0,MIN(Time!AE28,Inputs!$F$178)-MIN(Time!AE27,Inputs!$F$178))+Inputs!$F$179*Funding!$F$76/Inputs!$F$180*MAX(0,MIN(Time!AE28,Inputs!$F$180)-MIN(Time!AE27,Inputs!$F$180))+Inputs!$F$181*Funding!$F$76/Inputs!$F$182*MAX(0,MIN(Time!AE28,Inputs!$F$182)-MIN(Time!AE27,Inputs!$F$182))</f>
        <v>19.2335539125955</v>
      </c>
      <c r="AF10" s="11" t="n">
        <f aca="false">Inputs!$F$177*Funding!$F$76/Inputs!$F$178*MAX(0,MIN(Time!AF28,Inputs!$F$178)-MIN(Time!AF27,Inputs!$F$178))+Inputs!$F$179*Funding!$F$76/Inputs!$F$180*MAX(0,MIN(Time!AF28,Inputs!$F$180)-MIN(Time!AF27,Inputs!$F$180))+Inputs!$F$181*Funding!$F$76/Inputs!$F$182*MAX(0,MIN(Time!AF28,Inputs!$F$182)-MIN(Time!AF27,Inputs!$F$182))</f>
        <v>19.2335539125955</v>
      </c>
      <c r="AG10" s="11" t="n">
        <f aca="false">Inputs!$F$177*Funding!$F$76/Inputs!$F$178*MAX(0,MIN(Time!AG28,Inputs!$F$178)-MIN(Time!AG27,Inputs!$F$178))+Inputs!$F$179*Funding!$F$76/Inputs!$F$180*MAX(0,MIN(Time!AG28,Inputs!$F$180)-MIN(Time!AG27,Inputs!$F$180))+Inputs!$F$181*Funding!$F$76/Inputs!$F$182*MAX(0,MIN(Time!AG28,Inputs!$F$182)-MIN(Time!AG27,Inputs!$F$182))</f>
        <v>19.2335539125955</v>
      </c>
      <c r="AH10" s="11" t="n">
        <f aca="false">Inputs!$F$177*Funding!$F$76/Inputs!$F$178*MAX(0,MIN(Time!AH28,Inputs!$F$178)-MIN(Time!AH27,Inputs!$F$178))+Inputs!$F$179*Funding!$F$76/Inputs!$F$180*MAX(0,MIN(Time!AH28,Inputs!$F$180)-MIN(Time!AH27,Inputs!$F$180))+Inputs!$F$181*Funding!$F$76/Inputs!$F$182*MAX(0,MIN(Time!AH28,Inputs!$F$182)-MIN(Time!AH27,Inputs!$F$182))</f>
        <v>19.2335539125955</v>
      </c>
      <c r="AI10" s="11" t="n">
        <f aca="false">Inputs!$F$177*Funding!$F$76/Inputs!$F$178*MAX(0,MIN(Time!AI28,Inputs!$F$178)-MIN(Time!AI27,Inputs!$F$178))+Inputs!$F$179*Funding!$F$76/Inputs!$F$180*MAX(0,MIN(Time!AI28,Inputs!$F$180)-MIN(Time!AI27,Inputs!$F$180))+Inputs!$F$181*Funding!$F$76/Inputs!$F$182*MAX(0,MIN(Time!AI28,Inputs!$F$182)-MIN(Time!AI27,Inputs!$F$182))</f>
        <v>19.2335539125955</v>
      </c>
      <c r="AJ10" s="11" t="n">
        <f aca="false">Inputs!$F$177*Funding!$F$76/Inputs!$F$178*MAX(0,MIN(Time!AJ28,Inputs!$F$178)-MIN(Time!AJ27,Inputs!$F$178))+Inputs!$F$179*Funding!$F$76/Inputs!$F$180*MAX(0,MIN(Time!AJ28,Inputs!$F$180)-MIN(Time!AJ27,Inputs!$F$180))+Inputs!$F$181*Funding!$F$76/Inputs!$F$182*MAX(0,MIN(Time!AJ28,Inputs!$F$182)-MIN(Time!AJ27,Inputs!$F$182))</f>
        <v>19.2335539125955</v>
      </c>
      <c r="AK10" s="11" t="n">
        <f aca="false">Inputs!$F$177*Funding!$F$76/Inputs!$F$178*MAX(0,MIN(Time!AK28,Inputs!$F$178)-MIN(Time!AK27,Inputs!$F$178))+Inputs!$F$179*Funding!$F$76/Inputs!$F$180*MAX(0,MIN(Time!AK28,Inputs!$F$180)-MIN(Time!AK27,Inputs!$F$180))+Inputs!$F$181*Funding!$F$76/Inputs!$F$182*MAX(0,MIN(Time!AK28,Inputs!$F$182)-MIN(Time!AK27,Inputs!$F$182))</f>
        <v>19.2335539125955</v>
      </c>
      <c r="AL10" s="11" t="n">
        <f aca="false">Inputs!$F$177*Funding!$F$76/Inputs!$F$178*MAX(0,MIN(Time!AL28,Inputs!$F$178)-MIN(Time!AL27,Inputs!$F$178))+Inputs!$F$179*Funding!$F$76/Inputs!$F$180*MAX(0,MIN(Time!AL28,Inputs!$F$180)-MIN(Time!AL27,Inputs!$F$180))+Inputs!$F$181*Funding!$F$76/Inputs!$F$182*MAX(0,MIN(Time!AL28,Inputs!$F$182)-MIN(Time!AL27,Inputs!$F$182))</f>
        <v>19.2335539125955</v>
      </c>
      <c r="AM10" s="11" t="n">
        <f aca="false">Inputs!$F$177*Funding!$F$76/Inputs!$F$178*MAX(0,MIN(Time!AM28,Inputs!$F$178)-MIN(Time!AM27,Inputs!$F$178))+Inputs!$F$179*Funding!$F$76/Inputs!$F$180*MAX(0,MIN(Time!AM28,Inputs!$F$180)-MIN(Time!AM27,Inputs!$F$180))+Inputs!$F$181*Funding!$F$76/Inputs!$F$182*MAX(0,MIN(Time!AM28,Inputs!$F$182)-MIN(Time!AM27,Inputs!$F$182))</f>
        <v>19.2335539125955</v>
      </c>
      <c r="AN10" s="11" t="n">
        <f aca="false">Inputs!$F$177*Funding!$F$76/Inputs!$F$178*MAX(0,MIN(Time!AN28,Inputs!$F$178)-MIN(Time!AN27,Inputs!$F$178))+Inputs!$F$179*Funding!$F$76/Inputs!$F$180*MAX(0,MIN(Time!AN28,Inputs!$F$180)-MIN(Time!AN27,Inputs!$F$180))+Inputs!$F$181*Funding!$F$76/Inputs!$F$182*MAX(0,MIN(Time!AN28,Inputs!$F$182)-MIN(Time!AN27,Inputs!$F$182))</f>
        <v>19.2335539125955</v>
      </c>
      <c r="AO10" s="11" t="n">
        <f aca="false">Inputs!$F$177*Funding!$F$76/Inputs!$F$178*MAX(0,MIN(Time!AO28,Inputs!$F$178)-MIN(Time!AO27,Inputs!$F$178))+Inputs!$F$179*Funding!$F$76/Inputs!$F$180*MAX(0,MIN(Time!AO28,Inputs!$F$180)-MIN(Time!AO27,Inputs!$F$180))+Inputs!$F$181*Funding!$F$76/Inputs!$F$182*MAX(0,MIN(Time!AO28,Inputs!$F$182)-MIN(Time!AO27,Inputs!$F$182))</f>
        <v>19.2335539125955</v>
      </c>
      <c r="AP10" s="11" t="n">
        <f aca="false">Inputs!$F$177*Funding!$F$76/Inputs!$F$178*MAX(0,MIN(Time!AP28,Inputs!$F$178)-MIN(Time!AP27,Inputs!$F$178))+Inputs!$F$179*Funding!$F$76/Inputs!$F$180*MAX(0,MIN(Time!AP28,Inputs!$F$180)-MIN(Time!AP27,Inputs!$F$180))+Inputs!$F$181*Funding!$F$76/Inputs!$F$182*MAX(0,MIN(Time!AP28,Inputs!$F$182)-MIN(Time!AP27,Inputs!$F$182))</f>
        <v>19.2335539125955</v>
      </c>
      <c r="AQ10" s="11" t="n">
        <f aca="false">Inputs!$F$177*Funding!$F$76/Inputs!$F$178*MAX(0,MIN(Time!AQ28,Inputs!$F$178)-MIN(Time!AQ27,Inputs!$F$178))+Inputs!$F$179*Funding!$F$76/Inputs!$F$180*MAX(0,MIN(Time!AQ28,Inputs!$F$180)-MIN(Time!AQ27,Inputs!$F$180))+Inputs!$F$181*Funding!$F$76/Inputs!$F$182*MAX(0,MIN(Time!AQ28,Inputs!$F$182)-MIN(Time!AQ27,Inputs!$F$182))</f>
        <v>19.2335539125955</v>
      </c>
      <c r="AR10" s="11" t="n">
        <f aca="false">Inputs!$F$177*Funding!$F$76/Inputs!$F$178*MAX(0,MIN(Time!AR28,Inputs!$F$178)-MIN(Time!AR27,Inputs!$F$178))+Inputs!$F$179*Funding!$F$76/Inputs!$F$180*MAX(0,MIN(Time!AR28,Inputs!$F$180)-MIN(Time!AR27,Inputs!$F$180))+Inputs!$F$181*Funding!$F$76/Inputs!$F$182*MAX(0,MIN(Time!AR28,Inputs!$F$182)-MIN(Time!AR27,Inputs!$F$182))</f>
        <v>19.2335539125955</v>
      </c>
      <c r="AS10" s="11" t="n">
        <f aca="false">Inputs!$F$177*Funding!$F$76/Inputs!$F$178*MAX(0,MIN(Time!AS28,Inputs!$F$178)-MIN(Time!AS27,Inputs!$F$178))+Inputs!$F$179*Funding!$F$76/Inputs!$F$180*MAX(0,MIN(Time!AS28,Inputs!$F$180)-MIN(Time!AS27,Inputs!$F$180))+Inputs!$F$181*Funding!$F$76/Inputs!$F$182*MAX(0,MIN(Time!AS28,Inputs!$F$182)-MIN(Time!AS27,Inputs!$F$182))</f>
        <v>19.2335539125955</v>
      </c>
      <c r="AT10" s="11" t="n">
        <f aca="false">Inputs!$F$177*Funding!$F$76/Inputs!$F$178*MAX(0,MIN(Time!AT28,Inputs!$F$178)-MIN(Time!AT27,Inputs!$F$178))+Inputs!$F$179*Funding!$F$76/Inputs!$F$180*MAX(0,MIN(Time!AT28,Inputs!$F$180)-MIN(Time!AT27,Inputs!$F$180))+Inputs!$F$181*Funding!$F$76/Inputs!$F$182*MAX(0,MIN(Time!AT28,Inputs!$F$182)-MIN(Time!AT27,Inputs!$F$182))</f>
        <v>19.2335539125955</v>
      </c>
      <c r="AU10" s="11" t="n">
        <f aca="false">Inputs!$F$177*Funding!$F$76/Inputs!$F$178*MAX(0,MIN(Time!AU28,Inputs!$F$178)-MIN(Time!AU27,Inputs!$F$178))+Inputs!$F$179*Funding!$F$76/Inputs!$F$180*MAX(0,MIN(Time!AU28,Inputs!$F$180)-MIN(Time!AU27,Inputs!$F$180))+Inputs!$F$181*Funding!$F$76/Inputs!$F$182*MAX(0,MIN(Time!AU28,Inputs!$F$182)-MIN(Time!AU27,Inputs!$F$182))</f>
        <v>19.2335539125955</v>
      </c>
      <c r="AV10" s="11" t="n">
        <f aca="false">Inputs!$F$177*Funding!$F$76/Inputs!$F$178*MAX(0,MIN(Time!AV28,Inputs!$F$178)-MIN(Time!AV27,Inputs!$F$178))+Inputs!$F$179*Funding!$F$76/Inputs!$F$180*MAX(0,MIN(Time!AV28,Inputs!$F$180)-MIN(Time!AV27,Inputs!$F$180))+Inputs!$F$181*Funding!$F$76/Inputs!$F$182*MAX(0,MIN(Time!AV28,Inputs!$F$182)-MIN(Time!AV27,Inputs!$F$182))</f>
        <v>19.2335539125955</v>
      </c>
      <c r="AW10" s="11" t="n">
        <f aca="false">Inputs!$F$177*Funding!$F$76/Inputs!$F$178*MAX(0,MIN(Time!AW28,Inputs!$F$178)-MIN(Time!AW27,Inputs!$F$178))+Inputs!$F$179*Funding!$F$76/Inputs!$F$180*MAX(0,MIN(Time!AW28,Inputs!$F$180)-MIN(Time!AW27,Inputs!$F$180))+Inputs!$F$181*Funding!$F$76/Inputs!$F$182*MAX(0,MIN(Time!AW28,Inputs!$F$182)-MIN(Time!AW27,Inputs!$F$182))</f>
        <v>19.2335539125955</v>
      </c>
      <c r="AX10" s="11" t="n">
        <f aca="false">Inputs!$F$177*Funding!$F$76/Inputs!$F$178*MAX(0,MIN(Time!AX28,Inputs!$F$178)-MIN(Time!AX27,Inputs!$F$178))+Inputs!$F$179*Funding!$F$76/Inputs!$F$180*MAX(0,MIN(Time!AX28,Inputs!$F$180)-MIN(Time!AX27,Inputs!$F$180))+Inputs!$F$181*Funding!$F$76/Inputs!$F$182*MAX(0,MIN(Time!AX28,Inputs!$F$182)-MIN(Time!AX27,Inputs!$F$182))</f>
        <v>19.2335539125955</v>
      </c>
      <c r="AY10" s="11" t="n">
        <f aca="false">Inputs!$F$177*Funding!$F$76/Inputs!$F$178*MAX(0,MIN(Time!AY28,Inputs!$F$178)-MIN(Time!AY27,Inputs!$F$178))+Inputs!$F$179*Funding!$F$76/Inputs!$F$180*MAX(0,MIN(Time!AY28,Inputs!$F$180)-MIN(Time!AY27,Inputs!$F$180))+Inputs!$F$181*Funding!$F$76/Inputs!$F$182*MAX(0,MIN(Time!AY28,Inputs!$F$182)-MIN(Time!AY27,Inputs!$F$182))</f>
        <v>19.2335539125955</v>
      </c>
      <c r="AZ10" s="11" t="n">
        <f aca="false">Inputs!$F$177*Funding!$F$76/Inputs!$F$178*MAX(0,MIN(Time!AZ28,Inputs!$F$178)-MIN(Time!AZ27,Inputs!$F$178))+Inputs!$F$179*Funding!$F$76/Inputs!$F$180*MAX(0,MIN(Time!AZ28,Inputs!$F$180)-MIN(Time!AZ27,Inputs!$F$180))+Inputs!$F$181*Funding!$F$76/Inputs!$F$182*MAX(0,MIN(Time!AZ28,Inputs!$F$182)-MIN(Time!AZ27,Inputs!$F$182))</f>
        <v>19.2335539125955</v>
      </c>
      <c r="BA10" s="11" t="n">
        <f aca="false">Inputs!$F$177*Funding!$F$76/Inputs!$F$178*MAX(0,MIN(Time!BA28,Inputs!$F$178)-MIN(Time!BA27,Inputs!$F$178))+Inputs!$F$179*Funding!$F$76/Inputs!$F$180*MAX(0,MIN(Time!BA28,Inputs!$F$180)-MIN(Time!BA27,Inputs!$F$180))+Inputs!$F$181*Funding!$F$76/Inputs!$F$182*MAX(0,MIN(Time!BA28,Inputs!$F$182)-MIN(Time!BA27,Inputs!$F$182))</f>
        <v>19.2335539125955</v>
      </c>
      <c r="BB10" s="11" t="n">
        <f aca="false">Inputs!$F$177*Funding!$F$76/Inputs!$F$178*MAX(0,MIN(Time!BB28,Inputs!$F$178)-MIN(Time!BB27,Inputs!$F$178))+Inputs!$F$179*Funding!$F$76/Inputs!$F$180*MAX(0,MIN(Time!BB28,Inputs!$F$180)-MIN(Time!BB27,Inputs!$F$180))+Inputs!$F$181*Funding!$F$76/Inputs!$F$182*MAX(0,MIN(Time!BB28,Inputs!$F$182)-MIN(Time!BB27,Inputs!$F$182))</f>
        <v>19.2335539125955</v>
      </c>
      <c r="BC10" s="11" t="n">
        <f aca="false">Inputs!$F$177*Funding!$F$76/Inputs!$F$178*MAX(0,MIN(Time!BC28,Inputs!$F$178)-MIN(Time!BC27,Inputs!$F$178))+Inputs!$F$179*Funding!$F$76/Inputs!$F$180*MAX(0,MIN(Time!BC28,Inputs!$F$180)-MIN(Time!BC27,Inputs!$F$180))+Inputs!$F$181*Funding!$F$76/Inputs!$F$182*MAX(0,MIN(Time!BC28,Inputs!$F$182)-MIN(Time!BC27,Inputs!$F$182))</f>
        <v>19.2335539125955</v>
      </c>
      <c r="BD10" s="11" t="n">
        <f aca="false">Inputs!$F$177*Funding!$F$76/Inputs!$F$178*MAX(0,MIN(Time!BD28,Inputs!$F$178)-MIN(Time!BD27,Inputs!$F$178))+Inputs!$F$179*Funding!$F$76/Inputs!$F$180*MAX(0,MIN(Time!BD28,Inputs!$F$180)-MIN(Time!BD27,Inputs!$F$180))+Inputs!$F$181*Funding!$F$76/Inputs!$F$182*MAX(0,MIN(Time!BD28,Inputs!$F$182)-MIN(Time!BD27,Inputs!$F$182))</f>
        <v>16.1615279404448</v>
      </c>
      <c r="BE10" s="11" t="n">
        <f aca="false">Inputs!$F$177*Funding!$F$76/Inputs!$F$178*MAX(0,MIN(Time!BE28,Inputs!$F$178)-MIN(Time!BE27,Inputs!$F$178))+Inputs!$F$179*Funding!$F$76/Inputs!$F$180*MAX(0,MIN(Time!BE28,Inputs!$F$180)-MIN(Time!BE27,Inputs!$F$180))+Inputs!$F$181*Funding!$F$76/Inputs!$F$182*MAX(0,MIN(Time!BE28,Inputs!$F$182)-MIN(Time!BE27,Inputs!$F$182))</f>
        <v>0.80139807969148</v>
      </c>
      <c r="BF10" s="11" t="n">
        <f aca="false">Inputs!$F$177*Funding!$F$76/Inputs!$F$178*MAX(0,MIN(Time!BF28,Inputs!$F$178)-MIN(Time!BF27,Inputs!$F$178))+Inputs!$F$179*Funding!$F$76/Inputs!$F$180*MAX(0,MIN(Time!BF28,Inputs!$F$180)-MIN(Time!BF27,Inputs!$F$180))+Inputs!$F$181*Funding!$F$76/Inputs!$F$182*MAX(0,MIN(Time!BF28,Inputs!$F$182)-MIN(Time!BF27,Inputs!$F$182))</f>
        <v>0.80139807969148</v>
      </c>
      <c r="BG10" s="11" t="n">
        <f aca="false">Inputs!$F$177*Funding!$F$76/Inputs!$F$178*MAX(0,MIN(Time!BG28,Inputs!$F$178)-MIN(Time!BG27,Inputs!$F$178))+Inputs!$F$179*Funding!$F$76/Inputs!$F$180*MAX(0,MIN(Time!BG28,Inputs!$F$180)-MIN(Time!BG27,Inputs!$F$180))+Inputs!$F$181*Funding!$F$76/Inputs!$F$182*MAX(0,MIN(Time!BG28,Inputs!$F$182)-MIN(Time!BG27,Inputs!$F$182))</f>
        <v>0.80139807969148</v>
      </c>
      <c r="BH10" s="11" t="n">
        <f aca="false">Inputs!$F$177*Funding!$F$76/Inputs!$F$178*MAX(0,MIN(Time!BH28,Inputs!$F$178)-MIN(Time!BH27,Inputs!$F$178))+Inputs!$F$179*Funding!$F$76/Inputs!$F$180*MAX(0,MIN(Time!BH28,Inputs!$F$180)-MIN(Time!BH27,Inputs!$F$180))+Inputs!$F$181*Funding!$F$76/Inputs!$F$182*MAX(0,MIN(Time!BH28,Inputs!$F$182)-MIN(Time!BH27,Inputs!$F$182))</f>
        <v>0.80139807969148</v>
      </c>
      <c r="BI10" s="11" t="n">
        <f aca="false">Inputs!$F$177*Funding!$F$76/Inputs!$F$178*MAX(0,MIN(Time!BI28,Inputs!$F$178)-MIN(Time!BI27,Inputs!$F$178))+Inputs!$F$179*Funding!$F$76/Inputs!$F$180*MAX(0,MIN(Time!BI28,Inputs!$F$180)-MIN(Time!BI27,Inputs!$F$180))+Inputs!$F$181*Funding!$F$76/Inputs!$F$182*MAX(0,MIN(Time!BI28,Inputs!$F$182)-MIN(Time!BI27,Inputs!$F$182))</f>
        <v>0.80139807969148</v>
      </c>
      <c r="BJ10" s="11" t="n">
        <f aca="false">Inputs!$F$177*Funding!$F$76/Inputs!$F$178*MAX(0,MIN(Time!BJ28,Inputs!$F$178)-MIN(Time!BJ27,Inputs!$F$178))+Inputs!$F$179*Funding!$F$76/Inputs!$F$180*MAX(0,MIN(Time!BJ28,Inputs!$F$180)-MIN(Time!BJ27,Inputs!$F$180))+Inputs!$F$181*Funding!$F$76/Inputs!$F$182*MAX(0,MIN(Time!BJ28,Inputs!$F$182)-MIN(Time!BJ27,Inputs!$F$182))</f>
        <v>0.80139807969148</v>
      </c>
      <c r="BK10" s="11" t="n">
        <f aca="false">Inputs!$F$177*Funding!$F$76/Inputs!$F$178*MAX(0,MIN(Time!BK28,Inputs!$F$178)-MIN(Time!BK27,Inputs!$F$178))+Inputs!$F$179*Funding!$F$76/Inputs!$F$180*MAX(0,MIN(Time!BK28,Inputs!$F$180)-MIN(Time!BK27,Inputs!$F$180))+Inputs!$F$181*Funding!$F$76/Inputs!$F$182*MAX(0,MIN(Time!BK28,Inputs!$F$182)-MIN(Time!BK27,Inputs!$F$182))</f>
        <v>0.80139807969148</v>
      </c>
      <c r="BL10" s="11" t="n">
        <f aca="false">Inputs!$F$177*Funding!$F$76/Inputs!$F$178*MAX(0,MIN(Time!BL28,Inputs!$F$178)-MIN(Time!BL27,Inputs!$F$178))+Inputs!$F$179*Funding!$F$76/Inputs!$F$180*MAX(0,MIN(Time!BL28,Inputs!$F$180)-MIN(Time!BL27,Inputs!$F$180))+Inputs!$F$181*Funding!$F$76/Inputs!$F$182*MAX(0,MIN(Time!BL28,Inputs!$F$182)-MIN(Time!BL27,Inputs!$F$182))</f>
        <v>0.80139807969148</v>
      </c>
      <c r="BM10" s="11" t="n">
        <f aca="false">Inputs!$F$177*Funding!$F$76/Inputs!$F$178*MAX(0,MIN(Time!BM28,Inputs!$F$178)-MIN(Time!BM27,Inputs!$F$178))+Inputs!$F$179*Funding!$F$76/Inputs!$F$180*MAX(0,MIN(Time!BM28,Inputs!$F$180)-MIN(Time!BM27,Inputs!$F$180))+Inputs!$F$181*Funding!$F$76/Inputs!$F$182*MAX(0,MIN(Time!BM28,Inputs!$F$182)-MIN(Time!BM27,Inputs!$F$182))</f>
        <v>0.80139807969148</v>
      </c>
      <c r="BN10" s="11" t="n">
        <f aca="false">Inputs!$F$177*Funding!$F$76/Inputs!$F$178*MAX(0,MIN(Time!BN28,Inputs!$F$178)-MIN(Time!BN27,Inputs!$F$178))+Inputs!$F$179*Funding!$F$76/Inputs!$F$180*MAX(0,MIN(Time!BN28,Inputs!$F$180)-MIN(Time!BN27,Inputs!$F$180))+Inputs!$F$181*Funding!$F$76/Inputs!$F$182*MAX(0,MIN(Time!BN28,Inputs!$F$182)-MIN(Time!BN27,Inputs!$F$182))</f>
        <v>0.667831733076233</v>
      </c>
    </row>
    <row r="11" customFormat="false" ht="15" hidden="false" customHeight="false" outlineLevel="0" collapsed="false">
      <c r="D11" s="0" t="s">
        <v>547</v>
      </c>
      <c r="E11" s="0" t="s">
        <v>149</v>
      </c>
      <c r="G11" s="11" t="n">
        <f aca="false">SUM(J11:BN11)</f>
        <v>216.3774815167</v>
      </c>
      <c r="J11" s="11" t="n">
        <f aca="false">(Inputs!$F$177*Funding!$F$76/Inputs!$F$178+Inputs!$F$179*Funding!$F$76/Inputs!$F$180)*J7+Inputs!$F$181*Funding!$F$76/Inputs!$F$182*MAX(0,MIN(Time!J28,60)-MIN(Time!J27,60))</f>
        <v>0</v>
      </c>
      <c r="K11" s="11" t="n">
        <f aca="false">(Inputs!$F$177*Funding!$F$76/Inputs!$F$178+Inputs!$F$179*Funding!$F$76/Inputs!$F$180)*K7+Inputs!$F$181*Funding!$F$76/Inputs!$F$182*MAX(0,MIN(Time!K28,60)-MIN(Time!K27,60))</f>
        <v>0</v>
      </c>
      <c r="L11" s="11" t="n">
        <f aca="false">(Inputs!$F$177*Funding!$F$76/Inputs!$F$178+Inputs!$F$179*Funding!$F$76/Inputs!$F$180)*L7+Inputs!$F$181*Funding!$F$76/Inputs!$F$182*MAX(0,MIN(Time!L28,60)-MIN(Time!L27,60))</f>
        <v>0</v>
      </c>
      <c r="M11" s="11" t="n">
        <f aca="false">(Inputs!$F$177*Funding!$F$76/Inputs!$F$178+Inputs!$F$179*Funding!$F$76/Inputs!$F$180)*M7+Inputs!$F$181*Funding!$F$76/Inputs!$F$182*MAX(0,MIN(Time!M28,60)-MIN(Time!M27,60))</f>
        <v>0</v>
      </c>
      <c r="N11" s="11" t="n">
        <f aca="false">(Inputs!$F$177*Funding!$F$76/Inputs!$F$178+Inputs!$F$179*Funding!$F$76/Inputs!$F$180)*N7+Inputs!$F$181*Funding!$F$76/Inputs!$F$182*MAX(0,MIN(Time!N28,60)-MIN(Time!N27,60))</f>
        <v>0</v>
      </c>
      <c r="O11" s="11" t="n">
        <f aca="false">(Inputs!$F$177*Funding!$F$76/Inputs!$F$178+Inputs!$F$179*Funding!$F$76/Inputs!$F$180)*O7+Inputs!$F$181*Funding!$F$76/Inputs!$F$182*MAX(0,MIN(Time!O28,60)-MIN(Time!O27,60))</f>
        <v>0</v>
      </c>
      <c r="P11" s="11" t="n">
        <f aca="false">(Inputs!$F$177*Funding!$F$76/Inputs!$F$178+Inputs!$F$179*Funding!$F$76/Inputs!$F$180)*P7+Inputs!$F$181*Funding!$F$76/Inputs!$F$182*MAX(0,MIN(Time!P28,60)-MIN(Time!P27,60))</f>
        <v>3.60629135861166</v>
      </c>
      <c r="Q11" s="11" t="n">
        <f aca="false">(Inputs!$F$177*Funding!$F$76/Inputs!$F$178+Inputs!$F$179*Funding!$F$76/Inputs!$F$180)*Q7+Inputs!$F$181*Funding!$F$76/Inputs!$F$182*MAX(0,MIN(Time!Q28,60)-MIN(Time!Q27,60))</f>
        <v>21.63774815167</v>
      </c>
      <c r="R11" s="11" t="n">
        <f aca="false">(Inputs!$F$177*Funding!$F$76/Inputs!$F$178+Inputs!$F$179*Funding!$F$76/Inputs!$F$180)*R7+Inputs!$F$181*Funding!$F$76/Inputs!$F$182*MAX(0,MIN(Time!R28,60)-MIN(Time!R27,60))</f>
        <v>21.63774815167</v>
      </c>
      <c r="S11" s="11" t="n">
        <f aca="false">(Inputs!$F$177*Funding!$F$76/Inputs!$F$178+Inputs!$F$179*Funding!$F$76/Inputs!$F$180)*S7+Inputs!$F$181*Funding!$F$76/Inputs!$F$182*MAX(0,MIN(Time!S28,60)-MIN(Time!S27,60))</f>
        <v>21.63774815167</v>
      </c>
      <c r="T11" s="11" t="n">
        <f aca="false">(Inputs!$F$177*Funding!$F$76/Inputs!$F$178+Inputs!$F$179*Funding!$F$76/Inputs!$F$180)*T7+Inputs!$F$181*Funding!$F$76/Inputs!$F$182*MAX(0,MIN(Time!T28,60)-MIN(Time!T27,60))</f>
        <v>21.63774815167</v>
      </c>
      <c r="U11" s="11" t="n">
        <f aca="false">(Inputs!$F$177*Funding!$F$76/Inputs!$F$178+Inputs!$F$179*Funding!$F$76/Inputs!$F$180)*U7+Inputs!$F$181*Funding!$F$76/Inputs!$F$182*MAX(0,MIN(Time!U28,60)-MIN(Time!U27,60))</f>
        <v>21.63774815167</v>
      </c>
      <c r="V11" s="11" t="n">
        <f aca="false">(Inputs!$F$177*Funding!$F$76/Inputs!$F$178+Inputs!$F$179*Funding!$F$76/Inputs!$F$180)*V7+Inputs!$F$181*Funding!$F$76/Inputs!$F$182*MAX(0,MIN(Time!V28,60)-MIN(Time!V27,60))</f>
        <v>21.63774815167</v>
      </c>
      <c r="W11" s="11" t="n">
        <f aca="false">(Inputs!$F$177*Funding!$F$76/Inputs!$F$178+Inputs!$F$179*Funding!$F$76/Inputs!$F$180)*W7+Inputs!$F$181*Funding!$F$76/Inputs!$F$182*MAX(0,MIN(Time!W28,60)-MIN(Time!W27,60))</f>
        <v>21.63774815167</v>
      </c>
      <c r="X11" s="11" t="n">
        <f aca="false">(Inputs!$F$177*Funding!$F$76/Inputs!$F$178+Inputs!$F$179*Funding!$F$76/Inputs!$F$180)*X7+Inputs!$F$181*Funding!$F$76/Inputs!$F$182*MAX(0,MIN(Time!X28,60)-MIN(Time!X27,60))</f>
        <v>21.63774815167</v>
      </c>
      <c r="Y11" s="11" t="n">
        <f aca="false">(Inputs!$F$177*Funding!$F$76/Inputs!$F$178+Inputs!$F$179*Funding!$F$76/Inputs!$F$180)*Y7+Inputs!$F$181*Funding!$F$76/Inputs!$F$182*MAX(0,MIN(Time!Y28,60)-MIN(Time!Y27,60))</f>
        <v>21.63774815167</v>
      </c>
      <c r="Z11" s="11" t="n">
        <f aca="false">(Inputs!$F$177*Funding!$F$76/Inputs!$F$178+Inputs!$F$179*Funding!$F$76/Inputs!$F$180)*Z7+Inputs!$F$181*Funding!$F$76/Inputs!$F$182*MAX(0,MIN(Time!Z28,60)-MIN(Time!Z27,60))</f>
        <v>18.0314567930583</v>
      </c>
      <c r="AA11" s="11" t="n">
        <f aca="false">(Inputs!$F$177*Funding!$F$76/Inputs!$F$178+Inputs!$F$179*Funding!$F$76/Inputs!$F$180)*AA7+Inputs!$F$181*Funding!$F$76/Inputs!$F$182*MAX(0,MIN(Time!AA28,60)-MIN(Time!AA27,60))</f>
        <v>0</v>
      </c>
      <c r="AB11" s="11" t="n">
        <f aca="false">(Inputs!$F$177*Funding!$F$76/Inputs!$F$178+Inputs!$F$179*Funding!$F$76/Inputs!$F$180)*AB7+Inputs!$F$181*Funding!$F$76/Inputs!$F$182*MAX(0,MIN(Time!AB28,60)-MIN(Time!AB27,60))</f>
        <v>0</v>
      </c>
      <c r="AC11" s="11" t="n">
        <f aca="false">(Inputs!$F$177*Funding!$F$76/Inputs!$F$178+Inputs!$F$179*Funding!$F$76/Inputs!$F$180)*AC7+Inputs!$F$181*Funding!$F$76/Inputs!$F$182*MAX(0,MIN(Time!AC28,60)-MIN(Time!AC27,60))</f>
        <v>0</v>
      </c>
      <c r="AD11" s="11" t="n">
        <f aca="false">(Inputs!$F$177*Funding!$F$76/Inputs!$F$178+Inputs!$F$179*Funding!$F$76/Inputs!$F$180)*AD7+Inputs!$F$181*Funding!$F$76/Inputs!$F$182*MAX(0,MIN(Time!AD28,60)-MIN(Time!AD27,60))</f>
        <v>0</v>
      </c>
      <c r="AE11" s="11" t="n">
        <f aca="false">(Inputs!$F$177*Funding!$F$76/Inputs!$F$178+Inputs!$F$179*Funding!$F$76/Inputs!$F$180)*AE7+Inputs!$F$181*Funding!$F$76/Inputs!$F$182*MAX(0,MIN(Time!AE28,60)-MIN(Time!AE27,60))</f>
        <v>0</v>
      </c>
      <c r="AF11" s="11" t="n">
        <f aca="false">(Inputs!$F$177*Funding!$F$76/Inputs!$F$178+Inputs!$F$179*Funding!$F$76/Inputs!$F$180)*AF7+Inputs!$F$181*Funding!$F$76/Inputs!$F$182*MAX(0,MIN(Time!AF28,60)-MIN(Time!AF27,60))</f>
        <v>0</v>
      </c>
      <c r="AG11" s="11" t="n">
        <f aca="false">(Inputs!$F$177*Funding!$F$76/Inputs!$F$178+Inputs!$F$179*Funding!$F$76/Inputs!$F$180)*AG7+Inputs!$F$181*Funding!$F$76/Inputs!$F$182*MAX(0,MIN(Time!AG28,60)-MIN(Time!AG27,60))</f>
        <v>0</v>
      </c>
      <c r="AH11" s="11" t="n">
        <f aca="false">(Inputs!$F$177*Funding!$F$76/Inputs!$F$178+Inputs!$F$179*Funding!$F$76/Inputs!$F$180)*AH7+Inputs!$F$181*Funding!$F$76/Inputs!$F$182*MAX(0,MIN(Time!AH28,60)-MIN(Time!AH27,60))</f>
        <v>0</v>
      </c>
      <c r="AI11" s="11" t="n">
        <f aca="false">(Inputs!$F$177*Funding!$F$76/Inputs!$F$178+Inputs!$F$179*Funding!$F$76/Inputs!$F$180)*AI7+Inputs!$F$181*Funding!$F$76/Inputs!$F$182*MAX(0,MIN(Time!AI28,60)-MIN(Time!AI27,60))</f>
        <v>0</v>
      </c>
      <c r="AJ11" s="11" t="n">
        <f aca="false">(Inputs!$F$177*Funding!$F$76/Inputs!$F$178+Inputs!$F$179*Funding!$F$76/Inputs!$F$180)*AJ7+Inputs!$F$181*Funding!$F$76/Inputs!$F$182*MAX(0,MIN(Time!AJ28,60)-MIN(Time!AJ27,60))</f>
        <v>0</v>
      </c>
      <c r="AK11" s="11" t="n">
        <f aca="false">(Inputs!$F$177*Funding!$F$76/Inputs!$F$178+Inputs!$F$179*Funding!$F$76/Inputs!$F$180)*AK7+Inputs!$F$181*Funding!$F$76/Inputs!$F$182*MAX(0,MIN(Time!AK28,60)-MIN(Time!AK27,60))</f>
        <v>0</v>
      </c>
      <c r="AL11" s="11" t="n">
        <f aca="false">(Inputs!$F$177*Funding!$F$76/Inputs!$F$178+Inputs!$F$179*Funding!$F$76/Inputs!$F$180)*AL7+Inputs!$F$181*Funding!$F$76/Inputs!$F$182*MAX(0,MIN(Time!AL28,60)-MIN(Time!AL27,60))</f>
        <v>0</v>
      </c>
      <c r="AM11" s="11" t="n">
        <f aca="false">(Inputs!$F$177*Funding!$F$76/Inputs!$F$178+Inputs!$F$179*Funding!$F$76/Inputs!$F$180)*AM7+Inputs!$F$181*Funding!$F$76/Inputs!$F$182*MAX(0,MIN(Time!AM28,60)-MIN(Time!AM27,60))</f>
        <v>0</v>
      </c>
      <c r="AN11" s="11" t="n">
        <f aca="false">(Inputs!$F$177*Funding!$F$76/Inputs!$F$178+Inputs!$F$179*Funding!$F$76/Inputs!$F$180)*AN7+Inputs!$F$181*Funding!$F$76/Inputs!$F$182*MAX(0,MIN(Time!AN28,60)-MIN(Time!AN27,60))</f>
        <v>0</v>
      </c>
      <c r="AO11" s="11" t="n">
        <f aca="false">(Inputs!$F$177*Funding!$F$76/Inputs!$F$178+Inputs!$F$179*Funding!$F$76/Inputs!$F$180)*AO7+Inputs!$F$181*Funding!$F$76/Inputs!$F$182*MAX(0,MIN(Time!AO28,60)-MIN(Time!AO27,60))</f>
        <v>0</v>
      </c>
      <c r="AP11" s="11" t="n">
        <f aca="false">(Inputs!$F$177*Funding!$F$76/Inputs!$F$178+Inputs!$F$179*Funding!$F$76/Inputs!$F$180)*AP7+Inputs!$F$181*Funding!$F$76/Inputs!$F$182*MAX(0,MIN(Time!AP28,60)-MIN(Time!AP27,60))</f>
        <v>0</v>
      </c>
      <c r="AQ11" s="11" t="n">
        <f aca="false">(Inputs!$F$177*Funding!$F$76/Inputs!$F$178+Inputs!$F$179*Funding!$F$76/Inputs!$F$180)*AQ7+Inputs!$F$181*Funding!$F$76/Inputs!$F$182*MAX(0,MIN(Time!AQ28,60)-MIN(Time!AQ27,60))</f>
        <v>0</v>
      </c>
      <c r="AR11" s="11" t="n">
        <f aca="false">(Inputs!$F$177*Funding!$F$76/Inputs!$F$178+Inputs!$F$179*Funding!$F$76/Inputs!$F$180)*AR7+Inputs!$F$181*Funding!$F$76/Inputs!$F$182*MAX(0,MIN(Time!AR28,60)-MIN(Time!AR27,60))</f>
        <v>0</v>
      </c>
      <c r="AS11" s="11" t="n">
        <f aca="false">(Inputs!$F$177*Funding!$F$76/Inputs!$F$178+Inputs!$F$179*Funding!$F$76/Inputs!$F$180)*AS7+Inputs!$F$181*Funding!$F$76/Inputs!$F$182*MAX(0,MIN(Time!AS28,60)-MIN(Time!AS27,60))</f>
        <v>0</v>
      </c>
      <c r="AT11" s="11" t="n">
        <f aca="false">(Inputs!$F$177*Funding!$F$76/Inputs!$F$178+Inputs!$F$179*Funding!$F$76/Inputs!$F$180)*AT7+Inputs!$F$181*Funding!$F$76/Inputs!$F$182*MAX(0,MIN(Time!AT28,60)-MIN(Time!AT27,60))</f>
        <v>0</v>
      </c>
      <c r="AU11" s="11" t="n">
        <f aca="false">(Inputs!$F$177*Funding!$F$76/Inputs!$F$178+Inputs!$F$179*Funding!$F$76/Inputs!$F$180)*AU7+Inputs!$F$181*Funding!$F$76/Inputs!$F$182*MAX(0,MIN(Time!AU28,60)-MIN(Time!AU27,60))</f>
        <v>0</v>
      </c>
      <c r="AV11" s="11" t="n">
        <f aca="false">(Inputs!$F$177*Funding!$F$76/Inputs!$F$178+Inputs!$F$179*Funding!$F$76/Inputs!$F$180)*AV7+Inputs!$F$181*Funding!$F$76/Inputs!$F$182*MAX(0,MIN(Time!AV28,60)-MIN(Time!AV27,60))</f>
        <v>0</v>
      </c>
      <c r="AW11" s="11" t="n">
        <f aca="false">(Inputs!$F$177*Funding!$F$76/Inputs!$F$178+Inputs!$F$179*Funding!$F$76/Inputs!$F$180)*AW7+Inputs!$F$181*Funding!$F$76/Inputs!$F$182*MAX(0,MIN(Time!AW28,60)-MIN(Time!AW27,60))</f>
        <v>0</v>
      </c>
      <c r="AX11" s="11" t="n">
        <f aca="false">(Inputs!$F$177*Funding!$F$76/Inputs!$F$178+Inputs!$F$179*Funding!$F$76/Inputs!$F$180)*AX7+Inputs!$F$181*Funding!$F$76/Inputs!$F$182*MAX(0,MIN(Time!AX28,60)-MIN(Time!AX27,60))</f>
        <v>0</v>
      </c>
      <c r="AY11" s="11" t="n">
        <f aca="false">(Inputs!$F$177*Funding!$F$76/Inputs!$F$178+Inputs!$F$179*Funding!$F$76/Inputs!$F$180)*AY7+Inputs!$F$181*Funding!$F$76/Inputs!$F$182*MAX(0,MIN(Time!AY28,60)-MIN(Time!AY27,60))</f>
        <v>0</v>
      </c>
      <c r="AZ11" s="11" t="n">
        <f aca="false">(Inputs!$F$177*Funding!$F$76/Inputs!$F$178+Inputs!$F$179*Funding!$F$76/Inputs!$F$180)*AZ7+Inputs!$F$181*Funding!$F$76/Inputs!$F$182*MAX(0,MIN(Time!AZ28,60)-MIN(Time!AZ27,60))</f>
        <v>0</v>
      </c>
      <c r="BA11" s="11" t="n">
        <f aca="false">(Inputs!$F$177*Funding!$F$76/Inputs!$F$178+Inputs!$F$179*Funding!$F$76/Inputs!$F$180)*BA7+Inputs!$F$181*Funding!$F$76/Inputs!$F$182*MAX(0,MIN(Time!BA28,60)-MIN(Time!BA27,60))</f>
        <v>0</v>
      </c>
      <c r="BB11" s="11" t="n">
        <f aca="false">(Inputs!$F$177*Funding!$F$76/Inputs!$F$178+Inputs!$F$179*Funding!$F$76/Inputs!$F$180)*BB7+Inputs!$F$181*Funding!$F$76/Inputs!$F$182*MAX(0,MIN(Time!BB28,60)-MIN(Time!BB27,60))</f>
        <v>0</v>
      </c>
      <c r="BC11" s="11" t="n">
        <f aca="false">(Inputs!$F$177*Funding!$F$76/Inputs!$F$178+Inputs!$F$179*Funding!$F$76/Inputs!$F$180)*BC7+Inputs!$F$181*Funding!$F$76/Inputs!$F$182*MAX(0,MIN(Time!BC28,60)-MIN(Time!BC27,60))</f>
        <v>0</v>
      </c>
      <c r="BD11" s="11" t="n">
        <f aca="false">(Inputs!$F$177*Funding!$F$76/Inputs!$F$178+Inputs!$F$179*Funding!$F$76/Inputs!$F$180)*BD7+Inputs!$F$181*Funding!$F$76/Inputs!$F$182*MAX(0,MIN(Time!BD28,60)-MIN(Time!BD27,60))</f>
        <v>0</v>
      </c>
      <c r="BE11" s="11" t="n">
        <f aca="false">(Inputs!$F$177*Funding!$F$76/Inputs!$F$178+Inputs!$F$179*Funding!$F$76/Inputs!$F$180)*BE7+Inputs!$F$181*Funding!$F$76/Inputs!$F$182*MAX(0,MIN(Time!BE28,60)-MIN(Time!BE27,60))</f>
        <v>0</v>
      </c>
      <c r="BF11" s="11" t="n">
        <f aca="false">(Inputs!$F$177*Funding!$F$76/Inputs!$F$178+Inputs!$F$179*Funding!$F$76/Inputs!$F$180)*BF7+Inputs!$F$181*Funding!$F$76/Inputs!$F$182*MAX(0,MIN(Time!BF28,60)-MIN(Time!BF27,60))</f>
        <v>0</v>
      </c>
      <c r="BG11" s="11" t="n">
        <f aca="false">(Inputs!$F$177*Funding!$F$76/Inputs!$F$178+Inputs!$F$179*Funding!$F$76/Inputs!$F$180)*BG7+Inputs!$F$181*Funding!$F$76/Inputs!$F$182*MAX(0,MIN(Time!BG28,60)-MIN(Time!BG27,60))</f>
        <v>0</v>
      </c>
      <c r="BH11" s="11" t="n">
        <f aca="false">(Inputs!$F$177*Funding!$F$76/Inputs!$F$178+Inputs!$F$179*Funding!$F$76/Inputs!$F$180)*BH7+Inputs!$F$181*Funding!$F$76/Inputs!$F$182*MAX(0,MIN(Time!BH28,60)-MIN(Time!BH27,60))</f>
        <v>0</v>
      </c>
      <c r="BI11" s="11" t="n">
        <f aca="false">(Inputs!$F$177*Funding!$F$76/Inputs!$F$178+Inputs!$F$179*Funding!$F$76/Inputs!$F$180)*BI7+Inputs!$F$181*Funding!$F$76/Inputs!$F$182*MAX(0,MIN(Time!BI28,60)-MIN(Time!BI27,60))</f>
        <v>0</v>
      </c>
      <c r="BJ11" s="11" t="n">
        <f aca="false">(Inputs!$F$177*Funding!$F$76/Inputs!$F$178+Inputs!$F$179*Funding!$F$76/Inputs!$F$180)*BJ7+Inputs!$F$181*Funding!$F$76/Inputs!$F$182*MAX(0,MIN(Time!BJ28,60)-MIN(Time!BJ27,60))</f>
        <v>0</v>
      </c>
      <c r="BK11" s="11" t="n">
        <f aca="false">(Inputs!$F$177*Funding!$F$76/Inputs!$F$178+Inputs!$F$179*Funding!$F$76/Inputs!$F$180)*BK7+Inputs!$F$181*Funding!$F$76/Inputs!$F$182*MAX(0,MIN(Time!BK28,60)-MIN(Time!BK27,60))</f>
        <v>0</v>
      </c>
      <c r="BL11" s="11" t="n">
        <f aca="false">(Inputs!$F$177*Funding!$F$76/Inputs!$F$178+Inputs!$F$179*Funding!$F$76/Inputs!$F$180)*BL7+Inputs!$F$181*Funding!$F$76/Inputs!$F$182*MAX(0,MIN(Time!BL28,60)-MIN(Time!BL27,60))</f>
        <v>0</v>
      </c>
      <c r="BM11" s="11" t="n">
        <f aca="false">(Inputs!$F$177*Funding!$F$76/Inputs!$F$178+Inputs!$F$179*Funding!$F$76/Inputs!$F$180)*BM7+Inputs!$F$181*Funding!$F$76/Inputs!$F$182*MAX(0,MIN(Time!BM28,60)-MIN(Time!BM27,60))</f>
        <v>0</v>
      </c>
      <c r="BN11" s="11" t="n">
        <f aca="false">(Inputs!$F$177*Funding!$F$76/Inputs!$F$178+Inputs!$F$179*Funding!$F$76/Inputs!$F$180)*BN7+Inputs!$F$181*Funding!$F$76/Inputs!$F$182*MAX(0,MIN(Time!BN28,60)-MIN(Time!BN27,60))</f>
        <v>0</v>
      </c>
    </row>
    <row r="12" customFormat="false" ht="15" hidden="false" customHeight="false" outlineLevel="0" collapsed="false">
      <c r="D12" s="0" t="s">
        <v>548</v>
      </c>
      <c r="E12" s="0" t="s">
        <v>149</v>
      </c>
      <c r="G12" s="11" t="n">
        <f aca="false">SUM(J12:BN12)</f>
        <v>585.02059817478</v>
      </c>
      <c r="J12" s="11" t="n">
        <f aca="false">J10-J11</f>
        <v>0</v>
      </c>
      <c r="K12" s="11" t="n">
        <f aca="false">K10-K11</f>
        <v>0</v>
      </c>
      <c r="L12" s="11" t="n">
        <f aca="false">L10-L11</f>
        <v>0</v>
      </c>
      <c r="M12" s="11" t="n">
        <f aca="false">M10-M11</f>
        <v>0</v>
      </c>
      <c r="N12" s="11" t="n">
        <f aca="false">N10-N11</f>
        <v>0</v>
      </c>
      <c r="O12" s="11" t="n">
        <f aca="false">O10-O11</f>
        <v>0</v>
      </c>
      <c r="P12" s="11" t="n">
        <f aca="false">P10-P11</f>
        <v>0</v>
      </c>
      <c r="Q12" s="11" t="n">
        <f aca="false">Q10-Q11</f>
        <v>0</v>
      </c>
      <c r="R12" s="11" t="n">
        <f aca="false">R10-R11</f>
        <v>0</v>
      </c>
      <c r="S12" s="11" t="n">
        <f aca="false">S10-S11</f>
        <v>0</v>
      </c>
      <c r="T12" s="11" t="n">
        <f aca="false">T10-T11</f>
        <v>0</v>
      </c>
      <c r="U12" s="11" t="n">
        <f aca="false">U10-U11</f>
        <v>0</v>
      </c>
      <c r="V12" s="11" t="n">
        <f aca="false">V10-V11</f>
        <v>0</v>
      </c>
      <c r="W12" s="11" t="n">
        <f aca="false">W10-W11</f>
        <v>0</v>
      </c>
      <c r="X12" s="11" t="n">
        <f aca="false">X10-X11</f>
        <v>0</v>
      </c>
      <c r="Y12" s="11" t="n">
        <f aca="false">Y10-Y11</f>
        <v>0</v>
      </c>
      <c r="Z12" s="11" t="n">
        <f aca="false">Z10-Z11</f>
        <v>3.20559231876592</v>
      </c>
      <c r="AA12" s="11" t="n">
        <f aca="false">AA10-AA11</f>
        <v>19.2335539125955</v>
      </c>
      <c r="AB12" s="11" t="n">
        <f aca="false">AB10-AB11</f>
        <v>19.2335539125955</v>
      </c>
      <c r="AC12" s="11" t="n">
        <f aca="false">AC10-AC11</f>
        <v>19.2335539125955</v>
      </c>
      <c r="AD12" s="11" t="n">
        <f aca="false">AD10-AD11</f>
        <v>19.2335539125955</v>
      </c>
      <c r="AE12" s="11" t="n">
        <f aca="false">AE10-AE11</f>
        <v>19.2335539125955</v>
      </c>
      <c r="AF12" s="11" t="n">
        <f aca="false">AF10-AF11</f>
        <v>19.2335539125955</v>
      </c>
      <c r="AG12" s="11" t="n">
        <f aca="false">AG10-AG11</f>
        <v>19.2335539125955</v>
      </c>
      <c r="AH12" s="11" t="n">
        <f aca="false">AH10-AH11</f>
        <v>19.2335539125955</v>
      </c>
      <c r="AI12" s="11" t="n">
        <f aca="false">AI10-AI11</f>
        <v>19.2335539125955</v>
      </c>
      <c r="AJ12" s="11" t="n">
        <f aca="false">AJ10-AJ11</f>
        <v>19.2335539125955</v>
      </c>
      <c r="AK12" s="11" t="n">
        <f aca="false">AK10-AK11</f>
        <v>19.2335539125955</v>
      </c>
      <c r="AL12" s="11" t="n">
        <f aca="false">AL10-AL11</f>
        <v>19.2335539125955</v>
      </c>
      <c r="AM12" s="11" t="n">
        <f aca="false">AM10-AM11</f>
        <v>19.2335539125955</v>
      </c>
      <c r="AN12" s="11" t="n">
        <f aca="false">AN10-AN11</f>
        <v>19.2335539125955</v>
      </c>
      <c r="AO12" s="11" t="n">
        <f aca="false">AO10-AO11</f>
        <v>19.2335539125955</v>
      </c>
      <c r="AP12" s="11" t="n">
        <f aca="false">AP10-AP11</f>
        <v>19.2335539125955</v>
      </c>
      <c r="AQ12" s="11" t="n">
        <f aca="false">AQ10-AQ11</f>
        <v>19.2335539125955</v>
      </c>
      <c r="AR12" s="11" t="n">
        <f aca="false">AR10-AR11</f>
        <v>19.2335539125955</v>
      </c>
      <c r="AS12" s="11" t="n">
        <f aca="false">AS10-AS11</f>
        <v>19.2335539125955</v>
      </c>
      <c r="AT12" s="11" t="n">
        <f aca="false">AT10-AT11</f>
        <v>19.2335539125955</v>
      </c>
      <c r="AU12" s="11" t="n">
        <f aca="false">AU10-AU11</f>
        <v>19.2335539125955</v>
      </c>
      <c r="AV12" s="11" t="n">
        <f aca="false">AV10-AV11</f>
        <v>19.2335539125955</v>
      </c>
      <c r="AW12" s="11" t="n">
        <f aca="false">AW10-AW11</f>
        <v>19.2335539125955</v>
      </c>
      <c r="AX12" s="11" t="n">
        <f aca="false">AX10-AX11</f>
        <v>19.2335539125955</v>
      </c>
      <c r="AY12" s="11" t="n">
        <f aca="false">AY10-AY11</f>
        <v>19.2335539125955</v>
      </c>
      <c r="AZ12" s="11" t="n">
        <f aca="false">AZ10-AZ11</f>
        <v>19.2335539125955</v>
      </c>
      <c r="BA12" s="11" t="n">
        <f aca="false">BA10-BA11</f>
        <v>19.2335539125955</v>
      </c>
      <c r="BB12" s="11" t="n">
        <f aca="false">BB10-BB11</f>
        <v>19.2335539125955</v>
      </c>
      <c r="BC12" s="11" t="n">
        <f aca="false">BC10-BC11</f>
        <v>19.2335539125955</v>
      </c>
      <c r="BD12" s="11" t="n">
        <f aca="false">BD10-BD11</f>
        <v>16.1615279404448</v>
      </c>
      <c r="BE12" s="11" t="n">
        <f aca="false">BE10-BE11</f>
        <v>0.80139807969148</v>
      </c>
      <c r="BF12" s="11" t="n">
        <f aca="false">BF10-BF11</f>
        <v>0.80139807969148</v>
      </c>
      <c r="BG12" s="11" t="n">
        <f aca="false">BG10-BG11</f>
        <v>0.80139807969148</v>
      </c>
      <c r="BH12" s="11" t="n">
        <f aca="false">BH10-BH11</f>
        <v>0.80139807969148</v>
      </c>
      <c r="BI12" s="11" t="n">
        <f aca="false">BI10-BI11</f>
        <v>0.80139807969148</v>
      </c>
      <c r="BJ12" s="11" t="n">
        <f aca="false">BJ10-BJ11</f>
        <v>0.80139807969148</v>
      </c>
      <c r="BK12" s="11" t="n">
        <f aca="false">BK10-BK11</f>
        <v>0.80139807969148</v>
      </c>
      <c r="BL12" s="11" t="n">
        <f aca="false">BL10-BL11</f>
        <v>0.80139807969148</v>
      </c>
      <c r="BM12" s="11" t="n">
        <f aca="false">BM10-BM11</f>
        <v>0.80139807969148</v>
      </c>
      <c r="BN12" s="11" t="n">
        <f aca="false">BN10-BN11</f>
        <v>0.667831733076233</v>
      </c>
    </row>
    <row r="13" customFormat="false" ht="15" hidden="false" customHeight="false" outlineLevel="0" collapsed="false">
      <c r="D13" s="0" t="s">
        <v>549</v>
      </c>
      <c r="E13" s="0" t="s">
        <v>149</v>
      </c>
      <c r="G13" s="11" t="n">
        <f aca="false">SUM(J13:BN13)</f>
        <v>146.705784453258</v>
      </c>
      <c r="J13" s="11" t="n">
        <f aca="false">IF(Time!J17&gt;=Time!$F$11,Waterfall!J33*Inputs!$F$104/100*Time!J26/365,0)</f>
        <v>0</v>
      </c>
      <c r="K13" s="11" t="n">
        <f aca="false">IF(Time!K17&gt;=Time!$F$11,Waterfall!K33*Inputs!$F$104/100*Time!K26/365,0)</f>
        <v>0</v>
      </c>
      <c r="L13" s="11" t="n">
        <f aca="false">IF(Time!L17&gt;=Time!$F$11,Waterfall!L33*Inputs!$F$104/100*Time!L26/365,0)</f>
        <v>0</v>
      </c>
      <c r="M13" s="11" t="n">
        <f aca="false">IF(Time!M17&gt;=Time!$F$11,Waterfall!M33*Inputs!$F$104/100*Time!M26/365,0)</f>
        <v>0</v>
      </c>
      <c r="N13" s="11" t="n">
        <f aca="false">IF(Time!N17&gt;=Time!$F$11,Waterfall!N33*Inputs!$F$104/100*Time!N26/365,0)</f>
        <v>0</v>
      </c>
      <c r="O13" s="11" t="n">
        <f aca="false">IF(Time!O17&gt;=Time!$F$11,Waterfall!O33*Inputs!$F$104/100*Time!O26/365,0)</f>
        <v>0</v>
      </c>
      <c r="P13" s="11" t="n">
        <f aca="false">IF(Time!P17&gt;=Time!$F$11,Waterfall!P33*Inputs!$F$104/100*Time!P26/365,0)</f>
        <v>1.65772110371776</v>
      </c>
      <c r="Q13" s="11" t="n">
        <f aca="false">IF(Time!Q17&gt;=Time!$F$11,Waterfall!Q33*Inputs!$F$104/100*Time!Q26/365,0)</f>
        <v>9.75704681068009</v>
      </c>
      <c r="R13" s="11" t="n">
        <f aca="false">IF(Time!R17&gt;=Time!$F$11,Waterfall!R33*Inputs!$F$104/100*Time!R26/365,0)</f>
        <v>9.53936615288344</v>
      </c>
      <c r="S13" s="11" t="n">
        <f aca="false">IF(Time!S17&gt;=Time!$F$11,Waterfall!S33*Inputs!$F$104/100*Time!S26/365,0)</f>
        <v>9.83322862826131</v>
      </c>
      <c r="T13" s="11" t="n">
        <f aca="false">IF(Time!T17&gt;=Time!$F$11,Waterfall!T33*Inputs!$F$104/100*Time!T26/365,0)</f>
        <v>10.4671276782928</v>
      </c>
      <c r="U13" s="11" t="n">
        <f aca="false">IF(Time!U17&gt;=Time!$F$11,Waterfall!U33*Inputs!$F$104/100*Time!U26/365,0)</f>
        <v>10.8491809556224</v>
      </c>
      <c r="V13" s="11" t="n">
        <f aca="false">IF(Time!V17&gt;=Time!$F$11,Waterfall!V33*Inputs!$F$104/100*Time!V26/365,0)</f>
        <v>11.4879744588978</v>
      </c>
      <c r="W13" s="11" t="n">
        <f aca="false">IF(Time!W17&gt;=Time!$F$11,Waterfall!W33*Inputs!$F$104/100*Time!W26/365,0)</f>
        <v>9.65643655740418</v>
      </c>
      <c r="X13" s="11" t="n">
        <f aca="false">IF(Time!X17&gt;=Time!$F$11,Waterfall!X33*Inputs!$F$104/100*Time!X26/365,0)</f>
        <v>9.15929424219228</v>
      </c>
      <c r="Y13" s="11" t="n">
        <f aca="false">IF(Time!Y17&gt;=Time!$F$11,Waterfall!Y33*Inputs!$F$104/100*Time!Y26/365,0)</f>
        <v>8.43894495411051</v>
      </c>
      <c r="Z13" s="11" t="n">
        <f aca="false">IF(Time!Z17&gt;=Time!$F$11,Waterfall!Z33*Inputs!$F$104/100*Time!Z26/365,0)</f>
        <v>8.10729192934441</v>
      </c>
      <c r="AA13" s="11" t="n">
        <f aca="false">IF(Time!AA17&gt;=Time!$F$11,Waterfall!AA33*Inputs!$F$104/100*Time!AA26/365,0)</f>
        <v>7.44516550623121</v>
      </c>
      <c r="AB13" s="11" t="n">
        <f aca="false">IF(Time!AB17&gt;=Time!$F$11,Waterfall!AB33*Inputs!$F$104/100*Time!AB26/365,0)</f>
        <v>7.04535725264135</v>
      </c>
      <c r="AC13" s="11" t="n">
        <f aca="false">IF(Time!AC17&gt;=Time!$F$11,Waterfall!AC33*Inputs!$F$104/100*Time!AC26/365,0)</f>
        <v>6.39044261869883</v>
      </c>
      <c r="AD13" s="11" t="n">
        <f aca="false">IF(Time!AD17&gt;=Time!$F$11,Waterfall!AD33*Inputs!$F$104/100*Time!AD26/365,0)</f>
        <v>5.87634405525995</v>
      </c>
      <c r="AE13" s="11" t="n">
        <f aca="false">IF(Time!AE17&gt;=Time!$F$11,Waterfall!AE33*Inputs!$F$104/100*Time!AE26/365,0)</f>
        <v>5.19706458483999</v>
      </c>
      <c r="AF13" s="11" t="n">
        <f aca="false">IF(Time!AF17&gt;=Time!$F$11,Waterfall!AF33*Inputs!$F$104/100*Time!AF26/365,0)</f>
        <v>4.61408742548787</v>
      </c>
      <c r="AG13" s="11" t="n">
        <f aca="false">IF(Time!AG17&gt;=Time!$F$11,Waterfall!AG33*Inputs!$F$104/100*Time!AG26/365,0)</f>
        <v>3.78934580156463</v>
      </c>
      <c r="AH13" s="11" t="n">
        <f aca="false">IF(Time!AH17&gt;=Time!$F$11,Waterfall!AH33*Inputs!$F$104/100*Time!AH26/365,0)</f>
        <v>3.11191009980124</v>
      </c>
      <c r="AI13" s="11" t="n">
        <f aca="false">IF(Time!AI17&gt;=Time!$F$11,Waterfall!AI33*Inputs!$F$104/100*Time!AI26/365,0)</f>
        <v>2.25550213895427</v>
      </c>
      <c r="AJ13" s="11" t="n">
        <f aca="false">IF(Time!AJ17&gt;=Time!$F$11,Waterfall!AJ33*Inputs!$F$104/100*Time!AJ26/365,0)</f>
        <v>1.46860428239237</v>
      </c>
      <c r="AK13" s="11" t="n">
        <f aca="false">IF(Time!AK17&gt;=Time!$F$11,Waterfall!AK33*Inputs!$F$104/100*Time!AK26/365,0)</f>
        <v>0.558347215979295</v>
      </c>
      <c r="AL13" s="11" t="n">
        <f aca="false">IF(Time!AL17&gt;=Time!$F$11,Waterfall!AL33*Inputs!$F$104/100*Time!AL26/365,0)</f>
        <v>0</v>
      </c>
      <c r="AM13" s="11" t="n">
        <f aca="false">IF(Time!AM17&gt;=Time!$F$11,Waterfall!AM33*Inputs!$F$104/100*Time!AM26/365,0)</f>
        <v>0</v>
      </c>
      <c r="AN13" s="11" t="n">
        <f aca="false">IF(Time!AN17&gt;=Time!$F$11,Waterfall!AN33*Inputs!$F$104/100*Time!AN26/365,0)</f>
        <v>0</v>
      </c>
      <c r="AO13" s="11" t="n">
        <f aca="false">IF(Time!AO17&gt;=Time!$F$11,Waterfall!AO33*Inputs!$F$104/100*Time!AO26/365,0)</f>
        <v>0</v>
      </c>
      <c r="AP13" s="11" t="n">
        <f aca="false">IF(Time!AP17&gt;=Time!$F$11,Waterfall!AP33*Inputs!$F$104/100*Time!AP26/365,0)</f>
        <v>0</v>
      </c>
      <c r="AQ13" s="11" t="n">
        <f aca="false">IF(Time!AQ17&gt;=Time!$F$11,Waterfall!AQ33*Inputs!$F$104/100*Time!AQ26/365,0)</f>
        <v>0</v>
      </c>
      <c r="AR13" s="11" t="n">
        <f aca="false">IF(Time!AR17&gt;=Time!$F$11,Waterfall!AR33*Inputs!$F$104/100*Time!AR26/365,0)</f>
        <v>0</v>
      </c>
      <c r="AS13" s="11" t="n">
        <f aca="false">IF(Time!AS17&gt;=Time!$F$11,Waterfall!AS33*Inputs!$F$104/100*Time!AS26/365,0)</f>
        <v>0</v>
      </c>
      <c r="AT13" s="11" t="n">
        <f aca="false">IF(Time!AT17&gt;=Time!$F$11,Waterfall!AT33*Inputs!$F$104/100*Time!AT26/365,0)</f>
        <v>0</v>
      </c>
      <c r="AU13" s="11" t="n">
        <f aca="false">IF(Time!AU17&gt;=Time!$F$11,Waterfall!AU33*Inputs!$F$104/100*Time!AU26/365,0)</f>
        <v>0</v>
      </c>
      <c r="AV13" s="11" t="n">
        <f aca="false">IF(Time!AV17&gt;=Time!$F$11,Waterfall!AV33*Inputs!$F$104/100*Time!AV26/365,0)</f>
        <v>0</v>
      </c>
      <c r="AW13" s="11" t="n">
        <f aca="false">IF(Time!AW17&gt;=Time!$F$11,Waterfall!AW33*Inputs!$F$104/100*Time!AW26/365,0)</f>
        <v>0</v>
      </c>
      <c r="AX13" s="11" t="n">
        <f aca="false">IF(Time!AX17&gt;=Time!$F$11,Waterfall!AX33*Inputs!$F$104/100*Time!AX26/365,0)</f>
        <v>0</v>
      </c>
      <c r="AY13" s="11" t="n">
        <f aca="false">IF(Time!AY17&gt;=Time!$F$11,Waterfall!AY33*Inputs!$F$104/100*Time!AY26/365,0)</f>
        <v>0</v>
      </c>
      <c r="AZ13" s="11" t="n">
        <f aca="false">IF(Time!AZ17&gt;=Time!$F$11,Waterfall!AZ33*Inputs!$F$104/100*Time!AZ26/365,0)</f>
        <v>0</v>
      </c>
      <c r="BA13" s="11" t="n">
        <f aca="false">IF(Time!BA17&gt;=Time!$F$11,Waterfall!BA33*Inputs!$F$104/100*Time!BA26/365,0)</f>
        <v>0</v>
      </c>
      <c r="BB13" s="11" t="n">
        <f aca="false">IF(Time!BB17&gt;=Time!$F$11,Waterfall!BB33*Inputs!$F$104/100*Time!BB26/365,0)</f>
        <v>0</v>
      </c>
      <c r="BC13" s="11" t="n">
        <f aca="false">IF(Time!BC17&gt;=Time!$F$11,Waterfall!BC33*Inputs!$F$104/100*Time!BC26/365,0)</f>
        <v>0</v>
      </c>
      <c r="BD13" s="11" t="n">
        <f aca="false">IF(Time!BD17&gt;=Time!$F$11,Waterfall!BD33*Inputs!$F$104/100*Time!BD26/365,0)</f>
        <v>0</v>
      </c>
      <c r="BE13" s="11" t="n">
        <f aca="false">IF(Time!BE17&gt;=Time!$F$11,Waterfall!BE33*Inputs!$F$104/100*Time!BE26/365,0)</f>
        <v>0</v>
      </c>
      <c r="BF13" s="11" t="n">
        <f aca="false">IF(Time!BF17&gt;=Time!$F$11,Waterfall!BF33*Inputs!$F$104/100*Time!BF26/365,0)</f>
        <v>0</v>
      </c>
      <c r="BG13" s="11" t="n">
        <f aca="false">IF(Time!BG17&gt;=Time!$F$11,Waterfall!BG33*Inputs!$F$104/100*Time!BG26/365,0)</f>
        <v>0</v>
      </c>
      <c r="BH13" s="11" t="n">
        <f aca="false">IF(Time!BH17&gt;=Time!$F$11,Waterfall!BH33*Inputs!$F$104/100*Time!BH26/365,0)</f>
        <v>0</v>
      </c>
      <c r="BI13" s="11" t="n">
        <f aca="false">IF(Time!BI17&gt;=Time!$F$11,Waterfall!BI33*Inputs!$F$104/100*Time!BI26/365,0)</f>
        <v>0</v>
      </c>
      <c r="BJ13" s="11" t="n">
        <f aca="false">IF(Time!BJ17&gt;=Time!$F$11,Waterfall!BJ33*Inputs!$F$104/100*Time!BJ26/365,0)</f>
        <v>0</v>
      </c>
      <c r="BK13" s="11" t="n">
        <f aca="false">IF(Time!BK17&gt;=Time!$F$11,Waterfall!BK33*Inputs!$F$104/100*Time!BK26/365,0)</f>
        <v>0</v>
      </c>
      <c r="BL13" s="11" t="n">
        <f aca="false">IF(Time!BL17&gt;=Time!$F$11,Waterfall!BL33*Inputs!$F$104/100*Time!BL26/365,0)</f>
        <v>0</v>
      </c>
      <c r="BM13" s="11" t="n">
        <f aca="false">IF(Time!BM17&gt;=Time!$F$11,Waterfall!BM33*Inputs!$F$104/100*Time!BM26/365,0)</f>
        <v>0</v>
      </c>
      <c r="BN13" s="11" t="n">
        <f aca="false">IF(Time!BN17&gt;=Time!$F$11,Waterfall!BN33*Inputs!$F$104/100*Time!BN26/365,0)</f>
        <v>0</v>
      </c>
    </row>
    <row r="14" customFormat="false" ht="15" hidden="false" customHeight="false" outlineLevel="0" collapsed="false">
      <c r="D14" s="0" t="s">
        <v>550</v>
      </c>
      <c r="E14" s="0" t="s">
        <v>109</v>
      </c>
      <c r="J14" s="6" t="n">
        <f aca="false">IF(Waterfall!J33&gt;0,MIN(1,Inputs!$F$183*(Waterfall!$F$32+MAX(0,0))/Waterfall!J33),1)</f>
        <v>1</v>
      </c>
      <c r="K14" s="6" t="n">
        <f aca="false">IF(Waterfall!K33&gt;0,MIN(1,Inputs!$F$183*(Waterfall!$F$32+MAX(0,Waterfall!J43))/Waterfall!K33),1)</f>
        <v>1</v>
      </c>
      <c r="L14" s="6" t="n">
        <f aca="false">IF(Waterfall!L33&gt;0,MIN(1,Inputs!$F$183*(Waterfall!$F$32+MAX(0,Waterfall!K43))/Waterfall!L33),1)</f>
        <v>1</v>
      </c>
      <c r="M14" s="6" t="n">
        <f aca="false">IF(Waterfall!M33&gt;0,MIN(1,Inputs!$F$183*(Waterfall!$F$32+MAX(0,Waterfall!L43))/Waterfall!M33),1)</f>
        <v>1</v>
      </c>
      <c r="N14" s="6" t="n">
        <f aca="false">IF(Waterfall!N33&gt;0,MIN(1,Inputs!$F$183*(Waterfall!$F$32+MAX(0,Waterfall!M43))/Waterfall!N33),1)</f>
        <v>1</v>
      </c>
      <c r="O14" s="6" t="n">
        <f aca="false">IF(Waterfall!O33&gt;0,MIN(1,Inputs!$F$183*(Waterfall!$F$32+MAX(0,Waterfall!N43))/Waterfall!O33),1)</f>
        <v>1</v>
      </c>
      <c r="P14" s="6" t="n">
        <f aca="false">IF(Waterfall!P33&gt;0,MIN(1,Inputs!$F$183*(Waterfall!$F$32+MAX(0,Waterfall!O43))/Waterfall!P33),1)</f>
        <v>0.641342323277939</v>
      </c>
      <c r="Q14" s="6" t="n">
        <f aca="false">IF(Waterfall!Q33&gt;0,MIN(1,Inputs!$F$183*(Waterfall!$F$32+MAX(0,Waterfall!P43))/Waterfall!Q33),1)</f>
        <v>0.704780797729317</v>
      </c>
      <c r="R14" s="6" t="n">
        <f aca="false">IF(Waterfall!R33&gt;0,MIN(1,Inputs!$F$183*(Waterfall!$F$32+MAX(0,Waterfall!Q43))/Waterfall!R33),1)</f>
        <v>0.873769685775456</v>
      </c>
      <c r="S14" s="6" t="n">
        <f aca="false">IF(Waterfall!S33&gt;0,MIN(1,Inputs!$F$183*(Waterfall!$F$32+MAX(0,Waterfall!R43))/Waterfall!S33),1)</f>
        <v>0.927824453617793</v>
      </c>
      <c r="T14" s="6" t="n">
        <f aca="false">IF(Waterfall!T33&gt;0,MIN(1,Inputs!$F$183*(Waterfall!$F$32+MAX(0,Waterfall!S43))/Waterfall!T33),1)</f>
        <v>0.929175050755878</v>
      </c>
      <c r="U14" s="6" t="n">
        <f aca="false">IF(Waterfall!U33&gt;0,MIN(1,Inputs!$F$183*(Waterfall!$F$32+MAX(0,Waterfall!T43))/Waterfall!U33),1)</f>
        <v>0.924035109446345</v>
      </c>
      <c r="V14" s="6" t="n">
        <f aca="false">IF(Waterfall!V33&gt;0,MIN(1,Inputs!$F$183*(Waterfall!$F$32+MAX(0,Waterfall!U43))/Waterfall!V33),1)</f>
        <v>0.965834855915428</v>
      </c>
      <c r="W14" s="6" t="n">
        <f aca="false">IF(Waterfall!W33&gt;0,MIN(1,Inputs!$F$183*(Waterfall!$F$32+MAX(0,Waterfall!V43))/Waterfall!W33),1)</f>
        <v>1</v>
      </c>
      <c r="X14" s="6" t="n">
        <f aca="false">IF(Waterfall!X33&gt;0,MIN(1,Inputs!$F$183*(Waterfall!$F$32+MAX(0,Waterfall!W43))/Waterfall!X33),1)</f>
        <v>1</v>
      </c>
      <c r="Y14" s="6" t="n">
        <f aca="false">IF(Waterfall!Y33&gt;0,MIN(1,Inputs!$F$183*(Waterfall!$F$32+MAX(0,Waterfall!X43))/Waterfall!Y33),1)</f>
        <v>1</v>
      </c>
      <c r="Z14" s="6" t="n">
        <f aca="false">IF(Waterfall!Z33&gt;0,MIN(1,Inputs!$F$183*(Waterfall!$F$32+MAX(0,Waterfall!Y43))/Waterfall!Z33),1)</f>
        <v>1</v>
      </c>
      <c r="AA14" s="6" t="n">
        <f aca="false">IF(Waterfall!AA33&gt;0,MIN(1,Inputs!$F$183*(Waterfall!$F$32+MAX(0,Waterfall!Z43))/Waterfall!AA33),1)</f>
        <v>1</v>
      </c>
      <c r="AB14" s="6" t="n">
        <f aca="false">IF(Waterfall!AB33&gt;0,MIN(1,Inputs!$F$183*(Waterfall!$F$32+MAX(0,Waterfall!AA43))/Waterfall!AB33),1)</f>
        <v>1</v>
      </c>
      <c r="AC14" s="6" t="n">
        <f aca="false">IF(Waterfall!AC33&gt;0,MIN(1,Inputs!$F$183*(Waterfall!$F$32+MAX(0,Waterfall!AB43))/Waterfall!AC33),1)</f>
        <v>1</v>
      </c>
      <c r="AD14" s="6" t="n">
        <f aca="false">IF(Waterfall!AD33&gt;0,MIN(1,Inputs!$F$183*(Waterfall!$F$32+MAX(0,Waterfall!AC43))/Waterfall!AD33),1)</f>
        <v>1</v>
      </c>
      <c r="AE14" s="6" t="n">
        <f aca="false">IF(Waterfall!AE33&gt;0,MIN(1,Inputs!$F$183*(Waterfall!$F$32+MAX(0,Waterfall!AD43))/Waterfall!AE33),1)</f>
        <v>1</v>
      </c>
      <c r="AF14" s="6" t="n">
        <f aca="false">IF(Waterfall!AF33&gt;0,MIN(1,Inputs!$F$183*(Waterfall!$F$32+MAX(0,Waterfall!AE43))/Waterfall!AF33),1)</f>
        <v>1</v>
      </c>
      <c r="AG14" s="6" t="n">
        <f aca="false">IF(Waterfall!AG33&gt;0,MIN(1,Inputs!$F$183*(Waterfall!$F$32+MAX(0,Waterfall!AF43))/Waterfall!AG33),1)</f>
        <v>1</v>
      </c>
      <c r="AH14" s="6" t="n">
        <f aca="false">IF(Waterfall!AH33&gt;0,MIN(1,Inputs!$F$183*(Waterfall!$F$32+MAX(0,Waterfall!AG43))/Waterfall!AH33),1)</f>
        <v>1</v>
      </c>
      <c r="AI14" s="6" t="n">
        <f aca="false">IF(Waterfall!AI33&gt;0,MIN(1,Inputs!$F$183*(Waterfall!$F$32+MAX(0,Waterfall!AH43))/Waterfall!AI33),1)</f>
        <v>1</v>
      </c>
      <c r="AJ14" s="6" t="n">
        <f aca="false">IF(Waterfall!AJ33&gt;0,MIN(1,Inputs!$F$183*(Waterfall!$F$32+MAX(0,Waterfall!AI43))/Waterfall!AJ33),1)</f>
        <v>1</v>
      </c>
      <c r="AK14" s="6" t="n">
        <f aca="false">IF(Waterfall!AK33&gt;0,MIN(1,Inputs!$F$183*(Waterfall!$F$32+MAX(0,Waterfall!AJ43))/Waterfall!AK33),1)</f>
        <v>1</v>
      </c>
      <c r="AL14" s="6" t="n">
        <f aca="false">IF(Waterfall!AL33&gt;0,MIN(1,Inputs!$F$183*(Waterfall!$F$32+MAX(0,Waterfall!AK43))/Waterfall!AL33),1)</f>
        <v>1</v>
      </c>
      <c r="AM14" s="6" t="n">
        <f aca="false">IF(Waterfall!AM33&gt;0,MIN(1,Inputs!$F$183*(Waterfall!$F$32+MAX(0,Waterfall!AL43))/Waterfall!AM33),1)</f>
        <v>1</v>
      </c>
      <c r="AN14" s="6" t="n">
        <f aca="false">IF(Waterfall!AN33&gt;0,MIN(1,Inputs!$F$183*(Waterfall!$F$32+MAX(0,Waterfall!AM43))/Waterfall!AN33),1)</f>
        <v>1</v>
      </c>
      <c r="AO14" s="6" t="n">
        <f aca="false">IF(Waterfall!AO33&gt;0,MIN(1,Inputs!$F$183*(Waterfall!$F$32+MAX(0,Waterfall!AN43))/Waterfall!AO33),1)</f>
        <v>1</v>
      </c>
      <c r="AP14" s="6" t="n">
        <f aca="false">IF(Waterfall!AP33&gt;0,MIN(1,Inputs!$F$183*(Waterfall!$F$32+MAX(0,Waterfall!AO43))/Waterfall!AP33),1)</f>
        <v>1</v>
      </c>
      <c r="AQ14" s="6" t="n">
        <f aca="false">IF(Waterfall!AQ33&gt;0,MIN(1,Inputs!$F$183*(Waterfall!$F$32+MAX(0,Waterfall!AP43))/Waterfall!AQ33),1)</f>
        <v>1</v>
      </c>
      <c r="AR14" s="6" t="n">
        <f aca="false">IF(Waterfall!AR33&gt;0,MIN(1,Inputs!$F$183*(Waterfall!$F$32+MAX(0,Waterfall!AQ43))/Waterfall!AR33),1)</f>
        <v>1</v>
      </c>
      <c r="AS14" s="6" t="n">
        <f aca="false">IF(Waterfall!AS33&gt;0,MIN(1,Inputs!$F$183*(Waterfall!$F$32+MAX(0,Waterfall!AR43))/Waterfall!AS33),1)</f>
        <v>1</v>
      </c>
      <c r="AT14" s="6" t="n">
        <f aca="false">IF(Waterfall!AT33&gt;0,MIN(1,Inputs!$F$183*(Waterfall!$F$32+MAX(0,Waterfall!AS43))/Waterfall!AT33),1)</f>
        <v>1</v>
      </c>
      <c r="AU14" s="6" t="n">
        <f aca="false">IF(Waterfall!AU33&gt;0,MIN(1,Inputs!$F$183*(Waterfall!$F$32+MAX(0,Waterfall!AT43))/Waterfall!AU33),1)</f>
        <v>1</v>
      </c>
      <c r="AV14" s="6" t="n">
        <f aca="false">IF(Waterfall!AV33&gt;0,MIN(1,Inputs!$F$183*(Waterfall!$F$32+MAX(0,Waterfall!AU43))/Waterfall!AV33),1)</f>
        <v>1</v>
      </c>
      <c r="AW14" s="6" t="n">
        <f aca="false">IF(Waterfall!AW33&gt;0,MIN(1,Inputs!$F$183*(Waterfall!$F$32+MAX(0,Waterfall!AV43))/Waterfall!AW33),1)</f>
        <v>1</v>
      </c>
      <c r="AX14" s="6" t="n">
        <f aca="false">IF(Waterfall!AX33&gt;0,MIN(1,Inputs!$F$183*(Waterfall!$F$32+MAX(0,Waterfall!AW43))/Waterfall!AX33),1)</f>
        <v>1</v>
      </c>
      <c r="AY14" s="6" t="n">
        <f aca="false">IF(Waterfall!AY33&gt;0,MIN(1,Inputs!$F$183*(Waterfall!$F$32+MAX(0,Waterfall!AX43))/Waterfall!AY33),1)</f>
        <v>1</v>
      </c>
      <c r="AZ14" s="6" t="n">
        <f aca="false">IF(Waterfall!AZ33&gt;0,MIN(1,Inputs!$F$183*(Waterfall!$F$32+MAX(0,Waterfall!AY43))/Waterfall!AZ33),1)</f>
        <v>1</v>
      </c>
      <c r="BA14" s="6" t="n">
        <f aca="false">IF(Waterfall!BA33&gt;0,MIN(1,Inputs!$F$183*(Waterfall!$F$32+MAX(0,Waterfall!AZ43))/Waterfall!BA33),1)</f>
        <v>1</v>
      </c>
      <c r="BB14" s="6" t="n">
        <f aca="false">IF(Waterfall!BB33&gt;0,MIN(1,Inputs!$F$183*(Waterfall!$F$32+MAX(0,Waterfall!BA43))/Waterfall!BB33),1)</f>
        <v>1</v>
      </c>
      <c r="BC14" s="6" t="n">
        <f aca="false">IF(Waterfall!BC33&gt;0,MIN(1,Inputs!$F$183*(Waterfall!$F$32+MAX(0,Waterfall!BB43))/Waterfall!BC33),1)</f>
        <v>1</v>
      </c>
      <c r="BD14" s="6" t="n">
        <f aca="false">IF(Waterfall!BD33&gt;0,MIN(1,Inputs!$F$183*(Waterfall!$F$32+MAX(0,Waterfall!BC43))/Waterfall!BD33),1)</f>
        <v>1</v>
      </c>
      <c r="BE14" s="6" t="n">
        <f aca="false">IF(Waterfall!BE33&gt;0,MIN(1,Inputs!$F$183*(Waterfall!$F$32+MAX(0,Waterfall!BD43))/Waterfall!BE33),1)</f>
        <v>1</v>
      </c>
      <c r="BF14" s="6" t="n">
        <f aca="false">IF(Waterfall!BF33&gt;0,MIN(1,Inputs!$F$183*(Waterfall!$F$32+MAX(0,Waterfall!BE43))/Waterfall!BF33),1)</f>
        <v>1</v>
      </c>
      <c r="BG14" s="6" t="n">
        <f aca="false">IF(Waterfall!BG33&gt;0,MIN(1,Inputs!$F$183*(Waterfall!$F$32+MAX(0,Waterfall!BF43))/Waterfall!BG33),1)</f>
        <v>1</v>
      </c>
      <c r="BH14" s="6" t="n">
        <f aca="false">IF(Waterfall!BH33&gt;0,MIN(1,Inputs!$F$183*(Waterfall!$F$32+MAX(0,Waterfall!BG43))/Waterfall!BH33),1)</f>
        <v>1</v>
      </c>
      <c r="BI14" s="6" t="n">
        <f aca="false">IF(Waterfall!BI33&gt;0,MIN(1,Inputs!$F$183*(Waterfall!$F$32+MAX(0,Waterfall!BH43))/Waterfall!BI33),1)</f>
        <v>1</v>
      </c>
      <c r="BJ14" s="6" t="n">
        <f aca="false">IF(Waterfall!BJ33&gt;0,MIN(1,Inputs!$F$183*(Waterfall!$F$32+MAX(0,Waterfall!BI43))/Waterfall!BJ33),1)</f>
        <v>1</v>
      </c>
      <c r="BK14" s="6" t="n">
        <f aca="false">IF(Waterfall!BK33&gt;0,MIN(1,Inputs!$F$183*(Waterfall!$F$32+MAX(0,Waterfall!BJ43))/Waterfall!BK33),1)</f>
        <v>1</v>
      </c>
      <c r="BL14" s="6" t="n">
        <f aca="false">IF(Waterfall!BL33&gt;0,MIN(1,Inputs!$F$183*(Waterfall!$F$32+MAX(0,Waterfall!BK43))/Waterfall!BL33),1)</f>
        <v>1</v>
      </c>
      <c r="BM14" s="6" t="n">
        <f aca="false">IF(Waterfall!BM33&gt;0,MIN(1,Inputs!$F$183*(Waterfall!$F$32+MAX(0,Waterfall!BL43))/Waterfall!BM33),1)</f>
        <v>1</v>
      </c>
      <c r="BN14" s="6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551</v>
      </c>
      <c r="E15" s="0" t="s">
        <v>149</v>
      </c>
      <c r="G15" s="11" t="n">
        <f aca="false">SUM(J15:BN15)</f>
        <v>139.358907708586</v>
      </c>
      <c r="J15" s="11" t="n">
        <f aca="false">J13*J14</f>
        <v>0</v>
      </c>
      <c r="K15" s="11" t="n">
        <f aca="false">K13*K14</f>
        <v>0</v>
      </c>
      <c r="L15" s="11" t="n">
        <f aca="false">L13*L14</f>
        <v>0</v>
      </c>
      <c r="M15" s="11" t="n">
        <f aca="false">M13*M14</f>
        <v>0</v>
      </c>
      <c r="N15" s="11" t="n">
        <f aca="false">N13*N14</f>
        <v>0</v>
      </c>
      <c r="O15" s="11" t="n">
        <f aca="false">O13*O14</f>
        <v>0</v>
      </c>
      <c r="P15" s="11" t="n">
        <f aca="false">P13*P14</f>
        <v>1.06316670400522</v>
      </c>
      <c r="Q15" s="11" t="n">
        <f aca="false">Q13*Q14</f>
        <v>6.8765792347134</v>
      </c>
      <c r="R15" s="11" t="n">
        <f aca="false">R13*R14</f>
        <v>8.33520896590198</v>
      </c>
      <c r="S15" s="11" t="n">
        <f aca="false">S13*S14</f>
        <v>9.12350997931539</v>
      </c>
      <c r="T15" s="11" t="n">
        <f aca="false">T13*T14</f>
        <v>9.72579389174595</v>
      </c>
      <c r="U15" s="11" t="n">
        <f aca="false">U13*U14</f>
        <v>10.0250241117318</v>
      </c>
      <c r="V15" s="11" t="n">
        <f aca="false">V13*V14</f>
        <v>11.0954861562697</v>
      </c>
      <c r="W15" s="11" t="n">
        <f aca="false">W13*W14</f>
        <v>9.65643655740418</v>
      </c>
      <c r="X15" s="11" t="n">
        <f aca="false">X13*X14</f>
        <v>9.15929424219228</v>
      </c>
      <c r="Y15" s="11" t="n">
        <f aca="false">Y13*Y14</f>
        <v>8.43894495411051</v>
      </c>
      <c r="Z15" s="11" t="n">
        <f aca="false">Z13*Z14</f>
        <v>8.10729192934441</v>
      </c>
      <c r="AA15" s="11" t="n">
        <f aca="false">AA13*AA14</f>
        <v>7.44516550623121</v>
      </c>
      <c r="AB15" s="11" t="n">
        <f aca="false">AB13*AB14</f>
        <v>7.04535725264135</v>
      </c>
      <c r="AC15" s="11" t="n">
        <f aca="false">AC13*AC14</f>
        <v>6.39044261869883</v>
      </c>
      <c r="AD15" s="11" t="n">
        <f aca="false">AD13*AD14</f>
        <v>5.87634405525995</v>
      </c>
      <c r="AE15" s="11" t="n">
        <f aca="false">AE13*AE14</f>
        <v>5.19706458483999</v>
      </c>
      <c r="AF15" s="11" t="n">
        <f aca="false">AF13*AF14</f>
        <v>4.61408742548787</v>
      </c>
      <c r="AG15" s="11" t="n">
        <f aca="false">AG13*AG14</f>
        <v>3.78934580156463</v>
      </c>
      <c r="AH15" s="11" t="n">
        <f aca="false">AH13*AH14</f>
        <v>3.11191009980124</v>
      </c>
      <c r="AI15" s="11" t="n">
        <f aca="false">AI13*AI14</f>
        <v>2.25550213895427</v>
      </c>
      <c r="AJ15" s="11" t="n">
        <f aca="false">AJ13*AJ14</f>
        <v>1.46860428239237</v>
      </c>
      <c r="AK15" s="11" t="n">
        <f aca="false">AK13*AK14</f>
        <v>0.558347215979295</v>
      </c>
      <c r="AL15" s="11" t="n">
        <f aca="false">AL13*AL14</f>
        <v>0</v>
      </c>
      <c r="AM15" s="11" t="n">
        <f aca="false">AM13*AM14</f>
        <v>0</v>
      </c>
      <c r="AN15" s="11" t="n">
        <f aca="false">AN13*AN14</f>
        <v>0</v>
      </c>
      <c r="AO15" s="11" t="n">
        <f aca="false">AO13*AO14</f>
        <v>0</v>
      </c>
      <c r="AP15" s="11" t="n">
        <f aca="false">AP13*AP14</f>
        <v>0</v>
      </c>
      <c r="AQ15" s="11" t="n">
        <f aca="false">AQ13*AQ14</f>
        <v>0</v>
      </c>
      <c r="AR15" s="11" t="n">
        <f aca="false">AR13*AR14</f>
        <v>0</v>
      </c>
      <c r="AS15" s="11" t="n">
        <f aca="false">AS13*AS14</f>
        <v>0</v>
      </c>
      <c r="AT15" s="11" t="n">
        <f aca="false">AT13*AT14</f>
        <v>0</v>
      </c>
      <c r="AU15" s="11" t="n">
        <f aca="false">AU13*AU14</f>
        <v>0</v>
      </c>
      <c r="AV15" s="11" t="n">
        <f aca="false">AV13*AV14</f>
        <v>0</v>
      </c>
      <c r="AW15" s="11" t="n">
        <f aca="false">AW13*AW14</f>
        <v>0</v>
      </c>
      <c r="AX15" s="11" t="n">
        <f aca="false">AX13*AX14</f>
        <v>0</v>
      </c>
      <c r="AY15" s="11" t="n">
        <f aca="false">AY13*AY14</f>
        <v>0</v>
      </c>
      <c r="AZ15" s="11" t="n">
        <f aca="false">AZ13*AZ14</f>
        <v>0</v>
      </c>
      <c r="BA15" s="11" t="n">
        <f aca="false">BA13*BA14</f>
        <v>0</v>
      </c>
      <c r="BB15" s="11" t="n">
        <f aca="false">BB13*BB14</f>
        <v>0</v>
      </c>
      <c r="BC15" s="11" t="n">
        <f aca="false">BC13*BC14</f>
        <v>0</v>
      </c>
      <c r="BD15" s="11" t="n">
        <f aca="false">BD13*BD14</f>
        <v>0</v>
      </c>
      <c r="BE15" s="11" t="n">
        <f aca="false">BE13*BE14</f>
        <v>0</v>
      </c>
      <c r="BF15" s="11" t="n">
        <f aca="false">BF13*BF14</f>
        <v>0</v>
      </c>
      <c r="BG15" s="11" t="n">
        <f aca="false">BG13*BG14</f>
        <v>0</v>
      </c>
      <c r="BH15" s="11" t="n">
        <f aca="false">BH13*BH14</f>
        <v>0</v>
      </c>
      <c r="BI15" s="11" t="n">
        <f aca="false">BI13*BI14</f>
        <v>0</v>
      </c>
      <c r="BJ15" s="11" t="n">
        <f aca="false">BJ13*BJ14</f>
        <v>0</v>
      </c>
      <c r="BK15" s="11" t="n">
        <f aca="false">BK13*BK14</f>
        <v>0</v>
      </c>
      <c r="BL15" s="11" t="n">
        <f aca="false">BL13*BL14</f>
        <v>0</v>
      </c>
      <c r="BM15" s="11" t="n">
        <f aca="false">BM13*BM14</f>
        <v>0</v>
      </c>
      <c r="BN15" s="11" t="n">
        <f aca="false">BN13*BN14</f>
        <v>0</v>
      </c>
    </row>
    <row r="16" customFormat="false" ht="15" hidden="false" customHeight="false" outlineLevel="0" collapsed="false">
      <c r="D16" s="0" t="s">
        <v>552</v>
      </c>
      <c r="E16" s="0" t="s">
        <v>149</v>
      </c>
      <c r="G16" s="11" t="n">
        <f aca="false">SUM(J16:BN16)</f>
        <v>385.277728622529</v>
      </c>
      <c r="J16" s="11" t="n">
        <f aca="false">Debt!J119+Debt!J117+Debt!J111-Debt!J110</f>
        <v>0</v>
      </c>
      <c r="K16" s="11" t="n">
        <f aca="false">Debt!K119+Debt!K117+Debt!K111-Debt!K110</f>
        <v>0</v>
      </c>
      <c r="L16" s="11" t="n">
        <f aca="false">Debt!L119+Debt!L117+Debt!L111-Debt!L110</f>
        <v>0</v>
      </c>
      <c r="M16" s="11" t="n">
        <f aca="false">Debt!M119+Debt!M117+Debt!M111-Debt!M110</f>
        <v>0</v>
      </c>
      <c r="N16" s="11" t="n">
        <f aca="false">Debt!N119+Debt!N117+Debt!N111-Debt!N110</f>
        <v>0</v>
      </c>
      <c r="O16" s="11" t="n">
        <f aca="false">Debt!O119+Debt!O117+Debt!O111-Debt!O110</f>
        <v>0</v>
      </c>
      <c r="P16" s="11" t="n">
        <f aca="false">Debt!P119+Debt!P117+Debt!P111-Debt!P110</f>
        <v>0</v>
      </c>
      <c r="Q16" s="11" t="n">
        <f aca="false">Debt!Q119+Debt!Q117+Debt!Q111-Debt!Q110</f>
        <v>19.1127619065879</v>
      </c>
      <c r="R16" s="11" t="n">
        <f aca="false">Debt!R119+Debt!R117+Debt!R111-Debt!R110</f>
        <v>20.2422994923011</v>
      </c>
      <c r="S16" s="11" t="n">
        <f aca="false">Debt!S119+Debt!S117+Debt!S111-Debt!S110</f>
        <v>21.0320320200037</v>
      </c>
      <c r="T16" s="11" t="n">
        <f aca="false">Debt!T119+Debt!T117+Debt!T111-Debt!T110</f>
        <v>23.9195262062924</v>
      </c>
      <c r="U16" s="11" t="n">
        <f aca="false">Debt!U119+Debt!U117+Debt!U111-Debt!U110</f>
        <v>21.9829049745824</v>
      </c>
      <c r="V16" s="11" t="n">
        <f aca="false">Debt!V119+Debt!V117+Debt!V111-Debt!V110</f>
        <v>21.3192155339451</v>
      </c>
      <c r="W16" s="11" t="n">
        <f aca="false">Debt!W119+Debt!W117+Debt!W111-Debt!W110</f>
        <v>19.2486352706986</v>
      </c>
      <c r="X16" s="11" t="n">
        <f aca="false">Debt!X119+Debt!X117+Debt!X111-Debt!X110</f>
        <v>16.8800790586601</v>
      </c>
      <c r="Y16" s="11" t="n">
        <f aca="false">Debt!Y119+Debt!Y117+Debt!Y111-Debt!Y110</f>
        <v>16.2157327575912</v>
      </c>
      <c r="Z16" s="11" t="n">
        <f aca="false">Debt!Z119+Debt!Z117+Debt!Z111-Debt!Z110</f>
        <v>15.8212476737397</v>
      </c>
      <c r="AA16" s="11" t="n">
        <f aca="false">Debt!AA119+Debt!AA117+Debt!AA111-Debt!AA110</f>
        <v>15.2632328727119</v>
      </c>
      <c r="AB16" s="11" t="n">
        <f aca="false">Debt!AB119+Debt!AB117+Debt!AB111-Debt!AB110</f>
        <v>14.8393780524868</v>
      </c>
      <c r="AC16" s="11" t="n">
        <f aca="false">Debt!AC119+Debt!AC117+Debt!AC111-Debt!AC110</f>
        <v>14.3081797090914</v>
      </c>
      <c r="AD16" s="11" t="n">
        <f aca="false">Debt!AD119+Debt!AD117+Debt!AD111-Debt!AD110</f>
        <v>13.8245701524939</v>
      </c>
      <c r="AE16" s="11" t="n">
        <f aca="false">Debt!AE119+Debt!AE117+Debt!AE111-Debt!AE110</f>
        <v>13.2394477276813</v>
      </c>
      <c r="AF16" s="11" t="n">
        <f aca="false">Debt!AF119+Debt!AF117+Debt!AF111-Debt!AF110</f>
        <v>12.6928962465671</v>
      </c>
      <c r="AG16" s="11" t="n">
        <f aca="false">Debt!AG119+Debt!AG117+Debt!AG111-Debt!AG110</f>
        <v>12.0297873574416</v>
      </c>
      <c r="AH16" s="11" t="n">
        <f aca="false">Debt!AH119+Debt!AH117+Debt!AH111-Debt!AH110</f>
        <v>11.4359450171011</v>
      </c>
      <c r="AI16" s="11" t="n">
        <f aca="false">Debt!AI119+Debt!AI117+Debt!AI111-Debt!AI110</f>
        <v>10.7416889980003</v>
      </c>
      <c r="AJ16" s="11" t="n">
        <f aca="false">Debt!AJ119+Debt!AJ117+Debt!AJ111-Debt!AJ110</f>
        <v>10.0926636377069</v>
      </c>
      <c r="AK16" s="11" t="n">
        <f aca="false">Debt!AK119+Debt!AK117+Debt!AK111-Debt!AK110</f>
        <v>9.36642111042481</v>
      </c>
      <c r="AL16" s="11" t="n">
        <f aca="false">Debt!AL119+Debt!AL117+Debt!AL111-Debt!AL110</f>
        <v>8.65462488752624</v>
      </c>
      <c r="AM16" s="11" t="n">
        <f aca="false">Debt!AM119+Debt!AM117+Debt!AM111-Debt!AM110</f>
        <v>7.88406792256295</v>
      </c>
      <c r="AN16" s="11" t="n">
        <f aca="false">Debt!AN119+Debt!AN117+Debt!AN111-Debt!AN110</f>
        <v>7.1413647046173</v>
      </c>
      <c r="AO16" s="11" t="n">
        <f aca="false">Debt!AO119+Debt!AO117+Debt!AO111-Debt!AO110</f>
        <v>6.46619826596202</v>
      </c>
      <c r="AP16" s="11" t="n">
        <f aca="false">Debt!AP119+Debt!AP117+Debt!AP111-Debt!AP110</f>
        <v>5.85258902183707</v>
      </c>
      <c r="AQ16" s="11" t="n">
        <f aca="false">Debt!AQ119+Debt!AQ117+Debt!AQ111-Debt!AQ110</f>
        <v>4.98522265070902</v>
      </c>
      <c r="AR16" s="11" t="n">
        <f aca="false">Debt!AR119+Debt!AR117+Debt!AR111-Debt!AR110</f>
        <v>4.09871944072998</v>
      </c>
      <c r="AS16" s="11" t="n">
        <f aca="false">Debt!AS119+Debt!AS117+Debt!AS111-Debt!AS110</f>
        <v>3.16552109698413</v>
      </c>
      <c r="AT16" s="11" t="n">
        <f aca="false">Debt!AT119+Debt!AT117+Debt!AT111-Debt!AT110</f>
        <v>2.21076351359453</v>
      </c>
      <c r="AU16" s="11" t="n">
        <f aca="false">Debt!AU119+Debt!AU117+Debt!AU111-Debt!AU110</f>
        <v>1.21001134189631</v>
      </c>
      <c r="AV16" s="11" t="n">
        <f aca="false">Debt!AV119+Debt!AV117+Debt!AV111-Debt!AV110</f>
        <v>0</v>
      </c>
      <c r="AW16" s="11" t="n">
        <f aca="false">Debt!AW119+Debt!AW117+Debt!AW111-Debt!AW110</f>
        <v>0</v>
      </c>
      <c r="AX16" s="11" t="n">
        <f aca="false">Debt!AX119+Debt!AX117+Debt!AX111-Debt!AX110</f>
        <v>0</v>
      </c>
      <c r="AY16" s="11" t="n">
        <f aca="false">Debt!AY119+Debt!AY117+Debt!AY111-Debt!AY110</f>
        <v>0</v>
      </c>
      <c r="AZ16" s="11" t="n">
        <f aca="false">Debt!AZ119+Debt!AZ117+Debt!AZ111-Debt!AZ110</f>
        <v>0</v>
      </c>
      <c r="BA16" s="11" t="n">
        <f aca="false">Debt!BA119+Debt!BA117+Debt!BA111-Debt!BA110</f>
        <v>0</v>
      </c>
      <c r="BB16" s="11" t="n">
        <f aca="false">Debt!BB119+Debt!BB117+Debt!BB111-Debt!BB110</f>
        <v>0</v>
      </c>
      <c r="BC16" s="11" t="n">
        <f aca="false">Debt!BC119+Debt!BC117+Debt!BC111-Debt!BC110</f>
        <v>0</v>
      </c>
      <c r="BD16" s="11" t="n">
        <f aca="false">Debt!BD119+Debt!BD117+Debt!BD111-Debt!BD110</f>
        <v>0</v>
      </c>
      <c r="BE16" s="11" t="n">
        <f aca="false">Debt!BE119+Debt!BE117+Debt!BE111-Debt!BE110</f>
        <v>0</v>
      </c>
      <c r="BF16" s="11" t="n">
        <f aca="false">Debt!BF119+Debt!BF117+Debt!BF111-Debt!BF110</f>
        <v>0</v>
      </c>
      <c r="BG16" s="11" t="n">
        <f aca="false">Debt!BG119+Debt!BG117+Debt!BG111-Debt!BG110</f>
        <v>0</v>
      </c>
      <c r="BH16" s="11" t="n">
        <f aca="false">Debt!BH119+Debt!BH117+Debt!BH111-Debt!BH110</f>
        <v>0</v>
      </c>
      <c r="BI16" s="11" t="n">
        <f aca="false">Debt!BI119+Debt!BI117+Debt!BI111-Debt!BI110</f>
        <v>0</v>
      </c>
      <c r="BJ16" s="11" t="n">
        <f aca="false">Debt!BJ119+Debt!BJ117+Debt!BJ111-Debt!BJ110</f>
        <v>0</v>
      </c>
      <c r="BK16" s="11" t="n">
        <f aca="false">Debt!BK119+Debt!BK117+Debt!BK111-Debt!BK110</f>
        <v>0</v>
      </c>
      <c r="BL16" s="11" t="n">
        <f aca="false">Debt!BL119+Debt!BL117+Debt!BL111-Debt!BL110</f>
        <v>0</v>
      </c>
      <c r="BM16" s="11" t="n">
        <f aca="false">Debt!BM119+Debt!BM117+Debt!BM111-Debt!BM110</f>
        <v>0</v>
      </c>
      <c r="BN16" s="11" t="n">
        <f aca="false">Debt!BN119+Debt!BN117+Debt!BN111-Debt!BN110</f>
        <v>0</v>
      </c>
    </row>
    <row r="17" customFormat="false" ht="15" hidden="false" customHeight="false" outlineLevel="0" collapsed="false">
      <c r="D17" s="0" t="s">
        <v>553</v>
      </c>
      <c r="E17" s="0" t="s">
        <v>109</v>
      </c>
      <c r="J17" s="11" t="n">
        <f aca="false">IF(Time!J25&gt;0,(Time!J25-J7)/Time!J25,0)</f>
        <v>0</v>
      </c>
      <c r="K17" s="11" t="n">
        <f aca="false">IF(Time!K25&gt;0,(Time!K25-K7)/Time!K25,0)</f>
        <v>0</v>
      </c>
      <c r="L17" s="11" t="n">
        <f aca="false">IF(Time!L25&gt;0,(Time!L25-L7)/Time!L25,0)</f>
        <v>0</v>
      </c>
      <c r="M17" s="11" t="n">
        <f aca="false">IF(Time!M25&gt;0,(Time!M25-M7)/Time!M25,0)</f>
        <v>0</v>
      </c>
      <c r="N17" s="11" t="n">
        <f aca="false">IF(Time!N25&gt;0,(Time!N25-N7)/Time!N25,0)</f>
        <v>0</v>
      </c>
      <c r="O17" s="11" t="n">
        <f aca="false">IF(Time!O25&gt;0,(Time!O25-O7)/Time!O25,0)</f>
        <v>0</v>
      </c>
      <c r="P17" s="11" t="n">
        <f aca="false">IF(Time!P25&gt;0,(Time!P25-P7)/Time!P25,0)</f>
        <v>0</v>
      </c>
      <c r="Q17" s="11" t="n">
        <f aca="false">IF(Time!Q25&gt;0,(Time!Q25-Q7)/Time!Q25,0)</f>
        <v>0</v>
      </c>
      <c r="R17" s="11" t="n">
        <f aca="false">IF(Time!R25&gt;0,(Time!R25-R7)/Time!R25,0)</f>
        <v>0</v>
      </c>
      <c r="S17" s="11" t="n">
        <f aca="false">IF(Time!S25&gt;0,(Time!S25-S7)/Time!S25,0)</f>
        <v>0</v>
      </c>
      <c r="T17" s="11" t="n">
        <f aca="false">IF(Time!T25&gt;0,(Time!T25-T7)/Time!T25,0)</f>
        <v>0</v>
      </c>
      <c r="U17" s="11" t="n">
        <f aca="false">IF(Time!U25&gt;0,(Time!U25-U7)/Time!U25,0)</f>
        <v>0</v>
      </c>
      <c r="V17" s="11" t="n">
        <f aca="false">IF(Time!V25&gt;0,(Time!V25-V7)/Time!V25,0)</f>
        <v>0</v>
      </c>
      <c r="W17" s="11" t="n">
        <f aca="false">IF(Time!W25&gt;0,(Time!W25-W7)/Time!W25,0)</f>
        <v>0</v>
      </c>
      <c r="X17" s="11" t="n">
        <f aca="false">IF(Time!X25&gt;0,(Time!X25-X7)/Time!X25,0)</f>
        <v>0</v>
      </c>
      <c r="Y17" s="11" t="n">
        <f aca="false">IF(Time!Y25&gt;0,(Time!Y25-Y7)/Time!Y25,0)</f>
        <v>0</v>
      </c>
      <c r="Z17" s="11" t="n">
        <f aca="false">IF(Time!Z25&gt;0,(Time!Z25-Z7)/Time!Z25,0)</f>
        <v>0.166666666666667</v>
      </c>
      <c r="AA17" s="11" t="n">
        <f aca="false">IF(Time!AA25&gt;0,(Time!AA25-AA7)/Time!AA25,0)</f>
        <v>1</v>
      </c>
      <c r="AB17" s="11" t="n">
        <f aca="false">IF(Time!AB25&gt;0,(Time!AB25-AB7)/Time!AB25,0)</f>
        <v>1</v>
      </c>
      <c r="AC17" s="11" t="n">
        <f aca="false">IF(Time!AC25&gt;0,(Time!AC25-AC7)/Time!AC25,0)</f>
        <v>1</v>
      </c>
      <c r="AD17" s="11" t="n">
        <f aca="false">IF(Time!AD25&gt;0,(Time!AD25-AD7)/Time!AD25,0)</f>
        <v>1</v>
      </c>
      <c r="AE17" s="11" t="n">
        <f aca="false">IF(Time!AE25&gt;0,(Time!AE25-AE7)/Time!AE25,0)</f>
        <v>1</v>
      </c>
      <c r="AF17" s="11" t="n">
        <f aca="false">IF(Time!AF25&gt;0,(Time!AF25-AF7)/Time!AF25,0)</f>
        <v>1</v>
      </c>
      <c r="AG17" s="11" t="n">
        <f aca="false">IF(Time!AG25&gt;0,(Time!AG25-AG7)/Time!AG25,0)</f>
        <v>1</v>
      </c>
      <c r="AH17" s="11" t="n">
        <f aca="false">IF(Time!AH25&gt;0,(Time!AH25-AH7)/Time!AH25,0)</f>
        <v>1</v>
      </c>
      <c r="AI17" s="11" t="n">
        <f aca="false">IF(Time!AI25&gt;0,(Time!AI25-AI7)/Time!AI25,0)</f>
        <v>1</v>
      </c>
      <c r="AJ17" s="11" t="n">
        <f aca="false">IF(Time!AJ25&gt;0,(Time!AJ25-AJ7)/Time!AJ25,0)</f>
        <v>1</v>
      </c>
      <c r="AK17" s="11" t="n">
        <f aca="false">IF(Time!AK25&gt;0,(Time!AK25-AK7)/Time!AK25,0)</f>
        <v>1</v>
      </c>
      <c r="AL17" s="11" t="n">
        <f aca="false">IF(Time!AL25&gt;0,(Time!AL25-AL7)/Time!AL25,0)</f>
        <v>1</v>
      </c>
      <c r="AM17" s="11" t="n">
        <f aca="false">IF(Time!AM25&gt;0,(Time!AM25-AM7)/Time!AM25,0)</f>
        <v>1</v>
      </c>
      <c r="AN17" s="11" t="n">
        <f aca="false">IF(Time!AN25&gt;0,(Time!AN25-AN7)/Time!AN25,0)</f>
        <v>1</v>
      </c>
      <c r="AO17" s="11" t="n">
        <f aca="false">IF(Time!AO25&gt;0,(Time!AO25-AO7)/Time!AO25,0)</f>
        <v>1</v>
      </c>
      <c r="AP17" s="11" t="n">
        <f aca="false">IF(Time!AP25&gt;0,(Time!AP25-AP7)/Time!AP25,0)</f>
        <v>1</v>
      </c>
      <c r="AQ17" s="11" t="n">
        <f aca="false">IF(Time!AQ25&gt;0,(Time!AQ25-AQ7)/Time!AQ25,0)</f>
        <v>1</v>
      </c>
      <c r="AR17" s="11" t="n">
        <f aca="false">IF(Time!AR25&gt;0,(Time!AR25-AR7)/Time!AR25,0)</f>
        <v>1</v>
      </c>
      <c r="AS17" s="11" t="n">
        <f aca="false">IF(Time!AS25&gt;0,(Time!AS25-AS7)/Time!AS25,0)</f>
        <v>1</v>
      </c>
      <c r="AT17" s="11" t="n">
        <f aca="false">IF(Time!AT25&gt;0,(Time!AT25-AT7)/Time!AT25,0)</f>
        <v>1</v>
      </c>
      <c r="AU17" s="11" t="n">
        <f aca="false">IF(Time!AU25&gt;0,(Time!AU25-AU7)/Time!AU25,0)</f>
        <v>1</v>
      </c>
      <c r="AV17" s="11" t="n">
        <f aca="false">IF(Time!AV25&gt;0,(Time!AV25-AV7)/Time!AV25,0)</f>
        <v>1</v>
      </c>
      <c r="AW17" s="11" t="n">
        <f aca="false">IF(Time!AW25&gt;0,(Time!AW25-AW7)/Time!AW25,0)</f>
        <v>1</v>
      </c>
      <c r="AX17" s="11" t="n">
        <f aca="false">IF(Time!AX25&gt;0,(Time!AX25-AX7)/Time!AX25,0)</f>
        <v>1</v>
      </c>
      <c r="AY17" s="11" t="n">
        <f aca="false">IF(Time!AY25&gt;0,(Time!AY25-AY7)/Time!AY25,0)</f>
        <v>1</v>
      </c>
      <c r="AZ17" s="11" t="n">
        <f aca="false">IF(Time!AZ25&gt;0,(Time!AZ25-AZ7)/Time!AZ25,0)</f>
        <v>1</v>
      </c>
      <c r="BA17" s="11" t="n">
        <f aca="false">IF(Time!BA25&gt;0,(Time!BA25-BA7)/Time!BA25,0)</f>
        <v>1</v>
      </c>
      <c r="BB17" s="11" t="n">
        <f aca="false">IF(Time!BB25&gt;0,(Time!BB25-BB7)/Time!BB25,0)</f>
        <v>1</v>
      </c>
      <c r="BC17" s="11" t="n">
        <f aca="false">IF(Time!BC25&gt;0,(Time!BC25-BC7)/Time!BC25,0)</f>
        <v>1</v>
      </c>
      <c r="BD17" s="11" t="n">
        <f aca="false">IF(Time!BD25&gt;0,(Time!BD25-BD7)/Time!BD25,0)</f>
        <v>1</v>
      </c>
      <c r="BE17" s="11" t="n">
        <f aca="false">IF(Time!BE25&gt;0,(Time!BE25-BE7)/Time!BE25,0)</f>
        <v>1</v>
      </c>
      <c r="BF17" s="11" t="n">
        <f aca="false">IF(Time!BF25&gt;0,(Time!BF25-BF7)/Time!BF25,0)</f>
        <v>1</v>
      </c>
      <c r="BG17" s="11" t="n">
        <f aca="false">IF(Time!BG25&gt;0,(Time!BG25-BG7)/Time!BG25,0)</f>
        <v>1</v>
      </c>
      <c r="BH17" s="11" t="n">
        <f aca="false">IF(Time!BH25&gt;0,(Time!BH25-BH7)/Time!BH25,0)</f>
        <v>1</v>
      </c>
      <c r="BI17" s="11" t="n">
        <f aca="false">IF(Time!BI25&gt;0,(Time!BI25-BI7)/Time!BI25,0)</f>
        <v>1</v>
      </c>
      <c r="BJ17" s="11" t="n">
        <f aca="false">IF(Time!BJ25&gt;0,(Time!BJ25-BJ7)/Time!BJ25,0)</f>
        <v>1</v>
      </c>
      <c r="BK17" s="11" t="n">
        <f aca="false">IF(Time!BK25&gt;0,(Time!BK25-BK7)/Time!BK25,0)</f>
        <v>1</v>
      </c>
      <c r="BL17" s="11" t="n">
        <f aca="false">IF(Time!BL25&gt;0,(Time!BL25-BL7)/Time!BL25,0)</f>
        <v>1</v>
      </c>
      <c r="BM17" s="11" t="n">
        <f aca="false">IF(Time!BM25&gt;0,(Time!BM25-BM7)/Time!BM25,0)</f>
        <v>1</v>
      </c>
      <c r="BN17" s="11" t="n">
        <f aca="false">IF(Time!BN25&gt;0,(Time!BN25-BN7)/Time!BN25,0)</f>
        <v>1</v>
      </c>
    </row>
    <row r="18" customFormat="false" ht="15" hidden="false" customHeight="false" outlineLevel="0" collapsed="false">
      <c r="D18" s="0" t="s">
        <v>554</v>
      </c>
      <c r="E18" s="0" t="s">
        <v>149</v>
      </c>
      <c r="G18" s="11" t="n">
        <f aca="false">SUM(J18:BN18)</f>
        <v>1302.96217592049</v>
      </c>
      <c r="J18" s="11" t="n">
        <f aca="false">(Operations!J80-J16-J15)*J17-J12</f>
        <v>0</v>
      </c>
      <c r="K18" s="11" t="n">
        <f aca="false">(Operations!K80-K16-K15)*K17-K12</f>
        <v>0</v>
      </c>
      <c r="L18" s="11" t="n">
        <f aca="false">(Operations!L80-L16-L15)*L17-L12</f>
        <v>0</v>
      </c>
      <c r="M18" s="11" t="n">
        <f aca="false">(Operations!M80-M16-M15)*M17-M12</f>
        <v>0</v>
      </c>
      <c r="N18" s="11" t="n">
        <f aca="false">(Operations!N80-N16-N15)*N17-N12</f>
        <v>0</v>
      </c>
      <c r="O18" s="11" t="n">
        <f aca="false">(Operations!O80-O16-O15)*O17-O12</f>
        <v>0</v>
      </c>
      <c r="P18" s="11" t="n">
        <f aca="false">(Operations!P80-P16-P15)*P17-P12</f>
        <v>0</v>
      </c>
      <c r="Q18" s="11" t="n">
        <f aca="false">(Operations!Q80-Q16-Q15)*Q17-Q12</f>
        <v>0</v>
      </c>
      <c r="R18" s="11" t="n">
        <f aca="false">(Operations!R80-R16-R15)*R17-R12</f>
        <v>0</v>
      </c>
      <c r="S18" s="11" t="n">
        <f aca="false">(Operations!S80-S16-S15)*S17-S12</f>
        <v>0</v>
      </c>
      <c r="T18" s="11" t="n">
        <f aca="false">(Operations!T80-T16-T15)*T17-T12</f>
        <v>0</v>
      </c>
      <c r="U18" s="11" t="n">
        <f aca="false">(Operations!U80-U16-U15)*U17-U12</f>
        <v>0</v>
      </c>
      <c r="V18" s="11" t="n">
        <f aca="false">(Operations!V80-V16-V15)*V17-V12</f>
        <v>0</v>
      </c>
      <c r="W18" s="11" t="n">
        <f aca="false">(Operations!W80-W16-W15)*W17-W12</f>
        <v>0</v>
      </c>
      <c r="X18" s="11" t="n">
        <f aca="false">(Operations!X80-X16-X15)*X17-X12</f>
        <v>0</v>
      </c>
      <c r="Y18" s="11" t="n">
        <f aca="false">(Operations!Y80-Y16-Y15)*Y17-Y12</f>
        <v>0</v>
      </c>
      <c r="Z18" s="11" t="n">
        <f aca="false">(Operations!Z80-Z16-Z15)*Z17-Z12</f>
        <v>1.470008808476</v>
      </c>
      <c r="AA18" s="11" t="n">
        <f aca="false">(Operations!AA80-AA16-AA15)*AA17-AA12</f>
        <v>10.2794015598304</v>
      </c>
      <c r="AB18" s="11" t="n">
        <f aca="false">(Operations!AB80-AB16-AB15)*AB17-AB12</f>
        <v>11.2781391386756</v>
      </c>
      <c r="AC18" s="11" t="n">
        <f aca="false">(Operations!AC80-AC16-AC15)*AC17-AC12</f>
        <v>12.5748554862511</v>
      </c>
      <c r="AD18" s="11" t="n">
        <f aca="false">(Operations!AD80-AD16-AD15)*AD17-AD12</f>
        <v>13.7824596857521</v>
      </c>
      <c r="AE18" s="11" t="n">
        <f aca="false">(Operations!AE80-AE16-AE15)*AE17-AE12</f>
        <v>1.18490408233368</v>
      </c>
      <c r="AF18" s="11" t="n">
        <f aca="false">(Operations!AF80-AF16-AF15)*AF17-AF12</f>
        <v>16.3344969070095</v>
      </c>
      <c r="AG18" s="11" t="n">
        <f aca="false">(Operations!AG80-AG16-AG15)*AG17-AG12</f>
        <v>18.0183037294303</v>
      </c>
      <c r="AH18" s="11" t="n">
        <f aca="false">(Operations!AH80-AH16-AH15)*AH17-AH12</f>
        <v>19.4426048042604</v>
      </c>
      <c r="AI18" s="11" t="n">
        <f aca="false">(Operations!AI80-AI16-AI15)*AI17-AI12</f>
        <v>21.1812449129354</v>
      </c>
      <c r="AJ18" s="11" t="n">
        <f aca="false">(Operations!AJ80-AJ16-AJ15)*AJ17-AJ12</f>
        <v>22.7541147635489</v>
      </c>
      <c r="AK18" s="11" t="n">
        <f aca="false">(Operations!AK80-AK16-AK15)*AK17-AK12</f>
        <v>24.4800806780228</v>
      </c>
      <c r="AL18" s="11" t="n">
        <f aca="false">(Operations!AL80-AL16-AL15)*AL17-AL12</f>
        <v>25.9370227685872</v>
      </c>
      <c r="AM18" s="11" t="n">
        <f aca="false">(Operations!AM80-AM16-AM15)*AM17-AM12</f>
        <v>23.6962805265881</v>
      </c>
      <c r="AN18" s="11" t="n">
        <f aca="false">(Operations!AN80-AN16-AN15)*AN17-AN12</f>
        <v>27.9002781497456</v>
      </c>
      <c r="AO18" s="11" t="n">
        <f aca="false">(Operations!AO80-AO16-AO15)*AO17-AO12</f>
        <v>28.5303921747507</v>
      </c>
      <c r="AP18" s="11" t="n">
        <f aca="false">(Operations!AP80-AP16-AP15)*AP17-AP12</f>
        <v>29.3114433809916</v>
      </c>
      <c r="AQ18" s="11" t="n">
        <f aca="false">(Operations!AQ80-AQ16-AQ15)*AQ17-AQ12</f>
        <v>30.3839013744923</v>
      </c>
      <c r="AR18" s="11" t="n">
        <f aca="false">(Operations!AR80-AR16-AR15)*AR17-AR12</f>
        <v>31.4198354676339</v>
      </c>
      <c r="AS18" s="11" t="n">
        <f aca="false">(Operations!AS80-AS16-AS15)*AS17-AS12</f>
        <v>32.448198829462</v>
      </c>
      <c r="AT18" s="11" t="n">
        <f aca="false">(Operations!AT80-AT16-AT15)*AT17-AT12</f>
        <v>33.632513670602</v>
      </c>
      <c r="AU18" s="11" t="n">
        <f aca="false">(Operations!AU80-AU16-AU15)*AU17-AU12</f>
        <v>18.1287826513369</v>
      </c>
      <c r="AV18" s="11" t="n">
        <f aca="false">(Operations!AV80-AV16-AV15)*AV17-AV12</f>
        <v>36.077793674772</v>
      </c>
      <c r="AW18" s="11" t="n">
        <f aca="false">(Operations!AW80-AW16-AW15)*AW17-AW12</f>
        <v>36.2573428099276</v>
      </c>
      <c r="AX18" s="11" t="n">
        <f aca="false">(Operations!AX80-AX16-AX15)*AX17-AX12</f>
        <v>36.4405529829774</v>
      </c>
      <c r="AY18" s="11" t="n">
        <f aca="false">(Operations!AY80-AY16-AY15)*AY17-AY12</f>
        <v>36.6643453227098</v>
      </c>
      <c r="AZ18" s="11" t="n">
        <f aca="false">(Operations!AZ80-AZ16-AZ15)*AZ17-AZ12</f>
        <v>36.8273964825823</v>
      </c>
      <c r="BA18" s="11" t="n">
        <f aca="false">(Operations!BA80-BA16-BA15)*BA17-BA12</f>
        <v>36.92861312947</v>
      </c>
      <c r="BB18" s="11" t="n">
        <f aca="false">(Operations!BB80-BB16-BB15)*BB17-BB12</f>
        <v>37.1534432556734</v>
      </c>
      <c r="BC18" s="11" t="n">
        <f aca="false">(Operations!BC80-BC16-BC15)*BC17-BC12</f>
        <v>33.5453688491723</v>
      </c>
      <c r="BD18" s="11" t="n">
        <f aca="false">(Operations!BD80-BD16-BD15)*BD17-BD12</f>
        <v>40.7668583932351</v>
      </c>
      <c r="BE18" s="11" t="n">
        <f aca="false">(Operations!BE80-BE16-BE15)*BE17-BE12</f>
        <v>56.060891609705</v>
      </c>
      <c r="BF18" s="11" t="n">
        <f aca="false">(Operations!BF80-BF16-BF15)*BF17-BF12</f>
        <v>56.2613448200704</v>
      </c>
      <c r="BG18" s="11" t="n">
        <f aca="false">(Operations!BG80-BG16-BG15)*BG17-BG12</f>
        <v>56.5055718464483</v>
      </c>
      <c r="BH18" s="11" t="n">
        <f aca="false">(Operations!BH80-BH16-BH15)*BH17-BH12</f>
        <v>56.683482435257</v>
      </c>
      <c r="BI18" s="11" t="n">
        <f aca="false">(Operations!BI80-BI16-BI15)*BI17-BI12</f>
        <v>56.7911245900556</v>
      </c>
      <c r="BJ18" s="11" t="n">
        <f aca="false">(Operations!BJ80-BJ16-BJ15)*BJ17-BJ12</f>
        <v>57.0682705713407</v>
      </c>
      <c r="BK18" s="11" t="n">
        <f aca="false">(Operations!BK80-BK16-BK15)*BK17-BK12</f>
        <v>37.3953009595657</v>
      </c>
      <c r="BL18" s="11" t="n">
        <f aca="false">(Operations!BL80-BL16-BL15)*BL17-BL12</f>
        <v>57.3951857389617</v>
      </c>
      <c r="BM18" s="11" t="n">
        <f aca="false">(Operations!BM80-BM16-BM15)*BM17-BM12</f>
        <v>57.5527813832733</v>
      </c>
      <c r="BN18" s="11" t="n">
        <f aca="false">(Operations!BN80-BN16-BN15)*BN17-BN12</f>
        <v>26.4172435145736</v>
      </c>
    </row>
    <row r="19" customFormat="false" ht="15" hidden="false" customHeight="false" outlineLevel="0" collapsed="false">
      <c r="D19" s="0" t="s">
        <v>555</v>
      </c>
      <c r="E19" s="0" t="s">
        <v>149</v>
      </c>
      <c r="G19" s="11" t="n">
        <f aca="false">SUM(J19:BN19)</f>
        <v>0</v>
      </c>
      <c r="J19" s="11" t="n">
        <f aca="false">MIN(0,MAX(0,J18))</f>
        <v>0</v>
      </c>
      <c r="K19" s="11" t="n">
        <f aca="false">MIN(J22,MAX(0,K18))</f>
        <v>0</v>
      </c>
      <c r="L19" s="11" t="n">
        <f aca="false">MIN(K22,MAX(0,L18))</f>
        <v>0</v>
      </c>
      <c r="M19" s="11" t="n">
        <f aca="false">MIN(L22,MAX(0,M18))</f>
        <v>0</v>
      </c>
      <c r="N19" s="11" t="n">
        <f aca="false">MIN(M22,MAX(0,N18))</f>
        <v>0</v>
      </c>
      <c r="O19" s="11" t="n">
        <f aca="false">MIN(N22,MAX(0,O18))</f>
        <v>0</v>
      </c>
      <c r="P19" s="11" t="n">
        <f aca="false">MIN(O22,MAX(0,P18))</f>
        <v>0</v>
      </c>
      <c r="Q19" s="11" t="n">
        <f aca="false">MIN(P22,MAX(0,Q18))</f>
        <v>0</v>
      </c>
      <c r="R19" s="11" t="n">
        <f aca="false">MIN(Q22,MAX(0,R18))</f>
        <v>0</v>
      </c>
      <c r="S19" s="11" t="n">
        <f aca="false">MIN(R22,MAX(0,S18))</f>
        <v>0</v>
      </c>
      <c r="T19" s="11" t="n">
        <f aca="false">MIN(S22,MAX(0,T18))</f>
        <v>0</v>
      </c>
      <c r="U19" s="11" t="n">
        <f aca="false">MIN(T22,MAX(0,U18))</f>
        <v>0</v>
      </c>
      <c r="V19" s="11" t="n">
        <f aca="false">MIN(U22,MAX(0,V18))</f>
        <v>0</v>
      </c>
      <c r="W19" s="11" t="n">
        <f aca="false">MIN(V22,MAX(0,W18))</f>
        <v>0</v>
      </c>
      <c r="X19" s="11" t="n">
        <f aca="false">MIN(W22,MAX(0,X18))</f>
        <v>0</v>
      </c>
      <c r="Y19" s="11" t="n">
        <f aca="false">MIN(X22,MAX(0,Y18))</f>
        <v>0</v>
      </c>
      <c r="Z19" s="11" t="n">
        <f aca="false">MIN(Y22,MAX(0,Z18))</f>
        <v>0</v>
      </c>
      <c r="AA19" s="11" t="n">
        <f aca="false">MIN(Z22,MAX(0,AA18))</f>
        <v>0</v>
      </c>
      <c r="AB19" s="11" t="n">
        <f aca="false">MIN(AA22,MAX(0,AB18))</f>
        <v>0</v>
      </c>
      <c r="AC19" s="11" t="n">
        <f aca="false">MIN(AB22,MAX(0,AC18))</f>
        <v>0</v>
      </c>
      <c r="AD19" s="11" t="n">
        <f aca="false">MIN(AC22,MAX(0,AD18))</f>
        <v>0</v>
      </c>
      <c r="AE19" s="11" t="n">
        <f aca="false">MIN(AD22,MAX(0,AE18))</f>
        <v>0</v>
      </c>
      <c r="AF19" s="11" t="n">
        <f aca="false">MIN(AE22,MAX(0,AF18))</f>
        <v>0</v>
      </c>
      <c r="AG19" s="11" t="n">
        <f aca="false">MIN(AF22,MAX(0,AG18))</f>
        <v>0</v>
      </c>
      <c r="AH19" s="11" t="n">
        <f aca="false">MIN(AG22,MAX(0,AH18))</f>
        <v>0</v>
      </c>
      <c r="AI19" s="11" t="n">
        <f aca="false">MIN(AH22,MAX(0,AI18))</f>
        <v>0</v>
      </c>
      <c r="AJ19" s="11" t="n">
        <f aca="false">MIN(AI22,MAX(0,AJ18))</f>
        <v>0</v>
      </c>
      <c r="AK19" s="11" t="n">
        <f aca="false">MIN(AJ22,MAX(0,AK18))</f>
        <v>0</v>
      </c>
      <c r="AL19" s="11" t="n">
        <f aca="false">MIN(AK22,MAX(0,AL18))</f>
        <v>0</v>
      </c>
      <c r="AM19" s="11" t="n">
        <f aca="false">MIN(AL22,MAX(0,AM18))</f>
        <v>0</v>
      </c>
      <c r="AN19" s="11" t="n">
        <f aca="false">MIN(AM22,MAX(0,AN18))</f>
        <v>0</v>
      </c>
      <c r="AO19" s="11" t="n">
        <f aca="false">MIN(AN22,MAX(0,AO18))</f>
        <v>0</v>
      </c>
      <c r="AP19" s="11" t="n">
        <f aca="false">MIN(AO22,MAX(0,AP18))</f>
        <v>0</v>
      </c>
      <c r="AQ19" s="11" t="n">
        <f aca="false">MIN(AP22,MAX(0,AQ18))</f>
        <v>0</v>
      </c>
      <c r="AR19" s="11" t="n">
        <f aca="false">MIN(AQ22,MAX(0,AR18))</f>
        <v>0</v>
      </c>
      <c r="AS19" s="11" t="n">
        <f aca="false">MIN(AR22,MAX(0,AS18))</f>
        <v>0</v>
      </c>
      <c r="AT19" s="11" t="n">
        <f aca="false">MIN(AS22,MAX(0,AT18))</f>
        <v>0</v>
      </c>
      <c r="AU19" s="11" t="n">
        <f aca="false">MIN(AT22,MAX(0,AU18))</f>
        <v>0</v>
      </c>
      <c r="AV19" s="11" t="n">
        <f aca="false">MIN(AU22,MAX(0,AV18))</f>
        <v>0</v>
      </c>
      <c r="AW19" s="11" t="n">
        <f aca="false">MIN(AV22,MAX(0,AW18))</f>
        <v>0</v>
      </c>
      <c r="AX19" s="11" t="n">
        <f aca="false">MIN(AW22,MAX(0,AX18))</f>
        <v>0</v>
      </c>
      <c r="AY19" s="11" t="n">
        <f aca="false">MIN(AX22,MAX(0,AY18))</f>
        <v>0</v>
      </c>
      <c r="AZ19" s="11" t="n">
        <f aca="false">MIN(AY22,MAX(0,AZ18))</f>
        <v>0</v>
      </c>
      <c r="BA19" s="11" t="n">
        <f aca="false">MIN(AZ22,MAX(0,BA18))</f>
        <v>0</v>
      </c>
      <c r="BB19" s="11" t="n">
        <f aca="false">MIN(BA22,MAX(0,BB18))</f>
        <v>0</v>
      </c>
      <c r="BC19" s="11" t="n">
        <f aca="false">MIN(BB22,MAX(0,BC18))</f>
        <v>0</v>
      </c>
      <c r="BD19" s="11" t="n">
        <f aca="false">MIN(BC22,MAX(0,BD18))</f>
        <v>0</v>
      </c>
      <c r="BE19" s="11" t="n">
        <f aca="false">MIN(BD22,MAX(0,BE18))</f>
        <v>0</v>
      </c>
      <c r="BF19" s="11" t="n">
        <f aca="false">MIN(BE22,MAX(0,BF18))</f>
        <v>0</v>
      </c>
      <c r="BG19" s="11" t="n">
        <f aca="false">MIN(BF22,MAX(0,BG18))</f>
        <v>0</v>
      </c>
      <c r="BH19" s="11" t="n">
        <f aca="false">MIN(BG22,MAX(0,BH18))</f>
        <v>0</v>
      </c>
      <c r="BI19" s="11" t="n">
        <f aca="false">MIN(BH22,MAX(0,BI18))</f>
        <v>0</v>
      </c>
      <c r="BJ19" s="11" t="n">
        <f aca="false">MIN(BI22,MAX(0,BJ18))</f>
        <v>0</v>
      </c>
      <c r="BK19" s="11" t="n">
        <f aca="false">MIN(BJ22,MAX(0,BK18))</f>
        <v>0</v>
      </c>
      <c r="BL19" s="11" t="n">
        <f aca="false">MIN(BK22,MAX(0,BL18))</f>
        <v>0</v>
      </c>
      <c r="BM19" s="11" t="n">
        <f aca="false">MIN(BL22,MAX(0,BM18))</f>
        <v>0</v>
      </c>
      <c r="BN19" s="11" t="n">
        <f aca="false">MIN(BM22,MAX(0,BN18))</f>
        <v>0</v>
      </c>
    </row>
    <row r="20" customFormat="false" ht="15" hidden="false" customHeight="false" outlineLevel="0" collapsed="false">
      <c r="D20" s="0" t="s">
        <v>556</v>
      </c>
      <c r="E20" s="0" t="s">
        <v>149</v>
      </c>
      <c r="G20" s="11" t="n">
        <f aca="false">SUM(J20:BN20)</f>
        <v>216.3774815167</v>
      </c>
      <c r="J20" s="11" t="n">
        <f aca="false">MIN(0,MAX(0,J18-J19))</f>
        <v>0</v>
      </c>
      <c r="K20" s="11" t="n">
        <f aca="false">MIN(J21,MAX(0,K18-K19))</f>
        <v>0</v>
      </c>
      <c r="L20" s="11" t="n">
        <f aca="false">MIN(K21,MAX(0,L18-L19))</f>
        <v>0</v>
      </c>
      <c r="M20" s="11" t="n">
        <f aca="false">MIN(L21,MAX(0,M18-M19))</f>
        <v>0</v>
      </c>
      <c r="N20" s="11" t="n">
        <f aca="false">MIN(M21,MAX(0,N18-N19))</f>
        <v>0</v>
      </c>
      <c r="O20" s="11" t="n">
        <f aca="false">MIN(N21,MAX(0,O18-O19))</f>
        <v>0</v>
      </c>
      <c r="P20" s="11" t="n">
        <f aca="false">MIN(O21,MAX(0,P18-P19))</f>
        <v>0</v>
      </c>
      <c r="Q20" s="11" t="n">
        <f aca="false">MIN(P21,MAX(0,Q18-Q19))</f>
        <v>0</v>
      </c>
      <c r="R20" s="11" t="n">
        <f aca="false">MIN(Q21,MAX(0,R18-R19))</f>
        <v>0</v>
      </c>
      <c r="S20" s="11" t="n">
        <f aca="false">MIN(R21,MAX(0,S18-S19))</f>
        <v>0</v>
      </c>
      <c r="T20" s="11" t="n">
        <f aca="false">MIN(S21,MAX(0,T18-T19))</f>
        <v>0</v>
      </c>
      <c r="U20" s="11" t="n">
        <f aca="false">MIN(T21,MAX(0,U18-U19))</f>
        <v>0</v>
      </c>
      <c r="V20" s="11" t="n">
        <f aca="false">MIN(U21,MAX(0,V18-V19))</f>
        <v>0</v>
      </c>
      <c r="W20" s="11" t="n">
        <f aca="false">MIN(V21,MAX(0,W18-W19))</f>
        <v>0</v>
      </c>
      <c r="X20" s="11" t="n">
        <f aca="false">MIN(W21,MAX(0,X18-X19))</f>
        <v>0</v>
      </c>
      <c r="Y20" s="11" t="n">
        <f aca="false">MIN(X21,MAX(0,Y18-Y19))</f>
        <v>0</v>
      </c>
      <c r="Z20" s="11" t="n">
        <f aca="false">MIN(Y21,MAX(0,Z18-Z19))</f>
        <v>1.470008808476</v>
      </c>
      <c r="AA20" s="11" t="n">
        <f aca="false">MIN(Z21,MAX(0,AA18-AA19))</f>
        <v>10.2794015598304</v>
      </c>
      <c r="AB20" s="11" t="n">
        <f aca="false">MIN(AA21,MAX(0,AB18-AB19))</f>
        <v>11.2781391386756</v>
      </c>
      <c r="AC20" s="11" t="n">
        <f aca="false">MIN(AB21,MAX(0,AC18-AC19))</f>
        <v>12.5748554862511</v>
      </c>
      <c r="AD20" s="11" t="n">
        <f aca="false">MIN(AC21,MAX(0,AD18-AD19))</f>
        <v>13.7824596857521</v>
      </c>
      <c r="AE20" s="11" t="n">
        <f aca="false">MIN(AD21,MAX(0,AE18-AE19))</f>
        <v>1.18490408233368</v>
      </c>
      <c r="AF20" s="11" t="n">
        <f aca="false">MIN(AE21,MAX(0,AF18-AF19))</f>
        <v>16.3344969070095</v>
      </c>
      <c r="AG20" s="11" t="n">
        <f aca="false">MIN(AF21,MAX(0,AG18-AG19))</f>
        <v>18.0183037294303</v>
      </c>
      <c r="AH20" s="11" t="n">
        <f aca="false">MIN(AG21,MAX(0,AH18-AH19))</f>
        <v>19.4426048042604</v>
      </c>
      <c r="AI20" s="11" t="n">
        <f aca="false">MIN(AH21,MAX(0,AI18-AI19))</f>
        <v>21.1812449129354</v>
      </c>
      <c r="AJ20" s="11" t="n">
        <f aca="false">MIN(AI21,MAX(0,AJ18-AJ19))</f>
        <v>22.7541147635489</v>
      </c>
      <c r="AK20" s="11" t="n">
        <f aca="false">MIN(AJ21,MAX(0,AK18-AK19))</f>
        <v>24.4800806780228</v>
      </c>
      <c r="AL20" s="11" t="n">
        <f aca="false">MIN(AK21,MAX(0,AL18-AL19))</f>
        <v>25.9370227685872</v>
      </c>
      <c r="AM20" s="11" t="n">
        <f aca="false">MIN(AL21,MAX(0,AM18-AM19))</f>
        <v>17.6598441915862</v>
      </c>
      <c r="AN20" s="11" t="n">
        <f aca="false">MIN(AM21,MAX(0,AN18-AN19))</f>
        <v>0</v>
      </c>
      <c r="AO20" s="11" t="n">
        <f aca="false">MIN(AN21,MAX(0,AO18-AO19))</f>
        <v>0</v>
      </c>
      <c r="AP20" s="11" t="n">
        <f aca="false">MIN(AO21,MAX(0,AP18-AP19))</f>
        <v>0</v>
      </c>
      <c r="AQ20" s="11" t="n">
        <f aca="false">MIN(AP21,MAX(0,AQ18-AQ19))</f>
        <v>0</v>
      </c>
      <c r="AR20" s="11" t="n">
        <f aca="false">MIN(AQ21,MAX(0,AR18-AR19))</f>
        <v>0</v>
      </c>
      <c r="AS20" s="11" t="n">
        <f aca="false">MIN(AR21,MAX(0,AS18-AS19))</f>
        <v>0</v>
      </c>
      <c r="AT20" s="11" t="n">
        <f aca="false">MIN(AS21,MAX(0,AT18-AT19))</f>
        <v>0</v>
      </c>
      <c r="AU20" s="11" t="n">
        <f aca="false">MIN(AT21,MAX(0,AU18-AU19))</f>
        <v>0</v>
      </c>
      <c r="AV20" s="11" t="n">
        <f aca="false">MIN(AU21,MAX(0,AV18-AV19))</f>
        <v>0</v>
      </c>
      <c r="AW20" s="11" t="n">
        <f aca="false">MIN(AV21,MAX(0,AW18-AW19))</f>
        <v>0</v>
      </c>
      <c r="AX20" s="11" t="n">
        <f aca="false">MIN(AW21,MAX(0,AX18-AX19))</f>
        <v>0</v>
      </c>
      <c r="AY20" s="11" t="n">
        <f aca="false">MIN(AX21,MAX(0,AY18-AY19))</f>
        <v>0</v>
      </c>
      <c r="AZ20" s="11" t="n">
        <f aca="false">MIN(AY21,MAX(0,AZ18-AZ19))</f>
        <v>0</v>
      </c>
      <c r="BA20" s="11" t="n">
        <f aca="false">MIN(AZ21,MAX(0,BA18-BA19))</f>
        <v>0</v>
      </c>
      <c r="BB20" s="11" t="n">
        <f aca="false">MIN(BA21,MAX(0,BB18-BB19))</f>
        <v>0</v>
      </c>
      <c r="BC20" s="11" t="n">
        <f aca="false">MIN(BB21,MAX(0,BC18-BC19))</f>
        <v>0</v>
      </c>
      <c r="BD20" s="11" t="n">
        <f aca="false">MIN(BC21,MAX(0,BD18-BD19))</f>
        <v>0</v>
      </c>
      <c r="BE20" s="11" t="n">
        <f aca="false">MIN(BD21,MAX(0,BE18-BE19))</f>
        <v>0</v>
      </c>
      <c r="BF20" s="11" t="n">
        <f aca="false">MIN(BE21,MAX(0,BF18-BF19))</f>
        <v>0</v>
      </c>
      <c r="BG20" s="11" t="n">
        <f aca="false">MIN(BF21,MAX(0,BG18-BG19))</f>
        <v>0</v>
      </c>
      <c r="BH20" s="11" t="n">
        <f aca="false">MIN(BG21,MAX(0,BH18-BH19))</f>
        <v>0</v>
      </c>
      <c r="BI20" s="11" t="n">
        <f aca="false">MIN(BH21,MAX(0,BI18-BI19))</f>
        <v>0</v>
      </c>
      <c r="BJ20" s="11" t="n">
        <f aca="false">MIN(BI21,MAX(0,BJ18-BJ19))</f>
        <v>0</v>
      </c>
      <c r="BK20" s="11" t="n">
        <f aca="false">MIN(BJ21,MAX(0,BK18-BK19))</f>
        <v>0</v>
      </c>
      <c r="BL20" s="11" t="n">
        <f aca="false">MIN(BK21,MAX(0,BL18-BL19))</f>
        <v>0</v>
      </c>
      <c r="BM20" s="11" t="n">
        <f aca="false">MIN(BL21,MAX(0,BM18-BM19))</f>
        <v>0</v>
      </c>
      <c r="BN20" s="11" t="n">
        <f aca="false">MIN(BM21,MAX(0,BN18-BN19))</f>
        <v>0</v>
      </c>
    </row>
    <row r="21" customFormat="false" ht="15" hidden="false" customHeight="false" outlineLevel="0" collapsed="false">
      <c r="D21" s="0" t="s">
        <v>557</v>
      </c>
      <c r="E21" s="0" t="s">
        <v>149</v>
      </c>
      <c r="J21" s="11" t="n">
        <f aca="false">0+J11-J20</f>
        <v>0</v>
      </c>
      <c r="K21" s="11" t="n">
        <f aca="false">J21+K11-K20</f>
        <v>0</v>
      </c>
      <c r="L21" s="11" t="n">
        <f aca="false">K21+L11-L20</f>
        <v>0</v>
      </c>
      <c r="M21" s="11" t="n">
        <f aca="false">L21+M11-M20</f>
        <v>0</v>
      </c>
      <c r="N21" s="11" t="n">
        <f aca="false">M21+N11-N20</f>
        <v>0</v>
      </c>
      <c r="O21" s="11" t="n">
        <f aca="false">N21+O11-O20</f>
        <v>0</v>
      </c>
      <c r="P21" s="11" t="n">
        <f aca="false">O21+P11-P20</f>
        <v>3.60629135861166</v>
      </c>
      <c r="Q21" s="11" t="n">
        <f aca="false">P21+Q11-Q20</f>
        <v>25.2440395102816</v>
      </c>
      <c r="R21" s="11" t="n">
        <f aca="false">Q21+R11-R20</f>
        <v>46.8817876619516</v>
      </c>
      <c r="S21" s="11" t="n">
        <f aca="false">R21+S11-S20</f>
        <v>68.5195358136215</v>
      </c>
      <c r="T21" s="11" t="n">
        <f aca="false">S21+T11-T20</f>
        <v>90.1572839652915</v>
      </c>
      <c r="U21" s="11" t="n">
        <f aca="false">T21+U11-U20</f>
        <v>111.795032116961</v>
      </c>
      <c r="V21" s="11" t="n">
        <f aca="false">U21+V11-V20</f>
        <v>133.432780268631</v>
      </c>
      <c r="W21" s="11" t="n">
        <f aca="false">V21+W11-W20</f>
        <v>155.070528420301</v>
      </c>
      <c r="X21" s="11" t="n">
        <f aca="false">W21+X11-X20</f>
        <v>176.708276571971</v>
      </c>
      <c r="Y21" s="11" t="n">
        <f aca="false">X21+Y11-Y20</f>
        <v>198.346024723641</v>
      </c>
      <c r="Z21" s="11" t="n">
        <f aca="false">Y21+Z11-Z20</f>
        <v>214.907472708224</v>
      </c>
      <c r="AA21" s="11" t="n">
        <f aca="false">Z21+AA11-AA20</f>
        <v>204.628071148393</v>
      </c>
      <c r="AB21" s="11" t="n">
        <f aca="false">AA21+AB11-AB20</f>
        <v>193.349932009718</v>
      </c>
      <c r="AC21" s="11" t="n">
        <f aca="false">AB21+AC11-AC20</f>
        <v>180.775076523466</v>
      </c>
      <c r="AD21" s="11" t="n">
        <f aca="false">AC21+AD11-AD20</f>
        <v>166.992616837714</v>
      </c>
      <c r="AE21" s="11" t="n">
        <f aca="false">AD21+AE11-AE20</f>
        <v>165.807712755381</v>
      </c>
      <c r="AF21" s="11" t="n">
        <f aca="false">AE21+AF11-AF20</f>
        <v>149.473215848371</v>
      </c>
      <c r="AG21" s="11" t="n">
        <f aca="false">AF21+AG11-AG20</f>
        <v>131.454912118941</v>
      </c>
      <c r="AH21" s="11" t="n">
        <f aca="false">AG21+AH11-AH20</f>
        <v>112.01230731468</v>
      </c>
      <c r="AI21" s="11" t="n">
        <f aca="false">AH21+AI11-AI20</f>
        <v>90.8310624017451</v>
      </c>
      <c r="AJ21" s="11" t="n">
        <f aca="false">AI21+AJ11-AJ20</f>
        <v>68.0769476381962</v>
      </c>
      <c r="AK21" s="11" t="n">
        <f aca="false">AJ21+AK11-AK20</f>
        <v>43.5968669601734</v>
      </c>
      <c r="AL21" s="11" t="n">
        <f aca="false">AK21+AL11-AL20</f>
        <v>17.6598441915862</v>
      </c>
      <c r="AM21" s="11" t="n">
        <f aca="false">AL21+AM11-AM20</f>
        <v>0</v>
      </c>
      <c r="AN21" s="11" t="n">
        <f aca="false">AM21+AN11-AN20</f>
        <v>0</v>
      </c>
      <c r="AO21" s="11" t="n">
        <f aca="false">AN21+AO11-AO20</f>
        <v>0</v>
      </c>
      <c r="AP21" s="11" t="n">
        <f aca="false">AO21+AP11-AP20</f>
        <v>0</v>
      </c>
      <c r="AQ21" s="11" t="n">
        <f aca="false">AP21+AQ11-AQ20</f>
        <v>0</v>
      </c>
      <c r="AR21" s="11" t="n">
        <f aca="false">AQ21+AR11-AR20</f>
        <v>0</v>
      </c>
      <c r="AS21" s="11" t="n">
        <f aca="false">AR21+AS11-AS20</f>
        <v>0</v>
      </c>
      <c r="AT21" s="11" t="n">
        <f aca="false">AS21+AT11-AT20</f>
        <v>0</v>
      </c>
      <c r="AU21" s="11" t="n">
        <f aca="false">AT21+AU11-AU20</f>
        <v>0</v>
      </c>
      <c r="AV21" s="11" t="n">
        <f aca="false">AU21+AV11-AV20</f>
        <v>0</v>
      </c>
      <c r="AW21" s="11" t="n">
        <f aca="false">AV21+AW11-AW20</f>
        <v>0</v>
      </c>
      <c r="AX21" s="11" t="n">
        <f aca="false">AW21+AX11-AX20</f>
        <v>0</v>
      </c>
      <c r="AY21" s="11" t="n">
        <f aca="false">AX21+AY11-AY20</f>
        <v>0</v>
      </c>
      <c r="AZ21" s="11" t="n">
        <f aca="false">AY21+AZ11-AZ20</f>
        <v>0</v>
      </c>
      <c r="BA21" s="11" t="n">
        <f aca="false">AZ21+BA11-BA20</f>
        <v>0</v>
      </c>
      <c r="BB21" s="11" t="n">
        <f aca="false">BA21+BB11-BB20</f>
        <v>0</v>
      </c>
      <c r="BC21" s="11" t="n">
        <f aca="false">BB21+BC11-BC20</f>
        <v>0</v>
      </c>
      <c r="BD21" s="11" t="n">
        <f aca="false">BC21+BD11-BD20</f>
        <v>0</v>
      </c>
      <c r="BE21" s="11" t="n">
        <f aca="false">BD21+BE11-BE20</f>
        <v>0</v>
      </c>
      <c r="BF21" s="11" t="n">
        <f aca="false">BE21+BF11-BF20</f>
        <v>0</v>
      </c>
      <c r="BG21" s="11" t="n">
        <f aca="false">BF21+BG11-BG20</f>
        <v>0</v>
      </c>
      <c r="BH21" s="11" t="n">
        <f aca="false">BG21+BH11-BH20</f>
        <v>0</v>
      </c>
      <c r="BI21" s="11" t="n">
        <f aca="false">BH21+BI11-BI20</f>
        <v>0</v>
      </c>
      <c r="BJ21" s="11" t="n">
        <f aca="false">BI21+BJ11-BJ20</f>
        <v>0</v>
      </c>
      <c r="BK21" s="11" t="n">
        <f aca="false">BJ21+BK11-BK20</f>
        <v>0</v>
      </c>
      <c r="BL21" s="11" t="n">
        <f aca="false">BK21+BL11-BL20</f>
        <v>0</v>
      </c>
      <c r="BM21" s="11" t="n">
        <f aca="false">BL21+BM11-BM20</f>
        <v>0</v>
      </c>
      <c r="BN21" s="11" t="n">
        <f aca="false">BM21+BN11-BN20</f>
        <v>0</v>
      </c>
    </row>
    <row r="22" customFormat="false" ht="15" hidden="false" customHeight="false" outlineLevel="0" collapsed="false">
      <c r="D22" s="0" t="s">
        <v>558</v>
      </c>
      <c r="E22" s="0" t="s">
        <v>149</v>
      </c>
      <c r="J22" s="11" t="n">
        <f aca="false">0-J19+MAX(0,-J18)</f>
        <v>0</v>
      </c>
      <c r="K22" s="11" t="n">
        <f aca="false">J22-K19+MAX(0,-K18)</f>
        <v>0</v>
      </c>
      <c r="L22" s="11" t="n">
        <f aca="false">K22-L19+MAX(0,-L18)</f>
        <v>0</v>
      </c>
      <c r="M22" s="11" t="n">
        <f aca="false">L22-M19+MAX(0,-M18)</f>
        <v>0</v>
      </c>
      <c r="N22" s="11" t="n">
        <f aca="false">M22-N19+MAX(0,-N18)</f>
        <v>0</v>
      </c>
      <c r="O22" s="11" t="n">
        <f aca="false">N22-O19+MAX(0,-O18)</f>
        <v>0</v>
      </c>
      <c r="P22" s="11" t="n">
        <f aca="false">O22-P19+MAX(0,-P18)</f>
        <v>0</v>
      </c>
      <c r="Q22" s="11" t="n">
        <f aca="false">P22-Q19+MAX(0,-Q18)</f>
        <v>0</v>
      </c>
      <c r="R22" s="11" t="n">
        <f aca="false">Q22-R19+MAX(0,-R18)</f>
        <v>0</v>
      </c>
      <c r="S22" s="11" t="n">
        <f aca="false">R22-S19+MAX(0,-S18)</f>
        <v>0</v>
      </c>
      <c r="T22" s="11" t="n">
        <f aca="false">S22-T19+MAX(0,-T18)</f>
        <v>0</v>
      </c>
      <c r="U22" s="11" t="n">
        <f aca="false">T22-U19+MAX(0,-U18)</f>
        <v>0</v>
      </c>
      <c r="V22" s="11" t="n">
        <f aca="false">U22-V19+MAX(0,-V18)</f>
        <v>0</v>
      </c>
      <c r="W22" s="11" t="n">
        <f aca="false">V22-W19+MAX(0,-W18)</f>
        <v>0</v>
      </c>
      <c r="X22" s="11" t="n">
        <f aca="false">W22-X19+MAX(0,-X18)</f>
        <v>0</v>
      </c>
      <c r="Y22" s="11" t="n">
        <f aca="false">X22-Y19+MAX(0,-Y18)</f>
        <v>0</v>
      </c>
      <c r="Z22" s="11" t="n">
        <f aca="false">Y22-Z19+MAX(0,-Z18)</f>
        <v>0</v>
      </c>
      <c r="AA22" s="11" t="n">
        <f aca="false">Z22-AA19+MAX(0,-AA18)</f>
        <v>0</v>
      </c>
      <c r="AB22" s="11" t="n">
        <f aca="false">AA22-AB19+MAX(0,-AB18)</f>
        <v>0</v>
      </c>
      <c r="AC22" s="11" t="n">
        <f aca="false">AB22-AC19+MAX(0,-AC18)</f>
        <v>0</v>
      </c>
      <c r="AD22" s="11" t="n">
        <f aca="false">AC22-AD19+MAX(0,-AD18)</f>
        <v>0</v>
      </c>
      <c r="AE22" s="11" t="n">
        <f aca="false">AD22-AE19+MAX(0,-AE18)</f>
        <v>0</v>
      </c>
      <c r="AF22" s="11" t="n">
        <f aca="false">AE22-AF19+MAX(0,-AF18)</f>
        <v>0</v>
      </c>
      <c r="AG22" s="11" t="n">
        <f aca="false">AF22-AG19+MAX(0,-AG18)</f>
        <v>0</v>
      </c>
      <c r="AH22" s="11" t="n">
        <f aca="false">AG22-AH19+MAX(0,-AH18)</f>
        <v>0</v>
      </c>
      <c r="AI22" s="11" t="n">
        <f aca="false">AH22-AI19+MAX(0,-AI18)</f>
        <v>0</v>
      </c>
      <c r="AJ22" s="11" t="n">
        <f aca="false">AI22-AJ19+MAX(0,-AJ18)</f>
        <v>0</v>
      </c>
      <c r="AK22" s="11" t="n">
        <f aca="false">AJ22-AK19+MAX(0,-AK18)</f>
        <v>0</v>
      </c>
      <c r="AL22" s="11" t="n">
        <f aca="false">AK22-AL19+MAX(0,-AL18)</f>
        <v>0</v>
      </c>
      <c r="AM22" s="11" t="n">
        <f aca="false">AL22-AM19+MAX(0,-AM18)</f>
        <v>0</v>
      </c>
      <c r="AN22" s="11" t="n">
        <f aca="false">AM22-AN19+MAX(0,-AN18)</f>
        <v>0</v>
      </c>
      <c r="AO22" s="11" t="n">
        <f aca="false">AN22-AO19+MAX(0,-AO18)</f>
        <v>0</v>
      </c>
      <c r="AP22" s="11" t="n">
        <f aca="false">AO22-AP19+MAX(0,-AP18)</f>
        <v>0</v>
      </c>
      <c r="AQ22" s="11" t="n">
        <f aca="false">AP22-AQ19+MAX(0,-AQ18)</f>
        <v>0</v>
      </c>
      <c r="AR22" s="11" t="n">
        <f aca="false">AQ22-AR19+MAX(0,-AR18)</f>
        <v>0</v>
      </c>
      <c r="AS22" s="11" t="n">
        <f aca="false">AR22-AS19+MAX(0,-AS18)</f>
        <v>0</v>
      </c>
      <c r="AT22" s="11" t="n">
        <f aca="false">AS22-AT19+MAX(0,-AT18)</f>
        <v>0</v>
      </c>
      <c r="AU22" s="11" t="n">
        <f aca="false">AT22-AU19+MAX(0,-AU18)</f>
        <v>0</v>
      </c>
      <c r="AV22" s="11" t="n">
        <f aca="false">AU22-AV19+MAX(0,-AV18)</f>
        <v>0</v>
      </c>
      <c r="AW22" s="11" t="n">
        <f aca="false">AV22-AW19+MAX(0,-AW18)</f>
        <v>0</v>
      </c>
      <c r="AX22" s="11" t="n">
        <f aca="false">AW22-AX19+MAX(0,-AX18)</f>
        <v>0</v>
      </c>
      <c r="AY22" s="11" t="n">
        <f aca="false">AX22-AY19+MAX(0,-AY18)</f>
        <v>0</v>
      </c>
      <c r="AZ22" s="11" t="n">
        <f aca="false">AY22-AZ19+MAX(0,-AZ18)</f>
        <v>0</v>
      </c>
      <c r="BA22" s="11" t="n">
        <f aca="false">AZ22-BA19+MAX(0,-BA18)</f>
        <v>0</v>
      </c>
      <c r="BB22" s="11" t="n">
        <f aca="false">BA22-BB19+MAX(0,-BB18)</f>
        <v>0</v>
      </c>
      <c r="BC22" s="11" t="n">
        <f aca="false">BB22-BC19+MAX(0,-BC18)</f>
        <v>0</v>
      </c>
      <c r="BD22" s="11" t="n">
        <f aca="false">BC22-BD19+MAX(0,-BD18)</f>
        <v>0</v>
      </c>
      <c r="BE22" s="11" t="n">
        <f aca="false">BD22-BE19+MAX(0,-BE18)</f>
        <v>0</v>
      </c>
      <c r="BF22" s="11" t="n">
        <f aca="false">BE22-BF19+MAX(0,-BF18)</f>
        <v>0</v>
      </c>
      <c r="BG22" s="11" t="n">
        <f aca="false">BF22-BG19+MAX(0,-BG18)</f>
        <v>0</v>
      </c>
      <c r="BH22" s="11" t="n">
        <f aca="false">BG22-BH19+MAX(0,-BH18)</f>
        <v>0</v>
      </c>
      <c r="BI22" s="11" t="n">
        <f aca="false">BH22-BI19+MAX(0,-BI18)</f>
        <v>0</v>
      </c>
      <c r="BJ22" s="11" t="n">
        <f aca="false">BI22-BJ19+MAX(0,-BJ18)</f>
        <v>0</v>
      </c>
      <c r="BK22" s="11" t="n">
        <f aca="false">BJ22-BK19+MAX(0,-BK18)</f>
        <v>0</v>
      </c>
      <c r="BL22" s="11" t="n">
        <f aca="false">BK22-BL19+MAX(0,-BL18)</f>
        <v>0</v>
      </c>
      <c r="BM22" s="11" t="n">
        <f aca="false">BL22-BM19+MAX(0,-BM18)</f>
        <v>0</v>
      </c>
      <c r="BN22" s="11" t="n">
        <f aca="false">BM22-BN19+MAX(0,-BN18)</f>
        <v>0</v>
      </c>
    </row>
    <row r="23" customFormat="false" ht="15" hidden="false" customHeight="false" outlineLevel="0" collapsed="false">
      <c r="D23" s="0" t="s">
        <v>559</v>
      </c>
      <c r="E23" s="0" t="s">
        <v>149</v>
      </c>
      <c r="G23" s="11" t="n">
        <f aca="false">SUM(J23:BN23)</f>
        <v>1086.58469440379</v>
      </c>
      <c r="J23" s="11" t="n">
        <f aca="false">MAX(0,J18-J19-J20)</f>
        <v>0</v>
      </c>
      <c r="K23" s="11" t="n">
        <f aca="false">MAX(0,K18-K19-K20)</f>
        <v>0</v>
      </c>
      <c r="L23" s="11" t="n">
        <f aca="false">MAX(0,L18-L19-L20)</f>
        <v>0</v>
      </c>
      <c r="M23" s="11" t="n">
        <f aca="false">MAX(0,M18-M19-M20)</f>
        <v>0</v>
      </c>
      <c r="N23" s="11" t="n">
        <f aca="false">MAX(0,N18-N19-N20)</f>
        <v>0</v>
      </c>
      <c r="O23" s="11" t="n">
        <f aca="false">MAX(0,O18-O19-O20)</f>
        <v>0</v>
      </c>
      <c r="P23" s="11" t="n">
        <f aca="false">MAX(0,P18-P19-P20)</f>
        <v>0</v>
      </c>
      <c r="Q23" s="11" t="n">
        <f aca="false">MAX(0,Q18-Q19-Q20)</f>
        <v>0</v>
      </c>
      <c r="R23" s="11" t="n">
        <f aca="false">MAX(0,R18-R19-R20)</f>
        <v>0</v>
      </c>
      <c r="S23" s="11" t="n">
        <f aca="false">MAX(0,S18-S19-S20)</f>
        <v>0</v>
      </c>
      <c r="T23" s="11" t="n">
        <f aca="false">MAX(0,T18-T19-T20)</f>
        <v>0</v>
      </c>
      <c r="U23" s="11" t="n">
        <f aca="false">MAX(0,U18-U19-U20)</f>
        <v>0</v>
      </c>
      <c r="V23" s="11" t="n">
        <f aca="false">MAX(0,V18-V19-V20)</f>
        <v>0</v>
      </c>
      <c r="W23" s="11" t="n">
        <f aca="false">MAX(0,W18-W19-W20)</f>
        <v>0</v>
      </c>
      <c r="X23" s="11" t="n">
        <f aca="false">MAX(0,X18-X19-X20)</f>
        <v>0</v>
      </c>
      <c r="Y23" s="11" t="n">
        <f aca="false">MAX(0,Y18-Y19-Y20)</f>
        <v>0</v>
      </c>
      <c r="Z23" s="11" t="n">
        <f aca="false">MAX(0,Z18-Z19-Z20)</f>
        <v>0</v>
      </c>
      <c r="AA23" s="11" t="n">
        <f aca="false">MAX(0,AA18-AA19-AA20)</f>
        <v>0</v>
      </c>
      <c r="AB23" s="11" t="n">
        <f aca="false">MAX(0,AB18-AB19-AB20)</f>
        <v>0</v>
      </c>
      <c r="AC23" s="11" t="n">
        <f aca="false">MAX(0,AC18-AC19-AC20)</f>
        <v>0</v>
      </c>
      <c r="AD23" s="11" t="n">
        <f aca="false">MAX(0,AD18-AD19-AD20)</f>
        <v>0</v>
      </c>
      <c r="AE23" s="11" t="n">
        <f aca="false">MAX(0,AE18-AE19-AE20)</f>
        <v>0</v>
      </c>
      <c r="AF23" s="11" t="n">
        <f aca="false">MAX(0,AF18-AF19-AF20)</f>
        <v>0</v>
      </c>
      <c r="AG23" s="11" t="n">
        <f aca="false">MAX(0,AG18-AG19-AG20)</f>
        <v>0</v>
      </c>
      <c r="AH23" s="11" t="n">
        <f aca="false">MAX(0,AH18-AH19-AH20)</f>
        <v>0</v>
      </c>
      <c r="AI23" s="11" t="n">
        <f aca="false">MAX(0,AI18-AI19-AI20)</f>
        <v>0</v>
      </c>
      <c r="AJ23" s="11" t="n">
        <f aca="false">MAX(0,AJ18-AJ19-AJ20)</f>
        <v>0</v>
      </c>
      <c r="AK23" s="11" t="n">
        <f aca="false">MAX(0,AK18-AK19-AK20)</f>
        <v>0</v>
      </c>
      <c r="AL23" s="11" t="n">
        <f aca="false">MAX(0,AL18-AL19-AL20)</f>
        <v>0</v>
      </c>
      <c r="AM23" s="11" t="n">
        <f aca="false">MAX(0,AM18-AM19-AM20)</f>
        <v>6.03643633500194</v>
      </c>
      <c r="AN23" s="11" t="n">
        <f aca="false">MAX(0,AN18-AN19-AN20)</f>
        <v>27.9002781497456</v>
      </c>
      <c r="AO23" s="11" t="n">
        <f aca="false">MAX(0,AO18-AO19-AO20)</f>
        <v>28.5303921747507</v>
      </c>
      <c r="AP23" s="11" t="n">
        <f aca="false">MAX(0,AP18-AP19-AP20)</f>
        <v>29.3114433809916</v>
      </c>
      <c r="AQ23" s="11" t="n">
        <f aca="false">MAX(0,AQ18-AQ19-AQ20)</f>
        <v>30.3839013744923</v>
      </c>
      <c r="AR23" s="11" t="n">
        <f aca="false">MAX(0,AR18-AR19-AR20)</f>
        <v>31.4198354676339</v>
      </c>
      <c r="AS23" s="11" t="n">
        <f aca="false">MAX(0,AS18-AS19-AS20)</f>
        <v>32.448198829462</v>
      </c>
      <c r="AT23" s="11" t="n">
        <f aca="false">MAX(0,AT18-AT19-AT20)</f>
        <v>33.632513670602</v>
      </c>
      <c r="AU23" s="11" t="n">
        <f aca="false">MAX(0,AU18-AU19-AU20)</f>
        <v>18.1287826513369</v>
      </c>
      <c r="AV23" s="11" t="n">
        <f aca="false">MAX(0,AV18-AV19-AV20)</f>
        <v>36.077793674772</v>
      </c>
      <c r="AW23" s="11" t="n">
        <f aca="false">MAX(0,AW18-AW19-AW20)</f>
        <v>36.2573428099276</v>
      </c>
      <c r="AX23" s="11" t="n">
        <f aca="false">MAX(0,AX18-AX19-AX20)</f>
        <v>36.4405529829774</v>
      </c>
      <c r="AY23" s="11" t="n">
        <f aca="false">MAX(0,AY18-AY19-AY20)</f>
        <v>36.6643453227098</v>
      </c>
      <c r="AZ23" s="11" t="n">
        <f aca="false">MAX(0,AZ18-AZ19-AZ20)</f>
        <v>36.8273964825823</v>
      </c>
      <c r="BA23" s="11" t="n">
        <f aca="false">MAX(0,BA18-BA19-BA20)</f>
        <v>36.92861312947</v>
      </c>
      <c r="BB23" s="11" t="n">
        <f aca="false">MAX(0,BB18-BB19-BB20)</f>
        <v>37.1534432556734</v>
      </c>
      <c r="BC23" s="11" t="n">
        <f aca="false">MAX(0,BC18-BC19-BC20)</f>
        <v>33.5453688491723</v>
      </c>
      <c r="BD23" s="11" t="n">
        <f aca="false">MAX(0,BD18-BD19-BD20)</f>
        <v>40.7668583932351</v>
      </c>
      <c r="BE23" s="11" t="n">
        <f aca="false">MAX(0,BE18-BE19-BE20)</f>
        <v>56.060891609705</v>
      </c>
      <c r="BF23" s="11" t="n">
        <f aca="false">MAX(0,BF18-BF19-BF20)</f>
        <v>56.2613448200704</v>
      </c>
      <c r="BG23" s="11" t="n">
        <f aca="false">MAX(0,BG18-BG19-BG20)</f>
        <v>56.5055718464483</v>
      </c>
      <c r="BH23" s="11" t="n">
        <f aca="false">MAX(0,BH18-BH19-BH20)</f>
        <v>56.683482435257</v>
      </c>
      <c r="BI23" s="11" t="n">
        <f aca="false">MAX(0,BI18-BI19-BI20)</f>
        <v>56.7911245900556</v>
      </c>
      <c r="BJ23" s="11" t="n">
        <f aca="false">MAX(0,BJ18-BJ19-BJ20)</f>
        <v>57.0682705713407</v>
      </c>
      <c r="BK23" s="11" t="n">
        <f aca="false">MAX(0,BK18-BK19-BK20)</f>
        <v>37.3953009595657</v>
      </c>
      <c r="BL23" s="11" t="n">
        <f aca="false">MAX(0,BL18-BL19-BL20)</f>
        <v>57.3951857389617</v>
      </c>
      <c r="BM23" s="11" t="n">
        <f aca="false">MAX(0,BM18-BM19-BM20)</f>
        <v>57.5527813832733</v>
      </c>
      <c r="BN23" s="11" t="n">
        <f aca="false">MAX(0,BN18-BN19-BN20)</f>
        <v>26.4172435145736</v>
      </c>
    </row>
    <row r="24" customFormat="false" ht="15" hidden="false" customHeight="false" outlineLevel="0" collapsed="false">
      <c r="D24" s="0" t="s">
        <v>560</v>
      </c>
      <c r="E24" s="0" t="s">
        <v>103</v>
      </c>
      <c r="J24" s="6" t="n">
        <f aca="false">IF(J8+J9&gt;0,(J8*Inputs!$F$175+J9*Inputs!$F$174)/(J8+J9)/100,0)</f>
        <v>0</v>
      </c>
      <c r="K24" s="6" t="n">
        <f aca="false">IF(K8+K9&gt;0,(K8*Inputs!$F$175+K9*Inputs!$F$174)/(K8+K9)/100,0)</f>
        <v>0</v>
      </c>
      <c r="L24" s="6" t="n">
        <f aca="false">IF(L8+L9&gt;0,(L8*Inputs!$F$175+L9*Inputs!$F$174)/(L8+L9)/100,0)</f>
        <v>0</v>
      </c>
      <c r="M24" s="6" t="n">
        <f aca="false">IF(M8+M9&gt;0,(M8*Inputs!$F$175+M9*Inputs!$F$174)/(M8+M9)/100,0)</f>
        <v>0</v>
      </c>
      <c r="N24" s="6" t="n">
        <f aca="false">IF(N8+N9&gt;0,(N8*Inputs!$F$175+N9*Inputs!$F$174)/(N8+N9)/100,0)</f>
        <v>0</v>
      </c>
      <c r="O24" s="6" t="n">
        <f aca="false">IF(O8+O9&gt;0,(O8*Inputs!$F$175+O9*Inputs!$F$174)/(O8+O9)/100,0)</f>
        <v>0</v>
      </c>
      <c r="P24" s="6" t="n">
        <f aca="false">IF(P8+P9&gt;0,(P8*Inputs!$F$175+P9*Inputs!$F$174)/(P8+P9)/100,0)</f>
        <v>0</v>
      </c>
      <c r="Q24" s="6" t="n">
        <f aca="false">IF(Q8+Q9&gt;0,(Q8*Inputs!$F$175+Q9*Inputs!$F$174)/(Q8+Q9)/100,0)</f>
        <v>0</v>
      </c>
      <c r="R24" s="6" t="n">
        <f aca="false">IF(R8+R9&gt;0,(R8*Inputs!$F$175+R9*Inputs!$F$174)/(R8+R9)/100,0)</f>
        <v>0</v>
      </c>
      <c r="S24" s="6" t="n">
        <f aca="false">IF(S8+S9&gt;0,(S8*Inputs!$F$175+S9*Inputs!$F$174)/(S8+S9)/100,0)</f>
        <v>0</v>
      </c>
      <c r="T24" s="6" t="n">
        <f aca="false">IF(T8+T9&gt;0,(T8*Inputs!$F$175+T9*Inputs!$F$174)/(T8+T9)/100,0)</f>
        <v>0</v>
      </c>
      <c r="U24" s="6" t="n">
        <f aca="false">IF(U8+U9&gt;0,(U8*Inputs!$F$175+U9*Inputs!$F$174)/(U8+U9)/100,0)</f>
        <v>0</v>
      </c>
      <c r="V24" s="6" t="n">
        <f aca="false">IF(V8+V9&gt;0,(V8*Inputs!$F$175+V9*Inputs!$F$174)/(V8+V9)/100,0)</f>
        <v>0</v>
      </c>
      <c r="W24" s="6" t="n">
        <f aca="false">IF(W8+W9&gt;0,(W8*Inputs!$F$175+W9*Inputs!$F$174)/(W8+W9)/100,0)</f>
        <v>0</v>
      </c>
      <c r="X24" s="6" t="n">
        <f aca="false">IF(X8+X9&gt;0,(X8*Inputs!$F$175+X9*Inputs!$F$174)/(X8+X9)/100,0)</f>
        <v>0</v>
      </c>
      <c r="Y24" s="6" t="n">
        <f aca="false">IF(Y8+Y9&gt;0,(Y8*Inputs!$F$175+Y9*Inputs!$F$174)/(Y8+Y9)/100,0)</f>
        <v>0</v>
      </c>
      <c r="Z24" s="6" t="n">
        <f aca="false">IF(Z8+Z9&gt;0,(Z8*Inputs!$F$175+Z9*Inputs!$F$174)/(Z8+Z9)/100,0)</f>
        <v>0.15</v>
      </c>
      <c r="AA24" s="6" t="n">
        <f aca="false">IF(AA8+AA9&gt;0,(AA8*Inputs!$F$175+AA9*Inputs!$F$174)/(AA8+AA9)/100,0)</f>
        <v>0.15</v>
      </c>
      <c r="AB24" s="6" t="n">
        <f aca="false">IF(AB8+AB9&gt;0,(AB8*Inputs!$F$175+AB9*Inputs!$F$174)/(AB8+AB9)/100,0)</f>
        <v>0.15</v>
      </c>
      <c r="AC24" s="6" t="n">
        <f aca="false">IF(AC8+AC9&gt;0,(AC8*Inputs!$F$175+AC9*Inputs!$F$174)/(AC8+AC9)/100,0)</f>
        <v>0.15</v>
      </c>
      <c r="AD24" s="6" t="n">
        <f aca="false">IF(AD8+AD9&gt;0,(AD8*Inputs!$F$175+AD9*Inputs!$F$174)/(AD8+AD9)/100,0)</f>
        <v>0.15</v>
      </c>
      <c r="AE24" s="6" t="n">
        <f aca="false">IF(AE8+AE9&gt;0,(AE8*Inputs!$F$175+AE9*Inputs!$F$174)/(AE8+AE9)/100,0)</f>
        <v>0.15</v>
      </c>
      <c r="AF24" s="6" t="n">
        <f aca="false">IF(AF8+AF9&gt;0,(AF8*Inputs!$F$175+AF9*Inputs!$F$174)/(AF8+AF9)/100,0)</f>
        <v>0.175</v>
      </c>
      <c r="AG24" s="6" t="n">
        <f aca="false">IF(AG8+AG9&gt;0,(AG8*Inputs!$F$175+AG9*Inputs!$F$174)/(AG8+AG9)/100,0)</f>
        <v>0.3</v>
      </c>
      <c r="AH24" s="6" t="n">
        <f aca="false">IF(AH8+AH9&gt;0,(AH8*Inputs!$F$175+AH9*Inputs!$F$174)/(AH8+AH9)/100,0)</f>
        <v>0.3</v>
      </c>
      <c r="AI24" s="6" t="n">
        <f aca="false">IF(AI8+AI9&gt;0,(AI8*Inputs!$F$175+AI9*Inputs!$F$174)/(AI8+AI9)/100,0)</f>
        <v>0.3</v>
      </c>
      <c r="AJ24" s="6" t="n">
        <f aca="false">IF(AJ8+AJ9&gt;0,(AJ8*Inputs!$F$175+AJ9*Inputs!$F$174)/(AJ8+AJ9)/100,0)</f>
        <v>0.3</v>
      </c>
      <c r="AK24" s="6" t="n">
        <f aca="false">IF(AK8+AK9&gt;0,(AK8*Inputs!$F$175+AK9*Inputs!$F$174)/(AK8+AK9)/100,0)</f>
        <v>0.3</v>
      </c>
      <c r="AL24" s="6" t="n">
        <f aca="false">IF(AL8+AL9&gt;0,(AL8*Inputs!$F$175+AL9*Inputs!$F$174)/(AL8+AL9)/100,0)</f>
        <v>0.3</v>
      </c>
      <c r="AM24" s="6" t="n">
        <f aca="false">IF(AM8+AM9&gt;0,(AM8*Inputs!$F$175+AM9*Inputs!$F$174)/(AM8+AM9)/100,0)</f>
        <v>0.3</v>
      </c>
      <c r="AN24" s="6" t="n">
        <f aca="false">IF(AN8+AN9&gt;0,(AN8*Inputs!$F$175+AN9*Inputs!$F$174)/(AN8+AN9)/100,0)</f>
        <v>0.3</v>
      </c>
      <c r="AO24" s="6" t="n">
        <f aca="false">IF(AO8+AO9&gt;0,(AO8*Inputs!$F$175+AO9*Inputs!$F$174)/(AO8+AO9)/100,0)</f>
        <v>0.3</v>
      </c>
      <c r="AP24" s="6" t="n">
        <f aca="false">IF(AP8+AP9&gt;0,(AP8*Inputs!$F$175+AP9*Inputs!$F$174)/(AP8+AP9)/100,0)</f>
        <v>0.3</v>
      </c>
      <c r="AQ24" s="6" t="n">
        <f aca="false">IF(AQ8+AQ9&gt;0,(AQ8*Inputs!$F$175+AQ9*Inputs!$F$174)/(AQ8+AQ9)/100,0)</f>
        <v>0.3</v>
      </c>
      <c r="AR24" s="6" t="n">
        <f aca="false">IF(AR8+AR9&gt;0,(AR8*Inputs!$F$175+AR9*Inputs!$F$174)/(AR8+AR9)/100,0)</f>
        <v>0.3</v>
      </c>
      <c r="AS24" s="6" t="n">
        <f aca="false">IF(AS8+AS9&gt;0,(AS8*Inputs!$F$175+AS9*Inputs!$F$174)/(AS8+AS9)/100,0)</f>
        <v>0.3</v>
      </c>
      <c r="AT24" s="6" t="n">
        <f aca="false">IF(AT8+AT9&gt;0,(AT8*Inputs!$F$175+AT9*Inputs!$F$174)/(AT8+AT9)/100,0)</f>
        <v>0.3</v>
      </c>
      <c r="AU24" s="6" t="n">
        <f aca="false">IF(AU8+AU9&gt;0,(AU8*Inputs!$F$175+AU9*Inputs!$F$174)/(AU8+AU9)/100,0)</f>
        <v>0.3</v>
      </c>
      <c r="AV24" s="6" t="n">
        <f aca="false">IF(AV8+AV9&gt;0,(AV8*Inputs!$F$175+AV9*Inputs!$F$174)/(AV8+AV9)/100,0)</f>
        <v>0.3</v>
      </c>
      <c r="AW24" s="6" t="n">
        <f aca="false">IF(AW8+AW9&gt;0,(AW8*Inputs!$F$175+AW9*Inputs!$F$174)/(AW8+AW9)/100,0)</f>
        <v>0.3</v>
      </c>
      <c r="AX24" s="6" t="n">
        <f aca="false">IF(AX8+AX9&gt;0,(AX8*Inputs!$F$175+AX9*Inputs!$F$174)/(AX8+AX9)/100,0)</f>
        <v>0.3</v>
      </c>
      <c r="AY24" s="6" t="n">
        <f aca="false">IF(AY8+AY9&gt;0,(AY8*Inputs!$F$175+AY9*Inputs!$F$174)/(AY8+AY9)/100,0)</f>
        <v>0.3</v>
      </c>
      <c r="AZ24" s="6" t="n">
        <f aca="false">IF(AZ8+AZ9&gt;0,(AZ8*Inputs!$F$175+AZ9*Inputs!$F$174)/(AZ8+AZ9)/100,0)</f>
        <v>0.3</v>
      </c>
      <c r="BA24" s="6" t="n">
        <f aca="false">IF(BA8+BA9&gt;0,(BA8*Inputs!$F$175+BA9*Inputs!$F$174)/(BA8+BA9)/100,0)</f>
        <v>0.3</v>
      </c>
      <c r="BB24" s="6" t="n">
        <f aca="false">IF(BB8+BB9&gt;0,(BB8*Inputs!$F$175+BB9*Inputs!$F$174)/(BB8+BB9)/100,0)</f>
        <v>0.3</v>
      </c>
      <c r="BC24" s="6" t="n">
        <f aca="false">IF(BC8+BC9&gt;0,(BC8*Inputs!$F$175+BC9*Inputs!$F$174)/(BC8+BC9)/100,0)</f>
        <v>0.3</v>
      </c>
      <c r="BD24" s="6" t="n">
        <f aca="false">IF(BD8+BD9&gt;0,(BD8*Inputs!$F$175+BD9*Inputs!$F$174)/(BD8+BD9)/100,0)</f>
        <v>0.3</v>
      </c>
      <c r="BE24" s="6" t="n">
        <f aca="false">IF(BE8+BE9&gt;0,(BE8*Inputs!$F$175+BE9*Inputs!$F$174)/(BE8+BE9)/100,0)</f>
        <v>0.3</v>
      </c>
      <c r="BF24" s="6" t="n">
        <f aca="false">IF(BF8+BF9&gt;0,(BF8*Inputs!$F$175+BF9*Inputs!$F$174)/(BF8+BF9)/100,0)</f>
        <v>0.3</v>
      </c>
      <c r="BG24" s="6" t="n">
        <f aca="false">IF(BG8+BG9&gt;0,(BG8*Inputs!$F$175+BG9*Inputs!$F$174)/(BG8+BG9)/100,0)</f>
        <v>0.3</v>
      </c>
      <c r="BH24" s="6" t="n">
        <f aca="false">IF(BH8+BH9&gt;0,(BH8*Inputs!$F$175+BH9*Inputs!$F$174)/(BH8+BH9)/100,0)</f>
        <v>0.3</v>
      </c>
      <c r="BI24" s="6" t="n">
        <f aca="false">IF(BI8+BI9&gt;0,(BI8*Inputs!$F$175+BI9*Inputs!$F$174)/(BI8+BI9)/100,0)</f>
        <v>0.3</v>
      </c>
      <c r="BJ24" s="6" t="n">
        <f aca="false">IF(BJ8+BJ9&gt;0,(BJ8*Inputs!$F$175+BJ9*Inputs!$F$174)/(BJ8+BJ9)/100,0)</f>
        <v>0.3</v>
      </c>
      <c r="BK24" s="6" t="n">
        <f aca="false">IF(BK8+BK9&gt;0,(BK8*Inputs!$F$175+BK9*Inputs!$F$174)/(BK8+BK9)/100,0)</f>
        <v>0.3</v>
      </c>
      <c r="BL24" s="6" t="n">
        <f aca="false">IF(BL8+BL9&gt;0,(BL8*Inputs!$F$175+BL9*Inputs!$F$174)/(BL8+BL9)/100,0)</f>
        <v>0.3</v>
      </c>
      <c r="BM24" s="6" t="n">
        <f aca="false">IF(BM8+BM9&gt;0,(BM8*Inputs!$F$175+BM9*Inputs!$F$174)/(BM8+BM9)/100,0)</f>
        <v>0.3</v>
      </c>
      <c r="BN24" s="6" t="n">
        <f aca="false">IF(BN8+BN9&gt;0,(BN8*Inputs!$F$175+BN9*Inputs!$F$174)/(BN8+BN9)/100,0)</f>
        <v>0.3</v>
      </c>
    </row>
    <row r="25" customFormat="false" ht="15" hidden="false" customHeight="false" outlineLevel="0" collapsed="false">
      <c r="D25" s="0" t="s">
        <v>283</v>
      </c>
      <c r="E25" s="0" t="s">
        <v>149</v>
      </c>
      <c r="G25" s="11" t="n">
        <f aca="false">SUM(J25:BN25)</f>
        <v>325.975408321136</v>
      </c>
      <c r="J25" s="11" t="n">
        <f aca="false">J23*J24</f>
        <v>0</v>
      </c>
      <c r="K25" s="11" t="n">
        <f aca="false">K23*K24</f>
        <v>0</v>
      </c>
      <c r="L25" s="11" t="n">
        <f aca="false">L23*L24</f>
        <v>0</v>
      </c>
      <c r="M25" s="11" t="n">
        <f aca="false">M23*M24</f>
        <v>0</v>
      </c>
      <c r="N25" s="11" t="n">
        <f aca="false">N23*N24</f>
        <v>0</v>
      </c>
      <c r="O25" s="11" t="n">
        <f aca="false">O23*O24</f>
        <v>0</v>
      </c>
      <c r="P25" s="11" t="n">
        <f aca="false">P23*P24</f>
        <v>0</v>
      </c>
      <c r="Q25" s="11" t="n">
        <f aca="false">Q23*Q24</f>
        <v>0</v>
      </c>
      <c r="R25" s="11" t="n">
        <f aca="false">R23*R24</f>
        <v>0</v>
      </c>
      <c r="S25" s="11" t="n">
        <f aca="false">S23*S24</f>
        <v>0</v>
      </c>
      <c r="T25" s="11" t="n">
        <f aca="false">T23*T24</f>
        <v>0</v>
      </c>
      <c r="U25" s="11" t="n">
        <f aca="false">U23*U24</f>
        <v>0</v>
      </c>
      <c r="V25" s="11" t="n">
        <f aca="false">V23*V24</f>
        <v>0</v>
      </c>
      <c r="W25" s="11" t="n">
        <f aca="false">W23*W24</f>
        <v>0</v>
      </c>
      <c r="X25" s="11" t="n">
        <f aca="false">X23*X24</f>
        <v>0</v>
      </c>
      <c r="Y25" s="11" t="n">
        <f aca="false">Y23*Y24</f>
        <v>0</v>
      </c>
      <c r="Z25" s="11" t="n">
        <f aca="false">Z23*Z24</f>
        <v>0</v>
      </c>
      <c r="AA25" s="11" t="n">
        <f aca="false">AA23*AA24</f>
        <v>0</v>
      </c>
      <c r="AB25" s="11" t="n">
        <f aca="false">AB23*AB24</f>
        <v>0</v>
      </c>
      <c r="AC25" s="11" t="n">
        <f aca="false">AC23*AC24</f>
        <v>0</v>
      </c>
      <c r="AD25" s="11" t="n">
        <f aca="false">AD23*AD24</f>
        <v>0</v>
      </c>
      <c r="AE25" s="11" t="n">
        <f aca="false">AE23*AE24</f>
        <v>0</v>
      </c>
      <c r="AF25" s="11" t="n">
        <f aca="false">AF23*AF24</f>
        <v>0</v>
      </c>
      <c r="AG25" s="11" t="n">
        <f aca="false">AG23*AG24</f>
        <v>0</v>
      </c>
      <c r="AH25" s="11" t="n">
        <f aca="false">AH23*AH24</f>
        <v>0</v>
      </c>
      <c r="AI25" s="11" t="n">
        <f aca="false">AI23*AI24</f>
        <v>0</v>
      </c>
      <c r="AJ25" s="11" t="n">
        <f aca="false">AJ23*AJ24</f>
        <v>0</v>
      </c>
      <c r="AK25" s="11" t="n">
        <f aca="false">AK23*AK24</f>
        <v>0</v>
      </c>
      <c r="AL25" s="11" t="n">
        <f aca="false">AL23*AL24</f>
        <v>0</v>
      </c>
      <c r="AM25" s="11" t="n">
        <f aca="false">AM23*AM24</f>
        <v>1.81093090050058</v>
      </c>
      <c r="AN25" s="11" t="n">
        <f aca="false">AN23*AN24</f>
        <v>8.37008344492369</v>
      </c>
      <c r="AO25" s="11" t="n">
        <f aca="false">AO23*AO24</f>
        <v>8.5591176524252</v>
      </c>
      <c r="AP25" s="11" t="n">
        <f aca="false">AP23*AP24</f>
        <v>8.79343301429748</v>
      </c>
      <c r="AQ25" s="11" t="n">
        <f aca="false">AQ23*AQ24</f>
        <v>9.1151704123477</v>
      </c>
      <c r="AR25" s="11" t="n">
        <f aca="false">AR23*AR24</f>
        <v>9.42595064029018</v>
      </c>
      <c r="AS25" s="11" t="n">
        <f aca="false">AS23*AS24</f>
        <v>9.7344596488386</v>
      </c>
      <c r="AT25" s="11" t="n">
        <f aca="false">AT23*AT24</f>
        <v>10.0897541011806</v>
      </c>
      <c r="AU25" s="11" t="n">
        <f aca="false">AU23*AU24</f>
        <v>5.43863479540108</v>
      </c>
      <c r="AV25" s="11" t="n">
        <f aca="false">AV23*AV24</f>
        <v>10.8233381024316</v>
      </c>
      <c r="AW25" s="11" t="n">
        <f aca="false">AW23*AW24</f>
        <v>10.8772028429783</v>
      </c>
      <c r="AX25" s="11" t="n">
        <f aca="false">AX23*AX24</f>
        <v>10.9321658948932</v>
      </c>
      <c r="AY25" s="11" t="n">
        <f aca="false">AY23*AY24</f>
        <v>10.9993035968129</v>
      </c>
      <c r="AZ25" s="11" t="n">
        <f aca="false">AZ23*AZ24</f>
        <v>11.0482189447747</v>
      </c>
      <c r="BA25" s="11" t="n">
        <f aca="false">BA23*BA24</f>
        <v>11.078583938841</v>
      </c>
      <c r="BB25" s="11" t="n">
        <f aca="false">BB23*BB24</f>
        <v>11.146032976702</v>
      </c>
      <c r="BC25" s="11" t="n">
        <f aca="false">BC23*BC24</f>
        <v>10.0636106547517</v>
      </c>
      <c r="BD25" s="11" t="n">
        <f aca="false">BD23*BD24</f>
        <v>12.2300575179705</v>
      </c>
      <c r="BE25" s="11" t="n">
        <f aca="false">BE23*BE24</f>
        <v>16.8182674829115</v>
      </c>
      <c r="BF25" s="11" t="n">
        <f aca="false">BF23*BF24</f>
        <v>16.8784034460211</v>
      </c>
      <c r="BG25" s="11" t="n">
        <f aca="false">BG23*BG24</f>
        <v>16.9516715539345</v>
      </c>
      <c r="BH25" s="11" t="n">
        <f aca="false">BH23*BH24</f>
        <v>17.0050447305771</v>
      </c>
      <c r="BI25" s="11" t="n">
        <f aca="false">BI23*BI24</f>
        <v>17.0373373770167</v>
      </c>
      <c r="BJ25" s="11" t="n">
        <f aca="false">BJ23*BJ24</f>
        <v>17.1204811714022</v>
      </c>
      <c r="BK25" s="11" t="n">
        <f aca="false">BK23*BK24</f>
        <v>11.2185902878697</v>
      </c>
      <c r="BL25" s="11" t="n">
        <f aca="false">BL23*BL24</f>
        <v>17.2185557216885</v>
      </c>
      <c r="BM25" s="11" t="n">
        <f aca="false">BM23*BM24</f>
        <v>17.265834414982</v>
      </c>
      <c r="BN25" s="11" t="n">
        <f aca="false">BN23*BN24</f>
        <v>7.92517305437207</v>
      </c>
    </row>
    <row r="26" customFormat="false" ht="15" hidden="false" customHeight="false" outlineLevel="0" collapsed="false">
      <c r="D26" s="0" t="s">
        <v>561</v>
      </c>
      <c r="E26" s="0" t="s">
        <v>149</v>
      </c>
      <c r="G26" s="11" t="n">
        <f aca="false">SUM(J26:BN26)</f>
        <v>16.875695284919</v>
      </c>
      <c r="J26" s="11" t="n">
        <f aca="false">IF(Time!J25&gt;0,Inputs!$F$176/100*Operations!J51*(J8+J9)/Time!J25,0)</f>
        <v>0</v>
      </c>
      <c r="K26" s="11" t="n">
        <f aca="false">IF(Time!K25&gt;0,Inputs!$F$176/100*Operations!K51*(K8+K9)/Time!K25,0)</f>
        <v>0</v>
      </c>
      <c r="L26" s="11" t="n">
        <f aca="false">IF(Time!L25&gt;0,Inputs!$F$176/100*Operations!L51*(L8+L9)/Time!L25,0)</f>
        <v>0</v>
      </c>
      <c r="M26" s="11" t="n">
        <f aca="false">IF(Time!M25&gt;0,Inputs!$F$176/100*Operations!M51*(M8+M9)/Time!M25,0)</f>
        <v>0</v>
      </c>
      <c r="N26" s="11" t="n">
        <f aca="false">IF(Time!N25&gt;0,Inputs!$F$176/100*Operations!N51*(N8+N9)/Time!N25,0)</f>
        <v>0</v>
      </c>
      <c r="O26" s="11" t="n">
        <f aca="false">IF(Time!O25&gt;0,Inputs!$F$176/100*Operations!O51*(O8+O9)/Time!O25,0)</f>
        <v>0</v>
      </c>
      <c r="P26" s="11" t="n">
        <f aca="false">IF(Time!P25&gt;0,Inputs!$F$176/100*Operations!P51*(P8+P9)/Time!P25,0)</f>
        <v>0</v>
      </c>
      <c r="Q26" s="11" t="n">
        <f aca="false">IF(Time!Q25&gt;0,Inputs!$F$176/100*Operations!Q51*(Q8+Q9)/Time!Q25,0)</f>
        <v>0</v>
      </c>
      <c r="R26" s="11" t="n">
        <f aca="false">IF(Time!R25&gt;0,Inputs!$F$176/100*Operations!R51*(R8+R9)/Time!R25,0)</f>
        <v>0</v>
      </c>
      <c r="S26" s="11" t="n">
        <f aca="false">IF(Time!S25&gt;0,Inputs!$F$176/100*Operations!S51*(S8+S9)/Time!S25,0)</f>
        <v>0</v>
      </c>
      <c r="T26" s="11" t="n">
        <f aca="false">IF(Time!T25&gt;0,Inputs!$F$176/100*Operations!T51*(T8+T9)/Time!T25,0)</f>
        <v>0</v>
      </c>
      <c r="U26" s="11" t="n">
        <f aca="false">IF(Time!U25&gt;0,Inputs!$F$176/100*Operations!U51*(U8+U9)/Time!U25,0)</f>
        <v>0</v>
      </c>
      <c r="V26" s="11" t="n">
        <f aca="false">IF(Time!V25&gt;0,Inputs!$F$176/100*Operations!V51*(V8+V9)/Time!V25,0)</f>
        <v>0</v>
      </c>
      <c r="W26" s="11" t="n">
        <f aca="false">IF(Time!W25&gt;0,Inputs!$F$176/100*Operations!W51*(W8+W9)/Time!W25,0)</f>
        <v>0</v>
      </c>
      <c r="X26" s="11" t="n">
        <f aca="false">IF(Time!X25&gt;0,Inputs!$F$176/100*Operations!X51*(X8+X9)/Time!X25,0)</f>
        <v>0</v>
      </c>
      <c r="Y26" s="11" t="n">
        <f aca="false">IF(Time!Y25&gt;0,Inputs!$F$176/100*Operations!Y51*(Y8+Y9)/Time!Y25,0)</f>
        <v>0</v>
      </c>
      <c r="Z26" s="11" t="n">
        <f aca="false">IF(Time!Z25&gt;0,Inputs!$F$176/100*Operations!Z51*(Z8+Z9)/Time!Z25,0)</f>
        <v>0.0625875665575088</v>
      </c>
      <c r="AA26" s="11" t="n">
        <f aca="false">IF(Time!AA25&gt;0,Inputs!$F$176/100*Operations!AA51*(AA8+AA9)/Time!AA25,0)</f>
        <v>0.377592204642685</v>
      </c>
      <c r="AB26" s="11" t="n">
        <f aca="false">IF(Time!AB25&gt;0,Inputs!$F$176/100*Operations!AB51*(AB8+AB9)/Time!AB25,0)</f>
        <v>0.379914508780302</v>
      </c>
      <c r="AC26" s="11" t="n">
        <f aca="false">IF(Time!AC25&gt;0,Inputs!$F$176/100*Operations!AC51*(AC8+AC9)/Time!AC25,0)</f>
        <v>0.382535181074324</v>
      </c>
      <c r="AD26" s="11" t="n">
        <f aca="false">IF(Time!AD25&gt;0,Inputs!$F$176/100*Operations!AD51*(AD8+AD9)/Time!AD25,0)</f>
        <v>0.384208229074236</v>
      </c>
      <c r="AE26" s="11" t="n">
        <f aca="false">IF(Time!AE25&gt;0,Inputs!$F$176/100*Operations!AE51*(AE8+AE9)/Time!AE25,0)</f>
        <v>0.379065950384095</v>
      </c>
      <c r="AF26" s="11" t="n">
        <f aca="false">IF(Time!AF25&gt;0,Inputs!$F$176/100*Operations!AF51*(AF8+AF9)/Time!AF25,0)</f>
        <v>0.384754442083169</v>
      </c>
      <c r="AG26" s="11" t="n">
        <f aca="false">IF(Time!AG25&gt;0,Inputs!$F$176/100*Operations!AG51*(AG8+AG9)/Time!AG25,0)</f>
        <v>0.390944915984741</v>
      </c>
      <c r="AH26" s="11" t="n">
        <f aca="false">IF(Time!AH25&gt;0,Inputs!$F$176/100*Operations!AH51*(AH8+AH9)/Time!AH25,0)</f>
        <v>0.392994480599946</v>
      </c>
      <c r="AI26" s="11" t="n">
        <f aca="false">IF(Time!AI25&gt;0,Inputs!$F$176/100*Operations!AI51*(AI8+AI9)/Time!AI25,0)</f>
        <v>0.394716568877903</v>
      </c>
      <c r="AJ26" s="11" t="n">
        <f aca="false">IF(Time!AJ25&gt;0,Inputs!$F$176/100*Operations!AJ51*(AJ8+AJ9)/Time!AJ25,0)</f>
        <v>0.396983522080416</v>
      </c>
      <c r="AK26" s="11" t="n">
        <f aca="false">IF(Time!AK25&gt;0,Inputs!$F$176/100*Operations!AK51*(AK8+AK9)/Time!AK25,0)</f>
        <v>0.399633877814463</v>
      </c>
      <c r="AL26" s="11" t="n">
        <f aca="false">IF(Time!AL25&gt;0,Inputs!$F$176/100*Operations!AL51*(AL8+AL9)/Time!AL25,0)</f>
        <v>0.401546567432522</v>
      </c>
      <c r="AM26" s="11" t="n">
        <f aca="false">IF(Time!AM25&gt;0,Inputs!$F$176/100*Operations!AM51*(AM8+AM9)/Time!AM25,0)</f>
        <v>0.402180611883386</v>
      </c>
      <c r="AN26" s="11" t="n">
        <f aca="false">IF(Time!AN25&gt;0,Inputs!$F$176/100*Operations!AN51*(AN8+AN9)/Time!AN25,0)</f>
        <v>0.404771395990425</v>
      </c>
      <c r="AO26" s="11" t="n">
        <f aca="false">IF(Time!AO25&gt;0,Inputs!$F$176/100*Operations!AO51*(AO8+AO9)/Time!AO25,0)</f>
        <v>0.408719213366684</v>
      </c>
      <c r="AP26" s="11" t="n">
        <f aca="false">IF(Time!AP25&gt;0,Inputs!$F$176/100*Operations!AP51*(AP8+AP9)/Time!AP25,0)</f>
        <v>0.410960448183235</v>
      </c>
      <c r="AQ26" s="11" t="n">
        <f aca="false">IF(Time!AQ25&gt;0,Inputs!$F$176/100*Operations!AQ51*(AQ8+AQ9)/Time!AQ25,0)</f>
        <v>0.4128453198862</v>
      </c>
      <c r="AR26" s="11" t="n">
        <f aca="false">IF(Time!AR25&gt;0,Inputs!$F$176/100*Operations!AR51*(AR8+AR9)/Time!AR25,0)</f>
        <v>0.415323424984917</v>
      </c>
      <c r="AS26" s="11" t="n">
        <f aca="false">IF(Time!AS25&gt;0,Inputs!$F$176/100*Operations!AS51*(AS8+AS9)/Time!AS25,0)</f>
        <v>0.41821899723812</v>
      </c>
      <c r="AT26" s="11" t="n">
        <f aca="false">IF(Time!AT25&gt;0,Inputs!$F$176/100*Operations!AT51*(AT8+AT9)/Time!AT25,0)</f>
        <v>0.420104365931443</v>
      </c>
      <c r="AU26" s="11" t="n">
        <f aca="false">IF(Time!AU25&gt;0,Inputs!$F$176/100*Operations!AU51*(AU8+AU9)/Time!AU25,0)</f>
        <v>0.414540081042854</v>
      </c>
      <c r="AV26" s="11" t="n">
        <f aca="false">IF(Time!AV25&gt;0,Inputs!$F$176/100*Operations!AV51*(AV8+AV9)/Time!AV25,0)</f>
        <v>0.420970384347254</v>
      </c>
      <c r="AW26" s="11" t="n">
        <f aca="false">IF(Time!AW25&gt;0,Inputs!$F$176/100*Operations!AW51*(AW8+AW9)/Time!AW25,0)</f>
        <v>0.428152127882871</v>
      </c>
      <c r="AX26" s="11" t="n">
        <f aca="false">IF(Time!AX25&gt;0,Inputs!$F$176/100*Operations!AX51*(AX8+AX9)/Time!AX25,0)</f>
        <v>0.430602951461669</v>
      </c>
      <c r="AY26" s="11" t="n">
        <f aca="false">IF(Time!AY25&gt;0,Inputs!$F$176/100*Operations!AY51*(AY8+AY9)/Time!AY25,0)</f>
        <v>0.4326659931447</v>
      </c>
      <c r="AZ26" s="11" t="n">
        <f aca="false">IF(Time!AZ25&gt;0,Inputs!$F$176/100*Operations!AZ51*(AZ8+AZ9)/Time!AZ25,0)</f>
        <v>0.435374907757944</v>
      </c>
      <c r="BA26" s="11" t="n">
        <f aca="false">IF(Time!BA25&gt;0,Inputs!$F$176/100*Operations!BA51*(BA8+BA9)/Time!BA25,0)</f>
        <v>0.438538365148385</v>
      </c>
      <c r="BB26" s="11" t="n">
        <f aca="false">IF(Time!BB25&gt;0,Inputs!$F$176/100*Operations!BB51*(BB8+BB9)/Time!BB25,0)</f>
        <v>0.440828022772127</v>
      </c>
      <c r="BC26" s="11" t="n">
        <f aca="false">IF(Time!BC25&gt;0,Inputs!$F$176/100*Operations!BC51*(BC8+BC9)/Time!BC25,0)</f>
        <v>0.441602919037224</v>
      </c>
      <c r="BD26" s="11" t="n">
        <f aca="false">IF(Time!BD25&gt;0,Inputs!$F$176/100*Operations!BD51*(BD8+BD9)/Time!BD25,0)</f>
        <v>0.444696575514811</v>
      </c>
      <c r="BE26" s="11" t="n">
        <f aca="false">IF(Time!BE25&gt;0,Inputs!$F$176/100*Operations!BE51*(BE8+BE9)/Time!BE25,0)</f>
        <v>0.449398369520835</v>
      </c>
      <c r="BF26" s="11" t="n">
        <f aca="false">IF(Time!BF25&gt;0,Inputs!$F$176/100*Operations!BF51*(BF8+BF9)/Time!BF25,0)</f>
        <v>0.452078374986902</v>
      </c>
      <c r="BG26" s="11" t="n">
        <f aca="false">IF(Time!BG25&gt;0,Inputs!$F$176/100*Operations!BG51*(BG8+BG9)/Time!BG25,0)</f>
        <v>0.454336427487293</v>
      </c>
      <c r="BH26" s="11" t="n">
        <f aca="false">IF(Time!BH25&gt;0,Inputs!$F$176/100*Operations!BH51*(BH8+BH9)/Time!BH25,0)</f>
        <v>0.457297638345345</v>
      </c>
      <c r="BI26" s="11" t="n">
        <f aca="false">IF(Time!BI25&gt;0,Inputs!$F$176/100*Operations!BI51*(BI8+BI9)/Time!BI25,0)</f>
        <v>0.460753743157713</v>
      </c>
      <c r="BJ26" s="11" t="n">
        <f aca="false">IF(Time!BJ25&gt;0,Inputs!$F$176/100*Operations!BJ51*(BJ8+BJ9)/Time!BJ25,0)</f>
        <v>0.463013239555069</v>
      </c>
      <c r="BK26" s="11" t="n">
        <f aca="false">IF(Time!BK25&gt;0,Inputs!$F$176/100*Operations!BK51*(BK8+BK9)/Time!BK25,0)</f>
        <v>0.456947940263315</v>
      </c>
      <c r="BL26" s="11" t="n">
        <f aca="false">IF(Time!BL25&gt;0,Inputs!$F$176/100*Operations!BL51*(BL8+BL9)/Time!BL25,0)</f>
        <v>0.46426501769982</v>
      </c>
      <c r="BM26" s="11" t="n">
        <f aca="false">IF(Time!BM25&gt;0,Inputs!$F$176/100*Operations!BM51*(BM8+BM9)/Time!BM25,0)</f>
        <v>0.472627072789008</v>
      </c>
      <c r="BN26" s="11" t="n">
        <f aca="false">IF(Time!BN25&gt;0,Inputs!$F$176/100*Operations!BN51*(BN8+BN9)/Time!BN25,0)</f>
        <v>0.396403340153168</v>
      </c>
    </row>
    <row r="27" customFormat="false" ht="15" hidden="false" customHeight="false" outlineLevel="0" collapsed="false">
      <c r="D27" s="0" t="s">
        <v>562</v>
      </c>
      <c r="E27" s="0" t="s">
        <v>149</v>
      </c>
      <c r="G27" s="11" t="n">
        <f aca="false">SUM(J27:BN27)</f>
        <v>330.702886336523</v>
      </c>
      <c r="J27" s="11" t="n">
        <f aca="false">MAX(J25,J26)</f>
        <v>0</v>
      </c>
      <c r="K27" s="11" t="n">
        <f aca="false">MAX(K25,K26)</f>
        <v>0</v>
      </c>
      <c r="L27" s="11" t="n">
        <f aca="false">MAX(L25,L26)</f>
        <v>0</v>
      </c>
      <c r="M27" s="11" t="n">
        <f aca="false">MAX(M25,M26)</f>
        <v>0</v>
      </c>
      <c r="N27" s="11" t="n">
        <f aca="false">MAX(N25,N26)</f>
        <v>0</v>
      </c>
      <c r="O27" s="11" t="n">
        <f aca="false">MAX(O25,O26)</f>
        <v>0</v>
      </c>
      <c r="P27" s="11" t="n">
        <f aca="false">MAX(P25,P26)</f>
        <v>0</v>
      </c>
      <c r="Q27" s="11" t="n">
        <f aca="false">MAX(Q25,Q26)</f>
        <v>0</v>
      </c>
      <c r="R27" s="11" t="n">
        <f aca="false">MAX(R25,R26)</f>
        <v>0</v>
      </c>
      <c r="S27" s="11" t="n">
        <f aca="false">MAX(S25,S26)</f>
        <v>0</v>
      </c>
      <c r="T27" s="11" t="n">
        <f aca="false">MAX(T25,T26)</f>
        <v>0</v>
      </c>
      <c r="U27" s="11" t="n">
        <f aca="false">MAX(U25,U26)</f>
        <v>0</v>
      </c>
      <c r="V27" s="11" t="n">
        <f aca="false">MAX(V25,V26)</f>
        <v>0</v>
      </c>
      <c r="W27" s="11" t="n">
        <f aca="false">MAX(W25,W26)</f>
        <v>0</v>
      </c>
      <c r="X27" s="11" t="n">
        <f aca="false">MAX(X25,X26)</f>
        <v>0</v>
      </c>
      <c r="Y27" s="11" t="n">
        <f aca="false">MAX(Y25,Y26)</f>
        <v>0</v>
      </c>
      <c r="Z27" s="11" t="n">
        <f aca="false">MAX(Z25,Z26)</f>
        <v>0.0625875665575088</v>
      </c>
      <c r="AA27" s="11" t="n">
        <f aca="false">MAX(AA25,AA26)</f>
        <v>0.377592204642685</v>
      </c>
      <c r="AB27" s="11" t="n">
        <f aca="false">MAX(AB25,AB26)</f>
        <v>0.379914508780302</v>
      </c>
      <c r="AC27" s="11" t="n">
        <f aca="false">MAX(AC25,AC26)</f>
        <v>0.382535181074324</v>
      </c>
      <c r="AD27" s="11" t="n">
        <f aca="false">MAX(AD25,AD26)</f>
        <v>0.384208229074236</v>
      </c>
      <c r="AE27" s="11" t="n">
        <f aca="false">MAX(AE25,AE26)</f>
        <v>0.379065950384095</v>
      </c>
      <c r="AF27" s="11" t="n">
        <f aca="false">MAX(AF25,AF26)</f>
        <v>0.384754442083169</v>
      </c>
      <c r="AG27" s="11" t="n">
        <f aca="false">MAX(AG25,AG26)</f>
        <v>0.390944915984741</v>
      </c>
      <c r="AH27" s="11" t="n">
        <f aca="false">MAX(AH25,AH26)</f>
        <v>0.392994480599946</v>
      </c>
      <c r="AI27" s="11" t="n">
        <f aca="false">MAX(AI25,AI26)</f>
        <v>0.394716568877903</v>
      </c>
      <c r="AJ27" s="11" t="n">
        <f aca="false">MAX(AJ25,AJ26)</f>
        <v>0.396983522080416</v>
      </c>
      <c r="AK27" s="11" t="n">
        <f aca="false">MAX(AK25,AK26)</f>
        <v>0.399633877814463</v>
      </c>
      <c r="AL27" s="11" t="n">
        <f aca="false">MAX(AL25,AL26)</f>
        <v>0.401546567432522</v>
      </c>
      <c r="AM27" s="11" t="n">
        <f aca="false">MAX(AM25,AM26)</f>
        <v>1.81093090050058</v>
      </c>
      <c r="AN27" s="11" t="n">
        <f aca="false">MAX(AN25,AN26)</f>
        <v>8.37008344492369</v>
      </c>
      <c r="AO27" s="11" t="n">
        <f aca="false">MAX(AO25,AO26)</f>
        <v>8.5591176524252</v>
      </c>
      <c r="AP27" s="11" t="n">
        <f aca="false">MAX(AP25,AP26)</f>
        <v>8.79343301429748</v>
      </c>
      <c r="AQ27" s="11" t="n">
        <f aca="false">MAX(AQ25,AQ26)</f>
        <v>9.1151704123477</v>
      </c>
      <c r="AR27" s="11" t="n">
        <f aca="false">MAX(AR25,AR26)</f>
        <v>9.42595064029018</v>
      </c>
      <c r="AS27" s="11" t="n">
        <f aca="false">MAX(AS25,AS26)</f>
        <v>9.7344596488386</v>
      </c>
      <c r="AT27" s="11" t="n">
        <f aca="false">MAX(AT25,AT26)</f>
        <v>10.0897541011806</v>
      </c>
      <c r="AU27" s="11" t="n">
        <f aca="false">MAX(AU25,AU26)</f>
        <v>5.43863479540108</v>
      </c>
      <c r="AV27" s="11" t="n">
        <f aca="false">MAX(AV25,AV26)</f>
        <v>10.8233381024316</v>
      </c>
      <c r="AW27" s="11" t="n">
        <f aca="false">MAX(AW25,AW26)</f>
        <v>10.8772028429783</v>
      </c>
      <c r="AX27" s="11" t="n">
        <f aca="false">MAX(AX25,AX26)</f>
        <v>10.9321658948932</v>
      </c>
      <c r="AY27" s="11" t="n">
        <f aca="false">MAX(AY25,AY26)</f>
        <v>10.9993035968129</v>
      </c>
      <c r="AZ27" s="11" t="n">
        <f aca="false">MAX(AZ25,AZ26)</f>
        <v>11.0482189447747</v>
      </c>
      <c r="BA27" s="11" t="n">
        <f aca="false">MAX(BA25,BA26)</f>
        <v>11.078583938841</v>
      </c>
      <c r="BB27" s="11" t="n">
        <f aca="false">MAX(BB25,BB26)</f>
        <v>11.146032976702</v>
      </c>
      <c r="BC27" s="11" t="n">
        <f aca="false">MAX(BC25,BC26)</f>
        <v>10.0636106547517</v>
      </c>
      <c r="BD27" s="11" t="n">
        <f aca="false">MAX(BD25,BD26)</f>
        <v>12.2300575179705</v>
      </c>
      <c r="BE27" s="11" t="n">
        <f aca="false">MAX(BE25,BE26)</f>
        <v>16.8182674829115</v>
      </c>
      <c r="BF27" s="11" t="n">
        <f aca="false">MAX(BF25,BF26)</f>
        <v>16.8784034460211</v>
      </c>
      <c r="BG27" s="11" t="n">
        <f aca="false">MAX(BG25,BG26)</f>
        <v>16.9516715539345</v>
      </c>
      <c r="BH27" s="11" t="n">
        <f aca="false">MAX(BH25,BH26)</f>
        <v>17.0050447305771</v>
      </c>
      <c r="BI27" s="11" t="n">
        <f aca="false">MAX(BI25,BI26)</f>
        <v>17.0373373770167</v>
      </c>
      <c r="BJ27" s="11" t="n">
        <f aca="false">MAX(BJ25,BJ26)</f>
        <v>17.1204811714022</v>
      </c>
      <c r="BK27" s="11" t="n">
        <f aca="false">MAX(BK25,BK26)</f>
        <v>11.2185902878697</v>
      </c>
      <c r="BL27" s="11" t="n">
        <f aca="false">MAX(BL25,BL26)</f>
        <v>17.2185557216885</v>
      </c>
      <c r="BM27" s="11" t="n">
        <f aca="false">MAX(BM25,BM26)</f>
        <v>17.265834414982</v>
      </c>
      <c r="BN27" s="11" t="n">
        <f aca="false">MAX(BN25,BN26)</f>
        <v>7.92517305437207</v>
      </c>
    </row>
    <row r="28" customFormat="false" ht="15" hidden="false" customHeight="false" outlineLevel="0" collapsed="false">
      <c r="D28" s="0" t="s">
        <v>563</v>
      </c>
      <c r="E28" s="0" t="s">
        <v>149</v>
      </c>
      <c r="G28" s="11" t="n">
        <f aca="false">SUM(J28:BN28)</f>
        <v>7.34687674467221</v>
      </c>
      <c r="J28" s="11" t="n">
        <f aca="false">J13-J15</f>
        <v>0</v>
      </c>
      <c r="K28" s="11" t="n">
        <f aca="false">K13-K15</f>
        <v>0</v>
      </c>
      <c r="L28" s="11" t="n">
        <f aca="false">L13-L15</f>
        <v>0</v>
      </c>
      <c r="M28" s="11" t="n">
        <f aca="false">M13-M15</f>
        <v>0</v>
      </c>
      <c r="N28" s="11" t="n">
        <f aca="false">N13-N15</f>
        <v>0</v>
      </c>
      <c r="O28" s="11" t="n">
        <f aca="false">O13-O15</f>
        <v>0</v>
      </c>
      <c r="P28" s="11" t="n">
        <f aca="false">P13-P15</f>
        <v>0.594554399712544</v>
      </c>
      <c r="Q28" s="11" t="n">
        <f aca="false">Q13-Q15</f>
        <v>2.88046757596669</v>
      </c>
      <c r="R28" s="11" t="n">
        <f aca="false">R13-R15</f>
        <v>1.20415718698146</v>
      </c>
      <c r="S28" s="11" t="n">
        <f aca="false">S13-S15</f>
        <v>0.709718648945916</v>
      </c>
      <c r="T28" s="11" t="n">
        <f aca="false">T13-T15</f>
        <v>0.741333786546832</v>
      </c>
      <c r="U28" s="11" t="n">
        <f aca="false">U13-U15</f>
        <v>0.824156843890654</v>
      </c>
      <c r="V28" s="11" t="n">
        <f aca="false">V13-V15</f>
        <v>0.392488302628122</v>
      </c>
      <c r="W28" s="11" t="n">
        <f aca="false">W13-W15</f>
        <v>0</v>
      </c>
      <c r="X28" s="11" t="n">
        <f aca="false">X13-X15</f>
        <v>0</v>
      </c>
      <c r="Y28" s="11" t="n">
        <f aca="false">Y13-Y15</f>
        <v>0</v>
      </c>
      <c r="Z28" s="11" t="n">
        <f aca="false">Z13-Z15</f>
        <v>0</v>
      </c>
      <c r="AA28" s="11" t="n">
        <f aca="false">AA13-AA15</f>
        <v>0</v>
      </c>
      <c r="AB28" s="11" t="n">
        <f aca="false">AB13-AB15</f>
        <v>0</v>
      </c>
      <c r="AC28" s="11" t="n">
        <f aca="false">AC13-AC15</f>
        <v>0</v>
      </c>
      <c r="AD28" s="11" t="n">
        <f aca="false">AD13-AD15</f>
        <v>0</v>
      </c>
      <c r="AE28" s="11" t="n">
        <f aca="false">AE13-AE15</f>
        <v>0</v>
      </c>
      <c r="AF28" s="11" t="n">
        <f aca="false">AF13-AF15</f>
        <v>0</v>
      </c>
      <c r="AG28" s="11" t="n">
        <f aca="false">AG13-AG15</f>
        <v>0</v>
      </c>
      <c r="AH28" s="11" t="n">
        <f aca="false">AH13-AH15</f>
        <v>0</v>
      </c>
      <c r="AI28" s="11" t="n">
        <f aca="false">AI13-AI15</f>
        <v>0</v>
      </c>
      <c r="AJ28" s="11" t="n">
        <f aca="false">AJ13-AJ15</f>
        <v>0</v>
      </c>
      <c r="AK28" s="11" t="n">
        <f aca="false">AK13-AK15</f>
        <v>0</v>
      </c>
      <c r="AL28" s="11" t="n">
        <f aca="false">AL13-AL15</f>
        <v>0</v>
      </c>
      <c r="AM28" s="11" t="n">
        <f aca="false">AM13-AM15</f>
        <v>0</v>
      </c>
      <c r="AN28" s="11" t="n">
        <f aca="false">AN13-AN15</f>
        <v>0</v>
      </c>
      <c r="AO28" s="11" t="n">
        <f aca="false">AO13-AO15</f>
        <v>0</v>
      </c>
      <c r="AP28" s="11" t="n">
        <f aca="false">AP13-AP15</f>
        <v>0</v>
      </c>
      <c r="AQ28" s="11" t="n">
        <f aca="false">AQ13-AQ15</f>
        <v>0</v>
      </c>
      <c r="AR28" s="11" t="n">
        <f aca="false">AR13-AR15</f>
        <v>0</v>
      </c>
      <c r="AS28" s="11" t="n">
        <f aca="false">AS13-AS15</f>
        <v>0</v>
      </c>
      <c r="AT28" s="11" t="n">
        <f aca="false">AT13-AT15</f>
        <v>0</v>
      </c>
      <c r="AU28" s="11" t="n">
        <f aca="false">AU13-AU15</f>
        <v>0</v>
      </c>
      <c r="AV28" s="11" t="n">
        <f aca="false">AV13-AV15</f>
        <v>0</v>
      </c>
      <c r="AW28" s="11" t="n">
        <f aca="false">AW13-AW15</f>
        <v>0</v>
      </c>
      <c r="AX28" s="11" t="n">
        <f aca="false">AX13-AX15</f>
        <v>0</v>
      </c>
      <c r="AY28" s="11" t="n">
        <f aca="false">AY13-AY15</f>
        <v>0</v>
      </c>
      <c r="AZ28" s="11" t="n">
        <f aca="false">AZ13-AZ15</f>
        <v>0</v>
      </c>
      <c r="BA28" s="11" t="n">
        <f aca="false">BA13-BA15</f>
        <v>0</v>
      </c>
      <c r="BB28" s="11" t="n">
        <f aca="false">BB13-BB15</f>
        <v>0</v>
      </c>
      <c r="BC28" s="11" t="n">
        <f aca="false">BC13-BC15</f>
        <v>0</v>
      </c>
      <c r="BD28" s="11" t="n">
        <f aca="false">BD13-BD15</f>
        <v>0</v>
      </c>
      <c r="BE28" s="11" t="n">
        <f aca="false">BE13-BE15</f>
        <v>0</v>
      </c>
      <c r="BF28" s="11" t="n">
        <f aca="false">BF13-BF15</f>
        <v>0</v>
      </c>
      <c r="BG28" s="11" t="n">
        <f aca="false">BG13-BG15</f>
        <v>0</v>
      </c>
      <c r="BH28" s="11" t="n">
        <f aca="false">BH13-BH15</f>
        <v>0</v>
      </c>
      <c r="BI28" s="11" t="n">
        <f aca="false">BI13-BI15</f>
        <v>0</v>
      </c>
      <c r="BJ28" s="11" t="n">
        <f aca="false">BJ13-BJ15</f>
        <v>0</v>
      </c>
      <c r="BK28" s="11" t="n">
        <f aca="false">BK13-BK15</f>
        <v>0</v>
      </c>
      <c r="BL28" s="11" t="n">
        <f aca="false">BL13-BL15</f>
        <v>0</v>
      </c>
      <c r="BM28" s="11" t="n">
        <f aca="false">BM13-BM15</f>
        <v>0</v>
      </c>
      <c r="BN28" s="11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376</v>
      </c>
      <c r="J5" s="3" t="s">
        <v>377</v>
      </c>
      <c r="K5" s="3" t="s">
        <v>378</v>
      </c>
      <c r="L5" s="3" t="s">
        <v>379</v>
      </c>
      <c r="M5" s="3" t="s">
        <v>380</v>
      </c>
      <c r="N5" s="3" t="s">
        <v>381</v>
      </c>
      <c r="O5" s="3" t="s">
        <v>382</v>
      </c>
      <c r="P5" s="3" t="s">
        <v>383</v>
      </c>
      <c r="Q5" s="3" t="s">
        <v>384</v>
      </c>
      <c r="R5" s="3" t="s">
        <v>385</v>
      </c>
      <c r="S5" s="3" t="s">
        <v>386</v>
      </c>
      <c r="T5" s="3" t="s">
        <v>387</v>
      </c>
      <c r="U5" s="3" t="s">
        <v>388</v>
      </c>
      <c r="V5" s="3" t="s">
        <v>389</v>
      </c>
      <c r="W5" s="3" t="s">
        <v>390</v>
      </c>
      <c r="X5" s="3" t="s">
        <v>391</v>
      </c>
      <c r="Y5" s="3" t="s">
        <v>392</v>
      </c>
      <c r="Z5" s="3" t="s">
        <v>393</v>
      </c>
      <c r="AA5" s="3" t="s">
        <v>394</v>
      </c>
      <c r="AB5" s="3" t="s">
        <v>395</v>
      </c>
      <c r="AC5" s="3" t="s">
        <v>396</v>
      </c>
      <c r="AD5" s="3" t="s">
        <v>397</v>
      </c>
      <c r="AE5" s="3" t="s">
        <v>398</v>
      </c>
      <c r="AF5" s="3" t="s">
        <v>399</v>
      </c>
      <c r="AG5" s="3" t="s">
        <v>400</v>
      </c>
      <c r="AH5" s="3" t="s">
        <v>401</v>
      </c>
      <c r="AI5" s="3" t="s">
        <v>402</v>
      </c>
      <c r="AJ5" s="3" t="s">
        <v>403</v>
      </c>
      <c r="AK5" s="3" t="s">
        <v>404</v>
      </c>
      <c r="AL5" s="3" t="s">
        <v>405</v>
      </c>
      <c r="AM5" s="3" t="s">
        <v>406</v>
      </c>
      <c r="AN5" s="3" t="s">
        <v>407</v>
      </c>
      <c r="AO5" s="3" t="s">
        <v>408</v>
      </c>
      <c r="AP5" s="3" t="s">
        <v>409</v>
      </c>
      <c r="AQ5" s="3" t="s">
        <v>410</v>
      </c>
      <c r="AR5" s="3" t="s">
        <v>411</v>
      </c>
      <c r="AS5" s="3" t="s">
        <v>412</v>
      </c>
      <c r="AT5" s="3" t="s">
        <v>413</v>
      </c>
      <c r="AU5" s="3" t="s">
        <v>414</v>
      </c>
      <c r="AV5" s="3" t="s">
        <v>415</v>
      </c>
      <c r="AW5" s="3" t="s">
        <v>416</v>
      </c>
      <c r="AX5" s="3" t="s">
        <v>417</v>
      </c>
      <c r="AY5" s="3" t="s">
        <v>418</v>
      </c>
      <c r="AZ5" s="3" t="s">
        <v>419</v>
      </c>
      <c r="BA5" s="3" t="s">
        <v>420</v>
      </c>
      <c r="BB5" s="3" t="s">
        <v>421</v>
      </c>
      <c r="BC5" s="3" t="s">
        <v>422</v>
      </c>
      <c r="BD5" s="3" t="s">
        <v>423</v>
      </c>
      <c r="BE5" s="3" t="s">
        <v>424</v>
      </c>
      <c r="BF5" s="3" t="s">
        <v>425</v>
      </c>
      <c r="BG5" s="3" t="s">
        <v>426</v>
      </c>
      <c r="BH5" s="3" t="s">
        <v>427</v>
      </c>
      <c r="BI5" s="3" t="s">
        <v>428</v>
      </c>
      <c r="BJ5" s="3" t="s">
        <v>429</v>
      </c>
    </row>
    <row r="7" customFormat="false" ht="15" hidden="false" customHeight="false" outlineLevel="0" collapsed="false">
      <c r="B7" s="2" t="s">
        <v>565</v>
      </c>
    </row>
    <row r="8" customFormat="false" ht="15" hidden="false" customHeight="false" outlineLevel="0" collapsed="false">
      <c r="D8" s="0" t="s">
        <v>566</v>
      </c>
      <c r="E8" s="0" t="s">
        <v>109</v>
      </c>
      <c r="F8" s="10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567</v>
      </c>
      <c r="E9" s="0" t="s">
        <v>109</v>
      </c>
      <c r="F9" s="10" t="n">
        <f aca="false">IF(Inputs!$F$51=2,Funding!$F$8,Inputs!$F$105)</f>
        <v>0.75</v>
      </c>
    </row>
    <row r="10" customFormat="false" ht="15" hidden="false" customHeight="false" outlineLevel="0" collapsed="false">
      <c r="D10" s="0" t="s">
        <v>568</v>
      </c>
      <c r="E10" s="0" t="s">
        <v>99</v>
      </c>
      <c r="F10" s="10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569</v>
      </c>
      <c r="E11" s="0" t="s">
        <v>109</v>
      </c>
      <c r="F11" s="10" t="n">
        <f aca="false">INDEX(Debt!$J$17:$BN$17,1,Time!$F$12)/INDEX(Debt!$J$18:$BN$18,1,Time!$F$12)</f>
        <v>0.0254815794663755</v>
      </c>
    </row>
    <row r="12" customFormat="false" ht="15" hidden="false" customHeight="false" outlineLevel="0" collapsed="false">
      <c r="D12" s="0" t="s">
        <v>570</v>
      </c>
      <c r="E12" s="0" t="s">
        <v>99</v>
      </c>
      <c r="F12" s="10" t="n">
        <f aca="false">$F$11+(INDEX(Operations!$J$9:$BN$9,1,Time!$F$12)+Inputs!$F$79)/100*INDEX(Time!$J$20:$BN$20,1,Time!$F$12)/360*1</f>
        <v>0.03397852391082</v>
      </c>
    </row>
    <row r="13" customFormat="false" ht="15" hidden="false" customHeight="false" outlineLevel="0" collapsed="false">
      <c r="D13" s="0" t="s">
        <v>571</v>
      </c>
      <c r="E13" s="0" t="s">
        <v>99</v>
      </c>
      <c r="F13" s="10" t="n">
        <f aca="false">$F$11+(INDEX(Operations!$J$9:$BN$9,1,Time!$F$12)+Inputs!$F$80)/100*INDEX(Time!$J$20:$BN$20,1,Time!$F$12)/360*1</f>
        <v>0.0455424127997088</v>
      </c>
    </row>
    <row r="14" customFormat="false" ht="15" hidden="false" customHeight="false" outlineLevel="0" collapsed="false">
      <c r="D14" s="0" t="s">
        <v>572</v>
      </c>
      <c r="E14" s="0" t="s">
        <v>99</v>
      </c>
      <c r="F14" s="10" t="n">
        <f aca="false">$F$11+(INDEX(Operations!$J$9:$BN$9,1,Time!$F$12)+Inputs!$F$81)/100*INDEX(Time!$J$20:$BN$20,1,Time!$F$12)/360*1</f>
        <v>0.0442854683552644</v>
      </c>
    </row>
    <row r="15" customFormat="false" ht="15" hidden="false" customHeight="false" outlineLevel="0" collapsed="false">
      <c r="D15" s="0" t="s">
        <v>573</v>
      </c>
      <c r="E15" s="0" t="s">
        <v>99</v>
      </c>
      <c r="F15" s="10" t="n">
        <f aca="false">$F$11+(INDEX(Operations!$J$9:$BN$9,1,Time!$F$12)+INDEX(Debt!$J$8:$BN$8,1,Time!$F$12))/100*INDEX(Time!$J$20:$BN$20,1,Time!$F$12)/360*(1/(1-Inputs!$F$93/100))+(Inputs!$F$95/100*Inputs!$F$96/100)*INDEX(Time!$J$20:$BN$20,1,Time!$F$12)/365</f>
        <v>0.0554177489235039</v>
      </c>
    </row>
    <row r="16" customFormat="false" ht="15" hidden="false" customHeight="false" outlineLevel="0" collapsed="false">
      <c r="D16" s="0" t="s">
        <v>574</v>
      </c>
      <c r="E16" s="0" t="s">
        <v>99</v>
      </c>
      <c r="F16" s="10" t="n">
        <f aca="false">$F$11+INDEX(Debt!$J$14:$BN$14,1,Time!$F$12)</f>
        <v>0.0497288757626718</v>
      </c>
    </row>
    <row r="17" customFormat="false" ht="15" hidden="false" customHeight="false" outlineLevel="0" collapsed="false">
      <c r="D17" s="0" t="s">
        <v>575</v>
      </c>
      <c r="E17" s="0" t="s">
        <v>149</v>
      </c>
      <c r="F17" s="10" t="n">
        <f aca="false">INDEX(Inputs!$J$225:$BN$225,1,Time!$F$12)*(Inputs!$F$97/100*0.5-INDEX(Operations!$J$9:$BN$9,1,Time!$F$12)/100*INDEX(Time!$J$20:$BN$20,1,Time!$F$12)/360)</f>
        <v>6.43739899493968</v>
      </c>
    </row>
    <row r="18" customFormat="false" ht="15" hidden="false" customHeight="false" outlineLevel="0" collapsed="false">
      <c r="B18" s="2" t="s">
        <v>576</v>
      </c>
    </row>
    <row r="19" customFormat="false" ht="15" hidden="false" customHeight="false" outlineLevel="0" collapsed="false">
      <c r="D19" s="0" t="s">
        <v>577</v>
      </c>
      <c r="E19" s="0" t="s">
        <v>99</v>
      </c>
      <c r="J19" s="14" t="n">
        <f aca="false">Inputs!$F$75*(Construction!J17+Inputs!$F$79)/100*Construction!J11/360*1+Inputs!$F$76*(Construction!J17+Inputs!$F$80)/100*Construction!J11/360*1+Inputs!$F$77*(Construction!J17+Inputs!$F$81)/100*Construction!J11/360*1+Inputs!$F$78*(Construction!J17+Inputs!$F$82)/100*Construction!J11/360*(1/(1-Inputs!$F$93/100))+Inputs!$F$78*(Inputs!$F$95/100*Inputs!$F$96/100)*Construction!J11/365</f>
        <v>0.00541933685100626</v>
      </c>
      <c r="K19" s="14" t="n">
        <f aca="false">Inputs!$F$75*(Construction!K17+Inputs!$F$79)/100*Construction!K11/360*1+Inputs!$F$76*(Construction!K17+Inputs!$F$80)/100*Construction!K11/360*1+Inputs!$F$77*(Construction!K17+Inputs!$F$81)/100*Construction!K11/360*1+Inputs!$F$78*(Construction!K17+Inputs!$F$82)/100*Construction!K11/360*(1/(1-Inputs!$F$93/100))+Inputs!$F$78*(Inputs!$F$95/100*Inputs!$F$96/100)*Construction!K11/365</f>
        <v>0.00524451953323186</v>
      </c>
      <c r="L19" s="14" t="n">
        <f aca="false">Inputs!$F$75*(Construction!L17+Inputs!$F$79)/100*Construction!L11/360*1+Inputs!$F$76*(Construction!L17+Inputs!$F$80)/100*Construction!L11/360*1+Inputs!$F$77*(Construction!L17+Inputs!$F$81)/100*Construction!L11/360*1+Inputs!$F$78*(Construction!L17+Inputs!$F$82)/100*Construction!L11/360*(1/(1-Inputs!$F$93/100))+Inputs!$F$78*(Inputs!$F$95/100*Inputs!$F$96/100)*Construction!L11/365</f>
        <v>0.00541933685100626</v>
      </c>
      <c r="M19" s="14" t="n">
        <f aca="false">Inputs!$F$75*(Construction!M17+Inputs!$F$79)/100*Construction!M11/360*1+Inputs!$F$76*(Construction!M17+Inputs!$F$80)/100*Construction!M11/360*1+Inputs!$F$77*(Construction!M17+Inputs!$F$81)/100*Construction!M11/360*1+Inputs!$F$78*(Construction!M17+Inputs!$F$82)/100*Construction!M11/360*(1/(1-Inputs!$F$93/100))+Inputs!$F$78*(Inputs!$F$95/100*Inputs!$F$96/100)*Construction!M11/365</f>
        <v>0.00524451953323186</v>
      </c>
      <c r="N19" s="14" t="n">
        <f aca="false">Inputs!$F$75*(Construction!N17+Inputs!$F$79)/100*Construction!N11/360*1+Inputs!$F$76*(Construction!N17+Inputs!$F$80)/100*Construction!N11/360*1+Inputs!$F$77*(Construction!N17+Inputs!$F$81)/100*Construction!N11/360*1+Inputs!$F$78*(Construction!N17+Inputs!$F$82)/100*Construction!N11/360*(1/(1-Inputs!$F$93/100))+Inputs!$F$78*(Inputs!$F$95/100*Inputs!$F$96/100)*Construction!N11/365</f>
        <v>0.00541933685100626</v>
      </c>
      <c r="O19" s="14" t="n">
        <f aca="false">Inputs!$F$75*(Construction!O17+Inputs!$F$79)/100*Construction!O11/360*1+Inputs!$F$76*(Construction!O17+Inputs!$F$80)/100*Construction!O11/360*1+Inputs!$F$77*(Construction!O17+Inputs!$F$81)/100*Construction!O11/360*1+Inputs!$F$78*(Construction!O17+Inputs!$F$82)/100*Construction!O11/360*(1/(1-Inputs!$F$93/100))+Inputs!$F$78*(Inputs!$F$95/100*Inputs!$F$96/100)*Construction!O11/365</f>
        <v>0.00573345104853712</v>
      </c>
      <c r="P19" s="14" t="n">
        <f aca="false">Inputs!$F$75*(Construction!P17+Inputs!$F$79)/100*Construction!P11/360*1+Inputs!$F$76*(Construction!P17+Inputs!$F$80)/100*Construction!P11/360*1+Inputs!$F$77*(Construction!P17+Inputs!$F$81)/100*Construction!P11/360*1+Inputs!$F$78*(Construction!P17+Inputs!$F$82)/100*Construction!P11/360*(1/(1-Inputs!$F$93/100))+Inputs!$F$78*(Inputs!$F$95/100*Inputs!$F$96/100)*Construction!P11/365</f>
        <v>0.00517860094706579</v>
      </c>
      <c r="Q19" s="14" t="n">
        <f aca="false">Inputs!$F$75*(Construction!Q17+Inputs!$F$79)/100*Construction!Q11/360*1+Inputs!$F$76*(Construction!Q17+Inputs!$F$80)/100*Construction!Q11/360*1+Inputs!$F$77*(Construction!Q17+Inputs!$F$81)/100*Construction!Q11/360*1+Inputs!$F$78*(Construction!Q17+Inputs!$F$82)/100*Construction!Q11/360*(1/(1-Inputs!$F$93/100))+Inputs!$F$78*(Inputs!$F$95/100*Inputs!$F$96/100)*Construction!Q11/365</f>
        <v>0.00573345104853712</v>
      </c>
      <c r="R19" s="14" t="n">
        <f aca="false">Inputs!$F$75*(Construction!R17+Inputs!$F$79)/100*Construction!R11/360*1+Inputs!$F$76*(Construction!R17+Inputs!$F$80)/100*Construction!R11/360*1+Inputs!$F$77*(Construction!R17+Inputs!$F$81)/100*Construction!R11/360*1+Inputs!$F$78*(Construction!R17+Inputs!$F$82)/100*Construction!R11/360*(1/(1-Inputs!$F$93/100))+Inputs!$F$78*(Inputs!$F$95/100*Inputs!$F$96/100)*Construction!R11/365</f>
        <v>0.00554850101471334</v>
      </c>
      <c r="S19" s="14" t="n">
        <f aca="false">Inputs!$F$75*(Construction!S17+Inputs!$F$79)/100*Construction!S11/360*1+Inputs!$F$76*(Construction!S17+Inputs!$F$80)/100*Construction!S11/360*1+Inputs!$F$77*(Construction!S17+Inputs!$F$81)/100*Construction!S11/360*1+Inputs!$F$78*(Construction!S17+Inputs!$F$82)/100*Construction!S11/360*(1/(1-Inputs!$F$93/100))+Inputs!$F$78*(Inputs!$F$95/100*Inputs!$F$96/100)*Construction!S11/365</f>
        <v>0.00573345104853712</v>
      </c>
      <c r="T19" s="14" t="n">
        <f aca="false">Inputs!$F$75*(Construction!T17+Inputs!$F$79)/100*Construction!T11/360*1+Inputs!$F$76*(Construction!T17+Inputs!$F$80)/100*Construction!T11/360*1+Inputs!$F$77*(Construction!T17+Inputs!$F$81)/100*Construction!T11/360*1+Inputs!$F$78*(Construction!T17+Inputs!$F$82)/100*Construction!T11/360*(1/(1-Inputs!$F$93/100))+Inputs!$F$78*(Inputs!$F$95/100*Inputs!$F$96/100)*Construction!T11/365</f>
        <v>0.00554850101471334</v>
      </c>
      <c r="U19" s="14" t="n">
        <f aca="false">Inputs!$F$75*(Construction!U17+Inputs!$F$79)/100*Construction!U11/360*1+Inputs!$F$76*(Construction!U17+Inputs!$F$80)/100*Construction!U11/360*1+Inputs!$F$77*(Construction!U17+Inputs!$F$81)/100*Construction!U11/360*1+Inputs!$F$78*(Construction!U17+Inputs!$F$82)/100*Construction!U11/360*(1/(1-Inputs!$F$93/100))+Inputs!$F$78*(Inputs!$F$95/100*Inputs!$F$96/100)*Construction!U11/365</f>
        <v>0.00513214672754947</v>
      </c>
      <c r="V19" s="14" t="n">
        <f aca="false">Inputs!$F$75*(Construction!V17+Inputs!$F$79)/100*Construction!V11/360*1+Inputs!$F$76*(Construction!V17+Inputs!$F$80)/100*Construction!V11/360*1+Inputs!$F$77*(Construction!V17+Inputs!$F$81)/100*Construction!V11/360*1+Inputs!$F$78*(Construction!V17+Inputs!$F$82)/100*Construction!V11/360*(1/(1-Inputs!$F$93/100))+Inputs!$F$78*(Inputs!$F$95/100*Inputs!$F$96/100)*Construction!V11/365</f>
        <v>0.00513214672754947</v>
      </c>
      <c r="W19" s="14" t="n">
        <f aca="false">Inputs!$F$75*(Construction!W17+Inputs!$F$79)/100*Construction!W11/360*1+Inputs!$F$76*(Construction!W17+Inputs!$F$80)/100*Construction!W11/360*1+Inputs!$F$77*(Construction!W17+Inputs!$F$81)/100*Construction!W11/360*1+Inputs!$F$78*(Construction!W17+Inputs!$F$82)/100*Construction!W11/360*(1/(1-Inputs!$F$93/100))+Inputs!$F$78*(Inputs!$F$95/100*Inputs!$F$96/100)*Construction!W11/365</f>
        <v>0.00496659360730594</v>
      </c>
      <c r="X19" s="14" t="n">
        <f aca="false">Inputs!$F$75*(Construction!X17+Inputs!$F$79)/100*Construction!X11/360*1+Inputs!$F$76*(Construction!X17+Inputs!$F$80)/100*Construction!X11/360*1+Inputs!$F$77*(Construction!X17+Inputs!$F$81)/100*Construction!X11/360*1+Inputs!$F$78*(Construction!X17+Inputs!$F$82)/100*Construction!X11/360*(1/(1-Inputs!$F$93/100))+Inputs!$F$78*(Inputs!$F$95/100*Inputs!$F$96/100)*Construction!X11/365</f>
        <v>0.00513214672754947</v>
      </c>
      <c r="Y19" s="14" t="n">
        <f aca="false">Inputs!$F$75*(Construction!Y17+Inputs!$F$79)/100*Construction!Y11/360*1+Inputs!$F$76*(Construction!Y17+Inputs!$F$80)/100*Construction!Y11/360*1+Inputs!$F$77*(Construction!Y17+Inputs!$F$81)/100*Construction!Y11/360*1+Inputs!$F$78*(Construction!Y17+Inputs!$F$82)/100*Construction!Y11/360*(1/(1-Inputs!$F$93/100))+Inputs!$F$78*(Inputs!$F$95/100*Inputs!$F$96/100)*Construction!Y11/365</f>
        <v>0.00496659360730594</v>
      </c>
      <c r="Z19" s="14" t="n">
        <f aca="false">Inputs!$F$75*(Construction!Z17+Inputs!$F$79)/100*Construction!Z11/360*1+Inputs!$F$76*(Construction!Z17+Inputs!$F$80)/100*Construction!Z11/360*1+Inputs!$F$77*(Construction!Z17+Inputs!$F$81)/100*Construction!Z11/360*1+Inputs!$F$78*(Construction!Z17+Inputs!$F$82)/100*Construction!Z11/360*(1/(1-Inputs!$F$93/100))+Inputs!$F$78*(Inputs!$F$95/100*Inputs!$F$96/100)*Construction!Z11/365</f>
        <v>0.00513214672754947</v>
      </c>
      <c r="AA19" s="14" t="n">
        <f aca="false">Inputs!$F$75*(Construction!AA17+Inputs!$F$79)/100*Construction!AA11/360*1+Inputs!$F$76*(Construction!AA17+Inputs!$F$80)/100*Construction!AA11/360*1+Inputs!$F$77*(Construction!AA17+Inputs!$F$81)/100*Construction!AA11/360*1+Inputs!$F$78*(Construction!AA17+Inputs!$F$82)/100*Construction!AA11/360*(1/(1-Inputs!$F$93/100))+Inputs!$F$78*(Inputs!$F$95/100*Inputs!$F$96/100)*Construction!AA11/365</f>
        <v>0.00487188067816675</v>
      </c>
      <c r="AB19" s="14" t="n">
        <f aca="false">Inputs!$F$75*(Construction!AB17+Inputs!$F$79)/100*Construction!AB11/360*1+Inputs!$F$76*(Construction!AB17+Inputs!$F$80)/100*Construction!AB11/360*1+Inputs!$F$77*(Construction!AB17+Inputs!$F$81)/100*Construction!AB11/360*1+Inputs!$F$78*(Construction!AB17+Inputs!$F$82)/100*Construction!AB11/360*(1/(1-Inputs!$F$93/100))+Inputs!$F$78*(Inputs!$F$95/100*Inputs!$F$96/100)*Construction!AB11/365</f>
        <v>0.00455756579570438</v>
      </c>
      <c r="AC19" s="14" t="n">
        <f aca="false">Inputs!$F$75*(Construction!AC17+Inputs!$F$79)/100*Construction!AC11/360*1+Inputs!$F$76*(Construction!AC17+Inputs!$F$80)/100*Construction!AC11/360*1+Inputs!$F$77*(Construction!AC17+Inputs!$F$81)/100*Construction!AC11/360*1+Inputs!$F$78*(Construction!AC17+Inputs!$F$82)/100*Construction!AC11/360*(1/(1-Inputs!$F$93/100))+Inputs!$F$78*(Inputs!$F$95/100*Inputs!$F$96/100)*Construction!AC11/365</f>
        <v>0.00487188067816675</v>
      </c>
      <c r="AD19" s="14" t="n">
        <f aca="false">Inputs!$F$75*(Construction!AD17+Inputs!$F$79)/100*Construction!AD11/360*1+Inputs!$F$76*(Construction!AD17+Inputs!$F$80)/100*Construction!AD11/360*1+Inputs!$F$77*(Construction!AD17+Inputs!$F$81)/100*Construction!AD11/360*1+Inputs!$F$78*(Construction!AD17+Inputs!$F$82)/100*Construction!AD11/360*(1/(1-Inputs!$F$93/100))+Inputs!$F$78*(Inputs!$F$95/100*Inputs!$F$96/100)*Construction!AD11/365</f>
        <v>0.00471472323693557</v>
      </c>
      <c r="AE19" s="14" t="n">
        <f aca="false">Inputs!$F$75*(Construction!AE17+Inputs!$F$79)/100*Construction!AE11/360*1+Inputs!$F$76*(Construction!AE17+Inputs!$F$80)/100*Construction!AE11/360*1+Inputs!$F$77*(Construction!AE17+Inputs!$F$81)/100*Construction!AE11/360*1+Inputs!$F$78*(Construction!AE17+Inputs!$F$82)/100*Construction!AE11/360*(1/(1-Inputs!$F$93/100))+Inputs!$F$78*(Inputs!$F$95/100*Inputs!$F$96/100)*Construction!AE11/365</f>
        <v>0.00487188067816675</v>
      </c>
      <c r="AF19" s="14" t="n">
        <f aca="false">Inputs!$F$75*(Construction!AF17+Inputs!$F$79)/100*Construction!AF11/360*1+Inputs!$F$76*(Construction!AF17+Inputs!$F$80)/100*Construction!AF11/360*1+Inputs!$F$77*(Construction!AF17+Inputs!$F$81)/100*Construction!AF11/360*1+Inputs!$F$78*(Construction!AF17+Inputs!$F$82)/100*Construction!AF11/360*(1/(1-Inputs!$F$93/100))+Inputs!$F$78*(Inputs!$F$95/100*Inputs!$F$96/100)*Construction!AF11/365</f>
        <v>0.00471472323693557</v>
      </c>
      <c r="AG19" s="14" t="n">
        <f aca="false">Inputs!$F$75*(Construction!AG17+Inputs!$F$79)/100*Construction!AG11/360*1+Inputs!$F$76*(Construction!AG17+Inputs!$F$80)/100*Construction!AG11/360*1+Inputs!$F$77*(Construction!AG17+Inputs!$F$81)/100*Construction!AG11/360*1+Inputs!$F$78*(Construction!AG17+Inputs!$F$82)/100*Construction!AG11/360*(1/(1-Inputs!$F$93/100))+Inputs!$F$78*(Inputs!$F$95/100*Inputs!$F$96/100)*Construction!AG11/365</f>
        <v>0.00348977820903095</v>
      </c>
      <c r="AH19" s="14" t="n">
        <f aca="false">Inputs!$F$75*(Construction!AH17+Inputs!$F$79)/100*Construction!AH11/360*1+Inputs!$F$76*(Construction!AH17+Inputs!$F$80)/100*Construction!AH11/360*1+Inputs!$F$77*(Construction!AH17+Inputs!$F$81)/100*Construction!AH11/360*1+Inputs!$F$78*(Construction!AH17+Inputs!$F$82)/100*Construction!AH11/360*(1/(1-Inputs!$F$93/100))+Inputs!$F$78*(Inputs!$F$95/100*Inputs!$F$96/100)*Construction!AH11/365</f>
        <v>0.00348977820903095</v>
      </c>
      <c r="AI19" s="14" t="n">
        <f aca="false">Inputs!$F$75*(Construction!AI17+Inputs!$F$79)/100*Construction!AI11/360*1+Inputs!$F$76*(Construction!AI17+Inputs!$F$80)/100*Construction!AI11/360*1+Inputs!$F$77*(Construction!AI17+Inputs!$F$81)/100*Construction!AI11/360*1+Inputs!$F$78*(Construction!AI17+Inputs!$F$82)/100*Construction!AI11/360*(1/(1-Inputs!$F$93/100))+Inputs!$F$78*(Inputs!$F$95/100*Inputs!$F$96/100)*Construction!AI11/365</f>
        <v>0.00337720471841705</v>
      </c>
      <c r="AJ19" s="14" t="n">
        <f aca="false">Inputs!$F$75*(Construction!AJ17+Inputs!$F$79)/100*Construction!AJ11/360*1+Inputs!$F$76*(Construction!AJ17+Inputs!$F$80)/100*Construction!AJ11/360*1+Inputs!$F$77*(Construction!AJ17+Inputs!$F$81)/100*Construction!AJ11/360*1+Inputs!$F$78*(Construction!AJ17+Inputs!$F$82)/100*Construction!AJ11/360*(1/(1-Inputs!$F$93/100))+Inputs!$F$78*(Inputs!$F$95/100*Inputs!$F$96/100)*Construction!AJ11/365</f>
        <v>0.00348977820903095</v>
      </c>
      <c r="AK19" s="14" t="n">
        <f aca="false">Inputs!$F$75*(Construction!AK17+Inputs!$F$79)/100*Construction!AK11/360*1+Inputs!$F$76*(Construction!AK17+Inputs!$F$80)/100*Construction!AK11/360*1+Inputs!$F$77*(Construction!AK17+Inputs!$F$81)/100*Construction!AK11/360*1+Inputs!$F$78*(Construction!AK17+Inputs!$F$82)/100*Construction!AK11/360*(1/(1-Inputs!$F$93/100))+Inputs!$F$78*(Inputs!$F$95/100*Inputs!$F$96/100)*Construction!AK11/365</f>
        <v>0.00337720471841705</v>
      </c>
      <c r="AL19" s="14" t="n">
        <f aca="false">Inputs!$F$75*(Construction!AL17+Inputs!$F$79)/100*Construction!AL11/360*1+Inputs!$F$76*(Construction!AL17+Inputs!$F$80)/100*Construction!AL11/360*1+Inputs!$F$77*(Construction!AL17+Inputs!$F$81)/100*Construction!AL11/360*1+Inputs!$F$78*(Construction!AL17+Inputs!$F$82)/100*Construction!AL11/360*(1/(1-Inputs!$F$93/100))+Inputs!$F$78*(Inputs!$F$95/100*Inputs!$F$96/100)*Construction!AL11/365</f>
        <v>0.00348977820903095</v>
      </c>
      <c r="AM19" s="14" t="n">
        <f aca="false">Inputs!$F$75*(Construction!AM17+Inputs!$F$79)/100*Construction!AM11/360*1+Inputs!$F$76*(Construction!AM17+Inputs!$F$80)/100*Construction!AM11/360*1+Inputs!$F$77*(Construction!AM17+Inputs!$F$81)/100*Construction!AM11/360*1+Inputs!$F$78*(Construction!AM17+Inputs!$F$82)/100*Construction!AM11/360*(1/(1-Inputs!$F$93/100))+Inputs!$F$78*(Inputs!$F$95/100*Inputs!$F$96/100)*Construction!AM11/365</f>
        <v>0.00338208191273465</v>
      </c>
      <c r="AN19" s="14" t="n">
        <f aca="false">Inputs!$F$75*(Construction!AN17+Inputs!$F$79)/100*Construction!AN11/360*1+Inputs!$F$76*(Construction!AN17+Inputs!$F$80)/100*Construction!AN11/360*1+Inputs!$F$77*(Construction!AN17+Inputs!$F$81)/100*Construction!AN11/360*1+Inputs!$F$78*(Construction!AN17+Inputs!$F$82)/100*Construction!AN11/360*(1/(1-Inputs!$F$93/100))+Inputs!$F$78*(Inputs!$F$95/100*Inputs!$F$96/100)*Construction!AN11/365</f>
        <v>0.00305478366311517</v>
      </c>
      <c r="AO19" s="14" t="n">
        <f aca="false">Inputs!$F$75*(Construction!AO17+Inputs!$F$79)/100*Construction!AO11/360*1+Inputs!$F$76*(Construction!AO17+Inputs!$F$80)/100*Construction!AO11/360*1+Inputs!$F$77*(Construction!AO17+Inputs!$F$81)/100*Construction!AO11/360*1+Inputs!$F$78*(Construction!AO17+Inputs!$F$82)/100*Construction!AO11/360*(1/(1-Inputs!$F$93/100))+Inputs!$F$78*(Inputs!$F$95/100*Inputs!$F$96/100)*Construction!AO11/365</f>
        <v>0.00338208191273465</v>
      </c>
      <c r="AP19" s="14" t="n">
        <f aca="false">Inputs!$F$75*(Construction!AP17+Inputs!$F$79)/100*Construction!AP11/360*1+Inputs!$F$76*(Construction!AP17+Inputs!$F$80)/100*Construction!AP11/360*1+Inputs!$F$77*(Construction!AP17+Inputs!$F$81)/100*Construction!AP11/360*1+Inputs!$F$78*(Construction!AP17+Inputs!$F$82)/100*Construction!AP11/360*(1/(1-Inputs!$F$93/100))+Inputs!$F$78*(Inputs!$F$95/100*Inputs!$F$96/100)*Construction!AP11/365</f>
        <v>0.00327298249619483</v>
      </c>
      <c r="AQ19" s="14" t="n">
        <f aca="false">Inputs!$F$75*(Construction!AQ17+Inputs!$F$79)/100*Construction!AQ11/360*1+Inputs!$F$76*(Construction!AQ17+Inputs!$F$80)/100*Construction!AQ11/360*1+Inputs!$F$77*(Construction!AQ17+Inputs!$F$81)/100*Construction!AQ11/360*1+Inputs!$F$78*(Construction!AQ17+Inputs!$F$82)/100*Construction!AQ11/360*(1/(1-Inputs!$F$93/100))+Inputs!$F$78*(Inputs!$F$95/100*Inputs!$F$96/100)*Construction!AQ11/365</f>
        <v>0.00338208191273465</v>
      </c>
      <c r="AR19" s="14" t="n">
        <f aca="false">Inputs!$F$75*(Construction!AR17+Inputs!$F$79)/100*Construction!AR11/360*1+Inputs!$F$76*(Construction!AR17+Inputs!$F$80)/100*Construction!AR11/360*1+Inputs!$F$77*(Construction!AR17+Inputs!$F$81)/100*Construction!AR11/360*1+Inputs!$F$78*(Construction!AR17+Inputs!$F$82)/100*Construction!AR11/360*(1/(1-Inputs!$F$93/100))+Inputs!$F$78*(Inputs!$F$95/100*Inputs!$F$96/100)*Construction!AR11/365</f>
        <v>0.00327298249619483</v>
      </c>
      <c r="AS19" s="14" t="n">
        <f aca="false">Inputs!$F$75*(Construction!AS17+Inputs!$F$79)/100*Construction!AS11/360*1+Inputs!$F$76*(Construction!AS17+Inputs!$F$80)/100*Construction!AS11/360*1+Inputs!$F$77*(Construction!AS17+Inputs!$F$81)/100*Construction!AS11/360*1+Inputs!$F$78*(Construction!AS17+Inputs!$F$82)/100*Construction!AS11/360*(1/(1-Inputs!$F$93/100))+Inputs!$F$78*(Inputs!$F$95/100*Inputs!$F$96/100)*Construction!AS11/365</f>
        <v>0.00330130969051243</v>
      </c>
      <c r="AT19" s="14" t="n">
        <f aca="false">Inputs!$F$75*(Construction!AT17+Inputs!$F$79)/100*Construction!AT11/360*1+Inputs!$F$76*(Construction!AT17+Inputs!$F$80)/100*Construction!AT11/360*1+Inputs!$F$77*(Construction!AT17+Inputs!$F$81)/100*Construction!AT11/360*1+Inputs!$F$78*(Construction!AT17+Inputs!$F$82)/100*Construction!AT11/360*(1/(1-Inputs!$F$93/100))+Inputs!$F$78*(Inputs!$F$95/100*Inputs!$F$96/100)*Construction!AT11/365</f>
        <v>0.00330130969051243</v>
      </c>
      <c r="AU19" s="14" t="n">
        <f aca="false">Inputs!$F$75*(Construction!AU17+Inputs!$F$79)/100*Construction!AU11/360*1+Inputs!$F$76*(Construction!AU17+Inputs!$F$80)/100*Construction!AU11/360*1+Inputs!$F$77*(Construction!AU17+Inputs!$F$81)/100*Construction!AU11/360*1+Inputs!$F$78*(Construction!AU17+Inputs!$F$82)/100*Construction!AU11/360*(1/(1-Inputs!$F$93/100))+Inputs!$F$78*(Inputs!$F$95/100*Inputs!$F$96/100)*Construction!AU11/365</f>
        <v>0.00319481582952816</v>
      </c>
      <c r="AV19" s="14" t="n">
        <f aca="false">Inputs!$F$75*(Construction!AV17+Inputs!$F$79)/100*Construction!AV11/360*1+Inputs!$F$76*(Construction!AV17+Inputs!$F$80)/100*Construction!AV11/360*1+Inputs!$F$77*(Construction!AV17+Inputs!$F$81)/100*Construction!AV11/360*1+Inputs!$F$78*(Construction!AV17+Inputs!$F$82)/100*Construction!AV11/360*(1/(1-Inputs!$F$93/100))+Inputs!$F$78*(Inputs!$F$95/100*Inputs!$F$96/100)*Construction!AV11/365</f>
        <v>0.00330130969051243</v>
      </c>
      <c r="AW19" s="14" t="n">
        <f aca="false">Inputs!$F$75*(Construction!AW17+Inputs!$F$79)/100*Construction!AW11/360*1+Inputs!$F$76*(Construction!AW17+Inputs!$F$80)/100*Construction!AW11/360*1+Inputs!$F$77*(Construction!AW17+Inputs!$F$81)/100*Construction!AW11/360*1+Inputs!$F$78*(Construction!AW17+Inputs!$F$82)/100*Construction!AW11/360*(1/(1-Inputs!$F$93/100))+Inputs!$F$78*(Inputs!$F$95/100*Inputs!$F$96/100)*Construction!AW11/365</f>
        <v>0.00319481582952816</v>
      </c>
      <c r="AX19" s="14" t="n">
        <f aca="false">Inputs!$F$75*(Construction!AX17+Inputs!$F$79)/100*Construction!AX11/360*1+Inputs!$F$76*(Construction!AX17+Inputs!$F$80)/100*Construction!AX11/360*1+Inputs!$F$77*(Construction!AX17+Inputs!$F$81)/100*Construction!AX11/360*1+Inputs!$F$78*(Construction!AX17+Inputs!$F$82)/100*Construction!AX11/360*(1/(1-Inputs!$F$93/100))+Inputs!$F$78*(Inputs!$F$95/100*Inputs!$F$96/100)*Construction!AX11/365</f>
        <v>0.00330130969051243</v>
      </c>
      <c r="AY19" s="14" t="n">
        <f aca="false">Inputs!$F$75*(Construction!AY17+Inputs!$F$79)/100*Construction!AY11/360*1+Inputs!$F$76*(Construction!AY17+Inputs!$F$80)/100*Construction!AY11/360*1+Inputs!$F$77*(Construction!AY17+Inputs!$F$81)/100*Construction!AY11/360*1+Inputs!$F$78*(Construction!AY17+Inputs!$F$82)/100*Construction!AY11/360*(1/(1-Inputs!$F$93/100))+Inputs!$F$78*(Inputs!$F$95/100*Inputs!$F$96/100)*Construction!AY11/365</f>
        <v>0.00346285413495687</v>
      </c>
      <c r="AZ19" s="14" t="n">
        <f aca="false">Inputs!$F$75*(Construction!AZ17+Inputs!$F$79)/100*Construction!AZ11/360*1+Inputs!$F$76*(Construction!AZ17+Inputs!$F$80)/100*Construction!AZ11/360*1+Inputs!$F$77*(Construction!AZ17+Inputs!$F$81)/100*Construction!AZ11/360*1+Inputs!$F$78*(Construction!AZ17+Inputs!$F$82)/100*Construction!AZ11/360*(1/(1-Inputs!$F$93/100))+Inputs!$F$78*(Inputs!$F$95/100*Inputs!$F$96/100)*Construction!AZ11/365</f>
        <v>0.00312773921867073</v>
      </c>
      <c r="BA19" s="14" t="n">
        <f aca="false">Inputs!$F$75*(Construction!BA17+Inputs!$F$79)/100*Construction!BA11/360*1+Inputs!$F$76*(Construction!BA17+Inputs!$F$80)/100*Construction!BA11/360*1+Inputs!$F$77*(Construction!BA17+Inputs!$F$81)/100*Construction!BA11/360*1+Inputs!$F$78*(Construction!BA17+Inputs!$F$82)/100*Construction!BA11/360*(1/(1-Inputs!$F$93/100))+Inputs!$F$78*(Inputs!$F$95/100*Inputs!$F$96/100)*Construction!BA11/365</f>
        <v>0.00346285413495687</v>
      </c>
      <c r="BB19" s="14" t="n">
        <f aca="false">Inputs!$F$75*(Construction!BB17+Inputs!$F$79)/100*Construction!BB11/360*1+Inputs!$F$76*(Construction!BB17+Inputs!$F$80)/100*Construction!BB11/360*1+Inputs!$F$77*(Construction!BB17+Inputs!$F$81)/100*Construction!BB11/360*1+Inputs!$F$78*(Construction!BB17+Inputs!$F$82)/100*Construction!BB11/360*(1/(1-Inputs!$F$93/100))+Inputs!$F$78*(Inputs!$F$95/100*Inputs!$F$96/100)*Construction!BB11/365</f>
        <v>0.00335114916286149</v>
      </c>
      <c r="BC19" s="14" t="n">
        <f aca="false">Inputs!$F$75*(Construction!BC17+Inputs!$F$79)/100*Construction!BC11/360*1+Inputs!$F$76*(Construction!BC17+Inputs!$F$80)/100*Construction!BC11/360*1+Inputs!$F$77*(Construction!BC17+Inputs!$F$81)/100*Construction!BC11/360*1+Inputs!$F$78*(Construction!BC17+Inputs!$F$82)/100*Construction!BC11/360*(1/(1-Inputs!$F$93/100))+Inputs!$F$78*(Inputs!$F$95/100*Inputs!$F$96/100)*Construction!BC11/365</f>
        <v>0.00346285413495687</v>
      </c>
      <c r="BD19" s="14" t="n">
        <f aca="false">Inputs!$F$75*(Construction!BD17+Inputs!$F$79)/100*Construction!BD11/360*1+Inputs!$F$76*(Construction!BD17+Inputs!$F$80)/100*Construction!BD11/360*1+Inputs!$F$77*(Construction!BD17+Inputs!$F$81)/100*Construction!BD11/360*1+Inputs!$F$78*(Construction!BD17+Inputs!$F$82)/100*Construction!BD11/360*(1/(1-Inputs!$F$93/100))+Inputs!$F$78*(Inputs!$F$95/100*Inputs!$F$96/100)*Construction!BD11/365</f>
        <v>0.00335114916286149</v>
      </c>
      <c r="BE19" s="14" t="n">
        <f aca="false">Inputs!$F$75*(Construction!BE17+Inputs!$F$79)/100*Construction!BE11/360*1+Inputs!$F$76*(Construction!BE17+Inputs!$F$80)/100*Construction!BE11/360*1+Inputs!$F$77*(Construction!BE17+Inputs!$F$81)/100*Construction!BE11/360*1+Inputs!$F$78*(Construction!BE17+Inputs!$F$82)/100*Construction!BE11/360*(1/(1-Inputs!$F$93/100))+Inputs!$F$78*(Inputs!$F$95/100*Inputs!$F$96/100)*Construction!BE11/365</f>
        <v>0.00579627388804329</v>
      </c>
      <c r="BF19" s="14" t="n">
        <f aca="false">Inputs!$F$75*(Construction!BF17+Inputs!$F$79)/100*Construction!BF11/360*1+Inputs!$F$76*(Construction!BF17+Inputs!$F$80)/100*Construction!BF11/360*1+Inputs!$F$77*(Construction!BF17+Inputs!$F$81)/100*Construction!BF11/360*1+Inputs!$F$78*(Construction!BF17+Inputs!$F$82)/100*Construction!BF11/360*(1/(1-Inputs!$F$93/100))+Inputs!$F$78*(Inputs!$F$95/100*Inputs!$F$96/100)*Construction!BF11/365</f>
        <v>0.00579627388804329</v>
      </c>
      <c r="BG19" s="14" t="n">
        <f aca="false">Inputs!$F$75*(Construction!BG17+Inputs!$F$79)/100*Construction!BG11/360*1+Inputs!$F$76*(Construction!BG17+Inputs!$F$80)/100*Construction!BG11/360*1+Inputs!$F$77*(Construction!BG17+Inputs!$F$81)/100*Construction!BG11/360*1+Inputs!$F$78*(Construction!BG17+Inputs!$F$82)/100*Construction!BG11/360*(1/(1-Inputs!$F$93/100))+Inputs!$F$78*(Inputs!$F$95/100*Inputs!$F$96/100)*Construction!BG11/365</f>
        <v>0.00560929731100964</v>
      </c>
      <c r="BH19" s="14" t="n">
        <f aca="false">Inputs!$F$75*(Construction!BH17+Inputs!$F$79)/100*Construction!BH11/360*1+Inputs!$F$76*(Construction!BH17+Inputs!$F$80)/100*Construction!BH11/360*1+Inputs!$F$77*(Construction!BH17+Inputs!$F$81)/100*Construction!BH11/360*1+Inputs!$F$78*(Construction!BH17+Inputs!$F$82)/100*Construction!BH11/360*(1/(1-Inputs!$F$93/100))+Inputs!$F$78*(Inputs!$F$95/100*Inputs!$F$96/100)*Construction!BH11/365</f>
        <v>0.00579627388804329</v>
      </c>
      <c r="BI19" s="14" t="n">
        <f aca="false">Inputs!$F$75*(Construction!BI17+Inputs!$F$79)/100*Construction!BI11/360*1+Inputs!$F$76*(Construction!BI17+Inputs!$F$80)/100*Construction!BI11/360*1+Inputs!$F$77*(Construction!BI17+Inputs!$F$81)/100*Construction!BI11/360*1+Inputs!$F$78*(Construction!BI17+Inputs!$F$82)/100*Construction!BI11/360*(1/(1-Inputs!$F$93/100))+Inputs!$F$78*(Inputs!$F$95/100*Inputs!$F$96/100)*Construction!BI11/365</f>
        <v>0.00560929731100964</v>
      </c>
      <c r="BJ19" s="14" t="n">
        <f aca="false">Inputs!$F$75*(Construction!BJ17+Inputs!$F$79)/100*Construction!BJ11/360*1+Inputs!$F$76*(Construction!BJ17+Inputs!$F$80)/100*Construction!BJ11/360*1+Inputs!$F$77*(Construction!BJ17+Inputs!$F$81)/100*Construction!BJ11/360*1+Inputs!$F$78*(Construction!BJ17+Inputs!$F$82)/100*Construction!BJ11/360*(1/(1-Inputs!$F$93/100))+Inputs!$F$78*(Inputs!$F$95/100*Inputs!$F$96/100)*Construction!BJ11/365</f>
        <v>0.00579627388804329</v>
      </c>
    </row>
    <row r="20" customFormat="false" ht="15" hidden="false" customHeight="false" outlineLevel="0" collapsed="false">
      <c r="D20" s="0" t="s">
        <v>578</v>
      </c>
      <c r="E20" s="0" t="s">
        <v>99</v>
      </c>
      <c r="J20" s="14" t="n">
        <f aca="false">Inputs!$F$75*Inputs!$F$85/100*Construction!J11/360+Inputs!$F$76*Inputs!$F$86/100*Construction!J11/360+Inputs!$F$77*Inputs!$F$87/100*Construction!J11/360+Inputs!$F$78*(Inputs!$F$88/100*Inputs!$F$82)/100*Construction!J11/360</f>
        <v>0.000868172222222222</v>
      </c>
      <c r="K20" s="14" t="n">
        <f aca="false">Inputs!$F$75*Inputs!$F$85/100*Construction!K11/360+Inputs!$F$76*Inputs!$F$86/100*Construction!K11/360+Inputs!$F$77*Inputs!$F$87/100*Construction!K11/360+Inputs!$F$78*(Inputs!$F$88/100*Inputs!$F$82)/100*Construction!K11/360</f>
        <v>0.000840166666666667</v>
      </c>
      <c r="L20" s="14" t="n">
        <f aca="false">Inputs!$F$75*Inputs!$F$85/100*Construction!L11/360+Inputs!$F$76*Inputs!$F$86/100*Construction!L11/360+Inputs!$F$77*Inputs!$F$87/100*Construction!L11/360+Inputs!$F$78*(Inputs!$F$88/100*Inputs!$F$82)/100*Construction!L11/360</f>
        <v>0.000868172222222222</v>
      </c>
      <c r="M20" s="14" t="n">
        <f aca="false">Inputs!$F$75*Inputs!$F$85/100*Construction!M11/360+Inputs!$F$76*Inputs!$F$86/100*Construction!M11/360+Inputs!$F$77*Inputs!$F$87/100*Construction!M11/360+Inputs!$F$78*(Inputs!$F$88/100*Inputs!$F$82)/100*Construction!M11/360</f>
        <v>0.000840166666666667</v>
      </c>
      <c r="N20" s="14" t="n">
        <f aca="false">Inputs!$F$75*Inputs!$F$85/100*Construction!N11/360+Inputs!$F$76*Inputs!$F$86/100*Construction!N11/360+Inputs!$F$77*Inputs!$F$87/100*Construction!N11/360+Inputs!$F$78*(Inputs!$F$88/100*Inputs!$F$82)/100*Construction!N11/360</f>
        <v>0.000868172222222222</v>
      </c>
      <c r="O20" s="14" t="n">
        <f aca="false">Inputs!$F$75*Inputs!$F$85/100*Construction!O11/360+Inputs!$F$76*Inputs!$F$86/100*Construction!O11/360+Inputs!$F$77*Inputs!$F$87/100*Construction!O11/360+Inputs!$F$78*(Inputs!$F$88/100*Inputs!$F$82)/100*Construction!O11/360</f>
        <v>0.000868172222222222</v>
      </c>
      <c r="P20" s="14" t="n">
        <f aca="false">Inputs!$F$75*Inputs!$F$85/100*Construction!P11/360+Inputs!$F$76*Inputs!$F$86/100*Construction!P11/360+Inputs!$F$77*Inputs!$F$87/100*Construction!P11/360+Inputs!$F$78*(Inputs!$F$88/100*Inputs!$F$82)/100*Construction!P11/360</f>
        <v>0.000784155555555556</v>
      </c>
      <c r="Q20" s="14" t="n">
        <f aca="false">Inputs!$F$75*Inputs!$F$85/100*Construction!Q11/360+Inputs!$F$76*Inputs!$F$86/100*Construction!Q11/360+Inputs!$F$77*Inputs!$F$87/100*Construction!Q11/360+Inputs!$F$78*(Inputs!$F$88/100*Inputs!$F$82)/100*Construction!Q11/360</f>
        <v>0.000868172222222222</v>
      </c>
      <c r="R20" s="14" t="n">
        <f aca="false">Inputs!$F$75*Inputs!$F$85/100*Construction!R11/360+Inputs!$F$76*Inputs!$F$86/100*Construction!R11/360+Inputs!$F$77*Inputs!$F$87/100*Construction!R11/360+Inputs!$F$78*(Inputs!$F$88/100*Inputs!$F$82)/100*Construction!R11/360</f>
        <v>0.000840166666666667</v>
      </c>
      <c r="S20" s="14" t="n">
        <f aca="false">Inputs!$F$75*Inputs!$F$85/100*Construction!S11/360+Inputs!$F$76*Inputs!$F$86/100*Construction!S11/360+Inputs!$F$77*Inputs!$F$87/100*Construction!S11/360+Inputs!$F$78*(Inputs!$F$88/100*Inputs!$F$82)/100*Construction!S11/360</f>
        <v>0.000868172222222222</v>
      </c>
      <c r="T20" s="14" t="n">
        <f aca="false">Inputs!$F$75*Inputs!$F$85/100*Construction!T11/360+Inputs!$F$76*Inputs!$F$86/100*Construction!T11/360+Inputs!$F$77*Inputs!$F$87/100*Construction!T11/360+Inputs!$F$78*(Inputs!$F$88/100*Inputs!$F$82)/100*Construction!T11/360</f>
        <v>0.000840166666666667</v>
      </c>
      <c r="U20" s="14" t="n">
        <f aca="false">Inputs!$F$75*Inputs!$F$85/100*Construction!U11/360+Inputs!$F$76*Inputs!$F$86/100*Construction!U11/360+Inputs!$F$77*Inputs!$F$87/100*Construction!U11/360+Inputs!$F$78*(Inputs!$F$88/100*Inputs!$F$82)/100*Construction!U11/360</f>
        <v>0.000868172222222222</v>
      </c>
      <c r="V20" s="14" t="n">
        <f aca="false">Inputs!$F$75*Inputs!$F$85/100*Construction!V11/360+Inputs!$F$76*Inputs!$F$86/100*Construction!V11/360+Inputs!$F$77*Inputs!$F$87/100*Construction!V11/360+Inputs!$F$78*(Inputs!$F$88/100*Inputs!$F$82)/100*Construction!V11/360</f>
        <v>0.000868172222222222</v>
      </c>
      <c r="W20" s="14" t="n">
        <f aca="false">Inputs!$F$75*Inputs!$F$85/100*Construction!W11/360+Inputs!$F$76*Inputs!$F$86/100*Construction!W11/360+Inputs!$F$77*Inputs!$F$87/100*Construction!W11/360+Inputs!$F$78*(Inputs!$F$88/100*Inputs!$F$82)/100*Construction!W11/360</f>
        <v>0.000840166666666667</v>
      </c>
      <c r="X20" s="14" t="n">
        <f aca="false">Inputs!$F$75*Inputs!$F$85/100*Construction!X11/360+Inputs!$F$76*Inputs!$F$86/100*Construction!X11/360+Inputs!$F$77*Inputs!$F$87/100*Construction!X11/360+Inputs!$F$78*(Inputs!$F$88/100*Inputs!$F$82)/100*Construction!X11/360</f>
        <v>0.000868172222222222</v>
      </c>
      <c r="Y20" s="14" t="n">
        <f aca="false">Inputs!$F$75*Inputs!$F$85/100*Construction!Y11/360+Inputs!$F$76*Inputs!$F$86/100*Construction!Y11/360+Inputs!$F$77*Inputs!$F$87/100*Construction!Y11/360+Inputs!$F$78*(Inputs!$F$88/100*Inputs!$F$82)/100*Construction!Y11/360</f>
        <v>0.000840166666666667</v>
      </c>
      <c r="Z20" s="14" t="n">
        <f aca="false">Inputs!$F$75*Inputs!$F$85/100*Construction!Z11/360+Inputs!$F$76*Inputs!$F$86/100*Construction!Z11/360+Inputs!$F$77*Inputs!$F$87/100*Construction!Z11/360+Inputs!$F$78*(Inputs!$F$88/100*Inputs!$F$82)/100*Construction!Z11/360</f>
        <v>0.000868172222222222</v>
      </c>
      <c r="AA20" s="14" t="n">
        <f aca="false">Inputs!$F$75*Inputs!$F$85/100*Construction!AA11/360+Inputs!$F$76*Inputs!$F$86/100*Construction!AA11/360+Inputs!$F$77*Inputs!$F$87/100*Construction!AA11/360+Inputs!$F$78*(Inputs!$F$88/100*Inputs!$F$82)/100*Construction!AA11/360</f>
        <v>0.000868172222222222</v>
      </c>
      <c r="AB20" s="14" t="n">
        <f aca="false">Inputs!$F$75*Inputs!$F$85/100*Construction!AB11/360+Inputs!$F$76*Inputs!$F$86/100*Construction!AB11/360+Inputs!$F$77*Inputs!$F$87/100*Construction!AB11/360+Inputs!$F$78*(Inputs!$F$88/100*Inputs!$F$82)/100*Construction!AB11/360</f>
        <v>0.000812161111111111</v>
      </c>
      <c r="AC20" s="14" t="n">
        <f aca="false">Inputs!$F$75*Inputs!$F$85/100*Construction!AC11/360+Inputs!$F$76*Inputs!$F$86/100*Construction!AC11/360+Inputs!$F$77*Inputs!$F$87/100*Construction!AC11/360+Inputs!$F$78*(Inputs!$F$88/100*Inputs!$F$82)/100*Construction!AC11/360</f>
        <v>0.000868172222222222</v>
      </c>
      <c r="AD20" s="14" t="n">
        <f aca="false">Inputs!$F$75*Inputs!$F$85/100*Construction!AD11/360+Inputs!$F$76*Inputs!$F$86/100*Construction!AD11/360+Inputs!$F$77*Inputs!$F$87/100*Construction!AD11/360+Inputs!$F$78*(Inputs!$F$88/100*Inputs!$F$82)/100*Construction!AD11/360</f>
        <v>0.000840166666666667</v>
      </c>
      <c r="AE20" s="14" t="n">
        <f aca="false">Inputs!$F$75*Inputs!$F$85/100*Construction!AE11/360+Inputs!$F$76*Inputs!$F$86/100*Construction!AE11/360+Inputs!$F$77*Inputs!$F$87/100*Construction!AE11/360+Inputs!$F$78*(Inputs!$F$88/100*Inputs!$F$82)/100*Construction!AE11/360</f>
        <v>0.000868172222222222</v>
      </c>
      <c r="AF20" s="14" t="n">
        <f aca="false">Inputs!$F$75*Inputs!$F$85/100*Construction!AF11/360+Inputs!$F$76*Inputs!$F$86/100*Construction!AF11/360+Inputs!$F$77*Inputs!$F$87/100*Construction!AF11/360+Inputs!$F$78*(Inputs!$F$88/100*Inputs!$F$82)/100*Construction!AF11/360</f>
        <v>0.000840166666666667</v>
      </c>
      <c r="AG20" s="14" t="n">
        <f aca="false">Inputs!$F$75*Inputs!$F$85/100*Construction!AG11/360+Inputs!$F$76*Inputs!$F$86/100*Construction!AG11/360+Inputs!$F$77*Inputs!$F$87/100*Construction!AG11/360+Inputs!$F$78*(Inputs!$F$88/100*Inputs!$F$82)/100*Construction!AG11/360</f>
        <v>0.000868172222222222</v>
      </c>
      <c r="AH20" s="14" t="n">
        <f aca="false">Inputs!$F$75*Inputs!$F$85/100*Construction!AH11/360+Inputs!$F$76*Inputs!$F$86/100*Construction!AH11/360+Inputs!$F$77*Inputs!$F$87/100*Construction!AH11/360+Inputs!$F$78*(Inputs!$F$88/100*Inputs!$F$82)/100*Construction!AH11/360</f>
        <v>0.000868172222222222</v>
      </c>
      <c r="AI20" s="14" t="n">
        <f aca="false">Inputs!$F$75*Inputs!$F$85/100*Construction!AI11/360+Inputs!$F$76*Inputs!$F$86/100*Construction!AI11/360+Inputs!$F$77*Inputs!$F$87/100*Construction!AI11/360+Inputs!$F$78*(Inputs!$F$88/100*Inputs!$F$82)/100*Construction!AI11/360</f>
        <v>0.000840166666666667</v>
      </c>
      <c r="AJ20" s="14" t="n">
        <f aca="false">Inputs!$F$75*Inputs!$F$85/100*Construction!AJ11/360+Inputs!$F$76*Inputs!$F$86/100*Construction!AJ11/360+Inputs!$F$77*Inputs!$F$87/100*Construction!AJ11/360+Inputs!$F$78*(Inputs!$F$88/100*Inputs!$F$82)/100*Construction!AJ11/360</f>
        <v>0.000868172222222222</v>
      </c>
      <c r="AK20" s="14" t="n">
        <f aca="false">Inputs!$F$75*Inputs!$F$85/100*Construction!AK11/360+Inputs!$F$76*Inputs!$F$86/100*Construction!AK11/360+Inputs!$F$77*Inputs!$F$87/100*Construction!AK11/360+Inputs!$F$78*(Inputs!$F$88/100*Inputs!$F$82)/100*Construction!AK11/360</f>
        <v>0.000840166666666667</v>
      </c>
      <c r="AL20" s="14" t="n">
        <f aca="false">Inputs!$F$75*Inputs!$F$85/100*Construction!AL11/360+Inputs!$F$76*Inputs!$F$86/100*Construction!AL11/360+Inputs!$F$77*Inputs!$F$87/100*Construction!AL11/360+Inputs!$F$78*(Inputs!$F$88/100*Inputs!$F$82)/100*Construction!AL11/360</f>
        <v>0.000868172222222222</v>
      </c>
      <c r="AM20" s="14" t="n">
        <f aca="false">Inputs!$F$75*Inputs!$F$85/100*Construction!AM11/360+Inputs!$F$76*Inputs!$F$86/100*Construction!AM11/360+Inputs!$F$77*Inputs!$F$87/100*Construction!AM11/360+Inputs!$F$78*(Inputs!$F$88/100*Inputs!$F$82)/100*Construction!AM11/360</f>
        <v>0.000868172222222222</v>
      </c>
      <c r="AN20" s="14" t="n">
        <f aca="false">Inputs!$F$75*Inputs!$F$85/100*Construction!AN11/360+Inputs!$F$76*Inputs!$F$86/100*Construction!AN11/360+Inputs!$F$77*Inputs!$F$87/100*Construction!AN11/360+Inputs!$F$78*(Inputs!$F$88/100*Inputs!$F$82)/100*Construction!AN11/360</f>
        <v>0.000784155555555556</v>
      </c>
      <c r="AO20" s="14" t="n">
        <f aca="false">Inputs!$F$75*Inputs!$F$85/100*Construction!AO11/360+Inputs!$F$76*Inputs!$F$86/100*Construction!AO11/360+Inputs!$F$77*Inputs!$F$87/100*Construction!AO11/360+Inputs!$F$78*(Inputs!$F$88/100*Inputs!$F$82)/100*Construction!AO11/360</f>
        <v>0.000868172222222222</v>
      </c>
      <c r="AP20" s="14" t="n">
        <f aca="false">Inputs!$F$75*Inputs!$F$85/100*Construction!AP11/360+Inputs!$F$76*Inputs!$F$86/100*Construction!AP11/360+Inputs!$F$77*Inputs!$F$87/100*Construction!AP11/360+Inputs!$F$78*(Inputs!$F$88/100*Inputs!$F$82)/100*Construction!AP11/360</f>
        <v>0.000840166666666667</v>
      </c>
      <c r="AQ20" s="14" t="n">
        <f aca="false">Inputs!$F$75*Inputs!$F$85/100*Construction!AQ11/360+Inputs!$F$76*Inputs!$F$86/100*Construction!AQ11/360+Inputs!$F$77*Inputs!$F$87/100*Construction!AQ11/360+Inputs!$F$78*(Inputs!$F$88/100*Inputs!$F$82)/100*Construction!AQ11/360</f>
        <v>0.000868172222222222</v>
      </c>
      <c r="AR20" s="14" t="n">
        <f aca="false">Inputs!$F$75*Inputs!$F$85/100*Construction!AR11/360+Inputs!$F$76*Inputs!$F$86/100*Construction!AR11/360+Inputs!$F$77*Inputs!$F$87/100*Construction!AR11/360+Inputs!$F$78*(Inputs!$F$88/100*Inputs!$F$82)/100*Construction!AR11/360</f>
        <v>0.000840166666666667</v>
      </c>
      <c r="AS20" s="14" t="n">
        <f aca="false">Inputs!$F$75*Inputs!$F$85/100*Construction!AS11/360+Inputs!$F$76*Inputs!$F$86/100*Construction!AS11/360+Inputs!$F$77*Inputs!$F$87/100*Construction!AS11/360+Inputs!$F$78*(Inputs!$F$88/100*Inputs!$F$82)/100*Construction!AS11/360</f>
        <v>0.000868172222222222</v>
      </c>
      <c r="AT20" s="14" t="n">
        <f aca="false">Inputs!$F$75*Inputs!$F$85/100*Construction!AT11/360+Inputs!$F$76*Inputs!$F$86/100*Construction!AT11/360+Inputs!$F$77*Inputs!$F$87/100*Construction!AT11/360+Inputs!$F$78*(Inputs!$F$88/100*Inputs!$F$82)/100*Construction!AT11/360</f>
        <v>0.000868172222222222</v>
      </c>
      <c r="AU20" s="14" t="n">
        <f aca="false">Inputs!$F$75*Inputs!$F$85/100*Construction!AU11/360+Inputs!$F$76*Inputs!$F$86/100*Construction!AU11/360+Inputs!$F$77*Inputs!$F$87/100*Construction!AU11/360+Inputs!$F$78*(Inputs!$F$88/100*Inputs!$F$82)/100*Construction!AU11/360</f>
        <v>0.000840166666666667</v>
      </c>
      <c r="AV20" s="14" t="n">
        <f aca="false">Inputs!$F$75*Inputs!$F$85/100*Construction!AV11/360+Inputs!$F$76*Inputs!$F$86/100*Construction!AV11/360+Inputs!$F$77*Inputs!$F$87/100*Construction!AV11/360+Inputs!$F$78*(Inputs!$F$88/100*Inputs!$F$82)/100*Construction!AV11/360</f>
        <v>0.000868172222222222</v>
      </c>
      <c r="AW20" s="14" t="n">
        <f aca="false">Inputs!$F$75*Inputs!$F$85/100*Construction!AW11/360+Inputs!$F$76*Inputs!$F$86/100*Construction!AW11/360+Inputs!$F$77*Inputs!$F$87/100*Construction!AW11/360+Inputs!$F$78*(Inputs!$F$88/100*Inputs!$F$82)/100*Construction!AW11/360</f>
        <v>0.000840166666666667</v>
      </c>
      <c r="AX20" s="14" t="n">
        <f aca="false">Inputs!$F$75*Inputs!$F$85/100*Construction!AX11/360+Inputs!$F$76*Inputs!$F$86/100*Construction!AX11/360+Inputs!$F$77*Inputs!$F$87/100*Construction!AX11/360+Inputs!$F$78*(Inputs!$F$88/100*Inputs!$F$82)/100*Construction!AX11/360</f>
        <v>0.000868172222222222</v>
      </c>
      <c r="AY20" s="14" t="n">
        <f aca="false">Inputs!$F$75*Inputs!$F$85/100*Construction!AY11/360+Inputs!$F$76*Inputs!$F$86/100*Construction!AY11/360+Inputs!$F$77*Inputs!$F$87/100*Construction!AY11/360+Inputs!$F$78*(Inputs!$F$88/100*Inputs!$F$82)/100*Construction!AY11/360</f>
        <v>0.000868172222222222</v>
      </c>
      <c r="AZ20" s="14" t="n">
        <f aca="false">Inputs!$F$75*Inputs!$F$85/100*Construction!AZ11/360+Inputs!$F$76*Inputs!$F$86/100*Construction!AZ11/360+Inputs!$F$77*Inputs!$F$87/100*Construction!AZ11/360+Inputs!$F$78*(Inputs!$F$88/100*Inputs!$F$82)/100*Construction!AZ11/360</f>
        <v>0.000784155555555556</v>
      </c>
      <c r="BA20" s="14" t="n">
        <f aca="false">Inputs!$F$75*Inputs!$F$85/100*Construction!BA11/360+Inputs!$F$76*Inputs!$F$86/100*Construction!BA11/360+Inputs!$F$77*Inputs!$F$87/100*Construction!BA11/360+Inputs!$F$78*(Inputs!$F$88/100*Inputs!$F$82)/100*Construction!BA11/360</f>
        <v>0.000868172222222222</v>
      </c>
      <c r="BB20" s="14" t="n">
        <f aca="false">Inputs!$F$75*Inputs!$F$85/100*Construction!BB11/360+Inputs!$F$76*Inputs!$F$86/100*Construction!BB11/360+Inputs!$F$77*Inputs!$F$87/100*Construction!BB11/360+Inputs!$F$78*(Inputs!$F$88/100*Inputs!$F$82)/100*Construction!BB11/360</f>
        <v>0.000840166666666667</v>
      </c>
      <c r="BC20" s="14" t="n">
        <f aca="false">Inputs!$F$75*Inputs!$F$85/100*Construction!BC11/360+Inputs!$F$76*Inputs!$F$86/100*Construction!BC11/360+Inputs!$F$77*Inputs!$F$87/100*Construction!BC11/360+Inputs!$F$78*(Inputs!$F$88/100*Inputs!$F$82)/100*Construction!BC11/360</f>
        <v>0.000868172222222222</v>
      </c>
      <c r="BD20" s="14" t="n">
        <f aca="false">Inputs!$F$75*Inputs!$F$85/100*Construction!BD11/360+Inputs!$F$76*Inputs!$F$86/100*Construction!BD11/360+Inputs!$F$77*Inputs!$F$87/100*Construction!BD11/360+Inputs!$F$78*(Inputs!$F$88/100*Inputs!$F$82)/100*Construction!BD11/360</f>
        <v>0.000840166666666667</v>
      </c>
      <c r="BE20" s="14" t="n">
        <f aca="false">Inputs!$F$75*Inputs!$F$85/100*Construction!BE11/360+Inputs!$F$76*Inputs!$F$86/100*Construction!BE11/360+Inputs!$F$77*Inputs!$F$87/100*Construction!BE11/360+Inputs!$F$78*(Inputs!$F$88/100*Inputs!$F$82)/100*Construction!BE11/360</f>
        <v>0.000868172222222222</v>
      </c>
      <c r="BF20" s="14" t="n">
        <f aca="false">Inputs!$F$75*Inputs!$F$85/100*Construction!BF11/360+Inputs!$F$76*Inputs!$F$86/100*Construction!BF11/360+Inputs!$F$77*Inputs!$F$87/100*Construction!BF11/360+Inputs!$F$78*(Inputs!$F$88/100*Inputs!$F$82)/100*Construction!BF11/360</f>
        <v>0.000868172222222222</v>
      </c>
      <c r="BG20" s="14" t="n">
        <f aca="false">Inputs!$F$75*Inputs!$F$85/100*Construction!BG11/360+Inputs!$F$76*Inputs!$F$86/100*Construction!BG11/360+Inputs!$F$77*Inputs!$F$87/100*Construction!BG11/360+Inputs!$F$78*(Inputs!$F$88/100*Inputs!$F$82)/100*Construction!BG11/360</f>
        <v>0.000840166666666667</v>
      </c>
      <c r="BH20" s="14" t="n">
        <f aca="false">Inputs!$F$75*Inputs!$F$85/100*Construction!BH11/360+Inputs!$F$76*Inputs!$F$86/100*Construction!BH11/360+Inputs!$F$77*Inputs!$F$87/100*Construction!BH11/360+Inputs!$F$78*(Inputs!$F$88/100*Inputs!$F$82)/100*Construction!BH11/360</f>
        <v>0.000868172222222222</v>
      </c>
      <c r="BI20" s="14" t="n">
        <f aca="false">Inputs!$F$75*Inputs!$F$85/100*Construction!BI11/360+Inputs!$F$76*Inputs!$F$86/100*Construction!BI11/360+Inputs!$F$77*Inputs!$F$87/100*Construction!BI11/360+Inputs!$F$78*(Inputs!$F$88/100*Inputs!$F$82)/100*Construction!BI11/360</f>
        <v>0.000840166666666667</v>
      </c>
      <c r="BJ20" s="14" t="n">
        <f aca="false">Inputs!$F$75*Inputs!$F$85/100*Construction!BJ11/360+Inputs!$F$76*Inputs!$F$86/100*Construction!BJ11/360+Inputs!$F$77*Inputs!$F$87/100*Construction!BJ11/360+Inputs!$F$78*(Inputs!$F$88/100*Inputs!$F$82)/100*Construction!BJ11/360</f>
        <v>0.000868172222222222</v>
      </c>
    </row>
    <row r="21" customFormat="false" ht="15" hidden="false" customHeight="false" outlineLevel="0" collapsed="false">
      <c r="D21" s="0" t="s">
        <v>579</v>
      </c>
      <c r="E21" s="0" t="s">
        <v>149</v>
      </c>
      <c r="J21" s="11" t="n">
        <f aca="false">Construction!J14*(Construction!J30+Construction!J36+Inputs!$F$107/12+Inputs!J233*(Inputs!$F$97/100/12-Construction!J17/100*Construction!J11/360)+Inputs!$F$99*Inputs!$F$100/100*Construction!J11/360+Construction!J15*$F$17)</f>
        <v>108.074671565637</v>
      </c>
      <c r="K21" s="11" t="n">
        <f aca="false">Construction!K14*(Construction!K30+Construction!K36+Inputs!$F$107/12+Inputs!K233*(Inputs!$F$97/100/12-Construction!K17/100*Construction!K11/360)+Inputs!$F$99*Inputs!$F$100/100*Construction!K11/360+Construction!K15*$F$17)</f>
        <v>1.48645275660601</v>
      </c>
      <c r="L21" s="11" t="n">
        <f aca="false">Construction!L14*(Construction!L30+Construction!L36+Inputs!$F$107/12+Inputs!L233*(Inputs!$F$97/100/12-Construction!L17/100*Construction!L11/360)+Inputs!$F$99*Inputs!$F$100/100*Construction!L11/360+Construction!L15*$F$17)</f>
        <v>1.92066793747148</v>
      </c>
      <c r="M21" s="11" t="n">
        <f aca="false">Construction!M14*(Construction!M30+Construction!M36+Inputs!$F$107/12+Inputs!M233*(Inputs!$F$97/100/12-Construction!M17/100*Construction!M11/360)+Inputs!$F$99*Inputs!$F$100/100*Construction!M11/360+Construction!M15*$F$17)</f>
        <v>2.73380593658109</v>
      </c>
      <c r="N21" s="11" t="n">
        <f aca="false">Construction!N14*(Construction!N30+Construction!N36+Inputs!$F$107/12+Inputs!N233*(Inputs!$F$97/100/12-Construction!N17/100*Construction!N11/360)+Inputs!$F$99*Inputs!$F$100/100*Construction!N11/360+Construction!N15*$F$17)</f>
        <v>3.84522725227674</v>
      </c>
      <c r="O21" s="11" t="n">
        <f aca="false">Construction!O14*(Construction!O30+Construction!O36+Inputs!$F$107/12+Inputs!O233*(Inputs!$F$97/100/12-Construction!O17/100*Construction!O11/360)+Inputs!$F$99*Inputs!$F$100/100*Construction!O11/360+Construction!O15*$F$17)</f>
        <v>5.16466532554532</v>
      </c>
      <c r="P21" s="11" t="n">
        <f aca="false">Construction!P14*(Construction!P30+Construction!P36+Inputs!$F$107/12+Inputs!P233*(Inputs!$F$97/100/12-Construction!P17/100*Construction!P11/360)+Inputs!$F$99*Inputs!$F$100/100*Construction!P11/360+Construction!P15*$F$17)</f>
        <v>6.71865785421441</v>
      </c>
      <c r="Q21" s="11" t="n">
        <f aca="false">Construction!Q14*(Construction!Q30+Construction!Q36+Inputs!$F$107/12+Inputs!Q233*(Inputs!$F$97/100/12-Construction!Q17/100*Construction!Q11/360)+Inputs!$F$99*Inputs!$F$100/100*Construction!Q11/360+Construction!Q15*$F$17)</f>
        <v>8.37002931355091</v>
      </c>
      <c r="R21" s="11" t="n">
        <f aca="false">Construction!R14*(Construction!R30+Construction!R36+Inputs!$F$107/12+Inputs!R233*(Inputs!$F$97/100/12-Construction!R17/100*Construction!R11/360)+Inputs!$F$99*Inputs!$F$100/100*Construction!R11/360+Construction!R15*$F$17)</f>
        <v>10.1245664137012</v>
      </c>
      <c r="S21" s="11" t="n">
        <f aca="false">Construction!S14*(Construction!S30+Construction!S36+Inputs!$F$107/12+Inputs!S233*(Inputs!$F$97/100/12-Construction!S17/100*Construction!S11/360)+Inputs!$F$99*Inputs!$F$100/100*Construction!S11/360+Construction!S15*$F$17)</f>
        <v>11.8989296900757</v>
      </c>
      <c r="T21" s="11" t="n">
        <f aca="false">Construction!T14*(Construction!T30+Construction!T36+Inputs!$F$107/12+Inputs!T233*(Inputs!$F$97/100/12-Construction!T17/100*Construction!T11/360)+Inputs!$F$99*Inputs!$F$100/100*Construction!T11/360+Construction!T15*$F$17)</f>
        <v>13.6595772295739</v>
      </c>
      <c r="U21" s="11" t="n">
        <f aca="false">Construction!U14*(Construction!U30+Construction!U36+Inputs!$F$107/12+Inputs!U233*(Inputs!$F$97/100/12-Construction!U17/100*Construction!U11/360)+Inputs!$F$99*Inputs!$F$100/100*Construction!U11/360+Construction!U15*$F$17)</f>
        <v>15.4097694198734</v>
      </c>
      <c r="V21" s="11" t="n">
        <f aca="false">Construction!V14*(Construction!V30+Construction!V36+Inputs!$F$107/12+Inputs!V233*(Inputs!$F$97/100/12-Construction!V17/100*Construction!V11/360)+Inputs!$F$99*Inputs!$F$100/100*Construction!V11/360+Construction!V15*$F$17)</f>
        <v>17.0512670413916</v>
      </c>
      <c r="W21" s="11" t="n">
        <f aca="false">Construction!W14*(Construction!W30+Construction!W36+Inputs!$F$107/12+Inputs!W233*(Inputs!$F$97/100/12-Construction!W17/100*Construction!W11/360)+Inputs!$F$99*Inputs!$F$100/100*Construction!W11/360+Construction!W15*$F$17)</f>
        <v>18.5854873943574</v>
      </c>
      <c r="X21" s="11" t="n">
        <f aca="false">Construction!X14*(Construction!X30+Construction!X36+Inputs!$F$107/12+Inputs!X233*(Inputs!$F$97/100/12-Construction!X17/100*Construction!X11/360)+Inputs!$F$99*Inputs!$F$100/100*Construction!X11/360+Construction!X15*$F$17)</f>
        <v>19.9579587689872</v>
      </c>
      <c r="Y21" s="11" t="n">
        <f aca="false">Construction!Y14*(Construction!Y30+Construction!Y36+Inputs!$F$107/12+Inputs!Y233*(Inputs!$F$97/100/12-Construction!Y17/100*Construction!Y11/360)+Inputs!$F$99*Inputs!$F$100/100*Construction!Y11/360+Construction!Y15*$F$17)</f>
        <v>21.1814718809706</v>
      </c>
      <c r="Z21" s="11" t="n">
        <f aca="false">Construction!Z14*(Construction!Z30+Construction!Z36+Inputs!$F$107/12+Inputs!Z233*(Inputs!$F$97/100/12-Construction!Z17/100*Construction!Z11/360)+Inputs!$F$99*Inputs!$F$100/100*Construction!Z11/360+Construction!Z15*$F$17)</f>
        <v>22.1943862731544</v>
      </c>
      <c r="AA21" s="11" t="n">
        <f aca="false">Construction!AA14*(Construction!AA30+Construction!AA36+Inputs!$F$107/12+Inputs!AA233*(Inputs!$F$97/100/12-Construction!AA17/100*Construction!AA11/360)+Inputs!$F$99*Inputs!$F$100/100*Construction!AA11/360+Construction!AA15*$F$17)</f>
        <v>24.1399619575693</v>
      </c>
      <c r="AB21" s="11" t="n">
        <f aca="false">Construction!AB14*(Construction!AB30+Construction!AB36+Inputs!$F$107/12+Inputs!AB233*(Inputs!$F$97/100/12-Construction!AB17/100*Construction!AB11/360)+Inputs!$F$99*Inputs!$F$100/100*Construction!AB11/360+Construction!AB15*$F$17)</f>
        <v>23.6223117556595</v>
      </c>
      <c r="AC21" s="11" t="n">
        <f aca="false">Construction!AC14*(Construction!AC30+Construction!AC36+Inputs!$F$107/12+Inputs!AC233*(Inputs!$F$97/100/12-Construction!AC17/100*Construction!AC11/360)+Inputs!$F$99*Inputs!$F$100/100*Construction!AC11/360+Construction!AC15*$F$17)</f>
        <v>23.9697754401588</v>
      </c>
      <c r="AD21" s="11" t="n">
        <f aca="false">Construction!AD14*(Construction!AD30+Construction!AD36+Inputs!$F$107/12+Inputs!AD233*(Inputs!$F$97/100/12-Construction!AD17/100*Construction!AD11/360)+Inputs!$F$99*Inputs!$F$100/100*Construction!AD11/360+Construction!AD15*$F$17)</f>
        <v>24.4619276884968</v>
      </c>
      <c r="AE21" s="11" t="n">
        <f aca="false">Construction!AE14*(Construction!AE30+Construction!AE36+Inputs!$F$107/12+Inputs!AE233*(Inputs!$F$97/100/12-Construction!AE17/100*Construction!AE11/360)+Inputs!$F$99*Inputs!$F$100/100*Construction!AE11/360+Construction!AE15*$F$17)</f>
        <v>24.3503214531301</v>
      </c>
      <c r="AF21" s="11" t="n">
        <f aca="false">Construction!AF14*(Construction!AF30+Construction!AF36+Inputs!$F$107/12+Inputs!AF233*(Inputs!$F$97/100/12-Construction!AF17/100*Construction!AF11/360)+Inputs!$F$99*Inputs!$F$100/100*Construction!AF11/360+Construction!AF15*$F$17)</f>
        <v>24.0318182035487</v>
      </c>
      <c r="AG21" s="11" t="n">
        <f aca="false">Construction!AG14*(Construction!AG30+Construction!AG36+Inputs!$F$107/12+Inputs!AG233*(Inputs!$F$97/100/12-Construction!AG17/100*Construction!AG11/360)+Inputs!$F$99*Inputs!$F$100/100*Construction!AG11/360+Construction!AG15*$F$17)</f>
        <v>23.872541263997</v>
      </c>
      <c r="AH21" s="11" t="n">
        <f aca="false">Construction!AH14*(Construction!AH30+Construction!AH36+Inputs!$F$107/12+Inputs!AH233*(Inputs!$F$97/100/12-Construction!AH17/100*Construction!AH11/360)+Inputs!$F$99*Inputs!$F$100/100*Construction!AH11/360+Construction!AH15*$F$17)</f>
        <v>23.1107919581282</v>
      </c>
      <c r="AI21" s="11" t="n">
        <f aca="false">Construction!AI14*(Construction!AI30+Construction!AI36+Inputs!$F$107/12+Inputs!AI233*(Inputs!$F$97/100/12-Construction!AI17/100*Construction!AI11/360)+Inputs!$F$99*Inputs!$F$100/100*Construction!AI11/360+Construction!AI15*$F$17)</f>
        <v>22.140520987334</v>
      </c>
      <c r="AJ21" s="11" t="n">
        <f aca="false">Construction!AJ14*(Construction!AJ30+Construction!AJ36+Inputs!$F$107/12+Inputs!AJ233*(Inputs!$F$97/100/12-Construction!AJ17/100*Construction!AJ11/360)+Inputs!$F$99*Inputs!$F$100/100*Construction!AJ11/360+Construction!AJ15*$F$17)</f>
        <v>22.5421956197825</v>
      </c>
      <c r="AK21" s="11" t="n">
        <f aca="false">Construction!AK14*(Construction!AK30+Construction!AK36+Inputs!$F$107/12+Inputs!AK233*(Inputs!$F$97/100/12-Construction!AK17/100*Construction!AK11/360)+Inputs!$F$99*Inputs!$F$100/100*Construction!AK11/360+Construction!AK15*$F$17)</f>
        <v>21.2073026615069</v>
      </c>
      <c r="AL21" s="11" t="n">
        <f aca="false">Construction!AL14*(Construction!AL30+Construction!AL36+Inputs!$F$107/12+Inputs!AL233*(Inputs!$F$97/100/12-Construction!AL17/100*Construction!AL11/360)+Inputs!$F$99*Inputs!$F$100/100*Construction!AL11/360+Construction!AL15*$F$17)</f>
        <v>19.7211810288613</v>
      </c>
      <c r="AM21" s="11" t="n">
        <f aca="false">Construction!AM14*(Construction!AM30+Construction!AM36+Inputs!$F$107/12+Inputs!AM233*(Inputs!$F$97/100/12-Construction!AM17/100*Construction!AM11/360)+Inputs!$F$99*Inputs!$F$100/100*Construction!AM11/360+Construction!AM15*$F$17)</f>
        <v>18.6507593592169</v>
      </c>
      <c r="AN21" s="11" t="n">
        <f aca="false">Construction!AN14*(Construction!AN30+Construction!AN36+Inputs!$F$107/12+Inputs!AN233*(Inputs!$F$97/100/12-Construction!AN17/100*Construction!AN11/360)+Inputs!$F$99*Inputs!$F$100/100*Construction!AN11/360+Construction!AN15*$F$17)</f>
        <v>16.9671160141811</v>
      </c>
      <c r="AO21" s="11" t="n">
        <f aca="false">Construction!AO14*(Construction!AO30+Construction!AO36+Inputs!$F$107/12+Inputs!AO233*(Inputs!$F$97/100/12-Construction!AO17/100*Construction!AO11/360)+Inputs!$F$99*Inputs!$F$100/100*Construction!AO11/360+Construction!AO15*$F$17)</f>
        <v>15.2272986936661</v>
      </c>
      <c r="AP21" s="11" t="n">
        <f aca="false">Construction!AP14*(Construction!AP30+Construction!AP36+Inputs!$F$107/12+Inputs!AP233*(Inputs!$F$97/100/12-Construction!AP17/100*Construction!AP11/360)+Inputs!$F$99*Inputs!$F$100/100*Construction!AP11/360+Construction!AP15*$F$17)</f>
        <v>11.5689095550631</v>
      </c>
      <c r="AQ21" s="11" t="n">
        <f aca="false">Construction!AQ14*(Construction!AQ30+Construction!AQ36+Inputs!$F$107/12+Inputs!AQ233*(Inputs!$F$97/100/12-Construction!AQ17/100*Construction!AQ11/360)+Inputs!$F$99*Inputs!$F$100/100*Construction!AQ11/360+Construction!AQ15*$F$17)</f>
        <v>11.1771829594832</v>
      </c>
      <c r="AR21" s="11" t="n">
        <f aca="false">Construction!AR14*(Construction!AR30+Construction!AR36+Inputs!$F$107/12+Inputs!AR233*(Inputs!$F$97/100/12-Construction!AR17/100*Construction!AR11/360)+Inputs!$F$99*Inputs!$F$100/100*Construction!AR11/360+Construction!AR15*$F$17)</f>
        <v>8.16664945176858</v>
      </c>
      <c r="AS21" s="11" t="n">
        <f aca="false">Construction!AS14*(Construction!AS30+Construction!AS36+Inputs!$F$107/12+Inputs!AS233*(Inputs!$F$97/100/12-Construction!AS17/100*Construction!AS11/360)+Inputs!$F$99*Inputs!$F$100/100*Construction!AS11/360+Construction!AS15*$F$17)</f>
        <v>5.95998642998972</v>
      </c>
      <c r="AT21" s="11" t="n">
        <f aca="false">Construction!AT14*(Construction!AT30+Construction!AT36+Inputs!$F$107/12+Inputs!AT233*(Inputs!$F$97/100/12-Construction!AT17/100*Construction!AT11/360)+Inputs!$F$99*Inputs!$F$100/100*Construction!AT11/360+Construction!AT15*$F$17)</f>
        <v>3.62533716283406</v>
      </c>
      <c r="AU21" s="11" t="n">
        <f aca="false">Construction!AU14*(Construction!AU30+Construction!AU36+Inputs!$F$107/12+Inputs!AU233*(Inputs!$F$97/100/12-Construction!AU17/100*Construction!AU11/360)+Inputs!$F$99*Inputs!$F$100/100*Construction!AU11/360+Construction!AU15*$F$17)</f>
        <v>5.16754320050533</v>
      </c>
      <c r="AV21" s="11" t="n">
        <f aca="false">Construction!AV14*(Construction!AV30+Construction!AV36+Inputs!$F$107/12+Inputs!AV233*(Inputs!$F$97/100/12-Construction!AV17/100*Construction!AV11/360)+Inputs!$F$99*Inputs!$F$100/100*Construction!AV11/360+Construction!AV15*$F$17)</f>
        <v>2.41734832523058</v>
      </c>
      <c r="AW21" s="11" t="n">
        <f aca="false">Construction!AW14*(Construction!AW30+Construction!AW36+Inputs!$F$107/12+Inputs!AW233*(Inputs!$F$97/100/12-Construction!AW17/100*Construction!AW11/360)+Inputs!$F$99*Inputs!$F$100/100*Construction!AW11/360+Construction!AW15*$F$17)</f>
        <v>57.5739090220111</v>
      </c>
      <c r="AX21" s="11" t="n">
        <f aca="false">Construction!AX14*(Construction!AX30+Construction!AX36+Inputs!$F$107/12+Inputs!AX233*(Inputs!$F$97/100/12-Construction!AX17/100*Construction!AX11/360)+Inputs!$F$99*Inputs!$F$100/100*Construction!AX11/360+Construction!AX15*$F$17)</f>
        <v>6.50729538027033</v>
      </c>
      <c r="AY21" s="11" t="n">
        <f aca="false">Construction!AY14*(Construction!AY30+Construction!AY36+Inputs!$F$107/12+Inputs!AY233*(Inputs!$F$97/100/12-Construction!AY17/100*Construction!AY11/360)+Inputs!$F$99*Inputs!$F$100/100*Construction!AY11/360+Construction!AY15*$F$17)</f>
        <v>0</v>
      </c>
      <c r="AZ21" s="11" t="n">
        <f aca="false">Construction!AZ14*(Construction!AZ30+Construction!AZ36+Inputs!$F$107/12+Inputs!AZ233*(Inputs!$F$97/100/12-Construction!AZ17/100*Construction!AZ11/360)+Inputs!$F$99*Inputs!$F$100/100*Construction!AZ11/360+Construction!AZ15*$F$17)</f>
        <v>0</v>
      </c>
      <c r="BA21" s="11" t="n">
        <f aca="false">Construction!BA14*(Construction!BA30+Construction!BA36+Inputs!$F$107/12+Inputs!BA233*(Inputs!$F$97/100/12-Construction!BA17/100*Construction!BA11/360)+Inputs!$F$99*Inputs!$F$100/100*Construction!BA11/360+Construction!BA15*$F$17)</f>
        <v>0</v>
      </c>
      <c r="BB21" s="11" t="n">
        <f aca="false">Construction!BB14*(Construction!BB30+Construction!BB36+Inputs!$F$107/12+Inputs!BB233*(Inputs!$F$97/100/12-Construction!BB17/100*Construction!BB11/360)+Inputs!$F$99*Inputs!$F$100/100*Construction!BB11/360+Construction!BB15*$F$17)</f>
        <v>0</v>
      </c>
      <c r="BC21" s="11" t="n">
        <f aca="false">Construction!BC14*(Construction!BC30+Construction!BC36+Inputs!$F$107/12+Inputs!BC233*(Inputs!$F$97/100/12-Construction!BC17/100*Construction!BC11/360)+Inputs!$F$99*Inputs!$F$100/100*Construction!BC11/360+Construction!BC15*$F$17)</f>
        <v>0</v>
      </c>
      <c r="BD21" s="11" t="n">
        <f aca="false">Construction!BD14*(Construction!BD30+Construction!BD36+Inputs!$F$107/12+Inputs!BD233*(Inputs!$F$97/100/12-Construction!BD17/100*Construction!BD11/360)+Inputs!$F$99*Inputs!$F$100/100*Construction!BD11/360+Construction!BD15*$F$17)</f>
        <v>0</v>
      </c>
      <c r="BE21" s="11" t="n">
        <f aca="false">Construction!BE14*(Construction!BE30+Construction!BE36+Inputs!$F$107/12+Inputs!BE233*(Inputs!$F$97/100/12-Construction!BE17/100*Construction!BE11/360)+Inputs!$F$99*Inputs!$F$100/100*Construction!BE11/360+Construction!BE15*$F$17)</f>
        <v>0</v>
      </c>
      <c r="BF21" s="11" t="n">
        <f aca="false">Construction!BF14*(Construction!BF30+Construction!BF36+Inputs!$F$107/12+Inputs!BF233*(Inputs!$F$97/100/12-Construction!BF17/100*Construction!BF11/360)+Inputs!$F$99*Inputs!$F$100/100*Construction!BF11/360+Construction!BF15*$F$17)</f>
        <v>0</v>
      </c>
      <c r="BG21" s="11" t="n">
        <f aca="false">Construction!BG14*(Construction!BG30+Construction!BG36+Inputs!$F$107/12+Inputs!BG233*(Inputs!$F$97/100/12-Construction!BG17/100*Construction!BG11/360)+Inputs!$F$99*Inputs!$F$100/100*Construction!BG11/360+Construction!BG15*$F$17)</f>
        <v>0</v>
      </c>
      <c r="BH21" s="11" t="n">
        <f aca="false">Construction!BH14*(Construction!BH30+Construction!BH36+Inputs!$F$107/12+Inputs!BH233*(Inputs!$F$97/100/12-Construction!BH17/100*Construction!BH11/360)+Inputs!$F$99*Inputs!$F$100/100*Construction!BH11/360+Construction!BH15*$F$17)</f>
        <v>0</v>
      </c>
      <c r="BI21" s="11" t="n">
        <f aca="false">Construction!BI14*(Construction!BI30+Construction!BI36+Inputs!$F$107/12+Inputs!BI233*(Inputs!$F$97/100/12-Construction!BI17/100*Construction!BI11/360)+Inputs!$F$99*Inputs!$F$100/100*Construction!BI11/360+Construction!BI15*$F$17)</f>
        <v>0</v>
      </c>
      <c r="BJ21" s="11" t="n">
        <f aca="false">Construction!BJ14*(Construction!BJ30+Construction!BJ36+Inputs!$F$107/12+Inputs!BJ233*(Inputs!$F$97/100/12-Construction!BJ17/100*Construction!BJ11/360)+Inputs!$F$99*Inputs!$F$100/100*Construction!BJ11/360+Construction!BJ15*$F$17)</f>
        <v>0</v>
      </c>
    </row>
    <row r="22" customFormat="false" ht="15" hidden="false" customHeight="false" outlineLevel="0" collapsed="false">
      <c r="D22" s="0" t="s">
        <v>580</v>
      </c>
      <c r="E22" s="0" t="s">
        <v>149</v>
      </c>
      <c r="J22" s="11" t="n">
        <f aca="false">0+Construction!J14*$F$9/$F$10*(J21+(J19-J20)*0)</f>
        <v>83.0842991266575</v>
      </c>
      <c r="K22" s="11" t="n">
        <f aca="false">J22+Construction!K14*$F$9/$F$10*(K21+(K19-K20)*J22)</f>
        <v>84.5083528334991</v>
      </c>
      <c r="L22" s="11" t="n">
        <f aca="false">K22+Construction!L14*$F$9/$F$10*(L21+(L19-L20)*K22)</f>
        <v>86.2805767732206</v>
      </c>
      <c r="M22" s="11" t="n">
        <f aca="false">L22+Construction!M14*$F$9/$F$10*(M21+(M19-M20)*L22)</f>
        <v>88.6743774642563</v>
      </c>
      <c r="N22" s="11" t="n">
        <f aca="false">M22+Construction!N14*$F$9/$F$10*(N21+(N19-N20)*M22)</f>
        <v>91.9407161646329</v>
      </c>
      <c r="O22" s="11" t="n">
        <f aca="false">N22+Construction!O14*$F$9/$F$10*(O21+(O19-O20)*N22)</f>
        <v>96.2550261664349</v>
      </c>
      <c r="P22" s="11" t="n">
        <f aca="false">O22+Construction!P14*$F$9/$F$10*(P21+(P19-P20)*O22)</f>
        <v>101.745291245447</v>
      </c>
      <c r="Q22" s="11" t="n">
        <f aca="false">P22+Construction!Q14*$F$9/$F$10*(Q21+(Q19-Q20)*P22)</f>
        <v>108.560452769702</v>
      </c>
      <c r="R22" s="11" t="n">
        <f aca="false">Q22+Construction!R14*$F$9/$F$10*(R21+(R19-R20)*Q22)</f>
        <v>116.736837760015</v>
      </c>
      <c r="S22" s="11" t="n">
        <f aca="false">R22+Construction!S14*$F$9/$F$10*(S21+(S19-S20)*R22)</f>
        <v>126.320975744881</v>
      </c>
      <c r="T22" s="11" t="n">
        <f aca="false">S22+Construction!T14*$F$9/$F$10*(T21+(T19-T20)*S22)</f>
        <v>137.279248543491</v>
      </c>
      <c r="U22" s="11" t="n">
        <f aca="false">T22+Construction!U14*$F$9/$F$10*(U21+(U19-U20)*T22)</f>
        <v>149.575781121891</v>
      </c>
      <c r="V22" s="11" t="n">
        <f aca="false">U22+Construction!V14*$F$9/$F$10*(V21+(V19-V20)*U22)</f>
        <v>163.174551882107</v>
      </c>
      <c r="W22" s="11" t="n">
        <f aca="false">V22+Construction!W14*$F$9/$F$10*(W21+(W19-W20)*V22)</f>
        <v>177.980103865863</v>
      </c>
      <c r="X22" s="11" t="n">
        <f aca="false">W22+Construction!X14*$F$9/$F$10*(X21+(X19-X20)*W22)</f>
        <v>193.906554384905</v>
      </c>
      <c r="Y22" s="11" t="n">
        <f aca="false">X22+Construction!Y14*$F$9/$F$10*(Y21+(Y19-Y20)*X22)</f>
        <v>210.805304966696</v>
      </c>
      <c r="Z22" s="11" t="n">
        <f aca="false">Y22+Construction!Z14*$F$9/$F$10*(Z21+(Z19-Z20)*Y22)</f>
        <v>228.558649530192</v>
      </c>
      <c r="AA22" s="11" t="n">
        <f aca="false">Z22+Construction!AA14*$F$9/$F$10*(AA21+(AA19-AA20)*Z22)</f>
        <v>247.820154127709</v>
      </c>
      <c r="AB22" s="11" t="n">
        <f aca="false">AA22+Construction!AB14*$F$9/$F$10*(AB21+(AB19-AB20)*AA22)</f>
        <v>266.693780420993</v>
      </c>
      <c r="AC22" s="11" t="n">
        <f aca="false">AB22+Construction!AC14*$F$9/$F$10*(AC21+(AC19-AC20)*AB22)</f>
        <v>285.941828072263</v>
      </c>
      <c r="AD22" s="11" t="n">
        <f aca="false">AC22+Construction!AD14*$F$9/$F$10*(AD21+(AD19-AD20)*AC22)</f>
        <v>305.599079838893</v>
      </c>
      <c r="AE22" s="11" t="n">
        <f aca="false">AD22+Construction!AE14*$F$9/$F$10*(AE21+(AE19-AE20)*AD22)</f>
        <v>325.259426353078</v>
      </c>
      <c r="AF22" s="11" t="n">
        <f aca="false">AE22+Construction!AF14*$F$9/$F$10*(AF21+(AF19-AF20)*AE22)</f>
        <v>344.703136618149</v>
      </c>
      <c r="AG22" s="11" t="n">
        <f aca="false">AF22+Construction!AG14*$F$9/$F$10*(AG21+(AG19-AG20)*AF22)</f>
        <v>363.750288004334</v>
      </c>
      <c r="AH22" s="11" t="n">
        <f aca="false">AG22+Construction!AH14*$F$9/$F$10*(AH21+(AH19-AH20)*AG22)</f>
        <v>382.250218987611</v>
      </c>
      <c r="AI22" s="11" t="n">
        <f aca="false">AH22+Construction!AI14*$F$9/$F$10*(AI21+(AI19-AI20)*AH22)</f>
        <v>400.01667074478</v>
      </c>
      <c r="AJ22" s="11" t="n">
        <f aca="false">AI22+Construction!AJ14*$F$9/$F$10*(AJ21+(AJ19-AJ20)*AI22)</f>
        <v>418.152574791288</v>
      </c>
      <c r="AK22" s="11" t="n">
        <f aca="false">AJ22+Construction!AK14*$F$9/$F$10*(AK21+(AK19-AK20)*AJ22)</f>
        <v>435.271622279486</v>
      </c>
      <c r="AL22" s="11" t="n">
        <f aca="false">AK22+Construction!AL14*$F$9/$F$10*(AL21+(AL19-AL20)*AK22)</f>
        <v>451.309874911657</v>
      </c>
      <c r="AM22" s="11" t="n">
        <f aca="false">AL22+Construction!AM14*$F$9/$F$10*(AM21+(AM19-AM20)*AL22)</f>
        <v>466.520180210142</v>
      </c>
      <c r="AN22" s="11" t="n">
        <f aca="false">AM22+Construction!AN14*$F$9/$F$10*(AN21+(AN19-AN20)*AM22)</f>
        <v>480.37829891921</v>
      </c>
      <c r="AO22" s="11" t="n">
        <f aca="false">AN22+Construction!AO14*$F$9/$F$10*(AO21+(AO19-AO20)*AN22)</f>
        <v>493.012936781855</v>
      </c>
      <c r="AP22" s="11" t="n">
        <f aca="false">AO22+Construction!AP14*$F$9/$F$10*(AP21+(AP19-AP20)*AO22)</f>
        <v>502.828806115842</v>
      </c>
      <c r="AQ22" s="11" t="n">
        <f aca="false">AP22+Construction!AQ14*$F$9/$F$10*(AQ21+(AQ19-AQ20)*AP22)</f>
        <v>512.393234602149</v>
      </c>
      <c r="AR22" s="11" t="n">
        <f aca="false">AQ22+Construction!AR14*$F$9/$F$10*(AR21+(AR19-AR20)*AQ22)</f>
        <v>519.629803200956</v>
      </c>
      <c r="AS22" s="11" t="n">
        <f aca="false">AR22+Construction!AS14*$F$9/$F$10*(AS21+(AS19-AS20)*AR22)</f>
        <v>525.183623724844</v>
      </c>
      <c r="AT22" s="11" t="n">
        <f aca="false">AS22+Construction!AT14*$F$9/$F$10*(AT21+(AT19-AT20)*AS22)</f>
        <v>528.953030196932</v>
      </c>
      <c r="AU22" s="11" t="n">
        <f aca="false">AT22+Construction!AU14*$F$9/$F$10*(AU21+(AU19-AU20)*AT22)</f>
        <v>533.883168711098</v>
      </c>
      <c r="AV22" s="11" t="n">
        <f aca="false">AU22+Construction!AV14*$F$9/$F$10*(AV21+(AV19-AV20)*AU22)</f>
        <v>536.740185226821</v>
      </c>
      <c r="AW22" s="11" t="n">
        <f aca="false">AV22+Construction!AW14*$F$9/$F$10*(AW21+(AW19-AW20)*AV22)</f>
        <v>581.972732678867</v>
      </c>
      <c r="AX22" s="11" t="n">
        <f aca="false">AW22+Construction!AX14*$F$9/$F$10*(AX21+(AX19-AX20)*AW22)</f>
        <v>588.063920072366</v>
      </c>
      <c r="AY22" s="11" t="n">
        <f aca="false">AX22+Construction!AY14*$F$9/$F$10*(AY21+(AY19-AY20)*AX22)</f>
        <v>588.063920072366</v>
      </c>
      <c r="AZ22" s="11" t="n">
        <f aca="false">AY22+Construction!AZ14*$F$9/$F$10*(AZ21+(AZ19-AZ20)*AY22)</f>
        <v>588.063920072366</v>
      </c>
      <c r="BA22" s="11" t="n">
        <f aca="false">AZ22+Construction!BA14*$F$9/$F$10*(BA21+(BA19-BA20)*AZ22)</f>
        <v>588.063920072366</v>
      </c>
      <c r="BB22" s="11" t="n">
        <f aca="false">BA22+Construction!BB14*$F$9/$F$10*(BB21+(BB19-BB20)*BA22)</f>
        <v>588.063920072366</v>
      </c>
      <c r="BC22" s="11" t="n">
        <f aca="false">BB22+Construction!BC14*$F$9/$F$10*(BC21+(BC19-BC20)*BB22)</f>
        <v>588.063920072366</v>
      </c>
      <c r="BD22" s="11" t="n">
        <f aca="false">BC22+Construction!BD14*$F$9/$F$10*(BD21+(BD19-BD20)*BC22)</f>
        <v>588.063920072366</v>
      </c>
      <c r="BE22" s="11" t="n">
        <f aca="false">BD22+Construction!BE14*$F$9/$F$10*(BE21+(BE19-BE20)*BD22)</f>
        <v>588.063920072366</v>
      </c>
      <c r="BF22" s="11" t="n">
        <f aca="false">BE22+Construction!BF14*$F$9/$F$10*(BF21+(BF19-BF20)*BE22)</f>
        <v>588.063920072366</v>
      </c>
      <c r="BG22" s="11" t="n">
        <f aca="false">BF22+Construction!BG14*$F$9/$F$10*(BG21+(BG19-BG20)*BF22)</f>
        <v>588.063920072366</v>
      </c>
      <c r="BH22" s="11" t="n">
        <f aca="false">BG22+Construction!BH14*$F$9/$F$10*(BH21+(BH19-BH20)*BG22)</f>
        <v>588.063920072366</v>
      </c>
      <c r="BI22" s="11" t="n">
        <f aca="false">BH22+Construction!BI14*$F$9/$F$10*(BI21+(BI19-BI20)*BH22)</f>
        <v>588.063920072366</v>
      </c>
      <c r="BJ22" s="11" t="n">
        <f aca="false">BI22+Construction!BJ14*$F$9/$F$10*(BJ21+(BJ19-BJ20)*BI22)</f>
        <v>588.063920072366</v>
      </c>
    </row>
    <row r="23" customFormat="false" ht="15" hidden="false" customHeight="false" outlineLevel="0" collapsed="false">
      <c r="D23" s="0" t="s">
        <v>581</v>
      </c>
      <c r="E23" s="0" t="s">
        <v>99</v>
      </c>
      <c r="J23" s="14" t="n">
        <f aca="false">0+Construction!J14*$F$9/$F$10*(J19*0+J20*($F$9-0)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4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4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4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4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4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0.0122211224563974</v>
      </c>
      <c r="P23" s="14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0.0127145341610811</v>
      </c>
      <c r="Q23" s="14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0.0132626568977709</v>
      </c>
      <c r="R23" s="14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0.0137950822489194</v>
      </c>
      <c r="S23" s="14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0.0143472465255011</v>
      </c>
      <c r="T23" s="14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0.0148835976731039</v>
      </c>
      <c r="U23" s="14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0.0154329531494392</v>
      </c>
      <c r="V23" s="14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0.0159841094158718</v>
      </c>
      <c r="W23" s="14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0.0165192348605775</v>
      </c>
      <c r="X23" s="14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0.0170739519640867</v>
      </c>
      <c r="Y23" s="14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0.0176125346760688</v>
      </c>
      <c r="Z23" s="14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0.018170835622037</v>
      </c>
      <c r="AA23" s="14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0.0187273309862905</v>
      </c>
      <c r="AB23" s="14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0.019249525766261</v>
      </c>
      <c r="AC23" s="14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0.0198093412536596</v>
      </c>
      <c r="AD23" s="14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0.0203527656620087</v>
      </c>
      <c r="AE23" s="14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0.0209159768347504</v>
      </c>
      <c r="AF23" s="14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0.0214626975047072</v>
      </c>
      <c r="AG23" s="14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0.0220065205110532</v>
      </c>
      <c r="AH23" s="14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0.02255143954132</v>
      </c>
      <c r="AI23" s="14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0.0230798433443398</v>
      </c>
      <c r="AJ23" s="14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0.0236269255554327</v>
      </c>
      <c r="AK23" s="14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0.0241574269783035</v>
      </c>
      <c r="AL23" s="14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0.024706680957464</v>
      </c>
      <c r="AM23" s="14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0.0252549963556312</v>
      </c>
      <c r="AN23" s="14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0.0257512061045631</v>
      </c>
      <c r="AO23" s="14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0.0263015401647335</v>
      </c>
      <c r="AP23" s="14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0.0268351507864771</v>
      </c>
      <c r="AQ23" s="14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0.027387579691323</v>
      </c>
      <c r="AR23" s="14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0.0279232215000323</v>
      </c>
      <c r="AS23" s="14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0.0284760193293918</v>
      </c>
      <c r="AT23" s="14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0.029029851176544</v>
      </c>
      <c r="AU23" s="14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0.0295668200143757</v>
      </c>
      <c r="AV23" s="14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0.0301226922228618</v>
      </c>
      <c r="AW23" s="14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0.0306616392973366</v>
      </c>
      <c r="AX23" s="14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0.0575691701788389</v>
      </c>
      <c r="AY23" s="14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0.0575691701788389</v>
      </c>
      <c r="AZ23" s="14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0.0575691701788389</v>
      </c>
      <c r="BA23" s="14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0.0575691701788389</v>
      </c>
      <c r="BB23" s="14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0.0575691701788389</v>
      </c>
      <c r="BC23" s="14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0.0575691701788389</v>
      </c>
      <c r="BD23" s="14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0.0575691701788389</v>
      </c>
      <c r="BE23" s="14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0.0575691701788389</v>
      </c>
      <c r="BF23" s="14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0.0575691701788389</v>
      </c>
      <c r="BG23" s="14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0.0575691701788389</v>
      </c>
      <c r="BH23" s="14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0.0575691701788389</v>
      </c>
      <c r="BI23" s="14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0.0575691701788389</v>
      </c>
      <c r="BJ23" s="14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0.0575691701788389</v>
      </c>
    </row>
    <row r="24" customFormat="false" ht="15" hidden="false" customHeight="false" outlineLevel="0" collapsed="false">
      <c r="D24" s="0" t="s">
        <v>582</v>
      </c>
      <c r="E24" s="0" t="s">
        <v>149</v>
      </c>
      <c r="F24" s="15" t="n">
        <f aca="false">INDEX(Funding!$J$22:$BJ$22,1,Time!$F$13)/(Funding!$F$9-INDEX(Funding!$J$23:$BJ$23,1,Time!$F$13))</f>
        <v>849.27460584655</v>
      </c>
    </row>
    <row r="25" customFormat="false" ht="15" hidden="false" customHeight="false" outlineLevel="0" collapsed="false">
      <c r="D25" s="0" t="s">
        <v>583</v>
      </c>
      <c r="E25" s="0" t="s">
        <v>149</v>
      </c>
      <c r="F25" s="15" t="n">
        <f aca="false">IF(Inputs!$F$51=2,Funding!$F$8*Funding!$F$24,Inputs!$F$113)</f>
        <v>633.255975542774</v>
      </c>
    </row>
    <row r="26" customFormat="false" ht="15" hidden="false" customHeight="false" outlineLevel="0" collapsed="false">
      <c r="D26" s="0" t="s">
        <v>584</v>
      </c>
      <c r="E26" s="0" t="s">
        <v>109</v>
      </c>
      <c r="F26" s="10" t="n">
        <f aca="false">$F$8</f>
        <v>0.740572531284416</v>
      </c>
    </row>
    <row r="27" customFormat="false" ht="15" hidden="false" customHeight="false" outlineLevel="0" collapsed="false">
      <c r="B27" s="2" t="s">
        <v>585</v>
      </c>
    </row>
    <row r="28" customFormat="false" ht="15" hidden="false" customHeight="false" outlineLevel="0" collapsed="false">
      <c r="D28" s="0" t="s">
        <v>586</v>
      </c>
      <c r="E28" s="0" t="s">
        <v>149</v>
      </c>
      <c r="J28" s="11" t="n">
        <f aca="false">0</f>
        <v>0</v>
      </c>
      <c r="K28" s="11" t="n">
        <f aca="false">J61</f>
        <v>26.9957049563564</v>
      </c>
      <c r="L28" s="11" t="n">
        <f aca="false">K61</f>
        <v>27.5454624676326</v>
      </c>
      <c r="M28" s="11" t="n">
        <f aca="false">L61</f>
        <v>28.203017033734</v>
      </c>
      <c r="N28" s="11" t="n">
        <f aca="false">M61</f>
        <v>29.0407817334152</v>
      </c>
      <c r="O28" s="11" t="n">
        <f aca="false">N61</f>
        <v>30.141645196386</v>
      </c>
      <c r="P28" s="11" t="n">
        <f aca="false">O61</f>
        <v>31.5538784083389</v>
      </c>
      <c r="Q28" s="11" t="n">
        <f aca="false">P61</f>
        <v>33.3017205017821</v>
      </c>
      <c r="R28" s="11" t="n">
        <f aca="false">Q61</f>
        <v>35.455353013591</v>
      </c>
      <c r="S28" s="11" t="n">
        <f aca="false">R61</f>
        <v>38.0081140235491</v>
      </c>
      <c r="T28" s="11" t="n">
        <f aca="false">S61</f>
        <v>40.9825111621215</v>
      </c>
      <c r="U28" s="11" t="n">
        <f aca="false">T61</f>
        <v>44.3597999547205</v>
      </c>
      <c r="V28" s="11" t="n">
        <f aca="false">U61</f>
        <v>48.1366828311377</v>
      </c>
      <c r="W28" s="11" t="n">
        <f aca="false">V61</f>
        <v>52.2994896381545</v>
      </c>
      <c r="X28" s="11" t="n">
        <f aca="false">W61</f>
        <v>56.8155499396714</v>
      </c>
      <c r="Y28" s="11" t="n">
        <f aca="false">X61</f>
        <v>61.668176068958</v>
      </c>
      <c r="Z28" s="11" t="n">
        <f aca="false">Y61</f>
        <v>66.8045743954285</v>
      </c>
      <c r="AA28" s="11" t="n">
        <f aca="false">Z61</f>
        <v>72.1986671201998</v>
      </c>
      <c r="AB28" s="11" t="n">
        <f aca="false">AA61</f>
        <v>78.0388832818242</v>
      </c>
      <c r="AC28" s="11" t="n">
        <f aca="false">AB61</f>
        <v>83.7556236187207</v>
      </c>
      <c r="AD28" s="11" t="n">
        <f aca="false">AC61</f>
        <v>89.5922084036165</v>
      </c>
      <c r="AE28" s="11" t="n">
        <f aca="false">AD61</f>
        <v>95.5457512416245</v>
      </c>
      <c r="AF28" s="11" t="n">
        <f aca="false">AE61</f>
        <v>101.504792657518</v>
      </c>
      <c r="AG28" s="11" t="n">
        <f aca="false">AF61</f>
        <v>107.395443105594</v>
      </c>
      <c r="AH28" s="11" t="n">
        <f aca="false">AG61</f>
        <v>113.169076346337</v>
      </c>
      <c r="AI28" s="11" t="n">
        <f aca="false">AH61</f>
        <v>118.780776347503</v>
      </c>
      <c r="AJ28" s="11" t="n">
        <f aca="false">AI61</f>
        <v>124.171088674665</v>
      </c>
      <c r="AK28" s="11" t="n">
        <f aca="false">AJ61</f>
        <v>129.675230150423</v>
      </c>
      <c r="AL28" s="11" t="n">
        <f aca="false">AK61</f>
        <v>134.874061100909</v>
      </c>
      <c r="AM28" s="11" t="n">
        <f aca="false">AL61</f>
        <v>139.757264399456</v>
      </c>
      <c r="AN28" s="11" t="n">
        <f aca="false">AM61</f>
        <v>144.395068814817</v>
      </c>
      <c r="AO28" s="11" t="n">
        <f aca="false">AN61</f>
        <v>148.619652877601</v>
      </c>
      <c r="AP28" s="11" t="n">
        <f aca="false">AO61</f>
        <v>152.494980420166</v>
      </c>
      <c r="AQ28" s="11" t="n">
        <f aca="false">AP61</f>
        <v>155.531411535144</v>
      </c>
      <c r="AR28" s="11" t="n">
        <f aca="false">AQ61</f>
        <v>158.497876883673</v>
      </c>
      <c r="AS28" s="11" t="n">
        <f aca="false">AR61</f>
        <v>160.770833116034</v>
      </c>
      <c r="AT28" s="11" t="n">
        <f aca="false">AS61</f>
        <v>162.549694239038</v>
      </c>
      <c r="AU28" s="11" t="n">
        <f aca="false">AT61</f>
        <v>163.800334482762</v>
      </c>
      <c r="AV28" s="11" t="n">
        <f aca="false">AU61</f>
        <v>165.390588251459</v>
      </c>
      <c r="AW28" s="11" t="n">
        <f aca="false">AV61</f>
        <v>166.371463686451</v>
      </c>
      <c r="AX28" s="11" t="n">
        <f aca="false">AW61</f>
        <v>179.897126072587</v>
      </c>
      <c r="AY28" s="11" t="n">
        <f aca="false">AX61</f>
        <v>188.074786732838</v>
      </c>
      <c r="AZ28" s="11" t="n">
        <f aca="false">AY61</f>
        <v>188.074786732838</v>
      </c>
      <c r="BA28" s="11" t="n">
        <f aca="false">AZ61</f>
        <v>188.074786732838</v>
      </c>
      <c r="BB28" s="11" t="n">
        <f aca="false">BA61</f>
        <v>188.074786732838</v>
      </c>
      <c r="BC28" s="11" t="n">
        <f aca="false">BB61</f>
        <v>188.074786732838</v>
      </c>
      <c r="BD28" s="11" t="n">
        <f aca="false">BC61</f>
        <v>188.074786732838</v>
      </c>
      <c r="BE28" s="11" t="n">
        <f aca="false">BD61</f>
        <v>188.074786732838</v>
      </c>
      <c r="BF28" s="11" t="n">
        <f aca="false">BE61</f>
        <v>188.074786732838</v>
      </c>
      <c r="BG28" s="11" t="n">
        <f aca="false">BF61</f>
        <v>188.074786732838</v>
      </c>
      <c r="BH28" s="11" t="n">
        <f aca="false">BG61</f>
        <v>188.074786732838</v>
      </c>
      <c r="BI28" s="11" t="n">
        <f aca="false">BH61</f>
        <v>188.074786732838</v>
      </c>
      <c r="BJ28" s="11" t="n">
        <f aca="false">BI61</f>
        <v>188.074786732838</v>
      </c>
    </row>
    <row r="29" customFormat="false" ht="15" hidden="false" customHeight="false" outlineLevel="0" collapsed="false">
      <c r="D29" s="0" t="s">
        <v>587</v>
      </c>
      <c r="E29" s="0" t="s">
        <v>149</v>
      </c>
      <c r="J29" s="11" t="n">
        <f aca="false">0</f>
        <v>0</v>
      </c>
      <c r="K29" s="11" t="n">
        <f aca="false">J62</f>
        <v>19.7968503013281</v>
      </c>
      <c r="L29" s="11" t="n">
        <f aca="false">K62</f>
        <v>20.2000058095973</v>
      </c>
      <c r="M29" s="11" t="n">
        <f aca="false">L62</f>
        <v>20.682212491405</v>
      </c>
      <c r="N29" s="11" t="n">
        <f aca="false">M62</f>
        <v>21.2965732711711</v>
      </c>
      <c r="O29" s="11" t="n">
        <f aca="false">N62</f>
        <v>22.1038731440164</v>
      </c>
      <c r="P29" s="11" t="n">
        <f aca="false">O62</f>
        <v>23.1395108327819</v>
      </c>
      <c r="Q29" s="11" t="n">
        <f aca="false">P62</f>
        <v>24.4212617013068</v>
      </c>
      <c r="R29" s="11" t="n">
        <f aca="false">Q62</f>
        <v>26.0005922099667</v>
      </c>
      <c r="S29" s="11" t="n">
        <f aca="false">R62</f>
        <v>27.8726169506027</v>
      </c>
      <c r="T29" s="11" t="n">
        <f aca="false">S62</f>
        <v>30.0538415188891</v>
      </c>
      <c r="U29" s="11" t="n">
        <f aca="false">T62</f>
        <v>32.530519966795</v>
      </c>
      <c r="V29" s="11" t="n">
        <f aca="false">U62</f>
        <v>35.3002340761677</v>
      </c>
      <c r="W29" s="11" t="n">
        <f aca="false">V62</f>
        <v>38.35295906798</v>
      </c>
      <c r="X29" s="11" t="n">
        <f aca="false">W62</f>
        <v>41.6647366224257</v>
      </c>
      <c r="Y29" s="11" t="n">
        <f aca="false">X62</f>
        <v>45.2233291172359</v>
      </c>
      <c r="Z29" s="11" t="n">
        <f aca="false">Y62</f>
        <v>48.9900212233142</v>
      </c>
      <c r="AA29" s="11" t="n">
        <f aca="false">Z62</f>
        <v>52.9456892214799</v>
      </c>
      <c r="AB29" s="11" t="n">
        <f aca="false">AA62</f>
        <v>57.2285144066711</v>
      </c>
      <c r="AC29" s="11" t="n">
        <f aca="false">AB62</f>
        <v>61.4207906537286</v>
      </c>
      <c r="AD29" s="11" t="n">
        <f aca="false">AC62</f>
        <v>65.7009528293188</v>
      </c>
      <c r="AE29" s="11" t="n">
        <f aca="false">AD62</f>
        <v>70.066884243858</v>
      </c>
      <c r="AF29" s="11" t="n">
        <f aca="false">AE62</f>
        <v>74.4368479488465</v>
      </c>
      <c r="AG29" s="11" t="n">
        <f aca="false">AF62</f>
        <v>78.756658277436</v>
      </c>
      <c r="AH29" s="11" t="n">
        <f aca="false">AG62</f>
        <v>82.9906559873141</v>
      </c>
      <c r="AI29" s="11" t="n">
        <f aca="false">AH62</f>
        <v>87.1059026548357</v>
      </c>
      <c r="AJ29" s="11" t="n">
        <f aca="false">AI62</f>
        <v>91.0587983614214</v>
      </c>
      <c r="AK29" s="11" t="n">
        <f aca="false">AJ62</f>
        <v>95.0951687769767</v>
      </c>
      <c r="AL29" s="11" t="n">
        <f aca="false">AK62</f>
        <v>98.9076448073337</v>
      </c>
      <c r="AM29" s="11" t="n">
        <f aca="false">AL62</f>
        <v>102.488660559601</v>
      </c>
      <c r="AN29" s="11" t="n">
        <f aca="false">AM62</f>
        <v>105.889717130866</v>
      </c>
      <c r="AO29" s="11" t="n">
        <f aca="false">AN62</f>
        <v>108.987745443574</v>
      </c>
      <c r="AP29" s="11" t="n">
        <f aca="false">AO62</f>
        <v>111.829652308122</v>
      </c>
      <c r="AQ29" s="11" t="n">
        <f aca="false">AP62</f>
        <v>114.056368459105</v>
      </c>
      <c r="AR29" s="11" t="n">
        <f aca="false">AQ62</f>
        <v>116.23177638136</v>
      </c>
      <c r="AS29" s="11" t="n">
        <f aca="false">AR62</f>
        <v>117.898610951758</v>
      </c>
      <c r="AT29" s="11" t="n">
        <f aca="false">AS62</f>
        <v>119.203109108628</v>
      </c>
      <c r="AU29" s="11" t="n">
        <f aca="false">AT62</f>
        <v>120.120245287359</v>
      </c>
      <c r="AV29" s="11" t="n">
        <f aca="false">AU62</f>
        <v>121.286431384404</v>
      </c>
      <c r="AW29" s="11" t="n">
        <f aca="false">AV62</f>
        <v>122.005740036731</v>
      </c>
      <c r="AX29" s="11" t="n">
        <f aca="false">AW62</f>
        <v>131.924559119897</v>
      </c>
      <c r="AY29" s="11" t="n">
        <f aca="false">AX62</f>
        <v>137.921510270748</v>
      </c>
      <c r="AZ29" s="11" t="n">
        <f aca="false">AY62</f>
        <v>137.921510270748</v>
      </c>
      <c r="BA29" s="11" t="n">
        <f aca="false">AZ62</f>
        <v>137.921510270748</v>
      </c>
      <c r="BB29" s="11" t="n">
        <f aca="false">BA62</f>
        <v>137.921510270748</v>
      </c>
      <c r="BC29" s="11" t="n">
        <f aca="false">BB62</f>
        <v>137.921510270748</v>
      </c>
      <c r="BD29" s="11" t="n">
        <f aca="false">BC62</f>
        <v>137.921510270748</v>
      </c>
      <c r="BE29" s="11" t="n">
        <f aca="false">BD62</f>
        <v>137.921510270748</v>
      </c>
      <c r="BF29" s="11" t="n">
        <f aca="false">BE62</f>
        <v>137.921510270748</v>
      </c>
      <c r="BG29" s="11" t="n">
        <f aca="false">BF62</f>
        <v>137.921510270748</v>
      </c>
      <c r="BH29" s="11" t="n">
        <f aca="false">BG62</f>
        <v>137.921510270748</v>
      </c>
      <c r="BI29" s="11" t="n">
        <f aca="false">BH62</f>
        <v>137.921510270748</v>
      </c>
      <c r="BJ29" s="11" t="n">
        <f aca="false">BI62</f>
        <v>137.921510270748</v>
      </c>
    </row>
    <row r="30" customFormat="false" ht="15" hidden="false" customHeight="false" outlineLevel="0" collapsed="false">
      <c r="D30" s="0" t="s">
        <v>588</v>
      </c>
      <c r="E30" s="0" t="s">
        <v>149</v>
      </c>
      <c r="J30" s="11" t="n">
        <f aca="false">0</f>
        <v>0</v>
      </c>
      <c r="K30" s="11" t="n">
        <f aca="false">J63</f>
        <v>8.99856831878548</v>
      </c>
      <c r="L30" s="11" t="n">
        <f aca="false">K63</f>
        <v>9.18182082254421</v>
      </c>
      <c r="M30" s="11" t="n">
        <f aca="false">L63</f>
        <v>9.40100567791135</v>
      </c>
      <c r="N30" s="11" t="n">
        <f aca="false">M63</f>
        <v>9.68026057780506</v>
      </c>
      <c r="O30" s="11" t="n">
        <f aca="false">N63</f>
        <v>10.047215065462</v>
      </c>
      <c r="P30" s="11" t="n">
        <f aca="false">O63</f>
        <v>10.5179594694463</v>
      </c>
      <c r="Q30" s="11" t="n">
        <f aca="false">P63</f>
        <v>11.100573500594</v>
      </c>
      <c r="R30" s="11" t="n">
        <f aca="false">Q63</f>
        <v>11.8184510045303</v>
      </c>
      <c r="S30" s="11" t="n">
        <f aca="false">R63</f>
        <v>12.669371341183</v>
      </c>
      <c r="T30" s="11" t="n">
        <f aca="false">S63</f>
        <v>13.6608370540405</v>
      </c>
      <c r="U30" s="11" t="n">
        <f aca="false">T63</f>
        <v>14.7865999849068</v>
      </c>
      <c r="V30" s="11" t="n">
        <f aca="false">U63</f>
        <v>16.0455609437126</v>
      </c>
      <c r="W30" s="11" t="n">
        <f aca="false">V63</f>
        <v>17.4331632127182</v>
      </c>
      <c r="X30" s="11" t="n">
        <f aca="false">W63</f>
        <v>18.9385166465571</v>
      </c>
      <c r="Y30" s="11" t="n">
        <f aca="false">X63</f>
        <v>20.5560586896527</v>
      </c>
      <c r="Z30" s="11" t="n">
        <f aca="false">Y63</f>
        <v>22.2681914651428</v>
      </c>
      <c r="AA30" s="11" t="n">
        <f aca="false">Z63</f>
        <v>24.0662223734</v>
      </c>
      <c r="AB30" s="11" t="n">
        <f aca="false">AA63</f>
        <v>26.0129610939414</v>
      </c>
      <c r="AC30" s="11" t="n">
        <f aca="false">AB63</f>
        <v>27.9185412062403</v>
      </c>
      <c r="AD30" s="11" t="n">
        <f aca="false">AC63</f>
        <v>29.8640694678722</v>
      </c>
      <c r="AE30" s="11" t="n">
        <f aca="false">AD63</f>
        <v>31.8485837472082</v>
      </c>
      <c r="AF30" s="11" t="n">
        <f aca="false">AE63</f>
        <v>33.8349308858393</v>
      </c>
      <c r="AG30" s="11" t="n">
        <f aca="false">AF63</f>
        <v>35.7984810351982</v>
      </c>
      <c r="AH30" s="11" t="n">
        <f aca="false">AG63</f>
        <v>37.7230254487791</v>
      </c>
      <c r="AI30" s="11" t="n">
        <f aca="false">AH63</f>
        <v>39.5935921158344</v>
      </c>
      <c r="AJ30" s="11" t="n">
        <f aca="false">AI63</f>
        <v>41.3903628915552</v>
      </c>
      <c r="AK30" s="11" t="n">
        <f aca="false">AJ63</f>
        <v>43.2250767168076</v>
      </c>
      <c r="AL30" s="11" t="n">
        <f aca="false">AK63</f>
        <v>44.9580203669699</v>
      </c>
      <c r="AM30" s="11" t="n">
        <f aca="false">AL63</f>
        <v>46.5857547998187</v>
      </c>
      <c r="AN30" s="11" t="n">
        <f aca="false">AM63</f>
        <v>48.1316896049391</v>
      </c>
      <c r="AO30" s="11" t="n">
        <f aca="false">AN63</f>
        <v>49.5398842925336</v>
      </c>
      <c r="AP30" s="11" t="n">
        <f aca="false">AO63</f>
        <v>50.8316601400554</v>
      </c>
      <c r="AQ30" s="11" t="n">
        <f aca="false">AP63</f>
        <v>51.8438038450479</v>
      </c>
      <c r="AR30" s="11" t="n">
        <f aca="false">AQ63</f>
        <v>52.8326256278911</v>
      </c>
      <c r="AS30" s="11" t="n">
        <f aca="false">AR63</f>
        <v>53.5902777053446</v>
      </c>
      <c r="AT30" s="11" t="n">
        <f aca="false">AS63</f>
        <v>54.1832314130129</v>
      </c>
      <c r="AU30" s="11" t="n">
        <f aca="false">AT63</f>
        <v>54.6001114942542</v>
      </c>
      <c r="AV30" s="11" t="n">
        <f aca="false">AU63</f>
        <v>55.1301960838199</v>
      </c>
      <c r="AW30" s="11" t="n">
        <f aca="false">AV63</f>
        <v>55.4571545621504</v>
      </c>
      <c r="AX30" s="11" t="n">
        <f aca="false">AW63</f>
        <v>59.9657086908622</v>
      </c>
      <c r="AY30" s="11" t="n">
        <f aca="false">AX63</f>
        <v>62.6915955776128</v>
      </c>
      <c r="AZ30" s="11" t="n">
        <f aca="false">AY63</f>
        <v>62.6915955776128</v>
      </c>
      <c r="BA30" s="11" t="n">
        <f aca="false">AZ63</f>
        <v>62.6915955776128</v>
      </c>
      <c r="BB30" s="11" t="n">
        <f aca="false">BA63</f>
        <v>62.6915955776128</v>
      </c>
      <c r="BC30" s="11" t="n">
        <f aca="false">BB63</f>
        <v>62.6915955776128</v>
      </c>
      <c r="BD30" s="11" t="n">
        <f aca="false">BC63</f>
        <v>62.6915955776128</v>
      </c>
      <c r="BE30" s="11" t="n">
        <f aca="false">BD63</f>
        <v>62.6915955776128</v>
      </c>
      <c r="BF30" s="11" t="n">
        <f aca="false">BE63</f>
        <v>62.6915955776128</v>
      </c>
      <c r="BG30" s="11" t="n">
        <f aca="false">BF63</f>
        <v>62.6915955776128</v>
      </c>
      <c r="BH30" s="11" t="n">
        <f aca="false">BG63</f>
        <v>62.6915955776128</v>
      </c>
      <c r="BI30" s="11" t="n">
        <f aca="false">BH63</f>
        <v>62.6915955776128</v>
      </c>
      <c r="BJ30" s="11" t="n">
        <f aca="false">BI63</f>
        <v>62.6915955776128</v>
      </c>
    </row>
    <row r="31" customFormat="false" ht="15" hidden="false" customHeight="false" outlineLevel="0" collapsed="false">
      <c r="D31" s="0" t="s">
        <v>589</v>
      </c>
      <c r="E31" s="0" t="s">
        <v>149</v>
      </c>
      <c r="J31" s="11" t="n">
        <f aca="false">0</f>
        <v>0</v>
      </c>
      <c r="K31" s="11" t="n">
        <f aca="false">J64</f>
        <v>34.1945596113848</v>
      </c>
      <c r="L31" s="11" t="n">
        <f aca="false">K64</f>
        <v>34.890919125668</v>
      </c>
      <c r="M31" s="11" t="n">
        <f aca="false">L64</f>
        <v>35.7238215760631</v>
      </c>
      <c r="N31" s="11" t="n">
        <f aca="false">M64</f>
        <v>36.7849901956592</v>
      </c>
      <c r="O31" s="11" t="n">
        <f aca="false">N64</f>
        <v>38.1794172487556</v>
      </c>
      <c r="P31" s="11" t="n">
        <f aca="false">O64</f>
        <v>39.968245983896</v>
      </c>
      <c r="Q31" s="11" t="n">
        <f aca="false">P64</f>
        <v>42.1821793022573</v>
      </c>
      <c r="R31" s="11" t="n">
        <f aca="false">Q64</f>
        <v>44.9101138172153</v>
      </c>
      <c r="S31" s="11" t="n">
        <f aca="false">R64</f>
        <v>48.1436110964956</v>
      </c>
      <c r="T31" s="11" t="n">
        <f aca="false">S64</f>
        <v>51.9111808053539</v>
      </c>
      <c r="U31" s="11" t="n">
        <f aca="false">T64</f>
        <v>56.189079942646</v>
      </c>
      <c r="V31" s="11" t="n">
        <f aca="false">U64</f>
        <v>60.9731315861077</v>
      </c>
      <c r="W31" s="11" t="n">
        <f aca="false">V64</f>
        <v>66.2460202083291</v>
      </c>
      <c r="X31" s="11" t="n">
        <f aca="false">W64</f>
        <v>71.9663632569171</v>
      </c>
      <c r="Y31" s="11" t="n">
        <f aca="false">X64</f>
        <v>78.1130230206802</v>
      </c>
      <c r="Z31" s="11" t="n">
        <f aca="false">Y64</f>
        <v>84.6191275675427</v>
      </c>
      <c r="AA31" s="11" t="n">
        <f aca="false">Z64</f>
        <v>91.4516450189198</v>
      </c>
      <c r="AB31" s="11" t="n">
        <f aca="false">AA64</f>
        <v>98.8492521569773</v>
      </c>
      <c r="AC31" s="11" t="n">
        <f aca="false">AB64</f>
        <v>106.090456583713</v>
      </c>
      <c r="AD31" s="11" t="n">
        <f aca="false">AC64</f>
        <v>113.483463977914</v>
      </c>
      <c r="AE31" s="11" t="n">
        <f aca="false">AD64</f>
        <v>121.024618239391</v>
      </c>
      <c r="AF31" s="11" t="n">
        <f aca="false">AE64</f>
        <v>128.572737366189</v>
      </c>
      <c r="AG31" s="11" t="n">
        <f aca="false">AF64</f>
        <v>136.034227933753</v>
      </c>
      <c r="AH31" s="11" t="n">
        <f aca="false">AG64</f>
        <v>143.347496705361</v>
      </c>
      <c r="AI31" s="11" t="n">
        <f aca="false">AH64</f>
        <v>150.455650040171</v>
      </c>
      <c r="AJ31" s="11" t="n">
        <f aca="false">AI64</f>
        <v>157.28337898791</v>
      </c>
      <c r="AK31" s="11" t="n">
        <f aca="false">AJ64</f>
        <v>164.255291523869</v>
      </c>
      <c r="AL31" s="11" t="n">
        <f aca="false">AK64</f>
        <v>170.840477394485</v>
      </c>
      <c r="AM31" s="11" t="n">
        <f aca="false">AL64</f>
        <v>177.025868239311</v>
      </c>
      <c r="AN31" s="11" t="n">
        <f aca="false">AM64</f>
        <v>182.900420498768</v>
      </c>
      <c r="AO31" s="11" t="n">
        <f aca="false">AN64</f>
        <v>188.251560311628</v>
      </c>
      <c r="AP31" s="11" t="n">
        <f aca="false">AO64</f>
        <v>193.16030853221</v>
      </c>
      <c r="AQ31" s="11" t="n">
        <f aca="false">AP64</f>
        <v>197.006454611182</v>
      </c>
      <c r="AR31" s="11" t="n">
        <f aca="false">AQ64</f>
        <v>200.763977385986</v>
      </c>
      <c r="AS31" s="11" t="n">
        <f aca="false">AR64</f>
        <v>203.64305528031</v>
      </c>
      <c r="AT31" s="11" t="n">
        <f aca="false">AS64</f>
        <v>205.896279369449</v>
      </c>
      <c r="AU31" s="11" t="n">
        <f aca="false">AT64</f>
        <v>207.480423678166</v>
      </c>
      <c r="AV31" s="11" t="n">
        <f aca="false">AU64</f>
        <v>209.494745118515</v>
      </c>
      <c r="AW31" s="11" t="n">
        <f aca="false">AV64</f>
        <v>210.737187336171</v>
      </c>
      <c r="AX31" s="11" t="n">
        <f aca="false">AW64</f>
        <v>227.869693025277</v>
      </c>
      <c r="AY31" s="11" t="n">
        <f aca="false">AX64</f>
        <v>238.228063194929</v>
      </c>
      <c r="AZ31" s="11" t="n">
        <f aca="false">AY64</f>
        <v>238.228063194929</v>
      </c>
      <c r="BA31" s="11" t="n">
        <f aca="false">AZ64</f>
        <v>238.228063194929</v>
      </c>
      <c r="BB31" s="11" t="n">
        <f aca="false">BA64</f>
        <v>238.228063194929</v>
      </c>
      <c r="BC31" s="11" t="n">
        <f aca="false">BB64</f>
        <v>238.228063194929</v>
      </c>
      <c r="BD31" s="11" t="n">
        <f aca="false">BC64</f>
        <v>238.228063194929</v>
      </c>
      <c r="BE31" s="11" t="n">
        <f aca="false">BD64</f>
        <v>238.228063194929</v>
      </c>
      <c r="BF31" s="11" t="n">
        <f aca="false">BE64</f>
        <v>238.228063194929</v>
      </c>
      <c r="BG31" s="11" t="n">
        <f aca="false">BF64</f>
        <v>238.228063194929</v>
      </c>
      <c r="BH31" s="11" t="n">
        <f aca="false">BG64</f>
        <v>238.228063194929</v>
      </c>
      <c r="BI31" s="11" t="n">
        <f aca="false">BH64</f>
        <v>238.228063194929</v>
      </c>
      <c r="BJ31" s="11" t="n">
        <f aca="false">BI64</f>
        <v>238.228063194929</v>
      </c>
    </row>
    <row r="32" customFormat="false" ht="15" hidden="false" customHeight="false" outlineLevel="0" collapsed="false">
      <c r="D32" s="0" t="s">
        <v>590</v>
      </c>
      <c r="E32" s="0" t="s">
        <v>149</v>
      </c>
      <c r="J32" s="11" t="n">
        <f aca="false">0</f>
        <v>0</v>
      </c>
      <c r="K32" s="11" t="n">
        <f aca="false">J65</f>
        <v>0</v>
      </c>
      <c r="L32" s="11" t="n">
        <f aca="false">K65</f>
        <v>0</v>
      </c>
      <c r="M32" s="11" t="n">
        <f aca="false">L65</f>
        <v>0</v>
      </c>
      <c r="N32" s="11" t="n">
        <f aca="false">M65</f>
        <v>0</v>
      </c>
      <c r="O32" s="11" t="n">
        <f aca="false">N65</f>
        <v>0</v>
      </c>
      <c r="P32" s="11" t="n">
        <f aca="false">O65</f>
        <v>0</v>
      </c>
      <c r="Q32" s="11" t="n">
        <f aca="false">P65</f>
        <v>0</v>
      </c>
      <c r="R32" s="11" t="n">
        <f aca="false">Q65</f>
        <v>0</v>
      </c>
      <c r="S32" s="11" t="n">
        <f aca="false">R65</f>
        <v>0</v>
      </c>
      <c r="T32" s="11" t="n">
        <f aca="false">S65</f>
        <v>0</v>
      </c>
      <c r="U32" s="11" t="n">
        <f aca="false">T65</f>
        <v>0</v>
      </c>
      <c r="V32" s="11" t="n">
        <f aca="false">U65</f>
        <v>0</v>
      </c>
      <c r="W32" s="11" t="n">
        <f aca="false">V65</f>
        <v>0</v>
      </c>
      <c r="X32" s="11" t="n">
        <f aca="false">W65</f>
        <v>0</v>
      </c>
      <c r="Y32" s="11" t="n">
        <f aca="false">X65</f>
        <v>0</v>
      </c>
      <c r="Z32" s="11" t="n">
        <f aca="false">Y65</f>
        <v>0</v>
      </c>
      <c r="AA32" s="11" t="n">
        <f aca="false">Z65</f>
        <v>0</v>
      </c>
      <c r="AB32" s="11" t="n">
        <f aca="false">AA65</f>
        <v>0</v>
      </c>
      <c r="AC32" s="11" t="n">
        <f aca="false">AB65</f>
        <v>0</v>
      </c>
      <c r="AD32" s="11" t="n">
        <f aca="false">AC65</f>
        <v>0</v>
      </c>
      <c r="AE32" s="11" t="n">
        <f aca="false">AD65</f>
        <v>0</v>
      </c>
      <c r="AF32" s="11" t="n">
        <f aca="false">AE65</f>
        <v>0</v>
      </c>
      <c r="AG32" s="11" t="n">
        <f aca="false">AF65</f>
        <v>0</v>
      </c>
      <c r="AH32" s="11" t="n">
        <f aca="false">AG65</f>
        <v>0</v>
      </c>
      <c r="AI32" s="11" t="n">
        <f aca="false">AH65</f>
        <v>0</v>
      </c>
      <c r="AJ32" s="11" t="n">
        <f aca="false">AI65</f>
        <v>0</v>
      </c>
      <c r="AK32" s="11" t="n">
        <f aca="false">AJ65</f>
        <v>0</v>
      </c>
      <c r="AL32" s="11" t="n">
        <f aca="false">AK65</f>
        <v>0</v>
      </c>
      <c r="AM32" s="11" t="n">
        <f aca="false">AL65</f>
        <v>0</v>
      </c>
      <c r="AN32" s="11" t="n">
        <f aca="false">AM65</f>
        <v>0</v>
      </c>
      <c r="AO32" s="11" t="n">
        <f aca="false">AN65</f>
        <v>0</v>
      </c>
      <c r="AP32" s="11" t="n">
        <f aca="false">AO65</f>
        <v>0</v>
      </c>
      <c r="AQ32" s="11" t="n">
        <f aca="false">AP65</f>
        <v>0</v>
      </c>
      <c r="AR32" s="11" t="n">
        <f aca="false">AQ65</f>
        <v>0</v>
      </c>
      <c r="AS32" s="11" t="n">
        <f aca="false">AR65</f>
        <v>0</v>
      </c>
      <c r="AT32" s="11" t="n">
        <f aca="false">AS65</f>
        <v>0</v>
      </c>
      <c r="AU32" s="11" t="n">
        <f aca="false">AT65</f>
        <v>0</v>
      </c>
      <c r="AV32" s="11" t="n">
        <f aca="false">AU65</f>
        <v>0</v>
      </c>
      <c r="AW32" s="11" t="n">
        <f aca="false">AV65</f>
        <v>0</v>
      </c>
      <c r="AX32" s="11" t="n">
        <f aca="false">AW65</f>
        <v>0</v>
      </c>
      <c r="AY32" s="11" t="n">
        <f aca="false">AX65</f>
        <v>0</v>
      </c>
      <c r="AZ32" s="11" t="n">
        <f aca="false">AY65</f>
        <v>0</v>
      </c>
      <c r="BA32" s="11" t="n">
        <f aca="false">AZ65</f>
        <v>0</v>
      </c>
      <c r="BB32" s="11" t="n">
        <f aca="false">BA65</f>
        <v>0</v>
      </c>
      <c r="BC32" s="11" t="n">
        <f aca="false">BB65</f>
        <v>0</v>
      </c>
      <c r="BD32" s="11" t="n">
        <f aca="false">BC65</f>
        <v>0</v>
      </c>
      <c r="BE32" s="11" t="n">
        <f aca="false">BD65</f>
        <v>0</v>
      </c>
      <c r="BF32" s="11" t="n">
        <f aca="false">BE65</f>
        <v>0</v>
      </c>
      <c r="BG32" s="11" t="n">
        <f aca="false">BF65</f>
        <v>0</v>
      </c>
      <c r="BH32" s="11" t="n">
        <f aca="false">BG65</f>
        <v>0</v>
      </c>
      <c r="BI32" s="11" t="n">
        <f aca="false">BH65</f>
        <v>0</v>
      </c>
      <c r="BJ32" s="11" t="n">
        <f aca="false">BI65</f>
        <v>0</v>
      </c>
    </row>
    <row r="33" customFormat="false" ht="15" hidden="false" customHeight="false" outlineLevel="0" collapsed="false">
      <c r="D33" s="0" t="s">
        <v>591</v>
      </c>
      <c r="E33" s="0" t="s">
        <v>149</v>
      </c>
      <c r="G33" s="11" t="n">
        <f aca="false">SUM(J33:BJ33)</f>
        <v>7.09281313524516</v>
      </c>
      <c r="J33" s="11" t="n">
        <f aca="false">Construction!J14*J28*(Construction!J17+Inputs!$F$79)/100*Construction!J11/360*1</f>
        <v>0</v>
      </c>
      <c r="K33" s="11" t="n">
        <f aca="false">Construction!K14*K28*(Construction!K17+Inputs!$F$79)/100*Construction!K11/360*1</f>
        <v>0.0870611484842495</v>
      </c>
      <c r="L33" s="11" t="n">
        <f aca="false">Construction!L14*L28*(Construction!L17+Inputs!$F$79)/100*Construction!L11/360*1</f>
        <v>0.0917952536733857</v>
      </c>
      <c r="M33" s="11" t="n">
        <f aca="false">Construction!M14*M28*(Construction!M17+Inputs!$F$79)/100*Construction!M11/360*1</f>
        <v>0.0909547299337923</v>
      </c>
      <c r="N33" s="11" t="n">
        <f aca="false">Construction!N14*N28*(Construction!N17+Inputs!$F$79)/100*Construction!N11/360*1</f>
        <v>0.0967784051266061</v>
      </c>
      <c r="O33" s="11" t="n">
        <f aca="false">Construction!O14*O28*(Construction!O17+Inputs!$F$79)/100*Construction!O11/360*1</f>
        <v>0.109531389571978</v>
      </c>
      <c r="P33" s="11" t="n">
        <f aca="false">Construction!P14*P28*(Construction!P17+Inputs!$F$79)/100*Construction!P11/360*1</f>
        <v>0.103566840909148</v>
      </c>
      <c r="Q33" s="11" t="n">
        <f aca="false">Construction!Q14*Q28*(Construction!Q17+Inputs!$F$79)/100*Construction!Q11/360*1</f>
        <v>0.121014752112309</v>
      </c>
      <c r="R33" s="11" t="n">
        <f aca="false">Construction!R14*R28*(Construction!R17+Inputs!$F$79)/100*Construction!R11/360*1</f>
        <v>0.124684658097795</v>
      </c>
      <c r="S33" s="11" t="n">
        <f aca="false">Construction!S14*S28*(Construction!S17+Inputs!$F$79)/100*Construction!S11/360*1</f>
        <v>0.138117263237797</v>
      </c>
      <c r="T33" s="11" t="n">
        <f aca="false">Construction!T14*T28*(Construction!T17+Inputs!$F$79)/100*Construction!T11/360*1</f>
        <v>0.144121830920127</v>
      </c>
      <c r="U33" s="11" t="n">
        <f aca="false">Construction!U14*U28*(Construction!U17+Inputs!$F$79)/100*Construction!U11/360*1</f>
        <v>0.13560544402825</v>
      </c>
      <c r="V33" s="11" t="n">
        <f aca="false">Construction!V14*V28*(Construction!V17+Inputs!$F$79)/100*Construction!V11/360*1</f>
        <v>0.147151165154631</v>
      </c>
      <c r="W33" s="11" t="n">
        <f aca="false">Construction!W14*W28*(Construction!W17+Inputs!$F$79)/100*Construction!W11/360*1</f>
        <v>0.154719323512874</v>
      </c>
      <c r="X33" s="11" t="n">
        <f aca="false">Construction!X14*X28*(Construction!X17+Inputs!$F$79)/100*Construction!X11/360*1</f>
        <v>0.173681979746134</v>
      </c>
      <c r="Y33" s="11" t="n">
        <f aca="false">Construction!Y14*Y28*(Construction!Y17+Inputs!$F$79)/100*Construction!Y11/360*1</f>
        <v>0.182435020870667</v>
      </c>
      <c r="Z33" s="11" t="n">
        <f aca="false">Construction!Z14*Z28*(Construction!Z17+Inputs!$F$79)/100*Construction!Z11/360*1</f>
        <v>0.204217872561581</v>
      </c>
      <c r="AA33" s="11" t="n">
        <f aca="false">Construction!AA14*AA28*(Construction!AA17+Inputs!$F$79)/100*Construction!AA11/360*1</f>
        <v>0.20267770275465</v>
      </c>
      <c r="AB33" s="11" t="n">
        <f aca="false">Construction!AB14*AB28*(Construction!AB17+Inputs!$F$79)/100*Construction!AB11/360*1</f>
        <v>0.204938778485102</v>
      </c>
      <c r="AC33" s="11" t="n">
        <f aca="false">Construction!AC14*AC28*(Construction!AC17+Inputs!$F$79)/100*Construction!AC11/360*1</f>
        <v>0.235120647858553</v>
      </c>
      <c r="AD33" s="11" t="n">
        <f aca="false">Construction!AD14*AD28*(Construction!AD17+Inputs!$F$79)/100*Construction!AD11/360*1</f>
        <v>0.243392166163158</v>
      </c>
      <c r="AE33" s="11" t="n">
        <f aca="false">Construction!AE14*AE28*(Construction!AE17+Inputs!$F$79)/100*Construction!AE11/360*1</f>
        <v>0.268218156124405</v>
      </c>
      <c r="AF33" s="11" t="n">
        <f aca="false">Construction!AF14*AF28*(Construction!AF17+Inputs!$F$79)/100*Construction!AF11/360*1</f>
        <v>0.27575468671959</v>
      </c>
      <c r="AG33" s="11" t="n">
        <f aca="false">Construction!AG14*AG28*(Construction!AG17+Inputs!$F$79)/100*Construction!AG11/360*1</f>
        <v>0.159064584066397</v>
      </c>
      <c r="AH33" s="11" t="n">
        <f aca="false">Construction!AH14*AH28*(Construction!AH17+Inputs!$F$79)/100*Construction!AH11/360*1</f>
        <v>0.167615976410742</v>
      </c>
      <c r="AI33" s="11" t="n">
        <f aca="false">Construction!AI14*AI28*(Construction!AI17+Inputs!$F$79)/100*Construction!AI11/360*1</f>
        <v>0.170252446098088</v>
      </c>
      <c r="AJ33" s="11" t="n">
        <f aca="false">Construction!AJ14*AJ28*(Construction!AJ17+Inputs!$F$79)/100*Construction!AJ11/360*1</f>
        <v>0.18391117911481</v>
      </c>
      <c r="AK33" s="11" t="n">
        <f aca="false">Construction!AK14*AK28*(Construction!AK17+Inputs!$F$79)/100*Construction!AK11/360*1</f>
        <v>0.185867829882273</v>
      </c>
      <c r="AL33" s="11" t="n">
        <f aca="false">Construction!AL14*AL28*(Construction!AL17+Inputs!$F$79)/100*Construction!AL11/360*1</f>
        <v>0.199763470497236</v>
      </c>
      <c r="AM33" s="11" t="n">
        <f aca="false">Construction!AM14*AM28*(Construction!AM17+Inputs!$F$79)/100*Construction!AM11/360*1</f>
        <v>0.192554453172584</v>
      </c>
      <c r="AN33" s="11" t="n">
        <f aca="false">Construction!AN14*AN28*(Construction!AN17+Inputs!$F$79)/100*Construction!AN11/360*1</f>
        <v>0.179691641191772</v>
      </c>
      <c r="AO33" s="11" t="n">
        <f aca="false">Construction!AO14*AO28*(Construction!AO17+Inputs!$F$79)/100*Construction!AO11/360*1</f>
        <v>0.204764855075805</v>
      </c>
      <c r="AP33" s="11" t="n">
        <f aca="false">Construction!AP14*AP28*(Construction!AP17+Inputs!$F$79)/100*Construction!AP11/360*1</f>
        <v>0.203326640560221</v>
      </c>
      <c r="AQ33" s="11" t="n">
        <f aca="false">Construction!AQ14*AQ28*(Construction!AQ17+Inputs!$F$79)/100*Construction!AQ11/360*1</f>
        <v>0.214287722559531</v>
      </c>
      <c r="AR33" s="11" t="n">
        <f aca="false">Construction!AR14*AR28*(Construction!AR17+Inputs!$F$79)/100*Construction!AR11/360*1</f>
        <v>0.211330502511564</v>
      </c>
      <c r="AS33" s="11" t="n">
        <f aca="false">Construction!AS14*AS28*(Construction!AS17+Inputs!$F$79)/100*Construction!AS11/360*1</f>
        <v>0.209046741615598</v>
      </c>
      <c r="AT33" s="11" t="n">
        <f aca="false">Construction!AT14*AT28*(Construction!AT17+Inputs!$F$79)/100*Construction!AT11/360*1</f>
        <v>0.211359755203594</v>
      </c>
      <c r="AU33" s="11" t="n">
        <f aca="false">Construction!AU14*AU28*(Construction!AU17+Inputs!$F$79)/100*Construction!AU11/360*1</f>
        <v>0.206115420890809</v>
      </c>
      <c r="AV33" s="11" t="n">
        <f aca="false">Construction!AV14*AV28*(Construction!AV17+Inputs!$F$79)/100*Construction!AV11/360*1</f>
        <v>0.215053706556967</v>
      </c>
      <c r="AW33" s="11" t="n">
        <f aca="false">Construction!AW14*AW28*(Construction!AW17+Inputs!$F$79)/100*Construction!AW11/360*1</f>
        <v>0.209350758472118</v>
      </c>
      <c r="AX33" s="11" t="n">
        <f aca="false">Construction!AX14*AX28*(Construction!AX17+Inputs!$F$79)/100*Construction!AX11/360*1</f>
        <v>0.233916235318272</v>
      </c>
      <c r="AY33" s="11" t="n">
        <f aca="false">Construction!AY14*AY28*(Construction!AY17+Inputs!$F$79)/100*Construction!AY11/360*1</f>
        <v>0</v>
      </c>
      <c r="AZ33" s="11" t="n">
        <f aca="false">Construction!AZ14*AZ28*(Construction!AZ17+Inputs!$F$79)/100*Construction!AZ11/360*1</f>
        <v>0</v>
      </c>
      <c r="BA33" s="11" t="n">
        <f aca="false">Construction!BA14*BA28*(Construction!BA17+Inputs!$F$79)/100*Construction!BA11/360*1</f>
        <v>0</v>
      </c>
      <c r="BB33" s="11" t="n">
        <f aca="false">Construction!BB14*BB28*(Construction!BB17+Inputs!$F$79)/100*Construction!BB11/360*1</f>
        <v>0</v>
      </c>
      <c r="BC33" s="11" t="n">
        <f aca="false">Construction!BC14*BC28*(Construction!BC17+Inputs!$F$79)/100*Construction!BC11/360*1</f>
        <v>0</v>
      </c>
      <c r="BD33" s="11" t="n">
        <f aca="false">Construction!BD14*BD28*(Construction!BD17+Inputs!$F$79)/100*Construction!BD11/360*1</f>
        <v>0</v>
      </c>
      <c r="BE33" s="11" t="n">
        <f aca="false">Construction!BE14*BE28*(Construction!BE17+Inputs!$F$79)/100*Construction!BE11/360*1</f>
        <v>0</v>
      </c>
      <c r="BF33" s="11" t="n">
        <f aca="false">Construction!BF14*BF28*(Construction!BF17+Inputs!$F$79)/100*Construction!BF11/360*1</f>
        <v>0</v>
      </c>
      <c r="BG33" s="11" t="n">
        <f aca="false">Construction!BG14*BG28*(Construction!BG17+Inputs!$F$79)/100*Construction!BG11/360*1</f>
        <v>0</v>
      </c>
      <c r="BH33" s="11" t="n">
        <f aca="false">Construction!BH14*BH28*(Construction!BH17+Inputs!$F$79)/100*Construction!BH11/360*1</f>
        <v>0</v>
      </c>
      <c r="BI33" s="11" t="n">
        <f aca="false">Construction!BI14*BI28*(Construction!BI17+Inputs!$F$79)/100*Construction!BI11/360*1</f>
        <v>0</v>
      </c>
      <c r="BJ33" s="11" t="n">
        <f aca="false">Construction!BJ14*BJ28*(Construction!BJ17+Inputs!$F$79)/100*Construction!BJ11/360*1</f>
        <v>0</v>
      </c>
    </row>
    <row r="34" customFormat="false" ht="15" hidden="false" customHeight="false" outlineLevel="0" collapsed="false">
      <c r="D34" s="0" t="s">
        <v>592</v>
      </c>
      <c r="E34" s="0" t="s">
        <v>149</v>
      </c>
      <c r="G34" s="11" t="n">
        <f aca="false">SUM(J34:BJ34)</f>
        <v>10.6235870970762</v>
      </c>
      <c r="J34" s="11" t="n">
        <f aca="false">Construction!J14*J29*(Construction!J17+Inputs!$F$80)/100*Construction!J11/360*1</f>
        <v>0</v>
      </c>
      <c r="K34" s="11" t="n">
        <f aca="false">Construction!K14*K29*(Construction!K17+Inputs!$F$80)/100*Construction!K11/360*1</f>
        <v>0.101788805299328</v>
      </c>
      <c r="L34" s="11" t="n">
        <f aca="false">Construction!L14*L29*(Construction!L17+Inputs!$F$80)/100*Construction!L11/360*1</f>
        <v>0.107323753088935</v>
      </c>
      <c r="M34" s="11" t="n">
        <f aca="false">Construction!M14*M29*(Construction!M17+Inputs!$F$80)/100*Construction!M11/360*1</f>
        <v>0.106341042559974</v>
      </c>
      <c r="N34" s="11" t="n">
        <f aca="false">Construction!N14*N29*(Construction!N17+Inputs!$F$80)/100*Construction!N11/360*1</f>
        <v>0.113149876932692</v>
      </c>
      <c r="O34" s="11" t="n">
        <f aca="false">Construction!O14*O29*(Construction!O17+Inputs!$F$80)/100*Construction!O11/360*1</f>
        <v>0.124100967774128</v>
      </c>
      <c r="P34" s="11" t="n">
        <f aca="false">Construction!P14*P29*(Construction!P17+Inputs!$F$80)/100*Construction!P11/360*1</f>
        <v>0.117343030489796</v>
      </c>
      <c r="Q34" s="11" t="n">
        <f aca="false">Construction!Q14*Q29*(Construction!Q17+Inputs!$F$80)/100*Construction!Q11/360*1</f>
        <v>0.137111817085226</v>
      </c>
      <c r="R34" s="11" t="n">
        <f aca="false">Construction!R14*R29*(Construction!R17+Inputs!$F$80)/100*Construction!R11/360*1</f>
        <v>0.141269884340819</v>
      </c>
      <c r="S34" s="11" t="n">
        <f aca="false">Construction!S14*S29*(Construction!S17+Inputs!$F$80)/100*Construction!S11/360*1</f>
        <v>0.156489259390439</v>
      </c>
      <c r="T34" s="11" t="n">
        <f aca="false">Construction!T14*T29*(Construction!T17+Inputs!$F$80)/100*Construction!T11/360*1</f>
        <v>0.163292538919297</v>
      </c>
      <c r="U34" s="11" t="n">
        <f aca="false">Construction!U14*U29*(Construction!U17+Inputs!$F$80)/100*Construction!U11/360*1</f>
        <v>0.16387249433273</v>
      </c>
      <c r="V34" s="11" t="n">
        <f aca="false">Construction!V14*V29*(Construction!V17+Inputs!$F$80)/100*Construction!V11/360*1</f>
        <v>0.177824929158695</v>
      </c>
      <c r="W34" s="11" t="n">
        <f aca="false">Construction!W14*W29*(Construction!W17+Inputs!$F$80)/100*Construction!W11/360*1</f>
        <v>0.186970675456403</v>
      </c>
      <c r="X34" s="11" t="n">
        <f aca="false">Construction!X14*X29*(Construction!X17+Inputs!$F$80)/100*Construction!X11/360*1</f>
        <v>0.209886110735469</v>
      </c>
      <c r="Y34" s="11" t="n">
        <f aca="false">Construction!Y14*Y29*(Construction!Y17+Inputs!$F$80)/100*Construction!Y11/360*1</f>
        <v>0.220463729446525</v>
      </c>
      <c r="Z34" s="11" t="n">
        <f aca="false">Construction!Z14*Z29*(Construction!Z17+Inputs!$F$80)/100*Construction!Z11/360*1</f>
        <v>0.246787231912445</v>
      </c>
      <c r="AA34" s="11" t="n">
        <f aca="false">Construction!AA14*AA29*(Construction!AA17+Inputs!$F$80)/100*Construction!AA11/360*1</f>
        <v>0.25349219428373</v>
      </c>
      <c r="AB34" s="11" t="n">
        <f aca="false">Construction!AB14*AB29*(Construction!AB17+Inputs!$F$80)/100*Construction!AB11/360*1</f>
        <v>0.256320157303657</v>
      </c>
      <c r="AC34" s="11" t="n">
        <f aca="false">Construction!AC14*AC29*(Construction!AC17+Inputs!$F$80)/100*Construction!AC11/360*1</f>
        <v>0.294069096585463</v>
      </c>
      <c r="AD34" s="11" t="n">
        <f aca="false">Construction!AD14*AD29*(Construction!AD17+Inputs!$F$80)/100*Construction!AD11/360*1</f>
        <v>0.304414414775844</v>
      </c>
      <c r="AE34" s="11" t="n">
        <f aca="false">Construction!AE14*AE29*(Construction!AE17+Inputs!$F$80)/100*Construction!AE11/360*1</f>
        <v>0.335464671340871</v>
      </c>
      <c r="AF34" s="11" t="n">
        <f aca="false">Construction!AF14*AF29*(Construction!AF17+Inputs!$F$80)/100*Construction!AF11/360*1</f>
        <v>0.344890728829656</v>
      </c>
      <c r="AG34" s="11" t="n">
        <f aca="false">Construction!AG14*AG29*(Construction!AG17+Inputs!$F$80)/100*Construction!AG11/360*1</f>
        <v>0.272629298737058</v>
      </c>
      <c r="AH34" s="11" t="n">
        <f aca="false">Construction!AH14*AH29*(Construction!AH17+Inputs!$F$80)/100*Construction!AH11/360*1</f>
        <v>0.287285987476086</v>
      </c>
      <c r="AI34" s="11" t="n">
        <f aca="false">Construction!AI14*AI29*(Construction!AI17+Inputs!$F$80)/100*Construction!AI11/360*1</f>
        <v>0.291804773893699</v>
      </c>
      <c r="AJ34" s="11" t="n">
        <f aca="false">Construction!AJ14*AJ29*(Construction!AJ17+Inputs!$F$80)/100*Construction!AJ11/360*1</f>
        <v>0.315215206994454</v>
      </c>
      <c r="AK34" s="11" t="n">
        <f aca="false">Construction!AK14*AK29*(Construction!AK17+Inputs!$F$80)/100*Construction!AK11/360*1</f>
        <v>0.318568815402872</v>
      </c>
      <c r="AL34" s="11" t="n">
        <f aca="false">Construction!AL14*AL29*(Construction!AL17+Inputs!$F$80)/100*Construction!AL11/360*1</f>
        <v>0.342385297108053</v>
      </c>
      <c r="AM34" s="11" t="n">
        <f aca="false">Construction!AM14*AM29*(Construction!AM17+Inputs!$F$80)/100*Construction!AM11/360*1</f>
        <v>0.344191085045994</v>
      </c>
      <c r="AN34" s="11" t="n">
        <f aca="false">Construction!AN14*AN29*(Construction!AN17+Inputs!$F$80)/100*Construction!AN11/360*1</f>
        <v>0.321198808630293</v>
      </c>
      <c r="AO34" s="11" t="n">
        <f aca="false">Construction!AO14*AO29*(Construction!AO17+Inputs!$F$80)/100*Construction!AO11/360*1</f>
        <v>0.366017178448002</v>
      </c>
      <c r="AP34" s="11" t="n">
        <f aca="false">Construction!AP14*AP29*(Construction!AP17+Inputs!$F$80)/100*Construction!AP11/360*1</f>
        <v>0.363446370001396</v>
      </c>
      <c r="AQ34" s="11" t="n">
        <f aca="false">Construction!AQ14*AQ29*(Construction!AQ17+Inputs!$F$80)/100*Construction!AQ11/360*1</f>
        <v>0.383039304075162</v>
      </c>
      <c r="AR34" s="11" t="n">
        <f aca="false">Construction!AR14*AR29*(Construction!AR17+Inputs!$F$80)/100*Construction!AR11/360*1</f>
        <v>0.377753273239421</v>
      </c>
      <c r="AS34" s="11" t="n">
        <f aca="false">Construction!AS14*AS29*(Construction!AS17+Inputs!$F$80)/100*Construction!AS11/360*1</f>
        <v>0.386805692764227</v>
      </c>
      <c r="AT34" s="11" t="n">
        <f aca="false">Construction!AT14*AT29*(Construction!AT17+Inputs!$F$80)/100*Construction!AT11/360*1</f>
        <v>0.391085533800558</v>
      </c>
      <c r="AU34" s="11" t="n">
        <f aca="false">Construction!AU14*AU29*(Construction!AU17+Inputs!$F$80)/100*Construction!AU11/360*1</f>
        <v>0.381381778787365</v>
      </c>
      <c r="AV34" s="11" t="n">
        <f aca="false">Construction!AV14*AV29*(Construction!AV17+Inputs!$F$80)/100*Construction!AV11/360*1</f>
        <v>0.397920566966998</v>
      </c>
      <c r="AW34" s="11" t="n">
        <f aca="false">Construction!AW14*AW29*(Construction!AW17+Inputs!$F$80)/100*Construction!AW11/360*1</f>
        <v>0.387368224616621</v>
      </c>
      <c r="AX34" s="11" t="n">
        <f aca="false">Construction!AX14*AX29*(Construction!AX17+Inputs!$F$80)/100*Construction!AX11/360*1</f>
        <v>0.432822491045862</v>
      </c>
      <c r="AY34" s="11" t="n">
        <f aca="false">Construction!AY14*AY29*(Construction!AY17+Inputs!$F$80)/100*Construction!AY11/360*1</f>
        <v>0</v>
      </c>
      <c r="AZ34" s="11" t="n">
        <f aca="false">Construction!AZ14*AZ29*(Construction!AZ17+Inputs!$F$80)/100*Construction!AZ11/360*1</f>
        <v>0</v>
      </c>
      <c r="BA34" s="11" t="n">
        <f aca="false">Construction!BA14*BA29*(Construction!BA17+Inputs!$F$80)/100*Construction!BA11/360*1</f>
        <v>0</v>
      </c>
      <c r="BB34" s="11" t="n">
        <f aca="false">Construction!BB14*BB29*(Construction!BB17+Inputs!$F$80)/100*Construction!BB11/360*1</f>
        <v>0</v>
      </c>
      <c r="BC34" s="11" t="n">
        <f aca="false">Construction!BC14*BC29*(Construction!BC17+Inputs!$F$80)/100*Construction!BC11/360*1</f>
        <v>0</v>
      </c>
      <c r="BD34" s="11" t="n">
        <f aca="false">Construction!BD14*BD29*(Construction!BD17+Inputs!$F$80)/100*Construction!BD11/360*1</f>
        <v>0</v>
      </c>
      <c r="BE34" s="11" t="n">
        <f aca="false">Construction!BE14*BE29*(Construction!BE17+Inputs!$F$80)/100*Construction!BE11/360*1</f>
        <v>0</v>
      </c>
      <c r="BF34" s="11" t="n">
        <f aca="false">Construction!BF14*BF29*(Construction!BF17+Inputs!$F$80)/100*Construction!BF11/360*1</f>
        <v>0</v>
      </c>
      <c r="BG34" s="11" t="n">
        <f aca="false">Construction!BG14*BG29*(Construction!BG17+Inputs!$F$80)/100*Construction!BG11/360*1</f>
        <v>0</v>
      </c>
      <c r="BH34" s="11" t="n">
        <f aca="false">Construction!BH14*BH29*(Construction!BH17+Inputs!$F$80)/100*Construction!BH11/360*1</f>
        <v>0</v>
      </c>
      <c r="BI34" s="11" t="n">
        <f aca="false">Construction!BI14*BI29*(Construction!BI17+Inputs!$F$80)/100*Construction!BI11/360*1</f>
        <v>0</v>
      </c>
      <c r="BJ34" s="11" t="n">
        <f aca="false">Construction!BJ14*BJ29*(Construction!BJ17+Inputs!$F$80)/100*Construction!BJ11/360*1</f>
        <v>0</v>
      </c>
    </row>
    <row r="35" customFormat="false" ht="15" hidden="false" customHeight="false" outlineLevel="0" collapsed="false">
      <c r="D35" s="0" t="s">
        <v>593</v>
      </c>
      <c r="E35" s="0" t="s">
        <v>149</v>
      </c>
      <c r="G35" s="11" t="n">
        <f aca="false">SUM(J35:BJ35)</f>
        <v>4.56100842367613</v>
      </c>
      <c r="J35" s="11" t="n">
        <f aca="false">Construction!J14*J30*(Construction!J17+Inputs!$F$81)/100*Construction!J11/360*1</f>
        <v>0</v>
      </c>
      <c r="K35" s="11" t="n">
        <f aca="false">Construction!K14*K30*(Construction!K17+Inputs!$F$81)/100*Construction!K11/360*1</f>
        <v>0.0443929370393417</v>
      </c>
      <c r="L35" s="11" t="n">
        <f aca="false">Construction!L14*L30*(Construction!L17+Inputs!$F$81)/100*Construction!L11/360*1</f>
        <v>0.0468068821487032</v>
      </c>
      <c r="M35" s="11" t="n">
        <f aca="false">Construction!M14*M30*(Construction!M17+Inputs!$F$81)/100*Construction!M11/360*1</f>
        <v>0.046378294677696</v>
      </c>
      <c r="N35" s="11" t="n">
        <f aca="false">Construction!N14*N30*(Construction!N17+Inputs!$F$81)/100*Construction!N11/360*1</f>
        <v>0.0493478172566329</v>
      </c>
      <c r="O35" s="11" t="n">
        <f aca="false">Construction!O14*O30*(Construction!O17+Inputs!$F$81)/100*Construction!O11/360*1</f>
        <v>0.0542465886742736</v>
      </c>
      <c r="P35" s="11" t="n">
        <f aca="false">Construction!P14*P30*(Construction!P17+Inputs!$F$81)/100*Construction!P11/360*1</f>
        <v>0.0512925823459998</v>
      </c>
      <c r="Q35" s="11" t="n">
        <f aca="false">Construction!Q14*Q30*(Construction!Q17+Inputs!$F$81)/100*Construction!Q11/360*1</f>
        <v>0.0599338464252905</v>
      </c>
      <c r="R35" s="11" t="n">
        <f aca="false">Construction!R14*R30*(Construction!R17+Inputs!$F$81)/100*Construction!R11/360*1</f>
        <v>0.061751406498671</v>
      </c>
      <c r="S35" s="11" t="n">
        <f aca="false">Construction!S14*S30*(Construction!S17+Inputs!$F$81)/100*Construction!S11/360*1</f>
        <v>0.0684040474329374</v>
      </c>
      <c r="T35" s="11" t="n">
        <f aca="false">Construction!T14*T30*(Construction!T17+Inputs!$F$81)/100*Construction!T11/360*1</f>
        <v>0.0713778736073616</v>
      </c>
      <c r="U35" s="11" t="n">
        <f aca="false">Construction!U14*U30*(Construction!U17+Inputs!$F$81)/100*Construction!U11/360*1</f>
        <v>0.0713042710383285</v>
      </c>
      <c r="V35" s="11" t="n">
        <f aca="false">Construction!V14*V30*(Construction!V17+Inputs!$F$81)/100*Construction!V11/360*1</f>
        <v>0.0773752605507917</v>
      </c>
      <c r="W35" s="11" t="n">
        <f aca="false">Construction!W14*W30*(Construction!W17+Inputs!$F$81)/100*Construction!W11/360*1</f>
        <v>0.0813547616593515</v>
      </c>
      <c r="X35" s="11" t="n">
        <f aca="false">Construction!X14*X30*(Construction!X17+Inputs!$F$81)/100*Construction!X11/360*1</f>
        <v>0.0913257358289533</v>
      </c>
      <c r="Y35" s="11" t="n">
        <f aca="false">Construction!Y14*Y30*(Construction!Y17+Inputs!$F$81)/100*Construction!Y11/360*1</f>
        <v>0.0959282738850458</v>
      </c>
      <c r="Z35" s="11" t="n">
        <f aca="false">Construction!Z14*Z30*(Construction!Z17+Inputs!$F$81)/100*Construction!Z11/360*1</f>
        <v>0.107382167731911</v>
      </c>
      <c r="AA35" s="11" t="n">
        <f aca="false">Construction!AA14*AA30*(Construction!AA17+Inputs!$F$81)/100*Construction!AA11/360*1</f>
        <v>0.110042801802371</v>
      </c>
      <c r="AB35" s="11" t="n">
        <f aca="false">Construction!AB14*AB30*(Construction!AB17+Inputs!$F$81)/100*Construction!AB11/360*1</f>
        <v>0.111270441079334</v>
      </c>
      <c r="AC35" s="11" t="n">
        <f aca="false">Construction!AC14*AC30*(Construction!AC17+Inputs!$F$81)/100*Construction!AC11/360*1</f>
        <v>0.127657529665534</v>
      </c>
      <c r="AD35" s="11" t="n">
        <f aca="false">Construction!AD14*AD30*(Construction!AD17+Inputs!$F$81)/100*Construction!AD11/360*1</f>
        <v>0.132148507395334</v>
      </c>
      <c r="AE35" s="11" t="n">
        <f aca="false">Construction!AE14*AE30*(Construction!AE17+Inputs!$F$81)/100*Construction!AE11/360*1</f>
        <v>0.145627649184109</v>
      </c>
      <c r="AF35" s="11" t="n">
        <f aca="false">Construction!AF14*AF30*(Construction!AF17+Inputs!$F$81)/100*Construction!AF11/360*1</f>
        <v>0.149719569169839</v>
      </c>
      <c r="AG35" s="11" t="n">
        <f aca="false">Construction!AG14*AG30*(Construction!AG17+Inputs!$F$81)/100*Construction!AG11/360*1</f>
        <v>0.116215791071767</v>
      </c>
      <c r="AH35" s="11" t="n">
        <f aca="false">Construction!AH14*AH30*(Construction!AH17+Inputs!$F$81)/100*Construction!AH11/360*1</f>
        <v>0.122463610672189</v>
      </c>
      <c r="AI35" s="11" t="n">
        <f aca="false">Construction!AI14*AI30*(Construction!AI17+Inputs!$F$81)/100*Construction!AI11/360*1</f>
        <v>0.124389868563913</v>
      </c>
      <c r="AJ35" s="11" t="n">
        <f aca="false">Construction!AJ14*AJ30*(Construction!AJ17+Inputs!$F$81)/100*Construction!AJ11/360*1</f>
        <v>0.134369214198224</v>
      </c>
      <c r="AK35" s="11" t="n">
        <f aca="false">Construction!AK14*AK30*(Construction!AK17+Inputs!$F$81)/100*Construction!AK11/360*1</f>
        <v>0.135798782685304</v>
      </c>
      <c r="AL35" s="11" t="n">
        <f aca="false">Construction!AL14*AL30*(Construction!AL17+Inputs!$F$81)/100*Construction!AL11/360*1</f>
        <v>0.145951217785771</v>
      </c>
      <c r="AM35" s="11" t="n">
        <f aca="false">Construction!AM14*AM30*(Construction!AM17+Inputs!$F$81)/100*Construction!AM11/360*1</f>
        <v>0.146421615433319</v>
      </c>
      <c r="AN35" s="11" t="n">
        <f aca="false">Construction!AN14*AN30*(Construction!AN17+Inputs!$F$81)/100*Construction!AN11/360*1</f>
        <v>0.13664051882291</v>
      </c>
      <c r="AO35" s="11" t="n">
        <f aca="false">Construction!AO14*AO30*(Construction!AO17+Inputs!$F$81)/100*Construction!AO11/360*1</f>
        <v>0.155706608547227</v>
      </c>
      <c r="AP35" s="11" t="n">
        <f aca="false">Construction!AP14*AP30*(Construction!AP17+Inputs!$F$81)/100*Construction!AP11/360*1</f>
        <v>0.154612966259335</v>
      </c>
      <c r="AQ35" s="11" t="n">
        <f aca="false">Construction!AQ14*AQ30*(Construction!AQ17+Inputs!$F$81)/100*Construction!AQ11/360*1</f>
        <v>0.16294795569631</v>
      </c>
      <c r="AR35" s="11" t="n">
        <f aca="false">Construction!AR14*AR30*(Construction!AR17+Inputs!$F$81)/100*Construction!AR11/360*1</f>
        <v>0.160699236284835</v>
      </c>
      <c r="AS35" s="11" t="n">
        <f aca="false">Construction!AS14*AS30*(Construction!AS17+Inputs!$F$81)/100*Construction!AS11/360*1</f>
        <v>0.164283973543384</v>
      </c>
      <c r="AT35" s="11" t="n">
        <f aca="false">Construction!AT14*AT30*(Construction!AT17+Inputs!$F$81)/100*Construction!AT11/360*1</f>
        <v>0.166101706076114</v>
      </c>
      <c r="AU35" s="11" t="n">
        <f aca="false">Construction!AU14*AU30*(Construction!AU17+Inputs!$F$81)/100*Construction!AU11/360*1</f>
        <v>0.161980330766287</v>
      </c>
      <c r="AV35" s="11" t="n">
        <f aca="false">Construction!AV14*AV30*(Construction!AV17+Inputs!$F$81)/100*Construction!AV11/360*1</f>
        <v>0.169004678883621</v>
      </c>
      <c r="AW35" s="11" t="n">
        <f aca="false">Construction!AW14*AW30*(Construction!AW17+Inputs!$F$81)/100*Construction!AW11/360*1</f>
        <v>0.164522891867713</v>
      </c>
      <c r="AX35" s="11" t="n">
        <f aca="false">Construction!AX14*AX30*(Construction!AX17+Inputs!$F$81)/100*Construction!AX11/360*1</f>
        <v>0.183828211420099</v>
      </c>
      <c r="AY35" s="11" t="n">
        <f aca="false">Construction!AY14*AY30*(Construction!AY17+Inputs!$F$81)/100*Construction!AY11/360*1</f>
        <v>0</v>
      </c>
      <c r="AZ35" s="11" t="n">
        <f aca="false">Construction!AZ14*AZ30*(Construction!AZ17+Inputs!$F$81)/100*Construction!AZ11/360*1</f>
        <v>0</v>
      </c>
      <c r="BA35" s="11" t="n">
        <f aca="false">Construction!BA14*BA30*(Construction!BA17+Inputs!$F$81)/100*Construction!BA11/360*1</f>
        <v>0</v>
      </c>
      <c r="BB35" s="11" t="n">
        <f aca="false">Construction!BB14*BB30*(Construction!BB17+Inputs!$F$81)/100*Construction!BB11/360*1</f>
        <v>0</v>
      </c>
      <c r="BC35" s="11" t="n">
        <f aca="false">Construction!BC14*BC30*(Construction!BC17+Inputs!$F$81)/100*Construction!BC11/360*1</f>
        <v>0</v>
      </c>
      <c r="BD35" s="11" t="n">
        <f aca="false">Construction!BD14*BD30*(Construction!BD17+Inputs!$F$81)/100*Construction!BD11/360*1</f>
        <v>0</v>
      </c>
      <c r="BE35" s="11" t="n">
        <f aca="false">Construction!BE14*BE30*(Construction!BE17+Inputs!$F$81)/100*Construction!BE11/360*1</f>
        <v>0</v>
      </c>
      <c r="BF35" s="11" t="n">
        <f aca="false">Construction!BF14*BF30*(Construction!BF17+Inputs!$F$81)/100*Construction!BF11/360*1</f>
        <v>0</v>
      </c>
      <c r="BG35" s="11" t="n">
        <f aca="false">Construction!BG14*BG30*(Construction!BG17+Inputs!$F$81)/100*Construction!BG11/360*1</f>
        <v>0</v>
      </c>
      <c r="BH35" s="11" t="n">
        <f aca="false">Construction!BH14*BH30*(Construction!BH17+Inputs!$F$81)/100*Construction!BH11/360*1</f>
        <v>0</v>
      </c>
      <c r="BI35" s="11" t="n">
        <f aca="false">Construction!BI14*BI30*(Construction!BI17+Inputs!$F$81)/100*Construction!BI11/360*1</f>
        <v>0</v>
      </c>
      <c r="BJ35" s="11" t="n">
        <f aca="false">Construction!BJ14*BJ30*(Construction!BJ17+Inputs!$F$81)/100*Construction!BJ11/360*1</f>
        <v>0</v>
      </c>
    </row>
    <row r="36" customFormat="false" ht="15" hidden="false" customHeight="false" outlineLevel="0" collapsed="false">
      <c r="D36" s="0" t="s">
        <v>594</v>
      </c>
      <c r="E36" s="0" t="s">
        <v>149</v>
      </c>
      <c r="G36" s="11" t="n">
        <f aca="false">SUM(J36:BJ36)</f>
        <v>22.4247030067741</v>
      </c>
      <c r="J36" s="11" t="n">
        <f aca="false">Construction!J14*J31*(Construction!J17+Inputs!$F$82)/100*Construction!J11/360*(1/(1-Inputs!$F$93/100))</f>
        <v>0</v>
      </c>
      <c r="K36" s="11" t="n">
        <f aca="false">Construction!K14*K31*(Construction!K17+Inputs!$F$82)/100*Construction!K11/360*(1/(1-Inputs!$F$93/100))</f>
        <v>0.209599985766081</v>
      </c>
      <c r="L36" s="11" t="n">
        <f aca="false">Construction!L14*L31*(Construction!L17+Inputs!$F$82)/100*Construction!L11/360*(1/(1-Inputs!$F$93/100))</f>
        <v>0.220997358733629</v>
      </c>
      <c r="M36" s="11" t="n">
        <f aca="false">Construction!M14*M31*(Construction!M17+Inputs!$F$82)/100*Construction!M11/360*(1/(1-Inputs!$F$93/100))</f>
        <v>0.218973795216239</v>
      </c>
      <c r="N36" s="11" t="n">
        <f aca="false">Construction!N14*N31*(Construction!N17+Inputs!$F$82)/100*Construction!N11/360*(1/(1-Inputs!$F$93/100))</f>
        <v>0.23299431135658</v>
      </c>
      <c r="O36" s="11" t="n">
        <f aca="false">Construction!O14*O31*(Construction!O17+Inputs!$F$82)/100*Construction!O11/360*(1/(1-Inputs!$F$93/100))</f>
        <v>0.254611934720328</v>
      </c>
      <c r="P36" s="11" t="n">
        <f aca="false">Construction!P14*P31*(Construction!P17+Inputs!$F$82)/100*Construction!P11/360*(1/(1-Inputs!$F$93/100))</f>
        <v>0.240747002661023</v>
      </c>
      <c r="Q36" s="11" t="n">
        <f aca="false">Construction!Q14*Q31*(Construction!Q17+Inputs!$F$82)/100*Construction!Q11/360*(1/(1-Inputs!$F$93/100))</f>
        <v>0.281305663019714</v>
      </c>
      <c r="R36" s="11" t="n">
        <f aca="false">Construction!R14*R31*(Construction!R17+Inputs!$F$82)/100*Construction!R11/360*(1/(1-Inputs!$F$93/100))</f>
        <v>0.289836567875917</v>
      </c>
      <c r="S36" s="11" t="n">
        <f aca="false">Construction!S14*S31*(Construction!S17+Inputs!$F$82)/100*Construction!S11/360*(1/(1-Inputs!$F$93/100))</f>
        <v>0.321061421284562</v>
      </c>
      <c r="T36" s="11" t="n">
        <f aca="false">Construction!T14*T31*(Construction!T17+Inputs!$F$82)/100*Construction!T11/360*(1/(1-Inputs!$F$93/100))</f>
        <v>0.335019379827145</v>
      </c>
      <c r="U36" s="11" t="n">
        <f aca="false">Construction!U14*U31*(Construction!U17+Inputs!$F$82)/100*Construction!U11/360*(1/(1-Inputs!$F$93/100))</f>
        <v>0.33869528743206</v>
      </c>
      <c r="V36" s="11" t="n">
        <f aca="false">Construction!V14*V31*(Construction!V17+Inputs!$F$82)/100*Construction!V11/360*(1/(1-Inputs!$F$93/100))</f>
        <v>0.367532487616261</v>
      </c>
      <c r="W36" s="11" t="n">
        <f aca="false">Construction!W14*W31*(Construction!W17+Inputs!$F$82)/100*Construction!W11/360*(1/(1-Inputs!$F$93/100))</f>
        <v>0.38643511788192</v>
      </c>
      <c r="X36" s="11" t="n">
        <f aca="false">Construction!X14*X31*(Construction!X17+Inputs!$F$82)/100*Construction!X11/360*(1/(1-Inputs!$F$93/100))</f>
        <v>0.433797245187528</v>
      </c>
      <c r="Y36" s="11" t="n">
        <f aca="false">Construction!Y14*Y31*(Construction!Y17+Inputs!$F$82)/100*Construction!Y11/360*(1/(1-Inputs!$F$93/100))</f>
        <v>0.455659300953967</v>
      </c>
      <c r="Z36" s="11" t="n">
        <f aca="false">Construction!Z14*Z31*(Construction!Z17+Inputs!$F$82)/100*Construction!Z11/360*(1/(1-Inputs!$F$93/100))</f>
        <v>0.510065296726577</v>
      </c>
      <c r="AA36" s="11" t="n">
        <f aca="false">Construction!AA14*AA31*(Construction!AA17+Inputs!$F$82)/100*Construction!AA11/360*(1/(1-Inputs!$F$93/100))</f>
        <v>0.525875184675153</v>
      </c>
      <c r="AB36" s="11" t="n">
        <f aca="false">Construction!AB14*AB31*(Construction!AB17+Inputs!$F$82)/100*Construction!AB11/360*(1/(1-Inputs!$F$93/100))</f>
        <v>0.531741856741962</v>
      </c>
      <c r="AC36" s="11" t="n">
        <f aca="false">Construction!AC14*AC31*(Construction!AC17+Inputs!$F$82)/100*Construction!AC11/360*(1/(1-Inputs!$F$93/100))</f>
        <v>0.610052869324431</v>
      </c>
      <c r="AD36" s="11" t="n">
        <f aca="false">Construction!AD14*AD31*(Construction!AD17+Inputs!$F$82)/100*Construction!AD11/360*(1/(1-Inputs!$F$93/100))</f>
        <v>0.631514461580801</v>
      </c>
      <c r="AE36" s="11" t="n">
        <f aca="false">Construction!AE14*AE31*(Construction!AE17+Inputs!$F$82)/100*Construction!AE11/360*(1/(1-Inputs!$F$93/100))</f>
        <v>0.695928908153733</v>
      </c>
      <c r="AF36" s="11" t="n">
        <f aca="false">Construction!AF14*AF31*(Construction!AF17+Inputs!$F$82)/100*Construction!AF11/360*(1/(1-Inputs!$F$93/100))</f>
        <v>0.715483473676666</v>
      </c>
      <c r="AG36" s="11" t="n">
        <f aca="false">Construction!AG14*AG31*(Construction!AG17+Inputs!$F$82)/100*Construction!AG11/360*(1/(1-Inputs!$F$93/100))</f>
        <v>0.581798239653709</v>
      </c>
      <c r="AH36" s="11" t="n">
        <f aca="false">Construction!AH14*AH31*(Construction!AH17+Inputs!$F$82)/100*Construction!AH11/360*(1/(1-Inputs!$F$93/100))</f>
        <v>0.613076006742649</v>
      </c>
      <c r="AI36" s="11" t="n">
        <f aca="false">Construction!AI14*AI31*(Construction!AI17+Inputs!$F$82)/100*Construction!AI11/360*(1/(1-Inputs!$F$93/100))</f>
        <v>0.622719218221817</v>
      </c>
      <c r="AJ36" s="11" t="n">
        <f aca="false">Construction!AJ14*AJ31*(Construction!AJ17+Inputs!$F$82)/100*Construction!AJ11/360*(1/(1-Inputs!$F$93/100))</f>
        <v>0.672677710689958</v>
      </c>
      <c r="AK36" s="11" t="n">
        <f aca="false">Construction!AK14*AK31*(Construction!AK17+Inputs!$F$82)/100*Construction!AK11/360*(1/(1-Inputs!$F$93/100))</f>
        <v>0.679834401029346</v>
      </c>
      <c r="AL36" s="11" t="n">
        <f aca="false">Construction!AL14*AL31*(Construction!AL17+Inputs!$F$82)/100*Construction!AL11/360*(1/(1-Inputs!$F$93/100))</f>
        <v>0.730659412115859</v>
      </c>
      <c r="AM36" s="11" t="n">
        <f aca="false">Construction!AM14*AM31*(Construction!AM17+Inputs!$F$82)/100*Construction!AM11/360*(1/(1-Inputs!$F$93/100))</f>
        <v>0.736788220125651</v>
      </c>
      <c r="AN36" s="11" t="n">
        <f aca="false">Construction!AN14*AN31*(Construction!AN17+Inputs!$F$82)/100*Construction!AN11/360*(1/(1-Inputs!$F$93/100))</f>
        <v>0.687570099282407</v>
      </c>
      <c r="AO36" s="11" t="n">
        <f aca="false">Construction!AO14*AO31*(Construction!AO17+Inputs!$F$82)/100*Construction!AO11/360*(1/(1-Inputs!$F$93/100))</f>
        <v>0.783509966297006</v>
      </c>
      <c r="AP36" s="11" t="n">
        <f aca="false">Construction!AP14*AP31*(Construction!AP17+Inputs!$F$82)/100*Construction!AP11/360*(1/(1-Inputs!$F$93/100))</f>
        <v>0.778006798254736</v>
      </c>
      <c r="AQ36" s="11" t="n">
        <f aca="false">Construction!AQ14*AQ31*(Construction!AQ17+Inputs!$F$82)/100*Construction!AQ11/360*(1/(1-Inputs!$F$93/100))</f>
        <v>0.819948160627095</v>
      </c>
      <c r="AR36" s="11" t="n">
        <f aca="false">Construction!AR14*AR31*(Construction!AR17+Inputs!$F$82)/100*Construction!AR11/360*(1/(1-Inputs!$F$93/100))</f>
        <v>0.808632686693555</v>
      </c>
      <c r="AS36" s="11" t="n">
        <f aca="false">Construction!AS14*AS31*(Construction!AS17+Inputs!$F$82)/100*Construction!AS11/360*(1/(1-Inputs!$F$93/100))</f>
        <v>0.83003400865178</v>
      </c>
      <c r="AT36" s="11" t="n">
        <f aca="false">Construction!AT14*AT31*(Construction!AT17+Inputs!$F$82)/100*Construction!AT11/360*(1/(1-Inputs!$F$93/100))</f>
        <v>0.839217983133624</v>
      </c>
      <c r="AU36" s="11" t="n">
        <f aca="false">Construction!AU14*AU31*(Construction!AU17+Inputs!$F$82)/100*Construction!AU11/360*(1/(1-Inputs!$F$93/100))</f>
        <v>0.818395004508321</v>
      </c>
      <c r="AV36" s="11" t="n">
        <f aca="false">Construction!AV14*AV31*(Construction!AV17+Inputs!$F$82)/100*Construction!AV11/360*(1/(1-Inputs!$F$93/100))</f>
        <v>0.853885062973801</v>
      </c>
      <c r="AW36" s="11" t="n">
        <f aca="false">Construction!AW14*AW31*(Construction!AW17+Inputs!$F$82)/100*Construction!AW11/360*(1/(1-Inputs!$F$93/100))</f>
        <v>0.83124112782601</v>
      </c>
      <c r="AX36" s="11" t="n">
        <f aca="false">Construction!AX14*AX31*(Construction!AX17+Inputs!$F$82)/100*Construction!AX11/360*(1/(1-Inputs!$F$93/100))</f>
        <v>0.928779989534507</v>
      </c>
      <c r="AY36" s="11" t="n">
        <f aca="false">Construction!AY14*AY31*(Construction!AY17+Inputs!$F$82)/100*Construction!AY11/360*(1/(1-Inputs!$F$93/100))</f>
        <v>0</v>
      </c>
      <c r="AZ36" s="11" t="n">
        <f aca="false">Construction!AZ14*AZ31*(Construction!AZ17+Inputs!$F$82)/100*Construction!AZ11/360*(1/(1-Inputs!$F$93/100))</f>
        <v>0</v>
      </c>
      <c r="BA36" s="11" t="n">
        <f aca="false">Construction!BA14*BA31*(Construction!BA17+Inputs!$F$82)/100*Construction!BA11/360*(1/(1-Inputs!$F$93/100))</f>
        <v>0</v>
      </c>
      <c r="BB36" s="11" t="n">
        <f aca="false">Construction!BB14*BB31*(Construction!BB17+Inputs!$F$82)/100*Construction!BB11/360*(1/(1-Inputs!$F$93/100))</f>
        <v>0</v>
      </c>
      <c r="BC36" s="11" t="n">
        <f aca="false">Construction!BC14*BC31*(Construction!BC17+Inputs!$F$82)/100*Construction!BC11/360*(1/(1-Inputs!$F$93/100))</f>
        <v>0</v>
      </c>
      <c r="BD36" s="11" t="n">
        <f aca="false">Construction!BD14*BD31*(Construction!BD17+Inputs!$F$82)/100*Construction!BD11/360*(1/(1-Inputs!$F$93/100))</f>
        <v>0</v>
      </c>
      <c r="BE36" s="11" t="n">
        <f aca="false">Construction!BE14*BE31*(Construction!BE17+Inputs!$F$82)/100*Construction!BE11/360*(1/(1-Inputs!$F$93/100))</f>
        <v>0</v>
      </c>
      <c r="BF36" s="11" t="n">
        <f aca="false">Construction!BF14*BF31*(Construction!BF17+Inputs!$F$82)/100*Construction!BF11/360*(1/(1-Inputs!$F$93/100))</f>
        <v>0</v>
      </c>
      <c r="BG36" s="11" t="n">
        <f aca="false">Construction!BG14*BG31*(Construction!BG17+Inputs!$F$82)/100*Construction!BG11/360*(1/(1-Inputs!$F$93/100))</f>
        <v>0</v>
      </c>
      <c r="BH36" s="11" t="n">
        <f aca="false">Construction!BH14*BH31*(Construction!BH17+Inputs!$F$82)/100*Construction!BH11/360*(1/(1-Inputs!$F$93/100))</f>
        <v>0</v>
      </c>
      <c r="BI36" s="11" t="n">
        <f aca="false">Construction!BI14*BI31*(Construction!BI17+Inputs!$F$82)/100*Construction!BI11/360*(1/(1-Inputs!$F$93/100))</f>
        <v>0</v>
      </c>
      <c r="BJ36" s="11" t="n">
        <f aca="false">Construction!BJ14*BJ31*(Construction!BJ17+Inputs!$F$82)/100*Construction!BJ11/360*(1/(1-Inputs!$F$93/100))</f>
        <v>0</v>
      </c>
    </row>
    <row r="37" customFormat="false" ht="15" hidden="false" customHeight="false" outlineLevel="0" collapsed="false">
      <c r="D37" s="0" t="s">
        <v>595</v>
      </c>
      <c r="E37" s="0" t="s">
        <v>149</v>
      </c>
      <c r="G37" s="11" t="n">
        <f aca="false">SUM(J37:BJ37)</f>
        <v>0</v>
      </c>
      <c r="J37" s="11" t="n">
        <f aca="false">Construction!J14*J32*(Inputs!$F$102*(Construction!J17+Inputs!$F$82+Inputs!$F$101)/(1-Inputs!$F$93/100)+(1-Inputs!$F$102)*(Construction!J17+Inputs!$F$80+Inputs!$F$101))/100*Construction!J11/360</f>
        <v>0</v>
      </c>
      <c r="K37" s="11" t="n">
        <f aca="false">Construction!K14*K32*(Inputs!$F$102*(Construction!K17+Inputs!$F$82+Inputs!$F$101)/(1-Inputs!$F$93/100)+(1-Inputs!$F$102)*(Construction!K17+Inputs!$F$80+Inputs!$F$101))/100*Construction!K11/360</f>
        <v>0</v>
      </c>
      <c r="L37" s="11" t="n">
        <f aca="false">Construction!L14*L32*(Inputs!$F$102*(Construction!L17+Inputs!$F$82+Inputs!$F$101)/(1-Inputs!$F$93/100)+(1-Inputs!$F$102)*(Construction!L17+Inputs!$F$80+Inputs!$F$101))/100*Construction!L11/360</f>
        <v>0</v>
      </c>
      <c r="M37" s="11" t="n">
        <f aca="false">Construction!M14*M32*(Inputs!$F$102*(Construction!M17+Inputs!$F$82+Inputs!$F$101)/(1-Inputs!$F$93/100)+(1-Inputs!$F$102)*(Construction!M17+Inputs!$F$80+Inputs!$F$101))/100*Construction!M11/360</f>
        <v>0</v>
      </c>
      <c r="N37" s="11" t="n">
        <f aca="false">Construction!N14*N32*(Inputs!$F$102*(Construction!N17+Inputs!$F$82+Inputs!$F$101)/(1-Inputs!$F$93/100)+(1-Inputs!$F$102)*(Construction!N17+Inputs!$F$80+Inputs!$F$101))/100*Construction!N11/360</f>
        <v>0</v>
      </c>
      <c r="O37" s="11" t="n">
        <f aca="false">Construction!O14*O32*(Inputs!$F$102*(Construction!O17+Inputs!$F$82+Inputs!$F$101)/(1-Inputs!$F$93/100)+(1-Inputs!$F$102)*(Construction!O17+Inputs!$F$80+Inputs!$F$101))/100*Construction!O11/360</f>
        <v>0</v>
      </c>
      <c r="P37" s="11" t="n">
        <f aca="false">Construction!P14*P32*(Inputs!$F$102*(Construction!P17+Inputs!$F$82+Inputs!$F$101)/(1-Inputs!$F$93/100)+(1-Inputs!$F$102)*(Construction!P17+Inputs!$F$80+Inputs!$F$101))/100*Construction!P11/360</f>
        <v>0</v>
      </c>
      <c r="Q37" s="11" t="n">
        <f aca="false">Construction!Q14*Q32*(Inputs!$F$102*(Construction!Q17+Inputs!$F$82+Inputs!$F$101)/(1-Inputs!$F$93/100)+(1-Inputs!$F$102)*(Construction!Q17+Inputs!$F$80+Inputs!$F$101))/100*Construction!Q11/360</f>
        <v>0</v>
      </c>
      <c r="R37" s="11" t="n">
        <f aca="false">Construction!R14*R32*(Inputs!$F$102*(Construction!R17+Inputs!$F$82+Inputs!$F$101)/(1-Inputs!$F$93/100)+(1-Inputs!$F$102)*(Construction!R17+Inputs!$F$80+Inputs!$F$101))/100*Construction!R11/360</f>
        <v>0</v>
      </c>
      <c r="S37" s="11" t="n">
        <f aca="false">Construction!S14*S32*(Inputs!$F$102*(Construction!S17+Inputs!$F$82+Inputs!$F$101)/(1-Inputs!$F$93/100)+(1-Inputs!$F$102)*(Construction!S17+Inputs!$F$80+Inputs!$F$101))/100*Construction!S11/360</f>
        <v>0</v>
      </c>
      <c r="T37" s="11" t="n">
        <f aca="false">Construction!T14*T32*(Inputs!$F$102*(Construction!T17+Inputs!$F$82+Inputs!$F$101)/(1-Inputs!$F$93/100)+(1-Inputs!$F$102)*(Construction!T17+Inputs!$F$80+Inputs!$F$101))/100*Construction!T11/360</f>
        <v>0</v>
      </c>
      <c r="U37" s="11" t="n">
        <f aca="false">Construction!U14*U32*(Inputs!$F$102*(Construction!U17+Inputs!$F$82+Inputs!$F$101)/(1-Inputs!$F$93/100)+(1-Inputs!$F$102)*(Construction!U17+Inputs!$F$80+Inputs!$F$101))/100*Construction!U11/360</f>
        <v>0</v>
      </c>
      <c r="V37" s="11" t="n">
        <f aca="false">Construction!V14*V32*(Inputs!$F$102*(Construction!V17+Inputs!$F$82+Inputs!$F$101)/(1-Inputs!$F$93/100)+(1-Inputs!$F$102)*(Construction!V17+Inputs!$F$80+Inputs!$F$101))/100*Construction!V11/360</f>
        <v>0</v>
      </c>
      <c r="W37" s="11" t="n">
        <f aca="false">Construction!W14*W32*(Inputs!$F$102*(Construction!W17+Inputs!$F$82+Inputs!$F$101)/(1-Inputs!$F$93/100)+(1-Inputs!$F$102)*(Construction!W17+Inputs!$F$80+Inputs!$F$101))/100*Construction!W11/360</f>
        <v>0</v>
      </c>
      <c r="X37" s="11" t="n">
        <f aca="false">Construction!X14*X32*(Inputs!$F$102*(Construction!X17+Inputs!$F$82+Inputs!$F$101)/(1-Inputs!$F$93/100)+(1-Inputs!$F$102)*(Construction!X17+Inputs!$F$80+Inputs!$F$101))/100*Construction!X11/360</f>
        <v>0</v>
      </c>
      <c r="Y37" s="11" t="n">
        <f aca="false">Construction!Y14*Y32*(Inputs!$F$102*(Construction!Y17+Inputs!$F$82+Inputs!$F$101)/(1-Inputs!$F$93/100)+(1-Inputs!$F$102)*(Construction!Y17+Inputs!$F$80+Inputs!$F$101))/100*Construction!Y11/360</f>
        <v>0</v>
      </c>
      <c r="Z37" s="11" t="n">
        <f aca="false">Construction!Z14*Z32*(Inputs!$F$102*(Construction!Z17+Inputs!$F$82+Inputs!$F$101)/(1-Inputs!$F$93/100)+(1-Inputs!$F$102)*(Construction!Z17+Inputs!$F$80+Inputs!$F$101))/100*Construction!Z11/360</f>
        <v>0</v>
      </c>
      <c r="AA37" s="11" t="n">
        <f aca="false">Construction!AA14*AA32*(Inputs!$F$102*(Construction!AA17+Inputs!$F$82+Inputs!$F$101)/(1-Inputs!$F$93/100)+(1-Inputs!$F$102)*(Construction!AA17+Inputs!$F$80+Inputs!$F$101))/100*Construction!AA11/360</f>
        <v>0</v>
      </c>
      <c r="AB37" s="11" t="n">
        <f aca="false">Construction!AB14*AB32*(Inputs!$F$102*(Construction!AB17+Inputs!$F$82+Inputs!$F$101)/(1-Inputs!$F$93/100)+(1-Inputs!$F$102)*(Construction!AB17+Inputs!$F$80+Inputs!$F$101))/100*Construction!AB11/360</f>
        <v>0</v>
      </c>
      <c r="AC37" s="11" t="n">
        <f aca="false">Construction!AC14*AC32*(Inputs!$F$102*(Construction!AC17+Inputs!$F$82+Inputs!$F$101)/(1-Inputs!$F$93/100)+(1-Inputs!$F$102)*(Construction!AC17+Inputs!$F$80+Inputs!$F$101))/100*Construction!AC11/360</f>
        <v>0</v>
      </c>
      <c r="AD37" s="11" t="n">
        <f aca="false">Construction!AD14*AD32*(Inputs!$F$102*(Construction!AD17+Inputs!$F$82+Inputs!$F$101)/(1-Inputs!$F$93/100)+(1-Inputs!$F$102)*(Construction!AD17+Inputs!$F$80+Inputs!$F$101))/100*Construction!AD11/360</f>
        <v>0</v>
      </c>
      <c r="AE37" s="11" t="n">
        <f aca="false">Construction!AE14*AE32*(Inputs!$F$102*(Construction!AE17+Inputs!$F$82+Inputs!$F$101)/(1-Inputs!$F$93/100)+(1-Inputs!$F$102)*(Construction!AE17+Inputs!$F$80+Inputs!$F$101))/100*Construction!AE11/360</f>
        <v>0</v>
      </c>
      <c r="AF37" s="11" t="n">
        <f aca="false">Construction!AF14*AF32*(Inputs!$F$102*(Construction!AF17+Inputs!$F$82+Inputs!$F$101)/(1-Inputs!$F$93/100)+(1-Inputs!$F$102)*(Construction!AF17+Inputs!$F$80+Inputs!$F$101))/100*Construction!AF11/360</f>
        <v>0</v>
      </c>
      <c r="AG37" s="11" t="n">
        <f aca="false">Construction!AG14*AG32*(Inputs!$F$102*(Construction!AG17+Inputs!$F$82+Inputs!$F$101)/(1-Inputs!$F$93/100)+(1-Inputs!$F$102)*(Construction!AG17+Inputs!$F$80+Inputs!$F$101))/100*Construction!AG11/360</f>
        <v>0</v>
      </c>
      <c r="AH37" s="11" t="n">
        <f aca="false">Construction!AH14*AH32*(Inputs!$F$102*(Construction!AH17+Inputs!$F$82+Inputs!$F$101)/(1-Inputs!$F$93/100)+(1-Inputs!$F$102)*(Construction!AH17+Inputs!$F$80+Inputs!$F$101))/100*Construction!AH11/360</f>
        <v>0</v>
      </c>
      <c r="AI37" s="11" t="n">
        <f aca="false">Construction!AI14*AI32*(Inputs!$F$102*(Construction!AI17+Inputs!$F$82+Inputs!$F$101)/(1-Inputs!$F$93/100)+(1-Inputs!$F$102)*(Construction!AI17+Inputs!$F$80+Inputs!$F$101))/100*Construction!AI11/360</f>
        <v>0</v>
      </c>
      <c r="AJ37" s="11" t="n">
        <f aca="false">Construction!AJ14*AJ32*(Inputs!$F$102*(Construction!AJ17+Inputs!$F$82+Inputs!$F$101)/(1-Inputs!$F$93/100)+(1-Inputs!$F$102)*(Construction!AJ17+Inputs!$F$80+Inputs!$F$101))/100*Construction!AJ11/360</f>
        <v>0</v>
      </c>
      <c r="AK37" s="11" t="n">
        <f aca="false">Construction!AK14*AK32*(Inputs!$F$102*(Construction!AK17+Inputs!$F$82+Inputs!$F$101)/(1-Inputs!$F$93/100)+(1-Inputs!$F$102)*(Construction!AK17+Inputs!$F$80+Inputs!$F$101))/100*Construction!AK11/360</f>
        <v>0</v>
      </c>
      <c r="AL37" s="11" t="n">
        <f aca="false">Construction!AL14*AL32*(Inputs!$F$102*(Construction!AL17+Inputs!$F$82+Inputs!$F$101)/(1-Inputs!$F$93/100)+(1-Inputs!$F$102)*(Construction!AL17+Inputs!$F$80+Inputs!$F$101))/100*Construction!AL11/360</f>
        <v>0</v>
      </c>
      <c r="AM37" s="11" t="n">
        <f aca="false">Construction!AM14*AM32*(Inputs!$F$102*(Construction!AM17+Inputs!$F$82+Inputs!$F$101)/(1-Inputs!$F$93/100)+(1-Inputs!$F$102)*(Construction!AM17+Inputs!$F$80+Inputs!$F$101))/100*Construction!AM11/360</f>
        <v>0</v>
      </c>
      <c r="AN37" s="11" t="n">
        <f aca="false">Construction!AN14*AN32*(Inputs!$F$102*(Construction!AN17+Inputs!$F$82+Inputs!$F$101)/(1-Inputs!$F$93/100)+(1-Inputs!$F$102)*(Construction!AN17+Inputs!$F$80+Inputs!$F$101))/100*Construction!AN11/360</f>
        <v>0</v>
      </c>
      <c r="AO37" s="11" t="n">
        <f aca="false">Construction!AO14*AO32*(Inputs!$F$102*(Construction!AO17+Inputs!$F$82+Inputs!$F$101)/(1-Inputs!$F$93/100)+(1-Inputs!$F$102)*(Construction!AO17+Inputs!$F$80+Inputs!$F$101))/100*Construction!AO11/360</f>
        <v>0</v>
      </c>
      <c r="AP37" s="11" t="n">
        <f aca="false">Construction!AP14*AP32*(Inputs!$F$102*(Construction!AP17+Inputs!$F$82+Inputs!$F$101)/(1-Inputs!$F$93/100)+(1-Inputs!$F$102)*(Construction!AP17+Inputs!$F$80+Inputs!$F$101))/100*Construction!AP11/360</f>
        <v>0</v>
      </c>
      <c r="AQ37" s="11" t="n">
        <f aca="false">Construction!AQ14*AQ32*(Inputs!$F$102*(Construction!AQ17+Inputs!$F$82+Inputs!$F$101)/(1-Inputs!$F$93/100)+(1-Inputs!$F$102)*(Construction!AQ17+Inputs!$F$80+Inputs!$F$101))/100*Construction!AQ11/360</f>
        <v>0</v>
      </c>
      <c r="AR37" s="11" t="n">
        <f aca="false">Construction!AR14*AR32*(Inputs!$F$102*(Construction!AR17+Inputs!$F$82+Inputs!$F$101)/(1-Inputs!$F$93/100)+(1-Inputs!$F$102)*(Construction!AR17+Inputs!$F$80+Inputs!$F$101))/100*Construction!AR11/360</f>
        <v>0</v>
      </c>
      <c r="AS37" s="11" t="n">
        <f aca="false">Construction!AS14*AS32*(Inputs!$F$102*(Construction!AS17+Inputs!$F$82+Inputs!$F$101)/(1-Inputs!$F$93/100)+(1-Inputs!$F$102)*(Construction!AS17+Inputs!$F$80+Inputs!$F$101))/100*Construction!AS11/360</f>
        <v>0</v>
      </c>
      <c r="AT37" s="11" t="n">
        <f aca="false">Construction!AT14*AT32*(Inputs!$F$102*(Construction!AT17+Inputs!$F$82+Inputs!$F$101)/(1-Inputs!$F$93/100)+(1-Inputs!$F$102)*(Construction!AT17+Inputs!$F$80+Inputs!$F$101))/100*Construction!AT11/360</f>
        <v>0</v>
      </c>
      <c r="AU37" s="11" t="n">
        <f aca="false">Construction!AU14*AU32*(Inputs!$F$102*(Construction!AU17+Inputs!$F$82+Inputs!$F$101)/(1-Inputs!$F$93/100)+(1-Inputs!$F$102)*(Construction!AU17+Inputs!$F$80+Inputs!$F$101))/100*Construction!AU11/360</f>
        <v>0</v>
      </c>
      <c r="AV37" s="11" t="n">
        <f aca="false">Construction!AV14*AV32*(Inputs!$F$102*(Construction!AV17+Inputs!$F$82+Inputs!$F$101)/(1-Inputs!$F$93/100)+(1-Inputs!$F$102)*(Construction!AV17+Inputs!$F$80+Inputs!$F$101))/100*Construction!AV11/360</f>
        <v>0</v>
      </c>
      <c r="AW37" s="11" t="n">
        <f aca="false">Construction!AW14*AW32*(Inputs!$F$102*(Construction!AW17+Inputs!$F$82+Inputs!$F$101)/(1-Inputs!$F$93/100)+(1-Inputs!$F$102)*(Construction!AW17+Inputs!$F$80+Inputs!$F$101))/100*Construction!AW11/360</f>
        <v>0</v>
      </c>
      <c r="AX37" s="11" t="n">
        <f aca="false">Construction!AX14*AX32*(Inputs!$F$102*(Construction!AX17+Inputs!$F$82+Inputs!$F$101)/(1-Inputs!$F$93/100)+(1-Inputs!$F$102)*(Construction!AX17+Inputs!$F$80+Inputs!$F$101))/100*Construction!AX11/360</f>
        <v>0</v>
      </c>
      <c r="AY37" s="11" t="n">
        <f aca="false">Construction!AY14*AY32*(Inputs!$F$102*(Construction!AY17+Inputs!$F$82+Inputs!$F$101)/(1-Inputs!$F$93/100)+(1-Inputs!$F$102)*(Construction!AY17+Inputs!$F$80+Inputs!$F$101))/100*Construction!AY11/360</f>
        <v>0</v>
      </c>
      <c r="AZ37" s="11" t="n">
        <f aca="false">Construction!AZ14*AZ32*(Inputs!$F$102*(Construction!AZ17+Inputs!$F$82+Inputs!$F$101)/(1-Inputs!$F$93/100)+(1-Inputs!$F$102)*(Construction!AZ17+Inputs!$F$80+Inputs!$F$101))/100*Construction!AZ11/360</f>
        <v>0</v>
      </c>
      <c r="BA37" s="11" t="n">
        <f aca="false">Construction!BA14*BA32*(Inputs!$F$102*(Construction!BA17+Inputs!$F$82+Inputs!$F$101)/(1-Inputs!$F$93/100)+(1-Inputs!$F$102)*(Construction!BA17+Inputs!$F$80+Inputs!$F$101))/100*Construction!BA11/360</f>
        <v>0</v>
      </c>
      <c r="BB37" s="11" t="n">
        <f aca="false">Construction!BB14*BB32*(Inputs!$F$102*(Construction!BB17+Inputs!$F$82+Inputs!$F$101)/(1-Inputs!$F$93/100)+(1-Inputs!$F$102)*(Construction!BB17+Inputs!$F$80+Inputs!$F$101))/100*Construction!BB11/360</f>
        <v>0</v>
      </c>
      <c r="BC37" s="11" t="n">
        <f aca="false">Construction!BC14*BC32*(Inputs!$F$102*(Construction!BC17+Inputs!$F$82+Inputs!$F$101)/(1-Inputs!$F$93/100)+(1-Inputs!$F$102)*(Construction!BC17+Inputs!$F$80+Inputs!$F$101))/100*Construction!BC11/360</f>
        <v>0</v>
      </c>
      <c r="BD37" s="11" t="n">
        <f aca="false">Construction!BD14*BD32*(Inputs!$F$102*(Construction!BD17+Inputs!$F$82+Inputs!$F$101)/(1-Inputs!$F$93/100)+(1-Inputs!$F$102)*(Construction!BD17+Inputs!$F$80+Inputs!$F$101))/100*Construction!BD11/360</f>
        <v>0</v>
      </c>
      <c r="BE37" s="11" t="n">
        <f aca="false">Construction!BE14*BE32*(Inputs!$F$102*(Construction!BE17+Inputs!$F$82+Inputs!$F$101)/(1-Inputs!$F$93/100)+(1-Inputs!$F$102)*(Construction!BE17+Inputs!$F$80+Inputs!$F$101))/100*Construction!BE11/360</f>
        <v>0</v>
      </c>
      <c r="BF37" s="11" t="n">
        <f aca="false">Construction!BF14*BF32*(Inputs!$F$102*(Construction!BF17+Inputs!$F$82+Inputs!$F$101)/(1-Inputs!$F$93/100)+(1-Inputs!$F$102)*(Construction!BF17+Inputs!$F$80+Inputs!$F$101))/100*Construction!BF11/360</f>
        <v>0</v>
      </c>
      <c r="BG37" s="11" t="n">
        <f aca="false">Construction!BG14*BG32*(Inputs!$F$102*(Construction!BG17+Inputs!$F$82+Inputs!$F$101)/(1-Inputs!$F$93/100)+(1-Inputs!$F$102)*(Construction!BG17+Inputs!$F$80+Inputs!$F$101))/100*Construction!BG11/360</f>
        <v>0</v>
      </c>
      <c r="BH37" s="11" t="n">
        <f aca="false">Construction!BH14*BH32*(Inputs!$F$102*(Construction!BH17+Inputs!$F$82+Inputs!$F$101)/(1-Inputs!$F$93/100)+(1-Inputs!$F$102)*(Construction!BH17+Inputs!$F$80+Inputs!$F$101))/100*Construction!BH11/360</f>
        <v>0</v>
      </c>
      <c r="BI37" s="11" t="n">
        <f aca="false">Construction!BI14*BI32*(Inputs!$F$102*(Construction!BI17+Inputs!$F$82+Inputs!$F$101)/(1-Inputs!$F$93/100)+(1-Inputs!$F$102)*(Construction!BI17+Inputs!$F$80+Inputs!$F$101))/100*Construction!BI11/360</f>
        <v>0</v>
      </c>
      <c r="BJ37" s="11" t="n">
        <f aca="false">Construction!BJ14*BJ32*(Inputs!$F$102*(Construction!BJ17+Inputs!$F$82+Inputs!$F$101)/(1-Inputs!$F$93/100)+(1-Inputs!$F$102)*(Construction!BJ17+Inputs!$F$80+Inputs!$F$101))/100*Construction!BJ11/360</f>
        <v>0</v>
      </c>
    </row>
    <row r="38" customFormat="false" ht="15" hidden="false" customHeight="false" outlineLevel="0" collapsed="false">
      <c r="D38" s="0" t="s">
        <v>596</v>
      </c>
      <c r="E38" s="0" t="s">
        <v>149</v>
      </c>
      <c r="G38" s="11" t="n">
        <f aca="false">SUM(J38:BJ38)</f>
        <v>4.15678786448948</v>
      </c>
      <c r="J38" s="11" t="n">
        <f aca="false">Construction!J14*(Inputs!$F$95/100*Inputs!$F$96/100)*J31*Construction!J11/365</f>
        <v>0</v>
      </c>
      <c r="K38" s="11" t="n">
        <f aca="false">Construction!K14*(Inputs!$F$95/100*Inputs!$F$96/100)*K31*Construction!K11/365</f>
        <v>0.0290887966009178</v>
      </c>
      <c r="L38" s="11" t="n">
        <f aca="false">Construction!L14*(Inputs!$F$95/100*Inputs!$F$96/100)*L31*Construction!L11/365</f>
        <v>0.0306705517848509</v>
      </c>
      <c r="M38" s="11" t="n">
        <f aca="false">Construction!M14*(Inputs!$F$95/100*Inputs!$F$96/100)*M31*Construction!M11/365</f>
        <v>0.0303897167105962</v>
      </c>
      <c r="N38" s="11" t="n">
        <f aca="false">Construction!N14*(Inputs!$F$95/100*Inputs!$F$96/100)*N31*Construction!N11/365</f>
        <v>0.0323355180939103</v>
      </c>
      <c r="O38" s="11" t="n">
        <f aca="false">Construction!O14*(Inputs!$F$95/100*Inputs!$F$96/100)*O31*Construction!O11/365</f>
        <v>0.0335612767788034</v>
      </c>
      <c r="P38" s="11" t="n">
        <f aca="false">Construction!P14*(Inputs!$F$95/100*Inputs!$F$96/100)*P31*Construction!P11/365</f>
        <v>0.0317336922907755</v>
      </c>
      <c r="Q38" s="11" t="n">
        <f aca="false">Construction!Q14*(Inputs!$F$95/100*Inputs!$F$96/100)*Q31*Construction!Q11/365</f>
        <v>0.0370798691209021</v>
      </c>
      <c r="R38" s="11" t="n">
        <f aca="false">Construction!R14*(Inputs!$F$95/100*Inputs!$F$96/100)*R31*Construction!R11/365</f>
        <v>0.0382043570965626</v>
      </c>
      <c r="S38" s="11" t="n">
        <f aca="false">Construction!S14*(Inputs!$F$95/100*Inputs!$F$96/100)*S31*Construction!S11/365</f>
        <v>0.0423202126583852</v>
      </c>
      <c r="T38" s="11" t="n">
        <f aca="false">Construction!T14*(Inputs!$F$95/100*Inputs!$F$96/100)*T31*Construction!T11/365</f>
        <v>0.0441600592878421</v>
      </c>
      <c r="U38" s="11" t="n">
        <f aca="false">Construction!U14*(Inputs!$F$95/100*Inputs!$F$96/100)*U31*Construction!U11/365</f>
        <v>0.0493925104098574</v>
      </c>
      <c r="V38" s="11" t="n">
        <f aca="false">Construction!V14*(Inputs!$F$95/100*Inputs!$F$96/100)*V31*Construction!V11/365</f>
        <v>0.0535978884093224</v>
      </c>
      <c r="W38" s="11" t="n">
        <f aca="false">Construction!W14*(Inputs!$F$95/100*Inputs!$F$96/100)*W31*Construction!W11/365</f>
        <v>0.0563544911635238</v>
      </c>
      <c r="X38" s="11" t="n">
        <f aca="false">Construction!X14*(Inputs!$F$95/100*Inputs!$F$96/100)*X31*Construction!X11/365</f>
        <v>0.0632613908246078</v>
      </c>
      <c r="Y38" s="11" t="n">
        <f aca="false">Construction!Y14*(Inputs!$F$95/100*Inputs!$F$96/100)*Y31*Construction!Y11/365</f>
        <v>0.0664495716381402</v>
      </c>
      <c r="Z38" s="11" t="n">
        <f aca="false">Construction!Z14*(Inputs!$F$95/100*Inputs!$F$96/100)*Z31*Construction!Z11/365</f>
        <v>0.0743836906302633</v>
      </c>
      <c r="AA38" s="11" t="n">
        <f aca="false">Construction!AA14*(Inputs!$F$95/100*Inputs!$F$96/100)*AA31*Construction!AA11/365</f>
        <v>0.0803897542584121</v>
      </c>
      <c r="AB38" s="11" t="n">
        <f aca="false">Construction!AB14*(Inputs!$F$95/100*Inputs!$F$96/100)*AB31*Construction!AB11/365</f>
        <v>0.0812865836573061</v>
      </c>
      <c r="AC38" s="11" t="n">
        <f aca="false">Construction!AC14*(Inputs!$F$95/100*Inputs!$F$96/100)*AC31*Construction!AC11/365</f>
        <v>0.0932578712188611</v>
      </c>
      <c r="AD38" s="11" t="n">
        <f aca="false">Construction!AD14*(Inputs!$F$95/100*Inputs!$F$96/100)*AD31*Construction!AD11/365</f>
        <v>0.096538672781212</v>
      </c>
      <c r="AE38" s="11" t="n">
        <f aca="false">Construction!AE14*(Inputs!$F$95/100*Inputs!$F$96/100)*AE31*Construction!AE11/365</f>
        <v>0.106385613046873</v>
      </c>
      <c r="AF38" s="11" t="n">
        <f aca="false">Construction!AF14*(Inputs!$F$95/100*Inputs!$F$96/100)*AF31*Construction!AF11/365</f>
        <v>0.109374890280005</v>
      </c>
      <c r="AG38" s="11" t="n">
        <f aca="false">Construction!AG14*(Inputs!$F$95/100*Inputs!$F$96/100)*AG31*Construction!AG11/365</f>
        <v>0.119579676801492</v>
      </c>
      <c r="AH38" s="11" t="n">
        <f aca="false">Construction!AH14*(Inputs!$F$95/100*Inputs!$F$96/100)*AH31*Construction!AH11/365</f>
        <v>0.126008340597027</v>
      </c>
      <c r="AI38" s="11" t="n">
        <f aca="false">Construction!AI14*(Inputs!$F$95/100*Inputs!$F$96/100)*AI31*Construction!AI11/365</f>
        <v>0.127990354349241</v>
      </c>
      <c r="AJ38" s="11" t="n">
        <f aca="false">Construction!AJ14*(Inputs!$F$95/100*Inputs!$F$96/100)*AJ31*Construction!AJ11/365</f>
        <v>0.138258553830879</v>
      </c>
      <c r="AK38" s="11" t="n">
        <f aca="false">Construction!AK14*(Inputs!$F$95/100*Inputs!$F$96/100)*AK31*Construction!AK11/365</f>
        <v>0.13972950141962</v>
      </c>
      <c r="AL38" s="11" t="n">
        <f aca="false">Construction!AL14*(Inputs!$F$95/100*Inputs!$F$96/100)*AL31*Construction!AL11/365</f>
        <v>0.150175800471289</v>
      </c>
      <c r="AM38" s="11" t="n">
        <f aca="false">Construction!AM14*(Inputs!$F$95/100*Inputs!$F$96/100)*AM31*Construction!AM11/365</f>
        <v>0.155613013218036</v>
      </c>
      <c r="AN38" s="11" t="n">
        <f aca="false">Construction!AN14*(Inputs!$F$95/100*Inputs!$F$96/100)*AN31*Construction!AN11/365</f>
        <v>0.145217922905597</v>
      </c>
      <c r="AO38" s="11" t="n">
        <f aca="false">Construction!AO14*(Inputs!$F$95/100*Inputs!$F$96/100)*AO31*Construction!AO11/365</f>
        <v>0.165480857879413</v>
      </c>
      <c r="AP38" s="11" t="n">
        <f aca="false">Construction!AP14*(Inputs!$F$95/100*Inputs!$F$96/100)*AP31*Construction!AP11/365</f>
        <v>0.164318563833565</v>
      </c>
      <c r="AQ38" s="11" t="n">
        <f aca="false">Construction!AQ14*(Inputs!$F$95/100*Inputs!$F$96/100)*AQ31*Construction!AQ11/365</f>
        <v>0.173176769758898</v>
      </c>
      <c r="AR38" s="11" t="n">
        <f aca="false">Construction!AR14*(Inputs!$F$95/100*Inputs!$F$96/100)*AR31*Construction!AR11/365</f>
        <v>0.17078689035164</v>
      </c>
      <c r="AS38" s="11" t="n">
        <f aca="false">Construction!AS14*(Inputs!$F$95/100*Inputs!$F$96/100)*AS31*Construction!AS11/365</f>
        <v>0.179010614484075</v>
      </c>
      <c r="AT38" s="11" t="n">
        <f aca="false">Construction!AT14*(Inputs!$F$95/100*Inputs!$F$96/100)*AT31*Construction!AT11/365</f>
        <v>0.180991291056679</v>
      </c>
      <c r="AU38" s="11" t="n">
        <f aca="false">Construction!AU14*(Inputs!$F$95/100*Inputs!$F$96/100)*AU31*Construction!AU11/365</f>
        <v>0.176500470005673</v>
      </c>
      <c r="AV38" s="11" t="n">
        <f aca="false">Construction!AV14*(Inputs!$F$95/100*Inputs!$F$96/100)*AV31*Construction!AV11/365</f>
        <v>0.184154490332262</v>
      </c>
      <c r="AW38" s="11" t="n">
        <f aca="false">Construction!AW14*(Inputs!$F$95/100*Inputs!$F$96/100)*AW31*Construction!AW11/365</f>
        <v>0.179270949775017</v>
      </c>
      <c r="AX38" s="11" t="n">
        <f aca="false">Construction!AX14*(Inputs!$F$95/100*Inputs!$F$96/100)*AX31*Construction!AX11/365</f>
        <v>0.200306824677151</v>
      </c>
      <c r="AY38" s="11" t="n">
        <f aca="false">Construction!AY14*(Inputs!$F$95/100*Inputs!$F$96/100)*AY31*Construction!AY11/365</f>
        <v>0</v>
      </c>
      <c r="AZ38" s="11" t="n">
        <f aca="false">Construction!AZ14*(Inputs!$F$95/100*Inputs!$F$96/100)*AZ31*Construction!AZ11/365</f>
        <v>0</v>
      </c>
      <c r="BA38" s="11" t="n">
        <f aca="false">Construction!BA14*(Inputs!$F$95/100*Inputs!$F$96/100)*BA31*Construction!BA11/365</f>
        <v>0</v>
      </c>
      <c r="BB38" s="11" t="n">
        <f aca="false">Construction!BB14*(Inputs!$F$95/100*Inputs!$F$96/100)*BB31*Construction!BB11/365</f>
        <v>0</v>
      </c>
      <c r="BC38" s="11" t="n">
        <f aca="false">Construction!BC14*(Inputs!$F$95/100*Inputs!$F$96/100)*BC31*Construction!BC11/365</f>
        <v>0</v>
      </c>
      <c r="BD38" s="11" t="n">
        <f aca="false">Construction!BD14*(Inputs!$F$95/100*Inputs!$F$96/100)*BD31*Construction!BD11/365</f>
        <v>0</v>
      </c>
      <c r="BE38" s="11" t="n">
        <f aca="false">Construction!BE14*(Inputs!$F$95/100*Inputs!$F$96/100)*BE31*Construction!BE11/365</f>
        <v>0</v>
      </c>
      <c r="BF38" s="11" t="n">
        <f aca="false">Construction!BF14*(Inputs!$F$95/100*Inputs!$F$96/100)*BF31*Construction!BF11/365</f>
        <v>0</v>
      </c>
      <c r="BG38" s="11" t="n">
        <f aca="false">Construction!BG14*(Inputs!$F$95/100*Inputs!$F$96/100)*BG31*Construction!BG11/365</f>
        <v>0</v>
      </c>
      <c r="BH38" s="11" t="n">
        <f aca="false">Construction!BH14*(Inputs!$F$95/100*Inputs!$F$96/100)*BH31*Construction!BH11/365</f>
        <v>0</v>
      </c>
      <c r="BI38" s="11" t="n">
        <f aca="false">Construction!BI14*(Inputs!$F$95/100*Inputs!$F$96/100)*BI31*Construction!BI11/365</f>
        <v>0</v>
      </c>
      <c r="BJ38" s="11" t="n">
        <f aca="false">Construction!BJ14*(Inputs!$F$95/100*Inputs!$F$96/100)*BJ31*Construction!BJ11/365</f>
        <v>0</v>
      </c>
    </row>
    <row r="39" customFormat="false" ht="15" hidden="false" customHeight="false" outlineLevel="0" collapsed="false">
      <c r="D39" s="0" t="s">
        <v>597</v>
      </c>
      <c r="E39" s="0" t="s">
        <v>149</v>
      </c>
      <c r="G39" s="11" t="n">
        <f aca="false">SUM(J39:BJ39)</f>
        <v>13.6621394586511</v>
      </c>
      <c r="J39" s="11" t="n">
        <f aca="false">Construction!J14*Inputs!J233*(Inputs!$F$97/100/12-Construction!J17/100*Construction!J11/360)</f>
        <v>0</v>
      </c>
      <c r="K39" s="11" t="n">
        <f aca="false">Construction!K14*Inputs!K233*(Inputs!$F$97/100/12-Construction!K17/100*Construction!K11/360)</f>
        <v>0.0256336265468404</v>
      </c>
      <c r="L39" s="11" t="n">
        <f aca="false">Construction!L14*Inputs!L233*(Inputs!$F$97/100/12-Construction!L17/100*Construction!L11/360)</f>
        <v>0.0210141444648804</v>
      </c>
      <c r="M39" s="11" t="n">
        <f aca="false">Construction!M14*Inputs!M233*(Inputs!$F$97/100/12-Construction!M17/100*Construction!M11/360)</f>
        <v>0.0268320307959709</v>
      </c>
      <c r="N39" s="11" t="n">
        <f aca="false">Construction!N14*Inputs!N233*(Inputs!$F$97/100/12-Construction!N17/100*Construction!N11/360)</f>
        <v>0.0223162130457094</v>
      </c>
      <c r="O39" s="11" t="n">
        <f aca="false">Construction!O14*Inputs!O233*(Inputs!$F$97/100/12-Construction!O17/100*Construction!O11/360)</f>
        <v>-0.00127424878125192</v>
      </c>
      <c r="P39" s="11" t="n">
        <f aca="false">Construction!P14*Inputs!P233*(Inputs!$F$97/100/12-Construction!P17/100*Construction!P11/360)</f>
        <v>0.0195011255994295</v>
      </c>
      <c r="Q39" s="11" t="n">
        <f aca="false">Construction!Q14*Inputs!Q233*(Inputs!$F$97/100/12-Construction!Q17/100*Construction!Q11/360)</f>
        <v>-0.00146402957605366</v>
      </c>
      <c r="R39" s="11" t="n">
        <f aca="false">Construction!R14*Inputs!R233*(Inputs!$F$97/100/12-Construction!R17/100*Construction!R11/360)</f>
        <v>0.00660161691874227</v>
      </c>
      <c r="S39" s="11" t="n">
        <f aca="false">Construction!S14*Inputs!S233*(Inputs!$F$97/100/12-Construction!S17/100*Construction!S11/360)</f>
        <v>-0.00176559042074211</v>
      </c>
      <c r="T39" s="11" t="n">
        <f aca="false">Construction!T14*Inputs!T233*(Inputs!$F$97/100/12-Construction!T17/100*Construction!T11/360)</f>
        <v>0.00808562367175125</v>
      </c>
      <c r="U39" s="11" t="n">
        <f aca="false">Construction!U14*Inputs!U233*(Inputs!$F$97/100/12-Construction!U17/100*Construction!U11/360)</f>
        <v>0.0787536645623332</v>
      </c>
      <c r="V39" s="11" t="n">
        <f aca="false">Construction!V14*Inputs!V233*(Inputs!$F$97/100/12-Construction!V17/100*Construction!V11/360)</f>
        <v>0.0877176560257361</v>
      </c>
      <c r="W39" s="11" t="n">
        <f aca="false">Construction!W14*Inputs!W233*(Inputs!$F$97/100/12-Construction!W17/100*Construction!W11/360)</f>
        <v>0.108133044779402</v>
      </c>
      <c r="X39" s="11" t="n">
        <f aca="false">Construction!X14*Inputs!X233*(Inputs!$F$97/100/12-Construction!X17/100*Construction!X11/360)</f>
        <v>0.10801265991364</v>
      </c>
      <c r="Y39" s="11" t="n">
        <f aca="false">Construction!Y14*Inputs!Y233*(Inputs!$F$97/100/12-Construction!Y17/100*Construction!Y11/360)</f>
        <v>0.1320462538797</v>
      </c>
      <c r="Z39" s="11" t="n">
        <f aca="false">Construction!Z14*Inputs!Z233*(Inputs!$F$97/100/12-Construction!Z17/100*Construction!Z11/360)</f>
        <v>0.13053695071482</v>
      </c>
      <c r="AA39" s="11" t="n">
        <f aca="false">Construction!AA14*Inputs!AA233*(Inputs!$F$97/100/12-Construction!AA17/100*Construction!AA11/360)</f>
        <v>0.205499100233985</v>
      </c>
      <c r="AB39" s="11" t="n">
        <f aca="false">Construction!AB14*Inputs!AB233*(Inputs!$F$97/100/12-Construction!AB17/100*Construction!AB11/360)</f>
        <v>0.252201725563194</v>
      </c>
      <c r="AC39" s="11" t="n">
        <f aca="false">Construction!AC14*Inputs!AC233*(Inputs!$F$97/100/12-Construction!AC17/100*Construction!AC11/360)</f>
        <v>0.239742826686514</v>
      </c>
      <c r="AD39" s="11" t="n">
        <f aca="false">Construction!AD14*Inputs!AD233*(Inputs!$F$97/100/12-Construction!AD17/100*Construction!AD11/360)</f>
        <v>0.272812481101214</v>
      </c>
      <c r="AE39" s="11" t="n">
        <f aca="false">Construction!AE14*Inputs!AE233*(Inputs!$F$97/100/12-Construction!AE17/100*Construction!AE11/360)</f>
        <v>0.271664285124737</v>
      </c>
      <c r="AF39" s="11" t="n">
        <f aca="false">Construction!AF14*Inputs!AF233*(Inputs!$F$97/100/12-Construction!AF17/100*Construction!AF11/360)</f>
        <v>0.305116692599217</v>
      </c>
      <c r="AG39" s="11" t="n">
        <f aca="false">Construction!AG14*Inputs!AG233*(Inputs!$F$97/100/12-Construction!AG17/100*Construction!AG11/360)</f>
        <v>0.79040266567777</v>
      </c>
      <c r="AH39" s="11" t="n">
        <f aca="false">Construction!AH14*Inputs!AH233*(Inputs!$F$97/100/12-Construction!AH17/100*Construction!AH11/360)</f>
        <v>0.822971319748561</v>
      </c>
      <c r="AI39" s="11" t="n">
        <f aca="false">Construction!AI14*Inputs!AI233*(Inputs!$F$97/100/12-Construction!AI17/100*Construction!AI11/360)</f>
        <v>0.856015097948777</v>
      </c>
      <c r="AJ39" s="11" t="n">
        <f aca="false">Construction!AJ14*Inputs!AJ233*(Inputs!$F$97/100/12-Construction!AJ17/100*Construction!AJ11/360)</f>
        <v>0.876975346933529</v>
      </c>
      <c r="AK39" s="11" t="n">
        <f aca="false">Construction!AK14*Inputs!AK233*(Inputs!$F$97/100/12-Construction!AK17/100*Construction!AK11/360)</f>
        <v>0.902597653687788</v>
      </c>
      <c r="AL39" s="11" t="n">
        <f aca="false">Construction!AL14*Inputs!AL233*(Inputs!$F$97/100/12-Construction!AL17/100*Construction!AL11/360)</f>
        <v>0.915757999516353</v>
      </c>
      <c r="AM39" s="11" t="n">
        <f aca="false">Construction!AM14*Inputs!AM233*(Inputs!$F$97/100/12-Construction!AM17/100*Construction!AM11/360)</f>
        <v>0.974828197447532</v>
      </c>
      <c r="AN39" s="11" t="n">
        <f aca="false">Construction!AN14*Inputs!AN233*(Inputs!$F$97/100/12-Construction!AN17/100*Construction!AN11/360)</f>
        <v>0.995631491875265</v>
      </c>
      <c r="AO39" s="11" t="n">
        <f aca="false">Construction!AO14*Inputs!AO233*(Inputs!$F$97/100/12-Construction!AO17/100*Construction!AO11/360)</f>
        <v>0.995260836606642</v>
      </c>
      <c r="AP39" s="11" t="n">
        <f aca="false">Construction!AP14*Inputs!AP233*(Inputs!$F$97/100/12-Construction!AP17/100*Construction!AP11/360)</f>
        <v>1.00571497479109</v>
      </c>
      <c r="AQ39" s="11" t="n">
        <f aca="false">Construction!AQ14*Inputs!AQ233*(Inputs!$F$97/100/12-Construction!AQ17/100*Construction!AQ11/360)</f>
        <v>1.07462644034028</v>
      </c>
      <c r="AR39" s="11" t="n">
        <f aca="false">Construction!AR14*Inputs!AR233*(Inputs!$F$97/100/12-Construction!AR17/100*Construction!AR11/360)</f>
        <v>1.13363958062779</v>
      </c>
      <c r="AS39" s="11" t="n">
        <f aca="false">Construction!AS14*Inputs!AS233*(Inputs!$F$97/100/12-Construction!AS17/100*Construction!AS11/360)</f>
        <v>0</v>
      </c>
      <c r="AT39" s="11" t="n">
        <f aca="false">Construction!AT14*Inputs!AT233*(Inputs!$F$97/100/12-Construction!AT17/100*Construction!AT11/360)</f>
        <v>0</v>
      </c>
      <c r="AU39" s="11" t="n">
        <f aca="false">Construction!AU14*Inputs!AU233*(Inputs!$F$97/100/12-Construction!AU17/100*Construction!AU11/360)</f>
        <v>0</v>
      </c>
      <c r="AV39" s="11" t="n">
        <f aca="false">Construction!AV14*Inputs!AV233*(Inputs!$F$97/100/12-Construction!AV17/100*Construction!AV11/360)</f>
        <v>0</v>
      </c>
      <c r="AW39" s="11" t="n">
        <f aca="false">Construction!AW14*Inputs!AW233*(Inputs!$F$97/100/12-Construction!AW17/100*Construction!AW11/360)</f>
        <v>0</v>
      </c>
      <c r="AX39" s="11" t="n">
        <f aca="false">Construction!AX14*Inputs!AX233*(Inputs!$F$97/100/12-Construction!AX17/100*Construction!AX11/360)</f>
        <v>0</v>
      </c>
      <c r="AY39" s="11" t="n">
        <f aca="false">Construction!AY14*Inputs!AY233*(Inputs!$F$97/100/12-Construction!AY17/100*Construction!AY11/360)</f>
        <v>0</v>
      </c>
      <c r="AZ39" s="11" t="n">
        <f aca="false">Construction!AZ14*Inputs!AZ233*(Inputs!$F$97/100/12-Construction!AZ17/100*Construction!AZ11/360)</f>
        <v>0</v>
      </c>
      <c r="BA39" s="11" t="n">
        <f aca="false">Construction!BA14*Inputs!BA233*(Inputs!$F$97/100/12-Construction!BA17/100*Construction!BA11/360)</f>
        <v>0</v>
      </c>
      <c r="BB39" s="11" t="n">
        <f aca="false">Construction!BB14*Inputs!BB233*(Inputs!$F$97/100/12-Construction!BB17/100*Construction!BB11/360)</f>
        <v>0</v>
      </c>
      <c r="BC39" s="11" t="n">
        <f aca="false">Construction!BC14*Inputs!BC233*(Inputs!$F$97/100/12-Construction!BC17/100*Construction!BC11/360)</f>
        <v>0</v>
      </c>
      <c r="BD39" s="11" t="n">
        <f aca="false">Construction!BD14*Inputs!BD233*(Inputs!$F$97/100/12-Construction!BD17/100*Construction!BD11/360)</f>
        <v>0</v>
      </c>
      <c r="BE39" s="11" t="n">
        <f aca="false">Construction!BE14*Inputs!BE233*(Inputs!$F$97/100/12-Construction!BE17/100*Construction!BE11/360)</f>
        <v>-0</v>
      </c>
      <c r="BF39" s="11" t="n">
        <f aca="false">Construction!BF14*Inputs!BF233*(Inputs!$F$97/100/12-Construction!BF17/100*Construction!BF11/360)</f>
        <v>-0</v>
      </c>
      <c r="BG39" s="11" t="n">
        <f aca="false">Construction!BG14*Inputs!BG233*(Inputs!$F$97/100/12-Construction!BG17/100*Construction!BG11/360)</f>
        <v>0</v>
      </c>
      <c r="BH39" s="11" t="n">
        <f aca="false">Construction!BH14*Inputs!BH233*(Inputs!$F$97/100/12-Construction!BH17/100*Construction!BH11/360)</f>
        <v>-0</v>
      </c>
      <c r="BI39" s="11" t="n">
        <f aca="false">Construction!BI14*Inputs!BI233*(Inputs!$F$97/100/12-Construction!BI17/100*Construction!BI11/360)</f>
        <v>0</v>
      </c>
      <c r="BJ39" s="11" t="n">
        <f aca="false">Construction!BJ14*Inputs!BJ233*(Inputs!$F$97/100/12-Construction!BJ17/100*Construction!BJ11/360)</f>
        <v>-0</v>
      </c>
    </row>
    <row r="40" customFormat="false" ht="15" hidden="false" customHeight="false" outlineLevel="0" collapsed="false">
      <c r="D40" s="0" t="s">
        <v>598</v>
      </c>
      <c r="E40" s="0" t="s">
        <v>149</v>
      </c>
      <c r="G40" s="11" t="n">
        <f aca="false">SUM(J40:BJ40)</f>
        <v>11.3469604836862</v>
      </c>
      <c r="J40" s="11" t="n">
        <f aca="false">Construction!J14*((Inputs!$F$75*$F$25-J28)*Inputs!$F$85/100+(Inputs!$F$76*$F$25-J29)*Inputs!$F$86/100+(Inputs!$F$77*$F$25-J30)*Inputs!$F$87/100+(Inputs!$F$78*$F$25-J31)*(Inputs!$F$88/100*Inputs!$F$82)/100)*Construction!J11/360</f>
        <v>0.549775247522472</v>
      </c>
      <c r="K40" s="11" t="n">
        <f aca="false">Construction!K14*((Inputs!$F$75*$F$25-K28)*Inputs!$F$85/100+(Inputs!$F$76*$F$25-K29)*Inputs!$F$86/100+(Inputs!$F$77*$F$25-K30)*Inputs!$F$87/100+(Inputs!$F$78*$F$25-K31)*(Inputs!$F$88/100*Inputs!$F$82)/100)*Construction!K11/360</f>
        <v>0.456437590626858</v>
      </c>
      <c r="L40" s="11" t="n">
        <f aca="false">Construction!L14*((Inputs!$F$75*$F$25-L28)*Inputs!$F$85/100+(Inputs!$F$76*$F$25-L29)*Inputs!$F$86/100+(Inputs!$F$77*$F$25-L30)*Inputs!$F$87/100+(Inputs!$F$78*$F$25-L31)*(Inputs!$F$88/100*Inputs!$F$82)/100)*Construction!L11/360</f>
        <v>0.470061229646927</v>
      </c>
      <c r="M40" s="11" t="n">
        <f aca="false">Construction!M14*((Inputs!$F$75*$F$25-M28)*Inputs!$F$85/100+(Inputs!$F$76*$F$25-M29)*Inputs!$F$86/100+(Inputs!$F$77*$F$25-M30)*Inputs!$F$87/100+(Inputs!$F$78*$F$25-M31)*(Inputs!$F$88/100*Inputs!$F$82)/100)*Construction!M11/360</f>
        <v>0.453056446081269</v>
      </c>
      <c r="N40" s="11" t="n">
        <f aca="false">Construction!N14*((Inputs!$F$75*$F$25-N28)*Inputs!$F$85/100+(Inputs!$F$76*$F$25-N29)*Inputs!$F$86/100+(Inputs!$F$77*$F$25-N30)*Inputs!$F$87/100+(Inputs!$F$78*$F$25-N31)*(Inputs!$F$88/100*Inputs!$F$82)/100)*Construction!N11/360</f>
        <v>0.46573391414724</v>
      </c>
      <c r="O40" s="11" t="n">
        <f aca="false">Construction!O14*((Inputs!$F$75*$F$25-O28)*Inputs!$F$85/100+(Inputs!$F$76*$F$25-O29)*Inputs!$F$86/100+(Inputs!$F$77*$F$25-O30)*Inputs!$F$87/100+(Inputs!$F$78*$F$25-O31)*(Inputs!$F$88/100*Inputs!$F$82)/100)*Construction!O11/360</f>
        <v>0.462548117217204</v>
      </c>
      <c r="P40" s="11" t="n">
        <f aca="false">Construction!P14*((Inputs!$F$75*$F$25-P28)*Inputs!$F$85/100+(Inputs!$F$76*$F$25-P29)*Inputs!$F$86/100+(Inputs!$F$77*$F$25-P30)*Inputs!$F$87/100+(Inputs!$F$78*$F$25-P31)*(Inputs!$F$88/100*Inputs!$F$82)/100)*Construction!P11/360</f>
        <v>0.414094027799875</v>
      </c>
      <c r="Q40" s="11" t="n">
        <f aca="false">Construction!Q14*((Inputs!$F$75*$F$25-Q28)*Inputs!$F$85/100+(Inputs!$F$76*$F$25-Q29)*Inputs!$F$86/100+(Inputs!$F$77*$F$25-Q30)*Inputs!$F$87/100+(Inputs!$F$78*$F$25-Q31)*(Inputs!$F$88/100*Inputs!$F$82)/100)*Construction!Q11/360</f>
        <v>0.453403151882953</v>
      </c>
      <c r="R40" s="11" t="n">
        <f aca="false">Construction!R14*((Inputs!$F$75*$F$25-R28)*Inputs!$F$85/100+(Inputs!$F$76*$F$25-R29)*Inputs!$F$86/100+(Inputs!$F$77*$F$25-R30)*Inputs!$F$87/100+(Inputs!$F$78*$F$25-R31)*(Inputs!$F$88/100*Inputs!$F$82)/100)*Construction!R11/360</f>
        <v>0.432745876262125</v>
      </c>
      <c r="S40" s="11" t="n">
        <f aca="false">Construction!S14*((Inputs!$F$75*$F$25-S28)*Inputs!$F$85/100+(Inputs!$F$76*$F$25-S29)*Inputs!$F$86/100+(Inputs!$F$77*$F$25-S30)*Inputs!$F$87/100+(Inputs!$F$78*$F$25-S31)*(Inputs!$F$88/100*Inputs!$F$82)/100)*Construction!S11/360</f>
        <v>0.439783284808137</v>
      </c>
      <c r="T40" s="11" t="n">
        <f aca="false">Construction!T14*((Inputs!$F$75*$F$25-T28)*Inputs!$F$85/100+(Inputs!$F$76*$F$25-T29)*Inputs!$F$86/100+(Inputs!$F$77*$F$25-T30)*Inputs!$F$87/100+(Inputs!$F$78*$F$25-T31)*(Inputs!$F$88/100*Inputs!$F$82)/100)*Construction!T11/360</f>
        <v>0.417266762802824</v>
      </c>
      <c r="U40" s="11" t="n">
        <f aca="false">Construction!U14*((Inputs!$F$75*$F$25-U28)*Inputs!$F$85/100+(Inputs!$F$76*$F$25-U29)*Inputs!$F$86/100+(Inputs!$F$77*$F$25-U30)*Inputs!$F$87/100+(Inputs!$F$78*$F$25-U31)*(Inputs!$F$88/100*Inputs!$F$82)/100)*Construction!U11/360</f>
        <v>0.421402093842395</v>
      </c>
      <c r="V40" s="11" t="n">
        <f aca="false">Construction!V14*((Inputs!$F$75*$F$25-V28)*Inputs!$F$85/100+(Inputs!$F$76*$F$25-V29)*Inputs!$F$86/100+(Inputs!$F$77*$F$25-V30)*Inputs!$F$87/100+(Inputs!$F$78*$F$25-V31)*(Inputs!$F$88/100*Inputs!$F$82)/100)*Construction!V11/360</f>
        <v>0.410472144509421</v>
      </c>
      <c r="W40" s="11" t="n">
        <f aca="false">Construction!W14*((Inputs!$F$75*$F$25-W28)*Inputs!$F$85/100+(Inputs!$F$76*$F$25-W29)*Inputs!$F$86/100+(Inputs!$F$77*$F$25-W30)*Inputs!$F$87/100+(Inputs!$F$78*$F$25-W31)*(Inputs!$F$88/100*Inputs!$F$82)/100)*Construction!W11/360</f>
        <v>0.385572935859667</v>
      </c>
      <c r="X40" s="11" t="n">
        <f aca="false">Construction!X14*((Inputs!$F$75*$F$25-X28)*Inputs!$F$85/100+(Inputs!$F$76*$F$25-X29)*Inputs!$F$86/100+(Inputs!$F$77*$F$25-X30)*Inputs!$F$87/100+(Inputs!$F$78*$F$25-X31)*(Inputs!$F$88/100*Inputs!$F$82)/100)*Construction!X11/360</f>
        <v>0.385356306696131</v>
      </c>
      <c r="Y40" s="11" t="n">
        <f aca="false">Construction!Y14*((Inputs!$F$75*$F$25-Y28)*Inputs!$F$85/100+(Inputs!$F$76*$F$25-Y29)*Inputs!$F$86/100+(Inputs!$F$77*$F$25-Y30)*Inputs!$F$87/100+(Inputs!$F$78*$F$25-Y31)*(Inputs!$F$88/100*Inputs!$F$82)/100)*Construction!Y11/360</f>
        <v>0.359335409027622</v>
      </c>
      <c r="Z40" s="11" t="n">
        <f aca="false">Construction!Z14*((Inputs!$F$75*$F$25-Z28)*Inputs!$F$85/100+(Inputs!$F$76*$F$25-Z29)*Inputs!$F$86/100+(Inputs!$F$77*$F$25-Z30)*Inputs!$F$87/100+(Inputs!$F$78*$F$25-Z31)*(Inputs!$F$88/100*Inputs!$F$82)/100)*Construction!Z11/360</f>
        <v>0.356448994830842</v>
      </c>
      <c r="AA40" s="11" t="n">
        <f aca="false">Construction!AA14*((Inputs!$F$75*$F$25-AA28)*Inputs!$F$85/100+(Inputs!$F$76*$F$25-AA29)*Inputs!$F$86/100+(Inputs!$F$77*$F$25-AA30)*Inputs!$F$87/100+(Inputs!$F$78*$F$25-AA31)*(Inputs!$F$88/100*Inputs!$F$82)/100)*Construction!AA11/360</f>
        <v>0.340838989938383</v>
      </c>
      <c r="AB40" s="11" t="n">
        <f aca="false">Construction!AB14*((Inputs!$F$75*$F$25-AB28)*Inputs!$F$85/100+(Inputs!$F$76*$F$25-AB29)*Inputs!$F$86/100+(Inputs!$F$77*$F$25-AB30)*Inputs!$F$87/100+(Inputs!$F$78*$F$25-AB31)*(Inputs!$F$88/100*Inputs!$F$82)/100)*Construction!AB11/360</f>
        <v>0.303038722861115</v>
      </c>
      <c r="AC40" s="11" t="n">
        <f aca="false">Construction!AC14*((Inputs!$F$75*$F$25-AC28)*Inputs!$F$85/100+(Inputs!$F$76*$F$25-AC29)*Inputs!$F$86/100+(Inputs!$F$77*$F$25-AC30)*Inputs!$F$87/100+(Inputs!$F$78*$F$25-AC31)*(Inputs!$F$88/100*Inputs!$F$82)/100)*Construction!AC11/360</f>
        <v>0.307394227920229</v>
      </c>
      <c r="AD40" s="11" t="n">
        <f aca="false">Construction!AD14*((Inputs!$F$75*$F$25-AD28)*Inputs!$F$85/100+(Inputs!$F$76*$F$25-AD29)*Inputs!$F$86/100+(Inputs!$F$77*$F$25-AD30)*Inputs!$F$87/100+(Inputs!$F$78*$F$25-AD31)*(Inputs!$F$88/100*Inputs!$F$82)/100)*Construction!AD11/360</f>
        <v>0.281132605139281</v>
      </c>
      <c r="AE40" s="11" t="n">
        <f aca="false">Construction!AE14*((Inputs!$F$75*$F$25-AE28)*Inputs!$F$85/100+(Inputs!$F$76*$F$25-AE29)*Inputs!$F$86/100+(Inputs!$F$77*$F$25-AE30)*Inputs!$F$87/100+(Inputs!$F$78*$F$25-AE31)*(Inputs!$F$88/100*Inputs!$F$82)/100)*Construction!AE11/360</f>
        <v>0.273274690258029</v>
      </c>
      <c r="AF40" s="11" t="n">
        <f aca="false">Construction!AF14*((Inputs!$F$75*$F$25-AF28)*Inputs!$F$85/100+(Inputs!$F$76*$F$25-AF29)*Inputs!$F$86/100+(Inputs!$F$77*$F$25-AF30)*Inputs!$F$87/100+(Inputs!$F$78*$F$25-AF31)*(Inputs!$F$88/100*Inputs!$F$82)/100)*Construction!AF11/360</f>
        <v>0.247770751125994</v>
      </c>
      <c r="AG40" s="11" t="n">
        <f aca="false">Construction!AG14*((Inputs!$F$75*$F$25-AG28)*Inputs!$F$85/100+(Inputs!$F$76*$F$25-AG29)*Inputs!$F$86/100+(Inputs!$F$77*$F$25-AG30)*Inputs!$F$87/100+(Inputs!$F$78*$F$25-AG31)*(Inputs!$F$88/100*Inputs!$F$82)/100)*Construction!AG11/360</f>
        <v>0.238982779197391</v>
      </c>
      <c r="AH40" s="11" t="n">
        <f aca="false">Construction!AH14*((Inputs!$F$75*$F$25-AH28)*Inputs!$F$85/100+(Inputs!$F$76*$F$25-AH29)*Inputs!$F$86/100+(Inputs!$F$77*$F$25-AH30)*Inputs!$F$87/100+(Inputs!$F$78*$F$25-AH31)*(Inputs!$F$88/100*Inputs!$F$82)/100)*Construction!AH11/360</f>
        <v>0.222274419194351</v>
      </c>
      <c r="AI40" s="11" t="n">
        <f aca="false">Construction!AI14*((Inputs!$F$75*$F$25-AI28)*Inputs!$F$85/100+(Inputs!$F$76*$F$25-AI29)*Inputs!$F$86/100+(Inputs!$F$77*$F$25-AI30)*Inputs!$F$87/100+(Inputs!$F$78*$F$25-AI31)*(Inputs!$F$88/100*Inputs!$F$82)/100)*Construction!AI11/360</f>
        <v>0.199388399025319</v>
      </c>
      <c r="AJ40" s="11" t="n">
        <f aca="false">Construction!AJ14*((Inputs!$F$75*$F$25-AJ28)*Inputs!$F$85/100+(Inputs!$F$76*$F$25-AJ29)*Inputs!$F$86/100+(Inputs!$F$77*$F$25-AJ30)*Inputs!$F$87/100+(Inputs!$F$78*$F$25-AJ31)*(Inputs!$F$88/100*Inputs!$F$82)/100)*Construction!AJ11/360</f>
        <v>0.190435614221015</v>
      </c>
      <c r="AK40" s="11" t="n">
        <f aca="false">Construction!AK14*((Inputs!$F$75*$F$25-AK28)*Inputs!$F$85/100+(Inputs!$F$76*$F$25-AK29)*Inputs!$F$86/100+(Inputs!$F$77*$F$25-AK30)*Inputs!$F$87/100+(Inputs!$F$78*$F$25-AK31)*(Inputs!$F$88/100*Inputs!$F$82)/100)*Construction!AK11/360</f>
        <v>0.168877875902809</v>
      </c>
      <c r="AL40" s="11" t="n">
        <f aca="false">Construction!AL14*((Inputs!$F$75*$F$25-AL28)*Inputs!$F$85/100+(Inputs!$F$76*$F$25-AL29)*Inputs!$F$86/100+(Inputs!$F$77*$F$25-AL30)*Inputs!$F$87/100+(Inputs!$F$78*$F$25-AL31)*(Inputs!$F$88/100*Inputs!$F$82)/100)*Construction!AL11/360</f>
        <v>0.15946220303543</v>
      </c>
      <c r="AM40" s="11" t="n">
        <f aca="false">Construction!AM14*((Inputs!$F$75*$F$25-AM28)*Inputs!$F$85/100+(Inputs!$F$76*$F$25-AM29)*Inputs!$F$86/100+(Inputs!$F$77*$F$25-AM30)*Inputs!$F$87/100+(Inputs!$F$78*$F$25-AM31)*(Inputs!$F$88/100*Inputs!$F$82)/100)*Construction!AM11/360</f>
        <v>0.14533066483789</v>
      </c>
      <c r="AN40" s="11" t="n">
        <f aca="false">Construction!AN14*((Inputs!$F$75*$F$25-AN28)*Inputs!$F$85/100+(Inputs!$F$76*$F$25-AN29)*Inputs!$F$86/100+(Inputs!$F$77*$F$25-AN30)*Inputs!$F$87/100+(Inputs!$F$78*$F$25-AN31)*(Inputs!$F$88/100*Inputs!$F$82)/100)*Construction!AN11/360</f>
        <v>0.119143873290734</v>
      </c>
      <c r="AO40" s="11" t="n">
        <f aca="false">Construction!AO14*((Inputs!$F$75*$F$25-AO28)*Inputs!$F$85/100+(Inputs!$F$76*$F$25-AO29)*Inputs!$F$86/100+(Inputs!$F$77*$F$25-AO30)*Inputs!$F$87/100+(Inputs!$F$78*$F$25-AO31)*(Inputs!$F$88/100*Inputs!$F$82)/100)*Construction!AO11/360</f>
        <v>0.119683733173665</v>
      </c>
      <c r="AP40" s="11" t="n">
        <f aca="false">Construction!AP14*((Inputs!$F$75*$F$25-AP28)*Inputs!$F$85/100+(Inputs!$F$76*$F$25-AP29)*Inputs!$F$86/100+(Inputs!$F$77*$F$25-AP30)*Inputs!$F$87/100+(Inputs!$F$78*$F$25-AP31)*(Inputs!$F$88/100*Inputs!$F$82)/100)*Construction!AP11/360</f>
        <v>0.104969897508489</v>
      </c>
      <c r="AQ40" s="11" t="n">
        <f aca="false">Construction!AQ14*((Inputs!$F$75*$F$25-AQ28)*Inputs!$F$85/100+(Inputs!$F$76*$F$25-AQ29)*Inputs!$F$86/100+(Inputs!$F$77*$F$25-AQ30)*Inputs!$F$87/100+(Inputs!$F$78*$F$25-AQ31)*(Inputs!$F$88/100*Inputs!$F$82)/100)*Construction!AQ11/360</f>
        <v>0.0996817435963897</v>
      </c>
      <c r="AR40" s="11" t="n">
        <f aca="false">Construction!AR14*((Inputs!$F$75*$F$25-AR28)*Inputs!$F$85/100+(Inputs!$F$76*$F$25-AR29)*Inputs!$F$86/100+(Inputs!$F$77*$F$25-AR30)*Inputs!$F$87/100+(Inputs!$F$78*$F$25-AR31)*(Inputs!$F$88/100*Inputs!$F$82)/100)*Construction!AR11/360</f>
        <v>0.0881584524681893</v>
      </c>
      <c r="AS40" s="11" t="n">
        <f aca="false">Construction!AS14*((Inputs!$F$75*$F$25-AS28)*Inputs!$F$85/100+(Inputs!$F$76*$F$25-AS29)*Inputs!$F$86/100+(Inputs!$F$77*$F$25-AS30)*Inputs!$F$87/100+(Inputs!$F$78*$F$25-AS31)*(Inputs!$F$88/100*Inputs!$F$82)/100)*Construction!AS11/360</f>
        <v>0.0845193426729209</v>
      </c>
      <c r="AT40" s="11" t="n">
        <f aca="false">Construction!AT14*((Inputs!$F$75*$F$25-AT28)*Inputs!$F$85/100+(Inputs!$F$76*$F$25-AT29)*Inputs!$F$86/100+(Inputs!$F$77*$F$25-AT30)*Inputs!$F$87/100+(Inputs!$F$78*$F$25-AT31)*(Inputs!$F$88/100*Inputs!$F$82)/100)*Construction!AT11/360</f>
        <v>0.0793714832923087</v>
      </c>
      <c r="AU40" s="11" t="n">
        <f aca="false">Construction!AU14*((Inputs!$F$75*$F$25-AU28)*Inputs!$F$85/100+(Inputs!$F$76*$F$25-AU29)*Inputs!$F$86/100+(Inputs!$F$77*$F$25-AU30)*Inputs!$F$87/100+(Inputs!$F$78*$F$25-AU31)*(Inputs!$F$88/100*Inputs!$F$82)/100)*Construction!AU11/360</f>
        <v>0.0733086253809619</v>
      </c>
      <c r="AV40" s="11" t="n">
        <f aca="false">Construction!AV14*((Inputs!$F$75*$F$25-AV28)*Inputs!$F$85/100+(Inputs!$F$76*$F$25-AV29)*Inputs!$F$86/100+(Inputs!$F$77*$F$25-AV30)*Inputs!$F$87/100+(Inputs!$F$78*$F$25-AV31)*(Inputs!$F$88/100*Inputs!$F$82)/100)*Construction!AV11/360</f>
        <v>0.0711501990661042</v>
      </c>
      <c r="AW40" s="11" t="n">
        <f aca="false">Construction!AW14*((Inputs!$F$75*$F$25-AW28)*Inputs!$F$85/100+(Inputs!$F$76*$F$25-AW29)*Inputs!$F$86/100+(Inputs!$F$77*$F$25-AW30)*Inputs!$F$87/100+(Inputs!$F$78*$F$25-AW31)*(Inputs!$F$88/100*Inputs!$F$82)/100)*Construction!AW11/360</f>
        <v>0.0661080352055206</v>
      </c>
      <c r="AX40" s="11" t="n">
        <f aca="false">Construction!AX14*((Inputs!$F$75*$F$25-AX28)*Inputs!$F$85/100+(Inputs!$F$76*$F$25-AX29)*Inputs!$F$86/100+(Inputs!$F$77*$F$25-AX30)*Inputs!$F$87/100+(Inputs!$F$78*$F$25-AX31)*(Inputs!$F$88/100*Inputs!$F$82)/100)*Construction!AX11/360</f>
        <v>0.0291696218097086</v>
      </c>
      <c r="AY40" s="11" t="n">
        <f aca="false">Construction!AY14*((Inputs!$F$75*$F$25-AY28)*Inputs!$F$85/100+(Inputs!$F$76*$F$25-AY29)*Inputs!$F$86/100+(Inputs!$F$77*$F$25-AY30)*Inputs!$F$87/100+(Inputs!$F$78*$F$25-AY31)*(Inputs!$F$88/100*Inputs!$F$82)/100)*Construction!AY11/360</f>
        <v>0</v>
      </c>
      <c r="AZ40" s="11" t="n">
        <f aca="false">Construction!AZ14*((Inputs!$F$75*$F$25-AZ28)*Inputs!$F$85/100+(Inputs!$F$76*$F$25-AZ29)*Inputs!$F$86/100+(Inputs!$F$77*$F$25-AZ30)*Inputs!$F$87/100+(Inputs!$F$78*$F$25-AZ31)*(Inputs!$F$88/100*Inputs!$F$82)/100)*Construction!AZ11/360</f>
        <v>0</v>
      </c>
      <c r="BA40" s="11" t="n">
        <f aca="false">Construction!BA14*((Inputs!$F$75*$F$25-BA28)*Inputs!$F$85/100+(Inputs!$F$76*$F$25-BA29)*Inputs!$F$86/100+(Inputs!$F$77*$F$25-BA30)*Inputs!$F$87/100+(Inputs!$F$78*$F$25-BA31)*(Inputs!$F$88/100*Inputs!$F$82)/100)*Construction!BA11/360</f>
        <v>0</v>
      </c>
      <c r="BB40" s="11" t="n">
        <f aca="false">Construction!BB14*((Inputs!$F$75*$F$25-BB28)*Inputs!$F$85/100+(Inputs!$F$76*$F$25-BB29)*Inputs!$F$86/100+(Inputs!$F$77*$F$25-BB30)*Inputs!$F$87/100+(Inputs!$F$78*$F$25-BB31)*(Inputs!$F$88/100*Inputs!$F$82)/100)*Construction!BB11/360</f>
        <v>0</v>
      </c>
      <c r="BC40" s="11" t="n">
        <f aca="false">Construction!BC14*((Inputs!$F$75*$F$25-BC28)*Inputs!$F$85/100+(Inputs!$F$76*$F$25-BC29)*Inputs!$F$86/100+(Inputs!$F$77*$F$25-BC30)*Inputs!$F$87/100+(Inputs!$F$78*$F$25-BC31)*(Inputs!$F$88/100*Inputs!$F$82)/100)*Construction!BC11/360</f>
        <v>0</v>
      </c>
      <c r="BD40" s="11" t="n">
        <f aca="false">Construction!BD14*((Inputs!$F$75*$F$25-BD28)*Inputs!$F$85/100+(Inputs!$F$76*$F$25-BD29)*Inputs!$F$86/100+(Inputs!$F$77*$F$25-BD30)*Inputs!$F$87/100+(Inputs!$F$78*$F$25-BD31)*(Inputs!$F$88/100*Inputs!$F$82)/100)*Construction!BD11/360</f>
        <v>0</v>
      </c>
      <c r="BE40" s="11" t="n">
        <f aca="false">Construction!BE14*((Inputs!$F$75*$F$25-BE28)*Inputs!$F$85/100+(Inputs!$F$76*$F$25-BE29)*Inputs!$F$86/100+(Inputs!$F$77*$F$25-BE30)*Inputs!$F$87/100+(Inputs!$F$78*$F$25-BE31)*(Inputs!$F$88/100*Inputs!$F$82)/100)*Construction!BE11/360</f>
        <v>0</v>
      </c>
      <c r="BF40" s="11" t="n">
        <f aca="false">Construction!BF14*((Inputs!$F$75*$F$25-BF28)*Inputs!$F$85/100+(Inputs!$F$76*$F$25-BF29)*Inputs!$F$86/100+(Inputs!$F$77*$F$25-BF30)*Inputs!$F$87/100+(Inputs!$F$78*$F$25-BF31)*(Inputs!$F$88/100*Inputs!$F$82)/100)*Construction!BF11/360</f>
        <v>0</v>
      </c>
      <c r="BG40" s="11" t="n">
        <f aca="false">Construction!BG14*((Inputs!$F$75*$F$25-BG28)*Inputs!$F$85/100+(Inputs!$F$76*$F$25-BG29)*Inputs!$F$86/100+(Inputs!$F$77*$F$25-BG30)*Inputs!$F$87/100+(Inputs!$F$78*$F$25-BG31)*(Inputs!$F$88/100*Inputs!$F$82)/100)*Construction!BG11/360</f>
        <v>0</v>
      </c>
      <c r="BH40" s="11" t="n">
        <f aca="false">Construction!BH14*((Inputs!$F$75*$F$25-BH28)*Inputs!$F$85/100+(Inputs!$F$76*$F$25-BH29)*Inputs!$F$86/100+(Inputs!$F$77*$F$25-BH30)*Inputs!$F$87/100+(Inputs!$F$78*$F$25-BH31)*(Inputs!$F$88/100*Inputs!$F$82)/100)*Construction!BH11/360</f>
        <v>0</v>
      </c>
      <c r="BI40" s="11" t="n">
        <f aca="false">Construction!BI14*((Inputs!$F$75*$F$25-BI28)*Inputs!$F$85/100+(Inputs!$F$76*$F$25-BI29)*Inputs!$F$86/100+(Inputs!$F$77*$F$25-BI30)*Inputs!$F$87/100+(Inputs!$F$78*$F$25-BI31)*(Inputs!$F$88/100*Inputs!$F$82)/100)*Construction!BI11/360</f>
        <v>0</v>
      </c>
      <c r="BJ40" s="11" t="n">
        <f aca="false">Construction!BJ14*((Inputs!$F$75*$F$25-BJ28)*Inputs!$F$85/100+(Inputs!$F$76*$F$25-BJ29)*Inputs!$F$86/100+(Inputs!$F$77*$F$25-BJ30)*Inputs!$F$87/100+(Inputs!$F$78*$F$25-BJ31)*(Inputs!$F$88/100*Inputs!$F$82)/100)*Construction!BJ11/360</f>
        <v>0</v>
      </c>
    </row>
    <row r="41" customFormat="false" ht="15" hidden="false" customHeight="false" outlineLevel="0" collapsed="false">
      <c r="D41" s="0" t="s">
        <v>599</v>
      </c>
      <c r="E41" s="0" t="s">
        <v>149</v>
      </c>
      <c r="G41" s="11" t="n">
        <f aca="false">SUM(J41:BJ41)</f>
        <v>0.957566666666667</v>
      </c>
      <c r="J41" s="11" t="n">
        <f aca="false">Construction!J14*(Inputs!$F$99-J32)*Inputs!$F$100/100*Construction!J11/360</f>
        <v>0.0237666666666667</v>
      </c>
      <c r="K41" s="11" t="n">
        <f aca="false">Construction!K14*(Inputs!$F$99-K32)*Inputs!$F$100/100*Construction!K11/360</f>
        <v>0.023</v>
      </c>
      <c r="L41" s="11" t="n">
        <f aca="false">Construction!L14*(Inputs!$F$99-L32)*Inputs!$F$100/100*Construction!L11/360</f>
        <v>0.0237666666666667</v>
      </c>
      <c r="M41" s="11" t="n">
        <f aca="false">Construction!M14*(Inputs!$F$99-M32)*Inputs!$F$100/100*Construction!M11/360</f>
        <v>0.023</v>
      </c>
      <c r="N41" s="11" t="n">
        <f aca="false">Construction!N14*(Inputs!$F$99-N32)*Inputs!$F$100/100*Construction!N11/360</f>
        <v>0.0237666666666667</v>
      </c>
      <c r="O41" s="11" t="n">
        <f aca="false">Construction!O14*(Inputs!$F$99-O32)*Inputs!$F$100/100*Construction!O11/360</f>
        <v>0.0237666666666667</v>
      </c>
      <c r="P41" s="11" t="n">
        <f aca="false">Construction!P14*(Inputs!$F$99-P32)*Inputs!$F$100/100*Construction!P11/360</f>
        <v>0.0214666666666667</v>
      </c>
      <c r="Q41" s="11" t="n">
        <f aca="false">Construction!Q14*(Inputs!$F$99-Q32)*Inputs!$F$100/100*Construction!Q11/360</f>
        <v>0.0237666666666667</v>
      </c>
      <c r="R41" s="11" t="n">
        <f aca="false">Construction!R14*(Inputs!$F$99-R32)*Inputs!$F$100/100*Construction!R11/360</f>
        <v>0.023</v>
      </c>
      <c r="S41" s="11" t="n">
        <f aca="false">Construction!S14*(Inputs!$F$99-S32)*Inputs!$F$100/100*Construction!S11/360</f>
        <v>0.0237666666666667</v>
      </c>
      <c r="T41" s="11" t="n">
        <f aca="false">Construction!T14*(Inputs!$F$99-T32)*Inputs!$F$100/100*Construction!T11/360</f>
        <v>0.023</v>
      </c>
      <c r="U41" s="11" t="n">
        <f aca="false">Construction!U14*(Inputs!$F$99-U32)*Inputs!$F$100/100*Construction!U11/360</f>
        <v>0.0237666666666667</v>
      </c>
      <c r="V41" s="11" t="n">
        <f aca="false">Construction!V14*(Inputs!$F$99-V32)*Inputs!$F$100/100*Construction!V11/360</f>
        <v>0.0237666666666667</v>
      </c>
      <c r="W41" s="11" t="n">
        <f aca="false">Construction!W14*(Inputs!$F$99-W32)*Inputs!$F$100/100*Construction!W11/360</f>
        <v>0.023</v>
      </c>
      <c r="X41" s="11" t="n">
        <f aca="false">Construction!X14*(Inputs!$F$99-X32)*Inputs!$F$100/100*Construction!X11/360</f>
        <v>0.0237666666666667</v>
      </c>
      <c r="Y41" s="11" t="n">
        <f aca="false">Construction!Y14*(Inputs!$F$99-Y32)*Inputs!$F$100/100*Construction!Y11/360</f>
        <v>0.023</v>
      </c>
      <c r="Z41" s="11" t="n">
        <f aca="false">Construction!Z14*(Inputs!$F$99-Z32)*Inputs!$F$100/100*Construction!Z11/360</f>
        <v>0.0237666666666667</v>
      </c>
      <c r="AA41" s="11" t="n">
        <f aca="false">Construction!AA14*(Inputs!$F$99-AA32)*Inputs!$F$100/100*Construction!AA11/360</f>
        <v>0.0237666666666667</v>
      </c>
      <c r="AB41" s="11" t="n">
        <f aca="false">Construction!AB14*(Inputs!$F$99-AB32)*Inputs!$F$100/100*Construction!AB11/360</f>
        <v>0.0222333333333333</v>
      </c>
      <c r="AC41" s="11" t="n">
        <f aca="false">Construction!AC14*(Inputs!$F$99-AC32)*Inputs!$F$100/100*Construction!AC11/360</f>
        <v>0.0237666666666667</v>
      </c>
      <c r="AD41" s="11" t="n">
        <f aca="false">Construction!AD14*(Inputs!$F$99-AD32)*Inputs!$F$100/100*Construction!AD11/360</f>
        <v>0.023</v>
      </c>
      <c r="AE41" s="11" t="n">
        <f aca="false">Construction!AE14*(Inputs!$F$99-AE32)*Inputs!$F$100/100*Construction!AE11/360</f>
        <v>0.0237666666666667</v>
      </c>
      <c r="AF41" s="11" t="n">
        <f aca="false">Construction!AF14*(Inputs!$F$99-AF32)*Inputs!$F$100/100*Construction!AF11/360</f>
        <v>0.023</v>
      </c>
      <c r="AG41" s="11" t="n">
        <f aca="false">Construction!AG14*(Inputs!$F$99-AG32)*Inputs!$F$100/100*Construction!AG11/360</f>
        <v>0.0237666666666667</v>
      </c>
      <c r="AH41" s="11" t="n">
        <f aca="false">Construction!AH14*(Inputs!$F$99-AH32)*Inputs!$F$100/100*Construction!AH11/360</f>
        <v>0.0237666666666667</v>
      </c>
      <c r="AI41" s="11" t="n">
        <f aca="false">Construction!AI14*(Inputs!$F$99-AI32)*Inputs!$F$100/100*Construction!AI11/360</f>
        <v>0.023</v>
      </c>
      <c r="AJ41" s="11" t="n">
        <f aca="false">Construction!AJ14*(Inputs!$F$99-AJ32)*Inputs!$F$100/100*Construction!AJ11/360</f>
        <v>0.0237666666666667</v>
      </c>
      <c r="AK41" s="11" t="n">
        <f aca="false">Construction!AK14*(Inputs!$F$99-AK32)*Inputs!$F$100/100*Construction!AK11/360</f>
        <v>0.023</v>
      </c>
      <c r="AL41" s="11" t="n">
        <f aca="false">Construction!AL14*(Inputs!$F$99-AL32)*Inputs!$F$100/100*Construction!AL11/360</f>
        <v>0.0237666666666667</v>
      </c>
      <c r="AM41" s="11" t="n">
        <f aca="false">Construction!AM14*(Inputs!$F$99-AM32)*Inputs!$F$100/100*Construction!AM11/360</f>
        <v>0.0237666666666667</v>
      </c>
      <c r="AN41" s="11" t="n">
        <f aca="false">Construction!AN14*(Inputs!$F$99-AN32)*Inputs!$F$100/100*Construction!AN11/360</f>
        <v>0.0214666666666667</v>
      </c>
      <c r="AO41" s="11" t="n">
        <f aca="false">Construction!AO14*(Inputs!$F$99-AO32)*Inputs!$F$100/100*Construction!AO11/360</f>
        <v>0.0237666666666667</v>
      </c>
      <c r="AP41" s="11" t="n">
        <f aca="false">Construction!AP14*(Inputs!$F$99-AP32)*Inputs!$F$100/100*Construction!AP11/360</f>
        <v>0.023</v>
      </c>
      <c r="AQ41" s="11" t="n">
        <f aca="false">Construction!AQ14*(Inputs!$F$99-AQ32)*Inputs!$F$100/100*Construction!AQ11/360</f>
        <v>0.0237666666666667</v>
      </c>
      <c r="AR41" s="11" t="n">
        <f aca="false">Construction!AR14*(Inputs!$F$99-AR32)*Inputs!$F$100/100*Construction!AR11/360</f>
        <v>0.023</v>
      </c>
      <c r="AS41" s="11" t="n">
        <f aca="false">Construction!AS14*(Inputs!$F$99-AS32)*Inputs!$F$100/100*Construction!AS11/360</f>
        <v>0.0237666666666667</v>
      </c>
      <c r="AT41" s="11" t="n">
        <f aca="false">Construction!AT14*(Inputs!$F$99-AT32)*Inputs!$F$100/100*Construction!AT11/360</f>
        <v>0.0237666666666667</v>
      </c>
      <c r="AU41" s="11" t="n">
        <f aca="false">Construction!AU14*(Inputs!$F$99-AU32)*Inputs!$F$100/100*Construction!AU11/360</f>
        <v>0.023</v>
      </c>
      <c r="AV41" s="11" t="n">
        <f aca="false">Construction!AV14*(Inputs!$F$99-AV32)*Inputs!$F$100/100*Construction!AV11/360</f>
        <v>0.0237666666666667</v>
      </c>
      <c r="AW41" s="11" t="n">
        <f aca="false">Construction!AW14*(Inputs!$F$99-AW32)*Inputs!$F$100/100*Construction!AW11/360</f>
        <v>0.023</v>
      </c>
      <c r="AX41" s="11" t="n">
        <f aca="false">Construction!AX14*(Inputs!$F$99-AX32)*Inputs!$F$100/100*Construction!AX11/360</f>
        <v>0.0237666666666667</v>
      </c>
      <c r="AY41" s="11" t="n">
        <f aca="false">Construction!AY14*(Inputs!$F$99-AY32)*Inputs!$F$100/100*Construction!AY11/360</f>
        <v>0</v>
      </c>
      <c r="AZ41" s="11" t="n">
        <f aca="false">Construction!AZ14*(Inputs!$F$99-AZ32)*Inputs!$F$100/100*Construction!AZ11/360</f>
        <v>0</v>
      </c>
      <c r="BA41" s="11" t="n">
        <f aca="false">Construction!BA14*(Inputs!$F$99-BA32)*Inputs!$F$100/100*Construction!BA11/360</f>
        <v>0</v>
      </c>
      <c r="BB41" s="11" t="n">
        <f aca="false">Construction!BB14*(Inputs!$F$99-BB32)*Inputs!$F$100/100*Construction!BB11/360</f>
        <v>0</v>
      </c>
      <c r="BC41" s="11" t="n">
        <f aca="false">Construction!BC14*(Inputs!$F$99-BC32)*Inputs!$F$100/100*Construction!BC11/360</f>
        <v>0</v>
      </c>
      <c r="BD41" s="11" t="n">
        <f aca="false">Construction!BD14*(Inputs!$F$99-BD32)*Inputs!$F$100/100*Construction!BD11/360</f>
        <v>0</v>
      </c>
      <c r="BE41" s="11" t="n">
        <f aca="false">Construction!BE14*(Inputs!$F$99-BE32)*Inputs!$F$100/100*Construction!BE11/360</f>
        <v>0</v>
      </c>
      <c r="BF41" s="11" t="n">
        <f aca="false">Construction!BF14*(Inputs!$F$99-BF32)*Inputs!$F$100/100*Construction!BF11/360</f>
        <v>0</v>
      </c>
      <c r="BG41" s="11" t="n">
        <f aca="false">Construction!BG14*(Inputs!$F$99-BG32)*Inputs!$F$100/100*Construction!BG11/360</f>
        <v>0</v>
      </c>
      <c r="BH41" s="11" t="n">
        <f aca="false">Construction!BH14*(Inputs!$F$99-BH32)*Inputs!$F$100/100*Construction!BH11/360</f>
        <v>0</v>
      </c>
      <c r="BI41" s="11" t="n">
        <f aca="false">Construction!BI14*(Inputs!$F$99-BI32)*Inputs!$F$100/100*Construction!BI11/360</f>
        <v>0</v>
      </c>
      <c r="BJ41" s="11" t="n">
        <f aca="false">Construction!BJ14*(Inputs!$F$99-BJ32)*Inputs!$F$100/100*Construction!BJ11/360</f>
        <v>0</v>
      </c>
    </row>
    <row r="42" customFormat="false" ht="15" hidden="false" customHeight="false" outlineLevel="0" collapsed="false">
      <c r="D42" s="0" t="s">
        <v>600</v>
      </c>
      <c r="E42" s="0" t="s">
        <v>149</v>
      </c>
      <c r="G42" s="11" t="n">
        <f aca="false">SUM(J42:BJ42)</f>
        <v>9.95478393553241</v>
      </c>
      <c r="J42" s="11" t="n">
        <f aca="false">IF(Construction!J8=1,Inputs!$F$75*$F$25*Inputs!$F$89/100+Inputs!$F$76*$F$25*Inputs!$F$90/100+Inputs!$F$77*$F$25*Inputs!$F$91/100+Inputs!$F$78*$F$25*Inputs!$F$92/100,0)</f>
        <v>9.95478393553241</v>
      </c>
      <c r="K42" s="11" t="n">
        <f aca="false">IF(Construction!K8=1,Inputs!$F$75*$F$25*Inputs!$F$89/100+Inputs!$F$76*$F$25*Inputs!$F$90/100+Inputs!$F$77*$F$25*Inputs!$F$91/100+Inputs!$F$78*$F$25*Inputs!$F$92/100,0)</f>
        <v>0</v>
      </c>
      <c r="L42" s="11" t="n">
        <f aca="false">IF(Construction!L8=1,Inputs!$F$75*$F$25*Inputs!$F$89/100+Inputs!$F$76*$F$25*Inputs!$F$90/100+Inputs!$F$77*$F$25*Inputs!$F$91/100+Inputs!$F$78*$F$25*Inputs!$F$92/100,0)</f>
        <v>0</v>
      </c>
      <c r="M42" s="11" t="n">
        <f aca="false">IF(Construction!M8=1,Inputs!$F$75*$F$25*Inputs!$F$89/100+Inputs!$F$76*$F$25*Inputs!$F$90/100+Inputs!$F$77*$F$25*Inputs!$F$91/100+Inputs!$F$78*$F$25*Inputs!$F$92/100,0)</f>
        <v>0</v>
      </c>
      <c r="N42" s="11" t="n">
        <f aca="false">IF(Construction!N8=1,Inputs!$F$75*$F$25*Inputs!$F$89/100+Inputs!$F$76*$F$25*Inputs!$F$90/100+Inputs!$F$77*$F$25*Inputs!$F$91/100+Inputs!$F$78*$F$25*Inputs!$F$92/100,0)</f>
        <v>0</v>
      </c>
      <c r="O42" s="11" t="n">
        <f aca="false">IF(Construction!O8=1,Inputs!$F$75*$F$25*Inputs!$F$89/100+Inputs!$F$76*$F$25*Inputs!$F$90/100+Inputs!$F$77*$F$25*Inputs!$F$91/100+Inputs!$F$78*$F$25*Inputs!$F$92/100,0)</f>
        <v>0</v>
      </c>
      <c r="P42" s="11" t="n">
        <f aca="false">IF(Construction!P8=1,Inputs!$F$75*$F$25*Inputs!$F$89/100+Inputs!$F$76*$F$25*Inputs!$F$90/100+Inputs!$F$77*$F$25*Inputs!$F$91/100+Inputs!$F$78*$F$25*Inputs!$F$92/100,0)</f>
        <v>0</v>
      </c>
      <c r="Q42" s="11" t="n">
        <f aca="false">IF(Construction!Q8=1,Inputs!$F$75*$F$25*Inputs!$F$89/100+Inputs!$F$76*$F$25*Inputs!$F$90/100+Inputs!$F$77*$F$25*Inputs!$F$91/100+Inputs!$F$78*$F$25*Inputs!$F$92/100,0)</f>
        <v>0</v>
      </c>
      <c r="R42" s="11" t="n">
        <f aca="false">IF(Construction!R8=1,Inputs!$F$75*$F$25*Inputs!$F$89/100+Inputs!$F$76*$F$25*Inputs!$F$90/100+Inputs!$F$77*$F$25*Inputs!$F$91/100+Inputs!$F$78*$F$25*Inputs!$F$92/100,0)</f>
        <v>0</v>
      </c>
      <c r="S42" s="11" t="n">
        <f aca="false">IF(Construction!S8=1,Inputs!$F$75*$F$25*Inputs!$F$89/100+Inputs!$F$76*$F$25*Inputs!$F$90/100+Inputs!$F$77*$F$25*Inputs!$F$91/100+Inputs!$F$78*$F$25*Inputs!$F$92/100,0)</f>
        <v>0</v>
      </c>
      <c r="T42" s="11" t="n">
        <f aca="false">IF(Construction!T8=1,Inputs!$F$75*$F$25*Inputs!$F$89/100+Inputs!$F$76*$F$25*Inputs!$F$90/100+Inputs!$F$77*$F$25*Inputs!$F$91/100+Inputs!$F$78*$F$25*Inputs!$F$92/100,0)</f>
        <v>0</v>
      </c>
      <c r="U42" s="11" t="n">
        <f aca="false">IF(Construction!U8=1,Inputs!$F$75*$F$25*Inputs!$F$89/100+Inputs!$F$76*$F$25*Inputs!$F$90/100+Inputs!$F$77*$F$25*Inputs!$F$91/100+Inputs!$F$78*$F$25*Inputs!$F$92/100,0)</f>
        <v>0</v>
      </c>
      <c r="V42" s="11" t="n">
        <f aca="false">IF(Construction!V8=1,Inputs!$F$75*$F$25*Inputs!$F$89/100+Inputs!$F$76*$F$25*Inputs!$F$90/100+Inputs!$F$77*$F$25*Inputs!$F$91/100+Inputs!$F$78*$F$25*Inputs!$F$92/100,0)</f>
        <v>0</v>
      </c>
      <c r="W42" s="11" t="n">
        <f aca="false">IF(Construction!W8=1,Inputs!$F$75*$F$25*Inputs!$F$89/100+Inputs!$F$76*$F$25*Inputs!$F$90/100+Inputs!$F$77*$F$25*Inputs!$F$91/100+Inputs!$F$78*$F$25*Inputs!$F$92/100,0)</f>
        <v>0</v>
      </c>
      <c r="X42" s="11" t="n">
        <f aca="false">IF(Construction!X8=1,Inputs!$F$75*$F$25*Inputs!$F$89/100+Inputs!$F$76*$F$25*Inputs!$F$90/100+Inputs!$F$77*$F$25*Inputs!$F$91/100+Inputs!$F$78*$F$25*Inputs!$F$92/100,0)</f>
        <v>0</v>
      </c>
      <c r="Y42" s="11" t="n">
        <f aca="false">IF(Construction!Y8=1,Inputs!$F$75*$F$25*Inputs!$F$89/100+Inputs!$F$76*$F$25*Inputs!$F$90/100+Inputs!$F$77*$F$25*Inputs!$F$91/100+Inputs!$F$78*$F$25*Inputs!$F$92/100,0)</f>
        <v>0</v>
      </c>
      <c r="Z42" s="11" t="n">
        <f aca="false">IF(Construction!Z8=1,Inputs!$F$75*$F$25*Inputs!$F$89/100+Inputs!$F$76*$F$25*Inputs!$F$90/100+Inputs!$F$77*$F$25*Inputs!$F$91/100+Inputs!$F$78*$F$25*Inputs!$F$92/100,0)</f>
        <v>0</v>
      </c>
      <c r="AA42" s="11" t="n">
        <f aca="false">IF(Construction!AA8=1,Inputs!$F$75*$F$25*Inputs!$F$89/100+Inputs!$F$76*$F$25*Inputs!$F$90/100+Inputs!$F$77*$F$25*Inputs!$F$91/100+Inputs!$F$78*$F$25*Inputs!$F$92/100,0)</f>
        <v>0</v>
      </c>
      <c r="AB42" s="11" t="n">
        <f aca="false">IF(Construction!AB8=1,Inputs!$F$75*$F$25*Inputs!$F$89/100+Inputs!$F$76*$F$25*Inputs!$F$90/100+Inputs!$F$77*$F$25*Inputs!$F$91/100+Inputs!$F$78*$F$25*Inputs!$F$92/100,0)</f>
        <v>0</v>
      </c>
      <c r="AC42" s="11" t="n">
        <f aca="false">IF(Construction!AC8=1,Inputs!$F$75*$F$25*Inputs!$F$89/100+Inputs!$F$76*$F$25*Inputs!$F$90/100+Inputs!$F$77*$F$25*Inputs!$F$91/100+Inputs!$F$78*$F$25*Inputs!$F$92/100,0)</f>
        <v>0</v>
      </c>
      <c r="AD42" s="11" t="n">
        <f aca="false">IF(Construction!AD8=1,Inputs!$F$75*$F$25*Inputs!$F$89/100+Inputs!$F$76*$F$25*Inputs!$F$90/100+Inputs!$F$77*$F$25*Inputs!$F$91/100+Inputs!$F$78*$F$25*Inputs!$F$92/100,0)</f>
        <v>0</v>
      </c>
      <c r="AE42" s="11" t="n">
        <f aca="false">IF(Construction!AE8=1,Inputs!$F$75*$F$25*Inputs!$F$89/100+Inputs!$F$76*$F$25*Inputs!$F$90/100+Inputs!$F$77*$F$25*Inputs!$F$91/100+Inputs!$F$78*$F$25*Inputs!$F$92/100,0)</f>
        <v>0</v>
      </c>
      <c r="AF42" s="11" t="n">
        <f aca="false">IF(Construction!AF8=1,Inputs!$F$75*$F$25*Inputs!$F$89/100+Inputs!$F$76*$F$25*Inputs!$F$90/100+Inputs!$F$77*$F$25*Inputs!$F$91/100+Inputs!$F$78*$F$25*Inputs!$F$92/100,0)</f>
        <v>0</v>
      </c>
      <c r="AG42" s="11" t="n">
        <f aca="false">IF(Construction!AG8=1,Inputs!$F$75*$F$25*Inputs!$F$89/100+Inputs!$F$76*$F$25*Inputs!$F$90/100+Inputs!$F$77*$F$25*Inputs!$F$91/100+Inputs!$F$78*$F$25*Inputs!$F$92/100,0)</f>
        <v>0</v>
      </c>
      <c r="AH42" s="11" t="n">
        <f aca="false">IF(Construction!AH8=1,Inputs!$F$75*$F$25*Inputs!$F$89/100+Inputs!$F$76*$F$25*Inputs!$F$90/100+Inputs!$F$77*$F$25*Inputs!$F$91/100+Inputs!$F$78*$F$25*Inputs!$F$92/100,0)</f>
        <v>0</v>
      </c>
      <c r="AI42" s="11" t="n">
        <f aca="false">IF(Construction!AI8=1,Inputs!$F$75*$F$25*Inputs!$F$89/100+Inputs!$F$76*$F$25*Inputs!$F$90/100+Inputs!$F$77*$F$25*Inputs!$F$91/100+Inputs!$F$78*$F$25*Inputs!$F$92/100,0)</f>
        <v>0</v>
      </c>
      <c r="AJ42" s="11" t="n">
        <f aca="false">IF(Construction!AJ8=1,Inputs!$F$75*$F$25*Inputs!$F$89/100+Inputs!$F$76*$F$25*Inputs!$F$90/100+Inputs!$F$77*$F$25*Inputs!$F$91/100+Inputs!$F$78*$F$25*Inputs!$F$92/100,0)</f>
        <v>0</v>
      </c>
      <c r="AK42" s="11" t="n">
        <f aca="false">IF(Construction!AK8=1,Inputs!$F$75*$F$25*Inputs!$F$89/100+Inputs!$F$76*$F$25*Inputs!$F$90/100+Inputs!$F$77*$F$25*Inputs!$F$91/100+Inputs!$F$78*$F$25*Inputs!$F$92/100,0)</f>
        <v>0</v>
      </c>
      <c r="AL42" s="11" t="n">
        <f aca="false">IF(Construction!AL8=1,Inputs!$F$75*$F$25*Inputs!$F$89/100+Inputs!$F$76*$F$25*Inputs!$F$90/100+Inputs!$F$77*$F$25*Inputs!$F$91/100+Inputs!$F$78*$F$25*Inputs!$F$92/100,0)</f>
        <v>0</v>
      </c>
      <c r="AM42" s="11" t="n">
        <f aca="false">IF(Construction!AM8=1,Inputs!$F$75*$F$25*Inputs!$F$89/100+Inputs!$F$76*$F$25*Inputs!$F$90/100+Inputs!$F$77*$F$25*Inputs!$F$91/100+Inputs!$F$78*$F$25*Inputs!$F$92/100,0)</f>
        <v>0</v>
      </c>
      <c r="AN42" s="11" t="n">
        <f aca="false">IF(Construction!AN8=1,Inputs!$F$75*$F$25*Inputs!$F$89/100+Inputs!$F$76*$F$25*Inputs!$F$90/100+Inputs!$F$77*$F$25*Inputs!$F$91/100+Inputs!$F$78*$F$25*Inputs!$F$92/100,0)</f>
        <v>0</v>
      </c>
      <c r="AO42" s="11" t="n">
        <f aca="false">IF(Construction!AO8=1,Inputs!$F$75*$F$25*Inputs!$F$89/100+Inputs!$F$76*$F$25*Inputs!$F$90/100+Inputs!$F$77*$F$25*Inputs!$F$91/100+Inputs!$F$78*$F$25*Inputs!$F$92/100,0)</f>
        <v>0</v>
      </c>
      <c r="AP42" s="11" t="n">
        <f aca="false">IF(Construction!AP8=1,Inputs!$F$75*$F$25*Inputs!$F$89/100+Inputs!$F$76*$F$25*Inputs!$F$90/100+Inputs!$F$77*$F$25*Inputs!$F$91/100+Inputs!$F$78*$F$25*Inputs!$F$92/100,0)</f>
        <v>0</v>
      </c>
      <c r="AQ42" s="11" t="n">
        <f aca="false">IF(Construction!AQ8=1,Inputs!$F$75*$F$25*Inputs!$F$89/100+Inputs!$F$76*$F$25*Inputs!$F$90/100+Inputs!$F$77*$F$25*Inputs!$F$91/100+Inputs!$F$78*$F$25*Inputs!$F$92/100,0)</f>
        <v>0</v>
      </c>
      <c r="AR42" s="11" t="n">
        <f aca="false">IF(Construction!AR8=1,Inputs!$F$75*$F$25*Inputs!$F$89/100+Inputs!$F$76*$F$25*Inputs!$F$90/100+Inputs!$F$77*$F$25*Inputs!$F$91/100+Inputs!$F$78*$F$25*Inputs!$F$92/100,0)</f>
        <v>0</v>
      </c>
      <c r="AS42" s="11" t="n">
        <f aca="false">IF(Construction!AS8=1,Inputs!$F$75*$F$25*Inputs!$F$89/100+Inputs!$F$76*$F$25*Inputs!$F$90/100+Inputs!$F$77*$F$25*Inputs!$F$91/100+Inputs!$F$78*$F$25*Inputs!$F$92/100,0)</f>
        <v>0</v>
      </c>
      <c r="AT42" s="11" t="n">
        <f aca="false">IF(Construction!AT8=1,Inputs!$F$75*$F$25*Inputs!$F$89/100+Inputs!$F$76*$F$25*Inputs!$F$90/100+Inputs!$F$77*$F$25*Inputs!$F$91/100+Inputs!$F$78*$F$25*Inputs!$F$92/100,0)</f>
        <v>0</v>
      </c>
      <c r="AU42" s="11" t="n">
        <f aca="false">IF(Construction!AU8=1,Inputs!$F$75*$F$25*Inputs!$F$89/100+Inputs!$F$76*$F$25*Inputs!$F$90/100+Inputs!$F$77*$F$25*Inputs!$F$91/100+Inputs!$F$78*$F$25*Inputs!$F$92/100,0)</f>
        <v>0</v>
      </c>
      <c r="AV42" s="11" t="n">
        <f aca="false">IF(Construction!AV8=1,Inputs!$F$75*$F$25*Inputs!$F$89/100+Inputs!$F$76*$F$25*Inputs!$F$90/100+Inputs!$F$77*$F$25*Inputs!$F$91/100+Inputs!$F$78*$F$25*Inputs!$F$92/100,0)</f>
        <v>0</v>
      </c>
      <c r="AW42" s="11" t="n">
        <f aca="false">IF(Construction!AW8=1,Inputs!$F$75*$F$25*Inputs!$F$89/100+Inputs!$F$76*$F$25*Inputs!$F$90/100+Inputs!$F$77*$F$25*Inputs!$F$91/100+Inputs!$F$78*$F$25*Inputs!$F$92/100,0)</f>
        <v>0</v>
      </c>
      <c r="AX42" s="11" t="n">
        <f aca="false">IF(Construction!AX8=1,Inputs!$F$75*$F$25*Inputs!$F$89/100+Inputs!$F$76*$F$25*Inputs!$F$90/100+Inputs!$F$77*$F$25*Inputs!$F$91/100+Inputs!$F$78*$F$25*Inputs!$F$92/100,0)</f>
        <v>0</v>
      </c>
      <c r="AY42" s="11" t="n">
        <f aca="false">IF(Construction!AY8=1,Inputs!$F$75*$F$25*Inputs!$F$89/100+Inputs!$F$76*$F$25*Inputs!$F$90/100+Inputs!$F$77*$F$25*Inputs!$F$91/100+Inputs!$F$78*$F$25*Inputs!$F$92/100,0)</f>
        <v>0</v>
      </c>
      <c r="AZ42" s="11" t="n">
        <f aca="false">IF(Construction!AZ8=1,Inputs!$F$75*$F$25*Inputs!$F$89/100+Inputs!$F$76*$F$25*Inputs!$F$90/100+Inputs!$F$77*$F$25*Inputs!$F$91/100+Inputs!$F$78*$F$25*Inputs!$F$92/100,0)</f>
        <v>0</v>
      </c>
      <c r="BA42" s="11" t="n">
        <f aca="false">IF(Construction!BA8=1,Inputs!$F$75*$F$25*Inputs!$F$89/100+Inputs!$F$76*$F$25*Inputs!$F$90/100+Inputs!$F$77*$F$25*Inputs!$F$91/100+Inputs!$F$78*$F$25*Inputs!$F$92/100,0)</f>
        <v>0</v>
      </c>
      <c r="BB42" s="11" t="n">
        <f aca="false">IF(Construction!BB8=1,Inputs!$F$75*$F$25*Inputs!$F$89/100+Inputs!$F$76*$F$25*Inputs!$F$90/100+Inputs!$F$77*$F$25*Inputs!$F$91/100+Inputs!$F$78*$F$25*Inputs!$F$92/100,0)</f>
        <v>0</v>
      </c>
      <c r="BC42" s="11" t="n">
        <f aca="false">IF(Construction!BC8=1,Inputs!$F$75*$F$25*Inputs!$F$89/100+Inputs!$F$76*$F$25*Inputs!$F$90/100+Inputs!$F$77*$F$25*Inputs!$F$91/100+Inputs!$F$78*$F$25*Inputs!$F$92/100,0)</f>
        <v>0</v>
      </c>
      <c r="BD42" s="11" t="n">
        <f aca="false">IF(Construction!BD8=1,Inputs!$F$75*$F$25*Inputs!$F$89/100+Inputs!$F$76*$F$25*Inputs!$F$90/100+Inputs!$F$77*$F$25*Inputs!$F$91/100+Inputs!$F$78*$F$25*Inputs!$F$92/100,0)</f>
        <v>0</v>
      </c>
      <c r="BE42" s="11" t="n">
        <f aca="false">IF(Construction!BE8=1,Inputs!$F$75*$F$25*Inputs!$F$89/100+Inputs!$F$76*$F$25*Inputs!$F$90/100+Inputs!$F$77*$F$25*Inputs!$F$91/100+Inputs!$F$78*$F$25*Inputs!$F$92/100,0)</f>
        <v>0</v>
      </c>
      <c r="BF42" s="11" t="n">
        <f aca="false">IF(Construction!BF8=1,Inputs!$F$75*$F$25*Inputs!$F$89/100+Inputs!$F$76*$F$25*Inputs!$F$90/100+Inputs!$F$77*$F$25*Inputs!$F$91/100+Inputs!$F$78*$F$25*Inputs!$F$92/100,0)</f>
        <v>0</v>
      </c>
      <c r="BG42" s="11" t="n">
        <f aca="false">IF(Construction!BG8=1,Inputs!$F$75*$F$25*Inputs!$F$89/100+Inputs!$F$76*$F$25*Inputs!$F$90/100+Inputs!$F$77*$F$25*Inputs!$F$91/100+Inputs!$F$78*$F$25*Inputs!$F$92/100,0)</f>
        <v>0</v>
      </c>
      <c r="BH42" s="11" t="n">
        <f aca="false">IF(Construction!BH8=1,Inputs!$F$75*$F$25*Inputs!$F$89/100+Inputs!$F$76*$F$25*Inputs!$F$90/100+Inputs!$F$77*$F$25*Inputs!$F$91/100+Inputs!$F$78*$F$25*Inputs!$F$92/100,0)</f>
        <v>0</v>
      </c>
      <c r="BI42" s="11" t="n">
        <f aca="false">IF(Construction!BI8=1,Inputs!$F$75*$F$25*Inputs!$F$89/100+Inputs!$F$76*$F$25*Inputs!$F$90/100+Inputs!$F$77*$F$25*Inputs!$F$91/100+Inputs!$F$78*$F$25*Inputs!$F$92/100,0)</f>
        <v>0</v>
      </c>
      <c r="BJ42" s="11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601</v>
      </c>
      <c r="E43" s="0" t="s">
        <v>149</v>
      </c>
      <c r="G43" s="11" t="n">
        <f aca="false">SUM(J43:BJ43)</f>
        <v>0.87125</v>
      </c>
      <c r="J43" s="11" t="n">
        <f aca="false">Construction!J14*Inputs!$F$107/12</f>
        <v>0.02125</v>
      </c>
      <c r="K43" s="11" t="n">
        <f aca="false">Construction!K14*Inputs!$F$107/12</f>
        <v>0.02125</v>
      </c>
      <c r="L43" s="11" t="n">
        <f aca="false">Construction!L14*Inputs!$F$107/12</f>
        <v>0.02125</v>
      </c>
      <c r="M43" s="11" t="n">
        <f aca="false">Construction!M14*Inputs!$F$107/12</f>
        <v>0.02125</v>
      </c>
      <c r="N43" s="11" t="n">
        <f aca="false">Construction!N14*Inputs!$F$107/12</f>
        <v>0.02125</v>
      </c>
      <c r="O43" s="11" t="n">
        <f aca="false">Construction!O14*Inputs!$F$107/12</f>
        <v>0.02125</v>
      </c>
      <c r="P43" s="11" t="n">
        <f aca="false">Construction!P14*Inputs!$F$107/12</f>
        <v>0.02125</v>
      </c>
      <c r="Q43" s="11" t="n">
        <f aca="false">Construction!Q14*Inputs!$F$107/12</f>
        <v>0.02125</v>
      </c>
      <c r="R43" s="11" t="n">
        <f aca="false">Construction!R14*Inputs!$F$107/12</f>
        <v>0.02125</v>
      </c>
      <c r="S43" s="11" t="n">
        <f aca="false">Construction!S14*Inputs!$F$107/12</f>
        <v>0.02125</v>
      </c>
      <c r="T43" s="11" t="n">
        <f aca="false">Construction!T14*Inputs!$F$107/12</f>
        <v>0.02125</v>
      </c>
      <c r="U43" s="11" t="n">
        <f aca="false">Construction!U14*Inputs!$F$107/12</f>
        <v>0.02125</v>
      </c>
      <c r="V43" s="11" t="n">
        <f aca="false">Construction!V14*Inputs!$F$107/12</f>
        <v>0.02125</v>
      </c>
      <c r="W43" s="11" t="n">
        <f aca="false">Construction!W14*Inputs!$F$107/12</f>
        <v>0.02125</v>
      </c>
      <c r="X43" s="11" t="n">
        <f aca="false">Construction!X14*Inputs!$F$107/12</f>
        <v>0.02125</v>
      </c>
      <c r="Y43" s="11" t="n">
        <f aca="false">Construction!Y14*Inputs!$F$107/12</f>
        <v>0.02125</v>
      </c>
      <c r="Z43" s="11" t="n">
        <f aca="false">Construction!Z14*Inputs!$F$107/12</f>
        <v>0.02125</v>
      </c>
      <c r="AA43" s="11" t="n">
        <f aca="false">Construction!AA14*Inputs!$F$107/12</f>
        <v>0.02125</v>
      </c>
      <c r="AB43" s="11" t="n">
        <f aca="false">Construction!AB14*Inputs!$F$107/12</f>
        <v>0.02125</v>
      </c>
      <c r="AC43" s="11" t="n">
        <f aca="false">Construction!AC14*Inputs!$F$107/12</f>
        <v>0.02125</v>
      </c>
      <c r="AD43" s="11" t="n">
        <f aca="false">Construction!AD14*Inputs!$F$107/12</f>
        <v>0.02125</v>
      </c>
      <c r="AE43" s="11" t="n">
        <f aca="false">Construction!AE14*Inputs!$F$107/12</f>
        <v>0.02125</v>
      </c>
      <c r="AF43" s="11" t="n">
        <f aca="false">Construction!AF14*Inputs!$F$107/12</f>
        <v>0.02125</v>
      </c>
      <c r="AG43" s="11" t="n">
        <f aca="false">Construction!AG14*Inputs!$F$107/12</f>
        <v>0.02125</v>
      </c>
      <c r="AH43" s="11" t="n">
        <f aca="false">Construction!AH14*Inputs!$F$107/12</f>
        <v>0.02125</v>
      </c>
      <c r="AI43" s="11" t="n">
        <f aca="false">Construction!AI14*Inputs!$F$107/12</f>
        <v>0.02125</v>
      </c>
      <c r="AJ43" s="11" t="n">
        <f aca="false">Construction!AJ14*Inputs!$F$107/12</f>
        <v>0.02125</v>
      </c>
      <c r="AK43" s="11" t="n">
        <f aca="false">Construction!AK14*Inputs!$F$107/12</f>
        <v>0.02125</v>
      </c>
      <c r="AL43" s="11" t="n">
        <f aca="false">Construction!AL14*Inputs!$F$107/12</f>
        <v>0.02125</v>
      </c>
      <c r="AM43" s="11" t="n">
        <f aca="false">Construction!AM14*Inputs!$F$107/12</f>
        <v>0.02125</v>
      </c>
      <c r="AN43" s="11" t="n">
        <f aca="false">Construction!AN14*Inputs!$F$107/12</f>
        <v>0.02125</v>
      </c>
      <c r="AO43" s="11" t="n">
        <f aca="false">Construction!AO14*Inputs!$F$107/12</f>
        <v>0.02125</v>
      </c>
      <c r="AP43" s="11" t="n">
        <f aca="false">Construction!AP14*Inputs!$F$107/12</f>
        <v>0.02125</v>
      </c>
      <c r="AQ43" s="11" t="n">
        <f aca="false">Construction!AQ14*Inputs!$F$107/12</f>
        <v>0.02125</v>
      </c>
      <c r="AR43" s="11" t="n">
        <f aca="false">Construction!AR14*Inputs!$F$107/12</f>
        <v>0.02125</v>
      </c>
      <c r="AS43" s="11" t="n">
        <f aca="false">Construction!AS14*Inputs!$F$107/12</f>
        <v>0.02125</v>
      </c>
      <c r="AT43" s="11" t="n">
        <f aca="false">Construction!AT14*Inputs!$F$107/12</f>
        <v>0.02125</v>
      </c>
      <c r="AU43" s="11" t="n">
        <f aca="false">Construction!AU14*Inputs!$F$107/12</f>
        <v>0.02125</v>
      </c>
      <c r="AV43" s="11" t="n">
        <f aca="false">Construction!AV14*Inputs!$F$107/12</f>
        <v>0.02125</v>
      </c>
      <c r="AW43" s="11" t="n">
        <f aca="false">Construction!AW14*Inputs!$F$107/12</f>
        <v>0.02125</v>
      </c>
      <c r="AX43" s="11" t="n">
        <f aca="false">Construction!AX14*Inputs!$F$107/12</f>
        <v>0.02125</v>
      </c>
      <c r="AY43" s="11" t="n">
        <f aca="false">Construction!AY14*Inputs!$F$107/12</f>
        <v>0</v>
      </c>
      <c r="AZ43" s="11" t="n">
        <f aca="false">Construction!AZ14*Inputs!$F$107/12</f>
        <v>0</v>
      </c>
      <c r="BA43" s="11" t="n">
        <f aca="false">Construction!BA14*Inputs!$F$107/12</f>
        <v>0</v>
      </c>
      <c r="BB43" s="11" t="n">
        <f aca="false">Construction!BB14*Inputs!$F$107/12</f>
        <v>0</v>
      </c>
      <c r="BC43" s="11" t="n">
        <f aca="false">Construction!BC14*Inputs!$F$107/12</f>
        <v>0</v>
      </c>
      <c r="BD43" s="11" t="n">
        <f aca="false">Construction!BD14*Inputs!$F$107/12</f>
        <v>0</v>
      </c>
      <c r="BE43" s="11" t="n">
        <f aca="false">Construction!BE14*Inputs!$F$107/12</f>
        <v>0</v>
      </c>
      <c r="BF43" s="11" t="n">
        <f aca="false">Construction!BF14*Inputs!$F$107/12</f>
        <v>0</v>
      </c>
      <c r="BG43" s="11" t="n">
        <f aca="false">Construction!BG14*Inputs!$F$107/12</f>
        <v>0</v>
      </c>
      <c r="BH43" s="11" t="n">
        <f aca="false">Construction!BH14*Inputs!$F$107/12</f>
        <v>0</v>
      </c>
      <c r="BI43" s="11" t="n">
        <f aca="false">Construction!BI14*Inputs!$F$107/12</f>
        <v>0</v>
      </c>
      <c r="BJ43" s="11" t="n">
        <f aca="false">Construction!BJ14*Inputs!$F$107/12</f>
        <v>0</v>
      </c>
    </row>
    <row r="44" customFormat="false" ht="15" hidden="false" customHeight="false" outlineLevel="0" collapsed="false">
      <c r="D44" s="0" t="s">
        <v>602</v>
      </c>
      <c r="E44" s="0" t="s">
        <v>149</v>
      </c>
      <c r="G44" s="11" t="n">
        <f aca="false">SUM(J44:BJ44)</f>
        <v>33.8418354545237</v>
      </c>
      <c r="J44" s="11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1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1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1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1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1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1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1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1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1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1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1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1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1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1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1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1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1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1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1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1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1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1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1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1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1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1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1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1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1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1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1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1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1" t="n">
        <f aca="false">Construction!AQ15*IF(Inputs!$F$34=1,$F$12*Inputs!$F$75*$F$25+$F$13*Inputs!$F$76*$F$25+$F$14*Inputs!$F$77*$F$25+$F$15*Inputs!$F$78*$F$25+$F$17,$F$12*AQ28+$F$13*AQ29+$F$14*AQ30+$F$15*AQ31+$F$16*AQ32+$F$17)</f>
        <v>0</v>
      </c>
      <c r="AR44" s="11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1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1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1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1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1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1" t="n">
        <f aca="false">Construction!AX15*IF(Inputs!$F$34=1,$F$12*Inputs!$F$75*$F$25+$F$13*Inputs!$F$76*$F$25+$F$14*Inputs!$F$77*$F$25+$F$15*Inputs!$F$78*$F$25+$F$17,$F$12*AX28+$F$13*AX29+$F$14*AX30+$F$15*AX31+$F$16*AX32+$F$17)</f>
        <v>33.8418354545237</v>
      </c>
      <c r="AY44" s="11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1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1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1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1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1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1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1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1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1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1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1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603</v>
      </c>
      <c r="E45" s="0" t="s">
        <v>149</v>
      </c>
      <c r="J45" s="11" t="n">
        <f aca="false">Construction!J14*(Construction!J30+Construction!J36)+J33+J34+J35+J36+J37+J38+J39+J40+J41+J42+J43+J44</f>
        <v>118.579230748692</v>
      </c>
      <c r="K45" s="11" t="n">
        <f aca="false">Construction!K14*(Construction!K30+Construction!K36)+K33+K34+K35+K36+K37+K38+K39+K40+K41+K42+K43+K44</f>
        <v>2.41482202042279</v>
      </c>
      <c r="L45" s="11" t="n">
        <f aca="false">Construction!L14*(Construction!L30+Construction!L36)+L33+L34+L35+L36+L37+L38+L39+L40+L41+L42+L43+L44</f>
        <v>2.88832296654791</v>
      </c>
      <c r="M45" s="11" t="n">
        <f aca="false">Construction!M14*(Construction!M30+Construction!M36)+M33+M34+M35+M36+M37+M38+M39+M40+M41+M42+M43+M44</f>
        <v>3.67989996176065</v>
      </c>
      <c r="N45" s="11" t="n">
        <f aca="false">Construction!N14*(Construction!N30+Construction!N36)+N33+N34+N35+N36+N37+N38+N39+N40+N41+N42+N43+N44</f>
        <v>4.8355670951904</v>
      </c>
      <c r="O45" s="11" t="n">
        <f aca="false">Construction!O14*(Construction!O30+Construction!O36)+O33+O34+O35+O36+O37+O38+O39+O40+O41+O42+O43+O44</f>
        <v>6.20326560028203</v>
      </c>
      <c r="P45" s="11" t="n">
        <f aca="false">Construction!P14*(Construction!P30+Construction!P36)+P33+P34+P35+P36+P37+P38+P39+P40+P41+P42+P43+P44</f>
        <v>7.67743503071103</v>
      </c>
      <c r="Q45" s="11" t="n">
        <f aca="false">Construction!Q14*(Construction!Q30+Construction!Q36)+Q33+Q34+Q35+Q36+Q37+Q38+Q39+Q40+Q41+Q42+Q43+Q44</f>
        <v>9.4598784131973</v>
      </c>
      <c r="R45" s="11" t="n">
        <f aca="false">Construction!R14*(Construction!R30+Construction!R36)+R33+R34+R35+R36+R37+R38+R39+R40+R41+R42+R43+R44</f>
        <v>11.2130591638731</v>
      </c>
      <c r="S45" s="11" t="n">
        <f aca="false">Construction!S14*(Construction!S30+Construction!S36)+S33+S34+S35+S36+S37+S38+S39+S40+S41+S42+S43+S44</f>
        <v>13.0651051788879</v>
      </c>
      <c r="T45" s="11" t="n">
        <f aca="false">Construction!T14*(Construction!T30+Construction!T36)+T33+T34+T35+T36+T37+T38+T39+T40+T41+T42+T43+T44</f>
        <v>14.8348156749385</v>
      </c>
      <c r="U45" s="11" t="n">
        <f aca="false">Construction!U14*(Construction!U30+Construction!U36)+U33+U34+U35+U36+U37+U38+U39+U40+U41+U42+U43+U44</f>
        <v>16.590041520957</v>
      </c>
      <c r="V45" s="11" t="n">
        <f aca="false">Construction!V14*(Construction!V30+Construction!V36)+V33+V34+V35+V36+V37+V38+V39+V40+V41+V42+V43+V44</f>
        <v>18.2852209167907</v>
      </c>
      <c r="W45" s="11" t="n">
        <f aca="false">Construction!W14*(Construction!W30+Construction!W36)+W33+W34+W35+W36+W37+W38+W39+W40+W41+W42+W43+W44</f>
        <v>19.8368946998911</v>
      </c>
      <c r="X45" s="11" t="n">
        <f aca="false">Construction!X14*(Construction!X30+Construction!X36)+X33+X34+X35+X36+X37+X38+X39+X40+X41+X42+X43+X44</f>
        <v>21.315267538006</v>
      </c>
      <c r="Y45" s="11" t="n">
        <f aca="false">Construction!Y14*(Construction!Y30+Construction!Y36)+Y33+Y34+Y35+Y36+Y37+Y38+Y39+Y40+Y41+Y42+Y43+Y44</f>
        <v>22.5617431867926</v>
      </c>
      <c r="Z45" s="11" t="n">
        <f aca="false">Construction!Z14*(Construction!Z30+Construction!Z36)+Z33+Z34+Z35+Z36+Z37+Z38+Z39+Z40+Z41+Z42+Z43+Z44</f>
        <v>23.693671527548</v>
      </c>
      <c r="AA45" s="11" t="n">
        <f aca="false">Construction!AA14*(Construction!AA30+Construction!AA36)+AA33+AA34+AA35+AA36+AA37+AA38+AA39+AA40+AA41+AA42+AA43+AA44</f>
        <v>25.653278585282</v>
      </c>
      <c r="AB45" s="11" t="n">
        <f aca="false">Construction!AB14*(Construction!AB30+Construction!AB36)+AB33+AB34+AB35+AB36+AB37+AB38+AB39+AB40+AB41+AB42+AB43+AB44</f>
        <v>25.110908295788</v>
      </c>
      <c r="AC45" s="11" t="n">
        <f aca="false">Construction!AC14*(Construction!AC30+Construction!AC36)+AC33+AC34+AC35+AC36+AC37+AC38+AC39+AC40+AC41+AC42+AC43+AC44</f>
        <v>25.6373276827319</v>
      </c>
      <c r="AD45" s="11" t="n">
        <f aca="false">Construction!AD14*(Construction!AD30+Construction!AD36)+AD33+AD34+AD35+AD36+AD37+AD38+AD39+AD40+AD41+AD42+AD43+AD44</f>
        <v>26.1510685163324</v>
      </c>
      <c r="AE45" s="11" t="n">
        <f aca="false">Construction!AE14*(Construction!AE30+Construction!AE36)+AE33+AE34+AE35+AE36+AE37+AE38+AE39+AE40+AE41+AE42+AE43+AE44</f>
        <v>26.1752211412381</v>
      </c>
      <c r="AF45" s="11" t="n">
        <f aca="false">Construction!AF14*(Construction!AF30+Construction!AF36)+AF33+AF34+AF35+AF36+AF37+AF38+AF39+AF40+AF41+AF42+AF43+AF44</f>
        <v>25.8748123033505</v>
      </c>
      <c r="AG45" s="11" t="n">
        <f aca="false">Construction!AG14*(Construction!AG30+Construction!AG36)+AG33+AG34+AG35+AG36+AG37+AG38+AG39+AG40+AG41+AG42+AG43+AG44</f>
        <v>25.3608116335248</v>
      </c>
      <c r="AH45" s="11" t="n">
        <f aca="false">Construction!AH14*(Construction!AH30+Construction!AH36)+AH33+AH34+AH35+AH36+AH37+AH38+AH39+AH40+AH41+AH42+AH43+AH44</f>
        <v>24.6495162992212</v>
      </c>
      <c r="AI45" s="11" t="n">
        <f aca="false">Construction!AI14*(Construction!AI30+Construction!AI36)+AI33+AI34+AI35+AI36+AI37+AI38+AI39+AI40+AI41+AI42+AI43+AI44</f>
        <v>23.6770660474861</v>
      </c>
      <c r="AJ45" s="11" t="n">
        <f aca="false">Construction!AJ14*(Construction!AJ30+Construction!AJ36)+AJ33+AJ34+AJ35+AJ36+AJ37+AJ38+AJ39+AJ40+AJ41+AJ42+AJ43+AJ44</f>
        <v>24.1770630988318</v>
      </c>
      <c r="AK45" s="11" t="n">
        <f aca="false">Construction!AK14*(Construction!AK30+Construction!AK36)+AK33+AK34+AK35+AK36+AK37+AK38+AK39+AK40+AK41+AK42+AK43+AK44</f>
        <v>22.8359798678291</v>
      </c>
      <c r="AL45" s="11" t="n">
        <f aca="false">Construction!AL14*(Construction!AL30+Construction!AL36)+AL33+AL34+AL35+AL36+AL37+AL38+AL39+AL40+AL41+AL42+AL43+AL44</f>
        <v>21.4495784298749</v>
      </c>
      <c r="AM45" s="11" t="n">
        <f aca="false">Construction!AM14*(Construction!AM30+Construction!AM36)+AM33+AM34+AM35+AM36+AM37+AM38+AM39+AM40+AM41+AM42+AM43+AM44</f>
        <v>20.3716584110504</v>
      </c>
      <c r="AN45" s="11" t="n">
        <f aca="false">Construction!AN14*(Construction!AN30+Construction!AN36)+AN33+AN34+AN35+AN36+AN37+AN38+AN39+AN40+AN41+AN42+AN43+AN44</f>
        <v>18.5565788783048</v>
      </c>
      <c r="AO45" s="11" t="n">
        <f aca="false">Construction!AO14*(Construction!AO30+Construction!AO36)+AO33+AO34+AO35+AO36+AO37+AO38+AO39+AO40+AO41+AO42+AO43+AO44</f>
        <v>17.0224618930872</v>
      </c>
      <c r="AP45" s="11" t="n">
        <f aca="false">Construction!AP14*(Construction!AP30+Construction!AP36)+AP33+AP34+AP35+AP36+AP37+AP38+AP39+AP40+AP41+AP42+AP43+AP44</f>
        <v>13.3375907914808</v>
      </c>
      <c r="AQ45" s="11" t="n">
        <f aca="false">Construction!AQ14*(Construction!AQ30+Construction!AQ36)+AQ33+AQ34+AQ35+AQ36+AQ37+AQ38+AQ39+AQ40+AQ41+AQ42+AQ43+AQ44</f>
        <v>13.0302646157966</v>
      </c>
      <c r="AR45" s="11" t="n">
        <f aca="false">Construction!AR14*(Construction!AR30+Construction!AR36)+AR33+AR34+AR35+AR36+AR37+AR38+AR39+AR40+AR41+AR42+AR43+AR44</f>
        <v>9.98401049331778</v>
      </c>
      <c r="AS45" s="11" t="n">
        <f aca="false">Construction!AS14*(Construction!AS30+Construction!AS36)+AS33+AS34+AS35+AS36+AS37+AS38+AS39+AS40+AS41+AS42+AS43+AS44</f>
        <v>7.8136868037217</v>
      </c>
      <c r="AT45" s="11" t="n">
        <f aca="false">Construction!AT14*(Construction!AT30+Construction!AT36)+AT33+AT34+AT35+AT36+AT37+AT38+AT39+AT40+AT41+AT42+AT43+AT44</f>
        <v>5.49346491539694</v>
      </c>
      <c r="AU45" s="11" t="n">
        <f aca="false">Construction!AU14*(Construction!AU30+Construction!AU36)+AU33+AU34+AU35+AU36+AU37+AU38+AU39+AU40+AU41+AU42+AU43+AU44</f>
        <v>6.98522483084475</v>
      </c>
      <c r="AV45" s="11" t="n">
        <f aca="false">Construction!AV14*(Construction!AV30+Construction!AV36)+AV33+AV34+AV35+AV36+AV37+AV38+AV39+AV40+AV41+AV42+AV43+AV44</f>
        <v>4.30851703001033</v>
      </c>
      <c r="AW45" s="11" t="n">
        <f aca="false">Construction!AW14*(Construction!AW30+Construction!AW36)+AW33+AW34+AW35+AW36+AW37+AW38+AW39+AW40+AW41+AW42+AW43+AW44</f>
        <v>59.4117710097741</v>
      </c>
      <c r="AX45" s="11" t="n">
        <f aca="false">Construction!AX14*(Construction!AX30+Construction!AX36)+AX33+AX34+AX35+AX36+AX37+AX38+AX39+AX40+AX41+AX42+AX43+AX44</f>
        <v>35.9205552136599</v>
      </c>
      <c r="AY45" s="11" t="n">
        <f aca="false">Construction!AY14*(Construction!AY30+Construction!AY36)+AY33+AY34+AY35+AY36+AY37+AY38+AY39+AY40+AY41+AY42+AY43+AY44</f>
        <v>0</v>
      </c>
      <c r="AZ45" s="11" t="n">
        <f aca="false">Construction!AZ14*(Construction!AZ30+Construction!AZ36)+AZ33+AZ34+AZ35+AZ36+AZ37+AZ38+AZ39+AZ40+AZ41+AZ42+AZ43+AZ44</f>
        <v>0</v>
      </c>
      <c r="BA45" s="11" t="n">
        <f aca="false">Construction!BA14*(Construction!BA30+Construction!BA36)+BA33+BA34+BA35+BA36+BA37+BA38+BA39+BA40+BA41+BA42+BA43+BA44</f>
        <v>0</v>
      </c>
      <c r="BB45" s="11" t="n">
        <f aca="false">Construction!BB14*(Construction!BB30+Construction!BB36)+BB33+BB34+BB35+BB36+BB37+BB38+BB39+BB40+BB41+BB42+BB43+BB44</f>
        <v>0</v>
      </c>
      <c r="BC45" s="11" t="n">
        <f aca="false">Construction!BC14*(Construction!BC30+Construction!BC36)+BC33+BC34+BC35+BC36+BC37+BC38+BC39+BC40+BC41+BC42+BC43+BC44</f>
        <v>0</v>
      </c>
      <c r="BD45" s="11" t="n">
        <f aca="false">Construction!BD14*(Construction!BD30+Construction!BD36)+BD33+BD34+BD35+BD36+BD37+BD38+BD39+BD40+BD41+BD42+BD43+BD44</f>
        <v>0</v>
      </c>
      <c r="BE45" s="11" t="n">
        <f aca="false">Construction!BE14*(Construction!BE30+Construction!BE36)+BE33+BE34+BE35+BE36+BE37+BE38+BE39+BE40+BE41+BE42+BE43+BE44</f>
        <v>0</v>
      </c>
      <c r="BF45" s="11" t="n">
        <f aca="false">Construction!BF14*(Construction!BF30+Construction!BF36)+BF33+BF34+BF35+BF36+BF37+BF38+BF39+BF40+BF41+BF42+BF43+BF44</f>
        <v>0</v>
      </c>
      <c r="BG45" s="11" t="n">
        <f aca="false">Construction!BG14*(Construction!BG30+Construction!BG36)+BG33+BG34+BG35+BG36+BG37+BG38+BG39+BG40+BG41+BG42+BG43+BG44</f>
        <v>0</v>
      </c>
      <c r="BH45" s="11" t="n">
        <f aca="false">Construction!BH14*(Construction!BH30+Construction!BH36)+BH33+BH34+BH35+BH36+BH37+BH38+BH39+BH40+BH41+BH42+BH43+BH44</f>
        <v>0</v>
      </c>
      <c r="BI45" s="11" t="n">
        <f aca="false">Construction!BI14*(Construction!BI30+Construction!BI36)+BI33+BI34+BI35+BI36+BI37+BI38+BI39+BI40+BI41+BI42+BI43+BI44</f>
        <v>0</v>
      </c>
      <c r="BJ45" s="11" t="n">
        <f aca="false">Construction!BJ14*(Construction!BJ30+Construction!BJ36)+BJ33+BJ34+BJ35+BJ36+BJ37+BJ38+BJ39+BJ40+BJ41+BJ42+BJ43+BJ44</f>
        <v>0</v>
      </c>
    </row>
    <row r="46" customFormat="false" ht="15" hidden="false" customHeight="false" outlineLevel="0" collapsed="false">
      <c r="D46" s="0" t="s">
        <v>604</v>
      </c>
      <c r="E46" s="0" t="s">
        <v>149</v>
      </c>
      <c r="J46" s="11" t="n">
        <f aca="false">$F$25-J28-J29-J30-J31</f>
        <v>633.255975542774</v>
      </c>
      <c r="K46" s="11" t="n">
        <f aca="false">$F$25-K28-K29-K30-K31</f>
        <v>543.270292354919</v>
      </c>
      <c r="L46" s="11" t="n">
        <f aca="false">$F$25-L28-L29-L30-L31</f>
        <v>541.437767317332</v>
      </c>
      <c r="M46" s="11" t="n">
        <f aca="false">$F$25-M28-M29-M30-M31</f>
        <v>539.245918763661</v>
      </c>
      <c r="N46" s="11" t="n">
        <f aca="false">$F$25-N28-N29-N30-N31</f>
        <v>536.453369764724</v>
      </c>
      <c r="O46" s="11" t="n">
        <f aca="false">$F$25-O28-O29-O30-O31</f>
        <v>532.783824888154</v>
      </c>
      <c r="P46" s="11" t="n">
        <f aca="false">$F$25-P28-P29-P30-P31</f>
        <v>528.076380848311</v>
      </c>
      <c r="Q46" s="11" t="n">
        <f aca="false">$F$25-Q28-Q29-Q30-Q31</f>
        <v>522.250240536834</v>
      </c>
      <c r="R46" s="11" t="n">
        <f aca="false">$F$25-R28-R29-R30-R31</f>
        <v>515.071465497471</v>
      </c>
      <c r="S46" s="11" t="n">
        <f aca="false">$F$25-S28-S29-S30-S31</f>
        <v>506.562262130944</v>
      </c>
      <c r="T46" s="11" t="n">
        <f aca="false">$F$25-T28-T29-T30-T31</f>
        <v>496.647605002369</v>
      </c>
      <c r="U46" s="11" t="n">
        <f aca="false">$F$25-U28-U29-U30-U31</f>
        <v>485.389975693706</v>
      </c>
      <c r="V46" s="11" t="n">
        <f aca="false">$F$25-V28-V29-V30-V31</f>
        <v>472.800366105649</v>
      </c>
      <c r="W46" s="11" t="n">
        <f aca="false">$F$25-W28-W29-W30-W31</f>
        <v>458.924343415592</v>
      </c>
      <c r="X46" s="11" t="n">
        <f aca="false">$F$25-X28-X29-X30-X31</f>
        <v>443.870809077203</v>
      </c>
      <c r="Y46" s="11" t="n">
        <f aca="false">$F$25-Y28-Y29-Y30-Y31</f>
        <v>427.695388646248</v>
      </c>
      <c r="Z46" s="11" t="n">
        <f aca="false">$F$25-Z28-Z29-Z30-Z31</f>
        <v>410.574060891346</v>
      </c>
      <c r="AA46" s="11" t="n">
        <f aca="false">$F$25-AA28-AA29-AA30-AA31</f>
        <v>392.593751808775</v>
      </c>
      <c r="AB46" s="11" t="n">
        <f aca="false">$F$25-AB28-AB29-AB30-AB31</f>
        <v>373.12636460336</v>
      </c>
      <c r="AC46" s="11" t="n">
        <f aca="false">$F$25-AC28-AC29-AC30-AC31</f>
        <v>354.070563480372</v>
      </c>
      <c r="AD46" s="11" t="n">
        <f aca="false">$F$25-AD28-AD29-AD30-AD31</f>
        <v>334.615280864052</v>
      </c>
      <c r="AE46" s="11" t="n">
        <f aca="false">$F$25-AE28-AE29-AE30-AE31</f>
        <v>314.770138070693</v>
      </c>
      <c r="AF46" s="11" t="n">
        <f aca="false">$F$25-AF28-AF29-AF30-AF31</f>
        <v>294.906666684381</v>
      </c>
      <c r="AG46" s="11" t="n">
        <f aca="false">$F$25-AG28-AG29-AG30-AG31</f>
        <v>275.271165190793</v>
      </c>
      <c r="AH46" s="11" t="n">
        <f aca="false">$F$25-AH28-AH29-AH30-AH31</f>
        <v>256.025721054983</v>
      </c>
      <c r="AI46" s="11" t="n">
        <f aca="false">$F$25-AI28-AI29-AI30-AI31</f>
        <v>237.32005438443</v>
      </c>
      <c r="AJ46" s="11" t="n">
        <f aca="false">$F$25-AJ28-AJ29-AJ30-AJ31</f>
        <v>219.352346627223</v>
      </c>
      <c r="AK46" s="11" t="n">
        <f aca="false">$F$25-AK28-AK29-AK30-AK31</f>
        <v>201.005208374698</v>
      </c>
      <c r="AL46" s="11" t="n">
        <f aca="false">$F$25-AL28-AL29-AL30-AL31</f>
        <v>183.675771873076</v>
      </c>
      <c r="AM46" s="11" t="n">
        <f aca="false">$F$25-AM28-AM29-AM30-AM31</f>
        <v>167.398427544587</v>
      </c>
      <c r="AN46" s="11" t="n">
        <f aca="false">$F$25-AN28-AN29-AN30-AN31</f>
        <v>151.939079493384</v>
      </c>
      <c r="AO46" s="11" t="n">
        <f aca="false">$F$25-AO28-AO29-AO30-AO31</f>
        <v>137.857132617438</v>
      </c>
      <c r="AP46" s="11" t="n">
        <f aca="false">$F$25-AP28-AP29-AP30-AP31</f>
        <v>124.939374142221</v>
      </c>
      <c r="AQ46" s="11" t="n">
        <f aca="false">$F$25-AQ28-AQ29-AQ30-AQ31</f>
        <v>114.817937092296</v>
      </c>
      <c r="AR46" s="11" t="n">
        <f aca="false">$F$25-AR28-AR29-AR30-AR31</f>
        <v>104.929719263864</v>
      </c>
      <c r="AS46" s="11" t="n">
        <f aca="false">$F$25-AS28-AS29-AS30-AS31</f>
        <v>97.353198489328</v>
      </c>
      <c r="AT46" s="11" t="n">
        <f aca="false">$F$25-AT28-AT29-AT30-AT31</f>
        <v>91.4236614126459</v>
      </c>
      <c r="AU46" s="11" t="n">
        <f aca="false">$F$25-AU28-AU29-AU30-AU31</f>
        <v>87.2548606002325</v>
      </c>
      <c r="AV46" s="11" t="n">
        <f aca="false">$F$25-AV28-AV29-AV30-AV31</f>
        <v>81.9540147045758</v>
      </c>
      <c r="AW46" s="11" t="n">
        <f aca="false">$F$25-AW28-AW29-AW30-AW31</f>
        <v>78.6844299212704</v>
      </c>
      <c r="AX46" s="11" t="n">
        <f aca="false">$F$25-AX28-AX29-AX30-AX31</f>
        <v>33.5988886341519</v>
      </c>
      <c r="AY46" s="11" t="n">
        <f aca="false">$F$25-AY28-AY29-AY30-AY31</f>
        <v>6.34001976664666</v>
      </c>
      <c r="AZ46" s="11" t="n">
        <f aca="false">$F$25-AZ28-AZ29-AZ30-AZ31</f>
        <v>6.34001976664666</v>
      </c>
      <c r="BA46" s="11" t="n">
        <f aca="false">$F$25-BA28-BA29-BA30-BA31</f>
        <v>6.34001976664666</v>
      </c>
      <c r="BB46" s="11" t="n">
        <f aca="false">$F$25-BB28-BB29-BB30-BB31</f>
        <v>6.34001976664666</v>
      </c>
      <c r="BC46" s="11" t="n">
        <f aca="false">$F$25-BC28-BC29-BC30-BC31</f>
        <v>6.34001976664666</v>
      </c>
      <c r="BD46" s="11" t="n">
        <f aca="false">$F$25-BD28-BD29-BD30-BD31</f>
        <v>6.34001976664666</v>
      </c>
      <c r="BE46" s="11" t="n">
        <f aca="false">$F$25-BE28-BE29-BE30-BE31</f>
        <v>6.34001976664666</v>
      </c>
      <c r="BF46" s="11" t="n">
        <f aca="false">$F$25-BF28-BF29-BF30-BF31</f>
        <v>6.34001976664666</v>
      </c>
      <c r="BG46" s="11" t="n">
        <f aca="false">$F$25-BG28-BG29-BG30-BG31</f>
        <v>6.34001976664666</v>
      </c>
      <c r="BH46" s="11" t="n">
        <f aca="false">$F$25-BH28-BH29-BH30-BH31</f>
        <v>6.34001976664666</v>
      </c>
      <c r="BI46" s="11" t="n">
        <f aca="false">$F$25-BI28-BI29-BI30-BI31</f>
        <v>6.34001976664666</v>
      </c>
      <c r="BJ46" s="11" t="n">
        <f aca="false">$F$25-BJ28-BJ29-BJ30-BJ31</f>
        <v>6.34001976664666</v>
      </c>
    </row>
    <row r="47" customFormat="false" ht="15" hidden="false" customHeight="false" outlineLevel="0" collapsed="false">
      <c r="D47" s="0" t="s">
        <v>605</v>
      </c>
      <c r="E47" s="0" t="s">
        <v>149</v>
      </c>
      <c r="G47" s="11" t="n">
        <f aca="false">SUM(J47:BJ47)</f>
        <v>626.915955776128</v>
      </c>
      <c r="J47" s="11" t="n">
        <f aca="false">MIN($F$26*J45/(1-Inputs!$F$94/100*Inputs!$F$75*$F$26),J46)</f>
        <v>89.9856831878548</v>
      </c>
      <c r="K47" s="11" t="n">
        <f aca="false">MIN($F$26*K45/(1-Inputs!$F$94/100*Inputs!$F$75*$F$26),K46)</f>
        <v>1.8325250375873</v>
      </c>
      <c r="L47" s="11" t="n">
        <f aca="false">MIN($F$26*L45/(1-Inputs!$F$94/100*Inputs!$F$75*$F$26),L46)</f>
        <v>2.19184855367137</v>
      </c>
      <c r="M47" s="11" t="n">
        <f aca="false">MIN($F$26*M45/(1-Inputs!$F$94/100*Inputs!$F$75*$F$26),M46)</f>
        <v>2.79254899893711</v>
      </c>
      <c r="N47" s="11" t="n">
        <f aca="false">MIN($F$26*N45/(1-Inputs!$F$94/100*Inputs!$F$75*$F$26),N46)</f>
        <v>3.66954487656952</v>
      </c>
      <c r="O47" s="11" t="n">
        <f aca="false">MIN($F$26*O45/(1-Inputs!$F$94/100*Inputs!$F$75*$F$26),O46)</f>
        <v>4.70744403984299</v>
      </c>
      <c r="P47" s="11" t="n">
        <f aca="false">MIN($F$26*P45/(1-Inputs!$F$94/100*Inputs!$F$75*$F$26),P46)</f>
        <v>5.82614031147711</v>
      </c>
      <c r="Q47" s="11" t="n">
        <f aca="false">MIN($F$26*Q45/(1-Inputs!$F$94/100*Inputs!$F$75*$F$26),Q46)</f>
        <v>7.17877503936319</v>
      </c>
      <c r="R47" s="11" t="n">
        <f aca="false">MIN($F$26*R45/(1-Inputs!$F$94/100*Inputs!$F$75*$F$26),R46)</f>
        <v>8.50920336652702</v>
      </c>
      <c r="S47" s="11" t="n">
        <f aca="false">MIN($F$26*S45/(1-Inputs!$F$94/100*Inputs!$F$75*$F$26),S46)</f>
        <v>9.91465712857456</v>
      </c>
      <c r="T47" s="11" t="n">
        <f aca="false">MIN($F$26*T45/(1-Inputs!$F$94/100*Inputs!$F$75*$F$26),T46)</f>
        <v>11.2576293086634</v>
      </c>
      <c r="U47" s="11" t="n">
        <f aca="false">MIN($F$26*U45/(1-Inputs!$F$94/100*Inputs!$F$75*$F$26),U46)</f>
        <v>12.5896095880573</v>
      </c>
      <c r="V47" s="11" t="n">
        <f aca="false">MIN($F$26*V45/(1-Inputs!$F$94/100*Inputs!$F$75*$F$26),V46)</f>
        <v>13.8760226900562</v>
      </c>
      <c r="W47" s="11" t="n">
        <f aca="false">MIN($F$26*W45/(1-Inputs!$F$94/100*Inputs!$F$75*$F$26),W46)</f>
        <v>15.0535343383894</v>
      </c>
      <c r="X47" s="11" t="n">
        <f aca="false">MIN($F$26*X45/(1-Inputs!$F$94/100*Inputs!$F$75*$F$26),X46)</f>
        <v>16.1754204309555</v>
      </c>
      <c r="Y47" s="11" t="n">
        <f aca="false">MIN($F$26*Y45/(1-Inputs!$F$94/100*Inputs!$F$75*$F$26),Y46)</f>
        <v>17.1213277549015</v>
      </c>
      <c r="Z47" s="11" t="n">
        <f aca="false">MIN($F$26*Z45/(1-Inputs!$F$94/100*Inputs!$F$75*$F$26),Z46)</f>
        <v>17.9803090825713</v>
      </c>
      <c r="AA47" s="11" t="n">
        <f aca="false">MIN($F$26*AA45/(1-Inputs!$F$94/100*Inputs!$F$75*$F$26),AA46)</f>
        <v>19.4673872054144</v>
      </c>
      <c r="AB47" s="11" t="n">
        <f aca="false">MIN($F$26*AB45/(1-Inputs!$F$94/100*Inputs!$F$75*$F$26),AB46)</f>
        <v>19.0558011229886</v>
      </c>
      <c r="AC47" s="11" t="n">
        <f aca="false">MIN($F$26*AC45/(1-Inputs!$F$94/100*Inputs!$F$75*$F$26),AC46)</f>
        <v>19.4552826163192</v>
      </c>
      <c r="AD47" s="11" t="n">
        <f aca="false">MIN($F$26*AD45/(1-Inputs!$F$94/100*Inputs!$F$75*$F$26),AD46)</f>
        <v>19.8451427933599</v>
      </c>
      <c r="AE47" s="11" t="n">
        <f aca="false">MIN($F$26*AE45/(1-Inputs!$F$94/100*Inputs!$F$75*$F$26),AE46)</f>
        <v>19.8634713863116</v>
      </c>
      <c r="AF47" s="11" t="n">
        <f aca="false">MIN($F$26*AF45/(1-Inputs!$F$94/100*Inputs!$F$75*$F$26),AF46)</f>
        <v>19.6355014935883</v>
      </c>
      <c r="AG47" s="11" t="n">
        <f aca="false">MIN($F$26*AG45/(1-Inputs!$F$94/100*Inputs!$F$75*$F$26),AG46)</f>
        <v>19.2454441358096</v>
      </c>
      <c r="AH47" s="11" t="n">
        <f aca="false">MIN($F$26*AH45/(1-Inputs!$F$94/100*Inputs!$F$75*$F$26),AH46)</f>
        <v>18.7056666705526</v>
      </c>
      <c r="AI47" s="11" t="n">
        <f aca="false">MIN($F$26*AI45/(1-Inputs!$F$94/100*Inputs!$F$75*$F$26),AI46)</f>
        <v>17.9677077572077</v>
      </c>
      <c r="AJ47" s="11" t="n">
        <f aca="false">MIN($F$26*AJ45/(1-Inputs!$F$94/100*Inputs!$F$75*$F$26),AJ46)</f>
        <v>18.3471382525245</v>
      </c>
      <c r="AK47" s="11" t="n">
        <f aca="false">MIN($F$26*AK45/(1-Inputs!$F$94/100*Inputs!$F$75*$F$26),AK46)</f>
        <v>17.3294365016225</v>
      </c>
      <c r="AL47" s="11" t="n">
        <f aca="false">MIN($F$26*AL45/(1-Inputs!$F$94/100*Inputs!$F$75*$F$26),AL46)</f>
        <v>16.2773443284886</v>
      </c>
      <c r="AM47" s="11" t="n">
        <f aca="false">MIN($F$26*AM45/(1-Inputs!$F$94/100*Inputs!$F$75*$F$26),AM46)</f>
        <v>15.4593480512033</v>
      </c>
      <c r="AN47" s="11" t="n">
        <f aca="false">MIN($F$26*AN45/(1-Inputs!$F$94/100*Inputs!$F$75*$F$26),AN46)</f>
        <v>14.0819468759456</v>
      </c>
      <c r="AO47" s="11" t="n">
        <f aca="false">MIN($F$26*AO45/(1-Inputs!$F$94/100*Inputs!$F$75*$F$26),AO46)</f>
        <v>12.9177584752174</v>
      </c>
      <c r="AP47" s="11" t="n">
        <f aca="false">MIN($F$26*AP45/(1-Inputs!$F$94/100*Inputs!$F$75*$F$26),AP46)</f>
        <v>10.1214370499252</v>
      </c>
      <c r="AQ47" s="11" t="n">
        <f aca="false">MIN($F$26*AQ45/(1-Inputs!$F$94/100*Inputs!$F$75*$F$26),AQ46)</f>
        <v>9.88821782843216</v>
      </c>
      <c r="AR47" s="11" t="n">
        <f aca="false">MIN($F$26*AR45/(1-Inputs!$F$94/100*Inputs!$F$75*$F$26),AR46)</f>
        <v>7.57652077453556</v>
      </c>
      <c r="AS47" s="11" t="n">
        <f aca="false">MIN($F$26*AS45/(1-Inputs!$F$94/100*Inputs!$F$75*$F$26),AS46)</f>
        <v>5.92953707668219</v>
      </c>
      <c r="AT47" s="11" t="n">
        <f aca="false">MIN($F$26*AT45/(1-Inputs!$F$94/100*Inputs!$F$75*$F$26),AT46)</f>
        <v>4.1688008124134</v>
      </c>
      <c r="AU47" s="11" t="n">
        <f aca="false">MIN($F$26*AU45/(1-Inputs!$F$94/100*Inputs!$F$75*$F$26),AU46)</f>
        <v>5.30084589565669</v>
      </c>
      <c r="AV47" s="11" t="n">
        <f aca="false">MIN($F$26*AV45/(1-Inputs!$F$94/100*Inputs!$F$75*$F$26),AV46)</f>
        <v>3.26958478330542</v>
      </c>
      <c r="AW47" s="11" t="n">
        <f aca="false">MIN($F$26*AW45/(1-Inputs!$F$94/100*Inputs!$F$75*$F$26),AW46)</f>
        <v>45.0855412871184</v>
      </c>
      <c r="AX47" s="11" t="n">
        <f aca="false">MIN($F$26*AX45/(1-Inputs!$F$94/100*Inputs!$F$75*$F$26),AX46)</f>
        <v>27.2588688675052</v>
      </c>
      <c r="AY47" s="11" t="n">
        <f aca="false">MIN($F$26*AY45/(1-Inputs!$F$94/100*Inputs!$F$75*$F$26),AY46)</f>
        <v>0</v>
      </c>
      <c r="AZ47" s="11" t="n">
        <f aca="false">MIN($F$26*AZ45/(1-Inputs!$F$94/100*Inputs!$F$75*$F$26),AZ46)</f>
        <v>0</v>
      </c>
      <c r="BA47" s="11" t="n">
        <f aca="false">MIN($F$26*BA45/(1-Inputs!$F$94/100*Inputs!$F$75*$F$26),BA46)</f>
        <v>0</v>
      </c>
      <c r="BB47" s="11" t="n">
        <f aca="false">MIN($F$26*BB45/(1-Inputs!$F$94/100*Inputs!$F$75*$F$26),BB46)</f>
        <v>0</v>
      </c>
      <c r="BC47" s="11" t="n">
        <f aca="false">MIN($F$26*BC45/(1-Inputs!$F$94/100*Inputs!$F$75*$F$26),BC46)</f>
        <v>0</v>
      </c>
      <c r="BD47" s="11" t="n">
        <f aca="false">MIN($F$26*BD45/(1-Inputs!$F$94/100*Inputs!$F$75*$F$26),BD46)</f>
        <v>0</v>
      </c>
      <c r="BE47" s="11" t="n">
        <f aca="false">MIN($F$26*BE45/(1-Inputs!$F$94/100*Inputs!$F$75*$F$26),BE46)</f>
        <v>0</v>
      </c>
      <c r="BF47" s="11" t="n">
        <f aca="false">MIN($F$26*BF45/(1-Inputs!$F$94/100*Inputs!$F$75*$F$26),BF46)</f>
        <v>0</v>
      </c>
      <c r="BG47" s="11" t="n">
        <f aca="false">MIN($F$26*BG45/(1-Inputs!$F$94/100*Inputs!$F$75*$F$26),BG46)</f>
        <v>0</v>
      </c>
      <c r="BH47" s="11" t="n">
        <f aca="false">MIN($F$26*BH45/(1-Inputs!$F$94/100*Inputs!$F$75*$F$26),BH46)</f>
        <v>0</v>
      </c>
      <c r="BI47" s="11" t="n">
        <f aca="false">MIN($F$26*BI45/(1-Inputs!$F$94/100*Inputs!$F$75*$F$26),BI46)</f>
        <v>0</v>
      </c>
      <c r="BJ47" s="11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606</v>
      </c>
      <c r="E48" s="0" t="s">
        <v>149</v>
      </c>
      <c r="G48" s="11" t="n">
        <f aca="false">SUM(J48:BJ48)</f>
        <v>20.406114360513</v>
      </c>
      <c r="J48" s="11" t="n">
        <f aca="false">Inputs!$F$94/100*Inputs!$F$75*J47</f>
        <v>2.92903398776467</v>
      </c>
      <c r="K48" s="11" t="n">
        <f aca="false">Inputs!$F$94/100*Inputs!$F$75*K47</f>
        <v>0.0596486899734667</v>
      </c>
      <c r="L48" s="11" t="n">
        <f aca="false">Inputs!$F$94/100*Inputs!$F$75*L47</f>
        <v>0.0713446704220031</v>
      </c>
      <c r="M48" s="11" t="n">
        <f aca="false">Inputs!$F$94/100*Inputs!$F$75*M47</f>
        <v>0.0908974699154029</v>
      </c>
      <c r="N48" s="11" t="n">
        <f aca="false">Inputs!$F$94/100*Inputs!$F$75*N47</f>
        <v>0.119443685732338</v>
      </c>
      <c r="O48" s="11" t="n">
        <f aca="false">Inputs!$F$94/100*Inputs!$F$75*O47</f>
        <v>0.153227303496889</v>
      </c>
      <c r="P48" s="11" t="n">
        <f aca="false">Inputs!$F$94/100*Inputs!$F$75*P47</f>
        <v>0.18964086713858</v>
      </c>
      <c r="Q48" s="11" t="n">
        <f aca="false">Inputs!$F$94/100*Inputs!$F$75*Q47</f>
        <v>0.233669127531272</v>
      </c>
      <c r="R48" s="11" t="n">
        <f aca="false">Inputs!$F$94/100*Inputs!$F$75*R47</f>
        <v>0.276974569580455</v>
      </c>
      <c r="S48" s="11" t="n">
        <f aca="false">Inputs!$F$94/100*Inputs!$F$75*S47</f>
        <v>0.322722089535102</v>
      </c>
      <c r="T48" s="11" t="n">
        <f aca="false">Inputs!$F$94/100*Inputs!$F$75*T47</f>
        <v>0.366435833996993</v>
      </c>
      <c r="U48" s="11" t="n">
        <f aca="false">Inputs!$F$94/100*Inputs!$F$75*U47</f>
        <v>0.409791792091265</v>
      </c>
      <c r="V48" s="11" t="n">
        <f aca="false">Inputs!$F$94/100*Inputs!$F$75*V47</f>
        <v>0.451664538561329</v>
      </c>
      <c r="W48" s="11" t="n">
        <f aca="false">Inputs!$F$94/100*Inputs!$F$75*W47</f>
        <v>0.489992542714575</v>
      </c>
      <c r="X48" s="11" t="n">
        <f aca="false">Inputs!$F$94/100*Inputs!$F$75*X47</f>
        <v>0.5265099350276</v>
      </c>
      <c r="Y48" s="11" t="n">
        <f aca="false">Inputs!$F$94/100*Inputs!$F$75*Y47</f>
        <v>0.557299218422045</v>
      </c>
      <c r="Z48" s="11" t="n">
        <f aca="false">Inputs!$F$94/100*Inputs!$F$75*Z47</f>
        <v>0.585259060637697</v>
      </c>
      <c r="AA48" s="11" t="n">
        <f aca="false">Inputs!$F$94/100*Inputs!$F$75*AA47</f>
        <v>0.633663453536238</v>
      </c>
      <c r="AB48" s="11" t="n">
        <f aca="false">Inputs!$F$94/100*Inputs!$F$75*AB47</f>
        <v>0.620266326553279</v>
      </c>
      <c r="AC48" s="11" t="n">
        <f aca="false">Inputs!$F$94/100*Inputs!$F$75*AC47</f>
        <v>0.633269449161189</v>
      </c>
      <c r="AD48" s="11" t="n">
        <f aca="false">Inputs!$F$94/100*Inputs!$F$75*AD47</f>
        <v>0.645959397923866</v>
      </c>
      <c r="AE48" s="11" t="n">
        <f aca="false">Inputs!$F$94/100*Inputs!$F$75*AE47</f>
        <v>0.646555993624444</v>
      </c>
      <c r="AF48" s="11" t="n">
        <f aca="false">Inputs!$F$94/100*Inputs!$F$75*AF47</f>
        <v>0.6391355736163</v>
      </c>
      <c r="AG48" s="11" t="n">
        <f aca="false">Inputs!$F$94/100*Inputs!$F$75*AG47</f>
        <v>0.626439206620602</v>
      </c>
      <c r="AH48" s="11" t="n">
        <f aca="false">Inputs!$F$94/100*Inputs!$F$75*AH47</f>
        <v>0.608869450126488</v>
      </c>
      <c r="AI48" s="11" t="n">
        <f aca="false">Inputs!$F$94/100*Inputs!$F$75*AI47</f>
        <v>0.584848887497111</v>
      </c>
      <c r="AJ48" s="11" t="n">
        <f aca="false">Inputs!$F$94/100*Inputs!$F$75*AJ47</f>
        <v>0.597199350119671</v>
      </c>
      <c r="AK48" s="11" t="n">
        <f aca="false">Inputs!$F$94/100*Inputs!$F$75*AK47</f>
        <v>0.564073158127811</v>
      </c>
      <c r="AL48" s="11" t="n">
        <f aca="false">Inputs!$F$94/100*Inputs!$F$75*AL47</f>
        <v>0.529827557892305</v>
      </c>
      <c r="AM48" s="11" t="n">
        <f aca="false">Inputs!$F$94/100*Inputs!$F$75*AM47</f>
        <v>0.503201779066667</v>
      </c>
      <c r="AN48" s="11" t="n">
        <f aca="false">Inputs!$F$94/100*Inputs!$F$75*AN47</f>
        <v>0.458367370812028</v>
      </c>
      <c r="AO48" s="11" t="n">
        <f aca="false">Inputs!$F$94/100*Inputs!$F$75*AO47</f>
        <v>0.420473038368326</v>
      </c>
      <c r="AP48" s="11" t="n">
        <f aca="false">Inputs!$F$94/100*Inputs!$F$75*AP47</f>
        <v>0.329452775975065</v>
      </c>
      <c r="AQ48" s="11" t="n">
        <f aca="false">Inputs!$F$94/100*Inputs!$F$75*AQ47</f>
        <v>0.321861490315467</v>
      </c>
      <c r="AR48" s="11" t="n">
        <f aca="false">Inputs!$F$94/100*Inputs!$F$75*AR47</f>
        <v>0.246615751211132</v>
      </c>
      <c r="AS48" s="11" t="n">
        <f aca="false">Inputs!$F$94/100*Inputs!$F$75*AS47</f>
        <v>0.193006431846005</v>
      </c>
      <c r="AT48" s="11" t="n">
        <f aca="false">Inputs!$F$94/100*Inputs!$F$75*AT47</f>
        <v>0.135694466444056</v>
      </c>
      <c r="AU48" s="11" t="n">
        <f aca="false">Inputs!$F$94/100*Inputs!$F$75*AU47</f>
        <v>0.172542533903625</v>
      </c>
      <c r="AV48" s="11" t="n">
        <f aca="false">Inputs!$F$94/100*Inputs!$F$75*AV47</f>
        <v>0.106424984696592</v>
      </c>
      <c r="AW48" s="11" t="n">
        <f aca="false">Inputs!$F$94/100*Inputs!$F$75*AW47</f>
        <v>1.46753436889571</v>
      </c>
      <c r="AX48" s="11" t="n">
        <f aca="false">Inputs!$F$94/100*Inputs!$F$75*AX47</f>
        <v>0.887276181637295</v>
      </c>
      <c r="AY48" s="11" t="n">
        <f aca="false">Inputs!$F$94/100*Inputs!$F$75*AY47</f>
        <v>0</v>
      </c>
      <c r="AZ48" s="11" t="n">
        <f aca="false">Inputs!$F$94/100*Inputs!$F$75*AZ47</f>
        <v>0</v>
      </c>
      <c r="BA48" s="11" t="n">
        <f aca="false">Inputs!$F$94/100*Inputs!$F$75*BA47</f>
        <v>0</v>
      </c>
      <c r="BB48" s="11" t="n">
        <f aca="false">Inputs!$F$94/100*Inputs!$F$75*BB47</f>
        <v>0</v>
      </c>
      <c r="BC48" s="11" t="n">
        <f aca="false">Inputs!$F$94/100*Inputs!$F$75*BC47</f>
        <v>0</v>
      </c>
      <c r="BD48" s="11" t="n">
        <f aca="false">Inputs!$F$94/100*Inputs!$F$75*BD47</f>
        <v>0</v>
      </c>
      <c r="BE48" s="11" t="n">
        <f aca="false">Inputs!$F$94/100*Inputs!$F$75*BE47</f>
        <v>0</v>
      </c>
      <c r="BF48" s="11" t="n">
        <f aca="false">Inputs!$F$94/100*Inputs!$F$75*BF47</f>
        <v>0</v>
      </c>
      <c r="BG48" s="11" t="n">
        <f aca="false">Inputs!$F$94/100*Inputs!$F$75*BG47</f>
        <v>0</v>
      </c>
      <c r="BH48" s="11" t="n">
        <f aca="false">Inputs!$F$94/100*Inputs!$F$75*BH47</f>
        <v>0</v>
      </c>
      <c r="BI48" s="11" t="n">
        <f aca="false">Inputs!$F$94/100*Inputs!$F$75*BI47</f>
        <v>0</v>
      </c>
      <c r="BJ48" s="11" t="n">
        <f aca="false">Inputs!$F$94/100*Inputs!$F$75*BJ47</f>
        <v>0</v>
      </c>
    </row>
    <row r="49" customFormat="false" ht="15" hidden="false" customHeight="false" outlineLevel="0" collapsed="false">
      <c r="D49" s="0" t="s">
        <v>607</v>
      </c>
      <c r="E49" s="0" t="s">
        <v>149</v>
      </c>
      <c r="G49" s="11" t="n">
        <f aca="false">SUM(J49:BJ49)</f>
        <v>846.528772392938</v>
      </c>
      <c r="J49" s="11" t="n">
        <f aca="false">J45+J48</f>
        <v>121.508264736457</v>
      </c>
      <c r="K49" s="11" t="n">
        <f aca="false">K45+K48</f>
        <v>2.47447071039626</v>
      </c>
      <c r="L49" s="11" t="n">
        <f aca="false">L45+L48</f>
        <v>2.95966763696991</v>
      </c>
      <c r="M49" s="11" t="n">
        <f aca="false">M45+M48</f>
        <v>3.77079743167605</v>
      </c>
      <c r="N49" s="11" t="n">
        <f aca="false">N45+N48</f>
        <v>4.95501078092274</v>
      </c>
      <c r="O49" s="11" t="n">
        <f aca="false">O45+O48</f>
        <v>6.35649290377892</v>
      </c>
      <c r="P49" s="11" t="n">
        <f aca="false">P45+P48</f>
        <v>7.86707589784961</v>
      </c>
      <c r="Q49" s="11" t="n">
        <f aca="false">Q45+Q48</f>
        <v>9.69354754072857</v>
      </c>
      <c r="R49" s="11" t="n">
        <f aca="false">R45+R48</f>
        <v>11.4900337334536</v>
      </c>
      <c r="S49" s="11" t="n">
        <f aca="false">S45+S48</f>
        <v>13.387827268423</v>
      </c>
      <c r="T49" s="11" t="n">
        <f aca="false">T45+T48</f>
        <v>15.2012515089355</v>
      </c>
      <c r="U49" s="11" t="n">
        <f aca="false">U45+U48</f>
        <v>16.9998333130483</v>
      </c>
      <c r="V49" s="11" t="n">
        <f aca="false">V45+V48</f>
        <v>18.736885455352</v>
      </c>
      <c r="W49" s="11" t="n">
        <f aca="false">W45+W48</f>
        <v>20.3268872426057</v>
      </c>
      <c r="X49" s="11" t="n">
        <f aca="false">X45+X48</f>
        <v>21.8417774730336</v>
      </c>
      <c r="Y49" s="11" t="n">
        <f aca="false">Y45+Y48</f>
        <v>23.1190424052146</v>
      </c>
      <c r="Z49" s="11" t="n">
        <f aca="false">Z45+Z48</f>
        <v>24.2789305881857</v>
      </c>
      <c r="AA49" s="11" t="n">
        <f aca="false">AA45+AA48</f>
        <v>26.2869420388183</v>
      </c>
      <c r="AB49" s="11" t="n">
        <f aca="false">AB45+AB48</f>
        <v>25.7311746223413</v>
      </c>
      <c r="AC49" s="11" t="n">
        <f aca="false">AC45+AC48</f>
        <v>26.2705971318931</v>
      </c>
      <c r="AD49" s="11" t="n">
        <f aca="false">AD45+AD48</f>
        <v>26.7970279142563</v>
      </c>
      <c r="AE49" s="11" t="n">
        <f aca="false">AE45+AE48</f>
        <v>26.8217771348626</v>
      </c>
      <c r="AF49" s="11" t="n">
        <f aca="false">AF45+AF48</f>
        <v>26.5139478769668</v>
      </c>
      <c r="AG49" s="11" t="n">
        <f aca="false">AG45+AG48</f>
        <v>25.9872508401454</v>
      </c>
      <c r="AH49" s="11" t="n">
        <f aca="false">AH45+AH48</f>
        <v>25.2583857493477</v>
      </c>
      <c r="AI49" s="11" t="n">
        <f aca="false">AI45+AI48</f>
        <v>24.2619149349832</v>
      </c>
      <c r="AJ49" s="11" t="n">
        <f aca="false">AJ45+AJ48</f>
        <v>24.7742624489515</v>
      </c>
      <c r="AK49" s="11" t="n">
        <f aca="false">AK45+AK48</f>
        <v>23.4000530259569</v>
      </c>
      <c r="AL49" s="11" t="n">
        <f aca="false">AL45+AL48</f>
        <v>21.9794059877672</v>
      </c>
      <c r="AM49" s="11" t="n">
        <f aca="false">AM45+AM48</f>
        <v>20.8748601901171</v>
      </c>
      <c r="AN49" s="11" t="n">
        <f aca="false">AN45+AN48</f>
        <v>19.0149462491168</v>
      </c>
      <c r="AO49" s="11" t="n">
        <f aca="false">AO45+AO48</f>
        <v>17.4429349314555</v>
      </c>
      <c r="AP49" s="11" t="n">
        <f aca="false">AP45+AP48</f>
        <v>13.6670435674559</v>
      </c>
      <c r="AQ49" s="11" t="n">
        <f aca="false">AQ45+AQ48</f>
        <v>13.3521261061121</v>
      </c>
      <c r="AR49" s="11" t="n">
        <f aca="false">AR45+AR48</f>
        <v>10.2306262445289</v>
      </c>
      <c r="AS49" s="11" t="n">
        <f aca="false">AS45+AS48</f>
        <v>8.0066932355677</v>
      </c>
      <c r="AT49" s="11" t="n">
        <f aca="false">AT45+AT48</f>
        <v>5.62915938184099</v>
      </c>
      <c r="AU49" s="11" t="n">
        <f aca="false">AU45+AU48</f>
        <v>7.15776736474837</v>
      </c>
      <c r="AV49" s="11" t="n">
        <f aca="false">AV45+AV48</f>
        <v>4.41494201470692</v>
      </c>
      <c r="AW49" s="11" t="n">
        <f aca="false">AW45+AW48</f>
        <v>60.8793053786698</v>
      </c>
      <c r="AX49" s="11" t="n">
        <f aca="false">AX45+AX48</f>
        <v>36.8078313952972</v>
      </c>
      <c r="AY49" s="11" t="n">
        <f aca="false">AY45+AY48</f>
        <v>0</v>
      </c>
      <c r="AZ49" s="11" t="n">
        <f aca="false">AZ45+AZ48</f>
        <v>0</v>
      </c>
      <c r="BA49" s="11" t="n">
        <f aca="false">BA45+BA48</f>
        <v>0</v>
      </c>
      <c r="BB49" s="11" t="n">
        <f aca="false">BB45+BB48</f>
        <v>0</v>
      </c>
      <c r="BC49" s="11" t="n">
        <f aca="false">BC45+BC48</f>
        <v>0</v>
      </c>
      <c r="BD49" s="11" t="n">
        <f aca="false">BD45+BD48</f>
        <v>0</v>
      </c>
      <c r="BE49" s="11" t="n">
        <f aca="false">BE45+BE48</f>
        <v>0</v>
      </c>
      <c r="BF49" s="11" t="n">
        <f aca="false">BF45+BF48</f>
        <v>0</v>
      </c>
      <c r="BG49" s="11" t="n">
        <f aca="false">BG45+BG48</f>
        <v>0</v>
      </c>
      <c r="BH49" s="11" t="n">
        <f aca="false">BH45+BH48</f>
        <v>0</v>
      </c>
      <c r="BI49" s="11" t="n">
        <f aca="false">BI45+BI48</f>
        <v>0</v>
      </c>
      <c r="BJ49" s="11" t="n">
        <f aca="false">BJ45+BJ48</f>
        <v>0</v>
      </c>
    </row>
    <row r="50" customFormat="false" ht="15" hidden="false" customHeight="false" outlineLevel="0" collapsed="false">
      <c r="D50" s="0" t="s">
        <v>608</v>
      </c>
      <c r="E50" s="0" t="s">
        <v>149</v>
      </c>
      <c r="G50" s="11" t="n">
        <f aca="false">SUM(J50:BJ50)</f>
        <v>846.528772392938</v>
      </c>
      <c r="J50" s="11" t="n">
        <f aca="false">J47/$F$26</f>
        <v>121.508264736457</v>
      </c>
      <c r="K50" s="11" t="n">
        <f aca="false">K47/$F$26</f>
        <v>2.47447071039626</v>
      </c>
      <c r="L50" s="11" t="n">
        <f aca="false">L47/$F$26</f>
        <v>2.95966763696991</v>
      </c>
      <c r="M50" s="11" t="n">
        <f aca="false">M47/$F$26</f>
        <v>3.77079743167605</v>
      </c>
      <c r="N50" s="11" t="n">
        <f aca="false">N47/$F$26</f>
        <v>4.95501078092274</v>
      </c>
      <c r="O50" s="11" t="n">
        <f aca="false">O47/$F$26</f>
        <v>6.35649290377892</v>
      </c>
      <c r="P50" s="11" t="n">
        <f aca="false">P47/$F$26</f>
        <v>7.86707589784961</v>
      </c>
      <c r="Q50" s="11" t="n">
        <f aca="false">Q47/$F$26</f>
        <v>9.69354754072857</v>
      </c>
      <c r="R50" s="11" t="n">
        <f aca="false">R47/$F$26</f>
        <v>11.4900337334536</v>
      </c>
      <c r="S50" s="11" t="n">
        <f aca="false">S47/$F$26</f>
        <v>13.387827268423</v>
      </c>
      <c r="T50" s="11" t="n">
        <f aca="false">T47/$F$26</f>
        <v>15.2012515089355</v>
      </c>
      <c r="U50" s="11" t="n">
        <f aca="false">U47/$F$26</f>
        <v>16.9998333130483</v>
      </c>
      <c r="V50" s="11" t="n">
        <f aca="false">V47/$F$26</f>
        <v>18.736885455352</v>
      </c>
      <c r="W50" s="11" t="n">
        <f aca="false">W47/$F$26</f>
        <v>20.3268872426057</v>
      </c>
      <c r="X50" s="11" t="n">
        <f aca="false">X47/$F$26</f>
        <v>21.8417774730336</v>
      </c>
      <c r="Y50" s="11" t="n">
        <f aca="false">Y47/$F$26</f>
        <v>23.1190424052146</v>
      </c>
      <c r="Z50" s="11" t="n">
        <f aca="false">Z47/$F$26</f>
        <v>24.2789305881857</v>
      </c>
      <c r="AA50" s="11" t="n">
        <f aca="false">AA47/$F$26</f>
        <v>26.2869420388183</v>
      </c>
      <c r="AB50" s="11" t="n">
        <f aca="false">AB47/$F$26</f>
        <v>25.7311746223413</v>
      </c>
      <c r="AC50" s="11" t="n">
        <f aca="false">AC47/$F$26</f>
        <v>26.2705971318931</v>
      </c>
      <c r="AD50" s="11" t="n">
        <f aca="false">AD47/$F$26</f>
        <v>26.7970279142563</v>
      </c>
      <c r="AE50" s="11" t="n">
        <f aca="false">AE47/$F$26</f>
        <v>26.8217771348626</v>
      </c>
      <c r="AF50" s="11" t="n">
        <f aca="false">AF47/$F$26</f>
        <v>26.5139478769668</v>
      </c>
      <c r="AG50" s="11" t="n">
        <f aca="false">AG47/$F$26</f>
        <v>25.9872508401454</v>
      </c>
      <c r="AH50" s="11" t="n">
        <f aca="false">AH47/$F$26</f>
        <v>25.2583857493477</v>
      </c>
      <c r="AI50" s="11" t="n">
        <f aca="false">AI47/$F$26</f>
        <v>24.2619149349832</v>
      </c>
      <c r="AJ50" s="11" t="n">
        <f aca="false">AJ47/$F$26</f>
        <v>24.7742624489515</v>
      </c>
      <c r="AK50" s="11" t="n">
        <f aca="false">AK47/$F$26</f>
        <v>23.4000530259569</v>
      </c>
      <c r="AL50" s="11" t="n">
        <f aca="false">AL47/$F$26</f>
        <v>21.9794059877672</v>
      </c>
      <c r="AM50" s="11" t="n">
        <f aca="false">AM47/$F$26</f>
        <v>20.8748601901171</v>
      </c>
      <c r="AN50" s="11" t="n">
        <f aca="false">AN47/$F$26</f>
        <v>19.0149462491169</v>
      </c>
      <c r="AO50" s="11" t="n">
        <f aca="false">AO47/$F$26</f>
        <v>17.4429349314556</v>
      </c>
      <c r="AP50" s="11" t="n">
        <f aca="false">AP47/$F$26</f>
        <v>13.6670435674559</v>
      </c>
      <c r="AQ50" s="11" t="n">
        <f aca="false">AQ47/$F$26</f>
        <v>13.3521261061121</v>
      </c>
      <c r="AR50" s="11" t="n">
        <f aca="false">AR47/$F$26</f>
        <v>10.2306262445289</v>
      </c>
      <c r="AS50" s="11" t="n">
        <f aca="false">AS47/$F$26</f>
        <v>8.0066932355677</v>
      </c>
      <c r="AT50" s="11" t="n">
        <f aca="false">AT47/$F$26</f>
        <v>5.62915938184099</v>
      </c>
      <c r="AU50" s="11" t="n">
        <f aca="false">AU47/$F$26</f>
        <v>7.15776736474837</v>
      </c>
      <c r="AV50" s="11" t="n">
        <f aca="false">AV47/$F$26</f>
        <v>4.41494201470692</v>
      </c>
      <c r="AW50" s="11" t="n">
        <f aca="false">AW47/$F$26</f>
        <v>60.8793053786698</v>
      </c>
      <c r="AX50" s="11" t="n">
        <f aca="false">AX47/$F$26</f>
        <v>36.8078313952972</v>
      </c>
      <c r="AY50" s="11" t="n">
        <f aca="false">AY47/$F$26</f>
        <v>0</v>
      </c>
      <c r="AZ50" s="11" t="n">
        <f aca="false">AZ47/$F$26</f>
        <v>0</v>
      </c>
      <c r="BA50" s="11" t="n">
        <f aca="false">BA47/$F$26</f>
        <v>0</v>
      </c>
      <c r="BB50" s="11" t="n">
        <f aca="false">BB47/$F$26</f>
        <v>0</v>
      </c>
      <c r="BC50" s="11" t="n">
        <f aca="false">BC47/$F$26</f>
        <v>0</v>
      </c>
      <c r="BD50" s="11" t="n">
        <f aca="false">BD47/$F$26</f>
        <v>0</v>
      </c>
      <c r="BE50" s="11" t="n">
        <f aca="false">BE47/$F$26</f>
        <v>0</v>
      </c>
      <c r="BF50" s="11" t="n">
        <f aca="false">BF47/$F$26</f>
        <v>0</v>
      </c>
      <c r="BG50" s="11" t="n">
        <f aca="false">BG47/$F$26</f>
        <v>0</v>
      </c>
      <c r="BH50" s="11" t="n">
        <f aca="false">BH47/$F$26</f>
        <v>0</v>
      </c>
      <c r="BI50" s="11" t="n">
        <f aca="false">BI47/$F$26</f>
        <v>0</v>
      </c>
      <c r="BJ50" s="11" t="n">
        <f aca="false">BJ47/$F$26</f>
        <v>0</v>
      </c>
    </row>
    <row r="51" customFormat="false" ht="15" hidden="false" customHeight="false" outlineLevel="0" collapsed="false">
      <c r="D51" s="0" t="s">
        <v>609</v>
      </c>
      <c r="E51" s="0" t="s">
        <v>149</v>
      </c>
      <c r="J51" s="11" t="n">
        <f aca="false">J49-J50</f>
        <v>0</v>
      </c>
      <c r="K51" s="11" t="n">
        <f aca="false">K49-K50</f>
        <v>0</v>
      </c>
      <c r="L51" s="11" t="n">
        <f aca="false">L49-L50</f>
        <v>0</v>
      </c>
      <c r="M51" s="11" t="n">
        <f aca="false">M49-M50</f>
        <v>0</v>
      </c>
      <c r="N51" s="11" t="n">
        <f aca="false">N49-N50</f>
        <v>0</v>
      </c>
      <c r="O51" s="11" t="n">
        <f aca="false">O49-O50</f>
        <v>0</v>
      </c>
      <c r="P51" s="11" t="n">
        <f aca="false">P49-P50</f>
        <v>0</v>
      </c>
      <c r="Q51" s="11" t="n">
        <f aca="false">Q49-Q50</f>
        <v>0</v>
      </c>
      <c r="R51" s="11" t="n">
        <f aca="false">R49-R50</f>
        <v>0</v>
      </c>
      <c r="S51" s="11" t="n">
        <f aca="false">S49-S50</f>
        <v>0</v>
      </c>
      <c r="T51" s="11" t="n">
        <f aca="false">T49-T50</f>
        <v>0</v>
      </c>
      <c r="U51" s="11" t="n">
        <f aca="false">U49-U50</f>
        <v>0</v>
      </c>
      <c r="V51" s="11" t="n">
        <f aca="false">V49-V50</f>
        <v>0</v>
      </c>
      <c r="W51" s="11" t="n">
        <f aca="false">W49-W50</f>
        <v>0</v>
      </c>
      <c r="X51" s="11" t="n">
        <f aca="false">X49-X50</f>
        <v>0</v>
      </c>
      <c r="Y51" s="11" t="n">
        <f aca="false">Y49-Y50</f>
        <v>0</v>
      </c>
      <c r="Z51" s="11" t="n">
        <f aca="false">Z49-Z50</f>
        <v>0</v>
      </c>
      <c r="AA51" s="11" t="n">
        <f aca="false">AA49-AA50</f>
        <v>0</v>
      </c>
      <c r="AB51" s="11" t="n">
        <f aca="false">AB49-AB50</f>
        <v>0</v>
      </c>
      <c r="AC51" s="11" t="n">
        <f aca="false">AC49-AC50</f>
        <v>0</v>
      </c>
      <c r="AD51" s="11" t="n">
        <f aca="false">AD49-AD50</f>
        <v>0</v>
      </c>
      <c r="AE51" s="11" t="n">
        <f aca="false">AE49-AE50</f>
        <v>0</v>
      </c>
      <c r="AF51" s="11" t="n">
        <f aca="false">AF49-AF50</f>
        <v>0</v>
      </c>
      <c r="AG51" s="11" t="n">
        <f aca="false">AG49-AG50</f>
        <v>0</v>
      </c>
      <c r="AH51" s="11" t="n">
        <f aca="false">AH49-AH50</f>
        <v>0</v>
      </c>
      <c r="AI51" s="11" t="n">
        <f aca="false">AI49-AI50</f>
        <v>0</v>
      </c>
      <c r="AJ51" s="11" t="n">
        <f aca="false">AJ49-AJ50</f>
        <v>0</v>
      </c>
      <c r="AK51" s="11" t="n">
        <f aca="false">AK49-AK50</f>
        <v>0</v>
      </c>
      <c r="AL51" s="11" t="n">
        <f aca="false">AL49-AL50</f>
        <v>0</v>
      </c>
      <c r="AM51" s="11" t="n">
        <f aca="false">AM49-AM50</f>
        <v>0</v>
      </c>
      <c r="AN51" s="11" t="n">
        <f aca="false">AN49-AN50</f>
        <v>0</v>
      </c>
      <c r="AO51" s="11" t="n">
        <f aca="false">AO49-AO50</f>
        <v>0</v>
      </c>
      <c r="AP51" s="11" t="n">
        <f aca="false">AP49-AP50</f>
        <v>0</v>
      </c>
      <c r="AQ51" s="11" t="n">
        <f aca="false">AQ49-AQ50</f>
        <v>0</v>
      </c>
      <c r="AR51" s="11" t="n">
        <f aca="false">AR49-AR50</f>
        <v>0</v>
      </c>
      <c r="AS51" s="11" t="n">
        <f aca="false">AS49-AS50</f>
        <v>0</v>
      </c>
      <c r="AT51" s="11" t="n">
        <f aca="false">AT49-AT50</f>
        <v>0</v>
      </c>
      <c r="AU51" s="11" t="n">
        <f aca="false">AU49-AU50</f>
        <v>0</v>
      </c>
      <c r="AV51" s="11" t="n">
        <f aca="false">AV49-AV50</f>
        <v>0</v>
      </c>
      <c r="AW51" s="11" t="n">
        <f aca="false">AW49-AW50</f>
        <v>0</v>
      </c>
      <c r="AX51" s="11" t="n">
        <f aca="false">AX49-AX50</f>
        <v>0</v>
      </c>
      <c r="AY51" s="11" t="n">
        <f aca="false">AY49-AY50</f>
        <v>0</v>
      </c>
      <c r="AZ51" s="11" t="n">
        <f aca="false">AZ49-AZ50</f>
        <v>0</v>
      </c>
      <c r="BA51" s="11" t="n">
        <f aca="false">BA49-BA50</f>
        <v>0</v>
      </c>
      <c r="BB51" s="11" t="n">
        <f aca="false">BB49-BB50</f>
        <v>0</v>
      </c>
      <c r="BC51" s="11" t="n">
        <f aca="false">BC49-BC50</f>
        <v>0</v>
      </c>
      <c r="BD51" s="11" t="n">
        <f aca="false">BD49-BD50</f>
        <v>0</v>
      </c>
      <c r="BE51" s="11" t="n">
        <f aca="false">BE49-BE50</f>
        <v>0</v>
      </c>
      <c r="BF51" s="11" t="n">
        <f aca="false">BF49-BF50</f>
        <v>0</v>
      </c>
      <c r="BG51" s="11" t="n">
        <f aca="false">BG49-BG50</f>
        <v>0</v>
      </c>
      <c r="BH51" s="11" t="n">
        <f aca="false">BH49-BH50</f>
        <v>0</v>
      </c>
      <c r="BI51" s="11" t="n">
        <f aca="false">BI49-BI50</f>
        <v>0</v>
      </c>
      <c r="BJ51" s="11" t="n">
        <f aca="false">BJ49-BJ50</f>
        <v>0</v>
      </c>
    </row>
    <row r="52" customFormat="false" ht="15" hidden="false" customHeight="false" outlineLevel="0" collapsed="false">
      <c r="D52" s="0" t="s">
        <v>610</v>
      </c>
      <c r="E52" s="0" t="s">
        <v>149</v>
      </c>
      <c r="G52" s="11" t="n">
        <f aca="false">SUM(J52:BJ52)</f>
        <v>17.2197</v>
      </c>
      <c r="J52" s="11" t="n">
        <f aca="false">IF(AND(Inputs!$F$34=2,Construction!J8=40),Inputs!$F$189+Inputs!$F$190,0)</f>
        <v>0</v>
      </c>
      <c r="K52" s="11" t="n">
        <f aca="false">IF(AND(Inputs!$F$34=2,Construction!K8=40),Inputs!$F$189+Inputs!$F$190,0)</f>
        <v>0</v>
      </c>
      <c r="L52" s="11" t="n">
        <f aca="false">IF(AND(Inputs!$F$34=2,Construction!L8=40),Inputs!$F$189+Inputs!$F$190,0)</f>
        <v>0</v>
      </c>
      <c r="M52" s="11" t="n">
        <f aca="false">IF(AND(Inputs!$F$34=2,Construction!M8=40),Inputs!$F$189+Inputs!$F$190,0)</f>
        <v>0</v>
      </c>
      <c r="N52" s="11" t="n">
        <f aca="false">IF(AND(Inputs!$F$34=2,Construction!N8=40),Inputs!$F$189+Inputs!$F$190,0)</f>
        <v>0</v>
      </c>
      <c r="O52" s="11" t="n">
        <f aca="false">IF(AND(Inputs!$F$34=2,Construction!O8=40),Inputs!$F$189+Inputs!$F$190,0)</f>
        <v>0</v>
      </c>
      <c r="P52" s="11" t="n">
        <f aca="false">IF(AND(Inputs!$F$34=2,Construction!P8=40),Inputs!$F$189+Inputs!$F$190,0)</f>
        <v>0</v>
      </c>
      <c r="Q52" s="11" t="n">
        <f aca="false">IF(AND(Inputs!$F$34=2,Construction!Q8=40),Inputs!$F$189+Inputs!$F$190,0)</f>
        <v>0</v>
      </c>
      <c r="R52" s="11" t="n">
        <f aca="false">IF(AND(Inputs!$F$34=2,Construction!R8=40),Inputs!$F$189+Inputs!$F$190,0)</f>
        <v>0</v>
      </c>
      <c r="S52" s="11" t="n">
        <f aca="false">IF(AND(Inputs!$F$34=2,Construction!S8=40),Inputs!$F$189+Inputs!$F$190,0)</f>
        <v>0</v>
      </c>
      <c r="T52" s="11" t="n">
        <f aca="false">IF(AND(Inputs!$F$34=2,Construction!T8=40),Inputs!$F$189+Inputs!$F$190,0)</f>
        <v>0</v>
      </c>
      <c r="U52" s="11" t="n">
        <f aca="false">IF(AND(Inputs!$F$34=2,Construction!U8=40),Inputs!$F$189+Inputs!$F$190,0)</f>
        <v>0</v>
      </c>
      <c r="V52" s="11" t="n">
        <f aca="false">IF(AND(Inputs!$F$34=2,Construction!V8=40),Inputs!$F$189+Inputs!$F$190,0)</f>
        <v>0</v>
      </c>
      <c r="W52" s="11" t="n">
        <f aca="false">IF(AND(Inputs!$F$34=2,Construction!W8=40),Inputs!$F$189+Inputs!$F$190,0)</f>
        <v>0</v>
      </c>
      <c r="X52" s="11" t="n">
        <f aca="false">IF(AND(Inputs!$F$34=2,Construction!X8=40),Inputs!$F$189+Inputs!$F$190,0)</f>
        <v>0</v>
      </c>
      <c r="Y52" s="11" t="n">
        <f aca="false">IF(AND(Inputs!$F$34=2,Construction!Y8=40),Inputs!$F$189+Inputs!$F$190,0)</f>
        <v>0</v>
      </c>
      <c r="Z52" s="11" t="n">
        <f aca="false">IF(AND(Inputs!$F$34=2,Construction!Z8=40),Inputs!$F$189+Inputs!$F$190,0)</f>
        <v>0</v>
      </c>
      <c r="AA52" s="11" t="n">
        <f aca="false">IF(AND(Inputs!$F$34=2,Construction!AA8=40),Inputs!$F$189+Inputs!$F$190,0)</f>
        <v>0</v>
      </c>
      <c r="AB52" s="11" t="n">
        <f aca="false">IF(AND(Inputs!$F$34=2,Construction!AB8=40),Inputs!$F$189+Inputs!$F$190,0)</f>
        <v>0</v>
      </c>
      <c r="AC52" s="11" t="n">
        <f aca="false">IF(AND(Inputs!$F$34=2,Construction!AC8=40),Inputs!$F$189+Inputs!$F$190,0)</f>
        <v>0</v>
      </c>
      <c r="AD52" s="11" t="n">
        <f aca="false">IF(AND(Inputs!$F$34=2,Construction!AD8=40),Inputs!$F$189+Inputs!$F$190,0)</f>
        <v>0</v>
      </c>
      <c r="AE52" s="11" t="n">
        <f aca="false">IF(AND(Inputs!$F$34=2,Construction!AE8=40),Inputs!$F$189+Inputs!$F$190,0)</f>
        <v>0</v>
      </c>
      <c r="AF52" s="11" t="n">
        <f aca="false">IF(AND(Inputs!$F$34=2,Construction!AF8=40),Inputs!$F$189+Inputs!$F$190,0)</f>
        <v>0</v>
      </c>
      <c r="AG52" s="11" t="n">
        <f aca="false">IF(AND(Inputs!$F$34=2,Construction!AG8=40),Inputs!$F$189+Inputs!$F$190,0)</f>
        <v>0</v>
      </c>
      <c r="AH52" s="11" t="n">
        <f aca="false">IF(AND(Inputs!$F$34=2,Construction!AH8=40),Inputs!$F$189+Inputs!$F$190,0)</f>
        <v>0</v>
      </c>
      <c r="AI52" s="11" t="n">
        <f aca="false">IF(AND(Inputs!$F$34=2,Construction!AI8=40),Inputs!$F$189+Inputs!$F$190,0)</f>
        <v>0</v>
      </c>
      <c r="AJ52" s="11" t="n">
        <f aca="false">IF(AND(Inputs!$F$34=2,Construction!AJ8=40),Inputs!$F$189+Inputs!$F$190,0)</f>
        <v>0</v>
      </c>
      <c r="AK52" s="11" t="n">
        <f aca="false">IF(AND(Inputs!$F$34=2,Construction!AK8=40),Inputs!$F$189+Inputs!$F$190,0)</f>
        <v>0</v>
      </c>
      <c r="AL52" s="11" t="n">
        <f aca="false">IF(AND(Inputs!$F$34=2,Construction!AL8=40),Inputs!$F$189+Inputs!$F$190,0)</f>
        <v>0</v>
      </c>
      <c r="AM52" s="11" t="n">
        <f aca="false">IF(AND(Inputs!$F$34=2,Construction!AM8=40),Inputs!$F$189+Inputs!$F$190,0)</f>
        <v>0</v>
      </c>
      <c r="AN52" s="11" t="n">
        <f aca="false">IF(AND(Inputs!$F$34=2,Construction!AN8=40),Inputs!$F$189+Inputs!$F$190,0)</f>
        <v>0</v>
      </c>
      <c r="AO52" s="11" t="n">
        <f aca="false">IF(AND(Inputs!$F$34=2,Construction!AO8=40),Inputs!$F$189+Inputs!$F$190,0)</f>
        <v>0</v>
      </c>
      <c r="AP52" s="11" t="n">
        <f aca="false">IF(AND(Inputs!$F$34=2,Construction!AP8=40),Inputs!$F$189+Inputs!$F$190,0)</f>
        <v>0</v>
      </c>
      <c r="AQ52" s="11" t="n">
        <f aca="false">IF(AND(Inputs!$F$34=2,Construction!AQ8=40),Inputs!$F$189+Inputs!$F$190,0)</f>
        <v>0</v>
      </c>
      <c r="AR52" s="11" t="n">
        <f aca="false">IF(AND(Inputs!$F$34=2,Construction!AR8=40),Inputs!$F$189+Inputs!$F$190,0)</f>
        <v>0</v>
      </c>
      <c r="AS52" s="11" t="n">
        <f aca="false">IF(AND(Inputs!$F$34=2,Construction!AS8=40),Inputs!$F$189+Inputs!$F$190,0)</f>
        <v>0</v>
      </c>
      <c r="AT52" s="11" t="n">
        <f aca="false">IF(AND(Inputs!$F$34=2,Construction!AT8=40),Inputs!$F$189+Inputs!$F$190,0)</f>
        <v>0</v>
      </c>
      <c r="AU52" s="11" t="n">
        <f aca="false">IF(AND(Inputs!$F$34=2,Construction!AU8=40),Inputs!$F$189+Inputs!$F$190,0)</f>
        <v>0</v>
      </c>
      <c r="AV52" s="11" t="n">
        <f aca="false">IF(AND(Inputs!$F$34=2,Construction!AV8=40),Inputs!$F$189+Inputs!$F$190,0)</f>
        <v>0</v>
      </c>
      <c r="AW52" s="11" t="n">
        <f aca="false">IF(AND(Inputs!$F$34=2,Construction!AW8=40),Inputs!$F$189+Inputs!$F$190,0)</f>
        <v>17.2197</v>
      </c>
      <c r="AX52" s="11" t="n">
        <f aca="false">IF(AND(Inputs!$F$34=2,Construction!AX8=40),Inputs!$F$189+Inputs!$F$190,0)</f>
        <v>0</v>
      </c>
      <c r="AY52" s="11" t="n">
        <f aca="false">IF(AND(Inputs!$F$34=2,Construction!AY8=40),Inputs!$F$189+Inputs!$F$190,0)</f>
        <v>0</v>
      </c>
      <c r="AZ52" s="11" t="n">
        <f aca="false">IF(AND(Inputs!$F$34=2,Construction!AZ8=40),Inputs!$F$189+Inputs!$F$190,0)</f>
        <v>0</v>
      </c>
      <c r="BA52" s="11" t="n">
        <f aca="false">IF(AND(Inputs!$F$34=2,Construction!BA8=40),Inputs!$F$189+Inputs!$F$190,0)</f>
        <v>0</v>
      </c>
      <c r="BB52" s="11" t="n">
        <f aca="false">IF(AND(Inputs!$F$34=2,Construction!BB8=40),Inputs!$F$189+Inputs!$F$190,0)</f>
        <v>0</v>
      </c>
      <c r="BC52" s="11" t="n">
        <f aca="false">IF(AND(Inputs!$F$34=2,Construction!BC8=40),Inputs!$F$189+Inputs!$F$190,0)</f>
        <v>0</v>
      </c>
      <c r="BD52" s="11" t="n">
        <f aca="false">IF(AND(Inputs!$F$34=2,Construction!BD8=40),Inputs!$F$189+Inputs!$F$190,0)</f>
        <v>0</v>
      </c>
      <c r="BE52" s="11" t="n">
        <f aca="false">IF(AND(Inputs!$F$34=2,Construction!BE8=40),Inputs!$F$189+Inputs!$F$190,0)</f>
        <v>0</v>
      </c>
      <c r="BF52" s="11" t="n">
        <f aca="false">IF(AND(Inputs!$F$34=2,Construction!BF8=40),Inputs!$F$189+Inputs!$F$190,0)</f>
        <v>0</v>
      </c>
      <c r="BG52" s="11" t="n">
        <f aca="false">IF(AND(Inputs!$F$34=2,Construction!BG8=40),Inputs!$F$189+Inputs!$F$190,0)</f>
        <v>0</v>
      </c>
      <c r="BH52" s="11" t="n">
        <f aca="false">IF(AND(Inputs!$F$34=2,Construction!BH8=40),Inputs!$F$189+Inputs!$F$190,0)</f>
        <v>0</v>
      </c>
      <c r="BI52" s="11" t="n">
        <f aca="false">IF(AND(Inputs!$F$34=2,Construction!BI8=40),Inputs!$F$189+Inputs!$F$190,0)</f>
        <v>0</v>
      </c>
      <c r="BJ52" s="11" t="n">
        <f aca="false">IF(AND(Inputs!$F$34=2,Construction!BJ8=40),Inputs!$F$189+Inputs!$F$190,0)</f>
        <v>0</v>
      </c>
    </row>
    <row r="53" customFormat="false" ht="15" hidden="false" customHeight="false" outlineLevel="0" collapsed="false">
      <c r="D53" s="0" t="s">
        <v>611</v>
      </c>
      <c r="E53" s="0" t="s">
        <v>149</v>
      </c>
      <c r="G53" s="11" t="n">
        <f aca="false">SUM(J53:BJ53)</f>
        <v>0</v>
      </c>
      <c r="J53" s="11" t="n">
        <f aca="false">MIN(J51,0+J52)</f>
        <v>0</v>
      </c>
      <c r="K53" s="11" t="n">
        <f aca="false">MIN(K51,J54+K52)</f>
        <v>0</v>
      </c>
      <c r="L53" s="11" t="n">
        <f aca="false">MIN(L51,K54+L52)</f>
        <v>0</v>
      </c>
      <c r="M53" s="11" t="n">
        <f aca="false">MIN(M51,L54+M52)</f>
        <v>0</v>
      </c>
      <c r="N53" s="11" t="n">
        <f aca="false">MIN(N51,M54+N52)</f>
        <v>0</v>
      </c>
      <c r="O53" s="11" t="n">
        <f aca="false">MIN(O51,N54+O52)</f>
        <v>0</v>
      </c>
      <c r="P53" s="11" t="n">
        <f aca="false">MIN(P51,O54+P52)</f>
        <v>0</v>
      </c>
      <c r="Q53" s="11" t="n">
        <f aca="false">MIN(Q51,P54+Q52)</f>
        <v>0</v>
      </c>
      <c r="R53" s="11" t="n">
        <f aca="false">MIN(R51,Q54+R52)</f>
        <v>0</v>
      </c>
      <c r="S53" s="11" t="n">
        <f aca="false">MIN(S51,R54+S52)</f>
        <v>0</v>
      </c>
      <c r="T53" s="11" t="n">
        <f aca="false">MIN(T51,S54+T52)</f>
        <v>0</v>
      </c>
      <c r="U53" s="11" t="n">
        <f aca="false">MIN(U51,T54+U52)</f>
        <v>0</v>
      </c>
      <c r="V53" s="11" t="n">
        <f aca="false">MIN(V51,U54+V52)</f>
        <v>0</v>
      </c>
      <c r="W53" s="11" t="n">
        <f aca="false">MIN(W51,V54+W52)</f>
        <v>0</v>
      </c>
      <c r="X53" s="11" t="n">
        <f aca="false">MIN(X51,W54+X52)</f>
        <v>0</v>
      </c>
      <c r="Y53" s="11" t="n">
        <f aca="false">MIN(Y51,X54+Y52)</f>
        <v>0</v>
      </c>
      <c r="Z53" s="11" t="n">
        <f aca="false">MIN(Z51,Y54+Z52)</f>
        <v>0</v>
      </c>
      <c r="AA53" s="11" t="n">
        <f aca="false">MIN(AA51,Z54+AA52)</f>
        <v>0</v>
      </c>
      <c r="AB53" s="11" t="n">
        <f aca="false">MIN(AB51,AA54+AB52)</f>
        <v>0</v>
      </c>
      <c r="AC53" s="11" t="n">
        <f aca="false">MIN(AC51,AB54+AC52)</f>
        <v>0</v>
      </c>
      <c r="AD53" s="11" t="n">
        <f aca="false">MIN(AD51,AC54+AD52)</f>
        <v>0</v>
      </c>
      <c r="AE53" s="11" t="n">
        <f aca="false">MIN(AE51,AD54+AE52)</f>
        <v>0</v>
      </c>
      <c r="AF53" s="11" t="n">
        <f aca="false">MIN(AF51,AE54+AF52)</f>
        <v>0</v>
      </c>
      <c r="AG53" s="11" t="n">
        <f aca="false">MIN(AG51,AF54+AG52)</f>
        <v>0</v>
      </c>
      <c r="AH53" s="11" t="n">
        <f aca="false">MIN(AH51,AG54+AH52)</f>
        <v>0</v>
      </c>
      <c r="AI53" s="11" t="n">
        <f aca="false">MIN(AI51,AH54+AI52)</f>
        <v>0</v>
      </c>
      <c r="AJ53" s="11" t="n">
        <f aca="false">MIN(AJ51,AI54+AJ52)</f>
        <v>0</v>
      </c>
      <c r="AK53" s="11" t="n">
        <f aca="false">MIN(AK51,AJ54+AK52)</f>
        <v>0</v>
      </c>
      <c r="AL53" s="11" t="n">
        <f aca="false">MIN(AL51,AK54+AL52)</f>
        <v>0</v>
      </c>
      <c r="AM53" s="11" t="n">
        <f aca="false">MIN(AM51,AL54+AM52)</f>
        <v>0</v>
      </c>
      <c r="AN53" s="11" t="n">
        <f aca="false">MIN(AN51,AM54+AN52)</f>
        <v>0</v>
      </c>
      <c r="AO53" s="11" t="n">
        <f aca="false">MIN(AO51,AN54+AO52)</f>
        <v>0</v>
      </c>
      <c r="AP53" s="11" t="n">
        <f aca="false">MIN(AP51,AO54+AP52)</f>
        <v>0</v>
      </c>
      <c r="AQ53" s="11" t="n">
        <f aca="false">MIN(AQ51,AP54+AQ52)</f>
        <v>0</v>
      </c>
      <c r="AR53" s="11" t="n">
        <f aca="false">MIN(AR51,AQ54+AR52)</f>
        <v>0</v>
      </c>
      <c r="AS53" s="11" t="n">
        <f aca="false">MIN(AS51,AR54+AS52)</f>
        <v>0</v>
      </c>
      <c r="AT53" s="11" t="n">
        <f aca="false">MIN(AT51,AS54+AT52)</f>
        <v>0</v>
      </c>
      <c r="AU53" s="11" t="n">
        <f aca="false">MIN(AU51,AT54+AU52)</f>
        <v>0</v>
      </c>
      <c r="AV53" s="11" t="n">
        <f aca="false">MIN(AV51,AU54+AV52)</f>
        <v>0</v>
      </c>
      <c r="AW53" s="11" t="n">
        <f aca="false">MIN(AW51,AV54+AW52)</f>
        <v>0</v>
      </c>
      <c r="AX53" s="11" t="n">
        <f aca="false">MIN(AX51,AW54+AX52)</f>
        <v>0</v>
      </c>
      <c r="AY53" s="11" t="n">
        <f aca="false">MIN(AY51,AX54+AY52)</f>
        <v>0</v>
      </c>
      <c r="AZ53" s="11" t="n">
        <f aca="false">MIN(AZ51,AY54+AZ52)</f>
        <v>0</v>
      </c>
      <c r="BA53" s="11" t="n">
        <f aca="false">MIN(BA51,AZ54+BA52)</f>
        <v>0</v>
      </c>
      <c r="BB53" s="11" t="n">
        <f aca="false">MIN(BB51,BA54+BB52)</f>
        <v>0</v>
      </c>
      <c r="BC53" s="11" t="n">
        <f aca="false">MIN(BC51,BB54+BC52)</f>
        <v>0</v>
      </c>
      <c r="BD53" s="11" t="n">
        <f aca="false">MIN(BD51,BC54+BD52)</f>
        <v>0</v>
      </c>
      <c r="BE53" s="11" t="n">
        <f aca="false">MIN(BE51,BD54+BE52)</f>
        <v>0</v>
      </c>
      <c r="BF53" s="11" t="n">
        <f aca="false">MIN(BF51,BE54+BF52)</f>
        <v>0</v>
      </c>
      <c r="BG53" s="11" t="n">
        <f aca="false">MIN(BG51,BF54+BG52)</f>
        <v>0</v>
      </c>
      <c r="BH53" s="11" t="n">
        <f aca="false">MIN(BH51,BG54+BH52)</f>
        <v>0</v>
      </c>
      <c r="BI53" s="11" t="n">
        <f aca="false">MIN(BI51,BH54+BI52)</f>
        <v>0</v>
      </c>
      <c r="BJ53" s="11" t="n">
        <f aca="false">MIN(BJ51,BI54+BJ52)</f>
        <v>0</v>
      </c>
    </row>
    <row r="54" customFormat="false" ht="15" hidden="false" customHeight="false" outlineLevel="0" collapsed="false">
      <c r="D54" s="0" t="s">
        <v>612</v>
      </c>
      <c r="E54" s="0" t="s">
        <v>149</v>
      </c>
      <c r="J54" s="11" t="n">
        <f aca="false">0+J52-J53</f>
        <v>0</v>
      </c>
      <c r="K54" s="11" t="n">
        <f aca="false">J54+K52-K53</f>
        <v>0</v>
      </c>
      <c r="L54" s="11" t="n">
        <f aca="false">K54+L52-L53</f>
        <v>0</v>
      </c>
      <c r="M54" s="11" t="n">
        <f aca="false">L54+M52-M53</f>
        <v>0</v>
      </c>
      <c r="N54" s="11" t="n">
        <f aca="false">M54+N52-N53</f>
        <v>0</v>
      </c>
      <c r="O54" s="11" t="n">
        <f aca="false">N54+O52-O53</f>
        <v>0</v>
      </c>
      <c r="P54" s="11" t="n">
        <f aca="false">O54+P52-P53</f>
        <v>0</v>
      </c>
      <c r="Q54" s="11" t="n">
        <f aca="false">P54+Q52-Q53</f>
        <v>0</v>
      </c>
      <c r="R54" s="11" t="n">
        <f aca="false">Q54+R52-R53</f>
        <v>0</v>
      </c>
      <c r="S54" s="11" t="n">
        <f aca="false">R54+S52-S53</f>
        <v>0</v>
      </c>
      <c r="T54" s="11" t="n">
        <f aca="false">S54+T52-T53</f>
        <v>0</v>
      </c>
      <c r="U54" s="11" t="n">
        <f aca="false">T54+U52-U53</f>
        <v>0</v>
      </c>
      <c r="V54" s="11" t="n">
        <f aca="false">U54+V52-V53</f>
        <v>0</v>
      </c>
      <c r="W54" s="11" t="n">
        <f aca="false">V54+W52-W53</f>
        <v>0</v>
      </c>
      <c r="X54" s="11" t="n">
        <f aca="false">W54+X52-X53</f>
        <v>0</v>
      </c>
      <c r="Y54" s="11" t="n">
        <f aca="false">X54+Y52-Y53</f>
        <v>0</v>
      </c>
      <c r="Z54" s="11" t="n">
        <f aca="false">Y54+Z52-Z53</f>
        <v>0</v>
      </c>
      <c r="AA54" s="11" t="n">
        <f aca="false">Z54+AA52-AA53</f>
        <v>0</v>
      </c>
      <c r="AB54" s="11" t="n">
        <f aca="false">AA54+AB52-AB53</f>
        <v>0</v>
      </c>
      <c r="AC54" s="11" t="n">
        <f aca="false">AB54+AC52-AC53</f>
        <v>0</v>
      </c>
      <c r="AD54" s="11" t="n">
        <f aca="false">AC54+AD52-AD53</f>
        <v>0</v>
      </c>
      <c r="AE54" s="11" t="n">
        <f aca="false">AD54+AE52-AE53</f>
        <v>0</v>
      </c>
      <c r="AF54" s="11" t="n">
        <f aca="false">AE54+AF52-AF53</f>
        <v>0</v>
      </c>
      <c r="AG54" s="11" t="n">
        <f aca="false">AF54+AG52-AG53</f>
        <v>0</v>
      </c>
      <c r="AH54" s="11" t="n">
        <f aca="false">AG54+AH52-AH53</f>
        <v>0</v>
      </c>
      <c r="AI54" s="11" t="n">
        <f aca="false">AH54+AI52-AI53</f>
        <v>0</v>
      </c>
      <c r="AJ54" s="11" t="n">
        <f aca="false">AI54+AJ52-AJ53</f>
        <v>0</v>
      </c>
      <c r="AK54" s="11" t="n">
        <f aca="false">AJ54+AK52-AK53</f>
        <v>0</v>
      </c>
      <c r="AL54" s="11" t="n">
        <f aca="false">AK54+AL52-AL53</f>
        <v>0</v>
      </c>
      <c r="AM54" s="11" t="n">
        <f aca="false">AL54+AM52-AM53</f>
        <v>0</v>
      </c>
      <c r="AN54" s="11" t="n">
        <f aca="false">AM54+AN52-AN53</f>
        <v>0</v>
      </c>
      <c r="AO54" s="11" t="n">
        <f aca="false">AN54+AO52-AO53</f>
        <v>0</v>
      </c>
      <c r="AP54" s="11" t="n">
        <f aca="false">AO54+AP52-AP53</f>
        <v>0</v>
      </c>
      <c r="AQ54" s="11" t="n">
        <f aca="false">AP54+AQ52-AQ53</f>
        <v>0</v>
      </c>
      <c r="AR54" s="11" t="n">
        <f aca="false">AQ54+AR52-AR53</f>
        <v>0</v>
      </c>
      <c r="AS54" s="11" t="n">
        <f aca="false">AR54+AS52-AS53</f>
        <v>0</v>
      </c>
      <c r="AT54" s="11" t="n">
        <f aca="false">AS54+AT52-AT53</f>
        <v>0</v>
      </c>
      <c r="AU54" s="11" t="n">
        <f aca="false">AT54+AU52-AU53</f>
        <v>0</v>
      </c>
      <c r="AV54" s="11" t="n">
        <f aca="false">AU54+AV52-AV53</f>
        <v>0</v>
      </c>
      <c r="AW54" s="11" t="n">
        <f aca="false">AV54+AW52-AW53</f>
        <v>17.2197</v>
      </c>
      <c r="AX54" s="11" t="n">
        <f aca="false">AW54+AX52-AX53</f>
        <v>17.2197</v>
      </c>
      <c r="AY54" s="11" t="n">
        <f aca="false">AX54+AY52-AY53</f>
        <v>17.2197</v>
      </c>
      <c r="AZ54" s="11" t="n">
        <f aca="false">AY54+AZ52-AZ53</f>
        <v>17.2197</v>
      </c>
      <c r="BA54" s="11" t="n">
        <f aca="false">AZ54+BA52-BA53</f>
        <v>17.2197</v>
      </c>
      <c r="BB54" s="11" t="n">
        <f aca="false">BA54+BB52-BB53</f>
        <v>17.2197</v>
      </c>
      <c r="BC54" s="11" t="n">
        <f aca="false">BB54+BC52-BC53</f>
        <v>17.2197</v>
      </c>
      <c r="BD54" s="11" t="n">
        <f aca="false">BC54+BD52-BD53</f>
        <v>17.2197</v>
      </c>
      <c r="BE54" s="11" t="n">
        <f aca="false">BD54+BE52-BE53</f>
        <v>17.2197</v>
      </c>
      <c r="BF54" s="11" t="n">
        <f aca="false">BE54+BF52-BF53</f>
        <v>17.2197</v>
      </c>
      <c r="BG54" s="11" t="n">
        <f aca="false">BF54+BG52-BG53</f>
        <v>17.2197</v>
      </c>
      <c r="BH54" s="11" t="n">
        <f aca="false">BG54+BH52-BH53</f>
        <v>17.2197</v>
      </c>
      <c r="BI54" s="11" t="n">
        <f aca="false">BH54+BI52-BI53</f>
        <v>17.2197</v>
      </c>
      <c r="BJ54" s="11" t="n">
        <f aca="false">BI54+BJ52-BJ53</f>
        <v>17.2197</v>
      </c>
    </row>
    <row r="55" customFormat="false" ht="15" hidden="false" customHeight="false" outlineLevel="0" collapsed="false">
      <c r="D55" s="0" t="s">
        <v>613</v>
      </c>
      <c r="E55" s="0" t="s">
        <v>149</v>
      </c>
      <c r="G55" s="11" t="n">
        <f aca="false">SUM(J55:BJ55)</f>
        <v>0</v>
      </c>
      <c r="J55" s="11" t="n">
        <f aca="false">0.75*(J51-J53)</f>
        <v>0</v>
      </c>
      <c r="K55" s="11" t="n">
        <f aca="false">0.75*(K51-K53)</f>
        <v>0</v>
      </c>
      <c r="L55" s="11" t="n">
        <f aca="false">0.75*(L51-L53)</f>
        <v>0</v>
      </c>
      <c r="M55" s="11" t="n">
        <f aca="false">0.75*(M51-M53)</f>
        <v>0</v>
      </c>
      <c r="N55" s="11" t="n">
        <f aca="false">0.75*(N51-N53)</f>
        <v>0</v>
      </c>
      <c r="O55" s="11" t="n">
        <f aca="false">0.75*(O51-O53)</f>
        <v>0</v>
      </c>
      <c r="P55" s="11" t="n">
        <f aca="false">0.75*(P51-P53)</f>
        <v>0</v>
      </c>
      <c r="Q55" s="11" t="n">
        <f aca="false">0.75*(Q51-Q53)</f>
        <v>0</v>
      </c>
      <c r="R55" s="11" t="n">
        <f aca="false">0.75*(R51-R53)</f>
        <v>0</v>
      </c>
      <c r="S55" s="11" t="n">
        <f aca="false">0.75*(S51-S53)</f>
        <v>0</v>
      </c>
      <c r="T55" s="11" t="n">
        <f aca="false">0.75*(T51-T53)</f>
        <v>0</v>
      </c>
      <c r="U55" s="11" t="n">
        <f aca="false">0.75*(U51-U53)</f>
        <v>0</v>
      </c>
      <c r="V55" s="11" t="n">
        <f aca="false">0.75*(V51-V53)</f>
        <v>0</v>
      </c>
      <c r="W55" s="11" t="n">
        <f aca="false">0.75*(W51-W53)</f>
        <v>0</v>
      </c>
      <c r="X55" s="11" t="n">
        <f aca="false">0.75*(X51-X53)</f>
        <v>0</v>
      </c>
      <c r="Y55" s="11" t="n">
        <f aca="false">0.75*(Y51-Y53)</f>
        <v>0</v>
      </c>
      <c r="Z55" s="11" t="n">
        <f aca="false">0.75*(Z51-Z53)</f>
        <v>0</v>
      </c>
      <c r="AA55" s="11" t="n">
        <f aca="false">0.75*(AA51-AA53)</f>
        <v>0</v>
      </c>
      <c r="AB55" s="11" t="n">
        <f aca="false">0.75*(AB51-AB53)</f>
        <v>0</v>
      </c>
      <c r="AC55" s="11" t="n">
        <f aca="false">0.75*(AC51-AC53)</f>
        <v>0</v>
      </c>
      <c r="AD55" s="11" t="n">
        <f aca="false">0.75*(AD51-AD53)</f>
        <v>0</v>
      </c>
      <c r="AE55" s="11" t="n">
        <f aca="false">0.75*(AE51-AE53)</f>
        <v>0</v>
      </c>
      <c r="AF55" s="11" t="n">
        <f aca="false">0.75*(AF51-AF53)</f>
        <v>0</v>
      </c>
      <c r="AG55" s="11" t="n">
        <f aca="false">0.75*(AG51-AG53)</f>
        <v>0</v>
      </c>
      <c r="AH55" s="11" t="n">
        <f aca="false">0.75*(AH51-AH53)</f>
        <v>0</v>
      </c>
      <c r="AI55" s="11" t="n">
        <f aca="false">0.75*(AI51-AI53)</f>
        <v>0</v>
      </c>
      <c r="AJ55" s="11" t="n">
        <f aca="false">0.75*(AJ51-AJ53)</f>
        <v>0</v>
      </c>
      <c r="AK55" s="11" t="n">
        <f aca="false">0.75*(AK51-AK53)</f>
        <v>0</v>
      </c>
      <c r="AL55" s="11" t="n">
        <f aca="false">0.75*(AL51-AL53)</f>
        <v>0</v>
      </c>
      <c r="AM55" s="11" t="n">
        <f aca="false">0.75*(AM51-AM53)</f>
        <v>0</v>
      </c>
      <c r="AN55" s="11" t="n">
        <f aca="false">0.75*(AN51-AN53)</f>
        <v>0</v>
      </c>
      <c r="AO55" s="11" t="n">
        <f aca="false">0.75*(AO51-AO53)</f>
        <v>0</v>
      </c>
      <c r="AP55" s="11" t="n">
        <f aca="false">0.75*(AP51-AP53)</f>
        <v>0</v>
      </c>
      <c r="AQ55" s="11" t="n">
        <f aca="false">0.75*(AQ51-AQ53)</f>
        <v>0</v>
      </c>
      <c r="AR55" s="11" t="n">
        <f aca="false">0.75*(AR51-AR53)</f>
        <v>0</v>
      </c>
      <c r="AS55" s="11" t="n">
        <f aca="false">0.75*(AS51-AS53)</f>
        <v>0</v>
      </c>
      <c r="AT55" s="11" t="n">
        <f aca="false">0.75*(AT51-AT53)</f>
        <v>0</v>
      </c>
      <c r="AU55" s="11" t="n">
        <f aca="false">0.75*(AU51-AU53)</f>
        <v>0</v>
      </c>
      <c r="AV55" s="11" t="n">
        <f aca="false">0.75*(AV51-AV53)</f>
        <v>0</v>
      </c>
      <c r="AW55" s="11" t="n">
        <f aca="false">0.75*(AW51-AW53)</f>
        <v>0</v>
      </c>
      <c r="AX55" s="11" t="n">
        <f aca="false">0.75*(AX51-AX53)</f>
        <v>0</v>
      </c>
      <c r="AY55" s="11" t="n">
        <f aca="false">0.75*(AY51-AY53)</f>
        <v>0</v>
      </c>
      <c r="AZ55" s="11" t="n">
        <f aca="false">0.75*(AZ51-AZ53)</f>
        <v>0</v>
      </c>
      <c r="BA55" s="11" t="n">
        <f aca="false">0.75*(BA51-BA53)</f>
        <v>0</v>
      </c>
      <c r="BB55" s="11" t="n">
        <f aca="false">0.75*(BB51-BB53)</f>
        <v>0</v>
      </c>
      <c r="BC55" s="11" t="n">
        <f aca="false">0.75*(BC51-BC53)</f>
        <v>0</v>
      </c>
      <c r="BD55" s="11" t="n">
        <f aca="false">0.75*(BD51-BD53)</f>
        <v>0</v>
      </c>
      <c r="BE55" s="11" t="n">
        <f aca="false">0.75*(BE51-BE53)</f>
        <v>0</v>
      </c>
      <c r="BF55" s="11" t="n">
        <f aca="false">0.75*(BF51-BF53)</f>
        <v>0</v>
      </c>
      <c r="BG55" s="11" t="n">
        <f aca="false">0.75*(BG51-BG53)</f>
        <v>0</v>
      </c>
      <c r="BH55" s="11" t="n">
        <f aca="false">0.75*(BH51-BH53)</f>
        <v>0</v>
      </c>
      <c r="BI55" s="11" t="n">
        <f aca="false">0.75*(BI51-BI53)</f>
        <v>0</v>
      </c>
      <c r="BJ55" s="11" t="n">
        <f aca="false">0.75*(BJ51-BJ53)</f>
        <v>0</v>
      </c>
    </row>
    <row r="56" customFormat="false" ht="15" hidden="false" customHeight="false" outlineLevel="0" collapsed="false">
      <c r="D56" s="0" t="s">
        <v>614</v>
      </c>
      <c r="E56" s="0" t="s">
        <v>149</v>
      </c>
      <c r="G56" s="11" t="n">
        <f aca="false">SUM(J56:BJ56)</f>
        <v>0</v>
      </c>
      <c r="J56" s="11" t="n">
        <f aca="false">0.25*(J51-J53)</f>
        <v>0</v>
      </c>
      <c r="K56" s="11" t="n">
        <f aca="false">0.25*(K51-K53)</f>
        <v>0</v>
      </c>
      <c r="L56" s="11" t="n">
        <f aca="false">0.25*(L51-L53)</f>
        <v>0</v>
      </c>
      <c r="M56" s="11" t="n">
        <f aca="false">0.25*(M51-M53)</f>
        <v>0</v>
      </c>
      <c r="N56" s="11" t="n">
        <f aca="false">0.25*(N51-N53)</f>
        <v>0</v>
      </c>
      <c r="O56" s="11" t="n">
        <f aca="false">0.25*(O51-O53)</f>
        <v>0</v>
      </c>
      <c r="P56" s="11" t="n">
        <f aca="false">0.25*(P51-P53)</f>
        <v>0</v>
      </c>
      <c r="Q56" s="11" t="n">
        <f aca="false">0.25*(Q51-Q53)</f>
        <v>0</v>
      </c>
      <c r="R56" s="11" t="n">
        <f aca="false">0.25*(R51-R53)</f>
        <v>0</v>
      </c>
      <c r="S56" s="11" t="n">
        <f aca="false">0.25*(S51-S53)</f>
        <v>0</v>
      </c>
      <c r="T56" s="11" t="n">
        <f aca="false">0.25*(T51-T53)</f>
        <v>0</v>
      </c>
      <c r="U56" s="11" t="n">
        <f aca="false">0.25*(U51-U53)</f>
        <v>0</v>
      </c>
      <c r="V56" s="11" t="n">
        <f aca="false">0.25*(V51-V53)</f>
        <v>0</v>
      </c>
      <c r="W56" s="11" t="n">
        <f aca="false">0.25*(W51-W53)</f>
        <v>0</v>
      </c>
      <c r="X56" s="11" t="n">
        <f aca="false">0.25*(X51-X53)</f>
        <v>0</v>
      </c>
      <c r="Y56" s="11" t="n">
        <f aca="false">0.25*(Y51-Y53)</f>
        <v>0</v>
      </c>
      <c r="Z56" s="11" t="n">
        <f aca="false">0.25*(Z51-Z53)</f>
        <v>0</v>
      </c>
      <c r="AA56" s="11" t="n">
        <f aca="false">0.25*(AA51-AA53)</f>
        <v>0</v>
      </c>
      <c r="AB56" s="11" t="n">
        <f aca="false">0.25*(AB51-AB53)</f>
        <v>0</v>
      </c>
      <c r="AC56" s="11" t="n">
        <f aca="false">0.25*(AC51-AC53)</f>
        <v>0</v>
      </c>
      <c r="AD56" s="11" t="n">
        <f aca="false">0.25*(AD51-AD53)</f>
        <v>0</v>
      </c>
      <c r="AE56" s="11" t="n">
        <f aca="false">0.25*(AE51-AE53)</f>
        <v>0</v>
      </c>
      <c r="AF56" s="11" t="n">
        <f aca="false">0.25*(AF51-AF53)</f>
        <v>0</v>
      </c>
      <c r="AG56" s="11" t="n">
        <f aca="false">0.25*(AG51-AG53)</f>
        <v>0</v>
      </c>
      <c r="AH56" s="11" t="n">
        <f aca="false">0.25*(AH51-AH53)</f>
        <v>0</v>
      </c>
      <c r="AI56" s="11" t="n">
        <f aca="false">0.25*(AI51-AI53)</f>
        <v>0</v>
      </c>
      <c r="AJ56" s="11" t="n">
        <f aca="false">0.25*(AJ51-AJ53)</f>
        <v>0</v>
      </c>
      <c r="AK56" s="11" t="n">
        <f aca="false">0.25*(AK51-AK53)</f>
        <v>0</v>
      </c>
      <c r="AL56" s="11" t="n">
        <f aca="false">0.25*(AL51-AL53)</f>
        <v>0</v>
      </c>
      <c r="AM56" s="11" t="n">
        <f aca="false">0.25*(AM51-AM53)</f>
        <v>0</v>
      </c>
      <c r="AN56" s="11" t="n">
        <f aca="false">0.25*(AN51-AN53)</f>
        <v>0</v>
      </c>
      <c r="AO56" s="11" t="n">
        <f aca="false">0.25*(AO51-AO53)</f>
        <v>0</v>
      </c>
      <c r="AP56" s="11" t="n">
        <f aca="false">0.25*(AP51-AP53)</f>
        <v>0</v>
      </c>
      <c r="AQ56" s="11" t="n">
        <f aca="false">0.25*(AQ51-AQ53)</f>
        <v>0</v>
      </c>
      <c r="AR56" s="11" t="n">
        <f aca="false">0.25*(AR51-AR53)</f>
        <v>0</v>
      </c>
      <c r="AS56" s="11" t="n">
        <f aca="false">0.25*(AS51-AS53)</f>
        <v>0</v>
      </c>
      <c r="AT56" s="11" t="n">
        <f aca="false">0.25*(AT51-AT53)</f>
        <v>0</v>
      </c>
      <c r="AU56" s="11" t="n">
        <f aca="false">0.25*(AU51-AU53)</f>
        <v>0</v>
      </c>
      <c r="AV56" s="11" t="n">
        <f aca="false">0.25*(AV51-AV53)</f>
        <v>0</v>
      </c>
      <c r="AW56" s="11" t="n">
        <f aca="false">0.25*(AW51-AW53)</f>
        <v>0</v>
      </c>
      <c r="AX56" s="11" t="n">
        <f aca="false">0.25*(AX51-AX53)</f>
        <v>0</v>
      </c>
      <c r="AY56" s="11" t="n">
        <f aca="false">0.25*(AY51-AY53)</f>
        <v>0</v>
      </c>
      <c r="AZ56" s="11" t="n">
        <f aca="false">0.25*(AZ51-AZ53)</f>
        <v>0</v>
      </c>
      <c r="BA56" s="11" t="n">
        <f aca="false">0.25*(BA51-BA53)</f>
        <v>0</v>
      </c>
      <c r="BB56" s="11" t="n">
        <f aca="false">0.25*(BB51-BB53)</f>
        <v>0</v>
      </c>
      <c r="BC56" s="11" t="n">
        <f aca="false">0.25*(BC51-BC53)</f>
        <v>0</v>
      </c>
      <c r="BD56" s="11" t="n">
        <f aca="false">0.25*(BD51-BD53)</f>
        <v>0</v>
      </c>
      <c r="BE56" s="11" t="n">
        <f aca="false">0.25*(BE51-BE53)</f>
        <v>0</v>
      </c>
      <c r="BF56" s="11" t="n">
        <f aca="false">0.25*(BF51-BF53)</f>
        <v>0</v>
      </c>
      <c r="BG56" s="11" t="n">
        <f aca="false">0.25*(BG51-BG53)</f>
        <v>0</v>
      </c>
      <c r="BH56" s="11" t="n">
        <f aca="false">0.25*(BH51-BH53)</f>
        <v>0</v>
      </c>
      <c r="BI56" s="11" t="n">
        <f aca="false">0.25*(BI51-BI53)</f>
        <v>0</v>
      </c>
      <c r="BJ56" s="11" t="n">
        <f aca="false">0.25*(BJ51-BJ53)</f>
        <v>0</v>
      </c>
    </row>
    <row r="57" customFormat="false" ht="15" hidden="false" customHeight="false" outlineLevel="0" collapsed="false">
      <c r="D57" s="0" t="s">
        <v>615</v>
      </c>
      <c r="E57" s="0" t="s">
        <v>149</v>
      </c>
      <c r="G57" s="11" t="n">
        <f aca="false">SUM(J57:BJ57)</f>
        <v>188.074786732838</v>
      </c>
      <c r="J57" s="11" t="n">
        <f aca="false">Inputs!$F$75*J47</f>
        <v>26.9957049563564</v>
      </c>
      <c r="K57" s="11" t="n">
        <f aca="false">Inputs!$F$75*K47</f>
        <v>0.54975751127619</v>
      </c>
      <c r="L57" s="11" t="n">
        <f aca="false">Inputs!$F$75*L47</f>
        <v>0.657554566101412</v>
      </c>
      <c r="M57" s="11" t="n">
        <f aca="false">Inputs!$F$75*M47</f>
        <v>0.837764699681133</v>
      </c>
      <c r="N57" s="11" t="n">
        <f aca="false">Inputs!$F$75*N47</f>
        <v>1.10086346297086</v>
      </c>
      <c r="O57" s="11" t="n">
        <f aca="false">Inputs!$F$75*O47</f>
        <v>1.4122332119529</v>
      </c>
      <c r="P57" s="11" t="n">
        <f aca="false">Inputs!$F$75*P47</f>
        <v>1.74784209344313</v>
      </c>
      <c r="Q57" s="11" t="n">
        <f aca="false">Inputs!$F$75*Q47</f>
        <v>2.15363251180896</v>
      </c>
      <c r="R57" s="11" t="n">
        <f aca="false">Inputs!$F$75*R47</f>
        <v>2.55276100995811</v>
      </c>
      <c r="S57" s="11" t="n">
        <f aca="false">Inputs!$F$75*S47</f>
        <v>2.97439713857237</v>
      </c>
      <c r="T57" s="11" t="n">
        <f aca="false">Inputs!$F$75*T47</f>
        <v>3.37728879259901</v>
      </c>
      <c r="U57" s="11" t="n">
        <f aca="false">Inputs!$F$75*U47</f>
        <v>3.77688287641719</v>
      </c>
      <c r="V57" s="11" t="n">
        <f aca="false">Inputs!$F$75*V47</f>
        <v>4.16280680701686</v>
      </c>
      <c r="W57" s="11" t="n">
        <f aca="false">Inputs!$F$75*W47</f>
        <v>4.51606030151682</v>
      </c>
      <c r="X57" s="11" t="n">
        <f aca="false">Inputs!$F$75*X47</f>
        <v>4.85262612928664</v>
      </c>
      <c r="Y57" s="11" t="n">
        <f aca="false">Inputs!$F$75*Y47</f>
        <v>5.13639832647046</v>
      </c>
      <c r="Z57" s="11" t="n">
        <f aca="false">Inputs!$F$75*Z47</f>
        <v>5.3940927247714</v>
      </c>
      <c r="AA57" s="11" t="n">
        <f aca="false">Inputs!$F$75*AA47</f>
        <v>5.84021616162431</v>
      </c>
      <c r="AB57" s="11" t="n">
        <f aca="false">Inputs!$F$75*AB47</f>
        <v>5.71674033689658</v>
      </c>
      <c r="AC57" s="11" t="n">
        <f aca="false">Inputs!$F$75*AC47</f>
        <v>5.83658478489575</v>
      </c>
      <c r="AD57" s="11" t="n">
        <f aca="false">Inputs!$F$75*AD47</f>
        <v>5.95354283800798</v>
      </c>
      <c r="AE57" s="11" t="n">
        <f aca="false">Inputs!$F$75*AE47</f>
        <v>5.95904141589349</v>
      </c>
      <c r="AF57" s="11" t="n">
        <f aca="false">Inputs!$F$75*AF47</f>
        <v>5.8906504480765</v>
      </c>
      <c r="AG57" s="11" t="n">
        <f aca="false">Inputs!$F$75*AG47</f>
        <v>5.77363324074287</v>
      </c>
      <c r="AH57" s="11" t="n">
        <f aca="false">Inputs!$F$75*AH47</f>
        <v>5.61170000116579</v>
      </c>
      <c r="AI57" s="11" t="n">
        <f aca="false">Inputs!$F$75*AI47</f>
        <v>5.39031232716231</v>
      </c>
      <c r="AJ57" s="11" t="n">
        <f aca="false">Inputs!$F$75*AJ47</f>
        <v>5.50414147575734</v>
      </c>
      <c r="AK57" s="11" t="n">
        <f aca="false">Inputs!$F$75*AK47</f>
        <v>5.19883095048674</v>
      </c>
      <c r="AL57" s="11" t="n">
        <f aca="false">Inputs!$F$75*AL47</f>
        <v>4.88320329854659</v>
      </c>
      <c r="AM57" s="11" t="n">
        <f aca="false">Inputs!$F$75*AM47</f>
        <v>4.63780441536099</v>
      </c>
      <c r="AN57" s="11" t="n">
        <f aca="false">Inputs!$F$75*AN47</f>
        <v>4.22458406278367</v>
      </c>
      <c r="AO57" s="11" t="n">
        <f aca="false">Inputs!$F$75*AO47</f>
        <v>3.87532754256522</v>
      </c>
      <c r="AP57" s="11" t="n">
        <f aca="false">Inputs!$F$75*AP47</f>
        <v>3.03643111497756</v>
      </c>
      <c r="AQ57" s="11" t="n">
        <f aca="false">Inputs!$F$75*AQ47</f>
        <v>2.96646534852965</v>
      </c>
      <c r="AR57" s="11" t="n">
        <f aca="false">Inputs!$F$75*AR47</f>
        <v>2.27295623236067</v>
      </c>
      <c r="AS57" s="11" t="n">
        <f aca="false">Inputs!$F$75*AS47</f>
        <v>1.77886112300466</v>
      </c>
      <c r="AT57" s="11" t="n">
        <f aca="false">Inputs!$F$75*AT47</f>
        <v>1.25064024372402</v>
      </c>
      <c r="AU57" s="11" t="n">
        <f aca="false">Inputs!$F$75*AU47</f>
        <v>1.59025376869701</v>
      </c>
      <c r="AV57" s="11" t="n">
        <f aca="false">Inputs!$F$75*AV47</f>
        <v>0.980875434991627</v>
      </c>
      <c r="AW57" s="11" t="n">
        <f aca="false">Inputs!$F$75*AW47</f>
        <v>13.5256623861355</v>
      </c>
      <c r="AX57" s="11" t="n">
        <f aca="false">Inputs!$F$75*AX47</f>
        <v>8.17766066025157</v>
      </c>
      <c r="AY57" s="11" t="n">
        <f aca="false">Inputs!$F$75*AY47</f>
        <v>0</v>
      </c>
      <c r="AZ57" s="11" t="n">
        <f aca="false">Inputs!$F$75*AZ47</f>
        <v>0</v>
      </c>
      <c r="BA57" s="11" t="n">
        <f aca="false">Inputs!$F$75*BA47</f>
        <v>0</v>
      </c>
      <c r="BB57" s="11" t="n">
        <f aca="false">Inputs!$F$75*BB47</f>
        <v>0</v>
      </c>
      <c r="BC57" s="11" t="n">
        <f aca="false">Inputs!$F$75*BC47</f>
        <v>0</v>
      </c>
      <c r="BD57" s="11" t="n">
        <f aca="false">Inputs!$F$75*BD47</f>
        <v>0</v>
      </c>
      <c r="BE57" s="11" t="n">
        <f aca="false">Inputs!$F$75*BE47</f>
        <v>0</v>
      </c>
      <c r="BF57" s="11" t="n">
        <f aca="false">Inputs!$F$75*BF47</f>
        <v>0</v>
      </c>
      <c r="BG57" s="11" t="n">
        <f aca="false">Inputs!$F$75*BG47</f>
        <v>0</v>
      </c>
      <c r="BH57" s="11" t="n">
        <f aca="false">Inputs!$F$75*BH47</f>
        <v>0</v>
      </c>
      <c r="BI57" s="11" t="n">
        <f aca="false">Inputs!$F$75*BI47</f>
        <v>0</v>
      </c>
      <c r="BJ57" s="11" t="n">
        <f aca="false">Inputs!$F$75*BJ47</f>
        <v>0</v>
      </c>
    </row>
    <row r="58" customFormat="false" ht="15" hidden="false" customHeight="false" outlineLevel="0" collapsed="false">
      <c r="D58" s="0" t="s">
        <v>616</v>
      </c>
      <c r="E58" s="0" t="s">
        <v>149</v>
      </c>
      <c r="G58" s="11" t="n">
        <f aca="false">SUM(J58:BJ58)</f>
        <v>137.921510270748</v>
      </c>
      <c r="J58" s="11" t="n">
        <f aca="false">Inputs!$F$76*J47</f>
        <v>19.7968503013281</v>
      </c>
      <c r="K58" s="11" t="n">
        <f aca="false">Inputs!$F$76*K47</f>
        <v>0.403155508269206</v>
      </c>
      <c r="L58" s="11" t="n">
        <f aca="false">Inputs!$F$76*L47</f>
        <v>0.482206681807702</v>
      </c>
      <c r="M58" s="11" t="n">
        <f aca="false">Inputs!$F$76*M47</f>
        <v>0.614360779766164</v>
      </c>
      <c r="N58" s="11" t="n">
        <f aca="false">Inputs!$F$76*N47</f>
        <v>0.807299872845295</v>
      </c>
      <c r="O58" s="11" t="n">
        <f aca="false">Inputs!$F$76*O47</f>
        <v>1.03563768876546</v>
      </c>
      <c r="P58" s="11" t="n">
        <f aca="false">Inputs!$F$76*P47</f>
        <v>1.28175086852496</v>
      </c>
      <c r="Q58" s="11" t="n">
        <f aca="false">Inputs!$F$76*Q47</f>
        <v>1.5793305086599</v>
      </c>
      <c r="R58" s="11" t="n">
        <f aca="false">Inputs!$F$76*R47</f>
        <v>1.87202474063595</v>
      </c>
      <c r="S58" s="11" t="n">
        <f aca="false">Inputs!$F$76*S47</f>
        <v>2.1812245682864</v>
      </c>
      <c r="T58" s="11" t="n">
        <f aca="false">Inputs!$F$76*T47</f>
        <v>2.47667844790594</v>
      </c>
      <c r="U58" s="11" t="n">
        <f aca="false">Inputs!$F$76*U47</f>
        <v>2.7697141093726</v>
      </c>
      <c r="V58" s="11" t="n">
        <f aca="false">Inputs!$F$76*V47</f>
        <v>3.05272499181236</v>
      </c>
      <c r="W58" s="11" t="n">
        <f aca="false">Inputs!$F$76*W47</f>
        <v>3.31177755444567</v>
      </c>
      <c r="X58" s="11" t="n">
        <f aca="false">Inputs!$F$76*X47</f>
        <v>3.5585924948102</v>
      </c>
      <c r="Y58" s="11" t="n">
        <f aca="false">Inputs!$F$76*Y47</f>
        <v>3.76669210607834</v>
      </c>
      <c r="Z58" s="11" t="n">
        <f aca="false">Inputs!$F$76*Z47</f>
        <v>3.95566799816569</v>
      </c>
      <c r="AA58" s="11" t="n">
        <f aca="false">Inputs!$F$76*AA47</f>
        <v>4.28282518519116</v>
      </c>
      <c r="AB58" s="11" t="n">
        <f aca="false">Inputs!$F$76*AB47</f>
        <v>4.1922762470575</v>
      </c>
      <c r="AC58" s="11" t="n">
        <f aca="false">Inputs!$F$76*AC47</f>
        <v>4.28016217559022</v>
      </c>
      <c r="AD58" s="11" t="n">
        <f aca="false">Inputs!$F$76*AD47</f>
        <v>4.36593141453919</v>
      </c>
      <c r="AE58" s="11" t="n">
        <f aca="false">Inputs!$F$76*AE47</f>
        <v>4.36996370498856</v>
      </c>
      <c r="AF58" s="11" t="n">
        <f aca="false">Inputs!$F$76*AF47</f>
        <v>4.31981032858943</v>
      </c>
      <c r="AG58" s="11" t="n">
        <f aca="false">Inputs!$F$76*AG47</f>
        <v>4.23399770987811</v>
      </c>
      <c r="AH58" s="11" t="n">
        <f aca="false">Inputs!$F$76*AH47</f>
        <v>4.11524666752158</v>
      </c>
      <c r="AI58" s="11" t="n">
        <f aca="false">Inputs!$F$76*AI47</f>
        <v>3.95289570658569</v>
      </c>
      <c r="AJ58" s="11" t="n">
        <f aca="false">Inputs!$F$76*AJ47</f>
        <v>4.03637041555538</v>
      </c>
      <c r="AK58" s="11" t="n">
        <f aca="false">Inputs!$F$76*AK47</f>
        <v>3.81247603035694</v>
      </c>
      <c r="AL58" s="11" t="n">
        <f aca="false">Inputs!$F$76*AL47</f>
        <v>3.5810157522675</v>
      </c>
      <c r="AM58" s="11" t="n">
        <f aca="false">Inputs!$F$76*AM47</f>
        <v>3.40105657126472</v>
      </c>
      <c r="AN58" s="11" t="n">
        <f aca="false">Inputs!$F$76*AN47</f>
        <v>3.09802831270803</v>
      </c>
      <c r="AO58" s="11" t="n">
        <f aca="false">Inputs!$F$76*AO47</f>
        <v>2.84190686454783</v>
      </c>
      <c r="AP58" s="11" t="n">
        <f aca="false">Inputs!$F$76*AP47</f>
        <v>2.22671615098354</v>
      </c>
      <c r="AQ58" s="11" t="n">
        <f aca="false">Inputs!$F$76*AQ47</f>
        <v>2.17540792225508</v>
      </c>
      <c r="AR58" s="11" t="n">
        <f aca="false">Inputs!$F$76*AR47</f>
        <v>1.66683457039782</v>
      </c>
      <c r="AS58" s="11" t="n">
        <f aca="false">Inputs!$F$76*AS47</f>
        <v>1.30449815687008</v>
      </c>
      <c r="AT58" s="11" t="n">
        <f aca="false">Inputs!$F$76*AT47</f>
        <v>0.917136178730948</v>
      </c>
      <c r="AU58" s="11" t="n">
        <f aca="false">Inputs!$F$76*AU47</f>
        <v>1.16618609704447</v>
      </c>
      <c r="AV58" s="11" t="n">
        <f aca="false">Inputs!$F$76*AV47</f>
        <v>0.719308652327193</v>
      </c>
      <c r="AW58" s="11" t="n">
        <f aca="false">Inputs!$F$76*AW47</f>
        <v>9.91881908316606</v>
      </c>
      <c r="AX58" s="11" t="n">
        <f aca="false">Inputs!$F$76*AX47</f>
        <v>5.99695115085115</v>
      </c>
      <c r="AY58" s="11" t="n">
        <f aca="false">Inputs!$F$76*AY47</f>
        <v>0</v>
      </c>
      <c r="AZ58" s="11" t="n">
        <f aca="false">Inputs!$F$76*AZ47</f>
        <v>0</v>
      </c>
      <c r="BA58" s="11" t="n">
        <f aca="false">Inputs!$F$76*BA47</f>
        <v>0</v>
      </c>
      <c r="BB58" s="11" t="n">
        <f aca="false">Inputs!$F$76*BB47</f>
        <v>0</v>
      </c>
      <c r="BC58" s="11" t="n">
        <f aca="false">Inputs!$F$76*BC47</f>
        <v>0</v>
      </c>
      <c r="BD58" s="11" t="n">
        <f aca="false">Inputs!$F$76*BD47</f>
        <v>0</v>
      </c>
      <c r="BE58" s="11" t="n">
        <f aca="false">Inputs!$F$76*BE47</f>
        <v>0</v>
      </c>
      <c r="BF58" s="11" t="n">
        <f aca="false">Inputs!$F$76*BF47</f>
        <v>0</v>
      </c>
      <c r="BG58" s="11" t="n">
        <f aca="false">Inputs!$F$76*BG47</f>
        <v>0</v>
      </c>
      <c r="BH58" s="11" t="n">
        <f aca="false">Inputs!$F$76*BH47</f>
        <v>0</v>
      </c>
      <c r="BI58" s="11" t="n">
        <f aca="false">Inputs!$F$76*BI47</f>
        <v>0</v>
      </c>
      <c r="BJ58" s="11" t="n">
        <f aca="false">Inputs!$F$76*BJ47</f>
        <v>0</v>
      </c>
    </row>
    <row r="59" customFormat="false" ht="15" hidden="false" customHeight="false" outlineLevel="0" collapsed="false">
      <c r="D59" s="0" t="s">
        <v>617</v>
      </c>
      <c r="E59" s="0" t="s">
        <v>149</v>
      </c>
      <c r="G59" s="11" t="n">
        <f aca="false">SUM(J59:BJ59)</f>
        <v>62.6915955776128</v>
      </c>
      <c r="J59" s="11" t="n">
        <f aca="false">Inputs!$F$77*J47</f>
        <v>8.99856831878548</v>
      </c>
      <c r="K59" s="11" t="n">
        <f aca="false">Inputs!$F$77*K47</f>
        <v>0.18325250375873</v>
      </c>
      <c r="L59" s="11" t="n">
        <f aca="false">Inputs!$F$77*L47</f>
        <v>0.219184855367137</v>
      </c>
      <c r="M59" s="11" t="n">
        <f aca="false">Inputs!$F$77*M47</f>
        <v>0.279254899893711</v>
      </c>
      <c r="N59" s="11" t="n">
        <f aca="false">Inputs!$F$77*N47</f>
        <v>0.366954487656952</v>
      </c>
      <c r="O59" s="11" t="n">
        <f aca="false">Inputs!$F$77*O47</f>
        <v>0.470744403984299</v>
      </c>
      <c r="P59" s="11" t="n">
        <f aca="false">Inputs!$F$77*P47</f>
        <v>0.582614031147711</v>
      </c>
      <c r="Q59" s="11" t="n">
        <f aca="false">Inputs!$F$77*Q47</f>
        <v>0.717877503936319</v>
      </c>
      <c r="R59" s="11" t="n">
        <f aca="false">Inputs!$F$77*R47</f>
        <v>0.850920336652702</v>
      </c>
      <c r="S59" s="11" t="n">
        <f aca="false">Inputs!$F$77*S47</f>
        <v>0.991465712857456</v>
      </c>
      <c r="T59" s="11" t="n">
        <f aca="false">Inputs!$F$77*T47</f>
        <v>1.12576293086634</v>
      </c>
      <c r="U59" s="11" t="n">
        <f aca="false">Inputs!$F$77*U47</f>
        <v>1.25896095880573</v>
      </c>
      <c r="V59" s="11" t="n">
        <f aca="false">Inputs!$F$77*V47</f>
        <v>1.38760226900562</v>
      </c>
      <c r="W59" s="11" t="n">
        <f aca="false">Inputs!$F$77*W47</f>
        <v>1.50535343383894</v>
      </c>
      <c r="X59" s="11" t="n">
        <f aca="false">Inputs!$F$77*X47</f>
        <v>1.61754204309555</v>
      </c>
      <c r="Y59" s="11" t="n">
        <f aca="false">Inputs!$F$77*Y47</f>
        <v>1.71213277549015</v>
      </c>
      <c r="Z59" s="11" t="n">
        <f aca="false">Inputs!$F$77*Z47</f>
        <v>1.79803090825713</v>
      </c>
      <c r="AA59" s="11" t="n">
        <f aca="false">Inputs!$F$77*AA47</f>
        <v>1.94673872054144</v>
      </c>
      <c r="AB59" s="11" t="n">
        <f aca="false">Inputs!$F$77*AB47</f>
        <v>1.90558011229886</v>
      </c>
      <c r="AC59" s="11" t="n">
        <f aca="false">Inputs!$F$77*AC47</f>
        <v>1.94552826163192</v>
      </c>
      <c r="AD59" s="11" t="n">
        <f aca="false">Inputs!$F$77*AD47</f>
        <v>1.98451427933599</v>
      </c>
      <c r="AE59" s="11" t="n">
        <f aca="false">Inputs!$F$77*AE47</f>
        <v>1.98634713863116</v>
      </c>
      <c r="AF59" s="11" t="n">
        <f aca="false">Inputs!$F$77*AF47</f>
        <v>1.96355014935883</v>
      </c>
      <c r="AG59" s="11" t="n">
        <f aca="false">Inputs!$F$77*AG47</f>
        <v>1.92454441358096</v>
      </c>
      <c r="AH59" s="11" t="n">
        <f aca="false">Inputs!$F$77*AH47</f>
        <v>1.87056666705526</v>
      </c>
      <c r="AI59" s="11" t="n">
        <f aca="false">Inputs!$F$77*AI47</f>
        <v>1.79677077572077</v>
      </c>
      <c r="AJ59" s="11" t="n">
        <f aca="false">Inputs!$F$77*AJ47</f>
        <v>1.83471382525245</v>
      </c>
      <c r="AK59" s="11" t="n">
        <f aca="false">Inputs!$F$77*AK47</f>
        <v>1.73294365016225</v>
      </c>
      <c r="AL59" s="11" t="n">
        <f aca="false">Inputs!$F$77*AL47</f>
        <v>1.62773443284886</v>
      </c>
      <c r="AM59" s="11" t="n">
        <f aca="false">Inputs!$F$77*AM47</f>
        <v>1.54593480512033</v>
      </c>
      <c r="AN59" s="11" t="n">
        <f aca="false">Inputs!$F$77*AN47</f>
        <v>1.40819468759456</v>
      </c>
      <c r="AO59" s="11" t="n">
        <f aca="false">Inputs!$F$77*AO47</f>
        <v>1.29177584752174</v>
      </c>
      <c r="AP59" s="11" t="n">
        <f aca="false">Inputs!$F$77*AP47</f>
        <v>1.01214370499252</v>
      </c>
      <c r="AQ59" s="11" t="n">
        <f aca="false">Inputs!$F$77*AQ47</f>
        <v>0.988821782843216</v>
      </c>
      <c r="AR59" s="11" t="n">
        <f aca="false">Inputs!$F$77*AR47</f>
        <v>0.757652077453556</v>
      </c>
      <c r="AS59" s="11" t="n">
        <f aca="false">Inputs!$F$77*AS47</f>
        <v>0.592953707668219</v>
      </c>
      <c r="AT59" s="11" t="n">
        <f aca="false">Inputs!$F$77*AT47</f>
        <v>0.41688008124134</v>
      </c>
      <c r="AU59" s="11" t="n">
        <f aca="false">Inputs!$F$77*AU47</f>
        <v>0.530084589565669</v>
      </c>
      <c r="AV59" s="11" t="n">
        <f aca="false">Inputs!$F$77*AV47</f>
        <v>0.326958478330542</v>
      </c>
      <c r="AW59" s="11" t="n">
        <f aca="false">Inputs!$F$77*AW47</f>
        <v>4.50855412871185</v>
      </c>
      <c r="AX59" s="11" t="n">
        <f aca="false">Inputs!$F$77*AX47</f>
        <v>2.72588688675052</v>
      </c>
      <c r="AY59" s="11" t="n">
        <f aca="false">Inputs!$F$77*AY47</f>
        <v>0</v>
      </c>
      <c r="AZ59" s="11" t="n">
        <f aca="false">Inputs!$F$77*AZ47</f>
        <v>0</v>
      </c>
      <c r="BA59" s="11" t="n">
        <f aca="false">Inputs!$F$77*BA47</f>
        <v>0</v>
      </c>
      <c r="BB59" s="11" t="n">
        <f aca="false">Inputs!$F$77*BB47</f>
        <v>0</v>
      </c>
      <c r="BC59" s="11" t="n">
        <f aca="false">Inputs!$F$77*BC47</f>
        <v>0</v>
      </c>
      <c r="BD59" s="11" t="n">
        <f aca="false">Inputs!$F$77*BD47</f>
        <v>0</v>
      </c>
      <c r="BE59" s="11" t="n">
        <f aca="false">Inputs!$F$77*BE47</f>
        <v>0</v>
      </c>
      <c r="BF59" s="11" t="n">
        <f aca="false">Inputs!$F$77*BF47</f>
        <v>0</v>
      </c>
      <c r="BG59" s="11" t="n">
        <f aca="false">Inputs!$F$77*BG47</f>
        <v>0</v>
      </c>
      <c r="BH59" s="11" t="n">
        <f aca="false">Inputs!$F$77*BH47</f>
        <v>0</v>
      </c>
      <c r="BI59" s="11" t="n">
        <f aca="false">Inputs!$F$77*BI47</f>
        <v>0</v>
      </c>
      <c r="BJ59" s="11" t="n">
        <f aca="false">Inputs!$F$77*BJ47</f>
        <v>0</v>
      </c>
    </row>
    <row r="60" customFormat="false" ht="15" hidden="false" customHeight="false" outlineLevel="0" collapsed="false">
      <c r="D60" s="0" t="s">
        <v>618</v>
      </c>
      <c r="E60" s="0" t="s">
        <v>149</v>
      </c>
      <c r="G60" s="11" t="n">
        <f aca="false">SUM(J60:BJ60)</f>
        <v>238.228063194929</v>
      </c>
      <c r="J60" s="11" t="n">
        <f aca="false">Inputs!$F$78*J47</f>
        <v>34.1945596113848</v>
      </c>
      <c r="K60" s="11" t="n">
        <f aca="false">Inputs!$F$78*K47</f>
        <v>0.696359514283175</v>
      </c>
      <c r="L60" s="11" t="n">
        <f aca="false">Inputs!$F$78*L47</f>
        <v>0.832902450395121</v>
      </c>
      <c r="M60" s="11" t="n">
        <f aca="false">Inputs!$F$78*M47</f>
        <v>1.0611686195961</v>
      </c>
      <c r="N60" s="11" t="n">
        <f aca="false">Inputs!$F$78*N47</f>
        <v>1.39442705309642</v>
      </c>
      <c r="O60" s="11" t="n">
        <f aca="false">Inputs!$F$78*O47</f>
        <v>1.78882873514033</v>
      </c>
      <c r="P60" s="11" t="n">
        <f aca="false">Inputs!$F$78*P47</f>
        <v>2.2139333183613</v>
      </c>
      <c r="Q60" s="11" t="n">
        <f aca="false">Inputs!$F$78*Q47</f>
        <v>2.72793451495801</v>
      </c>
      <c r="R60" s="11" t="n">
        <f aca="false">Inputs!$F$78*R47</f>
        <v>3.23349727928027</v>
      </c>
      <c r="S60" s="11" t="n">
        <f aca="false">Inputs!$F$78*S47</f>
        <v>3.76756970885833</v>
      </c>
      <c r="T60" s="11" t="n">
        <f aca="false">Inputs!$F$78*T47</f>
        <v>4.27789913729208</v>
      </c>
      <c r="U60" s="11" t="n">
        <f aca="false">Inputs!$F$78*U47</f>
        <v>4.78405164346177</v>
      </c>
      <c r="V60" s="11" t="n">
        <f aca="false">Inputs!$F$78*V47</f>
        <v>5.27288862222135</v>
      </c>
      <c r="W60" s="11" t="n">
        <f aca="false">Inputs!$F$78*W47</f>
        <v>5.72034304858797</v>
      </c>
      <c r="X60" s="11" t="n">
        <f aca="false">Inputs!$F$78*X47</f>
        <v>6.14665976376307</v>
      </c>
      <c r="Y60" s="11" t="n">
        <f aca="false">Inputs!$F$78*Y47</f>
        <v>6.50610454686258</v>
      </c>
      <c r="Z60" s="11" t="n">
        <f aca="false">Inputs!$F$78*Z47</f>
        <v>6.83251745137711</v>
      </c>
      <c r="AA60" s="11" t="n">
        <f aca="false">Inputs!$F$78*AA47</f>
        <v>7.39760713805746</v>
      </c>
      <c r="AB60" s="11" t="n">
        <f aca="false">Inputs!$F$78*AB47</f>
        <v>7.24120442673567</v>
      </c>
      <c r="AC60" s="11" t="n">
        <f aca="false">Inputs!$F$78*AC47</f>
        <v>7.39300739420129</v>
      </c>
      <c r="AD60" s="11" t="n">
        <f aca="false">Inputs!$F$78*AD47</f>
        <v>7.54115426147678</v>
      </c>
      <c r="AE60" s="11" t="n">
        <f aca="false">Inputs!$F$78*AE47</f>
        <v>7.54811912679843</v>
      </c>
      <c r="AF60" s="11" t="n">
        <f aca="false">Inputs!$F$78*AF47</f>
        <v>7.46149056756357</v>
      </c>
      <c r="AG60" s="11" t="n">
        <f aca="false">Inputs!$F$78*AG47</f>
        <v>7.31326877160764</v>
      </c>
      <c r="AH60" s="11" t="n">
        <f aca="false">Inputs!$F$78*AH47</f>
        <v>7.10815333481</v>
      </c>
      <c r="AI60" s="11" t="n">
        <f aca="false">Inputs!$F$78*AI47</f>
        <v>6.82772894773893</v>
      </c>
      <c r="AJ60" s="11" t="n">
        <f aca="false">Inputs!$F$78*AJ47</f>
        <v>6.97191253595929</v>
      </c>
      <c r="AK60" s="11" t="n">
        <f aca="false">Inputs!$F$78*AK47</f>
        <v>6.58518587061653</v>
      </c>
      <c r="AL60" s="11" t="n">
        <f aca="false">Inputs!$F$78*AL47</f>
        <v>6.18539084482568</v>
      </c>
      <c r="AM60" s="11" t="n">
        <f aca="false">Inputs!$F$78*AM47</f>
        <v>5.87455225945725</v>
      </c>
      <c r="AN60" s="11" t="n">
        <f aca="false">Inputs!$F$78*AN47</f>
        <v>5.35113981285932</v>
      </c>
      <c r="AO60" s="11" t="n">
        <f aca="false">Inputs!$F$78*AO47</f>
        <v>4.90874822058261</v>
      </c>
      <c r="AP60" s="11" t="n">
        <f aca="false">Inputs!$F$78*AP47</f>
        <v>3.84614607897158</v>
      </c>
      <c r="AQ60" s="11" t="n">
        <f aca="false">Inputs!$F$78*AQ47</f>
        <v>3.75752277480422</v>
      </c>
      <c r="AR60" s="11" t="n">
        <f aca="false">Inputs!$F$78*AR47</f>
        <v>2.87907789432351</v>
      </c>
      <c r="AS60" s="11" t="n">
        <f aca="false">Inputs!$F$78*AS47</f>
        <v>2.25322408913923</v>
      </c>
      <c r="AT60" s="11" t="n">
        <f aca="false">Inputs!$F$78*AT47</f>
        <v>1.58414430871709</v>
      </c>
      <c r="AU60" s="11" t="n">
        <f aca="false">Inputs!$F$78*AU47</f>
        <v>2.01432144034954</v>
      </c>
      <c r="AV60" s="11" t="n">
        <f aca="false">Inputs!$F$78*AV47</f>
        <v>1.24244221765606</v>
      </c>
      <c r="AW60" s="11" t="n">
        <f aca="false">Inputs!$F$78*AW47</f>
        <v>17.132505689105</v>
      </c>
      <c r="AX60" s="11" t="n">
        <f aca="false">Inputs!$F$78*AX47</f>
        <v>10.358370169652</v>
      </c>
      <c r="AY60" s="11" t="n">
        <f aca="false">Inputs!$F$78*AY47</f>
        <v>0</v>
      </c>
      <c r="AZ60" s="11" t="n">
        <f aca="false">Inputs!$F$78*AZ47</f>
        <v>0</v>
      </c>
      <c r="BA60" s="11" t="n">
        <f aca="false">Inputs!$F$78*BA47</f>
        <v>0</v>
      </c>
      <c r="BB60" s="11" t="n">
        <f aca="false">Inputs!$F$78*BB47</f>
        <v>0</v>
      </c>
      <c r="BC60" s="11" t="n">
        <f aca="false">Inputs!$F$78*BC47</f>
        <v>0</v>
      </c>
      <c r="BD60" s="11" t="n">
        <f aca="false">Inputs!$F$78*BD47</f>
        <v>0</v>
      </c>
      <c r="BE60" s="11" t="n">
        <f aca="false">Inputs!$F$78*BE47</f>
        <v>0</v>
      </c>
      <c r="BF60" s="11" t="n">
        <f aca="false">Inputs!$F$78*BF47</f>
        <v>0</v>
      </c>
      <c r="BG60" s="11" t="n">
        <f aca="false">Inputs!$F$78*BG47</f>
        <v>0</v>
      </c>
      <c r="BH60" s="11" t="n">
        <f aca="false">Inputs!$F$78*BH47</f>
        <v>0</v>
      </c>
      <c r="BI60" s="11" t="n">
        <f aca="false">Inputs!$F$78*BI47</f>
        <v>0</v>
      </c>
      <c r="BJ60" s="11" t="n">
        <f aca="false">Inputs!$F$78*BJ47</f>
        <v>0</v>
      </c>
    </row>
    <row r="61" customFormat="false" ht="15" hidden="false" customHeight="false" outlineLevel="0" collapsed="false">
      <c r="D61" s="0" t="s">
        <v>619</v>
      </c>
      <c r="E61" s="0" t="s">
        <v>149</v>
      </c>
      <c r="J61" s="11" t="n">
        <f aca="false">J28+J57</f>
        <v>26.9957049563564</v>
      </c>
      <c r="K61" s="11" t="n">
        <f aca="false">K28+K57</f>
        <v>27.5454624676326</v>
      </c>
      <c r="L61" s="11" t="n">
        <f aca="false">L28+L57</f>
        <v>28.203017033734</v>
      </c>
      <c r="M61" s="11" t="n">
        <f aca="false">M28+M57</f>
        <v>29.0407817334152</v>
      </c>
      <c r="N61" s="11" t="n">
        <f aca="false">N28+N57</f>
        <v>30.141645196386</v>
      </c>
      <c r="O61" s="11" t="n">
        <f aca="false">O28+O57</f>
        <v>31.5538784083389</v>
      </c>
      <c r="P61" s="11" t="n">
        <f aca="false">P28+P57</f>
        <v>33.3017205017821</v>
      </c>
      <c r="Q61" s="11" t="n">
        <f aca="false">Q28+Q57</f>
        <v>35.455353013591</v>
      </c>
      <c r="R61" s="11" t="n">
        <f aca="false">R28+R57</f>
        <v>38.0081140235491</v>
      </c>
      <c r="S61" s="11" t="n">
        <f aca="false">S28+S57</f>
        <v>40.9825111621215</v>
      </c>
      <c r="T61" s="11" t="n">
        <f aca="false">T28+T57</f>
        <v>44.3597999547205</v>
      </c>
      <c r="U61" s="11" t="n">
        <f aca="false">U28+U57</f>
        <v>48.1366828311377</v>
      </c>
      <c r="V61" s="11" t="n">
        <f aca="false">V28+V57</f>
        <v>52.2994896381545</v>
      </c>
      <c r="W61" s="11" t="n">
        <f aca="false">W28+W57</f>
        <v>56.8155499396714</v>
      </c>
      <c r="X61" s="11" t="n">
        <f aca="false">X28+X57</f>
        <v>61.668176068958</v>
      </c>
      <c r="Y61" s="11" t="n">
        <f aca="false">Y28+Y57</f>
        <v>66.8045743954285</v>
      </c>
      <c r="Z61" s="11" t="n">
        <f aca="false">Z28+Z57</f>
        <v>72.1986671201998</v>
      </c>
      <c r="AA61" s="11" t="n">
        <f aca="false">AA28+AA57</f>
        <v>78.0388832818242</v>
      </c>
      <c r="AB61" s="11" t="n">
        <f aca="false">AB28+AB57</f>
        <v>83.7556236187207</v>
      </c>
      <c r="AC61" s="11" t="n">
        <f aca="false">AC28+AC57</f>
        <v>89.5922084036165</v>
      </c>
      <c r="AD61" s="11" t="n">
        <f aca="false">AD28+AD57</f>
        <v>95.5457512416245</v>
      </c>
      <c r="AE61" s="11" t="n">
        <f aca="false">AE28+AE57</f>
        <v>101.504792657518</v>
      </c>
      <c r="AF61" s="11" t="n">
        <f aca="false">AF28+AF57</f>
        <v>107.395443105594</v>
      </c>
      <c r="AG61" s="11" t="n">
        <f aca="false">AG28+AG57</f>
        <v>113.169076346337</v>
      </c>
      <c r="AH61" s="11" t="n">
        <f aca="false">AH28+AH57</f>
        <v>118.780776347503</v>
      </c>
      <c r="AI61" s="11" t="n">
        <f aca="false">AI28+AI57</f>
        <v>124.171088674665</v>
      </c>
      <c r="AJ61" s="11" t="n">
        <f aca="false">AJ28+AJ57</f>
        <v>129.675230150423</v>
      </c>
      <c r="AK61" s="11" t="n">
        <f aca="false">AK28+AK57</f>
        <v>134.874061100909</v>
      </c>
      <c r="AL61" s="11" t="n">
        <f aca="false">AL28+AL57</f>
        <v>139.757264399456</v>
      </c>
      <c r="AM61" s="11" t="n">
        <f aca="false">AM28+AM57</f>
        <v>144.395068814817</v>
      </c>
      <c r="AN61" s="11" t="n">
        <f aca="false">AN28+AN57</f>
        <v>148.619652877601</v>
      </c>
      <c r="AO61" s="11" t="n">
        <f aca="false">AO28+AO57</f>
        <v>152.494980420166</v>
      </c>
      <c r="AP61" s="11" t="n">
        <f aca="false">AP28+AP57</f>
        <v>155.531411535144</v>
      </c>
      <c r="AQ61" s="11" t="n">
        <f aca="false">AQ28+AQ57</f>
        <v>158.497876883673</v>
      </c>
      <c r="AR61" s="11" t="n">
        <f aca="false">AR28+AR57</f>
        <v>160.770833116034</v>
      </c>
      <c r="AS61" s="11" t="n">
        <f aca="false">AS28+AS57</f>
        <v>162.549694239038</v>
      </c>
      <c r="AT61" s="11" t="n">
        <f aca="false">AT28+AT57</f>
        <v>163.800334482762</v>
      </c>
      <c r="AU61" s="11" t="n">
        <f aca="false">AU28+AU57</f>
        <v>165.390588251459</v>
      </c>
      <c r="AV61" s="11" t="n">
        <f aca="false">AV28+AV57</f>
        <v>166.371463686451</v>
      </c>
      <c r="AW61" s="11" t="n">
        <f aca="false">AW28+AW57</f>
        <v>179.897126072587</v>
      </c>
      <c r="AX61" s="11" t="n">
        <f aca="false">AX28+AX57</f>
        <v>188.074786732838</v>
      </c>
      <c r="AY61" s="11" t="n">
        <f aca="false">AY28+AY57</f>
        <v>188.074786732838</v>
      </c>
      <c r="AZ61" s="11" t="n">
        <f aca="false">AZ28+AZ57</f>
        <v>188.074786732838</v>
      </c>
      <c r="BA61" s="11" t="n">
        <f aca="false">BA28+BA57</f>
        <v>188.074786732838</v>
      </c>
      <c r="BB61" s="11" t="n">
        <f aca="false">BB28+BB57</f>
        <v>188.074786732838</v>
      </c>
      <c r="BC61" s="11" t="n">
        <f aca="false">BC28+BC57</f>
        <v>188.074786732838</v>
      </c>
      <c r="BD61" s="11" t="n">
        <f aca="false">BD28+BD57</f>
        <v>188.074786732838</v>
      </c>
      <c r="BE61" s="11" t="n">
        <f aca="false">BE28+BE57</f>
        <v>188.074786732838</v>
      </c>
      <c r="BF61" s="11" t="n">
        <f aca="false">BF28+BF57</f>
        <v>188.074786732838</v>
      </c>
      <c r="BG61" s="11" t="n">
        <f aca="false">BG28+BG57</f>
        <v>188.074786732838</v>
      </c>
      <c r="BH61" s="11" t="n">
        <f aca="false">BH28+BH57</f>
        <v>188.074786732838</v>
      </c>
      <c r="BI61" s="11" t="n">
        <f aca="false">BI28+BI57</f>
        <v>188.074786732838</v>
      </c>
      <c r="BJ61" s="11" t="n">
        <f aca="false">BJ28+BJ57</f>
        <v>188.074786732838</v>
      </c>
    </row>
    <row r="62" customFormat="false" ht="15" hidden="false" customHeight="false" outlineLevel="0" collapsed="false">
      <c r="D62" s="0" t="s">
        <v>620</v>
      </c>
      <c r="E62" s="0" t="s">
        <v>149</v>
      </c>
      <c r="J62" s="11" t="n">
        <f aca="false">J29+J58</f>
        <v>19.7968503013281</v>
      </c>
      <c r="K62" s="11" t="n">
        <f aca="false">K29+K58</f>
        <v>20.2000058095973</v>
      </c>
      <c r="L62" s="11" t="n">
        <f aca="false">L29+L58</f>
        <v>20.682212491405</v>
      </c>
      <c r="M62" s="11" t="n">
        <f aca="false">M29+M58</f>
        <v>21.2965732711711</v>
      </c>
      <c r="N62" s="11" t="n">
        <f aca="false">N29+N58</f>
        <v>22.1038731440164</v>
      </c>
      <c r="O62" s="11" t="n">
        <f aca="false">O29+O58</f>
        <v>23.1395108327819</v>
      </c>
      <c r="P62" s="11" t="n">
        <f aca="false">P29+P58</f>
        <v>24.4212617013068</v>
      </c>
      <c r="Q62" s="11" t="n">
        <f aca="false">Q29+Q58</f>
        <v>26.0005922099667</v>
      </c>
      <c r="R62" s="11" t="n">
        <f aca="false">R29+R58</f>
        <v>27.8726169506027</v>
      </c>
      <c r="S62" s="11" t="n">
        <f aca="false">S29+S58</f>
        <v>30.0538415188891</v>
      </c>
      <c r="T62" s="11" t="n">
        <f aca="false">T29+T58</f>
        <v>32.530519966795</v>
      </c>
      <c r="U62" s="11" t="n">
        <f aca="false">U29+U58</f>
        <v>35.3002340761677</v>
      </c>
      <c r="V62" s="11" t="n">
        <f aca="false">V29+V58</f>
        <v>38.35295906798</v>
      </c>
      <c r="W62" s="11" t="n">
        <f aca="false">W29+W58</f>
        <v>41.6647366224257</v>
      </c>
      <c r="X62" s="11" t="n">
        <f aca="false">X29+X58</f>
        <v>45.2233291172359</v>
      </c>
      <c r="Y62" s="11" t="n">
        <f aca="false">Y29+Y58</f>
        <v>48.9900212233142</v>
      </c>
      <c r="Z62" s="11" t="n">
        <f aca="false">Z29+Z58</f>
        <v>52.9456892214799</v>
      </c>
      <c r="AA62" s="11" t="n">
        <f aca="false">AA29+AA58</f>
        <v>57.2285144066711</v>
      </c>
      <c r="AB62" s="11" t="n">
        <f aca="false">AB29+AB58</f>
        <v>61.4207906537286</v>
      </c>
      <c r="AC62" s="11" t="n">
        <f aca="false">AC29+AC58</f>
        <v>65.7009528293188</v>
      </c>
      <c r="AD62" s="11" t="n">
        <f aca="false">AD29+AD58</f>
        <v>70.066884243858</v>
      </c>
      <c r="AE62" s="11" t="n">
        <f aca="false">AE29+AE58</f>
        <v>74.4368479488465</v>
      </c>
      <c r="AF62" s="11" t="n">
        <f aca="false">AF29+AF58</f>
        <v>78.756658277436</v>
      </c>
      <c r="AG62" s="11" t="n">
        <f aca="false">AG29+AG58</f>
        <v>82.9906559873141</v>
      </c>
      <c r="AH62" s="11" t="n">
        <f aca="false">AH29+AH58</f>
        <v>87.1059026548357</v>
      </c>
      <c r="AI62" s="11" t="n">
        <f aca="false">AI29+AI58</f>
        <v>91.0587983614214</v>
      </c>
      <c r="AJ62" s="11" t="n">
        <f aca="false">AJ29+AJ58</f>
        <v>95.0951687769767</v>
      </c>
      <c r="AK62" s="11" t="n">
        <f aca="false">AK29+AK58</f>
        <v>98.9076448073337</v>
      </c>
      <c r="AL62" s="11" t="n">
        <f aca="false">AL29+AL58</f>
        <v>102.488660559601</v>
      </c>
      <c r="AM62" s="11" t="n">
        <f aca="false">AM29+AM58</f>
        <v>105.889717130866</v>
      </c>
      <c r="AN62" s="11" t="n">
        <f aca="false">AN29+AN58</f>
        <v>108.987745443574</v>
      </c>
      <c r="AO62" s="11" t="n">
        <f aca="false">AO29+AO58</f>
        <v>111.829652308122</v>
      </c>
      <c r="AP62" s="11" t="n">
        <f aca="false">AP29+AP58</f>
        <v>114.056368459105</v>
      </c>
      <c r="AQ62" s="11" t="n">
        <f aca="false">AQ29+AQ58</f>
        <v>116.23177638136</v>
      </c>
      <c r="AR62" s="11" t="n">
        <f aca="false">AR29+AR58</f>
        <v>117.898610951758</v>
      </c>
      <c r="AS62" s="11" t="n">
        <f aca="false">AS29+AS58</f>
        <v>119.203109108628</v>
      </c>
      <c r="AT62" s="11" t="n">
        <f aca="false">AT29+AT58</f>
        <v>120.120245287359</v>
      </c>
      <c r="AU62" s="11" t="n">
        <f aca="false">AU29+AU58</f>
        <v>121.286431384404</v>
      </c>
      <c r="AV62" s="11" t="n">
        <f aca="false">AV29+AV58</f>
        <v>122.005740036731</v>
      </c>
      <c r="AW62" s="11" t="n">
        <f aca="false">AW29+AW58</f>
        <v>131.924559119897</v>
      </c>
      <c r="AX62" s="11" t="n">
        <f aca="false">AX29+AX58</f>
        <v>137.921510270748</v>
      </c>
      <c r="AY62" s="11" t="n">
        <f aca="false">AY29+AY58</f>
        <v>137.921510270748</v>
      </c>
      <c r="AZ62" s="11" t="n">
        <f aca="false">AZ29+AZ58</f>
        <v>137.921510270748</v>
      </c>
      <c r="BA62" s="11" t="n">
        <f aca="false">BA29+BA58</f>
        <v>137.921510270748</v>
      </c>
      <c r="BB62" s="11" t="n">
        <f aca="false">BB29+BB58</f>
        <v>137.921510270748</v>
      </c>
      <c r="BC62" s="11" t="n">
        <f aca="false">BC29+BC58</f>
        <v>137.921510270748</v>
      </c>
      <c r="BD62" s="11" t="n">
        <f aca="false">BD29+BD58</f>
        <v>137.921510270748</v>
      </c>
      <c r="BE62" s="11" t="n">
        <f aca="false">BE29+BE58</f>
        <v>137.921510270748</v>
      </c>
      <c r="BF62" s="11" t="n">
        <f aca="false">BF29+BF58</f>
        <v>137.921510270748</v>
      </c>
      <c r="BG62" s="11" t="n">
        <f aca="false">BG29+BG58</f>
        <v>137.921510270748</v>
      </c>
      <c r="BH62" s="11" t="n">
        <f aca="false">BH29+BH58</f>
        <v>137.921510270748</v>
      </c>
      <c r="BI62" s="11" t="n">
        <f aca="false">BI29+BI58</f>
        <v>137.921510270748</v>
      </c>
      <c r="BJ62" s="11" t="n">
        <f aca="false">BJ29+BJ58</f>
        <v>137.921510270748</v>
      </c>
    </row>
    <row r="63" customFormat="false" ht="15" hidden="false" customHeight="false" outlineLevel="0" collapsed="false">
      <c r="D63" s="0" t="s">
        <v>621</v>
      </c>
      <c r="E63" s="0" t="s">
        <v>149</v>
      </c>
      <c r="J63" s="11" t="n">
        <f aca="false">J30+J59</f>
        <v>8.99856831878548</v>
      </c>
      <c r="K63" s="11" t="n">
        <f aca="false">K30+K59</f>
        <v>9.18182082254421</v>
      </c>
      <c r="L63" s="11" t="n">
        <f aca="false">L30+L59</f>
        <v>9.40100567791135</v>
      </c>
      <c r="M63" s="11" t="n">
        <f aca="false">M30+M59</f>
        <v>9.68026057780506</v>
      </c>
      <c r="N63" s="11" t="n">
        <f aca="false">N30+N59</f>
        <v>10.047215065462</v>
      </c>
      <c r="O63" s="11" t="n">
        <f aca="false">O30+O59</f>
        <v>10.5179594694463</v>
      </c>
      <c r="P63" s="11" t="n">
        <f aca="false">P30+P59</f>
        <v>11.100573500594</v>
      </c>
      <c r="Q63" s="11" t="n">
        <f aca="false">Q30+Q59</f>
        <v>11.8184510045303</v>
      </c>
      <c r="R63" s="11" t="n">
        <f aca="false">R30+R59</f>
        <v>12.669371341183</v>
      </c>
      <c r="S63" s="11" t="n">
        <f aca="false">S30+S59</f>
        <v>13.6608370540405</v>
      </c>
      <c r="T63" s="11" t="n">
        <f aca="false">T30+T59</f>
        <v>14.7865999849068</v>
      </c>
      <c r="U63" s="11" t="n">
        <f aca="false">U30+U59</f>
        <v>16.0455609437126</v>
      </c>
      <c r="V63" s="11" t="n">
        <f aca="false">V30+V59</f>
        <v>17.4331632127182</v>
      </c>
      <c r="W63" s="11" t="n">
        <f aca="false">W30+W59</f>
        <v>18.9385166465571</v>
      </c>
      <c r="X63" s="11" t="n">
        <f aca="false">X30+X59</f>
        <v>20.5560586896527</v>
      </c>
      <c r="Y63" s="11" t="n">
        <f aca="false">Y30+Y59</f>
        <v>22.2681914651428</v>
      </c>
      <c r="Z63" s="11" t="n">
        <f aca="false">Z30+Z59</f>
        <v>24.0662223734</v>
      </c>
      <c r="AA63" s="11" t="n">
        <f aca="false">AA30+AA59</f>
        <v>26.0129610939414</v>
      </c>
      <c r="AB63" s="11" t="n">
        <f aca="false">AB30+AB59</f>
        <v>27.9185412062403</v>
      </c>
      <c r="AC63" s="11" t="n">
        <f aca="false">AC30+AC59</f>
        <v>29.8640694678722</v>
      </c>
      <c r="AD63" s="11" t="n">
        <f aca="false">AD30+AD59</f>
        <v>31.8485837472082</v>
      </c>
      <c r="AE63" s="11" t="n">
        <f aca="false">AE30+AE59</f>
        <v>33.8349308858393</v>
      </c>
      <c r="AF63" s="11" t="n">
        <f aca="false">AF30+AF59</f>
        <v>35.7984810351982</v>
      </c>
      <c r="AG63" s="11" t="n">
        <f aca="false">AG30+AG59</f>
        <v>37.7230254487791</v>
      </c>
      <c r="AH63" s="11" t="n">
        <f aca="false">AH30+AH59</f>
        <v>39.5935921158344</v>
      </c>
      <c r="AI63" s="11" t="n">
        <f aca="false">AI30+AI59</f>
        <v>41.3903628915552</v>
      </c>
      <c r="AJ63" s="11" t="n">
        <f aca="false">AJ30+AJ59</f>
        <v>43.2250767168076</v>
      </c>
      <c r="AK63" s="11" t="n">
        <f aca="false">AK30+AK59</f>
        <v>44.9580203669699</v>
      </c>
      <c r="AL63" s="11" t="n">
        <f aca="false">AL30+AL59</f>
        <v>46.5857547998187</v>
      </c>
      <c r="AM63" s="11" t="n">
        <f aca="false">AM30+AM59</f>
        <v>48.1316896049391</v>
      </c>
      <c r="AN63" s="11" t="n">
        <f aca="false">AN30+AN59</f>
        <v>49.5398842925336</v>
      </c>
      <c r="AO63" s="11" t="n">
        <f aca="false">AO30+AO59</f>
        <v>50.8316601400554</v>
      </c>
      <c r="AP63" s="11" t="n">
        <f aca="false">AP30+AP59</f>
        <v>51.8438038450479</v>
      </c>
      <c r="AQ63" s="11" t="n">
        <f aca="false">AQ30+AQ59</f>
        <v>52.8326256278911</v>
      </c>
      <c r="AR63" s="11" t="n">
        <f aca="false">AR30+AR59</f>
        <v>53.5902777053446</v>
      </c>
      <c r="AS63" s="11" t="n">
        <f aca="false">AS30+AS59</f>
        <v>54.1832314130129</v>
      </c>
      <c r="AT63" s="11" t="n">
        <f aca="false">AT30+AT59</f>
        <v>54.6001114942542</v>
      </c>
      <c r="AU63" s="11" t="n">
        <f aca="false">AU30+AU59</f>
        <v>55.1301960838199</v>
      </c>
      <c r="AV63" s="11" t="n">
        <f aca="false">AV30+AV59</f>
        <v>55.4571545621504</v>
      </c>
      <c r="AW63" s="11" t="n">
        <f aca="false">AW30+AW59</f>
        <v>59.9657086908622</v>
      </c>
      <c r="AX63" s="11" t="n">
        <f aca="false">AX30+AX59</f>
        <v>62.6915955776128</v>
      </c>
      <c r="AY63" s="11" t="n">
        <f aca="false">AY30+AY59</f>
        <v>62.6915955776128</v>
      </c>
      <c r="AZ63" s="11" t="n">
        <f aca="false">AZ30+AZ59</f>
        <v>62.6915955776128</v>
      </c>
      <c r="BA63" s="11" t="n">
        <f aca="false">BA30+BA59</f>
        <v>62.6915955776128</v>
      </c>
      <c r="BB63" s="11" t="n">
        <f aca="false">BB30+BB59</f>
        <v>62.6915955776128</v>
      </c>
      <c r="BC63" s="11" t="n">
        <f aca="false">BC30+BC59</f>
        <v>62.6915955776128</v>
      </c>
      <c r="BD63" s="11" t="n">
        <f aca="false">BD30+BD59</f>
        <v>62.6915955776128</v>
      </c>
      <c r="BE63" s="11" t="n">
        <f aca="false">BE30+BE59</f>
        <v>62.6915955776128</v>
      </c>
      <c r="BF63" s="11" t="n">
        <f aca="false">BF30+BF59</f>
        <v>62.6915955776128</v>
      </c>
      <c r="BG63" s="11" t="n">
        <f aca="false">BG30+BG59</f>
        <v>62.6915955776128</v>
      </c>
      <c r="BH63" s="11" t="n">
        <f aca="false">BH30+BH59</f>
        <v>62.6915955776128</v>
      </c>
      <c r="BI63" s="11" t="n">
        <f aca="false">BI30+BI59</f>
        <v>62.6915955776128</v>
      </c>
      <c r="BJ63" s="11" t="n">
        <f aca="false">BJ30+BJ59</f>
        <v>62.6915955776128</v>
      </c>
    </row>
    <row r="64" customFormat="false" ht="15" hidden="false" customHeight="false" outlineLevel="0" collapsed="false">
      <c r="D64" s="0" t="s">
        <v>622</v>
      </c>
      <c r="E64" s="0" t="s">
        <v>149</v>
      </c>
      <c r="J64" s="11" t="n">
        <f aca="false">J31+J60</f>
        <v>34.1945596113848</v>
      </c>
      <c r="K64" s="11" t="n">
        <f aca="false">K31+K60</f>
        <v>34.890919125668</v>
      </c>
      <c r="L64" s="11" t="n">
        <f aca="false">L31+L60</f>
        <v>35.7238215760631</v>
      </c>
      <c r="M64" s="11" t="n">
        <f aca="false">M31+M60</f>
        <v>36.7849901956592</v>
      </c>
      <c r="N64" s="11" t="n">
        <f aca="false">N31+N60</f>
        <v>38.1794172487556</v>
      </c>
      <c r="O64" s="11" t="n">
        <f aca="false">O31+O60</f>
        <v>39.968245983896</v>
      </c>
      <c r="P64" s="11" t="n">
        <f aca="false">P31+P60</f>
        <v>42.1821793022573</v>
      </c>
      <c r="Q64" s="11" t="n">
        <f aca="false">Q31+Q60</f>
        <v>44.9101138172153</v>
      </c>
      <c r="R64" s="11" t="n">
        <f aca="false">R31+R60</f>
        <v>48.1436110964956</v>
      </c>
      <c r="S64" s="11" t="n">
        <f aca="false">S31+S60</f>
        <v>51.9111808053539</v>
      </c>
      <c r="T64" s="11" t="n">
        <f aca="false">T31+T60</f>
        <v>56.189079942646</v>
      </c>
      <c r="U64" s="11" t="n">
        <f aca="false">U31+U60</f>
        <v>60.9731315861077</v>
      </c>
      <c r="V64" s="11" t="n">
        <f aca="false">V31+V60</f>
        <v>66.2460202083291</v>
      </c>
      <c r="W64" s="11" t="n">
        <f aca="false">W31+W60</f>
        <v>71.9663632569171</v>
      </c>
      <c r="X64" s="11" t="n">
        <f aca="false">X31+X60</f>
        <v>78.1130230206802</v>
      </c>
      <c r="Y64" s="11" t="n">
        <f aca="false">Y31+Y60</f>
        <v>84.6191275675427</v>
      </c>
      <c r="Z64" s="11" t="n">
        <f aca="false">Z31+Z60</f>
        <v>91.4516450189198</v>
      </c>
      <c r="AA64" s="11" t="n">
        <f aca="false">AA31+AA60</f>
        <v>98.8492521569773</v>
      </c>
      <c r="AB64" s="11" t="n">
        <f aca="false">AB31+AB60</f>
        <v>106.090456583713</v>
      </c>
      <c r="AC64" s="11" t="n">
        <f aca="false">AC31+AC60</f>
        <v>113.483463977914</v>
      </c>
      <c r="AD64" s="11" t="n">
        <f aca="false">AD31+AD60</f>
        <v>121.024618239391</v>
      </c>
      <c r="AE64" s="11" t="n">
        <f aca="false">AE31+AE60</f>
        <v>128.572737366189</v>
      </c>
      <c r="AF64" s="11" t="n">
        <f aca="false">AF31+AF60</f>
        <v>136.034227933753</v>
      </c>
      <c r="AG64" s="11" t="n">
        <f aca="false">AG31+AG60</f>
        <v>143.347496705361</v>
      </c>
      <c r="AH64" s="11" t="n">
        <f aca="false">AH31+AH60</f>
        <v>150.455650040171</v>
      </c>
      <c r="AI64" s="11" t="n">
        <f aca="false">AI31+AI60</f>
        <v>157.28337898791</v>
      </c>
      <c r="AJ64" s="11" t="n">
        <f aca="false">AJ31+AJ60</f>
        <v>164.255291523869</v>
      </c>
      <c r="AK64" s="11" t="n">
        <f aca="false">AK31+AK60</f>
        <v>170.840477394485</v>
      </c>
      <c r="AL64" s="11" t="n">
        <f aca="false">AL31+AL60</f>
        <v>177.025868239311</v>
      </c>
      <c r="AM64" s="11" t="n">
        <f aca="false">AM31+AM60</f>
        <v>182.900420498768</v>
      </c>
      <c r="AN64" s="11" t="n">
        <f aca="false">AN31+AN60</f>
        <v>188.251560311628</v>
      </c>
      <c r="AO64" s="11" t="n">
        <f aca="false">AO31+AO60</f>
        <v>193.16030853221</v>
      </c>
      <c r="AP64" s="11" t="n">
        <f aca="false">AP31+AP60</f>
        <v>197.006454611182</v>
      </c>
      <c r="AQ64" s="11" t="n">
        <f aca="false">AQ31+AQ60</f>
        <v>200.763977385986</v>
      </c>
      <c r="AR64" s="11" t="n">
        <f aca="false">AR31+AR60</f>
        <v>203.64305528031</v>
      </c>
      <c r="AS64" s="11" t="n">
        <f aca="false">AS31+AS60</f>
        <v>205.896279369449</v>
      </c>
      <c r="AT64" s="11" t="n">
        <f aca="false">AT31+AT60</f>
        <v>207.480423678166</v>
      </c>
      <c r="AU64" s="11" t="n">
        <f aca="false">AU31+AU60</f>
        <v>209.494745118515</v>
      </c>
      <c r="AV64" s="11" t="n">
        <f aca="false">AV31+AV60</f>
        <v>210.737187336171</v>
      </c>
      <c r="AW64" s="11" t="n">
        <f aca="false">AW31+AW60</f>
        <v>227.869693025277</v>
      </c>
      <c r="AX64" s="11" t="n">
        <f aca="false">AX31+AX60</f>
        <v>238.228063194929</v>
      </c>
      <c r="AY64" s="11" t="n">
        <f aca="false">AY31+AY60</f>
        <v>238.228063194929</v>
      </c>
      <c r="AZ64" s="11" t="n">
        <f aca="false">AZ31+AZ60</f>
        <v>238.228063194929</v>
      </c>
      <c r="BA64" s="11" t="n">
        <f aca="false">BA31+BA60</f>
        <v>238.228063194929</v>
      </c>
      <c r="BB64" s="11" t="n">
        <f aca="false">BB31+BB60</f>
        <v>238.228063194929</v>
      </c>
      <c r="BC64" s="11" t="n">
        <f aca="false">BC31+BC60</f>
        <v>238.228063194929</v>
      </c>
      <c r="BD64" s="11" t="n">
        <f aca="false">BD31+BD60</f>
        <v>238.228063194929</v>
      </c>
      <c r="BE64" s="11" t="n">
        <f aca="false">BE31+BE60</f>
        <v>238.228063194929</v>
      </c>
      <c r="BF64" s="11" t="n">
        <f aca="false">BF31+BF60</f>
        <v>238.228063194929</v>
      </c>
      <c r="BG64" s="11" t="n">
        <f aca="false">BG31+BG60</f>
        <v>238.228063194929</v>
      </c>
      <c r="BH64" s="11" t="n">
        <f aca="false">BH31+BH60</f>
        <v>238.228063194929</v>
      </c>
      <c r="BI64" s="11" t="n">
        <f aca="false">BI31+BI60</f>
        <v>238.228063194929</v>
      </c>
      <c r="BJ64" s="11" t="n">
        <f aca="false">BJ31+BJ60</f>
        <v>238.228063194929</v>
      </c>
    </row>
    <row r="65" customFormat="false" ht="15" hidden="false" customHeight="false" outlineLevel="0" collapsed="false">
      <c r="D65" s="0" t="s">
        <v>623</v>
      </c>
      <c r="E65" s="0" t="s">
        <v>149</v>
      </c>
      <c r="J65" s="11" t="n">
        <f aca="false">J32+J55</f>
        <v>0</v>
      </c>
      <c r="K65" s="11" t="n">
        <f aca="false">K32+K55</f>
        <v>0</v>
      </c>
      <c r="L65" s="11" t="n">
        <f aca="false">L32+L55</f>
        <v>0</v>
      </c>
      <c r="M65" s="11" t="n">
        <f aca="false">M32+M55</f>
        <v>0</v>
      </c>
      <c r="N65" s="11" t="n">
        <f aca="false">N32+N55</f>
        <v>0</v>
      </c>
      <c r="O65" s="11" t="n">
        <f aca="false">O32+O55</f>
        <v>0</v>
      </c>
      <c r="P65" s="11" t="n">
        <f aca="false">P32+P55</f>
        <v>0</v>
      </c>
      <c r="Q65" s="11" t="n">
        <f aca="false">Q32+Q55</f>
        <v>0</v>
      </c>
      <c r="R65" s="11" t="n">
        <f aca="false">R32+R55</f>
        <v>0</v>
      </c>
      <c r="S65" s="11" t="n">
        <f aca="false">S32+S55</f>
        <v>0</v>
      </c>
      <c r="T65" s="11" t="n">
        <f aca="false">T32+T55</f>
        <v>0</v>
      </c>
      <c r="U65" s="11" t="n">
        <f aca="false">U32+U55</f>
        <v>0</v>
      </c>
      <c r="V65" s="11" t="n">
        <f aca="false">V32+V55</f>
        <v>0</v>
      </c>
      <c r="W65" s="11" t="n">
        <f aca="false">W32+W55</f>
        <v>0</v>
      </c>
      <c r="X65" s="11" t="n">
        <f aca="false">X32+X55</f>
        <v>0</v>
      </c>
      <c r="Y65" s="11" t="n">
        <f aca="false">Y32+Y55</f>
        <v>0</v>
      </c>
      <c r="Z65" s="11" t="n">
        <f aca="false">Z32+Z55</f>
        <v>0</v>
      </c>
      <c r="AA65" s="11" t="n">
        <f aca="false">AA32+AA55</f>
        <v>0</v>
      </c>
      <c r="AB65" s="11" t="n">
        <f aca="false">AB32+AB55</f>
        <v>0</v>
      </c>
      <c r="AC65" s="11" t="n">
        <f aca="false">AC32+AC55</f>
        <v>0</v>
      </c>
      <c r="AD65" s="11" t="n">
        <f aca="false">AD32+AD55</f>
        <v>0</v>
      </c>
      <c r="AE65" s="11" t="n">
        <f aca="false">AE32+AE55</f>
        <v>0</v>
      </c>
      <c r="AF65" s="11" t="n">
        <f aca="false">AF32+AF55</f>
        <v>0</v>
      </c>
      <c r="AG65" s="11" t="n">
        <f aca="false">AG32+AG55</f>
        <v>0</v>
      </c>
      <c r="AH65" s="11" t="n">
        <f aca="false">AH32+AH55</f>
        <v>0</v>
      </c>
      <c r="AI65" s="11" t="n">
        <f aca="false">AI32+AI55</f>
        <v>0</v>
      </c>
      <c r="AJ65" s="11" t="n">
        <f aca="false">AJ32+AJ55</f>
        <v>0</v>
      </c>
      <c r="AK65" s="11" t="n">
        <f aca="false">AK32+AK55</f>
        <v>0</v>
      </c>
      <c r="AL65" s="11" t="n">
        <f aca="false">AL32+AL55</f>
        <v>0</v>
      </c>
      <c r="AM65" s="11" t="n">
        <f aca="false">AM32+AM55</f>
        <v>0</v>
      </c>
      <c r="AN65" s="11" t="n">
        <f aca="false">AN32+AN55</f>
        <v>0</v>
      </c>
      <c r="AO65" s="11" t="n">
        <f aca="false">AO32+AO55</f>
        <v>0</v>
      </c>
      <c r="AP65" s="11" t="n">
        <f aca="false">AP32+AP55</f>
        <v>0</v>
      </c>
      <c r="AQ65" s="11" t="n">
        <f aca="false">AQ32+AQ55</f>
        <v>0</v>
      </c>
      <c r="AR65" s="11" t="n">
        <f aca="false">AR32+AR55</f>
        <v>0</v>
      </c>
      <c r="AS65" s="11" t="n">
        <f aca="false">AS32+AS55</f>
        <v>0</v>
      </c>
      <c r="AT65" s="11" t="n">
        <f aca="false">AT32+AT55</f>
        <v>0</v>
      </c>
      <c r="AU65" s="11" t="n">
        <f aca="false">AU32+AU55</f>
        <v>0</v>
      </c>
      <c r="AV65" s="11" t="n">
        <f aca="false">AV32+AV55</f>
        <v>0</v>
      </c>
      <c r="AW65" s="11" t="n">
        <f aca="false">AW32+AW55</f>
        <v>0</v>
      </c>
      <c r="AX65" s="11" t="n">
        <f aca="false">AX32+AX55</f>
        <v>0</v>
      </c>
      <c r="AY65" s="11" t="n">
        <f aca="false">AY32+AY55</f>
        <v>0</v>
      </c>
      <c r="AZ65" s="11" t="n">
        <f aca="false">AZ32+AZ55</f>
        <v>0</v>
      </c>
      <c r="BA65" s="11" t="n">
        <f aca="false">BA32+BA55</f>
        <v>0</v>
      </c>
      <c r="BB65" s="11" t="n">
        <f aca="false">BB32+BB55</f>
        <v>0</v>
      </c>
      <c r="BC65" s="11" t="n">
        <f aca="false">BC32+BC55</f>
        <v>0</v>
      </c>
      <c r="BD65" s="11" t="n">
        <f aca="false">BD32+BD55</f>
        <v>0</v>
      </c>
      <c r="BE65" s="11" t="n">
        <f aca="false">BE32+BE55</f>
        <v>0</v>
      </c>
      <c r="BF65" s="11" t="n">
        <f aca="false">BF32+BF55</f>
        <v>0</v>
      </c>
      <c r="BG65" s="11" t="n">
        <f aca="false">BG32+BG55</f>
        <v>0</v>
      </c>
      <c r="BH65" s="11" t="n">
        <f aca="false">BH32+BH55</f>
        <v>0</v>
      </c>
      <c r="BI65" s="11" t="n">
        <f aca="false">BI32+BI55</f>
        <v>0</v>
      </c>
      <c r="BJ65" s="11" t="n">
        <f aca="false">BJ32+BJ55</f>
        <v>0</v>
      </c>
    </row>
    <row r="66" customFormat="false" ht="15" hidden="false" customHeight="false" outlineLevel="0" collapsed="false">
      <c r="B66" s="2" t="s">
        <v>624</v>
      </c>
    </row>
    <row r="67" customFormat="false" ht="15" hidden="false" customHeight="false" outlineLevel="0" collapsed="false">
      <c r="D67" s="0" t="s">
        <v>625</v>
      </c>
      <c r="E67" s="0" t="s">
        <v>149</v>
      </c>
      <c r="G67" s="11" t="n">
        <f aca="false">SUM(J67:BJ67)</f>
        <v>219.612816616811</v>
      </c>
      <c r="J67" s="11" t="n">
        <f aca="false">J50-J47+J56</f>
        <v>31.5225815486021</v>
      </c>
      <c r="K67" s="11" t="n">
        <f aca="false">K50-K47+K56</f>
        <v>0.641945672808953</v>
      </c>
      <c r="L67" s="11" t="n">
        <f aca="false">L50-L47+L56</f>
        <v>0.767819083298538</v>
      </c>
      <c r="M67" s="11" t="n">
        <f aca="false">M50-M47+M56</f>
        <v>0.978248432738945</v>
      </c>
      <c r="N67" s="11" t="n">
        <f aca="false">N50-N47+N56</f>
        <v>1.28546590435322</v>
      </c>
      <c r="O67" s="11" t="n">
        <f aca="false">O50-O47+O56</f>
        <v>1.64904886393594</v>
      </c>
      <c r="P67" s="11" t="n">
        <f aca="false">P50-P47+P56</f>
        <v>2.04093558637251</v>
      </c>
      <c r="Q67" s="11" t="n">
        <f aca="false">Q50-Q47+Q56</f>
        <v>2.51477250136539</v>
      </c>
      <c r="R67" s="11" t="n">
        <f aca="false">R50-R47+R56</f>
        <v>2.98083036692653</v>
      </c>
      <c r="S67" s="11" t="n">
        <f aca="false">S50-S47+S56</f>
        <v>3.47317013984845</v>
      </c>
      <c r="T67" s="11" t="n">
        <f aca="false">T50-T47+T56</f>
        <v>3.94362220027208</v>
      </c>
      <c r="U67" s="11" t="n">
        <f aca="false">U50-U47+U56</f>
        <v>4.41022372499097</v>
      </c>
      <c r="V67" s="11" t="n">
        <f aca="false">V50-V47+V56</f>
        <v>4.86086276529582</v>
      </c>
      <c r="W67" s="11" t="n">
        <f aca="false">W50-W47+W56</f>
        <v>5.27335290421629</v>
      </c>
      <c r="X67" s="11" t="n">
        <f aca="false">X50-X47+X56</f>
        <v>5.66635704207818</v>
      </c>
      <c r="Y67" s="11" t="n">
        <f aca="false">Y50-Y47+Y56</f>
        <v>5.99771465031308</v>
      </c>
      <c r="Z67" s="11" t="n">
        <f aca="false">Z50-Z47+Z56</f>
        <v>6.29862150561439</v>
      </c>
      <c r="AA67" s="11" t="n">
        <f aca="false">AA50-AA47+AA56</f>
        <v>6.8195548334039</v>
      </c>
      <c r="AB67" s="11" t="n">
        <f aca="false">AB50-AB47+AB56</f>
        <v>6.67537349935268</v>
      </c>
      <c r="AC67" s="11" t="n">
        <f aca="false">AC50-AC47+AC56</f>
        <v>6.8153145155739</v>
      </c>
      <c r="AD67" s="11" t="n">
        <f aca="false">AD50-AD47+AD56</f>
        <v>6.95188512089636</v>
      </c>
      <c r="AE67" s="11" t="n">
        <f aca="false">AE50-AE47+AE56</f>
        <v>6.95830574855093</v>
      </c>
      <c r="AF67" s="11" t="n">
        <f aca="false">AF50-AF47+AF56</f>
        <v>6.87844638337842</v>
      </c>
      <c r="AG67" s="11" t="n">
        <f aca="false">AG50-AG47+AG56</f>
        <v>6.74180670433587</v>
      </c>
      <c r="AH67" s="11" t="n">
        <f aca="false">AH50-AH47+AH56</f>
        <v>6.55271907879505</v>
      </c>
      <c r="AI67" s="11" t="n">
        <f aca="false">AI50-AI47+AI56</f>
        <v>6.29420717777552</v>
      </c>
      <c r="AJ67" s="11" t="n">
        <f aca="false">AJ50-AJ47+AJ56</f>
        <v>6.42712419642703</v>
      </c>
      <c r="AK67" s="11" t="n">
        <f aca="false">AK50-AK47+AK56</f>
        <v>6.07061652433444</v>
      </c>
      <c r="AL67" s="11" t="n">
        <f aca="false">AL50-AL47+AL56</f>
        <v>5.7020616592786</v>
      </c>
      <c r="AM67" s="11" t="n">
        <f aca="false">AM50-AM47+AM56</f>
        <v>5.41551213891379</v>
      </c>
      <c r="AN67" s="11" t="n">
        <f aca="false">AN50-AN47+AN56</f>
        <v>4.93299937317128</v>
      </c>
      <c r="AO67" s="11" t="n">
        <f aca="false">AO50-AO47+AO56</f>
        <v>4.52517645623816</v>
      </c>
      <c r="AP67" s="11" t="n">
        <f aca="false">AP50-AP47+AP56</f>
        <v>3.54560651753069</v>
      </c>
      <c r="AQ67" s="11" t="n">
        <f aca="false">AQ50-AQ47+AQ56</f>
        <v>3.46390827767993</v>
      </c>
      <c r="AR67" s="11" t="n">
        <f aca="false">AR50-AR47+AR56</f>
        <v>2.65410546999336</v>
      </c>
      <c r="AS67" s="11" t="n">
        <f aca="false">AS50-AS47+AS56</f>
        <v>2.07715615888552</v>
      </c>
      <c r="AT67" s="11" t="n">
        <f aca="false">AT50-AT47+AT56</f>
        <v>1.46035856942759</v>
      </c>
      <c r="AU67" s="11" t="n">
        <f aca="false">AU50-AU47+AU56</f>
        <v>1.85692146909169</v>
      </c>
      <c r="AV67" s="11" t="n">
        <f aca="false">AV50-AV47+AV56</f>
        <v>1.1453572314015</v>
      </c>
      <c r="AW67" s="11" t="n">
        <f aca="false">AW50-AW47+AW56</f>
        <v>15.7937640915513</v>
      </c>
      <c r="AX67" s="11" t="n">
        <f aca="false">AX50-AX47+AX56</f>
        <v>9.54896252779195</v>
      </c>
      <c r="AY67" s="11" t="n">
        <f aca="false">AY50-AY47+AY56</f>
        <v>0</v>
      </c>
      <c r="AZ67" s="11" t="n">
        <f aca="false">AZ50-AZ47+AZ56</f>
        <v>0</v>
      </c>
      <c r="BA67" s="11" t="n">
        <f aca="false">BA50-BA47+BA56</f>
        <v>0</v>
      </c>
      <c r="BB67" s="11" t="n">
        <f aca="false">BB50-BB47+BB56</f>
        <v>0</v>
      </c>
      <c r="BC67" s="11" t="n">
        <f aca="false">BC50-BC47+BC56</f>
        <v>0</v>
      </c>
      <c r="BD67" s="11" t="n">
        <f aca="false">BD50-BD47+BD56</f>
        <v>0</v>
      </c>
      <c r="BE67" s="11" t="n">
        <f aca="false">BE50-BE47+BE56</f>
        <v>0</v>
      </c>
      <c r="BF67" s="11" t="n">
        <f aca="false">BF50-BF47+BF56</f>
        <v>0</v>
      </c>
      <c r="BG67" s="11" t="n">
        <f aca="false">BG50-BG47+BG56</f>
        <v>0</v>
      </c>
      <c r="BH67" s="11" t="n">
        <f aca="false">BH50-BH47+BH56</f>
        <v>0</v>
      </c>
      <c r="BI67" s="11" t="n">
        <f aca="false">BI50-BI47+BI56</f>
        <v>0</v>
      </c>
      <c r="BJ67" s="11" t="n">
        <f aca="false">BJ50-BJ47+BJ56</f>
        <v>0</v>
      </c>
    </row>
    <row r="68" customFormat="false" ht="15" hidden="false" customHeight="false" outlineLevel="0" collapsed="false">
      <c r="D68" s="0" t="s">
        <v>626</v>
      </c>
      <c r="E68" s="0" t="s">
        <v>149</v>
      </c>
      <c r="G68" s="11" t="n">
        <f aca="false">SUM(J68:BJ68)</f>
        <v>205.412816616811</v>
      </c>
      <c r="J68" s="11" t="n">
        <f aca="false">J67-IF(Construction!J8=1,Inputs!$F$68,0)</f>
        <v>17.3225815486021</v>
      </c>
      <c r="K68" s="11" t="n">
        <f aca="false">K67-IF(Construction!K8=1,Inputs!$F$68,0)</f>
        <v>0.641945672808953</v>
      </c>
      <c r="L68" s="11" t="n">
        <f aca="false">L67-IF(Construction!L8=1,Inputs!$F$68,0)</f>
        <v>0.767819083298538</v>
      </c>
      <c r="M68" s="11" t="n">
        <f aca="false">M67-IF(Construction!M8=1,Inputs!$F$68,0)</f>
        <v>0.978248432738945</v>
      </c>
      <c r="N68" s="11" t="n">
        <f aca="false">N67-IF(Construction!N8=1,Inputs!$F$68,0)</f>
        <v>1.28546590435322</v>
      </c>
      <c r="O68" s="11" t="n">
        <f aca="false">O67-IF(Construction!O8=1,Inputs!$F$68,0)</f>
        <v>1.64904886393594</v>
      </c>
      <c r="P68" s="11" t="n">
        <f aca="false">P67-IF(Construction!P8=1,Inputs!$F$68,0)</f>
        <v>2.04093558637251</v>
      </c>
      <c r="Q68" s="11" t="n">
        <f aca="false">Q67-IF(Construction!Q8=1,Inputs!$F$68,0)</f>
        <v>2.51477250136539</v>
      </c>
      <c r="R68" s="11" t="n">
        <f aca="false">R67-IF(Construction!R8=1,Inputs!$F$68,0)</f>
        <v>2.98083036692653</v>
      </c>
      <c r="S68" s="11" t="n">
        <f aca="false">S67-IF(Construction!S8=1,Inputs!$F$68,0)</f>
        <v>3.47317013984845</v>
      </c>
      <c r="T68" s="11" t="n">
        <f aca="false">T67-IF(Construction!T8=1,Inputs!$F$68,0)</f>
        <v>3.94362220027208</v>
      </c>
      <c r="U68" s="11" t="n">
        <f aca="false">U67-IF(Construction!U8=1,Inputs!$F$68,0)</f>
        <v>4.41022372499097</v>
      </c>
      <c r="V68" s="11" t="n">
        <f aca="false">V67-IF(Construction!V8=1,Inputs!$F$68,0)</f>
        <v>4.86086276529582</v>
      </c>
      <c r="W68" s="11" t="n">
        <f aca="false">W67-IF(Construction!W8=1,Inputs!$F$68,0)</f>
        <v>5.27335290421629</v>
      </c>
      <c r="X68" s="11" t="n">
        <f aca="false">X67-IF(Construction!X8=1,Inputs!$F$68,0)</f>
        <v>5.66635704207818</v>
      </c>
      <c r="Y68" s="11" t="n">
        <f aca="false">Y67-IF(Construction!Y8=1,Inputs!$F$68,0)</f>
        <v>5.99771465031308</v>
      </c>
      <c r="Z68" s="11" t="n">
        <f aca="false">Z67-IF(Construction!Z8=1,Inputs!$F$68,0)</f>
        <v>6.29862150561439</v>
      </c>
      <c r="AA68" s="11" t="n">
        <f aca="false">AA67-IF(Construction!AA8=1,Inputs!$F$68,0)</f>
        <v>6.8195548334039</v>
      </c>
      <c r="AB68" s="11" t="n">
        <f aca="false">AB67-IF(Construction!AB8=1,Inputs!$F$68,0)</f>
        <v>6.67537349935268</v>
      </c>
      <c r="AC68" s="11" t="n">
        <f aca="false">AC67-IF(Construction!AC8=1,Inputs!$F$68,0)</f>
        <v>6.8153145155739</v>
      </c>
      <c r="AD68" s="11" t="n">
        <f aca="false">AD67-IF(Construction!AD8=1,Inputs!$F$68,0)</f>
        <v>6.95188512089636</v>
      </c>
      <c r="AE68" s="11" t="n">
        <f aca="false">AE67-IF(Construction!AE8=1,Inputs!$F$68,0)</f>
        <v>6.95830574855093</v>
      </c>
      <c r="AF68" s="11" t="n">
        <f aca="false">AF67-IF(Construction!AF8=1,Inputs!$F$68,0)</f>
        <v>6.87844638337842</v>
      </c>
      <c r="AG68" s="11" t="n">
        <f aca="false">AG67-IF(Construction!AG8=1,Inputs!$F$68,0)</f>
        <v>6.74180670433587</v>
      </c>
      <c r="AH68" s="11" t="n">
        <f aca="false">AH67-IF(Construction!AH8=1,Inputs!$F$68,0)</f>
        <v>6.55271907879505</v>
      </c>
      <c r="AI68" s="11" t="n">
        <f aca="false">AI67-IF(Construction!AI8=1,Inputs!$F$68,0)</f>
        <v>6.29420717777552</v>
      </c>
      <c r="AJ68" s="11" t="n">
        <f aca="false">AJ67-IF(Construction!AJ8=1,Inputs!$F$68,0)</f>
        <v>6.42712419642703</v>
      </c>
      <c r="AK68" s="11" t="n">
        <f aca="false">AK67-IF(Construction!AK8=1,Inputs!$F$68,0)</f>
        <v>6.07061652433444</v>
      </c>
      <c r="AL68" s="11" t="n">
        <f aca="false">AL67-IF(Construction!AL8=1,Inputs!$F$68,0)</f>
        <v>5.7020616592786</v>
      </c>
      <c r="AM68" s="11" t="n">
        <f aca="false">AM67-IF(Construction!AM8=1,Inputs!$F$68,0)</f>
        <v>5.41551213891379</v>
      </c>
      <c r="AN68" s="11" t="n">
        <f aca="false">AN67-IF(Construction!AN8=1,Inputs!$F$68,0)</f>
        <v>4.93299937317128</v>
      </c>
      <c r="AO68" s="11" t="n">
        <f aca="false">AO67-IF(Construction!AO8=1,Inputs!$F$68,0)</f>
        <v>4.52517645623816</v>
      </c>
      <c r="AP68" s="11" t="n">
        <f aca="false">AP67-IF(Construction!AP8=1,Inputs!$F$68,0)</f>
        <v>3.54560651753069</v>
      </c>
      <c r="AQ68" s="11" t="n">
        <f aca="false">AQ67-IF(Construction!AQ8=1,Inputs!$F$68,0)</f>
        <v>3.46390827767993</v>
      </c>
      <c r="AR68" s="11" t="n">
        <f aca="false">AR67-IF(Construction!AR8=1,Inputs!$F$68,0)</f>
        <v>2.65410546999336</v>
      </c>
      <c r="AS68" s="11" t="n">
        <f aca="false">AS67-IF(Construction!AS8=1,Inputs!$F$68,0)</f>
        <v>2.07715615888552</v>
      </c>
      <c r="AT68" s="11" t="n">
        <f aca="false">AT67-IF(Construction!AT8=1,Inputs!$F$68,0)</f>
        <v>1.46035856942759</v>
      </c>
      <c r="AU68" s="11" t="n">
        <f aca="false">AU67-IF(Construction!AU8=1,Inputs!$F$68,0)</f>
        <v>1.85692146909169</v>
      </c>
      <c r="AV68" s="11" t="n">
        <f aca="false">AV67-IF(Construction!AV8=1,Inputs!$F$68,0)</f>
        <v>1.1453572314015</v>
      </c>
      <c r="AW68" s="11" t="n">
        <f aca="false">AW67-IF(Construction!AW8=1,Inputs!$F$68,0)</f>
        <v>15.7937640915513</v>
      </c>
      <c r="AX68" s="11" t="n">
        <f aca="false">AX67-IF(Construction!AX8=1,Inputs!$F$68,0)</f>
        <v>9.54896252779195</v>
      </c>
      <c r="AY68" s="11" t="n">
        <f aca="false">AY67-IF(Construction!AY8=1,Inputs!$F$68,0)</f>
        <v>0</v>
      </c>
      <c r="AZ68" s="11" t="n">
        <f aca="false">AZ67-IF(Construction!AZ8=1,Inputs!$F$68,0)</f>
        <v>0</v>
      </c>
      <c r="BA68" s="11" t="n">
        <f aca="false">BA67-IF(Construction!BA8=1,Inputs!$F$68,0)</f>
        <v>0</v>
      </c>
      <c r="BB68" s="11" t="n">
        <f aca="false">BB67-IF(Construction!BB8=1,Inputs!$F$68,0)</f>
        <v>0</v>
      </c>
      <c r="BC68" s="11" t="n">
        <f aca="false">BC67-IF(Construction!BC8=1,Inputs!$F$68,0)</f>
        <v>0</v>
      </c>
      <c r="BD68" s="11" t="n">
        <f aca="false">BD67-IF(Construction!BD8=1,Inputs!$F$68,0)</f>
        <v>0</v>
      </c>
      <c r="BE68" s="11" t="n">
        <f aca="false">BE67-IF(Construction!BE8=1,Inputs!$F$68,0)</f>
        <v>0</v>
      </c>
      <c r="BF68" s="11" t="n">
        <f aca="false">BF67-IF(Construction!BF8=1,Inputs!$F$68,0)</f>
        <v>0</v>
      </c>
      <c r="BG68" s="11" t="n">
        <f aca="false">BG67-IF(Construction!BG8=1,Inputs!$F$68,0)</f>
        <v>0</v>
      </c>
      <c r="BH68" s="11" t="n">
        <f aca="false">BH67-IF(Construction!BH8=1,Inputs!$F$68,0)</f>
        <v>0</v>
      </c>
      <c r="BI68" s="11" t="n">
        <f aca="false">BI67-IF(Construction!BI8=1,Inputs!$F$68,0)</f>
        <v>0</v>
      </c>
      <c r="BJ68" s="11" t="n">
        <f aca="false">BJ67-IF(Construction!BJ8=1,Inputs!$F$68,0)</f>
        <v>0</v>
      </c>
    </row>
    <row r="69" customFormat="false" ht="15" hidden="false" customHeight="false" outlineLevel="0" collapsed="false">
      <c r="D69" s="0" t="s">
        <v>627</v>
      </c>
      <c r="E69" s="0" t="s">
        <v>149</v>
      </c>
      <c r="G69" s="11" t="n">
        <f aca="false">SUM(J69:BJ69)</f>
        <v>43.9225633233622</v>
      </c>
      <c r="J69" s="11" t="n">
        <f aca="false">(1-Inputs!$F$53)*J67</f>
        <v>6.30451630972041</v>
      </c>
      <c r="K69" s="11" t="n">
        <f aca="false">(1-Inputs!$F$53)*K67</f>
        <v>0.128389134561791</v>
      </c>
      <c r="L69" s="11" t="n">
        <f aca="false">(1-Inputs!$F$53)*L67</f>
        <v>0.153563816659708</v>
      </c>
      <c r="M69" s="11" t="n">
        <f aca="false">(1-Inputs!$F$53)*M67</f>
        <v>0.195649686547789</v>
      </c>
      <c r="N69" s="11" t="n">
        <f aca="false">(1-Inputs!$F$53)*N67</f>
        <v>0.257093180870643</v>
      </c>
      <c r="O69" s="11" t="n">
        <f aca="false">(1-Inputs!$F$53)*O67</f>
        <v>0.329809772787188</v>
      </c>
      <c r="P69" s="11" t="n">
        <f aca="false">(1-Inputs!$F$53)*P67</f>
        <v>0.408187117274501</v>
      </c>
      <c r="Q69" s="11" t="n">
        <f aca="false">(1-Inputs!$F$53)*Q67</f>
        <v>0.502954500273078</v>
      </c>
      <c r="R69" s="11" t="n">
        <f aca="false">(1-Inputs!$F$53)*R67</f>
        <v>0.596166073385305</v>
      </c>
      <c r="S69" s="11" t="n">
        <f aca="false">(1-Inputs!$F$53)*S67</f>
        <v>0.694634027969691</v>
      </c>
      <c r="T69" s="11" t="n">
        <f aca="false">(1-Inputs!$F$53)*T67</f>
        <v>0.788724440054416</v>
      </c>
      <c r="U69" s="11" t="n">
        <f aca="false">(1-Inputs!$F$53)*U67</f>
        <v>0.882044744998195</v>
      </c>
      <c r="V69" s="11" t="n">
        <f aca="false">(1-Inputs!$F$53)*V67</f>
        <v>0.972172553059163</v>
      </c>
      <c r="W69" s="11" t="n">
        <f aca="false">(1-Inputs!$F$53)*W67</f>
        <v>1.05467058084326</v>
      </c>
      <c r="X69" s="11" t="n">
        <f aca="false">(1-Inputs!$F$53)*X67</f>
        <v>1.13327140841564</v>
      </c>
      <c r="Y69" s="11" t="n">
        <f aca="false">(1-Inputs!$F$53)*Y67</f>
        <v>1.19954293006261</v>
      </c>
      <c r="Z69" s="11" t="n">
        <f aca="false">(1-Inputs!$F$53)*Z67</f>
        <v>1.25972430112288</v>
      </c>
      <c r="AA69" s="11" t="n">
        <f aca="false">(1-Inputs!$F$53)*AA67</f>
        <v>1.36391096668078</v>
      </c>
      <c r="AB69" s="11" t="n">
        <f aca="false">(1-Inputs!$F$53)*AB67</f>
        <v>1.33507469987054</v>
      </c>
      <c r="AC69" s="11" t="n">
        <f aca="false">(1-Inputs!$F$53)*AC67</f>
        <v>1.36306290311478</v>
      </c>
      <c r="AD69" s="11" t="n">
        <f aca="false">(1-Inputs!$F$53)*AD67</f>
        <v>1.39037702417927</v>
      </c>
      <c r="AE69" s="11" t="n">
        <f aca="false">(1-Inputs!$F$53)*AE67</f>
        <v>1.39166114971019</v>
      </c>
      <c r="AF69" s="11" t="n">
        <f aca="false">(1-Inputs!$F$53)*AF67</f>
        <v>1.37568927667568</v>
      </c>
      <c r="AG69" s="11" t="n">
        <f aca="false">(1-Inputs!$F$53)*AG67</f>
        <v>1.34836134086717</v>
      </c>
      <c r="AH69" s="11" t="n">
        <f aca="false">(1-Inputs!$F$53)*AH67</f>
        <v>1.31054381575901</v>
      </c>
      <c r="AI69" s="11" t="n">
        <f aca="false">(1-Inputs!$F$53)*AI67</f>
        <v>1.2588414355551</v>
      </c>
      <c r="AJ69" s="11" t="n">
        <f aca="false">(1-Inputs!$F$53)*AJ67</f>
        <v>1.28542483928541</v>
      </c>
      <c r="AK69" s="11" t="n">
        <f aca="false">(1-Inputs!$F$53)*AK67</f>
        <v>1.21412330486689</v>
      </c>
      <c r="AL69" s="11" t="n">
        <f aca="false">(1-Inputs!$F$53)*AL67</f>
        <v>1.14041233185572</v>
      </c>
      <c r="AM69" s="11" t="n">
        <f aca="false">(1-Inputs!$F$53)*AM67</f>
        <v>1.08310242778276</v>
      </c>
      <c r="AN69" s="11" t="n">
        <f aca="false">(1-Inputs!$F$53)*AN67</f>
        <v>0.986599874634255</v>
      </c>
      <c r="AO69" s="11" t="n">
        <f aca="false">(1-Inputs!$F$53)*AO67</f>
        <v>0.905035291247631</v>
      </c>
      <c r="AP69" s="11" t="n">
        <f aca="false">(1-Inputs!$F$53)*AP67</f>
        <v>0.709121303506137</v>
      </c>
      <c r="AQ69" s="11" t="n">
        <f aca="false">(1-Inputs!$F$53)*AQ67</f>
        <v>0.692781655535985</v>
      </c>
      <c r="AR69" s="11" t="n">
        <f aca="false">(1-Inputs!$F$53)*AR67</f>
        <v>0.530821093998672</v>
      </c>
      <c r="AS69" s="11" t="n">
        <f aca="false">(1-Inputs!$F$53)*AS67</f>
        <v>0.415431231777104</v>
      </c>
      <c r="AT69" s="11" t="n">
        <f aca="false">(1-Inputs!$F$53)*AT67</f>
        <v>0.292071713885518</v>
      </c>
      <c r="AU69" s="11" t="n">
        <f aca="false">(1-Inputs!$F$53)*AU67</f>
        <v>0.371384293818337</v>
      </c>
      <c r="AV69" s="11" t="n">
        <f aca="false">(1-Inputs!$F$53)*AV67</f>
        <v>0.2290714462803</v>
      </c>
      <c r="AW69" s="11" t="n">
        <f aca="false">(1-Inputs!$F$53)*AW67</f>
        <v>3.15875281831027</v>
      </c>
      <c r="AX69" s="11" t="n">
        <f aca="false">(1-Inputs!$F$53)*AX67</f>
        <v>1.90979250555839</v>
      </c>
      <c r="AY69" s="11" t="n">
        <f aca="false">(1-Inputs!$F$53)*AY67</f>
        <v>0</v>
      </c>
      <c r="AZ69" s="11" t="n">
        <f aca="false">(1-Inputs!$F$53)*AZ67</f>
        <v>0</v>
      </c>
      <c r="BA69" s="11" t="n">
        <f aca="false">(1-Inputs!$F$53)*BA67</f>
        <v>0</v>
      </c>
      <c r="BB69" s="11" t="n">
        <f aca="false">(1-Inputs!$F$53)*BB67</f>
        <v>0</v>
      </c>
      <c r="BC69" s="11" t="n">
        <f aca="false">(1-Inputs!$F$53)*BC67</f>
        <v>0</v>
      </c>
      <c r="BD69" s="11" t="n">
        <f aca="false">(1-Inputs!$F$53)*BD67</f>
        <v>0</v>
      </c>
      <c r="BE69" s="11" t="n">
        <f aca="false">(1-Inputs!$F$53)*BE67</f>
        <v>0</v>
      </c>
      <c r="BF69" s="11" t="n">
        <f aca="false">(1-Inputs!$F$53)*BF67</f>
        <v>0</v>
      </c>
      <c r="BG69" s="11" t="n">
        <f aca="false">(1-Inputs!$F$53)*BG67</f>
        <v>0</v>
      </c>
      <c r="BH69" s="11" t="n">
        <f aca="false">(1-Inputs!$F$53)*BH67</f>
        <v>0</v>
      </c>
      <c r="BI69" s="11" t="n">
        <f aca="false">(1-Inputs!$F$53)*BI67</f>
        <v>0</v>
      </c>
      <c r="BJ69" s="11" t="n">
        <f aca="false">(1-Inputs!$F$53)*BJ67</f>
        <v>0</v>
      </c>
    </row>
    <row r="70" customFormat="false" ht="15" hidden="false" customHeight="false" outlineLevel="0" collapsed="false">
      <c r="D70" s="0" t="s">
        <v>628</v>
      </c>
      <c r="E70" s="0" t="s">
        <v>149</v>
      </c>
      <c r="G70" s="11" t="n">
        <f aca="false">SUM(J70:BJ70)</f>
        <v>175.690253293449</v>
      </c>
      <c r="J70" s="11" t="n">
        <f aca="false">Inputs!$F$53*J67</f>
        <v>25.2180652388817</v>
      </c>
      <c r="K70" s="11" t="n">
        <f aca="false">Inputs!$F$53*K67</f>
        <v>0.513556538247163</v>
      </c>
      <c r="L70" s="11" t="n">
        <f aca="false">Inputs!$F$53*L67</f>
        <v>0.614255266638831</v>
      </c>
      <c r="M70" s="11" t="n">
        <f aca="false">Inputs!$F$53*M67</f>
        <v>0.782598746191156</v>
      </c>
      <c r="N70" s="11" t="n">
        <f aca="false">Inputs!$F$53*N67</f>
        <v>1.02837272348257</v>
      </c>
      <c r="O70" s="11" t="n">
        <f aca="false">Inputs!$F$53*O67</f>
        <v>1.31923909114875</v>
      </c>
      <c r="P70" s="11" t="n">
        <f aca="false">Inputs!$F$53*P67</f>
        <v>1.632748469098</v>
      </c>
      <c r="Q70" s="11" t="n">
        <f aca="false">Inputs!$F$53*Q67</f>
        <v>2.01181800109231</v>
      </c>
      <c r="R70" s="11" t="n">
        <f aca="false">Inputs!$F$53*R67</f>
        <v>2.38466429354122</v>
      </c>
      <c r="S70" s="11" t="n">
        <f aca="false">Inputs!$F$53*S67</f>
        <v>2.77853611187876</v>
      </c>
      <c r="T70" s="11" t="n">
        <f aca="false">Inputs!$F$53*T67</f>
        <v>3.15489776021766</v>
      </c>
      <c r="U70" s="11" t="n">
        <f aca="false">Inputs!$F$53*U67</f>
        <v>3.52817897999278</v>
      </c>
      <c r="V70" s="11" t="n">
        <f aca="false">Inputs!$F$53*V67</f>
        <v>3.88869021223665</v>
      </c>
      <c r="W70" s="11" t="n">
        <f aca="false">Inputs!$F$53*W67</f>
        <v>4.21868232337304</v>
      </c>
      <c r="X70" s="11" t="n">
        <f aca="false">Inputs!$F$53*X67</f>
        <v>4.53308563366255</v>
      </c>
      <c r="Y70" s="11" t="n">
        <f aca="false">Inputs!$F$53*Y67</f>
        <v>4.79817172025046</v>
      </c>
      <c r="Z70" s="11" t="n">
        <f aca="false">Inputs!$F$53*Z67</f>
        <v>5.03889720449151</v>
      </c>
      <c r="AA70" s="11" t="n">
        <f aca="false">Inputs!$F$53*AA67</f>
        <v>5.45564386672312</v>
      </c>
      <c r="AB70" s="11" t="n">
        <f aca="false">Inputs!$F$53*AB67</f>
        <v>5.34029879948214</v>
      </c>
      <c r="AC70" s="11" t="n">
        <f aca="false">Inputs!$F$53*AC67</f>
        <v>5.45225161245912</v>
      </c>
      <c r="AD70" s="11" t="n">
        <f aca="false">Inputs!$F$53*AD67</f>
        <v>5.56150809671709</v>
      </c>
      <c r="AE70" s="11" t="n">
        <f aca="false">Inputs!$F$53*AE67</f>
        <v>5.56664459884075</v>
      </c>
      <c r="AF70" s="11" t="n">
        <f aca="false">Inputs!$F$53*AF67</f>
        <v>5.50275710670274</v>
      </c>
      <c r="AG70" s="11" t="n">
        <f aca="false">Inputs!$F$53*AG67</f>
        <v>5.3934453634687</v>
      </c>
      <c r="AH70" s="11" t="n">
        <f aca="false">Inputs!$F$53*AH67</f>
        <v>5.24217526303604</v>
      </c>
      <c r="AI70" s="11" t="n">
        <f aca="false">Inputs!$F$53*AI67</f>
        <v>5.03536574222042</v>
      </c>
      <c r="AJ70" s="11" t="n">
        <f aca="false">Inputs!$F$53*AJ67</f>
        <v>5.14169935714163</v>
      </c>
      <c r="AK70" s="11" t="n">
        <f aca="false">Inputs!$F$53*AK67</f>
        <v>4.85649321946755</v>
      </c>
      <c r="AL70" s="11" t="n">
        <f aca="false">Inputs!$F$53*AL67</f>
        <v>4.56164932742288</v>
      </c>
      <c r="AM70" s="11" t="n">
        <f aca="false">Inputs!$F$53*AM67</f>
        <v>4.33240971113103</v>
      </c>
      <c r="AN70" s="11" t="n">
        <f aca="false">Inputs!$F$53*AN67</f>
        <v>3.94639949853702</v>
      </c>
      <c r="AO70" s="11" t="n">
        <f aca="false">Inputs!$F$53*AO67</f>
        <v>3.62014116499052</v>
      </c>
      <c r="AP70" s="11" t="n">
        <f aca="false">Inputs!$F$53*AP67</f>
        <v>2.83648521402455</v>
      </c>
      <c r="AQ70" s="11" t="n">
        <f aca="false">Inputs!$F$53*AQ67</f>
        <v>2.77112662214394</v>
      </c>
      <c r="AR70" s="11" t="n">
        <f aca="false">Inputs!$F$53*AR67</f>
        <v>2.12328437599469</v>
      </c>
      <c r="AS70" s="11" t="n">
        <f aca="false">Inputs!$F$53*AS67</f>
        <v>1.66172492710842</v>
      </c>
      <c r="AT70" s="11" t="n">
        <f aca="false">Inputs!$F$53*AT67</f>
        <v>1.16828685554207</v>
      </c>
      <c r="AU70" s="11" t="n">
        <f aca="false">Inputs!$F$53*AU67</f>
        <v>1.48553717527335</v>
      </c>
      <c r="AV70" s="11" t="n">
        <f aca="false">Inputs!$F$53*AV67</f>
        <v>0.916285785121198</v>
      </c>
      <c r="AW70" s="11" t="n">
        <f aca="false">Inputs!$F$53*AW67</f>
        <v>12.6350112732411</v>
      </c>
      <c r="AX70" s="11" t="n">
        <f aca="false">Inputs!$F$53*AX67</f>
        <v>7.63917002223356</v>
      </c>
      <c r="AY70" s="11" t="n">
        <f aca="false">Inputs!$F$53*AY67</f>
        <v>0</v>
      </c>
      <c r="AZ70" s="11" t="n">
        <f aca="false">Inputs!$F$53*AZ67</f>
        <v>0</v>
      </c>
      <c r="BA70" s="11" t="n">
        <f aca="false">Inputs!$F$53*BA67</f>
        <v>0</v>
      </c>
      <c r="BB70" s="11" t="n">
        <f aca="false">Inputs!$F$53*BB67</f>
        <v>0</v>
      </c>
      <c r="BC70" s="11" t="n">
        <f aca="false">Inputs!$F$53*BC67</f>
        <v>0</v>
      </c>
      <c r="BD70" s="11" t="n">
        <f aca="false">Inputs!$F$53*BD67</f>
        <v>0</v>
      </c>
      <c r="BE70" s="11" t="n">
        <f aca="false">Inputs!$F$53*BE67</f>
        <v>0</v>
      </c>
      <c r="BF70" s="11" t="n">
        <f aca="false">Inputs!$F$53*BF67</f>
        <v>0</v>
      </c>
      <c r="BG70" s="11" t="n">
        <f aca="false">Inputs!$F$53*BG67</f>
        <v>0</v>
      </c>
      <c r="BH70" s="11" t="n">
        <f aca="false">Inputs!$F$53*BH67</f>
        <v>0</v>
      </c>
      <c r="BI70" s="11" t="n">
        <f aca="false">Inputs!$F$53*BI67</f>
        <v>0</v>
      </c>
      <c r="BJ70" s="11" t="n">
        <f aca="false">Inputs!$F$53*BJ67</f>
        <v>0</v>
      </c>
    </row>
    <row r="71" customFormat="false" ht="15" hidden="false" customHeight="false" outlineLevel="0" collapsed="false">
      <c r="D71" s="0" t="s">
        <v>629</v>
      </c>
      <c r="E71" s="0" t="s">
        <v>149</v>
      </c>
      <c r="G71" s="11" t="n">
        <f aca="false">SUM(J71:BJ71)</f>
        <v>29.7658427530651</v>
      </c>
      <c r="J71" s="11" t="n">
        <f aca="false">IF(Construction!J8&lt;=Time!$F$10,0*Inputs!$F$104/100*Construction!J11/365,0)</f>
        <v>0</v>
      </c>
      <c r="K71" s="11" t="n">
        <f aca="false">IF(Construction!K8&lt;=Time!$F$10,J72*Inputs!$F$104/100*Construction!K11/365,0)</f>
        <v>0.196908180632364</v>
      </c>
      <c r="L71" s="11" t="n">
        <f aca="false">IF(Construction!L8&lt;=Time!$F$10,K72*Inputs!$F$104/100*Construction!L11/365,0)</f>
        <v>0.209204166371525</v>
      </c>
      <c r="M71" s="11" t="n">
        <f aca="false">IF(Construction!M8&lt;=Time!$F$10,L72*Inputs!$F$104/100*Construction!M11/365,0)</f>
        <v>0.208885396612874</v>
      </c>
      <c r="N71" s="11" t="n">
        <f aca="false">IF(Construction!N8&lt;=Time!$F$10,M72*Inputs!$F$104/100*Construction!N11/365,0)</f>
        <v>0.223848026181863</v>
      </c>
      <c r="O71" s="11" t="n">
        <f aca="false">IF(Construction!O8&lt;=Time!$F$10,N72*Inputs!$F$104/100*Construction!O11/365,0)</f>
        <v>0.233951560723676</v>
      </c>
      <c r="P71" s="11" t="n">
        <f aca="false">IF(Construction!P8&lt;=Time!$F$10,O72*Inputs!$F$104/100*Construction!P11/365,0)</f>
        <v>0.22263022993808</v>
      </c>
      <c r="Q71" s="11" t="n">
        <f aca="false">IF(Construction!Q8&lt;=Time!$F$10,P72*Inputs!$F$104/100*Construction!Q11/365,0)</f>
        <v>0.261453579185116</v>
      </c>
      <c r="R71" s="11" t="n">
        <f aca="false">IF(Construction!R8&lt;=Time!$F$10,Q72*Inputs!$F$104/100*Construction!R11/365,0)</f>
        <v>0.270769795509901</v>
      </c>
      <c r="S71" s="11" t="n">
        <f aca="false">IF(Construction!S8&lt;=Time!$F$10,R72*Inputs!$F$104/100*Construction!S11/365,0)</f>
        <v>0.301220807119836</v>
      </c>
      <c r="T71" s="11" t="n">
        <f aca="false">IF(Construction!T8&lt;=Time!$F$10,S72*Inputs!$F$104/100*Construction!T11/365,0)</f>
        <v>0.31555142392892</v>
      </c>
      <c r="U71" s="11" t="n">
        <f aca="false">IF(Construction!U8&lt;=Time!$F$10,T72*Inputs!$F$104/100*Construction!U11/365,0)</f>
        <v>0.354071100198637</v>
      </c>
      <c r="V71" s="11" t="n">
        <f aca="false">IF(Construction!V8&lt;=Time!$F$10,U72*Inputs!$F$104/100*Construction!V11/365,0)</f>
        <v>0.385395008379908</v>
      </c>
      <c r="W71" s="11" t="n">
        <f aca="false">IF(Construction!W8&lt;=Time!$F$10,V72*Inputs!$F$104/100*Construction!W11/365,0)</f>
        <v>0.40633590552377</v>
      </c>
      <c r="X71" s="11" t="n">
        <f aca="false">IF(Construction!X8&lt;=Time!$F$10,W72*Inputs!$F$104/100*Construction!X11/365,0)</f>
        <v>0.457197363609543</v>
      </c>
      <c r="Y71" s="11" t="n">
        <f aca="false">IF(Construction!Y8&lt;=Time!$F$10,X72*Inputs!$F$104/100*Construction!Y11/365,0)</f>
        <v>0.48141428496098</v>
      </c>
      <c r="Z71" s="11" t="n">
        <f aca="false">IF(Construction!Z8&lt;=Time!$F$10,Y72*Inputs!$F$104/100*Construction!Z11/365,0)</f>
        <v>0.540059731314513</v>
      </c>
      <c r="AA71" s="11" t="n">
        <f aca="false">IF(Construction!AA8&lt;=Time!$F$10,Z72*Inputs!$F$104/100*Construction!AA11/365,0)</f>
        <v>0.58507350713903</v>
      </c>
      <c r="AB71" s="11" t="n">
        <f aca="false">IF(Construction!AB8&lt;=Time!$F$10,AA72*Inputs!$F$104/100*Construction!AB11/365,0)</f>
        <v>0.592921832998792</v>
      </c>
      <c r="AC71" s="11" t="n">
        <f aca="false">IF(Construction!AC8&lt;=Time!$F$10,AB72*Inputs!$F$104/100*Construction!AC11/365,0)</f>
        <v>0.681685143929935</v>
      </c>
      <c r="AD71" s="11" t="n">
        <f aca="false">IF(Construction!AD8&lt;=Time!$F$10,AC72*Inputs!$F$104/100*Construction!AD11/365,0)</f>
        <v>0.707590423195737</v>
      </c>
      <c r="AE71" s="11" t="n">
        <f aca="false">IF(Construction!AE8&lt;=Time!$F$10,AD72*Inputs!$F$104/100*Construction!AE11/365,0)</f>
        <v>0.78175894910448</v>
      </c>
      <c r="AF71" s="11" t="n">
        <f aca="false">IF(Construction!AF8&lt;=Time!$F$10,AE72*Inputs!$F$104/100*Construction!AF11/365,0)</f>
        <v>0.806110644821478</v>
      </c>
      <c r="AG71" s="11" t="n">
        <f aca="false">IF(Construction!AG8&lt;=Time!$F$10,AF72*Inputs!$F$104/100*Construction!AG11/365,0)</f>
        <v>0.88388405589061</v>
      </c>
      <c r="AH71" s="11" t="n">
        <f aca="false">IF(Construction!AH8&lt;=Time!$F$10,AG72*Inputs!$F$104/100*Construction!AH11/365,0)</f>
        <v>0.934532645315304</v>
      </c>
      <c r="AI71" s="11" t="n">
        <f aca="false">IF(Construction!AI8&lt;=Time!$F$10,AH72*Inputs!$F$104/100*Construction!AI11/365,0)</f>
        <v>0.952615520097695</v>
      </c>
      <c r="AJ71" s="11" t="n">
        <f aca="false">IF(Construction!AJ8&lt;=Time!$F$10,AI72*Inputs!$F$104/100*Construction!AJ11/365,0)</f>
        <v>1.03268335656906</v>
      </c>
      <c r="AK71" s="11" t="n">
        <f aca="false">IF(Construction!AK8&lt;=Time!$F$10,AJ72*Inputs!$F$104/100*Construction!AK11/365,0)</f>
        <v>1.04758192374614</v>
      </c>
      <c r="AL71" s="11" t="n">
        <f aca="false">IF(Construction!AL8&lt;=Time!$F$10,AK72*Inputs!$F$104/100*Construction!AL11/365,0)</f>
        <v>1.13013831105849</v>
      </c>
      <c r="AM71" s="11" t="n">
        <f aca="false">IF(Construction!AM8&lt;=Time!$F$10,AL72*Inputs!$F$104/100*Construction!AM11/365,0)</f>
        <v>1.17606246063473</v>
      </c>
      <c r="AN71" s="11" t="n">
        <f aca="false">IF(Construction!AN8&lt;=Time!$F$10,AM72*Inputs!$F$104/100*Construction!AN11/365,0)</f>
        <v>1.10239389862755</v>
      </c>
      <c r="AO71" s="11" t="n">
        <f aca="false">IF(Construction!AO8&lt;=Time!$F$10,AN72*Inputs!$F$104/100*Construction!AO11/365,0)</f>
        <v>1.26124368556761</v>
      </c>
      <c r="AP71" s="11" t="n">
        <f aca="false">IF(Construction!AP8&lt;=Time!$F$10,AO72*Inputs!$F$104/100*Construction!AP11/365,0)</f>
        <v>1.25867332819374</v>
      </c>
      <c r="AQ71" s="11" t="n">
        <f aca="false">IF(Construction!AQ8&lt;=Time!$F$10,AP72*Inputs!$F$104/100*Construction!AQ11/365,0)</f>
        <v>1.33367086444905</v>
      </c>
      <c r="AR71" s="11" t="n">
        <f aca="false">IF(Construction!AR8&lt;=Time!$F$10,AQ72*Inputs!$F$104/100*Construction!AR11/365,0)</f>
        <v>1.32270038211733</v>
      </c>
      <c r="AS71" s="11" t="n">
        <f aca="false">IF(Construction!AS8&lt;=Time!$F$10,AR72*Inputs!$F$104/100*Construction!AS11/365,0)</f>
        <v>1.39459429927277</v>
      </c>
      <c r="AT71" s="11" t="n">
        <f aca="false">IF(Construction!AT8&lt;=Time!$F$10,AS72*Inputs!$F$104/100*Construction!AT11/365,0)</f>
        <v>1.41925419001713</v>
      </c>
      <c r="AU71" s="11" t="n">
        <f aca="false">IF(Construction!AU8&lt;=Time!$F$10,AT72*Inputs!$F$104/100*Construction!AU11/365,0)</f>
        <v>1.39367588440678</v>
      </c>
      <c r="AV71" s="11" t="n">
        <f aca="false">IF(Construction!AV8&lt;=Time!$F$10,AU72*Inputs!$F$104/100*Construction!AV11/365,0)</f>
        <v>1.46336265807173</v>
      </c>
      <c r="AW71" s="11" t="n">
        <f aca="false">IF(Construction!AW8&lt;=Time!$F$10,AV72*Inputs!$F$104/100*Construction!AW11/365,0)</f>
        <v>1.43473822764839</v>
      </c>
      <c r="AX71" s="11" t="n">
        <f aca="false">IF(Construction!AX8&lt;=Time!$F$10,AW72*Inputs!$F$104/100*Construction!AX11/365,0)</f>
        <v>0</v>
      </c>
      <c r="AY71" s="11" t="n">
        <f aca="false">IF(Construction!AY8&lt;=Time!$F$10,AX72*Inputs!$F$104/100*Construction!AY11/365,0)</f>
        <v>0</v>
      </c>
      <c r="AZ71" s="11" t="n">
        <f aca="false">IF(Construction!AZ8&lt;=Time!$F$10,AY72*Inputs!$F$104/100*Construction!AZ11/365,0)</f>
        <v>0</v>
      </c>
      <c r="BA71" s="11" t="n">
        <f aca="false">IF(Construction!BA8&lt;=Time!$F$10,AZ72*Inputs!$F$104/100*Construction!BA11/365,0)</f>
        <v>0</v>
      </c>
      <c r="BB71" s="11" t="n">
        <f aca="false">IF(Construction!BB8&lt;=Time!$F$10,BA72*Inputs!$F$104/100*Construction!BB11/365,0)</f>
        <v>0</v>
      </c>
      <c r="BC71" s="11" t="n">
        <f aca="false">IF(Construction!BC8&lt;=Time!$F$10,BB72*Inputs!$F$104/100*Construction!BC11/365,0)</f>
        <v>0</v>
      </c>
      <c r="BD71" s="11" t="n">
        <f aca="false">IF(Construction!BD8&lt;=Time!$F$10,BC72*Inputs!$F$104/100*Construction!BD11/365,0)</f>
        <v>0</v>
      </c>
      <c r="BE71" s="11" t="n">
        <f aca="false">IF(Construction!BE8&lt;=Time!$F$10,BD72*Inputs!$F$104/100*Construction!BE11/365,0)</f>
        <v>0</v>
      </c>
      <c r="BF71" s="11" t="n">
        <f aca="false">IF(Construction!BF8&lt;=Time!$F$10,BE72*Inputs!$F$104/100*Construction!BF11/365,0)</f>
        <v>0</v>
      </c>
      <c r="BG71" s="11" t="n">
        <f aca="false">IF(Construction!BG8&lt;=Time!$F$10,BF72*Inputs!$F$104/100*Construction!BG11/365,0)</f>
        <v>0</v>
      </c>
      <c r="BH71" s="11" t="n">
        <f aca="false">IF(Construction!BH8&lt;=Time!$F$10,BG72*Inputs!$F$104/100*Construction!BH11/365,0)</f>
        <v>0</v>
      </c>
      <c r="BI71" s="11" t="n">
        <f aca="false">IF(Construction!BI8&lt;=Time!$F$10,BH72*Inputs!$F$104/100*Construction!BI11/365,0)</f>
        <v>0</v>
      </c>
      <c r="BJ71" s="11" t="n">
        <f aca="false">IF(Construction!BJ8&lt;=Time!$F$10,BI72*Inputs!$F$104/100*Construction!BJ11/365,0)</f>
        <v>0</v>
      </c>
    </row>
    <row r="72" customFormat="false" ht="15" hidden="false" customHeight="false" outlineLevel="0" collapsed="false">
      <c r="D72" s="0" t="s">
        <v>630</v>
      </c>
      <c r="E72" s="0" t="s">
        <v>149</v>
      </c>
      <c r="J72" s="11" t="n">
        <f aca="false">0+J71+J70</f>
        <v>25.2180652388817</v>
      </c>
      <c r="K72" s="11" t="n">
        <f aca="false">J72+K71+K70</f>
        <v>25.9285299577612</v>
      </c>
      <c r="L72" s="11" t="n">
        <f aca="false">K72+L71+L70</f>
        <v>26.7519893907715</v>
      </c>
      <c r="M72" s="11" t="n">
        <f aca="false">L72+M71+M70</f>
        <v>27.7434735335756</v>
      </c>
      <c r="N72" s="11" t="n">
        <f aca="false">M72+N71+N70</f>
        <v>28.99569428324</v>
      </c>
      <c r="O72" s="11" t="n">
        <f aca="false">N72+O71+O70</f>
        <v>30.5488849351124</v>
      </c>
      <c r="P72" s="11" t="n">
        <f aca="false">O72+P71+P70</f>
        <v>32.4042636341485</v>
      </c>
      <c r="Q72" s="11" t="n">
        <f aca="false">P72+Q71+Q70</f>
        <v>34.6775352144259</v>
      </c>
      <c r="R72" s="11" t="n">
        <f aca="false">Q72+R71+R70</f>
        <v>37.3329693034771</v>
      </c>
      <c r="S72" s="11" t="n">
        <f aca="false">R72+S71+S70</f>
        <v>40.4127262224757</v>
      </c>
      <c r="T72" s="11" t="n">
        <f aca="false">S72+T71+T70</f>
        <v>43.8831754066222</v>
      </c>
      <c r="U72" s="11" t="n">
        <f aca="false">T72+U71+U70</f>
        <v>47.7654254868137</v>
      </c>
      <c r="V72" s="11" t="n">
        <f aca="false">U72+V71+V70</f>
        <v>52.0395107074302</v>
      </c>
      <c r="W72" s="11" t="n">
        <f aca="false">V72+W71+W70</f>
        <v>56.664528936327</v>
      </c>
      <c r="X72" s="11" t="n">
        <f aca="false">W72+X71+X70</f>
        <v>61.6548119335991</v>
      </c>
      <c r="Y72" s="11" t="n">
        <f aca="false">X72+Y71+Y70</f>
        <v>66.9343979388106</v>
      </c>
      <c r="Z72" s="11" t="n">
        <f aca="false">Y72+Z71+Z70</f>
        <v>72.5133548746166</v>
      </c>
      <c r="AA72" s="11" t="n">
        <f aca="false">Z72+AA71+AA70</f>
        <v>78.5540722484787</v>
      </c>
      <c r="AB72" s="11" t="n">
        <f aca="false">AA72+AB71+AB70</f>
        <v>84.4872928809597</v>
      </c>
      <c r="AC72" s="11" t="n">
        <f aca="false">AB72+AC71+AC70</f>
        <v>90.6212296373487</v>
      </c>
      <c r="AD72" s="11" t="n">
        <f aca="false">AC72+AD71+AD70</f>
        <v>96.8903281572616</v>
      </c>
      <c r="AE72" s="11" t="n">
        <f aca="false">AD72+AE71+AE70</f>
        <v>103.238731705207</v>
      </c>
      <c r="AF72" s="11" t="n">
        <f aca="false">AE72+AF71+AF70</f>
        <v>109.547599456731</v>
      </c>
      <c r="AG72" s="11" t="n">
        <f aca="false">AF72+AG71+AG70</f>
        <v>115.82492887609</v>
      </c>
      <c r="AH72" s="11" t="n">
        <f aca="false">AG72+AH71+AH70</f>
        <v>122.001636784442</v>
      </c>
      <c r="AI72" s="11" t="n">
        <f aca="false">AH72+AI71+AI70</f>
        <v>127.98961804676</v>
      </c>
      <c r="AJ72" s="11" t="n">
        <f aca="false">AI72+AJ71+AJ70</f>
        <v>134.16400076047</v>
      </c>
      <c r="AK72" s="11" t="n">
        <f aca="false">AJ72+AK71+AK70</f>
        <v>140.068075903684</v>
      </c>
      <c r="AL72" s="11" t="n">
        <f aca="false">AK72+AL71+AL70</f>
        <v>145.759863542166</v>
      </c>
      <c r="AM72" s="11" t="n">
        <f aca="false">AL72+AM71+AM70</f>
        <v>151.268335713931</v>
      </c>
      <c r="AN72" s="11" t="n">
        <f aca="false">AM72+AN71+AN70</f>
        <v>156.317129111096</v>
      </c>
      <c r="AO72" s="11" t="n">
        <f aca="false">AN72+AO71+AO70</f>
        <v>161.198513961654</v>
      </c>
      <c r="AP72" s="11" t="n">
        <f aca="false">AO72+AP71+AP70</f>
        <v>165.293672503872</v>
      </c>
      <c r="AQ72" s="11" t="n">
        <f aca="false">AP72+AQ71+AQ70</f>
        <v>169.398469990465</v>
      </c>
      <c r="AR72" s="11" t="n">
        <f aca="false">AQ72+AR71+AR70</f>
        <v>172.844454748577</v>
      </c>
      <c r="AS72" s="11" t="n">
        <f aca="false">AR72+AS71+AS70</f>
        <v>175.900773974959</v>
      </c>
      <c r="AT72" s="11" t="n">
        <f aca="false">AS72+AT71+AT70</f>
        <v>178.488315020518</v>
      </c>
      <c r="AU72" s="11" t="n">
        <f aca="false">AT72+AU71+AU70</f>
        <v>181.367528080198</v>
      </c>
      <c r="AV72" s="11" t="n">
        <f aca="false">AU72+AV71+AV70</f>
        <v>183.747176523391</v>
      </c>
      <c r="AW72" s="11" t="n">
        <f aca="false">AV72+AW71+AW70</f>
        <v>197.81692602428</v>
      </c>
      <c r="AX72" s="11" t="n">
        <f aca="false">AW72+AX71+AX70</f>
        <v>205.456096046514</v>
      </c>
      <c r="AY72" s="11" t="n">
        <f aca="false">AX72+AY71+AY70</f>
        <v>205.456096046514</v>
      </c>
      <c r="AZ72" s="11" t="n">
        <f aca="false">AY72+AZ71+AZ70</f>
        <v>205.456096046514</v>
      </c>
      <c r="BA72" s="11" t="n">
        <f aca="false">AZ72+BA71+BA70</f>
        <v>205.456096046514</v>
      </c>
      <c r="BB72" s="11" t="n">
        <f aca="false">BA72+BB71+BB70</f>
        <v>205.456096046514</v>
      </c>
      <c r="BC72" s="11" t="n">
        <f aca="false">BB72+BC71+BC70</f>
        <v>205.456096046514</v>
      </c>
      <c r="BD72" s="11" t="n">
        <f aca="false">BC72+BD71+BD70</f>
        <v>205.456096046514</v>
      </c>
      <c r="BE72" s="11" t="n">
        <f aca="false">BD72+BE71+BE70</f>
        <v>205.456096046514</v>
      </c>
      <c r="BF72" s="11" t="n">
        <f aca="false">BE72+BF71+BF70</f>
        <v>205.456096046514</v>
      </c>
      <c r="BG72" s="11" t="n">
        <f aca="false">BF72+BG71+BG70</f>
        <v>205.456096046514</v>
      </c>
      <c r="BH72" s="11" t="n">
        <f aca="false">BG72+BH71+BH70</f>
        <v>205.456096046514</v>
      </c>
      <c r="BI72" s="11" t="n">
        <f aca="false">BH72+BI71+BI70</f>
        <v>205.456096046514</v>
      </c>
      <c r="BJ72" s="11" t="n">
        <f aca="false">BI72+BJ71+BJ70</f>
        <v>205.456096046514</v>
      </c>
    </row>
    <row r="73" customFormat="false" ht="15" hidden="false" customHeight="false" outlineLevel="0" collapsed="false">
      <c r="D73" s="0" t="s">
        <v>631</v>
      </c>
      <c r="E73" s="0" t="s">
        <v>149</v>
      </c>
      <c r="G73" s="11" t="n">
        <f aca="false">SUM(J73:BJ73)</f>
        <v>626.915955776128</v>
      </c>
      <c r="J73" s="11" t="n">
        <f aca="false">J47+J55</f>
        <v>89.9856831878548</v>
      </c>
      <c r="K73" s="11" t="n">
        <f aca="false">K47+K55</f>
        <v>1.8325250375873</v>
      </c>
      <c r="L73" s="11" t="n">
        <f aca="false">L47+L55</f>
        <v>2.19184855367137</v>
      </c>
      <c r="M73" s="11" t="n">
        <f aca="false">M47+M55</f>
        <v>2.79254899893711</v>
      </c>
      <c r="N73" s="11" t="n">
        <f aca="false">N47+N55</f>
        <v>3.66954487656952</v>
      </c>
      <c r="O73" s="11" t="n">
        <f aca="false">O47+O55</f>
        <v>4.70744403984299</v>
      </c>
      <c r="P73" s="11" t="n">
        <f aca="false">P47+P55</f>
        <v>5.82614031147711</v>
      </c>
      <c r="Q73" s="11" t="n">
        <f aca="false">Q47+Q55</f>
        <v>7.17877503936319</v>
      </c>
      <c r="R73" s="11" t="n">
        <f aca="false">R47+R55</f>
        <v>8.50920336652702</v>
      </c>
      <c r="S73" s="11" t="n">
        <f aca="false">S47+S55</f>
        <v>9.91465712857456</v>
      </c>
      <c r="T73" s="11" t="n">
        <f aca="false">T47+T55</f>
        <v>11.2576293086634</v>
      </c>
      <c r="U73" s="11" t="n">
        <f aca="false">U47+U55</f>
        <v>12.5896095880573</v>
      </c>
      <c r="V73" s="11" t="n">
        <f aca="false">V47+V55</f>
        <v>13.8760226900562</v>
      </c>
      <c r="W73" s="11" t="n">
        <f aca="false">W47+W55</f>
        <v>15.0535343383894</v>
      </c>
      <c r="X73" s="11" t="n">
        <f aca="false">X47+X55</f>
        <v>16.1754204309555</v>
      </c>
      <c r="Y73" s="11" t="n">
        <f aca="false">Y47+Y55</f>
        <v>17.1213277549015</v>
      </c>
      <c r="Z73" s="11" t="n">
        <f aca="false">Z47+Z55</f>
        <v>17.9803090825713</v>
      </c>
      <c r="AA73" s="11" t="n">
        <f aca="false">AA47+AA55</f>
        <v>19.4673872054144</v>
      </c>
      <c r="AB73" s="11" t="n">
        <f aca="false">AB47+AB55</f>
        <v>19.0558011229886</v>
      </c>
      <c r="AC73" s="11" t="n">
        <f aca="false">AC47+AC55</f>
        <v>19.4552826163192</v>
      </c>
      <c r="AD73" s="11" t="n">
        <f aca="false">AD47+AD55</f>
        <v>19.8451427933599</v>
      </c>
      <c r="AE73" s="11" t="n">
        <f aca="false">AE47+AE55</f>
        <v>19.8634713863116</v>
      </c>
      <c r="AF73" s="11" t="n">
        <f aca="false">AF47+AF55</f>
        <v>19.6355014935883</v>
      </c>
      <c r="AG73" s="11" t="n">
        <f aca="false">AG47+AG55</f>
        <v>19.2454441358096</v>
      </c>
      <c r="AH73" s="11" t="n">
        <f aca="false">AH47+AH55</f>
        <v>18.7056666705526</v>
      </c>
      <c r="AI73" s="11" t="n">
        <f aca="false">AI47+AI55</f>
        <v>17.9677077572077</v>
      </c>
      <c r="AJ73" s="11" t="n">
        <f aca="false">AJ47+AJ55</f>
        <v>18.3471382525245</v>
      </c>
      <c r="AK73" s="11" t="n">
        <f aca="false">AK47+AK55</f>
        <v>17.3294365016225</v>
      </c>
      <c r="AL73" s="11" t="n">
        <f aca="false">AL47+AL55</f>
        <v>16.2773443284886</v>
      </c>
      <c r="AM73" s="11" t="n">
        <f aca="false">AM47+AM55</f>
        <v>15.4593480512033</v>
      </c>
      <c r="AN73" s="11" t="n">
        <f aca="false">AN47+AN55</f>
        <v>14.0819468759456</v>
      </c>
      <c r="AO73" s="11" t="n">
        <f aca="false">AO47+AO55</f>
        <v>12.9177584752174</v>
      </c>
      <c r="AP73" s="11" t="n">
        <f aca="false">AP47+AP55</f>
        <v>10.1214370499252</v>
      </c>
      <c r="AQ73" s="11" t="n">
        <f aca="false">AQ47+AQ55</f>
        <v>9.88821782843216</v>
      </c>
      <c r="AR73" s="11" t="n">
        <f aca="false">AR47+AR55</f>
        <v>7.57652077453556</v>
      </c>
      <c r="AS73" s="11" t="n">
        <f aca="false">AS47+AS55</f>
        <v>5.92953707668219</v>
      </c>
      <c r="AT73" s="11" t="n">
        <f aca="false">AT47+AT55</f>
        <v>4.1688008124134</v>
      </c>
      <c r="AU73" s="11" t="n">
        <f aca="false">AU47+AU55</f>
        <v>5.30084589565669</v>
      </c>
      <c r="AV73" s="11" t="n">
        <f aca="false">AV47+AV55</f>
        <v>3.26958478330542</v>
      </c>
      <c r="AW73" s="11" t="n">
        <f aca="false">AW47+AW55</f>
        <v>45.0855412871184</v>
      </c>
      <c r="AX73" s="11" t="n">
        <f aca="false">AX47+AX55</f>
        <v>27.2588688675052</v>
      </c>
      <c r="AY73" s="11" t="n">
        <f aca="false">AY47+AY55</f>
        <v>0</v>
      </c>
      <c r="AZ73" s="11" t="n">
        <f aca="false">AZ47+AZ55</f>
        <v>0</v>
      </c>
      <c r="BA73" s="11" t="n">
        <f aca="false">BA47+BA55</f>
        <v>0</v>
      </c>
      <c r="BB73" s="11" t="n">
        <f aca="false">BB47+BB55</f>
        <v>0</v>
      </c>
      <c r="BC73" s="11" t="n">
        <f aca="false">BC47+BC55</f>
        <v>0</v>
      </c>
      <c r="BD73" s="11" t="n">
        <f aca="false">BD47+BD55</f>
        <v>0</v>
      </c>
      <c r="BE73" s="11" t="n">
        <f aca="false">BE47+BE55</f>
        <v>0</v>
      </c>
      <c r="BF73" s="11" t="n">
        <f aca="false">BF47+BF55</f>
        <v>0</v>
      </c>
      <c r="BG73" s="11" t="n">
        <f aca="false">BG47+BG55</f>
        <v>0</v>
      </c>
      <c r="BH73" s="11" t="n">
        <f aca="false">BH47+BH55</f>
        <v>0</v>
      </c>
      <c r="BI73" s="11" t="n">
        <f aca="false">BI47+BI55</f>
        <v>0</v>
      </c>
      <c r="BJ73" s="11" t="n">
        <f aca="false">BJ47+BJ55</f>
        <v>0</v>
      </c>
    </row>
    <row r="74" customFormat="false" ht="15" hidden="false" customHeight="false" outlineLevel="0" collapsed="false">
      <c r="D74" s="0" t="s">
        <v>632</v>
      </c>
      <c r="E74" s="0" t="s">
        <v>149</v>
      </c>
      <c r="G74" s="11" t="n">
        <f aca="false">SUM(J74:BJ74)</f>
        <v>107.545306556207</v>
      </c>
      <c r="J74" s="11" t="n">
        <f aca="false">J33+J34+J35+J36+J37+J38+J39+J40+J41+J42+J43+J48+Construction!J14*Construction!J36</f>
        <v>13.4786098374862</v>
      </c>
      <c r="K74" s="11" t="n">
        <f aca="false">K33+K34+K35+K36+K37+K38+K39+K40+K41+K42+K43+K48+Construction!K14*Construction!K36</f>
        <v>1.0772766143993</v>
      </c>
      <c r="L74" s="11" t="n">
        <f aca="false">L33+L34+L35+L36+L37+L38+L39+L40+L41+L42+L43+L48+Construction!L14*Construction!L36</f>
        <v>1.12507180044684</v>
      </c>
      <c r="M74" s="11" t="n">
        <f aca="false">M33+M34+M35+M36+M37+M38+M39+M40+M41+M42+M43+M48+Construction!M14*Construction!M36</f>
        <v>1.12763649778356</v>
      </c>
      <c r="N74" s="11" t="n">
        <f aca="false">N33+N34+N35+N36+N37+N38+N39+N40+N41+N42+N43+N48+Construction!N14*Construction!N36</f>
        <v>1.19778875595133</v>
      </c>
      <c r="O74" s="11" t="n">
        <f aca="false">O33+O34+O35+O36+O37+O38+O39+O40+O41+O42+O43+O48+Construction!O14*Construction!O36</f>
        <v>1.25651140472494</v>
      </c>
      <c r="P74" s="11" t="n">
        <f aca="false">P33+P34+P35+P36+P37+P38+P39+P40+P41+P42+P43+P48+Construction!P14*Construction!P36</f>
        <v>1.23071416907016</v>
      </c>
      <c r="Q74" s="11" t="n">
        <f aca="false">Q33+Q34+Q35+Q36+Q37+Q38+Q39+Q40+Q41+Q42+Q43+Q48+Construction!Q14*Construction!Q36</f>
        <v>1.39111484087697</v>
      </c>
      <c r="R74" s="11" t="n">
        <f aca="false">R33+R34+R35+R36+R37+R38+R39+R40+R41+R42+R43+R48+Construction!R14*Construction!R36</f>
        <v>1.44189539679059</v>
      </c>
      <c r="S74" s="11" t="n">
        <f aca="false">S33+S34+S35+S36+S37+S38+S39+S40+S41+S42+S43+S48+Construction!S14*Construction!S36</f>
        <v>1.56156060961204</v>
      </c>
      <c r="T74" s="11" t="n">
        <f aca="false">T33+T34+T35+T36+T37+T38+T39+T40+T41+T42+T43+T48+Construction!T14*Construction!T36</f>
        <v>1.60709527071435</v>
      </c>
      <c r="U74" s="11" t="n">
        <f aca="false">U33+U34+U35+U36+U37+U38+U39+U40+U41+U42+U43+U48+Construction!U14*Construction!U36</f>
        <v>1.73114170279069</v>
      </c>
      <c r="V74" s="11" t="n">
        <f aca="false">V33+V34+V35+V36+V37+V38+V39+V40+V41+V42+V43+V48+Construction!V14*Construction!V36</f>
        <v>1.84017478696093</v>
      </c>
      <c r="W74" s="11" t="n">
        <f aca="false">W33+W34+W35+W36+W37+W38+W39+W40+W41+W42+W43+W48+Construction!W14*Construction!W36</f>
        <v>1.91953820052334</v>
      </c>
      <c r="X74" s="11" t="n">
        <f aca="false">X33+X34+X35+X36+X37+X38+X39+X40+X41+X42+X43+X48+Construction!X14*Construction!X36</f>
        <v>2.06838945113812</v>
      </c>
      <c r="Y74" s="11" t="n">
        <f aca="false">Y33+Y34+Y35+Y36+Y37+Y38+Y39+Y40+Y41+Y42+Y43+Y48+Construction!Y14*Construction!Y36</f>
        <v>2.14916528103358</v>
      </c>
      <c r="Z74" s="11" t="n">
        <f aca="false">Z33+Z34+Z35+Z36+Z37+Z38+Z39+Z40+Z41+Z42+Z43+Z48+Construction!Z14*Construction!Z36</f>
        <v>2.30139415843059</v>
      </c>
      <c r="AA74" s="11" t="n">
        <f aca="false">AA33+AA34+AA35+AA36+AA37+AA38+AA39+AA40+AA41+AA42+AA43+AA48+Construction!AA14*Construction!AA36</f>
        <v>2.44220166329884</v>
      </c>
      <c r="AB74" s="11" t="n">
        <f aca="false">AB33+AB34+AB35+AB36+AB37+AB38+AB39+AB40+AB41+AB42+AB43+AB48+Construction!AB14*Construction!AB36</f>
        <v>2.45027480609748</v>
      </c>
      <c r="AC74" s="11" t="n">
        <f aca="false">AC33+AC34+AC35+AC36+AC37+AC38+AC39+AC40+AC41+AC42+AC43+AC48+Construction!AC14*Construction!AC36</f>
        <v>2.63824641600968</v>
      </c>
      <c r="AD74" s="11" t="n">
        <f aca="false">AD33+AD34+AD35+AD36+AD37+AD38+AD39+AD40+AD41+AD42+AD43+AD48+Construction!AD14*Construction!AD36</f>
        <v>2.70634531022802</v>
      </c>
      <c r="AE74" s="11" t="n">
        <f aca="false">AE33+AE34+AE35+AE36+AE37+AE38+AE39+AE40+AE41+AE42+AE43+AE48+Construction!AE14*Construction!AE36</f>
        <v>2.84692641897919</v>
      </c>
      <c r="AF74" s="11" t="n">
        <f aca="false">AF33+AF34+AF35+AF36+AF37+AF38+AF39+AF40+AF41+AF42+AF43+AF48+Construction!AF14*Construction!AF36</f>
        <v>2.89054806072294</v>
      </c>
      <c r="AG74" s="11" t="n">
        <f aca="false">AG33+AG34+AG35+AG36+AG37+AG38+AG39+AG40+AG41+AG42+AG43+AG48+Construction!AG14*Construction!AG36</f>
        <v>3.0112785984897</v>
      </c>
      <c r="AH74" s="11" t="n">
        <f aca="false">AH33+AH34+AH35+AH36+AH37+AH38+AH39+AH40+AH41+AH42+AH43+AH48+Construction!AH14*Construction!AH36</f>
        <v>3.07769136965814</v>
      </c>
      <c r="AI74" s="11" t="n">
        <f aca="false">AI33+AI34+AI35+AI36+AI37+AI38+AI39+AI40+AI41+AI42+AI43+AI48+Construction!AI14*Construction!AI36</f>
        <v>3.08207661812225</v>
      </c>
      <c r="AJ74" s="11" t="n">
        <f aca="false">AJ33+AJ34+AJ35+AJ36+AJ37+AJ38+AJ39+AJ40+AJ41+AJ42+AJ43+AJ48+Construction!AJ14*Construction!AJ36</f>
        <v>3.21616843479258</v>
      </c>
      <c r="AK74" s="11" t="n">
        <f aca="false">AK33+AK34+AK35+AK36+AK37+AK38+AK39+AK40+AK41+AK42+AK43+AK48+Construction!AK14*Construction!AK36</f>
        <v>3.19877513748961</v>
      </c>
      <c r="AL74" s="11" t="n">
        <f aca="false">AL33+AL34+AL35+AL36+AL37+AL38+AL39+AL40+AL41+AL42+AL43+AL48+Construction!AL14*Construction!AL36</f>
        <v>3.27856735162143</v>
      </c>
      <c r="AM74" s="11" t="n">
        <f aca="false">AM33+AM34+AM35+AM36+AM37+AM38+AM39+AM40+AM41+AM42+AM43+AM48+Construction!AM14*Construction!AM36</f>
        <v>3.29964542478956</v>
      </c>
      <c r="AN74" s="11" t="n">
        <f aca="false">AN33+AN34+AN35+AN36+AN37+AN38+AN39+AN40+AN41+AN42+AN43+AN48+Construction!AN14*Construction!AN36</f>
        <v>3.13409078596541</v>
      </c>
      <c r="AO74" s="11" t="n">
        <f aca="false">AO33+AO34+AO35+AO36+AO37+AO38+AO39+AO40+AO41+AO42+AO43+AO48+Construction!AO14*Construction!AO36</f>
        <v>3.30581082961647</v>
      </c>
      <c r="AP74" s="11" t="n">
        <f aca="false">AP33+AP34+AP35+AP36+AP37+AP38+AP39+AP40+AP41+AP42+AP43+AP48+Construction!AP14*Construction!AP36</f>
        <v>3.1929163238737</v>
      </c>
      <c r="AQ74" s="11" t="n">
        <f aca="false">AQ33+AQ34+AQ35+AQ36+AQ37+AQ38+AQ39+AQ40+AQ41+AQ42+AQ43+AQ48+Construction!AQ14*Construction!AQ36</f>
        <v>3.33694228204972</v>
      </c>
      <c r="AR74" s="11" t="n">
        <f aca="false">AR33+AR34+AR35+AR36+AR37+AR38+AR39+AR40+AR41+AR42+AR43+AR48+Construction!AR14*Construction!AR36</f>
        <v>3.27874652512674</v>
      </c>
      <c r="AS74" s="11" t="n">
        <f aca="false">AS33+AS34+AS35+AS36+AS37+AS38+AS39+AS40+AS41+AS42+AS43+AS48+Construction!AS14*Construction!AS36</f>
        <v>2.12471023975781</v>
      </c>
      <c r="AT74" s="11" t="n">
        <f aca="false">AT33+AT34+AT35+AT36+AT37+AT38+AT39+AT40+AT41+AT42+AT43+AT48+Construction!AT14*Construction!AT36</f>
        <v>2.07736379566036</v>
      </c>
      <c r="AU74" s="11" t="n">
        <f aca="false">AU33+AU34+AU35+AU36+AU37+AU38+AU39+AU40+AU41+AU42+AU43+AU48+Construction!AU14*Construction!AU36</f>
        <v>2.05776632471275</v>
      </c>
      <c r="AV74" s="11" t="n">
        <f aca="false">AV33+AV34+AV35+AV36+AV37+AV38+AV39+AV40+AV41+AV42+AV43+AV48+Construction!AV14*Construction!AV36</f>
        <v>2.0623454223091</v>
      </c>
      <c r="AW74" s="11" t="n">
        <f aca="false">AW33+AW34+AW35+AW36+AW37+AW38+AW39+AW40+AW41+AW42+AW43+AW48+Construction!AW14*Construction!AW36</f>
        <v>3.36479369732839</v>
      </c>
      <c r="AX74" s="11" t="n">
        <f aca="false">AX33+AX34+AX35+AX36+AX37+AX38+AX39+AX40+AX41+AX42+AX43+AX48+Construction!AX14*Construction!AX36</f>
        <v>2.96599594077354</v>
      </c>
      <c r="AY74" s="11" t="n">
        <f aca="false">AY33+AY34+AY35+AY36+AY37+AY38+AY39+AY40+AY41+AY42+AY43+AY48+Construction!AY14*Construction!AY36</f>
        <v>0</v>
      </c>
      <c r="AZ74" s="11" t="n">
        <f aca="false">AZ33+AZ34+AZ35+AZ36+AZ37+AZ38+AZ39+AZ40+AZ41+AZ42+AZ43+AZ48+Construction!AZ14*Construction!AZ36</f>
        <v>0</v>
      </c>
      <c r="BA74" s="11" t="n">
        <f aca="false">BA33+BA34+BA35+BA36+BA37+BA38+BA39+BA40+BA41+BA42+BA43+BA48+Construction!BA14*Construction!BA36</f>
        <v>0</v>
      </c>
      <c r="BB74" s="11" t="n">
        <f aca="false">BB33+BB34+BB35+BB36+BB37+BB38+BB39+BB40+BB41+BB42+BB43+BB48+Construction!BB14*Construction!BB36</f>
        <v>0</v>
      </c>
      <c r="BC74" s="11" t="n">
        <f aca="false">BC33+BC34+BC35+BC36+BC37+BC38+BC39+BC40+BC41+BC42+BC43+BC48+Construction!BC14*Construction!BC36</f>
        <v>0</v>
      </c>
      <c r="BD74" s="11" t="n">
        <f aca="false">BD33+BD34+BD35+BD36+BD37+BD38+BD39+BD40+BD41+BD42+BD43+BD48+Construction!BD14*Construction!BD36</f>
        <v>0</v>
      </c>
      <c r="BE74" s="11" t="n">
        <f aca="false">BE33+BE34+BE35+BE36+BE37+BE38+BE39+BE40+BE41+BE42+BE43+BE48+Construction!BE14*Construction!BE36</f>
        <v>0</v>
      </c>
      <c r="BF74" s="11" t="n">
        <f aca="false">BF33+BF34+BF35+BF36+BF37+BF38+BF39+BF40+BF41+BF42+BF43+BF48+Construction!BF14*Construction!BF36</f>
        <v>0</v>
      </c>
      <c r="BG74" s="11" t="n">
        <f aca="false">BG33+BG34+BG35+BG36+BG37+BG38+BG39+BG40+BG41+BG42+BG43+BG48+Construction!BG14*Construction!BG36</f>
        <v>0</v>
      </c>
      <c r="BH74" s="11" t="n">
        <f aca="false">BH33+BH34+BH35+BH36+BH37+BH38+BH39+BH40+BH41+BH42+BH43+BH48+Construction!BH14*Construction!BH36</f>
        <v>0</v>
      </c>
      <c r="BI74" s="11" t="n">
        <f aca="false">BI33+BI34+BI35+BI36+BI37+BI38+BI39+BI40+BI41+BI42+BI43+BI48+Construction!BI14*Construction!BI36</f>
        <v>0</v>
      </c>
      <c r="BJ74" s="11" t="n">
        <f aca="false">BJ33+BJ34+BJ35+BJ36+BJ37+BJ38+BJ39+BJ40+BJ41+BJ42+BJ43+BJ48+Construction!BJ14*Construction!BJ36</f>
        <v>0</v>
      </c>
    </row>
    <row r="75" customFormat="false" ht="15" hidden="false" customHeight="false" outlineLevel="0" collapsed="false">
      <c r="D75" s="0" t="s">
        <v>633</v>
      </c>
      <c r="E75" s="0" t="s">
        <v>149</v>
      </c>
      <c r="F75" s="15" t="n">
        <f aca="false">SUM(Funding!$J$49:$BJ$49)</f>
        <v>846.528772392938</v>
      </c>
    </row>
    <row r="76" customFormat="false" ht="15" hidden="false" customHeight="false" outlineLevel="0" collapsed="false">
      <c r="D76" s="0" t="s">
        <v>634</v>
      </c>
      <c r="E76" s="0" t="s">
        <v>149</v>
      </c>
      <c r="F76" s="15" t="n">
        <f aca="false">SUM(Funding!$J$49:$BJ$49)-SUM(Funding!$J$44:$BJ$44)-SUM(Construction!$J$28:$BJ$28)+SUM(Funding!$J$71:$BJ$71)-SUM(Funding!$J$52:$BJ$52)-Inputs!$F$48*Inputs!$F$191</f>
        <v>801.39807969148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635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636</v>
      </c>
    </row>
    <row r="8" customFormat="false" ht="15" hidden="false" customHeight="false" outlineLevel="0" collapsed="false">
      <c r="D8" s="0" t="s">
        <v>637</v>
      </c>
      <c r="E8" s="0" t="s">
        <v>103</v>
      </c>
      <c r="J8" s="11" t="n">
        <f aca="false">IF(Time!J21&lt;=2025,Inputs!$F$82,IF(Time!J21&lt;=2029,Inputs!$F$83,Inputs!$F$84))</f>
        <v>4.1</v>
      </c>
      <c r="K8" s="11" t="n">
        <f aca="false">IF(Time!K21&lt;=2025,Inputs!$F$82,IF(Time!K21&lt;=2029,Inputs!$F$83,Inputs!$F$84))</f>
        <v>4.1</v>
      </c>
      <c r="L8" s="11" t="n">
        <f aca="false">IF(Time!L21&lt;=2025,Inputs!$F$82,IF(Time!L21&lt;=2029,Inputs!$F$83,Inputs!$F$84))</f>
        <v>4.1</v>
      </c>
      <c r="M8" s="11" t="n">
        <f aca="false">IF(Time!M21&lt;=2025,Inputs!$F$82,IF(Time!M21&lt;=2029,Inputs!$F$83,Inputs!$F$84))</f>
        <v>4.1</v>
      </c>
      <c r="N8" s="11" t="n">
        <f aca="false">IF(Time!N21&lt;=2025,Inputs!$F$82,IF(Time!N21&lt;=2029,Inputs!$F$83,Inputs!$F$84))</f>
        <v>4.1</v>
      </c>
      <c r="O8" s="11" t="n">
        <f aca="false">IF(Time!O21&lt;=2025,Inputs!$F$82,IF(Time!O21&lt;=2029,Inputs!$F$83,Inputs!$F$84))</f>
        <v>4.1</v>
      </c>
      <c r="P8" s="11" t="n">
        <f aca="false">IF(Time!P21&lt;=2025,Inputs!$F$82,IF(Time!P21&lt;=2029,Inputs!$F$83,Inputs!$F$84))</f>
        <v>4.1</v>
      </c>
      <c r="Q8" s="11" t="n">
        <f aca="false">IF(Time!Q21&lt;=2025,Inputs!$F$82,IF(Time!Q21&lt;=2029,Inputs!$F$83,Inputs!$F$84))</f>
        <v>4.1</v>
      </c>
      <c r="R8" s="11" t="n">
        <f aca="false">IF(Time!R21&lt;=2025,Inputs!$F$82,IF(Time!R21&lt;=2029,Inputs!$F$83,Inputs!$F$84))</f>
        <v>4.1</v>
      </c>
      <c r="S8" s="11" t="n">
        <f aca="false">IF(Time!S21&lt;=2025,Inputs!$F$82,IF(Time!S21&lt;=2029,Inputs!$F$83,Inputs!$F$84))</f>
        <v>4.1</v>
      </c>
      <c r="T8" s="11" t="n">
        <f aca="false">IF(Time!T21&lt;=2025,Inputs!$F$82,IF(Time!T21&lt;=2029,Inputs!$F$83,Inputs!$F$84))</f>
        <v>4.1</v>
      </c>
      <c r="U8" s="11" t="n">
        <f aca="false">IF(Time!U21&lt;=2025,Inputs!$F$82,IF(Time!U21&lt;=2029,Inputs!$F$83,Inputs!$F$84))</f>
        <v>4.1</v>
      </c>
      <c r="V8" s="11" t="n">
        <f aca="false">IF(Time!V21&lt;=2025,Inputs!$F$82,IF(Time!V21&lt;=2029,Inputs!$F$83,Inputs!$F$84))</f>
        <v>4.1</v>
      </c>
      <c r="W8" s="11" t="n">
        <f aca="false">IF(Time!W21&lt;=2025,Inputs!$F$82,IF(Time!W21&lt;=2029,Inputs!$F$83,Inputs!$F$84))</f>
        <v>4.1</v>
      </c>
      <c r="X8" s="11" t="n">
        <f aca="false">IF(Time!X21&lt;=2025,Inputs!$F$82,IF(Time!X21&lt;=2029,Inputs!$F$83,Inputs!$F$84))</f>
        <v>4.1</v>
      </c>
      <c r="Y8" s="11" t="n">
        <f aca="false">IF(Time!Y21&lt;=2025,Inputs!$F$82,IF(Time!Y21&lt;=2029,Inputs!$F$83,Inputs!$F$84))</f>
        <v>4.6</v>
      </c>
      <c r="Z8" s="11" t="n">
        <f aca="false">IF(Time!Z21&lt;=2025,Inputs!$F$82,IF(Time!Z21&lt;=2029,Inputs!$F$83,Inputs!$F$84))</f>
        <v>4.6</v>
      </c>
      <c r="AA8" s="11" t="n">
        <f aca="false">IF(Time!AA21&lt;=2025,Inputs!$F$82,IF(Time!AA21&lt;=2029,Inputs!$F$83,Inputs!$F$84))</f>
        <v>4.6</v>
      </c>
      <c r="AB8" s="11" t="n">
        <f aca="false">IF(Time!AB21&lt;=2025,Inputs!$F$82,IF(Time!AB21&lt;=2029,Inputs!$F$83,Inputs!$F$84))</f>
        <v>4.6</v>
      </c>
      <c r="AC8" s="11" t="n">
        <f aca="false">IF(Time!AC21&lt;=2025,Inputs!$F$82,IF(Time!AC21&lt;=2029,Inputs!$F$83,Inputs!$F$84))</f>
        <v>4.6</v>
      </c>
      <c r="AD8" s="11" t="n">
        <f aca="false">IF(Time!AD21&lt;=2025,Inputs!$F$82,IF(Time!AD21&lt;=2029,Inputs!$F$83,Inputs!$F$84))</f>
        <v>4.6</v>
      </c>
      <c r="AE8" s="11" t="n">
        <f aca="false">IF(Time!AE21&lt;=2025,Inputs!$F$82,IF(Time!AE21&lt;=2029,Inputs!$F$83,Inputs!$F$84))</f>
        <v>4.6</v>
      </c>
      <c r="AF8" s="11" t="n">
        <f aca="false">IF(Time!AF21&lt;=2025,Inputs!$F$82,IF(Time!AF21&lt;=2029,Inputs!$F$83,Inputs!$F$84))</f>
        <v>4.6</v>
      </c>
      <c r="AG8" s="11" t="n">
        <f aca="false">IF(Time!AG21&lt;=2025,Inputs!$F$82,IF(Time!AG21&lt;=2029,Inputs!$F$83,Inputs!$F$84))</f>
        <v>5.1</v>
      </c>
      <c r="AH8" s="11" t="n">
        <f aca="false">IF(Time!AH21&lt;=2025,Inputs!$F$82,IF(Time!AH21&lt;=2029,Inputs!$F$83,Inputs!$F$84))</f>
        <v>5.1</v>
      </c>
      <c r="AI8" s="11" t="n">
        <f aca="false">IF(Time!AI21&lt;=2025,Inputs!$F$82,IF(Time!AI21&lt;=2029,Inputs!$F$83,Inputs!$F$84))</f>
        <v>5.1</v>
      </c>
      <c r="AJ8" s="11" t="n">
        <f aca="false">IF(Time!AJ21&lt;=2025,Inputs!$F$82,IF(Time!AJ21&lt;=2029,Inputs!$F$83,Inputs!$F$84))</f>
        <v>5.1</v>
      </c>
      <c r="AK8" s="11" t="n">
        <f aca="false">IF(Time!AK21&lt;=2025,Inputs!$F$82,IF(Time!AK21&lt;=2029,Inputs!$F$83,Inputs!$F$84))</f>
        <v>5.1</v>
      </c>
      <c r="AL8" s="11" t="n">
        <f aca="false">IF(Time!AL21&lt;=2025,Inputs!$F$82,IF(Time!AL21&lt;=2029,Inputs!$F$83,Inputs!$F$84))</f>
        <v>5.1</v>
      </c>
      <c r="AM8" s="11" t="n">
        <f aca="false">IF(Time!AM21&lt;=2025,Inputs!$F$82,IF(Time!AM21&lt;=2029,Inputs!$F$83,Inputs!$F$84))</f>
        <v>5.1</v>
      </c>
      <c r="AN8" s="11" t="n">
        <f aca="false">IF(Time!AN21&lt;=2025,Inputs!$F$82,IF(Time!AN21&lt;=2029,Inputs!$F$83,Inputs!$F$84))</f>
        <v>5.1</v>
      </c>
      <c r="AO8" s="11" t="n">
        <f aca="false">IF(Time!AO21&lt;=2025,Inputs!$F$82,IF(Time!AO21&lt;=2029,Inputs!$F$83,Inputs!$F$84))</f>
        <v>5.1</v>
      </c>
      <c r="AP8" s="11" t="n">
        <f aca="false">IF(Time!AP21&lt;=2025,Inputs!$F$82,IF(Time!AP21&lt;=2029,Inputs!$F$83,Inputs!$F$84))</f>
        <v>5.1</v>
      </c>
      <c r="AQ8" s="11" t="n">
        <f aca="false">IF(Time!AQ21&lt;=2025,Inputs!$F$82,IF(Time!AQ21&lt;=2029,Inputs!$F$83,Inputs!$F$84))</f>
        <v>5.1</v>
      </c>
      <c r="AR8" s="11" t="n">
        <f aca="false">IF(Time!AR21&lt;=2025,Inputs!$F$82,IF(Time!AR21&lt;=2029,Inputs!$F$83,Inputs!$F$84))</f>
        <v>5.1</v>
      </c>
      <c r="AS8" s="11" t="n">
        <f aca="false">IF(Time!AS21&lt;=2025,Inputs!$F$82,IF(Time!AS21&lt;=2029,Inputs!$F$83,Inputs!$F$84))</f>
        <v>5.1</v>
      </c>
      <c r="AT8" s="11" t="n">
        <f aca="false">IF(Time!AT21&lt;=2025,Inputs!$F$82,IF(Time!AT21&lt;=2029,Inputs!$F$83,Inputs!$F$84))</f>
        <v>5.1</v>
      </c>
      <c r="AU8" s="11" t="n">
        <f aca="false">IF(Time!AU21&lt;=2025,Inputs!$F$82,IF(Time!AU21&lt;=2029,Inputs!$F$83,Inputs!$F$84))</f>
        <v>5.1</v>
      </c>
      <c r="AV8" s="11" t="n">
        <f aca="false">IF(Time!AV21&lt;=2025,Inputs!$F$82,IF(Time!AV21&lt;=2029,Inputs!$F$83,Inputs!$F$84))</f>
        <v>5.1</v>
      </c>
      <c r="AW8" s="11" t="n">
        <f aca="false">IF(Time!AW21&lt;=2025,Inputs!$F$82,IF(Time!AW21&lt;=2029,Inputs!$F$83,Inputs!$F$84))</f>
        <v>5.1</v>
      </c>
      <c r="AX8" s="11" t="n">
        <f aca="false">IF(Time!AX21&lt;=2025,Inputs!$F$82,IF(Time!AX21&lt;=2029,Inputs!$F$83,Inputs!$F$84))</f>
        <v>5.1</v>
      </c>
      <c r="AY8" s="11" t="n">
        <f aca="false">IF(Time!AY21&lt;=2025,Inputs!$F$82,IF(Time!AY21&lt;=2029,Inputs!$F$83,Inputs!$F$84))</f>
        <v>5.1</v>
      </c>
      <c r="AZ8" s="11" t="n">
        <f aca="false">IF(Time!AZ21&lt;=2025,Inputs!$F$82,IF(Time!AZ21&lt;=2029,Inputs!$F$83,Inputs!$F$84))</f>
        <v>5.1</v>
      </c>
      <c r="BA8" s="11" t="n">
        <f aca="false">IF(Time!BA21&lt;=2025,Inputs!$F$82,IF(Time!BA21&lt;=2029,Inputs!$F$83,Inputs!$F$84))</f>
        <v>5.1</v>
      </c>
      <c r="BB8" s="11" t="n">
        <f aca="false">IF(Time!BB21&lt;=2025,Inputs!$F$82,IF(Time!BB21&lt;=2029,Inputs!$F$83,Inputs!$F$84))</f>
        <v>5.1</v>
      </c>
      <c r="BC8" s="11" t="n">
        <f aca="false">IF(Time!BC21&lt;=2025,Inputs!$F$82,IF(Time!BC21&lt;=2029,Inputs!$F$83,Inputs!$F$84))</f>
        <v>5.1</v>
      </c>
      <c r="BD8" s="11" t="n">
        <f aca="false">IF(Time!BD21&lt;=2025,Inputs!$F$82,IF(Time!BD21&lt;=2029,Inputs!$F$83,Inputs!$F$84))</f>
        <v>5.1</v>
      </c>
      <c r="BE8" s="11" t="n">
        <f aca="false">IF(Time!BE21&lt;=2025,Inputs!$F$82,IF(Time!BE21&lt;=2029,Inputs!$F$83,Inputs!$F$84))</f>
        <v>5.1</v>
      </c>
      <c r="BF8" s="11" t="n">
        <f aca="false">IF(Time!BF21&lt;=2025,Inputs!$F$82,IF(Time!BF21&lt;=2029,Inputs!$F$83,Inputs!$F$84))</f>
        <v>5.1</v>
      </c>
      <c r="BG8" s="11" t="n">
        <f aca="false">IF(Time!BG21&lt;=2025,Inputs!$F$82,IF(Time!BG21&lt;=2029,Inputs!$F$83,Inputs!$F$84))</f>
        <v>5.1</v>
      </c>
      <c r="BH8" s="11" t="n">
        <f aca="false">IF(Time!BH21&lt;=2025,Inputs!$F$82,IF(Time!BH21&lt;=2029,Inputs!$F$83,Inputs!$F$84))</f>
        <v>5.1</v>
      </c>
      <c r="BI8" s="11" t="n">
        <f aca="false">IF(Time!BI21&lt;=2025,Inputs!$F$82,IF(Time!BI21&lt;=2029,Inputs!$F$83,Inputs!$F$84))</f>
        <v>5.1</v>
      </c>
      <c r="BJ8" s="11" t="n">
        <f aca="false">IF(Time!BJ21&lt;=2025,Inputs!$F$82,IF(Time!BJ21&lt;=2029,Inputs!$F$83,Inputs!$F$84))</f>
        <v>5.1</v>
      </c>
      <c r="BK8" s="11" t="n">
        <f aca="false">IF(Time!BK21&lt;=2025,Inputs!$F$82,IF(Time!BK21&lt;=2029,Inputs!$F$83,Inputs!$F$84))</f>
        <v>5.1</v>
      </c>
      <c r="BL8" s="11" t="n">
        <f aca="false">IF(Time!BL21&lt;=2025,Inputs!$F$82,IF(Time!BL21&lt;=2029,Inputs!$F$83,Inputs!$F$84))</f>
        <v>5.1</v>
      </c>
      <c r="BM8" s="11" t="n">
        <f aca="false">IF(Time!BM21&lt;=2025,Inputs!$F$82,IF(Time!BM21&lt;=2029,Inputs!$F$83,Inputs!$F$84))</f>
        <v>5.1</v>
      </c>
      <c r="BN8" s="11" t="n">
        <f aca="false">IF(Time!BN21&lt;=2025,Inputs!$F$82,IF(Time!BN21&lt;=2029,Inputs!$F$83,Inputs!$F$84))</f>
        <v>5.1</v>
      </c>
    </row>
    <row r="9" customFormat="false" ht="15" hidden="false" customHeight="false" outlineLevel="0" collapsed="false">
      <c r="D9" s="0" t="s">
        <v>638</v>
      </c>
      <c r="E9" s="0" t="s">
        <v>103</v>
      </c>
      <c r="J9" s="11" t="n">
        <f aca="false">Inputs!$F$49*IF(AND(Time!J17&gt;=11,Time!J17&lt;=13),Inputs!$F$193,0)</f>
        <v>0</v>
      </c>
      <c r="K9" s="11" t="n">
        <f aca="false">Inputs!$F$49*IF(AND(Time!K17&gt;=11,Time!K17&lt;=13),Inputs!$F$193,0)</f>
        <v>0</v>
      </c>
      <c r="L9" s="11" t="n">
        <f aca="false">Inputs!$F$49*IF(AND(Time!L17&gt;=11,Time!L17&lt;=13),Inputs!$F$193,0)</f>
        <v>0</v>
      </c>
      <c r="M9" s="11" t="n">
        <f aca="false">Inputs!$F$49*IF(AND(Time!M17&gt;=11,Time!M17&lt;=13),Inputs!$F$193,0)</f>
        <v>0</v>
      </c>
      <c r="N9" s="11" t="n">
        <f aca="false">Inputs!$F$49*IF(AND(Time!N17&gt;=11,Time!N17&lt;=13),Inputs!$F$193,0)</f>
        <v>0</v>
      </c>
      <c r="O9" s="11" t="n">
        <f aca="false">Inputs!$F$49*IF(AND(Time!O17&gt;=11,Time!O17&lt;=13),Inputs!$F$193,0)</f>
        <v>0</v>
      </c>
      <c r="P9" s="11" t="n">
        <f aca="false">Inputs!$F$49*IF(AND(Time!P17&gt;=11,Time!P17&lt;=13),Inputs!$F$193,0)</f>
        <v>0</v>
      </c>
      <c r="Q9" s="11" t="n">
        <f aca="false">Inputs!$F$49*IF(AND(Time!Q17&gt;=11,Time!Q17&lt;=13),Inputs!$F$193,0)</f>
        <v>0</v>
      </c>
      <c r="R9" s="11" t="n">
        <f aca="false">Inputs!$F$49*IF(AND(Time!R17&gt;=11,Time!R17&lt;=13),Inputs!$F$193,0)</f>
        <v>0</v>
      </c>
      <c r="S9" s="11" t="n">
        <f aca="false">Inputs!$F$49*IF(AND(Time!S17&gt;=11,Time!S17&lt;=13),Inputs!$F$193,0)</f>
        <v>0</v>
      </c>
      <c r="T9" s="11" t="n">
        <f aca="false">Inputs!$F$49*IF(AND(Time!T17&gt;=11,Time!T17&lt;=13),Inputs!$F$193,0)</f>
        <v>0.5</v>
      </c>
      <c r="U9" s="11" t="n">
        <f aca="false">Inputs!$F$49*IF(AND(Time!U17&gt;=11,Time!U17&lt;=13),Inputs!$F$193,0)</f>
        <v>0.5</v>
      </c>
      <c r="V9" s="11" t="n">
        <f aca="false">Inputs!$F$49*IF(AND(Time!V17&gt;=11,Time!V17&lt;=13),Inputs!$F$193,0)</f>
        <v>0.5</v>
      </c>
      <c r="W9" s="11" t="n">
        <f aca="false">Inputs!$F$49*IF(AND(Time!W17&gt;=11,Time!W17&lt;=13),Inputs!$F$193,0)</f>
        <v>0</v>
      </c>
      <c r="X9" s="11" t="n">
        <f aca="false">Inputs!$F$49*IF(AND(Time!X17&gt;=11,Time!X17&lt;=13),Inputs!$F$193,0)</f>
        <v>0</v>
      </c>
      <c r="Y9" s="11" t="n">
        <f aca="false">Inputs!$F$49*IF(AND(Time!Y17&gt;=11,Time!Y17&lt;=13),Inputs!$F$193,0)</f>
        <v>0</v>
      </c>
      <c r="Z9" s="11" t="n">
        <f aca="false">Inputs!$F$49*IF(AND(Time!Z17&gt;=11,Time!Z17&lt;=13),Inputs!$F$193,0)</f>
        <v>0</v>
      </c>
      <c r="AA9" s="11" t="n">
        <f aca="false">Inputs!$F$49*IF(AND(Time!AA17&gt;=11,Time!AA17&lt;=13),Inputs!$F$193,0)</f>
        <v>0</v>
      </c>
      <c r="AB9" s="11" t="n">
        <f aca="false">Inputs!$F$49*IF(AND(Time!AB17&gt;=11,Time!AB17&lt;=13),Inputs!$F$193,0)</f>
        <v>0</v>
      </c>
      <c r="AC9" s="11" t="n">
        <f aca="false">Inputs!$F$49*IF(AND(Time!AC17&gt;=11,Time!AC17&lt;=13),Inputs!$F$193,0)</f>
        <v>0</v>
      </c>
      <c r="AD9" s="11" t="n">
        <f aca="false">Inputs!$F$49*IF(AND(Time!AD17&gt;=11,Time!AD17&lt;=13),Inputs!$F$193,0)</f>
        <v>0</v>
      </c>
      <c r="AE9" s="11" t="n">
        <f aca="false">Inputs!$F$49*IF(AND(Time!AE17&gt;=11,Time!AE17&lt;=13),Inputs!$F$193,0)</f>
        <v>0</v>
      </c>
      <c r="AF9" s="11" t="n">
        <f aca="false">Inputs!$F$49*IF(AND(Time!AF17&gt;=11,Time!AF17&lt;=13),Inputs!$F$193,0)</f>
        <v>0</v>
      </c>
      <c r="AG9" s="11" t="n">
        <f aca="false">Inputs!$F$49*IF(AND(Time!AG17&gt;=11,Time!AG17&lt;=13),Inputs!$F$193,0)</f>
        <v>0</v>
      </c>
      <c r="AH9" s="11" t="n">
        <f aca="false">Inputs!$F$49*IF(AND(Time!AH17&gt;=11,Time!AH17&lt;=13),Inputs!$F$193,0)</f>
        <v>0</v>
      </c>
      <c r="AI9" s="11" t="n">
        <f aca="false">Inputs!$F$49*IF(AND(Time!AI17&gt;=11,Time!AI17&lt;=13),Inputs!$F$193,0)</f>
        <v>0</v>
      </c>
      <c r="AJ9" s="11" t="n">
        <f aca="false">Inputs!$F$49*IF(AND(Time!AJ17&gt;=11,Time!AJ17&lt;=13),Inputs!$F$193,0)</f>
        <v>0</v>
      </c>
      <c r="AK9" s="11" t="n">
        <f aca="false">Inputs!$F$49*IF(AND(Time!AK17&gt;=11,Time!AK17&lt;=13),Inputs!$F$193,0)</f>
        <v>0</v>
      </c>
      <c r="AL9" s="11" t="n">
        <f aca="false">Inputs!$F$49*IF(AND(Time!AL17&gt;=11,Time!AL17&lt;=13),Inputs!$F$193,0)</f>
        <v>0</v>
      </c>
      <c r="AM9" s="11" t="n">
        <f aca="false">Inputs!$F$49*IF(AND(Time!AM17&gt;=11,Time!AM17&lt;=13),Inputs!$F$193,0)</f>
        <v>0</v>
      </c>
      <c r="AN9" s="11" t="n">
        <f aca="false">Inputs!$F$49*IF(AND(Time!AN17&gt;=11,Time!AN17&lt;=13),Inputs!$F$193,0)</f>
        <v>0</v>
      </c>
      <c r="AO9" s="11" t="n">
        <f aca="false">Inputs!$F$49*IF(AND(Time!AO17&gt;=11,Time!AO17&lt;=13),Inputs!$F$193,0)</f>
        <v>0</v>
      </c>
      <c r="AP9" s="11" t="n">
        <f aca="false">Inputs!$F$49*IF(AND(Time!AP17&gt;=11,Time!AP17&lt;=13),Inputs!$F$193,0)</f>
        <v>0</v>
      </c>
      <c r="AQ9" s="11" t="n">
        <f aca="false">Inputs!$F$49*IF(AND(Time!AQ17&gt;=11,Time!AQ17&lt;=13),Inputs!$F$193,0)</f>
        <v>0</v>
      </c>
      <c r="AR9" s="11" t="n">
        <f aca="false">Inputs!$F$49*IF(AND(Time!AR17&gt;=11,Time!AR17&lt;=13),Inputs!$F$193,0)</f>
        <v>0</v>
      </c>
      <c r="AS9" s="11" t="n">
        <f aca="false">Inputs!$F$49*IF(AND(Time!AS17&gt;=11,Time!AS17&lt;=13),Inputs!$F$193,0)</f>
        <v>0</v>
      </c>
      <c r="AT9" s="11" t="n">
        <f aca="false">Inputs!$F$49*IF(AND(Time!AT17&gt;=11,Time!AT17&lt;=13),Inputs!$F$193,0)</f>
        <v>0</v>
      </c>
      <c r="AU9" s="11" t="n">
        <f aca="false">Inputs!$F$49*IF(AND(Time!AU17&gt;=11,Time!AU17&lt;=13),Inputs!$F$193,0)</f>
        <v>0</v>
      </c>
      <c r="AV9" s="11" t="n">
        <f aca="false">Inputs!$F$49*IF(AND(Time!AV17&gt;=11,Time!AV17&lt;=13),Inputs!$F$193,0)</f>
        <v>0</v>
      </c>
      <c r="AW9" s="11" t="n">
        <f aca="false">Inputs!$F$49*IF(AND(Time!AW17&gt;=11,Time!AW17&lt;=13),Inputs!$F$193,0)</f>
        <v>0</v>
      </c>
      <c r="AX9" s="11" t="n">
        <f aca="false">Inputs!$F$49*IF(AND(Time!AX17&gt;=11,Time!AX17&lt;=13),Inputs!$F$193,0)</f>
        <v>0</v>
      </c>
      <c r="AY9" s="11" t="n">
        <f aca="false">Inputs!$F$49*IF(AND(Time!AY17&gt;=11,Time!AY17&lt;=13),Inputs!$F$193,0)</f>
        <v>0</v>
      </c>
      <c r="AZ9" s="11" t="n">
        <f aca="false">Inputs!$F$49*IF(AND(Time!AZ17&gt;=11,Time!AZ17&lt;=13),Inputs!$F$193,0)</f>
        <v>0</v>
      </c>
      <c r="BA9" s="11" t="n">
        <f aca="false">Inputs!$F$49*IF(AND(Time!BA17&gt;=11,Time!BA17&lt;=13),Inputs!$F$193,0)</f>
        <v>0</v>
      </c>
      <c r="BB9" s="11" t="n">
        <f aca="false">Inputs!$F$49*IF(AND(Time!BB17&gt;=11,Time!BB17&lt;=13),Inputs!$F$193,0)</f>
        <v>0</v>
      </c>
      <c r="BC9" s="11" t="n">
        <f aca="false">Inputs!$F$49*IF(AND(Time!BC17&gt;=11,Time!BC17&lt;=13),Inputs!$F$193,0)</f>
        <v>0</v>
      </c>
      <c r="BD9" s="11" t="n">
        <f aca="false">Inputs!$F$49*IF(AND(Time!BD17&gt;=11,Time!BD17&lt;=13),Inputs!$F$193,0)</f>
        <v>0</v>
      </c>
      <c r="BE9" s="11" t="n">
        <f aca="false">Inputs!$F$49*IF(AND(Time!BE17&gt;=11,Time!BE17&lt;=13),Inputs!$F$193,0)</f>
        <v>0</v>
      </c>
      <c r="BF9" s="11" t="n">
        <f aca="false">Inputs!$F$49*IF(AND(Time!BF17&gt;=11,Time!BF17&lt;=13),Inputs!$F$193,0)</f>
        <v>0</v>
      </c>
      <c r="BG9" s="11" t="n">
        <f aca="false">Inputs!$F$49*IF(AND(Time!BG17&gt;=11,Time!BG17&lt;=13),Inputs!$F$193,0)</f>
        <v>0</v>
      </c>
      <c r="BH9" s="11" t="n">
        <f aca="false">Inputs!$F$49*IF(AND(Time!BH17&gt;=11,Time!BH17&lt;=13),Inputs!$F$193,0)</f>
        <v>0</v>
      </c>
      <c r="BI9" s="11" t="n">
        <f aca="false">Inputs!$F$49*IF(AND(Time!BI17&gt;=11,Time!BI17&lt;=13),Inputs!$F$193,0)</f>
        <v>0</v>
      </c>
      <c r="BJ9" s="11" t="n">
        <f aca="false">Inputs!$F$49*IF(AND(Time!BJ17&gt;=11,Time!BJ17&lt;=13),Inputs!$F$193,0)</f>
        <v>0</v>
      </c>
      <c r="BK9" s="11" t="n">
        <f aca="false">Inputs!$F$49*IF(AND(Time!BK17&gt;=11,Time!BK17&lt;=13),Inputs!$F$193,0)</f>
        <v>0</v>
      </c>
      <c r="BL9" s="11" t="n">
        <f aca="false">Inputs!$F$49*IF(AND(Time!BL17&gt;=11,Time!BL17&lt;=13),Inputs!$F$193,0)</f>
        <v>0</v>
      </c>
      <c r="BM9" s="11" t="n">
        <f aca="false">Inputs!$F$49*IF(AND(Time!BM17&gt;=11,Time!BM17&lt;=13),Inputs!$F$193,0)</f>
        <v>0</v>
      </c>
      <c r="BN9" s="11" t="n">
        <f aca="false">Inputs!$F$49*IF(AND(Time!BN17&gt;=11,Time!BN17&lt;=13),Inputs!$F$193,0)</f>
        <v>0</v>
      </c>
    </row>
    <row r="10" customFormat="false" ht="15" hidden="false" customHeight="false" outlineLevel="0" collapsed="false">
      <c r="D10" s="0" t="s">
        <v>639</v>
      </c>
      <c r="E10" s="0" t="s">
        <v>99</v>
      </c>
      <c r="J10" s="14" t="n">
        <f aca="false">(Operations!J9+Inputs!$F$79+J9)/100*Time!J20/360</f>
        <v>0.01978</v>
      </c>
      <c r="K10" s="14" t="n">
        <f aca="false">(Operations!K9+Inputs!$F$79+K9)/100*Time!K20/360</f>
        <v>0.0212172222222222</v>
      </c>
      <c r="L10" s="14" t="n">
        <f aca="false">(Operations!L9+Inputs!$F$79+L9)/100*Time!L20/360</f>
        <v>0.0181444444444444</v>
      </c>
      <c r="M10" s="14" t="n">
        <f aca="false">(Operations!M9+Inputs!$F$79+M9)/100*Time!M20/360</f>
        <v>0.0164811111111111</v>
      </c>
      <c r="N10" s="14" t="n">
        <f aca="false">(Operations!N9+Inputs!$F$79+N9)/100*Time!N20/360</f>
        <v>0.00879111111111111</v>
      </c>
      <c r="O10" s="14" t="n">
        <f aca="false">(Operations!O9+Inputs!$F$79+O9)/100*Time!O20/360</f>
        <v>0.00804444444444444</v>
      </c>
      <c r="P10" s="14" t="n">
        <f aca="false">(Operations!P9+Inputs!$F$79+P9)/100*Time!P20/360</f>
        <v>0.00771777777777778</v>
      </c>
      <c r="Q10" s="14" t="n">
        <f aca="false">(Operations!Q9+Inputs!$F$79+Q9)/100*Time!Q20/360</f>
        <v>0.00849694444444445</v>
      </c>
      <c r="R10" s="14" t="n">
        <f aca="false">(Operations!R9+Inputs!$F$79+R9)/100*Time!R20/360</f>
        <v>0.0219266666666667</v>
      </c>
      <c r="S10" s="14" t="n">
        <f aca="false">(Operations!S9+Inputs!$F$79+S9)/100*Time!S20/360</f>
        <v>0.0333756961111111</v>
      </c>
      <c r="T10" s="14" t="n">
        <f aca="false">(Operations!T9+Inputs!$F$79+T9)/100*Time!T20/360</f>
        <v>0.0396022177777778</v>
      </c>
      <c r="U10" s="14" t="n">
        <f aca="false">(Operations!U9+Inputs!$F$79+U9)/100*Time!U20/360</f>
        <v>0.0376045366666667</v>
      </c>
      <c r="V10" s="14" t="n">
        <f aca="false">(Operations!V9+Inputs!$F$79+V9)/100*Time!V20/360</f>
        <v>0.03832444</v>
      </c>
      <c r="W10" s="14" t="n">
        <f aca="false">(Operations!W9+Inputs!$F$79+W9)/100*Time!W20/360</f>
        <v>0.0303087516666667</v>
      </c>
      <c r="X10" s="14" t="n">
        <f aca="false">(Operations!X9+Inputs!$F$79+X9)/100*Time!X20/360</f>
        <v>0.0304022177777778</v>
      </c>
      <c r="Y10" s="14" t="n">
        <f aca="false">(Operations!Y9+Inputs!$F$79+Y9)/100*Time!Y20/360</f>
        <v>0.0271412516666667</v>
      </c>
      <c r="Z10" s="14" t="n">
        <f aca="false">(Operations!Z9+Inputs!$F$79+Z9)/100*Time!Z20/360</f>
        <v>0.0273866622222222</v>
      </c>
      <c r="AA10" s="14" t="n">
        <f aca="false">(Operations!AA9+Inputs!$F$79+AA9)/100*Time!AA20/360</f>
        <v>0.0262865294444444</v>
      </c>
      <c r="AB10" s="14" t="n">
        <f aca="false">(Operations!AB9+Inputs!$F$79+AB9)/100*Time!AB20/360</f>
        <v>0.0267222177777778</v>
      </c>
      <c r="AC10" s="14" t="n">
        <f aca="false">(Operations!AC9+Inputs!$F$79+AC9)/100*Time!AC20/360</f>
        <v>0.0266845366666667</v>
      </c>
      <c r="AD10" s="14" t="n">
        <f aca="false">(Operations!AD9+Inputs!$F$79+AD9)/100*Time!AD20/360</f>
        <v>0.0269777733333333</v>
      </c>
      <c r="AE10" s="14" t="n">
        <f aca="false">(Operations!AE9+Inputs!$F$79+AE9)/100*Time!AE20/360</f>
        <v>0.0265379183333333</v>
      </c>
      <c r="AF10" s="14" t="n">
        <f aca="false">(Operations!AF9+Inputs!$F$79+AF9)/100*Time!AF20/360</f>
        <v>0.0269777733333333</v>
      </c>
      <c r="AG10" s="14" t="n">
        <f aca="false">(Operations!AG9+Inputs!$F$79+AG9)/100*Time!AG20/360</f>
        <v>0.0265379183333333</v>
      </c>
      <c r="AH10" s="14" t="n">
        <f aca="false">(Operations!AH9+Inputs!$F$79+AH9)/100*Time!AH20/360</f>
        <v>0.0269777733333333</v>
      </c>
      <c r="AI10" s="14" t="n">
        <f aca="false">(Operations!AI9+Inputs!$F$79+AI9)/100*Time!AI20/360</f>
        <v>0.0265379183333333</v>
      </c>
      <c r="AJ10" s="14" t="n">
        <f aca="false">(Operations!AJ9+Inputs!$F$79+AJ9)/100*Time!AJ20/360</f>
        <v>0.0269777733333333</v>
      </c>
      <c r="AK10" s="14" t="n">
        <f aca="false">(Operations!AK9+Inputs!$F$79+AK9)/100*Time!AK20/360</f>
        <v>0.0266845366666667</v>
      </c>
      <c r="AL10" s="14" t="n">
        <f aca="false">(Operations!AL9+Inputs!$F$79+AL9)/100*Time!AL20/360</f>
        <v>0.0269777733333333</v>
      </c>
      <c r="AM10" s="14" t="n">
        <f aca="false">(Operations!AM9+Inputs!$F$79+AM9)/100*Time!AM20/360</f>
        <v>0.0265379183333333</v>
      </c>
      <c r="AN10" s="14" t="n">
        <f aca="false">(Operations!AN9+Inputs!$F$79+AN9)/100*Time!AN20/360</f>
        <v>0.0269777733333333</v>
      </c>
      <c r="AO10" s="14" t="n">
        <f aca="false">(Operations!AO9+Inputs!$F$79+AO9)/100*Time!AO20/360</f>
        <v>0.0265379183333333</v>
      </c>
      <c r="AP10" s="14" t="n">
        <f aca="false">(Operations!AP9+Inputs!$F$79+AP9)/100*Time!AP20/360</f>
        <v>0.0269777733333333</v>
      </c>
      <c r="AQ10" s="14" t="n">
        <f aca="false">(Operations!AQ9+Inputs!$F$79+AQ9)/100*Time!AQ20/360</f>
        <v>0.0265379183333333</v>
      </c>
      <c r="AR10" s="14" t="n">
        <f aca="false">(Operations!AR9+Inputs!$F$79+AR9)/100*Time!AR20/360</f>
        <v>0.0269777733333333</v>
      </c>
      <c r="AS10" s="14" t="n">
        <f aca="false">(Operations!AS9+Inputs!$F$79+AS9)/100*Time!AS20/360</f>
        <v>0.0266845366666667</v>
      </c>
      <c r="AT10" s="14" t="n">
        <f aca="false">(Operations!AT9+Inputs!$F$79+AT9)/100*Time!AT20/360</f>
        <v>0.0269777733333333</v>
      </c>
      <c r="AU10" s="14" t="n">
        <f aca="false">(Operations!AU9+Inputs!$F$79+AU9)/100*Time!AU20/360</f>
        <v>0.0265379183333333</v>
      </c>
      <c r="AV10" s="14" t="n">
        <f aca="false">(Operations!AV9+Inputs!$F$79+AV9)/100*Time!AV20/360</f>
        <v>0.0269777733333333</v>
      </c>
      <c r="AW10" s="14" t="n">
        <f aca="false">(Operations!AW9+Inputs!$F$79+AW9)/100*Time!AW20/360</f>
        <v>0.0265379183333333</v>
      </c>
      <c r="AX10" s="14" t="n">
        <f aca="false">(Operations!AX9+Inputs!$F$79+AX9)/100*Time!AX20/360</f>
        <v>0.0269777733333333</v>
      </c>
      <c r="AY10" s="14" t="n">
        <f aca="false">(Operations!AY9+Inputs!$F$79+AY9)/100*Time!AY20/360</f>
        <v>0.0265379183333333</v>
      </c>
      <c r="AZ10" s="14" t="n">
        <f aca="false">(Operations!AZ9+Inputs!$F$79+AZ9)/100*Time!AZ20/360</f>
        <v>0.0269777733333333</v>
      </c>
      <c r="BA10" s="14" t="n">
        <f aca="false">(Operations!BA9+Inputs!$F$79+BA9)/100*Time!BA20/360</f>
        <v>0.0266845366666667</v>
      </c>
      <c r="BB10" s="14" t="n">
        <f aca="false">(Operations!BB9+Inputs!$F$79+BB9)/100*Time!BB20/360</f>
        <v>0.0269777733333333</v>
      </c>
      <c r="BC10" s="14" t="n">
        <f aca="false">(Operations!BC9+Inputs!$F$79+BC9)/100*Time!BC20/360</f>
        <v>0.0265379183333333</v>
      </c>
      <c r="BD10" s="14" t="n">
        <f aca="false">(Operations!BD9+Inputs!$F$79+BD9)/100*Time!BD20/360</f>
        <v>0.0269777733333333</v>
      </c>
      <c r="BE10" s="14" t="n">
        <f aca="false">(Operations!BE9+Inputs!$F$79+BE9)/100*Time!BE20/360</f>
        <v>0.0265379183333333</v>
      </c>
      <c r="BF10" s="14" t="n">
        <f aca="false">(Operations!BF9+Inputs!$F$79+BF9)/100*Time!BF20/360</f>
        <v>0.0269777733333333</v>
      </c>
      <c r="BG10" s="14" t="n">
        <f aca="false">(Operations!BG9+Inputs!$F$79+BG9)/100*Time!BG20/360</f>
        <v>0.0265379183333333</v>
      </c>
      <c r="BH10" s="14" t="n">
        <f aca="false">(Operations!BH9+Inputs!$F$79+BH9)/100*Time!BH20/360</f>
        <v>0.0269777733333333</v>
      </c>
      <c r="BI10" s="14" t="n">
        <f aca="false">(Operations!BI9+Inputs!$F$79+BI9)/100*Time!BI20/360</f>
        <v>0.0266845366666667</v>
      </c>
      <c r="BJ10" s="14" t="n">
        <f aca="false">(Operations!BJ9+Inputs!$F$79+BJ9)/100*Time!BJ20/360</f>
        <v>0.0269777733333333</v>
      </c>
      <c r="BK10" s="14" t="n">
        <f aca="false">(Operations!BK9+Inputs!$F$79+BK9)/100*Time!BK20/360</f>
        <v>0.0265379183333333</v>
      </c>
      <c r="BL10" s="14" t="n">
        <f aca="false">(Operations!BL9+Inputs!$F$79+BL9)/100*Time!BL20/360</f>
        <v>0.0269777733333333</v>
      </c>
      <c r="BM10" s="14" t="n">
        <f aca="false">(Operations!BM9+Inputs!$F$79+BM9)/100*Time!BM20/360</f>
        <v>0.0265379183333333</v>
      </c>
      <c r="BN10" s="14" t="n">
        <f aca="false">(Operations!BN9+Inputs!$F$79+BN9)/100*Time!BN20/360</f>
        <v>0.0269777733333333</v>
      </c>
    </row>
    <row r="11" customFormat="false" ht="15" hidden="false" customHeight="false" outlineLevel="0" collapsed="false">
      <c r="D11" s="0" t="s">
        <v>640</v>
      </c>
      <c r="E11" s="0" t="s">
        <v>99</v>
      </c>
      <c r="J11" s="14" t="n">
        <f aca="false">(Operations!J9+Inputs!$F$80+J9)/100*Time!J20/360</f>
        <v>0.0315355555555556</v>
      </c>
      <c r="K11" s="14" t="n">
        <f aca="false">(Operations!K9+Inputs!$F$80+K9)/100*Time!K20/360</f>
        <v>0.0327811111111111</v>
      </c>
      <c r="L11" s="14" t="n">
        <f aca="false">(Operations!L9+Inputs!$F$80+L9)/100*Time!L20/360</f>
        <v>0.0299</v>
      </c>
      <c r="M11" s="14" t="n">
        <f aca="false">(Operations!M9+Inputs!$F$80+M9)/100*Time!M20/360</f>
        <v>0.0281088888888889</v>
      </c>
      <c r="N11" s="14" t="n">
        <f aca="false">(Operations!N9+Inputs!$F$80+N9)/100*Time!N20/360</f>
        <v>0.0205466666666667</v>
      </c>
      <c r="O11" s="14" t="n">
        <f aca="false">(Operations!O9+Inputs!$F$80+O9)/100*Time!O20/360</f>
        <v>0.0196083333333333</v>
      </c>
      <c r="P11" s="14" t="n">
        <f aca="false">(Operations!P9+Inputs!$F$80+P9)/100*Time!P20/360</f>
        <v>0.0194733333333333</v>
      </c>
      <c r="Q11" s="14" t="n">
        <f aca="false">(Operations!Q9+Inputs!$F$80+Q9)/100*Time!Q20/360</f>
        <v>0.0200608333333333</v>
      </c>
      <c r="R11" s="14" t="n">
        <f aca="false">(Operations!R9+Inputs!$F$80+R9)/100*Time!R20/360</f>
        <v>0.0336822222222222</v>
      </c>
      <c r="S11" s="14" t="n">
        <f aca="false">(Operations!S9+Inputs!$F$80+S9)/100*Time!S20/360</f>
        <v>0.044939585</v>
      </c>
      <c r="T11" s="14" t="n">
        <f aca="false">(Operations!T9+Inputs!$F$80+T9)/100*Time!T20/360</f>
        <v>0.0513577733333333</v>
      </c>
      <c r="U11" s="14" t="n">
        <f aca="false">(Operations!U9+Inputs!$F$80+U9)/100*Time!U20/360</f>
        <v>0.0492323144444444</v>
      </c>
      <c r="V11" s="14" t="n">
        <f aca="false">(Operations!V9+Inputs!$F$80+V9)/100*Time!V20/360</f>
        <v>0.0500799955555556</v>
      </c>
      <c r="W11" s="14" t="n">
        <f aca="false">(Operations!W9+Inputs!$F$80+W9)/100*Time!W20/360</f>
        <v>0.0418726405555556</v>
      </c>
      <c r="X11" s="14" t="n">
        <f aca="false">(Operations!X9+Inputs!$F$80+X9)/100*Time!X20/360</f>
        <v>0.0421577733333333</v>
      </c>
      <c r="Y11" s="14" t="n">
        <f aca="false">(Operations!Y9+Inputs!$F$80+Y9)/100*Time!Y20/360</f>
        <v>0.0387051405555556</v>
      </c>
      <c r="Z11" s="14" t="n">
        <f aca="false">(Operations!Z9+Inputs!$F$80+Z9)/100*Time!Z20/360</f>
        <v>0.0391422177777778</v>
      </c>
      <c r="AA11" s="14" t="n">
        <f aca="false">(Operations!AA9+Inputs!$F$80+AA9)/100*Time!AA20/360</f>
        <v>0.0378504183333333</v>
      </c>
      <c r="AB11" s="14" t="n">
        <f aca="false">(Operations!AB9+Inputs!$F$80+AB9)/100*Time!AB20/360</f>
        <v>0.0384777733333333</v>
      </c>
      <c r="AC11" s="14" t="n">
        <f aca="false">(Operations!AC9+Inputs!$F$80+AC9)/100*Time!AC20/360</f>
        <v>0.0383123144444445</v>
      </c>
      <c r="AD11" s="14" t="n">
        <f aca="false">(Operations!AD9+Inputs!$F$80+AD9)/100*Time!AD20/360</f>
        <v>0.0387333288888889</v>
      </c>
      <c r="AE11" s="14" t="n">
        <f aca="false">(Operations!AE9+Inputs!$F$80+AE9)/100*Time!AE20/360</f>
        <v>0.0381018072222222</v>
      </c>
      <c r="AF11" s="14" t="n">
        <f aca="false">(Operations!AF9+Inputs!$F$80+AF9)/100*Time!AF20/360</f>
        <v>0.0387333288888889</v>
      </c>
      <c r="AG11" s="14" t="n">
        <f aca="false">(Operations!AG9+Inputs!$F$80+AG9)/100*Time!AG20/360</f>
        <v>0.0381018072222222</v>
      </c>
      <c r="AH11" s="14" t="n">
        <f aca="false">(Operations!AH9+Inputs!$F$80+AH9)/100*Time!AH20/360</f>
        <v>0.0387333288888889</v>
      </c>
      <c r="AI11" s="14" t="n">
        <f aca="false">(Operations!AI9+Inputs!$F$80+AI9)/100*Time!AI20/360</f>
        <v>0.0381018072222222</v>
      </c>
      <c r="AJ11" s="14" t="n">
        <f aca="false">(Operations!AJ9+Inputs!$F$80+AJ9)/100*Time!AJ20/360</f>
        <v>0.0387333288888889</v>
      </c>
      <c r="AK11" s="14" t="n">
        <f aca="false">(Operations!AK9+Inputs!$F$80+AK9)/100*Time!AK20/360</f>
        <v>0.0383123144444445</v>
      </c>
      <c r="AL11" s="14" t="n">
        <f aca="false">(Operations!AL9+Inputs!$F$80+AL9)/100*Time!AL20/360</f>
        <v>0.0387333288888889</v>
      </c>
      <c r="AM11" s="14" t="n">
        <f aca="false">(Operations!AM9+Inputs!$F$80+AM9)/100*Time!AM20/360</f>
        <v>0.0381018072222222</v>
      </c>
      <c r="AN11" s="14" t="n">
        <f aca="false">(Operations!AN9+Inputs!$F$80+AN9)/100*Time!AN20/360</f>
        <v>0.0387333288888889</v>
      </c>
      <c r="AO11" s="14" t="n">
        <f aca="false">(Operations!AO9+Inputs!$F$80+AO9)/100*Time!AO20/360</f>
        <v>0.0381018072222222</v>
      </c>
      <c r="AP11" s="14" t="n">
        <f aca="false">(Operations!AP9+Inputs!$F$80+AP9)/100*Time!AP20/360</f>
        <v>0.0387333288888889</v>
      </c>
      <c r="AQ11" s="14" t="n">
        <f aca="false">(Operations!AQ9+Inputs!$F$80+AQ9)/100*Time!AQ20/360</f>
        <v>0.0381018072222222</v>
      </c>
      <c r="AR11" s="14" t="n">
        <f aca="false">(Operations!AR9+Inputs!$F$80+AR9)/100*Time!AR20/360</f>
        <v>0.0387333288888889</v>
      </c>
      <c r="AS11" s="14" t="n">
        <f aca="false">(Operations!AS9+Inputs!$F$80+AS9)/100*Time!AS20/360</f>
        <v>0.0383123144444445</v>
      </c>
      <c r="AT11" s="14" t="n">
        <f aca="false">(Operations!AT9+Inputs!$F$80+AT9)/100*Time!AT20/360</f>
        <v>0.0387333288888889</v>
      </c>
      <c r="AU11" s="14" t="n">
        <f aca="false">(Operations!AU9+Inputs!$F$80+AU9)/100*Time!AU20/360</f>
        <v>0.0381018072222222</v>
      </c>
      <c r="AV11" s="14" t="n">
        <f aca="false">(Operations!AV9+Inputs!$F$80+AV9)/100*Time!AV20/360</f>
        <v>0.0387333288888889</v>
      </c>
      <c r="AW11" s="14" t="n">
        <f aca="false">(Operations!AW9+Inputs!$F$80+AW9)/100*Time!AW20/360</f>
        <v>0.0381018072222222</v>
      </c>
      <c r="AX11" s="14" t="n">
        <f aca="false">(Operations!AX9+Inputs!$F$80+AX9)/100*Time!AX20/360</f>
        <v>0.0387333288888889</v>
      </c>
      <c r="AY11" s="14" t="n">
        <f aca="false">(Operations!AY9+Inputs!$F$80+AY9)/100*Time!AY20/360</f>
        <v>0.0381018072222222</v>
      </c>
      <c r="AZ11" s="14" t="n">
        <f aca="false">(Operations!AZ9+Inputs!$F$80+AZ9)/100*Time!AZ20/360</f>
        <v>0.0387333288888889</v>
      </c>
      <c r="BA11" s="14" t="n">
        <f aca="false">(Operations!BA9+Inputs!$F$80+BA9)/100*Time!BA20/360</f>
        <v>0.0383123144444445</v>
      </c>
      <c r="BB11" s="14" t="n">
        <f aca="false">(Operations!BB9+Inputs!$F$80+BB9)/100*Time!BB20/360</f>
        <v>0.0387333288888889</v>
      </c>
      <c r="BC11" s="14" t="n">
        <f aca="false">(Operations!BC9+Inputs!$F$80+BC9)/100*Time!BC20/360</f>
        <v>0.0381018072222222</v>
      </c>
      <c r="BD11" s="14" t="n">
        <f aca="false">(Operations!BD9+Inputs!$F$80+BD9)/100*Time!BD20/360</f>
        <v>0.0387333288888889</v>
      </c>
      <c r="BE11" s="14" t="n">
        <f aca="false">(Operations!BE9+Inputs!$F$80+BE9)/100*Time!BE20/360</f>
        <v>0.0381018072222222</v>
      </c>
      <c r="BF11" s="14" t="n">
        <f aca="false">(Operations!BF9+Inputs!$F$80+BF9)/100*Time!BF20/360</f>
        <v>0.0387333288888889</v>
      </c>
      <c r="BG11" s="14" t="n">
        <f aca="false">(Operations!BG9+Inputs!$F$80+BG9)/100*Time!BG20/360</f>
        <v>0.0381018072222222</v>
      </c>
      <c r="BH11" s="14" t="n">
        <f aca="false">(Operations!BH9+Inputs!$F$80+BH9)/100*Time!BH20/360</f>
        <v>0.0387333288888889</v>
      </c>
      <c r="BI11" s="14" t="n">
        <f aca="false">(Operations!BI9+Inputs!$F$80+BI9)/100*Time!BI20/360</f>
        <v>0.0383123144444445</v>
      </c>
      <c r="BJ11" s="14" t="n">
        <f aca="false">(Operations!BJ9+Inputs!$F$80+BJ9)/100*Time!BJ20/360</f>
        <v>0.0387333288888889</v>
      </c>
      <c r="BK11" s="14" t="n">
        <f aca="false">(Operations!BK9+Inputs!$F$80+BK9)/100*Time!BK20/360</f>
        <v>0.0381018072222222</v>
      </c>
      <c r="BL11" s="14" t="n">
        <f aca="false">(Operations!BL9+Inputs!$F$80+BL9)/100*Time!BL20/360</f>
        <v>0.0387333288888889</v>
      </c>
      <c r="BM11" s="14" t="n">
        <f aca="false">(Operations!BM9+Inputs!$F$80+BM9)/100*Time!BM20/360</f>
        <v>0.0381018072222222</v>
      </c>
      <c r="BN11" s="14" t="n">
        <f aca="false">(Operations!BN9+Inputs!$F$80+BN9)/100*Time!BN20/360</f>
        <v>0.0387333288888889</v>
      </c>
    </row>
    <row r="12" customFormat="false" ht="15" hidden="false" customHeight="false" outlineLevel="0" collapsed="false">
      <c r="D12" s="0" t="s">
        <v>641</v>
      </c>
      <c r="E12" s="0" t="s">
        <v>99</v>
      </c>
      <c r="J12" s="14" t="n">
        <f aca="false">(Operations!J9+Inputs!$F$81+J9)/100*Time!J20/360</f>
        <v>0.0302577777777778</v>
      </c>
      <c r="K12" s="14" t="n">
        <f aca="false">(Operations!K9+Inputs!$F$81+K9)/100*Time!K20/360</f>
        <v>0.0315241666666667</v>
      </c>
      <c r="L12" s="14" t="n">
        <f aca="false">(Operations!L9+Inputs!$F$81+L9)/100*Time!L20/360</f>
        <v>0.0286222222222222</v>
      </c>
      <c r="M12" s="14" t="n">
        <f aca="false">(Operations!M9+Inputs!$F$81+M9)/100*Time!M20/360</f>
        <v>0.026845</v>
      </c>
      <c r="N12" s="14" t="n">
        <f aca="false">(Operations!N9+Inputs!$F$81+N9)/100*Time!N20/360</f>
        <v>0.0192688888888889</v>
      </c>
      <c r="O12" s="14" t="n">
        <f aca="false">(Operations!O9+Inputs!$F$81+O9)/100*Time!O20/360</f>
        <v>0.0183513888888889</v>
      </c>
      <c r="P12" s="14" t="n">
        <f aca="false">(Operations!P9+Inputs!$F$81+P9)/100*Time!P20/360</f>
        <v>0.0181955555555556</v>
      </c>
      <c r="Q12" s="14" t="n">
        <f aca="false">(Operations!Q9+Inputs!$F$81+Q9)/100*Time!Q20/360</f>
        <v>0.0188038888888889</v>
      </c>
      <c r="R12" s="14" t="n">
        <f aca="false">(Operations!R9+Inputs!$F$81+R9)/100*Time!R20/360</f>
        <v>0.0324044444444444</v>
      </c>
      <c r="S12" s="14" t="n">
        <f aca="false">(Operations!S9+Inputs!$F$81+S9)/100*Time!S20/360</f>
        <v>0.0436826405555556</v>
      </c>
      <c r="T12" s="14" t="n">
        <f aca="false">(Operations!T9+Inputs!$F$81+T9)/100*Time!T20/360</f>
        <v>0.0500799955555556</v>
      </c>
      <c r="U12" s="14" t="n">
        <f aca="false">(Operations!U9+Inputs!$F$81+U9)/100*Time!U20/360</f>
        <v>0.0479684255555556</v>
      </c>
      <c r="V12" s="14" t="n">
        <f aca="false">(Operations!V9+Inputs!$F$81+V9)/100*Time!V20/360</f>
        <v>0.0488022177777778</v>
      </c>
      <c r="W12" s="14" t="n">
        <f aca="false">(Operations!W9+Inputs!$F$81+W9)/100*Time!W20/360</f>
        <v>0.0406156961111111</v>
      </c>
      <c r="X12" s="14" t="n">
        <f aca="false">(Operations!X9+Inputs!$F$81+X9)/100*Time!X20/360</f>
        <v>0.0408799955555556</v>
      </c>
      <c r="Y12" s="14" t="n">
        <f aca="false">(Operations!Y9+Inputs!$F$81+Y9)/100*Time!Y20/360</f>
        <v>0.0374481961111111</v>
      </c>
      <c r="Z12" s="14" t="n">
        <f aca="false">(Operations!Z9+Inputs!$F$81+Z9)/100*Time!Z20/360</f>
        <v>0.03786444</v>
      </c>
      <c r="AA12" s="14" t="n">
        <f aca="false">(Operations!AA9+Inputs!$F$81+AA9)/100*Time!AA20/360</f>
        <v>0.0365934738888889</v>
      </c>
      <c r="AB12" s="14" t="n">
        <f aca="false">(Operations!AB9+Inputs!$F$81+AB9)/100*Time!AB20/360</f>
        <v>0.0371999955555556</v>
      </c>
      <c r="AC12" s="14" t="n">
        <f aca="false">(Operations!AC9+Inputs!$F$81+AC9)/100*Time!AC20/360</f>
        <v>0.0370484255555556</v>
      </c>
      <c r="AD12" s="14" t="n">
        <f aca="false">(Operations!AD9+Inputs!$F$81+AD9)/100*Time!AD20/360</f>
        <v>0.0374555511111111</v>
      </c>
      <c r="AE12" s="14" t="n">
        <f aca="false">(Operations!AE9+Inputs!$F$81+AE9)/100*Time!AE20/360</f>
        <v>0.0368448627777778</v>
      </c>
      <c r="AF12" s="14" t="n">
        <f aca="false">(Operations!AF9+Inputs!$F$81+AF9)/100*Time!AF20/360</f>
        <v>0.0374555511111111</v>
      </c>
      <c r="AG12" s="14" t="n">
        <f aca="false">(Operations!AG9+Inputs!$F$81+AG9)/100*Time!AG20/360</f>
        <v>0.0368448627777778</v>
      </c>
      <c r="AH12" s="14" t="n">
        <f aca="false">(Operations!AH9+Inputs!$F$81+AH9)/100*Time!AH20/360</f>
        <v>0.0374555511111111</v>
      </c>
      <c r="AI12" s="14" t="n">
        <f aca="false">(Operations!AI9+Inputs!$F$81+AI9)/100*Time!AI20/360</f>
        <v>0.0368448627777778</v>
      </c>
      <c r="AJ12" s="14" t="n">
        <f aca="false">(Operations!AJ9+Inputs!$F$81+AJ9)/100*Time!AJ20/360</f>
        <v>0.0374555511111111</v>
      </c>
      <c r="AK12" s="14" t="n">
        <f aca="false">(Operations!AK9+Inputs!$F$81+AK9)/100*Time!AK20/360</f>
        <v>0.0370484255555556</v>
      </c>
      <c r="AL12" s="14" t="n">
        <f aca="false">(Operations!AL9+Inputs!$F$81+AL9)/100*Time!AL20/360</f>
        <v>0.0374555511111111</v>
      </c>
      <c r="AM12" s="14" t="n">
        <f aca="false">(Operations!AM9+Inputs!$F$81+AM9)/100*Time!AM20/360</f>
        <v>0.0368448627777778</v>
      </c>
      <c r="AN12" s="14" t="n">
        <f aca="false">(Operations!AN9+Inputs!$F$81+AN9)/100*Time!AN20/360</f>
        <v>0.0374555511111111</v>
      </c>
      <c r="AO12" s="14" t="n">
        <f aca="false">(Operations!AO9+Inputs!$F$81+AO9)/100*Time!AO20/360</f>
        <v>0.0368448627777778</v>
      </c>
      <c r="AP12" s="14" t="n">
        <f aca="false">(Operations!AP9+Inputs!$F$81+AP9)/100*Time!AP20/360</f>
        <v>0.0374555511111111</v>
      </c>
      <c r="AQ12" s="14" t="n">
        <f aca="false">(Operations!AQ9+Inputs!$F$81+AQ9)/100*Time!AQ20/360</f>
        <v>0.0368448627777778</v>
      </c>
      <c r="AR12" s="14" t="n">
        <f aca="false">(Operations!AR9+Inputs!$F$81+AR9)/100*Time!AR20/360</f>
        <v>0.0374555511111111</v>
      </c>
      <c r="AS12" s="14" t="n">
        <f aca="false">(Operations!AS9+Inputs!$F$81+AS9)/100*Time!AS20/360</f>
        <v>0.0370484255555556</v>
      </c>
      <c r="AT12" s="14" t="n">
        <f aca="false">(Operations!AT9+Inputs!$F$81+AT9)/100*Time!AT20/360</f>
        <v>0.0374555511111111</v>
      </c>
      <c r="AU12" s="14" t="n">
        <f aca="false">(Operations!AU9+Inputs!$F$81+AU9)/100*Time!AU20/360</f>
        <v>0.0368448627777778</v>
      </c>
      <c r="AV12" s="14" t="n">
        <f aca="false">(Operations!AV9+Inputs!$F$81+AV9)/100*Time!AV20/360</f>
        <v>0.0374555511111111</v>
      </c>
      <c r="AW12" s="14" t="n">
        <f aca="false">(Operations!AW9+Inputs!$F$81+AW9)/100*Time!AW20/360</f>
        <v>0.0368448627777778</v>
      </c>
      <c r="AX12" s="14" t="n">
        <f aca="false">(Operations!AX9+Inputs!$F$81+AX9)/100*Time!AX20/360</f>
        <v>0.0374555511111111</v>
      </c>
      <c r="AY12" s="14" t="n">
        <f aca="false">(Operations!AY9+Inputs!$F$81+AY9)/100*Time!AY20/360</f>
        <v>0.0368448627777778</v>
      </c>
      <c r="AZ12" s="14" t="n">
        <f aca="false">(Operations!AZ9+Inputs!$F$81+AZ9)/100*Time!AZ20/360</f>
        <v>0.0374555511111111</v>
      </c>
      <c r="BA12" s="14" t="n">
        <f aca="false">(Operations!BA9+Inputs!$F$81+BA9)/100*Time!BA20/360</f>
        <v>0.0370484255555556</v>
      </c>
      <c r="BB12" s="14" t="n">
        <f aca="false">(Operations!BB9+Inputs!$F$81+BB9)/100*Time!BB20/360</f>
        <v>0.0374555511111111</v>
      </c>
      <c r="BC12" s="14" t="n">
        <f aca="false">(Operations!BC9+Inputs!$F$81+BC9)/100*Time!BC20/360</f>
        <v>0.0368448627777778</v>
      </c>
      <c r="BD12" s="14" t="n">
        <f aca="false">(Operations!BD9+Inputs!$F$81+BD9)/100*Time!BD20/360</f>
        <v>0.0374555511111111</v>
      </c>
      <c r="BE12" s="14" t="n">
        <f aca="false">(Operations!BE9+Inputs!$F$81+BE9)/100*Time!BE20/360</f>
        <v>0.0368448627777778</v>
      </c>
      <c r="BF12" s="14" t="n">
        <f aca="false">(Operations!BF9+Inputs!$F$81+BF9)/100*Time!BF20/360</f>
        <v>0.0374555511111111</v>
      </c>
      <c r="BG12" s="14" t="n">
        <f aca="false">(Operations!BG9+Inputs!$F$81+BG9)/100*Time!BG20/360</f>
        <v>0.0368448627777778</v>
      </c>
      <c r="BH12" s="14" t="n">
        <f aca="false">(Operations!BH9+Inputs!$F$81+BH9)/100*Time!BH20/360</f>
        <v>0.0374555511111111</v>
      </c>
      <c r="BI12" s="14" t="n">
        <f aca="false">(Operations!BI9+Inputs!$F$81+BI9)/100*Time!BI20/360</f>
        <v>0.0370484255555556</v>
      </c>
      <c r="BJ12" s="14" t="n">
        <f aca="false">(Operations!BJ9+Inputs!$F$81+BJ9)/100*Time!BJ20/360</f>
        <v>0.0374555511111111</v>
      </c>
      <c r="BK12" s="14" t="n">
        <f aca="false">(Operations!BK9+Inputs!$F$81+BK9)/100*Time!BK20/360</f>
        <v>0.0368448627777778</v>
      </c>
      <c r="BL12" s="14" t="n">
        <f aca="false">(Operations!BL9+Inputs!$F$81+BL9)/100*Time!BL20/360</f>
        <v>0.0374555511111111</v>
      </c>
      <c r="BM12" s="14" t="n">
        <f aca="false">(Operations!BM9+Inputs!$F$81+BM9)/100*Time!BM20/360</f>
        <v>0.0368448627777778</v>
      </c>
      <c r="BN12" s="14" t="n">
        <f aca="false">(Operations!BN9+Inputs!$F$81+BN9)/100*Time!BN20/360</f>
        <v>0.0374555511111111</v>
      </c>
    </row>
    <row r="13" customFormat="false" ht="15" hidden="false" customHeight="false" outlineLevel="0" collapsed="false">
      <c r="D13" s="0" t="s">
        <v>642</v>
      </c>
      <c r="E13" s="0" t="s">
        <v>99</v>
      </c>
      <c r="J13" s="14" t="n">
        <f aca="false">(Operations!J9+J8+J9)/100*Time!J20/360/(1-Inputs!$F$93/100)</f>
        <v>0.0375950617283951</v>
      </c>
      <c r="K13" s="14" t="n">
        <f aca="false">(Operations!K9+K8+K9)/100*Time!K20/360/(1-Inputs!$F$93/100)</f>
        <v>0.0389373456790123</v>
      </c>
      <c r="L13" s="14" t="n">
        <f aca="false">(Operations!L9+L8+L9)/100*Time!L20/360/(1-Inputs!$F$93/100)</f>
        <v>0.0357777777777778</v>
      </c>
      <c r="M13" s="14" t="n">
        <f aca="false">(Operations!M9+M8+M9)/100*Time!M20/360/(1-Inputs!$F$93/100)</f>
        <v>0.0337598765432099</v>
      </c>
      <c r="N13" s="14" t="n">
        <f aca="false">(Operations!N9+N8+N9)/100*Time!N20/360/(1-Inputs!$F$93/100)</f>
        <v>0.0253851851851852</v>
      </c>
      <c r="O13" s="14" t="n">
        <f aca="false">(Operations!O9+O8+O9)/100*Time!O20/360/(1-Inputs!$F$93/100)</f>
        <v>0.0243009259259259</v>
      </c>
      <c r="P13" s="14" t="n">
        <f aca="false">(Operations!P9+P8+P9)/100*Time!P20/360/(1-Inputs!$F$93/100)</f>
        <v>0.0241925925925926</v>
      </c>
      <c r="Q13" s="14" t="n">
        <f aca="false">(Operations!Q9+Q8+Q9)/100*Time!Q20/360/(1-Inputs!$F$93/100)</f>
        <v>0.0248037037037037</v>
      </c>
      <c r="R13" s="14" t="n">
        <f aca="false">(Operations!R9+R8+R9)/100*Time!R20/360/(1-Inputs!$F$93/100)</f>
        <v>0.0399802469135802</v>
      </c>
      <c r="S13" s="14" t="n">
        <f aca="false">(Operations!S9+S8+S9)/100*Time!S20/360/(1-Inputs!$F$93/100)</f>
        <v>0.0524467611111111</v>
      </c>
      <c r="T13" s="14" t="n">
        <f aca="false">(Operations!T9+T8+T9)/100*Time!T20/360/(1-Inputs!$F$93/100)</f>
        <v>0.0596197481481481</v>
      </c>
      <c r="U13" s="14" t="n">
        <f aca="false">(Operations!U9+U8+U9)/100*Time!U20/360/(1-Inputs!$F$93/100)</f>
        <v>0.057230349382716</v>
      </c>
      <c r="V13" s="14" t="n">
        <f aca="false">(Operations!V9+V8+V9)/100*Time!V20/360/(1-Inputs!$F$93/100)</f>
        <v>0.0581999950617284</v>
      </c>
      <c r="W13" s="14" t="n">
        <f aca="false">(Operations!W9+W8+W9)/100*Time!W20/360/(1-Inputs!$F$93/100)</f>
        <v>0.0490390450617284</v>
      </c>
      <c r="X13" s="14" t="n">
        <f aca="false">(Operations!X9+X8+X9)/100*Time!X20/360/(1-Inputs!$F$93/100)</f>
        <v>0.0493975259259259</v>
      </c>
      <c r="Y13" s="14" t="n">
        <f aca="false">(Operations!Y9+Y8+Y9)/100*Time!Y20/360/(1-Inputs!$F$93/100)</f>
        <v>0.0483128104938272</v>
      </c>
      <c r="Z13" s="14" t="n">
        <f aca="false">(Operations!Z9+Z8+Z9)/100*Time!Z20/360/(1-Inputs!$F$93/100)</f>
        <v>0.0488864148148148</v>
      </c>
      <c r="AA13" s="14" t="n">
        <f aca="false">(Operations!AA9+AA8+AA9)/100*Time!AA20/360/(1-Inputs!$F$93/100)</f>
        <v>0.0473631191358025</v>
      </c>
      <c r="AB13" s="14" t="n">
        <f aca="false">(Operations!AB9+AB8+AB9)/100*Time!AB20/360/(1-Inputs!$F$93/100)</f>
        <v>0.0481481432098765</v>
      </c>
      <c r="AC13" s="14" t="n">
        <f aca="false">(Operations!AC9+AC8+AC9)/100*Time!AC20/360/(1-Inputs!$F$93/100)</f>
        <v>0.0479056580246914</v>
      </c>
      <c r="AD13" s="14" t="n">
        <f aca="false">(Operations!AD9+AD8+AD9)/100*Time!AD20/360/(1-Inputs!$F$93/100)</f>
        <v>0.0484320938271605</v>
      </c>
      <c r="AE13" s="14" t="n">
        <f aca="false">(Operations!AE9+AE8+AE9)/100*Time!AE20/360/(1-Inputs!$F$93/100)</f>
        <v>0.0476424401234568</v>
      </c>
      <c r="AF13" s="14" t="n">
        <f aca="false">(Operations!AF9+AF8+AF9)/100*Time!AF20/360/(1-Inputs!$F$93/100)</f>
        <v>0.0484320938271605</v>
      </c>
      <c r="AG13" s="14" t="n">
        <f aca="false">(Operations!AG9+AG8+AG9)/100*Time!AG20/360/(1-Inputs!$F$93/100)</f>
        <v>0.05043565</v>
      </c>
      <c r="AH13" s="14" t="n">
        <f aca="false">(Operations!AH9+AH8+AH9)/100*Time!AH20/360/(1-Inputs!$F$93/100)</f>
        <v>0.0512716</v>
      </c>
      <c r="AI13" s="14" t="n">
        <f aca="false">(Operations!AI9+AI8+AI9)/100*Time!AI20/360/(1-Inputs!$F$93/100)</f>
        <v>0.05043565</v>
      </c>
      <c r="AJ13" s="14" t="n">
        <f aca="false">(Operations!AJ9+AJ8+AJ9)/100*Time!AJ20/360/(1-Inputs!$F$93/100)</f>
        <v>0.0512716</v>
      </c>
      <c r="AK13" s="14" t="n">
        <f aca="false">(Operations!AK9+AK8+AK9)/100*Time!AK20/360/(1-Inputs!$F$93/100)</f>
        <v>0.0507143</v>
      </c>
      <c r="AL13" s="14" t="n">
        <f aca="false">(Operations!AL9+AL8+AL9)/100*Time!AL20/360/(1-Inputs!$F$93/100)</f>
        <v>0.0512716</v>
      </c>
      <c r="AM13" s="14" t="n">
        <f aca="false">(Operations!AM9+AM8+AM9)/100*Time!AM20/360/(1-Inputs!$F$93/100)</f>
        <v>0.05043565</v>
      </c>
      <c r="AN13" s="14" t="n">
        <f aca="false">(Operations!AN9+AN8+AN9)/100*Time!AN20/360/(1-Inputs!$F$93/100)</f>
        <v>0.0512716</v>
      </c>
      <c r="AO13" s="14" t="n">
        <f aca="false">(Operations!AO9+AO8+AO9)/100*Time!AO20/360/(1-Inputs!$F$93/100)</f>
        <v>0.05043565</v>
      </c>
      <c r="AP13" s="14" t="n">
        <f aca="false">(Operations!AP9+AP8+AP9)/100*Time!AP20/360/(1-Inputs!$F$93/100)</f>
        <v>0.0512716</v>
      </c>
      <c r="AQ13" s="14" t="n">
        <f aca="false">(Operations!AQ9+AQ8+AQ9)/100*Time!AQ20/360/(1-Inputs!$F$93/100)</f>
        <v>0.05043565</v>
      </c>
      <c r="AR13" s="14" t="n">
        <f aca="false">(Operations!AR9+AR8+AR9)/100*Time!AR20/360/(1-Inputs!$F$93/100)</f>
        <v>0.0512716</v>
      </c>
      <c r="AS13" s="14" t="n">
        <f aca="false">(Operations!AS9+AS8+AS9)/100*Time!AS20/360/(1-Inputs!$F$93/100)</f>
        <v>0.0507143</v>
      </c>
      <c r="AT13" s="14" t="n">
        <f aca="false">(Operations!AT9+AT8+AT9)/100*Time!AT20/360/(1-Inputs!$F$93/100)</f>
        <v>0.0512716</v>
      </c>
      <c r="AU13" s="14" t="n">
        <f aca="false">(Operations!AU9+AU8+AU9)/100*Time!AU20/360/(1-Inputs!$F$93/100)</f>
        <v>0.05043565</v>
      </c>
      <c r="AV13" s="14" t="n">
        <f aca="false">(Operations!AV9+AV8+AV9)/100*Time!AV20/360/(1-Inputs!$F$93/100)</f>
        <v>0.0512716</v>
      </c>
      <c r="AW13" s="14" t="n">
        <f aca="false">(Operations!AW9+AW8+AW9)/100*Time!AW20/360/(1-Inputs!$F$93/100)</f>
        <v>0.05043565</v>
      </c>
      <c r="AX13" s="14" t="n">
        <f aca="false">(Operations!AX9+AX8+AX9)/100*Time!AX20/360/(1-Inputs!$F$93/100)</f>
        <v>0.0512716</v>
      </c>
      <c r="AY13" s="14" t="n">
        <f aca="false">(Operations!AY9+AY8+AY9)/100*Time!AY20/360/(1-Inputs!$F$93/100)</f>
        <v>0.05043565</v>
      </c>
      <c r="AZ13" s="14" t="n">
        <f aca="false">(Operations!AZ9+AZ8+AZ9)/100*Time!AZ20/360/(1-Inputs!$F$93/100)</f>
        <v>0.0512716</v>
      </c>
      <c r="BA13" s="14" t="n">
        <f aca="false">(Operations!BA9+BA8+BA9)/100*Time!BA20/360/(1-Inputs!$F$93/100)</f>
        <v>0.0507143</v>
      </c>
      <c r="BB13" s="14" t="n">
        <f aca="false">(Operations!BB9+BB8+BB9)/100*Time!BB20/360/(1-Inputs!$F$93/100)</f>
        <v>0.0512716</v>
      </c>
      <c r="BC13" s="14" t="n">
        <f aca="false">(Operations!BC9+BC8+BC9)/100*Time!BC20/360/(1-Inputs!$F$93/100)</f>
        <v>0.05043565</v>
      </c>
      <c r="BD13" s="14" t="n">
        <f aca="false">(Operations!BD9+BD8+BD9)/100*Time!BD20/360/(1-Inputs!$F$93/100)</f>
        <v>0.0512716</v>
      </c>
      <c r="BE13" s="14" t="n">
        <f aca="false">(Operations!BE9+BE8+BE9)/100*Time!BE20/360/(1-Inputs!$F$93/100)</f>
        <v>0.05043565</v>
      </c>
      <c r="BF13" s="14" t="n">
        <f aca="false">(Operations!BF9+BF8+BF9)/100*Time!BF20/360/(1-Inputs!$F$93/100)</f>
        <v>0.0512716</v>
      </c>
      <c r="BG13" s="14" t="n">
        <f aca="false">(Operations!BG9+BG8+BG9)/100*Time!BG20/360/(1-Inputs!$F$93/100)</f>
        <v>0.05043565</v>
      </c>
      <c r="BH13" s="14" t="n">
        <f aca="false">(Operations!BH9+BH8+BH9)/100*Time!BH20/360/(1-Inputs!$F$93/100)</f>
        <v>0.0512716</v>
      </c>
      <c r="BI13" s="14" t="n">
        <f aca="false">(Operations!BI9+BI8+BI9)/100*Time!BI20/360/(1-Inputs!$F$93/100)</f>
        <v>0.0507143</v>
      </c>
      <c r="BJ13" s="14" t="n">
        <f aca="false">(Operations!BJ9+BJ8+BJ9)/100*Time!BJ20/360/(1-Inputs!$F$93/100)</f>
        <v>0.0512716</v>
      </c>
      <c r="BK13" s="14" t="n">
        <f aca="false">(Operations!BK9+BK8+BK9)/100*Time!BK20/360/(1-Inputs!$F$93/100)</f>
        <v>0.05043565</v>
      </c>
      <c r="BL13" s="14" t="n">
        <f aca="false">(Operations!BL9+BL8+BL9)/100*Time!BL20/360/(1-Inputs!$F$93/100)</f>
        <v>0.0512716</v>
      </c>
      <c r="BM13" s="14" t="n">
        <f aca="false">(Operations!BM9+BM8+BM9)/100*Time!BM20/360/(1-Inputs!$F$93/100)</f>
        <v>0.05043565</v>
      </c>
      <c r="BN13" s="14" t="n">
        <f aca="false">(Operations!BN9+BN8+BN9)/100*Time!BN20/360/(1-Inputs!$F$93/100)</f>
        <v>0.0512716</v>
      </c>
    </row>
    <row r="14" customFormat="false" ht="15" hidden="false" customHeight="false" outlineLevel="0" collapsed="false">
      <c r="D14" s="0" t="s">
        <v>643</v>
      </c>
      <c r="E14" s="0" t="s">
        <v>99</v>
      </c>
      <c r="J14" s="14" t="n">
        <f aca="false">(Inputs!$F$102*(Operations!J9+J8+Inputs!$F$101+J9)/(1-Inputs!$F$93/100)+(1-Inputs!$F$102)*(Operations!J9+Inputs!$F$80+Inputs!$F$101+J9))/100*Time!J20/360</f>
        <v>0.0365342222222222</v>
      </c>
      <c r="K14" s="14" t="n">
        <f aca="false">(Inputs!$F$102*(Operations!K9+K8+Inputs!$F$101+K9)/(1-Inputs!$F$93/100)+(1-Inputs!$F$102)*(Operations!K9+Inputs!$F$80+Inputs!$F$101+K9))/100*Time!K20/360</f>
        <v>0.0378155925925926</v>
      </c>
      <c r="L14" s="14" t="n">
        <f aca="false">(Inputs!$F$102*(Operations!L9+L8+Inputs!$F$101+L9)/(1-Inputs!$F$93/100)+(1-Inputs!$F$102)*(Operations!L9+Inputs!$F$80+Inputs!$F$101+L9))/100*Time!L20/360</f>
        <v>0.0347896296296296</v>
      </c>
      <c r="M14" s="14" t="n">
        <f aca="false">(Inputs!$F$102*(Operations!M9+M8+Inputs!$F$101+M9)/(1-Inputs!$F$93/100)+(1-Inputs!$F$102)*(Operations!M9+Inputs!$F$80+Inputs!$F$101+M9))/100*Time!M20/360</f>
        <v>0.0328476296296296</v>
      </c>
      <c r="N14" s="14" t="n">
        <f aca="false">(Inputs!$F$102*(Operations!N9+N8+Inputs!$F$101+N9)/(1-Inputs!$F$93/100)+(1-Inputs!$F$102)*(Operations!N9+Inputs!$F$80+Inputs!$F$101+N9))/100*Time!N20/360</f>
        <v>0.0248127407407407</v>
      </c>
      <c r="O14" s="14" t="n">
        <f aca="false">(Inputs!$F$102*(Operations!O9+O8+Inputs!$F$101+O9)/(1-Inputs!$F$93/100)+(1-Inputs!$F$102)*(Operations!O9+Inputs!$F$80+Inputs!$F$101+O9))/100*Time!O20/360</f>
        <v>0.0237646296296296</v>
      </c>
      <c r="P14" s="14" t="n">
        <f aca="false">(Inputs!$F$102*(Operations!P9+P8+Inputs!$F$101+P9)/(1-Inputs!$F$93/100)+(1-Inputs!$F$102)*(Operations!P9+Inputs!$F$80+Inputs!$F$101+P9))/100*Time!P20/360</f>
        <v>0.0236678518518519</v>
      </c>
      <c r="Q14" s="14" t="n">
        <f aca="false">(Inputs!$F$102*(Operations!Q9+Q8+Inputs!$F$101+Q9)/(1-Inputs!$F$93/100)+(1-Inputs!$F$102)*(Operations!Q9+Inputs!$F$80+Inputs!$F$101+Q9))/100*Time!Q20/360</f>
        <v>0.0242472962962963</v>
      </c>
      <c r="R14" s="14" t="n">
        <f aca="false">(Inputs!$F$102*(Operations!R9+R8+Inputs!$F$101+R9)/(1-Inputs!$F$93/100)+(1-Inputs!$F$102)*(Operations!R9+Inputs!$F$80+Inputs!$F$101+R9))/100*Time!R20/360</f>
        <v>0.038824</v>
      </c>
      <c r="S14" s="14" t="n">
        <f aca="false">(Inputs!$F$102*(Operations!S9+S8+Inputs!$F$101+S9)/(1-Inputs!$F$93/100)+(1-Inputs!$F$102)*(Operations!S9+Inputs!$F$80+Inputs!$F$101+S9))/100*Time!S20/360</f>
        <v>0.0507846314074074</v>
      </c>
      <c r="T14" s="14" t="n">
        <f aca="false">(Inputs!$F$102*(Operations!T9+T8+Inputs!$F$101+T9)/(1-Inputs!$F$93/100)+(1-Inputs!$F$102)*(Operations!T9+Inputs!$F$80+Inputs!$F$101+T9))/100*Time!T20/360</f>
        <v>0.0576779211851852</v>
      </c>
      <c r="U14" s="14" t="n">
        <f aca="false">(Inputs!$F$102*(Operations!U9+U8+Inputs!$F$101+U9)/(1-Inputs!$F$93/100)+(1-Inputs!$F$102)*(Operations!U9+Inputs!$F$80+Inputs!$F$101+U9))/100*Time!U20/360</f>
        <v>0.0553792835555556</v>
      </c>
      <c r="V14" s="14" t="n">
        <f aca="false">(Inputs!$F$102*(Operations!V9+V8+Inputs!$F$101+V9)/(1-Inputs!$F$93/100)+(1-Inputs!$F$102)*(Operations!V9+Inputs!$F$80+Inputs!$F$101+V9))/100*Time!V20/360</f>
        <v>0.0563149582222222</v>
      </c>
      <c r="W14" s="14" t="n">
        <f aca="false">(Inputs!$F$102*(Operations!W9+W8+Inputs!$F$101+W9)/(1-Inputs!$F$93/100)+(1-Inputs!$F$102)*(Operations!W9+Inputs!$F$80+Inputs!$F$101+W9))/100*Time!W20/360</f>
        <v>0.047513224</v>
      </c>
      <c r="X14" s="14" t="n">
        <f aca="false">(Inputs!$F$102*(Operations!X9+X8+Inputs!$F$101+X9)/(1-Inputs!$F$93/100)+(1-Inputs!$F$102)*(Operations!X9+Inputs!$F$80+Inputs!$F$101+X9))/100*Time!X20/360</f>
        <v>0.0478645878518519</v>
      </c>
      <c r="Y14" s="14" t="n">
        <f aca="false">(Inputs!$F$102*(Operations!Y9+Y8+Inputs!$F$101+Y9)/(1-Inputs!$F$93/100)+(1-Inputs!$F$102)*(Operations!Y9+Inputs!$F$80+Inputs!$F$101+Y9))/100*Time!Y20/360</f>
        <v>0.0458104832592593</v>
      </c>
      <c r="Z14" s="14" t="n">
        <f aca="false">(Inputs!$F$102*(Operations!Z9+Z8+Inputs!$F$101+Z9)/(1-Inputs!$F$93/100)+(1-Inputs!$F$102)*(Operations!Z9+Inputs!$F$80+Inputs!$F$101+Z9))/100*Time!Z20/360</f>
        <v>0.046351698962963</v>
      </c>
      <c r="AA14" s="14" t="n">
        <f aca="false">(Inputs!$F$102*(Operations!AA9+AA8+Inputs!$F$101+AA9)/(1-Inputs!$F$93/100)+(1-Inputs!$F$102)*(Operations!AA9+Inputs!$F$80+Inputs!$F$101+AA9))/100*Time!AA20/360</f>
        <v>0.0448987795555555</v>
      </c>
      <c r="AB14" s="14" t="n">
        <f aca="false">(Inputs!$F$102*(Operations!AB9+AB8+Inputs!$F$101+AB9)/(1-Inputs!$F$93/100)+(1-Inputs!$F$102)*(Operations!AB9+Inputs!$F$80+Inputs!$F$101+AB9))/100*Time!AB20/360</f>
        <v>0.0456429582222222</v>
      </c>
      <c r="AC14" s="14" t="n">
        <f aca="false">(Inputs!$F$102*(Operations!AC9+AC8+Inputs!$F$101+AC9)/(1-Inputs!$F$93/100)+(1-Inputs!$F$102)*(Operations!AC9+Inputs!$F$80+Inputs!$F$101+AC9))/100*Time!AC20/360</f>
        <v>0.0454164687407407</v>
      </c>
      <c r="AD14" s="14" t="n">
        <f aca="false">(Inputs!$F$102*(Operations!AD9+AD8+Inputs!$F$101+AD9)/(1-Inputs!$F$93/100)+(1-Inputs!$F$102)*(Operations!AD9+Inputs!$F$80+Inputs!$F$101+AD9))/100*Time!AD20/360</f>
        <v>0.0459155508148148</v>
      </c>
      <c r="AE14" s="14" t="n">
        <f aca="false">(Inputs!$F$102*(Operations!AE9+AE8+Inputs!$F$101+AE9)/(1-Inputs!$F$93/100)+(1-Inputs!$F$102)*(Operations!AE9+Inputs!$F$80+Inputs!$F$101+AE9))/100*Time!AE20/360</f>
        <v>0.0451669277037037</v>
      </c>
      <c r="AF14" s="14" t="n">
        <f aca="false">(Inputs!$F$102*(Operations!AF9+AF8+Inputs!$F$101+AF9)/(1-Inputs!$F$93/100)+(1-Inputs!$F$102)*(Operations!AF9+Inputs!$F$80+Inputs!$F$101+AF9))/100*Time!AF20/360</f>
        <v>0.0459155508148148</v>
      </c>
      <c r="AG14" s="14" t="n">
        <f aca="false">(Inputs!$F$102*(Operations!AG9+AG8+Inputs!$F$101+AG9)/(1-Inputs!$F$93/100)+(1-Inputs!$F$102)*(Operations!AG9+Inputs!$F$80+Inputs!$F$101+AG9))/100*Time!AG20/360</f>
        <v>0.0468428536296296</v>
      </c>
      <c r="AH14" s="14" t="n">
        <f aca="false">(Inputs!$F$102*(Operations!AH9+AH8+Inputs!$F$101+AH9)/(1-Inputs!$F$93/100)+(1-Inputs!$F$102)*(Operations!AH9+Inputs!$F$80+Inputs!$F$101+AH9))/100*Time!AH20/360</f>
        <v>0.0476192545185185</v>
      </c>
      <c r="AI14" s="14" t="n">
        <f aca="false">(Inputs!$F$102*(Operations!AI9+AI8+Inputs!$F$101+AI9)/(1-Inputs!$F$93/100)+(1-Inputs!$F$102)*(Operations!AI9+Inputs!$F$80+Inputs!$F$101+AI9))/100*Time!AI20/360</f>
        <v>0.0468428536296296</v>
      </c>
      <c r="AJ14" s="14" t="n">
        <f aca="false">(Inputs!$F$102*(Operations!AJ9+AJ8+Inputs!$F$101+AJ9)/(1-Inputs!$F$93/100)+(1-Inputs!$F$102)*(Operations!AJ9+Inputs!$F$80+Inputs!$F$101+AJ9))/100*Time!AJ20/360</f>
        <v>0.0476192545185185</v>
      </c>
      <c r="AK14" s="14" t="n">
        <f aca="false">(Inputs!$F$102*(Operations!AK9+AK8+Inputs!$F$101+AK9)/(1-Inputs!$F$93/100)+(1-Inputs!$F$102)*(Operations!AK9+Inputs!$F$80+Inputs!$F$101+AK9))/100*Time!AK20/360</f>
        <v>0.0471016539259259</v>
      </c>
      <c r="AL14" s="14" t="n">
        <f aca="false">(Inputs!$F$102*(Operations!AL9+AL8+Inputs!$F$101+AL9)/(1-Inputs!$F$93/100)+(1-Inputs!$F$102)*(Operations!AL9+Inputs!$F$80+Inputs!$F$101+AL9))/100*Time!AL20/360</f>
        <v>0.0476192545185185</v>
      </c>
      <c r="AM14" s="14" t="n">
        <f aca="false">(Inputs!$F$102*(Operations!AM9+AM8+Inputs!$F$101+AM9)/(1-Inputs!$F$93/100)+(1-Inputs!$F$102)*(Operations!AM9+Inputs!$F$80+Inputs!$F$101+AM9))/100*Time!AM20/360</f>
        <v>0.0468428536296296</v>
      </c>
      <c r="AN14" s="14" t="n">
        <f aca="false">(Inputs!$F$102*(Operations!AN9+AN8+Inputs!$F$101+AN9)/(1-Inputs!$F$93/100)+(1-Inputs!$F$102)*(Operations!AN9+Inputs!$F$80+Inputs!$F$101+AN9))/100*Time!AN20/360</f>
        <v>0.0476192545185185</v>
      </c>
      <c r="AO14" s="14" t="n">
        <f aca="false">(Inputs!$F$102*(Operations!AO9+AO8+Inputs!$F$101+AO9)/(1-Inputs!$F$93/100)+(1-Inputs!$F$102)*(Operations!AO9+Inputs!$F$80+Inputs!$F$101+AO9))/100*Time!AO20/360</f>
        <v>0.0468428536296296</v>
      </c>
      <c r="AP14" s="14" t="n">
        <f aca="false">(Inputs!$F$102*(Operations!AP9+AP8+Inputs!$F$101+AP9)/(1-Inputs!$F$93/100)+(1-Inputs!$F$102)*(Operations!AP9+Inputs!$F$80+Inputs!$F$101+AP9))/100*Time!AP20/360</f>
        <v>0.0476192545185185</v>
      </c>
      <c r="AQ14" s="14" t="n">
        <f aca="false">(Inputs!$F$102*(Operations!AQ9+AQ8+Inputs!$F$101+AQ9)/(1-Inputs!$F$93/100)+(1-Inputs!$F$102)*(Operations!AQ9+Inputs!$F$80+Inputs!$F$101+AQ9))/100*Time!AQ20/360</f>
        <v>0.0468428536296296</v>
      </c>
      <c r="AR14" s="14" t="n">
        <f aca="false">(Inputs!$F$102*(Operations!AR9+AR8+Inputs!$F$101+AR9)/(1-Inputs!$F$93/100)+(1-Inputs!$F$102)*(Operations!AR9+Inputs!$F$80+Inputs!$F$101+AR9))/100*Time!AR20/360</f>
        <v>0.0476192545185185</v>
      </c>
      <c r="AS14" s="14" t="n">
        <f aca="false">(Inputs!$F$102*(Operations!AS9+AS8+Inputs!$F$101+AS9)/(1-Inputs!$F$93/100)+(1-Inputs!$F$102)*(Operations!AS9+Inputs!$F$80+Inputs!$F$101+AS9))/100*Time!AS20/360</f>
        <v>0.0471016539259259</v>
      </c>
      <c r="AT14" s="14" t="n">
        <f aca="false">(Inputs!$F$102*(Operations!AT9+AT8+Inputs!$F$101+AT9)/(1-Inputs!$F$93/100)+(1-Inputs!$F$102)*(Operations!AT9+Inputs!$F$80+Inputs!$F$101+AT9))/100*Time!AT20/360</f>
        <v>0.0476192545185185</v>
      </c>
      <c r="AU14" s="14" t="n">
        <f aca="false">(Inputs!$F$102*(Operations!AU9+AU8+Inputs!$F$101+AU9)/(1-Inputs!$F$93/100)+(1-Inputs!$F$102)*(Operations!AU9+Inputs!$F$80+Inputs!$F$101+AU9))/100*Time!AU20/360</f>
        <v>0.0468428536296296</v>
      </c>
      <c r="AV14" s="14" t="n">
        <f aca="false">(Inputs!$F$102*(Operations!AV9+AV8+Inputs!$F$101+AV9)/(1-Inputs!$F$93/100)+(1-Inputs!$F$102)*(Operations!AV9+Inputs!$F$80+Inputs!$F$101+AV9))/100*Time!AV20/360</f>
        <v>0.0476192545185185</v>
      </c>
      <c r="AW14" s="14" t="n">
        <f aca="false">(Inputs!$F$102*(Operations!AW9+AW8+Inputs!$F$101+AW9)/(1-Inputs!$F$93/100)+(1-Inputs!$F$102)*(Operations!AW9+Inputs!$F$80+Inputs!$F$101+AW9))/100*Time!AW20/360</f>
        <v>0.0468428536296296</v>
      </c>
      <c r="AX14" s="14" t="n">
        <f aca="false">(Inputs!$F$102*(Operations!AX9+AX8+Inputs!$F$101+AX9)/(1-Inputs!$F$93/100)+(1-Inputs!$F$102)*(Operations!AX9+Inputs!$F$80+Inputs!$F$101+AX9))/100*Time!AX20/360</f>
        <v>0.0476192545185185</v>
      </c>
      <c r="AY14" s="14" t="n">
        <f aca="false">(Inputs!$F$102*(Operations!AY9+AY8+Inputs!$F$101+AY9)/(1-Inputs!$F$93/100)+(1-Inputs!$F$102)*(Operations!AY9+Inputs!$F$80+Inputs!$F$101+AY9))/100*Time!AY20/360</f>
        <v>0.0468428536296296</v>
      </c>
      <c r="AZ14" s="14" t="n">
        <f aca="false">(Inputs!$F$102*(Operations!AZ9+AZ8+Inputs!$F$101+AZ9)/(1-Inputs!$F$93/100)+(1-Inputs!$F$102)*(Operations!AZ9+Inputs!$F$80+Inputs!$F$101+AZ9))/100*Time!AZ20/360</f>
        <v>0.0476192545185185</v>
      </c>
      <c r="BA14" s="14" t="n">
        <f aca="false">(Inputs!$F$102*(Operations!BA9+BA8+Inputs!$F$101+BA9)/(1-Inputs!$F$93/100)+(1-Inputs!$F$102)*(Operations!BA9+Inputs!$F$80+Inputs!$F$101+BA9))/100*Time!BA20/360</f>
        <v>0.0471016539259259</v>
      </c>
      <c r="BB14" s="14" t="n">
        <f aca="false">(Inputs!$F$102*(Operations!BB9+BB8+Inputs!$F$101+BB9)/(1-Inputs!$F$93/100)+(1-Inputs!$F$102)*(Operations!BB9+Inputs!$F$80+Inputs!$F$101+BB9))/100*Time!BB20/360</f>
        <v>0.0476192545185185</v>
      </c>
      <c r="BC14" s="14" t="n">
        <f aca="false">(Inputs!$F$102*(Operations!BC9+BC8+Inputs!$F$101+BC9)/(1-Inputs!$F$93/100)+(1-Inputs!$F$102)*(Operations!BC9+Inputs!$F$80+Inputs!$F$101+BC9))/100*Time!BC20/360</f>
        <v>0.0468428536296296</v>
      </c>
      <c r="BD14" s="14" t="n">
        <f aca="false">(Inputs!$F$102*(Operations!BD9+BD8+Inputs!$F$101+BD9)/(1-Inputs!$F$93/100)+(1-Inputs!$F$102)*(Operations!BD9+Inputs!$F$80+Inputs!$F$101+BD9))/100*Time!BD20/360</f>
        <v>0.0476192545185185</v>
      </c>
      <c r="BE14" s="14" t="n">
        <f aca="false">(Inputs!$F$102*(Operations!BE9+BE8+Inputs!$F$101+BE9)/(1-Inputs!$F$93/100)+(1-Inputs!$F$102)*(Operations!BE9+Inputs!$F$80+Inputs!$F$101+BE9))/100*Time!BE20/360</f>
        <v>0.0468428536296296</v>
      </c>
      <c r="BF14" s="14" t="n">
        <f aca="false">(Inputs!$F$102*(Operations!BF9+BF8+Inputs!$F$101+BF9)/(1-Inputs!$F$93/100)+(1-Inputs!$F$102)*(Operations!BF9+Inputs!$F$80+Inputs!$F$101+BF9))/100*Time!BF20/360</f>
        <v>0.0476192545185185</v>
      </c>
      <c r="BG14" s="14" t="n">
        <f aca="false">(Inputs!$F$102*(Operations!BG9+BG8+Inputs!$F$101+BG9)/(1-Inputs!$F$93/100)+(1-Inputs!$F$102)*(Operations!BG9+Inputs!$F$80+Inputs!$F$101+BG9))/100*Time!BG20/360</f>
        <v>0.0468428536296296</v>
      </c>
      <c r="BH14" s="14" t="n">
        <f aca="false">(Inputs!$F$102*(Operations!BH9+BH8+Inputs!$F$101+BH9)/(1-Inputs!$F$93/100)+(1-Inputs!$F$102)*(Operations!BH9+Inputs!$F$80+Inputs!$F$101+BH9))/100*Time!BH20/360</f>
        <v>0.0476192545185185</v>
      </c>
      <c r="BI14" s="14" t="n">
        <f aca="false">(Inputs!$F$102*(Operations!BI9+BI8+Inputs!$F$101+BI9)/(1-Inputs!$F$93/100)+(1-Inputs!$F$102)*(Operations!BI9+Inputs!$F$80+Inputs!$F$101+BI9))/100*Time!BI20/360</f>
        <v>0.0471016539259259</v>
      </c>
      <c r="BJ14" s="14" t="n">
        <f aca="false">(Inputs!$F$102*(Operations!BJ9+BJ8+Inputs!$F$101+BJ9)/(1-Inputs!$F$93/100)+(1-Inputs!$F$102)*(Operations!BJ9+Inputs!$F$80+Inputs!$F$101+BJ9))/100*Time!BJ20/360</f>
        <v>0.0476192545185185</v>
      </c>
      <c r="BK14" s="14" t="n">
        <f aca="false">(Inputs!$F$102*(Operations!BK9+BK8+Inputs!$F$101+BK9)/(1-Inputs!$F$93/100)+(1-Inputs!$F$102)*(Operations!BK9+Inputs!$F$80+Inputs!$F$101+BK9))/100*Time!BK20/360</f>
        <v>0.0468428536296296</v>
      </c>
      <c r="BL14" s="14" t="n">
        <f aca="false">(Inputs!$F$102*(Operations!BL9+BL8+Inputs!$F$101+BL9)/(1-Inputs!$F$93/100)+(1-Inputs!$F$102)*(Operations!BL9+Inputs!$F$80+Inputs!$F$101+BL9))/100*Time!BL20/360</f>
        <v>0.0476192545185185</v>
      </c>
      <c r="BM14" s="14" t="n">
        <f aca="false">(Inputs!$F$102*(Operations!BM9+BM8+Inputs!$F$101+BM9)/(1-Inputs!$F$93/100)+(1-Inputs!$F$102)*(Operations!BM9+Inputs!$F$80+Inputs!$F$101+BM9))/100*Time!BM20/360</f>
        <v>0.0468428536296296</v>
      </c>
      <c r="BN14" s="14" t="n">
        <f aca="false">(Inputs!$F$102*(Operations!BN9+BN8+Inputs!$F$101+BN9)/(1-Inputs!$F$93/100)+(1-Inputs!$F$102)*(Operations!BN9+Inputs!$F$80+Inputs!$F$101+BN9))/100*Time!BN20/360</f>
        <v>0.0476192545185185</v>
      </c>
    </row>
    <row r="15" customFormat="false" ht="15" hidden="false" customHeight="false" outlineLevel="0" collapsed="false">
      <c r="D15" s="0" t="s">
        <v>644</v>
      </c>
      <c r="E15" s="0" t="s">
        <v>99</v>
      </c>
      <c r="J15" s="14" t="n">
        <f aca="false">Inputs!$F$195/100*0.5</f>
        <v>0.039375</v>
      </c>
      <c r="K15" s="14" t="n">
        <f aca="false">Inputs!$F$195/100*0.5</f>
        <v>0.039375</v>
      </c>
      <c r="L15" s="14" t="n">
        <f aca="false">Inputs!$F$195/100*0.5</f>
        <v>0.039375</v>
      </c>
      <c r="M15" s="14" t="n">
        <f aca="false">Inputs!$F$195/100*0.5</f>
        <v>0.039375</v>
      </c>
      <c r="N15" s="14" t="n">
        <f aca="false">Inputs!$F$195/100*0.5</f>
        <v>0.039375</v>
      </c>
      <c r="O15" s="14" t="n">
        <f aca="false">Inputs!$F$195/100*0.5</f>
        <v>0.039375</v>
      </c>
      <c r="P15" s="14" t="n">
        <f aca="false">Inputs!$F$195/100*0.5</f>
        <v>0.039375</v>
      </c>
      <c r="Q15" s="14" t="n">
        <f aca="false">Inputs!$F$195/100*0.5</f>
        <v>0.039375</v>
      </c>
      <c r="R15" s="14" t="n">
        <f aca="false">Inputs!$F$195/100*0.5</f>
        <v>0.039375</v>
      </c>
      <c r="S15" s="14" t="n">
        <f aca="false">Inputs!$F$195/100*0.5</f>
        <v>0.039375</v>
      </c>
      <c r="T15" s="14" t="n">
        <f aca="false">Inputs!$F$195/100*0.5</f>
        <v>0.039375</v>
      </c>
      <c r="U15" s="14" t="n">
        <f aca="false">Inputs!$F$195/100*0.5</f>
        <v>0.039375</v>
      </c>
      <c r="V15" s="14" t="n">
        <f aca="false">Inputs!$F$195/100*0.5</f>
        <v>0.039375</v>
      </c>
      <c r="W15" s="14" t="n">
        <f aca="false">Inputs!$F$195/100*0.5</f>
        <v>0.039375</v>
      </c>
      <c r="X15" s="14" t="n">
        <f aca="false">Inputs!$F$195/100*0.5</f>
        <v>0.039375</v>
      </c>
      <c r="Y15" s="14" t="n">
        <f aca="false">Inputs!$F$195/100*0.5</f>
        <v>0.039375</v>
      </c>
      <c r="Z15" s="14" t="n">
        <f aca="false">Inputs!$F$195/100*0.5</f>
        <v>0.039375</v>
      </c>
      <c r="AA15" s="14" t="n">
        <f aca="false">Inputs!$F$195/100*0.5</f>
        <v>0.039375</v>
      </c>
      <c r="AB15" s="14" t="n">
        <f aca="false">Inputs!$F$195/100*0.5</f>
        <v>0.039375</v>
      </c>
      <c r="AC15" s="14" t="n">
        <f aca="false">Inputs!$F$195/100*0.5</f>
        <v>0.039375</v>
      </c>
      <c r="AD15" s="14" t="n">
        <f aca="false">Inputs!$F$195/100*0.5</f>
        <v>0.039375</v>
      </c>
      <c r="AE15" s="14" t="n">
        <f aca="false">Inputs!$F$195/100*0.5</f>
        <v>0.039375</v>
      </c>
      <c r="AF15" s="14" t="n">
        <f aca="false">Inputs!$F$195/100*0.5</f>
        <v>0.039375</v>
      </c>
      <c r="AG15" s="14" t="n">
        <f aca="false">Inputs!$F$195/100*0.5</f>
        <v>0.039375</v>
      </c>
      <c r="AH15" s="14" t="n">
        <f aca="false">Inputs!$F$195/100*0.5</f>
        <v>0.039375</v>
      </c>
      <c r="AI15" s="14" t="n">
        <f aca="false">Inputs!$F$195/100*0.5</f>
        <v>0.039375</v>
      </c>
      <c r="AJ15" s="14" t="n">
        <f aca="false">Inputs!$F$195/100*0.5</f>
        <v>0.039375</v>
      </c>
      <c r="AK15" s="14" t="n">
        <f aca="false">Inputs!$F$195/100*0.5</f>
        <v>0.039375</v>
      </c>
      <c r="AL15" s="14" t="n">
        <f aca="false">Inputs!$F$195/100*0.5</f>
        <v>0.039375</v>
      </c>
      <c r="AM15" s="14" t="n">
        <f aca="false">Inputs!$F$195/100*0.5</f>
        <v>0.039375</v>
      </c>
      <c r="AN15" s="14" t="n">
        <f aca="false">Inputs!$F$195/100*0.5</f>
        <v>0.039375</v>
      </c>
      <c r="AO15" s="14" t="n">
        <f aca="false">Inputs!$F$195/100*0.5</f>
        <v>0.039375</v>
      </c>
      <c r="AP15" s="14" t="n">
        <f aca="false">Inputs!$F$195/100*0.5</f>
        <v>0.039375</v>
      </c>
      <c r="AQ15" s="14" t="n">
        <f aca="false">Inputs!$F$195/100*0.5</f>
        <v>0.039375</v>
      </c>
      <c r="AR15" s="14" t="n">
        <f aca="false">Inputs!$F$195/100*0.5</f>
        <v>0.039375</v>
      </c>
      <c r="AS15" s="14" t="n">
        <f aca="false">Inputs!$F$195/100*0.5</f>
        <v>0.039375</v>
      </c>
      <c r="AT15" s="14" t="n">
        <f aca="false">Inputs!$F$195/100*0.5</f>
        <v>0.039375</v>
      </c>
      <c r="AU15" s="14" t="n">
        <f aca="false">Inputs!$F$195/100*0.5</f>
        <v>0.039375</v>
      </c>
      <c r="AV15" s="14" t="n">
        <f aca="false">Inputs!$F$195/100*0.5</f>
        <v>0.039375</v>
      </c>
      <c r="AW15" s="14" t="n">
        <f aca="false">Inputs!$F$195/100*0.5</f>
        <v>0.039375</v>
      </c>
      <c r="AX15" s="14" t="n">
        <f aca="false">Inputs!$F$195/100*0.5</f>
        <v>0.039375</v>
      </c>
      <c r="AY15" s="14" t="n">
        <f aca="false">Inputs!$F$195/100*0.5</f>
        <v>0.039375</v>
      </c>
      <c r="AZ15" s="14" t="n">
        <f aca="false">Inputs!$F$195/100*0.5</f>
        <v>0.039375</v>
      </c>
      <c r="BA15" s="14" t="n">
        <f aca="false">Inputs!$F$195/100*0.5</f>
        <v>0.039375</v>
      </c>
      <c r="BB15" s="14" t="n">
        <f aca="false">Inputs!$F$195/100*0.5</f>
        <v>0.039375</v>
      </c>
      <c r="BC15" s="14" t="n">
        <f aca="false">Inputs!$F$195/100*0.5</f>
        <v>0.039375</v>
      </c>
      <c r="BD15" s="14" t="n">
        <f aca="false">Inputs!$F$195/100*0.5</f>
        <v>0.039375</v>
      </c>
      <c r="BE15" s="14" t="n">
        <f aca="false">Inputs!$F$195/100*0.5</f>
        <v>0.039375</v>
      </c>
      <c r="BF15" s="14" t="n">
        <f aca="false">Inputs!$F$195/100*0.5</f>
        <v>0.039375</v>
      </c>
      <c r="BG15" s="14" t="n">
        <f aca="false">Inputs!$F$195/100*0.5</f>
        <v>0.039375</v>
      </c>
      <c r="BH15" s="14" t="n">
        <f aca="false">Inputs!$F$195/100*0.5</f>
        <v>0.039375</v>
      </c>
      <c r="BI15" s="14" t="n">
        <f aca="false">Inputs!$F$195/100*0.5</f>
        <v>0.039375</v>
      </c>
      <c r="BJ15" s="14" t="n">
        <f aca="false">Inputs!$F$195/100*0.5</f>
        <v>0.039375</v>
      </c>
      <c r="BK15" s="14" t="n">
        <f aca="false">Inputs!$F$195/100*0.5</f>
        <v>0.039375</v>
      </c>
      <c r="BL15" s="14" t="n">
        <f aca="false">Inputs!$F$195/100*0.5</f>
        <v>0.039375</v>
      </c>
      <c r="BM15" s="14" t="n">
        <f aca="false">Inputs!$F$195/100*0.5</f>
        <v>0.039375</v>
      </c>
      <c r="BN15" s="14" t="n">
        <f aca="false">Inputs!$F$195/100*0.5</f>
        <v>0.039375</v>
      </c>
    </row>
    <row r="16" customFormat="false" ht="15" hidden="false" customHeight="false" outlineLevel="0" collapsed="false">
      <c r="B16" s="2" t="s">
        <v>645</v>
      </c>
    </row>
    <row r="17" customFormat="false" ht="15" hidden="false" customHeight="false" outlineLevel="0" collapsed="false">
      <c r="D17" s="0" t="s">
        <v>646</v>
      </c>
      <c r="E17" s="0" t="s">
        <v>109</v>
      </c>
      <c r="J17" s="10" t="n">
        <f aca="false">IF(Inputs!$F$47=1,Inputs!J222,Inputs!J223)</f>
        <v>0</v>
      </c>
      <c r="K17" s="10" t="n">
        <f aca="false">IF(Inputs!$F$47=1,Inputs!K222,Inputs!K223)</f>
        <v>0</v>
      </c>
      <c r="L17" s="10" t="n">
        <f aca="false">IF(Inputs!$F$47=1,Inputs!L222,Inputs!L223)</f>
        <v>0</v>
      </c>
      <c r="M17" s="10" t="n">
        <f aca="false">IF(Inputs!$F$47=1,Inputs!M222,Inputs!M223)</f>
        <v>0</v>
      </c>
      <c r="N17" s="10" t="n">
        <f aca="false">IF(Inputs!$F$47=1,Inputs!N222,Inputs!N223)</f>
        <v>0</v>
      </c>
      <c r="O17" s="10" t="n">
        <f aca="false">IF(Inputs!$F$47=1,Inputs!O222,Inputs!O223)</f>
        <v>0</v>
      </c>
      <c r="P17" s="10" t="n">
        <f aca="false">IF(Inputs!$F$47=1,Inputs!P222,Inputs!P223)</f>
        <v>0</v>
      </c>
      <c r="Q17" s="10" t="n">
        <f aca="false">IF(Inputs!$F$47=1,Inputs!Q222,Inputs!Q223)</f>
        <v>0.0254815794663755</v>
      </c>
      <c r="R17" s="10" t="n">
        <f aca="false">IF(Inputs!$F$47=1,Inputs!R222,Inputs!R223)</f>
        <v>0.0272404616966825</v>
      </c>
      <c r="S17" s="10" t="n">
        <f aca="false">IF(Inputs!$F$47=1,Inputs!S222,Inputs!S223)</f>
        <v>0.0281997800818635</v>
      </c>
      <c r="T17" s="10" t="n">
        <f aca="false">IF(Inputs!$F$47=1,Inputs!T222,Inputs!T223)</f>
        <v>0.0295228109676876</v>
      </c>
      <c r="U17" s="10" t="n">
        <f aca="false">IF(Inputs!$F$47=1,Inputs!U222,Inputs!U223)</f>
        <v>0.0303446121914986</v>
      </c>
      <c r="V17" s="10" t="n">
        <f aca="false">IF(Inputs!$F$47=1,Inputs!V222,Inputs!V223)</f>
        <v>0.0317336885618467</v>
      </c>
      <c r="W17" s="10" t="n">
        <f aca="false">IF(Inputs!$F$47=1,Inputs!W222,Inputs!W223)</f>
        <v>0.033467483780784</v>
      </c>
      <c r="X17" s="10" t="n">
        <f aca="false">IF(Inputs!$F$47=1,Inputs!X222,Inputs!X223)</f>
        <v>0.0350039124595733</v>
      </c>
      <c r="Y17" s="10" t="n">
        <f aca="false">IF(Inputs!$F$47=1,Inputs!Y222,Inputs!Y223)</f>
        <v>0.0325817454453932</v>
      </c>
      <c r="Z17" s="10" t="n">
        <f aca="false">IF(Inputs!$F$47=1,Inputs!Z222,Inputs!Z223)</f>
        <v>0.0341159156522278</v>
      </c>
      <c r="AA17" s="10" t="n">
        <f aca="false">IF(Inputs!$F$47=1,Inputs!AA222,Inputs!AA223)</f>
        <v>0.0348226141250488</v>
      </c>
      <c r="AB17" s="10" t="n">
        <f aca="false">IF(Inputs!$F$47=1,Inputs!AB222,Inputs!AB223)</f>
        <v>0.0365180095175597</v>
      </c>
      <c r="AC17" s="10" t="n">
        <f aca="false">IF(Inputs!$F$47=1,Inputs!AC222,Inputs!AC223)</f>
        <v>0.0375492755811024</v>
      </c>
      <c r="AD17" s="10" t="n">
        <f aca="false">IF(Inputs!$F$47=1,Inputs!AD222,Inputs!AD223)</f>
        <v>0.0393340416498319</v>
      </c>
      <c r="AE17" s="10" t="n">
        <f aca="false">IF(Inputs!$F$47=1,Inputs!AE222,Inputs!AE223)</f>
        <v>0.0424788624188137</v>
      </c>
      <c r="AF17" s="10" t="n">
        <f aca="false">IF(Inputs!$F$47=1,Inputs!AF222,Inputs!AF223)</f>
        <v>0.0447618765783362</v>
      </c>
      <c r="AG17" s="10" t="n">
        <f aca="false">IF(Inputs!$F$47=1,Inputs!AG222,Inputs!AG223)</f>
        <v>0.0451083917771355</v>
      </c>
      <c r="AH17" s="10" t="n">
        <f aca="false">IF(Inputs!$F$47=1,Inputs!AH222,Inputs!AH223)</f>
        <v>0.0474375734175925</v>
      </c>
      <c r="AI17" s="10" t="n">
        <f aca="false">IF(Inputs!$F$47=1,Inputs!AI222,Inputs!AI223)</f>
        <v>0.0489070592882663</v>
      </c>
      <c r="AJ17" s="10" t="n">
        <f aca="false">IF(Inputs!$F$47=1,Inputs!AJ222,Inputs!AJ223)</f>
        <v>0.0513038213658132</v>
      </c>
      <c r="AK17" s="10" t="n">
        <f aca="false">IF(Inputs!$F$47=1,Inputs!AK222,Inputs!AK223)</f>
        <v>0.0528163392817864</v>
      </c>
      <c r="AL17" s="10" t="n">
        <f aca="false">IF(Inputs!$F$47=1,Inputs!AL222,Inputs!AL223)</f>
        <v>0.0552930464138874</v>
      </c>
      <c r="AM17" s="10" t="n">
        <f aca="false">IF(Inputs!$F$47=1,Inputs!AM222,Inputs!AM223)</f>
        <v>0.0578441612372633</v>
      </c>
      <c r="AN17" s="10" t="n">
        <f aca="false">IF(Inputs!$F$47=1,Inputs!AN222,Inputs!AN223)</f>
        <v>0.050237404554169</v>
      </c>
      <c r="AO17" s="10" t="n">
        <f aca="false">IF(Inputs!$F$47=1,Inputs!AO222,Inputs!AO223)</f>
        <v>0.0478955324894626</v>
      </c>
      <c r="AP17" s="10" t="n">
        <f aca="false">IF(Inputs!$F$47=1,Inputs!AP222,Inputs!AP223)</f>
        <v>0</v>
      </c>
      <c r="AQ17" s="10" t="n">
        <f aca="false">IF(Inputs!$F$47=1,Inputs!AQ222,Inputs!AQ223)</f>
        <v>0</v>
      </c>
      <c r="AR17" s="10" t="n">
        <f aca="false">IF(Inputs!$F$47=1,Inputs!AR222,Inputs!AR223)</f>
        <v>0</v>
      </c>
      <c r="AS17" s="10" t="n">
        <f aca="false">IF(Inputs!$F$47=1,Inputs!AS222,Inputs!AS223)</f>
        <v>0</v>
      </c>
      <c r="AT17" s="10" t="n">
        <f aca="false">IF(Inputs!$F$47=1,Inputs!AT222,Inputs!AT223)</f>
        <v>0</v>
      </c>
      <c r="AU17" s="10" t="n">
        <f aca="false">IF(Inputs!$F$47=1,Inputs!AU222,Inputs!AU223)</f>
        <v>0</v>
      </c>
      <c r="AV17" s="10" t="n">
        <f aca="false">IF(Inputs!$F$47=1,Inputs!AV222,Inputs!AV223)</f>
        <v>0</v>
      </c>
      <c r="AW17" s="10" t="n">
        <f aca="false">IF(Inputs!$F$47=1,Inputs!AW222,Inputs!AW223)</f>
        <v>0</v>
      </c>
      <c r="AX17" s="10" t="n">
        <f aca="false">IF(Inputs!$F$47=1,Inputs!AX222,Inputs!AX223)</f>
        <v>0</v>
      </c>
      <c r="AY17" s="10" t="n">
        <f aca="false">IF(Inputs!$F$47=1,Inputs!AY222,Inputs!AY223)</f>
        <v>0</v>
      </c>
      <c r="AZ17" s="10" t="n">
        <f aca="false">IF(Inputs!$F$47=1,Inputs!AZ222,Inputs!AZ223)</f>
        <v>0</v>
      </c>
      <c r="BA17" s="10" t="n">
        <f aca="false">IF(Inputs!$F$47=1,Inputs!BA222,Inputs!BA223)</f>
        <v>0</v>
      </c>
      <c r="BB17" s="10" t="n">
        <f aca="false">IF(Inputs!$F$47=1,Inputs!BB222,Inputs!BB223)</f>
        <v>0</v>
      </c>
      <c r="BC17" s="10" t="n">
        <f aca="false">IF(Inputs!$F$47=1,Inputs!BC222,Inputs!BC223)</f>
        <v>0</v>
      </c>
      <c r="BD17" s="10" t="n">
        <f aca="false">IF(Inputs!$F$47=1,Inputs!BD222,Inputs!BD223)</f>
        <v>0</v>
      </c>
      <c r="BE17" s="10" t="n">
        <f aca="false">IF(Inputs!$F$47=1,Inputs!BE222,Inputs!BE223)</f>
        <v>0</v>
      </c>
      <c r="BF17" s="10" t="n">
        <f aca="false">IF(Inputs!$F$47=1,Inputs!BF222,Inputs!BF223)</f>
        <v>0</v>
      </c>
      <c r="BG17" s="10" t="n">
        <f aca="false">IF(Inputs!$F$47=1,Inputs!BG222,Inputs!BG223)</f>
        <v>0</v>
      </c>
      <c r="BH17" s="10" t="n">
        <f aca="false">IF(Inputs!$F$47=1,Inputs!BH222,Inputs!BH223)</f>
        <v>0</v>
      </c>
      <c r="BI17" s="10" t="n">
        <f aca="false">IF(Inputs!$F$47=1,Inputs!BI222,Inputs!BI223)</f>
        <v>0</v>
      </c>
      <c r="BJ17" s="10" t="n">
        <f aca="false">IF(Inputs!$F$47=1,Inputs!BJ222,Inputs!BJ223)</f>
        <v>0</v>
      </c>
      <c r="BK17" s="10" t="n">
        <f aca="false">IF(Inputs!$F$47=1,Inputs!BK222,Inputs!BK223)</f>
        <v>0</v>
      </c>
      <c r="BL17" s="10" t="n">
        <f aca="false">IF(Inputs!$F$47=1,Inputs!BL222,Inputs!BL223)</f>
        <v>0</v>
      </c>
      <c r="BM17" s="10" t="n">
        <f aca="false">IF(Inputs!$F$47=1,Inputs!BM222,Inputs!BM223)</f>
        <v>0</v>
      </c>
      <c r="BN17" s="10" t="n">
        <f aca="false">IF(Inputs!$F$47=1,Inputs!BN222,Inputs!BN223)</f>
        <v>0</v>
      </c>
    </row>
    <row r="18" customFormat="false" ht="15" hidden="false" customHeight="false" outlineLevel="0" collapsed="false">
      <c r="D18" s="0" t="s">
        <v>647</v>
      </c>
      <c r="E18" s="0" t="s">
        <v>109</v>
      </c>
      <c r="J18" s="10" t="n">
        <f aca="false">SUM(J17:BN17)</f>
        <v>1</v>
      </c>
      <c r="K18" s="10" t="n">
        <f aca="false">SUM(K17:BN17)</f>
        <v>1</v>
      </c>
      <c r="L18" s="10" t="n">
        <f aca="false">SUM(L17:BN17)</f>
        <v>1</v>
      </c>
      <c r="M18" s="10" t="n">
        <f aca="false">SUM(M17:BN17)</f>
        <v>1</v>
      </c>
      <c r="N18" s="10" t="n">
        <f aca="false">SUM(N17:BN17)</f>
        <v>1</v>
      </c>
      <c r="O18" s="10" t="n">
        <f aca="false">SUM(O17:BN17)</f>
        <v>1</v>
      </c>
      <c r="P18" s="10" t="n">
        <f aca="false">SUM(P17:BN17)</f>
        <v>1</v>
      </c>
      <c r="Q18" s="10" t="n">
        <f aca="false">SUM(Q17:BN17)</f>
        <v>1</v>
      </c>
      <c r="R18" s="10" t="n">
        <f aca="false">SUM(R17:BN17)</f>
        <v>0.974518420533626</v>
      </c>
      <c r="S18" s="10" t="n">
        <f aca="false">SUM(S17:BN17)</f>
        <v>0.947277958836943</v>
      </c>
      <c r="T18" s="10" t="n">
        <f aca="false">SUM(T17:BN17)</f>
        <v>0.91907817875508</v>
      </c>
      <c r="U18" s="10" t="n">
        <f aca="false">SUM(U17:BN17)</f>
        <v>0.889555367787392</v>
      </c>
      <c r="V18" s="10" t="n">
        <f aca="false">SUM(V17:BN17)</f>
        <v>0.859210755595894</v>
      </c>
      <c r="W18" s="10" t="n">
        <f aca="false">SUM(W17:BN17)</f>
        <v>0.827477067034047</v>
      </c>
      <c r="X18" s="10" t="n">
        <f aca="false">SUM(X17:BN17)</f>
        <v>0.794009583253263</v>
      </c>
      <c r="Y18" s="10" t="n">
        <f aca="false">SUM(Y17:BN17)</f>
        <v>0.75900567079369</v>
      </c>
      <c r="Z18" s="10" t="n">
        <f aca="false">SUM(Z17:BN17)</f>
        <v>0.726423925348296</v>
      </c>
      <c r="AA18" s="10" t="n">
        <f aca="false">SUM(AA17:BN17)</f>
        <v>0.692308009696069</v>
      </c>
      <c r="AB18" s="10" t="n">
        <f aca="false">SUM(AB17:BN17)</f>
        <v>0.65748539557102</v>
      </c>
      <c r="AC18" s="10" t="n">
        <f aca="false">SUM(AC17:BN17)</f>
        <v>0.62096738605346</v>
      </c>
      <c r="AD18" s="10" t="n">
        <f aca="false">SUM(AD17:BN17)</f>
        <v>0.583418110472358</v>
      </c>
      <c r="AE18" s="10" t="n">
        <f aca="false">SUM(AE17:BN17)</f>
        <v>0.544084068822526</v>
      </c>
      <c r="AF18" s="10" t="n">
        <f aca="false">SUM(AF17:BN17)</f>
        <v>0.501605206403712</v>
      </c>
      <c r="AG18" s="10" t="n">
        <f aca="false">SUM(AG17:BN17)</f>
        <v>0.456843329825376</v>
      </c>
      <c r="AH18" s="10" t="n">
        <f aca="false">SUM(AH17:BN17)</f>
        <v>0.411734938048241</v>
      </c>
      <c r="AI18" s="10" t="n">
        <f aca="false">SUM(AI17:BN17)</f>
        <v>0.364297364630648</v>
      </c>
      <c r="AJ18" s="10" t="n">
        <f aca="false">SUM(AJ17:BN17)</f>
        <v>0.315390305342382</v>
      </c>
      <c r="AK18" s="10" t="n">
        <f aca="false">SUM(AK17:BN17)</f>
        <v>0.264086483976569</v>
      </c>
      <c r="AL18" s="10" t="n">
        <f aca="false">SUM(AL17:BN17)</f>
        <v>0.211270144694782</v>
      </c>
      <c r="AM18" s="10" t="n">
        <f aca="false">SUM(AM17:BN17)</f>
        <v>0.155977098280895</v>
      </c>
      <c r="AN18" s="10" t="n">
        <f aca="false">SUM(AN17:BN17)</f>
        <v>0.0981329370436315</v>
      </c>
      <c r="AO18" s="10" t="n">
        <f aca="false">SUM(AO17:BN17)</f>
        <v>0.0478955324894626</v>
      </c>
      <c r="AP18" s="10" t="n">
        <f aca="false">SUM(AP17:BN17)</f>
        <v>0</v>
      </c>
      <c r="AQ18" s="10" t="n">
        <f aca="false">SUM(AQ17:BN17)</f>
        <v>0</v>
      </c>
      <c r="AR18" s="10" t="n">
        <f aca="false">SUM(AR17:BN17)</f>
        <v>0</v>
      </c>
      <c r="AS18" s="10" t="n">
        <f aca="false">SUM(AS17:BN17)</f>
        <v>0</v>
      </c>
      <c r="AT18" s="10" t="n">
        <f aca="false">SUM(AT17:BN17)</f>
        <v>0</v>
      </c>
      <c r="AU18" s="10" t="n">
        <f aca="false">SUM(AU17:BN17)</f>
        <v>0</v>
      </c>
      <c r="AV18" s="10" t="n">
        <f aca="false">SUM(AV17:BN17)</f>
        <v>0</v>
      </c>
      <c r="AW18" s="10" t="n">
        <f aca="false">SUM(AW17:BN17)</f>
        <v>0</v>
      </c>
      <c r="AX18" s="10" t="n">
        <f aca="false">SUM(AX17:BN17)</f>
        <v>0</v>
      </c>
      <c r="AY18" s="10" t="n">
        <f aca="false">SUM(AY17:BN17)</f>
        <v>0</v>
      </c>
      <c r="AZ18" s="10" t="n">
        <f aca="false">SUM(AZ17:BN17)</f>
        <v>0</v>
      </c>
      <c r="BA18" s="10" t="n">
        <f aca="false">SUM(BA17:BN17)</f>
        <v>0</v>
      </c>
      <c r="BB18" s="10" t="n">
        <f aca="false">SUM(BB17:BN17)</f>
        <v>0</v>
      </c>
      <c r="BC18" s="10" t="n">
        <f aca="false">SUM(BC17:BN17)</f>
        <v>0</v>
      </c>
      <c r="BD18" s="10" t="n">
        <f aca="false">SUM(BD17:BN17)</f>
        <v>0</v>
      </c>
      <c r="BE18" s="10" t="n">
        <f aca="false">SUM(BE17:BN17)</f>
        <v>0</v>
      </c>
      <c r="BF18" s="10" t="n">
        <f aca="false">SUM(BF17:BN17)</f>
        <v>0</v>
      </c>
      <c r="BG18" s="10" t="n">
        <f aca="false">SUM(BG17:BN17)</f>
        <v>0</v>
      </c>
      <c r="BH18" s="10" t="n">
        <f aca="false">SUM(BH17:BN17)</f>
        <v>0</v>
      </c>
      <c r="BI18" s="10" t="n">
        <f aca="false">SUM(BI17:BN17)</f>
        <v>0</v>
      </c>
      <c r="BJ18" s="10" t="n">
        <f aca="false">SUM(BJ17:BN17)</f>
        <v>0</v>
      </c>
      <c r="BK18" s="10" t="n">
        <f aca="false">SUM(BK17:BN17)</f>
        <v>0</v>
      </c>
      <c r="BL18" s="10" t="n">
        <f aca="false">SUM(BL17:BN17)</f>
        <v>0</v>
      </c>
      <c r="BM18" s="10" t="n">
        <f aca="false">SUM(BM17:BN17)</f>
        <v>0</v>
      </c>
      <c r="BN18" s="10" t="n">
        <f aca="false">SUM(BN17:BN17)</f>
        <v>0</v>
      </c>
    </row>
    <row r="19" customFormat="false" ht="15" hidden="false" customHeight="false" outlineLevel="0" collapsed="false">
      <c r="D19" s="0" t="s">
        <v>648</v>
      </c>
      <c r="E19" s="0" t="s">
        <v>109</v>
      </c>
      <c r="J19" s="10" t="n">
        <f aca="false">IF(J18&gt;0.000000000001,J17/J18,0)</f>
        <v>0</v>
      </c>
      <c r="K19" s="10" t="n">
        <f aca="false">IF(K18&gt;0.000000000001,K17/K18,0)</f>
        <v>0</v>
      </c>
      <c r="L19" s="10" t="n">
        <f aca="false">IF(L18&gt;0.000000000001,L17/L18,0)</f>
        <v>0</v>
      </c>
      <c r="M19" s="10" t="n">
        <f aca="false">IF(M18&gt;0.000000000001,M17/M18,0)</f>
        <v>0</v>
      </c>
      <c r="N19" s="10" t="n">
        <f aca="false">IF(N18&gt;0.000000000001,N17/N18,0)</f>
        <v>0</v>
      </c>
      <c r="O19" s="10" t="n">
        <f aca="false">IF(O18&gt;0.000000000001,O17/O18,0)</f>
        <v>0</v>
      </c>
      <c r="P19" s="10" t="n">
        <f aca="false">IF(P18&gt;0.000000000001,P17/P18,0)</f>
        <v>0</v>
      </c>
      <c r="Q19" s="10" t="n">
        <f aca="false">IF(Q18&gt;0.000000000001,Q17/Q18,0)</f>
        <v>0.0254815794663755</v>
      </c>
      <c r="R19" s="10" t="n">
        <f aca="false">IF(R18&gt;0.000000000001,R17/R18,0)</f>
        <v>0.0279527417057608</v>
      </c>
      <c r="S19" s="10" t="n">
        <f aca="false">IF(S18&gt;0.000000000001,S17/S18,0)</f>
        <v>0.0297692771364456</v>
      </c>
      <c r="T19" s="10" t="n">
        <f aca="false">IF(T18&gt;0.000000000001,T17/T18,0)</f>
        <v>0.0321221977086619</v>
      </c>
      <c r="U19" s="10" t="n">
        <f aca="false">IF(U18&gt;0.000000000001,U17/U18,0)</f>
        <v>0.0341121118373726</v>
      </c>
      <c r="V19" s="10" t="n">
        <f aca="false">IF(V18&gt;0.000000000001,V17/V18,0)</f>
        <v>0.0369335327277627</v>
      </c>
      <c r="W19" s="10" t="n">
        <f aca="false">IF(W18&gt;0.000000000001,W17/W18,0)</f>
        <v>0.0404452100415817</v>
      </c>
      <c r="X19" s="10" t="n">
        <f aca="false">IF(X18&gt;0.000000000001,X17/X18,0)</f>
        <v>0.0440849999771454</v>
      </c>
      <c r="Y19" s="10" t="n">
        <f aca="false">IF(Y18&gt;0.000000000001,Y17/Y18,0)</f>
        <v>0.0429268801263666</v>
      </c>
      <c r="Z19" s="10" t="n">
        <f aca="false">IF(Z18&gt;0.000000000001,Z17/Z18,0)</f>
        <v>0.0469641960593056</v>
      </c>
      <c r="AA19" s="10" t="n">
        <f aca="false">IF(AA18&gt;0.000000000001,AA17/AA18,0)</f>
        <v>0.0502993084542476</v>
      </c>
      <c r="AB19" s="10" t="n">
        <f aca="false">IF(AB18&gt;0.000000000001,AB17/AB18,0)</f>
        <v>0.0555419325867218</v>
      </c>
      <c r="AC19" s="10" t="n">
        <f aca="false">IF(AC18&gt;0.000000000001,AC17/AC18,0)</f>
        <v>0.0604689979287732</v>
      </c>
      <c r="AD19" s="10" t="n">
        <f aca="false">IF(AD18&gt;0.000000000001,AD17/AD18,0)</f>
        <v>0.067419987387751</v>
      </c>
      <c r="AE19" s="10" t="n">
        <f aca="false">IF(AE18&gt;0.000000000001,AE17/AE18,0)</f>
        <v>0.0780740787186507</v>
      </c>
      <c r="AF19" s="10" t="n">
        <f aca="false">IF(AF18&gt;0.000000000001,AF17/AF18,0)</f>
        <v>0.0892372646991826</v>
      </c>
      <c r="AG19" s="10" t="n">
        <f aca="false">IF(AG18&gt;0.000000000001,AG17/AG18,0)</f>
        <v>0.098739302584056</v>
      </c>
      <c r="AH19" s="10" t="n">
        <f aca="false">IF(AH18&gt;0.000000000001,AH17/AH18,0)</f>
        <v>0.11521386463452</v>
      </c>
      <c r="AI19" s="10" t="n">
        <f aca="false">IF(AI18&gt;0.000000000001,AI17/AI18,0)</f>
        <v>0.134250379049137</v>
      </c>
      <c r="AJ19" s="10" t="n">
        <f aca="false">IF(AJ18&gt;0.000000000001,AJ17/AJ18,0)</f>
        <v>0.162667718369208</v>
      </c>
      <c r="AK19" s="10" t="n">
        <f aca="false">IF(AK18&gt;0.000000000001,AK17/AK18,0)</f>
        <v>0.199996374242586</v>
      </c>
      <c r="AL19" s="10" t="n">
        <f aca="false">IF(AL18&gt;0.000000000001,AL17/AL18,0)</f>
        <v>0.261717274316104</v>
      </c>
      <c r="AM19" s="10" t="n">
        <f aca="false">IF(AM18&gt;0.000000000001,AM17/AM18,0)</f>
        <v>0.370850348383154</v>
      </c>
      <c r="AN19" s="10" t="n">
        <f aca="false">IF(AN18&gt;0.000000000001,AN17/AN18,0)</f>
        <v>0.511932140906295</v>
      </c>
      <c r="AO19" s="10" t="n">
        <f aca="false">IF(AO18&gt;0.000000000001,AO17/AO18,0)</f>
        <v>1</v>
      </c>
      <c r="AP19" s="10" t="n">
        <f aca="false">IF(AP18&gt;0.000000000001,AP17/AP18,0)</f>
        <v>0</v>
      </c>
      <c r="AQ19" s="10" t="n">
        <f aca="false">IF(AQ18&gt;0.000000000001,AQ17/AQ18,0)</f>
        <v>0</v>
      </c>
      <c r="AR19" s="10" t="n">
        <f aca="false">IF(AR18&gt;0.000000000001,AR17/AR18,0)</f>
        <v>0</v>
      </c>
      <c r="AS19" s="10" t="n">
        <f aca="false">IF(AS18&gt;0.000000000001,AS17/AS18,0)</f>
        <v>0</v>
      </c>
      <c r="AT19" s="10" t="n">
        <f aca="false">IF(AT18&gt;0.000000000001,AT17/AT18,0)</f>
        <v>0</v>
      </c>
      <c r="AU19" s="10" t="n">
        <f aca="false">IF(AU18&gt;0.000000000001,AU17/AU18,0)</f>
        <v>0</v>
      </c>
      <c r="AV19" s="10" t="n">
        <f aca="false">IF(AV18&gt;0.000000000001,AV17/AV18,0)</f>
        <v>0</v>
      </c>
      <c r="AW19" s="10" t="n">
        <f aca="false">IF(AW18&gt;0.000000000001,AW17/AW18,0)</f>
        <v>0</v>
      </c>
      <c r="AX19" s="10" t="n">
        <f aca="false">IF(AX18&gt;0.000000000001,AX17/AX18,0)</f>
        <v>0</v>
      </c>
      <c r="AY19" s="10" t="n">
        <f aca="false">IF(AY18&gt;0.000000000001,AY17/AY18,0)</f>
        <v>0</v>
      </c>
      <c r="AZ19" s="10" t="n">
        <f aca="false">IF(AZ18&gt;0.000000000001,AZ17/AZ18,0)</f>
        <v>0</v>
      </c>
      <c r="BA19" s="10" t="n">
        <f aca="false">IF(BA18&gt;0.000000000001,BA17/BA18,0)</f>
        <v>0</v>
      </c>
      <c r="BB19" s="10" t="n">
        <f aca="false">IF(BB18&gt;0.000000000001,BB17/BB18,0)</f>
        <v>0</v>
      </c>
      <c r="BC19" s="10" t="n">
        <f aca="false">IF(BC18&gt;0.000000000001,BC17/BC18,0)</f>
        <v>0</v>
      </c>
      <c r="BD19" s="10" t="n">
        <f aca="false">IF(BD18&gt;0.000000000001,BD17/BD18,0)</f>
        <v>0</v>
      </c>
      <c r="BE19" s="10" t="n">
        <f aca="false">IF(BE18&gt;0.000000000001,BE17/BE18,0)</f>
        <v>0</v>
      </c>
      <c r="BF19" s="10" t="n">
        <f aca="false">IF(BF18&gt;0.000000000001,BF17/BF18,0)</f>
        <v>0</v>
      </c>
      <c r="BG19" s="10" t="n">
        <f aca="false">IF(BG18&gt;0.000000000001,BG17/BG18,0)</f>
        <v>0</v>
      </c>
      <c r="BH19" s="10" t="n">
        <f aca="false">IF(BH18&gt;0.000000000001,BH17/BH18,0)</f>
        <v>0</v>
      </c>
      <c r="BI19" s="10" t="n">
        <f aca="false">IF(BI18&gt;0.000000000001,BI17/BI18,0)</f>
        <v>0</v>
      </c>
      <c r="BJ19" s="10" t="n">
        <f aca="false">IF(BJ18&gt;0.000000000001,BJ17/BJ18,0)</f>
        <v>0</v>
      </c>
      <c r="BK19" s="10" t="n">
        <f aca="false">IF(BK18&gt;0.000000000001,BK17/BK18,0)</f>
        <v>0</v>
      </c>
      <c r="BL19" s="10" t="n">
        <f aca="false">IF(BL18&gt;0.000000000001,BL17/BL18,0)</f>
        <v>0</v>
      </c>
      <c r="BM19" s="10" t="n">
        <f aca="false">IF(BM18&gt;0.000000000001,BM17/BM18,0)</f>
        <v>0</v>
      </c>
      <c r="BN19" s="10" t="n">
        <f aca="false">IF(BN18&gt;0.000000000001,BN17/BN18,0)</f>
        <v>0</v>
      </c>
    </row>
    <row r="20" customFormat="false" ht="15" hidden="false" customHeight="false" outlineLevel="0" collapsed="false">
      <c r="D20" s="0" t="s">
        <v>649</v>
      </c>
      <c r="E20" s="0" t="s">
        <v>113</v>
      </c>
      <c r="J20" s="9" t="n">
        <f aca="false">Inputs!$F$50*IF(Time!J17=14,1,0)</f>
        <v>0</v>
      </c>
      <c r="K20" s="9" t="n">
        <f aca="false">Inputs!$F$50*IF(Time!K17=14,1,0)</f>
        <v>0</v>
      </c>
      <c r="L20" s="9" t="n">
        <f aca="false">Inputs!$F$50*IF(Time!L17=14,1,0)</f>
        <v>0</v>
      </c>
      <c r="M20" s="9" t="n">
        <f aca="false">Inputs!$F$50*IF(Time!M17=14,1,0)</f>
        <v>0</v>
      </c>
      <c r="N20" s="9" t="n">
        <f aca="false">Inputs!$F$50*IF(Time!N17=14,1,0)</f>
        <v>0</v>
      </c>
      <c r="O20" s="9" t="n">
        <f aca="false">Inputs!$F$50*IF(Time!O17=14,1,0)</f>
        <v>0</v>
      </c>
      <c r="P20" s="9" t="n">
        <f aca="false">Inputs!$F$50*IF(Time!P17=14,1,0)</f>
        <v>0</v>
      </c>
      <c r="Q20" s="9" t="n">
        <f aca="false">Inputs!$F$50*IF(Time!Q17=14,1,0)</f>
        <v>0</v>
      </c>
      <c r="R20" s="9" t="n">
        <f aca="false">Inputs!$F$50*IF(Time!R17=14,1,0)</f>
        <v>0</v>
      </c>
      <c r="S20" s="9" t="n">
        <f aca="false">Inputs!$F$50*IF(Time!S17=14,1,0)</f>
        <v>0</v>
      </c>
      <c r="T20" s="9" t="n">
        <f aca="false">Inputs!$F$50*IF(Time!T17=14,1,0)</f>
        <v>0</v>
      </c>
      <c r="U20" s="9" t="n">
        <f aca="false">Inputs!$F$50*IF(Time!U17=14,1,0)</f>
        <v>0</v>
      </c>
      <c r="V20" s="9" t="n">
        <f aca="false">Inputs!$F$50*IF(Time!V17=14,1,0)</f>
        <v>0</v>
      </c>
      <c r="W20" s="9" t="n">
        <f aca="false">Inputs!$F$50*IF(Time!W17=14,1,0)</f>
        <v>1</v>
      </c>
      <c r="X20" s="9" t="n">
        <f aca="false">Inputs!$F$50*IF(Time!X17=14,1,0)</f>
        <v>0</v>
      </c>
      <c r="Y20" s="9" t="n">
        <f aca="false">Inputs!$F$50*IF(Time!Y17=14,1,0)</f>
        <v>0</v>
      </c>
      <c r="Z20" s="9" t="n">
        <f aca="false">Inputs!$F$50*IF(Time!Z17=14,1,0)</f>
        <v>0</v>
      </c>
      <c r="AA20" s="9" t="n">
        <f aca="false">Inputs!$F$50*IF(Time!AA17=14,1,0)</f>
        <v>0</v>
      </c>
      <c r="AB20" s="9" t="n">
        <f aca="false">Inputs!$F$50*IF(Time!AB17=14,1,0)</f>
        <v>0</v>
      </c>
      <c r="AC20" s="9" t="n">
        <f aca="false">Inputs!$F$50*IF(Time!AC17=14,1,0)</f>
        <v>0</v>
      </c>
      <c r="AD20" s="9" t="n">
        <f aca="false">Inputs!$F$50*IF(Time!AD17=14,1,0)</f>
        <v>0</v>
      </c>
      <c r="AE20" s="9" t="n">
        <f aca="false">Inputs!$F$50*IF(Time!AE17=14,1,0)</f>
        <v>0</v>
      </c>
      <c r="AF20" s="9" t="n">
        <f aca="false">Inputs!$F$50*IF(Time!AF17=14,1,0)</f>
        <v>0</v>
      </c>
      <c r="AG20" s="9" t="n">
        <f aca="false">Inputs!$F$50*IF(Time!AG17=14,1,0)</f>
        <v>0</v>
      </c>
      <c r="AH20" s="9" t="n">
        <f aca="false">Inputs!$F$50*IF(Time!AH17=14,1,0)</f>
        <v>0</v>
      </c>
      <c r="AI20" s="9" t="n">
        <f aca="false">Inputs!$F$50*IF(Time!AI17=14,1,0)</f>
        <v>0</v>
      </c>
      <c r="AJ20" s="9" t="n">
        <f aca="false">Inputs!$F$50*IF(Time!AJ17=14,1,0)</f>
        <v>0</v>
      </c>
      <c r="AK20" s="9" t="n">
        <f aca="false">Inputs!$F$50*IF(Time!AK17=14,1,0)</f>
        <v>0</v>
      </c>
      <c r="AL20" s="9" t="n">
        <f aca="false">Inputs!$F$50*IF(Time!AL17=14,1,0)</f>
        <v>0</v>
      </c>
      <c r="AM20" s="9" t="n">
        <f aca="false">Inputs!$F$50*IF(Time!AM17=14,1,0)</f>
        <v>0</v>
      </c>
      <c r="AN20" s="9" t="n">
        <f aca="false">Inputs!$F$50*IF(Time!AN17=14,1,0)</f>
        <v>0</v>
      </c>
      <c r="AO20" s="9" t="n">
        <f aca="false">Inputs!$F$50*IF(Time!AO17=14,1,0)</f>
        <v>0</v>
      </c>
      <c r="AP20" s="9" t="n">
        <f aca="false">Inputs!$F$50*IF(Time!AP17=14,1,0)</f>
        <v>0</v>
      </c>
      <c r="AQ20" s="9" t="n">
        <f aca="false">Inputs!$F$50*IF(Time!AQ17=14,1,0)</f>
        <v>0</v>
      </c>
      <c r="AR20" s="9" t="n">
        <f aca="false">Inputs!$F$50*IF(Time!AR17=14,1,0)</f>
        <v>0</v>
      </c>
      <c r="AS20" s="9" t="n">
        <f aca="false">Inputs!$F$50*IF(Time!AS17=14,1,0)</f>
        <v>0</v>
      </c>
      <c r="AT20" s="9" t="n">
        <f aca="false">Inputs!$F$50*IF(Time!AT17=14,1,0)</f>
        <v>0</v>
      </c>
      <c r="AU20" s="9" t="n">
        <f aca="false">Inputs!$F$50*IF(Time!AU17=14,1,0)</f>
        <v>0</v>
      </c>
      <c r="AV20" s="9" t="n">
        <f aca="false">Inputs!$F$50*IF(Time!AV17=14,1,0)</f>
        <v>0</v>
      </c>
      <c r="AW20" s="9" t="n">
        <f aca="false">Inputs!$F$50*IF(Time!AW17=14,1,0)</f>
        <v>0</v>
      </c>
      <c r="AX20" s="9" t="n">
        <f aca="false">Inputs!$F$50*IF(Time!AX17=14,1,0)</f>
        <v>0</v>
      </c>
      <c r="AY20" s="9" t="n">
        <f aca="false">Inputs!$F$50*IF(Time!AY17=14,1,0)</f>
        <v>0</v>
      </c>
      <c r="AZ20" s="9" t="n">
        <f aca="false">Inputs!$F$50*IF(Time!AZ17=14,1,0)</f>
        <v>0</v>
      </c>
      <c r="BA20" s="9" t="n">
        <f aca="false">Inputs!$F$50*IF(Time!BA17=14,1,0)</f>
        <v>0</v>
      </c>
      <c r="BB20" s="9" t="n">
        <f aca="false">Inputs!$F$50*IF(Time!BB17=14,1,0)</f>
        <v>0</v>
      </c>
      <c r="BC20" s="9" t="n">
        <f aca="false">Inputs!$F$50*IF(Time!BC17=14,1,0)</f>
        <v>0</v>
      </c>
      <c r="BD20" s="9" t="n">
        <f aca="false">Inputs!$F$50*IF(Time!BD17=14,1,0)</f>
        <v>0</v>
      </c>
      <c r="BE20" s="9" t="n">
        <f aca="false">Inputs!$F$50*IF(Time!BE17=14,1,0)</f>
        <v>0</v>
      </c>
      <c r="BF20" s="9" t="n">
        <f aca="false">Inputs!$F$50*IF(Time!BF17=14,1,0)</f>
        <v>0</v>
      </c>
      <c r="BG20" s="9" t="n">
        <f aca="false">Inputs!$F$50*IF(Time!BG17=14,1,0)</f>
        <v>0</v>
      </c>
      <c r="BH20" s="9" t="n">
        <f aca="false">Inputs!$F$50*IF(Time!BH17=14,1,0)</f>
        <v>0</v>
      </c>
      <c r="BI20" s="9" t="n">
        <f aca="false">Inputs!$F$50*IF(Time!BI17=14,1,0)</f>
        <v>0</v>
      </c>
      <c r="BJ20" s="9" t="n">
        <f aca="false">Inputs!$F$50*IF(Time!BJ17=14,1,0)</f>
        <v>0</v>
      </c>
      <c r="BK20" s="9" t="n">
        <f aca="false">Inputs!$F$50*IF(Time!BK17=14,1,0)</f>
        <v>0</v>
      </c>
      <c r="BL20" s="9" t="n">
        <f aca="false">Inputs!$F$50*IF(Time!BL17=14,1,0)</f>
        <v>0</v>
      </c>
      <c r="BM20" s="9" t="n">
        <f aca="false">Inputs!$F$50*IF(Time!BM17=14,1,0)</f>
        <v>0</v>
      </c>
      <c r="BN20" s="9" t="n">
        <f aca="false">Inputs!$F$50*IF(Time!BN17=14,1,0)</f>
        <v>0</v>
      </c>
    </row>
    <row r="21" customFormat="false" ht="15" hidden="false" customHeight="false" outlineLevel="0" collapsed="false">
      <c r="D21" s="0" t="s">
        <v>650</v>
      </c>
      <c r="E21" s="0" t="s">
        <v>113</v>
      </c>
      <c r="J21" s="9" t="n">
        <f aca="false">Inputs!$F$49*IF(Time!J17=11,1,0)</f>
        <v>0</v>
      </c>
      <c r="K21" s="9" t="n">
        <f aca="false">Inputs!$F$49*IF(Time!K17=11,1,0)</f>
        <v>0</v>
      </c>
      <c r="L21" s="9" t="n">
        <f aca="false">Inputs!$F$49*IF(Time!L17=11,1,0)</f>
        <v>0</v>
      </c>
      <c r="M21" s="9" t="n">
        <f aca="false">Inputs!$F$49*IF(Time!M17=11,1,0)</f>
        <v>0</v>
      </c>
      <c r="N21" s="9" t="n">
        <f aca="false">Inputs!$F$49*IF(Time!N17=11,1,0)</f>
        <v>0</v>
      </c>
      <c r="O21" s="9" t="n">
        <f aca="false">Inputs!$F$49*IF(Time!O17=11,1,0)</f>
        <v>0</v>
      </c>
      <c r="P21" s="9" t="n">
        <f aca="false">Inputs!$F$49*IF(Time!P17=11,1,0)</f>
        <v>0</v>
      </c>
      <c r="Q21" s="9" t="n">
        <f aca="false">Inputs!$F$49*IF(Time!Q17=11,1,0)</f>
        <v>0</v>
      </c>
      <c r="R21" s="9" t="n">
        <f aca="false">Inputs!$F$49*IF(Time!R17=11,1,0)</f>
        <v>0</v>
      </c>
      <c r="S21" s="9" t="n">
        <f aca="false">Inputs!$F$49*IF(Time!S17=11,1,0)</f>
        <v>0</v>
      </c>
      <c r="T21" s="9" t="n">
        <f aca="false">Inputs!$F$49*IF(Time!T17=11,1,0)</f>
        <v>1</v>
      </c>
      <c r="U21" s="9" t="n">
        <f aca="false">Inputs!$F$49*IF(Time!U17=11,1,0)</f>
        <v>0</v>
      </c>
      <c r="V21" s="9" t="n">
        <f aca="false">Inputs!$F$49*IF(Time!V17=11,1,0)</f>
        <v>0</v>
      </c>
      <c r="W21" s="9" t="n">
        <f aca="false">Inputs!$F$49*IF(Time!W17=11,1,0)</f>
        <v>0</v>
      </c>
      <c r="X21" s="9" t="n">
        <f aca="false">Inputs!$F$49*IF(Time!X17=11,1,0)</f>
        <v>0</v>
      </c>
      <c r="Y21" s="9" t="n">
        <f aca="false">Inputs!$F$49*IF(Time!Y17=11,1,0)</f>
        <v>0</v>
      </c>
      <c r="Z21" s="9" t="n">
        <f aca="false">Inputs!$F$49*IF(Time!Z17=11,1,0)</f>
        <v>0</v>
      </c>
      <c r="AA21" s="9" t="n">
        <f aca="false">Inputs!$F$49*IF(Time!AA17=11,1,0)</f>
        <v>0</v>
      </c>
      <c r="AB21" s="9" t="n">
        <f aca="false">Inputs!$F$49*IF(Time!AB17=11,1,0)</f>
        <v>0</v>
      </c>
      <c r="AC21" s="9" t="n">
        <f aca="false">Inputs!$F$49*IF(Time!AC17=11,1,0)</f>
        <v>0</v>
      </c>
      <c r="AD21" s="9" t="n">
        <f aca="false">Inputs!$F$49*IF(Time!AD17=11,1,0)</f>
        <v>0</v>
      </c>
      <c r="AE21" s="9" t="n">
        <f aca="false">Inputs!$F$49*IF(Time!AE17=11,1,0)</f>
        <v>0</v>
      </c>
      <c r="AF21" s="9" t="n">
        <f aca="false">Inputs!$F$49*IF(Time!AF17=11,1,0)</f>
        <v>0</v>
      </c>
      <c r="AG21" s="9" t="n">
        <f aca="false">Inputs!$F$49*IF(Time!AG17=11,1,0)</f>
        <v>0</v>
      </c>
      <c r="AH21" s="9" t="n">
        <f aca="false">Inputs!$F$49*IF(Time!AH17=11,1,0)</f>
        <v>0</v>
      </c>
      <c r="AI21" s="9" t="n">
        <f aca="false">Inputs!$F$49*IF(Time!AI17=11,1,0)</f>
        <v>0</v>
      </c>
      <c r="AJ21" s="9" t="n">
        <f aca="false">Inputs!$F$49*IF(Time!AJ17=11,1,0)</f>
        <v>0</v>
      </c>
      <c r="AK21" s="9" t="n">
        <f aca="false">Inputs!$F$49*IF(Time!AK17=11,1,0)</f>
        <v>0</v>
      </c>
      <c r="AL21" s="9" t="n">
        <f aca="false">Inputs!$F$49*IF(Time!AL17=11,1,0)</f>
        <v>0</v>
      </c>
      <c r="AM21" s="9" t="n">
        <f aca="false">Inputs!$F$49*IF(Time!AM17=11,1,0)</f>
        <v>0</v>
      </c>
      <c r="AN21" s="9" t="n">
        <f aca="false">Inputs!$F$49*IF(Time!AN17=11,1,0)</f>
        <v>0</v>
      </c>
      <c r="AO21" s="9" t="n">
        <f aca="false">Inputs!$F$49*IF(Time!AO17=11,1,0)</f>
        <v>0</v>
      </c>
      <c r="AP21" s="9" t="n">
        <f aca="false">Inputs!$F$49*IF(Time!AP17=11,1,0)</f>
        <v>0</v>
      </c>
      <c r="AQ21" s="9" t="n">
        <f aca="false">Inputs!$F$49*IF(Time!AQ17=11,1,0)</f>
        <v>0</v>
      </c>
      <c r="AR21" s="9" t="n">
        <f aca="false">Inputs!$F$49*IF(Time!AR17=11,1,0)</f>
        <v>0</v>
      </c>
      <c r="AS21" s="9" t="n">
        <f aca="false">Inputs!$F$49*IF(Time!AS17=11,1,0)</f>
        <v>0</v>
      </c>
      <c r="AT21" s="9" t="n">
        <f aca="false">Inputs!$F$49*IF(Time!AT17=11,1,0)</f>
        <v>0</v>
      </c>
      <c r="AU21" s="9" t="n">
        <f aca="false">Inputs!$F$49*IF(Time!AU17=11,1,0)</f>
        <v>0</v>
      </c>
      <c r="AV21" s="9" t="n">
        <f aca="false">Inputs!$F$49*IF(Time!AV17=11,1,0)</f>
        <v>0</v>
      </c>
      <c r="AW21" s="9" t="n">
        <f aca="false">Inputs!$F$49*IF(Time!AW17=11,1,0)</f>
        <v>0</v>
      </c>
      <c r="AX21" s="9" t="n">
        <f aca="false">Inputs!$F$49*IF(Time!AX17=11,1,0)</f>
        <v>0</v>
      </c>
      <c r="AY21" s="9" t="n">
        <f aca="false">Inputs!$F$49*IF(Time!AY17=11,1,0)</f>
        <v>0</v>
      </c>
      <c r="AZ21" s="9" t="n">
        <f aca="false">Inputs!$F$49*IF(Time!AZ17=11,1,0)</f>
        <v>0</v>
      </c>
      <c r="BA21" s="9" t="n">
        <f aca="false">Inputs!$F$49*IF(Time!BA17=11,1,0)</f>
        <v>0</v>
      </c>
      <c r="BB21" s="9" t="n">
        <f aca="false">Inputs!$F$49*IF(Time!BB17=11,1,0)</f>
        <v>0</v>
      </c>
      <c r="BC21" s="9" t="n">
        <f aca="false">Inputs!$F$49*IF(Time!BC17=11,1,0)</f>
        <v>0</v>
      </c>
      <c r="BD21" s="9" t="n">
        <f aca="false">Inputs!$F$49*IF(Time!BD17=11,1,0)</f>
        <v>0</v>
      </c>
      <c r="BE21" s="9" t="n">
        <f aca="false">Inputs!$F$49*IF(Time!BE17=11,1,0)</f>
        <v>0</v>
      </c>
      <c r="BF21" s="9" t="n">
        <f aca="false">Inputs!$F$49*IF(Time!BF17=11,1,0)</f>
        <v>0</v>
      </c>
      <c r="BG21" s="9" t="n">
        <f aca="false">Inputs!$F$49*IF(Time!BG17=11,1,0)</f>
        <v>0</v>
      </c>
      <c r="BH21" s="9" t="n">
        <f aca="false">Inputs!$F$49*IF(Time!BH17=11,1,0)</f>
        <v>0</v>
      </c>
      <c r="BI21" s="9" t="n">
        <f aca="false">Inputs!$F$49*IF(Time!BI17=11,1,0)</f>
        <v>0</v>
      </c>
      <c r="BJ21" s="9" t="n">
        <f aca="false">Inputs!$F$49*IF(Time!BJ17=11,1,0)</f>
        <v>0</v>
      </c>
      <c r="BK21" s="9" t="n">
        <f aca="false">Inputs!$F$49*IF(Time!BK17=11,1,0)</f>
        <v>0</v>
      </c>
      <c r="BL21" s="9" t="n">
        <f aca="false">Inputs!$F$49*IF(Time!BL17=11,1,0)</f>
        <v>0</v>
      </c>
      <c r="BM21" s="9" t="n">
        <f aca="false">Inputs!$F$49*IF(Time!BM17=11,1,0)</f>
        <v>0</v>
      </c>
      <c r="BN21" s="9" t="n">
        <f aca="false">Inputs!$F$49*IF(Time!BN17=11,1,0)</f>
        <v>0</v>
      </c>
    </row>
    <row r="22" customFormat="false" ht="15" hidden="false" customHeight="false" outlineLevel="0" collapsed="false">
      <c r="D22" s="0" t="s">
        <v>651</v>
      </c>
      <c r="E22" s="0" t="s">
        <v>113</v>
      </c>
      <c r="J22" s="9" t="n">
        <f aca="false">Inputs!$F$49*IF(AND(Time!J17&gt;=12,Time!J17&lt;=15),1,0)</f>
        <v>0</v>
      </c>
      <c r="K22" s="9" t="n">
        <f aca="false">Inputs!$F$49*IF(AND(Time!K17&gt;=12,Time!K17&lt;=15),1,0)</f>
        <v>0</v>
      </c>
      <c r="L22" s="9" t="n">
        <f aca="false">Inputs!$F$49*IF(AND(Time!L17&gt;=12,Time!L17&lt;=15),1,0)</f>
        <v>0</v>
      </c>
      <c r="M22" s="9" t="n">
        <f aca="false">Inputs!$F$49*IF(AND(Time!M17&gt;=12,Time!M17&lt;=15),1,0)</f>
        <v>0</v>
      </c>
      <c r="N22" s="9" t="n">
        <f aca="false">Inputs!$F$49*IF(AND(Time!N17&gt;=12,Time!N17&lt;=15),1,0)</f>
        <v>0</v>
      </c>
      <c r="O22" s="9" t="n">
        <f aca="false">Inputs!$F$49*IF(AND(Time!O17&gt;=12,Time!O17&lt;=15),1,0)</f>
        <v>0</v>
      </c>
      <c r="P22" s="9" t="n">
        <f aca="false">Inputs!$F$49*IF(AND(Time!P17&gt;=12,Time!P17&lt;=15),1,0)</f>
        <v>0</v>
      </c>
      <c r="Q22" s="9" t="n">
        <f aca="false">Inputs!$F$49*IF(AND(Time!Q17&gt;=12,Time!Q17&lt;=15),1,0)</f>
        <v>0</v>
      </c>
      <c r="R22" s="9" t="n">
        <f aca="false">Inputs!$F$49*IF(AND(Time!R17&gt;=12,Time!R17&lt;=15),1,0)</f>
        <v>0</v>
      </c>
      <c r="S22" s="9" t="n">
        <f aca="false">Inputs!$F$49*IF(AND(Time!S17&gt;=12,Time!S17&lt;=15),1,0)</f>
        <v>0</v>
      </c>
      <c r="T22" s="9" t="n">
        <f aca="false">Inputs!$F$49*IF(AND(Time!T17&gt;=12,Time!T17&lt;=15),1,0)</f>
        <v>0</v>
      </c>
      <c r="U22" s="9" t="n">
        <f aca="false">Inputs!$F$49*IF(AND(Time!U17&gt;=12,Time!U17&lt;=15),1,0)</f>
        <v>1</v>
      </c>
      <c r="V22" s="9" t="n">
        <f aca="false">Inputs!$F$49*IF(AND(Time!V17&gt;=12,Time!V17&lt;=15),1,0)</f>
        <v>1</v>
      </c>
      <c r="W22" s="9" t="n">
        <f aca="false">Inputs!$F$49*IF(AND(Time!W17&gt;=12,Time!W17&lt;=15),1,0)</f>
        <v>1</v>
      </c>
      <c r="X22" s="9" t="n">
        <f aca="false">Inputs!$F$49*IF(AND(Time!X17&gt;=12,Time!X17&lt;=15),1,0)</f>
        <v>1</v>
      </c>
      <c r="Y22" s="9" t="n">
        <f aca="false">Inputs!$F$49*IF(AND(Time!Y17&gt;=12,Time!Y17&lt;=15),1,0)</f>
        <v>0</v>
      </c>
      <c r="Z22" s="9" t="n">
        <f aca="false">Inputs!$F$49*IF(AND(Time!Z17&gt;=12,Time!Z17&lt;=15),1,0)</f>
        <v>0</v>
      </c>
      <c r="AA22" s="9" t="n">
        <f aca="false">Inputs!$F$49*IF(AND(Time!AA17&gt;=12,Time!AA17&lt;=15),1,0)</f>
        <v>0</v>
      </c>
      <c r="AB22" s="9" t="n">
        <f aca="false">Inputs!$F$49*IF(AND(Time!AB17&gt;=12,Time!AB17&lt;=15),1,0)</f>
        <v>0</v>
      </c>
      <c r="AC22" s="9" t="n">
        <f aca="false">Inputs!$F$49*IF(AND(Time!AC17&gt;=12,Time!AC17&lt;=15),1,0)</f>
        <v>0</v>
      </c>
      <c r="AD22" s="9" t="n">
        <f aca="false">Inputs!$F$49*IF(AND(Time!AD17&gt;=12,Time!AD17&lt;=15),1,0)</f>
        <v>0</v>
      </c>
      <c r="AE22" s="9" t="n">
        <f aca="false">Inputs!$F$49*IF(AND(Time!AE17&gt;=12,Time!AE17&lt;=15),1,0)</f>
        <v>0</v>
      </c>
      <c r="AF22" s="9" t="n">
        <f aca="false">Inputs!$F$49*IF(AND(Time!AF17&gt;=12,Time!AF17&lt;=15),1,0)</f>
        <v>0</v>
      </c>
      <c r="AG22" s="9" t="n">
        <f aca="false">Inputs!$F$49*IF(AND(Time!AG17&gt;=12,Time!AG17&lt;=15),1,0)</f>
        <v>0</v>
      </c>
      <c r="AH22" s="9" t="n">
        <f aca="false">Inputs!$F$49*IF(AND(Time!AH17&gt;=12,Time!AH17&lt;=15),1,0)</f>
        <v>0</v>
      </c>
      <c r="AI22" s="9" t="n">
        <f aca="false">Inputs!$F$49*IF(AND(Time!AI17&gt;=12,Time!AI17&lt;=15),1,0)</f>
        <v>0</v>
      </c>
      <c r="AJ22" s="9" t="n">
        <f aca="false">Inputs!$F$49*IF(AND(Time!AJ17&gt;=12,Time!AJ17&lt;=15),1,0)</f>
        <v>0</v>
      </c>
      <c r="AK22" s="9" t="n">
        <f aca="false">Inputs!$F$49*IF(AND(Time!AK17&gt;=12,Time!AK17&lt;=15),1,0)</f>
        <v>0</v>
      </c>
      <c r="AL22" s="9" t="n">
        <f aca="false">Inputs!$F$49*IF(AND(Time!AL17&gt;=12,Time!AL17&lt;=15),1,0)</f>
        <v>0</v>
      </c>
      <c r="AM22" s="9" t="n">
        <f aca="false">Inputs!$F$49*IF(AND(Time!AM17&gt;=12,Time!AM17&lt;=15),1,0)</f>
        <v>0</v>
      </c>
      <c r="AN22" s="9" t="n">
        <f aca="false">Inputs!$F$49*IF(AND(Time!AN17&gt;=12,Time!AN17&lt;=15),1,0)</f>
        <v>0</v>
      </c>
      <c r="AO22" s="9" t="n">
        <f aca="false">Inputs!$F$49*IF(AND(Time!AO17&gt;=12,Time!AO17&lt;=15),1,0)</f>
        <v>0</v>
      </c>
      <c r="AP22" s="9" t="n">
        <f aca="false">Inputs!$F$49*IF(AND(Time!AP17&gt;=12,Time!AP17&lt;=15),1,0)</f>
        <v>0</v>
      </c>
      <c r="AQ22" s="9" t="n">
        <f aca="false">Inputs!$F$49*IF(AND(Time!AQ17&gt;=12,Time!AQ17&lt;=15),1,0)</f>
        <v>0</v>
      </c>
      <c r="AR22" s="9" t="n">
        <f aca="false">Inputs!$F$49*IF(AND(Time!AR17&gt;=12,Time!AR17&lt;=15),1,0)</f>
        <v>0</v>
      </c>
      <c r="AS22" s="9" t="n">
        <f aca="false">Inputs!$F$49*IF(AND(Time!AS17&gt;=12,Time!AS17&lt;=15),1,0)</f>
        <v>0</v>
      </c>
      <c r="AT22" s="9" t="n">
        <f aca="false">Inputs!$F$49*IF(AND(Time!AT17&gt;=12,Time!AT17&lt;=15),1,0)</f>
        <v>0</v>
      </c>
      <c r="AU22" s="9" t="n">
        <f aca="false">Inputs!$F$49*IF(AND(Time!AU17&gt;=12,Time!AU17&lt;=15),1,0)</f>
        <v>0</v>
      </c>
      <c r="AV22" s="9" t="n">
        <f aca="false">Inputs!$F$49*IF(AND(Time!AV17&gt;=12,Time!AV17&lt;=15),1,0)</f>
        <v>0</v>
      </c>
      <c r="AW22" s="9" t="n">
        <f aca="false">Inputs!$F$49*IF(AND(Time!AW17&gt;=12,Time!AW17&lt;=15),1,0)</f>
        <v>0</v>
      </c>
      <c r="AX22" s="9" t="n">
        <f aca="false">Inputs!$F$49*IF(AND(Time!AX17&gt;=12,Time!AX17&lt;=15),1,0)</f>
        <v>0</v>
      </c>
      <c r="AY22" s="9" t="n">
        <f aca="false">Inputs!$F$49*IF(AND(Time!AY17&gt;=12,Time!AY17&lt;=15),1,0)</f>
        <v>0</v>
      </c>
      <c r="AZ22" s="9" t="n">
        <f aca="false">Inputs!$F$49*IF(AND(Time!AZ17&gt;=12,Time!AZ17&lt;=15),1,0)</f>
        <v>0</v>
      </c>
      <c r="BA22" s="9" t="n">
        <f aca="false">Inputs!$F$49*IF(AND(Time!BA17&gt;=12,Time!BA17&lt;=15),1,0)</f>
        <v>0</v>
      </c>
      <c r="BB22" s="9" t="n">
        <f aca="false">Inputs!$F$49*IF(AND(Time!BB17&gt;=12,Time!BB17&lt;=15),1,0)</f>
        <v>0</v>
      </c>
      <c r="BC22" s="9" t="n">
        <f aca="false">Inputs!$F$49*IF(AND(Time!BC17&gt;=12,Time!BC17&lt;=15),1,0)</f>
        <v>0</v>
      </c>
      <c r="BD22" s="9" t="n">
        <f aca="false">Inputs!$F$49*IF(AND(Time!BD17&gt;=12,Time!BD17&lt;=15),1,0)</f>
        <v>0</v>
      </c>
      <c r="BE22" s="9" t="n">
        <f aca="false">Inputs!$F$49*IF(AND(Time!BE17&gt;=12,Time!BE17&lt;=15),1,0)</f>
        <v>0</v>
      </c>
      <c r="BF22" s="9" t="n">
        <f aca="false">Inputs!$F$49*IF(AND(Time!BF17&gt;=12,Time!BF17&lt;=15),1,0)</f>
        <v>0</v>
      </c>
      <c r="BG22" s="9" t="n">
        <f aca="false">Inputs!$F$49*IF(AND(Time!BG17&gt;=12,Time!BG17&lt;=15),1,0)</f>
        <v>0</v>
      </c>
      <c r="BH22" s="9" t="n">
        <f aca="false">Inputs!$F$49*IF(AND(Time!BH17&gt;=12,Time!BH17&lt;=15),1,0)</f>
        <v>0</v>
      </c>
      <c r="BI22" s="9" t="n">
        <f aca="false">Inputs!$F$49*IF(AND(Time!BI17&gt;=12,Time!BI17&lt;=15),1,0)</f>
        <v>0</v>
      </c>
      <c r="BJ22" s="9" t="n">
        <f aca="false">Inputs!$F$49*IF(AND(Time!BJ17&gt;=12,Time!BJ17&lt;=15),1,0)</f>
        <v>0</v>
      </c>
      <c r="BK22" s="9" t="n">
        <f aca="false">Inputs!$F$49*IF(AND(Time!BK17&gt;=12,Time!BK17&lt;=15),1,0)</f>
        <v>0</v>
      </c>
      <c r="BL22" s="9" t="n">
        <f aca="false">Inputs!$F$49*IF(AND(Time!BL17&gt;=12,Time!BL17&lt;=15),1,0)</f>
        <v>0</v>
      </c>
      <c r="BM22" s="9" t="n">
        <f aca="false">Inputs!$F$49*IF(AND(Time!BM17&gt;=12,Time!BM17&lt;=15),1,0)</f>
        <v>0</v>
      </c>
      <c r="BN22" s="9" t="n">
        <f aca="false">Inputs!$F$49*IF(AND(Time!BN17&gt;=12,Time!BN17&lt;=15),1,0)</f>
        <v>0</v>
      </c>
    </row>
    <row r="23" customFormat="false" ht="15" hidden="false" customHeight="false" outlineLevel="0" collapsed="false">
      <c r="D23" s="0" t="s">
        <v>652</v>
      </c>
      <c r="E23" s="0" t="s">
        <v>113</v>
      </c>
      <c r="J23" s="9" t="n">
        <f aca="false">Inputs!$F$48*IF(Time!J17=8,1,0)</f>
        <v>0</v>
      </c>
      <c r="K23" s="9" t="n">
        <f aca="false">Inputs!$F$48*IF(Time!K17=8,1,0)</f>
        <v>0</v>
      </c>
      <c r="L23" s="9" t="n">
        <f aca="false">Inputs!$F$48*IF(Time!L17=8,1,0)</f>
        <v>0</v>
      </c>
      <c r="M23" s="9" t="n">
        <f aca="false">Inputs!$F$48*IF(Time!M17=8,1,0)</f>
        <v>0</v>
      </c>
      <c r="N23" s="9" t="n">
        <f aca="false">Inputs!$F$48*IF(Time!N17=8,1,0)</f>
        <v>0</v>
      </c>
      <c r="O23" s="9" t="n">
        <f aca="false">Inputs!$F$48*IF(Time!O17=8,1,0)</f>
        <v>0</v>
      </c>
      <c r="P23" s="9" t="n">
        <f aca="false">Inputs!$F$48*IF(Time!P17=8,1,0)</f>
        <v>0</v>
      </c>
      <c r="Q23" s="9" t="n">
        <f aca="false">Inputs!$F$48*IF(Time!Q17=8,1,0)</f>
        <v>1</v>
      </c>
      <c r="R23" s="9" t="n">
        <f aca="false">Inputs!$F$48*IF(Time!R17=8,1,0)</f>
        <v>0</v>
      </c>
      <c r="S23" s="9" t="n">
        <f aca="false">Inputs!$F$48*IF(Time!S17=8,1,0)</f>
        <v>0</v>
      </c>
      <c r="T23" s="9" t="n">
        <f aca="false">Inputs!$F$48*IF(Time!T17=8,1,0)</f>
        <v>0</v>
      </c>
      <c r="U23" s="9" t="n">
        <f aca="false">Inputs!$F$48*IF(Time!U17=8,1,0)</f>
        <v>0</v>
      </c>
      <c r="V23" s="9" t="n">
        <f aca="false">Inputs!$F$48*IF(Time!V17=8,1,0)</f>
        <v>0</v>
      </c>
      <c r="W23" s="9" t="n">
        <f aca="false">Inputs!$F$48*IF(Time!W17=8,1,0)</f>
        <v>0</v>
      </c>
      <c r="X23" s="9" t="n">
        <f aca="false">Inputs!$F$48*IF(Time!X17=8,1,0)</f>
        <v>0</v>
      </c>
      <c r="Y23" s="9" t="n">
        <f aca="false">Inputs!$F$48*IF(Time!Y17=8,1,0)</f>
        <v>0</v>
      </c>
      <c r="Z23" s="9" t="n">
        <f aca="false">Inputs!$F$48*IF(Time!Z17=8,1,0)</f>
        <v>0</v>
      </c>
      <c r="AA23" s="9" t="n">
        <f aca="false">Inputs!$F$48*IF(Time!AA17=8,1,0)</f>
        <v>0</v>
      </c>
      <c r="AB23" s="9" t="n">
        <f aca="false">Inputs!$F$48*IF(Time!AB17=8,1,0)</f>
        <v>0</v>
      </c>
      <c r="AC23" s="9" t="n">
        <f aca="false">Inputs!$F$48*IF(Time!AC17=8,1,0)</f>
        <v>0</v>
      </c>
      <c r="AD23" s="9" t="n">
        <f aca="false">Inputs!$F$48*IF(Time!AD17=8,1,0)</f>
        <v>0</v>
      </c>
      <c r="AE23" s="9" t="n">
        <f aca="false">Inputs!$F$48*IF(Time!AE17=8,1,0)</f>
        <v>0</v>
      </c>
      <c r="AF23" s="9" t="n">
        <f aca="false">Inputs!$F$48*IF(Time!AF17=8,1,0)</f>
        <v>0</v>
      </c>
      <c r="AG23" s="9" t="n">
        <f aca="false">Inputs!$F$48*IF(Time!AG17=8,1,0)</f>
        <v>0</v>
      </c>
      <c r="AH23" s="9" t="n">
        <f aca="false">Inputs!$F$48*IF(Time!AH17=8,1,0)</f>
        <v>0</v>
      </c>
      <c r="AI23" s="9" t="n">
        <f aca="false">Inputs!$F$48*IF(Time!AI17=8,1,0)</f>
        <v>0</v>
      </c>
      <c r="AJ23" s="9" t="n">
        <f aca="false">Inputs!$F$48*IF(Time!AJ17=8,1,0)</f>
        <v>0</v>
      </c>
      <c r="AK23" s="9" t="n">
        <f aca="false">Inputs!$F$48*IF(Time!AK17=8,1,0)</f>
        <v>0</v>
      </c>
      <c r="AL23" s="9" t="n">
        <f aca="false">Inputs!$F$48*IF(Time!AL17=8,1,0)</f>
        <v>0</v>
      </c>
      <c r="AM23" s="9" t="n">
        <f aca="false">Inputs!$F$48*IF(Time!AM17=8,1,0)</f>
        <v>0</v>
      </c>
      <c r="AN23" s="9" t="n">
        <f aca="false">Inputs!$F$48*IF(Time!AN17=8,1,0)</f>
        <v>0</v>
      </c>
      <c r="AO23" s="9" t="n">
        <f aca="false">Inputs!$F$48*IF(Time!AO17=8,1,0)</f>
        <v>0</v>
      </c>
      <c r="AP23" s="9" t="n">
        <f aca="false">Inputs!$F$48*IF(Time!AP17=8,1,0)</f>
        <v>0</v>
      </c>
      <c r="AQ23" s="9" t="n">
        <f aca="false">Inputs!$F$48*IF(Time!AQ17=8,1,0)</f>
        <v>0</v>
      </c>
      <c r="AR23" s="9" t="n">
        <f aca="false">Inputs!$F$48*IF(Time!AR17=8,1,0)</f>
        <v>0</v>
      </c>
      <c r="AS23" s="9" t="n">
        <f aca="false">Inputs!$F$48*IF(Time!AS17=8,1,0)</f>
        <v>0</v>
      </c>
      <c r="AT23" s="9" t="n">
        <f aca="false">Inputs!$F$48*IF(Time!AT17=8,1,0)</f>
        <v>0</v>
      </c>
      <c r="AU23" s="9" t="n">
        <f aca="false">Inputs!$F$48*IF(Time!AU17=8,1,0)</f>
        <v>0</v>
      </c>
      <c r="AV23" s="9" t="n">
        <f aca="false">Inputs!$F$48*IF(Time!AV17=8,1,0)</f>
        <v>0</v>
      </c>
      <c r="AW23" s="9" t="n">
        <f aca="false">Inputs!$F$48*IF(Time!AW17=8,1,0)</f>
        <v>0</v>
      </c>
      <c r="AX23" s="9" t="n">
        <f aca="false">Inputs!$F$48*IF(Time!AX17=8,1,0)</f>
        <v>0</v>
      </c>
      <c r="AY23" s="9" t="n">
        <f aca="false">Inputs!$F$48*IF(Time!AY17=8,1,0)</f>
        <v>0</v>
      </c>
      <c r="AZ23" s="9" t="n">
        <f aca="false">Inputs!$F$48*IF(Time!AZ17=8,1,0)</f>
        <v>0</v>
      </c>
      <c r="BA23" s="9" t="n">
        <f aca="false">Inputs!$F$48*IF(Time!BA17=8,1,0)</f>
        <v>0</v>
      </c>
      <c r="BB23" s="9" t="n">
        <f aca="false">Inputs!$F$48*IF(Time!BB17=8,1,0)</f>
        <v>0</v>
      </c>
      <c r="BC23" s="9" t="n">
        <f aca="false">Inputs!$F$48*IF(Time!BC17=8,1,0)</f>
        <v>0</v>
      </c>
      <c r="BD23" s="9" t="n">
        <f aca="false">Inputs!$F$48*IF(Time!BD17=8,1,0)</f>
        <v>0</v>
      </c>
      <c r="BE23" s="9" t="n">
        <f aca="false">Inputs!$F$48*IF(Time!BE17=8,1,0)</f>
        <v>0</v>
      </c>
      <c r="BF23" s="9" t="n">
        <f aca="false">Inputs!$F$48*IF(Time!BF17=8,1,0)</f>
        <v>0</v>
      </c>
      <c r="BG23" s="9" t="n">
        <f aca="false">Inputs!$F$48*IF(Time!BG17=8,1,0)</f>
        <v>0</v>
      </c>
      <c r="BH23" s="9" t="n">
        <f aca="false">Inputs!$F$48*IF(Time!BH17=8,1,0)</f>
        <v>0</v>
      </c>
      <c r="BI23" s="9" t="n">
        <f aca="false">Inputs!$F$48*IF(Time!BI17=8,1,0)</f>
        <v>0</v>
      </c>
      <c r="BJ23" s="9" t="n">
        <f aca="false">Inputs!$F$48*IF(Time!BJ17=8,1,0)</f>
        <v>0</v>
      </c>
      <c r="BK23" s="9" t="n">
        <f aca="false">Inputs!$F$48*IF(Time!BK17=8,1,0)</f>
        <v>0</v>
      </c>
      <c r="BL23" s="9" t="n">
        <f aca="false">Inputs!$F$48*IF(Time!BL17=8,1,0)</f>
        <v>0</v>
      </c>
      <c r="BM23" s="9" t="n">
        <f aca="false">Inputs!$F$48*IF(Time!BM17=8,1,0)</f>
        <v>0</v>
      </c>
      <c r="BN23" s="9" t="n">
        <f aca="false">Inputs!$F$48*IF(Time!BN17=8,1,0)</f>
        <v>0</v>
      </c>
    </row>
    <row r="24" customFormat="false" ht="15" hidden="false" customHeight="false" outlineLevel="0" collapsed="false">
      <c r="B24" s="2" t="s">
        <v>653</v>
      </c>
    </row>
    <row r="25" customFormat="false" ht="15" hidden="false" customHeight="false" outlineLevel="0" collapsed="false">
      <c r="D25" s="0" t="s">
        <v>654</v>
      </c>
      <c r="E25" s="0" t="s">
        <v>149</v>
      </c>
      <c r="J25" s="11" t="n">
        <f aca="false">Time!J30*0</f>
        <v>0</v>
      </c>
      <c r="K25" s="11" t="n">
        <f aca="false">Time!K30*J38</f>
        <v>0</v>
      </c>
      <c r="L25" s="11" t="n">
        <f aca="false">Time!L30*K38</f>
        <v>0</v>
      </c>
      <c r="M25" s="11" t="n">
        <f aca="false">Time!M30*L38</f>
        <v>0</v>
      </c>
      <c r="N25" s="11" t="n">
        <f aca="false">Time!N30*M38</f>
        <v>0</v>
      </c>
      <c r="O25" s="11" t="n">
        <f aca="false">Time!O30*N38</f>
        <v>0</v>
      </c>
      <c r="P25" s="11" t="n">
        <f aca="false">Time!P30*O38</f>
        <v>0</v>
      </c>
      <c r="Q25" s="11" t="n">
        <f aca="false">Time!Q30*P38</f>
        <v>188.074786732838</v>
      </c>
      <c r="R25" s="11" t="n">
        <f aca="false">Time!R30*Q38</f>
        <v>177.736844109093</v>
      </c>
      <c r="S25" s="11" t="n">
        <f aca="false">Time!S30*R38</f>
        <v>172.768612014114</v>
      </c>
      <c r="T25" s="11" t="n">
        <f aca="false">Time!T30*S38</f>
        <v>167.625415322587</v>
      </c>
      <c r="U25" s="11" t="n">
        <f aca="false">Time!U30*T38</f>
        <v>165.471616629792</v>
      </c>
      <c r="V25" s="11" t="n">
        <f aca="false">Time!V30*U38</f>
        <v>159.129561760433</v>
      </c>
      <c r="W25" s="11" t="n">
        <f aca="false">Time!W30*V38</f>
        <v>152.534161192224</v>
      </c>
      <c r="X25" s="11" t="n">
        <f aca="false">Time!X30*W38</f>
        <v>145.622543624878</v>
      </c>
      <c r="Y25" s="11" t="n">
        <f aca="false">Time!Y30*X38</f>
        <v>138.430705613451</v>
      </c>
      <c r="Z25" s="11" t="n">
        <f aca="false">Time!Z30*Y38</f>
        <v>132.488307307774</v>
      </c>
      <c r="AA25" s="11" t="n">
        <f aca="false">Time!AA30*Z38</f>
        <v>126.266100467806</v>
      </c>
      <c r="AB25" s="11" t="n">
        <f aca="false">Time!AB30*AA38</f>
        <v>119.915002933061</v>
      </c>
      <c r="AC25" s="11" t="n">
        <f aca="false">Time!AC30*AB38</f>
        <v>113.254691924016</v>
      </c>
      <c r="AD25" s="11" t="n">
        <f aca="false">Time!AD30*AC38</f>
        <v>106.406294192639</v>
      </c>
      <c r="AE25" s="11" t="n">
        <f aca="false">Time!AE30*AD38</f>
        <v>99.232383180194</v>
      </c>
      <c r="AF25" s="11" t="n">
        <f aca="false">Time!AF30*AE38</f>
        <v>91.4849062843442</v>
      </c>
      <c r="AG25" s="11" t="n">
        <f aca="false">Time!AG30*AF38</f>
        <v>83.3210434862683</v>
      </c>
      <c r="AH25" s="11" t="n">
        <f aca="false">Time!AH30*AG38</f>
        <v>75.0939817618584</v>
      </c>
      <c r="AI25" s="11" t="n">
        <f aca="false">Time!AI30*AH38</f>
        <v>66.4421139122805</v>
      </c>
      <c r="AJ25" s="11" t="n">
        <f aca="false">Time!AJ30*AI38</f>
        <v>57.5222349347309</v>
      </c>
      <c r="AK25" s="11" t="n">
        <f aca="false">Time!AK30*AJ38</f>
        <v>48.1652242224006</v>
      </c>
      <c r="AL25" s="11" t="n">
        <f aca="false">Time!AL30*AK38</f>
        <v>38.5323540133394</v>
      </c>
      <c r="AM25" s="11" t="n">
        <f aca="false">Time!AM30*AL38</f>
        <v>28.447771347985</v>
      </c>
      <c r="AN25" s="11" t="n">
        <f aca="false">Time!AN30*AM38</f>
        <v>17.8979054328604</v>
      </c>
      <c r="AO25" s="11" t="n">
        <f aca="false">Time!AO30*AN38</f>
        <v>8.73539238687779</v>
      </c>
      <c r="AP25" s="11" t="n">
        <f aca="false">Time!AP30*AO38</f>
        <v>0</v>
      </c>
      <c r="AQ25" s="11" t="n">
        <f aca="false">Time!AQ30*AP38</f>
        <v>0</v>
      </c>
      <c r="AR25" s="11" t="n">
        <f aca="false">Time!AR30*AQ38</f>
        <v>0</v>
      </c>
      <c r="AS25" s="11" t="n">
        <f aca="false">Time!AS30*AR38</f>
        <v>0</v>
      </c>
      <c r="AT25" s="11" t="n">
        <f aca="false">Time!AT30*AS38</f>
        <v>0</v>
      </c>
      <c r="AU25" s="11" t="n">
        <f aca="false">Time!AU30*AT38</f>
        <v>0</v>
      </c>
      <c r="AV25" s="11" t="n">
        <f aca="false">Time!AV30*AU38</f>
        <v>0</v>
      </c>
      <c r="AW25" s="11" t="n">
        <f aca="false">Time!AW30*AV38</f>
        <v>0</v>
      </c>
      <c r="AX25" s="11" t="n">
        <f aca="false">Time!AX30*AW38</f>
        <v>0</v>
      </c>
      <c r="AY25" s="11" t="n">
        <f aca="false">Time!AY30*AX38</f>
        <v>0</v>
      </c>
      <c r="AZ25" s="11" t="n">
        <f aca="false">Time!AZ30*AY38</f>
        <v>0</v>
      </c>
      <c r="BA25" s="11" t="n">
        <f aca="false">Time!BA30*AZ38</f>
        <v>0</v>
      </c>
      <c r="BB25" s="11" t="n">
        <f aca="false">Time!BB30*BA38</f>
        <v>0</v>
      </c>
      <c r="BC25" s="11" t="n">
        <f aca="false">Time!BC30*BB38</f>
        <v>0</v>
      </c>
      <c r="BD25" s="11" t="n">
        <f aca="false">Time!BD30*BC38</f>
        <v>0</v>
      </c>
      <c r="BE25" s="11" t="n">
        <f aca="false">Time!BE30*BD38</f>
        <v>0</v>
      </c>
      <c r="BF25" s="11" t="n">
        <f aca="false">Time!BF30*BE38</f>
        <v>0</v>
      </c>
      <c r="BG25" s="11" t="n">
        <f aca="false">Time!BG30*BF38</f>
        <v>0</v>
      </c>
      <c r="BH25" s="11" t="n">
        <f aca="false">Time!BH30*BG38</f>
        <v>0</v>
      </c>
      <c r="BI25" s="11" t="n">
        <f aca="false">Time!BI30*BH38</f>
        <v>0</v>
      </c>
      <c r="BJ25" s="11" t="n">
        <f aca="false">Time!BJ30*BI38</f>
        <v>0</v>
      </c>
      <c r="BK25" s="11" t="n">
        <f aca="false">Time!BK30*BJ38</f>
        <v>0</v>
      </c>
      <c r="BL25" s="11" t="n">
        <f aca="false">Time!BL30*BK38</f>
        <v>0</v>
      </c>
      <c r="BM25" s="11" t="n">
        <f aca="false">Time!BM30*BL38</f>
        <v>0</v>
      </c>
      <c r="BN25" s="11" t="n">
        <f aca="false">Time!BN30*BM38</f>
        <v>0</v>
      </c>
    </row>
    <row r="26" customFormat="false" ht="15" hidden="false" customHeight="false" outlineLevel="0" collapsed="false">
      <c r="D26" s="0" t="s">
        <v>655</v>
      </c>
      <c r="E26" s="0" t="s">
        <v>149</v>
      </c>
      <c r="J26" s="11" t="n">
        <f aca="false">0</f>
        <v>0</v>
      </c>
      <c r="K26" s="11" t="n">
        <f aca="false">J35</f>
        <v>0</v>
      </c>
      <c r="L26" s="11" t="n">
        <f aca="false">K35</f>
        <v>0</v>
      </c>
      <c r="M26" s="11" t="n">
        <f aca="false">L35</f>
        <v>0</v>
      </c>
      <c r="N26" s="11" t="n">
        <f aca="false">M35</f>
        <v>0</v>
      </c>
      <c r="O26" s="11" t="n">
        <f aca="false">N35</f>
        <v>0</v>
      </c>
      <c r="P26" s="11" t="n">
        <f aca="false">O35</f>
        <v>0</v>
      </c>
      <c r="Q26" s="11" t="n">
        <f aca="false">P35</f>
        <v>0</v>
      </c>
      <c r="R26" s="11" t="n">
        <f aca="false">Q35</f>
        <v>0</v>
      </c>
      <c r="S26" s="11" t="n">
        <f aca="false">R35</f>
        <v>0</v>
      </c>
      <c r="T26" s="11" t="n">
        <f aca="false">S35</f>
        <v>0</v>
      </c>
      <c r="U26" s="11" t="n">
        <f aca="false">T35</f>
        <v>3.23069803919323</v>
      </c>
      <c r="V26" s="11" t="n">
        <f aca="false">U35</f>
        <v>2.42302352939492</v>
      </c>
      <c r="W26" s="11" t="n">
        <f aca="false">V35</f>
        <v>1.61534901959661</v>
      </c>
      <c r="X26" s="11" t="n">
        <f aca="false">W35</f>
        <v>0.807674509798307</v>
      </c>
      <c r="Y26" s="11" t="n">
        <f aca="false">X35</f>
        <v>0</v>
      </c>
      <c r="Z26" s="11" t="n">
        <f aca="false">Y35</f>
        <v>0</v>
      </c>
      <c r="AA26" s="11" t="n">
        <f aca="false">Z35</f>
        <v>0</v>
      </c>
      <c r="AB26" s="11" t="n">
        <f aca="false">AA35</f>
        <v>0</v>
      </c>
      <c r="AC26" s="11" t="n">
        <f aca="false">AB35</f>
        <v>0</v>
      </c>
      <c r="AD26" s="11" t="n">
        <f aca="false">AC35</f>
        <v>0</v>
      </c>
      <c r="AE26" s="11" t="n">
        <f aca="false">AD35</f>
        <v>0</v>
      </c>
      <c r="AF26" s="11" t="n">
        <f aca="false">AE35</f>
        <v>0</v>
      </c>
      <c r="AG26" s="11" t="n">
        <f aca="false">AF35</f>
        <v>0</v>
      </c>
      <c r="AH26" s="11" t="n">
        <f aca="false">AG35</f>
        <v>0</v>
      </c>
      <c r="AI26" s="11" t="n">
        <f aca="false">AH35</f>
        <v>0</v>
      </c>
      <c r="AJ26" s="11" t="n">
        <f aca="false">AI35</f>
        <v>0</v>
      </c>
      <c r="AK26" s="11" t="n">
        <f aca="false">AJ35</f>
        <v>0</v>
      </c>
      <c r="AL26" s="11" t="n">
        <f aca="false">AK35</f>
        <v>0</v>
      </c>
      <c r="AM26" s="11" t="n">
        <f aca="false">AL35</f>
        <v>0</v>
      </c>
      <c r="AN26" s="11" t="n">
        <f aca="false">AM35</f>
        <v>0</v>
      </c>
      <c r="AO26" s="11" t="n">
        <f aca="false">AN35</f>
        <v>0</v>
      </c>
      <c r="AP26" s="11" t="n">
        <f aca="false">AO35</f>
        <v>0</v>
      </c>
      <c r="AQ26" s="11" t="n">
        <f aca="false">AP35</f>
        <v>0</v>
      </c>
      <c r="AR26" s="11" t="n">
        <f aca="false">AQ35</f>
        <v>0</v>
      </c>
      <c r="AS26" s="11" t="n">
        <f aca="false">AR35</f>
        <v>0</v>
      </c>
      <c r="AT26" s="11" t="n">
        <f aca="false">AS35</f>
        <v>0</v>
      </c>
      <c r="AU26" s="11" t="n">
        <f aca="false">AT35</f>
        <v>0</v>
      </c>
      <c r="AV26" s="11" t="n">
        <f aca="false">AU35</f>
        <v>0</v>
      </c>
      <c r="AW26" s="11" t="n">
        <f aca="false">AV35</f>
        <v>0</v>
      </c>
      <c r="AX26" s="11" t="n">
        <f aca="false">AW35</f>
        <v>0</v>
      </c>
      <c r="AY26" s="11" t="n">
        <f aca="false">AX35</f>
        <v>0</v>
      </c>
      <c r="AZ26" s="11" t="n">
        <f aca="false">AY35</f>
        <v>0</v>
      </c>
      <c r="BA26" s="11" t="n">
        <f aca="false">AZ35</f>
        <v>0</v>
      </c>
      <c r="BB26" s="11" t="n">
        <f aca="false">BA35</f>
        <v>0</v>
      </c>
      <c r="BC26" s="11" t="n">
        <f aca="false">BB35</f>
        <v>0</v>
      </c>
      <c r="BD26" s="11" t="n">
        <f aca="false">BC35</f>
        <v>0</v>
      </c>
      <c r="BE26" s="11" t="n">
        <f aca="false">BD35</f>
        <v>0</v>
      </c>
      <c r="BF26" s="11" t="n">
        <f aca="false">BE35</f>
        <v>0</v>
      </c>
      <c r="BG26" s="11" t="n">
        <f aca="false">BF35</f>
        <v>0</v>
      </c>
      <c r="BH26" s="11" t="n">
        <f aca="false">BG35</f>
        <v>0</v>
      </c>
      <c r="BI26" s="11" t="n">
        <f aca="false">BH35</f>
        <v>0</v>
      </c>
      <c r="BJ26" s="11" t="n">
        <f aca="false">BI35</f>
        <v>0</v>
      </c>
      <c r="BK26" s="11" t="n">
        <f aca="false">BJ35</f>
        <v>0</v>
      </c>
      <c r="BL26" s="11" t="n">
        <f aca="false">BK35</f>
        <v>0</v>
      </c>
      <c r="BM26" s="11" t="n">
        <f aca="false">BL35</f>
        <v>0</v>
      </c>
      <c r="BN26" s="11" t="n">
        <f aca="false">BM35</f>
        <v>0</v>
      </c>
    </row>
    <row r="27" customFormat="false" ht="15" hidden="false" customHeight="false" outlineLevel="0" collapsed="false">
      <c r="D27" s="0" t="s">
        <v>656</v>
      </c>
      <c r="E27" s="0" t="s">
        <v>149</v>
      </c>
      <c r="G27" s="11" t="n">
        <f aca="false">SUM(J27:BN27)</f>
        <v>75.5210587779006</v>
      </c>
      <c r="J27" s="11" t="n">
        <f aca="false">J25*J10</f>
        <v>0</v>
      </c>
      <c r="K27" s="11" t="n">
        <f aca="false">K25*K10</f>
        <v>0</v>
      </c>
      <c r="L27" s="11" t="n">
        <f aca="false">L25*L10</f>
        <v>0</v>
      </c>
      <c r="M27" s="11" t="n">
        <f aca="false">M25*M10</f>
        <v>0</v>
      </c>
      <c r="N27" s="11" t="n">
        <f aca="false">N25*N10</f>
        <v>0</v>
      </c>
      <c r="O27" s="11" t="n">
        <f aca="false">O25*O10</f>
        <v>0</v>
      </c>
      <c r="P27" s="11" t="n">
        <f aca="false">P25*P10</f>
        <v>0</v>
      </c>
      <c r="Q27" s="11" t="n">
        <f aca="false">Q25*Q10</f>
        <v>1.59806101426966</v>
      </c>
      <c r="R27" s="11" t="n">
        <f aca="false">R25*R10</f>
        <v>3.89717653516538</v>
      </c>
      <c r="S27" s="11" t="n">
        <f aca="false">S25*S10</f>
        <v>5.76627269212154</v>
      </c>
      <c r="T27" s="11" t="n">
        <f aca="false">T25*T10</f>
        <v>6.63833820269554</v>
      </c>
      <c r="U27" s="11" t="n">
        <f aca="false">U25*U10</f>
        <v>6.22248347484761</v>
      </c>
      <c r="V27" s="11" t="n">
        <f aca="false">V25*V10</f>
        <v>6.098551341914</v>
      </c>
      <c r="W27" s="11" t="n">
        <f aca="false">W25*W10</f>
        <v>4.62312001225842</v>
      </c>
      <c r="X27" s="11" t="n">
        <f aca="false">X25*X10</f>
        <v>4.42724828463748</v>
      </c>
      <c r="Y27" s="11" t="n">
        <f aca="false">Y25*Y10</f>
        <v>3.75718261944892</v>
      </c>
      <c r="Z27" s="11" t="n">
        <f aca="false">Z25*Z10</f>
        <v>3.62841252063198</v>
      </c>
      <c r="AA27" s="11" t="n">
        <f aca="false">AA25*AA10</f>
        <v>3.31909756778216</v>
      </c>
      <c r="AB27" s="11" t="n">
        <f aca="false">AB25*AB10</f>
        <v>3.20439482320011</v>
      </c>
      <c r="AC27" s="11" t="n">
        <f aca="false">AC25*AC10</f>
        <v>3.02214897931845</v>
      </c>
      <c r="AD27" s="11" t="n">
        <f aca="false">AD25*AD10</f>
        <v>2.870604885969</v>
      </c>
      <c r="AE27" s="11" t="n">
        <f aca="false">AE25*AE10</f>
        <v>2.63342088085803</v>
      </c>
      <c r="AF27" s="11" t="n">
        <f aca="false">AF25*AF10</f>
        <v>2.46805906516028</v>
      </c>
      <c r="AG27" s="11" t="n">
        <f aca="false">AG25*AG10</f>
        <v>2.2111670474867</v>
      </c>
      <c r="AH27" s="11" t="n">
        <f aca="false">AH25*AH10</f>
        <v>2.02586841866888</v>
      </c>
      <c r="AI27" s="11" t="n">
        <f aca="false">AI25*AI10</f>
        <v>1.76323539289813</v>
      </c>
      <c r="AJ27" s="11" t="n">
        <f aca="false">AJ25*AJ10</f>
        <v>1.55182181569592</v>
      </c>
      <c r="AK27" s="11" t="n">
        <f aca="false">AK25*AK10</f>
        <v>1.28526669182087</v>
      </c>
      <c r="AL27" s="11" t="n">
        <f aca="false">AL25*AL10</f>
        <v>1.03951711257163</v>
      </c>
      <c r="AM27" s="11" t="n">
        <f aca="false">AM25*AM10</f>
        <v>0.754944632798165</v>
      </c>
      <c r="AN27" s="11" t="n">
        <f aca="false">AN25*AN10</f>
        <v>0.482845635909144</v>
      </c>
      <c r="AO27" s="11" t="n">
        <f aca="false">AO25*AO10</f>
        <v>0.231819129772584</v>
      </c>
      <c r="AP27" s="11" t="n">
        <f aca="false">AP25*AP10</f>
        <v>0</v>
      </c>
      <c r="AQ27" s="11" t="n">
        <f aca="false">AQ25*AQ10</f>
        <v>0</v>
      </c>
      <c r="AR27" s="11" t="n">
        <f aca="false">AR25*AR10</f>
        <v>0</v>
      </c>
      <c r="AS27" s="11" t="n">
        <f aca="false">AS25*AS10</f>
        <v>0</v>
      </c>
      <c r="AT27" s="11" t="n">
        <f aca="false">AT25*AT10</f>
        <v>0</v>
      </c>
      <c r="AU27" s="11" t="n">
        <f aca="false">AU25*AU10</f>
        <v>0</v>
      </c>
      <c r="AV27" s="11" t="n">
        <f aca="false">AV25*AV10</f>
        <v>0</v>
      </c>
      <c r="AW27" s="11" t="n">
        <f aca="false">AW25*AW10</f>
        <v>0</v>
      </c>
      <c r="AX27" s="11" t="n">
        <f aca="false">AX25*AX10</f>
        <v>0</v>
      </c>
      <c r="AY27" s="11" t="n">
        <f aca="false">AY25*AY10</f>
        <v>0</v>
      </c>
      <c r="AZ27" s="11" t="n">
        <f aca="false">AZ25*AZ10</f>
        <v>0</v>
      </c>
      <c r="BA27" s="11" t="n">
        <f aca="false">BA25*BA10</f>
        <v>0</v>
      </c>
      <c r="BB27" s="11" t="n">
        <f aca="false">BB25*BB10</f>
        <v>0</v>
      </c>
      <c r="BC27" s="11" t="n">
        <f aca="false">BC25*BC10</f>
        <v>0</v>
      </c>
      <c r="BD27" s="11" t="n">
        <f aca="false">BD25*BD10</f>
        <v>0</v>
      </c>
      <c r="BE27" s="11" t="n">
        <f aca="false">BE25*BE10</f>
        <v>0</v>
      </c>
      <c r="BF27" s="11" t="n">
        <f aca="false">BF25*BF10</f>
        <v>0</v>
      </c>
      <c r="BG27" s="11" t="n">
        <f aca="false">BG25*BG10</f>
        <v>0</v>
      </c>
      <c r="BH27" s="11" t="n">
        <f aca="false">BH25*BH10</f>
        <v>0</v>
      </c>
      <c r="BI27" s="11" t="n">
        <f aca="false">BI25*BI10</f>
        <v>0</v>
      </c>
      <c r="BJ27" s="11" t="n">
        <f aca="false">BJ25*BJ10</f>
        <v>0</v>
      </c>
      <c r="BK27" s="11" t="n">
        <f aca="false">BK25*BK10</f>
        <v>0</v>
      </c>
      <c r="BL27" s="11" t="n">
        <f aca="false">BL25*BL10</f>
        <v>0</v>
      </c>
      <c r="BM27" s="11" t="n">
        <f aca="false">BM25*BM10</f>
        <v>0</v>
      </c>
      <c r="BN27" s="11" t="n">
        <f aca="false">BN25*BN10</f>
        <v>0</v>
      </c>
    </row>
    <row r="28" customFormat="false" ht="15" hidden="false" customHeight="false" outlineLevel="0" collapsed="false">
      <c r="D28" s="0" t="s">
        <v>657</v>
      </c>
      <c r="E28" s="0" t="s">
        <v>149</v>
      </c>
      <c r="G28" s="11" t="n">
        <f aca="false">SUM(J28:BN28)</f>
        <v>182.529286732847</v>
      </c>
      <c r="J28" s="11" t="n">
        <f aca="false">Time!J30*(J25-J26)*J19</f>
        <v>0</v>
      </c>
      <c r="K28" s="11" t="n">
        <f aca="false">Time!K30*(K25-K26)*K19</f>
        <v>0</v>
      </c>
      <c r="L28" s="11" t="n">
        <f aca="false">Time!L30*(L25-L26)*L19</f>
        <v>0</v>
      </c>
      <c r="M28" s="11" t="n">
        <f aca="false">Time!M30*(M25-M26)*M19</f>
        <v>0</v>
      </c>
      <c r="N28" s="11" t="n">
        <f aca="false">Time!N30*(N25-N26)*N19</f>
        <v>0</v>
      </c>
      <c r="O28" s="11" t="n">
        <f aca="false">Time!O30*(O25-O26)*O19</f>
        <v>0</v>
      </c>
      <c r="P28" s="11" t="n">
        <f aca="false">Time!P30*(P25-P26)*P19</f>
        <v>0</v>
      </c>
      <c r="Q28" s="11" t="n">
        <f aca="false">Time!Q30*(Q25-Q26)*Q19</f>
        <v>4.79244262375444</v>
      </c>
      <c r="R28" s="11" t="n">
        <f aca="false">Time!R30*(R25-R26)*R19</f>
        <v>4.96823209497855</v>
      </c>
      <c r="S28" s="11" t="n">
        <f aca="false">Time!S30*(S25-S26)*S19</f>
        <v>5.14319669152721</v>
      </c>
      <c r="T28" s="11" t="n">
        <f aca="false">Time!T30*(T25-T26)*T19</f>
        <v>5.38449673198871</v>
      </c>
      <c r="U28" s="11" t="n">
        <f aca="false">Time!U30*(U25-U26)*U19</f>
        <v>5.53438035956056</v>
      </c>
      <c r="V28" s="11" t="n">
        <f aca="false">Time!V30*(V25-V26)*V19</f>
        <v>5.78772605841044</v>
      </c>
      <c r="W28" s="11" t="n">
        <f aca="false">Time!W30*(W25-W26)*W19</f>
        <v>6.10394305754793</v>
      </c>
      <c r="X28" s="11" t="n">
        <f aca="false">Time!X30*(X25-X26)*X19</f>
        <v>6.3841635016286</v>
      </c>
      <c r="Y28" s="11" t="n">
        <f aca="false">Time!Y30*(Y25-Y26)*Y19</f>
        <v>5.94239830567695</v>
      </c>
      <c r="Z28" s="11" t="n">
        <f aca="false">Time!Z30*(Z25-Z26)*Z19</f>
        <v>6.22220683996783</v>
      </c>
      <c r="AA28" s="11" t="n">
        <f aca="false">Time!AA30*(AA25-AA26)*AA19</f>
        <v>6.35109753474519</v>
      </c>
      <c r="AB28" s="11" t="n">
        <f aca="false">Time!AB30*(AB25-AB26)*AB19</f>
        <v>6.66031100904462</v>
      </c>
      <c r="AC28" s="11" t="n">
        <f aca="false">Time!AC30*(AC25-AC26)*AC19</f>
        <v>6.84839773137718</v>
      </c>
      <c r="AD28" s="11" t="n">
        <f aca="false">Time!AD30*(AD25-AD26)*AD19</f>
        <v>7.17391101244505</v>
      </c>
      <c r="AE28" s="11" t="n">
        <f aca="false">Time!AE30*(AE25-AE26)*AE19</f>
        <v>7.74747689584978</v>
      </c>
      <c r="AF28" s="11" t="n">
        <f aca="false">Time!AF30*(AF25-AF26)*AF19</f>
        <v>8.16386279807594</v>
      </c>
      <c r="AG28" s="11" t="n">
        <f aca="false">Time!AG30*(AG25-AG26)*AG19</f>
        <v>8.22706172440993</v>
      </c>
      <c r="AH28" s="11" t="n">
        <f aca="false">Time!AH30*(AH25-AH26)*AH19</f>
        <v>8.65186784957787</v>
      </c>
      <c r="AI28" s="11" t="n">
        <f aca="false">Time!AI30*(AI25-AI26)*AI19</f>
        <v>8.91987897754961</v>
      </c>
      <c r="AJ28" s="11" t="n">
        <f aca="false">Time!AJ30*(AJ25-AJ26)*AJ19</f>
        <v>9.35701071233024</v>
      </c>
      <c r="AK28" s="11" t="n">
        <f aca="false">Time!AK30*(AK25-AK26)*AK19</f>
        <v>9.63287020906129</v>
      </c>
      <c r="AL28" s="11" t="n">
        <f aca="false">Time!AL30*(AL25-AL26)*AL19</f>
        <v>10.0845826653544</v>
      </c>
      <c r="AM28" s="11" t="n">
        <f aca="false">Time!AM30*(AM25-AM26)*AM19</f>
        <v>10.5498659151245</v>
      </c>
      <c r="AN28" s="11" t="n">
        <f aca="false">Time!AN30*(AN25-AN26)*AN19</f>
        <v>9.16251304598266</v>
      </c>
      <c r="AO28" s="11" t="n">
        <f aca="false">Time!AO30*(AO25-AO26)*AO19</f>
        <v>8.73539238687779</v>
      </c>
      <c r="AP28" s="11" t="n">
        <f aca="false">Time!AP30*(AP25-AP26)*AP19</f>
        <v>0</v>
      </c>
      <c r="AQ28" s="11" t="n">
        <f aca="false">Time!AQ30*(AQ25-AQ26)*AQ19</f>
        <v>0</v>
      </c>
      <c r="AR28" s="11" t="n">
        <f aca="false">Time!AR30*(AR25-AR26)*AR19</f>
        <v>0</v>
      </c>
      <c r="AS28" s="11" t="n">
        <f aca="false">Time!AS30*(AS25-AS26)*AS19</f>
        <v>0</v>
      </c>
      <c r="AT28" s="11" t="n">
        <f aca="false">Time!AT30*(AT25-AT26)*AT19</f>
        <v>0</v>
      </c>
      <c r="AU28" s="11" t="n">
        <f aca="false">Time!AU30*(AU25-AU26)*AU19</f>
        <v>0</v>
      </c>
      <c r="AV28" s="11" t="n">
        <f aca="false">Time!AV30*(AV25-AV26)*AV19</f>
        <v>0</v>
      </c>
      <c r="AW28" s="11" t="n">
        <f aca="false">Time!AW30*(AW25-AW26)*AW19</f>
        <v>0</v>
      </c>
      <c r="AX28" s="11" t="n">
        <f aca="false">Time!AX30*(AX25-AX26)*AX19</f>
        <v>0</v>
      </c>
      <c r="AY28" s="11" t="n">
        <f aca="false">Time!AY30*(AY25-AY26)*AY19</f>
        <v>0</v>
      </c>
      <c r="AZ28" s="11" t="n">
        <f aca="false">Time!AZ30*(AZ25-AZ26)*AZ19</f>
        <v>0</v>
      </c>
      <c r="BA28" s="11" t="n">
        <f aca="false">Time!BA30*(BA25-BA26)*BA19</f>
        <v>0</v>
      </c>
      <c r="BB28" s="11" t="n">
        <f aca="false">Time!BB30*(BB25-BB26)*BB19</f>
        <v>0</v>
      </c>
      <c r="BC28" s="11" t="n">
        <f aca="false">Time!BC30*(BC25-BC26)*BC19</f>
        <v>0</v>
      </c>
      <c r="BD28" s="11" t="n">
        <f aca="false">Time!BD30*(BD25-BD26)*BD19</f>
        <v>0</v>
      </c>
      <c r="BE28" s="11" t="n">
        <f aca="false">Time!BE30*(BE25-BE26)*BE19</f>
        <v>0</v>
      </c>
      <c r="BF28" s="11" t="n">
        <f aca="false">Time!BF30*(BF25-BF26)*BF19</f>
        <v>0</v>
      </c>
      <c r="BG28" s="11" t="n">
        <f aca="false">Time!BG30*(BG25-BG26)*BG19</f>
        <v>0</v>
      </c>
      <c r="BH28" s="11" t="n">
        <f aca="false">Time!BH30*(BH25-BH26)*BH19</f>
        <v>0</v>
      </c>
      <c r="BI28" s="11" t="n">
        <f aca="false">Time!BI30*(BI25-BI26)*BI19</f>
        <v>0</v>
      </c>
      <c r="BJ28" s="11" t="n">
        <f aca="false">Time!BJ30*(BJ25-BJ26)*BJ19</f>
        <v>0</v>
      </c>
      <c r="BK28" s="11" t="n">
        <f aca="false">Time!BK30*(BK25-BK26)*BK19</f>
        <v>0</v>
      </c>
      <c r="BL28" s="11" t="n">
        <f aca="false">Time!BL30*(BL25-BL26)*BL19</f>
        <v>0</v>
      </c>
      <c r="BM28" s="11" t="n">
        <f aca="false">Time!BM30*(BM25-BM26)*BM19</f>
        <v>0</v>
      </c>
      <c r="BN28" s="11" t="n">
        <f aca="false">Time!BN30*(BN25-BN26)*BN19</f>
        <v>0</v>
      </c>
    </row>
    <row r="29" customFormat="false" ht="15" hidden="false" customHeight="false" outlineLevel="0" collapsed="false">
      <c r="D29" s="0" t="s">
        <v>658</v>
      </c>
      <c r="E29" s="0" t="s">
        <v>149</v>
      </c>
      <c r="G29" s="11" t="n">
        <f aca="false">SUM(J29:BN29)</f>
        <v>3.23069803919323</v>
      </c>
      <c r="J29" s="11" t="n">
        <f aca="false">J21*Inputs!$F$194*J28</f>
        <v>0</v>
      </c>
      <c r="K29" s="11" t="n">
        <f aca="false">K21*Inputs!$F$194*K28</f>
        <v>0</v>
      </c>
      <c r="L29" s="11" t="n">
        <f aca="false">L21*Inputs!$F$194*L28</f>
        <v>0</v>
      </c>
      <c r="M29" s="11" t="n">
        <f aca="false">M21*Inputs!$F$194*M28</f>
        <v>0</v>
      </c>
      <c r="N29" s="11" t="n">
        <f aca="false">N21*Inputs!$F$194*N28</f>
        <v>0</v>
      </c>
      <c r="O29" s="11" t="n">
        <f aca="false">O21*Inputs!$F$194*O28</f>
        <v>0</v>
      </c>
      <c r="P29" s="11" t="n">
        <f aca="false">P21*Inputs!$F$194*P28</f>
        <v>0</v>
      </c>
      <c r="Q29" s="11" t="n">
        <f aca="false">Q21*Inputs!$F$194*Q28</f>
        <v>0</v>
      </c>
      <c r="R29" s="11" t="n">
        <f aca="false">R21*Inputs!$F$194*R28</f>
        <v>0</v>
      </c>
      <c r="S29" s="11" t="n">
        <f aca="false">S21*Inputs!$F$194*S28</f>
        <v>0</v>
      </c>
      <c r="T29" s="11" t="n">
        <f aca="false">T21*Inputs!$F$194*T28</f>
        <v>3.23069803919323</v>
      </c>
      <c r="U29" s="11" t="n">
        <f aca="false">U21*Inputs!$F$194*U28</f>
        <v>0</v>
      </c>
      <c r="V29" s="11" t="n">
        <f aca="false">V21*Inputs!$F$194*V28</f>
        <v>0</v>
      </c>
      <c r="W29" s="11" t="n">
        <f aca="false">W21*Inputs!$F$194*W28</f>
        <v>0</v>
      </c>
      <c r="X29" s="11" t="n">
        <f aca="false">X21*Inputs!$F$194*X28</f>
        <v>0</v>
      </c>
      <c r="Y29" s="11" t="n">
        <f aca="false">Y21*Inputs!$F$194*Y28</f>
        <v>0</v>
      </c>
      <c r="Z29" s="11" t="n">
        <f aca="false">Z21*Inputs!$F$194*Z28</f>
        <v>0</v>
      </c>
      <c r="AA29" s="11" t="n">
        <f aca="false">AA21*Inputs!$F$194*AA28</f>
        <v>0</v>
      </c>
      <c r="AB29" s="11" t="n">
        <f aca="false">AB21*Inputs!$F$194*AB28</f>
        <v>0</v>
      </c>
      <c r="AC29" s="11" t="n">
        <f aca="false">AC21*Inputs!$F$194*AC28</f>
        <v>0</v>
      </c>
      <c r="AD29" s="11" t="n">
        <f aca="false">AD21*Inputs!$F$194*AD28</f>
        <v>0</v>
      </c>
      <c r="AE29" s="11" t="n">
        <f aca="false">AE21*Inputs!$F$194*AE28</f>
        <v>0</v>
      </c>
      <c r="AF29" s="11" t="n">
        <f aca="false">AF21*Inputs!$F$194*AF28</f>
        <v>0</v>
      </c>
      <c r="AG29" s="11" t="n">
        <f aca="false">AG21*Inputs!$F$194*AG28</f>
        <v>0</v>
      </c>
      <c r="AH29" s="11" t="n">
        <f aca="false">AH21*Inputs!$F$194*AH28</f>
        <v>0</v>
      </c>
      <c r="AI29" s="11" t="n">
        <f aca="false">AI21*Inputs!$F$194*AI28</f>
        <v>0</v>
      </c>
      <c r="AJ29" s="11" t="n">
        <f aca="false">AJ21*Inputs!$F$194*AJ28</f>
        <v>0</v>
      </c>
      <c r="AK29" s="11" t="n">
        <f aca="false">AK21*Inputs!$F$194*AK28</f>
        <v>0</v>
      </c>
      <c r="AL29" s="11" t="n">
        <f aca="false">AL21*Inputs!$F$194*AL28</f>
        <v>0</v>
      </c>
      <c r="AM29" s="11" t="n">
        <f aca="false">AM21*Inputs!$F$194*AM28</f>
        <v>0</v>
      </c>
      <c r="AN29" s="11" t="n">
        <f aca="false">AN21*Inputs!$F$194*AN28</f>
        <v>0</v>
      </c>
      <c r="AO29" s="11" t="n">
        <f aca="false">AO21*Inputs!$F$194*AO28</f>
        <v>0</v>
      </c>
      <c r="AP29" s="11" t="n">
        <f aca="false">AP21*Inputs!$F$194*AP28</f>
        <v>0</v>
      </c>
      <c r="AQ29" s="11" t="n">
        <f aca="false">AQ21*Inputs!$F$194*AQ28</f>
        <v>0</v>
      </c>
      <c r="AR29" s="11" t="n">
        <f aca="false">AR21*Inputs!$F$194*AR28</f>
        <v>0</v>
      </c>
      <c r="AS29" s="11" t="n">
        <f aca="false">AS21*Inputs!$F$194*AS28</f>
        <v>0</v>
      </c>
      <c r="AT29" s="11" t="n">
        <f aca="false">AT21*Inputs!$F$194*AT28</f>
        <v>0</v>
      </c>
      <c r="AU29" s="11" t="n">
        <f aca="false">AU21*Inputs!$F$194*AU28</f>
        <v>0</v>
      </c>
      <c r="AV29" s="11" t="n">
        <f aca="false">AV21*Inputs!$F$194*AV28</f>
        <v>0</v>
      </c>
      <c r="AW29" s="11" t="n">
        <f aca="false">AW21*Inputs!$F$194*AW28</f>
        <v>0</v>
      </c>
      <c r="AX29" s="11" t="n">
        <f aca="false">AX21*Inputs!$F$194*AX28</f>
        <v>0</v>
      </c>
      <c r="AY29" s="11" t="n">
        <f aca="false">AY21*Inputs!$F$194*AY28</f>
        <v>0</v>
      </c>
      <c r="AZ29" s="11" t="n">
        <f aca="false">AZ21*Inputs!$F$194*AZ28</f>
        <v>0</v>
      </c>
      <c r="BA29" s="11" t="n">
        <f aca="false">BA21*Inputs!$F$194*BA28</f>
        <v>0</v>
      </c>
      <c r="BB29" s="11" t="n">
        <f aca="false">BB21*Inputs!$F$194*BB28</f>
        <v>0</v>
      </c>
      <c r="BC29" s="11" t="n">
        <f aca="false">BC21*Inputs!$F$194*BC28</f>
        <v>0</v>
      </c>
      <c r="BD29" s="11" t="n">
        <f aca="false">BD21*Inputs!$F$194*BD28</f>
        <v>0</v>
      </c>
      <c r="BE29" s="11" t="n">
        <f aca="false">BE21*Inputs!$F$194*BE28</f>
        <v>0</v>
      </c>
      <c r="BF29" s="11" t="n">
        <f aca="false">BF21*Inputs!$F$194*BF28</f>
        <v>0</v>
      </c>
      <c r="BG29" s="11" t="n">
        <f aca="false">BG21*Inputs!$F$194*BG28</f>
        <v>0</v>
      </c>
      <c r="BH29" s="11" t="n">
        <f aca="false">BH21*Inputs!$F$194*BH28</f>
        <v>0</v>
      </c>
      <c r="BI29" s="11" t="n">
        <f aca="false">BI21*Inputs!$F$194*BI28</f>
        <v>0</v>
      </c>
      <c r="BJ29" s="11" t="n">
        <f aca="false">BJ21*Inputs!$F$194*BJ28</f>
        <v>0</v>
      </c>
      <c r="BK29" s="11" t="n">
        <f aca="false">BK21*Inputs!$F$194*BK28</f>
        <v>0</v>
      </c>
      <c r="BL29" s="11" t="n">
        <f aca="false">BL21*Inputs!$F$194*BL28</f>
        <v>0</v>
      </c>
      <c r="BM29" s="11" t="n">
        <f aca="false">BM21*Inputs!$F$194*BM28</f>
        <v>0</v>
      </c>
      <c r="BN29" s="11" t="n">
        <f aca="false">BN21*Inputs!$F$194*BN28</f>
        <v>0</v>
      </c>
    </row>
    <row r="30" customFormat="false" ht="15" hidden="false" customHeight="false" outlineLevel="0" collapsed="false">
      <c r="D30" s="0" t="s">
        <v>659</v>
      </c>
      <c r="E30" s="0" t="s">
        <v>149</v>
      </c>
      <c r="F30" s="15" t="n">
        <f aca="false">$T$29</f>
        <v>3.23069803919323</v>
      </c>
    </row>
    <row r="31" customFormat="false" ht="15" hidden="false" customHeight="false" outlineLevel="0" collapsed="false">
      <c r="D31" s="0" t="s">
        <v>660</v>
      </c>
      <c r="E31" s="0" t="s">
        <v>149</v>
      </c>
      <c r="G31" s="11" t="n">
        <f aca="false">SUM(J31:BN31)</f>
        <v>3.23069803919323</v>
      </c>
      <c r="J31" s="11" t="n">
        <f aca="false">0</f>
        <v>0</v>
      </c>
      <c r="K31" s="11" t="n">
        <f aca="false">0</f>
        <v>0</v>
      </c>
      <c r="L31" s="11" t="n">
        <f aca="false">0</f>
        <v>0</v>
      </c>
      <c r="M31" s="11" t="n">
        <f aca="false">0</f>
        <v>0</v>
      </c>
      <c r="N31" s="11" t="n">
        <f aca="false">0</f>
        <v>0</v>
      </c>
      <c r="O31" s="11" t="n">
        <f aca="false">0</f>
        <v>0</v>
      </c>
      <c r="P31" s="11" t="n">
        <f aca="false">0</f>
        <v>0</v>
      </c>
      <c r="Q31" s="11" t="n">
        <f aca="false">0</f>
        <v>0</v>
      </c>
      <c r="R31" s="11" t="n">
        <f aca="false">0</f>
        <v>0</v>
      </c>
      <c r="S31" s="11" t="n">
        <f aca="false">0</f>
        <v>0</v>
      </c>
      <c r="T31" s="11" t="n">
        <f aca="false">0</f>
        <v>0</v>
      </c>
      <c r="U31" s="11" t="n">
        <f aca="false">U22*MIN($F$30/4,U26)</f>
        <v>0.807674509798307</v>
      </c>
      <c r="V31" s="11" t="n">
        <f aca="false">V22*MIN($F$30/4,V26)</f>
        <v>0.807674509798307</v>
      </c>
      <c r="W31" s="11" t="n">
        <f aca="false">W22*MIN($F$30/4,W26)</f>
        <v>0.807674509798307</v>
      </c>
      <c r="X31" s="11" t="n">
        <f aca="false">X22*MIN($F$30/4,X26)</f>
        <v>0.807674509798307</v>
      </c>
      <c r="Y31" s="11" t="n">
        <f aca="false">0</f>
        <v>0</v>
      </c>
      <c r="Z31" s="11" t="n">
        <f aca="false">0</f>
        <v>0</v>
      </c>
      <c r="AA31" s="11" t="n">
        <f aca="false">0</f>
        <v>0</v>
      </c>
      <c r="AB31" s="11" t="n">
        <f aca="false">0</f>
        <v>0</v>
      </c>
      <c r="AC31" s="11" t="n">
        <f aca="false">0</f>
        <v>0</v>
      </c>
      <c r="AD31" s="11" t="n">
        <f aca="false">0</f>
        <v>0</v>
      </c>
      <c r="AE31" s="11" t="n">
        <f aca="false">0</f>
        <v>0</v>
      </c>
      <c r="AF31" s="11" t="n">
        <f aca="false">0</f>
        <v>0</v>
      </c>
      <c r="AG31" s="11" t="n">
        <f aca="false">0</f>
        <v>0</v>
      </c>
      <c r="AH31" s="11" t="n">
        <f aca="false">0</f>
        <v>0</v>
      </c>
      <c r="AI31" s="11" t="n">
        <f aca="false">0</f>
        <v>0</v>
      </c>
      <c r="AJ31" s="11" t="n">
        <f aca="false">0</f>
        <v>0</v>
      </c>
      <c r="AK31" s="11" t="n">
        <f aca="false">0</f>
        <v>0</v>
      </c>
      <c r="AL31" s="11" t="n">
        <f aca="false">0</f>
        <v>0</v>
      </c>
      <c r="AM31" s="11" t="n">
        <f aca="false">0</f>
        <v>0</v>
      </c>
      <c r="AN31" s="11" t="n">
        <f aca="false">0</f>
        <v>0</v>
      </c>
      <c r="AO31" s="11" t="n">
        <f aca="false">0</f>
        <v>0</v>
      </c>
      <c r="AP31" s="11" t="n">
        <f aca="false">0</f>
        <v>0</v>
      </c>
      <c r="AQ31" s="11" t="n">
        <f aca="false">0</f>
        <v>0</v>
      </c>
      <c r="AR31" s="11" t="n">
        <f aca="false">0</f>
        <v>0</v>
      </c>
      <c r="AS31" s="11" t="n">
        <f aca="false">0</f>
        <v>0</v>
      </c>
      <c r="AT31" s="11" t="n">
        <f aca="false">0</f>
        <v>0</v>
      </c>
      <c r="AU31" s="11" t="n">
        <f aca="false">0</f>
        <v>0</v>
      </c>
      <c r="AV31" s="11" t="n">
        <f aca="false">0</f>
        <v>0</v>
      </c>
      <c r="AW31" s="11" t="n">
        <f aca="false">0</f>
        <v>0</v>
      </c>
      <c r="AX31" s="11" t="n">
        <f aca="false">0</f>
        <v>0</v>
      </c>
      <c r="AY31" s="11" t="n">
        <f aca="false">0</f>
        <v>0</v>
      </c>
      <c r="AZ31" s="11" t="n">
        <f aca="false">0</f>
        <v>0</v>
      </c>
      <c r="BA31" s="11" t="n">
        <f aca="false">0</f>
        <v>0</v>
      </c>
      <c r="BB31" s="11" t="n">
        <f aca="false">0</f>
        <v>0</v>
      </c>
      <c r="BC31" s="11" t="n">
        <f aca="false">0</f>
        <v>0</v>
      </c>
      <c r="BD31" s="11" t="n">
        <f aca="false">0</f>
        <v>0</v>
      </c>
      <c r="BE31" s="11" t="n">
        <f aca="false">0</f>
        <v>0</v>
      </c>
      <c r="BF31" s="11" t="n">
        <f aca="false">0</f>
        <v>0</v>
      </c>
      <c r="BG31" s="11" t="n">
        <f aca="false">0</f>
        <v>0</v>
      </c>
      <c r="BH31" s="11" t="n">
        <f aca="false">0</f>
        <v>0</v>
      </c>
      <c r="BI31" s="11" t="n">
        <f aca="false">0</f>
        <v>0</v>
      </c>
      <c r="BJ31" s="11" t="n">
        <f aca="false">0</f>
        <v>0</v>
      </c>
      <c r="BK31" s="11" t="n">
        <f aca="false">0</f>
        <v>0</v>
      </c>
      <c r="BL31" s="11" t="n">
        <f aca="false">0</f>
        <v>0</v>
      </c>
      <c r="BM31" s="11" t="n">
        <f aca="false">0</f>
        <v>0</v>
      </c>
      <c r="BN31" s="11" t="n">
        <f aca="false">0</f>
        <v>0</v>
      </c>
    </row>
    <row r="32" customFormat="false" ht="15" hidden="false" customHeight="false" outlineLevel="0" collapsed="false">
      <c r="D32" s="0" t="s">
        <v>661</v>
      </c>
      <c r="E32" s="0" t="s">
        <v>149</v>
      </c>
      <c r="G32" s="11" t="n">
        <f aca="false">SUM(J32:BN32)</f>
        <v>182.529286732847</v>
      </c>
      <c r="J32" s="11" t="n">
        <f aca="false">J28-J29+J31</f>
        <v>0</v>
      </c>
      <c r="K32" s="11" t="n">
        <f aca="false">K28-K29+K31</f>
        <v>0</v>
      </c>
      <c r="L32" s="11" t="n">
        <f aca="false">L28-L29+L31</f>
        <v>0</v>
      </c>
      <c r="M32" s="11" t="n">
        <f aca="false">M28-M29+M31</f>
        <v>0</v>
      </c>
      <c r="N32" s="11" t="n">
        <f aca="false">N28-N29+N31</f>
        <v>0</v>
      </c>
      <c r="O32" s="11" t="n">
        <f aca="false">O28-O29+O31</f>
        <v>0</v>
      </c>
      <c r="P32" s="11" t="n">
        <f aca="false">P28-P29+P31</f>
        <v>0</v>
      </c>
      <c r="Q32" s="11" t="n">
        <f aca="false">Q28-Q29+Q31</f>
        <v>4.79244262375444</v>
      </c>
      <c r="R32" s="11" t="n">
        <f aca="false">R28-R29+R31</f>
        <v>4.96823209497855</v>
      </c>
      <c r="S32" s="11" t="n">
        <f aca="false">S28-S29+S31</f>
        <v>5.14319669152721</v>
      </c>
      <c r="T32" s="11" t="n">
        <f aca="false">T28-T29+T31</f>
        <v>2.15379869279548</v>
      </c>
      <c r="U32" s="11" t="n">
        <f aca="false">U28-U29+U31</f>
        <v>6.34205486935886</v>
      </c>
      <c r="V32" s="11" t="n">
        <f aca="false">V28-V29+V31</f>
        <v>6.59540056820874</v>
      </c>
      <c r="W32" s="11" t="n">
        <f aca="false">W28-W29+W31</f>
        <v>6.91161756734624</v>
      </c>
      <c r="X32" s="11" t="n">
        <f aca="false">X28-X29+X31</f>
        <v>7.1918380114269</v>
      </c>
      <c r="Y32" s="11" t="n">
        <f aca="false">Y28-Y29+Y31</f>
        <v>5.94239830567695</v>
      </c>
      <c r="Z32" s="11" t="n">
        <f aca="false">Z28-Z29+Z31</f>
        <v>6.22220683996783</v>
      </c>
      <c r="AA32" s="11" t="n">
        <f aca="false">AA28-AA29+AA31</f>
        <v>6.35109753474519</v>
      </c>
      <c r="AB32" s="11" t="n">
        <f aca="false">AB28-AB29+AB31</f>
        <v>6.66031100904462</v>
      </c>
      <c r="AC32" s="11" t="n">
        <f aca="false">AC28-AC29+AC31</f>
        <v>6.84839773137718</v>
      </c>
      <c r="AD32" s="11" t="n">
        <f aca="false">AD28-AD29+AD31</f>
        <v>7.17391101244505</v>
      </c>
      <c r="AE32" s="11" t="n">
        <f aca="false">AE28-AE29+AE31</f>
        <v>7.74747689584978</v>
      </c>
      <c r="AF32" s="11" t="n">
        <f aca="false">AF28-AF29+AF31</f>
        <v>8.16386279807594</v>
      </c>
      <c r="AG32" s="11" t="n">
        <f aca="false">AG28-AG29+AG31</f>
        <v>8.22706172440993</v>
      </c>
      <c r="AH32" s="11" t="n">
        <f aca="false">AH28-AH29+AH31</f>
        <v>8.65186784957787</v>
      </c>
      <c r="AI32" s="11" t="n">
        <f aca="false">AI28-AI29+AI31</f>
        <v>8.91987897754961</v>
      </c>
      <c r="AJ32" s="11" t="n">
        <f aca="false">AJ28-AJ29+AJ31</f>
        <v>9.35701071233024</v>
      </c>
      <c r="AK32" s="11" t="n">
        <f aca="false">AK28-AK29+AK31</f>
        <v>9.63287020906129</v>
      </c>
      <c r="AL32" s="11" t="n">
        <f aca="false">AL28-AL29+AL31</f>
        <v>10.0845826653544</v>
      </c>
      <c r="AM32" s="11" t="n">
        <f aca="false">AM28-AM29+AM31</f>
        <v>10.5498659151245</v>
      </c>
      <c r="AN32" s="11" t="n">
        <f aca="false">AN28-AN29+AN31</f>
        <v>9.16251304598266</v>
      </c>
      <c r="AO32" s="11" t="n">
        <f aca="false">AO28-AO29+AO31</f>
        <v>8.73539238687779</v>
      </c>
      <c r="AP32" s="11" t="n">
        <f aca="false">AP28-AP29+AP31</f>
        <v>0</v>
      </c>
      <c r="AQ32" s="11" t="n">
        <f aca="false">AQ28-AQ29+AQ31</f>
        <v>0</v>
      </c>
      <c r="AR32" s="11" t="n">
        <f aca="false">AR28-AR29+AR31</f>
        <v>0</v>
      </c>
      <c r="AS32" s="11" t="n">
        <f aca="false">AS28-AS29+AS31</f>
        <v>0</v>
      </c>
      <c r="AT32" s="11" t="n">
        <f aca="false">AT28-AT29+AT31</f>
        <v>0</v>
      </c>
      <c r="AU32" s="11" t="n">
        <f aca="false">AU28-AU29+AU31</f>
        <v>0</v>
      </c>
      <c r="AV32" s="11" t="n">
        <f aca="false">AV28-AV29+AV31</f>
        <v>0</v>
      </c>
      <c r="AW32" s="11" t="n">
        <f aca="false">AW28-AW29+AW31</f>
        <v>0</v>
      </c>
      <c r="AX32" s="11" t="n">
        <f aca="false">AX28-AX29+AX31</f>
        <v>0</v>
      </c>
      <c r="AY32" s="11" t="n">
        <f aca="false">AY28-AY29+AY31</f>
        <v>0</v>
      </c>
      <c r="AZ32" s="11" t="n">
        <f aca="false">AZ28-AZ29+AZ31</f>
        <v>0</v>
      </c>
      <c r="BA32" s="11" t="n">
        <f aca="false">BA28-BA29+BA31</f>
        <v>0</v>
      </c>
      <c r="BB32" s="11" t="n">
        <f aca="false">BB28-BB29+BB31</f>
        <v>0</v>
      </c>
      <c r="BC32" s="11" t="n">
        <f aca="false">BC28-BC29+BC31</f>
        <v>0</v>
      </c>
      <c r="BD32" s="11" t="n">
        <f aca="false">BD28-BD29+BD31</f>
        <v>0</v>
      </c>
      <c r="BE32" s="11" t="n">
        <f aca="false">BE28-BE29+BE31</f>
        <v>0</v>
      </c>
      <c r="BF32" s="11" t="n">
        <f aca="false">BF28-BF29+BF31</f>
        <v>0</v>
      </c>
      <c r="BG32" s="11" t="n">
        <f aca="false">BG28-BG29+BG31</f>
        <v>0</v>
      </c>
      <c r="BH32" s="11" t="n">
        <f aca="false">BH28-BH29+BH31</f>
        <v>0</v>
      </c>
      <c r="BI32" s="11" t="n">
        <f aca="false">BI28-BI29+BI31</f>
        <v>0</v>
      </c>
      <c r="BJ32" s="11" t="n">
        <f aca="false">BJ28-BJ29+BJ31</f>
        <v>0</v>
      </c>
      <c r="BK32" s="11" t="n">
        <f aca="false">BK28-BK29+BK31</f>
        <v>0</v>
      </c>
      <c r="BL32" s="11" t="n">
        <f aca="false">BL28-BL29+BL31</f>
        <v>0</v>
      </c>
      <c r="BM32" s="11" t="n">
        <f aca="false">BM28-BM29+BM31</f>
        <v>0</v>
      </c>
      <c r="BN32" s="11" t="n">
        <f aca="false">BN28-BN29+BN31</f>
        <v>0</v>
      </c>
    </row>
    <row r="33" customFormat="false" ht="15" hidden="false" customHeight="false" outlineLevel="0" collapsed="false">
      <c r="D33" s="0" t="s">
        <v>662</v>
      </c>
      <c r="E33" s="0" t="s">
        <v>149</v>
      </c>
      <c r="G33" s="11" t="n">
        <f aca="false">SUM(J33:BN33)</f>
        <v>5.54549999999092</v>
      </c>
      <c r="J33" s="11" t="n">
        <f aca="false">J23*Inputs!$F$191*(J25-J32)/(J25-J32+J40-J47+J55-J62+J70-J77+J85-J92+0.000000001)</f>
        <v>0</v>
      </c>
      <c r="K33" s="11" t="n">
        <f aca="false">K23*Inputs!$F$191*(K25-K32)/(K25-K32+K40-K47+K55-K62+K70-K77+K85-K92+0.000000001)</f>
        <v>0</v>
      </c>
      <c r="L33" s="11" t="n">
        <f aca="false">L23*Inputs!$F$191*(L25-L32)/(L25-L32+L40-L47+L55-L62+L70-L77+L85-L92+0.000000001)</f>
        <v>0</v>
      </c>
      <c r="M33" s="11" t="n">
        <f aca="false">M23*Inputs!$F$191*(M25-M32)/(M25-M32+M40-M47+M55-M62+M70-M77+M85-M92+0.000000001)</f>
        <v>0</v>
      </c>
      <c r="N33" s="11" t="n">
        <f aca="false">N23*Inputs!$F$191*(N25-N32)/(N25-N32+N40-N47+N55-N62+N70-N77+N85-N92+0.000000001)</f>
        <v>0</v>
      </c>
      <c r="O33" s="11" t="n">
        <f aca="false">O23*Inputs!$F$191*(O25-O32)/(O25-O32+O40-O47+O55-O62+O70-O77+O85-O92+0.000000001)</f>
        <v>0</v>
      </c>
      <c r="P33" s="11" t="n">
        <f aca="false">P23*Inputs!$F$191*(P25-P32)/(P25-P32+P40-P47+P55-P62+P70-P77+P85-P92+0.000000001)</f>
        <v>0</v>
      </c>
      <c r="Q33" s="11" t="n">
        <f aca="false">Q23*Inputs!$F$191*(Q25-Q32)/(Q25-Q32+Q40-Q47+Q55-Q62+Q70-Q77+Q85-Q92+0.000000001)</f>
        <v>5.54549999999092</v>
      </c>
      <c r="R33" s="11" t="n">
        <f aca="false">R23*Inputs!$F$191*(R25-R32)/(R25-R32+R40-R47+R55-R62+R70-R77+R85-R92+0.000000001)</f>
        <v>0</v>
      </c>
      <c r="S33" s="11" t="n">
        <f aca="false">S23*Inputs!$F$191*(S25-S32)/(S25-S32+S40-S47+S55-S62+S70-S77+S85-S92+0.000000001)</f>
        <v>0</v>
      </c>
      <c r="T33" s="11" t="n">
        <f aca="false">T23*Inputs!$F$191*(T25-T32)/(T25-T32+T40-T47+T55-T62+T70-T77+T85-T92+0.000000001)</f>
        <v>0</v>
      </c>
      <c r="U33" s="11" t="n">
        <f aca="false">U23*Inputs!$F$191*(U25-U32)/(U25-U32+U40-U47+U55-U62+U70-U77+U85-U92+0.000000001)</f>
        <v>0</v>
      </c>
      <c r="V33" s="11" t="n">
        <f aca="false">V23*Inputs!$F$191*(V25-V32)/(V25-V32+V40-V47+V55-V62+V70-V77+V85-V92+0.000000001)</f>
        <v>0</v>
      </c>
      <c r="W33" s="11" t="n">
        <f aca="false">W23*Inputs!$F$191*(W25-W32)/(W25-W32+W40-W47+W55-W62+W70-W77+W85-W92+0.000000001)</f>
        <v>0</v>
      </c>
      <c r="X33" s="11" t="n">
        <f aca="false">X23*Inputs!$F$191*(X25-X32)/(X25-X32+X40-X47+X55-X62+X70-X77+X85-X92+0.000000001)</f>
        <v>0</v>
      </c>
      <c r="Y33" s="11" t="n">
        <f aca="false">Y23*Inputs!$F$191*(Y25-Y32)/(Y25-Y32+Y40-Y47+Y55-Y62+Y70-Y77+Y85-Y92+0.000000001)</f>
        <v>0</v>
      </c>
      <c r="Z33" s="11" t="n">
        <f aca="false">Z23*Inputs!$F$191*(Z25-Z32)/(Z25-Z32+Z40-Z47+Z55-Z62+Z70-Z77+Z85-Z92+0.000000001)</f>
        <v>0</v>
      </c>
      <c r="AA33" s="11" t="n">
        <f aca="false">AA23*Inputs!$F$191*(AA25-AA32)/(AA25-AA32+AA40-AA47+AA55-AA62+AA70-AA77+AA85-AA92+0.000000001)</f>
        <v>0</v>
      </c>
      <c r="AB33" s="11" t="n">
        <f aca="false">AB23*Inputs!$F$191*(AB25-AB32)/(AB25-AB32+AB40-AB47+AB55-AB62+AB70-AB77+AB85-AB92+0.000000001)</f>
        <v>0</v>
      </c>
      <c r="AC33" s="11" t="n">
        <f aca="false">AC23*Inputs!$F$191*(AC25-AC32)/(AC25-AC32+AC40-AC47+AC55-AC62+AC70-AC77+AC85-AC92+0.000000001)</f>
        <v>0</v>
      </c>
      <c r="AD33" s="11" t="n">
        <f aca="false">AD23*Inputs!$F$191*(AD25-AD32)/(AD25-AD32+AD40-AD47+AD55-AD62+AD70-AD77+AD85-AD92+0.000000001)</f>
        <v>0</v>
      </c>
      <c r="AE33" s="11" t="n">
        <f aca="false">AE23*Inputs!$F$191*(AE25-AE32)/(AE25-AE32+AE40-AE47+AE55-AE62+AE70-AE77+AE85-AE92+0.000000001)</f>
        <v>0</v>
      </c>
      <c r="AF33" s="11" t="n">
        <f aca="false">AF23*Inputs!$F$191*(AF25-AF32)/(AF25-AF32+AF40-AF47+AF55-AF62+AF70-AF77+AF85-AF92+0.000000001)</f>
        <v>0</v>
      </c>
      <c r="AG33" s="11" t="n">
        <f aca="false">AG23*Inputs!$F$191*(AG25-AG32)/(AG25-AG32+AG40-AG47+AG55-AG62+AG70-AG77+AG85-AG92+0.000000001)</f>
        <v>0</v>
      </c>
      <c r="AH33" s="11" t="n">
        <f aca="false">AH23*Inputs!$F$191*(AH25-AH32)/(AH25-AH32+AH40-AH47+AH55-AH62+AH70-AH77+AH85-AH92+0.000000001)</f>
        <v>0</v>
      </c>
      <c r="AI33" s="11" t="n">
        <f aca="false">AI23*Inputs!$F$191*(AI25-AI32)/(AI25-AI32+AI40-AI47+AI55-AI62+AI70-AI77+AI85-AI92+0.000000001)</f>
        <v>0</v>
      </c>
      <c r="AJ33" s="11" t="n">
        <f aca="false">AJ23*Inputs!$F$191*(AJ25-AJ32)/(AJ25-AJ32+AJ40-AJ47+AJ55-AJ62+AJ70-AJ77+AJ85-AJ92+0.000000001)</f>
        <v>0</v>
      </c>
      <c r="AK33" s="11" t="n">
        <f aca="false">AK23*Inputs!$F$191*(AK25-AK32)/(AK25-AK32+AK40-AK47+AK55-AK62+AK70-AK77+AK85-AK92+0.000000001)</f>
        <v>0</v>
      </c>
      <c r="AL33" s="11" t="n">
        <f aca="false">AL23*Inputs!$F$191*(AL25-AL32)/(AL25-AL32+AL40-AL47+AL55-AL62+AL70-AL77+AL85-AL92+0.000000001)</f>
        <v>0</v>
      </c>
      <c r="AM33" s="11" t="n">
        <f aca="false">AM23*Inputs!$F$191*(AM25-AM32)/(AM25-AM32+AM40-AM47+AM55-AM62+AM70-AM77+AM85-AM92+0.000000001)</f>
        <v>0</v>
      </c>
      <c r="AN33" s="11" t="n">
        <f aca="false">AN23*Inputs!$F$191*(AN25-AN32)/(AN25-AN32+AN40-AN47+AN55-AN62+AN70-AN77+AN85-AN92+0.000000001)</f>
        <v>0</v>
      </c>
      <c r="AO33" s="11" t="n">
        <f aca="false">AO23*Inputs!$F$191*(AO25-AO32)/(AO25-AO32+AO40-AO47+AO55-AO62+AO70-AO77+AO85-AO92+0.000000001)</f>
        <v>0</v>
      </c>
      <c r="AP33" s="11" t="n">
        <f aca="false">AP23*Inputs!$F$191*(AP25-AP32)/(AP25-AP32+AP40-AP47+AP55-AP62+AP70-AP77+AP85-AP92+0.000000001)</f>
        <v>0</v>
      </c>
      <c r="AQ33" s="11" t="n">
        <f aca="false">AQ23*Inputs!$F$191*(AQ25-AQ32)/(AQ25-AQ32+AQ40-AQ47+AQ55-AQ62+AQ70-AQ77+AQ85-AQ92+0.000000001)</f>
        <v>0</v>
      </c>
      <c r="AR33" s="11" t="n">
        <f aca="false">AR23*Inputs!$F$191*(AR25-AR32)/(AR25-AR32+AR40-AR47+AR55-AR62+AR70-AR77+AR85-AR92+0.000000001)</f>
        <v>0</v>
      </c>
      <c r="AS33" s="11" t="n">
        <f aca="false">AS23*Inputs!$F$191*(AS25-AS32)/(AS25-AS32+AS40-AS47+AS55-AS62+AS70-AS77+AS85-AS92+0.000000001)</f>
        <v>0</v>
      </c>
      <c r="AT33" s="11" t="n">
        <f aca="false">AT23*Inputs!$F$191*(AT25-AT32)/(AT25-AT32+AT40-AT47+AT55-AT62+AT70-AT77+AT85-AT92+0.000000001)</f>
        <v>0</v>
      </c>
      <c r="AU33" s="11" t="n">
        <f aca="false">AU23*Inputs!$F$191*(AU25-AU32)/(AU25-AU32+AU40-AU47+AU55-AU62+AU70-AU77+AU85-AU92+0.000000001)</f>
        <v>0</v>
      </c>
      <c r="AV33" s="11" t="n">
        <f aca="false">AV23*Inputs!$F$191*(AV25-AV32)/(AV25-AV32+AV40-AV47+AV55-AV62+AV70-AV77+AV85-AV92+0.000000001)</f>
        <v>0</v>
      </c>
      <c r="AW33" s="11" t="n">
        <f aca="false">AW23*Inputs!$F$191*(AW25-AW32)/(AW25-AW32+AW40-AW47+AW55-AW62+AW70-AW77+AW85-AW92+0.000000001)</f>
        <v>0</v>
      </c>
      <c r="AX33" s="11" t="n">
        <f aca="false">AX23*Inputs!$F$191*(AX25-AX32)/(AX25-AX32+AX40-AX47+AX55-AX62+AX70-AX77+AX85-AX92+0.000000001)</f>
        <v>0</v>
      </c>
      <c r="AY33" s="11" t="n">
        <f aca="false">AY23*Inputs!$F$191*(AY25-AY32)/(AY25-AY32+AY40-AY47+AY55-AY62+AY70-AY77+AY85-AY92+0.000000001)</f>
        <v>0</v>
      </c>
      <c r="AZ33" s="11" t="n">
        <f aca="false">AZ23*Inputs!$F$191*(AZ25-AZ32)/(AZ25-AZ32+AZ40-AZ47+AZ55-AZ62+AZ70-AZ77+AZ85-AZ92+0.000000001)</f>
        <v>0</v>
      </c>
      <c r="BA33" s="11" t="n">
        <f aca="false">BA23*Inputs!$F$191*(BA25-BA32)/(BA25-BA32+BA40-BA47+BA55-BA62+BA70-BA77+BA85-BA92+0.000000001)</f>
        <v>0</v>
      </c>
      <c r="BB33" s="11" t="n">
        <f aca="false">BB23*Inputs!$F$191*(BB25-BB32)/(BB25-BB32+BB40-BB47+BB55-BB62+BB70-BB77+BB85-BB92+0.000000001)</f>
        <v>0</v>
      </c>
      <c r="BC33" s="11" t="n">
        <f aca="false">BC23*Inputs!$F$191*(BC25-BC32)/(BC25-BC32+BC40-BC47+BC55-BC62+BC70-BC77+BC85-BC92+0.000000001)</f>
        <v>0</v>
      </c>
      <c r="BD33" s="11" t="n">
        <f aca="false">BD23*Inputs!$F$191*(BD25-BD32)/(BD25-BD32+BD40-BD47+BD55-BD62+BD70-BD77+BD85-BD92+0.000000001)</f>
        <v>0</v>
      </c>
      <c r="BE33" s="11" t="n">
        <f aca="false">BE23*Inputs!$F$191*(BE25-BE32)/(BE25-BE32+BE40-BE47+BE55-BE62+BE70-BE77+BE85-BE92+0.000000001)</f>
        <v>0</v>
      </c>
      <c r="BF33" s="11" t="n">
        <f aca="false">BF23*Inputs!$F$191*(BF25-BF32)/(BF25-BF32+BF40-BF47+BF55-BF62+BF70-BF77+BF85-BF92+0.000000001)</f>
        <v>0</v>
      </c>
      <c r="BG33" s="11" t="n">
        <f aca="false">BG23*Inputs!$F$191*(BG25-BG32)/(BG25-BG32+BG40-BG47+BG55-BG62+BG70-BG77+BG85-BG92+0.000000001)</f>
        <v>0</v>
      </c>
      <c r="BH33" s="11" t="n">
        <f aca="false">BH23*Inputs!$F$191*(BH25-BH32)/(BH25-BH32+BH40-BH47+BH55-BH62+BH70-BH77+BH85-BH92+0.000000001)</f>
        <v>0</v>
      </c>
      <c r="BI33" s="11" t="n">
        <f aca="false">BI23*Inputs!$F$191*(BI25-BI32)/(BI25-BI32+BI40-BI47+BI55-BI62+BI70-BI77+BI85-BI92+0.000000001)</f>
        <v>0</v>
      </c>
      <c r="BJ33" s="11" t="n">
        <f aca="false">BJ23*Inputs!$F$191*(BJ25-BJ32)/(BJ25-BJ32+BJ40-BJ47+BJ55-BJ62+BJ70-BJ77+BJ85-BJ92+0.000000001)</f>
        <v>0</v>
      </c>
      <c r="BK33" s="11" t="n">
        <f aca="false">BK23*Inputs!$F$191*(BK25-BK32)/(BK25-BK32+BK40-BK47+BK55-BK62+BK70-BK77+BK85-BK92+0.000000001)</f>
        <v>0</v>
      </c>
      <c r="BL33" s="11" t="n">
        <f aca="false">BL23*Inputs!$F$191*(BL25-BL32)/(BL25-BL32+BL40-BL47+BL55-BL62+BL70-BL77+BL85-BL92+0.000000001)</f>
        <v>0</v>
      </c>
      <c r="BM33" s="11" t="n">
        <f aca="false">BM23*Inputs!$F$191*(BM25-BM32)/(BM25-BM32+BM40-BM47+BM55-BM62+BM70-BM77+BM85-BM92+0.000000001)</f>
        <v>0</v>
      </c>
      <c r="BN33" s="11" t="n">
        <f aca="false">BN23*Inputs!$F$191*(BN25-BN32)/(BN25-BN32+BN40-BN47+BN55-BN62+BN70-BN77+BN85-BN92+0.000000001)</f>
        <v>0</v>
      </c>
    </row>
    <row r="34" customFormat="false" ht="15" hidden="false" customHeight="false" outlineLevel="0" collapsed="false">
      <c r="D34" s="0" t="s">
        <v>663</v>
      </c>
      <c r="E34" s="0" t="s">
        <v>149</v>
      </c>
      <c r="G34" s="11" t="n">
        <f aca="false">SUM(J34:BN34)</f>
        <v>0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0</f>
        <v>0</v>
      </c>
      <c r="T34" s="11" t="n">
        <f aca="false">0</f>
        <v>0</v>
      </c>
      <c r="U34" s="11" t="n">
        <f aca="false">0</f>
        <v>0</v>
      </c>
      <c r="V34" s="11" t="n">
        <f aca="false">0</f>
        <v>0</v>
      </c>
      <c r="W34" s="11" t="n">
        <f aca="false">0</f>
        <v>0</v>
      </c>
      <c r="X34" s="11" t="n">
        <f aca="false">0</f>
        <v>0</v>
      </c>
      <c r="Y34" s="11" t="n">
        <f aca="false">0</f>
        <v>0</v>
      </c>
      <c r="Z34" s="11" t="n">
        <f aca="false">0</f>
        <v>0</v>
      </c>
      <c r="AA34" s="11" t="n">
        <f aca="false">0</f>
        <v>0</v>
      </c>
      <c r="AB34" s="11" t="n">
        <f aca="false">0</f>
        <v>0</v>
      </c>
      <c r="AC34" s="11" t="n">
        <f aca="false">0</f>
        <v>0</v>
      </c>
      <c r="AD34" s="11" t="n">
        <f aca="false">0</f>
        <v>0</v>
      </c>
      <c r="AE34" s="11" t="n">
        <f aca="false">0</f>
        <v>0</v>
      </c>
      <c r="AF34" s="11" t="n">
        <f aca="false">0</f>
        <v>0</v>
      </c>
      <c r="AG34" s="11" t="n">
        <f aca="false">0</f>
        <v>0</v>
      </c>
      <c r="AH34" s="11" t="n">
        <f aca="false">0</f>
        <v>0</v>
      </c>
      <c r="AI34" s="11" t="n">
        <f aca="false">0</f>
        <v>0</v>
      </c>
      <c r="AJ34" s="11" t="n">
        <f aca="false">0</f>
        <v>0</v>
      </c>
      <c r="AK34" s="11" t="n">
        <f aca="false">0</f>
        <v>0</v>
      </c>
      <c r="AL34" s="11" t="n">
        <f aca="false">0</f>
        <v>0</v>
      </c>
      <c r="AM34" s="11" t="n">
        <f aca="false">0</f>
        <v>0</v>
      </c>
      <c r="AN34" s="11" t="n">
        <f aca="false">0</f>
        <v>0</v>
      </c>
      <c r="AO34" s="11" t="n">
        <f aca="false">0</f>
        <v>0</v>
      </c>
      <c r="AP34" s="11" t="n">
        <f aca="false">0</f>
        <v>0</v>
      </c>
      <c r="AQ34" s="11" t="n">
        <f aca="false">0</f>
        <v>0</v>
      </c>
      <c r="AR34" s="11" t="n">
        <f aca="false">0</f>
        <v>0</v>
      </c>
      <c r="AS34" s="11" t="n">
        <f aca="false">0</f>
        <v>0</v>
      </c>
      <c r="AT34" s="11" t="n">
        <f aca="false">0</f>
        <v>0</v>
      </c>
      <c r="AU34" s="11" t="n">
        <f aca="false">0</f>
        <v>0</v>
      </c>
      <c r="AV34" s="11" t="n">
        <f aca="false">0</f>
        <v>0</v>
      </c>
      <c r="AW34" s="11" t="n">
        <f aca="false">0</f>
        <v>0</v>
      </c>
      <c r="AX34" s="11" t="n">
        <f aca="false">0</f>
        <v>0</v>
      </c>
      <c r="AY34" s="11" t="n">
        <f aca="false">0</f>
        <v>0</v>
      </c>
      <c r="AZ34" s="11" t="n">
        <f aca="false">0</f>
        <v>0</v>
      </c>
      <c r="BA34" s="11" t="n">
        <f aca="false">0</f>
        <v>0</v>
      </c>
      <c r="BB34" s="11" t="n">
        <f aca="false">0</f>
        <v>0</v>
      </c>
      <c r="BC34" s="11" t="n">
        <f aca="false">0</f>
        <v>0</v>
      </c>
      <c r="BD34" s="11" t="n">
        <f aca="false">0</f>
        <v>0</v>
      </c>
      <c r="BE34" s="11" t="n">
        <f aca="false">0</f>
        <v>0</v>
      </c>
      <c r="BF34" s="11" t="n">
        <f aca="false">0</f>
        <v>0</v>
      </c>
      <c r="BG34" s="11" t="n">
        <f aca="false">0</f>
        <v>0</v>
      </c>
      <c r="BH34" s="11" t="n">
        <f aca="false">0</f>
        <v>0</v>
      </c>
      <c r="BI34" s="11" t="n">
        <f aca="false">0</f>
        <v>0</v>
      </c>
      <c r="BJ34" s="11" t="n">
        <f aca="false">0</f>
        <v>0</v>
      </c>
      <c r="BK34" s="11" t="n">
        <f aca="false">0</f>
        <v>0</v>
      </c>
      <c r="BL34" s="11" t="n">
        <f aca="false">0</f>
        <v>0</v>
      </c>
      <c r="BM34" s="11" t="n">
        <f aca="false">0</f>
        <v>0</v>
      </c>
      <c r="BN34" s="11" t="n">
        <f aca="false">0</f>
        <v>0</v>
      </c>
    </row>
    <row r="35" customFormat="false" ht="15" hidden="false" customHeight="false" outlineLevel="0" collapsed="false">
      <c r="D35" s="0" t="s">
        <v>664</v>
      </c>
      <c r="E35" s="0" t="s">
        <v>149</v>
      </c>
      <c r="J35" s="11" t="n">
        <f aca="false">J26+J29-J31</f>
        <v>0</v>
      </c>
      <c r="K35" s="11" t="n">
        <f aca="false">K26+K29-K31</f>
        <v>0</v>
      </c>
      <c r="L35" s="11" t="n">
        <f aca="false">L26+L29-L31</f>
        <v>0</v>
      </c>
      <c r="M35" s="11" t="n">
        <f aca="false">M26+M29-M31</f>
        <v>0</v>
      </c>
      <c r="N35" s="11" t="n">
        <f aca="false">N26+N29-N31</f>
        <v>0</v>
      </c>
      <c r="O35" s="11" t="n">
        <f aca="false">O26+O29-O31</f>
        <v>0</v>
      </c>
      <c r="P35" s="11" t="n">
        <f aca="false">P26+P29-P31</f>
        <v>0</v>
      </c>
      <c r="Q35" s="11" t="n">
        <f aca="false">Q26+Q29-Q31</f>
        <v>0</v>
      </c>
      <c r="R35" s="11" t="n">
        <f aca="false">R26+R29-R31</f>
        <v>0</v>
      </c>
      <c r="S35" s="11" t="n">
        <f aca="false">S26+S29-S31</f>
        <v>0</v>
      </c>
      <c r="T35" s="11" t="n">
        <f aca="false">T26+T29-T31</f>
        <v>3.23069803919323</v>
      </c>
      <c r="U35" s="11" t="n">
        <f aca="false">U26+U29-U31</f>
        <v>2.42302352939492</v>
      </c>
      <c r="V35" s="11" t="n">
        <f aca="false">V26+V29-V31</f>
        <v>1.61534901959661</v>
      </c>
      <c r="W35" s="11" t="n">
        <f aca="false">W26+W29-W31</f>
        <v>0.807674509798307</v>
      </c>
      <c r="X35" s="11" t="n">
        <f aca="false">X26+X29-X31</f>
        <v>0</v>
      </c>
      <c r="Y35" s="11" t="n">
        <f aca="false">Y26+Y29-Y31</f>
        <v>0</v>
      </c>
      <c r="Z35" s="11" t="n">
        <f aca="false">Z26+Z29-Z31</f>
        <v>0</v>
      </c>
      <c r="AA35" s="11" t="n">
        <f aca="false">AA26+AA29-AA31</f>
        <v>0</v>
      </c>
      <c r="AB35" s="11" t="n">
        <f aca="false">AB26+AB29-AB31</f>
        <v>0</v>
      </c>
      <c r="AC35" s="11" t="n">
        <f aca="false">AC26+AC29-AC31</f>
        <v>0</v>
      </c>
      <c r="AD35" s="11" t="n">
        <f aca="false">AD26+AD29-AD31</f>
        <v>0</v>
      </c>
      <c r="AE35" s="11" t="n">
        <f aca="false">AE26+AE29-AE31</f>
        <v>0</v>
      </c>
      <c r="AF35" s="11" t="n">
        <f aca="false">AF26+AF29-AF31</f>
        <v>0</v>
      </c>
      <c r="AG35" s="11" t="n">
        <f aca="false">AG26+AG29-AG31</f>
        <v>0</v>
      </c>
      <c r="AH35" s="11" t="n">
        <f aca="false">AH26+AH29-AH31</f>
        <v>0</v>
      </c>
      <c r="AI35" s="11" t="n">
        <f aca="false">AI26+AI29-AI31</f>
        <v>0</v>
      </c>
      <c r="AJ35" s="11" t="n">
        <f aca="false">AJ26+AJ29-AJ31</f>
        <v>0</v>
      </c>
      <c r="AK35" s="11" t="n">
        <f aca="false">AK26+AK29-AK31</f>
        <v>0</v>
      </c>
      <c r="AL35" s="11" t="n">
        <f aca="false">AL26+AL29-AL31</f>
        <v>0</v>
      </c>
      <c r="AM35" s="11" t="n">
        <f aca="false">AM26+AM29-AM31</f>
        <v>0</v>
      </c>
      <c r="AN35" s="11" t="n">
        <f aca="false">AN26+AN29-AN31</f>
        <v>0</v>
      </c>
      <c r="AO35" s="11" t="n">
        <f aca="false">AO26+AO29-AO31</f>
        <v>0</v>
      </c>
      <c r="AP35" s="11" t="n">
        <f aca="false">AP26+AP29-AP31</f>
        <v>0</v>
      </c>
      <c r="AQ35" s="11" t="n">
        <f aca="false">AQ26+AQ29-AQ31</f>
        <v>0</v>
      </c>
      <c r="AR35" s="11" t="n">
        <f aca="false">AR26+AR29-AR31</f>
        <v>0</v>
      </c>
      <c r="AS35" s="11" t="n">
        <f aca="false">AS26+AS29-AS31</f>
        <v>0</v>
      </c>
      <c r="AT35" s="11" t="n">
        <f aca="false">AT26+AT29-AT31</f>
        <v>0</v>
      </c>
      <c r="AU35" s="11" t="n">
        <f aca="false">AU26+AU29-AU31</f>
        <v>0</v>
      </c>
      <c r="AV35" s="11" t="n">
        <f aca="false">AV26+AV29-AV31</f>
        <v>0</v>
      </c>
      <c r="AW35" s="11" t="n">
        <f aca="false">AW26+AW29-AW31</f>
        <v>0</v>
      </c>
      <c r="AX35" s="11" t="n">
        <f aca="false">AX26+AX29-AX31</f>
        <v>0</v>
      </c>
      <c r="AY35" s="11" t="n">
        <f aca="false">AY26+AY29-AY31</f>
        <v>0</v>
      </c>
      <c r="AZ35" s="11" t="n">
        <f aca="false">AZ26+AZ29-AZ31</f>
        <v>0</v>
      </c>
      <c r="BA35" s="11" t="n">
        <f aca="false">BA26+BA29-BA31</f>
        <v>0</v>
      </c>
      <c r="BB35" s="11" t="n">
        <f aca="false">BB26+BB29-BB31</f>
        <v>0</v>
      </c>
      <c r="BC35" s="11" t="n">
        <f aca="false">BC26+BC29-BC31</f>
        <v>0</v>
      </c>
      <c r="BD35" s="11" t="n">
        <f aca="false">BD26+BD29-BD31</f>
        <v>0</v>
      </c>
      <c r="BE35" s="11" t="n">
        <f aca="false">BE26+BE29-BE31</f>
        <v>0</v>
      </c>
      <c r="BF35" s="11" t="n">
        <f aca="false">BF26+BF29-BF31</f>
        <v>0</v>
      </c>
      <c r="BG35" s="11" t="n">
        <f aca="false">BG26+BG29-BG31</f>
        <v>0</v>
      </c>
      <c r="BH35" s="11" t="n">
        <f aca="false">BH26+BH29-BH31</f>
        <v>0</v>
      </c>
      <c r="BI35" s="11" t="n">
        <f aca="false">BI26+BI29-BI31</f>
        <v>0</v>
      </c>
      <c r="BJ35" s="11" t="n">
        <f aca="false">BJ26+BJ29-BJ31</f>
        <v>0</v>
      </c>
      <c r="BK35" s="11" t="n">
        <f aca="false">BK26+BK29-BK31</f>
        <v>0</v>
      </c>
      <c r="BL35" s="11" t="n">
        <f aca="false">BL26+BL29-BL31</f>
        <v>0</v>
      </c>
      <c r="BM35" s="11" t="n">
        <f aca="false">BM26+BM29-BM31</f>
        <v>0</v>
      </c>
      <c r="BN35" s="11" t="n">
        <f aca="false">BN26+BN29-BN31</f>
        <v>0</v>
      </c>
    </row>
    <row r="36" customFormat="false" ht="15" hidden="false" customHeight="false" outlineLevel="0" collapsed="false">
      <c r="D36" s="0" t="s">
        <v>665</v>
      </c>
      <c r="E36" s="0" t="s">
        <v>149</v>
      </c>
      <c r="J36" s="11" t="n">
        <f aca="false">J25-J32-J33-J34</f>
        <v>0</v>
      </c>
      <c r="K36" s="11" t="n">
        <f aca="false">K25-K32-K33-K34</f>
        <v>0</v>
      </c>
      <c r="L36" s="11" t="n">
        <f aca="false">L25-L32-L33-L34</f>
        <v>0</v>
      </c>
      <c r="M36" s="11" t="n">
        <f aca="false">M25-M32-M33-M34</f>
        <v>0</v>
      </c>
      <c r="N36" s="11" t="n">
        <f aca="false">N25-N32-N33-N34</f>
        <v>0</v>
      </c>
      <c r="O36" s="11" t="n">
        <f aca="false">O25-O32-O33-O34</f>
        <v>0</v>
      </c>
      <c r="P36" s="11" t="n">
        <f aca="false">P25-P32-P33-P34</f>
        <v>0</v>
      </c>
      <c r="Q36" s="11" t="n">
        <f aca="false">Q25-Q32-Q33-Q34</f>
        <v>177.736844109093</v>
      </c>
      <c r="R36" s="11" t="n">
        <f aca="false">R25-R32-R33-R34</f>
        <v>172.768612014114</v>
      </c>
      <c r="S36" s="11" t="n">
        <f aca="false">S25-S32-S33-S34</f>
        <v>167.625415322587</v>
      </c>
      <c r="T36" s="11" t="n">
        <f aca="false">T25-T32-T33-T34</f>
        <v>165.471616629792</v>
      </c>
      <c r="U36" s="11" t="n">
        <f aca="false">U25-U32-U33-U34</f>
        <v>159.129561760433</v>
      </c>
      <c r="V36" s="11" t="n">
        <f aca="false">V25-V32-V33-V34</f>
        <v>152.534161192224</v>
      </c>
      <c r="W36" s="11" t="n">
        <f aca="false">W25-W32-W33-W34</f>
        <v>145.622543624878</v>
      </c>
      <c r="X36" s="11" t="n">
        <f aca="false">X25-X32-X33-X34</f>
        <v>138.430705613451</v>
      </c>
      <c r="Y36" s="11" t="n">
        <f aca="false">Y25-Y32-Y33-Y34</f>
        <v>132.488307307774</v>
      </c>
      <c r="Z36" s="11" t="n">
        <f aca="false">Z25-Z32-Z33-Z34</f>
        <v>126.266100467806</v>
      </c>
      <c r="AA36" s="11" t="n">
        <f aca="false">AA25-AA32-AA33-AA34</f>
        <v>119.915002933061</v>
      </c>
      <c r="AB36" s="11" t="n">
        <f aca="false">AB25-AB32-AB33-AB34</f>
        <v>113.254691924016</v>
      </c>
      <c r="AC36" s="11" t="n">
        <f aca="false">AC25-AC32-AC33-AC34</f>
        <v>106.406294192639</v>
      </c>
      <c r="AD36" s="11" t="n">
        <f aca="false">AD25-AD32-AD33-AD34</f>
        <v>99.232383180194</v>
      </c>
      <c r="AE36" s="11" t="n">
        <f aca="false">AE25-AE32-AE33-AE34</f>
        <v>91.4849062843442</v>
      </c>
      <c r="AF36" s="11" t="n">
        <f aca="false">AF25-AF32-AF33-AF34</f>
        <v>83.3210434862683</v>
      </c>
      <c r="AG36" s="11" t="n">
        <f aca="false">AG25-AG32-AG33-AG34</f>
        <v>75.0939817618584</v>
      </c>
      <c r="AH36" s="11" t="n">
        <f aca="false">AH25-AH32-AH33-AH34</f>
        <v>66.4421139122805</v>
      </c>
      <c r="AI36" s="11" t="n">
        <f aca="false">AI25-AI32-AI33-AI34</f>
        <v>57.5222349347309</v>
      </c>
      <c r="AJ36" s="11" t="n">
        <f aca="false">AJ25-AJ32-AJ33-AJ34</f>
        <v>48.1652242224006</v>
      </c>
      <c r="AK36" s="11" t="n">
        <f aca="false">AK25-AK32-AK33-AK34</f>
        <v>38.5323540133394</v>
      </c>
      <c r="AL36" s="11" t="n">
        <f aca="false">AL25-AL32-AL33-AL34</f>
        <v>28.447771347985</v>
      </c>
      <c r="AM36" s="11" t="n">
        <f aca="false">AM25-AM32-AM33-AM34</f>
        <v>17.8979054328604</v>
      </c>
      <c r="AN36" s="11" t="n">
        <f aca="false">AN25-AN32-AN33-AN34</f>
        <v>8.73539238687779</v>
      </c>
      <c r="AO36" s="11" t="n">
        <f aca="false">AO25-AO32-AO33-AO34</f>
        <v>0</v>
      </c>
      <c r="AP36" s="11" t="n">
        <f aca="false">AP25-AP32-AP33-AP34</f>
        <v>0</v>
      </c>
      <c r="AQ36" s="11" t="n">
        <f aca="false">AQ25-AQ32-AQ33-AQ34</f>
        <v>0</v>
      </c>
      <c r="AR36" s="11" t="n">
        <f aca="false">AR25-AR32-AR33-AR34</f>
        <v>0</v>
      </c>
      <c r="AS36" s="11" t="n">
        <f aca="false">AS25-AS32-AS33-AS34</f>
        <v>0</v>
      </c>
      <c r="AT36" s="11" t="n">
        <f aca="false">AT25-AT32-AT33-AT34</f>
        <v>0</v>
      </c>
      <c r="AU36" s="11" t="n">
        <f aca="false">AU25-AU32-AU33-AU34</f>
        <v>0</v>
      </c>
      <c r="AV36" s="11" t="n">
        <f aca="false">AV25-AV32-AV33-AV34</f>
        <v>0</v>
      </c>
      <c r="AW36" s="11" t="n">
        <f aca="false">AW25-AW32-AW33-AW34</f>
        <v>0</v>
      </c>
      <c r="AX36" s="11" t="n">
        <f aca="false">AX25-AX32-AX33-AX34</f>
        <v>0</v>
      </c>
      <c r="AY36" s="11" t="n">
        <f aca="false">AY25-AY32-AY33-AY34</f>
        <v>0</v>
      </c>
      <c r="AZ36" s="11" t="n">
        <f aca="false">AZ25-AZ32-AZ33-AZ34</f>
        <v>0</v>
      </c>
      <c r="BA36" s="11" t="n">
        <f aca="false">BA25-BA32-BA33-BA34</f>
        <v>0</v>
      </c>
      <c r="BB36" s="11" t="n">
        <f aca="false">BB25-BB32-BB33-BB34</f>
        <v>0</v>
      </c>
      <c r="BC36" s="11" t="n">
        <f aca="false">BC25-BC32-BC33-BC34</f>
        <v>0</v>
      </c>
      <c r="BD36" s="11" t="n">
        <f aca="false">BD25-BD32-BD33-BD34</f>
        <v>0</v>
      </c>
      <c r="BE36" s="11" t="n">
        <f aca="false">BE25-BE32-BE33-BE34</f>
        <v>0</v>
      </c>
      <c r="BF36" s="11" t="n">
        <f aca="false">BF25-BF32-BF33-BF34</f>
        <v>0</v>
      </c>
      <c r="BG36" s="11" t="n">
        <f aca="false">BG25-BG32-BG33-BG34</f>
        <v>0</v>
      </c>
      <c r="BH36" s="11" t="n">
        <f aca="false">BH25-BH32-BH33-BH34</f>
        <v>0</v>
      </c>
      <c r="BI36" s="11" t="n">
        <f aca="false">BI25-BI32-BI33-BI34</f>
        <v>0</v>
      </c>
      <c r="BJ36" s="11" t="n">
        <f aca="false">BJ25-BJ32-BJ33-BJ34</f>
        <v>0</v>
      </c>
      <c r="BK36" s="11" t="n">
        <f aca="false">BK25-BK32-BK33-BK34</f>
        <v>0</v>
      </c>
      <c r="BL36" s="11" t="n">
        <f aca="false">BL25-BL32-BL33-BL34</f>
        <v>0</v>
      </c>
      <c r="BM36" s="11" t="n">
        <f aca="false">BM25-BM32-BM33-BM34</f>
        <v>0</v>
      </c>
      <c r="BN36" s="11" t="n">
        <f aca="false">BN25-BN32-BN33-BN34</f>
        <v>0</v>
      </c>
    </row>
    <row r="37" customFormat="false" ht="15" hidden="false" customHeight="false" outlineLevel="0" collapsed="false">
      <c r="D37" s="0" t="s">
        <v>666</v>
      </c>
      <c r="E37" s="0" t="s">
        <v>149</v>
      </c>
      <c r="G37" s="11" t="n">
        <f aca="false">SUM(J37:BN37)</f>
        <v>0</v>
      </c>
      <c r="J37" s="11" t="n">
        <f aca="false">Waterfall!J28*J36/(J36+J51+J66+J81+J96+0.000000001)</f>
        <v>0</v>
      </c>
      <c r="K37" s="11" t="n">
        <f aca="false">Waterfall!K28*K36/(K36+K51+K66+K81+K96+0.000000001)</f>
        <v>0</v>
      </c>
      <c r="L37" s="11" t="n">
        <f aca="false">Waterfall!L28*L36/(L36+L51+L66+L81+L96+0.000000001)</f>
        <v>0</v>
      </c>
      <c r="M37" s="11" t="n">
        <f aca="false">Waterfall!M28*M36/(M36+M51+M66+M81+M96+0.000000001)</f>
        <v>0</v>
      </c>
      <c r="N37" s="11" t="n">
        <f aca="false">Waterfall!N28*N36/(N36+N51+N66+N81+N96+0.000000001)</f>
        <v>0</v>
      </c>
      <c r="O37" s="11" t="n">
        <f aca="false">Waterfall!O28*O36/(O36+O51+O66+O81+O96+0.000000001)</f>
        <v>0</v>
      </c>
      <c r="P37" s="11" t="n">
        <f aca="false">Waterfall!P28*P36/(P36+P51+P66+P81+P96+0.000000001)</f>
        <v>0</v>
      </c>
      <c r="Q37" s="11" t="n">
        <f aca="false">Waterfall!Q28*Q36/(Q36+Q51+Q66+Q81+Q96+0.000000001)</f>
        <v>0</v>
      </c>
      <c r="R37" s="11" t="n">
        <f aca="false">Waterfall!R28*R36/(R36+R51+R66+R81+R96+0.000000001)</f>
        <v>0</v>
      </c>
      <c r="S37" s="11" t="n">
        <f aca="false">Waterfall!S28*S36/(S36+S51+S66+S81+S96+0.000000001)</f>
        <v>0</v>
      </c>
      <c r="T37" s="11" t="n">
        <f aca="false">Waterfall!T28*T36/(T36+T51+T66+T81+T96+0.000000001)</f>
        <v>0</v>
      </c>
      <c r="U37" s="11" t="n">
        <f aca="false">Waterfall!U28*U36/(U36+U51+U66+U81+U96+0.000000001)</f>
        <v>0</v>
      </c>
      <c r="V37" s="11" t="n">
        <f aca="false">Waterfall!V28*V36/(V36+V51+V66+V81+V96+0.000000001)</f>
        <v>0</v>
      </c>
      <c r="W37" s="11" t="n">
        <f aca="false">Waterfall!W28*W36/(W36+W51+W66+W81+W96+0.000000001)</f>
        <v>0</v>
      </c>
      <c r="X37" s="11" t="n">
        <f aca="false">Waterfall!X28*X36/(X36+X51+X66+X81+X96+0.000000001)</f>
        <v>0</v>
      </c>
      <c r="Y37" s="11" t="n">
        <f aca="false">Waterfall!Y28*Y36/(Y36+Y51+Y66+Y81+Y96+0.000000001)</f>
        <v>0</v>
      </c>
      <c r="Z37" s="11" t="n">
        <f aca="false">Waterfall!Z28*Z36/(Z36+Z51+Z66+Z81+Z96+0.000000001)</f>
        <v>0</v>
      </c>
      <c r="AA37" s="11" t="n">
        <f aca="false">Waterfall!AA28*AA36/(AA36+AA51+AA66+AA81+AA96+0.000000001)</f>
        <v>0</v>
      </c>
      <c r="AB37" s="11" t="n">
        <f aca="false">Waterfall!AB28*AB36/(AB36+AB51+AB66+AB81+AB96+0.000000001)</f>
        <v>0</v>
      </c>
      <c r="AC37" s="11" t="n">
        <f aca="false">Waterfall!AC28*AC36/(AC36+AC51+AC66+AC81+AC96+0.000000001)</f>
        <v>0</v>
      </c>
      <c r="AD37" s="11" t="n">
        <f aca="false">Waterfall!AD28*AD36/(AD36+AD51+AD66+AD81+AD96+0.000000001)</f>
        <v>0</v>
      </c>
      <c r="AE37" s="11" t="n">
        <f aca="false">Waterfall!AE28*AE36/(AE36+AE51+AE66+AE81+AE96+0.000000001)</f>
        <v>0</v>
      </c>
      <c r="AF37" s="11" t="n">
        <f aca="false">Waterfall!AF28*AF36/(AF36+AF51+AF66+AF81+AF96+0.000000001)</f>
        <v>0</v>
      </c>
      <c r="AG37" s="11" t="n">
        <f aca="false">Waterfall!AG28*AG36/(AG36+AG51+AG66+AG81+AG96+0.000000001)</f>
        <v>0</v>
      </c>
      <c r="AH37" s="11" t="n">
        <f aca="false">Waterfall!AH28*AH36/(AH36+AH51+AH66+AH81+AH96+0.000000001)</f>
        <v>0</v>
      </c>
      <c r="AI37" s="11" t="n">
        <f aca="false">Waterfall!AI28*AI36/(AI36+AI51+AI66+AI81+AI96+0.000000001)</f>
        <v>0</v>
      </c>
      <c r="AJ37" s="11" t="n">
        <f aca="false">Waterfall!AJ28*AJ36/(AJ36+AJ51+AJ66+AJ81+AJ96+0.000000001)</f>
        <v>0</v>
      </c>
      <c r="AK37" s="11" t="n">
        <f aca="false">Waterfall!AK28*AK36/(AK36+AK51+AK66+AK81+AK96+0.000000001)</f>
        <v>0</v>
      </c>
      <c r="AL37" s="11" t="n">
        <f aca="false">Waterfall!AL28*AL36/(AL36+AL51+AL66+AL81+AL96+0.000000001)</f>
        <v>0</v>
      </c>
      <c r="AM37" s="11" t="n">
        <f aca="false">Waterfall!AM28*AM36/(AM36+AM51+AM66+AM81+AM96+0.000000001)</f>
        <v>0</v>
      </c>
      <c r="AN37" s="11" t="n">
        <f aca="false">Waterfall!AN28*AN36/(AN36+AN51+AN66+AN81+AN96+0.000000001)</f>
        <v>0</v>
      </c>
      <c r="AO37" s="11" t="n">
        <f aca="false">Waterfall!AO28*AO36/(AO36+AO51+AO66+AO81+AO96+0.000000001)</f>
        <v>0</v>
      </c>
      <c r="AP37" s="11" t="n">
        <f aca="false">Waterfall!AP28*AP36/(AP36+AP51+AP66+AP81+AP96+0.000000001)</f>
        <v>0</v>
      </c>
      <c r="AQ37" s="11" t="n">
        <f aca="false">Waterfall!AQ28*AQ36/(AQ36+AQ51+AQ66+AQ81+AQ96+0.000000001)</f>
        <v>0</v>
      </c>
      <c r="AR37" s="11" t="n">
        <f aca="false">Waterfall!AR28*AR36/(AR36+AR51+AR66+AR81+AR96+0.000000001)</f>
        <v>0</v>
      </c>
      <c r="AS37" s="11" t="n">
        <f aca="false">Waterfall!AS28*AS36/(AS36+AS51+AS66+AS81+AS96+0.000000001)</f>
        <v>0</v>
      </c>
      <c r="AT37" s="11" t="n">
        <f aca="false">Waterfall!AT28*AT36/(AT36+AT51+AT66+AT81+AT96+0.000000001)</f>
        <v>0</v>
      </c>
      <c r="AU37" s="11" t="n">
        <f aca="false">Waterfall!AU28*AU36/(AU36+AU51+AU66+AU81+AU96+0.000000001)</f>
        <v>0</v>
      </c>
      <c r="AV37" s="11" t="n">
        <f aca="false">Waterfall!AV28*AV36/(AV36+AV51+AV66+AV81+AV96+0.000000001)</f>
        <v>0</v>
      </c>
      <c r="AW37" s="11" t="n">
        <f aca="false">Waterfall!AW28*AW36/(AW36+AW51+AW66+AW81+AW96+0.000000001)</f>
        <v>0</v>
      </c>
      <c r="AX37" s="11" t="n">
        <f aca="false">Waterfall!AX28*AX36/(AX36+AX51+AX66+AX81+AX96+0.000000001)</f>
        <v>0</v>
      </c>
      <c r="AY37" s="11" t="n">
        <f aca="false">Waterfall!AY28*AY36/(AY36+AY51+AY66+AY81+AY96+0.000000001)</f>
        <v>0</v>
      </c>
      <c r="AZ37" s="11" t="n">
        <f aca="false">Waterfall!AZ28*AZ36/(AZ36+AZ51+AZ66+AZ81+AZ96+0.000000001)</f>
        <v>0</v>
      </c>
      <c r="BA37" s="11" t="n">
        <f aca="false">Waterfall!BA28*BA36/(BA36+BA51+BA66+BA81+BA96+0.000000001)</f>
        <v>0</v>
      </c>
      <c r="BB37" s="11" t="n">
        <f aca="false">Waterfall!BB28*BB36/(BB36+BB51+BB66+BB81+BB96+0.000000001)</f>
        <v>0</v>
      </c>
      <c r="BC37" s="11" t="n">
        <f aca="false">Waterfall!BC28*BC36/(BC36+BC51+BC66+BC81+BC96+0.000000001)</f>
        <v>0</v>
      </c>
      <c r="BD37" s="11" t="n">
        <f aca="false">Waterfall!BD28*BD36/(BD36+BD51+BD66+BD81+BD96+0.000000001)</f>
        <v>0</v>
      </c>
      <c r="BE37" s="11" t="n">
        <f aca="false">Waterfall!BE28*BE36/(BE36+BE51+BE66+BE81+BE96+0.000000001)</f>
        <v>0</v>
      </c>
      <c r="BF37" s="11" t="n">
        <f aca="false">Waterfall!BF28*BF36/(BF36+BF51+BF66+BF81+BF96+0.000000001)</f>
        <v>0</v>
      </c>
      <c r="BG37" s="11" t="n">
        <f aca="false">Waterfall!BG28*BG36/(BG36+BG51+BG66+BG81+BG96+0.000000001)</f>
        <v>0</v>
      </c>
      <c r="BH37" s="11" t="n">
        <f aca="false">Waterfall!BH28*BH36/(BH36+BH51+BH66+BH81+BH96+0.000000001)</f>
        <v>0</v>
      </c>
      <c r="BI37" s="11" t="n">
        <f aca="false">Waterfall!BI28*BI36/(BI36+BI51+BI66+BI81+BI96+0.000000001)</f>
        <v>0</v>
      </c>
      <c r="BJ37" s="11" t="n">
        <f aca="false">Waterfall!BJ28*BJ36/(BJ36+BJ51+BJ66+BJ81+BJ96+0.000000001)</f>
        <v>0</v>
      </c>
      <c r="BK37" s="11" t="n">
        <f aca="false">Waterfall!BK28*BK36/(BK36+BK51+BK66+BK81+BK96+0.000000001)</f>
        <v>0</v>
      </c>
      <c r="BL37" s="11" t="n">
        <f aca="false">Waterfall!BL28*BL36/(BL36+BL51+BL66+BL81+BL96+0.000000001)</f>
        <v>0</v>
      </c>
      <c r="BM37" s="11" t="n">
        <f aca="false">Waterfall!BM28*BM36/(BM36+BM51+BM66+BM81+BM96+0.000000001)</f>
        <v>0</v>
      </c>
      <c r="BN37" s="11" t="n">
        <f aca="false">Waterfall!BN28*BN36/(BN36+BN51+BN66+BN81+BN96+0.000000001)</f>
        <v>0</v>
      </c>
    </row>
    <row r="38" customFormat="false" ht="15" hidden="false" customHeight="false" outlineLevel="0" collapsed="false">
      <c r="D38" s="0" t="s">
        <v>667</v>
      </c>
      <c r="E38" s="0" t="s">
        <v>149</v>
      </c>
      <c r="J38" s="11" t="n">
        <f aca="false">IF(Time!J29=1,INDEX(Funding!$J$61:$BJ$61,1,Time!$F$13),Time!J30*(J36-J37))</f>
        <v>0</v>
      </c>
      <c r="K38" s="11" t="n">
        <f aca="false">IF(Time!K29=1,INDEX(Funding!$J$61:$BJ$61,1,Time!$F$13),Time!K30*(K36-K37))</f>
        <v>0</v>
      </c>
      <c r="L38" s="11" t="n">
        <f aca="false">IF(Time!L29=1,INDEX(Funding!$J$61:$BJ$61,1,Time!$F$13),Time!L30*(L36-L37))</f>
        <v>0</v>
      </c>
      <c r="M38" s="11" t="n">
        <f aca="false">IF(Time!M29=1,INDEX(Funding!$J$61:$BJ$61,1,Time!$F$13),Time!M30*(M36-M37))</f>
        <v>0</v>
      </c>
      <c r="N38" s="11" t="n">
        <f aca="false">IF(Time!N29=1,INDEX(Funding!$J$61:$BJ$61,1,Time!$F$13),Time!N30*(N36-N37))</f>
        <v>0</v>
      </c>
      <c r="O38" s="11" t="n">
        <f aca="false">IF(Time!O29=1,INDEX(Funding!$J$61:$BJ$61,1,Time!$F$13),Time!O30*(O36-O37))</f>
        <v>0</v>
      </c>
      <c r="P38" s="11" t="n">
        <f aca="false">IF(Time!P29=1,INDEX(Funding!$J$61:$BJ$61,1,Time!$F$13),Time!P30*(P36-P37))</f>
        <v>188.074786732838</v>
      </c>
      <c r="Q38" s="11" t="n">
        <f aca="false">IF(Time!Q29=1,INDEX(Funding!$J$61:$BJ$61,1,Time!$F$13),Time!Q30*(Q36-Q37))</f>
        <v>177.736844109093</v>
      </c>
      <c r="R38" s="11" t="n">
        <f aca="false">IF(Time!R29=1,INDEX(Funding!$J$61:$BJ$61,1,Time!$F$13),Time!R30*(R36-R37))</f>
        <v>172.768612014114</v>
      </c>
      <c r="S38" s="11" t="n">
        <f aca="false">IF(Time!S29=1,INDEX(Funding!$J$61:$BJ$61,1,Time!$F$13),Time!S30*(S36-S37))</f>
        <v>167.625415322587</v>
      </c>
      <c r="T38" s="11" t="n">
        <f aca="false">IF(Time!T29=1,INDEX(Funding!$J$61:$BJ$61,1,Time!$F$13),Time!T30*(T36-T37))</f>
        <v>165.471616629792</v>
      </c>
      <c r="U38" s="11" t="n">
        <f aca="false">IF(Time!U29=1,INDEX(Funding!$J$61:$BJ$61,1,Time!$F$13),Time!U30*(U36-U37))</f>
        <v>159.129561760433</v>
      </c>
      <c r="V38" s="11" t="n">
        <f aca="false">IF(Time!V29=1,INDEX(Funding!$J$61:$BJ$61,1,Time!$F$13),Time!V30*(V36-V37))</f>
        <v>152.534161192224</v>
      </c>
      <c r="W38" s="11" t="n">
        <f aca="false">IF(Time!W29=1,INDEX(Funding!$J$61:$BJ$61,1,Time!$F$13),Time!W30*(W36-W37))</f>
        <v>145.622543624878</v>
      </c>
      <c r="X38" s="11" t="n">
        <f aca="false">IF(Time!X29=1,INDEX(Funding!$J$61:$BJ$61,1,Time!$F$13),Time!X30*(X36-X37))</f>
        <v>138.430705613451</v>
      </c>
      <c r="Y38" s="11" t="n">
        <f aca="false">IF(Time!Y29=1,INDEX(Funding!$J$61:$BJ$61,1,Time!$F$13),Time!Y30*(Y36-Y37))</f>
        <v>132.488307307774</v>
      </c>
      <c r="Z38" s="11" t="n">
        <f aca="false">IF(Time!Z29=1,INDEX(Funding!$J$61:$BJ$61,1,Time!$F$13),Time!Z30*(Z36-Z37))</f>
        <v>126.266100467806</v>
      </c>
      <c r="AA38" s="11" t="n">
        <f aca="false">IF(Time!AA29=1,INDEX(Funding!$J$61:$BJ$61,1,Time!$F$13),Time!AA30*(AA36-AA37))</f>
        <v>119.915002933061</v>
      </c>
      <c r="AB38" s="11" t="n">
        <f aca="false">IF(Time!AB29=1,INDEX(Funding!$J$61:$BJ$61,1,Time!$F$13),Time!AB30*(AB36-AB37))</f>
        <v>113.254691924016</v>
      </c>
      <c r="AC38" s="11" t="n">
        <f aca="false">IF(Time!AC29=1,INDEX(Funding!$J$61:$BJ$61,1,Time!$F$13),Time!AC30*(AC36-AC37))</f>
        <v>106.406294192639</v>
      </c>
      <c r="AD38" s="11" t="n">
        <f aca="false">IF(Time!AD29=1,INDEX(Funding!$J$61:$BJ$61,1,Time!$F$13),Time!AD30*(AD36-AD37))</f>
        <v>99.232383180194</v>
      </c>
      <c r="AE38" s="11" t="n">
        <f aca="false">IF(Time!AE29=1,INDEX(Funding!$J$61:$BJ$61,1,Time!$F$13),Time!AE30*(AE36-AE37))</f>
        <v>91.4849062843442</v>
      </c>
      <c r="AF38" s="11" t="n">
        <f aca="false">IF(Time!AF29=1,INDEX(Funding!$J$61:$BJ$61,1,Time!$F$13),Time!AF30*(AF36-AF37))</f>
        <v>83.3210434862683</v>
      </c>
      <c r="AG38" s="11" t="n">
        <f aca="false">IF(Time!AG29=1,INDEX(Funding!$J$61:$BJ$61,1,Time!$F$13),Time!AG30*(AG36-AG37))</f>
        <v>75.0939817618584</v>
      </c>
      <c r="AH38" s="11" t="n">
        <f aca="false">IF(Time!AH29=1,INDEX(Funding!$J$61:$BJ$61,1,Time!$F$13),Time!AH30*(AH36-AH37))</f>
        <v>66.4421139122805</v>
      </c>
      <c r="AI38" s="11" t="n">
        <f aca="false">IF(Time!AI29=1,INDEX(Funding!$J$61:$BJ$61,1,Time!$F$13),Time!AI30*(AI36-AI37))</f>
        <v>57.5222349347309</v>
      </c>
      <c r="AJ38" s="11" t="n">
        <f aca="false">IF(Time!AJ29=1,INDEX(Funding!$J$61:$BJ$61,1,Time!$F$13),Time!AJ30*(AJ36-AJ37))</f>
        <v>48.1652242224006</v>
      </c>
      <c r="AK38" s="11" t="n">
        <f aca="false">IF(Time!AK29=1,INDEX(Funding!$J$61:$BJ$61,1,Time!$F$13),Time!AK30*(AK36-AK37))</f>
        <v>38.5323540133394</v>
      </c>
      <c r="AL38" s="11" t="n">
        <f aca="false">IF(Time!AL29=1,INDEX(Funding!$J$61:$BJ$61,1,Time!$F$13),Time!AL30*(AL36-AL37))</f>
        <v>28.447771347985</v>
      </c>
      <c r="AM38" s="11" t="n">
        <f aca="false">IF(Time!AM29=1,INDEX(Funding!$J$61:$BJ$61,1,Time!$F$13),Time!AM30*(AM36-AM37))</f>
        <v>17.8979054328604</v>
      </c>
      <c r="AN38" s="11" t="n">
        <f aca="false">IF(Time!AN29=1,INDEX(Funding!$J$61:$BJ$61,1,Time!$F$13),Time!AN30*(AN36-AN37))</f>
        <v>8.73539238687779</v>
      </c>
      <c r="AO38" s="11" t="n">
        <f aca="false">IF(Time!AO29=1,INDEX(Funding!$J$61:$BJ$61,1,Time!$F$13),Time!AO30*(AO36-AO37))</f>
        <v>0</v>
      </c>
      <c r="AP38" s="11" t="n">
        <f aca="false">IF(Time!AP29=1,INDEX(Funding!$J$61:$BJ$61,1,Time!$F$13),Time!AP30*(AP36-AP37))</f>
        <v>0</v>
      </c>
      <c r="AQ38" s="11" t="n">
        <f aca="false">IF(Time!AQ29=1,INDEX(Funding!$J$61:$BJ$61,1,Time!$F$13),Time!AQ30*(AQ36-AQ37))</f>
        <v>0</v>
      </c>
      <c r="AR38" s="11" t="n">
        <f aca="false">IF(Time!AR29=1,INDEX(Funding!$J$61:$BJ$61,1,Time!$F$13),Time!AR30*(AR36-AR37))</f>
        <v>0</v>
      </c>
      <c r="AS38" s="11" t="n">
        <f aca="false">IF(Time!AS29=1,INDEX(Funding!$J$61:$BJ$61,1,Time!$F$13),Time!AS30*(AS36-AS37))</f>
        <v>0</v>
      </c>
      <c r="AT38" s="11" t="n">
        <f aca="false">IF(Time!AT29=1,INDEX(Funding!$J$61:$BJ$61,1,Time!$F$13),Time!AT30*(AT36-AT37))</f>
        <v>0</v>
      </c>
      <c r="AU38" s="11" t="n">
        <f aca="false">IF(Time!AU29=1,INDEX(Funding!$J$61:$BJ$61,1,Time!$F$13),Time!AU30*(AU36-AU37))</f>
        <v>0</v>
      </c>
      <c r="AV38" s="11" t="n">
        <f aca="false">IF(Time!AV29=1,INDEX(Funding!$J$61:$BJ$61,1,Time!$F$13),Time!AV30*(AV36-AV37))</f>
        <v>0</v>
      </c>
      <c r="AW38" s="11" t="n">
        <f aca="false">IF(Time!AW29=1,INDEX(Funding!$J$61:$BJ$61,1,Time!$F$13),Time!AW30*(AW36-AW37))</f>
        <v>0</v>
      </c>
      <c r="AX38" s="11" t="n">
        <f aca="false">IF(Time!AX29=1,INDEX(Funding!$J$61:$BJ$61,1,Time!$F$13),Time!AX30*(AX36-AX37))</f>
        <v>0</v>
      </c>
      <c r="AY38" s="11" t="n">
        <f aca="false">IF(Time!AY29=1,INDEX(Funding!$J$61:$BJ$61,1,Time!$F$13),Time!AY30*(AY36-AY37))</f>
        <v>0</v>
      </c>
      <c r="AZ38" s="11" t="n">
        <f aca="false">IF(Time!AZ29=1,INDEX(Funding!$J$61:$BJ$61,1,Time!$F$13),Time!AZ30*(AZ36-AZ37))</f>
        <v>0</v>
      </c>
      <c r="BA38" s="11" t="n">
        <f aca="false">IF(Time!BA29=1,INDEX(Funding!$J$61:$BJ$61,1,Time!$F$13),Time!BA30*(BA36-BA37))</f>
        <v>0</v>
      </c>
      <c r="BB38" s="11" t="n">
        <f aca="false">IF(Time!BB29=1,INDEX(Funding!$J$61:$BJ$61,1,Time!$F$13),Time!BB30*(BB36-BB37))</f>
        <v>0</v>
      </c>
      <c r="BC38" s="11" t="n">
        <f aca="false">IF(Time!BC29=1,INDEX(Funding!$J$61:$BJ$61,1,Time!$F$13),Time!BC30*(BC36-BC37))</f>
        <v>0</v>
      </c>
      <c r="BD38" s="11" t="n">
        <f aca="false">IF(Time!BD29=1,INDEX(Funding!$J$61:$BJ$61,1,Time!$F$13),Time!BD30*(BD36-BD37))</f>
        <v>0</v>
      </c>
      <c r="BE38" s="11" t="n">
        <f aca="false">IF(Time!BE29=1,INDEX(Funding!$J$61:$BJ$61,1,Time!$F$13),Time!BE30*(BE36-BE37))</f>
        <v>0</v>
      </c>
      <c r="BF38" s="11" t="n">
        <f aca="false">IF(Time!BF29=1,INDEX(Funding!$J$61:$BJ$61,1,Time!$F$13),Time!BF30*(BF36-BF37))</f>
        <v>0</v>
      </c>
      <c r="BG38" s="11" t="n">
        <f aca="false">IF(Time!BG29=1,INDEX(Funding!$J$61:$BJ$61,1,Time!$F$13),Time!BG30*(BG36-BG37))</f>
        <v>0</v>
      </c>
      <c r="BH38" s="11" t="n">
        <f aca="false">IF(Time!BH29=1,INDEX(Funding!$J$61:$BJ$61,1,Time!$F$13),Time!BH30*(BH36-BH37))</f>
        <v>0</v>
      </c>
      <c r="BI38" s="11" t="n">
        <f aca="false">IF(Time!BI29=1,INDEX(Funding!$J$61:$BJ$61,1,Time!$F$13),Time!BI30*(BI36-BI37))</f>
        <v>0</v>
      </c>
      <c r="BJ38" s="11" t="n">
        <f aca="false">IF(Time!BJ29=1,INDEX(Funding!$J$61:$BJ$61,1,Time!$F$13),Time!BJ30*(BJ36-BJ37))</f>
        <v>0</v>
      </c>
      <c r="BK38" s="11" t="n">
        <f aca="false">IF(Time!BK29=1,INDEX(Funding!$J$61:$BJ$61,1,Time!$F$13),Time!BK30*(BK36-BK37))</f>
        <v>0</v>
      </c>
      <c r="BL38" s="11" t="n">
        <f aca="false">IF(Time!BL29=1,INDEX(Funding!$J$61:$BJ$61,1,Time!$F$13),Time!BL30*(BL36-BL37))</f>
        <v>0</v>
      </c>
      <c r="BM38" s="11" t="n">
        <f aca="false">IF(Time!BM29=1,INDEX(Funding!$J$61:$BJ$61,1,Time!$F$13),Time!BM30*(BM36-BM37))</f>
        <v>0</v>
      </c>
      <c r="BN38" s="11" t="n">
        <f aca="false">IF(Time!BN29=1,INDEX(Funding!$J$61:$BJ$61,1,Time!$F$13),Time!BN30*(BN36-BN37))</f>
        <v>0</v>
      </c>
    </row>
    <row r="39" customFormat="false" ht="15" hidden="false" customHeight="false" outlineLevel="0" collapsed="false">
      <c r="B39" s="2" t="s">
        <v>668</v>
      </c>
    </row>
    <row r="40" customFormat="false" ht="15" hidden="false" customHeight="false" outlineLevel="0" collapsed="false">
      <c r="D40" s="0" t="s">
        <v>654</v>
      </c>
      <c r="E40" s="0" t="s">
        <v>149</v>
      </c>
      <c r="J40" s="11" t="n">
        <f aca="false">Time!J30*0</f>
        <v>0</v>
      </c>
      <c r="K40" s="11" t="n">
        <f aca="false">Time!K30*J53</f>
        <v>0</v>
      </c>
      <c r="L40" s="11" t="n">
        <f aca="false">Time!L30*K53</f>
        <v>0</v>
      </c>
      <c r="M40" s="11" t="n">
        <f aca="false">Time!M30*L53</f>
        <v>0</v>
      </c>
      <c r="N40" s="11" t="n">
        <f aca="false">Time!N30*M53</f>
        <v>0</v>
      </c>
      <c r="O40" s="11" t="n">
        <f aca="false">Time!O30*N53</f>
        <v>0</v>
      </c>
      <c r="P40" s="11" t="n">
        <f aca="false">Time!P30*O53</f>
        <v>0</v>
      </c>
      <c r="Q40" s="11" t="n">
        <f aca="false">Time!Q30*P53</f>
        <v>137.921510270748</v>
      </c>
      <c r="R40" s="11" t="n">
        <f aca="false">Time!R30*Q53</f>
        <v>130.340352346668</v>
      </c>
      <c r="S40" s="11" t="n">
        <f aca="false">Time!S30*R53</f>
        <v>126.696982143684</v>
      </c>
      <c r="T40" s="11" t="n">
        <f aca="false">Time!T30*S53</f>
        <v>122.925304569897</v>
      </c>
      <c r="U40" s="11" t="n">
        <f aca="false">Time!U30*T53</f>
        <v>121.345852195181</v>
      </c>
      <c r="V40" s="11" t="n">
        <f aca="false">Time!V30*U53</f>
        <v>116.695011957651</v>
      </c>
      <c r="W40" s="11" t="n">
        <f aca="false">Time!W30*V53</f>
        <v>111.858384874298</v>
      </c>
      <c r="X40" s="11" t="n">
        <f aca="false">Time!X30*W53</f>
        <v>106.78986532491</v>
      </c>
      <c r="Y40" s="11" t="n">
        <f aca="false">Time!Y30*X53</f>
        <v>101.515850783197</v>
      </c>
      <c r="Z40" s="11" t="n">
        <f aca="false">Time!Z30*Y53</f>
        <v>97.1580920257009</v>
      </c>
      <c r="AA40" s="11" t="n">
        <f aca="false">Time!AA30*Z53</f>
        <v>92.5951403430578</v>
      </c>
      <c r="AB40" s="11" t="n">
        <f aca="false">Time!AB30*AA53</f>
        <v>87.937668817578</v>
      </c>
      <c r="AC40" s="11" t="n">
        <f aca="false">Time!AC30*AB53</f>
        <v>83.0534407442787</v>
      </c>
      <c r="AD40" s="11" t="n">
        <f aca="false">Time!AD30*AC53</f>
        <v>78.0312824079354</v>
      </c>
      <c r="AE40" s="11" t="n">
        <f aca="false">Time!AE30*AD53</f>
        <v>72.7704143321423</v>
      </c>
      <c r="AF40" s="11" t="n">
        <f aca="false">Time!AF30*AE53</f>
        <v>67.0889312751858</v>
      </c>
      <c r="AG40" s="11" t="n">
        <f aca="false">Time!AG30*AF53</f>
        <v>61.1020985565968</v>
      </c>
      <c r="AH40" s="11" t="n">
        <f aca="false">Time!AH30*AG53</f>
        <v>55.0689199586962</v>
      </c>
      <c r="AI40" s="11" t="n">
        <f aca="false">Time!AI30*AH53</f>
        <v>48.7242168690057</v>
      </c>
      <c r="AJ40" s="11" t="n">
        <f aca="false">Time!AJ30*AI53</f>
        <v>42.1829722854694</v>
      </c>
      <c r="AK40" s="11" t="n">
        <f aca="false">Time!AK30*AJ53</f>
        <v>35.3211644297605</v>
      </c>
      <c r="AL40" s="11" t="n">
        <f aca="false">Time!AL30*AK53</f>
        <v>28.2570596097822</v>
      </c>
      <c r="AM40" s="11" t="n">
        <f aca="false">Time!AM30*AL53</f>
        <v>20.8616989885223</v>
      </c>
      <c r="AN40" s="11" t="n">
        <f aca="false">Time!AN30*AM53</f>
        <v>13.1251306507643</v>
      </c>
      <c r="AO40" s="11" t="n">
        <f aca="false">Time!AO30*AN53</f>
        <v>6.40595441704372</v>
      </c>
      <c r="AP40" s="11" t="n">
        <f aca="false">Time!AP30*AO53</f>
        <v>0</v>
      </c>
      <c r="AQ40" s="11" t="n">
        <f aca="false">Time!AQ30*AP53</f>
        <v>0</v>
      </c>
      <c r="AR40" s="11" t="n">
        <f aca="false">Time!AR30*AQ53</f>
        <v>0</v>
      </c>
      <c r="AS40" s="11" t="n">
        <f aca="false">Time!AS30*AR53</f>
        <v>0</v>
      </c>
      <c r="AT40" s="11" t="n">
        <f aca="false">Time!AT30*AS53</f>
        <v>0</v>
      </c>
      <c r="AU40" s="11" t="n">
        <f aca="false">Time!AU30*AT53</f>
        <v>0</v>
      </c>
      <c r="AV40" s="11" t="n">
        <f aca="false">Time!AV30*AU53</f>
        <v>0</v>
      </c>
      <c r="AW40" s="11" t="n">
        <f aca="false">Time!AW30*AV53</f>
        <v>0</v>
      </c>
      <c r="AX40" s="11" t="n">
        <f aca="false">Time!AX30*AW53</f>
        <v>0</v>
      </c>
      <c r="AY40" s="11" t="n">
        <f aca="false">Time!AY30*AX53</f>
        <v>0</v>
      </c>
      <c r="AZ40" s="11" t="n">
        <f aca="false">Time!AZ30*AY53</f>
        <v>0</v>
      </c>
      <c r="BA40" s="11" t="n">
        <f aca="false">Time!BA30*AZ53</f>
        <v>0</v>
      </c>
      <c r="BB40" s="11" t="n">
        <f aca="false">Time!BB30*BA53</f>
        <v>0</v>
      </c>
      <c r="BC40" s="11" t="n">
        <f aca="false">Time!BC30*BB53</f>
        <v>0</v>
      </c>
      <c r="BD40" s="11" t="n">
        <f aca="false">Time!BD30*BC53</f>
        <v>0</v>
      </c>
      <c r="BE40" s="11" t="n">
        <f aca="false">Time!BE30*BD53</f>
        <v>0</v>
      </c>
      <c r="BF40" s="11" t="n">
        <f aca="false">Time!BF30*BE53</f>
        <v>0</v>
      </c>
      <c r="BG40" s="11" t="n">
        <f aca="false">Time!BG30*BF53</f>
        <v>0</v>
      </c>
      <c r="BH40" s="11" t="n">
        <f aca="false">Time!BH30*BG53</f>
        <v>0</v>
      </c>
      <c r="BI40" s="11" t="n">
        <f aca="false">Time!BI30*BH53</f>
        <v>0</v>
      </c>
      <c r="BJ40" s="11" t="n">
        <f aca="false">Time!BJ30*BI53</f>
        <v>0</v>
      </c>
      <c r="BK40" s="11" t="n">
        <f aca="false">Time!BK30*BJ53</f>
        <v>0</v>
      </c>
      <c r="BL40" s="11" t="n">
        <f aca="false">Time!BL30*BK53</f>
        <v>0</v>
      </c>
      <c r="BM40" s="11" t="n">
        <f aca="false">Time!BM30*BL53</f>
        <v>0</v>
      </c>
      <c r="BN40" s="11" t="n">
        <f aca="false">Time!BN30*BM53</f>
        <v>0</v>
      </c>
    </row>
    <row r="41" customFormat="false" ht="15" hidden="false" customHeight="false" outlineLevel="0" collapsed="false">
      <c r="D41" s="0" t="s">
        <v>655</v>
      </c>
      <c r="E41" s="0" t="s">
        <v>149</v>
      </c>
      <c r="J41" s="11" t="n">
        <f aca="false">0</f>
        <v>0</v>
      </c>
      <c r="K41" s="11" t="n">
        <f aca="false">J50</f>
        <v>0</v>
      </c>
      <c r="L41" s="11" t="n">
        <f aca="false">K50</f>
        <v>0</v>
      </c>
      <c r="M41" s="11" t="n">
        <f aca="false">L50</f>
        <v>0</v>
      </c>
      <c r="N41" s="11" t="n">
        <f aca="false">M50</f>
        <v>0</v>
      </c>
      <c r="O41" s="11" t="n">
        <f aca="false">N50</f>
        <v>0</v>
      </c>
      <c r="P41" s="11" t="n">
        <f aca="false">O50</f>
        <v>0</v>
      </c>
      <c r="Q41" s="11" t="n">
        <f aca="false">P50</f>
        <v>0</v>
      </c>
      <c r="R41" s="11" t="n">
        <f aca="false">Q50</f>
        <v>0</v>
      </c>
      <c r="S41" s="11" t="n">
        <f aca="false">R50</f>
        <v>0</v>
      </c>
      <c r="T41" s="11" t="n">
        <f aca="false">S50</f>
        <v>0</v>
      </c>
      <c r="U41" s="11" t="n">
        <f aca="false">T50</f>
        <v>2.36917856207503</v>
      </c>
      <c r="V41" s="11" t="n">
        <f aca="false">U50</f>
        <v>1.77688392155628</v>
      </c>
      <c r="W41" s="11" t="n">
        <f aca="false">V50</f>
        <v>1.18458928103752</v>
      </c>
      <c r="X41" s="11" t="n">
        <f aca="false">W50</f>
        <v>0.592294640518759</v>
      </c>
      <c r="Y41" s="11" t="n">
        <f aca="false">X50</f>
        <v>0</v>
      </c>
      <c r="Z41" s="11" t="n">
        <f aca="false">Y50</f>
        <v>0</v>
      </c>
      <c r="AA41" s="11" t="n">
        <f aca="false">Z50</f>
        <v>0</v>
      </c>
      <c r="AB41" s="11" t="n">
        <f aca="false">AA50</f>
        <v>0</v>
      </c>
      <c r="AC41" s="11" t="n">
        <f aca="false">AB50</f>
        <v>0</v>
      </c>
      <c r="AD41" s="11" t="n">
        <f aca="false">AC50</f>
        <v>0</v>
      </c>
      <c r="AE41" s="11" t="n">
        <f aca="false">AD50</f>
        <v>0</v>
      </c>
      <c r="AF41" s="11" t="n">
        <f aca="false">AE50</f>
        <v>0</v>
      </c>
      <c r="AG41" s="11" t="n">
        <f aca="false">AF50</f>
        <v>0</v>
      </c>
      <c r="AH41" s="11" t="n">
        <f aca="false">AG50</f>
        <v>0</v>
      </c>
      <c r="AI41" s="11" t="n">
        <f aca="false">AH50</f>
        <v>0</v>
      </c>
      <c r="AJ41" s="11" t="n">
        <f aca="false">AI50</f>
        <v>0</v>
      </c>
      <c r="AK41" s="11" t="n">
        <f aca="false">AJ50</f>
        <v>0</v>
      </c>
      <c r="AL41" s="11" t="n">
        <f aca="false">AK50</f>
        <v>0</v>
      </c>
      <c r="AM41" s="11" t="n">
        <f aca="false">AL50</f>
        <v>0</v>
      </c>
      <c r="AN41" s="11" t="n">
        <f aca="false">AM50</f>
        <v>0</v>
      </c>
      <c r="AO41" s="11" t="n">
        <f aca="false">AN50</f>
        <v>0</v>
      </c>
      <c r="AP41" s="11" t="n">
        <f aca="false">AO50</f>
        <v>0</v>
      </c>
      <c r="AQ41" s="11" t="n">
        <f aca="false">AP50</f>
        <v>0</v>
      </c>
      <c r="AR41" s="11" t="n">
        <f aca="false">AQ50</f>
        <v>0</v>
      </c>
      <c r="AS41" s="11" t="n">
        <f aca="false">AR50</f>
        <v>0</v>
      </c>
      <c r="AT41" s="11" t="n">
        <f aca="false">AS50</f>
        <v>0</v>
      </c>
      <c r="AU41" s="11" t="n">
        <f aca="false">AT50</f>
        <v>0</v>
      </c>
      <c r="AV41" s="11" t="n">
        <f aca="false">AU50</f>
        <v>0</v>
      </c>
      <c r="AW41" s="11" t="n">
        <f aca="false">AV50</f>
        <v>0</v>
      </c>
      <c r="AX41" s="11" t="n">
        <f aca="false">AW50</f>
        <v>0</v>
      </c>
      <c r="AY41" s="11" t="n">
        <f aca="false">AX50</f>
        <v>0</v>
      </c>
      <c r="AZ41" s="11" t="n">
        <f aca="false">AY50</f>
        <v>0</v>
      </c>
      <c r="BA41" s="11" t="n">
        <f aca="false">AZ50</f>
        <v>0</v>
      </c>
      <c r="BB41" s="11" t="n">
        <f aca="false">BA50</f>
        <v>0</v>
      </c>
      <c r="BC41" s="11" t="n">
        <f aca="false">BB50</f>
        <v>0</v>
      </c>
      <c r="BD41" s="11" t="n">
        <f aca="false">BC50</f>
        <v>0</v>
      </c>
      <c r="BE41" s="11" t="n">
        <f aca="false">BD50</f>
        <v>0</v>
      </c>
      <c r="BF41" s="11" t="n">
        <f aca="false">BE50</f>
        <v>0</v>
      </c>
      <c r="BG41" s="11" t="n">
        <f aca="false">BF50</f>
        <v>0</v>
      </c>
      <c r="BH41" s="11" t="n">
        <f aca="false">BG50</f>
        <v>0</v>
      </c>
      <c r="BI41" s="11" t="n">
        <f aca="false">BH50</f>
        <v>0</v>
      </c>
      <c r="BJ41" s="11" t="n">
        <f aca="false">BI50</f>
        <v>0</v>
      </c>
      <c r="BK41" s="11" t="n">
        <f aca="false">BJ50</f>
        <v>0</v>
      </c>
      <c r="BL41" s="11" t="n">
        <f aca="false">BK50</f>
        <v>0</v>
      </c>
      <c r="BM41" s="11" t="n">
        <f aca="false">BL50</f>
        <v>0</v>
      </c>
      <c r="BN41" s="11" t="n">
        <f aca="false">BM50</f>
        <v>0</v>
      </c>
    </row>
    <row r="42" customFormat="false" ht="15" hidden="false" customHeight="false" outlineLevel="0" collapsed="false">
      <c r="D42" s="0" t="s">
        <v>656</v>
      </c>
      <c r="E42" s="0" t="s">
        <v>149</v>
      </c>
      <c r="G42" s="11" t="n">
        <f aca="false">SUM(J42:BN42)</f>
        <v>78.3106493814448</v>
      </c>
      <c r="J42" s="11" t="n">
        <f aca="false">J40*J11</f>
        <v>0</v>
      </c>
      <c r="K42" s="11" t="n">
        <f aca="false">K40*K11</f>
        <v>0</v>
      </c>
      <c r="L42" s="11" t="n">
        <f aca="false">L40*L11</f>
        <v>0</v>
      </c>
      <c r="M42" s="11" t="n">
        <f aca="false">M40*M11</f>
        <v>0</v>
      </c>
      <c r="N42" s="11" t="n">
        <f aca="false">N40*N11</f>
        <v>0</v>
      </c>
      <c r="O42" s="11" t="n">
        <f aca="false">O40*O11</f>
        <v>0</v>
      </c>
      <c r="P42" s="11" t="n">
        <f aca="false">P40*P11</f>
        <v>0</v>
      </c>
      <c r="Q42" s="11" t="n">
        <f aca="false">Q40*Q11</f>
        <v>2.7668204306231</v>
      </c>
      <c r="R42" s="11" t="n">
        <f aca="false">R40*R11</f>
        <v>4.39015271226322</v>
      </c>
      <c r="S42" s="11" t="n">
        <f aca="false">S40*S11</f>
        <v>5.69370979828956</v>
      </c>
      <c r="T42" s="11" t="n">
        <f aca="false">T40*T11</f>
        <v>6.31316992903175</v>
      </c>
      <c r="U42" s="11" t="n">
        <f aca="false">U40*U11</f>
        <v>5.97413715180221</v>
      </c>
      <c r="V42" s="11" t="n">
        <f aca="false">V40*V11</f>
        <v>5.84408568019465</v>
      </c>
      <c r="W42" s="11" t="n">
        <f aca="false">W40*W11</f>
        <v>4.68380594296646</v>
      </c>
      <c r="X42" s="11" t="n">
        <f aca="false">X40*X11</f>
        <v>4.50202293666477</v>
      </c>
      <c r="Y42" s="11" t="n">
        <f aca="false">Y40*Y11</f>
        <v>3.92918527318046</v>
      </c>
      <c r="Z42" s="11" t="n">
        <f aca="false">Z40*Z11</f>
        <v>3.80298319694336</v>
      </c>
      <c r="AA42" s="11" t="n">
        <f aca="false">AA40*AA11</f>
        <v>3.50476479761845</v>
      </c>
      <c r="AB42" s="11" t="n">
        <f aca="false">AB40*AB11</f>
        <v>3.3836456882245</v>
      </c>
      <c r="AC42" s="11" t="n">
        <f aca="false">AC40*AC11</f>
        <v>3.18196953748784</v>
      </c>
      <c r="AD42" s="11" t="n">
        <f aca="false">AD40*AD11</f>
        <v>3.02241132512833</v>
      </c>
      <c r="AE42" s="11" t="n">
        <f aca="false">AE40*AE11</f>
        <v>2.77268429836453</v>
      </c>
      <c r="AF42" s="11" t="n">
        <f aca="false">AF40*AF11</f>
        <v>2.59857763988584</v>
      </c>
      <c r="AG42" s="11" t="n">
        <f aca="false">AG40*AG11</f>
        <v>2.32810038007667</v>
      </c>
      <c r="AH42" s="11" t="n">
        <f aca="false">AH40*AH11</f>
        <v>2.13300258831608</v>
      </c>
      <c r="AI42" s="11" t="n">
        <f aca="false">AI40*AI11</f>
        <v>1.8564807181966</v>
      </c>
      <c r="AJ42" s="11" t="n">
        <f aca="false">AJ40*AJ11</f>
        <v>1.63388693904397</v>
      </c>
      <c r="AK42" s="11" t="n">
        <f aca="false">AK40*AK11</f>
        <v>1.35323555817691</v>
      </c>
      <c r="AL42" s="11" t="n">
        <f aca="false">AL40*AL11</f>
        <v>1.09448998329863</v>
      </c>
      <c r="AM42" s="11" t="n">
        <f aca="false">AM40*AM11</f>
        <v>0.794868433188706</v>
      </c>
      <c r="AN42" s="11" t="n">
        <f aca="false">AN40*AN11</f>
        <v>0.508380002205691</v>
      </c>
      <c r="AO42" s="11" t="n">
        <f aca="false">AO40*AO11</f>
        <v>0.244078440272543</v>
      </c>
      <c r="AP42" s="11" t="n">
        <f aca="false">AP40*AP11</f>
        <v>0</v>
      </c>
      <c r="AQ42" s="11" t="n">
        <f aca="false">AQ40*AQ11</f>
        <v>0</v>
      </c>
      <c r="AR42" s="11" t="n">
        <f aca="false">AR40*AR11</f>
        <v>0</v>
      </c>
      <c r="AS42" s="11" t="n">
        <f aca="false">AS40*AS11</f>
        <v>0</v>
      </c>
      <c r="AT42" s="11" t="n">
        <f aca="false">AT40*AT11</f>
        <v>0</v>
      </c>
      <c r="AU42" s="11" t="n">
        <f aca="false">AU40*AU11</f>
        <v>0</v>
      </c>
      <c r="AV42" s="11" t="n">
        <f aca="false">AV40*AV11</f>
        <v>0</v>
      </c>
      <c r="AW42" s="11" t="n">
        <f aca="false">AW40*AW11</f>
        <v>0</v>
      </c>
      <c r="AX42" s="11" t="n">
        <f aca="false">AX40*AX11</f>
        <v>0</v>
      </c>
      <c r="AY42" s="11" t="n">
        <f aca="false">AY40*AY11</f>
        <v>0</v>
      </c>
      <c r="AZ42" s="11" t="n">
        <f aca="false">AZ40*AZ11</f>
        <v>0</v>
      </c>
      <c r="BA42" s="11" t="n">
        <f aca="false">BA40*BA11</f>
        <v>0</v>
      </c>
      <c r="BB42" s="11" t="n">
        <f aca="false">BB40*BB11</f>
        <v>0</v>
      </c>
      <c r="BC42" s="11" t="n">
        <f aca="false">BC40*BC11</f>
        <v>0</v>
      </c>
      <c r="BD42" s="11" t="n">
        <f aca="false">BD40*BD11</f>
        <v>0</v>
      </c>
      <c r="BE42" s="11" t="n">
        <f aca="false">BE40*BE11</f>
        <v>0</v>
      </c>
      <c r="BF42" s="11" t="n">
        <f aca="false">BF40*BF11</f>
        <v>0</v>
      </c>
      <c r="BG42" s="11" t="n">
        <f aca="false">BG40*BG11</f>
        <v>0</v>
      </c>
      <c r="BH42" s="11" t="n">
        <f aca="false">BH40*BH11</f>
        <v>0</v>
      </c>
      <c r="BI42" s="11" t="n">
        <f aca="false">BI40*BI11</f>
        <v>0</v>
      </c>
      <c r="BJ42" s="11" t="n">
        <f aca="false">BJ40*BJ11</f>
        <v>0</v>
      </c>
      <c r="BK42" s="11" t="n">
        <f aca="false">BK40*BK11</f>
        <v>0</v>
      </c>
      <c r="BL42" s="11" t="n">
        <f aca="false">BL40*BL11</f>
        <v>0</v>
      </c>
      <c r="BM42" s="11" t="n">
        <f aca="false">BM40*BM11</f>
        <v>0</v>
      </c>
      <c r="BN42" s="11" t="n">
        <f aca="false">BN40*BN11</f>
        <v>0</v>
      </c>
    </row>
    <row r="43" customFormat="false" ht="15" hidden="false" customHeight="false" outlineLevel="0" collapsed="false">
      <c r="D43" s="0" t="s">
        <v>657</v>
      </c>
      <c r="E43" s="0" t="s">
        <v>149</v>
      </c>
      <c r="G43" s="11" t="n">
        <f aca="false">SUM(J43:BN43)</f>
        <v>133.854810270755</v>
      </c>
      <c r="J43" s="11" t="n">
        <f aca="false">Time!J30*(J40-J41)*J19</f>
        <v>0</v>
      </c>
      <c r="K43" s="11" t="n">
        <f aca="false">Time!K30*(K40-K41)*K19</f>
        <v>0</v>
      </c>
      <c r="L43" s="11" t="n">
        <f aca="false">Time!L30*(L40-L41)*L19</f>
        <v>0</v>
      </c>
      <c r="M43" s="11" t="n">
        <f aca="false">Time!M30*(M40-M41)*M19</f>
        <v>0</v>
      </c>
      <c r="N43" s="11" t="n">
        <f aca="false">Time!N30*(N40-N41)*N19</f>
        <v>0</v>
      </c>
      <c r="O43" s="11" t="n">
        <f aca="false">Time!O30*(O40-O41)*O19</f>
        <v>0</v>
      </c>
      <c r="P43" s="11" t="n">
        <f aca="false">Time!P30*(P40-P41)*P19</f>
        <v>0</v>
      </c>
      <c r="Q43" s="11" t="n">
        <f aca="false">Time!Q30*(Q40-Q41)*Q19</f>
        <v>3.51445792408659</v>
      </c>
      <c r="R43" s="11" t="n">
        <f aca="false">Time!R30*(R40-R41)*R19</f>
        <v>3.64337020298427</v>
      </c>
      <c r="S43" s="11" t="n">
        <f aca="false">Time!S30*(S40-S41)*S19</f>
        <v>3.77167757378663</v>
      </c>
      <c r="T43" s="11" t="n">
        <f aca="false">Time!T30*(T40-T41)*T19</f>
        <v>3.94863093679172</v>
      </c>
      <c r="U43" s="11" t="n">
        <f aca="false">Time!U30*(U40-U41)*U19</f>
        <v>4.05854559701108</v>
      </c>
      <c r="V43" s="11" t="n">
        <f aca="false">Time!V30*(V40-V41)*V19</f>
        <v>4.24433244283432</v>
      </c>
      <c r="W43" s="11" t="n">
        <f aca="false">Time!W30*(W40-W41)*W19</f>
        <v>4.47622490886849</v>
      </c>
      <c r="X43" s="11" t="n">
        <f aca="false">Time!X30*(X40-X41)*X19</f>
        <v>4.68171990119431</v>
      </c>
      <c r="Y43" s="11" t="n">
        <f aca="false">Time!Y30*(Y40-Y41)*Y19</f>
        <v>4.35775875749643</v>
      </c>
      <c r="Z43" s="11" t="n">
        <f aca="false">Time!Z30*(Z40-Z41)*Z19</f>
        <v>4.56295168264308</v>
      </c>
      <c r="AA43" s="11" t="n">
        <f aca="false">Time!AA30*(AA40-AA41)*AA19</f>
        <v>4.65747152547981</v>
      </c>
      <c r="AB43" s="11" t="n">
        <f aca="false">Time!AB30*(AB40-AB41)*AB19</f>
        <v>4.88422807329939</v>
      </c>
      <c r="AC43" s="11" t="n">
        <f aca="false">Time!AC30*(AC40-AC41)*AC19</f>
        <v>5.02215833634327</v>
      </c>
      <c r="AD43" s="11" t="n">
        <f aca="false">Time!AD30*(AD40-AD41)*AD19</f>
        <v>5.26086807579304</v>
      </c>
      <c r="AE43" s="11" t="n">
        <f aca="false">Time!AE30*(AE40-AE41)*AE19</f>
        <v>5.68148305695651</v>
      </c>
      <c r="AF43" s="11" t="n">
        <f aca="false">Time!AF30*(AF40-AF41)*AF19</f>
        <v>5.98683271858903</v>
      </c>
      <c r="AG43" s="11" t="n">
        <f aca="false">Time!AG30*(AG40-AG41)*AG19</f>
        <v>6.03317859790062</v>
      </c>
      <c r="AH43" s="11" t="n">
        <f aca="false">Time!AH30*(AH40-AH41)*AH19</f>
        <v>6.34470308969045</v>
      </c>
      <c r="AI43" s="11" t="n">
        <f aca="false">Time!AI30*(AI40-AI41)*AI19</f>
        <v>6.54124458353638</v>
      </c>
      <c r="AJ43" s="11" t="n">
        <f aca="false">Time!AJ30*(AJ40-AJ41)*AJ19</f>
        <v>6.86180785570885</v>
      </c>
      <c r="AK43" s="11" t="n">
        <f aca="false">Time!AK30*(AK40-AK41)*AK19</f>
        <v>7.06410481997828</v>
      </c>
      <c r="AL43" s="11" t="n">
        <f aca="false">Time!AL30*(AL40-AL41)*AL19</f>
        <v>7.39536062125989</v>
      </c>
      <c r="AM43" s="11" t="n">
        <f aca="false">Time!AM30*(AM40-AM41)*AM19</f>
        <v>7.736568337758</v>
      </c>
      <c r="AN43" s="11" t="n">
        <f aca="false">Time!AN30*(AN40-AN41)*AN19</f>
        <v>6.71917623372062</v>
      </c>
      <c r="AO43" s="11" t="n">
        <f aca="false">Time!AO30*(AO40-AO41)*AO19</f>
        <v>6.40595441704372</v>
      </c>
      <c r="AP43" s="11" t="n">
        <f aca="false">Time!AP30*(AP40-AP41)*AP19</f>
        <v>0</v>
      </c>
      <c r="AQ43" s="11" t="n">
        <f aca="false">Time!AQ30*(AQ40-AQ41)*AQ19</f>
        <v>0</v>
      </c>
      <c r="AR43" s="11" t="n">
        <f aca="false">Time!AR30*(AR40-AR41)*AR19</f>
        <v>0</v>
      </c>
      <c r="AS43" s="11" t="n">
        <f aca="false">Time!AS30*(AS40-AS41)*AS19</f>
        <v>0</v>
      </c>
      <c r="AT43" s="11" t="n">
        <f aca="false">Time!AT30*(AT40-AT41)*AT19</f>
        <v>0</v>
      </c>
      <c r="AU43" s="11" t="n">
        <f aca="false">Time!AU30*(AU40-AU41)*AU19</f>
        <v>0</v>
      </c>
      <c r="AV43" s="11" t="n">
        <f aca="false">Time!AV30*(AV40-AV41)*AV19</f>
        <v>0</v>
      </c>
      <c r="AW43" s="11" t="n">
        <f aca="false">Time!AW30*(AW40-AW41)*AW19</f>
        <v>0</v>
      </c>
      <c r="AX43" s="11" t="n">
        <f aca="false">Time!AX30*(AX40-AX41)*AX19</f>
        <v>0</v>
      </c>
      <c r="AY43" s="11" t="n">
        <f aca="false">Time!AY30*(AY40-AY41)*AY19</f>
        <v>0</v>
      </c>
      <c r="AZ43" s="11" t="n">
        <f aca="false">Time!AZ30*(AZ40-AZ41)*AZ19</f>
        <v>0</v>
      </c>
      <c r="BA43" s="11" t="n">
        <f aca="false">Time!BA30*(BA40-BA41)*BA19</f>
        <v>0</v>
      </c>
      <c r="BB43" s="11" t="n">
        <f aca="false">Time!BB30*(BB40-BB41)*BB19</f>
        <v>0</v>
      </c>
      <c r="BC43" s="11" t="n">
        <f aca="false">Time!BC30*(BC40-BC41)*BC19</f>
        <v>0</v>
      </c>
      <c r="BD43" s="11" t="n">
        <f aca="false">Time!BD30*(BD40-BD41)*BD19</f>
        <v>0</v>
      </c>
      <c r="BE43" s="11" t="n">
        <f aca="false">Time!BE30*(BE40-BE41)*BE19</f>
        <v>0</v>
      </c>
      <c r="BF43" s="11" t="n">
        <f aca="false">Time!BF30*(BF40-BF41)*BF19</f>
        <v>0</v>
      </c>
      <c r="BG43" s="11" t="n">
        <f aca="false">Time!BG30*(BG40-BG41)*BG19</f>
        <v>0</v>
      </c>
      <c r="BH43" s="11" t="n">
        <f aca="false">Time!BH30*(BH40-BH41)*BH19</f>
        <v>0</v>
      </c>
      <c r="BI43" s="11" t="n">
        <f aca="false">Time!BI30*(BI40-BI41)*BI19</f>
        <v>0</v>
      </c>
      <c r="BJ43" s="11" t="n">
        <f aca="false">Time!BJ30*(BJ40-BJ41)*BJ19</f>
        <v>0</v>
      </c>
      <c r="BK43" s="11" t="n">
        <f aca="false">Time!BK30*(BK40-BK41)*BK19</f>
        <v>0</v>
      </c>
      <c r="BL43" s="11" t="n">
        <f aca="false">Time!BL30*(BL40-BL41)*BL19</f>
        <v>0</v>
      </c>
      <c r="BM43" s="11" t="n">
        <f aca="false">Time!BM30*(BM40-BM41)*BM19</f>
        <v>0</v>
      </c>
      <c r="BN43" s="11" t="n">
        <f aca="false">Time!BN30*(BN40-BN41)*BN19</f>
        <v>0</v>
      </c>
    </row>
    <row r="44" customFormat="false" ht="15" hidden="false" customHeight="false" outlineLevel="0" collapsed="false">
      <c r="D44" s="0" t="s">
        <v>658</v>
      </c>
      <c r="E44" s="0" t="s">
        <v>149</v>
      </c>
      <c r="G44" s="11" t="n">
        <f aca="false">SUM(J44:BN44)</f>
        <v>2.36917856207503</v>
      </c>
      <c r="J44" s="11" t="n">
        <f aca="false">J21*Inputs!$F$194*J43</f>
        <v>0</v>
      </c>
      <c r="K44" s="11" t="n">
        <f aca="false">K21*Inputs!$F$194*K43</f>
        <v>0</v>
      </c>
      <c r="L44" s="11" t="n">
        <f aca="false">L21*Inputs!$F$194*L43</f>
        <v>0</v>
      </c>
      <c r="M44" s="11" t="n">
        <f aca="false">M21*Inputs!$F$194*M43</f>
        <v>0</v>
      </c>
      <c r="N44" s="11" t="n">
        <f aca="false">N21*Inputs!$F$194*N43</f>
        <v>0</v>
      </c>
      <c r="O44" s="11" t="n">
        <f aca="false">O21*Inputs!$F$194*O43</f>
        <v>0</v>
      </c>
      <c r="P44" s="11" t="n">
        <f aca="false">P21*Inputs!$F$194*P43</f>
        <v>0</v>
      </c>
      <c r="Q44" s="11" t="n">
        <f aca="false">Q21*Inputs!$F$194*Q43</f>
        <v>0</v>
      </c>
      <c r="R44" s="11" t="n">
        <f aca="false">R21*Inputs!$F$194*R43</f>
        <v>0</v>
      </c>
      <c r="S44" s="11" t="n">
        <f aca="false">S21*Inputs!$F$194*S43</f>
        <v>0</v>
      </c>
      <c r="T44" s="11" t="n">
        <f aca="false">T21*Inputs!$F$194*T43</f>
        <v>2.36917856207503</v>
      </c>
      <c r="U44" s="11" t="n">
        <f aca="false">U21*Inputs!$F$194*U43</f>
        <v>0</v>
      </c>
      <c r="V44" s="11" t="n">
        <f aca="false">V21*Inputs!$F$194*V43</f>
        <v>0</v>
      </c>
      <c r="W44" s="11" t="n">
        <f aca="false">W21*Inputs!$F$194*W43</f>
        <v>0</v>
      </c>
      <c r="X44" s="11" t="n">
        <f aca="false">X21*Inputs!$F$194*X43</f>
        <v>0</v>
      </c>
      <c r="Y44" s="11" t="n">
        <f aca="false">Y21*Inputs!$F$194*Y43</f>
        <v>0</v>
      </c>
      <c r="Z44" s="11" t="n">
        <f aca="false">Z21*Inputs!$F$194*Z43</f>
        <v>0</v>
      </c>
      <c r="AA44" s="11" t="n">
        <f aca="false">AA21*Inputs!$F$194*AA43</f>
        <v>0</v>
      </c>
      <c r="AB44" s="11" t="n">
        <f aca="false">AB21*Inputs!$F$194*AB43</f>
        <v>0</v>
      </c>
      <c r="AC44" s="11" t="n">
        <f aca="false">AC21*Inputs!$F$194*AC43</f>
        <v>0</v>
      </c>
      <c r="AD44" s="11" t="n">
        <f aca="false">AD21*Inputs!$F$194*AD43</f>
        <v>0</v>
      </c>
      <c r="AE44" s="11" t="n">
        <f aca="false">AE21*Inputs!$F$194*AE43</f>
        <v>0</v>
      </c>
      <c r="AF44" s="11" t="n">
        <f aca="false">AF21*Inputs!$F$194*AF43</f>
        <v>0</v>
      </c>
      <c r="AG44" s="11" t="n">
        <f aca="false">AG21*Inputs!$F$194*AG43</f>
        <v>0</v>
      </c>
      <c r="AH44" s="11" t="n">
        <f aca="false">AH21*Inputs!$F$194*AH43</f>
        <v>0</v>
      </c>
      <c r="AI44" s="11" t="n">
        <f aca="false">AI21*Inputs!$F$194*AI43</f>
        <v>0</v>
      </c>
      <c r="AJ44" s="11" t="n">
        <f aca="false">AJ21*Inputs!$F$194*AJ43</f>
        <v>0</v>
      </c>
      <c r="AK44" s="11" t="n">
        <f aca="false">AK21*Inputs!$F$194*AK43</f>
        <v>0</v>
      </c>
      <c r="AL44" s="11" t="n">
        <f aca="false">AL21*Inputs!$F$194*AL43</f>
        <v>0</v>
      </c>
      <c r="AM44" s="11" t="n">
        <f aca="false">AM21*Inputs!$F$194*AM43</f>
        <v>0</v>
      </c>
      <c r="AN44" s="11" t="n">
        <f aca="false">AN21*Inputs!$F$194*AN43</f>
        <v>0</v>
      </c>
      <c r="AO44" s="11" t="n">
        <f aca="false">AO21*Inputs!$F$194*AO43</f>
        <v>0</v>
      </c>
      <c r="AP44" s="11" t="n">
        <f aca="false">AP21*Inputs!$F$194*AP43</f>
        <v>0</v>
      </c>
      <c r="AQ44" s="11" t="n">
        <f aca="false">AQ21*Inputs!$F$194*AQ43</f>
        <v>0</v>
      </c>
      <c r="AR44" s="11" t="n">
        <f aca="false">AR21*Inputs!$F$194*AR43</f>
        <v>0</v>
      </c>
      <c r="AS44" s="11" t="n">
        <f aca="false">AS21*Inputs!$F$194*AS43</f>
        <v>0</v>
      </c>
      <c r="AT44" s="11" t="n">
        <f aca="false">AT21*Inputs!$F$194*AT43</f>
        <v>0</v>
      </c>
      <c r="AU44" s="11" t="n">
        <f aca="false">AU21*Inputs!$F$194*AU43</f>
        <v>0</v>
      </c>
      <c r="AV44" s="11" t="n">
        <f aca="false">AV21*Inputs!$F$194*AV43</f>
        <v>0</v>
      </c>
      <c r="AW44" s="11" t="n">
        <f aca="false">AW21*Inputs!$F$194*AW43</f>
        <v>0</v>
      </c>
      <c r="AX44" s="11" t="n">
        <f aca="false">AX21*Inputs!$F$194*AX43</f>
        <v>0</v>
      </c>
      <c r="AY44" s="11" t="n">
        <f aca="false">AY21*Inputs!$F$194*AY43</f>
        <v>0</v>
      </c>
      <c r="AZ44" s="11" t="n">
        <f aca="false">AZ21*Inputs!$F$194*AZ43</f>
        <v>0</v>
      </c>
      <c r="BA44" s="11" t="n">
        <f aca="false">BA21*Inputs!$F$194*BA43</f>
        <v>0</v>
      </c>
      <c r="BB44" s="11" t="n">
        <f aca="false">BB21*Inputs!$F$194*BB43</f>
        <v>0</v>
      </c>
      <c r="BC44" s="11" t="n">
        <f aca="false">BC21*Inputs!$F$194*BC43</f>
        <v>0</v>
      </c>
      <c r="BD44" s="11" t="n">
        <f aca="false">BD21*Inputs!$F$194*BD43</f>
        <v>0</v>
      </c>
      <c r="BE44" s="11" t="n">
        <f aca="false">BE21*Inputs!$F$194*BE43</f>
        <v>0</v>
      </c>
      <c r="BF44" s="11" t="n">
        <f aca="false">BF21*Inputs!$F$194*BF43</f>
        <v>0</v>
      </c>
      <c r="BG44" s="11" t="n">
        <f aca="false">BG21*Inputs!$F$194*BG43</f>
        <v>0</v>
      </c>
      <c r="BH44" s="11" t="n">
        <f aca="false">BH21*Inputs!$F$194*BH43</f>
        <v>0</v>
      </c>
      <c r="BI44" s="11" t="n">
        <f aca="false">BI21*Inputs!$F$194*BI43</f>
        <v>0</v>
      </c>
      <c r="BJ44" s="11" t="n">
        <f aca="false">BJ21*Inputs!$F$194*BJ43</f>
        <v>0</v>
      </c>
      <c r="BK44" s="11" t="n">
        <f aca="false">BK21*Inputs!$F$194*BK43</f>
        <v>0</v>
      </c>
      <c r="BL44" s="11" t="n">
        <f aca="false">BL21*Inputs!$F$194*BL43</f>
        <v>0</v>
      </c>
      <c r="BM44" s="11" t="n">
        <f aca="false">BM21*Inputs!$F$194*BM43</f>
        <v>0</v>
      </c>
      <c r="BN44" s="11" t="n">
        <f aca="false">BN21*Inputs!$F$194*BN43</f>
        <v>0</v>
      </c>
    </row>
    <row r="45" customFormat="false" ht="15" hidden="false" customHeight="false" outlineLevel="0" collapsed="false">
      <c r="D45" s="0" t="s">
        <v>659</v>
      </c>
      <c r="E45" s="0" t="s">
        <v>149</v>
      </c>
      <c r="F45" s="15" t="n">
        <f aca="false">$T$44</f>
        <v>2.36917856207503</v>
      </c>
    </row>
    <row r="46" customFormat="false" ht="15" hidden="false" customHeight="false" outlineLevel="0" collapsed="false">
      <c r="D46" s="0" t="s">
        <v>660</v>
      </c>
      <c r="E46" s="0" t="s">
        <v>149</v>
      </c>
      <c r="G46" s="11" t="n">
        <f aca="false">SUM(J46:BN46)</f>
        <v>2.36917856207503</v>
      </c>
      <c r="J46" s="11" t="n">
        <f aca="false">0</f>
        <v>0</v>
      </c>
      <c r="K46" s="11" t="n">
        <f aca="false">0</f>
        <v>0</v>
      </c>
      <c r="L46" s="11" t="n">
        <f aca="false">0</f>
        <v>0</v>
      </c>
      <c r="M46" s="11" t="n">
        <f aca="false">0</f>
        <v>0</v>
      </c>
      <c r="N46" s="11" t="n">
        <f aca="false">0</f>
        <v>0</v>
      </c>
      <c r="O46" s="11" t="n">
        <f aca="false">0</f>
        <v>0</v>
      </c>
      <c r="P46" s="11" t="n">
        <f aca="false">0</f>
        <v>0</v>
      </c>
      <c r="Q46" s="11" t="n">
        <f aca="false">0</f>
        <v>0</v>
      </c>
      <c r="R46" s="11" t="n">
        <f aca="false">0</f>
        <v>0</v>
      </c>
      <c r="S46" s="11" t="n">
        <f aca="false">0</f>
        <v>0</v>
      </c>
      <c r="T46" s="11" t="n">
        <f aca="false">0</f>
        <v>0</v>
      </c>
      <c r="U46" s="11" t="n">
        <f aca="false">U22*MIN($F$45/4,U41)</f>
        <v>0.592294640518759</v>
      </c>
      <c r="V46" s="11" t="n">
        <f aca="false">V22*MIN($F$45/4,V41)</f>
        <v>0.592294640518759</v>
      </c>
      <c r="W46" s="11" t="n">
        <f aca="false">W22*MIN($F$45/4,W41)</f>
        <v>0.592294640518759</v>
      </c>
      <c r="X46" s="11" t="n">
        <f aca="false">X22*MIN($F$45/4,X41)</f>
        <v>0.592294640518759</v>
      </c>
      <c r="Y46" s="11" t="n">
        <f aca="false">0</f>
        <v>0</v>
      </c>
      <c r="Z46" s="11" t="n">
        <f aca="false">0</f>
        <v>0</v>
      </c>
      <c r="AA46" s="11" t="n">
        <f aca="false">0</f>
        <v>0</v>
      </c>
      <c r="AB46" s="11" t="n">
        <f aca="false">0</f>
        <v>0</v>
      </c>
      <c r="AC46" s="11" t="n">
        <f aca="false">0</f>
        <v>0</v>
      </c>
      <c r="AD46" s="11" t="n">
        <f aca="false">0</f>
        <v>0</v>
      </c>
      <c r="AE46" s="11" t="n">
        <f aca="false">0</f>
        <v>0</v>
      </c>
      <c r="AF46" s="11" t="n">
        <f aca="false">0</f>
        <v>0</v>
      </c>
      <c r="AG46" s="11" t="n">
        <f aca="false">0</f>
        <v>0</v>
      </c>
      <c r="AH46" s="11" t="n">
        <f aca="false">0</f>
        <v>0</v>
      </c>
      <c r="AI46" s="11" t="n">
        <f aca="false">0</f>
        <v>0</v>
      </c>
      <c r="AJ46" s="11" t="n">
        <f aca="false">0</f>
        <v>0</v>
      </c>
      <c r="AK46" s="11" t="n">
        <f aca="false">0</f>
        <v>0</v>
      </c>
      <c r="AL46" s="11" t="n">
        <f aca="false">0</f>
        <v>0</v>
      </c>
      <c r="AM46" s="11" t="n">
        <f aca="false">0</f>
        <v>0</v>
      </c>
      <c r="AN46" s="11" t="n">
        <f aca="false">0</f>
        <v>0</v>
      </c>
      <c r="AO46" s="11" t="n">
        <f aca="false">0</f>
        <v>0</v>
      </c>
      <c r="AP46" s="11" t="n">
        <f aca="false">0</f>
        <v>0</v>
      </c>
      <c r="AQ46" s="11" t="n">
        <f aca="false">0</f>
        <v>0</v>
      </c>
      <c r="AR46" s="11" t="n">
        <f aca="false">0</f>
        <v>0</v>
      </c>
      <c r="AS46" s="11" t="n">
        <f aca="false">0</f>
        <v>0</v>
      </c>
      <c r="AT46" s="11" t="n">
        <f aca="false">0</f>
        <v>0</v>
      </c>
      <c r="AU46" s="11" t="n">
        <f aca="false">0</f>
        <v>0</v>
      </c>
      <c r="AV46" s="11" t="n">
        <f aca="false">0</f>
        <v>0</v>
      </c>
      <c r="AW46" s="11" t="n">
        <f aca="false">0</f>
        <v>0</v>
      </c>
      <c r="AX46" s="11" t="n">
        <f aca="false">0</f>
        <v>0</v>
      </c>
      <c r="AY46" s="11" t="n">
        <f aca="false">0</f>
        <v>0</v>
      </c>
      <c r="AZ46" s="11" t="n">
        <f aca="false">0</f>
        <v>0</v>
      </c>
      <c r="BA46" s="11" t="n">
        <f aca="false">0</f>
        <v>0</v>
      </c>
      <c r="BB46" s="11" t="n">
        <f aca="false">0</f>
        <v>0</v>
      </c>
      <c r="BC46" s="11" t="n">
        <f aca="false">0</f>
        <v>0</v>
      </c>
      <c r="BD46" s="11" t="n">
        <f aca="false">0</f>
        <v>0</v>
      </c>
      <c r="BE46" s="11" t="n">
        <f aca="false">0</f>
        <v>0</v>
      </c>
      <c r="BF46" s="11" t="n">
        <f aca="false">0</f>
        <v>0</v>
      </c>
      <c r="BG46" s="11" t="n">
        <f aca="false">0</f>
        <v>0</v>
      </c>
      <c r="BH46" s="11" t="n">
        <f aca="false">0</f>
        <v>0</v>
      </c>
      <c r="BI46" s="11" t="n">
        <f aca="false">0</f>
        <v>0</v>
      </c>
      <c r="BJ46" s="11" t="n">
        <f aca="false">0</f>
        <v>0</v>
      </c>
      <c r="BK46" s="11" t="n">
        <f aca="false">0</f>
        <v>0</v>
      </c>
      <c r="BL46" s="11" t="n">
        <f aca="false">0</f>
        <v>0</v>
      </c>
      <c r="BM46" s="11" t="n">
        <f aca="false">0</f>
        <v>0</v>
      </c>
      <c r="BN46" s="11" t="n">
        <f aca="false">0</f>
        <v>0</v>
      </c>
    </row>
    <row r="47" customFormat="false" ht="15" hidden="false" customHeight="false" outlineLevel="0" collapsed="false">
      <c r="D47" s="0" t="s">
        <v>661</v>
      </c>
      <c r="E47" s="0" t="s">
        <v>149</v>
      </c>
      <c r="G47" s="11" t="n">
        <f aca="false">SUM(J47:BN47)</f>
        <v>133.854810270755</v>
      </c>
      <c r="J47" s="11" t="n">
        <f aca="false">J43-J44+J46</f>
        <v>0</v>
      </c>
      <c r="K47" s="11" t="n">
        <f aca="false">K43-K44+K46</f>
        <v>0</v>
      </c>
      <c r="L47" s="11" t="n">
        <f aca="false">L43-L44+L46</f>
        <v>0</v>
      </c>
      <c r="M47" s="11" t="n">
        <f aca="false">M43-M44+M46</f>
        <v>0</v>
      </c>
      <c r="N47" s="11" t="n">
        <f aca="false">N43-N44+N46</f>
        <v>0</v>
      </c>
      <c r="O47" s="11" t="n">
        <f aca="false">O43-O44+O46</f>
        <v>0</v>
      </c>
      <c r="P47" s="11" t="n">
        <f aca="false">P43-P44+P46</f>
        <v>0</v>
      </c>
      <c r="Q47" s="11" t="n">
        <f aca="false">Q43-Q44+Q46</f>
        <v>3.51445792408659</v>
      </c>
      <c r="R47" s="11" t="n">
        <f aca="false">R43-R44+R46</f>
        <v>3.64337020298427</v>
      </c>
      <c r="S47" s="11" t="n">
        <f aca="false">S43-S44+S46</f>
        <v>3.77167757378663</v>
      </c>
      <c r="T47" s="11" t="n">
        <f aca="false">T43-T44+T46</f>
        <v>1.57945237471669</v>
      </c>
      <c r="U47" s="11" t="n">
        <f aca="false">U43-U44+U46</f>
        <v>4.65084023752983</v>
      </c>
      <c r="V47" s="11" t="n">
        <f aca="false">V43-V44+V46</f>
        <v>4.83662708335308</v>
      </c>
      <c r="W47" s="11" t="n">
        <f aca="false">W43-W44+W46</f>
        <v>5.06851954938724</v>
      </c>
      <c r="X47" s="11" t="n">
        <f aca="false">X43-X44+X46</f>
        <v>5.27401454171306</v>
      </c>
      <c r="Y47" s="11" t="n">
        <f aca="false">Y43-Y44+Y46</f>
        <v>4.35775875749643</v>
      </c>
      <c r="Z47" s="11" t="n">
        <f aca="false">Z43-Z44+Z46</f>
        <v>4.56295168264308</v>
      </c>
      <c r="AA47" s="11" t="n">
        <f aca="false">AA43-AA44+AA46</f>
        <v>4.65747152547981</v>
      </c>
      <c r="AB47" s="11" t="n">
        <f aca="false">AB43-AB44+AB46</f>
        <v>4.88422807329939</v>
      </c>
      <c r="AC47" s="11" t="n">
        <f aca="false">AC43-AC44+AC46</f>
        <v>5.02215833634327</v>
      </c>
      <c r="AD47" s="11" t="n">
        <f aca="false">AD43-AD44+AD46</f>
        <v>5.26086807579304</v>
      </c>
      <c r="AE47" s="11" t="n">
        <f aca="false">AE43-AE44+AE46</f>
        <v>5.68148305695651</v>
      </c>
      <c r="AF47" s="11" t="n">
        <f aca="false">AF43-AF44+AF46</f>
        <v>5.98683271858903</v>
      </c>
      <c r="AG47" s="11" t="n">
        <f aca="false">AG43-AG44+AG46</f>
        <v>6.03317859790062</v>
      </c>
      <c r="AH47" s="11" t="n">
        <f aca="false">AH43-AH44+AH46</f>
        <v>6.34470308969045</v>
      </c>
      <c r="AI47" s="11" t="n">
        <f aca="false">AI43-AI44+AI46</f>
        <v>6.54124458353638</v>
      </c>
      <c r="AJ47" s="11" t="n">
        <f aca="false">AJ43-AJ44+AJ46</f>
        <v>6.86180785570885</v>
      </c>
      <c r="AK47" s="11" t="n">
        <f aca="false">AK43-AK44+AK46</f>
        <v>7.06410481997828</v>
      </c>
      <c r="AL47" s="11" t="n">
        <f aca="false">AL43-AL44+AL46</f>
        <v>7.39536062125989</v>
      </c>
      <c r="AM47" s="11" t="n">
        <f aca="false">AM43-AM44+AM46</f>
        <v>7.736568337758</v>
      </c>
      <c r="AN47" s="11" t="n">
        <f aca="false">AN43-AN44+AN46</f>
        <v>6.71917623372062</v>
      </c>
      <c r="AO47" s="11" t="n">
        <f aca="false">AO43-AO44+AO46</f>
        <v>6.40595441704372</v>
      </c>
      <c r="AP47" s="11" t="n">
        <f aca="false">AP43-AP44+AP46</f>
        <v>0</v>
      </c>
      <c r="AQ47" s="11" t="n">
        <f aca="false">AQ43-AQ44+AQ46</f>
        <v>0</v>
      </c>
      <c r="AR47" s="11" t="n">
        <f aca="false">AR43-AR44+AR46</f>
        <v>0</v>
      </c>
      <c r="AS47" s="11" t="n">
        <f aca="false">AS43-AS44+AS46</f>
        <v>0</v>
      </c>
      <c r="AT47" s="11" t="n">
        <f aca="false">AT43-AT44+AT46</f>
        <v>0</v>
      </c>
      <c r="AU47" s="11" t="n">
        <f aca="false">AU43-AU44+AU46</f>
        <v>0</v>
      </c>
      <c r="AV47" s="11" t="n">
        <f aca="false">AV43-AV44+AV46</f>
        <v>0</v>
      </c>
      <c r="AW47" s="11" t="n">
        <f aca="false">AW43-AW44+AW46</f>
        <v>0</v>
      </c>
      <c r="AX47" s="11" t="n">
        <f aca="false">AX43-AX44+AX46</f>
        <v>0</v>
      </c>
      <c r="AY47" s="11" t="n">
        <f aca="false">AY43-AY44+AY46</f>
        <v>0</v>
      </c>
      <c r="AZ47" s="11" t="n">
        <f aca="false">AZ43-AZ44+AZ46</f>
        <v>0</v>
      </c>
      <c r="BA47" s="11" t="n">
        <f aca="false">BA43-BA44+BA46</f>
        <v>0</v>
      </c>
      <c r="BB47" s="11" t="n">
        <f aca="false">BB43-BB44+BB46</f>
        <v>0</v>
      </c>
      <c r="BC47" s="11" t="n">
        <f aca="false">BC43-BC44+BC46</f>
        <v>0</v>
      </c>
      <c r="BD47" s="11" t="n">
        <f aca="false">BD43-BD44+BD46</f>
        <v>0</v>
      </c>
      <c r="BE47" s="11" t="n">
        <f aca="false">BE43-BE44+BE46</f>
        <v>0</v>
      </c>
      <c r="BF47" s="11" t="n">
        <f aca="false">BF43-BF44+BF46</f>
        <v>0</v>
      </c>
      <c r="BG47" s="11" t="n">
        <f aca="false">BG43-BG44+BG46</f>
        <v>0</v>
      </c>
      <c r="BH47" s="11" t="n">
        <f aca="false">BH43-BH44+BH46</f>
        <v>0</v>
      </c>
      <c r="BI47" s="11" t="n">
        <f aca="false">BI43-BI44+BI46</f>
        <v>0</v>
      </c>
      <c r="BJ47" s="11" t="n">
        <f aca="false">BJ43-BJ44+BJ46</f>
        <v>0</v>
      </c>
      <c r="BK47" s="11" t="n">
        <f aca="false">BK43-BK44+BK46</f>
        <v>0</v>
      </c>
      <c r="BL47" s="11" t="n">
        <f aca="false">BL43-BL44+BL46</f>
        <v>0</v>
      </c>
      <c r="BM47" s="11" t="n">
        <f aca="false">BM43-BM44+BM46</f>
        <v>0</v>
      </c>
      <c r="BN47" s="11" t="n">
        <f aca="false">BN43-BN44+BN46</f>
        <v>0</v>
      </c>
    </row>
    <row r="48" customFormat="false" ht="15" hidden="false" customHeight="false" outlineLevel="0" collapsed="false">
      <c r="D48" s="0" t="s">
        <v>662</v>
      </c>
      <c r="E48" s="0" t="s">
        <v>149</v>
      </c>
      <c r="G48" s="11" t="n">
        <f aca="false">SUM(J48:BN48)</f>
        <v>4.06669999999334</v>
      </c>
      <c r="J48" s="11" t="n">
        <f aca="false">J23*Inputs!$F$191*(J40-J47)/(J25-J32+J40-J47+J55-J62+J70-J77+J85-J92+0.000000001)</f>
        <v>0</v>
      </c>
      <c r="K48" s="11" t="n">
        <f aca="false">K23*Inputs!$F$191*(K40-K47)/(K25-K32+K40-K47+K55-K62+K70-K77+K85-K92+0.000000001)</f>
        <v>0</v>
      </c>
      <c r="L48" s="11" t="n">
        <f aca="false">L23*Inputs!$F$191*(L40-L47)/(L25-L32+L40-L47+L55-L62+L70-L77+L85-L92+0.000000001)</f>
        <v>0</v>
      </c>
      <c r="M48" s="11" t="n">
        <f aca="false">M23*Inputs!$F$191*(M40-M47)/(M25-M32+M40-M47+M55-M62+M70-M77+M85-M92+0.000000001)</f>
        <v>0</v>
      </c>
      <c r="N48" s="11" t="n">
        <f aca="false">N23*Inputs!$F$191*(N40-N47)/(N25-N32+N40-N47+N55-N62+N70-N77+N85-N92+0.000000001)</f>
        <v>0</v>
      </c>
      <c r="O48" s="11" t="n">
        <f aca="false">O23*Inputs!$F$191*(O40-O47)/(O25-O32+O40-O47+O55-O62+O70-O77+O85-O92+0.000000001)</f>
        <v>0</v>
      </c>
      <c r="P48" s="11" t="n">
        <f aca="false">P23*Inputs!$F$191*(P40-P47)/(P25-P32+P40-P47+P55-P62+P70-P77+P85-P92+0.000000001)</f>
        <v>0</v>
      </c>
      <c r="Q48" s="11" t="n">
        <f aca="false">Q23*Inputs!$F$191*(Q40-Q47)/(Q25-Q32+Q40-Q47+Q55-Q62+Q70-Q77+Q85-Q92+0.000000001)</f>
        <v>4.06669999999334</v>
      </c>
      <c r="R48" s="11" t="n">
        <f aca="false">R23*Inputs!$F$191*(R40-R47)/(R25-R32+R40-R47+R55-R62+R70-R77+R85-R92+0.000000001)</f>
        <v>0</v>
      </c>
      <c r="S48" s="11" t="n">
        <f aca="false">S23*Inputs!$F$191*(S40-S47)/(S25-S32+S40-S47+S55-S62+S70-S77+S85-S92+0.000000001)</f>
        <v>0</v>
      </c>
      <c r="T48" s="11" t="n">
        <f aca="false">T23*Inputs!$F$191*(T40-T47)/(T25-T32+T40-T47+T55-T62+T70-T77+T85-T92+0.000000001)</f>
        <v>0</v>
      </c>
      <c r="U48" s="11" t="n">
        <f aca="false">U23*Inputs!$F$191*(U40-U47)/(U25-U32+U40-U47+U55-U62+U70-U77+U85-U92+0.000000001)</f>
        <v>0</v>
      </c>
      <c r="V48" s="11" t="n">
        <f aca="false">V23*Inputs!$F$191*(V40-V47)/(V25-V32+V40-V47+V55-V62+V70-V77+V85-V92+0.000000001)</f>
        <v>0</v>
      </c>
      <c r="W48" s="11" t="n">
        <f aca="false">W23*Inputs!$F$191*(W40-W47)/(W25-W32+W40-W47+W55-W62+W70-W77+W85-W92+0.000000001)</f>
        <v>0</v>
      </c>
      <c r="X48" s="11" t="n">
        <f aca="false">X23*Inputs!$F$191*(X40-X47)/(X25-X32+X40-X47+X55-X62+X70-X77+X85-X92+0.000000001)</f>
        <v>0</v>
      </c>
      <c r="Y48" s="11" t="n">
        <f aca="false">Y23*Inputs!$F$191*(Y40-Y47)/(Y25-Y32+Y40-Y47+Y55-Y62+Y70-Y77+Y85-Y92+0.000000001)</f>
        <v>0</v>
      </c>
      <c r="Z48" s="11" t="n">
        <f aca="false">Z23*Inputs!$F$191*(Z40-Z47)/(Z25-Z32+Z40-Z47+Z55-Z62+Z70-Z77+Z85-Z92+0.000000001)</f>
        <v>0</v>
      </c>
      <c r="AA48" s="11" t="n">
        <f aca="false">AA23*Inputs!$F$191*(AA40-AA47)/(AA25-AA32+AA40-AA47+AA55-AA62+AA70-AA77+AA85-AA92+0.000000001)</f>
        <v>0</v>
      </c>
      <c r="AB48" s="11" t="n">
        <f aca="false">AB23*Inputs!$F$191*(AB40-AB47)/(AB25-AB32+AB40-AB47+AB55-AB62+AB70-AB77+AB85-AB92+0.000000001)</f>
        <v>0</v>
      </c>
      <c r="AC48" s="11" t="n">
        <f aca="false">AC23*Inputs!$F$191*(AC40-AC47)/(AC25-AC32+AC40-AC47+AC55-AC62+AC70-AC77+AC85-AC92+0.000000001)</f>
        <v>0</v>
      </c>
      <c r="AD48" s="11" t="n">
        <f aca="false">AD23*Inputs!$F$191*(AD40-AD47)/(AD25-AD32+AD40-AD47+AD55-AD62+AD70-AD77+AD85-AD92+0.000000001)</f>
        <v>0</v>
      </c>
      <c r="AE48" s="11" t="n">
        <f aca="false">AE23*Inputs!$F$191*(AE40-AE47)/(AE25-AE32+AE40-AE47+AE55-AE62+AE70-AE77+AE85-AE92+0.000000001)</f>
        <v>0</v>
      </c>
      <c r="AF48" s="11" t="n">
        <f aca="false">AF23*Inputs!$F$191*(AF40-AF47)/(AF25-AF32+AF40-AF47+AF55-AF62+AF70-AF77+AF85-AF92+0.000000001)</f>
        <v>0</v>
      </c>
      <c r="AG48" s="11" t="n">
        <f aca="false">AG23*Inputs!$F$191*(AG40-AG47)/(AG25-AG32+AG40-AG47+AG55-AG62+AG70-AG77+AG85-AG92+0.000000001)</f>
        <v>0</v>
      </c>
      <c r="AH48" s="11" t="n">
        <f aca="false">AH23*Inputs!$F$191*(AH40-AH47)/(AH25-AH32+AH40-AH47+AH55-AH62+AH70-AH77+AH85-AH92+0.000000001)</f>
        <v>0</v>
      </c>
      <c r="AI48" s="11" t="n">
        <f aca="false">AI23*Inputs!$F$191*(AI40-AI47)/(AI25-AI32+AI40-AI47+AI55-AI62+AI70-AI77+AI85-AI92+0.000000001)</f>
        <v>0</v>
      </c>
      <c r="AJ48" s="11" t="n">
        <f aca="false">AJ23*Inputs!$F$191*(AJ40-AJ47)/(AJ25-AJ32+AJ40-AJ47+AJ55-AJ62+AJ70-AJ77+AJ85-AJ92+0.000000001)</f>
        <v>0</v>
      </c>
      <c r="AK48" s="11" t="n">
        <f aca="false">AK23*Inputs!$F$191*(AK40-AK47)/(AK25-AK32+AK40-AK47+AK55-AK62+AK70-AK77+AK85-AK92+0.000000001)</f>
        <v>0</v>
      </c>
      <c r="AL48" s="11" t="n">
        <f aca="false">AL23*Inputs!$F$191*(AL40-AL47)/(AL25-AL32+AL40-AL47+AL55-AL62+AL70-AL77+AL85-AL92+0.000000001)</f>
        <v>0</v>
      </c>
      <c r="AM48" s="11" t="n">
        <f aca="false">AM23*Inputs!$F$191*(AM40-AM47)/(AM25-AM32+AM40-AM47+AM55-AM62+AM70-AM77+AM85-AM92+0.000000001)</f>
        <v>0</v>
      </c>
      <c r="AN48" s="11" t="n">
        <f aca="false">AN23*Inputs!$F$191*(AN40-AN47)/(AN25-AN32+AN40-AN47+AN55-AN62+AN70-AN77+AN85-AN92+0.000000001)</f>
        <v>0</v>
      </c>
      <c r="AO48" s="11" t="n">
        <f aca="false">AO23*Inputs!$F$191*(AO40-AO47)/(AO25-AO32+AO40-AO47+AO55-AO62+AO70-AO77+AO85-AO92+0.000000001)</f>
        <v>0</v>
      </c>
      <c r="AP48" s="11" t="n">
        <f aca="false">AP23*Inputs!$F$191*(AP40-AP47)/(AP25-AP32+AP40-AP47+AP55-AP62+AP70-AP77+AP85-AP92+0.000000001)</f>
        <v>0</v>
      </c>
      <c r="AQ48" s="11" t="n">
        <f aca="false">AQ23*Inputs!$F$191*(AQ40-AQ47)/(AQ25-AQ32+AQ40-AQ47+AQ55-AQ62+AQ70-AQ77+AQ85-AQ92+0.000000001)</f>
        <v>0</v>
      </c>
      <c r="AR48" s="11" t="n">
        <f aca="false">AR23*Inputs!$F$191*(AR40-AR47)/(AR25-AR32+AR40-AR47+AR55-AR62+AR70-AR77+AR85-AR92+0.000000001)</f>
        <v>0</v>
      </c>
      <c r="AS48" s="11" t="n">
        <f aca="false">AS23*Inputs!$F$191*(AS40-AS47)/(AS25-AS32+AS40-AS47+AS55-AS62+AS70-AS77+AS85-AS92+0.000000001)</f>
        <v>0</v>
      </c>
      <c r="AT48" s="11" t="n">
        <f aca="false">AT23*Inputs!$F$191*(AT40-AT47)/(AT25-AT32+AT40-AT47+AT55-AT62+AT70-AT77+AT85-AT92+0.000000001)</f>
        <v>0</v>
      </c>
      <c r="AU48" s="11" t="n">
        <f aca="false">AU23*Inputs!$F$191*(AU40-AU47)/(AU25-AU32+AU40-AU47+AU55-AU62+AU70-AU77+AU85-AU92+0.000000001)</f>
        <v>0</v>
      </c>
      <c r="AV48" s="11" t="n">
        <f aca="false">AV23*Inputs!$F$191*(AV40-AV47)/(AV25-AV32+AV40-AV47+AV55-AV62+AV70-AV77+AV85-AV92+0.000000001)</f>
        <v>0</v>
      </c>
      <c r="AW48" s="11" t="n">
        <f aca="false">AW23*Inputs!$F$191*(AW40-AW47)/(AW25-AW32+AW40-AW47+AW55-AW62+AW70-AW77+AW85-AW92+0.000000001)</f>
        <v>0</v>
      </c>
      <c r="AX48" s="11" t="n">
        <f aca="false">AX23*Inputs!$F$191*(AX40-AX47)/(AX25-AX32+AX40-AX47+AX55-AX62+AX70-AX77+AX85-AX92+0.000000001)</f>
        <v>0</v>
      </c>
      <c r="AY48" s="11" t="n">
        <f aca="false">AY23*Inputs!$F$191*(AY40-AY47)/(AY25-AY32+AY40-AY47+AY55-AY62+AY70-AY77+AY85-AY92+0.000000001)</f>
        <v>0</v>
      </c>
      <c r="AZ48" s="11" t="n">
        <f aca="false">AZ23*Inputs!$F$191*(AZ40-AZ47)/(AZ25-AZ32+AZ40-AZ47+AZ55-AZ62+AZ70-AZ77+AZ85-AZ92+0.000000001)</f>
        <v>0</v>
      </c>
      <c r="BA48" s="11" t="n">
        <f aca="false">BA23*Inputs!$F$191*(BA40-BA47)/(BA25-BA32+BA40-BA47+BA55-BA62+BA70-BA77+BA85-BA92+0.000000001)</f>
        <v>0</v>
      </c>
      <c r="BB48" s="11" t="n">
        <f aca="false">BB23*Inputs!$F$191*(BB40-BB47)/(BB25-BB32+BB40-BB47+BB55-BB62+BB70-BB77+BB85-BB92+0.000000001)</f>
        <v>0</v>
      </c>
      <c r="BC48" s="11" t="n">
        <f aca="false">BC23*Inputs!$F$191*(BC40-BC47)/(BC25-BC32+BC40-BC47+BC55-BC62+BC70-BC77+BC85-BC92+0.000000001)</f>
        <v>0</v>
      </c>
      <c r="BD48" s="11" t="n">
        <f aca="false">BD23*Inputs!$F$191*(BD40-BD47)/(BD25-BD32+BD40-BD47+BD55-BD62+BD70-BD77+BD85-BD92+0.000000001)</f>
        <v>0</v>
      </c>
      <c r="BE48" s="11" t="n">
        <f aca="false">BE23*Inputs!$F$191*(BE40-BE47)/(BE25-BE32+BE40-BE47+BE55-BE62+BE70-BE77+BE85-BE92+0.000000001)</f>
        <v>0</v>
      </c>
      <c r="BF48" s="11" t="n">
        <f aca="false">BF23*Inputs!$F$191*(BF40-BF47)/(BF25-BF32+BF40-BF47+BF55-BF62+BF70-BF77+BF85-BF92+0.000000001)</f>
        <v>0</v>
      </c>
      <c r="BG48" s="11" t="n">
        <f aca="false">BG23*Inputs!$F$191*(BG40-BG47)/(BG25-BG32+BG40-BG47+BG55-BG62+BG70-BG77+BG85-BG92+0.000000001)</f>
        <v>0</v>
      </c>
      <c r="BH48" s="11" t="n">
        <f aca="false">BH23*Inputs!$F$191*(BH40-BH47)/(BH25-BH32+BH40-BH47+BH55-BH62+BH70-BH77+BH85-BH92+0.000000001)</f>
        <v>0</v>
      </c>
      <c r="BI48" s="11" t="n">
        <f aca="false">BI23*Inputs!$F$191*(BI40-BI47)/(BI25-BI32+BI40-BI47+BI55-BI62+BI70-BI77+BI85-BI92+0.000000001)</f>
        <v>0</v>
      </c>
      <c r="BJ48" s="11" t="n">
        <f aca="false">BJ23*Inputs!$F$191*(BJ40-BJ47)/(BJ25-BJ32+BJ40-BJ47+BJ55-BJ62+BJ70-BJ77+BJ85-BJ92+0.000000001)</f>
        <v>0</v>
      </c>
      <c r="BK48" s="11" t="n">
        <f aca="false">BK23*Inputs!$F$191*(BK40-BK47)/(BK25-BK32+BK40-BK47+BK55-BK62+BK70-BK77+BK85-BK92+0.000000001)</f>
        <v>0</v>
      </c>
      <c r="BL48" s="11" t="n">
        <f aca="false">BL23*Inputs!$F$191*(BL40-BL47)/(BL25-BL32+BL40-BL47+BL55-BL62+BL70-BL77+BL85-BL92+0.000000001)</f>
        <v>0</v>
      </c>
      <c r="BM48" s="11" t="n">
        <f aca="false">BM23*Inputs!$F$191*(BM40-BM47)/(BM25-BM32+BM40-BM47+BM55-BM62+BM70-BM77+BM85-BM92+0.000000001)</f>
        <v>0</v>
      </c>
      <c r="BN48" s="11" t="n">
        <f aca="false">BN23*Inputs!$F$191*(BN40-BN47)/(BN25-BN32+BN40-BN47+BN55-BN62+BN70-BN77+BN85-BN92+0.000000001)</f>
        <v>0</v>
      </c>
    </row>
    <row r="49" customFormat="false" ht="15" hidden="false" customHeight="false" outlineLevel="0" collapsed="false">
      <c r="D49" s="0" t="s">
        <v>663</v>
      </c>
      <c r="E49" s="0" t="s">
        <v>149</v>
      </c>
      <c r="G49" s="11" t="n">
        <f aca="false">SUM(J49:BN49)</f>
        <v>0</v>
      </c>
      <c r="J49" s="11" t="n">
        <f aca="false">0</f>
        <v>0</v>
      </c>
      <c r="K49" s="11" t="n">
        <f aca="false">0</f>
        <v>0</v>
      </c>
      <c r="L49" s="11" t="n">
        <f aca="false">0</f>
        <v>0</v>
      </c>
      <c r="M49" s="11" t="n">
        <f aca="false">0</f>
        <v>0</v>
      </c>
      <c r="N49" s="11" t="n">
        <f aca="false">0</f>
        <v>0</v>
      </c>
      <c r="O49" s="11" t="n">
        <f aca="false">0</f>
        <v>0</v>
      </c>
      <c r="P49" s="11" t="n">
        <f aca="false">0</f>
        <v>0</v>
      </c>
      <c r="Q49" s="11" t="n">
        <f aca="false">0</f>
        <v>0</v>
      </c>
      <c r="R49" s="11" t="n">
        <f aca="false">0</f>
        <v>0</v>
      </c>
      <c r="S49" s="11" t="n">
        <f aca="false">0</f>
        <v>0</v>
      </c>
      <c r="T49" s="11" t="n">
        <f aca="false">0</f>
        <v>0</v>
      </c>
      <c r="U49" s="11" t="n">
        <f aca="false">0</f>
        <v>0</v>
      </c>
      <c r="V49" s="11" t="n">
        <f aca="false">0</f>
        <v>0</v>
      </c>
      <c r="W49" s="11" t="n">
        <f aca="false">0</f>
        <v>0</v>
      </c>
      <c r="X49" s="11" t="n">
        <f aca="false">0</f>
        <v>0</v>
      </c>
      <c r="Y49" s="11" t="n">
        <f aca="false">0</f>
        <v>0</v>
      </c>
      <c r="Z49" s="11" t="n">
        <f aca="false">0</f>
        <v>0</v>
      </c>
      <c r="AA49" s="11" t="n">
        <f aca="false">0</f>
        <v>0</v>
      </c>
      <c r="AB49" s="11" t="n">
        <f aca="false">0</f>
        <v>0</v>
      </c>
      <c r="AC49" s="11" t="n">
        <f aca="false">0</f>
        <v>0</v>
      </c>
      <c r="AD49" s="11" t="n">
        <f aca="false">0</f>
        <v>0</v>
      </c>
      <c r="AE49" s="11" t="n">
        <f aca="false">0</f>
        <v>0</v>
      </c>
      <c r="AF49" s="11" t="n">
        <f aca="false">0</f>
        <v>0</v>
      </c>
      <c r="AG49" s="11" t="n">
        <f aca="false">0</f>
        <v>0</v>
      </c>
      <c r="AH49" s="11" t="n">
        <f aca="false">0</f>
        <v>0</v>
      </c>
      <c r="AI49" s="11" t="n">
        <f aca="false">0</f>
        <v>0</v>
      </c>
      <c r="AJ49" s="11" t="n">
        <f aca="false">0</f>
        <v>0</v>
      </c>
      <c r="AK49" s="11" t="n">
        <f aca="false">0</f>
        <v>0</v>
      </c>
      <c r="AL49" s="11" t="n">
        <f aca="false">0</f>
        <v>0</v>
      </c>
      <c r="AM49" s="11" t="n">
        <f aca="false">0</f>
        <v>0</v>
      </c>
      <c r="AN49" s="11" t="n">
        <f aca="false">0</f>
        <v>0</v>
      </c>
      <c r="AO49" s="11" t="n">
        <f aca="false">0</f>
        <v>0</v>
      </c>
      <c r="AP49" s="11" t="n">
        <f aca="false">0</f>
        <v>0</v>
      </c>
      <c r="AQ49" s="11" t="n">
        <f aca="false">0</f>
        <v>0</v>
      </c>
      <c r="AR49" s="11" t="n">
        <f aca="false">0</f>
        <v>0</v>
      </c>
      <c r="AS49" s="11" t="n">
        <f aca="false">0</f>
        <v>0</v>
      </c>
      <c r="AT49" s="11" t="n">
        <f aca="false">0</f>
        <v>0</v>
      </c>
      <c r="AU49" s="11" t="n">
        <f aca="false">0</f>
        <v>0</v>
      </c>
      <c r="AV49" s="11" t="n">
        <f aca="false">0</f>
        <v>0</v>
      </c>
      <c r="AW49" s="11" t="n">
        <f aca="false">0</f>
        <v>0</v>
      </c>
      <c r="AX49" s="11" t="n">
        <f aca="false">0</f>
        <v>0</v>
      </c>
      <c r="AY49" s="11" t="n">
        <f aca="false">0</f>
        <v>0</v>
      </c>
      <c r="AZ49" s="11" t="n">
        <f aca="false">0</f>
        <v>0</v>
      </c>
      <c r="BA49" s="11" t="n">
        <f aca="false">0</f>
        <v>0</v>
      </c>
      <c r="BB49" s="11" t="n">
        <f aca="false">0</f>
        <v>0</v>
      </c>
      <c r="BC49" s="11" t="n">
        <f aca="false">0</f>
        <v>0</v>
      </c>
      <c r="BD49" s="11" t="n">
        <f aca="false">0</f>
        <v>0</v>
      </c>
      <c r="BE49" s="11" t="n">
        <f aca="false">0</f>
        <v>0</v>
      </c>
      <c r="BF49" s="11" t="n">
        <f aca="false">0</f>
        <v>0</v>
      </c>
      <c r="BG49" s="11" t="n">
        <f aca="false">0</f>
        <v>0</v>
      </c>
      <c r="BH49" s="11" t="n">
        <f aca="false">0</f>
        <v>0</v>
      </c>
      <c r="BI49" s="11" t="n">
        <f aca="false">0</f>
        <v>0</v>
      </c>
      <c r="BJ49" s="11" t="n">
        <f aca="false">0</f>
        <v>0</v>
      </c>
      <c r="BK49" s="11" t="n">
        <f aca="false">0</f>
        <v>0</v>
      </c>
      <c r="BL49" s="11" t="n">
        <f aca="false">0</f>
        <v>0</v>
      </c>
      <c r="BM49" s="11" t="n">
        <f aca="false">0</f>
        <v>0</v>
      </c>
      <c r="BN49" s="11" t="n">
        <f aca="false">0</f>
        <v>0</v>
      </c>
    </row>
    <row r="50" customFormat="false" ht="15" hidden="false" customHeight="false" outlineLevel="0" collapsed="false">
      <c r="D50" s="0" t="s">
        <v>664</v>
      </c>
      <c r="E50" s="0" t="s">
        <v>149</v>
      </c>
      <c r="J50" s="11" t="n">
        <f aca="false">J41+J44-J46</f>
        <v>0</v>
      </c>
      <c r="K50" s="11" t="n">
        <f aca="false">K41+K44-K46</f>
        <v>0</v>
      </c>
      <c r="L50" s="11" t="n">
        <f aca="false">L41+L44-L46</f>
        <v>0</v>
      </c>
      <c r="M50" s="11" t="n">
        <f aca="false">M41+M44-M46</f>
        <v>0</v>
      </c>
      <c r="N50" s="11" t="n">
        <f aca="false">N41+N44-N46</f>
        <v>0</v>
      </c>
      <c r="O50" s="11" t="n">
        <f aca="false">O41+O44-O46</f>
        <v>0</v>
      </c>
      <c r="P50" s="11" t="n">
        <f aca="false">P41+P44-P46</f>
        <v>0</v>
      </c>
      <c r="Q50" s="11" t="n">
        <f aca="false">Q41+Q44-Q46</f>
        <v>0</v>
      </c>
      <c r="R50" s="11" t="n">
        <f aca="false">R41+R44-R46</f>
        <v>0</v>
      </c>
      <c r="S50" s="11" t="n">
        <f aca="false">S41+S44-S46</f>
        <v>0</v>
      </c>
      <c r="T50" s="11" t="n">
        <f aca="false">T41+T44-T46</f>
        <v>2.36917856207503</v>
      </c>
      <c r="U50" s="11" t="n">
        <f aca="false">U41+U44-U46</f>
        <v>1.77688392155628</v>
      </c>
      <c r="V50" s="11" t="n">
        <f aca="false">V41+V44-V46</f>
        <v>1.18458928103752</v>
      </c>
      <c r="W50" s="11" t="n">
        <f aca="false">W41+W44-W46</f>
        <v>0.592294640518759</v>
      </c>
      <c r="X50" s="11" t="n">
        <f aca="false">X41+X44-X46</f>
        <v>0</v>
      </c>
      <c r="Y50" s="11" t="n">
        <f aca="false">Y41+Y44-Y46</f>
        <v>0</v>
      </c>
      <c r="Z50" s="11" t="n">
        <f aca="false">Z41+Z44-Z46</f>
        <v>0</v>
      </c>
      <c r="AA50" s="11" t="n">
        <f aca="false">AA41+AA44-AA46</f>
        <v>0</v>
      </c>
      <c r="AB50" s="11" t="n">
        <f aca="false">AB41+AB44-AB46</f>
        <v>0</v>
      </c>
      <c r="AC50" s="11" t="n">
        <f aca="false">AC41+AC44-AC46</f>
        <v>0</v>
      </c>
      <c r="AD50" s="11" t="n">
        <f aca="false">AD41+AD44-AD46</f>
        <v>0</v>
      </c>
      <c r="AE50" s="11" t="n">
        <f aca="false">AE41+AE44-AE46</f>
        <v>0</v>
      </c>
      <c r="AF50" s="11" t="n">
        <f aca="false">AF41+AF44-AF46</f>
        <v>0</v>
      </c>
      <c r="AG50" s="11" t="n">
        <f aca="false">AG41+AG44-AG46</f>
        <v>0</v>
      </c>
      <c r="AH50" s="11" t="n">
        <f aca="false">AH41+AH44-AH46</f>
        <v>0</v>
      </c>
      <c r="AI50" s="11" t="n">
        <f aca="false">AI41+AI44-AI46</f>
        <v>0</v>
      </c>
      <c r="AJ50" s="11" t="n">
        <f aca="false">AJ41+AJ44-AJ46</f>
        <v>0</v>
      </c>
      <c r="AK50" s="11" t="n">
        <f aca="false">AK41+AK44-AK46</f>
        <v>0</v>
      </c>
      <c r="AL50" s="11" t="n">
        <f aca="false">AL41+AL44-AL46</f>
        <v>0</v>
      </c>
      <c r="AM50" s="11" t="n">
        <f aca="false">AM41+AM44-AM46</f>
        <v>0</v>
      </c>
      <c r="AN50" s="11" t="n">
        <f aca="false">AN41+AN44-AN46</f>
        <v>0</v>
      </c>
      <c r="AO50" s="11" t="n">
        <f aca="false">AO41+AO44-AO46</f>
        <v>0</v>
      </c>
      <c r="AP50" s="11" t="n">
        <f aca="false">AP41+AP44-AP46</f>
        <v>0</v>
      </c>
      <c r="AQ50" s="11" t="n">
        <f aca="false">AQ41+AQ44-AQ46</f>
        <v>0</v>
      </c>
      <c r="AR50" s="11" t="n">
        <f aca="false">AR41+AR44-AR46</f>
        <v>0</v>
      </c>
      <c r="AS50" s="11" t="n">
        <f aca="false">AS41+AS44-AS46</f>
        <v>0</v>
      </c>
      <c r="AT50" s="11" t="n">
        <f aca="false">AT41+AT44-AT46</f>
        <v>0</v>
      </c>
      <c r="AU50" s="11" t="n">
        <f aca="false">AU41+AU44-AU46</f>
        <v>0</v>
      </c>
      <c r="AV50" s="11" t="n">
        <f aca="false">AV41+AV44-AV46</f>
        <v>0</v>
      </c>
      <c r="AW50" s="11" t="n">
        <f aca="false">AW41+AW44-AW46</f>
        <v>0</v>
      </c>
      <c r="AX50" s="11" t="n">
        <f aca="false">AX41+AX44-AX46</f>
        <v>0</v>
      </c>
      <c r="AY50" s="11" t="n">
        <f aca="false">AY41+AY44-AY46</f>
        <v>0</v>
      </c>
      <c r="AZ50" s="11" t="n">
        <f aca="false">AZ41+AZ44-AZ46</f>
        <v>0</v>
      </c>
      <c r="BA50" s="11" t="n">
        <f aca="false">BA41+BA44-BA46</f>
        <v>0</v>
      </c>
      <c r="BB50" s="11" t="n">
        <f aca="false">BB41+BB44-BB46</f>
        <v>0</v>
      </c>
      <c r="BC50" s="11" t="n">
        <f aca="false">BC41+BC44-BC46</f>
        <v>0</v>
      </c>
      <c r="BD50" s="11" t="n">
        <f aca="false">BD41+BD44-BD46</f>
        <v>0</v>
      </c>
      <c r="BE50" s="11" t="n">
        <f aca="false">BE41+BE44-BE46</f>
        <v>0</v>
      </c>
      <c r="BF50" s="11" t="n">
        <f aca="false">BF41+BF44-BF46</f>
        <v>0</v>
      </c>
      <c r="BG50" s="11" t="n">
        <f aca="false">BG41+BG44-BG46</f>
        <v>0</v>
      </c>
      <c r="BH50" s="11" t="n">
        <f aca="false">BH41+BH44-BH46</f>
        <v>0</v>
      </c>
      <c r="BI50" s="11" t="n">
        <f aca="false">BI41+BI44-BI46</f>
        <v>0</v>
      </c>
      <c r="BJ50" s="11" t="n">
        <f aca="false">BJ41+BJ44-BJ46</f>
        <v>0</v>
      </c>
      <c r="BK50" s="11" t="n">
        <f aca="false">BK41+BK44-BK46</f>
        <v>0</v>
      </c>
      <c r="BL50" s="11" t="n">
        <f aca="false">BL41+BL44-BL46</f>
        <v>0</v>
      </c>
      <c r="BM50" s="11" t="n">
        <f aca="false">BM41+BM44-BM46</f>
        <v>0</v>
      </c>
      <c r="BN50" s="11" t="n">
        <f aca="false">BN41+BN44-BN46</f>
        <v>0</v>
      </c>
    </row>
    <row r="51" customFormat="false" ht="15" hidden="false" customHeight="false" outlineLevel="0" collapsed="false">
      <c r="D51" s="0" t="s">
        <v>665</v>
      </c>
      <c r="E51" s="0" t="s">
        <v>149</v>
      </c>
      <c r="J51" s="11" t="n">
        <f aca="false">J40-J47-J48-J49</f>
        <v>0</v>
      </c>
      <c r="K51" s="11" t="n">
        <f aca="false">K40-K47-K48-K49</f>
        <v>0</v>
      </c>
      <c r="L51" s="11" t="n">
        <f aca="false">L40-L47-L48-L49</f>
        <v>0</v>
      </c>
      <c r="M51" s="11" t="n">
        <f aca="false">M40-M47-M48-M49</f>
        <v>0</v>
      </c>
      <c r="N51" s="11" t="n">
        <f aca="false">N40-N47-N48-N49</f>
        <v>0</v>
      </c>
      <c r="O51" s="11" t="n">
        <f aca="false">O40-O47-O48-O49</f>
        <v>0</v>
      </c>
      <c r="P51" s="11" t="n">
        <f aca="false">P40-P47-P48-P49</f>
        <v>0</v>
      </c>
      <c r="Q51" s="11" t="n">
        <f aca="false">Q40-Q47-Q48-Q49</f>
        <v>130.340352346668</v>
      </c>
      <c r="R51" s="11" t="n">
        <f aca="false">R40-R47-R48-R49</f>
        <v>126.696982143684</v>
      </c>
      <c r="S51" s="11" t="n">
        <f aca="false">S40-S47-S48-S49</f>
        <v>122.925304569897</v>
      </c>
      <c r="T51" s="11" t="n">
        <f aca="false">T40-T47-T48-T49</f>
        <v>121.345852195181</v>
      </c>
      <c r="U51" s="11" t="n">
        <f aca="false">U40-U47-U48-U49</f>
        <v>116.695011957651</v>
      </c>
      <c r="V51" s="11" t="n">
        <f aca="false">V40-V47-V48-V49</f>
        <v>111.858384874298</v>
      </c>
      <c r="W51" s="11" t="n">
        <f aca="false">W40-W47-W48-W49</f>
        <v>106.78986532491</v>
      </c>
      <c r="X51" s="11" t="n">
        <f aca="false">X40-X47-X48-X49</f>
        <v>101.515850783197</v>
      </c>
      <c r="Y51" s="11" t="n">
        <f aca="false">Y40-Y47-Y48-Y49</f>
        <v>97.1580920257009</v>
      </c>
      <c r="Z51" s="11" t="n">
        <f aca="false">Z40-Z47-Z48-Z49</f>
        <v>92.5951403430578</v>
      </c>
      <c r="AA51" s="11" t="n">
        <f aca="false">AA40-AA47-AA48-AA49</f>
        <v>87.937668817578</v>
      </c>
      <c r="AB51" s="11" t="n">
        <f aca="false">AB40-AB47-AB48-AB49</f>
        <v>83.0534407442787</v>
      </c>
      <c r="AC51" s="11" t="n">
        <f aca="false">AC40-AC47-AC48-AC49</f>
        <v>78.0312824079354</v>
      </c>
      <c r="AD51" s="11" t="n">
        <f aca="false">AD40-AD47-AD48-AD49</f>
        <v>72.7704143321423</v>
      </c>
      <c r="AE51" s="11" t="n">
        <f aca="false">AE40-AE47-AE48-AE49</f>
        <v>67.0889312751858</v>
      </c>
      <c r="AF51" s="11" t="n">
        <f aca="false">AF40-AF47-AF48-AF49</f>
        <v>61.1020985565968</v>
      </c>
      <c r="AG51" s="11" t="n">
        <f aca="false">AG40-AG47-AG48-AG49</f>
        <v>55.0689199586962</v>
      </c>
      <c r="AH51" s="11" t="n">
        <f aca="false">AH40-AH47-AH48-AH49</f>
        <v>48.7242168690057</v>
      </c>
      <c r="AI51" s="11" t="n">
        <f aca="false">AI40-AI47-AI48-AI49</f>
        <v>42.1829722854694</v>
      </c>
      <c r="AJ51" s="11" t="n">
        <f aca="false">AJ40-AJ47-AJ48-AJ49</f>
        <v>35.3211644297605</v>
      </c>
      <c r="AK51" s="11" t="n">
        <f aca="false">AK40-AK47-AK48-AK49</f>
        <v>28.2570596097822</v>
      </c>
      <c r="AL51" s="11" t="n">
        <f aca="false">AL40-AL47-AL48-AL49</f>
        <v>20.8616989885223</v>
      </c>
      <c r="AM51" s="11" t="n">
        <f aca="false">AM40-AM47-AM48-AM49</f>
        <v>13.1251306507643</v>
      </c>
      <c r="AN51" s="11" t="n">
        <f aca="false">AN40-AN47-AN48-AN49</f>
        <v>6.40595441704372</v>
      </c>
      <c r="AO51" s="11" t="n">
        <f aca="false">AO40-AO47-AO48-AO49</f>
        <v>0</v>
      </c>
      <c r="AP51" s="11" t="n">
        <f aca="false">AP40-AP47-AP48-AP49</f>
        <v>0</v>
      </c>
      <c r="AQ51" s="11" t="n">
        <f aca="false">AQ40-AQ47-AQ48-AQ49</f>
        <v>0</v>
      </c>
      <c r="AR51" s="11" t="n">
        <f aca="false">AR40-AR47-AR48-AR49</f>
        <v>0</v>
      </c>
      <c r="AS51" s="11" t="n">
        <f aca="false">AS40-AS47-AS48-AS49</f>
        <v>0</v>
      </c>
      <c r="AT51" s="11" t="n">
        <f aca="false">AT40-AT47-AT48-AT49</f>
        <v>0</v>
      </c>
      <c r="AU51" s="11" t="n">
        <f aca="false">AU40-AU47-AU48-AU49</f>
        <v>0</v>
      </c>
      <c r="AV51" s="11" t="n">
        <f aca="false">AV40-AV47-AV48-AV49</f>
        <v>0</v>
      </c>
      <c r="AW51" s="11" t="n">
        <f aca="false">AW40-AW47-AW48-AW49</f>
        <v>0</v>
      </c>
      <c r="AX51" s="11" t="n">
        <f aca="false">AX40-AX47-AX48-AX49</f>
        <v>0</v>
      </c>
      <c r="AY51" s="11" t="n">
        <f aca="false">AY40-AY47-AY48-AY49</f>
        <v>0</v>
      </c>
      <c r="AZ51" s="11" t="n">
        <f aca="false">AZ40-AZ47-AZ48-AZ49</f>
        <v>0</v>
      </c>
      <c r="BA51" s="11" t="n">
        <f aca="false">BA40-BA47-BA48-BA49</f>
        <v>0</v>
      </c>
      <c r="BB51" s="11" t="n">
        <f aca="false">BB40-BB47-BB48-BB49</f>
        <v>0</v>
      </c>
      <c r="BC51" s="11" t="n">
        <f aca="false">BC40-BC47-BC48-BC49</f>
        <v>0</v>
      </c>
      <c r="BD51" s="11" t="n">
        <f aca="false">BD40-BD47-BD48-BD49</f>
        <v>0</v>
      </c>
      <c r="BE51" s="11" t="n">
        <f aca="false">BE40-BE47-BE48-BE49</f>
        <v>0</v>
      </c>
      <c r="BF51" s="11" t="n">
        <f aca="false">BF40-BF47-BF48-BF49</f>
        <v>0</v>
      </c>
      <c r="BG51" s="11" t="n">
        <f aca="false">BG40-BG47-BG48-BG49</f>
        <v>0</v>
      </c>
      <c r="BH51" s="11" t="n">
        <f aca="false">BH40-BH47-BH48-BH49</f>
        <v>0</v>
      </c>
      <c r="BI51" s="11" t="n">
        <f aca="false">BI40-BI47-BI48-BI49</f>
        <v>0</v>
      </c>
      <c r="BJ51" s="11" t="n">
        <f aca="false">BJ40-BJ47-BJ48-BJ49</f>
        <v>0</v>
      </c>
      <c r="BK51" s="11" t="n">
        <f aca="false">BK40-BK47-BK48-BK49</f>
        <v>0</v>
      </c>
      <c r="BL51" s="11" t="n">
        <f aca="false">BL40-BL47-BL48-BL49</f>
        <v>0</v>
      </c>
      <c r="BM51" s="11" t="n">
        <f aca="false">BM40-BM47-BM48-BM49</f>
        <v>0</v>
      </c>
      <c r="BN51" s="11" t="n">
        <f aca="false">BN40-BN47-BN48-BN49</f>
        <v>0</v>
      </c>
    </row>
    <row r="52" customFormat="false" ht="15" hidden="false" customHeight="false" outlineLevel="0" collapsed="false">
      <c r="D52" s="0" t="s">
        <v>666</v>
      </c>
      <c r="E52" s="0" t="s">
        <v>149</v>
      </c>
      <c r="G52" s="11" t="n">
        <f aca="false">SUM(J52:BN52)</f>
        <v>0</v>
      </c>
      <c r="J52" s="11" t="n">
        <f aca="false">Waterfall!J28*J51/(J36+J51+J66+J81+J96+0.000000001)</f>
        <v>0</v>
      </c>
      <c r="K52" s="11" t="n">
        <f aca="false">Waterfall!K28*K51/(K36+K51+K66+K81+K96+0.000000001)</f>
        <v>0</v>
      </c>
      <c r="L52" s="11" t="n">
        <f aca="false">Waterfall!L28*L51/(L36+L51+L66+L81+L96+0.000000001)</f>
        <v>0</v>
      </c>
      <c r="M52" s="11" t="n">
        <f aca="false">Waterfall!M28*M51/(M36+M51+M66+M81+M96+0.000000001)</f>
        <v>0</v>
      </c>
      <c r="N52" s="11" t="n">
        <f aca="false">Waterfall!N28*N51/(N36+N51+N66+N81+N96+0.000000001)</f>
        <v>0</v>
      </c>
      <c r="O52" s="11" t="n">
        <f aca="false">Waterfall!O28*O51/(O36+O51+O66+O81+O96+0.000000001)</f>
        <v>0</v>
      </c>
      <c r="P52" s="11" t="n">
        <f aca="false">Waterfall!P28*P51/(P36+P51+P66+P81+P96+0.000000001)</f>
        <v>0</v>
      </c>
      <c r="Q52" s="11" t="n">
        <f aca="false">Waterfall!Q28*Q51/(Q36+Q51+Q66+Q81+Q96+0.000000001)</f>
        <v>0</v>
      </c>
      <c r="R52" s="11" t="n">
        <f aca="false">Waterfall!R28*R51/(R36+R51+R66+R81+R96+0.000000001)</f>
        <v>0</v>
      </c>
      <c r="S52" s="11" t="n">
        <f aca="false">Waterfall!S28*S51/(S36+S51+S66+S81+S96+0.000000001)</f>
        <v>0</v>
      </c>
      <c r="T52" s="11" t="n">
        <f aca="false">Waterfall!T28*T51/(T36+T51+T66+T81+T96+0.000000001)</f>
        <v>0</v>
      </c>
      <c r="U52" s="11" t="n">
        <f aca="false">Waterfall!U28*U51/(U36+U51+U66+U81+U96+0.000000001)</f>
        <v>0</v>
      </c>
      <c r="V52" s="11" t="n">
        <f aca="false">Waterfall!V28*V51/(V36+V51+V66+V81+V96+0.000000001)</f>
        <v>0</v>
      </c>
      <c r="W52" s="11" t="n">
        <f aca="false">Waterfall!W28*W51/(W36+W51+W66+W81+W96+0.000000001)</f>
        <v>0</v>
      </c>
      <c r="X52" s="11" t="n">
        <f aca="false">Waterfall!X28*X51/(X36+X51+X66+X81+X96+0.000000001)</f>
        <v>0</v>
      </c>
      <c r="Y52" s="11" t="n">
        <f aca="false">Waterfall!Y28*Y51/(Y36+Y51+Y66+Y81+Y96+0.000000001)</f>
        <v>0</v>
      </c>
      <c r="Z52" s="11" t="n">
        <f aca="false">Waterfall!Z28*Z51/(Z36+Z51+Z66+Z81+Z96+0.000000001)</f>
        <v>0</v>
      </c>
      <c r="AA52" s="11" t="n">
        <f aca="false">Waterfall!AA28*AA51/(AA36+AA51+AA66+AA81+AA96+0.000000001)</f>
        <v>0</v>
      </c>
      <c r="AB52" s="11" t="n">
        <f aca="false">Waterfall!AB28*AB51/(AB36+AB51+AB66+AB81+AB96+0.000000001)</f>
        <v>0</v>
      </c>
      <c r="AC52" s="11" t="n">
        <f aca="false">Waterfall!AC28*AC51/(AC36+AC51+AC66+AC81+AC96+0.000000001)</f>
        <v>0</v>
      </c>
      <c r="AD52" s="11" t="n">
        <f aca="false">Waterfall!AD28*AD51/(AD36+AD51+AD66+AD81+AD96+0.000000001)</f>
        <v>0</v>
      </c>
      <c r="AE52" s="11" t="n">
        <f aca="false">Waterfall!AE28*AE51/(AE36+AE51+AE66+AE81+AE96+0.000000001)</f>
        <v>0</v>
      </c>
      <c r="AF52" s="11" t="n">
        <f aca="false">Waterfall!AF28*AF51/(AF36+AF51+AF66+AF81+AF96+0.000000001)</f>
        <v>0</v>
      </c>
      <c r="AG52" s="11" t="n">
        <f aca="false">Waterfall!AG28*AG51/(AG36+AG51+AG66+AG81+AG96+0.000000001)</f>
        <v>0</v>
      </c>
      <c r="AH52" s="11" t="n">
        <f aca="false">Waterfall!AH28*AH51/(AH36+AH51+AH66+AH81+AH96+0.000000001)</f>
        <v>0</v>
      </c>
      <c r="AI52" s="11" t="n">
        <f aca="false">Waterfall!AI28*AI51/(AI36+AI51+AI66+AI81+AI96+0.000000001)</f>
        <v>0</v>
      </c>
      <c r="AJ52" s="11" t="n">
        <f aca="false">Waterfall!AJ28*AJ51/(AJ36+AJ51+AJ66+AJ81+AJ96+0.000000001)</f>
        <v>0</v>
      </c>
      <c r="AK52" s="11" t="n">
        <f aca="false">Waterfall!AK28*AK51/(AK36+AK51+AK66+AK81+AK96+0.000000001)</f>
        <v>0</v>
      </c>
      <c r="AL52" s="11" t="n">
        <f aca="false">Waterfall!AL28*AL51/(AL36+AL51+AL66+AL81+AL96+0.000000001)</f>
        <v>0</v>
      </c>
      <c r="AM52" s="11" t="n">
        <f aca="false">Waterfall!AM28*AM51/(AM36+AM51+AM66+AM81+AM96+0.000000001)</f>
        <v>0</v>
      </c>
      <c r="AN52" s="11" t="n">
        <f aca="false">Waterfall!AN28*AN51/(AN36+AN51+AN66+AN81+AN96+0.000000001)</f>
        <v>0</v>
      </c>
      <c r="AO52" s="11" t="n">
        <f aca="false">Waterfall!AO28*AO51/(AO36+AO51+AO66+AO81+AO96+0.000000001)</f>
        <v>0</v>
      </c>
      <c r="AP52" s="11" t="n">
        <f aca="false">Waterfall!AP28*AP51/(AP36+AP51+AP66+AP81+AP96+0.000000001)</f>
        <v>0</v>
      </c>
      <c r="AQ52" s="11" t="n">
        <f aca="false">Waterfall!AQ28*AQ51/(AQ36+AQ51+AQ66+AQ81+AQ96+0.000000001)</f>
        <v>0</v>
      </c>
      <c r="AR52" s="11" t="n">
        <f aca="false">Waterfall!AR28*AR51/(AR36+AR51+AR66+AR81+AR96+0.000000001)</f>
        <v>0</v>
      </c>
      <c r="AS52" s="11" t="n">
        <f aca="false">Waterfall!AS28*AS51/(AS36+AS51+AS66+AS81+AS96+0.000000001)</f>
        <v>0</v>
      </c>
      <c r="AT52" s="11" t="n">
        <f aca="false">Waterfall!AT28*AT51/(AT36+AT51+AT66+AT81+AT96+0.000000001)</f>
        <v>0</v>
      </c>
      <c r="AU52" s="11" t="n">
        <f aca="false">Waterfall!AU28*AU51/(AU36+AU51+AU66+AU81+AU96+0.000000001)</f>
        <v>0</v>
      </c>
      <c r="AV52" s="11" t="n">
        <f aca="false">Waterfall!AV28*AV51/(AV36+AV51+AV66+AV81+AV96+0.000000001)</f>
        <v>0</v>
      </c>
      <c r="AW52" s="11" t="n">
        <f aca="false">Waterfall!AW28*AW51/(AW36+AW51+AW66+AW81+AW96+0.000000001)</f>
        <v>0</v>
      </c>
      <c r="AX52" s="11" t="n">
        <f aca="false">Waterfall!AX28*AX51/(AX36+AX51+AX66+AX81+AX96+0.000000001)</f>
        <v>0</v>
      </c>
      <c r="AY52" s="11" t="n">
        <f aca="false">Waterfall!AY28*AY51/(AY36+AY51+AY66+AY81+AY96+0.000000001)</f>
        <v>0</v>
      </c>
      <c r="AZ52" s="11" t="n">
        <f aca="false">Waterfall!AZ28*AZ51/(AZ36+AZ51+AZ66+AZ81+AZ96+0.000000001)</f>
        <v>0</v>
      </c>
      <c r="BA52" s="11" t="n">
        <f aca="false">Waterfall!BA28*BA51/(BA36+BA51+BA66+BA81+BA96+0.000000001)</f>
        <v>0</v>
      </c>
      <c r="BB52" s="11" t="n">
        <f aca="false">Waterfall!BB28*BB51/(BB36+BB51+BB66+BB81+BB96+0.000000001)</f>
        <v>0</v>
      </c>
      <c r="BC52" s="11" t="n">
        <f aca="false">Waterfall!BC28*BC51/(BC36+BC51+BC66+BC81+BC96+0.000000001)</f>
        <v>0</v>
      </c>
      <c r="BD52" s="11" t="n">
        <f aca="false">Waterfall!BD28*BD51/(BD36+BD51+BD66+BD81+BD96+0.000000001)</f>
        <v>0</v>
      </c>
      <c r="BE52" s="11" t="n">
        <f aca="false">Waterfall!BE28*BE51/(BE36+BE51+BE66+BE81+BE96+0.000000001)</f>
        <v>0</v>
      </c>
      <c r="BF52" s="11" t="n">
        <f aca="false">Waterfall!BF28*BF51/(BF36+BF51+BF66+BF81+BF96+0.000000001)</f>
        <v>0</v>
      </c>
      <c r="BG52" s="11" t="n">
        <f aca="false">Waterfall!BG28*BG51/(BG36+BG51+BG66+BG81+BG96+0.000000001)</f>
        <v>0</v>
      </c>
      <c r="BH52" s="11" t="n">
        <f aca="false">Waterfall!BH28*BH51/(BH36+BH51+BH66+BH81+BH96+0.000000001)</f>
        <v>0</v>
      </c>
      <c r="BI52" s="11" t="n">
        <f aca="false">Waterfall!BI28*BI51/(BI36+BI51+BI66+BI81+BI96+0.000000001)</f>
        <v>0</v>
      </c>
      <c r="BJ52" s="11" t="n">
        <f aca="false">Waterfall!BJ28*BJ51/(BJ36+BJ51+BJ66+BJ81+BJ96+0.000000001)</f>
        <v>0</v>
      </c>
      <c r="BK52" s="11" t="n">
        <f aca="false">Waterfall!BK28*BK51/(BK36+BK51+BK66+BK81+BK96+0.000000001)</f>
        <v>0</v>
      </c>
      <c r="BL52" s="11" t="n">
        <f aca="false">Waterfall!BL28*BL51/(BL36+BL51+BL66+BL81+BL96+0.000000001)</f>
        <v>0</v>
      </c>
      <c r="BM52" s="11" t="n">
        <f aca="false">Waterfall!BM28*BM51/(BM36+BM51+BM66+BM81+BM96+0.000000001)</f>
        <v>0</v>
      </c>
      <c r="BN52" s="11" t="n">
        <f aca="false">Waterfall!BN28*BN51/(BN36+BN51+BN66+BN81+BN96+0.000000001)</f>
        <v>0</v>
      </c>
    </row>
    <row r="53" customFormat="false" ht="15" hidden="false" customHeight="false" outlineLevel="0" collapsed="false">
      <c r="D53" s="0" t="s">
        <v>667</v>
      </c>
      <c r="E53" s="0" t="s">
        <v>149</v>
      </c>
      <c r="J53" s="11" t="n">
        <f aca="false">IF(Time!J29=1,INDEX(Funding!$J$62:$BJ$62,1,Time!$F$13),Time!J30*(J51-J52))</f>
        <v>0</v>
      </c>
      <c r="K53" s="11" t="n">
        <f aca="false">IF(Time!K29=1,INDEX(Funding!$J$62:$BJ$62,1,Time!$F$13),Time!K30*(K51-K52))</f>
        <v>0</v>
      </c>
      <c r="L53" s="11" t="n">
        <f aca="false">IF(Time!L29=1,INDEX(Funding!$J$62:$BJ$62,1,Time!$F$13),Time!L30*(L51-L52))</f>
        <v>0</v>
      </c>
      <c r="M53" s="11" t="n">
        <f aca="false">IF(Time!M29=1,INDEX(Funding!$J$62:$BJ$62,1,Time!$F$13),Time!M30*(M51-M52))</f>
        <v>0</v>
      </c>
      <c r="N53" s="11" t="n">
        <f aca="false">IF(Time!N29=1,INDEX(Funding!$J$62:$BJ$62,1,Time!$F$13),Time!N30*(N51-N52))</f>
        <v>0</v>
      </c>
      <c r="O53" s="11" t="n">
        <f aca="false">IF(Time!O29=1,INDEX(Funding!$J$62:$BJ$62,1,Time!$F$13),Time!O30*(O51-O52))</f>
        <v>0</v>
      </c>
      <c r="P53" s="11" t="n">
        <f aca="false">IF(Time!P29=1,INDEX(Funding!$J$62:$BJ$62,1,Time!$F$13),Time!P30*(P51-P52))</f>
        <v>137.921510270748</v>
      </c>
      <c r="Q53" s="11" t="n">
        <f aca="false">IF(Time!Q29=1,INDEX(Funding!$J$62:$BJ$62,1,Time!$F$13),Time!Q30*(Q51-Q52))</f>
        <v>130.340352346668</v>
      </c>
      <c r="R53" s="11" t="n">
        <f aca="false">IF(Time!R29=1,INDEX(Funding!$J$62:$BJ$62,1,Time!$F$13),Time!R30*(R51-R52))</f>
        <v>126.696982143684</v>
      </c>
      <c r="S53" s="11" t="n">
        <f aca="false">IF(Time!S29=1,INDEX(Funding!$J$62:$BJ$62,1,Time!$F$13),Time!S30*(S51-S52))</f>
        <v>122.925304569897</v>
      </c>
      <c r="T53" s="11" t="n">
        <f aca="false">IF(Time!T29=1,INDEX(Funding!$J$62:$BJ$62,1,Time!$F$13),Time!T30*(T51-T52))</f>
        <v>121.345852195181</v>
      </c>
      <c r="U53" s="11" t="n">
        <f aca="false">IF(Time!U29=1,INDEX(Funding!$J$62:$BJ$62,1,Time!$F$13),Time!U30*(U51-U52))</f>
        <v>116.695011957651</v>
      </c>
      <c r="V53" s="11" t="n">
        <f aca="false">IF(Time!V29=1,INDEX(Funding!$J$62:$BJ$62,1,Time!$F$13),Time!V30*(V51-V52))</f>
        <v>111.858384874298</v>
      </c>
      <c r="W53" s="11" t="n">
        <f aca="false">IF(Time!W29=1,INDEX(Funding!$J$62:$BJ$62,1,Time!$F$13),Time!W30*(W51-W52))</f>
        <v>106.78986532491</v>
      </c>
      <c r="X53" s="11" t="n">
        <f aca="false">IF(Time!X29=1,INDEX(Funding!$J$62:$BJ$62,1,Time!$F$13),Time!X30*(X51-X52))</f>
        <v>101.515850783197</v>
      </c>
      <c r="Y53" s="11" t="n">
        <f aca="false">IF(Time!Y29=1,INDEX(Funding!$J$62:$BJ$62,1,Time!$F$13),Time!Y30*(Y51-Y52))</f>
        <v>97.1580920257009</v>
      </c>
      <c r="Z53" s="11" t="n">
        <f aca="false">IF(Time!Z29=1,INDEX(Funding!$J$62:$BJ$62,1,Time!$F$13),Time!Z30*(Z51-Z52))</f>
        <v>92.5951403430578</v>
      </c>
      <c r="AA53" s="11" t="n">
        <f aca="false">IF(Time!AA29=1,INDEX(Funding!$J$62:$BJ$62,1,Time!$F$13),Time!AA30*(AA51-AA52))</f>
        <v>87.937668817578</v>
      </c>
      <c r="AB53" s="11" t="n">
        <f aca="false">IF(Time!AB29=1,INDEX(Funding!$J$62:$BJ$62,1,Time!$F$13),Time!AB30*(AB51-AB52))</f>
        <v>83.0534407442787</v>
      </c>
      <c r="AC53" s="11" t="n">
        <f aca="false">IF(Time!AC29=1,INDEX(Funding!$J$62:$BJ$62,1,Time!$F$13),Time!AC30*(AC51-AC52))</f>
        <v>78.0312824079354</v>
      </c>
      <c r="AD53" s="11" t="n">
        <f aca="false">IF(Time!AD29=1,INDEX(Funding!$J$62:$BJ$62,1,Time!$F$13),Time!AD30*(AD51-AD52))</f>
        <v>72.7704143321423</v>
      </c>
      <c r="AE53" s="11" t="n">
        <f aca="false">IF(Time!AE29=1,INDEX(Funding!$J$62:$BJ$62,1,Time!$F$13),Time!AE30*(AE51-AE52))</f>
        <v>67.0889312751858</v>
      </c>
      <c r="AF53" s="11" t="n">
        <f aca="false">IF(Time!AF29=1,INDEX(Funding!$J$62:$BJ$62,1,Time!$F$13),Time!AF30*(AF51-AF52))</f>
        <v>61.1020985565968</v>
      </c>
      <c r="AG53" s="11" t="n">
        <f aca="false">IF(Time!AG29=1,INDEX(Funding!$J$62:$BJ$62,1,Time!$F$13),Time!AG30*(AG51-AG52))</f>
        <v>55.0689199586962</v>
      </c>
      <c r="AH53" s="11" t="n">
        <f aca="false">IF(Time!AH29=1,INDEX(Funding!$J$62:$BJ$62,1,Time!$F$13),Time!AH30*(AH51-AH52))</f>
        <v>48.7242168690057</v>
      </c>
      <c r="AI53" s="11" t="n">
        <f aca="false">IF(Time!AI29=1,INDEX(Funding!$J$62:$BJ$62,1,Time!$F$13),Time!AI30*(AI51-AI52))</f>
        <v>42.1829722854694</v>
      </c>
      <c r="AJ53" s="11" t="n">
        <f aca="false">IF(Time!AJ29=1,INDEX(Funding!$J$62:$BJ$62,1,Time!$F$13),Time!AJ30*(AJ51-AJ52))</f>
        <v>35.3211644297605</v>
      </c>
      <c r="AK53" s="11" t="n">
        <f aca="false">IF(Time!AK29=1,INDEX(Funding!$J$62:$BJ$62,1,Time!$F$13),Time!AK30*(AK51-AK52))</f>
        <v>28.2570596097822</v>
      </c>
      <c r="AL53" s="11" t="n">
        <f aca="false">IF(Time!AL29=1,INDEX(Funding!$J$62:$BJ$62,1,Time!$F$13),Time!AL30*(AL51-AL52))</f>
        <v>20.8616989885223</v>
      </c>
      <c r="AM53" s="11" t="n">
        <f aca="false">IF(Time!AM29=1,INDEX(Funding!$J$62:$BJ$62,1,Time!$F$13),Time!AM30*(AM51-AM52))</f>
        <v>13.1251306507643</v>
      </c>
      <c r="AN53" s="11" t="n">
        <f aca="false">IF(Time!AN29=1,INDEX(Funding!$J$62:$BJ$62,1,Time!$F$13),Time!AN30*(AN51-AN52))</f>
        <v>6.40595441704372</v>
      </c>
      <c r="AO53" s="11" t="n">
        <f aca="false">IF(Time!AO29=1,INDEX(Funding!$J$62:$BJ$62,1,Time!$F$13),Time!AO30*(AO51-AO52))</f>
        <v>0</v>
      </c>
      <c r="AP53" s="11" t="n">
        <f aca="false">IF(Time!AP29=1,INDEX(Funding!$J$62:$BJ$62,1,Time!$F$13),Time!AP30*(AP51-AP52))</f>
        <v>0</v>
      </c>
      <c r="AQ53" s="11" t="n">
        <f aca="false">IF(Time!AQ29=1,INDEX(Funding!$J$62:$BJ$62,1,Time!$F$13),Time!AQ30*(AQ51-AQ52))</f>
        <v>0</v>
      </c>
      <c r="AR53" s="11" t="n">
        <f aca="false">IF(Time!AR29=1,INDEX(Funding!$J$62:$BJ$62,1,Time!$F$13),Time!AR30*(AR51-AR52))</f>
        <v>0</v>
      </c>
      <c r="AS53" s="11" t="n">
        <f aca="false">IF(Time!AS29=1,INDEX(Funding!$J$62:$BJ$62,1,Time!$F$13),Time!AS30*(AS51-AS52))</f>
        <v>0</v>
      </c>
      <c r="AT53" s="11" t="n">
        <f aca="false">IF(Time!AT29=1,INDEX(Funding!$J$62:$BJ$62,1,Time!$F$13),Time!AT30*(AT51-AT52))</f>
        <v>0</v>
      </c>
      <c r="AU53" s="11" t="n">
        <f aca="false">IF(Time!AU29=1,INDEX(Funding!$J$62:$BJ$62,1,Time!$F$13),Time!AU30*(AU51-AU52))</f>
        <v>0</v>
      </c>
      <c r="AV53" s="11" t="n">
        <f aca="false">IF(Time!AV29=1,INDEX(Funding!$J$62:$BJ$62,1,Time!$F$13),Time!AV30*(AV51-AV52))</f>
        <v>0</v>
      </c>
      <c r="AW53" s="11" t="n">
        <f aca="false">IF(Time!AW29=1,INDEX(Funding!$J$62:$BJ$62,1,Time!$F$13),Time!AW30*(AW51-AW52))</f>
        <v>0</v>
      </c>
      <c r="AX53" s="11" t="n">
        <f aca="false">IF(Time!AX29=1,INDEX(Funding!$J$62:$BJ$62,1,Time!$F$13),Time!AX30*(AX51-AX52))</f>
        <v>0</v>
      </c>
      <c r="AY53" s="11" t="n">
        <f aca="false">IF(Time!AY29=1,INDEX(Funding!$J$62:$BJ$62,1,Time!$F$13),Time!AY30*(AY51-AY52))</f>
        <v>0</v>
      </c>
      <c r="AZ53" s="11" t="n">
        <f aca="false">IF(Time!AZ29=1,INDEX(Funding!$J$62:$BJ$62,1,Time!$F$13),Time!AZ30*(AZ51-AZ52))</f>
        <v>0</v>
      </c>
      <c r="BA53" s="11" t="n">
        <f aca="false">IF(Time!BA29=1,INDEX(Funding!$J$62:$BJ$62,1,Time!$F$13),Time!BA30*(BA51-BA52))</f>
        <v>0</v>
      </c>
      <c r="BB53" s="11" t="n">
        <f aca="false">IF(Time!BB29=1,INDEX(Funding!$J$62:$BJ$62,1,Time!$F$13),Time!BB30*(BB51-BB52))</f>
        <v>0</v>
      </c>
      <c r="BC53" s="11" t="n">
        <f aca="false">IF(Time!BC29=1,INDEX(Funding!$J$62:$BJ$62,1,Time!$F$13),Time!BC30*(BC51-BC52))</f>
        <v>0</v>
      </c>
      <c r="BD53" s="11" t="n">
        <f aca="false">IF(Time!BD29=1,INDEX(Funding!$J$62:$BJ$62,1,Time!$F$13),Time!BD30*(BD51-BD52))</f>
        <v>0</v>
      </c>
      <c r="BE53" s="11" t="n">
        <f aca="false">IF(Time!BE29=1,INDEX(Funding!$J$62:$BJ$62,1,Time!$F$13),Time!BE30*(BE51-BE52))</f>
        <v>0</v>
      </c>
      <c r="BF53" s="11" t="n">
        <f aca="false">IF(Time!BF29=1,INDEX(Funding!$J$62:$BJ$62,1,Time!$F$13),Time!BF30*(BF51-BF52))</f>
        <v>0</v>
      </c>
      <c r="BG53" s="11" t="n">
        <f aca="false">IF(Time!BG29=1,INDEX(Funding!$J$62:$BJ$62,1,Time!$F$13),Time!BG30*(BG51-BG52))</f>
        <v>0</v>
      </c>
      <c r="BH53" s="11" t="n">
        <f aca="false">IF(Time!BH29=1,INDEX(Funding!$J$62:$BJ$62,1,Time!$F$13),Time!BH30*(BH51-BH52))</f>
        <v>0</v>
      </c>
      <c r="BI53" s="11" t="n">
        <f aca="false">IF(Time!BI29=1,INDEX(Funding!$J$62:$BJ$62,1,Time!$F$13),Time!BI30*(BI51-BI52))</f>
        <v>0</v>
      </c>
      <c r="BJ53" s="11" t="n">
        <f aca="false">IF(Time!BJ29=1,INDEX(Funding!$J$62:$BJ$62,1,Time!$F$13),Time!BJ30*(BJ51-BJ52))</f>
        <v>0</v>
      </c>
      <c r="BK53" s="11" t="n">
        <f aca="false">IF(Time!BK29=1,INDEX(Funding!$J$62:$BJ$62,1,Time!$F$13),Time!BK30*(BK51-BK52))</f>
        <v>0</v>
      </c>
      <c r="BL53" s="11" t="n">
        <f aca="false">IF(Time!BL29=1,INDEX(Funding!$J$62:$BJ$62,1,Time!$F$13),Time!BL30*(BL51-BL52))</f>
        <v>0</v>
      </c>
      <c r="BM53" s="11" t="n">
        <f aca="false">IF(Time!BM29=1,INDEX(Funding!$J$62:$BJ$62,1,Time!$F$13),Time!BM30*(BM51-BM52))</f>
        <v>0</v>
      </c>
      <c r="BN53" s="11" t="n">
        <f aca="false">IF(Time!BN29=1,INDEX(Funding!$J$62:$BJ$62,1,Time!$F$13),Time!BN30*(BN51-BN52))</f>
        <v>0</v>
      </c>
    </row>
    <row r="54" customFormat="false" ht="15" hidden="false" customHeight="false" outlineLevel="0" collapsed="false">
      <c r="B54" s="2" t="s">
        <v>669</v>
      </c>
    </row>
    <row r="55" customFormat="false" ht="15" hidden="false" customHeight="false" outlineLevel="0" collapsed="false">
      <c r="D55" s="0" t="s">
        <v>654</v>
      </c>
      <c r="E55" s="0" t="s">
        <v>149</v>
      </c>
      <c r="J55" s="11" t="n">
        <f aca="false">Time!J30*0</f>
        <v>0</v>
      </c>
      <c r="K55" s="11" t="n">
        <f aca="false">Time!K30*J68</f>
        <v>0</v>
      </c>
      <c r="L55" s="11" t="n">
        <f aca="false">Time!L30*K68</f>
        <v>0</v>
      </c>
      <c r="M55" s="11" t="n">
        <f aca="false">Time!M30*L68</f>
        <v>0</v>
      </c>
      <c r="N55" s="11" t="n">
        <f aca="false">Time!N30*M68</f>
        <v>0</v>
      </c>
      <c r="O55" s="11" t="n">
        <f aca="false">Time!O30*N68</f>
        <v>0</v>
      </c>
      <c r="P55" s="11" t="n">
        <f aca="false">Time!P30*O68</f>
        <v>0</v>
      </c>
      <c r="Q55" s="11" t="n">
        <f aca="false">Time!Q30*P68</f>
        <v>62.6915955776128</v>
      </c>
      <c r="R55" s="11" t="n">
        <f aca="false">Time!R30*Q68</f>
        <v>59.245614703031</v>
      </c>
      <c r="S55" s="11" t="n">
        <f aca="false">Time!S30*R68</f>
        <v>57.5895373380381</v>
      </c>
      <c r="T55" s="11" t="n">
        <f aca="false">Time!T30*S68</f>
        <v>55.8751384408624</v>
      </c>
      <c r="U55" s="11" t="n">
        <f aca="false">Time!U30*T68</f>
        <v>55.1572055432639</v>
      </c>
      <c r="V55" s="11" t="n">
        <f aca="false">Time!V30*U68</f>
        <v>53.0431872534776</v>
      </c>
      <c r="W55" s="11" t="n">
        <f aca="false">Time!W30*V68</f>
        <v>50.844720397408</v>
      </c>
      <c r="X55" s="11" t="n">
        <f aca="false">Time!X30*W68</f>
        <v>0</v>
      </c>
      <c r="Y55" s="11" t="n">
        <f aca="false">Time!Y30*X68</f>
        <v>0</v>
      </c>
      <c r="Z55" s="11" t="n">
        <f aca="false">Time!Z30*Y68</f>
        <v>0</v>
      </c>
      <c r="AA55" s="11" t="n">
        <f aca="false">Time!AA30*Z68</f>
        <v>0</v>
      </c>
      <c r="AB55" s="11" t="n">
        <f aca="false">Time!AB30*AA68</f>
        <v>0</v>
      </c>
      <c r="AC55" s="11" t="n">
        <f aca="false">Time!AC30*AB68</f>
        <v>0</v>
      </c>
      <c r="AD55" s="11" t="n">
        <f aca="false">Time!AD30*AC68</f>
        <v>0</v>
      </c>
      <c r="AE55" s="11" t="n">
        <f aca="false">Time!AE30*AD68</f>
        <v>0</v>
      </c>
      <c r="AF55" s="11" t="n">
        <f aca="false">Time!AF30*AE68</f>
        <v>0</v>
      </c>
      <c r="AG55" s="11" t="n">
        <f aca="false">Time!AG30*AF68</f>
        <v>0</v>
      </c>
      <c r="AH55" s="11" t="n">
        <f aca="false">Time!AH30*AG68</f>
        <v>0</v>
      </c>
      <c r="AI55" s="11" t="n">
        <f aca="false">Time!AI30*AH68</f>
        <v>0</v>
      </c>
      <c r="AJ55" s="11" t="n">
        <f aca="false">Time!AJ30*AI68</f>
        <v>0</v>
      </c>
      <c r="AK55" s="11" t="n">
        <f aca="false">Time!AK30*AJ68</f>
        <v>0</v>
      </c>
      <c r="AL55" s="11" t="n">
        <f aca="false">Time!AL30*AK68</f>
        <v>0</v>
      </c>
      <c r="AM55" s="11" t="n">
        <f aca="false">Time!AM30*AL68</f>
        <v>0</v>
      </c>
      <c r="AN55" s="11" t="n">
        <f aca="false">Time!AN30*AM68</f>
        <v>0</v>
      </c>
      <c r="AO55" s="11" t="n">
        <f aca="false">Time!AO30*AN68</f>
        <v>0</v>
      </c>
      <c r="AP55" s="11" t="n">
        <f aca="false">Time!AP30*AO68</f>
        <v>0</v>
      </c>
      <c r="AQ55" s="11" t="n">
        <f aca="false">Time!AQ30*AP68</f>
        <v>0</v>
      </c>
      <c r="AR55" s="11" t="n">
        <f aca="false">Time!AR30*AQ68</f>
        <v>0</v>
      </c>
      <c r="AS55" s="11" t="n">
        <f aca="false">Time!AS30*AR68</f>
        <v>0</v>
      </c>
      <c r="AT55" s="11" t="n">
        <f aca="false">Time!AT30*AS68</f>
        <v>0</v>
      </c>
      <c r="AU55" s="11" t="n">
        <f aca="false">Time!AU30*AT68</f>
        <v>0</v>
      </c>
      <c r="AV55" s="11" t="n">
        <f aca="false">Time!AV30*AU68</f>
        <v>0</v>
      </c>
      <c r="AW55" s="11" t="n">
        <f aca="false">Time!AW30*AV68</f>
        <v>0</v>
      </c>
      <c r="AX55" s="11" t="n">
        <f aca="false">Time!AX30*AW68</f>
        <v>0</v>
      </c>
      <c r="AY55" s="11" t="n">
        <f aca="false">Time!AY30*AX68</f>
        <v>0</v>
      </c>
      <c r="AZ55" s="11" t="n">
        <f aca="false">Time!AZ30*AY68</f>
        <v>0</v>
      </c>
      <c r="BA55" s="11" t="n">
        <f aca="false">Time!BA30*AZ68</f>
        <v>0</v>
      </c>
      <c r="BB55" s="11" t="n">
        <f aca="false">Time!BB30*BA68</f>
        <v>0</v>
      </c>
      <c r="BC55" s="11" t="n">
        <f aca="false">Time!BC30*BB68</f>
        <v>0</v>
      </c>
      <c r="BD55" s="11" t="n">
        <f aca="false">Time!BD30*BC68</f>
        <v>0</v>
      </c>
      <c r="BE55" s="11" t="n">
        <f aca="false">Time!BE30*BD68</f>
        <v>0</v>
      </c>
      <c r="BF55" s="11" t="n">
        <f aca="false">Time!BF30*BE68</f>
        <v>0</v>
      </c>
      <c r="BG55" s="11" t="n">
        <f aca="false">Time!BG30*BF68</f>
        <v>0</v>
      </c>
      <c r="BH55" s="11" t="n">
        <f aca="false">Time!BH30*BG68</f>
        <v>0</v>
      </c>
      <c r="BI55" s="11" t="n">
        <f aca="false">Time!BI30*BH68</f>
        <v>0</v>
      </c>
      <c r="BJ55" s="11" t="n">
        <f aca="false">Time!BJ30*BI68</f>
        <v>0</v>
      </c>
      <c r="BK55" s="11" t="n">
        <f aca="false">Time!BK30*BJ68</f>
        <v>0</v>
      </c>
      <c r="BL55" s="11" t="n">
        <f aca="false">Time!BL30*BK68</f>
        <v>0</v>
      </c>
      <c r="BM55" s="11" t="n">
        <f aca="false">Time!BM30*BL68</f>
        <v>0</v>
      </c>
      <c r="BN55" s="11" t="n">
        <f aca="false">Time!BN30*BM68</f>
        <v>0</v>
      </c>
    </row>
    <row r="56" customFormat="false" ht="15" hidden="false" customHeight="false" outlineLevel="0" collapsed="false">
      <c r="D56" s="0" t="s">
        <v>655</v>
      </c>
      <c r="E56" s="0" t="s">
        <v>149</v>
      </c>
      <c r="J56" s="11" t="n">
        <f aca="false">0</f>
        <v>0</v>
      </c>
      <c r="K56" s="11" t="n">
        <f aca="false">J65</f>
        <v>0</v>
      </c>
      <c r="L56" s="11" t="n">
        <f aca="false">K65</f>
        <v>0</v>
      </c>
      <c r="M56" s="11" t="n">
        <f aca="false">L65</f>
        <v>0</v>
      </c>
      <c r="N56" s="11" t="n">
        <f aca="false">M65</f>
        <v>0</v>
      </c>
      <c r="O56" s="11" t="n">
        <f aca="false">N65</f>
        <v>0</v>
      </c>
      <c r="P56" s="11" t="n">
        <f aca="false">O65</f>
        <v>0</v>
      </c>
      <c r="Q56" s="11" t="n">
        <f aca="false">P65</f>
        <v>0</v>
      </c>
      <c r="R56" s="11" t="n">
        <f aca="false">Q65</f>
        <v>0</v>
      </c>
      <c r="S56" s="11" t="n">
        <f aca="false">R65</f>
        <v>0</v>
      </c>
      <c r="T56" s="11" t="n">
        <f aca="false">S65</f>
        <v>0</v>
      </c>
      <c r="U56" s="11" t="n">
        <f aca="false">T65</f>
        <v>1.07689934639774</v>
      </c>
      <c r="V56" s="11" t="n">
        <f aca="false">U65</f>
        <v>0.807674509798307</v>
      </c>
      <c r="W56" s="11" t="n">
        <f aca="false">V65</f>
        <v>0.538449673198871</v>
      </c>
      <c r="X56" s="11" t="n">
        <f aca="false">W65</f>
        <v>0</v>
      </c>
      <c r="Y56" s="11" t="n">
        <f aca="false">X65</f>
        <v>0</v>
      </c>
      <c r="Z56" s="11" t="n">
        <f aca="false">Y65</f>
        <v>0</v>
      </c>
      <c r="AA56" s="11" t="n">
        <f aca="false">Z65</f>
        <v>0</v>
      </c>
      <c r="AB56" s="11" t="n">
        <f aca="false">AA65</f>
        <v>0</v>
      </c>
      <c r="AC56" s="11" t="n">
        <f aca="false">AB65</f>
        <v>0</v>
      </c>
      <c r="AD56" s="11" t="n">
        <f aca="false">AC65</f>
        <v>0</v>
      </c>
      <c r="AE56" s="11" t="n">
        <f aca="false">AD65</f>
        <v>0</v>
      </c>
      <c r="AF56" s="11" t="n">
        <f aca="false">AE65</f>
        <v>0</v>
      </c>
      <c r="AG56" s="11" t="n">
        <f aca="false">AF65</f>
        <v>0</v>
      </c>
      <c r="AH56" s="11" t="n">
        <f aca="false">AG65</f>
        <v>0</v>
      </c>
      <c r="AI56" s="11" t="n">
        <f aca="false">AH65</f>
        <v>0</v>
      </c>
      <c r="AJ56" s="11" t="n">
        <f aca="false">AI65</f>
        <v>0</v>
      </c>
      <c r="AK56" s="11" t="n">
        <f aca="false">AJ65</f>
        <v>0</v>
      </c>
      <c r="AL56" s="11" t="n">
        <f aca="false">AK65</f>
        <v>0</v>
      </c>
      <c r="AM56" s="11" t="n">
        <f aca="false">AL65</f>
        <v>0</v>
      </c>
      <c r="AN56" s="11" t="n">
        <f aca="false">AM65</f>
        <v>0</v>
      </c>
      <c r="AO56" s="11" t="n">
        <f aca="false">AN65</f>
        <v>0</v>
      </c>
      <c r="AP56" s="11" t="n">
        <f aca="false">AO65</f>
        <v>0</v>
      </c>
      <c r="AQ56" s="11" t="n">
        <f aca="false">AP65</f>
        <v>0</v>
      </c>
      <c r="AR56" s="11" t="n">
        <f aca="false">AQ65</f>
        <v>0</v>
      </c>
      <c r="AS56" s="11" t="n">
        <f aca="false">AR65</f>
        <v>0</v>
      </c>
      <c r="AT56" s="11" t="n">
        <f aca="false">AS65</f>
        <v>0</v>
      </c>
      <c r="AU56" s="11" t="n">
        <f aca="false">AT65</f>
        <v>0</v>
      </c>
      <c r="AV56" s="11" t="n">
        <f aca="false">AU65</f>
        <v>0</v>
      </c>
      <c r="AW56" s="11" t="n">
        <f aca="false">AV65</f>
        <v>0</v>
      </c>
      <c r="AX56" s="11" t="n">
        <f aca="false">AW65</f>
        <v>0</v>
      </c>
      <c r="AY56" s="11" t="n">
        <f aca="false">AX65</f>
        <v>0</v>
      </c>
      <c r="AZ56" s="11" t="n">
        <f aca="false">AY65</f>
        <v>0</v>
      </c>
      <c r="BA56" s="11" t="n">
        <f aca="false">AZ65</f>
        <v>0</v>
      </c>
      <c r="BB56" s="11" t="n">
        <f aca="false">BA65</f>
        <v>0</v>
      </c>
      <c r="BC56" s="11" t="n">
        <f aca="false">BB65</f>
        <v>0</v>
      </c>
      <c r="BD56" s="11" t="n">
        <f aca="false">BC65</f>
        <v>0</v>
      </c>
      <c r="BE56" s="11" t="n">
        <f aca="false">BD65</f>
        <v>0</v>
      </c>
      <c r="BF56" s="11" t="n">
        <f aca="false">BE65</f>
        <v>0</v>
      </c>
      <c r="BG56" s="11" t="n">
        <f aca="false">BF65</f>
        <v>0</v>
      </c>
      <c r="BH56" s="11" t="n">
        <f aca="false">BG65</f>
        <v>0</v>
      </c>
      <c r="BI56" s="11" t="n">
        <f aca="false">BH65</f>
        <v>0</v>
      </c>
      <c r="BJ56" s="11" t="n">
        <f aca="false">BI65</f>
        <v>0</v>
      </c>
      <c r="BK56" s="11" t="n">
        <f aca="false">BJ65</f>
        <v>0</v>
      </c>
      <c r="BL56" s="11" t="n">
        <f aca="false">BK65</f>
        <v>0</v>
      </c>
      <c r="BM56" s="11" t="n">
        <f aca="false">BL65</f>
        <v>0</v>
      </c>
      <c r="BN56" s="11" t="n">
        <f aca="false">BM65</f>
        <v>0</v>
      </c>
    </row>
    <row r="57" customFormat="false" ht="15" hidden="false" customHeight="false" outlineLevel="0" collapsed="false">
      <c r="D57" s="0" t="s">
        <v>656</v>
      </c>
      <c r="E57" s="0" t="s">
        <v>149</v>
      </c>
      <c r="G57" s="11" t="n">
        <f aca="false">SUM(J57:BN57)</f>
        <v>15.7120799682543</v>
      </c>
      <c r="J57" s="11" t="n">
        <f aca="false">J55*J12</f>
        <v>0</v>
      </c>
      <c r="K57" s="11" t="n">
        <f aca="false">K55*K12</f>
        <v>0</v>
      </c>
      <c r="L57" s="11" t="n">
        <f aca="false">L55*L12</f>
        <v>0</v>
      </c>
      <c r="M57" s="11" t="n">
        <f aca="false">M55*M12</f>
        <v>0</v>
      </c>
      <c r="N57" s="11" t="n">
        <f aca="false">N55*N12</f>
        <v>0</v>
      </c>
      <c r="O57" s="11" t="n">
        <f aca="false">O55*O12</f>
        <v>0</v>
      </c>
      <c r="P57" s="11" t="n">
        <f aca="false">P55*P12</f>
        <v>0</v>
      </c>
      <c r="Q57" s="11" t="n">
        <f aca="false">Q55*Q12</f>
        <v>1.17884579750859</v>
      </c>
      <c r="R57" s="11" t="n">
        <f aca="false">R55*R12</f>
        <v>1.91982123022133</v>
      </c>
      <c r="S57" s="11" t="n">
        <f aca="false">S55*S12</f>
        <v>2.51566305929826</v>
      </c>
      <c r="T57" s="11" t="n">
        <f aca="false">T55*T12</f>
        <v>2.79822668478444</v>
      </c>
      <c r="U57" s="11" t="n">
        <f aca="false">U55*U12</f>
        <v>2.64580430795453</v>
      </c>
      <c r="V57" s="11" t="n">
        <f aca="false">V55*V12</f>
        <v>2.58862517597166</v>
      </c>
      <c r="W57" s="11" t="n">
        <f aca="false">W55*W12</f>
        <v>2.06509371251554</v>
      </c>
      <c r="X57" s="11" t="n">
        <f aca="false">X55*X12</f>
        <v>0</v>
      </c>
      <c r="Y57" s="11" t="n">
        <f aca="false">Y55*Y12</f>
        <v>0</v>
      </c>
      <c r="Z57" s="11" t="n">
        <f aca="false">Z55*Z12</f>
        <v>0</v>
      </c>
      <c r="AA57" s="11" t="n">
        <f aca="false">AA55*AA12</f>
        <v>0</v>
      </c>
      <c r="AB57" s="11" t="n">
        <f aca="false">AB55*AB12</f>
        <v>0</v>
      </c>
      <c r="AC57" s="11" t="n">
        <f aca="false">AC55*AC12</f>
        <v>0</v>
      </c>
      <c r="AD57" s="11" t="n">
        <f aca="false">AD55*AD12</f>
        <v>0</v>
      </c>
      <c r="AE57" s="11" t="n">
        <f aca="false">AE55*AE12</f>
        <v>0</v>
      </c>
      <c r="AF57" s="11" t="n">
        <f aca="false">AF55*AF12</f>
        <v>0</v>
      </c>
      <c r="AG57" s="11" t="n">
        <f aca="false">AG55*AG12</f>
        <v>0</v>
      </c>
      <c r="AH57" s="11" t="n">
        <f aca="false">AH55*AH12</f>
        <v>0</v>
      </c>
      <c r="AI57" s="11" t="n">
        <f aca="false">AI55*AI12</f>
        <v>0</v>
      </c>
      <c r="AJ57" s="11" t="n">
        <f aca="false">AJ55*AJ12</f>
        <v>0</v>
      </c>
      <c r="AK57" s="11" t="n">
        <f aca="false">AK55*AK12</f>
        <v>0</v>
      </c>
      <c r="AL57" s="11" t="n">
        <f aca="false">AL55*AL12</f>
        <v>0</v>
      </c>
      <c r="AM57" s="11" t="n">
        <f aca="false">AM55*AM12</f>
        <v>0</v>
      </c>
      <c r="AN57" s="11" t="n">
        <f aca="false">AN55*AN12</f>
        <v>0</v>
      </c>
      <c r="AO57" s="11" t="n">
        <f aca="false">AO55*AO12</f>
        <v>0</v>
      </c>
      <c r="AP57" s="11" t="n">
        <f aca="false">AP55*AP12</f>
        <v>0</v>
      </c>
      <c r="AQ57" s="11" t="n">
        <f aca="false">AQ55*AQ12</f>
        <v>0</v>
      </c>
      <c r="AR57" s="11" t="n">
        <f aca="false">AR55*AR12</f>
        <v>0</v>
      </c>
      <c r="AS57" s="11" t="n">
        <f aca="false">AS55*AS12</f>
        <v>0</v>
      </c>
      <c r="AT57" s="11" t="n">
        <f aca="false">AT55*AT12</f>
        <v>0</v>
      </c>
      <c r="AU57" s="11" t="n">
        <f aca="false">AU55*AU12</f>
        <v>0</v>
      </c>
      <c r="AV57" s="11" t="n">
        <f aca="false">AV55*AV12</f>
        <v>0</v>
      </c>
      <c r="AW57" s="11" t="n">
        <f aca="false">AW55*AW12</f>
        <v>0</v>
      </c>
      <c r="AX57" s="11" t="n">
        <f aca="false">AX55*AX12</f>
        <v>0</v>
      </c>
      <c r="AY57" s="11" t="n">
        <f aca="false">AY55*AY12</f>
        <v>0</v>
      </c>
      <c r="AZ57" s="11" t="n">
        <f aca="false">AZ55*AZ12</f>
        <v>0</v>
      </c>
      <c r="BA57" s="11" t="n">
        <f aca="false">BA55*BA12</f>
        <v>0</v>
      </c>
      <c r="BB57" s="11" t="n">
        <f aca="false">BB55*BB12</f>
        <v>0</v>
      </c>
      <c r="BC57" s="11" t="n">
        <f aca="false">BC55*BC12</f>
        <v>0</v>
      </c>
      <c r="BD57" s="11" t="n">
        <f aca="false">BD55*BD12</f>
        <v>0</v>
      </c>
      <c r="BE57" s="11" t="n">
        <f aca="false">BE55*BE12</f>
        <v>0</v>
      </c>
      <c r="BF57" s="11" t="n">
        <f aca="false">BF55*BF12</f>
        <v>0</v>
      </c>
      <c r="BG57" s="11" t="n">
        <f aca="false">BG55*BG12</f>
        <v>0</v>
      </c>
      <c r="BH57" s="11" t="n">
        <f aca="false">BH55*BH12</f>
        <v>0</v>
      </c>
      <c r="BI57" s="11" t="n">
        <f aca="false">BI55*BI12</f>
        <v>0</v>
      </c>
      <c r="BJ57" s="11" t="n">
        <f aca="false">BJ55*BJ12</f>
        <v>0</v>
      </c>
      <c r="BK57" s="11" t="n">
        <f aca="false">BK55*BK12</f>
        <v>0</v>
      </c>
      <c r="BL57" s="11" t="n">
        <f aca="false">BL55*BL12</f>
        <v>0</v>
      </c>
      <c r="BM57" s="11" t="n">
        <f aca="false">BM55*BM12</f>
        <v>0</v>
      </c>
      <c r="BN57" s="11" t="n">
        <f aca="false">BN55*BN12</f>
        <v>0</v>
      </c>
    </row>
    <row r="58" customFormat="false" ht="15" hidden="false" customHeight="false" outlineLevel="0" collapsed="false">
      <c r="D58" s="0" t="s">
        <v>657</v>
      </c>
      <c r="E58" s="0" t="s">
        <v>149</v>
      </c>
      <c r="G58" s="11" t="n">
        <f aca="false">SUM(J58:BN58)</f>
        <v>12.571472539256</v>
      </c>
      <c r="J58" s="11" t="n">
        <f aca="false">Time!J30*(J55-J56)*J19</f>
        <v>0</v>
      </c>
      <c r="K58" s="11" t="n">
        <f aca="false">Time!K30*(K55-K56)*K19</f>
        <v>0</v>
      </c>
      <c r="L58" s="11" t="n">
        <f aca="false">Time!L30*(L55-L56)*L19</f>
        <v>0</v>
      </c>
      <c r="M58" s="11" t="n">
        <f aca="false">Time!M30*(M55-M56)*M19</f>
        <v>0</v>
      </c>
      <c r="N58" s="11" t="n">
        <f aca="false">Time!N30*(N55-N56)*N19</f>
        <v>0</v>
      </c>
      <c r="O58" s="11" t="n">
        <f aca="false">Time!O30*(O55-O56)*O19</f>
        <v>0</v>
      </c>
      <c r="P58" s="11" t="n">
        <f aca="false">Time!P30*(P55-P56)*P19</f>
        <v>0</v>
      </c>
      <c r="Q58" s="11" t="n">
        <f aca="false">Time!Q30*(Q55-Q56)*Q19</f>
        <v>1.59748087458481</v>
      </c>
      <c r="R58" s="11" t="n">
        <f aca="false">Time!R30*(R55-R56)*R19</f>
        <v>1.65607736499285</v>
      </c>
      <c r="S58" s="11" t="n">
        <f aca="false">Time!S30*(S55-S56)*S19</f>
        <v>1.71439889717574</v>
      </c>
      <c r="T58" s="11" t="n">
        <f aca="false">Time!T30*(T55-T56)*T19</f>
        <v>1.79483224399624</v>
      </c>
      <c r="U58" s="11" t="n">
        <f aca="false">Time!U30*(U55-U56)*U19</f>
        <v>1.84479345318685</v>
      </c>
      <c r="V58" s="11" t="n">
        <f aca="false">Time!V30*(V55-V56)*V19</f>
        <v>1.92924201947015</v>
      </c>
      <c r="W58" s="11" t="n">
        <f aca="false">Time!W30*(W55-W56)*W19</f>
        <v>2.03464768584931</v>
      </c>
      <c r="X58" s="11" t="n">
        <f aca="false">Time!X30*(X55-X56)*X19</f>
        <v>0</v>
      </c>
      <c r="Y58" s="11" t="n">
        <f aca="false">Time!Y30*(Y55-Y56)*Y19</f>
        <v>0</v>
      </c>
      <c r="Z58" s="11" t="n">
        <f aca="false">Time!Z30*(Z55-Z56)*Z19</f>
        <v>0</v>
      </c>
      <c r="AA58" s="11" t="n">
        <f aca="false">Time!AA30*(AA55-AA56)*AA19</f>
        <v>0</v>
      </c>
      <c r="AB58" s="11" t="n">
        <f aca="false">Time!AB30*(AB55-AB56)*AB19</f>
        <v>0</v>
      </c>
      <c r="AC58" s="11" t="n">
        <f aca="false">Time!AC30*(AC55-AC56)*AC19</f>
        <v>0</v>
      </c>
      <c r="AD58" s="11" t="n">
        <f aca="false">Time!AD30*(AD55-AD56)*AD19</f>
        <v>0</v>
      </c>
      <c r="AE58" s="11" t="n">
        <f aca="false">Time!AE30*(AE55-AE56)*AE19</f>
        <v>0</v>
      </c>
      <c r="AF58" s="11" t="n">
        <f aca="false">Time!AF30*(AF55-AF56)*AF19</f>
        <v>0</v>
      </c>
      <c r="AG58" s="11" t="n">
        <f aca="false">Time!AG30*(AG55-AG56)*AG19</f>
        <v>0</v>
      </c>
      <c r="AH58" s="11" t="n">
        <f aca="false">Time!AH30*(AH55-AH56)*AH19</f>
        <v>0</v>
      </c>
      <c r="AI58" s="11" t="n">
        <f aca="false">Time!AI30*(AI55-AI56)*AI19</f>
        <v>0</v>
      </c>
      <c r="AJ58" s="11" t="n">
        <f aca="false">Time!AJ30*(AJ55-AJ56)*AJ19</f>
        <v>0</v>
      </c>
      <c r="AK58" s="11" t="n">
        <f aca="false">Time!AK30*(AK55-AK56)*AK19</f>
        <v>0</v>
      </c>
      <c r="AL58" s="11" t="n">
        <f aca="false">Time!AL30*(AL55-AL56)*AL19</f>
        <v>0</v>
      </c>
      <c r="AM58" s="11" t="n">
        <f aca="false">Time!AM30*(AM55-AM56)*AM19</f>
        <v>0</v>
      </c>
      <c r="AN58" s="11" t="n">
        <f aca="false">Time!AN30*(AN55-AN56)*AN19</f>
        <v>0</v>
      </c>
      <c r="AO58" s="11" t="n">
        <f aca="false">Time!AO30*(AO55-AO56)*AO19</f>
        <v>0</v>
      </c>
      <c r="AP58" s="11" t="n">
        <f aca="false">Time!AP30*(AP55-AP56)*AP19</f>
        <v>0</v>
      </c>
      <c r="AQ58" s="11" t="n">
        <f aca="false">Time!AQ30*(AQ55-AQ56)*AQ19</f>
        <v>0</v>
      </c>
      <c r="AR58" s="11" t="n">
        <f aca="false">Time!AR30*(AR55-AR56)*AR19</f>
        <v>0</v>
      </c>
      <c r="AS58" s="11" t="n">
        <f aca="false">Time!AS30*(AS55-AS56)*AS19</f>
        <v>0</v>
      </c>
      <c r="AT58" s="11" t="n">
        <f aca="false">Time!AT30*(AT55-AT56)*AT19</f>
        <v>0</v>
      </c>
      <c r="AU58" s="11" t="n">
        <f aca="false">Time!AU30*(AU55-AU56)*AU19</f>
        <v>0</v>
      </c>
      <c r="AV58" s="11" t="n">
        <f aca="false">Time!AV30*(AV55-AV56)*AV19</f>
        <v>0</v>
      </c>
      <c r="AW58" s="11" t="n">
        <f aca="false">Time!AW30*(AW55-AW56)*AW19</f>
        <v>0</v>
      </c>
      <c r="AX58" s="11" t="n">
        <f aca="false">Time!AX30*(AX55-AX56)*AX19</f>
        <v>0</v>
      </c>
      <c r="AY58" s="11" t="n">
        <f aca="false">Time!AY30*(AY55-AY56)*AY19</f>
        <v>0</v>
      </c>
      <c r="AZ58" s="11" t="n">
        <f aca="false">Time!AZ30*(AZ55-AZ56)*AZ19</f>
        <v>0</v>
      </c>
      <c r="BA58" s="11" t="n">
        <f aca="false">Time!BA30*(BA55-BA56)*BA19</f>
        <v>0</v>
      </c>
      <c r="BB58" s="11" t="n">
        <f aca="false">Time!BB30*(BB55-BB56)*BB19</f>
        <v>0</v>
      </c>
      <c r="BC58" s="11" t="n">
        <f aca="false">Time!BC30*(BC55-BC56)*BC19</f>
        <v>0</v>
      </c>
      <c r="BD58" s="11" t="n">
        <f aca="false">Time!BD30*(BD55-BD56)*BD19</f>
        <v>0</v>
      </c>
      <c r="BE58" s="11" t="n">
        <f aca="false">Time!BE30*(BE55-BE56)*BE19</f>
        <v>0</v>
      </c>
      <c r="BF58" s="11" t="n">
        <f aca="false">Time!BF30*(BF55-BF56)*BF19</f>
        <v>0</v>
      </c>
      <c r="BG58" s="11" t="n">
        <f aca="false">Time!BG30*(BG55-BG56)*BG19</f>
        <v>0</v>
      </c>
      <c r="BH58" s="11" t="n">
        <f aca="false">Time!BH30*(BH55-BH56)*BH19</f>
        <v>0</v>
      </c>
      <c r="BI58" s="11" t="n">
        <f aca="false">Time!BI30*(BI55-BI56)*BI19</f>
        <v>0</v>
      </c>
      <c r="BJ58" s="11" t="n">
        <f aca="false">Time!BJ30*(BJ55-BJ56)*BJ19</f>
        <v>0</v>
      </c>
      <c r="BK58" s="11" t="n">
        <f aca="false">Time!BK30*(BK55-BK56)*BK19</f>
        <v>0</v>
      </c>
      <c r="BL58" s="11" t="n">
        <f aca="false">Time!BL30*(BL55-BL56)*BL19</f>
        <v>0</v>
      </c>
      <c r="BM58" s="11" t="n">
        <f aca="false">Time!BM30*(BM55-BM56)*BM19</f>
        <v>0</v>
      </c>
      <c r="BN58" s="11" t="n">
        <f aca="false">Time!BN30*(BN55-BN56)*BN19</f>
        <v>0</v>
      </c>
    </row>
    <row r="59" customFormat="false" ht="15" hidden="false" customHeight="false" outlineLevel="0" collapsed="false">
      <c r="D59" s="0" t="s">
        <v>658</v>
      </c>
      <c r="E59" s="0" t="s">
        <v>149</v>
      </c>
      <c r="G59" s="11" t="n">
        <f aca="false">SUM(J59:BN59)</f>
        <v>1.07689934639774</v>
      </c>
      <c r="J59" s="11" t="n">
        <f aca="false">J21*Inputs!$F$194*J58</f>
        <v>0</v>
      </c>
      <c r="K59" s="11" t="n">
        <f aca="false">K21*Inputs!$F$194*K58</f>
        <v>0</v>
      </c>
      <c r="L59" s="11" t="n">
        <f aca="false">L21*Inputs!$F$194*L58</f>
        <v>0</v>
      </c>
      <c r="M59" s="11" t="n">
        <f aca="false">M21*Inputs!$F$194*M58</f>
        <v>0</v>
      </c>
      <c r="N59" s="11" t="n">
        <f aca="false">N21*Inputs!$F$194*N58</f>
        <v>0</v>
      </c>
      <c r="O59" s="11" t="n">
        <f aca="false">O21*Inputs!$F$194*O58</f>
        <v>0</v>
      </c>
      <c r="P59" s="11" t="n">
        <f aca="false">P21*Inputs!$F$194*P58</f>
        <v>0</v>
      </c>
      <c r="Q59" s="11" t="n">
        <f aca="false">Q21*Inputs!$F$194*Q58</f>
        <v>0</v>
      </c>
      <c r="R59" s="11" t="n">
        <f aca="false">R21*Inputs!$F$194*R58</f>
        <v>0</v>
      </c>
      <c r="S59" s="11" t="n">
        <f aca="false">S21*Inputs!$F$194*S58</f>
        <v>0</v>
      </c>
      <c r="T59" s="11" t="n">
        <f aca="false">T21*Inputs!$F$194*T58</f>
        <v>1.07689934639774</v>
      </c>
      <c r="U59" s="11" t="n">
        <f aca="false">U21*Inputs!$F$194*U58</f>
        <v>0</v>
      </c>
      <c r="V59" s="11" t="n">
        <f aca="false">V21*Inputs!$F$194*V58</f>
        <v>0</v>
      </c>
      <c r="W59" s="11" t="n">
        <f aca="false">W21*Inputs!$F$194*W58</f>
        <v>0</v>
      </c>
      <c r="X59" s="11" t="n">
        <f aca="false">X21*Inputs!$F$194*X58</f>
        <v>0</v>
      </c>
      <c r="Y59" s="11" t="n">
        <f aca="false">Y21*Inputs!$F$194*Y58</f>
        <v>0</v>
      </c>
      <c r="Z59" s="11" t="n">
        <f aca="false">Z21*Inputs!$F$194*Z58</f>
        <v>0</v>
      </c>
      <c r="AA59" s="11" t="n">
        <f aca="false">AA21*Inputs!$F$194*AA58</f>
        <v>0</v>
      </c>
      <c r="AB59" s="11" t="n">
        <f aca="false">AB21*Inputs!$F$194*AB58</f>
        <v>0</v>
      </c>
      <c r="AC59" s="11" t="n">
        <f aca="false">AC21*Inputs!$F$194*AC58</f>
        <v>0</v>
      </c>
      <c r="AD59" s="11" t="n">
        <f aca="false">AD21*Inputs!$F$194*AD58</f>
        <v>0</v>
      </c>
      <c r="AE59" s="11" t="n">
        <f aca="false">AE21*Inputs!$F$194*AE58</f>
        <v>0</v>
      </c>
      <c r="AF59" s="11" t="n">
        <f aca="false">AF21*Inputs!$F$194*AF58</f>
        <v>0</v>
      </c>
      <c r="AG59" s="11" t="n">
        <f aca="false">AG21*Inputs!$F$194*AG58</f>
        <v>0</v>
      </c>
      <c r="AH59" s="11" t="n">
        <f aca="false">AH21*Inputs!$F$194*AH58</f>
        <v>0</v>
      </c>
      <c r="AI59" s="11" t="n">
        <f aca="false">AI21*Inputs!$F$194*AI58</f>
        <v>0</v>
      </c>
      <c r="AJ59" s="11" t="n">
        <f aca="false">AJ21*Inputs!$F$194*AJ58</f>
        <v>0</v>
      </c>
      <c r="AK59" s="11" t="n">
        <f aca="false">AK21*Inputs!$F$194*AK58</f>
        <v>0</v>
      </c>
      <c r="AL59" s="11" t="n">
        <f aca="false">AL21*Inputs!$F$194*AL58</f>
        <v>0</v>
      </c>
      <c r="AM59" s="11" t="n">
        <f aca="false">AM21*Inputs!$F$194*AM58</f>
        <v>0</v>
      </c>
      <c r="AN59" s="11" t="n">
        <f aca="false">AN21*Inputs!$F$194*AN58</f>
        <v>0</v>
      </c>
      <c r="AO59" s="11" t="n">
        <f aca="false">AO21*Inputs!$F$194*AO58</f>
        <v>0</v>
      </c>
      <c r="AP59" s="11" t="n">
        <f aca="false">AP21*Inputs!$F$194*AP58</f>
        <v>0</v>
      </c>
      <c r="AQ59" s="11" t="n">
        <f aca="false">AQ21*Inputs!$F$194*AQ58</f>
        <v>0</v>
      </c>
      <c r="AR59" s="11" t="n">
        <f aca="false">AR21*Inputs!$F$194*AR58</f>
        <v>0</v>
      </c>
      <c r="AS59" s="11" t="n">
        <f aca="false">AS21*Inputs!$F$194*AS58</f>
        <v>0</v>
      </c>
      <c r="AT59" s="11" t="n">
        <f aca="false">AT21*Inputs!$F$194*AT58</f>
        <v>0</v>
      </c>
      <c r="AU59" s="11" t="n">
        <f aca="false">AU21*Inputs!$F$194*AU58</f>
        <v>0</v>
      </c>
      <c r="AV59" s="11" t="n">
        <f aca="false">AV21*Inputs!$F$194*AV58</f>
        <v>0</v>
      </c>
      <c r="AW59" s="11" t="n">
        <f aca="false">AW21*Inputs!$F$194*AW58</f>
        <v>0</v>
      </c>
      <c r="AX59" s="11" t="n">
        <f aca="false">AX21*Inputs!$F$194*AX58</f>
        <v>0</v>
      </c>
      <c r="AY59" s="11" t="n">
        <f aca="false">AY21*Inputs!$F$194*AY58</f>
        <v>0</v>
      </c>
      <c r="AZ59" s="11" t="n">
        <f aca="false">AZ21*Inputs!$F$194*AZ58</f>
        <v>0</v>
      </c>
      <c r="BA59" s="11" t="n">
        <f aca="false">BA21*Inputs!$F$194*BA58</f>
        <v>0</v>
      </c>
      <c r="BB59" s="11" t="n">
        <f aca="false">BB21*Inputs!$F$194*BB58</f>
        <v>0</v>
      </c>
      <c r="BC59" s="11" t="n">
        <f aca="false">BC21*Inputs!$F$194*BC58</f>
        <v>0</v>
      </c>
      <c r="BD59" s="11" t="n">
        <f aca="false">BD21*Inputs!$F$194*BD58</f>
        <v>0</v>
      </c>
      <c r="BE59" s="11" t="n">
        <f aca="false">BE21*Inputs!$F$194*BE58</f>
        <v>0</v>
      </c>
      <c r="BF59" s="11" t="n">
        <f aca="false">BF21*Inputs!$F$194*BF58</f>
        <v>0</v>
      </c>
      <c r="BG59" s="11" t="n">
        <f aca="false">BG21*Inputs!$F$194*BG58</f>
        <v>0</v>
      </c>
      <c r="BH59" s="11" t="n">
        <f aca="false">BH21*Inputs!$F$194*BH58</f>
        <v>0</v>
      </c>
      <c r="BI59" s="11" t="n">
        <f aca="false">BI21*Inputs!$F$194*BI58</f>
        <v>0</v>
      </c>
      <c r="BJ59" s="11" t="n">
        <f aca="false">BJ21*Inputs!$F$194*BJ58</f>
        <v>0</v>
      </c>
      <c r="BK59" s="11" t="n">
        <f aca="false">BK21*Inputs!$F$194*BK58</f>
        <v>0</v>
      </c>
      <c r="BL59" s="11" t="n">
        <f aca="false">BL21*Inputs!$F$194*BL58</f>
        <v>0</v>
      </c>
      <c r="BM59" s="11" t="n">
        <f aca="false">BM21*Inputs!$F$194*BM58</f>
        <v>0</v>
      </c>
      <c r="BN59" s="11" t="n">
        <f aca="false">BN21*Inputs!$F$194*BN58</f>
        <v>0</v>
      </c>
    </row>
    <row r="60" customFormat="false" ht="15" hidden="false" customHeight="false" outlineLevel="0" collapsed="false">
      <c r="D60" s="0" t="s">
        <v>659</v>
      </c>
      <c r="E60" s="0" t="s">
        <v>149</v>
      </c>
      <c r="F60" s="15" t="n">
        <f aca="false">$T$59</f>
        <v>1.07689934639774</v>
      </c>
    </row>
    <row r="61" customFormat="false" ht="15" hidden="false" customHeight="false" outlineLevel="0" collapsed="false">
      <c r="D61" s="0" t="s">
        <v>660</v>
      </c>
      <c r="E61" s="0" t="s">
        <v>149</v>
      </c>
      <c r="G61" s="11" t="n">
        <f aca="false">SUM(J61:BN61)</f>
        <v>0.807674509798307</v>
      </c>
      <c r="J61" s="11" t="n">
        <f aca="false">0</f>
        <v>0</v>
      </c>
      <c r="K61" s="11" t="n">
        <f aca="false">0</f>
        <v>0</v>
      </c>
      <c r="L61" s="11" t="n">
        <f aca="false">0</f>
        <v>0</v>
      </c>
      <c r="M61" s="11" t="n">
        <f aca="false">0</f>
        <v>0</v>
      </c>
      <c r="N61" s="11" t="n">
        <f aca="false">0</f>
        <v>0</v>
      </c>
      <c r="O61" s="11" t="n">
        <f aca="false">0</f>
        <v>0</v>
      </c>
      <c r="P61" s="11" t="n">
        <f aca="false">0</f>
        <v>0</v>
      </c>
      <c r="Q61" s="11" t="n">
        <f aca="false">0</f>
        <v>0</v>
      </c>
      <c r="R61" s="11" t="n">
        <f aca="false">0</f>
        <v>0</v>
      </c>
      <c r="S61" s="11" t="n">
        <f aca="false">0</f>
        <v>0</v>
      </c>
      <c r="T61" s="11" t="n">
        <f aca="false">0</f>
        <v>0</v>
      </c>
      <c r="U61" s="11" t="n">
        <f aca="false">U22*MIN($F$60/4,U56)</f>
        <v>0.269224836599436</v>
      </c>
      <c r="V61" s="11" t="n">
        <f aca="false">V22*MIN($F$60/4,V56)</f>
        <v>0.269224836599436</v>
      </c>
      <c r="W61" s="11" t="n">
        <f aca="false">W22*MIN($F$60/4,W56)</f>
        <v>0.269224836599436</v>
      </c>
      <c r="X61" s="11" t="n">
        <f aca="false">X22*MIN($F$60/4,X56)</f>
        <v>0</v>
      </c>
      <c r="Y61" s="11" t="n">
        <f aca="false">0</f>
        <v>0</v>
      </c>
      <c r="Z61" s="11" t="n">
        <f aca="false">0</f>
        <v>0</v>
      </c>
      <c r="AA61" s="11" t="n">
        <f aca="false">0</f>
        <v>0</v>
      </c>
      <c r="AB61" s="11" t="n">
        <f aca="false">0</f>
        <v>0</v>
      </c>
      <c r="AC61" s="11" t="n">
        <f aca="false">0</f>
        <v>0</v>
      </c>
      <c r="AD61" s="11" t="n">
        <f aca="false">0</f>
        <v>0</v>
      </c>
      <c r="AE61" s="11" t="n">
        <f aca="false">0</f>
        <v>0</v>
      </c>
      <c r="AF61" s="11" t="n">
        <f aca="false">0</f>
        <v>0</v>
      </c>
      <c r="AG61" s="11" t="n">
        <f aca="false">0</f>
        <v>0</v>
      </c>
      <c r="AH61" s="11" t="n">
        <f aca="false">0</f>
        <v>0</v>
      </c>
      <c r="AI61" s="11" t="n">
        <f aca="false">0</f>
        <v>0</v>
      </c>
      <c r="AJ61" s="11" t="n">
        <f aca="false">0</f>
        <v>0</v>
      </c>
      <c r="AK61" s="11" t="n">
        <f aca="false">0</f>
        <v>0</v>
      </c>
      <c r="AL61" s="11" t="n">
        <f aca="false">0</f>
        <v>0</v>
      </c>
      <c r="AM61" s="11" t="n">
        <f aca="false">0</f>
        <v>0</v>
      </c>
      <c r="AN61" s="11" t="n">
        <f aca="false">0</f>
        <v>0</v>
      </c>
      <c r="AO61" s="11" t="n">
        <f aca="false">0</f>
        <v>0</v>
      </c>
      <c r="AP61" s="11" t="n">
        <f aca="false">0</f>
        <v>0</v>
      </c>
      <c r="AQ61" s="11" t="n">
        <f aca="false">0</f>
        <v>0</v>
      </c>
      <c r="AR61" s="11" t="n">
        <f aca="false">0</f>
        <v>0</v>
      </c>
      <c r="AS61" s="11" t="n">
        <f aca="false">0</f>
        <v>0</v>
      </c>
      <c r="AT61" s="11" t="n">
        <f aca="false">0</f>
        <v>0</v>
      </c>
      <c r="AU61" s="11" t="n">
        <f aca="false">0</f>
        <v>0</v>
      </c>
      <c r="AV61" s="11" t="n">
        <f aca="false">0</f>
        <v>0</v>
      </c>
      <c r="AW61" s="11" t="n">
        <f aca="false">0</f>
        <v>0</v>
      </c>
      <c r="AX61" s="11" t="n">
        <f aca="false">0</f>
        <v>0</v>
      </c>
      <c r="AY61" s="11" t="n">
        <f aca="false">0</f>
        <v>0</v>
      </c>
      <c r="AZ61" s="11" t="n">
        <f aca="false">0</f>
        <v>0</v>
      </c>
      <c r="BA61" s="11" t="n">
        <f aca="false">0</f>
        <v>0</v>
      </c>
      <c r="BB61" s="11" t="n">
        <f aca="false">0</f>
        <v>0</v>
      </c>
      <c r="BC61" s="11" t="n">
        <f aca="false">0</f>
        <v>0</v>
      </c>
      <c r="BD61" s="11" t="n">
        <f aca="false">0</f>
        <v>0</v>
      </c>
      <c r="BE61" s="11" t="n">
        <f aca="false">0</f>
        <v>0</v>
      </c>
      <c r="BF61" s="11" t="n">
        <f aca="false">0</f>
        <v>0</v>
      </c>
      <c r="BG61" s="11" t="n">
        <f aca="false">0</f>
        <v>0</v>
      </c>
      <c r="BH61" s="11" t="n">
        <f aca="false">0</f>
        <v>0</v>
      </c>
      <c r="BI61" s="11" t="n">
        <f aca="false">0</f>
        <v>0</v>
      </c>
      <c r="BJ61" s="11" t="n">
        <f aca="false">0</f>
        <v>0</v>
      </c>
      <c r="BK61" s="11" t="n">
        <f aca="false">0</f>
        <v>0</v>
      </c>
      <c r="BL61" s="11" t="n">
        <f aca="false">0</f>
        <v>0</v>
      </c>
      <c r="BM61" s="11" t="n">
        <f aca="false">0</f>
        <v>0</v>
      </c>
      <c r="BN61" s="11" t="n">
        <f aca="false">0</f>
        <v>0</v>
      </c>
    </row>
    <row r="62" customFormat="false" ht="15" hidden="false" customHeight="false" outlineLevel="0" collapsed="false">
      <c r="D62" s="0" t="s">
        <v>661</v>
      </c>
      <c r="E62" s="0" t="s">
        <v>149</v>
      </c>
      <c r="G62" s="11" t="n">
        <f aca="false">SUM(J62:BN62)</f>
        <v>12.3022477026565</v>
      </c>
      <c r="J62" s="11" t="n">
        <f aca="false">J58-J59+J61</f>
        <v>0</v>
      </c>
      <c r="K62" s="11" t="n">
        <f aca="false">K58-K59+K61</f>
        <v>0</v>
      </c>
      <c r="L62" s="11" t="n">
        <f aca="false">L58-L59+L61</f>
        <v>0</v>
      </c>
      <c r="M62" s="11" t="n">
        <f aca="false">M58-M59+M61</f>
        <v>0</v>
      </c>
      <c r="N62" s="11" t="n">
        <f aca="false">N58-N59+N61</f>
        <v>0</v>
      </c>
      <c r="O62" s="11" t="n">
        <f aca="false">O58-O59+O61</f>
        <v>0</v>
      </c>
      <c r="P62" s="11" t="n">
        <f aca="false">P58-P59+P61</f>
        <v>0</v>
      </c>
      <c r="Q62" s="11" t="n">
        <f aca="false">Q58-Q59+Q61</f>
        <v>1.59748087458481</v>
      </c>
      <c r="R62" s="11" t="n">
        <f aca="false">R58-R59+R61</f>
        <v>1.65607736499285</v>
      </c>
      <c r="S62" s="11" t="n">
        <f aca="false">S58-S59+S61</f>
        <v>1.71439889717574</v>
      </c>
      <c r="T62" s="11" t="n">
        <f aca="false">T58-T59+T61</f>
        <v>0.717932897598495</v>
      </c>
      <c r="U62" s="11" t="n">
        <f aca="false">U58-U59+U61</f>
        <v>2.11401828978629</v>
      </c>
      <c r="V62" s="11" t="n">
        <f aca="false">V58-V59+V61</f>
        <v>2.19846685606958</v>
      </c>
      <c r="W62" s="11" t="n">
        <f aca="false">W58-W59+W61</f>
        <v>2.30387252244875</v>
      </c>
      <c r="X62" s="11" t="n">
        <f aca="false">X58-X59+X61</f>
        <v>0</v>
      </c>
      <c r="Y62" s="11" t="n">
        <f aca="false">Y58-Y59+Y61</f>
        <v>0</v>
      </c>
      <c r="Z62" s="11" t="n">
        <f aca="false">Z58-Z59+Z61</f>
        <v>0</v>
      </c>
      <c r="AA62" s="11" t="n">
        <f aca="false">AA58-AA59+AA61</f>
        <v>0</v>
      </c>
      <c r="AB62" s="11" t="n">
        <f aca="false">AB58-AB59+AB61</f>
        <v>0</v>
      </c>
      <c r="AC62" s="11" t="n">
        <f aca="false">AC58-AC59+AC61</f>
        <v>0</v>
      </c>
      <c r="AD62" s="11" t="n">
        <f aca="false">AD58-AD59+AD61</f>
        <v>0</v>
      </c>
      <c r="AE62" s="11" t="n">
        <f aca="false">AE58-AE59+AE61</f>
        <v>0</v>
      </c>
      <c r="AF62" s="11" t="n">
        <f aca="false">AF58-AF59+AF61</f>
        <v>0</v>
      </c>
      <c r="AG62" s="11" t="n">
        <f aca="false">AG58-AG59+AG61</f>
        <v>0</v>
      </c>
      <c r="AH62" s="11" t="n">
        <f aca="false">AH58-AH59+AH61</f>
        <v>0</v>
      </c>
      <c r="AI62" s="11" t="n">
        <f aca="false">AI58-AI59+AI61</f>
        <v>0</v>
      </c>
      <c r="AJ62" s="11" t="n">
        <f aca="false">AJ58-AJ59+AJ61</f>
        <v>0</v>
      </c>
      <c r="AK62" s="11" t="n">
        <f aca="false">AK58-AK59+AK61</f>
        <v>0</v>
      </c>
      <c r="AL62" s="11" t="n">
        <f aca="false">AL58-AL59+AL61</f>
        <v>0</v>
      </c>
      <c r="AM62" s="11" t="n">
        <f aca="false">AM58-AM59+AM61</f>
        <v>0</v>
      </c>
      <c r="AN62" s="11" t="n">
        <f aca="false">AN58-AN59+AN61</f>
        <v>0</v>
      </c>
      <c r="AO62" s="11" t="n">
        <f aca="false">AO58-AO59+AO61</f>
        <v>0</v>
      </c>
      <c r="AP62" s="11" t="n">
        <f aca="false">AP58-AP59+AP61</f>
        <v>0</v>
      </c>
      <c r="AQ62" s="11" t="n">
        <f aca="false">AQ58-AQ59+AQ61</f>
        <v>0</v>
      </c>
      <c r="AR62" s="11" t="n">
        <f aca="false">AR58-AR59+AR61</f>
        <v>0</v>
      </c>
      <c r="AS62" s="11" t="n">
        <f aca="false">AS58-AS59+AS61</f>
        <v>0</v>
      </c>
      <c r="AT62" s="11" t="n">
        <f aca="false">AT58-AT59+AT61</f>
        <v>0</v>
      </c>
      <c r="AU62" s="11" t="n">
        <f aca="false">AU58-AU59+AU61</f>
        <v>0</v>
      </c>
      <c r="AV62" s="11" t="n">
        <f aca="false">AV58-AV59+AV61</f>
        <v>0</v>
      </c>
      <c r="AW62" s="11" t="n">
        <f aca="false">AW58-AW59+AW61</f>
        <v>0</v>
      </c>
      <c r="AX62" s="11" t="n">
        <f aca="false">AX58-AX59+AX61</f>
        <v>0</v>
      </c>
      <c r="AY62" s="11" t="n">
        <f aca="false">AY58-AY59+AY61</f>
        <v>0</v>
      </c>
      <c r="AZ62" s="11" t="n">
        <f aca="false">AZ58-AZ59+AZ61</f>
        <v>0</v>
      </c>
      <c r="BA62" s="11" t="n">
        <f aca="false">BA58-BA59+BA61</f>
        <v>0</v>
      </c>
      <c r="BB62" s="11" t="n">
        <f aca="false">BB58-BB59+BB61</f>
        <v>0</v>
      </c>
      <c r="BC62" s="11" t="n">
        <f aca="false">BC58-BC59+BC61</f>
        <v>0</v>
      </c>
      <c r="BD62" s="11" t="n">
        <f aca="false">BD58-BD59+BD61</f>
        <v>0</v>
      </c>
      <c r="BE62" s="11" t="n">
        <f aca="false">BE58-BE59+BE61</f>
        <v>0</v>
      </c>
      <c r="BF62" s="11" t="n">
        <f aca="false">BF58-BF59+BF61</f>
        <v>0</v>
      </c>
      <c r="BG62" s="11" t="n">
        <f aca="false">BG58-BG59+BG61</f>
        <v>0</v>
      </c>
      <c r="BH62" s="11" t="n">
        <f aca="false">BH58-BH59+BH61</f>
        <v>0</v>
      </c>
      <c r="BI62" s="11" t="n">
        <f aca="false">BI58-BI59+BI61</f>
        <v>0</v>
      </c>
      <c r="BJ62" s="11" t="n">
        <f aca="false">BJ58-BJ59+BJ61</f>
        <v>0</v>
      </c>
      <c r="BK62" s="11" t="n">
        <f aca="false">BK58-BK59+BK61</f>
        <v>0</v>
      </c>
      <c r="BL62" s="11" t="n">
        <f aca="false">BL58-BL59+BL61</f>
        <v>0</v>
      </c>
      <c r="BM62" s="11" t="n">
        <f aca="false">BM58-BM59+BM61</f>
        <v>0</v>
      </c>
      <c r="BN62" s="11" t="n">
        <f aca="false">BN58-BN59+BN61</f>
        <v>0</v>
      </c>
    </row>
    <row r="63" customFormat="false" ht="15" hidden="false" customHeight="false" outlineLevel="0" collapsed="false">
      <c r="D63" s="0" t="s">
        <v>662</v>
      </c>
      <c r="E63" s="0" t="s">
        <v>149</v>
      </c>
      <c r="G63" s="11" t="n">
        <f aca="false">SUM(J63:BN63)</f>
        <v>1.84849999999697</v>
      </c>
      <c r="J63" s="11" t="n">
        <f aca="false">J23*Inputs!$F$191*(J55-J62)/(J25-J32+J40-J47+J55-J62+J70-J77+J85-J92+0.000000001)</f>
        <v>0</v>
      </c>
      <c r="K63" s="11" t="n">
        <f aca="false">K23*Inputs!$F$191*(K55-K62)/(K25-K32+K40-K47+K55-K62+K70-K77+K85-K92+0.000000001)</f>
        <v>0</v>
      </c>
      <c r="L63" s="11" t="n">
        <f aca="false">L23*Inputs!$F$191*(L55-L62)/(L25-L32+L40-L47+L55-L62+L70-L77+L85-L92+0.000000001)</f>
        <v>0</v>
      </c>
      <c r="M63" s="11" t="n">
        <f aca="false">M23*Inputs!$F$191*(M55-M62)/(M25-M32+M40-M47+M55-M62+M70-M77+M85-M92+0.000000001)</f>
        <v>0</v>
      </c>
      <c r="N63" s="11" t="n">
        <f aca="false">N23*Inputs!$F$191*(N55-N62)/(N25-N32+N40-N47+N55-N62+N70-N77+N85-N92+0.000000001)</f>
        <v>0</v>
      </c>
      <c r="O63" s="11" t="n">
        <f aca="false">O23*Inputs!$F$191*(O55-O62)/(O25-O32+O40-O47+O55-O62+O70-O77+O85-O92+0.000000001)</f>
        <v>0</v>
      </c>
      <c r="P63" s="11" t="n">
        <f aca="false">P23*Inputs!$F$191*(P55-P62)/(P25-P32+P40-P47+P55-P62+P70-P77+P85-P92+0.000000001)</f>
        <v>0</v>
      </c>
      <c r="Q63" s="11" t="n">
        <f aca="false">Q23*Inputs!$F$191*(Q55-Q62)/(Q25-Q32+Q40-Q47+Q55-Q62+Q70-Q77+Q85-Q92+0.000000001)</f>
        <v>1.84849999999697</v>
      </c>
      <c r="R63" s="11" t="n">
        <f aca="false">R23*Inputs!$F$191*(R55-R62)/(R25-R32+R40-R47+R55-R62+R70-R77+R85-R92+0.000000001)</f>
        <v>0</v>
      </c>
      <c r="S63" s="11" t="n">
        <f aca="false">S23*Inputs!$F$191*(S55-S62)/(S25-S32+S40-S47+S55-S62+S70-S77+S85-S92+0.000000001)</f>
        <v>0</v>
      </c>
      <c r="T63" s="11" t="n">
        <f aca="false">T23*Inputs!$F$191*(T55-T62)/(T25-T32+T40-T47+T55-T62+T70-T77+T85-T92+0.000000001)</f>
        <v>0</v>
      </c>
      <c r="U63" s="11" t="n">
        <f aca="false">U23*Inputs!$F$191*(U55-U62)/(U25-U32+U40-U47+U55-U62+U70-U77+U85-U92+0.000000001)</f>
        <v>0</v>
      </c>
      <c r="V63" s="11" t="n">
        <f aca="false">V23*Inputs!$F$191*(V55-V62)/(V25-V32+V40-V47+V55-V62+V70-V77+V85-V92+0.000000001)</f>
        <v>0</v>
      </c>
      <c r="W63" s="11" t="n">
        <f aca="false">W23*Inputs!$F$191*(W55-W62)/(W25-W32+W40-W47+W55-W62+W70-W77+W85-W92+0.000000001)</f>
        <v>0</v>
      </c>
      <c r="X63" s="11" t="n">
        <f aca="false">X23*Inputs!$F$191*(X55-X62)/(X25-X32+X40-X47+X55-X62+X70-X77+X85-X92+0.000000001)</f>
        <v>0</v>
      </c>
      <c r="Y63" s="11" t="n">
        <f aca="false">Y23*Inputs!$F$191*(Y55-Y62)/(Y25-Y32+Y40-Y47+Y55-Y62+Y70-Y77+Y85-Y92+0.000000001)</f>
        <v>0</v>
      </c>
      <c r="Z63" s="11" t="n">
        <f aca="false">Z23*Inputs!$F$191*(Z55-Z62)/(Z25-Z32+Z40-Z47+Z55-Z62+Z70-Z77+Z85-Z92+0.000000001)</f>
        <v>0</v>
      </c>
      <c r="AA63" s="11" t="n">
        <f aca="false">AA23*Inputs!$F$191*(AA55-AA62)/(AA25-AA32+AA40-AA47+AA55-AA62+AA70-AA77+AA85-AA92+0.000000001)</f>
        <v>0</v>
      </c>
      <c r="AB63" s="11" t="n">
        <f aca="false">AB23*Inputs!$F$191*(AB55-AB62)/(AB25-AB32+AB40-AB47+AB55-AB62+AB70-AB77+AB85-AB92+0.000000001)</f>
        <v>0</v>
      </c>
      <c r="AC63" s="11" t="n">
        <f aca="false">AC23*Inputs!$F$191*(AC55-AC62)/(AC25-AC32+AC40-AC47+AC55-AC62+AC70-AC77+AC85-AC92+0.000000001)</f>
        <v>0</v>
      </c>
      <c r="AD63" s="11" t="n">
        <f aca="false">AD23*Inputs!$F$191*(AD55-AD62)/(AD25-AD32+AD40-AD47+AD55-AD62+AD70-AD77+AD85-AD92+0.000000001)</f>
        <v>0</v>
      </c>
      <c r="AE63" s="11" t="n">
        <f aca="false">AE23*Inputs!$F$191*(AE55-AE62)/(AE25-AE32+AE40-AE47+AE55-AE62+AE70-AE77+AE85-AE92+0.000000001)</f>
        <v>0</v>
      </c>
      <c r="AF63" s="11" t="n">
        <f aca="false">AF23*Inputs!$F$191*(AF55-AF62)/(AF25-AF32+AF40-AF47+AF55-AF62+AF70-AF77+AF85-AF92+0.000000001)</f>
        <v>0</v>
      </c>
      <c r="AG63" s="11" t="n">
        <f aca="false">AG23*Inputs!$F$191*(AG55-AG62)/(AG25-AG32+AG40-AG47+AG55-AG62+AG70-AG77+AG85-AG92+0.000000001)</f>
        <v>0</v>
      </c>
      <c r="AH63" s="11" t="n">
        <f aca="false">AH23*Inputs!$F$191*(AH55-AH62)/(AH25-AH32+AH40-AH47+AH55-AH62+AH70-AH77+AH85-AH92+0.000000001)</f>
        <v>0</v>
      </c>
      <c r="AI63" s="11" t="n">
        <f aca="false">AI23*Inputs!$F$191*(AI55-AI62)/(AI25-AI32+AI40-AI47+AI55-AI62+AI70-AI77+AI85-AI92+0.000000001)</f>
        <v>0</v>
      </c>
      <c r="AJ63" s="11" t="n">
        <f aca="false">AJ23*Inputs!$F$191*(AJ55-AJ62)/(AJ25-AJ32+AJ40-AJ47+AJ55-AJ62+AJ70-AJ77+AJ85-AJ92+0.000000001)</f>
        <v>0</v>
      </c>
      <c r="AK63" s="11" t="n">
        <f aca="false">AK23*Inputs!$F$191*(AK55-AK62)/(AK25-AK32+AK40-AK47+AK55-AK62+AK70-AK77+AK85-AK92+0.000000001)</f>
        <v>0</v>
      </c>
      <c r="AL63" s="11" t="n">
        <f aca="false">AL23*Inputs!$F$191*(AL55-AL62)/(AL25-AL32+AL40-AL47+AL55-AL62+AL70-AL77+AL85-AL92+0.000000001)</f>
        <v>0</v>
      </c>
      <c r="AM63" s="11" t="n">
        <f aca="false">AM23*Inputs!$F$191*(AM55-AM62)/(AM25-AM32+AM40-AM47+AM55-AM62+AM70-AM77+AM85-AM92+0.000000001)</f>
        <v>0</v>
      </c>
      <c r="AN63" s="11" t="n">
        <f aca="false">AN23*Inputs!$F$191*(AN55-AN62)/(AN25-AN32+AN40-AN47+AN55-AN62+AN70-AN77+AN85-AN92+0.000000001)</f>
        <v>0</v>
      </c>
      <c r="AO63" s="11" t="n">
        <f aca="false">AO23*Inputs!$F$191*(AO55-AO62)/(AO25-AO32+AO40-AO47+AO55-AO62+AO70-AO77+AO85-AO92+0.000000001)</f>
        <v>0</v>
      </c>
      <c r="AP63" s="11" t="n">
        <f aca="false">AP23*Inputs!$F$191*(AP55-AP62)/(AP25-AP32+AP40-AP47+AP55-AP62+AP70-AP77+AP85-AP92+0.000000001)</f>
        <v>0</v>
      </c>
      <c r="AQ63" s="11" t="n">
        <f aca="false">AQ23*Inputs!$F$191*(AQ55-AQ62)/(AQ25-AQ32+AQ40-AQ47+AQ55-AQ62+AQ70-AQ77+AQ85-AQ92+0.000000001)</f>
        <v>0</v>
      </c>
      <c r="AR63" s="11" t="n">
        <f aca="false">AR23*Inputs!$F$191*(AR55-AR62)/(AR25-AR32+AR40-AR47+AR55-AR62+AR70-AR77+AR85-AR92+0.000000001)</f>
        <v>0</v>
      </c>
      <c r="AS63" s="11" t="n">
        <f aca="false">AS23*Inputs!$F$191*(AS55-AS62)/(AS25-AS32+AS40-AS47+AS55-AS62+AS70-AS77+AS85-AS92+0.000000001)</f>
        <v>0</v>
      </c>
      <c r="AT63" s="11" t="n">
        <f aca="false">AT23*Inputs!$F$191*(AT55-AT62)/(AT25-AT32+AT40-AT47+AT55-AT62+AT70-AT77+AT85-AT92+0.000000001)</f>
        <v>0</v>
      </c>
      <c r="AU63" s="11" t="n">
        <f aca="false">AU23*Inputs!$F$191*(AU55-AU62)/(AU25-AU32+AU40-AU47+AU55-AU62+AU70-AU77+AU85-AU92+0.000000001)</f>
        <v>0</v>
      </c>
      <c r="AV63" s="11" t="n">
        <f aca="false">AV23*Inputs!$F$191*(AV55-AV62)/(AV25-AV32+AV40-AV47+AV55-AV62+AV70-AV77+AV85-AV92+0.000000001)</f>
        <v>0</v>
      </c>
      <c r="AW63" s="11" t="n">
        <f aca="false">AW23*Inputs!$F$191*(AW55-AW62)/(AW25-AW32+AW40-AW47+AW55-AW62+AW70-AW77+AW85-AW92+0.000000001)</f>
        <v>0</v>
      </c>
      <c r="AX63" s="11" t="n">
        <f aca="false">AX23*Inputs!$F$191*(AX55-AX62)/(AX25-AX32+AX40-AX47+AX55-AX62+AX70-AX77+AX85-AX92+0.000000001)</f>
        <v>0</v>
      </c>
      <c r="AY63" s="11" t="n">
        <f aca="false">AY23*Inputs!$F$191*(AY55-AY62)/(AY25-AY32+AY40-AY47+AY55-AY62+AY70-AY77+AY85-AY92+0.000000001)</f>
        <v>0</v>
      </c>
      <c r="AZ63" s="11" t="n">
        <f aca="false">AZ23*Inputs!$F$191*(AZ55-AZ62)/(AZ25-AZ32+AZ40-AZ47+AZ55-AZ62+AZ70-AZ77+AZ85-AZ92+0.000000001)</f>
        <v>0</v>
      </c>
      <c r="BA63" s="11" t="n">
        <f aca="false">BA23*Inputs!$F$191*(BA55-BA62)/(BA25-BA32+BA40-BA47+BA55-BA62+BA70-BA77+BA85-BA92+0.000000001)</f>
        <v>0</v>
      </c>
      <c r="BB63" s="11" t="n">
        <f aca="false">BB23*Inputs!$F$191*(BB55-BB62)/(BB25-BB32+BB40-BB47+BB55-BB62+BB70-BB77+BB85-BB92+0.000000001)</f>
        <v>0</v>
      </c>
      <c r="BC63" s="11" t="n">
        <f aca="false">BC23*Inputs!$F$191*(BC55-BC62)/(BC25-BC32+BC40-BC47+BC55-BC62+BC70-BC77+BC85-BC92+0.000000001)</f>
        <v>0</v>
      </c>
      <c r="BD63" s="11" t="n">
        <f aca="false">BD23*Inputs!$F$191*(BD55-BD62)/(BD25-BD32+BD40-BD47+BD55-BD62+BD70-BD77+BD85-BD92+0.000000001)</f>
        <v>0</v>
      </c>
      <c r="BE63" s="11" t="n">
        <f aca="false">BE23*Inputs!$F$191*(BE55-BE62)/(BE25-BE32+BE40-BE47+BE55-BE62+BE70-BE77+BE85-BE92+0.000000001)</f>
        <v>0</v>
      </c>
      <c r="BF63" s="11" t="n">
        <f aca="false">BF23*Inputs!$F$191*(BF55-BF62)/(BF25-BF32+BF40-BF47+BF55-BF62+BF70-BF77+BF85-BF92+0.000000001)</f>
        <v>0</v>
      </c>
      <c r="BG63" s="11" t="n">
        <f aca="false">BG23*Inputs!$F$191*(BG55-BG62)/(BG25-BG32+BG40-BG47+BG55-BG62+BG70-BG77+BG85-BG92+0.000000001)</f>
        <v>0</v>
      </c>
      <c r="BH63" s="11" t="n">
        <f aca="false">BH23*Inputs!$F$191*(BH55-BH62)/(BH25-BH32+BH40-BH47+BH55-BH62+BH70-BH77+BH85-BH92+0.000000001)</f>
        <v>0</v>
      </c>
      <c r="BI63" s="11" t="n">
        <f aca="false">BI23*Inputs!$F$191*(BI55-BI62)/(BI25-BI32+BI40-BI47+BI55-BI62+BI70-BI77+BI85-BI92+0.000000001)</f>
        <v>0</v>
      </c>
      <c r="BJ63" s="11" t="n">
        <f aca="false">BJ23*Inputs!$F$191*(BJ55-BJ62)/(BJ25-BJ32+BJ40-BJ47+BJ55-BJ62+BJ70-BJ77+BJ85-BJ92+0.000000001)</f>
        <v>0</v>
      </c>
      <c r="BK63" s="11" t="n">
        <f aca="false">BK23*Inputs!$F$191*(BK55-BK62)/(BK25-BK32+BK40-BK47+BK55-BK62+BK70-BK77+BK85-BK92+0.000000001)</f>
        <v>0</v>
      </c>
      <c r="BL63" s="11" t="n">
        <f aca="false">BL23*Inputs!$F$191*(BL55-BL62)/(BL25-BL32+BL40-BL47+BL55-BL62+BL70-BL77+BL85-BL92+0.000000001)</f>
        <v>0</v>
      </c>
      <c r="BM63" s="11" t="n">
        <f aca="false">BM23*Inputs!$F$191*(BM55-BM62)/(BM25-BM32+BM40-BM47+BM55-BM62+BM70-BM77+BM85-BM92+0.000000001)</f>
        <v>0</v>
      </c>
      <c r="BN63" s="11" t="n">
        <f aca="false">BN23*Inputs!$F$191*(BN55-BN62)/(BN25-BN32+BN40-BN47+BN55-BN62+BN70-BN77+BN85-BN92+0.000000001)</f>
        <v>0</v>
      </c>
    </row>
    <row r="64" customFormat="false" ht="15" hidden="false" customHeight="false" outlineLevel="0" collapsed="false">
      <c r="D64" s="0" t="s">
        <v>663</v>
      </c>
      <c r="E64" s="0" t="s">
        <v>149</v>
      </c>
      <c r="G64" s="11" t="n">
        <f aca="false">SUM(J64:BN64)</f>
        <v>48.5408478749593</v>
      </c>
      <c r="J64" s="11" t="n">
        <f aca="false">J20*(J55-J62-J63)</f>
        <v>0</v>
      </c>
      <c r="K64" s="11" t="n">
        <f aca="false">K20*(K55-K62-K63)</f>
        <v>0</v>
      </c>
      <c r="L64" s="11" t="n">
        <f aca="false">L20*(L55-L62-L63)</f>
        <v>0</v>
      </c>
      <c r="M64" s="11" t="n">
        <f aca="false">M20*(M55-M62-M63)</f>
        <v>0</v>
      </c>
      <c r="N64" s="11" t="n">
        <f aca="false">N20*(N55-N62-N63)</f>
        <v>0</v>
      </c>
      <c r="O64" s="11" t="n">
        <f aca="false">O20*(O55-O62-O63)</f>
        <v>0</v>
      </c>
      <c r="P64" s="11" t="n">
        <f aca="false">P20*(P55-P62-P63)</f>
        <v>0</v>
      </c>
      <c r="Q64" s="11" t="n">
        <f aca="false">Q20*(Q55-Q62-Q63)</f>
        <v>0</v>
      </c>
      <c r="R64" s="11" t="n">
        <f aca="false">R20*(R55-R62-R63)</f>
        <v>0</v>
      </c>
      <c r="S64" s="11" t="n">
        <f aca="false">S20*(S55-S62-S63)</f>
        <v>0</v>
      </c>
      <c r="T64" s="11" t="n">
        <f aca="false">T20*(T55-T62-T63)</f>
        <v>0</v>
      </c>
      <c r="U64" s="11" t="n">
        <f aca="false">U20*(U55-U62-U63)</f>
        <v>0</v>
      </c>
      <c r="V64" s="11" t="n">
        <f aca="false">V20*(V55-V62-V63)</f>
        <v>0</v>
      </c>
      <c r="W64" s="11" t="n">
        <f aca="false">W20*(W55-W62-W63)</f>
        <v>48.5408478749593</v>
      </c>
      <c r="X64" s="11" t="n">
        <f aca="false">X20*(X55-X62-X63)</f>
        <v>0</v>
      </c>
      <c r="Y64" s="11" t="n">
        <f aca="false">Y20*(Y55-Y62-Y63)</f>
        <v>0</v>
      </c>
      <c r="Z64" s="11" t="n">
        <f aca="false">Z20*(Z55-Z62-Z63)</f>
        <v>0</v>
      </c>
      <c r="AA64" s="11" t="n">
        <f aca="false">AA20*(AA55-AA62-AA63)</f>
        <v>0</v>
      </c>
      <c r="AB64" s="11" t="n">
        <f aca="false">AB20*(AB55-AB62-AB63)</f>
        <v>0</v>
      </c>
      <c r="AC64" s="11" t="n">
        <f aca="false">AC20*(AC55-AC62-AC63)</f>
        <v>0</v>
      </c>
      <c r="AD64" s="11" t="n">
        <f aca="false">AD20*(AD55-AD62-AD63)</f>
        <v>0</v>
      </c>
      <c r="AE64" s="11" t="n">
        <f aca="false">AE20*(AE55-AE62-AE63)</f>
        <v>0</v>
      </c>
      <c r="AF64" s="11" t="n">
        <f aca="false">AF20*(AF55-AF62-AF63)</f>
        <v>0</v>
      </c>
      <c r="AG64" s="11" t="n">
        <f aca="false">AG20*(AG55-AG62-AG63)</f>
        <v>0</v>
      </c>
      <c r="AH64" s="11" t="n">
        <f aca="false">AH20*(AH55-AH62-AH63)</f>
        <v>0</v>
      </c>
      <c r="AI64" s="11" t="n">
        <f aca="false">AI20*(AI55-AI62-AI63)</f>
        <v>0</v>
      </c>
      <c r="AJ64" s="11" t="n">
        <f aca="false">AJ20*(AJ55-AJ62-AJ63)</f>
        <v>0</v>
      </c>
      <c r="AK64" s="11" t="n">
        <f aca="false">AK20*(AK55-AK62-AK63)</f>
        <v>0</v>
      </c>
      <c r="AL64" s="11" t="n">
        <f aca="false">AL20*(AL55-AL62-AL63)</f>
        <v>0</v>
      </c>
      <c r="AM64" s="11" t="n">
        <f aca="false">AM20*(AM55-AM62-AM63)</f>
        <v>0</v>
      </c>
      <c r="AN64" s="11" t="n">
        <f aca="false">AN20*(AN55-AN62-AN63)</f>
        <v>0</v>
      </c>
      <c r="AO64" s="11" t="n">
        <f aca="false">AO20*(AO55-AO62-AO63)</f>
        <v>0</v>
      </c>
      <c r="AP64" s="11" t="n">
        <f aca="false">AP20*(AP55-AP62-AP63)</f>
        <v>0</v>
      </c>
      <c r="AQ64" s="11" t="n">
        <f aca="false">AQ20*(AQ55-AQ62-AQ63)</f>
        <v>0</v>
      </c>
      <c r="AR64" s="11" t="n">
        <f aca="false">AR20*(AR55-AR62-AR63)</f>
        <v>0</v>
      </c>
      <c r="AS64" s="11" t="n">
        <f aca="false">AS20*(AS55-AS62-AS63)</f>
        <v>0</v>
      </c>
      <c r="AT64" s="11" t="n">
        <f aca="false">AT20*(AT55-AT62-AT63)</f>
        <v>0</v>
      </c>
      <c r="AU64" s="11" t="n">
        <f aca="false">AU20*(AU55-AU62-AU63)</f>
        <v>0</v>
      </c>
      <c r="AV64" s="11" t="n">
        <f aca="false">AV20*(AV55-AV62-AV63)</f>
        <v>0</v>
      </c>
      <c r="AW64" s="11" t="n">
        <f aca="false">AW20*(AW55-AW62-AW63)</f>
        <v>0</v>
      </c>
      <c r="AX64" s="11" t="n">
        <f aca="false">AX20*(AX55-AX62-AX63)</f>
        <v>0</v>
      </c>
      <c r="AY64" s="11" t="n">
        <f aca="false">AY20*(AY55-AY62-AY63)</f>
        <v>0</v>
      </c>
      <c r="AZ64" s="11" t="n">
        <f aca="false">AZ20*(AZ55-AZ62-AZ63)</f>
        <v>0</v>
      </c>
      <c r="BA64" s="11" t="n">
        <f aca="false">BA20*(BA55-BA62-BA63)</f>
        <v>0</v>
      </c>
      <c r="BB64" s="11" t="n">
        <f aca="false">BB20*(BB55-BB62-BB63)</f>
        <v>0</v>
      </c>
      <c r="BC64" s="11" t="n">
        <f aca="false">BC20*(BC55-BC62-BC63)</f>
        <v>0</v>
      </c>
      <c r="BD64" s="11" t="n">
        <f aca="false">BD20*(BD55-BD62-BD63)</f>
        <v>0</v>
      </c>
      <c r="BE64" s="11" t="n">
        <f aca="false">BE20*(BE55-BE62-BE63)</f>
        <v>0</v>
      </c>
      <c r="BF64" s="11" t="n">
        <f aca="false">BF20*(BF55-BF62-BF63)</f>
        <v>0</v>
      </c>
      <c r="BG64" s="11" t="n">
        <f aca="false">BG20*(BG55-BG62-BG63)</f>
        <v>0</v>
      </c>
      <c r="BH64" s="11" t="n">
        <f aca="false">BH20*(BH55-BH62-BH63)</f>
        <v>0</v>
      </c>
      <c r="BI64" s="11" t="n">
        <f aca="false">BI20*(BI55-BI62-BI63)</f>
        <v>0</v>
      </c>
      <c r="BJ64" s="11" t="n">
        <f aca="false">BJ20*(BJ55-BJ62-BJ63)</f>
        <v>0</v>
      </c>
      <c r="BK64" s="11" t="n">
        <f aca="false">BK20*(BK55-BK62-BK63)</f>
        <v>0</v>
      </c>
      <c r="BL64" s="11" t="n">
        <f aca="false">BL20*(BL55-BL62-BL63)</f>
        <v>0</v>
      </c>
      <c r="BM64" s="11" t="n">
        <f aca="false">BM20*(BM55-BM62-BM63)</f>
        <v>0</v>
      </c>
      <c r="BN64" s="11" t="n">
        <f aca="false">BN20*(BN55-BN62-BN63)</f>
        <v>0</v>
      </c>
    </row>
    <row r="65" customFormat="false" ht="15" hidden="false" customHeight="false" outlineLevel="0" collapsed="false">
      <c r="D65" s="0" t="s">
        <v>664</v>
      </c>
      <c r="E65" s="0" t="s">
        <v>149</v>
      </c>
      <c r="J65" s="11" t="n">
        <f aca="false">IF(J20=1,0,1)*(J56+J59-J61)</f>
        <v>0</v>
      </c>
      <c r="K65" s="11" t="n">
        <f aca="false">IF(K20=1,0,1)*(K56+K59-K61)</f>
        <v>0</v>
      </c>
      <c r="L65" s="11" t="n">
        <f aca="false">IF(L20=1,0,1)*(L56+L59-L61)</f>
        <v>0</v>
      </c>
      <c r="M65" s="11" t="n">
        <f aca="false">IF(M20=1,0,1)*(M56+M59-M61)</f>
        <v>0</v>
      </c>
      <c r="N65" s="11" t="n">
        <f aca="false">IF(N20=1,0,1)*(N56+N59-N61)</f>
        <v>0</v>
      </c>
      <c r="O65" s="11" t="n">
        <f aca="false">IF(O20=1,0,1)*(O56+O59-O61)</f>
        <v>0</v>
      </c>
      <c r="P65" s="11" t="n">
        <f aca="false">IF(P20=1,0,1)*(P56+P59-P61)</f>
        <v>0</v>
      </c>
      <c r="Q65" s="11" t="n">
        <f aca="false">IF(Q20=1,0,1)*(Q56+Q59-Q61)</f>
        <v>0</v>
      </c>
      <c r="R65" s="11" t="n">
        <f aca="false">IF(R20=1,0,1)*(R56+R59-R61)</f>
        <v>0</v>
      </c>
      <c r="S65" s="11" t="n">
        <f aca="false">IF(S20=1,0,1)*(S56+S59-S61)</f>
        <v>0</v>
      </c>
      <c r="T65" s="11" t="n">
        <f aca="false">IF(T20=1,0,1)*(T56+T59-T61)</f>
        <v>1.07689934639774</v>
      </c>
      <c r="U65" s="11" t="n">
        <f aca="false">IF(U20=1,0,1)*(U56+U59-U61)</f>
        <v>0.807674509798307</v>
      </c>
      <c r="V65" s="11" t="n">
        <f aca="false">IF(V20=1,0,1)*(V56+V59-V61)</f>
        <v>0.538449673198871</v>
      </c>
      <c r="W65" s="11" t="n">
        <f aca="false">IF(W20=1,0,1)*(W56+W59-W61)</f>
        <v>0</v>
      </c>
      <c r="X65" s="11" t="n">
        <f aca="false">IF(X20=1,0,1)*(X56+X59-X61)</f>
        <v>0</v>
      </c>
      <c r="Y65" s="11" t="n">
        <f aca="false">IF(Y20=1,0,1)*(Y56+Y59-Y61)</f>
        <v>0</v>
      </c>
      <c r="Z65" s="11" t="n">
        <f aca="false">IF(Z20=1,0,1)*(Z56+Z59-Z61)</f>
        <v>0</v>
      </c>
      <c r="AA65" s="11" t="n">
        <f aca="false">IF(AA20=1,0,1)*(AA56+AA59-AA61)</f>
        <v>0</v>
      </c>
      <c r="AB65" s="11" t="n">
        <f aca="false">IF(AB20=1,0,1)*(AB56+AB59-AB61)</f>
        <v>0</v>
      </c>
      <c r="AC65" s="11" t="n">
        <f aca="false">IF(AC20=1,0,1)*(AC56+AC59-AC61)</f>
        <v>0</v>
      </c>
      <c r="AD65" s="11" t="n">
        <f aca="false">IF(AD20=1,0,1)*(AD56+AD59-AD61)</f>
        <v>0</v>
      </c>
      <c r="AE65" s="11" t="n">
        <f aca="false">IF(AE20=1,0,1)*(AE56+AE59-AE61)</f>
        <v>0</v>
      </c>
      <c r="AF65" s="11" t="n">
        <f aca="false">IF(AF20=1,0,1)*(AF56+AF59-AF61)</f>
        <v>0</v>
      </c>
      <c r="AG65" s="11" t="n">
        <f aca="false">IF(AG20=1,0,1)*(AG56+AG59-AG61)</f>
        <v>0</v>
      </c>
      <c r="AH65" s="11" t="n">
        <f aca="false">IF(AH20=1,0,1)*(AH56+AH59-AH61)</f>
        <v>0</v>
      </c>
      <c r="AI65" s="11" t="n">
        <f aca="false">IF(AI20=1,0,1)*(AI56+AI59-AI61)</f>
        <v>0</v>
      </c>
      <c r="AJ65" s="11" t="n">
        <f aca="false">IF(AJ20=1,0,1)*(AJ56+AJ59-AJ61)</f>
        <v>0</v>
      </c>
      <c r="AK65" s="11" t="n">
        <f aca="false">IF(AK20=1,0,1)*(AK56+AK59-AK61)</f>
        <v>0</v>
      </c>
      <c r="AL65" s="11" t="n">
        <f aca="false">IF(AL20=1,0,1)*(AL56+AL59-AL61)</f>
        <v>0</v>
      </c>
      <c r="AM65" s="11" t="n">
        <f aca="false">IF(AM20=1,0,1)*(AM56+AM59-AM61)</f>
        <v>0</v>
      </c>
      <c r="AN65" s="11" t="n">
        <f aca="false">IF(AN20=1,0,1)*(AN56+AN59-AN61)</f>
        <v>0</v>
      </c>
      <c r="AO65" s="11" t="n">
        <f aca="false">IF(AO20=1,0,1)*(AO56+AO59-AO61)</f>
        <v>0</v>
      </c>
      <c r="AP65" s="11" t="n">
        <f aca="false">IF(AP20=1,0,1)*(AP56+AP59-AP61)</f>
        <v>0</v>
      </c>
      <c r="AQ65" s="11" t="n">
        <f aca="false">IF(AQ20=1,0,1)*(AQ56+AQ59-AQ61)</f>
        <v>0</v>
      </c>
      <c r="AR65" s="11" t="n">
        <f aca="false">IF(AR20=1,0,1)*(AR56+AR59-AR61)</f>
        <v>0</v>
      </c>
      <c r="AS65" s="11" t="n">
        <f aca="false">IF(AS20=1,0,1)*(AS56+AS59-AS61)</f>
        <v>0</v>
      </c>
      <c r="AT65" s="11" t="n">
        <f aca="false">IF(AT20=1,0,1)*(AT56+AT59-AT61)</f>
        <v>0</v>
      </c>
      <c r="AU65" s="11" t="n">
        <f aca="false">IF(AU20=1,0,1)*(AU56+AU59-AU61)</f>
        <v>0</v>
      </c>
      <c r="AV65" s="11" t="n">
        <f aca="false">IF(AV20=1,0,1)*(AV56+AV59-AV61)</f>
        <v>0</v>
      </c>
      <c r="AW65" s="11" t="n">
        <f aca="false">IF(AW20=1,0,1)*(AW56+AW59-AW61)</f>
        <v>0</v>
      </c>
      <c r="AX65" s="11" t="n">
        <f aca="false">IF(AX20=1,0,1)*(AX56+AX59-AX61)</f>
        <v>0</v>
      </c>
      <c r="AY65" s="11" t="n">
        <f aca="false">IF(AY20=1,0,1)*(AY56+AY59-AY61)</f>
        <v>0</v>
      </c>
      <c r="AZ65" s="11" t="n">
        <f aca="false">IF(AZ20=1,0,1)*(AZ56+AZ59-AZ61)</f>
        <v>0</v>
      </c>
      <c r="BA65" s="11" t="n">
        <f aca="false">IF(BA20=1,0,1)*(BA56+BA59-BA61)</f>
        <v>0</v>
      </c>
      <c r="BB65" s="11" t="n">
        <f aca="false">IF(BB20=1,0,1)*(BB56+BB59-BB61)</f>
        <v>0</v>
      </c>
      <c r="BC65" s="11" t="n">
        <f aca="false">IF(BC20=1,0,1)*(BC56+BC59-BC61)</f>
        <v>0</v>
      </c>
      <c r="BD65" s="11" t="n">
        <f aca="false">IF(BD20=1,0,1)*(BD56+BD59-BD61)</f>
        <v>0</v>
      </c>
      <c r="BE65" s="11" t="n">
        <f aca="false">IF(BE20=1,0,1)*(BE56+BE59-BE61)</f>
        <v>0</v>
      </c>
      <c r="BF65" s="11" t="n">
        <f aca="false">IF(BF20=1,0,1)*(BF56+BF59-BF61)</f>
        <v>0</v>
      </c>
      <c r="BG65" s="11" t="n">
        <f aca="false">IF(BG20=1,0,1)*(BG56+BG59-BG61)</f>
        <v>0</v>
      </c>
      <c r="BH65" s="11" t="n">
        <f aca="false">IF(BH20=1,0,1)*(BH56+BH59-BH61)</f>
        <v>0</v>
      </c>
      <c r="BI65" s="11" t="n">
        <f aca="false">IF(BI20=1,0,1)*(BI56+BI59-BI61)</f>
        <v>0</v>
      </c>
      <c r="BJ65" s="11" t="n">
        <f aca="false">IF(BJ20=1,0,1)*(BJ56+BJ59-BJ61)</f>
        <v>0</v>
      </c>
      <c r="BK65" s="11" t="n">
        <f aca="false">IF(BK20=1,0,1)*(BK56+BK59-BK61)</f>
        <v>0</v>
      </c>
      <c r="BL65" s="11" t="n">
        <f aca="false">IF(BL20=1,0,1)*(BL56+BL59-BL61)</f>
        <v>0</v>
      </c>
      <c r="BM65" s="11" t="n">
        <f aca="false">IF(BM20=1,0,1)*(BM56+BM59-BM61)</f>
        <v>0</v>
      </c>
      <c r="BN65" s="11" t="n">
        <f aca="false">IF(BN20=1,0,1)*(BN56+BN59-BN61)</f>
        <v>0</v>
      </c>
    </row>
    <row r="66" customFormat="false" ht="15" hidden="false" customHeight="false" outlineLevel="0" collapsed="false">
      <c r="D66" s="0" t="s">
        <v>665</v>
      </c>
      <c r="E66" s="0" t="s">
        <v>149</v>
      </c>
      <c r="J66" s="11" t="n">
        <f aca="false">J55-J62-J63-J64</f>
        <v>0</v>
      </c>
      <c r="K66" s="11" t="n">
        <f aca="false">K55-K62-K63-K64</f>
        <v>0</v>
      </c>
      <c r="L66" s="11" t="n">
        <f aca="false">L55-L62-L63-L64</f>
        <v>0</v>
      </c>
      <c r="M66" s="11" t="n">
        <f aca="false">M55-M62-M63-M64</f>
        <v>0</v>
      </c>
      <c r="N66" s="11" t="n">
        <f aca="false">N55-N62-N63-N64</f>
        <v>0</v>
      </c>
      <c r="O66" s="11" t="n">
        <f aca="false">O55-O62-O63-O64</f>
        <v>0</v>
      </c>
      <c r="P66" s="11" t="n">
        <f aca="false">P55-P62-P63-P64</f>
        <v>0</v>
      </c>
      <c r="Q66" s="11" t="n">
        <f aca="false">Q55-Q62-Q63-Q64</f>
        <v>59.245614703031</v>
      </c>
      <c r="R66" s="11" t="n">
        <f aca="false">R55-R62-R63-R64</f>
        <v>57.5895373380381</v>
      </c>
      <c r="S66" s="11" t="n">
        <f aca="false">S55-S62-S63-S64</f>
        <v>55.8751384408624</v>
      </c>
      <c r="T66" s="11" t="n">
        <f aca="false">T55-T62-T63-T64</f>
        <v>55.1572055432639</v>
      </c>
      <c r="U66" s="11" t="n">
        <f aca="false">U55-U62-U63-U64</f>
        <v>53.0431872534776</v>
      </c>
      <c r="V66" s="11" t="n">
        <f aca="false">V55-V62-V63-V64</f>
        <v>50.844720397408</v>
      </c>
      <c r="W66" s="11" t="n">
        <f aca="false">W55-W62-W63-W64</f>
        <v>0</v>
      </c>
      <c r="X66" s="11" t="n">
        <f aca="false">X55-X62-X63-X64</f>
        <v>0</v>
      </c>
      <c r="Y66" s="11" t="n">
        <f aca="false">Y55-Y62-Y63-Y64</f>
        <v>0</v>
      </c>
      <c r="Z66" s="11" t="n">
        <f aca="false">Z55-Z62-Z63-Z64</f>
        <v>0</v>
      </c>
      <c r="AA66" s="11" t="n">
        <f aca="false">AA55-AA62-AA63-AA64</f>
        <v>0</v>
      </c>
      <c r="AB66" s="11" t="n">
        <f aca="false">AB55-AB62-AB63-AB64</f>
        <v>0</v>
      </c>
      <c r="AC66" s="11" t="n">
        <f aca="false">AC55-AC62-AC63-AC64</f>
        <v>0</v>
      </c>
      <c r="AD66" s="11" t="n">
        <f aca="false">AD55-AD62-AD63-AD64</f>
        <v>0</v>
      </c>
      <c r="AE66" s="11" t="n">
        <f aca="false">AE55-AE62-AE63-AE64</f>
        <v>0</v>
      </c>
      <c r="AF66" s="11" t="n">
        <f aca="false">AF55-AF62-AF63-AF64</f>
        <v>0</v>
      </c>
      <c r="AG66" s="11" t="n">
        <f aca="false">AG55-AG62-AG63-AG64</f>
        <v>0</v>
      </c>
      <c r="AH66" s="11" t="n">
        <f aca="false">AH55-AH62-AH63-AH64</f>
        <v>0</v>
      </c>
      <c r="AI66" s="11" t="n">
        <f aca="false">AI55-AI62-AI63-AI64</f>
        <v>0</v>
      </c>
      <c r="AJ66" s="11" t="n">
        <f aca="false">AJ55-AJ62-AJ63-AJ64</f>
        <v>0</v>
      </c>
      <c r="AK66" s="11" t="n">
        <f aca="false">AK55-AK62-AK63-AK64</f>
        <v>0</v>
      </c>
      <c r="AL66" s="11" t="n">
        <f aca="false">AL55-AL62-AL63-AL64</f>
        <v>0</v>
      </c>
      <c r="AM66" s="11" t="n">
        <f aca="false">AM55-AM62-AM63-AM64</f>
        <v>0</v>
      </c>
      <c r="AN66" s="11" t="n">
        <f aca="false">AN55-AN62-AN63-AN64</f>
        <v>0</v>
      </c>
      <c r="AO66" s="11" t="n">
        <f aca="false">AO55-AO62-AO63-AO64</f>
        <v>0</v>
      </c>
      <c r="AP66" s="11" t="n">
        <f aca="false">AP55-AP62-AP63-AP64</f>
        <v>0</v>
      </c>
      <c r="AQ66" s="11" t="n">
        <f aca="false">AQ55-AQ62-AQ63-AQ64</f>
        <v>0</v>
      </c>
      <c r="AR66" s="11" t="n">
        <f aca="false">AR55-AR62-AR63-AR64</f>
        <v>0</v>
      </c>
      <c r="AS66" s="11" t="n">
        <f aca="false">AS55-AS62-AS63-AS64</f>
        <v>0</v>
      </c>
      <c r="AT66" s="11" t="n">
        <f aca="false">AT55-AT62-AT63-AT64</f>
        <v>0</v>
      </c>
      <c r="AU66" s="11" t="n">
        <f aca="false">AU55-AU62-AU63-AU64</f>
        <v>0</v>
      </c>
      <c r="AV66" s="11" t="n">
        <f aca="false">AV55-AV62-AV63-AV64</f>
        <v>0</v>
      </c>
      <c r="AW66" s="11" t="n">
        <f aca="false">AW55-AW62-AW63-AW64</f>
        <v>0</v>
      </c>
      <c r="AX66" s="11" t="n">
        <f aca="false">AX55-AX62-AX63-AX64</f>
        <v>0</v>
      </c>
      <c r="AY66" s="11" t="n">
        <f aca="false">AY55-AY62-AY63-AY64</f>
        <v>0</v>
      </c>
      <c r="AZ66" s="11" t="n">
        <f aca="false">AZ55-AZ62-AZ63-AZ64</f>
        <v>0</v>
      </c>
      <c r="BA66" s="11" t="n">
        <f aca="false">BA55-BA62-BA63-BA64</f>
        <v>0</v>
      </c>
      <c r="BB66" s="11" t="n">
        <f aca="false">BB55-BB62-BB63-BB64</f>
        <v>0</v>
      </c>
      <c r="BC66" s="11" t="n">
        <f aca="false">BC55-BC62-BC63-BC64</f>
        <v>0</v>
      </c>
      <c r="BD66" s="11" t="n">
        <f aca="false">BD55-BD62-BD63-BD64</f>
        <v>0</v>
      </c>
      <c r="BE66" s="11" t="n">
        <f aca="false">BE55-BE62-BE63-BE64</f>
        <v>0</v>
      </c>
      <c r="BF66" s="11" t="n">
        <f aca="false">BF55-BF62-BF63-BF64</f>
        <v>0</v>
      </c>
      <c r="BG66" s="11" t="n">
        <f aca="false">BG55-BG62-BG63-BG64</f>
        <v>0</v>
      </c>
      <c r="BH66" s="11" t="n">
        <f aca="false">BH55-BH62-BH63-BH64</f>
        <v>0</v>
      </c>
      <c r="BI66" s="11" t="n">
        <f aca="false">BI55-BI62-BI63-BI64</f>
        <v>0</v>
      </c>
      <c r="BJ66" s="11" t="n">
        <f aca="false">BJ55-BJ62-BJ63-BJ64</f>
        <v>0</v>
      </c>
      <c r="BK66" s="11" t="n">
        <f aca="false">BK55-BK62-BK63-BK64</f>
        <v>0</v>
      </c>
      <c r="BL66" s="11" t="n">
        <f aca="false">BL55-BL62-BL63-BL64</f>
        <v>0</v>
      </c>
      <c r="BM66" s="11" t="n">
        <f aca="false">BM55-BM62-BM63-BM64</f>
        <v>0</v>
      </c>
      <c r="BN66" s="11" t="n">
        <f aca="false">BN55-BN62-BN63-BN64</f>
        <v>0</v>
      </c>
    </row>
    <row r="67" customFormat="false" ht="15" hidden="false" customHeight="false" outlineLevel="0" collapsed="false">
      <c r="D67" s="0" t="s">
        <v>666</v>
      </c>
      <c r="E67" s="0" t="s">
        <v>149</v>
      </c>
      <c r="G67" s="11" t="n">
        <f aca="false">SUM(J67:BN67)</f>
        <v>0</v>
      </c>
      <c r="J67" s="11" t="n">
        <f aca="false">Waterfall!J28*J66/(J36+J51+J66+J81+J96+0.000000001)</f>
        <v>0</v>
      </c>
      <c r="K67" s="11" t="n">
        <f aca="false">Waterfall!K28*K66/(K36+K51+K66+K81+K96+0.000000001)</f>
        <v>0</v>
      </c>
      <c r="L67" s="11" t="n">
        <f aca="false">Waterfall!L28*L66/(L36+L51+L66+L81+L96+0.000000001)</f>
        <v>0</v>
      </c>
      <c r="M67" s="11" t="n">
        <f aca="false">Waterfall!M28*M66/(M36+M51+M66+M81+M96+0.000000001)</f>
        <v>0</v>
      </c>
      <c r="N67" s="11" t="n">
        <f aca="false">Waterfall!N28*N66/(N36+N51+N66+N81+N96+0.000000001)</f>
        <v>0</v>
      </c>
      <c r="O67" s="11" t="n">
        <f aca="false">Waterfall!O28*O66/(O36+O51+O66+O81+O96+0.000000001)</f>
        <v>0</v>
      </c>
      <c r="P67" s="11" t="n">
        <f aca="false">Waterfall!P28*P66/(P36+P51+P66+P81+P96+0.000000001)</f>
        <v>0</v>
      </c>
      <c r="Q67" s="11" t="n">
        <f aca="false">Waterfall!Q28*Q66/(Q36+Q51+Q66+Q81+Q96+0.000000001)</f>
        <v>0</v>
      </c>
      <c r="R67" s="11" t="n">
        <f aca="false">Waterfall!R28*R66/(R36+R51+R66+R81+R96+0.000000001)</f>
        <v>0</v>
      </c>
      <c r="S67" s="11" t="n">
        <f aca="false">Waterfall!S28*S66/(S36+S51+S66+S81+S96+0.000000001)</f>
        <v>0</v>
      </c>
      <c r="T67" s="11" t="n">
        <f aca="false">Waterfall!T28*T66/(T36+T51+T66+T81+T96+0.000000001)</f>
        <v>0</v>
      </c>
      <c r="U67" s="11" t="n">
        <f aca="false">Waterfall!U28*U66/(U36+U51+U66+U81+U96+0.000000001)</f>
        <v>0</v>
      </c>
      <c r="V67" s="11" t="n">
        <f aca="false">Waterfall!V28*V66/(V36+V51+V66+V81+V96+0.000000001)</f>
        <v>0</v>
      </c>
      <c r="W67" s="11" t="n">
        <f aca="false">Waterfall!W28*W66/(W36+W51+W66+W81+W96+0.000000001)</f>
        <v>0</v>
      </c>
      <c r="X67" s="11" t="n">
        <f aca="false">Waterfall!X28*X66/(X36+X51+X66+X81+X96+0.000000001)</f>
        <v>0</v>
      </c>
      <c r="Y67" s="11" t="n">
        <f aca="false">Waterfall!Y28*Y66/(Y36+Y51+Y66+Y81+Y96+0.000000001)</f>
        <v>0</v>
      </c>
      <c r="Z67" s="11" t="n">
        <f aca="false">Waterfall!Z28*Z66/(Z36+Z51+Z66+Z81+Z96+0.000000001)</f>
        <v>0</v>
      </c>
      <c r="AA67" s="11" t="n">
        <f aca="false">Waterfall!AA28*AA66/(AA36+AA51+AA66+AA81+AA96+0.000000001)</f>
        <v>0</v>
      </c>
      <c r="AB67" s="11" t="n">
        <f aca="false">Waterfall!AB28*AB66/(AB36+AB51+AB66+AB81+AB96+0.000000001)</f>
        <v>0</v>
      </c>
      <c r="AC67" s="11" t="n">
        <f aca="false">Waterfall!AC28*AC66/(AC36+AC51+AC66+AC81+AC96+0.000000001)</f>
        <v>0</v>
      </c>
      <c r="AD67" s="11" t="n">
        <f aca="false">Waterfall!AD28*AD66/(AD36+AD51+AD66+AD81+AD96+0.000000001)</f>
        <v>0</v>
      </c>
      <c r="AE67" s="11" t="n">
        <f aca="false">Waterfall!AE28*AE66/(AE36+AE51+AE66+AE81+AE96+0.000000001)</f>
        <v>0</v>
      </c>
      <c r="AF67" s="11" t="n">
        <f aca="false">Waterfall!AF28*AF66/(AF36+AF51+AF66+AF81+AF96+0.000000001)</f>
        <v>0</v>
      </c>
      <c r="AG67" s="11" t="n">
        <f aca="false">Waterfall!AG28*AG66/(AG36+AG51+AG66+AG81+AG96+0.000000001)</f>
        <v>0</v>
      </c>
      <c r="AH67" s="11" t="n">
        <f aca="false">Waterfall!AH28*AH66/(AH36+AH51+AH66+AH81+AH96+0.000000001)</f>
        <v>0</v>
      </c>
      <c r="AI67" s="11" t="n">
        <f aca="false">Waterfall!AI28*AI66/(AI36+AI51+AI66+AI81+AI96+0.000000001)</f>
        <v>0</v>
      </c>
      <c r="AJ67" s="11" t="n">
        <f aca="false">Waterfall!AJ28*AJ66/(AJ36+AJ51+AJ66+AJ81+AJ96+0.000000001)</f>
        <v>0</v>
      </c>
      <c r="AK67" s="11" t="n">
        <f aca="false">Waterfall!AK28*AK66/(AK36+AK51+AK66+AK81+AK96+0.000000001)</f>
        <v>0</v>
      </c>
      <c r="AL67" s="11" t="n">
        <f aca="false">Waterfall!AL28*AL66/(AL36+AL51+AL66+AL81+AL96+0.000000001)</f>
        <v>0</v>
      </c>
      <c r="AM67" s="11" t="n">
        <f aca="false">Waterfall!AM28*AM66/(AM36+AM51+AM66+AM81+AM96+0.000000001)</f>
        <v>0</v>
      </c>
      <c r="AN67" s="11" t="n">
        <f aca="false">Waterfall!AN28*AN66/(AN36+AN51+AN66+AN81+AN96+0.000000001)</f>
        <v>0</v>
      </c>
      <c r="AO67" s="11" t="n">
        <f aca="false">Waterfall!AO28*AO66/(AO36+AO51+AO66+AO81+AO96+0.000000001)</f>
        <v>0</v>
      </c>
      <c r="AP67" s="11" t="n">
        <f aca="false">Waterfall!AP28*AP66/(AP36+AP51+AP66+AP81+AP96+0.000000001)</f>
        <v>0</v>
      </c>
      <c r="AQ67" s="11" t="n">
        <f aca="false">Waterfall!AQ28*AQ66/(AQ36+AQ51+AQ66+AQ81+AQ96+0.000000001)</f>
        <v>0</v>
      </c>
      <c r="AR67" s="11" t="n">
        <f aca="false">Waterfall!AR28*AR66/(AR36+AR51+AR66+AR81+AR96+0.000000001)</f>
        <v>0</v>
      </c>
      <c r="AS67" s="11" t="n">
        <f aca="false">Waterfall!AS28*AS66/(AS36+AS51+AS66+AS81+AS96+0.000000001)</f>
        <v>0</v>
      </c>
      <c r="AT67" s="11" t="n">
        <f aca="false">Waterfall!AT28*AT66/(AT36+AT51+AT66+AT81+AT96+0.000000001)</f>
        <v>0</v>
      </c>
      <c r="AU67" s="11" t="n">
        <f aca="false">Waterfall!AU28*AU66/(AU36+AU51+AU66+AU81+AU96+0.000000001)</f>
        <v>0</v>
      </c>
      <c r="AV67" s="11" t="n">
        <f aca="false">Waterfall!AV28*AV66/(AV36+AV51+AV66+AV81+AV96+0.000000001)</f>
        <v>0</v>
      </c>
      <c r="AW67" s="11" t="n">
        <f aca="false">Waterfall!AW28*AW66/(AW36+AW51+AW66+AW81+AW96+0.000000001)</f>
        <v>0</v>
      </c>
      <c r="AX67" s="11" t="n">
        <f aca="false">Waterfall!AX28*AX66/(AX36+AX51+AX66+AX81+AX96+0.000000001)</f>
        <v>0</v>
      </c>
      <c r="AY67" s="11" t="n">
        <f aca="false">Waterfall!AY28*AY66/(AY36+AY51+AY66+AY81+AY96+0.000000001)</f>
        <v>0</v>
      </c>
      <c r="AZ67" s="11" t="n">
        <f aca="false">Waterfall!AZ28*AZ66/(AZ36+AZ51+AZ66+AZ81+AZ96+0.000000001)</f>
        <v>0</v>
      </c>
      <c r="BA67" s="11" t="n">
        <f aca="false">Waterfall!BA28*BA66/(BA36+BA51+BA66+BA81+BA96+0.000000001)</f>
        <v>0</v>
      </c>
      <c r="BB67" s="11" t="n">
        <f aca="false">Waterfall!BB28*BB66/(BB36+BB51+BB66+BB81+BB96+0.000000001)</f>
        <v>0</v>
      </c>
      <c r="BC67" s="11" t="n">
        <f aca="false">Waterfall!BC28*BC66/(BC36+BC51+BC66+BC81+BC96+0.000000001)</f>
        <v>0</v>
      </c>
      <c r="BD67" s="11" t="n">
        <f aca="false">Waterfall!BD28*BD66/(BD36+BD51+BD66+BD81+BD96+0.000000001)</f>
        <v>0</v>
      </c>
      <c r="BE67" s="11" t="n">
        <f aca="false">Waterfall!BE28*BE66/(BE36+BE51+BE66+BE81+BE96+0.000000001)</f>
        <v>0</v>
      </c>
      <c r="BF67" s="11" t="n">
        <f aca="false">Waterfall!BF28*BF66/(BF36+BF51+BF66+BF81+BF96+0.000000001)</f>
        <v>0</v>
      </c>
      <c r="BG67" s="11" t="n">
        <f aca="false">Waterfall!BG28*BG66/(BG36+BG51+BG66+BG81+BG96+0.000000001)</f>
        <v>0</v>
      </c>
      <c r="BH67" s="11" t="n">
        <f aca="false">Waterfall!BH28*BH66/(BH36+BH51+BH66+BH81+BH96+0.000000001)</f>
        <v>0</v>
      </c>
      <c r="BI67" s="11" t="n">
        <f aca="false">Waterfall!BI28*BI66/(BI36+BI51+BI66+BI81+BI96+0.000000001)</f>
        <v>0</v>
      </c>
      <c r="BJ67" s="11" t="n">
        <f aca="false">Waterfall!BJ28*BJ66/(BJ36+BJ51+BJ66+BJ81+BJ96+0.000000001)</f>
        <v>0</v>
      </c>
      <c r="BK67" s="11" t="n">
        <f aca="false">Waterfall!BK28*BK66/(BK36+BK51+BK66+BK81+BK96+0.000000001)</f>
        <v>0</v>
      </c>
      <c r="BL67" s="11" t="n">
        <f aca="false">Waterfall!BL28*BL66/(BL36+BL51+BL66+BL81+BL96+0.000000001)</f>
        <v>0</v>
      </c>
      <c r="BM67" s="11" t="n">
        <f aca="false">Waterfall!BM28*BM66/(BM36+BM51+BM66+BM81+BM96+0.000000001)</f>
        <v>0</v>
      </c>
      <c r="BN67" s="11" t="n">
        <f aca="false">Waterfall!BN28*BN66/(BN36+BN51+BN66+BN81+BN96+0.000000001)</f>
        <v>0</v>
      </c>
    </row>
    <row r="68" customFormat="false" ht="15" hidden="false" customHeight="false" outlineLevel="0" collapsed="false">
      <c r="D68" s="0" t="s">
        <v>667</v>
      </c>
      <c r="E68" s="0" t="s">
        <v>149</v>
      </c>
      <c r="J68" s="11" t="n">
        <f aca="false">IF(Time!J29=1,INDEX(Funding!$J$63:$BJ$63,1,Time!$F$13),Time!J30*(J66-J67))</f>
        <v>0</v>
      </c>
      <c r="K68" s="11" t="n">
        <f aca="false">IF(Time!K29=1,INDEX(Funding!$J$63:$BJ$63,1,Time!$F$13),Time!K30*(K66-K67))</f>
        <v>0</v>
      </c>
      <c r="L68" s="11" t="n">
        <f aca="false">IF(Time!L29=1,INDEX(Funding!$J$63:$BJ$63,1,Time!$F$13),Time!L30*(L66-L67))</f>
        <v>0</v>
      </c>
      <c r="M68" s="11" t="n">
        <f aca="false">IF(Time!M29=1,INDEX(Funding!$J$63:$BJ$63,1,Time!$F$13),Time!M30*(M66-M67))</f>
        <v>0</v>
      </c>
      <c r="N68" s="11" t="n">
        <f aca="false">IF(Time!N29=1,INDEX(Funding!$J$63:$BJ$63,1,Time!$F$13),Time!N30*(N66-N67))</f>
        <v>0</v>
      </c>
      <c r="O68" s="11" t="n">
        <f aca="false">IF(Time!O29=1,INDEX(Funding!$J$63:$BJ$63,1,Time!$F$13),Time!O30*(O66-O67))</f>
        <v>0</v>
      </c>
      <c r="P68" s="11" t="n">
        <f aca="false">IF(Time!P29=1,INDEX(Funding!$J$63:$BJ$63,1,Time!$F$13),Time!P30*(P66-P67))</f>
        <v>62.6915955776128</v>
      </c>
      <c r="Q68" s="11" t="n">
        <f aca="false">IF(Time!Q29=1,INDEX(Funding!$J$63:$BJ$63,1,Time!$F$13),Time!Q30*(Q66-Q67))</f>
        <v>59.245614703031</v>
      </c>
      <c r="R68" s="11" t="n">
        <f aca="false">IF(Time!R29=1,INDEX(Funding!$J$63:$BJ$63,1,Time!$F$13),Time!R30*(R66-R67))</f>
        <v>57.5895373380381</v>
      </c>
      <c r="S68" s="11" t="n">
        <f aca="false">IF(Time!S29=1,INDEX(Funding!$J$63:$BJ$63,1,Time!$F$13),Time!S30*(S66-S67))</f>
        <v>55.8751384408624</v>
      </c>
      <c r="T68" s="11" t="n">
        <f aca="false">IF(Time!T29=1,INDEX(Funding!$J$63:$BJ$63,1,Time!$F$13),Time!T30*(T66-T67))</f>
        <v>55.1572055432639</v>
      </c>
      <c r="U68" s="11" t="n">
        <f aca="false">IF(Time!U29=1,INDEX(Funding!$J$63:$BJ$63,1,Time!$F$13),Time!U30*(U66-U67))</f>
        <v>53.0431872534776</v>
      </c>
      <c r="V68" s="11" t="n">
        <f aca="false">IF(Time!V29=1,INDEX(Funding!$J$63:$BJ$63,1,Time!$F$13),Time!V30*(V66-V67))</f>
        <v>50.844720397408</v>
      </c>
      <c r="W68" s="11" t="n">
        <f aca="false">IF(Time!W29=1,INDEX(Funding!$J$63:$BJ$63,1,Time!$F$13),Time!W30*(W66-W67))</f>
        <v>0</v>
      </c>
      <c r="X68" s="11" t="n">
        <f aca="false">IF(Time!X29=1,INDEX(Funding!$J$63:$BJ$63,1,Time!$F$13),Time!X30*(X66-X67))</f>
        <v>0</v>
      </c>
      <c r="Y68" s="11" t="n">
        <f aca="false">IF(Time!Y29=1,INDEX(Funding!$J$63:$BJ$63,1,Time!$F$13),Time!Y30*(Y66-Y67))</f>
        <v>0</v>
      </c>
      <c r="Z68" s="11" t="n">
        <f aca="false">IF(Time!Z29=1,INDEX(Funding!$J$63:$BJ$63,1,Time!$F$13),Time!Z30*(Z66-Z67))</f>
        <v>0</v>
      </c>
      <c r="AA68" s="11" t="n">
        <f aca="false">IF(Time!AA29=1,INDEX(Funding!$J$63:$BJ$63,1,Time!$F$13),Time!AA30*(AA66-AA67))</f>
        <v>0</v>
      </c>
      <c r="AB68" s="11" t="n">
        <f aca="false">IF(Time!AB29=1,INDEX(Funding!$J$63:$BJ$63,1,Time!$F$13),Time!AB30*(AB66-AB67))</f>
        <v>0</v>
      </c>
      <c r="AC68" s="11" t="n">
        <f aca="false">IF(Time!AC29=1,INDEX(Funding!$J$63:$BJ$63,1,Time!$F$13),Time!AC30*(AC66-AC67))</f>
        <v>0</v>
      </c>
      <c r="AD68" s="11" t="n">
        <f aca="false">IF(Time!AD29=1,INDEX(Funding!$J$63:$BJ$63,1,Time!$F$13),Time!AD30*(AD66-AD67))</f>
        <v>0</v>
      </c>
      <c r="AE68" s="11" t="n">
        <f aca="false">IF(Time!AE29=1,INDEX(Funding!$J$63:$BJ$63,1,Time!$F$13),Time!AE30*(AE66-AE67))</f>
        <v>0</v>
      </c>
      <c r="AF68" s="11" t="n">
        <f aca="false">IF(Time!AF29=1,INDEX(Funding!$J$63:$BJ$63,1,Time!$F$13),Time!AF30*(AF66-AF67))</f>
        <v>0</v>
      </c>
      <c r="AG68" s="11" t="n">
        <f aca="false">IF(Time!AG29=1,INDEX(Funding!$J$63:$BJ$63,1,Time!$F$13),Time!AG30*(AG66-AG67))</f>
        <v>0</v>
      </c>
      <c r="AH68" s="11" t="n">
        <f aca="false">IF(Time!AH29=1,INDEX(Funding!$J$63:$BJ$63,1,Time!$F$13),Time!AH30*(AH66-AH67))</f>
        <v>0</v>
      </c>
      <c r="AI68" s="11" t="n">
        <f aca="false">IF(Time!AI29=1,INDEX(Funding!$J$63:$BJ$63,1,Time!$F$13),Time!AI30*(AI66-AI67))</f>
        <v>0</v>
      </c>
      <c r="AJ68" s="11" t="n">
        <f aca="false">IF(Time!AJ29=1,INDEX(Funding!$J$63:$BJ$63,1,Time!$F$13),Time!AJ30*(AJ66-AJ67))</f>
        <v>0</v>
      </c>
      <c r="AK68" s="11" t="n">
        <f aca="false">IF(Time!AK29=1,INDEX(Funding!$J$63:$BJ$63,1,Time!$F$13),Time!AK30*(AK66-AK67))</f>
        <v>0</v>
      </c>
      <c r="AL68" s="11" t="n">
        <f aca="false">IF(Time!AL29=1,INDEX(Funding!$J$63:$BJ$63,1,Time!$F$13),Time!AL30*(AL66-AL67))</f>
        <v>0</v>
      </c>
      <c r="AM68" s="11" t="n">
        <f aca="false">IF(Time!AM29=1,INDEX(Funding!$J$63:$BJ$63,1,Time!$F$13),Time!AM30*(AM66-AM67))</f>
        <v>0</v>
      </c>
      <c r="AN68" s="11" t="n">
        <f aca="false">IF(Time!AN29=1,INDEX(Funding!$J$63:$BJ$63,1,Time!$F$13),Time!AN30*(AN66-AN67))</f>
        <v>0</v>
      </c>
      <c r="AO68" s="11" t="n">
        <f aca="false">IF(Time!AO29=1,INDEX(Funding!$J$63:$BJ$63,1,Time!$F$13),Time!AO30*(AO66-AO67))</f>
        <v>0</v>
      </c>
      <c r="AP68" s="11" t="n">
        <f aca="false">IF(Time!AP29=1,INDEX(Funding!$J$63:$BJ$63,1,Time!$F$13),Time!AP30*(AP66-AP67))</f>
        <v>0</v>
      </c>
      <c r="AQ68" s="11" t="n">
        <f aca="false">IF(Time!AQ29=1,INDEX(Funding!$J$63:$BJ$63,1,Time!$F$13),Time!AQ30*(AQ66-AQ67))</f>
        <v>0</v>
      </c>
      <c r="AR68" s="11" t="n">
        <f aca="false">IF(Time!AR29=1,INDEX(Funding!$J$63:$BJ$63,1,Time!$F$13),Time!AR30*(AR66-AR67))</f>
        <v>0</v>
      </c>
      <c r="AS68" s="11" t="n">
        <f aca="false">IF(Time!AS29=1,INDEX(Funding!$J$63:$BJ$63,1,Time!$F$13),Time!AS30*(AS66-AS67))</f>
        <v>0</v>
      </c>
      <c r="AT68" s="11" t="n">
        <f aca="false">IF(Time!AT29=1,INDEX(Funding!$J$63:$BJ$63,1,Time!$F$13),Time!AT30*(AT66-AT67))</f>
        <v>0</v>
      </c>
      <c r="AU68" s="11" t="n">
        <f aca="false">IF(Time!AU29=1,INDEX(Funding!$J$63:$BJ$63,1,Time!$F$13),Time!AU30*(AU66-AU67))</f>
        <v>0</v>
      </c>
      <c r="AV68" s="11" t="n">
        <f aca="false">IF(Time!AV29=1,INDEX(Funding!$J$63:$BJ$63,1,Time!$F$13),Time!AV30*(AV66-AV67))</f>
        <v>0</v>
      </c>
      <c r="AW68" s="11" t="n">
        <f aca="false">IF(Time!AW29=1,INDEX(Funding!$J$63:$BJ$63,1,Time!$F$13),Time!AW30*(AW66-AW67))</f>
        <v>0</v>
      </c>
      <c r="AX68" s="11" t="n">
        <f aca="false">IF(Time!AX29=1,INDEX(Funding!$J$63:$BJ$63,1,Time!$F$13),Time!AX30*(AX66-AX67))</f>
        <v>0</v>
      </c>
      <c r="AY68" s="11" t="n">
        <f aca="false">IF(Time!AY29=1,INDEX(Funding!$J$63:$BJ$63,1,Time!$F$13),Time!AY30*(AY66-AY67))</f>
        <v>0</v>
      </c>
      <c r="AZ68" s="11" t="n">
        <f aca="false">IF(Time!AZ29=1,INDEX(Funding!$J$63:$BJ$63,1,Time!$F$13),Time!AZ30*(AZ66-AZ67))</f>
        <v>0</v>
      </c>
      <c r="BA68" s="11" t="n">
        <f aca="false">IF(Time!BA29=1,INDEX(Funding!$J$63:$BJ$63,1,Time!$F$13),Time!BA30*(BA66-BA67))</f>
        <v>0</v>
      </c>
      <c r="BB68" s="11" t="n">
        <f aca="false">IF(Time!BB29=1,INDEX(Funding!$J$63:$BJ$63,1,Time!$F$13),Time!BB30*(BB66-BB67))</f>
        <v>0</v>
      </c>
      <c r="BC68" s="11" t="n">
        <f aca="false">IF(Time!BC29=1,INDEX(Funding!$J$63:$BJ$63,1,Time!$F$13),Time!BC30*(BC66-BC67))</f>
        <v>0</v>
      </c>
      <c r="BD68" s="11" t="n">
        <f aca="false">IF(Time!BD29=1,INDEX(Funding!$J$63:$BJ$63,1,Time!$F$13),Time!BD30*(BD66-BD67))</f>
        <v>0</v>
      </c>
      <c r="BE68" s="11" t="n">
        <f aca="false">IF(Time!BE29=1,INDEX(Funding!$J$63:$BJ$63,1,Time!$F$13),Time!BE30*(BE66-BE67))</f>
        <v>0</v>
      </c>
      <c r="BF68" s="11" t="n">
        <f aca="false">IF(Time!BF29=1,INDEX(Funding!$J$63:$BJ$63,1,Time!$F$13),Time!BF30*(BF66-BF67))</f>
        <v>0</v>
      </c>
      <c r="BG68" s="11" t="n">
        <f aca="false">IF(Time!BG29=1,INDEX(Funding!$J$63:$BJ$63,1,Time!$F$13),Time!BG30*(BG66-BG67))</f>
        <v>0</v>
      </c>
      <c r="BH68" s="11" t="n">
        <f aca="false">IF(Time!BH29=1,INDEX(Funding!$J$63:$BJ$63,1,Time!$F$13),Time!BH30*(BH66-BH67))</f>
        <v>0</v>
      </c>
      <c r="BI68" s="11" t="n">
        <f aca="false">IF(Time!BI29=1,INDEX(Funding!$J$63:$BJ$63,1,Time!$F$13),Time!BI30*(BI66-BI67))</f>
        <v>0</v>
      </c>
      <c r="BJ68" s="11" t="n">
        <f aca="false">IF(Time!BJ29=1,INDEX(Funding!$J$63:$BJ$63,1,Time!$F$13),Time!BJ30*(BJ66-BJ67))</f>
        <v>0</v>
      </c>
      <c r="BK68" s="11" t="n">
        <f aca="false">IF(Time!BK29=1,INDEX(Funding!$J$63:$BJ$63,1,Time!$F$13),Time!BK30*(BK66-BK67))</f>
        <v>0</v>
      </c>
      <c r="BL68" s="11" t="n">
        <f aca="false">IF(Time!BL29=1,INDEX(Funding!$J$63:$BJ$63,1,Time!$F$13),Time!BL30*(BL66-BL67))</f>
        <v>0</v>
      </c>
      <c r="BM68" s="11" t="n">
        <f aca="false">IF(Time!BM29=1,INDEX(Funding!$J$63:$BJ$63,1,Time!$F$13),Time!BM30*(BM66-BM67))</f>
        <v>0</v>
      </c>
      <c r="BN68" s="11" t="n">
        <f aca="false">IF(Time!BN29=1,INDEX(Funding!$J$63:$BJ$63,1,Time!$F$13),Time!BN30*(BN66-BN67))</f>
        <v>0</v>
      </c>
    </row>
    <row r="69" customFormat="false" ht="15" hidden="false" customHeight="false" outlineLevel="0" collapsed="false">
      <c r="B69" s="2" t="s">
        <v>670</v>
      </c>
    </row>
    <row r="70" customFormat="false" ht="15" hidden="false" customHeight="false" outlineLevel="0" collapsed="false">
      <c r="D70" s="0" t="s">
        <v>654</v>
      </c>
      <c r="E70" s="0" t="s">
        <v>149</v>
      </c>
      <c r="J70" s="11" t="n">
        <f aca="false">Time!J30*0</f>
        <v>0</v>
      </c>
      <c r="K70" s="11" t="n">
        <f aca="false">Time!K30*J83</f>
        <v>0</v>
      </c>
      <c r="L70" s="11" t="n">
        <f aca="false">Time!L30*K83</f>
        <v>0</v>
      </c>
      <c r="M70" s="11" t="n">
        <f aca="false">Time!M30*L83</f>
        <v>0</v>
      </c>
      <c r="N70" s="11" t="n">
        <f aca="false">Time!N30*M83</f>
        <v>0</v>
      </c>
      <c r="O70" s="11" t="n">
        <f aca="false">Time!O30*N83</f>
        <v>0</v>
      </c>
      <c r="P70" s="11" t="n">
        <f aca="false">Time!P30*O83</f>
        <v>0</v>
      </c>
      <c r="Q70" s="11" t="n">
        <f aca="false">Time!Q30*P83</f>
        <v>238.228063194929</v>
      </c>
      <c r="R70" s="11" t="n">
        <f aca="false">Time!R30*Q83</f>
        <v>225.133335871518</v>
      </c>
      <c r="S70" s="11" t="n">
        <f aca="false">Time!S30*R83</f>
        <v>218.840241884545</v>
      </c>
      <c r="T70" s="11" t="n">
        <f aca="false">Time!T30*S83</f>
        <v>212.325526075277</v>
      </c>
      <c r="U70" s="11" t="n">
        <f aca="false">Time!U30*T83</f>
        <v>209.597381064403</v>
      </c>
      <c r="V70" s="11" t="n">
        <f aca="false">Time!V30*U83</f>
        <v>201.564111563215</v>
      </c>
      <c r="W70" s="11" t="n">
        <f aca="false">Time!W30*V83</f>
        <v>193.20993751015</v>
      </c>
      <c r="X70" s="11" t="n">
        <f aca="false">Time!X30*W83</f>
        <v>0</v>
      </c>
      <c r="Y70" s="11" t="n">
        <f aca="false">Time!Y30*X83</f>
        <v>0</v>
      </c>
      <c r="Z70" s="11" t="n">
        <f aca="false">Time!Z30*Y83</f>
        <v>0</v>
      </c>
      <c r="AA70" s="11" t="n">
        <f aca="false">Time!AA30*Z83</f>
        <v>0</v>
      </c>
      <c r="AB70" s="11" t="n">
        <f aca="false">Time!AB30*AA83</f>
        <v>0</v>
      </c>
      <c r="AC70" s="11" t="n">
        <f aca="false">Time!AC30*AB83</f>
        <v>0</v>
      </c>
      <c r="AD70" s="11" t="n">
        <f aca="false">Time!AD30*AC83</f>
        <v>0</v>
      </c>
      <c r="AE70" s="11" t="n">
        <f aca="false">Time!AE30*AD83</f>
        <v>0</v>
      </c>
      <c r="AF70" s="11" t="n">
        <f aca="false">Time!AF30*AE83</f>
        <v>0</v>
      </c>
      <c r="AG70" s="11" t="n">
        <f aca="false">Time!AG30*AF83</f>
        <v>0</v>
      </c>
      <c r="AH70" s="11" t="n">
        <f aca="false">Time!AH30*AG83</f>
        <v>0</v>
      </c>
      <c r="AI70" s="11" t="n">
        <f aca="false">Time!AI30*AH83</f>
        <v>0</v>
      </c>
      <c r="AJ70" s="11" t="n">
        <f aca="false">Time!AJ30*AI83</f>
        <v>0</v>
      </c>
      <c r="AK70" s="11" t="n">
        <f aca="false">Time!AK30*AJ83</f>
        <v>0</v>
      </c>
      <c r="AL70" s="11" t="n">
        <f aca="false">Time!AL30*AK83</f>
        <v>0</v>
      </c>
      <c r="AM70" s="11" t="n">
        <f aca="false">Time!AM30*AL83</f>
        <v>0</v>
      </c>
      <c r="AN70" s="11" t="n">
        <f aca="false">Time!AN30*AM83</f>
        <v>0</v>
      </c>
      <c r="AO70" s="11" t="n">
        <f aca="false">Time!AO30*AN83</f>
        <v>0</v>
      </c>
      <c r="AP70" s="11" t="n">
        <f aca="false">Time!AP30*AO83</f>
        <v>0</v>
      </c>
      <c r="AQ70" s="11" t="n">
        <f aca="false">Time!AQ30*AP83</f>
        <v>0</v>
      </c>
      <c r="AR70" s="11" t="n">
        <f aca="false">Time!AR30*AQ83</f>
        <v>0</v>
      </c>
      <c r="AS70" s="11" t="n">
        <f aca="false">Time!AS30*AR83</f>
        <v>0</v>
      </c>
      <c r="AT70" s="11" t="n">
        <f aca="false">Time!AT30*AS83</f>
        <v>0</v>
      </c>
      <c r="AU70" s="11" t="n">
        <f aca="false">Time!AU30*AT83</f>
        <v>0</v>
      </c>
      <c r="AV70" s="11" t="n">
        <f aca="false">Time!AV30*AU83</f>
        <v>0</v>
      </c>
      <c r="AW70" s="11" t="n">
        <f aca="false">Time!AW30*AV83</f>
        <v>0</v>
      </c>
      <c r="AX70" s="11" t="n">
        <f aca="false">Time!AX30*AW83</f>
        <v>0</v>
      </c>
      <c r="AY70" s="11" t="n">
        <f aca="false">Time!AY30*AX83</f>
        <v>0</v>
      </c>
      <c r="AZ70" s="11" t="n">
        <f aca="false">Time!AZ30*AY83</f>
        <v>0</v>
      </c>
      <c r="BA70" s="11" t="n">
        <f aca="false">Time!BA30*AZ83</f>
        <v>0</v>
      </c>
      <c r="BB70" s="11" t="n">
        <f aca="false">Time!BB30*BA83</f>
        <v>0</v>
      </c>
      <c r="BC70" s="11" t="n">
        <f aca="false">Time!BC30*BB83</f>
        <v>0</v>
      </c>
      <c r="BD70" s="11" t="n">
        <f aca="false">Time!BD30*BC83</f>
        <v>0</v>
      </c>
      <c r="BE70" s="11" t="n">
        <f aca="false">Time!BE30*BD83</f>
        <v>0</v>
      </c>
      <c r="BF70" s="11" t="n">
        <f aca="false">Time!BF30*BE83</f>
        <v>0</v>
      </c>
      <c r="BG70" s="11" t="n">
        <f aca="false">Time!BG30*BF83</f>
        <v>0</v>
      </c>
      <c r="BH70" s="11" t="n">
        <f aca="false">Time!BH30*BG83</f>
        <v>0</v>
      </c>
      <c r="BI70" s="11" t="n">
        <f aca="false">Time!BI30*BH83</f>
        <v>0</v>
      </c>
      <c r="BJ70" s="11" t="n">
        <f aca="false">Time!BJ30*BI83</f>
        <v>0</v>
      </c>
      <c r="BK70" s="11" t="n">
        <f aca="false">Time!BK30*BJ83</f>
        <v>0</v>
      </c>
      <c r="BL70" s="11" t="n">
        <f aca="false">Time!BL30*BK83</f>
        <v>0</v>
      </c>
      <c r="BM70" s="11" t="n">
        <f aca="false">Time!BM30*BL83</f>
        <v>0</v>
      </c>
      <c r="BN70" s="11" t="n">
        <f aca="false">Time!BN30*BM83</f>
        <v>0</v>
      </c>
    </row>
    <row r="71" customFormat="false" ht="15" hidden="false" customHeight="false" outlineLevel="0" collapsed="false">
      <c r="D71" s="0" t="s">
        <v>655</v>
      </c>
      <c r="E71" s="0" t="s">
        <v>149</v>
      </c>
      <c r="J71" s="11" t="n">
        <f aca="false">0</f>
        <v>0</v>
      </c>
      <c r="K71" s="11" t="n">
        <f aca="false">J80</f>
        <v>0</v>
      </c>
      <c r="L71" s="11" t="n">
        <f aca="false">K80</f>
        <v>0</v>
      </c>
      <c r="M71" s="11" t="n">
        <f aca="false">L80</f>
        <v>0</v>
      </c>
      <c r="N71" s="11" t="n">
        <f aca="false">M80</f>
        <v>0</v>
      </c>
      <c r="O71" s="11" t="n">
        <f aca="false">N80</f>
        <v>0</v>
      </c>
      <c r="P71" s="11" t="n">
        <f aca="false">O80</f>
        <v>0</v>
      </c>
      <c r="Q71" s="11" t="n">
        <f aca="false">P80</f>
        <v>0</v>
      </c>
      <c r="R71" s="11" t="n">
        <f aca="false">Q80</f>
        <v>0</v>
      </c>
      <c r="S71" s="11" t="n">
        <f aca="false">R80</f>
        <v>0</v>
      </c>
      <c r="T71" s="11" t="n">
        <f aca="false">S80</f>
        <v>0</v>
      </c>
      <c r="U71" s="11" t="n">
        <f aca="false">T80</f>
        <v>4.09221751631142</v>
      </c>
      <c r="V71" s="11" t="n">
        <f aca="false">U80</f>
        <v>3.06916313723357</v>
      </c>
      <c r="W71" s="11" t="n">
        <f aca="false">V80</f>
        <v>2.04610875815571</v>
      </c>
      <c r="X71" s="11" t="n">
        <f aca="false">W80</f>
        <v>0</v>
      </c>
      <c r="Y71" s="11" t="n">
        <f aca="false">X80</f>
        <v>0</v>
      </c>
      <c r="Z71" s="11" t="n">
        <f aca="false">Y80</f>
        <v>0</v>
      </c>
      <c r="AA71" s="11" t="n">
        <f aca="false">Z80</f>
        <v>0</v>
      </c>
      <c r="AB71" s="11" t="n">
        <f aca="false">AA80</f>
        <v>0</v>
      </c>
      <c r="AC71" s="11" t="n">
        <f aca="false">AB80</f>
        <v>0</v>
      </c>
      <c r="AD71" s="11" t="n">
        <f aca="false">AC80</f>
        <v>0</v>
      </c>
      <c r="AE71" s="11" t="n">
        <f aca="false">AD80</f>
        <v>0</v>
      </c>
      <c r="AF71" s="11" t="n">
        <f aca="false">AE80</f>
        <v>0</v>
      </c>
      <c r="AG71" s="11" t="n">
        <f aca="false">AF80</f>
        <v>0</v>
      </c>
      <c r="AH71" s="11" t="n">
        <f aca="false">AG80</f>
        <v>0</v>
      </c>
      <c r="AI71" s="11" t="n">
        <f aca="false">AH80</f>
        <v>0</v>
      </c>
      <c r="AJ71" s="11" t="n">
        <f aca="false">AI80</f>
        <v>0</v>
      </c>
      <c r="AK71" s="11" t="n">
        <f aca="false">AJ80</f>
        <v>0</v>
      </c>
      <c r="AL71" s="11" t="n">
        <f aca="false">AK80</f>
        <v>0</v>
      </c>
      <c r="AM71" s="11" t="n">
        <f aca="false">AL80</f>
        <v>0</v>
      </c>
      <c r="AN71" s="11" t="n">
        <f aca="false">AM80</f>
        <v>0</v>
      </c>
      <c r="AO71" s="11" t="n">
        <f aca="false">AN80</f>
        <v>0</v>
      </c>
      <c r="AP71" s="11" t="n">
        <f aca="false">AO80</f>
        <v>0</v>
      </c>
      <c r="AQ71" s="11" t="n">
        <f aca="false">AP80</f>
        <v>0</v>
      </c>
      <c r="AR71" s="11" t="n">
        <f aca="false">AQ80</f>
        <v>0</v>
      </c>
      <c r="AS71" s="11" t="n">
        <f aca="false">AR80</f>
        <v>0</v>
      </c>
      <c r="AT71" s="11" t="n">
        <f aca="false">AS80</f>
        <v>0</v>
      </c>
      <c r="AU71" s="11" t="n">
        <f aca="false">AT80</f>
        <v>0</v>
      </c>
      <c r="AV71" s="11" t="n">
        <f aca="false">AU80</f>
        <v>0</v>
      </c>
      <c r="AW71" s="11" t="n">
        <f aca="false">AV80</f>
        <v>0</v>
      </c>
      <c r="AX71" s="11" t="n">
        <f aca="false">AW80</f>
        <v>0</v>
      </c>
      <c r="AY71" s="11" t="n">
        <f aca="false">AX80</f>
        <v>0</v>
      </c>
      <c r="AZ71" s="11" t="n">
        <f aca="false">AY80</f>
        <v>0</v>
      </c>
      <c r="BA71" s="11" t="n">
        <f aca="false">AZ80</f>
        <v>0</v>
      </c>
      <c r="BB71" s="11" t="n">
        <f aca="false">BA80</f>
        <v>0</v>
      </c>
      <c r="BC71" s="11" t="n">
        <f aca="false">BB80</f>
        <v>0</v>
      </c>
      <c r="BD71" s="11" t="n">
        <f aca="false">BC80</f>
        <v>0</v>
      </c>
      <c r="BE71" s="11" t="n">
        <f aca="false">BD80</f>
        <v>0</v>
      </c>
      <c r="BF71" s="11" t="n">
        <f aca="false">BE80</f>
        <v>0</v>
      </c>
      <c r="BG71" s="11" t="n">
        <f aca="false">BF80</f>
        <v>0</v>
      </c>
      <c r="BH71" s="11" t="n">
        <f aca="false">BG80</f>
        <v>0</v>
      </c>
      <c r="BI71" s="11" t="n">
        <f aca="false">BH80</f>
        <v>0</v>
      </c>
      <c r="BJ71" s="11" t="n">
        <f aca="false">BI80</f>
        <v>0</v>
      </c>
      <c r="BK71" s="11" t="n">
        <f aca="false">BJ80</f>
        <v>0</v>
      </c>
      <c r="BL71" s="11" t="n">
        <f aca="false">BK80</f>
        <v>0</v>
      </c>
      <c r="BM71" s="11" t="n">
        <f aca="false">BL80</f>
        <v>0</v>
      </c>
      <c r="BN71" s="11" t="n">
        <f aca="false">BM80</f>
        <v>0</v>
      </c>
    </row>
    <row r="72" customFormat="false" ht="15" hidden="false" customHeight="false" outlineLevel="0" collapsed="false">
      <c r="D72" s="0" t="s">
        <v>656</v>
      </c>
      <c r="E72" s="0" t="s">
        <v>149</v>
      </c>
      <c r="G72" s="11" t="n">
        <f aca="false">SUM(J72:BN72)</f>
        <v>72.2472734052159</v>
      </c>
      <c r="J72" s="11" t="n">
        <f aca="false">J70*J13</f>
        <v>0</v>
      </c>
      <c r="K72" s="11" t="n">
        <f aca="false">K70*K13</f>
        <v>0</v>
      </c>
      <c r="L72" s="11" t="n">
        <f aca="false">L70*L13</f>
        <v>0</v>
      </c>
      <c r="M72" s="11" t="n">
        <f aca="false">M70*M13</f>
        <v>0</v>
      </c>
      <c r="N72" s="11" t="n">
        <f aca="false">N70*N13</f>
        <v>0</v>
      </c>
      <c r="O72" s="11" t="n">
        <f aca="false">O70*O13</f>
        <v>0</v>
      </c>
      <c r="P72" s="11" t="n">
        <f aca="false">P70*P13</f>
        <v>0</v>
      </c>
      <c r="Q72" s="11" t="n">
        <f aca="false">Q70*Q13</f>
        <v>5.90893829339421</v>
      </c>
      <c r="R72" s="11" t="n">
        <f aca="false">R70*R13</f>
        <v>9.00088635662127</v>
      </c>
      <c r="S72" s="11" t="n">
        <f aca="false">S70*S13</f>
        <v>11.4774618876165</v>
      </c>
      <c r="T72" s="11" t="n">
        <f aca="false">T70*T13</f>
        <v>12.6587943900311</v>
      </c>
      <c r="U72" s="11" t="n">
        <f aca="false">U70*U13</f>
        <v>11.995331348018</v>
      </c>
      <c r="V72" s="11" t="n">
        <f aca="false">V70*V13</f>
        <v>11.7310302976008</v>
      </c>
      <c r="W72" s="11" t="n">
        <f aca="false">W70*W13</f>
        <v>9.47483083193399</v>
      </c>
      <c r="X72" s="11" t="n">
        <f aca="false">X70*X13</f>
        <v>0</v>
      </c>
      <c r="Y72" s="11" t="n">
        <f aca="false">Y70*Y13</f>
        <v>0</v>
      </c>
      <c r="Z72" s="11" t="n">
        <f aca="false">Z70*Z13</f>
        <v>0</v>
      </c>
      <c r="AA72" s="11" t="n">
        <f aca="false">AA70*AA13</f>
        <v>0</v>
      </c>
      <c r="AB72" s="11" t="n">
        <f aca="false">AB70*AB13</f>
        <v>0</v>
      </c>
      <c r="AC72" s="11" t="n">
        <f aca="false">AC70*AC13</f>
        <v>0</v>
      </c>
      <c r="AD72" s="11" t="n">
        <f aca="false">AD70*AD13</f>
        <v>0</v>
      </c>
      <c r="AE72" s="11" t="n">
        <f aca="false">AE70*AE13</f>
        <v>0</v>
      </c>
      <c r="AF72" s="11" t="n">
        <f aca="false">AF70*AF13</f>
        <v>0</v>
      </c>
      <c r="AG72" s="11" t="n">
        <f aca="false">AG70*AG13</f>
        <v>0</v>
      </c>
      <c r="AH72" s="11" t="n">
        <f aca="false">AH70*AH13</f>
        <v>0</v>
      </c>
      <c r="AI72" s="11" t="n">
        <f aca="false">AI70*AI13</f>
        <v>0</v>
      </c>
      <c r="AJ72" s="11" t="n">
        <f aca="false">AJ70*AJ13</f>
        <v>0</v>
      </c>
      <c r="AK72" s="11" t="n">
        <f aca="false">AK70*AK13</f>
        <v>0</v>
      </c>
      <c r="AL72" s="11" t="n">
        <f aca="false">AL70*AL13</f>
        <v>0</v>
      </c>
      <c r="AM72" s="11" t="n">
        <f aca="false">AM70*AM13</f>
        <v>0</v>
      </c>
      <c r="AN72" s="11" t="n">
        <f aca="false">AN70*AN13</f>
        <v>0</v>
      </c>
      <c r="AO72" s="11" t="n">
        <f aca="false">AO70*AO13</f>
        <v>0</v>
      </c>
      <c r="AP72" s="11" t="n">
        <f aca="false">AP70*AP13</f>
        <v>0</v>
      </c>
      <c r="AQ72" s="11" t="n">
        <f aca="false">AQ70*AQ13</f>
        <v>0</v>
      </c>
      <c r="AR72" s="11" t="n">
        <f aca="false">AR70*AR13</f>
        <v>0</v>
      </c>
      <c r="AS72" s="11" t="n">
        <f aca="false">AS70*AS13</f>
        <v>0</v>
      </c>
      <c r="AT72" s="11" t="n">
        <f aca="false">AT70*AT13</f>
        <v>0</v>
      </c>
      <c r="AU72" s="11" t="n">
        <f aca="false">AU70*AU13</f>
        <v>0</v>
      </c>
      <c r="AV72" s="11" t="n">
        <f aca="false">AV70*AV13</f>
        <v>0</v>
      </c>
      <c r="AW72" s="11" t="n">
        <f aca="false">AW70*AW13</f>
        <v>0</v>
      </c>
      <c r="AX72" s="11" t="n">
        <f aca="false">AX70*AX13</f>
        <v>0</v>
      </c>
      <c r="AY72" s="11" t="n">
        <f aca="false">AY70*AY13</f>
        <v>0</v>
      </c>
      <c r="AZ72" s="11" t="n">
        <f aca="false">AZ70*AZ13</f>
        <v>0</v>
      </c>
      <c r="BA72" s="11" t="n">
        <f aca="false">BA70*BA13</f>
        <v>0</v>
      </c>
      <c r="BB72" s="11" t="n">
        <f aca="false">BB70*BB13</f>
        <v>0</v>
      </c>
      <c r="BC72" s="11" t="n">
        <f aca="false">BC70*BC13</f>
        <v>0</v>
      </c>
      <c r="BD72" s="11" t="n">
        <f aca="false">BD70*BD13</f>
        <v>0</v>
      </c>
      <c r="BE72" s="11" t="n">
        <f aca="false">BE70*BE13</f>
        <v>0</v>
      </c>
      <c r="BF72" s="11" t="n">
        <f aca="false">BF70*BF13</f>
        <v>0</v>
      </c>
      <c r="BG72" s="11" t="n">
        <f aca="false">BG70*BG13</f>
        <v>0</v>
      </c>
      <c r="BH72" s="11" t="n">
        <f aca="false">BH70*BH13</f>
        <v>0</v>
      </c>
      <c r="BI72" s="11" t="n">
        <f aca="false">BI70*BI13</f>
        <v>0</v>
      </c>
      <c r="BJ72" s="11" t="n">
        <f aca="false">BJ70*BJ13</f>
        <v>0</v>
      </c>
      <c r="BK72" s="11" t="n">
        <f aca="false">BK70*BK13</f>
        <v>0</v>
      </c>
      <c r="BL72" s="11" t="n">
        <f aca="false">BL70*BL13</f>
        <v>0</v>
      </c>
      <c r="BM72" s="11" t="n">
        <f aca="false">BM70*BM13</f>
        <v>0</v>
      </c>
      <c r="BN72" s="11" t="n">
        <f aca="false">BN70*BN13</f>
        <v>0</v>
      </c>
    </row>
    <row r="73" customFormat="false" ht="15" hidden="false" customHeight="false" outlineLevel="0" collapsed="false">
      <c r="D73" s="0" t="s">
        <v>657</v>
      </c>
      <c r="E73" s="0" t="s">
        <v>149</v>
      </c>
      <c r="G73" s="11" t="n">
        <f aca="false">SUM(J73:BN73)</f>
        <v>47.7715956491726</v>
      </c>
      <c r="J73" s="11" t="n">
        <f aca="false">Time!J30*(J70-J71)*J19</f>
        <v>0</v>
      </c>
      <c r="K73" s="11" t="n">
        <f aca="false">Time!K30*(K70-K71)*K19</f>
        <v>0</v>
      </c>
      <c r="L73" s="11" t="n">
        <f aca="false">Time!L30*(L70-L71)*L19</f>
        <v>0</v>
      </c>
      <c r="M73" s="11" t="n">
        <f aca="false">Time!M30*(M70-M71)*M19</f>
        <v>0</v>
      </c>
      <c r="N73" s="11" t="n">
        <f aca="false">Time!N30*(N70-N71)*N19</f>
        <v>0</v>
      </c>
      <c r="O73" s="11" t="n">
        <f aca="false">Time!O30*(O70-O71)*O19</f>
        <v>0</v>
      </c>
      <c r="P73" s="11" t="n">
        <f aca="false">Time!P30*(P70-P71)*P19</f>
        <v>0</v>
      </c>
      <c r="Q73" s="11" t="n">
        <f aca="false">Time!Q30*(Q70-Q71)*Q19</f>
        <v>6.0704273234223</v>
      </c>
      <c r="R73" s="11" t="n">
        <f aca="false">Time!R30*(R70-R71)*R19</f>
        <v>6.29309398697283</v>
      </c>
      <c r="S73" s="11" t="n">
        <f aca="false">Time!S30*(S70-S71)*S19</f>
        <v>6.51471580926781</v>
      </c>
      <c r="T73" s="11" t="n">
        <f aca="false">Time!T30*(T70-T71)*T19</f>
        <v>6.8203625271857</v>
      </c>
      <c r="U73" s="11" t="n">
        <f aca="false">Time!U30*(U70-U71)*U19</f>
        <v>7.01021512211004</v>
      </c>
      <c r="V73" s="11" t="n">
        <f aca="false">Time!V30*(V70-V71)*V19</f>
        <v>7.33111967398656</v>
      </c>
      <c r="W73" s="11" t="n">
        <f aca="false">Time!W30*(W70-W71)*W19</f>
        <v>7.73166120622738</v>
      </c>
      <c r="X73" s="11" t="n">
        <f aca="false">Time!X30*(X70-X71)*X19</f>
        <v>0</v>
      </c>
      <c r="Y73" s="11" t="n">
        <f aca="false">Time!Y30*(Y70-Y71)*Y19</f>
        <v>0</v>
      </c>
      <c r="Z73" s="11" t="n">
        <f aca="false">Time!Z30*(Z70-Z71)*Z19</f>
        <v>0</v>
      </c>
      <c r="AA73" s="11" t="n">
        <f aca="false">Time!AA30*(AA70-AA71)*AA19</f>
        <v>0</v>
      </c>
      <c r="AB73" s="11" t="n">
        <f aca="false">Time!AB30*(AB70-AB71)*AB19</f>
        <v>0</v>
      </c>
      <c r="AC73" s="11" t="n">
        <f aca="false">Time!AC30*(AC70-AC71)*AC19</f>
        <v>0</v>
      </c>
      <c r="AD73" s="11" t="n">
        <f aca="false">Time!AD30*(AD70-AD71)*AD19</f>
        <v>0</v>
      </c>
      <c r="AE73" s="11" t="n">
        <f aca="false">Time!AE30*(AE70-AE71)*AE19</f>
        <v>0</v>
      </c>
      <c r="AF73" s="11" t="n">
        <f aca="false">Time!AF30*(AF70-AF71)*AF19</f>
        <v>0</v>
      </c>
      <c r="AG73" s="11" t="n">
        <f aca="false">Time!AG30*(AG70-AG71)*AG19</f>
        <v>0</v>
      </c>
      <c r="AH73" s="11" t="n">
        <f aca="false">Time!AH30*(AH70-AH71)*AH19</f>
        <v>0</v>
      </c>
      <c r="AI73" s="11" t="n">
        <f aca="false">Time!AI30*(AI70-AI71)*AI19</f>
        <v>0</v>
      </c>
      <c r="AJ73" s="11" t="n">
        <f aca="false">Time!AJ30*(AJ70-AJ71)*AJ19</f>
        <v>0</v>
      </c>
      <c r="AK73" s="11" t="n">
        <f aca="false">Time!AK30*(AK70-AK71)*AK19</f>
        <v>0</v>
      </c>
      <c r="AL73" s="11" t="n">
        <f aca="false">Time!AL30*(AL70-AL71)*AL19</f>
        <v>0</v>
      </c>
      <c r="AM73" s="11" t="n">
        <f aca="false">Time!AM30*(AM70-AM71)*AM19</f>
        <v>0</v>
      </c>
      <c r="AN73" s="11" t="n">
        <f aca="false">Time!AN30*(AN70-AN71)*AN19</f>
        <v>0</v>
      </c>
      <c r="AO73" s="11" t="n">
        <f aca="false">Time!AO30*(AO70-AO71)*AO19</f>
        <v>0</v>
      </c>
      <c r="AP73" s="11" t="n">
        <f aca="false">Time!AP30*(AP70-AP71)*AP19</f>
        <v>0</v>
      </c>
      <c r="AQ73" s="11" t="n">
        <f aca="false">Time!AQ30*(AQ70-AQ71)*AQ19</f>
        <v>0</v>
      </c>
      <c r="AR73" s="11" t="n">
        <f aca="false">Time!AR30*(AR70-AR71)*AR19</f>
        <v>0</v>
      </c>
      <c r="AS73" s="11" t="n">
        <f aca="false">Time!AS30*(AS70-AS71)*AS19</f>
        <v>0</v>
      </c>
      <c r="AT73" s="11" t="n">
        <f aca="false">Time!AT30*(AT70-AT71)*AT19</f>
        <v>0</v>
      </c>
      <c r="AU73" s="11" t="n">
        <f aca="false">Time!AU30*(AU70-AU71)*AU19</f>
        <v>0</v>
      </c>
      <c r="AV73" s="11" t="n">
        <f aca="false">Time!AV30*(AV70-AV71)*AV19</f>
        <v>0</v>
      </c>
      <c r="AW73" s="11" t="n">
        <f aca="false">Time!AW30*(AW70-AW71)*AW19</f>
        <v>0</v>
      </c>
      <c r="AX73" s="11" t="n">
        <f aca="false">Time!AX30*(AX70-AX71)*AX19</f>
        <v>0</v>
      </c>
      <c r="AY73" s="11" t="n">
        <f aca="false">Time!AY30*(AY70-AY71)*AY19</f>
        <v>0</v>
      </c>
      <c r="AZ73" s="11" t="n">
        <f aca="false">Time!AZ30*(AZ70-AZ71)*AZ19</f>
        <v>0</v>
      </c>
      <c r="BA73" s="11" t="n">
        <f aca="false">Time!BA30*(BA70-BA71)*BA19</f>
        <v>0</v>
      </c>
      <c r="BB73" s="11" t="n">
        <f aca="false">Time!BB30*(BB70-BB71)*BB19</f>
        <v>0</v>
      </c>
      <c r="BC73" s="11" t="n">
        <f aca="false">Time!BC30*(BC70-BC71)*BC19</f>
        <v>0</v>
      </c>
      <c r="BD73" s="11" t="n">
        <f aca="false">Time!BD30*(BD70-BD71)*BD19</f>
        <v>0</v>
      </c>
      <c r="BE73" s="11" t="n">
        <f aca="false">Time!BE30*(BE70-BE71)*BE19</f>
        <v>0</v>
      </c>
      <c r="BF73" s="11" t="n">
        <f aca="false">Time!BF30*(BF70-BF71)*BF19</f>
        <v>0</v>
      </c>
      <c r="BG73" s="11" t="n">
        <f aca="false">Time!BG30*(BG70-BG71)*BG19</f>
        <v>0</v>
      </c>
      <c r="BH73" s="11" t="n">
        <f aca="false">Time!BH30*(BH70-BH71)*BH19</f>
        <v>0</v>
      </c>
      <c r="BI73" s="11" t="n">
        <f aca="false">Time!BI30*(BI70-BI71)*BI19</f>
        <v>0</v>
      </c>
      <c r="BJ73" s="11" t="n">
        <f aca="false">Time!BJ30*(BJ70-BJ71)*BJ19</f>
        <v>0</v>
      </c>
      <c r="BK73" s="11" t="n">
        <f aca="false">Time!BK30*(BK70-BK71)*BK19</f>
        <v>0</v>
      </c>
      <c r="BL73" s="11" t="n">
        <f aca="false">Time!BL30*(BL70-BL71)*BL19</f>
        <v>0</v>
      </c>
      <c r="BM73" s="11" t="n">
        <f aca="false">Time!BM30*(BM70-BM71)*BM19</f>
        <v>0</v>
      </c>
      <c r="BN73" s="11" t="n">
        <f aca="false">Time!BN30*(BN70-BN71)*BN19</f>
        <v>0</v>
      </c>
    </row>
    <row r="74" customFormat="false" ht="15" hidden="false" customHeight="false" outlineLevel="0" collapsed="false">
      <c r="D74" s="0" t="s">
        <v>658</v>
      </c>
      <c r="E74" s="0" t="s">
        <v>149</v>
      </c>
      <c r="G74" s="11" t="n">
        <f aca="false">SUM(J74:BN74)</f>
        <v>4.09221751631142</v>
      </c>
      <c r="J74" s="11" t="n">
        <f aca="false">J21*Inputs!$F$194*J73</f>
        <v>0</v>
      </c>
      <c r="K74" s="11" t="n">
        <f aca="false">K21*Inputs!$F$194*K73</f>
        <v>0</v>
      </c>
      <c r="L74" s="11" t="n">
        <f aca="false">L21*Inputs!$F$194*L73</f>
        <v>0</v>
      </c>
      <c r="M74" s="11" t="n">
        <f aca="false">M21*Inputs!$F$194*M73</f>
        <v>0</v>
      </c>
      <c r="N74" s="11" t="n">
        <f aca="false">N21*Inputs!$F$194*N73</f>
        <v>0</v>
      </c>
      <c r="O74" s="11" t="n">
        <f aca="false">O21*Inputs!$F$194*O73</f>
        <v>0</v>
      </c>
      <c r="P74" s="11" t="n">
        <f aca="false">P21*Inputs!$F$194*P73</f>
        <v>0</v>
      </c>
      <c r="Q74" s="11" t="n">
        <f aca="false">Q21*Inputs!$F$194*Q73</f>
        <v>0</v>
      </c>
      <c r="R74" s="11" t="n">
        <f aca="false">R21*Inputs!$F$194*R73</f>
        <v>0</v>
      </c>
      <c r="S74" s="11" t="n">
        <f aca="false">S21*Inputs!$F$194*S73</f>
        <v>0</v>
      </c>
      <c r="T74" s="11" t="n">
        <f aca="false">T21*Inputs!$F$194*T73</f>
        <v>4.09221751631142</v>
      </c>
      <c r="U74" s="11" t="n">
        <f aca="false">U21*Inputs!$F$194*U73</f>
        <v>0</v>
      </c>
      <c r="V74" s="11" t="n">
        <f aca="false">V21*Inputs!$F$194*V73</f>
        <v>0</v>
      </c>
      <c r="W74" s="11" t="n">
        <f aca="false">W21*Inputs!$F$194*W73</f>
        <v>0</v>
      </c>
      <c r="X74" s="11" t="n">
        <f aca="false">X21*Inputs!$F$194*X73</f>
        <v>0</v>
      </c>
      <c r="Y74" s="11" t="n">
        <f aca="false">Y21*Inputs!$F$194*Y73</f>
        <v>0</v>
      </c>
      <c r="Z74" s="11" t="n">
        <f aca="false">Z21*Inputs!$F$194*Z73</f>
        <v>0</v>
      </c>
      <c r="AA74" s="11" t="n">
        <f aca="false">AA21*Inputs!$F$194*AA73</f>
        <v>0</v>
      </c>
      <c r="AB74" s="11" t="n">
        <f aca="false">AB21*Inputs!$F$194*AB73</f>
        <v>0</v>
      </c>
      <c r="AC74" s="11" t="n">
        <f aca="false">AC21*Inputs!$F$194*AC73</f>
        <v>0</v>
      </c>
      <c r="AD74" s="11" t="n">
        <f aca="false">AD21*Inputs!$F$194*AD73</f>
        <v>0</v>
      </c>
      <c r="AE74" s="11" t="n">
        <f aca="false">AE21*Inputs!$F$194*AE73</f>
        <v>0</v>
      </c>
      <c r="AF74" s="11" t="n">
        <f aca="false">AF21*Inputs!$F$194*AF73</f>
        <v>0</v>
      </c>
      <c r="AG74" s="11" t="n">
        <f aca="false">AG21*Inputs!$F$194*AG73</f>
        <v>0</v>
      </c>
      <c r="AH74" s="11" t="n">
        <f aca="false">AH21*Inputs!$F$194*AH73</f>
        <v>0</v>
      </c>
      <c r="AI74" s="11" t="n">
        <f aca="false">AI21*Inputs!$F$194*AI73</f>
        <v>0</v>
      </c>
      <c r="AJ74" s="11" t="n">
        <f aca="false">AJ21*Inputs!$F$194*AJ73</f>
        <v>0</v>
      </c>
      <c r="AK74" s="11" t="n">
        <f aca="false">AK21*Inputs!$F$194*AK73</f>
        <v>0</v>
      </c>
      <c r="AL74" s="11" t="n">
        <f aca="false">AL21*Inputs!$F$194*AL73</f>
        <v>0</v>
      </c>
      <c r="AM74" s="11" t="n">
        <f aca="false">AM21*Inputs!$F$194*AM73</f>
        <v>0</v>
      </c>
      <c r="AN74" s="11" t="n">
        <f aca="false">AN21*Inputs!$F$194*AN73</f>
        <v>0</v>
      </c>
      <c r="AO74" s="11" t="n">
        <f aca="false">AO21*Inputs!$F$194*AO73</f>
        <v>0</v>
      </c>
      <c r="AP74" s="11" t="n">
        <f aca="false">AP21*Inputs!$F$194*AP73</f>
        <v>0</v>
      </c>
      <c r="AQ74" s="11" t="n">
        <f aca="false">AQ21*Inputs!$F$194*AQ73</f>
        <v>0</v>
      </c>
      <c r="AR74" s="11" t="n">
        <f aca="false">AR21*Inputs!$F$194*AR73</f>
        <v>0</v>
      </c>
      <c r="AS74" s="11" t="n">
        <f aca="false">AS21*Inputs!$F$194*AS73</f>
        <v>0</v>
      </c>
      <c r="AT74" s="11" t="n">
        <f aca="false">AT21*Inputs!$F$194*AT73</f>
        <v>0</v>
      </c>
      <c r="AU74" s="11" t="n">
        <f aca="false">AU21*Inputs!$F$194*AU73</f>
        <v>0</v>
      </c>
      <c r="AV74" s="11" t="n">
        <f aca="false">AV21*Inputs!$F$194*AV73</f>
        <v>0</v>
      </c>
      <c r="AW74" s="11" t="n">
        <f aca="false">AW21*Inputs!$F$194*AW73</f>
        <v>0</v>
      </c>
      <c r="AX74" s="11" t="n">
        <f aca="false">AX21*Inputs!$F$194*AX73</f>
        <v>0</v>
      </c>
      <c r="AY74" s="11" t="n">
        <f aca="false">AY21*Inputs!$F$194*AY73</f>
        <v>0</v>
      </c>
      <c r="AZ74" s="11" t="n">
        <f aca="false">AZ21*Inputs!$F$194*AZ73</f>
        <v>0</v>
      </c>
      <c r="BA74" s="11" t="n">
        <f aca="false">BA21*Inputs!$F$194*BA73</f>
        <v>0</v>
      </c>
      <c r="BB74" s="11" t="n">
        <f aca="false">BB21*Inputs!$F$194*BB73</f>
        <v>0</v>
      </c>
      <c r="BC74" s="11" t="n">
        <f aca="false">BC21*Inputs!$F$194*BC73</f>
        <v>0</v>
      </c>
      <c r="BD74" s="11" t="n">
        <f aca="false">BD21*Inputs!$F$194*BD73</f>
        <v>0</v>
      </c>
      <c r="BE74" s="11" t="n">
        <f aca="false">BE21*Inputs!$F$194*BE73</f>
        <v>0</v>
      </c>
      <c r="BF74" s="11" t="n">
        <f aca="false">BF21*Inputs!$F$194*BF73</f>
        <v>0</v>
      </c>
      <c r="BG74" s="11" t="n">
        <f aca="false">BG21*Inputs!$F$194*BG73</f>
        <v>0</v>
      </c>
      <c r="BH74" s="11" t="n">
        <f aca="false">BH21*Inputs!$F$194*BH73</f>
        <v>0</v>
      </c>
      <c r="BI74" s="11" t="n">
        <f aca="false">BI21*Inputs!$F$194*BI73</f>
        <v>0</v>
      </c>
      <c r="BJ74" s="11" t="n">
        <f aca="false">BJ21*Inputs!$F$194*BJ73</f>
        <v>0</v>
      </c>
      <c r="BK74" s="11" t="n">
        <f aca="false">BK21*Inputs!$F$194*BK73</f>
        <v>0</v>
      </c>
      <c r="BL74" s="11" t="n">
        <f aca="false">BL21*Inputs!$F$194*BL73</f>
        <v>0</v>
      </c>
      <c r="BM74" s="11" t="n">
        <f aca="false">BM21*Inputs!$F$194*BM73</f>
        <v>0</v>
      </c>
      <c r="BN74" s="11" t="n">
        <f aca="false">BN21*Inputs!$F$194*BN73</f>
        <v>0</v>
      </c>
    </row>
    <row r="75" customFormat="false" ht="15" hidden="false" customHeight="false" outlineLevel="0" collapsed="false">
      <c r="D75" s="0" t="s">
        <v>659</v>
      </c>
      <c r="E75" s="0" t="s">
        <v>149</v>
      </c>
      <c r="F75" s="15" t="n">
        <f aca="false">$T$74</f>
        <v>4.09221751631142</v>
      </c>
    </row>
    <row r="76" customFormat="false" ht="15" hidden="false" customHeight="false" outlineLevel="0" collapsed="false">
      <c r="D76" s="0" t="s">
        <v>660</v>
      </c>
      <c r="E76" s="0" t="s">
        <v>149</v>
      </c>
      <c r="G76" s="11" t="n">
        <f aca="false">SUM(J76:BN76)</f>
        <v>3.06916313723357</v>
      </c>
      <c r="J76" s="11" t="n">
        <f aca="false">0</f>
        <v>0</v>
      </c>
      <c r="K76" s="11" t="n">
        <f aca="false">0</f>
        <v>0</v>
      </c>
      <c r="L76" s="11" t="n">
        <f aca="false">0</f>
        <v>0</v>
      </c>
      <c r="M76" s="11" t="n">
        <f aca="false">0</f>
        <v>0</v>
      </c>
      <c r="N76" s="11" t="n">
        <f aca="false">0</f>
        <v>0</v>
      </c>
      <c r="O76" s="11" t="n">
        <f aca="false">0</f>
        <v>0</v>
      </c>
      <c r="P76" s="11" t="n">
        <f aca="false">0</f>
        <v>0</v>
      </c>
      <c r="Q76" s="11" t="n">
        <f aca="false">0</f>
        <v>0</v>
      </c>
      <c r="R76" s="11" t="n">
        <f aca="false">0</f>
        <v>0</v>
      </c>
      <c r="S76" s="11" t="n">
        <f aca="false">0</f>
        <v>0</v>
      </c>
      <c r="T76" s="11" t="n">
        <f aca="false">0</f>
        <v>0</v>
      </c>
      <c r="U76" s="11" t="n">
        <f aca="false">U22*MIN($F$75/4,U71)</f>
        <v>1.02305437907786</v>
      </c>
      <c r="V76" s="11" t="n">
        <f aca="false">V22*MIN($F$75/4,V71)</f>
        <v>1.02305437907786</v>
      </c>
      <c r="W76" s="11" t="n">
        <f aca="false">W22*MIN($F$75/4,W71)</f>
        <v>1.02305437907786</v>
      </c>
      <c r="X76" s="11" t="n">
        <f aca="false">X22*MIN($F$75/4,X71)</f>
        <v>0</v>
      </c>
      <c r="Y76" s="11" t="n">
        <f aca="false">0</f>
        <v>0</v>
      </c>
      <c r="Z76" s="11" t="n">
        <f aca="false">0</f>
        <v>0</v>
      </c>
      <c r="AA76" s="11" t="n">
        <f aca="false">0</f>
        <v>0</v>
      </c>
      <c r="AB76" s="11" t="n">
        <f aca="false">0</f>
        <v>0</v>
      </c>
      <c r="AC76" s="11" t="n">
        <f aca="false">0</f>
        <v>0</v>
      </c>
      <c r="AD76" s="11" t="n">
        <f aca="false">0</f>
        <v>0</v>
      </c>
      <c r="AE76" s="11" t="n">
        <f aca="false">0</f>
        <v>0</v>
      </c>
      <c r="AF76" s="11" t="n">
        <f aca="false">0</f>
        <v>0</v>
      </c>
      <c r="AG76" s="11" t="n">
        <f aca="false">0</f>
        <v>0</v>
      </c>
      <c r="AH76" s="11" t="n">
        <f aca="false">0</f>
        <v>0</v>
      </c>
      <c r="AI76" s="11" t="n">
        <f aca="false">0</f>
        <v>0</v>
      </c>
      <c r="AJ76" s="11" t="n">
        <f aca="false">0</f>
        <v>0</v>
      </c>
      <c r="AK76" s="11" t="n">
        <f aca="false">0</f>
        <v>0</v>
      </c>
      <c r="AL76" s="11" t="n">
        <f aca="false">0</f>
        <v>0</v>
      </c>
      <c r="AM76" s="11" t="n">
        <f aca="false">0</f>
        <v>0</v>
      </c>
      <c r="AN76" s="11" t="n">
        <f aca="false">0</f>
        <v>0</v>
      </c>
      <c r="AO76" s="11" t="n">
        <f aca="false">0</f>
        <v>0</v>
      </c>
      <c r="AP76" s="11" t="n">
        <f aca="false">0</f>
        <v>0</v>
      </c>
      <c r="AQ76" s="11" t="n">
        <f aca="false">0</f>
        <v>0</v>
      </c>
      <c r="AR76" s="11" t="n">
        <f aca="false">0</f>
        <v>0</v>
      </c>
      <c r="AS76" s="11" t="n">
        <f aca="false">0</f>
        <v>0</v>
      </c>
      <c r="AT76" s="11" t="n">
        <f aca="false">0</f>
        <v>0</v>
      </c>
      <c r="AU76" s="11" t="n">
        <f aca="false">0</f>
        <v>0</v>
      </c>
      <c r="AV76" s="11" t="n">
        <f aca="false">0</f>
        <v>0</v>
      </c>
      <c r="AW76" s="11" t="n">
        <f aca="false">0</f>
        <v>0</v>
      </c>
      <c r="AX76" s="11" t="n">
        <f aca="false">0</f>
        <v>0</v>
      </c>
      <c r="AY76" s="11" t="n">
        <f aca="false">0</f>
        <v>0</v>
      </c>
      <c r="AZ76" s="11" t="n">
        <f aca="false">0</f>
        <v>0</v>
      </c>
      <c r="BA76" s="11" t="n">
        <f aca="false">0</f>
        <v>0</v>
      </c>
      <c r="BB76" s="11" t="n">
        <f aca="false">0</f>
        <v>0</v>
      </c>
      <c r="BC76" s="11" t="n">
        <f aca="false">0</f>
        <v>0</v>
      </c>
      <c r="BD76" s="11" t="n">
        <f aca="false">0</f>
        <v>0</v>
      </c>
      <c r="BE76" s="11" t="n">
        <f aca="false">0</f>
        <v>0</v>
      </c>
      <c r="BF76" s="11" t="n">
        <f aca="false">0</f>
        <v>0</v>
      </c>
      <c r="BG76" s="11" t="n">
        <f aca="false">0</f>
        <v>0</v>
      </c>
      <c r="BH76" s="11" t="n">
        <f aca="false">0</f>
        <v>0</v>
      </c>
      <c r="BI76" s="11" t="n">
        <f aca="false">0</f>
        <v>0</v>
      </c>
      <c r="BJ76" s="11" t="n">
        <f aca="false">0</f>
        <v>0</v>
      </c>
      <c r="BK76" s="11" t="n">
        <f aca="false">0</f>
        <v>0</v>
      </c>
      <c r="BL76" s="11" t="n">
        <f aca="false">0</f>
        <v>0</v>
      </c>
      <c r="BM76" s="11" t="n">
        <f aca="false">0</f>
        <v>0</v>
      </c>
      <c r="BN76" s="11" t="n">
        <f aca="false">0</f>
        <v>0</v>
      </c>
    </row>
    <row r="77" customFormat="false" ht="15" hidden="false" customHeight="false" outlineLevel="0" collapsed="false">
      <c r="D77" s="0" t="s">
        <v>661</v>
      </c>
      <c r="E77" s="0" t="s">
        <v>149</v>
      </c>
      <c r="G77" s="11" t="n">
        <f aca="false">SUM(J77:BN77)</f>
        <v>46.7485412700948</v>
      </c>
      <c r="J77" s="11" t="n">
        <f aca="false">J73-J74+J76</f>
        <v>0</v>
      </c>
      <c r="K77" s="11" t="n">
        <f aca="false">K73-K74+K76</f>
        <v>0</v>
      </c>
      <c r="L77" s="11" t="n">
        <f aca="false">L73-L74+L76</f>
        <v>0</v>
      </c>
      <c r="M77" s="11" t="n">
        <f aca="false">M73-M74+M76</f>
        <v>0</v>
      </c>
      <c r="N77" s="11" t="n">
        <f aca="false">N73-N74+N76</f>
        <v>0</v>
      </c>
      <c r="O77" s="11" t="n">
        <f aca="false">O73-O74+O76</f>
        <v>0</v>
      </c>
      <c r="P77" s="11" t="n">
        <f aca="false">P73-P74+P76</f>
        <v>0</v>
      </c>
      <c r="Q77" s="11" t="n">
        <f aca="false">Q73-Q74+Q76</f>
        <v>6.0704273234223</v>
      </c>
      <c r="R77" s="11" t="n">
        <f aca="false">R73-R74+R76</f>
        <v>6.29309398697283</v>
      </c>
      <c r="S77" s="11" t="n">
        <f aca="false">S73-S74+S76</f>
        <v>6.51471580926781</v>
      </c>
      <c r="T77" s="11" t="n">
        <f aca="false">T73-T74+T76</f>
        <v>2.72814501087428</v>
      </c>
      <c r="U77" s="11" t="n">
        <f aca="false">U73-U74+U76</f>
        <v>8.0332695011879</v>
      </c>
      <c r="V77" s="11" t="n">
        <f aca="false">V73-V74+V76</f>
        <v>8.35417405306441</v>
      </c>
      <c r="W77" s="11" t="n">
        <f aca="false">W73-W74+W76</f>
        <v>8.75471558530524</v>
      </c>
      <c r="X77" s="11" t="n">
        <f aca="false">X73-X74+X76</f>
        <v>0</v>
      </c>
      <c r="Y77" s="11" t="n">
        <f aca="false">Y73-Y74+Y76</f>
        <v>0</v>
      </c>
      <c r="Z77" s="11" t="n">
        <f aca="false">Z73-Z74+Z76</f>
        <v>0</v>
      </c>
      <c r="AA77" s="11" t="n">
        <f aca="false">AA73-AA74+AA76</f>
        <v>0</v>
      </c>
      <c r="AB77" s="11" t="n">
        <f aca="false">AB73-AB74+AB76</f>
        <v>0</v>
      </c>
      <c r="AC77" s="11" t="n">
        <f aca="false">AC73-AC74+AC76</f>
        <v>0</v>
      </c>
      <c r="AD77" s="11" t="n">
        <f aca="false">AD73-AD74+AD76</f>
        <v>0</v>
      </c>
      <c r="AE77" s="11" t="n">
        <f aca="false">AE73-AE74+AE76</f>
        <v>0</v>
      </c>
      <c r="AF77" s="11" t="n">
        <f aca="false">AF73-AF74+AF76</f>
        <v>0</v>
      </c>
      <c r="AG77" s="11" t="n">
        <f aca="false">AG73-AG74+AG76</f>
        <v>0</v>
      </c>
      <c r="AH77" s="11" t="n">
        <f aca="false">AH73-AH74+AH76</f>
        <v>0</v>
      </c>
      <c r="AI77" s="11" t="n">
        <f aca="false">AI73-AI74+AI76</f>
        <v>0</v>
      </c>
      <c r="AJ77" s="11" t="n">
        <f aca="false">AJ73-AJ74+AJ76</f>
        <v>0</v>
      </c>
      <c r="AK77" s="11" t="n">
        <f aca="false">AK73-AK74+AK76</f>
        <v>0</v>
      </c>
      <c r="AL77" s="11" t="n">
        <f aca="false">AL73-AL74+AL76</f>
        <v>0</v>
      </c>
      <c r="AM77" s="11" t="n">
        <f aca="false">AM73-AM74+AM76</f>
        <v>0</v>
      </c>
      <c r="AN77" s="11" t="n">
        <f aca="false">AN73-AN74+AN76</f>
        <v>0</v>
      </c>
      <c r="AO77" s="11" t="n">
        <f aca="false">AO73-AO74+AO76</f>
        <v>0</v>
      </c>
      <c r="AP77" s="11" t="n">
        <f aca="false">AP73-AP74+AP76</f>
        <v>0</v>
      </c>
      <c r="AQ77" s="11" t="n">
        <f aca="false">AQ73-AQ74+AQ76</f>
        <v>0</v>
      </c>
      <c r="AR77" s="11" t="n">
        <f aca="false">AR73-AR74+AR76</f>
        <v>0</v>
      </c>
      <c r="AS77" s="11" t="n">
        <f aca="false">AS73-AS74+AS76</f>
        <v>0</v>
      </c>
      <c r="AT77" s="11" t="n">
        <f aca="false">AT73-AT74+AT76</f>
        <v>0</v>
      </c>
      <c r="AU77" s="11" t="n">
        <f aca="false">AU73-AU74+AU76</f>
        <v>0</v>
      </c>
      <c r="AV77" s="11" t="n">
        <f aca="false">AV73-AV74+AV76</f>
        <v>0</v>
      </c>
      <c r="AW77" s="11" t="n">
        <f aca="false">AW73-AW74+AW76</f>
        <v>0</v>
      </c>
      <c r="AX77" s="11" t="n">
        <f aca="false">AX73-AX74+AX76</f>
        <v>0</v>
      </c>
      <c r="AY77" s="11" t="n">
        <f aca="false">AY73-AY74+AY76</f>
        <v>0</v>
      </c>
      <c r="AZ77" s="11" t="n">
        <f aca="false">AZ73-AZ74+AZ76</f>
        <v>0</v>
      </c>
      <c r="BA77" s="11" t="n">
        <f aca="false">BA73-BA74+BA76</f>
        <v>0</v>
      </c>
      <c r="BB77" s="11" t="n">
        <f aca="false">BB73-BB74+BB76</f>
        <v>0</v>
      </c>
      <c r="BC77" s="11" t="n">
        <f aca="false">BC73-BC74+BC76</f>
        <v>0</v>
      </c>
      <c r="BD77" s="11" t="n">
        <f aca="false">BD73-BD74+BD76</f>
        <v>0</v>
      </c>
      <c r="BE77" s="11" t="n">
        <f aca="false">BE73-BE74+BE76</f>
        <v>0</v>
      </c>
      <c r="BF77" s="11" t="n">
        <f aca="false">BF73-BF74+BF76</f>
        <v>0</v>
      </c>
      <c r="BG77" s="11" t="n">
        <f aca="false">BG73-BG74+BG76</f>
        <v>0</v>
      </c>
      <c r="BH77" s="11" t="n">
        <f aca="false">BH73-BH74+BH76</f>
        <v>0</v>
      </c>
      <c r="BI77" s="11" t="n">
        <f aca="false">BI73-BI74+BI76</f>
        <v>0</v>
      </c>
      <c r="BJ77" s="11" t="n">
        <f aca="false">BJ73-BJ74+BJ76</f>
        <v>0</v>
      </c>
      <c r="BK77" s="11" t="n">
        <f aca="false">BK73-BK74+BK76</f>
        <v>0</v>
      </c>
      <c r="BL77" s="11" t="n">
        <f aca="false">BL73-BL74+BL76</f>
        <v>0</v>
      </c>
      <c r="BM77" s="11" t="n">
        <f aca="false">BM73-BM74+BM76</f>
        <v>0</v>
      </c>
      <c r="BN77" s="11" t="n">
        <f aca="false">BN73-BN74+BN76</f>
        <v>0</v>
      </c>
    </row>
    <row r="78" customFormat="false" ht="15" hidden="false" customHeight="false" outlineLevel="0" collapsed="false">
      <c r="D78" s="0" t="s">
        <v>662</v>
      </c>
      <c r="E78" s="0" t="s">
        <v>149</v>
      </c>
      <c r="G78" s="11" t="n">
        <f aca="false">SUM(J78:BN78)</f>
        <v>7.0242999999885</v>
      </c>
      <c r="J78" s="11" t="n">
        <f aca="false">J23*Inputs!$F$191*(J70-J77)/(J25-J32+J40-J47+J55-J62+J70-J77+J85-J92+0.000000001)</f>
        <v>0</v>
      </c>
      <c r="K78" s="11" t="n">
        <f aca="false">K23*Inputs!$F$191*(K70-K77)/(K25-K32+K40-K47+K55-K62+K70-K77+K85-K92+0.000000001)</f>
        <v>0</v>
      </c>
      <c r="L78" s="11" t="n">
        <f aca="false">L23*Inputs!$F$191*(L70-L77)/(L25-L32+L40-L47+L55-L62+L70-L77+L85-L92+0.000000001)</f>
        <v>0</v>
      </c>
      <c r="M78" s="11" t="n">
        <f aca="false">M23*Inputs!$F$191*(M70-M77)/(M25-M32+M40-M47+M55-M62+M70-M77+M85-M92+0.000000001)</f>
        <v>0</v>
      </c>
      <c r="N78" s="11" t="n">
        <f aca="false">N23*Inputs!$F$191*(N70-N77)/(N25-N32+N40-N47+N55-N62+N70-N77+N85-N92+0.000000001)</f>
        <v>0</v>
      </c>
      <c r="O78" s="11" t="n">
        <f aca="false">O23*Inputs!$F$191*(O70-O77)/(O25-O32+O40-O47+O55-O62+O70-O77+O85-O92+0.000000001)</f>
        <v>0</v>
      </c>
      <c r="P78" s="11" t="n">
        <f aca="false">P23*Inputs!$F$191*(P70-P77)/(P25-P32+P40-P47+P55-P62+P70-P77+P85-P92+0.000000001)</f>
        <v>0</v>
      </c>
      <c r="Q78" s="11" t="n">
        <f aca="false">Q23*Inputs!$F$191*(Q70-Q77)/(Q25-Q32+Q40-Q47+Q55-Q62+Q70-Q77+Q85-Q92+0.000000001)</f>
        <v>7.0242999999885</v>
      </c>
      <c r="R78" s="11" t="n">
        <f aca="false">R23*Inputs!$F$191*(R70-R77)/(R25-R32+R40-R47+R55-R62+R70-R77+R85-R92+0.000000001)</f>
        <v>0</v>
      </c>
      <c r="S78" s="11" t="n">
        <f aca="false">S23*Inputs!$F$191*(S70-S77)/(S25-S32+S40-S47+S55-S62+S70-S77+S85-S92+0.000000001)</f>
        <v>0</v>
      </c>
      <c r="T78" s="11" t="n">
        <f aca="false">T23*Inputs!$F$191*(T70-T77)/(T25-T32+T40-T47+T55-T62+T70-T77+T85-T92+0.000000001)</f>
        <v>0</v>
      </c>
      <c r="U78" s="11" t="n">
        <f aca="false">U23*Inputs!$F$191*(U70-U77)/(U25-U32+U40-U47+U55-U62+U70-U77+U85-U92+0.000000001)</f>
        <v>0</v>
      </c>
      <c r="V78" s="11" t="n">
        <f aca="false">V23*Inputs!$F$191*(V70-V77)/(V25-V32+V40-V47+V55-V62+V70-V77+V85-V92+0.000000001)</f>
        <v>0</v>
      </c>
      <c r="W78" s="11" t="n">
        <f aca="false">W23*Inputs!$F$191*(W70-W77)/(W25-W32+W40-W47+W55-W62+W70-W77+W85-W92+0.000000001)</f>
        <v>0</v>
      </c>
      <c r="X78" s="11" t="n">
        <f aca="false">X23*Inputs!$F$191*(X70-X77)/(X25-X32+X40-X47+X55-X62+X70-X77+X85-X92+0.000000001)</f>
        <v>0</v>
      </c>
      <c r="Y78" s="11" t="n">
        <f aca="false">Y23*Inputs!$F$191*(Y70-Y77)/(Y25-Y32+Y40-Y47+Y55-Y62+Y70-Y77+Y85-Y92+0.000000001)</f>
        <v>0</v>
      </c>
      <c r="Z78" s="11" t="n">
        <f aca="false">Z23*Inputs!$F$191*(Z70-Z77)/(Z25-Z32+Z40-Z47+Z55-Z62+Z70-Z77+Z85-Z92+0.000000001)</f>
        <v>0</v>
      </c>
      <c r="AA78" s="11" t="n">
        <f aca="false">AA23*Inputs!$F$191*(AA70-AA77)/(AA25-AA32+AA40-AA47+AA55-AA62+AA70-AA77+AA85-AA92+0.000000001)</f>
        <v>0</v>
      </c>
      <c r="AB78" s="11" t="n">
        <f aca="false">AB23*Inputs!$F$191*(AB70-AB77)/(AB25-AB32+AB40-AB47+AB55-AB62+AB70-AB77+AB85-AB92+0.000000001)</f>
        <v>0</v>
      </c>
      <c r="AC78" s="11" t="n">
        <f aca="false">AC23*Inputs!$F$191*(AC70-AC77)/(AC25-AC32+AC40-AC47+AC55-AC62+AC70-AC77+AC85-AC92+0.000000001)</f>
        <v>0</v>
      </c>
      <c r="AD78" s="11" t="n">
        <f aca="false">AD23*Inputs!$F$191*(AD70-AD77)/(AD25-AD32+AD40-AD47+AD55-AD62+AD70-AD77+AD85-AD92+0.000000001)</f>
        <v>0</v>
      </c>
      <c r="AE78" s="11" t="n">
        <f aca="false">AE23*Inputs!$F$191*(AE70-AE77)/(AE25-AE32+AE40-AE47+AE55-AE62+AE70-AE77+AE85-AE92+0.000000001)</f>
        <v>0</v>
      </c>
      <c r="AF78" s="11" t="n">
        <f aca="false">AF23*Inputs!$F$191*(AF70-AF77)/(AF25-AF32+AF40-AF47+AF55-AF62+AF70-AF77+AF85-AF92+0.000000001)</f>
        <v>0</v>
      </c>
      <c r="AG78" s="11" t="n">
        <f aca="false">AG23*Inputs!$F$191*(AG70-AG77)/(AG25-AG32+AG40-AG47+AG55-AG62+AG70-AG77+AG85-AG92+0.000000001)</f>
        <v>0</v>
      </c>
      <c r="AH78" s="11" t="n">
        <f aca="false">AH23*Inputs!$F$191*(AH70-AH77)/(AH25-AH32+AH40-AH47+AH55-AH62+AH70-AH77+AH85-AH92+0.000000001)</f>
        <v>0</v>
      </c>
      <c r="AI78" s="11" t="n">
        <f aca="false">AI23*Inputs!$F$191*(AI70-AI77)/(AI25-AI32+AI40-AI47+AI55-AI62+AI70-AI77+AI85-AI92+0.000000001)</f>
        <v>0</v>
      </c>
      <c r="AJ78" s="11" t="n">
        <f aca="false">AJ23*Inputs!$F$191*(AJ70-AJ77)/(AJ25-AJ32+AJ40-AJ47+AJ55-AJ62+AJ70-AJ77+AJ85-AJ92+0.000000001)</f>
        <v>0</v>
      </c>
      <c r="AK78" s="11" t="n">
        <f aca="false">AK23*Inputs!$F$191*(AK70-AK77)/(AK25-AK32+AK40-AK47+AK55-AK62+AK70-AK77+AK85-AK92+0.000000001)</f>
        <v>0</v>
      </c>
      <c r="AL78" s="11" t="n">
        <f aca="false">AL23*Inputs!$F$191*(AL70-AL77)/(AL25-AL32+AL40-AL47+AL55-AL62+AL70-AL77+AL85-AL92+0.000000001)</f>
        <v>0</v>
      </c>
      <c r="AM78" s="11" t="n">
        <f aca="false">AM23*Inputs!$F$191*(AM70-AM77)/(AM25-AM32+AM40-AM47+AM55-AM62+AM70-AM77+AM85-AM92+0.000000001)</f>
        <v>0</v>
      </c>
      <c r="AN78" s="11" t="n">
        <f aca="false">AN23*Inputs!$F$191*(AN70-AN77)/(AN25-AN32+AN40-AN47+AN55-AN62+AN70-AN77+AN85-AN92+0.000000001)</f>
        <v>0</v>
      </c>
      <c r="AO78" s="11" t="n">
        <f aca="false">AO23*Inputs!$F$191*(AO70-AO77)/(AO25-AO32+AO40-AO47+AO55-AO62+AO70-AO77+AO85-AO92+0.000000001)</f>
        <v>0</v>
      </c>
      <c r="AP78" s="11" t="n">
        <f aca="false">AP23*Inputs!$F$191*(AP70-AP77)/(AP25-AP32+AP40-AP47+AP55-AP62+AP70-AP77+AP85-AP92+0.000000001)</f>
        <v>0</v>
      </c>
      <c r="AQ78" s="11" t="n">
        <f aca="false">AQ23*Inputs!$F$191*(AQ70-AQ77)/(AQ25-AQ32+AQ40-AQ47+AQ55-AQ62+AQ70-AQ77+AQ85-AQ92+0.000000001)</f>
        <v>0</v>
      </c>
      <c r="AR78" s="11" t="n">
        <f aca="false">AR23*Inputs!$F$191*(AR70-AR77)/(AR25-AR32+AR40-AR47+AR55-AR62+AR70-AR77+AR85-AR92+0.000000001)</f>
        <v>0</v>
      </c>
      <c r="AS78" s="11" t="n">
        <f aca="false">AS23*Inputs!$F$191*(AS70-AS77)/(AS25-AS32+AS40-AS47+AS55-AS62+AS70-AS77+AS85-AS92+0.000000001)</f>
        <v>0</v>
      </c>
      <c r="AT78" s="11" t="n">
        <f aca="false">AT23*Inputs!$F$191*(AT70-AT77)/(AT25-AT32+AT40-AT47+AT55-AT62+AT70-AT77+AT85-AT92+0.000000001)</f>
        <v>0</v>
      </c>
      <c r="AU78" s="11" t="n">
        <f aca="false">AU23*Inputs!$F$191*(AU70-AU77)/(AU25-AU32+AU40-AU47+AU55-AU62+AU70-AU77+AU85-AU92+0.000000001)</f>
        <v>0</v>
      </c>
      <c r="AV78" s="11" t="n">
        <f aca="false">AV23*Inputs!$F$191*(AV70-AV77)/(AV25-AV32+AV40-AV47+AV55-AV62+AV70-AV77+AV85-AV92+0.000000001)</f>
        <v>0</v>
      </c>
      <c r="AW78" s="11" t="n">
        <f aca="false">AW23*Inputs!$F$191*(AW70-AW77)/(AW25-AW32+AW40-AW47+AW55-AW62+AW70-AW77+AW85-AW92+0.000000001)</f>
        <v>0</v>
      </c>
      <c r="AX78" s="11" t="n">
        <f aca="false">AX23*Inputs!$F$191*(AX70-AX77)/(AX25-AX32+AX40-AX47+AX55-AX62+AX70-AX77+AX85-AX92+0.000000001)</f>
        <v>0</v>
      </c>
      <c r="AY78" s="11" t="n">
        <f aca="false">AY23*Inputs!$F$191*(AY70-AY77)/(AY25-AY32+AY40-AY47+AY55-AY62+AY70-AY77+AY85-AY92+0.000000001)</f>
        <v>0</v>
      </c>
      <c r="AZ78" s="11" t="n">
        <f aca="false">AZ23*Inputs!$F$191*(AZ70-AZ77)/(AZ25-AZ32+AZ40-AZ47+AZ55-AZ62+AZ70-AZ77+AZ85-AZ92+0.000000001)</f>
        <v>0</v>
      </c>
      <c r="BA78" s="11" t="n">
        <f aca="false">BA23*Inputs!$F$191*(BA70-BA77)/(BA25-BA32+BA40-BA47+BA55-BA62+BA70-BA77+BA85-BA92+0.000000001)</f>
        <v>0</v>
      </c>
      <c r="BB78" s="11" t="n">
        <f aca="false">BB23*Inputs!$F$191*(BB70-BB77)/(BB25-BB32+BB40-BB47+BB55-BB62+BB70-BB77+BB85-BB92+0.000000001)</f>
        <v>0</v>
      </c>
      <c r="BC78" s="11" t="n">
        <f aca="false">BC23*Inputs!$F$191*(BC70-BC77)/(BC25-BC32+BC40-BC47+BC55-BC62+BC70-BC77+BC85-BC92+0.000000001)</f>
        <v>0</v>
      </c>
      <c r="BD78" s="11" t="n">
        <f aca="false">BD23*Inputs!$F$191*(BD70-BD77)/(BD25-BD32+BD40-BD47+BD55-BD62+BD70-BD77+BD85-BD92+0.000000001)</f>
        <v>0</v>
      </c>
      <c r="BE78" s="11" t="n">
        <f aca="false">BE23*Inputs!$F$191*(BE70-BE77)/(BE25-BE32+BE40-BE47+BE55-BE62+BE70-BE77+BE85-BE92+0.000000001)</f>
        <v>0</v>
      </c>
      <c r="BF78" s="11" t="n">
        <f aca="false">BF23*Inputs!$F$191*(BF70-BF77)/(BF25-BF32+BF40-BF47+BF55-BF62+BF70-BF77+BF85-BF92+0.000000001)</f>
        <v>0</v>
      </c>
      <c r="BG78" s="11" t="n">
        <f aca="false">BG23*Inputs!$F$191*(BG70-BG77)/(BG25-BG32+BG40-BG47+BG55-BG62+BG70-BG77+BG85-BG92+0.000000001)</f>
        <v>0</v>
      </c>
      <c r="BH78" s="11" t="n">
        <f aca="false">BH23*Inputs!$F$191*(BH70-BH77)/(BH25-BH32+BH40-BH47+BH55-BH62+BH70-BH77+BH85-BH92+0.000000001)</f>
        <v>0</v>
      </c>
      <c r="BI78" s="11" t="n">
        <f aca="false">BI23*Inputs!$F$191*(BI70-BI77)/(BI25-BI32+BI40-BI47+BI55-BI62+BI70-BI77+BI85-BI92+0.000000001)</f>
        <v>0</v>
      </c>
      <c r="BJ78" s="11" t="n">
        <f aca="false">BJ23*Inputs!$F$191*(BJ70-BJ77)/(BJ25-BJ32+BJ40-BJ47+BJ55-BJ62+BJ70-BJ77+BJ85-BJ92+0.000000001)</f>
        <v>0</v>
      </c>
      <c r="BK78" s="11" t="n">
        <f aca="false">BK23*Inputs!$F$191*(BK70-BK77)/(BK25-BK32+BK40-BK47+BK55-BK62+BK70-BK77+BK85-BK92+0.000000001)</f>
        <v>0</v>
      </c>
      <c r="BL78" s="11" t="n">
        <f aca="false">BL23*Inputs!$F$191*(BL70-BL77)/(BL25-BL32+BL40-BL47+BL55-BL62+BL70-BL77+BL85-BL92+0.000000001)</f>
        <v>0</v>
      </c>
      <c r="BM78" s="11" t="n">
        <f aca="false">BM23*Inputs!$F$191*(BM70-BM77)/(BM25-BM32+BM40-BM47+BM55-BM62+BM70-BM77+BM85-BM92+0.000000001)</f>
        <v>0</v>
      </c>
      <c r="BN78" s="11" t="n">
        <f aca="false">BN23*Inputs!$F$191*(BN70-BN77)/(BN25-BN32+BN40-BN47+BN55-BN62+BN70-BN77+BN85-BN92+0.000000001)</f>
        <v>0</v>
      </c>
    </row>
    <row r="79" customFormat="false" ht="15" hidden="false" customHeight="false" outlineLevel="0" collapsed="false">
      <c r="D79" s="0" t="s">
        <v>663</v>
      </c>
      <c r="E79" s="0" t="s">
        <v>149</v>
      </c>
      <c r="G79" s="11" t="n">
        <f aca="false">SUM(J79:BN79)</f>
        <v>184.455221924845</v>
      </c>
      <c r="J79" s="11" t="n">
        <f aca="false">J20*(J70-J77-J78)</f>
        <v>0</v>
      </c>
      <c r="K79" s="11" t="n">
        <f aca="false">K20*(K70-K77-K78)</f>
        <v>0</v>
      </c>
      <c r="L79" s="11" t="n">
        <f aca="false">L20*(L70-L77-L78)</f>
        <v>0</v>
      </c>
      <c r="M79" s="11" t="n">
        <f aca="false">M20*(M70-M77-M78)</f>
        <v>0</v>
      </c>
      <c r="N79" s="11" t="n">
        <f aca="false">N20*(N70-N77-N78)</f>
        <v>0</v>
      </c>
      <c r="O79" s="11" t="n">
        <f aca="false">O20*(O70-O77-O78)</f>
        <v>0</v>
      </c>
      <c r="P79" s="11" t="n">
        <f aca="false">P20*(P70-P77-P78)</f>
        <v>0</v>
      </c>
      <c r="Q79" s="11" t="n">
        <f aca="false">Q20*(Q70-Q77-Q78)</f>
        <v>0</v>
      </c>
      <c r="R79" s="11" t="n">
        <f aca="false">R20*(R70-R77-R78)</f>
        <v>0</v>
      </c>
      <c r="S79" s="11" t="n">
        <f aca="false">S20*(S70-S77-S78)</f>
        <v>0</v>
      </c>
      <c r="T79" s="11" t="n">
        <f aca="false">T20*(T70-T77-T78)</f>
        <v>0</v>
      </c>
      <c r="U79" s="11" t="n">
        <f aca="false">U20*(U70-U77-U78)</f>
        <v>0</v>
      </c>
      <c r="V79" s="11" t="n">
        <f aca="false">V20*(V70-V77-V78)</f>
        <v>0</v>
      </c>
      <c r="W79" s="11" t="n">
        <f aca="false">W20*(W70-W77-W78)</f>
        <v>184.455221924845</v>
      </c>
      <c r="X79" s="11" t="n">
        <f aca="false">X20*(X70-X77-X78)</f>
        <v>0</v>
      </c>
      <c r="Y79" s="11" t="n">
        <f aca="false">Y20*(Y70-Y77-Y78)</f>
        <v>0</v>
      </c>
      <c r="Z79" s="11" t="n">
        <f aca="false">Z20*(Z70-Z77-Z78)</f>
        <v>0</v>
      </c>
      <c r="AA79" s="11" t="n">
        <f aca="false">AA20*(AA70-AA77-AA78)</f>
        <v>0</v>
      </c>
      <c r="AB79" s="11" t="n">
        <f aca="false">AB20*(AB70-AB77-AB78)</f>
        <v>0</v>
      </c>
      <c r="AC79" s="11" t="n">
        <f aca="false">AC20*(AC70-AC77-AC78)</f>
        <v>0</v>
      </c>
      <c r="AD79" s="11" t="n">
        <f aca="false">AD20*(AD70-AD77-AD78)</f>
        <v>0</v>
      </c>
      <c r="AE79" s="11" t="n">
        <f aca="false">AE20*(AE70-AE77-AE78)</f>
        <v>0</v>
      </c>
      <c r="AF79" s="11" t="n">
        <f aca="false">AF20*(AF70-AF77-AF78)</f>
        <v>0</v>
      </c>
      <c r="AG79" s="11" t="n">
        <f aca="false">AG20*(AG70-AG77-AG78)</f>
        <v>0</v>
      </c>
      <c r="AH79" s="11" t="n">
        <f aca="false">AH20*(AH70-AH77-AH78)</f>
        <v>0</v>
      </c>
      <c r="AI79" s="11" t="n">
        <f aca="false">AI20*(AI70-AI77-AI78)</f>
        <v>0</v>
      </c>
      <c r="AJ79" s="11" t="n">
        <f aca="false">AJ20*(AJ70-AJ77-AJ78)</f>
        <v>0</v>
      </c>
      <c r="AK79" s="11" t="n">
        <f aca="false">AK20*(AK70-AK77-AK78)</f>
        <v>0</v>
      </c>
      <c r="AL79" s="11" t="n">
        <f aca="false">AL20*(AL70-AL77-AL78)</f>
        <v>0</v>
      </c>
      <c r="AM79" s="11" t="n">
        <f aca="false">AM20*(AM70-AM77-AM78)</f>
        <v>0</v>
      </c>
      <c r="AN79" s="11" t="n">
        <f aca="false">AN20*(AN70-AN77-AN78)</f>
        <v>0</v>
      </c>
      <c r="AO79" s="11" t="n">
        <f aca="false">AO20*(AO70-AO77-AO78)</f>
        <v>0</v>
      </c>
      <c r="AP79" s="11" t="n">
        <f aca="false">AP20*(AP70-AP77-AP78)</f>
        <v>0</v>
      </c>
      <c r="AQ79" s="11" t="n">
        <f aca="false">AQ20*(AQ70-AQ77-AQ78)</f>
        <v>0</v>
      </c>
      <c r="AR79" s="11" t="n">
        <f aca="false">AR20*(AR70-AR77-AR78)</f>
        <v>0</v>
      </c>
      <c r="AS79" s="11" t="n">
        <f aca="false">AS20*(AS70-AS77-AS78)</f>
        <v>0</v>
      </c>
      <c r="AT79" s="11" t="n">
        <f aca="false">AT20*(AT70-AT77-AT78)</f>
        <v>0</v>
      </c>
      <c r="AU79" s="11" t="n">
        <f aca="false">AU20*(AU70-AU77-AU78)</f>
        <v>0</v>
      </c>
      <c r="AV79" s="11" t="n">
        <f aca="false">AV20*(AV70-AV77-AV78)</f>
        <v>0</v>
      </c>
      <c r="AW79" s="11" t="n">
        <f aca="false">AW20*(AW70-AW77-AW78)</f>
        <v>0</v>
      </c>
      <c r="AX79" s="11" t="n">
        <f aca="false">AX20*(AX70-AX77-AX78)</f>
        <v>0</v>
      </c>
      <c r="AY79" s="11" t="n">
        <f aca="false">AY20*(AY70-AY77-AY78)</f>
        <v>0</v>
      </c>
      <c r="AZ79" s="11" t="n">
        <f aca="false">AZ20*(AZ70-AZ77-AZ78)</f>
        <v>0</v>
      </c>
      <c r="BA79" s="11" t="n">
        <f aca="false">BA20*(BA70-BA77-BA78)</f>
        <v>0</v>
      </c>
      <c r="BB79" s="11" t="n">
        <f aca="false">BB20*(BB70-BB77-BB78)</f>
        <v>0</v>
      </c>
      <c r="BC79" s="11" t="n">
        <f aca="false">BC20*(BC70-BC77-BC78)</f>
        <v>0</v>
      </c>
      <c r="BD79" s="11" t="n">
        <f aca="false">BD20*(BD70-BD77-BD78)</f>
        <v>0</v>
      </c>
      <c r="BE79" s="11" t="n">
        <f aca="false">BE20*(BE70-BE77-BE78)</f>
        <v>0</v>
      </c>
      <c r="BF79" s="11" t="n">
        <f aca="false">BF20*(BF70-BF77-BF78)</f>
        <v>0</v>
      </c>
      <c r="BG79" s="11" t="n">
        <f aca="false">BG20*(BG70-BG77-BG78)</f>
        <v>0</v>
      </c>
      <c r="BH79" s="11" t="n">
        <f aca="false">BH20*(BH70-BH77-BH78)</f>
        <v>0</v>
      </c>
      <c r="BI79" s="11" t="n">
        <f aca="false">BI20*(BI70-BI77-BI78)</f>
        <v>0</v>
      </c>
      <c r="BJ79" s="11" t="n">
        <f aca="false">BJ20*(BJ70-BJ77-BJ78)</f>
        <v>0</v>
      </c>
      <c r="BK79" s="11" t="n">
        <f aca="false">BK20*(BK70-BK77-BK78)</f>
        <v>0</v>
      </c>
      <c r="BL79" s="11" t="n">
        <f aca="false">BL20*(BL70-BL77-BL78)</f>
        <v>0</v>
      </c>
      <c r="BM79" s="11" t="n">
        <f aca="false">BM20*(BM70-BM77-BM78)</f>
        <v>0</v>
      </c>
      <c r="BN79" s="11" t="n">
        <f aca="false">BN20*(BN70-BN77-BN78)</f>
        <v>0</v>
      </c>
    </row>
    <row r="80" customFormat="false" ht="15" hidden="false" customHeight="false" outlineLevel="0" collapsed="false">
      <c r="D80" s="0" t="s">
        <v>664</v>
      </c>
      <c r="E80" s="0" t="s">
        <v>149</v>
      </c>
      <c r="J80" s="11" t="n">
        <f aca="false">IF(J20=1,0,1)*(J71+J74-J76)</f>
        <v>0</v>
      </c>
      <c r="K80" s="11" t="n">
        <f aca="false">IF(K20=1,0,1)*(K71+K74-K76)</f>
        <v>0</v>
      </c>
      <c r="L80" s="11" t="n">
        <f aca="false">IF(L20=1,0,1)*(L71+L74-L76)</f>
        <v>0</v>
      </c>
      <c r="M80" s="11" t="n">
        <f aca="false">IF(M20=1,0,1)*(M71+M74-M76)</f>
        <v>0</v>
      </c>
      <c r="N80" s="11" t="n">
        <f aca="false">IF(N20=1,0,1)*(N71+N74-N76)</f>
        <v>0</v>
      </c>
      <c r="O80" s="11" t="n">
        <f aca="false">IF(O20=1,0,1)*(O71+O74-O76)</f>
        <v>0</v>
      </c>
      <c r="P80" s="11" t="n">
        <f aca="false">IF(P20=1,0,1)*(P71+P74-P76)</f>
        <v>0</v>
      </c>
      <c r="Q80" s="11" t="n">
        <f aca="false">IF(Q20=1,0,1)*(Q71+Q74-Q76)</f>
        <v>0</v>
      </c>
      <c r="R80" s="11" t="n">
        <f aca="false">IF(R20=1,0,1)*(R71+R74-R76)</f>
        <v>0</v>
      </c>
      <c r="S80" s="11" t="n">
        <f aca="false">IF(S20=1,0,1)*(S71+S74-S76)</f>
        <v>0</v>
      </c>
      <c r="T80" s="11" t="n">
        <f aca="false">IF(T20=1,0,1)*(T71+T74-T76)</f>
        <v>4.09221751631142</v>
      </c>
      <c r="U80" s="11" t="n">
        <f aca="false">IF(U20=1,0,1)*(U71+U74-U76)</f>
        <v>3.06916313723357</v>
      </c>
      <c r="V80" s="11" t="n">
        <f aca="false">IF(V20=1,0,1)*(V71+V74-V76)</f>
        <v>2.04610875815571</v>
      </c>
      <c r="W80" s="11" t="n">
        <f aca="false">IF(W20=1,0,1)*(W71+W74-W76)</f>
        <v>0</v>
      </c>
      <c r="X80" s="11" t="n">
        <f aca="false">IF(X20=1,0,1)*(X71+X74-X76)</f>
        <v>0</v>
      </c>
      <c r="Y80" s="11" t="n">
        <f aca="false">IF(Y20=1,0,1)*(Y71+Y74-Y76)</f>
        <v>0</v>
      </c>
      <c r="Z80" s="11" t="n">
        <f aca="false">IF(Z20=1,0,1)*(Z71+Z74-Z76)</f>
        <v>0</v>
      </c>
      <c r="AA80" s="11" t="n">
        <f aca="false">IF(AA20=1,0,1)*(AA71+AA74-AA76)</f>
        <v>0</v>
      </c>
      <c r="AB80" s="11" t="n">
        <f aca="false">IF(AB20=1,0,1)*(AB71+AB74-AB76)</f>
        <v>0</v>
      </c>
      <c r="AC80" s="11" t="n">
        <f aca="false">IF(AC20=1,0,1)*(AC71+AC74-AC76)</f>
        <v>0</v>
      </c>
      <c r="AD80" s="11" t="n">
        <f aca="false">IF(AD20=1,0,1)*(AD71+AD74-AD76)</f>
        <v>0</v>
      </c>
      <c r="AE80" s="11" t="n">
        <f aca="false">IF(AE20=1,0,1)*(AE71+AE74-AE76)</f>
        <v>0</v>
      </c>
      <c r="AF80" s="11" t="n">
        <f aca="false">IF(AF20=1,0,1)*(AF71+AF74-AF76)</f>
        <v>0</v>
      </c>
      <c r="AG80" s="11" t="n">
        <f aca="false">IF(AG20=1,0,1)*(AG71+AG74-AG76)</f>
        <v>0</v>
      </c>
      <c r="AH80" s="11" t="n">
        <f aca="false">IF(AH20=1,0,1)*(AH71+AH74-AH76)</f>
        <v>0</v>
      </c>
      <c r="AI80" s="11" t="n">
        <f aca="false">IF(AI20=1,0,1)*(AI71+AI74-AI76)</f>
        <v>0</v>
      </c>
      <c r="AJ80" s="11" t="n">
        <f aca="false">IF(AJ20=1,0,1)*(AJ71+AJ74-AJ76)</f>
        <v>0</v>
      </c>
      <c r="AK80" s="11" t="n">
        <f aca="false">IF(AK20=1,0,1)*(AK71+AK74-AK76)</f>
        <v>0</v>
      </c>
      <c r="AL80" s="11" t="n">
        <f aca="false">IF(AL20=1,0,1)*(AL71+AL74-AL76)</f>
        <v>0</v>
      </c>
      <c r="AM80" s="11" t="n">
        <f aca="false">IF(AM20=1,0,1)*(AM71+AM74-AM76)</f>
        <v>0</v>
      </c>
      <c r="AN80" s="11" t="n">
        <f aca="false">IF(AN20=1,0,1)*(AN71+AN74-AN76)</f>
        <v>0</v>
      </c>
      <c r="AO80" s="11" t="n">
        <f aca="false">IF(AO20=1,0,1)*(AO71+AO74-AO76)</f>
        <v>0</v>
      </c>
      <c r="AP80" s="11" t="n">
        <f aca="false">IF(AP20=1,0,1)*(AP71+AP74-AP76)</f>
        <v>0</v>
      </c>
      <c r="AQ80" s="11" t="n">
        <f aca="false">IF(AQ20=1,0,1)*(AQ71+AQ74-AQ76)</f>
        <v>0</v>
      </c>
      <c r="AR80" s="11" t="n">
        <f aca="false">IF(AR20=1,0,1)*(AR71+AR74-AR76)</f>
        <v>0</v>
      </c>
      <c r="AS80" s="11" t="n">
        <f aca="false">IF(AS20=1,0,1)*(AS71+AS74-AS76)</f>
        <v>0</v>
      </c>
      <c r="AT80" s="11" t="n">
        <f aca="false">IF(AT20=1,0,1)*(AT71+AT74-AT76)</f>
        <v>0</v>
      </c>
      <c r="AU80" s="11" t="n">
        <f aca="false">IF(AU20=1,0,1)*(AU71+AU74-AU76)</f>
        <v>0</v>
      </c>
      <c r="AV80" s="11" t="n">
        <f aca="false">IF(AV20=1,0,1)*(AV71+AV74-AV76)</f>
        <v>0</v>
      </c>
      <c r="AW80" s="11" t="n">
        <f aca="false">IF(AW20=1,0,1)*(AW71+AW74-AW76)</f>
        <v>0</v>
      </c>
      <c r="AX80" s="11" t="n">
        <f aca="false">IF(AX20=1,0,1)*(AX71+AX74-AX76)</f>
        <v>0</v>
      </c>
      <c r="AY80" s="11" t="n">
        <f aca="false">IF(AY20=1,0,1)*(AY71+AY74-AY76)</f>
        <v>0</v>
      </c>
      <c r="AZ80" s="11" t="n">
        <f aca="false">IF(AZ20=1,0,1)*(AZ71+AZ74-AZ76)</f>
        <v>0</v>
      </c>
      <c r="BA80" s="11" t="n">
        <f aca="false">IF(BA20=1,0,1)*(BA71+BA74-BA76)</f>
        <v>0</v>
      </c>
      <c r="BB80" s="11" t="n">
        <f aca="false">IF(BB20=1,0,1)*(BB71+BB74-BB76)</f>
        <v>0</v>
      </c>
      <c r="BC80" s="11" t="n">
        <f aca="false">IF(BC20=1,0,1)*(BC71+BC74-BC76)</f>
        <v>0</v>
      </c>
      <c r="BD80" s="11" t="n">
        <f aca="false">IF(BD20=1,0,1)*(BD71+BD74-BD76)</f>
        <v>0</v>
      </c>
      <c r="BE80" s="11" t="n">
        <f aca="false">IF(BE20=1,0,1)*(BE71+BE74-BE76)</f>
        <v>0</v>
      </c>
      <c r="BF80" s="11" t="n">
        <f aca="false">IF(BF20=1,0,1)*(BF71+BF74-BF76)</f>
        <v>0</v>
      </c>
      <c r="BG80" s="11" t="n">
        <f aca="false">IF(BG20=1,0,1)*(BG71+BG74-BG76)</f>
        <v>0</v>
      </c>
      <c r="BH80" s="11" t="n">
        <f aca="false">IF(BH20=1,0,1)*(BH71+BH74-BH76)</f>
        <v>0</v>
      </c>
      <c r="BI80" s="11" t="n">
        <f aca="false">IF(BI20=1,0,1)*(BI71+BI74-BI76)</f>
        <v>0</v>
      </c>
      <c r="BJ80" s="11" t="n">
        <f aca="false">IF(BJ20=1,0,1)*(BJ71+BJ74-BJ76)</f>
        <v>0</v>
      </c>
      <c r="BK80" s="11" t="n">
        <f aca="false">IF(BK20=1,0,1)*(BK71+BK74-BK76)</f>
        <v>0</v>
      </c>
      <c r="BL80" s="11" t="n">
        <f aca="false">IF(BL20=1,0,1)*(BL71+BL74-BL76)</f>
        <v>0</v>
      </c>
      <c r="BM80" s="11" t="n">
        <f aca="false">IF(BM20=1,0,1)*(BM71+BM74-BM76)</f>
        <v>0</v>
      </c>
      <c r="BN80" s="11" t="n">
        <f aca="false">IF(BN20=1,0,1)*(BN71+BN74-BN76)</f>
        <v>0</v>
      </c>
    </row>
    <row r="81" customFormat="false" ht="15" hidden="false" customHeight="false" outlineLevel="0" collapsed="false">
      <c r="D81" s="0" t="s">
        <v>665</v>
      </c>
      <c r="E81" s="0" t="s">
        <v>149</v>
      </c>
      <c r="J81" s="11" t="n">
        <f aca="false">J70-J77-J78-J79</f>
        <v>0</v>
      </c>
      <c r="K81" s="11" t="n">
        <f aca="false">K70-K77-K78-K79</f>
        <v>0</v>
      </c>
      <c r="L81" s="11" t="n">
        <f aca="false">L70-L77-L78-L79</f>
        <v>0</v>
      </c>
      <c r="M81" s="11" t="n">
        <f aca="false">M70-M77-M78-M79</f>
        <v>0</v>
      </c>
      <c r="N81" s="11" t="n">
        <f aca="false">N70-N77-N78-N79</f>
        <v>0</v>
      </c>
      <c r="O81" s="11" t="n">
        <f aca="false">O70-O77-O78-O79</f>
        <v>0</v>
      </c>
      <c r="P81" s="11" t="n">
        <f aca="false">P70-P77-P78-P79</f>
        <v>0</v>
      </c>
      <c r="Q81" s="11" t="n">
        <f aca="false">Q70-Q77-Q78-Q79</f>
        <v>225.133335871518</v>
      </c>
      <c r="R81" s="11" t="n">
        <f aca="false">R70-R77-R78-R79</f>
        <v>218.840241884545</v>
      </c>
      <c r="S81" s="11" t="n">
        <f aca="false">S70-S77-S78-S79</f>
        <v>212.325526075277</v>
      </c>
      <c r="T81" s="11" t="n">
        <f aca="false">T70-T77-T78-T79</f>
        <v>209.597381064403</v>
      </c>
      <c r="U81" s="11" t="n">
        <f aca="false">U70-U77-U78-U79</f>
        <v>201.564111563215</v>
      </c>
      <c r="V81" s="11" t="n">
        <f aca="false">V70-V77-V78-V79</f>
        <v>193.20993751015</v>
      </c>
      <c r="W81" s="11" t="n">
        <f aca="false">W70-W77-W78-W79</f>
        <v>0</v>
      </c>
      <c r="X81" s="11" t="n">
        <f aca="false">X70-X77-X78-X79</f>
        <v>0</v>
      </c>
      <c r="Y81" s="11" t="n">
        <f aca="false">Y70-Y77-Y78-Y79</f>
        <v>0</v>
      </c>
      <c r="Z81" s="11" t="n">
        <f aca="false">Z70-Z77-Z78-Z79</f>
        <v>0</v>
      </c>
      <c r="AA81" s="11" t="n">
        <f aca="false">AA70-AA77-AA78-AA79</f>
        <v>0</v>
      </c>
      <c r="AB81" s="11" t="n">
        <f aca="false">AB70-AB77-AB78-AB79</f>
        <v>0</v>
      </c>
      <c r="AC81" s="11" t="n">
        <f aca="false">AC70-AC77-AC78-AC79</f>
        <v>0</v>
      </c>
      <c r="AD81" s="11" t="n">
        <f aca="false">AD70-AD77-AD78-AD79</f>
        <v>0</v>
      </c>
      <c r="AE81" s="11" t="n">
        <f aca="false">AE70-AE77-AE78-AE79</f>
        <v>0</v>
      </c>
      <c r="AF81" s="11" t="n">
        <f aca="false">AF70-AF77-AF78-AF79</f>
        <v>0</v>
      </c>
      <c r="AG81" s="11" t="n">
        <f aca="false">AG70-AG77-AG78-AG79</f>
        <v>0</v>
      </c>
      <c r="AH81" s="11" t="n">
        <f aca="false">AH70-AH77-AH78-AH79</f>
        <v>0</v>
      </c>
      <c r="AI81" s="11" t="n">
        <f aca="false">AI70-AI77-AI78-AI79</f>
        <v>0</v>
      </c>
      <c r="AJ81" s="11" t="n">
        <f aca="false">AJ70-AJ77-AJ78-AJ79</f>
        <v>0</v>
      </c>
      <c r="AK81" s="11" t="n">
        <f aca="false">AK70-AK77-AK78-AK79</f>
        <v>0</v>
      </c>
      <c r="AL81" s="11" t="n">
        <f aca="false">AL70-AL77-AL78-AL79</f>
        <v>0</v>
      </c>
      <c r="AM81" s="11" t="n">
        <f aca="false">AM70-AM77-AM78-AM79</f>
        <v>0</v>
      </c>
      <c r="AN81" s="11" t="n">
        <f aca="false">AN70-AN77-AN78-AN79</f>
        <v>0</v>
      </c>
      <c r="AO81" s="11" t="n">
        <f aca="false">AO70-AO77-AO78-AO79</f>
        <v>0</v>
      </c>
      <c r="AP81" s="11" t="n">
        <f aca="false">AP70-AP77-AP78-AP79</f>
        <v>0</v>
      </c>
      <c r="AQ81" s="11" t="n">
        <f aca="false">AQ70-AQ77-AQ78-AQ79</f>
        <v>0</v>
      </c>
      <c r="AR81" s="11" t="n">
        <f aca="false">AR70-AR77-AR78-AR79</f>
        <v>0</v>
      </c>
      <c r="AS81" s="11" t="n">
        <f aca="false">AS70-AS77-AS78-AS79</f>
        <v>0</v>
      </c>
      <c r="AT81" s="11" t="n">
        <f aca="false">AT70-AT77-AT78-AT79</f>
        <v>0</v>
      </c>
      <c r="AU81" s="11" t="n">
        <f aca="false">AU70-AU77-AU78-AU79</f>
        <v>0</v>
      </c>
      <c r="AV81" s="11" t="n">
        <f aca="false">AV70-AV77-AV78-AV79</f>
        <v>0</v>
      </c>
      <c r="AW81" s="11" t="n">
        <f aca="false">AW70-AW77-AW78-AW79</f>
        <v>0</v>
      </c>
      <c r="AX81" s="11" t="n">
        <f aca="false">AX70-AX77-AX78-AX79</f>
        <v>0</v>
      </c>
      <c r="AY81" s="11" t="n">
        <f aca="false">AY70-AY77-AY78-AY79</f>
        <v>0</v>
      </c>
      <c r="AZ81" s="11" t="n">
        <f aca="false">AZ70-AZ77-AZ78-AZ79</f>
        <v>0</v>
      </c>
      <c r="BA81" s="11" t="n">
        <f aca="false">BA70-BA77-BA78-BA79</f>
        <v>0</v>
      </c>
      <c r="BB81" s="11" t="n">
        <f aca="false">BB70-BB77-BB78-BB79</f>
        <v>0</v>
      </c>
      <c r="BC81" s="11" t="n">
        <f aca="false">BC70-BC77-BC78-BC79</f>
        <v>0</v>
      </c>
      <c r="BD81" s="11" t="n">
        <f aca="false">BD70-BD77-BD78-BD79</f>
        <v>0</v>
      </c>
      <c r="BE81" s="11" t="n">
        <f aca="false">BE70-BE77-BE78-BE79</f>
        <v>0</v>
      </c>
      <c r="BF81" s="11" t="n">
        <f aca="false">BF70-BF77-BF78-BF79</f>
        <v>0</v>
      </c>
      <c r="BG81" s="11" t="n">
        <f aca="false">BG70-BG77-BG78-BG79</f>
        <v>0</v>
      </c>
      <c r="BH81" s="11" t="n">
        <f aca="false">BH70-BH77-BH78-BH79</f>
        <v>0</v>
      </c>
      <c r="BI81" s="11" t="n">
        <f aca="false">BI70-BI77-BI78-BI79</f>
        <v>0</v>
      </c>
      <c r="BJ81" s="11" t="n">
        <f aca="false">BJ70-BJ77-BJ78-BJ79</f>
        <v>0</v>
      </c>
      <c r="BK81" s="11" t="n">
        <f aca="false">BK70-BK77-BK78-BK79</f>
        <v>0</v>
      </c>
      <c r="BL81" s="11" t="n">
        <f aca="false">BL70-BL77-BL78-BL79</f>
        <v>0</v>
      </c>
      <c r="BM81" s="11" t="n">
        <f aca="false">BM70-BM77-BM78-BM79</f>
        <v>0</v>
      </c>
      <c r="BN81" s="11" t="n">
        <f aca="false">BN70-BN77-BN78-BN79</f>
        <v>0</v>
      </c>
    </row>
    <row r="82" customFormat="false" ht="15" hidden="false" customHeight="false" outlineLevel="0" collapsed="false">
      <c r="D82" s="0" t="s">
        <v>666</v>
      </c>
      <c r="E82" s="0" t="s">
        <v>149</v>
      </c>
      <c r="G82" s="11" t="n">
        <f aca="false">SUM(J82:BN82)</f>
        <v>0</v>
      </c>
      <c r="J82" s="11" t="n">
        <f aca="false">Waterfall!J28*J81/(J36+J51+J66+J81+J96+0.000000001)+Waterfall!J29</f>
        <v>0</v>
      </c>
      <c r="K82" s="11" t="n">
        <f aca="false">Waterfall!K28*K81/(K36+K51+K66+K81+K96+0.000000001)+Waterfall!K29</f>
        <v>0</v>
      </c>
      <c r="L82" s="11" t="n">
        <f aca="false">Waterfall!L28*L81/(L36+L51+L66+L81+L96+0.000000001)+Waterfall!L29</f>
        <v>0</v>
      </c>
      <c r="M82" s="11" t="n">
        <f aca="false">Waterfall!M28*M81/(M36+M51+M66+M81+M96+0.000000001)+Waterfall!M29</f>
        <v>0</v>
      </c>
      <c r="N82" s="11" t="n">
        <f aca="false">Waterfall!N28*N81/(N36+N51+N66+N81+N96+0.000000001)+Waterfall!N29</f>
        <v>0</v>
      </c>
      <c r="O82" s="11" t="n">
        <f aca="false">Waterfall!O28*O81/(O36+O51+O66+O81+O96+0.000000001)+Waterfall!O29</f>
        <v>0</v>
      </c>
      <c r="P82" s="11" t="n">
        <f aca="false">Waterfall!P28*P81/(P36+P51+P66+P81+P96+0.000000001)+Waterfall!P29</f>
        <v>0</v>
      </c>
      <c r="Q82" s="11" t="n">
        <f aca="false">Waterfall!Q28*Q81/(Q36+Q51+Q66+Q81+Q96+0.000000001)+Waterfall!Q29</f>
        <v>0</v>
      </c>
      <c r="R82" s="11" t="n">
        <f aca="false">Waterfall!R28*R81/(R36+R51+R66+R81+R96+0.000000001)+Waterfall!R29</f>
        <v>0</v>
      </c>
      <c r="S82" s="11" t="n">
        <f aca="false">Waterfall!S28*S81/(S36+S51+S66+S81+S96+0.000000001)+Waterfall!S29</f>
        <v>0</v>
      </c>
      <c r="T82" s="11" t="n">
        <f aca="false">Waterfall!T28*T81/(T36+T51+T66+T81+T96+0.000000001)+Waterfall!T29</f>
        <v>0</v>
      </c>
      <c r="U82" s="11" t="n">
        <f aca="false">Waterfall!U28*U81/(U36+U51+U66+U81+U96+0.000000001)+Waterfall!U29</f>
        <v>0</v>
      </c>
      <c r="V82" s="11" t="n">
        <f aca="false">Waterfall!V28*V81/(V36+V51+V66+V81+V96+0.000000001)+Waterfall!V29</f>
        <v>0</v>
      </c>
      <c r="W82" s="11" t="n">
        <f aca="false">Waterfall!W28*W81/(W36+W51+W66+W81+W96+0.000000001)+Waterfall!W29</f>
        <v>0</v>
      </c>
      <c r="X82" s="11" t="n">
        <f aca="false">Waterfall!X28*X81/(X36+X51+X66+X81+X96+0.000000001)+Waterfall!X29</f>
        <v>0</v>
      </c>
      <c r="Y82" s="11" t="n">
        <f aca="false">Waterfall!Y28*Y81/(Y36+Y51+Y66+Y81+Y96+0.000000001)+Waterfall!Y29</f>
        <v>0</v>
      </c>
      <c r="Z82" s="11" t="n">
        <f aca="false">Waterfall!Z28*Z81/(Z36+Z51+Z66+Z81+Z96+0.000000001)+Waterfall!Z29</f>
        <v>0</v>
      </c>
      <c r="AA82" s="11" t="n">
        <f aca="false">Waterfall!AA28*AA81/(AA36+AA51+AA66+AA81+AA96+0.000000001)+Waterfall!AA29</f>
        <v>0</v>
      </c>
      <c r="AB82" s="11" t="n">
        <f aca="false">Waterfall!AB28*AB81/(AB36+AB51+AB66+AB81+AB96+0.000000001)+Waterfall!AB29</f>
        <v>0</v>
      </c>
      <c r="AC82" s="11" t="n">
        <f aca="false">Waterfall!AC28*AC81/(AC36+AC51+AC66+AC81+AC96+0.000000001)+Waterfall!AC29</f>
        <v>0</v>
      </c>
      <c r="AD82" s="11" t="n">
        <f aca="false">Waterfall!AD28*AD81/(AD36+AD51+AD66+AD81+AD96+0.000000001)+Waterfall!AD29</f>
        <v>0</v>
      </c>
      <c r="AE82" s="11" t="n">
        <f aca="false">Waterfall!AE28*AE81/(AE36+AE51+AE66+AE81+AE96+0.000000001)+Waterfall!AE29</f>
        <v>0</v>
      </c>
      <c r="AF82" s="11" t="n">
        <f aca="false">Waterfall!AF28*AF81/(AF36+AF51+AF66+AF81+AF96+0.000000001)+Waterfall!AF29</f>
        <v>0</v>
      </c>
      <c r="AG82" s="11" t="n">
        <f aca="false">Waterfall!AG28*AG81/(AG36+AG51+AG66+AG81+AG96+0.000000001)+Waterfall!AG29</f>
        <v>0</v>
      </c>
      <c r="AH82" s="11" t="n">
        <f aca="false">Waterfall!AH28*AH81/(AH36+AH51+AH66+AH81+AH96+0.000000001)+Waterfall!AH29</f>
        <v>0</v>
      </c>
      <c r="AI82" s="11" t="n">
        <f aca="false">Waterfall!AI28*AI81/(AI36+AI51+AI66+AI81+AI96+0.000000001)+Waterfall!AI29</f>
        <v>0</v>
      </c>
      <c r="AJ82" s="11" t="n">
        <f aca="false">Waterfall!AJ28*AJ81/(AJ36+AJ51+AJ66+AJ81+AJ96+0.000000001)+Waterfall!AJ29</f>
        <v>0</v>
      </c>
      <c r="AK82" s="11" t="n">
        <f aca="false">Waterfall!AK28*AK81/(AK36+AK51+AK66+AK81+AK96+0.000000001)+Waterfall!AK29</f>
        <v>0</v>
      </c>
      <c r="AL82" s="11" t="n">
        <f aca="false">Waterfall!AL28*AL81/(AL36+AL51+AL66+AL81+AL96+0.000000001)+Waterfall!AL29</f>
        <v>0</v>
      </c>
      <c r="AM82" s="11" t="n">
        <f aca="false">Waterfall!AM28*AM81/(AM36+AM51+AM66+AM81+AM96+0.000000001)+Waterfall!AM29</f>
        <v>0</v>
      </c>
      <c r="AN82" s="11" t="n">
        <f aca="false">Waterfall!AN28*AN81/(AN36+AN51+AN66+AN81+AN96+0.000000001)+Waterfall!AN29</f>
        <v>0</v>
      </c>
      <c r="AO82" s="11" t="n">
        <f aca="false">Waterfall!AO28*AO81/(AO36+AO51+AO66+AO81+AO96+0.000000001)+Waterfall!AO29</f>
        <v>0</v>
      </c>
      <c r="AP82" s="11" t="n">
        <f aca="false">Waterfall!AP28*AP81/(AP36+AP51+AP66+AP81+AP96+0.000000001)+Waterfall!AP29</f>
        <v>0</v>
      </c>
      <c r="AQ82" s="11" t="n">
        <f aca="false">Waterfall!AQ28*AQ81/(AQ36+AQ51+AQ66+AQ81+AQ96+0.000000001)+Waterfall!AQ29</f>
        <v>0</v>
      </c>
      <c r="AR82" s="11" t="n">
        <f aca="false">Waterfall!AR28*AR81/(AR36+AR51+AR66+AR81+AR96+0.000000001)+Waterfall!AR29</f>
        <v>0</v>
      </c>
      <c r="AS82" s="11" t="n">
        <f aca="false">Waterfall!AS28*AS81/(AS36+AS51+AS66+AS81+AS96+0.000000001)+Waterfall!AS29</f>
        <v>0</v>
      </c>
      <c r="AT82" s="11" t="n">
        <f aca="false">Waterfall!AT28*AT81/(AT36+AT51+AT66+AT81+AT96+0.000000001)+Waterfall!AT29</f>
        <v>0</v>
      </c>
      <c r="AU82" s="11" t="n">
        <f aca="false">Waterfall!AU28*AU81/(AU36+AU51+AU66+AU81+AU96+0.000000001)+Waterfall!AU29</f>
        <v>0</v>
      </c>
      <c r="AV82" s="11" t="n">
        <f aca="false">Waterfall!AV28*AV81/(AV36+AV51+AV66+AV81+AV96+0.000000001)+Waterfall!AV29</f>
        <v>0</v>
      </c>
      <c r="AW82" s="11" t="n">
        <f aca="false">Waterfall!AW28*AW81/(AW36+AW51+AW66+AW81+AW96+0.000000001)+Waterfall!AW29</f>
        <v>0</v>
      </c>
      <c r="AX82" s="11" t="n">
        <f aca="false">Waterfall!AX28*AX81/(AX36+AX51+AX66+AX81+AX96+0.000000001)+Waterfall!AX29</f>
        <v>0</v>
      </c>
      <c r="AY82" s="11" t="n">
        <f aca="false">Waterfall!AY28*AY81/(AY36+AY51+AY66+AY81+AY96+0.000000001)+Waterfall!AY29</f>
        <v>0</v>
      </c>
      <c r="AZ82" s="11" t="n">
        <f aca="false">Waterfall!AZ28*AZ81/(AZ36+AZ51+AZ66+AZ81+AZ96+0.000000001)+Waterfall!AZ29</f>
        <v>0</v>
      </c>
      <c r="BA82" s="11" t="n">
        <f aca="false">Waterfall!BA28*BA81/(BA36+BA51+BA66+BA81+BA96+0.000000001)+Waterfall!BA29</f>
        <v>0</v>
      </c>
      <c r="BB82" s="11" t="n">
        <f aca="false">Waterfall!BB28*BB81/(BB36+BB51+BB66+BB81+BB96+0.000000001)+Waterfall!BB29</f>
        <v>0</v>
      </c>
      <c r="BC82" s="11" t="n">
        <f aca="false">Waterfall!BC28*BC81/(BC36+BC51+BC66+BC81+BC96+0.000000001)+Waterfall!BC29</f>
        <v>0</v>
      </c>
      <c r="BD82" s="11" t="n">
        <f aca="false">Waterfall!BD28*BD81/(BD36+BD51+BD66+BD81+BD96+0.000000001)+Waterfall!BD29</f>
        <v>0</v>
      </c>
      <c r="BE82" s="11" t="n">
        <f aca="false">Waterfall!BE28*BE81/(BE36+BE51+BE66+BE81+BE96+0.000000001)+Waterfall!BE29</f>
        <v>0</v>
      </c>
      <c r="BF82" s="11" t="n">
        <f aca="false">Waterfall!BF28*BF81/(BF36+BF51+BF66+BF81+BF96+0.000000001)+Waterfall!BF29</f>
        <v>0</v>
      </c>
      <c r="BG82" s="11" t="n">
        <f aca="false">Waterfall!BG28*BG81/(BG36+BG51+BG66+BG81+BG96+0.000000001)+Waterfall!BG29</f>
        <v>0</v>
      </c>
      <c r="BH82" s="11" t="n">
        <f aca="false">Waterfall!BH28*BH81/(BH36+BH51+BH66+BH81+BH96+0.000000001)+Waterfall!BH29</f>
        <v>0</v>
      </c>
      <c r="BI82" s="11" t="n">
        <f aca="false">Waterfall!BI28*BI81/(BI36+BI51+BI66+BI81+BI96+0.000000001)+Waterfall!BI29</f>
        <v>0</v>
      </c>
      <c r="BJ82" s="11" t="n">
        <f aca="false">Waterfall!BJ28*BJ81/(BJ36+BJ51+BJ66+BJ81+BJ96+0.000000001)+Waterfall!BJ29</f>
        <v>0</v>
      </c>
      <c r="BK82" s="11" t="n">
        <f aca="false">Waterfall!BK28*BK81/(BK36+BK51+BK66+BK81+BK96+0.000000001)+Waterfall!BK29</f>
        <v>0</v>
      </c>
      <c r="BL82" s="11" t="n">
        <f aca="false">Waterfall!BL28*BL81/(BL36+BL51+BL66+BL81+BL96+0.000000001)+Waterfall!BL29</f>
        <v>0</v>
      </c>
      <c r="BM82" s="11" t="n">
        <f aca="false">Waterfall!BM28*BM81/(BM36+BM51+BM66+BM81+BM96+0.000000001)+Waterfall!BM29</f>
        <v>0</v>
      </c>
      <c r="BN82" s="11" t="n">
        <f aca="false">Waterfall!BN28*BN81/(BN36+BN51+BN66+BN81+BN96+0.000000001)+Waterfall!BN29</f>
        <v>0</v>
      </c>
    </row>
    <row r="83" customFormat="false" ht="15" hidden="false" customHeight="false" outlineLevel="0" collapsed="false">
      <c r="D83" s="0" t="s">
        <v>667</v>
      </c>
      <c r="E83" s="0" t="s">
        <v>149</v>
      </c>
      <c r="J83" s="11" t="n">
        <f aca="false">IF(Time!J29=1,INDEX(Funding!$J$64:$BJ$64,1,Time!$F$13),Time!J30*(J81-J82))</f>
        <v>0</v>
      </c>
      <c r="K83" s="11" t="n">
        <f aca="false">IF(Time!K29=1,INDEX(Funding!$J$64:$BJ$64,1,Time!$F$13),Time!K30*(K81-K82))</f>
        <v>0</v>
      </c>
      <c r="L83" s="11" t="n">
        <f aca="false">IF(Time!L29=1,INDEX(Funding!$J$64:$BJ$64,1,Time!$F$13),Time!L30*(L81-L82))</f>
        <v>0</v>
      </c>
      <c r="M83" s="11" t="n">
        <f aca="false">IF(Time!M29=1,INDEX(Funding!$J$64:$BJ$64,1,Time!$F$13),Time!M30*(M81-M82))</f>
        <v>0</v>
      </c>
      <c r="N83" s="11" t="n">
        <f aca="false">IF(Time!N29=1,INDEX(Funding!$J$64:$BJ$64,1,Time!$F$13),Time!N30*(N81-N82))</f>
        <v>0</v>
      </c>
      <c r="O83" s="11" t="n">
        <f aca="false">IF(Time!O29=1,INDEX(Funding!$J$64:$BJ$64,1,Time!$F$13),Time!O30*(O81-O82))</f>
        <v>0</v>
      </c>
      <c r="P83" s="11" t="n">
        <f aca="false">IF(Time!P29=1,INDEX(Funding!$J$64:$BJ$64,1,Time!$F$13),Time!P30*(P81-P82))</f>
        <v>238.228063194929</v>
      </c>
      <c r="Q83" s="11" t="n">
        <f aca="false">IF(Time!Q29=1,INDEX(Funding!$J$64:$BJ$64,1,Time!$F$13),Time!Q30*(Q81-Q82))</f>
        <v>225.133335871518</v>
      </c>
      <c r="R83" s="11" t="n">
        <f aca="false">IF(Time!R29=1,INDEX(Funding!$J$64:$BJ$64,1,Time!$F$13),Time!R30*(R81-R82))</f>
        <v>218.840241884545</v>
      </c>
      <c r="S83" s="11" t="n">
        <f aca="false">IF(Time!S29=1,INDEX(Funding!$J$64:$BJ$64,1,Time!$F$13),Time!S30*(S81-S82))</f>
        <v>212.325526075277</v>
      </c>
      <c r="T83" s="11" t="n">
        <f aca="false">IF(Time!T29=1,INDEX(Funding!$J$64:$BJ$64,1,Time!$F$13),Time!T30*(T81-T82))</f>
        <v>209.597381064403</v>
      </c>
      <c r="U83" s="11" t="n">
        <f aca="false">IF(Time!U29=1,INDEX(Funding!$J$64:$BJ$64,1,Time!$F$13),Time!U30*(U81-U82))</f>
        <v>201.564111563215</v>
      </c>
      <c r="V83" s="11" t="n">
        <f aca="false">IF(Time!V29=1,INDEX(Funding!$J$64:$BJ$64,1,Time!$F$13),Time!V30*(V81-V82))</f>
        <v>193.20993751015</v>
      </c>
      <c r="W83" s="11" t="n">
        <f aca="false">IF(Time!W29=1,INDEX(Funding!$J$64:$BJ$64,1,Time!$F$13),Time!W30*(W81-W82))</f>
        <v>0</v>
      </c>
      <c r="X83" s="11" t="n">
        <f aca="false">IF(Time!X29=1,INDEX(Funding!$J$64:$BJ$64,1,Time!$F$13),Time!X30*(X81-X82))</f>
        <v>0</v>
      </c>
      <c r="Y83" s="11" t="n">
        <f aca="false">IF(Time!Y29=1,INDEX(Funding!$J$64:$BJ$64,1,Time!$F$13),Time!Y30*(Y81-Y82))</f>
        <v>0</v>
      </c>
      <c r="Z83" s="11" t="n">
        <f aca="false">IF(Time!Z29=1,INDEX(Funding!$J$64:$BJ$64,1,Time!$F$13),Time!Z30*(Z81-Z82))</f>
        <v>0</v>
      </c>
      <c r="AA83" s="11" t="n">
        <f aca="false">IF(Time!AA29=1,INDEX(Funding!$J$64:$BJ$64,1,Time!$F$13),Time!AA30*(AA81-AA82))</f>
        <v>0</v>
      </c>
      <c r="AB83" s="11" t="n">
        <f aca="false">IF(Time!AB29=1,INDEX(Funding!$J$64:$BJ$64,1,Time!$F$13),Time!AB30*(AB81-AB82))</f>
        <v>0</v>
      </c>
      <c r="AC83" s="11" t="n">
        <f aca="false">IF(Time!AC29=1,INDEX(Funding!$J$64:$BJ$64,1,Time!$F$13),Time!AC30*(AC81-AC82))</f>
        <v>0</v>
      </c>
      <c r="AD83" s="11" t="n">
        <f aca="false">IF(Time!AD29=1,INDEX(Funding!$J$64:$BJ$64,1,Time!$F$13),Time!AD30*(AD81-AD82))</f>
        <v>0</v>
      </c>
      <c r="AE83" s="11" t="n">
        <f aca="false">IF(Time!AE29=1,INDEX(Funding!$J$64:$BJ$64,1,Time!$F$13),Time!AE30*(AE81-AE82))</f>
        <v>0</v>
      </c>
      <c r="AF83" s="11" t="n">
        <f aca="false">IF(Time!AF29=1,INDEX(Funding!$J$64:$BJ$64,1,Time!$F$13),Time!AF30*(AF81-AF82))</f>
        <v>0</v>
      </c>
      <c r="AG83" s="11" t="n">
        <f aca="false">IF(Time!AG29=1,INDEX(Funding!$J$64:$BJ$64,1,Time!$F$13),Time!AG30*(AG81-AG82))</f>
        <v>0</v>
      </c>
      <c r="AH83" s="11" t="n">
        <f aca="false">IF(Time!AH29=1,INDEX(Funding!$J$64:$BJ$64,1,Time!$F$13),Time!AH30*(AH81-AH82))</f>
        <v>0</v>
      </c>
      <c r="AI83" s="11" t="n">
        <f aca="false">IF(Time!AI29=1,INDEX(Funding!$J$64:$BJ$64,1,Time!$F$13),Time!AI30*(AI81-AI82))</f>
        <v>0</v>
      </c>
      <c r="AJ83" s="11" t="n">
        <f aca="false">IF(Time!AJ29=1,INDEX(Funding!$J$64:$BJ$64,1,Time!$F$13),Time!AJ30*(AJ81-AJ82))</f>
        <v>0</v>
      </c>
      <c r="AK83" s="11" t="n">
        <f aca="false">IF(Time!AK29=1,INDEX(Funding!$J$64:$BJ$64,1,Time!$F$13),Time!AK30*(AK81-AK82))</f>
        <v>0</v>
      </c>
      <c r="AL83" s="11" t="n">
        <f aca="false">IF(Time!AL29=1,INDEX(Funding!$J$64:$BJ$64,1,Time!$F$13),Time!AL30*(AL81-AL82))</f>
        <v>0</v>
      </c>
      <c r="AM83" s="11" t="n">
        <f aca="false">IF(Time!AM29=1,INDEX(Funding!$J$64:$BJ$64,1,Time!$F$13),Time!AM30*(AM81-AM82))</f>
        <v>0</v>
      </c>
      <c r="AN83" s="11" t="n">
        <f aca="false">IF(Time!AN29=1,INDEX(Funding!$J$64:$BJ$64,1,Time!$F$13),Time!AN30*(AN81-AN82))</f>
        <v>0</v>
      </c>
      <c r="AO83" s="11" t="n">
        <f aca="false">IF(Time!AO29=1,INDEX(Funding!$J$64:$BJ$64,1,Time!$F$13),Time!AO30*(AO81-AO82))</f>
        <v>0</v>
      </c>
      <c r="AP83" s="11" t="n">
        <f aca="false">IF(Time!AP29=1,INDEX(Funding!$J$64:$BJ$64,1,Time!$F$13),Time!AP30*(AP81-AP82))</f>
        <v>0</v>
      </c>
      <c r="AQ83" s="11" t="n">
        <f aca="false">IF(Time!AQ29=1,INDEX(Funding!$J$64:$BJ$64,1,Time!$F$13),Time!AQ30*(AQ81-AQ82))</f>
        <v>0</v>
      </c>
      <c r="AR83" s="11" t="n">
        <f aca="false">IF(Time!AR29=1,INDEX(Funding!$J$64:$BJ$64,1,Time!$F$13),Time!AR30*(AR81-AR82))</f>
        <v>0</v>
      </c>
      <c r="AS83" s="11" t="n">
        <f aca="false">IF(Time!AS29=1,INDEX(Funding!$J$64:$BJ$64,1,Time!$F$13),Time!AS30*(AS81-AS82))</f>
        <v>0</v>
      </c>
      <c r="AT83" s="11" t="n">
        <f aca="false">IF(Time!AT29=1,INDEX(Funding!$J$64:$BJ$64,1,Time!$F$13),Time!AT30*(AT81-AT82))</f>
        <v>0</v>
      </c>
      <c r="AU83" s="11" t="n">
        <f aca="false">IF(Time!AU29=1,INDEX(Funding!$J$64:$BJ$64,1,Time!$F$13),Time!AU30*(AU81-AU82))</f>
        <v>0</v>
      </c>
      <c r="AV83" s="11" t="n">
        <f aca="false">IF(Time!AV29=1,INDEX(Funding!$J$64:$BJ$64,1,Time!$F$13),Time!AV30*(AV81-AV82))</f>
        <v>0</v>
      </c>
      <c r="AW83" s="11" t="n">
        <f aca="false">IF(Time!AW29=1,INDEX(Funding!$J$64:$BJ$64,1,Time!$F$13),Time!AW30*(AW81-AW82))</f>
        <v>0</v>
      </c>
      <c r="AX83" s="11" t="n">
        <f aca="false">IF(Time!AX29=1,INDEX(Funding!$J$64:$BJ$64,1,Time!$F$13),Time!AX30*(AX81-AX82))</f>
        <v>0</v>
      </c>
      <c r="AY83" s="11" t="n">
        <f aca="false">IF(Time!AY29=1,INDEX(Funding!$J$64:$BJ$64,1,Time!$F$13),Time!AY30*(AY81-AY82))</f>
        <v>0</v>
      </c>
      <c r="AZ83" s="11" t="n">
        <f aca="false">IF(Time!AZ29=1,INDEX(Funding!$J$64:$BJ$64,1,Time!$F$13),Time!AZ30*(AZ81-AZ82))</f>
        <v>0</v>
      </c>
      <c r="BA83" s="11" t="n">
        <f aca="false">IF(Time!BA29=1,INDEX(Funding!$J$64:$BJ$64,1,Time!$F$13),Time!BA30*(BA81-BA82))</f>
        <v>0</v>
      </c>
      <c r="BB83" s="11" t="n">
        <f aca="false">IF(Time!BB29=1,INDEX(Funding!$J$64:$BJ$64,1,Time!$F$13),Time!BB30*(BB81-BB82))</f>
        <v>0</v>
      </c>
      <c r="BC83" s="11" t="n">
        <f aca="false">IF(Time!BC29=1,INDEX(Funding!$J$64:$BJ$64,1,Time!$F$13),Time!BC30*(BC81-BC82))</f>
        <v>0</v>
      </c>
      <c r="BD83" s="11" t="n">
        <f aca="false">IF(Time!BD29=1,INDEX(Funding!$J$64:$BJ$64,1,Time!$F$13),Time!BD30*(BD81-BD82))</f>
        <v>0</v>
      </c>
      <c r="BE83" s="11" t="n">
        <f aca="false">IF(Time!BE29=1,INDEX(Funding!$J$64:$BJ$64,1,Time!$F$13),Time!BE30*(BE81-BE82))</f>
        <v>0</v>
      </c>
      <c r="BF83" s="11" t="n">
        <f aca="false">IF(Time!BF29=1,INDEX(Funding!$J$64:$BJ$64,1,Time!$F$13),Time!BF30*(BF81-BF82))</f>
        <v>0</v>
      </c>
      <c r="BG83" s="11" t="n">
        <f aca="false">IF(Time!BG29=1,INDEX(Funding!$J$64:$BJ$64,1,Time!$F$13),Time!BG30*(BG81-BG82))</f>
        <v>0</v>
      </c>
      <c r="BH83" s="11" t="n">
        <f aca="false">IF(Time!BH29=1,INDEX(Funding!$J$64:$BJ$64,1,Time!$F$13),Time!BH30*(BH81-BH82))</f>
        <v>0</v>
      </c>
      <c r="BI83" s="11" t="n">
        <f aca="false">IF(Time!BI29=1,INDEX(Funding!$J$64:$BJ$64,1,Time!$F$13),Time!BI30*(BI81-BI82))</f>
        <v>0</v>
      </c>
      <c r="BJ83" s="11" t="n">
        <f aca="false">IF(Time!BJ29=1,INDEX(Funding!$J$64:$BJ$64,1,Time!$F$13),Time!BJ30*(BJ81-BJ82))</f>
        <v>0</v>
      </c>
      <c r="BK83" s="11" t="n">
        <f aca="false">IF(Time!BK29=1,INDEX(Funding!$J$64:$BJ$64,1,Time!$F$13),Time!BK30*(BK81-BK82))</f>
        <v>0</v>
      </c>
      <c r="BL83" s="11" t="n">
        <f aca="false">IF(Time!BL29=1,INDEX(Funding!$J$64:$BJ$64,1,Time!$F$13),Time!BL30*(BL81-BL82))</f>
        <v>0</v>
      </c>
      <c r="BM83" s="11" t="n">
        <f aca="false">IF(Time!BM29=1,INDEX(Funding!$J$64:$BJ$64,1,Time!$F$13),Time!BM30*(BM81-BM82))</f>
        <v>0</v>
      </c>
      <c r="BN83" s="11" t="n">
        <f aca="false">IF(Time!BN29=1,INDEX(Funding!$J$64:$BJ$64,1,Time!$F$13),Time!BN30*(BN81-BN82))</f>
        <v>0</v>
      </c>
    </row>
    <row r="84" customFormat="false" ht="15" hidden="false" customHeight="false" outlineLevel="0" collapsed="false">
      <c r="B84" s="2" t="s">
        <v>194</v>
      </c>
    </row>
    <row r="85" customFormat="false" ht="15" hidden="false" customHeight="false" outlineLevel="0" collapsed="false">
      <c r="D85" s="0" t="s">
        <v>654</v>
      </c>
      <c r="E85" s="0" t="s">
        <v>149</v>
      </c>
      <c r="J85" s="11" t="n">
        <f aca="false">Time!J30*0</f>
        <v>0</v>
      </c>
      <c r="K85" s="11" t="n">
        <f aca="false">Time!K30*J98</f>
        <v>0</v>
      </c>
      <c r="L85" s="11" t="n">
        <f aca="false">Time!L30*K98</f>
        <v>0</v>
      </c>
      <c r="M85" s="11" t="n">
        <f aca="false">Time!M30*L98</f>
        <v>0</v>
      </c>
      <c r="N85" s="11" t="n">
        <f aca="false">Time!N30*M98</f>
        <v>0</v>
      </c>
      <c r="O85" s="11" t="n">
        <f aca="false">Time!O30*N98</f>
        <v>0</v>
      </c>
      <c r="P85" s="11" t="n">
        <f aca="false">Time!P30*O98</f>
        <v>0</v>
      </c>
      <c r="Q85" s="11" t="n">
        <f aca="false">Time!Q30*P98</f>
        <v>0</v>
      </c>
      <c r="R85" s="11" t="n">
        <f aca="false">Time!R30*Q98</f>
        <v>0</v>
      </c>
      <c r="S85" s="11" t="n">
        <f aca="false">Time!S30*R98</f>
        <v>0</v>
      </c>
      <c r="T85" s="11" t="n">
        <f aca="false">Time!T30*S98</f>
        <v>0</v>
      </c>
      <c r="U85" s="11" t="n">
        <f aca="false">Time!U30*T98</f>
        <v>0</v>
      </c>
      <c r="V85" s="11" t="n">
        <f aca="false">Time!V30*U98</f>
        <v>0</v>
      </c>
      <c r="W85" s="11" t="n">
        <f aca="false">Time!W30*V98</f>
        <v>0</v>
      </c>
      <c r="X85" s="11" t="n">
        <f aca="false">Time!X30*W98</f>
        <v>0</v>
      </c>
      <c r="Y85" s="11" t="n">
        <f aca="false">Time!Y30*X98</f>
        <v>0</v>
      </c>
      <c r="Z85" s="11" t="n">
        <f aca="false">Time!Z30*Y98</f>
        <v>0</v>
      </c>
      <c r="AA85" s="11" t="n">
        <f aca="false">Time!AA30*Z98</f>
        <v>0</v>
      </c>
      <c r="AB85" s="11" t="n">
        <f aca="false">Time!AB30*AA98</f>
        <v>0</v>
      </c>
      <c r="AC85" s="11" t="n">
        <f aca="false">Time!AC30*AB98</f>
        <v>0</v>
      </c>
      <c r="AD85" s="11" t="n">
        <f aca="false">Time!AD30*AC98</f>
        <v>0</v>
      </c>
      <c r="AE85" s="11" t="n">
        <f aca="false">Time!AE30*AD98</f>
        <v>0</v>
      </c>
      <c r="AF85" s="11" t="n">
        <f aca="false">Time!AF30*AE98</f>
        <v>0</v>
      </c>
      <c r="AG85" s="11" t="n">
        <f aca="false">Time!AG30*AF98</f>
        <v>0</v>
      </c>
      <c r="AH85" s="11" t="n">
        <f aca="false">Time!AH30*AG98</f>
        <v>0</v>
      </c>
      <c r="AI85" s="11" t="n">
        <f aca="false">Time!AI30*AH98</f>
        <v>0</v>
      </c>
      <c r="AJ85" s="11" t="n">
        <f aca="false">Time!AJ30*AI98</f>
        <v>0</v>
      </c>
      <c r="AK85" s="11" t="n">
        <f aca="false">Time!AK30*AJ98</f>
        <v>0</v>
      </c>
      <c r="AL85" s="11" t="n">
        <f aca="false">Time!AL30*AK98</f>
        <v>0</v>
      </c>
      <c r="AM85" s="11" t="n">
        <f aca="false">Time!AM30*AL98</f>
        <v>0</v>
      </c>
      <c r="AN85" s="11" t="n">
        <f aca="false">Time!AN30*AM98</f>
        <v>0</v>
      </c>
      <c r="AO85" s="11" t="n">
        <f aca="false">Time!AO30*AN98</f>
        <v>0</v>
      </c>
      <c r="AP85" s="11" t="n">
        <f aca="false">Time!AP30*AO98</f>
        <v>0</v>
      </c>
      <c r="AQ85" s="11" t="n">
        <f aca="false">Time!AQ30*AP98</f>
        <v>0</v>
      </c>
      <c r="AR85" s="11" t="n">
        <f aca="false">Time!AR30*AQ98</f>
        <v>0</v>
      </c>
      <c r="AS85" s="11" t="n">
        <f aca="false">Time!AS30*AR98</f>
        <v>0</v>
      </c>
      <c r="AT85" s="11" t="n">
        <f aca="false">Time!AT30*AS98</f>
        <v>0</v>
      </c>
      <c r="AU85" s="11" t="n">
        <f aca="false">Time!AU30*AT98</f>
        <v>0</v>
      </c>
      <c r="AV85" s="11" t="n">
        <f aca="false">Time!AV30*AU98</f>
        <v>0</v>
      </c>
      <c r="AW85" s="11" t="n">
        <f aca="false">Time!AW30*AV98</f>
        <v>0</v>
      </c>
      <c r="AX85" s="11" t="n">
        <f aca="false">Time!AX30*AW98</f>
        <v>0</v>
      </c>
      <c r="AY85" s="11" t="n">
        <f aca="false">Time!AY30*AX98</f>
        <v>0</v>
      </c>
      <c r="AZ85" s="11" t="n">
        <f aca="false">Time!AZ30*AY98</f>
        <v>0</v>
      </c>
      <c r="BA85" s="11" t="n">
        <f aca="false">Time!BA30*AZ98</f>
        <v>0</v>
      </c>
      <c r="BB85" s="11" t="n">
        <f aca="false">Time!BB30*BA98</f>
        <v>0</v>
      </c>
      <c r="BC85" s="11" t="n">
        <f aca="false">Time!BC30*BB98</f>
        <v>0</v>
      </c>
      <c r="BD85" s="11" t="n">
        <f aca="false">Time!BD30*BC98</f>
        <v>0</v>
      </c>
      <c r="BE85" s="11" t="n">
        <f aca="false">Time!BE30*BD98</f>
        <v>0</v>
      </c>
      <c r="BF85" s="11" t="n">
        <f aca="false">Time!BF30*BE98</f>
        <v>0</v>
      </c>
      <c r="BG85" s="11" t="n">
        <f aca="false">Time!BG30*BF98</f>
        <v>0</v>
      </c>
      <c r="BH85" s="11" t="n">
        <f aca="false">Time!BH30*BG98</f>
        <v>0</v>
      </c>
      <c r="BI85" s="11" t="n">
        <f aca="false">Time!BI30*BH98</f>
        <v>0</v>
      </c>
      <c r="BJ85" s="11" t="n">
        <f aca="false">Time!BJ30*BI98</f>
        <v>0</v>
      </c>
      <c r="BK85" s="11" t="n">
        <f aca="false">Time!BK30*BJ98</f>
        <v>0</v>
      </c>
      <c r="BL85" s="11" t="n">
        <f aca="false">Time!BL30*BK98</f>
        <v>0</v>
      </c>
      <c r="BM85" s="11" t="n">
        <f aca="false">Time!BM30*BL98</f>
        <v>0</v>
      </c>
      <c r="BN85" s="11" t="n">
        <f aca="false">Time!BN30*BM98</f>
        <v>0</v>
      </c>
    </row>
    <row r="86" customFormat="false" ht="15" hidden="false" customHeight="false" outlineLevel="0" collapsed="false">
      <c r="D86" s="0" t="s">
        <v>655</v>
      </c>
      <c r="E86" s="0" t="s">
        <v>149</v>
      </c>
      <c r="J86" s="11" t="n">
        <f aca="false">0</f>
        <v>0</v>
      </c>
      <c r="K86" s="11" t="n">
        <f aca="false">J95</f>
        <v>0</v>
      </c>
      <c r="L86" s="11" t="n">
        <f aca="false">K95</f>
        <v>0</v>
      </c>
      <c r="M86" s="11" t="n">
        <f aca="false">L95</f>
        <v>0</v>
      </c>
      <c r="N86" s="11" t="n">
        <f aca="false">M95</f>
        <v>0</v>
      </c>
      <c r="O86" s="11" t="n">
        <f aca="false">N95</f>
        <v>0</v>
      </c>
      <c r="P86" s="11" t="n">
        <f aca="false">O95</f>
        <v>0</v>
      </c>
      <c r="Q86" s="11" t="n">
        <f aca="false">P95</f>
        <v>0</v>
      </c>
      <c r="R86" s="11" t="n">
        <f aca="false">Q95</f>
        <v>0</v>
      </c>
      <c r="S86" s="11" t="n">
        <f aca="false">R95</f>
        <v>0</v>
      </c>
      <c r="T86" s="11" t="n">
        <f aca="false">S95</f>
        <v>0</v>
      </c>
      <c r="U86" s="11" t="n">
        <f aca="false">T95</f>
        <v>0</v>
      </c>
      <c r="V86" s="11" t="n">
        <f aca="false">U95</f>
        <v>0</v>
      </c>
      <c r="W86" s="11" t="n">
        <f aca="false">V95</f>
        <v>0</v>
      </c>
      <c r="X86" s="11" t="n">
        <f aca="false">W95</f>
        <v>0</v>
      </c>
      <c r="Y86" s="11" t="n">
        <f aca="false">X95</f>
        <v>0</v>
      </c>
      <c r="Z86" s="11" t="n">
        <f aca="false">Y95</f>
        <v>0</v>
      </c>
      <c r="AA86" s="11" t="n">
        <f aca="false">Z95</f>
        <v>0</v>
      </c>
      <c r="AB86" s="11" t="n">
        <f aca="false">AA95</f>
        <v>0</v>
      </c>
      <c r="AC86" s="11" t="n">
        <f aca="false">AB95</f>
        <v>0</v>
      </c>
      <c r="AD86" s="11" t="n">
        <f aca="false">AC95</f>
        <v>0</v>
      </c>
      <c r="AE86" s="11" t="n">
        <f aca="false">AD95</f>
        <v>0</v>
      </c>
      <c r="AF86" s="11" t="n">
        <f aca="false">AE95</f>
        <v>0</v>
      </c>
      <c r="AG86" s="11" t="n">
        <f aca="false">AF95</f>
        <v>0</v>
      </c>
      <c r="AH86" s="11" t="n">
        <f aca="false">AG95</f>
        <v>0</v>
      </c>
      <c r="AI86" s="11" t="n">
        <f aca="false">AH95</f>
        <v>0</v>
      </c>
      <c r="AJ86" s="11" t="n">
        <f aca="false">AI95</f>
        <v>0</v>
      </c>
      <c r="AK86" s="11" t="n">
        <f aca="false">AJ95</f>
        <v>0</v>
      </c>
      <c r="AL86" s="11" t="n">
        <f aca="false">AK95</f>
        <v>0</v>
      </c>
      <c r="AM86" s="11" t="n">
        <f aca="false">AL95</f>
        <v>0</v>
      </c>
      <c r="AN86" s="11" t="n">
        <f aca="false">AM95</f>
        <v>0</v>
      </c>
      <c r="AO86" s="11" t="n">
        <f aca="false">AN95</f>
        <v>0</v>
      </c>
      <c r="AP86" s="11" t="n">
        <f aca="false">AO95</f>
        <v>0</v>
      </c>
      <c r="AQ86" s="11" t="n">
        <f aca="false">AP95</f>
        <v>0</v>
      </c>
      <c r="AR86" s="11" t="n">
        <f aca="false">AQ95</f>
        <v>0</v>
      </c>
      <c r="AS86" s="11" t="n">
        <f aca="false">AR95</f>
        <v>0</v>
      </c>
      <c r="AT86" s="11" t="n">
        <f aca="false">AS95</f>
        <v>0</v>
      </c>
      <c r="AU86" s="11" t="n">
        <f aca="false">AT95</f>
        <v>0</v>
      </c>
      <c r="AV86" s="11" t="n">
        <f aca="false">AU95</f>
        <v>0</v>
      </c>
      <c r="AW86" s="11" t="n">
        <f aca="false">AV95</f>
        <v>0</v>
      </c>
      <c r="AX86" s="11" t="n">
        <f aca="false">AW95</f>
        <v>0</v>
      </c>
      <c r="AY86" s="11" t="n">
        <f aca="false">AX95</f>
        <v>0</v>
      </c>
      <c r="AZ86" s="11" t="n">
        <f aca="false">AY95</f>
        <v>0</v>
      </c>
      <c r="BA86" s="11" t="n">
        <f aca="false">AZ95</f>
        <v>0</v>
      </c>
      <c r="BB86" s="11" t="n">
        <f aca="false">BA95</f>
        <v>0</v>
      </c>
      <c r="BC86" s="11" t="n">
        <f aca="false">BB95</f>
        <v>0</v>
      </c>
      <c r="BD86" s="11" t="n">
        <f aca="false">BC95</f>
        <v>0</v>
      </c>
      <c r="BE86" s="11" t="n">
        <f aca="false">BD95</f>
        <v>0</v>
      </c>
      <c r="BF86" s="11" t="n">
        <f aca="false">BE95</f>
        <v>0</v>
      </c>
      <c r="BG86" s="11" t="n">
        <f aca="false">BF95</f>
        <v>0</v>
      </c>
      <c r="BH86" s="11" t="n">
        <f aca="false">BG95</f>
        <v>0</v>
      </c>
      <c r="BI86" s="11" t="n">
        <f aca="false">BH95</f>
        <v>0</v>
      </c>
      <c r="BJ86" s="11" t="n">
        <f aca="false">BI95</f>
        <v>0</v>
      </c>
      <c r="BK86" s="11" t="n">
        <f aca="false">BJ95</f>
        <v>0</v>
      </c>
      <c r="BL86" s="11" t="n">
        <f aca="false">BK95</f>
        <v>0</v>
      </c>
      <c r="BM86" s="11" t="n">
        <f aca="false">BL95</f>
        <v>0</v>
      </c>
      <c r="BN86" s="11" t="n">
        <f aca="false">BM95</f>
        <v>0</v>
      </c>
    </row>
    <row r="87" customFormat="false" ht="15" hidden="false" customHeight="false" outlineLevel="0" collapsed="false">
      <c r="D87" s="0" t="s">
        <v>656</v>
      </c>
      <c r="E87" s="0" t="s">
        <v>149</v>
      </c>
      <c r="G87" s="11" t="n">
        <f aca="false">SUM(J87:BN87)</f>
        <v>0</v>
      </c>
      <c r="J87" s="11" t="n">
        <f aca="false">J85*J14</f>
        <v>0</v>
      </c>
      <c r="K87" s="11" t="n">
        <f aca="false">K85*K14</f>
        <v>0</v>
      </c>
      <c r="L87" s="11" t="n">
        <f aca="false">L85*L14</f>
        <v>0</v>
      </c>
      <c r="M87" s="11" t="n">
        <f aca="false">M85*M14</f>
        <v>0</v>
      </c>
      <c r="N87" s="11" t="n">
        <f aca="false">N85*N14</f>
        <v>0</v>
      </c>
      <c r="O87" s="11" t="n">
        <f aca="false">O85*O14</f>
        <v>0</v>
      </c>
      <c r="P87" s="11" t="n">
        <f aca="false">P85*P14</f>
        <v>0</v>
      </c>
      <c r="Q87" s="11" t="n">
        <f aca="false">Q85*Q14</f>
        <v>0</v>
      </c>
      <c r="R87" s="11" t="n">
        <f aca="false">R85*R14</f>
        <v>0</v>
      </c>
      <c r="S87" s="11" t="n">
        <f aca="false">S85*S14</f>
        <v>0</v>
      </c>
      <c r="T87" s="11" t="n">
        <f aca="false">T85*T14</f>
        <v>0</v>
      </c>
      <c r="U87" s="11" t="n">
        <f aca="false">U85*U14</f>
        <v>0</v>
      </c>
      <c r="V87" s="11" t="n">
        <f aca="false">V85*V14</f>
        <v>0</v>
      </c>
      <c r="W87" s="11" t="n">
        <f aca="false">W85*W14</f>
        <v>0</v>
      </c>
      <c r="X87" s="11" t="n">
        <f aca="false">X85*X14</f>
        <v>0</v>
      </c>
      <c r="Y87" s="11" t="n">
        <f aca="false">Y85*Y14</f>
        <v>0</v>
      </c>
      <c r="Z87" s="11" t="n">
        <f aca="false">Z85*Z14</f>
        <v>0</v>
      </c>
      <c r="AA87" s="11" t="n">
        <f aca="false">AA85*AA14</f>
        <v>0</v>
      </c>
      <c r="AB87" s="11" t="n">
        <f aca="false">AB85*AB14</f>
        <v>0</v>
      </c>
      <c r="AC87" s="11" t="n">
        <f aca="false">AC85*AC14</f>
        <v>0</v>
      </c>
      <c r="AD87" s="11" t="n">
        <f aca="false">AD85*AD14</f>
        <v>0</v>
      </c>
      <c r="AE87" s="11" t="n">
        <f aca="false">AE85*AE14</f>
        <v>0</v>
      </c>
      <c r="AF87" s="11" t="n">
        <f aca="false">AF85*AF14</f>
        <v>0</v>
      </c>
      <c r="AG87" s="11" t="n">
        <f aca="false">AG85*AG14</f>
        <v>0</v>
      </c>
      <c r="AH87" s="11" t="n">
        <f aca="false">AH85*AH14</f>
        <v>0</v>
      </c>
      <c r="AI87" s="11" t="n">
        <f aca="false">AI85*AI14</f>
        <v>0</v>
      </c>
      <c r="AJ87" s="11" t="n">
        <f aca="false">AJ85*AJ14</f>
        <v>0</v>
      </c>
      <c r="AK87" s="11" t="n">
        <f aca="false">AK85*AK14</f>
        <v>0</v>
      </c>
      <c r="AL87" s="11" t="n">
        <f aca="false">AL85*AL14</f>
        <v>0</v>
      </c>
      <c r="AM87" s="11" t="n">
        <f aca="false">AM85*AM14</f>
        <v>0</v>
      </c>
      <c r="AN87" s="11" t="n">
        <f aca="false">AN85*AN14</f>
        <v>0</v>
      </c>
      <c r="AO87" s="11" t="n">
        <f aca="false">AO85*AO14</f>
        <v>0</v>
      </c>
      <c r="AP87" s="11" t="n">
        <f aca="false">AP85*AP14</f>
        <v>0</v>
      </c>
      <c r="AQ87" s="11" t="n">
        <f aca="false">AQ85*AQ14</f>
        <v>0</v>
      </c>
      <c r="AR87" s="11" t="n">
        <f aca="false">AR85*AR14</f>
        <v>0</v>
      </c>
      <c r="AS87" s="11" t="n">
        <f aca="false">AS85*AS14</f>
        <v>0</v>
      </c>
      <c r="AT87" s="11" t="n">
        <f aca="false">AT85*AT14</f>
        <v>0</v>
      </c>
      <c r="AU87" s="11" t="n">
        <f aca="false">AU85*AU14</f>
        <v>0</v>
      </c>
      <c r="AV87" s="11" t="n">
        <f aca="false">AV85*AV14</f>
        <v>0</v>
      </c>
      <c r="AW87" s="11" t="n">
        <f aca="false">AW85*AW14</f>
        <v>0</v>
      </c>
      <c r="AX87" s="11" t="n">
        <f aca="false">AX85*AX14</f>
        <v>0</v>
      </c>
      <c r="AY87" s="11" t="n">
        <f aca="false">AY85*AY14</f>
        <v>0</v>
      </c>
      <c r="AZ87" s="11" t="n">
        <f aca="false">AZ85*AZ14</f>
        <v>0</v>
      </c>
      <c r="BA87" s="11" t="n">
        <f aca="false">BA85*BA14</f>
        <v>0</v>
      </c>
      <c r="BB87" s="11" t="n">
        <f aca="false">BB85*BB14</f>
        <v>0</v>
      </c>
      <c r="BC87" s="11" t="n">
        <f aca="false">BC85*BC14</f>
        <v>0</v>
      </c>
      <c r="BD87" s="11" t="n">
        <f aca="false">BD85*BD14</f>
        <v>0</v>
      </c>
      <c r="BE87" s="11" t="n">
        <f aca="false">BE85*BE14</f>
        <v>0</v>
      </c>
      <c r="BF87" s="11" t="n">
        <f aca="false">BF85*BF14</f>
        <v>0</v>
      </c>
      <c r="BG87" s="11" t="n">
        <f aca="false">BG85*BG14</f>
        <v>0</v>
      </c>
      <c r="BH87" s="11" t="n">
        <f aca="false">BH85*BH14</f>
        <v>0</v>
      </c>
      <c r="BI87" s="11" t="n">
        <f aca="false">BI85*BI14</f>
        <v>0</v>
      </c>
      <c r="BJ87" s="11" t="n">
        <f aca="false">BJ85*BJ14</f>
        <v>0</v>
      </c>
      <c r="BK87" s="11" t="n">
        <f aca="false">BK85*BK14</f>
        <v>0</v>
      </c>
      <c r="BL87" s="11" t="n">
        <f aca="false">BL85*BL14</f>
        <v>0</v>
      </c>
      <c r="BM87" s="11" t="n">
        <f aca="false">BM85*BM14</f>
        <v>0</v>
      </c>
      <c r="BN87" s="11" t="n">
        <f aca="false">BN85*BN14</f>
        <v>0</v>
      </c>
    </row>
    <row r="88" customFormat="false" ht="15" hidden="false" customHeight="false" outlineLevel="0" collapsed="false">
      <c r="D88" s="0" t="s">
        <v>657</v>
      </c>
      <c r="E88" s="0" t="s">
        <v>149</v>
      </c>
      <c r="G88" s="11" t="n">
        <f aca="false">SUM(J88:BN88)</f>
        <v>0</v>
      </c>
      <c r="J88" s="11" t="n">
        <f aca="false">Time!J30*(J85-J86)*J19</f>
        <v>0</v>
      </c>
      <c r="K88" s="11" t="n">
        <f aca="false">Time!K30*(K85-K86)*K19</f>
        <v>0</v>
      </c>
      <c r="L88" s="11" t="n">
        <f aca="false">Time!L30*(L85-L86)*L19</f>
        <v>0</v>
      </c>
      <c r="M88" s="11" t="n">
        <f aca="false">Time!M30*(M85-M86)*M19</f>
        <v>0</v>
      </c>
      <c r="N88" s="11" t="n">
        <f aca="false">Time!N30*(N85-N86)*N19</f>
        <v>0</v>
      </c>
      <c r="O88" s="11" t="n">
        <f aca="false">Time!O30*(O85-O86)*O19</f>
        <v>0</v>
      </c>
      <c r="P88" s="11" t="n">
        <f aca="false">Time!P30*(P85-P86)*P19</f>
        <v>0</v>
      </c>
      <c r="Q88" s="11" t="n">
        <f aca="false">Time!Q30*(Q85-Q86)*Q19</f>
        <v>0</v>
      </c>
      <c r="R88" s="11" t="n">
        <f aca="false">Time!R30*(R85-R86)*R19</f>
        <v>0</v>
      </c>
      <c r="S88" s="11" t="n">
        <f aca="false">Time!S30*(S85-S86)*S19</f>
        <v>0</v>
      </c>
      <c r="T88" s="11" t="n">
        <f aca="false">Time!T30*(T85-T86)*T19</f>
        <v>0</v>
      </c>
      <c r="U88" s="11" t="n">
        <f aca="false">Time!U30*(U85-U86)*U19</f>
        <v>0</v>
      </c>
      <c r="V88" s="11" t="n">
        <f aca="false">Time!V30*(V85-V86)*V19</f>
        <v>0</v>
      </c>
      <c r="W88" s="11" t="n">
        <f aca="false">Time!W30*(W85-W86)*W19</f>
        <v>0</v>
      </c>
      <c r="X88" s="11" t="n">
        <f aca="false">Time!X30*(X85-X86)*X19</f>
        <v>0</v>
      </c>
      <c r="Y88" s="11" t="n">
        <f aca="false">Time!Y30*(Y85-Y86)*Y19</f>
        <v>0</v>
      </c>
      <c r="Z88" s="11" t="n">
        <f aca="false">Time!Z30*(Z85-Z86)*Z19</f>
        <v>0</v>
      </c>
      <c r="AA88" s="11" t="n">
        <f aca="false">Time!AA30*(AA85-AA86)*AA19</f>
        <v>0</v>
      </c>
      <c r="AB88" s="11" t="n">
        <f aca="false">Time!AB30*(AB85-AB86)*AB19</f>
        <v>0</v>
      </c>
      <c r="AC88" s="11" t="n">
        <f aca="false">Time!AC30*(AC85-AC86)*AC19</f>
        <v>0</v>
      </c>
      <c r="AD88" s="11" t="n">
        <f aca="false">Time!AD30*(AD85-AD86)*AD19</f>
        <v>0</v>
      </c>
      <c r="AE88" s="11" t="n">
        <f aca="false">Time!AE30*(AE85-AE86)*AE19</f>
        <v>0</v>
      </c>
      <c r="AF88" s="11" t="n">
        <f aca="false">Time!AF30*(AF85-AF86)*AF19</f>
        <v>0</v>
      </c>
      <c r="AG88" s="11" t="n">
        <f aca="false">Time!AG30*(AG85-AG86)*AG19</f>
        <v>0</v>
      </c>
      <c r="AH88" s="11" t="n">
        <f aca="false">Time!AH30*(AH85-AH86)*AH19</f>
        <v>0</v>
      </c>
      <c r="AI88" s="11" t="n">
        <f aca="false">Time!AI30*(AI85-AI86)*AI19</f>
        <v>0</v>
      </c>
      <c r="AJ88" s="11" t="n">
        <f aca="false">Time!AJ30*(AJ85-AJ86)*AJ19</f>
        <v>0</v>
      </c>
      <c r="AK88" s="11" t="n">
        <f aca="false">Time!AK30*(AK85-AK86)*AK19</f>
        <v>0</v>
      </c>
      <c r="AL88" s="11" t="n">
        <f aca="false">Time!AL30*(AL85-AL86)*AL19</f>
        <v>0</v>
      </c>
      <c r="AM88" s="11" t="n">
        <f aca="false">Time!AM30*(AM85-AM86)*AM19</f>
        <v>0</v>
      </c>
      <c r="AN88" s="11" t="n">
        <f aca="false">Time!AN30*(AN85-AN86)*AN19</f>
        <v>0</v>
      </c>
      <c r="AO88" s="11" t="n">
        <f aca="false">Time!AO30*(AO85-AO86)*AO19</f>
        <v>0</v>
      </c>
      <c r="AP88" s="11" t="n">
        <f aca="false">Time!AP30*(AP85-AP86)*AP19</f>
        <v>0</v>
      </c>
      <c r="AQ88" s="11" t="n">
        <f aca="false">Time!AQ30*(AQ85-AQ86)*AQ19</f>
        <v>0</v>
      </c>
      <c r="AR88" s="11" t="n">
        <f aca="false">Time!AR30*(AR85-AR86)*AR19</f>
        <v>0</v>
      </c>
      <c r="AS88" s="11" t="n">
        <f aca="false">Time!AS30*(AS85-AS86)*AS19</f>
        <v>0</v>
      </c>
      <c r="AT88" s="11" t="n">
        <f aca="false">Time!AT30*(AT85-AT86)*AT19</f>
        <v>0</v>
      </c>
      <c r="AU88" s="11" t="n">
        <f aca="false">Time!AU30*(AU85-AU86)*AU19</f>
        <v>0</v>
      </c>
      <c r="AV88" s="11" t="n">
        <f aca="false">Time!AV30*(AV85-AV86)*AV19</f>
        <v>0</v>
      </c>
      <c r="AW88" s="11" t="n">
        <f aca="false">Time!AW30*(AW85-AW86)*AW19</f>
        <v>0</v>
      </c>
      <c r="AX88" s="11" t="n">
        <f aca="false">Time!AX30*(AX85-AX86)*AX19</f>
        <v>0</v>
      </c>
      <c r="AY88" s="11" t="n">
        <f aca="false">Time!AY30*(AY85-AY86)*AY19</f>
        <v>0</v>
      </c>
      <c r="AZ88" s="11" t="n">
        <f aca="false">Time!AZ30*(AZ85-AZ86)*AZ19</f>
        <v>0</v>
      </c>
      <c r="BA88" s="11" t="n">
        <f aca="false">Time!BA30*(BA85-BA86)*BA19</f>
        <v>0</v>
      </c>
      <c r="BB88" s="11" t="n">
        <f aca="false">Time!BB30*(BB85-BB86)*BB19</f>
        <v>0</v>
      </c>
      <c r="BC88" s="11" t="n">
        <f aca="false">Time!BC30*(BC85-BC86)*BC19</f>
        <v>0</v>
      </c>
      <c r="BD88" s="11" t="n">
        <f aca="false">Time!BD30*(BD85-BD86)*BD19</f>
        <v>0</v>
      </c>
      <c r="BE88" s="11" t="n">
        <f aca="false">Time!BE30*(BE85-BE86)*BE19</f>
        <v>0</v>
      </c>
      <c r="BF88" s="11" t="n">
        <f aca="false">Time!BF30*(BF85-BF86)*BF19</f>
        <v>0</v>
      </c>
      <c r="BG88" s="11" t="n">
        <f aca="false">Time!BG30*(BG85-BG86)*BG19</f>
        <v>0</v>
      </c>
      <c r="BH88" s="11" t="n">
        <f aca="false">Time!BH30*(BH85-BH86)*BH19</f>
        <v>0</v>
      </c>
      <c r="BI88" s="11" t="n">
        <f aca="false">Time!BI30*(BI85-BI86)*BI19</f>
        <v>0</v>
      </c>
      <c r="BJ88" s="11" t="n">
        <f aca="false">Time!BJ30*(BJ85-BJ86)*BJ19</f>
        <v>0</v>
      </c>
      <c r="BK88" s="11" t="n">
        <f aca="false">Time!BK30*(BK85-BK86)*BK19</f>
        <v>0</v>
      </c>
      <c r="BL88" s="11" t="n">
        <f aca="false">Time!BL30*(BL85-BL86)*BL19</f>
        <v>0</v>
      </c>
      <c r="BM88" s="11" t="n">
        <f aca="false">Time!BM30*(BM85-BM86)*BM19</f>
        <v>0</v>
      </c>
      <c r="BN88" s="11" t="n">
        <f aca="false">Time!BN30*(BN85-BN86)*BN19</f>
        <v>0</v>
      </c>
    </row>
    <row r="89" customFormat="false" ht="15" hidden="false" customHeight="false" outlineLevel="0" collapsed="false">
      <c r="D89" s="0" t="s">
        <v>658</v>
      </c>
      <c r="E89" s="0" t="s">
        <v>149</v>
      </c>
      <c r="G89" s="11" t="n">
        <f aca="false">SUM(J89:BN89)</f>
        <v>0</v>
      </c>
      <c r="J89" s="11" t="n">
        <f aca="false">J21*Inputs!$F$194*J88</f>
        <v>0</v>
      </c>
      <c r="K89" s="11" t="n">
        <f aca="false">K21*Inputs!$F$194*K88</f>
        <v>0</v>
      </c>
      <c r="L89" s="11" t="n">
        <f aca="false">L21*Inputs!$F$194*L88</f>
        <v>0</v>
      </c>
      <c r="M89" s="11" t="n">
        <f aca="false">M21*Inputs!$F$194*M88</f>
        <v>0</v>
      </c>
      <c r="N89" s="11" t="n">
        <f aca="false">N21*Inputs!$F$194*N88</f>
        <v>0</v>
      </c>
      <c r="O89" s="11" t="n">
        <f aca="false">O21*Inputs!$F$194*O88</f>
        <v>0</v>
      </c>
      <c r="P89" s="11" t="n">
        <f aca="false">P21*Inputs!$F$194*P88</f>
        <v>0</v>
      </c>
      <c r="Q89" s="11" t="n">
        <f aca="false">Q21*Inputs!$F$194*Q88</f>
        <v>0</v>
      </c>
      <c r="R89" s="11" t="n">
        <f aca="false">R21*Inputs!$F$194*R88</f>
        <v>0</v>
      </c>
      <c r="S89" s="11" t="n">
        <f aca="false">S21*Inputs!$F$194*S88</f>
        <v>0</v>
      </c>
      <c r="T89" s="11" t="n">
        <f aca="false">T21*Inputs!$F$194*T88</f>
        <v>0</v>
      </c>
      <c r="U89" s="11" t="n">
        <f aca="false">U21*Inputs!$F$194*U88</f>
        <v>0</v>
      </c>
      <c r="V89" s="11" t="n">
        <f aca="false">V21*Inputs!$F$194*V88</f>
        <v>0</v>
      </c>
      <c r="W89" s="11" t="n">
        <f aca="false">W21*Inputs!$F$194*W88</f>
        <v>0</v>
      </c>
      <c r="X89" s="11" t="n">
        <f aca="false">X21*Inputs!$F$194*X88</f>
        <v>0</v>
      </c>
      <c r="Y89" s="11" t="n">
        <f aca="false">Y21*Inputs!$F$194*Y88</f>
        <v>0</v>
      </c>
      <c r="Z89" s="11" t="n">
        <f aca="false">Z21*Inputs!$F$194*Z88</f>
        <v>0</v>
      </c>
      <c r="AA89" s="11" t="n">
        <f aca="false">AA21*Inputs!$F$194*AA88</f>
        <v>0</v>
      </c>
      <c r="AB89" s="11" t="n">
        <f aca="false">AB21*Inputs!$F$194*AB88</f>
        <v>0</v>
      </c>
      <c r="AC89" s="11" t="n">
        <f aca="false">AC21*Inputs!$F$194*AC88</f>
        <v>0</v>
      </c>
      <c r="AD89" s="11" t="n">
        <f aca="false">AD21*Inputs!$F$194*AD88</f>
        <v>0</v>
      </c>
      <c r="AE89" s="11" t="n">
        <f aca="false">AE21*Inputs!$F$194*AE88</f>
        <v>0</v>
      </c>
      <c r="AF89" s="11" t="n">
        <f aca="false">AF21*Inputs!$F$194*AF88</f>
        <v>0</v>
      </c>
      <c r="AG89" s="11" t="n">
        <f aca="false">AG21*Inputs!$F$194*AG88</f>
        <v>0</v>
      </c>
      <c r="AH89" s="11" t="n">
        <f aca="false">AH21*Inputs!$F$194*AH88</f>
        <v>0</v>
      </c>
      <c r="AI89" s="11" t="n">
        <f aca="false">AI21*Inputs!$F$194*AI88</f>
        <v>0</v>
      </c>
      <c r="AJ89" s="11" t="n">
        <f aca="false">AJ21*Inputs!$F$194*AJ88</f>
        <v>0</v>
      </c>
      <c r="AK89" s="11" t="n">
        <f aca="false">AK21*Inputs!$F$194*AK88</f>
        <v>0</v>
      </c>
      <c r="AL89" s="11" t="n">
        <f aca="false">AL21*Inputs!$F$194*AL88</f>
        <v>0</v>
      </c>
      <c r="AM89" s="11" t="n">
        <f aca="false">AM21*Inputs!$F$194*AM88</f>
        <v>0</v>
      </c>
      <c r="AN89" s="11" t="n">
        <f aca="false">AN21*Inputs!$F$194*AN88</f>
        <v>0</v>
      </c>
      <c r="AO89" s="11" t="n">
        <f aca="false">AO21*Inputs!$F$194*AO88</f>
        <v>0</v>
      </c>
      <c r="AP89" s="11" t="n">
        <f aca="false">AP21*Inputs!$F$194*AP88</f>
        <v>0</v>
      </c>
      <c r="AQ89" s="11" t="n">
        <f aca="false">AQ21*Inputs!$F$194*AQ88</f>
        <v>0</v>
      </c>
      <c r="AR89" s="11" t="n">
        <f aca="false">AR21*Inputs!$F$194*AR88</f>
        <v>0</v>
      </c>
      <c r="AS89" s="11" t="n">
        <f aca="false">AS21*Inputs!$F$194*AS88</f>
        <v>0</v>
      </c>
      <c r="AT89" s="11" t="n">
        <f aca="false">AT21*Inputs!$F$194*AT88</f>
        <v>0</v>
      </c>
      <c r="AU89" s="11" t="n">
        <f aca="false">AU21*Inputs!$F$194*AU88</f>
        <v>0</v>
      </c>
      <c r="AV89" s="11" t="n">
        <f aca="false">AV21*Inputs!$F$194*AV88</f>
        <v>0</v>
      </c>
      <c r="AW89" s="11" t="n">
        <f aca="false">AW21*Inputs!$F$194*AW88</f>
        <v>0</v>
      </c>
      <c r="AX89" s="11" t="n">
        <f aca="false">AX21*Inputs!$F$194*AX88</f>
        <v>0</v>
      </c>
      <c r="AY89" s="11" t="n">
        <f aca="false">AY21*Inputs!$F$194*AY88</f>
        <v>0</v>
      </c>
      <c r="AZ89" s="11" t="n">
        <f aca="false">AZ21*Inputs!$F$194*AZ88</f>
        <v>0</v>
      </c>
      <c r="BA89" s="11" t="n">
        <f aca="false">BA21*Inputs!$F$194*BA88</f>
        <v>0</v>
      </c>
      <c r="BB89" s="11" t="n">
        <f aca="false">BB21*Inputs!$F$194*BB88</f>
        <v>0</v>
      </c>
      <c r="BC89" s="11" t="n">
        <f aca="false">BC21*Inputs!$F$194*BC88</f>
        <v>0</v>
      </c>
      <c r="BD89" s="11" t="n">
        <f aca="false">BD21*Inputs!$F$194*BD88</f>
        <v>0</v>
      </c>
      <c r="BE89" s="11" t="n">
        <f aca="false">BE21*Inputs!$F$194*BE88</f>
        <v>0</v>
      </c>
      <c r="BF89" s="11" t="n">
        <f aca="false">BF21*Inputs!$F$194*BF88</f>
        <v>0</v>
      </c>
      <c r="BG89" s="11" t="n">
        <f aca="false">BG21*Inputs!$F$194*BG88</f>
        <v>0</v>
      </c>
      <c r="BH89" s="11" t="n">
        <f aca="false">BH21*Inputs!$F$194*BH88</f>
        <v>0</v>
      </c>
      <c r="BI89" s="11" t="n">
        <f aca="false">BI21*Inputs!$F$194*BI88</f>
        <v>0</v>
      </c>
      <c r="BJ89" s="11" t="n">
        <f aca="false">BJ21*Inputs!$F$194*BJ88</f>
        <v>0</v>
      </c>
      <c r="BK89" s="11" t="n">
        <f aca="false">BK21*Inputs!$F$194*BK88</f>
        <v>0</v>
      </c>
      <c r="BL89" s="11" t="n">
        <f aca="false">BL21*Inputs!$F$194*BL88</f>
        <v>0</v>
      </c>
      <c r="BM89" s="11" t="n">
        <f aca="false">BM21*Inputs!$F$194*BM88</f>
        <v>0</v>
      </c>
      <c r="BN89" s="11" t="n">
        <f aca="false">BN21*Inputs!$F$194*BN88</f>
        <v>0</v>
      </c>
    </row>
    <row r="90" customFormat="false" ht="15" hidden="false" customHeight="false" outlineLevel="0" collapsed="false">
      <c r="D90" s="0" t="s">
        <v>659</v>
      </c>
      <c r="E90" s="0" t="s">
        <v>149</v>
      </c>
      <c r="F90" s="15" t="n">
        <f aca="false">$T$89</f>
        <v>0</v>
      </c>
    </row>
    <row r="91" customFormat="false" ht="15" hidden="false" customHeight="false" outlineLevel="0" collapsed="false">
      <c r="D91" s="0" t="s">
        <v>660</v>
      </c>
      <c r="E91" s="0" t="s">
        <v>149</v>
      </c>
      <c r="G91" s="11" t="n">
        <f aca="false">SUM(J91:BN91)</f>
        <v>0</v>
      </c>
      <c r="J91" s="11" t="n">
        <f aca="false">0</f>
        <v>0</v>
      </c>
      <c r="K91" s="11" t="n">
        <f aca="false">0</f>
        <v>0</v>
      </c>
      <c r="L91" s="11" t="n">
        <f aca="false">0</f>
        <v>0</v>
      </c>
      <c r="M91" s="11" t="n">
        <f aca="false">0</f>
        <v>0</v>
      </c>
      <c r="N91" s="11" t="n">
        <f aca="false">0</f>
        <v>0</v>
      </c>
      <c r="O91" s="11" t="n">
        <f aca="false">0</f>
        <v>0</v>
      </c>
      <c r="P91" s="11" t="n">
        <f aca="false">0</f>
        <v>0</v>
      </c>
      <c r="Q91" s="11" t="n">
        <f aca="false">0</f>
        <v>0</v>
      </c>
      <c r="R91" s="11" t="n">
        <f aca="false">0</f>
        <v>0</v>
      </c>
      <c r="S91" s="11" t="n">
        <f aca="false">0</f>
        <v>0</v>
      </c>
      <c r="T91" s="11" t="n">
        <f aca="false">0</f>
        <v>0</v>
      </c>
      <c r="U91" s="11" t="n">
        <f aca="false">U22*MIN($F$90/4,U86)</f>
        <v>0</v>
      </c>
      <c r="V91" s="11" t="n">
        <f aca="false">V22*MIN($F$90/4,V86)</f>
        <v>0</v>
      </c>
      <c r="W91" s="11" t="n">
        <f aca="false">W22*MIN($F$90/4,W86)</f>
        <v>0</v>
      </c>
      <c r="X91" s="11" t="n">
        <f aca="false">X22*MIN($F$90/4,X86)</f>
        <v>0</v>
      </c>
      <c r="Y91" s="11" t="n">
        <f aca="false">0</f>
        <v>0</v>
      </c>
      <c r="Z91" s="11" t="n">
        <f aca="false">0</f>
        <v>0</v>
      </c>
      <c r="AA91" s="11" t="n">
        <f aca="false">0</f>
        <v>0</v>
      </c>
      <c r="AB91" s="11" t="n">
        <f aca="false">0</f>
        <v>0</v>
      </c>
      <c r="AC91" s="11" t="n">
        <f aca="false">0</f>
        <v>0</v>
      </c>
      <c r="AD91" s="11" t="n">
        <f aca="false">0</f>
        <v>0</v>
      </c>
      <c r="AE91" s="11" t="n">
        <f aca="false">0</f>
        <v>0</v>
      </c>
      <c r="AF91" s="11" t="n">
        <f aca="false">0</f>
        <v>0</v>
      </c>
      <c r="AG91" s="11" t="n">
        <f aca="false">0</f>
        <v>0</v>
      </c>
      <c r="AH91" s="11" t="n">
        <f aca="false">0</f>
        <v>0</v>
      </c>
      <c r="AI91" s="11" t="n">
        <f aca="false">0</f>
        <v>0</v>
      </c>
      <c r="AJ91" s="11" t="n">
        <f aca="false">0</f>
        <v>0</v>
      </c>
      <c r="AK91" s="11" t="n">
        <f aca="false">0</f>
        <v>0</v>
      </c>
      <c r="AL91" s="11" t="n">
        <f aca="false">0</f>
        <v>0</v>
      </c>
      <c r="AM91" s="11" t="n">
        <f aca="false">0</f>
        <v>0</v>
      </c>
      <c r="AN91" s="11" t="n">
        <f aca="false">0</f>
        <v>0</v>
      </c>
      <c r="AO91" s="11" t="n">
        <f aca="false">0</f>
        <v>0</v>
      </c>
      <c r="AP91" s="11" t="n">
        <f aca="false">0</f>
        <v>0</v>
      </c>
      <c r="AQ91" s="11" t="n">
        <f aca="false">0</f>
        <v>0</v>
      </c>
      <c r="AR91" s="11" t="n">
        <f aca="false">0</f>
        <v>0</v>
      </c>
      <c r="AS91" s="11" t="n">
        <f aca="false">0</f>
        <v>0</v>
      </c>
      <c r="AT91" s="11" t="n">
        <f aca="false">0</f>
        <v>0</v>
      </c>
      <c r="AU91" s="11" t="n">
        <f aca="false">0</f>
        <v>0</v>
      </c>
      <c r="AV91" s="11" t="n">
        <f aca="false">0</f>
        <v>0</v>
      </c>
      <c r="AW91" s="11" t="n">
        <f aca="false">0</f>
        <v>0</v>
      </c>
      <c r="AX91" s="11" t="n">
        <f aca="false">0</f>
        <v>0</v>
      </c>
      <c r="AY91" s="11" t="n">
        <f aca="false">0</f>
        <v>0</v>
      </c>
      <c r="AZ91" s="11" t="n">
        <f aca="false">0</f>
        <v>0</v>
      </c>
      <c r="BA91" s="11" t="n">
        <f aca="false">0</f>
        <v>0</v>
      </c>
      <c r="BB91" s="11" t="n">
        <f aca="false">0</f>
        <v>0</v>
      </c>
      <c r="BC91" s="11" t="n">
        <f aca="false">0</f>
        <v>0</v>
      </c>
      <c r="BD91" s="11" t="n">
        <f aca="false">0</f>
        <v>0</v>
      </c>
      <c r="BE91" s="11" t="n">
        <f aca="false">0</f>
        <v>0</v>
      </c>
      <c r="BF91" s="11" t="n">
        <f aca="false">0</f>
        <v>0</v>
      </c>
      <c r="BG91" s="11" t="n">
        <f aca="false">0</f>
        <v>0</v>
      </c>
      <c r="BH91" s="11" t="n">
        <f aca="false">0</f>
        <v>0</v>
      </c>
      <c r="BI91" s="11" t="n">
        <f aca="false">0</f>
        <v>0</v>
      </c>
      <c r="BJ91" s="11" t="n">
        <f aca="false">0</f>
        <v>0</v>
      </c>
      <c r="BK91" s="11" t="n">
        <f aca="false">0</f>
        <v>0</v>
      </c>
      <c r="BL91" s="11" t="n">
        <f aca="false">0</f>
        <v>0</v>
      </c>
      <c r="BM91" s="11" t="n">
        <f aca="false">0</f>
        <v>0</v>
      </c>
      <c r="BN91" s="11" t="n">
        <f aca="false">0</f>
        <v>0</v>
      </c>
    </row>
    <row r="92" customFormat="false" ht="15" hidden="false" customHeight="false" outlineLevel="0" collapsed="false">
      <c r="D92" s="0" t="s">
        <v>661</v>
      </c>
      <c r="E92" s="0" t="s">
        <v>149</v>
      </c>
      <c r="G92" s="11" t="n">
        <f aca="false">SUM(J92:BN92)</f>
        <v>0</v>
      </c>
      <c r="J92" s="11" t="n">
        <f aca="false">J88-J89+J91</f>
        <v>0</v>
      </c>
      <c r="K92" s="11" t="n">
        <f aca="false">K88-K89+K91</f>
        <v>0</v>
      </c>
      <c r="L92" s="11" t="n">
        <f aca="false">L88-L89+L91</f>
        <v>0</v>
      </c>
      <c r="M92" s="11" t="n">
        <f aca="false">M88-M89+M91</f>
        <v>0</v>
      </c>
      <c r="N92" s="11" t="n">
        <f aca="false">N88-N89+N91</f>
        <v>0</v>
      </c>
      <c r="O92" s="11" t="n">
        <f aca="false">O88-O89+O91</f>
        <v>0</v>
      </c>
      <c r="P92" s="11" t="n">
        <f aca="false">P88-P89+P91</f>
        <v>0</v>
      </c>
      <c r="Q92" s="11" t="n">
        <f aca="false">Q88-Q89+Q91</f>
        <v>0</v>
      </c>
      <c r="R92" s="11" t="n">
        <f aca="false">R88-R89+R91</f>
        <v>0</v>
      </c>
      <c r="S92" s="11" t="n">
        <f aca="false">S88-S89+S91</f>
        <v>0</v>
      </c>
      <c r="T92" s="11" t="n">
        <f aca="false">T88-T89+T91</f>
        <v>0</v>
      </c>
      <c r="U92" s="11" t="n">
        <f aca="false">U88-U89+U91</f>
        <v>0</v>
      </c>
      <c r="V92" s="11" t="n">
        <f aca="false">V88-V89+V91</f>
        <v>0</v>
      </c>
      <c r="W92" s="11" t="n">
        <f aca="false">W88-W89+W91</f>
        <v>0</v>
      </c>
      <c r="X92" s="11" t="n">
        <f aca="false">X88-X89+X91</f>
        <v>0</v>
      </c>
      <c r="Y92" s="11" t="n">
        <f aca="false">Y88-Y89+Y91</f>
        <v>0</v>
      </c>
      <c r="Z92" s="11" t="n">
        <f aca="false">Z88-Z89+Z91</f>
        <v>0</v>
      </c>
      <c r="AA92" s="11" t="n">
        <f aca="false">AA88-AA89+AA91</f>
        <v>0</v>
      </c>
      <c r="AB92" s="11" t="n">
        <f aca="false">AB88-AB89+AB91</f>
        <v>0</v>
      </c>
      <c r="AC92" s="11" t="n">
        <f aca="false">AC88-AC89+AC91</f>
        <v>0</v>
      </c>
      <c r="AD92" s="11" t="n">
        <f aca="false">AD88-AD89+AD91</f>
        <v>0</v>
      </c>
      <c r="AE92" s="11" t="n">
        <f aca="false">AE88-AE89+AE91</f>
        <v>0</v>
      </c>
      <c r="AF92" s="11" t="n">
        <f aca="false">AF88-AF89+AF91</f>
        <v>0</v>
      </c>
      <c r="AG92" s="11" t="n">
        <f aca="false">AG88-AG89+AG91</f>
        <v>0</v>
      </c>
      <c r="AH92" s="11" t="n">
        <f aca="false">AH88-AH89+AH91</f>
        <v>0</v>
      </c>
      <c r="AI92" s="11" t="n">
        <f aca="false">AI88-AI89+AI91</f>
        <v>0</v>
      </c>
      <c r="AJ92" s="11" t="n">
        <f aca="false">AJ88-AJ89+AJ91</f>
        <v>0</v>
      </c>
      <c r="AK92" s="11" t="n">
        <f aca="false">AK88-AK89+AK91</f>
        <v>0</v>
      </c>
      <c r="AL92" s="11" t="n">
        <f aca="false">AL88-AL89+AL91</f>
        <v>0</v>
      </c>
      <c r="AM92" s="11" t="n">
        <f aca="false">AM88-AM89+AM91</f>
        <v>0</v>
      </c>
      <c r="AN92" s="11" t="n">
        <f aca="false">AN88-AN89+AN91</f>
        <v>0</v>
      </c>
      <c r="AO92" s="11" t="n">
        <f aca="false">AO88-AO89+AO91</f>
        <v>0</v>
      </c>
      <c r="AP92" s="11" t="n">
        <f aca="false">AP88-AP89+AP91</f>
        <v>0</v>
      </c>
      <c r="AQ92" s="11" t="n">
        <f aca="false">AQ88-AQ89+AQ91</f>
        <v>0</v>
      </c>
      <c r="AR92" s="11" t="n">
        <f aca="false">AR88-AR89+AR91</f>
        <v>0</v>
      </c>
      <c r="AS92" s="11" t="n">
        <f aca="false">AS88-AS89+AS91</f>
        <v>0</v>
      </c>
      <c r="AT92" s="11" t="n">
        <f aca="false">AT88-AT89+AT91</f>
        <v>0</v>
      </c>
      <c r="AU92" s="11" t="n">
        <f aca="false">AU88-AU89+AU91</f>
        <v>0</v>
      </c>
      <c r="AV92" s="11" t="n">
        <f aca="false">AV88-AV89+AV91</f>
        <v>0</v>
      </c>
      <c r="AW92" s="11" t="n">
        <f aca="false">AW88-AW89+AW91</f>
        <v>0</v>
      </c>
      <c r="AX92" s="11" t="n">
        <f aca="false">AX88-AX89+AX91</f>
        <v>0</v>
      </c>
      <c r="AY92" s="11" t="n">
        <f aca="false">AY88-AY89+AY91</f>
        <v>0</v>
      </c>
      <c r="AZ92" s="11" t="n">
        <f aca="false">AZ88-AZ89+AZ91</f>
        <v>0</v>
      </c>
      <c r="BA92" s="11" t="n">
        <f aca="false">BA88-BA89+BA91</f>
        <v>0</v>
      </c>
      <c r="BB92" s="11" t="n">
        <f aca="false">BB88-BB89+BB91</f>
        <v>0</v>
      </c>
      <c r="BC92" s="11" t="n">
        <f aca="false">BC88-BC89+BC91</f>
        <v>0</v>
      </c>
      <c r="BD92" s="11" t="n">
        <f aca="false">BD88-BD89+BD91</f>
        <v>0</v>
      </c>
      <c r="BE92" s="11" t="n">
        <f aca="false">BE88-BE89+BE91</f>
        <v>0</v>
      </c>
      <c r="BF92" s="11" t="n">
        <f aca="false">BF88-BF89+BF91</f>
        <v>0</v>
      </c>
      <c r="BG92" s="11" t="n">
        <f aca="false">BG88-BG89+BG91</f>
        <v>0</v>
      </c>
      <c r="BH92" s="11" t="n">
        <f aca="false">BH88-BH89+BH91</f>
        <v>0</v>
      </c>
      <c r="BI92" s="11" t="n">
        <f aca="false">BI88-BI89+BI91</f>
        <v>0</v>
      </c>
      <c r="BJ92" s="11" t="n">
        <f aca="false">BJ88-BJ89+BJ91</f>
        <v>0</v>
      </c>
      <c r="BK92" s="11" t="n">
        <f aca="false">BK88-BK89+BK91</f>
        <v>0</v>
      </c>
      <c r="BL92" s="11" t="n">
        <f aca="false">BL88-BL89+BL91</f>
        <v>0</v>
      </c>
      <c r="BM92" s="11" t="n">
        <f aca="false">BM88-BM89+BM91</f>
        <v>0</v>
      </c>
      <c r="BN92" s="11" t="n">
        <f aca="false">BN88-BN89+BN91</f>
        <v>0</v>
      </c>
    </row>
    <row r="93" customFormat="false" ht="15" hidden="false" customHeight="false" outlineLevel="0" collapsed="false">
      <c r="D93" s="0" t="s">
        <v>662</v>
      </c>
      <c r="E93" s="0" t="s">
        <v>149</v>
      </c>
      <c r="G93" s="11" t="n">
        <f aca="false">SUM(J93:BN93)</f>
        <v>0</v>
      </c>
      <c r="J93" s="11" t="n">
        <f aca="false">J23*Inputs!$F$191*(J85-J92)/(J25-J32+J40-J47+J55-J62+J70-J77+J85-J92+0.000000001)</f>
        <v>0</v>
      </c>
      <c r="K93" s="11" t="n">
        <f aca="false">K23*Inputs!$F$191*(K85-K92)/(K25-K32+K40-K47+K55-K62+K70-K77+K85-K92+0.000000001)</f>
        <v>0</v>
      </c>
      <c r="L93" s="11" t="n">
        <f aca="false">L23*Inputs!$F$191*(L85-L92)/(L25-L32+L40-L47+L55-L62+L70-L77+L85-L92+0.000000001)</f>
        <v>0</v>
      </c>
      <c r="M93" s="11" t="n">
        <f aca="false">M23*Inputs!$F$191*(M85-M92)/(M25-M32+M40-M47+M55-M62+M70-M77+M85-M92+0.000000001)</f>
        <v>0</v>
      </c>
      <c r="N93" s="11" t="n">
        <f aca="false">N23*Inputs!$F$191*(N85-N92)/(N25-N32+N40-N47+N55-N62+N70-N77+N85-N92+0.000000001)</f>
        <v>0</v>
      </c>
      <c r="O93" s="11" t="n">
        <f aca="false">O23*Inputs!$F$191*(O85-O92)/(O25-O32+O40-O47+O55-O62+O70-O77+O85-O92+0.000000001)</f>
        <v>0</v>
      </c>
      <c r="P93" s="11" t="n">
        <f aca="false">P23*Inputs!$F$191*(P85-P92)/(P25-P32+P40-P47+P55-P62+P70-P77+P85-P92+0.000000001)</f>
        <v>0</v>
      </c>
      <c r="Q93" s="11" t="n">
        <f aca="false">Q23*Inputs!$F$191*(Q85-Q92)/(Q25-Q32+Q40-Q47+Q55-Q62+Q70-Q77+Q85-Q92+0.000000001)</f>
        <v>0</v>
      </c>
      <c r="R93" s="11" t="n">
        <f aca="false">R23*Inputs!$F$191*(R85-R92)/(R25-R32+R40-R47+R55-R62+R70-R77+R85-R92+0.000000001)</f>
        <v>0</v>
      </c>
      <c r="S93" s="11" t="n">
        <f aca="false">S23*Inputs!$F$191*(S85-S92)/(S25-S32+S40-S47+S55-S62+S70-S77+S85-S92+0.000000001)</f>
        <v>0</v>
      </c>
      <c r="T93" s="11" t="n">
        <f aca="false">T23*Inputs!$F$191*(T85-T92)/(T25-T32+T40-T47+T55-T62+T70-T77+T85-T92+0.000000001)</f>
        <v>0</v>
      </c>
      <c r="U93" s="11" t="n">
        <f aca="false">U23*Inputs!$F$191*(U85-U92)/(U25-U32+U40-U47+U55-U62+U70-U77+U85-U92+0.000000001)</f>
        <v>0</v>
      </c>
      <c r="V93" s="11" t="n">
        <f aca="false">V23*Inputs!$F$191*(V85-V92)/(V25-V32+V40-V47+V55-V62+V70-V77+V85-V92+0.000000001)</f>
        <v>0</v>
      </c>
      <c r="W93" s="11" t="n">
        <f aca="false">W23*Inputs!$F$191*(W85-W92)/(W25-W32+W40-W47+W55-W62+W70-W77+W85-W92+0.000000001)</f>
        <v>0</v>
      </c>
      <c r="X93" s="11" t="n">
        <f aca="false">X23*Inputs!$F$191*(X85-X92)/(X25-X32+X40-X47+X55-X62+X70-X77+X85-X92+0.000000001)</f>
        <v>0</v>
      </c>
      <c r="Y93" s="11" t="n">
        <f aca="false">Y23*Inputs!$F$191*(Y85-Y92)/(Y25-Y32+Y40-Y47+Y55-Y62+Y70-Y77+Y85-Y92+0.000000001)</f>
        <v>0</v>
      </c>
      <c r="Z93" s="11" t="n">
        <f aca="false">Z23*Inputs!$F$191*(Z85-Z92)/(Z25-Z32+Z40-Z47+Z55-Z62+Z70-Z77+Z85-Z92+0.000000001)</f>
        <v>0</v>
      </c>
      <c r="AA93" s="11" t="n">
        <f aca="false">AA23*Inputs!$F$191*(AA85-AA92)/(AA25-AA32+AA40-AA47+AA55-AA62+AA70-AA77+AA85-AA92+0.000000001)</f>
        <v>0</v>
      </c>
      <c r="AB93" s="11" t="n">
        <f aca="false">AB23*Inputs!$F$191*(AB85-AB92)/(AB25-AB32+AB40-AB47+AB55-AB62+AB70-AB77+AB85-AB92+0.000000001)</f>
        <v>0</v>
      </c>
      <c r="AC93" s="11" t="n">
        <f aca="false">AC23*Inputs!$F$191*(AC85-AC92)/(AC25-AC32+AC40-AC47+AC55-AC62+AC70-AC77+AC85-AC92+0.000000001)</f>
        <v>0</v>
      </c>
      <c r="AD93" s="11" t="n">
        <f aca="false">AD23*Inputs!$F$191*(AD85-AD92)/(AD25-AD32+AD40-AD47+AD55-AD62+AD70-AD77+AD85-AD92+0.000000001)</f>
        <v>0</v>
      </c>
      <c r="AE93" s="11" t="n">
        <f aca="false">AE23*Inputs!$F$191*(AE85-AE92)/(AE25-AE32+AE40-AE47+AE55-AE62+AE70-AE77+AE85-AE92+0.000000001)</f>
        <v>0</v>
      </c>
      <c r="AF93" s="11" t="n">
        <f aca="false">AF23*Inputs!$F$191*(AF85-AF92)/(AF25-AF32+AF40-AF47+AF55-AF62+AF70-AF77+AF85-AF92+0.000000001)</f>
        <v>0</v>
      </c>
      <c r="AG93" s="11" t="n">
        <f aca="false">AG23*Inputs!$F$191*(AG85-AG92)/(AG25-AG32+AG40-AG47+AG55-AG62+AG70-AG77+AG85-AG92+0.000000001)</f>
        <v>0</v>
      </c>
      <c r="AH93" s="11" t="n">
        <f aca="false">AH23*Inputs!$F$191*(AH85-AH92)/(AH25-AH32+AH40-AH47+AH55-AH62+AH70-AH77+AH85-AH92+0.000000001)</f>
        <v>0</v>
      </c>
      <c r="AI93" s="11" t="n">
        <f aca="false">AI23*Inputs!$F$191*(AI85-AI92)/(AI25-AI32+AI40-AI47+AI55-AI62+AI70-AI77+AI85-AI92+0.000000001)</f>
        <v>0</v>
      </c>
      <c r="AJ93" s="11" t="n">
        <f aca="false">AJ23*Inputs!$F$191*(AJ85-AJ92)/(AJ25-AJ32+AJ40-AJ47+AJ55-AJ62+AJ70-AJ77+AJ85-AJ92+0.000000001)</f>
        <v>0</v>
      </c>
      <c r="AK93" s="11" t="n">
        <f aca="false">AK23*Inputs!$F$191*(AK85-AK92)/(AK25-AK32+AK40-AK47+AK55-AK62+AK70-AK77+AK85-AK92+0.000000001)</f>
        <v>0</v>
      </c>
      <c r="AL93" s="11" t="n">
        <f aca="false">AL23*Inputs!$F$191*(AL85-AL92)/(AL25-AL32+AL40-AL47+AL55-AL62+AL70-AL77+AL85-AL92+0.000000001)</f>
        <v>0</v>
      </c>
      <c r="AM93" s="11" t="n">
        <f aca="false">AM23*Inputs!$F$191*(AM85-AM92)/(AM25-AM32+AM40-AM47+AM55-AM62+AM70-AM77+AM85-AM92+0.000000001)</f>
        <v>0</v>
      </c>
      <c r="AN93" s="11" t="n">
        <f aca="false">AN23*Inputs!$F$191*(AN85-AN92)/(AN25-AN32+AN40-AN47+AN55-AN62+AN70-AN77+AN85-AN92+0.000000001)</f>
        <v>0</v>
      </c>
      <c r="AO93" s="11" t="n">
        <f aca="false">AO23*Inputs!$F$191*(AO85-AO92)/(AO25-AO32+AO40-AO47+AO55-AO62+AO70-AO77+AO85-AO92+0.000000001)</f>
        <v>0</v>
      </c>
      <c r="AP93" s="11" t="n">
        <f aca="false">AP23*Inputs!$F$191*(AP85-AP92)/(AP25-AP32+AP40-AP47+AP55-AP62+AP70-AP77+AP85-AP92+0.000000001)</f>
        <v>0</v>
      </c>
      <c r="AQ93" s="11" t="n">
        <f aca="false">AQ23*Inputs!$F$191*(AQ85-AQ92)/(AQ25-AQ32+AQ40-AQ47+AQ55-AQ62+AQ70-AQ77+AQ85-AQ92+0.000000001)</f>
        <v>0</v>
      </c>
      <c r="AR93" s="11" t="n">
        <f aca="false">AR23*Inputs!$F$191*(AR85-AR92)/(AR25-AR32+AR40-AR47+AR55-AR62+AR70-AR77+AR85-AR92+0.000000001)</f>
        <v>0</v>
      </c>
      <c r="AS93" s="11" t="n">
        <f aca="false">AS23*Inputs!$F$191*(AS85-AS92)/(AS25-AS32+AS40-AS47+AS55-AS62+AS70-AS77+AS85-AS92+0.000000001)</f>
        <v>0</v>
      </c>
      <c r="AT93" s="11" t="n">
        <f aca="false">AT23*Inputs!$F$191*(AT85-AT92)/(AT25-AT32+AT40-AT47+AT55-AT62+AT70-AT77+AT85-AT92+0.000000001)</f>
        <v>0</v>
      </c>
      <c r="AU93" s="11" t="n">
        <f aca="false">AU23*Inputs!$F$191*(AU85-AU92)/(AU25-AU32+AU40-AU47+AU55-AU62+AU70-AU77+AU85-AU92+0.000000001)</f>
        <v>0</v>
      </c>
      <c r="AV93" s="11" t="n">
        <f aca="false">AV23*Inputs!$F$191*(AV85-AV92)/(AV25-AV32+AV40-AV47+AV55-AV62+AV70-AV77+AV85-AV92+0.000000001)</f>
        <v>0</v>
      </c>
      <c r="AW93" s="11" t="n">
        <f aca="false">AW23*Inputs!$F$191*(AW85-AW92)/(AW25-AW32+AW40-AW47+AW55-AW62+AW70-AW77+AW85-AW92+0.000000001)</f>
        <v>0</v>
      </c>
      <c r="AX93" s="11" t="n">
        <f aca="false">AX23*Inputs!$F$191*(AX85-AX92)/(AX25-AX32+AX40-AX47+AX55-AX62+AX70-AX77+AX85-AX92+0.000000001)</f>
        <v>0</v>
      </c>
      <c r="AY93" s="11" t="n">
        <f aca="false">AY23*Inputs!$F$191*(AY85-AY92)/(AY25-AY32+AY40-AY47+AY55-AY62+AY70-AY77+AY85-AY92+0.000000001)</f>
        <v>0</v>
      </c>
      <c r="AZ93" s="11" t="n">
        <f aca="false">AZ23*Inputs!$F$191*(AZ85-AZ92)/(AZ25-AZ32+AZ40-AZ47+AZ55-AZ62+AZ70-AZ77+AZ85-AZ92+0.000000001)</f>
        <v>0</v>
      </c>
      <c r="BA93" s="11" t="n">
        <f aca="false">BA23*Inputs!$F$191*(BA85-BA92)/(BA25-BA32+BA40-BA47+BA55-BA62+BA70-BA77+BA85-BA92+0.000000001)</f>
        <v>0</v>
      </c>
      <c r="BB93" s="11" t="n">
        <f aca="false">BB23*Inputs!$F$191*(BB85-BB92)/(BB25-BB32+BB40-BB47+BB55-BB62+BB70-BB77+BB85-BB92+0.000000001)</f>
        <v>0</v>
      </c>
      <c r="BC93" s="11" t="n">
        <f aca="false">BC23*Inputs!$F$191*(BC85-BC92)/(BC25-BC32+BC40-BC47+BC55-BC62+BC70-BC77+BC85-BC92+0.000000001)</f>
        <v>0</v>
      </c>
      <c r="BD93" s="11" t="n">
        <f aca="false">BD23*Inputs!$F$191*(BD85-BD92)/(BD25-BD32+BD40-BD47+BD55-BD62+BD70-BD77+BD85-BD92+0.000000001)</f>
        <v>0</v>
      </c>
      <c r="BE93" s="11" t="n">
        <f aca="false">BE23*Inputs!$F$191*(BE85-BE92)/(BE25-BE32+BE40-BE47+BE55-BE62+BE70-BE77+BE85-BE92+0.000000001)</f>
        <v>0</v>
      </c>
      <c r="BF93" s="11" t="n">
        <f aca="false">BF23*Inputs!$F$191*(BF85-BF92)/(BF25-BF32+BF40-BF47+BF55-BF62+BF70-BF77+BF85-BF92+0.000000001)</f>
        <v>0</v>
      </c>
      <c r="BG93" s="11" t="n">
        <f aca="false">BG23*Inputs!$F$191*(BG85-BG92)/(BG25-BG32+BG40-BG47+BG55-BG62+BG70-BG77+BG85-BG92+0.000000001)</f>
        <v>0</v>
      </c>
      <c r="BH93" s="11" t="n">
        <f aca="false">BH23*Inputs!$F$191*(BH85-BH92)/(BH25-BH32+BH40-BH47+BH55-BH62+BH70-BH77+BH85-BH92+0.000000001)</f>
        <v>0</v>
      </c>
      <c r="BI93" s="11" t="n">
        <f aca="false">BI23*Inputs!$F$191*(BI85-BI92)/(BI25-BI32+BI40-BI47+BI55-BI62+BI70-BI77+BI85-BI92+0.000000001)</f>
        <v>0</v>
      </c>
      <c r="BJ93" s="11" t="n">
        <f aca="false">BJ23*Inputs!$F$191*(BJ85-BJ92)/(BJ25-BJ32+BJ40-BJ47+BJ55-BJ62+BJ70-BJ77+BJ85-BJ92+0.000000001)</f>
        <v>0</v>
      </c>
      <c r="BK93" s="11" t="n">
        <f aca="false">BK23*Inputs!$F$191*(BK85-BK92)/(BK25-BK32+BK40-BK47+BK55-BK62+BK70-BK77+BK85-BK92+0.000000001)</f>
        <v>0</v>
      </c>
      <c r="BL93" s="11" t="n">
        <f aca="false">BL23*Inputs!$F$191*(BL85-BL92)/(BL25-BL32+BL40-BL47+BL55-BL62+BL70-BL77+BL85-BL92+0.000000001)</f>
        <v>0</v>
      </c>
      <c r="BM93" s="11" t="n">
        <f aca="false">BM23*Inputs!$F$191*(BM85-BM92)/(BM25-BM32+BM40-BM47+BM55-BM62+BM70-BM77+BM85-BM92+0.000000001)</f>
        <v>0</v>
      </c>
      <c r="BN93" s="11" t="n">
        <f aca="false">BN23*Inputs!$F$191*(BN85-BN92)/(BN25-BN32+BN40-BN47+BN55-BN62+BN70-BN77+BN85-BN92+0.000000001)</f>
        <v>0</v>
      </c>
    </row>
    <row r="94" customFormat="false" ht="15" hidden="false" customHeight="false" outlineLevel="0" collapsed="false">
      <c r="D94" s="0" t="s">
        <v>663</v>
      </c>
      <c r="E94" s="0" t="s">
        <v>149</v>
      </c>
      <c r="G94" s="11" t="n">
        <f aca="false">SUM(J94:BN94)</f>
        <v>0</v>
      </c>
      <c r="J94" s="11" t="n">
        <f aca="false">J20*(J85-J92-J93)</f>
        <v>0</v>
      </c>
      <c r="K94" s="11" t="n">
        <f aca="false">K20*(K85-K92-K93)</f>
        <v>0</v>
      </c>
      <c r="L94" s="11" t="n">
        <f aca="false">L20*(L85-L92-L93)</f>
        <v>0</v>
      </c>
      <c r="M94" s="11" t="n">
        <f aca="false">M20*(M85-M92-M93)</f>
        <v>0</v>
      </c>
      <c r="N94" s="11" t="n">
        <f aca="false">N20*(N85-N92-N93)</f>
        <v>0</v>
      </c>
      <c r="O94" s="11" t="n">
        <f aca="false">O20*(O85-O92-O93)</f>
        <v>0</v>
      </c>
      <c r="P94" s="11" t="n">
        <f aca="false">P20*(P85-P92-P93)</f>
        <v>0</v>
      </c>
      <c r="Q94" s="11" t="n">
        <f aca="false">Q20*(Q85-Q92-Q93)</f>
        <v>0</v>
      </c>
      <c r="R94" s="11" t="n">
        <f aca="false">R20*(R85-R92-R93)</f>
        <v>0</v>
      </c>
      <c r="S94" s="11" t="n">
        <f aca="false">S20*(S85-S92-S93)</f>
        <v>0</v>
      </c>
      <c r="T94" s="11" t="n">
        <f aca="false">T20*(T85-T92-T93)</f>
        <v>0</v>
      </c>
      <c r="U94" s="11" t="n">
        <f aca="false">U20*(U85-U92-U93)</f>
        <v>0</v>
      </c>
      <c r="V94" s="11" t="n">
        <f aca="false">V20*(V85-V92-V93)</f>
        <v>0</v>
      </c>
      <c r="W94" s="11" t="n">
        <f aca="false">W20*(W85-W92-W93)</f>
        <v>0</v>
      </c>
      <c r="X94" s="11" t="n">
        <f aca="false">X20*(X85-X92-X93)</f>
        <v>0</v>
      </c>
      <c r="Y94" s="11" t="n">
        <f aca="false">Y20*(Y85-Y92-Y93)</f>
        <v>0</v>
      </c>
      <c r="Z94" s="11" t="n">
        <f aca="false">Z20*(Z85-Z92-Z93)</f>
        <v>0</v>
      </c>
      <c r="AA94" s="11" t="n">
        <f aca="false">AA20*(AA85-AA92-AA93)</f>
        <v>0</v>
      </c>
      <c r="AB94" s="11" t="n">
        <f aca="false">AB20*(AB85-AB92-AB93)</f>
        <v>0</v>
      </c>
      <c r="AC94" s="11" t="n">
        <f aca="false">AC20*(AC85-AC92-AC93)</f>
        <v>0</v>
      </c>
      <c r="AD94" s="11" t="n">
        <f aca="false">AD20*(AD85-AD92-AD93)</f>
        <v>0</v>
      </c>
      <c r="AE94" s="11" t="n">
        <f aca="false">AE20*(AE85-AE92-AE93)</f>
        <v>0</v>
      </c>
      <c r="AF94" s="11" t="n">
        <f aca="false">AF20*(AF85-AF92-AF93)</f>
        <v>0</v>
      </c>
      <c r="AG94" s="11" t="n">
        <f aca="false">AG20*(AG85-AG92-AG93)</f>
        <v>0</v>
      </c>
      <c r="AH94" s="11" t="n">
        <f aca="false">AH20*(AH85-AH92-AH93)</f>
        <v>0</v>
      </c>
      <c r="AI94" s="11" t="n">
        <f aca="false">AI20*(AI85-AI92-AI93)</f>
        <v>0</v>
      </c>
      <c r="AJ94" s="11" t="n">
        <f aca="false">AJ20*(AJ85-AJ92-AJ93)</f>
        <v>0</v>
      </c>
      <c r="AK94" s="11" t="n">
        <f aca="false">AK20*(AK85-AK92-AK93)</f>
        <v>0</v>
      </c>
      <c r="AL94" s="11" t="n">
        <f aca="false">AL20*(AL85-AL92-AL93)</f>
        <v>0</v>
      </c>
      <c r="AM94" s="11" t="n">
        <f aca="false">AM20*(AM85-AM92-AM93)</f>
        <v>0</v>
      </c>
      <c r="AN94" s="11" t="n">
        <f aca="false">AN20*(AN85-AN92-AN93)</f>
        <v>0</v>
      </c>
      <c r="AO94" s="11" t="n">
        <f aca="false">AO20*(AO85-AO92-AO93)</f>
        <v>0</v>
      </c>
      <c r="AP94" s="11" t="n">
        <f aca="false">AP20*(AP85-AP92-AP93)</f>
        <v>0</v>
      </c>
      <c r="AQ94" s="11" t="n">
        <f aca="false">AQ20*(AQ85-AQ92-AQ93)</f>
        <v>0</v>
      </c>
      <c r="AR94" s="11" t="n">
        <f aca="false">AR20*(AR85-AR92-AR93)</f>
        <v>0</v>
      </c>
      <c r="AS94" s="11" t="n">
        <f aca="false">AS20*(AS85-AS92-AS93)</f>
        <v>0</v>
      </c>
      <c r="AT94" s="11" t="n">
        <f aca="false">AT20*(AT85-AT92-AT93)</f>
        <v>0</v>
      </c>
      <c r="AU94" s="11" t="n">
        <f aca="false">AU20*(AU85-AU92-AU93)</f>
        <v>0</v>
      </c>
      <c r="AV94" s="11" t="n">
        <f aca="false">AV20*(AV85-AV92-AV93)</f>
        <v>0</v>
      </c>
      <c r="AW94" s="11" t="n">
        <f aca="false">AW20*(AW85-AW92-AW93)</f>
        <v>0</v>
      </c>
      <c r="AX94" s="11" t="n">
        <f aca="false">AX20*(AX85-AX92-AX93)</f>
        <v>0</v>
      </c>
      <c r="AY94" s="11" t="n">
        <f aca="false">AY20*(AY85-AY92-AY93)</f>
        <v>0</v>
      </c>
      <c r="AZ94" s="11" t="n">
        <f aca="false">AZ20*(AZ85-AZ92-AZ93)</f>
        <v>0</v>
      </c>
      <c r="BA94" s="11" t="n">
        <f aca="false">BA20*(BA85-BA92-BA93)</f>
        <v>0</v>
      </c>
      <c r="BB94" s="11" t="n">
        <f aca="false">BB20*(BB85-BB92-BB93)</f>
        <v>0</v>
      </c>
      <c r="BC94" s="11" t="n">
        <f aca="false">BC20*(BC85-BC92-BC93)</f>
        <v>0</v>
      </c>
      <c r="BD94" s="11" t="n">
        <f aca="false">BD20*(BD85-BD92-BD93)</f>
        <v>0</v>
      </c>
      <c r="BE94" s="11" t="n">
        <f aca="false">BE20*(BE85-BE92-BE93)</f>
        <v>0</v>
      </c>
      <c r="BF94" s="11" t="n">
        <f aca="false">BF20*(BF85-BF92-BF93)</f>
        <v>0</v>
      </c>
      <c r="BG94" s="11" t="n">
        <f aca="false">BG20*(BG85-BG92-BG93)</f>
        <v>0</v>
      </c>
      <c r="BH94" s="11" t="n">
        <f aca="false">BH20*(BH85-BH92-BH93)</f>
        <v>0</v>
      </c>
      <c r="BI94" s="11" t="n">
        <f aca="false">BI20*(BI85-BI92-BI93)</f>
        <v>0</v>
      </c>
      <c r="BJ94" s="11" t="n">
        <f aca="false">BJ20*(BJ85-BJ92-BJ93)</f>
        <v>0</v>
      </c>
      <c r="BK94" s="11" t="n">
        <f aca="false">BK20*(BK85-BK92-BK93)</f>
        <v>0</v>
      </c>
      <c r="BL94" s="11" t="n">
        <f aca="false">BL20*(BL85-BL92-BL93)</f>
        <v>0</v>
      </c>
      <c r="BM94" s="11" t="n">
        <f aca="false">BM20*(BM85-BM92-BM93)</f>
        <v>0</v>
      </c>
      <c r="BN94" s="11" t="n">
        <f aca="false">BN20*(BN85-BN92-BN93)</f>
        <v>0</v>
      </c>
    </row>
    <row r="95" customFormat="false" ht="15" hidden="false" customHeight="false" outlineLevel="0" collapsed="false">
      <c r="D95" s="0" t="s">
        <v>664</v>
      </c>
      <c r="E95" s="0" t="s">
        <v>149</v>
      </c>
      <c r="J95" s="11" t="n">
        <f aca="false">IF(J20=1,0,1)*(J86+J89-J91)</f>
        <v>0</v>
      </c>
      <c r="K95" s="11" t="n">
        <f aca="false">IF(K20=1,0,1)*(K86+K89-K91)</f>
        <v>0</v>
      </c>
      <c r="L95" s="11" t="n">
        <f aca="false">IF(L20=1,0,1)*(L86+L89-L91)</f>
        <v>0</v>
      </c>
      <c r="M95" s="11" t="n">
        <f aca="false">IF(M20=1,0,1)*(M86+M89-M91)</f>
        <v>0</v>
      </c>
      <c r="N95" s="11" t="n">
        <f aca="false">IF(N20=1,0,1)*(N86+N89-N91)</f>
        <v>0</v>
      </c>
      <c r="O95" s="11" t="n">
        <f aca="false">IF(O20=1,0,1)*(O86+O89-O91)</f>
        <v>0</v>
      </c>
      <c r="P95" s="11" t="n">
        <f aca="false">IF(P20=1,0,1)*(P86+P89-P91)</f>
        <v>0</v>
      </c>
      <c r="Q95" s="11" t="n">
        <f aca="false">IF(Q20=1,0,1)*(Q86+Q89-Q91)</f>
        <v>0</v>
      </c>
      <c r="R95" s="11" t="n">
        <f aca="false">IF(R20=1,0,1)*(R86+R89-R91)</f>
        <v>0</v>
      </c>
      <c r="S95" s="11" t="n">
        <f aca="false">IF(S20=1,0,1)*(S86+S89-S91)</f>
        <v>0</v>
      </c>
      <c r="T95" s="11" t="n">
        <f aca="false">IF(T20=1,0,1)*(T86+T89-T91)</f>
        <v>0</v>
      </c>
      <c r="U95" s="11" t="n">
        <f aca="false">IF(U20=1,0,1)*(U86+U89-U91)</f>
        <v>0</v>
      </c>
      <c r="V95" s="11" t="n">
        <f aca="false">IF(V20=1,0,1)*(V86+V89-V91)</f>
        <v>0</v>
      </c>
      <c r="W95" s="11" t="n">
        <f aca="false">IF(W20=1,0,1)*(W86+W89-W91)</f>
        <v>0</v>
      </c>
      <c r="X95" s="11" t="n">
        <f aca="false">IF(X20=1,0,1)*(X86+X89-X91)</f>
        <v>0</v>
      </c>
      <c r="Y95" s="11" t="n">
        <f aca="false">IF(Y20=1,0,1)*(Y86+Y89-Y91)</f>
        <v>0</v>
      </c>
      <c r="Z95" s="11" t="n">
        <f aca="false">IF(Z20=1,0,1)*(Z86+Z89-Z91)</f>
        <v>0</v>
      </c>
      <c r="AA95" s="11" t="n">
        <f aca="false">IF(AA20=1,0,1)*(AA86+AA89-AA91)</f>
        <v>0</v>
      </c>
      <c r="AB95" s="11" t="n">
        <f aca="false">IF(AB20=1,0,1)*(AB86+AB89-AB91)</f>
        <v>0</v>
      </c>
      <c r="AC95" s="11" t="n">
        <f aca="false">IF(AC20=1,0,1)*(AC86+AC89-AC91)</f>
        <v>0</v>
      </c>
      <c r="AD95" s="11" t="n">
        <f aca="false">IF(AD20=1,0,1)*(AD86+AD89-AD91)</f>
        <v>0</v>
      </c>
      <c r="AE95" s="11" t="n">
        <f aca="false">IF(AE20=1,0,1)*(AE86+AE89-AE91)</f>
        <v>0</v>
      </c>
      <c r="AF95" s="11" t="n">
        <f aca="false">IF(AF20=1,0,1)*(AF86+AF89-AF91)</f>
        <v>0</v>
      </c>
      <c r="AG95" s="11" t="n">
        <f aca="false">IF(AG20=1,0,1)*(AG86+AG89-AG91)</f>
        <v>0</v>
      </c>
      <c r="AH95" s="11" t="n">
        <f aca="false">IF(AH20=1,0,1)*(AH86+AH89-AH91)</f>
        <v>0</v>
      </c>
      <c r="AI95" s="11" t="n">
        <f aca="false">IF(AI20=1,0,1)*(AI86+AI89-AI91)</f>
        <v>0</v>
      </c>
      <c r="AJ95" s="11" t="n">
        <f aca="false">IF(AJ20=1,0,1)*(AJ86+AJ89-AJ91)</f>
        <v>0</v>
      </c>
      <c r="AK95" s="11" t="n">
        <f aca="false">IF(AK20=1,0,1)*(AK86+AK89-AK91)</f>
        <v>0</v>
      </c>
      <c r="AL95" s="11" t="n">
        <f aca="false">IF(AL20=1,0,1)*(AL86+AL89-AL91)</f>
        <v>0</v>
      </c>
      <c r="AM95" s="11" t="n">
        <f aca="false">IF(AM20=1,0,1)*(AM86+AM89-AM91)</f>
        <v>0</v>
      </c>
      <c r="AN95" s="11" t="n">
        <f aca="false">IF(AN20=1,0,1)*(AN86+AN89-AN91)</f>
        <v>0</v>
      </c>
      <c r="AO95" s="11" t="n">
        <f aca="false">IF(AO20=1,0,1)*(AO86+AO89-AO91)</f>
        <v>0</v>
      </c>
      <c r="AP95" s="11" t="n">
        <f aca="false">IF(AP20=1,0,1)*(AP86+AP89-AP91)</f>
        <v>0</v>
      </c>
      <c r="AQ95" s="11" t="n">
        <f aca="false">IF(AQ20=1,0,1)*(AQ86+AQ89-AQ91)</f>
        <v>0</v>
      </c>
      <c r="AR95" s="11" t="n">
        <f aca="false">IF(AR20=1,0,1)*(AR86+AR89-AR91)</f>
        <v>0</v>
      </c>
      <c r="AS95" s="11" t="n">
        <f aca="false">IF(AS20=1,0,1)*(AS86+AS89-AS91)</f>
        <v>0</v>
      </c>
      <c r="AT95" s="11" t="n">
        <f aca="false">IF(AT20=1,0,1)*(AT86+AT89-AT91)</f>
        <v>0</v>
      </c>
      <c r="AU95" s="11" t="n">
        <f aca="false">IF(AU20=1,0,1)*(AU86+AU89-AU91)</f>
        <v>0</v>
      </c>
      <c r="AV95" s="11" t="n">
        <f aca="false">IF(AV20=1,0,1)*(AV86+AV89-AV91)</f>
        <v>0</v>
      </c>
      <c r="AW95" s="11" t="n">
        <f aca="false">IF(AW20=1,0,1)*(AW86+AW89-AW91)</f>
        <v>0</v>
      </c>
      <c r="AX95" s="11" t="n">
        <f aca="false">IF(AX20=1,0,1)*(AX86+AX89-AX91)</f>
        <v>0</v>
      </c>
      <c r="AY95" s="11" t="n">
        <f aca="false">IF(AY20=1,0,1)*(AY86+AY89-AY91)</f>
        <v>0</v>
      </c>
      <c r="AZ95" s="11" t="n">
        <f aca="false">IF(AZ20=1,0,1)*(AZ86+AZ89-AZ91)</f>
        <v>0</v>
      </c>
      <c r="BA95" s="11" t="n">
        <f aca="false">IF(BA20=1,0,1)*(BA86+BA89-BA91)</f>
        <v>0</v>
      </c>
      <c r="BB95" s="11" t="n">
        <f aca="false">IF(BB20=1,0,1)*(BB86+BB89-BB91)</f>
        <v>0</v>
      </c>
      <c r="BC95" s="11" t="n">
        <f aca="false">IF(BC20=1,0,1)*(BC86+BC89-BC91)</f>
        <v>0</v>
      </c>
      <c r="BD95" s="11" t="n">
        <f aca="false">IF(BD20=1,0,1)*(BD86+BD89-BD91)</f>
        <v>0</v>
      </c>
      <c r="BE95" s="11" t="n">
        <f aca="false">IF(BE20=1,0,1)*(BE86+BE89-BE91)</f>
        <v>0</v>
      </c>
      <c r="BF95" s="11" t="n">
        <f aca="false">IF(BF20=1,0,1)*(BF86+BF89-BF91)</f>
        <v>0</v>
      </c>
      <c r="BG95" s="11" t="n">
        <f aca="false">IF(BG20=1,0,1)*(BG86+BG89-BG91)</f>
        <v>0</v>
      </c>
      <c r="BH95" s="11" t="n">
        <f aca="false">IF(BH20=1,0,1)*(BH86+BH89-BH91)</f>
        <v>0</v>
      </c>
      <c r="BI95" s="11" t="n">
        <f aca="false">IF(BI20=1,0,1)*(BI86+BI89-BI91)</f>
        <v>0</v>
      </c>
      <c r="BJ95" s="11" t="n">
        <f aca="false">IF(BJ20=1,0,1)*(BJ86+BJ89-BJ91)</f>
        <v>0</v>
      </c>
      <c r="BK95" s="11" t="n">
        <f aca="false">IF(BK20=1,0,1)*(BK86+BK89-BK91)</f>
        <v>0</v>
      </c>
      <c r="BL95" s="11" t="n">
        <f aca="false">IF(BL20=1,0,1)*(BL86+BL89-BL91)</f>
        <v>0</v>
      </c>
      <c r="BM95" s="11" t="n">
        <f aca="false">IF(BM20=1,0,1)*(BM86+BM89-BM91)</f>
        <v>0</v>
      </c>
      <c r="BN95" s="11" t="n">
        <f aca="false">IF(BN20=1,0,1)*(BN86+BN89-BN91)</f>
        <v>0</v>
      </c>
    </row>
    <row r="96" customFormat="false" ht="15" hidden="false" customHeight="false" outlineLevel="0" collapsed="false">
      <c r="D96" s="0" t="s">
        <v>665</v>
      </c>
      <c r="E96" s="0" t="s">
        <v>149</v>
      </c>
      <c r="J96" s="11" t="n">
        <f aca="false">J85-J92-J93-J94</f>
        <v>0</v>
      </c>
      <c r="K96" s="11" t="n">
        <f aca="false">K85-K92-K93-K94</f>
        <v>0</v>
      </c>
      <c r="L96" s="11" t="n">
        <f aca="false">L85-L92-L93-L94</f>
        <v>0</v>
      </c>
      <c r="M96" s="11" t="n">
        <f aca="false">M85-M92-M93-M94</f>
        <v>0</v>
      </c>
      <c r="N96" s="11" t="n">
        <f aca="false">N85-N92-N93-N94</f>
        <v>0</v>
      </c>
      <c r="O96" s="11" t="n">
        <f aca="false">O85-O92-O93-O94</f>
        <v>0</v>
      </c>
      <c r="P96" s="11" t="n">
        <f aca="false">P85-P92-P93-P94</f>
        <v>0</v>
      </c>
      <c r="Q96" s="11" t="n">
        <f aca="false">Q85-Q92-Q93-Q94</f>
        <v>0</v>
      </c>
      <c r="R96" s="11" t="n">
        <f aca="false">R85-R92-R93-R94</f>
        <v>0</v>
      </c>
      <c r="S96" s="11" t="n">
        <f aca="false">S85-S92-S93-S94</f>
        <v>0</v>
      </c>
      <c r="T96" s="11" t="n">
        <f aca="false">T85-T92-T93-T94</f>
        <v>0</v>
      </c>
      <c r="U96" s="11" t="n">
        <f aca="false">U85-U92-U93-U94</f>
        <v>0</v>
      </c>
      <c r="V96" s="11" t="n">
        <f aca="false">V85-V92-V93-V94</f>
        <v>0</v>
      </c>
      <c r="W96" s="11" t="n">
        <f aca="false">W85-W92-W93-W94</f>
        <v>0</v>
      </c>
      <c r="X96" s="11" t="n">
        <f aca="false">X85-X92-X93-X94</f>
        <v>0</v>
      </c>
      <c r="Y96" s="11" t="n">
        <f aca="false">Y85-Y92-Y93-Y94</f>
        <v>0</v>
      </c>
      <c r="Z96" s="11" t="n">
        <f aca="false">Z85-Z92-Z93-Z94</f>
        <v>0</v>
      </c>
      <c r="AA96" s="11" t="n">
        <f aca="false">AA85-AA92-AA93-AA94</f>
        <v>0</v>
      </c>
      <c r="AB96" s="11" t="n">
        <f aca="false">AB85-AB92-AB93-AB94</f>
        <v>0</v>
      </c>
      <c r="AC96" s="11" t="n">
        <f aca="false">AC85-AC92-AC93-AC94</f>
        <v>0</v>
      </c>
      <c r="AD96" s="11" t="n">
        <f aca="false">AD85-AD92-AD93-AD94</f>
        <v>0</v>
      </c>
      <c r="AE96" s="11" t="n">
        <f aca="false">AE85-AE92-AE93-AE94</f>
        <v>0</v>
      </c>
      <c r="AF96" s="11" t="n">
        <f aca="false">AF85-AF92-AF93-AF94</f>
        <v>0</v>
      </c>
      <c r="AG96" s="11" t="n">
        <f aca="false">AG85-AG92-AG93-AG94</f>
        <v>0</v>
      </c>
      <c r="AH96" s="11" t="n">
        <f aca="false">AH85-AH92-AH93-AH94</f>
        <v>0</v>
      </c>
      <c r="AI96" s="11" t="n">
        <f aca="false">AI85-AI92-AI93-AI94</f>
        <v>0</v>
      </c>
      <c r="AJ96" s="11" t="n">
        <f aca="false">AJ85-AJ92-AJ93-AJ94</f>
        <v>0</v>
      </c>
      <c r="AK96" s="11" t="n">
        <f aca="false">AK85-AK92-AK93-AK94</f>
        <v>0</v>
      </c>
      <c r="AL96" s="11" t="n">
        <f aca="false">AL85-AL92-AL93-AL94</f>
        <v>0</v>
      </c>
      <c r="AM96" s="11" t="n">
        <f aca="false">AM85-AM92-AM93-AM94</f>
        <v>0</v>
      </c>
      <c r="AN96" s="11" t="n">
        <f aca="false">AN85-AN92-AN93-AN94</f>
        <v>0</v>
      </c>
      <c r="AO96" s="11" t="n">
        <f aca="false">AO85-AO92-AO93-AO94</f>
        <v>0</v>
      </c>
      <c r="AP96" s="11" t="n">
        <f aca="false">AP85-AP92-AP93-AP94</f>
        <v>0</v>
      </c>
      <c r="AQ96" s="11" t="n">
        <f aca="false">AQ85-AQ92-AQ93-AQ94</f>
        <v>0</v>
      </c>
      <c r="AR96" s="11" t="n">
        <f aca="false">AR85-AR92-AR93-AR94</f>
        <v>0</v>
      </c>
      <c r="AS96" s="11" t="n">
        <f aca="false">AS85-AS92-AS93-AS94</f>
        <v>0</v>
      </c>
      <c r="AT96" s="11" t="n">
        <f aca="false">AT85-AT92-AT93-AT94</f>
        <v>0</v>
      </c>
      <c r="AU96" s="11" t="n">
        <f aca="false">AU85-AU92-AU93-AU94</f>
        <v>0</v>
      </c>
      <c r="AV96" s="11" t="n">
        <f aca="false">AV85-AV92-AV93-AV94</f>
        <v>0</v>
      </c>
      <c r="AW96" s="11" t="n">
        <f aca="false">AW85-AW92-AW93-AW94</f>
        <v>0</v>
      </c>
      <c r="AX96" s="11" t="n">
        <f aca="false">AX85-AX92-AX93-AX94</f>
        <v>0</v>
      </c>
      <c r="AY96" s="11" t="n">
        <f aca="false">AY85-AY92-AY93-AY94</f>
        <v>0</v>
      </c>
      <c r="AZ96" s="11" t="n">
        <f aca="false">AZ85-AZ92-AZ93-AZ94</f>
        <v>0</v>
      </c>
      <c r="BA96" s="11" t="n">
        <f aca="false">BA85-BA92-BA93-BA94</f>
        <v>0</v>
      </c>
      <c r="BB96" s="11" t="n">
        <f aca="false">BB85-BB92-BB93-BB94</f>
        <v>0</v>
      </c>
      <c r="BC96" s="11" t="n">
        <f aca="false">BC85-BC92-BC93-BC94</f>
        <v>0</v>
      </c>
      <c r="BD96" s="11" t="n">
        <f aca="false">BD85-BD92-BD93-BD94</f>
        <v>0</v>
      </c>
      <c r="BE96" s="11" t="n">
        <f aca="false">BE85-BE92-BE93-BE94</f>
        <v>0</v>
      </c>
      <c r="BF96" s="11" t="n">
        <f aca="false">BF85-BF92-BF93-BF94</f>
        <v>0</v>
      </c>
      <c r="BG96" s="11" t="n">
        <f aca="false">BG85-BG92-BG93-BG94</f>
        <v>0</v>
      </c>
      <c r="BH96" s="11" t="n">
        <f aca="false">BH85-BH92-BH93-BH94</f>
        <v>0</v>
      </c>
      <c r="BI96" s="11" t="n">
        <f aca="false">BI85-BI92-BI93-BI94</f>
        <v>0</v>
      </c>
      <c r="BJ96" s="11" t="n">
        <f aca="false">BJ85-BJ92-BJ93-BJ94</f>
        <v>0</v>
      </c>
      <c r="BK96" s="11" t="n">
        <f aca="false">BK85-BK92-BK93-BK94</f>
        <v>0</v>
      </c>
      <c r="BL96" s="11" t="n">
        <f aca="false">BL85-BL92-BL93-BL94</f>
        <v>0</v>
      </c>
      <c r="BM96" s="11" t="n">
        <f aca="false">BM85-BM92-BM93-BM94</f>
        <v>0</v>
      </c>
      <c r="BN96" s="11" t="n">
        <f aca="false">BN85-BN92-BN93-BN94</f>
        <v>0</v>
      </c>
    </row>
    <row r="97" customFormat="false" ht="15" hidden="false" customHeight="false" outlineLevel="0" collapsed="false">
      <c r="D97" s="0" t="s">
        <v>666</v>
      </c>
      <c r="E97" s="0" t="s">
        <v>149</v>
      </c>
      <c r="G97" s="11" t="n">
        <f aca="false">SUM(J97:BN97)</f>
        <v>0</v>
      </c>
      <c r="J97" s="11" t="n">
        <f aca="false">Waterfall!J28*J96/(J36+J51+J66+J81+J96+0.000000001)</f>
        <v>0</v>
      </c>
      <c r="K97" s="11" t="n">
        <f aca="false">Waterfall!K28*K96/(K36+K51+K66+K81+K96+0.000000001)</f>
        <v>0</v>
      </c>
      <c r="L97" s="11" t="n">
        <f aca="false">Waterfall!L28*L96/(L36+L51+L66+L81+L96+0.000000001)</f>
        <v>0</v>
      </c>
      <c r="M97" s="11" t="n">
        <f aca="false">Waterfall!M28*M96/(M36+M51+M66+M81+M96+0.000000001)</f>
        <v>0</v>
      </c>
      <c r="N97" s="11" t="n">
        <f aca="false">Waterfall!N28*N96/(N36+N51+N66+N81+N96+0.000000001)</f>
        <v>0</v>
      </c>
      <c r="O97" s="11" t="n">
        <f aca="false">Waterfall!O28*O96/(O36+O51+O66+O81+O96+0.000000001)</f>
        <v>0</v>
      </c>
      <c r="P97" s="11" t="n">
        <f aca="false">Waterfall!P28*P96/(P36+P51+P66+P81+P96+0.000000001)</f>
        <v>0</v>
      </c>
      <c r="Q97" s="11" t="n">
        <f aca="false">Waterfall!Q28*Q96/(Q36+Q51+Q66+Q81+Q96+0.000000001)</f>
        <v>0</v>
      </c>
      <c r="R97" s="11" t="n">
        <f aca="false">Waterfall!R28*R96/(R36+R51+R66+R81+R96+0.000000001)</f>
        <v>0</v>
      </c>
      <c r="S97" s="11" t="n">
        <f aca="false">Waterfall!S28*S96/(S36+S51+S66+S81+S96+0.000000001)</f>
        <v>0</v>
      </c>
      <c r="T97" s="11" t="n">
        <f aca="false">Waterfall!T28*T96/(T36+T51+T66+T81+T96+0.000000001)</f>
        <v>0</v>
      </c>
      <c r="U97" s="11" t="n">
        <f aca="false">Waterfall!U28*U96/(U36+U51+U66+U81+U96+0.000000001)</f>
        <v>0</v>
      </c>
      <c r="V97" s="11" t="n">
        <f aca="false">Waterfall!V28*V96/(V36+V51+V66+V81+V96+0.000000001)</f>
        <v>0</v>
      </c>
      <c r="W97" s="11" t="n">
        <f aca="false">Waterfall!W28*W96/(W36+W51+W66+W81+W96+0.000000001)</f>
        <v>0</v>
      </c>
      <c r="X97" s="11" t="n">
        <f aca="false">Waterfall!X28*X96/(X36+X51+X66+X81+X96+0.000000001)</f>
        <v>0</v>
      </c>
      <c r="Y97" s="11" t="n">
        <f aca="false">Waterfall!Y28*Y96/(Y36+Y51+Y66+Y81+Y96+0.000000001)</f>
        <v>0</v>
      </c>
      <c r="Z97" s="11" t="n">
        <f aca="false">Waterfall!Z28*Z96/(Z36+Z51+Z66+Z81+Z96+0.000000001)</f>
        <v>0</v>
      </c>
      <c r="AA97" s="11" t="n">
        <f aca="false">Waterfall!AA28*AA96/(AA36+AA51+AA66+AA81+AA96+0.000000001)</f>
        <v>0</v>
      </c>
      <c r="AB97" s="11" t="n">
        <f aca="false">Waterfall!AB28*AB96/(AB36+AB51+AB66+AB81+AB96+0.000000001)</f>
        <v>0</v>
      </c>
      <c r="AC97" s="11" t="n">
        <f aca="false">Waterfall!AC28*AC96/(AC36+AC51+AC66+AC81+AC96+0.000000001)</f>
        <v>0</v>
      </c>
      <c r="AD97" s="11" t="n">
        <f aca="false">Waterfall!AD28*AD96/(AD36+AD51+AD66+AD81+AD96+0.000000001)</f>
        <v>0</v>
      </c>
      <c r="AE97" s="11" t="n">
        <f aca="false">Waterfall!AE28*AE96/(AE36+AE51+AE66+AE81+AE96+0.000000001)</f>
        <v>0</v>
      </c>
      <c r="AF97" s="11" t="n">
        <f aca="false">Waterfall!AF28*AF96/(AF36+AF51+AF66+AF81+AF96+0.000000001)</f>
        <v>0</v>
      </c>
      <c r="AG97" s="11" t="n">
        <f aca="false">Waterfall!AG28*AG96/(AG36+AG51+AG66+AG81+AG96+0.000000001)</f>
        <v>0</v>
      </c>
      <c r="AH97" s="11" t="n">
        <f aca="false">Waterfall!AH28*AH96/(AH36+AH51+AH66+AH81+AH96+0.000000001)</f>
        <v>0</v>
      </c>
      <c r="AI97" s="11" t="n">
        <f aca="false">Waterfall!AI28*AI96/(AI36+AI51+AI66+AI81+AI96+0.000000001)</f>
        <v>0</v>
      </c>
      <c r="AJ97" s="11" t="n">
        <f aca="false">Waterfall!AJ28*AJ96/(AJ36+AJ51+AJ66+AJ81+AJ96+0.000000001)</f>
        <v>0</v>
      </c>
      <c r="AK97" s="11" t="n">
        <f aca="false">Waterfall!AK28*AK96/(AK36+AK51+AK66+AK81+AK96+0.000000001)</f>
        <v>0</v>
      </c>
      <c r="AL97" s="11" t="n">
        <f aca="false">Waterfall!AL28*AL96/(AL36+AL51+AL66+AL81+AL96+0.000000001)</f>
        <v>0</v>
      </c>
      <c r="AM97" s="11" t="n">
        <f aca="false">Waterfall!AM28*AM96/(AM36+AM51+AM66+AM81+AM96+0.000000001)</f>
        <v>0</v>
      </c>
      <c r="AN97" s="11" t="n">
        <f aca="false">Waterfall!AN28*AN96/(AN36+AN51+AN66+AN81+AN96+0.000000001)</f>
        <v>0</v>
      </c>
      <c r="AO97" s="11" t="n">
        <f aca="false">Waterfall!AO28*AO96/(AO36+AO51+AO66+AO81+AO96+0.000000001)</f>
        <v>0</v>
      </c>
      <c r="AP97" s="11" t="n">
        <f aca="false">Waterfall!AP28*AP96/(AP36+AP51+AP66+AP81+AP96+0.000000001)</f>
        <v>0</v>
      </c>
      <c r="AQ97" s="11" t="n">
        <f aca="false">Waterfall!AQ28*AQ96/(AQ36+AQ51+AQ66+AQ81+AQ96+0.000000001)</f>
        <v>0</v>
      </c>
      <c r="AR97" s="11" t="n">
        <f aca="false">Waterfall!AR28*AR96/(AR36+AR51+AR66+AR81+AR96+0.000000001)</f>
        <v>0</v>
      </c>
      <c r="AS97" s="11" t="n">
        <f aca="false">Waterfall!AS28*AS96/(AS36+AS51+AS66+AS81+AS96+0.000000001)</f>
        <v>0</v>
      </c>
      <c r="AT97" s="11" t="n">
        <f aca="false">Waterfall!AT28*AT96/(AT36+AT51+AT66+AT81+AT96+0.000000001)</f>
        <v>0</v>
      </c>
      <c r="AU97" s="11" t="n">
        <f aca="false">Waterfall!AU28*AU96/(AU36+AU51+AU66+AU81+AU96+0.000000001)</f>
        <v>0</v>
      </c>
      <c r="AV97" s="11" t="n">
        <f aca="false">Waterfall!AV28*AV96/(AV36+AV51+AV66+AV81+AV96+0.000000001)</f>
        <v>0</v>
      </c>
      <c r="AW97" s="11" t="n">
        <f aca="false">Waterfall!AW28*AW96/(AW36+AW51+AW66+AW81+AW96+0.000000001)</f>
        <v>0</v>
      </c>
      <c r="AX97" s="11" t="n">
        <f aca="false">Waterfall!AX28*AX96/(AX36+AX51+AX66+AX81+AX96+0.000000001)</f>
        <v>0</v>
      </c>
      <c r="AY97" s="11" t="n">
        <f aca="false">Waterfall!AY28*AY96/(AY36+AY51+AY66+AY81+AY96+0.000000001)</f>
        <v>0</v>
      </c>
      <c r="AZ97" s="11" t="n">
        <f aca="false">Waterfall!AZ28*AZ96/(AZ36+AZ51+AZ66+AZ81+AZ96+0.000000001)</f>
        <v>0</v>
      </c>
      <c r="BA97" s="11" t="n">
        <f aca="false">Waterfall!BA28*BA96/(BA36+BA51+BA66+BA81+BA96+0.000000001)</f>
        <v>0</v>
      </c>
      <c r="BB97" s="11" t="n">
        <f aca="false">Waterfall!BB28*BB96/(BB36+BB51+BB66+BB81+BB96+0.000000001)</f>
        <v>0</v>
      </c>
      <c r="BC97" s="11" t="n">
        <f aca="false">Waterfall!BC28*BC96/(BC36+BC51+BC66+BC81+BC96+0.000000001)</f>
        <v>0</v>
      </c>
      <c r="BD97" s="11" t="n">
        <f aca="false">Waterfall!BD28*BD96/(BD36+BD51+BD66+BD81+BD96+0.000000001)</f>
        <v>0</v>
      </c>
      <c r="BE97" s="11" t="n">
        <f aca="false">Waterfall!BE28*BE96/(BE36+BE51+BE66+BE81+BE96+0.000000001)</f>
        <v>0</v>
      </c>
      <c r="BF97" s="11" t="n">
        <f aca="false">Waterfall!BF28*BF96/(BF36+BF51+BF66+BF81+BF96+0.000000001)</f>
        <v>0</v>
      </c>
      <c r="BG97" s="11" t="n">
        <f aca="false">Waterfall!BG28*BG96/(BG36+BG51+BG66+BG81+BG96+0.000000001)</f>
        <v>0</v>
      </c>
      <c r="BH97" s="11" t="n">
        <f aca="false">Waterfall!BH28*BH96/(BH36+BH51+BH66+BH81+BH96+0.000000001)</f>
        <v>0</v>
      </c>
      <c r="BI97" s="11" t="n">
        <f aca="false">Waterfall!BI28*BI96/(BI36+BI51+BI66+BI81+BI96+0.000000001)</f>
        <v>0</v>
      </c>
      <c r="BJ97" s="11" t="n">
        <f aca="false">Waterfall!BJ28*BJ96/(BJ36+BJ51+BJ66+BJ81+BJ96+0.000000001)</f>
        <v>0</v>
      </c>
      <c r="BK97" s="11" t="n">
        <f aca="false">Waterfall!BK28*BK96/(BK36+BK51+BK66+BK81+BK96+0.000000001)</f>
        <v>0</v>
      </c>
      <c r="BL97" s="11" t="n">
        <f aca="false">Waterfall!BL28*BL96/(BL36+BL51+BL66+BL81+BL96+0.000000001)</f>
        <v>0</v>
      </c>
      <c r="BM97" s="11" t="n">
        <f aca="false">Waterfall!BM28*BM96/(BM36+BM51+BM66+BM81+BM96+0.000000001)</f>
        <v>0</v>
      </c>
      <c r="BN97" s="11" t="n">
        <f aca="false">Waterfall!BN28*BN96/(BN36+BN51+BN66+BN81+BN96+0.000000001)</f>
        <v>0</v>
      </c>
    </row>
    <row r="98" customFormat="false" ht="15" hidden="false" customHeight="false" outlineLevel="0" collapsed="false">
      <c r="D98" s="0" t="s">
        <v>667</v>
      </c>
      <c r="E98" s="0" t="s">
        <v>149</v>
      </c>
      <c r="J98" s="11" t="n">
        <f aca="false">IF(Time!J29=1,INDEX(Funding!$J$65:$BJ$65,1,Time!$F$13),Time!J30*(J96-J97))</f>
        <v>0</v>
      </c>
      <c r="K98" s="11" t="n">
        <f aca="false">IF(Time!K29=1,INDEX(Funding!$J$65:$BJ$65,1,Time!$F$13),Time!K30*(K96-K97))</f>
        <v>0</v>
      </c>
      <c r="L98" s="11" t="n">
        <f aca="false">IF(Time!L29=1,INDEX(Funding!$J$65:$BJ$65,1,Time!$F$13),Time!L30*(L96-L97))</f>
        <v>0</v>
      </c>
      <c r="M98" s="11" t="n">
        <f aca="false">IF(Time!M29=1,INDEX(Funding!$J$65:$BJ$65,1,Time!$F$13),Time!M30*(M96-M97))</f>
        <v>0</v>
      </c>
      <c r="N98" s="11" t="n">
        <f aca="false">IF(Time!N29=1,INDEX(Funding!$J$65:$BJ$65,1,Time!$F$13),Time!N30*(N96-N97))</f>
        <v>0</v>
      </c>
      <c r="O98" s="11" t="n">
        <f aca="false">IF(Time!O29=1,INDEX(Funding!$J$65:$BJ$65,1,Time!$F$13),Time!O30*(O96-O97))</f>
        <v>0</v>
      </c>
      <c r="P98" s="11" t="n">
        <f aca="false">IF(Time!P29=1,INDEX(Funding!$J$65:$BJ$65,1,Time!$F$13),Time!P30*(P96-P97))</f>
        <v>0</v>
      </c>
      <c r="Q98" s="11" t="n">
        <f aca="false">IF(Time!Q29=1,INDEX(Funding!$J$65:$BJ$65,1,Time!$F$13),Time!Q30*(Q96-Q97))</f>
        <v>0</v>
      </c>
      <c r="R98" s="11" t="n">
        <f aca="false">IF(Time!R29=1,INDEX(Funding!$J$65:$BJ$65,1,Time!$F$13),Time!R30*(R96-R97))</f>
        <v>0</v>
      </c>
      <c r="S98" s="11" t="n">
        <f aca="false">IF(Time!S29=1,INDEX(Funding!$J$65:$BJ$65,1,Time!$F$13),Time!S30*(S96-S97))</f>
        <v>0</v>
      </c>
      <c r="T98" s="11" t="n">
        <f aca="false">IF(Time!T29=1,INDEX(Funding!$J$65:$BJ$65,1,Time!$F$13),Time!T30*(T96-T97))</f>
        <v>0</v>
      </c>
      <c r="U98" s="11" t="n">
        <f aca="false">IF(Time!U29=1,INDEX(Funding!$J$65:$BJ$65,1,Time!$F$13),Time!U30*(U96-U97))</f>
        <v>0</v>
      </c>
      <c r="V98" s="11" t="n">
        <f aca="false">IF(Time!V29=1,INDEX(Funding!$J$65:$BJ$65,1,Time!$F$13),Time!V30*(V96-V97))</f>
        <v>0</v>
      </c>
      <c r="W98" s="11" t="n">
        <f aca="false">IF(Time!W29=1,INDEX(Funding!$J$65:$BJ$65,1,Time!$F$13),Time!W30*(W96-W97))</f>
        <v>0</v>
      </c>
      <c r="X98" s="11" t="n">
        <f aca="false">IF(Time!X29=1,INDEX(Funding!$J$65:$BJ$65,1,Time!$F$13),Time!X30*(X96-X97))</f>
        <v>0</v>
      </c>
      <c r="Y98" s="11" t="n">
        <f aca="false">IF(Time!Y29=1,INDEX(Funding!$J$65:$BJ$65,1,Time!$F$13),Time!Y30*(Y96-Y97))</f>
        <v>0</v>
      </c>
      <c r="Z98" s="11" t="n">
        <f aca="false">IF(Time!Z29=1,INDEX(Funding!$J$65:$BJ$65,1,Time!$F$13),Time!Z30*(Z96-Z97))</f>
        <v>0</v>
      </c>
      <c r="AA98" s="11" t="n">
        <f aca="false">IF(Time!AA29=1,INDEX(Funding!$J$65:$BJ$65,1,Time!$F$13),Time!AA30*(AA96-AA97))</f>
        <v>0</v>
      </c>
      <c r="AB98" s="11" t="n">
        <f aca="false">IF(Time!AB29=1,INDEX(Funding!$J$65:$BJ$65,1,Time!$F$13),Time!AB30*(AB96-AB97))</f>
        <v>0</v>
      </c>
      <c r="AC98" s="11" t="n">
        <f aca="false">IF(Time!AC29=1,INDEX(Funding!$J$65:$BJ$65,1,Time!$F$13),Time!AC30*(AC96-AC97))</f>
        <v>0</v>
      </c>
      <c r="AD98" s="11" t="n">
        <f aca="false">IF(Time!AD29=1,INDEX(Funding!$J$65:$BJ$65,1,Time!$F$13),Time!AD30*(AD96-AD97))</f>
        <v>0</v>
      </c>
      <c r="AE98" s="11" t="n">
        <f aca="false">IF(Time!AE29=1,INDEX(Funding!$J$65:$BJ$65,1,Time!$F$13),Time!AE30*(AE96-AE97))</f>
        <v>0</v>
      </c>
      <c r="AF98" s="11" t="n">
        <f aca="false">IF(Time!AF29=1,INDEX(Funding!$J$65:$BJ$65,1,Time!$F$13),Time!AF30*(AF96-AF97))</f>
        <v>0</v>
      </c>
      <c r="AG98" s="11" t="n">
        <f aca="false">IF(Time!AG29=1,INDEX(Funding!$J$65:$BJ$65,1,Time!$F$13),Time!AG30*(AG96-AG97))</f>
        <v>0</v>
      </c>
      <c r="AH98" s="11" t="n">
        <f aca="false">IF(Time!AH29=1,INDEX(Funding!$J$65:$BJ$65,1,Time!$F$13),Time!AH30*(AH96-AH97))</f>
        <v>0</v>
      </c>
      <c r="AI98" s="11" t="n">
        <f aca="false">IF(Time!AI29=1,INDEX(Funding!$J$65:$BJ$65,1,Time!$F$13),Time!AI30*(AI96-AI97))</f>
        <v>0</v>
      </c>
      <c r="AJ98" s="11" t="n">
        <f aca="false">IF(Time!AJ29=1,INDEX(Funding!$J$65:$BJ$65,1,Time!$F$13),Time!AJ30*(AJ96-AJ97))</f>
        <v>0</v>
      </c>
      <c r="AK98" s="11" t="n">
        <f aca="false">IF(Time!AK29=1,INDEX(Funding!$J$65:$BJ$65,1,Time!$F$13),Time!AK30*(AK96-AK97))</f>
        <v>0</v>
      </c>
      <c r="AL98" s="11" t="n">
        <f aca="false">IF(Time!AL29=1,INDEX(Funding!$J$65:$BJ$65,1,Time!$F$13),Time!AL30*(AL96-AL97))</f>
        <v>0</v>
      </c>
      <c r="AM98" s="11" t="n">
        <f aca="false">IF(Time!AM29=1,INDEX(Funding!$J$65:$BJ$65,1,Time!$F$13),Time!AM30*(AM96-AM97))</f>
        <v>0</v>
      </c>
      <c r="AN98" s="11" t="n">
        <f aca="false">IF(Time!AN29=1,INDEX(Funding!$J$65:$BJ$65,1,Time!$F$13),Time!AN30*(AN96-AN97))</f>
        <v>0</v>
      </c>
      <c r="AO98" s="11" t="n">
        <f aca="false">IF(Time!AO29=1,INDEX(Funding!$J$65:$BJ$65,1,Time!$F$13),Time!AO30*(AO96-AO97))</f>
        <v>0</v>
      </c>
      <c r="AP98" s="11" t="n">
        <f aca="false">IF(Time!AP29=1,INDEX(Funding!$J$65:$BJ$65,1,Time!$F$13),Time!AP30*(AP96-AP97))</f>
        <v>0</v>
      </c>
      <c r="AQ98" s="11" t="n">
        <f aca="false">IF(Time!AQ29=1,INDEX(Funding!$J$65:$BJ$65,1,Time!$F$13),Time!AQ30*(AQ96-AQ97))</f>
        <v>0</v>
      </c>
      <c r="AR98" s="11" t="n">
        <f aca="false">IF(Time!AR29=1,INDEX(Funding!$J$65:$BJ$65,1,Time!$F$13),Time!AR30*(AR96-AR97))</f>
        <v>0</v>
      </c>
      <c r="AS98" s="11" t="n">
        <f aca="false">IF(Time!AS29=1,INDEX(Funding!$J$65:$BJ$65,1,Time!$F$13),Time!AS30*(AS96-AS97))</f>
        <v>0</v>
      </c>
      <c r="AT98" s="11" t="n">
        <f aca="false">IF(Time!AT29=1,INDEX(Funding!$J$65:$BJ$65,1,Time!$F$13),Time!AT30*(AT96-AT97))</f>
        <v>0</v>
      </c>
      <c r="AU98" s="11" t="n">
        <f aca="false">IF(Time!AU29=1,INDEX(Funding!$J$65:$BJ$65,1,Time!$F$13),Time!AU30*(AU96-AU97))</f>
        <v>0</v>
      </c>
      <c r="AV98" s="11" t="n">
        <f aca="false">IF(Time!AV29=1,INDEX(Funding!$J$65:$BJ$65,1,Time!$F$13),Time!AV30*(AV96-AV97))</f>
        <v>0</v>
      </c>
      <c r="AW98" s="11" t="n">
        <f aca="false">IF(Time!AW29=1,INDEX(Funding!$J$65:$BJ$65,1,Time!$F$13),Time!AW30*(AW96-AW97))</f>
        <v>0</v>
      </c>
      <c r="AX98" s="11" t="n">
        <f aca="false">IF(Time!AX29=1,INDEX(Funding!$J$65:$BJ$65,1,Time!$F$13),Time!AX30*(AX96-AX97))</f>
        <v>0</v>
      </c>
      <c r="AY98" s="11" t="n">
        <f aca="false">IF(Time!AY29=1,INDEX(Funding!$J$65:$BJ$65,1,Time!$F$13),Time!AY30*(AY96-AY97))</f>
        <v>0</v>
      </c>
      <c r="AZ98" s="11" t="n">
        <f aca="false">IF(Time!AZ29=1,INDEX(Funding!$J$65:$BJ$65,1,Time!$F$13),Time!AZ30*(AZ96-AZ97))</f>
        <v>0</v>
      </c>
      <c r="BA98" s="11" t="n">
        <f aca="false">IF(Time!BA29=1,INDEX(Funding!$J$65:$BJ$65,1,Time!$F$13),Time!BA30*(BA96-BA97))</f>
        <v>0</v>
      </c>
      <c r="BB98" s="11" t="n">
        <f aca="false">IF(Time!BB29=1,INDEX(Funding!$J$65:$BJ$65,1,Time!$F$13),Time!BB30*(BB96-BB97))</f>
        <v>0</v>
      </c>
      <c r="BC98" s="11" t="n">
        <f aca="false">IF(Time!BC29=1,INDEX(Funding!$J$65:$BJ$65,1,Time!$F$13),Time!BC30*(BC96-BC97))</f>
        <v>0</v>
      </c>
      <c r="BD98" s="11" t="n">
        <f aca="false">IF(Time!BD29=1,INDEX(Funding!$J$65:$BJ$65,1,Time!$F$13),Time!BD30*(BD96-BD97))</f>
        <v>0</v>
      </c>
      <c r="BE98" s="11" t="n">
        <f aca="false">IF(Time!BE29=1,INDEX(Funding!$J$65:$BJ$65,1,Time!$F$13),Time!BE30*(BE96-BE97))</f>
        <v>0</v>
      </c>
      <c r="BF98" s="11" t="n">
        <f aca="false">IF(Time!BF29=1,INDEX(Funding!$J$65:$BJ$65,1,Time!$F$13),Time!BF30*(BF96-BF97))</f>
        <v>0</v>
      </c>
      <c r="BG98" s="11" t="n">
        <f aca="false">IF(Time!BG29=1,INDEX(Funding!$J$65:$BJ$65,1,Time!$F$13),Time!BG30*(BG96-BG97))</f>
        <v>0</v>
      </c>
      <c r="BH98" s="11" t="n">
        <f aca="false">IF(Time!BH29=1,INDEX(Funding!$J$65:$BJ$65,1,Time!$F$13),Time!BH30*(BH96-BH97))</f>
        <v>0</v>
      </c>
      <c r="BI98" s="11" t="n">
        <f aca="false">IF(Time!BI29=1,INDEX(Funding!$J$65:$BJ$65,1,Time!$F$13),Time!BI30*(BI96-BI97))</f>
        <v>0</v>
      </c>
      <c r="BJ98" s="11" t="n">
        <f aca="false">IF(Time!BJ29=1,INDEX(Funding!$J$65:$BJ$65,1,Time!$F$13),Time!BJ30*(BJ96-BJ97))</f>
        <v>0</v>
      </c>
      <c r="BK98" s="11" t="n">
        <f aca="false">IF(Time!BK29=1,INDEX(Funding!$J$65:$BJ$65,1,Time!$F$13),Time!BK30*(BK96-BK97))</f>
        <v>0</v>
      </c>
      <c r="BL98" s="11" t="n">
        <f aca="false">IF(Time!BL29=1,INDEX(Funding!$J$65:$BJ$65,1,Time!$F$13),Time!BL30*(BL96-BL97))</f>
        <v>0</v>
      </c>
      <c r="BM98" s="11" t="n">
        <f aca="false">IF(Time!BM29=1,INDEX(Funding!$J$65:$BJ$65,1,Time!$F$13),Time!BM30*(BM96-BM97))</f>
        <v>0</v>
      </c>
      <c r="BN98" s="11" t="n">
        <f aca="false">IF(Time!BN29=1,INDEX(Funding!$J$65:$BJ$65,1,Time!$F$13),Time!BN30*(BN96-BN97))</f>
        <v>0</v>
      </c>
    </row>
    <row r="99" customFormat="false" ht="15" hidden="false" customHeight="false" outlineLevel="0" collapsed="false">
      <c r="B99" s="2" t="s">
        <v>671</v>
      </c>
    </row>
    <row r="100" customFormat="false" ht="15" hidden="false" customHeight="false" outlineLevel="0" collapsed="false">
      <c r="D100" s="0" t="s">
        <v>654</v>
      </c>
      <c r="E100" s="0" t="s">
        <v>149</v>
      </c>
      <c r="J100" s="11" t="n">
        <f aca="false">Time!J30*0</f>
        <v>0</v>
      </c>
      <c r="K100" s="11" t="n">
        <f aca="false">Time!K30*J104</f>
        <v>0</v>
      </c>
      <c r="L100" s="11" t="n">
        <f aca="false">Time!L30*K104</f>
        <v>0</v>
      </c>
      <c r="M100" s="11" t="n">
        <f aca="false">Time!M30*L104</f>
        <v>0</v>
      </c>
      <c r="N100" s="11" t="n">
        <f aca="false">Time!N30*M104</f>
        <v>0</v>
      </c>
      <c r="O100" s="11" t="n">
        <f aca="false">Time!O30*N104</f>
        <v>0</v>
      </c>
      <c r="P100" s="11" t="n">
        <f aca="false">Time!P30*O104</f>
        <v>0</v>
      </c>
      <c r="Q100" s="11" t="n">
        <f aca="false">Time!Q30*P104</f>
        <v>0</v>
      </c>
      <c r="R100" s="11" t="n">
        <f aca="false">Time!R30*Q104</f>
        <v>0</v>
      </c>
      <c r="S100" s="11" t="n">
        <f aca="false">Time!S30*R104</f>
        <v>0</v>
      </c>
      <c r="T100" s="11" t="n">
        <f aca="false">Time!T30*S104</f>
        <v>0</v>
      </c>
      <c r="U100" s="11" t="n">
        <f aca="false">Time!U30*T104</f>
        <v>0</v>
      </c>
      <c r="V100" s="11" t="n">
        <f aca="false">Time!V30*U104</f>
        <v>0</v>
      </c>
      <c r="W100" s="11" t="n">
        <f aca="false">Time!W30*V104</f>
        <v>0</v>
      </c>
      <c r="X100" s="11" t="n">
        <f aca="false">Time!X30*W104</f>
        <v>233.99185512623</v>
      </c>
      <c r="Y100" s="11" t="n">
        <f aca="false">Time!Y30*X104</f>
        <v>231.360691764558</v>
      </c>
      <c r="Z100" s="11" t="n">
        <f aca="false">Time!Z30*Y104</f>
        <v>227.475375215555</v>
      </c>
      <c r="AA100" s="11" t="n">
        <f aca="false">Time!AA30*Z104</f>
        <v>223.232148048687</v>
      </c>
      <c r="AB100" s="11" t="n">
        <f aca="false">Time!AB30*AA104</f>
        <v>219.001136305634</v>
      </c>
      <c r="AC100" s="11" t="n">
        <f aca="false">Time!AC30*AB104</f>
        <v>214.456631340333</v>
      </c>
      <c r="AD100" s="11" t="n">
        <f aca="false">Time!AD30*AC104</f>
        <v>209.903056922286</v>
      </c>
      <c r="AE100" s="11" t="n">
        <f aca="false">Time!AE30*AD104</f>
        <v>205.084479041277</v>
      </c>
      <c r="AF100" s="11" t="n">
        <f aca="false">Time!AF30*AE104</f>
        <v>199.786383522878</v>
      </c>
      <c r="AG100" s="11" t="n">
        <f aca="false">Time!AG30*AF104</f>
        <v>194.134530927295</v>
      </c>
      <c r="AH100" s="11" t="n">
        <f aca="false">Time!AH30*AG104</f>
        <v>188.429403635267</v>
      </c>
      <c r="AI100" s="11" t="n">
        <f aca="false">Time!AI30*AH104</f>
        <v>182.397635788488</v>
      </c>
      <c r="AJ100" s="11" t="n">
        <f aca="false">Time!AJ30*AI104</f>
        <v>176.345556951171</v>
      </c>
      <c r="AK100" s="11" t="n">
        <f aca="false">Time!AK30*AJ104</f>
        <v>169.993950977512</v>
      </c>
      <c r="AL100" s="11" t="n">
        <f aca="false">Time!AL30*AK104</f>
        <v>163.614761966571</v>
      </c>
      <c r="AM100" s="11" t="n">
        <f aca="false">Time!AM30*AL104</f>
        <v>156.970873657065</v>
      </c>
      <c r="AN100" s="11" t="n">
        <f aca="false">Time!AN30*AM104</f>
        <v>150.960438204023</v>
      </c>
      <c r="AO100" s="11" t="n">
        <f aca="false">Time!AO30*AN104</f>
        <v>145.458843814079</v>
      </c>
      <c r="AP100" s="11" t="n">
        <f aca="false">Time!AP30*AO104</f>
        <v>140.660241147255</v>
      </c>
      <c r="AQ100" s="11" t="n">
        <f aca="false">Time!AQ30*AP104</f>
        <v>119.814088705888</v>
      </c>
      <c r="AR100" s="11" t="n">
        <f aca="false">Time!AR30*AQ104</f>
        <v>98.5080043681347</v>
      </c>
      <c r="AS100" s="11" t="n">
        <f aca="false">Time!AS30*AR104</f>
        <v>76.0796562337036</v>
      </c>
      <c r="AT100" s="11" t="n">
        <f aca="false">Time!AT30*AS104</f>
        <v>53.1331565878772</v>
      </c>
      <c r="AU100" s="11" t="n">
        <f aca="false">Time!AU30*AT104</f>
        <v>29.081229949173</v>
      </c>
      <c r="AV100" s="11" t="n">
        <f aca="false">Time!AV30*AU104</f>
        <v>0</v>
      </c>
      <c r="AW100" s="11" t="n">
        <f aca="false">Time!AW30*AV104</f>
        <v>0</v>
      </c>
      <c r="AX100" s="11" t="n">
        <f aca="false">Time!AX30*AW104</f>
        <v>0</v>
      </c>
      <c r="AY100" s="11" t="n">
        <f aca="false">Time!AY30*AX104</f>
        <v>0</v>
      </c>
      <c r="AZ100" s="11" t="n">
        <f aca="false">Time!AZ30*AY104</f>
        <v>0</v>
      </c>
      <c r="BA100" s="11" t="n">
        <f aca="false">Time!BA30*AZ104</f>
        <v>0</v>
      </c>
      <c r="BB100" s="11" t="n">
        <f aca="false">Time!BB30*BA104</f>
        <v>0</v>
      </c>
      <c r="BC100" s="11" t="n">
        <f aca="false">Time!BC30*BB104</f>
        <v>0</v>
      </c>
      <c r="BD100" s="11" t="n">
        <f aca="false">Time!BD30*BC104</f>
        <v>0</v>
      </c>
      <c r="BE100" s="11" t="n">
        <f aca="false">Time!BE30*BD104</f>
        <v>0</v>
      </c>
      <c r="BF100" s="11" t="n">
        <f aca="false">Time!BF30*BE104</f>
        <v>0</v>
      </c>
      <c r="BG100" s="11" t="n">
        <f aca="false">Time!BG30*BF104</f>
        <v>0</v>
      </c>
      <c r="BH100" s="11" t="n">
        <f aca="false">Time!BH30*BG104</f>
        <v>0</v>
      </c>
      <c r="BI100" s="11" t="n">
        <f aca="false">Time!BI30*BH104</f>
        <v>0</v>
      </c>
      <c r="BJ100" s="11" t="n">
        <f aca="false">Time!BJ30*BI104</f>
        <v>0</v>
      </c>
      <c r="BK100" s="11" t="n">
        <f aca="false">Time!BK30*BJ104</f>
        <v>0</v>
      </c>
      <c r="BL100" s="11" t="n">
        <f aca="false">Time!BL30*BK104</f>
        <v>0</v>
      </c>
      <c r="BM100" s="11" t="n">
        <f aca="false">Time!BM30*BL104</f>
        <v>0</v>
      </c>
      <c r="BN100" s="11" t="n">
        <f aca="false">Time!BN30*BM104</f>
        <v>0</v>
      </c>
    </row>
    <row r="101" customFormat="false" ht="15" hidden="false" customHeight="false" outlineLevel="0" collapsed="false">
      <c r="D101" s="0" t="s">
        <v>656</v>
      </c>
      <c r="E101" s="0" t="s">
        <v>149</v>
      </c>
      <c r="G101" s="11" t="n">
        <f aca="false">SUM(J101:BN101)</f>
        <v>157.888793876662</v>
      </c>
      <c r="J101" s="11" t="n">
        <f aca="false">J100*J15</f>
        <v>0</v>
      </c>
      <c r="K101" s="11" t="n">
        <f aca="false">K100*K15</f>
        <v>0</v>
      </c>
      <c r="L101" s="11" t="n">
        <f aca="false">L100*L15</f>
        <v>0</v>
      </c>
      <c r="M101" s="11" t="n">
        <f aca="false">M100*M15</f>
        <v>0</v>
      </c>
      <c r="N101" s="11" t="n">
        <f aca="false">N100*N15</f>
        <v>0</v>
      </c>
      <c r="O101" s="11" t="n">
        <f aca="false">O100*O15</f>
        <v>0</v>
      </c>
      <c r="P101" s="11" t="n">
        <f aca="false">P100*P15</f>
        <v>0</v>
      </c>
      <c r="Q101" s="11" t="n">
        <f aca="false">Q100*Q15</f>
        <v>0</v>
      </c>
      <c r="R101" s="11" t="n">
        <f aca="false">R100*R15</f>
        <v>0</v>
      </c>
      <c r="S101" s="11" t="n">
        <f aca="false">S100*S15</f>
        <v>0</v>
      </c>
      <c r="T101" s="11" t="n">
        <f aca="false">T100*T15</f>
        <v>0</v>
      </c>
      <c r="U101" s="11" t="n">
        <f aca="false">U100*U15</f>
        <v>0</v>
      </c>
      <c r="V101" s="11" t="n">
        <f aca="false">V100*V15</f>
        <v>0</v>
      </c>
      <c r="W101" s="11" t="n">
        <f aca="false">W100*W15</f>
        <v>0</v>
      </c>
      <c r="X101" s="11" t="n">
        <f aca="false">X100*X15</f>
        <v>9.21342929559531</v>
      </c>
      <c r="Y101" s="11" t="n">
        <f aca="false">Y100*Y15</f>
        <v>9.10982723822946</v>
      </c>
      <c r="Z101" s="11" t="n">
        <f aca="false">Z100*Z15</f>
        <v>8.95684289911248</v>
      </c>
      <c r="AA101" s="11" t="n">
        <f aca="false">AA100*AA15</f>
        <v>8.78976582941705</v>
      </c>
      <c r="AB101" s="11" t="n">
        <f aca="false">AB100*AB15</f>
        <v>8.62316974203436</v>
      </c>
      <c r="AC101" s="11" t="n">
        <f aca="false">AC100*AC15</f>
        <v>8.44422985902561</v>
      </c>
      <c r="AD101" s="11" t="n">
        <f aca="false">AD100*AD15</f>
        <v>8.264932866315</v>
      </c>
      <c r="AE101" s="11" t="n">
        <f aca="false">AE100*AE15</f>
        <v>8.07520136225029</v>
      </c>
      <c r="AF101" s="11" t="n">
        <f aca="false">AF100*AF15</f>
        <v>7.86658885121333</v>
      </c>
      <c r="AG101" s="11" t="n">
        <f aca="false">AG100*AG15</f>
        <v>7.64404715526223</v>
      </c>
      <c r="AH101" s="11" t="n">
        <f aca="false">AH100*AH15</f>
        <v>7.41940776813863</v>
      </c>
      <c r="AI101" s="11" t="n">
        <f aca="false">AI100*AI15</f>
        <v>7.18190690917172</v>
      </c>
      <c r="AJ101" s="11" t="n">
        <f aca="false">AJ100*AJ15</f>
        <v>6.94360630495234</v>
      </c>
      <c r="AK101" s="11" t="n">
        <f aca="false">AK100*AK15</f>
        <v>6.69351181973953</v>
      </c>
      <c r="AL101" s="11" t="n">
        <f aca="false">AL100*AL15</f>
        <v>6.44233125243372</v>
      </c>
      <c r="AM101" s="11" t="n">
        <f aca="false">AM100*AM15</f>
        <v>6.18072815024694</v>
      </c>
      <c r="AN101" s="11" t="n">
        <f aca="false">AN100*AN15</f>
        <v>5.94406725428339</v>
      </c>
      <c r="AO101" s="11" t="n">
        <f aca="false">AO100*AO15</f>
        <v>5.72744197517936</v>
      </c>
      <c r="AP101" s="11" t="n">
        <f aca="false">AP100*AP15</f>
        <v>5.53849699517318</v>
      </c>
      <c r="AQ101" s="11" t="n">
        <f aca="false">AQ100*AQ15</f>
        <v>4.71767974279432</v>
      </c>
      <c r="AR101" s="11" t="n">
        <f aca="false">AR100*AR15</f>
        <v>3.8787526719953</v>
      </c>
      <c r="AS101" s="11" t="n">
        <f aca="false">AS100*AS15</f>
        <v>2.99563646420208</v>
      </c>
      <c r="AT101" s="11" t="n">
        <f aca="false">AT100*AT15</f>
        <v>2.09211804064766</v>
      </c>
      <c r="AU101" s="11" t="n">
        <f aca="false">AU100*AU15</f>
        <v>1.14507342924869</v>
      </c>
      <c r="AV101" s="11" t="n">
        <f aca="false">AV100*AV15</f>
        <v>0</v>
      </c>
      <c r="AW101" s="11" t="n">
        <f aca="false">AW100*AW15</f>
        <v>0</v>
      </c>
      <c r="AX101" s="11" t="n">
        <f aca="false">AX100*AX15</f>
        <v>0</v>
      </c>
      <c r="AY101" s="11" t="n">
        <f aca="false">AY100*AY15</f>
        <v>0</v>
      </c>
      <c r="AZ101" s="11" t="n">
        <f aca="false">AZ100*AZ15</f>
        <v>0</v>
      </c>
      <c r="BA101" s="11" t="n">
        <f aca="false">BA100*BA15</f>
        <v>0</v>
      </c>
      <c r="BB101" s="11" t="n">
        <f aca="false">BB100*BB15</f>
        <v>0</v>
      </c>
      <c r="BC101" s="11" t="n">
        <f aca="false">BC100*BC15</f>
        <v>0</v>
      </c>
      <c r="BD101" s="11" t="n">
        <f aca="false">BD100*BD15</f>
        <v>0</v>
      </c>
      <c r="BE101" s="11" t="n">
        <f aca="false">BE100*BE15</f>
        <v>0</v>
      </c>
      <c r="BF101" s="11" t="n">
        <f aca="false">BF100*BF15</f>
        <v>0</v>
      </c>
      <c r="BG101" s="11" t="n">
        <f aca="false">BG100*BG15</f>
        <v>0</v>
      </c>
      <c r="BH101" s="11" t="n">
        <f aca="false">BH100*BH15</f>
        <v>0</v>
      </c>
      <c r="BI101" s="11" t="n">
        <f aca="false">BI100*BI15</f>
        <v>0</v>
      </c>
      <c r="BJ101" s="11" t="n">
        <f aca="false">BJ100*BJ15</f>
        <v>0</v>
      </c>
      <c r="BK101" s="11" t="n">
        <f aca="false">BK100*BK15</f>
        <v>0</v>
      </c>
      <c r="BL101" s="11" t="n">
        <f aca="false">BL100*BL15</f>
        <v>0</v>
      </c>
      <c r="BM101" s="11" t="n">
        <f aca="false">BM100*BM15</f>
        <v>0</v>
      </c>
      <c r="BN101" s="11" t="n">
        <f aca="false">BN100*BN15</f>
        <v>0</v>
      </c>
    </row>
    <row r="102" customFormat="false" ht="15" hidden="false" customHeight="false" outlineLevel="0" collapsed="false">
      <c r="D102" s="0" t="s">
        <v>661</v>
      </c>
      <c r="E102" s="0" t="s">
        <v>149</v>
      </c>
      <c r="G102" s="11" t="n">
        <f aca="false">SUM(J102:BN102)</f>
        <v>233.99185512623</v>
      </c>
      <c r="J102" s="11" t="n">
        <f aca="false">0</f>
        <v>0</v>
      </c>
      <c r="K102" s="11" t="n">
        <f aca="false">0</f>
        <v>0</v>
      </c>
      <c r="L102" s="11" t="n">
        <f aca="false">0</f>
        <v>0</v>
      </c>
      <c r="M102" s="11" t="n">
        <f aca="false">0</f>
        <v>0</v>
      </c>
      <c r="N102" s="11" t="n">
        <f aca="false">0</f>
        <v>0</v>
      </c>
      <c r="O102" s="11" t="n">
        <f aca="false">0</f>
        <v>0</v>
      </c>
      <c r="P102" s="11" t="n">
        <f aca="false">0</f>
        <v>0</v>
      </c>
      <c r="Q102" s="11" t="n">
        <f aca="false">0</f>
        <v>0</v>
      </c>
      <c r="R102" s="11" t="n">
        <f aca="false">0</f>
        <v>0</v>
      </c>
      <c r="S102" s="11" t="n">
        <f aca="false">0</f>
        <v>0</v>
      </c>
      <c r="T102" s="11" t="n">
        <f aca="false">0</f>
        <v>0</v>
      </c>
      <c r="U102" s="11" t="n">
        <f aca="false">0</f>
        <v>0</v>
      </c>
      <c r="V102" s="11" t="n">
        <f aca="false">0</f>
        <v>0</v>
      </c>
      <c r="W102" s="11" t="n">
        <f aca="false">IF(W100&gt;0,MIN($F$109*Inputs!W224,W100),0)</f>
        <v>0</v>
      </c>
      <c r="X102" s="11" t="n">
        <f aca="false">IF(X100&gt;0,MIN($F$109*Inputs!X224,X100),0)</f>
        <v>2.63116336167257</v>
      </c>
      <c r="Y102" s="11" t="n">
        <f aca="false">IF(Y100&gt;0,MIN($F$109*Inputs!Y224,Y100),0)</f>
        <v>3.88531654900245</v>
      </c>
      <c r="Z102" s="11" t="n">
        <f aca="false">IF(Z100&gt;0,MIN($F$109*Inputs!Z224,Z100),0)</f>
        <v>4.24322716686818</v>
      </c>
      <c r="AA102" s="11" t="n">
        <f aca="false">IF(AA100&gt;0,MIN($F$109*Inputs!AA224,AA100),0)</f>
        <v>4.23101174305248</v>
      </c>
      <c r="AB102" s="11" t="n">
        <f aca="false">IF(AB100&gt;0,MIN($F$109*Inputs!AB224,AB100),0)</f>
        <v>4.54450496530142</v>
      </c>
      <c r="AC102" s="11" t="n">
        <f aca="false">IF(AC100&gt;0,MIN($F$109*Inputs!AC224,AC100),0)</f>
        <v>4.55357441804744</v>
      </c>
      <c r="AD102" s="11" t="n">
        <f aca="false">IF(AD100&gt;0,MIN($F$109*Inputs!AD224,AD100),0)</f>
        <v>4.81857788100831</v>
      </c>
      <c r="AE102" s="11" t="n">
        <f aca="false">IF(AE100&gt;0,MIN($F$109*Inputs!AE224,AE100),0)</f>
        <v>5.29809551839905</v>
      </c>
      <c r="AF102" s="11" t="n">
        <f aca="false">IF(AF100&gt;0,MIN($F$109*Inputs!AF224,AF100),0)</f>
        <v>5.65185259558345</v>
      </c>
      <c r="AG102" s="11" t="n">
        <f aca="false">IF(AG100&gt;0,MIN($F$109*Inputs!AG224,AG100),0)</f>
        <v>5.70512729202794</v>
      </c>
      <c r="AH102" s="11" t="n">
        <f aca="false">IF(AH100&gt;0,MIN($F$109*Inputs!AH224,AH100),0)</f>
        <v>6.03176784677878</v>
      </c>
      <c r="AI102" s="11" t="n">
        <f aca="false">IF(AI100&gt;0,MIN($F$109*Inputs!AI224,AI100),0)</f>
        <v>6.05207883731751</v>
      </c>
      <c r="AJ102" s="11" t="n">
        <f aca="false">IF(AJ100&gt;0,MIN($F$109*Inputs!AJ224,AJ100),0)</f>
        <v>6.35160597365861</v>
      </c>
      <c r="AK102" s="11" t="n">
        <f aca="false">IF(AK100&gt;0,MIN($F$109*Inputs!AK224,AK100),0)</f>
        <v>6.37918901094128</v>
      </c>
      <c r="AL102" s="11" t="n">
        <f aca="false">IF(AL100&gt;0,MIN($F$109*Inputs!AL224,AL100),0)</f>
        <v>6.6438883095055</v>
      </c>
      <c r="AM102" s="11" t="n">
        <f aca="false">IF(AM100&gt;0,MIN($F$109*Inputs!AM224,AM100),0)</f>
        <v>6.01043545304267</v>
      </c>
      <c r="AN102" s="11" t="n">
        <f aca="false">IF(AN100&gt;0,MIN($F$109*Inputs!AN224,AN100),0)</f>
        <v>5.50159438994366</v>
      </c>
      <c r="AO102" s="11" t="n">
        <f aca="false">IF(AO100&gt;0,MIN($F$109*Inputs!AO224,AO100),0)</f>
        <v>4.79860266682342</v>
      </c>
      <c r="AP102" s="11" t="n">
        <f aca="false">IF(AP100&gt;0,MIN($F$109*Inputs!AP224,AP100),0)</f>
        <v>20.8461524413679</v>
      </c>
      <c r="AQ102" s="11" t="n">
        <f aca="false">IF(AQ100&gt;0,MIN($F$109*Inputs!AQ224,AQ100),0)</f>
        <v>21.3060843377529</v>
      </c>
      <c r="AR102" s="11" t="n">
        <f aca="false">IF(AR100&gt;0,MIN($F$109*Inputs!AR224,AR100),0)</f>
        <v>22.4283481344311</v>
      </c>
      <c r="AS102" s="11" t="n">
        <f aca="false">IF(AS100&gt;0,MIN($F$109*Inputs!AS224,AS100),0)</f>
        <v>22.9464996458264</v>
      </c>
      <c r="AT102" s="11" t="n">
        <f aca="false">IF(AT100&gt;0,MIN($F$109*Inputs!AT224,AT100),0)</f>
        <v>24.0519266387042</v>
      </c>
      <c r="AU102" s="11" t="n">
        <f aca="false">IF(AU100&gt;0,MIN($F$109*Inputs!AU224,AU100),0)</f>
        <v>29.081229949173</v>
      </c>
      <c r="AV102" s="11" t="n">
        <f aca="false">IF(AV100&gt;0,MIN($F$109*Inputs!AV224,AV100),0)</f>
        <v>0</v>
      </c>
      <c r="AW102" s="11" t="n">
        <f aca="false">IF(AW100&gt;0,MIN($F$109*Inputs!AW224,AW100),0)</f>
        <v>0</v>
      </c>
      <c r="AX102" s="11" t="n">
        <f aca="false">IF(AX100&gt;0,MIN($F$109*Inputs!AX224,AX100),0)</f>
        <v>0</v>
      </c>
      <c r="AY102" s="11" t="n">
        <f aca="false">IF(AY100&gt;0,MIN($F$109*Inputs!AY224,AY100),0)</f>
        <v>0</v>
      </c>
      <c r="AZ102" s="11" t="n">
        <f aca="false">IF(AZ100&gt;0,MIN($F$109*Inputs!AZ224,AZ100),0)</f>
        <v>0</v>
      </c>
      <c r="BA102" s="11" t="n">
        <f aca="false">IF(BA100&gt;0,MIN($F$109*Inputs!BA224,BA100),0)</f>
        <v>0</v>
      </c>
      <c r="BB102" s="11" t="n">
        <f aca="false">IF(BB100&gt;0,MIN($F$109*Inputs!BB224,BB100),0)</f>
        <v>0</v>
      </c>
      <c r="BC102" s="11" t="n">
        <f aca="false">IF(BC100&gt;0,MIN($F$109*Inputs!BC224,BC100),0)</f>
        <v>0</v>
      </c>
      <c r="BD102" s="11" t="n">
        <f aca="false">IF(BD100&gt;0,MIN($F$109*Inputs!BD224,BD100),0)</f>
        <v>0</v>
      </c>
      <c r="BE102" s="11" t="n">
        <f aca="false">IF(BE100&gt;0,MIN($F$109*Inputs!BE224,BE100),0)</f>
        <v>0</v>
      </c>
      <c r="BF102" s="11" t="n">
        <f aca="false">IF(BF100&gt;0,MIN($F$109*Inputs!BF224,BF100),0)</f>
        <v>0</v>
      </c>
      <c r="BG102" s="11" t="n">
        <f aca="false">IF(BG100&gt;0,MIN($F$109*Inputs!BG224,BG100),0)</f>
        <v>0</v>
      </c>
      <c r="BH102" s="11" t="n">
        <f aca="false">IF(BH100&gt;0,MIN($F$109*Inputs!BH224,BH100),0)</f>
        <v>0</v>
      </c>
      <c r="BI102" s="11" t="n">
        <f aca="false">IF(BI100&gt;0,MIN($F$109*Inputs!BI224,BI100),0)</f>
        <v>0</v>
      </c>
      <c r="BJ102" s="11" t="n">
        <f aca="false">IF(BJ100&gt;0,MIN($F$109*Inputs!BJ224,BJ100),0)</f>
        <v>0</v>
      </c>
      <c r="BK102" s="11" t="n">
        <f aca="false">IF(BK100&gt;0,MIN($F$109*Inputs!BK224,BK100),0)</f>
        <v>0</v>
      </c>
      <c r="BL102" s="11" t="n">
        <f aca="false">IF(BL100&gt;0,MIN($F$109*Inputs!BL224,BL100),0)</f>
        <v>0</v>
      </c>
      <c r="BM102" s="11" t="n">
        <f aca="false">IF(BM100&gt;0,MIN($F$109*Inputs!BM224,BM100),0)</f>
        <v>0</v>
      </c>
      <c r="BN102" s="11" t="n">
        <f aca="false">IF(BN100&gt;0,MIN($F$109*Inputs!BN224,BN100),0)</f>
        <v>0</v>
      </c>
    </row>
    <row r="103" customFormat="false" ht="15" hidden="false" customHeight="false" outlineLevel="0" collapsed="false">
      <c r="D103" s="0" t="s">
        <v>672</v>
      </c>
      <c r="E103" s="0" t="s">
        <v>149</v>
      </c>
      <c r="J103" s="11" t="n">
        <f aca="false">J100-J102</f>
        <v>0</v>
      </c>
      <c r="K103" s="11" t="n">
        <f aca="false">K100-K102</f>
        <v>0</v>
      </c>
      <c r="L103" s="11" t="n">
        <f aca="false">L100-L102</f>
        <v>0</v>
      </c>
      <c r="M103" s="11" t="n">
        <f aca="false">M100-M102</f>
        <v>0</v>
      </c>
      <c r="N103" s="11" t="n">
        <f aca="false">N100-N102</f>
        <v>0</v>
      </c>
      <c r="O103" s="11" t="n">
        <f aca="false">O100-O102</f>
        <v>0</v>
      </c>
      <c r="P103" s="11" t="n">
        <f aca="false">P100-P102</f>
        <v>0</v>
      </c>
      <c r="Q103" s="11" t="n">
        <f aca="false">Q100-Q102</f>
        <v>0</v>
      </c>
      <c r="R103" s="11" t="n">
        <f aca="false">R100-R102</f>
        <v>0</v>
      </c>
      <c r="S103" s="11" t="n">
        <f aca="false">S100-S102</f>
        <v>0</v>
      </c>
      <c r="T103" s="11" t="n">
        <f aca="false">T100-T102</f>
        <v>0</v>
      </c>
      <c r="U103" s="11" t="n">
        <f aca="false">U100-U102</f>
        <v>0</v>
      </c>
      <c r="V103" s="11" t="n">
        <f aca="false">V100-V102</f>
        <v>0</v>
      </c>
      <c r="W103" s="11" t="n">
        <f aca="false">W100-W102</f>
        <v>0</v>
      </c>
      <c r="X103" s="11" t="n">
        <f aca="false">X100-X102</f>
        <v>231.360691764558</v>
      </c>
      <c r="Y103" s="11" t="n">
        <f aca="false">Y100-Y102</f>
        <v>227.475375215555</v>
      </c>
      <c r="Z103" s="11" t="n">
        <f aca="false">Z100-Z102</f>
        <v>223.232148048687</v>
      </c>
      <c r="AA103" s="11" t="n">
        <f aca="false">AA100-AA102</f>
        <v>219.001136305634</v>
      </c>
      <c r="AB103" s="11" t="n">
        <f aca="false">AB100-AB102</f>
        <v>214.456631340333</v>
      </c>
      <c r="AC103" s="11" t="n">
        <f aca="false">AC100-AC102</f>
        <v>209.903056922286</v>
      </c>
      <c r="AD103" s="11" t="n">
        <f aca="false">AD100-AD102</f>
        <v>205.084479041277</v>
      </c>
      <c r="AE103" s="11" t="n">
        <f aca="false">AE100-AE102</f>
        <v>199.786383522878</v>
      </c>
      <c r="AF103" s="11" t="n">
        <f aca="false">AF100-AF102</f>
        <v>194.134530927295</v>
      </c>
      <c r="AG103" s="11" t="n">
        <f aca="false">AG100-AG102</f>
        <v>188.429403635267</v>
      </c>
      <c r="AH103" s="11" t="n">
        <f aca="false">AH100-AH102</f>
        <v>182.397635788488</v>
      </c>
      <c r="AI103" s="11" t="n">
        <f aca="false">AI100-AI102</f>
        <v>176.345556951171</v>
      </c>
      <c r="AJ103" s="11" t="n">
        <f aca="false">AJ100-AJ102</f>
        <v>169.993950977512</v>
      </c>
      <c r="AK103" s="11" t="n">
        <f aca="false">AK100-AK102</f>
        <v>163.614761966571</v>
      </c>
      <c r="AL103" s="11" t="n">
        <f aca="false">AL100-AL102</f>
        <v>156.970873657065</v>
      </c>
      <c r="AM103" s="11" t="n">
        <f aca="false">AM100-AM102</f>
        <v>150.960438204023</v>
      </c>
      <c r="AN103" s="11" t="n">
        <f aca="false">AN100-AN102</f>
        <v>145.458843814079</v>
      </c>
      <c r="AO103" s="11" t="n">
        <f aca="false">AO100-AO102</f>
        <v>140.660241147255</v>
      </c>
      <c r="AP103" s="11" t="n">
        <f aca="false">AP100-AP102</f>
        <v>119.814088705888</v>
      </c>
      <c r="AQ103" s="11" t="n">
        <f aca="false">AQ100-AQ102</f>
        <v>98.5080043681347</v>
      </c>
      <c r="AR103" s="11" t="n">
        <f aca="false">AR100-AR102</f>
        <v>76.0796562337036</v>
      </c>
      <c r="AS103" s="11" t="n">
        <f aca="false">AS100-AS102</f>
        <v>53.1331565878772</v>
      </c>
      <c r="AT103" s="11" t="n">
        <f aca="false">AT100-AT102</f>
        <v>29.081229949173</v>
      </c>
      <c r="AU103" s="11" t="n">
        <f aca="false">AU100-AU102</f>
        <v>0</v>
      </c>
      <c r="AV103" s="11" t="n">
        <f aca="false">AV100-AV102</f>
        <v>0</v>
      </c>
      <c r="AW103" s="11" t="n">
        <f aca="false">AW100-AW102</f>
        <v>0</v>
      </c>
      <c r="AX103" s="11" t="n">
        <f aca="false">AX100-AX102</f>
        <v>0</v>
      </c>
      <c r="AY103" s="11" t="n">
        <f aca="false">AY100-AY102</f>
        <v>0</v>
      </c>
      <c r="AZ103" s="11" t="n">
        <f aca="false">AZ100-AZ102</f>
        <v>0</v>
      </c>
      <c r="BA103" s="11" t="n">
        <f aca="false">BA100-BA102</f>
        <v>0</v>
      </c>
      <c r="BB103" s="11" t="n">
        <f aca="false">BB100-BB102</f>
        <v>0</v>
      </c>
      <c r="BC103" s="11" t="n">
        <f aca="false">BC100-BC102</f>
        <v>0</v>
      </c>
      <c r="BD103" s="11" t="n">
        <f aca="false">BD100-BD102</f>
        <v>0</v>
      </c>
      <c r="BE103" s="11" t="n">
        <f aca="false">BE100-BE102</f>
        <v>0</v>
      </c>
      <c r="BF103" s="11" t="n">
        <f aca="false">BF100-BF102</f>
        <v>0</v>
      </c>
      <c r="BG103" s="11" t="n">
        <f aca="false">BG100-BG102</f>
        <v>0</v>
      </c>
      <c r="BH103" s="11" t="n">
        <f aca="false">BH100-BH102</f>
        <v>0</v>
      </c>
      <c r="BI103" s="11" t="n">
        <f aca="false">BI100-BI102</f>
        <v>0</v>
      </c>
      <c r="BJ103" s="11" t="n">
        <f aca="false">BJ100-BJ102</f>
        <v>0</v>
      </c>
      <c r="BK103" s="11" t="n">
        <f aca="false">BK100-BK102</f>
        <v>0</v>
      </c>
      <c r="BL103" s="11" t="n">
        <f aca="false">BL100-BL102</f>
        <v>0</v>
      </c>
      <c r="BM103" s="11" t="n">
        <f aca="false">BM100-BM102</f>
        <v>0</v>
      </c>
      <c r="BN103" s="11" t="n">
        <f aca="false">BN100-BN102</f>
        <v>0</v>
      </c>
    </row>
    <row r="104" customFormat="false" ht="15" hidden="false" customHeight="false" outlineLevel="0" collapsed="false">
      <c r="D104" s="0" t="s">
        <v>667</v>
      </c>
      <c r="E104" s="0" t="s">
        <v>149</v>
      </c>
      <c r="J104" s="11" t="n">
        <f aca="false">J103</f>
        <v>0</v>
      </c>
      <c r="K104" s="11" t="n">
        <f aca="false">K103</f>
        <v>0</v>
      </c>
      <c r="L104" s="11" t="n">
        <f aca="false">L103</f>
        <v>0</v>
      </c>
      <c r="M104" s="11" t="n">
        <f aca="false">M103</f>
        <v>0</v>
      </c>
      <c r="N104" s="11" t="n">
        <f aca="false">N103</f>
        <v>0</v>
      </c>
      <c r="O104" s="11" t="n">
        <f aca="false">O103</f>
        <v>0</v>
      </c>
      <c r="P104" s="11" t="n">
        <f aca="false">P103</f>
        <v>0</v>
      </c>
      <c r="Q104" s="11" t="n">
        <f aca="false">Q103</f>
        <v>0</v>
      </c>
      <c r="R104" s="11" t="n">
        <f aca="false">R103</f>
        <v>0</v>
      </c>
      <c r="S104" s="11" t="n">
        <f aca="false">S103</f>
        <v>0</v>
      </c>
      <c r="T104" s="11" t="n">
        <f aca="false">T103</f>
        <v>0</v>
      </c>
      <c r="U104" s="11" t="n">
        <f aca="false">U103</f>
        <v>0</v>
      </c>
      <c r="V104" s="11" t="n">
        <f aca="false">V103</f>
        <v>0</v>
      </c>
      <c r="W104" s="11" t="n">
        <f aca="false">W103+W20*$F$109</f>
        <v>233.99185512623</v>
      </c>
      <c r="X104" s="11" t="n">
        <f aca="false">X103+X20*$F$109</f>
        <v>231.360691764558</v>
      </c>
      <c r="Y104" s="11" t="n">
        <f aca="false">Y103+Y20*$F$109</f>
        <v>227.475375215555</v>
      </c>
      <c r="Z104" s="11" t="n">
        <f aca="false">Z103+Z20*$F$109</f>
        <v>223.232148048687</v>
      </c>
      <c r="AA104" s="11" t="n">
        <f aca="false">AA103+AA20*$F$109</f>
        <v>219.001136305634</v>
      </c>
      <c r="AB104" s="11" t="n">
        <f aca="false">AB103+AB20*$F$109</f>
        <v>214.456631340333</v>
      </c>
      <c r="AC104" s="11" t="n">
        <f aca="false">AC103+AC20*$F$109</f>
        <v>209.903056922286</v>
      </c>
      <c r="AD104" s="11" t="n">
        <f aca="false">AD103+AD20*$F$109</f>
        <v>205.084479041277</v>
      </c>
      <c r="AE104" s="11" t="n">
        <f aca="false">AE103+AE20*$F$109</f>
        <v>199.786383522878</v>
      </c>
      <c r="AF104" s="11" t="n">
        <f aca="false">AF103+AF20*$F$109</f>
        <v>194.134530927295</v>
      </c>
      <c r="AG104" s="11" t="n">
        <f aca="false">AG103+AG20*$F$109</f>
        <v>188.429403635267</v>
      </c>
      <c r="AH104" s="11" t="n">
        <f aca="false">AH103+AH20*$F$109</f>
        <v>182.397635788488</v>
      </c>
      <c r="AI104" s="11" t="n">
        <f aca="false">AI103+AI20*$F$109</f>
        <v>176.345556951171</v>
      </c>
      <c r="AJ104" s="11" t="n">
        <f aca="false">AJ103+AJ20*$F$109</f>
        <v>169.993950977512</v>
      </c>
      <c r="AK104" s="11" t="n">
        <f aca="false">AK103+AK20*$F$109</f>
        <v>163.614761966571</v>
      </c>
      <c r="AL104" s="11" t="n">
        <f aca="false">AL103+AL20*$F$109</f>
        <v>156.970873657065</v>
      </c>
      <c r="AM104" s="11" t="n">
        <f aca="false">AM103+AM20*$F$109</f>
        <v>150.960438204023</v>
      </c>
      <c r="AN104" s="11" t="n">
        <f aca="false">AN103+AN20*$F$109</f>
        <v>145.458843814079</v>
      </c>
      <c r="AO104" s="11" t="n">
        <f aca="false">AO103+AO20*$F$109</f>
        <v>140.660241147255</v>
      </c>
      <c r="AP104" s="11" t="n">
        <f aca="false">AP103+AP20*$F$109</f>
        <v>119.814088705888</v>
      </c>
      <c r="AQ104" s="11" t="n">
        <f aca="false">AQ103+AQ20*$F$109</f>
        <v>98.5080043681347</v>
      </c>
      <c r="AR104" s="11" t="n">
        <f aca="false">AR103+AR20*$F$109</f>
        <v>76.0796562337036</v>
      </c>
      <c r="AS104" s="11" t="n">
        <f aca="false">AS103+AS20*$F$109</f>
        <v>53.1331565878772</v>
      </c>
      <c r="AT104" s="11" t="n">
        <f aca="false">AT103+AT20*$F$109</f>
        <v>29.081229949173</v>
      </c>
      <c r="AU104" s="11" t="n">
        <f aca="false">AU103+AU20*$F$109</f>
        <v>0</v>
      </c>
      <c r="AV104" s="11" t="n">
        <f aca="false">AV103+AV20*$F$109</f>
        <v>0</v>
      </c>
      <c r="AW104" s="11" t="n">
        <f aca="false">AW103+AW20*$F$109</f>
        <v>0</v>
      </c>
      <c r="AX104" s="11" t="n">
        <f aca="false">AX103+AX20*$F$109</f>
        <v>0</v>
      </c>
      <c r="AY104" s="11" t="n">
        <f aca="false">AY103+AY20*$F$109</f>
        <v>0</v>
      </c>
      <c r="AZ104" s="11" t="n">
        <f aca="false">AZ103+AZ20*$F$109</f>
        <v>0</v>
      </c>
      <c r="BA104" s="11" t="n">
        <f aca="false">BA103+BA20*$F$109</f>
        <v>0</v>
      </c>
      <c r="BB104" s="11" t="n">
        <f aca="false">BB103+BB20*$F$109</f>
        <v>0</v>
      </c>
      <c r="BC104" s="11" t="n">
        <f aca="false">BC103+BC20*$F$109</f>
        <v>0</v>
      </c>
      <c r="BD104" s="11" t="n">
        <f aca="false">BD103+BD20*$F$109</f>
        <v>0</v>
      </c>
      <c r="BE104" s="11" t="n">
        <f aca="false">BE103+BE20*$F$109</f>
        <v>0</v>
      </c>
      <c r="BF104" s="11" t="n">
        <f aca="false">BF103+BF20*$F$109</f>
        <v>0</v>
      </c>
      <c r="BG104" s="11" t="n">
        <f aca="false">BG103+BG20*$F$109</f>
        <v>0</v>
      </c>
      <c r="BH104" s="11" t="n">
        <f aca="false">BH103+BH20*$F$109</f>
        <v>0</v>
      </c>
      <c r="BI104" s="11" t="n">
        <f aca="false">BI103+BI20*$F$109</f>
        <v>0</v>
      </c>
      <c r="BJ104" s="11" t="n">
        <f aca="false">BJ103+BJ20*$F$109</f>
        <v>0</v>
      </c>
      <c r="BK104" s="11" t="n">
        <f aca="false">BK103+BK20*$F$109</f>
        <v>0</v>
      </c>
      <c r="BL104" s="11" t="n">
        <f aca="false">BL103+BL20*$F$109</f>
        <v>0</v>
      </c>
      <c r="BM104" s="11" t="n">
        <f aca="false">BM103+BM20*$F$109</f>
        <v>0</v>
      </c>
      <c r="BN104" s="11" t="n">
        <f aca="false">BN103+BN20*$F$109</f>
        <v>0</v>
      </c>
    </row>
    <row r="105" customFormat="false" ht="15" hidden="false" customHeight="false" outlineLevel="0" collapsed="false">
      <c r="B105" s="2" t="s">
        <v>673</v>
      </c>
    </row>
    <row r="106" customFormat="false" ht="15" hidden="false" customHeight="false" outlineLevel="0" collapsed="false">
      <c r="D106" s="0" t="s">
        <v>674</v>
      </c>
      <c r="E106" s="0" t="s">
        <v>99</v>
      </c>
      <c r="J106" s="10" t="n">
        <f aca="false">IF(Time!J17&gt;14,(1+Inputs!$F$202/200)^-(Time!J17-14),0)</f>
        <v>0</v>
      </c>
      <c r="K106" s="10" t="n">
        <f aca="false">IF(Time!K17&gt;14,(1+Inputs!$F$202/200)^-(Time!K17-14),0)</f>
        <v>0</v>
      </c>
      <c r="L106" s="10" t="n">
        <f aca="false">IF(Time!L17&gt;14,(1+Inputs!$F$202/200)^-(Time!L17-14),0)</f>
        <v>0</v>
      </c>
      <c r="M106" s="10" t="n">
        <f aca="false">IF(Time!M17&gt;14,(1+Inputs!$F$202/200)^-(Time!M17-14),0)</f>
        <v>0</v>
      </c>
      <c r="N106" s="10" t="n">
        <f aca="false">IF(Time!N17&gt;14,(1+Inputs!$F$202/200)^-(Time!N17-14),0)</f>
        <v>0</v>
      </c>
      <c r="O106" s="10" t="n">
        <f aca="false">IF(Time!O17&gt;14,(1+Inputs!$F$202/200)^-(Time!O17-14),0)</f>
        <v>0</v>
      </c>
      <c r="P106" s="10" t="n">
        <f aca="false">IF(Time!P17&gt;14,(1+Inputs!$F$202/200)^-(Time!P17-14),0)</f>
        <v>0</v>
      </c>
      <c r="Q106" s="10" t="n">
        <f aca="false">IF(Time!Q17&gt;14,(1+Inputs!$F$202/200)^-(Time!Q17-14),0)</f>
        <v>0</v>
      </c>
      <c r="R106" s="10" t="n">
        <f aca="false">IF(Time!R17&gt;14,(1+Inputs!$F$202/200)^-(Time!R17-14),0)</f>
        <v>0</v>
      </c>
      <c r="S106" s="10" t="n">
        <f aca="false">IF(Time!S17&gt;14,(1+Inputs!$F$202/200)^-(Time!S17-14),0)</f>
        <v>0</v>
      </c>
      <c r="T106" s="10" t="n">
        <f aca="false">IF(Time!T17&gt;14,(1+Inputs!$F$202/200)^-(Time!T17-14),0)</f>
        <v>0</v>
      </c>
      <c r="U106" s="10" t="n">
        <f aca="false">IF(Time!U17&gt;14,(1+Inputs!$F$202/200)^-(Time!U17-14),0)</f>
        <v>0</v>
      </c>
      <c r="V106" s="10" t="n">
        <f aca="false">IF(Time!V17&gt;14,(1+Inputs!$F$202/200)^-(Time!V17-14),0)</f>
        <v>0</v>
      </c>
      <c r="W106" s="10" t="n">
        <f aca="false">IF(Time!W17&gt;14,(1+Inputs!$F$202/200)^-(Time!W17-14),0)</f>
        <v>0</v>
      </c>
      <c r="X106" s="10" t="n">
        <f aca="false">IF(Time!X17&gt;14,(1+Inputs!$F$202/200)^-(Time!X17-14),0)</f>
        <v>0.981932443047918</v>
      </c>
      <c r="Y106" s="10" t="n">
        <f aca="false">IF(Time!Y17&gt;14,(1+Inputs!$F$202/200)^-(Time!Y17-14),0)</f>
        <v>0.964191322710053</v>
      </c>
      <c r="Z106" s="10" t="n">
        <f aca="false">IF(Time!Z17&gt;14,(1+Inputs!$F$202/200)^-(Time!Z17-14),0)</f>
        <v>0.946770741074287</v>
      </c>
      <c r="AA106" s="10" t="n">
        <f aca="false">IF(Time!AA17&gt;14,(1+Inputs!$F$202/200)^-(Time!AA17-14),0)</f>
        <v>0.929664906789362</v>
      </c>
      <c r="AB106" s="10" t="n">
        <f aca="false">IF(Time!AB17&gt;14,(1+Inputs!$F$202/200)^-(Time!AB17-14),0)</f>
        <v>0.912868133139594</v>
      </c>
      <c r="AC106" s="10" t="n">
        <f aca="false">IF(Time!AC17&gt;14,(1+Inputs!$F$202/200)^-(Time!AC17-14),0)</f>
        <v>0.896374836154354</v>
      </c>
      <c r="AD106" s="10" t="n">
        <f aca="false">IF(Time!AD17&gt;14,(1+Inputs!$F$202/200)^-(Time!AD17-14),0)</f>
        <v>0.880179532751722</v>
      </c>
      <c r="AE106" s="10" t="n">
        <f aca="false">IF(Time!AE17&gt;14,(1+Inputs!$F$202/200)^-(Time!AE17-14),0)</f>
        <v>0.864276838915674</v>
      </c>
      <c r="AF106" s="10" t="n">
        <f aca="false">IF(Time!AF17&gt;14,(1+Inputs!$F$202/200)^-(Time!AF17-14),0)</f>
        <v>0.8486614679062</v>
      </c>
      <c r="AG106" s="10" t="n">
        <f aca="false">IF(Time!AG17&gt;14,(1+Inputs!$F$202/200)^-(Time!AG17-14),0)</f>
        <v>0.833328228501767</v>
      </c>
      <c r="AH106" s="10" t="n">
        <f aca="false">IF(Time!AH17&gt;14,(1+Inputs!$F$202/200)^-(Time!AH17-14),0)</f>
        <v>0.818272023273534</v>
      </c>
      <c r="AI106" s="10" t="n">
        <f aca="false">IF(Time!AI17&gt;14,(1+Inputs!$F$202/200)^-(Time!AI17-14),0)</f>
        <v>0.803487846890745</v>
      </c>
      <c r="AJ106" s="10" t="n">
        <f aca="false">IF(Time!AJ17&gt;14,(1+Inputs!$F$202/200)^-(Time!AJ17-14),0)</f>
        <v>0.78897078445674</v>
      </c>
      <c r="AK106" s="10" t="n">
        <f aca="false">IF(Time!AK17&gt;14,(1+Inputs!$F$202/200)^-(Time!AK17-14),0)</f>
        <v>0.77471600987504</v>
      </c>
      <c r="AL106" s="10" t="n">
        <f aca="false">IF(Time!AL17&gt;14,(1+Inputs!$F$202/200)^-(Time!AL17-14),0)</f>
        <v>0.760718784244933</v>
      </c>
      <c r="AM106" s="10" t="n">
        <f aca="false">IF(Time!AM17&gt;14,(1+Inputs!$F$202/200)^-(Time!AM17-14),0)</f>
        <v>0.746974454286069</v>
      </c>
      <c r="AN106" s="10" t="n">
        <f aca="false">IF(Time!AN17&gt;14,(1+Inputs!$F$202/200)^-(Time!AN17-14),0)</f>
        <v>0.733478450791506</v>
      </c>
      <c r="AO106" s="10" t="n">
        <f aca="false">IF(Time!AO17&gt;14,(1+Inputs!$F$202/200)^-(Time!AO17-14),0)</f>
        <v>0.720226287108706</v>
      </c>
      <c r="AP106" s="10" t="n">
        <f aca="false">IF(Time!AP17&gt;14,(1+Inputs!$F$202/200)^-(Time!AP17-14),0)</f>
        <v>0.707213557647983</v>
      </c>
      <c r="AQ106" s="10" t="n">
        <f aca="false">IF(Time!AQ17&gt;14,(1+Inputs!$F$202/200)^-(Time!AQ17-14),0)</f>
        <v>0.694435936417893</v>
      </c>
      <c r="AR106" s="10" t="n">
        <f aca="false">IF(Time!AR17&gt;14,(1+Inputs!$F$202/200)^-(Time!AR17-14),0)</f>
        <v>0.681889175587091</v>
      </c>
      <c r="AS106" s="10" t="n">
        <f aca="false">IF(Time!AS17&gt;14,(1+Inputs!$F$202/200)^-(Time!AS17-14),0)</f>
        <v>0.669569104072163</v>
      </c>
      <c r="AT106" s="10" t="n">
        <f aca="false">IF(Time!AT17&gt;14,(1+Inputs!$F$202/200)^-(Time!AT17-14),0)</f>
        <v>0.657471626150985</v>
      </c>
      <c r="AU106" s="10" t="n">
        <f aca="false">IF(Time!AU17&gt;14,(1+Inputs!$F$202/200)^-(Time!AU17-14),0)</f>
        <v>0.645592720101125</v>
      </c>
      <c r="AV106" s="10" t="n">
        <f aca="false">IF(Time!AV17&gt;14,(1+Inputs!$F$202/200)^-(Time!AV17-14),0)</f>
        <v>0.633928436862848</v>
      </c>
      <c r="AW106" s="10" t="n">
        <f aca="false">IF(Time!AW17&gt;14,(1+Inputs!$F$202/200)^-(Time!AW17-14),0)</f>
        <v>0.622474898726284</v>
      </c>
      <c r="AX106" s="10" t="n">
        <f aca="false">IF(Time!AX17&gt;14,(1+Inputs!$F$202/200)^-(Time!AX17-14),0)</f>
        <v>0.611228298042306</v>
      </c>
      <c r="AY106" s="10" t="n">
        <f aca="false">IF(Time!AY17&gt;14,(1+Inputs!$F$202/200)^-(Time!AY17-14),0)</f>
        <v>0.600184895956703</v>
      </c>
      <c r="AZ106" s="10" t="n">
        <f aca="false">IF(Time!AZ17&gt;14,(1+Inputs!$F$202/200)^-(Time!AZ17-14),0)</f>
        <v>0.589341021167226</v>
      </c>
      <c r="BA106" s="10" t="n">
        <f aca="false">IF(Time!BA17&gt;14,(1+Inputs!$F$202/200)^-(Time!BA17-14),0)</f>
        <v>0.578693068703089</v>
      </c>
      <c r="BB106" s="10" t="n">
        <f aca="false">IF(Time!BB17&gt;14,(1+Inputs!$F$202/200)^-(Time!BB17-14),0)</f>
        <v>0.568237498726521</v>
      </c>
      <c r="BC106" s="10" t="n">
        <f aca="false">IF(Time!BC17&gt;14,(1+Inputs!$F$202/200)^-(Time!BC17-14),0)</f>
        <v>0.557970835355971</v>
      </c>
      <c r="BD106" s="10" t="n">
        <f aca="false">IF(Time!BD17&gt;14,(1+Inputs!$F$202/200)^-(Time!BD17-14),0)</f>
        <v>0.547889665510577</v>
      </c>
      <c r="BE106" s="10" t="n">
        <f aca="false">IF(Time!BE17&gt;14,(1+Inputs!$F$202/200)^-(Time!BE17-14),0)</f>
        <v>0.537990637775507</v>
      </c>
      <c r="BF106" s="10" t="n">
        <f aca="false">IF(Time!BF17&gt;14,(1+Inputs!$F$202/200)^-(Time!BF17-14),0)</f>
        <v>0.528270461287812</v>
      </c>
      <c r="BG106" s="10" t="n">
        <f aca="false">IF(Time!BG17&gt;14,(1+Inputs!$F$202/200)^-(Time!BG17-14),0)</f>
        <v>0.518725904642391</v>
      </c>
      <c r="BH106" s="10" t="n">
        <f aca="false">IF(Time!BH17&gt;14,(1+Inputs!$F$202/200)^-(Time!BH17-14),0)</f>
        <v>0.509353794817745</v>
      </c>
      <c r="BI106" s="10" t="n">
        <f aca="false">IF(Time!BI17&gt;14,(1+Inputs!$F$202/200)^-(Time!BI17-14),0)</f>
        <v>0.500151016121117</v>
      </c>
      <c r="BJ106" s="10" t="n">
        <f aca="false">IF(Time!BJ17&gt;14,(1+Inputs!$F$202/200)^-(Time!BJ17-14),0)</f>
        <v>0.491114509152707</v>
      </c>
      <c r="BK106" s="10" t="n">
        <f aca="false">IF(Time!BK17&gt;14,(1+Inputs!$F$202/200)^-(Time!BK17-14),0)</f>
        <v>0.482241269788597</v>
      </c>
      <c r="BL106" s="10" t="n">
        <f aca="false">IF(Time!BL17&gt;14,(1+Inputs!$F$202/200)^-(Time!BL17-14),0)</f>
        <v>0.473528348182047</v>
      </c>
      <c r="BM106" s="10" t="n">
        <f aca="false">IF(Time!BM17&gt;14,(1+Inputs!$F$202/200)^-(Time!BM17-14),0)</f>
        <v>0.464972847782843</v>
      </c>
      <c r="BN106" s="10" t="n">
        <f aca="false">IF(Time!BN17&gt;14,(1+Inputs!$F$202/200)^-(Time!BN17-14),0)</f>
        <v>0.456571924374354</v>
      </c>
    </row>
    <row r="107" customFormat="false" ht="15" hidden="false" customHeight="false" outlineLevel="0" collapsed="false">
      <c r="D107" s="0" t="s">
        <v>675</v>
      </c>
      <c r="E107" s="0" t="s">
        <v>149</v>
      </c>
      <c r="F107" s="15" t="n">
        <f aca="false">Inputs!$F$50*Inputs!$F$203*(Inputs!$F$202-Inputs!$F$97)/100*0.5*SUMPRODUCT(Inputs!$J$225:$BN$225,Debt!$J$106:$BN$106)</f>
        <v>6.29851347785266</v>
      </c>
    </row>
    <row r="108" customFormat="false" ht="15" hidden="false" customHeight="false" outlineLevel="0" collapsed="false">
      <c r="D108" s="0" t="s">
        <v>676</v>
      </c>
      <c r="E108" s="0" t="s">
        <v>149</v>
      </c>
      <c r="F108" s="15" t="n">
        <f aca="false">$W$64+$W$79+$W$94</f>
        <v>232.996069799805</v>
      </c>
    </row>
    <row r="109" customFormat="false" ht="15" hidden="false" customHeight="false" outlineLevel="0" collapsed="false">
      <c r="D109" s="0" t="s">
        <v>677</v>
      </c>
      <c r="E109" s="0" t="s">
        <v>149</v>
      </c>
      <c r="F109" s="15" t="n">
        <f aca="false">Inputs!$F$50*(Debt!$F$108+Inputs!$F$198+Inputs!$F$201/100*Inputs!$F$199-Debt!$F$107)/(Inputs!$F$196-Inputs!$F$197)</f>
        <v>233.99185512623</v>
      </c>
    </row>
    <row r="110" customFormat="false" ht="15" hidden="false" customHeight="false" outlineLevel="0" collapsed="false">
      <c r="D110" s="0" t="s">
        <v>678</v>
      </c>
      <c r="E110" s="0" t="s">
        <v>149</v>
      </c>
      <c r="G110" s="11" t="n">
        <f aca="false">SUM(J110:BN110)</f>
        <v>6.29851347785266</v>
      </c>
      <c r="J110" s="11" t="n">
        <f aca="false">J20*$F$107</f>
        <v>0</v>
      </c>
      <c r="K110" s="11" t="n">
        <f aca="false">K20*$F$107</f>
        <v>0</v>
      </c>
      <c r="L110" s="11" t="n">
        <f aca="false">L20*$F$107</f>
        <v>0</v>
      </c>
      <c r="M110" s="11" t="n">
        <f aca="false">M20*$F$107</f>
        <v>0</v>
      </c>
      <c r="N110" s="11" t="n">
        <f aca="false">N20*$F$107</f>
        <v>0</v>
      </c>
      <c r="O110" s="11" t="n">
        <f aca="false">O20*$F$107</f>
        <v>0</v>
      </c>
      <c r="P110" s="11" t="n">
        <f aca="false">P20*$F$107</f>
        <v>0</v>
      </c>
      <c r="Q110" s="11" t="n">
        <f aca="false">Q20*$F$107</f>
        <v>0</v>
      </c>
      <c r="R110" s="11" t="n">
        <f aca="false">R20*$F$107</f>
        <v>0</v>
      </c>
      <c r="S110" s="11" t="n">
        <f aca="false">S20*$F$107</f>
        <v>0</v>
      </c>
      <c r="T110" s="11" t="n">
        <f aca="false">T20*$F$107</f>
        <v>0</v>
      </c>
      <c r="U110" s="11" t="n">
        <f aca="false">U20*$F$107</f>
        <v>0</v>
      </c>
      <c r="V110" s="11" t="n">
        <f aca="false">V20*$F$107</f>
        <v>0</v>
      </c>
      <c r="W110" s="11" t="n">
        <f aca="false">W20*$F$107</f>
        <v>6.29851347785266</v>
      </c>
      <c r="X110" s="11" t="n">
        <f aca="false">X20*$F$107</f>
        <v>0</v>
      </c>
      <c r="Y110" s="11" t="n">
        <f aca="false">Y20*$F$107</f>
        <v>0</v>
      </c>
      <c r="Z110" s="11" t="n">
        <f aca="false">Z20*$F$107</f>
        <v>0</v>
      </c>
      <c r="AA110" s="11" t="n">
        <f aca="false">AA20*$F$107</f>
        <v>0</v>
      </c>
      <c r="AB110" s="11" t="n">
        <f aca="false">AB20*$F$107</f>
        <v>0</v>
      </c>
      <c r="AC110" s="11" t="n">
        <f aca="false">AC20*$F$107</f>
        <v>0</v>
      </c>
      <c r="AD110" s="11" t="n">
        <f aca="false">AD20*$F$107</f>
        <v>0</v>
      </c>
      <c r="AE110" s="11" t="n">
        <f aca="false">AE20*$F$107</f>
        <v>0</v>
      </c>
      <c r="AF110" s="11" t="n">
        <f aca="false">AF20*$F$107</f>
        <v>0</v>
      </c>
      <c r="AG110" s="11" t="n">
        <f aca="false">AG20*$F$107</f>
        <v>0</v>
      </c>
      <c r="AH110" s="11" t="n">
        <f aca="false">AH20*$F$107</f>
        <v>0</v>
      </c>
      <c r="AI110" s="11" t="n">
        <f aca="false">AI20*$F$107</f>
        <v>0</v>
      </c>
      <c r="AJ110" s="11" t="n">
        <f aca="false">AJ20*$F$107</f>
        <v>0</v>
      </c>
      <c r="AK110" s="11" t="n">
        <f aca="false">AK20*$F$107</f>
        <v>0</v>
      </c>
      <c r="AL110" s="11" t="n">
        <f aca="false">AL20*$F$107</f>
        <v>0</v>
      </c>
      <c r="AM110" s="11" t="n">
        <f aca="false">AM20*$F$107</f>
        <v>0</v>
      </c>
      <c r="AN110" s="11" t="n">
        <f aca="false">AN20*$F$107</f>
        <v>0</v>
      </c>
      <c r="AO110" s="11" t="n">
        <f aca="false">AO20*$F$107</f>
        <v>0</v>
      </c>
      <c r="AP110" s="11" t="n">
        <f aca="false">AP20*$F$107</f>
        <v>0</v>
      </c>
      <c r="AQ110" s="11" t="n">
        <f aca="false">AQ20*$F$107</f>
        <v>0</v>
      </c>
      <c r="AR110" s="11" t="n">
        <f aca="false">AR20*$F$107</f>
        <v>0</v>
      </c>
      <c r="AS110" s="11" t="n">
        <f aca="false">AS20*$F$107</f>
        <v>0</v>
      </c>
      <c r="AT110" s="11" t="n">
        <f aca="false">AT20*$F$107</f>
        <v>0</v>
      </c>
      <c r="AU110" s="11" t="n">
        <f aca="false">AU20*$F$107</f>
        <v>0</v>
      </c>
      <c r="AV110" s="11" t="n">
        <f aca="false">AV20*$F$107</f>
        <v>0</v>
      </c>
      <c r="AW110" s="11" t="n">
        <f aca="false">AW20*$F$107</f>
        <v>0</v>
      </c>
      <c r="AX110" s="11" t="n">
        <f aca="false">AX20*$F$107</f>
        <v>0</v>
      </c>
      <c r="AY110" s="11" t="n">
        <f aca="false">AY20*$F$107</f>
        <v>0</v>
      </c>
      <c r="AZ110" s="11" t="n">
        <f aca="false">AZ20*$F$107</f>
        <v>0</v>
      </c>
      <c r="BA110" s="11" t="n">
        <f aca="false">BA20*$F$107</f>
        <v>0</v>
      </c>
      <c r="BB110" s="11" t="n">
        <f aca="false">BB20*$F$107</f>
        <v>0</v>
      </c>
      <c r="BC110" s="11" t="n">
        <f aca="false">BC20*$F$107</f>
        <v>0</v>
      </c>
      <c r="BD110" s="11" t="n">
        <f aca="false">BD20*$F$107</f>
        <v>0</v>
      </c>
      <c r="BE110" s="11" t="n">
        <f aca="false">BE20*$F$107</f>
        <v>0</v>
      </c>
      <c r="BF110" s="11" t="n">
        <f aca="false">BF20*$F$107</f>
        <v>0</v>
      </c>
      <c r="BG110" s="11" t="n">
        <f aca="false">BG20*$F$107</f>
        <v>0</v>
      </c>
      <c r="BH110" s="11" t="n">
        <f aca="false">BH20*$F$107</f>
        <v>0</v>
      </c>
      <c r="BI110" s="11" t="n">
        <f aca="false">BI20*$F$107</f>
        <v>0</v>
      </c>
      <c r="BJ110" s="11" t="n">
        <f aca="false">BJ20*$F$107</f>
        <v>0</v>
      </c>
      <c r="BK110" s="11" t="n">
        <f aca="false">BK20*$F$107</f>
        <v>0</v>
      </c>
      <c r="BL110" s="11" t="n">
        <f aca="false">BL20*$F$107</f>
        <v>0</v>
      </c>
      <c r="BM110" s="11" t="n">
        <f aca="false">BM20*$F$107</f>
        <v>0</v>
      </c>
      <c r="BN110" s="11" t="n">
        <f aca="false">BN20*$F$107</f>
        <v>0</v>
      </c>
    </row>
    <row r="111" customFormat="false" ht="15" hidden="false" customHeight="false" outlineLevel="0" collapsed="false">
      <c r="D111" s="0" t="s">
        <v>679</v>
      </c>
      <c r="E111" s="0" t="s">
        <v>149</v>
      </c>
      <c r="G111" s="11" t="n">
        <f aca="false">SUM(J111:BN111)</f>
        <v>7.2942988042783</v>
      </c>
      <c r="J111" s="11" t="n">
        <f aca="false">0</f>
        <v>0</v>
      </c>
      <c r="K111" s="11" t="n">
        <f aca="false">0</f>
        <v>0</v>
      </c>
      <c r="L111" s="11" t="n">
        <f aca="false">0</f>
        <v>0</v>
      </c>
      <c r="M111" s="11" t="n">
        <f aca="false">0</f>
        <v>0</v>
      </c>
      <c r="N111" s="11" t="n">
        <f aca="false">0</f>
        <v>0</v>
      </c>
      <c r="O111" s="11" t="n">
        <f aca="false">0</f>
        <v>0</v>
      </c>
      <c r="P111" s="11" t="n">
        <f aca="false">0</f>
        <v>0</v>
      </c>
      <c r="Q111" s="11" t="n">
        <f aca="false">0</f>
        <v>0</v>
      </c>
      <c r="R111" s="11" t="n">
        <f aca="false">0</f>
        <v>0</v>
      </c>
      <c r="S111" s="11" t="n">
        <f aca="false">0</f>
        <v>0</v>
      </c>
      <c r="T111" s="11" t="n">
        <f aca="false">0</f>
        <v>0</v>
      </c>
      <c r="U111" s="11" t="n">
        <f aca="false">0</f>
        <v>0</v>
      </c>
      <c r="V111" s="11" t="n">
        <f aca="false">0</f>
        <v>0</v>
      </c>
      <c r="W111" s="11" t="n">
        <f aca="false">W20*($F$109*(1-Inputs!$F$196)+Inputs!$F$197*$F$109+Inputs!$F$198+Inputs!$F$201/100*Inputs!$F$199)</f>
        <v>7.2942988042783</v>
      </c>
      <c r="X111" s="11" t="n">
        <f aca="false">X20*($F$109*(1-Inputs!$F$196)+Inputs!$F$197*$F$109+Inputs!$F$198+Inputs!$F$201/100*Inputs!$F$199)</f>
        <v>0</v>
      </c>
      <c r="Y111" s="11" t="n">
        <f aca="false">Y20*($F$109*(1-Inputs!$F$196)+Inputs!$F$197*$F$109+Inputs!$F$198+Inputs!$F$201/100*Inputs!$F$199)</f>
        <v>0</v>
      </c>
      <c r="Z111" s="11" t="n">
        <f aca="false">Z20*($F$109*(1-Inputs!$F$196)+Inputs!$F$197*$F$109+Inputs!$F$198+Inputs!$F$201/100*Inputs!$F$199)</f>
        <v>0</v>
      </c>
      <c r="AA111" s="11" t="n">
        <f aca="false">AA20*($F$109*(1-Inputs!$F$196)+Inputs!$F$197*$F$109+Inputs!$F$198+Inputs!$F$201/100*Inputs!$F$199)</f>
        <v>0</v>
      </c>
      <c r="AB111" s="11" t="n">
        <f aca="false">AB20*($F$109*(1-Inputs!$F$196)+Inputs!$F$197*$F$109+Inputs!$F$198+Inputs!$F$201/100*Inputs!$F$199)</f>
        <v>0</v>
      </c>
      <c r="AC111" s="11" t="n">
        <f aca="false">AC20*($F$109*(1-Inputs!$F$196)+Inputs!$F$197*$F$109+Inputs!$F$198+Inputs!$F$201/100*Inputs!$F$199)</f>
        <v>0</v>
      </c>
      <c r="AD111" s="11" t="n">
        <f aca="false">AD20*($F$109*(1-Inputs!$F$196)+Inputs!$F$197*$F$109+Inputs!$F$198+Inputs!$F$201/100*Inputs!$F$199)</f>
        <v>0</v>
      </c>
      <c r="AE111" s="11" t="n">
        <f aca="false">AE20*($F$109*(1-Inputs!$F$196)+Inputs!$F$197*$F$109+Inputs!$F$198+Inputs!$F$201/100*Inputs!$F$199)</f>
        <v>0</v>
      </c>
      <c r="AF111" s="11" t="n">
        <f aca="false">AF20*($F$109*(1-Inputs!$F$196)+Inputs!$F$197*$F$109+Inputs!$F$198+Inputs!$F$201/100*Inputs!$F$199)</f>
        <v>0</v>
      </c>
      <c r="AG111" s="11" t="n">
        <f aca="false">AG20*($F$109*(1-Inputs!$F$196)+Inputs!$F$197*$F$109+Inputs!$F$198+Inputs!$F$201/100*Inputs!$F$199)</f>
        <v>0</v>
      </c>
      <c r="AH111" s="11" t="n">
        <f aca="false">AH20*($F$109*(1-Inputs!$F$196)+Inputs!$F$197*$F$109+Inputs!$F$198+Inputs!$F$201/100*Inputs!$F$199)</f>
        <v>0</v>
      </c>
      <c r="AI111" s="11" t="n">
        <f aca="false">AI20*($F$109*(1-Inputs!$F$196)+Inputs!$F$197*$F$109+Inputs!$F$198+Inputs!$F$201/100*Inputs!$F$199)</f>
        <v>0</v>
      </c>
      <c r="AJ111" s="11" t="n">
        <f aca="false">AJ20*($F$109*(1-Inputs!$F$196)+Inputs!$F$197*$F$109+Inputs!$F$198+Inputs!$F$201/100*Inputs!$F$199)</f>
        <v>0</v>
      </c>
      <c r="AK111" s="11" t="n">
        <f aca="false">AK20*($F$109*(1-Inputs!$F$196)+Inputs!$F$197*$F$109+Inputs!$F$198+Inputs!$F$201/100*Inputs!$F$199)</f>
        <v>0</v>
      </c>
      <c r="AL111" s="11" t="n">
        <f aca="false">AL20*($F$109*(1-Inputs!$F$196)+Inputs!$F$197*$F$109+Inputs!$F$198+Inputs!$F$201/100*Inputs!$F$199)</f>
        <v>0</v>
      </c>
      <c r="AM111" s="11" t="n">
        <f aca="false">AM20*($F$109*(1-Inputs!$F$196)+Inputs!$F$197*$F$109+Inputs!$F$198+Inputs!$F$201/100*Inputs!$F$199)</f>
        <v>0</v>
      </c>
      <c r="AN111" s="11" t="n">
        <f aca="false">AN20*($F$109*(1-Inputs!$F$196)+Inputs!$F$197*$F$109+Inputs!$F$198+Inputs!$F$201/100*Inputs!$F$199)</f>
        <v>0</v>
      </c>
      <c r="AO111" s="11" t="n">
        <f aca="false">AO20*($F$109*(1-Inputs!$F$196)+Inputs!$F$197*$F$109+Inputs!$F$198+Inputs!$F$201/100*Inputs!$F$199)</f>
        <v>0</v>
      </c>
      <c r="AP111" s="11" t="n">
        <f aca="false">AP20*($F$109*(1-Inputs!$F$196)+Inputs!$F$197*$F$109+Inputs!$F$198+Inputs!$F$201/100*Inputs!$F$199)</f>
        <v>0</v>
      </c>
      <c r="AQ111" s="11" t="n">
        <f aca="false">AQ20*($F$109*(1-Inputs!$F$196)+Inputs!$F$197*$F$109+Inputs!$F$198+Inputs!$F$201/100*Inputs!$F$199)</f>
        <v>0</v>
      </c>
      <c r="AR111" s="11" t="n">
        <f aca="false">AR20*($F$109*(1-Inputs!$F$196)+Inputs!$F$197*$F$109+Inputs!$F$198+Inputs!$F$201/100*Inputs!$F$199)</f>
        <v>0</v>
      </c>
      <c r="AS111" s="11" t="n">
        <f aca="false">AS20*($F$109*(1-Inputs!$F$196)+Inputs!$F$197*$F$109+Inputs!$F$198+Inputs!$F$201/100*Inputs!$F$199)</f>
        <v>0</v>
      </c>
      <c r="AT111" s="11" t="n">
        <f aca="false">AT20*($F$109*(1-Inputs!$F$196)+Inputs!$F$197*$F$109+Inputs!$F$198+Inputs!$F$201/100*Inputs!$F$199)</f>
        <v>0</v>
      </c>
      <c r="AU111" s="11" t="n">
        <f aca="false">AU20*($F$109*(1-Inputs!$F$196)+Inputs!$F$197*$F$109+Inputs!$F$198+Inputs!$F$201/100*Inputs!$F$199)</f>
        <v>0</v>
      </c>
      <c r="AV111" s="11" t="n">
        <f aca="false">AV20*($F$109*(1-Inputs!$F$196)+Inputs!$F$197*$F$109+Inputs!$F$198+Inputs!$F$201/100*Inputs!$F$199)</f>
        <v>0</v>
      </c>
      <c r="AW111" s="11" t="n">
        <f aca="false">AW20*($F$109*(1-Inputs!$F$196)+Inputs!$F$197*$F$109+Inputs!$F$198+Inputs!$F$201/100*Inputs!$F$199)</f>
        <v>0</v>
      </c>
      <c r="AX111" s="11" t="n">
        <f aca="false">AX20*($F$109*(1-Inputs!$F$196)+Inputs!$F$197*$F$109+Inputs!$F$198+Inputs!$F$201/100*Inputs!$F$199)</f>
        <v>0</v>
      </c>
      <c r="AY111" s="11" t="n">
        <f aca="false">AY20*($F$109*(1-Inputs!$F$196)+Inputs!$F$197*$F$109+Inputs!$F$198+Inputs!$F$201/100*Inputs!$F$199)</f>
        <v>0</v>
      </c>
      <c r="AZ111" s="11" t="n">
        <f aca="false">AZ20*($F$109*(1-Inputs!$F$196)+Inputs!$F$197*$F$109+Inputs!$F$198+Inputs!$F$201/100*Inputs!$F$199)</f>
        <v>0</v>
      </c>
      <c r="BA111" s="11" t="n">
        <f aca="false">BA20*($F$109*(1-Inputs!$F$196)+Inputs!$F$197*$F$109+Inputs!$F$198+Inputs!$F$201/100*Inputs!$F$199)</f>
        <v>0</v>
      </c>
      <c r="BB111" s="11" t="n">
        <f aca="false">BB20*($F$109*(1-Inputs!$F$196)+Inputs!$F$197*$F$109+Inputs!$F$198+Inputs!$F$201/100*Inputs!$F$199)</f>
        <v>0</v>
      </c>
      <c r="BC111" s="11" t="n">
        <f aca="false">BC20*($F$109*(1-Inputs!$F$196)+Inputs!$F$197*$F$109+Inputs!$F$198+Inputs!$F$201/100*Inputs!$F$199)</f>
        <v>0</v>
      </c>
      <c r="BD111" s="11" t="n">
        <f aca="false">BD20*($F$109*(1-Inputs!$F$196)+Inputs!$F$197*$F$109+Inputs!$F$198+Inputs!$F$201/100*Inputs!$F$199)</f>
        <v>0</v>
      </c>
      <c r="BE111" s="11" t="n">
        <f aca="false">BE20*($F$109*(1-Inputs!$F$196)+Inputs!$F$197*$F$109+Inputs!$F$198+Inputs!$F$201/100*Inputs!$F$199)</f>
        <v>0</v>
      </c>
      <c r="BF111" s="11" t="n">
        <f aca="false">BF20*($F$109*(1-Inputs!$F$196)+Inputs!$F$197*$F$109+Inputs!$F$198+Inputs!$F$201/100*Inputs!$F$199)</f>
        <v>0</v>
      </c>
      <c r="BG111" s="11" t="n">
        <f aca="false">BG20*($F$109*(1-Inputs!$F$196)+Inputs!$F$197*$F$109+Inputs!$F$198+Inputs!$F$201/100*Inputs!$F$199)</f>
        <v>0</v>
      </c>
      <c r="BH111" s="11" t="n">
        <f aca="false">BH20*($F$109*(1-Inputs!$F$196)+Inputs!$F$197*$F$109+Inputs!$F$198+Inputs!$F$201/100*Inputs!$F$199)</f>
        <v>0</v>
      </c>
      <c r="BI111" s="11" t="n">
        <f aca="false">BI20*($F$109*(1-Inputs!$F$196)+Inputs!$F$197*$F$109+Inputs!$F$198+Inputs!$F$201/100*Inputs!$F$199)</f>
        <v>0</v>
      </c>
      <c r="BJ111" s="11" t="n">
        <f aca="false">BJ20*($F$109*(1-Inputs!$F$196)+Inputs!$F$197*$F$109+Inputs!$F$198+Inputs!$F$201/100*Inputs!$F$199)</f>
        <v>0</v>
      </c>
      <c r="BK111" s="11" t="n">
        <f aca="false">BK20*($F$109*(1-Inputs!$F$196)+Inputs!$F$197*$F$109+Inputs!$F$198+Inputs!$F$201/100*Inputs!$F$199)</f>
        <v>0</v>
      </c>
      <c r="BL111" s="11" t="n">
        <f aca="false">BL20*($F$109*(1-Inputs!$F$196)+Inputs!$F$197*$F$109+Inputs!$F$198+Inputs!$F$201/100*Inputs!$F$199)</f>
        <v>0</v>
      </c>
      <c r="BM111" s="11" t="n">
        <f aca="false">BM20*($F$109*(1-Inputs!$F$196)+Inputs!$F$197*$F$109+Inputs!$F$198+Inputs!$F$201/100*Inputs!$F$199)</f>
        <v>0</v>
      </c>
      <c r="BN111" s="11" t="n">
        <f aca="false">BN20*($F$109*(1-Inputs!$F$196)+Inputs!$F$197*$F$109+Inputs!$F$198+Inputs!$F$201/100*Inputs!$F$199)</f>
        <v>0</v>
      </c>
    </row>
    <row r="112" customFormat="false" ht="15" hidden="false" customHeight="false" outlineLevel="0" collapsed="false">
      <c r="B112" s="2" t="s">
        <v>680</v>
      </c>
    </row>
    <row r="113" customFormat="false" ht="15" hidden="false" customHeight="false" outlineLevel="0" collapsed="false">
      <c r="D113" s="0" t="s">
        <v>681</v>
      </c>
      <c r="E113" s="0" t="s">
        <v>109</v>
      </c>
      <c r="J113" s="11" t="n">
        <f aca="false">IF(AND(Inputs!$F$50=1,Time!J17&gt;14),Inputs!$F$204,1)</f>
        <v>1</v>
      </c>
      <c r="K113" s="11" t="n">
        <f aca="false">IF(AND(Inputs!$F$50=1,Time!K17&gt;14),Inputs!$F$204,1)</f>
        <v>1</v>
      </c>
      <c r="L113" s="11" t="n">
        <f aca="false">IF(AND(Inputs!$F$50=1,Time!L17&gt;14),Inputs!$F$204,1)</f>
        <v>1</v>
      </c>
      <c r="M113" s="11" t="n">
        <f aca="false">IF(AND(Inputs!$F$50=1,Time!M17&gt;14),Inputs!$F$204,1)</f>
        <v>1</v>
      </c>
      <c r="N113" s="11" t="n">
        <f aca="false">IF(AND(Inputs!$F$50=1,Time!N17&gt;14),Inputs!$F$204,1)</f>
        <v>1</v>
      </c>
      <c r="O113" s="11" t="n">
        <f aca="false">IF(AND(Inputs!$F$50=1,Time!O17&gt;14),Inputs!$F$204,1)</f>
        <v>1</v>
      </c>
      <c r="P113" s="11" t="n">
        <f aca="false">IF(AND(Inputs!$F$50=1,Time!P17&gt;14),Inputs!$F$204,1)</f>
        <v>1</v>
      </c>
      <c r="Q113" s="11" t="n">
        <f aca="false">IF(AND(Inputs!$F$50=1,Time!Q17&gt;14),Inputs!$F$204,1)</f>
        <v>1</v>
      </c>
      <c r="R113" s="11" t="n">
        <f aca="false">IF(AND(Inputs!$F$50=1,Time!R17&gt;14),Inputs!$F$204,1)</f>
        <v>1</v>
      </c>
      <c r="S113" s="11" t="n">
        <f aca="false">IF(AND(Inputs!$F$50=1,Time!S17&gt;14),Inputs!$F$204,1)</f>
        <v>1</v>
      </c>
      <c r="T113" s="11" t="n">
        <f aca="false">IF(AND(Inputs!$F$50=1,Time!T17&gt;14),Inputs!$F$204,1)</f>
        <v>1</v>
      </c>
      <c r="U113" s="11" t="n">
        <f aca="false">IF(AND(Inputs!$F$50=1,Time!U17&gt;14),Inputs!$F$204,1)</f>
        <v>1</v>
      </c>
      <c r="V113" s="11" t="n">
        <f aca="false">IF(AND(Inputs!$F$50=1,Time!V17&gt;14),Inputs!$F$204,1)</f>
        <v>1</v>
      </c>
      <c r="W113" s="11" t="n">
        <f aca="false">IF(AND(Inputs!$F$50=1,Time!W17&gt;14),Inputs!$F$204,1)</f>
        <v>1</v>
      </c>
      <c r="X113" s="11" t="n">
        <f aca="false">IF(AND(Inputs!$F$50=1,Time!X17&gt;14),Inputs!$F$204,1)</f>
        <v>0.52</v>
      </c>
      <c r="Y113" s="11" t="n">
        <f aca="false">IF(AND(Inputs!$F$50=1,Time!Y17&gt;14),Inputs!$F$204,1)</f>
        <v>0.52</v>
      </c>
      <c r="Z113" s="11" t="n">
        <f aca="false">IF(AND(Inputs!$F$50=1,Time!Z17&gt;14),Inputs!$F$204,1)</f>
        <v>0.52</v>
      </c>
      <c r="AA113" s="11" t="n">
        <f aca="false">IF(AND(Inputs!$F$50=1,Time!AA17&gt;14),Inputs!$F$204,1)</f>
        <v>0.52</v>
      </c>
      <c r="AB113" s="11" t="n">
        <f aca="false">IF(AND(Inputs!$F$50=1,Time!AB17&gt;14),Inputs!$F$204,1)</f>
        <v>0.52</v>
      </c>
      <c r="AC113" s="11" t="n">
        <f aca="false">IF(AND(Inputs!$F$50=1,Time!AC17&gt;14),Inputs!$F$204,1)</f>
        <v>0.52</v>
      </c>
      <c r="AD113" s="11" t="n">
        <f aca="false">IF(AND(Inputs!$F$50=1,Time!AD17&gt;14),Inputs!$F$204,1)</f>
        <v>0.52</v>
      </c>
      <c r="AE113" s="11" t="n">
        <f aca="false">IF(AND(Inputs!$F$50=1,Time!AE17&gt;14),Inputs!$F$204,1)</f>
        <v>0.52</v>
      </c>
      <c r="AF113" s="11" t="n">
        <f aca="false">IF(AND(Inputs!$F$50=1,Time!AF17&gt;14),Inputs!$F$204,1)</f>
        <v>0.52</v>
      </c>
      <c r="AG113" s="11" t="n">
        <f aca="false">IF(AND(Inputs!$F$50=1,Time!AG17&gt;14),Inputs!$F$204,1)</f>
        <v>0.52</v>
      </c>
      <c r="AH113" s="11" t="n">
        <f aca="false">IF(AND(Inputs!$F$50=1,Time!AH17&gt;14),Inputs!$F$204,1)</f>
        <v>0.52</v>
      </c>
      <c r="AI113" s="11" t="n">
        <f aca="false">IF(AND(Inputs!$F$50=1,Time!AI17&gt;14),Inputs!$F$204,1)</f>
        <v>0.52</v>
      </c>
      <c r="AJ113" s="11" t="n">
        <f aca="false">IF(AND(Inputs!$F$50=1,Time!AJ17&gt;14),Inputs!$F$204,1)</f>
        <v>0.52</v>
      </c>
      <c r="AK113" s="11" t="n">
        <f aca="false">IF(AND(Inputs!$F$50=1,Time!AK17&gt;14),Inputs!$F$204,1)</f>
        <v>0.52</v>
      </c>
      <c r="AL113" s="11" t="n">
        <f aca="false">IF(AND(Inputs!$F$50=1,Time!AL17&gt;14),Inputs!$F$204,1)</f>
        <v>0.52</v>
      </c>
      <c r="AM113" s="11" t="n">
        <f aca="false">IF(AND(Inputs!$F$50=1,Time!AM17&gt;14),Inputs!$F$204,1)</f>
        <v>0.52</v>
      </c>
      <c r="AN113" s="11" t="n">
        <f aca="false">IF(AND(Inputs!$F$50=1,Time!AN17&gt;14),Inputs!$F$204,1)</f>
        <v>0.52</v>
      </c>
      <c r="AO113" s="11" t="n">
        <f aca="false">IF(AND(Inputs!$F$50=1,Time!AO17&gt;14),Inputs!$F$204,1)</f>
        <v>0.52</v>
      </c>
      <c r="AP113" s="11" t="n">
        <f aca="false">IF(AND(Inputs!$F$50=1,Time!AP17&gt;14),Inputs!$F$204,1)</f>
        <v>0.52</v>
      </c>
      <c r="AQ113" s="11" t="n">
        <f aca="false">IF(AND(Inputs!$F$50=1,Time!AQ17&gt;14),Inputs!$F$204,1)</f>
        <v>0.52</v>
      </c>
      <c r="AR113" s="11" t="n">
        <f aca="false">IF(AND(Inputs!$F$50=1,Time!AR17&gt;14),Inputs!$F$204,1)</f>
        <v>0.52</v>
      </c>
      <c r="AS113" s="11" t="n">
        <f aca="false">IF(AND(Inputs!$F$50=1,Time!AS17&gt;14),Inputs!$F$204,1)</f>
        <v>0.52</v>
      </c>
      <c r="AT113" s="11" t="n">
        <f aca="false">IF(AND(Inputs!$F$50=1,Time!AT17&gt;14),Inputs!$F$204,1)</f>
        <v>0.52</v>
      </c>
      <c r="AU113" s="11" t="n">
        <f aca="false">IF(AND(Inputs!$F$50=1,Time!AU17&gt;14),Inputs!$F$204,1)</f>
        <v>0.52</v>
      </c>
      <c r="AV113" s="11" t="n">
        <f aca="false">IF(AND(Inputs!$F$50=1,Time!AV17&gt;14),Inputs!$F$204,1)</f>
        <v>0.52</v>
      </c>
      <c r="AW113" s="11" t="n">
        <f aca="false">IF(AND(Inputs!$F$50=1,Time!AW17&gt;14),Inputs!$F$204,1)</f>
        <v>0.52</v>
      </c>
      <c r="AX113" s="11" t="n">
        <f aca="false">IF(AND(Inputs!$F$50=1,Time!AX17&gt;14),Inputs!$F$204,1)</f>
        <v>0.52</v>
      </c>
      <c r="AY113" s="11" t="n">
        <f aca="false">IF(AND(Inputs!$F$50=1,Time!AY17&gt;14),Inputs!$F$204,1)</f>
        <v>0.52</v>
      </c>
      <c r="AZ113" s="11" t="n">
        <f aca="false">IF(AND(Inputs!$F$50=1,Time!AZ17&gt;14),Inputs!$F$204,1)</f>
        <v>0.52</v>
      </c>
      <c r="BA113" s="11" t="n">
        <f aca="false">IF(AND(Inputs!$F$50=1,Time!BA17&gt;14),Inputs!$F$204,1)</f>
        <v>0.52</v>
      </c>
      <c r="BB113" s="11" t="n">
        <f aca="false">IF(AND(Inputs!$F$50=1,Time!BB17&gt;14),Inputs!$F$204,1)</f>
        <v>0.52</v>
      </c>
      <c r="BC113" s="11" t="n">
        <f aca="false">IF(AND(Inputs!$F$50=1,Time!BC17&gt;14),Inputs!$F$204,1)</f>
        <v>0.52</v>
      </c>
      <c r="BD113" s="11" t="n">
        <f aca="false">IF(AND(Inputs!$F$50=1,Time!BD17&gt;14),Inputs!$F$204,1)</f>
        <v>0.52</v>
      </c>
      <c r="BE113" s="11" t="n">
        <f aca="false">IF(AND(Inputs!$F$50=1,Time!BE17&gt;14),Inputs!$F$204,1)</f>
        <v>0.52</v>
      </c>
      <c r="BF113" s="11" t="n">
        <f aca="false">IF(AND(Inputs!$F$50=1,Time!BF17&gt;14),Inputs!$F$204,1)</f>
        <v>0.52</v>
      </c>
      <c r="BG113" s="11" t="n">
        <f aca="false">IF(AND(Inputs!$F$50=1,Time!BG17&gt;14),Inputs!$F$204,1)</f>
        <v>0.52</v>
      </c>
      <c r="BH113" s="11" t="n">
        <f aca="false">IF(AND(Inputs!$F$50=1,Time!BH17&gt;14),Inputs!$F$204,1)</f>
        <v>0.52</v>
      </c>
      <c r="BI113" s="11" t="n">
        <f aca="false">IF(AND(Inputs!$F$50=1,Time!BI17&gt;14),Inputs!$F$204,1)</f>
        <v>0.52</v>
      </c>
      <c r="BJ113" s="11" t="n">
        <f aca="false">IF(AND(Inputs!$F$50=1,Time!BJ17&gt;14),Inputs!$F$204,1)</f>
        <v>0.52</v>
      </c>
      <c r="BK113" s="11" t="n">
        <f aca="false">IF(AND(Inputs!$F$50=1,Time!BK17&gt;14),Inputs!$F$204,1)</f>
        <v>0.52</v>
      </c>
      <c r="BL113" s="11" t="n">
        <f aca="false">IF(AND(Inputs!$F$50=1,Time!BL17&gt;14),Inputs!$F$204,1)</f>
        <v>0.52</v>
      </c>
      <c r="BM113" s="11" t="n">
        <f aca="false">IF(AND(Inputs!$F$50=1,Time!BM17&gt;14),Inputs!$F$204,1)</f>
        <v>0.52</v>
      </c>
      <c r="BN113" s="11" t="n">
        <f aca="false">IF(AND(Inputs!$F$50=1,Time!BN17&gt;14),Inputs!$F$204,1)</f>
        <v>0.52</v>
      </c>
    </row>
    <row r="114" customFormat="false" ht="15" hidden="false" customHeight="false" outlineLevel="0" collapsed="false">
      <c r="D114" s="0" t="s">
        <v>682</v>
      </c>
      <c r="E114" s="0" t="s">
        <v>149</v>
      </c>
      <c r="G114" s="11" t="n">
        <f aca="false">SUM(J114:BN114)</f>
        <v>-33.5021239901351</v>
      </c>
      <c r="J114" s="11" t="n">
        <f aca="false">Time!J30*Inputs!J225*J113*(Inputs!$F$97/100*0.5-Operations!J9/100*Time!J20/360)</f>
        <v>0</v>
      </c>
      <c r="K114" s="11" t="n">
        <f aca="false">Time!K30*Inputs!K225*K113*(Inputs!$F$97/100*0.5-Operations!K9/100*Time!K20/360)</f>
        <v>0</v>
      </c>
      <c r="L114" s="11" t="n">
        <f aca="false">Time!L30*Inputs!L225*L113*(Inputs!$F$97/100*0.5-Operations!L9/100*Time!L20/360)</f>
        <v>0</v>
      </c>
      <c r="M114" s="11" t="n">
        <f aca="false">Time!M30*Inputs!M225*M113*(Inputs!$F$97/100*0.5-Operations!M9/100*Time!M20/360)</f>
        <v>0</v>
      </c>
      <c r="N114" s="11" t="n">
        <f aca="false">Time!N30*Inputs!N225*N113*(Inputs!$F$97/100*0.5-Operations!N9/100*Time!N20/360)</f>
        <v>0</v>
      </c>
      <c r="O114" s="11" t="n">
        <f aca="false">Time!O30*Inputs!O225*O113*(Inputs!$F$97/100*0.5-Operations!O9/100*Time!O20/360)</f>
        <v>0</v>
      </c>
      <c r="P114" s="11" t="n">
        <f aca="false">Time!P30*Inputs!P225*P113*(Inputs!$F$97/100*0.5-Operations!P9/100*Time!P20/360)</f>
        <v>0</v>
      </c>
      <c r="Q114" s="11" t="n">
        <f aca="false">Time!Q30*Inputs!Q225*Q113*(Inputs!$F$97/100*0.5-Operations!Q9/100*Time!Q20/360)</f>
        <v>6.43739899493968</v>
      </c>
      <c r="R114" s="11" t="n">
        <f aca="false">Time!R30*Inputs!R225*R113*(Inputs!$F$97/100*0.5-Operations!R9/100*Time!R20/360)</f>
        <v>-0.140378231925448</v>
      </c>
      <c r="S114" s="11" t="n">
        <f aca="false">Time!S30*Inputs!S225*S113*(Inputs!$F$97/100*0.5-Operations!S9/100*Time!S20/360)</f>
        <v>-5.54426546426579</v>
      </c>
      <c r="T114" s="11" t="n">
        <f aca="false">Time!T30*Inputs!T225*T113*(Inputs!$F$97/100*0.5-Operations!T9/100*Time!T20/360)</f>
        <v>-6.99369716499187</v>
      </c>
      <c r="U114" s="11" t="n">
        <f aca="false">Time!U30*Inputs!U225*U113*(Inputs!$F$97/100*0.5-Operations!U9/100*Time!U20/360)</f>
        <v>-5.93654606615231</v>
      </c>
      <c r="V114" s="11" t="n">
        <f aca="false">Time!V30*Inputs!V225*V113*(Inputs!$F$97/100*0.5-Operations!V9/100*Time!V20/360)</f>
        <v>-5.99474461669756</v>
      </c>
      <c r="W114" s="11" t="n">
        <f aca="false">Time!W30*Inputs!W225*W113*(Inputs!$F$97/100*0.5-Operations!W9/100*Time!W20/360)</f>
        <v>-3.58564394289362</v>
      </c>
      <c r="X114" s="11" t="n">
        <f aca="false">Time!X30*Inputs!X225*X113*(Inputs!$F$97/100*0.5-Operations!X9/100*Time!X20/360)</f>
        <v>-1.78512145823746</v>
      </c>
      <c r="Y114" s="11" t="n">
        <f aca="false">Time!Y30*Inputs!Y225*Y113*(Inputs!$F$97/100*0.5-Operations!Y9/100*Time!Y20/360)</f>
        <v>-1.09708702835133</v>
      </c>
      <c r="Z114" s="11" t="n">
        <f aca="false">Time!Z30*Inputs!Z225*Z113*(Inputs!$F$97/100*0.5-Operations!Z9/100*Time!Z20/360)</f>
        <v>-1.07493974948245</v>
      </c>
      <c r="AA114" s="11" t="n">
        <f aca="false">Time!AA30*Inputs!AA225*AA113*(Inputs!$F$97/100*0.5-Operations!AA9/100*Time!AA20/360)</f>
        <v>-0.848869071512596</v>
      </c>
      <c r="AB114" s="11" t="n">
        <f aca="false">Time!AB30*Inputs!AB225*AB113*(Inputs!$F$97/100*0.5-Operations!AB9/100*Time!AB20/360)</f>
        <v>-0.860858170093908</v>
      </c>
      <c r="AC114" s="11" t="n">
        <f aca="false">Time!AC30*Inputs!AC225*AC113*(Inputs!$F$97/100*0.5-Operations!AC9/100*Time!AC20/360)</f>
        <v>-0.819046830319668</v>
      </c>
      <c r="AD114" s="11" t="n">
        <f aca="false">Time!AD30*Inputs!AD225*AD113*(Inputs!$F$97/100*0.5-Operations!AD9/100*Time!AD20/360)</f>
        <v>-0.802089031014786</v>
      </c>
      <c r="AE114" s="11" t="n">
        <f aca="false">Time!AE30*Inputs!AE225*AE113*(Inputs!$F$97/100*0.5-Operations!AE9/100*Time!AE20/360)</f>
        <v>-0.699809113990041</v>
      </c>
      <c r="AF114" s="11" t="n">
        <f aca="false">Time!AF30*Inputs!AF225*AF113*(Inputs!$F$97/100*0.5-Operations!AF9/100*Time!AF20/360)</f>
        <v>-0.686449048921721</v>
      </c>
      <c r="AG114" s="11" t="n">
        <f aca="false">Time!AG30*Inputs!AG225*AG113*(Inputs!$F$97/100*0.5-Operations!AG9/100*Time!AG20/360)</f>
        <v>-0.587026469854699</v>
      </c>
      <c r="AH114" s="11" t="n">
        <f aca="false">Time!AH30*Inputs!AH225*AH113*(Inputs!$F$97/100*0.5-Operations!AH9/100*Time!AH20/360)</f>
        <v>-0.563093546205321</v>
      </c>
      <c r="AI114" s="11" t="n">
        <f aca="false">Time!AI30*Inputs!AI225*AI113*(Inputs!$F$97/100*0.5-Operations!AI9/100*Time!AI20/360)</f>
        <v>-0.467224971124536</v>
      </c>
      <c r="AJ114" s="11" t="n">
        <f aca="false">Time!AJ30*Inputs!AJ225*AJ113*(Inputs!$F$97/100*0.5-Operations!AJ9/100*Time!AJ20/360)</f>
        <v>-0.430428177408211</v>
      </c>
      <c r="AK114" s="11" t="n">
        <f aca="false">Time!AK30*Inputs!AK225*AK113*(Inputs!$F$97/100*0.5-Operations!AK9/100*Time!AK20/360)</f>
        <v>-0.345186682084755</v>
      </c>
      <c r="AL114" s="11" t="n">
        <f aca="false">Time!AL30*Inputs!AL225*AL113*(Inputs!$F$97/100*0.5-Operations!AL9/100*Time!AL20/360)</f>
        <v>-0.287062558426523</v>
      </c>
      <c r="AM114" s="11" t="n">
        <f aca="false">Time!AM30*Inputs!AM225*AM113*(Inputs!$F$97/100*0.5-Operations!AM9/100*Time!AM20/360)</f>
        <v>-0.196986696975308</v>
      </c>
      <c r="AN114" s="11" t="n">
        <f aca="false">Time!AN30*Inputs!AN225*AN113*(Inputs!$F$97/100*0.5-Operations!AN9/100*Time!AN20/360)</f>
        <v>-0.131020386648488</v>
      </c>
      <c r="AO114" s="11" t="n">
        <f aca="false">Time!AO30*Inputs!AO225*AO113*(Inputs!$F$97/100*0.5-Operations!AO9/100*Time!AO20/360)</f>
        <v>-0.0619485074963492</v>
      </c>
      <c r="AP114" s="11" t="n">
        <f aca="false">Time!AP30*Inputs!AP225*AP113*(Inputs!$F$97/100*0.5-Operations!AP9/100*Time!AP20/360)</f>
        <v>-0</v>
      </c>
      <c r="AQ114" s="11" t="n">
        <f aca="false">Time!AQ30*Inputs!AQ225*AQ113*(Inputs!$F$97/100*0.5-Operations!AQ9/100*Time!AQ20/360)</f>
        <v>-0</v>
      </c>
      <c r="AR114" s="11" t="n">
        <f aca="false">Time!AR30*Inputs!AR225*AR113*(Inputs!$F$97/100*0.5-Operations!AR9/100*Time!AR20/360)</f>
        <v>-0</v>
      </c>
      <c r="AS114" s="11" t="n">
        <f aca="false">Time!AS30*Inputs!AS225*AS113*(Inputs!$F$97/100*0.5-Operations!AS9/100*Time!AS20/360)</f>
        <v>-0</v>
      </c>
      <c r="AT114" s="11" t="n">
        <f aca="false">Time!AT30*Inputs!AT225*AT113*(Inputs!$F$97/100*0.5-Operations!AT9/100*Time!AT20/360)</f>
        <v>-0</v>
      </c>
      <c r="AU114" s="11" t="n">
        <f aca="false">Time!AU30*Inputs!AU225*AU113*(Inputs!$F$97/100*0.5-Operations!AU9/100*Time!AU20/360)</f>
        <v>-0</v>
      </c>
      <c r="AV114" s="11" t="n">
        <f aca="false">Time!AV30*Inputs!AV225*AV113*(Inputs!$F$97/100*0.5-Operations!AV9/100*Time!AV20/360)</f>
        <v>-0</v>
      </c>
      <c r="AW114" s="11" t="n">
        <f aca="false">Time!AW30*Inputs!AW225*AW113*(Inputs!$F$97/100*0.5-Operations!AW9/100*Time!AW20/360)</f>
        <v>-0</v>
      </c>
      <c r="AX114" s="11" t="n">
        <f aca="false">Time!AX30*Inputs!AX225*AX113*(Inputs!$F$97/100*0.5-Operations!AX9/100*Time!AX20/360)</f>
        <v>-0</v>
      </c>
      <c r="AY114" s="11" t="n">
        <f aca="false">Time!AY30*Inputs!AY225*AY113*(Inputs!$F$97/100*0.5-Operations!AY9/100*Time!AY20/360)</f>
        <v>-0</v>
      </c>
      <c r="AZ114" s="11" t="n">
        <f aca="false">Time!AZ30*Inputs!AZ225*AZ113*(Inputs!$F$97/100*0.5-Operations!AZ9/100*Time!AZ20/360)</f>
        <v>-0</v>
      </c>
      <c r="BA114" s="11" t="n">
        <f aca="false">Time!BA30*Inputs!BA225*BA113*(Inputs!$F$97/100*0.5-Operations!BA9/100*Time!BA20/360)</f>
        <v>-0</v>
      </c>
      <c r="BB114" s="11" t="n">
        <f aca="false">Time!BB30*Inputs!BB225*BB113*(Inputs!$F$97/100*0.5-Operations!BB9/100*Time!BB20/360)</f>
        <v>-0</v>
      </c>
      <c r="BC114" s="11" t="n">
        <f aca="false">Time!BC30*Inputs!BC225*BC113*(Inputs!$F$97/100*0.5-Operations!BC9/100*Time!BC20/360)</f>
        <v>-0</v>
      </c>
      <c r="BD114" s="11" t="n">
        <f aca="false">Time!BD30*Inputs!BD225*BD113*(Inputs!$F$97/100*0.5-Operations!BD9/100*Time!BD20/360)</f>
        <v>-0</v>
      </c>
      <c r="BE114" s="11" t="n">
        <f aca="false">Time!BE30*Inputs!BE225*BE113*(Inputs!$F$97/100*0.5-Operations!BE9/100*Time!BE20/360)</f>
        <v>-0</v>
      </c>
      <c r="BF114" s="11" t="n">
        <f aca="false">Time!BF30*Inputs!BF225*BF113*(Inputs!$F$97/100*0.5-Operations!BF9/100*Time!BF20/360)</f>
        <v>-0</v>
      </c>
      <c r="BG114" s="11" t="n">
        <f aca="false">Time!BG30*Inputs!BG225*BG113*(Inputs!$F$97/100*0.5-Operations!BG9/100*Time!BG20/360)</f>
        <v>-0</v>
      </c>
      <c r="BH114" s="11" t="n">
        <f aca="false">Time!BH30*Inputs!BH225*BH113*(Inputs!$F$97/100*0.5-Operations!BH9/100*Time!BH20/360)</f>
        <v>-0</v>
      </c>
      <c r="BI114" s="11" t="n">
        <f aca="false">Time!BI30*Inputs!BI225*BI113*(Inputs!$F$97/100*0.5-Operations!BI9/100*Time!BI20/360)</f>
        <v>-0</v>
      </c>
      <c r="BJ114" s="11" t="n">
        <f aca="false">Time!BJ30*Inputs!BJ225*BJ113*(Inputs!$F$97/100*0.5-Operations!BJ9/100*Time!BJ20/360)</f>
        <v>-0</v>
      </c>
      <c r="BK114" s="11" t="n">
        <f aca="false">Time!BK30*Inputs!BK225*BK113*(Inputs!$F$97/100*0.5-Operations!BK9/100*Time!BK20/360)</f>
        <v>-0</v>
      </c>
      <c r="BL114" s="11" t="n">
        <f aca="false">Time!BL30*Inputs!BL225*BL113*(Inputs!$F$97/100*0.5-Operations!BL9/100*Time!BL20/360)</f>
        <v>-0</v>
      </c>
      <c r="BM114" s="11" t="n">
        <f aca="false">Time!BM30*Inputs!BM225*BM113*(Inputs!$F$97/100*0.5-Operations!BM9/100*Time!BM20/360)</f>
        <v>-0</v>
      </c>
      <c r="BN114" s="11" t="n">
        <f aca="false">Time!BN30*Inputs!BN225*BN113*(Inputs!$F$97/100*0.5-Operations!BN9/100*Time!BN20/360)</f>
        <v>-0</v>
      </c>
    </row>
    <row r="115" customFormat="false" ht="15" hidden="false" customHeight="false" outlineLevel="0" collapsed="false">
      <c r="D115" s="0" t="s">
        <v>683</v>
      </c>
      <c r="E115" s="0" t="s">
        <v>149</v>
      </c>
      <c r="G115" s="11" t="n">
        <f aca="false">SUM(J115:BN115)</f>
        <v>7.75334981703767</v>
      </c>
      <c r="J115" s="11" t="n">
        <f aca="false">(Inputs!$F$95/100*Inputs!$F$96/100)*J70*Time!J20/365</f>
        <v>0</v>
      </c>
      <c r="K115" s="11" t="n">
        <f aca="false">(Inputs!$F$95/100*Inputs!$F$96/100)*K70*Time!K20/365</f>
        <v>0</v>
      </c>
      <c r="L115" s="11" t="n">
        <f aca="false">(Inputs!$F$95/100*Inputs!$F$96/100)*L70*Time!L20/365</f>
        <v>0</v>
      </c>
      <c r="M115" s="11" t="n">
        <f aca="false">(Inputs!$F$95/100*Inputs!$F$96/100)*M70*Time!M20/365</f>
        <v>0</v>
      </c>
      <c r="N115" s="11" t="n">
        <f aca="false">(Inputs!$F$95/100*Inputs!$F$96/100)*N70*Time!N20/365</f>
        <v>0</v>
      </c>
      <c r="O115" s="11" t="n">
        <f aca="false">(Inputs!$F$95/100*Inputs!$F$96/100)*O70*Time!O20/365</f>
        <v>0</v>
      </c>
      <c r="P115" s="11" t="n">
        <f aca="false">(Inputs!$F$95/100*Inputs!$F$96/100)*P70*Time!P20/365</f>
        <v>0</v>
      </c>
      <c r="Q115" s="11" t="n">
        <f aca="false">(Inputs!$F$95/100*Inputs!$F$96/100)*Q70*Time!Q20/365</f>
        <v>1.22269737585266</v>
      </c>
      <c r="R115" s="11" t="n">
        <f aca="false">(Inputs!$F$95/100*Inputs!$F$96/100)*R70*Time!R20/365</f>
        <v>1.17464088995539</v>
      </c>
      <c r="S115" s="11" t="n">
        <f aca="false">(Inputs!$F$95/100*Inputs!$F$96/100)*S70*Time!S20/365</f>
        <v>1.1231900469436</v>
      </c>
      <c r="T115" s="11" t="n">
        <f aca="false">(Inputs!$F$95/100*Inputs!$F$96/100)*T70*Time!T20/365</f>
        <v>1.10781570371988</v>
      </c>
      <c r="U115" s="11" t="n">
        <f aca="false">(Inputs!$F$95/100*Inputs!$F$96/100)*U70*Time!U20/365</f>
        <v>1.08169475811237</v>
      </c>
      <c r="V115" s="11" t="n">
        <f aca="false">(Inputs!$F$95/100*Inputs!$F$96/100)*V70*Time!V20/365</f>
        <v>1.05166765496161</v>
      </c>
      <c r="W115" s="11" t="n">
        <f aca="false">(Inputs!$F$95/100*Inputs!$F$96/100)*W70*Time!W20/365</f>
        <v>0.991643387492165</v>
      </c>
      <c r="X115" s="11" t="n">
        <f aca="false">(Inputs!$F$95/100*Inputs!$F$96/100)*X70*Time!X20/365</f>
        <v>0</v>
      </c>
      <c r="Y115" s="11" t="n">
        <f aca="false">(Inputs!$F$95/100*Inputs!$F$96/100)*Y70*Time!Y20/365</f>
        <v>0</v>
      </c>
      <c r="Z115" s="11" t="n">
        <f aca="false">(Inputs!$F$95/100*Inputs!$F$96/100)*Z70*Time!Z20/365</f>
        <v>0</v>
      </c>
      <c r="AA115" s="11" t="n">
        <f aca="false">(Inputs!$F$95/100*Inputs!$F$96/100)*AA70*Time!AA20/365</f>
        <v>0</v>
      </c>
      <c r="AB115" s="11" t="n">
        <f aca="false">(Inputs!$F$95/100*Inputs!$F$96/100)*AB70*Time!AB20/365</f>
        <v>0</v>
      </c>
      <c r="AC115" s="11" t="n">
        <f aca="false">(Inputs!$F$95/100*Inputs!$F$96/100)*AC70*Time!AC20/365</f>
        <v>0</v>
      </c>
      <c r="AD115" s="11" t="n">
        <f aca="false">(Inputs!$F$95/100*Inputs!$F$96/100)*AD70*Time!AD20/365</f>
        <v>0</v>
      </c>
      <c r="AE115" s="11" t="n">
        <f aca="false">(Inputs!$F$95/100*Inputs!$F$96/100)*AE70*Time!AE20/365</f>
        <v>0</v>
      </c>
      <c r="AF115" s="11" t="n">
        <f aca="false">(Inputs!$F$95/100*Inputs!$F$96/100)*AF70*Time!AF20/365</f>
        <v>0</v>
      </c>
      <c r="AG115" s="11" t="n">
        <f aca="false">(Inputs!$F$95/100*Inputs!$F$96/100)*AG70*Time!AG20/365</f>
        <v>0</v>
      </c>
      <c r="AH115" s="11" t="n">
        <f aca="false">(Inputs!$F$95/100*Inputs!$F$96/100)*AH70*Time!AH20/365</f>
        <v>0</v>
      </c>
      <c r="AI115" s="11" t="n">
        <f aca="false">(Inputs!$F$95/100*Inputs!$F$96/100)*AI70*Time!AI20/365</f>
        <v>0</v>
      </c>
      <c r="AJ115" s="11" t="n">
        <f aca="false">(Inputs!$F$95/100*Inputs!$F$96/100)*AJ70*Time!AJ20/365</f>
        <v>0</v>
      </c>
      <c r="AK115" s="11" t="n">
        <f aca="false">(Inputs!$F$95/100*Inputs!$F$96/100)*AK70*Time!AK20/365</f>
        <v>0</v>
      </c>
      <c r="AL115" s="11" t="n">
        <f aca="false">(Inputs!$F$95/100*Inputs!$F$96/100)*AL70*Time!AL20/365</f>
        <v>0</v>
      </c>
      <c r="AM115" s="11" t="n">
        <f aca="false">(Inputs!$F$95/100*Inputs!$F$96/100)*AM70*Time!AM20/365</f>
        <v>0</v>
      </c>
      <c r="AN115" s="11" t="n">
        <f aca="false">(Inputs!$F$95/100*Inputs!$F$96/100)*AN70*Time!AN20/365</f>
        <v>0</v>
      </c>
      <c r="AO115" s="11" t="n">
        <f aca="false">(Inputs!$F$95/100*Inputs!$F$96/100)*AO70*Time!AO20/365</f>
        <v>0</v>
      </c>
      <c r="AP115" s="11" t="n">
        <f aca="false">(Inputs!$F$95/100*Inputs!$F$96/100)*AP70*Time!AP20/365</f>
        <v>0</v>
      </c>
      <c r="AQ115" s="11" t="n">
        <f aca="false">(Inputs!$F$95/100*Inputs!$F$96/100)*AQ70*Time!AQ20/365</f>
        <v>0</v>
      </c>
      <c r="AR115" s="11" t="n">
        <f aca="false">(Inputs!$F$95/100*Inputs!$F$96/100)*AR70*Time!AR20/365</f>
        <v>0</v>
      </c>
      <c r="AS115" s="11" t="n">
        <f aca="false">(Inputs!$F$95/100*Inputs!$F$96/100)*AS70*Time!AS20/365</f>
        <v>0</v>
      </c>
      <c r="AT115" s="11" t="n">
        <f aca="false">(Inputs!$F$95/100*Inputs!$F$96/100)*AT70*Time!AT20/365</f>
        <v>0</v>
      </c>
      <c r="AU115" s="11" t="n">
        <f aca="false">(Inputs!$F$95/100*Inputs!$F$96/100)*AU70*Time!AU20/365</f>
        <v>0</v>
      </c>
      <c r="AV115" s="11" t="n">
        <f aca="false">(Inputs!$F$95/100*Inputs!$F$96/100)*AV70*Time!AV20/365</f>
        <v>0</v>
      </c>
      <c r="AW115" s="11" t="n">
        <f aca="false">(Inputs!$F$95/100*Inputs!$F$96/100)*AW70*Time!AW20/365</f>
        <v>0</v>
      </c>
      <c r="AX115" s="11" t="n">
        <f aca="false">(Inputs!$F$95/100*Inputs!$F$96/100)*AX70*Time!AX20/365</f>
        <v>0</v>
      </c>
      <c r="AY115" s="11" t="n">
        <f aca="false">(Inputs!$F$95/100*Inputs!$F$96/100)*AY70*Time!AY20/365</f>
        <v>0</v>
      </c>
      <c r="AZ115" s="11" t="n">
        <f aca="false">(Inputs!$F$95/100*Inputs!$F$96/100)*AZ70*Time!AZ20/365</f>
        <v>0</v>
      </c>
      <c r="BA115" s="11" t="n">
        <f aca="false">(Inputs!$F$95/100*Inputs!$F$96/100)*BA70*Time!BA20/365</f>
        <v>0</v>
      </c>
      <c r="BB115" s="11" t="n">
        <f aca="false">(Inputs!$F$95/100*Inputs!$F$96/100)*BB70*Time!BB20/365</f>
        <v>0</v>
      </c>
      <c r="BC115" s="11" t="n">
        <f aca="false">(Inputs!$F$95/100*Inputs!$F$96/100)*BC70*Time!BC20/365</f>
        <v>0</v>
      </c>
      <c r="BD115" s="11" t="n">
        <f aca="false">(Inputs!$F$95/100*Inputs!$F$96/100)*BD70*Time!BD20/365</f>
        <v>0</v>
      </c>
      <c r="BE115" s="11" t="n">
        <f aca="false">(Inputs!$F$95/100*Inputs!$F$96/100)*BE70*Time!BE20/365</f>
        <v>0</v>
      </c>
      <c r="BF115" s="11" t="n">
        <f aca="false">(Inputs!$F$95/100*Inputs!$F$96/100)*BF70*Time!BF20/365</f>
        <v>0</v>
      </c>
      <c r="BG115" s="11" t="n">
        <f aca="false">(Inputs!$F$95/100*Inputs!$F$96/100)*BG70*Time!BG20/365</f>
        <v>0</v>
      </c>
      <c r="BH115" s="11" t="n">
        <f aca="false">(Inputs!$F$95/100*Inputs!$F$96/100)*BH70*Time!BH20/365</f>
        <v>0</v>
      </c>
      <c r="BI115" s="11" t="n">
        <f aca="false">(Inputs!$F$95/100*Inputs!$F$96/100)*BI70*Time!BI20/365</f>
        <v>0</v>
      </c>
      <c r="BJ115" s="11" t="n">
        <f aca="false">(Inputs!$F$95/100*Inputs!$F$96/100)*BJ70*Time!BJ20/365</f>
        <v>0</v>
      </c>
      <c r="BK115" s="11" t="n">
        <f aca="false">(Inputs!$F$95/100*Inputs!$F$96/100)*BK70*Time!BK20/365</f>
        <v>0</v>
      </c>
      <c r="BL115" s="11" t="n">
        <f aca="false">(Inputs!$F$95/100*Inputs!$F$96/100)*BL70*Time!BL20/365</f>
        <v>0</v>
      </c>
      <c r="BM115" s="11" t="n">
        <f aca="false">(Inputs!$F$95/100*Inputs!$F$96/100)*BM70*Time!BM20/365</f>
        <v>0</v>
      </c>
      <c r="BN115" s="11" t="n">
        <f aca="false">(Inputs!$F$95/100*Inputs!$F$96/100)*BN70*Time!BN20/365</f>
        <v>0</v>
      </c>
    </row>
    <row r="116" customFormat="false" ht="15" hidden="false" customHeight="false" outlineLevel="0" collapsed="false">
      <c r="D116" s="0" t="s">
        <v>684</v>
      </c>
      <c r="E116" s="0" t="s">
        <v>149</v>
      </c>
      <c r="G116" s="11" t="n">
        <f aca="false">SUM(J116:BN116)</f>
        <v>8.95398359870145</v>
      </c>
      <c r="J116" s="11" t="n">
        <f aca="false">0</f>
        <v>0</v>
      </c>
      <c r="K116" s="11" t="n">
        <f aca="false">0</f>
        <v>0</v>
      </c>
      <c r="L116" s="11" t="n">
        <f aca="false">0</f>
        <v>0</v>
      </c>
      <c r="M116" s="11" t="n">
        <f aca="false">0</f>
        <v>0</v>
      </c>
      <c r="N116" s="11" t="n">
        <f aca="false">0</f>
        <v>0</v>
      </c>
      <c r="O116" s="11" t="n">
        <f aca="false">0</f>
        <v>0</v>
      </c>
      <c r="P116" s="11" t="n">
        <f aca="false">0</f>
        <v>0</v>
      </c>
      <c r="Q116" s="11" t="n">
        <f aca="false">0</f>
        <v>0</v>
      </c>
      <c r="R116" s="11" t="n">
        <f aca="false">0</f>
        <v>0</v>
      </c>
      <c r="S116" s="11" t="n">
        <f aca="false">0</f>
        <v>0</v>
      </c>
      <c r="T116" s="11" t="n">
        <f aca="false">0</f>
        <v>0</v>
      </c>
      <c r="U116" s="11" t="n">
        <f aca="false">0</f>
        <v>0</v>
      </c>
      <c r="V116" s="11" t="n">
        <f aca="false">0</f>
        <v>0</v>
      </c>
      <c r="W116" s="11" t="n">
        <f aca="false">IF($F$109&gt;0,Inputs!$F$200/100*0.5*W100*Inputs!$F$199/$F$109,0)</f>
        <v>0</v>
      </c>
      <c r="X116" s="11" t="n">
        <f aca="false">IF($F$109&gt;0,Inputs!$F$200/100*0.5*X100*Inputs!$F$199/$F$109,0)</f>
        <v>0.5225</v>
      </c>
      <c r="Y116" s="11" t="n">
        <f aca="false">IF($F$109&gt;0,Inputs!$F$200/100*0.5*Y100*Inputs!$F$199/$F$109,0)</f>
        <v>0.51662465508369</v>
      </c>
      <c r="Z116" s="11" t="n">
        <f aca="false">IF($F$109&gt;0,Inputs!$F$200/100*0.5*Z100*Inputs!$F$199/$F$109,0)</f>
        <v>0.507948806534352</v>
      </c>
      <c r="AA116" s="11" t="n">
        <f aca="false">IF($F$109&gt;0,Inputs!$F$200/100*0.5*AA100*Inputs!$F$199/$F$109,0)</f>
        <v>0.498473749406861</v>
      </c>
      <c r="AB116" s="11" t="n">
        <f aca="false">IF($F$109&gt;0,Inputs!$F$200/100*0.5*AB100*Inputs!$F$199/$F$109,0)</f>
        <v>0.489025969121721</v>
      </c>
      <c r="AC116" s="11" t="n">
        <f aca="false">IF($F$109&gt;0,Inputs!$F$200/100*0.5*AC100*Inputs!$F$199/$F$109,0)</f>
        <v>0.478878163579135</v>
      </c>
      <c r="AD116" s="11" t="n">
        <f aca="false">IF($F$109&gt;0,Inputs!$F$200/100*0.5*AD100*Inputs!$F$199/$F$109,0)</f>
        <v>0.468710106096338</v>
      </c>
      <c r="AE116" s="11" t="n">
        <f aca="false">IF($F$109&gt;0,Inputs!$F$200/100*0.5*AE100*Inputs!$F$199/$F$109,0)</f>
        <v>0.457950300198527</v>
      </c>
      <c r="AF116" s="11" t="n">
        <f aca="false">IF($F$109&gt;0,Inputs!$F$200/100*0.5*AF100*Inputs!$F$199/$F$109,0)</f>
        <v>0.446119739229343</v>
      </c>
      <c r="AG116" s="11" t="n">
        <f aca="false">IF($F$109&gt;0,Inputs!$F$200/100*0.5*AG100*Inputs!$F$199/$F$109,0)</f>
        <v>0.433499244470671</v>
      </c>
      <c r="AH116" s="11" t="n">
        <f aca="false">IF($F$109&gt;0,Inputs!$F$200/100*0.5*AH100*Inputs!$F$199/$F$109,0)</f>
        <v>0.42075978818286</v>
      </c>
      <c r="AI116" s="11" t="n">
        <f aca="false">IF($F$109&gt;0,Inputs!$F$200/100*0.5*AI100*Inputs!$F$199/$F$109,0)</f>
        <v>0.407290948858338</v>
      </c>
      <c r="AJ116" s="11" t="n">
        <f aca="false">IF($F$109&gt;0,Inputs!$F$200/100*0.5*AJ100*Inputs!$F$199/$F$109,0)</f>
        <v>0.393776755422876</v>
      </c>
      <c r="AK116" s="11" t="n">
        <f aca="false">IF($F$109&gt;0,Inputs!$F$200/100*0.5*AK100*Inputs!$F$199/$F$109,0)</f>
        <v>0.379593722772247</v>
      </c>
      <c r="AL116" s="11" t="n">
        <f aca="false">IF($F$109&gt;0,Inputs!$F$200/100*0.5*AL100*Inputs!$F$199/$F$109,0)</f>
        <v>0.365349097648784</v>
      </c>
      <c r="AM116" s="11" t="n">
        <f aca="false">IF($F$109&gt;0,Inputs!$F$200/100*0.5*AM100*Inputs!$F$199/$F$109,0)</f>
        <v>0.350513403304449</v>
      </c>
      <c r="AN116" s="11" t="n">
        <f aca="false">IF($F$109&gt;0,Inputs!$F$200/100*0.5*AN100*Inputs!$F$199/$F$109,0)</f>
        <v>0.337092198867566</v>
      </c>
      <c r="AO116" s="11" t="n">
        <f aca="false">IF($F$109&gt;0,Inputs!$F$200/100*0.5*AO100*Inputs!$F$199/$F$109,0)</f>
        <v>0.324807228233888</v>
      </c>
      <c r="AP116" s="11" t="n">
        <f aca="false">IF($F$109&gt;0,Inputs!$F$200/100*0.5*AP100*Inputs!$F$199/$F$109,0)</f>
        <v>0.31409202666389</v>
      </c>
      <c r="AQ116" s="11" t="n">
        <f aca="false">IF($F$109&gt;0,Inputs!$F$200/100*0.5*AQ100*Inputs!$F$199/$F$109,0)</f>
        <v>0.267542907914698</v>
      </c>
      <c r="AR116" s="11" t="n">
        <f aca="false">IF($F$109&gt;0,Inputs!$F$200/100*0.5*AR100*Inputs!$F$199/$F$109,0)</f>
        <v>0.219966768734681</v>
      </c>
      <c r="AS116" s="11" t="n">
        <f aca="false">IF($F$109&gt;0,Inputs!$F$200/100*0.5*AS100*Inputs!$F$199/$F$109,0)</f>
        <v>0.16988463278205</v>
      </c>
      <c r="AT116" s="11" t="n">
        <f aca="false">IF($F$109&gt;0,Inputs!$F$200/100*0.5*AT100*Inputs!$F$199/$F$109,0)</f>
        <v>0.118645472946865</v>
      </c>
      <c r="AU116" s="11" t="n">
        <f aca="false">IF($F$109&gt;0,Inputs!$F$200/100*0.5*AU100*Inputs!$F$199/$F$109,0)</f>
        <v>0.0649379126476251</v>
      </c>
      <c r="AV116" s="11" t="n">
        <f aca="false">IF($F$109&gt;0,Inputs!$F$200/100*0.5*AV100*Inputs!$F$199/$F$109,0)</f>
        <v>0</v>
      </c>
      <c r="AW116" s="11" t="n">
        <f aca="false">IF($F$109&gt;0,Inputs!$F$200/100*0.5*AW100*Inputs!$F$199/$F$109,0)</f>
        <v>0</v>
      </c>
      <c r="AX116" s="11" t="n">
        <f aca="false">IF($F$109&gt;0,Inputs!$F$200/100*0.5*AX100*Inputs!$F$199/$F$109,0)</f>
        <v>0</v>
      </c>
      <c r="AY116" s="11" t="n">
        <f aca="false">IF($F$109&gt;0,Inputs!$F$200/100*0.5*AY100*Inputs!$F$199/$F$109,0)</f>
        <v>0</v>
      </c>
      <c r="AZ116" s="11" t="n">
        <f aca="false">IF($F$109&gt;0,Inputs!$F$200/100*0.5*AZ100*Inputs!$F$199/$F$109,0)</f>
        <v>0</v>
      </c>
      <c r="BA116" s="11" t="n">
        <f aca="false">IF($F$109&gt;0,Inputs!$F$200/100*0.5*BA100*Inputs!$F$199/$F$109,0)</f>
        <v>0</v>
      </c>
      <c r="BB116" s="11" t="n">
        <f aca="false">IF($F$109&gt;0,Inputs!$F$200/100*0.5*BB100*Inputs!$F$199/$F$109,0)</f>
        <v>0</v>
      </c>
      <c r="BC116" s="11" t="n">
        <f aca="false">IF($F$109&gt;0,Inputs!$F$200/100*0.5*BC100*Inputs!$F$199/$F$109,0)</f>
        <v>0</v>
      </c>
      <c r="BD116" s="11" t="n">
        <f aca="false">IF($F$109&gt;0,Inputs!$F$200/100*0.5*BD100*Inputs!$F$199/$F$109,0)</f>
        <v>0</v>
      </c>
      <c r="BE116" s="11" t="n">
        <f aca="false">IF($F$109&gt;0,Inputs!$F$200/100*0.5*BE100*Inputs!$F$199/$F$109,0)</f>
        <v>0</v>
      </c>
      <c r="BF116" s="11" t="n">
        <f aca="false">IF($F$109&gt;0,Inputs!$F$200/100*0.5*BF100*Inputs!$F$199/$F$109,0)</f>
        <v>0</v>
      </c>
      <c r="BG116" s="11" t="n">
        <f aca="false">IF($F$109&gt;0,Inputs!$F$200/100*0.5*BG100*Inputs!$F$199/$F$109,0)</f>
        <v>0</v>
      </c>
      <c r="BH116" s="11" t="n">
        <f aca="false">IF($F$109&gt;0,Inputs!$F$200/100*0.5*BH100*Inputs!$F$199/$F$109,0)</f>
        <v>0</v>
      </c>
      <c r="BI116" s="11" t="n">
        <f aca="false">IF($F$109&gt;0,Inputs!$F$200/100*0.5*BI100*Inputs!$F$199/$F$109,0)</f>
        <v>0</v>
      </c>
      <c r="BJ116" s="11" t="n">
        <f aca="false">IF($F$109&gt;0,Inputs!$F$200/100*0.5*BJ100*Inputs!$F$199/$F$109,0)</f>
        <v>0</v>
      </c>
      <c r="BK116" s="11" t="n">
        <f aca="false">IF($F$109&gt;0,Inputs!$F$200/100*0.5*BK100*Inputs!$F$199/$F$109,0)</f>
        <v>0</v>
      </c>
      <c r="BL116" s="11" t="n">
        <f aca="false">IF($F$109&gt;0,Inputs!$F$200/100*0.5*BL100*Inputs!$F$199/$F$109,0)</f>
        <v>0</v>
      </c>
      <c r="BM116" s="11" t="n">
        <f aca="false">IF($F$109&gt;0,Inputs!$F$200/100*0.5*BM100*Inputs!$F$199/$F$109,0)</f>
        <v>0</v>
      </c>
      <c r="BN116" s="11" t="n">
        <f aca="false">IF($F$109&gt;0,Inputs!$F$200/100*0.5*BN100*Inputs!$F$199/$F$109,0)</f>
        <v>0</v>
      </c>
    </row>
    <row r="117" customFormat="false" ht="15" hidden="false" customHeight="false" outlineLevel="0" collapsed="false">
      <c r="D117" s="0" t="s">
        <v>301</v>
      </c>
      <c r="E117" s="0" t="s">
        <v>149</v>
      </c>
      <c r="G117" s="11" t="n">
        <f aca="false">SUM(J117:BN117)</f>
        <v>1.39687846102156</v>
      </c>
      <c r="J117" s="11" t="n">
        <f aca="false">J21*Inputs!$F$192/100*(J25+J40+J55+J70+J85)</f>
        <v>0</v>
      </c>
      <c r="K117" s="11" t="n">
        <f aca="false">K21*Inputs!$F$192/100*(K25+K40+K55+K70+K85)</f>
        <v>0</v>
      </c>
      <c r="L117" s="11" t="n">
        <f aca="false">L21*Inputs!$F$192/100*(L25+L40+L55+L70+L85)</f>
        <v>0</v>
      </c>
      <c r="M117" s="11" t="n">
        <f aca="false">M21*Inputs!$F$192/100*(M25+M40+M55+M70+M85)</f>
        <v>0</v>
      </c>
      <c r="N117" s="11" t="n">
        <f aca="false">N21*Inputs!$F$192/100*(N25+N40+N55+N70+N85)</f>
        <v>0</v>
      </c>
      <c r="O117" s="11" t="n">
        <f aca="false">O21*Inputs!$F$192/100*(O25+O40+O55+O70+O85)</f>
        <v>0</v>
      </c>
      <c r="P117" s="11" t="n">
        <f aca="false">P21*Inputs!$F$192/100*(P25+P40+P55+P70+P85)</f>
        <v>0</v>
      </c>
      <c r="Q117" s="11" t="n">
        <f aca="false">Q21*Inputs!$F$192/100*(Q25+Q40+Q55+Q70+Q85)</f>
        <v>0</v>
      </c>
      <c r="R117" s="11" t="n">
        <f aca="false">R21*Inputs!$F$192/100*(R25+R40+R55+R70+R85)</f>
        <v>0</v>
      </c>
      <c r="S117" s="11" t="n">
        <f aca="false">S21*Inputs!$F$192/100*(S25+S40+S55+S70+S85)</f>
        <v>0</v>
      </c>
      <c r="T117" s="11" t="n">
        <f aca="false">T21*Inputs!$F$192/100*(T25+T40+T55+T70+T85)</f>
        <v>1.39687846102156</v>
      </c>
      <c r="U117" s="11" t="n">
        <f aca="false">U21*Inputs!$F$192/100*(U25+U40+U55+U70+U85)</f>
        <v>0</v>
      </c>
      <c r="V117" s="11" t="n">
        <f aca="false">V21*Inputs!$F$192/100*(V25+V40+V55+V70+V85)</f>
        <v>0</v>
      </c>
      <c r="W117" s="11" t="n">
        <f aca="false">W21*Inputs!$F$192/100*(W25+W40+W55+W70+W85)</f>
        <v>0</v>
      </c>
      <c r="X117" s="11" t="n">
        <f aca="false">X21*Inputs!$F$192/100*(X25+X40+X55+X70+X85)</f>
        <v>0</v>
      </c>
      <c r="Y117" s="11" t="n">
        <f aca="false">Y21*Inputs!$F$192/100*(Y25+Y40+Y55+Y70+Y85)</f>
        <v>0</v>
      </c>
      <c r="Z117" s="11" t="n">
        <f aca="false">Z21*Inputs!$F$192/100*(Z25+Z40+Z55+Z70+Z85)</f>
        <v>0</v>
      </c>
      <c r="AA117" s="11" t="n">
        <f aca="false">AA21*Inputs!$F$192/100*(AA25+AA40+AA55+AA70+AA85)</f>
        <v>0</v>
      </c>
      <c r="AB117" s="11" t="n">
        <f aca="false">AB21*Inputs!$F$192/100*(AB25+AB40+AB55+AB70+AB85)</f>
        <v>0</v>
      </c>
      <c r="AC117" s="11" t="n">
        <f aca="false">AC21*Inputs!$F$192/100*(AC25+AC40+AC55+AC70+AC85)</f>
        <v>0</v>
      </c>
      <c r="AD117" s="11" t="n">
        <f aca="false">AD21*Inputs!$F$192/100*(AD25+AD40+AD55+AD70+AD85)</f>
        <v>0</v>
      </c>
      <c r="AE117" s="11" t="n">
        <f aca="false">AE21*Inputs!$F$192/100*(AE25+AE40+AE55+AE70+AE85)</f>
        <v>0</v>
      </c>
      <c r="AF117" s="11" t="n">
        <f aca="false">AF21*Inputs!$F$192/100*(AF25+AF40+AF55+AF70+AF85)</f>
        <v>0</v>
      </c>
      <c r="AG117" s="11" t="n">
        <f aca="false">AG21*Inputs!$F$192/100*(AG25+AG40+AG55+AG70+AG85)</f>
        <v>0</v>
      </c>
      <c r="AH117" s="11" t="n">
        <f aca="false">AH21*Inputs!$F$192/100*(AH25+AH40+AH55+AH70+AH85)</f>
        <v>0</v>
      </c>
      <c r="AI117" s="11" t="n">
        <f aca="false">AI21*Inputs!$F$192/100*(AI25+AI40+AI55+AI70+AI85)</f>
        <v>0</v>
      </c>
      <c r="AJ117" s="11" t="n">
        <f aca="false">AJ21*Inputs!$F$192/100*(AJ25+AJ40+AJ55+AJ70+AJ85)</f>
        <v>0</v>
      </c>
      <c r="AK117" s="11" t="n">
        <f aca="false">AK21*Inputs!$F$192/100*(AK25+AK40+AK55+AK70+AK85)</f>
        <v>0</v>
      </c>
      <c r="AL117" s="11" t="n">
        <f aca="false">AL21*Inputs!$F$192/100*(AL25+AL40+AL55+AL70+AL85)</f>
        <v>0</v>
      </c>
      <c r="AM117" s="11" t="n">
        <f aca="false">AM21*Inputs!$F$192/100*(AM25+AM40+AM55+AM70+AM85)</f>
        <v>0</v>
      </c>
      <c r="AN117" s="11" t="n">
        <f aca="false">AN21*Inputs!$F$192/100*(AN25+AN40+AN55+AN70+AN85)</f>
        <v>0</v>
      </c>
      <c r="AO117" s="11" t="n">
        <f aca="false">AO21*Inputs!$F$192/100*(AO25+AO40+AO55+AO70+AO85)</f>
        <v>0</v>
      </c>
      <c r="AP117" s="11" t="n">
        <f aca="false">AP21*Inputs!$F$192/100*(AP25+AP40+AP55+AP70+AP85)</f>
        <v>0</v>
      </c>
      <c r="AQ117" s="11" t="n">
        <f aca="false">AQ21*Inputs!$F$192/100*(AQ25+AQ40+AQ55+AQ70+AQ85)</f>
        <v>0</v>
      </c>
      <c r="AR117" s="11" t="n">
        <f aca="false">AR21*Inputs!$F$192/100*(AR25+AR40+AR55+AR70+AR85)</f>
        <v>0</v>
      </c>
      <c r="AS117" s="11" t="n">
        <f aca="false">AS21*Inputs!$F$192/100*(AS25+AS40+AS55+AS70+AS85)</f>
        <v>0</v>
      </c>
      <c r="AT117" s="11" t="n">
        <f aca="false">AT21*Inputs!$F$192/100*(AT25+AT40+AT55+AT70+AT85)</f>
        <v>0</v>
      </c>
      <c r="AU117" s="11" t="n">
        <f aca="false">AU21*Inputs!$F$192/100*(AU25+AU40+AU55+AU70+AU85)</f>
        <v>0</v>
      </c>
      <c r="AV117" s="11" t="n">
        <f aca="false">AV21*Inputs!$F$192/100*(AV25+AV40+AV55+AV70+AV85)</f>
        <v>0</v>
      </c>
      <c r="AW117" s="11" t="n">
        <f aca="false">AW21*Inputs!$F$192/100*(AW25+AW40+AW55+AW70+AW85)</f>
        <v>0</v>
      </c>
      <c r="AX117" s="11" t="n">
        <f aca="false">AX21*Inputs!$F$192/100*(AX25+AX40+AX55+AX70+AX85)</f>
        <v>0</v>
      </c>
      <c r="AY117" s="11" t="n">
        <f aca="false">AY21*Inputs!$F$192/100*(AY25+AY40+AY55+AY70+AY85)</f>
        <v>0</v>
      </c>
      <c r="AZ117" s="11" t="n">
        <f aca="false">AZ21*Inputs!$F$192/100*(AZ25+AZ40+AZ55+AZ70+AZ85)</f>
        <v>0</v>
      </c>
      <c r="BA117" s="11" t="n">
        <f aca="false">BA21*Inputs!$F$192/100*(BA25+BA40+BA55+BA70+BA85)</f>
        <v>0</v>
      </c>
      <c r="BB117" s="11" t="n">
        <f aca="false">BB21*Inputs!$F$192/100*(BB25+BB40+BB55+BB70+BB85)</f>
        <v>0</v>
      </c>
      <c r="BC117" s="11" t="n">
        <f aca="false">BC21*Inputs!$F$192/100*(BC25+BC40+BC55+BC70+BC85)</f>
        <v>0</v>
      </c>
      <c r="BD117" s="11" t="n">
        <f aca="false">BD21*Inputs!$F$192/100*(BD25+BD40+BD55+BD70+BD85)</f>
        <v>0</v>
      </c>
      <c r="BE117" s="11" t="n">
        <f aca="false">BE21*Inputs!$F$192/100*(BE25+BE40+BE55+BE70+BE85)</f>
        <v>0</v>
      </c>
      <c r="BF117" s="11" t="n">
        <f aca="false">BF21*Inputs!$F$192/100*(BF25+BF40+BF55+BF70+BF85)</f>
        <v>0</v>
      </c>
      <c r="BG117" s="11" t="n">
        <f aca="false">BG21*Inputs!$F$192/100*(BG25+BG40+BG55+BG70+BG85)</f>
        <v>0</v>
      </c>
      <c r="BH117" s="11" t="n">
        <f aca="false">BH21*Inputs!$F$192/100*(BH25+BH40+BH55+BH70+BH85)</f>
        <v>0</v>
      </c>
      <c r="BI117" s="11" t="n">
        <f aca="false">BI21*Inputs!$F$192/100*(BI25+BI40+BI55+BI70+BI85)</f>
        <v>0</v>
      </c>
      <c r="BJ117" s="11" t="n">
        <f aca="false">BJ21*Inputs!$F$192/100*(BJ25+BJ40+BJ55+BJ70+BJ85)</f>
        <v>0</v>
      </c>
      <c r="BK117" s="11" t="n">
        <f aca="false">BK21*Inputs!$F$192/100*(BK25+BK40+BK55+BK70+BK85)</f>
        <v>0</v>
      </c>
      <c r="BL117" s="11" t="n">
        <f aca="false">BL21*Inputs!$F$192/100*(BL25+BL40+BL55+BL70+BL85)</f>
        <v>0</v>
      </c>
      <c r="BM117" s="11" t="n">
        <f aca="false">BM21*Inputs!$F$192/100*(BM25+BM40+BM55+BM70+BM85)</f>
        <v>0</v>
      </c>
      <c r="BN117" s="11" t="n">
        <f aca="false">BN21*Inputs!$F$192/100*(BN25+BN40+BN55+BN70+BN85)</f>
        <v>0</v>
      </c>
    </row>
    <row r="118" customFormat="false" ht="15" hidden="false" customHeight="false" outlineLevel="0" collapsed="false">
      <c r="D118" s="0" t="s">
        <v>685</v>
      </c>
      <c r="E118" s="0" t="s">
        <v>149</v>
      </c>
      <c r="G118" s="11" t="n">
        <f aca="false">SUM(J118:BN118)</f>
        <v>399.679855409478</v>
      </c>
      <c r="J118" s="11" t="n">
        <f aca="false">J27+J42+J57+J72+J87+J101</f>
        <v>0</v>
      </c>
      <c r="K118" s="11" t="n">
        <f aca="false">K27+K42+K57+K72+K87+K101</f>
        <v>0</v>
      </c>
      <c r="L118" s="11" t="n">
        <f aca="false">L27+L42+L57+L72+L87+L101</f>
        <v>0</v>
      </c>
      <c r="M118" s="11" t="n">
        <f aca="false">M27+M42+M57+M72+M87+M101</f>
        <v>0</v>
      </c>
      <c r="N118" s="11" t="n">
        <f aca="false">N27+N42+N57+N72+N87+N101</f>
        <v>0</v>
      </c>
      <c r="O118" s="11" t="n">
        <f aca="false">O27+O42+O57+O72+O87+O101</f>
        <v>0</v>
      </c>
      <c r="P118" s="11" t="n">
        <f aca="false">P27+P42+P57+P72+P87+P101</f>
        <v>0</v>
      </c>
      <c r="Q118" s="11" t="n">
        <f aca="false">Q27+Q42+Q57+Q72+Q87+Q101</f>
        <v>11.4526655357956</v>
      </c>
      <c r="R118" s="11" t="n">
        <f aca="false">R27+R42+R57+R72+R87+R101</f>
        <v>19.2080368342712</v>
      </c>
      <c r="S118" s="11" t="n">
        <f aca="false">S27+S42+S57+S72+S87+S101</f>
        <v>25.4531074373259</v>
      </c>
      <c r="T118" s="11" t="n">
        <f aca="false">T27+T42+T57+T72+T87+T101</f>
        <v>28.4085292065428</v>
      </c>
      <c r="U118" s="11" t="n">
        <f aca="false">U27+U42+U57+U72+U87+U101</f>
        <v>26.8377562826224</v>
      </c>
      <c r="V118" s="11" t="n">
        <f aca="false">V27+V42+V57+V72+V87+V101</f>
        <v>26.2622924956811</v>
      </c>
      <c r="W118" s="11" t="n">
        <f aca="false">W27+W42+W57+W72+W87+W101</f>
        <v>20.8468504996744</v>
      </c>
      <c r="X118" s="11" t="n">
        <f aca="false">X27+X42+X57+X72+X87+X101</f>
        <v>18.1427005168976</v>
      </c>
      <c r="Y118" s="11" t="n">
        <f aca="false">Y27+Y42+Y57+Y72+Y87+Y101</f>
        <v>16.7961951308588</v>
      </c>
      <c r="Z118" s="11" t="n">
        <f aca="false">Z27+Z42+Z57+Z72+Z87+Z101</f>
        <v>16.3882386166878</v>
      </c>
      <c r="AA118" s="11" t="n">
        <f aca="false">AA27+AA42+AA57+AA72+AA87+AA101</f>
        <v>15.6136281948177</v>
      </c>
      <c r="AB118" s="11" t="n">
        <f aca="false">AB27+AB42+AB57+AB72+AB87+AB101</f>
        <v>15.211210253459</v>
      </c>
      <c r="AC118" s="11" t="n">
        <f aca="false">AC27+AC42+AC57+AC72+AC87+AC101</f>
        <v>14.6483483758319</v>
      </c>
      <c r="AD118" s="11" t="n">
        <f aca="false">AD27+AD42+AD57+AD72+AD87+AD101</f>
        <v>14.1579490774123</v>
      </c>
      <c r="AE118" s="11" t="n">
        <f aca="false">AE27+AE42+AE57+AE72+AE87+AE101</f>
        <v>13.4813065414728</v>
      </c>
      <c r="AF118" s="11" t="n">
        <f aca="false">AF27+AF42+AF57+AF72+AF87+AF101</f>
        <v>12.9332255562594</v>
      </c>
      <c r="AG118" s="11" t="n">
        <f aca="false">AG27+AG42+AG57+AG72+AG87+AG101</f>
        <v>12.1833145828256</v>
      </c>
      <c r="AH118" s="11" t="n">
        <f aca="false">AH27+AH42+AH57+AH72+AH87+AH101</f>
        <v>11.5782787751236</v>
      </c>
      <c r="AI118" s="11" t="n">
        <f aca="false">AI27+AI42+AI57+AI72+AI87+AI101</f>
        <v>10.8016230202665</v>
      </c>
      <c r="AJ118" s="11" t="n">
        <f aca="false">AJ27+AJ42+AJ57+AJ72+AJ87+AJ101</f>
        <v>10.1293150596922</v>
      </c>
      <c r="AK118" s="11" t="n">
        <f aca="false">AK27+AK42+AK57+AK72+AK87+AK101</f>
        <v>9.33201406973732</v>
      </c>
      <c r="AL118" s="11" t="n">
        <f aca="false">AL27+AL42+AL57+AL72+AL87+AL101</f>
        <v>8.57633834830398</v>
      </c>
      <c r="AM118" s="11" t="n">
        <f aca="false">AM27+AM42+AM57+AM72+AM87+AM101</f>
        <v>7.73054121623381</v>
      </c>
      <c r="AN118" s="11" t="n">
        <f aca="false">AN27+AN42+AN57+AN72+AN87+AN101</f>
        <v>6.93529289239822</v>
      </c>
      <c r="AO118" s="11" t="n">
        <f aca="false">AO27+AO42+AO57+AO72+AO87+AO101</f>
        <v>6.20333954522448</v>
      </c>
      <c r="AP118" s="11" t="n">
        <f aca="false">AP27+AP42+AP57+AP72+AP87+AP101</f>
        <v>5.53849699517318</v>
      </c>
      <c r="AQ118" s="11" t="n">
        <f aca="false">AQ27+AQ42+AQ57+AQ72+AQ87+AQ101</f>
        <v>4.71767974279432</v>
      </c>
      <c r="AR118" s="11" t="n">
        <f aca="false">AR27+AR42+AR57+AR72+AR87+AR101</f>
        <v>3.8787526719953</v>
      </c>
      <c r="AS118" s="11" t="n">
        <f aca="false">AS27+AS42+AS57+AS72+AS87+AS101</f>
        <v>2.99563646420208</v>
      </c>
      <c r="AT118" s="11" t="n">
        <f aca="false">AT27+AT42+AT57+AT72+AT87+AT101</f>
        <v>2.09211804064766</v>
      </c>
      <c r="AU118" s="11" t="n">
        <f aca="false">AU27+AU42+AU57+AU72+AU87+AU101</f>
        <v>1.14507342924869</v>
      </c>
      <c r="AV118" s="11" t="n">
        <f aca="false">AV27+AV42+AV57+AV72+AV87+AV101</f>
        <v>0</v>
      </c>
      <c r="AW118" s="11" t="n">
        <f aca="false">AW27+AW42+AW57+AW72+AW87+AW101</f>
        <v>0</v>
      </c>
      <c r="AX118" s="11" t="n">
        <f aca="false">AX27+AX42+AX57+AX72+AX87+AX101</f>
        <v>0</v>
      </c>
      <c r="AY118" s="11" t="n">
        <f aca="false">AY27+AY42+AY57+AY72+AY87+AY101</f>
        <v>0</v>
      </c>
      <c r="AZ118" s="11" t="n">
        <f aca="false">AZ27+AZ42+AZ57+AZ72+AZ87+AZ101</f>
        <v>0</v>
      </c>
      <c r="BA118" s="11" t="n">
        <f aca="false">BA27+BA42+BA57+BA72+BA87+BA101</f>
        <v>0</v>
      </c>
      <c r="BB118" s="11" t="n">
        <f aca="false">BB27+BB42+BB57+BB72+BB87+BB101</f>
        <v>0</v>
      </c>
      <c r="BC118" s="11" t="n">
        <f aca="false">BC27+BC42+BC57+BC72+BC87+BC101</f>
        <v>0</v>
      </c>
      <c r="BD118" s="11" t="n">
        <f aca="false">BD27+BD42+BD57+BD72+BD87+BD101</f>
        <v>0</v>
      </c>
      <c r="BE118" s="11" t="n">
        <f aca="false">BE27+BE42+BE57+BE72+BE87+BE101</f>
        <v>0</v>
      </c>
      <c r="BF118" s="11" t="n">
        <f aca="false">BF27+BF42+BF57+BF72+BF87+BF101</f>
        <v>0</v>
      </c>
      <c r="BG118" s="11" t="n">
        <f aca="false">BG27+BG42+BG57+BG72+BG87+BG101</f>
        <v>0</v>
      </c>
      <c r="BH118" s="11" t="n">
        <f aca="false">BH27+BH42+BH57+BH72+BH87+BH101</f>
        <v>0</v>
      </c>
      <c r="BI118" s="11" t="n">
        <f aca="false">BI27+BI42+BI57+BI72+BI87+BI101</f>
        <v>0</v>
      </c>
      <c r="BJ118" s="11" t="n">
        <f aca="false">BJ27+BJ42+BJ57+BJ72+BJ87+BJ101</f>
        <v>0</v>
      </c>
      <c r="BK118" s="11" t="n">
        <f aca="false">BK27+BK42+BK57+BK72+BK87+BK101</f>
        <v>0</v>
      </c>
      <c r="BL118" s="11" t="n">
        <f aca="false">BL27+BL42+BL57+BL72+BL87+BL101</f>
        <v>0</v>
      </c>
      <c r="BM118" s="11" t="n">
        <f aca="false">BM27+BM42+BM57+BM72+BM87+BM101</f>
        <v>0</v>
      </c>
      <c r="BN118" s="11" t="n">
        <f aca="false">BN27+BN42+BN57+BN72+BN87+BN101</f>
        <v>0</v>
      </c>
    </row>
    <row r="119" customFormat="false" ht="15" hidden="false" customHeight="false" outlineLevel="0" collapsed="false">
      <c r="D119" s="0" t="s">
        <v>686</v>
      </c>
      <c r="E119" s="0" t="s">
        <v>149</v>
      </c>
      <c r="G119" s="11" t="n">
        <f aca="false">SUM(J119:BN119)</f>
        <v>382.885064835082</v>
      </c>
      <c r="J119" s="11" t="n">
        <f aca="false">J118+J114+J115+J116</f>
        <v>0</v>
      </c>
      <c r="K119" s="11" t="n">
        <f aca="false">K118+K114+K115+K116</f>
        <v>0</v>
      </c>
      <c r="L119" s="11" t="n">
        <f aca="false">L118+L114+L115+L116</f>
        <v>0</v>
      </c>
      <c r="M119" s="11" t="n">
        <f aca="false">M118+M114+M115+M116</f>
        <v>0</v>
      </c>
      <c r="N119" s="11" t="n">
        <f aca="false">N118+N114+N115+N116</f>
        <v>0</v>
      </c>
      <c r="O119" s="11" t="n">
        <f aca="false">O118+O114+O115+O116</f>
        <v>0</v>
      </c>
      <c r="P119" s="11" t="n">
        <f aca="false">P118+P114+P115+P116</f>
        <v>0</v>
      </c>
      <c r="Q119" s="11" t="n">
        <f aca="false">Q118+Q114+Q115+Q116</f>
        <v>19.1127619065879</v>
      </c>
      <c r="R119" s="11" t="n">
        <f aca="false">R118+R114+R115+R116</f>
        <v>20.2422994923011</v>
      </c>
      <c r="S119" s="11" t="n">
        <f aca="false">S118+S114+S115+S116</f>
        <v>21.0320320200037</v>
      </c>
      <c r="T119" s="11" t="n">
        <f aca="false">T118+T114+T115+T116</f>
        <v>22.5226477452708</v>
      </c>
      <c r="U119" s="11" t="n">
        <f aca="false">U118+U114+U115+U116</f>
        <v>21.9829049745824</v>
      </c>
      <c r="V119" s="11" t="n">
        <f aca="false">V118+V114+V115+V116</f>
        <v>21.3192155339451</v>
      </c>
      <c r="W119" s="11" t="n">
        <f aca="false">W118+W114+W115+W116</f>
        <v>18.252849944273</v>
      </c>
      <c r="X119" s="11" t="n">
        <f aca="false">X118+X114+X115+X116</f>
        <v>16.8800790586601</v>
      </c>
      <c r="Y119" s="11" t="n">
        <f aca="false">Y118+Y114+Y115+Y116</f>
        <v>16.2157327575912</v>
      </c>
      <c r="Z119" s="11" t="n">
        <f aca="false">Z118+Z114+Z115+Z116</f>
        <v>15.8212476737397</v>
      </c>
      <c r="AA119" s="11" t="n">
        <f aca="false">AA118+AA114+AA115+AA116</f>
        <v>15.2632328727119</v>
      </c>
      <c r="AB119" s="11" t="n">
        <f aca="false">AB118+AB114+AB115+AB116</f>
        <v>14.8393780524868</v>
      </c>
      <c r="AC119" s="11" t="n">
        <f aca="false">AC118+AC114+AC115+AC116</f>
        <v>14.3081797090914</v>
      </c>
      <c r="AD119" s="11" t="n">
        <f aca="false">AD118+AD114+AD115+AD116</f>
        <v>13.8245701524939</v>
      </c>
      <c r="AE119" s="11" t="n">
        <f aca="false">AE118+AE114+AE115+AE116</f>
        <v>13.2394477276813</v>
      </c>
      <c r="AF119" s="11" t="n">
        <f aca="false">AF118+AF114+AF115+AF116</f>
        <v>12.6928962465671</v>
      </c>
      <c r="AG119" s="11" t="n">
        <f aca="false">AG118+AG114+AG115+AG116</f>
        <v>12.0297873574416</v>
      </c>
      <c r="AH119" s="11" t="n">
        <f aca="false">AH118+AH114+AH115+AH116</f>
        <v>11.4359450171011</v>
      </c>
      <c r="AI119" s="11" t="n">
        <f aca="false">AI118+AI114+AI115+AI116</f>
        <v>10.7416889980003</v>
      </c>
      <c r="AJ119" s="11" t="n">
        <f aca="false">AJ118+AJ114+AJ115+AJ116</f>
        <v>10.0926636377069</v>
      </c>
      <c r="AK119" s="11" t="n">
        <f aca="false">AK118+AK114+AK115+AK116</f>
        <v>9.36642111042481</v>
      </c>
      <c r="AL119" s="11" t="n">
        <f aca="false">AL118+AL114+AL115+AL116</f>
        <v>8.65462488752624</v>
      </c>
      <c r="AM119" s="11" t="n">
        <f aca="false">AM118+AM114+AM115+AM116</f>
        <v>7.88406792256295</v>
      </c>
      <c r="AN119" s="11" t="n">
        <f aca="false">AN118+AN114+AN115+AN116</f>
        <v>7.1413647046173</v>
      </c>
      <c r="AO119" s="11" t="n">
        <f aca="false">AO118+AO114+AO115+AO116</f>
        <v>6.46619826596202</v>
      </c>
      <c r="AP119" s="11" t="n">
        <f aca="false">AP118+AP114+AP115+AP116</f>
        <v>5.85258902183707</v>
      </c>
      <c r="AQ119" s="11" t="n">
        <f aca="false">AQ118+AQ114+AQ115+AQ116</f>
        <v>4.98522265070902</v>
      </c>
      <c r="AR119" s="11" t="n">
        <f aca="false">AR118+AR114+AR115+AR116</f>
        <v>4.09871944072998</v>
      </c>
      <c r="AS119" s="11" t="n">
        <f aca="false">AS118+AS114+AS115+AS116</f>
        <v>3.16552109698413</v>
      </c>
      <c r="AT119" s="11" t="n">
        <f aca="false">AT118+AT114+AT115+AT116</f>
        <v>2.21076351359453</v>
      </c>
      <c r="AU119" s="11" t="n">
        <f aca="false">AU118+AU114+AU115+AU116</f>
        <v>1.21001134189631</v>
      </c>
      <c r="AV119" s="11" t="n">
        <f aca="false">AV118+AV114+AV115+AV116</f>
        <v>0</v>
      </c>
      <c r="AW119" s="11" t="n">
        <f aca="false">AW118+AW114+AW115+AW116</f>
        <v>0</v>
      </c>
      <c r="AX119" s="11" t="n">
        <f aca="false">AX118+AX114+AX115+AX116</f>
        <v>0</v>
      </c>
      <c r="AY119" s="11" t="n">
        <f aca="false">AY118+AY114+AY115+AY116</f>
        <v>0</v>
      </c>
      <c r="AZ119" s="11" t="n">
        <f aca="false">AZ118+AZ114+AZ115+AZ116</f>
        <v>0</v>
      </c>
      <c r="BA119" s="11" t="n">
        <f aca="false">BA118+BA114+BA115+BA116</f>
        <v>0</v>
      </c>
      <c r="BB119" s="11" t="n">
        <f aca="false">BB118+BB114+BB115+BB116</f>
        <v>0</v>
      </c>
      <c r="BC119" s="11" t="n">
        <f aca="false">BC118+BC114+BC115+BC116</f>
        <v>0</v>
      </c>
      <c r="BD119" s="11" t="n">
        <f aca="false">BD118+BD114+BD115+BD116</f>
        <v>0</v>
      </c>
      <c r="BE119" s="11" t="n">
        <f aca="false">BE118+BE114+BE115+BE116</f>
        <v>0</v>
      </c>
      <c r="BF119" s="11" t="n">
        <f aca="false">BF118+BF114+BF115+BF116</f>
        <v>0</v>
      </c>
      <c r="BG119" s="11" t="n">
        <f aca="false">BG118+BG114+BG115+BG116</f>
        <v>0</v>
      </c>
      <c r="BH119" s="11" t="n">
        <f aca="false">BH118+BH114+BH115+BH116</f>
        <v>0</v>
      </c>
      <c r="BI119" s="11" t="n">
        <f aca="false">BI118+BI114+BI115+BI116</f>
        <v>0</v>
      </c>
      <c r="BJ119" s="11" t="n">
        <f aca="false">BJ118+BJ114+BJ115+BJ116</f>
        <v>0</v>
      </c>
      <c r="BK119" s="11" t="n">
        <f aca="false">BK118+BK114+BK115+BK116</f>
        <v>0</v>
      </c>
      <c r="BL119" s="11" t="n">
        <f aca="false">BL118+BL114+BL115+BL116</f>
        <v>0</v>
      </c>
      <c r="BM119" s="11" t="n">
        <f aca="false">BM118+BM114+BM115+BM116</f>
        <v>0</v>
      </c>
      <c r="BN119" s="11" t="n">
        <f aca="false">BN118+BN114+BN115+BN116</f>
        <v>0</v>
      </c>
    </row>
    <row r="120" customFormat="false" ht="15" hidden="false" customHeight="false" outlineLevel="0" collapsed="false">
      <c r="D120" s="0" t="s">
        <v>687</v>
      </c>
      <c r="E120" s="0" t="s">
        <v>149</v>
      </c>
      <c r="G120" s="11" t="n">
        <f aca="false">SUM(J120:BN120)</f>
        <v>609.426741102584</v>
      </c>
      <c r="J120" s="11" t="n">
        <f aca="false">J32+J47+J62+J77+J92+J102</f>
        <v>0</v>
      </c>
      <c r="K120" s="11" t="n">
        <f aca="false">K32+K47+K62+K77+K92+K102</f>
        <v>0</v>
      </c>
      <c r="L120" s="11" t="n">
        <f aca="false">L32+L47+L62+L77+L92+L102</f>
        <v>0</v>
      </c>
      <c r="M120" s="11" t="n">
        <f aca="false">M32+M47+M62+M77+M92+M102</f>
        <v>0</v>
      </c>
      <c r="N120" s="11" t="n">
        <f aca="false">N32+N47+N62+N77+N92+N102</f>
        <v>0</v>
      </c>
      <c r="O120" s="11" t="n">
        <f aca="false">O32+O47+O62+O77+O92+O102</f>
        <v>0</v>
      </c>
      <c r="P120" s="11" t="n">
        <f aca="false">P32+P47+P62+P77+P92+P102</f>
        <v>0</v>
      </c>
      <c r="Q120" s="11" t="n">
        <f aca="false">Q32+Q47+Q62+Q77+Q92+Q102</f>
        <v>15.9748087458481</v>
      </c>
      <c r="R120" s="11" t="n">
        <f aca="false">R32+R47+R62+R77+R92+R102</f>
        <v>16.5607736499285</v>
      </c>
      <c r="S120" s="11" t="n">
        <f aca="false">S32+S47+S62+S77+S92+S102</f>
        <v>17.1439889717574</v>
      </c>
      <c r="T120" s="11" t="n">
        <f aca="false">T32+T47+T62+T77+T92+T102</f>
        <v>7.17932897598495</v>
      </c>
      <c r="U120" s="11" t="n">
        <f aca="false">U32+U47+U62+U77+U92+U102</f>
        <v>21.1401828978629</v>
      </c>
      <c r="V120" s="11" t="n">
        <f aca="false">V32+V47+V62+V77+V92+V102</f>
        <v>21.9846685606958</v>
      </c>
      <c r="W120" s="11" t="n">
        <f aca="false">W32+W47+W62+W77+W92+W102</f>
        <v>23.0387252244875</v>
      </c>
      <c r="X120" s="11" t="n">
        <f aca="false">X32+X47+X62+X77+X92+X102</f>
        <v>15.0970159148125</v>
      </c>
      <c r="Y120" s="11" t="n">
        <f aca="false">Y32+Y47+Y62+Y77+Y92+Y102</f>
        <v>14.1854736121758</v>
      </c>
      <c r="Z120" s="11" t="n">
        <f aca="false">Z32+Z47+Z62+Z77+Z92+Z102</f>
        <v>15.0283856894791</v>
      </c>
      <c r="AA120" s="11" t="n">
        <f aca="false">AA32+AA47+AA62+AA77+AA92+AA102</f>
        <v>15.2395808032775</v>
      </c>
      <c r="AB120" s="11" t="n">
        <f aca="false">AB32+AB47+AB62+AB77+AB92+AB102</f>
        <v>16.0890440476454</v>
      </c>
      <c r="AC120" s="11" t="n">
        <f aca="false">AC32+AC47+AC62+AC77+AC92+AC102</f>
        <v>16.4241304857679</v>
      </c>
      <c r="AD120" s="11" t="n">
        <f aca="false">AD32+AD47+AD62+AD77+AD92+AD102</f>
        <v>17.2533569692464</v>
      </c>
      <c r="AE120" s="11" t="n">
        <f aca="false">AE32+AE47+AE62+AE77+AE92+AE102</f>
        <v>18.7270554712053</v>
      </c>
      <c r="AF120" s="11" t="n">
        <f aca="false">AF32+AF47+AF62+AF77+AF92+AF102</f>
        <v>19.8025481122484</v>
      </c>
      <c r="AG120" s="11" t="n">
        <f aca="false">AG32+AG47+AG62+AG77+AG92+AG102</f>
        <v>19.9653676143385</v>
      </c>
      <c r="AH120" s="11" t="n">
        <f aca="false">AH32+AH47+AH62+AH77+AH92+AH102</f>
        <v>21.0283387860471</v>
      </c>
      <c r="AI120" s="11" t="n">
        <f aca="false">AI32+AI47+AI62+AI77+AI92+AI102</f>
        <v>21.5132023984035</v>
      </c>
      <c r="AJ120" s="11" t="n">
        <f aca="false">AJ32+AJ47+AJ62+AJ77+AJ92+AJ102</f>
        <v>22.5704245416977</v>
      </c>
      <c r="AK120" s="11" t="n">
        <f aca="false">AK32+AK47+AK62+AK77+AK92+AK102</f>
        <v>23.0761640399808</v>
      </c>
      <c r="AL120" s="11" t="n">
        <f aca="false">AL32+AL47+AL62+AL77+AL92+AL102</f>
        <v>24.1238315961198</v>
      </c>
      <c r="AM120" s="11" t="n">
        <f aca="false">AM32+AM47+AM62+AM77+AM92+AM102</f>
        <v>24.2968697059252</v>
      </c>
      <c r="AN120" s="11" t="n">
        <f aca="false">AN32+AN47+AN62+AN77+AN92+AN102</f>
        <v>21.3832836696469</v>
      </c>
      <c r="AO120" s="11" t="n">
        <f aca="false">AO32+AO47+AO62+AO77+AO92+AO102</f>
        <v>19.9399494707449</v>
      </c>
      <c r="AP120" s="11" t="n">
        <f aca="false">AP32+AP47+AP62+AP77+AP92+AP102</f>
        <v>20.8461524413679</v>
      </c>
      <c r="AQ120" s="11" t="n">
        <f aca="false">AQ32+AQ47+AQ62+AQ77+AQ92+AQ102</f>
        <v>21.3060843377529</v>
      </c>
      <c r="AR120" s="11" t="n">
        <f aca="false">AR32+AR47+AR62+AR77+AR92+AR102</f>
        <v>22.4283481344311</v>
      </c>
      <c r="AS120" s="11" t="n">
        <f aca="false">AS32+AS47+AS62+AS77+AS92+AS102</f>
        <v>22.9464996458264</v>
      </c>
      <c r="AT120" s="11" t="n">
        <f aca="false">AT32+AT47+AT62+AT77+AT92+AT102</f>
        <v>24.0519266387042</v>
      </c>
      <c r="AU120" s="11" t="n">
        <f aca="false">AU32+AU47+AU62+AU77+AU92+AU102</f>
        <v>29.081229949173</v>
      </c>
      <c r="AV120" s="11" t="n">
        <f aca="false">AV32+AV47+AV62+AV77+AV92+AV102</f>
        <v>0</v>
      </c>
      <c r="AW120" s="11" t="n">
        <f aca="false">AW32+AW47+AW62+AW77+AW92+AW102</f>
        <v>0</v>
      </c>
      <c r="AX120" s="11" t="n">
        <f aca="false">AX32+AX47+AX62+AX77+AX92+AX102</f>
        <v>0</v>
      </c>
      <c r="AY120" s="11" t="n">
        <f aca="false">AY32+AY47+AY62+AY77+AY92+AY102</f>
        <v>0</v>
      </c>
      <c r="AZ120" s="11" t="n">
        <f aca="false">AZ32+AZ47+AZ62+AZ77+AZ92+AZ102</f>
        <v>0</v>
      </c>
      <c r="BA120" s="11" t="n">
        <f aca="false">BA32+BA47+BA62+BA77+BA92+BA102</f>
        <v>0</v>
      </c>
      <c r="BB120" s="11" t="n">
        <f aca="false">BB32+BB47+BB62+BB77+BB92+BB102</f>
        <v>0</v>
      </c>
      <c r="BC120" s="11" t="n">
        <f aca="false">BC32+BC47+BC62+BC77+BC92+BC102</f>
        <v>0</v>
      </c>
      <c r="BD120" s="11" t="n">
        <f aca="false">BD32+BD47+BD62+BD77+BD92+BD102</f>
        <v>0</v>
      </c>
      <c r="BE120" s="11" t="n">
        <f aca="false">BE32+BE47+BE62+BE77+BE92+BE102</f>
        <v>0</v>
      </c>
      <c r="BF120" s="11" t="n">
        <f aca="false">BF32+BF47+BF62+BF77+BF92+BF102</f>
        <v>0</v>
      </c>
      <c r="BG120" s="11" t="n">
        <f aca="false">BG32+BG47+BG62+BG77+BG92+BG102</f>
        <v>0</v>
      </c>
      <c r="BH120" s="11" t="n">
        <f aca="false">BH32+BH47+BH62+BH77+BH92+BH102</f>
        <v>0</v>
      </c>
      <c r="BI120" s="11" t="n">
        <f aca="false">BI32+BI47+BI62+BI77+BI92+BI102</f>
        <v>0</v>
      </c>
      <c r="BJ120" s="11" t="n">
        <f aca="false">BJ32+BJ47+BJ62+BJ77+BJ92+BJ102</f>
        <v>0</v>
      </c>
      <c r="BK120" s="11" t="n">
        <f aca="false">BK32+BK47+BK62+BK77+BK92+BK102</f>
        <v>0</v>
      </c>
      <c r="BL120" s="11" t="n">
        <f aca="false">BL32+BL47+BL62+BL77+BL92+BL102</f>
        <v>0</v>
      </c>
      <c r="BM120" s="11" t="n">
        <f aca="false">BM32+BM47+BM62+BM77+BM92+BM102</f>
        <v>0</v>
      </c>
      <c r="BN120" s="11" t="n">
        <f aca="false">BN32+BN47+BN62+BN77+BN92+BN102</f>
        <v>0</v>
      </c>
    </row>
    <row r="121" customFormat="false" ht="15" hidden="false" customHeight="false" outlineLevel="0" collapsed="false">
      <c r="D121" s="0" t="s">
        <v>688</v>
      </c>
      <c r="E121" s="0" t="s">
        <v>149</v>
      </c>
      <c r="G121" s="11" t="n">
        <f aca="false">SUM(J121:BN121)</f>
        <v>992.311805937665</v>
      </c>
      <c r="J121" s="11" t="n">
        <f aca="false">J119+J120</f>
        <v>0</v>
      </c>
      <c r="K121" s="11" t="n">
        <f aca="false">K119+K120</f>
        <v>0</v>
      </c>
      <c r="L121" s="11" t="n">
        <f aca="false">L119+L120</f>
        <v>0</v>
      </c>
      <c r="M121" s="11" t="n">
        <f aca="false">M119+M120</f>
        <v>0</v>
      </c>
      <c r="N121" s="11" t="n">
        <f aca="false">N119+N120</f>
        <v>0</v>
      </c>
      <c r="O121" s="11" t="n">
        <f aca="false">O119+O120</f>
        <v>0</v>
      </c>
      <c r="P121" s="11" t="n">
        <f aca="false">P119+P120</f>
        <v>0</v>
      </c>
      <c r="Q121" s="11" t="n">
        <f aca="false">Q119+Q120</f>
        <v>35.087570652436</v>
      </c>
      <c r="R121" s="11" t="n">
        <f aca="false">R119+R120</f>
        <v>36.8030731422296</v>
      </c>
      <c r="S121" s="11" t="n">
        <f aca="false">S119+S120</f>
        <v>38.1760209917611</v>
      </c>
      <c r="T121" s="11" t="n">
        <f aca="false">T119+T120</f>
        <v>29.7019767212558</v>
      </c>
      <c r="U121" s="11" t="n">
        <f aca="false">U119+U120</f>
        <v>43.1230878724453</v>
      </c>
      <c r="V121" s="11" t="n">
        <f aca="false">V119+V120</f>
        <v>43.303884094641</v>
      </c>
      <c r="W121" s="11" t="n">
        <f aca="false">W119+W120</f>
        <v>41.2915751687604</v>
      </c>
      <c r="X121" s="11" t="n">
        <f aca="false">X119+X120</f>
        <v>31.9770949734726</v>
      </c>
      <c r="Y121" s="11" t="n">
        <f aca="false">Y119+Y120</f>
        <v>30.401206369767</v>
      </c>
      <c r="Z121" s="11" t="n">
        <f aca="false">Z119+Z120</f>
        <v>30.8496333632188</v>
      </c>
      <c r="AA121" s="11" t="n">
        <f aca="false">AA119+AA120</f>
        <v>30.5028136759894</v>
      </c>
      <c r="AB121" s="11" t="n">
        <f aca="false">AB119+AB120</f>
        <v>30.9284221001322</v>
      </c>
      <c r="AC121" s="11" t="n">
        <f aca="false">AC119+AC120</f>
        <v>30.7323101948593</v>
      </c>
      <c r="AD121" s="11" t="n">
        <f aca="false">AD119+AD120</f>
        <v>31.0779271217403</v>
      </c>
      <c r="AE121" s="11" t="n">
        <f aca="false">AE119+AE120</f>
        <v>31.9665031988867</v>
      </c>
      <c r="AF121" s="11" t="n">
        <f aca="false">AF119+AF120</f>
        <v>32.4954443588155</v>
      </c>
      <c r="AG121" s="11" t="n">
        <f aca="false">AG119+AG120</f>
        <v>31.9951549717801</v>
      </c>
      <c r="AH121" s="11" t="n">
        <f aca="false">AH119+AH120</f>
        <v>32.4642838031482</v>
      </c>
      <c r="AI121" s="11" t="n">
        <f aca="false">AI119+AI120</f>
        <v>32.2548913964038</v>
      </c>
      <c r="AJ121" s="11" t="n">
        <f aca="false">AJ119+AJ120</f>
        <v>32.6630881794046</v>
      </c>
      <c r="AK121" s="11" t="n">
        <f aca="false">AK119+AK120</f>
        <v>32.4425851504057</v>
      </c>
      <c r="AL121" s="11" t="n">
        <f aca="false">AL119+AL120</f>
        <v>32.778456483646</v>
      </c>
      <c r="AM121" s="11" t="n">
        <f aca="false">AM119+AM120</f>
        <v>32.1809376284882</v>
      </c>
      <c r="AN121" s="11" t="n">
        <f aca="false">AN119+AN120</f>
        <v>28.5246483742642</v>
      </c>
      <c r="AO121" s="11" t="n">
        <f aca="false">AO119+AO120</f>
        <v>26.406147736707</v>
      </c>
      <c r="AP121" s="11" t="n">
        <f aca="false">AP119+AP120</f>
        <v>26.6987414632049</v>
      </c>
      <c r="AQ121" s="11" t="n">
        <f aca="false">AQ119+AQ120</f>
        <v>26.2913069884619</v>
      </c>
      <c r="AR121" s="11" t="n">
        <f aca="false">AR119+AR120</f>
        <v>26.5270675751611</v>
      </c>
      <c r="AS121" s="11" t="n">
        <f aca="false">AS119+AS120</f>
        <v>26.1120207428106</v>
      </c>
      <c r="AT121" s="11" t="n">
        <f aca="false">AT119+AT120</f>
        <v>26.2626901522987</v>
      </c>
      <c r="AU121" s="11" t="n">
        <f aca="false">AU119+AU120</f>
        <v>30.2912412910693</v>
      </c>
      <c r="AV121" s="11" t="n">
        <f aca="false">AV119+AV120</f>
        <v>0</v>
      </c>
      <c r="AW121" s="11" t="n">
        <f aca="false">AW119+AW120</f>
        <v>0</v>
      </c>
      <c r="AX121" s="11" t="n">
        <f aca="false">AX119+AX120</f>
        <v>0</v>
      </c>
      <c r="AY121" s="11" t="n">
        <f aca="false">AY119+AY120</f>
        <v>0</v>
      </c>
      <c r="AZ121" s="11" t="n">
        <f aca="false">AZ119+AZ120</f>
        <v>0</v>
      </c>
      <c r="BA121" s="11" t="n">
        <f aca="false">BA119+BA120</f>
        <v>0</v>
      </c>
      <c r="BB121" s="11" t="n">
        <f aca="false">BB119+BB120</f>
        <v>0</v>
      </c>
      <c r="BC121" s="11" t="n">
        <f aca="false">BC119+BC120</f>
        <v>0</v>
      </c>
      <c r="BD121" s="11" t="n">
        <f aca="false">BD119+BD120</f>
        <v>0</v>
      </c>
      <c r="BE121" s="11" t="n">
        <f aca="false">BE119+BE120</f>
        <v>0</v>
      </c>
      <c r="BF121" s="11" t="n">
        <f aca="false">BF119+BF120</f>
        <v>0</v>
      </c>
      <c r="BG121" s="11" t="n">
        <f aca="false">BG119+BG120</f>
        <v>0</v>
      </c>
      <c r="BH121" s="11" t="n">
        <f aca="false">BH119+BH120</f>
        <v>0</v>
      </c>
      <c r="BI121" s="11" t="n">
        <f aca="false">BI119+BI120</f>
        <v>0</v>
      </c>
      <c r="BJ121" s="11" t="n">
        <f aca="false">BJ119+BJ120</f>
        <v>0</v>
      </c>
      <c r="BK121" s="11" t="n">
        <f aca="false">BK119+BK120</f>
        <v>0</v>
      </c>
      <c r="BL121" s="11" t="n">
        <f aca="false">BL119+BL120</f>
        <v>0</v>
      </c>
      <c r="BM121" s="11" t="n">
        <f aca="false">BM119+BM120</f>
        <v>0</v>
      </c>
      <c r="BN121" s="11" t="n">
        <f aca="false">BN119+BN120</f>
        <v>0</v>
      </c>
    </row>
    <row r="122" customFormat="false" ht="15" hidden="false" customHeight="false" outlineLevel="0" collapsed="false">
      <c r="D122" s="0" t="s">
        <v>689</v>
      </c>
      <c r="E122" s="0" t="s">
        <v>149</v>
      </c>
      <c r="J122" s="11" t="n">
        <f aca="false">J25+J40+J55+J70+J85+J100</f>
        <v>0</v>
      </c>
      <c r="K122" s="11" t="n">
        <f aca="false">K25+K40+K55+K70+K85+K100</f>
        <v>0</v>
      </c>
      <c r="L122" s="11" t="n">
        <f aca="false">L25+L40+L55+L70+L85+L100</f>
        <v>0</v>
      </c>
      <c r="M122" s="11" t="n">
        <f aca="false">M25+M40+M55+M70+M85+M100</f>
        <v>0</v>
      </c>
      <c r="N122" s="11" t="n">
        <f aca="false">N25+N40+N55+N70+N85+N100</f>
        <v>0</v>
      </c>
      <c r="O122" s="11" t="n">
        <f aca="false">O25+O40+O55+O70+O85+O100</f>
        <v>0</v>
      </c>
      <c r="P122" s="11" t="n">
        <f aca="false">P25+P40+P55+P70+P85+P100</f>
        <v>0</v>
      </c>
      <c r="Q122" s="11" t="n">
        <f aca="false">Q25+Q40+Q55+Q70+Q85+Q100</f>
        <v>626.915955776128</v>
      </c>
      <c r="R122" s="11" t="n">
        <f aca="false">R25+R40+R55+R70+R85+R100</f>
        <v>592.45614703031</v>
      </c>
      <c r="S122" s="11" t="n">
        <f aca="false">S25+S40+S55+S70+S85+S100</f>
        <v>575.895373380381</v>
      </c>
      <c r="T122" s="11" t="n">
        <f aca="false">T25+T40+T55+T70+T85+T100</f>
        <v>558.751384408624</v>
      </c>
      <c r="U122" s="11" t="n">
        <f aca="false">U25+U40+U55+U70+U85+U100</f>
        <v>551.572055432639</v>
      </c>
      <c r="V122" s="11" t="n">
        <f aca="false">V25+V40+V55+V70+V85+V100</f>
        <v>530.431872534776</v>
      </c>
      <c r="W122" s="11" t="n">
        <f aca="false">W25+W40+W55+W70+W85+W100</f>
        <v>508.44720397408</v>
      </c>
      <c r="X122" s="11" t="n">
        <f aca="false">X25+X40+X55+X70+X85+X100</f>
        <v>486.404264076018</v>
      </c>
      <c r="Y122" s="11" t="n">
        <f aca="false">Y25+Y40+Y55+Y70+Y85+Y100</f>
        <v>471.307248161206</v>
      </c>
      <c r="Z122" s="11" t="n">
        <f aca="false">Z25+Z40+Z55+Z70+Z85+Z100</f>
        <v>457.12177454903</v>
      </c>
      <c r="AA122" s="11" t="n">
        <f aca="false">AA25+AA40+AA55+AA70+AA85+AA100</f>
        <v>442.093388859551</v>
      </c>
      <c r="AB122" s="11" t="n">
        <f aca="false">AB25+AB40+AB55+AB70+AB85+AB100</f>
        <v>426.853808056273</v>
      </c>
      <c r="AC122" s="11" t="n">
        <f aca="false">AC25+AC40+AC55+AC70+AC85+AC100</f>
        <v>410.764764008628</v>
      </c>
      <c r="AD122" s="11" t="n">
        <f aca="false">AD25+AD40+AD55+AD70+AD85+AD100</f>
        <v>394.34063352286</v>
      </c>
      <c r="AE122" s="11" t="n">
        <f aca="false">AE25+AE40+AE55+AE70+AE85+AE100</f>
        <v>377.087276553614</v>
      </c>
      <c r="AF122" s="11" t="n">
        <f aca="false">AF25+AF40+AF55+AF70+AF85+AF100</f>
        <v>358.360221082408</v>
      </c>
      <c r="AG122" s="11" t="n">
        <f aca="false">AG25+AG40+AG55+AG70+AG85+AG100</f>
        <v>338.55767297016</v>
      </c>
      <c r="AH122" s="11" t="n">
        <f aca="false">AH25+AH40+AH55+AH70+AH85+AH100</f>
        <v>318.592305355821</v>
      </c>
      <c r="AI122" s="11" t="n">
        <f aca="false">AI25+AI40+AI55+AI70+AI85+AI100</f>
        <v>297.563966569774</v>
      </c>
      <c r="AJ122" s="11" t="n">
        <f aca="false">AJ25+AJ40+AJ55+AJ70+AJ85+AJ100</f>
        <v>276.050764171371</v>
      </c>
      <c r="AK122" s="11" t="n">
        <f aca="false">AK25+AK40+AK55+AK70+AK85+AK100</f>
        <v>253.480339629673</v>
      </c>
      <c r="AL122" s="11" t="n">
        <f aca="false">AL25+AL40+AL55+AL70+AL85+AL100</f>
        <v>230.404175589692</v>
      </c>
      <c r="AM122" s="11" t="n">
        <f aca="false">AM25+AM40+AM55+AM70+AM85+AM100</f>
        <v>206.280343993572</v>
      </c>
      <c r="AN122" s="11" t="n">
        <f aca="false">AN25+AN40+AN55+AN70+AN85+AN100</f>
        <v>181.983474287647</v>
      </c>
      <c r="AO122" s="11" t="n">
        <f aca="false">AO25+AO40+AO55+AO70+AO85+AO100</f>
        <v>160.600190618</v>
      </c>
      <c r="AP122" s="11" t="n">
        <f aca="false">AP25+AP40+AP55+AP70+AP85+AP100</f>
        <v>140.660241147255</v>
      </c>
      <c r="AQ122" s="11" t="n">
        <f aca="false">AQ25+AQ40+AQ55+AQ70+AQ85+AQ100</f>
        <v>119.814088705888</v>
      </c>
      <c r="AR122" s="11" t="n">
        <f aca="false">AR25+AR40+AR55+AR70+AR85+AR100</f>
        <v>98.5080043681347</v>
      </c>
      <c r="AS122" s="11" t="n">
        <f aca="false">AS25+AS40+AS55+AS70+AS85+AS100</f>
        <v>76.0796562337036</v>
      </c>
      <c r="AT122" s="11" t="n">
        <f aca="false">AT25+AT40+AT55+AT70+AT85+AT100</f>
        <v>53.1331565878772</v>
      </c>
      <c r="AU122" s="11" t="n">
        <f aca="false">AU25+AU40+AU55+AU70+AU85+AU100</f>
        <v>29.081229949173</v>
      </c>
      <c r="AV122" s="11" t="n">
        <f aca="false">AV25+AV40+AV55+AV70+AV85+AV100</f>
        <v>0</v>
      </c>
      <c r="AW122" s="11" t="n">
        <f aca="false">AW25+AW40+AW55+AW70+AW85+AW100</f>
        <v>0</v>
      </c>
      <c r="AX122" s="11" t="n">
        <f aca="false">AX25+AX40+AX55+AX70+AX85+AX100</f>
        <v>0</v>
      </c>
      <c r="AY122" s="11" t="n">
        <f aca="false">AY25+AY40+AY55+AY70+AY85+AY100</f>
        <v>0</v>
      </c>
      <c r="AZ122" s="11" t="n">
        <f aca="false">AZ25+AZ40+AZ55+AZ70+AZ85+AZ100</f>
        <v>0</v>
      </c>
      <c r="BA122" s="11" t="n">
        <f aca="false">BA25+BA40+BA55+BA70+BA85+BA100</f>
        <v>0</v>
      </c>
      <c r="BB122" s="11" t="n">
        <f aca="false">BB25+BB40+BB55+BB70+BB85+BB100</f>
        <v>0</v>
      </c>
      <c r="BC122" s="11" t="n">
        <f aca="false">BC25+BC40+BC55+BC70+BC85+BC100</f>
        <v>0</v>
      </c>
      <c r="BD122" s="11" t="n">
        <f aca="false">BD25+BD40+BD55+BD70+BD85+BD100</f>
        <v>0</v>
      </c>
      <c r="BE122" s="11" t="n">
        <f aca="false">BE25+BE40+BE55+BE70+BE85+BE100</f>
        <v>0</v>
      </c>
      <c r="BF122" s="11" t="n">
        <f aca="false">BF25+BF40+BF55+BF70+BF85+BF100</f>
        <v>0</v>
      </c>
      <c r="BG122" s="11" t="n">
        <f aca="false">BG25+BG40+BG55+BG70+BG85+BG100</f>
        <v>0</v>
      </c>
      <c r="BH122" s="11" t="n">
        <f aca="false">BH25+BH40+BH55+BH70+BH85+BH100</f>
        <v>0</v>
      </c>
      <c r="BI122" s="11" t="n">
        <f aca="false">BI25+BI40+BI55+BI70+BI85+BI100</f>
        <v>0</v>
      </c>
      <c r="BJ122" s="11" t="n">
        <f aca="false">BJ25+BJ40+BJ55+BJ70+BJ85+BJ100</f>
        <v>0</v>
      </c>
      <c r="BK122" s="11" t="n">
        <f aca="false">BK25+BK40+BK55+BK70+BK85+BK100</f>
        <v>0</v>
      </c>
      <c r="BL122" s="11" t="n">
        <f aca="false">BL25+BL40+BL55+BL70+BL85+BL100</f>
        <v>0</v>
      </c>
      <c r="BM122" s="11" t="n">
        <f aca="false">BM25+BM40+BM55+BM70+BM85+BM100</f>
        <v>0</v>
      </c>
      <c r="BN122" s="11" t="n">
        <f aca="false">BN25+BN40+BN55+BN70+BN85+BN100</f>
        <v>0</v>
      </c>
    </row>
    <row r="123" customFormat="false" ht="15" hidden="false" customHeight="false" outlineLevel="0" collapsed="false">
      <c r="D123" s="0" t="s">
        <v>690</v>
      </c>
      <c r="E123" s="0" t="s">
        <v>149</v>
      </c>
      <c r="J123" s="11" t="n">
        <f aca="false">J38+J53+J68+J83+J98+J104</f>
        <v>0</v>
      </c>
      <c r="K123" s="11" t="n">
        <f aca="false">K38+K53+K68+K83+K98+K104</f>
        <v>0</v>
      </c>
      <c r="L123" s="11" t="n">
        <f aca="false">L38+L53+L68+L83+L98+L104</f>
        <v>0</v>
      </c>
      <c r="M123" s="11" t="n">
        <f aca="false">M38+M53+M68+M83+M98+M104</f>
        <v>0</v>
      </c>
      <c r="N123" s="11" t="n">
        <f aca="false">N38+N53+N68+N83+N98+N104</f>
        <v>0</v>
      </c>
      <c r="O123" s="11" t="n">
        <f aca="false">O38+O53+O68+O83+O98+O104</f>
        <v>0</v>
      </c>
      <c r="P123" s="11" t="n">
        <f aca="false">P38+P53+P68+P83+P98+P104</f>
        <v>626.915955776128</v>
      </c>
      <c r="Q123" s="11" t="n">
        <f aca="false">Q38+Q53+Q68+Q83+Q98+Q104</f>
        <v>592.45614703031</v>
      </c>
      <c r="R123" s="11" t="n">
        <f aca="false">R38+R53+R68+R83+R98+R104</f>
        <v>575.895373380381</v>
      </c>
      <c r="S123" s="11" t="n">
        <f aca="false">S38+S53+S68+S83+S98+S104</f>
        <v>558.751384408624</v>
      </c>
      <c r="T123" s="11" t="n">
        <f aca="false">T38+T53+T68+T83+T98+T104</f>
        <v>551.572055432639</v>
      </c>
      <c r="U123" s="11" t="n">
        <f aca="false">U38+U53+U68+U83+U98+U104</f>
        <v>530.431872534776</v>
      </c>
      <c r="V123" s="11" t="n">
        <f aca="false">V38+V53+V68+V83+V98+V104</f>
        <v>508.44720397408</v>
      </c>
      <c r="W123" s="11" t="n">
        <f aca="false">W38+W53+W68+W83+W98+W104</f>
        <v>486.404264076018</v>
      </c>
      <c r="X123" s="11" t="n">
        <f aca="false">X38+X53+X68+X83+X98+X104</f>
        <v>471.307248161206</v>
      </c>
      <c r="Y123" s="11" t="n">
        <f aca="false">Y38+Y53+Y68+Y83+Y98+Y104</f>
        <v>457.12177454903</v>
      </c>
      <c r="Z123" s="11" t="n">
        <f aca="false">Z38+Z53+Z68+Z83+Z98+Z104</f>
        <v>442.093388859551</v>
      </c>
      <c r="AA123" s="11" t="n">
        <f aca="false">AA38+AA53+AA68+AA83+AA98+AA104</f>
        <v>426.853808056273</v>
      </c>
      <c r="AB123" s="11" t="n">
        <f aca="false">AB38+AB53+AB68+AB83+AB98+AB104</f>
        <v>410.764764008628</v>
      </c>
      <c r="AC123" s="11" t="n">
        <f aca="false">AC38+AC53+AC68+AC83+AC98+AC104</f>
        <v>394.34063352286</v>
      </c>
      <c r="AD123" s="11" t="n">
        <f aca="false">AD38+AD53+AD68+AD83+AD98+AD104</f>
        <v>377.087276553614</v>
      </c>
      <c r="AE123" s="11" t="n">
        <f aca="false">AE38+AE53+AE68+AE83+AE98+AE104</f>
        <v>358.360221082408</v>
      </c>
      <c r="AF123" s="11" t="n">
        <f aca="false">AF38+AF53+AF68+AF83+AF98+AF104</f>
        <v>338.55767297016</v>
      </c>
      <c r="AG123" s="11" t="n">
        <f aca="false">AG38+AG53+AG68+AG83+AG98+AG104</f>
        <v>318.592305355821</v>
      </c>
      <c r="AH123" s="11" t="n">
        <f aca="false">AH38+AH53+AH68+AH83+AH98+AH104</f>
        <v>297.563966569774</v>
      </c>
      <c r="AI123" s="11" t="n">
        <f aca="false">AI38+AI53+AI68+AI83+AI98+AI104</f>
        <v>276.050764171371</v>
      </c>
      <c r="AJ123" s="11" t="n">
        <f aca="false">AJ38+AJ53+AJ68+AJ83+AJ98+AJ104</f>
        <v>253.480339629673</v>
      </c>
      <c r="AK123" s="11" t="n">
        <f aca="false">AK38+AK53+AK68+AK83+AK98+AK104</f>
        <v>230.404175589692</v>
      </c>
      <c r="AL123" s="11" t="n">
        <f aca="false">AL38+AL53+AL68+AL83+AL98+AL104</f>
        <v>206.280343993572</v>
      </c>
      <c r="AM123" s="11" t="n">
        <f aca="false">AM38+AM53+AM68+AM83+AM98+AM104</f>
        <v>181.983474287647</v>
      </c>
      <c r="AN123" s="11" t="n">
        <f aca="false">AN38+AN53+AN68+AN83+AN98+AN104</f>
        <v>160.600190618</v>
      </c>
      <c r="AO123" s="11" t="n">
        <f aca="false">AO38+AO53+AO68+AO83+AO98+AO104</f>
        <v>140.660241147255</v>
      </c>
      <c r="AP123" s="11" t="n">
        <f aca="false">AP38+AP53+AP68+AP83+AP98+AP104</f>
        <v>119.814088705888</v>
      </c>
      <c r="AQ123" s="11" t="n">
        <f aca="false">AQ38+AQ53+AQ68+AQ83+AQ98+AQ104</f>
        <v>98.5080043681347</v>
      </c>
      <c r="AR123" s="11" t="n">
        <f aca="false">AR38+AR53+AR68+AR83+AR98+AR104</f>
        <v>76.0796562337036</v>
      </c>
      <c r="AS123" s="11" t="n">
        <f aca="false">AS38+AS53+AS68+AS83+AS98+AS104</f>
        <v>53.1331565878772</v>
      </c>
      <c r="AT123" s="11" t="n">
        <f aca="false">AT38+AT53+AT68+AT83+AT98+AT104</f>
        <v>29.081229949173</v>
      </c>
      <c r="AU123" s="11" t="n">
        <f aca="false">AU38+AU53+AU68+AU83+AU98+AU104</f>
        <v>0</v>
      </c>
      <c r="AV123" s="11" t="n">
        <f aca="false">AV38+AV53+AV68+AV83+AV98+AV104</f>
        <v>0</v>
      </c>
      <c r="AW123" s="11" t="n">
        <f aca="false">AW38+AW53+AW68+AW83+AW98+AW104</f>
        <v>0</v>
      </c>
      <c r="AX123" s="11" t="n">
        <f aca="false">AX38+AX53+AX68+AX83+AX98+AX104</f>
        <v>0</v>
      </c>
      <c r="AY123" s="11" t="n">
        <f aca="false">AY38+AY53+AY68+AY83+AY98+AY104</f>
        <v>0</v>
      </c>
      <c r="AZ123" s="11" t="n">
        <f aca="false">AZ38+AZ53+AZ68+AZ83+AZ98+AZ104</f>
        <v>0</v>
      </c>
      <c r="BA123" s="11" t="n">
        <f aca="false">BA38+BA53+BA68+BA83+BA98+BA104</f>
        <v>0</v>
      </c>
      <c r="BB123" s="11" t="n">
        <f aca="false">BB38+BB53+BB68+BB83+BB98+BB104</f>
        <v>0</v>
      </c>
      <c r="BC123" s="11" t="n">
        <f aca="false">BC38+BC53+BC68+BC83+BC98+BC104</f>
        <v>0</v>
      </c>
      <c r="BD123" s="11" t="n">
        <f aca="false">BD38+BD53+BD68+BD83+BD98+BD104</f>
        <v>0</v>
      </c>
      <c r="BE123" s="11" t="n">
        <f aca="false">BE38+BE53+BE68+BE83+BE98+BE104</f>
        <v>0</v>
      </c>
      <c r="BF123" s="11" t="n">
        <f aca="false">BF38+BF53+BF68+BF83+BF98+BF104</f>
        <v>0</v>
      </c>
      <c r="BG123" s="11" t="n">
        <f aca="false">BG38+BG53+BG68+BG83+BG98+BG104</f>
        <v>0</v>
      </c>
      <c r="BH123" s="11" t="n">
        <f aca="false">BH38+BH53+BH68+BH83+BH98+BH104</f>
        <v>0</v>
      </c>
      <c r="BI123" s="11" t="n">
        <f aca="false">BI38+BI53+BI68+BI83+BI98+BI104</f>
        <v>0</v>
      </c>
      <c r="BJ123" s="11" t="n">
        <f aca="false">BJ38+BJ53+BJ68+BJ83+BJ98+BJ104</f>
        <v>0</v>
      </c>
      <c r="BK123" s="11" t="n">
        <f aca="false">BK38+BK53+BK68+BK83+BK98+BK104</f>
        <v>0</v>
      </c>
      <c r="BL123" s="11" t="n">
        <f aca="false">BL38+BL53+BL68+BL83+BL98+BL104</f>
        <v>0</v>
      </c>
      <c r="BM123" s="11" t="n">
        <f aca="false">BM38+BM53+BM68+BM83+BM98+BM104</f>
        <v>0</v>
      </c>
      <c r="BN123" s="11" t="n">
        <f aca="false">BN38+BN53+BN68+BN83+BN98+BN104</f>
        <v>0</v>
      </c>
    </row>
    <row r="124" customFormat="false" ht="15" hidden="false" customHeight="false" outlineLevel="0" collapsed="false">
      <c r="B124" s="2" t="s">
        <v>691</v>
      </c>
    </row>
    <row r="125" customFormat="false" ht="15" hidden="false" customHeight="false" outlineLevel="0" collapsed="false">
      <c r="D125" s="0" t="s">
        <v>692</v>
      </c>
      <c r="E125" s="0" t="s">
        <v>149</v>
      </c>
      <c r="J125" s="11" t="n">
        <f aca="false">IF(Time!J29=1,J83,J81)</f>
        <v>0</v>
      </c>
      <c r="K125" s="11" t="n">
        <f aca="false">IF(Time!K29=1,K83,K81)</f>
        <v>0</v>
      </c>
      <c r="L125" s="11" t="n">
        <f aca="false">IF(Time!L29=1,L83,L81)</f>
        <v>0</v>
      </c>
      <c r="M125" s="11" t="n">
        <f aca="false">IF(Time!M29=1,M83,M81)</f>
        <v>0</v>
      </c>
      <c r="N125" s="11" t="n">
        <f aca="false">IF(Time!N29=1,N83,N81)</f>
        <v>0</v>
      </c>
      <c r="O125" s="11" t="n">
        <f aca="false">IF(Time!O29=1,O83,O81)</f>
        <v>0</v>
      </c>
      <c r="P125" s="11" t="n">
        <f aca="false">IF(Time!P29=1,P83,P81)</f>
        <v>238.228063194929</v>
      </c>
      <c r="Q125" s="11" t="n">
        <f aca="false">IF(Time!Q29=1,Q83,Q81)</f>
        <v>225.133335871518</v>
      </c>
      <c r="R125" s="11" t="n">
        <f aca="false">IF(Time!R29=1,R83,R81)</f>
        <v>218.840241884545</v>
      </c>
      <c r="S125" s="11" t="n">
        <f aca="false">IF(Time!S29=1,S83,S81)</f>
        <v>212.325526075277</v>
      </c>
      <c r="T125" s="11" t="n">
        <f aca="false">IF(Time!T29=1,T83,T81)</f>
        <v>209.597381064403</v>
      </c>
      <c r="U125" s="11" t="n">
        <f aca="false">IF(Time!U29=1,U83,U81)</f>
        <v>201.564111563215</v>
      </c>
      <c r="V125" s="11" t="n">
        <f aca="false">IF(Time!V29=1,V83,V81)</f>
        <v>193.20993751015</v>
      </c>
      <c r="W125" s="11" t="n">
        <f aca="false">IF(Time!W29=1,W83,W81)</f>
        <v>0</v>
      </c>
      <c r="X125" s="11" t="n">
        <f aca="false">IF(Time!X29=1,X83,X81)</f>
        <v>0</v>
      </c>
      <c r="Y125" s="11" t="n">
        <f aca="false">IF(Time!Y29=1,Y83,Y81)</f>
        <v>0</v>
      </c>
      <c r="Z125" s="11" t="n">
        <f aca="false">IF(Time!Z29=1,Z83,Z81)</f>
        <v>0</v>
      </c>
      <c r="AA125" s="11" t="n">
        <f aca="false">IF(Time!AA29=1,AA83,AA81)</f>
        <v>0</v>
      </c>
      <c r="AB125" s="11" t="n">
        <f aca="false">IF(Time!AB29=1,AB83,AB81)</f>
        <v>0</v>
      </c>
      <c r="AC125" s="11" t="n">
        <f aca="false">IF(Time!AC29=1,AC83,AC81)</f>
        <v>0</v>
      </c>
      <c r="AD125" s="11" t="n">
        <f aca="false">IF(Time!AD29=1,AD83,AD81)</f>
        <v>0</v>
      </c>
      <c r="AE125" s="11" t="n">
        <f aca="false">IF(Time!AE29=1,AE83,AE81)</f>
        <v>0</v>
      </c>
      <c r="AF125" s="11" t="n">
        <f aca="false">IF(Time!AF29=1,AF83,AF81)</f>
        <v>0</v>
      </c>
      <c r="AG125" s="11" t="n">
        <f aca="false">IF(Time!AG29=1,AG83,AG81)</f>
        <v>0</v>
      </c>
      <c r="AH125" s="11" t="n">
        <f aca="false">IF(Time!AH29=1,AH83,AH81)</f>
        <v>0</v>
      </c>
      <c r="AI125" s="11" t="n">
        <f aca="false">IF(Time!AI29=1,AI83,AI81)</f>
        <v>0</v>
      </c>
      <c r="AJ125" s="11" t="n">
        <f aca="false">IF(Time!AJ29=1,AJ83,AJ81)</f>
        <v>0</v>
      </c>
      <c r="AK125" s="11" t="n">
        <f aca="false">IF(Time!AK29=1,AK83,AK81)</f>
        <v>0</v>
      </c>
      <c r="AL125" s="11" t="n">
        <f aca="false">IF(Time!AL29=1,AL83,AL81)</f>
        <v>0</v>
      </c>
      <c r="AM125" s="11" t="n">
        <f aca="false">IF(Time!AM29=1,AM83,AM81)</f>
        <v>0</v>
      </c>
      <c r="AN125" s="11" t="n">
        <f aca="false">IF(Time!AN29=1,AN83,AN81)</f>
        <v>0</v>
      </c>
      <c r="AO125" s="11" t="n">
        <f aca="false">IF(Time!AO29=1,AO83,AO81)</f>
        <v>0</v>
      </c>
      <c r="AP125" s="11" t="n">
        <f aca="false">IF(Time!AP29=1,AP83,AP81)</f>
        <v>0</v>
      </c>
      <c r="AQ125" s="11" t="n">
        <f aca="false">IF(Time!AQ29=1,AQ83,AQ81)</f>
        <v>0</v>
      </c>
      <c r="AR125" s="11" t="n">
        <f aca="false">IF(Time!AR29=1,AR83,AR81)</f>
        <v>0</v>
      </c>
      <c r="AS125" s="11" t="n">
        <f aca="false">IF(Time!AS29=1,AS83,AS81)</f>
        <v>0</v>
      </c>
      <c r="AT125" s="11" t="n">
        <f aca="false">IF(Time!AT29=1,AT83,AT81)</f>
        <v>0</v>
      </c>
      <c r="AU125" s="11" t="n">
        <f aca="false">IF(Time!AU29=1,AU83,AU81)</f>
        <v>0</v>
      </c>
      <c r="AV125" s="11" t="n">
        <f aca="false">IF(Time!AV29=1,AV83,AV81)</f>
        <v>0</v>
      </c>
      <c r="AW125" s="11" t="n">
        <f aca="false">IF(Time!AW29=1,AW83,AW81)</f>
        <v>0</v>
      </c>
      <c r="AX125" s="11" t="n">
        <f aca="false">IF(Time!AX29=1,AX83,AX81)</f>
        <v>0</v>
      </c>
      <c r="AY125" s="11" t="n">
        <f aca="false">IF(Time!AY29=1,AY83,AY81)</f>
        <v>0</v>
      </c>
      <c r="AZ125" s="11" t="n">
        <f aca="false">IF(Time!AZ29=1,AZ83,AZ81)</f>
        <v>0</v>
      </c>
      <c r="BA125" s="11" t="n">
        <f aca="false">IF(Time!BA29=1,BA83,BA81)</f>
        <v>0</v>
      </c>
      <c r="BB125" s="11" t="n">
        <f aca="false">IF(Time!BB29=1,BB83,BB81)</f>
        <v>0</v>
      </c>
      <c r="BC125" s="11" t="n">
        <f aca="false">IF(Time!BC29=1,BC83,BC81)</f>
        <v>0</v>
      </c>
      <c r="BD125" s="11" t="n">
        <f aca="false">IF(Time!BD29=1,BD83,BD81)</f>
        <v>0</v>
      </c>
      <c r="BE125" s="11" t="n">
        <f aca="false">IF(Time!BE29=1,BE83,BE81)</f>
        <v>0</v>
      </c>
      <c r="BF125" s="11" t="n">
        <f aca="false">IF(Time!BF29=1,BF83,BF81)</f>
        <v>0</v>
      </c>
      <c r="BG125" s="11" t="n">
        <f aca="false">IF(Time!BG29=1,BG83,BG81)</f>
        <v>0</v>
      </c>
      <c r="BH125" s="11" t="n">
        <f aca="false">IF(Time!BH29=1,BH83,BH81)</f>
        <v>0</v>
      </c>
      <c r="BI125" s="11" t="n">
        <f aca="false">IF(Time!BI29=1,BI83,BI81)</f>
        <v>0</v>
      </c>
      <c r="BJ125" s="11" t="n">
        <f aca="false">IF(Time!BJ29=1,BJ83,BJ81)</f>
        <v>0</v>
      </c>
      <c r="BK125" s="11" t="n">
        <f aca="false">IF(Time!BK29=1,BK83,BK81)</f>
        <v>0</v>
      </c>
      <c r="BL125" s="11" t="n">
        <f aca="false">IF(Time!BL29=1,BL83,BL81)</f>
        <v>0</v>
      </c>
      <c r="BM125" s="11" t="n">
        <f aca="false">IF(Time!BM29=1,BM83,BM81)</f>
        <v>0</v>
      </c>
      <c r="BN125" s="11" t="n">
        <f aca="false">IF(Time!BN29=1,BN83,BN81)</f>
        <v>0</v>
      </c>
    </row>
    <row r="126" customFormat="false" ht="15" hidden="false" customHeight="false" outlineLevel="0" collapsed="false">
      <c r="D126" s="0" t="s">
        <v>693</v>
      </c>
      <c r="E126" s="0" t="s">
        <v>149</v>
      </c>
      <c r="J126" s="11" t="n">
        <f aca="false">IF(AND(Time!J17&gt;=Time!$F$11,Time!J17&lt;57),(IF(Time!J29=1,J38,J36)-J35)*K19+IF(Time!J29=1,J38,J36)*K10,0)</f>
        <v>0</v>
      </c>
      <c r="K126" s="11" t="n">
        <f aca="false">IF(AND(Time!K17&gt;=Time!$F$11,Time!K17&lt;57),(IF(Time!K29=1,K38,K36)-K35)*L19+IF(Time!K29=1,K38,K36)*L10,0)</f>
        <v>0</v>
      </c>
      <c r="L126" s="11" t="n">
        <f aca="false">IF(AND(Time!L17&gt;=Time!$F$11,Time!L17&lt;57),(IF(Time!L29=1,L38,L36)-L35)*M19+IF(Time!L29=1,L38,L36)*M10,0)</f>
        <v>0</v>
      </c>
      <c r="M126" s="11" t="n">
        <f aca="false">IF(AND(Time!M17&gt;=Time!$F$11,Time!M17&lt;57),(IF(Time!M29=1,M38,M36)-M35)*N19+IF(Time!M29=1,M38,M36)*N10,0)</f>
        <v>0</v>
      </c>
      <c r="N126" s="11" t="n">
        <f aca="false">IF(AND(Time!N17&gt;=Time!$F$11,Time!N17&lt;57),(IF(Time!N29=1,N38,N36)-N35)*O19+IF(Time!N29=1,N38,N36)*O10,0)</f>
        <v>0</v>
      </c>
      <c r="O126" s="11" t="n">
        <f aca="false">IF(AND(Time!O17&gt;=Time!$F$11,Time!O17&lt;57),(IF(Time!O29=1,O38,O36)-O35)*P19+IF(Time!O29=1,O38,O36)*P10,0)</f>
        <v>0</v>
      </c>
      <c r="P126" s="11" t="n">
        <f aca="false">IF(AND(Time!P17&gt;=Time!$F$11,Time!P17&lt;57),(IF(Time!P29=1,P38,P36)-P35)*Q19+IF(Time!P29=1,P38,P36)*Q10,0)</f>
        <v>6.39050363802411</v>
      </c>
      <c r="Q126" s="11" t="n">
        <f aca="false">IF(AND(Time!Q17&gt;=Time!$F$11,Time!Q17&lt;57),(IF(Time!Q29=1,Q38,Q36)-Q35)*R19+IF(Time!Q29=1,Q38,Q36)*R10,0)</f>
        <v>8.86540863014393</v>
      </c>
      <c r="R126" s="11" t="n">
        <f aca="false">IF(AND(Time!R17&gt;=Time!$F$11,Time!R17&lt;57),(IF(Time!R29=1,R38,R36)-R35)*S19+IF(Time!R29=1,R38,R36)*S10,0)</f>
        <v>10.9094693836488</v>
      </c>
      <c r="S126" s="11" t="n">
        <f aca="false">IF(AND(Time!S17&gt;=Time!$F$11,Time!S17&lt;57),(IF(Time!S29=1,S38,S36)-S35)*T19+IF(Time!S29=1,S38,S36)*T10,0)</f>
        <v>12.0228349346843</v>
      </c>
      <c r="T126" s="11" t="n">
        <f aca="false">IF(AND(Time!T17&gt;=Time!$F$11,Time!T17&lt;57),(IF(Time!T29=1,T38,T36)-T35)*U19+U22*MIN($F$30/4,T35)+IF(Time!T29=1,T38,T36)*U10,0)</f>
        <v>12.5645383442065</v>
      </c>
      <c r="U126" s="11" t="n">
        <f aca="false">IF(AND(Time!U17&gt;=Time!$F$11,Time!U17&lt;57),(IF(Time!U29=1,U38,U36)-U35)*V19+V22*MIN($F$30/4,U35)+IF(Time!U29=1,U38,U36)*V10,0)</f>
        <v>12.6939519101227</v>
      </c>
      <c r="V126" s="11" t="n">
        <f aca="false">IF(AND(Time!V17&gt;=Time!$F$11,Time!V17&lt;57),(IF(Time!V29=1,V38,V36)-V35)*W19+W22*MIN($F$30/4,V35)+IF(Time!V29=1,V38,V36)*W10,0)</f>
        <v>11.5347375796047</v>
      </c>
      <c r="W126" s="11" t="n">
        <f aca="false">IF(AND(Time!W17&gt;=Time!$F$11,Time!W17&lt;57),(IF(Time!W29=1,W38,W36)-W35)*X19+X22*MIN($F$30/4,W35)+IF(Time!W29=1,W38,W36)*X10,0)</f>
        <v>11.6190862960644</v>
      </c>
      <c r="X126" s="11" t="n">
        <f aca="false">IF(AND(Time!X17&gt;=Time!$F$11,Time!X17&lt;57),(IF(Time!X29=1,X38,X36)-X35)*Y19+IF(Time!X29=1,X38,X36)*Y10,0)</f>
        <v>9.69958092512587</v>
      </c>
      <c r="Y126" s="11" t="n">
        <f aca="false">IF(AND(Time!Y17&gt;=Time!$F$11,Time!Y17&lt;57),(IF(Time!Y29=1,Y38,Y36)-Y35)*Z19+IF(Time!Y29=1,Y38,Y36)*Z10,0)</f>
        <v>9.85061936059981</v>
      </c>
      <c r="Z126" s="11" t="n">
        <f aca="false">IF(AND(Time!Z17&gt;=Time!$F$11,Time!Z17&lt;57),(IF(Time!Z29=1,Z38,Z36)-Z35)*AA19+IF(Time!Z29=1,Z38,Z36)*AA10,0)</f>
        <v>9.67019510252735</v>
      </c>
      <c r="AA126" s="11" t="n">
        <f aca="false">IF(AND(Time!AA17&gt;=Time!$F$11,Time!AA17&lt;57),(IF(Time!AA29=1,AA38,AA36)-AA35)*AB19+IF(Time!AA29=1,AA38,AA36)*AB10,0)</f>
        <v>9.86470583224473</v>
      </c>
      <c r="AB126" s="11" t="n">
        <f aca="false">IF(AND(Time!AB17&gt;=Time!$F$11,Time!AB17&lt;57),(IF(Time!AB29=1,AB38,AB36)-AB35)*AC19+IF(Time!AB29=1,AB38,AB36)*AC10,0)</f>
        <v>9.87054671069563</v>
      </c>
      <c r="AC126" s="11" t="n">
        <f aca="false">IF(AND(Time!AC17&gt;=Time!$F$11,Time!AC17&lt;57),(IF(Time!AC29=1,AC38,AC36)-AC35)*AD19+IF(Time!AC29=1,AC38,AC36)*AD10,0)</f>
        <v>10.044515898414</v>
      </c>
      <c r="AD126" s="11" t="n">
        <f aca="false">IF(AND(Time!AD17&gt;=Time!$F$11,Time!AD17&lt;57),(IF(Time!AD29=1,AD38,AD36)-AD35)*AE19+IF(Time!AD29=1,AD38,AD36)*AE10,0)</f>
        <v>10.3808977767078</v>
      </c>
      <c r="AE126" s="11" t="n">
        <f aca="false">IF(AND(Time!AE17&gt;=Time!$F$11,Time!AE17&lt;57),(IF(Time!AE29=1,AE38,AE36)-AE35)*AF19+IF(Time!AE29=1,AE38,AE36)*AF10,0)</f>
        <v>10.6319218632362</v>
      </c>
      <c r="AF126" s="11" t="n">
        <f aca="false">IF(AND(Time!AF17&gt;=Time!$F$11,Time!AF17&lt;57),(IF(Time!AF29=1,AF38,AF36)-AF35)*AG19+IF(Time!AF29=1,AF38,AF36)*AG10,0)</f>
        <v>10.4382287718966</v>
      </c>
      <c r="AG126" s="11" t="n">
        <f aca="false">IF(AND(Time!AG17&gt;=Time!$F$11,Time!AG17&lt;57),(IF(Time!AG29=1,AG38,AG36)-AG35)*AH19+IF(Time!AG29=1,AG38,AG36)*AH10,0)</f>
        <v>10.6777362682468</v>
      </c>
      <c r="AH126" s="11" t="n">
        <f aca="false">IF(AND(Time!AH17&gt;=Time!$F$11,Time!AH17&lt;57),(IF(Time!AH29=1,AH38,AH36)-AH35)*AI19+IF(Time!AH29=1,AH38,AH36)*AI10,0)</f>
        <v>10.6831143704477</v>
      </c>
      <c r="AI126" s="11" t="n">
        <f aca="false">IF(AND(Time!AI17&gt;=Time!$F$11,Time!AI17&lt;57),(IF(Time!AI29=1,AI38,AI36)-AI35)*AJ19+IF(Time!AI29=1,AI38,AI36)*AJ10,0)</f>
        <v>10.9088325280262</v>
      </c>
      <c r="AJ126" s="11" t="n">
        <f aca="false">IF(AND(Time!AJ17&gt;=Time!$F$11,Time!AJ17&lt;57),(IF(Time!AJ29=1,AJ38,AJ36)-AJ35)*AK19+IF(Time!AJ29=1,AJ38,AJ36)*AK10,0)</f>
        <v>10.9181369008822</v>
      </c>
      <c r="AK126" s="11" t="n">
        <f aca="false">IF(AND(Time!AK17&gt;=Time!$F$11,Time!AK17&lt;57),(IF(Time!AK29=1,AK38,AK36)-AK35)*AL19+IF(Time!AK29=1,AK38,AK36)*AL10,0)</f>
        <v>11.124099777926</v>
      </c>
      <c r="AL126" s="11" t="n">
        <f aca="false">IF(AND(Time!AL17&gt;=Time!$F$11,Time!AL17&lt;57),(IF(Time!AL29=1,AL38,AL36)-AL35)*AM19+IF(Time!AL29=1,AL38,AL36)*AM10,0)</f>
        <v>11.3048105479227</v>
      </c>
      <c r="AM126" s="11" t="n">
        <f aca="false">IF(AND(Time!AM17&gt;=Time!$F$11,Time!AM17&lt;57),(IF(Time!AM29=1,AM38,AM36)-AM35)*AN19+IF(Time!AM29=1,AM38,AM36)*AN10,0)</f>
        <v>9.6453586818918</v>
      </c>
      <c r="AN126" s="11" t="n">
        <f aca="false">IF(AND(Time!AN17&gt;=Time!$F$11,Time!AN17&lt;57),(IF(Time!AN29=1,AN38,AN36)-AN35)*AO19+IF(Time!AN29=1,AN38,AN36)*AO10,0)</f>
        <v>8.96721151665037</v>
      </c>
      <c r="AO126" s="11" t="n">
        <f aca="false">IF(AND(Time!AO17&gt;=Time!$F$11,Time!AO17&lt;57),(IF(Time!AO29=1,AO38,AO36)-AO35)*AP19+IF(Time!AO29=1,AO38,AO36)*AP10,0)</f>
        <v>0</v>
      </c>
      <c r="AP126" s="11" t="n">
        <f aca="false">IF(AND(Time!AP17&gt;=Time!$F$11,Time!AP17&lt;57),(IF(Time!AP29=1,AP38,AP36)-AP35)*AQ19+IF(Time!AP29=1,AP38,AP36)*AQ10,0)</f>
        <v>0</v>
      </c>
      <c r="AQ126" s="11" t="n">
        <f aca="false">IF(AND(Time!AQ17&gt;=Time!$F$11,Time!AQ17&lt;57),(IF(Time!AQ29=1,AQ38,AQ36)-AQ35)*AR19+IF(Time!AQ29=1,AQ38,AQ36)*AR10,0)</f>
        <v>0</v>
      </c>
      <c r="AR126" s="11" t="n">
        <f aca="false">IF(AND(Time!AR17&gt;=Time!$F$11,Time!AR17&lt;57),(IF(Time!AR29=1,AR38,AR36)-AR35)*AS19+IF(Time!AR29=1,AR38,AR36)*AS10,0)</f>
        <v>0</v>
      </c>
      <c r="AS126" s="11" t="n">
        <f aca="false">IF(AND(Time!AS17&gt;=Time!$F$11,Time!AS17&lt;57),(IF(Time!AS29=1,AS38,AS36)-AS35)*AT19+IF(Time!AS29=1,AS38,AS36)*AT10,0)</f>
        <v>0</v>
      </c>
      <c r="AT126" s="11" t="n">
        <f aca="false">IF(AND(Time!AT17&gt;=Time!$F$11,Time!AT17&lt;57),(IF(Time!AT29=1,AT38,AT36)-AT35)*AU19+IF(Time!AT29=1,AT38,AT36)*AU10,0)</f>
        <v>0</v>
      </c>
      <c r="AU126" s="11" t="n">
        <f aca="false">IF(AND(Time!AU17&gt;=Time!$F$11,Time!AU17&lt;57),(IF(Time!AU29=1,AU38,AU36)-AU35)*AV19+IF(Time!AU29=1,AU38,AU36)*AV10,0)</f>
        <v>0</v>
      </c>
      <c r="AV126" s="11" t="n">
        <f aca="false">IF(AND(Time!AV17&gt;=Time!$F$11,Time!AV17&lt;57),(IF(Time!AV29=1,AV38,AV36)-AV35)*AW19+IF(Time!AV29=1,AV38,AV36)*AW10,0)</f>
        <v>0</v>
      </c>
      <c r="AW126" s="11" t="n">
        <f aca="false">IF(AND(Time!AW17&gt;=Time!$F$11,Time!AW17&lt;57),(IF(Time!AW29=1,AW38,AW36)-AW35)*AX19+IF(Time!AW29=1,AW38,AW36)*AX10,0)</f>
        <v>0</v>
      </c>
      <c r="AX126" s="11" t="n">
        <f aca="false">IF(AND(Time!AX17&gt;=Time!$F$11,Time!AX17&lt;57),(IF(Time!AX29=1,AX38,AX36)-AX35)*AY19+IF(Time!AX29=1,AX38,AX36)*AY10,0)</f>
        <v>0</v>
      </c>
      <c r="AY126" s="11" t="n">
        <f aca="false">IF(AND(Time!AY17&gt;=Time!$F$11,Time!AY17&lt;57),(IF(Time!AY29=1,AY38,AY36)-AY35)*AZ19+IF(Time!AY29=1,AY38,AY36)*AZ10,0)</f>
        <v>0</v>
      </c>
      <c r="AZ126" s="11" t="n">
        <f aca="false">IF(AND(Time!AZ17&gt;=Time!$F$11,Time!AZ17&lt;57),(IF(Time!AZ29=1,AZ38,AZ36)-AZ35)*BA19+IF(Time!AZ29=1,AZ38,AZ36)*BA10,0)</f>
        <v>0</v>
      </c>
      <c r="BA126" s="11" t="n">
        <f aca="false">IF(AND(Time!BA17&gt;=Time!$F$11,Time!BA17&lt;57),(IF(Time!BA29=1,BA38,BA36)-BA35)*BB19+IF(Time!BA29=1,BA38,BA36)*BB10,0)</f>
        <v>0</v>
      </c>
      <c r="BB126" s="11" t="n">
        <f aca="false">IF(AND(Time!BB17&gt;=Time!$F$11,Time!BB17&lt;57),(IF(Time!BB29=1,BB38,BB36)-BB35)*BC19+IF(Time!BB29=1,BB38,BB36)*BC10,0)</f>
        <v>0</v>
      </c>
      <c r="BC126" s="11" t="n">
        <f aca="false">IF(AND(Time!BC17&gt;=Time!$F$11,Time!BC17&lt;57),(IF(Time!BC29=1,BC38,BC36)-BC35)*BD19+IF(Time!BC29=1,BC38,BC36)*BD10,0)</f>
        <v>0</v>
      </c>
      <c r="BD126" s="11" t="n">
        <f aca="false">IF(AND(Time!BD17&gt;=Time!$F$11,Time!BD17&lt;57),(IF(Time!BD29=1,BD38,BD36)-BD35)*BE19+IF(Time!BD29=1,BD38,BD36)*BE10,0)</f>
        <v>0</v>
      </c>
      <c r="BE126" s="11" t="n">
        <f aca="false">IF(AND(Time!BE17&gt;=Time!$F$11,Time!BE17&lt;57),(IF(Time!BE29=1,BE38,BE36)-BE35)*BF19+IF(Time!BE29=1,BE38,BE36)*BF10,0)</f>
        <v>0</v>
      </c>
      <c r="BF126" s="11" t="n">
        <f aca="false">IF(AND(Time!BF17&gt;=Time!$F$11,Time!BF17&lt;57),(IF(Time!BF29=1,BF38,BF36)-BF35)*BG19+IF(Time!BF29=1,BF38,BF36)*BG10,0)</f>
        <v>0</v>
      </c>
      <c r="BG126" s="11" t="n">
        <f aca="false">IF(AND(Time!BG17&gt;=Time!$F$11,Time!BG17&lt;57),(IF(Time!BG29=1,BG38,BG36)-BG35)*BH19+IF(Time!BG29=1,BG38,BG36)*BH10,0)</f>
        <v>0</v>
      </c>
      <c r="BH126" s="11" t="n">
        <f aca="false">IF(AND(Time!BH17&gt;=Time!$F$11,Time!BH17&lt;57),(IF(Time!BH29=1,BH38,BH36)-BH35)*BI19+IF(Time!BH29=1,BH38,BH36)*BI10,0)</f>
        <v>0</v>
      </c>
      <c r="BI126" s="11" t="n">
        <f aca="false">IF(AND(Time!BI17&gt;=Time!$F$11,Time!BI17&lt;57),(IF(Time!BI29=1,BI38,BI36)-BI35)*BJ19+IF(Time!BI29=1,BI38,BI36)*BJ10,0)</f>
        <v>0</v>
      </c>
      <c r="BJ126" s="11" t="n">
        <f aca="false">IF(AND(Time!BJ17&gt;=Time!$F$11,Time!BJ17&lt;57),(IF(Time!BJ29=1,BJ38,BJ36)-BJ35)*BK19+IF(Time!BJ29=1,BJ38,BJ36)*BK10,0)</f>
        <v>0</v>
      </c>
      <c r="BK126" s="11" t="n">
        <f aca="false">IF(AND(Time!BK17&gt;=Time!$F$11,Time!BK17&lt;57),(IF(Time!BK29=1,BK38,BK36)-BK35)*BL19+IF(Time!BK29=1,BK38,BK36)*BL10,0)</f>
        <v>0</v>
      </c>
      <c r="BL126" s="11" t="n">
        <f aca="false">IF(AND(Time!BL17&gt;=Time!$F$11,Time!BL17&lt;57),(IF(Time!BL29=1,BL38,BL36)-BL35)*BM19+IF(Time!BL29=1,BL38,BL36)*BM10,0)</f>
        <v>0</v>
      </c>
      <c r="BM126" s="11" t="n">
        <f aca="false">IF(AND(Time!BM17&gt;=Time!$F$11,Time!BM17&lt;57),(IF(Time!BM29=1,BM38,BM36)-BM35)*BN19+IF(Time!BM29=1,BM38,BM36)*BN10,0)</f>
        <v>0</v>
      </c>
      <c r="BN126" s="11" t="n">
        <f aca="false">IF(AND(Time!BN17&gt;=Time!$F$11,Time!BN17&lt;57),(IF(Time!BN29=1,BN38,BN36)-BN35)*0+IF(Time!BN29=1,BN38,BN36)*0,0)</f>
        <v>0</v>
      </c>
    </row>
    <row r="127" customFormat="false" ht="15" hidden="false" customHeight="false" outlineLevel="0" collapsed="false">
      <c r="D127" s="0" t="s">
        <v>694</v>
      </c>
      <c r="E127" s="0" t="s">
        <v>149</v>
      </c>
      <c r="J127" s="11" t="n">
        <f aca="false">IF(AND(Time!J17&gt;=Time!$F$11,Time!J17&lt;57),(IF(Time!J29=1,J53,J51)-J50)*K19+IF(Time!J29=1,J53,J51)*K11,0)</f>
        <v>0</v>
      </c>
      <c r="K127" s="11" t="n">
        <f aca="false">IF(AND(Time!K17&gt;=Time!$F$11,Time!K17&lt;57),(IF(Time!K29=1,K53,K51)-K50)*L19+IF(Time!K29=1,K53,K51)*L11,0)</f>
        <v>0</v>
      </c>
      <c r="L127" s="11" t="n">
        <f aca="false">IF(AND(Time!L17&gt;=Time!$F$11,Time!L17&lt;57),(IF(Time!L29=1,L53,L51)-L50)*M19+IF(Time!L29=1,L53,L51)*M11,0)</f>
        <v>0</v>
      </c>
      <c r="M127" s="11" t="n">
        <f aca="false">IF(AND(Time!M17&gt;=Time!$F$11,Time!M17&lt;57),(IF(Time!M29=1,M53,M51)-M50)*N19+IF(Time!M29=1,M53,M51)*N11,0)</f>
        <v>0</v>
      </c>
      <c r="N127" s="11" t="n">
        <f aca="false">IF(AND(Time!N17&gt;=Time!$F$11,Time!N17&lt;57),(IF(Time!N29=1,N53,N51)-N50)*O19+IF(Time!N29=1,N53,N51)*O11,0)</f>
        <v>0</v>
      </c>
      <c r="O127" s="11" t="n">
        <f aca="false">IF(AND(Time!O17&gt;=Time!$F$11,Time!O17&lt;57),(IF(Time!O29=1,O53,O51)-O50)*P19+IF(Time!O29=1,O53,O51)*P11,0)</f>
        <v>0</v>
      </c>
      <c r="P127" s="11" t="n">
        <f aca="false">IF(AND(Time!P17&gt;=Time!$F$11,Time!P17&lt;57),(IF(Time!P29=1,P53,P51)-P50)*Q19+IF(Time!P29=1,P53,P51)*Q11,0)</f>
        <v>6.28127835470969</v>
      </c>
      <c r="Q127" s="11" t="n">
        <f aca="false">IF(AND(Time!Q17&gt;=Time!$F$11,Time!Q17&lt;57),(IF(Time!Q29=1,Q53,Q51)-Q50)*R19+IF(Time!Q29=1,Q53,Q51)*R11,0)</f>
        <v>8.03352291524749</v>
      </c>
      <c r="R127" s="11" t="n">
        <f aca="false">IF(AND(Time!R17&gt;=Time!$F$11,Time!R17&lt;57),(IF(Time!R29=1,R53,R51)-R50)*S19+IF(Time!R29=1,R53,R51)*S11,0)</f>
        <v>9.46538737207619</v>
      </c>
      <c r="S127" s="11" t="n">
        <f aca="false">IF(AND(Time!S17&gt;=Time!$F$11,Time!S17&lt;57),(IF(Time!S29=1,S53,S51)-S50)*T19+IF(Time!S29=1,S53,S51)*T11,0)</f>
        <v>10.2618008658235</v>
      </c>
      <c r="T127" s="11" t="n">
        <f aca="false">IF(AND(Time!T17&gt;=Time!$F$11,Time!T17&lt;57),(IF(Time!T29=1,T53,T51)-T50)*U19+U22*MIN($F$45/4,T50)+IF(Time!T29=1,T53,T51)*U11,0)</f>
        <v>10.624977389332</v>
      </c>
      <c r="U127" s="11" t="n">
        <f aca="false">IF(AND(Time!U17&gt;=Time!$F$11,Time!U17&lt;57),(IF(Time!U29=1,U53,U51)-U50)*V19+V22*MIN($F$45/4,U50)+IF(Time!U29=1,U53,U51)*V11,0)</f>
        <v>10.6807127635477</v>
      </c>
      <c r="V127" s="11" t="n">
        <f aca="false">IF(AND(Time!V17&gt;=Time!$F$11,Time!V17&lt;57),(IF(Time!V29=1,V53,V51)-V50)*W19+W22*MIN($F$45/4,V50)+IF(Time!V29=1,V53,V51)*W11,0)</f>
        <v>9.7523254923537</v>
      </c>
      <c r="W127" s="11" t="n">
        <f aca="false">IF(AND(Time!W17&gt;=Time!$F$11,Time!W17&lt;57),(IF(Time!W29=1,W53,W51)-W50)*X19+X22*MIN($F$45/4,W50)+IF(Time!W29=1,W53,W51)*X11,0)</f>
        <v>9.77603747837783</v>
      </c>
      <c r="X127" s="11" t="n">
        <f aca="false">IF(AND(Time!X17&gt;=Time!$F$11,Time!X17&lt;57),(IF(Time!X29=1,X53,X51)-X50)*Y19+IF(Time!X29=1,X53,X51)*Y11,0)</f>
        <v>8.28694403067689</v>
      </c>
      <c r="Y127" s="11" t="n">
        <f aca="false">IF(AND(Time!Y17&gt;=Time!$F$11,Time!Y17&lt;57),(IF(Time!Y29=1,Y53,Y51)-Y50)*Z19+IF(Time!Y29=1,Y53,Y51)*Z11,0)</f>
        <v>8.36593487958644</v>
      </c>
      <c r="Z127" s="11" t="n">
        <f aca="false">IF(AND(Time!Z17&gt;=Time!$F$11,Time!Z17&lt;57),(IF(Time!Z29=1,Z53,Z51)-Z50)*AA19+IF(Time!Z29=1,Z53,Z51)*AA11,0)</f>
        <v>8.16223632309826</v>
      </c>
      <c r="AA127" s="11" t="n">
        <f aca="false">IF(AND(Time!AA17&gt;=Time!$F$11,Time!AA17&lt;57),(IF(Time!AA29=1,AA53,AA51)-AA50)*AB19+IF(Time!AA29=1,AA53,AA51)*AB11,0)</f>
        <v>8.26787376152389</v>
      </c>
      <c r="AB127" s="11" t="n">
        <f aca="false">IF(AND(Time!AB17&gt;=Time!$F$11,Time!AB17&lt;57),(IF(Time!AB29=1,AB53,AB51)-AB50)*AC19+IF(Time!AB29=1,AB53,AB51)*AC11,0)</f>
        <v>8.20412787383111</v>
      </c>
      <c r="AC127" s="11" t="n">
        <f aca="false">IF(AND(Time!AC17&gt;=Time!$F$11,Time!AC17&lt;57),(IF(Time!AC29=1,AC53,AC51)-AC50)*AD19+IF(Time!AC29=1,AC53,AC51)*AD11,0)</f>
        <v>8.28327940092137</v>
      </c>
      <c r="AD127" s="11" t="n">
        <f aca="false">IF(AND(Time!AD17&gt;=Time!$F$11,Time!AD17&lt;57),(IF(Time!AD29=1,AD53,AD51)-AD50)*AE19+IF(Time!AD29=1,AD53,AD51)*AE11,0)</f>
        <v>8.45416735532104</v>
      </c>
      <c r="AE127" s="11" t="n">
        <f aca="false">IF(AND(Time!AE17&gt;=Time!$F$11,Time!AE17&lt;57),(IF(Time!AE29=1,AE53,AE51)-AE50)*AF19+IF(Time!AE29=1,AE53,AE51)*AF11,0)</f>
        <v>8.58541035847487</v>
      </c>
      <c r="AF127" s="11" t="n">
        <f aca="false">IF(AND(Time!AF17&gt;=Time!$F$11,Time!AF17&lt;57),(IF(Time!AF29=1,AF53,AF51)-AF50)*AG19+IF(Time!AF29=1,AF53,AF51)*AG11,0)</f>
        <v>8.3612789779773</v>
      </c>
      <c r="AG127" s="11" t="n">
        <f aca="false">IF(AND(Time!AG17&gt;=Time!$F$11,Time!AG17&lt;57),(IF(Time!AG29=1,AG53,AG51)-AG50)*AH19+IF(Time!AG29=1,AG53,AG51)*AH11,0)</f>
        <v>8.47770567800652</v>
      </c>
      <c r="AH127" s="11" t="n">
        <f aca="false">IF(AND(Time!AH17&gt;=Time!$F$11,Time!AH17&lt;57),(IF(Time!AH29=1,AH53,AH51)-AH50)*AI19+IF(Time!AH29=1,AH53,AH51)*AI11,0)</f>
        <v>8.39772530173299</v>
      </c>
      <c r="AI127" s="11" t="n">
        <f aca="false">IF(AND(Time!AI17&gt;=Time!$F$11,Time!AI17&lt;57),(IF(Time!AI29=1,AI53,AI51)-AI50)*AJ19+IF(Time!AI29=1,AI53,AI51)*AJ11,0)</f>
        <v>8.49569479475282</v>
      </c>
      <c r="AJ127" s="11" t="n">
        <f aca="false">IF(AND(Time!AJ17&gt;=Time!$F$11,Time!AJ17&lt;57),(IF(Time!AJ29=1,AJ53,AJ51)-AJ50)*AK19+IF(Time!AJ29=1,AJ53,AJ51)*AK11,0)</f>
        <v>8.41734037815519</v>
      </c>
      <c r="AK127" s="11" t="n">
        <f aca="false">IF(AND(Time!AK17&gt;=Time!$F$11,Time!AK17&lt;57),(IF(Time!AK29=1,AK53,AK51)-AK50)*AL19+IF(Time!AK29=1,AK53,AK51)*AL11,0)</f>
        <v>8.48985060455852</v>
      </c>
      <c r="AL127" s="11" t="n">
        <f aca="false">IF(AND(Time!AL17&gt;=Time!$F$11,Time!AL17&lt;57),(IF(Time!AL29=1,AL53,AL51)-AL50)*AM19+IF(Time!AL29=1,AL53,AL51)*AM11,0)</f>
        <v>8.5314367709467</v>
      </c>
      <c r="AM127" s="11" t="n">
        <f aca="false">IF(AND(Time!AM17&gt;=Time!$F$11,Time!AM17&lt;57),(IF(Time!AM29=1,AM53,AM51)-AM50)*AN19+IF(Time!AM29=1,AM53,AM51)*AN11,0)</f>
        <v>7.22755623592631</v>
      </c>
      <c r="AN127" s="11" t="n">
        <f aca="false">IF(AND(Time!AN17&gt;=Time!$F$11,Time!AN17&lt;57),(IF(Time!AN29=1,AN53,AN51)-AN50)*AO19+IF(Time!AN29=1,AN53,AN51)*AO11,0)</f>
        <v>6.65003285731626</v>
      </c>
      <c r="AO127" s="11" t="n">
        <f aca="false">IF(AND(Time!AO17&gt;=Time!$F$11,Time!AO17&lt;57),(IF(Time!AO29=1,AO53,AO51)-AO50)*AP19+IF(Time!AO29=1,AO53,AO51)*AP11,0)</f>
        <v>0</v>
      </c>
      <c r="AP127" s="11" t="n">
        <f aca="false">IF(AND(Time!AP17&gt;=Time!$F$11,Time!AP17&lt;57),(IF(Time!AP29=1,AP53,AP51)-AP50)*AQ19+IF(Time!AP29=1,AP53,AP51)*AQ11,0)</f>
        <v>0</v>
      </c>
      <c r="AQ127" s="11" t="n">
        <f aca="false">IF(AND(Time!AQ17&gt;=Time!$F$11,Time!AQ17&lt;57),(IF(Time!AQ29=1,AQ53,AQ51)-AQ50)*AR19+IF(Time!AQ29=1,AQ53,AQ51)*AR11,0)</f>
        <v>0</v>
      </c>
      <c r="AR127" s="11" t="n">
        <f aca="false">IF(AND(Time!AR17&gt;=Time!$F$11,Time!AR17&lt;57),(IF(Time!AR29=1,AR53,AR51)-AR50)*AS19+IF(Time!AR29=1,AR53,AR51)*AS11,0)</f>
        <v>0</v>
      </c>
      <c r="AS127" s="11" t="n">
        <f aca="false">IF(AND(Time!AS17&gt;=Time!$F$11,Time!AS17&lt;57),(IF(Time!AS29=1,AS53,AS51)-AS50)*AT19+IF(Time!AS29=1,AS53,AS51)*AT11,0)</f>
        <v>0</v>
      </c>
      <c r="AT127" s="11" t="n">
        <f aca="false">IF(AND(Time!AT17&gt;=Time!$F$11,Time!AT17&lt;57),(IF(Time!AT29=1,AT53,AT51)-AT50)*AU19+IF(Time!AT29=1,AT53,AT51)*AU11,0)</f>
        <v>0</v>
      </c>
      <c r="AU127" s="11" t="n">
        <f aca="false">IF(AND(Time!AU17&gt;=Time!$F$11,Time!AU17&lt;57),(IF(Time!AU29=1,AU53,AU51)-AU50)*AV19+IF(Time!AU29=1,AU53,AU51)*AV11,0)</f>
        <v>0</v>
      </c>
      <c r="AV127" s="11" t="n">
        <f aca="false">IF(AND(Time!AV17&gt;=Time!$F$11,Time!AV17&lt;57),(IF(Time!AV29=1,AV53,AV51)-AV50)*AW19+IF(Time!AV29=1,AV53,AV51)*AW11,0)</f>
        <v>0</v>
      </c>
      <c r="AW127" s="11" t="n">
        <f aca="false">IF(AND(Time!AW17&gt;=Time!$F$11,Time!AW17&lt;57),(IF(Time!AW29=1,AW53,AW51)-AW50)*AX19+IF(Time!AW29=1,AW53,AW51)*AX11,0)</f>
        <v>0</v>
      </c>
      <c r="AX127" s="11" t="n">
        <f aca="false">IF(AND(Time!AX17&gt;=Time!$F$11,Time!AX17&lt;57),(IF(Time!AX29=1,AX53,AX51)-AX50)*AY19+IF(Time!AX29=1,AX53,AX51)*AY11,0)</f>
        <v>0</v>
      </c>
      <c r="AY127" s="11" t="n">
        <f aca="false">IF(AND(Time!AY17&gt;=Time!$F$11,Time!AY17&lt;57),(IF(Time!AY29=1,AY53,AY51)-AY50)*AZ19+IF(Time!AY29=1,AY53,AY51)*AZ11,0)</f>
        <v>0</v>
      </c>
      <c r="AZ127" s="11" t="n">
        <f aca="false">IF(AND(Time!AZ17&gt;=Time!$F$11,Time!AZ17&lt;57),(IF(Time!AZ29=1,AZ53,AZ51)-AZ50)*BA19+IF(Time!AZ29=1,AZ53,AZ51)*BA11,0)</f>
        <v>0</v>
      </c>
      <c r="BA127" s="11" t="n">
        <f aca="false">IF(AND(Time!BA17&gt;=Time!$F$11,Time!BA17&lt;57),(IF(Time!BA29=1,BA53,BA51)-BA50)*BB19+IF(Time!BA29=1,BA53,BA51)*BB11,0)</f>
        <v>0</v>
      </c>
      <c r="BB127" s="11" t="n">
        <f aca="false">IF(AND(Time!BB17&gt;=Time!$F$11,Time!BB17&lt;57),(IF(Time!BB29=1,BB53,BB51)-BB50)*BC19+IF(Time!BB29=1,BB53,BB51)*BC11,0)</f>
        <v>0</v>
      </c>
      <c r="BC127" s="11" t="n">
        <f aca="false">IF(AND(Time!BC17&gt;=Time!$F$11,Time!BC17&lt;57),(IF(Time!BC29=1,BC53,BC51)-BC50)*BD19+IF(Time!BC29=1,BC53,BC51)*BD11,0)</f>
        <v>0</v>
      </c>
      <c r="BD127" s="11" t="n">
        <f aca="false">IF(AND(Time!BD17&gt;=Time!$F$11,Time!BD17&lt;57),(IF(Time!BD29=1,BD53,BD51)-BD50)*BE19+IF(Time!BD29=1,BD53,BD51)*BE11,0)</f>
        <v>0</v>
      </c>
      <c r="BE127" s="11" t="n">
        <f aca="false">IF(AND(Time!BE17&gt;=Time!$F$11,Time!BE17&lt;57),(IF(Time!BE29=1,BE53,BE51)-BE50)*BF19+IF(Time!BE29=1,BE53,BE51)*BF11,0)</f>
        <v>0</v>
      </c>
      <c r="BF127" s="11" t="n">
        <f aca="false">IF(AND(Time!BF17&gt;=Time!$F$11,Time!BF17&lt;57),(IF(Time!BF29=1,BF53,BF51)-BF50)*BG19+IF(Time!BF29=1,BF53,BF51)*BG11,0)</f>
        <v>0</v>
      </c>
      <c r="BG127" s="11" t="n">
        <f aca="false">IF(AND(Time!BG17&gt;=Time!$F$11,Time!BG17&lt;57),(IF(Time!BG29=1,BG53,BG51)-BG50)*BH19+IF(Time!BG29=1,BG53,BG51)*BH11,0)</f>
        <v>0</v>
      </c>
      <c r="BH127" s="11" t="n">
        <f aca="false">IF(AND(Time!BH17&gt;=Time!$F$11,Time!BH17&lt;57),(IF(Time!BH29=1,BH53,BH51)-BH50)*BI19+IF(Time!BH29=1,BH53,BH51)*BI11,0)</f>
        <v>0</v>
      </c>
      <c r="BI127" s="11" t="n">
        <f aca="false">IF(AND(Time!BI17&gt;=Time!$F$11,Time!BI17&lt;57),(IF(Time!BI29=1,BI53,BI51)-BI50)*BJ19+IF(Time!BI29=1,BI53,BI51)*BJ11,0)</f>
        <v>0</v>
      </c>
      <c r="BJ127" s="11" t="n">
        <f aca="false">IF(AND(Time!BJ17&gt;=Time!$F$11,Time!BJ17&lt;57),(IF(Time!BJ29=1,BJ53,BJ51)-BJ50)*BK19+IF(Time!BJ29=1,BJ53,BJ51)*BK11,0)</f>
        <v>0</v>
      </c>
      <c r="BK127" s="11" t="n">
        <f aca="false">IF(AND(Time!BK17&gt;=Time!$F$11,Time!BK17&lt;57),(IF(Time!BK29=1,BK53,BK51)-BK50)*BL19+IF(Time!BK29=1,BK53,BK51)*BL11,0)</f>
        <v>0</v>
      </c>
      <c r="BL127" s="11" t="n">
        <f aca="false">IF(AND(Time!BL17&gt;=Time!$F$11,Time!BL17&lt;57),(IF(Time!BL29=1,BL53,BL51)-BL50)*BM19+IF(Time!BL29=1,BL53,BL51)*BM11,0)</f>
        <v>0</v>
      </c>
      <c r="BM127" s="11" t="n">
        <f aca="false">IF(AND(Time!BM17&gt;=Time!$F$11,Time!BM17&lt;57),(IF(Time!BM29=1,BM53,BM51)-BM50)*BN19+IF(Time!BM29=1,BM53,BM51)*BN11,0)</f>
        <v>0</v>
      </c>
      <c r="BN127" s="11" t="n">
        <f aca="false">IF(AND(Time!BN17&gt;=Time!$F$11,Time!BN17&lt;57),(IF(Time!BN29=1,BN53,BN51)-BN50)*0+IF(Time!BN29=1,BN53,BN51)*0,0)</f>
        <v>0</v>
      </c>
    </row>
    <row r="128" customFormat="false" ht="15" hidden="false" customHeight="false" outlineLevel="0" collapsed="false">
      <c r="D128" s="0" t="s">
        <v>695</v>
      </c>
      <c r="E128" s="0" t="s">
        <v>149</v>
      </c>
      <c r="J128" s="11" t="n">
        <f aca="false">IF(AND(Time!J17&gt;=Time!$F$11,Time!J17&lt;57),(IF(Time!J29=1,J68,J66)-J65)*K19+IF(Time!J29=1,J68,J66)*K12,0)</f>
        <v>0</v>
      </c>
      <c r="K128" s="11" t="n">
        <f aca="false">IF(AND(Time!K17&gt;=Time!$F$11,Time!K17&lt;57),(IF(Time!K29=1,K68,K66)-K65)*L19+IF(Time!K29=1,K68,K66)*L12,0)</f>
        <v>0</v>
      </c>
      <c r="L128" s="11" t="n">
        <f aca="false">IF(AND(Time!L17&gt;=Time!$F$11,Time!L17&lt;57),(IF(Time!L29=1,L68,L66)-L65)*M19+IF(Time!L29=1,L68,L66)*M12,0)</f>
        <v>0</v>
      </c>
      <c r="M128" s="11" t="n">
        <f aca="false">IF(AND(Time!M17&gt;=Time!$F$11,Time!M17&lt;57),(IF(Time!M29=1,M68,M66)-M65)*N19+IF(Time!M29=1,M68,M66)*N12,0)</f>
        <v>0</v>
      </c>
      <c r="N128" s="11" t="n">
        <f aca="false">IF(AND(Time!N17&gt;=Time!$F$11,Time!N17&lt;57),(IF(Time!N29=1,N68,N66)-N65)*O19+IF(Time!N29=1,N68,N66)*O12,0)</f>
        <v>0</v>
      </c>
      <c r="O128" s="11" t="n">
        <f aca="false">IF(AND(Time!O17&gt;=Time!$F$11,Time!O17&lt;57),(IF(Time!O29=1,O68,O66)-O65)*P19+IF(Time!O29=1,O68,O66)*P12,0)</f>
        <v>0</v>
      </c>
      <c r="P128" s="11" t="n">
        <f aca="false">IF(AND(Time!P17&gt;=Time!$F$11,Time!P17&lt;57),(IF(Time!P29=1,P68,P66)-P65)*Q19+IF(Time!P29=1,P68,P66)*Q12,0)</f>
        <v>2.7763266720934</v>
      </c>
      <c r="Q128" s="11" t="n">
        <f aca="false">IF(AND(Time!Q17&gt;=Time!$F$11,Time!Q17&lt;57),(IF(Time!Q29=1,Q68,Q66)-Q65)*R19+IF(Time!Q29=1,Q68,Q66)*R12,0)</f>
        <v>3.57589859521418</v>
      </c>
      <c r="R128" s="11" t="n">
        <f aca="false">IF(AND(Time!R17&gt;=Time!$F$11,Time!R17&lt;57),(IF(Time!R29=1,R68,R66)-R65)*S19+IF(Time!R29=1,R68,R66)*S12,0)</f>
        <v>4.230061956474</v>
      </c>
      <c r="S128" s="11" t="n">
        <f aca="false">IF(AND(Time!S17&gt;=Time!$F$11,Time!S17&lt;57),(IF(Time!S29=1,S68,S66)-S65)*T19+IF(Time!S29=1,S68,S66)*T12,0)</f>
        <v>4.59305892878068</v>
      </c>
      <c r="T128" s="11" t="n">
        <f aca="false">IF(AND(Time!T17&gt;=Time!$F$11,Time!T17&lt;57),(IF(Time!T29=1,T68,T66)-T65)*U19+U22*MIN($F$60/4,T65)+IF(Time!T29=1,T68,T66)*U12,0)</f>
        <v>4.75982259774082</v>
      </c>
      <c r="U128" s="11" t="n">
        <f aca="false">IF(AND(Time!U17&gt;=Time!$F$11,Time!U17&lt;57),(IF(Time!U29=1,U68,U66)-U65)*V19+V22*MIN($F$60/4,U65)+IF(Time!U29=1,U68,U66)*V12,0)</f>
        <v>4.78709203204124</v>
      </c>
      <c r="V128" s="11" t="n">
        <f aca="false">IF(AND(Time!V17&gt;=Time!$F$11,Time!V17&lt;57),(IF(Time!V29=1,V68,V66)-V65)*W19+W22*MIN($F$60/4,V65)+IF(Time!V29=1,V68,V66)*W12,0)</f>
        <v>4.36896623496428</v>
      </c>
      <c r="W128" s="11" t="n">
        <f aca="false">IF(AND(Time!W17&gt;=Time!$F$11,Time!W17&lt;57),(IF(Time!W29=1,W68,W66)-W65)*X19+X22*MIN($F$60/4,W65)+IF(Time!W29=1,W68,W66)*X12,0)</f>
        <v>0</v>
      </c>
      <c r="X128" s="11" t="n">
        <f aca="false">IF(AND(Time!X17&gt;=Time!$F$11,Time!X17&lt;57),(IF(Time!X29=1,X68,X66)-X65)*Y19+IF(Time!X29=1,X68,X66)*Y12,0)</f>
        <v>0</v>
      </c>
      <c r="Y128" s="11" t="n">
        <f aca="false">IF(AND(Time!Y17&gt;=Time!$F$11,Time!Y17&lt;57),(IF(Time!Y29=1,Y68,Y66)-Y65)*Z19+IF(Time!Y29=1,Y68,Y66)*Z12,0)</f>
        <v>0</v>
      </c>
      <c r="Z128" s="11" t="n">
        <f aca="false">IF(AND(Time!Z17&gt;=Time!$F$11,Time!Z17&lt;57),(IF(Time!Z29=1,Z68,Z66)-Z65)*AA19+IF(Time!Z29=1,Z68,Z66)*AA12,0)</f>
        <v>0</v>
      </c>
      <c r="AA128" s="11" t="n">
        <f aca="false">IF(AND(Time!AA17&gt;=Time!$F$11,Time!AA17&lt;57),(IF(Time!AA29=1,AA68,AA66)-AA65)*AB19+IF(Time!AA29=1,AA68,AA66)*AB12,0)</f>
        <v>0</v>
      </c>
      <c r="AB128" s="11" t="n">
        <f aca="false">IF(AND(Time!AB17&gt;=Time!$F$11,Time!AB17&lt;57),(IF(Time!AB29=1,AB68,AB66)-AB65)*AC19+IF(Time!AB29=1,AB68,AB66)*AC12,0)</f>
        <v>0</v>
      </c>
      <c r="AC128" s="11" t="n">
        <f aca="false">IF(AND(Time!AC17&gt;=Time!$F$11,Time!AC17&lt;57),(IF(Time!AC29=1,AC68,AC66)-AC65)*AD19+IF(Time!AC29=1,AC68,AC66)*AD12,0)</f>
        <v>0</v>
      </c>
      <c r="AD128" s="11" t="n">
        <f aca="false">IF(AND(Time!AD17&gt;=Time!$F$11,Time!AD17&lt;57),(IF(Time!AD29=1,AD68,AD66)-AD65)*AE19+IF(Time!AD29=1,AD68,AD66)*AE12,0)</f>
        <v>0</v>
      </c>
      <c r="AE128" s="11" t="n">
        <f aca="false">IF(AND(Time!AE17&gt;=Time!$F$11,Time!AE17&lt;57),(IF(Time!AE29=1,AE68,AE66)-AE65)*AF19+IF(Time!AE29=1,AE68,AE66)*AF12,0)</f>
        <v>0</v>
      </c>
      <c r="AF128" s="11" t="n">
        <f aca="false">IF(AND(Time!AF17&gt;=Time!$F$11,Time!AF17&lt;57),(IF(Time!AF29=1,AF68,AF66)-AF65)*AG19+IF(Time!AF29=1,AF68,AF66)*AG12,0)</f>
        <v>0</v>
      </c>
      <c r="AG128" s="11" t="n">
        <f aca="false">IF(AND(Time!AG17&gt;=Time!$F$11,Time!AG17&lt;57),(IF(Time!AG29=1,AG68,AG66)-AG65)*AH19+IF(Time!AG29=1,AG68,AG66)*AH12,0)</f>
        <v>0</v>
      </c>
      <c r="AH128" s="11" t="n">
        <f aca="false">IF(AND(Time!AH17&gt;=Time!$F$11,Time!AH17&lt;57),(IF(Time!AH29=1,AH68,AH66)-AH65)*AI19+IF(Time!AH29=1,AH68,AH66)*AI12,0)</f>
        <v>0</v>
      </c>
      <c r="AI128" s="11" t="n">
        <f aca="false">IF(AND(Time!AI17&gt;=Time!$F$11,Time!AI17&lt;57),(IF(Time!AI29=1,AI68,AI66)-AI65)*AJ19+IF(Time!AI29=1,AI68,AI66)*AJ12,0)</f>
        <v>0</v>
      </c>
      <c r="AJ128" s="11" t="n">
        <f aca="false">IF(AND(Time!AJ17&gt;=Time!$F$11,Time!AJ17&lt;57),(IF(Time!AJ29=1,AJ68,AJ66)-AJ65)*AK19+IF(Time!AJ29=1,AJ68,AJ66)*AK12,0)</f>
        <v>0</v>
      </c>
      <c r="AK128" s="11" t="n">
        <f aca="false">IF(AND(Time!AK17&gt;=Time!$F$11,Time!AK17&lt;57),(IF(Time!AK29=1,AK68,AK66)-AK65)*AL19+IF(Time!AK29=1,AK68,AK66)*AL12,0)</f>
        <v>0</v>
      </c>
      <c r="AL128" s="11" t="n">
        <f aca="false">IF(AND(Time!AL17&gt;=Time!$F$11,Time!AL17&lt;57),(IF(Time!AL29=1,AL68,AL66)-AL65)*AM19+IF(Time!AL29=1,AL68,AL66)*AM12,0)</f>
        <v>0</v>
      </c>
      <c r="AM128" s="11" t="n">
        <f aca="false">IF(AND(Time!AM17&gt;=Time!$F$11,Time!AM17&lt;57),(IF(Time!AM29=1,AM68,AM66)-AM65)*AN19+IF(Time!AM29=1,AM68,AM66)*AN12,0)</f>
        <v>0</v>
      </c>
      <c r="AN128" s="11" t="n">
        <f aca="false">IF(AND(Time!AN17&gt;=Time!$F$11,Time!AN17&lt;57),(IF(Time!AN29=1,AN68,AN66)-AN65)*AO19+IF(Time!AN29=1,AN68,AN66)*AO12,0)</f>
        <v>0</v>
      </c>
      <c r="AO128" s="11" t="n">
        <f aca="false">IF(AND(Time!AO17&gt;=Time!$F$11,Time!AO17&lt;57),(IF(Time!AO29=1,AO68,AO66)-AO65)*AP19+IF(Time!AO29=1,AO68,AO66)*AP12,0)</f>
        <v>0</v>
      </c>
      <c r="AP128" s="11" t="n">
        <f aca="false">IF(AND(Time!AP17&gt;=Time!$F$11,Time!AP17&lt;57),(IF(Time!AP29=1,AP68,AP66)-AP65)*AQ19+IF(Time!AP29=1,AP68,AP66)*AQ12,0)</f>
        <v>0</v>
      </c>
      <c r="AQ128" s="11" t="n">
        <f aca="false">IF(AND(Time!AQ17&gt;=Time!$F$11,Time!AQ17&lt;57),(IF(Time!AQ29=1,AQ68,AQ66)-AQ65)*AR19+IF(Time!AQ29=1,AQ68,AQ66)*AR12,0)</f>
        <v>0</v>
      </c>
      <c r="AR128" s="11" t="n">
        <f aca="false">IF(AND(Time!AR17&gt;=Time!$F$11,Time!AR17&lt;57),(IF(Time!AR29=1,AR68,AR66)-AR65)*AS19+IF(Time!AR29=1,AR68,AR66)*AS12,0)</f>
        <v>0</v>
      </c>
      <c r="AS128" s="11" t="n">
        <f aca="false">IF(AND(Time!AS17&gt;=Time!$F$11,Time!AS17&lt;57),(IF(Time!AS29=1,AS68,AS66)-AS65)*AT19+IF(Time!AS29=1,AS68,AS66)*AT12,0)</f>
        <v>0</v>
      </c>
      <c r="AT128" s="11" t="n">
        <f aca="false">IF(AND(Time!AT17&gt;=Time!$F$11,Time!AT17&lt;57),(IF(Time!AT29=1,AT68,AT66)-AT65)*AU19+IF(Time!AT29=1,AT68,AT66)*AU12,0)</f>
        <v>0</v>
      </c>
      <c r="AU128" s="11" t="n">
        <f aca="false">IF(AND(Time!AU17&gt;=Time!$F$11,Time!AU17&lt;57),(IF(Time!AU29=1,AU68,AU66)-AU65)*AV19+IF(Time!AU29=1,AU68,AU66)*AV12,0)</f>
        <v>0</v>
      </c>
      <c r="AV128" s="11" t="n">
        <f aca="false">IF(AND(Time!AV17&gt;=Time!$F$11,Time!AV17&lt;57),(IF(Time!AV29=1,AV68,AV66)-AV65)*AW19+IF(Time!AV29=1,AV68,AV66)*AW12,0)</f>
        <v>0</v>
      </c>
      <c r="AW128" s="11" t="n">
        <f aca="false">IF(AND(Time!AW17&gt;=Time!$F$11,Time!AW17&lt;57),(IF(Time!AW29=1,AW68,AW66)-AW65)*AX19+IF(Time!AW29=1,AW68,AW66)*AX12,0)</f>
        <v>0</v>
      </c>
      <c r="AX128" s="11" t="n">
        <f aca="false">IF(AND(Time!AX17&gt;=Time!$F$11,Time!AX17&lt;57),(IF(Time!AX29=1,AX68,AX66)-AX65)*AY19+IF(Time!AX29=1,AX68,AX66)*AY12,0)</f>
        <v>0</v>
      </c>
      <c r="AY128" s="11" t="n">
        <f aca="false">IF(AND(Time!AY17&gt;=Time!$F$11,Time!AY17&lt;57),(IF(Time!AY29=1,AY68,AY66)-AY65)*AZ19+IF(Time!AY29=1,AY68,AY66)*AZ12,0)</f>
        <v>0</v>
      </c>
      <c r="AZ128" s="11" t="n">
        <f aca="false">IF(AND(Time!AZ17&gt;=Time!$F$11,Time!AZ17&lt;57),(IF(Time!AZ29=1,AZ68,AZ66)-AZ65)*BA19+IF(Time!AZ29=1,AZ68,AZ66)*BA12,0)</f>
        <v>0</v>
      </c>
      <c r="BA128" s="11" t="n">
        <f aca="false">IF(AND(Time!BA17&gt;=Time!$F$11,Time!BA17&lt;57),(IF(Time!BA29=1,BA68,BA66)-BA65)*BB19+IF(Time!BA29=1,BA68,BA66)*BB12,0)</f>
        <v>0</v>
      </c>
      <c r="BB128" s="11" t="n">
        <f aca="false">IF(AND(Time!BB17&gt;=Time!$F$11,Time!BB17&lt;57),(IF(Time!BB29=1,BB68,BB66)-BB65)*BC19+IF(Time!BB29=1,BB68,BB66)*BC12,0)</f>
        <v>0</v>
      </c>
      <c r="BC128" s="11" t="n">
        <f aca="false">IF(AND(Time!BC17&gt;=Time!$F$11,Time!BC17&lt;57),(IF(Time!BC29=1,BC68,BC66)-BC65)*BD19+IF(Time!BC29=1,BC68,BC66)*BD12,0)</f>
        <v>0</v>
      </c>
      <c r="BD128" s="11" t="n">
        <f aca="false">IF(AND(Time!BD17&gt;=Time!$F$11,Time!BD17&lt;57),(IF(Time!BD29=1,BD68,BD66)-BD65)*BE19+IF(Time!BD29=1,BD68,BD66)*BE12,0)</f>
        <v>0</v>
      </c>
      <c r="BE128" s="11" t="n">
        <f aca="false">IF(AND(Time!BE17&gt;=Time!$F$11,Time!BE17&lt;57),(IF(Time!BE29=1,BE68,BE66)-BE65)*BF19+IF(Time!BE29=1,BE68,BE66)*BF12,0)</f>
        <v>0</v>
      </c>
      <c r="BF128" s="11" t="n">
        <f aca="false">IF(AND(Time!BF17&gt;=Time!$F$11,Time!BF17&lt;57),(IF(Time!BF29=1,BF68,BF66)-BF65)*BG19+IF(Time!BF29=1,BF68,BF66)*BG12,0)</f>
        <v>0</v>
      </c>
      <c r="BG128" s="11" t="n">
        <f aca="false">IF(AND(Time!BG17&gt;=Time!$F$11,Time!BG17&lt;57),(IF(Time!BG29=1,BG68,BG66)-BG65)*BH19+IF(Time!BG29=1,BG68,BG66)*BH12,0)</f>
        <v>0</v>
      </c>
      <c r="BH128" s="11" t="n">
        <f aca="false">IF(AND(Time!BH17&gt;=Time!$F$11,Time!BH17&lt;57),(IF(Time!BH29=1,BH68,BH66)-BH65)*BI19+IF(Time!BH29=1,BH68,BH66)*BI12,0)</f>
        <v>0</v>
      </c>
      <c r="BI128" s="11" t="n">
        <f aca="false">IF(AND(Time!BI17&gt;=Time!$F$11,Time!BI17&lt;57),(IF(Time!BI29=1,BI68,BI66)-BI65)*BJ19+IF(Time!BI29=1,BI68,BI66)*BJ12,0)</f>
        <v>0</v>
      </c>
      <c r="BJ128" s="11" t="n">
        <f aca="false">IF(AND(Time!BJ17&gt;=Time!$F$11,Time!BJ17&lt;57),(IF(Time!BJ29=1,BJ68,BJ66)-BJ65)*BK19+IF(Time!BJ29=1,BJ68,BJ66)*BK12,0)</f>
        <v>0</v>
      </c>
      <c r="BK128" s="11" t="n">
        <f aca="false">IF(AND(Time!BK17&gt;=Time!$F$11,Time!BK17&lt;57),(IF(Time!BK29=1,BK68,BK66)-BK65)*BL19+IF(Time!BK29=1,BK68,BK66)*BL12,0)</f>
        <v>0</v>
      </c>
      <c r="BL128" s="11" t="n">
        <f aca="false">IF(AND(Time!BL17&gt;=Time!$F$11,Time!BL17&lt;57),(IF(Time!BL29=1,BL68,BL66)-BL65)*BM19+IF(Time!BL29=1,BL68,BL66)*BM12,0)</f>
        <v>0</v>
      </c>
      <c r="BM128" s="11" t="n">
        <f aca="false">IF(AND(Time!BM17&gt;=Time!$F$11,Time!BM17&lt;57),(IF(Time!BM29=1,BM68,BM66)-BM65)*BN19+IF(Time!BM29=1,BM68,BM66)*BN12,0)</f>
        <v>0</v>
      </c>
      <c r="BN128" s="11" t="n">
        <f aca="false">IF(AND(Time!BN17&gt;=Time!$F$11,Time!BN17&lt;57),(IF(Time!BN29=1,BN68,BN66)-BN65)*0+IF(Time!BN29=1,BN68,BN66)*0,0)</f>
        <v>0</v>
      </c>
    </row>
    <row r="129" customFormat="false" ht="15" hidden="false" customHeight="false" outlineLevel="0" collapsed="false">
      <c r="D129" s="0" t="s">
        <v>696</v>
      </c>
      <c r="E129" s="0" t="s">
        <v>149</v>
      </c>
      <c r="J129" s="11" t="n">
        <f aca="false">IF(AND(Time!J17&gt;=Time!$F$11,Time!J17&lt;57),(IF(Time!J29=1,J83,J81)-J80)*K19+IF(Time!J29=1,J83,J81)*K13,0)</f>
        <v>0</v>
      </c>
      <c r="K129" s="11" t="n">
        <f aca="false">IF(AND(Time!K17&gt;=Time!$F$11,Time!K17&lt;57),(IF(Time!K29=1,K83,K81)-K80)*L19+IF(Time!K29=1,K83,K81)*L13,0)</f>
        <v>0</v>
      </c>
      <c r="L129" s="11" t="n">
        <f aca="false">IF(AND(Time!L17&gt;=Time!$F$11,Time!L17&lt;57),(IF(Time!L29=1,L83,L81)-L80)*M19+IF(Time!L29=1,L83,L81)*M13,0)</f>
        <v>0</v>
      </c>
      <c r="M129" s="11" t="n">
        <f aca="false">IF(AND(Time!M17&gt;=Time!$F$11,Time!M17&lt;57),(IF(Time!M29=1,M83,M81)-M80)*N19+IF(Time!M29=1,M83,M81)*N13,0)</f>
        <v>0</v>
      </c>
      <c r="N129" s="11" t="n">
        <f aca="false">IF(AND(Time!N17&gt;=Time!$F$11,Time!N17&lt;57),(IF(Time!N29=1,N83,N81)-N80)*O19+IF(Time!N29=1,N83,N81)*O13,0)</f>
        <v>0</v>
      </c>
      <c r="O129" s="11" t="n">
        <f aca="false">IF(AND(Time!O17&gt;=Time!$F$11,Time!O17&lt;57),(IF(Time!O29=1,O83,O81)-O80)*P19+IF(Time!O29=1,O83,O81)*P13,0)</f>
        <v>0</v>
      </c>
      <c r="P129" s="11" t="n">
        <f aca="false">IF(AND(Time!P17&gt;=Time!$F$11,Time!P17&lt;57),(IF(Time!P29=1,P83,P81)-P80)*Q19+IF(Time!P29=1,P83,P81)*Q13,0)</f>
        <v>11.9793656168165</v>
      </c>
      <c r="Q129" s="11" t="n">
        <f aca="false">IF(AND(Time!Q17&gt;=Time!$F$11,Time!Q17&lt;57),(IF(Time!Q29=1,Q83,Q81)-Q80)*R19+IF(Time!Q29=1,Q83,Q81)*R13,0)</f>
        <v>15.2939803435941</v>
      </c>
      <c r="R129" s="11" t="n">
        <f aca="false">IF(AND(Time!R17&gt;=Time!$F$11,Time!R17&lt;57),(IF(Time!R29=1,R83,R81)-R80)*S19+IF(Time!R29=1,R83,R81)*S13,0)</f>
        <v>17.9921776968843</v>
      </c>
      <c r="S129" s="11" t="n">
        <f aca="false">IF(AND(Time!S17&gt;=Time!$F$11,Time!S17&lt;57),(IF(Time!S29=1,S83,S81)-S80)*T19+IF(Time!S29=1,S83,S81)*T13,0)</f>
        <v>19.4791569172168</v>
      </c>
      <c r="T129" s="11" t="n">
        <f aca="false">IF(AND(Time!T17&gt;=Time!$F$11,Time!T17&lt;57),(IF(Time!T29=1,T83,T81)-T80)*U19+U22*MIN($F$75/4,T80)+IF(Time!T29=1,T83,T81)*U13,0)</f>
        <v>20.0286008492059</v>
      </c>
      <c r="U129" s="11" t="n">
        <f aca="false">IF(AND(Time!U17&gt;=Time!$F$11,Time!U17&lt;57),(IF(Time!U29=1,U83,U81)-U80)*V19+V22*MIN($F$75/4,U80)+IF(Time!U29=1,U83,U81)*V13,0)</f>
        <v>20.0852043506652</v>
      </c>
      <c r="V129" s="11" t="n">
        <f aca="false">IF(AND(Time!V17&gt;=Time!$F$11,Time!V17&lt;57),(IF(Time!V29=1,V83,V81)-V80)*W19+W22*MIN($F$75/4,V80)+IF(Time!V29=1,V83,V81)*W13,0)</f>
        <v>18.2295464172392</v>
      </c>
      <c r="W129" s="11" t="n">
        <f aca="false">IF(AND(Time!W17&gt;=Time!$F$11,Time!W17&lt;57),(IF(Time!W29=1,W83,W81)-W80)*X19+X22*MIN($F$75/4,W80)+IF(Time!W29=1,W83,W81)*X13,0)</f>
        <v>0</v>
      </c>
      <c r="X129" s="11" t="n">
        <f aca="false">IF(AND(Time!X17&gt;=Time!$F$11,Time!X17&lt;57),(IF(Time!X29=1,X83,X81)-X80)*Y19+IF(Time!X29=1,X83,X81)*Y13,0)</f>
        <v>0</v>
      </c>
      <c r="Y129" s="11" t="n">
        <f aca="false">IF(AND(Time!Y17&gt;=Time!$F$11,Time!Y17&lt;57),(IF(Time!Y29=1,Y83,Y81)-Y80)*Z19+IF(Time!Y29=1,Y83,Y81)*Z13,0)</f>
        <v>0</v>
      </c>
      <c r="Z129" s="11" t="n">
        <f aca="false">IF(AND(Time!Z17&gt;=Time!$F$11,Time!Z17&lt;57),(IF(Time!Z29=1,Z83,Z81)-Z80)*AA19+IF(Time!Z29=1,Z83,Z81)*AA13,0)</f>
        <v>0</v>
      </c>
      <c r="AA129" s="11" t="n">
        <f aca="false">IF(AND(Time!AA17&gt;=Time!$F$11,Time!AA17&lt;57),(IF(Time!AA29=1,AA83,AA81)-AA80)*AB19+IF(Time!AA29=1,AA83,AA81)*AB13,0)</f>
        <v>0</v>
      </c>
      <c r="AB129" s="11" t="n">
        <f aca="false">IF(AND(Time!AB17&gt;=Time!$F$11,Time!AB17&lt;57),(IF(Time!AB29=1,AB83,AB81)-AB80)*AC19+IF(Time!AB29=1,AB83,AB81)*AC13,0)</f>
        <v>0</v>
      </c>
      <c r="AC129" s="11" t="n">
        <f aca="false">IF(AND(Time!AC17&gt;=Time!$F$11,Time!AC17&lt;57),(IF(Time!AC29=1,AC83,AC81)-AC80)*AD19+IF(Time!AC29=1,AC83,AC81)*AD13,0)</f>
        <v>0</v>
      </c>
      <c r="AD129" s="11" t="n">
        <f aca="false">IF(AND(Time!AD17&gt;=Time!$F$11,Time!AD17&lt;57),(IF(Time!AD29=1,AD83,AD81)-AD80)*AE19+IF(Time!AD29=1,AD83,AD81)*AE13,0)</f>
        <v>0</v>
      </c>
      <c r="AE129" s="11" t="n">
        <f aca="false">IF(AND(Time!AE17&gt;=Time!$F$11,Time!AE17&lt;57),(IF(Time!AE29=1,AE83,AE81)-AE80)*AF19+IF(Time!AE29=1,AE83,AE81)*AF13,0)</f>
        <v>0</v>
      </c>
      <c r="AF129" s="11" t="n">
        <f aca="false">IF(AND(Time!AF17&gt;=Time!$F$11,Time!AF17&lt;57),(IF(Time!AF29=1,AF83,AF81)-AF80)*AG19+IF(Time!AF29=1,AF83,AF81)*AG13,0)</f>
        <v>0</v>
      </c>
      <c r="AG129" s="11" t="n">
        <f aca="false">IF(AND(Time!AG17&gt;=Time!$F$11,Time!AG17&lt;57),(IF(Time!AG29=1,AG83,AG81)-AG80)*AH19+IF(Time!AG29=1,AG83,AG81)*AH13,0)</f>
        <v>0</v>
      </c>
      <c r="AH129" s="11" t="n">
        <f aca="false">IF(AND(Time!AH17&gt;=Time!$F$11,Time!AH17&lt;57),(IF(Time!AH29=1,AH83,AH81)-AH80)*AI19+IF(Time!AH29=1,AH83,AH81)*AI13,0)</f>
        <v>0</v>
      </c>
      <c r="AI129" s="11" t="n">
        <f aca="false">IF(AND(Time!AI17&gt;=Time!$F$11,Time!AI17&lt;57),(IF(Time!AI29=1,AI83,AI81)-AI80)*AJ19+IF(Time!AI29=1,AI83,AI81)*AJ13,0)</f>
        <v>0</v>
      </c>
      <c r="AJ129" s="11" t="n">
        <f aca="false">IF(AND(Time!AJ17&gt;=Time!$F$11,Time!AJ17&lt;57),(IF(Time!AJ29=1,AJ83,AJ81)-AJ80)*AK19+IF(Time!AJ29=1,AJ83,AJ81)*AK13,0)</f>
        <v>0</v>
      </c>
      <c r="AK129" s="11" t="n">
        <f aca="false">IF(AND(Time!AK17&gt;=Time!$F$11,Time!AK17&lt;57),(IF(Time!AK29=1,AK83,AK81)-AK80)*AL19+IF(Time!AK29=1,AK83,AK81)*AL13,0)</f>
        <v>0</v>
      </c>
      <c r="AL129" s="11" t="n">
        <f aca="false">IF(AND(Time!AL17&gt;=Time!$F$11,Time!AL17&lt;57),(IF(Time!AL29=1,AL83,AL81)-AL80)*AM19+IF(Time!AL29=1,AL83,AL81)*AM13,0)</f>
        <v>0</v>
      </c>
      <c r="AM129" s="11" t="n">
        <f aca="false">IF(AND(Time!AM17&gt;=Time!$F$11,Time!AM17&lt;57),(IF(Time!AM29=1,AM83,AM81)-AM80)*AN19+IF(Time!AM29=1,AM83,AM81)*AN13,0)</f>
        <v>0</v>
      </c>
      <c r="AN129" s="11" t="n">
        <f aca="false">IF(AND(Time!AN17&gt;=Time!$F$11,Time!AN17&lt;57),(IF(Time!AN29=1,AN83,AN81)-AN80)*AO19+IF(Time!AN29=1,AN83,AN81)*AO13,0)</f>
        <v>0</v>
      </c>
      <c r="AO129" s="11" t="n">
        <f aca="false">IF(AND(Time!AO17&gt;=Time!$F$11,Time!AO17&lt;57),(IF(Time!AO29=1,AO83,AO81)-AO80)*AP19+IF(Time!AO29=1,AO83,AO81)*AP13,0)</f>
        <v>0</v>
      </c>
      <c r="AP129" s="11" t="n">
        <f aca="false">IF(AND(Time!AP17&gt;=Time!$F$11,Time!AP17&lt;57),(IF(Time!AP29=1,AP83,AP81)-AP80)*AQ19+IF(Time!AP29=1,AP83,AP81)*AQ13,0)</f>
        <v>0</v>
      </c>
      <c r="AQ129" s="11" t="n">
        <f aca="false">IF(AND(Time!AQ17&gt;=Time!$F$11,Time!AQ17&lt;57),(IF(Time!AQ29=1,AQ83,AQ81)-AQ80)*AR19+IF(Time!AQ29=1,AQ83,AQ81)*AR13,0)</f>
        <v>0</v>
      </c>
      <c r="AR129" s="11" t="n">
        <f aca="false">IF(AND(Time!AR17&gt;=Time!$F$11,Time!AR17&lt;57),(IF(Time!AR29=1,AR83,AR81)-AR80)*AS19+IF(Time!AR29=1,AR83,AR81)*AS13,0)</f>
        <v>0</v>
      </c>
      <c r="AS129" s="11" t="n">
        <f aca="false">IF(AND(Time!AS17&gt;=Time!$F$11,Time!AS17&lt;57),(IF(Time!AS29=1,AS83,AS81)-AS80)*AT19+IF(Time!AS29=1,AS83,AS81)*AT13,0)</f>
        <v>0</v>
      </c>
      <c r="AT129" s="11" t="n">
        <f aca="false">IF(AND(Time!AT17&gt;=Time!$F$11,Time!AT17&lt;57),(IF(Time!AT29=1,AT83,AT81)-AT80)*AU19+IF(Time!AT29=1,AT83,AT81)*AU13,0)</f>
        <v>0</v>
      </c>
      <c r="AU129" s="11" t="n">
        <f aca="false">IF(AND(Time!AU17&gt;=Time!$F$11,Time!AU17&lt;57),(IF(Time!AU29=1,AU83,AU81)-AU80)*AV19+IF(Time!AU29=1,AU83,AU81)*AV13,0)</f>
        <v>0</v>
      </c>
      <c r="AV129" s="11" t="n">
        <f aca="false">IF(AND(Time!AV17&gt;=Time!$F$11,Time!AV17&lt;57),(IF(Time!AV29=1,AV83,AV81)-AV80)*AW19+IF(Time!AV29=1,AV83,AV81)*AW13,0)</f>
        <v>0</v>
      </c>
      <c r="AW129" s="11" t="n">
        <f aca="false">IF(AND(Time!AW17&gt;=Time!$F$11,Time!AW17&lt;57),(IF(Time!AW29=1,AW83,AW81)-AW80)*AX19+IF(Time!AW29=1,AW83,AW81)*AX13,0)</f>
        <v>0</v>
      </c>
      <c r="AX129" s="11" t="n">
        <f aca="false">IF(AND(Time!AX17&gt;=Time!$F$11,Time!AX17&lt;57),(IF(Time!AX29=1,AX83,AX81)-AX80)*AY19+IF(Time!AX29=1,AX83,AX81)*AY13,0)</f>
        <v>0</v>
      </c>
      <c r="AY129" s="11" t="n">
        <f aca="false">IF(AND(Time!AY17&gt;=Time!$F$11,Time!AY17&lt;57),(IF(Time!AY29=1,AY83,AY81)-AY80)*AZ19+IF(Time!AY29=1,AY83,AY81)*AZ13,0)</f>
        <v>0</v>
      </c>
      <c r="AZ129" s="11" t="n">
        <f aca="false">IF(AND(Time!AZ17&gt;=Time!$F$11,Time!AZ17&lt;57),(IF(Time!AZ29=1,AZ83,AZ81)-AZ80)*BA19+IF(Time!AZ29=1,AZ83,AZ81)*BA13,0)</f>
        <v>0</v>
      </c>
      <c r="BA129" s="11" t="n">
        <f aca="false">IF(AND(Time!BA17&gt;=Time!$F$11,Time!BA17&lt;57),(IF(Time!BA29=1,BA83,BA81)-BA80)*BB19+IF(Time!BA29=1,BA83,BA81)*BB13,0)</f>
        <v>0</v>
      </c>
      <c r="BB129" s="11" t="n">
        <f aca="false">IF(AND(Time!BB17&gt;=Time!$F$11,Time!BB17&lt;57),(IF(Time!BB29=1,BB83,BB81)-BB80)*BC19+IF(Time!BB29=1,BB83,BB81)*BC13,0)</f>
        <v>0</v>
      </c>
      <c r="BC129" s="11" t="n">
        <f aca="false">IF(AND(Time!BC17&gt;=Time!$F$11,Time!BC17&lt;57),(IF(Time!BC29=1,BC83,BC81)-BC80)*BD19+IF(Time!BC29=1,BC83,BC81)*BD13,0)</f>
        <v>0</v>
      </c>
      <c r="BD129" s="11" t="n">
        <f aca="false">IF(AND(Time!BD17&gt;=Time!$F$11,Time!BD17&lt;57),(IF(Time!BD29=1,BD83,BD81)-BD80)*BE19+IF(Time!BD29=1,BD83,BD81)*BE13,0)</f>
        <v>0</v>
      </c>
      <c r="BE129" s="11" t="n">
        <f aca="false">IF(AND(Time!BE17&gt;=Time!$F$11,Time!BE17&lt;57),(IF(Time!BE29=1,BE83,BE81)-BE80)*BF19+IF(Time!BE29=1,BE83,BE81)*BF13,0)</f>
        <v>0</v>
      </c>
      <c r="BF129" s="11" t="n">
        <f aca="false">IF(AND(Time!BF17&gt;=Time!$F$11,Time!BF17&lt;57),(IF(Time!BF29=1,BF83,BF81)-BF80)*BG19+IF(Time!BF29=1,BF83,BF81)*BG13,0)</f>
        <v>0</v>
      </c>
      <c r="BG129" s="11" t="n">
        <f aca="false">IF(AND(Time!BG17&gt;=Time!$F$11,Time!BG17&lt;57),(IF(Time!BG29=1,BG83,BG81)-BG80)*BH19+IF(Time!BG29=1,BG83,BG81)*BH13,0)</f>
        <v>0</v>
      </c>
      <c r="BH129" s="11" t="n">
        <f aca="false">IF(AND(Time!BH17&gt;=Time!$F$11,Time!BH17&lt;57),(IF(Time!BH29=1,BH83,BH81)-BH80)*BI19+IF(Time!BH29=1,BH83,BH81)*BI13,0)</f>
        <v>0</v>
      </c>
      <c r="BI129" s="11" t="n">
        <f aca="false">IF(AND(Time!BI17&gt;=Time!$F$11,Time!BI17&lt;57),(IF(Time!BI29=1,BI83,BI81)-BI80)*BJ19+IF(Time!BI29=1,BI83,BI81)*BJ13,0)</f>
        <v>0</v>
      </c>
      <c r="BJ129" s="11" t="n">
        <f aca="false">IF(AND(Time!BJ17&gt;=Time!$F$11,Time!BJ17&lt;57),(IF(Time!BJ29=1,BJ83,BJ81)-BJ80)*BK19+IF(Time!BJ29=1,BJ83,BJ81)*BK13,0)</f>
        <v>0</v>
      </c>
      <c r="BK129" s="11" t="n">
        <f aca="false">IF(AND(Time!BK17&gt;=Time!$F$11,Time!BK17&lt;57),(IF(Time!BK29=1,BK83,BK81)-BK80)*BL19+IF(Time!BK29=1,BK83,BK81)*BL13,0)</f>
        <v>0</v>
      </c>
      <c r="BL129" s="11" t="n">
        <f aca="false">IF(AND(Time!BL17&gt;=Time!$F$11,Time!BL17&lt;57),(IF(Time!BL29=1,BL83,BL81)-BL80)*BM19+IF(Time!BL29=1,BL83,BL81)*BM13,0)</f>
        <v>0</v>
      </c>
      <c r="BM129" s="11" t="n">
        <f aca="false">IF(AND(Time!BM17&gt;=Time!$F$11,Time!BM17&lt;57),(IF(Time!BM29=1,BM83,BM81)-BM80)*BN19+IF(Time!BM29=1,BM83,BM81)*BN13,0)</f>
        <v>0</v>
      </c>
      <c r="BN129" s="11" t="n">
        <f aca="false">IF(AND(Time!BN17&gt;=Time!$F$11,Time!BN17&lt;57),(IF(Time!BN29=1,BN83,BN81)-BN80)*0+IF(Time!BN29=1,BN83,BN81)*0,0)</f>
        <v>0</v>
      </c>
    </row>
    <row r="130" customFormat="false" ht="15" hidden="false" customHeight="false" outlineLevel="0" collapsed="false">
      <c r="D130" s="0" t="s">
        <v>697</v>
      </c>
      <c r="E130" s="0" t="s">
        <v>149</v>
      </c>
      <c r="J130" s="11" t="n">
        <f aca="false">IF(AND(Time!J17&gt;=Time!$F$11,Time!J17&lt;57),(IF(Time!J29=1,J98,J96)-J95)*K19+IF(Time!J29=1,J98,J96)*K14,0)</f>
        <v>0</v>
      </c>
      <c r="K130" s="11" t="n">
        <f aca="false">IF(AND(Time!K17&gt;=Time!$F$11,Time!K17&lt;57),(IF(Time!K29=1,K98,K96)-K95)*L19+IF(Time!K29=1,K98,K96)*L14,0)</f>
        <v>0</v>
      </c>
      <c r="L130" s="11" t="n">
        <f aca="false">IF(AND(Time!L17&gt;=Time!$F$11,Time!L17&lt;57),(IF(Time!L29=1,L98,L96)-L95)*M19+IF(Time!L29=1,L98,L96)*M14,0)</f>
        <v>0</v>
      </c>
      <c r="M130" s="11" t="n">
        <f aca="false">IF(AND(Time!M17&gt;=Time!$F$11,Time!M17&lt;57),(IF(Time!M29=1,M98,M96)-M95)*N19+IF(Time!M29=1,M98,M96)*N14,0)</f>
        <v>0</v>
      </c>
      <c r="N130" s="11" t="n">
        <f aca="false">IF(AND(Time!N17&gt;=Time!$F$11,Time!N17&lt;57),(IF(Time!N29=1,N98,N96)-N95)*O19+IF(Time!N29=1,N98,N96)*O14,0)</f>
        <v>0</v>
      </c>
      <c r="O130" s="11" t="n">
        <f aca="false">IF(AND(Time!O17&gt;=Time!$F$11,Time!O17&lt;57),(IF(Time!O29=1,O98,O96)-O95)*P19+IF(Time!O29=1,O98,O96)*P14,0)</f>
        <v>0</v>
      </c>
      <c r="P130" s="11" t="n">
        <f aca="false">IF(AND(Time!P17&gt;=Time!$F$11,Time!P17&lt;57),(IF(Time!P29=1,P98,P96)-P95)*Q19+IF(Time!P29=1,P98,P96)*Q14,0)</f>
        <v>0</v>
      </c>
      <c r="Q130" s="11" t="n">
        <f aca="false">IF(AND(Time!Q17&gt;=Time!$F$11,Time!Q17&lt;57),(IF(Time!Q29=1,Q98,Q96)-Q95)*R19+IF(Time!Q29=1,Q98,Q96)*R14,0)</f>
        <v>0</v>
      </c>
      <c r="R130" s="11" t="n">
        <f aca="false">IF(AND(Time!R17&gt;=Time!$F$11,Time!R17&lt;57),(IF(Time!R29=1,R98,R96)-R95)*S19+IF(Time!R29=1,R98,R96)*S14,0)</f>
        <v>0</v>
      </c>
      <c r="S130" s="11" t="n">
        <f aca="false">IF(AND(Time!S17&gt;=Time!$F$11,Time!S17&lt;57),(IF(Time!S29=1,S98,S96)-S95)*T19+IF(Time!S29=1,S98,S96)*T14,0)</f>
        <v>0</v>
      </c>
      <c r="T130" s="11" t="n">
        <f aca="false">IF(AND(Time!T17&gt;=Time!$F$11,Time!T17&lt;57),(IF(Time!T29=1,T98,T96)-T95)*U19+U22*MIN($F$90/4,T95)+IF(Time!T29=1,T98,T96)*U14,0)</f>
        <v>0</v>
      </c>
      <c r="U130" s="11" t="n">
        <f aca="false">IF(AND(Time!U17&gt;=Time!$F$11,Time!U17&lt;57),(IF(Time!U29=1,U98,U96)-U95)*V19+V22*MIN($F$90/4,U95)+IF(Time!U29=1,U98,U96)*V14,0)</f>
        <v>0</v>
      </c>
      <c r="V130" s="11" t="n">
        <f aca="false">IF(AND(Time!V17&gt;=Time!$F$11,Time!V17&lt;57),(IF(Time!V29=1,V98,V96)-V95)*W19+W22*MIN($F$90/4,V95)+IF(Time!V29=1,V98,V96)*W14,0)</f>
        <v>0</v>
      </c>
      <c r="W130" s="11" t="n">
        <f aca="false">IF(AND(Time!W17&gt;=Time!$F$11,Time!W17&lt;57),(IF(Time!W29=1,W98,W96)-W95)*X19+X22*MIN($F$90/4,W95)+IF(Time!W29=1,W98,W96)*X14,0)</f>
        <v>0</v>
      </c>
      <c r="X130" s="11" t="n">
        <f aca="false">IF(AND(Time!X17&gt;=Time!$F$11,Time!X17&lt;57),(IF(Time!X29=1,X98,X96)-X95)*Y19+IF(Time!X29=1,X98,X96)*Y14,0)</f>
        <v>0</v>
      </c>
      <c r="Y130" s="11" t="n">
        <f aca="false">IF(AND(Time!Y17&gt;=Time!$F$11,Time!Y17&lt;57),(IF(Time!Y29=1,Y98,Y96)-Y95)*Z19+IF(Time!Y29=1,Y98,Y96)*Z14,0)</f>
        <v>0</v>
      </c>
      <c r="Z130" s="11" t="n">
        <f aca="false">IF(AND(Time!Z17&gt;=Time!$F$11,Time!Z17&lt;57),(IF(Time!Z29=1,Z98,Z96)-Z95)*AA19+IF(Time!Z29=1,Z98,Z96)*AA14,0)</f>
        <v>0</v>
      </c>
      <c r="AA130" s="11" t="n">
        <f aca="false">IF(AND(Time!AA17&gt;=Time!$F$11,Time!AA17&lt;57),(IF(Time!AA29=1,AA98,AA96)-AA95)*AB19+IF(Time!AA29=1,AA98,AA96)*AB14,0)</f>
        <v>0</v>
      </c>
      <c r="AB130" s="11" t="n">
        <f aca="false">IF(AND(Time!AB17&gt;=Time!$F$11,Time!AB17&lt;57),(IF(Time!AB29=1,AB98,AB96)-AB95)*AC19+IF(Time!AB29=1,AB98,AB96)*AC14,0)</f>
        <v>0</v>
      </c>
      <c r="AC130" s="11" t="n">
        <f aca="false">IF(AND(Time!AC17&gt;=Time!$F$11,Time!AC17&lt;57),(IF(Time!AC29=1,AC98,AC96)-AC95)*AD19+IF(Time!AC29=1,AC98,AC96)*AD14,0)</f>
        <v>0</v>
      </c>
      <c r="AD130" s="11" t="n">
        <f aca="false">IF(AND(Time!AD17&gt;=Time!$F$11,Time!AD17&lt;57),(IF(Time!AD29=1,AD98,AD96)-AD95)*AE19+IF(Time!AD29=1,AD98,AD96)*AE14,0)</f>
        <v>0</v>
      </c>
      <c r="AE130" s="11" t="n">
        <f aca="false">IF(AND(Time!AE17&gt;=Time!$F$11,Time!AE17&lt;57),(IF(Time!AE29=1,AE98,AE96)-AE95)*AF19+IF(Time!AE29=1,AE98,AE96)*AF14,0)</f>
        <v>0</v>
      </c>
      <c r="AF130" s="11" t="n">
        <f aca="false">IF(AND(Time!AF17&gt;=Time!$F$11,Time!AF17&lt;57),(IF(Time!AF29=1,AF98,AF96)-AF95)*AG19+IF(Time!AF29=1,AF98,AF96)*AG14,0)</f>
        <v>0</v>
      </c>
      <c r="AG130" s="11" t="n">
        <f aca="false">IF(AND(Time!AG17&gt;=Time!$F$11,Time!AG17&lt;57),(IF(Time!AG29=1,AG98,AG96)-AG95)*AH19+IF(Time!AG29=1,AG98,AG96)*AH14,0)</f>
        <v>0</v>
      </c>
      <c r="AH130" s="11" t="n">
        <f aca="false">IF(AND(Time!AH17&gt;=Time!$F$11,Time!AH17&lt;57),(IF(Time!AH29=1,AH98,AH96)-AH95)*AI19+IF(Time!AH29=1,AH98,AH96)*AI14,0)</f>
        <v>0</v>
      </c>
      <c r="AI130" s="11" t="n">
        <f aca="false">IF(AND(Time!AI17&gt;=Time!$F$11,Time!AI17&lt;57),(IF(Time!AI29=1,AI98,AI96)-AI95)*AJ19+IF(Time!AI29=1,AI98,AI96)*AJ14,0)</f>
        <v>0</v>
      </c>
      <c r="AJ130" s="11" t="n">
        <f aca="false">IF(AND(Time!AJ17&gt;=Time!$F$11,Time!AJ17&lt;57),(IF(Time!AJ29=1,AJ98,AJ96)-AJ95)*AK19+IF(Time!AJ29=1,AJ98,AJ96)*AK14,0)</f>
        <v>0</v>
      </c>
      <c r="AK130" s="11" t="n">
        <f aca="false">IF(AND(Time!AK17&gt;=Time!$F$11,Time!AK17&lt;57),(IF(Time!AK29=1,AK98,AK96)-AK95)*AL19+IF(Time!AK29=1,AK98,AK96)*AL14,0)</f>
        <v>0</v>
      </c>
      <c r="AL130" s="11" t="n">
        <f aca="false">IF(AND(Time!AL17&gt;=Time!$F$11,Time!AL17&lt;57),(IF(Time!AL29=1,AL98,AL96)-AL95)*AM19+IF(Time!AL29=1,AL98,AL96)*AM14,0)</f>
        <v>0</v>
      </c>
      <c r="AM130" s="11" t="n">
        <f aca="false">IF(AND(Time!AM17&gt;=Time!$F$11,Time!AM17&lt;57),(IF(Time!AM29=1,AM98,AM96)-AM95)*AN19+IF(Time!AM29=1,AM98,AM96)*AN14,0)</f>
        <v>0</v>
      </c>
      <c r="AN130" s="11" t="n">
        <f aca="false">IF(AND(Time!AN17&gt;=Time!$F$11,Time!AN17&lt;57),(IF(Time!AN29=1,AN98,AN96)-AN95)*AO19+IF(Time!AN29=1,AN98,AN96)*AO14,0)</f>
        <v>0</v>
      </c>
      <c r="AO130" s="11" t="n">
        <f aca="false">IF(AND(Time!AO17&gt;=Time!$F$11,Time!AO17&lt;57),(IF(Time!AO29=1,AO98,AO96)-AO95)*AP19+IF(Time!AO29=1,AO98,AO96)*AP14,0)</f>
        <v>0</v>
      </c>
      <c r="AP130" s="11" t="n">
        <f aca="false">IF(AND(Time!AP17&gt;=Time!$F$11,Time!AP17&lt;57),(IF(Time!AP29=1,AP98,AP96)-AP95)*AQ19+IF(Time!AP29=1,AP98,AP96)*AQ14,0)</f>
        <v>0</v>
      </c>
      <c r="AQ130" s="11" t="n">
        <f aca="false">IF(AND(Time!AQ17&gt;=Time!$F$11,Time!AQ17&lt;57),(IF(Time!AQ29=1,AQ98,AQ96)-AQ95)*AR19+IF(Time!AQ29=1,AQ98,AQ96)*AR14,0)</f>
        <v>0</v>
      </c>
      <c r="AR130" s="11" t="n">
        <f aca="false">IF(AND(Time!AR17&gt;=Time!$F$11,Time!AR17&lt;57),(IF(Time!AR29=1,AR98,AR96)-AR95)*AS19+IF(Time!AR29=1,AR98,AR96)*AS14,0)</f>
        <v>0</v>
      </c>
      <c r="AS130" s="11" t="n">
        <f aca="false">IF(AND(Time!AS17&gt;=Time!$F$11,Time!AS17&lt;57),(IF(Time!AS29=1,AS98,AS96)-AS95)*AT19+IF(Time!AS29=1,AS98,AS96)*AT14,0)</f>
        <v>0</v>
      </c>
      <c r="AT130" s="11" t="n">
        <f aca="false">IF(AND(Time!AT17&gt;=Time!$F$11,Time!AT17&lt;57),(IF(Time!AT29=1,AT98,AT96)-AT95)*AU19+IF(Time!AT29=1,AT98,AT96)*AU14,0)</f>
        <v>0</v>
      </c>
      <c r="AU130" s="11" t="n">
        <f aca="false">IF(AND(Time!AU17&gt;=Time!$F$11,Time!AU17&lt;57),(IF(Time!AU29=1,AU98,AU96)-AU95)*AV19+IF(Time!AU29=1,AU98,AU96)*AV14,0)</f>
        <v>0</v>
      </c>
      <c r="AV130" s="11" t="n">
        <f aca="false">IF(AND(Time!AV17&gt;=Time!$F$11,Time!AV17&lt;57),(IF(Time!AV29=1,AV98,AV96)-AV95)*AW19+IF(Time!AV29=1,AV98,AV96)*AW14,0)</f>
        <v>0</v>
      </c>
      <c r="AW130" s="11" t="n">
        <f aca="false">IF(AND(Time!AW17&gt;=Time!$F$11,Time!AW17&lt;57),(IF(Time!AW29=1,AW98,AW96)-AW95)*AX19+IF(Time!AW29=1,AW98,AW96)*AX14,0)</f>
        <v>0</v>
      </c>
      <c r="AX130" s="11" t="n">
        <f aca="false">IF(AND(Time!AX17&gt;=Time!$F$11,Time!AX17&lt;57),(IF(Time!AX29=1,AX98,AX96)-AX95)*AY19+IF(Time!AX29=1,AX98,AX96)*AY14,0)</f>
        <v>0</v>
      </c>
      <c r="AY130" s="11" t="n">
        <f aca="false">IF(AND(Time!AY17&gt;=Time!$F$11,Time!AY17&lt;57),(IF(Time!AY29=1,AY98,AY96)-AY95)*AZ19+IF(Time!AY29=1,AY98,AY96)*AZ14,0)</f>
        <v>0</v>
      </c>
      <c r="AZ130" s="11" t="n">
        <f aca="false">IF(AND(Time!AZ17&gt;=Time!$F$11,Time!AZ17&lt;57),(IF(Time!AZ29=1,AZ98,AZ96)-AZ95)*BA19+IF(Time!AZ29=1,AZ98,AZ96)*BA14,0)</f>
        <v>0</v>
      </c>
      <c r="BA130" s="11" t="n">
        <f aca="false">IF(AND(Time!BA17&gt;=Time!$F$11,Time!BA17&lt;57),(IF(Time!BA29=1,BA98,BA96)-BA95)*BB19+IF(Time!BA29=1,BA98,BA96)*BB14,0)</f>
        <v>0</v>
      </c>
      <c r="BB130" s="11" t="n">
        <f aca="false">IF(AND(Time!BB17&gt;=Time!$F$11,Time!BB17&lt;57),(IF(Time!BB29=1,BB98,BB96)-BB95)*BC19+IF(Time!BB29=1,BB98,BB96)*BC14,0)</f>
        <v>0</v>
      </c>
      <c r="BC130" s="11" t="n">
        <f aca="false">IF(AND(Time!BC17&gt;=Time!$F$11,Time!BC17&lt;57),(IF(Time!BC29=1,BC98,BC96)-BC95)*BD19+IF(Time!BC29=1,BC98,BC96)*BD14,0)</f>
        <v>0</v>
      </c>
      <c r="BD130" s="11" t="n">
        <f aca="false">IF(AND(Time!BD17&gt;=Time!$F$11,Time!BD17&lt;57),(IF(Time!BD29=1,BD98,BD96)-BD95)*BE19+IF(Time!BD29=1,BD98,BD96)*BE14,0)</f>
        <v>0</v>
      </c>
      <c r="BE130" s="11" t="n">
        <f aca="false">IF(AND(Time!BE17&gt;=Time!$F$11,Time!BE17&lt;57),(IF(Time!BE29=1,BE98,BE96)-BE95)*BF19+IF(Time!BE29=1,BE98,BE96)*BF14,0)</f>
        <v>0</v>
      </c>
      <c r="BF130" s="11" t="n">
        <f aca="false">IF(AND(Time!BF17&gt;=Time!$F$11,Time!BF17&lt;57),(IF(Time!BF29=1,BF98,BF96)-BF95)*BG19+IF(Time!BF29=1,BF98,BF96)*BG14,0)</f>
        <v>0</v>
      </c>
      <c r="BG130" s="11" t="n">
        <f aca="false">IF(AND(Time!BG17&gt;=Time!$F$11,Time!BG17&lt;57),(IF(Time!BG29=1,BG98,BG96)-BG95)*BH19+IF(Time!BG29=1,BG98,BG96)*BH14,0)</f>
        <v>0</v>
      </c>
      <c r="BH130" s="11" t="n">
        <f aca="false">IF(AND(Time!BH17&gt;=Time!$F$11,Time!BH17&lt;57),(IF(Time!BH29=1,BH98,BH96)-BH95)*BI19+IF(Time!BH29=1,BH98,BH96)*BI14,0)</f>
        <v>0</v>
      </c>
      <c r="BI130" s="11" t="n">
        <f aca="false">IF(AND(Time!BI17&gt;=Time!$F$11,Time!BI17&lt;57),(IF(Time!BI29=1,BI98,BI96)-BI95)*BJ19+IF(Time!BI29=1,BI98,BI96)*BJ14,0)</f>
        <v>0</v>
      </c>
      <c r="BJ130" s="11" t="n">
        <f aca="false">IF(AND(Time!BJ17&gt;=Time!$F$11,Time!BJ17&lt;57),(IF(Time!BJ29=1,BJ98,BJ96)-BJ95)*BK19+IF(Time!BJ29=1,BJ98,BJ96)*BK14,0)</f>
        <v>0</v>
      </c>
      <c r="BK130" s="11" t="n">
        <f aca="false">IF(AND(Time!BK17&gt;=Time!$F$11,Time!BK17&lt;57),(IF(Time!BK29=1,BK98,BK96)-BK95)*BL19+IF(Time!BK29=1,BK98,BK96)*BL14,0)</f>
        <v>0</v>
      </c>
      <c r="BL130" s="11" t="n">
        <f aca="false">IF(AND(Time!BL17&gt;=Time!$F$11,Time!BL17&lt;57),(IF(Time!BL29=1,BL98,BL96)-BL95)*BM19+IF(Time!BL29=1,BL98,BL96)*BM14,0)</f>
        <v>0</v>
      </c>
      <c r="BM130" s="11" t="n">
        <f aca="false">IF(AND(Time!BM17&gt;=Time!$F$11,Time!BM17&lt;57),(IF(Time!BM29=1,BM98,BM96)-BM95)*BN19+IF(Time!BM29=1,BM98,BM96)*BN14,0)</f>
        <v>0</v>
      </c>
      <c r="BN130" s="11" t="n">
        <f aca="false">IF(AND(Time!BN17&gt;=Time!$F$11,Time!BN17&lt;57),(IF(Time!BN29=1,BN98,BN96)-BN95)*0+IF(Time!BN29=1,BN98,BN96)*0,0)</f>
        <v>0</v>
      </c>
    </row>
    <row r="131" customFormat="false" ht="15" hidden="false" customHeight="false" outlineLevel="0" collapsed="false">
      <c r="D131" s="0" t="s">
        <v>698</v>
      </c>
      <c r="E131" s="0" t="s">
        <v>149</v>
      </c>
      <c r="J131" s="11" t="n">
        <f aca="false">0</f>
        <v>0</v>
      </c>
      <c r="K131" s="11" t="n">
        <f aca="false">0</f>
        <v>0</v>
      </c>
      <c r="L131" s="11" t="n">
        <f aca="false">0</f>
        <v>0</v>
      </c>
      <c r="M131" s="11" t="n">
        <f aca="false">0</f>
        <v>0</v>
      </c>
      <c r="N131" s="11" t="n">
        <f aca="false">0</f>
        <v>0</v>
      </c>
      <c r="O131" s="11" t="n">
        <f aca="false">0</f>
        <v>0</v>
      </c>
      <c r="P131" s="11" t="n">
        <f aca="false">0</f>
        <v>0</v>
      </c>
      <c r="Q131" s="11" t="n">
        <f aca="false">0</f>
        <v>0</v>
      </c>
      <c r="R131" s="11" t="n">
        <f aca="false">0</f>
        <v>0</v>
      </c>
      <c r="S131" s="11" t="n">
        <f aca="false">0</f>
        <v>0</v>
      </c>
      <c r="T131" s="11" t="n">
        <f aca="false">0</f>
        <v>0</v>
      </c>
      <c r="U131" s="11" t="n">
        <f aca="false">0</f>
        <v>0</v>
      </c>
      <c r="V131" s="11" t="n">
        <f aca="false">0</f>
        <v>0</v>
      </c>
      <c r="W131" s="11" t="n">
        <f aca="false">IF(AND(Time!W17&gt;=Time!$F$11,Time!W17&lt;57,W103+W20*$F$109&gt;0.000000001),MIN($F$109*Inputs!X224,W103+W20*$F$109)+(W103+W20*$F$109)*(X15+Inputs!$F$200/100*0.5*Inputs!$F$199/$F$109),0)</f>
        <v>12.3670926572679</v>
      </c>
      <c r="X131" s="11" t="n">
        <f aca="false">IF(AND(Time!X17&gt;=Time!$F$11,Time!X17&lt;57,X103+X20*$F$109&gt;0.000000001),MIN($F$109*Inputs!Y224,X103+X20*$F$109)+(X103+X20*$F$109)*(Y15+Inputs!$F$200/100*0.5*Inputs!$F$199/$F$109),0)</f>
        <v>13.5117684423156</v>
      </c>
      <c r="Y131" s="11" t="n">
        <f aca="false">IF(AND(Time!Y17&gt;=Time!$F$11,Time!Y17&lt;57,Y103+Y20*$F$109&gt;0.000000001),MIN($F$109*Inputs!Z224,Y103+Y20*$F$109)+(Y103+Y20*$F$109)*(Z15+Inputs!$F$200/100*0.5*Inputs!$F$199/$F$109),0)</f>
        <v>13.708018872515</v>
      </c>
      <c r="Z131" s="11" t="n">
        <f aca="false">IF(AND(Time!Z17&gt;=Time!$F$11,Time!Z17&lt;57,Z103+Z20*$F$109&gt;0.000000001),MIN($F$109*Inputs!AA224,Z103+Z20*$F$109)+(Z103+Z20*$F$109)*(AA15+Inputs!$F$200/100*0.5*Inputs!$F$199/$F$109),0)</f>
        <v>13.5192513218764</v>
      </c>
      <c r="AA131" s="11" t="n">
        <f aca="false">IF(AND(Time!AA17&gt;=Time!$F$11,Time!AA17&lt;57,AA103+AA20*$F$109&gt;0.000000001),MIN($F$109*Inputs!AB224,AA103+AA20*$F$109)+(AA103+AA20*$F$109)*(AB15+Inputs!$F$200/100*0.5*Inputs!$F$199/$F$109),0)</f>
        <v>13.6567006764575</v>
      </c>
      <c r="AB131" s="11" t="n">
        <f aca="false">IF(AND(Time!AB17&gt;=Time!$F$11,Time!AB17&lt;57,AB103+AB20*$F$109&gt;0.000000001),MIN($F$109*Inputs!AC224,AB103+AB20*$F$109)+(AB103+AB20*$F$109)*(AC15+Inputs!$F$200/100*0.5*Inputs!$F$199/$F$109),0)</f>
        <v>13.4766824406522</v>
      </c>
      <c r="AC131" s="11" t="n">
        <f aca="false">IF(AND(Time!AC17&gt;=Time!$F$11,Time!AC17&lt;57,AC103+AC20*$F$109&gt;0.000000001),MIN($F$109*Inputs!AD224,AC103+AC20*$F$109)+(AC103+AC20*$F$109)*(AD15+Inputs!$F$200/100*0.5*Inputs!$F$199/$F$109),0)</f>
        <v>13.5522208534196</v>
      </c>
      <c r="AD131" s="11" t="n">
        <f aca="false">IF(AND(Time!AD17&gt;=Time!$F$11,Time!AD17&lt;57,AD103+AD20*$F$109&gt;0.000000001),MIN($F$109*Inputs!AE224,AD103+AD20*$F$109)+(AD103+AD20*$F$109)*(AE15+Inputs!$F$200/100*0.5*Inputs!$F$199/$F$109),0)</f>
        <v>13.8312471808479</v>
      </c>
      <c r="AE131" s="11" t="n">
        <f aca="false">IF(AND(Time!AE17&gt;=Time!$F$11,Time!AE17&lt;57,AE103+AE20*$F$109&gt;0.000000001),MIN($F$109*Inputs!AF224,AE103+AE20*$F$109)+(AE103+AE20*$F$109)*(AF15+Inputs!$F$200/100*0.5*Inputs!$F$199/$F$109),0)</f>
        <v>13.9645611860261</v>
      </c>
      <c r="AF131" s="11" t="n">
        <f aca="false">IF(AND(Time!AF17&gt;=Time!$F$11,Time!AF17&lt;57,AF103+AF20*$F$109&gt;0.000000001),MIN($F$109*Inputs!AG224,AF103+AF20*$F$109)+(AF103+AF20*$F$109)*(AG15+Inputs!$F$200/100*0.5*Inputs!$F$199/$F$109),0)</f>
        <v>13.7826736917608</v>
      </c>
      <c r="AG131" s="11" t="n">
        <f aca="false">IF(AND(Time!AG17&gt;=Time!$F$11,Time!AG17&lt;57,AG103+AG20*$F$109&gt;0.000000001),MIN($F$109*Inputs!AH224,AG103+AG20*$F$109)+(AG103+AG20*$F$109)*(AH15+Inputs!$F$200/100*0.5*Inputs!$F$199/$F$109),0)</f>
        <v>13.8719354031003</v>
      </c>
      <c r="AH131" s="11" t="n">
        <f aca="false">IF(AND(Time!AH17&gt;=Time!$F$11,Time!AH17&lt;57,AH103+AH20*$F$109&gt;0.000000001),MIN($F$109*Inputs!AI224,AH103+AH20*$F$109)+(AH103+AH20*$F$109)*(AI15+Inputs!$F$200/100*0.5*Inputs!$F$199/$F$109),0)</f>
        <v>13.6412766953476</v>
      </c>
      <c r="AI131" s="11" t="n">
        <f aca="false">IF(AND(Time!AI17&gt;=Time!$F$11,Time!AI17&lt;57,AI103+AI20*$F$109&gt;0.000000001),MIN($F$109*Inputs!AJ224,AI103+AI20*$F$109)+(AI103+AI20*$F$109)*(AJ15+Inputs!$F$200/100*0.5*Inputs!$F$199/$F$109),0)</f>
        <v>13.6889890340338</v>
      </c>
      <c r="AJ131" s="11" t="n">
        <f aca="false">IF(AND(Time!AJ17&gt;=Time!$F$11,Time!AJ17&lt;57,AJ103+AJ20*$F$109&gt;0.000000001),MIN($F$109*Inputs!AK224,AJ103+AJ20*$F$109)+(AJ103+AJ20*$F$109)*(AK15+Inputs!$F$200/100*0.5*Inputs!$F$199/$F$109),0)</f>
        <v>13.4522945534531</v>
      </c>
      <c r="AK131" s="11" t="n">
        <f aca="false">IF(AND(Time!AK17&gt;=Time!$F$11,Time!AK17&lt;57,AK103+AK20*$F$109&gt;0.000000001),MIN($F$109*Inputs!AL224,AK103+AK20*$F$109)+(AK103+AK20*$F$109)*(AL15+Inputs!$F$200/100*0.5*Inputs!$F$199/$F$109),0)</f>
        <v>13.451568659588</v>
      </c>
      <c r="AL131" s="11" t="n">
        <f aca="false">IF(AND(Time!AL17&gt;=Time!$F$11,Time!AL17&lt;57,AL103+AL20*$F$109&gt;0.000000001),MIN($F$109*Inputs!AM224,AL103+AL20*$F$109)+(AL103+AL20*$F$109)*(AM15+Inputs!$F$200/100*0.5*Inputs!$F$199/$F$109),0)</f>
        <v>12.5416770065941</v>
      </c>
      <c r="AM131" s="11" t="n">
        <f aca="false">IF(AND(Time!AM17&gt;=Time!$F$11,Time!AM17&lt;57,AM103+AM20*$F$109&gt;0.000000001),MIN($F$109*Inputs!AN224,AM103+AM20*$F$109)+(AM103+AM20*$F$109)*(AN15+Inputs!$F$200/100*0.5*Inputs!$F$199/$F$109),0)</f>
        <v>11.7827538430946</v>
      </c>
      <c r="AN131" s="11" t="n">
        <f aca="false">IF(AND(Time!AN17&gt;=Time!$F$11,Time!AN17&lt;57,AN103+AN20*$F$109&gt;0.000000001),MIN($F$109*Inputs!AO224,AN103+AN20*$F$109)+(AN103+AN20*$F$109)*(AO15+Inputs!$F$200/100*0.5*Inputs!$F$199/$F$109),0)</f>
        <v>10.8508518702367</v>
      </c>
      <c r="AO131" s="11" t="n">
        <f aca="false">IF(AND(Time!AO17&gt;=Time!$F$11,Time!AO17&lt;57,AO103+AO20*$F$109&gt;0.000000001),MIN($F$109*Inputs!AP224,AO103+AO20*$F$109)+(AO103+AO20*$F$109)*(AP15+Inputs!$F$200/100*0.5*Inputs!$F$199/$F$109),0)</f>
        <v>26.6987414632049</v>
      </c>
      <c r="AP131" s="11" t="n">
        <f aca="false">IF(AND(Time!AP17&gt;=Time!$F$11,Time!AP17&lt;57,AP103+AP20*$F$109&gt;0.000000001),MIN($F$109*Inputs!AQ224,AP103+AP20*$F$109)+(AP103+AP20*$F$109)*(AQ15+Inputs!$F$200/100*0.5*Inputs!$F$199/$F$109),0)</f>
        <v>26.2913069884619</v>
      </c>
      <c r="AQ131" s="11" t="n">
        <f aca="false">IF(AND(Time!AQ17&gt;=Time!$F$11,Time!AQ17&lt;57,AQ103+AQ20*$F$109&gt;0.000000001),MIN($F$109*Inputs!AR224,AQ103+AQ20*$F$109)+(AQ103+AQ20*$F$109)*(AR15+Inputs!$F$200/100*0.5*Inputs!$F$199/$F$109),0)</f>
        <v>26.5270675751611</v>
      </c>
      <c r="AR131" s="11" t="n">
        <f aca="false">IF(AND(Time!AR17&gt;=Time!$F$11,Time!AR17&lt;57,AR103+AR20*$F$109&gt;0.000000001),MIN($F$109*Inputs!AS224,AR103+AR20*$F$109)+(AR103+AR20*$F$109)*(AS15+Inputs!$F$200/100*0.5*Inputs!$F$199/$F$109),0)</f>
        <v>26.1120207428106</v>
      </c>
      <c r="AS131" s="11" t="n">
        <f aca="false">IF(AND(Time!AS17&gt;=Time!$F$11,Time!AS17&lt;57,AS103+AS20*$F$109&gt;0.000000001),MIN($F$109*Inputs!AT224,AS103+AS20*$F$109)+(AS103+AS20*$F$109)*(AT15+Inputs!$F$200/100*0.5*Inputs!$F$199/$F$109),0)</f>
        <v>26.2626901522987</v>
      </c>
      <c r="AT131" s="11" t="n">
        <f aca="false">IF(AND(Time!AT17&gt;=Time!$F$11,Time!AT17&lt;57,AT103+AT20*$F$109&gt;0.000000001),MIN($F$109*Inputs!AU224,AT103+AT20*$F$109)+(AT103+AT20*$F$109)*(AU15+Inputs!$F$200/100*0.5*Inputs!$F$199/$F$109),0)</f>
        <v>30.2912412910693</v>
      </c>
      <c r="AU131" s="11" t="n">
        <f aca="false">IF(AND(Time!AU17&gt;=Time!$F$11,Time!AU17&lt;57,AU103+AU20*$F$109&gt;0.000000001),MIN($F$109*Inputs!AV224,AU103+AU20*$F$109)+(AU103+AU20*$F$109)*(AV15+Inputs!$F$200/100*0.5*Inputs!$F$199/$F$109),0)</f>
        <v>0</v>
      </c>
      <c r="AV131" s="11" t="n">
        <f aca="false">IF(AND(Time!AV17&gt;=Time!$F$11,Time!AV17&lt;57,AV103+AV20*$F$109&gt;0.000000001),MIN($F$109*Inputs!AW224,AV103+AV20*$F$109)+(AV103+AV20*$F$109)*(AW15+Inputs!$F$200/100*0.5*Inputs!$F$199/$F$109),0)</f>
        <v>0</v>
      </c>
      <c r="AW131" s="11" t="n">
        <f aca="false">IF(AND(Time!AW17&gt;=Time!$F$11,Time!AW17&lt;57,AW103+AW20*$F$109&gt;0.000000001),MIN($F$109*Inputs!AX224,AW103+AW20*$F$109)+(AW103+AW20*$F$109)*(AX15+Inputs!$F$200/100*0.5*Inputs!$F$199/$F$109),0)</f>
        <v>0</v>
      </c>
      <c r="AX131" s="11" t="n">
        <f aca="false">IF(AND(Time!AX17&gt;=Time!$F$11,Time!AX17&lt;57,AX103+AX20*$F$109&gt;0.000000001),MIN($F$109*Inputs!AY224,AX103+AX20*$F$109)+(AX103+AX20*$F$109)*(AY15+Inputs!$F$200/100*0.5*Inputs!$F$199/$F$109),0)</f>
        <v>0</v>
      </c>
      <c r="AY131" s="11" t="n">
        <f aca="false">IF(AND(Time!AY17&gt;=Time!$F$11,Time!AY17&lt;57,AY103+AY20*$F$109&gt;0.000000001),MIN($F$109*Inputs!AZ224,AY103+AY20*$F$109)+(AY103+AY20*$F$109)*(AZ15+Inputs!$F$200/100*0.5*Inputs!$F$199/$F$109),0)</f>
        <v>0</v>
      </c>
      <c r="AZ131" s="11" t="n">
        <f aca="false">IF(AND(Time!AZ17&gt;=Time!$F$11,Time!AZ17&lt;57,AZ103+AZ20*$F$109&gt;0.000000001),MIN($F$109*Inputs!BA224,AZ103+AZ20*$F$109)+(AZ103+AZ20*$F$109)*(BA15+Inputs!$F$200/100*0.5*Inputs!$F$199/$F$109),0)</f>
        <v>0</v>
      </c>
      <c r="BA131" s="11" t="n">
        <f aca="false">IF(AND(Time!BA17&gt;=Time!$F$11,Time!BA17&lt;57,BA103+BA20*$F$109&gt;0.000000001),MIN($F$109*Inputs!BB224,BA103+BA20*$F$109)+(BA103+BA20*$F$109)*(BB15+Inputs!$F$200/100*0.5*Inputs!$F$199/$F$109),0)</f>
        <v>0</v>
      </c>
      <c r="BB131" s="11" t="n">
        <f aca="false">IF(AND(Time!BB17&gt;=Time!$F$11,Time!BB17&lt;57,BB103+BB20*$F$109&gt;0.000000001),MIN($F$109*Inputs!BC224,BB103+BB20*$F$109)+(BB103+BB20*$F$109)*(BC15+Inputs!$F$200/100*0.5*Inputs!$F$199/$F$109),0)</f>
        <v>0</v>
      </c>
      <c r="BC131" s="11" t="n">
        <f aca="false">IF(AND(Time!BC17&gt;=Time!$F$11,Time!BC17&lt;57,BC103+BC20*$F$109&gt;0.000000001),MIN($F$109*Inputs!BD224,BC103+BC20*$F$109)+(BC103+BC20*$F$109)*(BD15+Inputs!$F$200/100*0.5*Inputs!$F$199/$F$109),0)</f>
        <v>0</v>
      </c>
      <c r="BD131" s="11" t="n">
        <f aca="false">IF(AND(Time!BD17&gt;=Time!$F$11,Time!BD17&lt;57,BD103+BD20*$F$109&gt;0.000000001),MIN($F$109*Inputs!BE224,BD103+BD20*$F$109)+(BD103+BD20*$F$109)*(BE15+Inputs!$F$200/100*0.5*Inputs!$F$199/$F$109),0)</f>
        <v>0</v>
      </c>
      <c r="BE131" s="11" t="n">
        <f aca="false">IF(AND(Time!BE17&gt;=Time!$F$11,Time!BE17&lt;57,BE103+BE20*$F$109&gt;0.000000001),MIN($F$109*Inputs!BF224,BE103+BE20*$F$109)+(BE103+BE20*$F$109)*(BF15+Inputs!$F$200/100*0.5*Inputs!$F$199/$F$109),0)</f>
        <v>0</v>
      </c>
      <c r="BF131" s="11" t="n">
        <f aca="false">IF(AND(Time!BF17&gt;=Time!$F$11,Time!BF17&lt;57,BF103+BF20*$F$109&gt;0.000000001),MIN($F$109*Inputs!BG224,BF103+BF20*$F$109)+(BF103+BF20*$F$109)*(BG15+Inputs!$F$200/100*0.5*Inputs!$F$199/$F$109),0)</f>
        <v>0</v>
      </c>
      <c r="BG131" s="11" t="n">
        <f aca="false">IF(AND(Time!BG17&gt;=Time!$F$11,Time!BG17&lt;57,BG103+BG20*$F$109&gt;0.000000001),MIN($F$109*Inputs!BH224,BG103+BG20*$F$109)+(BG103+BG20*$F$109)*(BH15+Inputs!$F$200/100*0.5*Inputs!$F$199/$F$109),0)</f>
        <v>0</v>
      </c>
      <c r="BH131" s="11" t="n">
        <f aca="false">IF(AND(Time!BH17&gt;=Time!$F$11,Time!BH17&lt;57,BH103+BH20*$F$109&gt;0.000000001),MIN($F$109*Inputs!BI224,BH103+BH20*$F$109)+(BH103+BH20*$F$109)*(BI15+Inputs!$F$200/100*0.5*Inputs!$F$199/$F$109),0)</f>
        <v>0</v>
      </c>
      <c r="BI131" s="11" t="n">
        <f aca="false">IF(AND(Time!BI17&gt;=Time!$F$11,Time!BI17&lt;57,BI103+BI20*$F$109&gt;0.000000001),MIN($F$109*Inputs!BJ224,BI103+BI20*$F$109)+(BI103+BI20*$F$109)*(BJ15+Inputs!$F$200/100*0.5*Inputs!$F$199/$F$109),0)</f>
        <v>0</v>
      </c>
      <c r="BJ131" s="11" t="n">
        <f aca="false">IF(AND(Time!BJ17&gt;=Time!$F$11,Time!BJ17&lt;57,BJ103+BJ20*$F$109&gt;0.000000001),MIN($F$109*Inputs!BK224,BJ103+BJ20*$F$109)+(BJ103+BJ20*$F$109)*(BK15+Inputs!$F$200/100*0.5*Inputs!$F$199/$F$109),0)</f>
        <v>0</v>
      </c>
      <c r="BK131" s="11" t="n">
        <f aca="false">IF(AND(Time!BK17&gt;=Time!$F$11,Time!BK17&lt;57,BK103+BK20*$F$109&gt;0.000000001),MIN($F$109*Inputs!BL224,BK103+BK20*$F$109)+(BK103+BK20*$F$109)*(BL15+Inputs!$F$200/100*0.5*Inputs!$F$199/$F$109),0)</f>
        <v>0</v>
      </c>
      <c r="BL131" s="11" t="n">
        <f aca="false">IF(AND(Time!BL17&gt;=Time!$F$11,Time!BL17&lt;57,BL103+BL20*$F$109&gt;0.000000001),MIN($F$109*Inputs!BM224,BL103+BL20*$F$109)+(BL103+BL20*$F$109)*(BM15+Inputs!$F$200/100*0.5*Inputs!$F$199/$F$109),0)</f>
        <v>0</v>
      </c>
      <c r="BM131" s="11" t="n">
        <f aca="false">IF(AND(Time!BM17&gt;=Time!$F$11,Time!BM17&lt;57,BM103+BM20*$F$109&gt;0.000000001),MIN($F$109*Inputs!BN224,BM103+BM20*$F$109)+(BM103+BM20*$F$109)*(BN15+Inputs!$F$200/100*0.5*Inputs!$F$199/$F$109),0)</f>
        <v>0</v>
      </c>
      <c r="BN131" s="11" t="n">
        <f aca="false">IF(AND(Time!BN17&gt;=Time!$F$11,Time!BN17&lt;57,BN103+BN20*$F$109&gt;0.000000001),MIN($F$109*0,BN103+BN20*$F$109)+(BN103+BN20*$F$109)*(0+Inputs!$F$200/100*0.5*Inputs!$F$199/$F$109),0)</f>
        <v>0</v>
      </c>
    </row>
    <row r="132" customFormat="false" ht="15" hidden="false" customHeight="false" outlineLevel="0" collapsed="false">
      <c r="D132" s="0" t="s">
        <v>699</v>
      </c>
      <c r="E132" s="0" t="s">
        <v>149</v>
      </c>
      <c r="J132" s="11" t="n">
        <f aca="false">IF(AND(Time!J17&gt;=Time!$F$11,Time!J17&lt;57),J126+J127+J128+J129+J130+J131+Inputs!K225*K113*(Inputs!$F$97/100*0.5-Operations!K9/100*Time!K20/360)+(Inputs!$F$95/100*Inputs!$F$96/100)*J125*Time!K20/365,0)</f>
        <v>0</v>
      </c>
      <c r="K132" s="11" t="n">
        <f aca="false">IF(AND(Time!K17&gt;=Time!$F$11,Time!K17&lt;57),K126+K127+K128+K129+K130+K131+Inputs!L225*L113*(Inputs!$F$97/100*0.5-Operations!L9/100*Time!L20/360)+(Inputs!$F$95/100*Inputs!$F$96/100)*K125*Time!L20/365,0)</f>
        <v>0</v>
      </c>
      <c r="L132" s="11" t="n">
        <f aca="false">IF(AND(Time!L17&gt;=Time!$F$11,Time!L17&lt;57),L126+L127+L128+L129+L130+L131+Inputs!M225*M113*(Inputs!$F$97/100*0.5-Operations!M9/100*Time!M20/360)+(Inputs!$F$95/100*Inputs!$F$96/100)*L125*Time!M20/365,0)</f>
        <v>0</v>
      </c>
      <c r="M132" s="11" t="n">
        <f aca="false">IF(AND(Time!M17&gt;=Time!$F$11,Time!M17&lt;57),M126+M127+M128+M129+M130+M131+Inputs!N225*N113*(Inputs!$F$97/100*0.5-Operations!N9/100*Time!N20/360)+(Inputs!$F$95/100*Inputs!$F$96/100)*M125*Time!N20/365,0)</f>
        <v>0</v>
      </c>
      <c r="N132" s="11" t="n">
        <f aca="false">IF(AND(Time!N17&gt;=Time!$F$11,Time!N17&lt;57),N126+N127+N128+N129+N130+N131+Inputs!O225*O113*(Inputs!$F$97/100*0.5-Operations!O9/100*Time!O20/360)+(Inputs!$F$95/100*Inputs!$F$96/100)*N125*Time!O20/365,0)</f>
        <v>0</v>
      </c>
      <c r="O132" s="11" t="n">
        <f aca="false">IF(AND(Time!O17&gt;=Time!$F$11,Time!O17&lt;57),O126+O127+O128+O129+O130+O131+Inputs!P225*P113*(Inputs!$F$97/100*0.5-Operations!P9/100*Time!P20/360)+(Inputs!$F$95/100*Inputs!$F$96/100)*O125*Time!P20/365,0)</f>
        <v>0</v>
      </c>
      <c r="P132" s="11" t="n">
        <f aca="false">IF(AND(Time!P17&gt;=Time!$F$11,Time!P17&lt;57),P126+P127+P128+P129+P130+P131+Inputs!Q225*Q113*(Inputs!$F$97/100*0.5-Operations!Q9/100*Time!Q20/360)+(Inputs!$F$95/100*Inputs!$F$96/100)*P125*Time!Q20/365,0)</f>
        <v>35.087570652436</v>
      </c>
      <c r="Q132" s="11" t="n">
        <f aca="false">IF(AND(Time!Q17&gt;=Time!$F$11,Time!Q17&lt;57),Q126+Q127+Q128+Q129+Q130+Q131+Inputs!R225*R113*(Inputs!$F$97/100*0.5-Operations!R9/100*Time!R20/360)+(Inputs!$F$95/100*Inputs!$F$96/100)*Q125*Time!R20/365,0)</f>
        <v>36.8030731422296</v>
      </c>
      <c r="R132" s="11" t="n">
        <f aca="false">IF(AND(Time!R17&gt;=Time!$F$11,Time!R17&lt;57),R126+R127+R128+R129+R130+R131+Inputs!S225*S113*(Inputs!$F$97/100*0.5-Operations!S9/100*Time!S20/360)+(Inputs!$F$95/100*Inputs!$F$96/100)*R125*Time!S20/365,0)</f>
        <v>38.1760209917611</v>
      </c>
      <c r="S132" s="11" t="n">
        <f aca="false">IF(AND(Time!S17&gt;=Time!$F$11,Time!S17&lt;57),S126+S127+S128+S129+S130+S131+Inputs!T225*T113*(Inputs!$F$97/100*0.5-Operations!T9/100*Time!T20/360)+(Inputs!$F$95/100*Inputs!$F$96/100)*S125*Time!T20/365,0)</f>
        <v>40.4709701852332</v>
      </c>
      <c r="T132" s="11" t="n">
        <f aca="false">IF(AND(Time!T17&gt;=Time!$F$11,Time!T17&lt;57),T126+T127+T128+T129+T130+T131+Inputs!U225*U113*(Inputs!$F$97/100*0.5-Operations!U9/100*Time!U20/360)+(Inputs!$F$95/100*Inputs!$F$96/100)*T125*Time!U20/365,0)</f>
        <v>43.1230878724453</v>
      </c>
      <c r="U132" s="11" t="n">
        <f aca="false">IF(AND(Time!U17&gt;=Time!$F$11,Time!U17&lt;57),U126+U127+U128+U129+U130+U131+Inputs!V225*V113*(Inputs!$F$97/100*0.5-Operations!V9/100*Time!V20/360)+(Inputs!$F$95/100*Inputs!$F$96/100)*U125*Time!V20/365,0)</f>
        <v>43.303884094641</v>
      </c>
      <c r="V132" s="11" t="n">
        <f aca="false">IF(AND(Time!V17&gt;=Time!$F$11,Time!V17&lt;57),V126+V127+V128+V129+V130+V131+Inputs!W225*W113*(Inputs!$F$97/100*0.5-Operations!W9/100*Time!W20/360)+(Inputs!$F$95/100*Inputs!$F$96/100)*V125*Time!W20/365,0)</f>
        <v>41.2915751687604</v>
      </c>
      <c r="W132" s="11" t="n">
        <f aca="false">IF(AND(Time!W17&gt;=Time!$F$11,Time!W17&lt;57),W126+W127+W128+W129+W130+W131+Inputs!X225*X113*(Inputs!$F$97/100*0.5-Operations!X9/100*Time!X20/360)+(Inputs!$F$95/100*Inputs!$F$96/100)*W125*Time!X20/365,0)</f>
        <v>31.9770949734726</v>
      </c>
      <c r="X132" s="11" t="n">
        <f aca="false">IF(AND(Time!X17&gt;=Time!$F$11,Time!X17&lt;57),X126+X127+X128+X129+X130+X131+Inputs!Y225*Y113*(Inputs!$F$97/100*0.5-Operations!Y9/100*Time!Y20/360)+(Inputs!$F$95/100*Inputs!$F$96/100)*X125*Time!Y20/365,0)</f>
        <v>30.401206369767</v>
      </c>
      <c r="Y132" s="11" t="n">
        <f aca="false">IF(AND(Time!Y17&gt;=Time!$F$11,Time!Y17&lt;57),Y126+Y127+Y128+Y129+Y130+Y131+Inputs!Z225*Z113*(Inputs!$F$97/100*0.5-Operations!Z9/100*Time!Z20/360)+(Inputs!$F$95/100*Inputs!$F$96/100)*Y125*Time!Z20/365,0)</f>
        <v>30.8496333632188</v>
      </c>
      <c r="Z132" s="11" t="n">
        <f aca="false">IF(AND(Time!Z17&gt;=Time!$F$11,Time!Z17&lt;57),Z126+Z127+Z128+Z129+Z130+Z131+Inputs!AA225*AA113*(Inputs!$F$97/100*0.5-Operations!AA9/100*Time!AA20/360)+(Inputs!$F$95/100*Inputs!$F$96/100)*Z125*Time!AA20/365,0)</f>
        <v>30.5028136759894</v>
      </c>
      <c r="AA132" s="11" t="n">
        <f aca="false">IF(AND(Time!AA17&gt;=Time!$F$11,Time!AA17&lt;57),AA126+AA127+AA128+AA129+AA130+AA131+Inputs!AB225*AB113*(Inputs!$F$97/100*0.5-Operations!AB9/100*Time!AB20/360)+(Inputs!$F$95/100*Inputs!$F$96/100)*AA125*Time!AB20/365,0)</f>
        <v>30.9284221001322</v>
      </c>
      <c r="AB132" s="11" t="n">
        <f aca="false">IF(AND(Time!AB17&gt;=Time!$F$11,Time!AB17&lt;57),AB126+AB127+AB128+AB129+AB130+AB131+Inputs!AC225*AC113*(Inputs!$F$97/100*0.5-Operations!AC9/100*Time!AC20/360)+(Inputs!$F$95/100*Inputs!$F$96/100)*AB125*Time!AC20/365,0)</f>
        <v>30.7323101948593</v>
      </c>
      <c r="AC132" s="11" t="n">
        <f aca="false">IF(AND(Time!AC17&gt;=Time!$F$11,Time!AC17&lt;57),AC126+AC127+AC128+AC129+AC130+AC131+Inputs!AD225*AD113*(Inputs!$F$97/100*0.5-Operations!AD9/100*Time!AD20/360)+(Inputs!$F$95/100*Inputs!$F$96/100)*AC125*Time!AD20/365,0)</f>
        <v>31.0779271217403</v>
      </c>
      <c r="AD132" s="11" t="n">
        <f aca="false">IF(AND(Time!AD17&gt;=Time!$F$11,Time!AD17&lt;57),AD126+AD127+AD128+AD129+AD130+AD131+Inputs!AE225*AE113*(Inputs!$F$97/100*0.5-Operations!AE9/100*Time!AE20/360)+(Inputs!$F$95/100*Inputs!$F$96/100)*AD125*Time!AE20/365,0)</f>
        <v>31.9665031988867</v>
      </c>
      <c r="AE132" s="11" t="n">
        <f aca="false">IF(AND(Time!AE17&gt;=Time!$F$11,Time!AE17&lt;57),AE126+AE127+AE128+AE129+AE130+AE131+Inputs!AF225*AF113*(Inputs!$F$97/100*0.5-Operations!AF9/100*Time!AF20/360)+(Inputs!$F$95/100*Inputs!$F$96/100)*AE125*Time!AF20/365,0)</f>
        <v>32.4954443588155</v>
      </c>
      <c r="AF132" s="11" t="n">
        <f aca="false">IF(AND(Time!AF17&gt;=Time!$F$11,Time!AF17&lt;57),AF126+AF127+AF128+AF129+AF130+AF131+Inputs!AG225*AG113*(Inputs!$F$97/100*0.5-Operations!AG9/100*Time!AG20/360)+(Inputs!$F$95/100*Inputs!$F$96/100)*AF125*Time!AG20/365,0)</f>
        <v>31.9951549717801</v>
      </c>
      <c r="AG132" s="11" t="n">
        <f aca="false">IF(AND(Time!AG17&gt;=Time!$F$11,Time!AG17&lt;57),AG126+AG127+AG128+AG129+AG130+AG131+Inputs!AH225*AH113*(Inputs!$F$97/100*0.5-Operations!AH9/100*Time!AH20/360)+(Inputs!$F$95/100*Inputs!$F$96/100)*AG125*Time!AH20/365,0)</f>
        <v>32.4642838031482</v>
      </c>
      <c r="AH132" s="11" t="n">
        <f aca="false">IF(AND(Time!AH17&gt;=Time!$F$11,Time!AH17&lt;57),AH126+AH127+AH128+AH129+AH130+AH131+Inputs!AI225*AI113*(Inputs!$F$97/100*0.5-Operations!AI9/100*Time!AI20/360)+(Inputs!$F$95/100*Inputs!$F$96/100)*AH125*Time!AI20/365,0)</f>
        <v>32.2548913964038</v>
      </c>
      <c r="AI132" s="11" t="n">
        <f aca="false">IF(AND(Time!AI17&gt;=Time!$F$11,Time!AI17&lt;57),AI126+AI127+AI128+AI129+AI130+AI131+Inputs!AJ225*AJ113*(Inputs!$F$97/100*0.5-Operations!AJ9/100*Time!AJ20/360)+(Inputs!$F$95/100*Inputs!$F$96/100)*AI125*Time!AJ20/365,0)</f>
        <v>32.6630881794046</v>
      </c>
      <c r="AJ132" s="11" t="n">
        <f aca="false">IF(AND(Time!AJ17&gt;=Time!$F$11,Time!AJ17&lt;57),AJ126+AJ127+AJ128+AJ129+AJ130+AJ131+Inputs!AK225*AK113*(Inputs!$F$97/100*0.5-Operations!AK9/100*Time!AK20/360)+(Inputs!$F$95/100*Inputs!$F$96/100)*AJ125*Time!AK20/365,0)</f>
        <v>32.4425851504057</v>
      </c>
      <c r="AK132" s="11" t="n">
        <f aca="false">IF(AND(Time!AK17&gt;=Time!$F$11,Time!AK17&lt;57),AK126+AK127+AK128+AK129+AK130+AK131+Inputs!AL225*AL113*(Inputs!$F$97/100*0.5-Operations!AL9/100*Time!AL20/360)+(Inputs!$F$95/100*Inputs!$F$96/100)*AK125*Time!AL20/365,0)</f>
        <v>32.778456483646</v>
      </c>
      <c r="AL132" s="11" t="n">
        <f aca="false">IF(AND(Time!AL17&gt;=Time!$F$11,Time!AL17&lt;57),AL126+AL127+AL128+AL129+AL130+AL131+Inputs!AM225*AM113*(Inputs!$F$97/100*0.5-Operations!AM9/100*Time!AM20/360)+(Inputs!$F$95/100*Inputs!$F$96/100)*AL125*Time!AM20/365,0)</f>
        <v>32.1809376284882</v>
      </c>
      <c r="AM132" s="11" t="n">
        <f aca="false">IF(AND(Time!AM17&gt;=Time!$F$11,Time!AM17&lt;57),AM126+AM127+AM128+AM129+AM130+AM131+Inputs!AN225*AN113*(Inputs!$F$97/100*0.5-Operations!AN9/100*Time!AN20/360)+(Inputs!$F$95/100*Inputs!$F$96/100)*AM125*Time!AN20/365,0)</f>
        <v>28.5246483742642</v>
      </c>
      <c r="AN132" s="11" t="n">
        <f aca="false">IF(AND(Time!AN17&gt;=Time!$F$11,Time!AN17&lt;57),AN126+AN127+AN128+AN129+AN130+AN131+Inputs!AO225*AO113*(Inputs!$F$97/100*0.5-Operations!AO9/100*Time!AO20/360)+(Inputs!$F$95/100*Inputs!$F$96/100)*AN125*Time!AO20/365,0)</f>
        <v>26.4061477367069</v>
      </c>
      <c r="AO132" s="11" t="n">
        <f aca="false">IF(AND(Time!AO17&gt;=Time!$F$11,Time!AO17&lt;57),AO126+AO127+AO128+AO129+AO130+AO131+Inputs!AP225*AP113*(Inputs!$F$97/100*0.5-Operations!AP9/100*Time!AP20/360)+(Inputs!$F$95/100*Inputs!$F$96/100)*AO125*Time!AP20/365,0)</f>
        <v>26.6987414632049</v>
      </c>
      <c r="AP132" s="11" t="n">
        <f aca="false">IF(AND(Time!AP17&gt;=Time!$F$11,Time!AP17&lt;57),AP126+AP127+AP128+AP129+AP130+AP131+Inputs!AQ225*AQ113*(Inputs!$F$97/100*0.5-Operations!AQ9/100*Time!AQ20/360)+(Inputs!$F$95/100*Inputs!$F$96/100)*AP125*Time!AQ20/365,0)</f>
        <v>26.2913069884619</v>
      </c>
      <c r="AQ132" s="11" t="n">
        <f aca="false">IF(AND(Time!AQ17&gt;=Time!$F$11,Time!AQ17&lt;57),AQ126+AQ127+AQ128+AQ129+AQ130+AQ131+Inputs!AR225*AR113*(Inputs!$F$97/100*0.5-Operations!AR9/100*Time!AR20/360)+(Inputs!$F$95/100*Inputs!$F$96/100)*AQ125*Time!AR20/365,0)</f>
        <v>26.5270675751611</v>
      </c>
      <c r="AR132" s="11" t="n">
        <f aca="false">IF(AND(Time!AR17&gt;=Time!$F$11,Time!AR17&lt;57),AR126+AR127+AR128+AR129+AR130+AR131+Inputs!AS225*AS113*(Inputs!$F$97/100*0.5-Operations!AS9/100*Time!AS20/360)+(Inputs!$F$95/100*Inputs!$F$96/100)*AR125*Time!AS20/365,0)</f>
        <v>26.1120207428106</v>
      </c>
      <c r="AS132" s="11" t="n">
        <f aca="false">IF(AND(Time!AS17&gt;=Time!$F$11,Time!AS17&lt;57),AS126+AS127+AS128+AS129+AS130+AS131+Inputs!AT225*AT113*(Inputs!$F$97/100*0.5-Operations!AT9/100*Time!AT20/360)+(Inputs!$F$95/100*Inputs!$F$96/100)*AS125*Time!AT20/365,0)</f>
        <v>26.2626901522987</v>
      </c>
      <c r="AT132" s="11" t="n">
        <f aca="false">IF(AND(Time!AT17&gt;=Time!$F$11,Time!AT17&lt;57),AT126+AT127+AT128+AT129+AT130+AT131+Inputs!AU225*AU113*(Inputs!$F$97/100*0.5-Operations!AU9/100*Time!AU20/360)+(Inputs!$F$95/100*Inputs!$F$96/100)*AT125*Time!AU20/365,0)</f>
        <v>30.2912412910693</v>
      </c>
      <c r="AU132" s="11" t="n">
        <f aca="false">IF(AND(Time!AU17&gt;=Time!$F$11,Time!AU17&lt;57),AU126+AU127+AU128+AU129+AU130+AU131+Inputs!AV225*AV113*(Inputs!$F$97/100*0.5-Operations!AV9/100*Time!AV20/360)+(Inputs!$F$95/100*Inputs!$F$96/100)*AU125*Time!AV20/365,0)</f>
        <v>0</v>
      </c>
      <c r="AV132" s="11" t="n">
        <f aca="false">IF(AND(Time!AV17&gt;=Time!$F$11,Time!AV17&lt;57),AV126+AV127+AV128+AV129+AV130+AV131+Inputs!AW225*AW113*(Inputs!$F$97/100*0.5-Operations!AW9/100*Time!AW20/360)+(Inputs!$F$95/100*Inputs!$F$96/100)*AV125*Time!AW20/365,0)</f>
        <v>0</v>
      </c>
      <c r="AW132" s="11" t="n">
        <f aca="false">IF(AND(Time!AW17&gt;=Time!$F$11,Time!AW17&lt;57),AW126+AW127+AW128+AW129+AW130+AW131+Inputs!AX225*AX113*(Inputs!$F$97/100*0.5-Operations!AX9/100*Time!AX20/360)+(Inputs!$F$95/100*Inputs!$F$96/100)*AW125*Time!AX20/365,0)</f>
        <v>0</v>
      </c>
      <c r="AX132" s="11" t="n">
        <f aca="false">IF(AND(Time!AX17&gt;=Time!$F$11,Time!AX17&lt;57),AX126+AX127+AX128+AX129+AX130+AX131+Inputs!AY225*AY113*(Inputs!$F$97/100*0.5-Operations!AY9/100*Time!AY20/360)+(Inputs!$F$95/100*Inputs!$F$96/100)*AX125*Time!AY20/365,0)</f>
        <v>0</v>
      </c>
      <c r="AY132" s="11" t="n">
        <f aca="false">IF(AND(Time!AY17&gt;=Time!$F$11,Time!AY17&lt;57),AY126+AY127+AY128+AY129+AY130+AY131+Inputs!AZ225*AZ113*(Inputs!$F$97/100*0.5-Operations!AZ9/100*Time!AZ20/360)+(Inputs!$F$95/100*Inputs!$F$96/100)*AY125*Time!AZ20/365,0)</f>
        <v>0</v>
      </c>
      <c r="AZ132" s="11" t="n">
        <f aca="false">IF(AND(Time!AZ17&gt;=Time!$F$11,Time!AZ17&lt;57),AZ126+AZ127+AZ128+AZ129+AZ130+AZ131+Inputs!BA225*BA113*(Inputs!$F$97/100*0.5-Operations!BA9/100*Time!BA20/360)+(Inputs!$F$95/100*Inputs!$F$96/100)*AZ125*Time!BA20/365,0)</f>
        <v>0</v>
      </c>
      <c r="BA132" s="11" t="n">
        <f aca="false">IF(AND(Time!BA17&gt;=Time!$F$11,Time!BA17&lt;57),BA126+BA127+BA128+BA129+BA130+BA131+Inputs!BB225*BB113*(Inputs!$F$97/100*0.5-Operations!BB9/100*Time!BB20/360)+(Inputs!$F$95/100*Inputs!$F$96/100)*BA125*Time!BB20/365,0)</f>
        <v>0</v>
      </c>
      <c r="BB132" s="11" t="n">
        <f aca="false">IF(AND(Time!BB17&gt;=Time!$F$11,Time!BB17&lt;57),BB126+BB127+BB128+BB129+BB130+BB131+Inputs!BC225*BC113*(Inputs!$F$97/100*0.5-Operations!BC9/100*Time!BC20/360)+(Inputs!$F$95/100*Inputs!$F$96/100)*BB125*Time!BC20/365,0)</f>
        <v>0</v>
      </c>
      <c r="BC132" s="11" t="n">
        <f aca="false">IF(AND(Time!BC17&gt;=Time!$F$11,Time!BC17&lt;57),BC126+BC127+BC128+BC129+BC130+BC131+Inputs!BD225*BD113*(Inputs!$F$97/100*0.5-Operations!BD9/100*Time!BD20/360)+(Inputs!$F$95/100*Inputs!$F$96/100)*BC125*Time!BD20/365,0)</f>
        <v>0</v>
      </c>
      <c r="BD132" s="11" t="n">
        <f aca="false">IF(AND(Time!BD17&gt;=Time!$F$11,Time!BD17&lt;57),BD126+BD127+BD128+BD129+BD130+BD131+Inputs!BE225*BE113*(Inputs!$F$97/100*0.5-Operations!BE9/100*Time!BE20/360)+(Inputs!$F$95/100*Inputs!$F$96/100)*BD125*Time!BE20/365,0)</f>
        <v>0</v>
      </c>
      <c r="BE132" s="11" t="n">
        <f aca="false">IF(AND(Time!BE17&gt;=Time!$F$11,Time!BE17&lt;57),BE126+BE127+BE128+BE129+BE130+BE131+Inputs!BF225*BF113*(Inputs!$F$97/100*0.5-Operations!BF9/100*Time!BF20/360)+(Inputs!$F$95/100*Inputs!$F$96/100)*BE125*Time!BF20/365,0)</f>
        <v>0</v>
      </c>
      <c r="BF132" s="11" t="n">
        <f aca="false">IF(AND(Time!BF17&gt;=Time!$F$11,Time!BF17&lt;57),BF126+BF127+BF128+BF129+BF130+BF131+Inputs!BG225*BG113*(Inputs!$F$97/100*0.5-Operations!BG9/100*Time!BG20/360)+(Inputs!$F$95/100*Inputs!$F$96/100)*BF125*Time!BG20/365,0)</f>
        <v>0</v>
      </c>
      <c r="BG132" s="11" t="n">
        <f aca="false">IF(AND(Time!BG17&gt;=Time!$F$11,Time!BG17&lt;57),BG126+BG127+BG128+BG129+BG130+BG131+Inputs!BH225*BH113*(Inputs!$F$97/100*0.5-Operations!BH9/100*Time!BH20/360)+(Inputs!$F$95/100*Inputs!$F$96/100)*BG125*Time!BH20/365,0)</f>
        <v>0</v>
      </c>
      <c r="BH132" s="11" t="n">
        <f aca="false">IF(AND(Time!BH17&gt;=Time!$F$11,Time!BH17&lt;57),BH126+BH127+BH128+BH129+BH130+BH131+Inputs!BI225*BI113*(Inputs!$F$97/100*0.5-Operations!BI9/100*Time!BI20/360)+(Inputs!$F$95/100*Inputs!$F$96/100)*BH125*Time!BI20/365,0)</f>
        <v>0</v>
      </c>
      <c r="BI132" s="11" t="n">
        <f aca="false">IF(AND(Time!BI17&gt;=Time!$F$11,Time!BI17&lt;57),BI126+BI127+BI128+BI129+BI130+BI131+Inputs!BJ225*BJ113*(Inputs!$F$97/100*0.5-Operations!BJ9/100*Time!BJ20/360)+(Inputs!$F$95/100*Inputs!$F$96/100)*BI125*Time!BJ20/365,0)</f>
        <v>0</v>
      </c>
      <c r="BJ132" s="11" t="n">
        <f aca="false">IF(AND(Time!BJ17&gt;=Time!$F$11,Time!BJ17&lt;57),BJ126+BJ127+BJ128+BJ129+BJ130+BJ131+Inputs!BK225*BK113*(Inputs!$F$97/100*0.5-Operations!BK9/100*Time!BK20/360)+(Inputs!$F$95/100*Inputs!$F$96/100)*BJ125*Time!BK20/365,0)</f>
        <v>0</v>
      </c>
      <c r="BK132" s="11" t="n">
        <f aca="false">IF(AND(Time!BK17&gt;=Time!$F$11,Time!BK17&lt;57),BK126+BK127+BK128+BK129+BK130+BK131+Inputs!BL225*BL113*(Inputs!$F$97/100*0.5-Operations!BL9/100*Time!BL20/360)+(Inputs!$F$95/100*Inputs!$F$96/100)*BK125*Time!BL20/365,0)</f>
        <v>0</v>
      </c>
      <c r="BL132" s="11" t="n">
        <f aca="false">IF(AND(Time!BL17&gt;=Time!$F$11,Time!BL17&lt;57),BL126+BL127+BL128+BL129+BL130+BL131+Inputs!BM225*BM113*(Inputs!$F$97/100*0.5-Operations!BM9/100*Time!BM20/360)+(Inputs!$F$95/100*Inputs!$F$96/100)*BL125*Time!BM20/365,0)</f>
        <v>0</v>
      </c>
      <c r="BM132" s="11" t="n">
        <f aca="false">IF(AND(Time!BM17&gt;=Time!$F$11,Time!BM17&lt;57),BM126+BM127+BM128+BM129+BM130+BM131+Inputs!BN225*BN113*(Inputs!$F$97/100*0.5-Operations!BN9/100*Time!BN20/360)+(Inputs!$F$95/100*Inputs!$F$96/100)*BM125*Time!BN20/365,0)</f>
        <v>0</v>
      </c>
      <c r="BN132" s="11" t="n">
        <f aca="false">IF(AND(Time!BN17&gt;=Time!$F$11,Time!BN17&lt;57),BN126+BN127+BN128+BN129+BN130+BN131+0*0*(Inputs!$F$97/100*0.5-0/100*0/360)+(Inputs!$F$95/100*Inputs!$F$96/100)*BN125*0/365,0)</f>
        <v>0</v>
      </c>
    </row>
    <row r="133" customFormat="false" ht="15" hidden="false" customHeight="false" outlineLevel="0" collapsed="false">
      <c r="B133" s="2" t="s">
        <v>700</v>
      </c>
    </row>
    <row r="134" customFormat="false" ht="15" hidden="false" customHeight="false" outlineLevel="0" collapsed="false">
      <c r="D134" s="0" t="s">
        <v>701</v>
      </c>
      <c r="E134" s="0" t="s">
        <v>113</v>
      </c>
      <c r="J134" s="9" t="n">
        <f aca="false">IF(AND(Time!J17&gt;=Time!$F$12,Time!J17&lt;=32),1,0)</f>
        <v>0</v>
      </c>
      <c r="K134" s="9" t="n">
        <f aca="false">IF(AND(Time!K17&gt;=Time!$F$12,Time!K17&lt;=32),1,0)</f>
        <v>0</v>
      </c>
      <c r="L134" s="9" t="n">
        <f aca="false">IF(AND(Time!L17&gt;=Time!$F$12,Time!L17&lt;=32),1,0)</f>
        <v>0</v>
      </c>
      <c r="M134" s="9" t="n">
        <f aca="false">IF(AND(Time!M17&gt;=Time!$F$12,Time!M17&lt;=32),1,0)</f>
        <v>0</v>
      </c>
      <c r="N134" s="9" t="n">
        <f aca="false">IF(AND(Time!N17&gt;=Time!$F$12,Time!N17&lt;=32),1,0)</f>
        <v>0</v>
      </c>
      <c r="O134" s="9" t="n">
        <f aca="false">IF(AND(Time!O17&gt;=Time!$F$12,Time!O17&lt;=32),1,0)</f>
        <v>0</v>
      </c>
      <c r="P134" s="9" t="n">
        <f aca="false">IF(AND(Time!P17&gt;=Time!$F$12,Time!P17&lt;=32),1,0)</f>
        <v>0</v>
      </c>
      <c r="Q134" s="9" t="n">
        <f aca="false">IF(AND(Time!Q17&gt;=Time!$F$12,Time!Q17&lt;=32),1,0)</f>
        <v>1</v>
      </c>
      <c r="R134" s="9" t="n">
        <f aca="false">IF(AND(Time!R17&gt;=Time!$F$12,Time!R17&lt;=32),1,0)</f>
        <v>1</v>
      </c>
      <c r="S134" s="9" t="n">
        <f aca="false">IF(AND(Time!S17&gt;=Time!$F$12,Time!S17&lt;=32),1,0)</f>
        <v>1</v>
      </c>
      <c r="T134" s="9" t="n">
        <f aca="false">IF(AND(Time!T17&gt;=Time!$F$12,Time!T17&lt;=32),1,0)</f>
        <v>1</v>
      </c>
      <c r="U134" s="9" t="n">
        <f aca="false">IF(AND(Time!U17&gt;=Time!$F$12,Time!U17&lt;=32),1,0)</f>
        <v>1</v>
      </c>
      <c r="V134" s="9" t="n">
        <f aca="false">IF(AND(Time!V17&gt;=Time!$F$12,Time!V17&lt;=32),1,0)</f>
        <v>1</v>
      </c>
      <c r="W134" s="9" t="n">
        <f aca="false">IF(AND(Time!W17&gt;=Time!$F$12,Time!W17&lt;=32),1,0)</f>
        <v>1</v>
      </c>
      <c r="X134" s="9" t="n">
        <f aca="false">IF(AND(Time!X17&gt;=Time!$F$12,Time!X17&lt;=32),1,0)</f>
        <v>1</v>
      </c>
      <c r="Y134" s="9" t="n">
        <f aca="false">IF(AND(Time!Y17&gt;=Time!$F$12,Time!Y17&lt;=32),1,0)</f>
        <v>1</v>
      </c>
      <c r="Z134" s="9" t="n">
        <f aca="false">IF(AND(Time!Z17&gt;=Time!$F$12,Time!Z17&lt;=32),1,0)</f>
        <v>1</v>
      </c>
      <c r="AA134" s="9" t="n">
        <f aca="false">IF(AND(Time!AA17&gt;=Time!$F$12,Time!AA17&lt;=32),1,0)</f>
        <v>1</v>
      </c>
      <c r="AB134" s="9" t="n">
        <f aca="false">IF(AND(Time!AB17&gt;=Time!$F$12,Time!AB17&lt;=32),1,0)</f>
        <v>1</v>
      </c>
      <c r="AC134" s="9" t="n">
        <f aca="false">IF(AND(Time!AC17&gt;=Time!$F$12,Time!AC17&lt;=32),1,0)</f>
        <v>1</v>
      </c>
      <c r="AD134" s="9" t="n">
        <f aca="false">IF(AND(Time!AD17&gt;=Time!$F$12,Time!AD17&lt;=32),1,0)</f>
        <v>1</v>
      </c>
      <c r="AE134" s="9" t="n">
        <f aca="false">IF(AND(Time!AE17&gt;=Time!$F$12,Time!AE17&lt;=32),1,0)</f>
        <v>1</v>
      </c>
      <c r="AF134" s="9" t="n">
        <f aca="false">IF(AND(Time!AF17&gt;=Time!$F$12,Time!AF17&lt;=32),1,0)</f>
        <v>1</v>
      </c>
      <c r="AG134" s="9" t="n">
        <f aca="false">IF(AND(Time!AG17&gt;=Time!$F$12,Time!AG17&lt;=32),1,0)</f>
        <v>1</v>
      </c>
      <c r="AH134" s="9" t="n">
        <f aca="false">IF(AND(Time!AH17&gt;=Time!$F$12,Time!AH17&lt;=32),1,0)</f>
        <v>1</v>
      </c>
      <c r="AI134" s="9" t="n">
        <f aca="false">IF(AND(Time!AI17&gt;=Time!$F$12,Time!AI17&lt;=32),1,0)</f>
        <v>1</v>
      </c>
      <c r="AJ134" s="9" t="n">
        <f aca="false">IF(AND(Time!AJ17&gt;=Time!$F$12,Time!AJ17&lt;=32),1,0)</f>
        <v>1</v>
      </c>
      <c r="AK134" s="9" t="n">
        <f aca="false">IF(AND(Time!AK17&gt;=Time!$F$12,Time!AK17&lt;=32),1,0)</f>
        <v>1</v>
      </c>
      <c r="AL134" s="9" t="n">
        <f aca="false">IF(AND(Time!AL17&gt;=Time!$F$12,Time!AL17&lt;=32),1,0)</f>
        <v>1</v>
      </c>
      <c r="AM134" s="9" t="n">
        <f aca="false">IF(AND(Time!AM17&gt;=Time!$F$12,Time!AM17&lt;=32),1,0)</f>
        <v>1</v>
      </c>
      <c r="AN134" s="9" t="n">
        <f aca="false">IF(AND(Time!AN17&gt;=Time!$F$12,Time!AN17&lt;=32),1,0)</f>
        <v>1</v>
      </c>
      <c r="AO134" s="9" t="n">
        <f aca="false">IF(AND(Time!AO17&gt;=Time!$F$12,Time!AO17&lt;=32),1,0)</f>
        <v>1</v>
      </c>
      <c r="AP134" s="9" t="n">
        <f aca="false">IF(AND(Time!AP17&gt;=Time!$F$12,Time!AP17&lt;=32),1,0)</f>
        <v>0</v>
      </c>
      <c r="AQ134" s="9" t="n">
        <f aca="false">IF(AND(Time!AQ17&gt;=Time!$F$12,Time!AQ17&lt;=32),1,0)</f>
        <v>0</v>
      </c>
      <c r="AR134" s="9" t="n">
        <f aca="false">IF(AND(Time!AR17&gt;=Time!$F$12,Time!AR17&lt;=32),1,0)</f>
        <v>0</v>
      </c>
      <c r="AS134" s="9" t="n">
        <f aca="false">IF(AND(Time!AS17&gt;=Time!$F$12,Time!AS17&lt;=32),1,0)</f>
        <v>0</v>
      </c>
      <c r="AT134" s="9" t="n">
        <f aca="false">IF(AND(Time!AT17&gt;=Time!$F$12,Time!AT17&lt;=32),1,0)</f>
        <v>0</v>
      </c>
      <c r="AU134" s="9" t="n">
        <f aca="false">IF(AND(Time!AU17&gt;=Time!$F$12,Time!AU17&lt;=32),1,0)</f>
        <v>0</v>
      </c>
      <c r="AV134" s="9" t="n">
        <f aca="false">IF(AND(Time!AV17&gt;=Time!$F$12,Time!AV17&lt;=32),1,0)</f>
        <v>0</v>
      </c>
      <c r="AW134" s="9" t="n">
        <f aca="false">IF(AND(Time!AW17&gt;=Time!$F$12,Time!AW17&lt;=32),1,0)</f>
        <v>0</v>
      </c>
      <c r="AX134" s="9" t="n">
        <f aca="false">IF(AND(Time!AX17&gt;=Time!$F$12,Time!AX17&lt;=32),1,0)</f>
        <v>0</v>
      </c>
      <c r="AY134" s="9" t="n">
        <f aca="false">IF(AND(Time!AY17&gt;=Time!$F$12,Time!AY17&lt;=32),1,0)</f>
        <v>0</v>
      </c>
      <c r="AZ134" s="9" t="n">
        <f aca="false">IF(AND(Time!AZ17&gt;=Time!$F$12,Time!AZ17&lt;=32),1,0)</f>
        <v>0</v>
      </c>
      <c r="BA134" s="9" t="n">
        <f aca="false">IF(AND(Time!BA17&gt;=Time!$F$12,Time!BA17&lt;=32),1,0)</f>
        <v>0</v>
      </c>
      <c r="BB134" s="9" t="n">
        <f aca="false">IF(AND(Time!BB17&gt;=Time!$F$12,Time!BB17&lt;=32),1,0)</f>
        <v>0</v>
      </c>
      <c r="BC134" s="9" t="n">
        <f aca="false">IF(AND(Time!BC17&gt;=Time!$F$12,Time!BC17&lt;=32),1,0)</f>
        <v>0</v>
      </c>
      <c r="BD134" s="9" t="n">
        <f aca="false">IF(AND(Time!BD17&gt;=Time!$F$12,Time!BD17&lt;=32),1,0)</f>
        <v>0</v>
      </c>
      <c r="BE134" s="9" t="n">
        <f aca="false">IF(AND(Time!BE17&gt;=Time!$F$12,Time!BE17&lt;=32),1,0)</f>
        <v>0</v>
      </c>
      <c r="BF134" s="9" t="n">
        <f aca="false">IF(AND(Time!BF17&gt;=Time!$F$12,Time!BF17&lt;=32),1,0)</f>
        <v>0</v>
      </c>
      <c r="BG134" s="9" t="n">
        <f aca="false">IF(AND(Time!BG17&gt;=Time!$F$12,Time!BG17&lt;=32),1,0)</f>
        <v>0</v>
      </c>
      <c r="BH134" s="9" t="n">
        <f aca="false">IF(AND(Time!BH17&gt;=Time!$F$12,Time!BH17&lt;=32),1,0)</f>
        <v>0</v>
      </c>
      <c r="BI134" s="9" t="n">
        <f aca="false">IF(AND(Time!BI17&gt;=Time!$F$12,Time!BI17&lt;=32),1,0)</f>
        <v>0</v>
      </c>
      <c r="BJ134" s="9" t="n">
        <f aca="false">IF(AND(Time!BJ17&gt;=Time!$F$12,Time!BJ17&lt;=32),1,0)</f>
        <v>0</v>
      </c>
      <c r="BK134" s="9" t="n">
        <f aca="false">IF(AND(Time!BK17&gt;=Time!$F$12,Time!BK17&lt;=32),1,0)</f>
        <v>0</v>
      </c>
      <c r="BL134" s="9" t="n">
        <f aca="false">IF(AND(Time!BL17&gt;=Time!$F$12,Time!BL17&lt;=32),1,0)</f>
        <v>0</v>
      </c>
      <c r="BM134" s="9" t="n">
        <f aca="false">IF(AND(Time!BM17&gt;=Time!$F$12,Time!BM17&lt;=32),1,0)</f>
        <v>0</v>
      </c>
      <c r="BN134" s="9" t="n">
        <f aca="false">IF(AND(Time!BN17&gt;=Time!$F$12,Time!BN17&lt;=32),1,0)</f>
        <v>0</v>
      </c>
    </row>
    <row r="135" customFormat="false" ht="15" hidden="false" customHeight="false" outlineLevel="0" collapsed="false">
      <c r="D135" s="0" t="s">
        <v>702</v>
      </c>
      <c r="E135" s="0" t="s">
        <v>99</v>
      </c>
      <c r="J135" s="14" t="n">
        <f aca="false">IF(J134=1,Inputs!$F$75*J10+Inputs!$F$76*J11+Inputs!$F$77*J12+Inputs!$F$78*(J13+(Inputs!$F$95/100*Inputs!$F$96/100)*Time!J20/365)+Inputs!J225/(Funding!$F$25*J18)*(Inputs!$F$97/100*0.5-Operations!J9/100*Time!J20/360),0)</f>
        <v>0</v>
      </c>
      <c r="K135" s="14" t="n">
        <f aca="false">IF(K134=1,Inputs!$F$75*K10+Inputs!$F$76*K11+Inputs!$F$77*K12+Inputs!$F$78*(K13+(Inputs!$F$95/100*Inputs!$F$96/100)*Time!K20/365)+Inputs!K225/(Funding!$F$25*K18)*(Inputs!$F$97/100*0.5-Operations!K9/100*Time!K20/360),0)</f>
        <v>0</v>
      </c>
      <c r="L135" s="14" t="n">
        <f aca="false">IF(L134=1,Inputs!$F$75*L10+Inputs!$F$76*L11+Inputs!$F$77*L12+Inputs!$F$78*(L13+(Inputs!$F$95/100*Inputs!$F$96/100)*Time!L20/365)+Inputs!L225/(Funding!$F$25*L18)*(Inputs!$F$97/100*0.5-Operations!L9/100*Time!L20/360),0)</f>
        <v>0</v>
      </c>
      <c r="M135" s="14" t="n">
        <f aca="false">IF(M134=1,Inputs!$F$75*M10+Inputs!$F$76*M11+Inputs!$F$77*M12+Inputs!$F$78*(M13+(Inputs!$F$95/100*Inputs!$F$96/100)*Time!M20/365)+Inputs!M225/(Funding!$F$25*M18)*(Inputs!$F$97/100*0.5-Operations!M9/100*Time!M20/360),0)</f>
        <v>0</v>
      </c>
      <c r="N135" s="14" t="n">
        <f aca="false">IF(N134=1,Inputs!$F$75*N10+Inputs!$F$76*N11+Inputs!$F$77*N12+Inputs!$F$78*(N13+(Inputs!$F$95/100*Inputs!$F$96/100)*Time!N20/365)+Inputs!N225/(Funding!$F$25*N18)*(Inputs!$F$97/100*0.5-Operations!N9/100*Time!N20/360),0)</f>
        <v>0</v>
      </c>
      <c r="O135" s="14" t="n">
        <f aca="false">IF(O134=1,Inputs!$F$75*O10+Inputs!$F$76*O11+Inputs!$F$77*O12+Inputs!$F$78*(O13+(Inputs!$F$95/100*Inputs!$F$96/100)*Time!O20/365)+Inputs!O225/(Funding!$F$25*O18)*(Inputs!$F$97/100*0.5-Operations!O9/100*Time!O20/360),0)</f>
        <v>0</v>
      </c>
      <c r="P135" s="14" t="n">
        <f aca="false">IF(P134=1,Inputs!$F$75*P10+Inputs!$F$76*P11+Inputs!$F$77*P12+Inputs!$F$78*(P13+(Inputs!$F$95/100*Inputs!$F$96/100)*Time!P20/365)+Inputs!P225/(Funding!$F$25*P18)*(Inputs!$F$97/100*0.5-Operations!P9/100*Time!P20/360),0)</f>
        <v>0</v>
      </c>
      <c r="Q135" s="14" t="n">
        <f aca="false">IF(Q134=1,Inputs!$F$75*Q10+Inputs!$F$76*Q11+Inputs!$F$77*Q12+Inputs!$F$78*(Q13+(Inputs!$F$95/100*Inputs!$F$96/100)*Time!Q20/365)+Inputs!Q225/(Funding!$F$25*Q18)*(Inputs!$F$97/100*0.5-Operations!Q9/100*Time!Q20/360),0)</f>
        <v>0.0303841558122344</v>
      </c>
      <c r="R135" s="14" t="n">
        <f aca="false">IF(R134=1,Inputs!$F$75*R10+Inputs!$F$76*R11+Inputs!$F$77*R12+Inputs!$F$78*(R13+(Inputs!$F$95/100*Inputs!$F$96/100)*Time!R20/365)+Inputs!R225/(Funding!$F$25*R18)*(Inputs!$F$97/100*0.5-Operations!R9/100*Time!R20/360),0)</f>
        <v>0.0341762168789832</v>
      </c>
      <c r="S135" s="14" t="n">
        <f aca="false">IF(S134=1,Inputs!$F$75*S10+Inputs!$F$76*S11+Inputs!$F$77*S12+Inputs!$F$78*(S13+(Inputs!$F$95/100*Inputs!$F$96/100)*Time!S20/365)+Inputs!S225/(Funding!$F$25*S18)*(Inputs!$F$97/100*0.5-Operations!S9/100*Time!S20/360),0)</f>
        <v>0.0369053340131519</v>
      </c>
      <c r="T135" s="14" t="n">
        <f aca="false">IF(T134=1,Inputs!$F$75*T10+Inputs!$F$76*T11+Inputs!$F$77*T12+Inputs!$F$78*(T13+(Inputs!$F$95/100*Inputs!$F$96/100)*Time!T20/365)+Inputs!T225/(Funding!$F$25*T18)*(Inputs!$F$97/100*0.5-Operations!T9/100*Time!T20/360),0)</f>
        <v>0.0408091231091311</v>
      </c>
      <c r="U135" s="14" t="n">
        <f aca="false">IF(U134=1,Inputs!$F$75*U10+Inputs!$F$76*U11+Inputs!$F$77*U12+Inputs!$F$78*(U13+(Inputs!$F$95/100*Inputs!$F$96/100)*Time!U20/365)+Inputs!U225/(Funding!$F$25*U18)*(Inputs!$F$97/100*0.5-Operations!U9/100*Time!U20/360),0)</f>
        <v>0.0400793908277745</v>
      </c>
      <c r="V135" s="14" t="n">
        <f aca="false">IF(V134=1,Inputs!$F$75*V10+Inputs!$F$76*V11+Inputs!$F$77*V12+Inputs!$F$78*(V13+(Inputs!$F$95/100*Inputs!$F$96/100)*Time!V20/365)+Inputs!V225/(Funding!$F$25*V18)*(Inputs!$F$97/100*0.5-Operations!V9/100*Time!V20/360),0)</f>
        <v>0.040476095111514</v>
      </c>
      <c r="W135" s="14" t="n">
        <f aca="false">IF(W134=1,Inputs!$F$75*W10+Inputs!$F$76*W11+Inputs!$F$77*W12+Inputs!$F$78*(W13+(Inputs!$F$95/100*Inputs!$F$96/100)*Time!W20/365)+Inputs!W225/(Funding!$F$25*W18)*(Inputs!$F$97/100*0.5-Operations!W9/100*Time!W20/360),0)</f>
        <v>0.0361085808379145</v>
      </c>
      <c r="X135" s="14" t="n">
        <f aca="false">IF(X134=1,Inputs!$F$75*X10+Inputs!$F$76*X11+Inputs!$F$77*X12+Inputs!$F$78*(X13+(Inputs!$F$95/100*Inputs!$F$96/100)*Time!X20/365)+Inputs!X225/(Funding!$F$25*X18)*(Inputs!$F$97/100*0.5-Operations!X9/100*Time!X20/360),0)</f>
        <v>0.0364096344022154</v>
      </c>
      <c r="Y135" s="14" t="n">
        <f aca="false">IF(Y134=1,Inputs!$F$75*Y10+Inputs!$F$76*Y11+Inputs!$F$77*Y12+Inputs!$F$78*(Y13+(Inputs!$F$95/100*Inputs!$F$96/100)*Time!Y20/365)+Inputs!Y225/(Funding!$F$25*Y18)*(Inputs!$F$97/100*0.5-Operations!Y9/100*Time!Y20/360),0)</f>
        <v>0.0363220475237898</v>
      </c>
      <c r="Z135" s="14" t="n">
        <f aca="false">IF(Z134=1,Inputs!$F$75*Z10+Inputs!$F$76*Z11+Inputs!$F$77*Z12+Inputs!$F$78*(Z13+(Inputs!$F$95/100*Inputs!$F$96/100)*Time!Z20/365)+Inputs!Z225/(Funding!$F$25*Z18)*(Inputs!$F$97/100*0.5-Operations!Z9/100*Time!Z20/360),0)</f>
        <v>0.0366794560239935</v>
      </c>
      <c r="AA135" s="14" t="n">
        <f aca="false">IF(AA134=1,Inputs!$F$75*AA10+Inputs!$F$76*AA11+Inputs!$F$77*AA12+Inputs!$F$78*(AA13+(Inputs!$F$95/100*Inputs!$F$96/100)*Time!AA20/365)+Inputs!AA225/(Funding!$F$25*AA18)*(Inputs!$F$97/100*0.5-Operations!AA9/100*Time!AA20/360),0)</f>
        <v>0.0360971574471061</v>
      </c>
      <c r="AB135" s="14" t="n">
        <f aca="false">IF(AB134=1,Inputs!$F$75*AB10+Inputs!$F$76*AB11+Inputs!$F$77*AB12+Inputs!$F$78*(AB13+(Inputs!$F$95/100*Inputs!$F$96/100)*Time!AB20/365)+Inputs!AB225/(Funding!$F$25*AB18)*(Inputs!$F$97/100*0.5-Operations!AB9/100*Time!AB20/360),0)</f>
        <v>0.0365045815850487</v>
      </c>
      <c r="AC135" s="14" t="n">
        <f aca="false">IF(AC134=1,Inputs!$F$75*AC10+Inputs!$F$76*AC11+Inputs!$F$77*AC12+Inputs!$F$78*(AC13+(Inputs!$F$95/100*Inputs!$F$96/100)*Time!AC20/365)+Inputs!AC225/(Funding!$F$25*AC18)*(Inputs!$F$97/100*0.5-Operations!AC9/100*Time!AC20/360),0)</f>
        <v>0.0362986698861316</v>
      </c>
      <c r="AD135" s="14" t="n">
        <f aca="false">IF(AD134=1,Inputs!$F$75*AD10+Inputs!$F$76*AD11+Inputs!$F$77*AD12+Inputs!$F$78*(AD13+(Inputs!$F$95/100*Inputs!$F$96/100)*Time!AD20/365)+Inputs!AD225/(Funding!$F$25*AD18)*(Inputs!$F$97/100*0.5-Operations!AD9/100*Time!AD20/360),0)</f>
        <v>0.0365720439999259</v>
      </c>
      <c r="AE135" s="14" t="n">
        <f aca="false">IF(AE134=1,Inputs!$F$75*AE10+Inputs!$F$76*AE11+Inputs!$F$77*AE12+Inputs!$F$78*(AE13+(Inputs!$F$95/100*Inputs!$F$96/100)*Time!AE20/365)+Inputs!AE225/(Funding!$F$25*AE18)*(Inputs!$F$97/100*0.5-Operations!AE9/100*Time!AE20/360),0)</f>
        <v>0.0361767352430617</v>
      </c>
      <c r="AF135" s="14" t="n">
        <f aca="false">IF(AF134=1,Inputs!$F$75*AF10+Inputs!$F$76*AF11+Inputs!$F$77*AF12+Inputs!$F$78*(AF13+(Inputs!$F$95/100*Inputs!$F$96/100)*Time!AF20/365)+Inputs!AF225/(Funding!$F$25*AF18)*(Inputs!$F$97/100*0.5-Operations!AF9/100*Time!AF20/360),0)</f>
        <v>0.0365911920782268</v>
      </c>
      <c r="AG135" s="14" t="n">
        <f aca="false">IF(AG134=1,Inputs!$F$75*AG10+Inputs!$F$76*AG11+Inputs!$F$77*AG12+Inputs!$F$78*(AG13+(Inputs!$F$95/100*Inputs!$F$96/100)*Time!AG20/365)+Inputs!AG225/(Funding!$F$25*AG18)*(Inputs!$F$97/100*0.5-Operations!AG9/100*Time!AG20/360),0)</f>
        <v>0.0372419592431949</v>
      </c>
      <c r="AH135" s="14" t="n">
        <f aca="false">IF(AH134=1,Inputs!$F$75*AH10+Inputs!$F$76*AH11+Inputs!$F$77*AH12+Inputs!$F$78*(AH13+(Inputs!$F$95/100*Inputs!$F$96/100)*Time!AH20/365)+Inputs!AH225/(Funding!$F$25*AH18)*(Inputs!$F$97/100*0.5-Operations!AH9/100*Time!AH20/360),0)</f>
        <v>0.0376729158864666</v>
      </c>
      <c r="AI135" s="14" t="n">
        <f aca="false">IF(AI134=1,Inputs!$F$75*AI10+Inputs!$F$76*AI11+Inputs!$F$77*AI12+Inputs!$F$78*(AI13+(Inputs!$F$95/100*Inputs!$F$96/100)*Time!AI20/365)+Inputs!AI225/(Funding!$F$25*AI18)*(Inputs!$F$97/100*0.5-Operations!AI9/100*Time!AI20/360),0)</f>
        <v>0.0372493234904133</v>
      </c>
      <c r="AJ135" s="14" t="n">
        <f aca="false">IF(AJ134=1,Inputs!$F$75*AJ10+Inputs!$F$76*AJ11+Inputs!$F$77*AJ12+Inputs!$F$78*(AJ13+(Inputs!$F$95/100*Inputs!$F$96/100)*Time!AJ20/365)+Inputs!AJ225/(Funding!$F$25*AJ18)*(Inputs!$F$97/100*0.5-Operations!AJ9/100*Time!AJ20/360),0)</f>
        <v>0.0376816136668887</v>
      </c>
      <c r="AK135" s="14" t="n">
        <f aca="false">IF(AK134=1,Inputs!$F$75*AK10+Inputs!$F$76*AK11+Inputs!$F$77*AK12+Inputs!$F$78*(AK13+(Inputs!$F$95/100*Inputs!$F$96/100)*Time!AK20/365)+Inputs!AK225/(Funding!$F$25*AK18)*(Inputs!$F$97/100*0.5-Operations!AK9/100*Time!AK20/360),0)</f>
        <v>0.0374020558495709</v>
      </c>
      <c r="AL135" s="14" t="n">
        <f aca="false">IF(AL134=1,Inputs!$F$75*AL10+Inputs!$F$76*AL11+Inputs!$F$77*AL12+Inputs!$F$78*(AL13+(Inputs!$F$95/100*Inputs!$F$96/100)*Time!AL20/365)+Inputs!AL225/(Funding!$F$25*AL18)*(Inputs!$F$97/100*0.5-Operations!AL9/100*Time!AL20/360),0)</f>
        <v>0.0376998381635465</v>
      </c>
      <c r="AM135" s="14" t="n">
        <f aca="false">IF(AM134=1,Inputs!$F$75*AM10+Inputs!$F$76*AM11+Inputs!$F$77*AM12+Inputs!$F$78*(AM13+(Inputs!$F$95/100*Inputs!$F$96/100)*Time!AM20/365)+Inputs!AM225/(Funding!$F$25*AM18)*(Inputs!$F$97/100*0.5-Operations!AM9/100*Time!AM20/360),0)</f>
        <v>0.0373088956259951</v>
      </c>
      <c r="AN135" s="14" t="n">
        <f aca="false">IF(AN134=1,Inputs!$F$75*AN10+Inputs!$F$76*AN11+Inputs!$F$77*AN12+Inputs!$F$78*(AN13+(Inputs!$F$95/100*Inputs!$F$96/100)*Time!AN20/365)+Inputs!AN225/(Funding!$F$25*AN18)*(Inputs!$F$97/100*0.5-Operations!AN9/100*Time!AN20/360),0)</f>
        <v>0.0377715518801103</v>
      </c>
      <c r="AO135" s="14" t="n">
        <f aca="false">IF(AO134=1,Inputs!$F$75*AO10+Inputs!$F$76*AO11+Inputs!$F$77*AO12+Inputs!$F$78*(AO13+(Inputs!$F$95/100*Inputs!$F$96/100)*Time!AO20/365)+Inputs!AO225/(Funding!$F$25*AO18)*(Inputs!$F$97/100*0.5-Operations!AO9/100*Time!AO20/360),0)</f>
        <v>0.0372163086639154</v>
      </c>
      <c r="AP135" s="14" t="n">
        <f aca="false">IF(AP134=1,Inputs!$F$75*AP10+Inputs!$F$76*AP11+Inputs!$F$77*AP12+Inputs!$F$78*(AP13+(Inputs!$F$95/100*Inputs!$F$96/100)*Time!AP20/365)+Inputs!AP225/(Funding!$F$25*AP18)*(Inputs!$F$97/100*0.5-Operations!AP9/100*Time!AP20/360),0)</f>
        <v>0</v>
      </c>
      <c r="AQ135" s="14" t="n">
        <f aca="false">IF(AQ134=1,Inputs!$F$75*AQ10+Inputs!$F$76*AQ11+Inputs!$F$77*AQ12+Inputs!$F$78*(AQ13+(Inputs!$F$95/100*Inputs!$F$96/100)*Time!AQ20/365)+Inputs!AQ225/(Funding!$F$25*AQ18)*(Inputs!$F$97/100*0.5-Operations!AQ9/100*Time!AQ20/360),0)</f>
        <v>0</v>
      </c>
      <c r="AR135" s="14" t="n">
        <f aca="false">IF(AR134=1,Inputs!$F$75*AR10+Inputs!$F$76*AR11+Inputs!$F$77*AR12+Inputs!$F$78*(AR13+(Inputs!$F$95/100*Inputs!$F$96/100)*Time!AR20/365)+Inputs!AR225/(Funding!$F$25*AR18)*(Inputs!$F$97/100*0.5-Operations!AR9/100*Time!AR20/360),0)</f>
        <v>0</v>
      </c>
      <c r="AS135" s="14" t="n">
        <f aca="false">IF(AS134=1,Inputs!$F$75*AS10+Inputs!$F$76*AS11+Inputs!$F$77*AS12+Inputs!$F$78*(AS13+(Inputs!$F$95/100*Inputs!$F$96/100)*Time!AS20/365)+Inputs!AS225/(Funding!$F$25*AS18)*(Inputs!$F$97/100*0.5-Operations!AS9/100*Time!AS20/360),0)</f>
        <v>0</v>
      </c>
      <c r="AT135" s="14" t="n">
        <f aca="false">IF(AT134=1,Inputs!$F$75*AT10+Inputs!$F$76*AT11+Inputs!$F$77*AT12+Inputs!$F$78*(AT13+(Inputs!$F$95/100*Inputs!$F$96/100)*Time!AT20/365)+Inputs!AT225/(Funding!$F$25*AT18)*(Inputs!$F$97/100*0.5-Operations!AT9/100*Time!AT20/360),0)</f>
        <v>0</v>
      </c>
      <c r="AU135" s="14" t="n">
        <f aca="false">IF(AU134=1,Inputs!$F$75*AU10+Inputs!$F$76*AU11+Inputs!$F$77*AU12+Inputs!$F$78*(AU13+(Inputs!$F$95/100*Inputs!$F$96/100)*Time!AU20/365)+Inputs!AU225/(Funding!$F$25*AU18)*(Inputs!$F$97/100*0.5-Operations!AU9/100*Time!AU20/360),0)</f>
        <v>0</v>
      </c>
      <c r="AV135" s="14" t="n">
        <f aca="false">IF(AV134=1,Inputs!$F$75*AV10+Inputs!$F$76*AV11+Inputs!$F$77*AV12+Inputs!$F$78*(AV13+(Inputs!$F$95/100*Inputs!$F$96/100)*Time!AV20/365)+Inputs!AV225/(Funding!$F$25*AV18)*(Inputs!$F$97/100*0.5-Operations!AV9/100*Time!AV20/360),0)</f>
        <v>0</v>
      </c>
      <c r="AW135" s="14" t="n">
        <f aca="false">IF(AW134=1,Inputs!$F$75*AW10+Inputs!$F$76*AW11+Inputs!$F$77*AW12+Inputs!$F$78*(AW13+(Inputs!$F$95/100*Inputs!$F$96/100)*Time!AW20/365)+Inputs!AW225/(Funding!$F$25*AW18)*(Inputs!$F$97/100*0.5-Operations!AW9/100*Time!AW20/360),0)</f>
        <v>0</v>
      </c>
      <c r="AX135" s="14" t="n">
        <f aca="false">IF(AX134=1,Inputs!$F$75*AX10+Inputs!$F$76*AX11+Inputs!$F$77*AX12+Inputs!$F$78*(AX13+(Inputs!$F$95/100*Inputs!$F$96/100)*Time!AX20/365)+Inputs!AX225/(Funding!$F$25*AX18)*(Inputs!$F$97/100*0.5-Operations!AX9/100*Time!AX20/360),0)</f>
        <v>0</v>
      </c>
      <c r="AY135" s="14" t="n">
        <f aca="false">IF(AY134=1,Inputs!$F$75*AY10+Inputs!$F$76*AY11+Inputs!$F$77*AY12+Inputs!$F$78*(AY13+(Inputs!$F$95/100*Inputs!$F$96/100)*Time!AY20/365)+Inputs!AY225/(Funding!$F$25*AY18)*(Inputs!$F$97/100*0.5-Operations!AY9/100*Time!AY20/360),0)</f>
        <v>0</v>
      </c>
      <c r="AZ135" s="14" t="n">
        <f aca="false">IF(AZ134=1,Inputs!$F$75*AZ10+Inputs!$F$76*AZ11+Inputs!$F$77*AZ12+Inputs!$F$78*(AZ13+(Inputs!$F$95/100*Inputs!$F$96/100)*Time!AZ20/365)+Inputs!AZ225/(Funding!$F$25*AZ18)*(Inputs!$F$97/100*0.5-Operations!AZ9/100*Time!AZ20/360),0)</f>
        <v>0</v>
      </c>
      <c r="BA135" s="14" t="n">
        <f aca="false">IF(BA134=1,Inputs!$F$75*BA10+Inputs!$F$76*BA11+Inputs!$F$77*BA12+Inputs!$F$78*(BA13+(Inputs!$F$95/100*Inputs!$F$96/100)*Time!BA20/365)+Inputs!BA225/(Funding!$F$25*BA18)*(Inputs!$F$97/100*0.5-Operations!BA9/100*Time!BA20/360),0)</f>
        <v>0</v>
      </c>
      <c r="BB135" s="14" t="n">
        <f aca="false">IF(BB134=1,Inputs!$F$75*BB10+Inputs!$F$76*BB11+Inputs!$F$77*BB12+Inputs!$F$78*(BB13+(Inputs!$F$95/100*Inputs!$F$96/100)*Time!BB20/365)+Inputs!BB225/(Funding!$F$25*BB18)*(Inputs!$F$97/100*0.5-Operations!BB9/100*Time!BB20/360),0)</f>
        <v>0</v>
      </c>
      <c r="BC135" s="14" t="n">
        <f aca="false">IF(BC134=1,Inputs!$F$75*BC10+Inputs!$F$76*BC11+Inputs!$F$77*BC12+Inputs!$F$78*(BC13+(Inputs!$F$95/100*Inputs!$F$96/100)*Time!BC20/365)+Inputs!BC225/(Funding!$F$25*BC18)*(Inputs!$F$97/100*0.5-Operations!BC9/100*Time!BC20/360),0)</f>
        <v>0</v>
      </c>
      <c r="BD135" s="14" t="n">
        <f aca="false">IF(BD134=1,Inputs!$F$75*BD10+Inputs!$F$76*BD11+Inputs!$F$77*BD12+Inputs!$F$78*(BD13+(Inputs!$F$95/100*Inputs!$F$96/100)*Time!BD20/365)+Inputs!BD225/(Funding!$F$25*BD18)*(Inputs!$F$97/100*0.5-Operations!BD9/100*Time!BD20/360),0)</f>
        <v>0</v>
      </c>
      <c r="BE135" s="14" t="n">
        <f aca="false">IF(BE134=1,Inputs!$F$75*BE10+Inputs!$F$76*BE11+Inputs!$F$77*BE12+Inputs!$F$78*(BE13+(Inputs!$F$95/100*Inputs!$F$96/100)*Time!BE20/365)+Inputs!BE225/(Funding!$F$25*BE18)*(Inputs!$F$97/100*0.5-Operations!BE9/100*Time!BE20/360),0)</f>
        <v>0</v>
      </c>
      <c r="BF135" s="14" t="n">
        <f aca="false">IF(BF134=1,Inputs!$F$75*BF10+Inputs!$F$76*BF11+Inputs!$F$77*BF12+Inputs!$F$78*(BF13+(Inputs!$F$95/100*Inputs!$F$96/100)*Time!BF20/365)+Inputs!BF225/(Funding!$F$25*BF18)*(Inputs!$F$97/100*0.5-Operations!BF9/100*Time!BF20/360),0)</f>
        <v>0</v>
      </c>
      <c r="BG135" s="14" t="n">
        <f aca="false">IF(BG134=1,Inputs!$F$75*BG10+Inputs!$F$76*BG11+Inputs!$F$77*BG12+Inputs!$F$78*(BG13+(Inputs!$F$95/100*Inputs!$F$96/100)*Time!BG20/365)+Inputs!BG225/(Funding!$F$25*BG18)*(Inputs!$F$97/100*0.5-Operations!BG9/100*Time!BG20/360),0)</f>
        <v>0</v>
      </c>
      <c r="BH135" s="14" t="n">
        <f aca="false">IF(BH134=1,Inputs!$F$75*BH10+Inputs!$F$76*BH11+Inputs!$F$77*BH12+Inputs!$F$78*(BH13+(Inputs!$F$95/100*Inputs!$F$96/100)*Time!BH20/365)+Inputs!BH225/(Funding!$F$25*BH18)*(Inputs!$F$97/100*0.5-Operations!BH9/100*Time!BH20/360),0)</f>
        <v>0</v>
      </c>
      <c r="BI135" s="14" t="n">
        <f aca="false">IF(BI134=1,Inputs!$F$75*BI10+Inputs!$F$76*BI11+Inputs!$F$77*BI12+Inputs!$F$78*(BI13+(Inputs!$F$95/100*Inputs!$F$96/100)*Time!BI20/365)+Inputs!BI225/(Funding!$F$25*BI18)*(Inputs!$F$97/100*0.5-Operations!BI9/100*Time!BI20/360),0)</f>
        <v>0</v>
      </c>
      <c r="BJ135" s="14" t="n">
        <f aca="false">IF(BJ134=1,Inputs!$F$75*BJ10+Inputs!$F$76*BJ11+Inputs!$F$77*BJ12+Inputs!$F$78*(BJ13+(Inputs!$F$95/100*Inputs!$F$96/100)*Time!BJ20/365)+Inputs!BJ225/(Funding!$F$25*BJ18)*(Inputs!$F$97/100*0.5-Operations!BJ9/100*Time!BJ20/360),0)</f>
        <v>0</v>
      </c>
      <c r="BK135" s="14" t="n">
        <f aca="false">IF(BK134=1,Inputs!$F$75*BK10+Inputs!$F$76*BK11+Inputs!$F$77*BK12+Inputs!$F$78*(BK13+(Inputs!$F$95/100*Inputs!$F$96/100)*Time!BK20/365)+Inputs!BK225/(Funding!$F$25*BK18)*(Inputs!$F$97/100*0.5-Operations!BK9/100*Time!BK20/360),0)</f>
        <v>0</v>
      </c>
      <c r="BL135" s="14" t="n">
        <f aca="false">IF(BL134=1,Inputs!$F$75*BL10+Inputs!$F$76*BL11+Inputs!$F$77*BL12+Inputs!$F$78*(BL13+(Inputs!$F$95/100*Inputs!$F$96/100)*Time!BL20/365)+Inputs!BL225/(Funding!$F$25*BL18)*(Inputs!$F$97/100*0.5-Operations!BL9/100*Time!BL20/360),0)</f>
        <v>0</v>
      </c>
      <c r="BM135" s="14" t="n">
        <f aca="false">IF(BM134=1,Inputs!$F$75*BM10+Inputs!$F$76*BM11+Inputs!$F$77*BM12+Inputs!$F$78*(BM13+(Inputs!$F$95/100*Inputs!$F$96/100)*Time!BM20/365)+Inputs!BM225/(Funding!$F$25*BM18)*(Inputs!$F$97/100*0.5-Operations!BM9/100*Time!BM20/360),0)</f>
        <v>0</v>
      </c>
      <c r="BN135" s="14" t="n">
        <f aca="false">IF(BN134=1,Inputs!$F$75*BN10+Inputs!$F$76*BN11+Inputs!$F$77*BN12+Inputs!$F$78*(BN13+(Inputs!$F$95/100*Inputs!$F$96/100)*Time!BN20/365)+Inputs!BN225/(Funding!$F$25*BN18)*(Inputs!$F$97/100*0.5-Operations!BN9/100*Time!BN20/360),0)</f>
        <v>0</v>
      </c>
    </row>
    <row r="136" customFormat="false" ht="15" hidden="false" customHeight="false" outlineLevel="0" collapsed="false">
      <c r="D136" s="0" t="s">
        <v>703</v>
      </c>
      <c r="E136" s="0" t="s">
        <v>149</v>
      </c>
      <c r="J136" s="11" t="n">
        <f aca="false">IF(J134=1,(Waterfall!J7+K136)/(1+J135),0)</f>
        <v>0</v>
      </c>
      <c r="K136" s="11" t="n">
        <f aca="false">IF(K134=1,(Waterfall!K7+L136)/(1+K135),0)</f>
        <v>0</v>
      </c>
      <c r="L136" s="11" t="n">
        <f aca="false">IF(L134=1,(Waterfall!L7+M136)/(1+L135),0)</f>
        <v>0</v>
      </c>
      <c r="M136" s="11" t="n">
        <f aca="false">IF(M134=1,(Waterfall!M7+N136)/(1+M135),0)</f>
        <v>0</v>
      </c>
      <c r="N136" s="11" t="n">
        <f aca="false">IF(N134=1,(Waterfall!N7+O136)/(1+N135),0)</f>
        <v>0</v>
      </c>
      <c r="O136" s="11" t="n">
        <f aca="false">IF(O134=1,(Waterfall!O7+P136)/(1+O135),0)</f>
        <v>0</v>
      </c>
      <c r="P136" s="11" t="n">
        <f aca="false">IF(P134=1,(Waterfall!P7+Q136)/(1+P135),0)</f>
        <v>0</v>
      </c>
      <c r="Q136" s="11" t="n">
        <f aca="false">IF(Q134=1,(Waterfall!Q7+R136)/(1+Q135),0)</f>
        <v>806.517608097994</v>
      </c>
      <c r="R136" s="11" t="n">
        <f aca="false">IF(R134=1,(Waterfall!R7+S136)/(1+R135),0)</f>
        <v>786.221928254165</v>
      </c>
      <c r="S136" s="11" t="n">
        <f aca="false">IF(S134=1,(Waterfall!S7+T136)/(1+S135),0)</f>
        <v>775.726650207141</v>
      </c>
      <c r="T136" s="11" t="n">
        <f aca="false">IF(T134=1,(Waterfall!T7+U136)/(1+T135),0)</f>
        <v>768.584483548808</v>
      </c>
      <c r="U136" s="11" t="n">
        <f aca="false">IF(U134=1,(Waterfall!U7+V136)/(1+U135),0)</f>
        <v>743.760567963661</v>
      </c>
      <c r="V136" s="11" t="n">
        <f aca="false">IF(V134=1,(Waterfall!V7+W136)/(1+V135),0)</f>
        <v>716.185921264056</v>
      </c>
      <c r="W136" s="11" t="n">
        <f aca="false">IF(W134=1,(Waterfall!W7+X136)/(1+W135),0)</f>
        <v>688.4998911216</v>
      </c>
      <c r="X136" s="11" t="n">
        <f aca="false">IF(X134=1,(Waterfall!X7+Y136)/(1+X135),0)</f>
        <v>658.004246363624</v>
      </c>
      <c r="Y136" s="11" t="n">
        <f aca="false">IF(Y134=1,(Waterfall!Y7+Z136)/(1+Y135),0)</f>
        <v>630.280489889676</v>
      </c>
      <c r="Z136" s="11" t="n">
        <f aca="false">IF(Z134=1,(Waterfall!Z7+AA136)/(1+Z135),0)</f>
        <v>604.03907187007</v>
      </c>
      <c r="AA136" s="11" t="n">
        <f aca="false">IF(AA134=1,(Waterfall!AA7+AB136)/(1+AA135),0)</f>
        <v>576.335651833639</v>
      </c>
      <c r="AB136" s="11" t="n">
        <f aca="false">IF(AB134=1,(Waterfall!AB7+AC136)/(1+AB135),0)</f>
        <v>547.841016724018</v>
      </c>
      <c r="AC136" s="11" t="n">
        <f aca="false">IF(AC134=1,(Waterfall!AC7+AD136)/(1+AC135),0)</f>
        <v>517.853140676649</v>
      </c>
      <c r="AD136" s="11" t="n">
        <f aca="false">IF(AD134=1,(Waterfall!AD7+AE136)/(1+AD135),0)</f>
        <v>486.980894229851</v>
      </c>
      <c r="AE136" s="11" t="n">
        <f aca="false">IF(AE134=1,(Waterfall!AE7+AF136)/(1+AE135),0)</f>
        <v>454.562567441304</v>
      </c>
      <c r="AF136" s="11" t="n">
        <f aca="false">IF(AF134=1,(Waterfall!AF7+AG136)/(1+AF135),0)</f>
        <v>419.342825025029</v>
      </c>
      <c r="AG136" s="11" t="n">
        <f aca="false">IF(AG134=1,(Waterfall!AG7+AH136)/(1+AG135),0)</f>
        <v>382.167870957811</v>
      </c>
      <c r="AH136" s="11" t="n">
        <f aca="false">IF(AH134=1,(Waterfall!AH7+AI136)/(1+AH135),0)</f>
        <v>344.689912104342</v>
      </c>
      <c r="AI136" s="11" t="n">
        <f aca="false">IF(AI134=1,(Waterfall!AI7+AJ136)/(1+AI135),0)</f>
        <v>305.206540003542</v>
      </c>
      <c r="AJ136" s="11" t="n">
        <f aca="false">IF(AJ134=1,(Waterfall!AJ7+AK136)/(1+AJ135),0)</f>
        <v>264.44485144079</v>
      </c>
      <c r="AK136" s="11" t="n">
        <f aca="false">IF(AK134=1,(Waterfall!AK7+AL136)/(1+AK135),0)</f>
        <v>221.619405936802</v>
      </c>
      <c r="AL136" s="11" t="n">
        <f aca="false">IF(AL134=1,(Waterfall!AL7+AM136)/(1+AL135),0)</f>
        <v>177.474650578385</v>
      </c>
      <c r="AM136" s="11" t="n">
        <f aca="false">IF(AM134=1,(Waterfall!AM7+AN136)/(1+AM135),0)</f>
        <v>131.18880344664</v>
      </c>
      <c r="AN136" s="11" t="n">
        <f aca="false">IF(AN134=1,(Waterfall!AN7+AO136)/(1+AN135),0)</f>
        <v>84.0724113516629</v>
      </c>
      <c r="AO136" s="11" t="n">
        <f aca="false">IF(AO134=1,(Waterfall!AO7+AP136)/(1+AO135),0)</f>
        <v>41.1463579172524</v>
      </c>
      <c r="AP136" s="11" t="n">
        <f aca="false">IF(AP134=1,(Waterfall!AP7+AQ136)/(1+AP135),0)</f>
        <v>0</v>
      </c>
      <c r="AQ136" s="11" t="n">
        <f aca="false">IF(AQ134=1,(Waterfall!AQ7+AR136)/(1+AQ135),0)</f>
        <v>0</v>
      </c>
      <c r="AR136" s="11" t="n">
        <f aca="false">IF(AR134=1,(Waterfall!AR7+AS136)/(1+AR135),0)</f>
        <v>0</v>
      </c>
      <c r="AS136" s="11" t="n">
        <f aca="false">IF(AS134=1,(Waterfall!AS7+AT136)/(1+AS135),0)</f>
        <v>0</v>
      </c>
      <c r="AT136" s="11" t="n">
        <f aca="false">IF(AT134=1,(Waterfall!AT7+AU136)/(1+AT135),0)</f>
        <v>0</v>
      </c>
      <c r="AU136" s="11" t="n">
        <f aca="false">IF(AU134=1,(Waterfall!AU7+AV136)/(1+AU135),0)</f>
        <v>0</v>
      </c>
      <c r="AV136" s="11" t="n">
        <f aca="false">IF(AV134=1,(Waterfall!AV7+AW136)/(1+AV135),0)</f>
        <v>0</v>
      </c>
      <c r="AW136" s="11" t="n">
        <f aca="false">IF(AW134=1,(Waterfall!AW7+AX136)/(1+AW135),0)</f>
        <v>0</v>
      </c>
      <c r="AX136" s="11" t="n">
        <f aca="false">IF(AX134=1,(Waterfall!AX7+AY136)/(1+AX135),0)</f>
        <v>0</v>
      </c>
      <c r="AY136" s="11" t="n">
        <f aca="false">IF(AY134=1,(Waterfall!AY7+AZ136)/(1+AY135),0)</f>
        <v>0</v>
      </c>
      <c r="AZ136" s="11" t="n">
        <f aca="false">IF(AZ134=1,(Waterfall!AZ7+BA136)/(1+AZ135),0)</f>
        <v>0</v>
      </c>
      <c r="BA136" s="11" t="n">
        <f aca="false">IF(BA134=1,(Waterfall!BA7+BB136)/(1+BA135),0)</f>
        <v>0</v>
      </c>
      <c r="BB136" s="11" t="n">
        <f aca="false">IF(BB134=1,(Waterfall!BB7+BC136)/(1+BB135),0)</f>
        <v>0</v>
      </c>
      <c r="BC136" s="11" t="n">
        <f aca="false">IF(BC134=1,(Waterfall!BC7+BD136)/(1+BC135),0)</f>
        <v>0</v>
      </c>
      <c r="BD136" s="11" t="n">
        <f aca="false">IF(BD134=1,(Waterfall!BD7+BE136)/(1+BD135),0)</f>
        <v>0</v>
      </c>
      <c r="BE136" s="11" t="n">
        <f aca="false">IF(BE134=1,(Waterfall!BE7+BF136)/(1+BE135),0)</f>
        <v>0</v>
      </c>
      <c r="BF136" s="11" t="n">
        <f aca="false">IF(BF134=1,(Waterfall!BF7+BG136)/(1+BF135),0)</f>
        <v>0</v>
      </c>
      <c r="BG136" s="11" t="n">
        <f aca="false">IF(BG134=1,(Waterfall!BG7+BH136)/(1+BG135),0)</f>
        <v>0</v>
      </c>
      <c r="BH136" s="11" t="n">
        <f aca="false">IF(BH134=1,(Waterfall!BH7+BI136)/(1+BH135),0)</f>
        <v>0</v>
      </c>
      <c r="BI136" s="11" t="n">
        <f aca="false">IF(BI134=1,(Waterfall!BI7+BJ136)/(1+BI135),0)</f>
        <v>0</v>
      </c>
      <c r="BJ136" s="11" t="n">
        <f aca="false">IF(BJ134=1,(Waterfall!BJ7+BK136)/(1+BJ135),0)</f>
        <v>0</v>
      </c>
      <c r="BK136" s="11" t="n">
        <f aca="false">IF(BK134=1,(Waterfall!BK7+BL136)/(1+BK135),0)</f>
        <v>0</v>
      </c>
      <c r="BL136" s="11" t="n">
        <f aca="false">IF(BL134=1,(Waterfall!BL7+BM136)/(1+BL135),0)</f>
        <v>0</v>
      </c>
      <c r="BM136" s="11" t="n">
        <f aca="false">IF(BM134=1,(Waterfall!BM7+BN136)/(1+BM135),0)</f>
        <v>0</v>
      </c>
      <c r="BN136" s="11" t="n">
        <f aca="false">IF(BN134=1,(Waterfall!BN7+0)/(1+BN135),0)</f>
        <v>0</v>
      </c>
    </row>
    <row r="137" customFormat="false" ht="15" hidden="false" customHeight="false" outlineLevel="0" collapsed="false">
      <c r="D137" s="0" t="s">
        <v>704</v>
      </c>
      <c r="E137" s="0" t="s">
        <v>202</v>
      </c>
      <c r="F137" s="10" t="n">
        <f aca="false">INDEX(Debt!$J$136:$BN$136,1,Time!$F$12)/Funding!$F$25</f>
        <v>1.27360441787654</v>
      </c>
    </row>
    <row r="138" customFormat="false" ht="15" hidden="false" customHeight="false" outlineLevel="0" collapsed="false">
      <c r="D138" s="0" t="s">
        <v>705</v>
      </c>
      <c r="E138" s="0" t="s">
        <v>149</v>
      </c>
      <c r="F138" s="15" t="n">
        <f aca="false">INDEX(Debt!$J$136:$BN$136,1,Time!$F$12)/Inputs!$F$106</f>
        <v>597.420450442959</v>
      </c>
    </row>
    <row r="139" customFormat="false" ht="15" hidden="false" customHeight="false" outlineLevel="0" collapsed="false">
      <c r="D139" s="0" t="s">
        <v>706</v>
      </c>
      <c r="E139" s="0" t="s">
        <v>149</v>
      </c>
      <c r="F139" s="15" t="n">
        <f aca="false">Inputs!$F$105*Funding!$F$24</f>
        <v>636.955954384913</v>
      </c>
    </row>
    <row r="140" customFormat="false" ht="15" hidden="false" customHeight="false" outlineLevel="0" collapsed="false">
      <c r="D140" s="0" t="s">
        <v>707</v>
      </c>
      <c r="E140" s="0" t="s">
        <v>149</v>
      </c>
      <c r="J140" s="11" t="n">
        <f aca="false">IF(J134=1,(Waterfall!J7)/$F$137,0)</f>
        <v>0</v>
      </c>
      <c r="K140" s="11" t="n">
        <f aca="false">IF(K134=1,(Waterfall!K7)/$F$137,0)</f>
        <v>0</v>
      </c>
      <c r="L140" s="11" t="n">
        <f aca="false">IF(L134=1,(Waterfall!L7)/$F$137,0)</f>
        <v>0</v>
      </c>
      <c r="M140" s="11" t="n">
        <f aca="false">IF(M134=1,(Waterfall!M7)/$F$137,0)</f>
        <v>0</v>
      </c>
      <c r="N140" s="11" t="n">
        <f aca="false">IF(N134=1,(Waterfall!N7)/$F$137,0)</f>
        <v>0</v>
      </c>
      <c r="O140" s="11" t="n">
        <f aca="false">IF(O134=1,(Waterfall!O7)/$F$137,0)</f>
        <v>0</v>
      </c>
      <c r="P140" s="11" t="n">
        <f aca="false">IF(P134=1,(Waterfall!P7)/$F$137,0)</f>
        <v>0</v>
      </c>
      <c r="Q140" s="11" t="n">
        <f aca="false">IF(Q134=1,(Waterfall!Q7)/$F$137,0)</f>
        <v>35.1765712216086</v>
      </c>
      <c r="R140" s="11" t="n">
        <f aca="false">IF(R134=1,(Waterfall!R7)/$F$137,0)</f>
        <v>29.3382848375712</v>
      </c>
      <c r="S140" s="11" t="n">
        <f aca="false">IF(S134=1,(Waterfall!S7)/$F$137,0)</f>
        <v>28.0861288521368</v>
      </c>
      <c r="T140" s="11" t="n">
        <f aca="false">IF(T134=1,(Waterfall!T7)/$F$137,0)</f>
        <v>44.1182313796782</v>
      </c>
      <c r="U140" s="11" t="n">
        <f aca="false">IF(U134=1,(Waterfall!U7)/$F$137,0)</f>
        <v>45.0564683820615</v>
      </c>
      <c r="V140" s="11" t="n">
        <f aca="false">IF(V134=1,(Waterfall!V7)/$F$137,0)</f>
        <v>44.4992485999383</v>
      </c>
      <c r="W140" s="11" t="n">
        <f aca="false">IF(W134=1,(Waterfall!W7)/$F$137,0)</f>
        <v>43.4643582861707</v>
      </c>
      <c r="X140" s="11" t="n">
        <f aca="false">IF(X134=1,(Waterfall!X7)/$F$137,0)</f>
        <v>40.5788875994325</v>
      </c>
      <c r="Y140" s="11" t="n">
        <f aca="false">IF(Y134=1,(Waterfall!Y7)/$F$137,0)</f>
        <v>38.5790872244439</v>
      </c>
      <c r="Z140" s="11" t="n">
        <f aca="false">IF(Z134=1,(Waterfall!Z7)/$F$137,0)</f>
        <v>39.1481404351539</v>
      </c>
      <c r="AA140" s="11" t="n">
        <f aca="false">IF(AA134=1,(Waterfall!AA7)/$F$137,0)</f>
        <v>38.7080267501232</v>
      </c>
      <c r="AB140" s="11" t="n">
        <f aca="false">IF(AB134=1,(Waterfall!AB7)/$F$137,0)</f>
        <v>39.2481232291495</v>
      </c>
      <c r="AC140" s="11" t="n">
        <f aca="false">IF(AC134=1,(Waterfall!AC7)/$F$137,0)</f>
        <v>38.999257502992</v>
      </c>
      <c r="AD140" s="11" t="n">
        <f aca="false">IF(AD134=1,(Waterfall!AD7)/$F$137,0)</f>
        <v>39.4378448868679</v>
      </c>
      <c r="AE140" s="11" t="n">
        <f aca="false">IF(AE134=1,(Waterfall!AE7)/$F$137,0)</f>
        <v>40.5654466526937</v>
      </c>
      <c r="AF140" s="11" t="n">
        <f aca="false">IF(AF134=1,(Waterfall!AF7)/$F$137,0)</f>
        <v>41.2366722250376</v>
      </c>
      <c r="AG140" s="11" t="n">
        <f aca="false">IF(AG134=1,(Waterfall!AG7)/$F$137,0)</f>
        <v>40.601805711349</v>
      </c>
      <c r="AH140" s="11" t="n">
        <f aca="false">IF(AH134=1,(Waterfall!AH7)/$F$137,0)</f>
        <v>41.1971295246451</v>
      </c>
      <c r="AI140" s="11" t="n">
        <f aca="false">IF(AI134=1,(Waterfall!AI7)/$F$137,0)</f>
        <v>40.9314108611922</v>
      </c>
      <c r="AJ140" s="11" t="n">
        <f aca="false">IF(AJ134=1,(Waterfall!AJ7)/$F$137,0)</f>
        <v>41.449411992614</v>
      </c>
      <c r="AK140" s="11" t="n">
        <f aca="false">IF(AK134=1,(Waterfall!AK7)/$F$137,0)</f>
        <v>41.169593965476</v>
      </c>
      <c r="AL140" s="11" t="n">
        <f aca="false">IF(AL134=1,(Waterfall!AL7)/$F$137,0)</f>
        <v>41.5958142050174</v>
      </c>
      <c r="AM140" s="11" t="n">
        <f aca="false">IF(AM134=1,(Waterfall!AM7)/$F$137,0)</f>
        <v>40.8375636422369</v>
      </c>
      <c r="AN140" s="11" t="n">
        <f aca="false">IF(AN134=1,(Waterfall!AN7)/$F$137,0)</f>
        <v>36.1977378802834</v>
      </c>
      <c r="AO140" s="11" t="n">
        <f aca="false">IF(AO134=1,(Waterfall!AO7)/$F$137,0)</f>
        <v>33.5093635628656</v>
      </c>
      <c r="AP140" s="11" t="n">
        <f aca="false">IF(AP134=1,(Waterfall!AP7)/$F$137,0)</f>
        <v>0</v>
      </c>
      <c r="AQ140" s="11" t="n">
        <f aca="false">IF(AQ134=1,(Waterfall!AQ7)/$F$137,0)</f>
        <v>0</v>
      </c>
      <c r="AR140" s="11" t="n">
        <f aca="false">IF(AR134=1,(Waterfall!AR7)/$F$137,0)</f>
        <v>0</v>
      </c>
      <c r="AS140" s="11" t="n">
        <f aca="false">IF(AS134=1,(Waterfall!AS7)/$F$137,0)</f>
        <v>0</v>
      </c>
      <c r="AT140" s="11" t="n">
        <f aca="false">IF(AT134=1,(Waterfall!AT7)/$F$137,0)</f>
        <v>0</v>
      </c>
      <c r="AU140" s="11" t="n">
        <f aca="false">IF(AU134=1,(Waterfall!AU7)/$F$137,0)</f>
        <v>0</v>
      </c>
      <c r="AV140" s="11" t="n">
        <f aca="false">IF(AV134=1,(Waterfall!AV7)/$F$137,0)</f>
        <v>0</v>
      </c>
      <c r="AW140" s="11" t="n">
        <f aca="false">IF(AW134=1,(Waterfall!AW7)/$F$137,0)</f>
        <v>0</v>
      </c>
      <c r="AX140" s="11" t="n">
        <f aca="false">IF(AX134=1,(Waterfall!AX7)/$F$137,0)</f>
        <v>0</v>
      </c>
      <c r="AY140" s="11" t="n">
        <f aca="false">IF(AY134=1,(Waterfall!AY7)/$F$137,0)</f>
        <v>0</v>
      </c>
      <c r="AZ140" s="11" t="n">
        <f aca="false">IF(AZ134=1,(Waterfall!AZ7)/$F$137,0)</f>
        <v>0</v>
      </c>
      <c r="BA140" s="11" t="n">
        <f aca="false">IF(BA134=1,(Waterfall!BA7)/$F$137,0)</f>
        <v>0</v>
      </c>
      <c r="BB140" s="11" t="n">
        <f aca="false">IF(BB134=1,(Waterfall!BB7)/$F$137,0)</f>
        <v>0</v>
      </c>
      <c r="BC140" s="11" t="n">
        <f aca="false">IF(BC134=1,(Waterfall!BC7)/$F$137,0)</f>
        <v>0</v>
      </c>
      <c r="BD140" s="11" t="n">
        <f aca="false">IF(BD134=1,(Waterfall!BD7)/$F$137,0)</f>
        <v>0</v>
      </c>
      <c r="BE140" s="11" t="n">
        <f aca="false">IF(BE134=1,(Waterfall!BE7)/$F$137,0)</f>
        <v>0</v>
      </c>
      <c r="BF140" s="11" t="n">
        <f aca="false">IF(BF134=1,(Waterfall!BF7)/$F$137,0)</f>
        <v>0</v>
      </c>
      <c r="BG140" s="11" t="n">
        <f aca="false">IF(BG134=1,(Waterfall!BG7)/$F$137,0)</f>
        <v>0</v>
      </c>
      <c r="BH140" s="11" t="n">
        <f aca="false">IF(BH134=1,(Waterfall!BH7)/$F$137,0)</f>
        <v>0</v>
      </c>
      <c r="BI140" s="11" t="n">
        <f aca="false">IF(BI134=1,(Waterfall!BI7)/$F$137,0)</f>
        <v>0</v>
      </c>
      <c r="BJ140" s="11" t="n">
        <f aca="false">IF(BJ134=1,(Waterfall!BJ7)/$F$137,0)</f>
        <v>0</v>
      </c>
      <c r="BK140" s="11" t="n">
        <f aca="false">IF(BK134=1,(Waterfall!BK7)/$F$137,0)</f>
        <v>0</v>
      </c>
      <c r="BL140" s="11" t="n">
        <f aca="false">IF(BL134=1,(Waterfall!BL7)/$F$137,0)</f>
        <v>0</v>
      </c>
      <c r="BM140" s="11" t="n">
        <f aca="false">IF(BM134=1,(Waterfall!BM7)/$F$137,0)</f>
        <v>0</v>
      </c>
      <c r="BN140" s="11" t="n">
        <f aca="false">IF(BN134=1,(Waterfall!BN7)/$F$137,0)</f>
        <v>0</v>
      </c>
    </row>
    <row r="141" customFormat="false" ht="15" hidden="false" customHeight="false" outlineLevel="0" collapsed="false">
      <c r="D141" s="0" t="s">
        <v>708</v>
      </c>
      <c r="E141" s="0" t="s">
        <v>149</v>
      </c>
      <c r="J141" s="11" t="n">
        <f aca="false">IF(J134=1,IF(Time!J17=Time!$F$12,Funding!$F$25,0-0),0)</f>
        <v>0</v>
      </c>
      <c r="K141" s="11" t="n">
        <f aca="false">IF(K134=1,IF(Time!K17=Time!$F$12,Funding!$F$25,J141-J142),0)</f>
        <v>0</v>
      </c>
      <c r="L141" s="11" t="n">
        <f aca="false">IF(L134=1,IF(Time!L17=Time!$F$12,Funding!$F$25,K141-K142),0)</f>
        <v>0</v>
      </c>
      <c r="M141" s="11" t="n">
        <f aca="false">IF(M134=1,IF(Time!M17=Time!$F$12,Funding!$F$25,L141-L142),0)</f>
        <v>0</v>
      </c>
      <c r="N141" s="11" t="n">
        <f aca="false">IF(N134=1,IF(Time!N17=Time!$F$12,Funding!$F$25,M141-M142),0)</f>
        <v>0</v>
      </c>
      <c r="O141" s="11" t="n">
        <f aca="false">IF(O134=1,IF(Time!O17=Time!$F$12,Funding!$F$25,N141-N142),0)</f>
        <v>0</v>
      </c>
      <c r="P141" s="11" t="n">
        <f aca="false">IF(P134=1,IF(Time!P17=Time!$F$12,Funding!$F$25,O141-O142),0)</f>
        <v>0</v>
      </c>
      <c r="Q141" s="11" t="n">
        <f aca="false">IF(Q134=1,IF(Time!Q17=Time!$F$12,Funding!$F$25,P141-P142),0)</f>
        <v>633.255975542774</v>
      </c>
      <c r="R141" s="11" t="n">
        <f aca="false">IF(R134=1,IF(Time!R17=Time!$F$12,Funding!$F$25,Q141-Q142),0)</f>
        <v>617.320352551086</v>
      </c>
      <c r="S141" s="11" t="n">
        <f aca="false">IF(S134=1,IF(Time!S17=Time!$F$12,Funding!$F$25,R141-R142),0)</f>
        <v>609.079741966111</v>
      </c>
      <c r="T141" s="11" t="n">
        <f aca="false">IF(T134=1,IF(Time!T17=Time!$F$12,Funding!$F$25,S141-S142),0)</f>
        <v>603.471904431878</v>
      </c>
      <c r="U141" s="11" t="n">
        <f aca="false">IF(U134=1,IF(Time!U17=Time!$F$12,Funding!$F$25,T141-T142),0)</f>
        <v>583.980832293062</v>
      </c>
      <c r="V141" s="11" t="n">
        <f aca="false">IF(V134=1,IF(Time!V17=Time!$F$12,Funding!$F$25,U141-U142),0)</f>
        <v>562.329959924403</v>
      </c>
      <c r="W141" s="11" t="n">
        <f aca="false">IF(W134=1,IF(Time!W17=Time!$F$12,Funding!$F$25,V141-V142),0)</f>
        <v>540.591632266419</v>
      </c>
      <c r="X141" s="11" t="n">
        <f aca="false">IF(X134=1,IF(Time!X17=Time!$F$12,Funding!$F$25,W141-W142),0)</f>
        <v>516.64727063424</v>
      </c>
      <c r="Y141" s="11" t="n">
        <f aca="false">IF(Y134=1,IF(Time!Y17=Time!$F$12,Funding!$F$25,X141-X142),0)</f>
        <v>494.879321273503</v>
      </c>
      <c r="Z141" s="11" t="n">
        <f aca="false">IF(Z134=1,IF(Time!Z17=Time!$F$12,Funding!$F$25,Y141-Y142),0)</f>
        <v>474.275264274896</v>
      </c>
      <c r="AA141" s="11" t="n">
        <f aca="false">IF(AA134=1,IF(Time!AA17=Time!$F$12,Funding!$F$25,Z141-Z142),0)</f>
        <v>452.523282538981</v>
      </c>
      <c r="AB141" s="11" t="n">
        <f aca="false">IF(AB134=1,IF(Time!AB17=Time!$F$12,Funding!$F$25,AA141-AA142),0)</f>
        <v>430.150059967148</v>
      </c>
      <c r="AC141" s="11" t="n">
        <f aca="false">IF(AC134=1,IF(Time!AC17=Time!$F$12,Funding!$F$25,AB141-AB142),0)</f>
        <v>406.604384695883</v>
      </c>
      <c r="AD141" s="11" t="n">
        <f aca="false">IF(AD134=1,IF(Time!AD17=Time!$F$12,Funding!$F$25,AC141-AC142),0)</f>
        <v>382.364325527221</v>
      </c>
      <c r="AE141" s="11" t="n">
        <f aca="false">IF(AE134=1,IF(Time!AE17=Time!$F$12,Funding!$F$25,AD141-AD142),0)</f>
        <v>356.910325577536</v>
      </c>
      <c r="AF141" s="11" t="n">
        <f aca="false">IF(AF134=1,IF(Time!AF17=Time!$F$12,Funding!$F$25,AE141-AE142),0)</f>
        <v>329.256729278776</v>
      </c>
      <c r="AG141" s="11" t="n">
        <f aca="false">IF(AG134=1,IF(Time!AG17=Time!$F$12,Funding!$F$25,AF141-AF142),0)</f>
        <v>300.067953277827</v>
      </c>
      <c r="AH141" s="11" t="n">
        <f aca="false">IF(AH134=1,IF(Time!AH17=Time!$F$12,Funding!$F$25,AG141-AG142),0)</f>
        <v>270.64126605264</v>
      </c>
      <c r="AI141" s="11" t="n">
        <f aca="false">IF(AI134=1,IF(Time!AI17=Time!$F$12,Funding!$F$25,AH141-AH142),0)</f>
        <v>239.639982179403</v>
      </c>
      <c r="AJ141" s="11" t="n">
        <f aca="false">IF(AJ134=1,IF(Time!AJ17=Time!$F$12,Funding!$F$25,AI141-AI142),0)</f>
        <v>207.634998535648</v>
      </c>
      <c r="AK141" s="11" t="n">
        <f aca="false">IF(AK134=1,IF(Time!AK17=Time!$F$12,Funding!$F$25,AJ141-AJ142),0)</f>
        <v>174.009608341579</v>
      </c>
      <c r="AL141" s="11" t="n">
        <f aca="false">IF(AL134=1,IF(Time!AL17=Time!$F$12,Funding!$F$25,AK141-AK142),0)</f>
        <v>139.348331465657</v>
      </c>
      <c r="AM141" s="11" t="n">
        <f aca="false">IF(AM134=1,IF(Time!AM17=Time!$F$12,Funding!$F$25,AL141-AL142),0)</f>
        <v>103.005926805255</v>
      </c>
      <c r="AN141" s="11" t="n">
        <f aca="false">IF(AN134=1,IF(Time!AN17=Time!$F$12,Funding!$F$25,AM141-AM142),0)</f>
        <v>66.0114005350541</v>
      </c>
      <c r="AO141" s="11" t="n">
        <f aca="false">IF(AO134=1,IF(Time!AO17=Time!$F$12,Funding!$F$25,AN141-AN142),0)</f>
        <v>32.3070156947593</v>
      </c>
      <c r="AP141" s="11" t="n">
        <f aca="false">IF(AP134=1,IF(Time!AP17=Time!$F$12,Funding!$F$25,AO141-AO142),0)</f>
        <v>0</v>
      </c>
      <c r="AQ141" s="11" t="n">
        <f aca="false">IF(AQ134=1,IF(Time!AQ17=Time!$F$12,Funding!$F$25,AP141-AP142),0)</f>
        <v>0</v>
      </c>
      <c r="AR141" s="11" t="n">
        <f aca="false">IF(AR134=1,IF(Time!AR17=Time!$F$12,Funding!$F$25,AQ141-AQ142),0)</f>
        <v>0</v>
      </c>
      <c r="AS141" s="11" t="n">
        <f aca="false">IF(AS134=1,IF(Time!AS17=Time!$F$12,Funding!$F$25,AR141-AR142),0)</f>
        <v>0</v>
      </c>
      <c r="AT141" s="11" t="n">
        <f aca="false">IF(AT134=1,IF(Time!AT17=Time!$F$12,Funding!$F$25,AS141-AS142),0)</f>
        <v>0</v>
      </c>
      <c r="AU141" s="11" t="n">
        <f aca="false">IF(AU134=1,IF(Time!AU17=Time!$F$12,Funding!$F$25,AT141-AT142),0)</f>
        <v>0</v>
      </c>
      <c r="AV141" s="11" t="n">
        <f aca="false">IF(AV134=1,IF(Time!AV17=Time!$F$12,Funding!$F$25,AU141-AU142),0)</f>
        <v>0</v>
      </c>
      <c r="AW141" s="11" t="n">
        <f aca="false">IF(AW134=1,IF(Time!AW17=Time!$F$12,Funding!$F$25,AV141-AV142),0)</f>
        <v>0</v>
      </c>
      <c r="AX141" s="11" t="n">
        <f aca="false">IF(AX134=1,IF(Time!AX17=Time!$F$12,Funding!$F$25,AW141-AW142),0)</f>
        <v>0</v>
      </c>
      <c r="AY141" s="11" t="n">
        <f aca="false">IF(AY134=1,IF(Time!AY17=Time!$F$12,Funding!$F$25,AX141-AX142),0)</f>
        <v>0</v>
      </c>
      <c r="AZ141" s="11" t="n">
        <f aca="false">IF(AZ134=1,IF(Time!AZ17=Time!$F$12,Funding!$F$25,AY141-AY142),0)</f>
        <v>0</v>
      </c>
      <c r="BA141" s="11" t="n">
        <f aca="false">IF(BA134=1,IF(Time!BA17=Time!$F$12,Funding!$F$25,AZ141-AZ142),0)</f>
        <v>0</v>
      </c>
      <c r="BB141" s="11" t="n">
        <f aca="false">IF(BB134=1,IF(Time!BB17=Time!$F$12,Funding!$F$25,BA141-BA142),0)</f>
        <v>0</v>
      </c>
      <c r="BC141" s="11" t="n">
        <f aca="false">IF(BC134=1,IF(Time!BC17=Time!$F$12,Funding!$F$25,BB141-BB142),0)</f>
        <v>0</v>
      </c>
      <c r="BD141" s="11" t="n">
        <f aca="false">IF(BD134=1,IF(Time!BD17=Time!$F$12,Funding!$F$25,BC141-BC142),0)</f>
        <v>0</v>
      </c>
      <c r="BE141" s="11" t="n">
        <f aca="false">IF(BE134=1,IF(Time!BE17=Time!$F$12,Funding!$F$25,BD141-BD142),0)</f>
        <v>0</v>
      </c>
      <c r="BF141" s="11" t="n">
        <f aca="false">IF(BF134=1,IF(Time!BF17=Time!$F$12,Funding!$F$25,BE141-BE142),0)</f>
        <v>0</v>
      </c>
      <c r="BG141" s="11" t="n">
        <f aca="false">IF(BG134=1,IF(Time!BG17=Time!$F$12,Funding!$F$25,BF141-BF142),0)</f>
        <v>0</v>
      </c>
      <c r="BH141" s="11" t="n">
        <f aca="false">IF(BH134=1,IF(Time!BH17=Time!$F$12,Funding!$F$25,BG141-BG142),0)</f>
        <v>0</v>
      </c>
      <c r="BI141" s="11" t="n">
        <f aca="false">IF(BI134=1,IF(Time!BI17=Time!$F$12,Funding!$F$25,BH141-BH142),0)</f>
        <v>0</v>
      </c>
      <c r="BJ141" s="11" t="n">
        <f aca="false">IF(BJ134=1,IF(Time!BJ17=Time!$F$12,Funding!$F$25,BI141-BI142),0)</f>
        <v>0</v>
      </c>
      <c r="BK141" s="11" t="n">
        <f aca="false">IF(BK134=1,IF(Time!BK17=Time!$F$12,Funding!$F$25,BJ141-BJ142),0)</f>
        <v>0</v>
      </c>
      <c r="BL141" s="11" t="n">
        <f aca="false">IF(BL134=1,IF(Time!BL17=Time!$F$12,Funding!$F$25,BK141-BK142),0)</f>
        <v>0</v>
      </c>
      <c r="BM141" s="11" t="n">
        <f aca="false">IF(BM134=1,IF(Time!BM17=Time!$F$12,Funding!$F$25,BL141-BL142),0)</f>
        <v>0</v>
      </c>
      <c r="BN141" s="11" t="n">
        <f aca="false">IF(BN134=1,IF(Time!BN17=Time!$F$12,Funding!$F$25,BM141-BM142),0)</f>
        <v>0</v>
      </c>
    </row>
    <row r="142" customFormat="false" ht="15" hidden="false" customHeight="false" outlineLevel="0" collapsed="false">
      <c r="D142" s="0" t="s">
        <v>709</v>
      </c>
      <c r="E142" s="0" t="s">
        <v>149</v>
      </c>
      <c r="J142" s="11" t="n">
        <f aca="false">J140-J141*J135</f>
        <v>0</v>
      </c>
      <c r="K142" s="11" t="n">
        <f aca="false">K140-K141*K135</f>
        <v>0</v>
      </c>
      <c r="L142" s="11" t="n">
        <f aca="false">L140-L141*L135</f>
        <v>0</v>
      </c>
      <c r="M142" s="11" t="n">
        <f aca="false">M140-M141*M135</f>
        <v>0</v>
      </c>
      <c r="N142" s="11" t="n">
        <f aca="false">N140-N141*N135</f>
        <v>0</v>
      </c>
      <c r="O142" s="11" t="n">
        <f aca="false">O140-O141*O135</f>
        <v>0</v>
      </c>
      <c r="P142" s="11" t="n">
        <f aca="false">P140-P141*P135</f>
        <v>0</v>
      </c>
      <c r="Q142" s="11" t="n">
        <f aca="false">Q140-Q141*Q135</f>
        <v>15.9356229916884</v>
      </c>
      <c r="R142" s="11" t="n">
        <f aca="false">R140-R141*R135</f>
        <v>8.24061058497496</v>
      </c>
      <c r="S142" s="11" t="n">
        <f aca="false">S140-S141*S135</f>
        <v>5.6078375342331</v>
      </c>
      <c r="T142" s="11" t="n">
        <f aca="false">T140-T141*T135</f>
        <v>19.4910721388159</v>
      </c>
      <c r="U142" s="11" t="n">
        <f aca="false">U140-U141*U135</f>
        <v>21.6508723686588</v>
      </c>
      <c r="V142" s="11" t="n">
        <f aca="false">V140-V141*V135</f>
        <v>21.7383276579843</v>
      </c>
      <c r="W142" s="11" t="n">
        <f aca="false">W140-W141*W135</f>
        <v>23.9443616321786</v>
      </c>
      <c r="X142" s="11" t="n">
        <f aca="false">X140-X141*X135</f>
        <v>21.7679493607374</v>
      </c>
      <c r="Y142" s="11" t="n">
        <f aca="false">Y140-Y141*Y135</f>
        <v>20.6040569986069</v>
      </c>
      <c r="Z142" s="11" t="n">
        <f aca="false">Z140-Z141*Z135</f>
        <v>21.7519817359149</v>
      </c>
      <c r="AA142" s="11" t="n">
        <f aca="false">AA140-AA141*AA135</f>
        <v>22.3732225718323</v>
      </c>
      <c r="AB142" s="11" t="n">
        <f aca="false">AB140-AB141*AB135</f>
        <v>23.5456752712652</v>
      </c>
      <c r="AC142" s="11" t="n">
        <f aca="false">AC140-AC141*AC135</f>
        <v>24.2400591686624</v>
      </c>
      <c r="AD142" s="11" t="n">
        <f aca="false">AD140-AD141*AD135</f>
        <v>25.4539999496844</v>
      </c>
      <c r="AE142" s="11" t="n">
        <f aca="false">AE140-AE141*AE135</f>
        <v>27.6535962987602</v>
      </c>
      <c r="AF142" s="11" t="n">
        <f aca="false">AF140-AF141*AF135</f>
        <v>29.1887760009492</v>
      </c>
      <c r="AG142" s="11" t="n">
        <f aca="false">AG140-AG141*AG135</f>
        <v>29.4266872251873</v>
      </c>
      <c r="AH142" s="11" t="n">
        <f aca="false">AH140-AH141*AH135</f>
        <v>31.0012838732372</v>
      </c>
      <c r="AI142" s="11" t="n">
        <f aca="false">AI140-AI141*AI135</f>
        <v>32.0049836437548</v>
      </c>
      <c r="AJ142" s="11" t="n">
        <f aca="false">AJ140-AJ141*AJ135</f>
        <v>33.6253901940687</v>
      </c>
      <c r="AK142" s="11" t="n">
        <f aca="false">AK140-AK141*AK135</f>
        <v>34.6612768759223</v>
      </c>
      <c r="AL142" s="11" t="n">
        <f aca="false">AL140-AL141*AL135</f>
        <v>36.3424046604019</v>
      </c>
      <c r="AM142" s="11" t="n">
        <f aca="false">AM140-AM141*AM135</f>
        <v>36.9945262702008</v>
      </c>
      <c r="AN142" s="11" t="n">
        <f aca="false">AN140-AN141*AN135</f>
        <v>33.7043848402948</v>
      </c>
      <c r="AO142" s="11" t="n">
        <f aca="false">AO140-AO141*AO135</f>
        <v>32.3070156947595</v>
      </c>
      <c r="AP142" s="11" t="n">
        <f aca="false">AP140-AP141*AP135</f>
        <v>0</v>
      </c>
      <c r="AQ142" s="11" t="n">
        <f aca="false">AQ140-AQ141*AQ135</f>
        <v>0</v>
      </c>
      <c r="AR142" s="11" t="n">
        <f aca="false">AR140-AR141*AR135</f>
        <v>0</v>
      </c>
      <c r="AS142" s="11" t="n">
        <f aca="false">AS140-AS141*AS135</f>
        <v>0</v>
      </c>
      <c r="AT142" s="11" t="n">
        <f aca="false">AT140-AT141*AT135</f>
        <v>0</v>
      </c>
      <c r="AU142" s="11" t="n">
        <f aca="false">AU140-AU141*AU135</f>
        <v>0</v>
      </c>
      <c r="AV142" s="11" t="n">
        <f aca="false">AV140-AV141*AV135</f>
        <v>0</v>
      </c>
      <c r="AW142" s="11" t="n">
        <f aca="false">AW140-AW141*AW135</f>
        <v>0</v>
      </c>
      <c r="AX142" s="11" t="n">
        <f aca="false">AX140-AX141*AX135</f>
        <v>0</v>
      </c>
      <c r="AY142" s="11" t="n">
        <f aca="false">AY140-AY141*AY135</f>
        <v>0</v>
      </c>
      <c r="AZ142" s="11" t="n">
        <f aca="false">AZ140-AZ141*AZ135</f>
        <v>0</v>
      </c>
      <c r="BA142" s="11" t="n">
        <f aca="false">BA140-BA141*BA135</f>
        <v>0</v>
      </c>
      <c r="BB142" s="11" t="n">
        <f aca="false">BB140-BB141*BB135</f>
        <v>0</v>
      </c>
      <c r="BC142" s="11" t="n">
        <f aca="false">BC140-BC141*BC135</f>
        <v>0</v>
      </c>
      <c r="BD142" s="11" t="n">
        <f aca="false">BD140-BD141*BD135</f>
        <v>0</v>
      </c>
      <c r="BE142" s="11" t="n">
        <f aca="false">BE140-BE141*BE135</f>
        <v>0</v>
      </c>
      <c r="BF142" s="11" t="n">
        <f aca="false">BF140-BF141*BF135</f>
        <v>0</v>
      </c>
      <c r="BG142" s="11" t="n">
        <f aca="false">BG140-BG141*BG135</f>
        <v>0</v>
      </c>
      <c r="BH142" s="11" t="n">
        <f aca="false">BH140-BH141*BH135</f>
        <v>0</v>
      </c>
      <c r="BI142" s="11" t="n">
        <f aca="false">BI140-BI141*BI135</f>
        <v>0</v>
      </c>
      <c r="BJ142" s="11" t="n">
        <f aca="false">BJ140-BJ141*BJ135</f>
        <v>0</v>
      </c>
      <c r="BK142" s="11" t="n">
        <f aca="false">BK140-BK141*BK135</f>
        <v>0</v>
      </c>
      <c r="BL142" s="11" t="n">
        <f aca="false">BL140-BL141*BL135</f>
        <v>0</v>
      </c>
      <c r="BM142" s="11" t="n">
        <f aca="false">BM140-BM141*BM135</f>
        <v>0</v>
      </c>
      <c r="BN142" s="11" t="n">
        <f aca="false">BN140-BN141*BN135</f>
        <v>0</v>
      </c>
    </row>
    <row r="143" customFormat="false" ht="15" hidden="false" customHeight="false" outlineLevel="0" collapsed="false">
      <c r="D143" s="0" t="s">
        <v>710</v>
      </c>
      <c r="E143" s="0" t="s">
        <v>149</v>
      </c>
      <c r="J143" s="11" t="n">
        <f aca="false">IF(Inputs!$F$8=1,J142-J134*Inputs!J222*Funding!$F$25,0)</f>
        <v>0</v>
      </c>
      <c r="K143" s="11" t="n">
        <f aca="false">IF(Inputs!$F$8=1,K142-K134*Inputs!K222*Funding!$F$25,0)</f>
        <v>0</v>
      </c>
      <c r="L143" s="11" t="n">
        <f aca="false">IF(Inputs!$F$8=1,L142-L134*Inputs!L222*Funding!$F$25,0)</f>
        <v>0</v>
      </c>
      <c r="M143" s="11" t="n">
        <f aca="false">IF(Inputs!$F$8=1,M142-M134*Inputs!M222*Funding!$F$25,0)</f>
        <v>0</v>
      </c>
      <c r="N143" s="11" t="n">
        <f aca="false">IF(Inputs!$F$8=1,N142-N134*Inputs!N222*Funding!$F$25,0)</f>
        <v>0</v>
      </c>
      <c r="O143" s="11" t="n">
        <f aca="false">IF(Inputs!$F$8=1,O142-O134*Inputs!O222*Funding!$F$25,0)</f>
        <v>0</v>
      </c>
      <c r="P143" s="11" t="n">
        <f aca="false">IF(Inputs!$F$8=1,P142-P134*Inputs!P222*Funding!$F$25,0)</f>
        <v>0</v>
      </c>
      <c r="Q143" s="11" t="n">
        <f aca="false">IF(Inputs!$F$8=1,Q142-Q134*Inputs!Q222*Funding!$F$25,0)</f>
        <v>0</v>
      </c>
      <c r="R143" s="11" t="n">
        <f aca="false">IF(Inputs!$F$8=1,R142-R134*Inputs!R222*Funding!$F$25,0)</f>
        <v>0</v>
      </c>
      <c r="S143" s="11" t="n">
        <f aca="false">IF(Inputs!$F$8=1,S142-S134*Inputs!S222*Funding!$F$25,0)</f>
        <v>0</v>
      </c>
      <c r="T143" s="11" t="n">
        <f aca="false">IF(Inputs!$F$8=1,T142-T134*Inputs!T222*Funding!$F$25,0)</f>
        <v>0</v>
      </c>
      <c r="U143" s="11" t="n">
        <f aca="false">IF(Inputs!$F$8=1,U142-U134*Inputs!U222*Funding!$F$25,0)</f>
        <v>0</v>
      </c>
      <c r="V143" s="11" t="n">
        <f aca="false">IF(Inputs!$F$8=1,V142-V134*Inputs!V222*Funding!$F$25,0)</f>
        <v>0</v>
      </c>
      <c r="W143" s="11" t="n">
        <f aca="false">IF(Inputs!$F$8=1,W142-W134*Inputs!W222*Funding!$F$25,0)</f>
        <v>0</v>
      </c>
      <c r="X143" s="11" t="n">
        <f aca="false">IF(Inputs!$F$8=1,X142-X134*Inputs!X222*Funding!$F$25,0)</f>
        <v>0</v>
      </c>
      <c r="Y143" s="11" t="n">
        <f aca="false">IF(Inputs!$F$8=1,Y142-Y134*Inputs!Y222*Funding!$F$25,0)</f>
        <v>0</v>
      </c>
      <c r="Z143" s="11" t="n">
        <f aca="false">IF(Inputs!$F$8=1,Z142-Z134*Inputs!Z222*Funding!$F$25,0)</f>
        <v>0</v>
      </c>
      <c r="AA143" s="11" t="n">
        <f aca="false">IF(Inputs!$F$8=1,AA142-AA134*Inputs!AA222*Funding!$F$25,0)</f>
        <v>0</v>
      </c>
      <c r="AB143" s="11" t="n">
        <f aca="false">IF(Inputs!$F$8=1,AB142-AB134*Inputs!AB222*Funding!$F$25,0)</f>
        <v>0</v>
      </c>
      <c r="AC143" s="11" t="n">
        <f aca="false">IF(Inputs!$F$8=1,AC142-AC134*Inputs!AC222*Funding!$F$25,0)</f>
        <v>0</v>
      </c>
      <c r="AD143" s="11" t="n">
        <f aca="false">IF(Inputs!$F$8=1,AD142-AD134*Inputs!AD222*Funding!$F$25,0)</f>
        <v>0</v>
      </c>
      <c r="AE143" s="11" t="n">
        <f aca="false">IF(Inputs!$F$8=1,AE142-AE134*Inputs!AE222*Funding!$F$25,0)</f>
        <v>0</v>
      </c>
      <c r="AF143" s="11" t="n">
        <f aca="false">IF(Inputs!$F$8=1,AF142-AF134*Inputs!AF222*Funding!$F$25,0)</f>
        <v>0</v>
      </c>
      <c r="AG143" s="11" t="n">
        <f aca="false">IF(Inputs!$F$8=1,AG142-AG134*Inputs!AG222*Funding!$F$25,0)</f>
        <v>0</v>
      </c>
      <c r="AH143" s="11" t="n">
        <f aca="false">IF(Inputs!$F$8=1,AH142-AH134*Inputs!AH222*Funding!$F$25,0)</f>
        <v>0</v>
      </c>
      <c r="AI143" s="11" t="n">
        <f aca="false">IF(Inputs!$F$8=1,AI142-AI134*Inputs!AI222*Funding!$F$25,0)</f>
        <v>0</v>
      </c>
      <c r="AJ143" s="11" t="n">
        <f aca="false">IF(Inputs!$F$8=1,AJ142-AJ134*Inputs!AJ222*Funding!$F$25,0)</f>
        <v>0</v>
      </c>
      <c r="AK143" s="11" t="n">
        <f aca="false">IF(Inputs!$F$8=1,AK142-AK134*Inputs!AK222*Funding!$F$25,0)</f>
        <v>0</v>
      </c>
      <c r="AL143" s="11" t="n">
        <f aca="false">IF(Inputs!$F$8=1,AL142-AL134*Inputs!AL222*Funding!$F$25,0)</f>
        <v>0</v>
      </c>
      <c r="AM143" s="11" t="n">
        <f aca="false">IF(Inputs!$F$8=1,AM142-AM134*Inputs!AM222*Funding!$F$25,0)</f>
        <v>0</v>
      </c>
      <c r="AN143" s="11" t="n">
        <f aca="false">IF(Inputs!$F$8=1,AN142-AN134*Inputs!AN222*Funding!$F$25,0)</f>
        <v>0</v>
      </c>
      <c r="AO143" s="11" t="n">
        <f aca="false">IF(Inputs!$F$8=1,AO142-AO134*Inputs!AO222*Funding!$F$25,0)</f>
        <v>0</v>
      </c>
      <c r="AP143" s="11" t="n">
        <f aca="false">IF(Inputs!$F$8=1,AP142-AP134*Inputs!AP222*Funding!$F$25,0)</f>
        <v>0</v>
      </c>
      <c r="AQ143" s="11" t="n">
        <f aca="false">IF(Inputs!$F$8=1,AQ142-AQ134*Inputs!AQ222*Funding!$F$25,0)</f>
        <v>0</v>
      </c>
      <c r="AR143" s="11" t="n">
        <f aca="false">IF(Inputs!$F$8=1,AR142-AR134*Inputs!AR222*Funding!$F$25,0)</f>
        <v>0</v>
      </c>
      <c r="AS143" s="11" t="n">
        <f aca="false">IF(Inputs!$F$8=1,AS142-AS134*Inputs!AS222*Funding!$F$25,0)</f>
        <v>0</v>
      </c>
      <c r="AT143" s="11" t="n">
        <f aca="false">IF(Inputs!$F$8=1,AT142-AT134*Inputs!AT222*Funding!$F$25,0)</f>
        <v>0</v>
      </c>
      <c r="AU143" s="11" t="n">
        <f aca="false">IF(Inputs!$F$8=1,AU142-AU134*Inputs!AU222*Funding!$F$25,0)</f>
        <v>0</v>
      </c>
      <c r="AV143" s="11" t="n">
        <f aca="false">IF(Inputs!$F$8=1,AV142-AV134*Inputs!AV222*Funding!$F$25,0)</f>
        <v>0</v>
      </c>
      <c r="AW143" s="11" t="n">
        <f aca="false">IF(Inputs!$F$8=1,AW142-AW134*Inputs!AW222*Funding!$F$25,0)</f>
        <v>0</v>
      </c>
      <c r="AX143" s="11" t="n">
        <f aca="false">IF(Inputs!$F$8=1,AX142-AX134*Inputs!AX222*Funding!$F$25,0)</f>
        <v>0</v>
      </c>
      <c r="AY143" s="11" t="n">
        <f aca="false">IF(Inputs!$F$8=1,AY142-AY134*Inputs!AY222*Funding!$F$25,0)</f>
        <v>0</v>
      </c>
      <c r="AZ143" s="11" t="n">
        <f aca="false">IF(Inputs!$F$8=1,AZ142-AZ134*Inputs!AZ222*Funding!$F$25,0)</f>
        <v>0</v>
      </c>
      <c r="BA143" s="11" t="n">
        <f aca="false">IF(Inputs!$F$8=1,BA142-BA134*Inputs!BA222*Funding!$F$25,0)</f>
        <v>0</v>
      </c>
      <c r="BB143" s="11" t="n">
        <f aca="false">IF(Inputs!$F$8=1,BB142-BB134*Inputs!BB222*Funding!$F$25,0)</f>
        <v>0</v>
      </c>
      <c r="BC143" s="11" t="n">
        <f aca="false">IF(Inputs!$F$8=1,BC142-BC134*Inputs!BC222*Funding!$F$25,0)</f>
        <v>0</v>
      </c>
      <c r="BD143" s="11" t="n">
        <f aca="false">IF(Inputs!$F$8=1,BD142-BD134*Inputs!BD222*Funding!$F$25,0)</f>
        <v>0</v>
      </c>
      <c r="BE143" s="11" t="n">
        <f aca="false">IF(Inputs!$F$8=1,BE142-BE134*Inputs!BE222*Funding!$F$25,0)</f>
        <v>0</v>
      </c>
      <c r="BF143" s="11" t="n">
        <f aca="false">IF(Inputs!$F$8=1,BF142-BF134*Inputs!BF222*Funding!$F$25,0)</f>
        <v>0</v>
      </c>
      <c r="BG143" s="11" t="n">
        <f aca="false">IF(Inputs!$F$8=1,BG142-BG134*Inputs!BG222*Funding!$F$25,0)</f>
        <v>0</v>
      </c>
      <c r="BH143" s="11" t="n">
        <f aca="false">IF(Inputs!$F$8=1,BH142-BH134*Inputs!BH222*Funding!$F$25,0)</f>
        <v>0</v>
      </c>
      <c r="BI143" s="11" t="n">
        <f aca="false">IF(Inputs!$F$8=1,BI142-BI134*Inputs!BI222*Funding!$F$25,0)</f>
        <v>0</v>
      </c>
      <c r="BJ143" s="11" t="n">
        <f aca="false">IF(Inputs!$F$8=1,BJ142-BJ134*Inputs!BJ222*Funding!$F$25,0)</f>
        <v>0</v>
      </c>
      <c r="BK143" s="11" t="n">
        <f aca="false">IF(Inputs!$F$8=1,BK142-BK134*Inputs!BK222*Funding!$F$25,0)</f>
        <v>0</v>
      </c>
      <c r="BL143" s="11" t="n">
        <f aca="false">IF(Inputs!$F$8=1,BL142-BL134*Inputs!BL222*Funding!$F$25,0)</f>
        <v>0</v>
      </c>
      <c r="BM143" s="11" t="n">
        <f aca="false">IF(Inputs!$F$8=1,BM142-BM134*Inputs!BM222*Funding!$F$25,0)</f>
        <v>0</v>
      </c>
      <c r="BN143" s="11" t="n">
        <f aca="false">IF(Inputs!$F$8=1,BN142-BN134*Inputs!BN222*Funding!$F$25,0)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711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712</v>
      </c>
      <c r="E7" s="0" t="s">
        <v>149</v>
      </c>
      <c r="G7" s="11" t="n">
        <f aca="false">SUM(J7:BN7)</f>
        <v>58.3764680028158</v>
      </c>
      <c r="J7" s="11" t="n">
        <f aca="false">SUM(Operations!K75:P75)/6</f>
        <v>0</v>
      </c>
      <c r="K7" s="11" t="n">
        <f aca="false">SUM(Operations!L75:Q75)/6</f>
        <v>0</v>
      </c>
      <c r="L7" s="11" t="n">
        <f aca="false">SUM(Operations!M75:R75)/6</f>
        <v>0</v>
      </c>
      <c r="M7" s="11" t="n">
        <f aca="false">SUM(Operations!N75:S75)/6</f>
        <v>0</v>
      </c>
      <c r="N7" s="11" t="n">
        <f aca="false">SUM(Operations!O75:T75)/6</f>
        <v>0</v>
      </c>
      <c r="O7" s="11" t="n">
        <f aca="false">SUM(Operations!P75:U75)/6</f>
        <v>0</v>
      </c>
      <c r="P7" s="11" t="n">
        <f aca="false">SUM(Operations!Q75:V75)/6</f>
        <v>0</v>
      </c>
      <c r="Q7" s="11" t="n">
        <f aca="false">SUM(Operations!R75:W75)/6</f>
        <v>0.461862459987209</v>
      </c>
      <c r="R7" s="11" t="n">
        <f aca="false">SUM(Operations!S75:X75)/6</f>
        <v>0.461862459987209</v>
      </c>
      <c r="S7" s="11" t="n">
        <f aca="false">SUM(Operations!T75:Y75)/6</f>
        <v>0.461862459987209</v>
      </c>
      <c r="T7" s="11" t="n">
        <f aca="false">SUM(Operations!U75:Z75)/6</f>
        <v>0.461862459987209</v>
      </c>
      <c r="U7" s="11" t="n">
        <f aca="false">SUM(Operations!V75:AA75)/6</f>
        <v>0.461862459987209</v>
      </c>
      <c r="V7" s="11" t="n">
        <f aca="false">SUM(Operations!W75:AB75)/6</f>
        <v>0.461862459987209</v>
      </c>
      <c r="W7" s="11" t="n">
        <f aca="false">SUM(Operations!X75:AC75)/6</f>
        <v>0</v>
      </c>
      <c r="X7" s="11" t="n">
        <f aca="false">SUM(Operations!Y75:AD75)/6</f>
        <v>0</v>
      </c>
      <c r="Y7" s="11" t="n">
        <f aca="false">SUM(Operations!Z75:AE75)/6</f>
        <v>2.21030150352295</v>
      </c>
      <c r="Z7" s="11" t="n">
        <f aca="false">SUM(Operations!AA75:AF75)/6</f>
        <v>2.21030150352295</v>
      </c>
      <c r="AA7" s="11" t="n">
        <f aca="false">SUM(Operations!AB75:AG75)/6</f>
        <v>2.21030150352295</v>
      </c>
      <c r="AB7" s="11" t="n">
        <f aca="false">SUM(Operations!AC75:AH75)/6</f>
        <v>2.21030150352295</v>
      </c>
      <c r="AC7" s="11" t="n">
        <f aca="false">SUM(Operations!AD75:AI75)/6</f>
        <v>2.21030150352295</v>
      </c>
      <c r="AD7" s="11" t="n">
        <f aca="false">SUM(Operations!AE75:AJ75)/6</f>
        <v>2.21030150352295</v>
      </c>
      <c r="AE7" s="11" t="n">
        <f aca="false">SUM(Operations!AF75:AK75)/6</f>
        <v>0</v>
      </c>
      <c r="AF7" s="11" t="n">
        <f aca="false">SUM(Operations!AG75:AL75)/6</f>
        <v>0</v>
      </c>
      <c r="AG7" s="11" t="n">
        <f aca="false">SUM(Operations!AH75:AM75)/6</f>
        <v>0.557263461848642</v>
      </c>
      <c r="AH7" s="11" t="n">
        <f aca="false">SUM(Operations!AI75:AN75)/6</f>
        <v>0.557263461848642</v>
      </c>
      <c r="AI7" s="11" t="n">
        <f aca="false">SUM(Operations!AJ75:AO75)/6</f>
        <v>0.557263461848642</v>
      </c>
      <c r="AJ7" s="11" t="n">
        <f aca="false">SUM(Operations!AK75:AP75)/6</f>
        <v>0.557263461848642</v>
      </c>
      <c r="AK7" s="11" t="n">
        <f aca="false">SUM(Operations!AL75:AQ75)/6</f>
        <v>0.557263461848642</v>
      </c>
      <c r="AL7" s="11" t="n">
        <f aca="false">SUM(Operations!AM75:AR75)/6</f>
        <v>0.557263461848642</v>
      </c>
      <c r="AM7" s="11" t="n">
        <f aca="false">SUM(Operations!AN75:AS75)/6</f>
        <v>0</v>
      </c>
      <c r="AN7" s="11" t="n">
        <f aca="false">SUM(Operations!AO75:AT75)/6</f>
        <v>0</v>
      </c>
      <c r="AO7" s="11" t="n">
        <f aca="false">SUM(Operations!AP75:AU75)/6</f>
        <v>2.65128606259277</v>
      </c>
      <c r="AP7" s="11" t="n">
        <f aca="false">SUM(Operations!AQ75:AV75)/6</f>
        <v>2.65128606259277</v>
      </c>
      <c r="AQ7" s="11" t="n">
        <f aca="false">SUM(Operations!AR75:AW75)/6</f>
        <v>2.65128606259277</v>
      </c>
      <c r="AR7" s="11" t="n">
        <f aca="false">SUM(Operations!AS75:AX75)/6</f>
        <v>2.65128606259277</v>
      </c>
      <c r="AS7" s="11" t="n">
        <f aca="false">SUM(Operations!AT75:AY75)/6</f>
        <v>2.65128606259277</v>
      </c>
      <c r="AT7" s="11" t="n">
        <f aca="false">SUM(Operations!AU75:AZ75)/6</f>
        <v>2.65128606259277</v>
      </c>
      <c r="AU7" s="11" t="n">
        <f aca="false">SUM(Operations!AV75:BA75)/6</f>
        <v>0</v>
      </c>
      <c r="AV7" s="11" t="n">
        <f aca="false">SUM(Operations!AW75:BB75)/6</f>
        <v>0</v>
      </c>
      <c r="AW7" s="11" t="n">
        <f aca="false">SUM(Operations!AX75:BC75)/6</f>
        <v>0.668444937143915</v>
      </c>
      <c r="AX7" s="11" t="n">
        <f aca="false">SUM(Operations!AY75:BD75)/6</f>
        <v>0.668444937143915</v>
      </c>
      <c r="AY7" s="11" t="n">
        <f aca="false">SUM(Operations!AZ75:BE75)/6</f>
        <v>0.668444937143915</v>
      </c>
      <c r="AZ7" s="11" t="n">
        <f aca="false">SUM(Operations!BA75:BF75)/6</f>
        <v>0.668444937143915</v>
      </c>
      <c r="BA7" s="11" t="n">
        <f aca="false">SUM(Operations!BB75:BG75)/6</f>
        <v>0.668444937143915</v>
      </c>
      <c r="BB7" s="11" t="n">
        <f aca="false">SUM(Operations!BC75:BH75)/6</f>
        <v>0.668444937143915</v>
      </c>
      <c r="BC7" s="11" t="n">
        <f aca="false">SUM(Operations!BD75:BI75)/6</f>
        <v>0</v>
      </c>
      <c r="BD7" s="11" t="n">
        <f aca="false">SUM(Operations!BE75:BJ75)/6</f>
        <v>0</v>
      </c>
      <c r="BE7" s="11" t="n">
        <f aca="false">SUM(Operations!BF75:BK75)/6</f>
        <v>3.18025290870715</v>
      </c>
      <c r="BF7" s="11" t="n">
        <f aca="false">SUM(Operations!BG75:BL75)/6</f>
        <v>3.18025290870715</v>
      </c>
      <c r="BG7" s="11" t="n">
        <f aca="false">SUM(Operations!BH75:BM75)/6</f>
        <v>3.18025290870715</v>
      </c>
      <c r="BH7" s="11" t="n">
        <f aca="false">SUM(Operations!BI75:BN75)/6</f>
        <v>3.18025290870715</v>
      </c>
      <c r="BI7" s="11" t="n">
        <f aca="false">SUM(Operations!BJ75:BN75)/6</f>
        <v>3.18025290870715</v>
      </c>
      <c r="BJ7" s="11" t="n">
        <f aca="false">SUM(Operations!BK75:BN75)/6</f>
        <v>3.18025290870715</v>
      </c>
      <c r="BK7" s="11" t="n">
        <f aca="false">SUM(Operations!BL75:BN75)/6</f>
        <v>0</v>
      </c>
      <c r="BL7" s="11" t="n">
        <f aca="false">SUM(Operations!BM75:BN75)/6</f>
        <v>0</v>
      </c>
      <c r="BM7" s="11" t="n">
        <f aca="false">SUM(Operations!BN75:BN75)/6</f>
        <v>0</v>
      </c>
      <c r="BN7" s="11" t="n">
        <f aca="false">0</f>
        <v>0</v>
      </c>
    </row>
    <row r="8" customFormat="false" ht="15" hidden="false" customHeight="false" outlineLevel="0" collapsed="false">
      <c r="D8" s="0" t="s">
        <v>713</v>
      </c>
      <c r="E8" s="0" t="s">
        <v>149</v>
      </c>
      <c r="J8" s="11" t="n">
        <f aca="false">0+J7-Operations!J75</f>
        <v>0</v>
      </c>
      <c r="K8" s="11" t="n">
        <f aca="false">J8+K7-Operations!K75</f>
        <v>0</v>
      </c>
      <c r="L8" s="11" t="n">
        <f aca="false">K8+L7-Operations!L75</f>
        <v>0</v>
      </c>
      <c r="M8" s="11" t="n">
        <f aca="false">L8+M7-Operations!M75</f>
        <v>0</v>
      </c>
      <c r="N8" s="11" t="n">
        <f aca="false">M8+N7-Operations!N75</f>
        <v>0</v>
      </c>
      <c r="O8" s="11" t="n">
        <f aca="false">N8+O7-Operations!O75</f>
        <v>0</v>
      </c>
      <c r="P8" s="11" t="n">
        <f aca="false">O8+P7-Operations!P75</f>
        <v>0</v>
      </c>
      <c r="Q8" s="11" t="n">
        <f aca="false">P8+Q7-Operations!Q75</f>
        <v>0.461862459987209</v>
      </c>
      <c r="R8" s="11" t="n">
        <f aca="false">Q8+R7-Operations!R75</f>
        <v>0.923724919974417</v>
      </c>
      <c r="S8" s="11" t="n">
        <f aca="false">R8+S7-Operations!S75</f>
        <v>1.38558737996163</v>
      </c>
      <c r="T8" s="11" t="n">
        <f aca="false">S8+T7-Operations!T75</f>
        <v>1.84744983994883</v>
      </c>
      <c r="U8" s="11" t="n">
        <f aca="false">T8+U7-Operations!U75</f>
        <v>2.30931229993604</v>
      </c>
      <c r="V8" s="11" t="n">
        <f aca="false">U8+V7-Operations!V75</f>
        <v>2.77117475992325</v>
      </c>
      <c r="W8" s="11" t="n">
        <f aca="false">V8+W7-Operations!W75</f>
        <v>0</v>
      </c>
      <c r="X8" s="11" t="n">
        <f aca="false">W8+X7-Operations!X75</f>
        <v>0</v>
      </c>
      <c r="Y8" s="11" t="n">
        <f aca="false">X8+Y7-Operations!Y75</f>
        <v>2.21030150352295</v>
      </c>
      <c r="Z8" s="11" t="n">
        <f aca="false">Y8+Z7-Operations!Z75</f>
        <v>4.42060300704591</v>
      </c>
      <c r="AA8" s="11" t="n">
        <f aca="false">Z8+AA7-Operations!AA75</f>
        <v>6.63090451056886</v>
      </c>
      <c r="AB8" s="11" t="n">
        <f aca="false">AA8+AB7-Operations!AB75</f>
        <v>8.84120601409181</v>
      </c>
      <c r="AC8" s="11" t="n">
        <f aca="false">AB8+AC7-Operations!AC75</f>
        <v>11.0515075176148</v>
      </c>
      <c r="AD8" s="11" t="n">
        <f aca="false">AC8+AD7-Operations!AD75</f>
        <v>13.2618090211377</v>
      </c>
      <c r="AE8" s="11" t="n">
        <f aca="false">AD8+AE7-Operations!AE75</f>
        <v>0</v>
      </c>
      <c r="AF8" s="11" t="n">
        <f aca="false">AE8+AF7-Operations!AF75</f>
        <v>0</v>
      </c>
      <c r="AG8" s="11" t="n">
        <f aca="false">AF8+AG7-Operations!AG75</f>
        <v>0.557263461848642</v>
      </c>
      <c r="AH8" s="11" t="n">
        <f aca="false">AG8+AH7-Operations!AH75</f>
        <v>1.11452692369728</v>
      </c>
      <c r="AI8" s="11" t="n">
        <f aca="false">AH8+AI7-Operations!AI75</f>
        <v>1.67179038554593</v>
      </c>
      <c r="AJ8" s="11" t="n">
        <f aca="false">AI8+AJ7-Operations!AJ75</f>
        <v>2.22905384739457</v>
      </c>
      <c r="AK8" s="11" t="n">
        <f aca="false">AJ8+AK7-Operations!AK75</f>
        <v>2.78631730924321</v>
      </c>
      <c r="AL8" s="11" t="n">
        <f aca="false">AK8+AL7-Operations!AL75</f>
        <v>3.34358077109185</v>
      </c>
      <c r="AM8" s="11" t="n">
        <f aca="false">AL8+AM7-Operations!AM75</f>
        <v>0</v>
      </c>
      <c r="AN8" s="11" t="n">
        <f aca="false">AM8+AN7-Operations!AN75</f>
        <v>0</v>
      </c>
      <c r="AO8" s="11" t="n">
        <f aca="false">AN8+AO7-Operations!AO75</f>
        <v>2.65128606259277</v>
      </c>
      <c r="AP8" s="11" t="n">
        <f aca="false">AO8+AP7-Operations!AP75</f>
        <v>5.30257212518553</v>
      </c>
      <c r="AQ8" s="11" t="n">
        <f aca="false">AP8+AQ7-Operations!AQ75</f>
        <v>7.9538581877783</v>
      </c>
      <c r="AR8" s="11" t="n">
        <f aca="false">AQ8+AR7-Operations!AR75</f>
        <v>10.6051442503711</v>
      </c>
      <c r="AS8" s="11" t="n">
        <f aca="false">AR8+AS7-Operations!AS75</f>
        <v>13.2564303129638</v>
      </c>
      <c r="AT8" s="11" t="n">
        <f aca="false">AS8+AT7-Operations!AT75</f>
        <v>15.9077163755566</v>
      </c>
      <c r="AU8" s="11" t="n">
        <f aca="false">AT8+AU7-Operations!AU75</f>
        <v>0</v>
      </c>
      <c r="AV8" s="11" t="n">
        <f aca="false">AU8+AV7-Operations!AV75</f>
        <v>0</v>
      </c>
      <c r="AW8" s="11" t="n">
        <f aca="false">AV8+AW7-Operations!AW75</f>
        <v>0.668444937143915</v>
      </c>
      <c r="AX8" s="11" t="n">
        <f aca="false">AW8+AX7-Operations!AX75</f>
        <v>1.33688987428783</v>
      </c>
      <c r="AY8" s="11" t="n">
        <f aca="false">AX8+AY7-Operations!AY75</f>
        <v>2.00533481143175</v>
      </c>
      <c r="AZ8" s="11" t="n">
        <f aca="false">AY8+AZ7-Operations!AZ75</f>
        <v>2.67377974857566</v>
      </c>
      <c r="BA8" s="11" t="n">
        <f aca="false">AZ8+BA7-Operations!BA75</f>
        <v>3.34222468571958</v>
      </c>
      <c r="BB8" s="11" t="n">
        <f aca="false">BA8+BB7-Operations!BB75</f>
        <v>4.01066962286349</v>
      </c>
      <c r="BC8" s="11" t="n">
        <f aca="false">BB8+BC7-Operations!BC75</f>
        <v>0</v>
      </c>
      <c r="BD8" s="11" t="n">
        <f aca="false">BC8+BD7-Operations!BD75</f>
        <v>0</v>
      </c>
      <c r="BE8" s="11" t="n">
        <f aca="false">BD8+BE7-Operations!BE75</f>
        <v>3.18025290870715</v>
      </c>
      <c r="BF8" s="11" t="n">
        <f aca="false">BE8+BF7-Operations!BF75</f>
        <v>6.36050581741429</v>
      </c>
      <c r="BG8" s="11" t="n">
        <f aca="false">BF8+BG7-Operations!BG75</f>
        <v>9.54075872612144</v>
      </c>
      <c r="BH8" s="11" t="n">
        <f aca="false">BG8+BH7-Operations!BH75</f>
        <v>12.7210116348286</v>
      </c>
      <c r="BI8" s="11" t="n">
        <f aca="false">BH8+BI7-Operations!BI75</f>
        <v>15.9012645435357</v>
      </c>
      <c r="BJ8" s="11" t="n">
        <f aca="false">BI8+BJ7-Operations!BJ75</f>
        <v>19.0815174522429</v>
      </c>
      <c r="BK8" s="11" t="n">
        <f aca="false">BJ8+BK7-Operations!BK75</f>
        <v>0</v>
      </c>
      <c r="BL8" s="11" t="n">
        <f aca="false">BK8+BL7-Operations!BL75</f>
        <v>0</v>
      </c>
      <c r="BM8" s="11" t="n">
        <f aca="false">BL8+BM7-Operations!BM75</f>
        <v>0</v>
      </c>
      <c r="BN8" s="11" t="n">
        <f aca="false">BM8+BN7-Operations!BN75</f>
        <v>0</v>
      </c>
    </row>
    <row r="9" customFormat="false" ht="15" hidden="false" customHeight="false" outlineLevel="0" collapsed="false">
      <c r="D9" s="0" t="s">
        <v>714</v>
      </c>
      <c r="E9" s="0" t="s">
        <v>149</v>
      </c>
      <c r="J9" s="11" t="n">
        <f aca="false">IF(Time!J29=1,SUM(Funding!$J$44:$BJ$44),0)</f>
        <v>0</v>
      </c>
      <c r="K9" s="11" t="n">
        <f aca="false">IF(Time!K29=1,SUM(Funding!$J$44:$BJ$44),J13)</f>
        <v>0</v>
      </c>
      <c r="L9" s="11" t="n">
        <f aca="false">IF(Time!L29=1,SUM(Funding!$J$44:$BJ$44),K13)</f>
        <v>0</v>
      </c>
      <c r="M9" s="11" t="n">
        <f aca="false">IF(Time!M29=1,SUM(Funding!$J$44:$BJ$44),L13)</f>
        <v>0</v>
      </c>
      <c r="N9" s="11" t="n">
        <f aca="false">IF(Time!N29=1,SUM(Funding!$J$44:$BJ$44),M13)</f>
        <v>0</v>
      </c>
      <c r="O9" s="11" t="n">
        <f aca="false">IF(Time!O29=1,SUM(Funding!$J$44:$BJ$44),N13)</f>
        <v>0</v>
      </c>
      <c r="P9" s="11" t="n">
        <f aca="false">IF(Time!P29=1,SUM(Funding!$J$44:$BJ$44),O13)</f>
        <v>33.8418354545237</v>
      </c>
      <c r="Q9" s="11" t="n">
        <f aca="false">IF(Time!Q29=1,SUM(Funding!$J$44:$BJ$44),P13)</f>
        <v>35.087570652436</v>
      </c>
      <c r="R9" s="11" t="n">
        <f aca="false">IF(Time!R29=1,SUM(Funding!$J$44:$BJ$44),Q13)</f>
        <v>36.8030731422296</v>
      </c>
      <c r="S9" s="11" t="n">
        <f aca="false">IF(Time!S29=1,SUM(Funding!$J$44:$BJ$44),R13)</f>
        <v>37.365369182051</v>
      </c>
      <c r="T9" s="11" t="n">
        <f aca="false">IF(Time!T29=1,SUM(Funding!$J$44:$BJ$44),S13)</f>
        <v>34.9599659774211</v>
      </c>
      <c r="U9" s="11" t="n">
        <f aca="false">IF(Time!U29=1,SUM(Funding!$J$44:$BJ$44),T13)</f>
        <v>43.1230878724453</v>
      </c>
      <c r="V9" s="11" t="n">
        <f aca="false">IF(Time!V29=1,SUM(Funding!$J$44:$BJ$44),U13)</f>
        <v>43.303884094641</v>
      </c>
      <c r="W9" s="11" t="n">
        <f aca="false">IF(Time!W29=1,SUM(Funding!$J$44:$BJ$44),V13)</f>
        <v>41.2915751687604</v>
      </c>
      <c r="X9" s="11" t="n">
        <f aca="false">IF(Time!X29=1,SUM(Funding!$J$44:$BJ$44),W13)</f>
        <v>31.9770949734726</v>
      </c>
      <c r="Y9" s="11" t="n">
        <f aca="false">IF(Time!Y29=1,SUM(Funding!$J$44:$BJ$44),X13)</f>
        <v>30.401206369767</v>
      </c>
      <c r="Z9" s="11" t="n">
        <f aca="false">IF(Time!Z29=1,SUM(Funding!$J$44:$BJ$44),Y13)</f>
        <v>30.8496333632188</v>
      </c>
      <c r="AA9" s="11" t="n">
        <f aca="false">IF(Time!AA29=1,SUM(Funding!$J$44:$BJ$44),Z13)</f>
        <v>30.5028136759894</v>
      </c>
      <c r="AB9" s="11" t="n">
        <f aca="false">IF(Time!AB29=1,SUM(Funding!$J$44:$BJ$44),AA13)</f>
        <v>30.9284221001322</v>
      </c>
      <c r="AC9" s="11" t="n">
        <f aca="false">IF(Time!AC29=1,SUM(Funding!$J$44:$BJ$44),AB13)</f>
        <v>30.7323101948593</v>
      </c>
      <c r="AD9" s="11" t="n">
        <f aca="false">IF(Time!AD29=1,SUM(Funding!$J$44:$BJ$44),AC13)</f>
        <v>31.0779271217403</v>
      </c>
      <c r="AE9" s="11" t="n">
        <f aca="false">IF(Time!AE29=1,SUM(Funding!$J$44:$BJ$44),AD13)</f>
        <v>31.9665031988867</v>
      </c>
      <c r="AF9" s="11" t="n">
        <f aca="false">IF(Time!AF29=1,SUM(Funding!$J$44:$BJ$44),AE13)</f>
        <v>32.4954443588155</v>
      </c>
      <c r="AG9" s="11" t="n">
        <f aca="false">IF(Time!AG29=1,SUM(Funding!$J$44:$BJ$44),AF13)</f>
        <v>31.9951549717801</v>
      </c>
      <c r="AH9" s="11" t="n">
        <f aca="false">IF(Time!AH29=1,SUM(Funding!$J$44:$BJ$44),AG13)</f>
        <v>32.4642838031482</v>
      </c>
      <c r="AI9" s="11" t="n">
        <f aca="false">IF(Time!AI29=1,SUM(Funding!$J$44:$BJ$44),AH13)</f>
        <v>32.2548913964038</v>
      </c>
      <c r="AJ9" s="11" t="n">
        <f aca="false">IF(Time!AJ29=1,SUM(Funding!$J$44:$BJ$44),AI13)</f>
        <v>32.6630881794046</v>
      </c>
      <c r="AK9" s="11" t="n">
        <f aca="false">IF(Time!AK29=1,SUM(Funding!$J$44:$BJ$44),AJ13)</f>
        <v>32.4425851504057</v>
      </c>
      <c r="AL9" s="11" t="n">
        <f aca="false">IF(Time!AL29=1,SUM(Funding!$J$44:$BJ$44),AK13)</f>
        <v>32.778456483646</v>
      </c>
      <c r="AM9" s="11" t="n">
        <f aca="false">IF(Time!AM29=1,SUM(Funding!$J$44:$BJ$44),AL13)</f>
        <v>32.1809376284882</v>
      </c>
      <c r="AN9" s="11" t="n">
        <f aca="false">IF(Time!AN29=1,SUM(Funding!$J$44:$BJ$44),AM13)</f>
        <v>28.5246483742642</v>
      </c>
      <c r="AO9" s="11" t="n">
        <f aca="false">IF(Time!AO29=1,SUM(Funding!$J$44:$BJ$44),AN13)</f>
        <v>26.4061477367069</v>
      </c>
      <c r="AP9" s="11" t="n">
        <f aca="false">IF(Time!AP29=1,SUM(Funding!$J$44:$BJ$44),AO13)</f>
        <v>26.6987414632049</v>
      </c>
      <c r="AQ9" s="11" t="n">
        <f aca="false">IF(Time!AQ29=1,SUM(Funding!$J$44:$BJ$44),AP13)</f>
        <v>26.2913069884619</v>
      </c>
      <c r="AR9" s="11" t="n">
        <f aca="false">IF(Time!AR29=1,SUM(Funding!$J$44:$BJ$44),AQ13)</f>
        <v>26.5270675751611</v>
      </c>
      <c r="AS9" s="11" t="n">
        <f aca="false">IF(Time!AS29=1,SUM(Funding!$J$44:$BJ$44),AR13)</f>
        <v>26.1120207428106</v>
      </c>
      <c r="AT9" s="11" t="n">
        <f aca="false">IF(Time!AT29=1,SUM(Funding!$J$44:$BJ$44),AS13)</f>
        <v>26.2626901522987</v>
      </c>
      <c r="AU9" s="11" t="n">
        <f aca="false">IF(Time!AU29=1,SUM(Funding!$J$44:$BJ$44),AT13)</f>
        <v>30.2912412910693</v>
      </c>
      <c r="AV9" s="11" t="n">
        <f aca="false">IF(Time!AV29=1,SUM(Funding!$J$44:$BJ$44),AU13)</f>
        <v>0</v>
      </c>
      <c r="AW9" s="11" t="n">
        <f aca="false">IF(Time!AW29=1,SUM(Funding!$J$44:$BJ$44),AV13)</f>
        <v>0</v>
      </c>
      <c r="AX9" s="11" t="n">
        <f aca="false">IF(Time!AX29=1,SUM(Funding!$J$44:$BJ$44),AW13)</f>
        <v>0</v>
      </c>
      <c r="AY9" s="11" t="n">
        <f aca="false">IF(Time!AY29=1,SUM(Funding!$J$44:$BJ$44),AX13)</f>
        <v>0</v>
      </c>
      <c r="AZ9" s="11" t="n">
        <f aca="false">IF(Time!AZ29=1,SUM(Funding!$J$44:$BJ$44),AY13)</f>
        <v>0</v>
      </c>
      <c r="BA9" s="11" t="n">
        <f aca="false">IF(Time!BA29=1,SUM(Funding!$J$44:$BJ$44),AZ13)</f>
        <v>0</v>
      </c>
      <c r="BB9" s="11" t="n">
        <f aca="false">IF(Time!BB29=1,SUM(Funding!$J$44:$BJ$44),BA13)</f>
        <v>0</v>
      </c>
      <c r="BC9" s="11" t="n">
        <f aca="false">IF(Time!BC29=1,SUM(Funding!$J$44:$BJ$44),BB13)</f>
        <v>0</v>
      </c>
      <c r="BD9" s="11" t="n">
        <f aca="false">IF(Time!BD29=1,SUM(Funding!$J$44:$BJ$44),BC13)</f>
        <v>0</v>
      </c>
      <c r="BE9" s="11" t="n">
        <f aca="false">IF(Time!BE29=1,SUM(Funding!$J$44:$BJ$44),BD13)</f>
        <v>0</v>
      </c>
      <c r="BF9" s="11" t="n">
        <f aca="false">IF(Time!BF29=1,SUM(Funding!$J$44:$BJ$44),BE13)</f>
        <v>0</v>
      </c>
      <c r="BG9" s="11" t="n">
        <f aca="false">IF(Time!BG29=1,SUM(Funding!$J$44:$BJ$44),BF13)</f>
        <v>0</v>
      </c>
      <c r="BH9" s="11" t="n">
        <f aca="false">IF(Time!BH29=1,SUM(Funding!$J$44:$BJ$44),BG13)</f>
        <v>0</v>
      </c>
      <c r="BI9" s="11" t="n">
        <f aca="false">IF(Time!BI29=1,SUM(Funding!$J$44:$BJ$44),BH13)</f>
        <v>0</v>
      </c>
      <c r="BJ9" s="11" t="n">
        <f aca="false">IF(Time!BJ29=1,SUM(Funding!$J$44:$BJ$44),BI13)</f>
        <v>0</v>
      </c>
      <c r="BK9" s="11" t="n">
        <f aca="false">IF(Time!BK29=1,SUM(Funding!$J$44:$BJ$44),BJ13)</f>
        <v>0</v>
      </c>
      <c r="BL9" s="11" t="n">
        <f aca="false">IF(Time!BL29=1,SUM(Funding!$J$44:$BJ$44),BK13)</f>
        <v>0</v>
      </c>
      <c r="BM9" s="11" t="n">
        <f aca="false">IF(Time!BM29=1,SUM(Funding!$J$44:$BJ$44),BL13)</f>
        <v>0</v>
      </c>
      <c r="BN9" s="11" t="n">
        <f aca="false">IF(Time!BN29=1,SUM(Funding!$J$44:$BJ$44),BM13)</f>
        <v>0</v>
      </c>
    </row>
    <row r="10" customFormat="false" ht="15" hidden="false" customHeight="false" outlineLevel="0" collapsed="false">
      <c r="D10" s="0" t="s">
        <v>715</v>
      </c>
      <c r="E10" s="0" t="s">
        <v>149</v>
      </c>
      <c r="G10" s="11" t="n">
        <f aca="false">SUM(J10:BN10)</f>
        <v>2.40540320462991</v>
      </c>
      <c r="J10" s="11" t="n">
        <f aca="false">MIN(J9,Waterfall!J11)</f>
        <v>0</v>
      </c>
      <c r="K10" s="11" t="n">
        <f aca="false">MIN(K9,Waterfall!K11)</f>
        <v>0</v>
      </c>
      <c r="L10" s="11" t="n">
        <f aca="false">MIN(L9,Waterfall!L11)</f>
        <v>0</v>
      </c>
      <c r="M10" s="11" t="n">
        <f aca="false">MIN(M9,Waterfall!M11)</f>
        <v>0</v>
      </c>
      <c r="N10" s="11" t="n">
        <f aca="false">MIN(N9,Waterfall!N11)</f>
        <v>0</v>
      </c>
      <c r="O10" s="11" t="n">
        <f aca="false">MIN(O9,Waterfall!O11)</f>
        <v>0</v>
      </c>
      <c r="P10" s="11" t="n">
        <f aca="false">MIN(P9,Waterfall!P11)</f>
        <v>0</v>
      </c>
      <c r="Q10" s="11" t="n">
        <f aca="false">MIN(Q9,Waterfall!Q11)</f>
        <v>0</v>
      </c>
      <c r="R10" s="11" t="n">
        <f aca="false">MIN(R9,Waterfall!R11)</f>
        <v>0</v>
      </c>
      <c r="S10" s="11" t="n">
        <f aca="false">MIN(S9,Waterfall!S11)</f>
        <v>2.40540320462991</v>
      </c>
      <c r="T10" s="11" t="n">
        <f aca="false">MIN(T9,Waterfall!T11)</f>
        <v>0</v>
      </c>
      <c r="U10" s="11" t="n">
        <f aca="false">MIN(U9,Waterfall!U11)</f>
        <v>0</v>
      </c>
      <c r="V10" s="11" t="n">
        <f aca="false">MIN(V9,Waterfall!V11)</f>
        <v>0</v>
      </c>
      <c r="W10" s="11" t="n">
        <f aca="false">MIN(W9,Waterfall!W11)</f>
        <v>0</v>
      </c>
      <c r="X10" s="11" t="n">
        <f aca="false">MIN(X9,Waterfall!X11)</f>
        <v>0</v>
      </c>
      <c r="Y10" s="11" t="n">
        <f aca="false">MIN(Y9,Waterfall!Y11)</f>
        <v>0</v>
      </c>
      <c r="Z10" s="11" t="n">
        <f aca="false">MIN(Z9,Waterfall!Z11)</f>
        <v>0</v>
      </c>
      <c r="AA10" s="11" t="n">
        <f aca="false">MIN(AA9,Waterfall!AA11)</f>
        <v>0</v>
      </c>
      <c r="AB10" s="11" t="n">
        <f aca="false">MIN(AB9,Waterfall!AB11)</f>
        <v>0</v>
      </c>
      <c r="AC10" s="11" t="n">
        <f aca="false">MIN(AC9,Waterfall!AC11)</f>
        <v>0</v>
      </c>
      <c r="AD10" s="11" t="n">
        <f aca="false">MIN(AD9,Waterfall!AD11)</f>
        <v>0</v>
      </c>
      <c r="AE10" s="11" t="n">
        <f aca="false">MIN(AE9,Waterfall!AE11)</f>
        <v>0</v>
      </c>
      <c r="AF10" s="11" t="n">
        <f aca="false">MIN(AF9,Waterfall!AF11)</f>
        <v>0</v>
      </c>
      <c r="AG10" s="11" t="n">
        <f aca="false">MIN(AG9,Waterfall!AG11)</f>
        <v>0</v>
      </c>
      <c r="AH10" s="11" t="n">
        <f aca="false">MIN(AH9,Waterfall!AH11)</f>
        <v>0</v>
      </c>
      <c r="AI10" s="11" t="n">
        <f aca="false">MIN(AI9,Waterfall!AI11)</f>
        <v>0</v>
      </c>
      <c r="AJ10" s="11" t="n">
        <f aca="false">MIN(AJ9,Waterfall!AJ11)</f>
        <v>0</v>
      </c>
      <c r="AK10" s="11" t="n">
        <f aca="false">MIN(AK9,Waterfall!AK11)</f>
        <v>0</v>
      </c>
      <c r="AL10" s="11" t="n">
        <f aca="false">MIN(AL9,Waterfall!AL11)</f>
        <v>0</v>
      </c>
      <c r="AM10" s="11" t="n">
        <f aca="false">MIN(AM9,Waterfall!AM11)</f>
        <v>0</v>
      </c>
      <c r="AN10" s="11" t="n">
        <f aca="false">MIN(AN9,Waterfall!AN11)</f>
        <v>0</v>
      </c>
      <c r="AO10" s="11" t="n">
        <f aca="false">MIN(AO9,Waterfall!AO11)</f>
        <v>0</v>
      </c>
      <c r="AP10" s="11" t="n">
        <f aca="false">MIN(AP9,Waterfall!AP11)</f>
        <v>0</v>
      </c>
      <c r="AQ10" s="11" t="n">
        <f aca="false">MIN(AQ9,Waterfall!AQ11)</f>
        <v>0</v>
      </c>
      <c r="AR10" s="11" t="n">
        <f aca="false">MIN(AR9,Waterfall!AR11)</f>
        <v>0</v>
      </c>
      <c r="AS10" s="11" t="n">
        <f aca="false">MIN(AS9,Waterfall!AS11)</f>
        <v>0</v>
      </c>
      <c r="AT10" s="11" t="n">
        <f aca="false">MIN(AT9,Waterfall!AT11)</f>
        <v>0</v>
      </c>
      <c r="AU10" s="11" t="n">
        <f aca="false">MIN(AU9,Waterfall!AU11)</f>
        <v>0</v>
      </c>
      <c r="AV10" s="11" t="n">
        <f aca="false">MIN(AV9,Waterfall!AV11)</f>
        <v>0</v>
      </c>
      <c r="AW10" s="11" t="n">
        <f aca="false">MIN(AW9,Waterfall!AW11)</f>
        <v>0</v>
      </c>
      <c r="AX10" s="11" t="n">
        <f aca="false">MIN(AX9,Waterfall!AX11)</f>
        <v>0</v>
      </c>
      <c r="AY10" s="11" t="n">
        <f aca="false">MIN(AY9,Waterfall!AY11)</f>
        <v>0</v>
      </c>
      <c r="AZ10" s="11" t="n">
        <f aca="false">MIN(AZ9,Waterfall!AZ11)</f>
        <v>0</v>
      </c>
      <c r="BA10" s="11" t="n">
        <f aca="false">MIN(BA9,Waterfall!BA11)</f>
        <v>0</v>
      </c>
      <c r="BB10" s="11" t="n">
        <f aca="false">MIN(BB9,Waterfall!BB11)</f>
        <v>0</v>
      </c>
      <c r="BC10" s="11" t="n">
        <f aca="false">MIN(BC9,Waterfall!BC11)</f>
        <v>0</v>
      </c>
      <c r="BD10" s="11" t="n">
        <f aca="false">MIN(BD9,Waterfall!BD11)</f>
        <v>0</v>
      </c>
      <c r="BE10" s="11" t="n">
        <f aca="false">MIN(BE9,Waterfall!BE11)</f>
        <v>0</v>
      </c>
      <c r="BF10" s="11" t="n">
        <f aca="false">MIN(BF9,Waterfall!BF11)</f>
        <v>0</v>
      </c>
      <c r="BG10" s="11" t="n">
        <f aca="false">MIN(BG9,Waterfall!BG11)</f>
        <v>0</v>
      </c>
      <c r="BH10" s="11" t="n">
        <f aca="false">MIN(BH9,Waterfall!BH11)</f>
        <v>0</v>
      </c>
      <c r="BI10" s="11" t="n">
        <f aca="false">MIN(BI9,Waterfall!BI11)</f>
        <v>0</v>
      </c>
      <c r="BJ10" s="11" t="n">
        <f aca="false">MIN(BJ9,Waterfall!BJ11)</f>
        <v>0</v>
      </c>
      <c r="BK10" s="11" t="n">
        <f aca="false">MIN(BK9,Waterfall!BK11)</f>
        <v>0</v>
      </c>
      <c r="BL10" s="11" t="n">
        <f aca="false">MIN(BL9,Waterfall!BL11)</f>
        <v>0</v>
      </c>
      <c r="BM10" s="11" t="n">
        <f aca="false">MIN(BM9,Waterfall!BM11)</f>
        <v>0</v>
      </c>
      <c r="BN10" s="11" t="n">
        <f aca="false">MIN(BN9,Waterfall!BN11)</f>
        <v>0</v>
      </c>
    </row>
    <row r="11" customFormat="false" ht="15" hidden="false" customHeight="false" outlineLevel="0" collapsed="false">
      <c r="D11" s="0" t="s">
        <v>716</v>
      </c>
      <c r="E11" s="0" t="s">
        <v>149</v>
      </c>
      <c r="G11" s="11" t="n">
        <f aca="false">SUM(J11:BN11)</f>
        <v>20.4253932353632</v>
      </c>
      <c r="J11" s="11" t="n">
        <f aca="false">MIN(Waterfall!J13,MAX(0,Debt!J132-(J9-J10)))</f>
        <v>0</v>
      </c>
      <c r="K11" s="11" t="n">
        <f aca="false">MIN(Waterfall!K13,MAX(0,Debt!K132-(K9-K10)))</f>
        <v>0</v>
      </c>
      <c r="L11" s="11" t="n">
        <f aca="false">MIN(Waterfall!L13,MAX(0,Debt!L132-(L9-L10)))</f>
        <v>0</v>
      </c>
      <c r="M11" s="11" t="n">
        <f aca="false">MIN(Waterfall!M13,MAX(0,Debt!M132-(M9-M10)))</f>
        <v>0</v>
      </c>
      <c r="N11" s="11" t="n">
        <f aca="false">MIN(Waterfall!N13,MAX(0,Debt!N132-(N9-N10)))</f>
        <v>0</v>
      </c>
      <c r="O11" s="11" t="n">
        <f aca="false">MIN(Waterfall!O13,MAX(0,Debt!O132-(O9-O10)))</f>
        <v>0</v>
      </c>
      <c r="P11" s="11" t="n">
        <f aca="false">MIN(Waterfall!P13,MAX(0,Debt!P132-(P9-P10)))</f>
        <v>1.24573519791239</v>
      </c>
      <c r="Q11" s="11" t="n">
        <f aca="false">MIN(Waterfall!Q13,MAX(0,Debt!Q132-(Q9-Q10)))</f>
        <v>1.7155024897936</v>
      </c>
      <c r="R11" s="11" t="n">
        <f aca="false">MIN(Waterfall!R13,MAX(0,Debt!R132-(R9-R10)))</f>
        <v>0.562296039821327</v>
      </c>
      <c r="S11" s="11" t="n">
        <f aca="false">MIN(Waterfall!S13,MAX(0,Debt!S132-(S9-S10)))</f>
        <v>0</v>
      </c>
      <c r="T11" s="11" t="n">
        <f aca="false">MIN(Waterfall!T13,MAX(0,Debt!T132-(T9-T10)))</f>
        <v>8.16312189502427</v>
      </c>
      <c r="U11" s="11" t="n">
        <f aca="false">MIN(Waterfall!U13,MAX(0,Debt!U132-(U9-U10)))</f>
        <v>0.180796222195625</v>
      </c>
      <c r="V11" s="11" t="n">
        <f aca="false">MIN(Waterfall!V13,MAX(0,Debt!V132-(V9-V10)))</f>
        <v>0</v>
      </c>
      <c r="W11" s="11" t="n">
        <f aca="false">MIN(Waterfall!W13,MAX(0,Debt!W132-(W9-W10)))</f>
        <v>0</v>
      </c>
      <c r="X11" s="11" t="n">
        <f aca="false">MIN(Waterfall!X13,MAX(0,Debt!X132-(X9-X10)))</f>
        <v>0</v>
      </c>
      <c r="Y11" s="11" t="n">
        <f aca="false">MIN(Waterfall!Y13,MAX(0,Debt!Y132-(Y9-Y10)))</f>
        <v>0.448426993451783</v>
      </c>
      <c r="Z11" s="11" t="n">
        <f aca="false">MIN(Waterfall!Z13,MAX(0,Debt!Z132-(Z9-Z10)))</f>
        <v>0</v>
      </c>
      <c r="AA11" s="11" t="n">
        <f aca="false">MIN(Waterfall!AA13,MAX(0,Debt!AA132-(AA9-AA10)))</f>
        <v>0.425608424142801</v>
      </c>
      <c r="AB11" s="11" t="n">
        <f aca="false">MIN(Waterfall!AB13,MAX(0,Debt!AB132-(AB9-AB10)))</f>
        <v>0</v>
      </c>
      <c r="AC11" s="11" t="n">
        <f aca="false">MIN(Waterfall!AC13,MAX(0,Debt!AC132-(AC9-AC10)))</f>
        <v>0.345616926881007</v>
      </c>
      <c r="AD11" s="11" t="n">
        <f aca="false">MIN(Waterfall!AD13,MAX(0,Debt!AD132-(AD9-AD10)))</f>
        <v>0.888576077146404</v>
      </c>
      <c r="AE11" s="11" t="n">
        <f aca="false">MIN(Waterfall!AE13,MAX(0,Debt!AE132-(AE9-AE10)))</f>
        <v>0.528941159928827</v>
      </c>
      <c r="AF11" s="11" t="n">
        <f aca="false">MIN(Waterfall!AF13,MAX(0,Debt!AF132-(AF9-AF10)))</f>
        <v>0</v>
      </c>
      <c r="AG11" s="11" t="n">
        <f aca="false">MIN(Waterfall!AG13,MAX(0,Debt!AG132-(AG9-AG10)))</f>
        <v>0.469128831368145</v>
      </c>
      <c r="AH11" s="11" t="n">
        <f aca="false">MIN(Waterfall!AH13,MAX(0,Debt!AH132-(AH9-AH10)))</f>
        <v>0</v>
      </c>
      <c r="AI11" s="11" t="n">
        <f aca="false">MIN(Waterfall!AI13,MAX(0,Debt!AI132-(AI9-AI10)))</f>
        <v>0.408196783000832</v>
      </c>
      <c r="AJ11" s="11" t="n">
        <f aca="false">MIN(Waterfall!AJ13,MAX(0,Debt!AJ132-(AJ9-AJ10)))</f>
        <v>0</v>
      </c>
      <c r="AK11" s="11" t="n">
        <f aca="false">MIN(Waterfall!AK13,MAX(0,Debt!AK132-(AK9-AK10)))</f>
        <v>0.335871333240355</v>
      </c>
      <c r="AL11" s="11" t="n">
        <f aca="false">MIN(Waterfall!AL13,MAX(0,Debt!AL132-(AL9-AL10)))</f>
        <v>0</v>
      </c>
      <c r="AM11" s="11" t="n">
        <f aca="false">MIN(Waterfall!AM13,MAX(0,Debt!AM132-(AM9-AM10)))</f>
        <v>0</v>
      </c>
      <c r="AN11" s="11" t="n">
        <f aca="false">MIN(Waterfall!AN13,MAX(0,Debt!AN132-(AN9-AN10)))</f>
        <v>0</v>
      </c>
      <c r="AO11" s="11" t="n">
        <f aca="false">MIN(Waterfall!AO13,MAX(0,Debt!AO132-(AO9-AO10)))</f>
        <v>0.292593726497977</v>
      </c>
      <c r="AP11" s="11" t="n">
        <f aca="false">MIN(Waterfall!AP13,MAX(0,Debt!AP132-(AP9-AP10)))</f>
        <v>0</v>
      </c>
      <c r="AQ11" s="11" t="n">
        <f aca="false">MIN(Waterfall!AQ13,MAX(0,Debt!AQ132-(AQ9-AQ10)))</f>
        <v>0.23576058669914</v>
      </c>
      <c r="AR11" s="11" t="n">
        <f aca="false">MIN(Waterfall!AR13,MAX(0,Debt!AR132-(AR9-AR10)))</f>
        <v>0</v>
      </c>
      <c r="AS11" s="11" t="n">
        <f aca="false">MIN(Waterfall!AS13,MAX(0,Debt!AS132-(AS9-AS10)))</f>
        <v>0.150669409488181</v>
      </c>
      <c r="AT11" s="11" t="n">
        <f aca="false">MIN(Waterfall!AT13,MAX(0,Debt!AT132-(AT9-AT10)))</f>
        <v>4.02855113877055</v>
      </c>
      <c r="AU11" s="11" t="n">
        <f aca="false">MIN(Waterfall!AU13,MAX(0,Debt!AU132-(AU9-AU10)))</f>
        <v>0</v>
      </c>
      <c r="AV11" s="11" t="n">
        <f aca="false">MIN(Waterfall!AV13,MAX(0,Debt!AV132-(AV9-AV10)))</f>
        <v>0</v>
      </c>
      <c r="AW11" s="11" t="n">
        <f aca="false">MIN(Waterfall!AW13,MAX(0,Debt!AW132-(AW9-AW10)))</f>
        <v>0</v>
      </c>
      <c r="AX11" s="11" t="n">
        <f aca="false">MIN(Waterfall!AX13,MAX(0,Debt!AX132-(AX9-AX10)))</f>
        <v>0</v>
      </c>
      <c r="AY11" s="11" t="n">
        <f aca="false">MIN(Waterfall!AY13,MAX(0,Debt!AY132-(AY9-AY10)))</f>
        <v>0</v>
      </c>
      <c r="AZ11" s="11" t="n">
        <f aca="false">MIN(Waterfall!AZ13,MAX(0,Debt!AZ132-(AZ9-AZ10)))</f>
        <v>0</v>
      </c>
      <c r="BA11" s="11" t="n">
        <f aca="false">MIN(Waterfall!BA13,MAX(0,Debt!BA132-(BA9-BA10)))</f>
        <v>0</v>
      </c>
      <c r="BB11" s="11" t="n">
        <f aca="false">MIN(Waterfall!BB13,MAX(0,Debt!BB132-(BB9-BB10)))</f>
        <v>0</v>
      </c>
      <c r="BC11" s="11" t="n">
        <f aca="false">MIN(Waterfall!BC13,MAX(0,Debt!BC132-(BC9-BC10)))</f>
        <v>0</v>
      </c>
      <c r="BD11" s="11" t="n">
        <f aca="false">MIN(Waterfall!BD13,MAX(0,Debt!BD132-(BD9-BD10)))</f>
        <v>0</v>
      </c>
      <c r="BE11" s="11" t="n">
        <f aca="false">MIN(Waterfall!BE13,MAX(0,Debt!BE132-(BE9-BE10)))</f>
        <v>0</v>
      </c>
      <c r="BF11" s="11" t="n">
        <f aca="false">MIN(Waterfall!BF13,MAX(0,Debt!BF132-(BF9-BF10)))</f>
        <v>0</v>
      </c>
      <c r="BG11" s="11" t="n">
        <f aca="false">MIN(Waterfall!BG13,MAX(0,Debt!BG132-(BG9-BG10)))</f>
        <v>0</v>
      </c>
      <c r="BH11" s="11" t="n">
        <f aca="false">MIN(Waterfall!BH13,MAX(0,Debt!BH132-(BH9-BH10)))</f>
        <v>0</v>
      </c>
      <c r="BI11" s="11" t="n">
        <f aca="false">MIN(Waterfall!BI13,MAX(0,Debt!BI132-(BI9-BI10)))</f>
        <v>0</v>
      </c>
      <c r="BJ11" s="11" t="n">
        <f aca="false">MIN(Waterfall!BJ13,MAX(0,Debt!BJ132-(BJ9-BJ10)))</f>
        <v>0</v>
      </c>
      <c r="BK11" s="11" t="n">
        <f aca="false">MIN(Waterfall!BK13,MAX(0,Debt!BK132-(BK9-BK10)))</f>
        <v>0</v>
      </c>
      <c r="BL11" s="11" t="n">
        <f aca="false">MIN(Waterfall!BL13,MAX(0,Debt!BL132-(BL9-BL10)))</f>
        <v>0</v>
      </c>
      <c r="BM11" s="11" t="n">
        <f aca="false">MIN(Waterfall!BM13,MAX(0,Debt!BM132-(BM9-BM10)))</f>
        <v>0</v>
      </c>
      <c r="BN11" s="11" t="n">
        <f aca="false">MIN(Waterfall!BN13,MAX(0,Debt!BN132-(BN9-BN10)))</f>
        <v>0</v>
      </c>
    </row>
    <row r="12" customFormat="false" ht="15" hidden="false" customHeight="false" outlineLevel="0" collapsed="false">
      <c r="D12" s="0" t="s">
        <v>717</v>
      </c>
      <c r="E12" s="0" t="s">
        <v>149</v>
      </c>
      <c r="G12" s="11" t="n">
        <f aca="false">SUM(J12:BN12)</f>
        <v>51.8618254852569</v>
      </c>
      <c r="J12" s="11" t="n">
        <f aca="false">MAX(0,J9-J10-Debt!J132)</f>
        <v>0</v>
      </c>
      <c r="K12" s="11" t="n">
        <f aca="false">MAX(0,K9-K10-Debt!K132)</f>
        <v>0</v>
      </c>
      <c r="L12" s="11" t="n">
        <f aca="false">MAX(0,L9-L10-Debt!L132)</f>
        <v>0</v>
      </c>
      <c r="M12" s="11" t="n">
        <f aca="false">MAX(0,M9-M10-Debt!M132)</f>
        <v>0</v>
      </c>
      <c r="N12" s="11" t="n">
        <f aca="false">MAX(0,N9-N10-Debt!N132)</f>
        <v>0</v>
      </c>
      <c r="O12" s="11" t="n">
        <f aca="false">MAX(0,O9-O10-Debt!O132)</f>
        <v>0</v>
      </c>
      <c r="P12" s="11" t="n">
        <f aca="false">MAX(0,P9-P10-Debt!P132)</f>
        <v>0</v>
      </c>
      <c r="Q12" s="11" t="n">
        <f aca="false">MAX(0,Q9-Q10-Debt!Q132)</f>
        <v>0</v>
      </c>
      <c r="R12" s="11" t="n">
        <f aca="false">MAX(0,R9-R10-Debt!R132)</f>
        <v>0</v>
      </c>
      <c r="S12" s="11" t="n">
        <f aca="false">MAX(0,S9-S10-Debt!S132)</f>
        <v>0</v>
      </c>
      <c r="T12" s="11" t="n">
        <f aca="false">MAX(0,T9-T10-Debt!T132)</f>
        <v>0</v>
      </c>
      <c r="U12" s="11" t="n">
        <f aca="false">MAX(0,U9-U10-Debt!U132)</f>
        <v>0</v>
      </c>
      <c r="V12" s="11" t="n">
        <f aca="false">MAX(0,V9-V10-Debt!V132)</f>
        <v>2.01230892588052</v>
      </c>
      <c r="W12" s="11" t="n">
        <f aca="false">MAX(0,W9-W10-Debt!W132)</f>
        <v>9.3144801952878</v>
      </c>
      <c r="X12" s="11" t="n">
        <f aca="false">MAX(0,X9-X10-Debt!X132)</f>
        <v>1.5758886037056</v>
      </c>
      <c r="Y12" s="11" t="n">
        <f aca="false">MAX(0,Y9-Y10-Debt!Y132)</f>
        <v>0</v>
      </c>
      <c r="Z12" s="11" t="n">
        <f aca="false">MAX(0,Z9-Z10-Debt!Z132)</f>
        <v>0.346819687229399</v>
      </c>
      <c r="AA12" s="11" t="n">
        <f aca="false">MAX(0,AA9-AA10-Debt!AA132)</f>
        <v>0</v>
      </c>
      <c r="AB12" s="11" t="n">
        <f aca="false">MAX(0,AB9-AB10-Debt!AB132)</f>
        <v>0.19611190527295</v>
      </c>
      <c r="AC12" s="11" t="n">
        <f aca="false">MAX(0,AC9-AC10-Debt!AC132)</f>
        <v>0</v>
      </c>
      <c r="AD12" s="11" t="n">
        <f aca="false">MAX(0,AD9-AD10-Debt!AD132)</f>
        <v>0</v>
      </c>
      <c r="AE12" s="11" t="n">
        <f aca="false">MAX(0,AE9-AE10-Debt!AE132)</f>
        <v>0</v>
      </c>
      <c r="AF12" s="11" t="n">
        <f aca="false">MAX(0,AF9-AF10-Debt!AF132)</f>
        <v>0.500289387035423</v>
      </c>
      <c r="AG12" s="11" t="n">
        <f aca="false">MAX(0,AG9-AG10-Debt!AG132)</f>
        <v>0</v>
      </c>
      <c r="AH12" s="11" t="n">
        <f aca="false">MAX(0,AH9-AH10-Debt!AH132)</f>
        <v>0.209392406744463</v>
      </c>
      <c r="AI12" s="11" t="n">
        <f aca="false">MAX(0,AI9-AI10-Debt!AI132)</f>
        <v>0</v>
      </c>
      <c r="AJ12" s="11" t="n">
        <f aca="false">MAX(0,AJ9-AJ10-Debt!AJ132)</f>
        <v>0.220503028998934</v>
      </c>
      <c r="AK12" s="11" t="n">
        <f aca="false">MAX(0,AK9-AK10-Debt!AK132)</f>
        <v>0</v>
      </c>
      <c r="AL12" s="11" t="n">
        <f aca="false">MAX(0,AL9-AL10-Debt!AL132)</f>
        <v>0.597518855157858</v>
      </c>
      <c r="AM12" s="11" t="n">
        <f aca="false">MAX(0,AM9-AM10-Debt!AM132)</f>
        <v>3.65628925422392</v>
      </c>
      <c r="AN12" s="11" t="n">
        <f aca="false">MAX(0,AN9-AN10-Debt!AN132)</f>
        <v>2.11850063755729</v>
      </c>
      <c r="AO12" s="11" t="n">
        <f aca="false">MAX(0,AO9-AO10-Debt!AO132)</f>
        <v>0</v>
      </c>
      <c r="AP12" s="11" t="n">
        <f aca="false">MAX(0,AP9-AP10-Debt!AP132)</f>
        <v>0.407434474742995</v>
      </c>
      <c r="AQ12" s="11" t="n">
        <f aca="false">MAX(0,AQ9-AQ10-Debt!AQ132)</f>
        <v>0</v>
      </c>
      <c r="AR12" s="11" t="n">
        <f aca="false">MAX(0,AR9-AR10-Debt!AR132)</f>
        <v>0.415046832350516</v>
      </c>
      <c r="AS12" s="11" t="n">
        <f aca="false">MAX(0,AS9-AS10-Debt!AS132)</f>
        <v>0</v>
      </c>
      <c r="AT12" s="11" t="n">
        <f aca="false">MAX(0,AT9-AT10-Debt!AT132)</f>
        <v>0</v>
      </c>
      <c r="AU12" s="11" t="n">
        <f aca="false">MAX(0,AU9-AU10-Debt!AU132)</f>
        <v>30.2912412910693</v>
      </c>
      <c r="AV12" s="11" t="n">
        <f aca="false">MAX(0,AV9-AV10-Debt!AV132)</f>
        <v>0</v>
      </c>
      <c r="AW12" s="11" t="n">
        <f aca="false">MAX(0,AW9-AW10-Debt!AW132)</f>
        <v>0</v>
      </c>
      <c r="AX12" s="11" t="n">
        <f aca="false">MAX(0,AX9-AX10-Debt!AX132)</f>
        <v>0</v>
      </c>
      <c r="AY12" s="11" t="n">
        <f aca="false">MAX(0,AY9-AY10-Debt!AY132)</f>
        <v>0</v>
      </c>
      <c r="AZ12" s="11" t="n">
        <f aca="false">MAX(0,AZ9-AZ10-Debt!AZ132)</f>
        <v>0</v>
      </c>
      <c r="BA12" s="11" t="n">
        <f aca="false">MAX(0,BA9-BA10-Debt!BA132)</f>
        <v>0</v>
      </c>
      <c r="BB12" s="11" t="n">
        <f aca="false">MAX(0,BB9-BB10-Debt!BB132)</f>
        <v>0</v>
      </c>
      <c r="BC12" s="11" t="n">
        <f aca="false">MAX(0,BC9-BC10-Debt!BC132)</f>
        <v>0</v>
      </c>
      <c r="BD12" s="11" t="n">
        <f aca="false">MAX(0,BD9-BD10-Debt!BD132)</f>
        <v>0</v>
      </c>
      <c r="BE12" s="11" t="n">
        <f aca="false">MAX(0,BE9-BE10-Debt!BE132)</f>
        <v>0</v>
      </c>
      <c r="BF12" s="11" t="n">
        <f aca="false">MAX(0,BF9-BF10-Debt!BF132)</f>
        <v>0</v>
      </c>
      <c r="BG12" s="11" t="n">
        <f aca="false">MAX(0,BG9-BG10-Debt!BG132)</f>
        <v>0</v>
      </c>
      <c r="BH12" s="11" t="n">
        <f aca="false">MAX(0,BH9-BH10-Debt!BH132)</f>
        <v>0</v>
      </c>
      <c r="BI12" s="11" t="n">
        <f aca="false">MAX(0,BI9-BI10-Debt!BI132)</f>
        <v>0</v>
      </c>
      <c r="BJ12" s="11" t="n">
        <f aca="false">MAX(0,BJ9-BJ10-Debt!BJ132)</f>
        <v>0</v>
      </c>
      <c r="BK12" s="11" t="n">
        <f aca="false">MAX(0,BK9-BK10-Debt!BK132)</f>
        <v>0</v>
      </c>
      <c r="BL12" s="11" t="n">
        <f aca="false">MAX(0,BL9-BL10-Debt!BL132)</f>
        <v>0</v>
      </c>
      <c r="BM12" s="11" t="n">
        <f aca="false">MAX(0,BM9-BM10-Debt!BM132)</f>
        <v>0</v>
      </c>
      <c r="BN12" s="11" t="n">
        <f aca="false">MAX(0,BN9-BN10-Debt!BN132)</f>
        <v>0</v>
      </c>
    </row>
    <row r="13" customFormat="false" ht="15" hidden="false" customHeight="false" outlineLevel="0" collapsed="false">
      <c r="D13" s="0" t="s">
        <v>718</v>
      </c>
      <c r="E13" s="0" t="s">
        <v>149</v>
      </c>
      <c r="J13" s="11" t="n">
        <f aca="false">(1-Time!J32)*(J9-J10+J11-J12)</f>
        <v>0</v>
      </c>
      <c r="K13" s="11" t="n">
        <f aca="false">(1-Time!K32)*(K9-K10+K11-K12)</f>
        <v>0</v>
      </c>
      <c r="L13" s="11" t="n">
        <f aca="false">(1-Time!L32)*(L9-L10+L11-L12)</f>
        <v>0</v>
      </c>
      <c r="M13" s="11" t="n">
        <f aca="false">(1-Time!M32)*(M9-M10+M11-M12)</f>
        <v>0</v>
      </c>
      <c r="N13" s="11" t="n">
        <f aca="false">(1-Time!N32)*(N9-N10+N11-N12)</f>
        <v>0</v>
      </c>
      <c r="O13" s="11" t="n">
        <f aca="false">(1-Time!O32)*(O9-O10+O11-O12)</f>
        <v>0</v>
      </c>
      <c r="P13" s="11" t="n">
        <f aca="false">(1-Time!P32)*(P9-P10+P11-P12)</f>
        <v>35.087570652436</v>
      </c>
      <c r="Q13" s="11" t="n">
        <f aca="false">(1-Time!Q32)*(Q9-Q10+Q11-Q12)</f>
        <v>36.8030731422296</v>
      </c>
      <c r="R13" s="11" t="n">
        <f aca="false">(1-Time!R32)*(R9-R10+R11-R12)</f>
        <v>37.365369182051</v>
      </c>
      <c r="S13" s="11" t="n">
        <f aca="false">(1-Time!S32)*(S9-S10+S11-S12)</f>
        <v>34.9599659774211</v>
      </c>
      <c r="T13" s="11" t="n">
        <f aca="false">(1-Time!T32)*(T9-T10+T11-T12)</f>
        <v>43.1230878724453</v>
      </c>
      <c r="U13" s="11" t="n">
        <f aca="false">(1-Time!U32)*(U9-U10+U11-U12)</f>
        <v>43.303884094641</v>
      </c>
      <c r="V13" s="11" t="n">
        <f aca="false">(1-Time!V32)*(V9-V10+V11-V12)</f>
        <v>41.2915751687604</v>
      </c>
      <c r="W13" s="11" t="n">
        <f aca="false">(1-Time!W32)*(W9-W10+W11-W12)</f>
        <v>31.9770949734726</v>
      </c>
      <c r="X13" s="11" t="n">
        <f aca="false">(1-Time!X32)*(X9-X10+X11-X12)</f>
        <v>30.401206369767</v>
      </c>
      <c r="Y13" s="11" t="n">
        <f aca="false">(1-Time!Y32)*(Y9-Y10+Y11-Y12)</f>
        <v>30.8496333632188</v>
      </c>
      <c r="Z13" s="11" t="n">
        <f aca="false">(1-Time!Z32)*(Z9-Z10+Z11-Z12)</f>
        <v>30.5028136759894</v>
      </c>
      <c r="AA13" s="11" t="n">
        <f aca="false">(1-Time!AA32)*(AA9-AA10+AA11-AA12)</f>
        <v>30.9284221001322</v>
      </c>
      <c r="AB13" s="11" t="n">
        <f aca="false">(1-Time!AB32)*(AB9-AB10+AB11-AB12)</f>
        <v>30.7323101948593</v>
      </c>
      <c r="AC13" s="11" t="n">
        <f aca="false">(1-Time!AC32)*(AC9-AC10+AC11-AC12)</f>
        <v>31.0779271217403</v>
      </c>
      <c r="AD13" s="11" t="n">
        <f aca="false">(1-Time!AD32)*(AD9-AD10+AD11-AD12)</f>
        <v>31.9665031988867</v>
      </c>
      <c r="AE13" s="11" t="n">
        <f aca="false">(1-Time!AE32)*(AE9-AE10+AE11-AE12)</f>
        <v>32.4954443588155</v>
      </c>
      <c r="AF13" s="11" t="n">
        <f aca="false">(1-Time!AF32)*(AF9-AF10+AF11-AF12)</f>
        <v>31.9951549717801</v>
      </c>
      <c r="AG13" s="11" t="n">
        <f aca="false">(1-Time!AG32)*(AG9-AG10+AG11-AG12)</f>
        <v>32.4642838031482</v>
      </c>
      <c r="AH13" s="11" t="n">
        <f aca="false">(1-Time!AH32)*(AH9-AH10+AH11-AH12)</f>
        <v>32.2548913964038</v>
      </c>
      <c r="AI13" s="11" t="n">
        <f aca="false">(1-Time!AI32)*(AI9-AI10+AI11-AI12)</f>
        <v>32.6630881794046</v>
      </c>
      <c r="AJ13" s="11" t="n">
        <f aca="false">(1-Time!AJ32)*(AJ9-AJ10+AJ11-AJ12)</f>
        <v>32.4425851504057</v>
      </c>
      <c r="AK13" s="11" t="n">
        <f aca="false">(1-Time!AK32)*(AK9-AK10+AK11-AK12)</f>
        <v>32.778456483646</v>
      </c>
      <c r="AL13" s="11" t="n">
        <f aca="false">(1-Time!AL32)*(AL9-AL10+AL11-AL12)</f>
        <v>32.1809376284882</v>
      </c>
      <c r="AM13" s="11" t="n">
        <f aca="false">(1-Time!AM32)*(AM9-AM10+AM11-AM12)</f>
        <v>28.5246483742642</v>
      </c>
      <c r="AN13" s="11" t="n">
        <f aca="false">(1-Time!AN32)*(AN9-AN10+AN11-AN12)</f>
        <v>26.4061477367069</v>
      </c>
      <c r="AO13" s="11" t="n">
        <f aca="false">(1-Time!AO32)*(AO9-AO10+AO11-AO12)</f>
        <v>26.6987414632049</v>
      </c>
      <c r="AP13" s="11" t="n">
        <f aca="false">(1-Time!AP32)*(AP9-AP10+AP11-AP12)</f>
        <v>26.2913069884619</v>
      </c>
      <c r="AQ13" s="11" t="n">
        <f aca="false">(1-Time!AQ32)*(AQ9-AQ10+AQ11-AQ12)</f>
        <v>26.5270675751611</v>
      </c>
      <c r="AR13" s="11" t="n">
        <f aca="false">(1-Time!AR32)*(AR9-AR10+AR11-AR12)</f>
        <v>26.1120207428106</v>
      </c>
      <c r="AS13" s="11" t="n">
        <f aca="false">(1-Time!AS32)*(AS9-AS10+AS11-AS12)</f>
        <v>26.2626901522987</v>
      </c>
      <c r="AT13" s="11" t="n">
        <f aca="false">(1-Time!AT32)*(AT9-AT10+AT11-AT12)</f>
        <v>30.2912412910693</v>
      </c>
      <c r="AU13" s="11" t="n">
        <f aca="false">(1-Time!AU32)*(AU9-AU10+AU11-AU12)</f>
        <v>0</v>
      </c>
      <c r="AV13" s="11" t="n">
        <f aca="false">(1-Time!AV32)*(AV9-AV10+AV11-AV12)</f>
        <v>0</v>
      </c>
      <c r="AW13" s="11" t="n">
        <f aca="false">(1-Time!AW32)*(AW9-AW10+AW11-AW12)</f>
        <v>0</v>
      </c>
      <c r="AX13" s="11" t="n">
        <f aca="false">(1-Time!AX32)*(AX9-AX10+AX11-AX12)</f>
        <v>0</v>
      </c>
      <c r="AY13" s="11" t="n">
        <f aca="false">(1-Time!AY32)*(AY9-AY10+AY11-AY12)</f>
        <v>0</v>
      </c>
      <c r="AZ13" s="11" t="n">
        <f aca="false">(1-Time!AZ32)*(AZ9-AZ10+AZ11-AZ12)</f>
        <v>0</v>
      </c>
      <c r="BA13" s="11" t="n">
        <f aca="false">(1-Time!BA32)*(BA9-BA10+BA11-BA12)</f>
        <v>0</v>
      </c>
      <c r="BB13" s="11" t="n">
        <f aca="false">(1-Time!BB32)*(BB9-BB10+BB11-BB12)</f>
        <v>0</v>
      </c>
      <c r="BC13" s="11" t="n">
        <f aca="false">(1-Time!BC32)*(BC9-BC10+BC11-BC12)</f>
        <v>0</v>
      </c>
      <c r="BD13" s="11" t="n">
        <f aca="false">(1-Time!BD32)*(BD9-BD10+BD11-BD12)</f>
        <v>0</v>
      </c>
      <c r="BE13" s="11" t="n">
        <f aca="false">(1-Time!BE32)*(BE9-BE10+BE11-BE12)</f>
        <v>0</v>
      </c>
      <c r="BF13" s="11" t="n">
        <f aca="false">(1-Time!BF32)*(BF9-BF10+BF11-BF12)</f>
        <v>0</v>
      </c>
      <c r="BG13" s="11" t="n">
        <f aca="false">(1-Time!BG32)*(BG9-BG10+BG11-BG12)</f>
        <v>0</v>
      </c>
      <c r="BH13" s="11" t="n">
        <f aca="false">(1-Time!BH32)*(BH9-BH10+BH11-BH12)</f>
        <v>0</v>
      </c>
      <c r="BI13" s="11" t="n">
        <f aca="false">(1-Time!BI32)*(BI9-BI10+BI11-BI12)</f>
        <v>0</v>
      </c>
      <c r="BJ13" s="11" t="n">
        <f aca="false">(1-Time!BJ32)*(BJ9-BJ10+BJ11-BJ12)</f>
        <v>0</v>
      </c>
      <c r="BK13" s="11" t="n">
        <f aca="false">(1-Time!BK32)*(BK9-BK10+BK11-BK12)</f>
        <v>0</v>
      </c>
      <c r="BL13" s="11" t="n">
        <f aca="false">(1-Time!BL32)*(BL9-BL10+BL11-BL12)</f>
        <v>0</v>
      </c>
      <c r="BM13" s="11" t="n">
        <f aca="false">(1-Time!BM32)*(BM9-BM10+BM11-BM12)</f>
        <v>0</v>
      </c>
      <c r="BN13" s="11" t="n">
        <f aca="false">(1-Time!BN32)*(BN9-BN10+BN11-BN12)</f>
        <v>0</v>
      </c>
    </row>
    <row r="14" customFormat="false" ht="15" hidden="false" customHeight="false" outlineLevel="0" collapsed="false">
      <c r="D14" s="0" t="s">
        <v>719</v>
      </c>
      <c r="E14" s="0" t="s">
        <v>149</v>
      </c>
      <c r="G14" s="11" t="n">
        <f aca="false">SUM(J14:BN14)</f>
        <v>21.7148455502848</v>
      </c>
      <c r="J14" s="11" t="n">
        <f aca="false">MIN(Waterfall!J14,Operations!J77)</f>
        <v>0</v>
      </c>
      <c r="K14" s="11" t="n">
        <f aca="false">MIN(Waterfall!K14,Operations!K77)</f>
        <v>0</v>
      </c>
      <c r="L14" s="11" t="n">
        <f aca="false">MIN(Waterfall!L14,Operations!L77)</f>
        <v>0</v>
      </c>
      <c r="M14" s="11" t="n">
        <f aca="false">MIN(Waterfall!M14,Operations!M77)</f>
        <v>0</v>
      </c>
      <c r="N14" s="11" t="n">
        <f aca="false">MIN(Waterfall!N14,Operations!N77)</f>
        <v>0</v>
      </c>
      <c r="O14" s="11" t="n">
        <f aca="false">MIN(Waterfall!O14,Operations!O77)</f>
        <v>0</v>
      </c>
      <c r="P14" s="11" t="n">
        <f aca="false">MIN(Waterfall!P14,Operations!P77)</f>
        <v>0</v>
      </c>
      <c r="Q14" s="11" t="n">
        <f aca="false">MIN(Waterfall!Q14,Operations!Q77)</f>
        <v>0</v>
      </c>
      <c r="R14" s="11" t="n">
        <f aca="false">MIN(Waterfall!R14,Operations!R77)</f>
        <v>0</v>
      </c>
      <c r="S14" s="11" t="n">
        <f aca="false">MIN(Waterfall!S14,Operations!S77)</f>
        <v>0</v>
      </c>
      <c r="T14" s="11" t="n">
        <f aca="false">MIN(Waterfall!T14,Operations!T77)</f>
        <v>0</v>
      </c>
      <c r="U14" s="11" t="n">
        <f aca="false">MIN(Waterfall!U14,Operations!U77)</f>
        <v>0</v>
      </c>
      <c r="V14" s="11" t="n">
        <f aca="false">MIN(Waterfall!V14,Operations!V77)</f>
        <v>0</v>
      </c>
      <c r="W14" s="11" t="n">
        <f aca="false">MIN(Waterfall!W14,Operations!W77)</f>
        <v>0</v>
      </c>
      <c r="X14" s="11" t="n">
        <f aca="false">MIN(Waterfall!X14,Operations!X77)</f>
        <v>0</v>
      </c>
      <c r="Y14" s="11" t="n">
        <f aca="false">MIN(Waterfall!Y14,Operations!Y77)</f>
        <v>0</v>
      </c>
      <c r="Z14" s="11" t="n">
        <f aca="false">MIN(Waterfall!Z14,Operations!Z77)</f>
        <v>0</v>
      </c>
      <c r="AA14" s="11" t="n">
        <f aca="false">MIN(Waterfall!AA14,Operations!AA77)</f>
        <v>0</v>
      </c>
      <c r="AB14" s="11" t="n">
        <f aca="false">MIN(Waterfall!AB14,Operations!AB77)</f>
        <v>0</v>
      </c>
      <c r="AC14" s="11" t="n">
        <f aca="false">MIN(Waterfall!AC14,Operations!AC77)</f>
        <v>0</v>
      </c>
      <c r="AD14" s="11" t="n">
        <f aca="false">MIN(Waterfall!AD14,Operations!AD77)</f>
        <v>0</v>
      </c>
      <c r="AE14" s="11" t="n">
        <f aca="false">MIN(Waterfall!AE14,Operations!AE77)</f>
        <v>0</v>
      </c>
      <c r="AF14" s="11" t="n">
        <f aca="false">MIN(Waterfall!AF14,Operations!AF77)</f>
        <v>0</v>
      </c>
      <c r="AG14" s="11" t="n">
        <f aca="false">MIN(Waterfall!AG14,Operations!AG77)</f>
        <v>0</v>
      </c>
      <c r="AH14" s="11" t="n">
        <f aca="false">MIN(Waterfall!AH14,Operations!AH77)</f>
        <v>0</v>
      </c>
      <c r="AI14" s="11" t="n">
        <f aca="false">MIN(Waterfall!AI14,Operations!AI77)</f>
        <v>0</v>
      </c>
      <c r="AJ14" s="11" t="n">
        <f aca="false">MIN(Waterfall!AJ14,Operations!AJ77)</f>
        <v>0</v>
      </c>
      <c r="AK14" s="11" t="n">
        <f aca="false">MIN(Waterfall!AK14,Operations!AK77)</f>
        <v>0</v>
      </c>
      <c r="AL14" s="11" t="n">
        <f aca="false">MIN(Waterfall!AL14,Operations!AL77)</f>
        <v>0</v>
      </c>
      <c r="AM14" s="11" t="n">
        <f aca="false">MIN(Waterfall!AM14,Operations!AM77)</f>
        <v>0</v>
      </c>
      <c r="AN14" s="11" t="n">
        <f aca="false">MIN(Waterfall!AN14,Operations!AN77)</f>
        <v>0</v>
      </c>
      <c r="AO14" s="11" t="n">
        <f aca="false">MIN(Waterfall!AO14,Operations!AO77)</f>
        <v>0</v>
      </c>
      <c r="AP14" s="11" t="n">
        <f aca="false">MIN(Waterfall!AP14,Operations!AP77)</f>
        <v>0</v>
      </c>
      <c r="AQ14" s="11" t="n">
        <f aca="false">MIN(Waterfall!AQ14,Operations!AQ77)</f>
        <v>0</v>
      </c>
      <c r="AR14" s="11" t="n">
        <f aca="false">MIN(Waterfall!AR14,Operations!AR77)</f>
        <v>0</v>
      </c>
      <c r="AS14" s="11" t="n">
        <f aca="false">MIN(Waterfall!AS14,Operations!AS77)</f>
        <v>0</v>
      </c>
      <c r="AT14" s="11" t="n">
        <f aca="false">MIN(Waterfall!AT14,Operations!AT77)</f>
        <v>0</v>
      </c>
      <c r="AU14" s="11" t="n">
        <f aca="false">MIN(Waterfall!AU14,Operations!AU77)</f>
        <v>0</v>
      </c>
      <c r="AV14" s="11" t="n">
        <f aca="false">MIN(Waterfall!AV14,Operations!AV77)</f>
        <v>0</v>
      </c>
      <c r="AW14" s="11" t="n">
        <f aca="false">MIN(Waterfall!AW14,Operations!AW77)</f>
        <v>0</v>
      </c>
      <c r="AX14" s="11" t="n">
        <f aca="false">MIN(Waterfall!AX14,Operations!AX77)</f>
        <v>0</v>
      </c>
      <c r="AY14" s="11" t="n">
        <f aca="false">MIN(Waterfall!AY14,Operations!AY77)</f>
        <v>0</v>
      </c>
      <c r="AZ14" s="11" t="n">
        <f aca="false">MIN(Waterfall!AZ14,Operations!AZ77)</f>
        <v>0</v>
      </c>
      <c r="BA14" s="11" t="n">
        <f aca="false">MIN(Waterfall!BA14,Operations!BA77)</f>
        <v>0</v>
      </c>
      <c r="BB14" s="11" t="n">
        <f aca="false">MIN(Waterfall!BB14,Operations!BB77)</f>
        <v>0.280422631565716</v>
      </c>
      <c r="BC14" s="11" t="n">
        <f aca="false">MIN(Waterfall!BC14,Operations!BC77)</f>
        <v>1.70177495465538</v>
      </c>
      <c r="BD14" s="11" t="n">
        <f aca="false">MIN(Waterfall!BD14,Operations!BD77)</f>
        <v>1.72123411255037</v>
      </c>
      <c r="BE14" s="11" t="n">
        <f aca="false">MIN(Waterfall!BE14,Operations!BE77)</f>
        <v>1.74091577861245</v>
      </c>
      <c r="BF14" s="11" t="n">
        <f aca="false">MIN(Waterfall!BF14,Operations!BF77)</f>
        <v>1.76082249713902</v>
      </c>
      <c r="BG14" s="11" t="n">
        <f aca="false">MIN(Waterfall!BG14,Operations!BG77)</f>
        <v>1.78095684152054</v>
      </c>
      <c r="BH14" s="11" t="n">
        <f aca="false">MIN(Waterfall!BH14,Operations!BH77)</f>
        <v>1.80132141457322</v>
      </c>
      <c r="BI14" s="11" t="n">
        <f aca="false">MIN(Waterfall!BI14,Operations!BI77)</f>
        <v>1.82191884887551</v>
      </c>
      <c r="BJ14" s="11" t="n">
        <f aca="false">MIN(Waterfall!BJ14,Operations!BJ77)</f>
        <v>1.8427518071084</v>
      </c>
      <c r="BK14" s="11" t="n">
        <f aca="false">MIN(Waterfall!BK14,Operations!BK77)</f>
        <v>1.86382298239965</v>
      </c>
      <c r="BL14" s="11" t="n">
        <f aca="false">MIN(Waterfall!BL14,Operations!BL77)</f>
        <v>1.8851350986719</v>
      </c>
      <c r="BM14" s="11" t="n">
        <f aca="false">MIN(Waterfall!BM14,Operations!BM77)</f>
        <v>1.90669091099484</v>
      </c>
      <c r="BN14" s="11" t="n">
        <f aca="false">MIN(Waterfall!BN14,Operations!BN77)</f>
        <v>1.60707767161779</v>
      </c>
    </row>
    <row r="15" customFormat="false" ht="15" hidden="false" customHeight="false" outlineLevel="0" collapsed="false">
      <c r="D15" s="0" t="s">
        <v>720</v>
      </c>
      <c r="E15" s="0" t="s">
        <v>149</v>
      </c>
      <c r="G15" s="11" t="n">
        <f aca="false">SUM(J15:BN15)</f>
        <v>21.7148455502848</v>
      </c>
      <c r="J15" s="11" t="n">
        <f aca="false">Time!J32*(0+J14)</f>
        <v>0</v>
      </c>
      <c r="K15" s="11" t="n">
        <f aca="false">Time!K32*(J16+K14)</f>
        <v>0</v>
      </c>
      <c r="L15" s="11" t="n">
        <f aca="false">Time!L32*(K16+L14)</f>
        <v>0</v>
      </c>
      <c r="M15" s="11" t="n">
        <f aca="false">Time!M32*(L16+M14)</f>
        <v>0</v>
      </c>
      <c r="N15" s="11" t="n">
        <f aca="false">Time!N32*(M16+N14)</f>
        <v>0</v>
      </c>
      <c r="O15" s="11" t="n">
        <f aca="false">Time!O32*(N16+O14)</f>
        <v>0</v>
      </c>
      <c r="P15" s="11" t="n">
        <f aca="false">Time!P32*(O16+P14)</f>
        <v>0</v>
      </c>
      <c r="Q15" s="11" t="n">
        <f aca="false">Time!Q32*(P16+Q14)</f>
        <v>0</v>
      </c>
      <c r="R15" s="11" t="n">
        <f aca="false">Time!R32*(Q16+R14)</f>
        <v>0</v>
      </c>
      <c r="S15" s="11" t="n">
        <f aca="false">Time!S32*(R16+S14)</f>
        <v>0</v>
      </c>
      <c r="T15" s="11" t="n">
        <f aca="false">Time!T32*(S16+T14)</f>
        <v>0</v>
      </c>
      <c r="U15" s="11" t="n">
        <f aca="false">Time!U32*(T16+U14)</f>
        <v>0</v>
      </c>
      <c r="V15" s="11" t="n">
        <f aca="false">Time!V32*(U16+V14)</f>
        <v>0</v>
      </c>
      <c r="W15" s="11" t="n">
        <f aca="false">Time!W32*(V16+W14)</f>
        <v>0</v>
      </c>
      <c r="X15" s="11" t="n">
        <f aca="false">Time!X32*(W16+X14)</f>
        <v>0</v>
      </c>
      <c r="Y15" s="11" t="n">
        <f aca="false">Time!Y32*(X16+Y14)</f>
        <v>0</v>
      </c>
      <c r="Z15" s="11" t="n">
        <f aca="false">Time!Z32*(Y16+Z14)</f>
        <v>0</v>
      </c>
      <c r="AA15" s="11" t="n">
        <f aca="false">Time!AA32*(Z16+AA14)</f>
        <v>0</v>
      </c>
      <c r="AB15" s="11" t="n">
        <f aca="false">Time!AB32*(AA16+AB14)</f>
        <v>0</v>
      </c>
      <c r="AC15" s="11" t="n">
        <f aca="false">Time!AC32*(AB16+AC14)</f>
        <v>0</v>
      </c>
      <c r="AD15" s="11" t="n">
        <f aca="false">Time!AD32*(AC16+AD14)</f>
        <v>0</v>
      </c>
      <c r="AE15" s="11" t="n">
        <f aca="false">Time!AE32*(AD16+AE14)</f>
        <v>0</v>
      </c>
      <c r="AF15" s="11" t="n">
        <f aca="false">Time!AF32*(AE16+AF14)</f>
        <v>0</v>
      </c>
      <c r="AG15" s="11" t="n">
        <f aca="false">Time!AG32*(AF16+AG14)</f>
        <v>0</v>
      </c>
      <c r="AH15" s="11" t="n">
        <f aca="false">Time!AH32*(AG16+AH14)</f>
        <v>0</v>
      </c>
      <c r="AI15" s="11" t="n">
        <f aca="false">Time!AI32*(AH16+AI14)</f>
        <v>0</v>
      </c>
      <c r="AJ15" s="11" t="n">
        <f aca="false">Time!AJ32*(AI16+AJ14)</f>
        <v>0</v>
      </c>
      <c r="AK15" s="11" t="n">
        <f aca="false">Time!AK32*(AJ16+AK14)</f>
        <v>0</v>
      </c>
      <c r="AL15" s="11" t="n">
        <f aca="false">Time!AL32*(AK16+AL14)</f>
        <v>0</v>
      </c>
      <c r="AM15" s="11" t="n">
        <f aca="false">Time!AM32*(AL16+AM14)</f>
        <v>0</v>
      </c>
      <c r="AN15" s="11" t="n">
        <f aca="false">Time!AN32*(AM16+AN14)</f>
        <v>0</v>
      </c>
      <c r="AO15" s="11" t="n">
        <f aca="false">Time!AO32*(AN16+AO14)</f>
        <v>0</v>
      </c>
      <c r="AP15" s="11" t="n">
        <f aca="false">Time!AP32*(AO16+AP14)</f>
        <v>0</v>
      </c>
      <c r="AQ15" s="11" t="n">
        <f aca="false">Time!AQ32*(AP16+AQ14)</f>
        <v>0</v>
      </c>
      <c r="AR15" s="11" t="n">
        <f aca="false">Time!AR32*(AQ16+AR14)</f>
        <v>0</v>
      </c>
      <c r="AS15" s="11" t="n">
        <f aca="false">Time!AS32*(AR16+AS14)</f>
        <v>0</v>
      </c>
      <c r="AT15" s="11" t="n">
        <f aca="false">Time!AT32*(AS16+AT14)</f>
        <v>0</v>
      </c>
      <c r="AU15" s="11" t="n">
        <f aca="false">Time!AU32*(AT16+AU14)</f>
        <v>0</v>
      </c>
      <c r="AV15" s="11" t="n">
        <f aca="false">Time!AV32*(AU16+AV14)</f>
        <v>0</v>
      </c>
      <c r="AW15" s="11" t="n">
        <f aca="false">Time!AW32*(AV16+AW14)</f>
        <v>0</v>
      </c>
      <c r="AX15" s="11" t="n">
        <f aca="false">Time!AX32*(AW16+AX14)</f>
        <v>0</v>
      </c>
      <c r="AY15" s="11" t="n">
        <f aca="false">Time!AY32*(AX16+AY14)</f>
        <v>0</v>
      </c>
      <c r="AZ15" s="11" t="n">
        <f aca="false">Time!AZ32*(AY16+AZ14)</f>
        <v>0</v>
      </c>
      <c r="BA15" s="11" t="n">
        <f aca="false">Time!BA32*(AZ16+BA14)</f>
        <v>0</v>
      </c>
      <c r="BB15" s="11" t="n">
        <f aca="false">Time!BB32*(BA16+BB14)</f>
        <v>0</v>
      </c>
      <c r="BC15" s="11" t="n">
        <f aca="false">Time!BC32*(BB16+BC14)</f>
        <v>0</v>
      </c>
      <c r="BD15" s="11" t="n">
        <f aca="false">Time!BD32*(BC16+BD14)</f>
        <v>0</v>
      </c>
      <c r="BE15" s="11" t="n">
        <f aca="false">Time!BE32*(BD16+BE14)</f>
        <v>0</v>
      </c>
      <c r="BF15" s="11" t="n">
        <f aca="false">Time!BF32*(BE16+BF14)</f>
        <v>0</v>
      </c>
      <c r="BG15" s="11" t="n">
        <f aca="false">Time!BG32*(BF16+BG14)</f>
        <v>0</v>
      </c>
      <c r="BH15" s="11" t="n">
        <f aca="false">Time!BH32*(BG16+BH14)</f>
        <v>0</v>
      </c>
      <c r="BI15" s="11" t="n">
        <f aca="false">Time!BI32*(BH16+BI14)</f>
        <v>0</v>
      </c>
      <c r="BJ15" s="11" t="n">
        <f aca="false">Time!BJ32*(BI16+BJ14)</f>
        <v>0</v>
      </c>
      <c r="BK15" s="11" t="n">
        <f aca="false">Time!BK32*(BJ16+BK14)</f>
        <v>0</v>
      </c>
      <c r="BL15" s="11" t="n">
        <f aca="false">Time!BL32*(BK16+BL14)</f>
        <v>0</v>
      </c>
      <c r="BM15" s="11" t="n">
        <f aca="false">Time!BM32*(BL16+BM14)</f>
        <v>0</v>
      </c>
      <c r="BN15" s="11" t="n">
        <f aca="false">Time!BN32*(BM16+BN14)</f>
        <v>21.7148455502848</v>
      </c>
    </row>
    <row r="16" customFormat="false" ht="15" hidden="false" customHeight="false" outlineLevel="0" collapsed="false">
      <c r="D16" s="0" t="s">
        <v>721</v>
      </c>
      <c r="E16" s="0" t="s">
        <v>149</v>
      </c>
      <c r="J16" s="11" t="n">
        <f aca="false">0+J14-J15</f>
        <v>0</v>
      </c>
      <c r="K16" s="11" t="n">
        <f aca="false">J16+K14-K15</f>
        <v>0</v>
      </c>
      <c r="L16" s="11" t="n">
        <f aca="false">K16+L14-L15</f>
        <v>0</v>
      </c>
      <c r="M16" s="11" t="n">
        <f aca="false">L16+M14-M15</f>
        <v>0</v>
      </c>
      <c r="N16" s="11" t="n">
        <f aca="false">M16+N14-N15</f>
        <v>0</v>
      </c>
      <c r="O16" s="11" t="n">
        <f aca="false">N16+O14-O15</f>
        <v>0</v>
      </c>
      <c r="P16" s="11" t="n">
        <f aca="false">O16+P14-P15</f>
        <v>0</v>
      </c>
      <c r="Q16" s="11" t="n">
        <f aca="false">P16+Q14-Q15</f>
        <v>0</v>
      </c>
      <c r="R16" s="11" t="n">
        <f aca="false">Q16+R14-R15</f>
        <v>0</v>
      </c>
      <c r="S16" s="11" t="n">
        <f aca="false">R16+S14-S15</f>
        <v>0</v>
      </c>
      <c r="T16" s="11" t="n">
        <f aca="false">S16+T14-T15</f>
        <v>0</v>
      </c>
      <c r="U16" s="11" t="n">
        <f aca="false">T16+U14-U15</f>
        <v>0</v>
      </c>
      <c r="V16" s="11" t="n">
        <f aca="false">U16+V14-V15</f>
        <v>0</v>
      </c>
      <c r="W16" s="11" t="n">
        <f aca="false">V16+W14-W15</f>
        <v>0</v>
      </c>
      <c r="X16" s="11" t="n">
        <f aca="false">W16+X14-X15</f>
        <v>0</v>
      </c>
      <c r="Y16" s="11" t="n">
        <f aca="false">X16+Y14-Y15</f>
        <v>0</v>
      </c>
      <c r="Z16" s="11" t="n">
        <f aca="false">Y16+Z14-Z15</f>
        <v>0</v>
      </c>
      <c r="AA16" s="11" t="n">
        <f aca="false">Z16+AA14-AA15</f>
        <v>0</v>
      </c>
      <c r="AB16" s="11" t="n">
        <f aca="false">AA16+AB14-AB15</f>
        <v>0</v>
      </c>
      <c r="AC16" s="11" t="n">
        <f aca="false">AB16+AC14-AC15</f>
        <v>0</v>
      </c>
      <c r="AD16" s="11" t="n">
        <f aca="false">AC16+AD14-AD15</f>
        <v>0</v>
      </c>
      <c r="AE16" s="11" t="n">
        <f aca="false">AD16+AE14-AE15</f>
        <v>0</v>
      </c>
      <c r="AF16" s="11" t="n">
        <f aca="false">AE16+AF14-AF15</f>
        <v>0</v>
      </c>
      <c r="AG16" s="11" t="n">
        <f aca="false">AF16+AG14-AG15</f>
        <v>0</v>
      </c>
      <c r="AH16" s="11" t="n">
        <f aca="false">AG16+AH14-AH15</f>
        <v>0</v>
      </c>
      <c r="AI16" s="11" t="n">
        <f aca="false">AH16+AI14-AI15</f>
        <v>0</v>
      </c>
      <c r="AJ16" s="11" t="n">
        <f aca="false">AI16+AJ14-AJ15</f>
        <v>0</v>
      </c>
      <c r="AK16" s="11" t="n">
        <f aca="false">AJ16+AK14-AK15</f>
        <v>0</v>
      </c>
      <c r="AL16" s="11" t="n">
        <f aca="false">AK16+AL14-AL15</f>
        <v>0</v>
      </c>
      <c r="AM16" s="11" t="n">
        <f aca="false">AL16+AM14-AM15</f>
        <v>0</v>
      </c>
      <c r="AN16" s="11" t="n">
        <f aca="false">AM16+AN14-AN15</f>
        <v>0</v>
      </c>
      <c r="AO16" s="11" t="n">
        <f aca="false">AN16+AO14-AO15</f>
        <v>0</v>
      </c>
      <c r="AP16" s="11" t="n">
        <f aca="false">AO16+AP14-AP15</f>
        <v>0</v>
      </c>
      <c r="AQ16" s="11" t="n">
        <f aca="false">AP16+AQ14-AQ15</f>
        <v>0</v>
      </c>
      <c r="AR16" s="11" t="n">
        <f aca="false">AQ16+AR14-AR15</f>
        <v>0</v>
      </c>
      <c r="AS16" s="11" t="n">
        <f aca="false">AR16+AS14-AS15</f>
        <v>0</v>
      </c>
      <c r="AT16" s="11" t="n">
        <f aca="false">AS16+AT14-AT15</f>
        <v>0</v>
      </c>
      <c r="AU16" s="11" t="n">
        <f aca="false">AT16+AU14-AU15</f>
        <v>0</v>
      </c>
      <c r="AV16" s="11" t="n">
        <f aca="false">AU16+AV14-AV15</f>
        <v>0</v>
      </c>
      <c r="AW16" s="11" t="n">
        <f aca="false">AV16+AW14-AW15</f>
        <v>0</v>
      </c>
      <c r="AX16" s="11" t="n">
        <f aca="false">AW16+AX14-AX15</f>
        <v>0</v>
      </c>
      <c r="AY16" s="11" t="n">
        <f aca="false">AX16+AY14-AY15</f>
        <v>0</v>
      </c>
      <c r="AZ16" s="11" t="n">
        <f aca="false">AY16+AZ14-AZ15</f>
        <v>0</v>
      </c>
      <c r="BA16" s="11" t="n">
        <f aca="false">AZ16+BA14-BA15</f>
        <v>0</v>
      </c>
      <c r="BB16" s="11" t="n">
        <f aca="false">BA16+BB14-BB15</f>
        <v>0.280422631565716</v>
      </c>
      <c r="BC16" s="11" t="n">
        <f aca="false">BB16+BC14-BC15</f>
        <v>1.9821975862211</v>
      </c>
      <c r="BD16" s="11" t="n">
        <f aca="false">BC16+BD14-BD15</f>
        <v>3.70343169877146</v>
      </c>
      <c r="BE16" s="11" t="n">
        <f aca="false">BD16+BE14-BE15</f>
        <v>5.44434747738392</v>
      </c>
      <c r="BF16" s="11" t="n">
        <f aca="false">BE16+BF14-BF15</f>
        <v>7.20516997452294</v>
      </c>
      <c r="BG16" s="11" t="n">
        <f aca="false">BF16+BG14-BG15</f>
        <v>8.98612681604348</v>
      </c>
      <c r="BH16" s="11" t="n">
        <f aca="false">BG16+BH14-BH15</f>
        <v>10.7874482306167</v>
      </c>
      <c r="BI16" s="11" t="n">
        <f aca="false">BH16+BI14-BI15</f>
        <v>12.6093670794922</v>
      </c>
      <c r="BJ16" s="11" t="n">
        <f aca="false">BI16+BJ14-BJ15</f>
        <v>14.4521188866006</v>
      </c>
      <c r="BK16" s="11" t="n">
        <f aca="false">BJ16+BK14-BK15</f>
        <v>16.3159418690003</v>
      </c>
      <c r="BL16" s="11" t="n">
        <f aca="false">BK16+BL14-BL15</f>
        <v>18.2010769676722</v>
      </c>
      <c r="BM16" s="11" t="n">
        <f aca="false">BL16+BM14-BM15</f>
        <v>20.107767878667</v>
      </c>
      <c r="BN16" s="11" t="n">
        <f aca="false">BM16+BN14-BN15</f>
        <v>0</v>
      </c>
    </row>
    <row r="17" customFormat="false" ht="15" hidden="false" customHeight="false" outlineLevel="0" collapsed="false">
      <c r="D17" s="0" t="s">
        <v>722</v>
      </c>
      <c r="E17" s="0" t="s">
        <v>149</v>
      </c>
      <c r="J17" s="11" t="n">
        <f aca="false">Inputs!$F$48*IF(AND(Time!J17&gt;=Time!$F$11,Time!J17&lt;8),Inputs!$F$191,0)</f>
        <v>0</v>
      </c>
      <c r="K17" s="11" t="n">
        <f aca="false">Inputs!$F$48*IF(AND(Time!K17&gt;=Time!$F$11,Time!K17&lt;8),Inputs!$F$191,0)</f>
        <v>0</v>
      </c>
      <c r="L17" s="11" t="n">
        <f aca="false">Inputs!$F$48*IF(AND(Time!L17&gt;=Time!$F$11,Time!L17&lt;8),Inputs!$F$191,0)</f>
        <v>0</v>
      </c>
      <c r="M17" s="11" t="n">
        <f aca="false">Inputs!$F$48*IF(AND(Time!M17&gt;=Time!$F$11,Time!M17&lt;8),Inputs!$F$191,0)</f>
        <v>0</v>
      </c>
      <c r="N17" s="11" t="n">
        <f aca="false">Inputs!$F$48*IF(AND(Time!N17&gt;=Time!$F$11,Time!N17&lt;8),Inputs!$F$191,0)</f>
        <v>0</v>
      </c>
      <c r="O17" s="11" t="n">
        <f aca="false">Inputs!$F$48*IF(AND(Time!O17&gt;=Time!$F$11,Time!O17&lt;8),Inputs!$F$191,0)</f>
        <v>0</v>
      </c>
      <c r="P17" s="11" t="n">
        <f aca="false">Inputs!$F$48*IF(AND(Time!P17&gt;=Time!$F$11,Time!P17&lt;8),Inputs!$F$191,0)</f>
        <v>18.485</v>
      </c>
      <c r="Q17" s="11" t="n">
        <f aca="false">Inputs!$F$48*IF(AND(Time!Q17&gt;=Time!$F$11,Time!Q17&lt;8),Inputs!$F$191,0)</f>
        <v>0</v>
      </c>
      <c r="R17" s="11" t="n">
        <f aca="false">Inputs!$F$48*IF(AND(Time!R17&gt;=Time!$F$11,Time!R17&lt;8),Inputs!$F$191,0)</f>
        <v>0</v>
      </c>
      <c r="S17" s="11" t="n">
        <f aca="false">Inputs!$F$48*IF(AND(Time!S17&gt;=Time!$F$11,Time!S17&lt;8),Inputs!$F$191,0)</f>
        <v>0</v>
      </c>
      <c r="T17" s="11" t="n">
        <f aca="false">Inputs!$F$48*IF(AND(Time!T17&gt;=Time!$F$11,Time!T17&lt;8),Inputs!$F$191,0)</f>
        <v>0</v>
      </c>
      <c r="U17" s="11" t="n">
        <f aca="false">Inputs!$F$48*IF(AND(Time!U17&gt;=Time!$F$11,Time!U17&lt;8),Inputs!$F$191,0)</f>
        <v>0</v>
      </c>
      <c r="V17" s="11" t="n">
        <f aca="false">Inputs!$F$48*IF(AND(Time!V17&gt;=Time!$F$11,Time!V17&lt;8),Inputs!$F$191,0)</f>
        <v>0</v>
      </c>
      <c r="W17" s="11" t="n">
        <f aca="false">Inputs!$F$48*IF(AND(Time!W17&gt;=Time!$F$11,Time!W17&lt;8),Inputs!$F$191,0)</f>
        <v>0</v>
      </c>
      <c r="X17" s="11" t="n">
        <f aca="false">Inputs!$F$48*IF(AND(Time!X17&gt;=Time!$F$11,Time!X17&lt;8),Inputs!$F$191,0)</f>
        <v>0</v>
      </c>
      <c r="Y17" s="11" t="n">
        <f aca="false">Inputs!$F$48*IF(AND(Time!Y17&gt;=Time!$F$11,Time!Y17&lt;8),Inputs!$F$191,0)</f>
        <v>0</v>
      </c>
      <c r="Z17" s="11" t="n">
        <f aca="false">Inputs!$F$48*IF(AND(Time!Z17&gt;=Time!$F$11,Time!Z17&lt;8),Inputs!$F$191,0)</f>
        <v>0</v>
      </c>
      <c r="AA17" s="11" t="n">
        <f aca="false">Inputs!$F$48*IF(AND(Time!AA17&gt;=Time!$F$11,Time!AA17&lt;8),Inputs!$F$191,0)</f>
        <v>0</v>
      </c>
      <c r="AB17" s="11" t="n">
        <f aca="false">Inputs!$F$48*IF(AND(Time!AB17&gt;=Time!$F$11,Time!AB17&lt;8),Inputs!$F$191,0)</f>
        <v>0</v>
      </c>
      <c r="AC17" s="11" t="n">
        <f aca="false">Inputs!$F$48*IF(AND(Time!AC17&gt;=Time!$F$11,Time!AC17&lt;8),Inputs!$F$191,0)</f>
        <v>0</v>
      </c>
      <c r="AD17" s="11" t="n">
        <f aca="false">Inputs!$F$48*IF(AND(Time!AD17&gt;=Time!$F$11,Time!AD17&lt;8),Inputs!$F$191,0)</f>
        <v>0</v>
      </c>
      <c r="AE17" s="11" t="n">
        <f aca="false">Inputs!$F$48*IF(AND(Time!AE17&gt;=Time!$F$11,Time!AE17&lt;8),Inputs!$F$191,0)</f>
        <v>0</v>
      </c>
      <c r="AF17" s="11" t="n">
        <f aca="false">Inputs!$F$48*IF(AND(Time!AF17&gt;=Time!$F$11,Time!AF17&lt;8),Inputs!$F$191,0)</f>
        <v>0</v>
      </c>
      <c r="AG17" s="11" t="n">
        <f aca="false">Inputs!$F$48*IF(AND(Time!AG17&gt;=Time!$F$11,Time!AG17&lt;8),Inputs!$F$191,0)</f>
        <v>0</v>
      </c>
      <c r="AH17" s="11" t="n">
        <f aca="false">Inputs!$F$48*IF(AND(Time!AH17&gt;=Time!$F$11,Time!AH17&lt;8),Inputs!$F$191,0)</f>
        <v>0</v>
      </c>
      <c r="AI17" s="11" t="n">
        <f aca="false">Inputs!$F$48*IF(AND(Time!AI17&gt;=Time!$F$11,Time!AI17&lt;8),Inputs!$F$191,0)</f>
        <v>0</v>
      </c>
      <c r="AJ17" s="11" t="n">
        <f aca="false">Inputs!$F$48*IF(AND(Time!AJ17&gt;=Time!$F$11,Time!AJ17&lt;8),Inputs!$F$191,0)</f>
        <v>0</v>
      </c>
      <c r="AK17" s="11" t="n">
        <f aca="false">Inputs!$F$48*IF(AND(Time!AK17&gt;=Time!$F$11,Time!AK17&lt;8),Inputs!$F$191,0)</f>
        <v>0</v>
      </c>
      <c r="AL17" s="11" t="n">
        <f aca="false">Inputs!$F$48*IF(AND(Time!AL17&gt;=Time!$F$11,Time!AL17&lt;8),Inputs!$F$191,0)</f>
        <v>0</v>
      </c>
      <c r="AM17" s="11" t="n">
        <f aca="false">Inputs!$F$48*IF(AND(Time!AM17&gt;=Time!$F$11,Time!AM17&lt;8),Inputs!$F$191,0)</f>
        <v>0</v>
      </c>
      <c r="AN17" s="11" t="n">
        <f aca="false">Inputs!$F$48*IF(AND(Time!AN17&gt;=Time!$F$11,Time!AN17&lt;8),Inputs!$F$191,0)</f>
        <v>0</v>
      </c>
      <c r="AO17" s="11" t="n">
        <f aca="false">Inputs!$F$48*IF(AND(Time!AO17&gt;=Time!$F$11,Time!AO17&lt;8),Inputs!$F$191,0)</f>
        <v>0</v>
      </c>
      <c r="AP17" s="11" t="n">
        <f aca="false">Inputs!$F$48*IF(AND(Time!AP17&gt;=Time!$F$11,Time!AP17&lt;8),Inputs!$F$191,0)</f>
        <v>0</v>
      </c>
      <c r="AQ17" s="11" t="n">
        <f aca="false">Inputs!$F$48*IF(AND(Time!AQ17&gt;=Time!$F$11,Time!AQ17&lt;8),Inputs!$F$191,0)</f>
        <v>0</v>
      </c>
      <c r="AR17" s="11" t="n">
        <f aca="false">Inputs!$F$48*IF(AND(Time!AR17&gt;=Time!$F$11,Time!AR17&lt;8),Inputs!$F$191,0)</f>
        <v>0</v>
      </c>
      <c r="AS17" s="11" t="n">
        <f aca="false">Inputs!$F$48*IF(AND(Time!AS17&gt;=Time!$F$11,Time!AS17&lt;8),Inputs!$F$191,0)</f>
        <v>0</v>
      </c>
      <c r="AT17" s="11" t="n">
        <f aca="false">Inputs!$F$48*IF(AND(Time!AT17&gt;=Time!$F$11,Time!AT17&lt;8),Inputs!$F$191,0)</f>
        <v>0</v>
      </c>
      <c r="AU17" s="11" t="n">
        <f aca="false">Inputs!$F$48*IF(AND(Time!AU17&gt;=Time!$F$11,Time!AU17&lt;8),Inputs!$F$191,0)</f>
        <v>0</v>
      </c>
      <c r="AV17" s="11" t="n">
        <f aca="false">Inputs!$F$48*IF(AND(Time!AV17&gt;=Time!$F$11,Time!AV17&lt;8),Inputs!$F$191,0)</f>
        <v>0</v>
      </c>
      <c r="AW17" s="11" t="n">
        <f aca="false">Inputs!$F$48*IF(AND(Time!AW17&gt;=Time!$F$11,Time!AW17&lt;8),Inputs!$F$191,0)</f>
        <v>0</v>
      </c>
      <c r="AX17" s="11" t="n">
        <f aca="false">Inputs!$F$48*IF(AND(Time!AX17&gt;=Time!$F$11,Time!AX17&lt;8),Inputs!$F$191,0)</f>
        <v>0</v>
      </c>
      <c r="AY17" s="11" t="n">
        <f aca="false">Inputs!$F$48*IF(AND(Time!AY17&gt;=Time!$F$11,Time!AY17&lt;8),Inputs!$F$191,0)</f>
        <v>0</v>
      </c>
      <c r="AZ17" s="11" t="n">
        <f aca="false">Inputs!$F$48*IF(AND(Time!AZ17&gt;=Time!$F$11,Time!AZ17&lt;8),Inputs!$F$191,0)</f>
        <v>0</v>
      </c>
      <c r="BA17" s="11" t="n">
        <f aca="false">Inputs!$F$48*IF(AND(Time!BA17&gt;=Time!$F$11,Time!BA17&lt;8),Inputs!$F$191,0)</f>
        <v>0</v>
      </c>
      <c r="BB17" s="11" t="n">
        <f aca="false">Inputs!$F$48*IF(AND(Time!BB17&gt;=Time!$F$11,Time!BB17&lt;8),Inputs!$F$191,0)</f>
        <v>0</v>
      </c>
      <c r="BC17" s="11" t="n">
        <f aca="false">Inputs!$F$48*IF(AND(Time!BC17&gt;=Time!$F$11,Time!BC17&lt;8),Inputs!$F$191,0)</f>
        <v>0</v>
      </c>
      <c r="BD17" s="11" t="n">
        <f aca="false">Inputs!$F$48*IF(AND(Time!BD17&gt;=Time!$F$11,Time!BD17&lt;8),Inputs!$F$191,0)</f>
        <v>0</v>
      </c>
      <c r="BE17" s="11" t="n">
        <f aca="false">Inputs!$F$48*IF(AND(Time!BE17&gt;=Time!$F$11,Time!BE17&lt;8),Inputs!$F$191,0)</f>
        <v>0</v>
      </c>
      <c r="BF17" s="11" t="n">
        <f aca="false">Inputs!$F$48*IF(AND(Time!BF17&gt;=Time!$F$11,Time!BF17&lt;8),Inputs!$F$191,0)</f>
        <v>0</v>
      </c>
      <c r="BG17" s="11" t="n">
        <f aca="false">Inputs!$F$48*IF(AND(Time!BG17&gt;=Time!$F$11,Time!BG17&lt;8),Inputs!$F$191,0)</f>
        <v>0</v>
      </c>
      <c r="BH17" s="11" t="n">
        <f aca="false">Inputs!$F$48*IF(AND(Time!BH17&gt;=Time!$F$11,Time!BH17&lt;8),Inputs!$F$191,0)</f>
        <v>0</v>
      </c>
      <c r="BI17" s="11" t="n">
        <f aca="false">Inputs!$F$48*IF(AND(Time!BI17&gt;=Time!$F$11,Time!BI17&lt;8),Inputs!$F$191,0)</f>
        <v>0</v>
      </c>
      <c r="BJ17" s="11" t="n">
        <f aca="false">Inputs!$F$48*IF(AND(Time!BJ17&gt;=Time!$F$11,Time!BJ17&lt;8),Inputs!$F$191,0)</f>
        <v>0</v>
      </c>
      <c r="BK17" s="11" t="n">
        <f aca="false">Inputs!$F$48*IF(AND(Time!BK17&gt;=Time!$F$11,Time!BK17&lt;8),Inputs!$F$191,0)</f>
        <v>0</v>
      </c>
      <c r="BL17" s="11" t="n">
        <f aca="false">Inputs!$F$48*IF(AND(Time!BL17&gt;=Time!$F$11,Time!BL17&lt;8),Inputs!$F$191,0)</f>
        <v>0</v>
      </c>
      <c r="BM17" s="11" t="n">
        <f aca="false">Inputs!$F$48*IF(AND(Time!BM17&gt;=Time!$F$11,Time!BM17&lt;8),Inputs!$F$191,0)</f>
        <v>0</v>
      </c>
      <c r="BN17" s="11" t="n">
        <f aca="false">Inputs!$F$48*IF(AND(Time!BN17&gt;=Time!$F$11,Time!BN17&lt;8),Inputs!$F$191,0)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723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724</v>
      </c>
      <c r="E7" s="0" t="s">
        <v>149</v>
      </c>
      <c r="G7" s="11" t="n">
        <f aca="false">SUM(J7:BN7)</f>
        <v>2303.41904268653</v>
      </c>
      <c r="J7" s="11" t="n">
        <f aca="false">Operations!J80-Tax!J27-Operations!J92-Reserves!J7+Operations!J75+Operations!J93</f>
        <v>0</v>
      </c>
      <c r="K7" s="11" t="n">
        <f aca="false">Operations!K80-Tax!K27-Operations!K92-Reserves!K7+Operations!K75+Operations!K93</f>
        <v>0</v>
      </c>
      <c r="L7" s="11" t="n">
        <f aca="false">Operations!L80-Tax!L27-Operations!L92-Reserves!L7+Operations!L75+Operations!L93</f>
        <v>0</v>
      </c>
      <c r="M7" s="11" t="n">
        <f aca="false">Operations!M80-Tax!M27-Operations!M92-Reserves!M7+Operations!M75+Operations!M93</f>
        <v>0</v>
      </c>
      <c r="N7" s="11" t="n">
        <f aca="false">Operations!N80-Tax!N27-Operations!N92-Reserves!N7+Operations!N75+Operations!N93</f>
        <v>0</v>
      </c>
      <c r="O7" s="11" t="n">
        <f aca="false">Operations!O80-Tax!O27-Operations!O92-Reserves!O7+Operations!O75+Operations!O93</f>
        <v>0</v>
      </c>
      <c r="P7" s="11" t="n">
        <f aca="false">Operations!P80-Tax!P27-Operations!P92-Reserves!P7+Operations!P75+Operations!P93</f>
        <v>-6.29263433853431</v>
      </c>
      <c r="Q7" s="11" t="n">
        <f aca="false">Operations!Q80-Tax!Q27-Operations!Q92-Reserves!Q7+Operations!Q75+Operations!Q93</f>
        <v>44.8010365135894</v>
      </c>
      <c r="R7" s="11" t="n">
        <f aca="false">Operations!R80-Tax!R27-Operations!R92-Reserves!R7+Operations!R75+Operations!R93</f>
        <v>37.365369182051</v>
      </c>
      <c r="S7" s="11" t="n">
        <f aca="false">Operations!S80-Tax!S27-Operations!S92-Reserves!S7+Operations!S75+Operations!S93</f>
        <v>35.7706177871311</v>
      </c>
      <c r="T7" s="11" t="n">
        <f aca="false">Operations!T80-Tax!T27-Operations!T92-Reserves!T7+Operations!T75+Operations!T93</f>
        <v>56.1891743940575</v>
      </c>
      <c r="U7" s="11" t="n">
        <f aca="false">Operations!U80-Tax!U27-Operations!U92-Reserves!U7+Operations!U75+Operations!U93</f>
        <v>57.3841171853081</v>
      </c>
      <c r="V7" s="11" t="n">
        <f aca="false">Operations!V80-Tax!V27-Operations!V92-Reserves!V7+Operations!V75+Operations!V93</f>
        <v>56.6744396090678</v>
      </c>
      <c r="W7" s="11" t="n">
        <f aca="false">Operations!W80-Tax!W27-Operations!W92-Reserves!W7+Operations!W75+Operations!W93</f>
        <v>55.3563987334357</v>
      </c>
      <c r="X7" s="11" t="n">
        <f aca="false">Operations!X80-Tax!X27-Operations!X92-Reserves!X7+Operations!X75+Operations!X93</f>
        <v>51.6814505191527</v>
      </c>
      <c r="Y7" s="11" t="n">
        <f aca="false">Operations!Y80-Tax!Y27-Operations!Y92-Reserves!Y7+Operations!Y75+Operations!Y93</f>
        <v>49.1344959266961</v>
      </c>
      <c r="Z7" s="11" t="n">
        <f aca="false">Operations!Z80-Tax!Z27-Operations!Z92-Reserves!Z7+Operations!Z75+Operations!Z93</f>
        <v>49.8592446098631</v>
      </c>
      <c r="AA7" s="11" t="n">
        <f aca="false">Operations!AA80-Tax!AA27-Operations!AA92-Reserves!AA7+Operations!AA75+Operations!AA93</f>
        <v>49.2987138762401</v>
      </c>
      <c r="AB7" s="11" t="n">
        <f aca="false">Operations!AB80-Tax!AB27-Operations!AB92-Reserves!AB7+Operations!AB75+Operations!AB93</f>
        <v>49.9865831380076</v>
      </c>
      <c r="AC7" s="11" t="n">
        <f aca="false">Operations!AC80-Tax!AC27-Operations!AC92-Reserves!AC7+Operations!AC75+Operations!AC93</f>
        <v>49.6696266497153</v>
      </c>
      <c r="AD7" s="11" t="n">
        <f aca="false">Operations!AD80-Tax!AD27-Operations!AD92-Reserves!AD7+Operations!AD75+Operations!AD93</f>
        <v>50.2282134794445</v>
      </c>
      <c r="AE7" s="11" t="n">
        <f aca="false">Operations!AE80-Tax!AE27-Operations!AE92-Reserves!AE7+Operations!AE75+Operations!AE93</f>
        <v>51.6643320700057</v>
      </c>
      <c r="AF7" s="11" t="n">
        <f aca="false">Operations!AF80-Tax!AF27-Operations!AF92-Reserves!AF7+Operations!AF75+Operations!AF93</f>
        <v>52.5192079243347</v>
      </c>
      <c r="AG7" s="11" t="n">
        <f aca="false">Operations!AG80-Tax!AG27-Operations!AG92-Reserves!AG7+Operations!AG75+Operations!AG93</f>
        <v>51.7106391277389</v>
      </c>
      <c r="AH7" s="11" t="n">
        <f aca="false">Operations!AH80-Tax!AH27-Operations!AH92-Reserves!AH7+Operations!AH75+Operations!AH93</f>
        <v>52.46884616642</v>
      </c>
      <c r="AI7" s="11" t="n">
        <f aca="false">Operations!AI80-Tax!AI27-Operations!AI92-Reserves!AI7+Operations!AI75+Operations!AI93</f>
        <v>52.1304257027341</v>
      </c>
      <c r="AJ7" s="11" t="n">
        <f aca="false">Operations!AJ80-Tax!AJ27-Operations!AJ92-Reserves!AJ7+Operations!AJ75+Operations!AJ93</f>
        <v>52.790154232178</v>
      </c>
      <c r="AK7" s="11" t="n">
        <f aca="false">Operations!AK80-Tax!AK27-Operations!AK92-Reserves!AK7+Operations!AK75+Operations!AK93</f>
        <v>52.4337767566135</v>
      </c>
      <c r="AL7" s="11" t="n">
        <f aca="false">Operations!AL80-Tax!AL27-Operations!AL92-Reserves!AL7+Operations!AL75+Operations!AL93</f>
        <v>52.9766127366819</v>
      </c>
      <c r="AM7" s="11" t="n">
        <f aca="false">Operations!AM80-Tax!AM27-Operations!AM92-Reserves!AM7+Operations!AM75+Operations!AM93</f>
        <v>52.0109014700672</v>
      </c>
      <c r="AN7" s="11" t="n">
        <f aca="false">Operations!AN80-Tax!AN27-Operations!AN92-Reserves!AN7+Operations!AN75+Operations!AN93</f>
        <v>46.1015988814658</v>
      </c>
      <c r="AO7" s="11" t="n">
        <f aca="false">Operations!AO80-Tax!AO27-Operations!AO92-Reserves!AO7+Operations!AO75+Operations!AO93</f>
        <v>42.6776734738968</v>
      </c>
      <c r="AP7" s="11" t="n">
        <f aca="false">Operations!AP80-Tax!AP27-Operations!AP92-Reserves!AP7+Operations!AP75+Operations!AP93</f>
        <v>43.150564056584</v>
      </c>
      <c r="AQ7" s="11" t="n">
        <f aca="false">Operations!AQ80-Tax!AQ27-Operations!AQ92-Reserves!AQ7+Operations!AQ75+Operations!AQ93</f>
        <v>42.4920675586886</v>
      </c>
      <c r="AR7" s="11" t="n">
        <f aca="false">Operations!AR80-Tax!AR27-Operations!AR92-Reserves!AR7+Operations!AR75+Operations!AR93</f>
        <v>42.873104333921</v>
      </c>
      <c r="AS7" s="11" t="n">
        <f aca="false">Operations!AS80-Tax!AS27-Operations!AS92-Reserves!AS7+Operations!AS75+Operations!AS93</f>
        <v>42.2023047489476</v>
      </c>
      <c r="AT7" s="11" t="n">
        <f aca="false">Operations!AT80-Tax!AT27-Operations!AT92-Reserves!AT7+Operations!AT75+Operations!AT93</f>
        <v>42.4458169878721</v>
      </c>
      <c r="AU7" s="11" t="n">
        <f aca="false">Operations!AU80-Tax!AU27-Operations!AU92-Reserves!AU7+Operations!AU75+Operations!AU93</f>
        <v>48.9567701196674</v>
      </c>
      <c r="AV7" s="11" t="n">
        <f aca="false">Operations!AV80-Tax!AV27-Operations!AV92-Reserves!AV7+Operations!AV75+Operations!AV93</f>
        <v>44.5090799550741</v>
      </c>
      <c r="AW7" s="11" t="n">
        <f aca="false">Operations!AW80-Tax!AW27-Operations!AW92-Reserves!AW7+Operations!AW75+Operations!AW93</f>
        <v>43.5004546690699</v>
      </c>
      <c r="AX7" s="11" t="n">
        <f aca="false">Operations!AX80-Tax!AX27-Operations!AX92-Reserves!AX7+Operations!AX75+Operations!AX93</f>
        <v>44.274007726164</v>
      </c>
      <c r="AY7" s="11" t="n">
        <f aca="false">Operations!AY80-Tax!AY27-Operations!AY92-Reserves!AY7+Operations!AY75+Operations!AY93</f>
        <v>43.8701347707556</v>
      </c>
      <c r="AZ7" s="11" t="n">
        <f aca="false">Operations!AZ80-Tax!AZ27-Operations!AZ92-Reserves!AZ7+Operations!AZ75+Operations!AZ93</f>
        <v>44.5455188444797</v>
      </c>
      <c r="BA7" s="11" t="n">
        <f aca="false">Operations!BA80-Tax!BA27-Operations!BA92-Reserves!BA7+Operations!BA75+Operations!BA93</f>
        <v>44.1434525893954</v>
      </c>
      <c r="BB7" s="11" t="n">
        <f aca="false">Operations!BB80-Tax!BB27-Operations!BB92-Reserves!BB7+Operations!BB75+Operations!BB93</f>
        <v>44.6821594759182</v>
      </c>
      <c r="BC7" s="11" t="n">
        <f aca="false">Operations!BC80-Tax!BC27-Operations!BC92-Reserves!BC7+Operations!BC75+Operations!BC93</f>
        <v>46.3568953397677</v>
      </c>
      <c r="BD7" s="11" t="n">
        <f aca="false">Operations!BD80-Tax!BD27-Operations!BD92-Reserves!BD7+Operations!BD75+Operations!BD93</f>
        <v>44.9011550993491</v>
      </c>
      <c r="BE7" s="11" t="n">
        <f aca="false">Operations!BE80-Tax!BE27-Operations!BE92-Reserves!BE7+Operations!BE75+Operations!BE93</f>
        <v>36.4922711620581</v>
      </c>
      <c r="BF7" s="11" t="n">
        <f aca="false">Operations!BF80-Tax!BF27-Operations!BF92-Reserves!BF7+Operations!BF75+Operations!BF93</f>
        <v>37.2076386871159</v>
      </c>
      <c r="BG7" s="11" t="n">
        <f aca="false">Operations!BG80-Tax!BG27-Operations!BG92-Reserves!BG7+Operations!BG75+Operations!BG93</f>
        <v>36.7977582762862</v>
      </c>
      <c r="BH7" s="11" t="n">
        <f aca="false">Operations!BH80-Tax!BH27-Operations!BH92-Reserves!BH7+Operations!BH75+Operations!BH93</f>
        <v>37.5040681195497</v>
      </c>
      <c r="BI7" s="11" t="n">
        <f aca="false">Operations!BI80-Tax!BI27-Operations!BI92-Reserves!BI7+Operations!BI75+Operations!BI93</f>
        <v>37.0897332809844</v>
      </c>
      <c r="BJ7" s="11" t="n">
        <f aca="false">Operations!BJ80-Tax!BJ27-Operations!BJ92-Reserves!BJ7+Operations!BJ75+Operations!BJ93</f>
        <v>37.6779382610023</v>
      </c>
      <c r="BK7" s="11" t="n">
        <f aca="false">Operations!BK80-Tax!BK27-Operations!BK92-Reserves!BK7+Operations!BK75+Operations!BK93</f>
        <v>45.961378039305</v>
      </c>
      <c r="BL7" s="11" t="n">
        <f aca="false">Operations!BL80-Tax!BL27-Operations!BL92-Reserves!BL7+Operations!BL75+Operations!BL93</f>
        <v>40.9896392494355</v>
      </c>
      <c r="BM7" s="11" t="n">
        <f aca="false">Operations!BM80-Tax!BM27-Operations!BM92-Reserves!BM7+Operations!BM75+Operations!BM93</f>
        <v>40.6054675015741</v>
      </c>
      <c r="BN7" s="11" t="n">
        <f aca="false">Operations!BN80-Tax!BN27-Operations!BN92-Reserves!BN7+Operations!BN75+Operations!BN93</f>
        <v>43.598648026203</v>
      </c>
    </row>
    <row r="8" customFormat="false" ht="15" hidden="false" customHeight="false" outlineLevel="0" collapsed="false">
      <c r="D8" s="0" t="s">
        <v>725</v>
      </c>
      <c r="E8" s="0" t="s">
        <v>149</v>
      </c>
      <c r="J8" s="11" t="n">
        <f aca="false">IF(Time!J29=1,INDEX(Funding!$J$54:$BJ$54,1,Time!$F$13),0)+0+0</f>
        <v>0</v>
      </c>
      <c r="K8" s="11" t="n">
        <f aca="false">IF(Time!K29=1,INDEX(Funding!$J$54:$BJ$54,1,Time!$F$13),0)+J30+J42</f>
        <v>0</v>
      </c>
      <c r="L8" s="11" t="n">
        <f aca="false">IF(Time!L29=1,INDEX(Funding!$J$54:$BJ$54,1,Time!$F$13),0)+K30+K42</f>
        <v>0</v>
      </c>
      <c r="M8" s="11" t="n">
        <f aca="false">IF(Time!M29=1,INDEX(Funding!$J$54:$BJ$54,1,Time!$F$13),0)+L30+L42</f>
        <v>0</v>
      </c>
      <c r="N8" s="11" t="n">
        <f aca="false">IF(Time!N29=1,INDEX(Funding!$J$54:$BJ$54,1,Time!$F$13),0)+M30+M42</f>
        <v>0</v>
      </c>
      <c r="O8" s="11" t="n">
        <f aca="false">IF(Time!O29=1,INDEX(Funding!$J$54:$BJ$54,1,Time!$F$13),0)+N30+N42</f>
        <v>0</v>
      </c>
      <c r="P8" s="11" t="n">
        <f aca="false">IF(Time!P29=1,INDEX(Funding!$J$54:$BJ$54,1,Time!$F$13),0)+O30+O42</f>
        <v>17.2197</v>
      </c>
      <c r="Q8" s="11" t="n">
        <f aca="false">IF(Time!Q29=1,INDEX(Funding!$J$54:$BJ$54,1,Time!$F$13),0)+P30+P42</f>
        <v>9.6813304635533</v>
      </c>
      <c r="R8" s="11" t="n">
        <f aca="false">IF(Time!R29=1,INDEX(Funding!$J$54:$BJ$54,1,Time!$F$13),0)+Q30+Q42</f>
        <v>0</v>
      </c>
      <c r="S8" s="11" t="n">
        <f aca="false">IF(Time!S29=1,INDEX(Funding!$J$54:$BJ$54,1,Time!$F$13),0)+R30+R42</f>
        <v>0</v>
      </c>
      <c r="T8" s="11" t="n">
        <f aca="false">IF(Time!T29=1,INDEX(Funding!$J$54:$BJ$54,1,Time!$F$13),0)+S30+S42</f>
        <v>0</v>
      </c>
      <c r="U8" s="11" t="n">
        <f aca="false">IF(Time!U29=1,INDEX(Funding!$J$54:$BJ$54,1,Time!$F$13),0)+T30+T42</f>
        <v>16.9271973167559</v>
      </c>
      <c r="V8" s="11" t="n">
        <f aca="false">IF(Time!V29=1,INDEX(Funding!$J$54:$BJ$54,1,Time!$F$13),0)+U30+U42</f>
        <v>31.007430407423</v>
      </c>
      <c r="W8" s="11" t="n">
        <f aca="false">IF(Time!W29=1,INDEX(Funding!$J$54:$BJ$54,1,Time!$F$13),0)+V30+V42</f>
        <v>0</v>
      </c>
      <c r="X8" s="11" t="n">
        <f aca="false">IF(Time!X29=1,INDEX(Funding!$J$54:$BJ$54,1,Time!$F$13),0)+W30+W42</f>
        <v>0</v>
      </c>
      <c r="Y8" s="11" t="n">
        <f aca="false">IF(Time!Y29=1,INDEX(Funding!$J$54:$BJ$54,1,Time!$F$13),0)+X30+X42</f>
        <v>0</v>
      </c>
      <c r="Z8" s="11" t="n">
        <f aca="false">IF(Time!Z29=1,INDEX(Funding!$J$54:$BJ$54,1,Time!$F$13),0)+Y30+Y42</f>
        <v>0</v>
      </c>
      <c r="AA8" s="11" t="n">
        <f aca="false">IF(Time!AA29=1,INDEX(Funding!$J$54:$BJ$54,1,Time!$F$13),0)+Z30+Z42</f>
        <v>0</v>
      </c>
      <c r="AB8" s="11" t="n">
        <f aca="false">IF(Time!AB29=1,INDEX(Funding!$J$54:$BJ$54,1,Time!$F$13),0)+AA30+AA42</f>
        <v>0</v>
      </c>
      <c r="AC8" s="11" t="n">
        <f aca="false">IF(Time!AC29=1,INDEX(Funding!$J$54:$BJ$54,1,Time!$F$13),0)+AB30+AB42</f>
        <v>0</v>
      </c>
      <c r="AD8" s="11" t="n">
        <f aca="false">IF(Time!AD29=1,INDEX(Funding!$J$54:$BJ$54,1,Time!$F$13),0)+AC30+AC42</f>
        <v>0</v>
      </c>
      <c r="AE8" s="11" t="n">
        <f aca="false">IF(Time!AE29=1,INDEX(Funding!$J$54:$BJ$54,1,Time!$F$13),0)+AD30+AD42</f>
        <v>0</v>
      </c>
      <c r="AF8" s="11" t="n">
        <f aca="false">IF(Time!AF29=1,INDEX(Funding!$J$54:$BJ$54,1,Time!$F$13),0)+AE30+AE42</f>
        <v>0</v>
      </c>
      <c r="AG8" s="11" t="n">
        <f aca="false">IF(Time!AG29=1,INDEX(Funding!$J$54:$BJ$54,1,Time!$F$13),0)+AF30+AF42</f>
        <v>0</v>
      </c>
      <c r="AH8" s="11" t="n">
        <f aca="false">IF(Time!AH29=1,INDEX(Funding!$J$54:$BJ$54,1,Time!$F$13),0)+AG30+AG42</f>
        <v>0</v>
      </c>
      <c r="AI8" s="11" t="n">
        <f aca="false">IF(Time!AI29=1,INDEX(Funding!$J$54:$BJ$54,1,Time!$F$13),0)+AH30+AH42</f>
        <v>0</v>
      </c>
      <c r="AJ8" s="11" t="n">
        <f aca="false">IF(Time!AJ29=1,INDEX(Funding!$J$54:$BJ$54,1,Time!$F$13),0)+AI30+AI42</f>
        <v>0</v>
      </c>
      <c r="AK8" s="11" t="n">
        <f aca="false">IF(Time!AK29=1,INDEX(Funding!$J$54:$BJ$54,1,Time!$F$13),0)+AJ30+AJ42</f>
        <v>0</v>
      </c>
      <c r="AL8" s="11" t="n">
        <f aca="false">IF(Time!AL29=1,INDEX(Funding!$J$54:$BJ$54,1,Time!$F$13),0)+AK30+AK42</f>
        <v>0</v>
      </c>
      <c r="AM8" s="11" t="n">
        <f aca="false">IF(Time!AM29=1,INDEX(Funding!$J$54:$BJ$54,1,Time!$F$13),0)+AL30+AL42</f>
        <v>0</v>
      </c>
      <c r="AN8" s="11" t="n">
        <f aca="false">IF(Time!AN29=1,INDEX(Funding!$J$54:$BJ$54,1,Time!$F$13),0)+AM30+AM42</f>
        <v>0</v>
      </c>
      <c r="AO8" s="11" t="n">
        <f aca="false">IF(Time!AO29=1,INDEX(Funding!$J$54:$BJ$54,1,Time!$F$13),0)+AN30+AN42</f>
        <v>0</v>
      </c>
      <c r="AP8" s="11" t="n">
        <f aca="false">IF(Time!AP29=1,INDEX(Funding!$J$54:$BJ$54,1,Time!$F$13),0)+AO30+AO42</f>
        <v>0</v>
      </c>
      <c r="AQ8" s="11" t="n">
        <f aca="false">IF(Time!AQ29=1,INDEX(Funding!$J$54:$BJ$54,1,Time!$F$13),0)+AP30+AP42</f>
        <v>0</v>
      </c>
      <c r="AR8" s="11" t="n">
        <f aca="false">IF(Time!AR29=1,INDEX(Funding!$J$54:$BJ$54,1,Time!$F$13),0)+AQ30+AQ42</f>
        <v>0</v>
      </c>
      <c r="AS8" s="11" t="n">
        <f aca="false">IF(Time!AS29=1,INDEX(Funding!$J$54:$BJ$54,1,Time!$F$13),0)+AR30+AR42</f>
        <v>0</v>
      </c>
      <c r="AT8" s="11" t="n">
        <f aca="false">IF(Time!AT29=1,INDEX(Funding!$J$54:$BJ$54,1,Time!$F$13),0)+AS30+AS42</f>
        <v>0</v>
      </c>
      <c r="AU8" s="11" t="n">
        <f aca="false">IF(Time!AU29=1,INDEX(Funding!$J$54:$BJ$54,1,Time!$F$13),0)+AT30+AT42</f>
        <v>0</v>
      </c>
      <c r="AV8" s="11" t="n">
        <f aca="false">IF(Time!AV29=1,INDEX(Funding!$J$54:$BJ$54,1,Time!$F$13),0)+AU30+AU42</f>
        <v>0</v>
      </c>
      <c r="AW8" s="11" t="n">
        <f aca="false">IF(Time!AW29=1,INDEX(Funding!$J$54:$BJ$54,1,Time!$F$13),0)+AV30+AV42</f>
        <v>0</v>
      </c>
      <c r="AX8" s="11" t="n">
        <f aca="false">IF(Time!AX29=1,INDEX(Funding!$J$54:$BJ$54,1,Time!$F$13),0)+AW30+AW42</f>
        <v>0</v>
      </c>
      <c r="AY8" s="11" t="n">
        <f aca="false">IF(Time!AY29=1,INDEX(Funding!$J$54:$BJ$54,1,Time!$F$13),0)+AX30+AX42</f>
        <v>0</v>
      </c>
      <c r="AZ8" s="11" t="n">
        <f aca="false">IF(Time!AZ29=1,INDEX(Funding!$J$54:$BJ$54,1,Time!$F$13),0)+AY30+AY42</f>
        <v>0</v>
      </c>
      <c r="BA8" s="11" t="n">
        <f aca="false">IF(Time!BA29=1,INDEX(Funding!$J$54:$BJ$54,1,Time!$F$13),0)+AZ30+AZ42</f>
        <v>0</v>
      </c>
      <c r="BB8" s="11" t="n">
        <f aca="false">IF(Time!BB29=1,INDEX(Funding!$J$54:$BJ$54,1,Time!$F$13),0)+BA30+BA42</f>
        <v>0</v>
      </c>
      <c r="BC8" s="11" t="n">
        <f aca="false">IF(Time!BC29=1,INDEX(Funding!$J$54:$BJ$54,1,Time!$F$13),0)+BB30+BB42</f>
        <v>0</v>
      </c>
      <c r="BD8" s="11" t="n">
        <f aca="false">IF(Time!BD29=1,INDEX(Funding!$J$54:$BJ$54,1,Time!$F$13),0)+BC30+BC42</f>
        <v>0</v>
      </c>
      <c r="BE8" s="11" t="n">
        <f aca="false">IF(Time!BE29=1,INDEX(Funding!$J$54:$BJ$54,1,Time!$F$13),0)+BD30+BD42</f>
        <v>0</v>
      </c>
      <c r="BF8" s="11" t="n">
        <f aca="false">IF(Time!BF29=1,INDEX(Funding!$J$54:$BJ$54,1,Time!$F$13),0)+BE30+BE42</f>
        <v>0</v>
      </c>
      <c r="BG8" s="11" t="n">
        <f aca="false">IF(Time!BG29=1,INDEX(Funding!$J$54:$BJ$54,1,Time!$F$13),0)+BF30+BF42</f>
        <v>0</v>
      </c>
      <c r="BH8" s="11" t="n">
        <f aca="false">IF(Time!BH29=1,INDEX(Funding!$J$54:$BJ$54,1,Time!$F$13),0)+BG30+BG42</f>
        <v>0</v>
      </c>
      <c r="BI8" s="11" t="n">
        <f aca="false">IF(Time!BI29=1,INDEX(Funding!$J$54:$BJ$54,1,Time!$F$13),0)+BH30+BH42</f>
        <v>0</v>
      </c>
      <c r="BJ8" s="11" t="n">
        <f aca="false">IF(Time!BJ29=1,INDEX(Funding!$J$54:$BJ$54,1,Time!$F$13),0)+BI30+BI42</f>
        <v>0</v>
      </c>
      <c r="BK8" s="11" t="n">
        <f aca="false">IF(Time!BK29=1,INDEX(Funding!$J$54:$BJ$54,1,Time!$F$13),0)+BJ30+BJ42</f>
        <v>0</v>
      </c>
      <c r="BL8" s="11" t="n">
        <f aca="false">IF(Time!BL29=1,INDEX(Funding!$J$54:$BJ$54,1,Time!$F$13),0)+BK30+BK42</f>
        <v>0</v>
      </c>
      <c r="BM8" s="11" t="n">
        <f aca="false">IF(Time!BM29=1,INDEX(Funding!$J$54:$BJ$54,1,Time!$F$13),0)+BL30+BL42</f>
        <v>0</v>
      </c>
      <c r="BN8" s="11" t="n">
        <f aca="false">IF(Time!BN29=1,INDEX(Funding!$J$54:$BJ$54,1,Time!$F$13),0)+BM30+BM42</f>
        <v>0</v>
      </c>
    </row>
    <row r="9" customFormat="false" ht="15" hidden="false" customHeight="false" outlineLevel="0" collapsed="false">
      <c r="D9" s="0" t="s">
        <v>726</v>
      </c>
      <c r="E9" s="0" t="s">
        <v>149</v>
      </c>
      <c r="J9" s="11" t="n">
        <f aca="false">J7+J8</f>
        <v>0</v>
      </c>
      <c r="K9" s="11" t="n">
        <f aca="false">K7+K8</f>
        <v>0</v>
      </c>
      <c r="L9" s="11" t="n">
        <f aca="false">L7+L8</f>
        <v>0</v>
      </c>
      <c r="M9" s="11" t="n">
        <f aca="false">M7+M8</f>
        <v>0</v>
      </c>
      <c r="N9" s="11" t="n">
        <f aca="false">N7+N8</f>
        <v>0</v>
      </c>
      <c r="O9" s="11" t="n">
        <f aca="false">O7+O8</f>
        <v>0</v>
      </c>
      <c r="P9" s="11" t="n">
        <f aca="false">P7+P8</f>
        <v>10.9270656614657</v>
      </c>
      <c r="Q9" s="11" t="n">
        <f aca="false">Q7+Q8</f>
        <v>54.4823669771427</v>
      </c>
      <c r="R9" s="11" t="n">
        <f aca="false">R7+R8</f>
        <v>37.365369182051</v>
      </c>
      <c r="S9" s="11" t="n">
        <f aca="false">S7+S8</f>
        <v>35.7706177871311</v>
      </c>
      <c r="T9" s="11" t="n">
        <f aca="false">T7+T8</f>
        <v>56.1891743940575</v>
      </c>
      <c r="U9" s="11" t="n">
        <f aca="false">U7+U8</f>
        <v>74.311314502064</v>
      </c>
      <c r="V9" s="11" t="n">
        <f aca="false">V7+V8</f>
        <v>87.6818700164908</v>
      </c>
      <c r="W9" s="11" t="n">
        <f aca="false">W7+W8</f>
        <v>55.3563987334357</v>
      </c>
      <c r="X9" s="11" t="n">
        <f aca="false">X7+X8</f>
        <v>51.6814505191527</v>
      </c>
      <c r="Y9" s="11" t="n">
        <f aca="false">Y7+Y8</f>
        <v>49.1344959266961</v>
      </c>
      <c r="Z9" s="11" t="n">
        <f aca="false">Z7+Z8</f>
        <v>49.8592446098631</v>
      </c>
      <c r="AA9" s="11" t="n">
        <f aca="false">AA7+AA8</f>
        <v>49.2987138762401</v>
      </c>
      <c r="AB9" s="11" t="n">
        <f aca="false">AB7+AB8</f>
        <v>49.9865831380076</v>
      </c>
      <c r="AC9" s="11" t="n">
        <f aca="false">AC7+AC8</f>
        <v>49.6696266497153</v>
      </c>
      <c r="AD9" s="11" t="n">
        <f aca="false">AD7+AD8</f>
        <v>50.2282134794445</v>
      </c>
      <c r="AE9" s="11" t="n">
        <f aca="false">AE7+AE8</f>
        <v>51.6643320700057</v>
      </c>
      <c r="AF9" s="11" t="n">
        <f aca="false">AF7+AF8</f>
        <v>52.5192079243347</v>
      </c>
      <c r="AG9" s="11" t="n">
        <f aca="false">AG7+AG8</f>
        <v>51.7106391277389</v>
      </c>
      <c r="AH9" s="11" t="n">
        <f aca="false">AH7+AH8</f>
        <v>52.46884616642</v>
      </c>
      <c r="AI9" s="11" t="n">
        <f aca="false">AI7+AI8</f>
        <v>52.1304257027341</v>
      </c>
      <c r="AJ9" s="11" t="n">
        <f aca="false">AJ7+AJ8</f>
        <v>52.790154232178</v>
      </c>
      <c r="AK9" s="11" t="n">
        <f aca="false">AK7+AK8</f>
        <v>52.4337767566135</v>
      </c>
      <c r="AL9" s="11" t="n">
        <f aca="false">AL7+AL8</f>
        <v>52.9766127366819</v>
      </c>
      <c r="AM9" s="11" t="n">
        <f aca="false">AM7+AM8</f>
        <v>52.0109014700672</v>
      </c>
      <c r="AN9" s="11" t="n">
        <f aca="false">AN7+AN8</f>
        <v>46.1015988814658</v>
      </c>
      <c r="AO9" s="11" t="n">
        <f aca="false">AO7+AO8</f>
        <v>42.6776734738968</v>
      </c>
      <c r="AP9" s="11" t="n">
        <f aca="false">AP7+AP8</f>
        <v>43.150564056584</v>
      </c>
      <c r="AQ9" s="11" t="n">
        <f aca="false">AQ7+AQ8</f>
        <v>42.4920675586886</v>
      </c>
      <c r="AR9" s="11" t="n">
        <f aca="false">AR7+AR8</f>
        <v>42.873104333921</v>
      </c>
      <c r="AS9" s="11" t="n">
        <f aca="false">AS7+AS8</f>
        <v>42.2023047489476</v>
      </c>
      <c r="AT9" s="11" t="n">
        <f aca="false">AT7+AT8</f>
        <v>42.4458169878721</v>
      </c>
      <c r="AU9" s="11" t="n">
        <f aca="false">AU7+AU8</f>
        <v>48.9567701196674</v>
      </c>
      <c r="AV9" s="11" t="n">
        <f aca="false">AV7+AV8</f>
        <v>44.5090799550741</v>
      </c>
      <c r="AW9" s="11" t="n">
        <f aca="false">AW7+AW8</f>
        <v>43.5004546690699</v>
      </c>
      <c r="AX9" s="11" t="n">
        <f aca="false">AX7+AX8</f>
        <v>44.274007726164</v>
      </c>
      <c r="AY9" s="11" t="n">
        <f aca="false">AY7+AY8</f>
        <v>43.8701347707556</v>
      </c>
      <c r="AZ9" s="11" t="n">
        <f aca="false">AZ7+AZ8</f>
        <v>44.5455188444797</v>
      </c>
      <c r="BA9" s="11" t="n">
        <f aca="false">BA7+BA8</f>
        <v>44.1434525893954</v>
      </c>
      <c r="BB9" s="11" t="n">
        <f aca="false">BB7+BB8</f>
        <v>44.6821594759182</v>
      </c>
      <c r="BC9" s="11" t="n">
        <f aca="false">BC7+BC8</f>
        <v>46.3568953397677</v>
      </c>
      <c r="BD9" s="11" t="n">
        <f aca="false">BD7+BD8</f>
        <v>44.9011550993491</v>
      </c>
      <c r="BE9" s="11" t="n">
        <f aca="false">BE7+BE8</f>
        <v>36.4922711620581</v>
      </c>
      <c r="BF9" s="11" t="n">
        <f aca="false">BF7+BF8</f>
        <v>37.2076386871159</v>
      </c>
      <c r="BG9" s="11" t="n">
        <f aca="false">BG7+BG8</f>
        <v>36.7977582762862</v>
      </c>
      <c r="BH9" s="11" t="n">
        <f aca="false">BH7+BH8</f>
        <v>37.5040681195497</v>
      </c>
      <c r="BI9" s="11" t="n">
        <f aca="false">BI7+BI8</f>
        <v>37.0897332809844</v>
      </c>
      <c r="BJ9" s="11" t="n">
        <f aca="false">BJ7+BJ8</f>
        <v>37.6779382610023</v>
      </c>
      <c r="BK9" s="11" t="n">
        <f aca="false">BK7+BK8</f>
        <v>45.961378039305</v>
      </c>
      <c r="BL9" s="11" t="n">
        <f aca="false">BL7+BL8</f>
        <v>40.9896392494355</v>
      </c>
      <c r="BM9" s="11" t="n">
        <f aca="false">BM7+BM8</f>
        <v>40.6054675015741</v>
      </c>
      <c r="BN9" s="11" t="n">
        <f aca="false">BN7+BN8</f>
        <v>43.598648026203</v>
      </c>
    </row>
    <row r="10" customFormat="false" ht="15" hidden="false" customHeight="false" outlineLevel="0" collapsed="false">
      <c r="D10" s="0" t="s">
        <v>727</v>
      </c>
      <c r="E10" s="0" t="s">
        <v>149</v>
      </c>
      <c r="G10" s="11" t="n">
        <f aca="false">SUM(J10:BN10)</f>
        <v>993.708684398687</v>
      </c>
      <c r="J10" s="11" t="n">
        <f aca="false">Debt!J121+Debt!J117</f>
        <v>0</v>
      </c>
      <c r="K10" s="11" t="n">
        <f aca="false">Debt!K121+Debt!K117</f>
        <v>0</v>
      </c>
      <c r="L10" s="11" t="n">
        <f aca="false">Debt!L121+Debt!L117</f>
        <v>0</v>
      </c>
      <c r="M10" s="11" t="n">
        <f aca="false">Debt!M121+Debt!M117</f>
        <v>0</v>
      </c>
      <c r="N10" s="11" t="n">
        <f aca="false">Debt!N121+Debt!N117</f>
        <v>0</v>
      </c>
      <c r="O10" s="11" t="n">
        <f aca="false">Debt!O121+Debt!O117</f>
        <v>0</v>
      </c>
      <c r="P10" s="11" t="n">
        <f aca="false">Debt!P121+Debt!P117</f>
        <v>0</v>
      </c>
      <c r="Q10" s="11" t="n">
        <f aca="false">Debt!Q121+Debt!Q117</f>
        <v>35.087570652436</v>
      </c>
      <c r="R10" s="11" t="n">
        <f aca="false">Debt!R121+Debt!R117</f>
        <v>36.8030731422296</v>
      </c>
      <c r="S10" s="11" t="n">
        <f aca="false">Debt!S121+Debt!S117</f>
        <v>38.1760209917611</v>
      </c>
      <c r="T10" s="11" t="n">
        <f aca="false">Debt!T121+Debt!T117</f>
        <v>31.0988551822773</v>
      </c>
      <c r="U10" s="11" t="n">
        <f aca="false">Debt!U121+Debt!U117</f>
        <v>43.1230878724453</v>
      </c>
      <c r="V10" s="11" t="n">
        <f aca="false">Debt!V121+Debt!V117</f>
        <v>43.303884094641</v>
      </c>
      <c r="W10" s="11" t="n">
        <f aca="false">Debt!W121+Debt!W117</f>
        <v>41.2915751687604</v>
      </c>
      <c r="X10" s="11" t="n">
        <f aca="false">Debt!X121+Debt!X117</f>
        <v>31.9770949734726</v>
      </c>
      <c r="Y10" s="11" t="n">
        <f aca="false">Debt!Y121+Debt!Y117</f>
        <v>30.401206369767</v>
      </c>
      <c r="Z10" s="11" t="n">
        <f aca="false">Debt!Z121+Debt!Z117</f>
        <v>30.8496333632188</v>
      </c>
      <c r="AA10" s="11" t="n">
        <f aca="false">Debt!AA121+Debt!AA117</f>
        <v>30.5028136759894</v>
      </c>
      <c r="AB10" s="11" t="n">
        <f aca="false">Debt!AB121+Debt!AB117</f>
        <v>30.9284221001322</v>
      </c>
      <c r="AC10" s="11" t="n">
        <f aca="false">Debt!AC121+Debt!AC117</f>
        <v>30.7323101948593</v>
      </c>
      <c r="AD10" s="11" t="n">
        <f aca="false">Debt!AD121+Debt!AD117</f>
        <v>31.0779271217403</v>
      </c>
      <c r="AE10" s="11" t="n">
        <f aca="false">Debt!AE121+Debt!AE117</f>
        <v>31.9665031988867</v>
      </c>
      <c r="AF10" s="11" t="n">
        <f aca="false">Debt!AF121+Debt!AF117</f>
        <v>32.4954443588155</v>
      </c>
      <c r="AG10" s="11" t="n">
        <f aca="false">Debt!AG121+Debt!AG117</f>
        <v>31.9951549717801</v>
      </c>
      <c r="AH10" s="11" t="n">
        <f aca="false">Debt!AH121+Debt!AH117</f>
        <v>32.4642838031482</v>
      </c>
      <c r="AI10" s="11" t="n">
        <f aca="false">Debt!AI121+Debt!AI117</f>
        <v>32.2548913964038</v>
      </c>
      <c r="AJ10" s="11" t="n">
        <f aca="false">Debt!AJ121+Debt!AJ117</f>
        <v>32.6630881794046</v>
      </c>
      <c r="AK10" s="11" t="n">
        <f aca="false">Debt!AK121+Debt!AK117</f>
        <v>32.4425851504057</v>
      </c>
      <c r="AL10" s="11" t="n">
        <f aca="false">Debt!AL121+Debt!AL117</f>
        <v>32.778456483646</v>
      </c>
      <c r="AM10" s="11" t="n">
        <f aca="false">Debt!AM121+Debt!AM117</f>
        <v>32.1809376284882</v>
      </c>
      <c r="AN10" s="11" t="n">
        <f aca="false">Debt!AN121+Debt!AN117</f>
        <v>28.5246483742642</v>
      </c>
      <c r="AO10" s="11" t="n">
        <f aca="false">Debt!AO121+Debt!AO117</f>
        <v>26.406147736707</v>
      </c>
      <c r="AP10" s="11" t="n">
        <f aca="false">Debt!AP121+Debt!AP117</f>
        <v>26.6987414632049</v>
      </c>
      <c r="AQ10" s="11" t="n">
        <f aca="false">Debt!AQ121+Debt!AQ117</f>
        <v>26.2913069884619</v>
      </c>
      <c r="AR10" s="11" t="n">
        <f aca="false">Debt!AR121+Debt!AR117</f>
        <v>26.5270675751611</v>
      </c>
      <c r="AS10" s="11" t="n">
        <f aca="false">Debt!AS121+Debt!AS117</f>
        <v>26.1120207428106</v>
      </c>
      <c r="AT10" s="11" t="n">
        <f aca="false">Debt!AT121+Debt!AT117</f>
        <v>26.2626901522987</v>
      </c>
      <c r="AU10" s="11" t="n">
        <f aca="false">Debt!AU121+Debt!AU117</f>
        <v>30.2912412910693</v>
      </c>
      <c r="AV10" s="11" t="n">
        <f aca="false">Debt!AV121+Debt!AV117</f>
        <v>0</v>
      </c>
      <c r="AW10" s="11" t="n">
        <f aca="false">Debt!AW121+Debt!AW117</f>
        <v>0</v>
      </c>
      <c r="AX10" s="11" t="n">
        <f aca="false">Debt!AX121+Debt!AX117</f>
        <v>0</v>
      </c>
      <c r="AY10" s="11" t="n">
        <f aca="false">Debt!AY121+Debt!AY117</f>
        <v>0</v>
      </c>
      <c r="AZ10" s="11" t="n">
        <f aca="false">Debt!AZ121+Debt!AZ117</f>
        <v>0</v>
      </c>
      <c r="BA10" s="11" t="n">
        <f aca="false">Debt!BA121+Debt!BA117</f>
        <v>0</v>
      </c>
      <c r="BB10" s="11" t="n">
        <f aca="false">Debt!BB121+Debt!BB117</f>
        <v>0</v>
      </c>
      <c r="BC10" s="11" t="n">
        <f aca="false">Debt!BC121+Debt!BC117</f>
        <v>0</v>
      </c>
      <c r="BD10" s="11" t="n">
        <f aca="false">Debt!BD121+Debt!BD117</f>
        <v>0</v>
      </c>
      <c r="BE10" s="11" t="n">
        <f aca="false">Debt!BE121+Debt!BE117</f>
        <v>0</v>
      </c>
      <c r="BF10" s="11" t="n">
        <f aca="false">Debt!BF121+Debt!BF117</f>
        <v>0</v>
      </c>
      <c r="BG10" s="11" t="n">
        <f aca="false">Debt!BG121+Debt!BG117</f>
        <v>0</v>
      </c>
      <c r="BH10" s="11" t="n">
        <f aca="false">Debt!BH121+Debt!BH117</f>
        <v>0</v>
      </c>
      <c r="BI10" s="11" t="n">
        <f aca="false">Debt!BI121+Debt!BI117</f>
        <v>0</v>
      </c>
      <c r="BJ10" s="11" t="n">
        <f aca="false">Debt!BJ121+Debt!BJ117</f>
        <v>0</v>
      </c>
      <c r="BK10" s="11" t="n">
        <f aca="false">Debt!BK121+Debt!BK117</f>
        <v>0</v>
      </c>
      <c r="BL10" s="11" t="n">
        <f aca="false">Debt!BL121+Debt!BL117</f>
        <v>0</v>
      </c>
      <c r="BM10" s="11" t="n">
        <f aca="false">Debt!BM121+Debt!BM117</f>
        <v>0</v>
      </c>
      <c r="BN10" s="11" t="n">
        <f aca="false">Debt!BN121+Debt!BN117</f>
        <v>0</v>
      </c>
    </row>
    <row r="11" customFormat="false" ht="15" hidden="false" customHeight="false" outlineLevel="0" collapsed="false">
      <c r="D11" s="0" t="s">
        <v>728</v>
      </c>
      <c r="E11" s="0" t="s">
        <v>149</v>
      </c>
      <c r="G11" s="11" t="n">
        <f aca="false">SUM(J11:BN11)</f>
        <v>2.40540320462991</v>
      </c>
      <c r="J11" s="11" t="n">
        <f aca="false">MAX(0,J10-J9)</f>
        <v>0</v>
      </c>
      <c r="K11" s="11" t="n">
        <f aca="false">MAX(0,K10-K9)</f>
        <v>0</v>
      </c>
      <c r="L11" s="11" t="n">
        <f aca="false">MAX(0,L10-L9)</f>
        <v>0</v>
      </c>
      <c r="M11" s="11" t="n">
        <f aca="false">MAX(0,M10-M9)</f>
        <v>0</v>
      </c>
      <c r="N11" s="11" t="n">
        <f aca="false">MAX(0,N10-N9)</f>
        <v>0</v>
      </c>
      <c r="O11" s="11" t="n">
        <f aca="false">MAX(0,O10-O9)</f>
        <v>0</v>
      </c>
      <c r="P11" s="11" t="n">
        <f aca="false">MAX(0,P10-P9)</f>
        <v>0</v>
      </c>
      <c r="Q11" s="11" t="n">
        <f aca="false">MAX(0,Q10-Q9)</f>
        <v>0</v>
      </c>
      <c r="R11" s="11" t="n">
        <f aca="false">MAX(0,R10-R9)</f>
        <v>0</v>
      </c>
      <c r="S11" s="11" t="n">
        <f aca="false">MAX(0,S10-S9)</f>
        <v>2.40540320462991</v>
      </c>
      <c r="T11" s="11" t="n">
        <f aca="false">MAX(0,T10-T9)</f>
        <v>0</v>
      </c>
      <c r="U11" s="11" t="n">
        <f aca="false">MAX(0,U10-U9)</f>
        <v>0</v>
      </c>
      <c r="V11" s="11" t="n">
        <f aca="false">MAX(0,V10-V9)</f>
        <v>0</v>
      </c>
      <c r="W11" s="11" t="n">
        <f aca="false">MAX(0,W10-W9)</f>
        <v>0</v>
      </c>
      <c r="X11" s="11" t="n">
        <f aca="false">MAX(0,X10-X9)</f>
        <v>0</v>
      </c>
      <c r="Y11" s="11" t="n">
        <f aca="false">MAX(0,Y10-Y9)</f>
        <v>0</v>
      </c>
      <c r="Z11" s="11" t="n">
        <f aca="false">MAX(0,Z10-Z9)</f>
        <v>0</v>
      </c>
      <c r="AA11" s="11" t="n">
        <f aca="false">MAX(0,AA10-AA9)</f>
        <v>0</v>
      </c>
      <c r="AB11" s="11" t="n">
        <f aca="false">MAX(0,AB10-AB9)</f>
        <v>0</v>
      </c>
      <c r="AC11" s="11" t="n">
        <f aca="false">MAX(0,AC10-AC9)</f>
        <v>0</v>
      </c>
      <c r="AD11" s="11" t="n">
        <f aca="false">MAX(0,AD10-AD9)</f>
        <v>0</v>
      </c>
      <c r="AE11" s="11" t="n">
        <f aca="false">MAX(0,AE10-AE9)</f>
        <v>0</v>
      </c>
      <c r="AF11" s="11" t="n">
        <f aca="false">MAX(0,AF10-AF9)</f>
        <v>0</v>
      </c>
      <c r="AG11" s="11" t="n">
        <f aca="false">MAX(0,AG10-AG9)</f>
        <v>0</v>
      </c>
      <c r="AH11" s="11" t="n">
        <f aca="false">MAX(0,AH10-AH9)</f>
        <v>0</v>
      </c>
      <c r="AI11" s="11" t="n">
        <f aca="false">MAX(0,AI10-AI9)</f>
        <v>0</v>
      </c>
      <c r="AJ11" s="11" t="n">
        <f aca="false">MAX(0,AJ10-AJ9)</f>
        <v>0</v>
      </c>
      <c r="AK11" s="11" t="n">
        <f aca="false">MAX(0,AK10-AK9)</f>
        <v>0</v>
      </c>
      <c r="AL11" s="11" t="n">
        <f aca="false">MAX(0,AL10-AL9)</f>
        <v>0</v>
      </c>
      <c r="AM11" s="11" t="n">
        <f aca="false">MAX(0,AM10-AM9)</f>
        <v>0</v>
      </c>
      <c r="AN11" s="11" t="n">
        <f aca="false">MAX(0,AN10-AN9)</f>
        <v>0</v>
      </c>
      <c r="AO11" s="11" t="n">
        <f aca="false">MAX(0,AO10-AO9)</f>
        <v>0</v>
      </c>
      <c r="AP11" s="11" t="n">
        <f aca="false">MAX(0,AP10-AP9)</f>
        <v>0</v>
      </c>
      <c r="AQ11" s="11" t="n">
        <f aca="false">MAX(0,AQ10-AQ9)</f>
        <v>0</v>
      </c>
      <c r="AR11" s="11" t="n">
        <f aca="false">MAX(0,AR10-AR9)</f>
        <v>0</v>
      </c>
      <c r="AS11" s="11" t="n">
        <f aca="false">MAX(0,AS10-AS9)</f>
        <v>0</v>
      </c>
      <c r="AT11" s="11" t="n">
        <f aca="false">MAX(0,AT10-AT9)</f>
        <v>0</v>
      </c>
      <c r="AU11" s="11" t="n">
        <f aca="false">MAX(0,AU10-AU9)</f>
        <v>0</v>
      </c>
      <c r="AV11" s="11" t="n">
        <f aca="false">MAX(0,AV10-AV9)</f>
        <v>0</v>
      </c>
      <c r="AW11" s="11" t="n">
        <f aca="false">MAX(0,AW10-AW9)</f>
        <v>0</v>
      </c>
      <c r="AX11" s="11" t="n">
        <f aca="false">MAX(0,AX10-AX9)</f>
        <v>0</v>
      </c>
      <c r="AY11" s="11" t="n">
        <f aca="false">MAX(0,AY10-AY9)</f>
        <v>0</v>
      </c>
      <c r="AZ11" s="11" t="n">
        <f aca="false">MAX(0,AZ10-AZ9)</f>
        <v>0</v>
      </c>
      <c r="BA11" s="11" t="n">
        <f aca="false">MAX(0,BA10-BA9)</f>
        <v>0</v>
      </c>
      <c r="BB11" s="11" t="n">
        <f aca="false">MAX(0,BB10-BB9)</f>
        <v>0</v>
      </c>
      <c r="BC11" s="11" t="n">
        <f aca="false">MAX(0,BC10-BC9)</f>
        <v>0</v>
      </c>
      <c r="BD11" s="11" t="n">
        <f aca="false">MAX(0,BD10-BD9)</f>
        <v>0</v>
      </c>
      <c r="BE11" s="11" t="n">
        <f aca="false">MAX(0,BE10-BE9)</f>
        <v>0</v>
      </c>
      <c r="BF11" s="11" t="n">
        <f aca="false">MAX(0,BF10-BF9)</f>
        <v>0</v>
      </c>
      <c r="BG11" s="11" t="n">
        <f aca="false">MAX(0,BG10-BG9)</f>
        <v>0</v>
      </c>
      <c r="BH11" s="11" t="n">
        <f aca="false">MAX(0,BH10-BH9)</f>
        <v>0</v>
      </c>
      <c r="BI11" s="11" t="n">
        <f aca="false">MAX(0,BI10-BI9)</f>
        <v>0</v>
      </c>
      <c r="BJ11" s="11" t="n">
        <f aca="false">MAX(0,BJ10-BJ9)</f>
        <v>0</v>
      </c>
      <c r="BK11" s="11" t="n">
        <f aca="false">MAX(0,BK10-BK9)</f>
        <v>0</v>
      </c>
      <c r="BL11" s="11" t="n">
        <f aca="false">MAX(0,BL10-BL9)</f>
        <v>0</v>
      </c>
      <c r="BM11" s="11" t="n">
        <f aca="false">MAX(0,BM10-BM9)</f>
        <v>0</v>
      </c>
      <c r="BN11" s="11" t="n">
        <f aca="false">MAX(0,BN10-BN9)</f>
        <v>0</v>
      </c>
    </row>
    <row r="12" customFormat="false" ht="15" hidden="false" customHeight="false" outlineLevel="0" collapsed="false">
      <c r="D12" s="0" t="s">
        <v>729</v>
      </c>
      <c r="E12" s="0" t="s">
        <v>149</v>
      </c>
      <c r="G12" s="11" t="n">
        <f aca="false">SUM(J12:BN12)</f>
        <v>0</v>
      </c>
      <c r="J12" s="11" t="n">
        <f aca="false">J11-Reserves!J10</f>
        <v>0</v>
      </c>
      <c r="K12" s="11" t="n">
        <f aca="false">K11-Reserves!K10</f>
        <v>0</v>
      </c>
      <c r="L12" s="11" t="n">
        <f aca="false">L11-Reserves!L10</f>
        <v>0</v>
      </c>
      <c r="M12" s="11" t="n">
        <f aca="false">M11-Reserves!M10</f>
        <v>0</v>
      </c>
      <c r="N12" s="11" t="n">
        <f aca="false">N11-Reserves!N10</f>
        <v>0</v>
      </c>
      <c r="O12" s="11" t="n">
        <f aca="false">O11-Reserves!O10</f>
        <v>0</v>
      </c>
      <c r="P12" s="11" t="n">
        <f aca="false">P11-Reserves!P10</f>
        <v>0</v>
      </c>
      <c r="Q12" s="11" t="n">
        <f aca="false">Q11-Reserves!Q10</f>
        <v>0</v>
      </c>
      <c r="R12" s="11" t="n">
        <f aca="false">R11-Reserves!R10</f>
        <v>0</v>
      </c>
      <c r="S12" s="11" t="n">
        <f aca="false">S11-Reserves!S10</f>
        <v>0</v>
      </c>
      <c r="T12" s="11" t="n">
        <f aca="false">T11-Reserves!T10</f>
        <v>0</v>
      </c>
      <c r="U12" s="11" t="n">
        <f aca="false">U11-Reserves!U10</f>
        <v>0</v>
      </c>
      <c r="V12" s="11" t="n">
        <f aca="false">V11-Reserves!V10</f>
        <v>0</v>
      </c>
      <c r="W12" s="11" t="n">
        <f aca="false">W11-Reserves!W10</f>
        <v>0</v>
      </c>
      <c r="X12" s="11" t="n">
        <f aca="false">X11-Reserves!X10</f>
        <v>0</v>
      </c>
      <c r="Y12" s="11" t="n">
        <f aca="false">Y11-Reserves!Y10</f>
        <v>0</v>
      </c>
      <c r="Z12" s="11" t="n">
        <f aca="false">Z11-Reserves!Z10</f>
        <v>0</v>
      </c>
      <c r="AA12" s="11" t="n">
        <f aca="false">AA11-Reserves!AA10</f>
        <v>0</v>
      </c>
      <c r="AB12" s="11" t="n">
        <f aca="false">AB11-Reserves!AB10</f>
        <v>0</v>
      </c>
      <c r="AC12" s="11" t="n">
        <f aca="false">AC11-Reserves!AC10</f>
        <v>0</v>
      </c>
      <c r="AD12" s="11" t="n">
        <f aca="false">AD11-Reserves!AD10</f>
        <v>0</v>
      </c>
      <c r="AE12" s="11" t="n">
        <f aca="false">AE11-Reserves!AE10</f>
        <v>0</v>
      </c>
      <c r="AF12" s="11" t="n">
        <f aca="false">AF11-Reserves!AF10</f>
        <v>0</v>
      </c>
      <c r="AG12" s="11" t="n">
        <f aca="false">AG11-Reserves!AG10</f>
        <v>0</v>
      </c>
      <c r="AH12" s="11" t="n">
        <f aca="false">AH11-Reserves!AH10</f>
        <v>0</v>
      </c>
      <c r="AI12" s="11" t="n">
        <f aca="false">AI11-Reserves!AI10</f>
        <v>0</v>
      </c>
      <c r="AJ12" s="11" t="n">
        <f aca="false">AJ11-Reserves!AJ10</f>
        <v>0</v>
      </c>
      <c r="AK12" s="11" t="n">
        <f aca="false">AK11-Reserves!AK10</f>
        <v>0</v>
      </c>
      <c r="AL12" s="11" t="n">
        <f aca="false">AL11-Reserves!AL10</f>
        <v>0</v>
      </c>
      <c r="AM12" s="11" t="n">
        <f aca="false">AM11-Reserves!AM10</f>
        <v>0</v>
      </c>
      <c r="AN12" s="11" t="n">
        <f aca="false">AN11-Reserves!AN10</f>
        <v>0</v>
      </c>
      <c r="AO12" s="11" t="n">
        <f aca="false">AO11-Reserves!AO10</f>
        <v>0</v>
      </c>
      <c r="AP12" s="11" t="n">
        <f aca="false">AP11-Reserves!AP10</f>
        <v>0</v>
      </c>
      <c r="AQ12" s="11" t="n">
        <f aca="false">AQ11-Reserves!AQ10</f>
        <v>0</v>
      </c>
      <c r="AR12" s="11" t="n">
        <f aca="false">AR11-Reserves!AR10</f>
        <v>0</v>
      </c>
      <c r="AS12" s="11" t="n">
        <f aca="false">AS11-Reserves!AS10</f>
        <v>0</v>
      </c>
      <c r="AT12" s="11" t="n">
        <f aca="false">AT11-Reserves!AT10</f>
        <v>0</v>
      </c>
      <c r="AU12" s="11" t="n">
        <f aca="false">AU11-Reserves!AU10</f>
        <v>0</v>
      </c>
      <c r="AV12" s="11" t="n">
        <f aca="false">AV11-Reserves!AV10</f>
        <v>0</v>
      </c>
      <c r="AW12" s="11" t="n">
        <f aca="false">AW11-Reserves!AW10</f>
        <v>0</v>
      </c>
      <c r="AX12" s="11" t="n">
        <f aca="false">AX11-Reserves!AX10</f>
        <v>0</v>
      </c>
      <c r="AY12" s="11" t="n">
        <f aca="false">AY11-Reserves!AY10</f>
        <v>0</v>
      </c>
      <c r="AZ12" s="11" t="n">
        <f aca="false">AZ11-Reserves!AZ10</f>
        <v>0</v>
      </c>
      <c r="BA12" s="11" t="n">
        <f aca="false">BA11-Reserves!BA10</f>
        <v>0</v>
      </c>
      <c r="BB12" s="11" t="n">
        <f aca="false">BB11-Reserves!BB10</f>
        <v>0</v>
      </c>
      <c r="BC12" s="11" t="n">
        <f aca="false">BC11-Reserves!BC10</f>
        <v>0</v>
      </c>
      <c r="BD12" s="11" t="n">
        <f aca="false">BD11-Reserves!BD10</f>
        <v>0</v>
      </c>
      <c r="BE12" s="11" t="n">
        <f aca="false">BE11-Reserves!BE10</f>
        <v>0</v>
      </c>
      <c r="BF12" s="11" t="n">
        <f aca="false">BF11-Reserves!BF10</f>
        <v>0</v>
      </c>
      <c r="BG12" s="11" t="n">
        <f aca="false">BG11-Reserves!BG10</f>
        <v>0</v>
      </c>
      <c r="BH12" s="11" t="n">
        <f aca="false">BH11-Reserves!BH10</f>
        <v>0</v>
      </c>
      <c r="BI12" s="11" t="n">
        <f aca="false">BI11-Reserves!BI10</f>
        <v>0</v>
      </c>
      <c r="BJ12" s="11" t="n">
        <f aca="false">BJ11-Reserves!BJ10</f>
        <v>0</v>
      </c>
      <c r="BK12" s="11" t="n">
        <f aca="false">BK11-Reserves!BK10</f>
        <v>0</v>
      </c>
      <c r="BL12" s="11" t="n">
        <f aca="false">BL11-Reserves!BL10</f>
        <v>0</v>
      </c>
      <c r="BM12" s="11" t="n">
        <f aca="false">BM11-Reserves!BM10</f>
        <v>0</v>
      </c>
      <c r="BN12" s="11" t="n">
        <f aca="false">BN11-Reserves!BN10</f>
        <v>0</v>
      </c>
    </row>
    <row r="13" customFormat="false" ht="15" hidden="false" customHeight="false" outlineLevel="0" collapsed="false">
      <c r="D13" s="0" t="s">
        <v>730</v>
      </c>
      <c r="E13" s="0" t="s">
        <v>149</v>
      </c>
      <c r="J13" s="11" t="n">
        <f aca="false">MAX(0,J9-J10)</f>
        <v>0</v>
      </c>
      <c r="K13" s="11" t="n">
        <f aca="false">MAX(0,K9-K10)</f>
        <v>0</v>
      </c>
      <c r="L13" s="11" t="n">
        <f aca="false">MAX(0,L9-L10)</f>
        <v>0</v>
      </c>
      <c r="M13" s="11" t="n">
        <f aca="false">MAX(0,M9-M10)</f>
        <v>0</v>
      </c>
      <c r="N13" s="11" t="n">
        <f aca="false">MAX(0,N9-N10)</f>
        <v>0</v>
      </c>
      <c r="O13" s="11" t="n">
        <f aca="false">MAX(0,O9-O10)</f>
        <v>0</v>
      </c>
      <c r="P13" s="11" t="n">
        <f aca="false">MAX(0,P9-P10)</f>
        <v>10.9270656614657</v>
      </c>
      <c r="Q13" s="11" t="n">
        <f aca="false">MAX(0,Q9-Q10)</f>
        <v>19.3947963247066</v>
      </c>
      <c r="R13" s="11" t="n">
        <f aca="false">MAX(0,R9-R10)</f>
        <v>0.562296039821327</v>
      </c>
      <c r="S13" s="11" t="n">
        <f aca="false">MAX(0,S9-S10)</f>
        <v>0</v>
      </c>
      <c r="T13" s="11" t="n">
        <f aca="false">MAX(0,T9-T10)</f>
        <v>25.0903192117802</v>
      </c>
      <c r="U13" s="11" t="n">
        <f aca="false">MAX(0,U9-U10)</f>
        <v>31.1882266296187</v>
      </c>
      <c r="V13" s="11" t="n">
        <f aca="false">MAX(0,V9-V10)</f>
        <v>44.3779859218499</v>
      </c>
      <c r="W13" s="11" t="n">
        <f aca="false">MAX(0,W9-W10)</f>
        <v>14.0648235646753</v>
      </c>
      <c r="X13" s="11" t="n">
        <f aca="false">MAX(0,X9-X10)</f>
        <v>19.7043555456801</v>
      </c>
      <c r="Y13" s="11" t="n">
        <f aca="false">MAX(0,Y9-Y10)</f>
        <v>18.7332895569291</v>
      </c>
      <c r="Z13" s="11" t="n">
        <f aca="false">MAX(0,Z9-Z10)</f>
        <v>19.0096112466443</v>
      </c>
      <c r="AA13" s="11" t="n">
        <f aca="false">MAX(0,AA9-AA10)</f>
        <v>18.7959002002507</v>
      </c>
      <c r="AB13" s="11" t="n">
        <f aca="false">MAX(0,AB9-AB10)</f>
        <v>19.0581610378754</v>
      </c>
      <c r="AC13" s="11" t="n">
        <f aca="false">MAX(0,AC9-AC10)</f>
        <v>18.937316454856</v>
      </c>
      <c r="AD13" s="11" t="n">
        <f aca="false">MAX(0,AD9-AD10)</f>
        <v>19.1502863577043</v>
      </c>
      <c r="AE13" s="11" t="n">
        <f aca="false">MAX(0,AE9-AE10)</f>
        <v>19.697828871119</v>
      </c>
      <c r="AF13" s="11" t="n">
        <f aca="false">MAX(0,AF9-AF10)</f>
        <v>20.0237635655192</v>
      </c>
      <c r="AG13" s="11" t="n">
        <f aca="false">MAX(0,AG9-AG10)</f>
        <v>19.7154841559589</v>
      </c>
      <c r="AH13" s="11" t="n">
        <f aca="false">MAX(0,AH9-AH10)</f>
        <v>20.0045623632718</v>
      </c>
      <c r="AI13" s="11" t="n">
        <f aca="false">MAX(0,AI9-AI10)</f>
        <v>19.8755343063304</v>
      </c>
      <c r="AJ13" s="11" t="n">
        <f aca="false">MAX(0,AJ9-AJ10)</f>
        <v>20.1270660527734</v>
      </c>
      <c r="AK13" s="11" t="n">
        <f aca="false">MAX(0,AK9-AK10)</f>
        <v>19.9911916062078</v>
      </c>
      <c r="AL13" s="11" t="n">
        <f aca="false">MAX(0,AL9-AL10)</f>
        <v>20.1981562530358</v>
      </c>
      <c r="AM13" s="11" t="n">
        <f aca="false">MAX(0,AM9-AM10)</f>
        <v>19.8299638415791</v>
      </c>
      <c r="AN13" s="11" t="n">
        <f aca="false">MAX(0,AN9-AN10)</f>
        <v>17.5769505072016</v>
      </c>
      <c r="AO13" s="11" t="n">
        <f aca="false">MAX(0,AO9-AO10)</f>
        <v>16.2715257371898</v>
      </c>
      <c r="AP13" s="11" t="n">
        <f aca="false">MAX(0,AP9-AP10)</f>
        <v>16.4518225933791</v>
      </c>
      <c r="AQ13" s="11" t="n">
        <f aca="false">MAX(0,AQ9-AQ10)</f>
        <v>16.2007605702266</v>
      </c>
      <c r="AR13" s="11" t="n">
        <f aca="false">MAX(0,AR9-AR10)</f>
        <v>16.34603675876</v>
      </c>
      <c r="AS13" s="11" t="n">
        <f aca="false">MAX(0,AS9-AS10)</f>
        <v>16.090284006137</v>
      </c>
      <c r="AT13" s="11" t="n">
        <f aca="false">MAX(0,AT9-AT10)</f>
        <v>16.1831268355733</v>
      </c>
      <c r="AU13" s="11" t="n">
        <f aca="false">MAX(0,AU9-AU10)</f>
        <v>18.6655288285981</v>
      </c>
      <c r="AV13" s="11" t="n">
        <f aca="false">MAX(0,AV9-AV10)</f>
        <v>44.5090799550741</v>
      </c>
      <c r="AW13" s="11" t="n">
        <f aca="false">MAX(0,AW9-AW10)</f>
        <v>43.5004546690699</v>
      </c>
      <c r="AX13" s="11" t="n">
        <f aca="false">MAX(0,AX9-AX10)</f>
        <v>44.274007726164</v>
      </c>
      <c r="AY13" s="11" t="n">
        <f aca="false">MAX(0,AY9-AY10)</f>
        <v>43.8701347707556</v>
      </c>
      <c r="AZ13" s="11" t="n">
        <f aca="false">MAX(0,AZ9-AZ10)</f>
        <v>44.5455188444797</v>
      </c>
      <c r="BA13" s="11" t="n">
        <f aca="false">MAX(0,BA9-BA10)</f>
        <v>44.1434525893954</v>
      </c>
      <c r="BB13" s="11" t="n">
        <f aca="false">MAX(0,BB9-BB10)</f>
        <v>44.6821594759182</v>
      </c>
      <c r="BC13" s="11" t="n">
        <f aca="false">MAX(0,BC9-BC10)</f>
        <v>46.3568953397677</v>
      </c>
      <c r="BD13" s="11" t="n">
        <f aca="false">MAX(0,BD9-BD10)</f>
        <v>44.9011550993491</v>
      </c>
      <c r="BE13" s="11" t="n">
        <f aca="false">MAX(0,BE9-BE10)</f>
        <v>36.4922711620581</v>
      </c>
      <c r="BF13" s="11" t="n">
        <f aca="false">MAX(0,BF9-BF10)</f>
        <v>37.2076386871159</v>
      </c>
      <c r="BG13" s="11" t="n">
        <f aca="false">MAX(0,BG9-BG10)</f>
        <v>36.7977582762862</v>
      </c>
      <c r="BH13" s="11" t="n">
        <f aca="false">MAX(0,BH9-BH10)</f>
        <v>37.5040681195497</v>
      </c>
      <c r="BI13" s="11" t="n">
        <f aca="false">MAX(0,BI9-BI10)</f>
        <v>37.0897332809844</v>
      </c>
      <c r="BJ13" s="11" t="n">
        <f aca="false">MAX(0,BJ9-BJ10)</f>
        <v>37.6779382610023</v>
      </c>
      <c r="BK13" s="11" t="n">
        <f aca="false">MAX(0,BK9-BK10)</f>
        <v>45.961378039305</v>
      </c>
      <c r="BL13" s="11" t="n">
        <f aca="false">MAX(0,BL9-BL10)</f>
        <v>40.9896392494355</v>
      </c>
      <c r="BM13" s="11" t="n">
        <f aca="false">MAX(0,BM9-BM10)</f>
        <v>40.6054675015741</v>
      </c>
      <c r="BN13" s="11" t="n">
        <f aca="false">MAX(0,BN9-BN10)</f>
        <v>43.598648026203</v>
      </c>
    </row>
    <row r="14" customFormat="false" ht="15" hidden="false" customHeight="false" outlineLevel="0" collapsed="false">
      <c r="D14" s="0" t="s">
        <v>731</v>
      </c>
      <c r="E14" s="0" t="s">
        <v>149</v>
      </c>
      <c r="J14" s="11" t="n">
        <f aca="false">J13-Reserves!J11+Reserves!J12</f>
        <v>0</v>
      </c>
      <c r="K14" s="11" t="n">
        <f aca="false">K13-Reserves!K11+Reserves!K12</f>
        <v>0</v>
      </c>
      <c r="L14" s="11" t="n">
        <f aca="false">L13-Reserves!L11+Reserves!L12</f>
        <v>0</v>
      </c>
      <c r="M14" s="11" t="n">
        <f aca="false">M13-Reserves!M11+Reserves!M12</f>
        <v>0</v>
      </c>
      <c r="N14" s="11" t="n">
        <f aca="false">N13-Reserves!N11+Reserves!N12</f>
        <v>0</v>
      </c>
      <c r="O14" s="11" t="n">
        <f aca="false">O13-Reserves!O11+Reserves!O12</f>
        <v>0</v>
      </c>
      <c r="P14" s="11" t="n">
        <f aca="false">P13-Reserves!P11+Reserves!P12</f>
        <v>9.6813304635533</v>
      </c>
      <c r="Q14" s="11" t="n">
        <f aca="false">Q13-Reserves!Q11+Reserves!Q12</f>
        <v>17.679293834913</v>
      </c>
      <c r="R14" s="11" t="n">
        <f aca="false">R13-Reserves!R11+Reserves!R12</f>
        <v>0</v>
      </c>
      <c r="S14" s="11" t="n">
        <f aca="false">S13-Reserves!S11+Reserves!S12</f>
        <v>0</v>
      </c>
      <c r="T14" s="11" t="n">
        <f aca="false">T13-Reserves!T11+Reserves!T12</f>
        <v>16.9271973167559</v>
      </c>
      <c r="U14" s="11" t="n">
        <f aca="false">U13-Reserves!U11+Reserves!U12</f>
        <v>31.007430407423</v>
      </c>
      <c r="V14" s="11" t="n">
        <f aca="false">V13-Reserves!V11+Reserves!V12</f>
        <v>46.3902948477304</v>
      </c>
      <c r="W14" s="11" t="n">
        <f aca="false">W13-Reserves!W11+Reserves!W12</f>
        <v>23.3793037599631</v>
      </c>
      <c r="X14" s="11" t="n">
        <f aca="false">X13-Reserves!X11+Reserves!X12</f>
        <v>21.2802441493857</v>
      </c>
      <c r="Y14" s="11" t="n">
        <f aca="false">Y13-Reserves!Y11+Reserves!Y12</f>
        <v>18.2848625634773</v>
      </c>
      <c r="Z14" s="11" t="n">
        <f aca="false">Z13-Reserves!Z11+Reserves!Z12</f>
        <v>19.3564309338737</v>
      </c>
      <c r="AA14" s="11" t="n">
        <f aca="false">AA13-Reserves!AA11+Reserves!AA12</f>
        <v>18.3702917761079</v>
      </c>
      <c r="AB14" s="11" t="n">
        <f aca="false">AB13-Reserves!AB11+Reserves!AB12</f>
        <v>19.2542729431483</v>
      </c>
      <c r="AC14" s="11" t="n">
        <f aca="false">AC13-Reserves!AC11+Reserves!AC12</f>
        <v>18.591699527975</v>
      </c>
      <c r="AD14" s="11" t="n">
        <f aca="false">AD13-Reserves!AD11+Reserves!AD12</f>
        <v>18.2617102805579</v>
      </c>
      <c r="AE14" s="11" t="n">
        <f aca="false">AE13-Reserves!AE11+Reserves!AE12</f>
        <v>19.1688877111902</v>
      </c>
      <c r="AF14" s="11" t="n">
        <f aca="false">AF13-Reserves!AF11+Reserves!AF12</f>
        <v>20.5240529525546</v>
      </c>
      <c r="AG14" s="11" t="n">
        <f aca="false">AG13-Reserves!AG11+Reserves!AG12</f>
        <v>19.2463553245907</v>
      </c>
      <c r="AH14" s="11" t="n">
        <f aca="false">AH13-Reserves!AH11+Reserves!AH12</f>
        <v>20.2139547700163</v>
      </c>
      <c r="AI14" s="11" t="n">
        <f aca="false">AI13-Reserves!AI11+Reserves!AI12</f>
        <v>19.4673375233295</v>
      </c>
      <c r="AJ14" s="11" t="n">
        <f aca="false">AJ13-Reserves!AJ11+Reserves!AJ12</f>
        <v>20.3475690817723</v>
      </c>
      <c r="AK14" s="11" t="n">
        <f aca="false">AK13-Reserves!AK11+Reserves!AK12</f>
        <v>19.6553202729675</v>
      </c>
      <c r="AL14" s="11" t="n">
        <f aca="false">AL13-Reserves!AL11+Reserves!AL12</f>
        <v>20.7956751081937</v>
      </c>
      <c r="AM14" s="11" t="n">
        <f aca="false">AM13-Reserves!AM11+Reserves!AM12</f>
        <v>23.486253095803</v>
      </c>
      <c r="AN14" s="11" t="n">
        <f aca="false">AN13-Reserves!AN11+Reserves!AN12</f>
        <v>19.6954511447589</v>
      </c>
      <c r="AO14" s="11" t="n">
        <f aca="false">AO13-Reserves!AO11+Reserves!AO12</f>
        <v>15.9789320106918</v>
      </c>
      <c r="AP14" s="11" t="n">
        <f aca="false">AP13-Reserves!AP11+Reserves!AP12</f>
        <v>16.8592570681221</v>
      </c>
      <c r="AQ14" s="11" t="n">
        <f aca="false">AQ13-Reserves!AQ11+Reserves!AQ12</f>
        <v>15.9649999835275</v>
      </c>
      <c r="AR14" s="11" t="n">
        <f aca="false">AR13-Reserves!AR11+Reserves!AR12</f>
        <v>16.7610835911105</v>
      </c>
      <c r="AS14" s="11" t="n">
        <f aca="false">AS13-Reserves!AS11+Reserves!AS12</f>
        <v>15.9396145966488</v>
      </c>
      <c r="AT14" s="11" t="n">
        <f aca="false">AT13-Reserves!AT11+Reserves!AT12</f>
        <v>12.1545756968028</v>
      </c>
      <c r="AU14" s="11" t="n">
        <f aca="false">AU13-Reserves!AU11+Reserves!AU12</f>
        <v>48.9567701196674</v>
      </c>
      <c r="AV14" s="11" t="n">
        <f aca="false">AV13-Reserves!AV11+Reserves!AV12</f>
        <v>44.5090799550741</v>
      </c>
      <c r="AW14" s="11" t="n">
        <f aca="false">AW13-Reserves!AW11+Reserves!AW12</f>
        <v>43.5004546690699</v>
      </c>
      <c r="AX14" s="11" t="n">
        <f aca="false">AX13-Reserves!AX11+Reserves!AX12</f>
        <v>44.274007726164</v>
      </c>
      <c r="AY14" s="11" t="n">
        <f aca="false">AY13-Reserves!AY11+Reserves!AY12</f>
        <v>43.8701347707556</v>
      </c>
      <c r="AZ14" s="11" t="n">
        <f aca="false">AZ13-Reserves!AZ11+Reserves!AZ12</f>
        <v>44.5455188444797</v>
      </c>
      <c r="BA14" s="11" t="n">
        <f aca="false">BA13-Reserves!BA11+Reserves!BA12</f>
        <v>44.1434525893954</v>
      </c>
      <c r="BB14" s="11" t="n">
        <f aca="false">BB13-Reserves!BB11+Reserves!BB12</f>
        <v>44.6821594759182</v>
      </c>
      <c r="BC14" s="11" t="n">
        <f aca="false">BC13-Reserves!BC11+Reserves!BC12</f>
        <v>46.3568953397677</v>
      </c>
      <c r="BD14" s="11" t="n">
        <f aca="false">BD13-Reserves!BD11+Reserves!BD12</f>
        <v>44.9011550993491</v>
      </c>
      <c r="BE14" s="11" t="n">
        <f aca="false">BE13-Reserves!BE11+Reserves!BE12</f>
        <v>36.4922711620581</v>
      </c>
      <c r="BF14" s="11" t="n">
        <f aca="false">BF13-Reserves!BF11+Reserves!BF12</f>
        <v>37.2076386871159</v>
      </c>
      <c r="BG14" s="11" t="n">
        <f aca="false">BG13-Reserves!BG11+Reserves!BG12</f>
        <v>36.7977582762862</v>
      </c>
      <c r="BH14" s="11" t="n">
        <f aca="false">BH13-Reserves!BH11+Reserves!BH12</f>
        <v>37.5040681195497</v>
      </c>
      <c r="BI14" s="11" t="n">
        <f aca="false">BI13-Reserves!BI11+Reserves!BI12</f>
        <v>37.0897332809844</v>
      </c>
      <c r="BJ14" s="11" t="n">
        <f aca="false">BJ13-Reserves!BJ11+Reserves!BJ12</f>
        <v>37.6779382610023</v>
      </c>
      <c r="BK14" s="11" t="n">
        <f aca="false">BK13-Reserves!BK11+Reserves!BK12</f>
        <v>45.961378039305</v>
      </c>
      <c r="BL14" s="11" t="n">
        <f aca="false">BL13-Reserves!BL11+Reserves!BL12</f>
        <v>40.9896392494355</v>
      </c>
      <c r="BM14" s="11" t="n">
        <f aca="false">BM13-Reserves!BM11+Reserves!BM12</f>
        <v>40.6054675015741</v>
      </c>
      <c r="BN14" s="11" t="n">
        <f aca="false">BN13-Reserves!BN11+Reserves!BN12</f>
        <v>43.598648026203</v>
      </c>
    </row>
    <row r="15" customFormat="false" ht="15" hidden="false" customHeight="false" outlineLevel="0" collapsed="false">
      <c r="D15" s="0" t="s">
        <v>732</v>
      </c>
      <c r="E15" s="0" t="s">
        <v>149</v>
      </c>
      <c r="J15" s="11" t="n">
        <f aca="false">J14-Reserves!J14+Reserves!J15</f>
        <v>0</v>
      </c>
      <c r="K15" s="11" t="n">
        <f aca="false">K14-Reserves!K14+Reserves!K15</f>
        <v>0</v>
      </c>
      <c r="L15" s="11" t="n">
        <f aca="false">L14-Reserves!L14+Reserves!L15</f>
        <v>0</v>
      </c>
      <c r="M15" s="11" t="n">
        <f aca="false">M14-Reserves!M14+Reserves!M15</f>
        <v>0</v>
      </c>
      <c r="N15" s="11" t="n">
        <f aca="false">N14-Reserves!N14+Reserves!N15</f>
        <v>0</v>
      </c>
      <c r="O15" s="11" t="n">
        <f aca="false">O14-Reserves!O14+Reserves!O15</f>
        <v>0</v>
      </c>
      <c r="P15" s="11" t="n">
        <f aca="false">P14-Reserves!P14+Reserves!P15</f>
        <v>9.6813304635533</v>
      </c>
      <c r="Q15" s="11" t="n">
        <f aca="false">Q14-Reserves!Q14+Reserves!Q15</f>
        <v>17.679293834913</v>
      </c>
      <c r="R15" s="11" t="n">
        <f aca="false">R14-Reserves!R14+Reserves!R15</f>
        <v>0</v>
      </c>
      <c r="S15" s="11" t="n">
        <f aca="false">S14-Reserves!S14+Reserves!S15</f>
        <v>0</v>
      </c>
      <c r="T15" s="11" t="n">
        <f aca="false">T14-Reserves!T14+Reserves!T15</f>
        <v>16.9271973167559</v>
      </c>
      <c r="U15" s="11" t="n">
        <f aca="false">U14-Reserves!U14+Reserves!U15</f>
        <v>31.007430407423</v>
      </c>
      <c r="V15" s="11" t="n">
        <f aca="false">V14-Reserves!V14+Reserves!V15</f>
        <v>46.3902948477304</v>
      </c>
      <c r="W15" s="11" t="n">
        <f aca="false">W14-Reserves!W14+Reserves!W15</f>
        <v>23.3793037599631</v>
      </c>
      <c r="X15" s="11" t="n">
        <f aca="false">X14-Reserves!X14+Reserves!X15</f>
        <v>21.2802441493857</v>
      </c>
      <c r="Y15" s="11" t="n">
        <f aca="false">Y14-Reserves!Y14+Reserves!Y15</f>
        <v>18.2848625634773</v>
      </c>
      <c r="Z15" s="11" t="n">
        <f aca="false">Z14-Reserves!Z14+Reserves!Z15</f>
        <v>19.3564309338737</v>
      </c>
      <c r="AA15" s="11" t="n">
        <f aca="false">AA14-Reserves!AA14+Reserves!AA15</f>
        <v>18.3702917761079</v>
      </c>
      <c r="AB15" s="11" t="n">
        <f aca="false">AB14-Reserves!AB14+Reserves!AB15</f>
        <v>19.2542729431483</v>
      </c>
      <c r="AC15" s="11" t="n">
        <f aca="false">AC14-Reserves!AC14+Reserves!AC15</f>
        <v>18.591699527975</v>
      </c>
      <c r="AD15" s="11" t="n">
        <f aca="false">AD14-Reserves!AD14+Reserves!AD15</f>
        <v>18.2617102805579</v>
      </c>
      <c r="AE15" s="11" t="n">
        <f aca="false">AE14-Reserves!AE14+Reserves!AE15</f>
        <v>19.1688877111902</v>
      </c>
      <c r="AF15" s="11" t="n">
        <f aca="false">AF14-Reserves!AF14+Reserves!AF15</f>
        <v>20.5240529525546</v>
      </c>
      <c r="AG15" s="11" t="n">
        <f aca="false">AG14-Reserves!AG14+Reserves!AG15</f>
        <v>19.2463553245907</v>
      </c>
      <c r="AH15" s="11" t="n">
        <f aca="false">AH14-Reserves!AH14+Reserves!AH15</f>
        <v>20.2139547700163</v>
      </c>
      <c r="AI15" s="11" t="n">
        <f aca="false">AI14-Reserves!AI14+Reserves!AI15</f>
        <v>19.4673375233295</v>
      </c>
      <c r="AJ15" s="11" t="n">
        <f aca="false">AJ14-Reserves!AJ14+Reserves!AJ15</f>
        <v>20.3475690817723</v>
      </c>
      <c r="AK15" s="11" t="n">
        <f aca="false">AK14-Reserves!AK14+Reserves!AK15</f>
        <v>19.6553202729675</v>
      </c>
      <c r="AL15" s="11" t="n">
        <f aca="false">AL14-Reserves!AL14+Reserves!AL15</f>
        <v>20.7956751081937</v>
      </c>
      <c r="AM15" s="11" t="n">
        <f aca="false">AM14-Reserves!AM14+Reserves!AM15</f>
        <v>23.486253095803</v>
      </c>
      <c r="AN15" s="11" t="n">
        <f aca="false">AN14-Reserves!AN14+Reserves!AN15</f>
        <v>19.6954511447589</v>
      </c>
      <c r="AO15" s="11" t="n">
        <f aca="false">AO14-Reserves!AO14+Reserves!AO15</f>
        <v>15.9789320106918</v>
      </c>
      <c r="AP15" s="11" t="n">
        <f aca="false">AP14-Reserves!AP14+Reserves!AP15</f>
        <v>16.8592570681221</v>
      </c>
      <c r="AQ15" s="11" t="n">
        <f aca="false">AQ14-Reserves!AQ14+Reserves!AQ15</f>
        <v>15.9649999835275</v>
      </c>
      <c r="AR15" s="11" t="n">
        <f aca="false">AR14-Reserves!AR14+Reserves!AR15</f>
        <v>16.7610835911105</v>
      </c>
      <c r="AS15" s="11" t="n">
        <f aca="false">AS14-Reserves!AS14+Reserves!AS15</f>
        <v>15.9396145966488</v>
      </c>
      <c r="AT15" s="11" t="n">
        <f aca="false">AT14-Reserves!AT14+Reserves!AT15</f>
        <v>12.1545756968028</v>
      </c>
      <c r="AU15" s="11" t="n">
        <f aca="false">AU14-Reserves!AU14+Reserves!AU15</f>
        <v>48.9567701196674</v>
      </c>
      <c r="AV15" s="11" t="n">
        <f aca="false">AV14-Reserves!AV14+Reserves!AV15</f>
        <v>44.5090799550741</v>
      </c>
      <c r="AW15" s="11" t="n">
        <f aca="false">AW14-Reserves!AW14+Reserves!AW15</f>
        <v>43.5004546690699</v>
      </c>
      <c r="AX15" s="11" t="n">
        <f aca="false">AX14-Reserves!AX14+Reserves!AX15</f>
        <v>44.274007726164</v>
      </c>
      <c r="AY15" s="11" t="n">
        <f aca="false">AY14-Reserves!AY14+Reserves!AY15</f>
        <v>43.8701347707556</v>
      </c>
      <c r="AZ15" s="11" t="n">
        <f aca="false">AZ14-Reserves!AZ14+Reserves!AZ15</f>
        <v>44.5455188444797</v>
      </c>
      <c r="BA15" s="11" t="n">
        <f aca="false">BA14-Reserves!BA14+Reserves!BA15</f>
        <v>44.1434525893954</v>
      </c>
      <c r="BB15" s="11" t="n">
        <f aca="false">BB14-Reserves!BB14+Reserves!BB15</f>
        <v>44.4017368443524</v>
      </c>
      <c r="BC15" s="11" t="n">
        <f aca="false">BC14-Reserves!BC14+Reserves!BC15</f>
        <v>44.6551203851123</v>
      </c>
      <c r="BD15" s="11" t="n">
        <f aca="false">BD14-Reserves!BD14+Reserves!BD15</f>
        <v>43.1799209867987</v>
      </c>
      <c r="BE15" s="11" t="n">
        <f aca="false">BE14-Reserves!BE14+Reserves!BE15</f>
        <v>34.7513553834456</v>
      </c>
      <c r="BF15" s="11" t="n">
        <f aca="false">BF14-Reserves!BF14+Reserves!BF15</f>
        <v>35.4468161899769</v>
      </c>
      <c r="BG15" s="11" t="n">
        <f aca="false">BG14-Reserves!BG14+Reserves!BG15</f>
        <v>35.0168014347657</v>
      </c>
      <c r="BH15" s="11" t="n">
        <f aca="false">BH14-Reserves!BH14+Reserves!BH15</f>
        <v>35.7027467049765</v>
      </c>
      <c r="BI15" s="11" t="n">
        <f aca="false">BI14-Reserves!BI14+Reserves!BI15</f>
        <v>35.2678144321089</v>
      </c>
      <c r="BJ15" s="11" t="n">
        <f aca="false">BJ14-Reserves!BJ14+Reserves!BJ15</f>
        <v>35.8351864538939</v>
      </c>
      <c r="BK15" s="11" t="n">
        <f aca="false">BK14-Reserves!BK14+Reserves!BK15</f>
        <v>44.0975550569054</v>
      </c>
      <c r="BL15" s="11" t="n">
        <f aca="false">BL14-Reserves!BL14+Reserves!BL15</f>
        <v>39.1045041507636</v>
      </c>
      <c r="BM15" s="11" t="n">
        <f aca="false">BM14-Reserves!BM14+Reserves!BM15</f>
        <v>38.6987765905792</v>
      </c>
      <c r="BN15" s="11" t="n">
        <f aca="false">BN14-Reserves!BN14+Reserves!BN15</f>
        <v>63.70641590487</v>
      </c>
    </row>
    <row r="16" customFormat="false" ht="15" hidden="false" customHeight="false" outlineLevel="0" collapsed="false">
      <c r="B16" s="2" t="s">
        <v>733</v>
      </c>
    </row>
    <row r="17" customFormat="false" ht="15" hidden="false" customHeight="false" outlineLevel="0" collapsed="false">
      <c r="D17" s="0" t="s">
        <v>734</v>
      </c>
      <c r="E17" s="0" t="s">
        <v>202</v>
      </c>
      <c r="J17" s="6" t="n">
        <f aca="false">IF(Debt!J121&gt;0.000000001,J7/Debt!J121,0)</f>
        <v>0</v>
      </c>
      <c r="K17" s="6" t="n">
        <f aca="false">IF(Debt!K121&gt;0.000000001,K7/Debt!K121,0)</f>
        <v>0</v>
      </c>
      <c r="L17" s="6" t="n">
        <f aca="false">IF(Debt!L121&gt;0.000000001,L7/Debt!L121,0)</f>
        <v>0</v>
      </c>
      <c r="M17" s="6" t="n">
        <f aca="false">IF(Debt!M121&gt;0.000000001,M7/Debt!M121,0)</f>
        <v>0</v>
      </c>
      <c r="N17" s="6" t="n">
        <f aca="false">IF(Debt!N121&gt;0.000000001,N7/Debt!N121,0)</f>
        <v>0</v>
      </c>
      <c r="O17" s="6" t="n">
        <f aca="false">IF(Debt!O121&gt;0.000000001,O7/Debt!O121,0)</f>
        <v>0</v>
      </c>
      <c r="P17" s="6" t="n">
        <f aca="false">IF(Debt!P121&gt;0.000000001,P7/Debt!P121,0)</f>
        <v>0</v>
      </c>
      <c r="Q17" s="6" t="n">
        <f aca="false">IF(Debt!Q121&gt;0.000000001,Q7/Debt!Q121,0)</f>
        <v>1.27683494982799</v>
      </c>
      <c r="R17" s="6" t="n">
        <f aca="false">IF(Debt!R121&gt;0.000000001,R7/Debt!R121,0)</f>
        <v>1.01527850779331</v>
      </c>
      <c r="S17" s="6" t="n">
        <f aca="false">IF(Debt!S121&gt;0.000000001,S7/Debt!S121,0)</f>
        <v>0.936991778028699</v>
      </c>
      <c r="T17" s="6" t="n">
        <f aca="false">IF(Debt!T121&gt;0.000000001,T7/Debt!T121,0)</f>
        <v>1.89176548488258</v>
      </c>
      <c r="U17" s="6" t="n">
        <f aca="false">IF(Debt!U121&gt;0.000000001,U7/Debt!U121,0)</f>
        <v>1.33070519799152</v>
      </c>
      <c r="V17" s="6" t="n">
        <f aca="false">IF(Debt!V121&gt;0.000000001,V7/Debt!V121,0)</f>
        <v>1.30876111448122</v>
      </c>
      <c r="W17" s="6" t="n">
        <f aca="false">IF(Debt!W121&gt;0.000000001,W7/Debt!W121,0)</f>
        <v>1.34062211255424</v>
      </c>
      <c r="X17" s="6" t="n">
        <f aca="false">IF(Debt!X121&gt;0.000000001,X7/Debt!X121,0)</f>
        <v>1.61620217727803</v>
      </c>
      <c r="Y17" s="6" t="n">
        <f aca="false">IF(Debt!Y121&gt;0.000000001,Y7/Debt!Y121,0)</f>
        <v>1.61620217727803</v>
      </c>
      <c r="Z17" s="6" t="n">
        <f aca="false">IF(Debt!Z121&gt;0.000000001,Z7/Debt!Z121,0)</f>
        <v>1.61620217727803</v>
      </c>
      <c r="AA17" s="6" t="n">
        <f aca="false">IF(Debt!AA121&gt;0.000000001,AA7/Debt!AA121,0)</f>
        <v>1.61620217727803</v>
      </c>
      <c r="AB17" s="6" t="n">
        <f aca="false">IF(Debt!AB121&gt;0.000000001,AB7/Debt!AB121,0)</f>
        <v>1.61620217727803</v>
      </c>
      <c r="AC17" s="6" t="n">
        <f aca="false">IF(Debt!AC121&gt;0.000000001,AC7/Debt!AC121,0)</f>
        <v>1.61620217727803</v>
      </c>
      <c r="AD17" s="6" t="n">
        <f aca="false">IF(Debt!AD121&gt;0.000000001,AD7/Debt!AD121,0)</f>
        <v>1.61620217727803</v>
      </c>
      <c r="AE17" s="6" t="n">
        <f aca="false">IF(Debt!AE121&gt;0.000000001,AE7/Debt!AE121,0)</f>
        <v>1.61620217727803</v>
      </c>
      <c r="AF17" s="6" t="n">
        <f aca="false">IF(Debt!AF121&gt;0.000000001,AF7/Debt!AF121,0)</f>
        <v>1.61620217727803</v>
      </c>
      <c r="AG17" s="6" t="n">
        <f aca="false">IF(Debt!AG121&gt;0.000000001,AG7/Debt!AG121,0)</f>
        <v>1.61620217727803</v>
      </c>
      <c r="AH17" s="6" t="n">
        <f aca="false">IF(Debt!AH121&gt;0.000000001,AH7/Debt!AH121,0)</f>
        <v>1.61620217727803</v>
      </c>
      <c r="AI17" s="6" t="n">
        <f aca="false">IF(Debt!AI121&gt;0.000000001,AI7/Debt!AI121,0)</f>
        <v>1.61620217727803</v>
      </c>
      <c r="AJ17" s="6" t="n">
        <f aca="false">IF(Debt!AJ121&gt;0.000000001,AJ7/Debt!AJ121,0)</f>
        <v>1.61620217727803</v>
      </c>
      <c r="AK17" s="6" t="n">
        <f aca="false">IF(Debt!AK121&gt;0.000000001,AK7/Debt!AK121,0)</f>
        <v>1.61620217727803</v>
      </c>
      <c r="AL17" s="6" t="n">
        <f aca="false">IF(Debt!AL121&gt;0.000000001,AL7/Debt!AL121,0)</f>
        <v>1.61620217727803</v>
      </c>
      <c r="AM17" s="6" t="n">
        <f aca="false">IF(Debt!AM121&gt;0.000000001,AM7/Debt!AM121,0)</f>
        <v>1.61620217752837</v>
      </c>
      <c r="AN17" s="6" t="n">
        <f aca="false">IF(Debt!AN121&gt;0.000000001,AN7/Debt!AN121,0)</f>
        <v>1.61620217983336</v>
      </c>
      <c r="AO17" s="6" t="n">
        <f aca="false">IF(Debt!AO121&gt;0.000000001,AO7/Debt!AO121,0)</f>
        <v>1.61620217759257</v>
      </c>
      <c r="AP17" s="6" t="n">
        <f aca="false">IF(Debt!AP121&gt;0.000000001,AP7/Debt!AP121,0)</f>
        <v>1.61620217627308</v>
      </c>
      <c r="AQ17" s="6" t="n">
        <f aca="false">IF(Debt!AQ121&gt;0.000000001,AQ7/Debt!AQ121,0)</f>
        <v>1.61620217577378</v>
      </c>
      <c r="AR17" s="6" t="n">
        <f aca="false">IF(Debt!AR121&gt;0.000000001,AR7/Debt!AR121,0)</f>
        <v>1.61620217585097</v>
      </c>
      <c r="AS17" s="6" t="n">
        <f aca="false">IF(Debt!AS121&gt;0.000000001,AS7/Debt!AS121,0)</f>
        <v>1.61620217617846</v>
      </c>
      <c r="AT17" s="6" t="n">
        <f aca="false">IF(Debt!AT121&gt;0.000000001,AT7/Debt!AT121,0)</f>
        <v>1.61620217661353</v>
      </c>
      <c r="AU17" s="6" t="n">
        <f aca="false">IF(Debt!AU121&gt;0.000000001,AU7/Debt!AU121,0)</f>
        <v>1.61620217703331</v>
      </c>
      <c r="AV17" s="6" t="n">
        <f aca="false">IF(Debt!AV121&gt;0.000000001,AV7/Debt!AV121,0)</f>
        <v>0</v>
      </c>
      <c r="AW17" s="6" t="n">
        <f aca="false">IF(Debt!AW121&gt;0.000000001,AW7/Debt!AW121,0)</f>
        <v>0</v>
      </c>
      <c r="AX17" s="6" t="n">
        <f aca="false">IF(Debt!AX121&gt;0.000000001,AX7/Debt!AX121,0)</f>
        <v>0</v>
      </c>
      <c r="AY17" s="6" t="n">
        <f aca="false">IF(Debt!AY121&gt;0.000000001,AY7/Debt!AY121,0)</f>
        <v>0</v>
      </c>
      <c r="AZ17" s="6" t="n">
        <f aca="false">IF(Debt!AZ121&gt;0.000000001,AZ7/Debt!AZ121,0)</f>
        <v>0</v>
      </c>
      <c r="BA17" s="6" t="n">
        <f aca="false">IF(Debt!BA121&gt;0.000000001,BA7/Debt!BA121,0)</f>
        <v>0</v>
      </c>
      <c r="BB17" s="6" t="n">
        <f aca="false">IF(Debt!BB121&gt;0.000000001,BB7/Debt!BB121,0)</f>
        <v>0</v>
      </c>
      <c r="BC17" s="6" t="n">
        <f aca="false">IF(Debt!BC121&gt;0.000000001,BC7/Debt!BC121,0)</f>
        <v>0</v>
      </c>
      <c r="BD17" s="6" t="n">
        <f aca="false">IF(Debt!BD121&gt;0.000000001,BD7/Debt!BD121,0)</f>
        <v>0</v>
      </c>
      <c r="BE17" s="6" t="n">
        <f aca="false">IF(Debt!BE121&gt;0.000000001,BE7/Debt!BE121,0)</f>
        <v>0</v>
      </c>
      <c r="BF17" s="6" t="n">
        <f aca="false">IF(Debt!BF121&gt;0.000000001,BF7/Debt!BF121,0)</f>
        <v>0</v>
      </c>
      <c r="BG17" s="6" t="n">
        <f aca="false">IF(Debt!BG121&gt;0.000000001,BG7/Debt!BG121,0)</f>
        <v>0</v>
      </c>
      <c r="BH17" s="6" t="n">
        <f aca="false">IF(Debt!BH121&gt;0.000000001,BH7/Debt!BH121,0)</f>
        <v>0</v>
      </c>
      <c r="BI17" s="6" t="n">
        <f aca="false">IF(Debt!BI121&gt;0.000000001,BI7/Debt!BI121,0)</f>
        <v>0</v>
      </c>
      <c r="BJ17" s="6" t="n">
        <f aca="false">IF(Debt!BJ121&gt;0.000000001,BJ7/Debt!BJ121,0)</f>
        <v>0</v>
      </c>
      <c r="BK17" s="6" t="n">
        <f aca="false">IF(Debt!BK121&gt;0.000000001,BK7/Debt!BK121,0)</f>
        <v>0</v>
      </c>
      <c r="BL17" s="6" t="n">
        <f aca="false">IF(Debt!BL121&gt;0.000000001,BL7/Debt!BL121,0)</f>
        <v>0</v>
      </c>
      <c r="BM17" s="6" t="n">
        <f aca="false">IF(Debt!BM121&gt;0.000000001,BM7/Debt!BM121,0)</f>
        <v>0</v>
      </c>
      <c r="BN17" s="6" t="n">
        <f aca="false">IF(Debt!BN121&gt;0.000000001,BN7/Debt!BN121,0)</f>
        <v>0</v>
      </c>
    </row>
    <row r="18" customFormat="false" ht="15" hidden="false" customHeight="false" outlineLevel="0" collapsed="false">
      <c r="D18" s="0" t="s">
        <v>735</v>
      </c>
      <c r="E18" s="0" t="s">
        <v>202</v>
      </c>
      <c r="J18" s="6" t="n">
        <f aca="false">IF(Debt!J121&gt;0.000000001,IF(0&gt;0.000000001,(J7+0)/(Debt!J121+0),J17),0)</f>
        <v>0</v>
      </c>
      <c r="K18" s="6" t="n">
        <f aca="false">IF(Debt!K121&gt;0.000000001,IF(Debt!J121&gt;0.000000001,(K7+J7)/(Debt!K121+Debt!J121),K17),0)</f>
        <v>0</v>
      </c>
      <c r="L18" s="6" t="n">
        <f aca="false">IF(Debt!L121&gt;0.000000001,IF(Debt!K121&gt;0.000000001,(L7+K7)/(Debt!L121+Debt!K121),L17),0)</f>
        <v>0</v>
      </c>
      <c r="M18" s="6" t="n">
        <f aca="false">IF(Debt!M121&gt;0.000000001,IF(Debt!L121&gt;0.000000001,(M7+L7)/(Debt!M121+Debt!L121),M17),0)</f>
        <v>0</v>
      </c>
      <c r="N18" s="6" t="n">
        <f aca="false">IF(Debt!N121&gt;0.000000001,IF(Debt!M121&gt;0.000000001,(N7+M7)/(Debt!N121+Debt!M121),N17),0)</f>
        <v>0</v>
      </c>
      <c r="O18" s="6" t="n">
        <f aca="false">IF(Debt!O121&gt;0.000000001,IF(Debt!N121&gt;0.000000001,(O7+N7)/(Debt!O121+Debt!N121),O17),0)</f>
        <v>0</v>
      </c>
      <c r="P18" s="6" t="n">
        <f aca="false">IF(Debt!P121&gt;0.000000001,IF(Debt!O121&gt;0.000000001,(P7+O7)/(Debt!P121+Debt!O121),P17),0)</f>
        <v>0</v>
      </c>
      <c r="Q18" s="6" t="n">
        <f aca="false">IF(Debt!Q121&gt;0.000000001,IF(Debt!P121&gt;0.000000001,(Q7+P7)/(Debt!Q121+Debt!P121),Q17),0)</f>
        <v>1.27683494982799</v>
      </c>
      <c r="R18" s="6" t="n">
        <f aca="false">IF(Debt!R121&gt;0.000000001,IF(Debt!Q121&gt;0.000000001,(R7+Q7)/(Debt!R121+Debt!Q121),R17),0)</f>
        <v>1.14293601167802</v>
      </c>
      <c r="S18" s="6" t="n">
        <f aca="false">IF(Debt!S121&gt;0.000000001,IF(Debt!R121&gt;0.000000001,(S7+R7)/(Debt!S121+Debt!R121),S17),0)</f>
        <v>0.97541838580345</v>
      </c>
      <c r="T18" s="6" t="n">
        <f aca="false">IF(Debt!T121&gt;0.000000001,IF(Debt!S121&gt;0.000000001,(T7+S7)/(Debt!T121+Debt!S121),T17),0)</f>
        <v>1.3547805663035</v>
      </c>
      <c r="U18" s="6" t="n">
        <f aca="false">IF(Debt!U121&gt;0.000000001,IF(Debt!T121&gt;0.000000001,(U7+T7)/(Debt!U121+Debt!T121),U17),0)</f>
        <v>1.55953574793244</v>
      </c>
      <c r="V18" s="6" t="n">
        <f aca="false">IF(Debt!V121&gt;0.000000001,IF(Debt!U121&gt;0.000000001,(V7+U7)/(Debt!V121+Debt!U121),V17),0)</f>
        <v>1.31971020386798</v>
      </c>
      <c r="W18" s="6" t="n">
        <f aca="false">IF(Debt!W121&gt;0.000000001,IF(Debt!V121&gt;0.000000001,(W7+V7)/(Debt!W121+Debt!V121),W17),0)</f>
        <v>1.32431266781918</v>
      </c>
      <c r="X18" s="6" t="n">
        <f aca="false">IF(Debt!X121&gt;0.000000001,IF(Debt!W121&gt;0.000000001,(X7+W7)/(Debt!X121+Debt!W121),X17),0)</f>
        <v>1.46089520998267</v>
      </c>
      <c r="Y18" s="6" t="n">
        <f aca="false">IF(Debt!Y121&gt;0.000000001,IF(Debt!X121&gt;0.000000001,(Y7+X7)/(Debt!Y121+Debt!X121),Y17),0)</f>
        <v>1.61620217727803</v>
      </c>
      <c r="Z18" s="6" t="n">
        <f aca="false">IF(Debt!Z121&gt;0.000000001,IF(Debt!Y121&gt;0.000000001,(Z7+Y7)/(Debt!Z121+Debt!Y121),Z17),0)</f>
        <v>1.61620217727803</v>
      </c>
      <c r="AA18" s="6" t="n">
        <f aca="false">IF(Debt!AA121&gt;0.000000001,IF(Debt!Z121&gt;0.000000001,(AA7+Z7)/(Debt!AA121+Debt!Z121),AA17),0)</f>
        <v>1.61620217727803</v>
      </c>
      <c r="AB18" s="6" t="n">
        <f aca="false">IF(Debt!AB121&gt;0.000000001,IF(Debt!AA121&gt;0.000000001,(AB7+AA7)/(Debt!AB121+Debt!AA121),AB17),0)</f>
        <v>1.61620217727803</v>
      </c>
      <c r="AC18" s="6" t="n">
        <f aca="false">IF(Debt!AC121&gt;0.000000001,IF(Debt!AB121&gt;0.000000001,(AC7+AB7)/(Debt!AC121+Debt!AB121),AC17),0)</f>
        <v>1.61620217727803</v>
      </c>
      <c r="AD18" s="6" t="n">
        <f aca="false">IF(Debt!AD121&gt;0.000000001,IF(Debt!AC121&gt;0.000000001,(AD7+AC7)/(Debt!AD121+Debt!AC121),AD17),0)</f>
        <v>1.61620217727803</v>
      </c>
      <c r="AE18" s="6" t="n">
        <f aca="false">IF(Debt!AE121&gt;0.000000001,IF(Debt!AD121&gt;0.000000001,(AE7+AD7)/(Debt!AE121+Debt!AD121),AE17),0)</f>
        <v>1.61620217727803</v>
      </c>
      <c r="AF18" s="6" t="n">
        <f aca="false">IF(Debt!AF121&gt;0.000000001,IF(Debt!AE121&gt;0.000000001,(AF7+AE7)/(Debt!AF121+Debt!AE121),AF17),0)</f>
        <v>1.61620217727803</v>
      </c>
      <c r="AG18" s="6" t="n">
        <f aca="false">IF(Debt!AG121&gt;0.000000001,IF(Debt!AF121&gt;0.000000001,(AG7+AF7)/(Debt!AG121+Debt!AF121),AG17),0)</f>
        <v>1.61620217727803</v>
      </c>
      <c r="AH18" s="6" t="n">
        <f aca="false">IF(Debt!AH121&gt;0.000000001,IF(Debt!AG121&gt;0.000000001,(AH7+AG7)/(Debt!AH121+Debt!AG121),AH17),0)</f>
        <v>1.61620217727803</v>
      </c>
      <c r="AI18" s="6" t="n">
        <f aca="false">IF(Debt!AI121&gt;0.000000001,IF(Debt!AH121&gt;0.000000001,(AI7+AH7)/(Debt!AI121+Debt!AH121),AI17),0)</f>
        <v>1.61620217727803</v>
      </c>
      <c r="AJ18" s="6" t="n">
        <f aca="false">IF(Debt!AJ121&gt;0.000000001,IF(Debt!AI121&gt;0.000000001,(AJ7+AI7)/(Debt!AJ121+Debt!AI121),AJ17),0)</f>
        <v>1.61620217727803</v>
      </c>
      <c r="AK18" s="6" t="n">
        <f aca="false">IF(Debt!AK121&gt;0.000000001,IF(Debt!AJ121&gt;0.000000001,(AK7+AJ7)/(Debt!AK121+Debt!AJ121),AK17),0)</f>
        <v>1.61620217727803</v>
      </c>
      <c r="AL18" s="6" t="n">
        <f aca="false">IF(Debt!AL121&gt;0.000000001,IF(Debt!AK121&gt;0.000000001,(AL7+AK7)/(Debt!AL121+Debt!AK121),AL17),0)</f>
        <v>1.61620217727803</v>
      </c>
      <c r="AM18" s="6" t="n">
        <f aca="false">IF(Debt!AM121&gt;0.000000001,IF(Debt!AL121&gt;0.000000001,(AM7+AL7)/(Debt!AM121+Debt!AL121),AM17),0)</f>
        <v>1.61620217740205</v>
      </c>
      <c r="AN18" s="6" t="n">
        <f aca="false">IF(Debt!AN121&gt;0.000000001,IF(Debt!AM121&gt;0.000000001,(AN7+AM7)/(Debt!AN121+Debt!AM121),AN17),0)</f>
        <v>1.61620217861145</v>
      </c>
      <c r="AO18" s="6" t="n">
        <f aca="false">IF(Debt!AO121&gt;0.000000001,IF(Debt!AN121&gt;0.000000001,(AO7+AN7)/(Debt!AO121+Debt!AN121),AO17),0)</f>
        <v>1.61620217875617</v>
      </c>
      <c r="AP18" s="6" t="n">
        <f aca="false">IF(Debt!AP121&gt;0.000000001,IF(Debt!AO121&gt;0.000000001,(AP7+AO7)/(Debt!AP121+Debt!AO121),AP17),0)</f>
        <v>1.61620217692919</v>
      </c>
      <c r="AQ18" s="6" t="n">
        <f aca="false">IF(Debt!AQ121&gt;0.000000001,IF(Debt!AP121&gt;0.000000001,(AQ7+AP7)/(Debt!AQ121+Debt!AP121),AQ17),0)</f>
        <v>1.61620217602535</v>
      </c>
      <c r="AR18" s="6" t="n">
        <f aca="false">IF(Debt!AR121&gt;0.000000001,IF(Debt!AQ121&gt;0.000000001,(AR7+AQ7)/(Debt!AR121+Debt!AQ121),AR17),0)</f>
        <v>1.61620217581255</v>
      </c>
      <c r="AS18" s="6" t="n">
        <f aca="false">IF(Debt!AS121&gt;0.000000001,IF(Debt!AR121&gt;0.000000001,(AS7+AR7)/(Debt!AS121+Debt!AR121),AS17),0)</f>
        <v>1.61620217601343</v>
      </c>
      <c r="AT18" s="6" t="n">
        <f aca="false">IF(Debt!AT121&gt;0.000000001,IF(Debt!AS121&gt;0.000000001,(AT7+AS7)/(Debt!AT121+Debt!AS121),AT17),0)</f>
        <v>1.61620217639662</v>
      </c>
      <c r="AU18" s="6" t="n">
        <f aca="false">IF(Debt!AU121&gt;0.000000001,IF(Debt!AT121&gt;0.000000001,(AU7+AT7)/(Debt!AU121+Debt!AT121),AU17),0)</f>
        <v>1.61620217683837</v>
      </c>
      <c r="AV18" s="6" t="n">
        <f aca="false">IF(Debt!AV121&gt;0.000000001,IF(Debt!AU121&gt;0.000000001,(AV7+AU7)/(Debt!AV121+Debt!AU121),AV17),0)</f>
        <v>0</v>
      </c>
      <c r="AW18" s="6" t="n">
        <f aca="false">IF(Debt!AW121&gt;0.000000001,IF(Debt!AV121&gt;0.000000001,(AW7+AV7)/(Debt!AW121+Debt!AV121),AW17),0)</f>
        <v>0</v>
      </c>
      <c r="AX18" s="6" t="n">
        <f aca="false">IF(Debt!AX121&gt;0.000000001,IF(Debt!AW121&gt;0.000000001,(AX7+AW7)/(Debt!AX121+Debt!AW121),AX17),0)</f>
        <v>0</v>
      </c>
      <c r="AY18" s="6" t="n">
        <f aca="false">IF(Debt!AY121&gt;0.000000001,IF(Debt!AX121&gt;0.000000001,(AY7+AX7)/(Debt!AY121+Debt!AX121),AY17),0)</f>
        <v>0</v>
      </c>
      <c r="AZ18" s="6" t="n">
        <f aca="false">IF(Debt!AZ121&gt;0.000000001,IF(Debt!AY121&gt;0.000000001,(AZ7+AY7)/(Debt!AZ121+Debt!AY121),AZ17),0)</f>
        <v>0</v>
      </c>
      <c r="BA18" s="6" t="n">
        <f aca="false">IF(Debt!BA121&gt;0.000000001,IF(Debt!AZ121&gt;0.000000001,(BA7+AZ7)/(Debt!BA121+Debt!AZ121),BA17),0)</f>
        <v>0</v>
      </c>
      <c r="BB18" s="6" t="n">
        <f aca="false">IF(Debt!BB121&gt;0.000000001,IF(Debt!BA121&gt;0.000000001,(BB7+BA7)/(Debt!BB121+Debt!BA121),BB17),0)</f>
        <v>0</v>
      </c>
      <c r="BC18" s="6" t="n">
        <f aca="false">IF(Debt!BC121&gt;0.000000001,IF(Debt!BB121&gt;0.000000001,(BC7+BB7)/(Debt!BC121+Debt!BB121),BC17),0)</f>
        <v>0</v>
      </c>
      <c r="BD18" s="6" t="n">
        <f aca="false">IF(Debt!BD121&gt;0.000000001,IF(Debt!BC121&gt;0.000000001,(BD7+BC7)/(Debt!BD121+Debt!BC121),BD17),0)</f>
        <v>0</v>
      </c>
      <c r="BE18" s="6" t="n">
        <f aca="false">IF(Debt!BE121&gt;0.000000001,IF(Debt!BD121&gt;0.000000001,(BE7+BD7)/(Debt!BE121+Debt!BD121),BE17),0)</f>
        <v>0</v>
      </c>
      <c r="BF18" s="6" t="n">
        <f aca="false">IF(Debt!BF121&gt;0.000000001,IF(Debt!BE121&gt;0.000000001,(BF7+BE7)/(Debt!BF121+Debt!BE121),BF17),0)</f>
        <v>0</v>
      </c>
      <c r="BG18" s="6" t="n">
        <f aca="false">IF(Debt!BG121&gt;0.000000001,IF(Debt!BF121&gt;0.000000001,(BG7+BF7)/(Debt!BG121+Debt!BF121),BG17),0)</f>
        <v>0</v>
      </c>
      <c r="BH18" s="6" t="n">
        <f aca="false">IF(Debt!BH121&gt;0.000000001,IF(Debt!BG121&gt;0.000000001,(BH7+BG7)/(Debt!BH121+Debt!BG121),BH17),0)</f>
        <v>0</v>
      </c>
      <c r="BI18" s="6" t="n">
        <f aca="false">IF(Debt!BI121&gt;0.000000001,IF(Debt!BH121&gt;0.000000001,(BI7+BH7)/(Debt!BI121+Debt!BH121),BI17),0)</f>
        <v>0</v>
      </c>
      <c r="BJ18" s="6" t="n">
        <f aca="false">IF(Debt!BJ121&gt;0.000000001,IF(Debt!BI121&gt;0.000000001,(BJ7+BI7)/(Debt!BJ121+Debt!BI121),BJ17),0)</f>
        <v>0</v>
      </c>
      <c r="BK18" s="6" t="n">
        <f aca="false">IF(Debt!BK121&gt;0.000000001,IF(Debt!BJ121&gt;0.000000001,(BK7+BJ7)/(Debt!BK121+Debt!BJ121),BK17),0)</f>
        <v>0</v>
      </c>
      <c r="BL18" s="6" t="n">
        <f aca="false">IF(Debt!BL121&gt;0.000000001,IF(Debt!BK121&gt;0.000000001,(BL7+BK7)/(Debt!BL121+Debt!BK121),BL17),0)</f>
        <v>0</v>
      </c>
      <c r="BM18" s="6" t="n">
        <f aca="false">IF(Debt!BM121&gt;0.000000001,IF(Debt!BL121&gt;0.000000001,(BM7+BL7)/(Debt!BM121+Debt!BL121),BM17),0)</f>
        <v>0</v>
      </c>
      <c r="BN18" s="6" t="n">
        <f aca="false">IF(Debt!BN121&gt;0.000000001,IF(Debt!BM121&gt;0.000000001,(BN7+BM7)/(Debt!BN121+Debt!BM121),BN17),0)</f>
        <v>0</v>
      </c>
    </row>
    <row r="19" customFormat="false" ht="15" hidden="false" customHeight="false" outlineLevel="0" collapsed="false">
      <c r="D19" s="0" t="s">
        <v>736</v>
      </c>
      <c r="E19" s="0" t="s">
        <v>113</v>
      </c>
      <c r="J19" s="9" t="n">
        <f aca="false">IF(SUM(Debt!J$120:J$120)&gt;0.000000001,1,0)</f>
        <v>0</v>
      </c>
      <c r="K19" s="9" t="n">
        <f aca="false">IF(SUM(Debt!$J$120:K$120)&gt;0.000000001,1,0)</f>
        <v>0</v>
      </c>
      <c r="L19" s="9" t="n">
        <f aca="false">IF(SUM(Debt!$J$120:L$120)&gt;0.000000001,1,0)</f>
        <v>0</v>
      </c>
      <c r="M19" s="9" t="n">
        <f aca="false">IF(SUM(Debt!$J$120:M$120)&gt;0.000000001,1,0)</f>
        <v>0</v>
      </c>
      <c r="N19" s="9" t="n">
        <f aca="false">IF(SUM(Debt!$J$120:N$120)&gt;0.000000001,1,0)</f>
        <v>0</v>
      </c>
      <c r="O19" s="9" t="n">
        <f aca="false">IF(SUM(Debt!$J$120:O$120)&gt;0.000000001,1,0)</f>
        <v>0</v>
      </c>
      <c r="P19" s="9" t="n">
        <f aca="false">IF(SUM(Debt!$J$120:P$120)&gt;0.000000001,1,0)</f>
        <v>0</v>
      </c>
      <c r="Q19" s="9" t="n">
        <f aca="false">IF(SUM(Debt!$J$120:Q$120)&gt;0.000000001,1,0)</f>
        <v>1</v>
      </c>
      <c r="R19" s="9" t="n">
        <f aca="false">IF(SUM(Debt!$J$120:R$120)&gt;0.000000001,1,0)</f>
        <v>1</v>
      </c>
      <c r="S19" s="9" t="n">
        <f aca="false">IF(SUM(Debt!$J$120:S$120)&gt;0.000000001,1,0)</f>
        <v>1</v>
      </c>
      <c r="T19" s="9" t="n">
        <f aca="false">IF(SUM(Debt!$J$120:T$120)&gt;0.000000001,1,0)</f>
        <v>1</v>
      </c>
      <c r="U19" s="9" t="n">
        <f aca="false">IF(SUM(Debt!$J$120:U$120)&gt;0.000000001,1,0)</f>
        <v>1</v>
      </c>
      <c r="V19" s="9" t="n">
        <f aca="false">IF(SUM(Debt!$J$120:V$120)&gt;0.000000001,1,0)</f>
        <v>1</v>
      </c>
      <c r="W19" s="9" t="n">
        <f aca="false">IF(SUM(Debt!$J$120:W$120)&gt;0.000000001,1,0)</f>
        <v>1</v>
      </c>
      <c r="X19" s="9" t="n">
        <f aca="false">IF(SUM(Debt!$J$120:X$120)&gt;0.000000001,1,0)</f>
        <v>1</v>
      </c>
      <c r="Y19" s="9" t="n">
        <f aca="false">IF(SUM(Debt!$J$120:Y$120)&gt;0.000000001,1,0)</f>
        <v>1</v>
      </c>
      <c r="Z19" s="9" t="n">
        <f aca="false">IF(SUM(Debt!$J$120:Z$120)&gt;0.000000001,1,0)</f>
        <v>1</v>
      </c>
      <c r="AA19" s="9" t="n">
        <f aca="false">IF(SUM(Debt!$J$120:AA$120)&gt;0.000000001,1,0)</f>
        <v>1</v>
      </c>
      <c r="AB19" s="9" t="n">
        <f aca="false">IF(SUM(Debt!$J$120:AB$120)&gt;0.000000001,1,0)</f>
        <v>1</v>
      </c>
      <c r="AC19" s="9" t="n">
        <f aca="false">IF(SUM(Debt!$J$120:AC$120)&gt;0.000000001,1,0)</f>
        <v>1</v>
      </c>
      <c r="AD19" s="9" t="n">
        <f aca="false">IF(SUM(Debt!$J$120:AD$120)&gt;0.000000001,1,0)</f>
        <v>1</v>
      </c>
      <c r="AE19" s="9" t="n">
        <f aca="false">IF(SUM(Debt!$J$120:AE$120)&gt;0.000000001,1,0)</f>
        <v>1</v>
      </c>
      <c r="AF19" s="9" t="n">
        <f aca="false">IF(SUM(Debt!$J$120:AF$120)&gt;0.000000001,1,0)</f>
        <v>1</v>
      </c>
      <c r="AG19" s="9" t="n">
        <f aca="false">IF(SUM(Debt!$J$120:AG$120)&gt;0.000000001,1,0)</f>
        <v>1</v>
      </c>
      <c r="AH19" s="9" t="n">
        <f aca="false">IF(SUM(Debt!$J$120:AH$120)&gt;0.000000001,1,0)</f>
        <v>1</v>
      </c>
      <c r="AI19" s="9" t="n">
        <f aca="false">IF(SUM(Debt!$J$120:AI$120)&gt;0.000000001,1,0)</f>
        <v>1</v>
      </c>
      <c r="AJ19" s="9" t="n">
        <f aca="false">IF(SUM(Debt!$J$120:AJ$120)&gt;0.000000001,1,0)</f>
        <v>1</v>
      </c>
      <c r="AK19" s="9" t="n">
        <f aca="false">IF(SUM(Debt!$J$120:AK$120)&gt;0.000000001,1,0)</f>
        <v>1</v>
      </c>
      <c r="AL19" s="9" t="n">
        <f aca="false">IF(SUM(Debt!$J$120:AL$120)&gt;0.000000001,1,0)</f>
        <v>1</v>
      </c>
      <c r="AM19" s="9" t="n">
        <f aca="false">IF(SUM(Debt!$J$120:AM$120)&gt;0.000000001,1,0)</f>
        <v>1</v>
      </c>
      <c r="AN19" s="9" t="n">
        <f aca="false">IF(SUM(Debt!$J$120:AN$120)&gt;0.000000001,1,0)</f>
        <v>1</v>
      </c>
      <c r="AO19" s="9" t="n">
        <f aca="false">IF(SUM(Debt!$J$120:AO$120)&gt;0.000000001,1,0)</f>
        <v>1</v>
      </c>
      <c r="AP19" s="9" t="n">
        <f aca="false">IF(SUM(Debt!$J$120:AP$120)&gt;0.000000001,1,0)</f>
        <v>1</v>
      </c>
      <c r="AQ19" s="9" t="n">
        <f aca="false">IF(SUM(Debt!$J$120:AQ$120)&gt;0.000000001,1,0)</f>
        <v>1</v>
      </c>
      <c r="AR19" s="9" t="n">
        <f aca="false">IF(SUM(Debt!$J$120:AR$120)&gt;0.000000001,1,0)</f>
        <v>1</v>
      </c>
      <c r="AS19" s="9" t="n">
        <f aca="false">IF(SUM(Debt!$J$120:AS$120)&gt;0.000000001,1,0)</f>
        <v>1</v>
      </c>
      <c r="AT19" s="9" t="n">
        <f aca="false">IF(SUM(Debt!$J$120:AT$120)&gt;0.000000001,1,0)</f>
        <v>1</v>
      </c>
      <c r="AU19" s="9" t="n">
        <f aca="false">IF(SUM(Debt!$J$120:AU$120)&gt;0.000000001,1,0)</f>
        <v>1</v>
      </c>
      <c r="AV19" s="9" t="n">
        <f aca="false">IF(SUM(Debt!$J$120:AV$120)&gt;0.000000001,1,0)</f>
        <v>1</v>
      </c>
      <c r="AW19" s="9" t="n">
        <f aca="false">IF(SUM(Debt!$J$120:AW$120)&gt;0.000000001,1,0)</f>
        <v>1</v>
      </c>
      <c r="AX19" s="9" t="n">
        <f aca="false">IF(SUM(Debt!$J$120:AX$120)&gt;0.000000001,1,0)</f>
        <v>1</v>
      </c>
      <c r="AY19" s="9" t="n">
        <f aca="false">IF(SUM(Debt!$J$120:AY$120)&gt;0.000000001,1,0)</f>
        <v>1</v>
      </c>
      <c r="AZ19" s="9" t="n">
        <f aca="false">IF(SUM(Debt!$J$120:AZ$120)&gt;0.000000001,1,0)</f>
        <v>1</v>
      </c>
      <c r="BA19" s="9" t="n">
        <f aca="false">IF(SUM(Debt!$J$120:BA$120)&gt;0.000000001,1,0)</f>
        <v>1</v>
      </c>
      <c r="BB19" s="9" t="n">
        <f aca="false">IF(SUM(Debt!$J$120:BB$120)&gt;0.000000001,1,0)</f>
        <v>1</v>
      </c>
      <c r="BC19" s="9" t="n">
        <f aca="false">IF(SUM(Debt!$J$120:BC$120)&gt;0.000000001,1,0)</f>
        <v>1</v>
      </c>
      <c r="BD19" s="9" t="n">
        <f aca="false">IF(SUM(Debt!$J$120:BD$120)&gt;0.000000001,1,0)</f>
        <v>1</v>
      </c>
      <c r="BE19" s="9" t="n">
        <f aca="false">IF(SUM(Debt!$J$120:BE$120)&gt;0.000000001,1,0)</f>
        <v>1</v>
      </c>
      <c r="BF19" s="9" t="n">
        <f aca="false">IF(SUM(Debt!$J$120:BF$120)&gt;0.000000001,1,0)</f>
        <v>1</v>
      </c>
      <c r="BG19" s="9" t="n">
        <f aca="false">IF(SUM(Debt!$J$120:BG$120)&gt;0.000000001,1,0)</f>
        <v>1</v>
      </c>
      <c r="BH19" s="9" t="n">
        <f aca="false">IF(SUM(Debt!$J$120:BH$120)&gt;0.000000001,1,0)</f>
        <v>1</v>
      </c>
      <c r="BI19" s="9" t="n">
        <f aca="false">IF(SUM(Debt!$J$120:BI$120)&gt;0.000000001,1,0)</f>
        <v>1</v>
      </c>
      <c r="BJ19" s="9" t="n">
        <f aca="false">IF(SUM(Debt!$J$120:BJ$120)&gt;0.000000001,1,0)</f>
        <v>1</v>
      </c>
      <c r="BK19" s="9" t="n">
        <f aca="false">IF(SUM(Debt!$J$120:BK$120)&gt;0.000000001,1,0)</f>
        <v>1</v>
      </c>
      <c r="BL19" s="9" t="n">
        <f aca="false">IF(SUM(Debt!$J$120:BL$120)&gt;0.000000001,1,0)</f>
        <v>1</v>
      </c>
      <c r="BM19" s="9" t="n">
        <f aca="false">IF(SUM(Debt!$J$120:BM$120)&gt;0.000000001,1,0)</f>
        <v>1</v>
      </c>
      <c r="BN19" s="9" t="n">
        <f aca="false">IF(SUM(Debt!$J$120:BN$120)&gt;0.000000001,1,0)</f>
        <v>1</v>
      </c>
    </row>
    <row r="20" customFormat="false" ht="15" hidden="false" customHeight="false" outlineLevel="0" collapsed="false">
      <c r="D20" s="0" t="s">
        <v>737</v>
      </c>
      <c r="E20" s="0" t="s">
        <v>113</v>
      </c>
      <c r="J20" s="9" t="n">
        <f aca="false">IF(AND(Debt!J121&gt;0.000000001,J18&lt;Inputs!$F$109),1,0)</f>
        <v>0</v>
      </c>
      <c r="K20" s="9" t="n">
        <f aca="false">IF(AND(Debt!K121&gt;0.000000001,K18&lt;Inputs!$F$109),1,0)</f>
        <v>0</v>
      </c>
      <c r="L20" s="9" t="n">
        <f aca="false">IF(AND(Debt!L121&gt;0.000000001,L18&lt;Inputs!$F$109),1,0)</f>
        <v>0</v>
      </c>
      <c r="M20" s="9" t="n">
        <f aca="false">IF(AND(Debt!M121&gt;0.000000001,M18&lt;Inputs!$F$109),1,0)</f>
        <v>0</v>
      </c>
      <c r="N20" s="9" t="n">
        <f aca="false">IF(AND(Debt!N121&gt;0.000000001,N18&lt;Inputs!$F$109),1,0)</f>
        <v>0</v>
      </c>
      <c r="O20" s="9" t="n">
        <f aca="false">IF(AND(Debt!O121&gt;0.000000001,O18&lt;Inputs!$F$109),1,0)</f>
        <v>0</v>
      </c>
      <c r="P20" s="9" t="n">
        <f aca="false">IF(AND(Debt!P121&gt;0.000000001,P18&lt;Inputs!$F$109),1,0)</f>
        <v>0</v>
      </c>
      <c r="Q20" s="9" t="n">
        <f aca="false">IF(AND(Debt!Q121&gt;0.000000001,Q18&lt;Inputs!$F$109),1,0)</f>
        <v>0</v>
      </c>
      <c r="R20" s="9" t="n">
        <f aca="false">IF(AND(Debt!R121&gt;0.000000001,R18&lt;Inputs!$F$109),1,0)</f>
        <v>0</v>
      </c>
      <c r="S20" s="9" t="n">
        <f aca="false">IF(AND(Debt!S121&gt;0.000000001,S18&lt;Inputs!$F$109),1,0)</f>
        <v>1</v>
      </c>
      <c r="T20" s="9" t="n">
        <f aca="false">IF(AND(Debt!T121&gt;0.000000001,T18&lt;Inputs!$F$109),1,0)</f>
        <v>0</v>
      </c>
      <c r="U20" s="9" t="n">
        <f aca="false">IF(AND(Debt!U121&gt;0.000000001,U18&lt;Inputs!$F$109),1,0)</f>
        <v>0</v>
      </c>
      <c r="V20" s="9" t="n">
        <f aca="false">IF(AND(Debt!V121&gt;0.000000001,V18&lt;Inputs!$F$109),1,0)</f>
        <v>0</v>
      </c>
      <c r="W20" s="9" t="n">
        <f aca="false">IF(AND(Debt!W121&gt;0.000000001,W18&lt;Inputs!$F$109),1,0)</f>
        <v>0</v>
      </c>
      <c r="X20" s="9" t="n">
        <f aca="false">IF(AND(Debt!X121&gt;0.000000001,X18&lt;Inputs!$F$109),1,0)</f>
        <v>0</v>
      </c>
      <c r="Y20" s="9" t="n">
        <f aca="false">IF(AND(Debt!Y121&gt;0.000000001,Y18&lt;Inputs!$F$109),1,0)</f>
        <v>0</v>
      </c>
      <c r="Z20" s="9" t="n">
        <f aca="false">IF(AND(Debt!Z121&gt;0.000000001,Z18&lt;Inputs!$F$109),1,0)</f>
        <v>0</v>
      </c>
      <c r="AA20" s="9" t="n">
        <f aca="false">IF(AND(Debt!AA121&gt;0.000000001,AA18&lt;Inputs!$F$109),1,0)</f>
        <v>0</v>
      </c>
      <c r="AB20" s="9" t="n">
        <f aca="false">IF(AND(Debt!AB121&gt;0.000000001,AB18&lt;Inputs!$F$109),1,0)</f>
        <v>0</v>
      </c>
      <c r="AC20" s="9" t="n">
        <f aca="false">IF(AND(Debt!AC121&gt;0.000000001,AC18&lt;Inputs!$F$109),1,0)</f>
        <v>0</v>
      </c>
      <c r="AD20" s="9" t="n">
        <f aca="false">IF(AND(Debt!AD121&gt;0.000000001,AD18&lt;Inputs!$F$109),1,0)</f>
        <v>0</v>
      </c>
      <c r="AE20" s="9" t="n">
        <f aca="false">IF(AND(Debt!AE121&gt;0.000000001,AE18&lt;Inputs!$F$109),1,0)</f>
        <v>0</v>
      </c>
      <c r="AF20" s="9" t="n">
        <f aca="false">IF(AND(Debt!AF121&gt;0.000000001,AF18&lt;Inputs!$F$109),1,0)</f>
        <v>0</v>
      </c>
      <c r="AG20" s="9" t="n">
        <f aca="false">IF(AND(Debt!AG121&gt;0.000000001,AG18&lt;Inputs!$F$109),1,0)</f>
        <v>0</v>
      </c>
      <c r="AH20" s="9" t="n">
        <f aca="false">IF(AND(Debt!AH121&gt;0.000000001,AH18&lt;Inputs!$F$109),1,0)</f>
        <v>0</v>
      </c>
      <c r="AI20" s="9" t="n">
        <f aca="false">IF(AND(Debt!AI121&gt;0.000000001,AI18&lt;Inputs!$F$109),1,0)</f>
        <v>0</v>
      </c>
      <c r="AJ20" s="9" t="n">
        <f aca="false">IF(AND(Debt!AJ121&gt;0.000000001,AJ18&lt;Inputs!$F$109),1,0)</f>
        <v>0</v>
      </c>
      <c r="AK20" s="9" t="n">
        <f aca="false">IF(AND(Debt!AK121&gt;0.000000001,AK18&lt;Inputs!$F$109),1,0)</f>
        <v>0</v>
      </c>
      <c r="AL20" s="9" t="n">
        <f aca="false">IF(AND(Debt!AL121&gt;0.000000001,AL18&lt;Inputs!$F$109),1,0)</f>
        <v>0</v>
      </c>
      <c r="AM20" s="9" t="n">
        <f aca="false">IF(AND(Debt!AM121&gt;0.000000001,AM18&lt;Inputs!$F$109),1,0)</f>
        <v>0</v>
      </c>
      <c r="AN20" s="9" t="n">
        <f aca="false">IF(AND(Debt!AN121&gt;0.000000001,AN18&lt;Inputs!$F$109),1,0)</f>
        <v>0</v>
      </c>
      <c r="AO20" s="9" t="n">
        <f aca="false">IF(AND(Debt!AO121&gt;0.000000001,AO18&lt;Inputs!$F$109),1,0)</f>
        <v>0</v>
      </c>
      <c r="AP20" s="9" t="n">
        <f aca="false">IF(AND(Debt!AP121&gt;0.000000001,AP18&lt;Inputs!$F$109),1,0)</f>
        <v>0</v>
      </c>
      <c r="AQ20" s="9" t="n">
        <f aca="false">IF(AND(Debt!AQ121&gt;0.000000001,AQ18&lt;Inputs!$F$109),1,0)</f>
        <v>0</v>
      </c>
      <c r="AR20" s="9" t="n">
        <f aca="false">IF(AND(Debt!AR121&gt;0.000000001,AR18&lt;Inputs!$F$109),1,0)</f>
        <v>0</v>
      </c>
      <c r="AS20" s="9" t="n">
        <f aca="false">IF(AND(Debt!AS121&gt;0.000000001,AS18&lt;Inputs!$F$109),1,0)</f>
        <v>0</v>
      </c>
      <c r="AT20" s="9" t="n">
        <f aca="false">IF(AND(Debt!AT121&gt;0.000000001,AT18&lt;Inputs!$F$109),1,0)</f>
        <v>0</v>
      </c>
      <c r="AU20" s="9" t="n">
        <f aca="false">IF(AND(Debt!AU121&gt;0.000000001,AU18&lt;Inputs!$F$109),1,0)</f>
        <v>0</v>
      </c>
      <c r="AV20" s="9" t="n">
        <f aca="false">IF(AND(Debt!AV121&gt;0.000000001,AV18&lt;Inputs!$F$109),1,0)</f>
        <v>0</v>
      </c>
      <c r="AW20" s="9" t="n">
        <f aca="false">IF(AND(Debt!AW121&gt;0.000000001,AW18&lt;Inputs!$F$109),1,0)</f>
        <v>0</v>
      </c>
      <c r="AX20" s="9" t="n">
        <f aca="false">IF(AND(Debt!AX121&gt;0.000000001,AX18&lt;Inputs!$F$109),1,0)</f>
        <v>0</v>
      </c>
      <c r="AY20" s="9" t="n">
        <f aca="false">IF(AND(Debt!AY121&gt;0.000000001,AY18&lt;Inputs!$F$109),1,0)</f>
        <v>0</v>
      </c>
      <c r="AZ20" s="9" t="n">
        <f aca="false">IF(AND(Debt!AZ121&gt;0.000000001,AZ18&lt;Inputs!$F$109),1,0)</f>
        <v>0</v>
      </c>
      <c r="BA20" s="9" t="n">
        <f aca="false">IF(AND(Debt!BA121&gt;0.000000001,BA18&lt;Inputs!$F$109),1,0)</f>
        <v>0</v>
      </c>
      <c r="BB20" s="9" t="n">
        <f aca="false">IF(AND(Debt!BB121&gt;0.000000001,BB18&lt;Inputs!$F$109),1,0)</f>
        <v>0</v>
      </c>
      <c r="BC20" s="9" t="n">
        <f aca="false">IF(AND(Debt!BC121&gt;0.000000001,BC18&lt;Inputs!$F$109),1,0)</f>
        <v>0</v>
      </c>
      <c r="BD20" s="9" t="n">
        <f aca="false">IF(AND(Debt!BD121&gt;0.000000001,BD18&lt;Inputs!$F$109),1,0)</f>
        <v>0</v>
      </c>
      <c r="BE20" s="9" t="n">
        <f aca="false">IF(AND(Debt!BE121&gt;0.000000001,BE18&lt;Inputs!$F$109),1,0)</f>
        <v>0</v>
      </c>
      <c r="BF20" s="9" t="n">
        <f aca="false">IF(AND(Debt!BF121&gt;0.000000001,BF18&lt;Inputs!$F$109),1,0)</f>
        <v>0</v>
      </c>
      <c r="BG20" s="9" t="n">
        <f aca="false">IF(AND(Debt!BG121&gt;0.000000001,BG18&lt;Inputs!$F$109),1,0)</f>
        <v>0</v>
      </c>
      <c r="BH20" s="9" t="n">
        <f aca="false">IF(AND(Debt!BH121&gt;0.000000001,BH18&lt;Inputs!$F$109),1,0)</f>
        <v>0</v>
      </c>
      <c r="BI20" s="9" t="n">
        <f aca="false">IF(AND(Debt!BI121&gt;0.000000001,BI18&lt;Inputs!$F$109),1,0)</f>
        <v>0</v>
      </c>
      <c r="BJ20" s="9" t="n">
        <f aca="false">IF(AND(Debt!BJ121&gt;0.000000001,BJ18&lt;Inputs!$F$109),1,0)</f>
        <v>0</v>
      </c>
      <c r="BK20" s="9" t="n">
        <f aca="false">IF(AND(Debt!BK121&gt;0.000000001,BK18&lt;Inputs!$F$109),1,0)</f>
        <v>0</v>
      </c>
      <c r="BL20" s="9" t="n">
        <f aca="false">IF(AND(Debt!BL121&gt;0.000000001,BL18&lt;Inputs!$F$109),1,0)</f>
        <v>0</v>
      </c>
      <c r="BM20" s="9" t="n">
        <f aca="false">IF(AND(Debt!BM121&gt;0.000000001,BM18&lt;Inputs!$F$109),1,0)</f>
        <v>0</v>
      </c>
      <c r="BN20" s="9" t="n">
        <f aca="false">IF(AND(Debt!BN121&gt;0.000000001,BN18&lt;Inputs!$F$109),1,0)</f>
        <v>0</v>
      </c>
    </row>
    <row r="21" customFormat="false" ht="15" hidden="false" customHeight="false" outlineLevel="0" collapsed="false">
      <c r="D21" s="0" t="s">
        <v>738</v>
      </c>
      <c r="E21" s="0" t="s">
        <v>113</v>
      </c>
      <c r="J21" s="9" t="n">
        <f aca="false">Inputs!$F$49*IF(OR(Time!J17=10,Time!J17=11),1,0)</f>
        <v>0</v>
      </c>
      <c r="K21" s="9" t="n">
        <f aca="false">Inputs!$F$49*IF(OR(Time!K17=10,Time!K17=11),1,0)</f>
        <v>0</v>
      </c>
      <c r="L21" s="9" t="n">
        <f aca="false">Inputs!$F$49*IF(OR(Time!L17=10,Time!L17=11),1,0)</f>
        <v>0</v>
      </c>
      <c r="M21" s="9" t="n">
        <f aca="false">Inputs!$F$49*IF(OR(Time!M17=10,Time!M17=11),1,0)</f>
        <v>0</v>
      </c>
      <c r="N21" s="9" t="n">
        <f aca="false">Inputs!$F$49*IF(OR(Time!N17=10,Time!N17=11),1,0)</f>
        <v>0</v>
      </c>
      <c r="O21" s="9" t="n">
        <f aca="false">Inputs!$F$49*IF(OR(Time!O17=10,Time!O17=11),1,0)</f>
        <v>0</v>
      </c>
      <c r="P21" s="9" t="n">
        <f aca="false">Inputs!$F$49*IF(OR(Time!P17=10,Time!P17=11),1,0)</f>
        <v>0</v>
      </c>
      <c r="Q21" s="9" t="n">
        <f aca="false">Inputs!$F$49*IF(OR(Time!Q17=10,Time!Q17=11),1,0)</f>
        <v>0</v>
      </c>
      <c r="R21" s="9" t="n">
        <f aca="false">Inputs!$F$49*IF(OR(Time!R17=10,Time!R17=11),1,0)</f>
        <v>0</v>
      </c>
      <c r="S21" s="9" t="n">
        <f aca="false">Inputs!$F$49*IF(OR(Time!S17=10,Time!S17=11),1,0)</f>
        <v>1</v>
      </c>
      <c r="T21" s="9" t="n">
        <f aca="false">Inputs!$F$49*IF(OR(Time!T17=10,Time!T17=11),1,0)</f>
        <v>1</v>
      </c>
      <c r="U21" s="9" t="n">
        <f aca="false">Inputs!$F$49*IF(OR(Time!U17=10,Time!U17=11),1,0)</f>
        <v>0</v>
      </c>
      <c r="V21" s="9" t="n">
        <f aca="false">Inputs!$F$49*IF(OR(Time!V17=10,Time!V17=11),1,0)</f>
        <v>0</v>
      </c>
      <c r="W21" s="9" t="n">
        <f aca="false">Inputs!$F$49*IF(OR(Time!W17=10,Time!W17=11),1,0)</f>
        <v>0</v>
      </c>
      <c r="X21" s="9" t="n">
        <f aca="false">Inputs!$F$49*IF(OR(Time!X17=10,Time!X17=11),1,0)</f>
        <v>0</v>
      </c>
      <c r="Y21" s="9" t="n">
        <f aca="false">Inputs!$F$49*IF(OR(Time!Y17=10,Time!Y17=11),1,0)</f>
        <v>0</v>
      </c>
      <c r="Z21" s="9" t="n">
        <f aca="false">Inputs!$F$49*IF(OR(Time!Z17=10,Time!Z17=11),1,0)</f>
        <v>0</v>
      </c>
      <c r="AA21" s="9" t="n">
        <f aca="false">Inputs!$F$49*IF(OR(Time!AA17=10,Time!AA17=11),1,0)</f>
        <v>0</v>
      </c>
      <c r="AB21" s="9" t="n">
        <f aca="false">Inputs!$F$49*IF(OR(Time!AB17=10,Time!AB17=11),1,0)</f>
        <v>0</v>
      </c>
      <c r="AC21" s="9" t="n">
        <f aca="false">Inputs!$F$49*IF(OR(Time!AC17=10,Time!AC17=11),1,0)</f>
        <v>0</v>
      </c>
      <c r="AD21" s="9" t="n">
        <f aca="false">Inputs!$F$49*IF(OR(Time!AD17=10,Time!AD17=11),1,0)</f>
        <v>0</v>
      </c>
      <c r="AE21" s="9" t="n">
        <f aca="false">Inputs!$F$49*IF(OR(Time!AE17=10,Time!AE17=11),1,0)</f>
        <v>0</v>
      </c>
      <c r="AF21" s="9" t="n">
        <f aca="false">Inputs!$F$49*IF(OR(Time!AF17=10,Time!AF17=11),1,0)</f>
        <v>0</v>
      </c>
      <c r="AG21" s="9" t="n">
        <f aca="false">Inputs!$F$49*IF(OR(Time!AG17=10,Time!AG17=11),1,0)</f>
        <v>0</v>
      </c>
      <c r="AH21" s="9" t="n">
        <f aca="false">Inputs!$F$49*IF(OR(Time!AH17=10,Time!AH17=11),1,0)</f>
        <v>0</v>
      </c>
      <c r="AI21" s="9" t="n">
        <f aca="false">Inputs!$F$49*IF(OR(Time!AI17=10,Time!AI17=11),1,0)</f>
        <v>0</v>
      </c>
      <c r="AJ21" s="9" t="n">
        <f aca="false">Inputs!$F$49*IF(OR(Time!AJ17=10,Time!AJ17=11),1,0)</f>
        <v>0</v>
      </c>
      <c r="AK21" s="9" t="n">
        <f aca="false">Inputs!$F$49*IF(OR(Time!AK17=10,Time!AK17=11),1,0)</f>
        <v>0</v>
      </c>
      <c r="AL21" s="9" t="n">
        <f aca="false">Inputs!$F$49*IF(OR(Time!AL17=10,Time!AL17=11),1,0)</f>
        <v>0</v>
      </c>
      <c r="AM21" s="9" t="n">
        <f aca="false">Inputs!$F$49*IF(OR(Time!AM17=10,Time!AM17=11),1,0)</f>
        <v>0</v>
      </c>
      <c r="AN21" s="9" t="n">
        <f aca="false">Inputs!$F$49*IF(OR(Time!AN17=10,Time!AN17=11),1,0)</f>
        <v>0</v>
      </c>
      <c r="AO21" s="9" t="n">
        <f aca="false">Inputs!$F$49*IF(OR(Time!AO17=10,Time!AO17=11),1,0)</f>
        <v>0</v>
      </c>
      <c r="AP21" s="9" t="n">
        <f aca="false">Inputs!$F$49*IF(OR(Time!AP17=10,Time!AP17=11),1,0)</f>
        <v>0</v>
      </c>
      <c r="AQ21" s="9" t="n">
        <f aca="false">Inputs!$F$49*IF(OR(Time!AQ17=10,Time!AQ17=11),1,0)</f>
        <v>0</v>
      </c>
      <c r="AR21" s="9" t="n">
        <f aca="false">Inputs!$F$49*IF(OR(Time!AR17=10,Time!AR17=11),1,0)</f>
        <v>0</v>
      </c>
      <c r="AS21" s="9" t="n">
        <f aca="false">Inputs!$F$49*IF(OR(Time!AS17=10,Time!AS17=11),1,0)</f>
        <v>0</v>
      </c>
      <c r="AT21" s="9" t="n">
        <f aca="false">Inputs!$F$49*IF(OR(Time!AT17=10,Time!AT17=11),1,0)</f>
        <v>0</v>
      </c>
      <c r="AU21" s="9" t="n">
        <f aca="false">Inputs!$F$49*IF(OR(Time!AU17=10,Time!AU17=11),1,0)</f>
        <v>0</v>
      </c>
      <c r="AV21" s="9" t="n">
        <f aca="false">Inputs!$F$49*IF(OR(Time!AV17=10,Time!AV17=11),1,0)</f>
        <v>0</v>
      </c>
      <c r="AW21" s="9" t="n">
        <f aca="false">Inputs!$F$49*IF(OR(Time!AW17=10,Time!AW17=11),1,0)</f>
        <v>0</v>
      </c>
      <c r="AX21" s="9" t="n">
        <f aca="false">Inputs!$F$49*IF(OR(Time!AX17=10,Time!AX17=11),1,0)</f>
        <v>0</v>
      </c>
      <c r="AY21" s="9" t="n">
        <f aca="false">Inputs!$F$49*IF(OR(Time!AY17=10,Time!AY17=11),1,0)</f>
        <v>0</v>
      </c>
      <c r="AZ21" s="9" t="n">
        <f aca="false">Inputs!$F$49*IF(OR(Time!AZ17=10,Time!AZ17=11),1,0)</f>
        <v>0</v>
      </c>
      <c r="BA21" s="9" t="n">
        <f aca="false">Inputs!$F$49*IF(OR(Time!BA17=10,Time!BA17=11),1,0)</f>
        <v>0</v>
      </c>
      <c r="BB21" s="9" t="n">
        <f aca="false">Inputs!$F$49*IF(OR(Time!BB17=10,Time!BB17=11),1,0)</f>
        <v>0</v>
      </c>
      <c r="BC21" s="9" t="n">
        <f aca="false">Inputs!$F$49*IF(OR(Time!BC17=10,Time!BC17=11),1,0)</f>
        <v>0</v>
      </c>
      <c r="BD21" s="9" t="n">
        <f aca="false">Inputs!$F$49*IF(OR(Time!BD17=10,Time!BD17=11),1,0)</f>
        <v>0</v>
      </c>
      <c r="BE21" s="9" t="n">
        <f aca="false">Inputs!$F$49*IF(OR(Time!BE17=10,Time!BE17=11),1,0)</f>
        <v>0</v>
      </c>
      <c r="BF21" s="9" t="n">
        <f aca="false">Inputs!$F$49*IF(OR(Time!BF17=10,Time!BF17=11),1,0)</f>
        <v>0</v>
      </c>
      <c r="BG21" s="9" t="n">
        <f aca="false">Inputs!$F$49*IF(OR(Time!BG17=10,Time!BG17=11),1,0)</f>
        <v>0</v>
      </c>
      <c r="BH21" s="9" t="n">
        <f aca="false">Inputs!$F$49*IF(OR(Time!BH17=10,Time!BH17=11),1,0)</f>
        <v>0</v>
      </c>
      <c r="BI21" s="9" t="n">
        <f aca="false">Inputs!$F$49*IF(OR(Time!BI17=10,Time!BI17=11),1,0)</f>
        <v>0</v>
      </c>
      <c r="BJ21" s="9" t="n">
        <f aca="false">Inputs!$F$49*IF(OR(Time!BJ17=10,Time!BJ17=11),1,0)</f>
        <v>0</v>
      </c>
      <c r="BK21" s="9" t="n">
        <f aca="false">Inputs!$F$49*IF(OR(Time!BK17=10,Time!BK17=11),1,0)</f>
        <v>0</v>
      </c>
      <c r="BL21" s="9" t="n">
        <f aca="false">Inputs!$F$49*IF(OR(Time!BL17=10,Time!BL17=11),1,0)</f>
        <v>0</v>
      </c>
      <c r="BM21" s="9" t="n">
        <f aca="false">Inputs!$F$49*IF(OR(Time!BM17=10,Time!BM17=11),1,0)</f>
        <v>0</v>
      </c>
      <c r="BN21" s="9" t="n">
        <f aca="false">Inputs!$F$49*IF(OR(Time!BN17=10,Time!BN17=11),1,0)</f>
        <v>0</v>
      </c>
    </row>
    <row r="22" customFormat="false" ht="15" hidden="false" customHeight="false" outlineLevel="0" collapsed="false">
      <c r="D22" s="0" t="s">
        <v>739</v>
      </c>
      <c r="E22" s="0" t="s">
        <v>113</v>
      </c>
      <c r="J22" s="9" t="n">
        <f aca="false">Inputs!$F$49*IF(Time!J17&gt;=10,1,0)</f>
        <v>0</v>
      </c>
      <c r="K22" s="9" t="n">
        <f aca="false">Inputs!$F$49*IF(Time!K17&gt;=10,1,0)</f>
        <v>0</v>
      </c>
      <c r="L22" s="9" t="n">
        <f aca="false">Inputs!$F$49*IF(Time!L17&gt;=10,1,0)</f>
        <v>0</v>
      </c>
      <c r="M22" s="9" t="n">
        <f aca="false">Inputs!$F$49*IF(Time!M17&gt;=10,1,0)</f>
        <v>0</v>
      </c>
      <c r="N22" s="9" t="n">
        <f aca="false">Inputs!$F$49*IF(Time!N17&gt;=10,1,0)</f>
        <v>0</v>
      </c>
      <c r="O22" s="9" t="n">
        <f aca="false">Inputs!$F$49*IF(Time!O17&gt;=10,1,0)</f>
        <v>0</v>
      </c>
      <c r="P22" s="9" t="n">
        <f aca="false">Inputs!$F$49*IF(Time!P17&gt;=10,1,0)</f>
        <v>0</v>
      </c>
      <c r="Q22" s="9" t="n">
        <f aca="false">Inputs!$F$49*IF(Time!Q17&gt;=10,1,0)</f>
        <v>0</v>
      </c>
      <c r="R22" s="9" t="n">
        <f aca="false">Inputs!$F$49*IF(Time!R17&gt;=10,1,0)</f>
        <v>0</v>
      </c>
      <c r="S22" s="9" t="n">
        <f aca="false">Inputs!$F$49*IF(Time!S17&gt;=10,1,0)</f>
        <v>1</v>
      </c>
      <c r="T22" s="9" t="n">
        <f aca="false">Inputs!$F$49*IF(Time!T17&gt;=10,1,0)</f>
        <v>1</v>
      </c>
      <c r="U22" s="9" t="n">
        <f aca="false">Inputs!$F$49*IF(Time!U17&gt;=10,1,0)</f>
        <v>1</v>
      </c>
      <c r="V22" s="9" t="n">
        <f aca="false">Inputs!$F$49*IF(Time!V17&gt;=10,1,0)</f>
        <v>1</v>
      </c>
      <c r="W22" s="9" t="n">
        <f aca="false">Inputs!$F$49*IF(Time!W17&gt;=10,1,0)</f>
        <v>1</v>
      </c>
      <c r="X22" s="9" t="n">
        <f aca="false">Inputs!$F$49*IF(Time!X17&gt;=10,1,0)</f>
        <v>1</v>
      </c>
      <c r="Y22" s="9" t="n">
        <f aca="false">Inputs!$F$49*IF(Time!Y17&gt;=10,1,0)</f>
        <v>1</v>
      </c>
      <c r="Z22" s="9" t="n">
        <f aca="false">Inputs!$F$49*IF(Time!Z17&gt;=10,1,0)</f>
        <v>1</v>
      </c>
      <c r="AA22" s="9" t="n">
        <f aca="false">Inputs!$F$49*IF(Time!AA17&gt;=10,1,0)</f>
        <v>1</v>
      </c>
      <c r="AB22" s="9" t="n">
        <f aca="false">Inputs!$F$49*IF(Time!AB17&gt;=10,1,0)</f>
        <v>1</v>
      </c>
      <c r="AC22" s="9" t="n">
        <f aca="false">Inputs!$F$49*IF(Time!AC17&gt;=10,1,0)</f>
        <v>1</v>
      </c>
      <c r="AD22" s="9" t="n">
        <f aca="false">Inputs!$F$49*IF(Time!AD17&gt;=10,1,0)</f>
        <v>1</v>
      </c>
      <c r="AE22" s="9" t="n">
        <f aca="false">Inputs!$F$49*IF(Time!AE17&gt;=10,1,0)</f>
        <v>1</v>
      </c>
      <c r="AF22" s="9" t="n">
        <f aca="false">Inputs!$F$49*IF(Time!AF17&gt;=10,1,0)</f>
        <v>1</v>
      </c>
      <c r="AG22" s="9" t="n">
        <f aca="false">Inputs!$F$49*IF(Time!AG17&gt;=10,1,0)</f>
        <v>1</v>
      </c>
      <c r="AH22" s="9" t="n">
        <f aca="false">Inputs!$F$49*IF(Time!AH17&gt;=10,1,0)</f>
        <v>1</v>
      </c>
      <c r="AI22" s="9" t="n">
        <f aca="false">Inputs!$F$49*IF(Time!AI17&gt;=10,1,0)</f>
        <v>1</v>
      </c>
      <c r="AJ22" s="9" t="n">
        <f aca="false">Inputs!$F$49*IF(Time!AJ17&gt;=10,1,0)</f>
        <v>1</v>
      </c>
      <c r="AK22" s="9" t="n">
        <f aca="false">Inputs!$F$49*IF(Time!AK17&gt;=10,1,0)</f>
        <v>1</v>
      </c>
      <c r="AL22" s="9" t="n">
        <f aca="false">Inputs!$F$49*IF(Time!AL17&gt;=10,1,0)</f>
        <v>1</v>
      </c>
      <c r="AM22" s="9" t="n">
        <f aca="false">Inputs!$F$49*IF(Time!AM17&gt;=10,1,0)</f>
        <v>1</v>
      </c>
      <c r="AN22" s="9" t="n">
        <f aca="false">Inputs!$F$49*IF(Time!AN17&gt;=10,1,0)</f>
        <v>1</v>
      </c>
      <c r="AO22" s="9" t="n">
        <f aca="false">Inputs!$F$49*IF(Time!AO17&gt;=10,1,0)</f>
        <v>1</v>
      </c>
      <c r="AP22" s="9" t="n">
        <f aca="false">Inputs!$F$49*IF(Time!AP17&gt;=10,1,0)</f>
        <v>1</v>
      </c>
      <c r="AQ22" s="9" t="n">
        <f aca="false">Inputs!$F$49*IF(Time!AQ17&gt;=10,1,0)</f>
        <v>1</v>
      </c>
      <c r="AR22" s="9" t="n">
        <f aca="false">Inputs!$F$49*IF(Time!AR17&gt;=10,1,0)</f>
        <v>1</v>
      </c>
      <c r="AS22" s="9" t="n">
        <f aca="false">Inputs!$F$49*IF(Time!AS17&gt;=10,1,0)</f>
        <v>1</v>
      </c>
      <c r="AT22" s="9" t="n">
        <f aca="false">Inputs!$F$49*IF(Time!AT17&gt;=10,1,0)</f>
        <v>1</v>
      </c>
      <c r="AU22" s="9" t="n">
        <f aca="false">Inputs!$F$49*IF(Time!AU17&gt;=10,1,0)</f>
        <v>1</v>
      </c>
      <c r="AV22" s="9" t="n">
        <f aca="false">Inputs!$F$49*IF(Time!AV17&gt;=10,1,0)</f>
        <v>1</v>
      </c>
      <c r="AW22" s="9" t="n">
        <f aca="false">Inputs!$F$49*IF(Time!AW17&gt;=10,1,0)</f>
        <v>1</v>
      </c>
      <c r="AX22" s="9" t="n">
        <f aca="false">Inputs!$F$49*IF(Time!AX17&gt;=10,1,0)</f>
        <v>1</v>
      </c>
      <c r="AY22" s="9" t="n">
        <f aca="false">Inputs!$F$49*IF(Time!AY17&gt;=10,1,0)</f>
        <v>1</v>
      </c>
      <c r="AZ22" s="9" t="n">
        <f aca="false">Inputs!$F$49*IF(Time!AZ17&gt;=10,1,0)</f>
        <v>1</v>
      </c>
      <c r="BA22" s="9" t="n">
        <f aca="false">Inputs!$F$49*IF(Time!BA17&gt;=10,1,0)</f>
        <v>1</v>
      </c>
      <c r="BB22" s="9" t="n">
        <f aca="false">Inputs!$F$49*IF(Time!BB17&gt;=10,1,0)</f>
        <v>1</v>
      </c>
      <c r="BC22" s="9" t="n">
        <f aca="false">Inputs!$F$49*IF(Time!BC17&gt;=10,1,0)</f>
        <v>1</v>
      </c>
      <c r="BD22" s="9" t="n">
        <f aca="false">Inputs!$F$49*IF(Time!BD17&gt;=10,1,0)</f>
        <v>1</v>
      </c>
      <c r="BE22" s="9" t="n">
        <f aca="false">Inputs!$F$49*IF(Time!BE17&gt;=10,1,0)</f>
        <v>1</v>
      </c>
      <c r="BF22" s="9" t="n">
        <f aca="false">Inputs!$F$49*IF(Time!BF17&gt;=10,1,0)</f>
        <v>1</v>
      </c>
      <c r="BG22" s="9" t="n">
        <f aca="false">Inputs!$F$49*IF(Time!BG17&gt;=10,1,0)</f>
        <v>1</v>
      </c>
      <c r="BH22" s="9" t="n">
        <f aca="false">Inputs!$F$49*IF(Time!BH17&gt;=10,1,0)</f>
        <v>1</v>
      </c>
      <c r="BI22" s="9" t="n">
        <f aca="false">Inputs!$F$49*IF(Time!BI17&gt;=10,1,0)</f>
        <v>1</v>
      </c>
      <c r="BJ22" s="9" t="n">
        <f aca="false">Inputs!$F$49*IF(Time!BJ17&gt;=10,1,0)</f>
        <v>1</v>
      </c>
      <c r="BK22" s="9" t="n">
        <f aca="false">Inputs!$F$49*IF(Time!BK17&gt;=10,1,0)</f>
        <v>1</v>
      </c>
      <c r="BL22" s="9" t="n">
        <f aca="false">Inputs!$F$49*IF(Time!BL17&gt;=10,1,0)</f>
        <v>1</v>
      </c>
      <c r="BM22" s="9" t="n">
        <f aca="false">Inputs!$F$49*IF(Time!BM17&gt;=10,1,0)</f>
        <v>1</v>
      </c>
      <c r="BN22" s="9" t="n">
        <f aca="false">Inputs!$F$49*IF(Time!BN17&gt;=10,1,0)</f>
        <v>1</v>
      </c>
    </row>
    <row r="23" customFormat="false" ht="15" hidden="false" customHeight="false" outlineLevel="0" collapsed="false">
      <c r="D23" s="0" t="s">
        <v>740</v>
      </c>
      <c r="E23" s="0" t="s">
        <v>113</v>
      </c>
      <c r="J23" s="9" t="n">
        <f aca="false">MAX(0,IF(AND(J22=1,Time!J17&gt;11,J18&gt;=Inputs!$F$110,Time!J17-1&gt;11,0&gt;=Inputs!$F$110,Reserves!J13&gt;=Debt!J132-0.000001),1,0))</f>
        <v>0</v>
      </c>
      <c r="K23" s="9" t="n">
        <f aca="false">MAX(J23,IF(AND(K22=1,Time!K17&gt;11,K18&gt;=Inputs!$F$110,Time!K17-1&gt;11,J18&gt;=Inputs!$F$110,Reserves!K13&gt;=Debt!K132-0.000001),1,0))</f>
        <v>0</v>
      </c>
      <c r="L23" s="9" t="n">
        <f aca="false">MAX(K23,IF(AND(L22=1,Time!L17&gt;11,L18&gt;=Inputs!$F$110,Time!L17-1&gt;11,K18&gt;=Inputs!$F$110,Reserves!L13&gt;=Debt!L132-0.000001),1,0))</f>
        <v>0</v>
      </c>
      <c r="M23" s="9" t="n">
        <f aca="false">MAX(L23,IF(AND(M22=1,Time!M17&gt;11,M18&gt;=Inputs!$F$110,Time!M17-1&gt;11,L18&gt;=Inputs!$F$110,Reserves!M13&gt;=Debt!M132-0.000001),1,0))</f>
        <v>0</v>
      </c>
      <c r="N23" s="9" t="n">
        <f aca="false">MAX(M23,IF(AND(N22=1,Time!N17&gt;11,N18&gt;=Inputs!$F$110,Time!N17-1&gt;11,M18&gt;=Inputs!$F$110,Reserves!N13&gt;=Debt!N132-0.000001),1,0))</f>
        <v>0</v>
      </c>
      <c r="O23" s="9" t="n">
        <f aca="false">MAX(N23,IF(AND(O22=1,Time!O17&gt;11,O18&gt;=Inputs!$F$110,Time!O17-1&gt;11,N18&gt;=Inputs!$F$110,Reserves!O13&gt;=Debt!O132-0.000001),1,0))</f>
        <v>0</v>
      </c>
      <c r="P23" s="9" t="n">
        <f aca="false">MAX(O23,IF(AND(P22=1,Time!P17&gt;11,P18&gt;=Inputs!$F$110,Time!P17-1&gt;11,O18&gt;=Inputs!$F$110,Reserves!P13&gt;=Debt!P132-0.000001),1,0))</f>
        <v>0</v>
      </c>
      <c r="Q23" s="9" t="n">
        <f aca="false">MAX(P23,IF(AND(Q22=1,Time!Q17&gt;11,Q18&gt;=Inputs!$F$110,Time!Q17-1&gt;11,P18&gt;=Inputs!$F$110,Reserves!Q13&gt;=Debt!Q132-0.000001),1,0))</f>
        <v>0</v>
      </c>
      <c r="R23" s="9" t="n">
        <f aca="false">MAX(Q23,IF(AND(R22=1,Time!R17&gt;11,R18&gt;=Inputs!$F$110,Time!R17-1&gt;11,Q18&gt;=Inputs!$F$110,Reserves!R13&gt;=Debt!R132-0.000001),1,0))</f>
        <v>0</v>
      </c>
      <c r="S23" s="9" t="n">
        <f aca="false">MAX(R23,IF(AND(S22=1,Time!S17&gt;11,S18&gt;=Inputs!$F$110,Time!S17-1&gt;11,R18&gt;=Inputs!$F$110,Reserves!S13&gt;=Debt!S132-0.000001),1,0))</f>
        <v>0</v>
      </c>
      <c r="T23" s="9" t="n">
        <f aca="false">MAX(S23,IF(AND(T22=1,Time!T17&gt;11,T18&gt;=Inputs!$F$110,Time!T17-1&gt;11,S18&gt;=Inputs!$F$110,Reserves!T13&gt;=Debt!T132-0.000001),1,0))</f>
        <v>0</v>
      </c>
      <c r="U23" s="9" t="n">
        <f aca="false">MAX(T23,IF(AND(U22=1,Time!U17&gt;11,U18&gt;=Inputs!$F$110,Time!U17-1&gt;11,T18&gt;=Inputs!$F$110,Reserves!U13&gt;=Debt!U132-0.000001),1,0))</f>
        <v>0</v>
      </c>
      <c r="V23" s="9" t="n">
        <f aca="false">MAX(U23,IF(AND(V22=1,Time!V17&gt;11,V18&gt;=Inputs!$F$110,Time!V17-1&gt;11,U18&gt;=Inputs!$F$110,Reserves!V13&gt;=Debt!V132-0.000001),1,0))</f>
        <v>1</v>
      </c>
      <c r="W23" s="9" t="n">
        <f aca="false">MAX(V23,IF(AND(W22=1,Time!W17&gt;11,W18&gt;=Inputs!$F$110,Time!W17-1&gt;11,V18&gt;=Inputs!$F$110,Reserves!W13&gt;=Debt!W132-0.000001),1,0))</f>
        <v>1</v>
      </c>
      <c r="X23" s="9" t="n">
        <f aca="false">MAX(W23,IF(AND(X22=1,Time!X17&gt;11,X18&gt;=Inputs!$F$110,Time!X17-1&gt;11,W18&gt;=Inputs!$F$110,Reserves!X13&gt;=Debt!X132-0.000001),1,0))</f>
        <v>1</v>
      </c>
      <c r="Y23" s="9" t="n">
        <f aca="false">MAX(X23,IF(AND(Y22=1,Time!Y17&gt;11,Y18&gt;=Inputs!$F$110,Time!Y17-1&gt;11,X18&gt;=Inputs!$F$110,Reserves!Y13&gt;=Debt!Y132-0.000001),1,0))</f>
        <v>1</v>
      </c>
      <c r="Z23" s="9" t="n">
        <f aca="false">MAX(Y23,IF(AND(Z22=1,Time!Z17&gt;11,Z18&gt;=Inputs!$F$110,Time!Z17-1&gt;11,Y18&gt;=Inputs!$F$110,Reserves!Z13&gt;=Debt!Z132-0.000001),1,0))</f>
        <v>1</v>
      </c>
      <c r="AA23" s="9" t="n">
        <f aca="false">MAX(Z23,IF(AND(AA22=1,Time!AA17&gt;11,AA18&gt;=Inputs!$F$110,Time!AA17-1&gt;11,Z18&gt;=Inputs!$F$110,Reserves!AA13&gt;=Debt!AA132-0.000001),1,0))</f>
        <v>1</v>
      </c>
      <c r="AB23" s="9" t="n">
        <f aca="false">MAX(AA23,IF(AND(AB22=1,Time!AB17&gt;11,AB18&gt;=Inputs!$F$110,Time!AB17-1&gt;11,AA18&gt;=Inputs!$F$110,Reserves!AB13&gt;=Debt!AB132-0.000001),1,0))</f>
        <v>1</v>
      </c>
      <c r="AC23" s="9" t="n">
        <f aca="false">MAX(AB23,IF(AND(AC22=1,Time!AC17&gt;11,AC18&gt;=Inputs!$F$110,Time!AC17-1&gt;11,AB18&gt;=Inputs!$F$110,Reserves!AC13&gt;=Debt!AC132-0.000001),1,0))</f>
        <v>1</v>
      </c>
      <c r="AD23" s="9" t="n">
        <f aca="false">MAX(AC23,IF(AND(AD22=1,Time!AD17&gt;11,AD18&gt;=Inputs!$F$110,Time!AD17-1&gt;11,AC18&gt;=Inputs!$F$110,Reserves!AD13&gt;=Debt!AD132-0.000001),1,0))</f>
        <v>1</v>
      </c>
      <c r="AE23" s="9" t="n">
        <f aca="false">MAX(AD23,IF(AND(AE22=1,Time!AE17&gt;11,AE18&gt;=Inputs!$F$110,Time!AE17-1&gt;11,AD18&gt;=Inputs!$F$110,Reserves!AE13&gt;=Debt!AE132-0.000001),1,0))</f>
        <v>1</v>
      </c>
      <c r="AF23" s="9" t="n">
        <f aca="false">MAX(AE23,IF(AND(AF22=1,Time!AF17&gt;11,AF18&gt;=Inputs!$F$110,Time!AF17-1&gt;11,AE18&gt;=Inputs!$F$110,Reserves!AF13&gt;=Debt!AF132-0.000001),1,0))</f>
        <v>1</v>
      </c>
      <c r="AG23" s="9" t="n">
        <f aca="false">MAX(AF23,IF(AND(AG22=1,Time!AG17&gt;11,AG18&gt;=Inputs!$F$110,Time!AG17-1&gt;11,AF18&gt;=Inputs!$F$110,Reserves!AG13&gt;=Debt!AG132-0.000001),1,0))</f>
        <v>1</v>
      </c>
      <c r="AH23" s="9" t="n">
        <f aca="false">MAX(AG23,IF(AND(AH22=1,Time!AH17&gt;11,AH18&gt;=Inputs!$F$110,Time!AH17-1&gt;11,AG18&gt;=Inputs!$F$110,Reserves!AH13&gt;=Debt!AH132-0.000001),1,0))</f>
        <v>1</v>
      </c>
      <c r="AI23" s="9" t="n">
        <f aca="false">MAX(AH23,IF(AND(AI22=1,Time!AI17&gt;11,AI18&gt;=Inputs!$F$110,Time!AI17-1&gt;11,AH18&gt;=Inputs!$F$110,Reserves!AI13&gt;=Debt!AI132-0.000001),1,0))</f>
        <v>1</v>
      </c>
      <c r="AJ23" s="9" t="n">
        <f aca="false">MAX(AI23,IF(AND(AJ22=1,Time!AJ17&gt;11,AJ18&gt;=Inputs!$F$110,Time!AJ17-1&gt;11,AI18&gt;=Inputs!$F$110,Reserves!AJ13&gt;=Debt!AJ132-0.000001),1,0))</f>
        <v>1</v>
      </c>
      <c r="AK23" s="9" t="n">
        <f aca="false">MAX(AJ23,IF(AND(AK22=1,Time!AK17&gt;11,AK18&gt;=Inputs!$F$110,Time!AK17-1&gt;11,AJ18&gt;=Inputs!$F$110,Reserves!AK13&gt;=Debt!AK132-0.000001),1,0))</f>
        <v>1</v>
      </c>
      <c r="AL23" s="9" t="n">
        <f aca="false">MAX(AK23,IF(AND(AL22=1,Time!AL17&gt;11,AL18&gt;=Inputs!$F$110,Time!AL17-1&gt;11,AK18&gt;=Inputs!$F$110,Reserves!AL13&gt;=Debt!AL132-0.000001),1,0))</f>
        <v>1</v>
      </c>
      <c r="AM23" s="9" t="n">
        <f aca="false">MAX(AL23,IF(AND(AM22=1,Time!AM17&gt;11,AM18&gt;=Inputs!$F$110,Time!AM17-1&gt;11,AL18&gt;=Inputs!$F$110,Reserves!AM13&gt;=Debt!AM132-0.000001),1,0))</f>
        <v>1</v>
      </c>
      <c r="AN23" s="9" t="n">
        <f aca="false">MAX(AM23,IF(AND(AN22=1,Time!AN17&gt;11,AN18&gt;=Inputs!$F$110,Time!AN17-1&gt;11,AM18&gt;=Inputs!$F$110,Reserves!AN13&gt;=Debt!AN132-0.000001),1,0))</f>
        <v>1</v>
      </c>
      <c r="AO23" s="9" t="n">
        <f aca="false">MAX(AN23,IF(AND(AO22=1,Time!AO17&gt;11,AO18&gt;=Inputs!$F$110,Time!AO17-1&gt;11,AN18&gt;=Inputs!$F$110,Reserves!AO13&gt;=Debt!AO132-0.000001),1,0))</f>
        <v>1</v>
      </c>
      <c r="AP23" s="9" t="n">
        <f aca="false">MAX(AO23,IF(AND(AP22=1,Time!AP17&gt;11,AP18&gt;=Inputs!$F$110,Time!AP17-1&gt;11,AO18&gt;=Inputs!$F$110,Reserves!AP13&gt;=Debt!AP132-0.000001),1,0))</f>
        <v>1</v>
      </c>
      <c r="AQ23" s="9" t="n">
        <f aca="false">MAX(AP23,IF(AND(AQ22=1,Time!AQ17&gt;11,AQ18&gt;=Inputs!$F$110,Time!AQ17-1&gt;11,AP18&gt;=Inputs!$F$110,Reserves!AQ13&gt;=Debt!AQ132-0.000001),1,0))</f>
        <v>1</v>
      </c>
      <c r="AR23" s="9" t="n">
        <f aca="false">MAX(AQ23,IF(AND(AR22=1,Time!AR17&gt;11,AR18&gt;=Inputs!$F$110,Time!AR17-1&gt;11,AQ18&gt;=Inputs!$F$110,Reserves!AR13&gt;=Debt!AR132-0.000001),1,0))</f>
        <v>1</v>
      </c>
      <c r="AS23" s="9" t="n">
        <f aca="false">MAX(AR23,IF(AND(AS22=1,Time!AS17&gt;11,AS18&gt;=Inputs!$F$110,Time!AS17-1&gt;11,AR18&gt;=Inputs!$F$110,Reserves!AS13&gt;=Debt!AS132-0.000001),1,0))</f>
        <v>1</v>
      </c>
      <c r="AT23" s="9" t="n">
        <f aca="false">MAX(AS23,IF(AND(AT22=1,Time!AT17&gt;11,AT18&gt;=Inputs!$F$110,Time!AT17-1&gt;11,AS18&gt;=Inputs!$F$110,Reserves!AT13&gt;=Debt!AT132-0.000001),1,0))</f>
        <v>1</v>
      </c>
      <c r="AU23" s="9" t="n">
        <f aca="false">MAX(AT23,IF(AND(AU22=1,Time!AU17&gt;11,AU18&gt;=Inputs!$F$110,Time!AU17-1&gt;11,AT18&gt;=Inputs!$F$110,Reserves!AU13&gt;=Debt!AU132-0.000001),1,0))</f>
        <v>1</v>
      </c>
      <c r="AV23" s="9" t="n">
        <f aca="false">MAX(AU23,IF(AND(AV22=1,Time!AV17&gt;11,AV18&gt;=Inputs!$F$110,Time!AV17-1&gt;11,AU18&gt;=Inputs!$F$110,Reserves!AV13&gt;=Debt!AV132-0.000001),1,0))</f>
        <v>1</v>
      </c>
      <c r="AW23" s="9" t="n">
        <f aca="false">MAX(AV23,IF(AND(AW22=1,Time!AW17&gt;11,AW18&gt;=Inputs!$F$110,Time!AW17-1&gt;11,AV18&gt;=Inputs!$F$110,Reserves!AW13&gt;=Debt!AW132-0.000001),1,0))</f>
        <v>1</v>
      </c>
      <c r="AX23" s="9" t="n">
        <f aca="false">MAX(AW23,IF(AND(AX22=1,Time!AX17&gt;11,AX18&gt;=Inputs!$F$110,Time!AX17-1&gt;11,AW18&gt;=Inputs!$F$110,Reserves!AX13&gt;=Debt!AX132-0.000001),1,0))</f>
        <v>1</v>
      </c>
      <c r="AY23" s="9" t="n">
        <f aca="false">MAX(AX23,IF(AND(AY22=1,Time!AY17&gt;11,AY18&gt;=Inputs!$F$110,Time!AY17-1&gt;11,AX18&gt;=Inputs!$F$110,Reserves!AY13&gt;=Debt!AY132-0.000001),1,0))</f>
        <v>1</v>
      </c>
      <c r="AZ23" s="9" t="n">
        <f aca="false">MAX(AY23,IF(AND(AZ22=1,Time!AZ17&gt;11,AZ18&gt;=Inputs!$F$110,Time!AZ17-1&gt;11,AY18&gt;=Inputs!$F$110,Reserves!AZ13&gt;=Debt!AZ132-0.000001),1,0))</f>
        <v>1</v>
      </c>
      <c r="BA23" s="9" t="n">
        <f aca="false">MAX(AZ23,IF(AND(BA22=1,Time!BA17&gt;11,BA18&gt;=Inputs!$F$110,Time!BA17-1&gt;11,AZ18&gt;=Inputs!$F$110,Reserves!BA13&gt;=Debt!BA132-0.000001),1,0))</f>
        <v>1</v>
      </c>
      <c r="BB23" s="9" t="n">
        <f aca="false">MAX(BA23,IF(AND(BB22=1,Time!BB17&gt;11,BB18&gt;=Inputs!$F$110,Time!BB17-1&gt;11,BA18&gt;=Inputs!$F$110,Reserves!BB13&gt;=Debt!BB132-0.000001),1,0))</f>
        <v>1</v>
      </c>
      <c r="BC23" s="9" t="n">
        <f aca="false">MAX(BB23,IF(AND(BC22=1,Time!BC17&gt;11,BC18&gt;=Inputs!$F$110,Time!BC17-1&gt;11,BB18&gt;=Inputs!$F$110,Reserves!BC13&gt;=Debt!BC132-0.000001),1,0))</f>
        <v>1</v>
      </c>
      <c r="BD23" s="9" t="n">
        <f aca="false">MAX(BC23,IF(AND(BD22=1,Time!BD17&gt;11,BD18&gt;=Inputs!$F$110,Time!BD17-1&gt;11,BC18&gt;=Inputs!$F$110,Reserves!BD13&gt;=Debt!BD132-0.000001),1,0))</f>
        <v>1</v>
      </c>
      <c r="BE23" s="9" t="n">
        <f aca="false">MAX(BD23,IF(AND(BE22=1,Time!BE17&gt;11,BE18&gt;=Inputs!$F$110,Time!BE17-1&gt;11,BD18&gt;=Inputs!$F$110,Reserves!BE13&gt;=Debt!BE132-0.000001),1,0))</f>
        <v>1</v>
      </c>
      <c r="BF23" s="9" t="n">
        <f aca="false">MAX(BE23,IF(AND(BF22=1,Time!BF17&gt;11,BF18&gt;=Inputs!$F$110,Time!BF17-1&gt;11,BE18&gt;=Inputs!$F$110,Reserves!BF13&gt;=Debt!BF132-0.000001),1,0))</f>
        <v>1</v>
      </c>
      <c r="BG23" s="9" t="n">
        <f aca="false">MAX(BF23,IF(AND(BG22=1,Time!BG17&gt;11,BG18&gt;=Inputs!$F$110,Time!BG17-1&gt;11,BF18&gt;=Inputs!$F$110,Reserves!BG13&gt;=Debt!BG132-0.000001),1,0))</f>
        <v>1</v>
      </c>
      <c r="BH23" s="9" t="n">
        <f aca="false">MAX(BG23,IF(AND(BH22=1,Time!BH17&gt;11,BH18&gt;=Inputs!$F$110,Time!BH17-1&gt;11,BG18&gt;=Inputs!$F$110,Reserves!BH13&gt;=Debt!BH132-0.000001),1,0))</f>
        <v>1</v>
      </c>
      <c r="BI23" s="9" t="n">
        <f aca="false">MAX(BH23,IF(AND(BI22=1,Time!BI17&gt;11,BI18&gt;=Inputs!$F$110,Time!BI17-1&gt;11,BH18&gt;=Inputs!$F$110,Reserves!BI13&gt;=Debt!BI132-0.000001),1,0))</f>
        <v>1</v>
      </c>
      <c r="BJ23" s="9" t="n">
        <f aca="false">MAX(BI23,IF(AND(BJ22=1,Time!BJ17&gt;11,BJ18&gt;=Inputs!$F$110,Time!BJ17-1&gt;11,BI18&gt;=Inputs!$F$110,Reserves!BJ13&gt;=Debt!BJ132-0.000001),1,0))</f>
        <v>1</v>
      </c>
      <c r="BK23" s="9" t="n">
        <f aca="false">MAX(BJ23,IF(AND(BK22=1,Time!BK17&gt;11,BK18&gt;=Inputs!$F$110,Time!BK17-1&gt;11,BJ18&gt;=Inputs!$F$110,Reserves!BK13&gt;=Debt!BK132-0.000001),1,0))</f>
        <v>1</v>
      </c>
      <c r="BL23" s="9" t="n">
        <f aca="false">MAX(BK23,IF(AND(BL22=1,Time!BL17&gt;11,BL18&gt;=Inputs!$F$110,Time!BL17-1&gt;11,BK18&gt;=Inputs!$F$110,Reserves!BL13&gt;=Debt!BL132-0.000001),1,0))</f>
        <v>1</v>
      </c>
      <c r="BM23" s="9" t="n">
        <f aca="false">MAX(BL23,IF(AND(BM22=1,Time!BM17&gt;11,BM18&gt;=Inputs!$F$110,Time!BM17-1&gt;11,BL18&gt;=Inputs!$F$110,Reserves!BM13&gt;=Debt!BM132-0.000001),1,0))</f>
        <v>1</v>
      </c>
      <c r="BN23" s="9" t="n">
        <f aca="false">MAX(BM23,IF(AND(BN22=1,Time!BN17&gt;11,BN18&gt;=Inputs!$F$110,Time!BN17-1&gt;11,BM18&gt;=Inputs!$F$110,Reserves!BN13&gt;=Debt!BN132-0.000001),1,0))</f>
        <v>1</v>
      </c>
    </row>
    <row r="24" customFormat="false" ht="15" hidden="false" customHeight="false" outlineLevel="0" collapsed="false">
      <c r="D24" s="0" t="s">
        <v>741</v>
      </c>
      <c r="E24" s="0" t="s">
        <v>113</v>
      </c>
      <c r="J24" s="9" t="n">
        <f aca="false">IF(OR(AND(J19=1,J18&gt;=Inputs!$F$108,Reserves!J13&gt;=Debt!J132-0.000001,OR(J20=0,J21=1),Debt!J121&gt;0.000000001,OR(J22=0,J23=1)),AND(Time!J32=1,Debt!J121&lt;=0.000000001),AND(Debt!J121&lt;=0.000000001,Time!J30=1,Debt!J122&lt;0.000000001)),1,0)</f>
        <v>0</v>
      </c>
      <c r="K24" s="9" t="n">
        <f aca="false">IF(OR(AND(K19=1,K18&gt;=Inputs!$F$108,Reserves!K13&gt;=Debt!K132-0.000001,OR(K20=0,K21=1),Debt!K121&gt;0.000000001,OR(K22=0,K23=1)),AND(Time!K32=1,Debt!K121&lt;=0.000000001),AND(Debt!K121&lt;=0.000000001,Time!K30=1,Debt!K122&lt;0.000000001)),1,0)</f>
        <v>0</v>
      </c>
      <c r="L24" s="9" t="n">
        <f aca="false">IF(OR(AND(L19=1,L18&gt;=Inputs!$F$108,Reserves!L13&gt;=Debt!L132-0.000001,OR(L20=0,L21=1),Debt!L121&gt;0.000000001,OR(L22=0,L23=1)),AND(Time!L32=1,Debt!L121&lt;=0.000000001),AND(Debt!L121&lt;=0.000000001,Time!L30=1,Debt!L122&lt;0.000000001)),1,0)</f>
        <v>0</v>
      </c>
      <c r="M24" s="9" t="n">
        <f aca="false">IF(OR(AND(M19=1,M18&gt;=Inputs!$F$108,Reserves!M13&gt;=Debt!M132-0.000001,OR(M20=0,M21=1),Debt!M121&gt;0.000000001,OR(M22=0,M23=1)),AND(Time!M32=1,Debt!M121&lt;=0.000000001),AND(Debt!M121&lt;=0.000000001,Time!M30=1,Debt!M122&lt;0.000000001)),1,0)</f>
        <v>0</v>
      </c>
      <c r="N24" s="9" t="n">
        <f aca="false">IF(OR(AND(N19=1,N18&gt;=Inputs!$F$108,Reserves!N13&gt;=Debt!N132-0.000001,OR(N20=0,N21=1),Debt!N121&gt;0.000000001,OR(N22=0,N23=1)),AND(Time!N32=1,Debt!N121&lt;=0.000000001),AND(Debt!N121&lt;=0.000000001,Time!N30=1,Debt!N122&lt;0.000000001)),1,0)</f>
        <v>0</v>
      </c>
      <c r="O24" s="9" t="n">
        <f aca="false">IF(OR(AND(O19=1,O18&gt;=Inputs!$F$108,Reserves!O13&gt;=Debt!O132-0.000001,OR(O20=0,O21=1),Debt!O121&gt;0.000000001,OR(O22=0,O23=1)),AND(Time!O32=1,Debt!O121&lt;=0.000000001),AND(Debt!O121&lt;=0.000000001,Time!O30=1,Debt!O122&lt;0.000000001)),1,0)</f>
        <v>0</v>
      </c>
      <c r="P24" s="9" t="n">
        <f aca="false">IF(OR(AND(P19=1,P18&gt;=Inputs!$F$108,Reserves!P13&gt;=Debt!P132-0.000001,OR(P20=0,P21=1),Debt!P121&gt;0.000000001,OR(P22=0,P23=1)),AND(Time!P32=1,Debt!P121&lt;=0.000000001),AND(Debt!P121&lt;=0.000000001,Time!P30=1,Debt!P122&lt;0.000000001)),1,0)</f>
        <v>0</v>
      </c>
      <c r="Q24" s="9" t="n">
        <f aca="false">IF(OR(AND(Q19=1,Q18&gt;=Inputs!$F$108,Reserves!Q13&gt;=Debt!Q132-0.000001,OR(Q20=0,Q21=1),Debt!Q121&gt;0.000000001,OR(Q22=0,Q23=1)),AND(Time!Q32=1,Debt!Q121&lt;=0.000000001),AND(Debt!Q121&lt;=0.000000001,Time!Q30=1,Debt!Q122&lt;0.000000001)),1,0)</f>
        <v>1</v>
      </c>
      <c r="R24" s="9" t="n">
        <f aca="false">IF(OR(AND(R19=1,R18&gt;=Inputs!$F$108,Reserves!R13&gt;=Debt!R132-0.000001,OR(R20=0,R21=1),Debt!R121&gt;0.000000001,OR(R22=0,R23=1)),AND(Time!R32=1,Debt!R121&lt;=0.000000001),AND(Debt!R121&lt;=0.000000001,Time!R30=1,Debt!R122&lt;0.000000001)),1,0)</f>
        <v>0</v>
      </c>
      <c r="S24" s="9" t="n">
        <f aca="false">IF(OR(AND(S19=1,S18&gt;=Inputs!$F$108,Reserves!S13&gt;=Debt!S132-0.000001,OR(S20=0,S21=1),Debt!S121&gt;0.000000001,OR(S22=0,S23=1)),AND(Time!S32=1,Debt!S121&lt;=0.000000001),AND(Debt!S121&lt;=0.000000001,Time!S30=1,Debt!S122&lt;0.000000001)),1,0)</f>
        <v>0</v>
      </c>
      <c r="T24" s="9" t="n">
        <f aca="false">IF(OR(AND(T19=1,T18&gt;=Inputs!$F$108,Reserves!T13&gt;=Debt!T132-0.000001,OR(T20=0,T21=1),Debt!T121&gt;0.000000001,OR(T22=0,T23=1)),AND(Time!T32=1,Debt!T121&lt;=0.000000001),AND(Debt!T121&lt;=0.000000001,Time!T30=1,Debt!T122&lt;0.000000001)),1,0)</f>
        <v>0</v>
      </c>
      <c r="U24" s="9" t="n">
        <f aca="false">IF(OR(AND(U19=1,U18&gt;=Inputs!$F$108,Reserves!U13&gt;=Debt!U132-0.000001,OR(U20=0,U21=1),Debt!U121&gt;0.000000001,OR(U22=0,U23=1)),AND(Time!U32=1,Debt!U121&lt;=0.000000001),AND(Debt!U121&lt;=0.000000001,Time!U30=1,Debt!U122&lt;0.000000001)),1,0)</f>
        <v>0</v>
      </c>
      <c r="V24" s="9" t="n">
        <f aca="false">IF(OR(AND(V19=1,V18&gt;=Inputs!$F$108,Reserves!V13&gt;=Debt!V132-0.000001,OR(V20=0,V21=1),Debt!V121&gt;0.000000001,OR(V22=0,V23=1)),AND(Time!V32=1,Debt!V121&lt;=0.000000001),AND(Debt!V121&lt;=0.000000001,Time!V30=1,Debt!V122&lt;0.000000001)),1,0)</f>
        <v>1</v>
      </c>
      <c r="W24" s="9" t="n">
        <f aca="false">IF(OR(AND(W19=1,W18&gt;=Inputs!$F$108,Reserves!W13&gt;=Debt!W132-0.000001,OR(W20=0,W21=1),Debt!W121&gt;0.000000001,OR(W22=0,W23=1)),AND(Time!W32=1,Debt!W121&lt;=0.000000001),AND(Debt!W121&lt;=0.000000001,Time!W30=1,Debt!W122&lt;0.000000001)),1,0)</f>
        <v>1</v>
      </c>
      <c r="X24" s="9" t="n">
        <f aca="false">IF(OR(AND(X19=1,X18&gt;=Inputs!$F$108,Reserves!X13&gt;=Debt!X132-0.000001,OR(X20=0,X21=1),Debt!X121&gt;0.000000001,OR(X22=0,X23=1)),AND(Time!X32=1,Debt!X121&lt;=0.000000001),AND(Debt!X121&lt;=0.000000001,Time!X30=1,Debt!X122&lt;0.000000001)),1,0)</f>
        <v>1</v>
      </c>
      <c r="Y24" s="9" t="n">
        <f aca="false">IF(OR(AND(Y19=1,Y18&gt;=Inputs!$F$108,Reserves!Y13&gt;=Debt!Y132-0.000001,OR(Y20=0,Y21=1),Debt!Y121&gt;0.000000001,OR(Y22=0,Y23=1)),AND(Time!Y32=1,Debt!Y121&lt;=0.000000001),AND(Debt!Y121&lt;=0.000000001,Time!Y30=1,Debt!Y122&lt;0.000000001)),1,0)</f>
        <v>1</v>
      </c>
      <c r="Z24" s="9" t="n">
        <f aca="false">IF(OR(AND(Z19=1,Z18&gt;=Inputs!$F$108,Reserves!Z13&gt;=Debt!Z132-0.000001,OR(Z20=0,Z21=1),Debt!Z121&gt;0.000000001,OR(Z22=0,Z23=1)),AND(Time!Z32=1,Debt!Z121&lt;=0.000000001),AND(Debt!Z121&lt;=0.000000001,Time!Z30=1,Debt!Z122&lt;0.000000001)),1,0)</f>
        <v>1</v>
      </c>
      <c r="AA24" s="9" t="n">
        <f aca="false">IF(OR(AND(AA19=1,AA18&gt;=Inputs!$F$108,Reserves!AA13&gt;=Debt!AA132-0.000001,OR(AA20=0,AA21=1),Debt!AA121&gt;0.000000001,OR(AA22=0,AA23=1)),AND(Time!AA32=1,Debt!AA121&lt;=0.000000001),AND(Debt!AA121&lt;=0.000000001,Time!AA30=1,Debt!AA122&lt;0.000000001)),1,0)</f>
        <v>1</v>
      </c>
      <c r="AB24" s="9" t="n">
        <f aca="false">IF(OR(AND(AB19=1,AB18&gt;=Inputs!$F$108,Reserves!AB13&gt;=Debt!AB132-0.000001,OR(AB20=0,AB21=1),Debt!AB121&gt;0.000000001,OR(AB22=0,AB23=1)),AND(Time!AB32=1,Debt!AB121&lt;=0.000000001),AND(Debt!AB121&lt;=0.000000001,Time!AB30=1,Debt!AB122&lt;0.000000001)),1,0)</f>
        <v>1</v>
      </c>
      <c r="AC24" s="9" t="n">
        <f aca="false">IF(OR(AND(AC19=1,AC18&gt;=Inputs!$F$108,Reserves!AC13&gt;=Debt!AC132-0.000001,OR(AC20=0,AC21=1),Debt!AC121&gt;0.000000001,OR(AC22=0,AC23=1)),AND(Time!AC32=1,Debt!AC121&lt;=0.000000001),AND(Debt!AC121&lt;=0.000000001,Time!AC30=1,Debt!AC122&lt;0.000000001)),1,0)</f>
        <v>1</v>
      </c>
      <c r="AD24" s="9" t="n">
        <f aca="false">IF(OR(AND(AD19=1,AD18&gt;=Inputs!$F$108,Reserves!AD13&gt;=Debt!AD132-0.000001,OR(AD20=0,AD21=1),Debt!AD121&gt;0.000000001,OR(AD22=0,AD23=1)),AND(Time!AD32=1,Debt!AD121&lt;=0.000000001),AND(Debt!AD121&lt;=0.000000001,Time!AD30=1,Debt!AD122&lt;0.000000001)),1,0)</f>
        <v>1</v>
      </c>
      <c r="AE24" s="9" t="n">
        <f aca="false">IF(OR(AND(AE19=1,AE18&gt;=Inputs!$F$108,Reserves!AE13&gt;=Debt!AE132-0.000001,OR(AE20=0,AE21=1),Debt!AE121&gt;0.000000001,OR(AE22=0,AE23=1)),AND(Time!AE32=1,Debt!AE121&lt;=0.000000001),AND(Debt!AE121&lt;=0.000000001,Time!AE30=1,Debt!AE122&lt;0.000000001)),1,0)</f>
        <v>1</v>
      </c>
      <c r="AF24" s="9" t="n">
        <f aca="false">IF(OR(AND(AF19=1,AF18&gt;=Inputs!$F$108,Reserves!AF13&gt;=Debt!AF132-0.000001,OR(AF20=0,AF21=1),Debt!AF121&gt;0.000000001,OR(AF22=0,AF23=1)),AND(Time!AF32=1,Debt!AF121&lt;=0.000000001),AND(Debt!AF121&lt;=0.000000001,Time!AF30=1,Debt!AF122&lt;0.000000001)),1,0)</f>
        <v>1</v>
      </c>
      <c r="AG24" s="9" t="n">
        <f aca="false">IF(OR(AND(AG19=1,AG18&gt;=Inputs!$F$108,Reserves!AG13&gt;=Debt!AG132-0.000001,OR(AG20=0,AG21=1),Debt!AG121&gt;0.000000001,OR(AG22=0,AG23=1)),AND(Time!AG32=1,Debt!AG121&lt;=0.000000001),AND(Debt!AG121&lt;=0.000000001,Time!AG30=1,Debt!AG122&lt;0.000000001)),1,0)</f>
        <v>1</v>
      </c>
      <c r="AH24" s="9" t="n">
        <f aca="false">IF(OR(AND(AH19=1,AH18&gt;=Inputs!$F$108,Reserves!AH13&gt;=Debt!AH132-0.000001,OR(AH20=0,AH21=1),Debt!AH121&gt;0.000000001,OR(AH22=0,AH23=1)),AND(Time!AH32=1,Debt!AH121&lt;=0.000000001),AND(Debt!AH121&lt;=0.000000001,Time!AH30=1,Debt!AH122&lt;0.000000001)),1,0)</f>
        <v>1</v>
      </c>
      <c r="AI24" s="9" t="n">
        <f aca="false">IF(OR(AND(AI19=1,AI18&gt;=Inputs!$F$108,Reserves!AI13&gt;=Debt!AI132-0.000001,OR(AI20=0,AI21=1),Debt!AI121&gt;0.000000001,OR(AI22=0,AI23=1)),AND(Time!AI32=1,Debt!AI121&lt;=0.000000001),AND(Debt!AI121&lt;=0.000000001,Time!AI30=1,Debt!AI122&lt;0.000000001)),1,0)</f>
        <v>1</v>
      </c>
      <c r="AJ24" s="9" t="n">
        <f aca="false">IF(OR(AND(AJ19=1,AJ18&gt;=Inputs!$F$108,Reserves!AJ13&gt;=Debt!AJ132-0.000001,OR(AJ20=0,AJ21=1),Debt!AJ121&gt;0.000000001,OR(AJ22=0,AJ23=1)),AND(Time!AJ32=1,Debt!AJ121&lt;=0.000000001),AND(Debt!AJ121&lt;=0.000000001,Time!AJ30=1,Debt!AJ122&lt;0.000000001)),1,0)</f>
        <v>1</v>
      </c>
      <c r="AK24" s="9" t="n">
        <f aca="false">IF(OR(AND(AK19=1,AK18&gt;=Inputs!$F$108,Reserves!AK13&gt;=Debt!AK132-0.000001,OR(AK20=0,AK21=1),Debt!AK121&gt;0.000000001,OR(AK22=0,AK23=1)),AND(Time!AK32=1,Debt!AK121&lt;=0.000000001),AND(Debt!AK121&lt;=0.000000001,Time!AK30=1,Debt!AK122&lt;0.000000001)),1,0)</f>
        <v>1</v>
      </c>
      <c r="AL24" s="9" t="n">
        <f aca="false">IF(OR(AND(AL19=1,AL18&gt;=Inputs!$F$108,Reserves!AL13&gt;=Debt!AL132-0.000001,OR(AL20=0,AL21=1),Debt!AL121&gt;0.000000001,OR(AL22=0,AL23=1)),AND(Time!AL32=1,Debt!AL121&lt;=0.000000001),AND(Debt!AL121&lt;=0.000000001,Time!AL30=1,Debt!AL122&lt;0.000000001)),1,0)</f>
        <v>1</v>
      </c>
      <c r="AM24" s="9" t="n">
        <f aca="false">IF(OR(AND(AM19=1,AM18&gt;=Inputs!$F$108,Reserves!AM13&gt;=Debt!AM132-0.000001,OR(AM20=0,AM21=1),Debt!AM121&gt;0.000000001,OR(AM22=0,AM23=1)),AND(Time!AM32=1,Debt!AM121&lt;=0.000000001),AND(Debt!AM121&lt;=0.000000001,Time!AM30=1,Debt!AM122&lt;0.000000001)),1,0)</f>
        <v>1</v>
      </c>
      <c r="AN24" s="9" t="n">
        <f aca="false">IF(OR(AND(AN19=1,AN18&gt;=Inputs!$F$108,Reserves!AN13&gt;=Debt!AN132-0.000001,OR(AN20=0,AN21=1),Debt!AN121&gt;0.000000001,OR(AN22=0,AN23=1)),AND(Time!AN32=1,Debt!AN121&lt;=0.000000001),AND(Debt!AN121&lt;=0.000000001,Time!AN30=1,Debt!AN122&lt;0.000000001)),1,0)</f>
        <v>1</v>
      </c>
      <c r="AO24" s="9" t="n">
        <f aca="false">IF(OR(AND(AO19=1,AO18&gt;=Inputs!$F$108,Reserves!AO13&gt;=Debt!AO132-0.000001,OR(AO20=0,AO21=1),Debt!AO121&gt;0.000000001,OR(AO22=0,AO23=1)),AND(Time!AO32=1,Debt!AO121&lt;=0.000000001),AND(Debt!AO121&lt;=0.000000001,Time!AO30=1,Debt!AO122&lt;0.000000001)),1,0)</f>
        <v>1</v>
      </c>
      <c r="AP24" s="9" t="n">
        <f aca="false">IF(OR(AND(AP19=1,AP18&gt;=Inputs!$F$108,Reserves!AP13&gt;=Debt!AP132-0.000001,OR(AP20=0,AP21=1),Debt!AP121&gt;0.000000001,OR(AP22=0,AP23=1)),AND(Time!AP32=1,Debt!AP121&lt;=0.000000001),AND(Debt!AP121&lt;=0.000000001,Time!AP30=1,Debt!AP122&lt;0.000000001)),1,0)</f>
        <v>1</v>
      </c>
      <c r="AQ24" s="9" t="n">
        <f aca="false">IF(OR(AND(AQ19=1,AQ18&gt;=Inputs!$F$108,Reserves!AQ13&gt;=Debt!AQ132-0.000001,OR(AQ20=0,AQ21=1),Debt!AQ121&gt;0.000000001,OR(AQ22=0,AQ23=1)),AND(Time!AQ32=1,Debt!AQ121&lt;=0.000000001),AND(Debt!AQ121&lt;=0.000000001,Time!AQ30=1,Debt!AQ122&lt;0.000000001)),1,0)</f>
        <v>1</v>
      </c>
      <c r="AR24" s="9" t="n">
        <f aca="false">IF(OR(AND(AR19=1,AR18&gt;=Inputs!$F$108,Reserves!AR13&gt;=Debt!AR132-0.000001,OR(AR20=0,AR21=1),Debt!AR121&gt;0.000000001,OR(AR22=0,AR23=1)),AND(Time!AR32=1,Debt!AR121&lt;=0.000000001),AND(Debt!AR121&lt;=0.000000001,Time!AR30=1,Debt!AR122&lt;0.000000001)),1,0)</f>
        <v>1</v>
      </c>
      <c r="AS24" s="9" t="n">
        <f aca="false">IF(OR(AND(AS19=1,AS18&gt;=Inputs!$F$108,Reserves!AS13&gt;=Debt!AS132-0.000001,OR(AS20=0,AS21=1),Debt!AS121&gt;0.000000001,OR(AS22=0,AS23=1)),AND(Time!AS32=1,Debt!AS121&lt;=0.000000001),AND(Debt!AS121&lt;=0.000000001,Time!AS30=1,Debt!AS122&lt;0.000000001)),1,0)</f>
        <v>1</v>
      </c>
      <c r="AT24" s="9" t="n">
        <f aca="false">IF(OR(AND(AT19=1,AT18&gt;=Inputs!$F$108,Reserves!AT13&gt;=Debt!AT132-0.000001,OR(AT20=0,AT21=1),Debt!AT121&gt;0.000000001,OR(AT22=0,AT23=1)),AND(Time!AT32=1,Debt!AT121&lt;=0.000000001),AND(Debt!AT121&lt;=0.000000001,Time!AT30=1,Debt!AT122&lt;0.000000001)),1,0)</f>
        <v>1</v>
      </c>
      <c r="AU24" s="9" t="n">
        <f aca="false">IF(OR(AND(AU19=1,AU18&gt;=Inputs!$F$108,Reserves!AU13&gt;=Debt!AU132-0.000001,OR(AU20=0,AU21=1),Debt!AU121&gt;0.000000001,OR(AU22=0,AU23=1)),AND(Time!AU32=1,Debt!AU121&lt;=0.000000001),AND(Debt!AU121&lt;=0.000000001,Time!AU30=1,Debt!AU122&lt;0.000000001)),1,0)</f>
        <v>1</v>
      </c>
      <c r="AV24" s="9" t="n">
        <f aca="false">IF(OR(AND(AV19=1,AV18&gt;=Inputs!$F$108,Reserves!AV13&gt;=Debt!AV132-0.000001,OR(AV20=0,AV21=1),Debt!AV121&gt;0.000000001,OR(AV22=0,AV23=1)),AND(Time!AV32=1,Debt!AV121&lt;=0.000000001),AND(Debt!AV121&lt;=0.000000001,Time!AV30=1,Debt!AV122&lt;0.000000001)),1,0)</f>
        <v>1</v>
      </c>
      <c r="AW24" s="9" t="n">
        <f aca="false">IF(OR(AND(AW19=1,AW18&gt;=Inputs!$F$108,Reserves!AW13&gt;=Debt!AW132-0.000001,OR(AW20=0,AW21=1),Debt!AW121&gt;0.000000001,OR(AW22=0,AW23=1)),AND(Time!AW32=1,Debt!AW121&lt;=0.000000001),AND(Debt!AW121&lt;=0.000000001,Time!AW30=1,Debt!AW122&lt;0.000000001)),1,0)</f>
        <v>1</v>
      </c>
      <c r="AX24" s="9" t="n">
        <f aca="false">IF(OR(AND(AX19=1,AX18&gt;=Inputs!$F$108,Reserves!AX13&gt;=Debt!AX132-0.000001,OR(AX20=0,AX21=1),Debt!AX121&gt;0.000000001,OR(AX22=0,AX23=1)),AND(Time!AX32=1,Debt!AX121&lt;=0.000000001),AND(Debt!AX121&lt;=0.000000001,Time!AX30=1,Debt!AX122&lt;0.000000001)),1,0)</f>
        <v>1</v>
      </c>
      <c r="AY24" s="9" t="n">
        <f aca="false">IF(OR(AND(AY19=1,AY18&gt;=Inputs!$F$108,Reserves!AY13&gt;=Debt!AY132-0.000001,OR(AY20=0,AY21=1),Debt!AY121&gt;0.000000001,OR(AY22=0,AY23=1)),AND(Time!AY32=1,Debt!AY121&lt;=0.000000001),AND(Debt!AY121&lt;=0.000000001,Time!AY30=1,Debt!AY122&lt;0.000000001)),1,0)</f>
        <v>1</v>
      </c>
      <c r="AZ24" s="9" t="n">
        <f aca="false">IF(OR(AND(AZ19=1,AZ18&gt;=Inputs!$F$108,Reserves!AZ13&gt;=Debt!AZ132-0.000001,OR(AZ20=0,AZ21=1),Debt!AZ121&gt;0.000000001,OR(AZ22=0,AZ23=1)),AND(Time!AZ32=1,Debt!AZ121&lt;=0.000000001),AND(Debt!AZ121&lt;=0.000000001,Time!AZ30=1,Debt!AZ122&lt;0.000000001)),1,0)</f>
        <v>1</v>
      </c>
      <c r="BA24" s="9" t="n">
        <f aca="false">IF(OR(AND(BA19=1,BA18&gt;=Inputs!$F$108,Reserves!BA13&gt;=Debt!BA132-0.000001,OR(BA20=0,BA21=1),Debt!BA121&gt;0.000000001,OR(BA22=0,BA23=1)),AND(Time!BA32=1,Debt!BA121&lt;=0.000000001),AND(Debt!BA121&lt;=0.000000001,Time!BA30=1,Debt!BA122&lt;0.000000001)),1,0)</f>
        <v>1</v>
      </c>
      <c r="BB24" s="9" t="n">
        <f aca="false">IF(OR(AND(BB19=1,BB18&gt;=Inputs!$F$108,Reserves!BB13&gt;=Debt!BB132-0.000001,OR(BB20=0,BB21=1),Debt!BB121&gt;0.000000001,OR(BB22=0,BB23=1)),AND(Time!BB32=1,Debt!BB121&lt;=0.000000001),AND(Debt!BB121&lt;=0.000000001,Time!BB30=1,Debt!BB122&lt;0.000000001)),1,0)</f>
        <v>1</v>
      </c>
      <c r="BC24" s="9" t="n">
        <f aca="false">IF(OR(AND(BC19=1,BC18&gt;=Inputs!$F$108,Reserves!BC13&gt;=Debt!BC132-0.000001,OR(BC20=0,BC21=1),Debt!BC121&gt;0.000000001,OR(BC22=0,BC23=1)),AND(Time!BC32=1,Debt!BC121&lt;=0.000000001),AND(Debt!BC121&lt;=0.000000001,Time!BC30=1,Debt!BC122&lt;0.000000001)),1,0)</f>
        <v>1</v>
      </c>
      <c r="BD24" s="9" t="n">
        <f aca="false">IF(OR(AND(BD19=1,BD18&gt;=Inputs!$F$108,Reserves!BD13&gt;=Debt!BD132-0.000001,OR(BD20=0,BD21=1),Debt!BD121&gt;0.000000001,OR(BD22=0,BD23=1)),AND(Time!BD32=1,Debt!BD121&lt;=0.000000001),AND(Debt!BD121&lt;=0.000000001,Time!BD30=1,Debt!BD122&lt;0.000000001)),1,0)</f>
        <v>1</v>
      </c>
      <c r="BE24" s="9" t="n">
        <f aca="false">IF(OR(AND(BE19=1,BE18&gt;=Inputs!$F$108,Reserves!BE13&gt;=Debt!BE132-0.000001,OR(BE20=0,BE21=1),Debt!BE121&gt;0.000000001,OR(BE22=0,BE23=1)),AND(Time!BE32=1,Debt!BE121&lt;=0.000000001),AND(Debt!BE121&lt;=0.000000001,Time!BE30=1,Debt!BE122&lt;0.000000001)),1,0)</f>
        <v>1</v>
      </c>
      <c r="BF24" s="9" t="n">
        <f aca="false">IF(OR(AND(BF19=1,BF18&gt;=Inputs!$F$108,Reserves!BF13&gt;=Debt!BF132-0.000001,OR(BF20=0,BF21=1),Debt!BF121&gt;0.000000001,OR(BF22=0,BF23=1)),AND(Time!BF32=1,Debt!BF121&lt;=0.000000001),AND(Debt!BF121&lt;=0.000000001,Time!BF30=1,Debt!BF122&lt;0.000000001)),1,0)</f>
        <v>1</v>
      </c>
      <c r="BG24" s="9" t="n">
        <f aca="false">IF(OR(AND(BG19=1,BG18&gt;=Inputs!$F$108,Reserves!BG13&gt;=Debt!BG132-0.000001,OR(BG20=0,BG21=1),Debt!BG121&gt;0.000000001,OR(BG22=0,BG23=1)),AND(Time!BG32=1,Debt!BG121&lt;=0.000000001),AND(Debt!BG121&lt;=0.000000001,Time!BG30=1,Debt!BG122&lt;0.000000001)),1,0)</f>
        <v>1</v>
      </c>
      <c r="BH24" s="9" t="n">
        <f aca="false">IF(OR(AND(BH19=1,BH18&gt;=Inputs!$F$108,Reserves!BH13&gt;=Debt!BH132-0.000001,OR(BH20=0,BH21=1),Debt!BH121&gt;0.000000001,OR(BH22=0,BH23=1)),AND(Time!BH32=1,Debt!BH121&lt;=0.000000001),AND(Debt!BH121&lt;=0.000000001,Time!BH30=1,Debt!BH122&lt;0.000000001)),1,0)</f>
        <v>1</v>
      </c>
      <c r="BI24" s="9" t="n">
        <f aca="false">IF(OR(AND(BI19=1,BI18&gt;=Inputs!$F$108,Reserves!BI13&gt;=Debt!BI132-0.000001,OR(BI20=0,BI21=1),Debt!BI121&gt;0.000000001,OR(BI22=0,BI23=1)),AND(Time!BI32=1,Debt!BI121&lt;=0.000000001),AND(Debt!BI121&lt;=0.000000001,Time!BI30=1,Debt!BI122&lt;0.000000001)),1,0)</f>
        <v>1</v>
      </c>
      <c r="BJ24" s="9" t="n">
        <f aca="false">IF(OR(AND(BJ19=1,BJ18&gt;=Inputs!$F$108,Reserves!BJ13&gt;=Debt!BJ132-0.000001,OR(BJ20=0,BJ21=1),Debt!BJ121&gt;0.000000001,OR(BJ22=0,BJ23=1)),AND(Time!BJ32=1,Debt!BJ121&lt;=0.000000001),AND(Debt!BJ121&lt;=0.000000001,Time!BJ30=1,Debt!BJ122&lt;0.000000001)),1,0)</f>
        <v>1</v>
      </c>
      <c r="BK24" s="9" t="n">
        <f aca="false">IF(OR(AND(BK19=1,BK18&gt;=Inputs!$F$108,Reserves!BK13&gt;=Debt!BK132-0.000001,OR(BK20=0,BK21=1),Debt!BK121&gt;0.000000001,OR(BK22=0,BK23=1)),AND(Time!BK32=1,Debt!BK121&lt;=0.000000001),AND(Debt!BK121&lt;=0.000000001,Time!BK30=1,Debt!BK122&lt;0.000000001)),1,0)</f>
        <v>1</v>
      </c>
      <c r="BL24" s="9" t="n">
        <f aca="false">IF(OR(AND(BL19=1,BL18&gt;=Inputs!$F$108,Reserves!BL13&gt;=Debt!BL132-0.000001,OR(BL20=0,BL21=1),Debt!BL121&gt;0.000000001,OR(BL22=0,BL23=1)),AND(Time!BL32=1,Debt!BL121&lt;=0.000000001),AND(Debt!BL121&lt;=0.000000001,Time!BL30=1,Debt!BL122&lt;0.000000001)),1,0)</f>
        <v>1</v>
      </c>
      <c r="BM24" s="9" t="n">
        <f aca="false">IF(OR(AND(BM19=1,BM18&gt;=Inputs!$F$108,Reserves!BM13&gt;=Debt!BM132-0.000001,OR(BM20=0,BM21=1),Debt!BM121&gt;0.000000001,OR(BM22=0,BM23=1)),AND(Time!BM32=1,Debt!BM121&lt;=0.000000001),AND(Debt!BM121&lt;=0.000000001,Time!BM30=1,Debt!BM122&lt;0.000000001)),1,0)</f>
        <v>1</v>
      </c>
      <c r="BN24" s="9" t="n">
        <f aca="false">IF(OR(AND(BN19=1,BN18&gt;=Inputs!$F$108,Reserves!BN13&gt;=Debt!BN132-0.000001,OR(BN20=0,BN21=1),Debt!BN121&gt;0.000000001,OR(BN22=0,BN23=1)),AND(Time!BN32=1,Debt!BN121&lt;=0.000000001),AND(Debt!BN121&lt;=0.000000001,Time!BN30=1,Debt!BN122&lt;0.000000001)),1,0)</f>
        <v>1</v>
      </c>
    </row>
    <row r="25" customFormat="false" ht="15" hidden="false" customHeight="false" outlineLevel="0" collapsed="false">
      <c r="D25" s="0" t="s">
        <v>742</v>
      </c>
      <c r="E25" s="0" t="s">
        <v>113</v>
      </c>
      <c r="J25" s="9" t="n">
        <f aca="false">IF(AND(J24=0,J19=1,Debt!J121&gt;0.000000001),1,0)</f>
        <v>0</v>
      </c>
      <c r="K25" s="9" t="n">
        <f aca="false">IF(AND(K24=0,K19=1,Debt!K121&gt;0.000000001),1,0)</f>
        <v>0</v>
      </c>
      <c r="L25" s="9" t="n">
        <f aca="false">IF(AND(L24=0,L19=1,Debt!L121&gt;0.000000001),1,0)</f>
        <v>0</v>
      </c>
      <c r="M25" s="9" t="n">
        <f aca="false">IF(AND(M24=0,M19=1,Debt!M121&gt;0.000000001),1,0)</f>
        <v>0</v>
      </c>
      <c r="N25" s="9" t="n">
        <f aca="false">IF(AND(N24=0,N19=1,Debt!N121&gt;0.000000001),1,0)</f>
        <v>0</v>
      </c>
      <c r="O25" s="9" t="n">
        <f aca="false">IF(AND(O24=0,O19=1,Debt!O121&gt;0.000000001),1,0)</f>
        <v>0</v>
      </c>
      <c r="P25" s="9" t="n">
        <f aca="false">IF(AND(P24=0,P19=1,Debt!P121&gt;0.000000001),1,0)</f>
        <v>0</v>
      </c>
      <c r="Q25" s="9" t="n">
        <f aca="false">IF(AND(Q24=0,Q19=1,Debt!Q121&gt;0.000000001),1,0)</f>
        <v>0</v>
      </c>
      <c r="R25" s="9" t="n">
        <f aca="false">IF(AND(R24=0,R19=1,Debt!R121&gt;0.000000001),1,0)</f>
        <v>1</v>
      </c>
      <c r="S25" s="9" t="n">
        <f aca="false">IF(AND(S24=0,S19=1,Debt!S121&gt;0.000000001),1,0)</f>
        <v>1</v>
      </c>
      <c r="T25" s="9" t="n">
        <f aca="false">IF(AND(T24=0,T19=1,Debt!T121&gt;0.000000001),1,0)</f>
        <v>1</v>
      </c>
      <c r="U25" s="9" t="n">
        <f aca="false">IF(AND(U24=0,U19=1,Debt!U121&gt;0.000000001),1,0)</f>
        <v>1</v>
      </c>
      <c r="V25" s="9" t="n">
        <f aca="false">IF(AND(V24=0,V19=1,Debt!V121&gt;0.000000001),1,0)</f>
        <v>0</v>
      </c>
      <c r="W25" s="9" t="n">
        <f aca="false">IF(AND(W24=0,W19=1,Debt!W121&gt;0.000000001),1,0)</f>
        <v>0</v>
      </c>
      <c r="X25" s="9" t="n">
        <f aca="false">IF(AND(X24=0,X19=1,Debt!X121&gt;0.000000001),1,0)</f>
        <v>0</v>
      </c>
      <c r="Y25" s="9" t="n">
        <f aca="false">IF(AND(Y24=0,Y19=1,Debt!Y121&gt;0.000000001),1,0)</f>
        <v>0</v>
      </c>
      <c r="Z25" s="9" t="n">
        <f aca="false">IF(AND(Z24=0,Z19=1,Debt!Z121&gt;0.000000001),1,0)</f>
        <v>0</v>
      </c>
      <c r="AA25" s="9" t="n">
        <f aca="false">IF(AND(AA24=0,AA19=1,Debt!AA121&gt;0.000000001),1,0)</f>
        <v>0</v>
      </c>
      <c r="AB25" s="9" t="n">
        <f aca="false">IF(AND(AB24=0,AB19=1,Debt!AB121&gt;0.000000001),1,0)</f>
        <v>0</v>
      </c>
      <c r="AC25" s="9" t="n">
        <f aca="false">IF(AND(AC24=0,AC19=1,Debt!AC121&gt;0.000000001),1,0)</f>
        <v>0</v>
      </c>
      <c r="AD25" s="9" t="n">
        <f aca="false">IF(AND(AD24=0,AD19=1,Debt!AD121&gt;0.000000001),1,0)</f>
        <v>0</v>
      </c>
      <c r="AE25" s="9" t="n">
        <f aca="false">IF(AND(AE24=0,AE19=1,Debt!AE121&gt;0.000000001),1,0)</f>
        <v>0</v>
      </c>
      <c r="AF25" s="9" t="n">
        <f aca="false">IF(AND(AF24=0,AF19=1,Debt!AF121&gt;0.000000001),1,0)</f>
        <v>0</v>
      </c>
      <c r="AG25" s="9" t="n">
        <f aca="false">IF(AND(AG24=0,AG19=1,Debt!AG121&gt;0.000000001),1,0)</f>
        <v>0</v>
      </c>
      <c r="AH25" s="9" t="n">
        <f aca="false">IF(AND(AH24=0,AH19=1,Debt!AH121&gt;0.000000001),1,0)</f>
        <v>0</v>
      </c>
      <c r="AI25" s="9" t="n">
        <f aca="false">IF(AND(AI24=0,AI19=1,Debt!AI121&gt;0.000000001),1,0)</f>
        <v>0</v>
      </c>
      <c r="AJ25" s="9" t="n">
        <f aca="false">IF(AND(AJ24=0,AJ19=1,Debt!AJ121&gt;0.000000001),1,0)</f>
        <v>0</v>
      </c>
      <c r="AK25" s="9" t="n">
        <f aca="false">IF(AND(AK24=0,AK19=1,Debt!AK121&gt;0.000000001),1,0)</f>
        <v>0</v>
      </c>
      <c r="AL25" s="9" t="n">
        <f aca="false">IF(AND(AL24=0,AL19=1,Debt!AL121&gt;0.000000001),1,0)</f>
        <v>0</v>
      </c>
      <c r="AM25" s="9" t="n">
        <f aca="false">IF(AND(AM24=0,AM19=1,Debt!AM121&gt;0.000000001),1,0)</f>
        <v>0</v>
      </c>
      <c r="AN25" s="9" t="n">
        <f aca="false">IF(AND(AN24=0,AN19=1,Debt!AN121&gt;0.000000001),1,0)</f>
        <v>0</v>
      </c>
      <c r="AO25" s="9" t="n">
        <f aca="false">IF(AND(AO24=0,AO19=1,Debt!AO121&gt;0.000000001),1,0)</f>
        <v>0</v>
      </c>
      <c r="AP25" s="9" t="n">
        <f aca="false">IF(AND(AP24=0,AP19=1,Debt!AP121&gt;0.000000001),1,0)</f>
        <v>0</v>
      </c>
      <c r="AQ25" s="9" t="n">
        <f aca="false">IF(AND(AQ24=0,AQ19=1,Debt!AQ121&gt;0.000000001),1,0)</f>
        <v>0</v>
      </c>
      <c r="AR25" s="9" t="n">
        <f aca="false">IF(AND(AR24=0,AR19=1,Debt!AR121&gt;0.000000001),1,0)</f>
        <v>0</v>
      </c>
      <c r="AS25" s="9" t="n">
        <f aca="false">IF(AND(AS24=0,AS19=1,Debt!AS121&gt;0.000000001),1,0)</f>
        <v>0</v>
      </c>
      <c r="AT25" s="9" t="n">
        <f aca="false">IF(AND(AT24=0,AT19=1,Debt!AT121&gt;0.000000001),1,0)</f>
        <v>0</v>
      </c>
      <c r="AU25" s="9" t="n">
        <f aca="false">IF(AND(AU24=0,AU19=1,Debt!AU121&gt;0.000000001),1,0)</f>
        <v>0</v>
      </c>
      <c r="AV25" s="9" t="n">
        <f aca="false">IF(AND(AV24=0,AV19=1,Debt!AV121&gt;0.000000001),1,0)</f>
        <v>0</v>
      </c>
      <c r="AW25" s="9" t="n">
        <f aca="false">IF(AND(AW24=0,AW19=1,Debt!AW121&gt;0.000000001),1,0)</f>
        <v>0</v>
      </c>
      <c r="AX25" s="9" t="n">
        <f aca="false">IF(AND(AX24=0,AX19=1,Debt!AX121&gt;0.000000001),1,0)</f>
        <v>0</v>
      </c>
      <c r="AY25" s="9" t="n">
        <f aca="false">IF(AND(AY24=0,AY19=1,Debt!AY121&gt;0.000000001),1,0)</f>
        <v>0</v>
      </c>
      <c r="AZ25" s="9" t="n">
        <f aca="false">IF(AND(AZ24=0,AZ19=1,Debt!AZ121&gt;0.000000001),1,0)</f>
        <v>0</v>
      </c>
      <c r="BA25" s="9" t="n">
        <f aca="false">IF(AND(BA24=0,BA19=1,Debt!BA121&gt;0.000000001),1,0)</f>
        <v>0</v>
      </c>
      <c r="BB25" s="9" t="n">
        <f aca="false">IF(AND(BB24=0,BB19=1,Debt!BB121&gt;0.000000001),1,0)</f>
        <v>0</v>
      </c>
      <c r="BC25" s="9" t="n">
        <f aca="false">IF(AND(BC24=0,BC19=1,Debt!BC121&gt;0.000000001),1,0)</f>
        <v>0</v>
      </c>
      <c r="BD25" s="9" t="n">
        <f aca="false">IF(AND(BD24=0,BD19=1,Debt!BD121&gt;0.000000001),1,0)</f>
        <v>0</v>
      </c>
      <c r="BE25" s="9" t="n">
        <f aca="false">IF(AND(BE24=0,BE19=1,Debt!BE121&gt;0.000000001),1,0)</f>
        <v>0</v>
      </c>
      <c r="BF25" s="9" t="n">
        <f aca="false">IF(AND(BF24=0,BF19=1,Debt!BF121&gt;0.000000001),1,0)</f>
        <v>0</v>
      </c>
      <c r="BG25" s="9" t="n">
        <f aca="false">IF(AND(BG24=0,BG19=1,Debt!BG121&gt;0.000000001),1,0)</f>
        <v>0</v>
      </c>
      <c r="BH25" s="9" t="n">
        <f aca="false">IF(AND(BH24=0,BH19=1,Debt!BH121&gt;0.000000001),1,0)</f>
        <v>0</v>
      </c>
      <c r="BI25" s="9" t="n">
        <f aca="false">IF(AND(BI24=0,BI19=1,Debt!BI121&gt;0.000000001),1,0)</f>
        <v>0</v>
      </c>
      <c r="BJ25" s="9" t="n">
        <f aca="false">IF(AND(BJ24=0,BJ19=1,Debt!BJ121&gt;0.000000001),1,0)</f>
        <v>0</v>
      </c>
      <c r="BK25" s="9" t="n">
        <f aca="false">IF(AND(BK24=0,BK19=1,Debt!BK121&gt;0.000000001),1,0)</f>
        <v>0</v>
      </c>
      <c r="BL25" s="9" t="n">
        <f aca="false">IF(AND(BL24=0,BL19=1,Debt!BL121&gt;0.000000001),1,0)</f>
        <v>0</v>
      </c>
      <c r="BM25" s="9" t="n">
        <f aca="false">IF(AND(BM24=0,BM19=1,Debt!BM121&gt;0.000000001),1,0)</f>
        <v>0</v>
      </c>
      <c r="BN25" s="9" t="n">
        <f aca="false">IF(AND(BN24=0,BN19=1,Debt!BN121&gt;0.000000001),1,0)</f>
        <v>0</v>
      </c>
    </row>
    <row r="26" customFormat="false" ht="15" hidden="false" customHeight="false" outlineLevel="0" collapsed="false">
      <c r="D26" s="0" t="s">
        <v>743</v>
      </c>
      <c r="E26" s="0" t="s">
        <v>744</v>
      </c>
      <c r="J26" s="9" t="n">
        <f aca="false">IF(J25=1,0+1,0)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1</v>
      </c>
      <c r="S26" s="9" t="n">
        <f aca="false">IF(S25=1,R26+1,0)</f>
        <v>2</v>
      </c>
      <c r="T26" s="9" t="n">
        <f aca="false">IF(T25=1,S26+1,0)</f>
        <v>3</v>
      </c>
      <c r="U26" s="9" t="n">
        <f aca="false">IF(U25=1,T26+1,0)</f>
        <v>4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745</v>
      </c>
    </row>
    <row r="28" customFormat="false" ht="15" hidden="false" customHeight="false" outlineLevel="0" collapsed="false">
      <c r="D28" s="0" t="s">
        <v>746</v>
      </c>
      <c r="E28" s="0" t="s">
        <v>149</v>
      </c>
      <c r="G28" s="11" t="n">
        <f aca="false">SUM(J28:BN28)</f>
        <v>0</v>
      </c>
      <c r="J28" s="11" t="n">
        <f aca="false">IF(AND(J24=0,J26&gt;=2,J22=0),MIN(J15,Debt!J36+Debt!J51+Debt!J66+Debt!J81+Debt!J96),0)</f>
        <v>0</v>
      </c>
      <c r="K28" s="11" t="n">
        <f aca="false">IF(AND(K24=0,K26&gt;=2,K22=0),MIN(K15,Debt!K36+Debt!K51+Debt!K66+Debt!K81+Debt!K96),0)</f>
        <v>0</v>
      </c>
      <c r="L28" s="11" t="n">
        <f aca="false">IF(AND(L24=0,L26&gt;=2,L22=0),MIN(L15,Debt!L36+Debt!L51+Debt!L66+Debt!L81+Debt!L96),0)</f>
        <v>0</v>
      </c>
      <c r="M28" s="11" t="n">
        <f aca="false">IF(AND(M24=0,M26&gt;=2,M22=0),MIN(M15,Debt!M36+Debt!M51+Debt!M66+Debt!M81+Debt!M96),0)</f>
        <v>0</v>
      </c>
      <c r="N28" s="11" t="n">
        <f aca="false">IF(AND(N24=0,N26&gt;=2,N22=0),MIN(N15,Debt!N36+Debt!N51+Debt!N66+Debt!N81+Debt!N96),0)</f>
        <v>0</v>
      </c>
      <c r="O28" s="11" t="n">
        <f aca="false">IF(AND(O24=0,O26&gt;=2,O22=0),MIN(O15,Debt!O36+Debt!O51+Debt!O66+Debt!O81+Debt!O96),0)</f>
        <v>0</v>
      </c>
      <c r="P28" s="11" t="n">
        <f aca="false">IF(AND(P24=0,P26&gt;=2,P22=0),MIN(P15,Debt!P36+Debt!P51+Debt!P66+Debt!P81+Debt!P96),0)</f>
        <v>0</v>
      </c>
      <c r="Q28" s="11" t="n">
        <f aca="false">IF(AND(Q24=0,Q26&gt;=2,Q22=0),MIN(Q15,Debt!Q36+Debt!Q51+Debt!Q66+Debt!Q81+Debt!Q96),0)</f>
        <v>0</v>
      </c>
      <c r="R28" s="11" t="n">
        <f aca="false">IF(AND(R24=0,R26&gt;=2,R22=0),MIN(R15,Debt!R36+Debt!R51+Debt!R66+Debt!R81+Debt!R96),0)</f>
        <v>0</v>
      </c>
      <c r="S28" s="11" t="n">
        <f aca="false">IF(AND(S24=0,S26&gt;=2,S22=0),MIN(S15,Debt!S36+Debt!S51+Debt!S66+Debt!S81+Debt!S96),0)</f>
        <v>0</v>
      </c>
      <c r="T28" s="11" t="n">
        <f aca="false">IF(AND(T24=0,T26&gt;=2,T22=0),MIN(T15,Debt!T36+Debt!T51+Debt!T66+Debt!T81+Debt!T96),0)</f>
        <v>0</v>
      </c>
      <c r="U28" s="11" t="n">
        <f aca="false">IF(AND(U24=0,U26&gt;=2,U22=0),MIN(U15,Debt!U36+Debt!U51+Debt!U66+Debt!U81+Debt!U96),0)</f>
        <v>0</v>
      </c>
      <c r="V28" s="11" t="n">
        <f aca="false">IF(AND(V24=0,V26&gt;=2,V22=0),MIN(V15,Debt!V36+Debt!V51+Debt!V66+Debt!V81+Debt!V96),0)</f>
        <v>0</v>
      </c>
      <c r="W28" s="11" t="n">
        <f aca="false">IF(AND(W24=0,W26&gt;=2,W22=0),MIN(W15,Debt!W36+Debt!W51+Debt!W66+Debt!W81+Debt!W96),0)</f>
        <v>0</v>
      </c>
      <c r="X28" s="11" t="n">
        <f aca="false">IF(AND(X24=0,X26&gt;=2,X22=0),MIN(X15,Debt!X36+Debt!X51+Debt!X66+Debt!X81+Debt!X96),0)</f>
        <v>0</v>
      </c>
      <c r="Y28" s="11" t="n">
        <f aca="false">IF(AND(Y24=0,Y26&gt;=2,Y22=0),MIN(Y15,Debt!Y36+Debt!Y51+Debt!Y66+Debt!Y81+Debt!Y96),0)</f>
        <v>0</v>
      </c>
      <c r="Z28" s="11" t="n">
        <f aca="false">IF(AND(Z24=0,Z26&gt;=2,Z22=0),MIN(Z15,Debt!Z36+Debt!Z51+Debt!Z66+Debt!Z81+Debt!Z96),0)</f>
        <v>0</v>
      </c>
      <c r="AA28" s="11" t="n">
        <f aca="false">IF(AND(AA24=0,AA26&gt;=2,AA22=0),MIN(AA15,Debt!AA36+Debt!AA51+Debt!AA66+Debt!AA81+Debt!AA96),0)</f>
        <v>0</v>
      </c>
      <c r="AB28" s="11" t="n">
        <f aca="false">IF(AND(AB24=0,AB26&gt;=2,AB22=0),MIN(AB15,Debt!AB36+Debt!AB51+Debt!AB66+Debt!AB81+Debt!AB96),0)</f>
        <v>0</v>
      </c>
      <c r="AC28" s="11" t="n">
        <f aca="false">IF(AND(AC24=0,AC26&gt;=2,AC22=0),MIN(AC15,Debt!AC36+Debt!AC51+Debt!AC66+Debt!AC81+Debt!AC96),0)</f>
        <v>0</v>
      </c>
      <c r="AD28" s="11" t="n">
        <f aca="false">IF(AND(AD24=0,AD26&gt;=2,AD22=0),MIN(AD15,Debt!AD36+Debt!AD51+Debt!AD66+Debt!AD81+Debt!AD96),0)</f>
        <v>0</v>
      </c>
      <c r="AE28" s="11" t="n">
        <f aca="false">IF(AND(AE24=0,AE26&gt;=2,AE22=0),MIN(AE15,Debt!AE36+Debt!AE51+Debt!AE66+Debt!AE81+Debt!AE96),0)</f>
        <v>0</v>
      </c>
      <c r="AF28" s="11" t="n">
        <f aca="false">IF(AND(AF24=0,AF26&gt;=2,AF22=0),MIN(AF15,Debt!AF36+Debt!AF51+Debt!AF66+Debt!AF81+Debt!AF96),0)</f>
        <v>0</v>
      </c>
      <c r="AG28" s="11" t="n">
        <f aca="false">IF(AND(AG24=0,AG26&gt;=2,AG22=0),MIN(AG15,Debt!AG36+Debt!AG51+Debt!AG66+Debt!AG81+Debt!AG96),0)</f>
        <v>0</v>
      </c>
      <c r="AH28" s="11" t="n">
        <f aca="false">IF(AND(AH24=0,AH26&gt;=2,AH22=0),MIN(AH15,Debt!AH36+Debt!AH51+Debt!AH66+Debt!AH81+Debt!AH96),0)</f>
        <v>0</v>
      </c>
      <c r="AI28" s="11" t="n">
        <f aca="false">IF(AND(AI24=0,AI26&gt;=2,AI22=0),MIN(AI15,Debt!AI36+Debt!AI51+Debt!AI66+Debt!AI81+Debt!AI96),0)</f>
        <v>0</v>
      </c>
      <c r="AJ28" s="11" t="n">
        <f aca="false">IF(AND(AJ24=0,AJ26&gt;=2,AJ22=0),MIN(AJ15,Debt!AJ36+Debt!AJ51+Debt!AJ66+Debt!AJ81+Debt!AJ96),0)</f>
        <v>0</v>
      </c>
      <c r="AK28" s="11" t="n">
        <f aca="false">IF(AND(AK24=0,AK26&gt;=2,AK22=0),MIN(AK15,Debt!AK36+Debt!AK51+Debt!AK66+Debt!AK81+Debt!AK96),0)</f>
        <v>0</v>
      </c>
      <c r="AL28" s="11" t="n">
        <f aca="false">IF(AND(AL24=0,AL26&gt;=2,AL22=0),MIN(AL15,Debt!AL36+Debt!AL51+Debt!AL66+Debt!AL81+Debt!AL96),0)</f>
        <v>0</v>
      </c>
      <c r="AM28" s="11" t="n">
        <f aca="false">IF(AND(AM24=0,AM26&gt;=2,AM22=0),MIN(AM15,Debt!AM36+Debt!AM51+Debt!AM66+Debt!AM81+Debt!AM96),0)</f>
        <v>0</v>
      </c>
      <c r="AN28" s="11" t="n">
        <f aca="false">IF(AND(AN24=0,AN26&gt;=2,AN22=0),MIN(AN15,Debt!AN36+Debt!AN51+Debt!AN66+Debt!AN81+Debt!AN96),0)</f>
        <v>0</v>
      </c>
      <c r="AO28" s="11" t="n">
        <f aca="false">IF(AND(AO24=0,AO26&gt;=2,AO22=0),MIN(AO15,Debt!AO36+Debt!AO51+Debt!AO66+Debt!AO81+Debt!AO96),0)</f>
        <v>0</v>
      </c>
      <c r="AP28" s="11" t="n">
        <f aca="false">IF(AND(AP24=0,AP26&gt;=2,AP22=0),MIN(AP15,Debt!AP36+Debt!AP51+Debt!AP66+Debt!AP81+Debt!AP96),0)</f>
        <v>0</v>
      </c>
      <c r="AQ28" s="11" t="n">
        <f aca="false">IF(AND(AQ24=0,AQ26&gt;=2,AQ22=0),MIN(AQ15,Debt!AQ36+Debt!AQ51+Debt!AQ66+Debt!AQ81+Debt!AQ96),0)</f>
        <v>0</v>
      </c>
      <c r="AR28" s="11" t="n">
        <f aca="false">IF(AND(AR24=0,AR26&gt;=2,AR22=0),MIN(AR15,Debt!AR36+Debt!AR51+Debt!AR66+Debt!AR81+Debt!AR96),0)</f>
        <v>0</v>
      </c>
      <c r="AS28" s="11" t="n">
        <f aca="false">IF(AND(AS24=0,AS26&gt;=2,AS22=0),MIN(AS15,Debt!AS36+Debt!AS51+Debt!AS66+Debt!AS81+Debt!AS96),0)</f>
        <v>0</v>
      </c>
      <c r="AT28" s="11" t="n">
        <f aca="false">IF(AND(AT24=0,AT26&gt;=2,AT22=0),MIN(AT15,Debt!AT36+Debt!AT51+Debt!AT66+Debt!AT81+Debt!AT96),0)</f>
        <v>0</v>
      </c>
      <c r="AU28" s="11" t="n">
        <f aca="false">IF(AND(AU24=0,AU26&gt;=2,AU22=0),MIN(AU15,Debt!AU36+Debt!AU51+Debt!AU66+Debt!AU81+Debt!AU96),0)</f>
        <v>0</v>
      </c>
      <c r="AV28" s="11" t="n">
        <f aca="false">IF(AND(AV24=0,AV26&gt;=2,AV22=0),MIN(AV15,Debt!AV36+Debt!AV51+Debt!AV66+Debt!AV81+Debt!AV96),0)</f>
        <v>0</v>
      </c>
      <c r="AW28" s="11" t="n">
        <f aca="false">IF(AND(AW24=0,AW26&gt;=2,AW22=0),MIN(AW15,Debt!AW36+Debt!AW51+Debt!AW66+Debt!AW81+Debt!AW96),0)</f>
        <v>0</v>
      </c>
      <c r="AX28" s="11" t="n">
        <f aca="false">IF(AND(AX24=0,AX26&gt;=2,AX22=0),MIN(AX15,Debt!AX36+Debt!AX51+Debt!AX66+Debt!AX81+Debt!AX96),0)</f>
        <v>0</v>
      </c>
      <c r="AY28" s="11" t="n">
        <f aca="false">IF(AND(AY24=0,AY26&gt;=2,AY22=0),MIN(AY15,Debt!AY36+Debt!AY51+Debt!AY66+Debt!AY81+Debt!AY96),0)</f>
        <v>0</v>
      </c>
      <c r="AZ28" s="11" t="n">
        <f aca="false">IF(AND(AZ24=0,AZ26&gt;=2,AZ22=0),MIN(AZ15,Debt!AZ36+Debt!AZ51+Debt!AZ66+Debt!AZ81+Debt!AZ96),0)</f>
        <v>0</v>
      </c>
      <c r="BA28" s="11" t="n">
        <f aca="false">IF(AND(BA24=0,BA26&gt;=2,BA22=0),MIN(BA15,Debt!BA36+Debt!BA51+Debt!BA66+Debt!BA81+Debt!BA96),0)</f>
        <v>0</v>
      </c>
      <c r="BB28" s="11" t="n">
        <f aca="false">IF(AND(BB24=0,BB26&gt;=2,BB22=0),MIN(BB15,Debt!BB36+Debt!BB51+Debt!BB66+Debt!BB81+Debt!BB96),0)</f>
        <v>0</v>
      </c>
      <c r="BC28" s="11" t="n">
        <f aca="false">IF(AND(BC24=0,BC26&gt;=2,BC22=0),MIN(BC15,Debt!BC36+Debt!BC51+Debt!BC66+Debt!BC81+Debt!BC96),0)</f>
        <v>0</v>
      </c>
      <c r="BD28" s="11" t="n">
        <f aca="false">IF(AND(BD24=0,BD26&gt;=2,BD22=0),MIN(BD15,Debt!BD36+Debt!BD51+Debt!BD66+Debt!BD81+Debt!BD96),0)</f>
        <v>0</v>
      </c>
      <c r="BE28" s="11" t="n">
        <f aca="false">IF(AND(BE24=0,BE26&gt;=2,BE22=0),MIN(BE15,Debt!BE36+Debt!BE51+Debt!BE66+Debt!BE81+Debt!BE96),0)</f>
        <v>0</v>
      </c>
      <c r="BF28" s="11" t="n">
        <f aca="false">IF(AND(BF24=0,BF26&gt;=2,BF22=0),MIN(BF15,Debt!BF36+Debt!BF51+Debt!BF66+Debt!BF81+Debt!BF96),0)</f>
        <v>0</v>
      </c>
      <c r="BG28" s="11" t="n">
        <f aca="false">IF(AND(BG24=0,BG26&gt;=2,BG22=0),MIN(BG15,Debt!BG36+Debt!BG51+Debt!BG66+Debt!BG81+Debt!BG96),0)</f>
        <v>0</v>
      </c>
      <c r="BH28" s="11" t="n">
        <f aca="false">IF(AND(BH24=0,BH26&gt;=2,BH22=0),MIN(BH15,Debt!BH36+Debt!BH51+Debt!BH66+Debt!BH81+Debt!BH96),0)</f>
        <v>0</v>
      </c>
      <c r="BI28" s="11" t="n">
        <f aca="false">IF(AND(BI24=0,BI26&gt;=2,BI22=0),MIN(BI15,Debt!BI36+Debt!BI51+Debt!BI66+Debt!BI81+Debt!BI96),0)</f>
        <v>0</v>
      </c>
      <c r="BJ28" s="11" t="n">
        <f aca="false">IF(AND(BJ24=0,BJ26&gt;=2,BJ22=0),MIN(BJ15,Debt!BJ36+Debt!BJ51+Debt!BJ66+Debt!BJ81+Debt!BJ96),0)</f>
        <v>0</v>
      </c>
      <c r="BK28" s="11" t="n">
        <f aca="false">IF(AND(BK24=0,BK26&gt;=2,BK22=0),MIN(BK15,Debt!BK36+Debt!BK51+Debt!BK66+Debt!BK81+Debt!BK96),0)</f>
        <v>0</v>
      </c>
      <c r="BL28" s="11" t="n">
        <f aca="false">IF(AND(BL24=0,BL26&gt;=2,BL22=0),MIN(BL15,Debt!BL36+Debt!BL51+Debt!BL66+Debt!BL81+Debt!BL96),0)</f>
        <v>0</v>
      </c>
      <c r="BM28" s="11" t="n">
        <f aca="false">IF(AND(BM24=0,BM26&gt;=2,BM22=0),MIN(BM15,Debt!BM36+Debt!BM51+Debt!BM66+Debt!BM81+Debt!BM96),0)</f>
        <v>0</v>
      </c>
      <c r="BN28" s="11" t="n">
        <f aca="false">IF(AND(BN24=0,BN26&gt;=2,BN22=0),MIN(BN15,Debt!BN36+Debt!BN51+Debt!BN66+Debt!BN81+Debt!BN96),0)</f>
        <v>0</v>
      </c>
    </row>
    <row r="29" customFormat="false" ht="15" hidden="false" customHeight="false" outlineLevel="0" collapsed="false">
      <c r="D29" s="0" t="s">
        <v>747</v>
      </c>
      <c r="E29" s="0" t="s">
        <v>149</v>
      </c>
      <c r="G29" s="11" t="n">
        <f aca="false">SUM(J29:BN29)</f>
        <v>0</v>
      </c>
      <c r="J29" s="11" t="n">
        <f aca="false">IF(AND(J24=1,Time!J21&gt;=2027,Inputs!$F$52=1),MIN(Inputs!$F$111*J15,Debt!J81),0)</f>
        <v>0</v>
      </c>
      <c r="K29" s="11" t="n">
        <f aca="false">IF(AND(K24=1,Time!K21&gt;=2027,Inputs!$F$52=1),MIN(Inputs!$F$111*K15,Debt!K81),0)</f>
        <v>0</v>
      </c>
      <c r="L29" s="11" t="n">
        <f aca="false">IF(AND(L24=1,Time!L21&gt;=2027,Inputs!$F$52=1),MIN(Inputs!$F$111*L15,Debt!L81),0)</f>
        <v>0</v>
      </c>
      <c r="M29" s="11" t="n">
        <f aca="false">IF(AND(M24=1,Time!M21&gt;=2027,Inputs!$F$52=1),MIN(Inputs!$F$111*M15,Debt!M81),0)</f>
        <v>0</v>
      </c>
      <c r="N29" s="11" t="n">
        <f aca="false">IF(AND(N24=1,Time!N21&gt;=2027,Inputs!$F$52=1),MIN(Inputs!$F$111*N15,Debt!N81),0)</f>
        <v>0</v>
      </c>
      <c r="O29" s="11" t="n">
        <f aca="false">IF(AND(O24=1,Time!O21&gt;=2027,Inputs!$F$52=1),MIN(Inputs!$F$111*O15,Debt!O81),0)</f>
        <v>0</v>
      </c>
      <c r="P29" s="11" t="n">
        <f aca="false">IF(AND(P24=1,Time!P21&gt;=2027,Inputs!$F$52=1),MIN(Inputs!$F$111*P15,Debt!P81),0)</f>
        <v>0</v>
      </c>
      <c r="Q29" s="11" t="n">
        <f aca="false">IF(AND(Q24=1,Time!Q21&gt;=2027,Inputs!$F$52=1),MIN(Inputs!$F$111*Q15,Debt!Q81),0)</f>
        <v>0</v>
      </c>
      <c r="R29" s="11" t="n">
        <f aca="false">IF(AND(R24=1,Time!R21&gt;=2027,Inputs!$F$52=1),MIN(Inputs!$F$111*R15,Debt!R81),0)</f>
        <v>0</v>
      </c>
      <c r="S29" s="11" t="n">
        <f aca="false">IF(AND(S24=1,Time!S21&gt;=2027,Inputs!$F$52=1),MIN(Inputs!$F$111*S15,Debt!S81),0)</f>
        <v>0</v>
      </c>
      <c r="T29" s="11" t="n">
        <f aca="false">IF(AND(T24=1,Time!T21&gt;=2027,Inputs!$F$52=1),MIN(Inputs!$F$111*T15,Debt!T81),0)</f>
        <v>0</v>
      </c>
      <c r="U29" s="11" t="n">
        <f aca="false">IF(AND(U24=1,Time!U21&gt;=2027,Inputs!$F$52=1),MIN(Inputs!$F$111*U15,Debt!U81),0)</f>
        <v>0</v>
      </c>
      <c r="V29" s="11" t="n">
        <f aca="false">IF(AND(V24=1,Time!V21&gt;=2027,Inputs!$F$52=1),MIN(Inputs!$F$111*V15,Debt!V81),0)</f>
        <v>0</v>
      </c>
      <c r="W29" s="11" t="n">
        <f aca="false">IF(AND(W24=1,Time!W21&gt;=2027,Inputs!$F$52=1),MIN(Inputs!$F$111*W15,Debt!W81),0)</f>
        <v>0</v>
      </c>
      <c r="X29" s="11" t="n">
        <f aca="false">IF(AND(X24=1,Time!X21&gt;=2027,Inputs!$F$52=1),MIN(Inputs!$F$111*X15,Debt!X81),0)</f>
        <v>0</v>
      </c>
      <c r="Y29" s="11" t="n">
        <f aca="false">IF(AND(Y24=1,Time!Y21&gt;=2027,Inputs!$F$52=1),MIN(Inputs!$F$111*Y15,Debt!Y81),0)</f>
        <v>0</v>
      </c>
      <c r="Z29" s="11" t="n">
        <f aca="false">IF(AND(Z24=1,Time!Z21&gt;=2027,Inputs!$F$52=1),MIN(Inputs!$F$111*Z15,Debt!Z81),0)</f>
        <v>0</v>
      </c>
      <c r="AA29" s="11" t="n">
        <f aca="false">IF(AND(AA24=1,Time!AA21&gt;=2027,Inputs!$F$52=1),MIN(Inputs!$F$111*AA15,Debt!AA81),0)</f>
        <v>0</v>
      </c>
      <c r="AB29" s="11" t="n">
        <f aca="false">IF(AND(AB24=1,Time!AB21&gt;=2027,Inputs!$F$52=1),MIN(Inputs!$F$111*AB15,Debt!AB81),0)</f>
        <v>0</v>
      </c>
      <c r="AC29" s="11" t="n">
        <f aca="false">IF(AND(AC24=1,Time!AC21&gt;=2027,Inputs!$F$52=1),MIN(Inputs!$F$111*AC15,Debt!AC81),0)</f>
        <v>0</v>
      </c>
      <c r="AD29" s="11" t="n">
        <f aca="false">IF(AND(AD24=1,Time!AD21&gt;=2027,Inputs!$F$52=1),MIN(Inputs!$F$111*AD15,Debt!AD81),0)</f>
        <v>0</v>
      </c>
      <c r="AE29" s="11" t="n">
        <f aca="false">IF(AND(AE24=1,Time!AE21&gt;=2027,Inputs!$F$52=1),MIN(Inputs!$F$111*AE15,Debt!AE81),0)</f>
        <v>0</v>
      </c>
      <c r="AF29" s="11" t="n">
        <f aca="false">IF(AND(AF24=1,Time!AF21&gt;=2027,Inputs!$F$52=1),MIN(Inputs!$F$111*AF15,Debt!AF81),0)</f>
        <v>0</v>
      </c>
      <c r="AG29" s="11" t="n">
        <f aca="false">IF(AND(AG24=1,Time!AG21&gt;=2027,Inputs!$F$52=1),MIN(Inputs!$F$111*AG15,Debt!AG81),0)</f>
        <v>0</v>
      </c>
      <c r="AH29" s="11" t="n">
        <f aca="false">IF(AND(AH24=1,Time!AH21&gt;=2027,Inputs!$F$52=1),MIN(Inputs!$F$111*AH15,Debt!AH81),0)</f>
        <v>0</v>
      </c>
      <c r="AI29" s="11" t="n">
        <f aca="false">IF(AND(AI24=1,Time!AI21&gt;=2027,Inputs!$F$52=1),MIN(Inputs!$F$111*AI15,Debt!AI81),0)</f>
        <v>0</v>
      </c>
      <c r="AJ29" s="11" t="n">
        <f aca="false">IF(AND(AJ24=1,Time!AJ21&gt;=2027,Inputs!$F$52=1),MIN(Inputs!$F$111*AJ15,Debt!AJ81),0)</f>
        <v>0</v>
      </c>
      <c r="AK29" s="11" t="n">
        <f aca="false">IF(AND(AK24=1,Time!AK21&gt;=2027,Inputs!$F$52=1),MIN(Inputs!$F$111*AK15,Debt!AK81),0)</f>
        <v>0</v>
      </c>
      <c r="AL29" s="11" t="n">
        <f aca="false">IF(AND(AL24=1,Time!AL21&gt;=2027,Inputs!$F$52=1),MIN(Inputs!$F$111*AL15,Debt!AL81),0)</f>
        <v>0</v>
      </c>
      <c r="AM29" s="11" t="n">
        <f aca="false">IF(AND(AM24=1,Time!AM21&gt;=2027,Inputs!$F$52=1),MIN(Inputs!$F$111*AM15,Debt!AM81),0)</f>
        <v>0</v>
      </c>
      <c r="AN29" s="11" t="n">
        <f aca="false">IF(AND(AN24=1,Time!AN21&gt;=2027,Inputs!$F$52=1),MIN(Inputs!$F$111*AN15,Debt!AN81),0)</f>
        <v>0</v>
      </c>
      <c r="AO29" s="11" t="n">
        <f aca="false">IF(AND(AO24=1,Time!AO21&gt;=2027,Inputs!$F$52=1),MIN(Inputs!$F$111*AO15,Debt!AO81),0)</f>
        <v>0</v>
      </c>
      <c r="AP29" s="11" t="n">
        <f aca="false">IF(AND(AP24=1,Time!AP21&gt;=2027,Inputs!$F$52=1),MIN(Inputs!$F$111*AP15,Debt!AP81),0)</f>
        <v>0</v>
      </c>
      <c r="AQ29" s="11" t="n">
        <f aca="false">IF(AND(AQ24=1,Time!AQ21&gt;=2027,Inputs!$F$52=1),MIN(Inputs!$F$111*AQ15,Debt!AQ81),0)</f>
        <v>0</v>
      </c>
      <c r="AR29" s="11" t="n">
        <f aca="false">IF(AND(AR24=1,Time!AR21&gt;=2027,Inputs!$F$52=1),MIN(Inputs!$F$111*AR15,Debt!AR81),0)</f>
        <v>0</v>
      </c>
      <c r="AS29" s="11" t="n">
        <f aca="false">IF(AND(AS24=1,Time!AS21&gt;=2027,Inputs!$F$52=1),MIN(Inputs!$F$111*AS15,Debt!AS81),0)</f>
        <v>0</v>
      </c>
      <c r="AT29" s="11" t="n">
        <f aca="false">IF(AND(AT24=1,Time!AT21&gt;=2027,Inputs!$F$52=1),MIN(Inputs!$F$111*AT15,Debt!AT81),0)</f>
        <v>0</v>
      </c>
      <c r="AU29" s="11" t="n">
        <f aca="false">IF(AND(AU24=1,Time!AU21&gt;=2027,Inputs!$F$52=1),MIN(Inputs!$F$111*AU15,Debt!AU81),0)</f>
        <v>0</v>
      </c>
      <c r="AV29" s="11" t="n">
        <f aca="false">IF(AND(AV24=1,Time!AV21&gt;=2027,Inputs!$F$52=1),MIN(Inputs!$F$111*AV15,Debt!AV81),0)</f>
        <v>0</v>
      </c>
      <c r="AW29" s="11" t="n">
        <f aca="false">IF(AND(AW24=1,Time!AW21&gt;=2027,Inputs!$F$52=1),MIN(Inputs!$F$111*AW15,Debt!AW81),0)</f>
        <v>0</v>
      </c>
      <c r="AX29" s="11" t="n">
        <f aca="false">IF(AND(AX24=1,Time!AX21&gt;=2027,Inputs!$F$52=1),MIN(Inputs!$F$111*AX15,Debt!AX81),0)</f>
        <v>0</v>
      </c>
      <c r="AY29" s="11" t="n">
        <f aca="false">IF(AND(AY24=1,Time!AY21&gt;=2027,Inputs!$F$52=1),MIN(Inputs!$F$111*AY15,Debt!AY81),0)</f>
        <v>0</v>
      </c>
      <c r="AZ29" s="11" t="n">
        <f aca="false">IF(AND(AZ24=1,Time!AZ21&gt;=2027,Inputs!$F$52=1),MIN(Inputs!$F$111*AZ15,Debt!AZ81),0)</f>
        <v>0</v>
      </c>
      <c r="BA29" s="11" t="n">
        <f aca="false">IF(AND(BA24=1,Time!BA21&gt;=2027,Inputs!$F$52=1),MIN(Inputs!$F$111*BA15,Debt!BA81),0)</f>
        <v>0</v>
      </c>
      <c r="BB29" s="11" t="n">
        <f aca="false">IF(AND(BB24=1,Time!BB21&gt;=2027,Inputs!$F$52=1),MIN(Inputs!$F$111*BB15,Debt!BB81),0)</f>
        <v>0</v>
      </c>
      <c r="BC29" s="11" t="n">
        <f aca="false">IF(AND(BC24=1,Time!BC21&gt;=2027,Inputs!$F$52=1),MIN(Inputs!$F$111*BC15,Debt!BC81),0)</f>
        <v>0</v>
      </c>
      <c r="BD29" s="11" t="n">
        <f aca="false">IF(AND(BD24=1,Time!BD21&gt;=2027,Inputs!$F$52=1),MIN(Inputs!$F$111*BD15,Debt!BD81),0)</f>
        <v>0</v>
      </c>
      <c r="BE29" s="11" t="n">
        <f aca="false">IF(AND(BE24=1,Time!BE21&gt;=2027,Inputs!$F$52=1),MIN(Inputs!$F$111*BE15,Debt!BE81),0)</f>
        <v>0</v>
      </c>
      <c r="BF29" s="11" t="n">
        <f aca="false">IF(AND(BF24=1,Time!BF21&gt;=2027,Inputs!$F$52=1),MIN(Inputs!$F$111*BF15,Debt!BF81),0)</f>
        <v>0</v>
      </c>
      <c r="BG29" s="11" t="n">
        <f aca="false">IF(AND(BG24=1,Time!BG21&gt;=2027,Inputs!$F$52=1),MIN(Inputs!$F$111*BG15,Debt!BG81),0)</f>
        <v>0</v>
      </c>
      <c r="BH29" s="11" t="n">
        <f aca="false">IF(AND(BH24=1,Time!BH21&gt;=2027,Inputs!$F$52=1),MIN(Inputs!$F$111*BH15,Debt!BH81),0)</f>
        <v>0</v>
      </c>
      <c r="BI29" s="11" t="n">
        <f aca="false">IF(AND(BI24=1,Time!BI21&gt;=2027,Inputs!$F$52=1),MIN(Inputs!$F$111*BI15,Debt!BI81),0)</f>
        <v>0</v>
      </c>
      <c r="BJ29" s="11" t="n">
        <f aca="false">IF(AND(BJ24=1,Time!BJ21&gt;=2027,Inputs!$F$52=1),MIN(Inputs!$F$111*BJ15,Debt!BJ81),0)</f>
        <v>0</v>
      </c>
      <c r="BK29" s="11" t="n">
        <f aca="false">IF(AND(BK24=1,Time!BK21&gt;=2027,Inputs!$F$52=1),MIN(Inputs!$F$111*BK15,Debt!BK81),0)</f>
        <v>0</v>
      </c>
      <c r="BL29" s="11" t="n">
        <f aca="false">IF(AND(BL24=1,Time!BL21&gt;=2027,Inputs!$F$52=1),MIN(Inputs!$F$111*BL15,Debt!BL81),0)</f>
        <v>0</v>
      </c>
      <c r="BM29" s="11" t="n">
        <f aca="false">IF(AND(BM24=1,Time!BM21&gt;=2027,Inputs!$F$52=1),MIN(Inputs!$F$111*BM15,Debt!BM81),0)</f>
        <v>0</v>
      </c>
      <c r="BN29" s="11" t="n">
        <f aca="false">IF(AND(BN24=1,Time!BN21&gt;=2027,Inputs!$F$52=1),MIN(Inputs!$F$111*BN15,Debt!BN81),0)</f>
        <v>0</v>
      </c>
    </row>
    <row r="30" customFormat="false" ht="15" hidden="false" customHeight="false" outlineLevel="0" collapsed="false">
      <c r="D30" s="0" t="s">
        <v>748</v>
      </c>
      <c r="E30" s="0" t="s">
        <v>149</v>
      </c>
      <c r="J30" s="11" t="n">
        <f aca="false">IF(J24=0,J15-J28,0)</f>
        <v>0</v>
      </c>
      <c r="K30" s="11" t="n">
        <f aca="false">IF(K24=0,K15-K28,0)</f>
        <v>0</v>
      </c>
      <c r="L30" s="11" t="n">
        <f aca="false">IF(L24=0,L15-L28,0)</f>
        <v>0</v>
      </c>
      <c r="M30" s="11" t="n">
        <f aca="false">IF(M24=0,M15-M28,0)</f>
        <v>0</v>
      </c>
      <c r="N30" s="11" t="n">
        <f aca="false">IF(N24=0,N15-N28,0)</f>
        <v>0</v>
      </c>
      <c r="O30" s="11" t="n">
        <f aca="false">IF(O24=0,O15-O28,0)</f>
        <v>0</v>
      </c>
      <c r="P30" s="11" t="n">
        <f aca="false">IF(P24=0,P15-P28,0)</f>
        <v>9.6813304635533</v>
      </c>
      <c r="Q30" s="11" t="n">
        <f aca="false">IF(Q24=0,Q15-Q28,0)</f>
        <v>0</v>
      </c>
      <c r="R30" s="11" t="n">
        <f aca="false">IF(R24=0,R15-R28,0)</f>
        <v>0</v>
      </c>
      <c r="S30" s="11" t="n">
        <f aca="false">IF(S24=0,S15-S28,0)</f>
        <v>0</v>
      </c>
      <c r="T30" s="11" t="n">
        <f aca="false">IF(T24=0,T15-T28,0)</f>
        <v>16.9271973167559</v>
      </c>
      <c r="U30" s="11" t="n">
        <f aca="false">IF(U24=0,U15-U28,0)</f>
        <v>31.007430407423</v>
      </c>
      <c r="V30" s="11" t="n">
        <f aca="false">IF(V24=0,V15-V28,0)</f>
        <v>0</v>
      </c>
      <c r="W30" s="11" t="n">
        <f aca="false">IF(W24=0,W15-W28,0)</f>
        <v>0</v>
      </c>
      <c r="X30" s="11" t="n">
        <f aca="false">IF(X24=0,X15-X28,0)</f>
        <v>0</v>
      </c>
      <c r="Y30" s="11" t="n">
        <f aca="false">IF(Y24=0,Y15-Y28,0)</f>
        <v>0</v>
      </c>
      <c r="Z30" s="11" t="n">
        <f aca="false">IF(Z24=0,Z15-Z28,0)</f>
        <v>0</v>
      </c>
      <c r="AA30" s="11" t="n">
        <f aca="false">IF(AA24=0,AA15-AA28,0)</f>
        <v>0</v>
      </c>
      <c r="AB30" s="11" t="n">
        <f aca="false">IF(AB24=0,AB15-AB28,0)</f>
        <v>0</v>
      </c>
      <c r="AC30" s="11" t="n">
        <f aca="false">IF(AC24=0,AC15-AC28,0)</f>
        <v>0</v>
      </c>
      <c r="AD30" s="11" t="n">
        <f aca="false">IF(AD24=0,AD15-AD28,0)</f>
        <v>0</v>
      </c>
      <c r="AE30" s="11" t="n">
        <f aca="false">IF(AE24=0,AE15-AE28,0)</f>
        <v>0</v>
      </c>
      <c r="AF30" s="11" t="n">
        <f aca="false">IF(AF24=0,AF15-AF28,0)</f>
        <v>0</v>
      </c>
      <c r="AG30" s="11" t="n">
        <f aca="false">IF(AG24=0,AG15-AG28,0)</f>
        <v>0</v>
      </c>
      <c r="AH30" s="11" t="n">
        <f aca="false">IF(AH24=0,AH15-AH28,0)</f>
        <v>0</v>
      </c>
      <c r="AI30" s="11" t="n">
        <f aca="false">IF(AI24=0,AI15-AI28,0)</f>
        <v>0</v>
      </c>
      <c r="AJ30" s="11" t="n">
        <f aca="false">IF(AJ24=0,AJ15-AJ28,0)</f>
        <v>0</v>
      </c>
      <c r="AK30" s="11" t="n">
        <f aca="false">IF(AK24=0,AK15-AK28,0)</f>
        <v>0</v>
      </c>
      <c r="AL30" s="11" t="n">
        <f aca="false">IF(AL24=0,AL15-AL28,0)</f>
        <v>0</v>
      </c>
      <c r="AM30" s="11" t="n">
        <f aca="false">IF(AM24=0,AM15-AM28,0)</f>
        <v>0</v>
      </c>
      <c r="AN30" s="11" t="n">
        <f aca="false">IF(AN24=0,AN15-AN28,0)</f>
        <v>0</v>
      </c>
      <c r="AO30" s="11" t="n">
        <f aca="false">IF(AO24=0,AO15-AO28,0)</f>
        <v>0</v>
      </c>
      <c r="AP30" s="11" t="n">
        <f aca="false">IF(AP24=0,AP15-AP28,0)</f>
        <v>0</v>
      </c>
      <c r="AQ30" s="11" t="n">
        <f aca="false">IF(AQ24=0,AQ15-AQ28,0)</f>
        <v>0</v>
      </c>
      <c r="AR30" s="11" t="n">
        <f aca="false">IF(AR24=0,AR15-AR28,0)</f>
        <v>0</v>
      </c>
      <c r="AS30" s="11" t="n">
        <f aca="false">IF(AS24=0,AS15-AS28,0)</f>
        <v>0</v>
      </c>
      <c r="AT30" s="11" t="n">
        <f aca="false">IF(AT24=0,AT15-AT28,0)</f>
        <v>0</v>
      </c>
      <c r="AU30" s="11" t="n">
        <f aca="false">IF(AU24=0,AU15-AU28,0)</f>
        <v>0</v>
      </c>
      <c r="AV30" s="11" t="n">
        <f aca="false">IF(AV24=0,AV15-AV28,0)</f>
        <v>0</v>
      </c>
      <c r="AW30" s="11" t="n">
        <f aca="false">IF(AW24=0,AW15-AW28,0)</f>
        <v>0</v>
      </c>
      <c r="AX30" s="11" t="n">
        <f aca="false">IF(AX24=0,AX15-AX28,0)</f>
        <v>0</v>
      </c>
      <c r="AY30" s="11" t="n">
        <f aca="false">IF(AY24=0,AY15-AY28,0)</f>
        <v>0</v>
      </c>
      <c r="AZ30" s="11" t="n">
        <f aca="false">IF(AZ24=0,AZ15-AZ28,0)</f>
        <v>0</v>
      </c>
      <c r="BA30" s="11" t="n">
        <f aca="false">IF(BA24=0,BA15-BA28,0)</f>
        <v>0</v>
      </c>
      <c r="BB30" s="11" t="n">
        <f aca="false">IF(BB24=0,BB15-BB28,0)</f>
        <v>0</v>
      </c>
      <c r="BC30" s="11" t="n">
        <f aca="false">IF(BC24=0,BC15-BC28,0)</f>
        <v>0</v>
      </c>
      <c r="BD30" s="11" t="n">
        <f aca="false">IF(BD24=0,BD15-BD28,0)</f>
        <v>0</v>
      </c>
      <c r="BE30" s="11" t="n">
        <f aca="false">IF(BE24=0,BE15-BE28,0)</f>
        <v>0</v>
      </c>
      <c r="BF30" s="11" t="n">
        <f aca="false">IF(BF24=0,BF15-BF28,0)</f>
        <v>0</v>
      </c>
      <c r="BG30" s="11" t="n">
        <f aca="false">IF(BG24=0,BG15-BG28,0)</f>
        <v>0</v>
      </c>
      <c r="BH30" s="11" t="n">
        <f aca="false">IF(BH24=0,BH15-BH28,0)</f>
        <v>0</v>
      </c>
      <c r="BI30" s="11" t="n">
        <f aca="false">IF(BI24=0,BI15-BI28,0)</f>
        <v>0</v>
      </c>
      <c r="BJ30" s="11" t="n">
        <f aca="false">IF(BJ24=0,BJ15-BJ28,0)</f>
        <v>0</v>
      </c>
      <c r="BK30" s="11" t="n">
        <f aca="false">IF(BK24=0,BK15-BK28,0)</f>
        <v>0</v>
      </c>
      <c r="BL30" s="11" t="n">
        <f aca="false">IF(BL24=0,BL15-BL28,0)</f>
        <v>0</v>
      </c>
      <c r="BM30" s="11" t="n">
        <f aca="false">IF(BM24=0,BM15-BM28,0)</f>
        <v>0</v>
      </c>
      <c r="BN30" s="11" t="n">
        <f aca="false">IF(BN24=0,BN15-BN28,0)</f>
        <v>0</v>
      </c>
    </row>
    <row r="31" customFormat="false" ht="15" hidden="false" customHeight="false" outlineLevel="0" collapsed="false">
      <c r="D31" s="0" t="s">
        <v>749</v>
      </c>
      <c r="E31" s="0" t="s">
        <v>149</v>
      </c>
      <c r="G31" s="11" t="n">
        <f aca="false">SUM(J31:BN31)</f>
        <v>1360.77189374237</v>
      </c>
      <c r="J31" s="11" t="n">
        <f aca="false">IF(J24=1,J15-J29,0)</f>
        <v>0</v>
      </c>
      <c r="K31" s="11" t="n">
        <f aca="false">IF(K24=1,K15-K29,0)</f>
        <v>0</v>
      </c>
      <c r="L31" s="11" t="n">
        <f aca="false">IF(L24=1,L15-L29,0)</f>
        <v>0</v>
      </c>
      <c r="M31" s="11" t="n">
        <f aca="false">IF(M24=1,M15-M29,0)</f>
        <v>0</v>
      </c>
      <c r="N31" s="11" t="n">
        <f aca="false">IF(N24=1,N15-N29,0)</f>
        <v>0</v>
      </c>
      <c r="O31" s="11" t="n">
        <f aca="false">IF(O24=1,O15-O29,0)</f>
        <v>0</v>
      </c>
      <c r="P31" s="11" t="n">
        <f aca="false">IF(P24=1,P15-P29,0)</f>
        <v>0</v>
      </c>
      <c r="Q31" s="11" t="n">
        <f aca="false">IF(Q24=1,Q15-Q29,0)</f>
        <v>17.679293834913</v>
      </c>
      <c r="R31" s="11" t="n">
        <f aca="false">IF(R24=1,R15-R29,0)</f>
        <v>0</v>
      </c>
      <c r="S31" s="11" t="n">
        <f aca="false">IF(S24=1,S15-S29,0)</f>
        <v>0</v>
      </c>
      <c r="T31" s="11" t="n">
        <f aca="false">IF(T24=1,T15-T29,0)</f>
        <v>0</v>
      </c>
      <c r="U31" s="11" t="n">
        <f aca="false">IF(U24=1,U15-U29,0)</f>
        <v>0</v>
      </c>
      <c r="V31" s="11" t="n">
        <f aca="false">IF(V24=1,V15-V29,0)</f>
        <v>46.3902948477304</v>
      </c>
      <c r="W31" s="11" t="n">
        <f aca="false">IF(W24=1,W15-W29,0)</f>
        <v>23.3793037599631</v>
      </c>
      <c r="X31" s="11" t="n">
        <f aca="false">IF(X24=1,X15-X29,0)</f>
        <v>21.2802441493857</v>
      </c>
      <c r="Y31" s="11" t="n">
        <f aca="false">IF(Y24=1,Y15-Y29,0)</f>
        <v>18.2848625634773</v>
      </c>
      <c r="Z31" s="11" t="n">
        <f aca="false">IF(Z24=1,Z15-Z29,0)</f>
        <v>19.3564309338737</v>
      </c>
      <c r="AA31" s="11" t="n">
        <f aca="false">IF(AA24=1,AA15-AA29,0)</f>
        <v>18.3702917761079</v>
      </c>
      <c r="AB31" s="11" t="n">
        <f aca="false">IF(AB24=1,AB15-AB29,0)</f>
        <v>19.2542729431483</v>
      </c>
      <c r="AC31" s="11" t="n">
        <f aca="false">IF(AC24=1,AC15-AC29,0)</f>
        <v>18.591699527975</v>
      </c>
      <c r="AD31" s="11" t="n">
        <f aca="false">IF(AD24=1,AD15-AD29,0)</f>
        <v>18.2617102805579</v>
      </c>
      <c r="AE31" s="11" t="n">
        <f aca="false">IF(AE24=1,AE15-AE29,0)</f>
        <v>19.1688877111902</v>
      </c>
      <c r="AF31" s="11" t="n">
        <f aca="false">IF(AF24=1,AF15-AF29,0)</f>
        <v>20.5240529525546</v>
      </c>
      <c r="AG31" s="11" t="n">
        <f aca="false">IF(AG24=1,AG15-AG29,0)</f>
        <v>19.2463553245907</v>
      </c>
      <c r="AH31" s="11" t="n">
        <f aca="false">IF(AH24=1,AH15-AH29,0)</f>
        <v>20.2139547700163</v>
      </c>
      <c r="AI31" s="11" t="n">
        <f aca="false">IF(AI24=1,AI15-AI29,0)</f>
        <v>19.4673375233295</v>
      </c>
      <c r="AJ31" s="11" t="n">
        <f aca="false">IF(AJ24=1,AJ15-AJ29,0)</f>
        <v>20.3475690817723</v>
      </c>
      <c r="AK31" s="11" t="n">
        <f aca="false">IF(AK24=1,AK15-AK29,0)</f>
        <v>19.6553202729675</v>
      </c>
      <c r="AL31" s="11" t="n">
        <f aca="false">IF(AL24=1,AL15-AL29,0)</f>
        <v>20.7956751081937</v>
      </c>
      <c r="AM31" s="11" t="n">
        <f aca="false">IF(AM24=1,AM15-AM29,0)</f>
        <v>23.486253095803</v>
      </c>
      <c r="AN31" s="11" t="n">
        <f aca="false">IF(AN24=1,AN15-AN29,0)</f>
        <v>19.6954511447589</v>
      </c>
      <c r="AO31" s="11" t="n">
        <f aca="false">IF(AO24=1,AO15-AO29,0)</f>
        <v>15.9789320106918</v>
      </c>
      <c r="AP31" s="11" t="n">
        <f aca="false">IF(AP24=1,AP15-AP29,0)</f>
        <v>16.8592570681221</v>
      </c>
      <c r="AQ31" s="11" t="n">
        <f aca="false">IF(AQ24=1,AQ15-AQ29,0)</f>
        <v>15.9649999835275</v>
      </c>
      <c r="AR31" s="11" t="n">
        <f aca="false">IF(AR24=1,AR15-AR29,0)</f>
        <v>16.7610835911105</v>
      </c>
      <c r="AS31" s="11" t="n">
        <f aca="false">IF(AS24=1,AS15-AS29,0)</f>
        <v>15.9396145966488</v>
      </c>
      <c r="AT31" s="11" t="n">
        <f aca="false">IF(AT24=1,AT15-AT29,0)</f>
        <v>12.1545756968028</v>
      </c>
      <c r="AU31" s="11" t="n">
        <f aca="false">IF(AU24=1,AU15-AU29,0)</f>
        <v>48.9567701196674</v>
      </c>
      <c r="AV31" s="11" t="n">
        <f aca="false">IF(AV24=1,AV15-AV29,0)</f>
        <v>44.5090799550741</v>
      </c>
      <c r="AW31" s="11" t="n">
        <f aca="false">IF(AW24=1,AW15-AW29,0)</f>
        <v>43.5004546690699</v>
      </c>
      <c r="AX31" s="11" t="n">
        <f aca="false">IF(AX24=1,AX15-AX29,0)</f>
        <v>44.274007726164</v>
      </c>
      <c r="AY31" s="11" t="n">
        <f aca="false">IF(AY24=1,AY15-AY29,0)</f>
        <v>43.8701347707556</v>
      </c>
      <c r="AZ31" s="11" t="n">
        <f aca="false">IF(AZ24=1,AZ15-AZ29,0)</f>
        <v>44.5455188444797</v>
      </c>
      <c r="BA31" s="11" t="n">
        <f aca="false">IF(BA24=1,BA15-BA29,0)</f>
        <v>44.1434525893954</v>
      </c>
      <c r="BB31" s="11" t="n">
        <f aca="false">IF(BB24=1,BB15-BB29,0)</f>
        <v>44.4017368443524</v>
      </c>
      <c r="BC31" s="11" t="n">
        <f aca="false">IF(BC24=1,BC15-BC29,0)</f>
        <v>44.6551203851123</v>
      </c>
      <c r="BD31" s="11" t="n">
        <f aca="false">IF(BD24=1,BD15-BD29,0)</f>
        <v>43.1799209867987</v>
      </c>
      <c r="BE31" s="11" t="n">
        <f aca="false">IF(BE24=1,BE15-BE29,0)</f>
        <v>34.7513553834456</v>
      </c>
      <c r="BF31" s="11" t="n">
        <f aca="false">IF(BF24=1,BF15-BF29,0)</f>
        <v>35.4468161899769</v>
      </c>
      <c r="BG31" s="11" t="n">
        <f aca="false">IF(BG24=1,BG15-BG29,0)</f>
        <v>35.0168014347657</v>
      </c>
      <c r="BH31" s="11" t="n">
        <f aca="false">IF(BH24=1,BH15-BH29,0)</f>
        <v>35.7027467049765</v>
      </c>
      <c r="BI31" s="11" t="n">
        <f aca="false">IF(BI24=1,BI15-BI29,0)</f>
        <v>35.2678144321089</v>
      </c>
      <c r="BJ31" s="11" t="n">
        <f aca="false">IF(BJ24=1,BJ15-BJ29,0)</f>
        <v>35.8351864538939</v>
      </c>
      <c r="BK31" s="11" t="n">
        <f aca="false">IF(BK24=1,BK15-BK29,0)</f>
        <v>44.0975550569054</v>
      </c>
      <c r="BL31" s="11" t="n">
        <f aca="false">IF(BL24=1,BL15-BL29,0)</f>
        <v>39.1045041507636</v>
      </c>
      <c r="BM31" s="11" t="n">
        <f aca="false">IF(BM24=1,BM15-BM29,0)</f>
        <v>38.6987765905792</v>
      </c>
      <c r="BN31" s="11" t="n">
        <f aca="false">IF(BN24=1,BN15-BN29,0)</f>
        <v>63.70641590487</v>
      </c>
    </row>
    <row r="32" customFormat="false" ht="15" hidden="false" customHeight="false" outlineLevel="0" collapsed="false">
      <c r="D32" s="0" t="s">
        <v>750</v>
      </c>
      <c r="E32" s="0" t="s">
        <v>149</v>
      </c>
      <c r="F32" s="15" t="n">
        <f aca="false">SUM(Funding!$J$69:$BJ$69)</f>
        <v>43.9225633233622</v>
      </c>
    </row>
    <row r="33" customFormat="false" ht="15" hidden="false" customHeight="false" outlineLevel="0" collapsed="false">
      <c r="D33" s="0" t="s">
        <v>751</v>
      </c>
      <c r="E33" s="0" t="s">
        <v>149</v>
      </c>
      <c r="J33" s="11" t="n">
        <f aca="false">IF(Time!J17&lt;Time!$F$11,0,IF(Time!J29=1,INDEX(Funding!$J$72:$BJ$72,1,Time!$F$13),0))</f>
        <v>0</v>
      </c>
      <c r="K33" s="11" t="n">
        <f aca="false">IF(Time!K17&lt;Time!$F$11,0,IF(Time!K29=1,INDEX(Funding!$J$72:$BJ$72,1,Time!$F$13),J36))</f>
        <v>0</v>
      </c>
      <c r="L33" s="11" t="n">
        <f aca="false">IF(Time!L17&lt;Time!$F$11,0,IF(Time!L29=1,INDEX(Funding!$J$72:$BJ$72,1,Time!$F$13),K36))</f>
        <v>0</v>
      </c>
      <c r="M33" s="11" t="n">
        <f aca="false">IF(Time!M17&lt;Time!$F$11,0,IF(Time!M29=1,INDEX(Funding!$J$72:$BJ$72,1,Time!$F$13),L36))</f>
        <v>0</v>
      </c>
      <c r="N33" s="11" t="n">
        <f aca="false">IF(Time!N17&lt;Time!$F$11,0,IF(Time!N29=1,INDEX(Funding!$J$72:$BJ$72,1,Time!$F$13),M36))</f>
        <v>0</v>
      </c>
      <c r="O33" s="11" t="n">
        <f aca="false">IF(Time!O17&lt;Time!$F$11,0,IF(Time!O29=1,INDEX(Funding!$J$72:$BJ$72,1,Time!$F$13),N36))</f>
        <v>0</v>
      </c>
      <c r="P33" s="11" t="n">
        <f aca="false">IF(Time!P17&lt;Time!$F$11,0,IF(Time!P29=1,INDEX(Funding!$J$72:$BJ$72,1,Time!$F$13),O36))</f>
        <v>205.456096046514</v>
      </c>
      <c r="Q33" s="11" t="n">
        <f aca="false">IF(Time!Q17&lt;Time!$F$11,0,IF(Time!Q29=1,INDEX(Funding!$J$72:$BJ$72,1,Time!$F$13),P36))</f>
        <v>207.113817150232</v>
      </c>
      <c r="R33" s="11" t="n">
        <f aca="false">IF(Time!R17&lt;Time!$F$11,0,IF(Time!R29=1,INDEX(Funding!$J$72:$BJ$72,1,Time!$F$13),Q36))</f>
        <v>199.191570125999</v>
      </c>
      <c r="S33" s="11" t="n">
        <f aca="false">IF(Time!S17&lt;Time!$F$11,0,IF(Time!S29=1,INDEX(Funding!$J$72:$BJ$72,1,Time!$F$13),R36))</f>
        <v>208.730936278882</v>
      </c>
      <c r="T33" s="11" t="n">
        <f aca="false">IF(Time!T17&lt;Time!$F$11,0,IF(Time!T29=1,INDEX(Funding!$J$72:$BJ$72,1,Time!$F$13),S36))</f>
        <v>218.564164907143</v>
      </c>
      <c r="U33" s="11" t="n">
        <f aca="false">IF(Time!U17&lt;Time!$F$11,0,IF(Time!U29=1,INDEX(Funding!$J$72:$BJ$72,1,Time!$F$13),T36))</f>
        <v>229.031292585436</v>
      </c>
      <c r="V33" s="11" t="n">
        <f aca="false">IF(Time!V17&lt;Time!$F$11,0,IF(Time!V29=1,INDEX(Funding!$J$72:$BJ$72,1,Time!$F$13),U36))</f>
        <v>239.880473541059</v>
      </c>
      <c r="W33" s="11" t="n">
        <f aca="false">IF(Time!W17&lt;Time!$F$11,0,IF(Time!W29=1,INDEX(Funding!$J$72:$BJ$72,1,Time!$F$13),V36))</f>
        <v>204.978153152226</v>
      </c>
      <c r="X33" s="11" t="n">
        <f aca="false">IF(Time!X17&lt;Time!$F$11,0,IF(Time!X29=1,INDEX(Funding!$J$72:$BJ$72,1,Time!$F$13),W36))</f>
        <v>191.255285949667</v>
      </c>
      <c r="Y33" s="11" t="n">
        <f aca="false">IF(Time!Y17&lt;Time!$F$11,0,IF(Time!Y29=1,INDEX(Funding!$J$72:$BJ$72,1,Time!$F$13),X36))</f>
        <v>179.134336042474</v>
      </c>
      <c r="Z33" s="11" t="n">
        <f aca="false">IF(Time!Z17&lt;Time!$F$11,0,IF(Time!Z29=1,INDEX(Funding!$J$72:$BJ$72,1,Time!$F$13),Y36))</f>
        <v>169.288418433107</v>
      </c>
      <c r="AA33" s="11" t="n">
        <f aca="false">IF(Time!AA17&lt;Time!$F$11,0,IF(Time!AA29=1,INDEX(Funding!$J$72:$BJ$72,1,Time!$F$13),Z36))</f>
        <v>158.039279428578</v>
      </c>
      <c r="AB33" s="11" t="n">
        <f aca="false">IF(Time!AB17&lt;Time!$F$11,0,IF(Time!AB29=1,INDEX(Funding!$J$72:$BJ$72,1,Time!$F$13),AA36))</f>
        <v>147.114153158701</v>
      </c>
      <c r="AC33" s="11" t="n">
        <f aca="false">IF(Time!AC17&lt;Time!$F$11,0,IF(Time!AC29=1,INDEX(Funding!$J$72:$BJ$72,1,Time!$F$13),AB36))</f>
        <v>134.905237468194</v>
      </c>
      <c r="AD33" s="11" t="n">
        <f aca="false">IF(Time!AD17&lt;Time!$F$11,0,IF(Time!AD29=1,INDEX(Funding!$J$72:$BJ$72,1,Time!$F$13),AC36))</f>
        <v>122.703980558918</v>
      </c>
      <c r="AE33" s="11" t="n">
        <f aca="false">IF(Time!AE17&lt;Time!$F$11,0,IF(Time!AE29=1,INDEX(Funding!$J$72:$BJ$72,1,Time!$F$13),AD36))</f>
        <v>110.31861433362</v>
      </c>
      <c r="AF33" s="11" t="n">
        <f aca="false">IF(Time!AF17&lt;Time!$F$11,0,IF(Time!AF29=1,INDEX(Funding!$J$72:$BJ$72,1,Time!$F$13),AE36))</f>
        <v>96.3467912072697</v>
      </c>
      <c r="AG33" s="11" t="n">
        <f aca="false">IF(Time!AG17&lt;Time!$F$11,0,IF(Time!AG29=1,INDEX(Funding!$J$72:$BJ$72,1,Time!$F$13),AF36))</f>
        <v>80.436825680203</v>
      </c>
      <c r="AH33" s="11" t="n">
        <f aca="false">IF(Time!AH17&lt;Time!$F$11,0,IF(Time!AH29=1,INDEX(Funding!$J$72:$BJ$72,1,Time!$F$13),AG36))</f>
        <v>64.9798161571769</v>
      </c>
      <c r="AI33" s="11" t="n">
        <f aca="false">IF(Time!AI17&lt;Time!$F$11,0,IF(Time!AI29=1,INDEX(Funding!$J$72:$BJ$72,1,Time!$F$13),AH36))</f>
        <v>47.8777714869619</v>
      </c>
      <c r="AJ33" s="11" t="n">
        <f aca="false">IF(Time!AJ17&lt;Time!$F$11,0,IF(Time!AJ29=1,INDEX(Funding!$J$72:$BJ$72,1,Time!$F$13),AI36))</f>
        <v>30.6659361025866</v>
      </c>
      <c r="AK33" s="11" t="n">
        <f aca="false">IF(Time!AK17&lt;Time!$F$11,0,IF(Time!AK29=1,INDEX(Funding!$J$72:$BJ$72,1,Time!$F$13),AJ36))</f>
        <v>11.7869713032066</v>
      </c>
      <c r="AL33" s="11" t="n">
        <f aca="false">IF(Time!AL17&lt;Time!$F$11,0,IF(Time!AL29=1,INDEX(Funding!$J$72:$BJ$72,1,Time!$F$13),AK36))</f>
        <v>0</v>
      </c>
      <c r="AM33" s="11" t="n">
        <f aca="false">IF(Time!AM17&lt;Time!$F$11,0,IF(Time!AM29=1,INDEX(Funding!$J$72:$BJ$72,1,Time!$F$13),AL36))</f>
        <v>0</v>
      </c>
      <c r="AN33" s="11" t="n">
        <f aca="false">IF(Time!AN17&lt;Time!$F$11,0,IF(Time!AN29=1,INDEX(Funding!$J$72:$BJ$72,1,Time!$F$13),AM36))</f>
        <v>0</v>
      </c>
      <c r="AO33" s="11" t="n">
        <f aca="false">IF(Time!AO17&lt;Time!$F$11,0,IF(Time!AO29=1,INDEX(Funding!$J$72:$BJ$72,1,Time!$F$13),AN36))</f>
        <v>0</v>
      </c>
      <c r="AP33" s="11" t="n">
        <f aca="false">IF(Time!AP17&lt;Time!$F$11,0,IF(Time!AP29=1,INDEX(Funding!$J$72:$BJ$72,1,Time!$F$13),AO36))</f>
        <v>0</v>
      </c>
      <c r="AQ33" s="11" t="n">
        <f aca="false">IF(Time!AQ17&lt;Time!$F$11,0,IF(Time!AQ29=1,INDEX(Funding!$J$72:$BJ$72,1,Time!$F$13),AP36))</f>
        <v>0</v>
      </c>
      <c r="AR33" s="11" t="n">
        <f aca="false">IF(Time!AR17&lt;Time!$F$11,0,IF(Time!AR29=1,INDEX(Funding!$J$72:$BJ$72,1,Time!$F$13),AQ36))</f>
        <v>0</v>
      </c>
      <c r="AS33" s="11" t="n">
        <f aca="false">IF(Time!AS17&lt;Time!$F$11,0,IF(Time!AS29=1,INDEX(Funding!$J$72:$BJ$72,1,Time!$F$13),AR36))</f>
        <v>0</v>
      </c>
      <c r="AT33" s="11" t="n">
        <f aca="false">IF(Time!AT17&lt;Time!$F$11,0,IF(Time!AT29=1,INDEX(Funding!$J$72:$BJ$72,1,Time!$F$13),AS36))</f>
        <v>0</v>
      </c>
      <c r="AU33" s="11" t="n">
        <f aca="false">IF(Time!AU17&lt;Time!$F$11,0,IF(Time!AU29=1,INDEX(Funding!$J$72:$BJ$72,1,Time!$F$13),AT36))</f>
        <v>0</v>
      </c>
      <c r="AV33" s="11" t="n">
        <f aca="false">IF(Time!AV17&lt;Time!$F$11,0,IF(Time!AV29=1,INDEX(Funding!$J$72:$BJ$72,1,Time!$F$13),AU36))</f>
        <v>0</v>
      </c>
      <c r="AW33" s="11" t="n">
        <f aca="false">IF(Time!AW17&lt;Time!$F$11,0,IF(Time!AW29=1,INDEX(Funding!$J$72:$BJ$72,1,Time!$F$13),AV36))</f>
        <v>0</v>
      </c>
      <c r="AX33" s="11" t="n">
        <f aca="false">IF(Time!AX17&lt;Time!$F$11,0,IF(Time!AX29=1,INDEX(Funding!$J$72:$BJ$72,1,Time!$F$13),AW36))</f>
        <v>0</v>
      </c>
      <c r="AY33" s="11" t="n">
        <f aca="false">IF(Time!AY17&lt;Time!$F$11,0,IF(Time!AY29=1,INDEX(Funding!$J$72:$BJ$72,1,Time!$F$13),AX36))</f>
        <v>0</v>
      </c>
      <c r="AZ33" s="11" t="n">
        <f aca="false">IF(Time!AZ17&lt;Time!$F$11,0,IF(Time!AZ29=1,INDEX(Funding!$J$72:$BJ$72,1,Time!$F$13),AY36))</f>
        <v>0</v>
      </c>
      <c r="BA33" s="11" t="n">
        <f aca="false">IF(Time!BA17&lt;Time!$F$11,0,IF(Time!BA29=1,INDEX(Funding!$J$72:$BJ$72,1,Time!$F$13),AZ36))</f>
        <v>0</v>
      </c>
      <c r="BB33" s="11" t="n">
        <f aca="false">IF(Time!BB17&lt;Time!$F$11,0,IF(Time!BB29=1,INDEX(Funding!$J$72:$BJ$72,1,Time!$F$13),BA36))</f>
        <v>0</v>
      </c>
      <c r="BC33" s="11" t="n">
        <f aca="false">IF(Time!BC17&lt;Time!$F$11,0,IF(Time!BC29=1,INDEX(Funding!$J$72:$BJ$72,1,Time!$F$13),BB36))</f>
        <v>0</v>
      </c>
      <c r="BD33" s="11" t="n">
        <f aca="false">IF(Time!BD17&lt;Time!$F$11,0,IF(Time!BD29=1,INDEX(Funding!$J$72:$BJ$72,1,Time!$F$13),BC36))</f>
        <v>0</v>
      </c>
      <c r="BE33" s="11" t="n">
        <f aca="false">IF(Time!BE17&lt;Time!$F$11,0,IF(Time!BE29=1,INDEX(Funding!$J$72:$BJ$72,1,Time!$F$13),BD36))</f>
        <v>0</v>
      </c>
      <c r="BF33" s="11" t="n">
        <f aca="false">IF(Time!BF17&lt;Time!$F$11,0,IF(Time!BF29=1,INDEX(Funding!$J$72:$BJ$72,1,Time!$F$13),BE36))</f>
        <v>0</v>
      </c>
      <c r="BG33" s="11" t="n">
        <f aca="false">IF(Time!BG17&lt;Time!$F$11,0,IF(Time!BG29=1,INDEX(Funding!$J$72:$BJ$72,1,Time!$F$13),BF36))</f>
        <v>0</v>
      </c>
      <c r="BH33" s="11" t="n">
        <f aca="false">IF(Time!BH17&lt;Time!$F$11,0,IF(Time!BH29=1,INDEX(Funding!$J$72:$BJ$72,1,Time!$F$13),BG36))</f>
        <v>0</v>
      </c>
      <c r="BI33" s="11" t="n">
        <f aca="false">IF(Time!BI17&lt;Time!$F$11,0,IF(Time!BI29=1,INDEX(Funding!$J$72:$BJ$72,1,Time!$F$13),BH36))</f>
        <v>0</v>
      </c>
      <c r="BJ33" s="11" t="n">
        <f aca="false">IF(Time!BJ17&lt;Time!$F$11,0,IF(Time!BJ29=1,INDEX(Funding!$J$72:$BJ$72,1,Time!$F$13),BI36))</f>
        <v>0</v>
      </c>
      <c r="BK33" s="11" t="n">
        <f aca="false">IF(Time!BK17&lt;Time!$F$11,0,IF(Time!BK29=1,INDEX(Funding!$J$72:$BJ$72,1,Time!$F$13),BJ36))</f>
        <v>0</v>
      </c>
      <c r="BL33" s="11" t="n">
        <f aca="false">IF(Time!BL17&lt;Time!$F$11,0,IF(Time!BL29=1,INDEX(Funding!$J$72:$BJ$72,1,Time!$F$13),BK36))</f>
        <v>0</v>
      </c>
      <c r="BM33" s="11" t="n">
        <f aca="false">IF(Time!BM17&lt;Time!$F$11,0,IF(Time!BM29=1,INDEX(Funding!$J$72:$BJ$72,1,Time!$F$13),BL36))</f>
        <v>0</v>
      </c>
      <c r="BN33" s="11" t="n">
        <f aca="false">IF(Time!BN17&lt;Time!$F$11,0,IF(Time!BN29=1,INDEX(Funding!$J$72:$BJ$72,1,Time!$F$13),BM36))</f>
        <v>0</v>
      </c>
    </row>
    <row r="34" customFormat="false" ht="15" hidden="false" customHeight="false" outlineLevel="0" collapsed="false">
      <c r="D34" s="0" t="s">
        <v>752</v>
      </c>
      <c r="E34" s="0" t="s">
        <v>149</v>
      </c>
      <c r="G34" s="11" t="n">
        <f aca="false">SUM(J34:BN34)</f>
        <v>104.35915993448</v>
      </c>
      <c r="J34" s="11" t="n">
        <f aca="false">J24*MIN(J31,Tax!J13)</f>
        <v>0</v>
      </c>
      <c r="K34" s="11" t="n">
        <f aca="false">K24*MIN(K31,Tax!K13)</f>
        <v>0</v>
      </c>
      <c r="L34" s="11" t="n">
        <f aca="false">L24*MIN(L31,Tax!L13)</f>
        <v>0</v>
      </c>
      <c r="M34" s="11" t="n">
        <f aca="false">M24*MIN(M31,Tax!M13)</f>
        <v>0</v>
      </c>
      <c r="N34" s="11" t="n">
        <f aca="false">N24*MIN(N31,Tax!N13)</f>
        <v>0</v>
      </c>
      <c r="O34" s="11" t="n">
        <f aca="false">O24*MIN(O31,Tax!O13)</f>
        <v>0</v>
      </c>
      <c r="P34" s="11" t="n">
        <f aca="false">P24*MIN(P31,Tax!P13)</f>
        <v>0</v>
      </c>
      <c r="Q34" s="11" t="n">
        <f aca="false">Q24*MIN(Q31,Tax!Q13)</f>
        <v>9.75704681068009</v>
      </c>
      <c r="R34" s="11" t="n">
        <f aca="false">R24*MIN(R31,Tax!R13)</f>
        <v>0</v>
      </c>
      <c r="S34" s="11" t="n">
        <f aca="false">S24*MIN(S31,Tax!S13)</f>
        <v>0</v>
      </c>
      <c r="T34" s="11" t="n">
        <f aca="false">T24*MIN(T31,Tax!T13)</f>
        <v>0</v>
      </c>
      <c r="U34" s="11" t="n">
        <f aca="false">U24*MIN(U31,Tax!U13)</f>
        <v>0</v>
      </c>
      <c r="V34" s="11" t="n">
        <f aca="false">V24*MIN(V31,Tax!V13)</f>
        <v>11.4879744588978</v>
      </c>
      <c r="W34" s="11" t="n">
        <f aca="false">W24*MIN(W31,Tax!W13)</f>
        <v>9.65643655740418</v>
      </c>
      <c r="X34" s="11" t="n">
        <f aca="false">X24*MIN(X31,Tax!X13)</f>
        <v>9.15929424219228</v>
      </c>
      <c r="Y34" s="11" t="n">
        <f aca="false">Y24*MIN(Y31,Tax!Y13)</f>
        <v>8.43894495411051</v>
      </c>
      <c r="Z34" s="11" t="n">
        <f aca="false">Z24*MIN(Z31,Tax!Z13)</f>
        <v>8.10729192934441</v>
      </c>
      <c r="AA34" s="11" t="n">
        <f aca="false">AA24*MIN(AA31,Tax!AA13)</f>
        <v>7.44516550623121</v>
      </c>
      <c r="AB34" s="11" t="n">
        <f aca="false">AB24*MIN(AB31,Tax!AB13)</f>
        <v>7.04535725264135</v>
      </c>
      <c r="AC34" s="11" t="n">
        <f aca="false">AC24*MIN(AC31,Tax!AC13)</f>
        <v>6.39044261869883</v>
      </c>
      <c r="AD34" s="11" t="n">
        <f aca="false">AD24*MIN(AD31,Tax!AD13)</f>
        <v>5.87634405525995</v>
      </c>
      <c r="AE34" s="11" t="n">
        <f aca="false">AE24*MIN(AE31,Tax!AE13)</f>
        <v>5.19706458483999</v>
      </c>
      <c r="AF34" s="11" t="n">
        <f aca="false">AF24*MIN(AF31,Tax!AF13)</f>
        <v>4.61408742548787</v>
      </c>
      <c r="AG34" s="11" t="n">
        <f aca="false">AG24*MIN(AG31,Tax!AG13)</f>
        <v>3.78934580156463</v>
      </c>
      <c r="AH34" s="11" t="n">
        <f aca="false">AH24*MIN(AH31,Tax!AH13)</f>
        <v>3.11191009980124</v>
      </c>
      <c r="AI34" s="11" t="n">
        <f aca="false">AI24*MIN(AI31,Tax!AI13)</f>
        <v>2.25550213895427</v>
      </c>
      <c r="AJ34" s="11" t="n">
        <f aca="false">AJ24*MIN(AJ31,Tax!AJ13)</f>
        <v>1.46860428239237</v>
      </c>
      <c r="AK34" s="11" t="n">
        <f aca="false">AK24*MIN(AK31,Tax!AK13)</f>
        <v>0.558347215979295</v>
      </c>
      <c r="AL34" s="11" t="n">
        <f aca="false">AL24*MIN(AL31,Tax!AL13)</f>
        <v>0</v>
      </c>
      <c r="AM34" s="11" t="n">
        <f aca="false">AM24*MIN(AM31,Tax!AM13)</f>
        <v>0</v>
      </c>
      <c r="AN34" s="11" t="n">
        <f aca="false">AN24*MIN(AN31,Tax!AN13)</f>
        <v>0</v>
      </c>
      <c r="AO34" s="11" t="n">
        <f aca="false">AO24*MIN(AO31,Tax!AO13)</f>
        <v>0</v>
      </c>
      <c r="AP34" s="11" t="n">
        <f aca="false">AP24*MIN(AP31,Tax!AP13)</f>
        <v>0</v>
      </c>
      <c r="AQ34" s="11" t="n">
        <f aca="false">AQ24*MIN(AQ31,Tax!AQ13)</f>
        <v>0</v>
      </c>
      <c r="AR34" s="11" t="n">
        <f aca="false">AR24*MIN(AR31,Tax!AR13)</f>
        <v>0</v>
      </c>
      <c r="AS34" s="11" t="n">
        <f aca="false">AS24*MIN(AS31,Tax!AS13)</f>
        <v>0</v>
      </c>
      <c r="AT34" s="11" t="n">
        <f aca="false">AT24*MIN(AT31,Tax!AT13)</f>
        <v>0</v>
      </c>
      <c r="AU34" s="11" t="n">
        <f aca="false">AU24*MIN(AU31,Tax!AU13)</f>
        <v>0</v>
      </c>
      <c r="AV34" s="11" t="n">
        <f aca="false">AV24*MIN(AV31,Tax!AV13)</f>
        <v>0</v>
      </c>
      <c r="AW34" s="11" t="n">
        <f aca="false">AW24*MIN(AW31,Tax!AW13)</f>
        <v>0</v>
      </c>
      <c r="AX34" s="11" t="n">
        <f aca="false">AX24*MIN(AX31,Tax!AX13)</f>
        <v>0</v>
      </c>
      <c r="AY34" s="11" t="n">
        <f aca="false">AY24*MIN(AY31,Tax!AY13)</f>
        <v>0</v>
      </c>
      <c r="AZ34" s="11" t="n">
        <f aca="false">AZ24*MIN(AZ31,Tax!AZ13)</f>
        <v>0</v>
      </c>
      <c r="BA34" s="11" t="n">
        <f aca="false">BA24*MIN(BA31,Tax!BA13)</f>
        <v>0</v>
      </c>
      <c r="BB34" s="11" t="n">
        <f aca="false">BB24*MIN(BB31,Tax!BB13)</f>
        <v>0</v>
      </c>
      <c r="BC34" s="11" t="n">
        <f aca="false">BC24*MIN(BC31,Tax!BC13)</f>
        <v>0</v>
      </c>
      <c r="BD34" s="11" t="n">
        <f aca="false">BD24*MIN(BD31,Tax!BD13)</f>
        <v>0</v>
      </c>
      <c r="BE34" s="11" t="n">
        <f aca="false">BE24*MIN(BE31,Tax!BE13)</f>
        <v>0</v>
      </c>
      <c r="BF34" s="11" t="n">
        <f aca="false">BF24*MIN(BF31,Tax!BF13)</f>
        <v>0</v>
      </c>
      <c r="BG34" s="11" t="n">
        <f aca="false">BG24*MIN(BG31,Tax!BG13)</f>
        <v>0</v>
      </c>
      <c r="BH34" s="11" t="n">
        <f aca="false">BH24*MIN(BH31,Tax!BH13)</f>
        <v>0</v>
      </c>
      <c r="BI34" s="11" t="n">
        <f aca="false">BI24*MIN(BI31,Tax!BI13)</f>
        <v>0</v>
      </c>
      <c r="BJ34" s="11" t="n">
        <f aca="false">BJ24*MIN(BJ31,Tax!BJ13)</f>
        <v>0</v>
      </c>
      <c r="BK34" s="11" t="n">
        <f aca="false">BK24*MIN(BK31,Tax!BK13)</f>
        <v>0</v>
      </c>
      <c r="BL34" s="11" t="n">
        <f aca="false">BL24*MIN(BL31,Tax!BL13)</f>
        <v>0</v>
      </c>
      <c r="BM34" s="11" t="n">
        <f aca="false">BM24*MIN(BM31,Tax!BM13)</f>
        <v>0</v>
      </c>
      <c r="BN34" s="11" t="n">
        <f aca="false">BN24*MIN(BN31,Tax!BN13)</f>
        <v>0</v>
      </c>
    </row>
    <row r="35" customFormat="false" ht="15" hidden="false" customHeight="false" outlineLevel="0" collapsed="false">
      <c r="D35" s="0" t="s">
        <v>753</v>
      </c>
      <c r="E35" s="0" t="s">
        <v>149</v>
      </c>
      <c r="G35" s="11" t="n">
        <f aca="false">SUM(J35:BN35)</f>
        <v>247.802720565292</v>
      </c>
      <c r="J35" s="11" t="n">
        <f aca="false">J24*MIN(J31-J34,J33+Tax!J13-J34)</f>
        <v>0</v>
      </c>
      <c r="K35" s="11" t="n">
        <f aca="false">K24*MIN(K31-K34,K33+Tax!K13-K34)</f>
        <v>0</v>
      </c>
      <c r="L35" s="11" t="n">
        <f aca="false">L24*MIN(L31-L34,L33+Tax!L13-L34)</f>
        <v>0</v>
      </c>
      <c r="M35" s="11" t="n">
        <f aca="false">M24*MIN(M31-M34,M33+Tax!M13-M34)</f>
        <v>0</v>
      </c>
      <c r="N35" s="11" t="n">
        <f aca="false">N24*MIN(N31-N34,N33+Tax!N13-N34)</f>
        <v>0</v>
      </c>
      <c r="O35" s="11" t="n">
        <f aca="false">O24*MIN(O31-O34,O33+Tax!O13-O34)</f>
        <v>0</v>
      </c>
      <c r="P35" s="11" t="n">
        <f aca="false">P24*MIN(P31-P34,P33+Tax!P13-P34)</f>
        <v>0</v>
      </c>
      <c r="Q35" s="11" t="n">
        <f aca="false">Q24*MIN(Q31-Q34,Q33+Tax!Q13-Q34)</f>
        <v>7.92224702423294</v>
      </c>
      <c r="R35" s="11" t="n">
        <f aca="false">R24*MIN(R31-R34,R33+Tax!R13-R34)</f>
        <v>0</v>
      </c>
      <c r="S35" s="11" t="n">
        <f aca="false">S24*MIN(S31-S34,S33+Tax!S13-S34)</f>
        <v>0</v>
      </c>
      <c r="T35" s="11" t="n">
        <f aca="false">T24*MIN(T31-T34,T33+Tax!T13-T34)</f>
        <v>0</v>
      </c>
      <c r="U35" s="11" t="n">
        <f aca="false">U24*MIN(U31-U34,U33+Tax!U13-U34)</f>
        <v>0</v>
      </c>
      <c r="V35" s="11" t="n">
        <f aca="false">V24*MIN(V31-V34,V33+Tax!V13-V34)</f>
        <v>34.9023203888326</v>
      </c>
      <c r="W35" s="11" t="n">
        <f aca="false">W24*MIN(W31-W34,W33+Tax!W13-W34)</f>
        <v>13.7228672025589</v>
      </c>
      <c r="X35" s="11" t="n">
        <f aca="false">X24*MIN(X31-X34,X33+Tax!X13-X34)</f>
        <v>12.1209499071934</v>
      </c>
      <c r="Y35" s="11" t="n">
        <f aca="false">Y24*MIN(Y31-Y34,Y33+Tax!Y13-Y34)</f>
        <v>9.8459176093668</v>
      </c>
      <c r="Z35" s="11" t="n">
        <f aca="false">Z24*MIN(Z31-Z34,Z33+Tax!Z13-Z34)</f>
        <v>11.2491390045293</v>
      </c>
      <c r="AA35" s="11" t="n">
        <f aca="false">AA24*MIN(AA31-AA34,AA33+Tax!AA13-AA34)</f>
        <v>10.9251262698767</v>
      </c>
      <c r="AB35" s="11" t="n">
        <f aca="false">AB24*MIN(AB31-AB34,AB33+Tax!AB13-AB34)</f>
        <v>12.208915690507</v>
      </c>
      <c r="AC35" s="11" t="n">
        <f aca="false">AC24*MIN(AC31-AC34,AC33+Tax!AC13-AC34)</f>
        <v>12.2012569092762</v>
      </c>
      <c r="AD35" s="11" t="n">
        <f aca="false">AD24*MIN(AD31-AD34,AD33+Tax!AD13-AD34)</f>
        <v>12.3853662252979</v>
      </c>
      <c r="AE35" s="11" t="n">
        <f aca="false">AE24*MIN(AE31-AE34,AE33+Tax!AE13-AE34)</f>
        <v>13.9718231263502</v>
      </c>
      <c r="AF35" s="11" t="n">
        <f aca="false">AF24*MIN(AF31-AF34,AF33+Tax!AF13-AF34)</f>
        <v>15.9099655270667</v>
      </c>
      <c r="AG35" s="11" t="n">
        <f aca="false">AG24*MIN(AG31-AG34,AG33+Tax!AG13-AG34)</f>
        <v>15.4570095230261</v>
      </c>
      <c r="AH35" s="11" t="n">
        <f aca="false">AH24*MIN(AH31-AH34,AH33+Tax!AH13-AH34)</f>
        <v>17.102044670215</v>
      </c>
      <c r="AI35" s="11" t="n">
        <f aca="false">AI24*MIN(AI31-AI34,AI33+Tax!AI13-AI34)</f>
        <v>17.2118353843753</v>
      </c>
      <c r="AJ35" s="11" t="n">
        <f aca="false">AJ24*MIN(AJ31-AJ34,AJ33+Tax!AJ13-AJ34)</f>
        <v>18.8789647993799</v>
      </c>
      <c r="AK35" s="11" t="n">
        <f aca="false">AK24*MIN(AK31-AK34,AK33+Tax!AK13-AK34)</f>
        <v>11.7869713032066</v>
      </c>
      <c r="AL35" s="11" t="n">
        <f aca="false">AL24*MIN(AL31-AL34,AL33+Tax!AL13-AL34)</f>
        <v>0</v>
      </c>
      <c r="AM35" s="11" t="n">
        <f aca="false">AM24*MIN(AM31-AM34,AM33+Tax!AM13-AM34)</f>
        <v>0</v>
      </c>
      <c r="AN35" s="11" t="n">
        <f aca="false">AN24*MIN(AN31-AN34,AN33+Tax!AN13-AN34)</f>
        <v>0</v>
      </c>
      <c r="AO35" s="11" t="n">
        <f aca="false">AO24*MIN(AO31-AO34,AO33+Tax!AO13-AO34)</f>
        <v>0</v>
      </c>
      <c r="AP35" s="11" t="n">
        <f aca="false">AP24*MIN(AP31-AP34,AP33+Tax!AP13-AP34)</f>
        <v>0</v>
      </c>
      <c r="AQ35" s="11" t="n">
        <f aca="false">AQ24*MIN(AQ31-AQ34,AQ33+Tax!AQ13-AQ34)</f>
        <v>0</v>
      </c>
      <c r="AR35" s="11" t="n">
        <f aca="false">AR24*MIN(AR31-AR34,AR33+Tax!AR13-AR34)</f>
        <v>0</v>
      </c>
      <c r="AS35" s="11" t="n">
        <f aca="false">AS24*MIN(AS31-AS34,AS33+Tax!AS13-AS34)</f>
        <v>0</v>
      </c>
      <c r="AT35" s="11" t="n">
        <f aca="false">AT24*MIN(AT31-AT34,AT33+Tax!AT13-AT34)</f>
        <v>0</v>
      </c>
      <c r="AU35" s="11" t="n">
        <f aca="false">AU24*MIN(AU31-AU34,AU33+Tax!AU13-AU34)</f>
        <v>0</v>
      </c>
      <c r="AV35" s="11" t="n">
        <f aca="false">AV24*MIN(AV31-AV34,AV33+Tax!AV13-AV34)</f>
        <v>0</v>
      </c>
      <c r="AW35" s="11" t="n">
        <f aca="false">AW24*MIN(AW31-AW34,AW33+Tax!AW13-AW34)</f>
        <v>0</v>
      </c>
      <c r="AX35" s="11" t="n">
        <f aca="false">AX24*MIN(AX31-AX34,AX33+Tax!AX13-AX34)</f>
        <v>0</v>
      </c>
      <c r="AY35" s="11" t="n">
        <f aca="false">AY24*MIN(AY31-AY34,AY33+Tax!AY13-AY34)</f>
        <v>0</v>
      </c>
      <c r="AZ35" s="11" t="n">
        <f aca="false">AZ24*MIN(AZ31-AZ34,AZ33+Tax!AZ13-AZ34)</f>
        <v>0</v>
      </c>
      <c r="BA35" s="11" t="n">
        <f aca="false">BA24*MIN(BA31-BA34,BA33+Tax!BA13-BA34)</f>
        <v>0</v>
      </c>
      <c r="BB35" s="11" t="n">
        <f aca="false">BB24*MIN(BB31-BB34,BB33+Tax!BB13-BB34)</f>
        <v>0</v>
      </c>
      <c r="BC35" s="11" t="n">
        <f aca="false">BC24*MIN(BC31-BC34,BC33+Tax!BC13-BC34)</f>
        <v>0</v>
      </c>
      <c r="BD35" s="11" t="n">
        <f aca="false">BD24*MIN(BD31-BD34,BD33+Tax!BD13-BD34)</f>
        <v>0</v>
      </c>
      <c r="BE35" s="11" t="n">
        <f aca="false">BE24*MIN(BE31-BE34,BE33+Tax!BE13-BE34)</f>
        <v>0</v>
      </c>
      <c r="BF35" s="11" t="n">
        <f aca="false">BF24*MIN(BF31-BF34,BF33+Tax!BF13-BF34)</f>
        <v>0</v>
      </c>
      <c r="BG35" s="11" t="n">
        <f aca="false">BG24*MIN(BG31-BG34,BG33+Tax!BG13-BG34)</f>
        <v>0</v>
      </c>
      <c r="BH35" s="11" t="n">
        <f aca="false">BH24*MIN(BH31-BH34,BH33+Tax!BH13-BH34)</f>
        <v>0</v>
      </c>
      <c r="BI35" s="11" t="n">
        <f aca="false">BI24*MIN(BI31-BI34,BI33+Tax!BI13-BI34)</f>
        <v>0</v>
      </c>
      <c r="BJ35" s="11" t="n">
        <f aca="false">BJ24*MIN(BJ31-BJ34,BJ33+Tax!BJ13-BJ34)</f>
        <v>0</v>
      </c>
      <c r="BK35" s="11" t="n">
        <f aca="false">BK24*MIN(BK31-BK34,BK33+Tax!BK13-BK34)</f>
        <v>0</v>
      </c>
      <c r="BL35" s="11" t="n">
        <f aca="false">BL24*MIN(BL31-BL34,BL33+Tax!BL13-BL34)</f>
        <v>0</v>
      </c>
      <c r="BM35" s="11" t="n">
        <f aca="false">BM24*MIN(BM31-BM34,BM33+Tax!BM13-BM34)</f>
        <v>0</v>
      </c>
      <c r="BN35" s="11" t="n">
        <f aca="false">BN24*MIN(BN31-BN34,BN33+Tax!BN13-BN34)</f>
        <v>0</v>
      </c>
    </row>
    <row r="36" customFormat="false" ht="15" hidden="false" customHeight="false" outlineLevel="0" collapsed="false">
      <c r="D36" s="0" t="s">
        <v>754</v>
      </c>
      <c r="E36" s="0" t="s">
        <v>149</v>
      </c>
      <c r="J36" s="11" t="n">
        <f aca="false">J33+Tax!J13-J34-J35</f>
        <v>0</v>
      </c>
      <c r="K36" s="11" t="n">
        <f aca="false">K33+Tax!K13-K34-K35</f>
        <v>0</v>
      </c>
      <c r="L36" s="11" t="n">
        <f aca="false">L33+Tax!L13-L34-L35</f>
        <v>0</v>
      </c>
      <c r="M36" s="11" t="n">
        <f aca="false">M33+Tax!M13-M34-M35</f>
        <v>0</v>
      </c>
      <c r="N36" s="11" t="n">
        <f aca="false">N33+Tax!N13-N34-N35</f>
        <v>0</v>
      </c>
      <c r="O36" s="11" t="n">
        <f aca="false">O33+Tax!O13-O34-O35</f>
        <v>0</v>
      </c>
      <c r="P36" s="11" t="n">
        <f aca="false">P33+Tax!P13-P34-P35</f>
        <v>207.113817150232</v>
      </c>
      <c r="Q36" s="11" t="n">
        <f aca="false">Q33+Tax!Q13-Q34-Q35</f>
        <v>199.191570125999</v>
      </c>
      <c r="R36" s="11" t="n">
        <f aca="false">R33+Tax!R13-R34-R35</f>
        <v>208.730936278882</v>
      </c>
      <c r="S36" s="11" t="n">
        <f aca="false">S33+Tax!S13-S34-S35</f>
        <v>218.564164907143</v>
      </c>
      <c r="T36" s="11" t="n">
        <f aca="false">T33+Tax!T13-T34-T35</f>
        <v>229.031292585436</v>
      </c>
      <c r="U36" s="11" t="n">
        <f aca="false">U33+Tax!U13-U34-U35</f>
        <v>239.880473541059</v>
      </c>
      <c r="V36" s="11" t="n">
        <f aca="false">V33+Tax!V13-V34-V35</f>
        <v>204.978153152226</v>
      </c>
      <c r="W36" s="11" t="n">
        <f aca="false">W33+Tax!W13-W34-W35</f>
        <v>191.255285949667</v>
      </c>
      <c r="X36" s="11" t="n">
        <f aca="false">X33+Tax!X13-X34-X35</f>
        <v>179.134336042474</v>
      </c>
      <c r="Y36" s="11" t="n">
        <f aca="false">Y33+Tax!Y13-Y34-Y35</f>
        <v>169.288418433107</v>
      </c>
      <c r="Z36" s="11" t="n">
        <f aca="false">Z33+Tax!Z13-Z34-Z35</f>
        <v>158.039279428578</v>
      </c>
      <c r="AA36" s="11" t="n">
        <f aca="false">AA33+Tax!AA13-AA34-AA35</f>
        <v>147.114153158701</v>
      </c>
      <c r="AB36" s="11" t="n">
        <f aca="false">AB33+Tax!AB13-AB34-AB35</f>
        <v>134.905237468194</v>
      </c>
      <c r="AC36" s="11" t="n">
        <f aca="false">AC33+Tax!AC13-AC34-AC35</f>
        <v>122.703980558918</v>
      </c>
      <c r="AD36" s="11" t="n">
        <f aca="false">AD33+Tax!AD13-AD34-AD35</f>
        <v>110.31861433362</v>
      </c>
      <c r="AE36" s="11" t="n">
        <f aca="false">AE33+Tax!AE13-AE34-AE35</f>
        <v>96.3467912072697</v>
      </c>
      <c r="AF36" s="11" t="n">
        <f aca="false">AF33+Tax!AF13-AF34-AF35</f>
        <v>80.436825680203</v>
      </c>
      <c r="AG36" s="11" t="n">
        <f aca="false">AG33+Tax!AG13-AG34-AG35</f>
        <v>64.9798161571769</v>
      </c>
      <c r="AH36" s="11" t="n">
        <f aca="false">AH33+Tax!AH13-AH34-AH35</f>
        <v>47.8777714869619</v>
      </c>
      <c r="AI36" s="11" t="n">
        <f aca="false">AI33+Tax!AI13-AI34-AI35</f>
        <v>30.6659361025866</v>
      </c>
      <c r="AJ36" s="11" t="n">
        <f aca="false">AJ33+Tax!AJ13-AJ34-AJ35</f>
        <v>11.7869713032066</v>
      </c>
      <c r="AK36" s="11" t="n">
        <f aca="false">AK33+Tax!AK13-AK34-AK35</f>
        <v>0</v>
      </c>
      <c r="AL36" s="11" t="n">
        <f aca="false">AL33+Tax!AL13-AL34-AL35</f>
        <v>0</v>
      </c>
      <c r="AM36" s="11" t="n">
        <f aca="false">AM33+Tax!AM13-AM34-AM35</f>
        <v>0</v>
      </c>
      <c r="AN36" s="11" t="n">
        <f aca="false">AN33+Tax!AN13-AN34-AN35</f>
        <v>0</v>
      </c>
      <c r="AO36" s="11" t="n">
        <f aca="false">AO33+Tax!AO13-AO34-AO35</f>
        <v>0</v>
      </c>
      <c r="AP36" s="11" t="n">
        <f aca="false">AP33+Tax!AP13-AP34-AP35</f>
        <v>0</v>
      </c>
      <c r="AQ36" s="11" t="n">
        <f aca="false">AQ33+Tax!AQ13-AQ34-AQ35</f>
        <v>0</v>
      </c>
      <c r="AR36" s="11" t="n">
        <f aca="false">AR33+Tax!AR13-AR34-AR35</f>
        <v>0</v>
      </c>
      <c r="AS36" s="11" t="n">
        <f aca="false">AS33+Tax!AS13-AS34-AS35</f>
        <v>0</v>
      </c>
      <c r="AT36" s="11" t="n">
        <f aca="false">AT33+Tax!AT13-AT34-AT35</f>
        <v>0</v>
      </c>
      <c r="AU36" s="11" t="n">
        <f aca="false">AU33+Tax!AU13-AU34-AU35</f>
        <v>0</v>
      </c>
      <c r="AV36" s="11" t="n">
        <f aca="false">AV33+Tax!AV13-AV34-AV35</f>
        <v>0</v>
      </c>
      <c r="AW36" s="11" t="n">
        <f aca="false">AW33+Tax!AW13-AW34-AW35</f>
        <v>0</v>
      </c>
      <c r="AX36" s="11" t="n">
        <f aca="false">AX33+Tax!AX13-AX34-AX35</f>
        <v>0</v>
      </c>
      <c r="AY36" s="11" t="n">
        <f aca="false">AY33+Tax!AY13-AY34-AY35</f>
        <v>0</v>
      </c>
      <c r="AZ36" s="11" t="n">
        <f aca="false">AZ33+Tax!AZ13-AZ34-AZ35</f>
        <v>0</v>
      </c>
      <c r="BA36" s="11" t="n">
        <f aca="false">BA33+Tax!BA13-BA34-BA35</f>
        <v>0</v>
      </c>
      <c r="BB36" s="11" t="n">
        <f aca="false">BB33+Tax!BB13-BB34-BB35</f>
        <v>0</v>
      </c>
      <c r="BC36" s="11" t="n">
        <f aca="false">BC33+Tax!BC13-BC34-BC35</f>
        <v>0</v>
      </c>
      <c r="BD36" s="11" t="n">
        <f aca="false">BD33+Tax!BD13-BD34-BD35</f>
        <v>0</v>
      </c>
      <c r="BE36" s="11" t="n">
        <f aca="false">BE33+Tax!BE13-BE34-BE35</f>
        <v>0</v>
      </c>
      <c r="BF36" s="11" t="n">
        <f aca="false">BF33+Tax!BF13-BF34-BF35</f>
        <v>0</v>
      </c>
      <c r="BG36" s="11" t="n">
        <f aca="false">BG33+Tax!BG13-BG34-BG35</f>
        <v>0</v>
      </c>
      <c r="BH36" s="11" t="n">
        <f aca="false">BH33+Tax!BH13-BH34-BH35</f>
        <v>0</v>
      </c>
      <c r="BI36" s="11" t="n">
        <f aca="false">BI33+Tax!BI13-BI34-BI35</f>
        <v>0</v>
      </c>
      <c r="BJ36" s="11" t="n">
        <f aca="false">BJ33+Tax!BJ13-BJ34-BJ35</f>
        <v>0</v>
      </c>
      <c r="BK36" s="11" t="n">
        <f aca="false">BK33+Tax!BK13-BK34-BK35</f>
        <v>0</v>
      </c>
      <c r="BL36" s="11" t="n">
        <f aca="false">BL33+Tax!BL13-BL34-BL35</f>
        <v>0</v>
      </c>
      <c r="BM36" s="11" t="n">
        <f aca="false">BM33+Tax!BM13-BM34-BM35</f>
        <v>0</v>
      </c>
      <c r="BN36" s="11" t="n">
        <f aca="false">BN33+Tax!BN13-BN34-BN35</f>
        <v>0</v>
      </c>
    </row>
    <row r="37" customFormat="false" ht="15" hidden="false" customHeight="false" outlineLevel="0" collapsed="false">
      <c r="D37" s="0" t="s">
        <v>755</v>
      </c>
      <c r="E37" s="0" t="s">
        <v>149</v>
      </c>
      <c r="J37" s="11" t="n">
        <f aca="false">MAX(0,0+Financials!J14)</f>
        <v>0</v>
      </c>
      <c r="K37" s="11" t="n">
        <f aca="false">MAX(0,J43+Financials!K14)</f>
        <v>0</v>
      </c>
      <c r="L37" s="11" t="n">
        <f aca="false">MAX(0,K43+Financials!L14)</f>
        <v>0</v>
      </c>
      <c r="M37" s="11" t="n">
        <f aca="false">MAX(0,L43+Financials!M14)</f>
        <v>0</v>
      </c>
      <c r="N37" s="11" t="n">
        <f aca="false">MAX(0,M43+Financials!N14)</f>
        <v>0</v>
      </c>
      <c r="O37" s="11" t="n">
        <f aca="false">MAX(0,N43+Financials!O14)</f>
        <v>0</v>
      </c>
      <c r="P37" s="11" t="n">
        <f aca="false">MAX(0,O43+Financials!P14)</f>
        <v>4.73405043393922</v>
      </c>
      <c r="Q37" s="11" t="n">
        <f aca="false">MAX(0,P43+Financials!Q14)</f>
        <v>14.093288556009</v>
      </c>
      <c r="R37" s="11" t="n">
        <f aca="false">MAX(0,Q43+Financials!R14)</f>
        <v>20.6326589786659</v>
      </c>
      <c r="S37" s="11" t="n">
        <f aca="false">MAX(0,R43+Financials!S14)</f>
        <v>23.7722263503082</v>
      </c>
      <c r="T37" s="11" t="n">
        <f aca="false">MAX(0,S43+Financials!T14)</f>
        <v>26.621755180245</v>
      </c>
      <c r="U37" s="11" t="n">
        <f aca="false">MAX(0,T43+Financials!U14)</f>
        <v>33.3057442097889</v>
      </c>
      <c r="V37" s="11" t="n">
        <f aca="false">MAX(0,U43+Financials!V14)</f>
        <v>42.0073906122152</v>
      </c>
      <c r="W37" s="11" t="n">
        <f aca="false">MAX(0,V43+Financials!W14)</f>
        <v>52.4148312146952</v>
      </c>
      <c r="X37" s="11" t="n">
        <f aca="false">MAX(0,W43+Financials!X14)</f>
        <v>66.7403017896033</v>
      </c>
      <c r="Y37" s="11" t="n">
        <f aca="false">MAX(0,X43+Financials!Y14)</f>
        <v>82.5815493220493</v>
      </c>
      <c r="Z37" s="11" t="n">
        <f aca="false">MAX(0,Y43+Financials!Z14)</f>
        <v>97.95031506509</v>
      </c>
      <c r="AA37" s="11" t="n">
        <f aca="false">MAX(0,Z43+Financials!AA14)</f>
        <v>107.012218575465</v>
      </c>
      <c r="AB37" s="11" t="n">
        <f aca="false">MAX(0,AA43+Financials!AB14)</f>
        <v>116.770916086894</v>
      </c>
      <c r="AC37" s="11" t="n">
        <f aca="false">MAX(0,AB43+Financials!AC14)</f>
        <v>127.434694369331</v>
      </c>
      <c r="AD37" s="11" t="n">
        <f aca="false">MAX(0,AC43+Financials!AD14)</f>
        <v>138.94212254342</v>
      </c>
      <c r="AE37" s="11" t="n">
        <f aca="false">MAX(0,AD43+Financials!AE14)</f>
        <v>141.636404073805</v>
      </c>
      <c r="AF37" s="11" t="n">
        <f aca="false">MAX(0,AE43+Financials!AF14)</f>
        <v>154.929712089765</v>
      </c>
      <c r="AG37" s="11" t="n">
        <f aca="false">MAX(0,AF43+Financials!AG14)</f>
        <v>169.395494407517</v>
      </c>
      <c r="AH37" s="11" t="n">
        <f aca="false">MAX(0,AG43+Financials!AH14)</f>
        <v>184.856237913036</v>
      </c>
      <c r="AI37" s="11" t="n">
        <f aca="false">MAX(0,AH43+Financials!AI14)</f>
        <v>201.532307406349</v>
      </c>
      <c r="AJ37" s="11" t="n">
        <f aca="false">MAX(0,AI43+Financials!AJ14)</f>
        <v>219.307118841889</v>
      </c>
      <c r="AK37" s="11" t="n">
        <f aca="false">MAX(0,AJ43+Financials!AK14)</f>
        <v>238.287456061826</v>
      </c>
      <c r="AL37" s="11" t="n">
        <f aca="false">MAX(0,AK43+Financials!AL14)</f>
        <v>250.97573830176</v>
      </c>
      <c r="AM37" s="11" t="n">
        <f aca="false">MAX(0,AL43+Financials!AM14)</f>
        <v>249.011374185314</v>
      </c>
      <c r="AN37" s="11" t="n">
        <f aca="false">MAX(0,AM43+Financials!AN14)</f>
        <v>247.299230417469</v>
      </c>
      <c r="AO37" s="11" t="n">
        <f aca="false">MAX(0,AN43+Financials!AO14)</f>
        <v>249.818968418171</v>
      </c>
      <c r="AP37" s="11" t="n">
        <f aca="false">MAX(0,AO43+Financials!AP14)</f>
        <v>256.60196139731</v>
      </c>
      <c r="AQ37" s="11" t="n">
        <f aca="false">MAX(0,AP43+Financials!AQ14)</f>
        <v>263.255349914469</v>
      </c>
      <c r="AR37" s="11" t="n">
        <f aca="false">MAX(0,AQ43+Financials!AR14)</f>
        <v>271.528149381421</v>
      </c>
      <c r="AS37" s="11" t="n">
        <f aca="false">MAX(0,AR43+Financials!AS14)</f>
        <v>279.72471959407</v>
      </c>
      <c r="AT37" s="11" t="n">
        <f aca="false">MAX(0,AS43+Financials!AT14)</f>
        <v>289.571779189979</v>
      </c>
      <c r="AU37" s="11" t="n">
        <f aca="false">MAX(0,AT43+Financials!AU14)</f>
        <v>292.351265972248</v>
      </c>
      <c r="AV37" s="11" t="n">
        <f aca="false">MAX(0,AU43+Financials!AV14)</f>
        <v>270.892866048057</v>
      </c>
      <c r="AW37" s="11" t="n">
        <f aca="false">MAX(0,AV43+Financials!AW14)</f>
        <v>254.007840683068</v>
      </c>
      <c r="AX37" s="11" t="n">
        <f aca="false">MAX(0,AW43+Financials!AX14)</f>
        <v>238.259687725219</v>
      </c>
      <c r="AY37" s="11" t="n">
        <f aca="false">MAX(0,AX43+Financials!AY14)</f>
        <v>221.894636348088</v>
      </c>
      <c r="AZ37" s="11" t="n">
        <f aca="false">MAX(0,AY43+Financials!AZ14)</f>
        <v>206.047593738276</v>
      </c>
      <c r="BA37" s="11" t="n">
        <f aca="false">MAX(0,AZ43+Financials!BA14)</f>
        <v>189.596018707561</v>
      </c>
      <c r="BB37" s="11" t="n">
        <f aca="false">MAX(0,BA43+Financials!BB14)</f>
        <v>173.703891020274</v>
      </c>
      <c r="BC37" s="11" t="n">
        <f aca="false">MAX(0,BB43+Financials!BC14)</f>
        <v>155.027826993478</v>
      </c>
      <c r="BD37" s="11" t="n">
        <f aca="false">MAX(0,BC43+Financials!BD14)</f>
        <v>139.003003926261</v>
      </c>
      <c r="BE37" s="11" t="n">
        <f aca="false">MAX(0,BD43+Financials!BE14)</f>
        <v>124.407112606359</v>
      </c>
      <c r="BF37" s="11" t="n">
        <f aca="false">MAX(0,BE43+Financials!BF14)</f>
        <v>118.380104137066</v>
      </c>
      <c r="BG37" s="11" t="n">
        <f aca="false">MAX(0,BF43+Financials!BG14)</f>
        <v>111.828593779706</v>
      </c>
      <c r="BH37" s="11" t="n">
        <f aca="false">MAX(0,BG43+Financials!BH14)</f>
        <v>105.831635589724</v>
      </c>
      <c r="BI37" s="11" t="n">
        <f aca="false">MAX(0,BH43+Financials!BI14)</f>
        <v>99.2240816378894</v>
      </c>
      <c r="BJ37" s="11" t="n">
        <f aca="false">MAX(0,BI43+Financials!BJ14)</f>
        <v>93.2454621458225</v>
      </c>
      <c r="BK37" s="11" t="n">
        <f aca="false">MAX(0,BJ43+Financials!BK14)</f>
        <v>72.9283919037278</v>
      </c>
      <c r="BL37" s="11" t="n">
        <f aca="false">MAX(0,BK43+Financials!BL14)</f>
        <v>58.3488724041989</v>
      </c>
      <c r="BM37" s="11" t="n">
        <f aca="false">MAX(0,BL43+Financials!BM14)</f>
        <v>48.8727207618299</v>
      </c>
      <c r="BN37" s="11" t="n">
        <f aca="false">MAX(0,BM43+Financials!BN14)</f>
        <v>19.7838525815383</v>
      </c>
    </row>
    <row r="38" customFormat="false" ht="15" hidden="false" customHeight="false" outlineLevel="0" collapsed="false">
      <c r="D38" s="0" t="s">
        <v>756</v>
      </c>
      <c r="E38" s="0" t="s">
        <v>149</v>
      </c>
      <c r="J38" s="11" t="n">
        <f aca="false">J24*MIN(J31-J34-J35,J37)</f>
        <v>0</v>
      </c>
      <c r="K38" s="11" t="n">
        <f aca="false">K24*MIN(K31-K34-K35,K37)</f>
        <v>0</v>
      </c>
      <c r="L38" s="11" t="n">
        <f aca="false">L24*MIN(L31-L34-L35,L37)</f>
        <v>0</v>
      </c>
      <c r="M38" s="11" t="n">
        <f aca="false">M24*MIN(M31-M34-M35,M37)</f>
        <v>0</v>
      </c>
      <c r="N38" s="11" t="n">
        <f aca="false">N24*MIN(N31-N34-N35,N37)</f>
        <v>0</v>
      </c>
      <c r="O38" s="11" t="n">
        <f aca="false">O24*MIN(O31-O34-O35,O37)</f>
        <v>0</v>
      </c>
      <c r="P38" s="11" t="n">
        <f aca="false">P24*MIN(P31-P34-P35,P37)</f>
        <v>0</v>
      </c>
      <c r="Q38" s="11" t="n">
        <f aca="false">Q24*MIN(Q31-Q34-Q35,Q37)</f>
        <v>0</v>
      </c>
      <c r="R38" s="11" t="n">
        <f aca="false">R24*MIN(R31-R34-R35,R37)</f>
        <v>0</v>
      </c>
      <c r="S38" s="11" t="n">
        <f aca="false">S24*MIN(S31-S34-S35,S37)</f>
        <v>0</v>
      </c>
      <c r="T38" s="11" t="n">
        <f aca="false">T24*MIN(T31-T34-T35,T37)</f>
        <v>0</v>
      </c>
      <c r="U38" s="11" t="n">
        <f aca="false">U24*MIN(U31-U34-U35,U37)</f>
        <v>0</v>
      </c>
      <c r="V38" s="11" t="n">
        <f aca="false">V24*MIN(V31-V34-V35,V37)</f>
        <v>0</v>
      </c>
      <c r="W38" s="11" t="n">
        <f aca="false">W24*MIN(W31-W34-W35,W37)</f>
        <v>0</v>
      </c>
      <c r="X38" s="11" t="n">
        <f aca="false">X24*MIN(X31-X34-X35,X37)</f>
        <v>0</v>
      </c>
      <c r="Y38" s="11" t="n">
        <f aca="false">Y24*MIN(Y31-Y34-Y35,Y37)</f>
        <v>0</v>
      </c>
      <c r="Z38" s="11" t="n">
        <f aca="false">Z24*MIN(Z31-Z34-Z35,Z37)</f>
        <v>0</v>
      </c>
      <c r="AA38" s="11" t="n">
        <f aca="false">AA24*MIN(AA31-AA34-AA35,AA37)</f>
        <v>0</v>
      </c>
      <c r="AB38" s="11" t="n">
        <f aca="false">AB24*MIN(AB31-AB34-AB35,AB37)</f>
        <v>0</v>
      </c>
      <c r="AC38" s="11" t="n">
        <f aca="false">AC24*MIN(AC31-AC34-AC35,AC37)</f>
        <v>0</v>
      </c>
      <c r="AD38" s="11" t="n">
        <f aca="false">AD24*MIN(AD31-AD34-AD35,AD37)</f>
        <v>0</v>
      </c>
      <c r="AE38" s="11" t="n">
        <f aca="false">AE24*MIN(AE31-AE34-AE35,AE37)</f>
        <v>0</v>
      </c>
      <c r="AF38" s="11" t="n">
        <f aca="false">AF24*MIN(AF31-AF34-AF35,AF37)</f>
        <v>0</v>
      </c>
      <c r="AG38" s="11" t="n">
        <f aca="false">AG24*MIN(AG31-AG34-AG35,AG37)</f>
        <v>0</v>
      </c>
      <c r="AH38" s="11" t="n">
        <f aca="false">AH24*MIN(AH31-AH34-AH35,AH37)</f>
        <v>0</v>
      </c>
      <c r="AI38" s="11" t="n">
        <f aca="false">AI24*MIN(AI31-AI34-AI35,AI37)</f>
        <v>0</v>
      </c>
      <c r="AJ38" s="11" t="n">
        <f aca="false">AJ24*MIN(AJ31-AJ34-AJ35,AJ37)</f>
        <v>0</v>
      </c>
      <c r="AK38" s="11" t="n">
        <f aca="false">AK24*MIN(AK31-AK34-AK35,AK37)</f>
        <v>7.31000175378154</v>
      </c>
      <c r="AL38" s="11" t="n">
        <f aca="false">AL24*MIN(AL31-AL34-AL35,AL37)</f>
        <v>20.7956751081937</v>
      </c>
      <c r="AM38" s="11" t="n">
        <f aca="false">AM24*MIN(AM31-AM34-AM35,AM37)</f>
        <v>23.486253095803</v>
      </c>
      <c r="AN38" s="11" t="n">
        <f aca="false">AN24*MIN(AN31-AN34-AN35,AN37)</f>
        <v>19.6954511447589</v>
      </c>
      <c r="AO38" s="11" t="n">
        <f aca="false">AO24*MIN(AO31-AO34-AO35,AO37)</f>
        <v>15.9789320106918</v>
      </c>
      <c r="AP38" s="11" t="n">
        <f aca="false">AP24*MIN(AP31-AP34-AP35,AP37)</f>
        <v>16.8592570681221</v>
      </c>
      <c r="AQ38" s="11" t="n">
        <f aca="false">AQ24*MIN(AQ31-AQ34-AQ35,AQ37)</f>
        <v>15.9649999835275</v>
      </c>
      <c r="AR38" s="11" t="n">
        <f aca="false">AR24*MIN(AR31-AR34-AR35,AR37)</f>
        <v>16.7610835911105</v>
      </c>
      <c r="AS38" s="11" t="n">
        <f aca="false">AS24*MIN(AS31-AS34-AS35,AS37)</f>
        <v>15.9396145966488</v>
      </c>
      <c r="AT38" s="11" t="n">
        <f aca="false">AT24*MIN(AT31-AT34-AT35,AT37)</f>
        <v>12.1545756968028</v>
      </c>
      <c r="AU38" s="11" t="n">
        <f aca="false">AU24*MIN(AU31-AU34-AU35,AU37)</f>
        <v>48.9567701196674</v>
      </c>
      <c r="AV38" s="11" t="n">
        <f aca="false">AV24*MIN(AV31-AV34-AV35,AV37)</f>
        <v>44.5090799550741</v>
      </c>
      <c r="AW38" s="11" t="n">
        <f aca="false">AW24*MIN(AW31-AW34-AW35,AW37)</f>
        <v>43.5004546690699</v>
      </c>
      <c r="AX38" s="11" t="n">
        <f aca="false">AX24*MIN(AX31-AX34-AX35,AX37)</f>
        <v>44.274007726164</v>
      </c>
      <c r="AY38" s="11" t="n">
        <f aca="false">AY24*MIN(AY31-AY34-AY35,AY37)</f>
        <v>43.8701347707556</v>
      </c>
      <c r="AZ38" s="11" t="n">
        <f aca="false">AZ24*MIN(AZ31-AZ34-AZ35,AZ37)</f>
        <v>44.5455188444797</v>
      </c>
      <c r="BA38" s="11" t="n">
        <f aca="false">BA24*MIN(BA31-BA34-BA35,BA37)</f>
        <v>44.1434525893954</v>
      </c>
      <c r="BB38" s="11" t="n">
        <f aca="false">BB24*MIN(BB31-BB34-BB35,BB37)</f>
        <v>44.4017368443524</v>
      </c>
      <c r="BC38" s="11" t="n">
        <f aca="false">BC24*MIN(BC31-BC34-BC35,BC37)</f>
        <v>44.6551203851123</v>
      </c>
      <c r="BD38" s="11" t="n">
        <f aca="false">BD24*MIN(BD31-BD34-BD35,BD37)</f>
        <v>43.1799209867987</v>
      </c>
      <c r="BE38" s="11" t="n">
        <f aca="false">BE24*MIN(BE31-BE34-BE35,BE37)</f>
        <v>34.7513553834456</v>
      </c>
      <c r="BF38" s="11" t="n">
        <f aca="false">BF24*MIN(BF31-BF34-BF35,BF37)</f>
        <v>35.4468161899769</v>
      </c>
      <c r="BG38" s="11" t="n">
        <f aca="false">BG24*MIN(BG31-BG34-BG35,BG37)</f>
        <v>35.0168014347657</v>
      </c>
      <c r="BH38" s="11" t="n">
        <f aca="false">BH24*MIN(BH31-BH34-BH35,BH37)</f>
        <v>35.7027467049765</v>
      </c>
      <c r="BI38" s="11" t="n">
        <f aca="false">BI24*MIN(BI31-BI34-BI35,BI37)</f>
        <v>35.2678144321089</v>
      </c>
      <c r="BJ38" s="11" t="n">
        <f aca="false">BJ24*MIN(BJ31-BJ34-BJ35,BJ37)</f>
        <v>35.8351864538939</v>
      </c>
      <c r="BK38" s="11" t="n">
        <f aca="false">BK24*MIN(BK31-BK34-BK35,BK37)</f>
        <v>44.0975550569054</v>
      </c>
      <c r="BL38" s="11" t="n">
        <f aca="false">BL24*MIN(BL31-BL34-BL35,BL37)</f>
        <v>39.1045041507636</v>
      </c>
      <c r="BM38" s="11" t="n">
        <f aca="false">BM24*MIN(BM31-BM34-BM35,BM37)</f>
        <v>38.6987765905792</v>
      </c>
      <c r="BN38" s="11" t="n">
        <f aca="false">BN24*MIN(BN31-BN34-BN35,BN37)</f>
        <v>19.7838525815383</v>
      </c>
    </row>
    <row r="39" customFormat="false" ht="15" hidden="false" customHeight="false" outlineLevel="0" collapsed="false">
      <c r="D39" s="0" t="s">
        <v>757</v>
      </c>
      <c r="E39" s="0" t="s">
        <v>149</v>
      </c>
      <c r="J39" s="11" t="n">
        <f aca="false">J24*(J31-J34-J35-J38)</f>
        <v>0</v>
      </c>
      <c r="K39" s="11" t="n">
        <f aca="false">K24*(K31-K34-K35-K38)</f>
        <v>0</v>
      </c>
      <c r="L39" s="11" t="n">
        <f aca="false">L24*(L31-L34-L35-L38)</f>
        <v>0</v>
      </c>
      <c r="M39" s="11" t="n">
        <f aca="false">M24*(M31-M34-M35-M38)</f>
        <v>0</v>
      </c>
      <c r="N39" s="11" t="n">
        <f aca="false">N24*(N31-N34-N35-N38)</f>
        <v>0</v>
      </c>
      <c r="O39" s="11" t="n">
        <f aca="false">O24*(O31-O34-O35-O38)</f>
        <v>0</v>
      </c>
      <c r="P39" s="11" t="n">
        <f aca="false">P24*(P31-P34-P35-P38)</f>
        <v>0</v>
      </c>
      <c r="Q39" s="11" t="n">
        <f aca="false">Q24*(Q31-Q34-Q35-Q38)</f>
        <v>0</v>
      </c>
      <c r="R39" s="11" t="n">
        <f aca="false">R24*(R31-R34-R35-R38)</f>
        <v>0</v>
      </c>
      <c r="S39" s="11" t="n">
        <f aca="false">S24*(S31-S34-S35-S38)</f>
        <v>0</v>
      </c>
      <c r="T39" s="11" t="n">
        <f aca="false">T24*(T31-T34-T35-T38)</f>
        <v>0</v>
      </c>
      <c r="U39" s="11" t="n">
        <f aca="false">U24*(U31-U34-U35-U38)</f>
        <v>0</v>
      </c>
      <c r="V39" s="11" t="n">
        <f aca="false">V24*(V31-V34-V35-V38)</f>
        <v>0</v>
      </c>
      <c r="W39" s="11" t="n">
        <f aca="false">W24*(W31-W34-W35-W38)</f>
        <v>0</v>
      </c>
      <c r="X39" s="11" t="n">
        <f aca="false">X24*(X31-X34-X35-X38)</f>
        <v>0</v>
      </c>
      <c r="Y39" s="11" t="n">
        <f aca="false">Y24*(Y31-Y34-Y35-Y38)</f>
        <v>0</v>
      </c>
      <c r="Z39" s="11" t="n">
        <f aca="false">Z24*(Z31-Z34-Z35-Z38)</f>
        <v>0</v>
      </c>
      <c r="AA39" s="11" t="n">
        <f aca="false">AA24*(AA31-AA34-AA35-AA38)</f>
        <v>0</v>
      </c>
      <c r="AB39" s="11" t="n">
        <f aca="false">AB24*(AB31-AB34-AB35-AB38)</f>
        <v>0</v>
      </c>
      <c r="AC39" s="11" t="n">
        <f aca="false">AC24*(AC31-AC34-AC35-AC38)</f>
        <v>0</v>
      </c>
      <c r="AD39" s="11" t="n">
        <f aca="false">AD24*(AD31-AD34-AD35-AD38)</f>
        <v>0</v>
      </c>
      <c r="AE39" s="11" t="n">
        <f aca="false">AE24*(AE31-AE34-AE35-AE38)</f>
        <v>0</v>
      </c>
      <c r="AF39" s="11" t="n">
        <f aca="false">AF24*(AF31-AF34-AF35-AF38)</f>
        <v>0</v>
      </c>
      <c r="AG39" s="11" t="n">
        <f aca="false">AG24*(AG31-AG34-AG35-AG38)</f>
        <v>0</v>
      </c>
      <c r="AH39" s="11" t="n">
        <f aca="false">AH24*(AH31-AH34-AH35-AH38)</f>
        <v>0</v>
      </c>
      <c r="AI39" s="11" t="n">
        <f aca="false">AI24*(AI31-AI34-AI35-AI38)</f>
        <v>0</v>
      </c>
      <c r="AJ39" s="11" t="n">
        <f aca="false">AJ24*(AJ31-AJ34-AJ35-AJ38)</f>
        <v>0</v>
      </c>
      <c r="AK39" s="11" t="n">
        <f aca="false">AK24*(AK31-AK34-AK35-AK38)</f>
        <v>0</v>
      </c>
      <c r="AL39" s="11" t="n">
        <f aca="false">AL24*(AL31-AL34-AL35-AL38)</f>
        <v>0</v>
      </c>
      <c r="AM39" s="11" t="n">
        <f aca="false">AM24*(AM31-AM34-AM35-AM38)</f>
        <v>0</v>
      </c>
      <c r="AN39" s="11" t="n">
        <f aca="false">AN24*(AN31-AN34-AN35-AN38)</f>
        <v>0</v>
      </c>
      <c r="AO39" s="11" t="n">
        <f aca="false">AO24*(AO31-AO34-AO35-AO38)</f>
        <v>0</v>
      </c>
      <c r="AP39" s="11" t="n">
        <f aca="false">AP24*(AP31-AP34-AP35-AP38)</f>
        <v>0</v>
      </c>
      <c r="AQ39" s="11" t="n">
        <f aca="false">AQ24*(AQ31-AQ34-AQ35-AQ38)</f>
        <v>0</v>
      </c>
      <c r="AR39" s="11" t="n">
        <f aca="false">AR24*(AR31-AR34-AR35-AR38)</f>
        <v>0</v>
      </c>
      <c r="AS39" s="11" t="n">
        <f aca="false">AS24*(AS31-AS34-AS35-AS38)</f>
        <v>0</v>
      </c>
      <c r="AT39" s="11" t="n">
        <f aca="false">AT24*(AT31-AT34-AT35-AT38)</f>
        <v>0</v>
      </c>
      <c r="AU39" s="11" t="n">
        <f aca="false">AU24*(AU31-AU34-AU35-AU38)</f>
        <v>0</v>
      </c>
      <c r="AV39" s="11" t="n">
        <f aca="false">AV24*(AV31-AV34-AV35-AV38)</f>
        <v>0</v>
      </c>
      <c r="AW39" s="11" t="n">
        <f aca="false">AW24*(AW31-AW34-AW35-AW38)</f>
        <v>0</v>
      </c>
      <c r="AX39" s="11" t="n">
        <f aca="false">AX24*(AX31-AX34-AX35-AX38)</f>
        <v>0</v>
      </c>
      <c r="AY39" s="11" t="n">
        <f aca="false">AY24*(AY31-AY34-AY35-AY38)</f>
        <v>0</v>
      </c>
      <c r="AZ39" s="11" t="n">
        <f aca="false">AZ24*(AZ31-AZ34-AZ35-AZ38)</f>
        <v>0</v>
      </c>
      <c r="BA39" s="11" t="n">
        <f aca="false">BA24*(BA31-BA34-BA35-BA38)</f>
        <v>0</v>
      </c>
      <c r="BB39" s="11" t="n">
        <f aca="false">BB24*(BB31-BB34-BB35-BB38)</f>
        <v>0</v>
      </c>
      <c r="BC39" s="11" t="n">
        <f aca="false">BC24*(BC31-BC34-BC35-BC38)</f>
        <v>0</v>
      </c>
      <c r="BD39" s="11" t="n">
        <f aca="false">BD24*(BD31-BD34-BD35-BD38)</f>
        <v>0</v>
      </c>
      <c r="BE39" s="11" t="n">
        <f aca="false">BE24*(BE31-BE34-BE35-BE38)</f>
        <v>0</v>
      </c>
      <c r="BF39" s="11" t="n">
        <f aca="false">BF24*(BF31-BF34-BF35-BF38)</f>
        <v>0</v>
      </c>
      <c r="BG39" s="11" t="n">
        <f aca="false">BG24*(BG31-BG34-BG35-BG38)</f>
        <v>0</v>
      </c>
      <c r="BH39" s="11" t="n">
        <f aca="false">BH24*(BH31-BH34-BH35-BH38)</f>
        <v>0</v>
      </c>
      <c r="BI39" s="11" t="n">
        <f aca="false">BI24*(BI31-BI34-BI35-BI38)</f>
        <v>0</v>
      </c>
      <c r="BJ39" s="11" t="n">
        <f aca="false">BJ24*(BJ31-BJ34-BJ35-BJ38)</f>
        <v>0</v>
      </c>
      <c r="BK39" s="11" t="n">
        <f aca="false">BK24*(BK31-BK34-BK35-BK38)</f>
        <v>0</v>
      </c>
      <c r="BL39" s="11" t="n">
        <f aca="false">BL24*(BL31-BL34-BL35-BL38)</f>
        <v>0</v>
      </c>
      <c r="BM39" s="11" t="n">
        <f aca="false">BM24*(BM31-BM34-BM35-BM38)</f>
        <v>0</v>
      </c>
      <c r="BN39" s="11" t="n">
        <f aca="false">BN24*(BN31-BN34-BN35-BN38)</f>
        <v>43.9225633233317</v>
      </c>
    </row>
    <row r="40" customFormat="false" ht="15" hidden="false" customHeight="false" outlineLevel="0" collapsed="false">
      <c r="D40" s="0" t="s">
        <v>758</v>
      </c>
      <c r="E40" s="0" t="s">
        <v>149</v>
      </c>
      <c r="G40" s="11" t="n">
        <f aca="false">SUM(J40:BN40)</f>
        <v>43.9225633233317</v>
      </c>
      <c r="J40" s="11" t="n">
        <f aca="false">Time!J32*(J39+J30+Reserves!J9-Reserves!J10+Reserves!J11-Reserves!J12)</f>
        <v>0</v>
      </c>
      <c r="K40" s="11" t="n">
        <f aca="false">Time!K32*(K39+K30+Reserves!K9-Reserves!K10+Reserves!K11-Reserves!K12)</f>
        <v>0</v>
      </c>
      <c r="L40" s="11" t="n">
        <f aca="false">Time!L32*(L39+L30+Reserves!L9-Reserves!L10+Reserves!L11-Reserves!L12)</f>
        <v>0</v>
      </c>
      <c r="M40" s="11" t="n">
        <f aca="false">Time!M32*(M39+M30+Reserves!M9-Reserves!M10+Reserves!M11-Reserves!M12)</f>
        <v>0</v>
      </c>
      <c r="N40" s="11" t="n">
        <f aca="false">Time!N32*(N39+N30+Reserves!N9-Reserves!N10+Reserves!N11-Reserves!N12)</f>
        <v>0</v>
      </c>
      <c r="O40" s="11" t="n">
        <f aca="false">Time!O32*(O39+O30+Reserves!O9-Reserves!O10+Reserves!O11-Reserves!O12)</f>
        <v>0</v>
      </c>
      <c r="P40" s="11" t="n">
        <f aca="false">Time!P32*(P39+P30+Reserves!P9-Reserves!P10+Reserves!P11-Reserves!P12)</f>
        <v>0</v>
      </c>
      <c r="Q40" s="11" t="n">
        <f aca="false">Time!Q32*(Q39+Q30+Reserves!Q9-Reserves!Q10+Reserves!Q11-Reserves!Q12)</f>
        <v>0</v>
      </c>
      <c r="R40" s="11" t="n">
        <f aca="false">Time!R32*(R39+R30+Reserves!R9-Reserves!R10+Reserves!R11-Reserves!R12)</f>
        <v>0</v>
      </c>
      <c r="S40" s="11" t="n">
        <f aca="false">Time!S32*(S39+S30+Reserves!S9-Reserves!S10+Reserves!S11-Reserves!S12)</f>
        <v>0</v>
      </c>
      <c r="T40" s="11" t="n">
        <f aca="false">Time!T32*(T39+T30+Reserves!T9-Reserves!T10+Reserves!T11-Reserves!T12)</f>
        <v>0</v>
      </c>
      <c r="U40" s="11" t="n">
        <f aca="false">Time!U32*(U39+U30+Reserves!U9-Reserves!U10+Reserves!U11-Reserves!U12)</f>
        <v>0</v>
      </c>
      <c r="V40" s="11" t="n">
        <f aca="false">Time!V32*(V39+V30+Reserves!V9-Reserves!V10+Reserves!V11-Reserves!V12)</f>
        <v>0</v>
      </c>
      <c r="W40" s="11" t="n">
        <f aca="false">Time!W32*(W39+W30+Reserves!W9-Reserves!W10+Reserves!W11-Reserves!W12)</f>
        <v>0</v>
      </c>
      <c r="X40" s="11" t="n">
        <f aca="false">Time!X32*(X39+X30+Reserves!X9-Reserves!X10+Reserves!X11-Reserves!X12)</f>
        <v>0</v>
      </c>
      <c r="Y40" s="11" t="n">
        <f aca="false">Time!Y32*(Y39+Y30+Reserves!Y9-Reserves!Y10+Reserves!Y11-Reserves!Y12)</f>
        <v>0</v>
      </c>
      <c r="Z40" s="11" t="n">
        <f aca="false">Time!Z32*(Z39+Z30+Reserves!Z9-Reserves!Z10+Reserves!Z11-Reserves!Z12)</f>
        <v>0</v>
      </c>
      <c r="AA40" s="11" t="n">
        <f aca="false">Time!AA32*(AA39+AA30+Reserves!AA9-Reserves!AA10+Reserves!AA11-Reserves!AA12)</f>
        <v>0</v>
      </c>
      <c r="AB40" s="11" t="n">
        <f aca="false">Time!AB32*(AB39+AB30+Reserves!AB9-Reserves!AB10+Reserves!AB11-Reserves!AB12)</f>
        <v>0</v>
      </c>
      <c r="AC40" s="11" t="n">
        <f aca="false">Time!AC32*(AC39+AC30+Reserves!AC9-Reserves!AC10+Reserves!AC11-Reserves!AC12)</f>
        <v>0</v>
      </c>
      <c r="AD40" s="11" t="n">
        <f aca="false">Time!AD32*(AD39+AD30+Reserves!AD9-Reserves!AD10+Reserves!AD11-Reserves!AD12)</f>
        <v>0</v>
      </c>
      <c r="AE40" s="11" t="n">
        <f aca="false">Time!AE32*(AE39+AE30+Reserves!AE9-Reserves!AE10+Reserves!AE11-Reserves!AE12)</f>
        <v>0</v>
      </c>
      <c r="AF40" s="11" t="n">
        <f aca="false">Time!AF32*(AF39+AF30+Reserves!AF9-Reserves!AF10+Reserves!AF11-Reserves!AF12)</f>
        <v>0</v>
      </c>
      <c r="AG40" s="11" t="n">
        <f aca="false">Time!AG32*(AG39+AG30+Reserves!AG9-Reserves!AG10+Reserves!AG11-Reserves!AG12)</f>
        <v>0</v>
      </c>
      <c r="AH40" s="11" t="n">
        <f aca="false">Time!AH32*(AH39+AH30+Reserves!AH9-Reserves!AH10+Reserves!AH11-Reserves!AH12)</f>
        <v>0</v>
      </c>
      <c r="AI40" s="11" t="n">
        <f aca="false">Time!AI32*(AI39+AI30+Reserves!AI9-Reserves!AI10+Reserves!AI11-Reserves!AI12)</f>
        <v>0</v>
      </c>
      <c r="AJ40" s="11" t="n">
        <f aca="false">Time!AJ32*(AJ39+AJ30+Reserves!AJ9-Reserves!AJ10+Reserves!AJ11-Reserves!AJ12)</f>
        <v>0</v>
      </c>
      <c r="AK40" s="11" t="n">
        <f aca="false">Time!AK32*(AK39+AK30+Reserves!AK9-Reserves!AK10+Reserves!AK11-Reserves!AK12)</f>
        <v>0</v>
      </c>
      <c r="AL40" s="11" t="n">
        <f aca="false">Time!AL32*(AL39+AL30+Reserves!AL9-Reserves!AL10+Reserves!AL11-Reserves!AL12)</f>
        <v>0</v>
      </c>
      <c r="AM40" s="11" t="n">
        <f aca="false">Time!AM32*(AM39+AM30+Reserves!AM9-Reserves!AM10+Reserves!AM11-Reserves!AM12)</f>
        <v>0</v>
      </c>
      <c r="AN40" s="11" t="n">
        <f aca="false">Time!AN32*(AN39+AN30+Reserves!AN9-Reserves!AN10+Reserves!AN11-Reserves!AN12)</f>
        <v>0</v>
      </c>
      <c r="AO40" s="11" t="n">
        <f aca="false">Time!AO32*(AO39+AO30+Reserves!AO9-Reserves!AO10+Reserves!AO11-Reserves!AO12)</f>
        <v>0</v>
      </c>
      <c r="AP40" s="11" t="n">
        <f aca="false">Time!AP32*(AP39+AP30+Reserves!AP9-Reserves!AP10+Reserves!AP11-Reserves!AP12)</f>
        <v>0</v>
      </c>
      <c r="AQ40" s="11" t="n">
        <f aca="false">Time!AQ32*(AQ39+AQ30+Reserves!AQ9-Reserves!AQ10+Reserves!AQ11-Reserves!AQ12)</f>
        <v>0</v>
      </c>
      <c r="AR40" s="11" t="n">
        <f aca="false">Time!AR32*(AR39+AR30+Reserves!AR9-Reserves!AR10+Reserves!AR11-Reserves!AR12)</f>
        <v>0</v>
      </c>
      <c r="AS40" s="11" t="n">
        <f aca="false">Time!AS32*(AS39+AS30+Reserves!AS9-Reserves!AS10+Reserves!AS11-Reserves!AS12)</f>
        <v>0</v>
      </c>
      <c r="AT40" s="11" t="n">
        <f aca="false">Time!AT32*(AT39+AT30+Reserves!AT9-Reserves!AT10+Reserves!AT11-Reserves!AT12)</f>
        <v>0</v>
      </c>
      <c r="AU40" s="11" t="n">
        <f aca="false">Time!AU32*(AU39+AU30+Reserves!AU9-Reserves!AU10+Reserves!AU11-Reserves!AU12)</f>
        <v>0</v>
      </c>
      <c r="AV40" s="11" t="n">
        <f aca="false">Time!AV32*(AV39+AV30+Reserves!AV9-Reserves!AV10+Reserves!AV11-Reserves!AV12)</f>
        <v>0</v>
      </c>
      <c r="AW40" s="11" t="n">
        <f aca="false">Time!AW32*(AW39+AW30+Reserves!AW9-Reserves!AW10+Reserves!AW11-Reserves!AW12)</f>
        <v>0</v>
      </c>
      <c r="AX40" s="11" t="n">
        <f aca="false">Time!AX32*(AX39+AX30+Reserves!AX9-Reserves!AX10+Reserves!AX11-Reserves!AX12)</f>
        <v>0</v>
      </c>
      <c r="AY40" s="11" t="n">
        <f aca="false">Time!AY32*(AY39+AY30+Reserves!AY9-Reserves!AY10+Reserves!AY11-Reserves!AY12)</f>
        <v>0</v>
      </c>
      <c r="AZ40" s="11" t="n">
        <f aca="false">Time!AZ32*(AZ39+AZ30+Reserves!AZ9-Reserves!AZ10+Reserves!AZ11-Reserves!AZ12)</f>
        <v>0</v>
      </c>
      <c r="BA40" s="11" t="n">
        <f aca="false">Time!BA32*(BA39+BA30+Reserves!BA9-Reserves!BA10+Reserves!BA11-Reserves!BA12)</f>
        <v>0</v>
      </c>
      <c r="BB40" s="11" t="n">
        <f aca="false">Time!BB32*(BB39+BB30+Reserves!BB9-Reserves!BB10+Reserves!BB11-Reserves!BB12)</f>
        <v>0</v>
      </c>
      <c r="BC40" s="11" t="n">
        <f aca="false">Time!BC32*(BC39+BC30+Reserves!BC9-Reserves!BC10+Reserves!BC11-Reserves!BC12)</f>
        <v>0</v>
      </c>
      <c r="BD40" s="11" t="n">
        <f aca="false">Time!BD32*(BD39+BD30+Reserves!BD9-Reserves!BD10+Reserves!BD11-Reserves!BD12)</f>
        <v>0</v>
      </c>
      <c r="BE40" s="11" t="n">
        <f aca="false">Time!BE32*(BE39+BE30+Reserves!BE9-Reserves!BE10+Reserves!BE11-Reserves!BE12)</f>
        <v>0</v>
      </c>
      <c r="BF40" s="11" t="n">
        <f aca="false">Time!BF32*(BF39+BF30+Reserves!BF9-Reserves!BF10+Reserves!BF11-Reserves!BF12)</f>
        <v>0</v>
      </c>
      <c r="BG40" s="11" t="n">
        <f aca="false">Time!BG32*(BG39+BG30+Reserves!BG9-Reserves!BG10+Reserves!BG11-Reserves!BG12)</f>
        <v>0</v>
      </c>
      <c r="BH40" s="11" t="n">
        <f aca="false">Time!BH32*(BH39+BH30+Reserves!BH9-Reserves!BH10+Reserves!BH11-Reserves!BH12)</f>
        <v>0</v>
      </c>
      <c r="BI40" s="11" t="n">
        <f aca="false">Time!BI32*(BI39+BI30+Reserves!BI9-Reserves!BI10+Reserves!BI11-Reserves!BI12)</f>
        <v>0</v>
      </c>
      <c r="BJ40" s="11" t="n">
        <f aca="false">Time!BJ32*(BJ39+BJ30+Reserves!BJ9-Reserves!BJ10+Reserves!BJ11-Reserves!BJ12)</f>
        <v>0</v>
      </c>
      <c r="BK40" s="11" t="n">
        <f aca="false">Time!BK32*(BK39+BK30+Reserves!BK9-Reserves!BK10+Reserves!BK11-Reserves!BK12)</f>
        <v>0</v>
      </c>
      <c r="BL40" s="11" t="n">
        <f aca="false">Time!BL32*(BL39+BL30+Reserves!BL9-Reserves!BL10+Reserves!BL11-Reserves!BL12)</f>
        <v>0</v>
      </c>
      <c r="BM40" s="11" t="n">
        <f aca="false">Time!BM32*(BM39+BM30+Reserves!BM9-Reserves!BM10+Reserves!BM11-Reserves!BM12)</f>
        <v>0</v>
      </c>
      <c r="BN40" s="11" t="n">
        <f aca="false">Time!BN32*(BN39+BN30+Reserves!BN9-Reserves!BN10+Reserves!BN11-Reserves!BN12)</f>
        <v>43.9225633233317</v>
      </c>
    </row>
    <row r="41" customFormat="false" ht="15" hidden="false" customHeight="false" outlineLevel="0" collapsed="false">
      <c r="D41" s="0" t="s">
        <v>759</v>
      </c>
      <c r="E41" s="0" t="s">
        <v>149</v>
      </c>
      <c r="G41" s="11" t="n">
        <f aca="false">SUM(J41:BN41)</f>
        <v>1008.6100132426</v>
      </c>
      <c r="J41" s="11" t="n">
        <f aca="false">J38+J40</f>
        <v>0</v>
      </c>
      <c r="K41" s="11" t="n">
        <f aca="false">K38+K40</f>
        <v>0</v>
      </c>
      <c r="L41" s="11" t="n">
        <f aca="false">L38+L40</f>
        <v>0</v>
      </c>
      <c r="M41" s="11" t="n">
        <f aca="false">M38+M40</f>
        <v>0</v>
      </c>
      <c r="N41" s="11" t="n">
        <f aca="false">N38+N40</f>
        <v>0</v>
      </c>
      <c r="O41" s="11" t="n">
        <f aca="false">O38+O40</f>
        <v>0</v>
      </c>
      <c r="P41" s="11" t="n">
        <f aca="false">P38+P40</f>
        <v>0</v>
      </c>
      <c r="Q41" s="11" t="n">
        <f aca="false">Q38+Q40</f>
        <v>0</v>
      </c>
      <c r="R41" s="11" t="n">
        <f aca="false">R38+R40</f>
        <v>0</v>
      </c>
      <c r="S41" s="11" t="n">
        <f aca="false">S38+S40</f>
        <v>0</v>
      </c>
      <c r="T41" s="11" t="n">
        <f aca="false">T38+T40</f>
        <v>0</v>
      </c>
      <c r="U41" s="11" t="n">
        <f aca="false">U38+U40</f>
        <v>0</v>
      </c>
      <c r="V41" s="11" t="n">
        <f aca="false">V38+V40</f>
        <v>0</v>
      </c>
      <c r="W41" s="11" t="n">
        <f aca="false">W38+W40</f>
        <v>0</v>
      </c>
      <c r="X41" s="11" t="n">
        <f aca="false">X38+X40</f>
        <v>0</v>
      </c>
      <c r="Y41" s="11" t="n">
        <f aca="false">Y38+Y40</f>
        <v>0</v>
      </c>
      <c r="Z41" s="11" t="n">
        <f aca="false">Z38+Z40</f>
        <v>0</v>
      </c>
      <c r="AA41" s="11" t="n">
        <f aca="false">AA38+AA40</f>
        <v>0</v>
      </c>
      <c r="AB41" s="11" t="n">
        <f aca="false">AB38+AB40</f>
        <v>0</v>
      </c>
      <c r="AC41" s="11" t="n">
        <f aca="false">AC38+AC40</f>
        <v>0</v>
      </c>
      <c r="AD41" s="11" t="n">
        <f aca="false">AD38+AD40</f>
        <v>0</v>
      </c>
      <c r="AE41" s="11" t="n">
        <f aca="false">AE38+AE40</f>
        <v>0</v>
      </c>
      <c r="AF41" s="11" t="n">
        <f aca="false">AF38+AF40</f>
        <v>0</v>
      </c>
      <c r="AG41" s="11" t="n">
        <f aca="false">AG38+AG40</f>
        <v>0</v>
      </c>
      <c r="AH41" s="11" t="n">
        <f aca="false">AH38+AH40</f>
        <v>0</v>
      </c>
      <c r="AI41" s="11" t="n">
        <f aca="false">AI38+AI40</f>
        <v>0</v>
      </c>
      <c r="AJ41" s="11" t="n">
        <f aca="false">AJ38+AJ40</f>
        <v>0</v>
      </c>
      <c r="AK41" s="11" t="n">
        <f aca="false">AK38+AK40</f>
        <v>7.31000175378154</v>
      </c>
      <c r="AL41" s="11" t="n">
        <f aca="false">AL38+AL40</f>
        <v>20.7956751081937</v>
      </c>
      <c r="AM41" s="11" t="n">
        <f aca="false">AM38+AM40</f>
        <v>23.486253095803</v>
      </c>
      <c r="AN41" s="11" t="n">
        <f aca="false">AN38+AN40</f>
        <v>19.6954511447589</v>
      </c>
      <c r="AO41" s="11" t="n">
        <f aca="false">AO38+AO40</f>
        <v>15.9789320106918</v>
      </c>
      <c r="AP41" s="11" t="n">
        <f aca="false">AP38+AP40</f>
        <v>16.8592570681221</v>
      </c>
      <c r="AQ41" s="11" t="n">
        <f aca="false">AQ38+AQ40</f>
        <v>15.9649999835275</v>
      </c>
      <c r="AR41" s="11" t="n">
        <f aca="false">AR38+AR40</f>
        <v>16.7610835911105</v>
      </c>
      <c r="AS41" s="11" t="n">
        <f aca="false">AS38+AS40</f>
        <v>15.9396145966488</v>
      </c>
      <c r="AT41" s="11" t="n">
        <f aca="false">AT38+AT40</f>
        <v>12.1545756968028</v>
      </c>
      <c r="AU41" s="11" t="n">
        <f aca="false">AU38+AU40</f>
        <v>48.9567701196674</v>
      </c>
      <c r="AV41" s="11" t="n">
        <f aca="false">AV38+AV40</f>
        <v>44.5090799550741</v>
      </c>
      <c r="AW41" s="11" t="n">
        <f aca="false">AW38+AW40</f>
        <v>43.5004546690699</v>
      </c>
      <c r="AX41" s="11" t="n">
        <f aca="false">AX38+AX40</f>
        <v>44.274007726164</v>
      </c>
      <c r="AY41" s="11" t="n">
        <f aca="false">AY38+AY40</f>
        <v>43.8701347707556</v>
      </c>
      <c r="AZ41" s="11" t="n">
        <f aca="false">AZ38+AZ40</f>
        <v>44.5455188444797</v>
      </c>
      <c r="BA41" s="11" t="n">
        <f aca="false">BA38+BA40</f>
        <v>44.1434525893954</v>
      </c>
      <c r="BB41" s="11" t="n">
        <f aca="false">BB38+BB40</f>
        <v>44.4017368443524</v>
      </c>
      <c r="BC41" s="11" t="n">
        <f aca="false">BC38+BC40</f>
        <v>44.6551203851123</v>
      </c>
      <c r="BD41" s="11" t="n">
        <f aca="false">BD38+BD40</f>
        <v>43.1799209867987</v>
      </c>
      <c r="BE41" s="11" t="n">
        <f aca="false">BE38+BE40</f>
        <v>34.7513553834456</v>
      </c>
      <c r="BF41" s="11" t="n">
        <f aca="false">BF38+BF40</f>
        <v>35.4468161899769</v>
      </c>
      <c r="BG41" s="11" t="n">
        <f aca="false">BG38+BG40</f>
        <v>35.0168014347657</v>
      </c>
      <c r="BH41" s="11" t="n">
        <f aca="false">BH38+BH40</f>
        <v>35.7027467049765</v>
      </c>
      <c r="BI41" s="11" t="n">
        <f aca="false">BI38+BI40</f>
        <v>35.2678144321089</v>
      </c>
      <c r="BJ41" s="11" t="n">
        <f aca="false">BJ38+BJ40</f>
        <v>35.8351864538939</v>
      </c>
      <c r="BK41" s="11" t="n">
        <f aca="false">BK38+BK40</f>
        <v>44.0975550569054</v>
      </c>
      <c r="BL41" s="11" t="n">
        <f aca="false">BL38+BL40</f>
        <v>39.1045041507636</v>
      </c>
      <c r="BM41" s="11" t="n">
        <f aca="false">BM38+BM40</f>
        <v>38.6987765905792</v>
      </c>
      <c r="BN41" s="11" t="n">
        <f aca="false">BN38+BN40</f>
        <v>63.70641590487</v>
      </c>
    </row>
    <row r="42" customFormat="false" ht="15" hidden="false" customHeight="false" outlineLevel="0" collapsed="false">
      <c r="D42" s="0" t="s">
        <v>760</v>
      </c>
      <c r="E42" s="0" t="s">
        <v>149</v>
      </c>
      <c r="J42" s="11" t="n">
        <f aca="false">(1-Time!J32)*J39</f>
        <v>0</v>
      </c>
      <c r="K42" s="11" t="n">
        <f aca="false">(1-Time!K32)*K39</f>
        <v>0</v>
      </c>
      <c r="L42" s="11" t="n">
        <f aca="false">(1-Time!L32)*L39</f>
        <v>0</v>
      </c>
      <c r="M42" s="11" t="n">
        <f aca="false">(1-Time!M32)*M39</f>
        <v>0</v>
      </c>
      <c r="N42" s="11" t="n">
        <f aca="false">(1-Time!N32)*N39</f>
        <v>0</v>
      </c>
      <c r="O42" s="11" t="n">
        <f aca="false">(1-Time!O32)*O39</f>
        <v>0</v>
      </c>
      <c r="P42" s="11" t="n">
        <f aca="false">(1-Time!P32)*P39</f>
        <v>0</v>
      </c>
      <c r="Q42" s="11" t="n">
        <f aca="false">(1-Time!Q32)*Q39</f>
        <v>0</v>
      </c>
      <c r="R42" s="11" t="n">
        <f aca="false">(1-Time!R32)*R39</f>
        <v>0</v>
      </c>
      <c r="S42" s="11" t="n">
        <f aca="false">(1-Time!S32)*S39</f>
        <v>0</v>
      </c>
      <c r="T42" s="11" t="n">
        <f aca="false">(1-Time!T32)*T39</f>
        <v>0</v>
      </c>
      <c r="U42" s="11" t="n">
        <f aca="false">(1-Time!U32)*U39</f>
        <v>0</v>
      </c>
      <c r="V42" s="11" t="n">
        <f aca="false">(1-Time!V32)*V39</f>
        <v>0</v>
      </c>
      <c r="W42" s="11" t="n">
        <f aca="false">(1-Time!W32)*W39</f>
        <v>0</v>
      </c>
      <c r="X42" s="11" t="n">
        <f aca="false">(1-Time!X32)*X39</f>
        <v>0</v>
      </c>
      <c r="Y42" s="11" t="n">
        <f aca="false">(1-Time!Y32)*Y39</f>
        <v>0</v>
      </c>
      <c r="Z42" s="11" t="n">
        <f aca="false">(1-Time!Z32)*Z39</f>
        <v>0</v>
      </c>
      <c r="AA42" s="11" t="n">
        <f aca="false">(1-Time!AA32)*AA39</f>
        <v>0</v>
      </c>
      <c r="AB42" s="11" t="n">
        <f aca="false">(1-Time!AB32)*AB39</f>
        <v>0</v>
      </c>
      <c r="AC42" s="11" t="n">
        <f aca="false">(1-Time!AC32)*AC39</f>
        <v>0</v>
      </c>
      <c r="AD42" s="11" t="n">
        <f aca="false">(1-Time!AD32)*AD39</f>
        <v>0</v>
      </c>
      <c r="AE42" s="11" t="n">
        <f aca="false">(1-Time!AE32)*AE39</f>
        <v>0</v>
      </c>
      <c r="AF42" s="11" t="n">
        <f aca="false">(1-Time!AF32)*AF39</f>
        <v>0</v>
      </c>
      <c r="AG42" s="11" t="n">
        <f aca="false">(1-Time!AG32)*AG39</f>
        <v>0</v>
      </c>
      <c r="AH42" s="11" t="n">
        <f aca="false">(1-Time!AH32)*AH39</f>
        <v>0</v>
      </c>
      <c r="AI42" s="11" t="n">
        <f aca="false">(1-Time!AI32)*AI39</f>
        <v>0</v>
      </c>
      <c r="AJ42" s="11" t="n">
        <f aca="false">(1-Time!AJ32)*AJ39</f>
        <v>0</v>
      </c>
      <c r="AK42" s="11" t="n">
        <f aca="false">(1-Time!AK32)*AK39</f>
        <v>0</v>
      </c>
      <c r="AL42" s="11" t="n">
        <f aca="false">(1-Time!AL32)*AL39</f>
        <v>0</v>
      </c>
      <c r="AM42" s="11" t="n">
        <f aca="false">(1-Time!AM32)*AM39</f>
        <v>0</v>
      </c>
      <c r="AN42" s="11" t="n">
        <f aca="false">(1-Time!AN32)*AN39</f>
        <v>0</v>
      </c>
      <c r="AO42" s="11" t="n">
        <f aca="false">(1-Time!AO32)*AO39</f>
        <v>0</v>
      </c>
      <c r="AP42" s="11" t="n">
        <f aca="false">(1-Time!AP32)*AP39</f>
        <v>0</v>
      </c>
      <c r="AQ42" s="11" t="n">
        <f aca="false">(1-Time!AQ32)*AQ39</f>
        <v>0</v>
      </c>
      <c r="AR42" s="11" t="n">
        <f aca="false">(1-Time!AR32)*AR39</f>
        <v>0</v>
      </c>
      <c r="AS42" s="11" t="n">
        <f aca="false">(1-Time!AS32)*AS39</f>
        <v>0</v>
      </c>
      <c r="AT42" s="11" t="n">
        <f aca="false">(1-Time!AT32)*AT39</f>
        <v>0</v>
      </c>
      <c r="AU42" s="11" t="n">
        <f aca="false">(1-Time!AU32)*AU39</f>
        <v>0</v>
      </c>
      <c r="AV42" s="11" t="n">
        <f aca="false">(1-Time!AV32)*AV39</f>
        <v>0</v>
      </c>
      <c r="AW42" s="11" t="n">
        <f aca="false">(1-Time!AW32)*AW39</f>
        <v>0</v>
      </c>
      <c r="AX42" s="11" t="n">
        <f aca="false">(1-Time!AX32)*AX39</f>
        <v>0</v>
      </c>
      <c r="AY42" s="11" t="n">
        <f aca="false">(1-Time!AY32)*AY39</f>
        <v>0</v>
      </c>
      <c r="AZ42" s="11" t="n">
        <f aca="false">(1-Time!AZ32)*AZ39</f>
        <v>0</v>
      </c>
      <c r="BA42" s="11" t="n">
        <f aca="false">(1-Time!BA32)*BA39</f>
        <v>0</v>
      </c>
      <c r="BB42" s="11" t="n">
        <f aca="false">(1-Time!BB32)*BB39</f>
        <v>0</v>
      </c>
      <c r="BC42" s="11" t="n">
        <f aca="false">(1-Time!BC32)*BC39</f>
        <v>0</v>
      </c>
      <c r="BD42" s="11" t="n">
        <f aca="false">(1-Time!BD32)*BD39</f>
        <v>0</v>
      </c>
      <c r="BE42" s="11" t="n">
        <f aca="false">(1-Time!BE32)*BE39</f>
        <v>0</v>
      </c>
      <c r="BF42" s="11" t="n">
        <f aca="false">(1-Time!BF32)*BF39</f>
        <v>0</v>
      </c>
      <c r="BG42" s="11" t="n">
        <f aca="false">(1-Time!BG32)*BG39</f>
        <v>0</v>
      </c>
      <c r="BH42" s="11" t="n">
        <f aca="false">(1-Time!BH32)*BH39</f>
        <v>0</v>
      </c>
      <c r="BI42" s="11" t="n">
        <f aca="false">(1-Time!BI32)*BI39</f>
        <v>0</v>
      </c>
      <c r="BJ42" s="11" t="n">
        <f aca="false">(1-Time!BJ32)*BJ39</f>
        <v>0</v>
      </c>
      <c r="BK42" s="11" t="n">
        <f aca="false">(1-Time!BK32)*BK39</f>
        <v>0</v>
      </c>
      <c r="BL42" s="11" t="n">
        <f aca="false">(1-Time!BL32)*BL39</f>
        <v>0</v>
      </c>
      <c r="BM42" s="11" t="n">
        <f aca="false">(1-Time!BM32)*BM39</f>
        <v>0</v>
      </c>
      <c r="BN42" s="11" t="n">
        <f aca="false">(1-Time!BN32)*BN39</f>
        <v>0</v>
      </c>
    </row>
    <row r="43" customFormat="false" ht="15" hidden="false" customHeight="false" outlineLevel="0" collapsed="false">
      <c r="D43" s="0" t="s">
        <v>761</v>
      </c>
      <c r="E43" s="0" t="s">
        <v>149</v>
      </c>
      <c r="J43" s="11" t="n">
        <f aca="false">IF(Time!J17&lt;Time!$F$11,0,0+Financials!J14-J41)</f>
        <v>0</v>
      </c>
      <c r="K43" s="11" t="n">
        <f aca="false">IF(Time!K17&lt;Time!$F$11,0,J43+Financials!K14-K41)</f>
        <v>0</v>
      </c>
      <c r="L43" s="11" t="n">
        <f aca="false">IF(Time!L17&lt;Time!$F$11,0,K43+Financials!L14-L41)</f>
        <v>0</v>
      </c>
      <c r="M43" s="11" t="n">
        <f aca="false">IF(Time!M17&lt;Time!$F$11,0,L43+Financials!M14-M41)</f>
        <v>0</v>
      </c>
      <c r="N43" s="11" t="n">
        <f aca="false">IF(Time!N17&lt;Time!$F$11,0,M43+Financials!N14-N41)</f>
        <v>0</v>
      </c>
      <c r="O43" s="11" t="n">
        <f aca="false">IF(Time!O17&lt;Time!$F$11,0,N43+Financials!O14-O41)</f>
        <v>0</v>
      </c>
      <c r="P43" s="11" t="n">
        <f aca="false">IF(Time!P17&lt;Time!$F$11,0,O43+Financials!P14-P41)</f>
        <v>4.73405043393922</v>
      </c>
      <c r="Q43" s="11" t="n">
        <f aca="false">IF(Time!Q17&lt;Time!$F$11,0,P43+Financials!Q14-Q41)</f>
        <v>14.093288556009</v>
      </c>
      <c r="R43" s="11" t="n">
        <f aca="false">IF(Time!R17&lt;Time!$F$11,0,Q43+Financials!R14-R41)</f>
        <v>20.6326589786659</v>
      </c>
      <c r="S43" s="11" t="n">
        <f aca="false">IF(Time!S17&lt;Time!$F$11,0,R43+Financials!S14-S41)</f>
        <v>23.7722263503082</v>
      </c>
      <c r="T43" s="11" t="n">
        <f aca="false">IF(Time!T17&lt;Time!$F$11,0,S43+Financials!T14-T41)</f>
        <v>26.621755180245</v>
      </c>
      <c r="U43" s="11" t="n">
        <f aca="false">IF(Time!U17&lt;Time!$F$11,0,T43+Financials!U14-U41)</f>
        <v>33.3057442097889</v>
      </c>
      <c r="V43" s="11" t="n">
        <f aca="false">IF(Time!V17&lt;Time!$F$11,0,U43+Financials!V14-V41)</f>
        <v>42.0073906122152</v>
      </c>
      <c r="W43" s="11" t="n">
        <f aca="false">IF(Time!W17&lt;Time!$F$11,0,V43+Financials!W14-W41)</f>
        <v>52.4148312146952</v>
      </c>
      <c r="X43" s="11" t="n">
        <f aca="false">IF(Time!X17&lt;Time!$F$11,0,W43+Financials!X14-X41)</f>
        <v>66.7403017896033</v>
      </c>
      <c r="Y43" s="11" t="n">
        <f aca="false">IF(Time!Y17&lt;Time!$F$11,0,X43+Financials!Y14-Y41)</f>
        <v>82.5815493220493</v>
      </c>
      <c r="Z43" s="11" t="n">
        <f aca="false">IF(Time!Z17&lt;Time!$F$11,0,Y43+Financials!Z14-Z41)</f>
        <v>97.95031506509</v>
      </c>
      <c r="AA43" s="11" t="n">
        <f aca="false">IF(Time!AA17&lt;Time!$F$11,0,Z43+Financials!AA14-AA41)</f>
        <v>107.012218575465</v>
      </c>
      <c r="AB43" s="11" t="n">
        <f aca="false">IF(Time!AB17&lt;Time!$F$11,0,AA43+Financials!AB14-AB41)</f>
        <v>116.770916086894</v>
      </c>
      <c r="AC43" s="11" t="n">
        <f aca="false">IF(Time!AC17&lt;Time!$F$11,0,AB43+Financials!AC14-AC41)</f>
        <v>127.434694369331</v>
      </c>
      <c r="AD43" s="11" t="n">
        <f aca="false">IF(Time!AD17&lt;Time!$F$11,0,AC43+Financials!AD14-AD41)</f>
        <v>138.94212254342</v>
      </c>
      <c r="AE43" s="11" t="n">
        <f aca="false">IF(Time!AE17&lt;Time!$F$11,0,AD43+Financials!AE14-AE41)</f>
        <v>141.636404073805</v>
      </c>
      <c r="AF43" s="11" t="n">
        <f aca="false">IF(Time!AF17&lt;Time!$F$11,0,AE43+Financials!AF14-AF41)</f>
        <v>154.929712089765</v>
      </c>
      <c r="AG43" s="11" t="n">
        <f aca="false">IF(Time!AG17&lt;Time!$F$11,0,AF43+Financials!AG14-AG41)</f>
        <v>169.395494407517</v>
      </c>
      <c r="AH43" s="11" t="n">
        <f aca="false">IF(Time!AH17&lt;Time!$F$11,0,AG43+Financials!AH14-AH41)</f>
        <v>184.856237913036</v>
      </c>
      <c r="AI43" s="11" t="n">
        <f aca="false">IF(Time!AI17&lt;Time!$F$11,0,AH43+Financials!AI14-AI41)</f>
        <v>201.532307406349</v>
      </c>
      <c r="AJ43" s="11" t="n">
        <f aca="false">IF(Time!AJ17&lt;Time!$F$11,0,AI43+Financials!AJ14-AJ41)</f>
        <v>219.307118841889</v>
      </c>
      <c r="AK43" s="11" t="n">
        <f aca="false">IF(Time!AK17&lt;Time!$F$11,0,AJ43+Financials!AK14-AK41)</f>
        <v>230.977454308045</v>
      </c>
      <c r="AL43" s="11" t="n">
        <f aca="false">IF(Time!AL17&lt;Time!$F$11,0,AK43+Financials!AL14-AL41)</f>
        <v>230.180063193566</v>
      </c>
      <c r="AM43" s="11" t="n">
        <f aca="false">IF(Time!AM17&lt;Time!$F$11,0,AL43+Financials!AM14-AM41)</f>
        <v>225.525121089511</v>
      </c>
      <c r="AN43" s="11" t="n">
        <f aca="false">IF(Time!AN17&lt;Time!$F$11,0,AM43+Financials!AN14-AN41)</f>
        <v>227.60377927271</v>
      </c>
      <c r="AO43" s="11" t="n">
        <f aca="false">IF(Time!AO17&lt;Time!$F$11,0,AN43+Financials!AO14-AO41)</f>
        <v>233.84003640748</v>
      </c>
      <c r="AP43" s="11" t="n">
        <f aca="false">IF(Time!AP17&lt;Time!$F$11,0,AO43+Financials!AP14-AP41)</f>
        <v>239.742704329188</v>
      </c>
      <c r="AQ43" s="11" t="n">
        <f aca="false">IF(Time!AQ17&lt;Time!$F$11,0,AP43+Financials!AQ14-AQ41)</f>
        <v>247.290349930941</v>
      </c>
      <c r="AR43" s="11" t="n">
        <f aca="false">IF(Time!AR17&lt;Time!$F$11,0,AQ43+Financials!AR14-AR41)</f>
        <v>254.767065790311</v>
      </c>
      <c r="AS43" s="11" t="n">
        <f aca="false">IF(Time!AS17&lt;Time!$F$11,0,AR43+Financials!AS14-AS41)</f>
        <v>263.785104997421</v>
      </c>
      <c r="AT43" s="11" t="n">
        <f aca="false">IF(Time!AT17&lt;Time!$F$11,0,AS43+Financials!AT14-AT41)</f>
        <v>277.417203493176</v>
      </c>
      <c r="AU43" s="11" t="n">
        <f aca="false">IF(Time!AU17&lt;Time!$F$11,0,AT43+Financials!AU14-AU41)</f>
        <v>243.394495852581</v>
      </c>
      <c r="AV43" s="11" t="n">
        <f aca="false">IF(Time!AV17&lt;Time!$F$11,0,AU43+Financials!AV14-AV41)</f>
        <v>226.383786092983</v>
      </c>
      <c r="AW43" s="11" t="n">
        <f aca="false">IF(Time!AW17&lt;Time!$F$11,0,AV43+Financials!AW14-AW41)</f>
        <v>210.507386013999</v>
      </c>
      <c r="AX43" s="11" t="n">
        <f aca="false">IF(Time!AX17&lt;Time!$F$11,0,AW43+Financials!AX14-AX41)</f>
        <v>193.985679999055</v>
      </c>
      <c r="AY43" s="11" t="n">
        <f aca="false">IF(Time!AY17&lt;Time!$F$11,0,AX43+Financials!AY14-AY41)</f>
        <v>178.024501577332</v>
      </c>
      <c r="AZ43" s="11" t="n">
        <f aca="false">IF(Time!AZ17&lt;Time!$F$11,0,AY43+Financials!AZ14-AZ41)</f>
        <v>161.502074893796</v>
      </c>
      <c r="BA43" s="11" t="n">
        <f aca="false">IF(Time!BA17&lt;Time!$F$11,0,AZ43+Financials!BA14-BA41)</f>
        <v>145.452566118166</v>
      </c>
      <c r="BB43" s="11" t="n">
        <f aca="false">IF(Time!BB17&lt;Time!$F$11,0,BA43+Financials!BB14-BB41)</f>
        <v>129.302154175921</v>
      </c>
      <c r="BC43" s="11" t="n">
        <f aca="false">IF(Time!BC17&lt;Time!$F$11,0,BB43+Financials!BC14-BC41)</f>
        <v>110.372706608366</v>
      </c>
      <c r="BD43" s="11" t="n">
        <f aca="false">IF(Time!BD17&lt;Time!$F$11,0,BC43+Financials!BD14-BD41)</f>
        <v>95.8230829394621</v>
      </c>
      <c r="BE43" s="11" t="n">
        <f aca="false">IF(Time!BE17&lt;Time!$F$11,0,BD43+Financials!BE14-BE41)</f>
        <v>89.6557572229133</v>
      </c>
      <c r="BF43" s="11" t="n">
        <f aca="false">IF(Time!BF17&lt;Time!$F$11,0,BE43+Financials!BF14-BF41)</f>
        <v>82.933287947089</v>
      </c>
      <c r="BG43" s="11" t="n">
        <f aca="false">IF(Time!BG17&lt;Time!$F$11,0,BF43+Financials!BG14-BG41)</f>
        <v>76.8117923449405</v>
      </c>
      <c r="BH43" s="11" t="n">
        <f aca="false">IF(Time!BH17&lt;Time!$F$11,0,BG43+Financials!BH14-BH41)</f>
        <v>70.1288888847472</v>
      </c>
      <c r="BI43" s="11" t="n">
        <f aca="false">IF(Time!BI17&lt;Time!$F$11,0,BH43+Financials!BI14-BI41)</f>
        <v>63.9562672057806</v>
      </c>
      <c r="BJ43" s="11" t="n">
        <f aca="false">IF(Time!BJ17&lt;Time!$F$11,0,BI43+Financials!BJ14-BJ41)</f>
        <v>57.4102756919286</v>
      </c>
      <c r="BK43" s="11" t="n">
        <f aca="false">IF(Time!BK17&lt;Time!$F$11,0,BJ43+Financials!BK14-BK41)</f>
        <v>28.8308368468224</v>
      </c>
      <c r="BL43" s="11" t="n">
        <f aca="false">IF(Time!BL17&lt;Time!$F$11,0,BK43+Financials!BL14-BL41)</f>
        <v>19.2443682534353</v>
      </c>
      <c r="BM43" s="11" t="n">
        <f aca="false">IF(Time!BM17&lt;Time!$F$11,0,BL43+Financials!BM14-BM41)</f>
        <v>10.1739441712507</v>
      </c>
      <c r="BN43" s="11" t="n">
        <f aca="false">IF(Time!BN17&lt;Time!$F$11,0,BM43+Financials!BN14-BN41)</f>
        <v>-43.9225633233317</v>
      </c>
    </row>
    <row r="44" customFormat="false" ht="15" hidden="false" customHeight="false" outlineLevel="0" collapsed="false">
      <c r="D44" s="0" t="s">
        <v>762</v>
      </c>
      <c r="E44" s="0" t="s">
        <v>149</v>
      </c>
      <c r="G44" s="11" t="n">
        <f aca="false">SUM(J44:BN44)</f>
        <v>1360.77189374237</v>
      </c>
      <c r="J44" s="11" t="n">
        <f aca="false">J34+J35+J41</f>
        <v>0</v>
      </c>
      <c r="K44" s="11" t="n">
        <f aca="false">K34+K35+K41</f>
        <v>0</v>
      </c>
      <c r="L44" s="11" t="n">
        <f aca="false">L34+L35+L41</f>
        <v>0</v>
      </c>
      <c r="M44" s="11" t="n">
        <f aca="false">M34+M35+M41</f>
        <v>0</v>
      </c>
      <c r="N44" s="11" t="n">
        <f aca="false">N34+N35+N41</f>
        <v>0</v>
      </c>
      <c r="O44" s="11" t="n">
        <f aca="false">O34+O35+O41</f>
        <v>0</v>
      </c>
      <c r="P44" s="11" t="n">
        <f aca="false">P34+P35+P41</f>
        <v>0</v>
      </c>
      <c r="Q44" s="11" t="n">
        <f aca="false">Q34+Q35+Q41</f>
        <v>17.679293834913</v>
      </c>
      <c r="R44" s="11" t="n">
        <f aca="false">R34+R35+R41</f>
        <v>0</v>
      </c>
      <c r="S44" s="11" t="n">
        <f aca="false">S34+S35+S41</f>
        <v>0</v>
      </c>
      <c r="T44" s="11" t="n">
        <f aca="false">T34+T35+T41</f>
        <v>0</v>
      </c>
      <c r="U44" s="11" t="n">
        <f aca="false">U34+U35+U41</f>
        <v>0</v>
      </c>
      <c r="V44" s="11" t="n">
        <f aca="false">V34+V35+V41</f>
        <v>46.3902948477304</v>
      </c>
      <c r="W44" s="11" t="n">
        <f aca="false">W34+W35+W41</f>
        <v>23.3793037599631</v>
      </c>
      <c r="X44" s="11" t="n">
        <f aca="false">X34+X35+X41</f>
        <v>21.2802441493857</v>
      </c>
      <c r="Y44" s="11" t="n">
        <f aca="false">Y34+Y35+Y41</f>
        <v>18.2848625634773</v>
      </c>
      <c r="Z44" s="11" t="n">
        <f aca="false">Z34+Z35+Z41</f>
        <v>19.3564309338737</v>
      </c>
      <c r="AA44" s="11" t="n">
        <f aca="false">AA34+AA35+AA41</f>
        <v>18.3702917761079</v>
      </c>
      <c r="AB44" s="11" t="n">
        <f aca="false">AB34+AB35+AB41</f>
        <v>19.2542729431483</v>
      </c>
      <c r="AC44" s="11" t="n">
        <f aca="false">AC34+AC35+AC41</f>
        <v>18.591699527975</v>
      </c>
      <c r="AD44" s="11" t="n">
        <f aca="false">AD34+AD35+AD41</f>
        <v>18.2617102805579</v>
      </c>
      <c r="AE44" s="11" t="n">
        <f aca="false">AE34+AE35+AE41</f>
        <v>19.1688877111902</v>
      </c>
      <c r="AF44" s="11" t="n">
        <f aca="false">AF34+AF35+AF41</f>
        <v>20.5240529525546</v>
      </c>
      <c r="AG44" s="11" t="n">
        <f aca="false">AG34+AG35+AG41</f>
        <v>19.2463553245907</v>
      </c>
      <c r="AH44" s="11" t="n">
        <f aca="false">AH34+AH35+AH41</f>
        <v>20.2139547700163</v>
      </c>
      <c r="AI44" s="11" t="n">
        <f aca="false">AI34+AI35+AI41</f>
        <v>19.4673375233295</v>
      </c>
      <c r="AJ44" s="11" t="n">
        <f aca="false">AJ34+AJ35+AJ41</f>
        <v>20.3475690817723</v>
      </c>
      <c r="AK44" s="11" t="n">
        <f aca="false">AK34+AK35+AK41</f>
        <v>19.6553202729675</v>
      </c>
      <c r="AL44" s="11" t="n">
        <f aca="false">AL34+AL35+AL41</f>
        <v>20.7956751081937</v>
      </c>
      <c r="AM44" s="11" t="n">
        <f aca="false">AM34+AM35+AM41</f>
        <v>23.486253095803</v>
      </c>
      <c r="AN44" s="11" t="n">
        <f aca="false">AN34+AN35+AN41</f>
        <v>19.6954511447589</v>
      </c>
      <c r="AO44" s="11" t="n">
        <f aca="false">AO34+AO35+AO41</f>
        <v>15.9789320106918</v>
      </c>
      <c r="AP44" s="11" t="n">
        <f aca="false">AP34+AP35+AP41</f>
        <v>16.8592570681221</v>
      </c>
      <c r="AQ44" s="11" t="n">
        <f aca="false">AQ34+AQ35+AQ41</f>
        <v>15.9649999835275</v>
      </c>
      <c r="AR44" s="11" t="n">
        <f aca="false">AR34+AR35+AR41</f>
        <v>16.7610835911105</v>
      </c>
      <c r="AS44" s="11" t="n">
        <f aca="false">AS34+AS35+AS41</f>
        <v>15.9396145966488</v>
      </c>
      <c r="AT44" s="11" t="n">
        <f aca="false">AT34+AT35+AT41</f>
        <v>12.1545756968028</v>
      </c>
      <c r="AU44" s="11" t="n">
        <f aca="false">AU34+AU35+AU41</f>
        <v>48.9567701196674</v>
      </c>
      <c r="AV44" s="11" t="n">
        <f aca="false">AV34+AV35+AV41</f>
        <v>44.5090799550741</v>
      </c>
      <c r="AW44" s="11" t="n">
        <f aca="false">AW34+AW35+AW41</f>
        <v>43.5004546690699</v>
      </c>
      <c r="AX44" s="11" t="n">
        <f aca="false">AX34+AX35+AX41</f>
        <v>44.274007726164</v>
      </c>
      <c r="AY44" s="11" t="n">
        <f aca="false">AY34+AY35+AY41</f>
        <v>43.8701347707556</v>
      </c>
      <c r="AZ44" s="11" t="n">
        <f aca="false">AZ34+AZ35+AZ41</f>
        <v>44.5455188444797</v>
      </c>
      <c r="BA44" s="11" t="n">
        <f aca="false">BA34+BA35+BA41</f>
        <v>44.1434525893954</v>
      </c>
      <c r="BB44" s="11" t="n">
        <f aca="false">BB34+BB35+BB41</f>
        <v>44.4017368443524</v>
      </c>
      <c r="BC44" s="11" t="n">
        <f aca="false">BC34+BC35+BC41</f>
        <v>44.6551203851123</v>
      </c>
      <c r="BD44" s="11" t="n">
        <f aca="false">BD34+BD35+BD41</f>
        <v>43.1799209867987</v>
      </c>
      <c r="BE44" s="11" t="n">
        <f aca="false">BE34+BE35+BE41</f>
        <v>34.7513553834456</v>
      </c>
      <c r="BF44" s="11" t="n">
        <f aca="false">BF34+BF35+BF41</f>
        <v>35.4468161899769</v>
      </c>
      <c r="BG44" s="11" t="n">
        <f aca="false">BG34+BG35+BG41</f>
        <v>35.0168014347657</v>
      </c>
      <c r="BH44" s="11" t="n">
        <f aca="false">BH34+BH35+BH41</f>
        <v>35.7027467049765</v>
      </c>
      <c r="BI44" s="11" t="n">
        <f aca="false">BI34+BI35+BI41</f>
        <v>35.2678144321089</v>
      </c>
      <c r="BJ44" s="11" t="n">
        <f aca="false">BJ34+BJ35+BJ41</f>
        <v>35.8351864538939</v>
      </c>
      <c r="BK44" s="11" t="n">
        <f aca="false">BK34+BK35+BK41</f>
        <v>44.0975550569054</v>
      </c>
      <c r="BL44" s="11" t="n">
        <f aca="false">BL34+BL35+BL41</f>
        <v>39.1045041507636</v>
      </c>
      <c r="BM44" s="11" t="n">
        <f aca="false">BM34+BM35+BM41</f>
        <v>38.6987765905792</v>
      </c>
      <c r="BN44" s="11" t="n">
        <f aca="false">BN34+BN35+BN41</f>
        <v>63.70641590487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764</v>
      </c>
    </row>
    <row r="8" customFormat="false" ht="15" hidden="false" customHeight="false" outlineLevel="0" collapsed="false">
      <c r="D8" s="0" t="s">
        <v>765</v>
      </c>
      <c r="E8" s="0" t="s">
        <v>149</v>
      </c>
      <c r="G8" s="11" t="n">
        <f aca="false">SUM(J8:BN8)</f>
        <v>801.39807969148</v>
      </c>
      <c r="J8" s="11" t="n">
        <f aca="false">Funding!$F$76/300*Time!J25</f>
        <v>0</v>
      </c>
      <c r="K8" s="11" t="n">
        <f aca="false">Funding!$F$76/300*Time!K25</f>
        <v>0</v>
      </c>
      <c r="L8" s="11" t="n">
        <f aca="false">Funding!$F$76/300*Time!L25</f>
        <v>0</v>
      </c>
      <c r="M8" s="11" t="n">
        <f aca="false">Funding!$F$76/300*Time!M25</f>
        <v>0</v>
      </c>
      <c r="N8" s="11" t="n">
        <f aca="false">Funding!$F$76/300*Time!N25</f>
        <v>0</v>
      </c>
      <c r="O8" s="11" t="n">
        <f aca="false">Funding!$F$76/300*Time!O25</f>
        <v>0</v>
      </c>
      <c r="P8" s="11" t="n">
        <f aca="false">Funding!$F$76/300*Time!P25</f>
        <v>2.67132693230493</v>
      </c>
      <c r="Q8" s="11" t="n">
        <f aca="false">Funding!$F$76/300*Time!Q25</f>
        <v>16.0279615938296</v>
      </c>
      <c r="R8" s="11" t="n">
        <f aca="false">Funding!$F$76/300*Time!R25</f>
        <v>16.0279615938296</v>
      </c>
      <c r="S8" s="11" t="n">
        <f aca="false">Funding!$F$76/300*Time!S25</f>
        <v>16.0279615938296</v>
      </c>
      <c r="T8" s="11" t="n">
        <f aca="false">Funding!$F$76/300*Time!T25</f>
        <v>16.0279615938296</v>
      </c>
      <c r="U8" s="11" t="n">
        <f aca="false">Funding!$F$76/300*Time!U25</f>
        <v>16.0279615938296</v>
      </c>
      <c r="V8" s="11" t="n">
        <f aca="false">Funding!$F$76/300*Time!V25</f>
        <v>16.0279615938296</v>
      </c>
      <c r="W8" s="11" t="n">
        <f aca="false">Funding!$F$76/300*Time!W25</f>
        <v>16.0279615938296</v>
      </c>
      <c r="X8" s="11" t="n">
        <f aca="false">Funding!$F$76/300*Time!X25</f>
        <v>16.0279615938296</v>
      </c>
      <c r="Y8" s="11" t="n">
        <f aca="false">Funding!$F$76/300*Time!Y25</f>
        <v>16.0279615938296</v>
      </c>
      <c r="Z8" s="11" t="n">
        <f aca="false">Funding!$F$76/300*Time!Z25</f>
        <v>16.0279615938296</v>
      </c>
      <c r="AA8" s="11" t="n">
        <f aca="false">Funding!$F$76/300*Time!AA25</f>
        <v>16.0279615938296</v>
      </c>
      <c r="AB8" s="11" t="n">
        <f aca="false">Funding!$F$76/300*Time!AB25</f>
        <v>16.0279615938296</v>
      </c>
      <c r="AC8" s="11" t="n">
        <f aca="false">Funding!$F$76/300*Time!AC25</f>
        <v>16.0279615938296</v>
      </c>
      <c r="AD8" s="11" t="n">
        <f aca="false">Funding!$F$76/300*Time!AD25</f>
        <v>16.0279615938296</v>
      </c>
      <c r="AE8" s="11" t="n">
        <f aca="false">Funding!$F$76/300*Time!AE25</f>
        <v>16.0279615938296</v>
      </c>
      <c r="AF8" s="11" t="n">
        <f aca="false">Funding!$F$76/300*Time!AF25</f>
        <v>16.0279615938296</v>
      </c>
      <c r="AG8" s="11" t="n">
        <f aca="false">Funding!$F$76/300*Time!AG25</f>
        <v>16.0279615938296</v>
      </c>
      <c r="AH8" s="11" t="n">
        <f aca="false">Funding!$F$76/300*Time!AH25</f>
        <v>16.0279615938296</v>
      </c>
      <c r="AI8" s="11" t="n">
        <f aca="false">Funding!$F$76/300*Time!AI25</f>
        <v>16.0279615938296</v>
      </c>
      <c r="AJ8" s="11" t="n">
        <f aca="false">Funding!$F$76/300*Time!AJ25</f>
        <v>16.0279615938296</v>
      </c>
      <c r="AK8" s="11" t="n">
        <f aca="false">Funding!$F$76/300*Time!AK25</f>
        <v>16.0279615938296</v>
      </c>
      <c r="AL8" s="11" t="n">
        <f aca="false">Funding!$F$76/300*Time!AL25</f>
        <v>16.0279615938296</v>
      </c>
      <c r="AM8" s="11" t="n">
        <f aca="false">Funding!$F$76/300*Time!AM25</f>
        <v>16.0279615938296</v>
      </c>
      <c r="AN8" s="11" t="n">
        <f aca="false">Funding!$F$76/300*Time!AN25</f>
        <v>16.0279615938296</v>
      </c>
      <c r="AO8" s="11" t="n">
        <f aca="false">Funding!$F$76/300*Time!AO25</f>
        <v>16.0279615938296</v>
      </c>
      <c r="AP8" s="11" t="n">
        <f aca="false">Funding!$F$76/300*Time!AP25</f>
        <v>16.0279615938296</v>
      </c>
      <c r="AQ8" s="11" t="n">
        <f aca="false">Funding!$F$76/300*Time!AQ25</f>
        <v>16.0279615938296</v>
      </c>
      <c r="AR8" s="11" t="n">
        <f aca="false">Funding!$F$76/300*Time!AR25</f>
        <v>16.0279615938296</v>
      </c>
      <c r="AS8" s="11" t="n">
        <f aca="false">Funding!$F$76/300*Time!AS25</f>
        <v>16.0279615938296</v>
      </c>
      <c r="AT8" s="11" t="n">
        <f aca="false">Funding!$F$76/300*Time!AT25</f>
        <v>16.0279615938296</v>
      </c>
      <c r="AU8" s="11" t="n">
        <f aca="false">Funding!$F$76/300*Time!AU25</f>
        <v>16.0279615938296</v>
      </c>
      <c r="AV8" s="11" t="n">
        <f aca="false">Funding!$F$76/300*Time!AV25</f>
        <v>16.0279615938296</v>
      </c>
      <c r="AW8" s="11" t="n">
        <f aca="false">Funding!$F$76/300*Time!AW25</f>
        <v>16.0279615938296</v>
      </c>
      <c r="AX8" s="11" t="n">
        <f aca="false">Funding!$F$76/300*Time!AX25</f>
        <v>16.0279615938296</v>
      </c>
      <c r="AY8" s="11" t="n">
        <f aca="false">Funding!$F$76/300*Time!AY25</f>
        <v>16.0279615938296</v>
      </c>
      <c r="AZ8" s="11" t="n">
        <f aca="false">Funding!$F$76/300*Time!AZ25</f>
        <v>16.0279615938296</v>
      </c>
      <c r="BA8" s="11" t="n">
        <f aca="false">Funding!$F$76/300*Time!BA25</f>
        <v>16.0279615938296</v>
      </c>
      <c r="BB8" s="11" t="n">
        <f aca="false">Funding!$F$76/300*Time!BB25</f>
        <v>16.0279615938296</v>
      </c>
      <c r="BC8" s="11" t="n">
        <f aca="false">Funding!$F$76/300*Time!BC25</f>
        <v>16.0279615938296</v>
      </c>
      <c r="BD8" s="11" t="n">
        <f aca="false">Funding!$F$76/300*Time!BD25</f>
        <v>16.0279615938296</v>
      </c>
      <c r="BE8" s="11" t="n">
        <f aca="false">Funding!$F$76/300*Time!BE25</f>
        <v>16.0279615938296</v>
      </c>
      <c r="BF8" s="11" t="n">
        <f aca="false">Funding!$F$76/300*Time!BF25</f>
        <v>16.0279615938296</v>
      </c>
      <c r="BG8" s="11" t="n">
        <f aca="false">Funding!$F$76/300*Time!BG25</f>
        <v>16.0279615938296</v>
      </c>
      <c r="BH8" s="11" t="n">
        <f aca="false">Funding!$F$76/300*Time!BH25</f>
        <v>16.0279615938296</v>
      </c>
      <c r="BI8" s="11" t="n">
        <f aca="false">Funding!$F$76/300*Time!BI25</f>
        <v>16.0279615938296</v>
      </c>
      <c r="BJ8" s="11" t="n">
        <f aca="false">Funding!$F$76/300*Time!BJ25</f>
        <v>16.0279615938296</v>
      </c>
      <c r="BK8" s="11" t="n">
        <f aca="false">Funding!$F$76/300*Time!BK25</f>
        <v>16.0279615938296</v>
      </c>
      <c r="BL8" s="11" t="n">
        <f aca="false">Funding!$F$76/300*Time!BL25</f>
        <v>16.0279615938296</v>
      </c>
      <c r="BM8" s="11" t="n">
        <f aca="false">Funding!$F$76/300*Time!BM25</f>
        <v>16.0279615938296</v>
      </c>
      <c r="BN8" s="11" t="n">
        <f aca="false">Funding!$F$76/300*Time!BN25</f>
        <v>13.3566346615247</v>
      </c>
    </row>
    <row r="9" customFormat="false" ht="15" hidden="false" customHeight="false" outlineLevel="0" collapsed="false">
      <c r="D9" s="0" t="s">
        <v>766</v>
      </c>
      <c r="E9" s="0" t="s">
        <v>149</v>
      </c>
      <c r="G9" s="11" t="n">
        <f aca="false">SUM(J9:BN9)</f>
        <v>531.983513075787</v>
      </c>
      <c r="J9" s="11" t="n">
        <f aca="false">Debt!J119+Debt!J117+Debt!J111-Debt!J110+Tax!J13</f>
        <v>0</v>
      </c>
      <c r="K9" s="11" t="n">
        <f aca="false">Debt!K119+Debt!K117+Debt!K111-Debt!K110+Tax!K13</f>
        <v>0</v>
      </c>
      <c r="L9" s="11" t="n">
        <f aca="false">Debt!L119+Debt!L117+Debt!L111-Debt!L110+Tax!L13</f>
        <v>0</v>
      </c>
      <c r="M9" s="11" t="n">
        <f aca="false">Debt!M119+Debt!M117+Debt!M111-Debt!M110+Tax!M13</f>
        <v>0</v>
      </c>
      <c r="N9" s="11" t="n">
        <f aca="false">Debt!N119+Debt!N117+Debt!N111-Debt!N110+Tax!N13</f>
        <v>0</v>
      </c>
      <c r="O9" s="11" t="n">
        <f aca="false">Debt!O119+Debt!O117+Debt!O111-Debt!O110+Tax!O13</f>
        <v>0</v>
      </c>
      <c r="P9" s="11" t="n">
        <f aca="false">Debt!P119+Debt!P117+Debt!P111-Debt!P110+Tax!P13</f>
        <v>1.65772110371776</v>
      </c>
      <c r="Q9" s="11" t="n">
        <f aca="false">Debt!Q119+Debt!Q117+Debt!Q111-Debt!Q110+Tax!Q13</f>
        <v>28.869808717268</v>
      </c>
      <c r="R9" s="11" t="n">
        <f aca="false">Debt!R119+Debt!R117+Debt!R111-Debt!R110+Tax!R13</f>
        <v>29.7816656451846</v>
      </c>
      <c r="S9" s="11" t="n">
        <f aca="false">Debt!S119+Debt!S117+Debt!S111-Debt!S110+Tax!S13</f>
        <v>30.865260648265</v>
      </c>
      <c r="T9" s="11" t="n">
        <f aca="false">Debt!T119+Debt!T117+Debt!T111-Debt!T110+Tax!T13</f>
        <v>34.3866538845852</v>
      </c>
      <c r="U9" s="11" t="n">
        <f aca="false">Debt!U119+Debt!U117+Debt!U111-Debt!U110+Tax!U13</f>
        <v>32.8320859302049</v>
      </c>
      <c r="V9" s="11" t="n">
        <f aca="false">Debt!V119+Debt!V117+Debt!V111-Debt!V110+Tax!V13</f>
        <v>32.807189992843</v>
      </c>
      <c r="W9" s="11" t="n">
        <f aca="false">Debt!W119+Debt!W117+Debt!W111-Debt!W110+Tax!W13</f>
        <v>28.9050718281028</v>
      </c>
      <c r="X9" s="11" t="n">
        <f aca="false">Debt!X119+Debt!X117+Debt!X111-Debt!X110+Tax!X13</f>
        <v>26.0393733008524</v>
      </c>
      <c r="Y9" s="11" t="n">
        <f aca="false">Debt!Y119+Debt!Y117+Debt!Y111-Debt!Y110+Tax!Y13</f>
        <v>24.6546777117017</v>
      </c>
      <c r="Z9" s="11" t="n">
        <f aca="false">Debt!Z119+Debt!Z117+Debt!Z111-Debt!Z110+Tax!Z13</f>
        <v>23.9285396030841</v>
      </c>
      <c r="AA9" s="11" t="n">
        <f aca="false">Debt!AA119+Debt!AA117+Debt!AA111-Debt!AA110+Tax!AA13</f>
        <v>22.7083983789431</v>
      </c>
      <c r="AB9" s="11" t="n">
        <f aca="false">Debt!AB119+Debt!AB117+Debt!AB111-Debt!AB110+Tax!AB13</f>
        <v>21.8847353051281</v>
      </c>
      <c r="AC9" s="11" t="n">
        <f aca="false">Debt!AC119+Debt!AC117+Debt!AC111-Debt!AC110+Tax!AC13</f>
        <v>20.6986223277902</v>
      </c>
      <c r="AD9" s="11" t="n">
        <f aca="false">Debt!AD119+Debt!AD117+Debt!AD111-Debt!AD110+Tax!AD13</f>
        <v>19.7009142077538</v>
      </c>
      <c r="AE9" s="11" t="n">
        <f aca="false">Debt!AE119+Debt!AE117+Debt!AE111-Debt!AE110+Tax!AE13</f>
        <v>18.4365123125213</v>
      </c>
      <c r="AF9" s="11" t="n">
        <f aca="false">Debt!AF119+Debt!AF117+Debt!AF111-Debt!AF110+Tax!AF13</f>
        <v>17.3069836720549</v>
      </c>
      <c r="AG9" s="11" t="n">
        <f aca="false">Debt!AG119+Debt!AG117+Debt!AG111-Debt!AG110+Tax!AG13</f>
        <v>15.8191331590062</v>
      </c>
      <c r="AH9" s="11" t="n">
        <f aca="false">Debt!AH119+Debt!AH117+Debt!AH111-Debt!AH110+Tax!AH13</f>
        <v>14.5478551169024</v>
      </c>
      <c r="AI9" s="11" t="n">
        <f aca="false">Debt!AI119+Debt!AI117+Debt!AI111-Debt!AI110+Tax!AI13</f>
        <v>12.9971911369545</v>
      </c>
      <c r="AJ9" s="11" t="n">
        <f aca="false">Debt!AJ119+Debt!AJ117+Debt!AJ111-Debt!AJ110+Tax!AJ13</f>
        <v>11.5612679200993</v>
      </c>
      <c r="AK9" s="11" t="n">
        <f aca="false">Debt!AK119+Debt!AK117+Debt!AK111-Debt!AK110+Tax!AK13</f>
        <v>9.9247683264041</v>
      </c>
      <c r="AL9" s="11" t="n">
        <f aca="false">Debt!AL119+Debt!AL117+Debt!AL111-Debt!AL110+Tax!AL13</f>
        <v>8.65462488752624</v>
      </c>
      <c r="AM9" s="11" t="n">
        <f aca="false">Debt!AM119+Debt!AM117+Debt!AM111-Debt!AM110+Tax!AM13</f>
        <v>7.88406792256295</v>
      </c>
      <c r="AN9" s="11" t="n">
        <f aca="false">Debt!AN119+Debt!AN117+Debt!AN111-Debt!AN110+Tax!AN13</f>
        <v>7.1413647046173</v>
      </c>
      <c r="AO9" s="11" t="n">
        <f aca="false">Debt!AO119+Debt!AO117+Debt!AO111-Debt!AO110+Tax!AO13</f>
        <v>6.46619826596202</v>
      </c>
      <c r="AP9" s="11" t="n">
        <f aca="false">Debt!AP119+Debt!AP117+Debt!AP111-Debt!AP110+Tax!AP13</f>
        <v>5.85258902183707</v>
      </c>
      <c r="AQ9" s="11" t="n">
        <f aca="false">Debt!AQ119+Debt!AQ117+Debt!AQ111-Debt!AQ110+Tax!AQ13</f>
        <v>4.98522265070902</v>
      </c>
      <c r="AR9" s="11" t="n">
        <f aca="false">Debt!AR119+Debt!AR117+Debt!AR111-Debt!AR110+Tax!AR13</f>
        <v>4.09871944072998</v>
      </c>
      <c r="AS9" s="11" t="n">
        <f aca="false">Debt!AS119+Debt!AS117+Debt!AS111-Debt!AS110+Tax!AS13</f>
        <v>3.16552109698413</v>
      </c>
      <c r="AT9" s="11" t="n">
        <f aca="false">Debt!AT119+Debt!AT117+Debt!AT111-Debt!AT110+Tax!AT13</f>
        <v>2.21076351359453</v>
      </c>
      <c r="AU9" s="11" t="n">
        <f aca="false">Debt!AU119+Debt!AU117+Debt!AU111-Debt!AU110+Tax!AU13</f>
        <v>1.21001134189631</v>
      </c>
      <c r="AV9" s="11" t="n">
        <f aca="false">Debt!AV119+Debt!AV117+Debt!AV111-Debt!AV110+Tax!AV13</f>
        <v>0</v>
      </c>
      <c r="AW9" s="11" t="n">
        <f aca="false">Debt!AW119+Debt!AW117+Debt!AW111-Debt!AW110+Tax!AW13</f>
        <v>0</v>
      </c>
      <c r="AX9" s="11" t="n">
        <f aca="false">Debt!AX119+Debt!AX117+Debt!AX111-Debt!AX110+Tax!AX13</f>
        <v>0</v>
      </c>
      <c r="AY9" s="11" t="n">
        <f aca="false">Debt!AY119+Debt!AY117+Debt!AY111-Debt!AY110+Tax!AY13</f>
        <v>0</v>
      </c>
      <c r="AZ9" s="11" t="n">
        <f aca="false">Debt!AZ119+Debt!AZ117+Debt!AZ111-Debt!AZ110+Tax!AZ13</f>
        <v>0</v>
      </c>
      <c r="BA9" s="11" t="n">
        <f aca="false">Debt!BA119+Debt!BA117+Debt!BA111-Debt!BA110+Tax!BA13</f>
        <v>0</v>
      </c>
      <c r="BB9" s="11" t="n">
        <f aca="false">Debt!BB119+Debt!BB117+Debt!BB111-Debt!BB110+Tax!BB13</f>
        <v>0</v>
      </c>
      <c r="BC9" s="11" t="n">
        <f aca="false">Debt!BC119+Debt!BC117+Debt!BC111-Debt!BC110+Tax!BC13</f>
        <v>0</v>
      </c>
      <c r="BD9" s="11" t="n">
        <f aca="false">Debt!BD119+Debt!BD117+Debt!BD111-Debt!BD110+Tax!BD13</f>
        <v>0</v>
      </c>
      <c r="BE9" s="11" t="n">
        <f aca="false">Debt!BE119+Debt!BE117+Debt!BE111-Debt!BE110+Tax!BE13</f>
        <v>0</v>
      </c>
      <c r="BF9" s="11" t="n">
        <f aca="false">Debt!BF119+Debt!BF117+Debt!BF111-Debt!BF110+Tax!BF13</f>
        <v>0</v>
      </c>
      <c r="BG9" s="11" t="n">
        <f aca="false">Debt!BG119+Debt!BG117+Debt!BG111-Debt!BG110+Tax!BG13</f>
        <v>0</v>
      </c>
      <c r="BH9" s="11" t="n">
        <f aca="false">Debt!BH119+Debt!BH117+Debt!BH111-Debt!BH110+Tax!BH13</f>
        <v>0</v>
      </c>
      <c r="BI9" s="11" t="n">
        <f aca="false">Debt!BI119+Debt!BI117+Debt!BI111-Debt!BI110+Tax!BI13</f>
        <v>0</v>
      </c>
      <c r="BJ9" s="11" t="n">
        <f aca="false">Debt!BJ119+Debt!BJ117+Debt!BJ111-Debt!BJ110+Tax!BJ13</f>
        <v>0</v>
      </c>
      <c r="BK9" s="11" t="n">
        <f aca="false">Debt!BK119+Debt!BK117+Debt!BK111-Debt!BK110+Tax!BK13</f>
        <v>0</v>
      </c>
      <c r="BL9" s="11" t="n">
        <f aca="false">Debt!BL119+Debt!BL117+Debt!BL111-Debt!BL110+Tax!BL13</f>
        <v>0</v>
      </c>
      <c r="BM9" s="11" t="n">
        <f aca="false">Debt!BM119+Debt!BM117+Debt!BM111-Debt!BM110+Tax!BM13</f>
        <v>0</v>
      </c>
      <c r="BN9" s="11" t="n">
        <f aca="false">Debt!BN119+Debt!BN117+Debt!BN111-Debt!BN110+Tax!BN13</f>
        <v>0</v>
      </c>
    </row>
    <row r="10" customFormat="false" ht="15" hidden="false" customHeight="false" outlineLevel="0" collapsed="false">
      <c r="D10" s="0" t="s">
        <v>767</v>
      </c>
      <c r="E10" s="0" t="s">
        <v>149</v>
      </c>
      <c r="J10" s="11" t="n">
        <f aca="false">Funding!$F$76-SUM(Tax!J$10:J$10)</f>
        <v>801.39807969148</v>
      </c>
      <c r="K10" s="11" t="n">
        <f aca="false">Funding!$F$76-SUM(Tax!$J$10:K$10)</f>
        <v>801.39807969148</v>
      </c>
      <c r="L10" s="11" t="n">
        <f aca="false">Funding!$F$76-SUM(Tax!$J$10:L$10)</f>
        <v>801.39807969148</v>
      </c>
      <c r="M10" s="11" t="n">
        <f aca="false">Funding!$F$76-SUM(Tax!$J$10:M$10)</f>
        <v>801.39807969148</v>
      </c>
      <c r="N10" s="11" t="n">
        <f aca="false">Funding!$F$76-SUM(Tax!$J$10:N$10)</f>
        <v>801.39807969148</v>
      </c>
      <c r="O10" s="11" t="n">
        <f aca="false">Funding!$F$76-SUM(Tax!$J$10:O$10)</f>
        <v>801.39807969148</v>
      </c>
      <c r="P10" s="11" t="n">
        <f aca="false">Funding!$F$76-SUM(Tax!$J$10:P$10)</f>
        <v>797.791788332868</v>
      </c>
      <c r="Q10" s="11" t="n">
        <f aca="false">Funding!$F$76-SUM(Tax!$J$10:Q$10)</f>
        <v>776.154040181198</v>
      </c>
      <c r="R10" s="11" t="n">
        <f aca="false">Funding!$F$76-SUM(Tax!$J$10:R$10)</f>
        <v>754.516292029528</v>
      </c>
      <c r="S10" s="11" t="n">
        <f aca="false">Funding!$F$76-SUM(Tax!$J$10:S$10)</f>
        <v>732.878543877858</v>
      </c>
      <c r="T10" s="11" t="n">
        <f aca="false">Funding!$F$76-SUM(Tax!$J$10:T$10)</f>
        <v>711.240795726188</v>
      </c>
      <c r="U10" s="11" t="n">
        <f aca="false">Funding!$F$76-SUM(Tax!$J$10:U$10)</f>
        <v>689.603047574518</v>
      </c>
      <c r="V10" s="11" t="n">
        <f aca="false">Funding!$F$76-SUM(Tax!$J$10:V$10)</f>
        <v>667.965299422848</v>
      </c>
      <c r="W10" s="11" t="n">
        <f aca="false">Funding!$F$76-SUM(Tax!$J$10:W$10)</f>
        <v>646.327551271178</v>
      </c>
      <c r="X10" s="11" t="n">
        <f aca="false">Funding!$F$76-SUM(Tax!$J$10:X$10)</f>
        <v>624.689803119509</v>
      </c>
      <c r="Y10" s="11" t="n">
        <f aca="false">Funding!$F$76-SUM(Tax!$J$10:Y$10)</f>
        <v>603.052054967839</v>
      </c>
      <c r="Z10" s="11" t="n">
        <f aca="false">Funding!$F$76-SUM(Tax!$J$10:Z$10)</f>
        <v>581.815005856014</v>
      </c>
      <c r="AA10" s="11" t="n">
        <f aca="false">Funding!$F$76-SUM(Tax!$J$10:AA$10)</f>
        <v>562.581451943419</v>
      </c>
      <c r="AB10" s="11" t="n">
        <f aca="false">Funding!$F$76-SUM(Tax!$J$10:AB$10)</f>
        <v>543.347898030823</v>
      </c>
      <c r="AC10" s="11" t="n">
        <f aca="false">Funding!$F$76-SUM(Tax!$J$10:AC$10)</f>
        <v>524.114344118228</v>
      </c>
      <c r="AD10" s="11" t="n">
        <f aca="false">Funding!$F$76-SUM(Tax!$J$10:AD$10)</f>
        <v>504.880790205632</v>
      </c>
      <c r="AE10" s="11" t="n">
        <f aca="false">Funding!$F$76-SUM(Tax!$J$10:AE$10)</f>
        <v>485.647236293037</v>
      </c>
      <c r="AF10" s="11" t="n">
        <f aca="false">Funding!$F$76-SUM(Tax!$J$10:AF$10)</f>
        <v>466.413682380441</v>
      </c>
      <c r="AG10" s="11" t="n">
        <f aca="false">Funding!$F$76-SUM(Tax!$J$10:AG$10)</f>
        <v>447.180128467846</v>
      </c>
      <c r="AH10" s="11" t="n">
        <f aca="false">Funding!$F$76-SUM(Tax!$J$10:AH$10)</f>
        <v>427.94657455525</v>
      </c>
      <c r="AI10" s="11" t="n">
        <f aca="false">Funding!$F$76-SUM(Tax!$J$10:AI$10)</f>
        <v>408.713020642655</v>
      </c>
      <c r="AJ10" s="11" t="n">
        <f aca="false">Funding!$F$76-SUM(Tax!$J$10:AJ$10)</f>
        <v>389.479466730059</v>
      </c>
      <c r="AK10" s="11" t="n">
        <f aca="false">Funding!$F$76-SUM(Tax!$J$10:AK$10)</f>
        <v>370.245912817464</v>
      </c>
      <c r="AL10" s="11" t="n">
        <f aca="false">Funding!$F$76-SUM(Tax!$J$10:AL$10)</f>
        <v>351.012358904868</v>
      </c>
      <c r="AM10" s="11" t="n">
        <f aca="false">Funding!$F$76-SUM(Tax!$J$10:AM$10)</f>
        <v>331.778804992273</v>
      </c>
      <c r="AN10" s="11" t="n">
        <f aca="false">Funding!$F$76-SUM(Tax!$J$10:AN$10)</f>
        <v>312.545251079677</v>
      </c>
      <c r="AO10" s="11" t="n">
        <f aca="false">Funding!$F$76-SUM(Tax!$J$10:AO$10)</f>
        <v>293.311697167082</v>
      </c>
      <c r="AP10" s="11" t="n">
        <f aca="false">Funding!$F$76-SUM(Tax!$J$10:AP$10)</f>
        <v>274.078143254486</v>
      </c>
      <c r="AQ10" s="11" t="n">
        <f aca="false">Funding!$F$76-SUM(Tax!$J$10:AQ$10)</f>
        <v>254.844589341891</v>
      </c>
      <c r="AR10" s="11" t="n">
        <f aca="false">Funding!$F$76-SUM(Tax!$J$10:AR$10)</f>
        <v>235.611035429295</v>
      </c>
      <c r="AS10" s="11" t="n">
        <f aca="false">Funding!$F$76-SUM(Tax!$J$10:AS$10)</f>
        <v>216.3774815167</v>
      </c>
      <c r="AT10" s="11" t="n">
        <f aca="false">Funding!$F$76-SUM(Tax!$J$10:AT$10)</f>
        <v>197.143927604104</v>
      </c>
      <c r="AU10" s="11" t="n">
        <f aca="false">Funding!$F$76-SUM(Tax!$J$10:AU$10)</f>
        <v>177.910373691509</v>
      </c>
      <c r="AV10" s="11" t="n">
        <f aca="false">Funding!$F$76-SUM(Tax!$J$10:AV$10)</f>
        <v>158.676819778913</v>
      </c>
      <c r="AW10" s="11" t="n">
        <f aca="false">Funding!$F$76-SUM(Tax!$J$10:AW$10)</f>
        <v>139.443265866317</v>
      </c>
      <c r="AX10" s="11" t="n">
        <f aca="false">Funding!$F$76-SUM(Tax!$J$10:AX$10)</f>
        <v>120.209711953722</v>
      </c>
      <c r="AY10" s="11" t="n">
        <f aca="false">Funding!$F$76-SUM(Tax!$J$10:AY$10)</f>
        <v>100.976158041127</v>
      </c>
      <c r="AZ10" s="11" t="n">
        <f aca="false">Funding!$F$76-SUM(Tax!$J$10:AZ$10)</f>
        <v>81.742604128531</v>
      </c>
      <c r="BA10" s="11" t="n">
        <f aca="false">Funding!$F$76-SUM(Tax!$J$10:BA$10)</f>
        <v>62.5090502159354</v>
      </c>
      <c r="BB10" s="11" t="n">
        <f aca="false">Funding!$F$76-SUM(Tax!$J$10:BB$10)</f>
        <v>43.2754963033399</v>
      </c>
      <c r="BC10" s="11" t="n">
        <f aca="false">Funding!$F$76-SUM(Tax!$J$10:BC$10)</f>
        <v>24.0419423907443</v>
      </c>
      <c r="BD10" s="11" t="n">
        <f aca="false">Funding!$F$76-SUM(Tax!$J$10:BD$10)</f>
        <v>7.88041445029967</v>
      </c>
      <c r="BE10" s="11" t="n">
        <f aca="false">Funding!$F$76-SUM(Tax!$J$10:BE$10)</f>
        <v>7.07901637060809</v>
      </c>
      <c r="BF10" s="11" t="n">
        <f aca="false">Funding!$F$76-SUM(Tax!$J$10:BF$10)</f>
        <v>6.27761829091662</v>
      </c>
      <c r="BG10" s="11" t="n">
        <f aca="false">Funding!$F$76-SUM(Tax!$J$10:BG$10)</f>
        <v>5.47622021122515</v>
      </c>
      <c r="BH10" s="11" t="n">
        <f aca="false">Funding!$F$76-SUM(Tax!$J$10:BH$10)</f>
        <v>4.67482213153369</v>
      </c>
      <c r="BI10" s="11" t="n">
        <f aca="false">Funding!$F$76-SUM(Tax!$J$10:BI$10)</f>
        <v>3.87342405184222</v>
      </c>
      <c r="BJ10" s="11" t="n">
        <f aca="false">Funding!$F$76-SUM(Tax!$J$10:BJ$10)</f>
        <v>3.07202597215075</v>
      </c>
      <c r="BK10" s="11" t="n">
        <f aca="false">Funding!$F$76-SUM(Tax!$J$10:BK$10)</f>
        <v>2.27062789245917</v>
      </c>
      <c r="BL10" s="11" t="n">
        <f aca="false">Funding!$F$76-SUM(Tax!$J$10:BL$10)</f>
        <v>1.46922981276771</v>
      </c>
      <c r="BM10" s="11" t="n">
        <f aca="false">Funding!$F$76-SUM(Tax!$J$10:BM$10)</f>
        <v>0.667831733076241</v>
      </c>
      <c r="BN10" s="11" t="n">
        <f aca="false">Funding!$F$76-SUM(Tax!$J$10:BN$10)</f>
        <v>0</v>
      </c>
    </row>
    <row r="11" customFormat="false" ht="15" hidden="false" customHeight="false" outlineLevel="0" collapsed="false">
      <c r="D11" s="0" t="s">
        <v>768</v>
      </c>
      <c r="E11" s="0" t="s">
        <v>149</v>
      </c>
      <c r="J11" s="11" t="n">
        <f aca="false">Funding!$F$76-SUM(J$8:J$8)</f>
        <v>801.39807969148</v>
      </c>
      <c r="K11" s="11" t="n">
        <f aca="false">Funding!$F$76-SUM($J$8:K$8)</f>
        <v>801.39807969148</v>
      </c>
      <c r="L11" s="11" t="n">
        <f aca="false">Funding!$F$76-SUM($J$8:L$8)</f>
        <v>801.39807969148</v>
      </c>
      <c r="M11" s="11" t="n">
        <f aca="false">Funding!$F$76-SUM($J$8:M$8)</f>
        <v>801.39807969148</v>
      </c>
      <c r="N11" s="11" t="n">
        <f aca="false">Funding!$F$76-SUM($J$8:N$8)</f>
        <v>801.39807969148</v>
      </c>
      <c r="O11" s="11" t="n">
        <f aca="false">Funding!$F$76-SUM($J$8:O$8)</f>
        <v>801.39807969148</v>
      </c>
      <c r="P11" s="11" t="n">
        <f aca="false">Funding!$F$76-SUM($J$8:P$8)</f>
        <v>798.726752759175</v>
      </c>
      <c r="Q11" s="11" t="n">
        <f aca="false">Funding!$F$76-SUM($J$8:Q$8)</f>
        <v>782.698791165345</v>
      </c>
      <c r="R11" s="11" t="n">
        <f aca="false">Funding!$F$76-SUM($J$8:R$8)</f>
        <v>766.670829571516</v>
      </c>
      <c r="S11" s="11" t="n">
        <f aca="false">Funding!$F$76-SUM($J$8:S$8)</f>
        <v>750.642867977686</v>
      </c>
      <c r="T11" s="11" t="n">
        <f aca="false">Funding!$F$76-SUM($J$8:T$8)</f>
        <v>734.614906383857</v>
      </c>
      <c r="U11" s="11" t="n">
        <f aca="false">Funding!$F$76-SUM($J$8:U$8)</f>
        <v>718.586944790027</v>
      </c>
      <c r="V11" s="11" t="n">
        <f aca="false">Funding!$F$76-SUM($J$8:V$8)</f>
        <v>702.558983196197</v>
      </c>
      <c r="W11" s="11" t="n">
        <f aca="false">Funding!$F$76-SUM($J$8:W$8)</f>
        <v>686.531021602368</v>
      </c>
      <c r="X11" s="11" t="n">
        <f aca="false">Funding!$F$76-SUM($J$8:X$8)</f>
        <v>670.503060008538</v>
      </c>
      <c r="Y11" s="11" t="n">
        <f aca="false">Funding!$F$76-SUM($J$8:Y$8)</f>
        <v>654.475098414709</v>
      </c>
      <c r="Z11" s="11" t="n">
        <f aca="false">Funding!$F$76-SUM($J$8:Z$8)</f>
        <v>638.447136820879</v>
      </c>
      <c r="AA11" s="11" t="n">
        <f aca="false">Funding!$F$76-SUM($J$8:AA$8)</f>
        <v>622.419175227049</v>
      </c>
      <c r="AB11" s="11" t="n">
        <f aca="false">Funding!$F$76-SUM($J$8:AB$8)</f>
        <v>606.39121363322</v>
      </c>
      <c r="AC11" s="11" t="n">
        <f aca="false">Funding!$F$76-SUM($J$8:AC$8)</f>
        <v>590.36325203939</v>
      </c>
      <c r="AD11" s="11" t="n">
        <f aca="false">Funding!$F$76-SUM($J$8:AD$8)</f>
        <v>574.335290445561</v>
      </c>
      <c r="AE11" s="11" t="n">
        <f aca="false">Funding!$F$76-SUM($J$8:AE$8)</f>
        <v>558.307328851731</v>
      </c>
      <c r="AF11" s="11" t="n">
        <f aca="false">Funding!$F$76-SUM($J$8:AF$8)</f>
        <v>542.279367257901</v>
      </c>
      <c r="AG11" s="11" t="n">
        <f aca="false">Funding!$F$76-SUM($J$8:AG$8)</f>
        <v>526.251405664072</v>
      </c>
      <c r="AH11" s="11" t="n">
        <f aca="false">Funding!$F$76-SUM($J$8:AH$8)</f>
        <v>510.223444070242</v>
      </c>
      <c r="AI11" s="11" t="n">
        <f aca="false">Funding!$F$76-SUM($J$8:AI$8)</f>
        <v>494.195482476413</v>
      </c>
      <c r="AJ11" s="11" t="n">
        <f aca="false">Funding!$F$76-SUM($J$8:AJ$8)</f>
        <v>478.167520882583</v>
      </c>
      <c r="AK11" s="11" t="n">
        <f aca="false">Funding!$F$76-SUM($J$8:AK$8)</f>
        <v>462.139559288753</v>
      </c>
      <c r="AL11" s="11" t="n">
        <f aca="false">Funding!$F$76-SUM($J$8:AL$8)</f>
        <v>446.111597694924</v>
      </c>
      <c r="AM11" s="11" t="n">
        <f aca="false">Funding!$F$76-SUM($J$8:AM$8)</f>
        <v>430.083636101094</v>
      </c>
      <c r="AN11" s="11" t="n">
        <f aca="false">Funding!$F$76-SUM($J$8:AN$8)</f>
        <v>414.055674507265</v>
      </c>
      <c r="AO11" s="11" t="n">
        <f aca="false">Funding!$F$76-SUM($J$8:AO$8)</f>
        <v>398.027712913435</v>
      </c>
      <c r="AP11" s="11" t="n">
        <f aca="false">Funding!$F$76-SUM($J$8:AP$8)</f>
        <v>381.999751319605</v>
      </c>
      <c r="AQ11" s="11" t="n">
        <f aca="false">Funding!$F$76-SUM($J$8:AQ$8)</f>
        <v>365.971789725776</v>
      </c>
      <c r="AR11" s="11" t="n">
        <f aca="false">Funding!$F$76-SUM($J$8:AR$8)</f>
        <v>349.943828131946</v>
      </c>
      <c r="AS11" s="11" t="n">
        <f aca="false">Funding!$F$76-SUM($J$8:AS$8)</f>
        <v>333.915866538117</v>
      </c>
      <c r="AT11" s="11" t="n">
        <f aca="false">Funding!$F$76-SUM($J$8:AT$8)</f>
        <v>317.887904944287</v>
      </c>
      <c r="AU11" s="11" t="n">
        <f aca="false">Funding!$F$76-SUM($J$8:AU$8)</f>
        <v>301.859943350457</v>
      </c>
      <c r="AV11" s="11" t="n">
        <f aca="false">Funding!$F$76-SUM($J$8:AV$8)</f>
        <v>285.831981756628</v>
      </c>
      <c r="AW11" s="11" t="n">
        <f aca="false">Funding!$F$76-SUM($J$8:AW$8)</f>
        <v>269.804020162798</v>
      </c>
      <c r="AX11" s="11" t="n">
        <f aca="false">Funding!$F$76-SUM($J$8:AX$8)</f>
        <v>253.776058568969</v>
      </c>
      <c r="AY11" s="11" t="n">
        <f aca="false">Funding!$F$76-SUM($J$8:AY$8)</f>
        <v>237.748096975139</v>
      </c>
      <c r="AZ11" s="11" t="n">
        <f aca="false">Funding!$F$76-SUM($J$8:AZ$8)</f>
        <v>221.720135381309</v>
      </c>
      <c r="BA11" s="11" t="n">
        <f aca="false">Funding!$F$76-SUM($J$8:BA$8)</f>
        <v>205.69217378748</v>
      </c>
      <c r="BB11" s="11" t="n">
        <f aca="false">Funding!$F$76-SUM($J$8:BB$8)</f>
        <v>189.66421219365</v>
      </c>
      <c r="BC11" s="11" t="n">
        <f aca="false">Funding!$F$76-SUM($J$8:BC$8)</f>
        <v>173.636250599821</v>
      </c>
      <c r="BD11" s="11" t="n">
        <f aca="false">Funding!$F$76-SUM($J$8:BD$8)</f>
        <v>157.608289005991</v>
      </c>
      <c r="BE11" s="11" t="n">
        <f aca="false">Funding!$F$76-SUM($J$8:BE$8)</f>
        <v>141.580327412162</v>
      </c>
      <c r="BF11" s="11" t="n">
        <f aca="false">Funding!$F$76-SUM($J$8:BF$8)</f>
        <v>125.552365818332</v>
      </c>
      <c r="BG11" s="11" t="n">
        <f aca="false">Funding!$F$76-SUM($J$8:BG$8)</f>
        <v>109.524404224502</v>
      </c>
      <c r="BH11" s="11" t="n">
        <f aca="false">Funding!$F$76-SUM($J$8:BH$8)</f>
        <v>93.4964426306727</v>
      </c>
      <c r="BI11" s="11" t="n">
        <f aca="false">Funding!$F$76-SUM($J$8:BI$8)</f>
        <v>77.4684810368432</v>
      </c>
      <c r="BJ11" s="11" t="n">
        <f aca="false">Funding!$F$76-SUM($J$8:BJ$8)</f>
        <v>61.4405194430135</v>
      </c>
      <c r="BK11" s="11" t="n">
        <f aca="false">Funding!$F$76-SUM($J$8:BK$8)</f>
        <v>45.4125578491839</v>
      </c>
      <c r="BL11" s="11" t="n">
        <f aca="false">Funding!$F$76-SUM($J$8:BL$8)</f>
        <v>29.3845962553544</v>
      </c>
      <c r="BM11" s="11" t="n">
        <f aca="false">Funding!$F$76-SUM($J$8:BM$8)</f>
        <v>13.3566346615247</v>
      </c>
      <c r="BN11" s="11" t="n">
        <f aca="false">Funding!$F$76-SUM($J$8:BN$8)</f>
        <v>0</v>
      </c>
    </row>
    <row r="12" customFormat="false" ht="15" hidden="false" customHeight="false" outlineLevel="0" collapsed="false">
      <c r="D12" s="0" t="s">
        <v>769</v>
      </c>
      <c r="E12" s="0" t="s">
        <v>149</v>
      </c>
      <c r="J12" s="11" t="n">
        <f aca="false">IF(Time!J17&gt;=Time!$F$11,Inputs!$F$184/100*(J11-J10-Tax!J21),0)</f>
        <v>0</v>
      </c>
      <c r="K12" s="11" t="n">
        <f aca="false">IF(Time!K17&gt;=Time!$F$11,Inputs!$F$184/100*(K11-K10-Tax!K21),0)</f>
        <v>0</v>
      </c>
      <c r="L12" s="11" t="n">
        <f aca="false">IF(Time!L17&gt;=Time!$F$11,Inputs!$F$184/100*(L11-L10-Tax!L21),0)</f>
        <v>0</v>
      </c>
      <c r="M12" s="11" t="n">
        <f aca="false">IF(Time!M17&gt;=Time!$F$11,Inputs!$F$184/100*(M11-M10-Tax!M21),0)</f>
        <v>0</v>
      </c>
      <c r="N12" s="11" t="n">
        <f aca="false">IF(Time!N17&gt;=Time!$F$11,Inputs!$F$184/100*(N11-N10-Tax!N21),0)</f>
        <v>0</v>
      </c>
      <c r="O12" s="11" t="n">
        <f aca="false">IF(Time!O17&gt;=Time!$F$11,Inputs!$F$184/100*(O11-O10-Tax!O21),0)</f>
        <v>0</v>
      </c>
      <c r="P12" s="11" t="n">
        <f aca="false">IF(Time!P17&gt;=Time!$F$11,Inputs!$F$184/100*(P11-P10-Tax!P21),0)</f>
        <v>-0.80139807969149</v>
      </c>
      <c r="Q12" s="11" t="n">
        <f aca="false">IF(Time!Q17&gt;=Time!$F$11,Inputs!$F$184/100*(Q11-Q10-Tax!Q21),0)</f>
        <v>-5.60978655784036</v>
      </c>
      <c r="R12" s="11" t="n">
        <f aca="false">IF(Time!R17&gt;=Time!$F$11,Inputs!$F$184/100*(R11-R10-Tax!R21),0)</f>
        <v>-10.4181750359892</v>
      </c>
      <c r="S12" s="11" t="n">
        <f aca="false">IF(Time!S17&gt;=Time!$F$11,Inputs!$F$184/100*(S11-S10-Tax!S21),0)</f>
        <v>-15.2265635141381</v>
      </c>
      <c r="T12" s="11" t="n">
        <f aca="false">IF(Time!T17&gt;=Time!$F$11,Inputs!$F$184/100*(T11-T10-Tax!T21),0)</f>
        <v>-20.034951992287</v>
      </c>
      <c r="U12" s="11" t="n">
        <f aca="false">IF(Time!U17&gt;=Time!$F$11,Inputs!$F$184/100*(U11-U10-Tax!U21),0)</f>
        <v>-24.8433404704358</v>
      </c>
      <c r="V12" s="11" t="n">
        <f aca="false">IF(Time!V17&gt;=Time!$F$11,Inputs!$F$184/100*(V11-V10-Tax!V21),0)</f>
        <v>-29.6517289485848</v>
      </c>
      <c r="W12" s="11" t="n">
        <f aca="false">IF(Time!W17&gt;=Time!$F$11,Inputs!$F$184/100*(W11-W10-Tax!W21),0)</f>
        <v>-34.4601174267336</v>
      </c>
      <c r="X12" s="11" t="n">
        <f aca="false">IF(Time!X17&gt;=Time!$F$11,Inputs!$F$184/100*(X11-X10-Tax!X21),0)</f>
        <v>-39.2685059048825</v>
      </c>
      <c r="Y12" s="11" t="n">
        <f aca="false">IF(Time!Y17&gt;=Time!$F$11,Inputs!$F$184/100*(Y11-Y10-Tax!Y21),0)</f>
        <v>-44.0768943830314</v>
      </c>
      <c r="Z12" s="11" t="n">
        <f aca="false">IF(Time!Z17&gt;=Time!$F$11,Inputs!$F$184/100*(Z11-Z10-Tax!Z21),0)</f>
        <v>-47.4826025230077</v>
      </c>
      <c r="AA12" s="11" t="n">
        <f aca="false">IF(Time!AA17&gt;=Time!$F$11,Inputs!$F$184/100*(AA11-AA10-Tax!AA21),0)</f>
        <v>-43.4371043594288</v>
      </c>
      <c r="AB12" s="11" t="n">
        <f aca="false">IF(Time!AB17&gt;=Time!$F$11,Inputs!$F$184/100*(AB11-AB10-Tax!AB21),0)</f>
        <v>-39.0919849221963</v>
      </c>
      <c r="AC12" s="11" t="n">
        <f aca="false">IF(Time!AC17&gt;=Time!$F$11,Inputs!$F$184/100*(AC11-AC10-Tax!AC21),0)</f>
        <v>-34.3578505806912</v>
      </c>
      <c r="AD12" s="11" t="n">
        <f aca="false">IF(Time!AD17&gt;=Time!$F$11,Inputs!$F$184/100*(AD11-AD10-Tax!AD21),0)</f>
        <v>-29.2614349793358</v>
      </c>
      <c r="AE12" s="11" t="n">
        <f aca="false">IF(Time!AE17&gt;=Time!$F$11,Inputs!$F$184/100*(AE11-AE10-Tax!AE21),0)</f>
        <v>-27.9442860590059</v>
      </c>
      <c r="AF12" s="11" t="n">
        <f aca="false">IF(Time!AF17&gt;=Time!$F$11,Inputs!$F$184/100*(AF11-AF10-Tax!AF21),0)</f>
        <v>-22.0822592912733</v>
      </c>
      <c r="AG12" s="11" t="n">
        <f aca="false">IF(Time!AG17&gt;=Time!$F$11,Inputs!$F$184/100*(AG11-AG10-Tax!AG21),0)</f>
        <v>-15.7150904768144</v>
      </c>
      <c r="AH12" s="11" t="n">
        <f aca="false">IF(Time!AH17&gt;=Time!$F$11,Inputs!$F$184/100*(AH11-AH10-Tax!AH21),0)</f>
        <v>-8.92063133990656</v>
      </c>
      <c r="AI12" s="11" t="n">
        <f aca="false">IF(Time!AI17&gt;=Time!$F$11,Inputs!$F$184/100*(AI11-AI10-Tax!AI21),0)</f>
        <v>-1.60458017039617</v>
      </c>
      <c r="AJ12" s="11" t="n">
        <f aca="false">IF(Time!AJ17&gt;=Time!$F$11,Inputs!$F$184/100*(AJ11-AJ10-Tax!AJ21),0)</f>
        <v>6.18333195429828</v>
      </c>
      <c r="AK12" s="11" t="n">
        <f aca="false">IF(Time!AK17&gt;=Time!$F$11,Inputs!$F$184/100*(AK11-AK10-Tax!AK21),0)</f>
        <v>14.4890338533349</v>
      </c>
      <c r="AL12" s="11" t="n">
        <f aca="false">IF(Time!AL17&gt;=Time!$F$11,Inputs!$F$184/100*(AL11-AL10-Tax!AL21),0)</f>
        <v>23.2318183795408</v>
      </c>
      <c r="AM12" s="11" t="n">
        <f aca="false">IF(Time!AM17&gt;=Time!$F$11,Inputs!$F$184/100*(AM11-AM10-Tax!AM21),0)</f>
        <v>29.4914493326465</v>
      </c>
      <c r="AN12" s="11" t="n">
        <f aca="false">IF(Time!AN17&gt;=Time!$F$11,Inputs!$F$184/100*(AN11-AN10-Tax!AN21),0)</f>
        <v>30.4531270282762</v>
      </c>
      <c r="AO12" s="11" t="n">
        <f aca="false">IF(Time!AO17&gt;=Time!$F$11,Inputs!$F$184/100*(AO11-AO10-Tax!AO21),0)</f>
        <v>31.414804723906</v>
      </c>
      <c r="AP12" s="11" t="n">
        <f aca="false">IF(Time!AP17&gt;=Time!$F$11,Inputs!$F$184/100*(AP11-AP10-Tax!AP21),0)</f>
        <v>32.3764824195358</v>
      </c>
      <c r="AQ12" s="11" t="n">
        <f aca="false">IF(Time!AQ17&gt;=Time!$F$11,Inputs!$F$184/100*(AQ11-AQ10-Tax!AQ21),0)</f>
        <v>33.3381601151656</v>
      </c>
      <c r="AR12" s="11" t="n">
        <f aca="false">IF(Time!AR17&gt;=Time!$F$11,Inputs!$F$184/100*(AR11-AR10-Tax!AR21),0)</f>
        <v>34.2998378107953</v>
      </c>
      <c r="AS12" s="11" t="n">
        <f aca="false">IF(Time!AS17&gt;=Time!$F$11,Inputs!$F$184/100*(AS11-AS10-Tax!AS21),0)</f>
        <v>35.2615155064251</v>
      </c>
      <c r="AT12" s="11" t="n">
        <f aca="false">IF(Time!AT17&gt;=Time!$F$11,Inputs!$F$184/100*(AT11-AT10-Tax!AT21),0)</f>
        <v>36.2231932020549</v>
      </c>
      <c r="AU12" s="11" t="n">
        <f aca="false">IF(Time!AU17&gt;=Time!$F$11,Inputs!$F$184/100*(AU11-AU10-Tax!AU21),0)</f>
        <v>37.1848708976847</v>
      </c>
      <c r="AV12" s="11" t="n">
        <f aca="false">IF(Time!AV17&gt;=Time!$F$11,Inputs!$F$184/100*(AV11-AV10-Tax!AV21),0)</f>
        <v>38.1465485933144</v>
      </c>
      <c r="AW12" s="11" t="n">
        <f aca="false">IF(Time!AW17&gt;=Time!$F$11,Inputs!$F$184/100*(AW11-AW10-Tax!AW21),0)</f>
        <v>39.1082262889442</v>
      </c>
      <c r="AX12" s="11" t="n">
        <f aca="false">IF(Time!AX17&gt;=Time!$F$11,Inputs!$F$184/100*(AX11-AX10-Tax!AX21),0)</f>
        <v>40.069903984574</v>
      </c>
      <c r="AY12" s="11" t="n">
        <f aca="false">IF(Time!AY17&gt;=Time!$F$11,Inputs!$F$184/100*(AY11-AY10-Tax!AY21),0)</f>
        <v>41.0315816802038</v>
      </c>
      <c r="AZ12" s="11" t="n">
        <f aca="false">IF(Time!AZ17&gt;=Time!$F$11,Inputs!$F$184/100*(AZ11-AZ10-Tax!AZ21),0)</f>
        <v>41.9932593758335</v>
      </c>
      <c r="BA12" s="11" t="n">
        <f aca="false">IF(Time!BA17&gt;=Time!$F$11,Inputs!$F$184/100*(BA11-BA10-Tax!BA21),0)</f>
        <v>42.9549370714633</v>
      </c>
      <c r="BB12" s="11" t="n">
        <f aca="false">IF(Time!BB17&gt;=Time!$F$11,Inputs!$F$184/100*(BB11-BB10-Tax!BB21),0)</f>
        <v>43.9166147670931</v>
      </c>
      <c r="BC12" s="11" t="n">
        <f aca="false">IF(Time!BC17&gt;=Time!$F$11,Inputs!$F$184/100*(BC11-BC10-Tax!BC21),0)</f>
        <v>44.8782924627229</v>
      </c>
      <c r="BD12" s="11" t="n">
        <f aca="false">IF(Time!BD17&gt;=Time!$F$11,Inputs!$F$184/100*(BD11-BD10-Tax!BD21),0)</f>
        <v>44.9183623667074</v>
      </c>
      <c r="BE12" s="11" t="n">
        <f aca="false">IF(Time!BE17&gt;=Time!$F$11,Inputs!$F$184/100*(BE11-BE10-Tax!BE21),0)</f>
        <v>40.350393312466</v>
      </c>
      <c r="BF12" s="11" t="n">
        <f aca="false">IF(Time!BF17&gt;=Time!$F$11,Inputs!$F$184/100*(BF11-BF10-Tax!BF21),0)</f>
        <v>35.7824242582246</v>
      </c>
      <c r="BG12" s="11" t="n">
        <f aca="false">IF(Time!BG17&gt;=Time!$F$11,Inputs!$F$184/100*(BG11-BG10-Tax!BG21),0)</f>
        <v>31.2144552039831</v>
      </c>
      <c r="BH12" s="11" t="n">
        <f aca="false">IF(Time!BH17&gt;=Time!$F$11,Inputs!$F$184/100*(BH11-BH10-Tax!BH21),0)</f>
        <v>26.6464861497417</v>
      </c>
      <c r="BI12" s="11" t="n">
        <f aca="false">IF(Time!BI17&gt;=Time!$F$11,Inputs!$F$184/100*(BI11-BI10-Tax!BI21),0)</f>
        <v>22.0785170955003</v>
      </c>
      <c r="BJ12" s="11" t="n">
        <f aca="false">IF(Time!BJ17&gt;=Time!$F$11,Inputs!$F$184/100*(BJ11-BJ10-Tax!BJ21),0)</f>
        <v>17.5105480412588</v>
      </c>
      <c r="BK12" s="11" t="n">
        <f aca="false">IF(Time!BK17&gt;=Time!$F$11,Inputs!$F$184/100*(BK11-BK10-Tax!BK21),0)</f>
        <v>12.9425789870174</v>
      </c>
      <c r="BL12" s="11" t="n">
        <f aca="false">IF(Time!BL17&gt;=Time!$F$11,Inputs!$F$184/100*(BL11-BL10-Tax!BL21),0)</f>
        <v>8.374609932776</v>
      </c>
      <c r="BM12" s="11" t="n">
        <f aca="false">IF(Time!BM17&gt;=Time!$F$11,Inputs!$F$184/100*(BM11-BM10-Tax!BM21),0)</f>
        <v>3.80664087853454</v>
      </c>
      <c r="BN12" s="11" t="n">
        <f aca="false">IF(Time!BN17&gt;=Time!$F$11,Inputs!$F$184/100*(BN11-BN10-Tax!BN21),0)</f>
        <v>0</v>
      </c>
    </row>
    <row r="13" customFormat="false" ht="15" hidden="false" customHeight="false" outlineLevel="0" collapsed="false">
      <c r="D13" s="0" t="s">
        <v>770</v>
      </c>
      <c r="E13" s="0" t="s">
        <v>149</v>
      </c>
      <c r="G13" s="11" t="n">
        <f aca="false">SUM(J13:BN13)</f>
        <v>0</v>
      </c>
      <c r="J13" s="11" t="n">
        <f aca="false">J12-0</f>
        <v>0</v>
      </c>
      <c r="K13" s="11" t="n">
        <f aca="false">K12-J12</f>
        <v>0</v>
      </c>
      <c r="L13" s="11" t="n">
        <f aca="false">L12-K12</f>
        <v>0</v>
      </c>
      <c r="M13" s="11" t="n">
        <f aca="false">M12-L12</f>
        <v>0</v>
      </c>
      <c r="N13" s="11" t="n">
        <f aca="false">N12-M12</f>
        <v>0</v>
      </c>
      <c r="O13" s="11" t="n">
        <f aca="false">O12-N12</f>
        <v>0</v>
      </c>
      <c r="P13" s="11" t="n">
        <f aca="false">P12-O12</f>
        <v>-0.80139807969149</v>
      </c>
      <c r="Q13" s="11" t="n">
        <f aca="false">Q12-P12</f>
        <v>-4.80838847814887</v>
      </c>
      <c r="R13" s="11" t="n">
        <f aca="false">R12-Q12</f>
        <v>-4.80838847814887</v>
      </c>
      <c r="S13" s="11" t="n">
        <f aca="false">S12-R12</f>
        <v>-4.80838847814891</v>
      </c>
      <c r="T13" s="11" t="n">
        <f aca="false">T12-S12</f>
        <v>-4.80838847814884</v>
      </c>
      <c r="U13" s="11" t="n">
        <f aca="false">U12-T12</f>
        <v>-4.80838847814887</v>
      </c>
      <c r="V13" s="11" t="n">
        <f aca="false">V12-U12</f>
        <v>-4.80838847814891</v>
      </c>
      <c r="W13" s="11" t="n">
        <f aca="false">W12-V12</f>
        <v>-4.80838847814888</v>
      </c>
      <c r="X13" s="11" t="n">
        <f aca="false">X12-W12</f>
        <v>-4.80838847814886</v>
      </c>
      <c r="Y13" s="11" t="n">
        <f aca="false">Y12-X12</f>
        <v>-4.80838847814887</v>
      </c>
      <c r="Z13" s="11" t="n">
        <f aca="false">Z12-Y12</f>
        <v>-3.40570813997631</v>
      </c>
      <c r="AA13" s="11" t="n">
        <f aca="false">AA12-Z12</f>
        <v>4.04549816357888</v>
      </c>
      <c r="AB13" s="11" t="n">
        <f aca="false">AB12-AA12</f>
        <v>4.34511943723247</v>
      </c>
      <c r="AC13" s="11" t="n">
        <f aca="false">AC12-AB12</f>
        <v>4.73413434150508</v>
      </c>
      <c r="AD13" s="11" t="n">
        <f aca="false">AD12-AC12</f>
        <v>5.09641560135544</v>
      </c>
      <c r="AE13" s="11" t="n">
        <f aca="false">AE12-AD12</f>
        <v>1.3171489203299</v>
      </c>
      <c r="AF13" s="11" t="n">
        <f aca="false">AF12-AE12</f>
        <v>5.86202676773258</v>
      </c>
      <c r="AG13" s="11" t="n">
        <f aca="false">AG12-AF12</f>
        <v>6.36716881445889</v>
      </c>
      <c r="AH13" s="11" t="n">
        <f aca="false">AH12-AG12</f>
        <v>6.79445913690788</v>
      </c>
      <c r="AI13" s="11" t="n">
        <f aca="false">AI12-AH12</f>
        <v>7.31605116951039</v>
      </c>
      <c r="AJ13" s="11" t="n">
        <f aca="false">AJ12-AI12</f>
        <v>7.78791212469445</v>
      </c>
      <c r="AK13" s="11" t="n">
        <f aca="false">AK12-AJ12</f>
        <v>8.30570189903661</v>
      </c>
      <c r="AL13" s="11" t="n">
        <f aca="false">AL12-AK12</f>
        <v>8.74278452620594</v>
      </c>
      <c r="AM13" s="11" t="n">
        <f aca="false">AM12-AL12</f>
        <v>6.25963095310563</v>
      </c>
      <c r="AN13" s="11" t="n">
        <f aca="false">AN12-AM12</f>
        <v>0.961677695629778</v>
      </c>
      <c r="AO13" s="11" t="n">
        <f aca="false">AO12-AN12</f>
        <v>0.961677695629778</v>
      </c>
      <c r="AP13" s="11" t="n">
        <f aca="false">AP12-AO12</f>
        <v>0.961677695629756</v>
      </c>
      <c r="AQ13" s="11" t="n">
        <f aca="false">AQ12-AP12</f>
        <v>0.961677695629781</v>
      </c>
      <c r="AR13" s="11" t="n">
        <f aca="false">AR12-AQ12</f>
        <v>0.961677695629795</v>
      </c>
      <c r="AS13" s="11" t="n">
        <f aca="false">AS12-AR12</f>
        <v>0.961677695629774</v>
      </c>
      <c r="AT13" s="11" t="n">
        <f aca="false">AT12-AS12</f>
        <v>0.961677695629774</v>
      </c>
      <c r="AU13" s="11" t="n">
        <f aca="false">AU12-AT12</f>
        <v>0.96167769562976</v>
      </c>
      <c r="AV13" s="11" t="n">
        <f aca="false">AV12-AU12</f>
        <v>0.961677695629781</v>
      </c>
      <c r="AW13" s="11" t="n">
        <f aca="false">AW12-AV12</f>
        <v>0.961677695629795</v>
      </c>
      <c r="AX13" s="11" t="n">
        <f aca="false">AX12-AW12</f>
        <v>0.961677695629788</v>
      </c>
      <c r="AY13" s="11" t="n">
        <f aca="false">AY12-AX12</f>
        <v>0.96167769562976</v>
      </c>
      <c r="AZ13" s="11" t="n">
        <f aca="false">AZ12-AY12</f>
        <v>0.96167769562976</v>
      </c>
      <c r="BA13" s="11" t="n">
        <f aca="false">BA12-AZ12</f>
        <v>0.961677695629795</v>
      </c>
      <c r="BB13" s="11" t="n">
        <f aca="false">BB12-BA12</f>
        <v>0.961677695629795</v>
      </c>
      <c r="BC13" s="11" t="n">
        <f aca="false">BC12-BB12</f>
        <v>0.96167769562976</v>
      </c>
      <c r="BD13" s="11" t="n">
        <f aca="false">BD12-BC12</f>
        <v>0.0400699039845307</v>
      </c>
      <c r="BE13" s="11" t="n">
        <f aca="false">BE12-BD12</f>
        <v>-4.56796905424139</v>
      </c>
      <c r="BF13" s="11" t="n">
        <f aca="false">BF12-BE12</f>
        <v>-4.56796905424147</v>
      </c>
      <c r="BG13" s="11" t="n">
        <f aca="false">BG12-BF12</f>
        <v>-4.56796905424143</v>
      </c>
      <c r="BH13" s="11" t="n">
        <f aca="false">BH12-BG12</f>
        <v>-4.56796905424143</v>
      </c>
      <c r="BI13" s="11" t="n">
        <f aca="false">BI12-BH12</f>
        <v>-4.56796905424143</v>
      </c>
      <c r="BJ13" s="11" t="n">
        <f aca="false">BJ12-BI12</f>
        <v>-4.56796905424146</v>
      </c>
      <c r="BK13" s="11" t="n">
        <f aca="false">BK12-BJ12</f>
        <v>-4.56796905424139</v>
      </c>
      <c r="BL13" s="11" t="n">
        <f aca="false">BL12-BK12</f>
        <v>-4.56796905424143</v>
      </c>
      <c r="BM13" s="11" t="n">
        <f aca="false">BM12-BL12</f>
        <v>-4.56796905424146</v>
      </c>
      <c r="BN13" s="11" t="n">
        <f aca="false">BN12-BM12</f>
        <v>-3.80664087853454</v>
      </c>
    </row>
    <row r="14" customFormat="false" ht="15" hidden="false" customHeight="false" outlineLevel="0" collapsed="false">
      <c r="D14" s="0" t="s">
        <v>771</v>
      </c>
      <c r="E14" s="0" t="s">
        <v>149</v>
      </c>
      <c r="G14" s="11" t="n">
        <f aca="false">SUM(J14:BN14)</f>
        <v>964.687449919264</v>
      </c>
      <c r="J14" s="11" t="n">
        <f aca="false">Operations!J80-J8-J9-Tax!J27-J13</f>
        <v>0</v>
      </c>
      <c r="K14" s="11" t="n">
        <f aca="false">Operations!K80-K8-K9-Tax!K27-K13</f>
        <v>0</v>
      </c>
      <c r="L14" s="11" t="n">
        <f aca="false">Operations!L80-L8-L9-Tax!L27-L13</f>
        <v>0</v>
      </c>
      <c r="M14" s="11" t="n">
        <f aca="false">Operations!M80-M8-M9-Tax!M27-M13</f>
        <v>0</v>
      </c>
      <c r="N14" s="11" t="n">
        <f aca="false">Operations!N80-N8-N9-Tax!N27-N13</f>
        <v>0</v>
      </c>
      <c r="O14" s="11" t="n">
        <f aca="false">Operations!O80-O8-O9-Tax!O27-O13</f>
        <v>0</v>
      </c>
      <c r="P14" s="11" t="n">
        <f aca="false">Operations!P80-P8-P9-Tax!P27-P13</f>
        <v>4.73405043393922</v>
      </c>
      <c r="Q14" s="11" t="n">
        <f aca="false">Operations!Q80-Q8-Q9-Tax!Q27-Q13</f>
        <v>9.35923812206979</v>
      </c>
      <c r="R14" s="11" t="n">
        <f aca="false">Operations!R80-R8-R9-Tax!R27-R13</f>
        <v>6.53937042265691</v>
      </c>
      <c r="S14" s="11" t="n">
        <f aca="false">Operations!S80-S8-S9-Tax!S27-S13</f>
        <v>3.13956737164227</v>
      </c>
      <c r="T14" s="11" t="n">
        <f aca="false">Operations!T80-T8-T9-Tax!T27-T13</f>
        <v>2.84952882993681</v>
      </c>
      <c r="U14" s="11" t="n">
        <f aca="false">Operations!U80-U8-U9-Tax!U27-U13</f>
        <v>6.68398902954388</v>
      </c>
      <c r="V14" s="11" t="n">
        <f aca="false">Operations!V80-V8-V9-Tax!V27-V13</f>
        <v>8.70164640242636</v>
      </c>
      <c r="W14" s="11" t="n">
        <f aca="false">Operations!W80-W8-W9-Tax!W27-W13</f>
        <v>10.40744060248</v>
      </c>
      <c r="X14" s="11" t="n">
        <f aca="false">Operations!X80-X8-X9-Tax!X27-X13</f>
        <v>14.3254705749081</v>
      </c>
      <c r="Y14" s="11" t="n">
        <f aca="false">Operations!Y80-Y8-Y9-Tax!Y27-Y13</f>
        <v>15.841247532446</v>
      </c>
      <c r="Z14" s="11" t="n">
        <f aca="false">Operations!Z80-Z8-Z9-Tax!Z27-Z13</f>
        <v>15.3687657430407</v>
      </c>
      <c r="AA14" s="11" t="n">
        <f aca="false">Operations!AA80-AA8-AA9-Tax!AA27-AA13</f>
        <v>9.06190351037474</v>
      </c>
      <c r="AB14" s="11" t="n">
        <f aca="false">Operations!AB80-AB8-AB9-Tax!AB27-AB13</f>
        <v>9.75869751142874</v>
      </c>
      <c r="AC14" s="11" t="n">
        <f aca="false">Operations!AC80-AC8-AC9-Tax!AC27-AC13</f>
        <v>10.6637782824376</v>
      </c>
      <c r="AD14" s="11" t="n">
        <f aca="false">Operations!AD80-AD8-AD9-Tax!AD27-AD13</f>
        <v>11.5074281740884</v>
      </c>
      <c r="AE14" s="11" t="n">
        <f aca="false">Operations!AE80-AE8-AE9-Tax!AE27-AE13</f>
        <v>2.69428153038561</v>
      </c>
      <c r="AF14" s="11" t="n">
        <f aca="false">Operations!AF80-AF8-AF9-Tax!AF27-AF13</f>
        <v>13.2933080159596</v>
      </c>
      <c r="AG14" s="11" t="n">
        <f aca="false">Operations!AG80-AG8-AG9-Tax!AG27-AG13</f>
        <v>14.4657823177526</v>
      </c>
      <c r="AH14" s="11" t="n">
        <f aca="false">Operations!AH80-AH8-AH9-Tax!AH27-AH13</f>
        <v>15.4607435055185</v>
      </c>
      <c r="AI14" s="11" t="n">
        <f aca="false">Operations!AI80-AI8-AI9-Tax!AI27-AI13</f>
        <v>16.676069493313</v>
      </c>
      <c r="AJ14" s="11" t="n">
        <f aca="false">Operations!AJ80-AJ8-AJ9-Tax!AJ27-AJ13</f>
        <v>17.7748114355399</v>
      </c>
      <c r="AK14" s="11" t="n">
        <f aca="false">Operations!AK80-AK8-AK9-Tax!AK27-AK13</f>
        <v>18.9803372199376</v>
      </c>
      <c r="AL14" s="11" t="n">
        <f aca="false">Operations!AL80-AL8-AL9-Tax!AL27-AL13</f>
        <v>19.9982839937147</v>
      </c>
      <c r="AM14" s="11" t="n">
        <f aca="false">Operations!AM80-AM8-AM9-Tax!AM27-AM13</f>
        <v>18.8313109917478</v>
      </c>
      <c r="AN14" s="11" t="n">
        <f aca="false">Operations!AN80-AN8-AN9-Tax!AN27-AN13</f>
        <v>21.7741093279581</v>
      </c>
      <c r="AO14" s="11" t="n">
        <f aca="false">Operations!AO80-AO8-AO9-Tax!AO27-AO13</f>
        <v>22.2151891454616</v>
      </c>
      <c r="AP14" s="11" t="n">
        <f aca="false">Operations!AP80-AP8-AP9-Tax!AP27-AP13</f>
        <v>22.7619249898303</v>
      </c>
      <c r="AQ14" s="11" t="n">
        <f aca="false">Operations!AQ80-AQ8-AQ9-Tax!AQ27-AQ13</f>
        <v>23.5126455852808</v>
      </c>
      <c r="AR14" s="11" t="n">
        <f aca="false">Operations!AR80-AR8-AR9-Tax!AR27-AR13</f>
        <v>24.2377994504799</v>
      </c>
      <c r="AS14" s="11" t="n">
        <f aca="false">Operations!AS80-AS8-AS9-Tax!AS27-AS13</f>
        <v>24.9576538037595</v>
      </c>
      <c r="AT14" s="11" t="n">
        <f aca="false">Operations!AT80-AT8-AT9-Tax!AT27-AT13</f>
        <v>25.7866741925575</v>
      </c>
      <c r="AU14" s="11" t="n">
        <f aca="false">Operations!AU80-AU8-AU9-Tax!AU27-AU13</f>
        <v>14.934062479072</v>
      </c>
      <c r="AV14" s="11" t="n">
        <f aca="false">Operations!AV80-AV8-AV9-Tax!AV27-AV13</f>
        <v>27.4983701954765</v>
      </c>
      <c r="AW14" s="11" t="n">
        <f aca="false">Operations!AW80-AW8-AW9-Tax!AW27-AW13</f>
        <v>27.6240545900855</v>
      </c>
      <c r="AX14" s="11" t="n">
        <f aca="false">Operations!AX80-AX8-AX9-Tax!AX27-AX13</f>
        <v>27.7523017112203</v>
      </c>
      <c r="AY14" s="11" t="n">
        <f aca="false">Operations!AY80-AY8-AY9-Tax!AY27-AY13</f>
        <v>27.908956349033</v>
      </c>
      <c r="AZ14" s="11" t="n">
        <f aca="false">Operations!AZ80-AZ8-AZ9-Tax!AZ27-AZ13</f>
        <v>28.0230921609438</v>
      </c>
      <c r="BA14" s="11" t="n">
        <f aca="false">Operations!BA80-BA8-BA9-Tax!BA27-BA13</f>
        <v>28.0939438137651</v>
      </c>
      <c r="BB14" s="11" t="n">
        <f aca="false">Operations!BB80-BB8-BB9-Tax!BB27-BB13</f>
        <v>28.2513249021075</v>
      </c>
      <c r="BC14" s="11" t="n">
        <f aca="false">Operations!BC80-BC8-BC9-Tax!BC27-BC13</f>
        <v>25.7256728175568</v>
      </c>
      <c r="BD14" s="11" t="n">
        <f aca="false">Operations!BD80-BD8-BD9-Tax!BD27-BD13</f>
        <v>28.6302973178953</v>
      </c>
      <c r="BE14" s="11" t="n">
        <f aca="false">Operations!BE80-BE8-BE9-Tax!BE27-BE13</f>
        <v>28.5840296668968</v>
      </c>
      <c r="BF14" s="11" t="n">
        <f aca="false">Operations!BF80-BF8-BF9-Tax!BF27-BF13</f>
        <v>28.7243469141526</v>
      </c>
      <c r="BG14" s="11" t="n">
        <f aca="false">Operations!BG80-BG8-BG9-Tax!BG27-BG13</f>
        <v>28.8953058326171</v>
      </c>
      <c r="BH14" s="11" t="n">
        <f aca="false">Operations!BH80-BH8-BH9-Tax!BH27-BH13</f>
        <v>29.0198432447832</v>
      </c>
      <c r="BI14" s="11" t="n">
        <f aca="false">Operations!BI80-BI8-BI9-Tax!BI27-BI13</f>
        <v>29.0951927531422</v>
      </c>
      <c r="BJ14" s="11" t="n">
        <f aca="false">Operations!BJ80-BJ8-BJ9-Tax!BJ27-BJ13</f>
        <v>29.2891949400419</v>
      </c>
      <c r="BK14" s="11" t="n">
        <f aca="false">Operations!BK80-BK8-BK9-Tax!BK27-BK13</f>
        <v>15.5181162117992</v>
      </c>
      <c r="BL14" s="11" t="n">
        <f aca="false">Operations!BL80-BL8-BL9-Tax!BL27-BL13</f>
        <v>29.5180355573765</v>
      </c>
      <c r="BM14" s="11" t="n">
        <f aca="false">Operations!BM80-BM8-BM9-Tax!BM27-BM13</f>
        <v>29.6283525083946</v>
      </c>
      <c r="BN14" s="11" t="n">
        <f aca="false">Operations!BN80-BN8-BN9-Tax!BN27-BN13</f>
        <v>9.60990841028761</v>
      </c>
    </row>
    <row r="15" customFormat="false" ht="15" hidden="false" customHeight="false" outlineLevel="0" collapsed="false">
      <c r="B15" s="2" t="s">
        <v>772</v>
      </c>
    </row>
    <row r="16" customFormat="false" ht="15" hidden="false" customHeight="false" outlineLevel="0" collapsed="false">
      <c r="D16" s="0" t="s">
        <v>773</v>
      </c>
      <c r="E16" s="0" t="s">
        <v>149</v>
      </c>
      <c r="J16" s="11" t="n">
        <f aca="false"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>136.50705706622</v>
      </c>
      <c r="K16" s="11" t="n">
        <f aca="false"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>202.108863315795</v>
      </c>
      <c r="L16" s="11" t="n">
        <f aca="false"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>330.036693187222</v>
      </c>
      <c r="M16" s="11" t="n">
        <f aca="false"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>492.61330040755</v>
      </c>
      <c r="N16" s="11" t="n">
        <f aca="false"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>644.256009207379</v>
      </c>
      <c r="O16" s="11" t="n">
        <f aca="false"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>746.293291115756</v>
      </c>
      <c r="P16" s="11" t="n">
        <f aca="false"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>798.726752759175</v>
      </c>
      <c r="Q16" s="11" t="n">
        <f aca="false"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>782.698791165345</v>
      </c>
      <c r="R16" s="11" t="n">
        <f aca="false"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>766.670829571516</v>
      </c>
      <c r="S16" s="11" t="n">
        <f aca="false"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>750.642867977686</v>
      </c>
      <c r="T16" s="11" t="n">
        <f aca="false"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>734.614906383857</v>
      </c>
      <c r="U16" s="11" t="n">
        <f aca="false"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>718.586944790027</v>
      </c>
      <c r="V16" s="11" t="n">
        <f aca="false"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>702.558983196197</v>
      </c>
      <c r="W16" s="11" t="n">
        <f aca="false"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>686.531021602368</v>
      </c>
      <c r="X16" s="11" t="n">
        <f aca="false"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>670.503060008538</v>
      </c>
      <c r="Y16" s="11" t="n">
        <f aca="false"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>654.475098414709</v>
      </c>
      <c r="Z16" s="11" t="n">
        <f aca="false"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>638.447136820879</v>
      </c>
      <c r="AA16" s="11" t="n">
        <f aca="false"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>622.419175227049</v>
      </c>
      <c r="AB16" s="11" t="n">
        <f aca="false"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>606.39121363322</v>
      </c>
      <c r="AC16" s="11" t="n">
        <f aca="false"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>590.36325203939</v>
      </c>
      <c r="AD16" s="11" t="n">
        <f aca="false"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>574.335290445561</v>
      </c>
      <c r="AE16" s="11" t="n">
        <f aca="false"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>558.307328851731</v>
      </c>
      <c r="AF16" s="11" t="n">
        <f aca="false"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>542.279367257901</v>
      </c>
      <c r="AG16" s="11" t="n">
        <f aca="false"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>526.251405664072</v>
      </c>
      <c r="AH16" s="11" t="n">
        <f aca="false"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>510.223444070242</v>
      </c>
      <c r="AI16" s="11" t="n">
        <f aca="false"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>494.195482476413</v>
      </c>
      <c r="AJ16" s="11" t="n">
        <f aca="false"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>478.167520882583</v>
      </c>
      <c r="AK16" s="11" t="n">
        <f aca="false"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>462.139559288753</v>
      </c>
      <c r="AL16" s="11" t="n">
        <f aca="false"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>446.111597694924</v>
      </c>
      <c r="AM16" s="11" t="n">
        <f aca="false"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>430.083636101094</v>
      </c>
      <c r="AN16" s="11" t="n">
        <f aca="false"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>414.055674507265</v>
      </c>
      <c r="AO16" s="11" t="n">
        <f aca="false"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>398.027712913435</v>
      </c>
      <c r="AP16" s="11" t="n">
        <f aca="false"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>381.999751319605</v>
      </c>
      <c r="AQ16" s="11" t="n">
        <f aca="false"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>365.971789725776</v>
      </c>
      <c r="AR16" s="11" t="n">
        <f aca="false"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>349.943828131946</v>
      </c>
      <c r="AS16" s="11" t="n">
        <f aca="false"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>333.915866538117</v>
      </c>
      <c r="AT16" s="11" t="n">
        <f aca="false"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>317.887904944287</v>
      </c>
      <c r="AU16" s="11" t="n">
        <f aca="false"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>301.859943350457</v>
      </c>
      <c r="AV16" s="11" t="n">
        <f aca="false"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>285.831981756628</v>
      </c>
      <c r="AW16" s="11" t="n">
        <f aca="false"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>269.804020162798</v>
      </c>
      <c r="AX16" s="11" t="n">
        <f aca="false"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>253.776058568969</v>
      </c>
      <c r="AY16" s="11" t="n">
        <f aca="false"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>237.748096975139</v>
      </c>
      <c r="AZ16" s="11" t="n">
        <f aca="false"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>221.720135381309</v>
      </c>
      <c r="BA16" s="11" t="n">
        <f aca="false"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>205.69217378748</v>
      </c>
      <c r="BB16" s="11" t="n">
        <f aca="false"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>189.66421219365</v>
      </c>
      <c r="BC16" s="11" t="n">
        <f aca="false"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>173.636250599821</v>
      </c>
      <c r="BD16" s="11" t="n">
        <f aca="false"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>157.608289005991</v>
      </c>
      <c r="BE16" s="11" t="n">
        <f aca="false"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>141.580327412162</v>
      </c>
      <c r="BF16" s="11" t="n">
        <f aca="false"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>125.552365818332</v>
      </c>
      <c r="BG16" s="11" t="n">
        <f aca="false"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>109.524404224502</v>
      </c>
      <c r="BH16" s="11" t="n">
        <f aca="false"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>93.4964426306727</v>
      </c>
      <c r="BI16" s="11" t="n">
        <f aca="false"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>77.4684810368432</v>
      </c>
      <c r="BJ16" s="11" t="n">
        <f aca="false"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>61.4405194430135</v>
      </c>
      <c r="BK16" s="11" t="n">
        <f aca="false"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>45.4125578491839</v>
      </c>
      <c r="BL16" s="11" t="n">
        <f aca="false"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>29.3845962553544</v>
      </c>
      <c r="BM16" s="11" t="n">
        <f aca="false"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>13.3566346615247</v>
      </c>
      <c r="BN16" s="11" t="n">
        <f aca="false"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>0</v>
      </c>
    </row>
    <row r="17" customFormat="false" ht="15" hidden="false" customHeight="false" outlineLevel="0" collapsed="false">
      <c r="D17" s="0" t="s">
        <v>774</v>
      </c>
      <c r="E17" s="0" t="s">
        <v>149</v>
      </c>
      <c r="J17" s="11" t="n">
        <f aca="false">Reserves!J13+Reserves!J8+Reserves!J16+Waterfall!J30+Waterfall!J42+Reserves!J17+IF(Time!J17&lt;Time!$F$11,SUMIFS(Funding!$J$52:$BJ$52,Construction!$J$12:$BJ$12,"&lt;="&amp;Time!J17)-SUMIFS(Funding!$J$53:$BJ$53,Construction!$J$12:$BJ$12,"&lt;="&amp;Time!J17),0)</f>
        <v>0</v>
      </c>
      <c r="K17" s="11" t="n">
        <f aca="false">Reserves!K13+Reserves!K8+Reserves!K16+Waterfall!K30+Waterfall!K42+Reserves!K17+IF(Time!K17&lt;Time!$F$11,SUMIFS(Funding!$J$52:$BJ$52,Construction!$J$12:$BJ$12,"&lt;="&amp;Time!K17)-SUMIFS(Funding!$J$53:$BJ$53,Construction!$J$12:$BJ$12,"&lt;="&amp;Time!K17),0)</f>
        <v>0</v>
      </c>
      <c r="L17" s="11" t="n">
        <f aca="false">Reserves!L13+Reserves!L8+Reserves!L16+Waterfall!L30+Waterfall!L42+Reserves!L17+IF(Time!L17&lt;Time!$F$11,SUMIFS(Funding!$J$52:$BJ$52,Construction!$J$12:$BJ$12,"&lt;="&amp;Time!L17)-SUMIFS(Funding!$J$53:$BJ$53,Construction!$J$12:$BJ$12,"&lt;="&amp;Time!L17),0)</f>
        <v>0</v>
      </c>
      <c r="M17" s="11" t="n">
        <f aca="false">Reserves!M13+Reserves!M8+Reserves!M16+Waterfall!M30+Waterfall!M42+Reserves!M17+IF(Time!M17&lt;Time!$F$11,SUMIFS(Funding!$J$52:$BJ$52,Construction!$J$12:$BJ$12,"&lt;="&amp;Time!M17)-SUMIFS(Funding!$J$53:$BJ$53,Construction!$J$12:$BJ$12,"&lt;="&amp;Time!M17),0)</f>
        <v>0</v>
      </c>
      <c r="N17" s="11" t="n">
        <f aca="false">Reserves!N13+Reserves!N8+Reserves!N16+Waterfall!N30+Waterfall!N42+Reserves!N17+IF(Time!N17&lt;Time!$F$11,SUMIFS(Funding!$J$52:$BJ$52,Construction!$J$12:$BJ$12,"&lt;="&amp;Time!N17)-SUMIFS(Funding!$J$53:$BJ$53,Construction!$J$12:$BJ$12,"&lt;="&amp;Time!N17),0)</f>
        <v>0</v>
      </c>
      <c r="O17" s="11" t="n">
        <f aca="false">Reserves!O13+Reserves!O8+Reserves!O16+Waterfall!O30+Waterfall!O42+Reserves!O17+IF(Time!O17&lt;Time!$F$11,SUMIFS(Funding!$J$52:$BJ$52,Construction!$J$12:$BJ$12,"&lt;="&amp;Time!O17)-SUMIFS(Funding!$J$53:$BJ$53,Construction!$J$12:$BJ$12,"&lt;="&amp;Time!O17),0)</f>
        <v>0</v>
      </c>
      <c r="P17" s="11" t="n">
        <f aca="false">Reserves!P13+Reserves!P8+Reserves!P16+Waterfall!P30+Waterfall!P42+Reserves!P17+IF(Time!P17&lt;Time!$F$11,SUMIFS(Funding!$J$52:$BJ$52,Construction!$J$12:$BJ$12,"&lt;="&amp;Time!P17)-SUMIFS(Funding!$J$53:$BJ$53,Construction!$J$12:$BJ$12,"&lt;="&amp;Time!P17),0)</f>
        <v>63.2539011159893</v>
      </c>
      <c r="Q17" s="11" t="n">
        <f aca="false">Reserves!Q13+Reserves!Q8+Reserves!Q16+Waterfall!Q30+Waterfall!Q42+Reserves!Q17+IF(Time!Q17&lt;Time!$F$11,SUMIFS(Funding!$J$52:$BJ$52,Construction!$J$12:$BJ$12,"&lt;="&amp;Time!Q17)-SUMIFS(Funding!$J$53:$BJ$53,Construction!$J$12:$BJ$12,"&lt;="&amp;Time!Q17),0)</f>
        <v>37.2649356022169</v>
      </c>
      <c r="R17" s="11" t="n">
        <f aca="false">Reserves!R13+Reserves!R8+Reserves!R16+Waterfall!R30+Waterfall!R42+Reserves!R17+IF(Time!R17&lt;Time!$F$11,SUMIFS(Funding!$J$52:$BJ$52,Construction!$J$12:$BJ$12,"&lt;="&amp;Time!R17)-SUMIFS(Funding!$J$53:$BJ$53,Construction!$J$12:$BJ$12,"&lt;="&amp;Time!R17),0)</f>
        <v>38.2890941020254</v>
      </c>
      <c r="S17" s="11" t="n">
        <f aca="false">Reserves!S13+Reserves!S8+Reserves!S16+Waterfall!S30+Waterfall!S42+Reserves!S17+IF(Time!S17&lt;Time!$F$11,SUMIFS(Funding!$J$52:$BJ$52,Construction!$J$12:$BJ$12,"&lt;="&amp;Time!S17)-SUMIFS(Funding!$J$53:$BJ$53,Construction!$J$12:$BJ$12,"&lt;="&amp;Time!S17),0)</f>
        <v>36.3455533573827</v>
      </c>
      <c r="T17" s="11" t="n">
        <f aca="false">Reserves!T13+Reserves!T8+Reserves!T16+Waterfall!T30+Waterfall!T42+Reserves!T17+IF(Time!T17&lt;Time!$F$11,SUMIFS(Funding!$J$52:$BJ$52,Construction!$J$12:$BJ$12,"&lt;="&amp;Time!T17)-SUMIFS(Funding!$J$53:$BJ$53,Construction!$J$12:$BJ$12,"&lt;="&amp;Time!T17),0)</f>
        <v>61.8977350291501</v>
      </c>
      <c r="U17" s="11" t="n">
        <f aca="false">Reserves!U13+Reserves!U8+Reserves!U16+Waterfall!U30+Waterfall!U42+Reserves!U17+IF(Time!U17&lt;Time!$F$11,SUMIFS(Funding!$J$52:$BJ$52,Construction!$J$12:$BJ$12,"&lt;="&amp;Time!U17)-SUMIFS(Funding!$J$53:$BJ$53,Construction!$J$12:$BJ$12,"&lt;="&amp;Time!U17),0)</f>
        <v>76.620626802</v>
      </c>
      <c r="V17" s="11" t="n">
        <f aca="false">Reserves!V13+Reserves!V8+Reserves!V16+Waterfall!V30+Waterfall!V42+Reserves!V17+IF(Time!V17&lt;Time!$F$11,SUMIFS(Funding!$J$52:$BJ$52,Construction!$J$12:$BJ$12,"&lt;="&amp;Time!V17)-SUMIFS(Funding!$J$53:$BJ$53,Construction!$J$12:$BJ$12,"&lt;="&amp;Time!V17),0)</f>
        <v>44.0627499286837</v>
      </c>
      <c r="W17" s="11" t="n">
        <f aca="false">Reserves!W13+Reserves!W8+Reserves!W16+Waterfall!W30+Waterfall!W42+Reserves!W17+IF(Time!W17&lt;Time!$F$11,SUMIFS(Funding!$J$52:$BJ$52,Construction!$J$12:$BJ$12,"&lt;="&amp;Time!W17)-SUMIFS(Funding!$J$53:$BJ$53,Construction!$J$12:$BJ$12,"&lt;="&amp;Time!W17),0)</f>
        <v>31.9770949734726</v>
      </c>
      <c r="X17" s="11" t="n">
        <f aca="false">Reserves!X13+Reserves!X8+Reserves!X16+Waterfall!X30+Waterfall!X42+Reserves!X17+IF(Time!X17&lt;Time!$F$11,SUMIFS(Funding!$J$52:$BJ$52,Construction!$J$12:$BJ$12,"&lt;="&amp;Time!X17)-SUMIFS(Funding!$J$53:$BJ$53,Construction!$J$12:$BJ$12,"&lt;="&amp;Time!X17),0)</f>
        <v>30.401206369767</v>
      </c>
      <c r="Y17" s="11" t="n">
        <f aca="false">Reserves!Y13+Reserves!Y8+Reserves!Y16+Waterfall!Y30+Waterfall!Y42+Reserves!Y17+IF(Time!Y17&lt;Time!$F$11,SUMIFS(Funding!$J$52:$BJ$52,Construction!$J$12:$BJ$12,"&lt;="&amp;Time!Y17)-SUMIFS(Funding!$J$53:$BJ$53,Construction!$J$12:$BJ$12,"&lt;="&amp;Time!Y17),0)</f>
        <v>33.0599348667418</v>
      </c>
      <c r="Z17" s="11" t="n">
        <f aca="false">Reserves!Z13+Reserves!Z8+Reserves!Z16+Waterfall!Z30+Waterfall!Z42+Reserves!Z17+IF(Time!Z17&lt;Time!$F$11,SUMIFS(Funding!$J$52:$BJ$52,Construction!$J$12:$BJ$12,"&lt;="&amp;Time!Z17)-SUMIFS(Funding!$J$53:$BJ$53,Construction!$J$12:$BJ$12,"&lt;="&amp;Time!Z17),0)</f>
        <v>34.9234166830353</v>
      </c>
      <c r="AA17" s="11" t="n">
        <f aca="false"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>37.5593266107011</v>
      </c>
      <c r="AB17" s="11" t="n">
        <f aca="false"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>39.5735162089511</v>
      </c>
      <c r="AC17" s="11" t="n">
        <f aca="false"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>42.129434639355</v>
      </c>
      <c r="AD17" s="11" t="n">
        <f aca="false"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>45.2283122200244</v>
      </c>
      <c r="AE17" s="11" t="n">
        <f aca="false"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>32.4954443588155</v>
      </c>
      <c r="AF17" s="11" t="n">
        <f aca="false"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>31.9951549717801</v>
      </c>
      <c r="AG17" s="11" t="n">
        <f aca="false"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>33.0215472649969</v>
      </c>
      <c r="AH17" s="11" t="n">
        <f aca="false"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>33.369418320101</v>
      </c>
      <c r="AI17" s="11" t="n">
        <f aca="false"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>34.3348785649505</v>
      </c>
      <c r="AJ17" s="11" t="n">
        <f aca="false"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>34.6716389978002</v>
      </c>
      <c r="AK17" s="11" t="n">
        <f aca="false"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>35.5647737928892</v>
      </c>
      <c r="AL17" s="11" t="n">
        <f aca="false"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>35.52451839958</v>
      </c>
      <c r="AM17" s="11" t="n">
        <f aca="false"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>28.5246483742642</v>
      </c>
      <c r="AN17" s="11" t="n">
        <f aca="false"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>26.4061477367069</v>
      </c>
      <c r="AO17" s="11" t="n">
        <f aca="false"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>29.3500275257977</v>
      </c>
      <c r="AP17" s="11" t="n">
        <f aca="false"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>31.5938791136475</v>
      </c>
      <c r="AQ17" s="11" t="n">
        <f aca="false"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>34.4809257629394</v>
      </c>
      <c r="AR17" s="11" t="n">
        <f aca="false"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>36.7171649931816</v>
      </c>
      <c r="AS17" s="11" t="n">
        <f aca="false"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>39.5191204652626</v>
      </c>
      <c r="AT17" s="11" t="n">
        <f aca="false"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>46.1989576666259</v>
      </c>
      <c r="AU17" s="11" t="n">
        <f aca="false"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>0</v>
      </c>
      <c r="AV17" s="11" t="n">
        <f aca="false"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>0</v>
      </c>
      <c r="AW17" s="11" t="n">
        <f aca="false"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>0.668444937143915</v>
      </c>
      <c r="AX17" s="11" t="n">
        <f aca="false"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>1.33688987428783</v>
      </c>
      <c r="AY17" s="11" t="n">
        <f aca="false"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>2.00533481143175</v>
      </c>
      <c r="AZ17" s="11" t="n">
        <f aca="false"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>2.67377974857566</v>
      </c>
      <c r="BA17" s="11" t="n">
        <f aca="false"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>3.34222468571958</v>
      </c>
      <c r="BB17" s="11" t="n">
        <f aca="false"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>4.29109225442921</v>
      </c>
      <c r="BC17" s="11" t="n">
        <f aca="false"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>1.9821975862211</v>
      </c>
      <c r="BD17" s="11" t="n">
        <f aca="false"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>3.70343169877146</v>
      </c>
      <c r="BE17" s="11" t="n">
        <f aca="false"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>8.62460038609106</v>
      </c>
      <c r="BF17" s="11" t="n">
        <f aca="false"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>13.5656757919372</v>
      </c>
      <c r="BG17" s="11" t="n">
        <f aca="false"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>18.5268855421649</v>
      </c>
      <c r="BH17" s="11" t="n">
        <f aca="false"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>23.5084598654453</v>
      </c>
      <c r="BI17" s="11" t="n">
        <f aca="false"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>28.5106316230279</v>
      </c>
      <c r="BJ17" s="11" t="n">
        <f aca="false"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>33.5336363388435</v>
      </c>
      <c r="BK17" s="11" t="n">
        <f aca="false"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>16.3159418690003</v>
      </c>
      <c r="BL17" s="11" t="n">
        <f aca="false"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>18.2010769676722</v>
      </c>
      <c r="BM17" s="11" t="n">
        <f aca="false"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>20.107767878667</v>
      </c>
      <c r="BN17" s="11" t="n">
        <f aca="false"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>0</v>
      </c>
    </row>
    <row r="18" customFormat="false" ht="15" hidden="false" customHeight="false" outlineLevel="0" collapsed="false">
      <c r="D18" s="0" t="s">
        <v>775</v>
      </c>
      <c r="E18" s="0" t="s">
        <v>149</v>
      </c>
      <c r="J18" s="11" t="n">
        <f aca="false">Operations!J84+Operations!J85</f>
        <v>0</v>
      </c>
      <c r="K18" s="11" t="n">
        <f aca="false">Operations!K84+Operations!K85</f>
        <v>0</v>
      </c>
      <c r="L18" s="11" t="n">
        <f aca="false">Operations!L84+Operations!L85</f>
        <v>0</v>
      </c>
      <c r="M18" s="11" t="n">
        <f aca="false">Operations!M84+Operations!M85</f>
        <v>0</v>
      </c>
      <c r="N18" s="11" t="n">
        <f aca="false">Operations!N84+Operations!N85</f>
        <v>0</v>
      </c>
      <c r="O18" s="11" t="n">
        <f aca="false">Operations!O84+Operations!O85</f>
        <v>0</v>
      </c>
      <c r="P18" s="11" t="n">
        <f aca="false">Operations!P84+Operations!P85</f>
        <v>38.2208066658204</v>
      </c>
      <c r="Q18" s="11" t="n">
        <f aca="false">Operations!Q84+Operations!Q85</f>
        <v>60.2719443836271</v>
      </c>
      <c r="R18" s="11" t="n">
        <f aca="false">Operations!R84+Operations!R85</f>
        <v>109.365060084157</v>
      </c>
      <c r="S18" s="11" t="n">
        <f aca="false">Operations!S84+Operations!S85</f>
        <v>152.606984179699</v>
      </c>
      <c r="T18" s="11" t="n">
        <f aca="false">Operations!T84+Operations!T85</f>
        <v>111.556996318738</v>
      </c>
      <c r="U18" s="11" t="n">
        <f aca="false">Operations!U84+Operations!U85</f>
        <v>75.6304088438496</v>
      </c>
      <c r="V18" s="11" t="n">
        <f aca="false">Operations!V84+Operations!V85</f>
        <v>53.1089350826559</v>
      </c>
      <c r="W18" s="11" t="n">
        <f aca="false">Operations!W84+Operations!W85</f>
        <v>41.4735034493285</v>
      </c>
      <c r="X18" s="11" t="n">
        <f aca="false">Operations!X84+Operations!X85</f>
        <v>41.203872379176</v>
      </c>
      <c r="Y18" s="11" t="n">
        <f aca="false">Operations!Y84+Operations!Y85</f>
        <v>43.1534041164257</v>
      </c>
      <c r="Z18" s="11" t="n">
        <f aca="false">Operations!Z84+Operations!Z85</f>
        <v>42.6133857231334</v>
      </c>
      <c r="AA18" s="11" t="n">
        <f aca="false">Operations!AA84+Operations!AA85</f>
        <v>43.6639961514771</v>
      </c>
      <c r="AB18" s="11" t="n">
        <f aca="false">Operations!AB84+Operations!AB85</f>
        <v>43.1450037777128</v>
      </c>
      <c r="AC18" s="11" t="n">
        <f aca="false">Operations!AC84+Operations!AC85</f>
        <v>44.3649903588609</v>
      </c>
      <c r="AD18" s="11" t="n">
        <f aca="false">Operations!AD84+Operations!AD85</f>
        <v>43.7928229364278</v>
      </c>
      <c r="AE18" s="11" t="n">
        <f aca="false">Operations!AE84+Operations!AE85</f>
        <v>43.656897005859</v>
      </c>
      <c r="AF18" s="11" t="n">
        <f aca="false">Operations!AF84+Operations!AF85</f>
        <v>43.4734377856994</v>
      </c>
      <c r="AG18" s="11" t="n">
        <f aca="false">Operations!AG84+Operations!AG85</f>
        <v>45.9812660070519</v>
      </c>
      <c r="AH18" s="11" t="n">
        <f aca="false">Operations!AH84+Operations!AH85</f>
        <v>45.3416368146534</v>
      </c>
      <c r="AI18" s="11" t="n">
        <f aca="false">Operations!AI84+Operations!AI85</f>
        <v>46.4395373502141</v>
      </c>
      <c r="AJ18" s="11" t="n">
        <f aca="false">Operations!AJ84+Operations!AJ85</f>
        <v>45.8778279465209</v>
      </c>
      <c r="AK18" s="11" t="n">
        <f aca="false">Operations!AK84+Operations!AK85</f>
        <v>47.1780171545147</v>
      </c>
      <c r="AL18" s="11" t="n">
        <f aca="false">Operations!AL84+Operations!AL85</f>
        <v>46.6530104187117</v>
      </c>
      <c r="AM18" s="11" t="n">
        <f aca="false">Operations!AM84+Operations!AM85</f>
        <v>47.2220480908442</v>
      </c>
      <c r="AN18" s="11" t="n">
        <f aca="false">Operations!AN84+Operations!AN85</f>
        <v>46.765601271902</v>
      </c>
      <c r="AO18" s="11" t="n">
        <f aca="false">Operations!AO84+Operations!AO85</f>
        <v>48.9172936742874</v>
      </c>
      <c r="AP18" s="11" t="n">
        <f aca="false">Operations!AP84+Operations!AP85</f>
        <v>48.2388319084221</v>
      </c>
      <c r="AQ18" s="11" t="n">
        <f aca="false">Operations!AQ84+Operations!AQ85</f>
        <v>49.4135695519613</v>
      </c>
      <c r="AR18" s="11" t="n">
        <f aca="false">Operations!AR84+Operations!AR85</f>
        <v>48.8192887777328</v>
      </c>
      <c r="AS18" s="11" t="n">
        <f aca="false">Operations!AS84+Operations!AS85</f>
        <v>50.2164522227038</v>
      </c>
      <c r="AT18" s="11" t="n">
        <f aca="false">Operations!AT84+Operations!AT85</f>
        <v>49.5610004421261</v>
      </c>
      <c r="AU18" s="11" t="n">
        <f aca="false">Operations!AU84+Operations!AU85</f>
        <v>49.3994667942663</v>
      </c>
      <c r="AV18" s="11" t="n">
        <f aca="false">Operations!AV84+Operations!AV85</f>
        <v>49.1976706630277</v>
      </c>
      <c r="AW18" s="11" t="n">
        <f aca="false">Operations!AW84+Operations!AW85</f>
        <v>52.0942335147322</v>
      </c>
      <c r="AX18" s="11" t="n">
        <f aca="false">Operations!AX84+Operations!AX85</f>
        <v>51.3737903358989</v>
      </c>
      <c r="AY18" s="11" t="n">
        <f aca="false">Operations!AY84+Operations!AY85</f>
        <v>52.6317005802872</v>
      </c>
      <c r="AZ18" s="11" t="n">
        <f aca="false">Operations!AZ84+Operations!AZ85</f>
        <v>52.0021992750438</v>
      </c>
      <c r="BA18" s="11" t="n">
        <f aca="false">Operations!BA84+Operations!BA85</f>
        <v>53.5042288640541</v>
      </c>
      <c r="BB18" s="11" t="n">
        <f aca="false">Operations!BB84+Operations!BB85</f>
        <v>52.9096503776099</v>
      </c>
      <c r="BC18" s="11" t="n">
        <f aca="false">Operations!BC84+Operations!BC85</f>
        <v>53.5504090213856</v>
      </c>
      <c r="BD18" s="11" t="n">
        <f aca="false">Operations!BD84+Operations!BD85</f>
        <v>53.0437422355791</v>
      </c>
      <c r="BE18" s="11" t="n">
        <f aca="false">Operations!BE84+Operations!BE85</f>
        <v>55.5319568335807</v>
      </c>
      <c r="BF18" s="11" t="n">
        <f aca="false">Operations!BF84+Operations!BF85</f>
        <v>54.7661291345552</v>
      </c>
      <c r="BG18" s="11" t="n">
        <f aca="false">Operations!BG84+Operations!BG85</f>
        <v>56.1140715395244</v>
      </c>
      <c r="BH18" s="11" t="n">
        <f aca="false">Operations!BH84+Operations!BH85</f>
        <v>55.4464858267814</v>
      </c>
      <c r="BI18" s="11" t="n">
        <f aca="false">Operations!BI84+Operations!BI85</f>
        <v>57.0619157586456</v>
      </c>
      <c r="BJ18" s="11" t="n">
        <f aca="false">Operations!BJ84+Operations!BJ85</f>
        <v>56.315138071731</v>
      </c>
      <c r="BK18" s="11" t="n">
        <f aca="false">Operations!BK84+Operations!BK85</f>
        <v>56.1239590022439</v>
      </c>
      <c r="BL18" s="11" t="n">
        <f aca="false">Operations!BL84+Operations!BL85</f>
        <v>55.9009956207576</v>
      </c>
      <c r="BM18" s="11" t="n">
        <f aca="false">Operations!BM84+Operations!BM85</f>
        <v>59.2519813820824</v>
      </c>
      <c r="BN18" s="11" t="n">
        <f aca="false">Operations!BN84+Operations!BN85</f>
        <v>0</v>
      </c>
    </row>
    <row r="19" customFormat="false" ht="15" hidden="false" customHeight="false" outlineLevel="0" collapsed="false">
      <c r="D19" s="0" t="s">
        <v>776</v>
      </c>
      <c r="E19" s="0" t="s">
        <v>149</v>
      </c>
      <c r="J19" s="11" t="n">
        <f aca="false">IF(Time!J17&lt;Time!$F$11,SUMIFS(Construction!$J$28:$BJ$28,Construction!$J$12:$BJ$12,"&lt;="&amp;Time!J17),IF(Time!J17&lt;Time!$F$14,Inputs!$F$67*Inputs!$F$36,0))</f>
        <v>0</v>
      </c>
      <c r="K19" s="11" t="n">
        <f aca="false">IF(Time!K17&lt;Time!$F$11,SUMIFS(Construction!$J$28:$BJ$28,Construction!$J$12:$BJ$12,"&lt;="&amp;Time!K17),IF(Time!K17&lt;Time!$F$14,Inputs!$F$67*Inputs!$F$36,0))</f>
        <v>0</v>
      </c>
      <c r="L19" s="11" t="n">
        <f aca="false">IF(Time!L17&lt;Time!$F$11,SUMIFS(Construction!$J$28:$BJ$28,Construction!$J$12:$BJ$12,"&lt;="&amp;Time!L17),IF(Time!L17&lt;Time!$F$14,Inputs!$F$67*Inputs!$F$36,0))</f>
        <v>0</v>
      </c>
      <c r="M19" s="11" t="n">
        <f aca="false">IF(Time!M17&lt;Time!$F$11,SUMIFS(Construction!$J$28:$BJ$28,Construction!$J$12:$BJ$12,"&lt;="&amp;Time!M17),IF(Time!M17&lt;Time!$F$14,Inputs!$F$67*Inputs!$F$36,0))</f>
        <v>0</v>
      </c>
      <c r="N19" s="11" t="n">
        <f aca="false">IF(Time!N17&lt;Time!$F$11,SUMIFS(Construction!$J$28:$BJ$28,Construction!$J$12:$BJ$12,"&lt;="&amp;Time!N17),IF(Time!N17&lt;Time!$F$14,Inputs!$F$67*Inputs!$F$36,0))</f>
        <v>0</v>
      </c>
      <c r="O19" s="11" t="n">
        <f aca="false">IF(Time!O17&lt;Time!$F$11,SUMIFS(Construction!$J$28:$BJ$28,Construction!$J$12:$BJ$12,"&lt;="&amp;Time!O17),IF(Time!O17&lt;Time!$F$14,Inputs!$F$67*Inputs!$F$36,0))</f>
        <v>0</v>
      </c>
      <c r="P19" s="11" t="n">
        <f aca="false">IF(Time!P17&lt;Time!$F$11,SUMIFS(Construction!$J$28:$BJ$28,Construction!$J$12:$BJ$12,"&lt;="&amp;Time!P17),IF(Time!P17&lt;Time!$F$14,Inputs!$F$67*Inputs!$F$36,0))</f>
        <v>5.35</v>
      </c>
      <c r="Q19" s="11" t="n">
        <f aca="false">IF(Time!Q17&lt;Time!$F$11,SUMIFS(Construction!$J$28:$BJ$28,Construction!$J$12:$BJ$12,"&lt;="&amp;Time!Q17),IF(Time!Q17&lt;Time!$F$14,Inputs!$F$67*Inputs!$F$36,0))</f>
        <v>5.35</v>
      </c>
      <c r="R19" s="11" t="n">
        <f aca="false">IF(Time!R17&lt;Time!$F$11,SUMIFS(Construction!$J$28:$BJ$28,Construction!$J$12:$BJ$12,"&lt;="&amp;Time!R17),IF(Time!R17&lt;Time!$F$14,Inputs!$F$67*Inputs!$F$36,0))</f>
        <v>5.35</v>
      </c>
      <c r="S19" s="11" t="n">
        <f aca="false">IF(Time!S17&lt;Time!$F$11,SUMIFS(Construction!$J$28:$BJ$28,Construction!$J$12:$BJ$12,"&lt;="&amp;Time!S17),IF(Time!S17&lt;Time!$F$14,Inputs!$F$67*Inputs!$F$36,0))</f>
        <v>5.35</v>
      </c>
      <c r="T19" s="11" t="n">
        <f aca="false">IF(Time!T17&lt;Time!$F$11,SUMIFS(Construction!$J$28:$BJ$28,Construction!$J$12:$BJ$12,"&lt;="&amp;Time!T17),IF(Time!T17&lt;Time!$F$14,Inputs!$F$67*Inputs!$F$36,0))</f>
        <v>5.35</v>
      </c>
      <c r="U19" s="11" t="n">
        <f aca="false">IF(Time!U17&lt;Time!$F$11,SUMIFS(Construction!$J$28:$BJ$28,Construction!$J$12:$BJ$12,"&lt;="&amp;Time!U17),IF(Time!U17&lt;Time!$F$14,Inputs!$F$67*Inputs!$F$36,0))</f>
        <v>5.35</v>
      </c>
      <c r="V19" s="11" t="n">
        <f aca="false">IF(Time!V17&lt;Time!$F$11,SUMIFS(Construction!$J$28:$BJ$28,Construction!$J$12:$BJ$12,"&lt;="&amp;Time!V17),IF(Time!V17&lt;Time!$F$14,Inputs!$F$67*Inputs!$F$36,0))</f>
        <v>5.35</v>
      </c>
      <c r="W19" s="11" t="n">
        <f aca="false">IF(Time!W17&lt;Time!$F$11,SUMIFS(Construction!$J$28:$BJ$28,Construction!$J$12:$BJ$12,"&lt;="&amp;Time!W17),IF(Time!W17&lt;Time!$F$14,Inputs!$F$67*Inputs!$F$36,0))</f>
        <v>5.35</v>
      </c>
      <c r="X19" s="11" t="n">
        <f aca="false">IF(Time!X17&lt;Time!$F$11,SUMIFS(Construction!$J$28:$BJ$28,Construction!$J$12:$BJ$12,"&lt;="&amp;Time!X17),IF(Time!X17&lt;Time!$F$14,Inputs!$F$67*Inputs!$F$36,0))</f>
        <v>5.35</v>
      </c>
      <c r="Y19" s="11" t="n">
        <f aca="false">IF(Time!Y17&lt;Time!$F$11,SUMIFS(Construction!$J$28:$BJ$28,Construction!$J$12:$BJ$12,"&lt;="&amp;Time!Y17),IF(Time!Y17&lt;Time!$F$14,Inputs!$F$67*Inputs!$F$36,0))</f>
        <v>5.35</v>
      </c>
      <c r="Z19" s="11" t="n">
        <f aca="false">IF(Time!Z17&lt;Time!$F$11,SUMIFS(Construction!$J$28:$BJ$28,Construction!$J$12:$BJ$12,"&lt;="&amp;Time!Z17),IF(Time!Z17&lt;Time!$F$14,Inputs!$F$67*Inputs!$F$36,0))</f>
        <v>5.35</v>
      </c>
      <c r="AA19" s="11" t="n">
        <f aca="false">IF(Time!AA17&lt;Time!$F$11,SUMIFS(Construction!$J$28:$BJ$28,Construction!$J$12:$BJ$12,"&lt;="&amp;Time!AA17),IF(Time!AA17&lt;Time!$F$14,Inputs!$F$67*Inputs!$F$36,0))</f>
        <v>5.35</v>
      </c>
      <c r="AB19" s="11" t="n">
        <f aca="false">IF(Time!AB17&lt;Time!$F$11,SUMIFS(Construction!$J$28:$BJ$28,Construction!$J$12:$BJ$12,"&lt;="&amp;Time!AB17),IF(Time!AB17&lt;Time!$F$14,Inputs!$F$67*Inputs!$F$36,0))</f>
        <v>5.35</v>
      </c>
      <c r="AC19" s="11" t="n">
        <f aca="false">IF(Time!AC17&lt;Time!$F$11,SUMIFS(Construction!$J$28:$BJ$28,Construction!$J$12:$BJ$12,"&lt;="&amp;Time!AC17),IF(Time!AC17&lt;Time!$F$14,Inputs!$F$67*Inputs!$F$36,0))</f>
        <v>5.35</v>
      </c>
      <c r="AD19" s="11" t="n">
        <f aca="false">IF(Time!AD17&lt;Time!$F$11,SUMIFS(Construction!$J$28:$BJ$28,Construction!$J$12:$BJ$12,"&lt;="&amp;Time!AD17),IF(Time!AD17&lt;Time!$F$14,Inputs!$F$67*Inputs!$F$36,0))</f>
        <v>5.35</v>
      </c>
      <c r="AE19" s="11" t="n">
        <f aca="false">IF(Time!AE17&lt;Time!$F$11,SUMIFS(Construction!$J$28:$BJ$28,Construction!$J$12:$BJ$12,"&lt;="&amp;Time!AE17),IF(Time!AE17&lt;Time!$F$14,Inputs!$F$67*Inputs!$F$36,0))</f>
        <v>5.35</v>
      </c>
      <c r="AF19" s="11" t="n">
        <f aca="false">IF(Time!AF17&lt;Time!$F$11,SUMIFS(Construction!$J$28:$BJ$28,Construction!$J$12:$BJ$12,"&lt;="&amp;Time!AF17),IF(Time!AF17&lt;Time!$F$14,Inputs!$F$67*Inputs!$F$36,0))</f>
        <v>5.35</v>
      </c>
      <c r="AG19" s="11" t="n">
        <f aca="false">IF(Time!AG17&lt;Time!$F$11,SUMIFS(Construction!$J$28:$BJ$28,Construction!$J$12:$BJ$12,"&lt;="&amp;Time!AG17),IF(Time!AG17&lt;Time!$F$14,Inputs!$F$67*Inputs!$F$36,0))</f>
        <v>5.35</v>
      </c>
      <c r="AH19" s="11" t="n">
        <f aca="false">IF(Time!AH17&lt;Time!$F$11,SUMIFS(Construction!$J$28:$BJ$28,Construction!$J$12:$BJ$12,"&lt;="&amp;Time!AH17),IF(Time!AH17&lt;Time!$F$14,Inputs!$F$67*Inputs!$F$36,0))</f>
        <v>5.35</v>
      </c>
      <c r="AI19" s="11" t="n">
        <f aca="false">IF(Time!AI17&lt;Time!$F$11,SUMIFS(Construction!$J$28:$BJ$28,Construction!$J$12:$BJ$12,"&lt;="&amp;Time!AI17),IF(Time!AI17&lt;Time!$F$14,Inputs!$F$67*Inputs!$F$36,0))</f>
        <v>5.35</v>
      </c>
      <c r="AJ19" s="11" t="n">
        <f aca="false">IF(Time!AJ17&lt;Time!$F$11,SUMIFS(Construction!$J$28:$BJ$28,Construction!$J$12:$BJ$12,"&lt;="&amp;Time!AJ17),IF(Time!AJ17&lt;Time!$F$14,Inputs!$F$67*Inputs!$F$36,0))</f>
        <v>5.35</v>
      </c>
      <c r="AK19" s="11" t="n">
        <f aca="false">IF(Time!AK17&lt;Time!$F$11,SUMIFS(Construction!$J$28:$BJ$28,Construction!$J$12:$BJ$12,"&lt;="&amp;Time!AK17),IF(Time!AK17&lt;Time!$F$14,Inputs!$F$67*Inputs!$F$36,0))</f>
        <v>5.35</v>
      </c>
      <c r="AL19" s="11" t="n">
        <f aca="false">IF(Time!AL17&lt;Time!$F$11,SUMIFS(Construction!$J$28:$BJ$28,Construction!$J$12:$BJ$12,"&lt;="&amp;Time!AL17),IF(Time!AL17&lt;Time!$F$14,Inputs!$F$67*Inputs!$F$36,0))</f>
        <v>5.35</v>
      </c>
      <c r="AM19" s="11" t="n">
        <f aca="false">IF(Time!AM17&lt;Time!$F$11,SUMIFS(Construction!$J$28:$BJ$28,Construction!$J$12:$BJ$12,"&lt;="&amp;Time!AM17),IF(Time!AM17&lt;Time!$F$14,Inputs!$F$67*Inputs!$F$36,0))</f>
        <v>5.35</v>
      </c>
      <c r="AN19" s="11" t="n">
        <f aca="false">IF(Time!AN17&lt;Time!$F$11,SUMIFS(Construction!$J$28:$BJ$28,Construction!$J$12:$BJ$12,"&lt;="&amp;Time!AN17),IF(Time!AN17&lt;Time!$F$14,Inputs!$F$67*Inputs!$F$36,0))</f>
        <v>5.35</v>
      </c>
      <c r="AO19" s="11" t="n">
        <f aca="false">IF(Time!AO17&lt;Time!$F$11,SUMIFS(Construction!$J$28:$BJ$28,Construction!$J$12:$BJ$12,"&lt;="&amp;Time!AO17),IF(Time!AO17&lt;Time!$F$14,Inputs!$F$67*Inputs!$F$36,0))</f>
        <v>5.35</v>
      </c>
      <c r="AP19" s="11" t="n">
        <f aca="false">IF(Time!AP17&lt;Time!$F$11,SUMIFS(Construction!$J$28:$BJ$28,Construction!$J$12:$BJ$12,"&lt;="&amp;Time!AP17),IF(Time!AP17&lt;Time!$F$14,Inputs!$F$67*Inputs!$F$36,0))</f>
        <v>5.35</v>
      </c>
      <c r="AQ19" s="11" t="n">
        <f aca="false">IF(Time!AQ17&lt;Time!$F$11,SUMIFS(Construction!$J$28:$BJ$28,Construction!$J$12:$BJ$12,"&lt;="&amp;Time!AQ17),IF(Time!AQ17&lt;Time!$F$14,Inputs!$F$67*Inputs!$F$36,0))</f>
        <v>5.35</v>
      </c>
      <c r="AR19" s="11" t="n">
        <f aca="false">IF(Time!AR17&lt;Time!$F$11,SUMIFS(Construction!$J$28:$BJ$28,Construction!$J$12:$BJ$12,"&lt;="&amp;Time!AR17),IF(Time!AR17&lt;Time!$F$14,Inputs!$F$67*Inputs!$F$36,0))</f>
        <v>5.35</v>
      </c>
      <c r="AS19" s="11" t="n">
        <f aca="false">IF(Time!AS17&lt;Time!$F$11,SUMIFS(Construction!$J$28:$BJ$28,Construction!$J$12:$BJ$12,"&lt;="&amp;Time!AS17),IF(Time!AS17&lt;Time!$F$14,Inputs!$F$67*Inputs!$F$36,0))</f>
        <v>5.35</v>
      </c>
      <c r="AT19" s="11" t="n">
        <f aca="false">IF(Time!AT17&lt;Time!$F$11,SUMIFS(Construction!$J$28:$BJ$28,Construction!$J$12:$BJ$12,"&lt;="&amp;Time!AT17),IF(Time!AT17&lt;Time!$F$14,Inputs!$F$67*Inputs!$F$36,0))</f>
        <v>5.35</v>
      </c>
      <c r="AU19" s="11" t="n">
        <f aca="false">IF(Time!AU17&lt;Time!$F$11,SUMIFS(Construction!$J$28:$BJ$28,Construction!$J$12:$BJ$12,"&lt;="&amp;Time!AU17),IF(Time!AU17&lt;Time!$F$14,Inputs!$F$67*Inputs!$F$36,0))</f>
        <v>5.35</v>
      </c>
      <c r="AV19" s="11" t="n">
        <f aca="false">IF(Time!AV17&lt;Time!$F$11,SUMIFS(Construction!$J$28:$BJ$28,Construction!$J$12:$BJ$12,"&lt;="&amp;Time!AV17),IF(Time!AV17&lt;Time!$F$14,Inputs!$F$67*Inputs!$F$36,0))</f>
        <v>5.35</v>
      </c>
      <c r="AW19" s="11" t="n">
        <f aca="false">IF(Time!AW17&lt;Time!$F$11,SUMIFS(Construction!$J$28:$BJ$28,Construction!$J$12:$BJ$12,"&lt;="&amp;Time!AW17),IF(Time!AW17&lt;Time!$F$14,Inputs!$F$67*Inputs!$F$36,0))</f>
        <v>5.35</v>
      </c>
      <c r="AX19" s="11" t="n">
        <f aca="false">IF(Time!AX17&lt;Time!$F$11,SUMIFS(Construction!$J$28:$BJ$28,Construction!$J$12:$BJ$12,"&lt;="&amp;Time!AX17),IF(Time!AX17&lt;Time!$F$14,Inputs!$F$67*Inputs!$F$36,0))</f>
        <v>5.35</v>
      </c>
      <c r="AY19" s="11" t="n">
        <f aca="false">IF(Time!AY17&lt;Time!$F$11,SUMIFS(Construction!$J$28:$BJ$28,Construction!$J$12:$BJ$12,"&lt;="&amp;Time!AY17),IF(Time!AY17&lt;Time!$F$14,Inputs!$F$67*Inputs!$F$36,0))</f>
        <v>5.35</v>
      </c>
      <c r="AZ19" s="11" t="n">
        <f aca="false">IF(Time!AZ17&lt;Time!$F$11,SUMIFS(Construction!$J$28:$BJ$28,Construction!$J$12:$BJ$12,"&lt;="&amp;Time!AZ17),IF(Time!AZ17&lt;Time!$F$14,Inputs!$F$67*Inputs!$F$36,0))</f>
        <v>5.35</v>
      </c>
      <c r="BA19" s="11" t="n">
        <f aca="false">IF(Time!BA17&lt;Time!$F$11,SUMIFS(Construction!$J$28:$BJ$28,Construction!$J$12:$BJ$12,"&lt;="&amp;Time!BA17),IF(Time!BA17&lt;Time!$F$14,Inputs!$F$67*Inputs!$F$36,0))</f>
        <v>5.35</v>
      </c>
      <c r="BB19" s="11" t="n">
        <f aca="false">IF(Time!BB17&lt;Time!$F$11,SUMIFS(Construction!$J$28:$BJ$28,Construction!$J$12:$BJ$12,"&lt;="&amp;Time!BB17),IF(Time!BB17&lt;Time!$F$14,Inputs!$F$67*Inputs!$F$36,0))</f>
        <v>5.35</v>
      </c>
      <c r="BC19" s="11" t="n">
        <f aca="false">IF(Time!BC17&lt;Time!$F$11,SUMIFS(Construction!$J$28:$BJ$28,Construction!$J$12:$BJ$12,"&lt;="&amp;Time!BC17),IF(Time!BC17&lt;Time!$F$14,Inputs!$F$67*Inputs!$F$36,0))</f>
        <v>5.35</v>
      </c>
      <c r="BD19" s="11" t="n">
        <f aca="false">IF(Time!BD17&lt;Time!$F$11,SUMIFS(Construction!$J$28:$BJ$28,Construction!$J$12:$BJ$12,"&lt;="&amp;Time!BD17),IF(Time!BD17&lt;Time!$F$14,Inputs!$F$67*Inputs!$F$36,0))</f>
        <v>5.35</v>
      </c>
      <c r="BE19" s="11" t="n">
        <f aca="false">IF(Time!BE17&lt;Time!$F$11,SUMIFS(Construction!$J$28:$BJ$28,Construction!$J$12:$BJ$12,"&lt;="&amp;Time!BE17),IF(Time!BE17&lt;Time!$F$14,Inputs!$F$67*Inputs!$F$36,0))</f>
        <v>5.35</v>
      </c>
      <c r="BF19" s="11" t="n">
        <f aca="false">IF(Time!BF17&lt;Time!$F$11,SUMIFS(Construction!$J$28:$BJ$28,Construction!$J$12:$BJ$12,"&lt;="&amp;Time!BF17),IF(Time!BF17&lt;Time!$F$14,Inputs!$F$67*Inputs!$F$36,0))</f>
        <v>5.35</v>
      </c>
      <c r="BG19" s="11" t="n">
        <f aca="false">IF(Time!BG17&lt;Time!$F$11,SUMIFS(Construction!$J$28:$BJ$28,Construction!$J$12:$BJ$12,"&lt;="&amp;Time!BG17),IF(Time!BG17&lt;Time!$F$14,Inputs!$F$67*Inputs!$F$36,0))</f>
        <v>5.35</v>
      </c>
      <c r="BH19" s="11" t="n">
        <f aca="false">IF(Time!BH17&lt;Time!$F$11,SUMIFS(Construction!$J$28:$BJ$28,Construction!$J$12:$BJ$12,"&lt;="&amp;Time!BH17),IF(Time!BH17&lt;Time!$F$14,Inputs!$F$67*Inputs!$F$36,0))</f>
        <v>5.35</v>
      </c>
      <c r="BI19" s="11" t="n">
        <f aca="false">IF(Time!BI17&lt;Time!$F$11,SUMIFS(Construction!$J$28:$BJ$28,Construction!$J$12:$BJ$12,"&lt;="&amp;Time!BI17),IF(Time!BI17&lt;Time!$F$14,Inputs!$F$67*Inputs!$F$36,0))</f>
        <v>5.35</v>
      </c>
      <c r="BJ19" s="11" t="n">
        <f aca="false">IF(Time!BJ17&lt;Time!$F$11,SUMIFS(Construction!$J$28:$BJ$28,Construction!$J$12:$BJ$12,"&lt;="&amp;Time!BJ17),IF(Time!BJ17&lt;Time!$F$14,Inputs!$F$67*Inputs!$F$36,0))</f>
        <v>5.35</v>
      </c>
      <c r="BK19" s="11" t="n">
        <f aca="false">IF(Time!BK17&lt;Time!$F$11,SUMIFS(Construction!$J$28:$BJ$28,Construction!$J$12:$BJ$12,"&lt;="&amp;Time!BK17),IF(Time!BK17&lt;Time!$F$14,Inputs!$F$67*Inputs!$F$36,0))</f>
        <v>5.35</v>
      </c>
      <c r="BL19" s="11" t="n">
        <f aca="false">IF(Time!BL17&lt;Time!$F$11,SUMIFS(Construction!$J$28:$BJ$28,Construction!$J$12:$BJ$12,"&lt;="&amp;Time!BL17),IF(Time!BL17&lt;Time!$F$14,Inputs!$F$67*Inputs!$F$36,0))</f>
        <v>5.35</v>
      </c>
      <c r="BM19" s="11" t="n">
        <f aca="false">IF(Time!BM17&lt;Time!$F$11,SUMIFS(Construction!$J$28:$BJ$28,Construction!$J$12:$BJ$12,"&lt;="&amp;Time!BM17),IF(Time!BM17&lt;Time!$F$14,Inputs!$F$67*Inputs!$F$36,0))</f>
        <v>5.35</v>
      </c>
      <c r="BN19" s="11" t="n">
        <f aca="false">IF(Time!BN17&lt;Time!$F$11,SUMIFS(Construction!$J$28:$BJ$28,Construction!$J$12:$BJ$12,"&lt;="&amp;Time!BN17),IF(Time!BN17&lt;Time!$F$14,Inputs!$F$67*Inputs!$F$36,0))</f>
        <v>0</v>
      </c>
    </row>
    <row r="20" customFormat="false" ht="15" hidden="false" customHeight="false" outlineLevel="0" collapsed="false">
      <c r="D20" s="0" t="s">
        <v>777</v>
      </c>
      <c r="E20" s="0" t="s">
        <v>149</v>
      </c>
      <c r="J20" s="11" t="n">
        <f aca="false">MAX(0,-J12)</f>
        <v>-0</v>
      </c>
      <c r="K20" s="11" t="n">
        <f aca="false">MAX(0,-K12)</f>
        <v>-0</v>
      </c>
      <c r="L20" s="11" t="n">
        <f aca="false">MAX(0,-L12)</f>
        <v>-0</v>
      </c>
      <c r="M20" s="11" t="n">
        <f aca="false">MAX(0,-M12)</f>
        <v>-0</v>
      </c>
      <c r="N20" s="11" t="n">
        <f aca="false">MAX(0,-N12)</f>
        <v>-0</v>
      </c>
      <c r="O20" s="11" t="n">
        <f aca="false">MAX(0,-O12)</f>
        <v>-0</v>
      </c>
      <c r="P20" s="11" t="n">
        <f aca="false">MAX(0,-P12)</f>
        <v>0.80139807969149</v>
      </c>
      <c r="Q20" s="11" t="n">
        <f aca="false">MAX(0,-Q12)</f>
        <v>5.60978655784036</v>
      </c>
      <c r="R20" s="11" t="n">
        <f aca="false">MAX(0,-R12)</f>
        <v>10.4181750359892</v>
      </c>
      <c r="S20" s="11" t="n">
        <f aca="false">MAX(0,-S12)</f>
        <v>15.2265635141381</v>
      </c>
      <c r="T20" s="11" t="n">
        <f aca="false">MAX(0,-T12)</f>
        <v>20.034951992287</v>
      </c>
      <c r="U20" s="11" t="n">
        <f aca="false">MAX(0,-U12)</f>
        <v>24.8433404704358</v>
      </c>
      <c r="V20" s="11" t="n">
        <f aca="false">MAX(0,-V12)</f>
        <v>29.6517289485848</v>
      </c>
      <c r="W20" s="11" t="n">
        <f aca="false">MAX(0,-W12)</f>
        <v>34.4601174267336</v>
      </c>
      <c r="X20" s="11" t="n">
        <f aca="false">MAX(0,-X12)</f>
        <v>39.2685059048825</v>
      </c>
      <c r="Y20" s="11" t="n">
        <f aca="false">MAX(0,-Y12)</f>
        <v>44.0768943830314</v>
      </c>
      <c r="Z20" s="11" t="n">
        <f aca="false">MAX(0,-Z12)</f>
        <v>47.4826025230077</v>
      </c>
      <c r="AA20" s="11" t="n">
        <f aca="false">MAX(0,-AA12)</f>
        <v>43.4371043594288</v>
      </c>
      <c r="AB20" s="11" t="n">
        <f aca="false">MAX(0,-AB12)</f>
        <v>39.0919849221963</v>
      </c>
      <c r="AC20" s="11" t="n">
        <f aca="false">MAX(0,-AC12)</f>
        <v>34.3578505806912</v>
      </c>
      <c r="AD20" s="11" t="n">
        <f aca="false">MAX(0,-AD12)</f>
        <v>29.2614349793358</v>
      </c>
      <c r="AE20" s="11" t="n">
        <f aca="false">MAX(0,-AE12)</f>
        <v>27.9442860590059</v>
      </c>
      <c r="AF20" s="11" t="n">
        <f aca="false">MAX(0,-AF12)</f>
        <v>22.0822592912733</v>
      </c>
      <c r="AG20" s="11" t="n">
        <f aca="false">MAX(0,-AG12)</f>
        <v>15.7150904768144</v>
      </c>
      <c r="AH20" s="11" t="n">
        <f aca="false">MAX(0,-AH12)</f>
        <v>8.92063133990656</v>
      </c>
      <c r="AI20" s="11" t="n">
        <f aca="false">MAX(0,-AI12)</f>
        <v>1.60458017039617</v>
      </c>
      <c r="AJ20" s="11" t="n">
        <f aca="false">MAX(0,-AJ12)</f>
        <v>0</v>
      </c>
      <c r="AK20" s="11" t="n">
        <f aca="false">MAX(0,-AK12)</f>
        <v>0</v>
      </c>
      <c r="AL20" s="11" t="n">
        <f aca="false">MAX(0,-AL12)</f>
        <v>0</v>
      </c>
      <c r="AM20" s="11" t="n">
        <f aca="false">MAX(0,-AM12)</f>
        <v>0</v>
      </c>
      <c r="AN20" s="11" t="n">
        <f aca="false">MAX(0,-AN12)</f>
        <v>0</v>
      </c>
      <c r="AO20" s="11" t="n">
        <f aca="false">MAX(0,-AO12)</f>
        <v>0</v>
      </c>
      <c r="AP20" s="11" t="n">
        <f aca="false">MAX(0,-AP12)</f>
        <v>0</v>
      </c>
      <c r="AQ20" s="11" t="n">
        <f aca="false">MAX(0,-AQ12)</f>
        <v>0</v>
      </c>
      <c r="AR20" s="11" t="n">
        <f aca="false">MAX(0,-AR12)</f>
        <v>0</v>
      </c>
      <c r="AS20" s="11" t="n">
        <f aca="false">MAX(0,-AS12)</f>
        <v>0</v>
      </c>
      <c r="AT20" s="11" t="n">
        <f aca="false">MAX(0,-AT12)</f>
        <v>0</v>
      </c>
      <c r="AU20" s="11" t="n">
        <f aca="false">MAX(0,-AU12)</f>
        <v>0</v>
      </c>
      <c r="AV20" s="11" t="n">
        <f aca="false">MAX(0,-AV12)</f>
        <v>0</v>
      </c>
      <c r="AW20" s="11" t="n">
        <f aca="false">MAX(0,-AW12)</f>
        <v>0</v>
      </c>
      <c r="AX20" s="11" t="n">
        <f aca="false">MAX(0,-AX12)</f>
        <v>0</v>
      </c>
      <c r="AY20" s="11" t="n">
        <f aca="false">MAX(0,-AY12)</f>
        <v>0</v>
      </c>
      <c r="AZ20" s="11" t="n">
        <f aca="false">MAX(0,-AZ12)</f>
        <v>0</v>
      </c>
      <c r="BA20" s="11" t="n">
        <f aca="false">MAX(0,-BA12)</f>
        <v>0</v>
      </c>
      <c r="BB20" s="11" t="n">
        <f aca="false">MAX(0,-BB12)</f>
        <v>0</v>
      </c>
      <c r="BC20" s="11" t="n">
        <f aca="false">MAX(0,-BC12)</f>
        <v>0</v>
      </c>
      <c r="BD20" s="11" t="n">
        <f aca="false">MAX(0,-BD12)</f>
        <v>0</v>
      </c>
      <c r="BE20" s="11" t="n">
        <f aca="false">MAX(0,-BE12)</f>
        <v>0</v>
      </c>
      <c r="BF20" s="11" t="n">
        <f aca="false">MAX(0,-BF12)</f>
        <v>0</v>
      </c>
      <c r="BG20" s="11" t="n">
        <f aca="false">MAX(0,-BG12)</f>
        <v>0</v>
      </c>
      <c r="BH20" s="11" t="n">
        <f aca="false">MAX(0,-BH12)</f>
        <v>0</v>
      </c>
      <c r="BI20" s="11" t="n">
        <f aca="false">MAX(0,-BI12)</f>
        <v>0</v>
      </c>
      <c r="BJ20" s="11" t="n">
        <f aca="false">MAX(0,-BJ12)</f>
        <v>0</v>
      </c>
      <c r="BK20" s="11" t="n">
        <f aca="false">MAX(0,-BK12)</f>
        <v>0</v>
      </c>
      <c r="BL20" s="11" t="n">
        <f aca="false">MAX(0,-BL12)</f>
        <v>0</v>
      </c>
      <c r="BM20" s="11" t="n">
        <f aca="false">MAX(0,-BM12)</f>
        <v>0</v>
      </c>
      <c r="BN20" s="11" t="n">
        <f aca="false">MAX(0,-BN12)</f>
        <v>-0</v>
      </c>
    </row>
    <row r="21" customFormat="false" ht="15" hidden="false" customHeight="false" outlineLevel="0" collapsed="false">
      <c r="D21" s="0" t="s">
        <v>778</v>
      </c>
      <c r="E21" s="0" t="s">
        <v>149</v>
      </c>
      <c r="J21" s="11" t="n">
        <f aca="false">J16+J17+J18+J19+J20</f>
        <v>136.50705706622</v>
      </c>
      <c r="K21" s="11" t="n">
        <f aca="false">K16+K17+K18+K19+K20</f>
        <v>202.108863315795</v>
      </c>
      <c r="L21" s="11" t="n">
        <f aca="false">L16+L17+L18+L19+L20</f>
        <v>330.036693187222</v>
      </c>
      <c r="M21" s="11" t="n">
        <f aca="false">M16+M17+M18+M19+M20</f>
        <v>492.61330040755</v>
      </c>
      <c r="N21" s="11" t="n">
        <f aca="false">N16+N17+N18+N19+N20</f>
        <v>644.256009207379</v>
      </c>
      <c r="O21" s="11" t="n">
        <f aca="false">O16+O17+O18+O19+O20</f>
        <v>746.293291115756</v>
      </c>
      <c r="P21" s="11" t="n">
        <f aca="false">P16+P17+P18+P19+P20</f>
        <v>906.352858620676</v>
      </c>
      <c r="Q21" s="11" t="n">
        <f aca="false">Q16+Q17+Q18+Q19+Q20</f>
        <v>891.19545770903</v>
      </c>
      <c r="R21" s="11" t="n">
        <f aca="false">R16+R17+R18+R19+R20</f>
        <v>930.093158793688</v>
      </c>
      <c r="S21" s="11" t="n">
        <f aca="false">S16+S17+S18+S19+S20</f>
        <v>960.171969028906</v>
      </c>
      <c r="T21" s="11" t="n">
        <f aca="false">T16+T17+T18+T19+T20</f>
        <v>933.454589724031</v>
      </c>
      <c r="U21" s="11" t="n">
        <f aca="false">U16+U17+U18+U19+U20</f>
        <v>901.031320906312</v>
      </c>
      <c r="V21" s="11" t="n">
        <f aca="false">V16+V17+V18+V19+V20</f>
        <v>834.732397156122</v>
      </c>
      <c r="W21" s="11" t="n">
        <f aca="false">W16+W17+W18+W19+W20</f>
        <v>799.791737451903</v>
      </c>
      <c r="X21" s="11" t="n">
        <f aca="false">X16+X17+X18+X19+X20</f>
        <v>786.726644662364</v>
      </c>
      <c r="Y21" s="11" t="n">
        <f aca="false">Y16+Y17+Y18+Y19+Y20</f>
        <v>780.115331780907</v>
      </c>
      <c r="Z21" s="11" t="n">
        <f aca="false">Z16+Z17+Z18+Z19+Z20</f>
        <v>768.816541750055</v>
      </c>
      <c r="AA21" s="11" t="n">
        <f aca="false">AA16+AA17+AA18+AA19+AA20</f>
        <v>752.429602348656</v>
      </c>
      <c r="AB21" s="11" t="n">
        <f aca="false">AB16+AB17+AB18+AB19+AB20</f>
        <v>733.55171854208</v>
      </c>
      <c r="AC21" s="11" t="n">
        <f aca="false">AC16+AC17+AC18+AC19+AC20</f>
        <v>716.565527618297</v>
      </c>
      <c r="AD21" s="11" t="n">
        <f aca="false">AD16+AD17+AD18+AD19+AD20</f>
        <v>697.967860581349</v>
      </c>
      <c r="AE21" s="11" t="n">
        <f aca="false">AE16+AE17+AE18+AE19+AE20</f>
        <v>667.753956275411</v>
      </c>
      <c r="AF21" s="11" t="n">
        <f aca="false">AF16+AF17+AF18+AF19+AF20</f>
        <v>645.180219306654</v>
      </c>
      <c r="AG21" s="11" t="n">
        <f aca="false">AG16+AG17+AG18+AG19+AG20</f>
        <v>626.319309412935</v>
      </c>
      <c r="AH21" s="11" t="n">
        <f aca="false">AH16+AH17+AH18+AH19+AH20</f>
        <v>603.205130544903</v>
      </c>
      <c r="AI21" s="11" t="n">
        <f aca="false">AI16+AI17+AI18+AI19+AI20</f>
        <v>581.924478561973</v>
      </c>
      <c r="AJ21" s="11" t="n">
        <f aca="false">AJ16+AJ17+AJ18+AJ19+AJ20</f>
        <v>564.066987826904</v>
      </c>
      <c r="AK21" s="11" t="n">
        <f aca="false">AK16+AK17+AK18+AK19+AK20</f>
        <v>550.232350236157</v>
      </c>
      <c r="AL21" s="11" t="n">
        <f aca="false">AL16+AL17+AL18+AL19+AL20</f>
        <v>533.639126513215</v>
      </c>
      <c r="AM21" s="11" t="n">
        <f aca="false">AM16+AM17+AM18+AM19+AM20</f>
        <v>511.180332566203</v>
      </c>
      <c r="AN21" s="11" t="n">
        <f aca="false">AN16+AN17+AN18+AN19+AN20</f>
        <v>492.577423515874</v>
      </c>
      <c r="AO21" s="11" t="n">
        <f aca="false">AO16+AO17+AO18+AO19+AO20</f>
        <v>481.64503411352</v>
      </c>
      <c r="AP21" s="11" t="n">
        <f aca="false">AP16+AP17+AP18+AP19+AP20</f>
        <v>467.182462341675</v>
      </c>
      <c r="AQ21" s="11" t="n">
        <f aca="false">AQ16+AQ17+AQ18+AQ19+AQ20</f>
        <v>455.216285040676</v>
      </c>
      <c r="AR21" s="11" t="n">
        <f aca="false">AR16+AR17+AR18+AR19+AR20</f>
        <v>440.830281902861</v>
      </c>
      <c r="AS21" s="11" t="n">
        <f aca="false">AS16+AS17+AS18+AS19+AS20</f>
        <v>429.001439226083</v>
      </c>
      <c r="AT21" s="11" t="n">
        <f aca="false">AT16+AT17+AT18+AT19+AT20</f>
        <v>418.997863053039</v>
      </c>
      <c r="AU21" s="11" t="n">
        <f aca="false">AU16+AU17+AU18+AU19+AU20</f>
        <v>356.609410144724</v>
      </c>
      <c r="AV21" s="11" t="n">
        <f aca="false">AV16+AV17+AV18+AV19+AV20</f>
        <v>340.379652419656</v>
      </c>
      <c r="AW21" s="11" t="n">
        <f aca="false">AW16+AW17+AW18+AW19+AW20</f>
        <v>327.916698614674</v>
      </c>
      <c r="AX21" s="11" t="n">
        <f aca="false">AX16+AX17+AX18+AX19+AX20</f>
        <v>311.836738779155</v>
      </c>
      <c r="AY21" s="11" t="n">
        <f aca="false">AY16+AY17+AY18+AY19+AY20</f>
        <v>297.735132366858</v>
      </c>
      <c r="AZ21" s="11" t="n">
        <f aca="false">AZ16+AZ17+AZ18+AZ19+AZ20</f>
        <v>281.746114404929</v>
      </c>
      <c r="BA21" s="11" t="n">
        <f aca="false">BA16+BA17+BA18+BA19+BA20</f>
        <v>267.888627337254</v>
      </c>
      <c r="BB21" s="11" t="n">
        <f aca="false">BB16+BB17+BB18+BB19+BB20</f>
        <v>252.214954825689</v>
      </c>
      <c r="BC21" s="11" t="n">
        <f aca="false">BC16+BC17+BC18+BC19+BC20</f>
        <v>234.518857207427</v>
      </c>
      <c r="BD21" s="11" t="n">
        <f aca="false">BD16+BD17+BD18+BD19+BD20</f>
        <v>219.705462940342</v>
      </c>
      <c r="BE21" s="11" t="n">
        <f aca="false">BE16+BE17+BE18+BE19+BE20</f>
        <v>211.086884631833</v>
      </c>
      <c r="BF21" s="11" t="n">
        <f aca="false">BF16+BF17+BF18+BF19+BF20</f>
        <v>199.234170744824</v>
      </c>
      <c r="BG21" s="11" t="n">
        <f aca="false">BG16+BG17+BG18+BG19+BG20</f>
        <v>189.515361306192</v>
      </c>
      <c r="BH21" s="11" t="n">
        <f aca="false">BH16+BH17+BH18+BH19+BH20</f>
        <v>177.801388322899</v>
      </c>
      <c r="BI21" s="11" t="n">
        <f aca="false">BI16+BI17+BI18+BI19+BI20</f>
        <v>168.391028418517</v>
      </c>
      <c r="BJ21" s="11" t="n">
        <f aca="false">BJ16+BJ17+BJ18+BJ19+BJ20</f>
        <v>156.639293853588</v>
      </c>
      <c r="BK21" s="11" t="n">
        <f aca="false">BK16+BK17+BK18+BK19+BK20</f>
        <v>123.202458720428</v>
      </c>
      <c r="BL21" s="11" t="n">
        <f aca="false">BL16+BL17+BL18+BL19+BL20</f>
        <v>108.836668843784</v>
      </c>
      <c r="BM21" s="11" t="n">
        <f aca="false">BM16+BM17+BM18+BM19+BM20</f>
        <v>98.0663839222741</v>
      </c>
      <c r="BN21" s="11" t="n">
        <f aca="false">BN16+BN17+BN18+BN19+BN20</f>
        <v>0</v>
      </c>
    </row>
    <row r="22" customFormat="false" ht="15" hidden="false" customHeight="false" outlineLevel="0" collapsed="false">
      <c r="D22" s="0" t="s">
        <v>779</v>
      </c>
      <c r="E22" s="0" t="s">
        <v>149</v>
      </c>
      <c r="J22" s="11" t="n">
        <f aca="false">IF(Time!J17&lt;Time!$F$11,SUMIFS(Funding!$J$73:$BJ$73,Construction!$J$12:$BJ$12,"&lt;="&amp;Time!J17),Debt!J123)</f>
        <v>100.47215065462</v>
      </c>
      <c r="K22" s="11" t="n">
        <f aca="false">IF(Time!K17&lt;Time!$F$11,SUMIFS(Funding!$J$73:$BJ$73,Construction!$J$12:$BJ$12,"&lt;="&amp;Time!K17),Debt!K123)</f>
        <v>147.865999849068</v>
      </c>
      <c r="L22" s="11" t="n">
        <f aca="false">IF(Time!L17&lt;Time!$F$11,SUMIFS(Funding!$J$73:$BJ$73,Construction!$J$12:$BJ$12,"&lt;="&amp;Time!L17),Debt!L123)</f>
        <v>240.662223734</v>
      </c>
      <c r="M22" s="11" t="n">
        <f aca="false">IF(Time!M17&lt;Time!$F$11,SUMIFS(Funding!$J$73:$BJ$73,Construction!$J$12:$BJ$12,"&lt;="&amp;Time!M17),Debt!M123)</f>
        <v>357.984810351982</v>
      </c>
      <c r="N22" s="11" t="n">
        <f aca="false">IF(Time!N17&lt;Time!$F$11,SUMIFS(Funding!$J$73:$BJ$73,Construction!$J$12:$BJ$12,"&lt;="&amp;Time!N17),Debt!N123)</f>
        <v>465.857547998187</v>
      </c>
      <c r="O22" s="11" t="n">
        <f aca="false">IF(Time!O17&lt;Time!$F$11,SUMIFS(Funding!$J$73:$BJ$73,Construction!$J$12:$BJ$12,"&lt;="&amp;Time!O17),Debt!O123)</f>
        <v>535.902777053446</v>
      </c>
      <c r="P22" s="11" t="n">
        <f aca="false">IF(Time!P17&lt;Time!$F$11,SUMIFS(Funding!$J$73:$BJ$73,Construction!$J$12:$BJ$12,"&lt;="&amp;Time!P17),Debt!P123)</f>
        <v>626.915955776128</v>
      </c>
      <c r="Q22" s="11" t="n">
        <f aca="false">IF(Time!Q17&lt;Time!$F$11,SUMIFS(Funding!$J$73:$BJ$73,Construction!$J$12:$BJ$12,"&lt;="&amp;Time!Q17),Debt!Q123)</f>
        <v>592.45614703031</v>
      </c>
      <c r="R22" s="11" t="n">
        <f aca="false">IF(Time!R17&lt;Time!$F$11,SUMIFS(Funding!$J$73:$BJ$73,Construction!$J$12:$BJ$12,"&lt;="&amp;Time!R17),Debt!R123)</f>
        <v>575.895373380381</v>
      </c>
      <c r="S22" s="11" t="n">
        <f aca="false">IF(Time!S17&lt;Time!$F$11,SUMIFS(Funding!$J$73:$BJ$73,Construction!$J$12:$BJ$12,"&lt;="&amp;Time!S17),Debt!S123)</f>
        <v>558.751384408624</v>
      </c>
      <c r="T22" s="11" t="n">
        <f aca="false">IF(Time!T17&lt;Time!$F$11,SUMIFS(Funding!$J$73:$BJ$73,Construction!$J$12:$BJ$12,"&lt;="&amp;Time!T17),Debt!T123)</f>
        <v>551.572055432639</v>
      </c>
      <c r="U22" s="11" t="n">
        <f aca="false">IF(Time!U17&lt;Time!$F$11,SUMIFS(Funding!$J$73:$BJ$73,Construction!$J$12:$BJ$12,"&lt;="&amp;Time!U17),Debt!U123)</f>
        <v>530.431872534776</v>
      </c>
      <c r="V22" s="11" t="n">
        <f aca="false">IF(Time!V17&lt;Time!$F$11,SUMIFS(Funding!$J$73:$BJ$73,Construction!$J$12:$BJ$12,"&lt;="&amp;Time!V17),Debt!V123)</f>
        <v>508.44720397408</v>
      </c>
      <c r="W22" s="11" t="n">
        <f aca="false">IF(Time!W17&lt;Time!$F$11,SUMIFS(Funding!$J$73:$BJ$73,Construction!$J$12:$BJ$12,"&lt;="&amp;Time!W17),Debt!W123)</f>
        <v>486.404264076018</v>
      </c>
      <c r="X22" s="11" t="n">
        <f aca="false">IF(Time!X17&lt;Time!$F$11,SUMIFS(Funding!$J$73:$BJ$73,Construction!$J$12:$BJ$12,"&lt;="&amp;Time!X17),Debt!X123)</f>
        <v>471.307248161206</v>
      </c>
      <c r="Y22" s="11" t="n">
        <f aca="false">IF(Time!Y17&lt;Time!$F$11,SUMIFS(Funding!$J$73:$BJ$73,Construction!$J$12:$BJ$12,"&lt;="&amp;Time!Y17),Debt!Y123)</f>
        <v>457.12177454903</v>
      </c>
      <c r="Z22" s="11" t="n">
        <f aca="false">IF(Time!Z17&lt;Time!$F$11,SUMIFS(Funding!$J$73:$BJ$73,Construction!$J$12:$BJ$12,"&lt;="&amp;Time!Z17),Debt!Z123)</f>
        <v>442.093388859551</v>
      </c>
      <c r="AA22" s="11" t="n">
        <f aca="false">IF(Time!AA17&lt;Time!$F$11,SUMIFS(Funding!$J$73:$BJ$73,Construction!$J$12:$BJ$12,"&lt;="&amp;Time!AA17),Debt!AA123)</f>
        <v>426.853808056273</v>
      </c>
      <c r="AB22" s="11" t="n">
        <f aca="false">IF(Time!AB17&lt;Time!$F$11,SUMIFS(Funding!$J$73:$BJ$73,Construction!$J$12:$BJ$12,"&lt;="&amp;Time!AB17),Debt!AB123)</f>
        <v>410.764764008628</v>
      </c>
      <c r="AC22" s="11" t="n">
        <f aca="false">IF(Time!AC17&lt;Time!$F$11,SUMIFS(Funding!$J$73:$BJ$73,Construction!$J$12:$BJ$12,"&lt;="&amp;Time!AC17),Debt!AC123)</f>
        <v>394.34063352286</v>
      </c>
      <c r="AD22" s="11" t="n">
        <f aca="false">IF(Time!AD17&lt;Time!$F$11,SUMIFS(Funding!$J$73:$BJ$73,Construction!$J$12:$BJ$12,"&lt;="&amp;Time!AD17),Debt!AD123)</f>
        <v>377.087276553614</v>
      </c>
      <c r="AE22" s="11" t="n">
        <f aca="false">IF(Time!AE17&lt;Time!$F$11,SUMIFS(Funding!$J$73:$BJ$73,Construction!$J$12:$BJ$12,"&lt;="&amp;Time!AE17),Debt!AE123)</f>
        <v>358.360221082408</v>
      </c>
      <c r="AF22" s="11" t="n">
        <f aca="false">IF(Time!AF17&lt;Time!$F$11,SUMIFS(Funding!$J$73:$BJ$73,Construction!$J$12:$BJ$12,"&lt;="&amp;Time!AF17),Debt!AF123)</f>
        <v>338.55767297016</v>
      </c>
      <c r="AG22" s="11" t="n">
        <f aca="false">IF(Time!AG17&lt;Time!$F$11,SUMIFS(Funding!$J$73:$BJ$73,Construction!$J$12:$BJ$12,"&lt;="&amp;Time!AG17),Debt!AG123)</f>
        <v>318.592305355821</v>
      </c>
      <c r="AH22" s="11" t="n">
        <f aca="false">IF(Time!AH17&lt;Time!$F$11,SUMIFS(Funding!$J$73:$BJ$73,Construction!$J$12:$BJ$12,"&lt;="&amp;Time!AH17),Debt!AH123)</f>
        <v>297.563966569774</v>
      </c>
      <c r="AI22" s="11" t="n">
        <f aca="false">IF(Time!AI17&lt;Time!$F$11,SUMIFS(Funding!$J$73:$BJ$73,Construction!$J$12:$BJ$12,"&lt;="&amp;Time!AI17),Debt!AI123)</f>
        <v>276.050764171371</v>
      </c>
      <c r="AJ22" s="11" t="n">
        <f aca="false">IF(Time!AJ17&lt;Time!$F$11,SUMIFS(Funding!$J$73:$BJ$73,Construction!$J$12:$BJ$12,"&lt;="&amp;Time!AJ17),Debt!AJ123)</f>
        <v>253.480339629673</v>
      </c>
      <c r="AK22" s="11" t="n">
        <f aca="false">IF(Time!AK17&lt;Time!$F$11,SUMIFS(Funding!$J$73:$BJ$73,Construction!$J$12:$BJ$12,"&lt;="&amp;Time!AK17),Debt!AK123)</f>
        <v>230.404175589692</v>
      </c>
      <c r="AL22" s="11" t="n">
        <f aca="false">IF(Time!AL17&lt;Time!$F$11,SUMIFS(Funding!$J$73:$BJ$73,Construction!$J$12:$BJ$12,"&lt;="&amp;Time!AL17),Debt!AL123)</f>
        <v>206.280343993572</v>
      </c>
      <c r="AM22" s="11" t="n">
        <f aca="false">IF(Time!AM17&lt;Time!$F$11,SUMIFS(Funding!$J$73:$BJ$73,Construction!$J$12:$BJ$12,"&lt;="&amp;Time!AM17),Debt!AM123)</f>
        <v>181.983474287647</v>
      </c>
      <c r="AN22" s="11" t="n">
        <f aca="false">IF(Time!AN17&lt;Time!$F$11,SUMIFS(Funding!$J$73:$BJ$73,Construction!$J$12:$BJ$12,"&lt;="&amp;Time!AN17),Debt!AN123)</f>
        <v>160.600190618</v>
      </c>
      <c r="AO22" s="11" t="n">
        <f aca="false">IF(Time!AO17&lt;Time!$F$11,SUMIFS(Funding!$J$73:$BJ$73,Construction!$J$12:$BJ$12,"&lt;="&amp;Time!AO17),Debt!AO123)</f>
        <v>140.660241147255</v>
      </c>
      <c r="AP22" s="11" t="n">
        <f aca="false">IF(Time!AP17&lt;Time!$F$11,SUMIFS(Funding!$J$73:$BJ$73,Construction!$J$12:$BJ$12,"&lt;="&amp;Time!AP17),Debt!AP123)</f>
        <v>119.814088705888</v>
      </c>
      <c r="AQ22" s="11" t="n">
        <f aca="false">IF(Time!AQ17&lt;Time!$F$11,SUMIFS(Funding!$J$73:$BJ$73,Construction!$J$12:$BJ$12,"&lt;="&amp;Time!AQ17),Debt!AQ123)</f>
        <v>98.5080043681347</v>
      </c>
      <c r="AR22" s="11" t="n">
        <f aca="false">IF(Time!AR17&lt;Time!$F$11,SUMIFS(Funding!$J$73:$BJ$73,Construction!$J$12:$BJ$12,"&lt;="&amp;Time!AR17),Debt!AR123)</f>
        <v>76.0796562337036</v>
      </c>
      <c r="AS22" s="11" t="n">
        <f aca="false">IF(Time!AS17&lt;Time!$F$11,SUMIFS(Funding!$J$73:$BJ$73,Construction!$J$12:$BJ$12,"&lt;="&amp;Time!AS17),Debt!AS123)</f>
        <v>53.1331565878772</v>
      </c>
      <c r="AT22" s="11" t="n">
        <f aca="false">IF(Time!AT17&lt;Time!$F$11,SUMIFS(Funding!$J$73:$BJ$73,Construction!$J$12:$BJ$12,"&lt;="&amp;Time!AT17),Debt!AT123)</f>
        <v>29.081229949173</v>
      </c>
      <c r="AU22" s="11" t="n">
        <f aca="false">IF(Time!AU17&lt;Time!$F$11,SUMIFS(Funding!$J$73:$BJ$73,Construction!$J$12:$BJ$12,"&lt;="&amp;Time!AU17),Debt!AU123)</f>
        <v>0</v>
      </c>
      <c r="AV22" s="11" t="n">
        <f aca="false">IF(Time!AV17&lt;Time!$F$11,SUMIFS(Funding!$J$73:$BJ$73,Construction!$J$12:$BJ$12,"&lt;="&amp;Time!AV17),Debt!AV123)</f>
        <v>0</v>
      </c>
      <c r="AW22" s="11" t="n">
        <f aca="false">IF(Time!AW17&lt;Time!$F$11,SUMIFS(Funding!$J$73:$BJ$73,Construction!$J$12:$BJ$12,"&lt;="&amp;Time!AW17),Debt!AW123)</f>
        <v>0</v>
      </c>
      <c r="AX22" s="11" t="n">
        <f aca="false">IF(Time!AX17&lt;Time!$F$11,SUMIFS(Funding!$J$73:$BJ$73,Construction!$J$12:$BJ$12,"&lt;="&amp;Time!AX17),Debt!AX123)</f>
        <v>0</v>
      </c>
      <c r="AY22" s="11" t="n">
        <f aca="false">IF(Time!AY17&lt;Time!$F$11,SUMIFS(Funding!$J$73:$BJ$73,Construction!$J$12:$BJ$12,"&lt;="&amp;Time!AY17),Debt!AY123)</f>
        <v>0</v>
      </c>
      <c r="AZ22" s="11" t="n">
        <f aca="false">IF(Time!AZ17&lt;Time!$F$11,SUMIFS(Funding!$J$73:$BJ$73,Construction!$J$12:$BJ$12,"&lt;="&amp;Time!AZ17),Debt!AZ123)</f>
        <v>0</v>
      </c>
      <c r="BA22" s="11" t="n">
        <f aca="false">IF(Time!BA17&lt;Time!$F$11,SUMIFS(Funding!$J$73:$BJ$73,Construction!$J$12:$BJ$12,"&lt;="&amp;Time!BA17),Debt!BA123)</f>
        <v>0</v>
      </c>
      <c r="BB22" s="11" t="n">
        <f aca="false">IF(Time!BB17&lt;Time!$F$11,SUMIFS(Funding!$J$73:$BJ$73,Construction!$J$12:$BJ$12,"&lt;="&amp;Time!BB17),Debt!BB123)</f>
        <v>0</v>
      </c>
      <c r="BC22" s="11" t="n">
        <f aca="false">IF(Time!BC17&lt;Time!$F$11,SUMIFS(Funding!$J$73:$BJ$73,Construction!$J$12:$BJ$12,"&lt;="&amp;Time!BC17),Debt!BC123)</f>
        <v>0</v>
      </c>
      <c r="BD22" s="11" t="n">
        <f aca="false">IF(Time!BD17&lt;Time!$F$11,SUMIFS(Funding!$J$73:$BJ$73,Construction!$J$12:$BJ$12,"&lt;="&amp;Time!BD17),Debt!BD123)</f>
        <v>0</v>
      </c>
      <c r="BE22" s="11" t="n">
        <f aca="false">IF(Time!BE17&lt;Time!$F$11,SUMIFS(Funding!$J$73:$BJ$73,Construction!$J$12:$BJ$12,"&lt;="&amp;Time!BE17),Debt!BE123)</f>
        <v>0</v>
      </c>
      <c r="BF22" s="11" t="n">
        <f aca="false">IF(Time!BF17&lt;Time!$F$11,SUMIFS(Funding!$J$73:$BJ$73,Construction!$J$12:$BJ$12,"&lt;="&amp;Time!BF17),Debt!BF123)</f>
        <v>0</v>
      </c>
      <c r="BG22" s="11" t="n">
        <f aca="false">IF(Time!BG17&lt;Time!$F$11,SUMIFS(Funding!$J$73:$BJ$73,Construction!$J$12:$BJ$12,"&lt;="&amp;Time!BG17),Debt!BG123)</f>
        <v>0</v>
      </c>
      <c r="BH22" s="11" t="n">
        <f aca="false">IF(Time!BH17&lt;Time!$F$11,SUMIFS(Funding!$J$73:$BJ$73,Construction!$J$12:$BJ$12,"&lt;="&amp;Time!BH17),Debt!BH123)</f>
        <v>0</v>
      </c>
      <c r="BI22" s="11" t="n">
        <f aca="false">IF(Time!BI17&lt;Time!$F$11,SUMIFS(Funding!$J$73:$BJ$73,Construction!$J$12:$BJ$12,"&lt;="&amp;Time!BI17),Debt!BI123)</f>
        <v>0</v>
      </c>
      <c r="BJ22" s="11" t="n">
        <f aca="false">IF(Time!BJ17&lt;Time!$F$11,SUMIFS(Funding!$J$73:$BJ$73,Construction!$J$12:$BJ$12,"&lt;="&amp;Time!BJ17),Debt!BJ123)</f>
        <v>0</v>
      </c>
      <c r="BK22" s="11" t="n">
        <f aca="false">IF(Time!BK17&lt;Time!$F$11,SUMIFS(Funding!$J$73:$BJ$73,Construction!$J$12:$BJ$12,"&lt;="&amp;Time!BK17),Debt!BK123)</f>
        <v>0</v>
      </c>
      <c r="BL22" s="11" t="n">
        <f aca="false">IF(Time!BL17&lt;Time!$F$11,SUMIFS(Funding!$J$73:$BJ$73,Construction!$J$12:$BJ$12,"&lt;="&amp;Time!BL17),Debt!BL123)</f>
        <v>0</v>
      </c>
      <c r="BM22" s="11" t="n">
        <f aca="false">IF(Time!BM17&lt;Time!$F$11,SUMIFS(Funding!$J$73:$BJ$73,Construction!$J$12:$BJ$12,"&lt;="&amp;Time!BM17),Debt!BM123)</f>
        <v>0</v>
      </c>
      <c r="BN22" s="11" t="n">
        <f aca="false">IF(Time!BN17&lt;Time!$F$11,SUMIFS(Funding!$J$73:$BJ$73,Construction!$J$12:$BJ$12,"&lt;="&amp;Time!BN17),Debt!BN123)</f>
        <v>0</v>
      </c>
    </row>
    <row r="23" customFormat="false" ht="15" hidden="false" customHeight="false" outlineLevel="0" collapsed="false">
      <c r="D23" s="0" t="s">
        <v>780</v>
      </c>
      <c r="E23" s="0" t="s">
        <v>149</v>
      </c>
      <c r="J23" s="11" t="n">
        <f aca="false">IF(Time!J17&lt;Time!$F$11,SUMIFS(Funding!$J$70:$BJ$70,Construction!$J$12:$BJ$12,"&lt;="&amp;Time!J17)+SUMIFS(Funding!$J$71:$BJ$71,Construction!$J$12:$BJ$12,"&lt;="&amp;Time!J17),Waterfall!J36)</f>
        <v>28.99569428324</v>
      </c>
      <c r="K23" s="11" t="n">
        <f aca="false">IF(Time!K17&lt;Time!$F$11,SUMIFS(Funding!$J$70:$BJ$70,Construction!$J$12:$BJ$12,"&lt;="&amp;Time!K17)+SUMIFS(Funding!$J$71:$BJ$71,Construction!$J$12:$BJ$12,"&lt;="&amp;Time!K17),Waterfall!K36)</f>
        <v>43.8831754066223</v>
      </c>
      <c r="L23" s="11" t="n">
        <f aca="false">IF(Time!L17&lt;Time!$F$11,SUMIFS(Funding!$J$70:$BJ$70,Construction!$J$12:$BJ$12,"&lt;="&amp;Time!L17)+SUMIFS(Funding!$J$71:$BJ$71,Construction!$J$12:$BJ$12,"&lt;="&amp;Time!L17),Waterfall!L36)</f>
        <v>72.5133548746166</v>
      </c>
      <c r="M23" s="11" t="n">
        <f aca="false">IF(Time!M17&lt;Time!$F$11,SUMIFS(Funding!$J$70:$BJ$70,Construction!$J$12:$BJ$12,"&lt;="&amp;Time!M17)+SUMIFS(Funding!$J$71:$BJ$71,Construction!$J$12:$BJ$12,"&lt;="&amp;Time!M17),Waterfall!M36)</f>
        <v>109.547599456731</v>
      </c>
      <c r="N23" s="11" t="n">
        <f aca="false">IF(Time!N17&lt;Time!$F$11,SUMIFS(Funding!$J$70:$BJ$70,Construction!$J$12:$BJ$12,"&lt;="&amp;Time!N17)+SUMIFS(Funding!$J$71:$BJ$71,Construction!$J$12:$BJ$12,"&lt;="&amp;Time!N17),Waterfall!N36)</f>
        <v>145.759863542166</v>
      </c>
      <c r="O23" s="11" t="n">
        <f aca="false">IF(Time!O17&lt;Time!$F$11,SUMIFS(Funding!$J$70:$BJ$70,Construction!$J$12:$BJ$12,"&lt;="&amp;Time!O17)+SUMIFS(Funding!$J$71:$BJ$71,Construction!$J$12:$BJ$12,"&lt;="&amp;Time!O17),Waterfall!O36)</f>
        <v>172.844454748577</v>
      </c>
      <c r="P23" s="11" t="n">
        <f aca="false">IF(Time!P17&lt;Time!$F$11,SUMIFS(Funding!$J$70:$BJ$70,Construction!$J$12:$BJ$12,"&lt;="&amp;Time!P17)+SUMIFS(Funding!$J$71:$BJ$71,Construction!$J$12:$BJ$12,"&lt;="&amp;Time!P17),Waterfall!P36)</f>
        <v>207.113817150232</v>
      </c>
      <c r="Q23" s="11" t="n">
        <f aca="false">IF(Time!Q17&lt;Time!$F$11,SUMIFS(Funding!$J$70:$BJ$70,Construction!$J$12:$BJ$12,"&lt;="&amp;Time!Q17)+SUMIFS(Funding!$J$71:$BJ$71,Construction!$J$12:$BJ$12,"&lt;="&amp;Time!Q17),Waterfall!Q36)</f>
        <v>199.191570125999</v>
      </c>
      <c r="R23" s="11" t="n">
        <f aca="false">IF(Time!R17&lt;Time!$F$11,SUMIFS(Funding!$J$70:$BJ$70,Construction!$J$12:$BJ$12,"&lt;="&amp;Time!R17)+SUMIFS(Funding!$J$71:$BJ$71,Construction!$J$12:$BJ$12,"&lt;="&amp;Time!R17),Waterfall!R36)</f>
        <v>208.730936278882</v>
      </c>
      <c r="S23" s="11" t="n">
        <f aca="false">IF(Time!S17&lt;Time!$F$11,SUMIFS(Funding!$J$70:$BJ$70,Construction!$J$12:$BJ$12,"&lt;="&amp;Time!S17)+SUMIFS(Funding!$J$71:$BJ$71,Construction!$J$12:$BJ$12,"&lt;="&amp;Time!S17),Waterfall!S36)</f>
        <v>218.564164907143</v>
      </c>
      <c r="T23" s="11" t="n">
        <f aca="false">IF(Time!T17&lt;Time!$F$11,SUMIFS(Funding!$J$70:$BJ$70,Construction!$J$12:$BJ$12,"&lt;="&amp;Time!T17)+SUMIFS(Funding!$J$71:$BJ$71,Construction!$J$12:$BJ$12,"&lt;="&amp;Time!T17),Waterfall!T36)</f>
        <v>229.031292585436</v>
      </c>
      <c r="U23" s="11" t="n">
        <f aca="false">IF(Time!U17&lt;Time!$F$11,SUMIFS(Funding!$J$70:$BJ$70,Construction!$J$12:$BJ$12,"&lt;="&amp;Time!U17)+SUMIFS(Funding!$J$71:$BJ$71,Construction!$J$12:$BJ$12,"&lt;="&amp;Time!U17),Waterfall!U36)</f>
        <v>239.880473541059</v>
      </c>
      <c r="V23" s="11" t="n">
        <f aca="false">IF(Time!V17&lt;Time!$F$11,SUMIFS(Funding!$J$70:$BJ$70,Construction!$J$12:$BJ$12,"&lt;="&amp;Time!V17)+SUMIFS(Funding!$J$71:$BJ$71,Construction!$J$12:$BJ$12,"&lt;="&amp;Time!V17),Waterfall!V36)</f>
        <v>204.978153152226</v>
      </c>
      <c r="W23" s="11" t="n">
        <f aca="false">IF(Time!W17&lt;Time!$F$11,SUMIFS(Funding!$J$70:$BJ$70,Construction!$J$12:$BJ$12,"&lt;="&amp;Time!W17)+SUMIFS(Funding!$J$71:$BJ$71,Construction!$J$12:$BJ$12,"&lt;="&amp;Time!W17),Waterfall!W36)</f>
        <v>191.255285949667</v>
      </c>
      <c r="X23" s="11" t="n">
        <f aca="false">IF(Time!X17&lt;Time!$F$11,SUMIFS(Funding!$J$70:$BJ$70,Construction!$J$12:$BJ$12,"&lt;="&amp;Time!X17)+SUMIFS(Funding!$J$71:$BJ$71,Construction!$J$12:$BJ$12,"&lt;="&amp;Time!X17),Waterfall!X36)</f>
        <v>179.134336042474</v>
      </c>
      <c r="Y23" s="11" t="n">
        <f aca="false">IF(Time!Y17&lt;Time!$F$11,SUMIFS(Funding!$J$70:$BJ$70,Construction!$J$12:$BJ$12,"&lt;="&amp;Time!Y17)+SUMIFS(Funding!$J$71:$BJ$71,Construction!$J$12:$BJ$12,"&lt;="&amp;Time!Y17),Waterfall!Y36)</f>
        <v>169.288418433107</v>
      </c>
      <c r="Z23" s="11" t="n">
        <f aca="false">IF(Time!Z17&lt;Time!$F$11,SUMIFS(Funding!$J$70:$BJ$70,Construction!$J$12:$BJ$12,"&lt;="&amp;Time!Z17)+SUMIFS(Funding!$J$71:$BJ$71,Construction!$J$12:$BJ$12,"&lt;="&amp;Time!Z17),Waterfall!Z36)</f>
        <v>158.039279428578</v>
      </c>
      <c r="AA23" s="11" t="n">
        <f aca="false">IF(Time!AA17&lt;Time!$F$11,SUMIFS(Funding!$J$70:$BJ$70,Construction!$J$12:$BJ$12,"&lt;="&amp;Time!AA17)+SUMIFS(Funding!$J$71:$BJ$71,Construction!$J$12:$BJ$12,"&lt;="&amp;Time!AA17),Waterfall!AA36)</f>
        <v>147.114153158701</v>
      </c>
      <c r="AB23" s="11" t="n">
        <f aca="false">IF(Time!AB17&lt;Time!$F$11,SUMIFS(Funding!$J$70:$BJ$70,Construction!$J$12:$BJ$12,"&lt;="&amp;Time!AB17)+SUMIFS(Funding!$J$71:$BJ$71,Construction!$J$12:$BJ$12,"&lt;="&amp;Time!AB17),Waterfall!AB36)</f>
        <v>134.905237468194</v>
      </c>
      <c r="AC23" s="11" t="n">
        <f aca="false">IF(Time!AC17&lt;Time!$F$11,SUMIFS(Funding!$J$70:$BJ$70,Construction!$J$12:$BJ$12,"&lt;="&amp;Time!AC17)+SUMIFS(Funding!$J$71:$BJ$71,Construction!$J$12:$BJ$12,"&lt;="&amp;Time!AC17),Waterfall!AC36)</f>
        <v>122.703980558918</v>
      </c>
      <c r="AD23" s="11" t="n">
        <f aca="false">IF(Time!AD17&lt;Time!$F$11,SUMIFS(Funding!$J$70:$BJ$70,Construction!$J$12:$BJ$12,"&lt;="&amp;Time!AD17)+SUMIFS(Funding!$J$71:$BJ$71,Construction!$J$12:$BJ$12,"&lt;="&amp;Time!AD17),Waterfall!AD36)</f>
        <v>110.31861433362</v>
      </c>
      <c r="AE23" s="11" t="n">
        <f aca="false">IF(Time!AE17&lt;Time!$F$11,SUMIFS(Funding!$J$70:$BJ$70,Construction!$J$12:$BJ$12,"&lt;="&amp;Time!AE17)+SUMIFS(Funding!$J$71:$BJ$71,Construction!$J$12:$BJ$12,"&lt;="&amp;Time!AE17),Waterfall!AE36)</f>
        <v>96.3467912072697</v>
      </c>
      <c r="AF23" s="11" t="n">
        <f aca="false">IF(Time!AF17&lt;Time!$F$11,SUMIFS(Funding!$J$70:$BJ$70,Construction!$J$12:$BJ$12,"&lt;="&amp;Time!AF17)+SUMIFS(Funding!$J$71:$BJ$71,Construction!$J$12:$BJ$12,"&lt;="&amp;Time!AF17),Waterfall!AF36)</f>
        <v>80.436825680203</v>
      </c>
      <c r="AG23" s="11" t="n">
        <f aca="false">IF(Time!AG17&lt;Time!$F$11,SUMIFS(Funding!$J$70:$BJ$70,Construction!$J$12:$BJ$12,"&lt;="&amp;Time!AG17)+SUMIFS(Funding!$J$71:$BJ$71,Construction!$J$12:$BJ$12,"&lt;="&amp;Time!AG17),Waterfall!AG36)</f>
        <v>64.9798161571769</v>
      </c>
      <c r="AH23" s="11" t="n">
        <f aca="false">IF(Time!AH17&lt;Time!$F$11,SUMIFS(Funding!$J$70:$BJ$70,Construction!$J$12:$BJ$12,"&lt;="&amp;Time!AH17)+SUMIFS(Funding!$J$71:$BJ$71,Construction!$J$12:$BJ$12,"&lt;="&amp;Time!AH17),Waterfall!AH36)</f>
        <v>47.8777714869619</v>
      </c>
      <c r="AI23" s="11" t="n">
        <f aca="false">IF(Time!AI17&lt;Time!$F$11,SUMIFS(Funding!$J$70:$BJ$70,Construction!$J$12:$BJ$12,"&lt;="&amp;Time!AI17)+SUMIFS(Funding!$J$71:$BJ$71,Construction!$J$12:$BJ$12,"&lt;="&amp;Time!AI17),Waterfall!AI36)</f>
        <v>30.6659361025866</v>
      </c>
      <c r="AJ23" s="11" t="n">
        <f aca="false">IF(Time!AJ17&lt;Time!$F$11,SUMIFS(Funding!$J$70:$BJ$70,Construction!$J$12:$BJ$12,"&lt;="&amp;Time!AJ17)+SUMIFS(Funding!$J$71:$BJ$71,Construction!$J$12:$BJ$12,"&lt;="&amp;Time!AJ17),Waterfall!AJ36)</f>
        <v>11.7869713032066</v>
      </c>
      <c r="AK23" s="11" t="n">
        <f aca="false">IF(Time!AK17&lt;Time!$F$11,SUMIFS(Funding!$J$70:$BJ$70,Construction!$J$12:$BJ$12,"&lt;="&amp;Time!AK17)+SUMIFS(Funding!$J$71:$BJ$71,Construction!$J$12:$BJ$12,"&lt;="&amp;Time!AK17),Waterfall!AK36)</f>
        <v>0</v>
      </c>
      <c r="AL23" s="11" t="n">
        <f aca="false">IF(Time!AL17&lt;Time!$F$11,SUMIFS(Funding!$J$70:$BJ$70,Construction!$J$12:$BJ$12,"&lt;="&amp;Time!AL17)+SUMIFS(Funding!$J$71:$BJ$71,Construction!$J$12:$BJ$12,"&lt;="&amp;Time!AL17),Waterfall!AL36)</f>
        <v>0</v>
      </c>
      <c r="AM23" s="11" t="n">
        <f aca="false">IF(Time!AM17&lt;Time!$F$11,SUMIFS(Funding!$J$70:$BJ$70,Construction!$J$12:$BJ$12,"&lt;="&amp;Time!AM17)+SUMIFS(Funding!$J$71:$BJ$71,Construction!$J$12:$BJ$12,"&lt;="&amp;Time!AM17),Waterfall!AM36)</f>
        <v>0</v>
      </c>
      <c r="AN23" s="11" t="n">
        <f aca="false">IF(Time!AN17&lt;Time!$F$11,SUMIFS(Funding!$J$70:$BJ$70,Construction!$J$12:$BJ$12,"&lt;="&amp;Time!AN17)+SUMIFS(Funding!$J$71:$BJ$71,Construction!$J$12:$BJ$12,"&lt;="&amp;Time!AN17),Waterfall!AN36)</f>
        <v>0</v>
      </c>
      <c r="AO23" s="11" t="n">
        <f aca="false">IF(Time!AO17&lt;Time!$F$11,SUMIFS(Funding!$J$70:$BJ$70,Construction!$J$12:$BJ$12,"&lt;="&amp;Time!AO17)+SUMIFS(Funding!$J$71:$BJ$71,Construction!$J$12:$BJ$12,"&lt;="&amp;Time!AO17),Waterfall!AO36)</f>
        <v>0</v>
      </c>
      <c r="AP23" s="11" t="n">
        <f aca="false">IF(Time!AP17&lt;Time!$F$11,SUMIFS(Funding!$J$70:$BJ$70,Construction!$J$12:$BJ$12,"&lt;="&amp;Time!AP17)+SUMIFS(Funding!$J$71:$BJ$71,Construction!$J$12:$BJ$12,"&lt;="&amp;Time!AP17),Waterfall!AP36)</f>
        <v>0</v>
      </c>
      <c r="AQ23" s="11" t="n">
        <f aca="false">IF(Time!AQ17&lt;Time!$F$11,SUMIFS(Funding!$J$70:$BJ$70,Construction!$J$12:$BJ$12,"&lt;="&amp;Time!AQ17)+SUMIFS(Funding!$J$71:$BJ$71,Construction!$J$12:$BJ$12,"&lt;="&amp;Time!AQ17),Waterfall!AQ36)</f>
        <v>0</v>
      </c>
      <c r="AR23" s="11" t="n">
        <f aca="false">IF(Time!AR17&lt;Time!$F$11,SUMIFS(Funding!$J$70:$BJ$70,Construction!$J$12:$BJ$12,"&lt;="&amp;Time!AR17)+SUMIFS(Funding!$J$71:$BJ$71,Construction!$J$12:$BJ$12,"&lt;="&amp;Time!AR17),Waterfall!AR36)</f>
        <v>0</v>
      </c>
      <c r="AS23" s="11" t="n">
        <f aca="false">IF(Time!AS17&lt;Time!$F$11,SUMIFS(Funding!$J$70:$BJ$70,Construction!$J$12:$BJ$12,"&lt;="&amp;Time!AS17)+SUMIFS(Funding!$J$71:$BJ$71,Construction!$J$12:$BJ$12,"&lt;="&amp;Time!AS17),Waterfall!AS36)</f>
        <v>0</v>
      </c>
      <c r="AT23" s="11" t="n">
        <f aca="false">IF(Time!AT17&lt;Time!$F$11,SUMIFS(Funding!$J$70:$BJ$70,Construction!$J$12:$BJ$12,"&lt;="&amp;Time!AT17)+SUMIFS(Funding!$J$71:$BJ$71,Construction!$J$12:$BJ$12,"&lt;="&amp;Time!AT17),Waterfall!AT36)</f>
        <v>0</v>
      </c>
      <c r="AU23" s="11" t="n">
        <f aca="false">IF(Time!AU17&lt;Time!$F$11,SUMIFS(Funding!$J$70:$BJ$70,Construction!$J$12:$BJ$12,"&lt;="&amp;Time!AU17)+SUMIFS(Funding!$J$71:$BJ$71,Construction!$J$12:$BJ$12,"&lt;="&amp;Time!AU17),Waterfall!AU36)</f>
        <v>0</v>
      </c>
      <c r="AV23" s="11" t="n">
        <f aca="false">IF(Time!AV17&lt;Time!$F$11,SUMIFS(Funding!$J$70:$BJ$70,Construction!$J$12:$BJ$12,"&lt;="&amp;Time!AV17)+SUMIFS(Funding!$J$71:$BJ$71,Construction!$J$12:$BJ$12,"&lt;="&amp;Time!AV17),Waterfall!AV36)</f>
        <v>0</v>
      </c>
      <c r="AW23" s="11" t="n">
        <f aca="false">IF(Time!AW17&lt;Time!$F$11,SUMIFS(Funding!$J$70:$BJ$70,Construction!$J$12:$BJ$12,"&lt;="&amp;Time!AW17)+SUMIFS(Funding!$J$71:$BJ$71,Construction!$J$12:$BJ$12,"&lt;="&amp;Time!AW17),Waterfall!AW36)</f>
        <v>0</v>
      </c>
      <c r="AX23" s="11" t="n">
        <f aca="false">IF(Time!AX17&lt;Time!$F$11,SUMIFS(Funding!$J$70:$BJ$70,Construction!$J$12:$BJ$12,"&lt;="&amp;Time!AX17)+SUMIFS(Funding!$J$71:$BJ$71,Construction!$J$12:$BJ$12,"&lt;="&amp;Time!AX17),Waterfall!AX36)</f>
        <v>0</v>
      </c>
      <c r="AY23" s="11" t="n">
        <f aca="false">IF(Time!AY17&lt;Time!$F$11,SUMIFS(Funding!$J$70:$BJ$70,Construction!$J$12:$BJ$12,"&lt;="&amp;Time!AY17)+SUMIFS(Funding!$J$71:$BJ$71,Construction!$J$12:$BJ$12,"&lt;="&amp;Time!AY17),Waterfall!AY36)</f>
        <v>0</v>
      </c>
      <c r="AZ23" s="11" t="n">
        <f aca="false">IF(Time!AZ17&lt;Time!$F$11,SUMIFS(Funding!$J$70:$BJ$70,Construction!$J$12:$BJ$12,"&lt;="&amp;Time!AZ17)+SUMIFS(Funding!$J$71:$BJ$71,Construction!$J$12:$BJ$12,"&lt;="&amp;Time!AZ17),Waterfall!AZ36)</f>
        <v>0</v>
      </c>
      <c r="BA23" s="11" t="n">
        <f aca="false">IF(Time!BA17&lt;Time!$F$11,SUMIFS(Funding!$J$70:$BJ$70,Construction!$J$12:$BJ$12,"&lt;="&amp;Time!BA17)+SUMIFS(Funding!$J$71:$BJ$71,Construction!$J$12:$BJ$12,"&lt;="&amp;Time!BA17),Waterfall!BA36)</f>
        <v>0</v>
      </c>
      <c r="BB23" s="11" t="n">
        <f aca="false">IF(Time!BB17&lt;Time!$F$11,SUMIFS(Funding!$J$70:$BJ$70,Construction!$J$12:$BJ$12,"&lt;="&amp;Time!BB17)+SUMIFS(Funding!$J$71:$BJ$71,Construction!$J$12:$BJ$12,"&lt;="&amp;Time!BB17),Waterfall!BB36)</f>
        <v>0</v>
      </c>
      <c r="BC23" s="11" t="n">
        <f aca="false">IF(Time!BC17&lt;Time!$F$11,SUMIFS(Funding!$J$70:$BJ$70,Construction!$J$12:$BJ$12,"&lt;="&amp;Time!BC17)+SUMIFS(Funding!$J$71:$BJ$71,Construction!$J$12:$BJ$12,"&lt;="&amp;Time!BC17),Waterfall!BC36)</f>
        <v>0</v>
      </c>
      <c r="BD23" s="11" t="n">
        <f aca="false">IF(Time!BD17&lt;Time!$F$11,SUMIFS(Funding!$J$70:$BJ$70,Construction!$J$12:$BJ$12,"&lt;="&amp;Time!BD17)+SUMIFS(Funding!$J$71:$BJ$71,Construction!$J$12:$BJ$12,"&lt;="&amp;Time!BD17),Waterfall!BD36)</f>
        <v>0</v>
      </c>
      <c r="BE23" s="11" t="n">
        <f aca="false">IF(Time!BE17&lt;Time!$F$11,SUMIFS(Funding!$J$70:$BJ$70,Construction!$J$12:$BJ$12,"&lt;="&amp;Time!BE17)+SUMIFS(Funding!$J$71:$BJ$71,Construction!$J$12:$BJ$12,"&lt;="&amp;Time!BE17),Waterfall!BE36)</f>
        <v>0</v>
      </c>
      <c r="BF23" s="11" t="n">
        <f aca="false">IF(Time!BF17&lt;Time!$F$11,SUMIFS(Funding!$J$70:$BJ$70,Construction!$J$12:$BJ$12,"&lt;="&amp;Time!BF17)+SUMIFS(Funding!$J$71:$BJ$71,Construction!$J$12:$BJ$12,"&lt;="&amp;Time!BF17),Waterfall!BF36)</f>
        <v>0</v>
      </c>
      <c r="BG23" s="11" t="n">
        <f aca="false">IF(Time!BG17&lt;Time!$F$11,SUMIFS(Funding!$J$70:$BJ$70,Construction!$J$12:$BJ$12,"&lt;="&amp;Time!BG17)+SUMIFS(Funding!$J$71:$BJ$71,Construction!$J$12:$BJ$12,"&lt;="&amp;Time!BG17),Waterfall!BG36)</f>
        <v>0</v>
      </c>
      <c r="BH23" s="11" t="n">
        <f aca="false">IF(Time!BH17&lt;Time!$F$11,SUMIFS(Funding!$J$70:$BJ$70,Construction!$J$12:$BJ$12,"&lt;="&amp;Time!BH17)+SUMIFS(Funding!$J$71:$BJ$71,Construction!$J$12:$BJ$12,"&lt;="&amp;Time!BH17),Waterfall!BH36)</f>
        <v>0</v>
      </c>
      <c r="BI23" s="11" t="n">
        <f aca="false">IF(Time!BI17&lt;Time!$F$11,SUMIFS(Funding!$J$70:$BJ$70,Construction!$J$12:$BJ$12,"&lt;="&amp;Time!BI17)+SUMIFS(Funding!$J$71:$BJ$71,Construction!$J$12:$BJ$12,"&lt;="&amp;Time!BI17),Waterfall!BI36)</f>
        <v>0</v>
      </c>
      <c r="BJ23" s="11" t="n">
        <f aca="false">IF(Time!BJ17&lt;Time!$F$11,SUMIFS(Funding!$J$70:$BJ$70,Construction!$J$12:$BJ$12,"&lt;="&amp;Time!BJ17)+SUMIFS(Funding!$J$71:$BJ$71,Construction!$J$12:$BJ$12,"&lt;="&amp;Time!BJ17),Waterfall!BJ36)</f>
        <v>0</v>
      </c>
      <c r="BK23" s="11" t="n">
        <f aca="false">IF(Time!BK17&lt;Time!$F$11,SUMIFS(Funding!$J$70:$BJ$70,Construction!$J$12:$BJ$12,"&lt;="&amp;Time!BK17)+SUMIFS(Funding!$J$71:$BJ$71,Construction!$J$12:$BJ$12,"&lt;="&amp;Time!BK17),Waterfall!BK36)</f>
        <v>0</v>
      </c>
      <c r="BL23" s="11" t="n">
        <f aca="false">IF(Time!BL17&lt;Time!$F$11,SUMIFS(Funding!$J$70:$BJ$70,Construction!$J$12:$BJ$12,"&lt;="&amp;Time!BL17)+SUMIFS(Funding!$J$71:$BJ$71,Construction!$J$12:$BJ$12,"&lt;="&amp;Time!BL17),Waterfall!BL36)</f>
        <v>0</v>
      </c>
      <c r="BM23" s="11" t="n">
        <f aca="false">IF(Time!BM17&lt;Time!$F$11,SUMIFS(Funding!$J$70:$BJ$70,Construction!$J$12:$BJ$12,"&lt;="&amp;Time!BM17)+SUMIFS(Funding!$J$71:$BJ$71,Construction!$J$12:$BJ$12,"&lt;="&amp;Time!BM17),Waterfall!BM36)</f>
        <v>0</v>
      </c>
      <c r="BN23" s="11" t="n">
        <f aca="false">IF(Time!BN17&lt;Time!$F$11,SUMIFS(Funding!$J$70:$BJ$70,Construction!$J$12:$BJ$12,"&lt;="&amp;Time!BN17)+SUMIFS(Funding!$J$71:$BJ$71,Construction!$J$12:$BJ$12,"&lt;="&amp;Time!BN17),Waterfall!BN36)</f>
        <v>0</v>
      </c>
    </row>
    <row r="24" customFormat="false" ht="15" hidden="false" customHeight="false" outlineLevel="0" collapsed="false">
      <c r="D24" s="0" t="s">
        <v>781</v>
      </c>
      <c r="E24" s="0" t="s">
        <v>149</v>
      </c>
      <c r="J24" s="11" t="n">
        <f aca="false">Operations!J86+Operations!J87+Operations!J88+Operations!J89+Operations!J90</f>
        <v>0</v>
      </c>
      <c r="K24" s="11" t="n">
        <f aca="false">Operations!K86+Operations!K87+Operations!K88+Operations!K89+Operations!K90</f>
        <v>0</v>
      </c>
      <c r="L24" s="11" t="n">
        <f aca="false">Operations!L86+Operations!L87+Operations!L88+Operations!L89+Operations!L90</f>
        <v>0</v>
      </c>
      <c r="M24" s="11" t="n">
        <f aca="false">Operations!M86+Operations!M87+Operations!M88+Operations!M89+Operations!M90</f>
        <v>0</v>
      </c>
      <c r="N24" s="11" t="n">
        <f aca="false">Operations!N86+Operations!N87+Operations!N88+Operations!N89+Operations!N90</f>
        <v>0</v>
      </c>
      <c r="O24" s="11" t="n">
        <f aca="false">Operations!O86+Operations!O87+Operations!O88+Operations!O89+Operations!O90</f>
        <v>0</v>
      </c>
      <c r="P24" s="11" t="n">
        <f aca="false">Operations!P86+Operations!P87+Operations!P88+Operations!P89+Operations!P90</f>
        <v>23.6664719370157</v>
      </c>
      <c r="Q24" s="11" t="n">
        <f aca="false">Operations!Q86+Operations!Q87+Operations!Q88+Operations!Q89+Operations!Q90</f>
        <v>41.5318886733805</v>
      </c>
      <c r="R24" s="11" t="n">
        <f aca="false">Operations!R86+Operations!R87+Operations!R88+Operations!R89+Operations!R90</f>
        <v>80.9116268324265</v>
      </c>
      <c r="S24" s="11" t="n">
        <f aca="false">Operations!S86+Operations!S87+Operations!S88+Operations!S89+Operations!S90</f>
        <v>115.161630039499</v>
      </c>
      <c r="T24" s="11" t="n">
        <f aca="false">Operations!T86+Operations!T87+Operations!T88+Operations!T89+Operations!T90</f>
        <v>82.3069232023795</v>
      </c>
      <c r="U24" s="11" t="n">
        <f aca="false">Operations!U86+Operations!U87+Operations!U88+Operations!U89+Operations!U90</f>
        <v>53.4906672973572</v>
      </c>
      <c r="V24" s="11" t="n">
        <f aca="false">Operations!V86+Operations!V87+Operations!V88+Operations!V89+Operations!V90</f>
        <v>35.3770860942684</v>
      </c>
      <c r="W24" s="11" t="n">
        <f aca="false">Operations!W86+Operations!W87+Operations!W88+Operations!W89+Operations!W90</f>
        <v>25.79479288819</v>
      </c>
      <c r="X24" s="11" t="n">
        <f aca="false">Operations!X86+Operations!X87+Operations!X88+Operations!X89+Operations!X90</f>
        <v>25.622195345749</v>
      </c>
      <c r="Y24" s="11" t="n">
        <f aca="false">Operations!Y86+Operations!Y87+Operations!Y88+Operations!Y89+Operations!Y90</f>
        <v>27.2010261533894</v>
      </c>
      <c r="Z24" s="11" t="n">
        <f aca="false">Operations!Z86+Operations!Z87+Operations!Z88+Operations!Z89+Operations!Z90</f>
        <v>26.810995073505</v>
      </c>
      <c r="AA24" s="11" t="n">
        <f aca="false">Operations!AA86+Operations!AA87+Operations!AA88+Operations!AA89+Operations!AA90</f>
        <v>27.5268592348853</v>
      </c>
      <c r="AB24" s="11" t="n">
        <f aca="false">Operations!AB86+Operations!AB87+Operations!AB88+Operations!AB89+Operations!AB90</f>
        <v>27.1882376550327</v>
      </c>
      <c r="AC24" s="11" t="n">
        <f aca="false">Operations!AC86+Operations!AC87+Operations!AC88+Operations!AC89+Operations!AC90</f>
        <v>28.1636558438566</v>
      </c>
      <c r="AD24" s="11" t="n">
        <f aca="false">Operations!AD86+Operations!AD87+Operations!AD88+Operations!AD89+Operations!AD90</f>
        <v>27.6972838273637</v>
      </c>
      <c r="AE24" s="11" t="n">
        <f aca="false">Operations!AE86+Operations!AE87+Operations!AE88+Operations!AE89+Operations!AE90</f>
        <v>27.4879765885965</v>
      </c>
      <c r="AF24" s="11" t="n">
        <f aca="false">Operations!AF86+Operations!AF87+Operations!AF88+Operations!AF89+Operations!AF90</f>
        <v>27.3334452431948</v>
      </c>
      <c r="AG24" s="11" t="n">
        <f aca="false">Operations!AG86+Operations!AG87+Operations!AG88+Operations!AG89+Operations!AG90</f>
        <v>29.4291301690876</v>
      </c>
      <c r="AH24" s="11" t="n">
        <f aca="false">Operations!AH86+Operations!AH87+Operations!AH88+Operations!AH89+Operations!AH90</f>
        <v>28.9845912517994</v>
      </c>
      <c r="AI24" s="11" t="n">
        <f aca="false">Operations!AI86+Operations!AI87+Operations!AI88+Operations!AI89+Operations!AI90</f>
        <v>29.7529075583354</v>
      </c>
      <c r="AJ24" s="11" t="n">
        <f aca="false">Operations!AJ86+Operations!AJ87+Operations!AJ88+Operations!AJ89+Operations!AJ90</f>
        <v>29.3866627745055</v>
      </c>
      <c r="AK24" s="11" t="n">
        <f aca="false">Operations!AK86+Operations!AK87+Operations!AK88+Operations!AK89+Operations!AK90</f>
        <v>30.4391231617535</v>
      </c>
      <c r="AL24" s="11" t="n">
        <f aca="false">Operations!AL86+Operations!AL87+Operations!AL88+Operations!AL89+Operations!AL90</f>
        <v>30.0243376232046</v>
      </c>
      <c r="AM24" s="11" t="n">
        <f aca="false">Operations!AM86+Operations!AM87+Operations!AM88+Operations!AM89+Operations!AM90</f>
        <v>30.2577245330665</v>
      </c>
      <c r="AN24" s="11" t="n">
        <f aca="false">Operations!AN86+Operations!AN87+Operations!AN88+Operations!AN89+Operations!AN90</f>
        <v>29.9977632735553</v>
      </c>
      <c r="AO24" s="11" t="n">
        <f aca="false">Operations!AO86+Operations!AO87+Operations!AO88+Operations!AO89+Operations!AO90</f>
        <v>31.8073885115473</v>
      </c>
      <c r="AP24" s="11" t="n">
        <f aca="false">Operations!AP86+Operations!AP87+Operations!AP88+Operations!AP89+Operations!AP90</f>
        <v>31.326623563732</v>
      </c>
      <c r="AQ24" s="11" t="n">
        <f aca="false">Operations!AQ86+Operations!AQ87+Operations!AQ88+Operations!AQ89+Operations!AQ90</f>
        <v>32.1572073031034</v>
      </c>
      <c r="AR24" s="11" t="n">
        <f aca="false">Operations!AR86+Operations!AR87+Operations!AR88+Operations!AR89+Operations!AR90</f>
        <v>31.7611587447194</v>
      </c>
      <c r="AS24" s="11" t="n">
        <f aca="false">Operations!AS86+Operations!AS87+Operations!AS88+Operations!AS89+Operations!AS90</f>
        <v>32.8990988110277</v>
      </c>
      <c r="AT24" s="11" t="n">
        <f aca="false">Operations!AT86+Operations!AT87+Operations!AT88+Operations!AT89+Operations!AT90</f>
        <v>32.3536730853034</v>
      </c>
      <c r="AU24" s="11" t="n">
        <f aca="false">Operations!AU86+Operations!AU87+Operations!AU88+Operations!AU89+Operations!AU90</f>
        <v>32.1074800711268</v>
      </c>
      <c r="AV24" s="11" t="n">
        <f aca="false">Operations!AV86+Operations!AV87+Operations!AV88+Operations!AV89+Operations!AV90</f>
        <v>31.9267544100263</v>
      </c>
      <c r="AW24" s="11" t="n">
        <f aca="false">Operations!AW86+Operations!AW87+Operations!AW88+Operations!AW89+Operations!AW90</f>
        <v>34.3785229883997</v>
      </c>
      <c r="AX24" s="11" t="n">
        <f aca="false">Operations!AX86+Operations!AX87+Operations!AX88+Operations!AX89+Operations!AX90</f>
        <v>33.8585914721947</v>
      </c>
      <c r="AY24" s="11" t="n">
        <f aca="false">Operations!AY86+Operations!AY87+Operations!AY88+Operations!AY89+Operations!AY90</f>
        <v>34.7564857859901</v>
      </c>
      <c r="AZ24" s="11" t="n">
        <f aca="false">Operations!AZ86+Operations!AZ87+Operations!AZ88+Operations!AZ89+Operations!AZ90</f>
        <v>34.3282168119673</v>
      </c>
      <c r="BA24" s="11" t="n">
        <f aca="false">Operations!BA86+Operations!BA87+Operations!BA88+Operations!BA89+Operations!BA90</f>
        <v>35.5585608242924</v>
      </c>
      <c r="BB24" s="11" t="n">
        <f aca="false">Operations!BB86+Operations!BB87+Operations!BB88+Operations!BB89+Operations!BB90</f>
        <v>35.0736225593434</v>
      </c>
      <c r="BC24" s="11" t="n">
        <f aca="false">Operations!BC86+Operations!BC87+Operations!BC88+Operations!BC89+Operations!BC90</f>
        <v>35.345294813007</v>
      </c>
      <c r="BD24" s="11" t="n">
        <f aca="false">Operations!BD86+Operations!BD87+Operations!BD88+Operations!BD89+Operations!BD90</f>
        <v>35.0414543108402</v>
      </c>
      <c r="BE24" s="11" t="n">
        <f aca="false">Operations!BE86+Operations!BE87+Operations!BE88+Operations!BE89+Operations!BE90</f>
        <v>37.1581707731221</v>
      </c>
      <c r="BF24" s="11" t="n">
        <f aca="false">Operations!BF86+Operations!BF87+Operations!BF88+Operations!BF89+Operations!BF90</f>
        <v>36.5958952161789</v>
      </c>
      <c r="BG24" s="11" t="n">
        <f aca="false">Operations!BG86+Operations!BG87+Operations!BG88+Operations!BG89+Operations!BG90</f>
        <v>37.5665504339361</v>
      </c>
      <c r="BH24" s="11" t="n">
        <f aca="false">Operations!BH86+Operations!BH87+Operations!BH88+Operations!BH89+Operations!BH90</f>
        <v>37.1034499650786</v>
      </c>
      <c r="BI24" s="11" t="n">
        <f aca="false">Operations!BI86+Operations!BI87+Operations!BI88+Operations!BI89+Operations!BI90</f>
        <v>38.4336807939039</v>
      </c>
      <c r="BJ24" s="11" t="n">
        <f aca="false">Operations!BJ86+Operations!BJ87+Operations!BJ88+Operations!BJ89+Operations!BJ90</f>
        <v>37.7959067970688</v>
      </c>
      <c r="BK24" s="11" t="n">
        <f aca="false">Operations!BK86+Operations!BK87+Operations!BK88+Operations!BK89+Operations!BK90</f>
        <v>37.5064795632564</v>
      </c>
      <c r="BL24" s="11" t="n">
        <f aca="false">Operations!BL86+Operations!BL87+Operations!BL88+Operations!BL89+Operations!BL90</f>
        <v>37.295127334241</v>
      </c>
      <c r="BM24" s="11" t="n">
        <f aca="false">Operations!BM86+Operations!BM87+Operations!BM88+Operations!BM89+Operations!BM90</f>
        <v>40.1632355491571</v>
      </c>
      <c r="BN24" s="11" t="n">
        <f aca="false">Operations!BN86+Operations!BN87+Operations!BN88+Operations!BN89+Operations!BN90</f>
        <v>0</v>
      </c>
    </row>
    <row r="25" customFormat="false" ht="15" hidden="false" customHeight="false" outlineLevel="0" collapsed="false">
      <c r="D25" s="0" t="s">
        <v>782</v>
      </c>
      <c r="E25" s="0" t="s">
        <v>149</v>
      </c>
      <c r="J25" s="11" t="n">
        <f aca="false">MAX(0,J12)</f>
        <v>0</v>
      </c>
      <c r="K25" s="11" t="n">
        <f aca="false">MAX(0,K12)</f>
        <v>0</v>
      </c>
      <c r="L25" s="11" t="n">
        <f aca="false">MAX(0,L12)</f>
        <v>0</v>
      </c>
      <c r="M25" s="11" t="n">
        <f aca="false">MAX(0,M12)</f>
        <v>0</v>
      </c>
      <c r="N25" s="11" t="n">
        <f aca="false">MAX(0,N12)</f>
        <v>0</v>
      </c>
      <c r="O25" s="11" t="n">
        <f aca="false">MAX(0,O12)</f>
        <v>0</v>
      </c>
      <c r="P25" s="11" t="n">
        <f aca="false">MAX(0,P12)</f>
        <v>0</v>
      </c>
      <c r="Q25" s="11" t="n">
        <f aca="false">MAX(0,Q12)</f>
        <v>0</v>
      </c>
      <c r="R25" s="11" t="n">
        <f aca="false">MAX(0,R12)</f>
        <v>0</v>
      </c>
      <c r="S25" s="11" t="n">
        <f aca="false">MAX(0,S12)</f>
        <v>0</v>
      </c>
      <c r="T25" s="11" t="n">
        <f aca="false">MAX(0,T12)</f>
        <v>0</v>
      </c>
      <c r="U25" s="11" t="n">
        <f aca="false">MAX(0,U12)</f>
        <v>0</v>
      </c>
      <c r="V25" s="11" t="n">
        <f aca="false">MAX(0,V12)</f>
        <v>0</v>
      </c>
      <c r="W25" s="11" t="n">
        <f aca="false">MAX(0,W12)</f>
        <v>0</v>
      </c>
      <c r="X25" s="11" t="n">
        <f aca="false">MAX(0,X12)</f>
        <v>0</v>
      </c>
      <c r="Y25" s="11" t="n">
        <f aca="false">MAX(0,Y12)</f>
        <v>0</v>
      </c>
      <c r="Z25" s="11" t="n">
        <f aca="false">MAX(0,Z12)</f>
        <v>0</v>
      </c>
      <c r="AA25" s="11" t="n">
        <f aca="false">MAX(0,AA12)</f>
        <v>0</v>
      </c>
      <c r="AB25" s="11" t="n">
        <f aca="false">MAX(0,AB12)</f>
        <v>0</v>
      </c>
      <c r="AC25" s="11" t="n">
        <f aca="false">MAX(0,AC12)</f>
        <v>0</v>
      </c>
      <c r="AD25" s="11" t="n">
        <f aca="false">MAX(0,AD12)</f>
        <v>0</v>
      </c>
      <c r="AE25" s="11" t="n">
        <f aca="false">MAX(0,AE12)</f>
        <v>0</v>
      </c>
      <c r="AF25" s="11" t="n">
        <f aca="false">MAX(0,AF12)</f>
        <v>0</v>
      </c>
      <c r="AG25" s="11" t="n">
        <f aca="false">MAX(0,AG12)</f>
        <v>0</v>
      </c>
      <c r="AH25" s="11" t="n">
        <f aca="false">MAX(0,AH12)</f>
        <v>0</v>
      </c>
      <c r="AI25" s="11" t="n">
        <f aca="false">MAX(0,AI12)</f>
        <v>0</v>
      </c>
      <c r="AJ25" s="11" t="n">
        <f aca="false">MAX(0,AJ12)</f>
        <v>6.18333195429828</v>
      </c>
      <c r="AK25" s="11" t="n">
        <f aca="false">MAX(0,AK12)</f>
        <v>14.4890338533349</v>
      </c>
      <c r="AL25" s="11" t="n">
        <f aca="false">MAX(0,AL12)</f>
        <v>23.2318183795408</v>
      </c>
      <c r="AM25" s="11" t="n">
        <f aca="false">MAX(0,AM12)</f>
        <v>29.4914493326465</v>
      </c>
      <c r="AN25" s="11" t="n">
        <f aca="false">MAX(0,AN12)</f>
        <v>30.4531270282762</v>
      </c>
      <c r="AO25" s="11" t="n">
        <f aca="false">MAX(0,AO12)</f>
        <v>31.414804723906</v>
      </c>
      <c r="AP25" s="11" t="n">
        <f aca="false">MAX(0,AP12)</f>
        <v>32.3764824195358</v>
      </c>
      <c r="AQ25" s="11" t="n">
        <f aca="false">MAX(0,AQ12)</f>
        <v>33.3381601151656</v>
      </c>
      <c r="AR25" s="11" t="n">
        <f aca="false">MAX(0,AR12)</f>
        <v>34.2998378107953</v>
      </c>
      <c r="AS25" s="11" t="n">
        <f aca="false">MAX(0,AS12)</f>
        <v>35.2615155064251</v>
      </c>
      <c r="AT25" s="11" t="n">
        <f aca="false">MAX(0,AT12)</f>
        <v>36.2231932020549</v>
      </c>
      <c r="AU25" s="11" t="n">
        <f aca="false">MAX(0,AU12)</f>
        <v>37.1848708976847</v>
      </c>
      <c r="AV25" s="11" t="n">
        <f aca="false">MAX(0,AV12)</f>
        <v>38.1465485933144</v>
      </c>
      <c r="AW25" s="11" t="n">
        <f aca="false">MAX(0,AW12)</f>
        <v>39.1082262889442</v>
      </c>
      <c r="AX25" s="11" t="n">
        <f aca="false">MAX(0,AX12)</f>
        <v>40.069903984574</v>
      </c>
      <c r="AY25" s="11" t="n">
        <f aca="false">MAX(0,AY12)</f>
        <v>41.0315816802038</v>
      </c>
      <c r="AZ25" s="11" t="n">
        <f aca="false">MAX(0,AZ12)</f>
        <v>41.9932593758335</v>
      </c>
      <c r="BA25" s="11" t="n">
        <f aca="false">MAX(0,BA12)</f>
        <v>42.9549370714633</v>
      </c>
      <c r="BB25" s="11" t="n">
        <f aca="false">MAX(0,BB12)</f>
        <v>43.9166147670931</v>
      </c>
      <c r="BC25" s="11" t="n">
        <f aca="false">MAX(0,BC12)</f>
        <v>44.8782924627229</v>
      </c>
      <c r="BD25" s="11" t="n">
        <f aca="false">MAX(0,BD12)</f>
        <v>44.9183623667074</v>
      </c>
      <c r="BE25" s="11" t="n">
        <f aca="false">MAX(0,BE12)</f>
        <v>40.350393312466</v>
      </c>
      <c r="BF25" s="11" t="n">
        <f aca="false">MAX(0,BF12)</f>
        <v>35.7824242582246</v>
      </c>
      <c r="BG25" s="11" t="n">
        <f aca="false">MAX(0,BG12)</f>
        <v>31.2144552039831</v>
      </c>
      <c r="BH25" s="11" t="n">
        <f aca="false">MAX(0,BH12)</f>
        <v>26.6464861497417</v>
      </c>
      <c r="BI25" s="11" t="n">
        <f aca="false">MAX(0,BI12)</f>
        <v>22.0785170955003</v>
      </c>
      <c r="BJ25" s="11" t="n">
        <f aca="false">MAX(0,BJ12)</f>
        <v>17.5105480412588</v>
      </c>
      <c r="BK25" s="11" t="n">
        <f aca="false">MAX(0,BK12)</f>
        <v>12.9425789870174</v>
      </c>
      <c r="BL25" s="11" t="n">
        <f aca="false">MAX(0,BL12)</f>
        <v>8.374609932776</v>
      </c>
      <c r="BM25" s="11" t="n">
        <f aca="false">MAX(0,BM12)</f>
        <v>3.80664087853454</v>
      </c>
      <c r="BN25" s="11" t="n">
        <f aca="false">MAX(0,BN12)</f>
        <v>0</v>
      </c>
    </row>
    <row r="26" customFormat="false" ht="15" hidden="false" customHeight="false" outlineLevel="0" collapsed="false">
      <c r="D26" s="0" t="s">
        <v>627</v>
      </c>
      <c r="E26" s="0" t="s">
        <v>149</v>
      </c>
      <c r="J26" s="11" t="n">
        <f aca="false">SUMIFS(Funding!$J$69:$BJ$69,Construction!$J$12:$BJ$12,"&lt;="&amp;Time!J17)</f>
        <v>7.03921212836035</v>
      </c>
      <c r="K26" s="11" t="n">
        <f aca="false">SUMIFS(Funding!$J$69:$BJ$69,Construction!$J$12:$BJ$12,"&lt;="&amp;Time!K17)</f>
        <v>10.3596880601045</v>
      </c>
      <c r="L26" s="11" t="n">
        <f aca="false">SUMIFS(Funding!$J$69:$BJ$69,Construction!$J$12:$BJ$12,"&lt;="&amp;Time!L17)</f>
        <v>16.8611145786063</v>
      </c>
      <c r="M26" s="11" t="n">
        <f aca="false">SUMIFS(Funding!$J$69:$BJ$69,Construction!$J$12:$BJ$12,"&lt;="&amp;Time!M17)</f>
        <v>25.0808905988375</v>
      </c>
      <c r="N26" s="11" t="n">
        <f aca="false">SUMIFS(Funding!$J$69:$BJ$69,Construction!$J$12:$BJ$12,"&lt;="&amp;Time!N17)</f>
        <v>32.6385976670268</v>
      </c>
      <c r="O26" s="11" t="n">
        <f aca="false">SUMIFS(Funding!$J$69:$BJ$69,Construction!$J$12:$BJ$12,"&lt;="&amp;Time!O17)</f>
        <v>37.5460593137322</v>
      </c>
      <c r="P26" s="11" t="n">
        <f aca="false">SUMIFS(Funding!$J$69:$BJ$69,Construction!$J$12:$BJ$12,"&lt;="&amp;Time!P17)</f>
        <v>43.9225633233622</v>
      </c>
      <c r="Q26" s="11" t="n">
        <f aca="false">SUMIFS(Funding!$J$69:$BJ$69,Construction!$J$12:$BJ$12,"&lt;="&amp;Time!Q17)</f>
        <v>43.9225633233622</v>
      </c>
      <c r="R26" s="11" t="n">
        <f aca="false">SUMIFS(Funding!$J$69:$BJ$69,Construction!$J$12:$BJ$12,"&lt;="&amp;Time!R17)</f>
        <v>43.9225633233622</v>
      </c>
      <c r="S26" s="11" t="n">
        <f aca="false">SUMIFS(Funding!$J$69:$BJ$69,Construction!$J$12:$BJ$12,"&lt;="&amp;Time!S17)</f>
        <v>43.9225633233622</v>
      </c>
      <c r="T26" s="11" t="n">
        <f aca="false">SUMIFS(Funding!$J$69:$BJ$69,Construction!$J$12:$BJ$12,"&lt;="&amp;Time!T17)</f>
        <v>43.9225633233622</v>
      </c>
      <c r="U26" s="11" t="n">
        <f aca="false">SUMIFS(Funding!$J$69:$BJ$69,Construction!$J$12:$BJ$12,"&lt;="&amp;Time!U17)</f>
        <v>43.9225633233622</v>
      </c>
      <c r="V26" s="11" t="n">
        <f aca="false">SUMIFS(Funding!$J$69:$BJ$69,Construction!$J$12:$BJ$12,"&lt;="&amp;Time!V17)</f>
        <v>43.9225633233622</v>
      </c>
      <c r="W26" s="11" t="n">
        <f aca="false">SUMIFS(Funding!$J$69:$BJ$69,Construction!$J$12:$BJ$12,"&lt;="&amp;Time!W17)</f>
        <v>43.9225633233622</v>
      </c>
      <c r="X26" s="11" t="n">
        <f aca="false">SUMIFS(Funding!$J$69:$BJ$69,Construction!$J$12:$BJ$12,"&lt;="&amp;Time!X17)</f>
        <v>43.9225633233622</v>
      </c>
      <c r="Y26" s="11" t="n">
        <f aca="false">SUMIFS(Funding!$J$69:$BJ$69,Construction!$J$12:$BJ$12,"&lt;="&amp;Time!Y17)</f>
        <v>43.9225633233622</v>
      </c>
      <c r="Z26" s="11" t="n">
        <f aca="false">SUMIFS(Funding!$J$69:$BJ$69,Construction!$J$12:$BJ$12,"&lt;="&amp;Time!Z17)</f>
        <v>43.9225633233622</v>
      </c>
      <c r="AA26" s="11" t="n">
        <f aca="false">SUMIFS(Funding!$J$69:$BJ$69,Construction!$J$12:$BJ$12,"&lt;="&amp;Time!AA17)</f>
        <v>43.9225633233622</v>
      </c>
      <c r="AB26" s="11" t="n">
        <f aca="false">SUMIFS(Funding!$J$69:$BJ$69,Construction!$J$12:$BJ$12,"&lt;="&amp;Time!AB17)</f>
        <v>43.9225633233622</v>
      </c>
      <c r="AC26" s="11" t="n">
        <f aca="false">SUMIFS(Funding!$J$69:$BJ$69,Construction!$J$12:$BJ$12,"&lt;="&amp;Time!AC17)</f>
        <v>43.9225633233622</v>
      </c>
      <c r="AD26" s="11" t="n">
        <f aca="false">SUMIFS(Funding!$J$69:$BJ$69,Construction!$J$12:$BJ$12,"&lt;="&amp;Time!AD17)</f>
        <v>43.9225633233622</v>
      </c>
      <c r="AE26" s="11" t="n">
        <f aca="false">SUMIFS(Funding!$J$69:$BJ$69,Construction!$J$12:$BJ$12,"&lt;="&amp;Time!AE17)</f>
        <v>43.9225633233622</v>
      </c>
      <c r="AF26" s="11" t="n">
        <f aca="false">SUMIFS(Funding!$J$69:$BJ$69,Construction!$J$12:$BJ$12,"&lt;="&amp;Time!AF17)</f>
        <v>43.9225633233622</v>
      </c>
      <c r="AG26" s="11" t="n">
        <f aca="false">SUMIFS(Funding!$J$69:$BJ$69,Construction!$J$12:$BJ$12,"&lt;="&amp;Time!AG17)</f>
        <v>43.9225633233622</v>
      </c>
      <c r="AH26" s="11" t="n">
        <f aca="false">SUMIFS(Funding!$J$69:$BJ$69,Construction!$J$12:$BJ$12,"&lt;="&amp;Time!AH17)</f>
        <v>43.9225633233622</v>
      </c>
      <c r="AI26" s="11" t="n">
        <f aca="false">SUMIFS(Funding!$J$69:$BJ$69,Construction!$J$12:$BJ$12,"&lt;="&amp;Time!AI17)</f>
        <v>43.9225633233622</v>
      </c>
      <c r="AJ26" s="11" t="n">
        <f aca="false">SUMIFS(Funding!$J$69:$BJ$69,Construction!$J$12:$BJ$12,"&lt;="&amp;Time!AJ17)</f>
        <v>43.9225633233622</v>
      </c>
      <c r="AK26" s="11" t="n">
        <f aca="false">SUMIFS(Funding!$J$69:$BJ$69,Construction!$J$12:$BJ$12,"&lt;="&amp;Time!AK17)</f>
        <v>43.9225633233622</v>
      </c>
      <c r="AL26" s="11" t="n">
        <f aca="false">SUMIFS(Funding!$J$69:$BJ$69,Construction!$J$12:$BJ$12,"&lt;="&amp;Time!AL17)</f>
        <v>43.9225633233622</v>
      </c>
      <c r="AM26" s="11" t="n">
        <f aca="false">SUMIFS(Funding!$J$69:$BJ$69,Construction!$J$12:$BJ$12,"&lt;="&amp;Time!AM17)</f>
        <v>43.9225633233622</v>
      </c>
      <c r="AN26" s="11" t="n">
        <f aca="false">SUMIFS(Funding!$J$69:$BJ$69,Construction!$J$12:$BJ$12,"&lt;="&amp;Time!AN17)</f>
        <v>43.9225633233622</v>
      </c>
      <c r="AO26" s="11" t="n">
        <f aca="false">SUMIFS(Funding!$J$69:$BJ$69,Construction!$J$12:$BJ$12,"&lt;="&amp;Time!AO17)</f>
        <v>43.9225633233622</v>
      </c>
      <c r="AP26" s="11" t="n">
        <f aca="false">SUMIFS(Funding!$J$69:$BJ$69,Construction!$J$12:$BJ$12,"&lt;="&amp;Time!AP17)</f>
        <v>43.9225633233622</v>
      </c>
      <c r="AQ26" s="11" t="n">
        <f aca="false">SUMIFS(Funding!$J$69:$BJ$69,Construction!$J$12:$BJ$12,"&lt;="&amp;Time!AQ17)</f>
        <v>43.9225633233622</v>
      </c>
      <c r="AR26" s="11" t="n">
        <f aca="false">SUMIFS(Funding!$J$69:$BJ$69,Construction!$J$12:$BJ$12,"&lt;="&amp;Time!AR17)</f>
        <v>43.9225633233622</v>
      </c>
      <c r="AS26" s="11" t="n">
        <f aca="false">SUMIFS(Funding!$J$69:$BJ$69,Construction!$J$12:$BJ$12,"&lt;="&amp;Time!AS17)</f>
        <v>43.9225633233622</v>
      </c>
      <c r="AT26" s="11" t="n">
        <f aca="false">SUMIFS(Funding!$J$69:$BJ$69,Construction!$J$12:$BJ$12,"&lt;="&amp;Time!AT17)</f>
        <v>43.9225633233622</v>
      </c>
      <c r="AU26" s="11" t="n">
        <f aca="false">SUMIFS(Funding!$J$69:$BJ$69,Construction!$J$12:$BJ$12,"&lt;="&amp;Time!AU17)</f>
        <v>43.9225633233622</v>
      </c>
      <c r="AV26" s="11" t="n">
        <f aca="false">SUMIFS(Funding!$J$69:$BJ$69,Construction!$J$12:$BJ$12,"&lt;="&amp;Time!AV17)</f>
        <v>43.9225633233622</v>
      </c>
      <c r="AW26" s="11" t="n">
        <f aca="false">SUMIFS(Funding!$J$69:$BJ$69,Construction!$J$12:$BJ$12,"&lt;="&amp;Time!AW17)</f>
        <v>43.9225633233622</v>
      </c>
      <c r="AX26" s="11" t="n">
        <f aca="false">SUMIFS(Funding!$J$69:$BJ$69,Construction!$J$12:$BJ$12,"&lt;="&amp;Time!AX17)</f>
        <v>43.9225633233622</v>
      </c>
      <c r="AY26" s="11" t="n">
        <f aca="false">SUMIFS(Funding!$J$69:$BJ$69,Construction!$J$12:$BJ$12,"&lt;="&amp;Time!AY17)</f>
        <v>43.9225633233622</v>
      </c>
      <c r="AZ26" s="11" t="n">
        <f aca="false">SUMIFS(Funding!$J$69:$BJ$69,Construction!$J$12:$BJ$12,"&lt;="&amp;Time!AZ17)</f>
        <v>43.9225633233622</v>
      </c>
      <c r="BA26" s="11" t="n">
        <f aca="false">SUMIFS(Funding!$J$69:$BJ$69,Construction!$J$12:$BJ$12,"&lt;="&amp;Time!BA17)</f>
        <v>43.9225633233622</v>
      </c>
      <c r="BB26" s="11" t="n">
        <f aca="false">SUMIFS(Funding!$J$69:$BJ$69,Construction!$J$12:$BJ$12,"&lt;="&amp;Time!BB17)</f>
        <v>43.9225633233622</v>
      </c>
      <c r="BC26" s="11" t="n">
        <f aca="false">SUMIFS(Funding!$J$69:$BJ$69,Construction!$J$12:$BJ$12,"&lt;="&amp;Time!BC17)</f>
        <v>43.9225633233622</v>
      </c>
      <c r="BD26" s="11" t="n">
        <f aca="false">SUMIFS(Funding!$J$69:$BJ$69,Construction!$J$12:$BJ$12,"&lt;="&amp;Time!BD17)</f>
        <v>43.9225633233622</v>
      </c>
      <c r="BE26" s="11" t="n">
        <f aca="false">SUMIFS(Funding!$J$69:$BJ$69,Construction!$J$12:$BJ$12,"&lt;="&amp;Time!BE17)</f>
        <v>43.9225633233622</v>
      </c>
      <c r="BF26" s="11" t="n">
        <f aca="false">SUMIFS(Funding!$J$69:$BJ$69,Construction!$J$12:$BJ$12,"&lt;="&amp;Time!BF17)</f>
        <v>43.9225633233622</v>
      </c>
      <c r="BG26" s="11" t="n">
        <f aca="false">SUMIFS(Funding!$J$69:$BJ$69,Construction!$J$12:$BJ$12,"&lt;="&amp;Time!BG17)</f>
        <v>43.9225633233622</v>
      </c>
      <c r="BH26" s="11" t="n">
        <f aca="false">SUMIFS(Funding!$J$69:$BJ$69,Construction!$J$12:$BJ$12,"&lt;="&amp;Time!BH17)</f>
        <v>43.9225633233622</v>
      </c>
      <c r="BI26" s="11" t="n">
        <f aca="false">SUMIFS(Funding!$J$69:$BJ$69,Construction!$J$12:$BJ$12,"&lt;="&amp;Time!BI17)</f>
        <v>43.9225633233622</v>
      </c>
      <c r="BJ26" s="11" t="n">
        <f aca="false">SUMIFS(Funding!$J$69:$BJ$69,Construction!$J$12:$BJ$12,"&lt;="&amp;Time!BJ17)</f>
        <v>43.9225633233622</v>
      </c>
      <c r="BK26" s="11" t="n">
        <f aca="false">SUMIFS(Funding!$J$69:$BJ$69,Construction!$J$12:$BJ$12,"&lt;="&amp;Time!BK17)</f>
        <v>43.9225633233622</v>
      </c>
      <c r="BL26" s="11" t="n">
        <f aca="false">SUMIFS(Funding!$J$69:$BJ$69,Construction!$J$12:$BJ$12,"&lt;="&amp;Time!BL17)</f>
        <v>43.9225633233622</v>
      </c>
      <c r="BM26" s="11" t="n">
        <f aca="false">SUMIFS(Funding!$J$69:$BJ$69,Construction!$J$12:$BJ$12,"&lt;="&amp;Time!BM17)</f>
        <v>43.9225633233622</v>
      </c>
      <c r="BN26" s="11" t="n">
        <f aca="false">SUMIFS(Funding!$J$69:$BJ$69,Construction!$J$12:$BJ$12,"&lt;="&amp;Time!BN17)</f>
        <v>43.9225633233622</v>
      </c>
    </row>
    <row r="27" customFormat="false" ht="15" hidden="false" customHeight="false" outlineLevel="0" collapsed="false">
      <c r="D27" s="0" t="s">
        <v>783</v>
      </c>
      <c r="E27" s="0" t="s">
        <v>149</v>
      </c>
      <c r="J27" s="16" t="n">
        <f aca="false">Waterfall!J43</f>
        <v>0</v>
      </c>
      <c r="K27" s="16" t="n">
        <f aca="false">Waterfall!K43</f>
        <v>0</v>
      </c>
      <c r="L27" s="16" t="n">
        <f aca="false">Waterfall!L43</f>
        <v>0</v>
      </c>
      <c r="M27" s="16" t="n">
        <f aca="false">Waterfall!M43</f>
        <v>0</v>
      </c>
      <c r="N27" s="16" t="n">
        <f aca="false">Waterfall!N43</f>
        <v>0</v>
      </c>
      <c r="O27" s="16" t="n">
        <f aca="false">Waterfall!O43</f>
        <v>0</v>
      </c>
      <c r="P27" s="16" t="n">
        <f aca="false">Waterfall!P43</f>
        <v>4.73405043393922</v>
      </c>
      <c r="Q27" s="16" t="n">
        <f aca="false">Waterfall!Q43</f>
        <v>14.093288556009</v>
      </c>
      <c r="R27" s="16" t="n">
        <f aca="false">Waterfall!R43</f>
        <v>20.6326589786659</v>
      </c>
      <c r="S27" s="16" t="n">
        <f aca="false">Waterfall!S43</f>
        <v>23.7722263503082</v>
      </c>
      <c r="T27" s="16" t="n">
        <f aca="false">Waterfall!T43</f>
        <v>26.621755180245</v>
      </c>
      <c r="U27" s="16" t="n">
        <f aca="false">Waterfall!U43</f>
        <v>33.3057442097889</v>
      </c>
      <c r="V27" s="16" t="n">
        <f aca="false">Waterfall!V43</f>
        <v>42.0073906122152</v>
      </c>
      <c r="W27" s="16" t="n">
        <f aca="false">Waterfall!W43</f>
        <v>52.4148312146952</v>
      </c>
      <c r="X27" s="16" t="n">
        <f aca="false">Waterfall!X43</f>
        <v>66.7403017896033</v>
      </c>
      <c r="Y27" s="16" t="n">
        <f aca="false">Waterfall!Y43</f>
        <v>82.5815493220493</v>
      </c>
      <c r="Z27" s="16" t="n">
        <f aca="false">Waterfall!Z43</f>
        <v>97.95031506509</v>
      </c>
      <c r="AA27" s="16" t="n">
        <f aca="false">Waterfall!AA43</f>
        <v>107.012218575465</v>
      </c>
      <c r="AB27" s="16" t="n">
        <f aca="false">Waterfall!AB43</f>
        <v>116.770916086894</v>
      </c>
      <c r="AC27" s="16" t="n">
        <f aca="false">Waterfall!AC43</f>
        <v>127.434694369331</v>
      </c>
      <c r="AD27" s="16" t="n">
        <f aca="false">Waterfall!AD43</f>
        <v>138.94212254342</v>
      </c>
      <c r="AE27" s="16" t="n">
        <f aca="false">Waterfall!AE43</f>
        <v>141.636404073805</v>
      </c>
      <c r="AF27" s="16" t="n">
        <f aca="false">Waterfall!AF43</f>
        <v>154.929712089765</v>
      </c>
      <c r="AG27" s="16" t="n">
        <f aca="false">Waterfall!AG43</f>
        <v>169.395494407517</v>
      </c>
      <c r="AH27" s="16" t="n">
        <f aca="false">Waterfall!AH43</f>
        <v>184.856237913036</v>
      </c>
      <c r="AI27" s="16" t="n">
        <f aca="false">Waterfall!AI43</f>
        <v>201.532307406349</v>
      </c>
      <c r="AJ27" s="16" t="n">
        <f aca="false">Waterfall!AJ43</f>
        <v>219.307118841889</v>
      </c>
      <c r="AK27" s="16" t="n">
        <f aca="false">Waterfall!AK43</f>
        <v>230.977454308045</v>
      </c>
      <c r="AL27" s="16" t="n">
        <f aca="false">Waterfall!AL43</f>
        <v>230.180063193566</v>
      </c>
      <c r="AM27" s="16" t="n">
        <f aca="false">Waterfall!AM43</f>
        <v>225.525121089511</v>
      </c>
      <c r="AN27" s="16" t="n">
        <f aca="false">Waterfall!AN43</f>
        <v>227.60377927271</v>
      </c>
      <c r="AO27" s="16" t="n">
        <f aca="false">Waterfall!AO43</f>
        <v>233.84003640748</v>
      </c>
      <c r="AP27" s="16" t="n">
        <f aca="false">Waterfall!AP43</f>
        <v>239.742704329188</v>
      </c>
      <c r="AQ27" s="16" t="n">
        <f aca="false">Waterfall!AQ43</f>
        <v>247.290349930941</v>
      </c>
      <c r="AR27" s="16" t="n">
        <f aca="false">Waterfall!AR43</f>
        <v>254.767065790311</v>
      </c>
      <c r="AS27" s="16" t="n">
        <f aca="false">Waterfall!AS43</f>
        <v>263.785104997421</v>
      </c>
      <c r="AT27" s="16" t="n">
        <f aca="false">Waterfall!AT43</f>
        <v>277.417203493176</v>
      </c>
      <c r="AU27" s="16" t="n">
        <f aca="false">Waterfall!AU43</f>
        <v>243.394495852581</v>
      </c>
      <c r="AV27" s="16" t="n">
        <f aca="false">Waterfall!AV43</f>
        <v>226.383786092983</v>
      </c>
      <c r="AW27" s="16" t="n">
        <f aca="false">Waterfall!AW43</f>
        <v>210.507386013999</v>
      </c>
      <c r="AX27" s="16" t="n">
        <f aca="false">Waterfall!AX43</f>
        <v>193.985679999055</v>
      </c>
      <c r="AY27" s="16" t="n">
        <f aca="false">Waterfall!AY43</f>
        <v>178.024501577332</v>
      </c>
      <c r="AZ27" s="16" t="n">
        <f aca="false">Waterfall!AZ43</f>
        <v>161.502074893796</v>
      </c>
      <c r="BA27" s="16" t="n">
        <f aca="false">Waterfall!BA43</f>
        <v>145.452566118166</v>
      </c>
      <c r="BB27" s="16" t="n">
        <f aca="false">Waterfall!BB43</f>
        <v>129.302154175921</v>
      </c>
      <c r="BC27" s="16" t="n">
        <f aca="false">Waterfall!BC43</f>
        <v>110.372706608366</v>
      </c>
      <c r="BD27" s="16" t="n">
        <f aca="false">Waterfall!BD43</f>
        <v>95.8230829394621</v>
      </c>
      <c r="BE27" s="16" t="n">
        <f aca="false">Waterfall!BE43</f>
        <v>89.6557572229133</v>
      </c>
      <c r="BF27" s="16" t="n">
        <f aca="false">Waterfall!BF43</f>
        <v>82.933287947089</v>
      </c>
      <c r="BG27" s="16" t="n">
        <f aca="false">Waterfall!BG43</f>
        <v>76.8117923449405</v>
      </c>
      <c r="BH27" s="16" t="n">
        <f aca="false">Waterfall!BH43</f>
        <v>70.1288888847472</v>
      </c>
      <c r="BI27" s="16" t="n">
        <f aca="false">Waterfall!BI43</f>
        <v>63.9562672057806</v>
      </c>
      <c r="BJ27" s="16" t="n">
        <f aca="false">Waterfall!BJ43</f>
        <v>57.4102756919286</v>
      </c>
      <c r="BK27" s="16" t="n">
        <f aca="false">Waterfall!BK43</f>
        <v>28.8308368468224</v>
      </c>
      <c r="BL27" s="16" t="n">
        <f aca="false">Waterfall!BL43</f>
        <v>19.2443682534353</v>
      </c>
      <c r="BM27" s="16" t="n">
        <f aca="false">Waterfall!BM43</f>
        <v>10.1739441712507</v>
      </c>
      <c r="BN27" s="16" t="n">
        <f aca="false">Waterfall!BN43</f>
        <v>-43.9225633233317</v>
      </c>
    </row>
    <row r="28" customFormat="false" ht="15" hidden="false" customHeight="false" outlineLevel="0" collapsed="false">
      <c r="D28" s="0" t="s">
        <v>784</v>
      </c>
      <c r="E28" s="0" t="s">
        <v>149</v>
      </c>
      <c r="J28" s="11" t="n">
        <f aca="false">J22+J23+J24+J25+J26+J27</f>
        <v>136.50705706622</v>
      </c>
      <c r="K28" s="11" t="n">
        <f aca="false">K22+K23+K24+K25+K26+K27</f>
        <v>202.108863315795</v>
      </c>
      <c r="L28" s="11" t="n">
        <f aca="false">L22+L23+L24+L25+L26+L27</f>
        <v>330.036693187222</v>
      </c>
      <c r="M28" s="11" t="n">
        <f aca="false">M22+M23+M24+M25+M26+M27</f>
        <v>492.61330040755</v>
      </c>
      <c r="N28" s="11" t="n">
        <f aca="false">N22+N23+N24+N25+N26+N27</f>
        <v>644.256009207379</v>
      </c>
      <c r="O28" s="11" t="n">
        <f aca="false">O22+O23+O24+O25+O26+O27</f>
        <v>746.293291115756</v>
      </c>
      <c r="P28" s="11" t="n">
        <f aca="false">P22+P23+P24+P25+P26+P27</f>
        <v>906.352858620676</v>
      </c>
      <c r="Q28" s="11" t="n">
        <f aca="false">Q22+Q23+Q24+Q25+Q26+Q27</f>
        <v>891.19545770906</v>
      </c>
      <c r="R28" s="11" t="n">
        <f aca="false">R22+R23+R24+R25+R26+R27</f>
        <v>930.093158793718</v>
      </c>
      <c r="S28" s="11" t="n">
        <f aca="false">S22+S23+S24+S25+S26+S27</f>
        <v>960.171969028937</v>
      </c>
      <c r="T28" s="11" t="n">
        <f aca="false">T22+T23+T24+T25+T26+T27</f>
        <v>933.454589724062</v>
      </c>
      <c r="U28" s="11" t="n">
        <f aca="false">U22+U23+U24+U25+U26+U27</f>
        <v>901.031320906343</v>
      </c>
      <c r="V28" s="11" t="n">
        <f aca="false">V22+V23+V24+V25+V26+V27</f>
        <v>834.732397156152</v>
      </c>
      <c r="W28" s="11" t="n">
        <f aca="false">W22+W23+W24+W25+W26+W27</f>
        <v>799.791737451933</v>
      </c>
      <c r="X28" s="11" t="n">
        <f aca="false">X22+X23+X24+X25+X26+X27</f>
        <v>786.726644662394</v>
      </c>
      <c r="Y28" s="11" t="n">
        <f aca="false">Y22+Y23+Y24+Y25+Y26+Y27</f>
        <v>780.115331780938</v>
      </c>
      <c r="Z28" s="11" t="n">
        <f aca="false">Z22+Z23+Z24+Z25+Z26+Z27</f>
        <v>768.816541750086</v>
      </c>
      <c r="AA28" s="11" t="n">
        <f aca="false">AA22+AA23+AA24+AA25+AA26+AA27</f>
        <v>752.429602348687</v>
      </c>
      <c r="AB28" s="11" t="n">
        <f aca="false">AB22+AB23+AB24+AB25+AB26+AB27</f>
        <v>733.55171854211</v>
      </c>
      <c r="AC28" s="11" t="n">
        <f aca="false">AC22+AC23+AC24+AC25+AC26+AC27</f>
        <v>716.565527618328</v>
      </c>
      <c r="AD28" s="11" t="n">
        <f aca="false">AD22+AD23+AD24+AD25+AD26+AD27</f>
        <v>697.967860581379</v>
      </c>
      <c r="AE28" s="11" t="n">
        <f aca="false">AE22+AE23+AE24+AE25+AE26+AE27</f>
        <v>667.753956275442</v>
      </c>
      <c r="AF28" s="11" t="n">
        <f aca="false">AF22+AF23+AF24+AF25+AF26+AF27</f>
        <v>645.180219306685</v>
      </c>
      <c r="AG28" s="11" t="n">
        <f aca="false">AG22+AG23+AG24+AG25+AG26+AG27</f>
        <v>626.319309412965</v>
      </c>
      <c r="AH28" s="11" t="n">
        <f aca="false">AH22+AH23+AH24+AH25+AH26+AH27</f>
        <v>603.205130544934</v>
      </c>
      <c r="AI28" s="11" t="n">
        <f aca="false">AI22+AI23+AI24+AI25+AI26+AI27</f>
        <v>581.924478562004</v>
      </c>
      <c r="AJ28" s="11" t="n">
        <f aca="false">AJ22+AJ23+AJ24+AJ25+AJ26+AJ27</f>
        <v>564.066987826935</v>
      </c>
      <c r="AK28" s="11" t="n">
        <f aca="false">AK22+AK23+AK24+AK25+AK26+AK27</f>
        <v>550.232350236188</v>
      </c>
      <c r="AL28" s="11" t="n">
        <f aca="false">AL22+AL23+AL24+AL25+AL26+AL27</f>
        <v>533.639126513246</v>
      </c>
      <c r="AM28" s="11" t="n">
        <f aca="false">AM22+AM23+AM24+AM25+AM26+AM27</f>
        <v>511.180332566233</v>
      </c>
      <c r="AN28" s="11" t="n">
        <f aca="false">AN22+AN23+AN24+AN25+AN26+AN27</f>
        <v>492.577423515904</v>
      </c>
      <c r="AO28" s="11" t="n">
        <f aca="false">AO22+AO23+AO24+AO25+AO26+AO27</f>
        <v>481.645034113551</v>
      </c>
      <c r="AP28" s="11" t="n">
        <f aca="false">AP22+AP23+AP24+AP25+AP26+AP27</f>
        <v>467.182462341705</v>
      </c>
      <c r="AQ28" s="11" t="n">
        <f aca="false">AQ22+AQ23+AQ24+AQ25+AQ26+AQ27</f>
        <v>455.216285040707</v>
      </c>
      <c r="AR28" s="11" t="n">
        <f aca="false">AR22+AR23+AR24+AR25+AR26+AR27</f>
        <v>440.830281902891</v>
      </c>
      <c r="AS28" s="11" t="n">
        <f aca="false">AS22+AS23+AS24+AS25+AS26+AS27</f>
        <v>429.001439226113</v>
      </c>
      <c r="AT28" s="11" t="n">
        <f aca="false">AT22+AT23+AT24+AT25+AT26+AT27</f>
        <v>418.997863053069</v>
      </c>
      <c r="AU28" s="11" t="n">
        <f aca="false">AU22+AU23+AU24+AU25+AU26+AU27</f>
        <v>356.609410144754</v>
      </c>
      <c r="AV28" s="11" t="n">
        <f aca="false">AV22+AV23+AV24+AV25+AV26+AV27</f>
        <v>340.379652419686</v>
      </c>
      <c r="AW28" s="11" t="n">
        <f aca="false">AW22+AW23+AW24+AW25+AW26+AW27</f>
        <v>327.916698614705</v>
      </c>
      <c r="AX28" s="11" t="n">
        <f aca="false">AX22+AX23+AX24+AX25+AX26+AX27</f>
        <v>311.836738779186</v>
      </c>
      <c r="AY28" s="11" t="n">
        <f aca="false">AY22+AY23+AY24+AY25+AY26+AY27</f>
        <v>297.735132366888</v>
      </c>
      <c r="AZ28" s="11" t="n">
        <f aca="false">AZ22+AZ23+AZ24+AZ25+AZ26+AZ27</f>
        <v>281.746114404959</v>
      </c>
      <c r="BA28" s="11" t="n">
        <f aca="false">BA22+BA23+BA24+BA25+BA26+BA27</f>
        <v>267.888627337284</v>
      </c>
      <c r="BB28" s="11" t="n">
        <f aca="false">BB22+BB23+BB24+BB25+BB26+BB27</f>
        <v>252.21495482572</v>
      </c>
      <c r="BC28" s="11" t="n">
        <f aca="false">BC22+BC23+BC24+BC25+BC26+BC27</f>
        <v>234.518857207458</v>
      </c>
      <c r="BD28" s="11" t="n">
        <f aca="false">BD22+BD23+BD24+BD25+BD26+BD27</f>
        <v>219.705462940372</v>
      </c>
      <c r="BE28" s="11" t="n">
        <f aca="false">BE22+BE23+BE24+BE25+BE26+BE27</f>
        <v>211.086884631864</v>
      </c>
      <c r="BF28" s="11" t="n">
        <f aca="false">BF22+BF23+BF24+BF25+BF26+BF27</f>
        <v>199.234170744855</v>
      </c>
      <c r="BG28" s="11" t="n">
        <f aca="false">BG22+BG23+BG24+BG25+BG26+BG27</f>
        <v>189.515361306222</v>
      </c>
      <c r="BH28" s="11" t="n">
        <f aca="false">BH22+BH23+BH24+BH25+BH26+BH27</f>
        <v>177.80138832293</v>
      </c>
      <c r="BI28" s="11" t="n">
        <f aca="false">BI22+BI23+BI24+BI25+BI26+BI27</f>
        <v>168.391028418547</v>
      </c>
      <c r="BJ28" s="11" t="n">
        <f aca="false">BJ22+BJ23+BJ24+BJ25+BJ26+BJ27</f>
        <v>156.639293853618</v>
      </c>
      <c r="BK28" s="11" t="n">
        <f aca="false">BK22+BK23+BK24+BK25+BK26+BK27</f>
        <v>123.202458720458</v>
      </c>
      <c r="BL28" s="11" t="n">
        <f aca="false">BL22+BL23+BL24+BL25+BL26+BL27</f>
        <v>108.836668843814</v>
      </c>
      <c r="BM28" s="11" t="n">
        <f aca="false">BM22+BM23+BM24+BM25+BM26+BM27</f>
        <v>98.0663839223045</v>
      </c>
      <c r="BN28" s="11" t="n">
        <f aca="false">BN22+BN23+BN24+BN25+BN26+BN27</f>
        <v>3.04183345178899E-011</v>
      </c>
    </row>
    <row r="29" customFormat="false" ht="15" hidden="false" customHeight="false" outlineLevel="0" collapsed="false">
      <c r="D29" s="0" t="s">
        <v>785</v>
      </c>
      <c r="E29" s="0" t="s">
        <v>149</v>
      </c>
      <c r="J29" s="11" t="n">
        <f aca="false">ROUND(J21-J28,6)</f>
        <v>0</v>
      </c>
      <c r="K29" s="11" t="n">
        <f aca="false">ROUND(K21-K28,6)</f>
        <v>0</v>
      </c>
      <c r="L29" s="11" t="n">
        <f aca="false">ROUND(L21-L28,6)</f>
        <v>0</v>
      </c>
      <c r="M29" s="11" t="n">
        <f aca="false">ROUND(M21-M28,6)</f>
        <v>0</v>
      </c>
      <c r="N29" s="11" t="n">
        <f aca="false">ROUND(N21-N28,6)</f>
        <v>0</v>
      </c>
      <c r="O29" s="11" t="n">
        <f aca="false">ROUND(O21-O28,6)</f>
        <v>0</v>
      </c>
      <c r="P29" s="11" t="n">
        <f aca="false">ROUND(P21-P28,6)</f>
        <v>0</v>
      </c>
      <c r="Q29" s="11" t="n">
        <f aca="false">ROUND(Q21-Q28,6)</f>
        <v>-0</v>
      </c>
      <c r="R29" s="11" t="n">
        <f aca="false">ROUND(R21-R28,6)</f>
        <v>-0</v>
      </c>
      <c r="S29" s="11" t="n">
        <f aca="false">ROUND(S21-S28,6)</f>
        <v>-0</v>
      </c>
      <c r="T29" s="11" t="n">
        <f aca="false">ROUND(T21-T28,6)</f>
        <v>-0</v>
      </c>
      <c r="U29" s="11" t="n">
        <f aca="false">ROUND(U21-U28,6)</f>
        <v>-0</v>
      </c>
      <c r="V29" s="11" t="n">
        <f aca="false">ROUND(V21-V28,6)</f>
        <v>-0</v>
      </c>
      <c r="W29" s="11" t="n">
        <f aca="false">ROUND(W21-W28,6)</f>
        <v>-0</v>
      </c>
      <c r="X29" s="11" t="n">
        <f aca="false">ROUND(X21-X28,6)</f>
        <v>-0</v>
      </c>
      <c r="Y29" s="11" t="n">
        <f aca="false">ROUND(Y21-Y28,6)</f>
        <v>-0</v>
      </c>
      <c r="Z29" s="11" t="n">
        <f aca="false">ROUND(Z21-Z28,6)</f>
        <v>-0</v>
      </c>
      <c r="AA29" s="11" t="n">
        <f aca="false">ROUND(AA21-AA28,6)</f>
        <v>-0</v>
      </c>
      <c r="AB29" s="11" t="n">
        <f aca="false">ROUND(AB21-AB28,6)</f>
        <v>-0</v>
      </c>
      <c r="AC29" s="11" t="n">
        <f aca="false">ROUND(AC21-AC28,6)</f>
        <v>-0</v>
      </c>
      <c r="AD29" s="11" t="n">
        <f aca="false">ROUND(AD21-AD28,6)</f>
        <v>-0</v>
      </c>
      <c r="AE29" s="11" t="n">
        <f aca="false">ROUND(AE21-AE28,6)</f>
        <v>-0</v>
      </c>
      <c r="AF29" s="11" t="n">
        <f aca="false">ROUND(AF21-AF28,6)</f>
        <v>-0</v>
      </c>
      <c r="AG29" s="11" t="n">
        <f aca="false">ROUND(AG21-AG28,6)</f>
        <v>-0</v>
      </c>
      <c r="AH29" s="11" t="n">
        <f aca="false">ROUND(AH21-AH28,6)</f>
        <v>-0</v>
      </c>
      <c r="AI29" s="11" t="n">
        <f aca="false">ROUND(AI21-AI28,6)</f>
        <v>-0</v>
      </c>
      <c r="AJ29" s="11" t="n">
        <f aca="false">ROUND(AJ21-AJ28,6)</f>
        <v>-0</v>
      </c>
      <c r="AK29" s="11" t="n">
        <f aca="false">ROUND(AK21-AK28,6)</f>
        <v>-0</v>
      </c>
      <c r="AL29" s="11" t="n">
        <f aca="false">ROUND(AL21-AL28,6)</f>
        <v>-0</v>
      </c>
      <c r="AM29" s="11" t="n">
        <f aca="false">ROUND(AM21-AM28,6)</f>
        <v>-0</v>
      </c>
      <c r="AN29" s="11" t="n">
        <f aca="false">ROUND(AN21-AN28,6)</f>
        <v>-0</v>
      </c>
      <c r="AO29" s="11" t="n">
        <f aca="false">ROUND(AO21-AO28,6)</f>
        <v>-0</v>
      </c>
      <c r="AP29" s="11" t="n">
        <f aca="false">ROUND(AP21-AP28,6)</f>
        <v>-0</v>
      </c>
      <c r="AQ29" s="11" t="n">
        <f aca="false">ROUND(AQ21-AQ28,6)</f>
        <v>-0</v>
      </c>
      <c r="AR29" s="11" t="n">
        <f aca="false">ROUND(AR21-AR28,6)</f>
        <v>-0</v>
      </c>
      <c r="AS29" s="11" t="n">
        <f aca="false">ROUND(AS21-AS28,6)</f>
        <v>-0</v>
      </c>
      <c r="AT29" s="11" t="n">
        <f aca="false">ROUND(AT21-AT28,6)</f>
        <v>-0</v>
      </c>
      <c r="AU29" s="11" t="n">
        <f aca="false">ROUND(AU21-AU28,6)</f>
        <v>-0</v>
      </c>
      <c r="AV29" s="11" t="n">
        <f aca="false">ROUND(AV21-AV28,6)</f>
        <v>-0</v>
      </c>
      <c r="AW29" s="11" t="n">
        <f aca="false">ROUND(AW21-AW28,6)</f>
        <v>-0</v>
      </c>
      <c r="AX29" s="11" t="n">
        <f aca="false">ROUND(AX21-AX28,6)</f>
        <v>-0</v>
      </c>
      <c r="AY29" s="11" t="n">
        <f aca="false">ROUND(AY21-AY28,6)</f>
        <v>-0</v>
      </c>
      <c r="AZ29" s="11" t="n">
        <f aca="false">ROUND(AZ21-AZ28,6)</f>
        <v>-0</v>
      </c>
      <c r="BA29" s="11" t="n">
        <f aca="false">ROUND(BA21-BA28,6)</f>
        <v>-0</v>
      </c>
      <c r="BB29" s="11" t="n">
        <f aca="false">ROUND(BB21-BB28,6)</f>
        <v>-0</v>
      </c>
      <c r="BC29" s="11" t="n">
        <f aca="false">ROUND(BC21-BC28,6)</f>
        <v>-0</v>
      </c>
      <c r="BD29" s="11" t="n">
        <f aca="false">ROUND(BD21-BD28,6)</f>
        <v>-0</v>
      </c>
      <c r="BE29" s="11" t="n">
        <f aca="false">ROUND(BE21-BE28,6)</f>
        <v>-0</v>
      </c>
      <c r="BF29" s="11" t="n">
        <f aca="false">ROUND(BF21-BF28,6)</f>
        <v>-0</v>
      </c>
      <c r="BG29" s="11" t="n">
        <f aca="false">ROUND(BG21-BG28,6)</f>
        <v>-0</v>
      </c>
      <c r="BH29" s="11" t="n">
        <f aca="false">ROUND(BH21-BH28,6)</f>
        <v>-0</v>
      </c>
      <c r="BI29" s="11" t="n">
        <f aca="false">ROUND(BI21-BI28,6)</f>
        <v>-0</v>
      </c>
      <c r="BJ29" s="11" t="n">
        <f aca="false">ROUND(BJ21-BJ28,6)</f>
        <v>-0</v>
      </c>
      <c r="BK29" s="11" t="n">
        <f aca="false">ROUND(BK21-BK28,6)</f>
        <v>-0</v>
      </c>
      <c r="BL29" s="11" t="n">
        <f aca="false">ROUND(BL21-BL28,6)</f>
        <v>-0</v>
      </c>
      <c r="BM29" s="11" t="n">
        <f aca="false">ROUND(BM21-BM28,6)</f>
        <v>-0</v>
      </c>
      <c r="BN29" s="11" t="n">
        <f aca="false">ROUND(BN21-BN28,6)</f>
        <v>-0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786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787</v>
      </c>
      <c r="E7" s="0" t="s">
        <v>99</v>
      </c>
      <c r="J7" s="14" t="n">
        <f aca="false">IF(Debt!J122&gt;0.000000001,Debt!J119/Debt!J122,0)</f>
        <v>0</v>
      </c>
      <c r="K7" s="14" t="n">
        <f aca="false">IF(Debt!K122&gt;0.000000001,Debt!K119/Debt!K122,0)</f>
        <v>0</v>
      </c>
      <c r="L7" s="14" t="n">
        <f aca="false">IF(Debt!L122&gt;0.000000001,Debt!L119/Debt!L122,0)</f>
        <v>0</v>
      </c>
      <c r="M7" s="14" t="n">
        <f aca="false">IF(Debt!M122&gt;0.000000001,Debt!M119/Debt!M122,0)</f>
        <v>0</v>
      </c>
      <c r="N7" s="14" t="n">
        <f aca="false">IF(Debt!N122&gt;0.000000001,Debt!N119/Debt!N122,0)</f>
        <v>0</v>
      </c>
      <c r="O7" s="14" t="n">
        <f aca="false">IF(Debt!O122&gt;0.000000001,Debt!O119/Debt!O122,0)</f>
        <v>0</v>
      </c>
      <c r="P7" s="14" t="n">
        <f aca="false">IF(Debt!P122&gt;0.000000001,Debt!P119/Debt!P122,0)</f>
        <v>0</v>
      </c>
      <c r="Q7" s="14" t="n">
        <f aca="false">IF(Debt!Q122&gt;0.000000001,Debt!Q119/Debt!Q122,0)</f>
        <v>0.0304869603819959</v>
      </c>
      <c r="R7" s="14" t="n">
        <f aca="false">IF(Debt!R122&gt;0.000000001,Debt!R119/Debt!R122,0)</f>
        <v>0.0341667473512863</v>
      </c>
      <c r="S7" s="14" t="n">
        <f aca="false">IF(Debt!S122&gt;0.000000001,Debt!S119/Debt!S122,0)</f>
        <v>0.0365205782025131</v>
      </c>
      <c r="T7" s="14" t="n">
        <f aca="false">IF(Debt!T122&gt;0.000000001,Debt!T119/Debt!T122,0)</f>
        <v>0.0403088893803969</v>
      </c>
      <c r="U7" s="14" t="n">
        <f aca="false">IF(Debt!U122&gt;0.000000001,Debt!U119/Debt!U122,0)</f>
        <v>0.0398550012787352</v>
      </c>
      <c r="V7" s="14" t="n">
        <f aca="false">IF(Debt!V122&gt;0.000000001,Debt!V119/Debt!V122,0)</f>
        <v>0.0401921842140951</v>
      </c>
      <c r="W7" s="14" t="n">
        <f aca="false">IF(Debt!W122&gt;0.000000001,Debt!W119/Debt!W122,0)</f>
        <v>0.0358992040896413</v>
      </c>
      <c r="X7" s="14" t="n">
        <f aca="false">IF(Debt!X122&gt;0.000000001,Debt!X119/Debt!X122,0)</f>
        <v>0.0347038056722751</v>
      </c>
      <c r="Y7" s="14" t="n">
        <f aca="false">IF(Debt!Y122&gt;0.000000001,Debt!Y119/Debt!Y122,0)</f>
        <v>0.0344058633107309</v>
      </c>
      <c r="Z7" s="14" t="n">
        <f aca="false">IF(Debt!Z122&gt;0.000000001,Debt!Z119/Debt!Z122,0)</f>
        <v>0.034610575462847</v>
      </c>
      <c r="AA7" s="14" t="n">
        <f aca="false">IF(Debt!AA122&gt;0.000000001,Debt!AA119/Debt!AA122,0)</f>
        <v>0.0345249064051508</v>
      </c>
      <c r="AB7" s="14" t="n">
        <f aca="false">IF(Debt!AB122&gt;0.000000001,Debt!AB119/Debt!AB122,0)</f>
        <v>0.0347645441423132</v>
      </c>
      <c r="AC7" s="14" t="n">
        <f aca="false">IF(Debt!AC122&gt;0.000000001,Debt!AC119/Debt!AC122,0)</f>
        <v>0.0348330260109429</v>
      </c>
      <c r="AD7" s="14" t="n">
        <f aca="false">IF(Debt!AD122&gt;0.000000001,Debt!AD119/Debt!AD122,0)</f>
        <v>0.0350574325272835</v>
      </c>
      <c r="AE7" s="14" t="n">
        <f aca="false">IF(Debt!AE122&gt;0.000000001,Debt!AE119/Debt!AE122,0)</f>
        <v>0.0351097704719267</v>
      </c>
      <c r="AF7" s="14" t="n">
        <f aca="false">IF(Debt!AF122&gt;0.000000001,Debt!AF119/Debt!AF122,0)</f>
        <v>0.0354193783233776</v>
      </c>
      <c r="AG7" s="14" t="n">
        <f aca="false">IF(Debt!AG122&gt;0.000000001,Debt!AG119/Debt!AG122,0)</f>
        <v>0.0355324611369888</v>
      </c>
      <c r="AH7" s="14" t="n">
        <f aca="false">IF(Debt!AH122&gt;0.000000001,Debt!AH119/Debt!AH122,0)</f>
        <v>0.0358952329508675</v>
      </c>
      <c r="AI7" s="14" t="n">
        <f aca="false">IF(Debt!AI122&gt;0.000000001,Debt!AI119/Debt!AI122,0)</f>
        <v>0.0360987559139876</v>
      </c>
      <c r="AJ7" s="14" t="n">
        <f aca="false">IF(Debt!AJ122&gt;0.000000001,Debt!AJ119/Debt!AJ122,0)</f>
        <v>0.0365608972972863</v>
      </c>
      <c r="AK7" s="14" t="n">
        <f aca="false">IF(Debt!AK122&gt;0.000000001,Debt!AK119/Debt!AK122,0)</f>
        <v>0.0369512725290997</v>
      </c>
      <c r="AL7" s="14" t="n">
        <f aca="false">IF(Debt!AL122&gt;0.000000001,Debt!AL119/Debt!AL122,0)</f>
        <v>0.0375627953155612</v>
      </c>
      <c r="AM7" s="14" t="n">
        <f aca="false">IF(Debt!AM122&gt;0.000000001,Debt!AM119/Debt!AM122,0)</f>
        <v>0.0382201608254474</v>
      </c>
      <c r="AN7" s="14" t="n">
        <f aca="false">IF(Debt!AN122&gt;0.000000001,Debt!AN119/Debt!AN122,0)</f>
        <v>0.039241830790248</v>
      </c>
      <c r="AO7" s="14" t="n">
        <f aca="false">IF(Debt!AO122&gt;0.000000001,Debt!AO119/Debt!AO122,0)</f>
        <v>0.0402627060471078</v>
      </c>
      <c r="AP7" s="14" t="n">
        <f aca="false">IF(Debt!AP122&gt;0.000000001,Debt!AP119/Debt!AP122,0)</f>
        <v>0.0416079837067112</v>
      </c>
      <c r="AQ7" s="14" t="n">
        <f aca="false">IF(Debt!AQ122&gt;0.000000001,Debt!AQ119/Debt!AQ122,0)</f>
        <v>0.0416079837067112</v>
      </c>
      <c r="AR7" s="14" t="n">
        <f aca="false">IF(Debt!AR122&gt;0.000000001,Debt!AR119/Debt!AR122,0)</f>
        <v>0.0416079837067112</v>
      </c>
      <c r="AS7" s="14" t="n">
        <f aca="false">IF(Debt!AS122&gt;0.000000001,Debt!AS119/Debt!AS122,0)</f>
        <v>0.0416079837067112</v>
      </c>
      <c r="AT7" s="14" t="n">
        <f aca="false">IF(Debt!AT122&gt;0.000000001,Debt!AT119/Debt!AT122,0)</f>
        <v>0.0416079837067112</v>
      </c>
      <c r="AU7" s="14" t="n">
        <f aca="false">IF(Debt!AU122&gt;0.000000001,Debt!AU119/Debt!AU122,0)</f>
        <v>0.0416079837067112</v>
      </c>
      <c r="AV7" s="14" t="n">
        <f aca="false">IF(Debt!AV122&gt;0.000000001,Debt!AV119/Debt!AV122,0)</f>
        <v>0</v>
      </c>
      <c r="AW7" s="14" t="n">
        <f aca="false">IF(Debt!AW122&gt;0.000000001,Debt!AW119/Debt!AW122,0)</f>
        <v>0</v>
      </c>
      <c r="AX7" s="14" t="n">
        <f aca="false">IF(Debt!AX122&gt;0.000000001,Debt!AX119/Debt!AX122,0)</f>
        <v>0</v>
      </c>
      <c r="AY7" s="14" t="n">
        <f aca="false">IF(Debt!AY122&gt;0.000000001,Debt!AY119/Debt!AY122,0)</f>
        <v>0</v>
      </c>
      <c r="AZ7" s="14" t="n">
        <f aca="false">IF(Debt!AZ122&gt;0.000000001,Debt!AZ119/Debt!AZ122,0)</f>
        <v>0</v>
      </c>
      <c r="BA7" s="14" t="n">
        <f aca="false">IF(Debt!BA122&gt;0.000000001,Debt!BA119/Debt!BA122,0)</f>
        <v>0</v>
      </c>
      <c r="BB7" s="14" t="n">
        <f aca="false">IF(Debt!BB122&gt;0.000000001,Debt!BB119/Debt!BB122,0)</f>
        <v>0</v>
      </c>
      <c r="BC7" s="14" t="n">
        <f aca="false">IF(Debt!BC122&gt;0.000000001,Debt!BC119/Debt!BC122,0)</f>
        <v>0</v>
      </c>
      <c r="BD7" s="14" t="n">
        <f aca="false">IF(Debt!BD122&gt;0.000000001,Debt!BD119/Debt!BD122,0)</f>
        <v>0</v>
      </c>
      <c r="BE7" s="14" t="n">
        <f aca="false">IF(Debt!BE122&gt;0.000000001,Debt!BE119/Debt!BE122,0)</f>
        <v>0</v>
      </c>
      <c r="BF7" s="14" t="n">
        <f aca="false">IF(Debt!BF122&gt;0.000000001,Debt!BF119/Debt!BF122,0)</f>
        <v>0</v>
      </c>
      <c r="BG7" s="14" t="n">
        <f aca="false">IF(Debt!BG122&gt;0.000000001,Debt!BG119/Debt!BG122,0)</f>
        <v>0</v>
      </c>
      <c r="BH7" s="14" t="n">
        <f aca="false">IF(Debt!BH122&gt;0.000000001,Debt!BH119/Debt!BH122,0)</f>
        <v>0</v>
      </c>
      <c r="BI7" s="14" t="n">
        <f aca="false">IF(Debt!BI122&gt;0.000000001,Debt!BI119/Debt!BI122,0)</f>
        <v>0</v>
      </c>
      <c r="BJ7" s="14" t="n">
        <f aca="false">IF(Debt!BJ122&gt;0.000000001,Debt!BJ119/Debt!BJ122,0)</f>
        <v>0</v>
      </c>
      <c r="BK7" s="14" t="n">
        <f aca="false">IF(Debt!BK122&gt;0.000000001,Debt!BK119/Debt!BK122,0)</f>
        <v>0</v>
      </c>
      <c r="BL7" s="14" t="n">
        <f aca="false">IF(Debt!BL122&gt;0.000000001,Debt!BL119/Debt!BL122,0)</f>
        <v>0</v>
      </c>
      <c r="BM7" s="14" t="n">
        <f aca="false">IF(Debt!BM122&gt;0.000000001,Debt!BM119/Debt!BM122,0)</f>
        <v>0</v>
      </c>
      <c r="BN7" s="14" t="n">
        <f aca="false">IF(Debt!BN122&gt;0.000000001,Debt!BN119/Debt!BN122,0)</f>
        <v>0</v>
      </c>
    </row>
    <row r="8" customFormat="false" ht="15" hidden="false" customHeight="false" outlineLevel="0" collapsed="false">
      <c r="D8" s="0" t="s">
        <v>788</v>
      </c>
      <c r="E8" s="0" t="s">
        <v>91</v>
      </c>
      <c r="F8" s="9" t="n">
        <f aca="false">SUMPRODUCT(MAX((Debt!$J$122:$BN$122&gt;0.000000001)*Time!$J$17:$BN$17))</f>
        <v>38</v>
      </c>
    </row>
    <row r="9" customFormat="false" ht="15" hidden="false" customHeight="false" outlineLevel="0" collapsed="false">
      <c r="D9" s="0" t="s">
        <v>789</v>
      </c>
      <c r="E9" s="0" t="s">
        <v>99</v>
      </c>
      <c r="F9" s="14" t="n">
        <f aca="false">INDEX(Ratios!$J$7:$BN$7,1,Ratios!$F$8)</f>
        <v>0.0416079837067112</v>
      </c>
    </row>
    <row r="10" customFormat="false" ht="15" hidden="false" customHeight="false" outlineLevel="0" collapsed="false">
      <c r="D10" s="0" t="s">
        <v>790</v>
      </c>
      <c r="E10" s="0" t="s">
        <v>99</v>
      </c>
      <c r="J10" s="14" t="n">
        <f aca="false">IF(J7&gt;0,J7,$F$9)</f>
        <v>0.0416079837067112</v>
      </c>
      <c r="K10" s="14" t="n">
        <f aca="false">IF(K7&gt;0,K7,$F$9)</f>
        <v>0.0416079837067112</v>
      </c>
      <c r="L10" s="14" t="n">
        <f aca="false">IF(L7&gt;0,L7,$F$9)</f>
        <v>0.0416079837067112</v>
      </c>
      <c r="M10" s="14" t="n">
        <f aca="false">IF(M7&gt;0,M7,$F$9)</f>
        <v>0.0416079837067112</v>
      </c>
      <c r="N10" s="14" t="n">
        <f aca="false">IF(N7&gt;0,N7,$F$9)</f>
        <v>0.0416079837067112</v>
      </c>
      <c r="O10" s="14" t="n">
        <f aca="false">IF(O7&gt;0,O7,$F$9)</f>
        <v>0.0416079837067112</v>
      </c>
      <c r="P10" s="14" t="n">
        <f aca="false">IF(P7&gt;0,P7,$F$9)</f>
        <v>0.0416079837067112</v>
      </c>
      <c r="Q10" s="14" t="n">
        <f aca="false">IF(Q7&gt;0,Q7,$F$9)</f>
        <v>0.0304869603819959</v>
      </c>
      <c r="R10" s="14" t="n">
        <f aca="false">IF(R7&gt;0,R7,$F$9)</f>
        <v>0.0341667473512863</v>
      </c>
      <c r="S10" s="14" t="n">
        <f aca="false">IF(S7&gt;0,S7,$F$9)</f>
        <v>0.0365205782025131</v>
      </c>
      <c r="T10" s="14" t="n">
        <f aca="false">IF(T7&gt;0,T7,$F$9)</f>
        <v>0.0403088893803969</v>
      </c>
      <c r="U10" s="14" t="n">
        <f aca="false">IF(U7&gt;0,U7,$F$9)</f>
        <v>0.0398550012787352</v>
      </c>
      <c r="V10" s="14" t="n">
        <f aca="false">IF(V7&gt;0,V7,$F$9)</f>
        <v>0.0401921842140951</v>
      </c>
      <c r="W10" s="14" t="n">
        <f aca="false">IF(W7&gt;0,W7,$F$9)</f>
        <v>0.0358992040896413</v>
      </c>
      <c r="X10" s="14" t="n">
        <f aca="false">IF(X7&gt;0,X7,$F$9)</f>
        <v>0.0347038056722751</v>
      </c>
      <c r="Y10" s="14" t="n">
        <f aca="false">IF(Y7&gt;0,Y7,$F$9)</f>
        <v>0.0344058633107309</v>
      </c>
      <c r="Z10" s="14" t="n">
        <f aca="false">IF(Z7&gt;0,Z7,$F$9)</f>
        <v>0.034610575462847</v>
      </c>
      <c r="AA10" s="14" t="n">
        <f aca="false">IF(AA7&gt;0,AA7,$F$9)</f>
        <v>0.0345249064051508</v>
      </c>
      <c r="AB10" s="14" t="n">
        <f aca="false">IF(AB7&gt;0,AB7,$F$9)</f>
        <v>0.0347645441423132</v>
      </c>
      <c r="AC10" s="14" t="n">
        <f aca="false">IF(AC7&gt;0,AC7,$F$9)</f>
        <v>0.0348330260109429</v>
      </c>
      <c r="AD10" s="14" t="n">
        <f aca="false">IF(AD7&gt;0,AD7,$F$9)</f>
        <v>0.0350574325272835</v>
      </c>
      <c r="AE10" s="14" t="n">
        <f aca="false">IF(AE7&gt;0,AE7,$F$9)</f>
        <v>0.0351097704719267</v>
      </c>
      <c r="AF10" s="14" t="n">
        <f aca="false">IF(AF7&gt;0,AF7,$F$9)</f>
        <v>0.0354193783233776</v>
      </c>
      <c r="AG10" s="14" t="n">
        <f aca="false">IF(AG7&gt;0,AG7,$F$9)</f>
        <v>0.0355324611369888</v>
      </c>
      <c r="AH10" s="14" t="n">
        <f aca="false">IF(AH7&gt;0,AH7,$F$9)</f>
        <v>0.0358952329508675</v>
      </c>
      <c r="AI10" s="14" t="n">
        <f aca="false">IF(AI7&gt;0,AI7,$F$9)</f>
        <v>0.0360987559139876</v>
      </c>
      <c r="AJ10" s="14" t="n">
        <f aca="false">IF(AJ7&gt;0,AJ7,$F$9)</f>
        <v>0.0365608972972863</v>
      </c>
      <c r="AK10" s="14" t="n">
        <f aca="false">IF(AK7&gt;0,AK7,$F$9)</f>
        <v>0.0369512725290997</v>
      </c>
      <c r="AL10" s="14" t="n">
        <f aca="false">IF(AL7&gt;0,AL7,$F$9)</f>
        <v>0.0375627953155612</v>
      </c>
      <c r="AM10" s="14" t="n">
        <f aca="false">IF(AM7&gt;0,AM7,$F$9)</f>
        <v>0.0382201608254474</v>
      </c>
      <c r="AN10" s="14" t="n">
        <f aca="false">IF(AN7&gt;0,AN7,$F$9)</f>
        <v>0.039241830790248</v>
      </c>
      <c r="AO10" s="14" t="n">
        <f aca="false">IF(AO7&gt;0,AO7,$F$9)</f>
        <v>0.0402627060471078</v>
      </c>
      <c r="AP10" s="14" t="n">
        <f aca="false">IF(AP7&gt;0,AP7,$F$9)</f>
        <v>0.0416079837067112</v>
      </c>
      <c r="AQ10" s="14" t="n">
        <f aca="false">IF(AQ7&gt;0,AQ7,$F$9)</f>
        <v>0.0416079837067112</v>
      </c>
      <c r="AR10" s="14" t="n">
        <f aca="false">IF(AR7&gt;0,AR7,$F$9)</f>
        <v>0.0416079837067112</v>
      </c>
      <c r="AS10" s="14" t="n">
        <f aca="false">IF(AS7&gt;0,AS7,$F$9)</f>
        <v>0.0416079837067112</v>
      </c>
      <c r="AT10" s="14" t="n">
        <f aca="false">IF(AT7&gt;0,AT7,$F$9)</f>
        <v>0.0416079837067112</v>
      </c>
      <c r="AU10" s="14" t="n">
        <f aca="false">IF(AU7&gt;0,AU7,$F$9)</f>
        <v>0.0416079837067112</v>
      </c>
      <c r="AV10" s="14" t="n">
        <f aca="false">IF(AV7&gt;0,AV7,$F$9)</f>
        <v>0.0416079837067112</v>
      </c>
      <c r="AW10" s="14" t="n">
        <f aca="false">IF(AW7&gt;0,AW7,$F$9)</f>
        <v>0.0416079837067112</v>
      </c>
      <c r="AX10" s="14" t="n">
        <f aca="false">IF(AX7&gt;0,AX7,$F$9)</f>
        <v>0.0416079837067112</v>
      </c>
      <c r="AY10" s="14" t="n">
        <f aca="false">IF(AY7&gt;0,AY7,$F$9)</f>
        <v>0.0416079837067112</v>
      </c>
      <c r="AZ10" s="14" t="n">
        <f aca="false">IF(AZ7&gt;0,AZ7,$F$9)</f>
        <v>0.0416079837067112</v>
      </c>
      <c r="BA10" s="14" t="n">
        <f aca="false">IF(BA7&gt;0,BA7,$F$9)</f>
        <v>0.0416079837067112</v>
      </c>
      <c r="BB10" s="14" t="n">
        <f aca="false">IF(BB7&gt;0,BB7,$F$9)</f>
        <v>0.0416079837067112</v>
      </c>
      <c r="BC10" s="14" t="n">
        <f aca="false">IF(BC7&gt;0,BC7,$F$9)</f>
        <v>0.0416079837067112</v>
      </c>
      <c r="BD10" s="14" t="n">
        <f aca="false">IF(BD7&gt;0,BD7,$F$9)</f>
        <v>0.0416079837067112</v>
      </c>
      <c r="BE10" s="14" t="n">
        <f aca="false">IF(BE7&gt;0,BE7,$F$9)</f>
        <v>0.0416079837067112</v>
      </c>
      <c r="BF10" s="14" t="n">
        <f aca="false">IF(BF7&gt;0,BF7,$F$9)</f>
        <v>0.0416079837067112</v>
      </c>
      <c r="BG10" s="14" t="n">
        <f aca="false">IF(BG7&gt;0,BG7,$F$9)</f>
        <v>0.0416079837067112</v>
      </c>
      <c r="BH10" s="14" t="n">
        <f aca="false">IF(BH7&gt;0,BH7,$F$9)</f>
        <v>0.0416079837067112</v>
      </c>
      <c r="BI10" s="14" t="n">
        <f aca="false">IF(BI7&gt;0,BI7,$F$9)</f>
        <v>0.0416079837067112</v>
      </c>
      <c r="BJ10" s="14" t="n">
        <f aca="false">IF(BJ7&gt;0,BJ7,$F$9)</f>
        <v>0.0416079837067112</v>
      </c>
      <c r="BK10" s="14" t="n">
        <f aca="false">IF(BK7&gt;0,BK7,$F$9)</f>
        <v>0.0416079837067112</v>
      </c>
      <c r="BL10" s="14" t="n">
        <f aca="false">IF(BL7&gt;0,BL7,$F$9)</f>
        <v>0.0416079837067112</v>
      </c>
      <c r="BM10" s="14" t="n">
        <f aca="false">IF(BM7&gt;0,BM7,$F$9)</f>
        <v>0.0416079837067112</v>
      </c>
      <c r="BN10" s="14" t="n">
        <f aca="false">IF(BN7&gt;0,BN7,$F$9)</f>
        <v>0.0416079837067112</v>
      </c>
    </row>
    <row r="11" customFormat="false" ht="15" hidden="false" customHeight="false" outlineLevel="0" collapsed="false">
      <c r="D11" s="0" t="s">
        <v>791</v>
      </c>
      <c r="E11" s="0" t="s">
        <v>149</v>
      </c>
      <c r="J11" s="11" t="n">
        <f aca="false">IF(Time!J17&lt;=$F$8,(Waterfall!J7+K11)/(1+J10),0)</f>
        <v>677.079119203432</v>
      </c>
      <c r="K11" s="11" t="n">
        <f aca="false">IF(Time!K17&lt;=$F$8,(Waterfall!K7+L11)/(1+K10),0)</f>
        <v>705.251016163402</v>
      </c>
      <c r="L11" s="11" t="n">
        <f aca="false">IF(Time!L17&lt;=$F$8,(Waterfall!L7+M11)/(1+L10),0)</f>
        <v>734.595088953071</v>
      </c>
      <c r="M11" s="11" t="n">
        <f aca="false">IF(Time!M17&lt;=$F$8,(Waterfall!M7+N11)/(1+M10),0)</f>
        <v>765.16010944526</v>
      </c>
      <c r="N11" s="11" t="n">
        <f aca="false">IF(Time!N17&lt;=$F$8,(Waterfall!N7+O11)/(1+N10),0)</f>
        <v>796.996878812084</v>
      </c>
      <c r="O11" s="11" t="n">
        <f aca="false">IF(Time!O17&lt;=$F$8,(Waterfall!O7+P11)/(1+O10),0)</f>
        <v>830.158311959997</v>
      </c>
      <c r="P11" s="11" t="n">
        <f aca="false">IF(Time!P17&lt;=$F$8,(Waterfall!P7+Q11)/(1+P10),0)</f>
        <v>864.699525478019</v>
      </c>
      <c r="Q11" s="11" t="n">
        <f aca="false">IF(Time!Q17&lt;=$F$8,(Waterfall!Q7+R11)/(1+Q10),0)</f>
        <v>906.970563583843</v>
      </c>
      <c r="R11" s="11" t="n">
        <f aca="false">IF(Time!R17&lt;=$F$8,(Waterfall!R7+S11)/(1+R10),0)</f>
        <v>889.820302709871</v>
      </c>
      <c r="S11" s="11" t="n">
        <f aca="false">IF(Time!S17&lt;=$F$8,(Waterfall!S7+T11)/(1+S10),0)</f>
        <v>882.857198998554</v>
      </c>
      <c r="T11" s="11" t="n">
        <f aca="false">IF(Time!T17&lt;=$F$8,(Waterfall!T7+U11)/(1+T10),0)</f>
        <v>879.329036589101</v>
      </c>
      <c r="U11" s="11" t="n">
        <f aca="false">IF(Time!U17&lt;=$F$8,(Waterfall!U7+V11)/(1+U10),0)</f>
        <v>858.584639059884</v>
      </c>
      <c r="V11" s="11" t="n">
        <f aca="false">IF(Time!V17&lt;=$F$8,(Waterfall!V7+W11)/(1+V10),0)</f>
        <v>835.41941376221</v>
      </c>
      <c r="W11" s="11" t="n">
        <f aca="false">IF(Time!W17&lt;=$F$8,(Waterfall!W7+X11)/(1+W10),0)</f>
        <v>812.322305127105</v>
      </c>
      <c r="X11" s="11" t="n">
        <f aca="false">IF(Time!X17&lt;=$F$8,(Waterfall!X7+Y11)/(1+X10),0)</f>
        <v>786.127630611995</v>
      </c>
      <c r="Y11" s="11" t="n">
        <f aca="false">IF(Time!Y17&lt;=$F$8,(Waterfall!Y7+Z11)/(1+Y10),0)</f>
        <v>761.727800619207</v>
      </c>
      <c r="Z11" s="11" t="n">
        <f aca="false">IF(Time!Z17&lt;=$F$8,(Waterfall!Z7+AA11)/(1+Z10),0)</f>
        <v>738.801207280599</v>
      </c>
      <c r="AA11" s="11" t="n">
        <f aca="false">IF(Time!AA17&lt;=$F$8,(Waterfall!AA7+AB11)/(1+AA10),0)</f>
        <v>714.512297607363</v>
      </c>
      <c r="AB11" s="11" t="n">
        <f aca="false">IF(Time!AB17&lt;=$F$8,(Waterfall!AB7+AC11)/(1+AB10),0)</f>
        <v>689.882053931346</v>
      </c>
      <c r="AC11" s="11" t="n">
        <f aca="false">IF(Time!AC17&lt;=$F$8,(Waterfall!AC7+AD11)/(1+AC10),0)</f>
        <v>663.878905910225</v>
      </c>
      <c r="AD11" s="11" t="n">
        <f aca="false">IF(Time!AD17&lt;=$F$8,(Waterfall!AD7+AE11)/(1+AD10),0)</f>
        <v>637.334190458197</v>
      </c>
      <c r="AE11" s="11" t="n">
        <f aca="false">IF(Time!AE17&lt;=$F$8,(Waterfall!AE7+AF11)/(1+AE10),0)</f>
        <v>609.449277358071</v>
      </c>
      <c r="AF11" s="11" t="n">
        <f aca="false">IF(Time!AF17&lt;=$F$8,(Waterfall!AF7+AG11)/(1+AF10),0)</f>
        <v>579.182569530389</v>
      </c>
      <c r="AG11" s="11" t="n">
        <f aca="false">IF(Time!AG17&lt;=$F$8,(Waterfall!AG7+AH11)/(1+AG10),0)</f>
        <v>547.177648154557</v>
      </c>
      <c r="AH11" s="11" t="n">
        <f aca="false">IF(Time!AH17&lt;=$F$8,(Waterfall!AH7+AI11)/(1+AH10),0)</f>
        <v>514.909577544899</v>
      </c>
      <c r="AI11" s="11" t="n">
        <f aca="false">IF(Time!AI17&lt;=$F$8,(Waterfall!AI7+AJ11)/(1+AI10),0)</f>
        <v>480.923530613086</v>
      </c>
      <c r="AJ11" s="11" t="n">
        <f aca="false">IF(Time!AJ17&lt;=$F$8,(Waterfall!AJ7+AK11)/(1+AJ10),0)</f>
        <v>446.153846055247</v>
      </c>
      <c r="AK11" s="11" t="n">
        <f aca="false">IF(Time!AK17&lt;=$F$8,(Waterfall!AK7+AL11)/(1+AK10),0)</f>
        <v>409.675476767484</v>
      </c>
      <c r="AL11" s="11" t="n">
        <f aca="false">IF(Time!AL17&lt;=$F$8,(Waterfall!AL7+AM11)/(1+AL10),0)</f>
        <v>372.379730201395</v>
      </c>
      <c r="AM11" s="11" t="n">
        <f aca="false">IF(Time!AM17&lt;=$F$8,(Waterfall!AM7+AN11)/(1+AM10),0)</f>
        <v>333.390741049932</v>
      </c>
      <c r="AN11" s="11" t="n">
        <f aca="false">IF(Time!AN17&lt;=$F$8,(Waterfall!AN7+AO11)/(1+AN10),0)</f>
        <v>294.122087320508</v>
      </c>
      <c r="AO11" s="11" t="n">
        <f aca="false">IF(Time!AO17&lt;=$F$8,(Waterfall!AO7+AP11)/(1+AO10),0)</f>
        <v>259.562377621348</v>
      </c>
      <c r="AP11" s="11" t="n">
        <f aca="false">IF(Time!AP17&lt;=$F$8,(Waterfall!AP7+AQ11)/(1+AP10),0)</f>
        <v>227.335387858508</v>
      </c>
      <c r="AQ11" s="11" t="n">
        <f aca="false">IF(Time!AQ17&lt;=$F$8,(Waterfall!AQ7+AR11)/(1+AQ10),0)</f>
        <v>193.6437909159</v>
      </c>
      <c r="AR11" s="11" t="n">
        <f aca="false">IF(Time!AR17&lt;=$F$8,(Waterfall!AR7+AS11)/(1+AR10),0)</f>
        <v>159.208851054545</v>
      </c>
      <c r="AS11" s="11" t="n">
        <f aca="false">IF(Time!AS17&lt;=$F$8,(Waterfall!AS7+AT11)/(1+AS10),0)</f>
        <v>122.960106001266</v>
      </c>
      <c r="AT11" s="11" t="n">
        <f aca="false">IF(Time!AT17&lt;=$F$8,(Waterfall!AT7+AU11)/(1+AT10),0)</f>
        <v>85.8739233393947</v>
      </c>
      <c r="AU11" s="11" t="n">
        <f aca="false">IF(Time!AU17&lt;=$F$8,(Waterfall!AU7+AV11)/(1+AU10),0)</f>
        <v>47.0011471546596</v>
      </c>
      <c r="AV11" s="11" t="n">
        <f aca="false">IF(Time!AV17&lt;=$F$8,(Waterfall!AV7+AW11)/(1+AV10),0)</f>
        <v>0</v>
      </c>
      <c r="AW11" s="11" t="n">
        <f aca="false">IF(Time!AW17&lt;=$F$8,(Waterfall!AW7+AX11)/(1+AW10),0)</f>
        <v>0</v>
      </c>
      <c r="AX11" s="11" t="n">
        <f aca="false">IF(Time!AX17&lt;=$F$8,(Waterfall!AX7+AY11)/(1+AX10),0)</f>
        <v>0</v>
      </c>
      <c r="AY11" s="11" t="n">
        <f aca="false">IF(Time!AY17&lt;=$F$8,(Waterfall!AY7+AZ11)/(1+AY10),0)</f>
        <v>0</v>
      </c>
      <c r="AZ11" s="11" t="n">
        <f aca="false">IF(Time!AZ17&lt;=$F$8,(Waterfall!AZ7+BA11)/(1+AZ10),0)</f>
        <v>0</v>
      </c>
      <c r="BA11" s="11" t="n">
        <f aca="false">IF(Time!BA17&lt;=$F$8,(Waterfall!BA7+BB11)/(1+BA10),0)</f>
        <v>0</v>
      </c>
      <c r="BB11" s="11" t="n">
        <f aca="false">IF(Time!BB17&lt;=$F$8,(Waterfall!BB7+BC11)/(1+BB10),0)</f>
        <v>0</v>
      </c>
      <c r="BC11" s="11" t="n">
        <f aca="false">IF(Time!BC17&lt;=$F$8,(Waterfall!BC7+BD11)/(1+BC10),0)</f>
        <v>0</v>
      </c>
      <c r="BD11" s="11" t="n">
        <f aca="false">IF(Time!BD17&lt;=$F$8,(Waterfall!BD7+BE11)/(1+BD10),0)</f>
        <v>0</v>
      </c>
      <c r="BE11" s="11" t="n">
        <f aca="false">IF(Time!BE17&lt;=$F$8,(Waterfall!BE7+BF11)/(1+BE10),0)</f>
        <v>0</v>
      </c>
      <c r="BF11" s="11" t="n">
        <f aca="false">IF(Time!BF17&lt;=$F$8,(Waterfall!BF7+BG11)/(1+BF10),0)</f>
        <v>0</v>
      </c>
      <c r="BG11" s="11" t="n">
        <f aca="false">IF(Time!BG17&lt;=$F$8,(Waterfall!BG7+BH11)/(1+BG10),0)</f>
        <v>0</v>
      </c>
      <c r="BH11" s="11" t="n">
        <f aca="false">IF(Time!BH17&lt;=$F$8,(Waterfall!BH7+BI11)/(1+BH10),0)</f>
        <v>0</v>
      </c>
      <c r="BI11" s="11" t="n">
        <f aca="false">IF(Time!BI17&lt;=$F$8,(Waterfall!BI7+BJ11)/(1+BI10),0)</f>
        <v>0</v>
      </c>
      <c r="BJ11" s="11" t="n">
        <f aca="false">IF(Time!BJ17&lt;=$F$8,(Waterfall!BJ7+BK11)/(1+BJ10),0)</f>
        <v>0</v>
      </c>
      <c r="BK11" s="11" t="n">
        <f aca="false">IF(Time!BK17&lt;=$F$8,(Waterfall!BK7+BL11)/(1+BK10),0)</f>
        <v>0</v>
      </c>
      <c r="BL11" s="11" t="n">
        <f aca="false">IF(Time!BL17&lt;=$F$8,(Waterfall!BL7+BM11)/(1+BL10),0)</f>
        <v>0</v>
      </c>
      <c r="BM11" s="11" t="n">
        <f aca="false">IF(Time!BM17&lt;=$F$8,(Waterfall!BM7+BN11)/(1+BM10),0)</f>
        <v>0</v>
      </c>
      <c r="BN11" s="11" t="n">
        <f aca="false">IF(Time!BN17&lt;=$F$8,(Waterfall!BN7+0)/(1+BN10),0)</f>
        <v>0</v>
      </c>
    </row>
    <row r="12" customFormat="false" ht="15" hidden="false" customHeight="false" outlineLevel="0" collapsed="false">
      <c r="D12" s="0" t="s">
        <v>792</v>
      </c>
      <c r="E12" s="0" t="s">
        <v>149</v>
      </c>
      <c r="J12" s="11" t="n">
        <f aca="false">IF(Time!J17&lt;=Time!$F$14,(Waterfall!J7+K12)/(1+J10),0)</f>
        <v>809.026399190128</v>
      </c>
      <c r="K12" s="11" t="n">
        <f aca="false">IF(Time!K17&lt;=Time!$F$14,(Waterfall!K7+L12)/(1+K10),0)</f>
        <v>842.68835642593</v>
      </c>
      <c r="L12" s="11" t="n">
        <f aca="false">IF(Time!L17&lt;=Time!$F$14,(Waterfall!L7+M12)/(1+L10),0)</f>
        <v>877.750919829935</v>
      </c>
      <c r="M12" s="11" t="n">
        <f aca="false">IF(Time!M17&lt;=Time!$F$14,(Waterfall!M7+N12)/(1+M10),0)</f>
        <v>914.27236580077</v>
      </c>
      <c r="N12" s="11" t="n">
        <f aca="false">IF(Time!N17&lt;=Time!$F$14,(Waterfall!N7+O12)/(1+N10),0)</f>
        <v>952.313395500504</v>
      </c>
      <c r="O12" s="11" t="n">
        <f aca="false">IF(Time!O17&lt;=Time!$F$14,(Waterfall!O7+P12)/(1+O10),0)</f>
        <v>991.937235744172</v>
      </c>
      <c r="P12" s="11" t="n">
        <f aca="false">IF(Time!P17&lt;=Time!$F$14,(Waterfall!P7+Q12)/(1+P10),0)</f>
        <v>1033.2097440871</v>
      </c>
      <c r="Q12" s="11" t="n">
        <f aca="false">IF(Time!Q17&lt;=Time!$F$14,(Waterfall!Q7+R12)/(1+Q10),0)</f>
        <v>1082.49215262322</v>
      </c>
      <c r="R12" s="11" t="n">
        <f aca="false">IF(Time!R17&lt;=Time!$F$14,(Waterfall!R7+S12)/(1+R10),0)</f>
        <v>1070.69301148048</v>
      </c>
      <c r="S12" s="11" t="n">
        <f aca="false">IF(Time!S17&lt;=Time!$F$14,(Waterfall!S7+T12)/(1+S10),0)</f>
        <v>1069.90973991247</v>
      </c>
      <c r="T12" s="11" t="n">
        <f aca="false">IF(Time!T17&lt;=Time!$F$14,(Waterfall!T7+U12)/(1+T10),0)</f>
        <v>1073.21284445144</v>
      </c>
      <c r="U12" s="11" t="n">
        <f aca="false">IF(Time!U17&lt;=Time!$F$14,(Waterfall!U7+V12)/(1+U10),0)</f>
        <v>1060.283687886</v>
      </c>
      <c r="V12" s="11" t="n">
        <f aca="false">IF(Time!V17&lt;=Time!$F$14,(Waterfall!V7+W12)/(1+V10),0)</f>
        <v>1045.15717843721</v>
      </c>
      <c r="W12" s="11" t="n">
        <f aca="false">IF(Time!W17&lt;=Time!$F$14,(Waterfall!W7+X12)/(1+W10),0)</f>
        <v>1030.48988867657</v>
      </c>
      <c r="X12" s="11" t="n">
        <f aca="false">IF(Time!X17&lt;=Time!$F$14,(Waterfall!X7+Y12)/(1+X10),0)</f>
        <v>1012.12725676905</v>
      </c>
      <c r="Y12" s="11" t="n">
        <f aca="false">IF(Time!Y17&lt;=Time!$F$14,(Waterfall!Y7+Z12)/(1+Y10),0)</f>
        <v>995.570473884421</v>
      </c>
      <c r="Z12" s="11" t="n">
        <f aca="false">IF(Time!Z17&lt;=Time!$F$14,(Waterfall!Z7+AA12)/(1+Z10),0)</f>
        <v>980.689439598392</v>
      </c>
      <c r="AA12" s="11" t="n">
        <f aca="false">IF(Time!AA17&lt;=Time!$F$14,(Waterfall!AA7+AB12)/(1+AA10),0)</f>
        <v>964.772420843366</v>
      </c>
      <c r="AB12" s="11" t="n">
        <f aca="false">IF(Time!AB17&lt;=Time!$F$14,(Waterfall!AB7+AC12)/(1+AB10),0)</f>
        <v>948.782384499014</v>
      </c>
      <c r="AC12" s="11" t="n">
        <f aca="false">IF(Time!AC17&lt;=Time!$F$14,(Waterfall!AC7+AD12)/(1+AC10),0)</f>
        <v>931.779788448371</v>
      </c>
      <c r="AD12" s="11" t="n">
        <f aca="false">IF(Time!AD17&lt;=Time!$F$14,(Waterfall!AD7+AE12)/(1+AD10),0)</f>
        <v>914.566871406149</v>
      </c>
      <c r="AE12" s="11" t="n">
        <f aca="false">IF(Time!AE17&lt;=Time!$F$14,(Waterfall!AE7+AF12)/(1+AE10),0)</f>
        <v>896.401024312714</v>
      </c>
      <c r="AF12" s="11" t="n">
        <f aca="false">IF(Time!AF17&lt;=Time!$F$14,(Waterfall!AF7+AG12)/(1+AF10),0)</f>
        <v>876.209126457128</v>
      </c>
      <c r="AG12" s="11" t="n">
        <f aca="false">IF(Time!AG17&lt;=Time!$F$14,(Waterfall!AG7+AH12)/(1+AG10),0)</f>
        <v>854.724701073175</v>
      </c>
      <c r="AH12" s="11" t="n">
        <f aca="false">IF(Time!AH17&lt;=Time!$F$14,(Waterfall!AH7+AI12)/(1+AH10),0)</f>
        <v>833.384534169143</v>
      </c>
      <c r="AI12" s="11" t="n">
        <f aca="false">IF(Time!AI17&lt;=Time!$F$14,(Waterfall!AI7+AJ12)/(1+AI10),0)</f>
        <v>810.830219994374</v>
      </c>
      <c r="AJ12" s="11" t="n">
        <f aca="false">IF(Time!AJ17&lt;=Time!$F$14,(Waterfall!AJ7+AK12)/(1+AJ10),0)</f>
        <v>787.969756490902</v>
      </c>
      <c r="AK12" s="11" t="n">
        <f aca="false">IF(Time!AK17&lt;=Time!$F$14,(Waterfall!AK7+AL12)/(1+AK10),0)</f>
        <v>763.988483599156</v>
      </c>
      <c r="AL12" s="11" t="n">
        <f aca="false">IF(Time!AL17&lt;=Time!$F$14,(Waterfall!AL7+AM12)/(1+AL10),0)</f>
        <v>739.785053509108</v>
      </c>
      <c r="AM12" s="11" t="n">
        <f aca="false">IF(Time!AM17&lt;=Time!$F$14,(Waterfall!AM7+AN12)/(1+AM10),0)</f>
        <v>714.5968353149</v>
      </c>
      <c r="AN12" s="11" t="n">
        <f aca="false">IF(Time!AN17&lt;=Time!$F$14,(Waterfall!AN7+AO12)/(1+AN10),0)</f>
        <v>689.897939815924</v>
      </c>
      <c r="AO12" s="11" t="n">
        <f aca="false">IF(Time!AO17&lt;=Time!$F$14,(Waterfall!AO7+AP12)/(1+AO10),0)</f>
        <v>670.869199151256</v>
      </c>
      <c r="AP12" s="11" t="n">
        <f aca="false">IF(Time!AP17&lt;=Time!$F$14,(Waterfall!AP7+AQ12)/(1+AP10),0)</f>
        <v>655.202535038844</v>
      </c>
      <c r="AQ12" s="11" t="n">
        <f aca="false">IF(Time!AQ17&lt;=Time!$F$14,(Waterfall!AQ7+AR12)/(1+AQ10),0)</f>
        <v>639.313627384752</v>
      </c>
      <c r="AR12" s="11" t="n">
        <f aca="false">IF(Time!AR17&lt;=Time!$F$14,(Waterfall!AR7+AS12)/(1+AR10),0)</f>
        <v>623.422110817767</v>
      </c>
      <c r="AS12" s="11" t="n">
        <f aca="false">IF(Time!AS17&lt;=Time!$F$14,(Waterfall!AS7+AT12)/(1+AS10),0)</f>
        <v>606.488343513155</v>
      </c>
      <c r="AT12" s="11" t="n">
        <f aca="false">IF(Time!AT17&lt;=Time!$F$14,(Waterfall!AT7+AU12)/(1+AT10),0)</f>
        <v>589.520795879413</v>
      </c>
      <c r="AU12" s="11" t="n">
        <f aca="false">IF(Time!AU17&lt;=Time!$F$14,(Waterfall!AU7+AV12)/(1+AU10),0)</f>
        <v>571.603750561259</v>
      </c>
      <c r="AV12" s="11" t="n">
        <f aca="false">IF(Time!AV17&lt;=Time!$F$14,(Waterfall!AV7+AW12)/(1+AV10),0)</f>
        <v>546.43025998164</v>
      </c>
      <c r="AW12" s="11" t="n">
        <f aca="false">IF(Time!AW17&lt;=Time!$F$14,(Waterfall!AW7+AX12)/(1+AW10),0)</f>
        <v>524.657041380736</v>
      </c>
      <c r="AX12" s="11" t="n">
        <f aca="false">IF(Time!AX17&lt;=Time!$F$14,(Waterfall!AX7+AY12)/(1+AX10),0)</f>
        <v>502.986508341047</v>
      </c>
      <c r="AY12" s="11" t="n">
        <f aca="false">IF(Time!AY17&lt;=Time!$F$14,(Waterfall!AY7+AZ12)/(1+AY10),0)</f>
        <v>479.640755058633</v>
      </c>
      <c r="AZ12" s="11" t="n">
        <f aca="false">IF(Time!AZ17&lt;=Time!$F$14,(Waterfall!AZ7+BA12)/(1+AZ10),0)</f>
        <v>455.727505009431</v>
      </c>
      <c r="BA12" s="11" t="n">
        <f aca="false">IF(Time!BA17&lt;=Time!$F$14,(Waterfall!BA7+BB12)/(1+BA10),0)</f>
        <v>430.143888768084</v>
      </c>
      <c r="BB12" s="11" t="n">
        <f aca="false">IF(Time!BB17&lt;=Time!$F$14,(Waterfall!BB7+BC12)/(1+BB10),0)</f>
        <v>403.897856094092</v>
      </c>
      <c r="BC12" s="11" t="n">
        <f aca="false">IF(Time!BC17&lt;=Time!$F$14,(Waterfall!BC7+BD12)/(1+BC10),0)</f>
        <v>376.021072033713</v>
      </c>
      <c r="BD12" s="11" t="n">
        <f aca="false">IF(Time!BD17&lt;=Time!$F$14,(Waterfall!BD7+BE12)/(1+BD10),0)</f>
        <v>345.309655332504</v>
      </c>
      <c r="BE12" s="11" t="n">
        <f aca="false">IF(Time!BE17&lt;=Time!$F$14,(Waterfall!BE7+BF12)/(1+BE10),0)</f>
        <v>314.776138746</v>
      </c>
      <c r="BF12" s="11" t="n">
        <f aca="false">IF(Time!BF17&lt;=Time!$F$14,(Waterfall!BF7+BG12)/(1+BF10),0)</f>
        <v>291.381068036147</v>
      </c>
      <c r="BG12" s="11" t="n">
        <f aca="false">IF(Time!BG17&lt;=Time!$F$14,(Waterfall!BG7+BH12)/(1+BG10),0)</f>
        <v>266.297208080323</v>
      </c>
      <c r="BH12" s="11" t="n">
        <f aca="false">IF(Time!BH17&lt;=Time!$F$14,(Waterfall!BH7+BI12)/(1+BH10),0)</f>
        <v>240.579539698985</v>
      </c>
      <c r="BI12" s="11" t="n">
        <f aca="false">IF(Time!BI17&lt;=Time!$F$14,(Waterfall!BI7+BJ12)/(1+BI10),0)</f>
        <v>213.085501147399</v>
      </c>
      <c r="BJ12" s="11" t="n">
        <f aca="false">IF(Time!BJ17&lt;=Time!$F$14,(Waterfall!BJ7+BK12)/(1+BJ10),0)</f>
        <v>184.861825926292</v>
      </c>
      <c r="BK12" s="11" t="n">
        <f aca="false">IF(Time!BK17&lt;=Time!$F$14,(Waterfall!BK7+BL12)/(1+BK10),0)</f>
        <v>154.875615506424</v>
      </c>
      <c r="BL12" s="11" t="n">
        <f aca="false">IF(Time!BL17&lt;=Time!$F$14,(Waterfall!BL7+BM12)/(1+BL10),0)</f>
        <v>115.358299553677</v>
      </c>
      <c r="BM12" s="11" t="n">
        <f aca="false">IF(Time!BM17&lt;=Time!$F$14,(Waterfall!BM7+BN12)/(1+BM10),0)</f>
        <v>79.1684865525046</v>
      </c>
      <c r="BN12" s="11" t="n">
        <f aca="false">IF(Time!BN17&lt;=Time!$F$14,(Waterfall!BN7+0)/(1+BN10),0)</f>
        <v>41.8570601494921</v>
      </c>
    </row>
    <row r="13" customFormat="false" ht="15" hidden="false" customHeight="false" outlineLevel="0" collapsed="false">
      <c r="D13" s="0" t="s">
        <v>793</v>
      </c>
      <c r="E13" s="0" t="s">
        <v>202</v>
      </c>
      <c r="J13" s="6" t="n">
        <f aca="false">IF(Debt!J122&gt;0.000000001,(J11+Reserves!J9)/Debt!J122,0)</f>
        <v>0</v>
      </c>
      <c r="K13" s="6" t="n">
        <f aca="false">IF(Debt!K122&gt;0.000000001,(K11+Reserves!K9)/Debt!K122,0)</f>
        <v>0</v>
      </c>
      <c r="L13" s="6" t="n">
        <f aca="false">IF(Debt!L122&gt;0.000000001,(L11+Reserves!L9)/Debt!L122,0)</f>
        <v>0</v>
      </c>
      <c r="M13" s="6" t="n">
        <f aca="false">IF(Debt!M122&gt;0.000000001,(M11+Reserves!M9)/Debt!M122,0)</f>
        <v>0</v>
      </c>
      <c r="N13" s="6" t="n">
        <f aca="false">IF(Debt!N122&gt;0.000000001,(N11+Reserves!N9)/Debt!N122,0)</f>
        <v>0</v>
      </c>
      <c r="O13" s="6" t="n">
        <f aca="false">IF(Debt!O122&gt;0.000000001,(O11+Reserves!O9)/Debt!O122,0)</f>
        <v>0</v>
      </c>
      <c r="P13" s="6" t="n">
        <f aca="false">IF(Debt!P122&gt;0.000000001,(P11+Reserves!P9)/Debt!P122,0)</f>
        <v>0</v>
      </c>
      <c r="Q13" s="6" t="n">
        <f aca="false">IF(Debt!Q122&gt;0.000000001,(Q11+Reserves!Q9)/Debt!Q122,0)</f>
        <v>1.50268648541574</v>
      </c>
      <c r="R13" s="6" t="n">
        <f aca="false">IF(Debt!R122&gt;0.000000001,(R11+Reserves!R9)/Debt!R122,0)</f>
        <v>1.56403706923594</v>
      </c>
      <c r="S13" s="6" t="n">
        <f aca="false">IF(Debt!S122&gt;0.000000001,(S11+Reserves!S9)/Debt!S122,0)</f>
        <v>1.59789887315659</v>
      </c>
      <c r="T13" s="6" t="n">
        <f aca="false">IF(Debt!T122&gt;0.000000001,(T11+Reserves!T9)/Debt!T122,0)</f>
        <v>1.63630735972886</v>
      </c>
      <c r="U13" s="6" t="n">
        <f aca="false">IF(Debt!U122&gt;0.000000001,(U11+Reserves!U9)/Debt!U122,0)</f>
        <v>1.6347958857797</v>
      </c>
      <c r="V13" s="6" t="n">
        <f aca="false">IF(Debt!V122&gt;0.000000001,(V11+Reserves!V9)/Debt!V122,0)</f>
        <v>1.65661858450868</v>
      </c>
      <c r="W13" s="6" t="n">
        <f aca="false">IF(Debt!W122&gt;0.000000001,(W11+Reserves!W9)/Debt!W122,0)</f>
        <v>1.67886434151653</v>
      </c>
      <c r="X13" s="6" t="n">
        <f aca="false">IF(Debt!X122&gt;0.000000001,(X11+Reserves!X9)/Debt!X122,0)</f>
        <v>1.68194398365227</v>
      </c>
      <c r="Y13" s="6" t="n">
        <f aca="false">IF(Debt!Y122&gt;0.000000001,(Y11+Reserves!Y9)/Debt!Y122,0)</f>
        <v>1.68070618493445</v>
      </c>
      <c r="Z13" s="6" t="n">
        <f aca="false">IF(Debt!Z122&gt;0.000000001,(Z11+Reserves!Z9)/Debt!Z122,0)</f>
        <v>1.68368886256427</v>
      </c>
      <c r="AA13" s="6" t="n">
        <f aca="false">IF(Debt!AA122&gt;0.000000001,(AA11+Reserves!AA9)/Debt!AA122,0)</f>
        <v>1.68519848986033</v>
      </c>
      <c r="AB13" s="6" t="n">
        <f aca="false">IF(Debt!AB122&gt;0.000000001,(AB11+Reserves!AB9)/Debt!AB122,0)</f>
        <v>1.68865888608039</v>
      </c>
      <c r="AC13" s="6" t="n">
        <f aca="false">IF(Debt!AC122&gt;0.000000001,(AC11+Reserves!AC9)/Debt!AC122,0)</f>
        <v>1.69101947627254</v>
      </c>
      <c r="AD13" s="6" t="n">
        <f aca="false">IF(Debt!AD122&gt;0.000000001,(AD11+Reserves!AD9)/Debt!AD122,0)</f>
        <v>1.69501202959646</v>
      </c>
      <c r="AE13" s="6" t="n">
        <f aca="false">IF(Debt!AE122&gt;0.000000001,(AE11+Reserves!AE9)/Debt!AE122,0)</f>
        <v>1.70097433787523</v>
      </c>
      <c r="AF13" s="6" t="n">
        <f aca="false">IF(Debt!AF122&gt;0.000000001,(AF11+Reserves!AF9)/Debt!AF122,0)</f>
        <v>1.70688033409976</v>
      </c>
      <c r="AG13" s="6" t="n">
        <f aca="false">IF(Debt!AG122&gt;0.000000001,(AG11+Reserves!AG9)/Debt!AG122,0)</f>
        <v>1.7107064744546</v>
      </c>
      <c r="AH13" s="6" t="n">
        <f aca="false">IF(Debt!AH122&gt;0.000000001,(AH11+Reserves!AH9)/Debt!AH122,0)</f>
        <v>1.71810132305835</v>
      </c>
      <c r="AI13" s="6" t="n">
        <f aca="false">IF(Debt!AI122&gt;0.000000001,(AI11+Reserves!AI9)/Debt!AI122,0)</f>
        <v>1.72459867343903</v>
      </c>
      <c r="AJ13" s="6" t="n">
        <f aca="false">IF(Debt!AJ122&gt;0.000000001,(AJ11+Reserves!AJ9)/Debt!AJ122,0)</f>
        <v>1.73452493664319</v>
      </c>
      <c r="AK13" s="6" t="n">
        <f aca="false">IF(Debt!AK122&gt;0.000000001,(AK11+Reserves!AK9)/Debt!AK122,0)</f>
        <v>1.74419074301309</v>
      </c>
      <c r="AL13" s="6" t="n">
        <f aca="false">IF(Debt!AL122&gt;0.000000001,(AL11+Reserves!AL9)/Debt!AL122,0)</f>
        <v>1.7584672050673</v>
      </c>
      <c r="AM13" s="6" t="n">
        <f aca="false">IF(Debt!AM122&gt;0.000000001,(AM11+Reserves!AM9)/Debt!AM122,0)</f>
        <v>1.77220801362349</v>
      </c>
      <c r="AN13" s="6" t="n">
        <f aca="false">IF(Debt!AN122&gt;0.000000001,(AN11+Reserves!AN9)/Debt!AN122,0)</f>
        <v>1.77294524658206</v>
      </c>
      <c r="AO13" s="6" t="n">
        <f aca="false">IF(Debt!AO122&gt;0.000000001,(AO11+Reserves!AO9)/Debt!AO122,0)</f>
        <v>1.78062382278395</v>
      </c>
      <c r="AP13" s="6" t="n">
        <f aca="false">IF(Debt!AP122&gt;0.000000001,(AP11+Reserves!AP9)/Debt!AP122,0)</f>
        <v>1.80601232622492</v>
      </c>
      <c r="AQ13" s="6" t="n">
        <f aca="false">IF(Debt!AQ122&gt;0.000000001,(AQ11+Reserves!AQ9)/Debt!AQ122,0)</f>
        <v>1.83563636196612</v>
      </c>
      <c r="AR13" s="6" t="n">
        <f aca="false">IF(Debt!AR122&gt;0.000000001,(AR11+Reserves!AR9)/Debt!AR122,0)</f>
        <v>1.88549062404708</v>
      </c>
      <c r="AS13" s="6" t="n">
        <f aca="false">IF(Debt!AS122&gt;0.000000001,(AS11+Reserves!AS9)/Debt!AS122,0)</f>
        <v>1.95942166570986</v>
      </c>
      <c r="AT13" s="6" t="n">
        <f aca="false">IF(Debt!AT122&gt;0.000000001,(AT11+Reserves!AT9)/Debt!AT122,0)</f>
        <v>2.11048280758984</v>
      </c>
      <c r="AU13" s="6" t="n">
        <f aca="false">IF(Debt!AU122&gt;0.000000001,(AU11+Reserves!AU9)/Debt!AU122,0)</f>
        <v>2.65781016074002</v>
      </c>
      <c r="AV13" s="6" t="n">
        <f aca="false">IF(Debt!AV122&gt;0.000000001,(AV11+Reserves!AV9)/Debt!AV122,0)</f>
        <v>0</v>
      </c>
      <c r="AW13" s="6" t="n">
        <f aca="false">IF(Debt!AW122&gt;0.000000001,(AW11+Reserves!AW9)/Debt!AW122,0)</f>
        <v>0</v>
      </c>
      <c r="AX13" s="6" t="n">
        <f aca="false">IF(Debt!AX122&gt;0.000000001,(AX11+Reserves!AX9)/Debt!AX122,0)</f>
        <v>0</v>
      </c>
      <c r="AY13" s="6" t="n">
        <f aca="false">IF(Debt!AY122&gt;0.000000001,(AY11+Reserves!AY9)/Debt!AY122,0)</f>
        <v>0</v>
      </c>
      <c r="AZ13" s="6" t="n">
        <f aca="false">IF(Debt!AZ122&gt;0.000000001,(AZ11+Reserves!AZ9)/Debt!AZ122,0)</f>
        <v>0</v>
      </c>
      <c r="BA13" s="6" t="n">
        <f aca="false">IF(Debt!BA122&gt;0.000000001,(BA11+Reserves!BA9)/Debt!BA122,0)</f>
        <v>0</v>
      </c>
      <c r="BB13" s="6" t="n">
        <f aca="false">IF(Debt!BB122&gt;0.000000001,(BB11+Reserves!BB9)/Debt!BB122,0)</f>
        <v>0</v>
      </c>
      <c r="BC13" s="6" t="n">
        <f aca="false">IF(Debt!BC122&gt;0.000000001,(BC11+Reserves!BC9)/Debt!BC122,0)</f>
        <v>0</v>
      </c>
      <c r="BD13" s="6" t="n">
        <f aca="false">IF(Debt!BD122&gt;0.000000001,(BD11+Reserves!BD9)/Debt!BD122,0)</f>
        <v>0</v>
      </c>
      <c r="BE13" s="6" t="n">
        <f aca="false">IF(Debt!BE122&gt;0.000000001,(BE11+Reserves!BE9)/Debt!BE122,0)</f>
        <v>0</v>
      </c>
      <c r="BF13" s="6" t="n">
        <f aca="false">IF(Debt!BF122&gt;0.000000001,(BF11+Reserves!BF9)/Debt!BF122,0)</f>
        <v>0</v>
      </c>
      <c r="BG13" s="6" t="n">
        <f aca="false">IF(Debt!BG122&gt;0.000000001,(BG11+Reserves!BG9)/Debt!BG122,0)</f>
        <v>0</v>
      </c>
      <c r="BH13" s="6" t="n">
        <f aca="false">IF(Debt!BH122&gt;0.000000001,(BH11+Reserves!BH9)/Debt!BH122,0)</f>
        <v>0</v>
      </c>
      <c r="BI13" s="6" t="n">
        <f aca="false">IF(Debt!BI122&gt;0.000000001,(BI11+Reserves!BI9)/Debt!BI122,0)</f>
        <v>0</v>
      </c>
      <c r="BJ13" s="6" t="n">
        <f aca="false">IF(Debt!BJ122&gt;0.000000001,(BJ11+Reserves!BJ9)/Debt!BJ122,0)</f>
        <v>0</v>
      </c>
      <c r="BK13" s="6" t="n">
        <f aca="false">IF(Debt!BK122&gt;0.000000001,(BK11+Reserves!BK9)/Debt!BK122,0)</f>
        <v>0</v>
      </c>
      <c r="BL13" s="6" t="n">
        <f aca="false">IF(Debt!BL122&gt;0.000000001,(BL11+Reserves!BL9)/Debt!BL122,0)</f>
        <v>0</v>
      </c>
      <c r="BM13" s="6" t="n">
        <f aca="false">IF(Debt!BM122&gt;0.000000001,(BM11+Reserves!BM9)/Debt!BM122,0)</f>
        <v>0</v>
      </c>
      <c r="BN13" s="6" t="n">
        <f aca="false">IF(Debt!BN122&gt;0.000000001,(BN11+Reserves!BN9)/Debt!BN122,0)</f>
        <v>0</v>
      </c>
    </row>
    <row r="14" customFormat="false" ht="15" hidden="false" customHeight="false" outlineLevel="0" collapsed="false">
      <c r="D14" s="0" t="s">
        <v>794</v>
      </c>
      <c r="E14" s="0" t="s">
        <v>202</v>
      </c>
      <c r="J14" s="6" t="n">
        <f aca="false">IF(Debt!J122&gt;0.000000001,J11/Debt!J122,0)</f>
        <v>0</v>
      </c>
      <c r="K14" s="6" t="n">
        <f aca="false">IF(Debt!K122&gt;0.000000001,K11/Debt!K122,0)</f>
        <v>0</v>
      </c>
      <c r="L14" s="6" t="n">
        <f aca="false">IF(Debt!L122&gt;0.000000001,L11/Debt!L122,0)</f>
        <v>0</v>
      </c>
      <c r="M14" s="6" t="n">
        <f aca="false">IF(Debt!M122&gt;0.000000001,M11/Debt!M122,0)</f>
        <v>0</v>
      </c>
      <c r="N14" s="6" t="n">
        <f aca="false">IF(Debt!N122&gt;0.000000001,N11/Debt!N122,0)</f>
        <v>0</v>
      </c>
      <c r="O14" s="6" t="n">
        <f aca="false">IF(Debt!O122&gt;0.000000001,O11/Debt!O122,0)</f>
        <v>0</v>
      </c>
      <c r="P14" s="6" t="n">
        <f aca="false">IF(Debt!P122&gt;0.000000001,P11/Debt!P122,0)</f>
        <v>0</v>
      </c>
      <c r="Q14" s="6" t="n">
        <f aca="false">IF(Debt!Q122&gt;0.000000001,Q11/Debt!Q122,0)</f>
        <v>1.44671794556737</v>
      </c>
      <c r="R14" s="6" t="n">
        <f aca="false">IF(Debt!R122&gt;0.000000001,R11/Debt!R122,0)</f>
        <v>1.50191758017889</v>
      </c>
      <c r="S14" s="6" t="n">
        <f aca="false">IF(Debt!S122&gt;0.000000001,S11/Debt!S122,0)</f>
        <v>1.53301665511979</v>
      </c>
      <c r="T14" s="6" t="n">
        <f aca="false">IF(Debt!T122&gt;0.000000001,T11/Debt!T122,0)</f>
        <v>1.57373934298127</v>
      </c>
      <c r="U14" s="6" t="n">
        <f aca="false">IF(Debt!U122&gt;0.000000001,U11/Debt!U122,0)</f>
        <v>1.55661373813877</v>
      </c>
      <c r="V14" s="6" t="n">
        <f aca="false">IF(Debt!V122&gt;0.000000001,V11/Debt!V122,0)</f>
        <v>1.57497966660636</v>
      </c>
      <c r="W14" s="6" t="n">
        <f aca="false">IF(Debt!W122&gt;0.000000001,W11/Debt!W122,0)</f>
        <v>1.59765320524511</v>
      </c>
      <c r="X14" s="6" t="n">
        <f aca="false">IF(Debt!X122&gt;0.000000001,X11/Debt!X122,0)</f>
        <v>1.61620217722667</v>
      </c>
      <c r="Y14" s="6" t="n">
        <f aca="false">IF(Debt!Y122&gt;0.000000001,Y11/Debt!Y122,0)</f>
        <v>1.61620217722318</v>
      </c>
      <c r="Z14" s="6" t="n">
        <f aca="false">IF(Debt!Z122&gt;0.000000001,Z11/Debt!Z122,0)</f>
        <v>1.61620217721953</v>
      </c>
      <c r="AA14" s="6" t="n">
        <f aca="false">IF(Debt!AA122&gt;0.000000001,AA11/Debt!AA122,0)</f>
        <v>1.61620217721545</v>
      </c>
      <c r="AB14" s="6" t="n">
        <f aca="false">IF(Debt!AB122&gt;0.000000001,AB11/Debt!AB122,0)</f>
        <v>1.61620217721098</v>
      </c>
      <c r="AC14" s="6" t="n">
        <f aca="false">IF(Debt!AC122&gt;0.000000001,AC11/Debt!AC122,0)</f>
        <v>1.61620217720593</v>
      </c>
      <c r="AD14" s="6" t="n">
        <f aca="false">IF(Debt!AD122&gt;0.000000001,AD11/Debt!AD122,0)</f>
        <v>1.61620217720031</v>
      </c>
      <c r="AE14" s="6" t="n">
        <f aca="false">IF(Debt!AE122&gt;0.000000001,AE11/Debt!AE122,0)</f>
        <v>1.61620217719391</v>
      </c>
      <c r="AF14" s="6" t="n">
        <f aca="false">IF(Debt!AF122&gt;0.000000001,AF11/Debt!AF122,0)</f>
        <v>1.6162021771864</v>
      </c>
      <c r="AG14" s="6" t="n">
        <f aca="false">IF(Debt!AG122&gt;0.000000001,AG11/Debt!AG122,0)</f>
        <v>1.61620217717761</v>
      </c>
      <c r="AH14" s="6" t="n">
        <f aca="false">IF(Debt!AH122&gt;0.000000001,AH11/Debt!AH122,0)</f>
        <v>1.61620217716752</v>
      </c>
      <c r="AI14" s="6" t="n">
        <f aca="false">IF(Debt!AI122&gt;0.000000001,AI11/Debt!AI122,0)</f>
        <v>1.61620217715547</v>
      </c>
      <c r="AJ14" s="6" t="n">
        <f aca="false">IF(Debt!AJ122&gt;0.000000001,AJ11/Debt!AJ122,0)</f>
        <v>1.61620217714115</v>
      </c>
      <c r="AK14" s="6" t="n">
        <f aca="false">IF(Debt!AK122&gt;0.000000001,AK11/Debt!AK122,0)</f>
        <v>1.61620217712351</v>
      </c>
      <c r="AL14" s="6" t="n">
        <f aca="false">IF(Debt!AL122&gt;0.000000001,AL11/Debt!AL122,0)</f>
        <v>1.61620217710175</v>
      </c>
      <c r="AM14" s="6" t="n">
        <f aca="false">IF(Debt!AM122&gt;0.000000001,AM11/Debt!AM122,0)</f>
        <v>1.61620217707374</v>
      </c>
      <c r="AN14" s="6" t="n">
        <f aca="false">IF(Debt!AN122&gt;0.000000001,AN11/Debt!AN122,0)</f>
        <v>1.61620217699334</v>
      </c>
      <c r="AO14" s="6" t="n">
        <f aca="false">IF(Debt!AO122&gt;0.000000001,AO11/Debt!AO122,0)</f>
        <v>1.61620217648892</v>
      </c>
      <c r="AP14" s="6" t="n">
        <f aca="false">IF(Debt!AP122&gt;0.000000001,AP11/Debt!AP122,0)</f>
        <v>1.61620217628173</v>
      </c>
      <c r="AQ14" s="6" t="n">
        <f aca="false">IF(Debt!AQ122&gt;0.000000001,AQ11/Debt!AQ122,0)</f>
        <v>1.61620217628366</v>
      </c>
      <c r="AR14" s="6" t="n">
        <f aca="false">IF(Debt!AR122&gt;0.000000001,AR11/Debt!AR122,0)</f>
        <v>1.61620217641975</v>
      </c>
      <c r="AS14" s="6" t="n">
        <f aca="false">IF(Debt!AS122&gt;0.000000001,AS11/Debt!AS122,0)</f>
        <v>1.61620217661807</v>
      </c>
      <c r="AT14" s="6" t="n">
        <f aca="false">IF(Debt!AT122&gt;0.000000001,AT11/Debt!AT122,0)</f>
        <v>1.61620217683411</v>
      </c>
      <c r="AU14" s="6" t="n">
        <f aca="false">IF(Debt!AU122&gt;0.000000001,AU11/Debt!AU122,0)</f>
        <v>1.61620217703331</v>
      </c>
      <c r="AV14" s="6" t="n">
        <f aca="false">IF(Debt!AV122&gt;0.000000001,AV11/Debt!AV122,0)</f>
        <v>0</v>
      </c>
      <c r="AW14" s="6" t="n">
        <f aca="false">IF(Debt!AW122&gt;0.000000001,AW11/Debt!AW122,0)</f>
        <v>0</v>
      </c>
      <c r="AX14" s="6" t="n">
        <f aca="false">IF(Debt!AX122&gt;0.000000001,AX11/Debt!AX122,0)</f>
        <v>0</v>
      </c>
      <c r="AY14" s="6" t="n">
        <f aca="false">IF(Debt!AY122&gt;0.000000001,AY11/Debt!AY122,0)</f>
        <v>0</v>
      </c>
      <c r="AZ14" s="6" t="n">
        <f aca="false">IF(Debt!AZ122&gt;0.000000001,AZ11/Debt!AZ122,0)</f>
        <v>0</v>
      </c>
      <c r="BA14" s="6" t="n">
        <f aca="false">IF(Debt!BA122&gt;0.000000001,BA11/Debt!BA122,0)</f>
        <v>0</v>
      </c>
      <c r="BB14" s="6" t="n">
        <f aca="false">IF(Debt!BB122&gt;0.000000001,BB11/Debt!BB122,0)</f>
        <v>0</v>
      </c>
      <c r="BC14" s="6" t="n">
        <f aca="false">IF(Debt!BC122&gt;0.000000001,BC11/Debt!BC122,0)</f>
        <v>0</v>
      </c>
      <c r="BD14" s="6" t="n">
        <f aca="false">IF(Debt!BD122&gt;0.000000001,BD11/Debt!BD122,0)</f>
        <v>0</v>
      </c>
      <c r="BE14" s="6" t="n">
        <f aca="false">IF(Debt!BE122&gt;0.000000001,BE11/Debt!BE122,0)</f>
        <v>0</v>
      </c>
      <c r="BF14" s="6" t="n">
        <f aca="false">IF(Debt!BF122&gt;0.000000001,BF11/Debt!BF122,0)</f>
        <v>0</v>
      </c>
      <c r="BG14" s="6" t="n">
        <f aca="false">IF(Debt!BG122&gt;0.000000001,BG11/Debt!BG122,0)</f>
        <v>0</v>
      </c>
      <c r="BH14" s="6" t="n">
        <f aca="false">IF(Debt!BH122&gt;0.000000001,BH11/Debt!BH122,0)</f>
        <v>0</v>
      </c>
      <c r="BI14" s="6" t="n">
        <f aca="false">IF(Debt!BI122&gt;0.000000001,BI11/Debt!BI122,0)</f>
        <v>0</v>
      </c>
      <c r="BJ14" s="6" t="n">
        <f aca="false">IF(Debt!BJ122&gt;0.000000001,BJ11/Debt!BJ122,0)</f>
        <v>0</v>
      </c>
      <c r="BK14" s="6" t="n">
        <f aca="false">IF(Debt!BK122&gt;0.000000001,BK11/Debt!BK122,0)</f>
        <v>0</v>
      </c>
      <c r="BL14" s="6" t="n">
        <f aca="false">IF(Debt!BL122&gt;0.000000001,BL11/Debt!BL122,0)</f>
        <v>0</v>
      </c>
      <c r="BM14" s="6" t="n">
        <f aca="false">IF(Debt!BM122&gt;0.000000001,BM11/Debt!BM122,0)</f>
        <v>0</v>
      </c>
      <c r="BN14" s="6" t="n">
        <f aca="false">IF(Debt!BN122&gt;0.000000001,BN11/Debt!BN122,0)</f>
        <v>0</v>
      </c>
    </row>
    <row r="15" customFormat="false" ht="15" hidden="false" customHeight="false" outlineLevel="0" collapsed="false">
      <c r="D15" s="0" t="s">
        <v>795</v>
      </c>
      <c r="E15" s="0" t="s">
        <v>202</v>
      </c>
      <c r="J15" s="6" t="n">
        <f aca="false">IF(Debt!J122&gt;0.000000001,J12/Debt!J122,0)</f>
        <v>0</v>
      </c>
      <c r="K15" s="6" t="n">
        <f aca="false">IF(Debt!K122&gt;0.000000001,K12/Debt!K122,0)</f>
        <v>0</v>
      </c>
      <c r="L15" s="6" t="n">
        <f aca="false">IF(Debt!L122&gt;0.000000001,L12/Debt!L122,0)</f>
        <v>0</v>
      </c>
      <c r="M15" s="6" t="n">
        <f aca="false">IF(Debt!M122&gt;0.000000001,M12/Debt!M122,0)</f>
        <v>0</v>
      </c>
      <c r="N15" s="6" t="n">
        <f aca="false">IF(Debt!N122&gt;0.000000001,N12/Debt!N122,0)</f>
        <v>0</v>
      </c>
      <c r="O15" s="6" t="n">
        <f aca="false">IF(Debt!O122&gt;0.000000001,O12/Debt!O122,0)</f>
        <v>0</v>
      </c>
      <c r="P15" s="6" t="n">
        <f aca="false">IF(Debt!P122&gt;0.000000001,P12/Debt!P122,0)</f>
        <v>0</v>
      </c>
      <c r="Q15" s="6" t="n">
        <f aca="false">IF(Debt!Q122&gt;0.000000001,Q12/Debt!Q122,0)</f>
        <v>1.72669421259678</v>
      </c>
      <c r="R15" s="6" t="n">
        <f aca="false">IF(Debt!R122&gt;0.000000001,R12/Debt!R122,0)</f>
        <v>1.8072105705162</v>
      </c>
      <c r="S15" s="6" t="n">
        <f aca="false">IF(Debt!S122&gt;0.000000001,S12/Debt!S122,0)</f>
        <v>1.85781964809394</v>
      </c>
      <c r="T15" s="6" t="n">
        <f aca="false">IF(Debt!T122&gt;0.000000001,T12/Debt!T122,0)</f>
        <v>1.92073411252004</v>
      </c>
      <c r="U15" s="6" t="n">
        <f aca="false">IF(Debt!U122&gt;0.000000001,U12/Debt!U122,0)</f>
        <v>1.92229406374538</v>
      </c>
      <c r="V15" s="6" t="n">
        <f aca="false">IF(Debt!V122&gt;0.000000001,V12/Debt!V122,0)</f>
        <v>1.97038909717607</v>
      </c>
      <c r="W15" s="6" t="n">
        <f aca="false">IF(Debt!W122&gt;0.000000001,W12/Debt!W122,0)</f>
        <v>2.0267392181964</v>
      </c>
      <c r="X15" s="6" t="n">
        <f aca="false">IF(Debt!X122&gt;0.000000001,X12/Debt!X122,0)</f>
        <v>2.08083549327369</v>
      </c>
      <c r="Y15" s="6" t="n">
        <f aca="false">IF(Debt!Y122&gt;0.000000001,Y12/Debt!Y122,0)</f>
        <v>2.11235977755194</v>
      </c>
      <c r="Z15" s="6" t="n">
        <f aca="false">IF(Debt!Z122&gt;0.000000001,Z12/Debt!Z122,0)</f>
        <v>2.145357089073</v>
      </c>
      <c r="AA15" s="6" t="n">
        <f aca="false">IF(Debt!AA122&gt;0.000000001,AA12/Debt!AA122,0)</f>
        <v>2.1822819457494</v>
      </c>
      <c r="AB15" s="6" t="n">
        <f aca="false">IF(Debt!AB122&gt;0.000000001,AB12/Debt!AB122,0)</f>
        <v>2.22273379454994</v>
      </c>
      <c r="AC15" s="6" t="n">
        <f aca="false">IF(Debt!AC122&gt;0.000000001,AC12/Debt!AC122,0)</f>
        <v>2.26840242905742</v>
      </c>
      <c r="AD15" s="6" t="n">
        <f aca="false">IF(Debt!AD122&gt;0.000000001,AD12/Debt!AD122,0)</f>
        <v>2.31923061855387</v>
      </c>
      <c r="AE15" s="6" t="n">
        <f aca="false">IF(Debt!AE122&gt;0.000000001,AE12/Debt!AE122,0)</f>
        <v>2.37717122811823</v>
      </c>
      <c r="AF15" s="6" t="n">
        <f aca="false">IF(Debt!AF122&gt;0.000000001,AF12/Debt!AF122,0)</f>
        <v>2.44505130566831</v>
      </c>
      <c r="AG15" s="6" t="n">
        <f aca="false">IF(Debt!AG122&gt;0.000000001,AG12/Debt!AG122,0)</f>
        <v>2.5246059070961</v>
      </c>
      <c r="AH15" s="6" t="n">
        <f aca="false">IF(Debt!AH122&gt;0.000000001,AH12/Debt!AH122,0)</f>
        <v>2.61583384205834</v>
      </c>
      <c r="AI15" s="6" t="n">
        <f aca="false">IF(Debt!AI122&gt;0.000000001,AI12/Debt!AI122,0)</f>
        <v>2.72489384162127</v>
      </c>
      <c r="AJ15" s="6" t="n">
        <f aca="false">IF(Debt!AJ122&gt;0.000000001,AJ12/Debt!AJ122,0)</f>
        <v>2.8544378743387</v>
      </c>
      <c r="AK15" s="6" t="n">
        <f aca="false">IF(Debt!AK122&gt;0.000000001,AK12/Debt!AK122,0)</f>
        <v>3.01399502902402</v>
      </c>
      <c r="AL15" s="6" t="n">
        <f aca="false">IF(Debt!AL122&gt;0.000000001,AL12/Debt!AL122,0)</f>
        <v>3.21081443778402</v>
      </c>
      <c r="AM15" s="6" t="n">
        <f aca="false">IF(Debt!AM122&gt;0.000000001,AM12/Debt!AM122,0)</f>
        <v>3.46420226707188</v>
      </c>
      <c r="AN15" s="6" t="n">
        <f aca="false">IF(Debt!AN122&gt;0.000000001,AN12/Debt!AN122,0)</f>
        <v>3.79099224540277</v>
      </c>
      <c r="AO15" s="6" t="n">
        <f aca="false">IF(Debt!AO122&gt;0.000000001,AO12/Debt!AO122,0)</f>
        <v>4.17726278262626</v>
      </c>
      <c r="AP15" s="6" t="n">
        <f aca="false">IF(Debt!AP122&gt;0.000000001,AP12/Debt!AP122,0)</f>
        <v>4.65805070213779</v>
      </c>
      <c r="AQ15" s="6" t="n">
        <f aca="false">IF(Debt!AQ122&gt;0.000000001,AQ12/Debt!AQ122,0)</f>
        <v>5.33588023153188</v>
      </c>
      <c r="AR15" s="6" t="n">
        <f aca="false">IF(Debt!AR122&gt;0.000000001,AR12/Debt!AR122,0)</f>
        <v>6.32864420324641</v>
      </c>
      <c r="AS15" s="6" t="n">
        <f aca="false">IF(Debt!AS122&gt;0.000000001,AS12/Debt!AS122,0)</f>
        <v>7.97175452068458</v>
      </c>
      <c r="AT15" s="6" t="n">
        <f aca="false">IF(Debt!AT122&gt;0.000000001,AT12/Debt!AT122,0)</f>
        <v>11.0951585363539</v>
      </c>
      <c r="AU15" s="6" t="n">
        <f aca="false">IF(Debt!AU122&gt;0.000000001,AU12/Debt!AU122,0)</f>
        <v>19.6554186862208</v>
      </c>
      <c r="AV15" s="6" t="n">
        <f aca="false">IF(Debt!AV122&gt;0.000000001,AV12/Debt!AV122,0)</f>
        <v>0</v>
      </c>
      <c r="AW15" s="6" t="n">
        <f aca="false">IF(Debt!AW122&gt;0.000000001,AW12/Debt!AW122,0)</f>
        <v>0</v>
      </c>
      <c r="AX15" s="6" t="n">
        <f aca="false">IF(Debt!AX122&gt;0.000000001,AX12/Debt!AX122,0)</f>
        <v>0</v>
      </c>
      <c r="AY15" s="6" t="n">
        <f aca="false">IF(Debt!AY122&gt;0.000000001,AY12/Debt!AY122,0)</f>
        <v>0</v>
      </c>
      <c r="AZ15" s="6" t="n">
        <f aca="false">IF(Debt!AZ122&gt;0.000000001,AZ12/Debt!AZ122,0)</f>
        <v>0</v>
      </c>
      <c r="BA15" s="6" t="n">
        <f aca="false">IF(Debt!BA122&gt;0.000000001,BA12/Debt!BA122,0)</f>
        <v>0</v>
      </c>
      <c r="BB15" s="6" t="n">
        <f aca="false">IF(Debt!BB122&gt;0.000000001,BB12/Debt!BB122,0)</f>
        <v>0</v>
      </c>
      <c r="BC15" s="6" t="n">
        <f aca="false">IF(Debt!BC122&gt;0.000000001,BC12/Debt!BC122,0)</f>
        <v>0</v>
      </c>
      <c r="BD15" s="6" t="n">
        <f aca="false">IF(Debt!BD122&gt;0.000000001,BD12/Debt!BD122,0)</f>
        <v>0</v>
      </c>
      <c r="BE15" s="6" t="n">
        <f aca="false">IF(Debt!BE122&gt;0.000000001,BE12/Debt!BE122,0)</f>
        <v>0</v>
      </c>
      <c r="BF15" s="6" t="n">
        <f aca="false">IF(Debt!BF122&gt;0.000000001,BF12/Debt!BF122,0)</f>
        <v>0</v>
      </c>
      <c r="BG15" s="6" t="n">
        <f aca="false">IF(Debt!BG122&gt;0.000000001,BG12/Debt!BG122,0)</f>
        <v>0</v>
      </c>
      <c r="BH15" s="6" t="n">
        <f aca="false">IF(Debt!BH122&gt;0.000000001,BH12/Debt!BH122,0)</f>
        <v>0</v>
      </c>
      <c r="BI15" s="6" t="n">
        <f aca="false">IF(Debt!BI122&gt;0.000000001,BI12/Debt!BI122,0)</f>
        <v>0</v>
      </c>
      <c r="BJ15" s="6" t="n">
        <f aca="false">IF(Debt!BJ122&gt;0.000000001,BJ12/Debt!BJ122,0)</f>
        <v>0</v>
      </c>
      <c r="BK15" s="6" t="n">
        <f aca="false">IF(Debt!BK122&gt;0.000000001,BK12/Debt!BK122,0)</f>
        <v>0</v>
      </c>
      <c r="BL15" s="6" t="n">
        <f aca="false">IF(Debt!BL122&gt;0.000000001,BL12/Debt!BL122,0)</f>
        <v>0</v>
      </c>
      <c r="BM15" s="6" t="n">
        <f aca="false">IF(Debt!BM122&gt;0.000000001,BM12/Debt!BM122,0)</f>
        <v>0</v>
      </c>
      <c r="BN15" s="6" t="n">
        <f aca="false">IF(Debt!BN122&gt;0.000000001,BN12/Debt!BN122,0)</f>
        <v>0</v>
      </c>
    </row>
    <row r="16" customFormat="false" ht="15" hidden="false" customHeight="false" outlineLevel="0" collapsed="false">
      <c r="D16" s="0" t="s">
        <v>796</v>
      </c>
      <c r="E16" s="0" t="s">
        <v>202</v>
      </c>
      <c r="F16" s="6" t="n">
        <f aca="false">_xlfn.MINIFS(Waterfall!$J$17:$BN$17,Debt!$J$121:$BN$121,"&gt;0.000000001")</f>
        <v>0.936991778028699</v>
      </c>
    </row>
    <row r="17" customFormat="false" ht="15" hidden="false" customHeight="false" outlineLevel="0" collapsed="false">
      <c r="D17" s="0" t="s">
        <v>797</v>
      </c>
      <c r="E17" s="0" t="s">
        <v>202</v>
      </c>
      <c r="F17" s="6" t="n">
        <f aca="false">SUMIFS(Waterfall!$J$7:$BN$7,Debt!$J$121:$BN$121,"&gt;0.000000001")/SUM(Debt!$J$121:$BN$121)</f>
        <v>1.52674216802248</v>
      </c>
    </row>
    <row r="18" customFormat="false" ht="15" hidden="false" customHeight="false" outlineLevel="0" collapsed="false">
      <c r="D18" s="0" t="s">
        <v>798</v>
      </c>
      <c r="E18" s="0" t="s">
        <v>202</v>
      </c>
      <c r="F18" s="6" t="n">
        <f aca="false">INDEX(Ratios!$J$13:$BN$13,1,Time!$F$12)</f>
        <v>1.50268648541574</v>
      </c>
    </row>
    <row r="19" customFormat="false" ht="15" hidden="false" customHeight="false" outlineLevel="0" collapsed="false">
      <c r="D19" s="0" t="s">
        <v>799</v>
      </c>
      <c r="E19" s="0" t="s">
        <v>202</v>
      </c>
      <c r="F19" s="6" t="n">
        <f aca="false">INDEX(Ratios!$J$15:$BN$15,1,Time!$F$12)</f>
        <v>1.72669421259678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800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801</v>
      </c>
      <c r="J5" s="3" t="s">
        <v>802</v>
      </c>
      <c r="K5" s="3" t="s">
        <v>377</v>
      </c>
      <c r="L5" s="3" t="s">
        <v>378</v>
      </c>
      <c r="M5" s="3" t="s">
        <v>379</v>
      </c>
      <c r="N5" s="3" t="s">
        <v>380</v>
      </c>
      <c r="O5" s="3" t="s">
        <v>381</v>
      </c>
      <c r="P5" s="3" t="s">
        <v>382</v>
      </c>
      <c r="Q5" s="3" t="s">
        <v>383</v>
      </c>
      <c r="R5" s="3" t="s">
        <v>384</v>
      </c>
      <c r="S5" s="3" t="s">
        <v>385</v>
      </c>
      <c r="T5" s="3" t="s">
        <v>386</v>
      </c>
      <c r="U5" s="3" t="s">
        <v>387</v>
      </c>
      <c r="V5" s="3" t="s">
        <v>388</v>
      </c>
      <c r="W5" s="3" t="s">
        <v>389</v>
      </c>
      <c r="X5" s="3" t="s">
        <v>390</v>
      </c>
      <c r="Y5" s="3" t="s">
        <v>391</v>
      </c>
      <c r="Z5" s="3" t="s">
        <v>392</v>
      </c>
      <c r="AA5" s="3" t="s">
        <v>393</v>
      </c>
      <c r="AB5" s="3" t="s">
        <v>394</v>
      </c>
      <c r="AC5" s="3" t="s">
        <v>395</v>
      </c>
      <c r="AD5" s="3" t="s">
        <v>396</v>
      </c>
      <c r="AE5" s="3" t="s">
        <v>397</v>
      </c>
      <c r="AF5" s="3" t="s">
        <v>398</v>
      </c>
      <c r="AG5" s="3" t="s">
        <v>399</v>
      </c>
      <c r="AH5" s="3" t="s">
        <v>400</v>
      </c>
      <c r="AI5" s="3" t="s">
        <v>401</v>
      </c>
      <c r="AJ5" s="3" t="s">
        <v>402</v>
      </c>
      <c r="AK5" s="3" t="s">
        <v>403</v>
      </c>
      <c r="AL5" s="3" t="s">
        <v>404</v>
      </c>
      <c r="AM5" s="3" t="s">
        <v>405</v>
      </c>
      <c r="AN5" s="3" t="s">
        <v>406</v>
      </c>
      <c r="AO5" s="3" t="s">
        <v>407</v>
      </c>
      <c r="AP5" s="3" t="s">
        <v>408</v>
      </c>
      <c r="AQ5" s="3" t="s">
        <v>409</v>
      </c>
      <c r="AR5" s="3" t="s">
        <v>410</v>
      </c>
      <c r="AS5" s="3" t="s">
        <v>411</v>
      </c>
      <c r="AT5" s="3" t="s">
        <v>412</v>
      </c>
      <c r="AU5" s="3" t="s">
        <v>413</v>
      </c>
      <c r="AV5" s="3" t="s">
        <v>414</v>
      </c>
      <c r="AW5" s="3" t="s">
        <v>415</v>
      </c>
      <c r="AX5" s="3" t="s">
        <v>416</v>
      </c>
      <c r="AY5" s="3" t="s">
        <v>417</v>
      </c>
      <c r="AZ5" s="3" t="s">
        <v>418</v>
      </c>
      <c r="BA5" s="3" t="s">
        <v>419</v>
      </c>
      <c r="BB5" s="3" t="s">
        <v>420</v>
      </c>
      <c r="BC5" s="3" t="s">
        <v>421</v>
      </c>
      <c r="BD5" s="3" t="s">
        <v>422</v>
      </c>
      <c r="BE5" s="3" t="s">
        <v>423</v>
      </c>
      <c r="BF5" s="3" t="s">
        <v>424</v>
      </c>
      <c r="BG5" s="3" t="s">
        <v>425</v>
      </c>
      <c r="BH5" s="3" t="s">
        <v>426</v>
      </c>
      <c r="BI5" s="3" t="s">
        <v>427</v>
      </c>
      <c r="BJ5" s="3" t="s">
        <v>428</v>
      </c>
      <c r="BK5" s="3" t="s">
        <v>429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803</v>
      </c>
      <c r="E7" s="0" t="s">
        <v>349</v>
      </c>
      <c r="J7" s="8" t="n">
        <f aca="false">DATE(2018,2,5)</f>
        <v>43136</v>
      </c>
      <c r="K7" s="17" t="n">
        <f aca="false">Construction!J9</f>
        <v>43313</v>
      </c>
      <c r="L7" s="17" t="n">
        <f aca="false">Construction!K9</f>
        <v>43344</v>
      </c>
      <c r="M7" s="17" t="n">
        <f aca="false">Construction!L9</f>
        <v>43374</v>
      </c>
      <c r="N7" s="17" t="n">
        <f aca="false">Construction!M9</f>
        <v>43405</v>
      </c>
      <c r="O7" s="17" t="n">
        <f aca="false">Construction!N9</f>
        <v>43435</v>
      </c>
      <c r="P7" s="17" t="n">
        <f aca="false">Construction!O9</f>
        <v>43466</v>
      </c>
      <c r="Q7" s="17" t="n">
        <f aca="false">Construction!P9</f>
        <v>43497</v>
      </c>
      <c r="R7" s="17" t="n">
        <f aca="false">Construction!Q9</f>
        <v>43525</v>
      </c>
      <c r="S7" s="17" t="n">
        <f aca="false">Construction!R9</f>
        <v>43556</v>
      </c>
      <c r="T7" s="17" t="n">
        <f aca="false">Construction!S9</f>
        <v>43586</v>
      </c>
      <c r="U7" s="17" t="n">
        <f aca="false">Construction!T9</f>
        <v>43617</v>
      </c>
      <c r="V7" s="17" t="n">
        <f aca="false">Construction!U9</f>
        <v>43647</v>
      </c>
      <c r="W7" s="17" t="n">
        <f aca="false">Construction!V9</f>
        <v>43678</v>
      </c>
      <c r="X7" s="17" t="n">
        <f aca="false">Construction!W9</f>
        <v>43709</v>
      </c>
      <c r="Y7" s="17" t="n">
        <f aca="false">Construction!X9</f>
        <v>43739</v>
      </c>
      <c r="Z7" s="17" t="n">
        <f aca="false">Construction!Y9</f>
        <v>43770</v>
      </c>
      <c r="AA7" s="17" t="n">
        <f aca="false">Construction!Z9</f>
        <v>43800</v>
      </c>
      <c r="AB7" s="17" t="n">
        <f aca="false">Construction!AA9</f>
        <v>43831</v>
      </c>
      <c r="AC7" s="17" t="n">
        <f aca="false">Construction!AB9</f>
        <v>43862</v>
      </c>
      <c r="AD7" s="17" t="n">
        <f aca="false">Construction!AC9</f>
        <v>43891</v>
      </c>
      <c r="AE7" s="17" t="n">
        <f aca="false">Construction!AD9</f>
        <v>43922</v>
      </c>
      <c r="AF7" s="17" t="n">
        <f aca="false">Construction!AE9</f>
        <v>43952</v>
      </c>
      <c r="AG7" s="17" t="n">
        <f aca="false">Construction!AF9</f>
        <v>43983</v>
      </c>
      <c r="AH7" s="17" t="n">
        <f aca="false">Construction!AG9</f>
        <v>44013</v>
      </c>
      <c r="AI7" s="17" t="n">
        <f aca="false">Construction!AH9</f>
        <v>44044</v>
      </c>
      <c r="AJ7" s="17" t="n">
        <f aca="false">Construction!AI9</f>
        <v>44075</v>
      </c>
      <c r="AK7" s="17" t="n">
        <f aca="false">Construction!AJ9</f>
        <v>44105</v>
      </c>
      <c r="AL7" s="17" t="n">
        <f aca="false">Construction!AK9</f>
        <v>44136</v>
      </c>
      <c r="AM7" s="17" t="n">
        <f aca="false">Construction!AL9</f>
        <v>44166</v>
      </c>
      <c r="AN7" s="17" t="n">
        <f aca="false">Construction!AM9</f>
        <v>44197</v>
      </c>
      <c r="AO7" s="17" t="n">
        <f aca="false">Construction!AN9</f>
        <v>44228</v>
      </c>
      <c r="AP7" s="17" t="n">
        <f aca="false">Construction!AO9</f>
        <v>44256</v>
      </c>
      <c r="AQ7" s="17" t="n">
        <f aca="false">Construction!AP9</f>
        <v>44287</v>
      </c>
      <c r="AR7" s="17" t="n">
        <f aca="false">Construction!AQ9</f>
        <v>44317</v>
      </c>
      <c r="AS7" s="17" t="n">
        <f aca="false">Construction!AR9</f>
        <v>44348</v>
      </c>
      <c r="AT7" s="17" t="n">
        <f aca="false">Construction!AS9</f>
        <v>44378</v>
      </c>
      <c r="AU7" s="17" t="n">
        <f aca="false">Construction!AT9</f>
        <v>44409</v>
      </c>
      <c r="AV7" s="17" t="n">
        <f aca="false">Construction!AU9</f>
        <v>44440</v>
      </c>
      <c r="AW7" s="17" t="n">
        <f aca="false">Construction!AV9</f>
        <v>44470</v>
      </c>
      <c r="AX7" s="17" t="n">
        <f aca="false">Construction!AW9</f>
        <v>44501</v>
      </c>
      <c r="AY7" s="17" t="n">
        <f aca="false">Construction!AX9</f>
        <v>44531</v>
      </c>
      <c r="AZ7" s="17" t="n">
        <f aca="false">Construction!AY9</f>
        <v>44562</v>
      </c>
      <c r="BA7" s="17" t="n">
        <f aca="false">Construction!AZ9</f>
        <v>44593</v>
      </c>
      <c r="BB7" s="17" t="n">
        <f aca="false">Construction!BA9</f>
        <v>44621</v>
      </c>
      <c r="BC7" s="17" t="n">
        <f aca="false">Construction!BB9</f>
        <v>44652</v>
      </c>
      <c r="BD7" s="17" t="n">
        <f aca="false">Construction!BC9</f>
        <v>44682</v>
      </c>
      <c r="BE7" s="17" t="n">
        <f aca="false">Construction!BD9</f>
        <v>44713</v>
      </c>
      <c r="BF7" s="17" t="n">
        <f aca="false">Construction!BE9</f>
        <v>44743</v>
      </c>
      <c r="BG7" s="17" t="n">
        <f aca="false">Construction!BF9</f>
        <v>44774</v>
      </c>
      <c r="BH7" s="17" t="n">
        <f aca="false">Construction!BG9</f>
        <v>44805</v>
      </c>
      <c r="BI7" s="17" t="n">
        <f aca="false">Construction!BH9</f>
        <v>44835</v>
      </c>
      <c r="BJ7" s="17" t="n">
        <f aca="false">Construction!BI9</f>
        <v>44866</v>
      </c>
      <c r="BK7" s="17" t="n">
        <f aca="false">Construction!BJ9</f>
        <v>44896</v>
      </c>
      <c r="BL7" s="17" t="n">
        <f aca="false">Time!J19</f>
        <v>43465</v>
      </c>
      <c r="BM7" s="17" t="n">
        <f aca="false">Time!K19</f>
        <v>43646</v>
      </c>
      <c r="BN7" s="17" t="n">
        <f aca="false">Time!L19</f>
        <v>43830</v>
      </c>
      <c r="BO7" s="17" t="n">
        <f aca="false">Time!M19</f>
        <v>44012</v>
      </c>
      <c r="BP7" s="17" t="n">
        <f aca="false">Time!N19</f>
        <v>44196</v>
      </c>
      <c r="BQ7" s="17" t="n">
        <f aca="false">Time!O19</f>
        <v>44377</v>
      </c>
      <c r="BR7" s="17" t="n">
        <f aca="false">Time!P19</f>
        <v>44561</v>
      </c>
      <c r="BS7" s="17" t="n">
        <f aca="false">Time!Q19</f>
        <v>44742</v>
      </c>
      <c r="BT7" s="17" t="n">
        <f aca="false">Time!R19</f>
        <v>44926</v>
      </c>
      <c r="BU7" s="17" t="n">
        <f aca="false">Time!S19</f>
        <v>45107</v>
      </c>
      <c r="BV7" s="17" t="n">
        <f aca="false">Time!T19</f>
        <v>45291</v>
      </c>
      <c r="BW7" s="17" t="n">
        <f aca="false">Time!U19</f>
        <v>45473</v>
      </c>
      <c r="BX7" s="17" t="n">
        <f aca="false">Time!V19</f>
        <v>45657</v>
      </c>
      <c r="BY7" s="17" t="n">
        <f aca="false">Time!W19</f>
        <v>45838</v>
      </c>
      <c r="BZ7" s="17" t="n">
        <f aca="false">Time!X19</f>
        <v>46022</v>
      </c>
      <c r="CA7" s="17" t="n">
        <f aca="false">Time!Y19</f>
        <v>46203</v>
      </c>
      <c r="CB7" s="17" t="n">
        <f aca="false">Time!Z19</f>
        <v>46387</v>
      </c>
      <c r="CC7" s="17" t="n">
        <f aca="false">Time!AA19</f>
        <v>46568</v>
      </c>
      <c r="CD7" s="17" t="n">
        <f aca="false">Time!AB19</f>
        <v>46752</v>
      </c>
      <c r="CE7" s="17" t="n">
        <f aca="false">Time!AC19</f>
        <v>46934</v>
      </c>
      <c r="CF7" s="17" t="n">
        <f aca="false">Time!AD19</f>
        <v>47118</v>
      </c>
      <c r="CG7" s="17" t="n">
        <f aca="false">Time!AE19</f>
        <v>47299</v>
      </c>
      <c r="CH7" s="17" t="n">
        <f aca="false">Time!AF19</f>
        <v>47483</v>
      </c>
      <c r="CI7" s="17" t="n">
        <f aca="false">Time!AG19</f>
        <v>47664</v>
      </c>
      <c r="CJ7" s="17" t="n">
        <f aca="false">Time!AH19</f>
        <v>47848</v>
      </c>
      <c r="CK7" s="17" t="n">
        <f aca="false">Time!AI19</f>
        <v>48029</v>
      </c>
      <c r="CL7" s="17" t="n">
        <f aca="false">Time!AJ19</f>
        <v>48213</v>
      </c>
      <c r="CM7" s="17" t="n">
        <f aca="false">Time!AK19</f>
        <v>48395</v>
      </c>
      <c r="CN7" s="17" t="n">
        <f aca="false">Time!AL19</f>
        <v>48579</v>
      </c>
      <c r="CO7" s="17" t="n">
        <f aca="false">Time!AM19</f>
        <v>48760</v>
      </c>
      <c r="CP7" s="17" t="n">
        <f aca="false">Time!AN19</f>
        <v>48944</v>
      </c>
      <c r="CQ7" s="17" t="n">
        <f aca="false">Time!AO19</f>
        <v>49125</v>
      </c>
      <c r="CR7" s="17" t="n">
        <f aca="false">Time!AP19</f>
        <v>49309</v>
      </c>
      <c r="CS7" s="17" t="n">
        <f aca="false">Time!AQ19</f>
        <v>49490</v>
      </c>
      <c r="CT7" s="17" t="n">
        <f aca="false">Time!AR19</f>
        <v>49674</v>
      </c>
      <c r="CU7" s="17" t="n">
        <f aca="false">Time!AS19</f>
        <v>49856</v>
      </c>
      <c r="CV7" s="17" t="n">
        <f aca="false">Time!AT19</f>
        <v>50040</v>
      </c>
      <c r="CW7" s="17" t="n">
        <f aca="false">Time!AU19</f>
        <v>50221</v>
      </c>
      <c r="CX7" s="17" t="n">
        <f aca="false">Time!AV19</f>
        <v>50405</v>
      </c>
      <c r="CY7" s="17" t="n">
        <f aca="false">Time!AW19</f>
        <v>50586</v>
      </c>
      <c r="CZ7" s="17" t="n">
        <f aca="false">Time!AX19</f>
        <v>50770</v>
      </c>
      <c r="DA7" s="17" t="n">
        <f aca="false">Time!AY19</f>
        <v>50951</v>
      </c>
      <c r="DB7" s="17" t="n">
        <f aca="false">Time!AZ19</f>
        <v>51135</v>
      </c>
      <c r="DC7" s="17" t="n">
        <f aca="false">Time!BA19</f>
        <v>51317</v>
      </c>
      <c r="DD7" s="17" t="n">
        <f aca="false">Time!BB19</f>
        <v>51501</v>
      </c>
      <c r="DE7" s="17" t="n">
        <f aca="false">Time!BC19</f>
        <v>51682</v>
      </c>
      <c r="DF7" s="17" t="n">
        <f aca="false">Time!BD19</f>
        <v>51866</v>
      </c>
      <c r="DG7" s="17" t="n">
        <f aca="false">Time!BE19</f>
        <v>52047</v>
      </c>
      <c r="DH7" s="17" t="n">
        <f aca="false">Time!BF19</f>
        <v>52231</v>
      </c>
      <c r="DI7" s="17" t="n">
        <f aca="false">Time!BG19</f>
        <v>52412</v>
      </c>
      <c r="DJ7" s="17" t="n">
        <f aca="false">Time!BH19</f>
        <v>52596</v>
      </c>
      <c r="DK7" s="17" t="n">
        <f aca="false">Time!BI19</f>
        <v>52778</v>
      </c>
      <c r="DL7" s="17" t="n">
        <f aca="false">Time!BJ19</f>
        <v>52962</v>
      </c>
      <c r="DM7" s="17" t="n">
        <f aca="false">Time!BK19</f>
        <v>53143</v>
      </c>
      <c r="DN7" s="17" t="n">
        <f aca="false">Time!BL19</f>
        <v>53327</v>
      </c>
      <c r="DO7" s="17" t="n">
        <f aca="false">Time!BM19</f>
        <v>53508</v>
      </c>
      <c r="DP7" s="17" t="n">
        <f aca="false">Time!BN19</f>
        <v>53692</v>
      </c>
    </row>
    <row r="8" customFormat="false" ht="15" hidden="false" customHeight="false" outlineLevel="0" collapsed="false">
      <c r="D8" s="0" t="s">
        <v>804</v>
      </c>
      <c r="E8" s="0" t="s">
        <v>149</v>
      </c>
      <c r="G8" s="11" t="n">
        <f aca="false">SUM(J8:DP8)</f>
        <v>1141.15907712556</v>
      </c>
      <c r="J8" s="11" t="n">
        <f aca="false">-Inputs!$F$68</f>
        <v>-14.2</v>
      </c>
      <c r="K8" s="11" t="n">
        <f aca="false">-Funding!J68</f>
        <v>-17.3225815486021</v>
      </c>
      <c r="L8" s="11" t="n">
        <f aca="false">-Funding!K68</f>
        <v>-0.641945672808953</v>
      </c>
      <c r="M8" s="11" t="n">
        <f aca="false">-Funding!L68</f>
        <v>-0.767819083298538</v>
      </c>
      <c r="N8" s="11" t="n">
        <f aca="false">-Funding!M68</f>
        <v>-0.978248432738945</v>
      </c>
      <c r="O8" s="11" t="n">
        <f aca="false">-Funding!N68</f>
        <v>-1.28546590435322</v>
      </c>
      <c r="P8" s="11" t="n">
        <f aca="false">-Funding!O68</f>
        <v>-1.64904886393594</v>
      </c>
      <c r="Q8" s="11" t="n">
        <f aca="false">-Funding!P68</f>
        <v>-2.04093558637251</v>
      </c>
      <c r="R8" s="11" t="n">
        <f aca="false">-Funding!Q68</f>
        <v>-2.51477250136539</v>
      </c>
      <c r="S8" s="11" t="n">
        <f aca="false">-Funding!R68</f>
        <v>-2.98083036692653</v>
      </c>
      <c r="T8" s="11" t="n">
        <f aca="false">-Funding!S68</f>
        <v>-3.47317013984845</v>
      </c>
      <c r="U8" s="11" t="n">
        <f aca="false">-Funding!T68</f>
        <v>-3.94362220027208</v>
      </c>
      <c r="V8" s="11" t="n">
        <f aca="false">-Funding!U68</f>
        <v>-4.41022372499097</v>
      </c>
      <c r="W8" s="11" t="n">
        <f aca="false">-Funding!V68</f>
        <v>-4.86086276529582</v>
      </c>
      <c r="X8" s="11" t="n">
        <f aca="false">-Funding!W68</f>
        <v>-5.27335290421629</v>
      </c>
      <c r="Y8" s="11" t="n">
        <f aca="false">-Funding!X68</f>
        <v>-5.66635704207818</v>
      </c>
      <c r="Z8" s="11" t="n">
        <f aca="false">-Funding!Y68</f>
        <v>-5.99771465031308</v>
      </c>
      <c r="AA8" s="11" t="n">
        <f aca="false">-Funding!Z68</f>
        <v>-6.29862150561439</v>
      </c>
      <c r="AB8" s="11" t="n">
        <f aca="false">-Funding!AA68</f>
        <v>-6.8195548334039</v>
      </c>
      <c r="AC8" s="11" t="n">
        <f aca="false">-Funding!AB68</f>
        <v>-6.67537349935268</v>
      </c>
      <c r="AD8" s="11" t="n">
        <f aca="false">-Funding!AC68</f>
        <v>-6.8153145155739</v>
      </c>
      <c r="AE8" s="11" t="n">
        <f aca="false">-Funding!AD68</f>
        <v>-6.95188512089636</v>
      </c>
      <c r="AF8" s="11" t="n">
        <f aca="false">-Funding!AE68</f>
        <v>-6.95830574855093</v>
      </c>
      <c r="AG8" s="11" t="n">
        <f aca="false">-Funding!AF68</f>
        <v>-6.87844638337842</v>
      </c>
      <c r="AH8" s="11" t="n">
        <f aca="false">-Funding!AG68</f>
        <v>-6.74180670433587</v>
      </c>
      <c r="AI8" s="11" t="n">
        <f aca="false">-Funding!AH68</f>
        <v>-6.55271907879505</v>
      </c>
      <c r="AJ8" s="11" t="n">
        <f aca="false">-Funding!AI68</f>
        <v>-6.29420717777552</v>
      </c>
      <c r="AK8" s="11" t="n">
        <f aca="false">-Funding!AJ68</f>
        <v>-6.42712419642703</v>
      </c>
      <c r="AL8" s="11" t="n">
        <f aca="false">-Funding!AK68</f>
        <v>-6.07061652433444</v>
      </c>
      <c r="AM8" s="11" t="n">
        <f aca="false">-Funding!AL68</f>
        <v>-5.7020616592786</v>
      </c>
      <c r="AN8" s="11" t="n">
        <f aca="false">-Funding!AM68</f>
        <v>-5.41551213891379</v>
      </c>
      <c r="AO8" s="11" t="n">
        <f aca="false">-Funding!AN68</f>
        <v>-4.93299937317128</v>
      </c>
      <c r="AP8" s="11" t="n">
        <f aca="false">-Funding!AO68</f>
        <v>-4.52517645623816</v>
      </c>
      <c r="AQ8" s="11" t="n">
        <f aca="false">-Funding!AP68</f>
        <v>-3.54560651753069</v>
      </c>
      <c r="AR8" s="11" t="n">
        <f aca="false">-Funding!AQ68</f>
        <v>-3.46390827767993</v>
      </c>
      <c r="AS8" s="11" t="n">
        <f aca="false">-Funding!AR68</f>
        <v>-2.65410546999336</v>
      </c>
      <c r="AT8" s="11" t="n">
        <f aca="false">-Funding!AS68</f>
        <v>-2.07715615888552</v>
      </c>
      <c r="AU8" s="11" t="n">
        <f aca="false">-Funding!AT68</f>
        <v>-1.46035856942759</v>
      </c>
      <c r="AV8" s="11" t="n">
        <f aca="false">-Funding!AU68</f>
        <v>-1.85692146909169</v>
      </c>
      <c r="AW8" s="11" t="n">
        <f aca="false">-Funding!AV68</f>
        <v>-1.1453572314015</v>
      </c>
      <c r="AX8" s="11" t="n">
        <f aca="false">-Funding!AW68</f>
        <v>-15.7937640915513</v>
      </c>
      <c r="AY8" s="11" t="n">
        <f aca="false">-Funding!AX68</f>
        <v>-9.54896252779195</v>
      </c>
      <c r="AZ8" s="11" t="n">
        <f aca="false">-Funding!AY68</f>
        <v>-0</v>
      </c>
      <c r="BA8" s="11" t="n">
        <f aca="false">-Funding!AZ68</f>
        <v>-0</v>
      </c>
      <c r="BB8" s="11" t="n">
        <f aca="false">-Funding!BA68</f>
        <v>-0</v>
      </c>
      <c r="BC8" s="11" t="n">
        <f aca="false">-Funding!BB68</f>
        <v>-0</v>
      </c>
      <c r="BD8" s="11" t="n">
        <f aca="false">-Funding!BC68</f>
        <v>-0</v>
      </c>
      <c r="BE8" s="11" t="n">
        <f aca="false">-Funding!BD68</f>
        <v>-0</v>
      </c>
      <c r="BF8" s="11" t="n">
        <f aca="false">-Funding!BE68</f>
        <v>-0</v>
      </c>
      <c r="BG8" s="11" t="n">
        <f aca="false">-Funding!BF68</f>
        <v>-0</v>
      </c>
      <c r="BH8" s="11" t="n">
        <f aca="false">-Funding!BG68</f>
        <v>-0</v>
      </c>
      <c r="BI8" s="11" t="n">
        <f aca="false">-Funding!BH68</f>
        <v>-0</v>
      </c>
      <c r="BJ8" s="11" t="n">
        <f aca="false">-Funding!BI68</f>
        <v>-0</v>
      </c>
      <c r="BK8" s="11" t="n">
        <f aca="false">-Funding!BJ68</f>
        <v>-0</v>
      </c>
      <c r="BL8" s="16" t="n">
        <f aca="false">Waterfall!J44</f>
        <v>0</v>
      </c>
      <c r="BM8" s="16" t="n">
        <f aca="false">Waterfall!K44</f>
        <v>0</v>
      </c>
      <c r="BN8" s="16" t="n">
        <f aca="false">Waterfall!L44</f>
        <v>0</v>
      </c>
      <c r="BO8" s="16" t="n">
        <f aca="false">Waterfall!M44</f>
        <v>0</v>
      </c>
      <c r="BP8" s="16" t="n">
        <f aca="false">Waterfall!N44</f>
        <v>0</v>
      </c>
      <c r="BQ8" s="16" t="n">
        <f aca="false">Waterfall!O44</f>
        <v>0</v>
      </c>
      <c r="BR8" s="16" t="n">
        <f aca="false">Waterfall!P44</f>
        <v>0</v>
      </c>
      <c r="BS8" s="16" t="n">
        <f aca="false">Waterfall!Q44</f>
        <v>17.679293834913</v>
      </c>
      <c r="BT8" s="16" t="n">
        <f aca="false">Waterfall!R44</f>
        <v>0</v>
      </c>
      <c r="BU8" s="16" t="n">
        <f aca="false">Waterfall!S44</f>
        <v>0</v>
      </c>
      <c r="BV8" s="16" t="n">
        <f aca="false">Waterfall!T44</f>
        <v>0</v>
      </c>
      <c r="BW8" s="16" t="n">
        <f aca="false">Waterfall!U44</f>
        <v>0</v>
      </c>
      <c r="BX8" s="16" t="n">
        <f aca="false">Waterfall!V44</f>
        <v>46.3902948477304</v>
      </c>
      <c r="BY8" s="16" t="n">
        <f aca="false">Waterfall!W44</f>
        <v>23.3793037599631</v>
      </c>
      <c r="BZ8" s="16" t="n">
        <f aca="false">Waterfall!X44</f>
        <v>21.2802441493857</v>
      </c>
      <c r="CA8" s="16" t="n">
        <f aca="false">Waterfall!Y44</f>
        <v>18.2848625634773</v>
      </c>
      <c r="CB8" s="16" t="n">
        <f aca="false">Waterfall!Z44</f>
        <v>19.3564309338737</v>
      </c>
      <c r="CC8" s="16" t="n">
        <f aca="false">Waterfall!AA44</f>
        <v>18.3702917761079</v>
      </c>
      <c r="CD8" s="16" t="n">
        <f aca="false">Waterfall!AB44</f>
        <v>19.2542729431483</v>
      </c>
      <c r="CE8" s="16" t="n">
        <f aca="false">Waterfall!AC44</f>
        <v>18.591699527975</v>
      </c>
      <c r="CF8" s="16" t="n">
        <f aca="false">Waterfall!AD44</f>
        <v>18.2617102805579</v>
      </c>
      <c r="CG8" s="16" t="n">
        <f aca="false">Waterfall!AE44</f>
        <v>19.1688877111902</v>
      </c>
      <c r="CH8" s="16" t="n">
        <f aca="false">Waterfall!AF44</f>
        <v>20.5240529525546</v>
      </c>
      <c r="CI8" s="16" t="n">
        <f aca="false">Waterfall!AG44</f>
        <v>19.2463553245907</v>
      </c>
      <c r="CJ8" s="16" t="n">
        <f aca="false">Waterfall!AH44</f>
        <v>20.2139547700163</v>
      </c>
      <c r="CK8" s="16" t="n">
        <f aca="false">Waterfall!AI44</f>
        <v>19.4673375233295</v>
      </c>
      <c r="CL8" s="16" t="n">
        <f aca="false">Waterfall!AJ44</f>
        <v>20.3475690817723</v>
      </c>
      <c r="CM8" s="16" t="n">
        <f aca="false">Waterfall!AK44</f>
        <v>19.6553202729675</v>
      </c>
      <c r="CN8" s="16" t="n">
        <f aca="false">Waterfall!AL44</f>
        <v>20.7956751081937</v>
      </c>
      <c r="CO8" s="16" t="n">
        <f aca="false">Waterfall!AM44</f>
        <v>23.486253095803</v>
      </c>
      <c r="CP8" s="16" t="n">
        <f aca="false">Waterfall!AN44</f>
        <v>19.6954511447589</v>
      </c>
      <c r="CQ8" s="16" t="n">
        <f aca="false">Waterfall!AO44</f>
        <v>15.9789320106918</v>
      </c>
      <c r="CR8" s="16" t="n">
        <f aca="false">Waterfall!AP44</f>
        <v>16.8592570681221</v>
      </c>
      <c r="CS8" s="16" t="n">
        <f aca="false">Waterfall!AQ44</f>
        <v>15.9649999835275</v>
      </c>
      <c r="CT8" s="16" t="n">
        <f aca="false">Waterfall!AR44</f>
        <v>16.7610835911105</v>
      </c>
      <c r="CU8" s="16" t="n">
        <f aca="false">Waterfall!AS44</f>
        <v>15.9396145966488</v>
      </c>
      <c r="CV8" s="16" t="n">
        <f aca="false">Waterfall!AT44</f>
        <v>12.1545756968028</v>
      </c>
      <c r="CW8" s="16" t="n">
        <f aca="false">Waterfall!AU44</f>
        <v>48.9567701196674</v>
      </c>
      <c r="CX8" s="16" t="n">
        <f aca="false">Waterfall!AV44</f>
        <v>44.5090799550741</v>
      </c>
      <c r="CY8" s="16" t="n">
        <f aca="false">Waterfall!AW44</f>
        <v>43.5004546690699</v>
      </c>
      <c r="CZ8" s="16" t="n">
        <f aca="false">Waterfall!AX44</f>
        <v>44.274007726164</v>
      </c>
      <c r="DA8" s="16" t="n">
        <f aca="false">Waterfall!AY44</f>
        <v>43.8701347707556</v>
      </c>
      <c r="DB8" s="16" t="n">
        <f aca="false">Waterfall!AZ44</f>
        <v>44.5455188444797</v>
      </c>
      <c r="DC8" s="16" t="n">
        <f aca="false">Waterfall!BA44</f>
        <v>44.1434525893954</v>
      </c>
      <c r="DD8" s="16" t="n">
        <f aca="false">Waterfall!BB44</f>
        <v>44.4017368443524</v>
      </c>
      <c r="DE8" s="16" t="n">
        <f aca="false">Waterfall!BC44</f>
        <v>44.6551203851123</v>
      </c>
      <c r="DF8" s="16" t="n">
        <f aca="false">Waterfall!BD44</f>
        <v>43.1799209867987</v>
      </c>
      <c r="DG8" s="16" t="n">
        <f aca="false">Waterfall!BE44</f>
        <v>34.7513553834456</v>
      </c>
      <c r="DH8" s="16" t="n">
        <f aca="false">Waterfall!BF44</f>
        <v>35.4468161899769</v>
      </c>
      <c r="DI8" s="16" t="n">
        <f aca="false">Waterfall!BG44</f>
        <v>35.0168014347657</v>
      </c>
      <c r="DJ8" s="16" t="n">
        <f aca="false">Waterfall!BH44</f>
        <v>35.7027467049765</v>
      </c>
      <c r="DK8" s="16" t="n">
        <f aca="false">Waterfall!BI44</f>
        <v>35.2678144321089</v>
      </c>
      <c r="DL8" s="16" t="n">
        <f aca="false">Waterfall!BJ44</f>
        <v>35.8351864538939</v>
      </c>
      <c r="DM8" s="16" t="n">
        <f aca="false">Waterfall!BK44</f>
        <v>44.0975550569054</v>
      </c>
      <c r="DN8" s="16" t="n">
        <f aca="false">Waterfall!BL44</f>
        <v>39.1045041507636</v>
      </c>
      <c r="DO8" s="16" t="n">
        <f aca="false">Waterfall!BM44</f>
        <v>38.6987765905792</v>
      </c>
      <c r="DP8" s="16" t="n">
        <f aca="false">Waterfall!BN44</f>
        <v>63.70641590487</v>
      </c>
    </row>
    <row r="9" customFormat="false" ht="15" hidden="false" customHeight="false" outlineLevel="0" collapsed="false">
      <c r="D9" s="0" t="s">
        <v>805</v>
      </c>
      <c r="E9" s="0" t="s">
        <v>149</v>
      </c>
      <c r="G9" s="11" t="n">
        <f aca="false">SUM(J9:DP9)</f>
        <v>1598.27741230432</v>
      </c>
      <c r="J9" s="11" t="n">
        <f aca="false">0</f>
        <v>0</v>
      </c>
      <c r="K9" s="11" t="n">
        <f aca="false">-Construction!J30</f>
        <v>-108.029654898971</v>
      </c>
      <c r="L9" s="11" t="n">
        <f aca="false">-Construction!K30</f>
        <v>-1.39719409599695</v>
      </c>
      <c r="M9" s="11" t="n">
        <f aca="false">-Construction!L30</f>
        <v>-1.83459583652307</v>
      </c>
      <c r="N9" s="11" t="n">
        <f aca="false">-Construction!M30</f>
        <v>-2.64316093389249</v>
      </c>
      <c r="O9" s="11" t="n">
        <f aca="false">-Construction!N30</f>
        <v>-3.75722202497141</v>
      </c>
      <c r="P9" s="11" t="n">
        <f aca="false">-Construction!O30</f>
        <v>-5.09998149905398</v>
      </c>
      <c r="Q9" s="11" t="n">
        <f aca="false">-Construction!P30</f>
        <v>-6.63636172877945</v>
      </c>
      <c r="R9" s="11" t="n">
        <f aca="false">-Construction!Q30</f>
        <v>-8.30243269985161</v>
      </c>
      <c r="S9" s="11" t="n">
        <f aca="false">-Construction!R30</f>
        <v>-10.048138336663</v>
      </c>
      <c r="T9" s="11" t="n">
        <f aca="false">-Construction!S30</f>
        <v>-11.826266658811</v>
      </c>
      <c r="U9" s="11" t="n">
        <f aca="false">-Construction!T30</f>
        <v>-13.5941562382211</v>
      </c>
      <c r="V9" s="11" t="n">
        <f aca="false">-Construction!U30</f>
        <v>-15.2686916102576</v>
      </c>
      <c r="W9" s="11" t="n">
        <f aca="false">-Construction!V30</f>
        <v>-16.8967106683911</v>
      </c>
      <c r="X9" s="11" t="n">
        <f aca="false">-Construction!W30</f>
        <v>-18.4073490420824</v>
      </c>
      <c r="Y9" s="11" t="n">
        <f aca="false">-Construction!X30</f>
        <v>-19.7733880218955</v>
      </c>
      <c r="Z9" s="11" t="n">
        <f aca="false">-Construction!Y30</f>
        <v>-20.969877124181</v>
      </c>
      <c r="AA9" s="11" t="n">
        <f aca="false">-Construction!Z30</f>
        <v>-21.9775364297551</v>
      </c>
      <c r="AB9" s="11" t="n">
        <f aca="false">-Construction!AA30</f>
        <v>-23.8447403755194</v>
      </c>
      <c r="AC9" s="11" t="n">
        <f aca="false">-Construction!AB30</f>
        <v>-23.2808998162438</v>
      </c>
      <c r="AD9" s="11" t="n">
        <f aca="false">-Construction!AC30</f>
        <v>-23.6323507158834</v>
      </c>
      <c r="AE9" s="11" t="n">
        <f aca="false">-Construction!AD30</f>
        <v>-24.0906826040283</v>
      </c>
      <c r="AF9" s="11" t="n">
        <f aca="false">-Construction!AE30</f>
        <v>-23.9748507158834</v>
      </c>
      <c r="AG9" s="11" t="n">
        <f aca="false">-Construction!AF30</f>
        <v>-23.6233998162438</v>
      </c>
      <c r="AH9" s="11" t="n">
        <f aca="false">-Construction!AG30</f>
        <v>-22.9759722416557</v>
      </c>
      <c r="AI9" s="11" t="n">
        <f aca="false">-Construction!AH30</f>
        <v>-22.1806943796896</v>
      </c>
      <c r="AJ9" s="11" t="n">
        <f aca="false">-Construction!AI30</f>
        <v>-21.179838316861</v>
      </c>
      <c r="AK9" s="11" t="n">
        <f aca="false">-Construction!AJ30</f>
        <v>-21.5580940141589</v>
      </c>
      <c r="AL9" s="11" t="n">
        <f aca="false">-Construction!AK30</f>
        <v>-20.2012778884673</v>
      </c>
      <c r="AM9" s="11" t="n">
        <f aca="false">-Construction!AL30</f>
        <v>-18.7008386361458</v>
      </c>
      <c r="AN9" s="11" t="n">
        <f aca="false">-Construction!AM30</f>
        <v>-17.5752147653275</v>
      </c>
      <c r="AO9" s="11" t="n">
        <f aca="false">-Construction!AN30</f>
        <v>-15.8808554631514</v>
      </c>
      <c r="AP9" s="11" t="n">
        <f aca="false">-Construction!AO30</f>
        <v>-14.1371241018391</v>
      </c>
      <c r="AQ9" s="11" t="n">
        <f aca="false">-Construction!AP30</f>
        <v>-10.4741272435822</v>
      </c>
      <c r="AR9" s="11" t="n">
        <f aca="false">-Construction!AQ30</f>
        <v>-10.0151838240624</v>
      </c>
      <c r="AS9" s="11" t="n">
        <f aca="false">-Construction!AR30</f>
        <v>-6.95187971940217</v>
      </c>
      <c r="AT9" s="11" t="n">
        <f aca="false">-Construction!AS30</f>
        <v>-5.8819829958099</v>
      </c>
      <c r="AU9" s="11" t="n">
        <f aca="false">-Construction!AT30</f>
        <v>-3.55179558618063</v>
      </c>
      <c r="AV9" s="11" t="n">
        <f aca="false">-Construction!AU30</f>
        <v>-5.10000104003562</v>
      </c>
      <c r="AW9" s="11" t="n">
        <f aca="false">-Construction!AV30</f>
        <v>-2.35259659239783</v>
      </c>
      <c r="AX9" s="11" t="n">
        <f aca="false">-Construction!AW30</f>
        <v>-57.5145116813414</v>
      </c>
      <c r="AY9" s="11" t="n">
        <f aca="false">-Construction!AX30</f>
        <v>-0</v>
      </c>
      <c r="AZ9" s="11" t="n">
        <f aca="false">-Construction!AY30</f>
        <v>-0</v>
      </c>
      <c r="BA9" s="11" t="n">
        <f aca="false">-Construction!AZ30</f>
        <v>-0</v>
      </c>
      <c r="BB9" s="11" t="n">
        <f aca="false">-Construction!BA30</f>
        <v>-0</v>
      </c>
      <c r="BC9" s="11" t="n">
        <f aca="false">-Construction!BB30</f>
        <v>-0</v>
      </c>
      <c r="BD9" s="11" t="n">
        <f aca="false">-Construction!BC30</f>
        <v>-0</v>
      </c>
      <c r="BE9" s="11" t="n">
        <f aca="false">-Construction!BD30</f>
        <v>-0</v>
      </c>
      <c r="BF9" s="11" t="n">
        <f aca="false">-Construction!BE30</f>
        <v>-0</v>
      </c>
      <c r="BG9" s="11" t="n">
        <f aca="false">-Construction!BF30</f>
        <v>-0</v>
      </c>
      <c r="BH9" s="11" t="n">
        <f aca="false">-Construction!BG30</f>
        <v>-0</v>
      </c>
      <c r="BI9" s="11" t="n">
        <f aca="false">-Construction!BH30</f>
        <v>-0</v>
      </c>
      <c r="BJ9" s="11" t="n">
        <f aca="false">-Construction!BI30</f>
        <v>-0</v>
      </c>
      <c r="BK9" s="11" t="n">
        <f aca="false">-Construction!BJ30</f>
        <v>-0</v>
      </c>
      <c r="BL9" s="16" t="n">
        <f aca="false">Waterfall!J7</f>
        <v>0</v>
      </c>
      <c r="BM9" s="16" t="n">
        <f aca="false">Waterfall!K7</f>
        <v>0</v>
      </c>
      <c r="BN9" s="16" t="n">
        <f aca="false">Waterfall!L7</f>
        <v>0</v>
      </c>
      <c r="BO9" s="16" t="n">
        <f aca="false">Waterfall!M7</f>
        <v>0</v>
      </c>
      <c r="BP9" s="16" t="n">
        <f aca="false">Waterfall!N7</f>
        <v>0</v>
      </c>
      <c r="BQ9" s="16" t="n">
        <f aca="false">Waterfall!O7</f>
        <v>0</v>
      </c>
      <c r="BR9" s="16" t="n">
        <f aca="false">Waterfall!P7</f>
        <v>-6.29263433853431</v>
      </c>
      <c r="BS9" s="16" t="n">
        <f aca="false">Waterfall!Q7</f>
        <v>44.8010365135894</v>
      </c>
      <c r="BT9" s="16" t="n">
        <f aca="false">Waterfall!R7</f>
        <v>37.365369182051</v>
      </c>
      <c r="BU9" s="16" t="n">
        <f aca="false">Waterfall!S7</f>
        <v>35.7706177871311</v>
      </c>
      <c r="BV9" s="16" t="n">
        <f aca="false">Waterfall!T7</f>
        <v>56.1891743940575</v>
      </c>
      <c r="BW9" s="16" t="n">
        <f aca="false">Waterfall!U7</f>
        <v>57.3841171853081</v>
      </c>
      <c r="BX9" s="16" t="n">
        <f aca="false">Waterfall!V7</f>
        <v>56.6744396090678</v>
      </c>
      <c r="BY9" s="16" t="n">
        <f aca="false">Waterfall!W7</f>
        <v>55.3563987334357</v>
      </c>
      <c r="BZ9" s="16" t="n">
        <f aca="false">Waterfall!X7</f>
        <v>51.6814505191527</v>
      </c>
      <c r="CA9" s="16" t="n">
        <f aca="false">Waterfall!Y7</f>
        <v>49.1344959266961</v>
      </c>
      <c r="CB9" s="16" t="n">
        <f aca="false">Waterfall!Z7</f>
        <v>49.8592446098631</v>
      </c>
      <c r="CC9" s="16" t="n">
        <f aca="false">Waterfall!AA7</f>
        <v>49.2987138762401</v>
      </c>
      <c r="CD9" s="16" t="n">
        <f aca="false">Waterfall!AB7</f>
        <v>49.9865831380076</v>
      </c>
      <c r="CE9" s="16" t="n">
        <f aca="false">Waterfall!AC7</f>
        <v>49.6696266497153</v>
      </c>
      <c r="CF9" s="16" t="n">
        <f aca="false">Waterfall!AD7</f>
        <v>50.2282134794445</v>
      </c>
      <c r="CG9" s="16" t="n">
        <f aca="false">Waterfall!AE7</f>
        <v>51.6643320700057</v>
      </c>
      <c r="CH9" s="16" t="n">
        <f aca="false">Waterfall!AF7</f>
        <v>52.5192079243347</v>
      </c>
      <c r="CI9" s="16" t="n">
        <f aca="false">Waterfall!AG7</f>
        <v>51.7106391277389</v>
      </c>
      <c r="CJ9" s="16" t="n">
        <f aca="false">Waterfall!AH7</f>
        <v>52.46884616642</v>
      </c>
      <c r="CK9" s="16" t="n">
        <f aca="false">Waterfall!AI7</f>
        <v>52.1304257027341</v>
      </c>
      <c r="CL9" s="16" t="n">
        <f aca="false">Waterfall!AJ7</f>
        <v>52.790154232178</v>
      </c>
      <c r="CM9" s="16" t="n">
        <f aca="false">Waterfall!AK7</f>
        <v>52.4337767566135</v>
      </c>
      <c r="CN9" s="16" t="n">
        <f aca="false">Waterfall!AL7</f>
        <v>52.9766127366819</v>
      </c>
      <c r="CO9" s="16" t="n">
        <f aca="false">Waterfall!AM7</f>
        <v>52.0109014700672</v>
      </c>
      <c r="CP9" s="16" t="n">
        <f aca="false">Waterfall!AN7</f>
        <v>46.1015988814658</v>
      </c>
      <c r="CQ9" s="16" t="n">
        <f aca="false">Waterfall!AO7</f>
        <v>42.6776734738968</v>
      </c>
      <c r="CR9" s="16" t="n">
        <f aca="false">Waterfall!AP7</f>
        <v>43.150564056584</v>
      </c>
      <c r="CS9" s="16" t="n">
        <f aca="false">Waterfall!AQ7</f>
        <v>42.4920675586886</v>
      </c>
      <c r="CT9" s="16" t="n">
        <f aca="false">Waterfall!AR7</f>
        <v>42.873104333921</v>
      </c>
      <c r="CU9" s="16" t="n">
        <f aca="false">Waterfall!AS7</f>
        <v>42.2023047489476</v>
      </c>
      <c r="CV9" s="16" t="n">
        <f aca="false">Waterfall!AT7</f>
        <v>42.4458169878721</v>
      </c>
      <c r="CW9" s="16" t="n">
        <f aca="false">Waterfall!AU7</f>
        <v>48.9567701196674</v>
      </c>
      <c r="CX9" s="16" t="n">
        <f aca="false">Waterfall!AV7</f>
        <v>44.5090799550741</v>
      </c>
      <c r="CY9" s="16" t="n">
        <f aca="false">Waterfall!AW7</f>
        <v>43.5004546690699</v>
      </c>
      <c r="CZ9" s="16" t="n">
        <f aca="false">Waterfall!AX7</f>
        <v>44.274007726164</v>
      </c>
      <c r="DA9" s="16" t="n">
        <f aca="false">Waterfall!AY7</f>
        <v>43.8701347707556</v>
      </c>
      <c r="DB9" s="16" t="n">
        <f aca="false">Waterfall!AZ7</f>
        <v>44.5455188444797</v>
      </c>
      <c r="DC9" s="16" t="n">
        <f aca="false">Waterfall!BA7</f>
        <v>44.1434525893954</v>
      </c>
      <c r="DD9" s="16" t="n">
        <f aca="false">Waterfall!BB7</f>
        <v>44.6821594759182</v>
      </c>
      <c r="DE9" s="16" t="n">
        <f aca="false">Waterfall!BC7</f>
        <v>46.3568953397677</v>
      </c>
      <c r="DF9" s="16" t="n">
        <f aca="false">Waterfall!BD7</f>
        <v>44.9011550993491</v>
      </c>
      <c r="DG9" s="16" t="n">
        <f aca="false">Waterfall!BE7</f>
        <v>36.4922711620581</v>
      </c>
      <c r="DH9" s="16" t="n">
        <f aca="false">Waterfall!BF7</f>
        <v>37.2076386871159</v>
      </c>
      <c r="DI9" s="16" t="n">
        <f aca="false">Waterfall!BG7</f>
        <v>36.7977582762862</v>
      </c>
      <c r="DJ9" s="16" t="n">
        <f aca="false">Waterfall!BH7</f>
        <v>37.5040681195497</v>
      </c>
      <c r="DK9" s="16" t="n">
        <f aca="false">Waterfall!BI7</f>
        <v>37.0897332809844</v>
      </c>
      <c r="DL9" s="16" t="n">
        <f aca="false">Waterfall!BJ7</f>
        <v>37.6779382610023</v>
      </c>
      <c r="DM9" s="16" t="n">
        <f aca="false">Waterfall!BK7</f>
        <v>45.961378039305</v>
      </c>
      <c r="DN9" s="16" t="n">
        <f aca="false">Waterfall!BL7</f>
        <v>40.9896392494355</v>
      </c>
      <c r="DO9" s="16" t="n">
        <f aca="false">Waterfall!BM7</f>
        <v>40.6054675015741</v>
      </c>
      <c r="DP9" s="16" t="n">
        <f aca="false">Waterfall!BN7</f>
        <v>43.598648026203</v>
      </c>
    </row>
    <row r="10" customFormat="false" ht="15" hidden="false" customHeight="false" outlineLevel="0" collapsed="false">
      <c r="D10" s="0" t="s">
        <v>806</v>
      </c>
      <c r="E10" s="0" t="s">
        <v>149</v>
      </c>
      <c r="G10" s="11" t="n">
        <f aca="false">SUM(J10:DP10)</f>
        <v>1928.98029864085</v>
      </c>
      <c r="J10" s="11" t="n">
        <f aca="false">0</f>
        <v>0</v>
      </c>
      <c r="K10" s="11" t="n">
        <f aca="false">-Construction!J30</f>
        <v>-108.029654898971</v>
      </c>
      <c r="L10" s="11" t="n">
        <f aca="false">-Construction!K30</f>
        <v>-1.39719409599695</v>
      </c>
      <c r="M10" s="11" t="n">
        <f aca="false">-Construction!L30</f>
        <v>-1.83459583652307</v>
      </c>
      <c r="N10" s="11" t="n">
        <f aca="false">-Construction!M30</f>
        <v>-2.64316093389249</v>
      </c>
      <c r="O10" s="11" t="n">
        <f aca="false">-Construction!N30</f>
        <v>-3.75722202497141</v>
      </c>
      <c r="P10" s="11" t="n">
        <f aca="false">-Construction!O30</f>
        <v>-5.09998149905398</v>
      </c>
      <c r="Q10" s="11" t="n">
        <f aca="false">-Construction!P30</f>
        <v>-6.63636172877945</v>
      </c>
      <c r="R10" s="11" t="n">
        <f aca="false">-Construction!Q30</f>
        <v>-8.30243269985161</v>
      </c>
      <c r="S10" s="11" t="n">
        <f aca="false">-Construction!R30</f>
        <v>-10.048138336663</v>
      </c>
      <c r="T10" s="11" t="n">
        <f aca="false">-Construction!S30</f>
        <v>-11.826266658811</v>
      </c>
      <c r="U10" s="11" t="n">
        <f aca="false">-Construction!T30</f>
        <v>-13.5941562382211</v>
      </c>
      <c r="V10" s="11" t="n">
        <f aca="false">-Construction!U30</f>
        <v>-15.2686916102576</v>
      </c>
      <c r="W10" s="11" t="n">
        <f aca="false">-Construction!V30</f>
        <v>-16.8967106683911</v>
      </c>
      <c r="X10" s="11" t="n">
        <f aca="false">-Construction!W30</f>
        <v>-18.4073490420824</v>
      </c>
      <c r="Y10" s="11" t="n">
        <f aca="false">-Construction!X30</f>
        <v>-19.7733880218955</v>
      </c>
      <c r="Z10" s="11" t="n">
        <f aca="false">-Construction!Y30</f>
        <v>-20.969877124181</v>
      </c>
      <c r="AA10" s="11" t="n">
        <f aca="false">-Construction!Z30</f>
        <v>-21.9775364297551</v>
      </c>
      <c r="AB10" s="11" t="n">
        <f aca="false">-Construction!AA30</f>
        <v>-23.8447403755194</v>
      </c>
      <c r="AC10" s="11" t="n">
        <f aca="false">-Construction!AB30</f>
        <v>-23.2808998162438</v>
      </c>
      <c r="AD10" s="11" t="n">
        <f aca="false">-Construction!AC30</f>
        <v>-23.6323507158834</v>
      </c>
      <c r="AE10" s="11" t="n">
        <f aca="false">-Construction!AD30</f>
        <v>-24.0906826040283</v>
      </c>
      <c r="AF10" s="11" t="n">
        <f aca="false">-Construction!AE30</f>
        <v>-23.9748507158834</v>
      </c>
      <c r="AG10" s="11" t="n">
        <f aca="false">-Construction!AF30</f>
        <v>-23.6233998162438</v>
      </c>
      <c r="AH10" s="11" t="n">
        <f aca="false">-Construction!AG30</f>
        <v>-22.9759722416557</v>
      </c>
      <c r="AI10" s="11" t="n">
        <f aca="false">-Construction!AH30</f>
        <v>-22.1806943796896</v>
      </c>
      <c r="AJ10" s="11" t="n">
        <f aca="false">-Construction!AI30</f>
        <v>-21.179838316861</v>
      </c>
      <c r="AK10" s="11" t="n">
        <f aca="false">-Construction!AJ30</f>
        <v>-21.5580940141589</v>
      </c>
      <c r="AL10" s="11" t="n">
        <f aca="false">-Construction!AK30</f>
        <v>-20.2012778884673</v>
      </c>
      <c r="AM10" s="11" t="n">
        <f aca="false">-Construction!AL30</f>
        <v>-18.7008386361458</v>
      </c>
      <c r="AN10" s="11" t="n">
        <f aca="false">-Construction!AM30</f>
        <v>-17.5752147653275</v>
      </c>
      <c r="AO10" s="11" t="n">
        <f aca="false">-Construction!AN30</f>
        <v>-15.8808554631514</v>
      </c>
      <c r="AP10" s="11" t="n">
        <f aca="false">-Construction!AO30</f>
        <v>-14.1371241018391</v>
      </c>
      <c r="AQ10" s="11" t="n">
        <f aca="false">-Construction!AP30</f>
        <v>-10.4741272435822</v>
      </c>
      <c r="AR10" s="11" t="n">
        <f aca="false">-Construction!AQ30</f>
        <v>-10.0151838240624</v>
      </c>
      <c r="AS10" s="11" t="n">
        <f aca="false">-Construction!AR30</f>
        <v>-6.95187971940217</v>
      </c>
      <c r="AT10" s="11" t="n">
        <f aca="false">-Construction!AS30</f>
        <v>-5.8819829958099</v>
      </c>
      <c r="AU10" s="11" t="n">
        <f aca="false">-Construction!AT30</f>
        <v>-3.55179558618063</v>
      </c>
      <c r="AV10" s="11" t="n">
        <f aca="false">-Construction!AU30</f>
        <v>-5.10000104003562</v>
      </c>
      <c r="AW10" s="11" t="n">
        <f aca="false">-Construction!AV30</f>
        <v>-2.35259659239783</v>
      </c>
      <c r="AX10" s="11" t="n">
        <f aca="false">-Construction!AW30</f>
        <v>-57.5145116813414</v>
      </c>
      <c r="AY10" s="11" t="n">
        <f aca="false">-Construction!AX30</f>
        <v>-0</v>
      </c>
      <c r="AZ10" s="11" t="n">
        <f aca="false">-Construction!AY30</f>
        <v>-0</v>
      </c>
      <c r="BA10" s="11" t="n">
        <f aca="false">-Construction!AZ30</f>
        <v>-0</v>
      </c>
      <c r="BB10" s="11" t="n">
        <f aca="false">-Construction!BA30</f>
        <v>-0</v>
      </c>
      <c r="BC10" s="11" t="n">
        <f aca="false">-Construction!BB30</f>
        <v>-0</v>
      </c>
      <c r="BD10" s="11" t="n">
        <f aca="false">-Construction!BC30</f>
        <v>-0</v>
      </c>
      <c r="BE10" s="11" t="n">
        <f aca="false">-Construction!BD30</f>
        <v>-0</v>
      </c>
      <c r="BF10" s="11" t="n">
        <f aca="false">-Construction!BE30</f>
        <v>-0</v>
      </c>
      <c r="BG10" s="11" t="n">
        <f aca="false">-Construction!BF30</f>
        <v>-0</v>
      </c>
      <c r="BH10" s="11" t="n">
        <f aca="false">-Construction!BG30</f>
        <v>-0</v>
      </c>
      <c r="BI10" s="11" t="n">
        <f aca="false">-Construction!BH30</f>
        <v>-0</v>
      </c>
      <c r="BJ10" s="11" t="n">
        <f aca="false">-Construction!BI30</f>
        <v>-0</v>
      </c>
      <c r="BK10" s="11" t="n">
        <f aca="false">-Construction!BJ30</f>
        <v>-0</v>
      </c>
      <c r="BL10" s="11" t="n">
        <f aca="false">Waterfall!J7+Tax!J27</f>
        <v>0</v>
      </c>
      <c r="BM10" s="11" t="n">
        <f aca="false">Waterfall!K7+Tax!K27</f>
        <v>0</v>
      </c>
      <c r="BN10" s="11" t="n">
        <f aca="false">Waterfall!L7+Tax!L27</f>
        <v>0</v>
      </c>
      <c r="BO10" s="11" t="n">
        <f aca="false">Waterfall!M7+Tax!M27</f>
        <v>0</v>
      </c>
      <c r="BP10" s="11" t="n">
        <f aca="false">Waterfall!N7+Tax!N27</f>
        <v>0</v>
      </c>
      <c r="BQ10" s="11" t="n">
        <f aca="false">Waterfall!O7+Tax!O27</f>
        <v>0</v>
      </c>
      <c r="BR10" s="11" t="n">
        <f aca="false">Waterfall!P7+Tax!P27</f>
        <v>-6.29263433853431</v>
      </c>
      <c r="BS10" s="11" t="n">
        <f aca="false">Waterfall!Q7+Tax!Q27</f>
        <v>44.8010365135894</v>
      </c>
      <c r="BT10" s="11" t="n">
        <f aca="false">Waterfall!R7+Tax!R27</f>
        <v>37.365369182051</v>
      </c>
      <c r="BU10" s="11" t="n">
        <f aca="false">Waterfall!S7+Tax!S27</f>
        <v>35.7706177871311</v>
      </c>
      <c r="BV10" s="11" t="n">
        <f aca="false">Waterfall!T7+Tax!T27</f>
        <v>56.1891743940575</v>
      </c>
      <c r="BW10" s="11" t="n">
        <f aca="false">Waterfall!U7+Tax!U27</f>
        <v>57.3841171853081</v>
      </c>
      <c r="BX10" s="11" t="n">
        <f aca="false">Waterfall!V7+Tax!V27</f>
        <v>56.6744396090678</v>
      </c>
      <c r="BY10" s="11" t="n">
        <f aca="false">Waterfall!W7+Tax!W27</f>
        <v>55.3563987334357</v>
      </c>
      <c r="BZ10" s="11" t="n">
        <f aca="false">Waterfall!X7+Tax!X27</f>
        <v>51.6814505191527</v>
      </c>
      <c r="CA10" s="11" t="n">
        <f aca="false">Waterfall!Y7+Tax!Y27</f>
        <v>49.1344959266961</v>
      </c>
      <c r="CB10" s="11" t="n">
        <f aca="false">Waterfall!Z7+Tax!Z27</f>
        <v>49.9218321764206</v>
      </c>
      <c r="CC10" s="11" t="n">
        <f aca="false">Waterfall!AA7+Tax!AA27</f>
        <v>49.6763060808828</v>
      </c>
      <c r="CD10" s="11" t="n">
        <f aca="false">Waterfall!AB7+Tax!AB27</f>
        <v>50.3664976467879</v>
      </c>
      <c r="CE10" s="11" t="n">
        <f aca="false">Waterfall!AC7+Tax!AC27</f>
        <v>50.0521618307896</v>
      </c>
      <c r="CF10" s="11" t="n">
        <f aca="false">Waterfall!AD7+Tax!AD27</f>
        <v>50.6124217085188</v>
      </c>
      <c r="CG10" s="11" t="n">
        <f aca="false">Waterfall!AE7+Tax!AE27</f>
        <v>52.0433980203898</v>
      </c>
      <c r="CH10" s="11" t="n">
        <f aca="false">Waterfall!AF7+Tax!AF27</f>
        <v>52.9039623664178</v>
      </c>
      <c r="CI10" s="11" t="n">
        <f aca="false">Waterfall!AG7+Tax!AG27</f>
        <v>52.1015840437237</v>
      </c>
      <c r="CJ10" s="11" t="n">
        <f aca="false">Waterfall!AH7+Tax!AH27</f>
        <v>52.86184064702</v>
      </c>
      <c r="CK10" s="11" t="n">
        <f aca="false">Waterfall!AI7+Tax!AI27</f>
        <v>52.525142271612</v>
      </c>
      <c r="CL10" s="11" t="n">
        <f aca="false">Waterfall!AJ7+Tax!AJ27</f>
        <v>53.1871377542584</v>
      </c>
      <c r="CM10" s="11" t="n">
        <f aca="false">Waterfall!AK7+Tax!AK27</f>
        <v>52.833410634428</v>
      </c>
      <c r="CN10" s="11" t="n">
        <f aca="false">Waterfall!AL7+Tax!AL27</f>
        <v>53.3781593041144</v>
      </c>
      <c r="CO10" s="11" t="n">
        <f aca="false">Waterfall!AM7+Tax!AM27</f>
        <v>53.8218323705678</v>
      </c>
      <c r="CP10" s="11" t="n">
        <f aca="false">Waterfall!AN7+Tax!AN27</f>
        <v>54.4716823263895</v>
      </c>
      <c r="CQ10" s="11" t="n">
        <f aca="false">Waterfall!AO7+Tax!AO27</f>
        <v>51.236791126322</v>
      </c>
      <c r="CR10" s="11" t="n">
        <f aca="false">Waterfall!AP7+Tax!AP27</f>
        <v>51.9439970708815</v>
      </c>
      <c r="CS10" s="11" t="n">
        <f aca="false">Waterfall!AQ7+Tax!AQ27</f>
        <v>51.6072379710363</v>
      </c>
      <c r="CT10" s="11" t="n">
        <f aca="false">Waterfall!AR7+Tax!AR27</f>
        <v>52.2990549742112</v>
      </c>
      <c r="CU10" s="11" t="n">
        <f aca="false">Waterfall!AS7+Tax!AS27</f>
        <v>51.9367643977862</v>
      </c>
      <c r="CV10" s="11" t="n">
        <f aca="false">Waterfall!AT7+Tax!AT27</f>
        <v>52.5355710890526</v>
      </c>
      <c r="CW10" s="11" t="n">
        <f aca="false">Waterfall!AU7+Tax!AU27</f>
        <v>54.3954049150685</v>
      </c>
      <c r="CX10" s="11" t="n">
        <f aca="false">Waterfall!AV7+Tax!AV27</f>
        <v>55.3324180575057</v>
      </c>
      <c r="CY10" s="11" t="n">
        <f aca="false">Waterfall!AW7+Tax!AW27</f>
        <v>54.3776575120482</v>
      </c>
      <c r="CZ10" s="11" t="n">
        <f aca="false">Waterfall!AX7+Tax!AX27</f>
        <v>55.2061736210572</v>
      </c>
      <c r="DA10" s="11" t="n">
        <f aca="false">Waterfall!AY7+Tax!AY27</f>
        <v>54.8694383675685</v>
      </c>
      <c r="DB10" s="11" t="n">
        <f aca="false">Waterfall!AZ7+Tax!AZ27</f>
        <v>55.5937377892544</v>
      </c>
      <c r="DC10" s="11" t="n">
        <f aca="false">Waterfall!BA7+Tax!BA27</f>
        <v>55.2220365282364</v>
      </c>
      <c r="DD10" s="11" t="n">
        <f aca="false">Waterfall!BB7+Tax!BB27</f>
        <v>55.8281924526202</v>
      </c>
      <c r="DE10" s="11" t="n">
        <f aca="false">Waterfall!BC7+Tax!BC27</f>
        <v>56.4205059945193</v>
      </c>
      <c r="DF10" s="11" t="n">
        <f aca="false">Waterfall!BD7+Tax!BD27</f>
        <v>57.1312126173196</v>
      </c>
      <c r="DG10" s="11" t="n">
        <f aca="false">Waterfall!BE7+Tax!BE27</f>
        <v>53.3105386449696</v>
      </c>
      <c r="DH10" s="11" t="n">
        <f aca="false">Waterfall!BF7+Tax!BF27</f>
        <v>54.0860421331371</v>
      </c>
      <c r="DI10" s="11" t="n">
        <f aca="false">Waterfall!BG7+Tax!BG27</f>
        <v>53.7494298302207</v>
      </c>
      <c r="DJ10" s="11" t="n">
        <f aca="false">Waterfall!BH7+Tax!BH27</f>
        <v>54.5091128501268</v>
      </c>
      <c r="DK10" s="11" t="n">
        <f aca="false">Waterfall!BI7+Tax!BI27</f>
        <v>54.127070658001</v>
      </c>
      <c r="DL10" s="11" t="n">
        <f aca="false">Waterfall!BJ7+Tax!BJ27</f>
        <v>54.7984194324045</v>
      </c>
      <c r="DM10" s="11" t="n">
        <f aca="false">Waterfall!BK7+Tax!BK27</f>
        <v>57.1799683271747</v>
      </c>
      <c r="DN10" s="11" t="n">
        <f aca="false">Waterfall!BL7+Tax!BL27</f>
        <v>58.208194971124</v>
      </c>
      <c r="DO10" s="11" t="n">
        <f aca="false">Waterfall!BM7+Tax!BM27</f>
        <v>57.8713019165561</v>
      </c>
      <c r="DP10" s="11" t="n">
        <f aca="false">Waterfall!BN7+Tax!BN27</f>
        <v>51.5238210805751</v>
      </c>
    </row>
    <row r="11" customFormat="false" ht="15" hidden="false" customHeight="false" outlineLevel="0" collapsed="false">
      <c r="D11" s="0" t="s">
        <v>807</v>
      </c>
      <c r="E11" s="0" t="s">
        <v>149</v>
      </c>
      <c r="J11" s="11" t="n">
        <f aca="false">J8</f>
        <v>-14.2</v>
      </c>
      <c r="K11" s="11" t="n">
        <f aca="false">J11+K8</f>
        <v>-31.5225815486021</v>
      </c>
      <c r="L11" s="11" t="n">
        <f aca="false">K11+L8</f>
        <v>-32.164527221411</v>
      </c>
      <c r="M11" s="11" t="n">
        <f aca="false">L11+M8</f>
        <v>-32.9323463047096</v>
      </c>
      <c r="N11" s="11" t="n">
        <f aca="false">M11+N8</f>
        <v>-33.9105947374485</v>
      </c>
      <c r="O11" s="11" t="n">
        <f aca="false">N11+O8</f>
        <v>-35.1960606418017</v>
      </c>
      <c r="P11" s="11" t="n">
        <f aca="false">O11+P8</f>
        <v>-36.8451095057377</v>
      </c>
      <c r="Q11" s="11" t="n">
        <f aca="false">P11+Q8</f>
        <v>-38.8860450921102</v>
      </c>
      <c r="R11" s="11" t="n">
        <f aca="false">Q11+R8</f>
        <v>-41.4008175934756</v>
      </c>
      <c r="S11" s="11" t="n">
        <f aca="false">R11+S8</f>
        <v>-44.3816479604021</v>
      </c>
      <c r="T11" s="11" t="n">
        <f aca="false">S11+T8</f>
        <v>-47.8548181002506</v>
      </c>
      <c r="U11" s="11" t="n">
        <f aca="false">T11+U8</f>
        <v>-51.7984403005226</v>
      </c>
      <c r="V11" s="11" t="n">
        <f aca="false">U11+V8</f>
        <v>-56.2086640255136</v>
      </c>
      <c r="W11" s="11" t="n">
        <f aca="false">V11+W8</f>
        <v>-61.0695267908094</v>
      </c>
      <c r="X11" s="11" t="n">
        <f aca="false">W11+X8</f>
        <v>-66.3428796950257</v>
      </c>
      <c r="Y11" s="11" t="n">
        <f aca="false">X11+Y8</f>
        <v>-72.0092367371039</v>
      </c>
      <c r="Z11" s="11" t="n">
        <f aca="false">Y11+Z8</f>
        <v>-78.006951387417</v>
      </c>
      <c r="AA11" s="11" t="n">
        <f aca="false">Z11+AA8</f>
        <v>-84.3055728930314</v>
      </c>
      <c r="AB11" s="11" t="n">
        <f aca="false">AA11+AB8</f>
        <v>-91.1251277264353</v>
      </c>
      <c r="AC11" s="11" t="n">
        <f aca="false">AB11+AC8</f>
        <v>-97.8005012257879</v>
      </c>
      <c r="AD11" s="11" t="n">
        <f aca="false">AC11+AD8</f>
        <v>-104.615815741362</v>
      </c>
      <c r="AE11" s="11" t="n">
        <f aca="false">AD11+AE8</f>
        <v>-111.567700862258</v>
      </c>
      <c r="AF11" s="11" t="n">
        <f aca="false">AE11+AF8</f>
        <v>-118.526006610809</v>
      </c>
      <c r="AG11" s="11" t="n">
        <f aca="false">AF11+AG8</f>
        <v>-125.404452994188</v>
      </c>
      <c r="AH11" s="11" t="n">
        <f aca="false">AG11+AH8</f>
        <v>-132.146259698523</v>
      </c>
      <c r="AI11" s="11" t="n">
        <f aca="false">AH11+AI8</f>
        <v>-138.698978777318</v>
      </c>
      <c r="AJ11" s="11" t="n">
        <f aca="false">AI11+AJ8</f>
        <v>-144.993185955094</v>
      </c>
      <c r="AK11" s="11" t="n">
        <f aca="false">AJ11+AK8</f>
        <v>-151.420310151521</v>
      </c>
      <c r="AL11" s="11" t="n">
        <f aca="false">AK11+AL8</f>
        <v>-157.490926675855</v>
      </c>
      <c r="AM11" s="11" t="n">
        <f aca="false">AL11+AM8</f>
        <v>-163.192988335134</v>
      </c>
      <c r="AN11" s="11" t="n">
        <f aca="false">AM11+AN8</f>
        <v>-168.608500474048</v>
      </c>
      <c r="AO11" s="11" t="n">
        <f aca="false">AN11+AO8</f>
        <v>-173.541499847219</v>
      </c>
      <c r="AP11" s="11" t="n">
        <f aca="false">AO11+AP8</f>
        <v>-178.066676303457</v>
      </c>
      <c r="AQ11" s="11" t="n">
        <f aca="false">AP11+AQ8</f>
        <v>-181.612282820988</v>
      </c>
      <c r="AR11" s="11" t="n">
        <f aca="false">AQ11+AR8</f>
        <v>-185.076191098668</v>
      </c>
      <c r="AS11" s="11" t="n">
        <f aca="false">AR11+AS8</f>
        <v>-187.730296568661</v>
      </c>
      <c r="AT11" s="11" t="n">
        <f aca="false">AS11+AT8</f>
        <v>-189.807452727547</v>
      </c>
      <c r="AU11" s="11" t="n">
        <f aca="false">AT11+AU8</f>
        <v>-191.267811296974</v>
      </c>
      <c r="AV11" s="11" t="n">
        <f aca="false">AU11+AV8</f>
        <v>-193.124732766066</v>
      </c>
      <c r="AW11" s="11" t="n">
        <f aca="false">AV11+AW8</f>
        <v>-194.270089997468</v>
      </c>
      <c r="AX11" s="11" t="n">
        <f aca="false">AW11+AX8</f>
        <v>-210.063854089019</v>
      </c>
      <c r="AY11" s="11" t="n">
        <f aca="false">AX11+AY8</f>
        <v>-219.612816616811</v>
      </c>
      <c r="AZ11" s="11" t="n">
        <f aca="false">AY11+AZ8</f>
        <v>-219.612816616811</v>
      </c>
      <c r="BA11" s="11" t="n">
        <f aca="false">AZ11+BA8</f>
        <v>-219.612816616811</v>
      </c>
      <c r="BB11" s="11" t="n">
        <f aca="false">BA11+BB8</f>
        <v>-219.612816616811</v>
      </c>
      <c r="BC11" s="11" t="n">
        <f aca="false">BB11+BC8</f>
        <v>-219.612816616811</v>
      </c>
      <c r="BD11" s="11" t="n">
        <f aca="false">BC11+BD8</f>
        <v>-219.612816616811</v>
      </c>
      <c r="BE11" s="11" t="n">
        <f aca="false">BD11+BE8</f>
        <v>-219.612816616811</v>
      </c>
      <c r="BF11" s="11" t="n">
        <f aca="false">BE11+BF8</f>
        <v>-219.612816616811</v>
      </c>
      <c r="BG11" s="11" t="n">
        <f aca="false">BF11+BG8</f>
        <v>-219.612816616811</v>
      </c>
      <c r="BH11" s="11" t="n">
        <f aca="false">BG11+BH8</f>
        <v>-219.612816616811</v>
      </c>
      <c r="BI11" s="11" t="n">
        <f aca="false">BH11+BI8</f>
        <v>-219.612816616811</v>
      </c>
      <c r="BJ11" s="11" t="n">
        <f aca="false">BI11+BJ8</f>
        <v>-219.612816616811</v>
      </c>
      <c r="BK11" s="11" t="n">
        <f aca="false">BJ11+BK8</f>
        <v>-219.612816616811</v>
      </c>
      <c r="BL11" s="11" t="n">
        <f aca="false">BK11+BL8</f>
        <v>-219.612816616811</v>
      </c>
      <c r="BM11" s="11" t="n">
        <f aca="false">BL11+BM8</f>
        <v>-219.612816616811</v>
      </c>
      <c r="BN11" s="11" t="n">
        <f aca="false">BM11+BN8</f>
        <v>-219.612816616811</v>
      </c>
      <c r="BO11" s="11" t="n">
        <f aca="false">BN11+BO8</f>
        <v>-219.612816616811</v>
      </c>
      <c r="BP11" s="11" t="n">
        <f aca="false">BO11+BP8</f>
        <v>-219.612816616811</v>
      </c>
      <c r="BQ11" s="11" t="n">
        <f aca="false">BP11+BQ8</f>
        <v>-219.612816616811</v>
      </c>
      <c r="BR11" s="11" t="n">
        <f aca="false">BQ11+BR8</f>
        <v>-219.612816616811</v>
      </c>
      <c r="BS11" s="11" t="n">
        <f aca="false">BR11+BS8</f>
        <v>-201.933522781898</v>
      </c>
      <c r="BT11" s="11" t="n">
        <f aca="false">BS11+BT8</f>
        <v>-201.933522781898</v>
      </c>
      <c r="BU11" s="11" t="n">
        <f aca="false">BT11+BU8</f>
        <v>-201.933522781898</v>
      </c>
      <c r="BV11" s="11" t="n">
        <f aca="false">BU11+BV8</f>
        <v>-201.933522781898</v>
      </c>
      <c r="BW11" s="11" t="n">
        <f aca="false">BV11+BW8</f>
        <v>-201.933522781898</v>
      </c>
      <c r="BX11" s="11" t="n">
        <f aca="false">BW11+BX8</f>
        <v>-155.543227934167</v>
      </c>
      <c r="BY11" s="11" t="n">
        <f aca="false">BX11+BY8</f>
        <v>-132.163924174204</v>
      </c>
      <c r="BZ11" s="11" t="n">
        <f aca="false">BY11+BZ8</f>
        <v>-110.883680024819</v>
      </c>
      <c r="CA11" s="11" t="n">
        <f aca="false">BZ11+CA8</f>
        <v>-92.5988174613413</v>
      </c>
      <c r="CB11" s="11" t="n">
        <f aca="false">CA11+CB8</f>
        <v>-73.2423865274676</v>
      </c>
      <c r="CC11" s="11" t="n">
        <f aca="false">CB11+CC8</f>
        <v>-54.8720947513597</v>
      </c>
      <c r="CD11" s="11" t="n">
        <f aca="false">CC11+CD8</f>
        <v>-35.6178218082114</v>
      </c>
      <c r="CE11" s="11" t="n">
        <f aca="false">CD11+CE8</f>
        <v>-17.0261222802363</v>
      </c>
      <c r="CF11" s="11" t="n">
        <f aca="false">CE11+CF8</f>
        <v>1.23558800032152</v>
      </c>
      <c r="CG11" s="11" t="n">
        <f aca="false">CF11+CG8</f>
        <v>20.4044757115117</v>
      </c>
      <c r="CH11" s="11" t="n">
        <f aca="false">CG11+CH8</f>
        <v>40.9285286640663</v>
      </c>
      <c r="CI11" s="11" t="n">
        <f aca="false">CH11+CI8</f>
        <v>60.174883988657</v>
      </c>
      <c r="CJ11" s="11" t="n">
        <f aca="false">CI11+CJ8</f>
        <v>80.3888387586733</v>
      </c>
      <c r="CK11" s="11" t="n">
        <f aca="false">CJ11+CK8</f>
        <v>99.8561762820029</v>
      </c>
      <c r="CL11" s="11" t="n">
        <f aca="false">CK11+CL8</f>
        <v>120.203745363775</v>
      </c>
      <c r="CM11" s="11" t="n">
        <f aca="false">CL11+CM8</f>
        <v>139.859065636743</v>
      </c>
      <c r="CN11" s="11" t="n">
        <f aca="false">CM11+CN8</f>
        <v>160.654740744936</v>
      </c>
      <c r="CO11" s="11" t="n">
        <f aca="false">CN11+CO8</f>
        <v>184.140993840739</v>
      </c>
      <c r="CP11" s="11" t="n">
        <f aca="false">CO11+CP8</f>
        <v>203.836444985498</v>
      </c>
      <c r="CQ11" s="11" t="n">
        <f aca="false">CP11+CQ8</f>
        <v>219.81537699619</v>
      </c>
      <c r="CR11" s="11" t="n">
        <f aca="false">CQ11+CR8</f>
        <v>236.674634064312</v>
      </c>
      <c r="CS11" s="11" t="n">
        <f aca="false">CR11+CS8</f>
        <v>252.63963404784</v>
      </c>
      <c r="CT11" s="11" t="n">
        <f aca="false">CS11+CT8</f>
        <v>269.40071763895</v>
      </c>
      <c r="CU11" s="11" t="n">
        <f aca="false">CT11+CU8</f>
        <v>285.340332235599</v>
      </c>
      <c r="CV11" s="11" t="n">
        <f aca="false">CU11+CV8</f>
        <v>297.494907932402</v>
      </c>
      <c r="CW11" s="11" t="n">
        <f aca="false">CV11+CW8</f>
        <v>346.451678052069</v>
      </c>
      <c r="CX11" s="11" t="n">
        <f aca="false">CW11+CX8</f>
        <v>390.960758007143</v>
      </c>
      <c r="CY11" s="11" t="n">
        <f aca="false">CX11+CY8</f>
        <v>434.461212676213</v>
      </c>
      <c r="CZ11" s="11" t="n">
        <f aca="false">CY11+CZ8</f>
        <v>478.735220402377</v>
      </c>
      <c r="DA11" s="11" t="n">
        <f aca="false">CZ11+DA8</f>
        <v>522.605355173133</v>
      </c>
      <c r="DB11" s="11" t="n">
        <f aca="false">DA11+DB8</f>
        <v>567.150874017612</v>
      </c>
      <c r="DC11" s="11" t="n">
        <f aca="false">DB11+DC8</f>
        <v>611.294326607008</v>
      </c>
      <c r="DD11" s="11" t="n">
        <f aca="false">DC11+DD8</f>
        <v>655.69606345136</v>
      </c>
      <c r="DE11" s="11" t="n">
        <f aca="false">DD11+DE8</f>
        <v>700.351183836472</v>
      </c>
      <c r="DF11" s="11" t="n">
        <f aca="false">DE11+DF8</f>
        <v>743.531104823271</v>
      </c>
      <c r="DG11" s="11" t="n">
        <f aca="false">DF11+DG8</f>
        <v>778.282460206717</v>
      </c>
      <c r="DH11" s="11" t="n">
        <f aca="false">DG11+DH8</f>
        <v>813.729276396694</v>
      </c>
      <c r="DI11" s="11" t="n">
        <f aca="false">DH11+DI8</f>
        <v>848.746077831459</v>
      </c>
      <c r="DJ11" s="11" t="n">
        <f aca="false">DI11+DJ8</f>
        <v>884.448824536436</v>
      </c>
      <c r="DK11" s="11" t="n">
        <f aca="false">DJ11+DK8</f>
        <v>919.716638968545</v>
      </c>
      <c r="DL11" s="11" t="n">
        <f aca="false">DK11+DL8</f>
        <v>955.551825422439</v>
      </c>
      <c r="DM11" s="11" t="n">
        <f aca="false">DL11+DM8</f>
        <v>999.649380479344</v>
      </c>
      <c r="DN11" s="11" t="n">
        <f aca="false">DM11+DN8</f>
        <v>1038.75388463011</v>
      </c>
      <c r="DO11" s="11" t="n">
        <f aca="false">DN11+DO8</f>
        <v>1077.45266122069</v>
      </c>
      <c r="DP11" s="11" t="n">
        <f aca="false">DO11+DP8</f>
        <v>1141.15907712556</v>
      </c>
    </row>
    <row r="12" customFormat="false" ht="15" hidden="false" customHeight="false" outlineLevel="0" collapsed="false">
      <c r="D12" s="0" t="s">
        <v>808</v>
      </c>
      <c r="E12" s="0" t="s">
        <v>103</v>
      </c>
      <c r="F12" s="18" t="n">
        <f aca="false">XIRR(Returns!$J$8:$DP$8,Returns!$J$7:$DP$7)</f>
        <v>0.134467608027758</v>
      </c>
    </row>
    <row r="13" customFormat="false" ht="15" hidden="false" customHeight="false" outlineLevel="0" collapsed="false">
      <c r="D13" s="0" t="s">
        <v>809</v>
      </c>
      <c r="E13" s="0" t="s">
        <v>103</v>
      </c>
      <c r="F13" s="18" t="n">
        <f aca="false">XIRR(Returns!$J$9:$DP$9,Returns!$J$7:$DP$7,0.1)</f>
        <v>0.10546371108169</v>
      </c>
    </row>
    <row r="14" customFormat="false" ht="15" hidden="false" customHeight="false" outlineLevel="0" collapsed="false">
      <c r="D14" s="0" t="s">
        <v>810</v>
      </c>
      <c r="E14" s="0" t="s">
        <v>103</v>
      </c>
      <c r="F14" s="18" t="n">
        <f aca="false">XIRR(Returns!$J$10:$DP$10,Returns!$J$7:$DP$7,0.1)</f>
        <v>0.111999316288061</v>
      </c>
    </row>
    <row r="15" customFormat="false" ht="15" hidden="false" customHeight="false" outlineLevel="0" collapsed="false">
      <c r="D15" s="0" t="s">
        <v>811</v>
      </c>
      <c r="E15" s="0" t="s">
        <v>149</v>
      </c>
      <c r="F15" s="19" t="n">
        <f aca="false">XNPV(0.16,Returns!$J$8:$DP$8,Returns!$J$7:$DP$7)*1.16^((DATE(2018,7,17)-DATE(2018,2,5))/365)</f>
        <v>-38.0108611076322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812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813</v>
      </c>
      <c r="E7" s="0" t="s">
        <v>814</v>
      </c>
      <c r="F7" s="6" t="n">
        <f aca="false">ROUND(SUM(Funding!$J$73:$BJ$73)+SUM(Funding!$J$67:$BJ$67)+SUM(Funding!$J$53:$BJ$53)-SUM(Funding!$J$49:$BJ$49),6)</f>
        <v>0</v>
      </c>
    </row>
    <row r="8" customFormat="false" ht="15" hidden="false" customHeight="false" outlineLevel="0" collapsed="false">
      <c r="D8" s="0" t="s">
        <v>815</v>
      </c>
      <c r="E8" s="0" t="s">
        <v>814</v>
      </c>
      <c r="F8" s="6" t="n">
        <f aca="false">IF(Inputs!$F$34=1,ROUND(SUM(Funding!$J$47:$BJ$47)-Funding!$F$25,4),0)</f>
        <v>0</v>
      </c>
    </row>
    <row r="9" customFormat="false" ht="15" hidden="false" customHeight="false" outlineLevel="0" collapsed="false">
      <c r="D9" s="0" t="s">
        <v>816</v>
      </c>
      <c r="E9" s="0" t="s">
        <v>814</v>
      </c>
      <c r="F9" s="6" t="n">
        <f aca="false">IF(Inputs!$F$51=2,ROUND(Funding!$F$24-Funding!$F$75,4),0)</f>
        <v>0</v>
      </c>
    </row>
    <row r="10" customFormat="false" ht="15" hidden="false" customHeight="false" outlineLevel="0" collapsed="false">
      <c r="D10" s="0" t="s">
        <v>817</v>
      </c>
      <c r="E10" s="0" t="s">
        <v>814</v>
      </c>
      <c r="F10" s="6" t="n">
        <f aca="false">ROUND(MAX(MAX(Financials!$J$29:$BN$29),-MIN(Financials!$J$29:$BN$29)),4)</f>
        <v>-0</v>
      </c>
    </row>
    <row r="11" customFormat="false" ht="15" hidden="false" customHeight="false" outlineLevel="0" collapsed="false">
      <c r="D11" s="0" t="s">
        <v>818</v>
      </c>
      <c r="E11" s="0" t="s">
        <v>814</v>
      </c>
      <c r="F11" s="6" t="n">
        <f aca="false">ROUND(SUM(Waterfall!$J$12:$BN$12),4)</f>
        <v>0</v>
      </c>
    </row>
    <row r="12" customFormat="false" ht="15" hidden="false" customHeight="false" outlineLevel="0" collapsed="false">
      <c r="D12" s="0" t="s">
        <v>819</v>
      </c>
      <c r="E12" s="0" t="s">
        <v>814</v>
      </c>
      <c r="F12" s="6" t="n">
        <f aca="false">ROUND(INDEX(Debt!$J$123:$BN$123,1,57),4)</f>
        <v>0</v>
      </c>
    </row>
    <row r="13" customFormat="false" ht="15" hidden="false" customHeight="false" outlineLevel="0" collapsed="false">
      <c r="D13" s="0" t="s">
        <v>820</v>
      </c>
      <c r="E13" s="0" t="s">
        <v>814</v>
      </c>
      <c r="F13" s="6" t="n">
        <f aca="false">ROUND(MAX(MAX(Debt!$J$143:$BN$143),-MIN(Debt!$J$143:$BN$143)),3)</f>
        <v>-0</v>
      </c>
    </row>
    <row r="14" customFormat="false" ht="15" hidden="false" customHeight="false" outlineLevel="0" collapsed="false">
      <c r="D14" s="0" t="s">
        <v>821</v>
      </c>
      <c r="E14" s="0" t="s">
        <v>814</v>
      </c>
      <c r="F14" s="6" t="n">
        <f aca="false">IF(Inputs!$F$8=1,IF(Funding!$F$25&lt;=MIN(Debt!$F$138,Debt!$F$139)+0.001,0,1),0)</f>
        <v>0</v>
      </c>
    </row>
    <row r="15" customFormat="false" ht="15" hidden="false" customHeight="false" outlineLevel="0" collapsed="false">
      <c r="D15" s="0" t="s">
        <v>822</v>
      </c>
      <c r="E15" s="0" t="s">
        <v>814</v>
      </c>
      <c r="F15" s="6" t="n">
        <f aca="false">IF(MAX(Construction!$J$35:$BJ$35)&lt;=Inputs!$F$72,0,1)</f>
        <v>0</v>
      </c>
    </row>
    <row r="16" customFormat="false" ht="15" hidden="false" customHeight="false" outlineLevel="0" collapsed="false">
      <c r="D16" s="0" t="s">
        <v>823</v>
      </c>
      <c r="E16" s="0" t="s">
        <v>814</v>
      </c>
      <c r="F16" s="6" t="n">
        <f aca="false">IF(AND(SUM(Funding!$J$55:$BJ$55)&lt;=Inputs!$F$99+0.000001,SUM(Funding!$J$56:$BJ$56)&lt;=Inputs!$F$103+0.000001),0,1)</f>
        <v>0</v>
      </c>
    </row>
    <row r="17" customFormat="false" ht="15" hidden="false" customHeight="false" outlineLevel="0" collapsed="false">
      <c r="D17" s="0" t="s">
        <v>824</v>
      </c>
      <c r="E17" s="0" t="s">
        <v>814</v>
      </c>
      <c r="F17" s="6" t="n">
        <f aca="false">IF(Inputs!$F$75*Funding!$F$25&lt;=224.1,0,1)</f>
        <v>0</v>
      </c>
    </row>
    <row r="18" customFormat="false" ht="15" hidden="false" customHeight="false" outlineLevel="0" collapsed="false">
      <c r="D18" s="0" t="s">
        <v>825</v>
      </c>
      <c r="E18" s="0" t="s">
        <v>814</v>
      </c>
      <c r="F18" s="6" t="n">
        <f aca="false">IF(MIN(Reserves!$J$8:$BN$8)&gt;=-0.000001,0,1)</f>
        <v>0</v>
      </c>
    </row>
    <row r="19" customFormat="false" ht="15" hidden="false" customHeight="false" outlineLevel="0" collapsed="false">
      <c r="D19" s="0" t="s">
        <v>826</v>
      </c>
      <c r="E19" s="0" t="s">
        <v>814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828</v>
      </c>
      <c r="E7" s="0" t="s">
        <v>149</v>
      </c>
      <c r="F7" s="20" t="n">
        <f aca="false">Funding!$F$75</f>
        <v>846.528772392938</v>
      </c>
    </row>
    <row r="8" customFormat="false" ht="15" hidden="false" customHeight="false" outlineLevel="0" collapsed="false">
      <c r="D8" s="0" t="s">
        <v>829</v>
      </c>
      <c r="E8" s="0" t="s">
        <v>149</v>
      </c>
      <c r="F8" s="20" t="n">
        <f aca="false">Funding!$F$25</f>
        <v>633.255975542774</v>
      </c>
    </row>
    <row r="9" customFormat="false" ht="15" hidden="false" customHeight="false" outlineLevel="0" collapsed="false">
      <c r="D9" s="0" t="s">
        <v>830</v>
      </c>
      <c r="E9" s="0" t="s">
        <v>149</v>
      </c>
      <c r="F9" s="20" t="n">
        <f aca="false">SUM(Funding!$J$67:$BJ$67)</f>
        <v>219.612816616811</v>
      </c>
    </row>
    <row r="10" customFormat="false" ht="15" hidden="false" customHeight="false" outlineLevel="0" collapsed="false">
      <c r="D10" s="0" t="s">
        <v>831</v>
      </c>
      <c r="E10" s="0" t="s">
        <v>103</v>
      </c>
      <c r="F10" s="18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832</v>
      </c>
      <c r="E11" s="0" t="s">
        <v>149</v>
      </c>
      <c r="F11" s="20" t="n">
        <f aca="false">SUM(Funding!$J$33:$BJ$33)+SUM(Funding!$J$34:$BJ$34)+SUM(Funding!$J$35:$BJ$35)+SUM(Funding!$J$36:$BJ$36)+SUM(Funding!$J$37:$BJ$37)+SUM(Funding!$J$39:$BJ$39)+SUM(Funding!$J$38:$BJ$38)</f>
        <v>62.5210389859123</v>
      </c>
    </row>
    <row r="12" customFormat="false" ht="15" hidden="false" customHeight="false" outlineLevel="0" collapsed="false">
      <c r="D12" s="0" t="s">
        <v>833</v>
      </c>
      <c r="E12" s="0" t="s">
        <v>149</v>
      </c>
      <c r="F12" s="20" t="n">
        <f aca="false">SUM(Funding!$J$40:$BJ$40)+SUM(Funding!$J$41:$BJ$41)+SUM(Funding!$J$42:$BJ$42)+SUM(Funding!$J$43:$BJ$43)</f>
        <v>23.1305610858853</v>
      </c>
    </row>
    <row r="13" customFormat="false" ht="15" hidden="false" customHeight="false" outlineLevel="0" collapsed="false">
      <c r="D13" s="0" t="s">
        <v>834</v>
      </c>
      <c r="E13" s="0" t="s">
        <v>149</v>
      </c>
      <c r="F13" s="20" t="n">
        <f aca="false">SUM(Funding!$J$48:$BJ$48)</f>
        <v>20.406114360513</v>
      </c>
    </row>
    <row r="14" customFormat="false" ht="15" hidden="false" customHeight="false" outlineLevel="0" collapsed="false">
      <c r="D14" s="0" t="s">
        <v>835</v>
      </c>
      <c r="E14" s="0" t="s">
        <v>149</v>
      </c>
      <c r="F14" s="20" t="n">
        <f aca="false">SUM(Funding!$J$44:$BJ$44)</f>
        <v>33.8418354545237</v>
      </c>
    </row>
    <row r="15" customFormat="false" ht="15" hidden="false" customHeight="false" outlineLevel="0" collapsed="false">
      <c r="D15" s="0" t="s">
        <v>836</v>
      </c>
      <c r="E15" s="0" t="s">
        <v>149</v>
      </c>
      <c r="F15" s="20" t="n">
        <f aca="false">SUM(Funding!$J$55:$BJ$55)</f>
        <v>0</v>
      </c>
    </row>
    <row r="16" customFormat="false" ht="15" hidden="false" customHeight="false" outlineLevel="0" collapsed="false">
      <c r="D16" s="0" t="s">
        <v>837</v>
      </c>
      <c r="E16" s="0" t="s">
        <v>149</v>
      </c>
      <c r="F16" s="20" t="n">
        <f aca="false">SUM(Funding!$J$56:$BJ$56)</f>
        <v>0</v>
      </c>
    </row>
    <row r="17" customFormat="false" ht="15" hidden="false" customHeight="false" outlineLevel="0" collapsed="false">
      <c r="D17" s="0" t="s">
        <v>796</v>
      </c>
      <c r="E17" s="0" t="s">
        <v>202</v>
      </c>
      <c r="F17" s="20" t="n">
        <f aca="false">Ratios!$F$16</f>
        <v>0.936991778028699</v>
      </c>
    </row>
    <row r="18" customFormat="false" ht="15" hidden="false" customHeight="false" outlineLevel="0" collapsed="false">
      <c r="D18" s="0" t="s">
        <v>838</v>
      </c>
      <c r="E18" s="0" t="s">
        <v>202</v>
      </c>
      <c r="F18" s="20" t="n">
        <f aca="false">Ratios!$F$17</f>
        <v>1.52674216802248</v>
      </c>
    </row>
    <row r="19" customFormat="false" ht="15" hidden="false" customHeight="false" outlineLevel="0" collapsed="false">
      <c r="D19" s="0" t="s">
        <v>839</v>
      </c>
      <c r="E19" s="0" t="s">
        <v>202</v>
      </c>
      <c r="F19" s="20" t="n">
        <f aca="false">Ratios!$F$18</f>
        <v>1.50268648541574</v>
      </c>
    </row>
    <row r="20" customFormat="false" ht="15" hidden="false" customHeight="false" outlineLevel="0" collapsed="false">
      <c r="D20" s="0" t="s">
        <v>799</v>
      </c>
      <c r="E20" s="0" t="s">
        <v>202</v>
      </c>
      <c r="F20" s="20" t="n">
        <f aca="false">Ratios!$F$19</f>
        <v>1.72669421259678</v>
      </c>
    </row>
    <row r="21" customFormat="false" ht="15" hidden="false" customHeight="false" outlineLevel="0" collapsed="false">
      <c r="D21" s="0" t="s">
        <v>840</v>
      </c>
      <c r="E21" s="0" t="s">
        <v>103</v>
      </c>
      <c r="F21" s="18" t="n">
        <f aca="false">Returns!$F$12</f>
        <v>0.134467608027758</v>
      </c>
    </row>
    <row r="22" customFormat="false" ht="15" hidden="false" customHeight="false" outlineLevel="0" collapsed="false">
      <c r="D22" s="0" t="s">
        <v>841</v>
      </c>
      <c r="E22" s="0" t="s">
        <v>103</v>
      </c>
      <c r="F22" s="18" t="n">
        <f aca="false">Returns!$F$13</f>
        <v>0.10546371108169</v>
      </c>
    </row>
    <row r="23" customFormat="false" ht="15" hidden="false" customHeight="false" outlineLevel="0" collapsed="false">
      <c r="D23" s="0" t="s">
        <v>842</v>
      </c>
      <c r="E23" s="0" t="s">
        <v>149</v>
      </c>
      <c r="F23" s="20" t="n">
        <f aca="false">Returns!$F$15</f>
        <v>-38.0108611076322</v>
      </c>
    </row>
    <row r="24" customFormat="false" ht="15" hidden="false" customHeight="false" outlineLevel="0" collapsed="false">
      <c r="D24" s="0" t="s">
        <v>843</v>
      </c>
      <c r="E24" s="0" t="s">
        <v>814</v>
      </c>
      <c r="F24" s="20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2026-10-03T21:13:57Z</dcterms:created>
  <dc:creator>openpyxl</dc:creator>
  <dc:description/>
  <dc:language>en-US</dc:language>
  <cp:lastModifiedBy/>
  <dcterms:modified xsi:type="dcterms:W3CDTF">2026-10-03T21:13:57Z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