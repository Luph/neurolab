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<sst xmlns="http://schemas.openxmlformats.org/spreadsheetml/2006/main" count="2268" uniqueCount="840">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</sst>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9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2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5.11</v>
      </c>
      <c r="R9" s="11" t="n">
        <f aca="false">R8+Inputs!$F$41*Time!R34</f>
        <v>5.11</v>
      </c>
      <c r="S9" s="11" t="n">
        <f aca="false">S8+Inputs!$F$41*Time!S34</f>
        <v>5.12</v>
      </c>
      <c r="T9" s="11" t="n">
        <f aca="false">T8+Inputs!$F$41*Time!T34</f>
        <v>5.12</v>
      </c>
      <c r="U9" s="11" t="n">
        <f aca="false">U8+Inputs!$F$41*Time!U34</f>
        <v>5.12</v>
      </c>
      <c r="V9" s="11" t="n">
        <f aca="false">V8+Inputs!$F$41*Time!V34</f>
        <v>5.12</v>
      </c>
      <c r="W9" s="11" t="n">
        <f aca="false">W8+Inputs!$F$41*Time!W34</f>
        <v>5.12</v>
      </c>
      <c r="X9" s="11" t="n">
        <f aca="false">X8+Inputs!$F$41*Time!X34</f>
        <v>5.12</v>
      </c>
      <c r="Y9" s="11" t="n">
        <f aca="false">Y8+Inputs!$F$41*Time!Y34</f>
        <v>5.12</v>
      </c>
      <c r="Z9" s="11" t="n">
        <f aca="false">Z8+Inputs!$F$41*Time!Z34</f>
        <v>5.12</v>
      </c>
      <c r="AA9" s="11" t="n">
        <f aca="false">AA8+Inputs!$F$41*Time!AA34</f>
        <v>5.12</v>
      </c>
      <c r="AB9" s="11" t="n">
        <f aca="false">AB8+Inputs!$F$41*Time!AB34</f>
        <v>5.12</v>
      </c>
      <c r="AC9" s="11" t="n">
        <f aca="false">AC8+Inputs!$F$41*Time!AC34</f>
        <v>5.12</v>
      </c>
      <c r="AD9" s="11" t="n">
        <f aca="false">AD8+Inputs!$F$41*Time!AD34</f>
        <v>5.12</v>
      </c>
      <c r="AE9" s="11" t="n">
        <f aca="false">AE8+Inputs!$F$41*Time!AE34</f>
        <v>5.12</v>
      </c>
      <c r="AF9" s="11" t="n">
        <f aca="false">AF8+Inputs!$F$41*Time!AF34</f>
        <v>5.12</v>
      </c>
      <c r="AG9" s="11" t="n">
        <f aca="false">AG8+Inputs!$F$41*Time!AG34</f>
        <v>5.12</v>
      </c>
      <c r="AH9" s="11" t="n">
        <f aca="false">AH8+Inputs!$F$41*Time!AH34</f>
        <v>5.12</v>
      </c>
      <c r="AI9" s="11" t="n">
        <f aca="false">AI8+Inputs!$F$41*Time!AI34</f>
        <v>5.12</v>
      </c>
      <c r="AJ9" s="11" t="n">
        <f aca="false">AJ8+Inputs!$F$41*Time!AJ34</f>
        <v>5.12</v>
      </c>
      <c r="AK9" s="11" t="n">
        <f aca="false">AK8+Inputs!$F$41*Time!AK34</f>
        <v>5.12</v>
      </c>
      <c r="AL9" s="11" t="n">
        <f aca="false">AL8+Inputs!$F$41*Time!AL34</f>
        <v>5.12</v>
      </c>
      <c r="AM9" s="11" t="n">
        <f aca="false">AM8+Inputs!$F$41*Time!AM34</f>
        <v>5.12</v>
      </c>
      <c r="AN9" s="11" t="n">
        <f aca="false">AN8+Inputs!$F$41*Time!AN34</f>
        <v>5.12</v>
      </c>
      <c r="AO9" s="11" t="n">
        <f aca="false">AO8+Inputs!$F$41*Time!AO34</f>
        <v>5.12</v>
      </c>
      <c r="AP9" s="11" t="n">
        <f aca="false">AP8+Inputs!$F$41*Time!AP34</f>
        <v>5.12</v>
      </c>
      <c r="AQ9" s="11" t="n">
        <f aca="false">AQ8+Inputs!$F$41*Time!AQ34</f>
        <v>5.12</v>
      </c>
      <c r="AR9" s="11" t="n">
        <f aca="false">AR8+Inputs!$F$41*Time!AR34</f>
        <v>5.12</v>
      </c>
      <c r="AS9" s="11" t="n">
        <f aca="false">AS8+Inputs!$F$41*Time!AS34</f>
        <v>5.12</v>
      </c>
      <c r="AT9" s="11" t="n">
        <f aca="false">AT8+Inputs!$F$41*Time!AT34</f>
        <v>5.12</v>
      </c>
      <c r="AU9" s="11" t="n">
        <f aca="false">AU8+Inputs!$F$41*Time!AU34</f>
        <v>5.12</v>
      </c>
      <c r="AV9" s="11" t="n">
        <f aca="false">AV8+Inputs!$F$41*Time!AV34</f>
        <v>5.12</v>
      </c>
      <c r="AW9" s="11" t="n">
        <f aca="false">AW8+Inputs!$F$41*Time!AW34</f>
        <v>5.12</v>
      </c>
      <c r="AX9" s="11" t="n">
        <f aca="false">AX8+Inputs!$F$41*Time!AX34</f>
        <v>5.12</v>
      </c>
      <c r="AY9" s="11" t="n">
        <f aca="false">AY8+Inputs!$F$41*Time!AY34</f>
        <v>5.12</v>
      </c>
      <c r="AZ9" s="11" t="n">
        <f aca="false">AZ8+Inputs!$F$41*Time!AZ34</f>
        <v>5.12</v>
      </c>
      <c r="BA9" s="11" t="n">
        <f aca="false">BA8+Inputs!$F$41*Time!BA34</f>
        <v>5.12</v>
      </c>
      <c r="BB9" s="11" t="n">
        <f aca="false">BB8+Inputs!$F$41*Time!BB34</f>
        <v>5.12</v>
      </c>
      <c r="BC9" s="11" t="n">
        <f aca="false">BC8+Inputs!$F$41*Time!BC34</f>
        <v>5.12</v>
      </c>
      <c r="BD9" s="11" t="n">
        <f aca="false">BD8+Inputs!$F$41*Time!BD34</f>
        <v>5.12</v>
      </c>
      <c r="BE9" s="11" t="n">
        <f aca="false">BE8+Inputs!$F$41*Time!BE34</f>
        <v>5.12</v>
      </c>
      <c r="BF9" s="11" t="n">
        <f aca="false">BF8+Inputs!$F$41*Time!BF34</f>
        <v>5.12</v>
      </c>
      <c r="BG9" s="11" t="n">
        <f aca="false">BG8+Inputs!$F$41*Time!BG34</f>
        <v>5.12</v>
      </c>
      <c r="BH9" s="11" t="n">
        <f aca="false">BH8+Inputs!$F$41*Time!BH34</f>
        <v>5.12</v>
      </c>
      <c r="BI9" s="11" t="n">
        <f aca="false">BI8+Inputs!$F$41*Time!BI34</f>
        <v>5.12</v>
      </c>
      <c r="BJ9" s="11" t="n">
        <f aca="false">BJ8+Inputs!$F$41*Time!BJ34</f>
        <v>5.12</v>
      </c>
      <c r="BK9" s="11" t="n">
        <f aca="false">BK8+Inputs!$F$41*Time!BK34</f>
        <v>5.12</v>
      </c>
      <c r="BL9" s="11" t="n">
        <f aca="false">BL8+Inputs!$F$41*Time!BL34</f>
        <v>5.12</v>
      </c>
      <c r="BM9" s="11" t="n">
        <f aca="false">BM8+Inputs!$F$41*Time!BM34</f>
        <v>5.12</v>
      </c>
      <c r="BN9" s="11" t="n">
        <f aca="false">BN8+Inputs!$F$41*Time!BN34</f>
        <v>5.12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6926.36858670277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108.718867147168</v>
      </c>
      <c r="Q78" s="11" t="n">
        <f aca="false">Q67+Q69+Q70+Q71+Q74+Q77</f>
        <v>110.068070954753</v>
      </c>
      <c r="R78" s="11" t="n">
        <f aca="false">R67+R69+R70+R71+R74+R77</f>
        <v>109.819523111887</v>
      </c>
      <c r="S78" s="11" t="n">
        <f aca="false">S67+S69+S70+S71+S74+S77</f>
        <v>111.876789484592</v>
      </c>
      <c r="T78" s="11" t="n">
        <f aca="false">T67+T69+T70+T71+T74+T77</f>
        <v>112.857706640013</v>
      </c>
      <c r="U78" s="11" t="n">
        <f aca="false">U67+U69+U70+U71+U74+U77</f>
        <v>113.620005799297</v>
      </c>
      <c r="V78" s="11" t="n">
        <f aca="false">V67+V69+V70+V71+V74+V77</f>
        <v>114.211468788759</v>
      </c>
      <c r="W78" s="11" t="n">
        <f aca="false">W67+W69+W70+W71+W74+W77</f>
        <v>114.620337471323</v>
      </c>
      <c r="X78" s="11" t="n">
        <f aca="false">X67+X69+X70+X71+X74+X77</f>
        <v>117.261586420534</v>
      </c>
      <c r="Y78" s="11" t="n">
        <f aca="false">Y67+Y69+Y70+Y71+Y74+Y77</f>
        <v>118.813479516754</v>
      </c>
      <c r="Z78" s="11" t="n">
        <f aca="false">Z67+Z69+Z70+Z71+Z74+Z77</f>
        <v>118.555483493684</v>
      </c>
      <c r="AA78" s="11" t="n">
        <f aca="false">AA67+AA69+AA70+AA71+AA74+AA77</f>
        <v>120.780341023365</v>
      </c>
      <c r="AB78" s="11" t="n">
        <f aca="false">AB67+AB69+AB70+AB71+AB74+AB77</f>
        <v>121.838394734186</v>
      </c>
      <c r="AC78" s="11" t="n">
        <f aca="false">AC67+AC69+AC70+AC71+AC74+AC77</f>
        <v>121.950373887891</v>
      </c>
      <c r="AD78" s="11" t="n">
        <f aca="false">AD67+AD69+AD70+AD71+AD74+AD77</f>
        <v>130.331404151753</v>
      </c>
      <c r="AE78" s="11" t="n">
        <f aca="false">AE67+AE69+AE70+AE71+AE74+AE77</f>
        <v>122.29129974712</v>
      </c>
      <c r="AF78" s="11" t="n">
        <f aca="false">AF67+AF69+AF70+AF71+AF74+AF77</f>
        <v>126.594921747805</v>
      </c>
      <c r="AG78" s="11" t="n">
        <f aca="false">AG67+AG69+AG70+AG71+AG74+AG77</f>
        <v>128.273040287554</v>
      </c>
      <c r="AH78" s="11" t="n">
        <f aca="false">AH67+AH69+AH70+AH71+AH74+AH77</f>
        <v>127.990905775757</v>
      </c>
      <c r="AI78" s="11" t="n">
        <f aca="false">AI67+AI69+AI70+AI71+AI74+AI77</f>
        <v>130.396907713746</v>
      </c>
      <c r="AJ78" s="11" t="n">
        <f aca="false">AJ67+AJ69+AJ70+AJ71+AJ74+AJ77</f>
        <v>131.53822383304</v>
      </c>
      <c r="AK78" s="11" t="n">
        <f aca="false">AK67+AK69+AK70+AK71+AK74+AK77</f>
        <v>132.426252511724</v>
      </c>
      <c r="AL78" s="11" t="n">
        <f aca="false">AL67+AL69+AL70+AL71+AL74+AL77</f>
        <v>133.165158928891</v>
      </c>
      <c r="AM78" s="11" t="n">
        <f aca="false">AM67+AM69+AM70+AM71+AM74+AM77</f>
        <v>133.592039854543</v>
      </c>
      <c r="AN78" s="11" t="n">
        <f aca="false">AN67+AN69+AN70+AN71+AN74+AN77</f>
        <v>136.675633973058</v>
      </c>
      <c r="AO78" s="11" t="n">
        <f aca="false">AO67+AO69+AO70+AO71+AO74+AO77</f>
        <v>138.490163498671</v>
      </c>
      <c r="AP78" s="11" t="n">
        <f aca="false">AP67+AP69+AP70+AP71+AP74+AP77</f>
        <v>138.181790966929</v>
      </c>
      <c r="AQ78" s="11" t="n">
        <f aca="false">AQ67+AQ69+AQ70+AQ71+AQ74+AQ77</f>
        <v>140.783578124556</v>
      </c>
      <c r="AR78" s="11" t="n">
        <f aca="false">AR67+AR69+AR70+AR71+AR74+AR77</f>
        <v>142.014772574464</v>
      </c>
      <c r="AS78" s="11" t="n">
        <f aca="false">AS67+AS69+AS70+AS71+AS74+AS77</f>
        <v>142.141665127646</v>
      </c>
      <c r="AT78" s="11" t="n">
        <f aca="false">AT67+AT69+AT70+AT71+AT74+AT77</f>
        <v>152.184168445525</v>
      </c>
      <c r="AU78" s="11" t="n">
        <f aca="false">AU67+AU69+AU70+AU71+AU74+AU77</f>
        <v>142.535744451172</v>
      </c>
      <c r="AV78" s="11" t="n">
        <f aca="false">AV67+AV69+AV70+AV71+AV74+AV77</f>
        <v>147.563558700132</v>
      </c>
      <c r="AW78" s="11" t="n">
        <f aca="false">AW67+AW69+AW70+AW71+AW74+AW77</f>
        <v>149.525499746066</v>
      </c>
      <c r="AX78" s="11" t="n">
        <f aca="false">AX67+AX69+AX70+AX71+AX74+AX77</f>
        <v>149.188616274627</v>
      </c>
      <c r="AY78" s="11" t="n">
        <f aca="false">AY67+AY69+AY70+AY71+AY74+AY77</f>
        <v>152.002003555513</v>
      </c>
      <c r="AZ78" s="11" t="n">
        <f aca="false">AZ67+AZ69+AZ70+AZ71+AZ74+AZ77</f>
        <v>153.330221739256</v>
      </c>
      <c r="BA78" s="11" t="n">
        <f aca="false">BA67+BA69+BA70+BA71+BA74+BA77</f>
        <v>154.364601922456</v>
      </c>
      <c r="BB78" s="11" t="n">
        <f aca="false">BB67+BB69+BB70+BB71+BB74+BB77</f>
        <v>155.285718740564</v>
      </c>
      <c r="BC78" s="11" t="n">
        <f aca="false">BC67+BC69+BC70+BC71+BC74+BC77</f>
        <v>155.723281219431</v>
      </c>
      <c r="BD78" s="11" t="n">
        <f aca="false">BD67+BD69+BD70+BD71+BD74+BD77</f>
        <v>159.32331353154</v>
      </c>
      <c r="BE78" s="11" t="n">
        <f aca="false">BE67+BE69+BE70+BE71+BE74+BE77</f>
        <v>161.444546238206</v>
      </c>
      <c r="BF78" s="11" t="n">
        <f aca="false">BF67+BF69+BF70+BF71+BF74+BF77</f>
        <v>161.076691815431</v>
      </c>
      <c r="BG78" s="11" t="n">
        <f aca="false">BG67+BG69+BG70+BG71+BG74+BG77</f>
        <v>164.118761568179</v>
      </c>
      <c r="BH78" s="11" t="n">
        <f aca="false">BH67+BH69+BH70+BH71+BH74+BH77</f>
        <v>165.551720963121</v>
      </c>
      <c r="BI78" s="11" t="n">
        <f aca="false">BI67+BI69+BI70+BI71+BI74+BI77</f>
        <v>165.695386085873</v>
      </c>
      <c r="BJ78" s="11" t="n">
        <f aca="false">BJ67+BJ69+BJ70+BJ71+BJ74+BJ77</f>
        <v>177.727816343638</v>
      </c>
      <c r="BK78" s="11" t="n">
        <f aca="false">BK67+BK69+BK70+BK71+BK74+BK77</f>
        <v>166.151068356276</v>
      </c>
      <c r="BL78" s="11" t="n">
        <f aca="false">BL67+BL69+BL70+BL71+BL74+BL77</f>
        <v>172.02467905248</v>
      </c>
      <c r="BM78" s="11" t="n">
        <f aca="false">BM67+BM69+BM70+BM71+BM74+BM77</f>
        <v>135.543242471337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2617.85377544491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50.6626360431684</v>
      </c>
      <c r="Q79" s="11" t="n">
        <f aca="false">Q51-Q78+Q53</f>
        <v>50.869373554412</v>
      </c>
      <c r="R79" s="11" t="n">
        <f aca="false">R51-R78+R53</f>
        <v>51.0164280195108</v>
      </c>
      <c r="S79" s="11" t="n">
        <f aca="false">S51-S78+S53</f>
        <v>51.1105204783621</v>
      </c>
      <c r="T79" s="11" t="n">
        <f aca="false">T51-T78+T53</f>
        <v>51.187859806759</v>
      </c>
      <c r="U79" s="11" t="n">
        <f aca="false">U51-U78+U53</f>
        <v>51.3524750701148</v>
      </c>
      <c r="V79" s="11" t="n">
        <f aca="false">V51-V78+V53</f>
        <v>49.0749654119822</v>
      </c>
      <c r="W79" s="11" t="n">
        <f aca="false">W51-W78+W53</f>
        <v>51.6314472003403</v>
      </c>
      <c r="X79" s="11" t="n">
        <f aca="false">X51-X78+X53</f>
        <v>51.6316594379973</v>
      </c>
      <c r="Y79" s="11" t="n">
        <f aca="false">Y51-Y78+Y53</f>
        <v>51.7622489644418</v>
      </c>
      <c r="Z79" s="11" t="n">
        <f aca="false">Z51-Z78+Z53</f>
        <v>51.9092142661617</v>
      </c>
      <c r="AA79" s="11" t="n">
        <f aca="false">AA51-AA78+AA53</f>
        <v>52.0099304992066</v>
      </c>
      <c r="AB79" s="11" t="n">
        <f aca="false">AB51-AB78+AB53</f>
        <v>52.093385284547</v>
      </c>
      <c r="AC79" s="11" t="n">
        <f aca="false">AC51-AC78+AC53</f>
        <v>52.3084571884293</v>
      </c>
      <c r="AD79" s="11" t="n">
        <f aca="false">AD51-AD78+AD53</f>
        <v>39.8346804256382</v>
      </c>
      <c r="AE79" s="11" t="n">
        <f aca="false">AE51-AE78+AE53</f>
        <v>52.6500143521698</v>
      </c>
      <c r="AF79" s="11" t="n">
        <f aca="false">AF51-AF78+AF53</f>
        <v>52.5737711558758</v>
      </c>
      <c r="AG79" s="11" t="n">
        <f aca="false">AG51-AG78+AG53</f>
        <v>52.7149115428405</v>
      </c>
      <c r="AH79" s="11" t="n">
        <f aca="false">AH51-AH78+AH53</f>
        <v>52.8757160854737</v>
      </c>
      <c r="AI79" s="11" t="n">
        <f aca="false">AI51-AI78+AI53</f>
        <v>52.983527411402</v>
      </c>
      <c r="AJ79" s="11" t="n">
        <f aca="false">AJ51-AJ78+AJ53</f>
        <v>53.0735812799479</v>
      </c>
      <c r="AK79" s="11" t="n">
        <f aca="false">AK51-AK78+AK53</f>
        <v>53.2686567540037</v>
      </c>
      <c r="AL79" s="11" t="n">
        <f aca="false">AL51-AL78+AL53</f>
        <v>50.5628978246228</v>
      </c>
      <c r="AM79" s="11" t="n">
        <f aca="false">AM51-AM78+AM53</f>
        <v>53.5993478853508</v>
      </c>
      <c r="AN79" s="11" t="n">
        <f aca="false">AN51-AN78+AN53</f>
        <v>53.5936115785085</v>
      </c>
      <c r="AO79" s="11" t="n">
        <f aca="false">AO51-AO78+AO53</f>
        <v>53.746175353047</v>
      </c>
      <c r="AP79" s="11" t="n">
        <f aca="false">AP51-AP78+AP53</f>
        <v>53.9221043316366</v>
      </c>
      <c r="AQ79" s="11" t="n">
        <f aca="false">AQ51-AQ78+AQ53</f>
        <v>54.0375162511027</v>
      </c>
      <c r="AR79" s="11" t="n">
        <f aca="false">AR51-AR78+AR53</f>
        <v>54.1346909963557</v>
      </c>
      <c r="AS79" s="11" t="n">
        <f aca="false">AS51-AS78+AS53</f>
        <v>54.3914788553252</v>
      </c>
      <c r="AT79" s="11" t="n">
        <f aca="false">AT51-AT78+AT53</f>
        <v>39.6650243679675</v>
      </c>
      <c r="AU79" s="11" t="n">
        <f aca="false">AU51-AU78+AU53</f>
        <v>54.7983266345823</v>
      </c>
      <c r="AV79" s="11" t="n">
        <f aca="false">AV51-AV78+AV53</f>
        <v>54.6976828869036</v>
      </c>
      <c r="AW79" s="11" t="n">
        <f aca="false">AW51-AW78+AW53</f>
        <v>54.8626164344755</v>
      </c>
      <c r="AX79" s="11" t="n">
        <f aca="false">AX51-AX78+AX53</f>
        <v>55.0550731307683</v>
      </c>
      <c r="AY79" s="11" t="n">
        <f aca="false">AY51-AY78+AY53</f>
        <v>55.1786278768001</v>
      </c>
      <c r="AZ79" s="11" t="n">
        <f aca="false">AZ51-AZ78+AZ53</f>
        <v>55.2834864564394</v>
      </c>
      <c r="BA79" s="11" t="n">
        <f aca="false">BA51-BA78+BA53</f>
        <v>55.5147247192366</v>
      </c>
      <c r="BB79" s="11" t="n">
        <f aca="false">BB51-BB78+BB53</f>
        <v>52.2999652356685</v>
      </c>
      <c r="BC79" s="11" t="n">
        <f aca="false">BC51-BC78+BC53</f>
        <v>55.9067753302021</v>
      </c>
      <c r="BD79" s="11" t="n">
        <f aca="false">BD51-BD78+BD53</f>
        <v>55.8930382695803</v>
      </c>
      <c r="BE79" s="11" t="n">
        <f aca="false">BE51-BE78+BE53</f>
        <v>56.0713682238035</v>
      </c>
      <c r="BF79" s="11" t="n">
        <f aca="false">BF51-BF78+BF53</f>
        <v>56.2818847667069</v>
      </c>
      <c r="BG79" s="11" t="n">
        <f aca="false">BG51-BG78+BG53</f>
        <v>56.4141640525392</v>
      </c>
      <c r="BH79" s="11" t="n">
        <f aca="false">BH51-BH78+BH53</f>
        <v>56.5273138185437</v>
      </c>
      <c r="BI79" s="11" t="n">
        <f aca="false">BI51-BI78+BI53</f>
        <v>56.8339097540195</v>
      </c>
      <c r="BJ79" s="11" t="n">
        <f aca="false">BJ51-BJ78+BJ53</f>
        <v>39.4276371429473</v>
      </c>
      <c r="BK79" s="11" t="n">
        <f aca="false">BK51-BK78+BK53</f>
        <v>57.3185168870333</v>
      </c>
      <c r="BL79" s="11" t="n">
        <f aca="false">BL51-BL78+BL53</f>
        <v>57.1873291589556</v>
      </c>
      <c r="BM79" s="11" t="n">
        <f aca="false">BM51-BM78+BM53</f>
        <v>19.1681076317943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15.2682140892772</v>
      </c>
      <c r="R90" s="11" t="n">
        <f aca="false">R83+R84-R85-R86-R87-R88-R89</f>
        <v>15.0749139332739</v>
      </c>
      <c r="S90" s="11" t="n">
        <f aca="false">S83+S84-S85-S86-S87-S88-S89</f>
        <v>15.3691942404888</v>
      </c>
      <c r="T90" s="11" t="n">
        <f aca="false">T83+T84-T85-T86-T87-T88-T89</f>
        <v>15.1766417348128</v>
      </c>
      <c r="U90" s="11" t="n">
        <f aca="false">U83+U84-U85-U86-U87-U88-U89</f>
        <v>15.3924132795895</v>
      </c>
      <c r="V90" s="11" t="n">
        <f aca="false">V83+V84-V85-V86-V87-V88-V89</f>
        <v>15.2762961845185</v>
      </c>
      <c r="W90" s="11" t="n">
        <f aca="false">W83+W84-W85-W86-W87-W88-W89</f>
        <v>15.5763863566713</v>
      </c>
      <c r="X90" s="11" t="n">
        <f aca="false">X83+X84-X85-X86-X87-X88-X89</f>
        <v>15.3841298963527</v>
      </c>
      <c r="Y90" s="11" t="n">
        <f aca="false">Y83+Y84-Y85-Y86-Y87-Y88-Y89</f>
        <v>15.6855612181022</v>
      </c>
      <c r="Z90" s="11" t="n">
        <f aca="false">Z83+Z84-Z85-Z86-Z87-Z88-Z89</f>
        <v>15.4902012058035</v>
      </c>
      <c r="AA90" s="11" t="n">
        <f aca="false">AA83+AA84-AA85-AA86-AA87-AA88-AA89</f>
        <v>15.7948346689774</v>
      </c>
      <c r="AB90" s="11" t="n">
        <f aca="false">AB83+AB84-AB85-AB86-AB87-AB88-AB89</f>
        <v>15.5998670685786</v>
      </c>
      <c r="AC90" s="11" t="n">
        <f aca="false">AC83+AC84-AC85-AC86-AC87-AC88-AC89</f>
        <v>15.8240378702048</v>
      </c>
      <c r="AD90" s="11" t="n">
        <f aca="false">AD83+AD84-AD85-AD86-AD87-AD88-AD89</f>
        <v>15.4770486849626</v>
      </c>
      <c r="AE90" s="11" t="n">
        <f aca="false">AE83+AE84-AE85-AE86-AE87-AE88-AE89</f>
        <v>16.0185518276506</v>
      </c>
      <c r="AF90" s="11" t="n">
        <f aca="false">AF83+AF84-AF85-AF86-AF87-AF88-AF89</f>
        <v>15.8241880569958</v>
      </c>
      <c r="AG90" s="11" t="n">
        <f aca="false">AG83+AG84-AG85-AG86-AG87-AG88-AG89</f>
        <v>16.1367646913987</v>
      </c>
      <c r="AH90" s="11" t="n">
        <f aca="false">AH83+AH84-AH85-AH86-AH87-AH88-AH89</f>
        <v>15.9392043936763</v>
      </c>
      <c r="AI90" s="11" t="n">
        <f aca="false">AI83+AI84-AI85-AI86-AI87-AI88-AI89</f>
        <v>16.255026809057</v>
      </c>
      <c r="AJ90" s="11" t="n">
        <f aca="false">AJ83+AJ84-AJ85-AJ86-AJ87-AJ88-AJ89</f>
        <v>16.0574415006632</v>
      </c>
      <c r="AK90" s="11" t="n">
        <f aca="false">AK83+AK84-AK85-AK86-AK87-AK88-AK89</f>
        <v>16.2917057522784</v>
      </c>
      <c r="AL90" s="11" t="n">
        <f aca="false">AL83+AL84-AL85-AL86-AL87-AL88-AL89</f>
        <v>16.1764056593709</v>
      </c>
      <c r="AM90" s="11" t="n">
        <f aca="false">AM83+AM84-AM85-AM86-AM87-AM88-AM89</f>
        <v>16.498460833923</v>
      </c>
      <c r="AN90" s="11" t="n">
        <f aca="false">AN83+AN84-AN85-AN86-AN87-AN88-AN89</f>
        <v>16.2999904522951</v>
      </c>
      <c r="AO90" s="11" t="n">
        <f aca="false">AO83+AO84-AO85-AO86-AO87-AO88-AO89</f>
        <v>16.6246305514847</v>
      </c>
      <c r="AP90" s="11" t="n">
        <f aca="false">AP83+AP84-AP85-AP86-AP87-AP88-AP89</f>
        <v>16.42471989204</v>
      </c>
      <c r="AQ90" s="11" t="n">
        <f aca="false">AQ83+AQ84-AQ85-AQ86-AQ87-AQ88-AQ89</f>
        <v>16.7526360251521</v>
      </c>
      <c r="AR90" s="11" t="n">
        <f aca="false">AR83+AR84-AR85-AR86-AR87-AR88-AR89</f>
        <v>16.5522129829796</v>
      </c>
      <c r="AS90" s="11" t="n">
        <f aca="false">AS83+AS84-AS85-AS86-AS87-AS88-AS89</f>
        <v>16.7968893612946</v>
      </c>
      <c r="AT90" s="11" t="n">
        <f aca="false">AT83+AT84-AT85-AT86-AT87-AT88-AT89</f>
        <v>16.435191077402</v>
      </c>
      <c r="AU90" s="11" t="n">
        <f aca="false">AU83+AU84-AU85-AU86-AU87-AU88-AU89</f>
        <v>17.0166421588867</v>
      </c>
      <c r="AV90" s="11" t="n">
        <f aca="false">AV83+AV84-AV85-AV86-AV87-AV88-AV89</f>
        <v>16.814502812567</v>
      </c>
      <c r="AW90" s="11" t="n">
        <f aca="false">AW83+AW84-AW85-AW86-AW87-AW88-AW89</f>
        <v>17.152201737484</v>
      </c>
      <c r="AX90" s="11" t="n">
        <f aca="false">AX83+AX84-AX85-AX86-AX87-AX88-AX89</f>
        <v>16.9497803194663</v>
      </c>
      <c r="AY90" s="11" t="n">
        <f aca="false">AY83+AY84-AY85-AY86-AY87-AY88-AY89</f>
        <v>17.2907697102242</v>
      </c>
      <c r="AZ90" s="11" t="n">
        <f aca="false">AZ83+AZ84-AZ85-AZ86-AZ87-AZ88-AZ89</f>
        <v>17.0872699668267</v>
      </c>
      <c r="BA90" s="11" t="n">
        <f aca="false">BA83+BA84-BA85-BA86-BA87-BA88-BA89</f>
        <v>17.3432813388396</v>
      </c>
      <c r="BB90" s="11" t="n">
        <f aca="false">BB83+BB84-BB85-BB86-BB87-BB88-BB89</f>
        <v>17.2292862049255</v>
      </c>
      <c r="BC90" s="11" t="n">
        <f aca="false">BC83+BC84-BC85-BC86-BC87-BC88-BC89</f>
        <v>17.5769129064753</v>
      </c>
      <c r="BD90" s="11" t="n">
        <f aca="false">BD83+BD84-BD85-BD86-BD87-BD88-BD89</f>
        <v>17.3709414625219</v>
      </c>
      <c r="BE90" s="11" t="n">
        <f aca="false">BE83+BE84-BE85-BE86-BE87-BE88-BE89</f>
        <v>17.7227783920466</v>
      </c>
      <c r="BF90" s="11" t="n">
        <f aca="false">BF83+BF84-BF85-BF86-BF87-BF88-BF89</f>
        <v>17.5176747764197</v>
      </c>
      <c r="BG90" s="11" t="n">
        <f aca="false">BG83+BG84-BG85-BG86-BG87-BG88-BG89</f>
        <v>17.8727980412432</v>
      </c>
      <c r="BH90" s="11" t="n">
        <f aca="false">BH83+BH84-BH85-BH86-BH87-BH88-BH89</f>
        <v>17.6659620215965</v>
      </c>
      <c r="BI90" s="11" t="n">
        <f aca="false">BI83+BI84-BI85-BI86-BI87-BI88-BI89</f>
        <v>17.9348437171468</v>
      </c>
      <c r="BJ90" s="11" t="n">
        <f aca="false">BJ83+BJ84-BJ85-BJ86-BJ87-BJ88-BJ89</f>
        <v>17.5561508195889</v>
      </c>
      <c r="BK90" s="11" t="n">
        <f aca="false">BK83+BK84-BK85-BK86-BK87-BK88-BK89</f>
        <v>18.1844640840537</v>
      </c>
      <c r="BL90" s="11" t="n">
        <f aca="false">BL83+BL84-BL85-BL86-BL87-BL88-BL89</f>
        <v>17.9727948157232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0.291133033767096</v>
      </c>
      <c r="R91" s="11" t="n">
        <f aca="false">R90-Q90</f>
        <v>-0.193300156003295</v>
      </c>
      <c r="S91" s="11" t="n">
        <f aca="false">S90-R90</f>
        <v>0.294280307214954</v>
      </c>
      <c r="T91" s="11" t="n">
        <f aca="false">T90-S90</f>
        <v>-0.192552505676016</v>
      </c>
      <c r="U91" s="11" t="n">
        <f aca="false">U90-T90</f>
        <v>0.215771544776699</v>
      </c>
      <c r="V91" s="11" t="n">
        <f aca="false">V90-U90</f>
        <v>-0.116117095071015</v>
      </c>
      <c r="W91" s="11" t="n">
        <f aca="false">W90-V90</f>
        <v>0.300090172152856</v>
      </c>
      <c r="X91" s="11" t="n">
        <f aca="false">X90-W90</f>
        <v>-0.19225646031866</v>
      </c>
      <c r="Y91" s="11" t="n">
        <f aca="false">Y90-X90</f>
        <v>0.301431321749558</v>
      </c>
      <c r="Z91" s="11" t="n">
        <f aca="false">Z90-Y90</f>
        <v>-0.195360012298716</v>
      </c>
      <c r="AA91" s="11" t="n">
        <f aca="false">AA90-Z90</f>
        <v>0.304633463173856</v>
      </c>
      <c r="AB91" s="11" t="n">
        <f aca="false">AB90-AA90</f>
        <v>-0.194967600398813</v>
      </c>
      <c r="AC91" s="11" t="n">
        <f aca="false">AC90-AB90</f>
        <v>0.224170801626244</v>
      </c>
      <c r="AD91" s="11" t="n">
        <f aca="false">AD90-AC90</f>
        <v>-0.346989185242208</v>
      </c>
      <c r="AE91" s="11" t="n">
        <f aca="false">AE90-AD90</f>
        <v>0.541503142688004</v>
      </c>
      <c r="AF91" s="11" t="n">
        <f aca="false">AF90-AE90</f>
        <v>-0.194363770654764</v>
      </c>
      <c r="AG91" s="11" t="n">
        <f aca="false">AG90-AF90</f>
        <v>0.31257663440282</v>
      </c>
      <c r="AH91" s="11" t="n">
        <f aca="false">AH90-AG90</f>
        <v>-0.197560297722388</v>
      </c>
      <c r="AI91" s="11" t="n">
        <f aca="false">AI90-AH90</f>
        <v>0.315822415380714</v>
      </c>
      <c r="AJ91" s="11" t="n">
        <f aca="false">AJ90-AI90</f>
        <v>-0.197585308393784</v>
      </c>
      <c r="AK91" s="11" t="n">
        <f aca="false">AK90-AJ90</f>
        <v>0.234264251615162</v>
      </c>
      <c r="AL91" s="11" t="n">
        <f aca="false">AL90-AK90</f>
        <v>-0.115300092907503</v>
      </c>
      <c r="AM91" s="11" t="n">
        <f aca="false">AM90-AL90</f>
        <v>0.32205517455213</v>
      </c>
      <c r="AN91" s="11" t="n">
        <f aca="false">AN90-AM90</f>
        <v>-0.198470381627924</v>
      </c>
      <c r="AO91" s="11" t="n">
        <f aca="false">AO90-AN90</f>
        <v>0.324640099189601</v>
      </c>
      <c r="AP91" s="11" t="n">
        <f aca="false">AP90-AO90</f>
        <v>-0.199910659444708</v>
      </c>
      <c r="AQ91" s="11" t="n">
        <f aca="false">AQ90-AP90</f>
        <v>0.327916133112176</v>
      </c>
      <c r="AR91" s="11" t="n">
        <f aca="false">AR90-AQ90</f>
        <v>-0.200423042172499</v>
      </c>
      <c r="AS91" s="11" t="n">
        <f aca="false">AS90-AR90</f>
        <v>0.244676378315006</v>
      </c>
      <c r="AT91" s="11" t="n">
        <f aca="false">AT90-AS90</f>
        <v>-0.36169828389264</v>
      </c>
      <c r="AU91" s="11" t="n">
        <f aca="false">AU90-AT90</f>
        <v>0.581451081484683</v>
      </c>
      <c r="AV91" s="11" t="n">
        <f aca="false">AV90-AU90</f>
        <v>-0.202139346319708</v>
      </c>
      <c r="AW91" s="11" t="n">
        <f aca="false">AW90-AV90</f>
        <v>0.337698924917024</v>
      </c>
      <c r="AX91" s="11" t="n">
        <f aca="false">AX90-AW90</f>
        <v>-0.202421418017728</v>
      </c>
      <c r="AY91" s="11" t="n">
        <f aca="false">AY90-AX90</f>
        <v>0.340989390757922</v>
      </c>
      <c r="AZ91" s="11" t="n">
        <f aca="false">AZ90-AY90</f>
        <v>-0.203499743397543</v>
      </c>
      <c r="BA91" s="11" t="n">
        <f aca="false">BA90-AZ90</f>
        <v>0.256011372012942</v>
      </c>
      <c r="BB91" s="11" t="n">
        <f aca="false">BB90-BA90</f>
        <v>-0.113995133914148</v>
      </c>
      <c r="BC91" s="11" t="n">
        <f aca="false">BC90-BB90</f>
        <v>0.34762670154986</v>
      </c>
      <c r="BD91" s="11" t="n">
        <f aca="false">BD90-BC90</f>
        <v>-0.20597144395343</v>
      </c>
      <c r="BE91" s="11" t="n">
        <f aca="false">BE90-BD90</f>
        <v>0.35183692952474</v>
      </c>
      <c r="BF91" s="11" t="n">
        <f aca="false">BF90-BE90</f>
        <v>-0.205103615626875</v>
      </c>
      <c r="BG91" s="11" t="n">
        <f aca="false">BG90-BF90</f>
        <v>0.355123264823476</v>
      </c>
      <c r="BH91" s="11" t="n">
        <f aca="false">BH90-BG90</f>
        <v>-0.206836019646694</v>
      </c>
      <c r="BI91" s="11" t="n">
        <f aca="false">BI90-BH90</f>
        <v>0.26888169555026</v>
      </c>
      <c r="BJ91" s="11" t="n">
        <f aca="false">BJ90-BI90</f>
        <v>-0.378692897557905</v>
      </c>
      <c r="BK91" s="11" t="n">
        <f aca="false">BK90-BJ90</f>
        <v>0.628313264464811</v>
      </c>
      <c r="BL91" s="11" t="n">
        <f aca="false">BL90-BK90</f>
        <v>-0.211669268330493</v>
      </c>
      <c r="BM91" s="11" t="n">
        <f aca="false">BM90-BL90</f>
        <v>-17.9727948157232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215.497203712366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9.47749770198407</v>
      </c>
      <c r="R13" s="11" t="n">
        <f aca="false">IF(Time!R17&gt;=Time!$F$11,Waterfall!R33*Inputs!$F$102/100*Time!R26/365,0)</f>
        <v>9.55939314471906</v>
      </c>
      <c r="S13" s="11" t="n">
        <f aca="false">IF(Time!S17&gt;=Time!$F$11,Waterfall!S33*Inputs!$F$102/100*Time!S26/365,0)</f>
        <v>9.28685902153634</v>
      </c>
      <c r="T13" s="11" t="n">
        <f aca="false">IF(Time!T17&gt;=Time!$F$11,Waterfall!T33*Inputs!$F$102/100*Time!T26/365,0)</f>
        <v>9.34704516862801</v>
      </c>
      <c r="U13" s="11" t="n">
        <f aca="false">IF(Time!U17&gt;=Time!$F$11,Waterfall!U33*Inputs!$F$102/100*Time!U26/365,0)</f>
        <v>9.1174613547427</v>
      </c>
      <c r="V13" s="11" t="n">
        <f aca="false">IF(Time!V17&gt;=Time!$F$11,Waterfall!V33*Inputs!$F$102/100*Time!V26/365,0)</f>
        <v>9.1217615785114</v>
      </c>
      <c r="W13" s="11" t="n">
        <f aca="false">IF(Time!W17&gt;=Time!$F$11,Waterfall!W33*Inputs!$F$102/100*Time!W26/365,0)</f>
        <v>8.81751849511217</v>
      </c>
      <c r="X13" s="11" t="n">
        <f aca="false">IF(Time!X17&gt;=Time!$F$11,Waterfall!X33*Inputs!$F$102/100*Time!X26/365,0)</f>
        <v>8.75413848228759</v>
      </c>
      <c r="Y13" s="11" t="n">
        <f aca="false">IF(Time!Y17&gt;=Time!$F$11,Waterfall!Y33*Inputs!$F$102/100*Time!Y26/365,0)</f>
        <v>8.45201607557607</v>
      </c>
      <c r="Z13" s="11" t="n">
        <f aca="false">IF(Time!Z17&gt;=Time!$F$11,Waterfall!Z33*Inputs!$F$102/100*Time!Z26/365,0)</f>
        <v>8.45158177535858</v>
      </c>
      <c r="AA13" s="11" t="n">
        <f aca="false">IF(Time!AA17&gt;=Time!$F$11,Waterfall!AA33*Inputs!$F$102/100*Time!AA26/365,0)</f>
        <v>8.13913910641579</v>
      </c>
      <c r="AB13" s="11" t="n">
        <f aca="false">IF(Time!AB17&gt;=Time!$F$11,Waterfall!AB33*Inputs!$F$102/100*Time!AB26/365,0)</f>
        <v>8.3917312717798</v>
      </c>
      <c r="AC13" s="11" t="n">
        <f aca="false">IF(Time!AC17&gt;=Time!$F$11,Waterfall!AC33*Inputs!$F$102/100*Time!AC26/365,0)</f>
        <v>8.37905337367197</v>
      </c>
      <c r="AD13" s="11" t="n">
        <f aca="false">IF(Time!AD17&gt;=Time!$F$11,Waterfall!AD33*Inputs!$F$102/100*Time!AD26/365,0)</f>
        <v>8.56377034512912</v>
      </c>
      <c r="AE13" s="11" t="n">
        <f aca="false">IF(Time!AE17&gt;=Time!$F$11,Waterfall!AE33*Inputs!$F$102/100*Time!AE26/365,0)</f>
        <v>8.4588476734255</v>
      </c>
      <c r="AF13" s="11" t="n">
        <f aca="false">IF(Time!AF17&gt;=Time!$F$11,Waterfall!AF33*Inputs!$F$102/100*Time!AF26/365,0)</f>
        <v>8.59775975266408</v>
      </c>
      <c r="AG13" s="11" t="n">
        <f aca="false">IF(Time!AG17&gt;=Time!$F$11,Waterfall!AG33*Inputs!$F$102/100*Time!AG26/365,0)</f>
        <v>8.41811026085282</v>
      </c>
      <c r="AH13" s="11" t="n">
        <f aca="false">IF(Time!AH17&gt;=Time!$F$11,Waterfall!AH33*Inputs!$F$102/100*Time!AH26/365,0)</f>
        <v>8.48570187505078</v>
      </c>
      <c r="AI13" s="11" t="n">
        <f aca="false">IF(Time!AI17&gt;=Time!$F$11,Waterfall!AI33*Inputs!$F$102/100*Time!AI26/365,0)</f>
        <v>8.21209712968779</v>
      </c>
      <c r="AJ13" s="11" t="n">
        <f aca="false">IF(Time!AJ17&gt;=Time!$F$11,Waterfall!AJ33*Inputs!$F$102/100*Time!AJ26/365,0)</f>
        <v>8.15287843769372</v>
      </c>
      <c r="AK13" s="11" t="n">
        <f aca="false">IF(Time!AK17&gt;=Time!$F$11,Waterfall!AK33*Inputs!$F$102/100*Time!AK26/365,0)</f>
        <v>7.77614337285489</v>
      </c>
      <c r="AL13" s="11" t="n">
        <f aca="false">IF(Time!AL17&gt;=Time!$F$11,Waterfall!AL33*Inputs!$F$102/100*Time!AL26/365,0)</f>
        <v>6.72113129122453</v>
      </c>
      <c r="AM13" s="11" t="n">
        <f aca="false">IF(Time!AM17&gt;=Time!$F$11,Waterfall!AM33*Inputs!$F$102/100*Time!AM26/365,0)</f>
        <v>5.51046422922809</v>
      </c>
      <c r="AN13" s="11" t="n">
        <f aca="false">IF(Time!AN17&gt;=Time!$F$11,Waterfall!AN33*Inputs!$F$102/100*Time!AN26/365,0)</f>
        <v>4.24335332530671</v>
      </c>
      <c r="AO13" s="11" t="n">
        <f aca="false">IF(Time!AO17&gt;=Time!$F$11,Waterfall!AO33*Inputs!$F$102/100*Time!AO26/365,0)</f>
        <v>2.93536696552649</v>
      </c>
      <c r="AP13" s="11" t="n">
        <f aca="false">IF(Time!AP17&gt;=Time!$F$11,Waterfall!AP33*Inputs!$F$102/100*Time!AP26/365,0)</f>
        <v>1.11379194738171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0.79290836289058</v>
      </c>
      <c r="Q14" s="6" t="n">
        <f aca="false">IF(Waterfall!Q33&gt;0,MIN(1,Inputs!$F$180*(Waterfall!$F$32+MAX(0,Waterfall!P43))/Waterfall!Q33),1)</f>
        <v>0.917498507459701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211.595042446094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9.55939314471906</v>
      </c>
      <c r="S15" s="11" t="n">
        <f aca="false">S13*S14</f>
        <v>9.28685902153634</v>
      </c>
      <c r="T15" s="11" t="n">
        <f aca="false">T13*T14</f>
        <v>9.34704516862801</v>
      </c>
      <c r="U15" s="11" t="n">
        <f aca="false">U13*U14</f>
        <v>9.1174613547427</v>
      </c>
      <c r="V15" s="11" t="n">
        <f aca="false">V13*V14</f>
        <v>9.1217615785114</v>
      </c>
      <c r="W15" s="11" t="n">
        <f aca="false">W13*W14</f>
        <v>8.81751849511217</v>
      </c>
      <c r="X15" s="11" t="n">
        <f aca="false">X13*X14</f>
        <v>8.75413848228759</v>
      </c>
      <c r="Y15" s="11" t="n">
        <f aca="false">Y13*Y14</f>
        <v>8.45201607557607</v>
      </c>
      <c r="Z15" s="11" t="n">
        <f aca="false">Z13*Z14</f>
        <v>8.45158177535858</v>
      </c>
      <c r="AA15" s="11" t="n">
        <f aca="false">AA13*AA14</f>
        <v>8.13913910641579</v>
      </c>
      <c r="AB15" s="11" t="n">
        <f aca="false">AB13*AB14</f>
        <v>8.3917312717798</v>
      </c>
      <c r="AC15" s="11" t="n">
        <f aca="false">AC13*AC14</f>
        <v>8.37905337367197</v>
      </c>
      <c r="AD15" s="11" t="n">
        <f aca="false">AD13*AD14</f>
        <v>8.56377034512912</v>
      </c>
      <c r="AE15" s="11" t="n">
        <f aca="false">AE13*AE14</f>
        <v>8.4588476734255</v>
      </c>
      <c r="AF15" s="11" t="n">
        <f aca="false">AF13*AF14</f>
        <v>8.59775975266408</v>
      </c>
      <c r="AG15" s="11" t="n">
        <f aca="false">AG13*AG14</f>
        <v>8.41811026085282</v>
      </c>
      <c r="AH15" s="11" t="n">
        <f aca="false">AH13*AH14</f>
        <v>8.48570187505078</v>
      </c>
      <c r="AI15" s="11" t="n">
        <f aca="false">AI13*AI14</f>
        <v>8.21209712968779</v>
      </c>
      <c r="AJ15" s="11" t="n">
        <f aca="false">AJ13*AJ14</f>
        <v>8.15287843769372</v>
      </c>
      <c r="AK15" s="11" t="n">
        <f aca="false">AK13*AK14</f>
        <v>7.77614337285489</v>
      </c>
      <c r="AL15" s="11" t="n">
        <f aca="false">AL13*AL14</f>
        <v>6.72113129122453</v>
      </c>
      <c r="AM15" s="11" t="n">
        <f aca="false">AM13*AM14</f>
        <v>5.51046422922809</v>
      </c>
      <c r="AN15" s="11" t="n">
        <f aca="false">AN13*AN14</f>
        <v>4.24335332530671</v>
      </c>
      <c r="AO15" s="11" t="n">
        <f aca="false">AO13*AO14</f>
        <v>2.93536696552649</v>
      </c>
      <c r="AP15" s="11" t="n">
        <f aca="false">AP13*AP14</f>
        <v>1.11379194738171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330.484837521648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22.5164304450697</v>
      </c>
      <c r="R16" s="11" t="n">
        <f aca="false">Debt!R119+Debt!R117+Debt!R111-Debt!R110</f>
        <v>22.1738670377408</v>
      </c>
      <c r="S16" s="11" t="n">
        <f aca="false">Debt!S119+Debt!S117+Debt!S111-Debt!S110</f>
        <v>21.3176340734965</v>
      </c>
      <c r="T16" s="11" t="n">
        <f aca="false">Debt!T119+Debt!T117+Debt!T111-Debt!T110</f>
        <v>20.9137381154141</v>
      </c>
      <c r="U16" s="11" t="n">
        <f aca="false">Debt!U119+Debt!U117+Debt!U111-Debt!U110</f>
        <v>20.091500135044</v>
      </c>
      <c r="V16" s="11" t="n">
        <f aca="false">Debt!V119+Debt!V117+Debt!V111-Debt!V110</f>
        <v>19.54715130129</v>
      </c>
      <c r="W16" s="11" t="n">
        <f aca="false">Debt!W119+Debt!W117+Debt!W111-Debt!W110</f>
        <v>18.59918778841</v>
      </c>
      <c r="X16" s="11" t="n">
        <f aca="false">Debt!X119+Debt!X117+Debt!X111-Debt!X110</f>
        <v>18.0458339471219</v>
      </c>
      <c r="Y16" s="11" t="n">
        <f aca="false">Debt!Y119+Debt!Y117+Debt!Y111-Debt!Y110</f>
        <v>17.6112769556329</v>
      </c>
      <c r="Z16" s="11" t="n">
        <f aca="false">Debt!Z119+Debt!Z117+Debt!Z111-Debt!Z110</f>
        <v>17.0486235438173</v>
      </c>
      <c r="AA16" s="11" t="n">
        <f aca="false">Debt!AA119+Debt!AA117+Debt!AA111-Debt!AA110</f>
        <v>16.0714802164554</v>
      </c>
      <c r="AB16" s="11" t="n">
        <f aca="false">Debt!AB119+Debt!AB117+Debt!AB111-Debt!AB110</f>
        <v>15.0932635486787</v>
      </c>
      <c r="AC16" s="11" t="n">
        <f aca="false">Debt!AC119+Debt!AC117+Debt!AC111-Debt!AC110</f>
        <v>13.7474757409537</v>
      </c>
      <c r="AD16" s="11" t="n">
        <f aca="false">Debt!AD119+Debt!AD117+Debt!AD111-Debt!AD110</f>
        <v>12.6187086770766</v>
      </c>
      <c r="AE16" s="11" t="n">
        <f aca="false">Debt!AE119+Debt!AE117+Debt!AE111-Debt!AE110</f>
        <v>11.1362641222858</v>
      </c>
      <c r="AF16" s="11" t="n">
        <f aca="false">Debt!AF119+Debt!AF117+Debt!AF111-Debt!AF110</f>
        <v>9.85129041556803</v>
      </c>
      <c r="AG16" s="11" t="n">
        <f aca="false">Debt!AG119+Debt!AG117+Debt!AG111-Debt!AG110</f>
        <v>8.51487186692868</v>
      </c>
      <c r="AH16" s="11" t="n">
        <f aca="false">Debt!AH119+Debt!AH117+Debt!AH111-Debt!AH110</f>
        <v>7.11734182925035</v>
      </c>
      <c r="AI16" s="11" t="n">
        <f aca="false">Debt!AI119+Debt!AI117+Debt!AI111-Debt!AI110</f>
        <v>5.52483744928541</v>
      </c>
      <c r="AJ16" s="11" t="n">
        <f aca="false">Debt!AJ119+Debt!AJ117+Debt!AJ111-Debt!AJ110</f>
        <v>4.04174659791317</v>
      </c>
      <c r="AK16" s="11" t="n">
        <f aca="false">Debt!AK119+Debt!AK117+Debt!AK111-Debt!AK110</f>
        <v>2.47268947844739</v>
      </c>
      <c r="AL16" s="11" t="n">
        <f aca="false">Debt!AL119+Debt!AL117+Debt!AL111-Debt!AL110</f>
        <v>1.9360051808044</v>
      </c>
      <c r="AM16" s="11" t="n">
        <f aca="false">Debt!AM119+Debt!AM117+Debt!AM111-Debt!AM110</f>
        <v>1.41029970718199</v>
      </c>
      <c r="AN16" s="11" t="n">
        <f aca="false">Debt!AN119+Debt!AN117+Debt!AN111-Debt!AN110</f>
        <v>0.883626721411649</v>
      </c>
      <c r="AO16" s="11" t="n">
        <f aca="false">Debt!AO119+Debt!AO117+Debt!AO111-Debt!AO110</f>
        <v>0.443511990017346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1239.99141831218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1.87282622563268</v>
      </c>
      <c r="Z18" s="11" t="n">
        <f aca="false">(Operations!Z79-Z16-Z15)*Z17-Z12</f>
        <v>6.32853169065108</v>
      </c>
      <c r="AA18" s="11" t="n">
        <f aca="false">(Operations!AA79-AA16-AA15)*AA17-AA12</f>
        <v>7.71883392000062</v>
      </c>
      <c r="AB18" s="11" t="n">
        <f aca="false">(Operations!AB79-AB16-AB15)*AB17-AB12</f>
        <v>8.52791320775384</v>
      </c>
      <c r="AC18" s="11" t="n">
        <f aca="false">(Operations!AC79-AC16-AC15)*AC17-AC12</f>
        <v>10.101450817469</v>
      </c>
      <c r="AD18" s="11" t="n">
        <f aca="false">(Operations!AD79-AD16-AD15)*AD17-AD12</f>
        <v>-1.42827585290224</v>
      </c>
      <c r="AE18" s="11" t="n">
        <f aca="false">(Operations!AE79-AE16-AE15)*AE17-AE12</f>
        <v>12.9744253001238</v>
      </c>
      <c r="AF18" s="11" t="n">
        <f aca="false">(Operations!AF79-AF16-AF15)*AF17-AF12</f>
        <v>14.044243731309</v>
      </c>
      <c r="AG18" s="11" t="n">
        <f aca="false">(Operations!AG79-AG16-AG15)*AG17-AG12</f>
        <v>15.7014521587243</v>
      </c>
      <c r="AH18" s="11" t="n">
        <f aca="false">(Operations!AH79-AH16-AH15)*AH17-AH12</f>
        <v>17.1921951248378</v>
      </c>
      <c r="AI18" s="11" t="n">
        <f aca="false">(Operations!AI79-AI16-AI15)*AI17-AI12</f>
        <v>19.1661155760941</v>
      </c>
      <c r="AJ18" s="11" t="n">
        <f aca="false">(Operations!AJ79-AJ16-AJ15)*AJ17-AJ12</f>
        <v>20.7984789880062</v>
      </c>
      <c r="AK18" s="11" t="n">
        <f aca="false">(Operations!AK79-AK16-AK15)*AK17-AK12</f>
        <v>22.9393466463667</v>
      </c>
      <c r="AL18" s="11" t="n">
        <f aca="false">(Operations!AL79-AL16-AL15)*AL17-AL12</f>
        <v>21.8252840962592</v>
      </c>
      <c r="AM18" s="11" t="n">
        <f aca="false">(Operations!AM79-AM16-AM15)*AM17-AM12</f>
        <v>26.5981066926059</v>
      </c>
      <c r="AN18" s="11" t="n">
        <f aca="false">(Operations!AN79-AN16-AN15)*AN17-AN12</f>
        <v>28.3861542754554</v>
      </c>
      <c r="AO18" s="11" t="n">
        <f aca="false">(Operations!AO79-AO16-AO15)*AO17-AO12</f>
        <v>30.2868191411684</v>
      </c>
      <c r="AP18" s="11" t="n">
        <f aca="false">(Operations!AP79-AP16-AP15)*AP17-AP12</f>
        <v>32.7278351279201</v>
      </c>
      <c r="AQ18" s="11" t="n">
        <f aca="false">(Operations!AQ79-AQ16-AQ15)*AQ17-AQ12</f>
        <v>33.9570389947679</v>
      </c>
      <c r="AR18" s="11" t="n">
        <f aca="false">(Operations!AR79-AR16-AR15)*AR17-AR12</f>
        <v>34.054213740021</v>
      </c>
      <c r="AS18" s="11" t="n">
        <f aca="false">(Operations!AS79-AS16-AS15)*AS17-AS12</f>
        <v>34.3110015989905</v>
      </c>
      <c r="AT18" s="11" t="n">
        <f aca="false">(Operations!AT79-AT16-AT15)*AT17-AT12</f>
        <v>19.5845471116328</v>
      </c>
      <c r="AU18" s="11" t="n">
        <f aca="false">(Operations!AU79-AU16-AU15)*AU17-AU12</f>
        <v>34.7178493782476</v>
      </c>
      <c r="AV18" s="11" t="n">
        <f aca="false">(Operations!AV79-AV16-AV15)*AV17-AV12</f>
        <v>34.6172056305689</v>
      </c>
      <c r="AW18" s="11" t="n">
        <f aca="false">(Operations!AW79-AW16-AW15)*AW17-AW12</f>
        <v>34.7821391781407</v>
      </c>
      <c r="AX18" s="11" t="n">
        <f aca="false">(Operations!AX79-AX16-AX15)*AX17-AX12</f>
        <v>34.9745958744335</v>
      </c>
      <c r="AY18" s="11" t="n">
        <f aca="false">(Operations!AY79-AY16-AY15)*AY17-AY12</f>
        <v>35.0981506204654</v>
      </c>
      <c r="AZ18" s="11" t="n">
        <f aca="false">(Operations!AZ79-AZ16-AZ15)*AZ17-AZ12</f>
        <v>35.2030092001047</v>
      </c>
      <c r="BA18" s="11" t="n">
        <f aca="false">(Operations!BA79-BA16-BA15)*BA17-BA12</f>
        <v>35.4342474629019</v>
      </c>
      <c r="BB18" s="11" t="n">
        <f aca="false">(Operations!BB79-BB16-BB15)*BB17-BB12</f>
        <v>32.2194879793337</v>
      </c>
      <c r="BC18" s="11" t="n">
        <f aca="false">(Operations!BC79-BC16-BC15)*BC17-BC12</f>
        <v>42.2408949751965</v>
      </c>
      <c r="BD18" s="11" t="n">
        <f aca="false">(Operations!BD79-BD16-BD15)*BD17-BD12</f>
        <v>55.0563517172331</v>
      </c>
      <c r="BE18" s="11" t="n">
        <f aca="false">(Operations!BE79-BE16-BE15)*BE17-BE12</f>
        <v>55.2346816714562</v>
      </c>
      <c r="BF18" s="11" t="n">
        <f aca="false">(Operations!BF79-BF16-BF15)*BF17-BF12</f>
        <v>55.4451982143596</v>
      </c>
      <c r="BG18" s="11" t="n">
        <f aca="false">(Operations!BG79-BG16-BG15)*BG17-BG12</f>
        <v>55.5774775001919</v>
      </c>
      <c r="BH18" s="11" t="n">
        <f aca="false">(Operations!BH79-BH16-BH15)*BH17-BH12</f>
        <v>55.6906272661964</v>
      </c>
      <c r="BI18" s="11" t="n">
        <f aca="false">(Operations!BI79-BI16-BI15)*BI17-BI12</f>
        <v>55.9972232016723</v>
      </c>
      <c r="BJ18" s="11" t="n">
        <f aca="false">(Operations!BJ79-BJ16-BJ15)*BJ17-BJ12</f>
        <v>38.5909505906001</v>
      </c>
      <c r="BK18" s="11" t="n">
        <f aca="false">(Operations!BK79-BK16-BK15)*BK17-BK12</f>
        <v>56.481830334686</v>
      </c>
      <c r="BL18" s="11" t="n">
        <f aca="false">(Operations!BL79-BL16-BL15)*BL17-BL12</f>
        <v>56.3506426066083</v>
      </c>
      <c r="BM18" s="11" t="n">
        <f aca="false">(Operations!BM79-BM16-BM15)*BM17-BM12</f>
        <v>18.6103165968961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1.42827585290224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1.42827585290224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1.87282622563268</v>
      </c>
      <c r="Z20" s="11" t="n">
        <f aca="false">MIN(Y21,MAX(0,Z18-Z19))</f>
        <v>6.32853169065108</v>
      </c>
      <c r="AA20" s="11" t="n">
        <f aca="false">MIN(Z21,MAX(0,AA18-AA19))</f>
        <v>7.71883392000062</v>
      </c>
      <c r="AB20" s="11" t="n">
        <f aca="false">MIN(AA21,MAX(0,AB18-AB19))</f>
        <v>8.52791320775384</v>
      </c>
      <c r="AC20" s="11" t="n">
        <f aca="false">MIN(AB21,MAX(0,AC18-AC19))</f>
        <v>10.101450817469</v>
      </c>
      <c r="AD20" s="11" t="n">
        <f aca="false">MIN(AC21,MAX(0,AD18-AD19))</f>
        <v>0</v>
      </c>
      <c r="AE20" s="11" t="n">
        <f aca="false">MIN(AD21,MAX(0,AE18-AE19))</f>
        <v>11.5461494472216</v>
      </c>
      <c r="AF20" s="11" t="n">
        <f aca="false">MIN(AE21,MAX(0,AF18-AF19))</f>
        <v>14.044243731309</v>
      </c>
      <c r="AG20" s="11" t="n">
        <f aca="false">MIN(AF21,MAX(0,AG18-AG19))</f>
        <v>15.7014521587243</v>
      </c>
      <c r="AH20" s="11" t="n">
        <f aca="false">MIN(AG21,MAX(0,AH18-AH19))</f>
        <v>17.1921951248378</v>
      </c>
      <c r="AI20" s="11" t="n">
        <f aca="false">MIN(AH21,MAX(0,AI18-AI19))</f>
        <v>19.1661155760941</v>
      </c>
      <c r="AJ20" s="11" t="n">
        <f aca="false">MIN(AI21,MAX(0,AJ18-AJ19))</f>
        <v>20.7984789880062</v>
      </c>
      <c r="AK20" s="11" t="n">
        <f aca="false">MIN(AJ21,MAX(0,AK18-AK19))</f>
        <v>22.9393466463667</v>
      </c>
      <c r="AL20" s="11" t="n">
        <f aca="false">MIN(AK21,MAX(0,AL18-AL19))</f>
        <v>21.8252840962592</v>
      </c>
      <c r="AM20" s="11" t="n">
        <f aca="false">MIN(AL21,MAX(0,AM18-AM19))</f>
        <v>26.5981066926059</v>
      </c>
      <c r="AN20" s="11" t="n">
        <f aca="false">MIN(AM21,MAX(0,AN18-AN19))</f>
        <v>21.544440810834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224.032542908133</v>
      </c>
      <c r="Z21" s="11" t="n">
        <f aca="false">Y21+Z11-Z20</f>
        <v>217.704011217482</v>
      </c>
      <c r="AA21" s="11" t="n">
        <f aca="false">Z21+AA11-AA20</f>
        <v>209.985177297481</v>
      </c>
      <c r="AB21" s="11" t="n">
        <f aca="false">AA21+AB11-AB20</f>
        <v>201.457264089728</v>
      </c>
      <c r="AC21" s="11" t="n">
        <f aca="false">AB21+AC11-AC20</f>
        <v>191.355813272259</v>
      </c>
      <c r="AD21" s="11" t="n">
        <f aca="false">AC21+AD11-AD20</f>
        <v>191.355813272259</v>
      </c>
      <c r="AE21" s="11" t="n">
        <f aca="false">AD21+AE11-AE20</f>
        <v>179.809663825037</v>
      </c>
      <c r="AF21" s="11" t="n">
        <f aca="false">AE21+AF11-AF20</f>
        <v>165.765420093728</v>
      </c>
      <c r="AG21" s="11" t="n">
        <f aca="false">AF21+AG11-AG20</f>
        <v>150.063967935004</v>
      </c>
      <c r="AH21" s="11" t="n">
        <f aca="false">AG21+AH11-AH20</f>
        <v>132.871772810166</v>
      </c>
      <c r="AI21" s="11" t="n">
        <f aca="false">AH21+AI11-AI20</f>
        <v>113.705657234072</v>
      </c>
      <c r="AJ21" s="11" t="n">
        <f aca="false">AI21+AJ11-AJ20</f>
        <v>92.9071782460657</v>
      </c>
      <c r="AK21" s="11" t="n">
        <f aca="false">AJ21+AK11-AK20</f>
        <v>69.9678315996991</v>
      </c>
      <c r="AL21" s="11" t="n">
        <f aca="false">AK21+AL11-AL20</f>
        <v>48.1425475034399</v>
      </c>
      <c r="AM21" s="11" t="n">
        <f aca="false">AL21+AM11-AM20</f>
        <v>21.544440810834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1.42827585290224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1014.08604917841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6.84171346462142</v>
      </c>
      <c r="AO23" s="11" t="n">
        <f aca="false">MAX(0,AO18-AO19-AO20)</f>
        <v>30.2868191411684</v>
      </c>
      <c r="AP23" s="11" t="n">
        <f aca="false">MAX(0,AP18-AP19-AP20)</f>
        <v>32.7278351279201</v>
      </c>
      <c r="AQ23" s="11" t="n">
        <f aca="false">MAX(0,AQ18-AQ19-AQ20)</f>
        <v>33.9570389947679</v>
      </c>
      <c r="AR23" s="11" t="n">
        <f aca="false">MAX(0,AR18-AR19-AR20)</f>
        <v>34.054213740021</v>
      </c>
      <c r="AS23" s="11" t="n">
        <f aca="false">MAX(0,AS18-AS19-AS20)</f>
        <v>34.3110015989905</v>
      </c>
      <c r="AT23" s="11" t="n">
        <f aca="false">MAX(0,AT18-AT19-AT20)</f>
        <v>19.5845471116328</v>
      </c>
      <c r="AU23" s="11" t="n">
        <f aca="false">MAX(0,AU18-AU19-AU20)</f>
        <v>34.7178493782476</v>
      </c>
      <c r="AV23" s="11" t="n">
        <f aca="false">MAX(0,AV18-AV19-AV20)</f>
        <v>34.6172056305689</v>
      </c>
      <c r="AW23" s="11" t="n">
        <f aca="false">MAX(0,AW18-AW19-AW20)</f>
        <v>34.7821391781407</v>
      </c>
      <c r="AX23" s="11" t="n">
        <f aca="false">MAX(0,AX18-AX19-AX20)</f>
        <v>34.9745958744335</v>
      </c>
      <c r="AY23" s="11" t="n">
        <f aca="false">MAX(0,AY18-AY19-AY20)</f>
        <v>35.0981506204654</v>
      </c>
      <c r="AZ23" s="11" t="n">
        <f aca="false">MAX(0,AZ18-AZ19-AZ20)</f>
        <v>35.2030092001047</v>
      </c>
      <c r="BA23" s="11" t="n">
        <f aca="false">MAX(0,BA18-BA19-BA20)</f>
        <v>35.4342474629019</v>
      </c>
      <c r="BB23" s="11" t="n">
        <f aca="false">MAX(0,BB18-BB19-BB20)</f>
        <v>32.2194879793337</v>
      </c>
      <c r="BC23" s="11" t="n">
        <f aca="false">MAX(0,BC18-BC19-BC20)</f>
        <v>42.2408949751965</v>
      </c>
      <c r="BD23" s="11" t="n">
        <f aca="false">MAX(0,BD18-BD19-BD20)</f>
        <v>55.0563517172331</v>
      </c>
      <c r="BE23" s="11" t="n">
        <f aca="false">MAX(0,BE18-BE19-BE20)</f>
        <v>55.2346816714562</v>
      </c>
      <c r="BF23" s="11" t="n">
        <f aca="false">MAX(0,BF18-BF19-BF20)</f>
        <v>55.4451982143596</v>
      </c>
      <c r="BG23" s="11" t="n">
        <f aca="false">MAX(0,BG18-BG19-BG20)</f>
        <v>55.5774775001919</v>
      </c>
      <c r="BH23" s="11" t="n">
        <f aca="false">MAX(0,BH18-BH19-BH20)</f>
        <v>55.6906272661964</v>
      </c>
      <c r="BI23" s="11" t="n">
        <f aca="false">MAX(0,BI18-BI19-BI20)</f>
        <v>55.9972232016723</v>
      </c>
      <c r="BJ23" s="11" t="n">
        <f aca="false">MAX(0,BJ18-BJ19-BJ20)</f>
        <v>38.5909505906001</v>
      </c>
      <c r="BK23" s="11" t="n">
        <f aca="false">MAX(0,BK18-BK19-BK20)</f>
        <v>56.481830334686</v>
      </c>
      <c r="BL23" s="11" t="n">
        <f aca="false">MAX(0,BL18-BL19-BL20)</f>
        <v>56.3506426066083</v>
      </c>
      <c r="BM23" s="11" t="n">
        <f aca="false">MAX(0,BM18-BM19-BM20)</f>
        <v>18.6103165968961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304.225814753524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2.05251403938643</v>
      </c>
      <c r="AO25" s="11" t="n">
        <f aca="false">AO23*AO24</f>
        <v>9.08604574235052</v>
      </c>
      <c r="AP25" s="11" t="n">
        <f aca="false">AP23*AP24</f>
        <v>9.81835053837603</v>
      </c>
      <c r="AQ25" s="11" t="n">
        <f aca="false">AQ23*AQ24</f>
        <v>10.1871116984304</v>
      </c>
      <c r="AR25" s="11" t="n">
        <f aca="false">AR23*AR24</f>
        <v>10.2162641220063</v>
      </c>
      <c r="AS25" s="11" t="n">
        <f aca="false">AS23*AS24</f>
        <v>10.2933004796971</v>
      </c>
      <c r="AT25" s="11" t="n">
        <f aca="false">AT23*AT24</f>
        <v>5.87536413348984</v>
      </c>
      <c r="AU25" s="11" t="n">
        <f aca="false">AU23*AU24</f>
        <v>10.4153548134743</v>
      </c>
      <c r="AV25" s="11" t="n">
        <f aca="false">AV23*AV24</f>
        <v>10.3851616891707</v>
      </c>
      <c r="AW25" s="11" t="n">
        <f aca="false">AW23*AW24</f>
        <v>10.4346417534422</v>
      </c>
      <c r="AX25" s="11" t="n">
        <f aca="false">AX23*AX24</f>
        <v>10.4923787623301</v>
      </c>
      <c r="AY25" s="11" t="n">
        <f aca="false">AY23*AY24</f>
        <v>10.5294451861396</v>
      </c>
      <c r="AZ25" s="11" t="n">
        <f aca="false">AZ23*AZ24</f>
        <v>10.5609027600314</v>
      </c>
      <c r="BA25" s="11" t="n">
        <f aca="false">BA23*BA24</f>
        <v>10.6302742388706</v>
      </c>
      <c r="BB25" s="11" t="n">
        <f aca="false">BB23*BB24</f>
        <v>9.66584639380012</v>
      </c>
      <c r="BC25" s="11" t="n">
        <f aca="false">BC23*BC24</f>
        <v>12.672268492559</v>
      </c>
      <c r="BD25" s="11" t="n">
        <f aca="false">BD23*BD24</f>
        <v>16.5169055151699</v>
      </c>
      <c r="BE25" s="11" t="n">
        <f aca="false">BE23*BE24</f>
        <v>16.5704045014369</v>
      </c>
      <c r="BF25" s="11" t="n">
        <f aca="false">BF23*BF24</f>
        <v>16.6335594643079</v>
      </c>
      <c r="BG25" s="11" t="n">
        <f aca="false">BG23*BG24</f>
        <v>16.6732432500576</v>
      </c>
      <c r="BH25" s="11" t="n">
        <f aca="false">BH23*BH24</f>
        <v>16.7071881798589</v>
      </c>
      <c r="BI25" s="11" t="n">
        <f aca="false">BI23*BI24</f>
        <v>16.7991669605017</v>
      </c>
      <c r="BJ25" s="11" t="n">
        <f aca="false">BJ23*BJ24</f>
        <v>11.57728517718</v>
      </c>
      <c r="BK25" s="11" t="n">
        <f aca="false">BK23*BK24</f>
        <v>16.9445491004058</v>
      </c>
      <c r="BL25" s="11" t="n">
        <f aca="false">BL23*BL24</f>
        <v>16.9051927819825</v>
      </c>
      <c r="BM25" s="11" t="n">
        <f aca="false">BM23*BM24</f>
        <v>5.58309497906883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309.468307663194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2.05251403938643</v>
      </c>
      <c r="AO27" s="11" t="n">
        <f aca="false">MAX(AO25,AO26)</f>
        <v>9.08604574235052</v>
      </c>
      <c r="AP27" s="11" t="n">
        <f aca="false">MAX(AP25,AP26)</f>
        <v>9.81835053837603</v>
      </c>
      <c r="AQ27" s="11" t="n">
        <f aca="false">MAX(AQ25,AQ26)</f>
        <v>10.1871116984304</v>
      </c>
      <c r="AR27" s="11" t="n">
        <f aca="false">MAX(AR25,AR26)</f>
        <v>10.2162641220063</v>
      </c>
      <c r="AS27" s="11" t="n">
        <f aca="false">MAX(AS25,AS26)</f>
        <v>10.2933004796971</v>
      </c>
      <c r="AT27" s="11" t="n">
        <f aca="false">MAX(AT25,AT26)</f>
        <v>5.87536413348984</v>
      </c>
      <c r="AU27" s="11" t="n">
        <f aca="false">MAX(AU25,AU26)</f>
        <v>10.4153548134743</v>
      </c>
      <c r="AV27" s="11" t="n">
        <f aca="false">MAX(AV25,AV26)</f>
        <v>10.3851616891707</v>
      </c>
      <c r="AW27" s="11" t="n">
        <f aca="false">MAX(AW25,AW26)</f>
        <v>10.4346417534422</v>
      </c>
      <c r="AX27" s="11" t="n">
        <f aca="false">MAX(AX25,AX26)</f>
        <v>10.4923787623301</v>
      </c>
      <c r="AY27" s="11" t="n">
        <f aca="false">MAX(AY25,AY26)</f>
        <v>10.5294451861396</v>
      </c>
      <c r="AZ27" s="11" t="n">
        <f aca="false">MAX(AZ25,AZ26)</f>
        <v>10.5609027600314</v>
      </c>
      <c r="BA27" s="11" t="n">
        <f aca="false">MAX(BA25,BA26)</f>
        <v>10.6302742388706</v>
      </c>
      <c r="BB27" s="11" t="n">
        <f aca="false">MAX(BB25,BB26)</f>
        <v>9.66584639380012</v>
      </c>
      <c r="BC27" s="11" t="n">
        <f aca="false">MAX(BC25,BC26)</f>
        <v>12.672268492559</v>
      </c>
      <c r="BD27" s="11" t="n">
        <f aca="false">MAX(BD25,BD26)</f>
        <v>16.5169055151699</v>
      </c>
      <c r="BE27" s="11" t="n">
        <f aca="false">MAX(BE25,BE26)</f>
        <v>16.5704045014369</v>
      </c>
      <c r="BF27" s="11" t="n">
        <f aca="false">MAX(BF25,BF26)</f>
        <v>16.6335594643079</v>
      </c>
      <c r="BG27" s="11" t="n">
        <f aca="false">MAX(BG25,BG26)</f>
        <v>16.6732432500576</v>
      </c>
      <c r="BH27" s="11" t="n">
        <f aca="false">MAX(BH25,BH26)</f>
        <v>16.7071881798589</v>
      </c>
      <c r="BI27" s="11" t="n">
        <f aca="false">MAX(BI25,BI26)</f>
        <v>16.7991669605017</v>
      </c>
      <c r="BJ27" s="11" t="n">
        <f aca="false">MAX(BJ25,BJ26)</f>
        <v>11.57728517718</v>
      </c>
      <c r="BK27" s="11" t="n">
        <f aca="false">MAX(BK25,BK26)</f>
        <v>16.9445491004058</v>
      </c>
      <c r="BL27" s="11" t="n">
        <f aca="false">MAX(BL25,BL26)</f>
        <v>16.9051927819825</v>
      </c>
      <c r="BM27" s="11" t="n">
        <f aca="false">MAX(BM25,BM26)</f>
        <v>5.58309497906883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3.90216126627174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0.781907705960942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0.0324794444444444</v>
      </c>
      <c r="R10" s="14" t="n">
        <f aca="false">(Operations!R9+Inputs!$F$77+R9)/100*Time!R20/360</f>
        <v>0.0330177777777778</v>
      </c>
      <c r="S10" s="14" t="n">
        <f aca="false">(Operations!S9+Inputs!$F$77+S9)/100*Time!S20/360</f>
        <v>0.0325297222222222</v>
      </c>
      <c r="T10" s="14" t="n">
        <f aca="false">(Operations!T9+Inputs!$F$77+T9)/100*Time!T20/360</f>
        <v>0.0330688888888889</v>
      </c>
      <c r="U10" s="14" t="n">
        <f aca="false">(Operations!U9+Inputs!$F$77+U9)/100*Time!U20/360</f>
        <v>0.0327094444444445</v>
      </c>
      <c r="V10" s="14" t="n">
        <f aca="false">(Operations!V9+Inputs!$F$77+V9)/100*Time!V20/360</f>
        <v>0.0330688888888889</v>
      </c>
      <c r="W10" s="14" t="n">
        <f aca="false">(Operations!W9+Inputs!$F$77+W9)/100*Time!W20/360</f>
        <v>0.0325297222222222</v>
      </c>
      <c r="X10" s="14" t="n">
        <f aca="false">(Operations!X9+Inputs!$F$77+X9)/100*Time!X20/360</f>
        <v>0.0330688888888889</v>
      </c>
      <c r="Y10" s="14" t="n">
        <f aca="false">(Operations!Y9+Inputs!$F$77+Y9)/100*Time!Y20/360</f>
        <v>0.0325297222222222</v>
      </c>
      <c r="Z10" s="14" t="n">
        <f aca="false">(Operations!Z9+Inputs!$F$77+Z9)/100*Time!Z20/360</f>
        <v>0.0330688888888889</v>
      </c>
      <c r="AA10" s="14" t="n">
        <f aca="false">(Operations!AA9+Inputs!$F$77+AA9)/100*Time!AA20/360</f>
        <v>0.0325297222222222</v>
      </c>
      <c r="AB10" s="14" t="n">
        <f aca="false">(Operations!AB9+Inputs!$F$77+AB9)/100*Time!AB20/360</f>
        <v>0.0330688888888889</v>
      </c>
      <c r="AC10" s="14" t="n">
        <f aca="false">(Operations!AC9+Inputs!$F$77+AC9)/100*Time!AC20/360</f>
        <v>0.0327094444444445</v>
      </c>
      <c r="AD10" s="14" t="n">
        <f aca="false">(Operations!AD9+Inputs!$F$77+AD9)/100*Time!AD20/360</f>
        <v>0.0330688888888889</v>
      </c>
      <c r="AE10" s="14" t="n">
        <f aca="false">(Operations!AE9+Inputs!$F$77+AE9)/100*Time!AE20/360</f>
        <v>0.0325297222222222</v>
      </c>
      <c r="AF10" s="14" t="n">
        <f aca="false">(Operations!AF9+Inputs!$F$77+AF9)/100*Time!AF20/360</f>
        <v>0.0330688888888889</v>
      </c>
      <c r="AG10" s="14" t="n">
        <f aca="false">(Operations!AG9+Inputs!$F$77+AG9)/100*Time!AG20/360</f>
        <v>0.0325297222222222</v>
      </c>
      <c r="AH10" s="14" t="n">
        <f aca="false">(Operations!AH9+Inputs!$F$77+AH9)/100*Time!AH20/360</f>
        <v>0.0330688888888889</v>
      </c>
      <c r="AI10" s="14" t="n">
        <f aca="false">(Operations!AI9+Inputs!$F$77+AI9)/100*Time!AI20/360</f>
        <v>0.0325297222222222</v>
      </c>
      <c r="AJ10" s="14" t="n">
        <f aca="false">(Operations!AJ9+Inputs!$F$77+AJ9)/100*Time!AJ20/360</f>
        <v>0.0330688888888889</v>
      </c>
      <c r="AK10" s="14" t="n">
        <f aca="false">(Operations!AK9+Inputs!$F$77+AK9)/100*Time!AK20/360</f>
        <v>0.0327094444444445</v>
      </c>
      <c r="AL10" s="14" t="n">
        <f aca="false">(Operations!AL9+Inputs!$F$77+AL9)/100*Time!AL20/360</f>
        <v>0.0330688888888889</v>
      </c>
      <c r="AM10" s="14" t="n">
        <f aca="false">(Operations!AM9+Inputs!$F$77+AM9)/100*Time!AM20/360</f>
        <v>0.0325297222222222</v>
      </c>
      <c r="AN10" s="14" t="n">
        <f aca="false">(Operations!AN9+Inputs!$F$77+AN9)/100*Time!AN20/360</f>
        <v>0.0330688888888889</v>
      </c>
      <c r="AO10" s="14" t="n">
        <f aca="false">(Operations!AO9+Inputs!$F$77+AO9)/100*Time!AO20/360</f>
        <v>0.0325297222222222</v>
      </c>
      <c r="AP10" s="14" t="n">
        <f aca="false">(Operations!AP9+Inputs!$F$77+AP9)/100*Time!AP20/360</f>
        <v>0.0330688888888889</v>
      </c>
      <c r="AQ10" s="14" t="n">
        <f aca="false">(Operations!AQ9+Inputs!$F$77+AQ9)/100*Time!AQ20/360</f>
        <v>0.0325297222222222</v>
      </c>
      <c r="AR10" s="14" t="n">
        <f aca="false">(Operations!AR9+Inputs!$F$77+AR9)/100*Time!AR20/360</f>
        <v>0.0330688888888889</v>
      </c>
      <c r="AS10" s="14" t="n">
        <f aca="false">(Operations!AS9+Inputs!$F$77+AS9)/100*Time!AS20/360</f>
        <v>0.0327094444444445</v>
      </c>
      <c r="AT10" s="14" t="n">
        <f aca="false">(Operations!AT9+Inputs!$F$77+AT9)/100*Time!AT20/360</f>
        <v>0.0330688888888889</v>
      </c>
      <c r="AU10" s="14" t="n">
        <f aca="false">(Operations!AU9+Inputs!$F$77+AU9)/100*Time!AU20/360</f>
        <v>0.0325297222222222</v>
      </c>
      <c r="AV10" s="14" t="n">
        <f aca="false">(Operations!AV9+Inputs!$F$77+AV9)/100*Time!AV20/360</f>
        <v>0.0330688888888889</v>
      </c>
      <c r="AW10" s="14" t="n">
        <f aca="false">(Operations!AW9+Inputs!$F$77+AW9)/100*Time!AW20/360</f>
        <v>0.0325297222222222</v>
      </c>
      <c r="AX10" s="14" t="n">
        <f aca="false">(Operations!AX9+Inputs!$F$77+AX9)/100*Time!AX20/360</f>
        <v>0.0330688888888889</v>
      </c>
      <c r="AY10" s="14" t="n">
        <f aca="false">(Operations!AY9+Inputs!$F$77+AY9)/100*Time!AY20/360</f>
        <v>0.0325297222222222</v>
      </c>
      <c r="AZ10" s="14" t="n">
        <f aca="false">(Operations!AZ9+Inputs!$F$77+AZ9)/100*Time!AZ20/360</f>
        <v>0.0330688888888889</v>
      </c>
      <c r="BA10" s="14" t="n">
        <f aca="false">(Operations!BA9+Inputs!$F$77+BA9)/100*Time!BA20/360</f>
        <v>0.0327094444444445</v>
      </c>
      <c r="BB10" s="14" t="n">
        <f aca="false">(Operations!BB9+Inputs!$F$77+BB9)/100*Time!BB20/360</f>
        <v>0.0330688888888889</v>
      </c>
      <c r="BC10" s="14" t="n">
        <f aca="false">(Operations!BC9+Inputs!$F$77+BC9)/100*Time!BC20/360</f>
        <v>0.0325297222222222</v>
      </c>
      <c r="BD10" s="14" t="n">
        <f aca="false">(Operations!BD9+Inputs!$F$77+BD9)/100*Time!BD20/360</f>
        <v>0.0330688888888889</v>
      </c>
      <c r="BE10" s="14" t="n">
        <f aca="false">(Operations!BE9+Inputs!$F$77+BE9)/100*Time!BE20/360</f>
        <v>0.0325297222222222</v>
      </c>
      <c r="BF10" s="14" t="n">
        <f aca="false">(Operations!BF9+Inputs!$F$77+BF9)/100*Time!BF20/360</f>
        <v>0.0330688888888889</v>
      </c>
      <c r="BG10" s="14" t="n">
        <f aca="false">(Operations!BG9+Inputs!$F$77+BG9)/100*Time!BG20/360</f>
        <v>0.0325297222222222</v>
      </c>
      <c r="BH10" s="14" t="n">
        <f aca="false">(Operations!BH9+Inputs!$F$77+BH9)/100*Time!BH20/360</f>
        <v>0.0330688888888889</v>
      </c>
      <c r="BI10" s="14" t="n">
        <f aca="false">(Operations!BI9+Inputs!$F$77+BI9)/100*Time!BI20/360</f>
        <v>0.0327094444444445</v>
      </c>
      <c r="BJ10" s="14" t="n">
        <f aca="false">(Operations!BJ9+Inputs!$F$77+BJ9)/100*Time!BJ20/360</f>
        <v>0.0330688888888889</v>
      </c>
      <c r="BK10" s="14" t="n">
        <f aca="false">(Operations!BK9+Inputs!$F$77+BK9)/100*Time!BK20/360</f>
        <v>0.0325297222222222</v>
      </c>
      <c r="BL10" s="14" t="n">
        <f aca="false">(Operations!BL9+Inputs!$F$77+BL9)/100*Time!BL20/360</f>
        <v>0.0330688888888889</v>
      </c>
      <c r="BM10" s="14" t="n">
        <f aca="false">(Operations!BM9+Inputs!$F$77+BM9)/100*Time!BM20/360</f>
        <v>0.0325297222222222</v>
      </c>
      <c r="BN10" s="14" t="n">
        <f aca="false">(Operations!BN9+Inputs!$F$77+BN9)/100*Time!BN20/360</f>
        <v>0.0330688888888889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0.0440433333333333</v>
      </c>
      <c r="R11" s="14" t="n">
        <f aca="false">(Operations!R9+Inputs!$F$78+R9)/100*Time!R20/360</f>
        <v>0.0447733333333333</v>
      </c>
      <c r="S11" s="14" t="n">
        <f aca="false">(Operations!S9+Inputs!$F$78+S9)/100*Time!S20/360</f>
        <v>0.0440936111111111</v>
      </c>
      <c r="T11" s="14" t="n">
        <f aca="false">(Operations!T9+Inputs!$F$78+T9)/100*Time!T20/360</f>
        <v>0.0448244444444444</v>
      </c>
      <c r="U11" s="14" t="n">
        <f aca="false">(Operations!U9+Inputs!$F$78+U9)/100*Time!U20/360</f>
        <v>0.0443372222222222</v>
      </c>
      <c r="V11" s="14" t="n">
        <f aca="false">(Operations!V9+Inputs!$F$78+V9)/100*Time!V20/360</f>
        <v>0.0448244444444444</v>
      </c>
      <c r="W11" s="14" t="n">
        <f aca="false">(Operations!W9+Inputs!$F$78+W9)/100*Time!W20/360</f>
        <v>0.0440936111111111</v>
      </c>
      <c r="X11" s="14" t="n">
        <f aca="false">(Operations!X9+Inputs!$F$78+X9)/100*Time!X20/360</f>
        <v>0.0448244444444444</v>
      </c>
      <c r="Y11" s="14" t="n">
        <f aca="false">(Operations!Y9+Inputs!$F$78+Y9)/100*Time!Y20/360</f>
        <v>0.0440936111111111</v>
      </c>
      <c r="Z11" s="14" t="n">
        <f aca="false">(Operations!Z9+Inputs!$F$78+Z9)/100*Time!Z20/360</f>
        <v>0.0448244444444444</v>
      </c>
      <c r="AA11" s="14" t="n">
        <f aca="false">(Operations!AA9+Inputs!$F$78+AA9)/100*Time!AA20/360</f>
        <v>0.0440936111111111</v>
      </c>
      <c r="AB11" s="14" t="n">
        <f aca="false">(Operations!AB9+Inputs!$F$78+AB9)/100*Time!AB20/360</f>
        <v>0.0448244444444444</v>
      </c>
      <c r="AC11" s="14" t="n">
        <f aca="false">(Operations!AC9+Inputs!$F$78+AC9)/100*Time!AC20/360</f>
        <v>0.0443372222222222</v>
      </c>
      <c r="AD11" s="14" t="n">
        <f aca="false">(Operations!AD9+Inputs!$F$78+AD9)/100*Time!AD20/360</f>
        <v>0.0448244444444444</v>
      </c>
      <c r="AE11" s="14" t="n">
        <f aca="false">(Operations!AE9+Inputs!$F$78+AE9)/100*Time!AE20/360</f>
        <v>0.0440936111111111</v>
      </c>
      <c r="AF11" s="14" t="n">
        <f aca="false">(Operations!AF9+Inputs!$F$78+AF9)/100*Time!AF20/360</f>
        <v>0.0448244444444444</v>
      </c>
      <c r="AG11" s="14" t="n">
        <f aca="false">(Operations!AG9+Inputs!$F$78+AG9)/100*Time!AG20/360</f>
        <v>0.0440936111111111</v>
      </c>
      <c r="AH11" s="14" t="n">
        <f aca="false">(Operations!AH9+Inputs!$F$78+AH9)/100*Time!AH20/360</f>
        <v>0.0448244444444444</v>
      </c>
      <c r="AI11" s="14" t="n">
        <f aca="false">(Operations!AI9+Inputs!$F$78+AI9)/100*Time!AI20/360</f>
        <v>0.0440936111111111</v>
      </c>
      <c r="AJ11" s="14" t="n">
        <f aca="false">(Operations!AJ9+Inputs!$F$78+AJ9)/100*Time!AJ20/360</f>
        <v>0.0448244444444444</v>
      </c>
      <c r="AK11" s="14" t="n">
        <f aca="false">(Operations!AK9+Inputs!$F$78+AK9)/100*Time!AK20/360</f>
        <v>0.0443372222222222</v>
      </c>
      <c r="AL11" s="14" t="n">
        <f aca="false">(Operations!AL9+Inputs!$F$78+AL9)/100*Time!AL20/360</f>
        <v>0.0448244444444444</v>
      </c>
      <c r="AM11" s="14" t="n">
        <f aca="false">(Operations!AM9+Inputs!$F$78+AM9)/100*Time!AM20/360</f>
        <v>0.0440936111111111</v>
      </c>
      <c r="AN11" s="14" t="n">
        <f aca="false">(Operations!AN9+Inputs!$F$78+AN9)/100*Time!AN20/360</f>
        <v>0.0448244444444444</v>
      </c>
      <c r="AO11" s="14" t="n">
        <f aca="false">(Operations!AO9+Inputs!$F$78+AO9)/100*Time!AO20/360</f>
        <v>0.0440936111111111</v>
      </c>
      <c r="AP11" s="14" t="n">
        <f aca="false">(Operations!AP9+Inputs!$F$78+AP9)/100*Time!AP20/360</f>
        <v>0.0448244444444444</v>
      </c>
      <c r="AQ11" s="14" t="n">
        <f aca="false">(Operations!AQ9+Inputs!$F$78+AQ9)/100*Time!AQ20/360</f>
        <v>0.0440936111111111</v>
      </c>
      <c r="AR11" s="14" t="n">
        <f aca="false">(Operations!AR9+Inputs!$F$78+AR9)/100*Time!AR20/360</f>
        <v>0.0448244444444444</v>
      </c>
      <c r="AS11" s="14" t="n">
        <f aca="false">(Operations!AS9+Inputs!$F$78+AS9)/100*Time!AS20/360</f>
        <v>0.0443372222222222</v>
      </c>
      <c r="AT11" s="14" t="n">
        <f aca="false">(Operations!AT9+Inputs!$F$78+AT9)/100*Time!AT20/360</f>
        <v>0.0448244444444444</v>
      </c>
      <c r="AU11" s="14" t="n">
        <f aca="false">(Operations!AU9+Inputs!$F$78+AU9)/100*Time!AU20/360</f>
        <v>0.0440936111111111</v>
      </c>
      <c r="AV11" s="14" t="n">
        <f aca="false">(Operations!AV9+Inputs!$F$78+AV9)/100*Time!AV20/360</f>
        <v>0.0448244444444444</v>
      </c>
      <c r="AW11" s="14" t="n">
        <f aca="false">(Operations!AW9+Inputs!$F$78+AW9)/100*Time!AW20/360</f>
        <v>0.0440936111111111</v>
      </c>
      <c r="AX11" s="14" t="n">
        <f aca="false">(Operations!AX9+Inputs!$F$78+AX9)/100*Time!AX20/360</f>
        <v>0.0448244444444444</v>
      </c>
      <c r="AY11" s="14" t="n">
        <f aca="false">(Operations!AY9+Inputs!$F$78+AY9)/100*Time!AY20/360</f>
        <v>0.0440936111111111</v>
      </c>
      <c r="AZ11" s="14" t="n">
        <f aca="false">(Operations!AZ9+Inputs!$F$78+AZ9)/100*Time!AZ20/360</f>
        <v>0.0448244444444444</v>
      </c>
      <c r="BA11" s="14" t="n">
        <f aca="false">(Operations!BA9+Inputs!$F$78+BA9)/100*Time!BA20/360</f>
        <v>0.0443372222222222</v>
      </c>
      <c r="BB11" s="14" t="n">
        <f aca="false">(Operations!BB9+Inputs!$F$78+BB9)/100*Time!BB20/360</f>
        <v>0.0448244444444444</v>
      </c>
      <c r="BC11" s="14" t="n">
        <f aca="false">(Operations!BC9+Inputs!$F$78+BC9)/100*Time!BC20/360</f>
        <v>0.0440936111111111</v>
      </c>
      <c r="BD11" s="14" t="n">
        <f aca="false">(Operations!BD9+Inputs!$F$78+BD9)/100*Time!BD20/360</f>
        <v>0.0448244444444444</v>
      </c>
      <c r="BE11" s="14" t="n">
        <f aca="false">(Operations!BE9+Inputs!$F$78+BE9)/100*Time!BE20/360</f>
        <v>0.0440936111111111</v>
      </c>
      <c r="BF11" s="14" t="n">
        <f aca="false">(Operations!BF9+Inputs!$F$78+BF9)/100*Time!BF20/360</f>
        <v>0.0448244444444444</v>
      </c>
      <c r="BG11" s="14" t="n">
        <f aca="false">(Operations!BG9+Inputs!$F$78+BG9)/100*Time!BG20/360</f>
        <v>0.0440936111111111</v>
      </c>
      <c r="BH11" s="14" t="n">
        <f aca="false">(Operations!BH9+Inputs!$F$78+BH9)/100*Time!BH20/360</f>
        <v>0.0448244444444444</v>
      </c>
      <c r="BI11" s="14" t="n">
        <f aca="false">(Operations!BI9+Inputs!$F$78+BI9)/100*Time!BI20/360</f>
        <v>0.0443372222222222</v>
      </c>
      <c r="BJ11" s="14" t="n">
        <f aca="false">(Operations!BJ9+Inputs!$F$78+BJ9)/100*Time!BJ20/360</f>
        <v>0.0448244444444444</v>
      </c>
      <c r="BK11" s="14" t="n">
        <f aca="false">(Operations!BK9+Inputs!$F$78+BK9)/100*Time!BK20/360</f>
        <v>0.0440936111111111</v>
      </c>
      <c r="BL11" s="14" t="n">
        <f aca="false">(Operations!BL9+Inputs!$F$78+BL9)/100*Time!BL20/360</f>
        <v>0.0448244444444444</v>
      </c>
      <c r="BM11" s="14" t="n">
        <f aca="false">(Operations!BM9+Inputs!$F$78+BM9)/100*Time!BM20/360</f>
        <v>0.0440936111111111</v>
      </c>
      <c r="BN11" s="14" t="n">
        <f aca="false">(Operations!BN9+Inputs!$F$78+BN9)/100*Time!BN20/360</f>
        <v>0.0448244444444444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0.0427863888888889</v>
      </c>
      <c r="R12" s="14" t="n">
        <f aca="false">(Operations!R9+Inputs!$F$79+R9)/100*Time!R20/360</f>
        <v>0.0434955555555556</v>
      </c>
      <c r="S12" s="14" t="n">
        <f aca="false">(Operations!S9+Inputs!$F$79+S9)/100*Time!S20/360</f>
        <v>0.0428366666666667</v>
      </c>
      <c r="T12" s="14" t="n">
        <f aca="false">(Operations!T9+Inputs!$F$79+T9)/100*Time!T20/360</f>
        <v>0.0435466666666667</v>
      </c>
      <c r="U12" s="14" t="n">
        <f aca="false">(Operations!U9+Inputs!$F$79+U9)/100*Time!U20/360</f>
        <v>0.0430733333333333</v>
      </c>
      <c r="V12" s="14" t="n">
        <f aca="false">(Operations!V9+Inputs!$F$79+V9)/100*Time!V20/360</f>
        <v>0.0435466666666667</v>
      </c>
      <c r="W12" s="14" t="n">
        <f aca="false">(Operations!W9+Inputs!$F$79+W9)/100*Time!W20/360</f>
        <v>0.0428366666666667</v>
      </c>
      <c r="X12" s="14" t="n">
        <f aca="false">(Operations!X9+Inputs!$F$79+X9)/100*Time!X20/360</f>
        <v>0.0435466666666667</v>
      </c>
      <c r="Y12" s="14" t="n">
        <f aca="false">(Operations!Y9+Inputs!$F$79+Y9)/100*Time!Y20/360</f>
        <v>0.0428366666666667</v>
      </c>
      <c r="Z12" s="14" t="n">
        <f aca="false">(Operations!Z9+Inputs!$F$79+Z9)/100*Time!Z20/360</f>
        <v>0.0435466666666667</v>
      </c>
      <c r="AA12" s="14" t="n">
        <f aca="false">(Operations!AA9+Inputs!$F$79+AA9)/100*Time!AA20/360</f>
        <v>0.0428366666666667</v>
      </c>
      <c r="AB12" s="14" t="n">
        <f aca="false">(Operations!AB9+Inputs!$F$79+AB9)/100*Time!AB20/360</f>
        <v>0.0435466666666667</v>
      </c>
      <c r="AC12" s="14" t="n">
        <f aca="false">(Operations!AC9+Inputs!$F$79+AC9)/100*Time!AC20/360</f>
        <v>0.0430733333333333</v>
      </c>
      <c r="AD12" s="14" t="n">
        <f aca="false">(Operations!AD9+Inputs!$F$79+AD9)/100*Time!AD20/360</f>
        <v>0.0435466666666667</v>
      </c>
      <c r="AE12" s="14" t="n">
        <f aca="false">(Operations!AE9+Inputs!$F$79+AE9)/100*Time!AE20/360</f>
        <v>0.0428366666666667</v>
      </c>
      <c r="AF12" s="14" t="n">
        <f aca="false">(Operations!AF9+Inputs!$F$79+AF9)/100*Time!AF20/360</f>
        <v>0.0435466666666667</v>
      </c>
      <c r="AG12" s="14" t="n">
        <f aca="false">(Operations!AG9+Inputs!$F$79+AG9)/100*Time!AG20/360</f>
        <v>0.0428366666666667</v>
      </c>
      <c r="AH12" s="14" t="n">
        <f aca="false">(Operations!AH9+Inputs!$F$79+AH9)/100*Time!AH20/360</f>
        <v>0.0435466666666667</v>
      </c>
      <c r="AI12" s="14" t="n">
        <f aca="false">(Operations!AI9+Inputs!$F$79+AI9)/100*Time!AI20/360</f>
        <v>0.0428366666666667</v>
      </c>
      <c r="AJ12" s="14" t="n">
        <f aca="false">(Operations!AJ9+Inputs!$F$79+AJ9)/100*Time!AJ20/360</f>
        <v>0.0435466666666667</v>
      </c>
      <c r="AK12" s="14" t="n">
        <f aca="false">(Operations!AK9+Inputs!$F$79+AK9)/100*Time!AK20/360</f>
        <v>0.0430733333333333</v>
      </c>
      <c r="AL12" s="14" t="n">
        <f aca="false">(Operations!AL9+Inputs!$F$79+AL9)/100*Time!AL20/360</f>
        <v>0.0435466666666667</v>
      </c>
      <c r="AM12" s="14" t="n">
        <f aca="false">(Operations!AM9+Inputs!$F$79+AM9)/100*Time!AM20/360</f>
        <v>0.0428366666666667</v>
      </c>
      <c r="AN12" s="14" t="n">
        <f aca="false">(Operations!AN9+Inputs!$F$79+AN9)/100*Time!AN20/360</f>
        <v>0.0435466666666667</v>
      </c>
      <c r="AO12" s="14" t="n">
        <f aca="false">(Operations!AO9+Inputs!$F$79+AO9)/100*Time!AO20/360</f>
        <v>0.0428366666666667</v>
      </c>
      <c r="AP12" s="14" t="n">
        <f aca="false">(Operations!AP9+Inputs!$F$79+AP9)/100*Time!AP20/360</f>
        <v>0.0435466666666667</v>
      </c>
      <c r="AQ12" s="14" t="n">
        <f aca="false">(Operations!AQ9+Inputs!$F$79+AQ9)/100*Time!AQ20/360</f>
        <v>0.0428366666666667</v>
      </c>
      <c r="AR12" s="14" t="n">
        <f aca="false">(Operations!AR9+Inputs!$F$79+AR9)/100*Time!AR20/360</f>
        <v>0.0435466666666667</v>
      </c>
      <c r="AS12" s="14" t="n">
        <f aca="false">(Operations!AS9+Inputs!$F$79+AS9)/100*Time!AS20/360</f>
        <v>0.0430733333333333</v>
      </c>
      <c r="AT12" s="14" t="n">
        <f aca="false">(Operations!AT9+Inputs!$F$79+AT9)/100*Time!AT20/360</f>
        <v>0.0435466666666667</v>
      </c>
      <c r="AU12" s="14" t="n">
        <f aca="false">(Operations!AU9+Inputs!$F$79+AU9)/100*Time!AU20/360</f>
        <v>0.0428366666666667</v>
      </c>
      <c r="AV12" s="14" t="n">
        <f aca="false">(Operations!AV9+Inputs!$F$79+AV9)/100*Time!AV20/360</f>
        <v>0.0435466666666667</v>
      </c>
      <c r="AW12" s="14" t="n">
        <f aca="false">(Operations!AW9+Inputs!$F$79+AW9)/100*Time!AW20/360</f>
        <v>0.0428366666666667</v>
      </c>
      <c r="AX12" s="14" t="n">
        <f aca="false">(Operations!AX9+Inputs!$F$79+AX9)/100*Time!AX20/360</f>
        <v>0.0435466666666667</v>
      </c>
      <c r="AY12" s="14" t="n">
        <f aca="false">(Operations!AY9+Inputs!$F$79+AY9)/100*Time!AY20/360</f>
        <v>0.0428366666666667</v>
      </c>
      <c r="AZ12" s="14" t="n">
        <f aca="false">(Operations!AZ9+Inputs!$F$79+AZ9)/100*Time!AZ20/360</f>
        <v>0.0435466666666667</v>
      </c>
      <c r="BA12" s="14" t="n">
        <f aca="false">(Operations!BA9+Inputs!$F$79+BA9)/100*Time!BA20/360</f>
        <v>0.0430733333333333</v>
      </c>
      <c r="BB12" s="14" t="n">
        <f aca="false">(Operations!BB9+Inputs!$F$79+BB9)/100*Time!BB20/360</f>
        <v>0.0435466666666667</v>
      </c>
      <c r="BC12" s="14" t="n">
        <f aca="false">(Operations!BC9+Inputs!$F$79+BC9)/100*Time!BC20/360</f>
        <v>0.0428366666666667</v>
      </c>
      <c r="BD12" s="14" t="n">
        <f aca="false">(Operations!BD9+Inputs!$F$79+BD9)/100*Time!BD20/360</f>
        <v>0.0435466666666667</v>
      </c>
      <c r="BE12" s="14" t="n">
        <f aca="false">(Operations!BE9+Inputs!$F$79+BE9)/100*Time!BE20/360</f>
        <v>0.0428366666666667</v>
      </c>
      <c r="BF12" s="14" t="n">
        <f aca="false">(Operations!BF9+Inputs!$F$79+BF9)/100*Time!BF20/360</f>
        <v>0.0435466666666667</v>
      </c>
      <c r="BG12" s="14" t="n">
        <f aca="false">(Operations!BG9+Inputs!$F$79+BG9)/100*Time!BG20/360</f>
        <v>0.0428366666666667</v>
      </c>
      <c r="BH12" s="14" t="n">
        <f aca="false">(Operations!BH9+Inputs!$F$79+BH9)/100*Time!BH20/360</f>
        <v>0.0435466666666667</v>
      </c>
      <c r="BI12" s="14" t="n">
        <f aca="false">(Operations!BI9+Inputs!$F$79+BI9)/100*Time!BI20/360</f>
        <v>0.0430733333333333</v>
      </c>
      <c r="BJ12" s="14" t="n">
        <f aca="false">(Operations!BJ9+Inputs!$F$79+BJ9)/100*Time!BJ20/360</f>
        <v>0.0435466666666667</v>
      </c>
      <c r="BK12" s="14" t="n">
        <f aca="false">(Operations!BK9+Inputs!$F$79+BK9)/100*Time!BK20/360</f>
        <v>0.0428366666666667</v>
      </c>
      <c r="BL12" s="14" t="n">
        <f aca="false">(Operations!BL9+Inputs!$F$79+BL9)/100*Time!BL20/360</f>
        <v>0.0435466666666667</v>
      </c>
      <c r="BM12" s="14" t="n">
        <f aca="false">(Operations!BM9+Inputs!$F$79+BM9)/100*Time!BM20/360</f>
        <v>0.0428366666666667</v>
      </c>
      <c r="BN12" s="14" t="n">
        <f aca="false">(Operations!BN9+Inputs!$F$79+BN9)/100*Time!BN20/360</f>
        <v>0.0435466666666667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0.0514509259259259</v>
      </c>
      <c r="R13" s="14" t="n">
        <f aca="false">(Operations!R9+R8+R9)/100*Time!R20/360/(1-Inputs!$F$91/100)</f>
        <v>0.0523037037037037</v>
      </c>
      <c r="S13" s="14" t="n">
        <f aca="false">(Operations!S9+S8+S9)/100*Time!S20/360/(1-Inputs!$F$91/100)</f>
        <v>0.0515067901234568</v>
      </c>
      <c r="T13" s="14" t="n">
        <f aca="false">(Operations!T9+T8+T9)/100*Time!T20/360/(1-Inputs!$F$91/100)</f>
        <v>0.0523604938271605</v>
      </c>
      <c r="U13" s="14" t="n">
        <f aca="false">(Operations!U9+U8+U9)/100*Time!U20/360/(1-Inputs!$F$91/100)</f>
        <v>0.0517913580246914</v>
      </c>
      <c r="V13" s="14" t="n">
        <f aca="false">(Operations!V9+V8+V9)/100*Time!V20/360/(1-Inputs!$F$91/100)</f>
        <v>0.0523604938271605</v>
      </c>
      <c r="W13" s="14" t="n">
        <f aca="false">(Operations!W9+W8+W9)/100*Time!W20/360/(1-Inputs!$F$91/100)</f>
        <v>0.0515067901234568</v>
      </c>
      <c r="X13" s="14" t="n">
        <f aca="false">(Operations!X9+X8+X9)/100*Time!X20/360/(1-Inputs!$F$91/100)</f>
        <v>0.0523604938271605</v>
      </c>
      <c r="Y13" s="14" t="n">
        <f aca="false">(Operations!Y9+Y8+Y9)/100*Time!Y20/360/(1-Inputs!$F$91/100)</f>
        <v>0.0543</v>
      </c>
      <c r="Z13" s="14" t="n">
        <f aca="false">(Operations!Z9+Z8+Z9)/100*Time!Z20/360/(1-Inputs!$F$91/100)</f>
        <v>0.0552</v>
      </c>
      <c r="AA13" s="14" t="n">
        <f aca="false">(Operations!AA9+AA8+AA9)/100*Time!AA20/360/(1-Inputs!$F$91/100)</f>
        <v>0.0543</v>
      </c>
      <c r="AB13" s="14" t="n">
        <f aca="false">(Operations!AB9+AB8+AB9)/100*Time!AB20/360/(1-Inputs!$F$91/100)</f>
        <v>0.0552</v>
      </c>
      <c r="AC13" s="14" t="n">
        <f aca="false">(Operations!AC9+AC8+AC9)/100*Time!AC20/360/(1-Inputs!$F$91/100)</f>
        <v>0.0546</v>
      </c>
      <c r="AD13" s="14" t="n">
        <f aca="false">(Operations!AD9+AD8+AD9)/100*Time!AD20/360/(1-Inputs!$F$91/100)</f>
        <v>0.0552</v>
      </c>
      <c r="AE13" s="14" t="n">
        <f aca="false">(Operations!AE9+AE8+AE9)/100*Time!AE20/360/(1-Inputs!$F$91/100)</f>
        <v>0.0543</v>
      </c>
      <c r="AF13" s="14" t="n">
        <f aca="false">(Operations!AF9+AF8+AF9)/100*Time!AF20/360/(1-Inputs!$F$91/100)</f>
        <v>0.0552</v>
      </c>
      <c r="AG13" s="14" t="n">
        <f aca="false">(Operations!AG9+AG8+AG9)/100*Time!AG20/360/(1-Inputs!$F$91/100)</f>
        <v>0.0570932098765432</v>
      </c>
      <c r="AH13" s="14" t="n">
        <f aca="false">(Operations!AH9+AH8+AH9)/100*Time!AH20/360/(1-Inputs!$F$91/100)</f>
        <v>0.0580395061728395</v>
      </c>
      <c r="AI13" s="14" t="n">
        <f aca="false">(Operations!AI9+AI8+AI9)/100*Time!AI20/360/(1-Inputs!$F$91/100)</f>
        <v>0.0570932098765432</v>
      </c>
      <c r="AJ13" s="14" t="n">
        <f aca="false">(Operations!AJ9+AJ8+AJ9)/100*Time!AJ20/360/(1-Inputs!$F$91/100)</f>
        <v>0.0580395061728395</v>
      </c>
      <c r="AK13" s="14" t="n">
        <f aca="false">(Operations!AK9+AK8+AK9)/100*Time!AK20/360/(1-Inputs!$F$91/100)</f>
        <v>0.0574086419753086</v>
      </c>
      <c r="AL13" s="14" t="n">
        <f aca="false">(Operations!AL9+AL8+AL9)/100*Time!AL20/360/(1-Inputs!$F$91/100)</f>
        <v>0.0580395061728395</v>
      </c>
      <c r="AM13" s="14" t="n">
        <f aca="false">(Operations!AM9+AM8+AM9)/100*Time!AM20/360/(1-Inputs!$F$91/100)</f>
        <v>0.0570932098765432</v>
      </c>
      <c r="AN13" s="14" t="n">
        <f aca="false">(Operations!AN9+AN8+AN9)/100*Time!AN20/360/(1-Inputs!$F$91/100)</f>
        <v>0.0580395061728395</v>
      </c>
      <c r="AO13" s="14" t="n">
        <f aca="false">(Operations!AO9+AO8+AO9)/100*Time!AO20/360/(1-Inputs!$F$91/100)</f>
        <v>0.0570932098765432</v>
      </c>
      <c r="AP13" s="14" t="n">
        <f aca="false">(Operations!AP9+AP8+AP9)/100*Time!AP20/360/(1-Inputs!$F$91/100)</f>
        <v>0.0580395061728395</v>
      </c>
      <c r="AQ13" s="14" t="n">
        <f aca="false">(Operations!AQ9+AQ8+AQ9)/100*Time!AQ20/360/(1-Inputs!$F$91/100)</f>
        <v>0.0570932098765432</v>
      </c>
      <c r="AR13" s="14" t="n">
        <f aca="false">(Operations!AR9+AR8+AR9)/100*Time!AR20/360/(1-Inputs!$F$91/100)</f>
        <v>0.0580395061728395</v>
      </c>
      <c r="AS13" s="14" t="n">
        <f aca="false">(Operations!AS9+AS8+AS9)/100*Time!AS20/360/(1-Inputs!$F$91/100)</f>
        <v>0.0574086419753086</v>
      </c>
      <c r="AT13" s="14" t="n">
        <f aca="false">(Operations!AT9+AT8+AT9)/100*Time!AT20/360/(1-Inputs!$F$91/100)</f>
        <v>0.0580395061728395</v>
      </c>
      <c r="AU13" s="14" t="n">
        <f aca="false">(Operations!AU9+AU8+AU9)/100*Time!AU20/360/(1-Inputs!$F$91/100)</f>
        <v>0.0570932098765432</v>
      </c>
      <c r="AV13" s="14" t="n">
        <f aca="false">(Operations!AV9+AV8+AV9)/100*Time!AV20/360/(1-Inputs!$F$91/100)</f>
        <v>0.0580395061728395</v>
      </c>
      <c r="AW13" s="14" t="n">
        <f aca="false">(Operations!AW9+AW8+AW9)/100*Time!AW20/360/(1-Inputs!$F$91/100)</f>
        <v>0.0570932098765432</v>
      </c>
      <c r="AX13" s="14" t="n">
        <f aca="false">(Operations!AX9+AX8+AX9)/100*Time!AX20/360/(1-Inputs!$F$91/100)</f>
        <v>0.0580395061728395</v>
      </c>
      <c r="AY13" s="14" t="n">
        <f aca="false">(Operations!AY9+AY8+AY9)/100*Time!AY20/360/(1-Inputs!$F$91/100)</f>
        <v>0.0570932098765432</v>
      </c>
      <c r="AZ13" s="14" t="n">
        <f aca="false">(Operations!AZ9+AZ8+AZ9)/100*Time!AZ20/360/(1-Inputs!$F$91/100)</f>
        <v>0.0580395061728395</v>
      </c>
      <c r="BA13" s="14" t="n">
        <f aca="false">(Operations!BA9+BA8+BA9)/100*Time!BA20/360/(1-Inputs!$F$91/100)</f>
        <v>0.0574086419753086</v>
      </c>
      <c r="BB13" s="14" t="n">
        <f aca="false">(Operations!BB9+BB8+BB9)/100*Time!BB20/360/(1-Inputs!$F$91/100)</f>
        <v>0.0580395061728395</v>
      </c>
      <c r="BC13" s="14" t="n">
        <f aca="false">(Operations!BC9+BC8+BC9)/100*Time!BC20/360/(1-Inputs!$F$91/100)</f>
        <v>0.0570932098765432</v>
      </c>
      <c r="BD13" s="14" t="n">
        <f aca="false">(Operations!BD9+BD8+BD9)/100*Time!BD20/360/(1-Inputs!$F$91/100)</f>
        <v>0.0580395061728395</v>
      </c>
      <c r="BE13" s="14" t="n">
        <f aca="false">(Operations!BE9+BE8+BE9)/100*Time!BE20/360/(1-Inputs!$F$91/100)</f>
        <v>0.0570932098765432</v>
      </c>
      <c r="BF13" s="14" t="n">
        <f aca="false">(Operations!BF9+BF8+BF9)/100*Time!BF20/360/(1-Inputs!$F$91/100)</f>
        <v>0.0580395061728395</v>
      </c>
      <c r="BG13" s="14" t="n">
        <f aca="false">(Operations!BG9+BG8+BG9)/100*Time!BG20/360/(1-Inputs!$F$91/100)</f>
        <v>0.0570932098765432</v>
      </c>
      <c r="BH13" s="14" t="n">
        <f aca="false">(Operations!BH9+BH8+BH9)/100*Time!BH20/360/(1-Inputs!$F$91/100)</f>
        <v>0.0580395061728395</v>
      </c>
      <c r="BI13" s="14" t="n">
        <f aca="false">(Operations!BI9+BI8+BI9)/100*Time!BI20/360/(1-Inputs!$F$91/100)</f>
        <v>0.0574086419753086</v>
      </c>
      <c r="BJ13" s="14" t="n">
        <f aca="false">(Operations!BJ9+BJ8+BJ9)/100*Time!BJ20/360/(1-Inputs!$F$91/100)</f>
        <v>0.0580395061728395</v>
      </c>
      <c r="BK13" s="14" t="n">
        <f aca="false">(Operations!BK9+BK8+BK9)/100*Time!BK20/360/(1-Inputs!$F$91/100)</f>
        <v>0.0570932098765432</v>
      </c>
      <c r="BL13" s="14" t="n">
        <f aca="false">(Operations!BL9+BL8+BL9)/100*Time!BL20/360/(1-Inputs!$F$91/100)</f>
        <v>0.0580395061728395</v>
      </c>
      <c r="BM13" s="14" t="n">
        <f aca="false">(Operations!BM9+BM8+BM9)/100*Time!BM20/360/(1-Inputs!$F$91/100)</f>
        <v>0.0570932098765432</v>
      </c>
      <c r="BN13" s="14" t="n">
        <f aca="false">(Operations!BN9+BN8+BN9)/100*Time!BN20/360/(1-Inputs!$F$91/100)</f>
        <v>0.0580395061728395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0.0498286296296296</v>
      </c>
      <c r="R14" s="14" t="n">
        <f aca="false">(Inputs!$F$100*(Operations!R9+R8+Inputs!$F$99+R9)/(1-Inputs!$F$91/100)+(1-Inputs!$F$100)*(Operations!R9+Inputs!$F$78+Inputs!$F$99+R9))/100*Time!R20/360</f>
        <v>0.0506545185185185</v>
      </c>
      <c r="S14" s="14" t="n">
        <f aca="false">(Inputs!$F$100*(Operations!S9+S8+Inputs!$F$99+S9)/(1-Inputs!$F$91/100)+(1-Inputs!$F$100)*(Operations!S9+Inputs!$F$78+Inputs!$F$99+S9))/100*Time!S20/360</f>
        <v>0.0498822592592593</v>
      </c>
      <c r="T14" s="14" t="n">
        <f aca="false">(Inputs!$F$100*(Operations!T9+T8+Inputs!$F$99+T9)/(1-Inputs!$F$91/100)+(1-Inputs!$F$100)*(Operations!T9+Inputs!$F$78+Inputs!$F$99+T9))/100*Time!T20/360</f>
        <v>0.050709037037037</v>
      </c>
      <c r="U14" s="14" t="n">
        <f aca="false">(Inputs!$F$100*(Operations!U9+U8+Inputs!$F$99+U9)/(1-Inputs!$F$91/100)+(1-Inputs!$F$100)*(Operations!U9+Inputs!$F$78+Inputs!$F$99+U9))/100*Time!U20/360</f>
        <v>0.0501578518518519</v>
      </c>
      <c r="V14" s="14" t="n">
        <f aca="false">(Inputs!$F$100*(Operations!V9+V8+Inputs!$F$99+V9)/(1-Inputs!$F$91/100)+(1-Inputs!$F$100)*(Operations!V9+Inputs!$F$78+Inputs!$F$99+V9))/100*Time!V20/360</f>
        <v>0.050709037037037</v>
      </c>
      <c r="W14" s="14" t="n">
        <f aca="false">(Inputs!$F$100*(Operations!W9+W8+Inputs!$F$99+W9)/(1-Inputs!$F$91/100)+(1-Inputs!$F$100)*(Operations!W9+Inputs!$F$78+Inputs!$F$99+W9))/100*Time!W20/360</f>
        <v>0.0498822592592593</v>
      </c>
      <c r="X14" s="14" t="n">
        <f aca="false">(Inputs!$F$100*(Operations!X9+X8+Inputs!$F$99+X9)/(1-Inputs!$F$91/100)+(1-Inputs!$F$100)*(Operations!X9+Inputs!$F$78+Inputs!$F$99+X9))/100*Time!X20/360</f>
        <v>0.050709037037037</v>
      </c>
      <c r="Y14" s="14" t="n">
        <f aca="false">(Inputs!$F$100*(Operations!Y9+Y8+Inputs!$F$99+Y9)/(1-Inputs!$F$91/100)+(1-Inputs!$F$100)*(Operations!Y9+Inputs!$F$78+Inputs!$F$99+Y9))/100*Time!Y20/360</f>
        <v>0.0515581851851852</v>
      </c>
      <c r="Z14" s="14" t="n">
        <f aca="false">(Inputs!$F$100*(Operations!Z9+Z8+Inputs!$F$99+Z9)/(1-Inputs!$F$91/100)+(1-Inputs!$F$100)*(Operations!Z9+Inputs!$F$78+Inputs!$F$99+Z9))/100*Time!Z20/360</f>
        <v>0.0524127407407407</v>
      </c>
      <c r="AA14" s="14" t="n">
        <f aca="false">(Inputs!$F$100*(Operations!AA9+AA8+Inputs!$F$99+AA9)/(1-Inputs!$F$91/100)+(1-Inputs!$F$100)*(Operations!AA9+Inputs!$F$78+Inputs!$F$99+AA9))/100*Time!AA20/360</f>
        <v>0.0515581851851852</v>
      </c>
      <c r="AB14" s="14" t="n">
        <f aca="false">(Inputs!$F$100*(Operations!AB9+AB8+Inputs!$F$99+AB9)/(1-Inputs!$F$91/100)+(1-Inputs!$F$100)*(Operations!AB9+Inputs!$F$78+Inputs!$F$99+AB9))/100*Time!AB20/360</f>
        <v>0.0524127407407407</v>
      </c>
      <c r="AC14" s="14" t="n">
        <f aca="false">(Inputs!$F$100*(Operations!AC9+AC8+Inputs!$F$99+AC9)/(1-Inputs!$F$91/100)+(1-Inputs!$F$100)*(Operations!AC9+Inputs!$F$78+Inputs!$F$99+AC9))/100*Time!AC20/360</f>
        <v>0.051843037037037</v>
      </c>
      <c r="AD14" s="14" t="n">
        <f aca="false">(Inputs!$F$100*(Operations!AD9+AD8+Inputs!$F$99+AD9)/(1-Inputs!$F$91/100)+(1-Inputs!$F$100)*(Operations!AD9+Inputs!$F$78+Inputs!$F$99+AD9))/100*Time!AD20/360</f>
        <v>0.0524127407407407</v>
      </c>
      <c r="AE14" s="14" t="n">
        <f aca="false">(Inputs!$F$100*(Operations!AE9+AE8+Inputs!$F$99+AE9)/(1-Inputs!$F$91/100)+(1-Inputs!$F$100)*(Operations!AE9+Inputs!$F$78+Inputs!$F$99+AE9))/100*Time!AE20/360</f>
        <v>0.0515581851851852</v>
      </c>
      <c r="AF14" s="14" t="n">
        <f aca="false">(Inputs!$F$100*(Operations!AF9+AF8+Inputs!$F$99+AF9)/(1-Inputs!$F$91/100)+(1-Inputs!$F$100)*(Operations!AF9+Inputs!$F$78+Inputs!$F$99+AF9))/100*Time!AF20/360</f>
        <v>0.0524127407407407</v>
      </c>
      <c r="AG14" s="14" t="n">
        <f aca="false">(Inputs!$F$100*(Operations!AG9+AG8+Inputs!$F$99+AG9)/(1-Inputs!$F$91/100)+(1-Inputs!$F$100)*(Operations!AG9+Inputs!$F$78+Inputs!$F$99+AG9))/100*Time!AG20/360</f>
        <v>0.0532341111111111</v>
      </c>
      <c r="AH14" s="14" t="n">
        <f aca="false">(Inputs!$F$100*(Operations!AH9+AH8+Inputs!$F$99+AH9)/(1-Inputs!$F$91/100)+(1-Inputs!$F$100)*(Operations!AH9+Inputs!$F$78+Inputs!$F$99+AH9))/100*Time!AH20/360</f>
        <v>0.0541164444444444</v>
      </c>
      <c r="AI14" s="14" t="n">
        <f aca="false">(Inputs!$F$100*(Operations!AI9+AI8+Inputs!$F$99+AI9)/(1-Inputs!$F$91/100)+(1-Inputs!$F$100)*(Operations!AI9+Inputs!$F$78+Inputs!$F$99+AI9))/100*Time!AI20/360</f>
        <v>0.0532341111111111</v>
      </c>
      <c r="AJ14" s="14" t="n">
        <f aca="false">(Inputs!$F$100*(Operations!AJ9+AJ8+Inputs!$F$99+AJ9)/(1-Inputs!$F$91/100)+(1-Inputs!$F$100)*(Operations!AJ9+Inputs!$F$78+Inputs!$F$99+AJ9))/100*Time!AJ20/360</f>
        <v>0.0541164444444444</v>
      </c>
      <c r="AK14" s="14" t="n">
        <f aca="false">(Inputs!$F$100*(Operations!AK9+AK8+Inputs!$F$99+AK9)/(1-Inputs!$F$91/100)+(1-Inputs!$F$100)*(Operations!AK9+Inputs!$F$78+Inputs!$F$99+AK9))/100*Time!AK20/360</f>
        <v>0.0535282222222222</v>
      </c>
      <c r="AL14" s="14" t="n">
        <f aca="false">(Inputs!$F$100*(Operations!AL9+AL8+Inputs!$F$99+AL9)/(1-Inputs!$F$91/100)+(1-Inputs!$F$100)*(Operations!AL9+Inputs!$F$78+Inputs!$F$99+AL9))/100*Time!AL20/360</f>
        <v>0.0541164444444444</v>
      </c>
      <c r="AM14" s="14" t="n">
        <f aca="false">(Inputs!$F$100*(Operations!AM9+AM8+Inputs!$F$99+AM9)/(1-Inputs!$F$91/100)+(1-Inputs!$F$100)*(Operations!AM9+Inputs!$F$78+Inputs!$F$99+AM9))/100*Time!AM20/360</f>
        <v>0.0532341111111111</v>
      </c>
      <c r="AN14" s="14" t="n">
        <f aca="false">(Inputs!$F$100*(Operations!AN9+AN8+Inputs!$F$99+AN9)/(1-Inputs!$F$91/100)+(1-Inputs!$F$100)*(Operations!AN9+Inputs!$F$78+Inputs!$F$99+AN9))/100*Time!AN20/360</f>
        <v>0.0541164444444444</v>
      </c>
      <c r="AO14" s="14" t="n">
        <f aca="false">(Inputs!$F$100*(Operations!AO9+AO8+Inputs!$F$99+AO9)/(1-Inputs!$F$91/100)+(1-Inputs!$F$100)*(Operations!AO9+Inputs!$F$78+Inputs!$F$99+AO9))/100*Time!AO20/360</f>
        <v>0.0532341111111111</v>
      </c>
      <c r="AP14" s="14" t="n">
        <f aca="false">(Inputs!$F$100*(Operations!AP9+AP8+Inputs!$F$99+AP9)/(1-Inputs!$F$91/100)+(1-Inputs!$F$100)*(Operations!AP9+Inputs!$F$78+Inputs!$F$99+AP9))/100*Time!AP20/360</f>
        <v>0.0541164444444444</v>
      </c>
      <c r="AQ14" s="14" t="n">
        <f aca="false">(Inputs!$F$100*(Operations!AQ9+AQ8+Inputs!$F$99+AQ9)/(1-Inputs!$F$91/100)+(1-Inputs!$F$100)*(Operations!AQ9+Inputs!$F$78+Inputs!$F$99+AQ9))/100*Time!AQ20/360</f>
        <v>0.0532341111111111</v>
      </c>
      <c r="AR14" s="14" t="n">
        <f aca="false">(Inputs!$F$100*(Operations!AR9+AR8+Inputs!$F$99+AR9)/(1-Inputs!$F$91/100)+(1-Inputs!$F$100)*(Operations!AR9+Inputs!$F$78+Inputs!$F$99+AR9))/100*Time!AR20/360</f>
        <v>0.0541164444444444</v>
      </c>
      <c r="AS14" s="14" t="n">
        <f aca="false">(Inputs!$F$100*(Operations!AS9+AS8+Inputs!$F$99+AS9)/(1-Inputs!$F$91/100)+(1-Inputs!$F$100)*(Operations!AS9+Inputs!$F$78+Inputs!$F$99+AS9))/100*Time!AS20/360</f>
        <v>0.0535282222222222</v>
      </c>
      <c r="AT14" s="14" t="n">
        <f aca="false">(Inputs!$F$100*(Operations!AT9+AT8+Inputs!$F$99+AT9)/(1-Inputs!$F$91/100)+(1-Inputs!$F$100)*(Operations!AT9+Inputs!$F$78+Inputs!$F$99+AT9))/100*Time!AT20/360</f>
        <v>0.0541164444444444</v>
      </c>
      <c r="AU14" s="14" t="n">
        <f aca="false">(Inputs!$F$100*(Operations!AU9+AU8+Inputs!$F$99+AU9)/(1-Inputs!$F$91/100)+(1-Inputs!$F$100)*(Operations!AU9+Inputs!$F$78+Inputs!$F$99+AU9))/100*Time!AU20/360</f>
        <v>0.0532341111111111</v>
      </c>
      <c r="AV14" s="14" t="n">
        <f aca="false">(Inputs!$F$100*(Operations!AV9+AV8+Inputs!$F$99+AV9)/(1-Inputs!$F$91/100)+(1-Inputs!$F$100)*(Operations!AV9+Inputs!$F$78+Inputs!$F$99+AV9))/100*Time!AV20/360</f>
        <v>0.0541164444444444</v>
      </c>
      <c r="AW14" s="14" t="n">
        <f aca="false">(Inputs!$F$100*(Operations!AW9+AW8+Inputs!$F$99+AW9)/(1-Inputs!$F$91/100)+(1-Inputs!$F$100)*(Operations!AW9+Inputs!$F$78+Inputs!$F$99+AW9))/100*Time!AW20/360</f>
        <v>0.0532341111111111</v>
      </c>
      <c r="AX14" s="14" t="n">
        <f aca="false">(Inputs!$F$100*(Operations!AX9+AX8+Inputs!$F$99+AX9)/(1-Inputs!$F$91/100)+(1-Inputs!$F$100)*(Operations!AX9+Inputs!$F$78+Inputs!$F$99+AX9))/100*Time!AX20/360</f>
        <v>0.0541164444444444</v>
      </c>
      <c r="AY14" s="14" t="n">
        <f aca="false">(Inputs!$F$100*(Operations!AY9+AY8+Inputs!$F$99+AY9)/(1-Inputs!$F$91/100)+(1-Inputs!$F$100)*(Operations!AY9+Inputs!$F$78+Inputs!$F$99+AY9))/100*Time!AY20/360</f>
        <v>0.0532341111111111</v>
      </c>
      <c r="AZ14" s="14" t="n">
        <f aca="false">(Inputs!$F$100*(Operations!AZ9+AZ8+Inputs!$F$99+AZ9)/(1-Inputs!$F$91/100)+(1-Inputs!$F$100)*(Operations!AZ9+Inputs!$F$78+Inputs!$F$99+AZ9))/100*Time!AZ20/360</f>
        <v>0.0541164444444444</v>
      </c>
      <c r="BA14" s="14" t="n">
        <f aca="false">(Inputs!$F$100*(Operations!BA9+BA8+Inputs!$F$99+BA9)/(1-Inputs!$F$91/100)+(1-Inputs!$F$100)*(Operations!BA9+Inputs!$F$78+Inputs!$F$99+BA9))/100*Time!BA20/360</f>
        <v>0.0535282222222222</v>
      </c>
      <c r="BB14" s="14" t="n">
        <f aca="false">(Inputs!$F$100*(Operations!BB9+BB8+Inputs!$F$99+BB9)/(1-Inputs!$F$91/100)+(1-Inputs!$F$100)*(Operations!BB9+Inputs!$F$78+Inputs!$F$99+BB9))/100*Time!BB20/360</f>
        <v>0.0541164444444444</v>
      </c>
      <c r="BC14" s="14" t="n">
        <f aca="false">(Inputs!$F$100*(Operations!BC9+BC8+Inputs!$F$99+BC9)/(1-Inputs!$F$91/100)+(1-Inputs!$F$100)*(Operations!BC9+Inputs!$F$78+Inputs!$F$99+BC9))/100*Time!BC20/360</f>
        <v>0.0532341111111111</v>
      </c>
      <c r="BD14" s="14" t="n">
        <f aca="false">(Inputs!$F$100*(Operations!BD9+BD8+Inputs!$F$99+BD9)/(1-Inputs!$F$91/100)+(1-Inputs!$F$100)*(Operations!BD9+Inputs!$F$78+Inputs!$F$99+BD9))/100*Time!BD20/360</f>
        <v>0.0541164444444444</v>
      </c>
      <c r="BE14" s="14" t="n">
        <f aca="false">(Inputs!$F$100*(Operations!BE9+BE8+Inputs!$F$99+BE9)/(1-Inputs!$F$91/100)+(1-Inputs!$F$100)*(Operations!BE9+Inputs!$F$78+Inputs!$F$99+BE9))/100*Time!BE20/360</f>
        <v>0.0532341111111111</v>
      </c>
      <c r="BF14" s="14" t="n">
        <f aca="false">(Inputs!$F$100*(Operations!BF9+BF8+Inputs!$F$99+BF9)/(1-Inputs!$F$91/100)+(1-Inputs!$F$100)*(Operations!BF9+Inputs!$F$78+Inputs!$F$99+BF9))/100*Time!BF20/360</f>
        <v>0.0541164444444444</v>
      </c>
      <c r="BG14" s="14" t="n">
        <f aca="false">(Inputs!$F$100*(Operations!BG9+BG8+Inputs!$F$99+BG9)/(1-Inputs!$F$91/100)+(1-Inputs!$F$100)*(Operations!BG9+Inputs!$F$78+Inputs!$F$99+BG9))/100*Time!BG20/360</f>
        <v>0.0532341111111111</v>
      </c>
      <c r="BH14" s="14" t="n">
        <f aca="false">(Inputs!$F$100*(Operations!BH9+BH8+Inputs!$F$99+BH9)/(1-Inputs!$F$91/100)+(1-Inputs!$F$100)*(Operations!BH9+Inputs!$F$78+Inputs!$F$99+BH9))/100*Time!BH20/360</f>
        <v>0.0541164444444444</v>
      </c>
      <c r="BI14" s="14" t="n">
        <f aca="false">(Inputs!$F$100*(Operations!BI9+BI8+Inputs!$F$99+BI9)/(1-Inputs!$F$91/100)+(1-Inputs!$F$100)*(Operations!BI9+Inputs!$F$78+Inputs!$F$99+BI9))/100*Time!BI20/360</f>
        <v>0.0535282222222222</v>
      </c>
      <c r="BJ14" s="14" t="n">
        <f aca="false">(Inputs!$F$100*(Operations!BJ9+BJ8+Inputs!$F$99+BJ9)/(1-Inputs!$F$91/100)+(1-Inputs!$F$100)*(Operations!BJ9+Inputs!$F$78+Inputs!$F$99+BJ9))/100*Time!BJ20/360</f>
        <v>0.0541164444444444</v>
      </c>
      <c r="BK14" s="14" t="n">
        <f aca="false">(Inputs!$F$100*(Operations!BK9+BK8+Inputs!$F$99+BK9)/(1-Inputs!$F$91/100)+(1-Inputs!$F$100)*(Operations!BK9+Inputs!$F$78+Inputs!$F$99+BK9))/100*Time!BK20/360</f>
        <v>0.0532341111111111</v>
      </c>
      <c r="BL14" s="14" t="n">
        <f aca="false">(Inputs!$F$100*(Operations!BL9+BL8+Inputs!$F$99+BL9)/(1-Inputs!$F$91/100)+(1-Inputs!$F$100)*(Operations!BL9+Inputs!$F$78+Inputs!$F$99+BL9))/100*Time!BL20/360</f>
        <v>0.0541164444444444</v>
      </c>
      <c r="BM14" s="14" t="n">
        <f aca="false">(Inputs!$F$100*(Operations!BM9+BM8+Inputs!$F$99+BM9)/(1-Inputs!$F$91/100)+(1-Inputs!$F$100)*(Operations!BM9+Inputs!$F$78+Inputs!$F$99+BM9))/100*Time!BM20/360</f>
        <v>0.0532341111111111</v>
      </c>
      <c r="BN14" s="14" t="n">
        <f aca="false">(Inputs!$F$100*(Operations!BN9+BN8+Inputs!$F$99+BN9)/(1-Inputs!$F$91/100)+(1-Inputs!$F$100)*(Operations!BN9+Inputs!$F$78+Inputs!$F$99+BN9))/100*Time!BN20/360</f>
        <v>0.0541164444444444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93.0764068938425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6.01941148362688</v>
      </c>
      <c r="R27" s="11" t="n">
        <f aca="false">R25*R10</f>
        <v>5.95925648998672</v>
      </c>
      <c r="S27" s="11" t="n">
        <f aca="false">S25*S10</f>
        <v>5.70584762293156</v>
      </c>
      <c r="T27" s="11" t="n">
        <f aca="false">T25*T10</f>
        <v>5.62740551542489</v>
      </c>
      <c r="U27" s="11" t="n">
        <f aca="false">U25*U10</f>
        <v>5.38723240209455</v>
      </c>
      <c r="V27" s="11" t="n">
        <f aca="false">V25*V10</f>
        <v>5.25968846108151</v>
      </c>
      <c r="W27" s="11" t="n">
        <f aca="false">W25*W10</f>
        <v>4.97823215583279</v>
      </c>
      <c r="X27" s="11" t="n">
        <f aca="false">X25*X10</f>
        <v>4.85571851976232</v>
      </c>
      <c r="Y27" s="11" t="n">
        <f aca="false">Y25*Y10</f>
        <v>4.58046449812361</v>
      </c>
      <c r="Z27" s="11" t="n">
        <f aca="false">Z25*Z10</f>
        <v>4.4569552817845</v>
      </c>
      <c r="AA27" s="11" t="n">
        <f aca="false">AA25*AA10</f>
        <v>4.17998335664266</v>
      </c>
      <c r="AB27" s="11" t="n">
        <f aca="false">AB25*AB10</f>
        <v>4.03551348815537</v>
      </c>
      <c r="AC27" s="11" t="n">
        <f aca="false">AC25*AC10</f>
        <v>3.77012041380205</v>
      </c>
      <c r="AD27" s="11" t="n">
        <f aca="false">AD25*AD10</f>
        <v>3.58016757436221</v>
      </c>
      <c r="AE27" s="11" t="n">
        <f aca="false">AE25*AE10</f>
        <v>3.27326155968146</v>
      </c>
      <c r="AF27" s="11" t="n">
        <f aca="false">AF25*AF10</f>
        <v>3.06400228823977</v>
      </c>
      <c r="AG27" s="11" t="n">
        <f aca="false">AG25*AG10</f>
        <v>2.74573614415408</v>
      </c>
      <c r="AH27" s="11" t="n">
        <f aca="false">AH25*AH10</f>
        <v>2.51339836041188</v>
      </c>
      <c r="AI27" s="11" t="n">
        <f aca="false">AI25*AI10</f>
        <v>2.18538099480509</v>
      </c>
      <c r="AJ27" s="11" t="n">
        <f aca="false">AJ25*AJ10</f>
        <v>1.92123934409009</v>
      </c>
      <c r="AK27" s="11" t="n">
        <f aca="false">AK25*AK10</f>
        <v>1.58891446560193</v>
      </c>
      <c r="AL27" s="11" t="n">
        <f aca="false">AL25*AL10</f>
        <v>1.28131918496857</v>
      </c>
      <c r="AM27" s="11" t="n">
        <f aca="false">AM25*AM10</f>
        <v>0.921378373170304</v>
      </c>
      <c r="AN27" s="11" t="n">
        <f aca="false">AN25*AN10</f>
        <v>0.584816549935677</v>
      </c>
      <c r="AO27" s="11" t="n">
        <f aca="false">AO25*AO10</f>
        <v>0.289755683676798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93.0388388483601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5.98586677566859</v>
      </c>
      <c r="R42" s="11" t="n">
        <f aca="false">R40*R11</f>
        <v>5.92604701109516</v>
      </c>
      <c r="S42" s="11" t="n">
        <f aca="false">S40*S11</f>
        <v>5.67174776078525</v>
      </c>
      <c r="T42" s="11" t="n">
        <f aca="false">T40*T11</f>
        <v>5.59377444691437</v>
      </c>
      <c r="U42" s="11" t="n">
        <f aca="false">U40*U11</f>
        <v>5.35503668037157</v>
      </c>
      <c r="V42" s="11" t="n">
        <f aca="false">V40*V11</f>
        <v>5.22825498032492</v>
      </c>
      <c r="W42" s="11" t="n">
        <f aca="false">W40*W11</f>
        <v>4.94848074263977</v>
      </c>
      <c r="X42" s="11" t="n">
        <f aca="false">X40*X11</f>
        <v>4.82669928491985</v>
      </c>
      <c r="Y42" s="11" t="n">
        <f aca="false">Y40*Y11</f>
        <v>4.55309026413173</v>
      </c>
      <c r="Z42" s="11" t="n">
        <f aca="false">Z40*Z11</f>
        <v>4.4303191760304</v>
      </c>
      <c r="AA42" s="11" t="n">
        <f aca="false">AA40*AA11</f>
        <v>4.15500251844737</v>
      </c>
      <c r="AB42" s="11" t="n">
        <f aca="false">AB40*AB11</f>
        <v>4.01139604536166</v>
      </c>
      <c r="AC42" s="11" t="n">
        <f aca="false">AC40*AC11</f>
        <v>3.74758903987104</v>
      </c>
      <c r="AD42" s="11" t="n">
        <f aca="false">AD40*AD11</f>
        <v>3.5587714157519</v>
      </c>
      <c r="AE42" s="11" t="n">
        <f aca="false">AE40*AE11</f>
        <v>3.2536995637555</v>
      </c>
      <c r="AF42" s="11" t="n">
        <f aca="false">AF40*AF11</f>
        <v>3.04569088868099</v>
      </c>
      <c r="AG42" s="11" t="n">
        <f aca="false">AG40*AG11</f>
        <v>2.72932679883095</v>
      </c>
      <c r="AH42" s="11" t="n">
        <f aca="false">AH40*AH11</f>
        <v>2.49837753558923</v>
      </c>
      <c r="AI42" s="11" t="n">
        <f aca="false">AI40*AI11</f>
        <v>2.1723205004518</v>
      </c>
      <c r="AJ42" s="11" t="n">
        <f aca="false">AJ40*AJ11</f>
        <v>1.90975743971531</v>
      </c>
      <c r="AK42" s="11" t="n">
        <f aca="false">AK40*AK11</f>
        <v>1.57941863468953</v>
      </c>
      <c r="AL42" s="11" t="n">
        <f aca="false">AL40*AL11</f>
        <v>1.27366163600121</v>
      </c>
      <c r="AM42" s="11" t="n">
        <f aca="false">AM40*AM11</f>
        <v>0.915871938791749</v>
      </c>
      <c r="AN42" s="11" t="n">
        <f aca="false">AN40*AN11</f>
        <v>0.581321510276092</v>
      </c>
      <c r="AO42" s="11" t="n">
        <f aca="false">AO40*AO11</f>
        <v>0.288024016530662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41.0659343023075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2.64319874745432</v>
      </c>
      <c r="R57" s="11" t="n">
        <f aca="false">R55*R12</f>
        <v>2.6167839385855</v>
      </c>
      <c r="S57" s="11" t="n">
        <f aca="false">S55*S12</f>
        <v>2.5045760817814</v>
      </c>
      <c r="T57" s="11" t="n">
        <f aca="false">T55*T12</f>
        <v>2.47014399749717</v>
      </c>
      <c r="U57" s="11" t="n">
        <f aca="false">U55*U12</f>
        <v>2.36472025068756</v>
      </c>
      <c r="V57" s="11" t="n">
        <f aca="false">V55*V12</f>
        <v>2.30873496591522</v>
      </c>
      <c r="W57" s="11" t="n">
        <f aca="false">W55*W12</f>
        <v>2.18519000348766</v>
      </c>
      <c r="X57" s="11" t="n">
        <f aca="false">X55*X12</f>
        <v>2.13141276601623</v>
      </c>
      <c r="Y57" s="11" t="n">
        <f aca="false">Y55*Y12</f>
        <v>2.01059028974823</v>
      </c>
      <c r="Z57" s="11" t="n">
        <f aca="false">Z55*Z12</f>
        <v>1.95637604331808</v>
      </c>
      <c r="AA57" s="11" t="n">
        <f aca="false">AA55*AA12</f>
        <v>1.83479949503325</v>
      </c>
      <c r="AB57" s="11" t="n">
        <f aca="false">AB55*AB12</f>
        <v>1.7713845914005</v>
      </c>
      <c r="AC57" s="11" t="n">
        <f aca="false">AC55*AC12</f>
        <v>1.65489056803676</v>
      </c>
      <c r="AD57" s="11" t="n">
        <f aca="false">AD55*AD12</f>
        <v>1.57151095999825</v>
      </c>
      <c r="AE57" s="11" t="n">
        <f aca="false">AE55*AE12</f>
        <v>1.43679487318321</v>
      </c>
      <c r="AF57" s="11" t="n">
        <f aca="false">AF55*AF12</f>
        <v>1.34494072621344</v>
      </c>
      <c r="AG57" s="11" t="n">
        <f aca="false">AG55*AG12</f>
        <v>1.2052381220089</v>
      </c>
      <c r="AH57" s="11" t="n">
        <f aca="false">AH55*AH12</f>
        <v>1.10325368525035</v>
      </c>
      <c r="AI57" s="11" t="n">
        <f aca="false">AI55*AI12</f>
        <v>0.959270792155559</v>
      </c>
      <c r="AJ57" s="11" t="n">
        <f aca="false">AJ55*AJ12</f>
        <v>0.843326079940627</v>
      </c>
      <c r="AK57" s="11" t="n">
        <f aca="false">AK55*AK12</f>
        <v>0.697452408394048</v>
      </c>
      <c r="AL57" s="11" t="n">
        <f aca="false">AL55*AL12</f>
        <v>0.562433768981567</v>
      </c>
      <c r="AM57" s="11" t="n">
        <f aca="false">AM55*AM12</f>
        <v>0.404438111252498</v>
      </c>
      <c r="AN57" s="11" t="n">
        <f aca="false">AN55*AN12</f>
        <v>0.256704637066047</v>
      </c>
      <c r="AO57" s="11" t="n">
        <f aca="false">AO55*AO12</f>
        <v>0.127187966250712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148.894146133835</v>
      </c>
      <c r="AC70" s="11" t="n">
        <f aca="false">Time!AC30*AB83</f>
        <v>133.897022069984</v>
      </c>
      <c r="AD70" s="11" t="n">
        <f aca="false">Time!AD30*AC83</f>
        <v>119.324064836184</v>
      </c>
      <c r="AE70" s="11" t="n">
        <f aca="false">Time!AE30*AD83</f>
        <v>103.076239780622</v>
      </c>
      <c r="AF70" s="11" t="n">
        <f aca="false">Time!AF30*AE83</f>
        <v>86.4276552857017</v>
      </c>
      <c r="AG70" s="11" t="n">
        <f aca="false">Time!AG30*AF83</f>
        <v>69.2983231055999</v>
      </c>
      <c r="AH70" s="11" t="n">
        <f aca="false">Time!AH30*AG83</f>
        <v>52.4800161800619</v>
      </c>
      <c r="AI70" s="11" t="n">
        <f aca="false">Time!AI30*AH83</f>
        <v>35.0306078464229</v>
      </c>
      <c r="AJ70" s="11" t="n">
        <f aca="false">Time!AJ30*AI83</f>
        <v>18.0036255832176</v>
      </c>
      <c r="AK70" s="11" t="n">
        <f aca="false">Time!AK30*AJ83</f>
        <v>0.817923438792006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168.193145524904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12.0781655259703</v>
      </c>
      <c r="R72" s="11" t="n">
        <f aca="false">R70*R13</f>
        <v>11.9574623687969</v>
      </c>
      <c r="S72" s="11" t="n">
        <f aca="false">S70*S13</f>
        <v>11.4437046950043</v>
      </c>
      <c r="T72" s="11" t="n">
        <f aca="false">T70*T13</f>
        <v>11.2863804246623</v>
      </c>
      <c r="U72" s="11" t="n">
        <f aca="false">U70*U13</f>
        <v>10.8046868418218</v>
      </c>
      <c r="V72" s="11" t="n">
        <f aca="false">V70*V13</f>
        <v>10.5488834462449</v>
      </c>
      <c r="W72" s="11" t="n">
        <f aca="false">W70*W13</f>
        <v>9.98439188343681</v>
      </c>
      <c r="X72" s="11" t="n">
        <f aca="false">X70*X13</f>
        <v>9.73867731744191</v>
      </c>
      <c r="Y72" s="11" t="n">
        <f aca="false">Y70*Y13</f>
        <v>9.68481519850555</v>
      </c>
      <c r="Z72" s="11" t="n">
        <f aca="false">Z70*Z13</f>
        <v>9.42367051851807</v>
      </c>
      <c r="AA72" s="11" t="n">
        <f aca="false">AA70*AA13</f>
        <v>8.83804827185032</v>
      </c>
      <c r="AB72" s="11" t="n">
        <f aca="false">AB70*AB13</f>
        <v>8.21895686658769</v>
      </c>
      <c r="AC72" s="11" t="n">
        <f aca="false">AC70*AC13</f>
        <v>7.31077740502115</v>
      </c>
      <c r="AD72" s="11" t="n">
        <f aca="false">AD70*AD13</f>
        <v>6.58668837895738</v>
      </c>
      <c r="AE72" s="11" t="n">
        <f aca="false">AE70*AE13</f>
        <v>5.59703982008775</v>
      </c>
      <c r="AF72" s="11" t="n">
        <f aca="false">AF70*AF13</f>
        <v>4.77080657177073</v>
      </c>
      <c r="AG72" s="11" t="n">
        <f aca="false">AG70*AG13</f>
        <v>3.95646370516052</v>
      </c>
      <c r="AH72" s="11" t="n">
        <f aca="false">AH70*AH13</f>
        <v>3.04591422303342</v>
      </c>
      <c r="AI72" s="11" t="n">
        <f aca="false">AI70*AI13</f>
        <v>2.0000098458787</v>
      </c>
      <c r="AJ72" s="11" t="n">
        <f aca="false">AJ70*AJ13</f>
        <v>1.04492153817065</v>
      </c>
      <c r="AK72" s="11" t="n">
        <f aca="false">AK70*AK13</f>
        <v>0.0469558738608235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147.573470342739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8.26333662473279</v>
      </c>
      <c r="AC73" s="11" t="n">
        <f aca="false">Time!AC30*(AC70-AC71)*AC19</f>
        <v>8.12830909911942</v>
      </c>
      <c r="AD73" s="11" t="n">
        <f aca="false">Time!AD30*(AD70-AD71)*AD19</f>
        <v>8.42072041719296</v>
      </c>
      <c r="AE73" s="11" t="n">
        <f aca="false">Time!AE30*(AE70-AE71)*AE19</f>
        <v>8.16280416680967</v>
      </c>
      <c r="AF73" s="11" t="n">
        <f aca="false">Time!AF30*(AF70-AF71)*AF19</f>
        <v>7.69376791497906</v>
      </c>
      <c r="AG73" s="11" t="n">
        <f aca="false">Time!AG30*(AG70-AG71)*AG19</f>
        <v>6.89811986542441</v>
      </c>
      <c r="AH73" s="11" t="n">
        <f aca="false">Time!AH30*(AH70-AH71)*AH19</f>
        <v>6.09272173559046</v>
      </c>
      <c r="AI73" s="11" t="n">
        <f aca="false">Time!AI30*(AI70-AI71)*AI19</f>
        <v>4.73618137623349</v>
      </c>
      <c r="AJ73" s="11" t="n">
        <f aca="false">Time!AJ30*(AJ70-AJ71)*AJ19</f>
        <v>2.950542639811</v>
      </c>
      <c r="AK73" s="11" t="n">
        <f aca="false">Time!AK30*(AK70-AK71)*AK19</f>
        <v>0.165509804289715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147.573470342739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8.26333662473279</v>
      </c>
      <c r="AC77" s="11" t="n">
        <f aca="false">AC73-AC74+AC76</f>
        <v>8.12830909911942</v>
      </c>
      <c r="AD77" s="11" t="n">
        <f aca="false">AD73-AD74+AD76</f>
        <v>8.42072041719296</v>
      </c>
      <c r="AE77" s="11" t="n">
        <f aca="false">AE73-AE74+AE76</f>
        <v>8.16280416680967</v>
      </c>
      <c r="AF77" s="11" t="n">
        <f aca="false">AF73-AF74+AF76</f>
        <v>7.69376791497906</v>
      </c>
      <c r="AG77" s="11" t="n">
        <f aca="false">AG73-AG74+AG76</f>
        <v>6.89811986542441</v>
      </c>
      <c r="AH77" s="11" t="n">
        <f aca="false">AH73-AH74+AH76</f>
        <v>6.09272173559046</v>
      </c>
      <c r="AI77" s="11" t="n">
        <f aca="false">AI73-AI74+AI76</f>
        <v>4.73618137623349</v>
      </c>
      <c r="AJ77" s="11" t="n">
        <f aca="false">AJ73-AJ74+AJ76</f>
        <v>2.950542639811</v>
      </c>
      <c r="AK77" s="11" t="n">
        <f aca="false">AK73-AK74+AK76</f>
        <v>0.165509804289715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140.630809509102</v>
      </c>
      <c r="AC81" s="11" t="n">
        <f aca="false">AC70-AC77-AC78-AC79</f>
        <v>125.768712970865</v>
      </c>
      <c r="AD81" s="11" t="n">
        <f aca="false">AD70-AD77-AD78-AD79</f>
        <v>110.903344418991</v>
      </c>
      <c r="AE81" s="11" t="n">
        <f aca="false">AE70-AE77-AE78-AE79</f>
        <v>94.9134356138119</v>
      </c>
      <c r="AF81" s="11" t="n">
        <f aca="false">AF70-AF77-AF78-AF79</f>
        <v>78.7338873707226</v>
      </c>
      <c r="AG81" s="11" t="n">
        <f aca="false">AG70-AG77-AG78-AG79</f>
        <v>62.4002032401755</v>
      </c>
      <c r="AH81" s="11" t="n">
        <f aca="false">AH70-AH77-AH78-AH79</f>
        <v>46.3872944444714</v>
      </c>
      <c r="AI81" s="11" t="n">
        <f aca="false">AI70-AI77-AI78-AI79</f>
        <v>30.2944264701894</v>
      </c>
      <c r="AJ81" s="11" t="n">
        <f aca="false">AJ70-AJ77-AJ78-AJ79</f>
        <v>15.0530829434066</v>
      </c>
      <c r="AK81" s="11" t="n">
        <f aca="false">AK70-AK77-AK78-AK79</f>
        <v>0.652413634502291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93.0638003635155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5.6816678738635</v>
      </c>
      <c r="AB82" s="11" t="n">
        <f aca="false">Waterfall!AB28*AB81/(AB36+AB51+AB66+AB81+AB96+0.000000001)+Waterfall!AB29</f>
        <v>6.73378743911777</v>
      </c>
      <c r="AC82" s="11" t="n">
        <f aca="false">Waterfall!AC28*AC81/(AC36+AC51+AC66+AC81+AC96+0.000000001)+Waterfall!AC29</f>
        <v>6.44464813468057</v>
      </c>
      <c r="AD82" s="11" t="n">
        <f aca="false">Waterfall!AD28*AD81/(AD36+AD51+AD66+AD81+AD96+0.000000001)+Waterfall!AD29</f>
        <v>7.82710463836991</v>
      </c>
      <c r="AE82" s="11" t="n">
        <f aca="false">Waterfall!AE28*AE81/(AE36+AE51+AE66+AE81+AE96+0.000000001)+Waterfall!AE29</f>
        <v>8.48578032811019</v>
      </c>
      <c r="AF82" s="11" t="n">
        <f aca="false">Waterfall!AF28*AF81/(AF36+AF51+AF66+AF81+AF96+0.000000001)+Waterfall!AF29</f>
        <v>9.43556426512269</v>
      </c>
      <c r="AG82" s="11" t="n">
        <f aca="false">Waterfall!AG28*AG81/(AG36+AG51+AG66+AG81+AG96+0.000000001)+Waterfall!AG29</f>
        <v>9.92018706011367</v>
      </c>
      <c r="AH82" s="11" t="n">
        <f aca="false">Waterfall!AH28*AH81/(AH36+AH51+AH66+AH81+AH96+0.000000001)+Waterfall!AH29</f>
        <v>11.3566865980485</v>
      </c>
      <c r="AI82" s="11" t="n">
        <f aca="false">Waterfall!AI28*AI81/(AI36+AI51+AI66+AI81+AI96+0.000000001)+Waterfall!AI29</f>
        <v>12.2908008869718</v>
      </c>
      <c r="AJ82" s="11" t="n">
        <f aca="false">Waterfall!AJ28*AJ81/(AJ36+AJ51+AJ66+AJ81+AJ96+0.000000001)+Waterfall!AJ29</f>
        <v>14.2351595046146</v>
      </c>
      <c r="AK82" s="11" t="n">
        <f aca="false">Waterfall!AK28*AK81/(AK36+AK51+AK66+AK81+AK96+0.000000001)+Waterfall!AK29</f>
        <v>0.652413634502291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148.894146133835</v>
      </c>
      <c r="AB83" s="11" t="n">
        <f aca="false">IF(Time!AB29=1,INDEX(Funding!$J$64:$BJ$64,1,Time!$F$13),Time!AB30*(AB81-AB82))</f>
        <v>133.897022069984</v>
      </c>
      <c r="AC83" s="11" t="n">
        <f aca="false">IF(Time!AC29=1,INDEX(Funding!$J$64:$BJ$64,1,Time!$F$13),Time!AC30*(AC81-AC82))</f>
        <v>119.324064836184</v>
      </c>
      <c r="AD83" s="11" t="n">
        <f aca="false">IF(Time!AD29=1,INDEX(Funding!$J$64:$BJ$64,1,Time!$F$13),Time!AD30*(AD81-AD82))</f>
        <v>103.076239780622</v>
      </c>
      <c r="AE83" s="11" t="n">
        <f aca="false">IF(Time!AE29=1,INDEX(Funding!$J$64:$BJ$64,1,Time!$F$13),Time!AE30*(AE81-AE82))</f>
        <v>86.4276552857017</v>
      </c>
      <c r="AF83" s="11" t="n">
        <f aca="false">IF(Time!AF29=1,INDEX(Funding!$J$64:$BJ$64,1,Time!$F$13),Time!AF30*(AF81-AF82))</f>
        <v>69.2983231055999</v>
      </c>
      <c r="AG83" s="11" t="n">
        <f aca="false">IF(Time!AG29=1,INDEX(Funding!$J$64:$BJ$64,1,Time!$F$13),Time!AG30*(AG81-AG82))</f>
        <v>52.4800161800619</v>
      </c>
      <c r="AH83" s="11" t="n">
        <f aca="false">IF(Time!AH29=1,INDEX(Funding!$J$64:$BJ$64,1,Time!$F$13),Time!AH30*(AH81-AH82))</f>
        <v>35.0306078464229</v>
      </c>
      <c r="AI83" s="11" t="n">
        <f aca="false">IF(Time!AI29=1,INDEX(Funding!$J$64:$BJ$64,1,Time!$F$13),Time!AI30*(AI81-AI82))</f>
        <v>18.0036255832176</v>
      </c>
      <c r="AJ83" s="11" t="n">
        <f aca="false">IF(Time!AJ29=1,INDEX(Funding!$J$64:$BJ$64,1,Time!$F$13),Time!AJ30*(AJ81-AJ82))</f>
        <v>0.817923438792006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1.3453141497925E-011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8.46899223629647E-013</v>
      </c>
      <c r="R87" s="11" t="n">
        <f aca="false">R85*R14</f>
        <v>8.3843573553785E-013</v>
      </c>
      <c r="S87" s="11" t="n">
        <f aca="false">S85*S14</f>
        <v>8.02404361771406E-013</v>
      </c>
      <c r="T87" s="11" t="n">
        <f aca="false">T85*T14</f>
        <v>7.91373171776613E-013</v>
      </c>
      <c r="U87" s="11" t="n">
        <f aca="false">U85*U14</f>
        <v>7.57598005236595E-013</v>
      </c>
      <c r="V87" s="11" t="n">
        <f aca="false">V85*V14</f>
        <v>7.39661701754695E-013</v>
      </c>
      <c r="W87" s="11" t="n">
        <f aca="false">W85*W14</f>
        <v>7.00080944975985E-013</v>
      </c>
      <c r="X87" s="11" t="n">
        <f aca="false">X85*X14</f>
        <v>6.8285204535302E-013</v>
      </c>
      <c r="Y87" s="11" t="n">
        <f aca="false">Y85*Y14</f>
        <v>6.65785204171076E-013</v>
      </c>
      <c r="Z87" s="11" t="n">
        <f aca="false">Z85*Z14</f>
        <v>6.47832743487006E-013</v>
      </c>
      <c r="AA87" s="11" t="n">
        <f aca="false">AA85*AA14</f>
        <v>6.07573985929611E-013</v>
      </c>
      <c r="AB87" s="11" t="n">
        <f aca="false">AB85*AB14</f>
        <v>5.86574827235819E-013</v>
      </c>
      <c r="AC87" s="11" t="n">
        <f aca="false">AC85*AC14</f>
        <v>5.47999092773452E-013</v>
      </c>
      <c r="AD87" s="11" t="n">
        <f aca="false">AD85*AD14</f>
        <v>5.20388838389614E-013</v>
      </c>
      <c r="AE87" s="11" t="n">
        <f aca="false">AE85*AE14</f>
        <v>4.75779064920296E-013</v>
      </c>
      <c r="AF87" s="11" t="n">
        <f aca="false">AF85*AF14</f>
        <v>4.45362558730023E-013</v>
      </c>
      <c r="AG87" s="11" t="n">
        <f aca="false">AG85*AG14</f>
        <v>4.12074559936872E-013</v>
      </c>
      <c r="AH87" s="11" t="n">
        <f aca="false">AH85*AH14</f>
        <v>3.77205772491249E-013</v>
      </c>
      <c r="AI87" s="11" t="n">
        <f aca="false">AI85*AI14</f>
        <v>3.27977585772778E-013</v>
      </c>
      <c r="AJ87" s="11" t="n">
        <f aca="false">AJ85*AJ14</f>
        <v>2.88335737916739E-013</v>
      </c>
      <c r="AK87" s="11" t="n">
        <f aca="false">AK85*AK14</f>
        <v>2.38461088325719E-013</v>
      </c>
      <c r="AL87" s="11" t="n">
        <f aca="false">AL85*AL14</f>
        <v>1.92297807059412E-013</v>
      </c>
      <c r="AM87" s="11" t="n">
        <f aca="false">AM85*AM14</f>
        <v>1.38278613721814E-013</v>
      </c>
      <c r="AN87" s="11" t="n">
        <f aca="false">AN85*AN14</f>
        <v>8.7768091982046E-014</v>
      </c>
      <c r="AO87" s="11" t="n">
        <f aca="false">AO85*AO14</f>
        <v>4.34859504233644E-014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-81.5201844179663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-5.41506447486556</v>
      </c>
      <c r="R114" s="11" t="n">
        <f aca="false">Time!R30*Inputs!R222*R113*(Inputs!$F$95/100*0.5-Operations!R9/100*Time!R20/360)</f>
        <v>-5.47849446461045</v>
      </c>
      <c r="S114" s="11" t="n">
        <f aca="false">Time!S30*Inputs!S222*S113*(Inputs!$F$95/100*0.5-Operations!S9/100*Time!S20/360)</f>
        <v>-5.14856596078414</v>
      </c>
      <c r="T114" s="11" t="n">
        <f aca="false">Time!T30*Inputs!T222*T113*(Inputs!$F$95/100*0.5-Operations!T9/100*Time!T20/360)</f>
        <v>-5.18861334708931</v>
      </c>
      <c r="U114" s="11" t="n">
        <f aca="false">Time!U30*Inputs!U222*U113*(Inputs!$F$95/100*0.5-Operations!U9/100*Time!U20/360)</f>
        <v>-4.89682409078552</v>
      </c>
      <c r="V114" s="11" t="n">
        <f aca="false">Time!V30*Inputs!V222*V113*(Inputs!$F$95/100*0.5-Operations!V9/100*Time!V20/360)</f>
        <v>-4.84956871792784</v>
      </c>
      <c r="W114" s="11" t="n">
        <f aca="false">Time!W30*Inputs!W222*W113*(Inputs!$F$95/100*0.5-Operations!W9/100*Time!W20/360)</f>
        <v>-4.49201561559282</v>
      </c>
      <c r="X114" s="11" t="n">
        <f aca="false">Time!X30*Inputs!X222*X113*(Inputs!$F$95/100*0.5-Operations!X9/100*Time!X20/360)</f>
        <v>-4.47709798987985</v>
      </c>
      <c r="Y114" s="11" t="n">
        <f aca="false">Time!Y30*Inputs!Y222*Y113*(Inputs!$F$95/100*0.5-Operations!Y9/100*Time!Y20/360)</f>
        <v>-4.13309733418765</v>
      </c>
      <c r="Z114" s="11" t="n">
        <f aca="false">Time!Z30*Inputs!Z222*Z113*(Inputs!$F$95/100*0.5-Operations!Z9/100*Time!Z20/360)</f>
        <v>-4.10942797689979</v>
      </c>
      <c r="AA114" s="11" t="n">
        <f aca="false">Time!AA30*Inputs!AA222*AA113*(Inputs!$F$95/100*0.5-Operations!AA9/100*Time!AA20/360)</f>
        <v>-3.77173059094024</v>
      </c>
      <c r="AB114" s="11" t="n">
        <f aca="false">Time!AB30*Inputs!AB222*AB113*(Inputs!$F$95/100*0.5-Operations!AB9/100*Time!AB20/360)</f>
        <v>-3.72084774939503</v>
      </c>
      <c r="AC114" s="11" t="n">
        <f aca="false">Time!AC30*Inputs!AC222*AC113*(Inputs!$F$95/100*0.5-Operations!AC9/100*Time!AC20/360)</f>
        <v>-3.42692037200591</v>
      </c>
      <c r="AD114" s="11" t="n">
        <f aca="false">Time!AD30*Inputs!AD222*AD113*(Inputs!$F$95/100*0.5-Operations!AD9/100*Time!AD20/360)</f>
        <v>-3.30100704671708</v>
      </c>
      <c r="AE114" s="11" t="n">
        <f aca="false">Time!AE30*Inputs!AE222*AE113*(Inputs!$F$95/100*0.5-Operations!AE9/100*Time!AE20/360)</f>
        <v>-2.95356696508846</v>
      </c>
      <c r="AF114" s="11" t="n">
        <f aca="false">Time!AF30*Inputs!AF222*AF113*(Inputs!$F$95/100*0.5-Operations!AF9/100*Time!AF20/360)</f>
        <v>-2.82508931064171</v>
      </c>
      <c r="AG114" s="11" t="n">
        <f aca="false">Time!AG30*Inputs!AG222*AG113*(Inputs!$F$95/100*0.5-Operations!AG9/100*Time!AG20/360)</f>
        <v>-2.47756417333543</v>
      </c>
      <c r="AH114" s="11" t="n">
        <f aca="false">Time!AH30*Inputs!AH222*AH113*(Inputs!$F$95/100*0.5-Operations!AH9/100*Time!AH20/360)</f>
        <v>-2.3174182567152</v>
      </c>
      <c r="AI114" s="11" t="n">
        <f aca="false">Time!AI30*Inputs!AI222*AI113*(Inputs!$F$95/100*0.5-Operations!AI9/100*Time!AI20/360)</f>
        <v>-1.97193807909949</v>
      </c>
      <c r="AJ114" s="11" t="n">
        <f aca="false">Time!AJ30*Inputs!AJ222*AJ113*(Inputs!$F$95/100*0.5-Operations!AJ9/100*Time!AJ20/360)</f>
        <v>-1.77143233704676</v>
      </c>
      <c r="AK114" s="11" t="n">
        <f aca="false">Time!AK30*Inputs!AK222*AK113*(Inputs!$F$95/100*0.5-Operations!AK9/100*Time!AK20/360)</f>
        <v>-1.44427306130919</v>
      </c>
      <c r="AL114" s="11" t="n">
        <f aca="false">Time!AL30*Inputs!AL222*AL113*(Inputs!$F$95/100*0.5-Operations!AL9/100*Time!AL20/360)</f>
        <v>-1.18140940914715</v>
      </c>
      <c r="AM114" s="11" t="n">
        <f aca="false">Time!AM30*Inputs!AM222*AM113*(Inputs!$F$95/100*0.5-Operations!AM9/100*Time!AM20/360)</f>
        <v>-0.831388716032698</v>
      </c>
      <c r="AN114" s="11" t="n">
        <f aca="false">Time!AN30*Inputs!AN222*AN113*(Inputs!$F$95/100*0.5-Operations!AN9/100*Time!AN20/360)</f>
        <v>-0.539215975866254</v>
      </c>
      <c r="AO114" s="11" t="n">
        <f aca="false">Time!AO30*Inputs!AO222*AO113*(Inputs!$F$95/100*0.5-Operations!AO9/100*Time!AO20/360)</f>
        <v>-0.26145567644087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16.6306963701865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0.776860306567878</v>
      </c>
      <c r="AC115" s="11" t="n">
        <f aca="false">(Inputs!$F$93/100*Inputs!$F$94/100)*AC70*Time!AC20/365</f>
        <v>0.691018686228026</v>
      </c>
      <c r="AD115" s="11" t="n">
        <f aca="false">(Inputs!$F$93/100*Inputs!$F$94/100)*AD70*Time!AD20/365</f>
        <v>0.622577394723369</v>
      </c>
      <c r="AE115" s="11" t="n">
        <f aca="false">(Inputs!$F$93/100*Inputs!$F$94/100)*AE70*Time!AE20/365</f>
        <v>0.529035270665828</v>
      </c>
      <c r="AF115" s="11" t="n">
        <f aca="false">(Inputs!$F$93/100*Inputs!$F$94/100)*AF70*Time!AF20/365</f>
        <v>0.450939251304357</v>
      </c>
      <c r="AG115" s="11" t="n">
        <f aca="false">(Inputs!$F$93/100*Inputs!$F$94/100)*AG70*Time!AG20/365</f>
        <v>0.355671270109248</v>
      </c>
      <c r="AH115" s="11" t="n">
        <f aca="false">(Inputs!$F$93/100*Inputs!$F$94/100)*AH70*Time!AH20/365</f>
        <v>0.273816281680301</v>
      </c>
      <c r="AI115" s="11" t="n">
        <f aca="false">(Inputs!$F$93/100*Inputs!$F$94/100)*AI70*Time!AI20/365</f>
        <v>0.179793395093415</v>
      </c>
      <c r="AJ115" s="11" t="n">
        <f aca="false">(Inputs!$F$93/100*Inputs!$F$94/100)*AJ70*Time!AJ20/365</f>
        <v>0.0939345330429579</v>
      </c>
      <c r="AK115" s="11" t="n">
        <f aca="false">(Inputs!$F$93/100*Inputs!$F$94/100)*AK70*Time!AK20/365</f>
        <v>0.00422115721000685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395.374325569427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26.7266425327209</v>
      </c>
      <c r="R118" s="11" t="n">
        <f aca="false">R27+R42+R57+R72+R87+R101</f>
        <v>26.4595498084651</v>
      </c>
      <c r="S118" s="11" t="n">
        <f aca="false">S27+S42+S57+S72+S87+S101</f>
        <v>25.3258761605033</v>
      </c>
      <c r="T118" s="11" t="n">
        <f aca="false">T27+T42+T57+T72+T87+T101</f>
        <v>24.9777043844996</v>
      </c>
      <c r="U118" s="11" t="n">
        <f aca="false">U27+U42+U57+U72+U87+U101</f>
        <v>23.9116761749762</v>
      </c>
      <c r="V118" s="11" t="n">
        <f aca="false">V27+V42+V57+V72+V87+V101</f>
        <v>23.3455618535673</v>
      </c>
      <c r="W118" s="11" t="n">
        <f aca="false">W27+W42+W57+W72+W87+W101</f>
        <v>22.0962947853977</v>
      </c>
      <c r="X118" s="11" t="n">
        <f aca="false">X27+X42+X57+X72+X87+X101</f>
        <v>21.552507888141</v>
      </c>
      <c r="Y118" s="11" t="n">
        <f aca="false">Y27+Y42+Y57+Y72+Y87+Y101</f>
        <v>20.8289602505098</v>
      </c>
      <c r="Z118" s="11" t="n">
        <f aca="false">Z27+Z42+Z57+Z72+Z87+Z101</f>
        <v>20.2673210196517</v>
      </c>
      <c r="AA118" s="11" t="n">
        <f aca="false">AA27+AA42+AA57+AA72+AA87+AA101</f>
        <v>19.0078336419742</v>
      </c>
      <c r="AB118" s="11" t="n">
        <f aca="false">AB27+AB42+AB57+AB72+AB87+AB101</f>
        <v>18.0372509915058</v>
      </c>
      <c r="AC118" s="11" t="n">
        <f aca="false">AC27+AC42+AC57+AC72+AC87+AC101</f>
        <v>16.4833774267315</v>
      </c>
      <c r="AD118" s="11" t="n">
        <f aca="false">AD27+AD42+AD57+AD72+AD87+AD101</f>
        <v>15.2971383290703</v>
      </c>
      <c r="AE118" s="11" t="n">
        <f aca="false">AE27+AE42+AE57+AE72+AE87+AE101</f>
        <v>13.5607958167084</v>
      </c>
      <c r="AF118" s="11" t="n">
        <f aca="false">AF27+AF42+AF57+AF72+AF87+AF101</f>
        <v>12.2254404749054</v>
      </c>
      <c r="AG118" s="11" t="n">
        <f aca="false">AG27+AG42+AG57+AG72+AG87+AG101</f>
        <v>10.6367647701549</v>
      </c>
      <c r="AH118" s="11" t="n">
        <f aca="false">AH27+AH42+AH57+AH72+AH87+AH101</f>
        <v>9.16094380428525</v>
      </c>
      <c r="AI118" s="11" t="n">
        <f aca="false">AI27+AI42+AI57+AI72+AI87+AI101</f>
        <v>7.31698213329149</v>
      </c>
      <c r="AJ118" s="11" t="n">
        <f aca="false">AJ27+AJ42+AJ57+AJ72+AJ87+AJ101</f>
        <v>5.71924440191697</v>
      </c>
      <c r="AK118" s="11" t="n">
        <f aca="false">AK27+AK42+AK57+AK72+AK87+AK101</f>
        <v>3.91274138254657</v>
      </c>
      <c r="AL118" s="11" t="n">
        <f aca="false">AL27+AL42+AL57+AL72+AL87+AL101</f>
        <v>3.11741458995154</v>
      </c>
      <c r="AM118" s="11" t="n">
        <f aca="false">AM27+AM42+AM57+AM72+AM87+AM101</f>
        <v>2.24168842321469</v>
      </c>
      <c r="AN118" s="11" t="n">
        <f aca="false">AN27+AN42+AN57+AN72+AN87+AN101</f>
        <v>1.4228426972779</v>
      </c>
      <c r="AO118" s="11" t="n">
        <f aca="false">AO27+AO42+AO57+AO72+AO87+AO101</f>
        <v>0.704967666458215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330.484837521648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22.5164304450697</v>
      </c>
      <c r="R119" s="11" t="n">
        <f aca="false">R118+R114+R115+R116</f>
        <v>22.1738670377408</v>
      </c>
      <c r="S119" s="11" t="n">
        <f aca="false">S118+S114+S115+S116</f>
        <v>21.3176340734965</v>
      </c>
      <c r="T119" s="11" t="n">
        <f aca="false">T118+T114+T115+T116</f>
        <v>20.9137381154141</v>
      </c>
      <c r="U119" s="11" t="n">
        <f aca="false">U118+U114+U115+U116</f>
        <v>20.091500135044</v>
      </c>
      <c r="V119" s="11" t="n">
        <f aca="false">V118+V114+V115+V116</f>
        <v>19.54715130129</v>
      </c>
      <c r="W119" s="11" t="n">
        <f aca="false">W118+W114+W115+W116</f>
        <v>18.59918778841</v>
      </c>
      <c r="X119" s="11" t="n">
        <f aca="false">X118+X114+X115+X116</f>
        <v>18.0458339471219</v>
      </c>
      <c r="Y119" s="11" t="n">
        <f aca="false">Y118+Y114+Y115+Y116</f>
        <v>17.6112769556329</v>
      </c>
      <c r="Z119" s="11" t="n">
        <f aca="false">Z118+Z114+Z115+Z116</f>
        <v>17.0486235438173</v>
      </c>
      <c r="AA119" s="11" t="n">
        <f aca="false">AA118+AA114+AA115+AA116</f>
        <v>16.0714802164554</v>
      </c>
      <c r="AB119" s="11" t="n">
        <f aca="false">AB118+AB114+AB115+AB116</f>
        <v>15.0932635486787</v>
      </c>
      <c r="AC119" s="11" t="n">
        <f aca="false">AC118+AC114+AC115+AC116</f>
        <v>13.7474757409537</v>
      </c>
      <c r="AD119" s="11" t="n">
        <f aca="false">AD118+AD114+AD115+AD116</f>
        <v>12.6187086770766</v>
      </c>
      <c r="AE119" s="11" t="n">
        <f aca="false">AE118+AE114+AE115+AE116</f>
        <v>11.1362641222858</v>
      </c>
      <c r="AF119" s="11" t="n">
        <f aca="false">AF118+AF114+AF115+AF116</f>
        <v>9.85129041556803</v>
      </c>
      <c r="AG119" s="11" t="n">
        <f aca="false">AG118+AG114+AG115+AG116</f>
        <v>8.51487186692868</v>
      </c>
      <c r="AH119" s="11" t="n">
        <f aca="false">AH118+AH114+AH115+AH116</f>
        <v>7.11734182925035</v>
      </c>
      <c r="AI119" s="11" t="n">
        <f aca="false">AI118+AI114+AI115+AI116</f>
        <v>5.52483744928541</v>
      </c>
      <c r="AJ119" s="11" t="n">
        <f aca="false">AJ118+AJ114+AJ115+AJ116</f>
        <v>4.04174659791317</v>
      </c>
      <c r="AK119" s="11" t="n">
        <f aca="false">AK118+AK114+AK115+AK116</f>
        <v>2.47268947844739</v>
      </c>
      <c r="AL119" s="11" t="n">
        <f aca="false">AL118+AL114+AL115+AL116</f>
        <v>1.9360051808044</v>
      </c>
      <c r="AM119" s="11" t="n">
        <f aca="false">AM118+AM114+AM115+AM116</f>
        <v>1.41029970718199</v>
      </c>
      <c r="AN119" s="11" t="n">
        <f aca="false">AN118+AN114+AN115+AN116</f>
        <v>0.883626721411649</v>
      </c>
      <c r="AO119" s="11" t="n">
        <f aca="false">AO118+AO114+AO115+AO116</f>
        <v>0.443511990017346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540.192175179276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22.2600947133984</v>
      </c>
      <c r="AC120" s="11" t="n">
        <f aca="false">AC32+AC47+AC62+AC77+AC92+AC102</f>
        <v>22.5887581758097</v>
      </c>
      <c r="AD120" s="11" t="n">
        <f aca="false">AD32+AD47+AD62+AD77+AD92+AD102</f>
        <v>24.2104755685392</v>
      </c>
      <c r="AE120" s="11" t="n">
        <f aca="false">AE32+AE47+AE62+AE77+AE92+AE102</f>
        <v>24.6312115108529</v>
      </c>
      <c r="AF120" s="11" t="n">
        <f aca="false">AF32+AF47+AF62+AF77+AF92+AF102</f>
        <v>24.7399164175028</v>
      </c>
      <c r="AG120" s="11" t="n">
        <f aca="false">AG32+AG47+AG62+AG77+AG92+AG102</f>
        <v>24.2624043230482</v>
      </c>
      <c r="AH120" s="11" t="n">
        <f aca="false">AH32+AH47+AH62+AH77+AH92+AH102</f>
        <v>24.3287200207288</v>
      </c>
      <c r="AI120" s="11" t="n">
        <f aca="false">AI32+AI47+AI62+AI77+AI92+AI102</f>
        <v>23.5076345512989</v>
      </c>
      <c r="AJ120" s="11" t="n">
        <f aca="false">AJ32+AJ47+AJ62+AJ77+AJ92+AJ102</f>
        <v>22.628237711884</v>
      </c>
      <c r="AK120" s="11" t="n">
        <f aca="false">AK32+AK47+AK62+AK77+AK92+AK102</f>
        <v>20.4801370212458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870.677012700924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38.6616967746567</v>
      </c>
      <c r="R121" s="11" t="n">
        <f aca="false">R119+R120</f>
        <v>39.1144283831714</v>
      </c>
      <c r="S121" s="11" t="n">
        <f aca="false">S119+S120</f>
        <v>38.7574063557963</v>
      </c>
      <c r="T121" s="11" t="n">
        <f aca="false">T119+T120</f>
        <v>39.1557336731761</v>
      </c>
      <c r="U121" s="11" t="n">
        <f aca="false">U119+U120</f>
        <v>38.9152650446619</v>
      </c>
      <c r="V121" s="11" t="n">
        <f aca="false">V119+V120</f>
        <v>39.6006594730367</v>
      </c>
      <c r="W121" s="11" t="n">
        <f aca="false">W119+W120</f>
        <v>39.2657193975113</v>
      </c>
      <c r="X121" s="11" t="n">
        <f aca="false">X119+X120</f>
        <v>38.1387094828572</v>
      </c>
      <c r="Y121" s="11" t="n">
        <f aca="false">Y119+Y120</f>
        <v>37.7136071834051</v>
      </c>
      <c r="Z121" s="11" t="n">
        <f aca="false">Z119+Z120</f>
        <v>37.9837522021192</v>
      </c>
      <c r="AA121" s="11" t="n">
        <f aca="false">AA119+AA120</f>
        <v>37.6175484161408</v>
      </c>
      <c r="AB121" s="11" t="n">
        <f aca="false">AB119+AB120</f>
        <v>37.353358262077</v>
      </c>
      <c r="AC121" s="11" t="n">
        <f aca="false">AC119+AC120</f>
        <v>36.3362339167633</v>
      </c>
      <c r="AD121" s="11" t="n">
        <f aca="false">AD119+AD120</f>
        <v>36.8291842456158</v>
      </c>
      <c r="AE121" s="11" t="n">
        <f aca="false">AE119+AE120</f>
        <v>35.7674756331387</v>
      </c>
      <c r="AF121" s="11" t="n">
        <f aca="false">AF119+AF120</f>
        <v>34.5912068330709</v>
      </c>
      <c r="AG121" s="11" t="n">
        <f aca="false">AG119+AG120</f>
        <v>32.7772761899768</v>
      </c>
      <c r="AH121" s="11" t="n">
        <f aca="false">AH119+AH120</f>
        <v>31.4460618499791</v>
      </c>
      <c r="AI121" s="11" t="n">
        <f aca="false">AI119+AI120</f>
        <v>29.0324720005843</v>
      </c>
      <c r="AJ121" s="11" t="n">
        <f aca="false">AJ119+AJ120</f>
        <v>26.6699843097971</v>
      </c>
      <c r="AK121" s="11" t="n">
        <f aca="false">AK119+AK120</f>
        <v>22.9528264996932</v>
      </c>
      <c r="AL121" s="11" t="n">
        <f aca="false">AL119+AL120</f>
        <v>23.4763917647792</v>
      </c>
      <c r="AM121" s="11" t="n">
        <f aca="false">AM119+AM120</f>
        <v>23.3984025110587</v>
      </c>
      <c r="AN121" s="11" t="n">
        <f aca="false">AN119+AN120</f>
        <v>19.0235505071657</v>
      </c>
      <c r="AO121" s="11" t="n">
        <f aca="false">AO119+AO120</f>
        <v>18.8521663535949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401.096790041144</v>
      </c>
      <c r="AC122" s="11" t="n">
        <f aca="false">AC25+AC40+AC55+AC70+AC85+AC100</f>
        <v>372.102907888628</v>
      </c>
      <c r="AD122" s="11" t="n">
        <f aca="false">AD25+AD40+AD55+AD70+AD85+AD100</f>
        <v>343.069501578137</v>
      </c>
      <c r="AE122" s="11" t="n">
        <f aca="false">AE25+AE40+AE55+AE70+AE85+AE100</f>
        <v>311.031921371228</v>
      </c>
      <c r="AF122" s="11" t="n">
        <f aca="false">AF25+AF40+AF55+AF70+AF85+AF100</f>
        <v>277.914929532265</v>
      </c>
      <c r="AG122" s="11" t="n">
        <f aca="false">AG25+AG40+AG55+AG70+AG85+AG100</f>
        <v>243.73944884964</v>
      </c>
      <c r="AH122" s="11" t="n">
        <f aca="false">AH25+AH40+AH55+AH70+AH85+AH100</f>
        <v>209.556857466478</v>
      </c>
      <c r="AI122" s="11" t="n">
        <f aca="false">AI25+AI40+AI55+AI70+AI85+AI100</f>
        <v>173.871450847701</v>
      </c>
      <c r="AJ122" s="11" t="n">
        <f aca="false">AJ25+AJ40+AJ55+AJ70+AJ85+AJ100</f>
        <v>138.07301540943</v>
      </c>
      <c r="AK122" s="11" t="n">
        <f aca="false">AK25+AK40+AK55+AK70+AK85+AK100</f>
        <v>101.209618192931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401.096790041144</v>
      </c>
      <c r="AB123" s="11" t="n">
        <f aca="false">AB38+AB53+AB68+AB83+AB98+AB104</f>
        <v>372.102907888628</v>
      </c>
      <c r="AC123" s="11" t="n">
        <f aca="false">AC38+AC53+AC68+AC83+AC98+AC104</f>
        <v>343.069501578137</v>
      </c>
      <c r="AD123" s="11" t="n">
        <f aca="false">AD38+AD53+AD68+AD83+AD98+AD104</f>
        <v>311.031921371228</v>
      </c>
      <c r="AE123" s="11" t="n">
        <f aca="false">AE38+AE53+AE68+AE83+AE98+AE104</f>
        <v>277.914929532265</v>
      </c>
      <c r="AF123" s="11" t="n">
        <f aca="false">AF38+AF53+AF68+AF83+AF98+AF104</f>
        <v>243.73944884964</v>
      </c>
      <c r="AG123" s="11" t="n">
        <f aca="false">AG38+AG53+AG68+AG83+AG98+AG104</f>
        <v>209.556857466478</v>
      </c>
      <c r="AH123" s="11" t="n">
        <f aca="false">AH38+AH53+AH68+AH83+AH98+AH104</f>
        <v>173.871450847701</v>
      </c>
      <c r="AI123" s="11" t="n">
        <f aca="false">AI38+AI53+AI68+AI83+AI98+AI104</f>
        <v>138.07301540943</v>
      </c>
      <c r="AJ123" s="11" t="n">
        <f aca="false">AJ38+AJ53+AJ68+AJ83+AJ98+AJ104</f>
        <v>101.209618192931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140.630809509102</v>
      </c>
      <c r="AC125" s="11" t="n">
        <f aca="false">IF(Time!AC29=1,AC83,AC81)</f>
        <v>125.768712970865</v>
      </c>
      <c r="AD125" s="11" t="n">
        <f aca="false">IF(Time!AD29=1,AD83,AD81)</f>
        <v>110.903344418991</v>
      </c>
      <c r="AE125" s="11" t="n">
        <f aca="false">IF(Time!AE29=1,AE83,AE81)</f>
        <v>94.9134356138119</v>
      </c>
      <c r="AF125" s="11" t="n">
        <f aca="false">IF(Time!AF29=1,AF83,AF81)</f>
        <v>78.7338873707226</v>
      </c>
      <c r="AG125" s="11" t="n">
        <f aca="false">IF(Time!AG29=1,AG83,AG81)</f>
        <v>62.4002032401755</v>
      </c>
      <c r="AH125" s="11" t="n">
        <f aca="false">IF(Time!AH29=1,AH83,AH81)</f>
        <v>46.3872944444714</v>
      </c>
      <c r="AI125" s="11" t="n">
        <f aca="false">IF(Time!AI29=1,AI83,AI81)</f>
        <v>30.2944264701894</v>
      </c>
      <c r="AJ125" s="11" t="n">
        <f aca="false">IF(Time!AJ29=1,AJ83,AJ81)</f>
        <v>15.0530829434066</v>
      </c>
      <c r="AK125" s="11" t="n">
        <f aca="false">IF(Time!AK29=1,AK83,AK81)</f>
        <v>0.652413634502291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10.8629913825029</v>
      </c>
      <c r="Q126" s="11" t="n">
        <f aca="false">IF(AND(Time!Q17&gt;=Time!$F$11,Time!Q17&lt;57),(IF(Time!Q29=1,Q38,Q36)-Q35)*R19+IF(Time!Q29=1,Q38,Q36)*R10,0)</f>
        <v>11.0414248936158</v>
      </c>
      <c r="R126" s="11" t="n">
        <f aca="false">IF(AND(Time!R17&gt;=Time!$F$11,Time!R17&lt;57),(IF(Time!R29=1,R38,R36)-R35)*S19+IF(Time!R29=1,R38,R36)*S10,0)</f>
        <v>10.9377793076214</v>
      </c>
      <c r="S126" s="11" t="n">
        <f aca="false">IF(AND(Time!S17&gt;=Time!$F$11,Time!S17&lt;57),(IF(Time!S29=1,S38,S36)-S35)*T19+IF(Time!S29=1,S38,S36)*T10,0)</f>
        <v>11.1000041827534</v>
      </c>
      <c r="T126" s="11" t="n">
        <f aca="false">IF(AND(Time!T17&gt;=Time!$F$11,Time!T17&lt;57),(IF(Time!T29=1,T38,T36)-T35)*U19+U22*MIN($F$30/4,T35)+IF(Time!T29=1,T38,T36)*U10,0)</f>
        <v>11.0343618749798</v>
      </c>
      <c r="U126" s="11" t="n">
        <f aca="false">IF(AND(Time!U17&gt;=Time!$F$11,Time!U17&lt;57),(IF(Time!U29=1,U38,U36)-U35)*V19+V22*MIN($F$30/4,U35)+IF(Time!U29=1,U38,U36)*V10,0)</f>
        <v>11.2757409126054</v>
      </c>
      <c r="V126" s="11" t="n">
        <f aca="false">IF(AND(Time!V17&gt;=Time!$F$11,Time!V17&lt;57),(IF(Time!V29=1,V38,V36)-V35)*W19+W22*MIN($F$30/4,V35)+IF(Time!V29=1,V38,V36)*W10,0)</f>
        <v>11.178191638563</v>
      </c>
      <c r="W126" s="11" t="n">
        <f aca="false">IF(AND(Time!W17&gt;=Time!$F$11,Time!W17&lt;57),(IF(Time!W29=1,W38,W36)-W35)*X19+X22*MIN($F$30/4,W35)+IF(Time!W29=1,W38,W36)*X10,0)</f>
        <v>10.8835811804828</v>
      </c>
      <c r="X126" s="11" t="n">
        <f aca="false">IF(AND(Time!X17&gt;=Time!$F$11,Time!X17&lt;57),(IF(Time!X29=1,X38,X36)-X35)*Y19+IF(Time!X29=1,X38,X36)*Y10,0)</f>
        <v>10.6111635664551</v>
      </c>
      <c r="Y126" s="11" t="n">
        <f aca="false">IF(AND(Time!Y17&gt;=Time!$F$11,Time!Y17&lt;57),(IF(Time!Y29=1,Y38,Y36)-Y35)*Z19+IF(Time!Y29=1,Y38,Y36)*Z10,0)</f>
        <v>10.7374938792749</v>
      </c>
      <c r="Z126" s="11" t="n">
        <f aca="false">IF(AND(Time!Z17&gt;=Time!$F$11,Time!Z17&lt;57),(IF(Time!Z29=1,Z38,Z36)-Z35)*AA19+IF(Time!Z29=1,Z38,Z36)*AA10,0)</f>
        <v>10.6438038165481</v>
      </c>
      <c r="AA126" s="11" t="n">
        <f aca="false">IF(AND(Time!AA17&gt;=Time!$F$11,Time!AA17&lt;57),(IF(Time!AA29=1,AA38,AA36)-AA35)*AB19+IF(Time!AA29=1,AA38,AA36)*AB10,0)</f>
        <v>10.8081383697674</v>
      </c>
      <c r="AB126" s="11" t="n">
        <f aca="false">IF(AND(Time!AB17&gt;=Time!$F$11,Time!AB17&lt;57),(IF(Time!AB29=1,AB38,AB36)-AB35)*AC19+IF(Time!AB29=1,AB38,AB36)*AC10,0)</f>
        <v>10.7671119025228</v>
      </c>
      <c r="AC126" s="11" t="n">
        <f aca="false">IF(AND(Time!AC17&gt;=Time!$F$11,Time!AC17&lt;57),(IF(Time!AC29=1,AC38,AC36)-AC35)*AD19+IF(Time!AC29=1,AC38,AC36)*AD10,0)</f>
        <v>11.220371679852</v>
      </c>
      <c r="AD126" s="11" t="n">
        <f aca="false">IF(AND(Time!AD17&gt;=Time!$F$11,Time!AD17&lt;57),(IF(Time!AD29=1,AD38,AD36)-AD35)*AE19+IF(Time!AD29=1,AD38,AD36)*AE10,0)</f>
        <v>11.2418457584117</v>
      </c>
      <c r="AE126" s="11" t="n">
        <f aca="false">IF(AND(Time!AE17&gt;=Time!$F$11,Time!AE17&lt;57),(IF(Time!AE29=1,AE38,AE36)-AE35)*AF19+IF(Time!AE29=1,AE38,AE36)*AF10,0)</f>
        <v>11.3121386604283</v>
      </c>
      <c r="AF126" s="11" t="n">
        <f aca="false">IF(AND(Time!AF17&gt;=Time!$F$11,Time!AF17&lt;57),(IF(Time!AF29=1,AF38,AF36)-AF35)*AG19+IF(Time!AF29=1,AF38,AF36)*AG10,0)</f>
        <v>11.1478092688104</v>
      </c>
      <c r="AG126" s="11" t="n">
        <f aca="false">IF(AND(Time!AG17&gt;=Time!$F$11,Time!AG17&lt;57),(IF(Time!AG29=1,AG38,AG36)-AG35)*AH19+IF(Time!AG29=1,AG38,AG36)*AH10,0)</f>
        <v>11.3372684983816</v>
      </c>
      <c r="AH126" s="11" t="n">
        <f aca="false">IF(AND(Time!AH17&gt;=Time!$F$11,Time!AH17&lt;57),(IF(Time!AH29=1,AH38,AH36)-AH35)*AI19+IF(Time!AH29=1,AH38,AH36)*AI10,0)</f>
        <v>11.268342208546</v>
      </c>
      <c r="AI126" s="11" t="n">
        <f aca="false">IF(AND(Time!AI17&gt;=Time!$F$11,Time!AI17&lt;57),(IF(Time!AI29=1,AI38,AI36)-AI35)*AJ19+IF(Time!AI29=1,AI38,AI36)*AJ10,0)</f>
        <v>11.4427047015443</v>
      </c>
      <c r="AJ126" s="11" t="n">
        <f aca="false">IF(AND(Time!AJ17&gt;=Time!$F$11,Time!AJ17&lt;57),(IF(Time!AJ29=1,AJ38,AJ36)-AJ35)*AK19+IF(Time!AJ29=1,AJ38,AJ36)*AK10,0)</f>
        <v>11.4185727963867</v>
      </c>
      <c r="AK126" s="11" t="n">
        <f aca="false">IF(AND(Time!AK17&gt;=Time!$F$11,Time!AK17&lt;57),(IF(Time!AK29=1,AK38,AK36)-AK35)*AL19+IF(Time!AK29=1,AK38,AK36)*AL10,0)</f>
        <v>11.7040868868914</v>
      </c>
      <c r="AL126" s="11" t="n">
        <f aca="false">IF(AND(Time!AL17&gt;=Time!$F$11,Time!AL17&lt;57),(IF(Time!AL29=1,AL38,AL36)-AL35)*AM19+IF(Time!AL29=1,AL38,AL36)*AM10,0)</f>
        <v>11.5607829556908</v>
      </c>
      <c r="AM126" s="11" t="n">
        <f aca="false">IF(AND(Time!AM17&gt;=Time!$F$11,Time!AM17&lt;57),(IF(Time!AM29=1,AM38,AM36)-AM35)*AN19+IF(Time!AM29=1,AM38,AM36)*AN10,0)</f>
        <v>9.36219902691306</v>
      </c>
      <c r="AN126" s="11" t="n">
        <f aca="false">IF(AND(Time!AN17&gt;=Time!$F$11,Time!AN17&lt;57),(IF(Time!AN29=1,AN38,AN36)-AN35)*AO19+IF(Time!AN29=1,AN38,AN36)*AO10,0)</f>
        <v>9.19716908540747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9.53782536817764</v>
      </c>
      <c r="Q127" s="11" t="n">
        <f aca="false">IF(AND(Time!Q17&gt;=Time!$F$11,Time!Q17&lt;57),(IF(Time!Q29=1,Q53,Q51)-Q50)*R19+IF(Time!Q29=1,Q53,Q51)*R11,0)</f>
        <v>9.65297050708978</v>
      </c>
      <c r="R127" s="11" t="n">
        <f aca="false">IF(AND(Time!R17&gt;=Time!$F$11,Time!R17&lt;57),(IF(Time!R29=1,R53,R51)-R50)*S19+IF(Time!R29=1,R53,R51)*S11,0)</f>
        <v>9.50849766289111</v>
      </c>
      <c r="S127" s="11" t="n">
        <f aca="false">IF(AND(Time!S17&gt;=Time!$F$11,Time!S17&lt;57),(IF(Time!S29=1,S53,S51)-S50)*T19+IF(Time!S29=1,S53,S51)*T11,0)</f>
        <v>9.60701346962191</v>
      </c>
      <c r="T127" s="11" t="n">
        <f aca="false">IF(AND(Time!T17&gt;=Time!$F$11,Time!T17&lt;57),(IF(Time!T29=1,T53,T51)-T50)*U19+U22*MIN($F$45/4,T50)+IF(Time!T29=1,T53,T51)*U11,0)</f>
        <v>9.4962649604874</v>
      </c>
      <c r="U127" s="11" t="n">
        <f aca="false">IF(AND(Time!U17&gt;=Time!$F$11,Time!U17&lt;57),(IF(Time!U29=1,U53,U51)-U50)*V19+V22*MIN($F$45/4,U50)+IF(Time!U29=1,U53,U51)*V11,0)</f>
        <v>9.64002677810908</v>
      </c>
      <c r="V127" s="11" t="n">
        <f aca="false">IF(AND(Time!V17&gt;=Time!$F$11,Time!V17&lt;57),(IF(Time!V29=1,V53,V51)-V50)*W19+W22*MIN($F$45/4,V50)+IF(Time!V29=1,V53,V51)*W11,0)</f>
        <v>9.49511769664193</v>
      </c>
      <c r="W127" s="11" t="n">
        <f aca="false">IF(AND(Time!W17&gt;=Time!$F$11,Time!W17&lt;57),(IF(Time!W29=1,W53,W51)-W50)*X19+X22*MIN($F$45/4,W50)+IF(Time!W29=1,W53,W51)*X11,0)</f>
        <v>9.2471319027815</v>
      </c>
      <c r="X127" s="11" t="n">
        <f aca="false">IF(AND(Time!X17&gt;=Time!$F$11,Time!X17&lt;57),(IF(Time!X29=1,X53,X51)-X50)*Y19+IF(Time!X29=1,X53,X51)*Y11,0)</f>
        <v>8.9756029142415</v>
      </c>
      <c r="Y127" s="11" t="n">
        <f aca="false">IF(AND(Time!Y17&gt;=Time!$F$11,Time!Y17&lt;57),(IF(Time!Y29=1,Y53,Y51)-Y50)*Z19+IF(Time!Y29=1,Y53,Y51)*Z11,0)</f>
        <v>9.03604748085669</v>
      </c>
      <c r="Z127" s="11" t="n">
        <f aca="false">IF(AND(Time!Z17&gt;=Time!$F$11,Time!Z17&lt;57),(IF(Time!Z29=1,Z53,Z51)-Z50)*AA19+IF(Time!Z29=1,Z53,Z51)*AA11,0)</f>
        <v>8.89513752237801</v>
      </c>
      <c r="AA127" s="11" t="n">
        <f aca="false">IF(AND(Time!AA17&gt;=Time!$F$11,Time!AA17&lt;57),(IF(Time!AA29=1,AA53,AA51)-AA50)*AB19+IF(Time!AA29=1,AA53,AA51)*AB11,0)</f>
        <v>8.97798762521051</v>
      </c>
      <c r="AB127" s="11" t="n">
        <f aca="false">IF(AND(Time!AB17&gt;=Time!$F$11,Time!AB17&lt;57),(IF(Time!AB29=1,AB53,AB51)-AB50)*AC19+IF(Time!AB29=1,AB53,AB51)*AC11,0)</f>
        <v>8.87871613159961</v>
      </c>
      <c r="AC127" s="11" t="n">
        <f aca="false">IF(AND(Time!AC17&gt;=Time!$F$11,Time!AC17&lt;57),(IF(Time!AC29=1,AC53,AC51)-AC50)*AD19+IF(Time!AC29=1,AC53,AC51)*AD11,0)</f>
        <v>9.16158775977775</v>
      </c>
      <c r="AD127" s="11" t="n">
        <f aca="false">IF(AND(Time!AD17&gt;=Time!$F$11,Time!AD17&lt;57),(IF(Time!AD29=1,AD53,AD51)-AD50)*AE19+IF(Time!AD29=1,AD53,AD51)*AE11,0)</f>
        <v>9.09732797615768</v>
      </c>
      <c r="AE127" s="11" t="n">
        <f aca="false">IF(AND(Time!AE17&gt;=Time!$F$11,Time!AE17&lt;57),(IF(Time!AE29=1,AE53,AE51)-AE50)*AF19+IF(Time!AE29=1,AE53,AE51)*AF11,0)</f>
        <v>9.09432422828594</v>
      </c>
      <c r="AF127" s="11" t="n">
        <f aca="false">IF(AND(Time!AF17&gt;=Time!$F$11,Time!AF17&lt;57),(IF(Time!AF29=1,AF53,AF51)-AF50)*AG19+IF(Time!AF29=1,AF53,AF51)*AG11,0)</f>
        <v>8.89084709024555</v>
      </c>
      <c r="AG127" s="11" t="n">
        <f aca="false">IF(AND(Time!AG17&gt;=Time!$F$11,Time!AG17&lt;57),(IF(Time!AG29=1,AG53,AG51)-AG50)*AH19+IF(Time!AG29=1,AG53,AG51)*AH11,0)</f>
        <v>8.96921563676705</v>
      </c>
      <c r="AH127" s="11" t="n">
        <f aca="false">IF(AND(Time!AH17&gt;=Time!$F$11,Time!AH17&lt;57),(IF(Time!AH29=1,AH53,AH51)-AH50)*AI19+IF(Time!AH29=1,AH53,AH51)*AI11,0)</f>
        <v>8.83315872386183</v>
      </c>
      <c r="AI127" s="11" t="n">
        <f aca="false">IF(AND(Time!AI17&gt;=Time!$F$11,Time!AI17&lt;57),(IF(Time!AI29=1,AI53,AI51)-AI50)*AJ19+IF(Time!AI29=1,AI53,AI51)*AJ11,0)</f>
        <v>8.89216536851509</v>
      </c>
      <c r="AJ127" s="11" t="n">
        <f aca="false">IF(AND(Time!AJ17&gt;=Time!$F$11,Time!AJ17&lt;57),(IF(Time!AJ29=1,AJ53,AJ51)-AJ50)*AK19+IF(Time!AJ29=1,AJ53,AJ51)*AK11,0)</f>
        <v>8.78783474393168</v>
      </c>
      <c r="AK127" s="11" t="n">
        <f aca="false">IF(AND(Time!AK17&gt;=Time!$F$11,Time!AK17&lt;57),(IF(Time!AK29=1,AK53,AK51)-AK50)*AL19+IF(Time!AK29=1,AK53,AK51)*AL11,0)</f>
        <v>8.91702461741129</v>
      </c>
      <c r="AL127" s="11" t="n">
        <f aca="false">IF(AND(Time!AL17&gt;=Time!$F$11,Time!AL17&lt;57),(IF(Time!AL29=1,AL53,AL51)-AL50)*AM19+IF(Time!AL29=1,AL53,AL51)*AM11,0)</f>
        <v>8.71810196597347</v>
      </c>
      <c r="AM127" s="11" t="n">
        <f aca="false">IF(AND(Time!AM17&gt;=Time!$F$11,Time!AM17&lt;57),(IF(Time!AM29=1,AM53,AM51)-AM50)*AN19+IF(Time!AM29=1,AM53,AM51)*AN11,0)</f>
        <v>7.01806866005951</v>
      </c>
      <c r="AN127" s="11" t="n">
        <f aca="false">IF(AND(Time!AN17&gt;=Time!$F$11,Time!AN17&lt;57),(IF(Time!AN29=1,AN53,AN51)-AN50)*AO19+IF(Time!AN29=1,AN53,AN51)*AO11,0)</f>
        <v>6.82012717779982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4.25772538041298</v>
      </c>
      <c r="Q128" s="11" t="n">
        <f aca="false">IF(AND(Time!Q17&gt;=Time!$F$11,Time!Q17&lt;57),(IF(Time!Q29=1,Q68,Q66)-Q65)*R19+IF(Time!Q29=1,Q68,Q66)*R12,0)</f>
        <v>4.31084007312851</v>
      </c>
      <c r="R128" s="11" t="n">
        <f aca="false">IF(AND(Time!R17&gt;=Time!$F$11,Time!R17&lt;57),(IF(Time!R29=1,R68,R66)-R65)*S19+IF(Time!R29=1,R68,R66)*S12,0)</f>
        <v>4.24855331001133</v>
      </c>
      <c r="S128" s="11" t="n">
        <f aca="false">IF(AND(Time!S17&gt;=Time!$F$11,Time!S17&lt;57),(IF(Time!S29=1,S68,S66)-S65)*T19+IF(Time!S29=1,S68,S66)*T12,0)</f>
        <v>4.29434355327332</v>
      </c>
      <c r="T128" s="11" t="n">
        <f aca="false">IF(AND(Time!T17&gt;=Time!$F$11,Time!T17&lt;57),(IF(Time!T29=1,T68,T66)-T65)*U19+U22*MIN($F$60/4,T65)+IF(Time!T29=1,T68,T66)*U12,0)</f>
        <v>4.2470967416493</v>
      </c>
      <c r="U128" s="11" t="n">
        <f aca="false">IF(AND(Time!U17&gt;=Time!$F$11,Time!U17&lt;57),(IF(Time!U29=1,U68,U66)-U65)*V19+V22*MIN($F$60/4,U65)+IF(Time!U29=1,U68,U66)*V12,0)</f>
        <v>4.31408578308984</v>
      </c>
      <c r="V128" s="11" t="n">
        <f aca="false">IF(AND(Time!V17&gt;=Time!$F$11,Time!V17&lt;57),(IF(Time!V29=1,V68,V66)-V65)*W19+W22*MIN($F$60/4,V65)+IF(Time!V29=1,V68,V66)*W12,0)</f>
        <v>4.25184316439773</v>
      </c>
      <c r="W128" s="11" t="n">
        <f aca="false">IF(AND(Time!W17&gt;=Time!$F$11,Time!W17&lt;57),(IF(Time!W29=1,W68,W66)-W65)*X19+X22*MIN($F$60/4,W65)+IF(Time!W29=1,W68,W66)*X12,0)</f>
        <v>4.14070031958971</v>
      </c>
      <c r="X128" s="11" t="n">
        <f aca="false">IF(AND(Time!X17&gt;=Time!$F$11,Time!X17&lt;57),(IF(Time!X29=1,X68,X66)-X65)*Y19+IF(Time!X29=1,X68,X66)*Y12,0)</f>
        <v>4.0208233125254</v>
      </c>
      <c r="Y128" s="11" t="n">
        <f aca="false">IF(AND(Time!Y17&gt;=Time!$F$11,Time!Y17&lt;57),(IF(Time!Y29=1,Y68,Y66)-Y65)*Z19+IF(Time!Y29=1,Y68,Y66)*Z12,0)</f>
        <v>4.04988890914821</v>
      </c>
      <c r="Z128" s="11" t="n">
        <f aca="false">IF(AND(Time!Z17&gt;=Time!$F$11,Time!Z17&lt;57),(IF(Time!Z29=1,Z68,Z66)-Z65)*AA19+IF(Time!Z29=1,Z68,Z66)*AA12,0)</f>
        <v>3.98940631500173</v>
      </c>
      <c r="AA128" s="11" t="n">
        <f aca="false">IF(AND(Time!AA17&gt;=Time!$F$11,Time!AA17&lt;57),(IF(Time!AA29=1,AA68,AA66)-AA65)*AB19+IF(Time!AA29=1,AA68,AA66)*AB12,0)</f>
        <v>4.02892621860453</v>
      </c>
      <c r="AB128" s="11" t="n">
        <f aca="false">IF(AND(Time!AB17&gt;=Time!$F$11,Time!AB17&lt;57),(IF(Time!AB29=1,AB68,AB66)-AB65)*AC19+IF(Time!AB29=1,AB68,AB66)*AC12,0)</f>
        <v>3.98722106427702</v>
      </c>
      <c r="AC128" s="11" t="n">
        <f aca="false">IF(AND(Time!AC17&gt;=Time!$F$11,Time!AC17&lt;57),(IF(Time!AC29=1,AC68,AC66)-AC65)*AD19+IF(Time!AC29=1,AC68,AC66)*AD12,0)</f>
        <v>4.11824566182818</v>
      </c>
      <c r="AD128" s="11" t="n">
        <f aca="false">IF(AND(Time!AD17&gt;=Time!$F$11,Time!AD17&lt;57),(IF(Time!AD29=1,AD68,AD66)-AD65)*AE19+IF(Time!AD29=1,AD68,AD66)*AE12,0)</f>
        <v>4.09298960609329</v>
      </c>
      <c r="AE128" s="11" t="n">
        <f aca="false">IF(AND(Time!AE17&gt;=Time!$F$11,Time!AE17&lt;57),(IF(Time!AE29=1,AE68,AE66)-AE65)*AF19+IF(Time!AE29=1,AE68,AE66)*AF12,0)</f>
        <v>4.09431951694296</v>
      </c>
      <c r="AF128" s="11" t="n">
        <f aca="false">IF(AND(Time!AF17&gt;=Time!$F$11,Time!AF17&lt;57),(IF(Time!AF29=1,AF68,AF66)-AF65)*AG19+IF(Time!AF29=1,AF68,AF66)*AG12,0)</f>
        <v>4.00592916356099</v>
      </c>
      <c r="AG128" s="11" t="n">
        <f aca="false">IF(AND(Time!AG17&gt;=Time!$F$11,Time!AG17&lt;57),(IF(Time!AG29=1,AG68,AG66)-AG65)*AH19+IF(Time!AG29=1,AG68,AG66)*AH12,0)</f>
        <v>4.04454373124027</v>
      </c>
      <c r="AH128" s="11" t="n">
        <f aca="false">IF(AND(Time!AH17&gt;=Time!$F$11,Time!AH17&lt;57),(IF(Time!AH29=1,AH68,AH66)-AH65)*AI19+IF(Time!AH29=1,AH68,AH66)*AI12,0)</f>
        <v>3.98692453006921</v>
      </c>
      <c r="AI128" s="11" t="n">
        <f aca="false">IF(AND(Time!AI17&gt;=Time!$F$11,Time!AI17&lt;57),(IF(Time!AI29=1,AI68,AI66)-AI65)*AJ19+IF(Time!AI29=1,AI68,AI66)*AJ12,0)</f>
        <v>4.01714786575871</v>
      </c>
      <c r="AJ128" s="11" t="n">
        <f aca="false">IF(AND(Time!AJ17&gt;=Time!$F$11,Time!AJ17&lt;57),(IF(Time!AJ29=1,AJ68,AJ66)-AJ65)*AK19+IF(Time!AJ29=1,AJ68,AJ66)*AK12,0)</f>
        <v>3.9740051853223</v>
      </c>
      <c r="AK128" s="11" t="n">
        <f aca="false">IF(AND(Time!AK17&gt;=Time!$F$11,Time!AK17&lt;57),(IF(Time!AK29=1,AK68,AK66)-AK65)*AL19+IF(Time!AK29=1,AK68,AK66)*AL12,0)</f>
        <v>4.03668966962251</v>
      </c>
      <c r="AL128" s="11" t="n">
        <f aca="false">IF(AND(Time!AL17&gt;=Time!$F$11,Time!AL17&lt;57),(IF(Time!AL29=1,AL68,AL66)-AL65)*AM19+IF(Time!AL29=1,AL68,AL66)*AM12,0)</f>
        <v>3.95090630542601</v>
      </c>
      <c r="AM128" s="11" t="n">
        <f aca="false">IF(AND(Time!AM17&gt;=Time!$F$11,Time!AM17&lt;57),(IF(Time!AM29=1,AM68,AM66)-AM65)*AN19+IF(Time!AM29=1,AM68,AM66)*AN12,0)</f>
        <v>3.18249879605851</v>
      </c>
      <c r="AN128" s="11" t="n">
        <f aca="false">IF(AND(Time!AN17&gt;=Time!$F$11,Time!AN17&lt;57),(IF(Time!AN29=1,AN68,AN66)-AN65)*AO19+IF(Time!AN29=1,AN68,AN66)*AO12,0)</f>
        <v>3.0963257668276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18.2133667312132</v>
      </c>
      <c r="Q129" s="11" t="n">
        <f aca="false">IF(AND(Time!Q17&gt;=Time!$F$11,Time!Q17&lt;57),(IF(Time!Q29=1,Q83,Q81)-Q80)*R19+IF(Time!Q29=1,Q83,Q81)*R13,0)</f>
        <v>18.3948756800603</v>
      </c>
      <c r="R129" s="11" t="n">
        <f aca="false">IF(AND(Time!R17&gt;=Time!$F$11,Time!R17&lt;57),(IF(Time!R29=1,R83,R81)-R80)*S19+IF(Time!R29=1,R83,R81)*S13,0)</f>
        <v>18.0708181622781</v>
      </c>
      <c r="S129" s="11" t="n">
        <f aca="false">IF(AND(Time!S17&gt;=Time!$F$11,Time!S17&lt;57),(IF(Time!S29=1,S83,S81)-S80)*T19+IF(Time!S29=1,S83,S81)*T13,0)</f>
        <v>18.2183387366117</v>
      </c>
      <c r="T129" s="11" t="n">
        <f aca="false">IF(AND(Time!T17&gt;=Time!$F$11,Time!T17&lt;57),(IF(Time!T29=1,T83,T81)-T80)*U19+U22*MIN($F$75/4,T80)+IF(Time!T29=1,T83,T81)*U13,0)</f>
        <v>17.9577175074764</v>
      </c>
      <c r="U129" s="11" t="n">
        <f aca="false">IF(AND(Time!U17&gt;=Time!$F$11,Time!U17&lt;57),(IF(Time!U29=1,U83,U81)-U80)*V19+V22*MIN($F$75/4,U80)+IF(Time!U29=1,U83,U81)*V13,0)</f>
        <v>18.1692165515084</v>
      </c>
      <c r="V129" s="11" t="n">
        <f aca="false">IF(AND(Time!V17&gt;=Time!$F$11,Time!V17&lt;57),(IF(Time!V29=1,V83,V81)-V80)*W19+W22*MIN($F$75/4,V80)+IF(Time!V29=1,V83,V81)*W13,0)</f>
        <v>17.8376738948951</v>
      </c>
      <c r="W129" s="11" t="n">
        <f aca="false">IF(AND(Time!W17&gt;=Time!$F$11,Time!W17&lt;57),(IF(Time!W29=1,W83,W81)-W80)*X19+X22*MIN($F$75/4,W80)+IF(Time!W29=1,W83,W81)*X13,0)</f>
        <v>17.3739700210211</v>
      </c>
      <c r="X129" s="11" t="n">
        <f aca="false">IF(AND(Time!X17&gt;=Time!$F$11,Time!X17&lt;57),(IF(Time!X29=1,X83,X81)-X80)*Y19+IF(Time!X29=1,X83,X81)*Y13,0)</f>
        <v>17.3237006850588</v>
      </c>
      <c r="Y129" s="11" t="n">
        <f aca="false">IF(AND(Time!Y17&gt;=Time!$F$11,Time!Y17&lt;57),(IF(Time!Y29=1,Y83,Y81)-Y80)*Z19+IF(Time!Y29=1,Y83,Y81)*Z13,0)</f>
        <v>17.3790194086726</v>
      </c>
      <c r="Z129" s="11" t="n">
        <f aca="false">IF(AND(Time!Z17&gt;=Time!$F$11,Time!Z17&lt;57),(IF(Time!Z29=1,Z83,Z81)-Z80)*AA19+IF(Time!Z29=1,Z83,Z81)*AA13,0)</f>
        <v>17.0255541877305</v>
      </c>
      <c r="AA129" s="11" t="n">
        <f aca="false">IF(AND(Time!AA17&gt;=Time!$F$11,Time!AA17&lt;57),(IF(Time!AA29=1,AA83,AA81)-AA80)*AB19+IF(Time!AA29=1,AA83,AA81)*AB13,0)</f>
        <v>17.1112431166002</v>
      </c>
      <c r="AB129" s="11" t="n">
        <f aca="false">IF(AND(Time!AB17&gt;=Time!$F$11,Time!AB17&lt;57),(IF(Time!AB29=1,AB83,AB81)-AB80)*AC19+IF(Time!AB29=1,AB83,AB81)*AC13,0)</f>
        <v>16.2155304098063</v>
      </c>
      <c r="AC129" s="11" t="n">
        <f aca="false">IF(AND(Time!AC17&gt;=Time!$F$11,Time!AC17&lt;57),(IF(Time!AC29=1,AC83,AC81)-AC80)*AD19+IF(Time!AC29=1,AC83,AC81)*AD13,0)</f>
        <v>15.8179533349848</v>
      </c>
      <c r="AD129" s="11" t="n">
        <f aca="false">IF(AND(Time!AD17&gt;=Time!$F$11,Time!AD17&lt;57),(IF(Time!AD29=1,AD83,AD81)-AD80)*AE19+IF(Time!AD29=1,AD83,AD81)*AE13,0)</f>
        <v>14.8046991244375</v>
      </c>
      <c r="AE129" s="11" t="n">
        <f aca="false">IF(AND(Time!AE17&gt;=Time!$F$11,Time!AE17&lt;57),(IF(Time!AE29=1,AE83,AE81)-AE80)*AF19+IF(Time!AE29=1,AE83,AE81)*AF13,0)</f>
        <v>13.6883915696994</v>
      </c>
      <c r="AF129" s="11" t="n">
        <f aca="false">IF(AND(Time!AF17&gt;=Time!$F$11,Time!AF17&lt;57),(IF(Time!AF29=1,AF83,AF81)-AF80)*AG19+IF(Time!AF29=1,AF83,AF81)*AG13,0)</f>
        <v>12.332528725121</v>
      </c>
      <c r="AG129" s="11" t="n">
        <f aca="false">IF(AND(Time!AG17&gt;=Time!$F$11,Time!AG17&lt;57),(IF(Time!AG29=1,AG83,AG81)-AG80)*AH19+IF(Time!AG29=1,AG83,AG81)*AH13,0)</f>
        <v>10.8660930895969</v>
      </c>
      <c r="AH129" s="11" t="n">
        <f aca="false">IF(AND(Time!AH17&gt;=Time!$F$11,Time!AH17&lt;57),(IF(Time!AH29=1,AH83,AH81)-AH80)*AI19+IF(Time!AH29=1,AH83,AH81)*AI13,0)</f>
        <v>8.92001894526901</v>
      </c>
      <c r="AI129" s="11" t="n">
        <f aca="false">IF(AND(Time!AI17&gt;=Time!$F$11,Time!AI17&lt;57),(IF(Time!AI29=1,AI83,AI81)-AI80)*AJ19+IF(Time!AI29=1,AI83,AI81)*AJ13,0)</f>
        <v>6.72310669840694</v>
      </c>
      <c r="AJ129" s="11" t="n">
        <f aca="false">IF(AND(Time!AJ17&gt;=Time!$F$11,Time!AJ17&lt;57),(IF(Time!AJ29=1,AJ83,AJ81)-AJ80)*AK19+IF(Time!AJ29=1,AJ83,AJ81)*AK13,0)</f>
        <v>3.91022352966278</v>
      </c>
      <c r="AK129" s="11" t="n">
        <f aca="false">IF(AND(Time!AK17&gt;=Time!$F$11,Time!AK17&lt;57),(IF(Time!AK29=1,AK83,AK81)-AK80)*AL19+IF(Time!AK29=1,AK83,AK81)*AL13,0)</f>
        <v>0.213362225415187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1.29109438047709E-012</v>
      </c>
      <c r="Q130" s="11" t="n">
        <f aca="false">IF(AND(Time!Q17&gt;=Time!$F$11,Time!Q17&lt;57),(IF(Time!Q29=1,Q98,Q96)-Q95)*R19+IF(Time!Q29=1,Q98,Q96)*R14,0)</f>
        <v>1.30451137345579E-012</v>
      </c>
      <c r="R130" s="11" t="n">
        <f aca="false">IF(AND(Time!R17&gt;=Time!$F$11,Time!R17&lt;57),(IF(Time!R29=1,R98,R96)-R95)*S19+IF(Time!R29=1,R98,R96)*S14,0)</f>
        <v>1.28221449473426E-012</v>
      </c>
      <c r="S130" s="11" t="n">
        <f aca="false">IF(AND(Time!S17&gt;=Time!$F$11,Time!S17&lt;57),(IF(Time!S29=1,S98,S96)-S95)*T19+IF(Time!S29=1,S98,S96)*T14,0)</f>
        <v>1.29325439891632E-012</v>
      </c>
      <c r="T130" s="11" t="n">
        <f aca="false">IF(AND(Time!T17&gt;=Time!$F$11,Time!T17&lt;57),(IF(Time!T29=1,T98,T96)-T95)*U19+U22*MIN($F$90/4,T95)+IF(Time!T29=1,T98,T96)*U14,0)</f>
        <v>1.27548510823002E-012</v>
      </c>
      <c r="U130" s="11" t="n">
        <f aca="false">IF(AND(Time!U17&gt;=Time!$F$11,Time!U17&lt;57),(IF(Time!U29=1,U98,U96)-U95)*V19+V22*MIN($F$90/4,U95)+IF(Time!U29=1,U98,U96)*V14,0)</f>
        <v>1.29138200328771E-012</v>
      </c>
      <c r="V130" s="11" t="n">
        <f aca="false">IF(AND(Time!V17&gt;=Time!$F$11,Time!V17&lt;57),(IF(Time!V29=1,V98,V96)-V95)*W19+W22*MIN($F$90/4,V95)+IF(Time!V29=1,V98,V96)*W14,0)</f>
        <v>1.26866699751912E-012</v>
      </c>
      <c r="W130" s="11" t="n">
        <f aca="false">IF(AND(Time!W17&gt;=Time!$F$11,Time!W17&lt;57),(IF(Time!W29=1,W98,W96)-W95)*X19+X22*MIN($F$90/4,W95)+IF(Time!W29=1,W98,W96)*X14,0)</f>
        <v>1.23565543787162E-012</v>
      </c>
      <c r="X130" s="11" t="n">
        <f aca="false">IF(AND(Time!X17&gt;=Time!$F$11,Time!X17&lt;57),(IF(Time!X29=1,X98,X96)-X95)*Y19+IF(Time!X29=1,X98,X96)*Y14,0)</f>
        <v>1.21884871803587E-012</v>
      </c>
      <c r="Y130" s="11" t="n">
        <f aca="false">IF(AND(Time!Y17&gt;=Time!$F$11,Time!Y17&lt;57),(IF(Time!Y29=1,Y98,Y96)-Y95)*Z19+IF(Time!Y29=1,Y98,Y96)*Z14,0)</f>
        <v>1.22380854767392E-012</v>
      </c>
      <c r="Z130" s="11" t="n">
        <f aca="false">IF(AND(Time!Z17&gt;=Time!$F$11,Time!Z17&lt;57),(IF(Time!Z29=1,Z98,Z96)-Z95)*AA19+IF(Time!Z29=1,Z98,Z96)*AA14,0)</f>
        <v>1.20035820813016E-012</v>
      </c>
      <c r="AA130" s="11" t="n">
        <f aca="false">IF(AND(Time!AA17&gt;=Time!$F$11,Time!AA17&lt;57),(IF(Time!AA29=1,AA98,AA96)-AA95)*AB19+IF(Time!AA29=1,AA98,AA96)*AB14,0)</f>
        <v>1.20767889372489E-012</v>
      </c>
      <c r="AB130" s="11" t="n">
        <f aca="false">IF(AND(Time!AB17&gt;=Time!$F$11,Time!AB17&lt;57),(IF(Time!AB29=1,AB98,AB96)-AB95)*AC19+IF(Time!AB29=1,AB98,AB96)*AC14,0)</f>
        <v>1.18967937815778E-012</v>
      </c>
      <c r="AC130" s="11" t="n">
        <f aca="false">IF(AND(Time!AC17&gt;=Time!$F$11,Time!AC17&lt;57),(IF(Time!AC29=1,AC98,AC96)-AC95)*AD19+IF(Time!AC29=1,AC98,AC96)*AD14,0)</f>
        <v>1.22105688389292E-012</v>
      </c>
      <c r="AD130" s="11" t="n">
        <f aca="false">IF(AND(Time!AD17&gt;=Time!$F$11,Time!AD17&lt;57),(IF(Time!AD29=1,AD98,AD96)-AD95)*AE19+IF(Time!AD29=1,AD98,AD96)*AE14,0)</f>
        <v>1.20656220092853E-012</v>
      </c>
      <c r="AE130" s="11" t="n">
        <f aca="false">IF(AND(Time!AE17&gt;=Time!$F$11,Time!AE17&lt;57),(IF(Time!AE29=1,AE98,AE96)-AE95)*AF19+IF(Time!AE29=1,AE98,AE96)*AF14,0)</f>
        <v>1.20178287305035E-012</v>
      </c>
      <c r="AF130" s="11" t="n">
        <f aca="false">IF(AND(Time!AF17&gt;=Time!$F$11,Time!AF17&lt;57),(IF(Time!AF29=1,AF98,AF96)-AF95)*AG19+IF(Time!AF29=1,AF98,AF96)*AG14,0)</f>
        <v>1.1826121101312E-012</v>
      </c>
      <c r="AG130" s="11" t="n">
        <f aca="false">IF(AND(Time!AG17&gt;=Time!$F$11,Time!AG17&lt;57),(IF(Time!AG29=1,AG98,AG96)-AG95)*AH19+IF(Time!AG29=1,AG98,AG96)*AH14,0)</f>
        <v>1.18642549463241E-012</v>
      </c>
      <c r="AH130" s="11" t="n">
        <f aca="false">IF(AND(Time!AH17&gt;=Time!$F$11,Time!AH17&lt;57),(IF(Time!AH29=1,AH98,AH96)-AH95)*AI19+IF(Time!AH29=1,AH98,AH96)*AI14,0)</f>
        <v>1.16095803932392E-012</v>
      </c>
      <c r="AI130" s="11" t="n">
        <f aca="false">IF(AND(Time!AI17&gt;=Time!$F$11,Time!AI17&lt;57),(IF(Time!AI29=1,AI98,AI96)-AI95)*AJ19+IF(Time!AI29=1,AI98,AI96)*AJ14,0)</f>
        <v>1.16153054138295E-012</v>
      </c>
      <c r="AJ130" s="11" t="n">
        <f aca="false">IF(AND(Time!AJ17&gt;=Time!$F$11,Time!AJ17&lt;57),(IF(Time!AJ29=1,AJ98,AJ96)-AJ95)*AK19+IF(Time!AJ29=1,AJ98,AJ96)*AK14,0)</f>
        <v>1.13991966135617E-012</v>
      </c>
      <c r="AK130" s="11" t="n">
        <f aca="false">IF(AND(Time!AK17&gt;=Time!$F$11,Time!AK17&lt;57),(IF(Time!AK29=1,AK98,AK96)-AK95)*AL19+IF(Time!AK29=1,AK98,AK96)*AL14,0)</f>
        <v>1.14814927039843E-012</v>
      </c>
      <c r="AL130" s="11" t="n">
        <f aca="false">IF(AND(Time!AL17&gt;=Time!$F$11,Time!AL17&lt;57),(IF(Time!AL29=1,AL98,AL96)-AL95)*AM19+IF(Time!AL29=1,AL98,AL96)*AM14,0)</f>
        <v>1.1139974179874E-012</v>
      </c>
      <c r="AM130" s="11" t="n">
        <f aca="false">IF(AND(Time!AM17&gt;=Time!$F$11,Time!AM17&lt;57),(IF(Time!AM29=1,AM98,AM96)-AM95)*AN19+IF(Time!AM29=1,AM98,AM96)*AN14,0)</f>
        <v>8.92724522446992E-013</v>
      </c>
      <c r="AN130" s="11" t="n">
        <f aca="false">IF(AND(Time!AN17&gt;=Time!$F$11,Time!AN17&lt;57),(IF(Time!AN29=1,AN98,AN96)-AN95)*AO19+IF(Time!AN29=1,AN98,AN96)*AO14,0)</f>
        <v>8.60367260465338E-013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38.6616967746567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39.1144283831714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38.7574063557963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39.1557336731761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38.9152650446619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39.6006594730367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39.2657193975113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38.1387094828572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37.7136071834051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37.9837522021192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37.6175484161408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38.0119521840663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37.1474297002348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37.6733539568001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36.8525031171836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35.8592987654913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34.3036490549679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33.2252778966708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31.274587528778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29.461754504768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26.7240494743803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23.6931579806753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23.3984025110587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19.0235505071657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18.8521663535949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0.0364481388446549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0.0368568704278604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0.0364603172397465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0.0368692506748043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0.0365966283847658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0.0368692506748043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0.0364603172397465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0.0368692506748043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0.0375217369928329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0.0379482630204833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0.0375217369928329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0.0379482630204833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0.0376639123353831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0.0379482630204833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0.0375217369928329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0.0379482630204833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0.0385831567459193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0.0390272753661623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0.0385831567459193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0.0390272753661624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0.0387311962860003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0.0390272753661623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0.0385831567459193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0.0390272753661623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0.0385831567459193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837.05004673707</v>
      </c>
      <c r="Q136" s="11" t="n">
        <f aca="false">IF(Q134=1,(Waterfall!Q7+R136)/(1+Q135),0)</f>
        <v>815.525829977538</v>
      </c>
      <c r="R136" s="11" t="n">
        <f aca="false">IF(R134=1,(Waterfall!R7+S136)/(1+R135),0)</f>
        <v>795.088256441771</v>
      </c>
      <c r="S136" s="11" t="n">
        <f aca="false">IF(S134=1,(Waterfall!S7+T136)/(1+S135),0)</f>
        <v>773.5992614151</v>
      </c>
      <c r="T136" s="11" t="n">
        <f aca="false">IF(T134=1,(Waterfall!T7+U136)/(1+T135),0)</f>
        <v>751.404964034036</v>
      </c>
      <c r="U136" s="11" t="n">
        <f aca="false">IF(U134=1,(Waterfall!U7+V136)/(1+U135),0)</f>
        <v>728.144558001319</v>
      </c>
      <c r="V136" s="11" t="n">
        <f aca="false">IF(V134=1,(Waterfall!V7+W136)/(1+V135),0)</f>
        <v>704.071758577999</v>
      </c>
      <c r="W136" s="11" t="n">
        <f aca="false">IF(W134=1,(Waterfall!W7+X136)/(1+W135),0)</f>
        <v>678.34166441628</v>
      </c>
      <c r="X136" s="11" t="n">
        <f aca="false">IF(X134=1,(Waterfall!X7+Y136)/(1+X135),0)</f>
        <v>651.742859669647</v>
      </c>
      <c r="Y136" s="11" t="n">
        <f aca="false">IF(Y134=1,(Waterfall!Y7+Z136)/(1+Y135),0)</f>
        <v>625.920957183639</v>
      </c>
      <c r="Z136" s="11" t="n">
        <f aca="false">IF(Z134=1,(Waterfall!Z7+AA136)/(1+Z135),0)</f>
        <v>600.036569454247</v>
      </c>
      <c r="AA136" s="11" t="n">
        <f aca="false">IF(AA134=1,(Waterfall!AA7+AB136)/(1+AA135),0)</f>
        <v>573.030574813652</v>
      </c>
      <c r="AB136" s="11" t="n">
        <f aca="false">IF(AB134=1,(Waterfall!AB7+AC136)/(1+AB135),0)</f>
        <v>545.156389398869</v>
      </c>
      <c r="AC136" s="11" t="n">
        <f aca="false">IF(AC134=1,(Waterfall!AC7+AD136)/(1+AC135),0)</f>
        <v>515.887716794593</v>
      </c>
      <c r="AD136" s="11" t="n">
        <f aca="false">IF(AD134=1,(Waterfall!AD7+AE136)/(1+AD135),0)</f>
        <v>485.566612092156</v>
      </c>
      <c r="AE136" s="11" t="n">
        <f aca="false">IF(AE134=1,(Waterfall!AE7+AF136)/(1+AE135),0)</f>
        <v>452.330478919055</v>
      </c>
      <c r="AF136" s="11" t="n">
        <f aca="false">IF(AF134=1,(Waterfall!AF7+AG136)/(1+AF135),0)</f>
        <v>417.556872245231</v>
      </c>
      <c r="AG136" s="11" t="n">
        <f aca="false">IF(AG134=1,(Waterfall!AG7+AH136)/(1+AG135),0)</f>
        <v>381.49574460641</v>
      </c>
      <c r="AH136" s="11" t="n">
        <f aca="false">IF(AH134=1,(Waterfall!AH7+AI136)/(1+AH135),0)</f>
        <v>344.675775566554</v>
      </c>
      <c r="AI136" s="11" t="n">
        <f aca="false">IF(AI134=1,(Waterfall!AI7+AJ136)/(1+AI135),0)</f>
        <v>305.918787293452</v>
      </c>
      <c r="AJ136" s="11" t="n">
        <f aca="false">IF(AJ134=1,(Waterfall!AJ7+AK136)/(1+AJ135),0)</f>
        <v>265.920859064598</v>
      </c>
      <c r="AK136" s="11" t="n">
        <f aca="false">IF(AK134=1,(Waterfall!AK7+AL136)/(1+AK135),0)</f>
        <v>223.89642736828</v>
      </c>
      <c r="AL136" s="11" t="n">
        <f aca="false">IF(AL134=1,(Waterfall!AL7+AM136)/(1+AL135),0)</f>
        <v>180.40367090364</v>
      </c>
      <c r="AM136" s="11" t="n">
        <f aca="false">IF(AM134=1,(Waterfall!AM7+AN136)/(1+AM135),0)</f>
        <v>134.168758633644</v>
      </c>
      <c r="AN136" s="11" t="n">
        <f aca="false">IF(AN134=1,(Waterfall!AN7+AO136)/(1+AN135),0)</f>
        <v>86.4457078508017</v>
      </c>
      <c r="AO136" s="11" t="n">
        <f aca="false">IF(AO134=1,(Waterfall!AO7+AP136)/(1+AO135),0)</f>
        <v>40.4277694600547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1.32181942068469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620.037071657089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38.0399607221236</v>
      </c>
      <c r="Q140" s="11" t="n">
        <f aca="false">IF(Q134=1,Waterfall!Q7/$F$137,0)</f>
        <v>37.9491868807666</v>
      </c>
      <c r="R140" s="11" t="n">
        <f aca="false">IF(R134=1,Waterfall!R7/$F$137,0)</f>
        <v>38.4269281251357</v>
      </c>
      <c r="S140" s="11" t="n">
        <f aca="false">IF(S134=1,Waterfall!S7/$F$137,0)</f>
        <v>38.1292414682374</v>
      </c>
      <c r="T140" s="11" t="n">
        <f aca="false">IF(T134=1,Waterfall!T7/$F$137,0)</f>
        <v>38.5560563057707</v>
      </c>
      <c r="U140" s="11" t="n">
        <f aca="false">IF(U134=1,Waterfall!U7/$F$137,0)</f>
        <v>38.3716825681154</v>
      </c>
      <c r="V140" s="11" t="n">
        <f aca="false">IF(V134=1,Waterfall!V7/$F$137,0)</f>
        <v>39.1042010072813</v>
      </c>
      <c r="W140" s="11" t="n">
        <f aca="false">IF(W134=1,Waterfall!W7/$F$137,0)</f>
        <v>38.833865068799</v>
      </c>
      <c r="X140" s="11" t="n">
        <f aca="false">IF(X134=1,Waterfall!X7/$F$137,0)</f>
        <v>37.7140572869326</v>
      </c>
      <c r="Y140" s="11" t="n">
        <f aca="false">IF(Y134=1,Waterfall!Y7/$F$137,0)</f>
        <v>37.3500559082156</v>
      </c>
      <c r="Z140" s="11" t="n">
        <f aca="false">IF(Z134=1,Waterfall!Z7/$F$137,0)</f>
        <v>37.6574435367045</v>
      </c>
      <c r="AA140" s="11" t="n">
        <f aca="false">IF(AA134=1,Waterfall!AA7/$F$137,0)</f>
        <v>37.3540342645422</v>
      </c>
      <c r="AB140" s="11" t="n">
        <f aca="false">IF(AB134=1,Waterfall!AB7/$F$137,0)</f>
        <v>37.7936727776355</v>
      </c>
      <c r="AC140" s="11" t="n">
        <f aca="false">IF(AC134=1,Waterfall!AC7/$F$137,0)</f>
        <v>37.6386166401753</v>
      </c>
      <c r="AD140" s="11" t="n">
        <f aca="false">IF(AD134=1,Waterfall!AD7/$F$137,0)</f>
        <v>39.0844179426402</v>
      </c>
      <c r="AE140" s="11" t="n">
        <f aca="false">IF(AE134=1,Waterfall!AE7/$F$137,0)</f>
        <v>39.1474290117956</v>
      </c>
      <c r="AF140" s="11" t="n">
        <f aca="false">IF(AF134=1,Waterfall!AF7/$F$137,0)</f>
        <v>39.2691201540264</v>
      </c>
      <c r="AG140" s="11" t="n">
        <f aca="false">IF(AG134=1,Waterfall!AG7/$F$137,0)</f>
        <v>38.9911650149686</v>
      </c>
      <c r="AH140" s="11" t="n">
        <f aca="false">IF(AH134=1,Waterfall!AH7/$F$137,0)</f>
        <v>39.4976377719882</v>
      </c>
      <c r="AI140" s="11" t="n">
        <f aca="false">IF(AI134=1,Waterfall!AI7/$F$137,0)</f>
        <v>39.1893476067142</v>
      </c>
      <c r="AJ140" s="11" t="n">
        <f aca="false">IF(AJ134=1,Waterfall!AJ7/$F$137,0)</f>
        <v>39.6442944237379</v>
      </c>
      <c r="AK140" s="11" t="n">
        <f aca="false">IF(AK134=1,Waterfall!AK7/$F$137,0)</f>
        <v>39.4641901340462</v>
      </c>
      <c r="AL140" s="11" t="n">
        <f aca="false">IF(AL134=1,Waterfall!AL7/$F$137,0)</f>
        <v>40.3047308715003</v>
      </c>
      <c r="AM140" s="11" t="n">
        <f aca="false">IF(AM134=1,Waterfall!AM7/$F$137,0)</f>
        <v>40.0203720718581</v>
      </c>
      <c r="AN140" s="11" t="n">
        <f aca="false">IF(AN134=1,Waterfall!AN7/$F$137,0)</f>
        <v>37.3664345237707</v>
      </c>
      <c r="AO140" s="11" t="n">
        <f aca="false">IF(AO134=1,Waterfall!AO7/$F$137,0)</f>
        <v>31.7650049386252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616.972195457002</v>
      </c>
      <c r="R141" s="11" t="n">
        <f aca="false">IF(R134=1,IF(Time!R17=Time!$F$12,Funding!$F$25,Q141-Q142),0)</f>
        <v>601.510496819544</v>
      </c>
      <c r="S141" s="11" t="n">
        <f aca="false">IF(S134=1,IF(Time!S17=Time!$F$12,Funding!$F$25,R141-R142),0)</f>
        <v>585.253363136684</v>
      </c>
      <c r="T141" s="11" t="n">
        <f aca="false">IF(T134=1,IF(Time!T17=Time!$F$12,Funding!$F$25,S141-S142),0)</f>
        <v>568.462644954039</v>
      </c>
      <c r="U141" s="11" t="n">
        <f aca="false">IF(U134=1,IF(Time!U17=Time!$F$12,Funding!$F$25,T141-T142),0)</f>
        <v>550.865380404341</v>
      </c>
      <c r="V141" s="11" t="n">
        <f aca="false">IF(V134=1,IF(Time!V17=Time!$F$12,Funding!$F$25,U141-U142),0)</f>
        <v>532.653513452916</v>
      </c>
      <c r="W141" s="11" t="n">
        <f aca="false">IF(W134=1,IF(Time!W17=Time!$F$12,Funding!$F$25,V141-V142),0)</f>
        <v>513.187848355945</v>
      </c>
      <c r="X141" s="11" t="n">
        <f aca="false">IF(X134=1,IF(Time!X17=Time!$F$12,Funding!$F$25,W141-W142),0)</f>
        <v>493.064975041787</v>
      </c>
      <c r="Y141" s="11" t="n">
        <f aca="false">IF(Y134=1,IF(Time!Y17=Time!$F$12,Funding!$F$25,X141-X142),0)</f>
        <v>473.529853918636</v>
      </c>
      <c r="Z141" s="11" t="n">
        <f aca="false">IF(Z134=1,IF(Time!Z17=Time!$F$12,Funding!$F$25,Y141-Y142),0)</f>
        <v>453.94746064741</v>
      </c>
      <c r="AA141" s="11" t="n">
        <f aca="false">IF(AA134=1,IF(Time!AA17=Time!$F$12,Funding!$F$25,Z141-Z142),0)</f>
        <v>433.516534744834</v>
      </c>
      <c r="AB141" s="11" t="n">
        <f aca="false">IF(AB134=1,IF(Time!AB17=Time!$F$12,Funding!$F$25,AA141-AA142),0)</f>
        <v>412.428793879032</v>
      </c>
      <c r="AC141" s="11" t="n">
        <f aca="false">IF(AC134=1,IF(Time!AC17=Time!$F$12,Funding!$F$25,AB141-AB142),0)</f>
        <v>390.286077448738</v>
      </c>
      <c r="AD141" s="11" t="n">
        <f aca="false">IF(AD134=1,IF(Time!AD17=Time!$F$12,Funding!$F$25,AC141-AC142),0)</f>
        <v>367.347161415313</v>
      </c>
      <c r="AE141" s="11" t="n">
        <f aca="false">IF(AE134=1,IF(Time!AE17=Time!$F$12,Funding!$F$25,AD141-AD142),0)</f>
        <v>342.202930173889</v>
      </c>
      <c r="AF141" s="11" t="n">
        <f aca="false">IF(AF134=1,IF(Time!AF17=Time!$F$12,Funding!$F$25,AE141-AE142),0)</f>
        <v>315.895549506255</v>
      </c>
      <c r="AG141" s="11" t="n">
        <f aca="false">IF(AG134=1,IF(Time!AG17=Time!$F$12,Funding!$F$25,AF141-AF142),0)</f>
        <v>288.614116751892</v>
      </c>
      <c r="AH141" s="11" t="n">
        <f aca="false">IF(AH134=1,IF(Time!AH17=Time!$F$12,Funding!$F$25,AG141-AG142),0)</f>
        <v>260.758595442646</v>
      </c>
      <c r="AI141" s="11" t="n">
        <f aca="false">IF(AI134=1,IF(Time!AI17=Time!$F$12,Funding!$F$25,AH141-AH142),0)</f>
        <v>231.437655179092</v>
      </c>
      <c r="AJ141" s="11" t="n">
        <f aca="false">IF(AJ134=1,IF(Time!AJ17=Time!$F$12,Funding!$F$25,AI141-AI142),0)</f>
        <v>201.177902899061</v>
      </c>
      <c r="AK141" s="11" t="n">
        <f aca="false">IF(AK134=1,IF(Time!AK17=Time!$F$12,Funding!$F$25,AJ141-AJ142),0)</f>
        <v>169.385033889352</v>
      </c>
      <c r="AL141" s="11" t="n">
        <f aca="false">IF(AL134=1,IF(Time!AL17=Time!$F$12,Funding!$F$25,AK141-AK142),0)</f>
        <v>136.481328750785</v>
      </c>
      <c r="AM141" s="11" t="n">
        <f aca="false">IF(AM134=1,IF(Time!AM17=Time!$F$12,Funding!$F$25,AL141-AL142),0)</f>
        <v>101.503092278781</v>
      </c>
      <c r="AN141" s="11" t="n">
        <f aca="false">IF(AN134=1,IF(Time!AN17=Time!$F$12,Funding!$F$25,AM141-AM142),0)</f>
        <v>65.3990299265107</v>
      </c>
      <c r="AO141" s="11" t="n">
        <f aca="false">IF(AO134=1,IF(Time!AO17=Time!$F$12,Funding!$F$25,AN141-AN142),0)</f>
        <v>30.5849413523618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16.2837800857721</v>
      </c>
      <c r="Q142" s="11" t="n">
        <f aca="false">Q140-Q141*Q135</f>
        <v>15.4616986374582</v>
      </c>
      <c r="R142" s="11" t="n">
        <f aca="false">R140-R141*R135</f>
        <v>16.2571336828598</v>
      </c>
      <c r="S142" s="11" t="n">
        <f aca="false">S140-S141*S135</f>
        <v>16.7907181826453</v>
      </c>
      <c r="T142" s="11" t="n">
        <f aca="false">T140-T141*T135</f>
        <v>17.5972645496979</v>
      </c>
      <c r="U142" s="11" t="n">
        <f aca="false">U140-U141*U135</f>
        <v>18.2118669514251</v>
      </c>
      <c r="V142" s="11" t="n">
        <f aca="false">V140-V141*V135</f>
        <v>19.4656650969705</v>
      </c>
      <c r="W142" s="11" t="n">
        <f aca="false">W140-W141*W135</f>
        <v>20.1228733141583</v>
      </c>
      <c r="X142" s="11" t="n">
        <f aca="false">X140-X141*X135</f>
        <v>19.5351211231508</v>
      </c>
      <c r="Y142" s="11" t="n">
        <f aca="false">Y140-Y141*Y135</f>
        <v>19.5823932712259</v>
      </c>
      <c r="Z142" s="11" t="n">
        <f aca="false">Z140-Z141*Z135</f>
        <v>20.4309259025761</v>
      </c>
      <c r="AA142" s="11" t="n">
        <f aca="false">AA140-AA141*AA135</f>
        <v>21.0877408658022</v>
      </c>
      <c r="AB142" s="11" t="n">
        <f aca="false">AB140-AB141*AB135</f>
        <v>22.1427164302933</v>
      </c>
      <c r="AC142" s="11" t="n">
        <f aca="false">AC140-AC141*AC135</f>
        <v>22.9389160334255</v>
      </c>
      <c r="AD142" s="11" t="n">
        <f aca="false">AD140-AD141*AD135</f>
        <v>25.144231241424</v>
      </c>
      <c r="AE142" s="11" t="n">
        <f aca="false">AE140-AE141*AE135</f>
        <v>26.3073806676342</v>
      </c>
      <c r="AF142" s="11" t="n">
        <f aca="false">AF140-AF141*AF135</f>
        <v>27.281432754363</v>
      </c>
      <c r="AG142" s="11" t="n">
        <f aca="false">AG140-AG141*AG135</f>
        <v>27.8555213092453</v>
      </c>
      <c r="AH142" s="11" t="n">
        <f aca="false">AH140-AH141*AH135</f>
        <v>29.3209402635543</v>
      </c>
      <c r="AI142" s="11" t="n">
        <f aca="false">AI140-AI141*AI135</f>
        <v>30.2597522800312</v>
      </c>
      <c r="AJ142" s="11" t="n">
        <f aca="false">AJ140-AJ141*AJ135</f>
        <v>31.7928690097092</v>
      </c>
      <c r="AK142" s="11" t="n">
        <f aca="false">AK140-AK141*AK135</f>
        <v>32.9037051385669</v>
      </c>
      <c r="AL142" s="11" t="n">
        <f aca="false">AL140-AL141*AL135</f>
        <v>34.9782364720036</v>
      </c>
      <c r="AM142" s="11" t="n">
        <f aca="false">AM140-AM141*AM135</f>
        <v>36.1040623522704</v>
      </c>
      <c r="AN142" s="11" t="n">
        <f aca="false">AN140-AN141*AN135</f>
        <v>34.8140885741488</v>
      </c>
      <c r="AO142" s="11" t="n">
        <f aca="false">AO140-AO141*AO135</f>
        <v>30.5849413523622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38.6616967746567</v>
      </c>
      <c r="R9" s="11" t="n">
        <f aca="false">IF(Time!R29=1,SUM(Funding!$J$44:$BJ$44),Q13)</f>
        <v>39.1144283831714</v>
      </c>
      <c r="S9" s="11" t="n">
        <f aca="false">IF(Time!S29=1,SUM(Funding!$J$44:$BJ$44),R13)</f>
        <v>38.7574063557963</v>
      </c>
      <c r="T9" s="11" t="n">
        <f aca="false">IF(Time!T29=1,SUM(Funding!$J$44:$BJ$44),S13)</f>
        <v>39.1557336731761</v>
      </c>
      <c r="U9" s="11" t="n">
        <f aca="false">IF(Time!U29=1,SUM(Funding!$J$44:$BJ$44),T13)</f>
        <v>38.9152650446619</v>
      </c>
      <c r="V9" s="11" t="n">
        <f aca="false">IF(Time!V29=1,SUM(Funding!$J$44:$BJ$44),U13)</f>
        <v>39.6006594730367</v>
      </c>
      <c r="W9" s="11" t="n">
        <f aca="false">IF(Time!W29=1,SUM(Funding!$J$44:$BJ$44),V13)</f>
        <v>39.2657193975113</v>
      </c>
      <c r="X9" s="11" t="n">
        <f aca="false">IF(Time!X29=1,SUM(Funding!$J$44:$BJ$44),W13)</f>
        <v>38.1387094828572</v>
      </c>
      <c r="Y9" s="11" t="n">
        <f aca="false">IF(Time!Y29=1,SUM(Funding!$J$44:$BJ$44),X13)</f>
        <v>37.7136071834051</v>
      </c>
      <c r="Z9" s="11" t="n">
        <f aca="false">IF(Time!Z29=1,SUM(Funding!$J$44:$BJ$44),Y13)</f>
        <v>37.9837522021192</v>
      </c>
      <c r="AA9" s="11" t="n">
        <f aca="false">IF(Time!AA29=1,SUM(Funding!$J$44:$BJ$44),Z13)</f>
        <v>37.6175484161408</v>
      </c>
      <c r="AB9" s="11" t="n">
        <f aca="false">IF(Time!AB29=1,SUM(Funding!$J$44:$BJ$44),AA13)</f>
        <v>38.0119521840663</v>
      </c>
      <c r="AC9" s="11" t="n">
        <f aca="false">IF(Time!AC29=1,SUM(Funding!$J$44:$BJ$44),AB13)</f>
        <v>37.1474297002348</v>
      </c>
      <c r="AD9" s="11" t="n">
        <f aca="false">IF(Time!AD29=1,SUM(Funding!$J$44:$BJ$44),AC13)</f>
        <v>37.6733539568001</v>
      </c>
      <c r="AE9" s="11" t="n">
        <f aca="false">IF(Time!AE29=1,SUM(Funding!$J$44:$BJ$44),AD13)</f>
        <v>36.8525031171836</v>
      </c>
      <c r="AF9" s="11" t="n">
        <f aca="false">IF(Time!AF29=1,SUM(Funding!$J$44:$BJ$44),AE13)</f>
        <v>35.8592987654913</v>
      </c>
      <c r="AG9" s="11" t="n">
        <f aca="false">IF(Time!AG29=1,SUM(Funding!$J$44:$BJ$44),AF13)</f>
        <v>34.3036490549679</v>
      </c>
      <c r="AH9" s="11" t="n">
        <f aca="false">IF(Time!AH29=1,SUM(Funding!$J$44:$BJ$44),AG13)</f>
        <v>33.2252778966708</v>
      </c>
      <c r="AI9" s="11" t="n">
        <f aca="false">IF(Time!AI29=1,SUM(Funding!$J$44:$BJ$44),AH13)</f>
        <v>31.274587528778</v>
      </c>
      <c r="AJ9" s="11" t="n">
        <f aca="false">IF(Time!AJ29=1,SUM(Funding!$J$44:$BJ$44),AI13)</f>
        <v>29.461754504768</v>
      </c>
      <c r="AK9" s="11" t="n">
        <f aca="false">IF(Time!AK29=1,SUM(Funding!$J$44:$BJ$44),AJ13)</f>
        <v>26.7240494743803</v>
      </c>
      <c r="AL9" s="11" t="n">
        <f aca="false">IF(Time!AL29=1,SUM(Funding!$J$44:$BJ$44),AK13)</f>
        <v>23.6931579806753</v>
      </c>
      <c r="AM9" s="11" t="n">
        <f aca="false">IF(Time!AM29=1,SUM(Funding!$J$44:$BJ$44),AL13)</f>
        <v>23.3984025110587</v>
      </c>
      <c r="AN9" s="11" t="n">
        <f aca="false">IF(Time!AN29=1,SUM(Funding!$J$44:$BJ$44),AM13)</f>
        <v>19.0235505071657</v>
      </c>
      <c r="AO9" s="11" t="n">
        <f aca="false">IF(Time!AO29=1,SUM(Funding!$J$44:$BJ$44),AN13)</f>
        <v>18.8521663535949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4.14272773503556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1.4158013375602</v>
      </c>
      <c r="Q11" s="11" t="n">
        <f aca="false">MIN(Waterfall!Q13,MAX(0,Debt!Q132-(Q9-Q10)))</f>
        <v>0.452731608514689</v>
      </c>
      <c r="R11" s="11" t="n">
        <f aca="false">MIN(Waterfall!R13,MAX(0,Debt!R132-(R9-R10)))</f>
        <v>0</v>
      </c>
      <c r="S11" s="11" t="n">
        <f aca="false">MIN(Waterfall!S13,MAX(0,Debt!S132-(S9-S10)))</f>
        <v>0.398327317379795</v>
      </c>
      <c r="T11" s="11" t="n">
        <f aca="false">MIN(Waterfall!T13,MAX(0,Debt!T132-(T9-T10)))</f>
        <v>0</v>
      </c>
      <c r="U11" s="11" t="n">
        <f aca="false">MIN(Waterfall!U13,MAX(0,Debt!U132-(U9-U10)))</f>
        <v>0.685394428374821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0.270145018714061</v>
      </c>
      <c r="Z11" s="11" t="n">
        <f aca="false">MIN(Waterfall!Z13,MAX(0,Debt!Z132-(Z9-Z10)))</f>
        <v>0</v>
      </c>
      <c r="AA11" s="11" t="n">
        <f aca="false">MIN(Waterfall!AA13,MAX(0,Debt!AA132-(AA9-AA10)))</f>
        <v>0.394403767925567</v>
      </c>
      <c r="AB11" s="11" t="n">
        <f aca="false">MIN(Waterfall!AB13,MAX(0,Debt!AB132-(AB9-AB10)))</f>
        <v>0</v>
      </c>
      <c r="AC11" s="11" t="n">
        <f aca="false">MIN(Waterfall!AC13,MAX(0,Debt!AC132-(AC9-AC10)))</f>
        <v>0.525924256565311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41.3886231721309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</v>
      </c>
      <c r="R12" s="11" t="n">
        <f aca="false">MAX(0,R9-R10-Debt!R132)</f>
        <v>0.357022027375059</v>
      </c>
      <c r="S12" s="11" t="n">
        <f aca="false">MAX(0,S9-S10-Debt!S132)</f>
        <v>0</v>
      </c>
      <c r="T12" s="11" t="n">
        <f aca="false">MAX(0,T9-T10-Debt!T132)</f>
        <v>0.24046862851425</v>
      </c>
      <c r="U12" s="11" t="n">
        <f aca="false">MAX(0,U9-U10-Debt!U132)</f>
        <v>0</v>
      </c>
      <c r="V12" s="11" t="n">
        <f aca="false">MAX(0,V9-V10-Debt!V132)</f>
        <v>0.334940075525367</v>
      </c>
      <c r="W12" s="11" t="n">
        <f aca="false">MAX(0,W9-W10-Debt!W132)</f>
        <v>1.12700991465414</v>
      </c>
      <c r="X12" s="11" t="n">
        <f aca="false">MAX(0,X9-X10-Debt!X132)</f>
        <v>0.425102299452036</v>
      </c>
      <c r="Y12" s="11" t="n">
        <f aca="false">MAX(0,Y9-Y10-Debt!Y132)</f>
        <v>0</v>
      </c>
      <c r="Z12" s="11" t="n">
        <f aca="false">MAX(0,Z9-Z10-Debt!Z132)</f>
        <v>0.366203785978449</v>
      </c>
      <c r="AA12" s="11" t="n">
        <f aca="false">MAX(0,AA9-AA10-Debt!AA132)</f>
        <v>0</v>
      </c>
      <c r="AB12" s="11" t="n">
        <f aca="false">MAX(0,AB9-AB10-Debt!AB132)</f>
        <v>0.864522483831557</v>
      </c>
      <c r="AC12" s="11" t="n">
        <f aca="false">MAX(0,AC9-AC10-Debt!AC132)</f>
        <v>0</v>
      </c>
      <c r="AD12" s="11" t="n">
        <f aca="false">MAX(0,AD9-AD10-Debt!AD132)</f>
        <v>0.820850839616462</v>
      </c>
      <c r="AE12" s="11" t="n">
        <f aca="false">MAX(0,AE9-AE10-Debt!AE132)</f>
        <v>0.993204351692263</v>
      </c>
      <c r="AF12" s="11" t="n">
        <f aca="false">MAX(0,AF9-AF10-Debt!AF132)</f>
        <v>1.55564971052343</v>
      </c>
      <c r="AG12" s="11" t="n">
        <f aca="false">MAX(0,AG9-AG10-Debt!AG132)</f>
        <v>1.07837115829716</v>
      </c>
      <c r="AH12" s="11" t="n">
        <f aca="false">MAX(0,AH9-AH10-Debt!AH132)</f>
        <v>1.95069036789273</v>
      </c>
      <c r="AI12" s="11" t="n">
        <f aca="false">MAX(0,AI9-AI10-Debt!AI132)</f>
        <v>1.81283302400999</v>
      </c>
      <c r="AJ12" s="11" t="n">
        <f aca="false">MAX(0,AJ9-AJ10-Debt!AJ132)</f>
        <v>2.73770503038772</v>
      </c>
      <c r="AK12" s="11" t="n">
        <f aca="false">MAX(0,AK9-AK10-Debt!AK132)</f>
        <v>3.030891493705</v>
      </c>
      <c r="AL12" s="11" t="n">
        <f aca="false">MAX(0,AL9-AL10-Debt!AL132)</f>
        <v>0.2947554696166</v>
      </c>
      <c r="AM12" s="11" t="n">
        <f aca="false">MAX(0,AM9-AM10-Debt!AM132)</f>
        <v>4.37485200389301</v>
      </c>
      <c r="AN12" s="11" t="n">
        <f aca="false">MAX(0,AN9-AN10-Debt!AN132)</f>
        <v>0.171384153570834</v>
      </c>
      <c r="AO12" s="11" t="n">
        <f aca="false">MAX(0,AO9-AO10-Debt!AO132)</f>
        <v>18.8521663535949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38.6616967746567</v>
      </c>
      <c r="Q13" s="11" t="n">
        <f aca="false">(1-Time!Q32)*(Q9-Q10+Q11-Q12)</f>
        <v>39.1144283831714</v>
      </c>
      <c r="R13" s="11" t="n">
        <f aca="false">(1-Time!R32)*(R9-R10+R11-R12)</f>
        <v>38.7574063557963</v>
      </c>
      <c r="S13" s="11" t="n">
        <f aca="false">(1-Time!S32)*(S9-S10+S11-S12)</f>
        <v>39.1557336731761</v>
      </c>
      <c r="T13" s="11" t="n">
        <f aca="false">(1-Time!T32)*(T9-T10+T11-T12)</f>
        <v>38.9152650446619</v>
      </c>
      <c r="U13" s="11" t="n">
        <f aca="false">(1-Time!U32)*(U9-U10+U11-U12)</f>
        <v>39.6006594730367</v>
      </c>
      <c r="V13" s="11" t="n">
        <f aca="false">(1-Time!V32)*(V9-V10+V11-V12)</f>
        <v>39.2657193975113</v>
      </c>
      <c r="W13" s="11" t="n">
        <f aca="false">(1-Time!W32)*(W9-W10+W11-W12)</f>
        <v>38.1387094828572</v>
      </c>
      <c r="X13" s="11" t="n">
        <f aca="false">(1-Time!X32)*(X9-X10+X11-X12)</f>
        <v>37.7136071834051</v>
      </c>
      <c r="Y13" s="11" t="n">
        <f aca="false">(1-Time!Y32)*(Y9-Y10+Y11-Y12)</f>
        <v>37.9837522021192</v>
      </c>
      <c r="Z13" s="11" t="n">
        <f aca="false">(1-Time!Z32)*(Z9-Z10+Z11-Z12)</f>
        <v>37.6175484161408</v>
      </c>
      <c r="AA13" s="11" t="n">
        <f aca="false">(1-Time!AA32)*(AA9-AA10+AA11-AA12)</f>
        <v>38.0119521840663</v>
      </c>
      <c r="AB13" s="11" t="n">
        <f aca="false">(1-Time!AB32)*(AB9-AB10+AB11-AB12)</f>
        <v>37.1474297002348</v>
      </c>
      <c r="AC13" s="11" t="n">
        <f aca="false">(1-Time!AC32)*(AC9-AC10+AC11-AC12)</f>
        <v>37.6733539568001</v>
      </c>
      <c r="AD13" s="11" t="n">
        <f aca="false">(1-Time!AD32)*(AD9-AD10+AD11-AD12)</f>
        <v>36.8525031171836</v>
      </c>
      <c r="AE13" s="11" t="n">
        <f aca="false">(1-Time!AE32)*(AE9-AE10+AE11-AE12)</f>
        <v>35.8592987654913</v>
      </c>
      <c r="AF13" s="11" t="n">
        <f aca="false">(1-Time!AF32)*(AF9-AF10+AF11-AF12)</f>
        <v>34.3036490549679</v>
      </c>
      <c r="AG13" s="11" t="n">
        <f aca="false">(1-Time!AG32)*(AG9-AG10+AG11-AG12)</f>
        <v>33.2252778966708</v>
      </c>
      <c r="AH13" s="11" t="n">
        <f aca="false">(1-Time!AH32)*(AH9-AH10+AH11-AH12)</f>
        <v>31.274587528778</v>
      </c>
      <c r="AI13" s="11" t="n">
        <f aca="false">(1-Time!AI32)*(AI9-AI10+AI11-AI12)</f>
        <v>29.461754504768</v>
      </c>
      <c r="AJ13" s="11" t="n">
        <f aca="false">(1-Time!AJ32)*(AJ9-AJ10+AJ11-AJ12)</f>
        <v>26.7240494743803</v>
      </c>
      <c r="AK13" s="11" t="n">
        <f aca="false">(1-Time!AK32)*(AK9-AK10+AK11-AK12)</f>
        <v>23.6931579806753</v>
      </c>
      <c r="AL13" s="11" t="n">
        <f aca="false">(1-Time!AL32)*(AL9-AL10+AL11-AL12)</f>
        <v>23.3984025110587</v>
      </c>
      <c r="AM13" s="11" t="n">
        <f aca="false">(1-Time!AM32)*(AM9-AM10+AM11-AM12)</f>
        <v>19.0235505071657</v>
      </c>
      <c r="AN13" s="11" t="n">
        <f aca="false">(1-Time!AN32)*(AN9-AN10+AN11-AN12)</f>
        <v>18.8521663535949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2313.73546778171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1.87224719782305</v>
      </c>
      <c r="P7" s="11" t="n">
        <f aca="false">Operations!P79-Tax!P27-Operations!P91-Reserves!P7+Operations!P74+Operations!P92</f>
        <v>50.2819588445858</v>
      </c>
      <c r="Q7" s="11" t="n">
        <f aca="false">Operations!Q79-Tax!Q27-Operations!Q91-Reserves!Q7+Operations!Q74+Operations!Q92</f>
        <v>50.1619722181901</v>
      </c>
      <c r="R7" s="11" t="n">
        <f aca="false">Operations!R79-Tax!R27-Operations!R91-Reserves!R7+Operations!R74+Operations!R92</f>
        <v>50.7934598730592</v>
      </c>
      <c r="S7" s="11" t="n">
        <f aca="false">Operations!S79-Tax!S27-Operations!S91-Reserves!S7+Operations!S74+Operations!S92</f>
        <v>50.3999718686923</v>
      </c>
      <c r="T7" s="11" t="n">
        <f aca="false">Operations!T79-Tax!T27-Operations!T91-Reserves!T7+Operations!T74+Operations!T92</f>
        <v>50.9641440099802</v>
      </c>
      <c r="U7" s="11" t="n">
        <f aca="false">Operations!U79-Tax!U27-Operations!U91-Reserves!U7+Operations!U74+Operations!U92</f>
        <v>50.7204352228832</v>
      </c>
      <c r="V7" s="11" t="n">
        <f aca="false">Operations!V79-Tax!V27-Operations!V91-Reserves!V7+Operations!V74+Operations!V92</f>
        <v>51.6886923217823</v>
      </c>
      <c r="W7" s="11" t="n">
        <f aca="false">Operations!W79-Tax!W27-Operations!W91-Reserves!W7+Operations!W74+Operations!W92</f>
        <v>51.3313570281874</v>
      </c>
      <c r="X7" s="11" t="n">
        <f aca="false">Operations!X79-Tax!X27-Operations!X91-Reserves!X7+Operations!X74+Operations!X92</f>
        <v>49.8511733546825</v>
      </c>
      <c r="Y7" s="11" t="n">
        <f aca="false">Operations!Y79-Tax!Y27-Operations!Y91-Reserves!Y7+Operations!Y74+Operations!Y92</f>
        <v>49.3700292631384</v>
      </c>
      <c r="Z7" s="11" t="n">
        <f aca="false">Operations!Z79-Tax!Z27-Operations!Z91-Reserves!Z7+Operations!Z74+Operations!Z92</f>
        <v>49.7763402001533</v>
      </c>
      <c r="AA7" s="11" t="n">
        <f aca="false">Operations!AA79-Tax!AA27-Operations!AA91-Reserves!AA7+Operations!AA74+Operations!AA92</f>
        <v>49.3752879317933</v>
      </c>
      <c r="AB7" s="11" t="n">
        <f aca="false">Operations!AB79-Tax!AB27-Operations!AB91-Reserves!AB7+Operations!AB74+Operations!AB92</f>
        <v>49.956410656481</v>
      </c>
      <c r="AC7" s="11" t="n">
        <f aca="false">Operations!AC79-Tax!AC27-Operations!AC91-Reserves!AC7+Operations!AC74+Operations!AC92</f>
        <v>49.7514544426898</v>
      </c>
      <c r="AD7" s="11" t="n">
        <f aca="false">Operations!AD79-Tax!AD27-Operations!AD91-Reserves!AD7+Operations!AD74+Operations!AD92</f>
        <v>51.6625426827391</v>
      </c>
      <c r="AE7" s="11" t="n">
        <f aca="false">Operations!AE79-Tax!AE27-Operations!AE91-Reserves!AE7+Operations!AE74+Operations!AE92</f>
        <v>51.7458319376668</v>
      </c>
      <c r="AF7" s="11" t="n">
        <f aca="false">Operations!AF79-Tax!AF27-Operations!AF91-Reserves!AF7+Operations!AF74+Operations!AF92</f>
        <v>51.9066856527928</v>
      </c>
      <c r="AG7" s="11" t="n">
        <f aca="false">Operations!AG79-Tax!AG27-Operations!AG91-Reserves!AG7+Operations!AG74+Operations!AG92</f>
        <v>51.539279151907</v>
      </c>
      <c r="AH7" s="11" t="n">
        <f aca="false">Operations!AH79-Tax!AH27-Operations!AH91-Reserves!AH7+Operations!AH74+Operations!AH92</f>
        <v>52.2087446781833</v>
      </c>
      <c r="AI7" s="11" t="n">
        <f aca="false">Operations!AI79-Tax!AI27-Operations!AI91-Reserves!AI7+Operations!AI74+Operations!AI92</f>
        <v>51.801240750518</v>
      </c>
      <c r="AJ7" s="11" t="n">
        <f aca="false">Operations!AJ79-Tax!AJ27-Operations!AJ91-Reserves!AJ7+Operations!AJ74+Operations!AJ92</f>
        <v>52.4025982886386</v>
      </c>
      <c r="AK7" s="11" t="n">
        <f aca="false">Operations!AK79-Tax!AK27-Operations!AK91-Reserves!AK7+Operations!AK74+Operations!AK92</f>
        <v>52.1645329407755</v>
      </c>
      <c r="AL7" s="11" t="n">
        <f aca="false">Operations!AL79-Tax!AL27-Operations!AL91-Reserves!AL7+Operations!AL74+Operations!AL92</f>
        <v>53.2755760114189</v>
      </c>
      <c r="AM7" s="11" t="n">
        <f aca="false">Operations!AM79-Tax!AM27-Operations!AM91-Reserves!AM7+Operations!AM74+Operations!AM92</f>
        <v>52.8997050276094</v>
      </c>
      <c r="AN7" s="11" t="n">
        <f aca="false">Operations!AN79-Tax!AN27-Operations!AN91-Reserves!AN7+Operations!AN74+Operations!AN92</f>
        <v>49.391678835263</v>
      </c>
      <c r="AO7" s="11" t="n">
        <f aca="false">Operations!AO79-Tax!AO27-Operations!AO91-Reserves!AO7+Operations!AO74+Operations!AO92</f>
        <v>41.9876004260199</v>
      </c>
      <c r="AP7" s="11" t="n">
        <f aca="false">Operations!AP79-Tax!AP27-Operations!AP91-Reserves!AP7+Operations!AP74+Operations!AP92</f>
        <v>41.9557753672183</v>
      </c>
      <c r="AQ7" s="11" t="n">
        <f aca="false">Operations!AQ79-Tax!AQ27-Operations!AQ91-Reserves!AQ7+Operations!AQ74+Operations!AQ92</f>
        <v>41.1745993340732</v>
      </c>
      <c r="AR7" s="11" t="n">
        <f aca="false">Operations!AR79-Tax!AR27-Operations!AR91-Reserves!AR7+Operations!AR74+Operations!AR92</f>
        <v>41.770960831035</v>
      </c>
      <c r="AS7" s="11" t="n">
        <f aca="false">Operations!AS79-Tax!AS27-Operations!AS91-Reserves!AS7+Operations!AS74+Operations!AS92</f>
        <v>41.5056129118261</v>
      </c>
      <c r="AT7" s="11" t="n">
        <f aca="false">Operations!AT79-Tax!AT27-Operations!AT91-Reserves!AT7+Operations!AT74+Operations!AT92</f>
        <v>48.238693031292</v>
      </c>
      <c r="AU7" s="11" t="n">
        <f aca="false">Operations!AU79-Tax!AU27-Operations!AU91-Reserves!AU7+Operations!AU74+Operations!AU92</f>
        <v>43.8015207396234</v>
      </c>
      <c r="AV7" s="11" t="n">
        <f aca="false">Operations!AV79-Tax!AV27-Operations!AV91-Reserves!AV7+Operations!AV74+Operations!AV92</f>
        <v>43.9250195431293</v>
      </c>
      <c r="AW7" s="11" t="n">
        <f aca="false">Operations!AW79-Tax!AW27-Operations!AW91-Reserves!AW7+Operations!AW74+Operations!AW92</f>
        <v>43.5006347551929</v>
      </c>
      <c r="AX7" s="11" t="n">
        <f aca="false">Operations!AX79-Tax!AX27-Operations!AX91-Reserves!AX7+Operations!AX74+Operations!AX92</f>
        <v>44.1754747855326</v>
      </c>
      <c r="AY7" s="11" t="n">
        <f aca="false">Operations!AY79-Tax!AY27-Operations!AY91-Reserves!AY7+Operations!AY74+Operations!AY92</f>
        <v>43.7185522989792</v>
      </c>
      <c r="AZ7" s="11" t="n">
        <f aca="false">Operations!AZ79-Tax!AZ27-Operations!AZ91-Reserves!AZ7+Operations!AZ74+Operations!AZ92</f>
        <v>44.3364424388821</v>
      </c>
      <c r="BA7" s="11" t="n">
        <f aca="false">Operations!BA79-Tax!BA27-Operations!BA91-Reserves!BA7+Operations!BA74+Operations!BA92</f>
        <v>44.0387981074297</v>
      </c>
      <c r="BB7" s="11" t="n">
        <f aca="false">Operations!BB79-Tax!BB27-Operations!BB91-Reserves!BB7+Operations!BB74+Operations!BB92</f>
        <v>46.2859599813229</v>
      </c>
      <c r="BC7" s="11" t="n">
        <f aca="false">Operations!BC79-Tax!BC27-Operations!BC91-Reserves!BC7+Operations!BC74+Operations!BC92</f>
        <v>42.8868801360933</v>
      </c>
      <c r="BD7" s="11" t="n">
        <f aca="false">Operations!BD79-Tax!BD27-Operations!BD91-Reserves!BD7+Operations!BD74+Operations!BD92</f>
        <v>36.7877288372509</v>
      </c>
      <c r="BE7" s="11" t="n">
        <f aca="false">Operations!BE79-Tax!BE27-Operations!BE91-Reserves!BE7+Operations!BE74+Operations!BE92</f>
        <v>36.3547514317289</v>
      </c>
      <c r="BF7" s="11" t="n">
        <f aca="false">Operations!BF79-Tax!BF27-Operations!BF91-Reserves!BF7+Operations!BF74+Operations!BF92</f>
        <v>37.0590535569129</v>
      </c>
      <c r="BG7" s="11" t="n">
        <f aca="false">Operations!BG79-Tax!BG27-Operations!BG91-Reserves!BG7+Operations!BG74+Operations!BG92</f>
        <v>36.5914221765451</v>
      </c>
      <c r="BH7" s="11" t="n">
        <f aca="false">Operations!BH79-Tax!BH27-Operations!BH91-Reserves!BH7+Operations!BH74+Operations!BH92</f>
        <v>37.2325862972185</v>
      </c>
      <c r="BI7" s="11" t="n">
        <f aca="false">Operations!BI79-Tax!BI27-Operations!BI91-Reserves!BI7+Operations!BI74+Operations!BI92</f>
        <v>36.9714857368546</v>
      </c>
      <c r="BJ7" s="11" t="n">
        <f aca="false">Operations!BJ79-Tax!BJ27-Operations!BJ91-Reserves!BJ7+Operations!BJ74+Operations!BJ92</f>
        <v>44.9952970300032</v>
      </c>
      <c r="BK7" s="11" t="n">
        <f aca="false">Operations!BK79-Tax!BK27-Operations!BK91-Reserves!BK7+Operations!BK74+Operations!BK92</f>
        <v>39.7456545221627</v>
      </c>
      <c r="BL7" s="11" t="n">
        <f aca="false">Operations!BL79-Tax!BL27-Operations!BL91-Reserves!BL7+Operations!BL74+Operations!BL92</f>
        <v>40.4938056453036</v>
      </c>
      <c r="BM7" s="11" t="n">
        <f aca="false">Operations!BM79-Tax!BM27-Operations!BM91-Reserves!BM7+Operations!BM74+Operations!BM92</f>
        <v>36.9078074684487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50.1619722181901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52.8997050276094</v>
      </c>
      <c r="AN9" s="11" t="n">
        <f aca="false">AN7+AN8</f>
        <v>49.391678835263</v>
      </c>
      <c r="AO9" s="11" t="n">
        <f aca="false">AO7+AO8</f>
        <v>41.9876004260199</v>
      </c>
      <c r="AP9" s="11" t="n">
        <f aca="false">AP7+AP8</f>
        <v>41.9557753672183</v>
      </c>
      <c r="AQ9" s="11" t="n">
        <f aca="false">AQ7+AQ8</f>
        <v>41.1745993340732</v>
      </c>
      <c r="AR9" s="11" t="n">
        <f aca="false">AR7+AR8</f>
        <v>41.770960831035</v>
      </c>
      <c r="AS9" s="11" t="n">
        <f aca="false">AS7+AS8</f>
        <v>41.5056129118261</v>
      </c>
      <c r="AT9" s="11" t="n">
        <f aca="false">AT7+AT8</f>
        <v>48.238693031292</v>
      </c>
      <c r="AU9" s="11" t="n">
        <f aca="false">AU7+AU8</f>
        <v>43.8015207396234</v>
      </c>
      <c r="AV9" s="11" t="n">
        <f aca="false">AV7+AV8</f>
        <v>43.9250195431293</v>
      </c>
      <c r="AW9" s="11" t="n">
        <f aca="false">AW7+AW8</f>
        <v>43.5006347551929</v>
      </c>
      <c r="AX9" s="11" t="n">
        <f aca="false">AX7+AX8</f>
        <v>44.1754747855326</v>
      </c>
      <c r="AY9" s="11" t="n">
        <f aca="false">AY7+AY8</f>
        <v>43.7185522989792</v>
      </c>
      <c r="AZ9" s="11" t="n">
        <f aca="false">AZ7+AZ8</f>
        <v>44.3364424388821</v>
      </c>
      <c r="BA9" s="11" t="n">
        <f aca="false">BA7+BA8</f>
        <v>44.0387981074297</v>
      </c>
      <c r="BB9" s="11" t="n">
        <f aca="false">BB7+BB8</f>
        <v>46.2859599813229</v>
      </c>
      <c r="BC9" s="11" t="n">
        <f aca="false">BC7+BC8</f>
        <v>42.8868801360933</v>
      </c>
      <c r="BD9" s="11" t="n">
        <f aca="false">BD7+BD8</f>
        <v>36.7877288372509</v>
      </c>
      <c r="BE9" s="11" t="n">
        <f aca="false">BE7+BE8</f>
        <v>36.3547514317289</v>
      </c>
      <c r="BF9" s="11" t="n">
        <f aca="false">BF7+BF8</f>
        <v>37.0590535569129</v>
      </c>
      <c r="BG9" s="11" t="n">
        <f aca="false">BG7+BG8</f>
        <v>36.5914221765451</v>
      </c>
      <c r="BH9" s="11" t="n">
        <f aca="false">BH7+BH8</f>
        <v>37.2325862972185</v>
      </c>
      <c r="BI9" s="11" t="n">
        <f aca="false">BI7+BI8</f>
        <v>36.9714857368546</v>
      </c>
      <c r="BJ9" s="11" t="n">
        <f aca="false">BJ7+BJ8</f>
        <v>44.9952970300032</v>
      </c>
      <c r="BK9" s="11" t="n">
        <f aca="false">BK7+BK8</f>
        <v>39.7456545221627</v>
      </c>
      <c r="BL9" s="11" t="n">
        <f aca="false">BL7+BL8</f>
        <v>40.4938056453036</v>
      </c>
      <c r="BM9" s="11" t="n">
        <f aca="false">BM7+BM8</f>
        <v>36.9078074684487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870.677012700924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38.6616967746567</v>
      </c>
      <c r="R10" s="11" t="n">
        <f aca="false">Debt!R121+Debt!R117</f>
        <v>39.1144283831714</v>
      </c>
      <c r="S10" s="11" t="n">
        <f aca="false">Debt!S121+Debt!S117</f>
        <v>38.7574063557963</v>
      </c>
      <c r="T10" s="11" t="n">
        <f aca="false">Debt!T121+Debt!T117</f>
        <v>39.1557336731761</v>
      </c>
      <c r="U10" s="11" t="n">
        <f aca="false">Debt!U121+Debt!U117</f>
        <v>38.9152650446619</v>
      </c>
      <c r="V10" s="11" t="n">
        <f aca="false">Debt!V121+Debt!V117</f>
        <v>39.6006594730367</v>
      </c>
      <c r="W10" s="11" t="n">
        <f aca="false">Debt!W121+Debt!W117</f>
        <v>39.2657193975113</v>
      </c>
      <c r="X10" s="11" t="n">
        <f aca="false">Debt!X121+Debt!X117</f>
        <v>38.1387094828572</v>
      </c>
      <c r="Y10" s="11" t="n">
        <f aca="false">Debt!Y121+Debt!Y117</f>
        <v>37.7136071834051</v>
      </c>
      <c r="Z10" s="11" t="n">
        <f aca="false">Debt!Z121+Debt!Z117</f>
        <v>37.9837522021192</v>
      </c>
      <c r="AA10" s="11" t="n">
        <f aca="false">Debt!AA121+Debt!AA117</f>
        <v>37.6175484161408</v>
      </c>
      <c r="AB10" s="11" t="n">
        <f aca="false">Debt!AB121+Debt!AB117</f>
        <v>37.353358262077</v>
      </c>
      <c r="AC10" s="11" t="n">
        <f aca="false">Debt!AC121+Debt!AC117</f>
        <v>36.3362339167633</v>
      </c>
      <c r="AD10" s="11" t="n">
        <f aca="false">Debt!AD121+Debt!AD117</f>
        <v>36.8291842456158</v>
      </c>
      <c r="AE10" s="11" t="n">
        <f aca="false">Debt!AE121+Debt!AE117</f>
        <v>35.7674756331387</v>
      </c>
      <c r="AF10" s="11" t="n">
        <f aca="false">Debt!AF121+Debt!AF117</f>
        <v>34.5912068330709</v>
      </c>
      <c r="AG10" s="11" t="n">
        <f aca="false">Debt!AG121+Debt!AG117</f>
        <v>32.7772761899768</v>
      </c>
      <c r="AH10" s="11" t="n">
        <f aca="false">Debt!AH121+Debt!AH117</f>
        <v>31.4460618499791</v>
      </c>
      <c r="AI10" s="11" t="n">
        <f aca="false">Debt!AI121+Debt!AI117</f>
        <v>29.0324720005843</v>
      </c>
      <c r="AJ10" s="11" t="n">
        <f aca="false">Debt!AJ121+Debt!AJ117</f>
        <v>26.6699843097971</v>
      </c>
      <c r="AK10" s="11" t="n">
        <f aca="false">Debt!AK121+Debt!AK117</f>
        <v>22.9528264996932</v>
      </c>
      <c r="AL10" s="11" t="n">
        <f aca="false">Debt!AL121+Debt!AL117</f>
        <v>23.4763917647792</v>
      </c>
      <c r="AM10" s="11" t="n">
        <f aca="false">Debt!AM121+Debt!AM117</f>
        <v>23.3984025110587</v>
      </c>
      <c r="AN10" s="11" t="n">
        <f aca="false">Debt!AN121+Debt!AN117</f>
        <v>19.0235505071657</v>
      </c>
      <c r="AO10" s="11" t="n">
        <f aca="false">Debt!AO121+Debt!AO117</f>
        <v>18.8521663535949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11.5002754435334</v>
      </c>
      <c r="R13" s="11" t="n">
        <f aca="false">MAX(0,R9-R10)</f>
        <v>11.6790314898878</v>
      </c>
      <c r="S13" s="11" t="n">
        <f aca="false">MAX(0,S9-S10)</f>
        <v>11.642565512896</v>
      </c>
      <c r="T13" s="11" t="n">
        <f aca="false">MAX(0,T9-T10)</f>
        <v>11.8084103368041</v>
      </c>
      <c r="U13" s="11" t="n">
        <f aca="false">MAX(0,U9-U10)</f>
        <v>11.8051701782214</v>
      </c>
      <c r="V13" s="11" t="n">
        <f aca="false">MAX(0,V9-V10)</f>
        <v>12.0880328487457</v>
      </c>
      <c r="W13" s="11" t="n">
        <f aca="false">MAX(0,W9-W10)</f>
        <v>12.0656376306761</v>
      </c>
      <c r="X13" s="11" t="n">
        <f aca="false">MAX(0,X9-X10)</f>
        <v>11.7124638718253</v>
      </c>
      <c r="Y13" s="11" t="n">
        <f aca="false">MAX(0,Y9-Y10)</f>
        <v>11.6564220797333</v>
      </c>
      <c r="Z13" s="11" t="n">
        <f aca="false">MAX(0,Z9-Z10)</f>
        <v>11.7925879980341</v>
      </c>
      <c r="AA13" s="11" t="n">
        <f aca="false">MAX(0,AA9-AA10)</f>
        <v>11.7577395156526</v>
      </c>
      <c r="AB13" s="11" t="n">
        <f aca="false">MAX(0,AB9-AB10)</f>
        <v>12.603052394404</v>
      </c>
      <c r="AC13" s="11" t="n">
        <f aca="false">MAX(0,AC9-AC10)</f>
        <v>13.4152205259264</v>
      </c>
      <c r="AD13" s="11" t="n">
        <f aca="false">MAX(0,AD9-AD10)</f>
        <v>14.8333584371234</v>
      </c>
      <c r="AE13" s="11" t="n">
        <f aca="false">MAX(0,AE9-AE10)</f>
        <v>15.9783563045281</v>
      </c>
      <c r="AF13" s="11" t="n">
        <f aca="false">MAX(0,AF9-AF10)</f>
        <v>17.3154788197219</v>
      </c>
      <c r="AG13" s="11" t="n">
        <f aca="false">MAX(0,AG9-AG10)</f>
        <v>18.7620029619302</v>
      </c>
      <c r="AH13" s="11" t="n">
        <f aca="false">MAX(0,AH9-AH10)</f>
        <v>20.7626828282042</v>
      </c>
      <c r="AI13" s="11" t="n">
        <f aca="false">MAX(0,AI9-AI10)</f>
        <v>22.7687687499336</v>
      </c>
      <c r="AJ13" s="11" t="n">
        <f aca="false">MAX(0,AJ9-AJ10)</f>
        <v>25.7326139788415</v>
      </c>
      <c r="AK13" s="11" t="n">
        <f aca="false">MAX(0,AK9-AK10)</f>
        <v>29.2117064410824</v>
      </c>
      <c r="AL13" s="11" t="n">
        <f aca="false">MAX(0,AL9-AL10)</f>
        <v>29.7991842466397</v>
      </c>
      <c r="AM13" s="11" t="n">
        <f aca="false">MAX(0,AM9-AM10)</f>
        <v>29.5013025165507</v>
      </c>
      <c r="AN13" s="11" t="n">
        <f aca="false">MAX(0,AN9-AN10)</f>
        <v>30.3681283280973</v>
      </c>
      <c r="AO13" s="11" t="n">
        <f aca="false">MAX(0,AO9-AO10)</f>
        <v>23.135434072425</v>
      </c>
      <c r="AP13" s="11" t="n">
        <f aca="false">MAX(0,AP9-AP10)</f>
        <v>41.9557753672183</v>
      </c>
      <c r="AQ13" s="11" t="n">
        <f aca="false">MAX(0,AQ9-AQ10)</f>
        <v>41.1745993340732</v>
      </c>
      <c r="AR13" s="11" t="n">
        <f aca="false">MAX(0,AR9-AR10)</f>
        <v>41.770960831035</v>
      </c>
      <c r="AS13" s="11" t="n">
        <f aca="false">MAX(0,AS9-AS10)</f>
        <v>41.5056129118261</v>
      </c>
      <c r="AT13" s="11" t="n">
        <f aca="false">MAX(0,AT9-AT10)</f>
        <v>48.238693031292</v>
      </c>
      <c r="AU13" s="11" t="n">
        <f aca="false">MAX(0,AU9-AU10)</f>
        <v>43.8015207396234</v>
      </c>
      <c r="AV13" s="11" t="n">
        <f aca="false">MAX(0,AV9-AV10)</f>
        <v>43.9250195431293</v>
      </c>
      <c r="AW13" s="11" t="n">
        <f aca="false">MAX(0,AW9-AW10)</f>
        <v>43.5006347551929</v>
      </c>
      <c r="AX13" s="11" t="n">
        <f aca="false">MAX(0,AX9-AX10)</f>
        <v>44.1754747855326</v>
      </c>
      <c r="AY13" s="11" t="n">
        <f aca="false">MAX(0,AY9-AY10)</f>
        <v>43.7185522989792</v>
      </c>
      <c r="AZ13" s="11" t="n">
        <f aca="false">MAX(0,AZ9-AZ10)</f>
        <v>44.3364424388821</v>
      </c>
      <c r="BA13" s="11" t="n">
        <f aca="false">MAX(0,BA9-BA10)</f>
        <v>44.0387981074297</v>
      </c>
      <c r="BB13" s="11" t="n">
        <f aca="false">MAX(0,BB9-BB10)</f>
        <v>46.2859599813229</v>
      </c>
      <c r="BC13" s="11" t="n">
        <f aca="false">MAX(0,BC9-BC10)</f>
        <v>42.8868801360933</v>
      </c>
      <c r="BD13" s="11" t="n">
        <f aca="false">MAX(0,BD9-BD10)</f>
        <v>36.7877288372509</v>
      </c>
      <c r="BE13" s="11" t="n">
        <f aca="false">MAX(0,BE9-BE10)</f>
        <v>36.3547514317289</v>
      </c>
      <c r="BF13" s="11" t="n">
        <f aca="false">MAX(0,BF9-BF10)</f>
        <v>37.0590535569129</v>
      </c>
      <c r="BG13" s="11" t="n">
        <f aca="false">MAX(0,BG9-BG10)</f>
        <v>36.5914221765451</v>
      </c>
      <c r="BH13" s="11" t="n">
        <f aca="false">MAX(0,BH9-BH10)</f>
        <v>37.2325862972185</v>
      </c>
      <c r="BI13" s="11" t="n">
        <f aca="false">MAX(0,BI9-BI10)</f>
        <v>36.9714857368546</v>
      </c>
      <c r="BJ13" s="11" t="n">
        <f aca="false">MAX(0,BJ9-BJ10)</f>
        <v>44.9952970300032</v>
      </c>
      <c r="BK13" s="11" t="n">
        <f aca="false">MAX(0,BK9-BK10)</f>
        <v>39.7456545221627</v>
      </c>
      <c r="BL13" s="11" t="n">
        <f aca="false">MAX(0,BL9-BL10)</f>
        <v>40.4938056453036</v>
      </c>
      <c r="BM13" s="11" t="n">
        <f aca="false">MAX(0,BM9-BM10)</f>
        <v>36.9078074684487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13.4925092677511</v>
      </c>
      <c r="Q14" s="11" t="n">
        <f aca="false">Q13-Reserves!Q11+Reserves!Q12</f>
        <v>11.0475438350187</v>
      </c>
      <c r="R14" s="11" t="n">
        <f aca="false">R13-Reserves!R11+Reserves!R12</f>
        <v>12.0360535172629</v>
      </c>
      <c r="S14" s="11" t="n">
        <f aca="false">S13-Reserves!S11+Reserves!S12</f>
        <v>11.2442381955162</v>
      </c>
      <c r="T14" s="11" t="n">
        <f aca="false">T13-Reserves!T11+Reserves!T12</f>
        <v>12.0488789653183</v>
      </c>
      <c r="U14" s="11" t="n">
        <f aca="false">U13-Reserves!U11+Reserves!U12</f>
        <v>11.1197757498465</v>
      </c>
      <c r="V14" s="11" t="n">
        <f aca="false">V13-Reserves!V11+Reserves!V12</f>
        <v>12.422972924271</v>
      </c>
      <c r="W14" s="11" t="n">
        <f aca="false">W13-Reserves!W11+Reserves!W12</f>
        <v>13.1926475453303</v>
      </c>
      <c r="X14" s="11" t="n">
        <f aca="false">X13-Reserves!X11+Reserves!X12</f>
        <v>12.1375661712774</v>
      </c>
      <c r="Y14" s="11" t="n">
        <f aca="false">Y13-Reserves!Y11+Reserves!Y12</f>
        <v>11.3862770610192</v>
      </c>
      <c r="Z14" s="11" t="n">
        <f aca="false">Z13-Reserves!Z11+Reserves!Z12</f>
        <v>12.1587917840126</v>
      </c>
      <c r="AA14" s="11" t="n">
        <f aca="false">AA13-Reserves!AA11+Reserves!AA12</f>
        <v>11.363335747727</v>
      </c>
      <c r="AB14" s="11" t="n">
        <f aca="false">AB13-Reserves!AB11+Reserves!AB12</f>
        <v>13.4675748782355</v>
      </c>
      <c r="AC14" s="11" t="n">
        <f aca="false">AC13-Reserves!AC11+Reserves!AC12</f>
        <v>12.8892962693611</v>
      </c>
      <c r="AD14" s="11" t="n">
        <f aca="false">AD13-Reserves!AD11+Reserves!AD12</f>
        <v>15.6542092767398</v>
      </c>
      <c r="AE14" s="11" t="n">
        <f aca="false">AE13-Reserves!AE11+Reserves!AE12</f>
        <v>16.9715606562204</v>
      </c>
      <c r="AF14" s="11" t="n">
        <f aca="false">AF13-Reserves!AF11+Reserves!AF12</f>
        <v>18.8711285302454</v>
      </c>
      <c r="AG14" s="11" t="n">
        <f aca="false">AG13-Reserves!AG11+Reserves!AG12</f>
        <v>19.8403741202273</v>
      </c>
      <c r="AH14" s="11" t="n">
        <f aca="false">AH13-Reserves!AH11+Reserves!AH12</f>
        <v>22.713373196097</v>
      </c>
      <c r="AI14" s="11" t="n">
        <f aca="false">AI13-Reserves!AI11+Reserves!AI12</f>
        <v>24.5816017739436</v>
      </c>
      <c r="AJ14" s="11" t="n">
        <f aca="false">AJ13-Reserves!AJ11+Reserves!AJ12</f>
        <v>28.4703190092292</v>
      </c>
      <c r="AK14" s="11" t="n">
        <f aca="false">AK13-Reserves!AK11+Reserves!AK12</f>
        <v>32.2425979347874</v>
      </c>
      <c r="AL14" s="11" t="n">
        <f aca="false">AL13-Reserves!AL11+Reserves!AL12</f>
        <v>30.0939397162563</v>
      </c>
      <c r="AM14" s="11" t="n">
        <f aca="false">AM13-Reserves!AM11+Reserves!AM12</f>
        <v>33.8761545204437</v>
      </c>
      <c r="AN14" s="11" t="n">
        <f aca="false">AN13-Reserves!AN11+Reserves!AN12</f>
        <v>30.5395124816682</v>
      </c>
      <c r="AO14" s="11" t="n">
        <f aca="false">AO13-Reserves!AO11+Reserves!AO12</f>
        <v>41.9876004260199</v>
      </c>
      <c r="AP14" s="11" t="n">
        <f aca="false">AP13-Reserves!AP11+Reserves!AP12</f>
        <v>41.9557753672183</v>
      </c>
      <c r="AQ14" s="11" t="n">
        <f aca="false">AQ13-Reserves!AQ11+Reserves!AQ12</f>
        <v>41.1745993340732</v>
      </c>
      <c r="AR14" s="11" t="n">
        <f aca="false">AR13-Reserves!AR11+Reserves!AR12</f>
        <v>41.770960831035</v>
      </c>
      <c r="AS14" s="11" t="n">
        <f aca="false">AS13-Reserves!AS11+Reserves!AS12</f>
        <v>41.5056129118261</v>
      </c>
      <c r="AT14" s="11" t="n">
        <f aca="false">AT13-Reserves!AT11+Reserves!AT12</f>
        <v>48.238693031292</v>
      </c>
      <c r="AU14" s="11" t="n">
        <f aca="false">AU13-Reserves!AU11+Reserves!AU12</f>
        <v>43.8015207396234</v>
      </c>
      <c r="AV14" s="11" t="n">
        <f aca="false">AV13-Reserves!AV11+Reserves!AV12</f>
        <v>43.9250195431293</v>
      </c>
      <c r="AW14" s="11" t="n">
        <f aca="false">AW13-Reserves!AW11+Reserves!AW12</f>
        <v>43.5006347551929</v>
      </c>
      <c r="AX14" s="11" t="n">
        <f aca="false">AX13-Reserves!AX11+Reserves!AX12</f>
        <v>44.1754747855326</v>
      </c>
      <c r="AY14" s="11" t="n">
        <f aca="false">AY13-Reserves!AY11+Reserves!AY12</f>
        <v>43.7185522989792</v>
      </c>
      <c r="AZ14" s="11" t="n">
        <f aca="false">AZ13-Reserves!AZ11+Reserves!AZ12</f>
        <v>44.3364424388821</v>
      </c>
      <c r="BA14" s="11" t="n">
        <f aca="false">BA13-Reserves!BA11+Reserves!BA12</f>
        <v>44.0387981074297</v>
      </c>
      <c r="BB14" s="11" t="n">
        <f aca="false">BB13-Reserves!BB11+Reserves!BB12</f>
        <v>46.2859599813229</v>
      </c>
      <c r="BC14" s="11" t="n">
        <f aca="false">BC13-Reserves!BC11+Reserves!BC12</f>
        <v>42.8868801360933</v>
      </c>
      <c r="BD14" s="11" t="n">
        <f aca="false">BD13-Reserves!BD11+Reserves!BD12</f>
        <v>36.7877288372509</v>
      </c>
      <c r="BE14" s="11" t="n">
        <f aca="false">BE13-Reserves!BE11+Reserves!BE12</f>
        <v>36.3547514317289</v>
      </c>
      <c r="BF14" s="11" t="n">
        <f aca="false">BF13-Reserves!BF11+Reserves!BF12</f>
        <v>37.0590535569129</v>
      </c>
      <c r="BG14" s="11" t="n">
        <f aca="false">BG13-Reserves!BG11+Reserves!BG12</f>
        <v>36.5914221765451</v>
      </c>
      <c r="BH14" s="11" t="n">
        <f aca="false">BH13-Reserves!BH11+Reserves!BH12</f>
        <v>37.2325862972185</v>
      </c>
      <c r="BI14" s="11" t="n">
        <f aca="false">BI13-Reserves!BI11+Reserves!BI12</f>
        <v>36.9714857368546</v>
      </c>
      <c r="BJ14" s="11" t="n">
        <f aca="false">BJ13-Reserves!BJ11+Reserves!BJ12</f>
        <v>44.9952970300032</v>
      </c>
      <c r="BK14" s="11" t="n">
        <f aca="false">BK13-Reserves!BK11+Reserves!BK12</f>
        <v>39.7456545221627</v>
      </c>
      <c r="BL14" s="11" t="n">
        <f aca="false">BL13-Reserves!BL11+Reserves!BL12</f>
        <v>40.4938056453036</v>
      </c>
      <c r="BM14" s="11" t="n">
        <f aca="false">BM13-Reserves!BM11+Reserves!BM12</f>
        <v>36.9078074684487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13.4925092677511</v>
      </c>
      <c r="Q15" s="11" t="n">
        <f aca="false">Q14-Reserves!Q14+Reserves!Q15</f>
        <v>11.0475438350187</v>
      </c>
      <c r="R15" s="11" t="n">
        <f aca="false">R14-Reserves!R14+Reserves!R15</f>
        <v>12.0360535172629</v>
      </c>
      <c r="S15" s="11" t="n">
        <f aca="false">S14-Reserves!S14+Reserves!S15</f>
        <v>11.2442381955162</v>
      </c>
      <c r="T15" s="11" t="n">
        <f aca="false">T14-Reserves!T14+Reserves!T15</f>
        <v>12.0488789653183</v>
      </c>
      <c r="U15" s="11" t="n">
        <f aca="false">U14-Reserves!U14+Reserves!U15</f>
        <v>11.1197757498465</v>
      </c>
      <c r="V15" s="11" t="n">
        <f aca="false">V14-Reserves!V14+Reserves!V15</f>
        <v>12.422972924271</v>
      </c>
      <c r="W15" s="11" t="n">
        <f aca="false">W14-Reserves!W14+Reserves!W15</f>
        <v>13.1926475453303</v>
      </c>
      <c r="X15" s="11" t="n">
        <f aca="false">X14-Reserves!X14+Reserves!X15</f>
        <v>12.1375661712774</v>
      </c>
      <c r="Y15" s="11" t="n">
        <f aca="false">Y14-Reserves!Y14+Reserves!Y15</f>
        <v>11.3862770610192</v>
      </c>
      <c r="Z15" s="11" t="n">
        <f aca="false">Z14-Reserves!Z14+Reserves!Z15</f>
        <v>12.1587917840126</v>
      </c>
      <c r="AA15" s="11" t="n">
        <f aca="false">AA14-Reserves!AA14+Reserves!AA15</f>
        <v>11.363335747727</v>
      </c>
      <c r="AB15" s="11" t="n">
        <f aca="false">AB14-Reserves!AB14+Reserves!AB15</f>
        <v>13.4675748782355</v>
      </c>
      <c r="AC15" s="11" t="n">
        <f aca="false">AC14-Reserves!AC14+Reserves!AC15</f>
        <v>12.8892962693611</v>
      </c>
      <c r="AD15" s="11" t="n">
        <f aca="false">AD14-Reserves!AD14+Reserves!AD15</f>
        <v>15.6542092767398</v>
      </c>
      <c r="AE15" s="11" t="n">
        <f aca="false">AE14-Reserves!AE14+Reserves!AE15</f>
        <v>16.9715606562204</v>
      </c>
      <c r="AF15" s="11" t="n">
        <f aca="false">AF14-Reserves!AF14+Reserves!AF15</f>
        <v>18.8711285302454</v>
      </c>
      <c r="AG15" s="11" t="n">
        <f aca="false">AG14-Reserves!AG14+Reserves!AG15</f>
        <v>19.8403741202273</v>
      </c>
      <c r="AH15" s="11" t="n">
        <f aca="false">AH14-Reserves!AH14+Reserves!AH15</f>
        <v>22.713373196097</v>
      </c>
      <c r="AI15" s="11" t="n">
        <f aca="false">AI14-Reserves!AI14+Reserves!AI15</f>
        <v>24.5816017739436</v>
      </c>
      <c r="AJ15" s="11" t="n">
        <f aca="false">AJ14-Reserves!AJ14+Reserves!AJ15</f>
        <v>28.4703190092292</v>
      </c>
      <c r="AK15" s="11" t="n">
        <f aca="false">AK14-Reserves!AK14+Reserves!AK15</f>
        <v>32.2425979347874</v>
      </c>
      <c r="AL15" s="11" t="n">
        <f aca="false">AL14-Reserves!AL14+Reserves!AL15</f>
        <v>30.0939397162563</v>
      </c>
      <c r="AM15" s="11" t="n">
        <f aca="false">AM14-Reserves!AM14+Reserves!AM15</f>
        <v>33.8761545204437</v>
      </c>
      <c r="AN15" s="11" t="n">
        <f aca="false">AN14-Reserves!AN14+Reserves!AN15</f>
        <v>30.5395124816682</v>
      </c>
      <c r="AO15" s="11" t="n">
        <f aca="false">AO14-Reserves!AO14+Reserves!AO15</f>
        <v>41.9876004260199</v>
      </c>
      <c r="AP15" s="11" t="n">
        <f aca="false">AP14-Reserves!AP14+Reserves!AP15</f>
        <v>41.9557753672183</v>
      </c>
      <c r="AQ15" s="11" t="n">
        <f aca="false">AQ14-Reserves!AQ14+Reserves!AQ15</f>
        <v>41.1745993340732</v>
      </c>
      <c r="AR15" s="11" t="n">
        <f aca="false">AR14-Reserves!AR14+Reserves!AR15</f>
        <v>41.770960831035</v>
      </c>
      <c r="AS15" s="11" t="n">
        <f aca="false">AS14-Reserves!AS14+Reserves!AS15</f>
        <v>41.5056129118261</v>
      </c>
      <c r="AT15" s="11" t="n">
        <f aca="false">AT14-Reserves!AT14+Reserves!AT15</f>
        <v>48.238693031292</v>
      </c>
      <c r="AU15" s="11" t="n">
        <f aca="false">AU14-Reserves!AU14+Reserves!AU15</f>
        <v>43.8015207396234</v>
      </c>
      <c r="AV15" s="11" t="n">
        <f aca="false">AV14-Reserves!AV14+Reserves!AV15</f>
        <v>43.9250195431293</v>
      </c>
      <c r="AW15" s="11" t="n">
        <f aca="false">AW14-Reserves!AW14+Reserves!AW15</f>
        <v>43.5006347551929</v>
      </c>
      <c r="AX15" s="11" t="n">
        <f aca="false">AX14-Reserves!AX14+Reserves!AX15</f>
        <v>44.1754747855326</v>
      </c>
      <c r="AY15" s="11" t="n">
        <f aca="false">AY14-Reserves!AY14+Reserves!AY15</f>
        <v>43.7185522989792</v>
      </c>
      <c r="AZ15" s="11" t="n">
        <f aca="false">AZ14-Reserves!AZ14+Reserves!AZ15</f>
        <v>44.3364424388821</v>
      </c>
      <c r="BA15" s="11" t="n">
        <f aca="false">BA14-Reserves!BA14+Reserves!BA15</f>
        <v>43.543829720821</v>
      </c>
      <c r="BB15" s="11" t="n">
        <f aca="false">BB14-Reserves!BB14+Reserves!BB15</f>
        <v>44.7848097266784</v>
      </c>
      <c r="BC15" s="11" t="n">
        <f aca="false">BC14-Reserves!BC14+Reserves!BC15</f>
        <v>41.3693070627511</v>
      </c>
      <c r="BD15" s="11" t="n">
        <f aca="false">BD14-Reserves!BD14+Reserves!BD15</f>
        <v>35.2535532770043</v>
      </c>
      <c r="BE15" s="11" t="n">
        <f aca="false">BE14-Reserves!BE14+Reserves!BE15</f>
        <v>34.8037917507731</v>
      </c>
      <c r="BF15" s="11" t="n">
        <f aca="false">BF14-Reserves!BF14+Reserves!BF15</f>
        <v>35.4911261343409</v>
      </c>
      <c r="BG15" s="11" t="n">
        <f aca="false">BG14-Reserves!BG14+Reserves!BG15</f>
        <v>35.0063413826083</v>
      </c>
      <c r="BH15" s="11" t="n">
        <f aca="false">BH14-Reserves!BH14+Reserves!BH15</f>
        <v>35.6301644713499</v>
      </c>
      <c r="BI15" s="11" t="n">
        <f aca="false">BI14-Reserves!BI14+Reserves!BI15</f>
        <v>35.3515331654512</v>
      </c>
      <c r="BJ15" s="11" t="n">
        <f aca="false">BJ14-Reserves!BJ14+Reserves!BJ15</f>
        <v>43.3576219239654</v>
      </c>
      <c r="BK15" s="11" t="n">
        <f aca="false">BK14-Reserves!BK14+Reserves!BK15</f>
        <v>38.0900629941884</v>
      </c>
      <c r="BL15" s="11" t="n">
        <f aca="false">BL14-Reserves!BL14+Reserves!BL15</f>
        <v>38.8201016869331</v>
      </c>
      <c r="BM15" s="11" t="n">
        <f aca="false">BM14-Reserves!BM14+Reserves!BM15</f>
        <v>54.8489876304097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1.29745914957028</v>
      </c>
      <c r="R17" s="6" t="n">
        <f aca="false">IF(Debt!R121&gt;0.000000001,R7/Debt!R121,0)</f>
        <v>1.2985862755165</v>
      </c>
      <c r="S17" s="6" t="n">
        <f aca="false">IF(Debt!S121&gt;0.000000001,S7/Debt!S121,0)</f>
        <v>1.30039588836302</v>
      </c>
      <c r="T17" s="6" t="n">
        <f aca="false">IF(Debt!T121&gt;0.000000001,T7/Debt!T121,0)</f>
        <v>1.30157550961415</v>
      </c>
      <c r="U17" s="6" t="n">
        <f aca="false">IF(Debt!U121&gt;0.000000001,U7/Debt!U121,0)</f>
        <v>1.30335576963623</v>
      </c>
      <c r="V17" s="6" t="n">
        <f aca="false">IF(Debt!V121&gt;0.000000001,V7/Debt!V121,0)</f>
        <v>1.3052482713571</v>
      </c>
      <c r="W17" s="6" t="n">
        <f aca="false">IF(Debt!W121&gt;0.000000001,W7/Debt!W121,0)</f>
        <v>1.30728171585316</v>
      </c>
      <c r="X17" s="6" t="n">
        <f aca="false">IF(Debt!X121&gt;0.000000001,X7/Debt!X121,0)</f>
        <v>1.30710173549763</v>
      </c>
      <c r="Y17" s="6" t="n">
        <f aca="false">IF(Debt!Y121&gt;0.000000001,Y7/Debt!Y121,0)</f>
        <v>1.30907735828734</v>
      </c>
      <c r="Z17" s="6" t="n">
        <f aca="false">IF(Debt!Z121&gt;0.000000001,Z7/Debt!Z121,0)</f>
        <v>1.31046400932913</v>
      </c>
      <c r="AA17" s="6" t="n">
        <f aca="false">IF(Debt!AA121&gt;0.000000001,AA7/Debt!AA121,0)</f>
        <v>1.31255996232353</v>
      </c>
      <c r="AB17" s="6" t="n">
        <f aca="false">IF(Debt!AB121&gt;0.000000001,AB7/Debt!AB121,0)</f>
        <v>1.33740078484989</v>
      </c>
      <c r="AC17" s="6" t="n">
        <f aca="false">IF(Debt!AC121&gt;0.000000001,AC7/Debt!AC121,0)</f>
        <v>1.3691967790789</v>
      </c>
      <c r="AD17" s="6" t="n">
        <f aca="false">IF(Debt!AD121&gt;0.000000001,AD7/Debt!AD121,0)</f>
        <v>1.40276098265438</v>
      </c>
      <c r="AE17" s="6" t="n">
        <f aca="false">IF(Debt!AE121&gt;0.000000001,AE7/Debt!AE121,0)</f>
        <v>1.44672865562042</v>
      </c>
      <c r="AF17" s="6" t="n">
        <f aca="false">IF(Debt!AF121&gt;0.000000001,AF7/Debt!AF121,0)</f>
        <v>1.5005745796405</v>
      </c>
      <c r="AG17" s="6" t="n">
        <f aca="false">IF(Debt!AG121&gt;0.000000001,AG7/Debt!AG121,0)</f>
        <v>1.57240884975267</v>
      </c>
      <c r="AH17" s="6" t="n">
        <f aca="false">IF(Debt!AH121&gt;0.000000001,AH7/Debt!AH121,0)</f>
        <v>1.66026337184152</v>
      </c>
      <c r="AI17" s="6" t="n">
        <f aca="false">IF(Debt!AI121&gt;0.000000001,AI7/Debt!AI121,0)</f>
        <v>1.78425181119525</v>
      </c>
      <c r="AJ17" s="6" t="n">
        <f aca="false">IF(Debt!AJ121&gt;0.000000001,AJ7/Debt!AJ121,0)</f>
        <v>1.96485298528611</v>
      </c>
      <c r="AK17" s="6" t="n">
        <f aca="false">IF(Debt!AK121&gt;0.000000001,AK7/Debt!AK121,0)</f>
        <v>2.27268449667726</v>
      </c>
      <c r="AL17" s="6" t="n">
        <f aca="false">IF(Debt!AL121&gt;0.000000001,AL7/Debt!AL121,0)</f>
        <v>2.26932556524067</v>
      </c>
      <c r="AM17" s="6" t="n">
        <f aca="false">IF(Debt!AM121&gt;0.000000001,AM7/Debt!AM121,0)</f>
        <v>2.26082549877529</v>
      </c>
      <c r="AN17" s="6" t="n">
        <f aca="false">IF(Debt!AN121&gt;0.000000001,AN7/Debt!AN121,0)</f>
        <v>2.59634387474927</v>
      </c>
      <c r="AO17" s="6" t="n">
        <f aca="false">IF(Debt!AO121&gt;0.000000001,AO7/Debt!AO121,0)</f>
        <v>2.22720294519433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1.32323958824271</v>
      </c>
      <c r="R18" s="6" t="n">
        <f aca="false">IF(Debt!R121&gt;0.000000001,IF(Debt!Q121&gt;0.000000001,(R7+Q7)/(Debt!R121+Debt!Q121),R17),0)</f>
        <v>1.29802599302015</v>
      </c>
      <c r="S18" s="6" t="n">
        <f aca="false">IF(Debt!S121&gt;0.000000001,IF(Debt!R121&gt;0.000000001,(S7+R7)/(Debt!S121+Debt!R121),S17),0)</f>
        <v>1.29948693363858</v>
      </c>
      <c r="T18" s="6" t="n">
        <f aca="false">IF(Debt!T121&gt;0.000000001,IF(Debt!S121&gt;0.000000001,(T7+S7)/(Debt!T121+Debt!S121),T17),0)</f>
        <v>1.30098871436807</v>
      </c>
      <c r="U18" s="6" t="n">
        <f aca="false">IF(Debt!U121&gt;0.000000001,IF(Debt!T121&gt;0.000000001,(U7+T7)/(Debt!U121+Debt!T121),U17),0)</f>
        <v>1.30246289791128</v>
      </c>
      <c r="V18" s="6" t="n">
        <f aca="false">IF(Debt!V121&gt;0.000000001,IF(Debt!U121&gt;0.000000001,(V7+U7)/(Debt!V121+Debt!U121),V17),0)</f>
        <v>1.304310280669</v>
      </c>
      <c r="W18" s="6" t="n">
        <f aca="false">IF(Debt!W121&gt;0.000000001,IF(Debt!V121&gt;0.000000001,(W7+V7)/(Debt!W121+Debt!V121),W17),0)</f>
        <v>1.30626067565582</v>
      </c>
      <c r="X18" s="6" t="n">
        <f aca="false">IF(Debt!X121&gt;0.000000001,IF(Debt!W121&gt;0.000000001,(X7+W7)/(Debt!X121+Debt!W121),X17),0)</f>
        <v>1.30719303593405</v>
      </c>
      <c r="Y18" s="6" t="n">
        <f aca="false">IF(Debt!Y121&gt;0.000000001,IF(Debt!X121&gt;0.000000001,(Y7+X7)/(Debt!Y121+Debt!X121),Y17),0)</f>
        <v>1.30808401085992</v>
      </c>
      <c r="Z18" s="6" t="n">
        <f aca="false">IF(Debt!Z121&gt;0.000000001,IF(Debt!Y121&gt;0.000000001,(Z7+Y7)/(Debt!Z121+Debt!Y121),Z17),0)</f>
        <v>1.30977315811431</v>
      </c>
      <c r="AA18" s="6" t="n">
        <f aca="false">IF(Debt!AA121&gt;0.000000001,IF(Debt!Z121&gt;0.000000001,(AA7+Z7)/(Debt!AA121+Debt!Z121),AA17),0)</f>
        <v>1.31150690955175</v>
      </c>
      <c r="AB18" s="6" t="n">
        <f aca="false">IF(Debt!AB121&gt;0.000000001,IF(Debt!AA121&gt;0.000000001,(AB7+AA7)/(Debt!AB121+Debt!AA121),AB17),0)</f>
        <v>1.3249366052703</v>
      </c>
      <c r="AC18" s="6" t="n">
        <f aca="false">IF(Debt!AC121&gt;0.000000001,IF(Debt!AB121&gt;0.000000001,(AC7+AB7)/(Debt!AC121+Debt!AB121),AC17),0)</f>
        <v>1.35307934473549</v>
      </c>
      <c r="AD18" s="6" t="n">
        <f aca="false">IF(Debt!AD121&gt;0.000000001,IF(Debt!AC121&gt;0.000000001,(AD7+AC7)/(Debt!AD121+Debt!AC121),AD17),0)</f>
        <v>1.386091949893</v>
      </c>
      <c r="AE18" s="6" t="n">
        <f aca="false">IF(Debt!AE121&gt;0.000000001,IF(Debt!AD121&gt;0.000000001,(AE7+AD7)/(Debt!AE121+Debt!AD121),AE17),0)</f>
        <v>1.42442331083979</v>
      </c>
      <c r="AF18" s="6" t="n">
        <f aca="false">IF(Debt!AF121&gt;0.000000001,IF(Debt!AE121&gt;0.000000001,(AF7+AE7)/(Debt!AF121+Debt!AE121),AF17),0)</f>
        <v>1.47320151482711</v>
      </c>
      <c r="AG18" s="6" t="n">
        <f aca="false">IF(Debt!AG121&gt;0.000000001,IF(Debt!AF121&gt;0.000000001,(AG7+AF7)/(Debt!AG121+Debt!AF121),AG17),0)</f>
        <v>1.53552462758156</v>
      </c>
      <c r="AH18" s="6" t="n">
        <f aca="false">IF(Debt!AH121&gt;0.000000001,IF(Debt!AG121&gt;0.000000001,(AH7+AG7)/(Debt!AH121+Debt!AG121),AH17),0)</f>
        <v>1.61542559132545</v>
      </c>
      <c r="AI18" s="6" t="n">
        <f aca="false">IF(Debt!AI121&gt;0.000000001,IF(Debt!AH121&gt;0.000000001,(AI7+AH7)/(Debt!AI121+Debt!AH121),AI17),0)</f>
        <v>1.71978351336525</v>
      </c>
      <c r="AJ18" s="6" t="n">
        <f aca="false">IF(Debt!AJ121&gt;0.000000001,IF(Debt!AI121&gt;0.000000001,(AJ7+AI7)/(Debt!AJ121+Debt!AI121),AJ17),0)</f>
        <v>1.87072251281917</v>
      </c>
      <c r="AK18" s="6" t="n">
        <f aca="false">IF(Debt!AK121&gt;0.000000001,IF(Debt!AJ121&gt;0.000000001,(AK7+AJ7)/(Debt!AK121+Debt!AJ121),AK17),0)</f>
        <v>2.10723918140921</v>
      </c>
      <c r="AL18" s="6" t="n">
        <f aca="false">IF(Debt!AL121&gt;0.000000001,IF(Debt!AK121&gt;0.000000001,(AL7+AK7)/(Debt!AL121+Debt!AK121),AL17),0)</f>
        <v>2.27098609224005</v>
      </c>
      <c r="AM18" s="6" t="n">
        <f aca="false">IF(Debt!AM121&gt;0.000000001,IF(Debt!AL121&gt;0.000000001,(AM7+AL7)/(Debt!AM121+Debt!AL121),AM17),0)</f>
        <v>2.26508260311998</v>
      </c>
      <c r="AN18" s="6" t="n">
        <f aca="false">IF(Debt!AN121&gt;0.000000001,IF(Debt!AM121&gt;0.000000001,(AN7+AM7)/(Debt!AN121+Debt!AM121),AN17),0)</f>
        <v>2.4112841721108</v>
      </c>
      <c r="AO18" s="6" t="n">
        <f aca="false">IF(Debt!AO121&gt;0.000000001,IF(Debt!AN121&gt;0.000000001,(AO7+AN7)/(Debt!AO121+Debt!AN121),AO17),0)</f>
        <v>2.41260857443869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93.0638003635155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5.6816678738635</v>
      </c>
      <c r="AB29" s="11" t="n">
        <f aca="false">IF(AND(AB24=1,Time!AB21&gt;=2027,Inputs!$F$51=1),MIN(Inputs!$F$109*AB15,Debt!AB81),0)</f>
        <v>6.73378743911777</v>
      </c>
      <c r="AC29" s="11" t="n">
        <f aca="false">IF(AND(AC24=1,Time!AC21&gt;=2027,Inputs!$F$51=1),MIN(Inputs!$F$109*AC15,Debt!AC81),0)</f>
        <v>6.44464813468057</v>
      </c>
      <c r="AD29" s="11" t="n">
        <f aca="false">IF(AND(AD24=1,Time!AD21&gt;=2027,Inputs!$F$51=1),MIN(Inputs!$F$109*AD15,Debt!AD81),0)</f>
        <v>7.82710463836991</v>
      </c>
      <c r="AE29" s="11" t="n">
        <f aca="false">IF(AND(AE24=1,Time!AE21&gt;=2027,Inputs!$F$51=1),MIN(Inputs!$F$109*AE15,Debt!AE81),0)</f>
        <v>8.48578032811019</v>
      </c>
      <c r="AF29" s="11" t="n">
        <f aca="false">IF(AND(AF24=1,Time!AF21&gt;=2027,Inputs!$F$51=1),MIN(Inputs!$F$109*AF15,Debt!AF81),0)</f>
        <v>9.43556426512269</v>
      </c>
      <c r="AG29" s="11" t="n">
        <f aca="false">IF(AND(AG24=1,Time!AG21&gt;=2027,Inputs!$F$51=1),MIN(Inputs!$F$109*AG15,Debt!AG81),0)</f>
        <v>9.92018706011367</v>
      </c>
      <c r="AH29" s="11" t="n">
        <f aca="false">IF(AND(AH24=1,Time!AH21&gt;=2027,Inputs!$F$51=1),MIN(Inputs!$F$109*AH15,Debt!AH81),0)</f>
        <v>11.3566865980485</v>
      </c>
      <c r="AI29" s="11" t="n">
        <f aca="false">IF(AND(AI24=1,Time!AI21&gt;=2027,Inputs!$F$51=1),MIN(Inputs!$F$109*AI15,Debt!AI81),0)</f>
        <v>12.2908008869718</v>
      </c>
      <c r="AJ29" s="11" t="n">
        <f aca="false">IF(AND(AJ24=1,Time!AJ21&gt;=2027,Inputs!$F$51=1),MIN(Inputs!$F$109*AJ15,Debt!AJ81),0)</f>
        <v>14.2351595046146</v>
      </c>
      <c r="AK29" s="11" t="n">
        <f aca="false">IF(AND(AK24=1,Time!AK21&gt;=2027,Inputs!$F$51=1),MIN(Inputs!$F$109*AK15,Debt!AK81),0)</f>
        <v>0.652413634502291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1387.24055015437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13.4925092677511</v>
      </c>
      <c r="Q31" s="11" t="n">
        <f aca="false">IF(Q24=1,Q15-Q29,0)</f>
        <v>11.0475438350187</v>
      </c>
      <c r="R31" s="11" t="n">
        <f aca="false">IF(R24=1,R15-R29,0)</f>
        <v>12.0360535172629</v>
      </c>
      <c r="S31" s="11" t="n">
        <f aca="false">IF(S24=1,S15-S29,0)</f>
        <v>11.2442381955162</v>
      </c>
      <c r="T31" s="11" t="n">
        <f aca="false">IF(T24=1,T15-T29,0)</f>
        <v>12.0488789653183</v>
      </c>
      <c r="U31" s="11" t="n">
        <f aca="false">IF(U24=1,U15-U29,0)</f>
        <v>11.1197757498465</v>
      </c>
      <c r="V31" s="11" t="n">
        <f aca="false">IF(V24=1,V15-V29,0)</f>
        <v>12.422972924271</v>
      </c>
      <c r="W31" s="11" t="n">
        <f aca="false">IF(W24=1,W15-W29,0)</f>
        <v>13.1926475453303</v>
      </c>
      <c r="X31" s="11" t="n">
        <f aca="false">IF(X24=1,X15-X29,0)</f>
        <v>12.1375661712774</v>
      </c>
      <c r="Y31" s="11" t="n">
        <f aca="false">IF(Y24=1,Y15-Y29,0)</f>
        <v>11.3862770610192</v>
      </c>
      <c r="Z31" s="11" t="n">
        <f aca="false">IF(Z24=1,Z15-Z29,0)</f>
        <v>12.1587917840126</v>
      </c>
      <c r="AA31" s="11" t="n">
        <f aca="false">IF(AA24=1,AA15-AA29,0)</f>
        <v>5.6816678738635</v>
      </c>
      <c r="AB31" s="11" t="n">
        <f aca="false">IF(AB24=1,AB15-AB29,0)</f>
        <v>6.73378743911777</v>
      </c>
      <c r="AC31" s="11" t="n">
        <f aca="false">IF(AC24=1,AC15-AC29,0)</f>
        <v>6.44464813468057</v>
      </c>
      <c r="AD31" s="11" t="n">
        <f aca="false">IF(AD24=1,AD15-AD29,0)</f>
        <v>7.82710463836991</v>
      </c>
      <c r="AE31" s="11" t="n">
        <f aca="false">IF(AE24=1,AE15-AE29,0)</f>
        <v>8.48578032811019</v>
      </c>
      <c r="AF31" s="11" t="n">
        <f aca="false">IF(AF24=1,AF15-AF29,0)</f>
        <v>9.43556426512269</v>
      </c>
      <c r="AG31" s="11" t="n">
        <f aca="false">IF(AG24=1,AG15-AG29,0)</f>
        <v>9.92018706011367</v>
      </c>
      <c r="AH31" s="11" t="n">
        <f aca="false">IF(AH24=1,AH15-AH29,0)</f>
        <v>11.3566865980485</v>
      </c>
      <c r="AI31" s="11" t="n">
        <f aca="false">IF(AI24=1,AI15-AI29,0)</f>
        <v>12.2908008869718</v>
      </c>
      <c r="AJ31" s="11" t="n">
        <f aca="false">IF(AJ24=1,AJ15-AJ29,0)</f>
        <v>14.2351595046146</v>
      </c>
      <c r="AK31" s="11" t="n">
        <f aca="false">IF(AK24=1,AK15-AK29,0)</f>
        <v>31.5901843002851</v>
      </c>
      <c r="AL31" s="11" t="n">
        <f aca="false">IF(AL24=1,AL15-AL29,0)</f>
        <v>30.0939397162563</v>
      </c>
      <c r="AM31" s="11" t="n">
        <f aca="false">IF(AM24=1,AM15-AM29,0)</f>
        <v>33.8761545204437</v>
      </c>
      <c r="AN31" s="11" t="n">
        <f aca="false">IF(AN24=1,AN15-AN29,0)</f>
        <v>30.5395124816682</v>
      </c>
      <c r="AO31" s="11" t="n">
        <f aca="false">IF(AO24=1,AO15-AO29,0)</f>
        <v>41.9876004260199</v>
      </c>
      <c r="AP31" s="11" t="n">
        <f aca="false">IF(AP24=1,AP15-AP29,0)</f>
        <v>41.9557753672183</v>
      </c>
      <c r="AQ31" s="11" t="n">
        <f aca="false">IF(AQ24=1,AQ15-AQ29,0)</f>
        <v>41.1745993340732</v>
      </c>
      <c r="AR31" s="11" t="n">
        <f aca="false">IF(AR24=1,AR15-AR29,0)</f>
        <v>41.770960831035</v>
      </c>
      <c r="AS31" s="11" t="n">
        <f aca="false">IF(AS24=1,AS15-AS29,0)</f>
        <v>41.5056129118261</v>
      </c>
      <c r="AT31" s="11" t="n">
        <f aca="false">IF(AT24=1,AT15-AT29,0)</f>
        <v>48.238693031292</v>
      </c>
      <c r="AU31" s="11" t="n">
        <f aca="false">IF(AU24=1,AU15-AU29,0)</f>
        <v>43.8015207396234</v>
      </c>
      <c r="AV31" s="11" t="n">
        <f aca="false">IF(AV24=1,AV15-AV29,0)</f>
        <v>43.9250195431293</v>
      </c>
      <c r="AW31" s="11" t="n">
        <f aca="false">IF(AW24=1,AW15-AW29,0)</f>
        <v>43.5006347551929</v>
      </c>
      <c r="AX31" s="11" t="n">
        <f aca="false">IF(AX24=1,AX15-AX29,0)</f>
        <v>44.1754747855326</v>
      </c>
      <c r="AY31" s="11" t="n">
        <f aca="false">IF(AY24=1,AY15-AY29,0)</f>
        <v>43.7185522989792</v>
      </c>
      <c r="AZ31" s="11" t="n">
        <f aca="false">IF(AZ24=1,AZ15-AZ29,0)</f>
        <v>44.3364424388821</v>
      </c>
      <c r="BA31" s="11" t="n">
        <f aca="false">IF(BA24=1,BA15-BA29,0)</f>
        <v>43.543829720821</v>
      </c>
      <c r="BB31" s="11" t="n">
        <f aca="false">IF(BB24=1,BB15-BB29,0)</f>
        <v>44.7848097266784</v>
      </c>
      <c r="BC31" s="11" t="n">
        <f aca="false">IF(BC24=1,BC15-BC29,0)</f>
        <v>41.3693070627511</v>
      </c>
      <c r="BD31" s="11" t="n">
        <f aca="false">IF(BD24=1,BD15-BD29,0)</f>
        <v>35.2535532770043</v>
      </c>
      <c r="BE31" s="11" t="n">
        <f aca="false">IF(BE24=1,BE15-BE29,0)</f>
        <v>34.8037917507731</v>
      </c>
      <c r="BF31" s="11" t="n">
        <f aca="false">IF(BF24=1,BF15-BF29,0)</f>
        <v>35.4911261343409</v>
      </c>
      <c r="BG31" s="11" t="n">
        <f aca="false">IF(BG24=1,BG15-BG29,0)</f>
        <v>35.0063413826083</v>
      </c>
      <c r="BH31" s="11" t="n">
        <f aca="false">IF(BH24=1,BH15-BH29,0)</f>
        <v>35.6301644713499</v>
      </c>
      <c r="BI31" s="11" t="n">
        <f aca="false">IF(BI24=1,BI15-BI29,0)</f>
        <v>35.3515331654512</v>
      </c>
      <c r="BJ31" s="11" t="n">
        <f aca="false">IF(BJ24=1,BJ15-BJ29,0)</f>
        <v>43.3576219239654</v>
      </c>
      <c r="BK31" s="11" t="n">
        <f aca="false">IF(BK24=1,BK15-BK29,0)</f>
        <v>38.0900629941884</v>
      </c>
      <c r="BL31" s="11" t="n">
        <f aca="false">IF(BL24=1,BL15-BL29,0)</f>
        <v>38.8201016869331</v>
      </c>
      <c r="BM31" s="11" t="n">
        <f aca="false">IF(BM24=1,BM15-BM29,0)</f>
        <v>54.8489876304097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201.179800013038</v>
      </c>
      <c r="R33" s="11" t="n">
        <f aca="false">IF(Time!R17&lt;Time!$F$11,0,IF(Time!R29=1,INDEX(Funding!$J$72:$BJ$72,1,Time!$F$13),Q36))</f>
        <v>199.609753880003</v>
      </c>
      <c r="S33" s="11" t="n">
        <f aca="false">IF(Time!S17&lt;Time!$F$11,0,IF(Time!S29=1,INDEX(Funding!$J$72:$BJ$72,1,Time!$F$13),R36))</f>
        <v>197.133093507459</v>
      </c>
      <c r="T33" s="11" t="n">
        <f aca="false">IF(Time!T17&lt;Time!$F$11,0,IF(Time!T29=1,INDEX(Funding!$J$72:$BJ$72,1,Time!$F$13),S36))</f>
        <v>195.17571433348</v>
      </c>
      <c r="U33" s="11" t="n">
        <f aca="false">IF(Time!U17&lt;Time!$F$11,0,IF(Time!U29=1,INDEX(Funding!$J$72:$BJ$72,1,Time!$F$13),T36))</f>
        <v>192.473880536789</v>
      </c>
      <c r="V33" s="11" t="n">
        <f aca="false">IF(Time!V17&lt;Time!$F$11,0,IF(Time!V29=1,INDEX(Funding!$J$72:$BJ$72,1,Time!$F$13),U36))</f>
        <v>190.471566141685</v>
      </c>
      <c r="W33" s="11" t="n">
        <f aca="false">IF(Time!W17&lt;Time!$F$11,0,IF(Time!W29=1,INDEX(Funding!$J$72:$BJ$72,1,Time!$F$13),V36))</f>
        <v>187.170354795926</v>
      </c>
      <c r="X33" s="11" t="n">
        <f aca="false">IF(Time!X17&lt;Time!$F$11,0,IF(Time!X29=1,INDEX(Funding!$J$72:$BJ$72,1,Time!$F$13),W36))</f>
        <v>182.795225745708</v>
      </c>
      <c r="Y33" s="11" t="n">
        <f aca="false">IF(Time!Y17&lt;Time!$F$11,0,IF(Time!Y29=1,INDEX(Funding!$J$72:$BJ$72,1,Time!$F$13),X36))</f>
        <v>179.411798056718</v>
      </c>
      <c r="Z33" s="11" t="n">
        <f aca="false">IF(Time!Z17&lt;Time!$F$11,0,IF(Time!Z29=1,INDEX(Funding!$J$72:$BJ$72,1,Time!$F$13),Y36))</f>
        <v>176.477537071275</v>
      </c>
      <c r="AA33" s="11" t="n">
        <f aca="false">IF(Time!AA17&lt;Time!$F$11,0,IF(Time!AA29=1,INDEX(Funding!$J$72:$BJ$72,1,Time!$F$13),Z36))</f>
        <v>172.770327062621</v>
      </c>
      <c r="AB33" s="11" t="n">
        <f aca="false">IF(Time!AB17&lt;Time!$F$11,0,IF(Time!AB29=1,INDEX(Funding!$J$72:$BJ$72,1,Time!$F$13),AA36))</f>
        <v>175.227798295173</v>
      </c>
      <c r="AC33" s="11" t="n">
        <f aca="false">IF(Time!AC17&lt;Time!$F$11,0,IF(Time!AC29=1,INDEX(Funding!$J$72:$BJ$72,1,Time!$F$13),AB36))</f>
        <v>176.885742127835</v>
      </c>
      <c r="AD33" s="11" t="n">
        <f aca="false">IF(Time!AD17&lt;Time!$F$11,0,IF(Time!AD29=1,INDEX(Funding!$J$72:$BJ$72,1,Time!$F$13),AC36))</f>
        <v>178.820147366827</v>
      </c>
      <c r="AE33" s="11" t="n">
        <f aca="false">IF(Time!AE17&lt;Time!$F$11,0,IF(Time!AE29=1,INDEX(Funding!$J$72:$BJ$72,1,Time!$F$13),AD36))</f>
        <v>179.556813073586</v>
      </c>
      <c r="AF33" s="11" t="n">
        <f aca="false">IF(Time!AF17&lt;Time!$F$11,0,IF(Time!AF29=1,INDEX(Funding!$J$72:$BJ$72,1,Time!$F$13),AE36))</f>
        <v>179.529880418901</v>
      </c>
      <c r="AG33" s="11" t="n">
        <f aca="false">IF(Time!AG17&lt;Time!$F$11,0,IF(Time!AG29=1,INDEX(Funding!$J$72:$BJ$72,1,Time!$F$13),AF36))</f>
        <v>178.692075906442</v>
      </c>
      <c r="AH33" s="11" t="n">
        <f aca="false">IF(Time!AH17&lt;Time!$F$11,0,IF(Time!AH29=1,INDEX(Funding!$J$72:$BJ$72,1,Time!$F$13),AG36))</f>
        <v>177.189999107182</v>
      </c>
      <c r="AI33" s="11" t="n">
        <f aca="false">IF(Time!AI17&lt;Time!$F$11,0,IF(Time!AI29=1,INDEX(Funding!$J$72:$BJ$72,1,Time!$F$13),AH36))</f>
        <v>174.319014384184</v>
      </c>
      <c r="AJ33" s="11" t="n">
        <f aca="false">IF(Time!AJ17&lt;Time!$F$11,0,IF(Time!AJ29=1,INDEX(Funding!$J$72:$BJ$72,1,Time!$F$13),AI36))</f>
        <v>170.2403106269</v>
      </c>
      <c r="AK33" s="11" t="n">
        <f aca="false">IF(Time!AK17&lt;Time!$F$11,0,IF(Time!AK29=1,INDEX(Funding!$J$72:$BJ$72,1,Time!$F$13),AJ36))</f>
        <v>164.158029559979</v>
      </c>
      <c r="AL33" s="11" t="n">
        <f aca="false">IF(Time!AL17&lt;Time!$F$11,0,IF(Time!AL29=1,INDEX(Funding!$J$72:$BJ$72,1,Time!$F$13),AK36))</f>
        <v>140.343988632549</v>
      </c>
      <c r="AM33" s="11" t="n">
        <f aca="false">IF(Time!AM17&lt;Time!$F$11,0,IF(Time!AM29=1,INDEX(Funding!$J$72:$BJ$72,1,Time!$F$13),AL36))</f>
        <v>116.971180207517</v>
      </c>
      <c r="AN33" s="11" t="n">
        <f aca="false">IF(Time!AN17&lt;Time!$F$11,0,IF(Time!AN29=1,INDEX(Funding!$J$72:$BJ$72,1,Time!$F$13),AM36))</f>
        <v>88.6054899163014</v>
      </c>
      <c r="AO33" s="11" t="n">
        <f aca="false">IF(Time!AO17&lt;Time!$F$11,0,IF(Time!AO29=1,INDEX(Funding!$J$72:$BJ$72,1,Time!$F$13),AN36))</f>
        <v>62.3093307599399</v>
      </c>
      <c r="AP33" s="11" t="n">
        <f aca="false">IF(Time!AP17&lt;Time!$F$11,0,IF(Time!AP29=1,INDEX(Funding!$J$72:$BJ$72,1,Time!$F$13),AO36))</f>
        <v>23.2570972994465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205.509024358908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9.47749770198407</v>
      </c>
      <c r="R34" s="11" t="n">
        <f aca="false">R24*MIN(R31,Tax!R13)</f>
        <v>9.55939314471906</v>
      </c>
      <c r="S34" s="11" t="n">
        <f aca="false">S24*MIN(S31,Tax!S13)</f>
        <v>9.28685902153634</v>
      </c>
      <c r="T34" s="11" t="n">
        <f aca="false">T24*MIN(T31,Tax!T13)</f>
        <v>9.34704516862801</v>
      </c>
      <c r="U34" s="11" t="n">
        <f aca="false">U24*MIN(U31,Tax!U13)</f>
        <v>9.1174613547427</v>
      </c>
      <c r="V34" s="11" t="n">
        <f aca="false">V24*MIN(V31,Tax!V13)</f>
        <v>9.1217615785114</v>
      </c>
      <c r="W34" s="11" t="n">
        <f aca="false">W24*MIN(W31,Tax!W13)</f>
        <v>8.81751849511217</v>
      </c>
      <c r="X34" s="11" t="n">
        <f aca="false">X24*MIN(X31,Tax!X13)</f>
        <v>8.75413848228759</v>
      </c>
      <c r="Y34" s="11" t="n">
        <f aca="false">Y24*MIN(Y31,Tax!Y13)</f>
        <v>8.45201607557607</v>
      </c>
      <c r="Z34" s="11" t="n">
        <f aca="false">Z24*MIN(Z31,Tax!Z13)</f>
        <v>8.45158177535858</v>
      </c>
      <c r="AA34" s="11" t="n">
        <f aca="false">AA24*MIN(AA31,Tax!AA13)</f>
        <v>5.6816678738635</v>
      </c>
      <c r="AB34" s="11" t="n">
        <f aca="false">AB24*MIN(AB31,Tax!AB13)</f>
        <v>6.73378743911777</v>
      </c>
      <c r="AC34" s="11" t="n">
        <f aca="false">AC24*MIN(AC31,Tax!AC13)</f>
        <v>6.44464813468057</v>
      </c>
      <c r="AD34" s="11" t="n">
        <f aca="false">AD24*MIN(AD31,Tax!AD13)</f>
        <v>7.82710463836991</v>
      </c>
      <c r="AE34" s="11" t="n">
        <f aca="false">AE24*MIN(AE31,Tax!AE13)</f>
        <v>8.4588476734255</v>
      </c>
      <c r="AF34" s="11" t="n">
        <f aca="false">AF24*MIN(AF31,Tax!AF13)</f>
        <v>8.59775975266408</v>
      </c>
      <c r="AG34" s="11" t="n">
        <f aca="false">AG24*MIN(AG31,Tax!AG13)</f>
        <v>8.41811026085282</v>
      </c>
      <c r="AH34" s="11" t="n">
        <f aca="false">AH24*MIN(AH31,Tax!AH13)</f>
        <v>8.48570187505078</v>
      </c>
      <c r="AI34" s="11" t="n">
        <f aca="false">AI24*MIN(AI31,Tax!AI13)</f>
        <v>8.21209712968779</v>
      </c>
      <c r="AJ34" s="11" t="n">
        <f aca="false">AJ24*MIN(AJ31,Tax!AJ13)</f>
        <v>8.15287843769372</v>
      </c>
      <c r="AK34" s="11" t="n">
        <f aca="false">AK24*MIN(AK31,Tax!AK13)</f>
        <v>7.77614337285489</v>
      </c>
      <c r="AL34" s="11" t="n">
        <f aca="false">AL24*MIN(AL31,Tax!AL13)</f>
        <v>6.72113129122453</v>
      </c>
      <c r="AM34" s="11" t="n">
        <f aca="false">AM24*MIN(AM31,Tax!AM13)</f>
        <v>5.51046422922809</v>
      </c>
      <c r="AN34" s="11" t="n">
        <f aca="false">AN24*MIN(AN31,Tax!AN13)</f>
        <v>4.24335332530671</v>
      </c>
      <c r="AO34" s="11" t="n">
        <f aca="false">AO24*MIN(AO31,Tax!AO13)</f>
        <v>2.93536696552649</v>
      </c>
      <c r="AP34" s="11" t="n">
        <f aca="false">AP24*MIN(AP31,Tax!AP13)</f>
        <v>1.11379194738171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211.647898078231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3.68161205422831</v>
      </c>
      <c r="Q35" s="11" t="n">
        <f aca="false">Q24*MIN(Q31-Q34,Q33+Tax!Q13-Q34)</f>
        <v>1.57004613303464</v>
      </c>
      <c r="R35" s="11" t="n">
        <f aca="false">R24*MIN(R31-R34,R33+Tax!R13-R34)</f>
        <v>2.47666037254383</v>
      </c>
      <c r="S35" s="11" t="n">
        <f aca="false">S24*MIN(S31-S34,S33+Tax!S13-S34)</f>
        <v>1.95737917397985</v>
      </c>
      <c r="T35" s="11" t="n">
        <f aca="false">T24*MIN(T31-T34,T33+Tax!T13-T34)</f>
        <v>2.7018337966903</v>
      </c>
      <c r="U35" s="11" t="n">
        <f aca="false">U24*MIN(U31-U34,U33+Tax!U13-U34)</f>
        <v>2.00231439510383</v>
      </c>
      <c r="V35" s="11" t="n">
        <f aca="false">V24*MIN(V31-V34,V33+Tax!V13-V34)</f>
        <v>3.30121134575962</v>
      </c>
      <c r="W35" s="11" t="n">
        <f aca="false">W24*MIN(W31-W34,W33+Tax!W13-W34)</f>
        <v>4.37512905021809</v>
      </c>
      <c r="X35" s="11" t="n">
        <f aca="false">X24*MIN(X31-X34,X33+Tax!X13-X34)</f>
        <v>3.38342768898977</v>
      </c>
      <c r="Y35" s="11" t="n">
        <f aca="false">Y24*MIN(Y31-Y34,Y33+Tax!Y13-Y34)</f>
        <v>2.93426098544314</v>
      </c>
      <c r="Z35" s="11" t="n">
        <f aca="false">Z24*MIN(Z31-Z34,Z33+Tax!Z13-Z34)</f>
        <v>3.707210008654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0.0269326546846926</v>
      </c>
      <c r="AF35" s="11" t="n">
        <f aca="false">AF24*MIN(AF31-AF34,AF33+Tax!AF13-AF34)</f>
        <v>0.837804512458609</v>
      </c>
      <c r="AG35" s="11" t="n">
        <f aca="false">AG24*MIN(AG31-AG34,AG33+Tax!AG13-AG34)</f>
        <v>1.50207679926086</v>
      </c>
      <c r="AH35" s="11" t="n">
        <f aca="false">AH24*MIN(AH31-AH34,AH33+Tax!AH13-AH34)</f>
        <v>2.8709847229977</v>
      </c>
      <c r="AI35" s="11" t="n">
        <f aca="false">AI24*MIN(AI31-AI34,AI33+Tax!AI13-AI34)</f>
        <v>4.07870375728402</v>
      </c>
      <c r="AJ35" s="11" t="n">
        <f aca="false">AJ24*MIN(AJ31-AJ34,AJ33+Tax!AJ13-AJ34)</f>
        <v>6.0822810669209</v>
      </c>
      <c r="AK35" s="11" t="n">
        <f aca="false">AK24*MIN(AK31-AK34,AK33+Tax!AK13-AK34)</f>
        <v>23.8140409274302</v>
      </c>
      <c r="AL35" s="11" t="n">
        <f aca="false">AL24*MIN(AL31-AL34,AL33+Tax!AL13-AL34)</f>
        <v>23.3728084250318</v>
      </c>
      <c r="AM35" s="11" t="n">
        <f aca="false">AM24*MIN(AM31-AM34,AM33+Tax!AM13-AM34)</f>
        <v>28.3656902912156</v>
      </c>
      <c r="AN35" s="11" t="n">
        <f aca="false">AN24*MIN(AN31-AN34,AN33+Tax!AN13-AN34)</f>
        <v>26.2961591563615</v>
      </c>
      <c r="AO35" s="11" t="n">
        <f aca="false">AO24*MIN(AO31-AO34,AO33+Tax!AO13-AO34)</f>
        <v>39.0522334604934</v>
      </c>
      <c r="AP35" s="11" t="n">
        <f aca="false">AP24*MIN(AP31-AP34,AP33+Tax!AP13-AP34)</f>
        <v>23.2570972994465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201.179800013038</v>
      </c>
      <c r="Q36" s="11" t="n">
        <f aca="false">Q33+Tax!Q13-Q34-Q35</f>
        <v>199.609753880003</v>
      </c>
      <c r="R36" s="11" t="n">
        <f aca="false">R33+Tax!R13-R34-R35</f>
        <v>197.133093507459</v>
      </c>
      <c r="S36" s="11" t="n">
        <f aca="false">S33+Tax!S13-S34-S35</f>
        <v>195.17571433348</v>
      </c>
      <c r="T36" s="11" t="n">
        <f aca="false">T33+Tax!T13-T34-T35</f>
        <v>192.473880536789</v>
      </c>
      <c r="U36" s="11" t="n">
        <f aca="false">U33+Tax!U13-U34-U35</f>
        <v>190.471566141685</v>
      </c>
      <c r="V36" s="11" t="n">
        <f aca="false">V33+Tax!V13-V34-V35</f>
        <v>187.170354795926</v>
      </c>
      <c r="W36" s="11" t="n">
        <f aca="false">W33+Tax!W13-W34-W35</f>
        <v>182.795225745708</v>
      </c>
      <c r="X36" s="11" t="n">
        <f aca="false">X33+Tax!X13-X34-X35</f>
        <v>179.411798056718</v>
      </c>
      <c r="Y36" s="11" t="n">
        <f aca="false">Y33+Tax!Y13-Y34-Y35</f>
        <v>176.477537071275</v>
      </c>
      <c r="Z36" s="11" t="n">
        <f aca="false">Z33+Tax!Z13-Z34-Z35</f>
        <v>172.770327062621</v>
      </c>
      <c r="AA36" s="11" t="n">
        <f aca="false">AA33+Tax!AA13-AA34-AA35</f>
        <v>175.227798295173</v>
      </c>
      <c r="AB36" s="11" t="n">
        <f aca="false">AB33+Tax!AB13-AB34-AB35</f>
        <v>176.885742127835</v>
      </c>
      <c r="AC36" s="11" t="n">
        <f aca="false">AC33+Tax!AC13-AC34-AC35</f>
        <v>178.820147366827</v>
      </c>
      <c r="AD36" s="11" t="n">
        <f aca="false">AD33+Tax!AD13-AD34-AD35</f>
        <v>179.556813073586</v>
      </c>
      <c r="AE36" s="11" t="n">
        <f aca="false">AE33+Tax!AE13-AE34-AE35</f>
        <v>179.529880418901</v>
      </c>
      <c r="AF36" s="11" t="n">
        <f aca="false">AF33+Tax!AF13-AF34-AF35</f>
        <v>178.692075906442</v>
      </c>
      <c r="AG36" s="11" t="n">
        <f aca="false">AG33+Tax!AG13-AG34-AG35</f>
        <v>177.189999107182</v>
      </c>
      <c r="AH36" s="11" t="n">
        <f aca="false">AH33+Tax!AH13-AH34-AH35</f>
        <v>174.319014384184</v>
      </c>
      <c r="AI36" s="11" t="n">
        <f aca="false">AI33+Tax!AI13-AI34-AI35</f>
        <v>170.2403106269</v>
      </c>
      <c r="AJ36" s="11" t="n">
        <f aca="false">AJ33+Tax!AJ13-AJ34-AJ35</f>
        <v>164.158029559979</v>
      </c>
      <c r="AK36" s="11" t="n">
        <f aca="false">AK33+Tax!AK13-AK34-AK35</f>
        <v>140.343988632549</v>
      </c>
      <c r="AL36" s="11" t="n">
        <f aca="false">AL33+Tax!AL13-AL34-AL35</f>
        <v>116.971180207517</v>
      </c>
      <c r="AM36" s="11" t="n">
        <f aca="false">AM33+Tax!AM13-AM34-AM35</f>
        <v>88.6054899163014</v>
      </c>
      <c r="AN36" s="11" t="n">
        <f aca="false">AN33+Tax!AN13-AN34-AN35</f>
        <v>62.3093307599399</v>
      </c>
      <c r="AO36" s="11" t="n">
        <f aca="false">AO33+Tax!AO13-AO34-AO35</f>
        <v>23.2570972994465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24.3224689053527</v>
      </c>
      <c r="R37" s="11" t="n">
        <f aca="false">MAX(0,Q43+Financials!R14)</f>
        <v>31.8920250095417</v>
      </c>
      <c r="S37" s="11" t="n">
        <f aca="false">MAX(0,R43+Financials!S14)</f>
        <v>40.6844406600091</v>
      </c>
      <c r="T37" s="11" t="n">
        <f aca="false">MAX(0,S43+Financials!T14)</f>
        <v>49.8979054498641</v>
      </c>
      <c r="U37" s="11" t="n">
        <f aca="false">MAX(0,T43+Financials!U14)</f>
        <v>60.3278072973303</v>
      </c>
      <c r="V37" s="11" t="n">
        <f aca="false">MAX(0,U43+Financials!V14)</f>
        <v>69.0202480966491</v>
      </c>
      <c r="W37" s="11" t="n">
        <f aca="false">MAX(0,V43+Financials!W14)</f>
        <v>81.5213772806053</v>
      </c>
      <c r="X37" s="11" t="n">
        <f aca="false">MAX(0,W43+Financials!X14)</f>
        <v>94.6394525563312</v>
      </c>
      <c r="Y37" s="11" t="n">
        <f aca="false">MAX(0,X43+Financials!Y14)</f>
        <v>105.936855327458</v>
      </c>
      <c r="Z37" s="11" t="n">
        <f aca="false">MAX(0,Y43+Financials!Z14)</f>
        <v>112.354058322813</v>
      </c>
      <c r="AA37" s="11" t="n">
        <f aca="false">MAX(0,Z43+Financials!AA14)</f>
        <v>119.74269785278</v>
      </c>
      <c r="AB37" s="11" t="n">
        <f aca="false">MAX(0,AA43+Financials!AB14)</f>
        <v>127.695759759948</v>
      </c>
      <c r="AC37" s="11" t="n">
        <f aca="false">MAX(0,AB43+Financials!AC14)</f>
        <v>136.749408278269</v>
      </c>
      <c r="AD37" s="11" t="n">
        <f aca="false">MAX(0,AC43+Financials!AD14)</f>
        <v>137.308272581997</v>
      </c>
      <c r="AE37" s="11" t="n">
        <f aca="false">MAX(0,AD43+Financials!AE14)</f>
        <v>148.798896122712</v>
      </c>
      <c r="AF37" s="11" t="n">
        <f aca="false">MAX(0,AE43+Financials!AF14)</f>
        <v>160.606567762379</v>
      </c>
      <c r="AG37" s="11" t="n">
        <f aca="false">MAX(0,AF43+Financials!AG14)</f>
        <v>173.572678818444</v>
      </c>
      <c r="AH37" s="11" t="n">
        <f aca="false">MAX(0,AG43+Financials!AH14)</f>
        <v>187.580834002306</v>
      </c>
      <c r="AI37" s="11" t="n">
        <f aca="false">MAX(0,AH43+Financials!AI14)</f>
        <v>202.968800961556</v>
      </c>
      <c r="AJ37" s="11" t="n">
        <f aca="false">MAX(0,AI43+Financials!AJ14)</f>
        <v>219.497318254946</v>
      </c>
      <c r="AK37" s="11" t="n">
        <f aca="false">MAX(0,AJ43+Financials!AK14)</f>
        <v>237.523151647278</v>
      </c>
      <c r="AL37" s="11" t="n">
        <f aca="false">MAX(0,AK43+Financials!AL14)</f>
        <v>254.768383225625</v>
      </c>
      <c r="AM37" s="11" t="n">
        <f aca="false">MAX(0,AL43+Financials!AM14)</f>
        <v>275.352192573832</v>
      </c>
      <c r="AN37" s="11" t="n">
        <f aca="false">MAX(0,AM43+Financials!AN14)</f>
        <v>297.565222913223</v>
      </c>
      <c r="AO37" s="11" t="n">
        <f aca="false">MAX(0,AN43+Financials!AO14)</f>
        <v>321.108718658614</v>
      </c>
      <c r="AP37" s="11" t="n">
        <f aca="false">MAX(0,AO43+Financials!AP14)</f>
        <v>346.36092559473</v>
      </c>
      <c r="AQ37" s="11" t="n">
        <f aca="false">MAX(0,AP43+Financials!AQ14)</f>
        <v>354.88868911725</v>
      </c>
      <c r="AR37" s="11" t="n">
        <f aca="false">MAX(0,AQ43+Financials!AR14)</f>
        <v>339.894761747764</v>
      </c>
      <c r="AS37" s="11" t="n">
        <f aca="false">MAX(0,AR43+Financials!AS14)</f>
        <v>324.484224382595</v>
      </c>
      <c r="AT37" s="11" t="n">
        <f aca="false">MAX(0,AS43+Financials!AT14)</f>
        <v>299.030516795484</v>
      </c>
      <c r="AU37" s="11" t="n">
        <f aca="false">MAX(0,AT43+Financials!AU14)</f>
        <v>277.437040675538</v>
      </c>
      <c r="AV37" s="11" t="n">
        <f aca="false">MAX(0,AU43+Financials!AV14)</f>
        <v>260.210286223885</v>
      </c>
      <c r="AW37" s="11" t="n">
        <f aca="false">MAX(0,AV43+Financials!AW14)</f>
        <v>242.975486452027</v>
      </c>
      <c r="AX37" s="11" t="n">
        <f aca="false">MAX(0,AW43+Financials!AX14)</f>
        <v>226.29979115551</v>
      </c>
      <c r="AY37" s="11" t="n">
        <f aca="false">MAX(0,AX43+Financials!AY14)</f>
        <v>209.035744150875</v>
      </c>
      <c r="AZ37" s="11" t="n">
        <f aca="false">MAX(0,AY43+Financials!AZ14)</f>
        <v>192.302020638542</v>
      </c>
      <c r="BA37" s="11" t="n">
        <f aca="false">MAX(0,AZ43+Financials!BA14)</f>
        <v>175.112273770263</v>
      </c>
      <c r="BB37" s="11" t="n">
        <f aca="false">MAX(0,BA43+Financials!BB14)</f>
        <v>156.464807981548</v>
      </c>
      <c r="BC37" s="11" t="n">
        <f aca="false">MAX(0,BB43+Financials!BC14)</f>
        <v>139.101129253149</v>
      </c>
      <c r="BD37" s="11" t="n">
        <f aca="false">MAX(0,BC43+Financials!BD14)</f>
        <v>125.143337246243</v>
      </c>
      <c r="BE37" s="11" t="n">
        <f aca="false">MAX(0,BD43+Financials!BE14)</f>
        <v>117.426129993039</v>
      </c>
      <c r="BF37" s="11" t="n">
        <f aca="false">MAX(0,BE43+Financials!BF14)</f>
        <v>110.306045846098</v>
      </c>
      <c r="BG37" s="11" t="n">
        <f aca="false">MAX(0,BF43+Financials!BG14)</f>
        <v>102.591222815673</v>
      </c>
      <c r="BH37" s="11" t="n">
        <f aca="false">MAX(0,BG43+Financials!BH14)</f>
        <v>95.4403893731835</v>
      </c>
      <c r="BI37" s="11" t="n">
        <f aca="false">MAX(0,BH43+Financials!BI14)</f>
        <v>87.8803499967853</v>
      </c>
      <c r="BJ37" s="11" t="n">
        <f aca="false">MAX(0,BI43+Financials!BJ14)</f>
        <v>68.4145510985353</v>
      </c>
      <c r="BK37" s="11" t="n">
        <f aca="false">MAX(0,BJ43+Financials!BK14)</f>
        <v>53.4662792626313</v>
      </c>
      <c r="BL37" s="11" t="n">
        <f aca="false">MAX(0,BK43+Financials!BL14)</f>
        <v>43.6937349468498</v>
      </c>
      <c r="BM37" s="11" t="n">
        <f aca="false">MAX(0,BL43+Financials!BM14)</f>
        <v>10.4822341135982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17.58488612039</v>
      </c>
      <c r="AQ38" s="11" t="n">
        <f aca="false">AQ24*MIN(AQ31-AQ34-AQ35,AQ37)</f>
        <v>41.1745993340732</v>
      </c>
      <c r="AR38" s="11" t="n">
        <f aca="false">AR24*MIN(AR31-AR34-AR35,AR37)</f>
        <v>41.770960831035</v>
      </c>
      <c r="AS38" s="11" t="n">
        <f aca="false">AS24*MIN(AS31-AS34-AS35,AS37)</f>
        <v>41.5056129118261</v>
      </c>
      <c r="AT38" s="11" t="n">
        <f aca="false">AT24*MIN(AT31-AT34-AT35,AT37)</f>
        <v>48.238693031292</v>
      </c>
      <c r="AU38" s="11" t="n">
        <f aca="false">AU24*MIN(AU31-AU34-AU35,AU37)</f>
        <v>43.8015207396234</v>
      </c>
      <c r="AV38" s="11" t="n">
        <f aca="false">AV24*MIN(AV31-AV34-AV35,AV37)</f>
        <v>43.9250195431293</v>
      </c>
      <c r="AW38" s="11" t="n">
        <f aca="false">AW24*MIN(AW31-AW34-AW35,AW37)</f>
        <v>43.5006347551929</v>
      </c>
      <c r="AX38" s="11" t="n">
        <f aca="false">AX24*MIN(AX31-AX34-AX35,AX37)</f>
        <v>44.1754747855326</v>
      </c>
      <c r="AY38" s="11" t="n">
        <f aca="false">AY24*MIN(AY31-AY34-AY35,AY37)</f>
        <v>43.7185522989792</v>
      </c>
      <c r="AZ38" s="11" t="n">
        <f aca="false">AZ24*MIN(AZ31-AZ34-AZ35,AZ37)</f>
        <v>44.3364424388821</v>
      </c>
      <c r="BA38" s="11" t="n">
        <f aca="false">BA24*MIN(BA31-BA34-BA35,BA37)</f>
        <v>43.543829720821</v>
      </c>
      <c r="BB38" s="11" t="n">
        <f aca="false">BB24*MIN(BB31-BB34-BB35,BB37)</f>
        <v>44.7848097266784</v>
      </c>
      <c r="BC38" s="11" t="n">
        <f aca="false">BC24*MIN(BC31-BC34-BC35,BC37)</f>
        <v>41.3693070627511</v>
      </c>
      <c r="BD38" s="11" t="n">
        <f aca="false">BD24*MIN(BD31-BD34-BD35,BD37)</f>
        <v>35.2535532770043</v>
      </c>
      <c r="BE38" s="11" t="n">
        <f aca="false">BE24*MIN(BE31-BE34-BE35,BE37)</f>
        <v>34.8037917507731</v>
      </c>
      <c r="BF38" s="11" t="n">
        <f aca="false">BF24*MIN(BF31-BF34-BF35,BF37)</f>
        <v>35.4911261343409</v>
      </c>
      <c r="BG38" s="11" t="n">
        <f aca="false">BG24*MIN(BG31-BG34-BG35,BG37)</f>
        <v>35.0063413826083</v>
      </c>
      <c r="BH38" s="11" t="n">
        <f aca="false">BH24*MIN(BH31-BH34-BH35,BH37)</f>
        <v>35.6301644713499</v>
      </c>
      <c r="BI38" s="11" t="n">
        <f aca="false">BI24*MIN(BI31-BI34-BI35,BI37)</f>
        <v>35.3515331654512</v>
      </c>
      <c r="BJ38" s="11" t="n">
        <f aca="false">BJ24*MIN(BJ31-BJ34-BJ35,BJ37)</f>
        <v>43.3576219239654</v>
      </c>
      <c r="BK38" s="11" t="n">
        <f aca="false">BK24*MIN(BK31-BK34-BK35,BK37)</f>
        <v>38.0900629941884</v>
      </c>
      <c r="BL38" s="11" t="n">
        <f aca="false">BL24*MIN(BL31-BL34-BL35,BL37)</f>
        <v>38.8201016869331</v>
      </c>
      <c r="BM38" s="11" t="n">
        <f aca="false">BM24*MIN(BM31-BM34-BM35,BM37)</f>
        <v>10.4822341135982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44.3667535168115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44.3667535168115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44.3667535168115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970.083627717231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17.58488612039</v>
      </c>
      <c r="AQ41" s="11" t="n">
        <f aca="false">AQ38+AQ40</f>
        <v>41.1745993340732</v>
      </c>
      <c r="AR41" s="11" t="n">
        <f aca="false">AR38+AR40</f>
        <v>41.770960831035</v>
      </c>
      <c r="AS41" s="11" t="n">
        <f aca="false">AS38+AS40</f>
        <v>41.5056129118261</v>
      </c>
      <c r="AT41" s="11" t="n">
        <f aca="false">AT38+AT40</f>
        <v>48.238693031292</v>
      </c>
      <c r="AU41" s="11" t="n">
        <f aca="false">AU38+AU40</f>
        <v>43.8015207396234</v>
      </c>
      <c r="AV41" s="11" t="n">
        <f aca="false">AV38+AV40</f>
        <v>43.9250195431293</v>
      </c>
      <c r="AW41" s="11" t="n">
        <f aca="false">AW38+AW40</f>
        <v>43.5006347551929</v>
      </c>
      <c r="AX41" s="11" t="n">
        <f aca="false">AX38+AX40</f>
        <v>44.1754747855326</v>
      </c>
      <c r="AY41" s="11" t="n">
        <f aca="false">AY38+AY40</f>
        <v>43.7185522989792</v>
      </c>
      <c r="AZ41" s="11" t="n">
        <f aca="false">AZ38+AZ40</f>
        <v>44.3364424388821</v>
      </c>
      <c r="BA41" s="11" t="n">
        <f aca="false">BA38+BA40</f>
        <v>43.543829720821</v>
      </c>
      <c r="BB41" s="11" t="n">
        <f aca="false">BB38+BB40</f>
        <v>44.7848097266784</v>
      </c>
      <c r="BC41" s="11" t="n">
        <f aca="false">BC38+BC40</f>
        <v>41.3693070627511</v>
      </c>
      <c r="BD41" s="11" t="n">
        <f aca="false">BD38+BD40</f>
        <v>35.2535532770043</v>
      </c>
      <c r="BE41" s="11" t="n">
        <f aca="false">BE38+BE40</f>
        <v>34.8037917507731</v>
      </c>
      <c r="BF41" s="11" t="n">
        <f aca="false">BF38+BF40</f>
        <v>35.4911261343409</v>
      </c>
      <c r="BG41" s="11" t="n">
        <f aca="false">BG38+BG40</f>
        <v>35.0063413826083</v>
      </c>
      <c r="BH41" s="11" t="n">
        <f aca="false">BH38+BH40</f>
        <v>35.6301644713499</v>
      </c>
      <c r="BI41" s="11" t="n">
        <f aca="false">BI38+BI40</f>
        <v>35.3515331654512</v>
      </c>
      <c r="BJ41" s="11" t="n">
        <f aca="false">BJ38+BJ40</f>
        <v>43.3576219239654</v>
      </c>
      <c r="BK41" s="11" t="n">
        <f aca="false">BK38+BK40</f>
        <v>38.0900629941884</v>
      </c>
      <c r="BL41" s="11" t="n">
        <f aca="false">BL38+BL40</f>
        <v>38.8201016869331</v>
      </c>
      <c r="BM41" s="11" t="n">
        <f aca="false">BM38+BM40</f>
        <v>54.8489876304097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24.3224689053527</v>
      </c>
      <c r="R43" s="11" t="n">
        <f aca="false">IF(Time!R17&lt;Time!$F$11,0,Q43+Financials!R14-R41)</f>
        <v>31.8920250095417</v>
      </c>
      <c r="S43" s="11" t="n">
        <f aca="false">IF(Time!S17&lt;Time!$F$11,0,R43+Financials!S14-S41)</f>
        <v>40.6844406600091</v>
      </c>
      <c r="T43" s="11" t="n">
        <f aca="false">IF(Time!T17&lt;Time!$F$11,0,S43+Financials!T14-T41)</f>
        <v>49.8979054498641</v>
      </c>
      <c r="U43" s="11" t="n">
        <f aca="false">IF(Time!U17&lt;Time!$F$11,0,T43+Financials!U14-U41)</f>
        <v>60.3278072973303</v>
      </c>
      <c r="V43" s="11" t="n">
        <f aca="false">IF(Time!V17&lt;Time!$F$11,0,U43+Financials!V14-V41)</f>
        <v>69.0202480966491</v>
      </c>
      <c r="W43" s="11" t="n">
        <f aca="false">IF(Time!W17&lt;Time!$F$11,0,V43+Financials!W14-W41)</f>
        <v>81.5213772806053</v>
      </c>
      <c r="X43" s="11" t="n">
        <f aca="false">IF(Time!X17&lt;Time!$F$11,0,W43+Financials!X14-X41)</f>
        <v>94.6394525563312</v>
      </c>
      <c r="Y43" s="11" t="n">
        <f aca="false">IF(Time!Y17&lt;Time!$F$11,0,X43+Financials!Y14-Y41)</f>
        <v>105.936855327458</v>
      </c>
      <c r="Z43" s="11" t="n">
        <f aca="false">IF(Time!Z17&lt;Time!$F$11,0,Y43+Financials!Z14-Z41)</f>
        <v>112.354058322813</v>
      </c>
      <c r="AA43" s="11" t="n">
        <f aca="false">IF(Time!AA17&lt;Time!$F$11,0,Z43+Financials!AA14-AA41)</f>
        <v>119.74269785278</v>
      </c>
      <c r="AB43" s="11" t="n">
        <f aca="false">IF(Time!AB17&lt;Time!$F$11,0,AA43+Financials!AB14-AB41)</f>
        <v>127.695759759948</v>
      </c>
      <c r="AC43" s="11" t="n">
        <f aca="false">IF(Time!AC17&lt;Time!$F$11,0,AB43+Financials!AC14-AC41)</f>
        <v>136.749408278269</v>
      </c>
      <c r="AD43" s="11" t="n">
        <f aca="false">IF(Time!AD17&lt;Time!$F$11,0,AC43+Financials!AD14-AD41)</f>
        <v>137.308272581997</v>
      </c>
      <c r="AE43" s="11" t="n">
        <f aca="false">IF(Time!AE17&lt;Time!$F$11,0,AD43+Financials!AE14-AE41)</f>
        <v>148.798896122712</v>
      </c>
      <c r="AF43" s="11" t="n">
        <f aca="false">IF(Time!AF17&lt;Time!$F$11,0,AE43+Financials!AF14-AF41)</f>
        <v>160.606567762379</v>
      </c>
      <c r="AG43" s="11" t="n">
        <f aca="false">IF(Time!AG17&lt;Time!$F$11,0,AF43+Financials!AG14-AG41)</f>
        <v>173.572678818444</v>
      </c>
      <c r="AH43" s="11" t="n">
        <f aca="false">IF(Time!AH17&lt;Time!$F$11,0,AG43+Financials!AH14-AH41)</f>
        <v>187.580834002306</v>
      </c>
      <c r="AI43" s="11" t="n">
        <f aca="false">IF(Time!AI17&lt;Time!$F$11,0,AH43+Financials!AI14-AI41)</f>
        <v>202.968800961556</v>
      </c>
      <c r="AJ43" s="11" t="n">
        <f aca="false">IF(Time!AJ17&lt;Time!$F$11,0,AI43+Financials!AJ14-AJ41)</f>
        <v>219.497318254946</v>
      </c>
      <c r="AK43" s="11" t="n">
        <f aca="false">IF(Time!AK17&lt;Time!$F$11,0,AJ43+Financials!AK14-AK41)</f>
        <v>237.523151647278</v>
      </c>
      <c r="AL43" s="11" t="n">
        <f aca="false">IF(Time!AL17&lt;Time!$F$11,0,AK43+Financials!AL14-AL41)</f>
        <v>254.768383225625</v>
      </c>
      <c r="AM43" s="11" t="n">
        <f aca="false">IF(Time!AM17&lt;Time!$F$11,0,AL43+Financials!AM14-AM41)</f>
        <v>275.352192573832</v>
      </c>
      <c r="AN43" s="11" t="n">
        <f aca="false">IF(Time!AN17&lt;Time!$F$11,0,AM43+Financials!AN14-AN41)</f>
        <v>297.565222913223</v>
      </c>
      <c r="AO43" s="11" t="n">
        <f aca="false">IF(Time!AO17&lt;Time!$F$11,0,AN43+Financials!AO14-AO41)</f>
        <v>321.108718658614</v>
      </c>
      <c r="AP43" s="11" t="n">
        <f aca="false">IF(Time!AP17&lt;Time!$F$11,0,AO43+Financials!AP14-AP41)</f>
        <v>328.77603947434</v>
      </c>
      <c r="AQ43" s="11" t="n">
        <f aca="false">IF(Time!AQ17&lt;Time!$F$11,0,AP43+Financials!AQ14-AQ41)</f>
        <v>313.714089783177</v>
      </c>
      <c r="AR43" s="11" t="n">
        <f aca="false">IF(Time!AR17&lt;Time!$F$11,0,AQ43+Financials!AR14-AR41)</f>
        <v>298.123800916729</v>
      </c>
      <c r="AS43" s="11" t="n">
        <f aca="false">IF(Time!AS17&lt;Time!$F$11,0,AR43+Financials!AS14-AS41)</f>
        <v>282.978611470769</v>
      </c>
      <c r="AT43" s="11" t="n">
        <f aca="false">IF(Time!AT17&lt;Time!$F$11,0,AS43+Financials!AT14-AT41)</f>
        <v>250.791823764192</v>
      </c>
      <c r="AU43" s="11" t="n">
        <f aca="false">IF(Time!AU17&lt;Time!$F$11,0,AT43+Financials!AU14-AU41)</f>
        <v>233.635519935914</v>
      </c>
      <c r="AV43" s="11" t="n">
        <f aca="false">IF(Time!AV17&lt;Time!$F$11,0,AU43+Financials!AV14-AV41)</f>
        <v>216.285266680756</v>
      </c>
      <c r="AW43" s="11" t="n">
        <f aca="false">IF(Time!AW17&lt;Time!$F$11,0,AV43+Financials!AW14-AW41)</f>
        <v>199.474851696834</v>
      </c>
      <c r="AX43" s="11" t="n">
        <f aca="false">IF(Time!AX17&lt;Time!$F$11,0,AW43+Financials!AX14-AX41)</f>
        <v>182.124316369977</v>
      </c>
      <c r="AY43" s="11" t="n">
        <f aca="false">IF(Time!AY17&lt;Time!$F$11,0,AX43+Financials!AY14-AY41)</f>
        <v>165.317191851896</v>
      </c>
      <c r="AZ43" s="11" t="n">
        <f aca="false">IF(Time!AZ17&lt;Time!$F$11,0,AY43+Financials!AZ14-AZ41)</f>
        <v>147.96557819966</v>
      </c>
      <c r="BA43" s="11" t="n">
        <f aca="false">IF(Time!BA17&lt;Time!$F$11,0,AZ43+Financials!BA14-BA41)</f>
        <v>131.568444049442</v>
      </c>
      <c r="BB43" s="11" t="n">
        <f aca="false">IF(Time!BB17&lt;Time!$F$11,0,BA43+Financials!BB14-BB41)</f>
        <v>111.67999825487</v>
      </c>
      <c r="BC43" s="11" t="n">
        <f aca="false">IF(Time!BC17&lt;Time!$F$11,0,BB43+Financials!BC14-BC41)</f>
        <v>97.7318221903982</v>
      </c>
      <c r="BD43" s="11" t="n">
        <f aca="false">IF(Time!BD17&lt;Time!$F$11,0,BC43+Financials!BD14-BD41)</f>
        <v>89.8897839692383</v>
      </c>
      <c r="BE43" s="11" t="n">
        <f aca="false">IF(Time!BE17&lt;Time!$F$11,0,BD43+Financials!BE14-BE41)</f>
        <v>82.6223382422656</v>
      </c>
      <c r="BF43" s="11" t="n">
        <f aca="false">IF(Time!BF17&lt;Time!$F$11,0,BE43+Financials!BF14-BF41)</f>
        <v>74.8149197117576</v>
      </c>
      <c r="BG43" s="11" t="n">
        <f aca="false">IF(Time!BG17&lt;Time!$F$11,0,BF43+Financials!BG14-BG41)</f>
        <v>67.5848814330648</v>
      </c>
      <c r="BH43" s="11" t="n">
        <f aca="false">IF(Time!BH17&lt;Time!$F$11,0,BG43+Financials!BH14-BH41)</f>
        <v>59.8102249018336</v>
      </c>
      <c r="BI43" s="11" t="n">
        <f aca="false">IF(Time!BI17&lt;Time!$F$11,0,BH43+Financials!BI14-BI41)</f>
        <v>52.5288168313341</v>
      </c>
      <c r="BJ43" s="11" t="n">
        <f aca="false">IF(Time!BJ17&lt;Time!$F$11,0,BI43+Financials!BJ14-BJ41)</f>
        <v>25.0569291745699</v>
      </c>
      <c r="BK43" s="11" t="n">
        <f aca="false">IF(Time!BK17&lt;Time!$F$11,0,BJ43+Financials!BK14-BK41)</f>
        <v>15.3762162684429</v>
      </c>
      <c r="BL43" s="11" t="n">
        <f aca="false">IF(Time!BL17&lt;Time!$F$11,0,BK43+Financials!BL14-BL41)</f>
        <v>4.87363325991676</v>
      </c>
      <c r="BM43" s="11" t="n">
        <f aca="false">IF(Time!BM17&lt;Time!$F$11,0,BL43+Financials!BM14-BM41)</f>
        <v>-44.3667535168115</v>
      </c>
      <c r="BN43" s="11" t="n">
        <f aca="false">IF(Time!BN17&lt;Time!$F$11,0,BM43+Financials!BN14-BN41)</f>
        <v>-44.3667535168115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1387.24055015437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13.4925092677511</v>
      </c>
      <c r="Q44" s="11" t="n">
        <f aca="false">Q34+Q35+Q41</f>
        <v>11.0475438350187</v>
      </c>
      <c r="R44" s="11" t="n">
        <f aca="false">R34+R35+R41</f>
        <v>12.0360535172629</v>
      </c>
      <c r="S44" s="11" t="n">
        <f aca="false">S34+S35+S41</f>
        <v>11.2442381955162</v>
      </c>
      <c r="T44" s="11" t="n">
        <f aca="false">T34+T35+T41</f>
        <v>12.0488789653183</v>
      </c>
      <c r="U44" s="11" t="n">
        <f aca="false">U34+U35+U41</f>
        <v>11.1197757498465</v>
      </c>
      <c r="V44" s="11" t="n">
        <f aca="false">V34+V35+V41</f>
        <v>12.422972924271</v>
      </c>
      <c r="W44" s="11" t="n">
        <f aca="false">W34+W35+W41</f>
        <v>13.1926475453303</v>
      </c>
      <c r="X44" s="11" t="n">
        <f aca="false">X34+X35+X41</f>
        <v>12.1375661712774</v>
      </c>
      <c r="Y44" s="11" t="n">
        <f aca="false">Y34+Y35+Y41</f>
        <v>11.3862770610192</v>
      </c>
      <c r="Z44" s="11" t="n">
        <f aca="false">Z34+Z35+Z41</f>
        <v>12.1587917840126</v>
      </c>
      <c r="AA44" s="11" t="n">
        <f aca="false">AA34+AA35+AA41</f>
        <v>5.6816678738635</v>
      </c>
      <c r="AB44" s="11" t="n">
        <f aca="false">AB34+AB35+AB41</f>
        <v>6.73378743911777</v>
      </c>
      <c r="AC44" s="11" t="n">
        <f aca="false">AC34+AC35+AC41</f>
        <v>6.44464813468057</v>
      </c>
      <c r="AD44" s="11" t="n">
        <f aca="false">AD34+AD35+AD41</f>
        <v>7.82710463836991</v>
      </c>
      <c r="AE44" s="11" t="n">
        <f aca="false">AE34+AE35+AE41</f>
        <v>8.48578032811019</v>
      </c>
      <c r="AF44" s="11" t="n">
        <f aca="false">AF34+AF35+AF41</f>
        <v>9.43556426512269</v>
      </c>
      <c r="AG44" s="11" t="n">
        <f aca="false">AG34+AG35+AG41</f>
        <v>9.92018706011367</v>
      </c>
      <c r="AH44" s="11" t="n">
        <f aca="false">AH34+AH35+AH41</f>
        <v>11.3566865980485</v>
      </c>
      <c r="AI44" s="11" t="n">
        <f aca="false">AI34+AI35+AI41</f>
        <v>12.2908008869718</v>
      </c>
      <c r="AJ44" s="11" t="n">
        <f aca="false">AJ34+AJ35+AJ41</f>
        <v>14.2351595046146</v>
      </c>
      <c r="AK44" s="11" t="n">
        <f aca="false">AK34+AK35+AK41</f>
        <v>31.5901843002851</v>
      </c>
      <c r="AL44" s="11" t="n">
        <f aca="false">AL34+AL35+AL41</f>
        <v>30.0939397162563</v>
      </c>
      <c r="AM44" s="11" t="n">
        <f aca="false">AM34+AM35+AM41</f>
        <v>33.8761545204437</v>
      </c>
      <c r="AN44" s="11" t="n">
        <f aca="false">AN34+AN35+AN41</f>
        <v>30.5395124816682</v>
      </c>
      <c r="AO44" s="11" t="n">
        <f aca="false">AO34+AO35+AO41</f>
        <v>41.9876004260199</v>
      </c>
      <c r="AP44" s="11" t="n">
        <f aca="false">AP34+AP35+AP41</f>
        <v>41.9557753672183</v>
      </c>
      <c r="AQ44" s="11" t="n">
        <f aca="false">AQ34+AQ35+AQ41</f>
        <v>41.1745993340732</v>
      </c>
      <c r="AR44" s="11" t="n">
        <f aca="false">AR34+AR35+AR41</f>
        <v>41.770960831035</v>
      </c>
      <c r="AS44" s="11" t="n">
        <f aca="false">AS34+AS35+AS41</f>
        <v>41.5056129118261</v>
      </c>
      <c r="AT44" s="11" t="n">
        <f aca="false">AT34+AT35+AT41</f>
        <v>48.238693031292</v>
      </c>
      <c r="AU44" s="11" t="n">
        <f aca="false">AU34+AU35+AU41</f>
        <v>43.8015207396234</v>
      </c>
      <c r="AV44" s="11" t="n">
        <f aca="false">AV34+AV35+AV41</f>
        <v>43.9250195431293</v>
      </c>
      <c r="AW44" s="11" t="n">
        <f aca="false">AW34+AW35+AW41</f>
        <v>43.5006347551929</v>
      </c>
      <c r="AX44" s="11" t="n">
        <f aca="false">AX34+AX35+AX41</f>
        <v>44.1754747855326</v>
      </c>
      <c r="AY44" s="11" t="n">
        <f aca="false">AY34+AY35+AY41</f>
        <v>43.7185522989792</v>
      </c>
      <c r="AZ44" s="11" t="n">
        <f aca="false">AZ34+AZ35+AZ41</f>
        <v>44.3364424388821</v>
      </c>
      <c r="BA44" s="11" t="n">
        <f aca="false">BA34+BA35+BA41</f>
        <v>43.543829720821</v>
      </c>
      <c r="BB44" s="11" t="n">
        <f aca="false">BB34+BB35+BB41</f>
        <v>44.7848097266784</v>
      </c>
      <c r="BC44" s="11" t="n">
        <f aca="false">BC34+BC35+BC41</f>
        <v>41.3693070627511</v>
      </c>
      <c r="BD44" s="11" t="n">
        <f aca="false">BD34+BD35+BD41</f>
        <v>35.2535532770043</v>
      </c>
      <c r="BE44" s="11" t="n">
        <f aca="false">BE34+BE35+BE41</f>
        <v>34.8037917507731</v>
      </c>
      <c r="BF44" s="11" t="n">
        <f aca="false">BF34+BF35+BF41</f>
        <v>35.4911261343409</v>
      </c>
      <c r="BG44" s="11" t="n">
        <f aca="false">BG34+BG35+BG41</f>
        <v>35.0063413826083</v>
      </c>
      <c r="BH44" s="11" t="n">
        <f aca="false">BH34+BH35+BH41</f>
        <v>35.6301644713499</v>
      </c>
      <c r="BI44" s="11" t="n">
        <f aca="false">BI34+BI35+BI41</f>
        <v>35.3515331654512</v>
      </c>
      <c r="BJ44" s="11" t="n">
        <f aca="false">BJ34+BJ35+BJ41</f>
        <v>43.3576219239654</v>
      </c>
      <c r="BK44" s="11" t="n">
        <f aca="false">BK34+BK35+BK41</f>
        <v>38.0900629941884</v>
      </c>
      <c r="BL44" s="11" t="n">
        <f aca="false">BL34+BL35+BL41</f>
        <v>38.8201016869331</v>
      </c>
      <c r="BM44" s="11" t="n">
        <f aca="false">BM34+BM35+BM41</f>
        <v>54.8489876304097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545.982041234013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31.9939281470537</v>
      </c>
      <c r="R9" s="11" t="n">
        <f aca="false">Debt!R119+Debt!R117+Debt!R111-Debt!R110+Tax!R13</f>
        <v>31.7332601824599</v>
      </c>
      <c r="S9" s="11" t="n">
        <f aca="false">Debt!S119+Debt!S117+Debt!S111-Debt!S110+Tax!S13</f>
        <v>30.6044930950328</v>
      </c>
      <c r="T9" s="11" t="n">
        <f aca="false">Debt!T119+Debt!T117+Debt!T111-Debt!T110+Tax!T13</f>
        <v>30.2607832840421</v>
      </c>
      <c r="U9" s="11" t="n">
        <f aca="false">Debt!U119+Debt!U117+Debt!U111-Debt!U110+Tax!U13</f>
        <v>29.2089614897867</v>
      </c>
      <c r="V9" s="11" t="n">
        <f aca="false">Debt!V119+Debt!V117+Debt!V111-Debt!V110+Tax!V13</f>
        <v>28.6689128798014</v>
      </c>
      <c r="W9" s="11" t="n">
        <f aca="false">Debt!W119+Debt!W117+Debt!W111-Debt!W110+Tax!W13</f>
        <v>27.4167062835222</v>
      </c>
      <c r="X9" s="11" t="n">
        <f aca="false">Debt!X119+Debt!X117+Debt!X111-Debt!X110+Tax!X13</f>
        <v>26.7999724294095</v>
      </c>
      <c r="Y9" s="11" t="n">
        <f aca="false">Debt!Y119+Debt!Y117+Debt!Y111-Debt!Y110+Tax!Y13</f>
        <v>26.063293031209</v>
      </c>
      <c r="Z9" s="11" t="n">
        <f aca="false">Debt!Z119+Debt!Z117+Debt!Z111-Debt!Z110+Tax!Z13</f>
        <v>25.5002053191759</v>
      </c>
      <c r="AA9" s="11" t="n">
        <f aca="false">Debt!AA119+Debt!AA117+Debt!AA111-Debt!AA110+Tax!AA13</f>
        <v>24.2106193228712</v>
      </c>
      <c r="AB9" s="11" t="n">
        <f aca="false">Debt!AB119+Debt!AB117+Debt!AB111-Debt!AB110+Tax!AB13</f>
        <v>23.4849948204584</v>
      </c>
      <c r="AC9" s="11" t="n">
        <f aca="false">Debt!AC119+Debt!AC117+Debt!AC111-Debt!AC110+Tax!AC13</f>
        <v>22.1265291146256</v>
      </c>
      <c r="AD9" s="11" t="n">
        <f aca="false">Debt!AD119+Debt!AD117+Debt!AD111-Debt!AD110+Tax!AD13</f>
        <v>21.1824790222057</v>
      </c>
      <c r="AE9" s="11" t="n">
        <f aca="false">Debt!AE119+Debt!AE117+Debt!AE111-Debt!AE110+Tax!AE13</f>
        <v>19.5951117957113</v>
      </c>
      <c r="AF9" s="11" t="n">
        <f aca="false">Debt!AF119+Debt!AF117+Debt!AF111-Debt!AF110+Tax!AF13</f>
        <v>18.4490501682321</v>
      </c>
      <c r="AG9" s="11" t="n">
        <f aca="false">Debt!AG119+Debt!AG117+Debt!AG111-Debt!AG110+Tax!AG13</f>
        <v>16.9329821277815</v>
      </c>
      <c r="AH9" s="11" t="n">
        <f aca="false">Debt!AH119+Debt!AH117+Debt!AH111-Debt!AH110+Tax!AH13</f>
        <v>15.6030437043011</v>
      </c>
      <c r="AI9" s="11" t="n">
        <f aca="false">Debt!AI119+Debt!AI117+Debt!AI111-Debt!AI110+Tax!AI13</f>
        <v>13.7369345789732</v>
      </c>
      <c r="AJ9" s="11" t="n">
        <f aca="false">Debt!AJ119+Debt!AJ117+Debt!AJ111-Debt!AJ110+Tax!AJ13</f>
        <v>12.1946250356069</v>
      </c>
      <c r="AK9" s="11" t="n">
        <f aca="false">Debt!AK119+Debt!AK117+Debt!AK111-Debt!AK110+Tax!AK13</f>
        <v>10.2488328513023</v>
      </c>
      <c r="AL9" s="11" t="n">
        <f aca="false">Debt!AL119+Debt!AL117+Debt!AL111-Debt!AL110+Tax!AL13</f>
        <v>8.65713647202892</v>
      </c>
      <c r="AM9" s="11" t="n">
        <f aca="false">Debt!AM119+Debt!AM117+Debt!AM111-Debt!AM110+Tax!AM13</f>
        <v>6.92076393641009</v>
      </c>
      <c r="AN9" s="11" t="n">
        <f aca="false">Debt!AN119+Debt!AN117+Debt!AN111-Debt!AN110+Tax!AN13</f>
        <v>5.12698004671836</v>
      </c>
      <c r="AO9" s="11" t="n">
        <f aca="false">Debt!AO119+Debt!AO117+Debt!AO111-Debt!AO110+Tax!AO13</f>
        <v>3.37887895554383</v>
      </c>
      <c r="AP9" s="11" t="n">
        <f aca="false">Debt!AP119+Debt!AP117+Debt!AP111-Debt!AP110+Tax!AP13</f>
        <v>1.11379194738171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-49.3046706522081</v>
      </c>
      <c r="Z12" s="11" t="n">
        <f aca="false">IF(Time!Z17&gt;=Time!$F$11,Inputs!$F$181/100*(Z11-Z10-Tax!Z21),0)</f>
        <v>-46.4020872821961</v>
      </c>
      <c r="AA12" s="11" t="n">
        <f aca="false">IF(Time!AA17&gt;=Time!$F$11,Inputs!$F$181/100*(AA11-AA10-Tax!AA21),0)</f>
        <v>-43.0824132433792</v>
      </c>
      <c r="AB12" s="11" t="n">
        <f aca="false">IF(Time!AB17&gt;=Time!$F$11,Inputs!$F$181/100*(AB11-AB10-Tax!AB21),0)</f>
        <v>-39.5200154182362</v>
      </c>
      <c r="AC12" s="11" t="n">
        <f aca="false">IF(Time!AC17&gt;=Time!$F$11,Inputs!$F$181/100*(AC11-AC10-Tax!AC21),0)</f>
        <v>-35.4855563101788</v>
      </c>
      <c r="AD12" s="11" t="n">
        <f aca="false">IF(Time!AD17&gt;=Time!$F$11,Inputs!$F$181/100*(AD11-AD10-Tax!AD21),0)</f>
        <v>-34.4815324473621</v>
      </c>
      <c r="AE12" s="11" t="n">
        <f aca="false">IF(Time!AE17&gt;=Time!$F$11,Inputs!$F$181/100*(AE11-AE10-Tax!AE21),0)</f>
        <v>-30.0136637503789</v>
      </c>
      <c r="AF12" s="11" t="n">
        <f aca="false">IF(Time!AF17&gt;=Time!$F$11,Inputs!$F$181/100*(AF11-AF10-Tax!AF21),0)</f>
        <v>-24.7963667681695</v>
      </c>
      <c r="AG12" s="11" t="n">
        <f aca="false">IF(Time!AG17&gt;=Time!$F$11,Inputs!$F$181/100*(AG11-AG10-Tax!AG21),0)</f>
        <v>-19.0819072577355</v>
      </c>
      <c r="AH12" s="11" t="n">
        <f aca="false">IF(Time!AH17&gt;=Time!$F$11,Inputs!$F$181/100*(AH11-AH10-Tax!AH21),0)</f>
        <v>-12.9202248574673</v>
      </c>
      <c r="AI12" s="11" t="n">
        <f aca="false">IF(Time!AI17&gt;=Time!$F$11,Inputs!$F$181/100*(AI11-AI10-Tax!AI21),0)</f>
        <v>-6.16636632182239</v>
      </c>
      <c r="AJ12" s="11" t="n">
        <f aca="false">IF(Time!AJ17&gt;=Time!$F$11,Inputs!$F$181/100*(AJ11-AJ10-Tax!AJ21),0)</f>
        <v>1.07720123739622</v>
      </c>
      <c r="AK12" s="11" t="n">
        <f aca="false">IF(Time!AK17&gt;=Time!$F$11,Inputs!$F$181/100*(AK11-AK10-Tax!AK21),0)</f>
        <v>8.96302909412297</v>
      </c>
      <c r="AL12" s="11" t="n">
        <f aca="false">IF(Time!AL17&gt;=Time!$F$11,Inputs!$F$181/100*(AL11-AL10-Tax!AL21),0)</f>
        <v>16.5146381858174</v>
      </c>
      <c r="AM12" s="11" t="n">
        <f aca="false">IF(Time!AM17&gt;=Time!$F$11,Inputs!$F$181/100*(AM11-AM10-Tax!AM21),0)</f>
        <v>25.4980940564159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-2.45022372076041</v>
      </c>
      <c r="Z13" s="11" t="n">
        <f aca="false">Z12-Y12</f>
        <v>2.90258337001204</v>
      </c>
      <c r="AA13" s="11" t="n">
        <f aca="false">AA12-Z12</f>
        <v>3.31967403881689</v>
      </c>
      <c r="AB13" s="11" t="n">
        <f aca="false">AB12-AA12</f>
        <v>3.56239782514293</v>
      </c>
      <c r="AC13" s="11" t="n">
        <f aca="false">AC12-AB12</f>
        <v>4.03445910805743</v>
      </c>
      <c r="AD13" s="11" t="n">
        <f aca="false">AD12-AC12</f>
        <v>1.00402386281673</v>
      </c>
      <c r="AE13" s="11" t="n">
        <f aca="false">AE12-AD12</f>
        <v>4.4678686969832</v>
      </c>
      <c r="AF13" s="11" t="n">
        <f aca="false">AF12-AE12</f>
        <v>5.21729698220942</v>
      </c>
      <c r="AG13" s="11" t="n">
        <f aca="false">AG12-AF12</f>
        <v>5.71445951043401</v>
      </c>
      <c r="AH13" s="11" t="n">
        <f aca="false">AH12-AG12</f>
        <v>6.16168240026811</v>
      </c>
      <c r="AI13" s="11" t="n">
        <f aca="false">AI12-AH12</f>
        <v>6.75385853564495</v>
      </c>
      <c r="AJ13" s="11" t="n">
        <f aca="false">AJ12-AI12</f>
        <v>7.24356755921861</v>
      </c>
      <c r="AK13" s="11" t="n">
        <f aca="false">AK12-AJ12</f>
        <v>7.88582785672674</v>
      </c>
      <c r="AL13" s="11" t="n">
        <f aca="false">AL12-AK12</f>
        <v>7.55160909169446</v>
      </c>
      <c r="AM13" s="11" t="n">
        <f aca="false">AM12-AL12</f>
        <v>8.98345587059852</v>
      </c>
      <c r="AN13" s="11" t="n">
        <f aca="false">AN12-AM12</f>
        <v>7.46735610606695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925.716874200419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9.77868877042472</v>
      </c>
      <c r="P14" s="11" t="n">
        <f aca="false">Operations!P79-P8-P9-Tax!P27-P13</f>
        <v>7.38194646043162</v>
      </c>
      <c r="Q14" s="11" t="n">
        <f aca="false">Operations!Q79-Q8-Q9-Tax!Q27-Q13</f>
        <v>7.16183367449639</v>
      </c>
      <c r="R14" s="11" t="n">
        <f aca="false">Operations!R79-R8-R9-Tax!R27-R13</f>
        <v>7.56955610418895</v>
      </c>
      <c r="S14" s="11" t="n">
        <f aca="false">Operations!S79-S8-S9-Tax!S27-S13</f>
        <v>8.79241565046739</v>
      </c>
      <c r="T14" s="11" t="n">
        <f aca="false">Operations!T79-T8-T9-Tax!T27-T13</f>
        <v>9.21346478985501</v>
      </c>
      <c r="U14" s="11" t="n">
        <f aca="false">Operations!U79-U8-U9-Tax!U27-U13</f>
        <v>10.4299018474662</v>
      </c>
      <c r="V14" s="11" t="n">
        <f aca="false">Operations!V79-V8-V9-Tax!V27-V13</f>
        <v>8.69244079931884</v>
      </c>
      <c r="W14" s="11" t="n">
        <f aca="false">Operations!W79-W8-W9-Tax!W27-W13</f>
        <v>12.5011291839562</v>
      </c>
      <c r="X14" s="11" t="n">
        <f aca="false">Operations!X79-X8-X9-Tax!X27-X13</f>
        <v>13.1180752757259</v>
      </c>
      <c r="Y14" s="11" t="n">
        <f aca="false">Operations!Y79-Y8-Y9-Tax!Y27-Y13</f>
        <v>11.2974027711272</v>
      </c>
      <c r="Z14" s="11" t="n">
        <f aca="false">Operations!Z79-Z8-Z9-Tax!Z27-Z13</f>
        <v>6.41720299535452</v>
      </c>
      <c r="AA14" s="11" t="n">
        <f aca="false">Operations!AA79-AA8-AA9-Tax!AA27-AA13</f>
        <v>7.38863952996688</v>
      </c>
      <c r="AB14" s="11" t="n">
        <f aca="false">Operations!AB79-AB8-AB9-Tax!AB27-AB13</f>
        <v>7.95306190716866</v>
      </c>
      <c r="AC14" s="11" t="n">
        <f aca="false">Operations!AC79-AC8-AC9-Tax!AC27-AC13</f>
        <v>9.05364851832081</v>
      </c>
      <c r="AD14" s="11" t="n">
        <f aca="false">Operations!AD79-AD8-AD9-Tax!AD27-AD13</f>
        <v>0.558864303728148</v>
      </c>
      <c r="AE14" s="11" t="n">
        <f aca="false">Operations!AE79-AE8-AE9-Tax!AE27-AE13</f>
        <v>11.4906235407147</v>
      </c>
      <c r="AF14" s="11" t="n">
        <f aca="false">Operations!AF79-AF8-AF9-Tax!AF27-AF13</f>
        <v>11.8076716396668</v>
      </c>
      <c r="AG14" s="11" t="n">
        <f aca="false">Operations!AG79-AG8-AG9-Tax!AG27-AG13</f>
        <v>12.9661110560646</v>
      </c>
      <c r="AH14" s="11" t="n">
        <f aca="false">Operations!AH79-AH8-AH9-Tax!AH27-AH13</f>
        <v>14.008155183862</v>
      </c>
      <c r="AI14" s="11" t="n">
        <f aca="false">Operations!AI79-AI8-AI9-Tax!AI27-AI13</f>
        <v>15.3879669592508</v>
      </c>
      <c r="AJ14" s="11" t="n">
        <f aca="false">Operations!AJ79-AJ8-AJ9-Tax!AJ27-AJ13</f>
        <v>16.5285172933897</v>
      </c>
      <c r="AK14" s="11" t="n">
        <f aca="false">Operations!AK79-AK8-AK9-Tax!AK27-AK13</f>
        <v>18.025833392332</v>
      </c>
      <c r="AL14" s="11" t="n">
        <f aca="false">Operations!AL79-AL8-AL9-Tax!AL27-AL13</f>
        <v>17.2452315783469</v>
      </c>
      <c r="AM14" s="11" t="n">
        <f aca="false">Operations!AM79-AM8-AM9-Tax!AM27-AM13</f>
        <v>20.5838093482073</v>
      </c>
      <c r="AN14" s="11" t="n">
        <f aca="false">Operations!AN79-AN8-AN9-Tax!AN27-AN13</f>
        <v>22.2130303393911</v>
      </c>
      <c r="AO14" s="11" t="n">
        <f aca="false">Operations!AO79-AO8-AO9-Tax!AO27-AO13</f>
        <v>23.5434957453903</v>
      </c>
      <c r="AP14" s="11" t="n">
        <f aca="false">Operations!AP79-AP8-AP9-Tax!AP27-AP13</f>
        <v>25.2522069361165</v>
      </c>
      <c r="AQ14" s="11" t="n">
        <f aca="false">Operations!AQ79-AQ8-AQ9-Tax!AQ27-AQ13</f>
        <v>26.1126496429099</v>
      </c>
      <c r="AR14" s="11" t="n">
        <f aca="false">Operations!AR79-AR8-AR9-Tax!AR27-AR13</f>
        <v>26.1806719645871</v>
      </c>
      <c r="AS14" s="11" t="n">
        <f aca="false">Operations!AS79-AS8-AS9-Tax!AS27-AS13</f>
        <v>26.3604234658657</v>
      </c>
      <c r="AT14" s="11" t="n">
        <f aca="false">Operations!AT79-AT8-AT9-Tax!AT27-AT13</f>
        <v>16.0519053247154</v>
      </c>
      <c r="AU14" s="11" t="n">
        <f aca="false">Operations!AU79-AU8-AU9-Tax!AU27-AU13</f>
        <v>26.6452169113457</v>
      </c>
      <c r="AV14" s="11" t="n">
        <f aca="false">Operations!AV79-AV8-AV9-Tax!AV27-AV13</f>
        <v>26.5747662879706</v>
      </c>
      <c r="AW14" s="11" t="n">
        <f aca="false">Operations!AW79-AW8-AW9-Tax!AW27-AW13</f>
        <v>26.6902197712709</v>
      </c>
      <c r="AX14" s="11" t="n">
        <f aca="false">Operations!AX79-AX8-AX9-Tax!AX27-AX13</f>
        <v>26.8249394586759</v>
      </c>
      <c r="AY14" s="11" t="n">
        <f aca="false">Operations!AY79-AY8-AY9-Tax!AY27-AY13</f>
        <v>26.9114277808981</v>
      </c>
      <c r="AZ14" s="11" t="n">
        <f aca="false">Operations!AZ79-AZ8-AZ9-Tax!AZ27-AZ13</f>
        <v>26.9848287866456</v>
      </c>
      <c r="BA14" s="11" t="n">
        <f aca="false">Operations!BA79-BA8-BA9-Tax!BA27-BA13</f>
        <v>27.1466955706037</v>
      </c>
      <c r="BB14" s="11" t="n">
        <f aca="false">Operations!BB79-BB8-BB9-Tax!BB27-BB13</f>
        <v>24.896363932106</v>
      </c>
      <c r="BC14" s="11" t="n">
        <f aca="false">Operations!BC79-BC8-BC9-Tax!BC27-BC13</f>
        <v>27.4211309982796</v>
      </c>
      <c r="BD14" s="11" t="n">
        <f aca="false">Operations!BD79-BD8-BD9-Tax!BD27-BD13</f>
        <v>27.4115150558443</v>
      </c>
      <c r="BE14" s="11" t="n">
        <f aca="false">Operations!BE79-BE8-BE9-Tax!BE27-BE13</f>
        <v>27.5363460238005</v>
      </c>
      <c r="BF14" s="11" t="n">
        <f aca="false">Operations!BF79-BF8-BF9-Tax!BF27-BF13</f>
        <v>27.6837076038329</v>
      </c>
      <c r="BG14" s="11" t="n">
        <f aca="false">Operations!BG79-BG8-BG9-Tax!BG27-BG13</f>
        <v>27.7763031039155</v>
      </c>
      <c r="BH14" s="11" t="n">
        <f aca="false">Operations!BH79-BH8-BH9-Tax!BH27-BH13</f>
        <v>27.8555079401187</v>
      </c>
      <c r="BI14" s="11" t="n">
        <f aca="false">Operations!BI79-BI8-BI9-Tax!BI27-BI13</f>
        <v>28.0701250949518</v>
      </c>
      <c r="BJ14" s="11" t="n">
        <f aca="false">Operations!BJ79-BJ8-BJ9-Tax!BJ27-BJ13</f>
        <v>15.8857342672012</v>
      </c>
      <c r="BK14" s="11" t="n">
        <f aca="false">Operations!BK79-BK8-BK9-Tax!BK27-BK13</f>
        <v>28.4093500880614</v>
      </c>
      <c r="BL14" s="11" t="n">
        <f aca="false">Operations!BL79-BL8-BL9-Tax!BL27-BL13</f>
        <v>28.3175186784069</v>
      </c>
      <c r="BM14" s="11" t="n">
        <f aca="false">Operations!BM79-BM8-BM9-Tax!BM27-BM13</f>
        <v>5.60860085368141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39.0779650771115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39.9469649880811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40.0062112631609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40.8208068829956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40.9966065569362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42.0982692877658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39.2657193975113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38.1387094828572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39.6863497270386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41.9292372893861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43.5357760470411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45.9029223586002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47.0111424184021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49.5098092186008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36.8525031171836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35.8592987654913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34.7990770098838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34.2161338065026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32.7608713935258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31.4434663244317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29.2011892489599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26.6657257101708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23.3984025110587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19.0235505071657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21.2000554390818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49.3046706522081</v>
      </c>
      <c r="Z20" s="11" t="n">
        <f aca="false">MAX(0,-Z12)</f>
        <v>46.4020872821961</v>
      </c>
      <c r="AA20" s="11" t="n">
        <f aca="false">MAX(0,-AA12)</f>
        <v>43.0824132433792</v>
      </c>
      <c r="AB20" s="11" t="n">
        <f aca="false">MAX(0,-AB12)</f>
        <v>39.5200154182362</v>
      </c>
      <c r="AC20" s="11" t="n">
        <f aca="false">MAX(0,-AC12)</f>
        <v>35.4855563101788</v>
      </c>
      <c r="AD20" s="11" t="n">
        <f aca="false">MAX(0,-AD12)</f>
        <v>34.4815324473621</v>
      </c>
      <c r="AE20" s="11" t="n">
        <f aca="false">MAX(0,-AE12)</f>
        <v>30.0136637503789</v>
      </c>
      <c r="AF20" s="11" t="n">
        <f aca="false">MAX(0,-AF12)</f>
        <v>24.7963667681695</v>
      </c>
      <c r="AG20" s="11" t="n">
        <f aca="false">MAX(0,-AG12)</f>
        <v>19.0819072577355</v>
      </c>
      <c r="AH20" s="11" t="n">
        <f aca="false">MAX(0,-AH12)</f>
        <v>12.9202248574673</v>
      </c>
      <c r="AI20" s="11" t="n">
        <f aca="false">MAX(0,-AI12)</f>
        <v>6.16636632182239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904.47554042314</v>
      </c>
      <c r="Q21" s="11" t="n">
        <f aca="false">Q16+Q17+Q18+Q19+Q20</f>
        <v>894.663828464646</v>
      </c>
      <c r="R21" s="11" t="n">
        <f aca="false">R16+R17+R18+R19+R20</f>
        <v>882.332270520356</v>
      </c>
      <c r="S21" s="11" t="n">
        <f aca="false">S16+S17+S18+S19+S20</f>
        <v>872.620081951408</v>
      </c>
      <c r="T21" s="11" t="n">
        <f aca="false">T16+T17+T18+T19+T20</f>
        <v>860.680402615754</v>
      </c>
      <c r="U21" s="11" t="n">
        <f aca="false">U16+U17+U18+U19+U20</f>
        <v>850.738513109651</v>
      </c>
      <c r="V21" s="11" t="n">
        <f aca="false">V16+V17+V18+V19+V20</f>
        <v>835.336634647827</v>
      </c>
      <c r="W21" s="11" t="n">
        <f aca="false">W16+W17+W18+W19+W20</f>
        <v>823.895147354032</v>
      </c>
      <c r="X21" s="11" t="n">
        <f aca="false">X16+X17+X18+X19+X20</f>
        <v>813.70127262359</v>
      </c>
      <c r="Y21" s="11" t="n">
        <f aca="false">Y16+Y17+Y18+Y19+Y20</f>
        <v>802.763569755817</v>
      </c>
      <c r="Z21" s="11" t="n">
        <f aca="false">Z16+Z17+Z18+Z19+Z20</f>
        <v>784.015199676314</v>
      </c>
      <c r="AA21" s="11" t="n">
        <f aca="false">AA16+AA17+AA18+AA19+AA20</f>
        <v>767.598112321548</v>
      </c>
      <c r="AB21" s="11" t="n">
        <f aca="false">AB16+AB17+AB18+AB19+AB20</f>
        <v>747.988959816182</v>
      </c>
      <c r="AC21" s="11" t="n">
        <f aca="false">AC16+AC17+AC18+AC19+AC20</f>
        <v>730.267747586512</v>
      </c>
      <c r="AD21" s="11" t="n">
        <f aca="false">AD16+AD17+AD18+AD19+AD20</f>
        <v>698.403417325957</v>
      </c>
      <c r="AE21" s="11" t="n">
        <f aca="false">AE16+AE17+AE18+AE19+AE20</f>
        <v>678.085604638553</v>
      </c>
      <c r="AF21" s="11" t="n">
        <f aca="false">AF16+AF17+AF18+AF19+AF20</f>
        <v>655.399088307981</v>
      </c>
      <c r="AG21" s="11" t="n">
        <f aca="false">AG16+AG17+AG18+AG19+AG20</f>
        <v>633.546528816233</v>
      </c>
      <c r="AH21" s="11" t="n">
        <f aca="false">AH16+AH17+AH18+AH19+AH20</f>
        <v>608.432533051648</v>
      </c>
      <c r="AI21" s="11" t="n">
        <f aca="false">AI16+AI17+AI18+AI19+AI20</f>
        <v>584.985674593109</v>
      </c>
      <c r="AJ21" s="11" t="n">
        <f aca="false">AJ16+AJ17+AJ18+AJ19+AJ20</f>
        <v>559.40110551186</v>
      </c>
      <c r="AK21" s="11" t="n">
        <f aca="false">AK16+AK17+AK18+AK19+AK20</f>
        <v>540.895861142467</v>
      </c>
      <c r="AL21" s="11" t="n">
        <f aca="false">AL16+AL17+AL18+AL19+AL20</f>
        <v>519.914722570414</v>
      </c>
      <c r="AM21" s="11" t="n">
        <f aca="false">AM16+AM17+AM18+AM19+AM20</f>
        <v>500.411942673219</v>
      </c>
      <c r="AN21" s="11" t="n">
        <f aca="false">AN16+AN17+AN18+AN19+AN20</f>
        <v>485.848660664939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401.096790041144</v>
      </c>
      <c r="AB22" s="11" t="n">
        <f aca="false">IF(Time!AB17&lt;Time!$F$11,SUMIFS(Funding!$J$73:$BJ$73,Construction!$J$12:$BJ$12,"&lt;="&amp;Time!AB17),Debt!AB123)</f>
        <v>372.102907888628</v>
      </c>
      <c r="AC22" s="11" t="n">
        <f aca="false">IF(Time!AC17&lt;Time!$F$11,SUMIFS(Funding!$J$73:$BJ$73,Construction!$J$12:$BJ$12,"&lt;="&amp;Time!AC17),Debt!AC123)</f>
        <v>343.069501578137</v>
      </c>
      <c r="AD22" s="11" t="n">
        <f aca="false">IF(Time!AD17&lt;Time!$F$11,SUMIFS(Funding!$J$73:$BJ$73,Construction!$J$12:$BJ$12,"&lt;="&amp;Time!AD17),Debt!AD123)</f>
        <v>311.031921371228</v>
      </c>
      <c r="AE22" s="11" t="n">
        <f aca="false">IF(Time!AE17&lt;Time!$F$11,SUMIFS(Funding!$J$73:$BJ$73,Construction!$J$12:$BJ$12,"&lt;="&amp;Time!AE17),Debt!AE123)</f>
        <v>277.914929532265</v>
      </c>
      <c r="AF22" s="11" t="n">
        <f aca="false">IF(Time!AF17&lt;Time!$F$11,SUMIFS(Funding!$J$73:$BJ$73,Construction!$J$12:$BJ$12,"&lt;="&amp;Time!AF17),Debt!AF123)</f>
        <v>243.73944884964</v>
      </c>
      <c r="AG22" s="11" t="n">
        <f aca="false">IF(Time!AG17&lt;Time!$F$11,SUMIFS(Funding!$J$73:$BJ$73,Construction!$J$12:$BJ$12,"&lt;="&amp;Time!AG17),Debt!AG123)</f>
        <v>209.556857466478</v>
      </c>
      <c r="AH22" s="11" t="n">
        <f aca="false">IF(Time!AH17&lt;Time!$F$11,SUMIFS(Funding!$J$73:$BJ$73,Construction!$J$12:$BJ$12,"&lt;="&amp;Time!AH17),Debt!AH123)</f>
        <v>173.871450847701</v>
      </c>
      <c r="AI22" s="11" t="n">
        <f aca="false">IF(Time!AI17&lt;Time!$F$11,SUMIFS(Funding!$J$73:$BJ$73,Construction!$J$12:$BJ$12,"&lt;="&amp;Time!AI17),Debt!AI123)</f>
        <v>138.07301540943</v>
      </c>
      <c r="AJ22" s="11" t="n">
        <f aca="false">IF(Time!AJ17&lt;Time!$F$11,SUMIFS(Funding!$J$73:$BJ$73,Construction!$J$12:$BJ$12,"&lt;="&amp;Time!AJ17),Debt!AJ123)</f>
        <v>101.209618192931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201.179800013038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199.609753880003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197.133093507459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195.17571433348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192.473880536789</v>
      </c>
      <c r="U23" s="11" t="n">
        <f aca="false">IF(Time!U17&lt;Time!$F$11,SUMIFS(Funding!$J$70:$BJ$70,Construction!$J$12:$BJ$12,"&lt;="&amp;Time!U17)+SUMIFS(Funding!$J$71:$BJ$71,Construction!$J$12:$BJ$12,"&lt;="&amp;Time!U17),Waterfall!U36)</f>
        <v>190.471566141685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187.170354795926</v>
      </c>
      <c r="W23" s="11" t="n">
        <f aca="false">IF(Time!W17&lt;Time!$F$11,SUMIFS(Funding!$J$70:$BJ$70,Construction!$J$12:$BJ$12,"&lt;="&amp;Time!W17)+SUMIFS(Funding!$J$71:$BJ$71,Construction!$J$12:$BJ$12,"&lt;="&amp;Time!W17),Waterfall!W36)</f>
        <v>182.795225745708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179.411798056718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176.477537071275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172.770327062621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175.227798295173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176.885742127835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178.820147366827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179.556813073586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179.529880418901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178.692075906442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177.189999107182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174.319014384184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170.2403106269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164.158029559979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140.343988632549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116.971180207517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88.6054899163014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62.3093307599399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23.2570972994465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24.743857750018</v>
      </c>
      <c r="R24" s="11" t="n">
        <f aca="false">Operations!R85+Operations!R86+Operations!R87+Operations!R88+Operations!R89</f>
        <v>24.2599654195137</v>
      </c>
      <c r="S24" s="11" t="n">
        <f aca="false">Operations!S85+Operations!S86+Operations!S87+Operations!S88+Operations!S89</f>
        <v>25.1525126563782</v>
      </c>
      <c r="T24" s="11" t="n">
        <f aca="false">Operations!T85+Operations!T86+Operations!T87+Operations!T88+Operations!T89</f>
        <v>24.9431978853216</v>
      </c>
      <c r="U24" s="11" t="n">
        <f aca="false">Operations!U85+Operations!U86+Operations!U87+Operations!U88+Operations!U89</f>
        <v>25.3974858364738</v>
      </c>
      <c r="V24" s="11" t="n">
        <f aca="false">Operations!V85+Operations!V86+Operations!V87+Operations!V88+Operations!V89</f>
        <v>24.6578860928367</v>
      </c>
      <c r="W24" s="11" t="n">
        <f aca="false">Operations!W85+Operations!W86+Operations!W87+Operations!W88+Operations!W89</f>
        <v>25.7569302744051</v>
      </c>
      <c r="X24" s="11" t="n">
        <f aca="false">Operations!X85+Operations!X86+Operations!X87+Operations!X88+Operations!X89</f>
        <v>25.9212834929621</v>
      </c>
      <c r="Y24" s="11" t="n">
        <f aca="false">Operations!Y85+Operations!Y86+Operations!Y87+Operations!Y88+Operations!Y89</f>
        <v>26.722769067278</v>
      </c>
      <c r="Z24" s="11" t="n">
        <f aca="false">Operations!Z85+Operations!Z86+Operations!Z87+Operations!Z88+Operations!Z89</f>
        <v>26.199534659376</v>
      </c>
      <c r="AA24" s="11" t="n">
        <f aca="false">Operations!AA85+Operations!AA86+Operations!AA87+Operations!AA88+Operations!AA89</f>
        <v>27.1640726156399</v>
      </c>
      <c r="AB24" s="11" t="n">
        <f aca="false">Operations!AB85+Operations!AB86+Operations!AB87+Operations!AB88+Operations!AB89</f>
        <v>26.9377965229593</v>
      </c>
      <c r="AC24" s="11" t="n">
        <f aca="false">Operations!AC85+Operations!AC86+Operations!AC87+Operations!AC88+Operations!AC89</f>
        <v>27.2619368464678</v>
      </c>
      <c r="AD24" s="11" t="n">
        <f aca="false">Operations!AD85+Operations!AD86+Operations!AD87+Operations!AD88+Operations!AD89</f>
        <v>26.139656782334</v>
      </c>
      <c r="AE24" s="11" t="n">
        <f aca="false">Operations!AE85+Operations!AE86+Operations!AE87+Operations!AE88+Operations!AE89</f>
        <v>27.4751450478633</v>
      </c>
      <c r="AF24" s="11" t="n">
        <f aca="false">Operations!AF85+Operations!AF86+Operations!AF87+Operations!AF88+Operations!AF89</f>
        <v>27.9942422727087</v>
      </c>
      <c r="AG24" s="11" t="n">
        <f aca="false">Operations!AG85+Operations!AG86+Operations!AG87+Operations!AG88+Operations!AG89</f>
        <v>28.8602399073182</v>
      </c>
      <c r="AH24" s="11" t="n">
        <f aca="false">Operations!AH85+Operations!AH86+Operations!AH87+Operations!AH88+Operations!AH89</f>
        <v>28.2944803006464</v>
      </c>
      <c r="AI24" s="11" t="n">
        <f aca="false">Operations!AI85+Operations!AI86+Operations!AI87+Operations!AI88+Operations!AI89</f>
        <v>29.3367940784108</v>
      </c>
      <c r="AJ24" s="11" t="n">
        <f aca="false">Operations!AJ85+Operations!AJ86+Operations!AJ87+Operations!AJ88+Operations!AJ89</f>
        <v>29.0921847497958</v>
      </c>
      <c r="AK24" s="11" t="n">
        <f aca="false">Operations!AK85+Operations!AK86+Operations!AK87+Operations!AK88+Operations!AK89</f>
        <v>29.6218707145224</v>
      </c>
      <c r="AL24" s="11" t="n">
        <f aca="false">Operations!AL85+Operations!AL86+Operations!AL87+Operations!AL88+Operations!AL89</f>
        <v>28.7570864814343</v>
      </c>
      <c r="AM24" s="11" t="n">
        <f aca="false">Operations!AM85+Operations!AM86+Operations!AM87+Operations!AM88+Operations!AM89</f>
        <v>30.0408344605258</v>
      </c>
      <c r="AN24" s="11" t="n">
        <f aca="false">Operations!AN85+Operations!AN86+Operations!AN87+Operations!AN88+Operations!AN89</f>
        <v>30.2332489489033</v>
      </c>
      <c r="AO24" s="11" t="n">
        <f aca="false">Operations!AO85+Operations!AO86+Operations!AO87+Operations!AO88+Operations!AO89</f>
        <v>31.1689343564011</v>
      </c>
      <c r="AP24" s="11" t="n">
        <f aca="false">Operations!AP85+Operations!AP86+Operations!AP87+Operations!AP88+Operations!AP89</f>
        <v>30.5572110233702</v>
      </c>
      <c r="AQ24" s="11" t="n">
        <f aca="false">Operations!AQ85+Operations!AQ86+Operations!AQ87+Operations!AQ88+Operations!AQ89</f>
        <v>31.6835476594038</v>
      </c>
      <c r="AR24" s="11" t="n">
        <f aca="false">Operations!AR85+Operations!AR86+Operations!AR87+Operations!AR88+Operations!AR89</f>
        <v>31.4191232164055</v>
      </c>
      <c r="AS24" s="11" t="n">
        <f aca="false">Operations!AS85+Operations!AS86+Operations!AS87+Operations!AS88+Operations!AS89</f>
        <v>31.7964704147147</v>
      </c>
      <c r="AT24" s="11" t="n">
        <f aca="false">Operations!AT85+Operations!AT86+Operations!AT87+Operations!AT88+Operations!AT89</f>
        <v>30.484448469376</v>
      </c>
      <c r="AU24" s="11" t="n">
        <f aca="false">Operations!AU85+Operations!AU86+Operations!AU87+Operations!AU88+Operations!AU89</f>
        <v>32.0443147408864</v>
      </c>
      <c r="AV24" s="11" t="n">
        <f aca="false">Operations!AV85+Operations!AV86+Operations!AV87+Operations!AV88+Operations!AV89</f>
        <v>32.6515617060015</v>
      </c>
      <c r="AW24" s="11" t="n">
        <f aca="false">Operations!AW85+Operations!AW86+Operations!AW87+Operations!AW88+Operations!AW89</f>
        <v>33.6625232797777</v>
      </c>
      <c r="AX24" s="11" t="n">
        <f aca="false">Operations!AX85+Operations!AX86+Operations!AX87+Operations!AX88+Operations!AX89</f>
        <v>33.0011219807664</v>
      </c>
      <c r="AY24" s="11" t="n">
        <f aca="false">Operations!AY85+Operations!AY86+Operations!AY87+Operations!AY88+Operations!AY89</f>
        <v>34.2182270547156</v>
      </c>
      <c r="AZ24" s="11" t="n">
        <f aca="false">Operations!AZ85+Operations!AZ86+Operations!AZ87+Operations!AZ88+Operations!AZ89</f>
        <v>33.9323869288598</v>
      </c>
      <c r="BA24" s="11" t="n">
        <f aca="false">Operations!BA85+Operations!BA86+Operations!BA87+Operations!BA88+Operations!BA89</f>
        <v>34.5499587648757</v>
      </c>
      <c r="BB24" s="11" t="n">
        <f aca="false">Operations!BB85+Operations!BB86+Operations!BB87+Operations!BB88+Operations!BB89</f>
        <v>33.5389517240444</v>
      </c>
      <c r="BC24" s="11" t="n">
        <f aca="false">Operations!BC85+Operations!BC86+Operations!BC87+Operations!BC88+Operations!BC89</f>
        <v>35.0382945229914</v>
      </c>
      <c r="BD24" s="11" t="n">
        <f aca="false">Operations!BD85+Operations!BD86+Operations!BD87+Operations!BD88+Operations!BD89</f>
        <v>35.2634924018826</v>
      </c>
      <c r="BE24" s="11" t="n">
        <f aca="false">Operations!BE85+Operations!BE86+Operations!BE87+Operations!BE88+Operations!BE89</f>
        <v>36.3557638775137</v>
      </c>
      <c r="BF24" s="11" t="n">
        <f aca="false">Operations!BF85+Operations!BF86+Operations!BF87+Operations!BF88+Operations!BF89</f>
        <v>35.6406727572552</v>
      </c>
      <c r="BG24" s="11" t="n">
        <f aca="false">Operations!BG85+Operations!BG86+Operations!BG87+Operations!BG88+Operations!BG89</f>
        <v>36.9558298755099</v>
      </c>
      <c r="BH24" s="11" t="n">
        <f aca="false">Operations!BH85+Operations!BH86+Operations!BH87+Operations!BH88+Operations!BH89</f>
        <v>36.6468453978323</v>
      </c>
      <c r="BI24" s="11" t="n">
        <f aca="false">Operations!BI85+Operations!BI86+Operations!BI87+Operations!BI88+Operations!BI89</f>
        <v>37.0861360234859</v>
      </c>
      <c r="BJ24" s="11" t="n">
        <f aca="false">Operations!BJ85+Operations!BJ86+Operations!BJ87+Operations!BJ88+Operations!BJ89</f>
        <v>35.5525198700651</v>
      </c>
      <c r="BK24" s="11" t="n">
        <f aca="false">Operations!BK85+Operations!BK86+Operations!BK87+Operations!BK88+Operations!BK89</f>
        <v>37.3742725786475</v>
      </c>
      <c r="BL24" s="11" t="n">
        <f aca="false">Operations!BL85+Operations!BL86+Operations!BL87+Operations!BL88+Operations!BL89</f>
        <v>38.0844898012039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1.07720123739622</v>
      </c>
      <c r="AK25" s="11" t="n">
        <f aca="false">MAX(0,AK12)</f>
        <v>8.96302909412297</v>
      </c>
      <c r="AL25" s="11" t="n">
        <f aca="false">MAX(0,AL12)</f>
        <v>16.5146381858174</v>
      </c>
      <c r="AM25" s="11" t="n">
        <f aca="false">MAX(0,AM12)</f>
        <v>25.4980940564159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24.3224689053527</v>
      </c>
      <c r="R27" s="16" t="n">
        <f aca="false">Waterfall!R43</f>
        <v>31.8920250095417</v>
      </c>
      <c r="S27" s="16" t="n">
        <f aca="false">Waterfall!S43</f>
        <v>40.6844406600091</v>
      </c>
      <c r="T27" s="16" t="n">
        <f aca="false">Waterfall!T43</f>
        <v>49.8979054498641</v>
      </c>
      <c r="U27" s="16" t="n">
        <f aca="false">Waterfall!U43</f>
        <v>60.3278072973303</v>
      </c>
      <c r="V27" s="16" t="n">
        <f aca="false">Waterfall!V43</f>
        <v>69.0202480966491</v>
      </c>
      <c r="W27" s="16" t="n">
        <f aca="false">Waterfall!W43</f>
        <v>81.5213772806053</v>
      </c>
      <c r="X27" s="16" t="n">
        <f aca="false">Waterfall!X43</f>
        <v>94.6394525563312</v>
      </c>
      <c r="Y27" s="16" t="n">
        <f aca="false">Waterfall!Y43</f>
        <v>105.936855327458</v>
      </c>
      <c r="Z27" s="16" t="n">
        <f aca="false">Waterfall!Z43</f>
        <v>112.354058322813</v>
      </c>
      <c r="AA27" s="16" t="n">
        <f aca="false">Waterfall!AA43</f>
        <v>119.74269785278</v>
      </c>
      <c r="AB27" s="16" t="n">
        <f aca="false">Waterfall!AB43</f>
        <v>127.695759759948</v>
      </c>
      <c r="AC27" s="16" t="n">
        <f aca="false">Waterfall!AC43</f>
        <v>136.749408278269</v>
      </c>
      <c r="AD27" s="16" t="n">
        <f aca="false">Waterfall!AD43</f>
        <v>137.308272581997</v>
      </c>
      <c r="AE27" s="16" t="n">
        <f aca="false">Waterfall!AE43</f>
        <v>148.798896122712</v>
      </c>
      <c r="AF27" s="16" t="n">
        <f aca="false">Waterfall!AF43</f>
        <v>160.606567762379</v>
      </c>
      <c r="AG27" s="16" t="n">
        <f aca="false">Waterfall!AG43</f>
        <v>173.572678818444</v>
      </c>
      <c r="AH27" s="16" t="n">
        <f aca="false">Waterfall!AH43</f>
        <v>187.580834002306</v>
      </c>
      <c r="AI27" s="16" t="n">
        <f aca="false">Waterfall!AI43</f>
        <v>202.968800961556</v>
      </c>
      <c r="AJ27" s="16" t="n">
        <f aca="false">Waterfall!AJ43</f>
        <v>219.497318254946</v>
      </c>
      <c r="AK27" s="16" t="n">
        <f aca="false">Waterfall!AK43</f>
        <v>237.523151647278</v>
      </c>
      <c r="AL27" s="16" t="n">
        <f aca="false">Waterfall!AL43</f>
        <v>254.768383225625</v>
      </c>
      <c r="AM27" s="16" t="n">
        <f aca="false">Waterfall!AM43</f>
        <v>275.352192573832</v>
      </c>
      <c r="AN27" s="16" t="n">
        <f aca="false">Waterfall!AN43</f>
        <v>297.565222913223</v>
      </c>
      <c r="AO27" s="16" t="n">
        <f aca="false">Waterfall!AO43</f>
        <v>321.108718658614</v>
      </c>
      <c r="AP27" s="16" t="n">
        <f aca="false">Waterfall!AP43</f>
        <v>328.77603947434</v>
      </c>
      <c r="AQ27" s="16" t="n">
        <f aca="false">Waterfall!AQ43</f>
        <v>313.714089783177</v>
      </c>
      <c r="AR27" s="16" t="n">
        <f aca="false">Waterfall!AR43</f>
        <v>298.123800916729</v>
      </c>
      <c r="AS27" s="16" t="n">
        <f aca="false">Waterfall!AS43</f>
        <v>282.978611470769</v>
      </c>
      <c r="AT27" s="16" t="n">
        <f aca="false">Waterfall!AT43</f>
        <v>250.791823764192</v>
      </c>
      <c r="AU27" s="16" t="n">
        <f aca="false">Waterfall!AU43</f>
        <v>233.635519935914</v>
      </c>
      <c r="AV27" s="16" t="n">
        <f aca="false">Waterfall!AV43</f>
        <v>216.285266680756</v>
      </c>
      <c r="AW27" s="16" t="n">
        <f aca="false">Waterfall!AW43</f>
        <v>199.474851696834</v>
      </c>
      <c r="AX27" s="16" t="n">
        <f aca="false">Waterfall!AX43</f>
        <v>182.124316369977</v>
      </c>
      <c r="AY27" s="16" t="n">
        <f aca="false">Waterfall!AY43</f>
        <v>165.317191851896</v>
      </c>
      <c r="AZ27" s="16" t="n">
        <f aca="false">Waterfall!AZ43</f>
        <v>147.96557819966</v>
      </c>
      <c r="BA27" s="16" t="n">
        <f aca="false">Waterfall!BA43</f>
        <v>131.568444049442</v>
      </c>
      <c r="BB27" s="16" t="n">
        <f aca="false">Waterfall!BB43</f>
        <v>111.67999825487</v>
      </c>
      <c r="BC27" s="16" t="n">
        <f aca="false">Waterfall!BC43</f>
        <v>97.7318221903982</v>
      </c>
      <c r="BD27" s="16" t="n">
        <f aca="false">Waterfall!BD43</f>
        <v>89.8897839692383</v>
      </c>
      <c r="BE27" s="16" t="n">
        <f aca="false">Waterfall!BE43</f>
        <v>82.6223382422656</v>
      </c>
      <c r="BF27" s="16" t="n">
        <f aca="false">Waterfall!BF43</f>
        <v>74.8149197117576</v>
      </c>
      <c r="BG27" s="16" t="n">
        <f aca="false">Waterfall!BG43</f>
        <v>67.5848814330648</v>
      </c>
      <c r="BH27" s="16" t="n">
        <f aca="false">Waterfall!BH43</f>
        <v>59.8102249018336</v>
      </c>
      <c r="BI27" s="16" t="n">
        <f aca="false">Waterfall!BI43</f>
        <v>52.5288168313341</v>
      </c>
      <c r="BJ27" s="16" t="n">
        <f aca="false">Waterfall!BJ43</f>
        <v>25.0569291745699</v>
      </c>
      <c r="BK27" s="16" t="n">
        <f aca="false">Waterfall!BK43</f>
        <v>15.3762162684429</v>
      </c>
      <c r="BL27" s="16" t="n">
        <f aca="false">Waterfall!BL43</f>
        <v>4.87363325991676</v>
      </c>
      <c r="BM27" s="16" t="n">
        <f aca="false">Waterfall!BM43</f>
        <v>-44.3667535168115</v>
      </c>
      <c r="BN27" s="16" t="n">
        <f aca="false">Waterfall!BN43</f>
        <v>-44.3667535168115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904.47554042314</v>
      </c>
      <c r="Q28" s="11" t="n">
        <f aca="false">Q22+Q23+Q24+Q25+Q26+Q27</f>
        <v>894.663828464646</v>
      </c>
      <c r="R28" s="11" t="n">
        <f aca="false">R22+R23+R24+R25+R26+R27</f>
        <v>882.332270520356</v>
      </c>
      <c r="S28" s="11" t="n">
        <f aca="false">S22+S23+S24+S25+S26+S27</f>
        <v>872.620081951408</v>
      </c>
      <c r="T28" s="11" t="n">
        <f aca="false">T22+T23+T24+T25+T26+T27</f>
        <v>860.680402615754</v>
      </c>
      <c r="U28" s="11" t="n">
        <f aca="false">U22+U23+U24+U25+U26+U27</f>
        <v>850.738513109651</v>
      </c>
      <c r="V28" s="11" t="n">
        <f aca="false">V22+V23+V24+V25+V26+V27</f>
        <v>835.336634647826</v>
      </c>
      <c r="W28" s="11" t="n">
        <f aca="false">W22+W23+W24+W25+W26+W27</f>
        <v>823.895147354032</v>
      </c>
      <c r="X28" s="11" t="n">
        <f aca="false">X22+X23+X24+X25+X26+X27</f>
        <v>813.701272623589</v>
      </c>
      <c r="Y28" s="11" t="n">
        <f aca="false">Y22+Y23+Y24+Y25+Y26+Y27</f>
        <v>802.763569755817</v>
      </c>
      <c r="Z28" s="11" t="n">
        <f aca="false">Z22+Z23+Z24+Z25+Z26+Z27</f>
        <v>784.015199676314</v>
      </c>
      <c r="AA28" s="11" t="n">
        <f aca="false">AA22+AA23+AA24+AA25+AA26+AA27</f>
        <v>767.598112321548</v>
      </c>
      <c r="AB28" s="11" t="n">
        <f aca="false">AB22+AB23+AB24+AB25+AB26+AB27</f>
        <v>747.988959816182</v>
      </c>
      <c r="AC28" s="11" t="n">
        <f aca="false">AC22+AC23+AC24+AC25+AC26+AC27</f>
        <v>730.267747586512</v>
      </c>
      <c r="AD28" s="11" t="n">
        <f aca="false">AD22+AD23+AD24+AD25+AD26+AD27</f>
        <v>698.403417325957</v>
      </c>
      <c r="AE28" s="11" t="n">
        <f aca="false">AE22+AE23+AE24+AE25+AE26+AE27</f>
        <v>678.085604638553</v>
      </c>
      <c r="AF28" s="11" t="n">
        <f aca="false">AF22+AF23+AF24+AF25+AF26+AF27</f>
        <v>655.399088307981</v>
      </c>
      <c r="AG28" s="11" t="n">
        <f aca="false">AG22+AG23+AG24+AG25+AG26+AG27</f>
        <v>633.546528816233</v>
      </c>
      <c r="AH28" s="11" t="n">
        <f aca="false">AH22+AH23+AH24+AH25+AH26+AH27</f>
        <v>608.432533051648</v>
      </c>
      <c r="AI28" s="11" t="n">
        <f aca="false">AI22+AI23+AI24+AI25+AI26+AI27</f>
        <v>584.985674593108</v>
      </c>
      <c r="AJ28" s="11" t="n">
        <f aca="false">AJ22+AJ23+AJ24+AJ25+AJ26+AJ27</f>
        <v>559.40110551186</v>
      </c>
      <c r="AK28" s="11" t="n">
        <f aca="false">AK22+AK23+AK24+AK25+AK26+AK27</f>
        <v>540.895861142467</v>
      </c>
      <c r="AL28" s="11" t="n">
        <f aca="false">AL22+AL23+AL24+AL25+AL26+AL27</f>
        <v>519.914722570414</v>
      </c>
      <c r="AM28" s="11" t="n">
        <f aca="false">AM22+AM23+AM24+AM25+AM26+AM27</f>
        <v>500.411942673218</v>
      </c>
      <c r="AN28" s="11" t="n">
        <f aca="false">AN22+AN23+AN24+AN25+AN26+AN27</f>
        <v>485.848660664939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90.5042854768518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0.0364481388446553</v>
      </c>
      <c r="R7" s="14" t="n">
        <f aca="false">IF(Debt!R122&gt;0.000000001,Debt!R119/Debt!R122,0)</f>
        <v>0.0368568704278608</v>
      </c>
      <c r="S7" s="14" t="n">
        <f aca="false">IF(Debt!S122&gt;0.000000001,Debt!S119/Debt!S122,0)</f>
        <v>0.0364603172397468</v>
      </c>
      <c r="T7" s="14" t="n">
        <f aca="false">IF(Debt!T122&gt;0.000000001,Debt!T119/Debt!T122,0)</f>
        <v>0.0368692506748047</v>
      </c>
      <c r="U7" s="14" t="n">
        <f aca="false">IF(Debt!U122&gt;0.000000001,Debt!U119/Debt!U122,0)</f>
        <v>0.0365966283847661</v>
      </c>
      <c r="V7" s="14" t="n">
        <f aca="false">IF(Debt!V122&gt;0.000000001,Debt!V119/Debt!V122,0)</f>
        <v>0.0368692506748047</v>
      </c>
      <c r="W7" s="14" t="n">
        <f aca="false">IF(Debt!W122&gt;0.000000001,Debt!W119/Debt!W122,0)</f>
        <v>0.0364603172397468</v>
      </c>
      <c r="X7" s="14" t="n">
        <f aca="false">IF(Debt!X122&gt;0.000000001,Debt!X119/Debt!X122,0)</f>
        <v>0.0368692506748047</v>
      </c>
      <c r="Y7" s="14" t="n">
        <f aca="false">IF(Debt!Y122&gt;0.000000001,Debt!Y119/Debt!Y122,0)</f>
        <v>0.0375217369928333</v>
      </c>
      <c r="Z7" s="14" t="n">
        <f aca="false">IF(Debt!Z122&gt;0.000000001,Debt!Z119/Debt!Z122,0)</f>
        <v>0.0379482630204837</v>
      </c>
      <c r="AA7" s="14" t="n">
        <f aca="false">IF(Debt!AA122&gt;0.000000001,Debt!AA119/Debt!AA122,0)</f>
        <v>0.0375217369928333</v>
      </c>
      <c r="AB7" s="14" t="n">
        <f aca="false">IF(Debt!AB122&gt;0.000000001,Debt!AB119/Debt!AB122,0)</f>
        <v>0.0376299784077814</v>
      </c>
      <c r="AC7" s="14" t="n">
        <f aca="false">IF(Debt!AC122&gt;0.000000001,Debt!AC119/Debt!AC122,0)</f>
        <v>0.036945359602157</v>
      </c>
      <c r="AD7" s="14" t="n">
        <f aca="false">IF(Debt!AD122&gt;0.000000001,Debt!AD119/Debt!AD122,0)</f>
        <v>0.0367817850873652</v>
      </c>
      <c r="AE7" s="14" t="n">
        <f aca="false">IF(Debt!AE122&gt;0.000000001,Debt!AE119/Debt!AE122,0)</f>
        <v>0.0358042482366117</v>
      </c>
      <c r="AF7" s="14" t="n">
        <f aca="false">IF(Debt!AF122&gt;0.000000001,Debt!AF119/Debt!AF122,0)</f>
        <v>0.0354471435994745</v>
      </c>
      <c r="AG7" s="14" t="n">
        <f aca="false">IF(Debt!AG122&gt;0.000000001,Debt!AG119/Debt!AG122,0)</f>
        <v>0.0349343198530879</v>
      </c>
      <c r="AH7" s="14" t="n">
        <f aca="false">IF(Debt!AH122&gt;0.000000001,Debt!AH119/Debt!AH122,0)</f>
        <v>0.0339637743918206</v>
      </c>
      <c r="AI7" s="14" t="n">
        <f aca="false">IF(Debt!AI122&gt;0.000000001,Debt!AI119/Debt!AI122,0)</f>
        <v>0.031775414666119</v>
      </c>
      <c r="AJ7" s="14" t="n">
        <f aca="false">IF(Debt!AJ122&gt;0.000000001,Debt!AJ119/Debt!AJ122,0)</f>
        <v>0.0292725308122526</v>
      </c>
      <c r="AK7" s="14" t="n">
        <f aca="false">IF(Debt!AK122&gt;0.000000001,Debt!AK119/Debt!AK122,0)</f>
        <v>0.0244313685062403</v>
      </c>
      <c r="AL7" s="14" t="n">
        <f aca="false">IF(Debt!AL122&gt;0.000000001,Debt!AL119/Debt!AL122,0)</f>
        <v>0.0241767742044928</v>
      </c>
      <c r="AM7" s="14" t="n">
        <f aca="false">IF(Debt!AM122&gt;0.000000001,Debt!AM119/Debt!AM122,0)</f>
        <v>0.0240925806556973</v>
      </c>
      <c r="AN7" s="14" t="n">
        <f aca="false">IF(Debt!AN122&gt;0.000000001,Debt!AN119/Debt!AN122,0)</f>
        <v>0.0241767742044928</v>
      </c>
      <c r="AO7" s="14" t="n">
        <f aca="false">IF(Debt!AO122&gt;0.000000001,Debt!AO119/Debt!AO122,0)</f>
        <v>0.0240925806556973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0.0240925806556973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0.0240925806556973</v>
      </c>
      <c r="K10" s="14" t="n">
        <f aca="false">IF(K7&gt;0,K7,$F$9)</f>
        <v>0.0240925806556973</v>
      </c>
      <c r="L10" s="14" t="n">
        <f aca="false">IF(L7&gt;0,L7,$F$9)</f>
        <v>0.0240925806556973</v>
      </c>
      <c r="M10" s="14" t="n">
        <f aca="false">IF(M7&gt;0,M7,$F$9)</f>
        <v>0.0240925806556973</v>
      </c>
      <c r="N10" s="14" t="n">
        <f aca="false">IF(N7&gt;0,N7,$F$9)</f>
        <v>0.0240925806556973</v>
      </c>
      <c r="O10" s="14" t="n">
        <f aca="false">IF(O7&gt;0,O7,$F$9)</f>
        <v>0.0240925806556973</v>
      </c>
      <c r="P10" s="14" t="n">
        <f aca="false">IF(P7&gt;0,P7,$F$9)</f>
        <v>0.034356060545191</v>
      </c>
      <c r="Q10" s="14" t="n">
        <f aca="false">IF(Q7&gt;0,Q7,$F$9)</f>
        <v>0.0364481388446553</v>
      </c>
      <c r="R10" s="14" t="n">
        <f aca="false">IF(R7&gt;0,R7,$F$9)</f>
        <v>0.0368568704278608</v>
      </c>
      <c r="S10" s="14" t="n">
        <f aca="false">IF(S7&gt;0,S7,$F$9)</f>
        <v>0.0364603172397468</v>
      </c>
      <c r="T10" s="14" t="n">
        <f aca="false">IF(T7&gt;0,T7,$F$9)</f>
        <v>0.0368692506748047</v>
      </c>
      <c r="U10" s="14" t="n">
        <f aca="false">IF(U7&gt;0,U7,$F$9)</f>
        <v>0.0365966283847661</v>
      </c>
      <c r="V10" s="14" t="n">
        <f aca="false">IF(V7&gt;0,V7,$F$9)</f>
        <v>0.0368692506748047</v>
      </c>
      <c r="W10" s="14" t="n">
        <f aca="false">IF(W7&gt;0,W7,$F$9)</f>
        <v>0.0364603172397468</v>
      </c>
      <c r="X10" s="14" t="n">
        <f aca="false">IF(X7&gt;0,X7,$F$9)</f>
        <v>0.0368692506748047</v>
      </c>
      <c r="Y10" s="14" t="n">
        <f aca="false">IF(Y7&gt;0,Y7,$F$9)</f>
        <v>0.0375217369928333</v>
      </c>
      <c r="Z10" s="14" t="n">
        <f aca="false">IF(Z7&gt;0,Z7,$F$9)</f>
        <v>0.0379482630204837</v>
      </c>
      <c r="AA10" s="14" t="n">
        <f aca="false">IF(AA7&gt;0,AA7,$F$9)</f>
        <v>0.0375217369928333</v>
      </c>
      <c r="AB10" s="14" t="n">
        <f aca="false">IF(AB7&gt;0,AB7,$F$9)</f>
        <v>0.0376299784077814</v>
      </c>
      <c r="AC10" s="14" t="n">
        <f aca="false">IF(AC7&gt;0,AC7,$F$9)</f>
        <v>0.036945359602157</v>
      </c>
      <c r="AD10" s="14" t="n">
        <f aca="false">IF(AD7&gt;0,AD7,$F$9)</f>
        <v>0.0367817850873652</v>
      </c>
      <c r="AE10" s="14" t="n">
        <f aca="false">IF(AE7&gt;0,AE7,$F$9)</f>
        <v>0.0358042482366117</v>
      </c>
      <c r="AF10" s="14" t="n">
        <f aca="false">IF(AF7&gt;0,AF7,$F$9)</f>
        <v>0.0354471435994745</v>
      </c>
      <c r="AG10" s="14" t="n">
        <f aca="false">IF(AG7&gt;0,AG7,$F$9)</f>
        <v>0.0349343198530879</v>
      </c>
      <c r="AH10" s="14" t="n">
        <f aca="false">IF(AH7&gt;0,AH7,$F$9)</f>
        <v>0.0339637743918206</v>
      </c>
      <c r="AI10" s="14" t="n">
        <f aca="false">IF(AI7&gt;0,AI7,$F$9)</f>
        <v>0.031775414666119</v>
      </c>
      <c r="AJ10" s="14" t="n">
        <f aca="false">IF(AJ7&gt;0,AJ7,$F$9)</f>
        <v>0.0292725308122526</v>
      </c>
      <c r="AK10" s="14" t="n">
        <f aca="false">IF(AK7&gt;0,AK7,$F$9)</f>
        <v>0.0244313685062403</v>
      </c>
      <c r="AL10" s="14" t="n">
        <f aca="false">IF(AL7&gt;0,AL7,$F$9)</f>
        <v>0.0241767742044928</v>
      </c>
      <c r="AM10" s="14" t="n">
        <f aca="false">IF(AM7&gt;0,AM7,$F$9)</f>
        <v>0.0240925806556973</v>
      </c>
      <c r="AN10" s="14" t="n">
        <f aca="false">IF(AN7&gt;0,AN7,$F$9)</f>
        <v>0.0241767742044928</v>
      </c>
      <c r="AO10" s="14" t="n">
        <f aca="false">IF(AO7&gt;0,AO7,$F$9)</f>
        <v>0.0240925806556973</v>
      </c>
      <c r="AP10" s="14" t="n">
        <f aca="false">IF(AP7&gt;0,AP7,$F$9)</f>
        <v>0.0240925806556973</v>
      </c>
      <c r="AQ10" s="14" t="n">
        <f aca="false">IF(AQ7&gt;0,AQ7,$F$9)</f>
        <v>0.0240925806556973</v>
      </c>
      <c r="AR10" s="14" t="n">
        <f aca="false">IF(AR7&gt;0,AR7,$F$9)</f>
        <v>0.0240925806556973</v>
      </c>
      <c r="AS10" s="14" t="n">
        <f aca="false">IF(AS7&gt;0,AS7,$F$9)</f>
        <v>0.0240925806556973</v>
      </c>
      <c r="AT10" s="14" t="n">
        <f aca="false">IF(AT7&gt;0,AT7,$F$9)</f>
        <v>0.0240925806556973</v>
      </c>
      <c r="AU10" s="14" t="n">
        <f aca="false">IF(AU7&gt;0,AU7,$F$9)</f>
        <v>0.0240925806556973</v>
      </c>
      <c r="AV10" s="14" t="n">
        <f aca="false">IF(AV7&gt;0,AV7,$F$9)</f>
        <v>0.0240925806556973</v>
      </c>
      <c r="AW10" s="14" t="n">
        <f aca="false">IF(AW7&gt;0,AW7,$F$9)</f>
        <v>0.0240925806556973</v>
      </c>
      <c r="AX10" s="14" t="n">
        <f aca="false">IF(AX7&gt;0,AX7,$F$9)</f>
        <v>0.0240925806556973</v>
      </c>
      <c r="AY10" s="14" t="n">
        <f aca="false">IF(AY7&gt;0,AY7,$F$9)</f>
        <v>0.0240925806556973</v>
      </c>
      <c r="AZ10" s="14" t="n">
        <f aca="false">IF(AZ7&gt;0,AZ7,$F$9)</f>
        <v>0.0240925806556973</v>
      </c>
      <c r="BA10" s="14" t="n">
        <f aca="false">IF(BA7&gt;0,BA7,$F$9)</f>
        <v>0.0240925806556973</v>
      </c>
      <c r="BB10" s="14" t="n">
        <f aca="false">IF(BB7&gt;0,BB7,$F$9)</f>
        <v>0.0240925806556973</v>
      </c>
      <c r="BC10" s="14" t="n">
        <f aca="false">IF(BC7&gt;0,BC7,$F$9)</f>
        <v>0.0240925806556973</v>
      </c>
      <c r="BD10" s="14" t="n">
        <f aca="false">IF(BD7&gt;0,BD7,$F$9)</f>
        <v>0.0240925806556973</v>
      </c>
      <c r="BE10" s="14" t="n">
        <f aca="false">IF(BE7&gt;0,BE7,$F$9)</f>
        <v>0.0240925806556973</v>
      </c>
      <c r="BF10" s="14" t="n">
        <f aca="false">IF(BF7&gt;0,BF7,$F$9)</f>
        <v>0.0240925806556973</v>
      </c>
      <c r="BG10" s="14" t="n">
        <f aca="false">IF(BG7&gt;0,BG7,$F$9)</f>
        <v>0.0240925806556973</v>
      </c>
      <c r="BH10" s="14" t="n">
        <f aca="false">IF(BH7&gt;0,BH7,$F$9)</f>
        <v>0.0240925806556973</v>
      </c>
      <c r="BI10" s="14" t="n">
        <f aca="false">IF(BI7&gt;0,BI7,$F$9)</f>
        <v>0.0240925806556973</v>
      </c>
      <c r="BJ10" s="14" t="n">
        <f aca="false">IF(BJ7&gt;0,BJ7,$F$9)</f>
        <v>0.0240925806556973</v>
      </c>
      <c r="BK10" s="14" t="n">
        <f aca="false">IF(BK7&gt;0,BK7,$F$9)</f>
        <v>0.0240925806556973</v>
      </c>
      <c r="BL10" s="14" t="n">
        <f aca="false">IF(BL7&gt;0,BL7,$F$9)</f>
        <v>0.0240925806556973</v>
      </c>
      <c r="BM10" s="14" t="n">
        <f aca="false">IF(BM7&gt;0,BM7,$F$9)</f>
        <v>0.0240925806556973</v>
      </c>
      <c r="BN10" s="14" t="n">
        <f aca="false">IF(BN7&gt;0,BN7,$F$9)</f>
        <v>0.0240925806556973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735.848915065977</v>
      </c>
      <c r="K11" s="11" t="n">
        <f aca="false">IF(Time!K17&lt;=$F$8,(Waterfall!K7+L11)/(1+K10),0)</f>
        <v>753.577414402611</v>
      </c>
      <c r="L11" s="11" t="n">
        <f aca="false">IF(Time!L17&lt;=$F$8,(Waterfall!L7+M11)/(1+L10),0)</f>
        <v>771.733039039418</v>
      </c>
      <c r="M11" s="11" t="n">
        <f aca="false">IF(Time!M17&lt;=$F$8,(Waterfall!M7+N11)/(1+M10),0)</f>
        <v>790.326079527142</v>
      </c>
      <c r="N11" s="11" t="n">
        <f aca="false">IF(Time!N17&lt;=$F$8,(Waterfall!N7+O11)/(1+N10),0)</f>
        <v>809.36707434245</v>
      </c>
      <c r="O11" s="11" t="n">
        <f aca="false">IF(Time!O17&lt;=$F$8,(Waterfall!O7+P11)/(1+O10),0)</f>
        <v>828.866815861112</v>
      </c>
      <c r="P11" s="11" t="n">
        <f aca="false">IF(Time!P17&lt;=$F$8,(Waterfall!P7+Q11)/(1+P10),0)</f>
        <v>846.964109277253</v>
      </c>
      <c r="Q11" s="11" t="n">
        <f aca="false">IF(Time!Q17&lt;=$F$8,(Waterfall!Q7+R11)/(1+Q10),0)</f>
        <v>825.7805006506</v>
      </c>
      <c r="R11" s="11" t="n">
        <f aca="false">IF(Time!R17&lt;=$F$8,(Waterfall!R7+S11)/(1+R10),0)</f>
        <v>805.716690775333</v>
      </c>
      <c r="S11" s="11" t="n">
        <f aca="false">IF(Time!S17&lt;=$F$8,(Waterfall!S7+T11)/(1+S10),0)</f>
        <v>784.619426575745</v>
      </c>
      <c r="T11" s="11" t="n">
        <f aca="false">IF(Time!T17&lt;=$F$8,(Waterfall!T7+U11)/(1+T10),0)</f>
        <v>762.826927912472</v>
      </c>
      <c r="U11" s="11" t="n">
        <f aca="false">IF(Time!U17&lt;=$F$8,(Waterfall!U7+V11)/(1+U10),0)</f>
        <v>739.987641129188</v>
      </c>
      <c r="V11" s="11" t="n">
        <f aca="false">IF(Time!V17&lt;=$F$8,(Waterfall!V7+W11)/(1+V10),0)</f>
        <v>716.348258618029</v>
      </c>
      <c r="W11" s="11" t="n">
        <f aca="false">IF(Time!W17&lt;=$F$8,(Waterfall!W7+X11)/(1+W10),0)</f>
        <v>691.070789813695</v>
      </c>
      <c r="X11" s="11" t="n">
        <f aca="false">IF(Time!X17&lt;=$F$8,(Waterfall!X7+Y11)/(1+X10),0)</f>
        <v>664.936093017237</v>
      </c>
      <c r="Y11" s="11" t="n">
        <f aca="false">IF(Time!Y17&lt;=$F$8,(Waterfall!Y7+Z11)/(1+Y10),0)</f>
        <v>639.600615158733</v>
      </c>
      <c r="Z11" s="11" t="n">
        <f aca="false">IF(Time!Z17&lt;=$F$8,(Waterfall!Z7+AA11)/(1+Z10),0)</f>
        <v>614.229511958035</v>
      </c>
      <c r="AA11" s="11" t="n">
        <f aca="false">IF(Time!AA17&lt;=$F$8,(Waterfall!AA7+AB11)/(1+AA10),0)</f>
        <v>587.762114832608</v>
      </c>
      <c r="AB11" s="11" t="n">
        <f aca="false">IF(Time!AB17&lt;=$F$8,(Waterfall!AB7+AC11)/(1+AB10),0)</f>
        <v>560.440682387915</v>
      </c>
      <c r="AC11" s="11" t="n">
        <f aca="false">IF(Time!AC17&lt;=$F$8,(Waterfall!AC7+AD11)/(1+AC10),0)</f>
        <v>531.573642508534</v>
      </c>
      <c r="AD11" s="11" t="n">
        <f aca="false">IF(Time!AD17&lt;=$F$8,(Waterfall!AD7+AE11)/(1+AD10),0)</f>
        <v>501.46136744335</v>
      </c>
      <c r="AE11" s="11" t="n">
        <f aca="false">IF(Time!AE17&lt;=$F$8,(Waterfall!AE7+AF11)/(1+AE10),0)</f>
        <v>468.243469007529</v>
      </c>
      <c r="AF11" s="11" t="n">
        <f aca="false">IF(Time!AF17&lt;=$F$8,(Waterfall!AF7+AG11)/(1+AF10),0)</f>
        <v>433.26274246938</v>
      </c>
      <c r="AG11" s="11" t="n">
        <f aca="false">IF(Time!AG17&lt;=$F$8,(Waterfall!AG7+AH11)/(1+AG10),0)</f>
        <v>396.713983465201</v>
      </c>
      <c r="AH11" s="11" t="n">
        <f aca="false">IF(Time!AH17&lt;=$F$8,(Waterfall!AH7+AI11)/(1+AH10),0)</f>
        <v>359.03363750186</v>
      </c>
      <c r="AI11" s="11" t="n">
        <f aca="false">IF(Time!AI17&lt;=$F$8,(Waterfall!AI7+AJ11)/(1+AI10),0)</f>
        <v>319.019030286865</v>
      </c>
      <c r="AJ11" s="11" t="n">
        <f aca="false">IF(Time!AJ17&lt;=$F$8,(Waterfall!AJ7+AK11)/(1+AJ10),0)</f>
        <v>277.354751510095</v>
      </c>
      <c r="AK11" s="11" t="n">
        <f aca="false">IF(Time!AK17&lt;=$F$8,(Waterfall!AK7+AL11)/(1+AK10),0)</f>
        <v>233.07102873096</v>
      </c>
      <c r="AL11" s="11" t="n">
        <f aca="false">IF(Time!AL17&lt;=$F$8,(Waterfall!AL7+AM11)/(1+AL10),0)</f>
        <v>186.600739981239</v>
      </c>
      <c r="AM11" s="11" t="n">
        <f aca="false">IF(Time!AM17&lt;=$F$8,(Waterfall!AM7+AN11)/(1+AM10),0)</f>
        <v>137.836567926738</v>
      </c>
      <c r="AN11" s="11" t="n">
        <f aca="false">IF(Time!AN17&lt;=$F$8,(Waterfall!AN7+AO11)/(1+AN10),0)</f>
        <v>88.2577015292082</v>
      </c>
      <c r="AO11" s="11" t="n">
        <f aca="false">IF(Time!AO17&lt;=$F$8,(Waterfall!AO7+AP11)/(1+AO10),0)</f>
        <v>40.9998092156243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1012.43975185018</v>
      </c>
      <c r="K12" s="11" t="n">
        <f aca="false">IF(Time!K17&lt;=Time!$F$14,(Waterfall!K7+L12)/(1+K10),0)</f>
        <v>1036.83203823067</v>
      </c>
      <c r="L12" s="11" t="n">
        <f aca="false">IF(Time!L17&lt;=Time!$F$14,(Waterfall!L7+M12)/(1+L10),0)</f>
        <v>1061.81199773815</v>
      </c>
      <c r="M12" s="11" t="n">
        <f aca="false">IF(Time!M17&lt;=Time!$F$14,(Waterfall!M7+N12)/(1+M10),0)</f>
        <v>1087.39378893484</v>
      </c>
      <c r="N12" s="11" t="n">
        <f aca="false">IF(Time!N17&lt;=Time!$F$14,(Waterfall!N7+O12)/(1+N10),0)</f>
        <v>1113.59191149926</v>
      </c>
      <c r="O12" s="11" t="n">
        <f aca="false">IF(Time!O17&lt;=Time!$F$14,(Waterfall!O7+P12)/(1+O10),0)</f>
        <v>1140.42121444459</v>
      </c>
      <c r="P12" s="11" t="n">
        <f aca="false">IF(Time!P17&lt;=Time!$F$14,(Waterfall!P7+Q12)/(1+P10),0)</f>
        <v>1166.02465733724</v>
      </c>
      <c r="Q12" s="11" t="n">
        <f aca="false">IF(Time!Q17&lt;=Time!$F$14,(Waterfall!Q7+R12)/(1+Q10),0)</f>
        <v>1155.80271221732</v>
      </c>
      <c r="R12" s="11" t="n">
        <f aca="false">IF(Time!R17&lt;=Time!$F$14,(Waterfall!R7+S12)/(1+R10),0)</f>
        <v>1147.76759773105</v>
      </c>
      <c r="S12" s="11" t="n">
        <f aca="false">IF(Time!S17&lt;=Time!$F$14,(Waterfall!S7+T12)/(1+S10),0)</f>
        <v>1139.27725948887</v>
      </c>
      <c r="T12" s="11" t="n">
        <f aca="false">IF(Time!T17&lt;=Time!$F$14,(Waterfall!T7+U12)/(1+T10),0)</f>
        <v>1130.41569792517</v>
      </c>
      <c r="U12" s="11" t="n">
        <f aca="false">IF(Time!U17&lt;=Time!$F$14,(Waterfall!U7+V12)/(1+U10),0)</f>
        <v>1121.12913364872</v>
      </c>
      <c r="V12" s="11" t="n">
        <f aca="false">IF(Time!V17&lt;=Time!$F$14,(Waterfall!V7+W12)/(1+V10),0)</f>
        <v>1111.43824470132</v>
      </c>
      <c r="W12" s="11" t="n">
        <f aca="false">IF(Time!W17&lt;=Time!$F$14,(Waterfall!W7+X12)/(1+W10),0)</f>
        <v>1100.72744763299</v>
      </c>
      <c r="X12" s="11" t="n">
        <f aca="false">IF(Time!X17&lt;=Time!$F$14,(Waterfall!X7+Y12)/(1+X10),0)</f>
        <v>1089.52896254</v>
      </c>
      <c r="Y12" s="11" t="n">
        <f aca="false">IF(Time!Y17&lt;=Time!$F$14,(Waterfall!Y7+Z12)/(1+Y10),0)</f>
        <v>1079.84790562267</v>
      </c>
      <c r="Z12" s="11" t="n">
        <f aca="false">IF(Time!Z17&lt;=Time!$F$14,(Waterfall!Z7+AA12)/(1+Z10),0)</f>
        <v>1070.99564546656</v>
      </c>
      <c r="AA12" s="11" t="n">
        <f aca="false">IF(Time!AA17&lt;=Time!$F$14,(Waterfall!AA7+AB12)/(1+AA10),0)</f>
        <v>1061.86172971437</v>
      </c>
      <c r="AB12" s="11" t="n">
        <f aca="false">IF(Time!AB17&lt;=Time!$F$14,(Waterfall!AB7+AC12)/(1+AB10),0)</f>
        <v>1052.32933832767</v>
      </c>
      <c r="AC12" s="11" t="n">
        <f aca="false">IF(Time!AC17&lt;=Time!$F$14,(Waterfall!AC7+AD12)/(1+AC10),0)</f>
        <v>1041.97205795034</v>
      </c>
      <c r="AD12" s="11" t="n">
        <f aca="false">IF(Time!AD17&lt;=Time!$F$14,(Waterfall!AD7+AE12)/(1+AD10),0)</f>
        <v>1030.71663588402</v>
      </c>
      <c r="AE12" s="11" t="n">
        <f aca="false">IF(Time!AE17&lt;=Time!$F$14,(Waterfall!AE7+AF12)/(1+AE10),0)</f>
        <v>1016.96569098834</v>
      </c>
      <c r="AF12" s="11" t="n">
        <f aca="false">IF(Time!AF17&lt;=Time!$F$14,(Waterfall!AF7+AG12)/(1+AF10),0)</f>
        <v>1001.63155109894</v>
      </c>
      <c r="AG12" s="11" t="n">
        <f aca="false">IF(Time!AG17&lt;=Time!$F$14,(Waterfall!AG7+AH12)/(1+AG10),0)</f>
        <v>985.229842871714</v>
      </c>
      <c r="AH12" s="11" t="n">
        <f aca="false">IF(Time!AH17&lt;=Time!$F$14,(Waterfall!AH7+AI12)/(1+AH10),0)</f>
        <v>968.108898179495</v>
      </c>
      <c r="AI12" s="11" t="n">
        <f aca="false">IF(Time!AI17&lt;=Time!$F$14,(Waterfall!AI7+AJ12)/(1+AI10),0)</f>
        <v>948.780785705795</v>
      </c>
      <c r="AJ12" s="11" t="n">
        <f aca="false">IF(Time!AJ17&lt;=Time!$F$14,(Waterfall!AJ7+AK12)/(1+AJ10),0)</f>
        <v>927.127447848324</v>
      </c>
      <c r="AK12" s="11" t="n">
        <f aca="false">IF(Time!AK17&lt;=Time!$F$14,(Waterfall!AK7+AL12)/(1+AK10),0)</f>
        <v>901.864216343711</v>
      </c>
      <c r="AL12" s="11" t="n">
        <f aca="false">IF(Time!AL17&lt;=Time!$F$14,(Waterfall!AL7+AM12)/(1+AL10),0)</f>
        <v>871.73346041502</v>
      </c>
      <c r="AM12" s="11" t="n">
        <f aca="false">IF(Time!AM17&lt;=Time!$F$14,(Waterfall!AM7+AN12)/(1+AM10),0)</f>
        <v>839.533587442556</v>
      </c>
      <c r="AN12" s="11" t="n">
        <f aca="false">IF(Time!AN17&lt;=Time!$F$14,(Waterfall!AN7+AO12)/(1+AN10),0)</f>
        <v>806.860413083574</v>
      </c>
      <c r="AO12" s="11" t="n">
        <f aca="false">IF(Time!AO17&lt;=Time!$F$14,(Waterfall!AO7+AP12)/(1+AO10),0)</f>
        <v>776.976016269976</v>
      </c>
      <c r="AP12" s="11" t="n">
        <f aca="false">IF(Time!AP17&lt;=Time!$F$14,(Waterfall!AP7+AQ12)/(1+AP10),0)</f>
        <v>753.707773183483</v>
      </c>
      <c r="AQ12" s="11" t="n">
        <f aca="false">IF(Time!AQ17&lt;=Time!$F$14,(Waterfall!AQ7+AR12)/(1+AQ10),0)</f>
        <v>729.910763132513</v>
      </c>
      <c r="AR12" s="11" t="n">
        <f aca="false">IF(Time!AR17&lt;=Time!$F$14,(Waterfall!AR7+AS12)/(1+AR10),0)</f>
        <v>706.321597730672</v>
      </c>
      <c r="AS12" s="11" t="n">
        <f aca="false">IF(Time!AS17&lt;=Time!$F$14,(Waterfall!AS7+AT12)/(1+AS10),0)</f>
        <v>681.567746961824</v>
      </c>
      <c r="AT12" s="11" t="n">
        <f aca="false">IF(Time!AT17&lt;=Time!$F$14,(Waterfall!AT7+AU12)/(1+AT10),0)</f>
        <v>656.482859965998</v>
      </c>
      <c r="AU12" s="11" t="n">
        <f aca="false">IF(Time!AU17&lt;=Time!$F$14,(Waterfall!AU7+AV12)/(1+AU10),0)</f>
        <v>624.060533187519</v>
      </c>
      <c r="AV12" s="11" t="n">
        <f aca="false">IF(Time!AV17&lt;=Time!$F$14,(Waterfall!AV7+AW12)/(1+AV10),0)</f>
        <v>595.294241177754</v>
      </c>
      <c r="AW12" s="11" t="n">
        <f aca="false">IF(Time!AW17&lt;=Time!$F$14,(Waterfall!AW7+AX12)/(1+AW10),0)</f>
        <v>565.711396154072</v>
      </c>
      <c r="AX12" s="11" t="n">
        <f aca="false">IF(Time!AX17&lt;=Time!$F$14,(Waterfall!AX7+AY12)/(1+AX10),0)</f>
        <v>535.840208838568</v>
      </c>
      <c r="AY12" s="11" t="n">
        <f aca="false">IF(Time!AY17&lt;=Time!$F$14,(Waterfall!AY7+AZ12)/(1+AY10),0)</f>
        <v>504.574507503044</v>
      </c>
      <c r="AZ12" s="11" t="n">
        <f aca="false">IF(Time!AZ17&lt;=Time!$F$14,(Waterfall!AZ7+BA12)/(1+AZ10),0)</f>
        <v>473.012457222891</v>
      </c>
      <c r="BA12" s="11" t="n">
        <f aca="false">IF(Time!BA17&lt;=Time!$F$14,(Waterfall!BA7+BB12)/(1+BA10),0)</f>
        <v>440.072105560801</v>
      </c>
      <c r="BB12" s="11" t="n">
        <f aca="false">IF(Time!BB17&lt;=Time!$F$14,(Waterfall!BB7+BC12)/(1+BB10),0)</f>
        <v>406.635780150917</v>
      </c>
      <c r="BC12" s="11" t="n">
        <f aca="false">IF(Time!BC17&lt;=Time!$F$14,(Waterfall!BC7+BD12)/(1+BC10),0)</f>
        <v>370.146725500373</v>
      </c>
      <c r="BD12" s="11" t="n">
        <f aca="false">IF(Time!BD17&lt;=Time!$F$14,(Waterfall!BD7+BE12)/(1+BD10),0)</f>
        <v>336.177635202839</v>
      </c>
      <c r="BE12" s="11" t="n">
        <f aca="false">IF(Time!BE17&lt;=Time!$F$14,(Waterfall!BE7+BF12)/(1+BE10),0)</f>
        <v>307.489293156354</v>
      </c>
      <c r="BF12" s="11" t="n">
        <f aca="false">IF(Time!BF17&lt;=Time!$F$14,(Waterfall!BF7+BG12)/(1+BF10),0)</f>
        <v>278.542752320758</v>
      </c>
      <c r="BG12" s="11" t="n">
        <f aca="false">IF(Time!BG17&lt;=Time!$F$14,(Waterfall!BG7+BH12)/(1+BG10),0)</f>
        <v>248.194512490193</v>
      </c>
      <c r="BH12" s="11" t="n">
        <f aca="false">IF(Time!BH17&lt;=Time!$F$14,(Waterfall!BH7+BI12)/(1+BH10),0)</f>
        <v>217.58273662412</v>
      </c>
      <c r="BI12" s="11" t="n">
        <f aca="false">IF(Time!BI17&lt;=Time!$F$14,(Waterfall!BI7+BJ12)/(1+BI10),0)</f>
        <v>185.592279958305</v>
      </c>
      <c r="BJ12" s="11" t="n">
        <f aca="false">IF(Time!BJ17&lt;=Time!$F$14,(Waterfall!BJ7+BK12)/(1+BJ10),0)</f>
        <v>153.092191195421</v>
      </c>
      <c r="BK12" s="11" t="n">
        <f aca="false">IF(Time!BK17&lt;=Time!$F$14,(Waterfall!BK7+BL12)/(1+BK10),0)</f>
        <v>111.785280129551</v>
      </c>
      <c r="BL12" s="11" t="n">
        <f aca="false">IF(Time!BL17&lt;=Time!$F$14,(Waterfall!BL7+BM12)/(1+BL10),0)</f>
        <v>74.7328214850289</v>
      </c>
      <c r="BM12" s="11" t="n">
        <f aca="false">IF(Time!BM17&lt;=Time!$F$14,(Waterfall!BM7+BN12)/(1+BM10),0)</f>
        <v>36.0395223689812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1.39629160854969</v>
      </c>
      <c r="Q13" s="6" t="n">
        <f aca="false">IF(Debt!Q122&gt;0.000000001,(Q11+Reserves!Q9)/Debt!Q122,0)</f>
        <v>1.39930302504204</v>
      </c>
      <c r="R13" s="6" t="n">
        <f aca="false">IF(Debt!R122&gt;0.000000001,(R11+Reserves!R9)/Debt!R122,0)</f>
        <v>1.40425804120011</v>
      </c>
      <c r="S13" s="6" t="n">
        <f aca="false">IF(Debt!S122&gt;0.000000001,(S11+Reserves!S9)/Debt!S122,0)</f>
        <v>1.40825104854697</v>
      </c>
      <c r="T13" s="6" t="n">
        <f aca="false">IF(Debt!T122&gt;0.000000001,(T11+Reserves!T9)/Debt!T122,0)</f>
        <v>1.41383140707186</v>
      </c>
      <c r="U13" s="6" t="n">
        <f aca="false">IF(Debt!U122&gt;0.000000001,(U11+Reserves!U9)/Debt!U122,0)</f>
        <v>1.41877012734054</v>
      </c>
      <c r="V13" s="6" t="n">
        <f aca="false">IF(Debt!V122&gt;0.000000001,(V11+Reserves!V9)/Debt!V122,0)</f>
        <v>1.42584818262534</v>
      </c>
      <c r="W13" s="6" t="n">
        <f aca="false">IF(Debt!W122&gt;0.000000001,(W11+Reserves!W9)/Debt!W122,0)</f>
        <v>1.43169159430732</v>
      </c>
      <c r="X13" s="6" t="n">
        <f aca="false">IF(Debt!X122&gt;0.000000001,(X11+Reserves!X9)/Debt!X122,0)</f>
        <v>1.43644462275732</v>
      </c>
      <c r="Y13" s="6" t="n">
        <f aca="false">IF(Debt!Y122&gt;0.000000001,(Y11+Reserves!Y9)/Debt!Y122,0)</f>
        <v>1.44305300383675</v>
      </c>
      <c r="Z13" s="6" t="n">
        <f aca="false">IF(Debt!Z122&gt;0.000000001,(Z11+Reserves!Z9)/Debt!Z122,0)</f>
        <v>1.45175124725969</v>
      </c>
      <c r="AA13" s="6" t="n">
        <f aca="false">IF(Debt!AA122&gt;0.000000001,(AA11+Reserves!AA9)/Debt!AA122,0)</f>
        <v>1.46006036339206</v>
      </c>
      <c r="AB13" s="6" t="n">
        <f aca="false">IF(Debt!AB122&gt;0.000000001,(AB11+Reserves!AB9)/Debt!AB122,0)</f>
        <v>1.49204044866725</v>
      </c>
      <c r="AC13" s="6" t="n">
        <f aca="false">IF(Debt!AC122&gt;0.000000001,(AC11+Reserves!AC9)/Debt!AC122,0)</f>
        <v>1.5283972797627</v>
      </c>
      <c r="AD13" s="6" t="n">
        <f aca="false">IF(Debt!AD122&gt;0.000000001,(AD11+Reserves!AD9)/Debt!AD122,0)</f>
        <v>1.57150291389967</v>
      </c>
      <c r="AE13" s="6" t="n">
        <f aca="false">IF(Debt!AE122&gt;0.000000001,(AE11+Reserves!AE9)/Debt!AE122,0)</f>
        <v>1.62393612172643</v>
      </c>
      <c r="AF13" s="6" t="n">
        <f aca="false">IF(Debt!AF122&gt;0.000000001,(AF11+Reserves!AF9)/Debt!AF122,0)</f>
        <v>1.6880059017499</v>
      </c>
      <c r="AG13" s="6" t="n">
        <f aca="false">IF(Debt!AG122&gt;0.000000001,(AG11+Reserves!AG9)/Debt!AG122,0)</f>
        <v>1.76835401308411</v>
      </c>
      <c r="AH13" s="6" t="n">
        <f aca="false">IF(Debt!AH122&gt;0.000000001,(AH11+Reserves!AH9)/Debt!AH122,0)</f>
        <v>1.87184957887279</v>
      </c>
      <c r="AI13" s="6" t="n">
        <f aca="false">IF(Debt!AI122&gt;0.000000001,(AI11+Reserves!AI9)/Debt!AI122,0)</f>
        <v>2.01467012616393</v>
      </c>
      <c r="AJ13" s="6" t="n">
        <f aca="false">IF(Debt!AJ122&gt;0.000000001,(AJ11+Reserves!AJ9)/Debt!AJ122,0)</f>
        <v>2.22213229069457</v>
      </c>
      <c r="AK13" s="6" t="n">
        <f aca="false">IF(Debt!AK122&gt;0.000000001,(AK11+Reserves!AK9)/Debt!AK122,0)</f>
        <v>2.56690107960002</v>
      </c>
      <c r="AL13" s="6" t="n">
        <f aca="false">IF(Debt!AL122&gt;0.000000001,(AL11+Reserves!AL9)/Debt!AL122,0)</f>
        <v>2.62614384404457</v>
      </c>
      <c r="AM13" s="6" t="n">
        <f aca="false">IF(Debt!AM122&gt;0.000000001,(AM11+Reserves!AM9)/Debt!AM122,0)</f>
        <v>2.75442624713692</v>
      </c>
      <c r="AN13" s="6" t="n">
        <f aca="false">IF(Debt!AN122&gt;0.000000001,(AN11+Reserves!AN9)/Debt!AN122,0)</f>
        <v>2.93530576204743</v>
      </c>
      <c r="AO13" s="6" t="n">
        <f aca="false">IF(Debt!AO122&gt;0.000000001,(AO11+Reserves!AO9)/Debt!AO122,0)</f>
        <v>3.25129552585002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1.33747511589019</v>
      </c>
      <c r="Q14" s="6" t="n">
        <f aca="false">IF(Debt!Q122&gt;0.000000001,Q11/Debt!Q122,0)</f>
        <v>1.3367199750577</v>
      </c>
      <c r="R14" s="6" t="n">
        <f aca="false">IF(Debt!R122&gt;0.000000001,R11/Debt!R122,0)</f>
        <v>1.33924297565811</v>
      </c>
      <c r="S14" s="6" t="n">
        <f aca="false">IF(Debt!S122&gt;0.000000001,S11/Debt!S122,0)</f>
        <v>1.34196286073728</v>
      </c>
      <c r="T14" s="6" t="n">
        <f aca="false">IF(Debt!T122&gt;0.000000001,T11/Debt!T122,0)</f>
        <v>1.3448029745561</v>
      </c>
      <c r="U14" s="6" t="n">
        <f aca="false">IF(Debt!U122&gt;0.000000001,U11/Debt!U122,0)</f>
        <v>1.34788604781628</v>
      </c>
      <c r="V14" s="6" t="n">
        <f aca="false">IF(Debt!V122&gt;0.000000001,V11/Debt!V122,0)</f>
        <v>1.35115460612949</v>
      </c>
      <c r="W14" s="6" t="n">
        <f aca="false">IF(Debt!W122&gt;0.000000001,W11/Debt!W122,0)</f>
        <v>1.35471830912052</v>
      </c>
      <c r="X14" s="6" t="n">
        <f aca="false">IF(Debt!X122&gt;0.000000001,X11/Debt!X122,0)</f>
        <v>1.35852383259283</v>
      </c>
      <c r="Y14" s="6" t="n">
        <f aca="false">IF(Debt!Y122&gt;0.000000001,Y11/Debt!Y122,0)</f>
        <v>1.36270221193497</v>
      </c>
      <c r="Z14" s="6" t="n">
        <f aca="false">IF(Debt!Z122&gt;0.000000001,Z11/Debt!Z122,0)</f>
        <v>1.36720381060792</v>
      </c>
      <c r="AA14" s="6" t="n">
        <f aca="false">IF(Debt!AA122&gt;0.000000001,AA11/Debt!AA122,0)</f>
        <v>1.37223548733986</v>
      </c>
      <c r="AB14" s="6" t="n">
        <f aca="false">IF(Debt!AB122&gt;0.000000001,AB11/Debt!AB122,0)</f>
        <v>1.39727042525179</v>
      </c>
      <c r="AC14" s="6" t="n">
        <f aca="false">IF(Debt!AC122&gt;0.000000001,AC11/Debt!AC122,0)</f>
        <v>1.42856621445065</v>
      </c>
      <c r="AD14" s="6" t="n">
        <f aca="false">IF(Debt!AD122&gt;0.000000001,AD11/Debt!AD122,0)</f>
        <v>1.46169031387693</v>
      </c>
      <c r="AE14" s="6" t="n">
        <f aca="false">IF(Debt!AE122&gt;0.000000001,AE11/Debt!AE122,0)</f>
        <v>1.50545148852636</v>
      </c>
      <c r="AF14" s="6" t="n">
        <f aca="false">IF(Debt!AF122&gt;0.000000001,AF11/Debt!AF122,0)</f>
        <v>1.55897613416655</v>
      </c>
      <c r="AG14" s="6" t="n">
        <f aca="false">IF(Debt!AG122&gt;0.000000001,AG11/Debt!AG122,0)</f>
        <v>1.62761500174693</v>
      </c>
      <c r="AH14" s="6" t="n">
        <f aca="false">IF(Debt!AH122&gt;0.000000001,AH11/Debt!AH122,0)</f>
        <v>1.71329939684409</v>
      </c>
      <c r="AI14" s="6" t="n">
        <f aca="false">IF(Debt!AI122&gt;0.000000001,AI11/Debt!AI122,0)</f>
        <v>1.83479823013787</v>
      </c>
      <c r="AJ14" s="6" t="n">
        <f aca="false">IF(Debt!AJ122&gt;0.000000001,AJ11/Debt!AJ122,0)</f>
        <v>2.00875421375894</v>
      </c>
      <c r="AK14" s="6" t="n">
        <f aca="false">IF(Debt!AK122&gt;0.000000001,AK11/Debt!AK122,0)</f>
        <v>2.30285453983897</v>
      </c>
      <c r="AL14" s="6" t="n">
        <f aca="false">IF(Debt!AL122&gt;0.000000001,AL11/Debt!AL122,0)</f>
        <v>2.3302644030339</v>
      </c>
      <c r="AM14" s="6" t="n">
        <f aca="false">IF(Debt!AM122&gt;0.000000001,AM11/Debt!AM122,0)</f>
        <v>2.35470419029939</v>
      </c>
      <c r="AN14" s="6" t="n">
        <f aca="false">IF(Debt!AN122&gt;0.000000001,AN11/Debt!AN122,0)</f>
        <v>2.41480533575346</v>
      </c>
      <c r="AO14" s="6" t="n">
        <f aca="false">IF(Debt!AO122&gt;0.000000001,AO11/Debt!AO122,0)</f>
        <v>2.22720294519433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1.84131646975426</v>
      </c>
      <c r="Q15" s="6" t="n">
        <f aca="false">IF(Debt!Q122&gt;0.000000001,Q12/Debt!Q122,0)</f>
        <v>1.87093855017105</v>
      </c>
      <c r="R15" s="6" t="n">
        <f aca="false">IF(Debt!R122&gt;0.000000001,R12/Debt!R122,0)</f>
        <v>1.90779179648137</v>
      </c>
      <c r="S15" s="6" t="n">
        <f aca="false">IF(Debt!S122&gt;0.000000001,S12/Debt!S122,0)</f>
        <v>1.94854692419347</v>
      </c>
      <c r="T15" s="6" t="n">
        <f aca="false">IF(Debt!T122&gt;0.000000001,T12/Debt!T122,0)</f>
        <v>1.9928326300892</v>
      </c>
      <c r="U15" s="6" t="n">
        <f aca="false">IF(Debt!U122&gt;0.000000001,U12/Debt!U122,0)</f>
        <v>2.04213453448967</v>
      </c>
      <c r="V15" s="6" t="n">
        <f aca="false">IF(Debt!V122&gt;0.000000001,V12/Debt!V122,0)</f>
        <v>2.09636149134189</v>
      </c>
      <c r="W15" s="6" t="n">
        <f aca="false">IF(Debt!W122&gt;0.000000001,W12/Debt!W122,0)</f>
        <v>2.15777551104702</v>
      </c>
      <c r="X15" s="6" t="n">
        <f aca="false">IF(Debt!X122&gt;0.000000001,X12/Debt!X122,0)</f>
        <v>2.2260049912381</v>
      </c>
      <c r="Y15" s="6" t="n">
        <f aca="false">IF(Debt!Y122&gt;0.000000001,Y12/Debt!Y122,0)</f>
        <v>2.30067184844743</v>
      </c>
      <c r="Z15" s="6" t="n">
        <f aca="false">IF(Debt!Z122&gt;0.000000001,Z12/Debt!Z122,0)</f>
        <v>2.38391236357007</v>
      </c>
      <c r="AA15" s="6" t="n">
        <f aca="false">IF(Debt!AA122&gt;0.000000001,AA12/Debt!AA122,0)</f>
        <v>2.47910559627873</v>
      </c>
      <c r="AB15" s="6" t="n">
        <f aca="false">IF(Debt!AB122&gt;0.000000001,AB12/Debt!AB122,0)</f>
        <v>2.62362941927241</v>
      </c>
      <c r="AC15" s="6" t="n">
        <f aca="false">IF(Debt!AC122&gt;0.000000001,AC12/Debt!AC122,0)</f>
        <v>2.80022551788874</v>
      </c>
      <c r="AD15" s="6" t="n">
        <f aca="false">IF(Debt!AD122&gt;0.000000001,AD12/Debt!AD122,0)</f>
        <v>3.00439599306459</v>
      </c>
      <c r="AE15" s="6" t="n">
        <f aca="false">IF(Debt!AE122&gt;0.000000001,AE12/Debt!AE122,0)</f>
        <v>3.26965054424287</v>
      </c>
      <c r="AF15" s="6" t="n">
        <f aca="false">IF(Debt!AF122&gt;0.000000001,AF12/Debt!AF122,0)</f>
        <v>3.60409407578319</v>
      </c>
      <c r="AG15" s="6" t="n">
        <f aca="false">IF(Debt!AG122&gt;0.000000001,AG12/Debt!AG122,0)</f>
        <v>4.04214355748171</v>
      </c>
      <c r="AH15" s="6" t="n">
        <f aca="false">IF(Debt!AH122&gt;0.000000001,AH12/Debt!AH122,0)</f>
        <v>4.61979106713013</v>
      </c>
      <c r="AI15" s="6" t="n">
        <f aca="false">IF(Debt!AI122&gt;0.000000001,AI12/Debt!AI122,0)</f>
        <v>5.45679455183739</v>
      </c>
      <c r="AJ15" s="6" t="n">
        <f aca="false">IF(Debt!AJ122&gt;0.000000001,AJ12/Debt!AJ122,0)</f>
        <v>6.71476207786946</v>
      </c>
      <c r="AK15" s="6" t="n">
        <f aca="false">IF(Debt!AK122&gt;0.000000001,AK12/Debt!AK122,0)</f>
        <v>8.91085484212112</v>
      </c>
      <c r="AL15" s="6" t="n">
        <f aca="false">IF(Debt!AL122&gt;0.000000001,AL12/Debt!AL122,0)</f>
        <v>10.8861811155889</v>
      </c>
      <c r="AM15" s="6" t="n">
        <f aca="false">IF(Debt!AM122&gt;0.000000001,AM12/Debt!AM122,0)</f>
        <v>14.342008699018</v>
      </c>
      <c r="AN15" s="6" t="n">
        <f aca="false">IF(Debt!AN122&gt;0.000000001,AN12/Debt!AN122,0)</f>
        <v>22.0763831026989</v>
      </c>
      <c r="AO15" s="6" t="n">
        <f aca="false">IF(Debt!AO122&gt;0.000000001,AO12/Debt!AO122,0)</f>
        <v>42.2071054692223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1.39629160854969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1.84131646975426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1165.40678257031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13.4925092677511</v>
      </c>
      <c r="BS8" s="16" t="n">
        <f aca="false">Waterfall!Q44</f>
        <v>11.0475438350187</v>
      </c>
      <c r="BT8" s="16" t="n">
        <f aca="false">Waterfall!R44</f>
        <v>12.0360535172629</v>
      </c>
      <c r="BU8" s="16" t="n">
        <f aca="false">Waterfall!S44</f>
        <v>11.2442381955162</v>
      </c>
      <c r="BV8" s="16" t="n">
        <f aca="false">Waterfall!T44</f>
        <v>12.0488789653183</v>
      </c>
      <c r="BW8" s="16" t="n">
        <f aca="false">Waterfall!U44</f>
        <v>11.1197757498465</v>
      </c>
      <c r="BX8" s="16" t="n">
        <f aca="false">Waterfall!V44</f>
        <v>12.422972924271</v>
      </c>
      <c r="BY8" s="16" t="n">
        <f aca="false">Waterfall!W44</f>
        <v>13.1926475453303</v>
      </c>
      <c r="BZ8" s="16" t="n">
        <f aca="false">Waterfall!X44</f>
        <v>12.1375661712774</v>
      </c>
      <c r="CA8" s="16" t="n">
        <f aca="false">Waterfall!Y44</f>
        <v>11.3862770610192</v>
      </c>
      <c r="CB8" s="16" t="n">
        <f aca="false">Waterfall!Z44</f>
        <v>12.1587917840126</v>
      </c>
      <c r="CC8" s="16" t="n">
        <f aca="false">Waterfall!AA44</f>
        <v>5.6816678738635</v>
      </c>
      <c r="CD8" s="16" t="n">
        <f aca="false">Waterfall!AB44</f>
        <v>6.73378743911777</v>
      </c>
      <c r="CE8" s="16" t="n">
        <f aca="false">Waterfall!AC44</f>
        <v>6.44464813468057</v>
      </c>
      <c r="CF8" s="16" t="n">
        <f aca="false">Waterfall!AD44</f>
        <v>7.82710463836991</v>
      </c>
      <c r="CG8" s="16" t="n">
        <f aca="false">Waterfall!AE44</f>
        <v>8.48578032811019</v>
      </c>
      <c r="CH8" s="16" t="n">
        <f aca="false">Waterfall!AF44</f>
        <v>9.43556426512269</v>
      </c>
      <c r="CI8" s="16" t="n">
        <f aca="false">Waterfall!AG44</f>
        <v>9.92018706011367</v>
      </c>
      <c r="CJ8" s="16" t="n">
        <f aca="false">Waterfall!AH44</f>
        <v>11.3566865980485</v>
      </c>
      <c r="CK8" s="16" t="n">
        <f aca="false">Waterfall!AI44</f>
        <v>12.2908008869718</v>
      </c>
      <c r="CL8" s="16" t="n">
        <f aca="false">Waterfall!AJ44</f>
        <v>14.2351595046146</v>
      </c>
      <c r="CM8" s="16" t="n">
        <f aca="false">Waterfall!AK44</f>
        <v>31.5901843002851</v>
      </c>
      <c r="CN8" s="16" t="n">
        <f aca="false">Waterfall!AL44</f>
        <v>30.0939397162563</v>
      </c>
      <c r="CO8" s="16" t="n">
        <f aca="false">Waterfall!AM44</f>
        <v>33.8761545204437</v>
      </c>
      <c r="CP8" s="16" t="n">
        <f aca="false">Waterfall!AN44</f>
        <v>30.5395124816682</v>
      </c>
      <c r="CQ8" s="16" t="n">
        <f aca="false">Waterfall!AO44</f>
        <v>41.9876004260199</v>
      </c>
      <c r="CR8" s="16" t="n">
        <f aca="false">Waterfall!AP44</f>
        <v>41.9557753672183</v>
      </c>
      <c r="CS8" s="16" t="n">
        <f aca="false">Waterfall!AQ44</f>
        <v>41.1745993340732</v>
      </c>
      <c r="CT8" s="16" t="n">
        <f aca="false">Waterfall!AR44</f>
        <v>41.770960831035</v>
      </c>
      <c r="CU8" s="16" t="n">
        <f aca="false">Waterfall!AS44</f>
        <v>41.5056129118261</v>
      </c>
      <c r="CV8" s="16" t="n">
        <f aca="false">Waterfall!AT44</f>
        <v>48.238693031292</v>
      </c>
      <c r="CW8" s="16" t="n">
        <f aca="false">Waterfall!AU44</f>
        <v>43.8015207396234</v>
      </c>
      <c r="CX8" s="16" t="n">
        <f aca="false">Waterfall!AV44</f>
        <v>43.9250195431293</v>
      </c>
      <c r="CY8" s="16" t="n">
        <f aca="false">Waterfall!AW44</f>
        <v>43.5006347551929</v>
      </c>
      <c r="CZ8" s="16" t="n">
        <f aca="false">Waterfall!AX44</f>
        <v>44.1754747855326</v>
      </c>
      <c r="DA8" s="16" t="n">
        <f aca="false">Waterfall!AY44</f>
        <v>43.7185522989792</v>
      </c>
      <c r="DB8" s="16" t="n">
        <f aca="false">Waterfall!AZ44</f>
        <v>44.3364424388821</v>
      </c>
      <c r="DC8" s="16" t="n">
        <f aca="false">Waterfall!BA44</f>
        <v>43.543829720821</v>
      </c>
      <c r="DD8" s="16" t="n">
        <f aca="false">Waterfall!BB44</f>
        <v>44.7848097266784</v>
      </c>
      <c r="DE8" s="16" t="n">
        <f aca="false">Waterfall!BC44</f>
        <v>41.3693070627511</v>
      </c>
      <c r="DF8" s="16" t="n">
        <f aca="false">Waterfall!BD44</f>
        <v>35.2535532770043</v>
      </c>
      <c r="DG8" s="16" t="n">
        <f aca="false">Waterfall!BE44</f>
        <v>34.8037917507731</v>
      </c>
      <c r="DH8" s="16" t="n">
        <f aca="false">Waterfall!BF44</f>
        <v>35.4911261343409</v>
      </c>
      <c r="DI8" s="16" t="n">
        <f aca="false">Waterfall!BG44</f>
        <v>35.0063413826083</v>
      </c>
      <c r="DJ8" s="16" t="n">
        <f aca="false">Waterfall!BH44</f>
        <v>35.6301644713499</v>
      </c>
      <c r="DK8" s="16" t="n">
        <f aca="false">Waterfall!BI44</f>
        <v>35.3515331654512</v>
      </c>
      <c r="DL8" s="16" t="n">
        <f aca="false">Waterfall!BJ44</f>
        <v>43.3576219239654</v>
      </c>
      <c r="DM8" s="16" t="n">
        <f aca="false">Waterfall!BK44</f>
        <v>38.0900629941884</v>
      </c>
      <c r="DN8" s="16" t="n">
        <f aca="false">Waterfall!BL44</f>
        <v>38.8201016869331</v>
      </c>
      <c r="DO8" s="16" t="n">
        <f aca="false">Waterfall!BM44</f>
        <v>54.8489876304097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1602.74546778171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50.1619722181901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52.8997050276094</v>
      </c>
      <c r="CP9" s="16" t="n">
        <f aca="false">Waterfall!AN7</f>
        <v>49.391678835263</v>
      </c>
      <c r="CQ9" s="16" t="n">
        <f aca="false">Waterfall!AO7</f>
        <v>41.9876004260199</v>
      </c>
      <c r="CR9" s="16" t="n">
        <f aca="false">Waterfall!AP7</f>
        <v>41.9557753672183</v>
      </c>
      <c r="CS9" s="16" t="n">
        <f aca="false">Waterfall!AQ7</f>
        <v>41.1745993340732</v>
      </c>
      <c r="CT9" s="16" t="n">
        <f aca="false">Waterfall!AR7</f>
        <v>41.770960831035</v>
      </c>
      <c r="CU9" s="16" t="n">
        <f aca="false">Waterfall!AS7</f>
        <v>41.5056129118261</v>
      </c>
      <c r="CV9" s="16" t="n">
        <f aca="false">Waterfall!AT7</f>
        <v>48.238693031292</v>
      </c>
      <c r="CW9" s="16" t="n">
        <f aca="false">Waterfall!AU7</f>
        <v>43.8015207396234</v>
      </c>
      <c r="CX9" s="16" t="n">
        <f aca="false">Waterfall!AV7</f>
        <v>43.9250195431293</v>
      </c>
      <c r="CY9" s="16" t="n">
        <f aca="false">Waterfall!AW7</f>
        <v>43.5006347551929</v>
      </c>
      <c r="CZ9" s="16" t="n">
        <f aca="false">Waterfall!AX7</f>
        <v>44.1754747855326</v>
      </c>
      <c r="DA9" s="16" t="n">
        <f aca="false">Waterfall!AY7</f>
        <v>43.7185522989792</v>
      </c>
      <c r="DB9" s="16" t="n">
        <f aca="false">Waterfall!AZ7</f>
        <v>44.3364424388821</v>
      </c>
      <c r="DC9" s="16" t="n">
        <f aca="false">Waterfall!BA7</f>
        <v>44.0387981074297</v>
      </c>
      <c r="DD9" s="16" t="n">
        <f aca="false">Waterfall!BB7</f>
        <v>46.2859599813229</v>
      </c>
      <c r="DE9" s="16" t="n">
        <f aca="false">Waterfall!BC7</f>
        <v>42.8868801360933</v>
      </c>
      <c r="DF9" s="16" t="n">
        <f aca="false">Waterfall!BD7</f>
        <v>36.7877288372509</v>
      </c>
      <c r="DG9" s="16" t="n">
        <f aca="false">Waterfall!BE7</f>
        <v>36.3547514317289</v>
      </c>
      <c r="DH9" s="16" t="n">
        <f aca="false">Waterfall!BF7</f>
        <v>37.0590535569129</v>
      </c>
      <c r="DI9" s="16" t="n">
        <f aca="false">Waterfall!BG7</f>
        <v>36.5914221765451</v>
      </c>
      <c r="DJ9" s="16" t="n">
        <f aca="false">Waterfall!BH7</f>
        <v>37.2325862972185</v>
      </c>
      <c r="DK9" s="16" t="n">
        <f aca="false">Waterfall!BI7</f>
        <v>36.9714857368546</v>
      </c>
      <c r="DL9" s="16" t="n">
        <f aca="false">Waterfall!BJ7</f>
        <v>44.9952970300032</v>
      </c>
      <c r="DM9" s="16" t="n">
        <f aca="false">Waterfall!BK7</f>
        <v>39.7456545221627</v>
      </c>
      <c r="DN9" s="16" t="n">
        <f aca="false">Waterfall!BL7</f>
        <v>40.4938056453036</v>
      </c>
      <c r="DO9" s="16" t="n">
        <f aca="false">Waterfall!BM7</f>
        <v>36.9078074684487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1912.21377544491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50.1619722181901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51.9872249530412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54.3101812323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42.4909024475175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-208.341258316306</v>
      </c>
      <c r="BS11" s="11" t="n">
        <f aca="false">BR11+BS8</f>
        <v>-197.293714481287</v>
      </c>
      <c r="BT11" s="11" t="n">
        <f aca="false">BS11+BT8</f>
        <v>-185.257660964025</v>
      </c>
      <c r="BU11" s="11" t="n">
        <f aca="false">BT11+BU8</f>
        <v>-174.013422768508</v>
      </c>
      <c r="BV11" s="11" t="n">
        <f aca="false">BU11+BV8</f>
        <v>-161.96454380319</v>
      </c>
      <c r="BW11" s="11" t="n">
        <f aca="false">BV11+BW8</f>
        <v>-150.844768053344</v>
      </c>
      <c r="BX11" s="11" t="n">
        <f aca="false">BW11+BX8</f>
        <v>-138.421795129073</v>
      </c>
      <c r="BY11" s="11" t="n">
        <f aca="false">BX11+BY8</f>
        <v>-125.229147583742</v>
      </c>
      <c r="BZ11" s="11" t="n">
        <f aca="false">BY11+BZ8</f>
        <v>-113.091581412465</v>
      </c>
      <c r="CA11" s="11" t="n">
        <f aca="false">BZ11+CA8</f>
        <v>-101.705304351446</v>
      </c>
      <c r="CB11" s="11" t="n">
        <f aca="false">CA11+CB8</f>
        <v>-89.5465125674331</v>
      </c>
      <c r="CC11" s="11" t="n">
        <f aca="false">CB11+CC8</f>
        <v>-83.8648446935696</v>
      </c>
      <c r="CD11" s="11" t="n">
        <f aca="false">CC11+CD8</f>
        <v>-77.1310572544518</v>
      </c>
      <c r="CE11" s="11" t="n">
        <f aca="false">CD11+CE8</f>
        <v>-70.6864091197713</v>
      </c>
      <c r="CF11" s="11" t="n">
        <f aca="false">CE11+CF8</f>
        <v>-62.8593044814014</v>
      </c>
      <c r="CG11" s="11" t="n">
        <f aca="false">CF11+CG8</f>
        <v>-54.3735241532912</v>
      </c>
      <c r="CH11" s="11" t="n">
        <f aca="false">CG11+CH8</f>
        <v>-44.9379598881685</v>
      </c>
      <c r="CI11" s="11" t="n">
        <f aca="false">CH11+CI8</f>
        <v>-35.0177728280548</v>
      </c>
      <c r="CJ11" s="11" t="n">
        <f aca="false">CI11+CJ8</f>
        <v>-23.6610862300063</v>
      </c>
      <c r="CK11" s="11" t="n">
        <f aca="false">CJ11+CK8</f>
        <v>-11.3702853430345</v>
      </c>
      <c r="CL11" s="11" t="n">
        <f aca="false">CK11+CL8</f>
        <v>2.86487416158009</v>
      </c>
      <c r="CM11" s="11" t="n">
        <f aca="false">CL11+CM8</f>
        <v>34.4550584618652</v>
      </c>
      <c r="CN11" s="11" t="n">
        <f aca="false">CM11+CN8</f>
        <v>64.5489981781215</v>
      </c>
      <c r="CO11" s="11" t="n">
        <f aca="false">CN11+CO8</f>
        <v>98.4251526985651</v>
      </c>
      <c r="CP11" s="11" t="n">
        <f aca="false">CO11+CP8</f>
        <v>128.964665180233</v>
      </c>
      <c r="CQ11" s="11" t="n">
        <f aca="false">CP11+CQ8</f>
        <v>170.952265606253</v>
      </c>
      <c r="CR11" s="11" t="n">
        <f aca="false">CQ11+CR8</f>
        <v>212.908040973472</v>
      </c>
      <c r="CS11" s="11" t="n">
        <f aca="false">CR11+CS8</f>
        <v>254.082640307545</v>
      </c>
      <c r="CT11" s="11" t="n">
        <f aca="false">CS11+CT8</f>
        <v>295.85360113858</v>
      </c>
      <c r="CU11" s="11" t="n">
        <f aca="false">CT11+CU8</f>
        <v>337.359214050406</v>
      </c>
      <c r="CV11" s="11" t="n">
        <f aca="false">CU11+CV8</f>
        <v>385.597907081698</v>
      </c>
      <c r="CW11" s="11" t="n">
        <f aca="false">CV11+CW8</f>
        <v>429.399427821321</v>
      </c>
      <c r="CX11" s="11" t="n">
        <f aca="false">CW11+CX8</f>
        <v>473.32444736445</v>
      </c>
      <c r="CY11" s="11" t="n">
        <f aca="false">CX11+CY8</f>
        <v>516.825082119643</v>
      </c>
      <c r="CZ11" s="11" t="n">
        <f aca="false">CY11+CZ8</f>
        <v>561.000556905176</v>
      </c>
      <c r="DA11" s="11" t="n">
        <f aca="false">CZ11+DA8</f>
        <v>604.719109204155</v>
      </c>
      <c r="DB11" s="11" t="n">
        <f aca="false">DA11+DB8</f>
        <v>649.055551643037</v>
      </c>
      <c r="DC11" s="11" t="n">
        <f aca="false">DB11+DC8</f>
        <v>692.599381363858</v>
      </c>
      <c r="DD11" s="11" t="n">
        <f aca="false">DC11+DD8</f>
        <v>737.384191090536</v>
      </c>
      <c r="DE11" s="11" t="n">
        <f aca="false">DD11+DE8</f>
        <v>778.753498153288</v>
      </c>
      <c r="DF11" s="11" t="n">
        <f aca="false">DE11+DF8</f>
        <v>814.007051430292</v>
      </c>
      <c r="DG11" s="11" t="n">
        <f aca="false">DF11+DG8</f>
        <v>848.810843181065</v>
      </c>
      <c r="DH11" s="11" t="n">
        <f aca="false">DG11+DH8</f>
        <v>884.301969315406</v>
      </c>
      <c r="DI11" s="11" t="n">
        <f aca="false">DH11+DI8</f>
        <v>919.308310698014</v>
      </c>
      <c r="DJ11" s="11" t="n">
        <f aca="false">DI11+DJ8</f>
        <v>954.938475169364</v>
      </c>
      <c r="DK11" s="11" t="n">
        <f aca="false">DJ11+DK8</f>
        <v>990.290008334815</v>
      </c>
      <c r="DL11" s="11" t="n">
        <f aca="false">DK11+DL8</f>
        <v>1033.64763025878</v>
      </c>
      <c r="DM11" s="11" t="n">
        <f aca="false">DL11+DM8</f>
        <v>1071.73769325297</v>
      </c>
      <c r="DN11" s="11" t="n">
        <f aca="false">DM11+DN8</f>
        <v>1110.5577949399</v>
      </c>
      <c r="DO11" s="11" t="n">
        <f aca="false">DN11+DO8</f>
        <v>1165.40678257031</v>
      </c>
      <c r="DP11" s="11" t="n">
        <f aca="false">DO11+DP8</f>
        <v>1165.40678257031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0.129260939715468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0.109925824767384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0.115860630640989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-49.1619266394004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1.39629160854969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1.84131646975426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0.129260939715468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0.109925824767384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-49.1619266394004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2026-10-03T20:47:50Z</dcterms:created>
  <dc:creator>openpyxl</dc:creator>
  <dc:description/>
  <dc:language>en-US</dc:language>
  <cp:lastModifiedBy/>
  <dcterms:modified xsi:type="dcterms:W3CDTF">2026-10-03T20:47:50Z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