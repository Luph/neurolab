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<sst xmlns="http://schemas.openxmlformats.org/spreadsheetml/2006/main" count="2268" uniqueCount="840">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</sst>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14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3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2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2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44531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53661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40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7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8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41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57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44531</v>
      </c>
      <c r="K23" s="8" t="n">
        <f aca="false">MAX(K18,$F$8)</f>
        <v>44531</v>
      </c>
      <c r="L23" s="8" t="n">
        <f aca="false">MAX(L18,$F$8)</f>
        <v>44531</v>
      </c>
      <c r="M23" s="8" t="n">
        <f aca="false">MAX(M18,$F$8)</f>
        <v>44531</v>
      </c>
      <c r="N23" s="8" t="n">
        <f aca="false">MAX(N18,$F$8)</f>
        <v>44531</v>
      </c>
      <c r="O23" s="8" t="n">
        <f aca="false">MAX(O18,$F$8)</f>
        <v>44531</v>
      </c>
      <c r="P23" s="8" t="n">
        <f aca="false">MAX(P18,$F$8)</f>
        <v>44531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53508</v>
      </c>
      <c r="BN24" s="8" t="n">
        <f aca="false">MIN(BN19,$F$9)</f>
        <v>53661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0</v>
      </c>
      <c r="P25" s="9" t="n">
        <f aca="false">IF(P24&gt;=P23,(YEAR(P24)-YEAR(P23))*12+MONTH(P24)-MONTH(P23)+1,0)</f>
        <v>1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6</v>
      </c>
      <c r="BN25" s="9" t="n">
        <f aca="false">IF(BN24&gt;=BN23,(YEAR(BN24)-YEAR(BN23))*12+MONTH(BN24)-MONTH(BN23)+1,0)</f>
        <v>5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0</v>
      </c>
      <c r="P26" s="9" t="n">
        <f aca="false">IF(P24&gt;=P23,P24-P23+1,0)</f>
        <v>31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181</v>
      </c>
      <c r="BN26" s="9" t="n">
        <f aca="false">IF(BN24&gt;=BN23,BN24-BN23+1,0)</f>
        <v>153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0</v>
      </c>
      <c r="Q27" s="9" t="n">
        <f aca="false">MIN(MAX((YEAR(Q18)-YEAR($F$8))*12+MONTH(Q18)-MONTH($F$8),0),300)</f>
        <v>1</v>
      </c>
      <c r="R27" s="9" t="n">
        <f aca="false">MIN(MAX((YEAR(R18)-YEAR($F$8))*12+MONTH(R18)-MONTH($F$8),0),300)</f>
        <v>7</v>
      </c>
      <c r="S27" s="9" t="n">
        <f aca="false">MIN(MAX((YEAR(S18)-YEAR($F$8))*12+MONTH(S18)-MONTH($F$8),0),300)</f>
        <v>13</v>
      </c>
      <c r="T27" s="9" t="n">
        <f aca="false">MIN(MAX((YEAR(T18)-YEAR($F$8))*12+MONTH(T18)-MONTH($F$8),0),300)</f>
        <v>19</v>
      </c>
      <c r="U27" s="9" t="n">
        <f aca="false">MIN(MAX((YEAR(U18)-YEAR($F$8))*12+MONTH(U18)-MONTH($F$8),0),300)</f>
        <v>25</v>
      </c>
      <c r="V27" s="9" t="n">
        <f aca="false">MIN(MAX((YEAR(V18)-YEAR($F$8))*12+MONTH(V18)-MONTH($F$8),0),300)</f>
        <v>31</v>
      </c>
      <c r="W27" s="9" t="n">
        <f aca="false">MIN(MAX((YEAR(W18)-YEAR($F$8))*12+MONTH(W18)-MONTH($F$8),0),300)</f>
        <v>37</v>
      </c>
      <c r="X27" s="9" t="n">
        <f aca="false">MIN(MAX((YEAR(X18)-YEAR($F$8))*12+MONTH(X18)-MONTH($F$8),0),300)</f>
        <v>43</v>
      </c>
      <c r="Y27" s="9" t="n">
        <f aca="false">MIN(MAX((YEAR(Y18)-YEAR($F$8))*12+MONTH(Y18)-MONTH($F$8),0),300)</f>
        <v>49</v>
      </c>
      <c r="Z27" s="9" t="n">
        <f aca="false">MIN(MAX((YEAR(Z18)-YEAR($F$8))*12+MONTH(Z18)-MONTH($F$8),0),300)</f>
        <v>55</v>
      </c>
      <c r="AA27" s="9" t="n">
        <f aca="false">MIN(MAX((YEAR(AA18)-YEAR($F$8))*12+MONTH(AA18)-MONTH($F$8),0),300)</f>
        <v>61</v>
      </c>
      <c r="AB27" s="9" t="n">
        <f aca="false">MIN(MAX((YEAR(AB18)-YEAR($F$8))*12+MONTH(AB18)-MONTH($F$8),0),300)</f>
        <v>67</v>
      </c>
      <c r="AC27" s="9" t="n">
        <f aca="false">MIN(MAX((YEAR(AC18)-YEAR($F$8))*12+MONTH(AC18)-MONTH($F$8),0),300)</f>
        <v>73</v>
      </c>
      <c r="AD27" s="9" t="n">
        <f aca="false">MIN(MAX((YEAR(AD18)-YEAR($F$8))*12+MONTH(AD18)-MONTH($F$8),0),300)</f>
        <v>79</v>
      </c>
      <c r="AE27" s="9" t="n">
        <f aca="false">MIN(MAX((YEAR(AE18)-YEAR($F$8))*12+MONTH(AE18)-MONTH($F$8),0),300)</f>
        <v>85</v>
      </c>
      <c r="AF27" s="9" t="n">
        <f aca="false">MIN(MAX((YEAR(AF18)-YEAR($F$8))*12+MONTH(AF18)-MONTH($F$8),0),300)</f>
        <v>91</v>
      </c>
      <c r="AG27" s="9" t="n">
        <f aca="false">MIN(MAX((YEAR(AG18)-YEAR($F$8))*12+MONTH(AG18)-MONTH($F$8),0),300)</f>
        <v>97</v>
      </c>
      <c r="AH27" s="9" t="n">
        <f aca="false">MIN(MAX((YEAR(AH18)-YEAR($F$8))*12+MONTH(AH18)-MONTH($F$8),0),300)</f>
        <v>103</v>
      </c>
      <c r="AI27" s="9" t="n">
        <f aca="false">MIN(MAX((YEAR(AI18)-YEAR($F$8))*12+MONTH(AI18)-MONTH($F$8),0),300)</f>
        <v>109</v>
      </c>
      <c r="AJ27" s="9" t="n">
        <f aca="false">MIN(MAX((YEAR(AJ18)-YEAR($F$8))*12+MONTH(AJ18)-MONTH($F$8),0),300)</f>
        <v>115</v>
      </c>
      <c r="AK27" s="9" t="n">
        <f aca="false">MIN(MAX((YEAR(AK18)-YEAR($F$8))*12+MONTH(AK18)-MONTH($F$8),0),300)</f>
        <v>121</v>
      </c>
      <c r="AL27" s="9" t="n">
        <f aca="false">MIN(MAX((YEAR(AL18)-YEAR($F$8))*12+MONTH(AL18)-MONTH($F$8),0),300)</f>
        <v>127</v>
      </c>
      <c r="AM27" s="9" t="n">
        <f aca="false">MIN(MAX((YEAR(AM18)-YEAR($F$8))*12+MONTH(AM18)-MONTH($F$8),0),300)</f>
        <v>133</v>
      </c>
      <c r="AN27" s="9" t="n">
        <f aca="false">MIN(MAX((YEAR(AN18)-YEAR($F$8))*12+MONTH(AN18)-MONTH($F$8),0),300)</f>
        <v>139</v>
      </c>
      <c r="AO27" s="9" t="n">
        <f aca="false">MIN(MAX((YEAR(AO18)-YEAR($F$8))*12+MONTH(AO18)-MONTH($F$8),0),300)</f>
        <v>145</v>
      </c>
      <c r="AP27" s="9" t="n">
        <f aca="false">MIN(MAX((YEAR(AP18)-YEAR($F$8))*12+MONTH(AP18)-MONTH($F$8),0),300)</f>
        <v>151</v>
      </c>
      <c r="AQ27" s="9" t="n">
        <f aca="false">MIN(MAX((YEAR(AQ18)-YEAR($F$8))*12+MONTH(AQ18)-MONTH($F$8),0),300)</f>
        <v>157</v>
      </c>
      <c r="AR27" s="9" t="n">
        <f aca="false">MIN(MAX((YEAR(AR18)-YEAR($F$8))*12+MONTH(AR18)-MONTH($F$8),0),300)</f>
        <v>163</v>
      </c>
      <c r="AS27" s="9" t="n">
        <f aca="false">MIN(MAX((YEAR(AS18)-YEAR($F$8))*12+MONTH(AS18)-MONTH($F$8),0),300)</f>
        <v>169</v>
      </c>
      <c r="AT27" s="9" t="n">
        <f aca="false">MIN(MAX((YEAR(AT18)-YEAR($F$8))*12+MONTH(AT18)-MONTH($F$8),0),300)</f>
        <v>175</v>
      </c>
      <c r="AU27" s="9" t="n">
        <f aca="false">MIN(MAX((YEAR(AU18)-YEAR($F$8))*12+MONTH(AU18)-MONTH($F$8),0),300)</f>
        <v>181</v>
      </c>
      <c r="AV27" s="9" t="n">
        <f aca="false">MIN(MAX((YEAR(AV18)-YEAR($F$8))*12+MONTH(AV18)-MONTH($F$8),0),300)</f>
        <v>187</v>
      </c>
      <c r="AW27" s="9" t="n">
        <f aca="false">MIN(MAX((YEAR(AW18)-YEAR($F$8))*12+MONTH(AW18)-MONTH($F$8),0),300)</f>
        <v>193</v>
      </c>
      <c r="AX27" s="9" t="n">
        <f aca="false">MIN(MAX((YEAR(AX18)-YEAR($F$8))*12+MONTH(AX18)-MONTH($F$8),0),300)</f>
        <v>199</v>
      </c>
      <c r="AY27" s="9" t="n">
        <f aca="false">MIN(MAX((YEAR(AY18)-YEAR($F$8))*12+MONTH(AY18)-MONTH($F$8),0),300)</f>
        <v>205</v>
      </c>
      <c r="AZ27" s="9" t="n">
        <f aca="false">MIN(MAX((YEAR(AZ18)-YEAR($F$8))*12+MONTH(AZ18)-MONTH($F$8),0),300)</f>
        <v>211</v>
      </c>
      <c r="BA27" s="9" t="n">
        <f aca="false">MIN(MAX((YEAR(BA18)-YEAR($F$8))*12+MONTH(BA18)-MONTH($F$8),0),300)</f>
        <v>217</v>
      </c>
      <c r="BB27" s="9" t="n">
        <f aca="false">MIN(MAX((YEAR(BB18)-YEAR($F$8))*12+MONTH(BB18)-MONTH($F$8),0),300)</f>
        <v>223</v>
      </c>
      <c r="BC27" s="9" t="n">
        <f aca="false">MIN(MAX((YEAR(BC18)-YEAR($F$8))*12+MONTH(BC18)-MONTH($F$8),0),300)</f>
        <v>229</v>
      </c>
      <c r="BD27" s="9" t="n">
        <f aca="false">MIN(MAX((YEAR(BD18)-YEAR($F$8))*12+MONTH(BD18)-MONTH($F$8),0),300)</f>
        <v>235</v>
      </c>
      <c r="BE27" s="9" t="n">
        <f aca="false">MIN(MAX((YEAR(BE18)-YEAR($F$8))*12+MONTH(BE18)-MONTH($F$8),0),300)</f>
        <v>241</v>
      </c>
      <c r="BF27" s="9" t="n">
        <f aca="false">MIN(MAX((YEAR(BF18)-YEAR($F$8))*12+MONTH(BF18)-MONTH($F$8),0),300)</f>
        <v>247</v>
      </c>
      <c r="BG27" s="9" t="n">
        <f aca="false">MIN(MAX((YEAR(BG18)-YEAR($F$8))*12+MONTH(BG18)-MONTH($F$8),0),300)</f>
        <v>253</v>
      </c>
      <c r="BH27" s="9" t="n">
        <f aca="false">MIN(MAX((YEAR(BH18)-YEAR($F$8))*12+MONTH(BH18)-MONTH($F$8),0),300)</f>
        <v>259</v>
      </c>
      <c r="BI27" s="9" t="n">
        <f aca="false">MIN(MAX((YEAR(BI18)-YEAR($F$8))*12+MONTH(BI18)-MONTH($F$8),0),300)</f>
        <v>265</v>
      </c>
      <c r="BJ27" s="9" t="n">
        <f aca="false">MIN(MAX((YEAR(BJ18)-YEAR($F$8))*12+MONTH(BJ18)-MONTH($F$8),0),300)</f>
        <v>271</v>
      </c>
      <c r="BK27" s="9" t="n">
        <f aca="false">MIN(MAX((YEAR(BK18)-YEAR($F$8))*12+MONTH(BK18)-MONTH($F$8),0),300)</f>
        <v>277</v>
      </c>
      <c r="BL27" s="9" t="n">
        <f aca="false">MIN(MAX((YEAR(BL18)-YEAR($F$8))*12+MONTH(BL18)-MONTH($F$8),0),300)</f>
        <v>283</v>
      </c>
      <c r="BM27" s="9" t="n">
        <f aca="false">MIN(MAX((YEAR(BM18)-YEAR($F$8))*12+MONTH(BM18)-MONTH($F$8),0),300)</f>
        <v>289</v>
      </c>
      <c r="BN27" s="9" t="n">
        <f aca="false">MIN(MAX((YEAR(BN18)-YEAR($F$8))*12+MONTH(BN18)-MONTH($F$8),0),300)</f>
        <v>295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0</v>
      </c>
      <c r="P28" s="9" t="n">
        <f aca="false">P27+P25</f>
        <v>1</v>
      </c>
      <c r="Q28" s="9" t="n">
        <f aca="false">Q27+Q25</f>
        <v>7</v>
      </c>
      <c r="R28" s="9" t="n">
        <f aca="false">R27+R25</f>
        <v>13</v>
      </c>
      <c r="S28" s="9" t="n">
        <f aca="false">S27+S25</f>
        <v>19</v>
      </c>
      <c r="T28" s="9" t="n">
        <f aca="false">T27+T25</f>
        <v>25</v>
      </c>
      <c r="U28" s="9" t="n">
        <f aca="false">U27+U25</f>
        <v>31</v>
      </c>
      <c r="V28" s="9" t="n">
        <f aca="false">V27+V25</f>
        <v>37</v>
      </c>
      <c r="W28" s="9" t="n">
        <f aca="false">W27+W25</f>
        <v>43</v>
      </c>
      <c r="X28" s="9" t="n">
        <f aca="false">X27+X25</f>
        <v>49</v>
      </c>
      <c r="Y28" s="9" t="n">
        <f aca="false">Y27+Y25</f>
        <v>55</v>
      </c>
      <c r="Z28" s="9" t="n">
        <f aca="false">Z27+Z25</f>
        <v>61</v>
      </c>
      <c r="AA28" s="9" t="n">
        <f aca="false">AA27+AA25</f>
        <v>67</v>
      </c>
      <c r="AB28" s="9" t="n">
        <f aca="false">AB27+AB25</f>
        <v>73</v>
      </c>
      <c r="AC28" s="9" t="n">
        <f aca="false">AC27+AC25</f>
        <v>79</v>
      </c>
      <c r="AD28" s="9" t="n">
        <f aca="false">AD27+AD25</f>
        <v>85</v>
      </c>
      <c r="AE28" s="9" t="n">
        <f aca="false">AE27+AE25</f>
        <v>91</v>
      </c>
      <c r="AF28" s="9" t="n">
        <f aca="false">AF27+AF25</f>
        <v>97</v>
      </c>
      <c r="AG28" s="9" t="n">
        <f aca="false">AG27+AG25</f>
        <v>103</v>
      </c>
      <c r="AH28" s="9" t="n">
        <f aca="false">AH27+AH25</f>
        <v>109</v>
      </c>
      <c r="AI28" s="9" t="n">
        <f aca="false">AI27+AI25</f>
        <v>115</v>
      </c>
      <c r="AJ28" s="9" t="n">
        <f aca="false">AJ27+AJ25</f>
        <v>121</v>
      </c>
      <c r="AK28" s="9" t="n">
        <f aca="false">AK27+AK25</f>
        <v>127</v>
      </c>
      <c r="AL28" s="9" t="n">
        <f aca="false">AL27+AL25</f>
        <v>133</v>
      </c>
      <c r="AM28" s="9" t="n">
        <f aca="false">AM27+AM25</f>
        <v>139</v>
      </c>
      <c r="AN28" s="9" t="n">
        <f aca="false">AN27+AN25</f>
        <v>145</v>
      </c>
      <c r="AO28" s="9" t="n">
        <f aca="false">AO27+AO25</f>
        <v>151</v>
      </c>
      <c r="AP28" s="9" t="n">
        <f aca="false">AP27+AP25</f>
        <v>157</v>
      </c>
      <c r="AQ28" s="9" t="n">
        <f aca="false">AQ27+AQ25</f>
        <v>163</v>
      </c>
      <c r="AR28" s="9" t="n">
        <f aca="false">AR27+AR25</f>
        <v>169</v>
      </c>
      <c r="AS28" s="9" t="n">
        <f aca="false">AS27+AS25</f>
        <v>175</v>
      </c>
      <c r="AT28" s="9" t="n">
        <f aca="false">AT27+AT25</f>
        <v>181</v>
      </c>
      <c r="AU28" s="9" t="n">
        <f aca="false">AU27+AU25</f>
        <v>187</v>
      </c>
      <c r="AV28" s="9" t="n">
        <f aca="false">AV27+AV25</f>
        <v>193</v>
      </c>
      <c r="AW28" s="9" t="n">
        <f aca="false">AW27+AW25</f>
        <v>199</v>
      </c>
      <c r="AX28" s="9" t="n">
        <f aca="false">AX27+AX25</f>
        <v>205</v>
      </c>
      <c r="AY28" s="9" t="n">
        <f aca="false">AY27+AY25</f>
        <v>211</v>
      </c>
      <c r="AZ28" s="9" t="n">
        <f aca="false">AZ27+AZ25</f>
        <v>217</v>
      </c>
      <c r="BA28" s="9" t="n">
        <f aca="false">BA27+BA25</f>
        <v>223</v>
      </c>
      <c r="BB28" s="9" t="n">
        <f aca="false">BB27+BB25</f>
        <v>229</v>
      </c>
      <c r="BC28" s="9" t="n">
        <f aca="false">BC27+BC25</f>
        <v>235</v>
      </c>
      <c r="BD28" s="9" t="n">
        <f aca="false">BD27+BD25</f>
        <v>241</v>
      </c>
      <c r="BE28" s="9" t="n">
        <f aca="false">BE27+BE25</f>
        <v>247</v>
      </c>
      <c r="BF28" s="9" t="n">
        <f aca="false">BF27+BF25</f>
        <v>253</v>
      </c>
      <c r="BG28" s="9" t="n">
        <f aca="false">BG27+BG25</f>
        <v>259</v>
      </c>
      <c r="BH28" s="9" t="n">
        <f aca="false">BH27+BH25</f>
        <v>265</v>
      </c>
      <c r="BI28" s="9" t="n">
        <f aca="false">BI27+BI25</f>
        <v>271</v>
      </c>
      <c r="BJ28" s="9" t="n">
        <f aca="false">BJ27+BJ25</f>
        <v>277</v>
      </c>
      <c r="BK28" s="9" t="n">
        <f aca="false">BK27+BK25</f>
        <v>283</v>
      </c>
      <c r="BL28" s="9" t="n">
        <f aca="false">BL27+BL25</f>
        <v>289</v>
      </c>
      <c r="BM28" s="9" t="n">
        <f aca="false">BM27+BM25</f>
        <v>295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0</v>
      </c>
      <c r="P29" s="9" t="n">
        <f aca="false">IF(P17=$F$11,1,0)</f>
        <v>1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0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0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1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0</v>
      </c>
      <c r="BN32" s="9" t="n">
        <f aca="false">IF(AND(BN25&gt;0,0=0),1,0)</f>
        <v>1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1</v>
      </c>
      <c r="AR13" s="9" t="n">
        <f aca="false">IF(AR8&lt;=Time!$F$10,1,0)</f>
        <v>1</v>
      </c>
      <c r="AS13" s="9" t="n">
        <f aca="false">IF(AS8&lt;=Time!$F$10,1,0)</f>
        <v>1</v>
      </c>
      <c r="AT13" s="9" t="n">
        <f aca="false">IF(AT8&lt;=Time!$F$10,1,0)</f>
        <v>1</v>
      </c>
      <c r="AU13" s="9" t="n">
        <f aca="false">IF(AU8&lt;=Time!$F$10,1,0)</f>
        <v>1</v>
      </c>
      <c r="AV13" s="9" t="n">
        <f aca="false">IF(AV8&lt;=Time!$F$10,1,0)</f>
        <v>1</v>
      </c>
      <c r="AW13" s="9" t="n">
        <f aca="false">IF(AW8&lt;=Time!$F$10,1,0)</f>
        <v>1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1</v>
      </c>
      <c r="AT14" s="9" t="n">
        <f aca="false">IF(AT8&lt;=Time!$F$13,1,0)</f>
        <v>1</v>
      </c>
      <c r="AU14" s="9" t="n">
        <f aca="false">IF(AU8&lt;=Time!$F$13,1,0)</f>
        <v>1</v>
      </c>
      <c r="AV14" s="9" t="n">
        <f aca="false">IF(AV8&lt;=Time!$F$13,1,0)</f>
        <v>1</v>
      </c>
      <c r="AW14" s="9" t="n">
        <f aca="false">IF(AW8&lt;=Time!$F$13,1,0)</f>
        <v>1</v>
      </c>
      <c r="AX14" s="9" t="n">
        <f aca="false">IF(AX8&lt;=Time!$F$13,1,0)</f>
        <v>1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0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1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524.6</v>
      </c>
      <c r="K16" s="11" t="n">
        <f aca="false">IF(Inputs!$F$32=1,Inputs!$F$58*Time!$F$15^((K8-0.5)/12),INDEX(Operations!$J$11:$BN$11,1,K12))</f>
        <v>524.6</v>
      </c>
      <c r="L16" s="11" t="n">
        <f aca="false">IF(Inputs!$F$32=1,Inputs!$F$58*Time!$F$15^((L8-0.5)/12),INDEX(Operations!$J$11:$BN$11,1,L12))</f>
        <v>524.6</v>
      </c>
      <c r="M16" s="11" t="n">
        <f aca="false">IF(Inputs!$F$32=1,Inputs!$F$58*Time!$F$15^((M8-0.5)/12),INDEX(Operations!$J$11:$BN$11,1,M12))</f>
        <v>524.6</v>
      </c>
      <c r="N16" s="11" t="n">
        <f aca="false">IF(Inputs!$F$32=1,Inputs!$F$58*Time!$F$15^((N8-0.5)/12),INDEX(Operations!$J$11:$BN$11,1,N12))</f>
        <v>524.6</v>
      </c>
      <c r="O16" s="11" t="n">
        <f aca="false">IF(Inputs!$F$32=1,Inputs!$F$58*Time!$F$15^((O8-0.5)/12),INDEX(Operations!$J$11:$BN$11,1,O12))</f>
        <v>539.1</v>
      </c>
      <c r="P16" s="11" t="n">
        <f aca="false">IF(Inputs!$F$32=1,Inputs!$F$58*Time!$F$15^((P8-0.5)/12),INDEX(Operations!$J$11:$BN$11,1,P12))</f>
        <v>539.1</v>
      </c>
      <c r="Q16" s="11" t="n">
        <f aca="false">IF(Inputs!$F$32=1,Inputs!$F$58*Time!$F$15^((Q8-0.5)/12),INDEX(Operations!$J$11:$BN$11,1,Q12))</f>
        <v>539.1</v>
      </c>
      <c r="R16" s="11" t="n">
        <f aca="false">IF(Inputs!$F$32=1,Inputs!$F$58*Time!$F$15^((R8-0.5)/12),INDEX(Operations!$J$11:$BN$11,1,R12))</f>
        <v>539.1</v>
      </c>
      <c r="S16" s="11" t="n">
        <f aca="false">IF(Inputs!$F$32=1,Inputs!$F$58*Time!$F$15^((S8-0.5)/12),INDEX(Operations!$J$11:$BN$11,1,S12))</f>
        <v>539.1</v>
      </c>
      <c r="T16" s="11" t="n">
        <f aca="false">IF(Inputs!$F$32=1,Inputs!$F$58*Time!$F$15^((T8-0.5)/12),INDEX(Operations!$J$11:$BN$11,1,T12))</f>
        <v>539.1</v>
      </c>
      <c r="U16" s="11" t="n">
        <f aca="false">IF(Inputs!$F$32=1,Inputs!$F$58*Time!$F$15^((U8-0.5)/12),INDEX(Operations!$J$11:$BN$11,1,U12))</f>
        <v>551.3</v>
      </c>
      <c r="V16" s="11" t="n">
        <f aca="false">IF(Inputs!$F$32=1,Inputs!$F$58*Time!$F$15^((V8-0.5)/12),INDEX(Operations!$J$11:$BN$11,1,V12))</f>
        <v>551.3</v>
      </c>
      <c r="W16" s="11" t="n">
        <f aca="false">IF(Inputs!$F$32=1,Inputs!$F$58*Time!$F$15^((W8-0.5)/12),INDEX(Operations!$J$11:$BN$11,1,W12))</f>
        <v>551.3</v>
      </c>
      <c r="X16" s="11" t="n">
        <f aca="false">IF(Inputs!$F$32=1,Inputs!$F$58*Time!$F$15^((X8-0.5)/12),INDEX(Operations!$J$11:$BN$11,1,X12))</f>
        <v>551.3</v>
      </c>
      <c r="Y16" s="11" t="n">
        <f aca="false">IF(Inputs!$F$32=1,Inputs!$F$58*Time!$F$15^((Y8-0.5)/12),INDEX(Operations!$J$11:$BN$11,1,Y12))</f>
        <v>551.3</v>
      </c>
      <c r="Z16" s="11" t="n">
        <f aca="false">IF(Inputs!$F$32=1,Inputs!$F$58*Time!$F$15^((Z8-0.5)/12),INDEX(Operations!$J$11:$BN$11,1,Z12))</f>
        <v>551.3</v>
      </c>
      <c r="AA16" s="11" t="n">
        <f aca="false">IF(Inputs!$F$32=1,Inputs!$F$58*Time!$F$15^((AA8-0.5)/12),INDEX(Operations!$J$11:$BN$11,1,AA12))</f>
        <v>566</v>
      </c>
      <c r="AB16" s="11" t="n">
        <f aca="false">IF(Inputs!$F$32=1,Inputs!$F$58*Time!$F$15^((AB8-0.5)/12),INDEX(Operations!$J$11:$BN$11,1,AB12))</f>
        <v>566</v>
      </c>
      <c r="AC16" s="11" t="n">
        <f aca="false">IF(Inputs!$F$32=1,Inputs!$F$58*Time!$F$15^((AC8-0.5)/12),INDEX(Operations!$J$11:$BN$11,1,AC12))</f>
        <v>566</v>
      </c>
      <c r="AD16" s="11" t="n">
        <f aca="false">IF(Inputs!$F$32=1,Inputs!$F$58*Time!$F$15^((AD8-0.5)/12),INDEX(Operations!$J$11:$BN$11,1,AD12))</f>
        <v>566</v>
      </c>
      <c r="AE16" s="11" t="n">
        <f aca="false">IF(Inputs!$F$32=1,Inputs!$F$58*Time!$F$15^((AE8-0.5)/12),INDEX(Operations!$J$11:$BN$11,1,AE12))</f>
        <v>566</v>
      </c>
      <c r="AF16" s="11" t="n">
        <f aca="false">IF(Inputs!$F$32=1,Inputs!$F$58*Time!$F$15^((AF8-0.5)/12),INDEX(Operations!$J$11:$BN$11,1,AF12))</f>
        <v>566</v>
      </c>
      <c r="AG16" s="11" t="n">
        <f aca="false">IF(Inputs!$F$32=1,Inputs!$F$58*Time!$F$15^((AG8-0.5)/12),INDEX(Operations!$J$11:$BN$11,1,AG12))</f>
        <v>579.8</v>
      </c>
      <c r="AH16" s="11" t="n">
        <f aca="false">IF(Inputs!$F$32=1,Inputs!$F$58*Time!$F$15^((AH8-0.5)/12),INDEX(Operations!$J$11:$BN$11,1,AH12))</f>
        <v>579.8</v>
      </c>
      <c r="AI16" s="11" t="n">
        <f aca="false">IF(Inputs!$F$32=1,Inputs!$F$58*Time!$F$15^((AI8-0.5)/12),INDEX(Operations!$J$11:$BN$11,1,AI12))</f>
        <v>579.8</v>
      </c>
      <c r="AJ16" s="11" t="n">
        <f aca="false">IF(Inputs!$F$32=1,Inputs!$F$58*Time!$F$15^((AJ8-0.5)/12),INDEX(Operations!$J$11:$BN$11,1,AJ12))</f>
        <v>579.8</v>
      </c>
      <c r="AK16" s="11" t="n">
        <f aca="false">IF(Inputs!$F$32=1,Inputs!$F$58*Time!$F$15^((AK8-0.5)/12),INDEX(Operations!$J$11:$BN$11,1,AK12))</f>
        <v>579.8</v>
      </c>
      <c r="AL16" s="11" t="n">
        <f aca="false">IF(Inputs!$F$32=1,Inputs!$F$58*Time!$F$15^((AL8-0.5)/12),INDEX(Operations!$J$11:$BN$11,1,AL12))</f>
        <v>579.8</v>
      </c>
      <c r="AM16" s="11" t="n">
        <f aca="false">IF(Inputs!$F$32=1,Inputs!$F$58*Time!$F$15^((AM8-0.5)/12),INDEX(Operations!$J$11:$BN$11,1,AM12))</f>
        <v>597.4</v>
      </c>
      <c r="AN16" s="11" t="n">
        <f aca="false">IF(Inputs!$F$32=1,Inputs!$F$58*Time!$F$15^((AN8-0.5)/12),INDEX(Operations!$J$11:$BN$11,1,AN12))</f>
        <v>597.4</v>
      </c>
      <c r="AO16" s="11" t="n">
        <f aca="false">IF(Inputs!$F$32=1,Inputs!$F$58*Time!$F$15^((AO8-0.5)/12),INDEX(Operations!$J$11:$BN$11,1,AO12))</f>
        <v>597.4</v>
      </c>
      <c r="AP16" s="11" t="n">
        <f aca="false">IF(Inputs!$F$32=1,Inputs!$F$58*Time!$F$15^((AP8-0.5)/12),INDEX(Operations!$J$11:$BN$11,1,AP12))</f>
        <v>597.4</v>
      </c>
      <c r="AQ16" s="11" t="n">
        <f aca="false">IF(Inputs!$F$32=1,Inputs!$F$58*Time!$F$15^((AQ8-0.5)/12),INDEX(Operations!$J$11:$BN$11,1,AQ12))</f>
        <v>597.4</v>
      </c>
      <c r="AR16" s="11" t="n">
        <f aca="false">IF(Inputs!$F$32=1,Inputs!$F$58*Time!$F$15^((AR8-0.5)/12),INDEX(Operations!$J$11:$BN$11,1,AR12))</f>
        <v>597.4</v>
      </c>
      <c r="AS16" s="11" t="n">
        <f aca="false">IF(Inputs!$F$32=1,Inputs!$F$58*Time!$F$15^((AS8-0.5)/12),INDEX(Operations!$J$11:$BN$11,1,AS12))</f>
        <v>609.6</v>
      </c>
      <c r="AT16" s="11" t="n">
        <f aca="false">IF(Inputs!$F$32=1,Inputs!$F$58*Time!$F$15^((AT8-0.5)/12),INDEX(Operations!$J$11:$BN$11,1,AT12))</f>
        <v>609.6</v>
      </c>
      <c r="AU16" s="11" t="n">
        <f aca="false">IF(Inputs!$F$32=1,Inputs!$F$58*Time!$F$15^((AU8-0.5)/12),INDEX(Operations!$J$11:$BN$11,1,AU12))</f>
        <v>609.6</v>
      </c>
      <c r="AV16" s="11" t="n">
        <f aca="false">IF(Inputs!$F$32=1,Inputs!$F$58*Time!$F$15^((AV8-0.5)/12),INDEX(Operations!$J$11:$BN$11,1,AV12))</f>
        <v>609.6</v>
      </c>
      <c r="AW16" s="11" t="n">
        <f aca="false">IF(Inputs!$F$32=1,Inputs!$F$58*Time!$F$15^((AW8-0.5)/12),INDEX(Operations!$J$11:$BN$11,1,AW12))</f>
        <v>609.6</v>
      </c>
      <c r="AX16" s="11" t="n">
        <f aca="false">IF(Inputs!$F$32=1,Inputs!$F$58*Time!$F$15^((AX8-0.5)/12),INDEX(Operations!$J$11:$BN$11,1,AX12))</f>
        <v>609.6</v>
      </c>
      <c r="AY16" s="11" t="n">
        <f aca="false">IF(Inputs!$F$32=1,Inputs!$F$58*Time!$F$15^((AY8-0.5)/12),INDEX(Operations!$J$11:$BN$11,1,AY12))</f>
        <v>625.206871438513</v>
      </c>
      <c r="AZ16" s="11" t="n">
        <f aca="false">IF(Inputs!$F$32=1,Inputs!$F$58*Time!$F$15^((AZ8-0.5)/12),INDEX(Operations!$J$11:$BN$11,1,AZ12))</f>
        <v>625.206871438513</v>
      </c>
      <c r="BA16" s="11" t="n">
        <f aca="false">IF(Inputs!$F$32=1,Inputs!$F$58*Time!$F$15^((BA8-0.5)/12),INDEX(Operations!$J$11:$BN$11,1,BA12))</f>
        <v>625.206871438513</v>
      </c>
      <c r="BB16" s="11" t="n">
        <f aca="false">IF(Inputs!$F$32=1,Inputs!$F$58*Time!$F$15^((BB8-0.5)/12),INDEX(Operations!$J$11:$BN$11,1,BB12))</f>
        <v>625.206871438513</v>
      </c>
      <c r="BC16" s="11" t="n">
        <f aca="false">IF(Inputs!$F$32=1,Inputs!$F$58*Time!$F$15^((BC8-0.5)/12),INDEX(Operations!$J$11:$BN$11,1,BC12))</f>
        <v>625.206871438513</v>
      </c>
      <c r="BD16" s="11" t="n">
        <f aca="false">IF(Inputs!$F$32=1,Inputs!$F$58*Time!$F$15^((BD8-0.5)/12),INDEX(Operations!$J$11:$BN$11,1,BD12))</f>
        <v>625.206871438513</v>
      </c>
      <c r="BE16" s="11" t="n">
        <f aca="false">IF(Inputs!$F$32=1,Inputs!$F$58*Time!$F$15^((BE8-0.5)/12),INDEX(Operations!$J$11:$BN$11,1,BE12))</f>
        <v>641.213307240704</v>
      </c>
      <c r="BF16" s="11" t="n">
        <f aca="false">IF(Inputs!$F$32=1,Inputs!$F$58*Time!$F$15^((BF8-0.5)/12),INDEX(Operations!$J$11:$BN$11,1,BF12))</f>
        <v>641.213307240704</v>
      </c>
      <c r="BG16" s="11" t="n">
        <f aca="false">IF(Inputs!$F$32=1,Inputs!$F$58*Time!$F$15^((BG8-0.5)/12),INDEX(Operations!$J$11:$BN$11,1,BG12))</f>
        <v>641.213307240704</v>
      </c>
      <c r="BH16" s="11" t="n">
        <f aca="false">IF(Inputs!$F$32=1,Inputs!$F$58*Time!$F$15^((BH8-0.5)/12),INDEX(Operations!$J$11:$BN$11,1,BH12))</f>
        <v>641.213307240704</v>
      </c>
      <c r="BI16" s="11" t="n">
        <f aca="false">IF(Inputs!$F$32=1,Inputs!$F$58*Time!$F$15^((BI8-0.5)/12),INDEX(Operations!$J$11:$BN$11,1,BI12))</f>
        <v>641.213307240704</v>
      </c>
      <c r="BJ16" s="11" t="n">
        <f aca="false">IF(Inputs!$F$32=1,Inputs!$F$58*Time!$F$15^((BJ8-0.5)/12),INDEX(Operations!$J$11:$BN$11,1,BJ12))</f>
        <v>641.213307240704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2.87</v>
      </c>
      <c r="P17" s="11" t="n">
        <f aca="false">INDEX(Operations!$J$8:$BN$8,1,P12)</f>
        <v>2.87</v>
      </c>
      <c r="Q17" s="11" t="n">
        <f aca="false">INDEX(Operations!$J$8:$BN$8,1,Q12)</f>
        <v>2.87</v>
      </c>
      <c r="R17" s="11" t="n">
        <f aca="false">INDEX(Operations!$J$8:$BN$8,1,R12)</f>
        <v>2.87</v>
      </c>
      <c r="S17" s="11" t="n">
        <f aca="false">INDEX(Operations!$J$8:$BN$8,1,S12)</f>
        <v>2.87</v>
      </c>
      <c r="T17" s="11" t="n">
        <f aca="false">INDEX(Operations!$J$8:$BN$8,1,T12)</f>
        <v>2.87</v>
      </c>
      <c r="U17" s="11" t="n">
        <f aca="false">INDEX(Operations!$J$8:$BN$8,1,U12)</f>
        <v>2.2</v>
      </c>
      <c r="V17" s="11" t="n">
        <f aca="false">INDEX(Operations!$J$8:$BN$8,1,V12)</f>
        <v>2.2</v>
      </c>
      <c r="W17" s="11" t="n">
        <f aca="false">INDEX(Operations!$J$8:$BN$8,1,W12)</f>
        <v>2.2</v>
      </c>
      <c r="X17" s="11" t="n">
        <f aca="false">INDEX(Operations!$J$8:$BN$8,1,X12)</f>
        <v>2.2</v>
      </c>
      <c r="Y17" s="11" t="n">
        <f aca="false">INDEX(Operations!$J$8:$BN$8,1,Y12)</f>
        <v>2.2</v>
      </c>
      <c r="Z17" s="11" t="n">
        <f aca="false">INDEX(Operations!$J$8:$BN$8,1,Z12)</f>
        <v>2.2</v>
      </c>
      <c r="AA17" s="11" t="n">
        <f aca="false">INDEX(Operations!$J$8:$BN$8,1,AA12)</f>
        <v>1.91</v>
      </c>
      <c r="AB17" s="11" t="n">
        <f aca="false">INDEX(Operations!$J$8:$BN$8,1,AB12)</f>
        <v>1.91</v>
      </c>
      <c r="AC17" s="11" t="n">
        <f aca="false">INDEX(Operations!$J$8:$BN$8,1,AC12)</f>
        <v>1.91</v>
      </c>
      <c r="AD17" s="11" t="n">
        <f aca="false">INDEX(Operations!$J$8:$BN$8,1,AD12)</f>
        <v>1.91</v>
      </c>
      <c r="AE17" s="11" t="n">
        <f aca="false">INDEX(Operations!$J$8:$BN$8,1,AE12)</f>
        <v>1.91</v>
      </c>
      <c r="AF17" s="11" t="n">
        <f aca="false">INDEX(Operations!$J$8:$BN$8,1,AF12)</f>
        <v>1.91</v>
      </c>
      <c r="AG17" s="11" t="n">
        <f aca="false">INDEX(Operations!$J$8:$BN$8,1,AG12)</f>
        <v>0.37</v>
      </c>
      <c r="AH17" s="11" t="n">
        <f aca="false">INDEX(Operations!$J$8:$BN$8,1,AH12)</f>
        <v>0.37</v>
      </c>
      <c r="AI17" s="11" t="n">
        <f aca="false">INDEX(Operations!$J$8:$BN$8,1,AI12)</f>
        <v>0.37</v>
      </c>
      <c r="AJ17" s="11" t="n">
        <f aca="false">INDEX(Operations!$J$8:$BN$8,1,AJ12)</f>
        <v>0.37</v>
      </c>
      <c r="AK17" s="11" t="n">
        <f aca="false">INDEX(Operations!$J$8:$BN$8,1,AK12)</f>
        <v>0.37</v>
      </c>
      <c r="AL17" s="11" t="n">
        <f aca="false">INDEX(Operations!$J$8:$BN$8,1,AL12)</f>
        <v>0.37</v>
      </c>
      <c r="AM17" s="11" t="n">
        <f aca="false">INDEX(Operations!$J$8:$BN$8,1,AM12)</f>
        <v>0.25</v>
      </c>
      <c r="AN17" s="11" t="n">
        <f aca="false">INDEX(Operations!$J$8:$BN$8,1,AN12)</f>
        <v>0.25</v>
      </c>
      <c r="AO17" s="11" t="n">
        <f aca="false">INDEX(Operations!$J$8:$BN$8,1,AO12)</f>
        <v>0.25</v>
      </c>
      <c r="AP17" s="11" t="n">
        <f aca="false">INDEX(Operations!$J$8:$BN$8,1,AP12)</f>
        <v>0.25</v>
      </c>
      <c r="AQ17" s="11" t="n">
        <f aca="false">INDEX(Operations!$J$8:$BN$8,1,AQ12)</f>
        <v>0.25</v>
      </c>
      <c r="AR17" s="11" t="n">
        <f aca="false">INDEX(Operations!$J$8:$BN$8,1,AR12)</f>
        <v>0.25</v>
      </c>
      <c r="AS17" s="11" t="n">
        <f aca="false">INDEX(Operations!$J$8:$BN$8,1,AS12)</f>
        <v>0.16</v>
      </c>
      <c r="AT17" s="11" t="n">
        <f aca="false">INDEX(Operations!$J$8:$BN$8,1,AT12)</f>
        <v>0.16</v>
      </c>
      <c r="AU17" s="11" t="n">
        <f aca="false">INDEX(Operations!$J$8:$BN$8,1,AU12)</f>
        <v>0.16</v>
      </c>
      <c r="AV17" s="11" t="n">
        <f aca="false">INDEX(Operations!$J$8:$BN$8,1,AV12)</f>
        <v>0.16</v>
      </c>
      <c r="AW17" s="11" t="n">
        <f aca="false">INDEX(Operations!$J$8:$BN$8,1,AW12)</f>
        <v>0.16</v>
      </c>
      <c r="AX17" s="11" t="n">
        <f aca="false">INDEX(Operations!$J$8:$BN$8,1,AX12)</f>
        <v>0.16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19</v>
      </c>
      <c r="AZ18" s="11" t="n">
        <f aca="false">IF(Inputs!$F$32=1,Inputs!$F$71,INDEX(Inputs!$J$210:$AR$210,1,YEAR(AZ9)-2014))</f>
        <v>19</v>
      </c>
      <c r="BA18" s="11" t="n">
        <f aca="false">IF(Inputs!$F$32=1,Inputs!$F$71,INDEX(Inputs!$J$210:$AR$210,1,YEAR(BA9)-2014))</f>
        <v>19</v>
      </c>
      <c r="BB18" s="11" t="n">
        <f aca="false">IF(Inputs!$F$32=1,Inputs!$F$71,INDEX(Inputs!$J$210:$AR$210,1,YEAR(BB9)-2014))</f>
        <v>19</v>
      </c>
      <c r="BC18" s="11" t="n">
        <f aca="false">IF(Inputs!$F$32=1,Inputs!$F$71,INDEX(Inputs!$J$210:$AR$210,1,YEAR(BC9)-2014))</f>
        <v>19</v>
      </c>
      <c r="BD18" s="11" t="n">
        <f aca="false">IF(Inputs!$F$32=1,Inputs!$F$71,INDEX(Inputs!$J$210:$AR$210,1,YEAR(BD9)-2014))</f>
        <v>19</v>
      </c>
      <c r="BE18" s="11" t="n">
        <f aca="false">IF(Inputs!$F$32=1,Inputs!$F$71,INDEX(Inputs!$J$210:$AR$210,1,YEAR(BE9)-2014))</f>
        <v>19</v>
      </c>
      <c r="BF18" s="11" t="n">
        <f aca="false">IF(Inputs!$F$32=1,Inputs!$F$71,INDEX(Inputs!$J$210:$AR$210,1,YEAR(BF9)-2014))</f>
        <v>19</v>
      </c>
      <c r="BG18" s="11" t="n">
        <f aca="false">IF(Inputs!$F$32=1,Inputs!$F$71,INDEX(Inputs!$J$210:$AR$210,1,YEAR(BG9)-2014))</f>
        <v>19</v>
      </c>
      <c r="BH18" s="11" t="n">
        <f aca="false">IF(Inputs!$F$32=1,Inputs!$F$71,INDEX(Inputs!$J$210:$AR$210,1,YEAR(BH9)-2014))</f>
        <v>19</v>
      </c>
      <c r="BI18" s="11" t="n">
        <f aca="false">IF(Inputs!$F$32=1,Inputs!$F$71,INDEX(Inputs!$J$210:$AR$210,1,YEAR(BI9)-2014))</f>
        <v>19</v>
      </c>
      <c r="BJ18" s="11" t="n">
        <f aca="false">IF(Inputs!$F$32=1,Inputs!$F$71,INDEX(Inputs!$J$210:$AR$210,1,YEAR(BJ9)-2014))</f>
        <v>19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0.0102</v>
      </c>
      <c r="L20" s="11" t="n">
        <f aca="false">IF(Inputs!$F$33=2,Inputs!L226,Inputs!L225+IF(Inputs!$F$34&gt;0,IF(L8=33,-7.5,0)+IF(L8=33+Inputs!$F$34,7.5,0),0))</f>
        <v>0.0868</v>
      </c>
      <c r="M20" s="11" t="n">
        <f aca="false">IF(Inputs!$F$33=2,Inputs!M226,Inputs!M225+IF(Inputs!$F$34&gt;0,IF(M8=33,-7.5,0)+IF(M8=33+Inputs!$F$34,7.5,0),0))</f>
        <v>0.2284</v>
      </c>
      <c r="N20" s="11" t="n">
        <f aca="false">IF(Inputs!$F$33=2,Inputs!N226,Inputs!N225+IF(Inputs!$F$34&gt;0,IF(N8=33,-7.5,0)+IF(N8=33+Inputs!$F$34,7.5,0),0))</f>
        <v>0.4235</v>
      </c>
      <c r="O20" s="11" t="n">
        <f aca="false">IF(Inputs!$F$33=2,Inputs!O226,Inputs!O225+IF(Inputs!$F$34&gt;0,IF(O8=33,-7.5,0)+IF(O8=33+Inputs!$F$34,7.5,0),0))</f>
        <v>0.6612</v>
      </c>
      <c r="P20" s="11" t="n">
        <f aca="false">IF(Inputs!$F$33=2,Inputs!P226,Inputs!P225+IF(Inputs!$F$34&gt;0,IF(P8=33,-7.5,0)+IF(P8=33+Inputs!$F$34,7.5,0),0))</f>
        <v>0.9313</v>
      </c>
      <c r="Q20" s="11" t="n">
        <f aca="false">IF(Inputs!$F$33=2,Inputs!Q226,Inputs!Q225+IF(Inputs!$F$34&gt;0,IF(Q8=33,-7.5,0)+IF(Q8=33+Inputs!$F$34,7.5,0),0))</f>
        <v>1.2242</v>
      </c>
      <c r="R20" s="11" t="n">
        <f aca="false">IF(Inputs!$F$33=2,Inputs!R226,Inputs!R225+IF(Inputs!$F$34&gt;0,IF(R8=33,-7.5,0)+IF(R8=33+Inputs!$F$34,7.5,0),0))</f>
        <v>1.5311</v>
      </c>
      <c r="S20" s="11" t="n">
        <f aca="false">IF(Inputs!$F$33=2,Inputs!S226,Inputs!S225+IF(Inputs!$F$34&gt;0,IF(S8=33,-7.5,0)+IF(S8=33+Inputs!$F$34,7.5,0),0))</f>
        <v>1.8437</v>
      </c>
      <c r="T20" s="11" t="n">
        <f aca="false">IF(Inputs!$F$33=2,Inputs!T226,Inputs!T225+IF(Inputs!$F$34&gt;0,IF(T8=33,-7.5,0)+IF(T8=33+Inputs!$F$34,7.5,0),0))</f>
        <v>2.1545</v>
      </c>
      <c r="U20" s="11" t="n">
        <f aca="false">IF(Inputs!$F$33=2,Inputs!U226,Inputs!U225+IF(Inputs!$F$34&gt;0,IF(U8=33,-7.5,0)+IF(U8=33+Inputs!$F$34,7.5,0),0))</f>
        <v>2.4565</v>
      </c>
      <c r="V20" s="11" t="n">
        <f aca="false">IF(Inputs!$F$33=2,Inputs!V226,Inputs!V225+IF(Inputs!$F$34&gt;0,IF(V8=33,-7.5,0)+IF(V8=33+Inputs!$F$34,7.5,0),0))</f>
        <v>2.7436</v>
      </c>
      <c r="W20" s="11" t="n">
        <f aca="false">IF(Inputs!$F$33=2,Inputs!W226,Inputs!W225+IF(Inputs!$F$34&gt;0,IF(W8=33,-7.5,0)+IF(W8=33+Inputs!$F$34,7.5,0),0))</f>
        <v>3.01</v>
      </c>
      <c r="X20" s="11" t="n">
        <f aca="false">IF(Inputs!$F$33=2,Inputs!X226,Inputs!X225+IF(Inputs!$F$34&gt;0,IF(X8=33,-7.5,0)+IF(X8=33+Inputs!$F$34,7.5,0),0))</f>
        <v>3.2509</v>
      </c>
      <c r="Y20" s="11" t="n">
        <f aca="false">IF(Inputs!$F$33=2,Inputs!Y226,Inputs!Y225+IF(Inputs!$F$34&gt;0,IF(Y8=33,-7.5,0)+IF(Y8=33+Inputs!$F$34,7.5,0),0))</f>
        <v>3.4619</v>
      </c>
      <c r="Z20" s="11" t="n">
        <f aca="false">IF(Inputs!$F$33=2,Inputs!Z226,Inputs!Z225+IF(Inputs!$F$34&gt;0,IF(Z8=33,-7.5,0)+IF(Z8=33+Inputs!$F$34,7.5,0),0))</f>
        <v>3.6396</v>
      </c>
      <c r="AA20" s="11" t="n">
        <f aca="false">IF(Inputs!$F$33=2,Inputs!AA226,Inputs!AA225+IF(Inputs!$F$34&gt;0,IF(AA8=33,-7.5,0)+IF(AA8=33+Inputs!$F$34,7.5,0),0))</f>
        <v>3.7808</v>
      </c>
      <c r="AB20" s="11" t="n">
        <f aca="false">IF(Inputs!$F$33=2,Inputs!AB226,Inputs!AB225+IF(Inputs!$F$34&gt;0,IF(AB8=33,-7.5,0)+IF(AB8=33+Inputs!$F$34,7.5,0),0))</f>
        <v>3.8833</v>
      </c>
      <c r="AC20" s="11" t="n">
        <f aca="false">IF(Inputs!$F$33=2,Inputs!AC226,Inputs!AC225+IF(Inputs!$F$34&gt;0,IF(AC8=33,-7.5,0)+IF(AC8=33+Inputs!$F$34,7.5,0),0))</f>
        <v>3.9455</v>
      </c>
      <c r="AD20" s="11" t="n">
        <f aca="false">IF(Inputs!$F$33=2,Inputs!AD226,Inputs!AD225+IF(Inputs!$F$34&gt;0,IF(AD8=33,-7.5,0)+IF(AD8=33+Inputs!$F$34,7.5,0),0))</f>
        <v>3.966</v>
      </c>
      <c r="AE20" s="11" t="n">
        <f aca="false">IF(Inputs!$F$33=2,Inputs!AE226,Inputs!AE225+IF(Inputs!$F$34&gt;0,IF(AE8=33,-7.5,0)+IF(AE8=33+Inputs!$F$34,7.5,0),0))</f>
        <v>3.9455</v>
      </c>
      <c r="AF20" s="11" t="n">
        <f aca="false">IF(Inputs!$F$33=2,Inputs!AF226,Inputs!AF225+IF(Inputs!$F$34&gt;0,IF(AF8=33,-7.5,0)+IF(AF8=33+Inputs!$F$34,7.5,0),0))</f>
        <v>3.8833</v>
      </c>
      <c r="AG20" s="11" t="n">
        <f aca="false">IF(Inputs!$F$33=2,Inputs!AG226,Inputs!AG225+IF(Inputs!$F$34&gt;0,IF(AG8=33,-7.5,0)+IF(AG8=33+Inputs!$F$34,7.5,0),0))</f>
        <v>3.7808</v>
      </c>
      <c r="AH20" s="11" t="n">
        <f aca="false">IF(Inputs!$F$33=2,Inputs!AH226,Inputs!AH225+IF(Inputs!$F$34&gt;0,IF(AH8=33,-7.5,0)+IF(AH8=33+Inputs!$F$34,7.5,0),0))</f>
        <v>3.6396</v>
      </c>
      <c r="AI20" s="11" t="n">
        <f aca="false">IF(Inputs!$F$33=2,Inputs!AI226,Inputs!AI225+IF(Inputs!$F$34&gt;0,IF(AI8=33,-7.5,0)+IF(AI8=33+Inputs!$F$34,7.5,0),0))</f>
        <v>3.4619</v>
      </c>
      <c r="AJ20" s="11" t="n">
        <f aca="false">IF(Inputs!$F$33=2,Inputs!AJ226,Inputs!AJ225+IF(Inputs!$F$34&gt;0,IF(AJ8=33,-7.5,0)+IF(AJ8=33+Inputs!$F$34,7.5,0),0))</f>
        <v>3.2509</v>
      </c>
      <c r="AK20" s="11" t="n">
        <f aca="false">IF(Inputs!$F$33=2,Inputs!AK226,Inputs!AK225+IF(Inputs!$F$34&gt;0,IF(AK8=33,-7.5,0)+IF(AK8=33+Inputs!$F$34,7.5,0),0))</f>
        <v>3.01</v>
      </c>
      <c r="AL20" s="11" t="n">
        <f aca="false">IF(Inputs!$F$33=2,Inputs!AL226,Inputs!AL225+IF(Inputs!$F$34&gt;0,IF(AL8=33,-7.5,0)+IF(AL8=33+Inputs!$F$34,7.5,0),0))</f>
        <v>2.7436</v>
      </c>
      <c r="AM20" s="11" t="n">
        <f aca="false">IF(Inputs!$F$33=2,Inputs!AM226,Inputs!AM225+IF(Inputs!$F$34&gt;0,IF(AM8=33,-7.5,0)+IF(AM8=33+Inputs!$F$34,7.5,0),0))</f>
        <v>2.4565</v>
      </c>
      <c r="AN20" s="11" t="n">
        <f aca="false">IF(Inputs!$F$33=2,Inputs!AN226,Inputs!AN225+IF(Inputs!$F$34&gt;0,IF(AN8=33,-7.5,0)+IF(AN8=33+Inputs!$F$34,7.5,0),0))</f>
        <v>2.1545</v>
      </c>
      <c r="AO20" s="11" t="n">
        <f aca="false">IF(Inputs!$F$33=2,Inputs!AO226,Inputs!AO225+IF(Inputs!$F$34&gt;0,IF(AO8=33,-7.5,0)+IF(AO8=33+Inputs!$F$34,7.5,0),0))</f>
        <v>1.8437</v>
      </c>
      <c r="AP20" s="11" t="n">
        <f aca="false">IF(Inputs!$F$33=2,Inputs!AP226,Inputs!AP225+IF(Inputs!$F$34&gt;0,IF(AP8=33,-7.5,0)+IF(AP8=33+Inputs!$F$34,7.5,0),0))</f>
        <v>1.5311</v>
      </c>
      <c r="AQ20" s="11" t="n">
        <f aca="false">IF(Inputs!$F$33=2,Inputs!AQ226,Inputs!AQ225+IF(Inputs!$F$34&gt;0,IF(AQ8=33,-7.5,0)+IF(AQ8=33+Inputs!$F$34,7.5,0),0))</f>
        <v>1.2242</v>
      </c>
      <c r="AR20" s="11" t="n">
        <f aca="false">IF(Inputs!$F$33=2,Inputs!AR226,Inputs!AR225+IF(Inputs!$F$34&gt;0,IF(AR8=33,-7.5,0)+IF(AR8=33+Inputs!$F$34,7.5,0),0))</f>
        <v>0.9313</v>
      </c>
      <c r="AS20" s="11" t="n">
        <f aca="false">IF(Inputs!$F$33=2,Inputs!AS226,Inputs!AS225+IF(Inputs!$F$34&gt;0,IF(AS8=33,-7.5,0)+IF(AS8=33+Inputs!$F$34,7.5,0),0))</f>
        <v>0.6612</v>
      </c>
      <c r="AT20" s="11" t="n">
        <f aca="false">IF(Inputs!$F$33=2,Inputs!AT226,Inputs!AT225+IF(Inputs!$F$34&gt;0,IF(AT8=33,-7.5,0)+IF(AT8=33+Inputs!$F$34,7.5,0),0))</f>
        <v>0.4235</v>
      </c>
      <c r="AU20" s="11" t="n">
        <f aca="false">IF(Inputs!$F$33=2,Inputs!AU226,Inputs!AU225+IF(Inputs!$F$34&gt;0,IF(AU8=33,-7.5,0)+IF(AU8=33+Inputs!$F$34,7.5,0),0))</f>
        <v>0.2284</v>
      </c>
      <c r="AV20" s="11" t="n">
        <f aca="false">IF(Inputs!$F$33=2,Inputs!AV226,Inputs!AV225+IF(Inputs!$F$34&gt;0,IF(AV8=33,-7.5,0)+IF(AV8=33+Inputs!$F$34,7.5,0),0))</f>
        <v>0.0868</v>
      </c>
      <c r="AW20" s="11" t="n">
        <f aca="false">IF(Inputs!$F$33=2,Inputs!AW226,Inputs!AW225+IF(Inputs!$F$34&gt;0,IF(AW8=33,-7.5,0)+IF(AW8=33+Inputs!$F$34,7.5,0),0))</f>
        <v>7.5102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0.0102</v>
      </c>
      <c r="L21" s="11" t="n">
        <f aca="false">IF(L8=1,0,L20)-IF(L8=Time!$F$10,7.5,0)</f>
        <v>0.0868</v>
      </c>
      <c r="M21" s="11" t="n">
        <f aca="false">IF(M8=1,0,M20)-IF(M8=Time!$F$10,7.5,0)</f>
        <v>0.2284</v>
      </c>
      <c r="N21" s="11" t="n">
        <f aca="false">IF(N8=1,0,N20)-IF(N8=Time!$F$10,7.5,0)</f>
        <v>0.4235</v>
      </c>
      <c r="O21" s="11" t="n">
        <f aca="false">IF(O8=1,0,O20)-IF(O8=Time!$F$10,7.5,0)</f>
        <v>0.6612</v>
      </c>
      <c r="P21" s="11" t="n">
        <f aca="false">IF(P8=1,0,P20)-IF(P8=Time!$F$10,7.5,0)</f>
        <v>0.9313</v>
      </c>
      <c r="Q21" s="11" t="n">
        <f aca="false">IF(Q8=1,0,Q20)-IF(Q8=Time!$F$10,7.5,0)</f>
        <v>1.2242</v>
      </c>
      <c r="R21" s="11" t="n">
        <f aca="false">IF(R8=1,0,R20)-IF(R8=Time!$F$10,7.5,0)</f>
        <v>1.5311</v>
      </c>
      <c r="S21" s="11" t="n">
        <f aca="false">IF(S8=1,0,S20)-IF(S8=Time!$F$10,7.5,0)</f>
        <v>1.8437</v>
      </c>
      <c r="T21" s="11" t="n">
        <f aca="false">IF(T8=1,0,T20)-IF(T8=Time!$F$10,7.5,0)</f>
        <v>2.1545</v>
      </c>
      <c r="U21" s="11" t="n">
        <f aca="false">IF(U8=1,0,U20)-IF(U8=Time!$F$10,7.5,0)</f>
        <v>2.4565</v>
      </c>
      <c r="V21" s="11" t="n">
        <f aca="false">IF(V8=1,0,V20)-IF(V8=Time!$F$10,7.5,0)</f>
        <v>2.7436</v>
      </c>
      <c r="W21" s="11" t="n">
        <f aca="false">IF(W8=1,0,W20)-IF(W8=Time!$F$10,7.5,0)</f>
        <v>3.01</v>
      </c>
      <c r="X21" s="11" t="n">
        <f aca="false">IF(X8=1,0,X20)-IF(X8=Time!$F$10,7.5,0)</f>
        <v>3.2509</v>
      </c>
      <c r="Y21" s="11" t="n">
        <f aca="false">IF(Y8=1,0,Y20)-IF(Y8=Time!$F$10,7.5,0)</f>
        <v>3.4619</v>
      </c>
      <c r="Z21" s="11" t="n">
        <f aca="false">IF(Z8=1,0,Z20)-IF(Z8=Time!$F$10,7.5,0)</f>
        <v>3.6396</v>
      </c>
      <c r="AA21" s="11" t="n">
        <f aca="false">IF(AA8=1,0,AA20)-IF(AA8=Time!$F$10,7.5,0)</f>
        <v>3.7808</v>
      </c>
      <c r="AB21" s="11" t="n">
        <f aca="false">IF(AB8=1,0,AB20)-IF(AB8=Time!$F$10,7.5,0)</f>
        <v>3.8833</v>
      </c>
      <c r="AC21" s="11" t="n">
        <f aca="false">IF(AC8=1,0,AC20)-IF(AC8=Time!$F$10,7.5,0)</f>
        <v>3.9455</v>
      </c>
      <c r="AD21" s="11" t="n">
        <f aca="false">IF(AD8=1,0,AD20)-IF(AD8=Time!$F$10,7.5,0)</f>
        <v>3.966</v>
      </c>
      <c r="AE21" s="11" t="n">
        <f aca="false">IF(AE8=1,0,AE20)-IF(AE8=Time!$F$10,7.5,0)</f>
        <v>3.9455</v>
      </c>
      <c r="AF21" s="11" t="n">
        <f aca="false">IF(AF8=1,0,AF20)-IF(AF8=Time!$F$10,7.5,0)</f>
        <v>3.8833</v>
      </c>
      <c r="AG21" s="11" t="n">
        <f aca="false">IF(AG8=1,0,AG20)-IF(AG8=Time!$F$10,7.5,0)</f>
        <v>3.7808</v>
      </c>
      <c r="AH21" s="11" t="n">
        <f aca="false">IF(AH8=1,0,AH20)-IF(AH8=Time!$F$10,7.5,0)</f>
        <v>3.6396</v>
      </c>
      <c r="AI21" s="11" t="n">
        <f aca="false">IF(AI8=1,0,AI20)-IF(AI8=Time!$F$10,7.5,0)</f>
        <v>3.4619</v>
      </c>
      <c r="AJ21" s="11" t="n">
        <f aca="false">IF(AJ8=1,0,AJ20)-IF(AJ8=Time!$F$10,7.5,0)</f>
        <v>3.2509</v>
      </c>
      <c r="AK21" s="11" t="n">
        <f aca="false">IF(AK8=1,0,AK20)-IF(AK8=Time!$F$10,7.5,0)</f>
        <v>3.01</v>
      </c>
      <c r="AL21" s="11" t="n">
        <f aca="false">IF(AL8=1,0,AL20)-IF(AL8=Time!$F$10,7.5,0)</f>
        <v>2.7436</v>
      </c>
      <c r="AM21" s="11" t="n">
        <f aca="false">IF(AM8=1,0,AM20)-IF(AM8=Time!$F$10,7.5,0)</f>
        <v>2.4565</v>
      </c>
      <c r="AN21" s="11" t="n">
        <f aca="false">IF(AN8=1,0,AN20)-IF(AN8=Time!$F$10,7.5,0)</f>
        <v>2.1545</v>
      </c>
      <c r="AO21" s="11" t="n">
        <f aca="false">IF(AO8=1,0,AO20)-IF(AO8=Time!$F$10,7.5,0)</f>
        <v>1.8437</v>
      </c>
      <c r="AP21" s="11" t="n">
        <f aca="false">IF(AP8=1,0,AP20)-IF(AP8=Time!$F$10,7.5,0)</f>
        <v>1.5311</v>
      </c>
      <c r="AQ21" s="11" t="n">
        <f aca="false">IF(AQ8=1,0,AQ20)-IF(AQ8=Time!$F$10,7.5,0)</f>
        <v>1.2242</v>
      </c>
      <c r="AR21" s="11" t="n">
        <f aca="false">IF(AR8=1,0,AR20)-IF(AR8=Time!$F$10,7.5,0)</f>
        <v>0.9313</v>
      </c>
      <c r="AS21" s="11" t="n">
        <f aca="false">IF(AS8=1,0,AS20)-IF(AS8=Time!$F$10,7.5,0)</f>
        <v>0.6612</v>
      </c>
      <c r="AT21" s="11" t="n">
        <f aca="false">IF(AT8=1,0,AT20)-IF(AT8=Time!$F$10,7.5,0)</f>
        <v>0.4235</v>
      </c>
      <c r="AU21" s="11" t="n">
        <f aca="false">IF(AU8=1,0,AU20)-IF(AU8=Time!$F$10,7.5,0)</f>
        <v>0.2284</v>
      </c>
      <c r="AV21" s="11" t="n">
        <f aca="false">IF(AV8=1,0,AV20)-IF(AV8=Time!$F$10,7.5,0)</f>
        <v>0.0868</v>
      </c>
      <c r="AW21" s="11" t="n">
        <f aca="false">IF(AW8=1,0,AW20)-IF(AW8=Time!$F$10,7.5,0)</f>
        <v>0.0102000000000002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565.121630382208</v>
      </c>
      <c r="J22" s="11" t="n">
        <f aca="false">IF(Inputs!$F$33=2,J20/100*Inputs!$F$56+J20/100*Inputs!$F$57*Inputs!$F$58/J16,Inputs!$F$55*Inputs!$F$35*J20/100)</f>
        <v>57.1020548989707</v>
      </c>
      <c r="K22" s="11" t="n">
        <f aca="false">IF(Inputs!$F$33=2,K20/100*Inputs!$F$56+K20/100*Inputs!$F$57*Inputs!$F$58/K16,Inputs!$F$55*Inputs!$F$35*K20/100)</f>
        <v>0.0582440959969501</v>
      </c>
      <c r="L22" s="11" t="n">
        <f aca="false">IF(Inputs!$F$33=2,L20/100*Inputs!$F$56+L20/100*Inputs!$F$57*Inputs!$F$58/L16,Inputs!$F$55*Inputs!$F$35*L20/100)</f>
        <v>0.495645836523065</v>
      </c>
      <c r="M22" s="11" t="n">
        <f aca="false">IF(Inputs!$F$33=2,M20/100*Inputs!$F$56+M20/100*Inputs!$F$57*Inputs!$F$58/M16,Inputs!$F$55*Inputs!$F$35*M20/100)</f>
        <v>1.30421093389249</v>
      </c>
      <c r="N22" s="11" t="n">
        <f aca="false">IF(Inputs!$F$33=2,N20/100*Inputs!$F$56+N20/100*Inputs!$F$57*Inputs!$F$58/N16,Inputs!$F$55*Inputs!$F$35*N20/100)</f>
        <v>2.41827202497141</v>
      </c>
      <c r="O22" s="11" t="n">
        <f aca="false">IF(Inputs!$F$33=2,O20/100*Inputs!$F$56+O20/100*Inputs!$F$57*Inputs!$F$58/O16,Inputs!$F$55*Inputs!$F$35*O20/100)</f>
        <v>3.76103149905398</v>
      </c>
      <c r="P22" s="11" t="n">
        <f aca="false">IF(Inputs!$F$33=2,P20/100*Inputs!$F$56+P20/100*Inputs!$F$57*Inputs!$F$58/P16,Inputs!$F$55*Inputs!$F$35*P20/100)</f>
        <v>5.29741172877945</v>
      </c>
      <c r="Q22" s="11" t="n">
        <f aca="false">IF(Inputs!$F$33=2,Q20/100*Inputs!$F$56+Q20/100*Inputs!$F$57*Inputs!$F$58/Q16,Inputs!$F$55*Inputs!$F$35*Q20/100)</f>
        <v>6.9634826998516</v>
      </c>
      <c r="R22" s="11" t="n">
        <f aca="false">IF(Inputs!$F$33=2,R20/100*Inputs!$F$56+R20/100*Inputs!$F$57*Inputs!$F$58/R16,Inputs!$F$55*Inputs!$F$35*R20/100)</f>
        <v>8.70918833666296</v>
      </c>
      <c r="S22" s="11" t="n">
        <f aca="false">IF(Inputs!$F$33=2,S20/100*Inputs!$F$56+S20/100*Inputs!$F$57*Inputs!$F$58/S16,Inputs!$F$55*Inputs!$F$35*S20/100)</f>
        <v>10.487316658811</v>
      </c>
      <c r="T22" s="11" t="n">
        <f aca="false">IF(Inputs!$F$33=2,T20/100*Inputs!$F$56+T20/100*Inputs!$F$57*Inputs!$F$58/T16,Inputs!$F$55*Inputs!$F$35*T20/100)</f>
        <v>12.2552062382211</v>
      </c>
      <c r="U22" s="11" t="n">
        <f aca="false">IF(Inputs!$F$33=2,U20/100*Inputs!$F$56+U20/100*Inputs!$F$57*Inputs!$F$58/U16,Inputs!$F$55*Inputs!$F$35*U20/100)</f>
        <v>13.9297416102576</v>
      </c>
      <c r="V22" s="11" t="n">
        <f aca="false">IF(Inputs!$F$33=2,V20/100*Inputs!$F$56+V20/100*Inputs!$F$57*Inputs!$F$58/V16,Inputs!$F$55*Inputs!$F$35*V20/100)</f>
        <v>15.5577606683911</v>
      </c>
      <c r="W22" s="11" t="n">
        <f aca="false">IF(Inputs!$F$33=2,W20/100*Inputs!$F$56+W20/100*Inputs!$F$57*Inputs!$F$58/W16,Inputs!$F$55*Inputs!$F$35*W20/100)</f>
        <v>17.0683990420824</v>
      </c>
      <c r="X22" s="11" t="n">
        <f aca="false">IF(Inputs!$F$33=2,X20/100*Inputs!$F$56+X20/100*Inputs!$F$57*Inputs!$F$58/X16,Inputs!$F$55*Inputs!$F$35*X20/100)</f>
        <v>18.4344380218955</v>
      </c>
      <c r="Y22" s="11" t="n">
        <f aca="false">IF(Inputs!$F$33=2,Y20/100*Inputs!$F$56+Y20/100*Inputs!$F$57*Inputs!$F$58/Y16,Inputs!$F$55*Inputs!$F$35*Y20/100)</f>
        <v>19.630927124181</v>
      </c>
      <c r="Z22" s="11" t="n">
        <f aca="false">IF(Inputs!$F$33=2,Z20/100*Inputs!$F$56+Z20/100*Inputs!$F$57*Inputs!$F$58/Z16,Inputs!$F$55*Inputs!$F$35*Z20/100)</f>
        <v>20.6385864297551</v>
      </c>
      <c r="AA22" s="11" t="n">
        <f aca="false">IF(Inputs!$F$33=2,AA20/100*Inputs!$F$56+AA20/100*Inputs!$F$57*Inputs!$F$58/AA16,Inputs!$F$55*Inputs!$F$35*AA20/100)</f>
        <v>21.3627903755194</v>
      </c>
      <c r="AB22" s="11" t="n">
        <f aca="false">IF(Inputs!$F$33=2,AB20/100*Inputs!$F$56+AB20/100*Inputs!$F$57*Inputs!$F$58/AB16,Inputs!$F$55*Inputs!$F$35*AB20/100)</f>
        <v>21.9419498162438</v>
      </c>
      <c r="AC22" s="11" t="n">
        <f aca="false">IF(Inputs!$F$33=2,AC20/100*Inputs!$F$56+AC20/100*Inputs!$F$57*Inputs!$F$58/AC16,Inputs!$F$55*Inputs!$F$35*AC20/100)</f>
        <v>22.2934007158834</v>
      </c>
      <c r="AD22" s="11" t="n">
        <f aca="false">IF(Inputs!$F$33=2,AD20/100*Inputs!$F$56+AD20/100*Inputs!$F$57*Inputs!$F$58/AD16,Inputs!$F$55*Inputs!$F$35*AD20/100)</f>
        <v>22.4092326040283</v>
      </c>
      <c r="AE22" s="11" t="n">
        <f aca="false">IF(Inputs!$F$33=2,AE20/100*Inputs!$F$56+AE20/100*Inputs!$F$57*Inputs!$F$58/AE16,Inputs!$F$55*Inputs!$F$35*AE20/100)</f>
        <v>22.2934007158834</v>
      </c>
      <c r="AF22" s="11" t="n">
        <f aca="false">IF(Inputs!$F$33=2,AF20/100*Inputs!$F$56+AF20/100*Inputs!$F$57*Inputs!$F$58/AF16,Inputs!$F$55*Inputs!$F$35*AF20/100)</f>
        <v>21.9419498162438</v>
      </c>
      <c r="AG22" s="11" t="n">
        <f aca="false">IF(Inputs!$F$33=2,AG20/100*Inputs!$F$56+AG20/100*Inputs!$F$57*Inputs!$F$58/AG16,Inputs!$F$55*Inputs!$F$35*AG20/100)</f>
        <v>21.2945222416557</v>
      </c>
      <c r="AH22" s="11" t="n">
        <f aca="false">IF(Inputs!$F$33=2,AH20/100*Inputs!$F$56+AH20/100*Inputs!$F$57*Inputs!$F$58/AH16,Inputs!$F$55*Inputs!$F$35*AH20/100)</f>
        <v>20.4992443796896</v>
      </c>
      <c r="AI22" s="11" t="n">
        <f aca="false">IF(Inputs!$F$33=2,AI20/100*Inputs!$F$56+AI20/100*Inputs!$F$57*Inputs!$F$58/AI16,Inputs!$F$55*Inputs!$F$35*AI20/100)</f>
        <v>19.498388316861</v>
      </c>
      <c r="AJ22" s="11" t="n">
        <f aca="false">IF(Inputs!$F$33=2,AJ20/100*Inputs!$F$56+AJ20/100*Inputs!$F$57*Inputs!$F$58/AJ16,Inputs!$F$55*Inputs!$F$35*AJ20/100)</f>
        <v>18.3099773474922</v>
      </c>
      <c r="AK22" s="11" t="n">
        <f aca="false">IF(Inputs!$F$33=2,AK20/100*Inputs!$F$56+AK20/100*Inputs!$F$57*Inputs!$F$58/AK16,Inputs!$F$55*Inputs!$F$35*AK20/100)</f>
        <v>16.9531612218006</v>
      </c>
      <c r="AL22" s="11" t="n">
        <f aca="false">IF(Inputs!$F$33=2,AL20/100*Inputs!$F$56+AL20/100*Inputs!$F$57*Inputs!$F$58/AL16,Inputs!$F$55*Inputs!$F$35*AL20/100)</f>
        <v>15.4527219694791</v>
      </c>
      <c r="AM22" s="11" t="n">
        <f aca="false">IF(Inputs!$F$33=2,AM20/100*Inputs!$F$56+AM20/100*Inputs!$F$57*Inputs!$F$58/AM16,Inputs!$F$55*Inputs!$F$35*AM20/100)</f>
        <v>13.7820980986609</v>
      </c>
      <c r="AN22" s="11" t="n">
        <f aca="false">IF(Inputs!$F$33=2,AN20/100*Inputs!$F$56+AN20/100*Inputs!$F$57*Inputs!$F$58/AN16,Inputs!$F$55*Inputs!$F$35*AN20/100)</f>
        <v>12.0877387964848</v>
      </c>
      <c r="AO22" s="11" t="n">
        <f aca="false">IF(Inputs!$F$33=2,AO20/100*Inputs!$F$56+AO20/100*Inputs!$F$57*Inputs!$F$58/AO16,Inputs!$F$55*Inputs!$F$35*AO20/100)</f>
        <v>10.3440074351724</v>
      </c>
      <c r="AP22" s="11" t="n">
        <f aca="false">IF(Inputs!$F$33=2,AP20/100*Inputs!$F$56+AP20/100*Inputs!$F$57*Inputs!$F$58/AP16,Inputs!$F$55*Inputs!$F$35*AP20/100)</f>
        <v>8.59017724358219</v>
      </c>
      <c r="AQ22" s="11" t="n">
        <f aca="false">IF(Inputs!$F$33=2,AQ20/100*Inputs!$F$56+AQ20/100*Inputs!$F$57*Inputs!$F$58/AQ16,Inputs!$F$55*Inputs!$F$35*AQ20/100)</f>
        <v>6.86832668120522</v>
      </c>
      <c r="AR22" s="11" t="n">
        <f aca="false">IF(Inputs!$F$33=2,AR20/100*Inputs!$F$56+AR20/100*Inputs!$F$57*Inputs!$F$58/AR16,Inputs!$F$55*Inputs!$F$35*AR20/100)</f>
        <v>5.22502257654503</v>
      </c>
      <c r="AS22" s="11" t="n">
        <f aca="false">IF(Inputs!$F$33=2,AS20/100*Inputs!$F$56+AS20/100*Inputs!$F$57*Inputs!$F$58/AS16,Inputs!$F$55*Inputs!$F$35*AS20/100)</f>
        <v>3.70012585295276</v>
      </c>
      <c r="AT22" s="11" t="n">
        <f aca="false">IF(Inputs!$F$33=2,AT20/100*Inputs!$F$56+AT20/100*Inputs!$F$57*Inputs!$F$58/AT16,Inputs!$F$55*Inputs!$F$35*AT20/100)</f>
        <v>2.36993844332349</v>
      </c>
      <c r="AU22" s="11" t="n">
        <f aca="false">IF(Inputs!$F$33=2,AU20/100*Inputs!$F$56+AU20/100*Inputs!$F$57*Inputs!$F$58/AU16,Inputs!$F$55*Inputs!$F$35*AU20/100)</f>
        <v>1.27814389717848</v>
      </c>
      <c r="AV22" s="11" t="n">
        <f aca="false">IF(Inputs!$F$33=2,AV20/100*Inputs!$F$56+AV20/100*Inputs!$F$57*Inputs!$F$58/AV16,Inputs!$F$55*Inputs!$F$35*AV20/100)</f>
        <v>0.485739449540683</v>
      </c>
      <c r="AW22" s="11" t="n">
        <f aca="false">IF(Inputs!$F$33=2,AW20/100*Inputs!$F$56+AW20/100*Inputs!$F$57*Inputs!$F$58/AW16,Inputs!$F$55*Inputs!$F$35*AW20/100)</f>
        <v>42.0276545384843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53.11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0.99</v>
      </c>
      <c r="AR23" s="11" t="n">
        <f aca="false">Inputs!$F$59*IF(Inputs!$F$33=1,Inputs!$F$35,1)*(Inputs!AR227+IF(AND(Inputs!$F$33=1,AR8&gt;33,AR8&lt;=Time!$F$10),2.75,0))/100+IF(AND(Inputs!$F$33=2,AR8&gt;=34,AR8&lt;=40),Inputs!$F$67/7,0)</f>
        <v>0.99</v>
      </c>
      <c r="AS23" s="11" t="n">
        <f aca="false">Inputs!$F$59*IF(Inputs!$F$33=1,Inputs!$F$35,1)*(Inputs!AS227+IF(AND(Inputs!$F$33=1,AS8&gt;33,AS8&lt;=Time!$F$10),2.75,0))/100+IF(AND(Inputs!$F$33=2,AS8&gt;=34,AS8&lt;=40),Inputs!$F$67/7,0)</f>
        <v>0.99</v>
      </c>
      <c r="AT23" s="11" t="n">
        <f aca="false">Inputs!$F$59*IF(Inputs!$F$33=1,Inputs!$F$35,1)*(Inputs!AT227+IF(AND(Inputs!$F$33=1,AT8&gt;33,AT8&lt;=Time!$F$10),2.75,0))/100+IF(AND(Inputs!$F$33=2,AT8&gt;=34,AT8&lt;=40),Inputs!$F$67/7,0)</f>
        <v>0.99</v>
      </c>
      <c r="AU23" s="11" t="n">
        <f aca="false">Inputs!$F$59*IF(Inputs!$F$33=1,Inputs!$F$35,1)*(Inputs!AU227+IF(AND(Inputs!$F$33=1,AU8&gt;33,AU8&lt;=Time!$F$10),2.75,0))/100+IF(AND(Inputs!$F$33=2,AU8&gt;=34,AU8&lt;=40),Inputs!$F$67/7,0)</f>
        <v>0.99</v>
      </c>
      <c r="AV23" s="11" t="n">
        <f aca="false">Inputs!$F$59*IF(Inputs!$F$33=1,Inputs!$F$35,1)*(Inputs!AV227+IF(AND(Inputs!$F$33=1,AV8&gt;33,AV8&lt;=Time!$F$10),2.75,0))/100+IF(AND(Inputs!$F$33=2,AV8&gt;=34,AV8&lt;=40),Inputs!$F$67/7,0)</f>
        <v>0.99</v>
      </c>
      <c r="AW23" s="11" t="n">
        <f aca="false">Inputs!$F$59*IF(Inputs!$F$33=1,Inputs!$F$35,1)*(Inputs!AW227+IF(AND(Inputs!$F$33=1,AW8&gt;33,AW8&lt;=Time!$F$10),2.75,0))/100+IF(AND(Inputs!$F$33=2,AW8&gt;=34,AW8&lt;=40),Inputs!$F$67/7,0)</f>
        <v>0.99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0.069</v>
      </c>
      <c r="L26" s="11" t="n">
        <f aca="false">Inputs!$F$63*Inputs!$F$35*(0.7*IF(L8=1,1,0)+0.3/(Time!$F$10-1)*IF(AND(L8&gt;=2,L8&lt;=Time!$F$10),1,0))</f>
        <v>0.069</v>
      </c>
      <c r="M26" s="11" t="n">
        <f aca="false">Inputs!$F$63*Inputs!$F$35*(0.7*IF(M8=1,1,0)+0.3/(Time!$F$10-1)*IF(AND(M8&gt;=2,M8&lt;=Time!$F$10),1,0))</f>
        <v>0.069</v>
      </c>
      <c r="N26" s="11" t="n">
        <f aca="false">Inputs!$F$63*Inputs!$F$35*(0.7*IF(N8=1,1,0)+0.3/(Time!$F$10-1)*IF(AND(N8&gt;=2,N8&lt;=Time!$F$10),1,0))</f>
        <v>0.069</v>
      </c>
      <c r="O26" s="11" t="n">
        <f aca="false">Inputs!$F$63*Inputs!$F$35*(0.7*IF(O8=1,1,0)+0.3/(Time!$F$10-1)*IF(AND(O8&gt;=2,O8&lt;=Time!$F$10),1,0))</f>
        <v>0.069</v>
      </c>
      <c r="P26" s="11" t="n">
        <f aca="false">Inputs!$F$63*Inputs!$F$35*(0.7*IF(P8=1,1,0)+0.3/(Time!$F$10-1)*IF(AND(P8&gt;=2,P8&lt;=Time!$F$10),1,0))</f>
        <v>0.069</v>
      </c>
      <c r="Q26" s="11" t="n">
        <f aca="false">Inputs!$F$63*Inputs!$F$35*(0.7*IF(Q8=1,1,0)+0.3/(Time!$F$10-1)*IF(AND(Q8&gt;=2,Q8&lt;=Time!$F$10),1,0))</f>
        <v>0.069</v>
      </c>
      <c r="R26" s="11" t="n">
        <f aca="false">Inputs!$F$63*Inputs!$F$35*(0.7*IF(R8=1,1,0)+0.3/(Time!$F$10-1)*IF(AND(R8&gt;=2,R8&lt;=Time!$F$10),1,0))</f>
        <v>0.069</v>
      </c>
      <c r="S26" s="11" t="n">
        <f aca="false">Inputs!$F$63*Inputs!$F$35*(0.7*IF(S8=1,1,0)+0.3/(Time!$F$10-1)*IF(AND(S8&gt;=2,S8&lt;=Time!$F$10),1,0))</f>
        <v>0.069</v>
      </c>
      <c r="T26" s="11" t="n">
        <f aca="false">Inputs!$F$63*Inputs!$F$35*(0.7*IF(T8=1,1,0)+0.3/(Time!$F$10-1)*IF(AND(T8&gt;=2,T8&lt;=Time!$F$10),1,0))</f>
        <v>0.069</v>
      </c>
      <c r="U26" s="11" t="n">
        <f aca="false">Inputs!$F$63*Inputs!$F$35*(0.7*IF(U8=1,1,0)+0.3/(Time!$F$10-1)*IF(AND(U8&gt;=2,U8&lt;=Time!$F$10),1,0))</f>
        <v>0.069</v>
      </c>
      <c r="V26" s="11" t="n">
        <f aca="false">Inputs!$F$63*Inputs!$F$35*(0.7*IF(V8=1,1,0)+0.3/(Time!$F$10-1)*IF(AND(V8&gt;=2,V8&lt;=Time!$F$10),1,0))</f>
        <v>0.069</v>
      </c>
      <c r="W26" s="11" t="n">
        <f aca="false">Inputs!$F$63*Inputs!$F$35*(0.7*IF(W8=1,1,0)+0.3/(Time!$F$10-1)*IF(AND(W8&gt;=2,W8&lt;=Time!$F$10),1,0))</f>
        <v>0.069</v>
      </c>
      <c r="X26" s="11" t="n">
        <f aca="false">Inputs!$F$63*Inputs!$F$35*(0.7*IF(X8=1,1,0)+0.3/(Time!$F$10-1)*IF(AND(X8&gt;=2,X8&lt;=Time!$F$10),1,0))</f>
        <v>0.069</v>
      </c>
      <c r="Y26" s="11" t="n">
        <f aca="false">Inputs!$F$63*Inputs!$F$35*(0.7*IF(Y8=1,1,0)+0.3/(Time!$F$10-1)*IF(AND(Y8&gt;=2,Y8&lt;=Time!$F$10),1,0))</f>
        <v>0.069</v>
      </c>
      <c r="Z26" s="11" t="n">
        <f aca="false">Inputs!$F$63*Inputs!$F$35*(0.7*IF(Z8=1,1,0)+0.3/(Time!$F$10-1)*IF(AND(Z8&gt;=2,Z8&lt;=Time!$F$10),1,0))</f>
        <v>0.069</v>
      </c>
      <c r="AA26" s="11" t="n">
        <f aca="false">Inputs!$F$63*Inputs!$F$35*(0.7*IF(AA8=1,1,0)+0.3/(Time!$F$10-1)*IF(AND(AA8&gt;=2,AA8&lt;=Time!$F$10),1,0))</f>
        <v>0.069</v>
      </c>
      <c r="AB26" s="11" t="n">
        <f aca="false">Inputs!$F$63*Inputs!$F$35*(0.7*IF(AB8=1,1,0)+0.3/(Time!$F$10-1)*IF(AND(AB8&gt;=2,AB8&lt;=Time!$F$10),1,0))</f>
        <v>0.069</v>
      </c>
      <c r="AC26" s="11" t="n">
        <f aca="false">Inputs!$F$63*Inputs!$F$35*(0.7*IF(AC8=1,1,0)+0.3/(Time!$F$10-1)*IF(AND(AC8&gt;=2,AC8&lt;=Time!$F$10),1,0))</f>
        <v>0.069</v>
      </c>
      <c r="AD26" s="11" t="n">
        <f aca="false">Inputs!$F$63*Inputs!$F$35*(0.7*IF(AD8=1,1,0)+0.3/(Time!$F$10-1)*IF(AND(AD8&gt;=2,AD8&lt;=Time!$F$10),1,0))</f>
        <v>0.069</v>
      </c>
      <c r="AE26" s="11" t="n">
        <f aca="false">Inputs!$F$63*Inputs!$F$35*(0.7*IF(AE8=1,1,0)+0.3/(Time!$F$10-1)*IF(AND(AE8&gt;=2,AE8&lt;=Time!$F$10),1,0))</f>
        <v>0.069</v>
      </c>
      <c r="AF26" s="11" t="n">
        <f aca="false">Inputs!$F$63*Inputs!$F$35*(0.7*IF(AF8=1,1,0)+0.3/(Time!$F$10-1)*IF(AND(AF8&gt;=2,AF8&lt;=Time!$F$10),1,0))</f>
        <v>0.069</v>
      </c>
      <c r="AG26" s="11" t="n">
        <f aca="false">Inputs!$F$63*Inputs!$F$35*(0.7*IF(AG8=1,1,0)+0.3/(Time!$F$10-1)*IF(AND(AG8&gt;=2,AG8&lt;=Time!$F$10),1,0))</f>
        <v>0.069</v>
      </c>
      <c r="AH26" s="11" t="n">
        <f aca="false">Inputs!$F$63*Inputs!$F$35*(0.7*IF(AH8=1,1,0)+0.3/(Time!$F$10-1)*IF(AND(AH8&gt;=2,AH8&lt;=Time!$F$10),1,0))</f>
        <v>0.069</v>
      </c>
      <c r="AI26" s="11" t="n">
        <f aca="false">Inputs!$F$63*Inputs!$F$35*(0.7*IF(AI8=1,1,0)+0.3/(Time!$F$10-1)*IF(AND(AI8&gt;=2,AI8&lt;=Time!$F$10),1,0))</f>
        <v>0.069</v>
      </c>
      <c r="AJ26" s="11" t="n">
        <f aca="false">Inputs!$F$63*Inputs!$F$35*(0.7*IF(AJ8=1,1,0)+0.3/(Time!$F$10-1)*IF(AND(AJ8&gt;=2,AJ8&lt;=Time!$F$10),1,0))</f>
        <v>0.069</v>
      </c>
      <c r="AK26" s="11" t="n">
        <f aca="false">Inputs!$F$63*Inputs!$F$35*(0.7*IF(AK8=1,1,0)+0.3/(Time!$F$10-1)*IF(AND(AK8&gt;=2,AK8&lt;=Time!$F$10),1,0))</f>
        <v>0.069</v>
      </c>
      <c r="AL26" s="11" t="n">
        <f aca="false">Inputs!$F$63*Inputs!$F$35*(0.7*IF(AL8=1,1,0)+0.3/(Time!$F$10-1)*IF(AND(AL8&gt;=2,AL8&lt;=Time!$F$10),1,0))</f>
        <v>0.069</v>
      </c>
      <c r="AM26" s="11" t="n">
        <f aca="false">Inputs!$F$63*Inputs!$F$35*(0.7*IF(AM8=1,1,0)+0.3/(Time!$F$10-1)*IF(AND(AM8&gt;=2,AM8&lt;=Time!$F$10),1,0))</f>
        <v>0.069</v>
      </c>
      <c r="AN26" s="11" t="n">
        <f aca="false">Inputs!$F$63*Inputs!$F$35*(0.7*IF(AN8=1,1,0)+0.3/(Time!$F$10-1)*IF(AND(AN8&gt;=2,AN8&lt;=Time!$F$10),1,0))</f>
        <v>0.069</v>
      </c>
      <c r="AO26" s="11" t="n">
        <f aca="false">Inputs!$F$63*Inputs!$F$35*(0.7*IF(AO8=1,1,0)+0.3/(Time!$F$10-1)*IF(AND(AO8&gt;=2,AO8&lt;=Time!$F$10),1,0))</f>
        <v>0.069</v>
      </c>
      <c r="AP26" s="11" t="n">
        <f aca="false">Inputs!$F$63*Inputs!$F$35*(0.7*IF(AP8=1,1,0)+0.3/(Time!$F$10-1)*IF(AND(AP8&gt;=2,AP8&lt;=Time!$F$10),1,0))</f>
        <v>0.069</v>
      </c>
      <c r="AQ26" s="11" t="n">
        <f aca="false">Inputs!$F$63*Inputs!$F$35*(0.7*IF(AQ8=1,1,0)+0.3/(Time!$F$10-1)*IF(AND(AQ8&gt;=2,AQ8&lt;=Time!$F$10),1,0))</f>
        <v>0.069</v>
      </c>
      <c r="AR26" s="11" t="n">
        <f aca="false">Inputs!$F$63*Inputs!$F$35*(0.7*IF(AR8=1,1,0)+0.3/(Time!$F$10-1)*IF(AND(AR8&gt;=2,AR8&lt;=Time!$F$10),1,0))</f>
        <v>0.069</v>
      </c>
      <c r="AS26" s="11" t="n">
        <f aca="false">Inputs!$F$63*Inputs!$F$35*(0.7*IF(AS8=1,1,0)+0.3/(Time!$F$10-1)*IF(AND(AS8&gt;=2,AS8&lt;=Time!$F$10),1,0))</f>
        <v>0.069</v>
      </c>
      <c r="AT26" s="11" t="n">
        <f aca="false">Inputs!$F$63*Inputs!$F$35*(0.7*IF(AT8=1,1,0)+0.3/(Time!$F$10-1)*IF(AND(AT8&gt;=2,AT8&lt;=Time!$F$10),1,0))</f>
        <v>0.069</v>
      </c>
      <c r="AU26" s="11" t="n">
        <f aca="false">Inputs!$F$63*Inputs!$F$35*(0.7*IF(AU8=1,1,0)+0.3/(Time!$F$10-1)*IF(AND(AU8&gt;=2,AU8&lt;=Time!$F$10),1,0))</f>
        <v>0.069</v>
      </c>
      <c r="AV26" s="11" t="n">
        <f aca="false">Inputs!$F$63*Inputs!$F$35*(0.7*IF(AV8=1,1,0)+0.3/(Time!$F$10-1)*IF(AND(AV8&gt;=2,AV8&lt;=Time!$F$10),1,0))</f>
        <v>0.069</v>
      </c>
      <c r="AW26" s="11" t="n">
        <f aca="false">Inputs!$F$63*Inputs!$F$35*(0.7*IF(AW8=1,1,0)+0.3/(Time!$F$10-1)*IF(AND(AW8&gt;=2,AW8&lt;=Time!$F$10),1,0))</f>
        <v>0.069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0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</v>
      </c>
      <c r="L27" s="11" t="n">
        <f aca="false">IF(Inputs!$F$33=1,Inputs!$F$64*Inputs!$F$35*L21/SUM($J$21:$BJ$21),0)</f>
        <v>0</v>
      </c>
      <c r="M27" s="11" t="n">
        <f aca="false">IF(Inputs!$F$33=1,Inputs!$F$64*Inputs!$F$35*M21/SUM($J$21:$BJ$21),0)</f>
        <v>0</v>
      </c>
      <c r="N27" s="11" t="n">
        <f aca="false">IF(Inputs!$F$33=1,Inputs!$F$64*Inputs!$F$35*N21/SUM($J$21:$BJ$21),0)</f>
        <v>0</v>
      </c>
      <c r="O27" s="11" t="n">
        <f aca="false">IF(Inputs!$F$33=1,Inputs!$F$64*Inputs!$F$35*O21/SUM($J$21:$BJ$21),0)</f>
        <v>0</v>
      </c>
      <c r="P27" s="11" t="n">
        <f aca="false">IF(Inputs!$F$33=1,Inputs!$F$64*Inputs!$F$35*P21/SUM($J$21:$BJ$21),0)</f>
        <v>0</v>
      </c>
      <c r="Q27" s="11" t="n">
        <f aca="false">IF(Inputs!$F$33=1,Inputs!$F$64*Inputs!$F$35*Q21/SUM($J$21:$BJ$21),0)</f>
        <v>0</v>
      </c>
      <c r="R27" s="11" t="n">
        <f aca="false">IF(Inputs!$F$33=1,Inputs!$F$64*Inputs!$F$35*R21/SUM($J$21:$BJ$21),0)</f>
        <v>0</v>
      </c>
      <c r="S27" s="11" t="n">
        <f aca="false">IF(Inputs!$F$33=1,Inputs!$F$64*Inputs!$F$35*S21/SUM($J$21:$BJ$21),0)</f>
        <v>0</v>
      </c>
      <c r="T27" s="11" t="n">
        <f aca="false">IF(Inputs!$F$33=1,Inputs!$F$64*Inputs!$F$35*T21/SUM($J$21:$BJ$21),0)</f>
        <v>0</v>
      </c>
      <c r="U27" s="11" t="n">
        <f aca="false">IF(Inputs!$F$33=1,Inputs!$F$64*Inputs!$F$35*U21/SUM($J$21:$BJ$21),0)</f>
        <v>0</v>
      </c>
      <c r="V27" s="11" t="n">
        <f aca="false">IF(Inputs!$F$33=1,Inputs!$F$64*Inputs!$F$35*V21/SUM($J$21:$BJ$21),0)</f>
        <v>0</v>
      </c>
      <c r="W27" s="11" t="n">
        <f aca="false">IF(Inputs!$F$33=1,Inputs!$F$64*Inputs!$F$35*W21/SUM($J$21:$BJ$21),0)</f>
        <v>0</v>
      </c>
      <c r="X27" s="11" t="n">
        <f aca="false">IF(Inputs!$F$33=1,Inputs!$F$64*Inputs!$F$35*X21/SUM($J$21:$BJ$21),0)</f>
        <v>0</v>
      </c>
      <c r="Y27" s="11" t="n">
        <f aca="false">IF(Inputs!$F$33=1,Inputs!$F$64*Inputs!$F$35*Y21/SUM($J$21:$BJ$21),0)</f>
        <v>0</v>
      </c>
      <c r="Z27" s="11" t="n">
        <f aca="false">IF(Inputs!$F$33=1,Inputs!$F$64*Inputs!$F$35*Z21/SUM($J$21:$BJ$21),0)</f>
        <v>0</v>
      </c>
      <c r="AA27" s="11" t="n">
        <f aca="false">IF(Inputs!$F$33=1,Inputs!$F$64*Inputs!$F$35*AA21/SUM($J$21:$BJ$21),0)</f>
        <v>0</v>
      </c>
      <c r="AB27" s="11" t="n">
        <f aca="false">IF(Inputs!$F$33=1,Inputs!$F$64*Inputs!$F$35*AB21/SUM($J$21:$BJ$21),0)</f>
        <v>0</v>
      </c>
      <c r="AC27" s="11" t="n">
        <f aca="false">IF(Inputs!$F$33=1,Inputs!$F$64*Inputs!$F$35*AC21/SUM($J$21:$BJ$21),0)</f>
        <v>0</v>
      </c>
      <c r="AD27" s="11" t="n">
        <f aca="false">IF(Inputs!$F$33=1,Inputs!$F$64*Inputs!$F$35*AD21/SUM($J$21:$BJ$21),0)</f>
        <v>0</v>
      </c>
      <c r="AE27" s="11" t="n">
        <f aca="false">IF(Inputs!$F$33=1,Inputs!$F$64*Inputs!$F$35*AE21/SUM($J$21:$BJ$21),0)</f>
        <v>0</v>
      </c>
      <c r="AF27" s="11" t="n">
        <f aca="false">IF(Inputs!$F$33=1,Inputs!$F$64*Inputs!$F$35*AF21/SUM($J$21:$BJ$21),0)</f>
        <v>0</v>
      </c>
      <c r="AG27" s="11" t="n">
        <f aca="false">IF(Inputs!$F$33=1,Inputs!$F$64*Inputs!$F$35*AG21/SUM($J$21:$BJ$21),0)</f>
        <v>0</v>
      </c>
      <c r="AH27" s="11" t="n">
        <f aca="false">IF(Inputs!$F$33=1,Inputs!$F$64*Inputs!$F$35*AH21/SUM($J$21:$BJ$21),0)</f>
        <v>0</v>
      </c>
      <c r="AI27" s="11" t="n">
        <f aca="false">IF(Inputs!$F$33=1,Inputs!$F$64*Inputs!$F$35*AI21/SUM($J$21:$BJ$21),0)</f>
        <v>0</v>
      </c>
      <c r="AJ27" s="11" t="n">
        <f aca="false">IF(Inputs!$F$33=1,Inputs!$F$64*Inputs!$F$35*AJ21/SUM($J$21:$BJ$21),0)</f>
        <v>0</v>
      </c>
      <c r="AK27" s="11" t="n">
        <f aca="false">IF(Inputs!$F$33=1,Inputs!$F$64*Inputs!$F$35*AK21/SUM($J$21:$BJ$21),0)</f>
        <v>0</v>
      </c>
      <c r="AL27" s="11" t="n">
        <f aca="false">IF(Inputs!$F$33=1,Inputs!$F$64*Inputs!$F$35*AL21/SUM($J$21:$BJ$21),0)</f>
        <v>0</v>
      </c>
      <c r="AM27" s="11" t="n">
        <f aca="false">IF(Inputs!$F$33=1,Inputs!$F$64*Inputs!$F$35*AM21/SUM($J$21:$BJ$21),0)</f>
        <v>0</v>
      </c>
      <c r="AN27" s="11" t="n">
        <f aca="false">IF(Inputs!$F$33=1,Inputs!$F$64*Inputs!$F$35*AN21/SUM($J$21:$BJ$21),0)</f>
        <v>0</v>
      </c>
      <c r="AO27" s="11" t="n">
        <f aca="false">IF(Inputs!$F$33=1,Inputs!$F$64*Inputs!$F$35*AO21/SUM($J$21:$BJ$21),0)</f>
        <v>0</v>
      </c>
      <c r="AP27" s="11" t="n">
        <f aca="false">IF(Inputs!$F$33=1,Inputs!$F$64*Inputs!$F$35*AP21/SUM($J$21:$BJ$21),0)</f>
        <v>0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0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5.35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32.34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0.3425</v>
      </c>
      <c r="AE29" s="11" t="n">
        <f aca="false">IF(Inputs!$F$33=2,Inputs!AE228,0)</f>
        <v>0.3425</v>
      </c>
      <c r="AF29" s="11" t="n">
        <f aca="false">IF(Inputs!$F$33=2,Inputs!AF228,0)</f>
        <v>0.3425</v>
      </c>
      <c r="AG29" s="11" t="n">
        <f aca="false">IF(Inputs!$F$33=2,Inputs!AG228,0)</f>
        <v>0.3425</v>
      </c>
      <c r="AH29" s="11" t="n">
        <f aca="false">IF(Inputs!$F$33=2,Inputs!AH228,0)</f>
        <v>0.3425</v>
      </c>
      <c r="AI29" s="11" t="n">
        <f aca="false">IF(Inputs!$F$33=2,Inputs!AI228,0)</f>
        <v>0.3425</v>
      </c>
      <c r="AJ29" s="11" t="n">
        <f aca="false">IF(Inputs!$F$33=2,Inputs!AJ228,0)</f>
        <v>1.90916666666667</v>
      </c>
      <c r="AK29" s="11" t="n">
        <f aca="false">IF(Inputs!$F$33=2,Inputs!AK228,0)</f>
        <v>1.90916666666667</v>
      </c>
      <c r="AL29" s="11" t="n">
        <f aca="false">IF(Inputs!$F$33=2,Inputs!AL228,0)</f>
        <v>1.90916666666667</v>
      </c>
      <c r="AM29" s="11" t="n">
        <f aca="false">IF(Inputs!$F$33=2,Inputs!AM228,0)</f>
        <v>2.45416666666667</v>
      </c>
      <c r="AN29" s="11" t="n">
        <f aca="false">IF(Inputs!$F$33=2,Inputs!AN228,0)</f>
        <v>2.45416666666667</v>
      </c>
      <c r="AO29" s="11" t="n">
        <f aca="false">IF(Inputs!$F$33=2,Inputs!AO228,0)</f>
        <v>2.45416666666667</v>
      </c>
      <c r="AP29" s="11" t="n">
        <f aca="false">IF(Inputs!$F$33=2,Inputs!AP228,0)</f>
        <v>0.545</v>
      </c>
      <c r="AQ29" s="11" t="n">
        <f aca="false">IF(Inputs!$F$33=2,Inputs!AQ228,0)</f>
        <v>2.08785714285714</v>
      </c>
      <c r="AR29" s="11" t="n">
        <f aca="false">IF(Inputs!$F$33=2,Inputs!AR228,0)</f>
        <v>0.667857142857143</v>
      </c>
      <c r="AS29" s="11" t="n">
        <f aca="false">IF(Inputs!$F$33=2,Inputs!AS228,0)</f>
        <v>1.12285714285714</v>
      </c>
      <c r="AT29" s="11" t="n">
        <f aca="false">IF(Inputs!$F$33=2,Inputs!AT228,0)</f>
        <v>0.122857142857143</v>
      </c>
      <c r="AU29" s="11" t="n">
        <f aca="false">IF(Inputs!$F$33=2,Inputs!AU228,0)</f>
        <v>2.76285714285714</v>
      </c>
      <c r="AV29" s="11" t="n">
        <f aca="false">IF(Inputs!$F$33=2,Inputs!AV228,0)</f>
        <v>0.807857142857143</v>
      </c>
      <c r="AW29" s="11" t="n">
        <f aca="false">IF(Inputs!$F$33=2,Inputs!AW228,0)</f>
        <v>9.07785714285714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705.141630382208</v>
      </c>
      <c r="J30" s="11" t="n">
        <f aca="false">J22+J23+J24+J25+J26+J27+J28+J29</f>
        <v>108.029654898971</v>
      </c>
      <c r="K30" s="11" t="n">
        <f aca="false">K22+K23+K24+K25+K26+K27+K28+K29</f>
        <v>1.39719409599695</v>
      </c>
      <c r="L30" s="11" t="n">
        <f aca="false">L22+L23+L24+L25+L26+L27+L28+L29</f>
        <v>1.83459583652307</v>
      </c>
      <c r="M30" s="11" t="n">
        <f aca="false">M22+M23+M24+M25+M26+M27+M28+M29</f>
        <v>2.64316093389249</v>
      </c>
      <c r="N30" s="11" t="n">
        <f aca="false">N22+N23+N24+N25+N26+N27+N28+N29</f>
        <v>3.75722202497141</v>
      </c>
      <c r="O30" s="11" t="n">
        <f aca="false">O22+O23+O24+O25+O26+O27+O28+O29</f>
        <v>5.09998149905398</v>
      </c>
      <c r="P30" s="11" t="n">
        <f aca="false">P22+P23+P24+P25+P26+P27+P28+P29</f>
        <v>6.63636172877945</v>
      </c>
      <c r="Q30" s="11" t="n">
        <f aca="false">Q22+Q23+Q24+Q25+Q26+Q27+Q28+Q29</f>
        <v>8.30243269985161</v>
      </c>
      <c r="R30" s="11" t="n">
        <f aca="false">R22+R23+R24+R25+R26+R27+R28+R29</f>
        <v>10.048138336663</v>
      </c>
      <c r="S30" s="11" t="n">
        <f aca="false">S22+S23+S24+S25+S26+S27+S28+S29</f>
        <v>11.826266658811</v>
      </c>
      <c r="T30" s="11" t="n">
        <f aca="false">T22+T23+T24+T25+T26+T27+T28+T29</f>
        <v>13.5941562382211</v>
      </c>
      <c r="U30" s="11" t="n">
        <f aca="false">U22+U23+U24+U25+U26+U27+U28+U29</f>
        <v>15.2686916102576</v>
      </c>
      <c r="V30" s="11" t="n">
        <f aca="false">V22+V23+V24+V25+V26+V27+V28+V29</f>
        <v>16.8967106683911</v>
      </c>
      <c r="W30" s="11" t="n">
        <f aca="false">W22+W23+W24+W25+W26+W27+W28+W29</f>
        <v>18.4073490420824</v>
      </c>
      <c r="X30" s="11" t="n">
        <f aca="false">X22+X23+X24+X25+X26+X27+X28+X29</f>
        <v>19.7733880218955</v>
      </c>
      <c r="Y30" s="11" t="n">
        <f aca="false">Y22+Y23+Y24+Y25+Y26+Y27+Y28+Y29</f>
        <v>20.969877124181</v>
      </c>
      <c r="Z30" s="11" t="n">
        <f aca="false">Z22+Z23+Z24+Z25+Z26+Z27+Z28+Z29</f>
        <v>21.9775364297551</v>
      </c>
      <c r="AA30" s="11" t="n">
        <f aca="false">AA22+AA23+AA24+AA25+AA26+AA27+AA28+AA29</f>
        <v>23.8447403755194</v>
      </c>
      <c r="AB30" s="11" t="n">
        <f aca="false">AB22+AB23+AB24+AB25+AB26+AB27+AB28+AB29</f>
        <v>23.2808998162438</v>
      </c>
      <c r="AC30" s="11" t="n">
        <f aca="false">AC22+AC23+AC24+AC25+AC26+AC27+AC28+AC29</f>
        <v>23.6323507158834</v>
      </c>
      <c r="AD30" s="11" t="n">
        <f aca="false">AD22+AD23+AD24+AD25+AD26+AD27+AD28+AD29</f>
        <v>24.0906826040283</v>
      </c>
      <c r="AE30" s="11" t="n">
        <f aca="false">AE22+AE23+AE24+AE25+AE26+AE27+AE28+AE29</f>
        <v>23.9748507158834</v>
      </c>
      <c r="AF30" s="11" t="n">
        <f aca="false">AF22+AF23+AF24+AF25+AF26+AF27+AF28+AF29</f>
        <v>23.6233998162438</v>
      </c>
      <c r="AG30" s="11" t="n">
        <f aca="false">AG22+AG23+AG24+AG25+AG26+AG27+AG28+AG29</f>
        <v>22.9759722416557</v>
      </c>
      <c r="AH30" s="11" t="n">
        <f aca="false">AH22+AH23+AH24+AH25+AH26+AH27+AH28+AH29</f>
        <v>22.1806943796896</v>
      </c>
      <c r="AI30" s="11" t="n">
        <f aca="false">AI22+AI23+AI24+AI25+AI26+AI27+AI28+AI29</f>
        <v>21.179838316861</v>
      </c>
      <c r="AJ30" s="11" t="n">
        <f aca="false">AJ22+AJ23+AJ24+AJ25+AJ26+AJ27+AJ28+AJ29</f>
        <v>21.5580940141589</v>
      </c>
      <c r="AK30" s="11" t="n">
        <f aca="false">AK22+AK23+AK24+AK25+AK26+AK27+AK28+AK29</f>
        <v>20.2012778884673</v>
      </c>
      <c r="AL30" s="11" t="n">
        <f aca="false">AL22+AL23+AL24+AL25+AL26+AL27+AL28+AL29</f>
        <v>18.7008386361458</v>
      </c>
      <c r="AM30" s="11" t="n">
        <f aca="false">AM22+AM23+AM24+AM25+AM26+AM27+AM28+AM29</f>
        <v>17.5752147653275</v>
      </c>
      <c r="AN30" s="11" t="n">
        <f aca="false">AN22+AN23+AN24+AN25+AN26+AN27+AN28+AN29</f>
        <v>15.8808554631514</v>
      </c>
      <c r="AO30" s="11" t="n">
        <f aca="false">AO22+AO23+AO24+AO25+AO26+AO27+AO28+AO29</f>
        <v>14.1371241018391</v>
      </c>
      <c r="AP30" s="11" t="n">
        <f aca="false">AP22+AP23+AP24+AP25+AP26+AP27+AP28+AP29</f>
        <v>10.4741272435822</v>
      </c>
      <c r="AQ30" s="11" t="n">
        <f aca="false">AQ22+AQ23+AQ24+AQ25+AQ26+AQ27+AQ28+AQ29</f>
        <v>10.0151838240624</v>
      </c>
      <c r="AR30" s="11" t="n">
        <f aca="false">AR22+AR23+AR24+AR25+AR26+AR27+AR28+AR29</f>
        <v>6.95187971940217</v>
      </c>
      <c r="AS30" s="11" t="n">
        <f aca="false">AS22+AS23+AS24+AS25+AS26+AS27+AS28+AS29</f>
        <v>5.8819829958099</v>
      </c>
      <c r="AT30" s="11" t="n">
        <f aca="false">AT22+AT23+AT24+AT25+AT26+AT27+AT28+AT29</f>
        <v>3.55179558618063</v>
      </c>
      <c r="AU30" s="11" t="n">
        <f aca="false">AU22+AU23+AU24+AU25+AU26+AU27+AU28+AU29</f>
        <v>5.10000104003562</v>
      </c>
      <c r="AV30" s="11" t="n">
        <f aca="false">AV22+AV23+AV24+AV25+AV26+AV27+AV28+AV29</f>
        <v>2.35259659239783</v>
      </c>
      <c r="AW30" s="11" t="n">
        <f aca="false">AW22+AW23+AW24+AW25+AW26+AW27+AW28+AW29</f>
        <v>57.5145116813414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4.379757396</v>
      </c>
      <c r="L32" s="11" t="n">
        <f aca="false">L20/100*Inputs!$F$57*Inputs!$F$58*Inputs!$F$35</f>
        <v>37.270876664</v>
      </c>
      <c r="M32" s="11" t="n">
        <f aca="false">M20/100*Inputs!$F$57*Inputs!$F$58*Inputs!$F$35</f>
        <v>98.072214632</v>
      </c>
      <c r="N32" s="11" t="n">
        <f aca="false">N20/100*Inputs!$F$57*Inputs!$F$58*Inputs!$F$35</f>
        <v>181.84580953</v>
      </c>
      <c r="O32" s="11" t="n">
        <f aca="false">O20/100*Inputs!$F$57*Inputs!$F$58*Inputs!$F$35</f>
        <v>283.911332376</v>
      </c>
      <c r="P32" s="11" t="n">
        <f aca="false">P20/100*Inputs!$F$57*Inputs!$F$58*Inputs!$F$35</f>
        <v>399.889025774</v>
      </c>
      <c r="Q32" s="11" t="n">
        <f aca="false">Q20/100*Inputs!$F$57*Inputs!$F$58*Inputs!$F$35</f>
        <v>525.656765116</v>
      </c>
      <c r="R32" s="11" t="n">
        <f aca="false">R20/100*Inputs!$F$57*Inputs!$F$58*Inputs!$F$35</f>
        <v>657.435936178</v>
      </c>
      <c r="S32" s="11" t="n">
        <f aca="false">S20/100*Inputs!$F$57*Inputs!$F$58*Inputs!$F$35</f>
        <v>791.662618726</v>
      </c>
      <c r="T32" s="11" t="n">
        <f aca="false">T20/100*Inputs!$F$57*Inputs!$F$58*Inputs!$F$35</f>
        <v>925.11640291</v>
      </c>
      <c r="U32" s="11" t="n">
        <f aca="false">U20/100*Inputs!$F$57*Inputs!$F$58*Inputs!$F$35</f>
        <v>1054.79157287</v>
      </c>
      <c r="V32" s="11" t="n">
        <f aca="false">V20/100*Inputs!$F$57*Inputs!$F$58*Inputs!$F$35</f>
        <v>1178.068861928</v>
      </c>
      <c r="W32" s="11" t="n">
        <f aca="false">W20/100*Inputs!$F$57*Inputs!$F$58*Inputs!$F$35</f>
        <v>1292.4578198</v>
      </c>
      <c r="X32" s="11" t="n">
        <f aca="false">X20/100*Inputs!$F$57*Inputs!$F$58*Inputs!$F$35</f>
        <v>1395.897384182</v>
      </c>
      <c r="Y32" s="11" t="n">
        <f aca="false">Y20/100*Inputs!$F$57*Inputs!$F$58*Inputs!$F$35</f>
        <v>1486.498247962</v>
      </c>
      <c r="Z32" s="11" t="n">
        <f aca="false">Z20/100*Inputs!$F$57*Inputs!$F$58*Inputs!$F$35</f>
        <v>1562.800492008</v>
      </c>
      <c r="AA32" s="11" t="n">
        <f aca="false">AA20/100*Inputs!$F$57*Inputs!$F$58*Inputs!$F$35</f>
        <v>1623.430074784</v>
      </c>
      <c r="AB32" s="11" t="n">
        <f aca="false">AB20/100*Inputs!$F$57*Inputs!$F$58*Inputs!$F$35</f>
        <v>1667.442342734</v>
      </c>
      <c r="AC32" s="11" t="n">
        <f aca="false">AC20/100*Inputs!$F$57*Inputs!$F$58*Inputs!$F$35</f>
        <v>1694.15027509</v>
      </c>
      <c r="AD32" s="11" t="n">
        <f aca="false">AD20/100*Inputs!$F$57*Inputs!$F$58*Inputs!$F$35</f>
        <v>1702.95272868</v>
      </c>
      <c r="AE32" s="11" t="n">
        <f aca="false">AE20/100*Inputs!$F$57*Inputs!$F$58*Inputs!$F$35</f>
        <v>1694.15027509</v>
      </c>
      <c r="AF32" s="11" t="n">
        <f aca="false">AF20/100*Inputs!$F$57*Inputs!$F$58*Inputs!$F$35</f>
        <v>1667.442342734</v>
      </c>
      <c r="AG32" s="11" t="n">
        <f aca="false">AG20/100*Inputs!$F$57*Inputs!$F$58*Inputs!$F$35</f>
        <v>1623.430074784</v>
      </c>
      <c r="AH32" s="11" t="n">
        <f aca="false">AH20/100*Inputs!$F$57*Inputs!$F$58*Inputs!$F$35</f>
        <v>1562.800492008</v>
      </c>
      <c r="AI32" s="11" t="n">
        <f aca="false">AI20/100*Inputs!$F$57*Inputs!$F$58*Inputs!$F$35</f>
        <v>1486.498247962</v>
      </c>
      <c r="AJ32" s="11" t="n">
        <f aca="false">AJ20/100*Inputs!$F$57*Inputs!$F$58*Inputs!$F$35</f>
        <v>1395.897384182</v>
      </c>
      <c r="AK32" s="11" t="n">
        <f aca="false">AK20/100*Inputs!$F$57*Inputs!$F$58*Inputs!$F$35</f>
        <v>1292.4578198</v>
      </c>
      <c r="AL32" s="11" t="n">
        <f aca="false">AL20/100*Inputs!$F$57*Inputs!$F$58*Inputs!$F$35</f>
        <v>1178.068861928</v>
      </c>
      <c r="AM32" s="11" t="n">
        <f aca="false">AM20/100*Inputs!$F$57*Inputs!$F$58*Inputs!$F$35</f>
        <v>1054.79157287</v>
      </c>
      <c r="AN32" s="11" t="n">
        <f aca="false">AN20/100*Inputs!$F$57*Inputs!$F$58*Inputs!$F$35</f>
        <v>925.11640291</v>
      </c>
      <c r="AO32" s="11" t="n">
        <f aca="false">AO20/100*Inputs!$F$57*Inputs!$F$58*Inputs!$F$35</f>
        <v>791.662618726</v>
      </c>
      <c r="AP32" s="11" t="n">
        <f aca="false">AP20/100*Inputs!$F$57*Inputs!$F$58*Inputs!$F$35</f>
        <v>657.435936178</v>
      </c>
      <c r="AQ32" s="11" t="n">
        <f aca="false">AQ20/100*Inputs!$F$57*Inputs!$F$58*Inputs!$F$35</f>
        <v>525.656765116</v>
      </c>
      <c r="AR32" s="11" t="n">
        <f aca="false">AR20/100*Inputs!$F$57*Inputs!$F$58*Inputs!$F$35</f>
        <v>399.889025774</v>
      </c>
      <c r="AS32" s="11" t="n">
        <f aca="false">AS20/100*Inputs!$F$57*Inputs!$F$58*Inputs!$F$35</f>
        <v>283.911332376</v>
      </c>
      <c r="AT32" s="11" t="n">
        <f aca="false">AT20/100*Inputs!$F$57*Inputs!$F$58*Inputs!$F$35</f>
        <v>181.84580953</v>
      </c>
      <c r="AU32" s="11" t="n">
        <f aca="false">AU20/100*Inputs!$F$57*Inputs!$F$58*Inputs!$F$35</f>
        <v>98.072214632</v>
      </c>
      <c r="AV32" s="11" t="n">
        <f aca="false">AV20/100*Inputs!$F$57*Inputs!$F$58*Inputs!$F$35</f>
        <v>37.270876664</v>
      </c>
      <c r="AW32" s="11" t="n">
        <f aca="false">AW20/100*Inputs!$F$57*Inputs!$F$58*Inputs!$F$35</f>
        <v>3224.789607396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0.78835633128</v>
      </c>
      <c r="L33" s="11" t="n">
        <f aca="false">Inputs!$F$68/100*L32</f>
        <v>6.70875779952</v>
      </c>
      <c r="M33" s="11" t="n">
        <f aca="false">Inputs!$F$68/100*M32</f>
        <v>17.65299863376</v>
      </c>
      <c r="N33" s="11" t="n">
        <f aca="false">Inputs!$F$68/100*N32</f>
        <v>32.7322457154</v>
      </c>
      <c r="O33" s="11" t="n">
        <f aca="false">Inputs!$F$68/100*O32</f>
        <v>51.10403982768</v>
      </c>
      <c r="P33" s="11" t="n">
        <f aca="false">Inputs!$F$68/100*P32</f>
        <v>71.98002463932</v>
      </c>
      <c r="Q33" s="11" t="n">
        <f aca="false">Inputs!$F$68/100*Q32</f>
        <v>94.61821772088</v>
      </c>
      <c r="R33" s="11" t="n">
        <f aca="false">Inputs!$F$68/100*R32</f>
        <v>118.33846851204</v>
      </c>
      <c r="S33" s="11" t="n">
        <f aca="false">Inputs!$F$68/100*S32</f>
        <v>142.49927137068</v>
      </c>
      <c r="T33" s="11" t="n">
        <f aca="false">Inputs!$F$68/100*T32</f>
        <v>166.5209525238</v>
      </c>
      <c r="U33" s="11" t="n">
        <f aca="false">Inputs!$F$68/100*U32</f>
        <v>189.8624831166</v>
      </c>
      <c r="V33" s="11" t="n">
        <f aca="false">Inputs!$F$68/100*V32</f>
        <v>212.05239514704</v>
      </c>
      <c r="W33" s="11" t="n">
        <f aca="false">Inputs!$F$68/100*W32</f>
        <v>232.642407564</v>
      </c>
      <c r="X33" s="11" t="n">
        <f aca="false">Inputs!$F$68/100*X32</f>
        <v>251.26152915276</v>
      </c>
      <c r="Y33" s="11" t="n">
        <f aca="false">Inputs!$F$68/100*Y32</f>
        <v>267.56968463316</v>
      </c>
      <c r="Z33" s="11" t="n">
        <f aca="false">Inputs!$F$68/100*Z32</f>
        <v>281.30408856144</v>
      </c>
      <c r="AA33" s="11" t="n">
        <f aca="false">Inputs!$F$68/100*AA32</f>
        <v>292.21741346112</v>
      </c>
      <c r="AB33" s="11" t="n">
        <f aca="false">Inputs!$F$68/100*AB32</f>
        <v>300.13962169212</v>
      </c>
      <c r="AC33" s="11" t="n">
        <f aca="false">Inputs!$F$68/100*AC32</f>
        <v>304.9470495162</v>
      </c>
      <c r="AD33" s="11" t="n">
        <f aca="false">Inputs!$F$68/100*AD32</f>
        <v>306.5314911624</v>
      </c>
      <c r="AE33" s="11" t="n">
        <f aca="false">Inputs!$F$68/100*AE32</f>
        <v>304.9470495162</v>
      </c>
      <c r="AF33" s="11" t="n">
        <f aca="false">Inputs!$F$68/100*AF32</f>
        <v>300.13962169212</v>
      </c>
      <c r="AG33" s="11" t="n">
        <f aca="false">Inputs!$F$68/100*AG32</f>
        <v>292.21741346112</v>
      </c>
      <c r="AH33" s="11" t="n">
        <f aca="false">Inputs!$F$68/100*AH32</f>
        <v>281.30408856144</v>
      </c>
      <c r="AI33" s="11" t="n">
        <f aca="false">Inputs!$F$68/100*AI32</f>
        <v>267.56968463316</v>
      </c>
      <c r="AJ33" s="11" t="n">
        <f aca="false">Inputs!$F$68/100*AJ32</f>
        <v>251.26152915276</v>
      </c>
      <c r="AK33" s="11" t="n">
        <f aca="false">Inputs!$F$68/100*AK32</f>
        <v>232.642407564</v>
      </c>
      <c r="AL33" s="11" t="n">
        <f aca="false">Inputs!$F$68/100*AL32</f>
        <v>212.05239514704</v>
      </c>
      <c r="AM33" s="11" t="n">
        <f aca="false">Inputs!$F$68/100*AM32</f>
        <v>189.8624831166</v>
      </c>
      <c r="AN33" s="11" t="n">
        <f aca="false">Inputs!$F$68/100*AN32</f>
        <v>166.5209525238</v>
      </c>
      <c r="AO33" s="11" t="n">
        <f aca="false">Inputs!$F$68/100*AO32</f>
        <v>142.49927137068</v>
      </c>
      <c r="AP33" s="11" t="n">
        <f aca="false">Inputs!$F$68/100*AP32</f>
        <v>118.33846851204</v>
      </c>
      <c r="AQ33" s="11" t="n">
        <f aca="false">Inputs!$F$68/100*AQ32</f>
        <v>94.61821772088</v>
      </c>
      <c r="AR33" s="11" t="n">
        <f aca="false">Inputs!$F$68/100*AR32</f>
        <v>71.98002463932</v>
      </c>
      <c r="AS33" s="11" t="n">
        <f aca="false">Inputs!$F$68/100*AS32</f>
        <v>51.10403982768</v>
      </c>
      <c r="AT33" s="11" t="n">
        <f aca="false">Inputs!$F$68/100*AT32</f>
        <v>32.7322457154</v>
      </c>
      <c r="AU33" s="11" t="n">
        <f aca="false">Inputs!$F$68/100*AU32</f>
        <v>17.65299863376</v>
      </c>
      <c r="AV33" s="11" t="n">
        <f aca="false">Inputs!$F$68/100*AV32</f>
        <v>6.70875779952</v>
      </c>
      <c r="AW33" s="11" t="n">
        <f aca="false">Inputs!$F$68/100*AW32</f>
        <v>580.46212933128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0.78835633128</v>
      </c>
      <c r="U34" s="11" t="n">
        <f aca="false">L33</f>
        <v>6.70875779952</v>
      </c>
      <c r="V34" s="11" t="n">
        <f aca="false">M33</f>
        <v>17.65299863376</v>
      </c>
      <c r="W34" s="11" t="n">
        <f aca="false">N33</f>
        <v>32.7322457154</v>
      </c>
      <c r="X34" s="11" t="n">
        <f aca="false">O33</f>
        <v>51.10403982768</v>
      </c>
      <c r="Y34" s="11" t="n">
        <f aca="false">P33</f>
        <v>71.98002463932</v>
      </c>
      <c r="Z34" s="11" t="n">
        <f aca="false">Q33</f>
        <v>94.61821772088</v>
      </c>
      <c r="AA34" s="11" t="n">
        <f aca="false">R33</f>
        <v>118.33846851204</v>
      </c>
      <c r="AB34" s="11" t="n">
        <f aca="false">S33</f>
        <v>142.49927137068</v>
      </c>
      <c r="AC34" s="11" t="n">
        <f aca="false">T33</f>
        <v>166.5209525238</v>
      </c>
      <c r="AD34" s="11" t="n">
        <f aca="false">U33</f>
        <v>189.8624831166</v>
      </c>
      <c r="AE34" s="11" t="n">
        <f aca="false">V33</f>
        <v>212.05239514704</v>
      </c>
      <c r="AF34" s="11" t="n">
        <f aca="false">W33</f>
        <v>232.642407564</v>
      </c>
      <c r="AG34" s="11" t="n">
        <f aca="false">X33</f>
        <v>251.26152915276</v>
      </c>
      <c r="AH34" s="11" t="n">
        <f aca="false">Y33</f>
        <v>267.56968463316</v>
      </c>
      <c r="AI34" s="11" t="n">
        <f aca="false">Z33</f>
        <v>281.30408856144</v>
      </c>
      <c r="AJ34" s="11" t="n">
        <f aca="false">AA33</f>
        <v>292.21741346112</v>
      </c>
      <c r="AK34" s="11" t="n">
        <f aca="false">AB33</f>
        <v>300.13962169212</v>
      </c>
      <c r="AL34" s="11" t="n">
        <f aca="false">AC33</f>
        <v>304.9470495162</v>
      </c>
      <c r="AM34" s="11" t="n">
        <f aca="false">AD33</f>
        <v>306.5314911624</v>
      </c>
      <c r="AN34" s="11" t="n">
        <f aca="false">AE33</f>
        <v>304.9470495162</v>
      </c>
      <c r="AO34" s="11" t="n">
        <f aca="false">AF33</f>
        <v>300.13962169212</v>
      </c>
      <c r="AP34" s="11" t="n">
        <f aca="false">AG33</f>
        <v>292.21741346112</v>
      </c>
      <c r="AQ34" s="11" t="n">
        <f aca="false">AH33</f>
        <v>281.30408856144</v>
      </c>
      <c r="AR34" s="11" t="n">
        <f aca="false">AI33</f>
        <v>267.56968463316</v>
      </c>
      <c r="AS34" s="11" t="n">
        <f aca="false">AJ33</f>
        <v>251.26152915276</v>
      </c>
      <c r="AT34" s="11" t="n">
        <f aca="false">AK33</f>
        <v>232.642407564</v>
      </c>
      <c r="AU34" s="11" t="n">
        <f aca="false">AL33</f>
        <v>212.05239514704</v>
      </c>
      <c r="AV34" s="11" t="n">
        <f aca="false">AM33</f>
        <v>189.8624831166</v>
      </c>
      <c r="AW34" s="11" t="n">
        <f aca="false">AN33</f>
        <v>166.5209525238</v>
      </c>
      <c r="AX34" s="11" t="n">
        <f aca="false">AO33</f>
        <v>142.49927137068</v>
      </c>
      <c r="AY34" s="11" t="n">
        <f aca="false">AP33</f>
        <v>118.33846851204</v>
      </c>
      <c r="AZ34" s="11" t="n">
        <f aca="false">AQ33</f>
        <v>94.61821772088</v>
      </c>
      <c r="BA34" s="11" t="n">
        <f aca="false">AR33</f>
        <v>71.98002463932</v>
      </c>
      <c r="BB34" s="11" t="n">
        <f aca="false">AS33</f>
        <v>51.10403982768</v>
      </c>
      <c r="BC34" s="11" t="n">
        <f aca="false">AT33</f>
        <v>32.7322457154</v>
      </c>
      <c r="BD34" s="11" t="n">
        <f aca="false">AU33</f>
        <v>17.65299863376</v>
      </c>
      <c r="BE34" s="11" t="n">
        <f aca="false">AV33</f>
        <v>6.70875779952</v>
      </c>
      <c r="BF34" s="11" t="n">
        <f aca="false">AW33</f>
        <v>580.46212933128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773.68672033128</v>
      </c>
      <c r="L35" s="11" t="n">
        <f aca="false">K35+L33-L34</f>
        <v>780.3954781308</v>
      </c>
      <c r="M35" s="11" t="n">
        <f aca="false">L35+M33-M34</f>
        <v>798.04847676456</v>
      </c>
      <c r="N35" s="11" t="n">
        <f aca="false">M35+N33-N34</f>
        <v>830.78072247996</v>
      </c>
      <c r="O35" s="11" t="n">
        <f aca="false">N35+O33-O34</f>
        <v>881.88476230764</v>
      </c>
      <c r="P35" s="11" t="n">
        <f aca="false">O35+P33-P34</f>
        <v>953.86478694696</v>
      </c>
      <c r="Q35" s="11" t="n">
        <f aca="false">P35+Q33-Q34</f>
        <v>1048.48300466784</v>
      </c>
      <c r="R35" s="11" t="n">
        <f aca="false">Q35+R33-R34</f>
        <v>1166.82147317988</v>
      </c>
      <c r="S35" s="11" t="n">
        <f aca="false">R35+S33-S34</f>
        <v>536.42238055056</v>
      </c>
      <c r="T35" s="11" t="n">
        <f aca="false">S35+T33-T34</f>
        <v>702.15497674308</v>
      </c>
      <c r="U35" s="11" t="n">
        <f aca="false">T35+U33-U34</f>
        <v>885.30870206016</v>
      </c>
      <c r="V35" s="11" t="n">
        <f aca="false">U35+V33-V34</f>
        <v>1079.70809857344</v>
      </c>
      <c r="W35" s="11" t="n">
        <f aca="false">V35+W33-W34</f>
        <v>1279.61826042204</v>
      </c>
      <c r="X35" s="11" t="n">
        <f aca="false">W35+X33-X34</f>
        <v>1479.77574974712</v>
      </c>
      <c r="Y35" s="11" t="n">
        <f aca="false">X35+Y33-Y34</f>
        <v>1675.36540974096</v>
      </c>
      <c r="Z35" s="11" t="n">
        <f aca="false">Y35+Z33-Z34</f>
        <v>1862.05128058152</v>
      </c>
      <c r="AA35" s="11" t="n">
        <f aca="false">Z35+AA33-AA34</f>
        <v>2035.9302255306</v>
      </c>
      <c r="AB35" s="11" t="n">
        <f aca="false">AA35+AB33-AB34</f>
        <v>2193.57057585204</v>
      </c>
      <c r="AC35" s="11" t="n">
        <f aca="false">AB35+AC33-AC34</f>
        <v>2331.99667284444</v>
      </c>
      <c r="AD35" s="11" t="n">
        <f aca="false">AC35+AD33-AD34</f>
        <v>2448.66568089024</v>
      </c>
      <c r="AE35" s="11" t="n">
        <f aca="false">AD35+AE33-AE34</f>
        <v>2541.5603352594</v>
      </c>
      <c r="AF35" s="11" t="n">
        <f aca="false">AE35+AF33-AF34</f>
        <v>2609.05754938752</v>
      </c>
      <c r="AG35" s="11" t="n">
        <f aca="false">AF35+AG33-AG34</f>
        <v>2650.01343369588</v>
      </c>
      <c r="AH35" s="11" t="n">
        <f aca="false">AG35+AH33-AH34</f>
        <v>2663.74783762416</v>
      </c>
      <c r="AI35" s="11" t="n">
        <f aca="false">AH35+AI33-AI34</f>
        <v>2650.01343369588</v>
      </c>
      <c r="AJ35" s="11" t="n">
        <f aca="false">AI35+AJ33-AJ34</f>
        <v>2609.05754938752</v>
      </c>
      <c r="AK35" s="11" t="n">
        <f aca="false">AJ35+AK33-AK34</f>
        <v>2541.5603352594</v>
      </c>
      <c r="AL35" s="11" t="n">
        <f aca="false">AK35+AL33-AL34</f>
        <v>2448.66568089024</v>
      </c>
      <c r="AM35" s="11" t="n">
        <f aca="false">AL35+AM33-AM34</f>
        <v>2331.99667284444</v>
      </c>
      <c r="AN35" s="11" t="n">
        <f aca="false">AM35+AN33-AN34</f>
        <v>2193.57057585204</v>
      </c>
      <c r="AO35" s="11" t="n">
        <f aca="false">AN35+AO33-AO34</f>
        <v>2035.9302255306</v>
      </c>
      <c r="AP35" s="11" t="n">
        <f aca="false">AO35+AP33-AP34</f>
        <v>1862.05128058152</v>
      </c>
      <c r="AQ35" s="11" t="n">
        <f aca="false">AP35+AQ33-AQ34</f>
        <v>1675.36540974096</v>
      </c>
      <c r="AR35" s="11" t="n">
        <f aca="false">AQ35+AR33-AR34</f>
        <v>1479.77574974712</v>
      </c>
      <c r="AS35" s="11" t="n">
        <f aca="false">AR35+AS33-AS34</f>
        <v>1279.61826042204</v>
      </c>
      <c r="AT35" s="11" t="n">
        <f aca="false">AS35+AT33-AT34</f>
        <v>1079.70809857344</v>
      </c>
      <c r="AU35" s="11" t="n">
        <f aca="false">AT35+AU33-AU34</f>
        <v>885.30870206016</v>
      </c>
      <c r="AV35" s="11" t="n">
        <f aca="false">AU35+AV33-AV34</f>
        <v>702.15497674308</v>
      </c>
      <c r="AW35" s="11" t="n">
        <f aca="false">AV35+AW33-AW34</f>
        <v>1116.09615355056</v>
      </c>
      <c r="AX35" s="11" t="n">
        <f aca="false">AW35+AX33-AX34</f>
        <v>973.59688217988</v>
      </c>
      <c r="AY35" s="11" t="n">
        <f aca="false">AX35+AY33-AY34</f>
        <v>855.25841366784</v>
      </c>
      <c r="AZ35" s="11" t="n">
        <f aca="false">AY35+AZ33-AZ34</f>
        <v>760.64019594696</v>
      </c>
      <c r="BA35" s="11" t="n">
        <f aca="false">AZ35+BA33-BA34</f>
        <v>688.66017130764</v>
      </c>
      <c r="BB35" s="11" t="n">
        <f aca="false">BA35+BB33-BB34</f>
        <v>637.55613147996</v>
      </c>
      <c r="BC35" s="11" t="n">
        <f aca="false">BB35+BC33-BC34</f>
        <v>604.82388576456</v>
      </c>
      <c r="BD35" s="11" t="n">
        <f aca="false">BC35+BD33-BD34</f>
        <v>587.1708871308</v>
      </c>
      <c r="BE35" s="11" t="n">
        <f aca="false">BD35+BE33-BE34</f>
        <v>580.46212933128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1.64923784986982</v>
      </c>
      <c r="J36" s="11" t="n">
        <f aca="false">0*(J18+Inputs!$F$69)/100*J11/365/J16</f>
        <v>0</v>
      </c>
      <c r="K36" s="11" t="n">
        <f aca="false">J35*(K18+Inputs!$F$69)/100*K11/365/K16</f>
        <v>0.0193750340622209</v>
      </c>
      <c r="L36" s="11" t="n">
        <f aca="false">K35*(L18+Inputs!$F$69)/100*L11/365/L16</f>
        <v>0.0200412898168632</v>
      </c>
      <c r="M36" s="11" t="n">
        <f aca="false">L35*(M18+Inputs!$F$69)/100*M11/365/M16</f>
        <v>0.0195629718926245</v>
      </c>
      <c r="N36" s="11" t="n">
        <f aca="false">M35*(N18+Inputs!$F$69)/100*N11/365/N16</f>
        <v>0.0206723475929591</v>
      </c>
      <c r="O36" s="11" t="n">
        <f aca="false">N35*(O18+Inputs!$F$69)/100*O11/365/O16</f>
        <v>0.0209414086059241</v>
      </c>
      <c r="P36" s="11" t="n">
        <f aca="false">O35*(P18+Inputs!$F$69)/100*P11/365/P16</f>
        <v>0.0200783331688696</v>
      </c>
      <c r="Q36" s="11" t="n">
        <f aca="false">P35*(Q18+Inputs!$F$69)/100*Q11/365/Q16</f>
        <v>0.0240439766086904</v>
      </c>
      <c r="R36" s="11" t="n">
        <f aca="false">Q35*(R18+Inputs!$F$69)/100*R11/365/R16</f>
        <v>0.0255764601195073</v>
      </c>
      <c r="S36" s="11" t="n">
        <f aca="false">R35*(S18+Inputs!$F$69)/100*S11/365/S16</f>
        <v>0.0294119550187512</v>
      </c>
      <c r="T36" s="11" t="n">
        <f aca="false">S35*(T18+Inputs!$F$69)/100*T11/365/T16</f>
        <v>0.013085367681004</v>
      </c>
      <c r="U36" s="11" t="n">
        <f aca="false">T35*(U18+Inputs!$F$69)/100*U11/365/U16</f>
        <v>0.0173074783868052</v>
      </c>
      <c r="V36" s="11" t="n">
        <f aca="false">U35*(V18+Inputs!$F$69)/100*V11/365/V16</f>
        <v>0.0218220503080807</v>
      </c>
      <c r="W36" s="11" t="n">
        <f aca="false">V35*(W18+Inputs!$F$69)/100*W11/365/W16</f>
        <v>0.0257553074956206</v>
      </c>
      <c r="X36" s="11" t="n">
        <f aca="false">W35*(X18+Inputs!$F$69)/100*X11/365/X16</f>
        <v>0.0315414205113856</v>
      </c>
      <c r="Y36" s="11" t="n">
        <f aca="false">X35*(Y18+Inputs!$F$69)/100*Y11/365/Y16</f>
        <v>0.0352985029098652</v>
      </c>
      <c r="Z36" s="11" t="n">
        <f aca="false">Y35*(Z18+Inputs!$F$69)/100*Z11/365/Z16</f>
        <v>0.0412962260177819</v>
      </c>
      <c r="AA36" s="11" t="n">
        <f aca="false">Z35*(AA18+Inputs!$F$69)/100*AA11/365/AA16</f>
        <v>0.0447058151492538</v>
      </c>
      <c r="AB36" s="11" t="n">
        <f aca="false">AA35*(AB18+Inputs!$F$69)/100*AB11/365/AB16</f>
        <v>0.0457268805192022</v>
      </c>
      <c r="AC36" s="11" t="n">
        <f aca="false">AB35*(AC18+Inputs!$F$69)/100*AC11/365/AC16</f>
        <v>0.0526652309222427</v>
      </c>
      <c r="AD36" s="11" t="n">
        <f aca="false">AC35*(AD18+Inputs!$F$69)/100*AD11/365/AD16</f>
        <v>0.0541826033673136</v>
      </c>
      <c r="AE36" s="11" t="n">
        <f aca="false">AD35*(AE18+Inputs!$F$69)/100*AE11/365/AE16</f>
        <v>0.058789785455325</v>
      </c>
      <c r="AF36" s="11" t="n">
        <f aca="false">AE35*(AF18+Inputs!$F$69)/100*AF11/365/AF16</f>
        <v>0.0590516947056736</v>
      </c>
      <c r="AG36" s="11" t="n">
        <f aca="false">AF35*(AG18+Inputs!$F$69)/100*AG11/365/AG16</f>
        <v>0.061149689996844</v>
      </c>
      <c r="AH36" s="11" t="n">
        <f aca="false">AG35*(AH18+Inputs!$F$69)/100*AH11/365/AH16</f>
        <v>0.0621095920233787</v>
      </c>
      <c r="AI36" s="11" t="n">
        <f aca="false">AH35*(AI18+Inputs!$F$69)/100*AI11/365/AI16</f>
        <v>0.0604175725242808</v>
      </c>
      <c r="AJ36" s="11" t="n">
        <f aca="false">AI35*(AJ18+Inputs!$F$69)/100*AJ11/365/AJ16</f>
        <v>0.0621095920233787</v>
      </c>
      <c r="AK36" s="11" t="n">
        <f aca="false">AJ35*(AK18+Inputs!$F$69)/100*AK11/365/AK16</f>
        <v>0.0591771193517845</v>
      </c>
      <c r="AL36" s="11" t="n">
        <f aca="false">AK35*(AL18+Inputs!$F$69)/100*AL11/365/AL16</f>
        <v>0.0595677265324681</v>
      </c>
      <c r="AM36" s="11" t="n">
        <f aca="false">AL35*(AM18+Inputs!$F$69)/100*AM11/365/AM16</f>
        <v>0.0556997297752159</v>
      </c>
      <c r="AN36" s="11" t="n">
        <f aca="false">AM35*(AN18+Inputs!$F$69)/100*AN11/365/AN16</f>
        <v>0.0479123924877349</v>
      </c>
      <c r="AO36" s="11" t="n">
        <f aca="false">AN35*(AO18+Inputs!$F$69)/100*AO11/365/AO16</f>
        <v>0.049897088553715</v>
      </c>
      <c r="AP36" s="11" t="n">
        <f aca="false">AO35*(AP18+Inputs!$F$69)/100*AP11/365/AP16</f>
        <v>0.0448173366897968</v>
      </c>
      <c r="AQ36" s="11" t="n">
        <f aca="false">AP35*(AQ18+Inputs!$F$69)/100*AQ11/365/AQ16</f>
        <v>0.0423560284139231</v>
      </c>
      <c r="AR36" s="11" t="n">
        <f aca="false">AQ35*(AR18+Inputs!$F$69)/100*AR11/365/AR16</f>
        <v>0.0368801517386144</v>
      </c>
      <c r="AS36" s="11" t="n">
        <f aca="false">AR35*(AS18+Inputs!$F$69)/100*AS11/365/AS16</f>
        <v>0.032986767513149</v>
      </c>
      <c r="AT36" s="11" t="n">
        <f aca="false">AS35*(AT18+Inputs!$F$69)/100*AT11/365/AT16</f>
        <v>0.0285249099867567</v>
      </c>
      <c r="AU36" s="11" t="n">
        <f aca="false">AT35*(AU18+Inputs!$F$69)/100*AU11/365/AU16</f>
        <v>0.0232921604697107</v>
      </c>
      <c r="AV36" s="11" t="n">
        <f aca="false">AU35*(AV18+Inputs!$F$69)/100*AV11/365/AV16</f>
        <v>0.0197350661660842</v>
      </c>
      <c r="AW36" s="11" t="n">
        <f aca="false">AV35*(AW18+Inputs!$F$69)/100*AW11/365/AW16</f>
        <v>0.0151473406696814</v>
      </c>
      <c r="AX36" s="11" t="n">
        <f aca="false">AW35*(AX18+Inputs!$F$69)/100*AX11/365/AX16</f>
        <v>0.0248797186639826</v>
      </c>
      <c r="AY36" s="11" t="n">
        <f aca="false">AX35*(AY18+Inputs!$F$69)/100*AY11/365/AY16</f>
        <v>0.0284356212633611</v>
      </c>
      <c r="AZ36" s="11" t="n">
        <f aca="false">AY35*(AZ18+Inputs!$F$69)/100*AZ11/365/AZ16</f>
        <v>0.0225619815385641</v>
      </c>
      <c r="BA36" s="11" t="n">
        <f aca="false">AZ35*(BA18+Inputs!$F$69)/100*BA11/365/BA16</f>
        <v>0.0222158440783096</v>
      </c>
      <c r="BB36" s="11" t="n">
        <f aca="false">BA35*(BB18+Inputs!$F$69)/100*BB11/365/BB16</f>
        <v>0.0194647161060365</v>
      </c>
      <c r="BC36" s="11" t="n">
        <f aca="false">BB35*(BC18+Inputs!$F$69)/100*BC11/365/BC16</f>
        <v>0.0186209559836576</v>
      </c>
      <c r="BD36" s="11" t="n">
        <f aca="false">BC35*(BD18+Inputs!$F$69)/100*BD11/365/BD16</f>
        <v>0.017095115589744</v>
      </c>
      <c r="BE36" s="11" t="n">
        <f aca="false">BD35*(BE18+Inputs!$F$69)/100*BE11/365/BE16</f>
        <v>0.0167212706702603</v>
      </c>
      <c r="BF36" s="11" t="n">
        <f aca="false">BE35*(BF18+Inputs!$F$69)/100*BF11/365/BF16</f>
        <v>0.0165302207434236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2.87</v>
      </c>
      <c r="L8" s="11" t="n">
        <f aca="false">CHOOSE(Inputs!$F$32,Inputs!L212,Inputs!L213,Inputs!L214)</f>
        <v>2.2</v>
      </c>
      <c r="M8" s="11" t="n">
        <f aca="false">CHOOSE(Inputs!$F$32,Inputs!M212,Inputs!M213,Inputs!M214)</f>
        <v>1.91</v>
      </c>
      <c r="N8" s="11" t="n">
        <f aca="false">CHOOSE(Inputs!$F$32,Inputs!N212,Inputs!N213,Inputs!N214)</f>
        <v>0.37</v>
      </c>
      <c r="O8" s="11" t="n">
        <f aca="false">CHOOSE(Inputs!$F$32,Inputs!O212,Inputs!O213,Inputs!O214)</f>
        <v>0.25</v>
      </c>
      <c r="P8" s="11" t="n">
        <f aca="false">CHOOSE(Inputs!$F$32,Inputs!P212,Inputs!P213,Inputs!P214)</f>
        <v>0.16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2.87</v>
      </c>
      <c r="L9" s="11" t="n">
        <f aca="false">L8+Inputs!$F$41*Time!L34</f>
        <v>2.2</v>
      </c>
      <c r="M9" s="11" t="n">
        <f aca="false">M8+Inputs!$F$41*Time!M34</f>
        <v>1.91</v>
      </c>
      <c r="N9" s="11" t="n">
        <f aca="false">N8+Inputs!$F$41*Time!N34</f>
        <v>0.37</v>
      </c>
      <c r="O9" s="11" t="n">
        <f aca="false">O8+Inputs!$F$41*Time!O34</f>
        <v>0.25</v>
      </c>
      <c r="P9" s="11" t="n">
        <f aca="false">P8+Inputs!$F$41*Time!P34</f>
        <v>0.16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524.6</v>
      </c>
      <c r="K10" s="11" t="n">
        <f aca="false">CHOOSE(Inputs!$F$32,Inputs!$F$58*Time!$F$15^((Time!K17-0.5)/2),Inputs!K215,Inputs!K215)</f>
        <v>539.1</v>
      </c>
      <c r="L10" s="11" t="n">
        <f aca="false">CHOOSE(Inputs!$F$32,Inputs!$F$58*Time!$F$15^((Time!L17-0.5)/2),Inputs!L215,Inputs!L215)</f>
        <v>551.3</v>
      </c>
      <c r="M10" s="11" t="n">
        <f aca="false">CHOOSE(Inputs!$F$32,Inputs!$F$58*Time!$F$15^((Time!M17-0.5)/2),Inputs!M215,Inputs!M215)</f>
        <v>566</v>
      </c>
      <c r="N10" s="11" t="n">
        <f aca="false">CHOOSE(Inputs!$F$32,Inputs!$F$58*Time!$F$15^((Time!N17-0.5)/2),Inputs!N215,Inputs!N215)</f>
        <v>579.8</v>
      </c>
      <c r="O10" s="11" t="n">
        <f aca="false">CHOOSE(Inputs!$F$32,Inputs!$F$58*Time!$F$15^((Time!O17-0.5)/2),Inputs!O215,Inputs!O215)</f>
        <v>597.4</v>
      </c>
      <c r="P10" s="11" t="n">
        <f aca="false">CHOOSE(Inputs!$F$32,Inputs!$F$58*Time!$F$15^((Time!P17-0.5)/2),Inputs!P215,Inputs!P215)</f>
        <v>609.6</v>
      </c>
      <c r="Q10" s="11" t="n">
        <f aca="false">CHOOSE(Inputs!$F$32,Inputs!$F$58*Time!$F$15^((Time!Q17-0.5)/2),Inputs!Q215,P10*Time!$F$15^0.5)</f>
        <v>625.206871438513</v>
      </c>
      <c r="R10" s="11" t="n">
        <f aca="false">CHOOSE(Inputs!$F$32,Inputs!$F$58*Time!$F$15^((Time!R17-0.5)/2),Inputs!R215,Q10*Time!$F$15^0.5)</f>
        <v>641.213307240704</v>
      </c>
      <c r="S10" s="11" t="n">
        <f aca="false">CHOOSE(Inputs!$F$32,Inputs!$F$58*Time!$F$15^((Time!S17-0.5)/2),Inputs!S215,R10*Time!$F$15^0.5)</f>
        <v>657.62953698278</v>
      </c>
      <c r="T10" s="11" t="n">
        <f aca="false">CHOOSE(Inputs!$F$32,Inputs!$F$58*Time!$F$15^((Time!T17-0.5)/2),Inputs!T215,S10*Time!$F$15^0.5)</f>
        <v>674.466052136749</v>
      </c>
      <c r="U10" s="11" t="n">
        <f aca="false">CHOOSE(Inputs!$F$32,Inputs!$F$58*Time!$F$15^((Time!U17-0.5)/2),Inputs!U215,T10*Time!$F$15^0.5)</f>
        <v>691.733612775429</v>
      </c>
      <c r="V10" s="11" t="n">
        <f aca="false">CHOOSE(Inputs!$F$32,Inputs!$F$58*Time!$F$15^((Time!V17-0.5)/2),Inputs!V215,U10*Time!$F$15^0.5)</f>
        <v>709.443254449124</v>
      </c>
      <c r="W10" s="11" t="n">
        <f aca="false">CHOOSE(Inputs!$F$32,Inputs!$F$58*Time!$F$15^((Time!W17-0.5)/2),Inputs!W215,V10*Time!$F$15^0.5)</f>
        <v>727.606295238343</v>
      </c>
      <c r="X10" s="11" t="n">
        <f aca="false">CHOOSE(Inputs!$F$32,Inputs!$F$58*Time!$F$15^((Time!X17-0.5)/2),Inputs!X215,W10*Time!$F$15^0.5)</f>
        <v>746.234342987092</v>
      </c>
      <c r="Y10" s="11" t="n">
        <f aca="false">CHOOSE(Inputs!$F$32,Inputs!$F$58*Time!$F$15^((Time!Y17-0.5)/2),Inputs!Y215,X10*Time!$F$15^0.5)</f>
        <v>765.339302721348</v>
      </c>
      <c r="Z10" s="11" t="n">
        <f aca="false">CHOOSE(Inputs!$F$32,Inputs!$F$58*Time!$F$15^((Time!Z17-0.5)/2),Inputs!Z215,Y10*Time!$F$15^0.5)</f>
        <v>784.93338425746</v>
      </c>
      <c r="AA10" s="11" t="n">
        <f aca="false">CHOOSE(Inputs!$F$32,Inputs!$F$58*Time!$F$15^((Time!AA17-0.5)/2),Z10*((1+AA13/100)/(1+AA12/100))^0.5,Z10*Time!$F$15^0.5)</f>
        <v>805.029110005332</v>
      </c>
      <c r="AB10" s="11" t="n">
        <f aca="false">CHOOSE(Inputs!$F$32,Inputs!$F$58*Time!$F$15^((Time!AB17-0.5)/2),AA10*((1+AB13/100)/(1+AB12/100))^0.5,AA10*Time!$F$15^0.5)</f>
        <v>825.639322971398</v>
      </c>
      <c r="AC10" s="11" t="n">
        <f aca="false">CHOOSE(Inputs!$F$32,Inputs!$F$58*Time!$F$15^((Time!AC17-0.5)/2),AB10*((1+AC13/100)/(1+AC12/100))^0.5,AB10*Time!$F$15^0.5)</f>
        <v>846.777194966469</v>
      </c>
      <c r="AD10" s="11" t="n">
        <f aca="false">CHOOSE(Inputs!$F$32,Inputs!$F$58*Time!$F$15^((Time!AD17-0.5)/2),AC10*((1+AD13/100)/(1+AD12/100))^0.5,AC10*Time!$F$15^0.5)</f>
        <v>868.456235023731</v>
      </c>
      <c r="AE10" s="11" t="n">
        <f aca="false">CHOOSE(Inputs!$F$32,Inputs!$F$58*Time!$F$15^((Time!AE17-0.5)/2),AD10*((1+AE13/100)/(1+AE12/100))^0.5,AD10*Time!$F$15^0.5)</f>
        <v>890.690298032245</v>
      </c>
      <c r="AF10" s="11" t="n">
        <f aca="false">CHOOSE(Inputs!$F$32,Inputs!$F$58*Time!$F$15^((Time!AF17-0.5)/2),AE10*((1+AF13/100)/(1+AF12/100))^0.5,AE10*Time!$F$15^0.5)</f>
        <v>913.493593591497</v>
      </c>
      <c r="AG10" s="11" t="n">
        <f aca="false">CHOOSE(Inputs!$F$32,Inputs!$F$58*Time!$F$15^((Time!AG17-0.5)/2),AF10*((1+AG13/100)/(1+AG12/100))^0.5,AF10*Time!$F$15^0.5)</f>
        <v>936.880695092625</v>
      </c>
      <c r="AH10" s="11" t="n">
        <f aca="false">CHOOSE(Inputs!$F$32,Inputs!$F$58*Time!$F$15^((Time!AH17-0.5)/2),AG10*((1+AH13/100)/(1+AH12/100))^0.5,AG10*Time!$F$15^0.5)</f>
        <v>960.866549032152</v>
      </c>
      <c r="AI10" s="11" t="n">
        <f aca="false">CHOOSE(Inputs!$F$32,Inputs!$F$58*Time!$F$15^((Time!AI17-0.5)/2),AH10*((1+AI13/100)/(1+AI12/100))^0.5,AH10*Time!$F$15^0.5)</f>
        <v>985.46648456416</v>
      </c>
      <c r="AJ10" s="11" t="n">
        <f aca="false">CHOOSE(Inputs!$F$32,Inputs!$F$58*Time!$F$15^((Time!AJ17-0.5)/2),AI10*((1+AJ13/100)/(1+AJ12/100))^0.5,AI10*Time!$F$15^0.5)</f>
        <v>1010.69622329703</v>
      </c>
      <c r="AK10" s="11" t="n">
        <f aca="false">CHOOSE(Inputs!$F$32,Inputs!$F$58*Time!$F$15^((Time!AK17-0.5)/2),AJ10*((1+AK13/100)/(1+AK12/100))^0.5,AJ10*Time!$F$15^0.5)</f>
        <v>1036.57188934097</v>
      </c>
      <c r="AL10" s="11" t="n">
        <f aca="false">CHOOSE(Inputs!$F$32,Inputs!$F$58*Time!$F$15^((Time!AL17-0.5)/2),AK10*((1+AL13/100)/(1+AL12/100))^0.5,AK10*Time!$F$15^0.5)</f>
        <v>1063.11001961282</v>
      </c>
      <c r="AM10" s="11" t="n">
        <f aca="false">CHOOSE(Inputs!$F$32,Inputs!$F$58*Time!$F$15^((Time!AM17-0.5)/2),AL10*((1+AM13/100)/(1+AM12/100))^0.5,AL10*Time!$F$15^0.5)</f>
        <v>1090.32757440464</v>
      </c>
      <c r="AN10" s="11" t="n">
        <f aca="false">CHOOSE(Inputs!$F$32,Inputs!$F$58*Time!$F$15^((Time!AN17-0.5)/2),AM10*((1+AN13/100)/(1+AN12/100))^0.5,AM10*Time!$F$15^0.5)</f>
        <v>1118.24194822288</v>
      </c>
      <c r="AO10" s="11" t="n">
        <f aca="false">CHOOSE(Inputs!$F$32,Inputs!$F$58*Time!$F$15^((Time!AO17-0.5)/2),AN10*((1+AO13/100)/(1+AO12/100))^0.5,AN10*Time!$F$15^0.5)</f>
        <v>1146.87098090508</v>
      </c>
      <c r="AP10" s="11" t="n">
        <f aca="false">CHOOSE(Inputs!$F$32,Inputs!$F$58*Time!$F$15^((Time!AP17-0.5)/2),AO10*((1+AP13/100)/(1+AP12/100))^0.5,AO10*Time!$F$15^0.5)</f>
        <v>1176.23296902113</v>
      </c>
      <c r="AQ10" s="11" t="n">
        <f aca="false">CHOOSE(Inputs!$F$32,Inputs!$F$58*Time!$F$15^((Time!AQ17-0.5)/2),AP10*((1+AQ13/100)/(1+AQ12/100))^0.5,AP10*Time!$F$15^0.5)</f>
        <v>1206.34667756649</v>
      </c>
      <c r="AR10" s="11" t="n">
        <f aca="false">CHOOSE(Inputs!$F$32,Inputs!$F$58*Time!$F$15^((Time!AR17-0.5)/2),AQ10*((1+AR13/100)/(1+AR12/100))^0.5,AQ10*Time!$F$15^0.5)</f>
        <v>1237.23135195471</v>
      </c>
      <c r="AS10" s="11" t="n">
        <f aca="false">CHOOSE(Inputs!$F$32,Inputs!$F$58*Time!$F$15^((Time!AS17-0.5)/2),AR10*((1+AS13/100)/(1+AS12/100))^0.5,AR10*Time!$F$15^0.5)</f>
        <v>1268.90673031701</v>
      </c>
      <c r="AT10" s="11" t="n">
        <f aca="false">CHOOSE(Inputs!$F$32,Inputs!$F$58*Time!$F$15^((Time!AT17-0.5)/2),AS10*((1+AT13/100)/(1+AT12/100))^0.5,AS10*Time!$F$15^0.5)</f>
        <v>1301.39305611675</v>
      </c>
      <c r="AU10" s="11" t="n">
        <f aca="false">CHOOSE(Inputs!$F$32,Inputs!$F$58*Time!$F$15^((Time!AU17-0.5)/2),AT10*((1+AU13/100)/(1+AU12/100))^0.5,AT10*Time!$F$15^0.5)</f>
        <v>1334.71109108687</v>
      </c>
      <c r="AV10" s="11" t="n">
        <f aca="false">CHOOSE(Inputs!$F$32,Inputs!$F$58*Time!$F$15^((Time!AV17-0.5)/2),AU10*((1+AV13/100)/(1+AV12/100))^0.5,AU10*Time!$F$15^0.5)</f>
        <v>1368.88212849854</v>
      </c>
      <c r="AW10" s="11" t="n">
        <f aca="false">CHOOSE(Inputs!$F$32,Inputs!$F$58*Time!$F$15^((Time!AW17-0.5)/2),AV10*((1+AW13/100)/(1+AW12/100))^0.5,AV10*Time!$F$15^0.5)</f>
        <v>1403.92800676946</v>
      </c>
      <c r="AX10" s="11" t="n">
        <f aca="false">CHOOSE(Inputs!$F$32,Inputs!$F$58*Time!$F$15^((Time!AX17-0.5)/2),AW10*((1+AX13/100)/(1+AX12/100))^0.5,AW10*Time!$F$15^0.5)</f>
        <v>1439.87112342067</v>
      </c>
      <c r="AY10" s="11" t="n">
        <f aca="false">CHOOSE(Inputs!$F$32,Inputs!$F$58*Time!$F$15^((Time!AY17-0.5)/2),AX10*((1+AY13/100)/(1+AY12/100))^0.5,AX10*Time!$F$15^0.5)</f>
        <v>1476.73444939057</v>
      </c>
      <c r="AZ10" s="11" t="n">
        <f aca="false">CHOOSE(Inputs!$F$32,Inputs!$F$58*Time!$F$15^((Time!AZ17-0.5)/2),AY10*((1+AZ13/100)/(1+AZ12/100))^0.5,AY10*Time!$F$15^0.5)</f>
        <v>1514.54154371548</v>
      </c>
      <c r="BA10" s="11" t="n">
        <f aca="false">CHOOSE(Inputs!$F$32,Inputs!$F$58*Time!$F$15^((Time!BA17-0.5)/2),AZ10*((1+BA13/100)/(1+BA12/100))^0.5,AZ10*Time!$F$15^0.5)</f>
        <v>1553.31656858598</v>
      </c>
      <c r="BB10" s="11" t="n">
        <f aca="false">CHOOSE(Inputs!$F$32,Inputs!$F$58*Time!$F$15^((Time!BB17-0.5)/2),BA10*((1+BB13/100)/(1+BB12/100))^0.5,BA10*Time!$F$15^0.5)</f>
        <v>1593.08430478879</v>
      </c>
      <c r="BC10" s="11" t="n">
        <f aca="false">CHOOSE(Inputs!$F$32,Inputs!$F$58*Time!$F$15^((Time!BC17-0.5)/2),BB10*((1+BC13/100)/(1+BC12/100))^0.5,BB10*Time!$F$15^0.5)</f>
        <v>1633.87016754396</v>
      </c>
      <c r="BD10" s="11" t="n">
        <f aca="false">CHOOSE(Inputs!$F$32,Inputs!$F$58*Time!$F$15^((Time!BD17-0.5)/2),BC10*((1+BD13/100)/(1+BD12/100))^0.5,BC10*Time!$F$15^0.5)</f>
        <v>1675.7002227475</v>
      </c>
      <c r="BE10" s="11" t="n">
        <f aca="false">CHOOSE(Inputs!$F$32,Inputs!$F$58*Time!$F$15^((Time!BE17-0.5)/2),BD10*((1+BE13/100)/(1+BE12/100))^0.5,BD10*Time!$F$15^0.5)</f>
        <v>1718.6012036299</v>
      </c>
      <c r="BF10" s="11" t="n">
        <f aca="false">CHOOSE(Inputs!$F$32,Inputs!$F$58*Time!$F$15^((Time!BF17-0.5)/2),BE10*((1+BF13/100)/(1+BF12/100))^0.5,BE10*Time!$F$15^0.5)</f>
        <v>1762.60052784106</v>
      </c>
      <c r="BG10" s="11" t="n">
        <f aca="false">CHOOSE(Inputs!$F$32,Inputs!$F$58*Time!$F$15^((Time!BG17-0.5)/2),BF10*((1+BG13/100)/(1+BG12/100))^0.5,BF10*Time!$F$15^0.5)</f>
        <v>1807.72631497274</v>
      </c>
      <c r="BH10" s="11" t="n">
        <f aca="false">CHOOSE(Inputs!$F$32,Inputs!$F$58*Time!$F$15^((Time!BH17-0.5)/2),BG10*((1+BH13/100)/(1+BH12/100))^0.5,BG10*Time!$F$15^0.5)</f>
        <v>1854.00740452949</v>
      </c>
      <c r="BI10" s="11" t="n">
        <f aca="false">CHOOSE(Inputs!$F$32,Inputs!$F$58*Time!$F$15^((Time!BI17-0.5)/2),BH10*((1+BI13/100)/(1+BI12/100))^0.5,BH10*Time!$F$15^0.5)</f>
        <v>1901.47337435978</v>
      </c>
      <c r="BJ10" s="11" t="n">
        <f aca="false">CHOOSE(Inputs!$F$32,Inputs!$F$58*Time!$F$15^((Time!BJ17-0.5)/2),BI10*((1+BJ13/100)/(1+BJ12/100))^0.5,BI10*Time!$F$15^0.5)</f>
        <v>1950.1545595589</v>
      </c>
      <c r="BK10" s="11" t="n">
        <f aca="false">CHOOSE(Inputs!$F$32,Inputs!$F$58*Time!$F$15^((Time!BK17-0.5)/2),BJ10*((1+BK13/100)/(1+BK12/100))^0.5,BJ10*Time!$F$15^0.5)</f>
        <v>2000.08207185593</v>
      </c>
      <c r="BL10" s="11" t="n">
        <f aca="false">CHOOSE(Inputs!$F$32,Inputs!$F$58*Time!$F$15^((Time!BL17-0.5)/2),BK10*((1+BL13/100)/(1+BL12/100))^0.5,BK10*Time!$F$15^0.5)</f>
        <v>2051.28781949689</v>
      </c>
      <c r="BM10" s="11" t="n">
        <f aca="false">CHOOSE(Inputs!$F$32,Inputs!$F$58*Time!$F$15^((Time!BM17-0.5)/2),BL10*((1+BM13/100)/(1+BM12/100))^0.5,BL10*Time!$F$15^0.5)</f>
        <v>2103.80452763711</v>
      </c>
      <c r="BN10" s="11" t="n">
        <f aca="false">CHOOSE(Inputs!$F$32,Inputs!$F$58*Time!$F$15^((Time!BN17-0.5)/2),BM10*((1+BN13/100)/(1+BN12/100))^0.5,BM10*Time!$F$15^0.5)</f>
        <v>2157.66575925554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524.6</v>
      </c>
      <c r="K11" s="11" t="n">
        <f aca="false">K10/(1-Inputs!$F$42*Time!K34)</f>
        <v>539.1</v>
      </c>
      <c r="L11" s="11" t="n">
        <f aca="false">L10/(1-Inputs!$F$42*Time!L34)</f>
        <v>551.3</v>
      </c>
      <c r="M11" s="11" t="n">
        <f aca="false">M10/(1-Inputs!$F$42*Time!M34)</f>
        <v>566</v>
      </c>
      <c r="N11" s="11" t="n">
        <f aca="false">N10/(1-Inputs!$F$42*Time!N34)</f>
        <v>579.8</v>
      </c>
      <c r="O11" s="11" t="n">
        <f aca="false">O10/(1-Inputs!$F$42*Time!O34)</f>
        <v>597.4</v>
      </c>
      <c r="P11" s="11" t="n">
        <f aca="false">P10/(1-Inputs!$F$42*Time!P34)</f>
        <v>609.6</v>
      </c>
      <c r="Q11" s="11" t="n">
        <f aca="false">Q10/(1-Inputs!$F$42*Time!Q34)</f>
        <v>625.206871438513</v>
      </c>
      <c r="R11" s="11" t="n">
        <f aca="false">R10/(1-Inputs!$F$42*Time!R34)</f>
        <v>641.213307240704</v>
      </c>
      <c r="S11" s="11" t="n">
        <f aca="false">S10/(1-Inputs!$F$42*Time!S34)</f>
        <v>657.62953698278</v>
      </c>
      <c r="T11" s="11" t="n">
        <f aca="false">T10/(1-Inputs!$F$42*Time!T34)</f>
        <v>674.466052136749</v>
      </c>
      <c r="U11" s="11" t="n">
        <f aca="false">U10/(1-Inputs!$F$42*Time!U34)</f>
        <v>691.733612775429</v>
      </c>
      <c r="V11" s="11" t="n">
        <f aca="false">V10/(1-Inputs!$F$42*Time!V34)</f>
        <v>709.443254449124</v>
      </c>
      <c r="W11" s="11" t="n">
        <f aca="false">W10/(1-Inputs!$F$42*Time!W34)</f>
        <v>727.606295238343</v>
      </c>
      <c r="X11" s="11" t="n">
        <f aca="false">X10/(1-Inputs!$F$42*Time!X34)</f>
        <v>746.234342987092</v>
      </c>
      <c r="Y11" s="11" t="n">
        <f aca="false">Y10/(1-Inputs!$F$42*Time!Y34)</f>
        <v>765.339302721348</v>
      </c>
      <c r="Z11" s="11" t="n">
        <f aca="false">Z10/(1-Inputs!$F$42*Time!Z34)</f>
        <v>784.93338425746</v>
      </c>
      <c r="AA11" s="11" t="n">
        <f aca="false">AA10/(1-Inputs!$F$42*Time!AA34)</f>
        <v>805.029110005332</v>
      </c>
      <c r="AB11" s="11" t="n">
        <f aca="false">AB10/(1-Inputs!$F$42*Time!AB34)</f>
        <v>825.639322971398</v>
      </c>
      <c r="AC11" s="11" t="n">
        <f aca="false">AC10/(1-Inputs!$F$42*Time!AC34)</f>
        <v>846.777194966469</v>
      </c>
      <c r="AD11" s="11" t="n">
        <f aca="false">AD10/(1-Inputs!$F$42*Time!AD34)</f>
        <v>868.456235023731</v>
      </c>
      <c r="AE11" s="11" t="n">
        <f aca="false">AE10/(1-Inputs!$F$42*Time!AE34)</f>
        <v>890.690298032245</v>
      </c>
      <c r="AF11" s="11" t="n">
        <f aca="false">AF10/(1-Inputs!$F$42*Time!AF34)</f>
        <v>913.493593591497</v>
      </c>
      <c r="AG11" s="11" t="n">
        <f aca="false">AG10/(1-Inputs!$F$42*Time!AG34)</f>
        <v>936.880695092625</v>
      </c>
      <c r="AH11" s="11" t="n">
        <f aca="false">AH10/(1-Inputs!$F$42*Time!AH34)</f>
        <v>960.866549032152</v>
      </c>
      <c r="AI11" s="11" t="n">
        <f aca="false">AI10/(1-Inputs!$F$42*Time!AI34)</f>
        <v>985.46648456416</v>
      </c>
      <c r="AJ11" s="11" t="n">
        <f aca="false">AJ10/(1-Inputs!$F$42*Time!AJ34)</f>
        <v>1010.69622329703</v>
      </c>
      <c r="AK11" s="11" t="n">
        <f aca="false">AK10/(1-Inputs!$F$42*Time!AK34)</f>
        <v>1036.57188934097</v>
      </c>
      <c r="AL11" s="11" t="n">
        <f aca="false">AL10/(1-Inputs!$F$42*Time!AL34)</f>
        <v>1063.11001961282</v>
      </c>
      <c r="AM11" s="11" t="n">
        <f aca="false">AM10/(1-Inputs!$F$42*Time!AM34)</f>
        <v>1090.32757440464</v>
      </c>
      <c r="AN11" s="11" t="n">
        <f aca="false">AN10/(1-Inputs!$F$42*Time!AN34)</f>
        <v>1118.24194822288</v>
      </c>
      <c r="AO11" s="11" t="n">
        <f aca="false">AO10/(1-Inputs!$F$42*Time!AO34)</f>
        <v>1146.87098090508</v>
      </c>
      <c r="AP11" s="11" t="n">
        <f aca="false">AP10/(1-Inputs!$F$42*Time!AP34)</f>
        <v>1176.23296902113</v>
      </c>
      <c r="AQ11" s="11" t="n">
        <f aca="false">AQ10/(1-Inputs!$F$42*Time!AQ34)</f>
        <v>1206.34667756649</v>
      </c>
      <c r="AR11" s="11" t="n">
        <f aca="false">AR10/(1-Inputs!$F$42*Time!AR34)</f>
        <v>1237.23135195471</v>
      </c>
      <c r="AS11" s="11" t="n">
        <f aca="false">AS10/(1-Inputs!$F$42*Time!AS34)</f>
        <v>1268.90673031701</v>
      </c>
      <c r="AT11" s="11" t="n">
        <f aca="false">AT10/(1-Inputs!$F$42*Time!AT34)</f>
        <v>1301.39305611675</v>
      </c>
      <c r="AU11" s="11" t="n">
        <f aca="false">AU10/(1-Inputs!$F$42*Time!AU34)</f>
        <v>1334.71109108687</v>
      </c>
      <c r="AV11" s="11" t="n">
        <f aca="false">AV10/(1-Inputs!$F$42*Time!AV34)</f>
        <v>1368.88212849854</v>
      </c>
      <c r="AW11" s="11" t="n">
        <f aca="false">AW10/(1-Inputs!$F$42*Time!AW34)</f>
        <v>1403.92800676946</v>
      </c>
      <c r="AX11" s="11" t="n">
        <f aca="false">AX10/(1-Inputs!$F$42*Time!AX34)</f>
        <v>1439.87112342067</v>
      </c>
      <c r="AY11" s="11" t="n">
        <f aca="false">AY10/(1-Inputs!$F$42*Time!AY34)</f>
        <v>1476.73444939057</v>
      </c>
      <c r="AZ11" s="11" t="n">
        <f aca="false">AZ10/(1-Inputs!$F$42*Time!AZ34)</f>
        <v>1514.54154371548</v>
      </c>
      <c r="BA11" s="11" t="n">
        <f aca="false">BA10/(1-Inputs!$F$42*Time!BA34)</f>
        <v>1553.31656858598</v>
      </c>
      <c r="BB11" s="11" t="n">
        <f aca="false">BB10/(1-Inputs!$F$42*Time!BB34)</f>
        <v>1593.08430478879</v>
      </c>
      <c r="BC11" s="11" t="n">
        <f aca="false">BC10/(1-Inputs!$F$42*Time!BC34)</f>
        <v>1633.87016754396</v>
      </c>
      <c r="BD11" s="11" t="n">
        <f aca="false">BD10/(1-Inputs!$F$42*Time!BD34)</f>
        <v>1675.7002227475</v>
      </c>
      <c r="BE11" s="11" t="n">
        <f aca="false">BE10/(1-Inputs!$F$42*Time!BE34)</f>
        <v>1718.6012036299</v>
      </c>
      <c r="BF11" s="11" t="n">
        <f aca="false">BF10/(1-Inputs!$F$42*Time!BF34)</f>
        <v>1762.60052784106</v>
      </c>
      <c r="BG11" s="11" t="n">
        <f aca="false">BG10/(1-Inputs!$F$42*Time!BG34)</f>
        <v>1807.72631497274</v>
      </c>
      <c r="BH11" s="11" t="n">
        <f aca="false">BH10/(1-Inputs!$F$42*Time!BH34)</f>
        <v>1854.00740452949</v>
      </c>
      <c r="BI11" s="11" t="n">
        <f aca="false">BI10/(1-Inputs!$F$42*Time!BI34)</f>
        <v>1901.47337435978</v>
      </c>
      <c r="BJ11" s="11" t="n">
        <f aca="false">BJ10/(1-Inputs!$F$42*Time!BJ34)</f>
        <v>1950.1545595589</v>
      </c>
      <c r="BK11" s="11" t="n">
        <f aca="false">BK10/(1-Inputs!$F$42*Time!BK34)</f>
        <v>2000.08207185593</v>
      </c>
      <c r="BL11" s="11" t="n">
        <f aca="false">BL10/(1-Inputs!$F$42*Time!BL34)</f>
        <v>2051.28781949689</v>
      </c>
      <c r="BM11" s="11" t="n">
        <f aca="false">BM10/(1-Inputs!$F$42*Time!BM34)</f>
        <v>2103.80452763711</v>
      </c>
      <c r="BN11" s="11" t="n">
        <f aca="false">BN10/(1-Inputs!$F$42*Time!BN34)</f>
        <v>2157.66575925554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2.4</v>
      </c>
      <c r="K12" s="11" t="n">
        <f aca="false">CHOOSE(Inputs!$F$32,INDEX(Inputs!$J$204:$AR$204,1,(Time!K21-0)-2014),INDEX(Inputs!$J$206:$AR$206,1,(Time!K21-0)-2014),INDEX(Inputs!$J$208:$AR$208,1,(Time!K21-0)-2014))</f>
        <v>1.8</v>
      </c>
      <c r="L12" s="11" t="n">
        <f aca="false">CHOOSE(Inputs!$F$32,INDEX(Inputs!$J$204:$AR$204,1,(Time!L21-0)-2014),INDEX(Inputs!$J$206:$AR$206,1,(Time!L21-0)-2014),INDEX(Inputs!$J$208:$AR$208,1,(Time!L21-0)-2014))</f>
        <v>1.8</v>
      </c>
      <c r="M12" s="11" t="n">
        <f aca="false">CHOOSE(Inputs!$F$32,INDEX(Inputs!$J$204:$AR$204,1,(Time!M21-0)-2014),INDEX(Inputs!$J$206:$AR$206,1,(Time!M21-0)-2014),INDEX(Inputs!$J$208:$AR$208,1,(Time!M21-0)-2014))</f>
        <v>1.2</v>
      </c>
      <c r="N12" s="11" t="n">
        <f aca="false">CHOOSE(Inputs!$F$32,INDEX(Inputs!$J$204:$AR$204,1,(Time!N21-0)-2014),INDEX(Inputs!$J$206:$AR$206,1,(Time!N21-0)-2014),INDEX(Inputs!$J$208:$AR$208,1,(Time!N21-0)-2014))</f>
        <v>1.2</v>
      </c>
      <c r="O12" s="11" t="n">
        <f aca="false">CHOOSE(Inputs!$F$32,INDEX(Inputs!$J$204:$AR$204,1,(Time!O21-0)-2014),INDEX(Inputs!$J$206:$AR$206,1,(Time!O21-0)-2014),INDEX(Inputs!$J$208:$AR$208,1,(Time!O21-0)-2014))</f>
        <v>4.7</v>
      </c>
      <c r="P12" s="11" t="n">
        <f aca="false">CHOOSE(Inputs!$F$32,INDEX(Inputs!$J$204:$AR$204,1,(Time!P21-0)-2014),INDEX(Inputs!$J$206:$AR$206,1,(Time!P21-0)-2014),INDEX(Inputs!$J$208:$AR$208,1,(Time!P21-0)-2014))</f>
        <v>4.7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7.6</v>
      </c>
      <c r="K13" s="11" t="n">
        <f aca="false">CHOOSE(Inputs!$F$32,INDEX(Inputs!$J$205:$AR$205,1,(Time!K21-0)-2014),INDEX(Inputs!$J$207:$AR$207,1,(Time!K21-0)-2014),INDEX(Inputs!$J$209:$AR$209,1,(Time!K21-0)-2014))</f>
        <v>7.9</v>
      </c>
      <c r="L13" s="11" t="n">
        <f aca="false">CHOOSE(Inputs!$F$32,INDEX(Inputs!$J$205:$AR$205,1,(Time!L21-0)-2014),INDEX(Inputs!$J$207:$AR$207,1,(Time!L21-0)-2014),INDEX(Inputs!$J$209:$AR$209,1,(Time!L21-0)-2014))</f>
        <v>7.9</v>
      </c>
      <c r="M13" s="11" t="n">
        <f aca="false">CHOOSE(Inputs!$F$32,INDEX(Inputs!$J$205:$AR$205,1,(Time!M21-0)-2014),INDEX(Inputs!$J$207:$AR$207,1,(Time!M21-0)-2014),INDEX(Inputs!$J$209:$AR$209,1,(Time!M21-0)-2014))</f>
        <v>9.8</v>
      </c>
      <c r="N13" s="11" t="n">
        <f aca="false">CHOOSE(Inputs!$F$32,INDEX(Inputs!$J$205:$AR$205,1,(Time!N21-0)-2014),INDEX(Inputs!$J$207:$AR$207,1,(Time!N21-0)-2014),INDEX(Inputs!$J$209:$AR$209,1,(Time!N21-0)-2014))</f>
        <v>9.8</v>
      </c>
      <c r="O13" s="11" t="n">
        <f aca="false">CHOOSE(Inputs!$F$32,INDEX(Inputs!$J$205:$AR$205,1,(Time!O21-0)-2014),INDEX(Inputs!$J$207:$AR$207,1,(Time!O21-0)-2014),INDEX(Inputs!$J$209:$AR$209,1,(Time!O21-0)-2014))</f>
        <v>10.6</v>
      </c>
      <c r="P13" s="11" t="n">
        <f aca="false">CHOOSE(Inputs!$F$32,INDEX(Inputs!$J$205:$AR$205,1,(Time!P21-0)-2014),INDEX(Inputs!$J$207:$AR$207,1,(Time!P21-0)-2014),INDEX(Inputs!$J$209:$AR$209,1,(Time!P21-0)-2014))</f>
        <v>10.6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2.4</v>
      </c>
      <c r="L14" s="11" t="n">
        <f aca="false">CHOOSE(Inputs!$F$32,INDEX(Inputs!$J$204:$AR$204,1,(Time!L21-1)-2014),INDEX(Inputs!$J$206:$AR$206,1,(Time!L21-1)-2014),INDEX(Inputs!$J$208:$AR$208,1,(Time!L21-1)-2014))</f>
        <v>2.4</v>
      </c>
      <c r="M14" s="11" t="n">
        <f aca="false">CHOOSE(Inputs!$F$32,INDEX(Inputs!$J$204:$AR$204,1,(Time!M21-1)-2014),INDEX(Inputs!$J$206:$AR$206,1,(Time!M21-1)-2014),INDEX(Inputs!$J$208:$AR$208,1,(Time!M21-1)-2014))</f>
        <v>1.8</v>
      </c>
      <c r="N14" s="11" t="n">
        <f aca="false">CHOOSE(Inputs!$F$32,INDEX(Inputs!$J$204:$AR$204,1,(Time!N21-1)-2014),INDEX(Inputs!$J$206:$AR$206,1,(Time!N21-1)-2014),INDEX(Inputs!$J$208:$AR$208,1,(Time!N21-1)-2014))</f>
        <v>1.8</v>
      </c>
      <c r="O14" s="11" t="n">
        <f aca="false">CHOOSE(Inputs!$F$32,INDEX(Inputs!$J$204:$AR$204,1,(Time!O21-1)-2014),INDEX(Inputs!$J$206:$AR$206,1,(Time!O21-1)-2014),INDEX(Inputs!$J$208:$AR$208,1,(Time!O21-1)-2014))</f>
        <v>1.2</v>
      </c>
      <c r="P14" s="11" t="n">
        <f aca="false">CHOOSE(Inputs!$F$32,INDEX(Inputs!$J$204:$AR$204,1,(Time!P21-1)-2014),INDEX(Inputs!$J$206:$AR$206,1,(Time!P21-1)-2014),INDEX(Inputs!$J$208:$AR$208,1,(Time!P21-1)-2014))</f>
        <v>1.2</v>
      </c>
      <c r="Q14" s="11" t="n">
        <f aca="false">CHOOSE(Inputs!$F$32,INDEX(Inputs!$J$204:$AR$204,1,(Time!Q21-1)-2014),INDEX(Inputs!$J$206:$AR$206,1,(Time!Q21-1)-2014),INDEX(Inputs!$J$208:$AR$208,1,(Time!Q21-1)-2014))</f>
        <v>4.7</v>
      </c>
      <c r="R14" s="11" t="n">
        <f aca="false">CHOOSE(Inputs!$F$32,INDEX(Inputs!$J$204:$AR$204,1,(Time!R21-1)-2014),INDEX(Inputs!$J$206:$AR$206,1,(Time!R21-1)-2014),INDEX(Inputs!$J$208:$AR$208,1,(Time!R21-1)-2014))</f>
        <v>4.7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7.6</v>
      </c>
      <c r="L15" s="11" t="n">
        <f aca="false">CHOOSE(Inputs!$F$32,INDEX(Inputs!$J$205:$AR$205,1,(Time!L21-1)-2014),INDEX(Inputs!$J$207:$AR$207,1,(Time!L21-1)-2014),INDEX(Inputs!$J$209:$AR$209,1,(Time!L21-1)-2014))</f>
        <v>7.6</v>
      </c>
      <c r="M15" s="11" t="n">
        <f aca="false">CHOOSE(Inputs!$F$32,INDEX(Inputs!$J$205:$AR$205,1,(Time!M21-1)-2014),INDEX(Inputs!$J$207:$AR$207,1,(Time!M21-1)-2014),INDEX(Inputs!$J$209:$AR$209,1,(Time!M21-1)-2014))</f>
        <v>7.9</v>
      </c>
      <c r="N15" s="11" t="n">
        <f aca="false">CHOOSE(Inputs!$F$32,INDEX(Inputs!$J$205:$AR$205,1,(Time!N21-1)-2014),INDEX(Inputs!$J$207:$AR$207,1,(Time!N21-1)-2014),INDEX(Inputs!$J$209:$AR$209,1,(Time!N21-1)-2014))</f>
        <v>7.9</v>
      </c>
      <c r="O15" s="11" t="n">
        <f aca="false">CHOOSE(Inputs!$F$32,INDEX(Inputs!$J$205:$AR$205,1,(Time!O21-1)-2014),INDEX(Inputs!$J$207:$AR$207,1,(Time!O21-1)-2014),INDEX(Inputs!$J$209:$AR$209,1,(Time!O21-1)-2014))</f>
        <v>9.8</v>
      </c>
      <c r="P15" s="11" t="n">
        <f aca="false">CHOOSE(Inputs!$F$32,INDEX(Inputs!$J$205:$AR$205,1,(Time!P21-1)-2014),INDEX(Inputs!$J$207:$AR$207,1,(Time!P21-1)-2014),INDEX(Inputs!$J$209:$AR$209,1,(Time!P21-1)-2014))</f>
        <v>9.8</v>
      </c>
      <c r="Q15" s="11" t="n">
        <f aca="false">CHOOSE(Inputs!$F$32,INDEX(Inputs!$J$205:$AR$205,1,(Time!Q21-1)-2014),INDEX(Inputs!$J$207:$AR$207,1,(Time!Q21-1)-2014),INDEX(Inputs!$J$209:$AR$209,1,(Time!Q21-1)-2014))</f>
        <v>10.6</v>
      </c>
      <c r="R15" s="11" t="n">
        <f aca="false">CHOOSE(Inputs!$F$32,INDEX(Inputs!$J$205:$AR$205,1,(Time!R21-1)-2014),INDEX(Inputs!$J$207:$AR$207,1,(Time!R21-1)-2014),INDEX(Inputs!$J$209:$AR$209,1,(Time!R21-1)-2014))</f>
        <v>10.6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103.429202060808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104.044269021353</v>
      </c>
      <c r="K17" s="11" t="n">
        <f aca="false">J17*IF(Time!K22=1,(1+K14/100)^0.25*(1+K12/100)^0.25,(1+K12/100)^0.5)</f>
        <v>105.130830933754</v>
      </c>
      <c r="L17" s="11" t="n">
        <f aca="false">K17*IF(Time!L22=1,(1+L14/100)^0.25*(1+L12/100)^0.25,(1+L12/100)^0.5)</f>
        <v>106.072788507951</v>
      </c>
      <c r="M17" s="11" t="n">
        <f aca="false">L17*IF(Time!M22=1,(1+M14/100)^0.25*(1+M12/100)^0.25,(1+M12/100)^0.5)</f>
        <v>106.86513989817</v>
      </c>
      <c r="N17" s="11" t="n">
        <f aca="false">M17*IF(Time!N22=1,(1+N14/100)^0.25*(1+N12/100)^0.25,(1+N12/100)^0.5)</f>
        <v>107.504418620636</v>
      </c>
      <c r="O17" s="11" t="n">
        <f aca="false">N17*IF(Time!O22=1,(1+O14/100)^0.25*(1+O12/100)^0.25,(1+O12/100)^0.5)</f>
        <v>109.070703276742</v>
      </c>
      <c r="P17" s="11" t="n">
        <f aca="false">O17*IF(Time!P22=1,(1+P14/100)^0.25*(1+P12/100)^0.25,(1+P12/100)^0.5)</f>
        <v>111.604435279282</v>
      </c>
      <c r="Q17" s="11" t="n">
        <f aca="false">P17*IF(Time!Q22=1,(1+Q14/100)^0.25*(1+Q12/100)^0.25,(1+Q12/100)^0.5)</f>
        <v>113.509144019052</v>
      </c>
      <c r="R17" s="11" t="n">
        <f aca="false">Q17*IF(Time!R22=1,(1+R14/100)^0.25*(1+R12/100)^0.25,(1+R12/100)^0.5)</f>
        <v>114.750951817441</v>
      </c>
      <c r="S17" s="11" t="n">
        <f aca="false">R17*IF(Time!S22=1,(1+S14/100)^0.25*(1+S12/100)^0.25,(1+S12/100)^0.5)</f>
        <v>116.006345187472</v>
      </c>
      <c r="T17" s="11" t="n">
        <f aca="false">S17*IF(Time!T22=1,(1+T14/100)^0.25*(1+T12/100)^0.25,(1+T12/100)^0.5)</f>
        <v>117.275472757425</v>
      </c>
      <c r="U17" s="11" t="n">
        <f aca="false">T17*IF(Time!U22=1,(1+U14/100)^0.25*(1+U12/100)^0.25,(1+U12/100)^0.5)</f>
        <v>118.558484781596</v>
      </c>
      <c r="V17" s="11" t="n">
        <f aca="false">U17*IF(Time!V22=1,(1+V14/100)^0.25*(1+V12/100)^0.25,(1+V12/100)^0.5)</f>
        <v>119.855533158088</v>
      </c>
      <c r="W17" s="11" t="n">
        <f aca="false">V17*IF(Time!W22=1,(1+W14/100)^0.25*(1+W12/100)^0.25,(1+W12/100)^0.5)</f>
        <v>121.166771446791</v>
      </c>
      <c r="X17" s="11" t="n">
        <f aca="false">W17*IF(Time!X22=1,(1+X14/100)^0.25*(1+X12/100)^0.25,(1+X12/100)^0.5)</f>
        <v>122.492354887566</v>
      </c>
      <c r="Y17" s="11" t="n">
        <f aca="false">X17*IF(Time!Y22=1,(1+Y14/100)^0.25*(1+Y12/100)^0.25,(1+Y12/100)^0.5)</f>
        <v>123.83244041862</v>
      </c>
      <c r="Z17" s="11" t="n">
        <f aca="false">Y17*IF(Time!Z22=1,(1+Z14/100)^0.25*(1+Z12/100)^0.25,(1+Z12/100)^0.5)</f>
        <v>125.187186695092</v>
      </c>
      <c r="AA17" s="11" t="n">
        <f aca="false">Z17*IF(Time!AA22=1,(1+AA14/100)^0.25*(1+AA12/100)^0.25,(1+AA12/100)^0.5)</f>
        <v>126.55675410783</v>
      </c>
      <c r="AB17" s="11" t="n">
        <f aca="false">AA17*IF(Time!AB22=1,(1+AB14/100)^0.25*(1+AB12/100)^0.25,(1+AB12/100)^0.5)</f>
        <v>127.941304802384</v>
      </c>
      <c r="AC17" s="11" t="n">
        <f aca="false">AB17*IF(Time!AC22=1,(1+AC14/100)^0.25*(1+AC12/100)^0.25,(1+AC12/100)^0.5)</f>
        <v>129.341002698202</v>
      </c>
      <c r="AD17" s="11" t="n">
        <f aca="false">AC17*IF(Time!AD22=1,(1+AD14/100)^0.25*(1+AD12/100)^0.25,(1+AD12/100)^0.5)</f>
        <v>130.756013508037</v>
      </c>
      <c r="AE17" s="11" t="n">
        <f aca="false">AD17*IF(Time!AE22=1,(1+AE14/100)^0.25*(1+AE12/100)^0.25,(1+AE12/100)^0.5)</f>
        <v>132.186504757563</v>
      </c>
      <c r="AF17" s="11" t="n">
        <f aca="false">AE17*IF(Time!AF22=1,(1+AF14/100)^0.25*(1+AF12/100)^0.25,(1+AF12/100)^0.5)</f>
        <v>133.632645805213</v>
      </c>
      <c r="AG17" s="11" t="n">
        <f aca="false">AF17*IF(Time!AG22=1,(1+AG14/100)^0.25*(1+AG12/100)^0.25,(1+AG12/100)^0.5)</f>
        <v>135.094607862229</v>
      </c>
      <c r="AH17" s="11" t="n">
        <f aca="false">AG17*IF(Time!AH22=1,(1+AH14/100)^0.25*(1+AH12/100)^0.25,(1+AH12/100)^0.5)</f>
        <v>136.572564012928</v>
      </c>
      <c r="AI17" s="11" t="n">
        <f aca="false">AH17*IF(Time!AI22=1,(1+AI14/100)^0.25*(1+AI12/100)^0.25,(1+AI12/100)^0.5)</f>
        <v>138.066689235198</v>
      </c>
      <c r="AJ17" s="11" t="n">
        <f aca="false">AI17*IF(Time!AJ22=1,(1+AJ14/100)^0.25*(1+AJ12/100)^0.25,(1+AJ12/100)^0.5)</f>
        <v>139.577160421212</v>
      </c>
      <c r="AK17" s="11" t="n">
        <f aca="false">AJ17*IF(Time!AK22=1,(1+AK14/100)^0.25*(1+AK12/100)^0.25,(1+AK12/100)^0.5)</f>
        <v>141.104156398372</v>
      </c>
      <c r="AL17" s="11" t="n">
        <f aca="false">AK17*IF(Time!AL22=1,(1+AL14/100)^0.25*(1+AL12/100)^0.25,(1+AL12/100)^0.5)</f>
        <v>142.647857950479</v>
      </c>
      <c r="AM17" s="11" t="n">
        <f aca="false">AL17*IF(Time!AM22=1,(1+AM14/100)^0.25*(1+AM12/100)^0.25,(1+AM12/100)^0.5)</f>
        <v>144.208447839137</v>
      </c>
      <c r="AN17" s="11" t="n">
        <f aca="false">AM17*IF(Time!AN22=1,(1+AN14/100)^0.25*(1+AN12/100)^0.25,(1+AN12/100)^0.5)</f>
        <v>145.78611082539</v>
      </c>
      <c r="AO17" s="11" t="n">
        <f aca="false">AN17*IF(Time!AO22=1,(1+AO14/100)^0.25*(1+AO12/100)^0.25,(1+AO12/100)^0.5)</f>
        <v>147.381033691598</v>
      </c>
      <c r="AP17" s="11" t="n">
        <f aca="false">AO17*IF(Time!AP22=1,(1+AP14/100)^0.25*(1+AP12/100)^0.25,(1+AP12/100)^0.5)</f>
        <v>148.993405263548</v>
      </c>
      <c r="AQ17" s="11" t="n">
        <f aca="false">AP17*IF(Time!AQ22=1,(1+AQ14/100)^0.25*(1+AQ12/100)^0.25,(1+AQ12/100)^0.5)</f>
        <v>150.623416432813</v>
      </c>
      <c r="AR17" s="11" t="n">
        <f aca="false">AQ17*IF(Time!AR22=1,(1+AR14/100)^0.25*(1+AR12/100)^0.25,(1+AR12/100)^0.5)</f>
        <v>152.271260179346</v>
      </c>
      <c r="AS17" s="11" t="n">
        <f aca="false">AR17*IF(Time!AS22=1,(1+AS14/100)^0.25*(1+AS12/100)^0.25,(1+AS12/100)^0.5)</f>
        <v>153.937131594335</v>
      </c>
      <c r="AT17" s="11" t="n">
        <f aca="false">AS17*IF(Time!AT22=1,(1+AT14/100)^0.25*(1+AT12/100)^0.25,(1+AT12/100)^0.5)</f>
        <v>155.621227903292</v>
      </c>
      <c r="AU17" s="11" t="n">
        <f aca="false">AT17*IF(Time!AU22=1,(1+AU14/100)^0.25*(1+AU12/100)^0.25,(1+AU12/100)^0.5)</f>
        <v>157.32374848941</v>
      </c>
      <c r="AV17" s="11" t="n">
        <f aca="false">AU17*IF(Time!AV22=1,(1+AV14/100)^0.25*(1+AV12/100)^0.25,(1+AV12/100)^0.5)</f>
        <v>159.044894917164</v>
      </c>
      <c r="AW17" s="11" t="n">
        <f aca="false">AV17*IF(Time!AW22=1,(1+AW14/100)^0.25*(1+AW12/100)^0.25,(1+AW12/100)^0.5)</f>
        <v>160.784870956177</v>
      </c>
      <c r="AX17" s="11" t="n">
        <f aca="false">AW17*IF(Time!AX22=1,(1+AX14/100)^0.25*(1+AX12/100)^0.25,(1+AX12/100)^0.5)</f>
        <v>162.543882605342</v>
      </c>
      <c r="AY17" s="11" t="n">
        <f aca="false">AX17*IF(Time!AY22=1,(1+AY14/100)^0.25*(1+AY12/100)^0.25,(1+AY12/100)^0.5)</f>
        <v>164.322138117213</v>
      </c>
      <c r="AZ17" s="11" t="n">
        <f aca="false">AY17*IF(Time!AZ22=1,(1+AZ14/100)^0.25*(1+AZ12/100)^0.25,(1+AZ12/100)^0.5)</f>
        <v>166.119848022659</v>
      </c>
      <c r="BA17" s="11" t="n">
        <f aca="false">AZ17*IF(Time!BA22=1,(1+BA14/100)^0.25*(1+BA12/100)^0.25,(1+BA12/100)^0.5)</f>
        <v>167.937225155791</v>
      </c>
      <c r="BB17" s="11" t="n">
        <f aca="false">BA17*IF(Time!BB22=1,(1+BB14/100)^0.25*(1+BB12/100)^0.25,(1+BB12/100)^0.5)</f>
        <v>169.774484679158</v>
      </c>
      <c r="BC17" s="11" t="n">
        <f aca="false">BB17*IF(Time!BC22=1,(1+BC14/100)^0.25*(1+BC12/100)^0.25,(1+BC12/100)^0.5)</f>
        <v>171.631844109219</v>
      </c>
      <c r="BD17" s="11" t="n">
        <f aca="false">BC17*IF(Time!BD22=1,(1+BD14/100)^0.25*(1+BD12/100)^0.25,(1+BD12/100)^0.5)</f>
        <v>173.509523342099</v>
      </c>
      <c r="BE17" s="11" t="n">
        <f aca="false">BD17*IF(Time!BE22=1,(1+BE14/100)^0.25*(1+BE12/100)^0.25,(1+BE12/100)^0.5)</f>
        <v>175.407744679621</v>
      </c>
      <c r="BF17" s="11" t="n">
        <f aca="false">BE17*IF(Time!BF22=1,(1+BF14/100)^0.25*(1+BF12/100)^0.25,(1+BF12/100)^0.5)</f>
        <v>177.326732855625</v>
      </c>
      <c r="BG17" s="11" t="n">
        <f aca="false">BF17*IF(Time!BG22=1,(1+BG14/100)^0.25*(1+BG12/100)^0.25,(1+BG12/100)^0.5)</f>
        <v>179.266715062573</v>
      </c>
      <c r="BH17" s="11" t="n">
        <f aca="false">BG17*IF(Time!BH22=1,(1+BH14/100)^0.25*(1+BH12/100)^0.25,(1+BH12/100)^0.5)</f>
        <v>181.227920978449</v>
      </c>
      <c r="BI17" s="11" t="n">
        <f aca="false">BH17*IF(Time!BI22=1,(1+BI14/100)^0.25*(1+BI12/100)^0.25,(1+BI12/100)^0.5)</f>
        <v>183.21058279395</v>
      </c>
      <c r="BJ17" s="11" t="n">
        <f aca="false">BI17*IF(Time!BJ22=1,(1+BJ14/100)^0.25*(1+BJ12/100)^0.25,(1+BJ12/100)^0.5)</f>
        <v>185.214935239975</v>
      </c>
      <c r="BK17" s="11" t="n">
        <f aca="false">BJ17*IF(Time!BK22=1,(1+BK14/100)^0.25*(1+BK12/100)^0.25,(1+BK12/100)^0.5)</f>
        <v>187.241215615417</v>
      </c>
      <c r="BL17" s="11" t="n">
        <f aca="false">BK17*IF(Time!BL22=1,(1+BL14/100)^0.25*(1+BL12/100)^0.25,(1+BL12/100)^0.5)</f>
        <v>189.289663815254</v>
      </c>
      <c r="BM17" s="11" t="n">
        <f aca="false">BL17*IF(Time!BM22=1,(1+BM14/100)^0.25*(1+BM12/100)^0.25,(1+BM12/100)^0.5)</f>
        <v>191.360522358956</v>
      </c>
      <c r="BN17" s="11" t="n">
        <f aca="false">BM17*IF(Time!BN22=1,(1+BN14/100)^0.25*(1+BN12/100)^0.25,(1+BN12/100)^0.5)</f>
        <v>193.45403641919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102.817771123367</v>
      </c>
      <c r="K18" s="11" t="n">
        <f aca="false">J17</f>
        <v>104.044269021353</v>
      </c>
      <c r="L18" s="11" t="n">
        <f aca="false">K17</f>
        <v>105.130830933754</v>
      </c>
      <c r="M18" s="11" t="n">
        <f aca="false">L17</f>
        <v>106.072788507951</v>
      </c>
      <c r="N18" s="11" t="n">
        <f aca="false">M17</f>
        <v>106.86513989817</v>
      </c>
      <c r="O18" s="11" t="n">
        <f aca="false">N17</f>
        <v>107.504418620636</v>
      </c>
      <c r="P18" s="11" t="n">
        <f aca="false">O17</f>
        <v>109.070703276742</v>
      </c>
      <c r="Q18" s="11" t="n">
        <f aca="false">P17</f>
        <v>111.604435279282</v>
      </c>
      <c r="R18" s="11" t="n">
        <f aca="false">Q17</f>
        <v>113.509144019052</v>
      </c>
      <c r="S18" s="11" t="n">
        <f aca="false">R17</f>
        <v>114.750951817441</v>
      </c>
      <c r="T18" s="11" t="n">
        <f aca="false">S17</f>
        <v>116.006345187472</v>
      </c>
      <c r="U18" s="11" t="n">
        <f aca="false">T17</f>
        <v>117.275472757425</v>
      </c>
      <c r="V18" s="11" t="n">
        <f aca="false">U17</f>
        <v>118.558484781596</v>
      </c>
      <c r="W18" s="11" t="n">
        <f aca="false">V17</f>
        <v>119.855533158088</v>
      </c>
      <c r="X18" s="11" t="n">
        <f aca="false">W17</f>
        <v>121.166771446791</v>
      </c>
      <c r="Y18" s="11" t="n">
        <f aca="false">X17</f>
        <v>122.492354887566</v>
      </c>
      <c r="Z18" s="11" t="n">
        <f aca="false">Y17</f>
        <v>123.83244041862</v>
      </c>
      <c r="AA18" s="11" t="n">
        <f aca="false">Z17</f>
        <v>125.187186695092</v>
      </c>
      <c r="AB18" s="11" t="n">
        <f aca="false">AA17</f>
        <v>126.55675410783</v>
      </c>
      <c r="AC18" s="11" t="n">
        <f aca="false">AB17</f>
        <v>127.941304802384</v>
      </c>
      <c r="AD18" s="11" t="n">
        <f aca="false">AC17</f>
        <v>129.341002698202</v>
      </c>
      <c r="AE18" s="11" t="n">
        <f aca="false">AD17</f>
        <v>130.756013508037</v>
      </c>
      <c r="AF18" s="11" t="n">
        <f aca="false">AE17</f>
        <v>132.186504757563</v>
      </c>
      <c r="AG18" s="11" t="n">
        <f aca="false">AF17</f>
        <v>133.632645805213</v>
      </c>
      <c r="AH18" s="11" t="n">
        <f aca="false">AG17</f>
        <v>135.094607862229</v>
      </c>
      <c r="AI18" s="11" t="n">
        <f aca="false">AH17</f>
        <v>136.572564012928</v>
      </c>
      <c r="AJ18" s="11" t="n">
        <f aca="false">AI17</f>
        <v>138.066689235198</v>
      </c>
      <c r="AK18" s="11" t="n">
        <f aca="false">AJ17</f>
        <v>139.577160421212</v>
      </c>
      <c r="AL18" s="11" t="n">
        <f aca="false">AK17</f>
        <v>141.104156398372</v>
      </c>
      <c r="AM18" s="11" t="n">
        <f aca="false">AL17</f>
        <v>142.647857950479</v>
      </c>
      <c r="AN18" s="11" t="n">
        <f aca="false">AM17</f>
        <v>144.208447839137</v>
      </c>
      <c r="AO18" s="11" t="n">
        <f aca="false">AN17</f>
        <v>145.78611082539</v>
      </c>
      <c r="AP18" s="11" t="n">
        <f aca="false">AO17</f>
        <v>147.381033691598</v>
      </c>
      <c r="AQ18" s="11" t="n">
        <f aca="false">AP17</f>
        <v>148.993405263548</v>
      </c>
      <c r="AR18" s="11" t="n">
        <f aca="false">AQ17</f>
        <v>150.623416432813</v>
      </c>
      <c r="AS18" s="11" t="n">
        <f aca="false">AR17</f>
        <v>152.271260179346</v>
      </c>
      <c r="AT18" s="11" t="n">
        <f aca="false">AS17</f>
        <v>153.937131594335</v>
      </c>
      <c r="AU18" s="11" t="n">
        <f aca="false">AT17</f>
        <v>155.621227903292</v>
      </c>
      <c r="AV18" s="11" t="n">
        <f aca="false">AU17</f>
        <v>157.32374848941</v>
      </c>
      <c r="AW18" s="11" t="n">
        <f aca="false">AV17</f>
        <v>159.044894917164</v>
      </c>
      <c r="AX18" s="11" t="n">
        <f aca="false">AW17</f>
        <v>160.784870956177</v>
      </c>
      <c r="AY18" s="11" t="n">
        <f aca="false">AX17</f>
        <v>162.543882605342</v>
      </c>
      <c r="AZ18" s="11" t="n">
        <f aca="false">AY17</f>
        <v>164.322138117213</v>
      </c>
      <c r="BA18" s="11" t="n">
        <f aca="false">AZ17</f>
        <v>166.119848022659</v>
      </c>
      <c r="BB18" s="11" t="n">
        <f aca="false">BA17</f>
        <v>167.937225155791</v>
      </c>
      <c r="BC18" s="11" t="n">
        <f aca="false">BB17</f>
        <v>169.774484679158</v>
      </c>
      <c r="BD18" s="11" t="n">
        <f aca="false">BC17</f>
        <v>171.631844109219</v>
      </c>
      <c r="BE18" s="11" t="n">
        <f aca="false">BD17</f>
        <v>173.509523342099</v>
      </c>
      <c r="BF18" s="11" t="n">
        <f aca="false">BE17</f>
        <v>175.407744679621</v>
      </c>
      <c r="BG18" s="11" t="n">
        <f aca="false">BF17</f>
        <v>177.326732855625</v>
      </c>
      <c r="BH18" s="11" t="n">
        <f aca="false">BG17</f>
        <v>179.266715062573</v>
      </c>
      <c r="BI18" s="11" t="n">
        <f aca="false">BH17</f>
        <v>181.227920978449</v>
      </c>
      <c r="BJ18" s="11" t="n">
        <f aca="false">BI17</f>
        <v>183.21058279395</v>
      </c>
      <c r="BK18" s="11" t="n">
        <f aca="false">BJ17</f>
        <v>185.214935239975</v>
      </c>
      <c r="BL18" s="11" t="n">
        <f aca="false">BK17</f>
        <v>187.241215615417</v>
      </c>
      <c r="BM18" s="11" t="n">
        <f aca="false">BL17</f>
        <v>189.289663815254</v>
      </c>
      <c r="BN18" s="11" t="n">
        <f aca="false">BM17</f>
        <v>191.360522358956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1.00594674374635</v>
      </c>
      <c r="K19" s="11" t="n">
        <f aca="false">K17/$F$16</f>
        <v>1.01645211254695</v>
      </c>
      <c r="L19" s="11" t="n">
        <f aca="false">L17/$F$16</f>
        <v>1.02555938162984</v>
      </c>
      <c r="M19" s="11" t="n">
        <f aca="false">M17/$F$16</f>
        <v>1.03322019090258</v>
      </c>
      <c r="N19" s="11" t="n">
        <f aca="false">N17/$F$16</f>
        <v>1.0394010248424</v>
      </c>
      <c r="O19" s="11" t="n">
        <f aca="false">O17/$F$16</f>
        <v>1.0545445686859</v>
      </c>
      <c r="P19" s="11" t="n">
        <f aca="false">P17/$F$16</f>
        <v>1.07904182818376</v>
      </c>
      <c r="Q19" s="11" t="n">
        <f aca="false">Q17/$F$16</f>
        <v>1.09745740813429</v>
      </c>
      <c r="R19" s="11" t="n">
        <f aca="false">R17/$F$16</f>
        <v>1.1094637639182</v>
      </c>
      <c r="S19" s="11" t="n">
        <f aca="false">S17/$F$16</f>
        <v>1.12160147111324</v>
      </c>
      <c r="T19" s="11" t="n">
        <f aca="false">T17/$F$16</f>
        <v>1.1338719667244</v>
      </c>
      <c r="U19" s="11" t="n">
        <f aca="false">U17/$F$16</f>
        <v>1.14627670347774</v>
      </c>
      <c r="V19" s="11" t="n">
        <f aca="false">V17/$F$16</f>
        <v>1.15881714999234</v>
      </c>
      <c r="W19" s="11" t="n">
        <f aca="false">W17/$F$16</f>
        <v>1.17149479095425</v>
      </c>
      <c r="X19" s="11" t="n">
        <f aca="false">X17/$F$16</f>
        <v>1.18431112729217</v>
      </c>
      <c r="Y19" s="11" t="n">
        <f aca="false">Y17/$F$16</f>
        <v>1.19726767635524</v>
      </c>
      <c r="Z19" s="11" t="n">
        <f aca="false">Z17/$F$16</f>
        <v>1.2103659720926</v>
      </c>
      <c r="AA19" s="11" t="n">
        <f aca="false">AA17/$F$16</f>
        <v>1.22360756523505</v>
      </c>
      <c r="AB19" s="11" t="n">
        <f aca="false">AB17/$F$16</f>
        <v>1.23699402347864</v>
      </c>
      <c r="AC19" s="11" t="n">
        <f aca="false">AC17/$F$16</f>
        <v>1.25052693167022</v>
      </c>
      <c r="AD19" s="11" t="n">
        <f aca="false">AD17/$F$16</f>
        <v>1.26420789199517</v>
      </c>
      <c r="AE19" s="11" t="n">
        <f aca="false">AE17/$F$16</f>
        <v>1.27803852416697</v>
      </c>
      <c r="AF19" s="11" t="n">
        <f aca="false">AF17/$F$16</f>
        <v>1.29202046561906</v>
      </c>
      <c r="AG19" s="11" t="n">
        <f aca="false">AG17/$F$16</f>
        <v>1.30615537169864</v>
      </c>
      <c r="AH19" s="11" t="n">
        <f aca="false">AH17/$F$16</f>
        <v>1.32044491586268</v>
      </c>
      <c r="AI19" s="11" t="n">
        <f aca="false">AI17/$F$16</f>
        <v>1.33489078987601</v>
      </c>
      <c r="AJ19" s="11" t="n">
        <f aca="false">AJ17/$F$16</f>
        <v>1.34949470401166</v>
      </c>
      <c r="AK19" s="11" t="n">
        <f aca="false">AK17/$F$16</f>
        <v>1.36425838725328</v>
      </c>
      <c r="AL19" s="11" t="n">
        <f aca="false">AL17/$F$16</f>
        <v>1.37918358749991</v>
      </c>
      <c r="AM19" s="11" t="n">
        <f aca="false">AM17/$F$16</f>
        <v>1.39427207177286</v>
      </c>
      <c r="AN19" s="11" t="n">
        <f aca="false">AN17/$F$16</f>
        <v>1.40952562642491</v>
      </c>
      <c r="AO19" s="11" t="n">
        <f aca="false">AO17/$F$16</f>
        <v>1.42494605735186</v>
      </c>
      <c r="AP19" s="11" t="n">
        <f aca="false">AP17/$F$16</f>
        <v>1.44053519020626</v>
      </c>
      <c r="AQ19" s="11" t="n">
        <f aca="false">AQ17/$F$16</f>
        <v>1.4562948706136</v>
      </c>
      <c r="AR19" s="11" t="n">
        <f aca="false">AR17/$F$16</f>
        <v>1.4722269643908</v>
      </c>
      <c r="AS19" s="11" t="n">
        <f aca="false">AS17/$F$16</f>
        <v>1.4883333577671</v>
      </c>
      <c r="AT19" s="11" t="n">
        <f aca="false">AT17/$F$16</f>
        <v>1.50461595760739</v>
      </c>
      <c r="AU19" s="11" t="n">
        <f aca="false">AU17/$F$16</f>
        <v>1.52107669163797</v>
      </c>
      <c r="AV19" s="11" t="n">
        <f aca="false">AV17/$F$16</f>
        <v>1.53771750867476</v>
      </c>
      <c r="AW19" s="11" t="n">
        <f aca="false">AW17/$F$16</f>
        <v>1.55454037885401</v>
      </c>
      <c r="AX19" s="11" t="n">
        <f aca="false">AX17/$F$16</f>
        <v>1.5715472938656</v>
      </c>
      <c r="AY19" s="11" t="n">
        <f aca="false">AY17/$F$16</f>
        <v>1.5887402671888</v>
      </c>
      <c r="AZ19" s="11" t="n">
        <f aca="false">AZ17/$F$16</f>
        <v>1.60612133433064</v>
      </c>
      <c r="BA19" s="11" t="n">
        <f aca="false">BA17/$F$16</f>
        <v>1.62369255306695</v>
      </c>
      <c r="BB19" s="11" t="n">
        <f aca="false">BB17/$F$16</f>
        <v>1.64145600368592</v>
      </c>
      <c r="BC19" s="11" t="n">
        <f aca="false">BC17/$F$16</f>
        <v>1.65941378923442</v>
      </c>
      <c r="BD19" s="11" t="n">
        <f aca="false">BD17/$F$16</f>
        <v>1.67756803576701</v>
      </c>
      <c r="BE19" s="11" t="n">
        <f aca="false">BE17/$F$16</f>
        <v>1.69592089259758</v>
      </c>
      <c r="BF19" s="11" t="n">
        <f aca="false">BF17/$F$16</f>
        <v>1.71447453255388</v>
      </c>
      <c r="BG19" s="11" t="n">
        <f aca="false">BG17/$F$16</f>
        <v>1.73323115223473</v>
      </c>
      <c r="BH19" s="11" t="n">
        <f aca="false">BH17/$F$16</f>
        <v>1.75219297227007</v>
      </c>
      <c r="BI19" s="11" t="n">
        <f aca="false">BI17/$F$16</f>
        <v>1.77136223758389</v>
      </c>
      <c r="BJ19" s="11" t="n">
        <f aca="false">BJ17/$F$16</f>
        <v>1.79074121766001</v>
      </c>
      <c r="BK19" s="11" t="n">
        <f aca="false">BK17/$F$16</f>
        <v>1.81033220681074</v>
      </c>
      <c r="BL19" s="11" t="n">
        <f aca="false">BL17/$F$16</f>
        <v>1.83013752444853</v>
      </c>
      <c r="BM19" s="11" t="n">
        <f aca="false">BM17/$F$16</f>
        <v>1.85015951536057</v>
      </c>
      <c r="BN19" s="11" t="n">
        <f aca="false">BN17/$F$16</f>
        <v>1.87040054998639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112.975240134372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115.063171655127</v>
      </c>
      <c r="K21" s="11" t="n">
        <f aca="false">J21*IF(Time!K22=1,(1+K15/100)^0.25*(1+K13/100)^0.25,(1+K13/100)^0.5)</f>
        <v>119.438618093899</v>
      </c>
      <c r="L21" s="11" t="n">
        <f aca="false">K21*IF(Time!L22=1,(1+L15/100)^0.25*(1+L13/100)^0.25,(1+L13/100)^0.5)</f>
        <v>124.066774714516</v>
      </c>
      <c r="M21" s="11" t="n">
        <f aca="false">L21*IF(Time!M22=1,(1+M15/100)^0.25*(1+M13/100)^0.25,(1+M13/100)^0.5)</f>
        <v>129.43789408732</v>
      </c>
      <c r="N21" s="11" t="n">
        <f aca="false">M21*IF(Time!N22=1,(1+N15/100)^0.25*(1+N13/100)^0.25,(1+N13/100)^0.5)</f>
        <v>135.632138269234</v>
      </c>
      <c r="O21" s="11" t="n">
        <f aca="false">N21*IF(Time!O22=1,(1+O15/100)^0.25*(1+O13/100)^0.25,(1+O13/100)^0.5)</f>
        <v>142.380979176357</v>
      </c>
      <c r="P21" s="11" t="n">
        <f aca="false">O21*IF(Time!P22=1,(1+P15/100)^0.25*(1+P13/100)^0.25,(1+P13/100)^0.5)</f>
        <v>149.737141730859</v>
      </c>
      <c r="Q21" s="11" t="n">
        <f aca="false">P21*IF(Time!Q22=1,(1+Q15/100)^0.25*(1+Q13/100)^0.25,(1+Q13/100)^0.5)</f>
        <v>156.358118789697</v>
      </c>
      <c r="R21" s="11" t="n">
        <f aca="false">Q21*IF(Time!R22=1,(1+R15/100)^0.25*(1+R13/100)^0.25,(1+R13/100)^0.5)</f>
        <v>162.11554801996</v>
      </c>
      <c r="S21" s="11" t="n">
        <f aca="false">R21*IF(Time!S22=1,(1+S15/100)^0.25*(1+S13/100)^0.25,(1+S13/100)^0.5)</f>
        <v>168.084977698924</v>
      </c>
      <c r="T21" s="11" t="n">
        <f aca="false">S21*IF(Time!T22=1,(1+T15/100)^0.25*(1+T13/100)^0.25,(1+T13/100)^0.5)</f>
        <v>174.274214121457</v>
      </c>
      <c r="U21" s="11" t="n">
        <f aca="false">T21*IF(Time!U22=1,(1+U15/100)^0.25*(1+U13/100)^0.25,(1+U13/100)^0.5)</f>
        <v>180.691351026344</v>
      </c>
      <c r="V21" s="11" t="n">
        <f aca="false">U21*IF(Time!V22=1,(1+V15/100)^0.25*(1+V13/100)^0.25,(1+V13/100)^0.5)</f>
        <v>187.344780180566</v>
      </c>
      <c r="W21" s="11" t="n">
        <f aca="false">V21*IF(Time!W22=1,(1+W15/100)^0.25*(1+W13/100)^0.25,(1+W13/100)^0.5)</f>
        <v>194.243202353319</v>
      </c>
      <c r="X21" s="11" t="n">
        <f aca="false">W21*IF(Time!X22=1,(1+X15/100)^0.25*(1+X13/100)^0.25,(1+X13/100)^0.5)</f>
        <v>201.395638694109</v>
      </c>
      <c r="Y21" s="11" t="n">
        <f aca="false">X21*IF(Time!Y22=1,(1+Y15/100)^0.25*(1+Y13/100)^0.25,(1+Y13/100)^0.5)</f>
        <v>208.811442529818</v>
      </c>
      <c r="Z21" s="11" t="n">
        <f aca="false">Y21*IF(Time!Z22=1,(1+Z15/100)^0.25*(1+Z13/100)^0.25,(1+Z13/100)^0.5)</f>
        <v>216.500311596167</v>
      </c>
      <c r="AA21" s="11" t="n">
        <f aca="false">Z21*IF(Time!AA22=1,(1+AA15/100)^0.25*(1+AA13/100)^0.25,(1+AA13/100)^0.5)</f>
        <v>224.472300719555</v>
      </c>
      <c r="AB21" s="11" t="n">
        <f aca="false">AA21*IF(Time!AB22=1,(1+AB15/100)^0.25*(1+AB13/100)^0.25,(1+AB13/100)^0.5)</f>
        <v>232.737834965879</v>
      </c>
      <c r="AC21" s="11" t="n">
        <f aca="false">AB21*IF(Time!AC22=1,(1+AC15/100)^0.25*(1+AC13/100)^0.25,(1+AC13/100)^0.5)</f>
        <v>241.307723273521</v>
      </c>
      <c r="AD21" s="11" t="n">
        <f aca="false">AC21*IF(Time!AD22=1,(1+AD15/100)^0.25*(1+AD13/100)^0.25,(1+AD13/100)^0.5)</f>
        <v>250.19317258832</v>
      </c>
      <c r="AE21" s="11" t="n">
        <f aca="false">AD21*IF(Time!AE22=1,(1+AE15/100)^0.25*(1+AE13/100)^0.25,(1+AE13/100)^0.5)</f>
        <v>259.405802519035</v>
      </c>
      <c r="AF21" s="11" t="n">
        <f aca="false">AE21*IF(Time!AF22=1,(1+AF15/100)^0.25*(1+AF13/100)^0.25,(1+AF13/100)^0.5)</f>
        <v>268.957660532444</v>
      </c>
      <c r="AG21" s="11" t="n">
        <f aca="false">AF21*IF(Time!AG22=1,(1+AG15/100)^0.25*(1+AG13/100)^0.25,(1+AG13/100)^0.5)</f>
        <v>278.861237707963</v>
      </c>
      <c r="AH21" s="11" t="n">
        <f aca="false">AG21*IF(Time!AH22=1,(1+AH15/100)^0.25*(1+AH13/100)^0.25,(1+AH13/100)^0.5)</f>
        <v>289.129485072378</v>
      </c>
      <c r="AI21" s="11" t="n">
        <f aca="false">AH21*IF(Time!AI22=1,(1+AI15/100)^0.25*(1+AI13/100)^0.25,(1+AI13/100)^0.5)</f>
        <v>299.77583053606</v>
      </c>
      <c r="AJ21" s="11" t="n">
        <f aca="false">AI21*IF(Time!AJ22=1,(1+AJ15/100)^0.25*(1+AJ13/100)^0.25,(1+AJ13/100)^0.5)</f>
        <v>310.814196452806</v>
      </c>
      <c r="AK21" s="11" t="n">
        <f aca="false">AJ21*IF(Time!AK22=1,(1+AK15/100)^0.25*(1+AK13/100)^0.25,(1+AK13/100)^0.5)</f>
        <v>322.259017826265</v>
      </c>
      <c r="AL21" s="11" t="n">
        <f aca="false">AK21*IF(Time!AL22=1,(1+AL15/100)^0.25*(1+AL13/100)^0.25,(1+AL13/100)^0.5)</f>
        <v>334.125261186766</v>
      </c>
      <c r="AM21" s="11" t="n">
        <f aca="false">AL21*IF(Time!AM22=1,(1+AM15/100)^0.25*(1+AM13/100)^0.25,(1+AM13/100)^0.5)</f>
        <v>346.428444163234</v>
      </c>
      <c r="AN21" s="11" t="n">
        <f aca="false">AM21*IF(Time!AN22=1,(1+AN15/100)^0.25*(1+AN13/100)^0.25,(1+AN13/100)^0.5)</f>
        <v>359.184655775774</v>
      </c>
      <c r="AO21" s="11" t="n">
        <f aca="false">AN21*IF(Time!AO22=1,(1+AO15/100)^0.25*(1+AO13/100)^0.25,(1+AO13/100)^0.5)</f>
        <v>372.410577475477</v>
      </c>
      <c r="AP21" s="11" t="n">
        <f aca="false">AO21*IF(Time!AP22=1,(1+AP15/100)^0.25*(1+AP13/100)^0.25,(1+AP13/100)^0.5)</f>
        <v>386.123504958957</v>
      </c>
      <c r="AQ21" s="11" t="n">
        <f aca="false">AP21*IF(Time!AQ22=1,(1+AQ15/100)^0.25*(1+AQ13/100)^0.25,(1+AQ13/100)^0.5)</f>
        <v>400.341370786137</v>
      </c>
      <c r="AR21" s="11" t="n">
        <f aca="false">AQ21*IF(Time!AR22=1,(1+AR15/100)^0.25*(1+AR13/100)^0.25,(1+AR13/100)^0.5)</f>
        <v>415.082767830878</v>
      </c>
      <c r="AS21" s="11" t="n">
        <f aca="false">AR21*IF(Time!AS22=1,(1+AS15/100)^0.25*(1+AS13/100)^0.25,(1+AS13/100)^0.5)</f>
        <v>430.366973595098</v>
      </c>
      <c r="AT21" s="11" t="n">
        <f aca="false">AS21*IF(Time!AT22=1,(1+AT15/100)^0.25*(1+AT13/100)^0.25,(1+AT13/100)^0.5)</f>
        <v>446.213975418194</v>
      </c>
      <c r="AU21" s="11" t="n">
        <f aca="false">AT21*IF(Time!AU22=1,(1+AU15/100)^0.25*(1+AU13/100)^0.25,(1+AU13/100)^0.5)</f>
        <v>462.64449661473</v>
      </c>
      <c r="AV21" s="11" t="n">
        <f aca="false">AU21*IF(Time!AV22=1,(1+AV15/100)^0.25*(1+AV13/100)^0.25,(1+AV13/100)^0.5)</f>
        <v>479.680023574559</v>
      </c>
      <c r="AW21" s="11" t="n">
        <f aca="false">AV21*IF(Time!AW22=1,(1+AW15/100)^0.25*(1+AW13/100)^0.25,(1+AW13/100)^0.5)</f>
        <v>497.342833860835</v>
      </c>
      <c r="AX21" s="11" t="n">
        <f aca="false">AW21*IF(Time!AX22=1,(1+AX15/100)^0.25*(1+AX13/100)^0.25,(1+AX13/100)^0.5)</f>
        <v>515.65602534265</v>
      </c>
      <c r="AY21" s="11" t="n">
        <f aca="false">AX21*IF(Time!AY22=1,(1+AY15/100)^0.25*(1+AY13/100)^0.25,(1+AY13/100)^0.5)</f>
        <v>534.643546400397</v>
      </c>
      <c r="AZ21" s="11" t="n">
        <f aca="false">AY21*IF(Time!AZ22=1,(1+AZ15/100)^0.25*(1+AZ13/100)^0.25,(1+AZ13/100)^0.5)</f>
        <v>554.330227243349</v>
      </c>
      <c r="BA21" s="11" t="n">
        <f aca="false">AZ21*IF(Time!BA22=1,(1+BA15/100)^0.25*(1+BA13/100)^0.25,(1+BA13/100)^0.5)</f>
        <v>574.741812380427</v>
      </c>
      <c r="BB21" s="11" t="n">
        <f aca="false">BA21*IF(Time!BB22=1,(1+BB15/100)^0.25*(1+BB13/100)^0.25,(1+BB13/100)^0.5)</f>
        <v>595.9049942866</v>
      </c>
      <c r="BC21" s="11" t="n">
        <f aca="false">BB21*IF(Time!BC22=1,(1+BC15/100)^0.25*(1+BC13/100)^0.25,(1+BC13/100)^0.5)</f>
        <v>617.847448308959</v>
      </c>
      <c r="BD21" s="11" t="n">
        <f aca="false">BC21*IF(Time!BD22=1,(1+BD15/100)^0.25*(1+BD13/100)^0.25,(1+BD13/100)^0.5)</f>
        <v>640.597868858095</v>
      </c>
      <c r="BE21" s="11" t="n">
        <f aca="false">BD21*IF(Time!BE22=1,(1+BE15/100)^0.25*(1+BE13/100)^0.25,(1+BE13/100)^0.5)</f>
        <v>664.186006932131</v>
      </c>
      <c r="BF21" s="11" t="n">
        <f aca="false">BE21*IF(Time!BF22=1,(1+BF15/100)^0.25*(1+BF13/100)^0.25,(1+BF13/100)^0.5)</f>
        <v>688.642709022452</v>
      </c>
      <c r="BG21" s="11" t="n">
        <f aca="false">BF21*IF(Time!BG22=1,(1+BG15/100)^0.25*(1+BG13/100)^0.25,(1+BG13/100)^0.5)</f>
        <v>713.99995745204</v>
      </c>
      <c r="BH21" s="11" t="n">
        <f aca="false">BG21*IF(Time!BH22=1,(1+BH15/100)^0.25*(1+BH13/100)^0.25,(1+BH13/100)^0.5)</f>
        <v>740.290912199136</v>
      </c>
      <c r="BI21" s="11" t="n">
        <f aca="false">BH21*IF(Time!BI22=1,(1+BI15/100)^0.25*(1+BI13/100)^0.25,(1+BI13/100)^0.5)</f>
        <v>767.549954260943</v>
      </c>
      <c r="BJ21" s="11" t="n">
        <f aca="false">BI21*IF(Time!BJ22=1,(1+BJ15/100)^0.25*(1+BJ13/100)^0.25,(1+BJ13/100)^0.5)</f>
        <v>795.812730614071</v>
      </c>
      <c r="BK21" s="11" t="n">
        <f aca="false">BJ21*IF(Time!BK22=1,(1+BK15/100)^0.25*(1+BK13/100)^0.25,(1+BK13/100)^0.5)</f>
        <v>825.116200830514</v>
      </c>
      <c r="BL21" s="11" t="n">
        <f aca="false">BK21*IF(Time!BL22=1,(1+BL15/100)^0.25*(1+BL13/100)^0.25,(1+BL13/100)^0.5)</f>
        <v>855.498685410126</v>
      </c>
      <c r="BM21" s="11" t="n">
        <f aca="false">BL21*IF(Time!BM22=1,(1+BM15/100)^0.25*(1+BM13/100)^0.25,(1+BM13/100)^0.5)</f>
        <v>886.999915892802</v>
      </c>
      <c r="BN21" s="11" t="n">
        <f aca="false">BM21*IF(Time!BN22=1,(1+BN15/100)^0.25*(1+BN13/100)^0.25,(1+BN13/100)^0.5)</f>
        <v>919.661086815886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110.925196132035</v>
      </c>
      <c r="K22" s="11" t="n">
        <f aca="false">J21</f>
        <v>115.063171655127</v>
      </c>
      <c r="L22" s="11" t="n">
        <f aca="false">K21</f>
        <v>119.438618093899</v>
      </c>
      <c r="M22" s="11" t="n">
        <f aca="false">L21</f>
        <v>124.066774714516</v>
      </c>
      <c r="N22" s="11" t="n">
        <f aca="false">M21</f>
        <v>129.43789408732</v>
      </c>
      <c r="O22" s="11" t="n">
        <f aca="false">N21</f>
        <v>135.632138269234</v>
      </c>
      <c r="P22" s="11" t="n">
        <f aca="false">O21</f>
        <v>142.380979176357</v>
      </c>
      <c r="Q22" s="11" t="n">
        <f aca="false">P21</f>
        <v>149.737141730859</v>
      </c>
      <c r="R22" s="11" t="n">
        <f aca="false">Q21</f>
        <v>156.358118789697</v>
      </c>
      <c r="S22" s="11" t="n">
        <f aca="false">R21</f>
        <v>162.11554801996</v>
      </c>
      <c r="T22" s="11" t="n">
        <f aca="false">S21</f>
        <v>168.084977698924</v>
      </c>
      <c r="U22" s="11" t="n">
        <f aca="false">T21</f>
        <v>174.274214121457</v>
      </c>
      <c r="V22" s="11" t="n">
        <f aca="false">U21</f>
        <v>180.691351026344</v>
      </c>
      <c r="W22" s="11" t="n">
        <f aca="false">V21</f>
        <v>187.344780180566</v>
      </c>
      <c r="X22" s="11" t="n">
        <f aca="false">W21</f>
        <v>194.243202353319</v>
      </c>
      <c r="Y22" s="11" t="n">
        <f aca="false">X21</f>
        <v>201.395638694109</v>
      </c>
      <c r="Z22" s="11" t="n">
        <f aca="false">Y21</f>
        <v>208.811442529818</v>
      </c>
      <c r="AA22" s="11" t="n">
        <f aca="false">Z21</f>
        <v>216.500311596167</v>
      </c>
      <c r="AB22" s="11" t="n">
        <f aca="false">AA21</f>
        <v>224.472300719555</v>
      </c>
      <c r="AC22" s="11" t="n">
        <f aca="false">AB21</f>
        <v>232.737834965879</v>
      </c>
      <c r="AD22" s="11" t="n">
        <f aca="false">AC21</f>
        <v>241.307723273521</v>
      </c>
      <c r="AE22" s="11" t="n">
        <f aca="false">AD21</f>
        <v>250.19317258832</v>
      </c>
      <c r="AF22" s="11" t="n">
        <f aca="false">AE21</f>
        <v>259.405802519035</v>
      </c>
      <c r="AG22" s="11" t="n">
        <f aca="false">AF21</f>
        <v>268.957660532444</v>
      </c>
      <c r="AH22" s="11" t="n">
        <f aca="false">AG21</f>
        <v>278.861237707963</v>
      </c>
      <c r="AI22" s="11" t="n">
        <f aca="false">AH21</f>
        <v>289.129485072378</v>
      </c>
      <c r="AJ22" s="11" t="n">
        <f aca="false">AI21</f>
        <v>299.77583053606</v>
      </c>
      <c r="AK22" s="11" t="n">
        <f aca="false">AJ21</f>
        <v>310.814196452806</v>
      </c>
      <c r="AL22" s="11" t="n">
        <f aca="false">AK21</f>
        <v>322.259017826265</v>
      </c>
      <c r="AM22" s="11" t="n">
        <f aca="false">AL21</f>
        <v>334.125261186766</v>
      </c>
      <c r="AN22" s="11" t="n">
        <f aca="false">AM21</f>
        <v>346.428444163234</v>
      </c>
      <c r="AO22" s="11" t="n">
        <f aca="false">AN21</f>
        <v>359.184655775774</v>
      </c>
      <c r="AP22" s="11" t="n">
        <f aca="false">AO21</f>
        <v>372.410577475477</v>
      </c>
      <c r="AQ22" s="11" t="n">
        <f aca="false">AP21</f>
        <v>386.123504958957</v>
      </c>
      <c r="AR22" s="11" t="n">
        <f aca="false">AQ21</f>
        <v>400.341370786137</v>
      </c>
      <c r="AS22" s="11" t="n">
        <f aca="false">AR21</f>
        <v>415.082767830878</v>
      </c>
      <c r="AT22" s="11" t="n">
        <f aca="false">AS21</f>
        <v>430.366973595098</v>
      </c>
      <c r="AU22" s="11" t="n">
        <f aca="false">AT21</f>
        <v>446.213975418194</v>
      </c>
      <c r="AV22" s="11" t="n">
        <f aca="false">AU21</f>
        <v>462.64449661473</v>
      </c>
      <c r="AW22" s="11" t="n">
        <f aca="false">AV21</f>
        <v>479.680023574559</v>
      </c>
      <c r="AX22" s="11" t="n">
        <f aca="false">AW21</f>
        <v>497.342833860835</v>
      </c>
      <c r="AY22" s="11" t="n">
        <f aca="false">AX21</f>
        <v>515.65602534265</v>
      </c>
      <c r="AZ22" s="11" t="n">
        <f aca="false">AY21</f>
        <v>534.643546400397</v>
      </c>
      <c r="BA22" s="11" t="n">
        <f aca="false">AZ21</f>
        <v>554.330227243349</v>
      </c>
      <c r="BB22" s="11" t="n">
        <f aca="false">BA21</f>
        <v>574.741812380427</v>
      </c>
      <c r="BC22" s="11" t="n">
        <f aca="false">BB21</f>
        <v>595.9049942866</v>
      </c>
      <c r="BD22" s="11" t="n">
        <f aca="false">BC21</f>
        <v>617.847448308959</v>
      </c>
      <c r="BE22" s="11" t="n">
        <f aca="false">BD21</f>
        <v>640.597868858095</v>
      </c>
      <c r="BF22" s="11" t="n">
        <f aca="false">BE21</f>
        <v>664.186006932131</v>
      </c>
      <c r="BG22" s="11" t="n">
        <f aca="false">BF21</f>
        <v>688.642709022452</v>
      </c>
      <c r="BH22" s="11" t="n">
        <f aca="false">BG21</f>
        <v>713.99995745204</v>
      </c>
      <c r="BI22" s="11" t="n">
        <f aca="false">BH21</f>
        <v>740.290912199136</v>
      </c>
      <c r="BJ22" s="11" t="n">
        <f aca="false">BI21</f>
        <v>767.549954260943</v>
      </c>
      <c r="BK22" s="11" t="n">
        <f aca="false">BJ21</f>
        <v>795.812730614071</v>
      </c>
      <c r="BL22" s="11" t="n">
        <f aca="false">BK21</f>
        <v>825.116200830514</v>
      </c>
      <c r="BM22" s="11" t="n">
        <f aca="false">BL21</f>
        <v>855.498685410126</v>
      </c>
      <c r="BN22" s="11" t="n">
        <f aca="false">BM21</f>
        <v>886.999915892802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1.01848131960836</v>
      </c>
      <c r="K23" s="11" t="n">
        <f aca="false">K21/$F$20</f>
        <v>1.05721057066876</v>
      </c>
      <c r="L23" s="11" t="n">
        <f aca="false">L21/$F$20</f>
        <v>1.09817668514758</v>
      </c>
      <c r="M23" s="11" t="n">
        <f aca="false">M21/$F$20</f>
        <v>1.14571913220426</v>
      </c>
      <c r="N23" s="11" t="n">
        <f aca="false">N21/$F$20</f>
        <v>1.20054746604579</v>
      </c>
      <c r="O23" s="11" t="n">
        <f aca="false">O21/$F$20</f>
        <v>1.26028481114102</v>
      </c>
      <c r="P23" s="11" t="n">
        <f aca="false">P21/$F$20</f>
        <v>1.32539786198076</v>
      </c>
      <c r="Q23" s="11" t="n">
        <f aca="false">Q21/$F$20</f>
        <v>1.38400342060549</v>
      </c>
      <c r="R23" s="11" t="n">
        <f aca="false">R21/$F$20</f>
        <v>1.43496528820954</v>
      </c>
      <c r="S23" s="11" t="n">
        <f aca="false">S21/$F$20</f>
        <v>1.4878036771509</v>
      </c>
      <c r="T23" s="11" t="n">
        <f aca="false">T21/$F$20</f>
        <v>1.54258768482525</v>
      </c>
      <c r="U23" s="11" t="n">
        <f aca="false">U21/$F$20</f>
        <v>1.59938895293722</v>
      </c>
      <c r="V23" s="11" t="n">
        <f aca="false">V21/$F$20</f>
        <v>1.65828176118714</v>
      </c>
      <c r="W23" s="11" t="n">
        <f aca="false">W21/$F$20</f>
        <v>1.71934312440751</v>
      </c>
      <c r="X23" s="11" t="n">
        <f aca="false">X21/$F$20</f>
        <v>1.78265289327618</v>
      </c>
      <c r="Y23" s="11" t="n">
        <f aca="false">Y21/$F$20</f>
        <v>1.84829385873807</v>
      </c>
      <c r="Z23" s="11" t="n">
        <f aca="false">Z21/$F$20</f>
        <v>1.91635186027189</v>
      </c>
      <c r="AA23" s="11" t="n">
        <f aca="false">AA21/$F$20</f>
        <v>1.98691589814343</v>
      </c>
      <c r="AB23" s="11" t="n">
        <f aca="false">AB21/$F$20</f>
        <v>2.06007824979228</v>
      </c>
      <c r="AC23" s="11" t="n">
        <f aca="false">AC21/$F$20</f>
        <v>2.13593459050419</v>
      </c>
      <c r="AD23" s="11" t="n">
        <f aca="false">AD21/$F$20</f>
        <v>2.21458411852671</v>
      </c>
      <c r="AE23" s="11" t="n">
        <f aca="false">AE21/$F$20</f>
        <v>2.296129684792</v>
      </c>
      <c r="AF23" s="11" t="n">
        <f aca="false">AF21/$F$20</f>
        <v>2.38067792741621</v>
      </c>
      <c r="AG23" s="11" t="n">
        <f aca="false">AG21/$F$20</f>
        <v>2.4683394111514</v>
      </c>
      <c r="AH23" s="11" t="n">
        <f aca="false">AH21/$F$20</f>
        <v>2.55922877197242</v>
      </c>
      <c r="AI23" s="11" t="n">
        <f aca="false">AI21/$F$20</f>
        <v>2.65346486698775</v>
      </c>
      <c r="AJ23" s="11" t="n">
        <f aca="false">AJ21/$F$20</f>
        <v>2.75117092987035</v>
      </c>
      <c r="AK23" s="11" t="n">
        <f aca="false">AK21/$F$20</f>
        <v>2.85247473201183</v>
      </c>
      <c r="AL23" s="11" t="n">
        <f aca="false">AL21/$F$20</f>
        <v>2.95750874961063</v>
      </c>
      <c r="AM23" s="11" t="n">
        <f aca="false">AM21/$F$20</f>
        <v>3.06641033691272</v>
      </c>
      <c r="AN23" s="11" t="n">
        <f aca="false">AN21/$F$20</f>
        <v>3.17932190583143</v>
      </c>
      <c r="AO23" s="11" t="n">
        <f aca="false">AO21/$F$20</f>
        <v>3.29639111218118</v>
      </c>
      <c r="AP23" s="11" t="n">
        <f aca="false">AP21/$F$20</f>
        <v>3.41777104876878</v>
      </c>
      <c r="AQ23" s="11" t="n">
        <f aca="false">AQ21/$F$20</f>
        <v>3.54362044559476</v>
      </c>
      <c r="AR23" s="11" t="n">
        <f aca="false">AR21/$F$20</f>
        <v>3.67410387742644</v>
      </c>
      <c r="AS23" s="11" t="n">
        <f aca="false">AS21/$F$20</f>
        <v>3.80939197901437</v>
      </c>
      <c r="AT23" s="11" t="n">
        <f aca="false">AT21/$F$20</f>
        <v>3.94966166823342</v>
      </c>
      <c r="AU23" s="11" t="n">
        <f aca="false">AU21/$F$20</f>
        <v>4.09509637744045</v>
      </c>
      <c r="AV23" s="11" t="n">
        <f aca="false">AV21/$F$20</f>
        <v>4.24588629335093</v>
      </c>
      <c r="AW23" s="11" t="n">
        <f aca="false">AW21/$F$20</f>
        <v>4.40222860574848</v>
      </c>
      <c r="AX23" s="11" t="n">
        <f aca="false">AX21/$F$20</f>
        <v>4.56432776535225</v>
      </c>
      <c r="AY23" s="11" t="n">
        <f aca="false">AY21/$F$20</f>
        <v>4.73239575117961</v>
      </c>
      <c r="AZ23" s="11" t="n">
        <f aca="false">AZ21/$F$20</f>
        <v>4.90665234775367</v>
      </c>
      <c r="BA23" s="11" t="n">
        <f aca="false">BA21/$F$20</f>
        <v>5.08732543251808</v>
      </c>
      <c r="BB23" s="11" t="n">
        <f aca="false">BB21/$F$20</f>
        <v>5.27465127383519</v>
      </c>
      <c r="BC23" s="11" t="n">
        <f aca="false">BC21/$F$20</f>
        <v>5.46887483995694</v>
      </c>
      <c r="BD23" s="11" t="n">
        <f aca="false">BD21/$F$20</f>
        <v>5.67025011937283</v>
      </c>
      <c r="BE23" s="11" t="n">
        <f aca="false">BE21/$F$20</f>
        <v>5.87904045295371</v>
      </c>
      <c r="BF23" s="11" t="n">
        <f aca="false">BF21/$F$20</f>
        <v>6.09551887832579</v>
      </c>
      <c r="BG23" s="11" t="n">
        <f aca="false">BG21/$F$20</f>
        <v>6.31996848692524</v>
      </c>
      <c r="BH23" s="11" t="n">
        <f aca="false">BH21/$F$20</f>
        <v>6.55268279420022</v>
      </c>
      <c r="BI23" s="11" t="n">
        <f aca="false">BI21/$F$20</f>
        <v>6.79396612344463</v>
      </c>
      <c r="BJ23" s="11" t="n">
        <f aca="false">BJ21/$F$20</f>
        <v>7.04413400376524</v>
      </c>
      <c r="BK23" s="11" t="n">
        <f aca="false">BK21/$F$20</f>
        <v>7.30351358270297</v>
      </c>
      <c r="BL23" s="11" t="n">
        <f aca="false">BL21/$F$20</f>
        <v>7.57244405404763</v>
      </c>
      <c r="BM23" s="11" t="n">
        <f aca="false">BM21/$F$20</f>
        <v>7.8512771014057</v>
      </c>
      <c r="BN23" s="11" t="n">
        <f aca="false">BN21/$F$20</f>
        <v>8.1403773581012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1</v>
      </c>
      <c r="S25" s="9" t="n">
        <f aca="false">INT(Time!S27/12)+1</f>
        <v>2</v>
      </c>
      <c r="T25" s="9" t="n">
        <f aca="false">INT(Time!T27/12)+1</f>
        <v>2</v>
      </c>
      <c r="U25" s="9" t="n">
        <f aca="false">INT(Time!U27/12)+1</f>
        <v>3</v>
      </c>
      <c r="V25" s="9" t="n">
        <f aca="false">INT(Time!V27/12)+1</f>
        <v>3</v>
      </c>
      <c r="W25" s="9" t="n">
        <f aca="false">INT(Time!W27/12)+1</f>
        <v>4</v>
      </c>
      <c r="X25" s="9" t="n">
        <f aca="false">INT(Time!X27/12)+1</f>
        <v>4</v>
      </c>
      <c r="Y25" s="9" t="n">
        <f aca="false">INT(Time!Y27/12)+1</f>
        <v>5</v>
      </c>
      <c r="Z25" s="9" t="n">
        <f aca="false">INT(Time!Z27/12)+1</f>
        <v>5</v>
      </c>
      <c r="AA25" s="9" t="n">
        <f aca="false">INT(Time!AA27/12)+1</f>
        <v>6</v>
      </c>
      <c r="AB25" s="9" t="n">
        <f aca="false">INT(Time!AB27/12)+1</f>
        <v>6</v>
      </c>
      <c r="AC25" s="9" t="n">
        <f aca="false">INT(Time!AC27/12)+1</f>
        <v>7</v>
      </c>
      <c r="AD25" s="9" t="n">
        <f aca="false">INT(Time!AD27/12)+1</f>
        <v>7</v>
      </c>
      <c r="AE25" s="9" t="n">
        <f aca="false">INT(Time!AE27/12)+1</f>
        <v>8</v>
      </c>
      <c r="AF25" s="9" t="n">
        <f aca="false">INT(Time!AF27/12)+1</f>
        <v>8</v>
      </c>
      <c r="AG25" s="9" t="n">
        <f aca="false">INT(Time!AG27/12)+1</f>
        <v>9</v>
      </c>
      <c r="AH25" s="9" t="n">
        <f aca="false">INT(Time!AH27/12)+1</f>
        <v>9</v>
      </c>
      <c r="AI25" s="9" t="n">
        <f aca="false">INT(Time!AI27/12)+1</f>
        <v>10</v>
      </c>
      <c r="AJ25" s="9" t="n">
        <f aca="false">INT(Time!AJ27/12)+1</f>
        <v>10</v>
      </c>
      <c r="AK25" s="9" t="n">
        <f aca="false">INT(Time!AK27/12)+1</f>
        <v>11</v>
      </c>
      <c r="AL25" s="9" t="n">
        <f aca="false">INT(Time!AL27/12)+1</f>
        <v>11</v>
      </c>
      <c r="AM25" s="9" t="n">
        <f aca="false">INT(Time!AM27/12)+1</f>
        <v>12</v>
      </c>
      <c r="AN25" s="9" t="n">
        <f aca="false">INT(Time!AN27/12)+1</f>
        <v>12</v>
      </c>
      <c r="AO25" s="9" t="n">
        <f aca="false">INT(Time!AO27/12)+1</f>
        <v>13</v>
      </c>
      <c r="AP25" s="9" t="n">
        <f aca="false">INT(Time!AP27/12)+1</f>
        <v>13</v>
      </c>
      <c r="AQ25" s="9" t="n">
        <f aca="false">INT(Time!AQ27/12)+1</f>
        <v>14</v>
      </c>
      <c r="AR25" s="9" t="n">
        <f aca="false">INT(Time!AR27/12)+1</f>
        <v>14</v>
      </c>
      <c r="AS25" s="9" t="n">
        <f aca="false">INT(Time!AS27/12)+1</f>
        <v>15</v>
      </c>
      <c r="AT25" s="9" t="n">
        <f aca="false">INT(Time!AT27/12)+1</f>
        <v>15</v>
      </c>
      <c r="AU25" s="9" t="n">
        <f aca="false">INT(Time!AU27/12)+1</f>
        <v>16</v>
      </c>
      <c r="AV25" s="9" t="n">
        <f aca="false">INT(Time!AV27/12)+1</f>
        <v>16</v>
      </c>
      <c r="AW25" s="9" t="n">
        <f aca="false">INT(Time!AW27/12)+1</f>
        <v>17</v>
      </c>
      <c r="AX25" s="9" t="n">
        <f aca="false">INT(Time!AX27/12)+1</f>
        <v>17</v>
      </c>
      <c r="AY25" s="9" t="n">
        <f aca="false">INT(Time!AY27/12)+1</f>
        <v>18</v>
      </c>
      <c r="AZ25" s="9" t="n">
        <f aca="false">INT(Time!AZ27/12)+1</f>
        <v>18</v>
      </c>
      <c r="BA25" s="9" t="n">
        <f aca="false">INT(Time!BA27/12)+1</f>
        <v>19</v>
      </c>
      <c r="BB25" s="9" t="n">
        <f aca="false">INT(Time!BB27/12)+1</f>
        <v>19</v>
      </c>
      <c r="BC25" s="9" t="n">
        <f aca="false">INT(Time!BC27/12)+1</f>
        <v>20</v>
      </c>
      <c r="BD25" s="9" t="n">
        <f aca="false">INT(Time!BD27/12)+1</f>
        <v>20</v>
      </c>
      <c r="BE25" s="9" t="n">
        <f aca="false">INT(Time!BE27/12)+1</f>
        <v>21</v>
      </c>
      <c r="BF25" s="9" t="n">
        <f aca="false">INT(Time!BF27/12)+1</f>
        <v>21</v>
      </c>
      <c r="BG25" s="9" t="n">
        <f aca="false">INT(Time!BG27/12)+1</f>
        <v>22</v>
      </c>
      <c r="BH25" s="9" t="n">
        <f aca="false">INT(Time!BH27/12)+1</f>
        <v>22</v>
      </c>
      <c r="BI25" s="9" t="n">
        <f aca="false">INT(Time!BI27/12)+1</f>
        <v>23</v>
      </c>
      <c r="BJ25" s="9" t="n">
        <f aca="false">INT(Time!BJ27/12)+1</f>
        <v>23</v>
      </c>
      <c r="BK25" s="9" t="n">
        <f aca="false">INT(Time!BK27/12)+1</f>
        <v>24</v>
      </c>
      <c r="BL25" s="9" t="n">
        <f aca="false">INT(Time!BL27/12)+1</f>
        <v>24</v>
      </c>
      <c r="BM25" s="9" t="n">
        <f aca="false">INT(Time!BM27/12)+1</f>
        <v>25</v>
      </c>
      <c r="BN25" s="9" t="n">
        <f aca="false">INT(Time!BN27/12)+1</f>
        <v>25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0</v>
      </c>
      <c r="P26" s="9" t="n">
        <f aca="false">MIN(Time!P28,P25*12)-Time!P27</f>
        <v>1</v>
      </c>
      <c r="Q26" s="9" t="n">
        <f aca="false">MIN(Time!Q28,Q25*12)-Time!Q27</f>
        <v>6</v>
      </c>
      <c r="R26" s="9" t="n">
        <f aca="false">MIN(Time!R28,R25*12)-Time!R27</f>
        <v>5</v>
      </c>
      <c r="S26" s="9" t="n">
        <f aca="false">MIN(Time!S28,S25*12)-Time!S27</f>
        <v>6</v>
      </c>
      <c r="T26" s="9" t="n">
        <f aca="false">MIN(Time!T28,T25*12)-Time!T27</f>
        <v>5</v>
      </c>
      <c r="U26" s="9" t="n">
        <f aca="false">MIN(Time!U28,U25*12)-Time!U27</f>
        <v>6</v>
      </c>
      <c r="V26" s="9" t="n">
        <f aca="false">MIN(Time!V28,V25*12)-Time!V27</f>
        <v>5</v>
      </c>
      <c r="W26" s="9" t="n">
        <f aca="false">MIN(Time!W28,W25*12)-Time!W27</f>
        <v>6</v>
      </c>
      <c r="X26" s="9" t="n">
        <f aca="false">MIN(Time!X28,X25*12)-Time!X27</f>
        <v>5</v>
      </c>
      <c r="Y26" s="9" t="n">
        <f aca="false">MIN(Time!Y28,Y25*12)-Time!Y27</f>
        <v>6</v>
      </c>
      <c r="Z26" s="9" t="n">
        <f aca="false">MIN(Time!Z28,Z25*12)-Time!Z27</f>
        <v>5</v>
      </c>
      <c r="AA26" s="9" t="n">
        <f aca="false">MIN(Time!AA28,AA25*12)-Time!AA27</f>
        <v>6</v>
      </c>
      <c r="AB26" s="9" t="n">
        <f aca="false">MIN(Time!AB28,AB25*12)-Time!AB27</f>
        <v>5</v>
      </c>
      <c r="AC26" s="9" t="n">
        <f aca="false">MIN(Time!AC28,AC25*12)-Time!AC27</f>
        <v>6</v>
      </c>
      <c r="AD26" s="9" t="n">
        <f aca="false">MIN(Time!AD28,AD25*12)-Time!AD27</f>
        <v>5</v>
      </c>
      <c r="AE26" s="9" t="n">
        <f aca="false">MIN(Time!AE28,AE25*12)-Time!AE27</f>
        <v>6</v>
      </c>
      <c r="AF26" s="9" t="n">
        <f aca="false">MIN(Time!AF28,AF25*12)-Time!AF27</f>
        <v>5</v>
      </c>
      <c r="AG26" s="9" t="n">
        <f aca="false">MIN(Time!AG28,AG25*12)-Time!AG27</f>
        <v>6</v>
      </c>
      <c r="AH26" s="9" t="n">
        <f aca="false">MIN(Time!AH28,AH25*12)-Time!AH27</f>
        <v>5</v>
      </c>
      <c r="AI26" s="9" t="n">
        <f aca="false">MIN(Time!AI28,AI25*12)-Time!AI27</f>
        <v>6</v>
      </c>
      <c r="AJ26" s="9" t="n">
        <f aca="false">MIN(Time!AJ28,AJ25*12)-Time!AJ27</f>
        <v>5</v>
      </c>
      <c r="AK26" s="9" t="n">
        <f aca="false">MIN(Time!AK28,AK25*12)-Time!AK27</f>
        <v>6</v>
      </c>
      <c r="AL26" s="9" t="n">
        <f aca="false">MIN(Time!AL28,AL25*12)-Time!AL27</f>
        <v>5</v>
      </c>
      <c r="AM26" s="9" t="n">
        <f aca="false">MIN(Time!AM28,AM25*12)-Time!AM27</f>
        <v>6</v>
      </c>
      <c r="AN26" s="9" t="n">
        <f aca="false">MIN(Time!AN28,AN25*12)-Time!AN27</f>
        <v>5</v>
      </c>
      <c r="AO26" s="9" t="n">
        <f aca="false">MIN(Time!AO28,AO25*12)-Time!AO27</f>
        <v>6</v>
      </c>
      <c r="AP26" s="9" t="n">
        <f aca="false">MIN(Time!AP28,AP25*12)-Time!AP27</f>
        <v>5</v>
      </c>
      <c r="AQ26" s="9" t="n">
        <f aca="false">MIN(Time!AQ28,AQ25*12)-Time!AQ27</f>
        <v>6</v>
      </c>
      <c r="AR26" s="9" t="n">
        <f aca="false">MIN(Time!AR28,AR25*12)-Time!AR27</f>
        <v>5</v>
      </c>
      <c r="AS26" s="9" t="n">
        <f aca="false">MIN(Time!AS28,AS25*12)-Time!AS27</f>
        <v>6</v>
      </c>
      <c r="AT26" s="9" t="n">
        <f aca="false">MIN(Time!AT28,AT25*12)-Time!AT27</f>
        <v>5</v>
      </c>
      <c r="AU26" s="9" t="n">
        <f aca="false">MIN(Time!AU28,AU25*12)-Time!AU27</f>
        <v>6</v>
      </c>
      <c r="AV26" s="9" t="n">
        <f aca="false">MIN(Time!AV28,AV25*12)-Time!AV27</f>
        <v>5</v>
      </c>
      <c r="AW26" s="9" t="n">
        <f aca="false">MIN(Time!AW28,AW25*12)-Time!AW27</f>
        <v>6</v>
      </c>
      <c r="AX26" s="9" t="n">
        <f aca="false">MIN(Time!AX28,AX25*12)-Time!AX27</f>
        <v>5</v>
      </c>
      <c r="AY26" s="9" t="n">
        <f aca="false">MIN(Time!AY28,AY25*12)-Time!AY27</f>
        <v>6</v>
      </c>
      <c r="AZ26" s="9" t="n">
        <f aca="false">MIN(Time!AZ28,AZ25*12)-Time!AZ27</f>
        <v>5</v>
      </c>
      <c r="BA26" s="9" t="n">
        <f aca="false">MIN(Time!BA28,BA25*12)-Time!BA27</f>
        <v>6</v>
      </c>
      <c r="BB26" s="9" t="n">
        <f aca="false">MIN(Time!BB28,BB25*12)-Time!BB27</f>
        <v>5</v>
      </c>
      <c r="BC26" s="9" t="n">
        <f aca="false">MIN(Time!BC28,BC25*12)-Time!BC27</f>
        <v>6</v>
      </c>
      <c r="BD26" s="9" t="n">
        <f aca="false">MIN(Time!BD28,BD25*12)-Time!BD27</f>
        <v>5</v>
      </c>
      <c r="BE26" s="9" t="n">
        <f aca="false">MIN(Time!BE28,BE25*12)-Time!BE27</f>
        <v>6</v>
      </c>
      <c r="BF26" s="9" t="n">
        <f aca="false">MIN(Time!BF28,BF25*12)-Time!BF27</f>
        <v>5</v>
      </c>
      <c r="BG26" s="9" t="n">
        <f aca="false">MIN(Time!BG28,BG25*12)-Time!BG27</f>
        <v>6</v>
      </c>
      <c r="BH26" s="9" t="n">
        <f aca="false">MIN(Time!BH28,BH25*12)-Time!BH27</f>
        <v>5</v>
      </c>
      <c r="BI26" s="9" t="n">
        <f aca="false">MIN(Time!BI28,BI25*12)-Time!BI27</f>
        <v>6</v>
      </c>
      <c r="BJ26" s="9" t="n">
        <f aca="false">MIN(Time!BJ28,BJ25*12)-Time!BJ27</f>
        <v>5</v>
      </c>
      <c r="BK26" s="9" t="n">
        <f aca="false">MIN(Time!BK28,BK25*12)-Time!BK27</f>
        <v>6</v>
      </c>
      <c r="BL26" s="9" t="n">
        <f aca="false">MIN(Time!BL28,BL25*12)-Time!BL27</f>
        <v>5</v>
      </c>
      <c r="BM26" s="9" t="n">
        <f aca="false">MIN(Time!BM28,BM25*12)-Time!BM27</f>
        <v>6</v>
      </c>
      <c r="BN26" s="9" t="n">
        <f aca="false">MIN(Time!BN28,BN25*12)-Time!BN27</f>
        <v>5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0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93.8</v>
      </c>
      <c r="R27" s="11" t="n">
        <f aca="false">IF(Time!R25&gt;0,(R26*INDEX(Inputs!$J$223:$Q$223,1,MOD(R25-1,8)+1)+(Time!R25-R26)*INDEX(Inputs!$J$223:$Q$223,1,MOD(R25,8)+1))/Time!R25,0)</f>
        <v>93.65</v>
      </c>
      <c r="S27" s="11" t="n">
        <f aca="false">IF(Time!S25&gt;0,(S26*INDEX(Inputs!$J$223:$Q$223,1,MOD(S25-1,8)+1)+(Time!S25-S26)*INDEX(Inputs!$J$223:$Q$223,1,MOD(S25,8)+1))/Time!S25,0)</f>
        <v>92.9</v>
      </c>
      <c r="T27" s="11" t="n">
        <f aca="false">IF(Time!T25&gt;0,(T26*INDEX(Inputs!$J$223:$Q$223,1,MOD(T25-1,8)+1)+(Time!T25-T26)*INDEX(Inputs!$J$223:$Q$223,1,MOD(T25,8)+1))/Time!T25,0)</f>
        <v>93.05</v>
      </c>
      <c r="U27" s="11" t="n">
        <f aca="false">IF(Time!U25&gt;0,(U26*INDEX(Inputs!$J$223:$Q$223,1,MOD(U25-1,8)+1)+(Time!U25-U26)*INDEX(Inputs!$J$223:$Q$223,1,MOD(U25,8)+1))/Time!U25,0)</f>
        <v>93.8</v>
      </c>
      <c r="V27" s="11" t="n">
        <f aca="false">IF(Time!V25&gt;0,(V26*INDEX(Inputs!$J$223:$Q$223,1,MOD(V25-1,8)+1)+(Time!V25-V26)*INDEX(Inputs!$J$223:$Q$223,1,MOD(V25,8)+1))/Time!V25,0)</f>
        <v>93.2666666666667</v>
      </c>
      <c r="W27" s="11" t="n">
        <f aca="false">IF(Time!W25&gt;0,(W26*INDEX(Inputs!$J$223:$Q$223,1,MOD(W25-1,8)+1)+(Time!W25-W26)*INDEX(Inputs!$J$223:$Q$223,1,MOD(W25,8)+1))/Time!W25,0)</f>
        <v>90.6</v>
      </c>
      <c r="X27" s="11" t="n">
        <f aca="false">IF(Time!X25&gt;0,(X26*INDEX(Inputs!$J$223:$Q$223,1,MOD(X25-1,8)+1)+(Time!X25-X26)*INDEX(Inputs!$J$223:$Q$223,1,MOD(X25,8)+1))/Time!X25,0)</f>
        <v>91.1333333333333</v>
      </c>
      <c r="Y27" s="11" t="n">
        <f aca="false">IF(Time!Y25&gt;0,(Y26*INDEX(Inputs!$J$223:$Q$223,1,MOD(Y25-1,8)+1)+(Time!Y25-Y26)*INDEX(Inputs!$J$223:$Q$223,1,MOD(Y25,8)+1))/Time!Y25,0)</f>
        <v>93.8</v>
      </c>
      <c r="Z27" s="11" t="n">
        <f aca="false">IF(Time!Z25&gt;0,(Z26*INDEX(Inputs!$J$223:$Q$223,1,MOD(Z25-1,8)+1)+(Time!Z25-Z26)*INDEX(Inputs!$J$223:$Q$223,1,MOD(Z25,8)+1))/Time!Z25,0)</f>
        <v>93.65</v>
      </c>
      <c r="AA27" s="11" t="n">
        <f aca="false">IF(Time!AA25&gt;0,(AA26*INDEX(Inputs!$J$223:$Q$223,1,MOD(AA25-1,8)+1)+(Time!AA25-AA26)*INDEX(Inputs!$J$223:$Q$223,1,MOD(AA25,8)+1))/Time!AA25,0)</f>
        <v>92.9</v>
      </c>
      <c r="AB27" s="11" t="n">
        <f aca="false">IF(Time!AB25&gt;0,(AB26*INDEX(Inputs!$J$223:$Q$223,1,MOD(AB25-1,8)+1)+(Time!AB25-AB26)*INDEX(Inputs!$J$223:$Q$223,1,MOD(AB25,8)+1))/Time!AB25,0)</f>
        <v>93.05</v>
      </c>
      <c r="AC27" s="11" t="n">
        <f aca="false">IF(Time!AC25&gt;0,(AC26*INDEX(Inputs!$J$223:$Q$223,1,MOD(AC25-1,8)+1)+(Time!AC25-AC26)*INDEX(Inputs!$J$223:$Q$223,1,MOD(AC25,8)+1))/Time!AC25,0)</f>
        <v>93.8</v>
      </c>
      <c r="AD27" s="11" t="n">
        <f aca="false">IF(Time!AD25&gt;0,(AD26*INDEX(Inputs!$J$223:$Q$223,1,MOD(AD25-1,8)+1)+(Time!AD25-AD26)*INDEX(Inputs!$J$223:$Q$223,1,MOD(AD25,8)+1))/Time!AD25,0)</f>
        <v>92.95</v>
      </c>
      <c r="AE27" s="11" t="n">
        <f aca="false">IF(Time!AE25&gt;0,(AE26*INDEX(Inputs!$J$223:$Q$223,1,MOD(AE25-1,8)+1)+(Time!AE25-AE26)*INDEX(Inputs!$J$223:$Q$223,1,MOD(AE25,8)+1))/Time!AE25,0)</f>
        <v>88.7</v>
      </c>
      <c r="AF27" s="11" t="n">
        <f aca="false">IF(Time!AF25&gt;0,(AF26*INDEX(Inputs!$J$223:$Q$223,1,MOD(AF25-1,8)+1)+(Time!AF25-AF26)*INDEX(Inputs!$J$223:$Q$223,1,MOD(AF25,8)+1))/Time!AF25,0)</f>
        <v>89.55</v>
      </c>
      <c r="AG27" s="11" t="n">
        <f aca="false">IF(Time!AG25&gt;0,(AG26*INDEX(Inputs!$J$223:$Q$223,1,MOD(AG25-1,8)+1)+(Time!AG25-AG26)*INDEX(Inputs!$J$223:$Q$223,1,MOD(AG25,8)+1))/Time!AG25,0)</f>
        <v>93.8</v>
      </c>
      <c r="AH27" s="11" t="n">
        <f aca="false">IF(Time!AH25&gt;0,(AH26*INDEX(Inputs!$J$223:$Q$223,1,MOD(AH25-1,8)+1)+(Time!AH25-AH26)*INDEX(Inputs!$J$223:$Q$223,1,MOD(AH25,8)+1))/Time!AH25,0)</f>
        <v>93.65</v>
      </c>
      <c r="AI27" s="11" t="n">
        <f aca="false">IF(Time!AI25&gt;0,(AI26*INDEX(Inputs!$J$223:$Q$223,1,MOD(AI25-1,8)+1)+(Time!AI25-AI26)*INDEX(Inputs!$J$223:$Q$223,1,MOD(AI25,8)+1))/Time!AI25,0)</f>
        <v>92.9</v>
      </c>
      <c r="AJ27" s="11" t="n">
        <f aca="false">IF(Time!AJ25&gt;0,(AJ26*INDEX(Inputs!$J$223:$Q$223,1,MOD(AJ25-1,8)+1)+(Time!AJ25-AJ26)*INDEX(Inputs!$J$223:$Q$223,1,MOD(AJ25,8)+1))/Time!AJ25,0)</f>
        <v>93.05</v>
      </c>
      <c r="AK27" s="11" t="n">
        <f aca="false">IF(Time!AK25&gt;0,(AK26*INDEX(Inputs!$J$223:$Q$223,1,MOD(AK25-1,8)+1)+(Time!AK25-AK26)*INDEX(Inputs!$J$223:$Q$223,1,MOD(AK25,8)+1))/Time!AK25,0)</f>
        <v>93.8</v>
      </c>
      <c r="AL27" s="11" t="n">
        <f aca="false">IF(Time!AL25&gt;0,(AL26*INDEX(Inputs!$J$223:$Q$223,1,MOD(AL25-1,8)+1)+(Time!AL25-AL26)*INDEX(Inputs!$J$223:$Q$223,1,MOD(AL25,8)+1))/Time!AL25,0)</f>
        <v>93.2666666666667</v>
      </c>
      <c r="AM27" s="11" t="n">
        <f aca="false">IF(Time!AM25&gt;0,(AM26*INDEX(Inputs!$J$223:$Q$223,1,MOD(AM25-1,8)+1)+(Time!AM25-AM26)*INDEX(Inputs!$J$223:$Q$223,1,MOD(AM25,8)+1))/Time!AM25,0)</f>
        <v>90.6</v>
      </c>
      <c r="AN27" s="11" t="n">
        <f aca="false">IF(Time!AN25&gt;0,(AN26*INDEX(Inputs!$J$223:$Q$223,1,MOD(AN25-1,8)+1)+(Time!AN25-AN26)*INDEX(Inputs!$J$223:$Q$223,1,MOD(AN25,8)+1))/Time!AN25,0)</f>
        <v>91.1333333333333</v>
      </c>
      <c r="AO27" s="11" t="n">
        <f aca="false">IF(Time!AO25&gt;0,(AO26*INDEX(Inputs!$J$223:$Q$223,1,MOD(AO25-1,8)+1)+(Time!AO25-AO26)*INDEX(Inputs!$J$223:$Q$223,1,MOD(AO25,8)+1))/Time!AO25,0)</f>
        <v>93.8</v>
      </c>
      <c r="AP27" s="11" t="n">
        <f aca="false">IF(Time!AP25&gt;0,(AP26*INDEX(Inputs!$J$223:$Q$223,1,MOD(AP25-1,8)+1)+(Time!AP25-AP26)*INDEX(Inputs!$J$223:$Q$223,1,MOD(AP25,8)+1))/Time!AP25,0)</f>
        <v>93.65</v>
      </c>
      <c r="AQ27" s="11" t="n">
        <f aca="false">IF(Time!AQ25&gt;0,(AQ26*INDEX(Inputs!$J$223:$Q$223,1,MOD(AQ25-1,8)+1)+(Time!AQ25-AQ26)*INDEX(Inputs!$J$223:$Q$223,1,MOD(AQ25,8)+1))/Time!AQ25,0)</f>
        <v>92.9</v>
      </c>
      <c r="AR27" s="11" t="n">
        <f aca="false">IF(Time!AR25&gt;0,(AR26*INDEX(Inputs!$J$223:$Q$223,1,MOD(AR25-1,8)+1)+(Time!AR25-AR26)*INDEX(Inputs!$J$223:$Q$223,1,MOD(AR25,8)+1))/Time!AR25,0)</f>
        <v>93.05</v>
      </c>
      <c r="AS27" s="11" t="n">
        <f aca="false">IF(Time!AS25&gt;0,(AS26*INDEX(Inputs!$J$223:$Q$223,1,MOD(AS25-1,8)+1)+(Time!AS25-AS26)*INDEX(Inputs!$J$223:$Q$223,1,MOD(AS25,8)+1))/Time!AS25,0)</f>
        <v>93.8</v>
      </c>
      <c r="AT27" s="11" t="n">
        <f aca="false">IF(Time!AT25&gt;0,(AT26*INDEX(Inputs!$J$223:$Q$223,1,MOD(AT25-1,8)+1)+(Time!AT25-AT26)*INDEX(Inputs!$J$223:$Q$223,1,MOD(AT25,8)+1))/Time!AT25,0)</f>
        <v>92.95</v>
      </c>
      <c r="AU27" s="11" t="n">
        <f aca="false">IF(Time!AU25&gt;0,(AU26*INDEX(Inputs!$J$223:$Q$223,1,MOD(AU25-1,8)+1)+(Time!AU25-AU26)*INDEX(Inputs!$J$223:$Q$223,1,MOD(AU25,8)+1))/Time!AU25,0)</f>
        <v>88.7</v>
      </c>
      <c r="AV27" s="11" t="n">
        <f aca="false">IF(Time!AV25&gt;0,(AV26*INDEX(Inputs!$J$223:$Q$223,1,MOD(AV25-1,8)+1)+(Time!AV25-AV26)*INDEX(Inputs!$J$223:$Q$223,1,MOD(AV25,8)+1))/Time!AV25,0)</f>
        <v>89.55</v>
      </c>
      <c r="AW27" s="11" t="n">
        <f aca="false">IF(Time!AW25&gt;0,(AW26*INDEX(Inputs!$J$223:$Q$223,1,MOD(AW25-1,8)+1)+(Time!AW25-AW26)*INDEX(Inputs!$J$223:$Q$223,1,MOD(AW25,8)+1))/Time!AW25,0)</f>
        <v>93.8</v>
      </c>
      <c r="AX27" s="11" t="n">
        <f aca="false">IF(Time!AX25&gt;0,(AX26*INDEX(Inputs!$J$223:$Q$223,1,MOD(AX25-1,8)+1)+(Time!AX25-AX26)*INDEX(Inputs!$J$223:$Q$223,1,MOD(AX25,8)+1))/Time!AX25,0)</f>
        <v>93.65</v>
      </c>
      <c r="AY27" s="11" t="n">
        <f aca="false">IF(Time!AY25&gt;0,(AY26*INDEX(Inputs!$J$223:$Q$223,1,MOD(AY25-1,8)+1)+(Time!AY25-AY26)*INDEX(Inputs!$J$223:$Q$223,1,MOD(AY25,8)+1))/Time!AY25,0)</f>
        <v>92.9</v>
      </c>
      <c r="AZ27" s="11" t="n">
        <f aca="false">IF(Time!AZ25&gt;0,(AZ26*INDEX(Inputs!$J$223:$Q$223,1,MOD(AZ25-1,8)+1)+(Time!AZ25-AZ26)*INDEX(Inputs!$J$223:$Q$223,1,MOD(AZ25,8)+1))/Time!AZ25,0)</f>
        <v>93.05</v>
      </c>
      <c r="BA27" s="11" t="n">
        <f aca="false">IF(Time!BA25&gt;0,(BA26*INDEX(Inputs!$J$223:$Q$223,1,MOD(BA25-1,8)+1)+(Time!BA25-BA26)*INDEX(Inputs!$J$223:$Q$223,1,MOD(BA25,8)+1))/Time!BA25,0)</f>
        <v>93.8</v>
      </c>
      <c r="BB27" s="11" t="n">
        <f aca="false">IF(Time!BB25&gt;0,(BB26*INDEX(Inputs!$J$223:$Q$223,1,MOD(BB25-1,8)+1)+(Time!BB25-BB26)*INDEX(Inputs!$J$223:$Q$223,1,MOD(BB25,8)+1))/Time!BB25,0)</f>
        <v>93.2666666666667</v>
      </c>
      <c r="BC27" s="11" t="n">
        <f aca="false">IF(Time!BC25&gt;0,(BC26*INDEX(Inputs!$J$223:$Q$223,1,MOD(BC25-1,8)+1)+(Time!BC25-BC26)*INDEX(Inputs!$J$223:$Q$223,1,MOD(BC25,8)+1))/Time!BC25,0)</f>
        <v>90.6</v>
      </c>
      <c r="BD27" s="11" t="n">
        <f aca="false">IF(Time!BD25&gt;0,(BD26*INDEX(Inputs!$J$223:$Q$223,1,MOD(BD25-1,8)+1)+(Time!BD25-BD26)*INDEX(Inputs!$J$223:$Q$223,1,MOD(BD25,8)+1))/Time!BD25,0)</f>
        <v>91.1333333333333</v>
      </c>
      <c r="BE27" s="11" t="n">
        <f aca="false">IF(Time!BE25&gt;0,(BE26*INDEX(Inputs!$J$223:$Q$223,1,MOD(BE25-1,8)+1)+(Time!BE25-BE26)*INDEX(Inputs!$J$223:$Q$223,1,MOD(BE25,8)+1))/Time!BE25,0)</f>
        <v>93.8</v>
      </c>
      <c r="BF27" s="11" t="n">
        <f aca="false">IF(Time!BF25&gt;0,(BF26*INDEX(Inputs!$J$223:$Q$223,1,MOD(BF25-1,8)+1)+(Time!BF25-BF26)*INDEX(Inputs!$J$223:$Q$223,1,MOD(BF25,8)+1))/Time!BF25,0)</f>
        <v>93.65</v>
      </c>
      <c r="BG27" s="11" t="n">
        <f aca="false">IF(Time!BG25&gt;0,(BG26*INDEX(Inputs!$J$223:$Q$223,1,MOD(BG25-1,8)+1)+(Time!BG25-BG26)*INDEX(Inputs!$J$223:$Q$223,1,MOD(BG25,8)+1))/Time!BG25,0)</f>
        <v>92.9</v>
      </c>
      <c r="BH27" s="11" t="n">
        <f aca="false">IF(Time!BH25&gt;0,(BH26*INDEX(Inputs!$J$223:$Q$223,1,MOD(BH25-1,8)+1)+(Time!BH25-BH26)*INDEX(Inputs!$J$223:$Q$223,1,MOD(BH25,8)+1))/Time!BH25,0)</f>
        <v>93.05</v>
      </c>
      <c r="BI27" s="11" t="n">
        <f aca="false">IF(Time!BI25&gt;0,(BI26*INDEX(Inputs!$J$223:$Q$223,1,MOD(BI25-1,8)+1)+(Time!BI25-BI26)*INDEX(Inputs!$J$223:$Q$223,1,MOD(BI25,8)+1))/Time!BI25,0)</f>
        <v>93.8</v>
      </c>
      <c r="BJ27" s="11" t="n">
        <f aca="false">IF(Time!BJ25&gt;0,(BJ26*INDEX(Inputs!$J$223:$Q$223,1,MOD(BJ25-1,8)+1)+(Time!BJ25-BJ26)*INDEX(Inputs!$J$223:$Q$223,1,MOD(BJ25,8)+1))/Time!BJ25,0)</f>
        <v>92.95</v>
      </c>
      <c r="BK27" s="11" t="n">
        <f aca="false">IF(Time!BK25&gt;0,(BK26*INDEX(Inputs!$J$223:$Q$223,1,MOD(BK25-1,8)+1)+(Time!BK25-BK26)*INDEX(Inputs!$J$223:$Q$223,1,MOD(BK25,8)+1))/Time!BK25,0)</f>
        <v>88.7</v>
      </c>
      <c r="BL27" s="11" t="n">
        <f aca="false">IF(Time!BL25&gt;0,(BL26*INDEX(Inputs!$J$223:$Q$223,1,MOD(BL25-1,8)+1)+(Time!BL25-BL26)*INDEX(Inputs!$J$223:$Q$223,1,MOD(BL25,8)+1))/Time!BL25,0)</f>
        <v>89.55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93.8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0</v>
      </c>
      <c r="P28" s="11" t="n">
        <f aca="false">IF(Time!P25&gt;0,P27+Inputs!$F$36,0)</f>
        <v>93.8</v>
      </c>
      <c r="Q28" s="11" t="n">
        <f aca="false">IF(Time!Q25&gt;0,Q27+Inputs!$F$36,0)</f>
        <v>93.8</v>
      </c>
      <c r="R28" s="11" t="n">
        <f aca="false">IF(Time!R25&gt;0,R27+Inputs!$F$36,0)</f>
        <v>93.65</v>
      </c>
      <c r="S28" s="11" t="n">
        <f aca="false">IF(Time!S25&gt;0,S27+Inputs!$F$36,0)</f>
        <v>92.9</v>
      </c>
      <c r="T28" s="11" t="n">
        <f aca="false">IF(Time!T25&gt;0,T27+Inputs!$F$36,0)</f>
        <v>93.05</v>
      </c>
      <c r="U28" s="11" t="n">
        <f aca="false">IF(Time!U25&gt;0,U27+Inputs!$F$36,0)</f>
        <v>93.8</v>
      </c>
      <c r="V28" s="11" t="n">
        <f aca="false">IF(Time!V25&gt;0,V27+Inputs!$F$36,0)</f>
        <v>93.2666666666667</v>
      </c>
      <c r="W28" s="11" t="n">
        <f aca="false">IF(Time!W25&gt;0,W27+Inputs!$F$36,0)</f>
        <v>90.6</v>
      </c>
      <c r="X28" s="11" t="n">
        <f aca="false">IF(Time!X25&gt;0,X27+Inputs!$F$36,0)</f>
        <v>91.1333333333333</v>
      </c>
      <c r="Y28" s="11" t="n">
        <f aca="false">IF(Time!Y25&gt;0,Y27+Inputs!$F$36,0)</f>
        <v>93.8</v>
      </c>
      <c r="Z28" s="11" t="n">
        <f aca="false">IF(Time!Z25&gt;0,Z27+Inputs!$F$36,0)</f>
        <v>93.65</v>
      </c>
      <c r="AA28" s="11" t="n">
        <f aca="false">IF(Time!AA25&gt;0,AA27+Inputs!$F$36,0)</f>
        <v>92.9</v>
      </c>
      <c r="AB28" s="11" t="n">
        <f aca="false">IF(Time!AB25&gt;0,AB27+Inputs!$F$36,0)</f>
        <v>93.05</v>
      </c>
      <c r="AC28" s="11" t="n">
        <f aca="false">IF(Time!AC25&gt;0,AC27+Inputs!$F$36,0)</f>
        <v>93.8</v>
      </c>
      <c r="AD28" s="11" t="n">
        <f aca="false">IF(Time!AD25&gt;0,AD27+Inputs!$F$36,0)</f>
        <v>92.95</v>
      </c>
      <c r="AE28" s="11" t="n">
        <f aca="false">IF(Time!AE25&gt;0,AE27+Inputs!$F$36,0)</f>
        <v>88.7</v>
      </c>
      <c r="AF28" s="11" t="n">
        <f aca="false">IF(Time!AF25&gt;0,AF27+Inputs!$F$36,0)</f>
        <v>89.55</v>
      </c>
      <c r="AG28" s="11" t="n">
        <f aca="false">IF(Time!AG25&gt;0,AG27+Inputs!$F$36,0)</f>
        <v>93.8</v>
      </c>
      <c r="AH28" s="11" t="n">
        <f aca="false">IF(Time!AH25&gt;0,AH27+Inputs!$F$36,0)</f>
        <v>93.65</v>
      </c>
      <c r="AI28" s="11" t="n">
        <f aca="false">IF(Time!AI25&gt;0,AI27+Inputs!$F$36,0)</f>
        <v>92.9</v>
      </c>
      <c r="AJ28" s="11" t="n">
        <f aca="false">IF(Time!AJ25&gt;0,AJ27+Inputs!$F$36,0)</f>
        <v>93.05</v>
      </c>
      <c r="AK28" s="11" t="n">
        <f aca="false">IF(Time!AK25&gt;0,AK27+Inputs!$F$36,0)</f>
        <v>93.8</v>
      </c>
      <c r="AL28" s="11" t="n">
        <f aca="false">IF(Time!AL25&gt;0,AL27+Inputs!$F$36,0)</f>
        <v>93.2666666666667</v>
      </c>
      <c r="AM28" s="11" t="n">
        <f aca="false">IF(Time!AM25&gt;0,AM27+Inputs!$F$36,0)</f>
        <v>90.6</v>
      </c>
      <c r="AN28" s="11" t="n">
        <f aca="false">IF(Time!AN25&gt;0,AN27+Inputs!$F$36,0)</f>
        <v>91.1333333333333</v>
      </c>
      <c r="AO28" s="11" t="n">
        <f aca="false">IF(Time!AO25&gt;0,AO27+Inputs!$F$36,0)</f>
        <v>93.8</v>
      </c>
      <c r="AP28" s="11" t="n">
        <f aca="false">IF(Time!AP25&gt;0,AP27+Inputs!$F$36,0)</f>
        <v>93.65</v>
      </c>
      <c r="AQ28" s="11" t="n">
        <f aca="false">IF(Time!AQ25&gt;0,AQ27+Inputs!$F$36,0)</f>
        <v>92.9</v>
      </c>
      <c r="AR28" s="11" t="n">
        <f aca="false">IF(Time!AR25&gt;0,AR27+Inputs!$F$36,0)</f>
        <v>93.05</v>
      </c>
      <c r="AS28" s="11" t="n">
        <f aca="false">IF(Time!AS25&gt;0,AS27+Inputs!$F$36,0)</f>
        <v>93.8</v>
      </c>
      <c r="AT28" s="11" t="n">
        <f aca="false">IF(Time!AT25&gt;0,AT27+Inputs!$F$36,0)</f>
        <v>92.95</v>
      </c>
      <c r="AU28" s="11" t="n">
        <f aca="false">IF(Time!AU25&gt;0,AU27+Inputs!$F$36,0)</f>
        <v>88.7</v>
      </c>
      <c r="AV28" s="11" t="n">
        <f aca="false">IF(Time!AV25&gt;0,AV27+Inputs!$F$36,0)</f>
        <v>89.55</v>
      </c>
      <c r="AW28" s="11" t="n">
        <f aca="false">IF(Time!AW25&gt;0,AW27+Inputs!$F$36,0)</f>
        <v>93.8</v>
      </c>
      <c r="AX28" s="11" t="n">
        <f aca="false">IF(Time!AX25&gt;0,AX27+Inputs!$F$36,0)</f>
        <v>93.65</v>
      </c>
      <c r="AY28" s="11" t="n">
        <f aca="false">IF(Time!AY25&gt;0,AY27+Inputs!$F$36,0)</f>
        <v>92.9</v>
      </c>
      <c r="AZ28" s="11" t="n">
        <f aca="false">IF(Time!AZ25&gt;0,AZ27+Inputs!$F$36,0)</f>
        <v>93.05</v>
      </c>
      <c r="BA28" s="11" t="n">
        <f aca="false">IF(Time!BA25&gt;0,BA27+Inputs!$F$36,0)</f>
        <v>93.8</v>
      </c>
      <c r="BB28" s="11" t="n">
        <f aca="false">IF(Time!BB25&gt;0,BB27+Inputs!$F$36,0)</f>
        <v>93.2666666666667</v>
      </c>
      <c r="BC28" s="11" t="n">
        <f aca="false">IF(Time!BC25&gt;0,BC27+Inputs!$F$36,0)</f>
        <v>90.6</v>
      </c>
      <c r="BD28" s="11" t="n">
        <f aca="false">IF(Time!BD25&gt;0,BD27+Inputs!$F$36,0)</f>
        <v>91.1333333333333</v>
      </c>
      <c r="BE28" s="11" t="n">
        <f aca="false">IF(Time!BE25&gt;0,BE27+Inputs!$F$36,0)</f>
        <v>93.8</v>
      </c>
      <c r="BF28" s="11" t="n">
        <f aca="false">IF(Time!BF25&gt;0,BF27+Inputs!$F$36,0)</f>
        <v>93.65</v>
      </c>
      <c r="BG28" s="11" t="n">
        <f aca="false">IF(Time!BG25&gt;0,BG27+Inputs!$F$36,0)</f>
        <v>92.9</v>
      </c>
      <c r="BH28" s="11" t="n">
        <f aca="false">IF(Time!BH25&gt;0,BH27+Inputs!$F$36,0)</f>
        <v>93.05</v>
      </c>
      <c r="BI28" s="11" t="n">
        <f aca="false">IF(Time!BI25&gt;0,BI27+Inputs!$F$36,0)</f>
        <v>93.8</v>
      </c>
      <c r="BJ28" s="11" t="n">
        <f aca="false">IF(Time!BJ25&gt;0,BJ27+Inputs!$F$36,0)</f>
        <v>92.95</v>
      </c>
      <c r="BK28" s="11" t="n">
        <f aca="false">IF(Time!BK25&gt;0,BK27+Inputs!$F$36,0)</f>
        <v>88.7</v>
      </c>
      <c r="BL28" s="11" t="n">
        <f aca="false">IF(Time!BL25&gt;0,BL27+Inputs!$F$36,0)</f>
        <v>89.55</v>
      </c>
      <c r="BM28" s="11" t="n">
        <f aca="false">IF(Time!BM25&gt;0,BM27+Inputs!$F$36,0)</f>
        <v>93.8</v>
      </c>
      <c r="BN28" s="11" t="n">
        <f aca="false">IF(Time!BN25&gt;0,BN27+Inputs!$F$36,0)</f>
        <v>93.8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</v>
      </c>
      <c r="P29" s="11" t="n">
        <f aca="false">IF(Time!P25&gt;0,(Time!P27+Time!P28)/24,0)</f>
        <v>0.0416666666666667</v>
      </c>
      <c r="Q29" s="11" t="n">
        <f aca="false">IF(Time!Q25&gt;0,(Time!Q27+Time!Q28)/24,0)</f>
        <v>0.333333333333333</v>
      </c>
      <c r="R29" s="11" t="n">
        <f aca="false">IF(Time!R25&gt;0,(Time!R27+Time!R28)/24,0)</f>
        <v>0.833333333333333</v>
      </c>
      <c r="S29" s="11" t="n">
        <f aca="false">IF(Time!S25&gt;0,(Time!S27+Time!S28)/24,0)</f>
        <v>1.33333333333333</v>
      </c>
      <c r="T29" s="11" t="n">
        <f aca="false">IF(Time!T25&gt;0,(Time!T27+Time!T28)/24,0)</f>
        <v>1.83333333333333</v>
      </c>
      <c r="U29" s="11" t="n">
        <f aca="false">IF(Time!U25&gt;0,(Time!U27+Time!U28)/24,0)</f>
        <v>2.33333333333333</v>
      </c>
      <c r="V29" s="11" t="n">
        <f aca="false">IF(Time!V25&gt;0,(Time!V27+Time!V28)/24,0)</f>
        <v>2.83333333333333</v>
      </c>
      <c r="W29" s="11" t="n">
        <f aca="false">IF(Time!W25&gt;0,(Time!W27+Time!W28)/24,0)</f>
        <v>3.33333333333333</v>
      </c>
      <c r="X29" s="11" t="n">
        <f aca="false">IF(Time!X25&gt;0,(Time!X27+Time!X28)/24,0)</f>
        <v>3.83333333333333</v>
      </c>
      <c r="Y29" s="11" t="n">
        <f aca="false">IF(Time!Y25&gt;0,(Time!Y27+Time!Y28)/24,0)</f>
        <v>4.33333333333333</v>
      </c>
      <c r="Z29" s="11" t="n">
        <f aca="false">IF(Time!Z25&gt;0,(Time!Z27+Time!Z28)/24,0)</f>
        <v>4.83333333333333</v>
      </c>
      <c r="AA29" s="11" t="n">
        <f aca="false">IF(Time!AA25&gt;0,(Time!AA27+Time!AA28)/24,0)</f>
        <v>5.33333333333333</v>
      </c>
      <c r="AB29" s="11" t="n">
        <f aca="false">IF(Time!AB25&gt;0,(Time!AB27+Time!AB28)/24,0)</f>
        <v>5.83333333333333</v>
      </c>
      <c r="AC29" s="11" t="n">
        <f aca="false">IF(Time!AC25&gt;0,(Time!AC27+Time!AC28)/24,0)</f>
        <v>6.33333333333333</v>
      </c>
      <c r="AD29" s="11" t="n">
        <f aca="false">IF(Time!AD25&gt;0,(Time!AD27+Time!AD28)/24,0)</f>
        <v>6.83333333333333</v>
      </c>
      <c r="AE29" s="11" t="n">
        <f aca="false">IF(Time!AE25&gt;0,(Time!AE27+Time!AE28)/24,0)</f>
        <v>7.33333333333333</v>
      </c>
      <c r="AF29" s="11" t="n">
        <f aca="false">IF(Time!AF25&gt;0,(Time!AF27+Time!AF28)/24,0)</f>
        <v>7.83333333333333</v>
      </c>
      <c r="AG29" s="11" t="n">
        <f aca="false">IF(Time!AG25&gt;0,(Time!AG27+Time!AG28)/24,0)</f>
        <v>8.33333333333333</v>
      </c>
      <c r="AH29" s="11" t="n">
        <f aca="false">IF(Time!AH25&gt;0,(Time!AH27+Time!AH28)/24,0)</f>
        <v>8.83333333333333</v>
      </c>
      <c r="AI29" s="11" t="n">
        <f aca="false">IF(Time!AI25&gt;0,(Time!AI27+Time!AI28)/24,0)</f>
        <v>9.33333333333333</v>
      </c>
      <c r="AJ29" s="11" t="n">
        <f aca="false">IF(Time!AJ25&gt;0,(Time!AJ27+Time!AJ28)/24,0)</f>
        <v>9.83333333333333</v>
      </c>
      <c r="AK29" s="11" t="n">
        <f aca="false">IF(Time!AK25&gt;0,(Time!AK27+Time!AK28)/24,0)</f>
        <v>10.3333333333333</v>
      </c>
      <c r="AL29" s="11" t="n">
        <f aca="false">IF(Time!AL25&gt;0,(Time!AL27+Time!AL28)/24,0)</f>
        <v>10.8333333333333</v>
      </c>
      <c r="AM29" s="11" t="n">
        <f aca="false">IF(Time!AM25&gt;0,(Time!AM27+Time!AM28)/24,0)</f>
        <v>11.3333333333333</v>
      </c>
      <c r="AN29" s="11" t="n">
        <f aca="false">IF(Time!AN25&gt;0,(Time!AN27+Time!AN28)/24,0)</f>
        <v>11.8333333333333</v>
      </c>
      <c r="AO29" s="11" t="n">
        <f aca="false">IF(Time!AO25&gt;0,(Time!AO27+Time!AO28)/24,0)</f>
        <v>12.3333333333333</v>
      </c>
      <c r="AP29" s="11" t="n">
        <f aca="false">IF(Time!AP25&gt;0,(Time!AP27+Time!AP28)/24,0)</f>
        <v>12.8333333333333</v>
      </c>
      <c r="AQ29" s="11" t="n">
        <f aca="false">IF(Time!AQ25&gt;0,(Time!AQ27+Time!AQ28)/24,0)</f>
        <v>13.3333333333333</v>
      </c>
      <c r="AR29" s="11" t="n">
        <f aca="false">IF(Time!AR25&gt;0,(Time!AR27+Time!AR28)/24,0)</f>
        <v>13.8333333333333</v>
      </c>
      <c r="AS29" s="11" t="n">
        <f aca="false">IF(Time!AS25&gt;0,(Time!AS27+Time!AS28)/24,0)</f>
        <v>14.3333333333333</v>
      </c>
      <c r="AT29" s="11" t="n">
        <f aca="false">IF(Time!AT25&gt;0,(Time!AT27+Time!AT28)/24,0)</f>
        <v>14.8333333333333</v>
      </c>
      <c r="AU29" s="11" t="n">
        <f aca="false">IF(Time!AU25&gt;0,(Time!AU27+Time!AU28)/24,0)</f>
        <v>15.3333333333333</v>
      </c>
      <c r="AV29" s="11" t="n">
        <f aca="false">IF(Time!AV25&gt;0,(Time!AV27+Time!AV28)/24,0)</f>
        <v>15.8333333333333</v>
      </c>
      <c r="AW29" s="11" t="n">
        <f aca="false">IF(Time!AW25&gt;0,(Time!AW27+Time!AW28)/24,0)</f>
        <v>16.3333333333333</v>
      </c>
      <c r="AX29" s="11" t="n">
        <f aca="false">IF(Time!AX25&gt;0,(Time!AX27+Time!AX28)/24,0)</f>
        <v>16.8333333333333</v>
      </c>
      <c r="AY29" s="11" t="n">
        <f aca="false">IF(Time!AY25&gt;0,(Time!AY27+Time!AY28)/24,0)</f>
        <v>17.3333333333333</v>
      </c>
      <c r="AZ29" s="11" t="n">
        <f aca="false">IF(Time!AZ25&gt;0,(Time!AZ27+Time!AZ28)/24,0)</f>
        <v>17.8333333333333</v>
      </c>
      <c r="BA29" s="11" t="n">
        <f aca="false">IF(Time!BA25&gt;0,(Time!BA27+Time!BA28)/24,0)</f>
        <v>18.3333333333333</v>
      </c>
      <c r="BB29" s="11" t="n">
        <f aca="false">IF(Time!BB25&gt;0,(Time!BB27+Time!BB28)/24,0)</f>
        <v>18.8333333333333</v>
      </c>
      <c r="BC29" s="11" t="n">
        <f aca="false">IF(Time!BC25&gt;0,(Time!BC27+Time!BC28)/24,0)</f>
        <v>19.3333333333333</v>
      </c>
      <c r="BD29" s="11" t="n">
        <f aca="false">IF(Time!BD25&gt;0,(Time!BD27+Time!BD28)/24,0)</f>
        <v>19.8333333333333</v>
      </c>
      <c r="BE29" s="11" t="n">
        <f aca="false">IF(Time!BE25&gt;0,(Time!BE27+Time!BE28)/24,0)</f>
        <v>20.3333333333333</v>
      </c>
      <c r="BF29" s="11" t="n">
        <f aca="false">IF(Time!BF25&gt;0,(Time!BF27+Time!BF28)/24,0)</f>
        <v>20.8333333333333</v>
      </c>
      <c r="BG29" s="11" t="n">
        <f aca="false">IF(Time!BG25&gt;0,(Time!BG27+Time!BG28)/24,0)</f>
        <v>21.3333333333333</v>
      </c>
      <c r="BH29" s="11" t="n">
        <f aca="false">IF(Time!BH25&gt;0,(Time!BH27+Time!BH28)/24,0)</f>
        <v>21.8333333333333</v>
      </c>
      <c r="BI29" s="11" t="n">
        <f aca="false">IF(Time!BI25&gt;0,(Time!BI27+Time!BI28)/24,0)</f>
        <v>22.3333333333333</v>
      </c>
      <c r="BJ29" s="11" t="n">
        <f aca="false">IF(Time!BJ25&gt;0,(Time!BJ27+Time!BJ28)/24,0)</f>
        <v>22.8333333333333</v>
      </c>
      <c r="BK29" s="11" t="n">
        <f aca="false">IF(Time!BK25&gt;0,(Time!BK27+Time!BK28)/24,0)</f>
        <v>23.3333333333333</v>
      </c>
      <c r="BL29" s="11" t="n">
        <f aca="false">IF(Time!BL25&gt;0,(Time!BL27+Time!BL28)/24,0)</f>
        <v>23.8333333333333</v>
      </c>
      <c r="BM29" s="11" t="n">
        <f aca="false">IF(Time!BM25&gt;0,(Time!BM27+Time!BM28)/24,0)</f>
        <v>24.3333333333333</v>
      </c>
      <c r="BN29" s="11" t="n">
        <f aca="false">IF(Time!BN25&gt;0,(Time!BN27+Time!BN28)/24,0)</f>
        <v>24.7916666666667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581.9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6286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0.99</v>
      </c>
      <c r="P32" s="11" t="n">
        <f aca="false">(1-Inputs!$F$123/100*P29)*(1-Inputs!$F$124/100)</f>
        <v>0.989938125</v>
      </c>
      <c r="Q32" s="11" t="n">
        <f aca="false">(1-Inputs!$F$123/100*Q29)*(1-Inputs!$F$124/100)</f>
        <v>0.989505</v>
      </c>
      <c r="R32" s="11" t="n">
        <f aca="false">(1-Inputs!$F$123/100*R29)*(1-Inputs!$F$124/100)</f>
        <v>0.9887625</v>
      </c>
      <c r="S32" s="11" t="n">
        <f aca="false">(1-Inputs!$F$123/100*S29)*(1-Inputs!$F$124/100)</f>
        <v>0.98802</v>
      </c>
      <c r="T32" s="11" t="n">
        <f aca="false">(1-Inputs!$F$123/100*T29)*(1-Inputs!$F$124/100)</f>
        <v>0.9872775</v>
      </c>
      <c r="U32" s="11" t="n">
        <f aca="false">(1-Inputs!$F$123/100*U29)*(1-Inputs!$F$124/100)</f>
        <v>0.986535</v>
      </c>
      <c r="V32" s="11" t="n">
        <f aca="false">(1-Inputs!$F$123/100*V29)*(1-Inputs!$F$124/100)</f>
        <v>0.9857925</v>
      </c>
      <c r="W32" s="11" t="n">
        <f aca="false">(1-Inputs!$F$123/100*W29)*(1-Inputs!$F$124/100)</f>
        <v>0.98505</v>
      </c>
      <c r="X32" s="11" t="n">
        <f aca="false">(1-Inputs!$F$123/100*X29)*(1-Inputs!$F$124/100)</f>
        <v>0.9843075</v>
      </c>
      <c r="Y32" s="11" t="n">
        <f aca="false">(1-Inputs!$F$123/100*Y29)*(1-Inputs!$F$124/100)</f>
        <v>0.983565</v>
      </c>
      <c r="Z32" s="11" t="n">
        <f aca="false">(1-Inputs!$F$123/100*Z29)*(1-Inputs!$F$124/100)</f>
        <v>0.9828225</v>
      </c>
      <c r="AA32" s="11" t="n">
        <f aca="false">(1-Inputs!$F$123/100*AA29)*(1-Inputs!$F$124/100)</f>
        <v>0.98208</v>
      </c>
      <c r="AB32" s="11" t="n">
        <f aca="false">(1-Inputs!$F$123/100*AB29)*(1-Inputs!$F$124/100)</f>
        <v>0.9813375</v>
      </c>
      <c r="AC32" s="11" t="n">
        <f aca="false">(1-Inputs!$F$123/100*AC29)*(1-Inputs!$F$124/100)</f>
        <v>0.980595</v>
      </c>
      <c r="AD32" s="11" t="n">
        <f aca="false">(1-Inputs!$F$123/100*AD29)*(1-Inputs!$F$124/100)</f>
        <v>0.9798525</v>
      </c>
      <c r="AE32" s="11" t="n">
        <f aca="false">(1-Inputs!$F$123/100*AE29)*(1-Inputs!$F$124/100)</f>
        <v>0.97911</v>
      </c>
      <c r="AF32" s="11" t="n">
        <f aca="false">(1-Inputs!$F$123/100*AF29)*(1-Inputs!$F$124/100)</f>
        <v>0.9783675</v>
      </c>
      <c r="AG32" s="11" t="n">
        <f aca="false">(1-Inputs!$F$123/100*AG29)*(1-Inputs!$F$124/100)</f>
        <v>0.977625</v>
      </c>
      <c r="AH32" s="11" t="n">
        <f aca="false">(1-Inputs!$F$123/100*AH29)*(1-Inputs!$F$124/100)</f>
        <v>0.9768825</v>
      </c>
      <c r="AI32" s="11" t="n">
        <f aca="false">(1-Inputs!$F$123/100*AI29)*(1-Inputs!$F$124/100)</f>
        <v>0.97614</v>
      </c>
      <c r="AJ32" s="11" t="n">
        <f aca="false">(1-Inputs!$F$123/100*AJ29)*(1-Inputs!$F$124/100)</f>
        <v>0.9753975</v>
      </c>
      <c r="AK32" s="11" t="n">
        <f aca="false">(1-Inputs!$F$123/100*AK29)*(1-Inputs!$F$124/100)</f>
        <v>0.974655</v>
      </c>
      <c r="AL32" s="11" t="n">
        <f aca="false">(1-Inputs!$F$123/100*AL29)*(1-Inputs!$F$124/100)</f>
        <v>0.9739125</v>
      </c>
      <c r="AM32" s="11" t="n">
        <f aca="false">(1-Inputs!$F$123/100*AM29)*(1-Inputs!$F$124/100)</f>
        <v>0.97317</v>
      </c>
      <c r="AN32" s="11" t="n">
        <f aca="false">(1-Inputs!$F$123/100*AN29)*(1-Inputs!$F$124/100)</f>
        <v>0.9724275</v>
      </c>
      <c r="AO32" s="11" t="n">
        <f aca="false">(1-Inputs!$F$123/100*AO29)*(1-Inputs!$F$124/100)</f>
        <v>0.971685</v>
      </c>
      <c r="AP32" s="11" t="n">
        <f aca="false">(1-Inputs!$F$123/100*AP29)*(1-Inputs!$F$124/100)</f>
        <v>0.9709425</v>
      </c>
      <c r="AQ32" s="11" t="n">
        <f aca="false">(1-Inputs!$F$123/100*AQ29)*(1-Inputs!$F$124/100)</f>
        <v>0.9702</v>
      </c>
      <c r="AR32" s="11" t="n">
        <f aca="false">(1-Inputs!$F$123/100*AR29)*(1-Inputs!$F$124/100)</f>
        <v>0.9694575</v>
      </c>
      <c r="AS32" s="11" t="n">
        <f aca="false">(1-Inputs!$F$123/100*AS29)*(1-Inputs!$F$124/100)</f>
        <v>0.968715</v>
      </c>
      <c r="AT32" s="11" t="n">
        <f aca="false">(1-Inputs!$F$123/100*AT29)*(1-Inputs!$F$124/100)</f>
        <v>0.9679725</v>
      </c>
      <c r="AU32" s="11" t="n">
        <f aca="false">(1-Inputs!$F$123/100*AU29)*(1-Inputs!$F$124/100)</f>
        <v>0.96723</v>
      </c>
      <c r="AV32" s="11" t="n">
        <f aca="false">(1-Inputs!$F$123/100*AV29)*(1-Inputs!$F$124/100)</f>
        <v>0.9664875</v>
      </c>
      <c r="AW32" s="11" t="n">
        <f aca="false">(1-Inputs!$F$123/100*AW29)*(1-Inputs!$F$124/100)</f>
        <v>0.965745</v>
      </c>
      <c r="AX32" s="11" t="n">
        <f aca="false">(1-Inputs!$F$123/100*AX29)*(1-Inputs!$F$124/100)</f>
        <v>0.9650025</v>
      </c>
      <c r="AY32" s="11" t="n">
        <f aca="false">(1-Inputs!$F$123/100*AY29)*(1-Inputs!$F$124/100)</f>
        <v>0.96426</v>
      </c>
      <c r="AZ32" s="11" t="n">
        <f aca="false">(1-Inputs!$F$123/100*AZ29)*(1-Inputs!$F$124/100)</f>
        <v>0.9635175</v>
      </c>
      <c r="BA32" s="11" t="n">
        <f aca="false">(1-Inputs!$F$123/100*BA29)*(1-Inputs!$F$124/100)</f>
        <v>0.962775</v>
      </c>
      <c r="BB32" s="11" t="n">
        <f aca="false">(1-Inputs!$F$123/100*BB29)*(1-Inputs!$F$124/100)</f>
        <v>0.9620325</v>
      </c>
      <c r="BC32" s="11" t="n">
        <f aca="false">(1-Inputs!$F$123/100*BC29)*(1-Inputs!$F$124/100)</f>
        <v>0.96129</v>
      </c>
      <c r="BD32" s="11" t="n">
        <f aca="false">(1-Inputs!$F$123/100*BD29)*(1-Inputs!$F$124/100)</f>
        <v>0.9605475</v>
      </c>
      <c r="BE32" s="11" t="n">
        <f aca="false">(1-Inputs!$F$123/100*BE29)*(1-Inputs!$F$124/100)</f>
        <v>0.959805</v>
      </c>
      <c r="BF32" s="11" t="n">
        <f aca="false">(1-Inputs!$F$123/100*BF29)*(1-Inputs!$F$124/100)</f>
        <v>0.9590625</v>
      </c>
      <c r="BG32" s="11" t="n">
        <f aca="false">(1-Inputs!$F$123/100*BG29)*(1-Inputs!$F$124/100)</f>
        <v>0.95832</v>
      </c>
      <c r="BH32" s="11" t="n">
        <f aca="false">(1-Inputs!$F$123/100*BH29)*(1-Inputs!$F$124/100)</f>
        <v>0.9575775</v>
      </c>
      <c r="BI32" s="11" t="n">
        <f aca="false">(1-Inputs!$F$123/100*BI29)*(1-Inputs!$F$124/100)</f>
        <v>0.956835</v>
      </c>
      <c r="BJ32" s="11" t="n">
        <f aca="false">(1-Inputs!$F$123/100*BJ29)*(1-Inputs!$F$124/100)</f>
        <v>0.9560925</v>
      </c>
      <c r="BK32" s="11" t="n">
        <f aca="false">(1-Inputs!$F$123/100*BK29)*(1-Inputs!$F$124/100)</f>
        <v>0.95535</v>
      </c>
      <c r="BL32" s="11" t="n">
        <f aca="false">(1-Inputs!$F$123/100*BL29)*(1-Inputs!$F$124/100)</f>
        <v>0.9546075</v>
      </c>
      <c r="BM32" s="11" t="n">
        <f aca="false">(1-Inputs!$F$123/100*BM29)*(1-Inputs!$F$124/100)</f>
        <v>0.953865</v>
      </c>
      <c r="BN32" s="11" t="n">
        <f aca="false">(1-Inputs!$F$123/100*BN29)*(1-Inputs!$F$124/100)</f>
        <v>0.953184375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0</v>
      </c>
      <c r="P33" s="13" t="n">
        <f aca="false">$F$30*730*Time!P25*P28/100*Inputs!$F$37/100*P32</f>
        <v>301747.40312263</v>
      </c>
      <c r="Q33" s="13" t="n">
        <f aca="false">$F$30*730*Time!Q25*Q28/100*Inputs!$F$37/100*Q32</f>
        <v>1809692.28229406</v>
      </c>
      <c r="R33" s="13" t="n">
        <f aca="false">$F$30*730*Time!R25*R28/100*Inputs!$F$37/100*R32</f>
        <v>1805442.54146308</v>
      </c>
      <c r="S33" s="13" t="n">
        <f aca="false">$F$30*730*Time!S25*S28/100*Inputs!$F$37/100*S32</f>
        <v>1789638.65940505</v>
      </c>
      <c r="T33" s="13" t="n">
        <f aca="false">$F$30*730*Time!T25*T28/100*Inputs!$F$37/100*T32</f>
        <v>1791181.19010013</v>
      </c>
      <c r="U33" s="13" t="n">
        <f aca="false">$F$30*730*Time!U25*U28/100*Inputs!$F$37/100*U32</f>
        <v>1804260.4895508</v>
      </c>
      <c r="V33" s="13" t="n">
        <f aca="false">$F$30*730*Time!V25*V28/100*Inputs!$F$37/100*V32</f>
        <v>1792651.49635368</v>
      </c>
      <c r="W33" s="13" t="n">
        <f aca="false">$F$30*730*Time!W25*W28/100*Inputs!$F$37/100*W32</f>
        <v>1740084.64970185</v>
      </c>
      <c r="X33" s="13" t="n">
        <f aca="false">$F$30*730*Time!X25*X28/100*Inputs!$F$37/100*X32</f>
        <v>1749008.63092106</v>
      </c>
      <c r="Y33" s="13" t="n">
        <f aca="false">$F$30*730*Time!Y25*Y28/100*Inputs!$F$37/100*Y32</f>
        <v>1798828.69680755</v>
      </c>
      <c r="Z33" s="13" t="n">
        <f aca="false">$F$30*730*Time!Z25*Z28/100*Inputs!$F$37/100*Z32</f>
        <v>1794596.32844803</v>
      </c>
      <c r="AA33" s="13" t="n">
        <f aca="false">$F$30*730*Time!AA25*AA28/100*Inputs!$F$37/100*AA32</f>
        <v>1778879.30874731</v>
      </c>
      <c r="AB33" s="13" t="n">
        <f aca="false">$F$30*730*Time!AB25*AB28/100*Inputs!$F$37/100*AB32</f>
        <v>1780404.46697092</v>
      </c>
      <c r="AC33" s="13" t="n">
        <f aca="false">$F$30*730*Time!AC25*AC28/100*Inputs!$F$37/100*AC32</f>
        <v>1793396.9040643</v>
      </c>
      <c r="AD33" s="13" t="n">
        <f aca="false">$F$30*730*Time!AD25*AD28/100*Inputs!$F$37/100*AD32</f>
        <v>1775799.79689664</v>
      </c>
      <c r="AE33" s="13" t="n">
        <f aca="false">$F$30*730*Time!AE25*AE28/100*Inputs!$F$37/100*AE32</f>
        <v>1693319.88680533</v>
      </c>
      <c r="AF33" s="13" t="n">
        <f aca="false">$F$30*730*Time!AF25*AF28/100*Inputs!$F$37/100*AF32</f>
        <v>1708250.31960383</v>
      </c>
      <c r="AG33" s="13" t="n">
        <f aca="false">$F$30*730*Time!AG25*AG28/100*Inputs!$F$37/100*AG32</f>
        <v>1787965.11132104</v>
      </c>
      <c r="AH33" s="13" t="n">
        <f aca="false">$F$30*730*Time!AH25*AH28/100*Inputs!$F$37/100*AH32</f>
        <v>1783750.11543299</v>
      </c>
      <c r="AI33" s="13" t="n">
        <f aca="false">$F$30*730*Time!AI25*AI28/100*Inputs!$F$37/100*AI32</f>
        <v>1768119.95808956</v>
      </c>
      <c r="AJ33" s="13" t="n">
        <f aca="false">$F$30*730*Time!AJ25*AJ28/100*Inputs!$F$37/100*AJ32</f>
        <v>1769627.74384172</v>
      </c>
      <c r="AK33" s="13" t="n">
        <f aca="false">$F$30*730*Time!AK25*AK28/100*Inputs!$F$37/100*AK32</f>
        <v>1782533.31857779</v>
      </c>
      <c r="AL33" s="13" t="n">
        <f aca="false">$F$30*730*Time!AL25*AL28/100*Inputs!$F$37/100*AL32</f>
        <v>1771047.86295549</v>
      </c>
      <c r="AM33" s="13" t="n">
        <f aca="false">$F$30*730*Time!AM25*AM28/100*Inputs!$F$37/100*AM32</f>
        <v>1719098.70417781</v>
      </c>
      <c r="AN33" s="13" t="n">
        <f aca="false">$F$30*730*Time!AN25*AN28/100*Inputs!$F$37/100*AN32</f>
        <v>1727899.14782219</v>
      </c>
      <c r="AO33" s="13" t="n">
        <f aca="false">$F$30*730*Time!AO25*AO28/100*Inputs!$F$37/100*AO32</f>
        <v>1777101.52583454</v>
      </c>
      <c r="AP33" s="13" t="n">
        <f aca="false">$F$30*730*Time!AP25*AP28/100*Inputs!$F$37/100*AP32</f>
        <v>1772903.90241794</v>
      </c>
      <c r="AQ33" s="13" t="n">
        <f aca="false">$F$30*730*Time!AQ25*AQ28/100*Inputs!$F$37/100*AQ32</f>
        <v>1757360.60743181</v>
      </c>
      <c r="AR33" s="13" t="n">
        <f aca="false">$F$30*730*Time!AR25*AR28/100*Inputs!$F$37/100*AR32</f>
        <v>1758851.02071251</v>
      </c>
      <c r="AS33" s="13" t="n">
        <f aca="false">$F$30*730*Time!AS25*AS28/100*Inputs!$F$37/100*AS32</f>
        <v>1771669.73309128</v>
      </c>
      <c r="AT33" s="13" t="n">
        <f aca="false">$F$30*730*Time!AT25*AT28/100*Inputs!$F$37/100*AT32</f>
        <v>1754269.51393351</v>
      </c>
      <c r="AU33" s="13" t="n">
        <f aca="false">$F$30*730*Time!AU25*AU28/100*Inputs!$F$37/100*AU32</f>
        <v>1672774.04389161</v>
      </c>
      <c r="AV33" s="13" t="n">
        <f aca="false">$F$30*730*Time!AV25*AV28/100*Inputs!$F$37/100*AV32</f>
        <v>1687507.58868023</v>
      </c>
      <c r="AW33" s="13" t="n">
        <f aca="false">$F$30*730*Time!AW25*AW28/100*Inputs!$F$37/100*AW32</f>
        <v>1766237.94034803</v>
      </c>
      <c r="AX33" s="13" t="n">
        <f aca="false">$F$30*730*Time!AX25*AX28/100*Inputs!$F$37/100*AX32</f>
        <v>1762057.68940289</v>
      </c>
      <c r="AY33" s="13" t="n">
        <f aca="false">$F$30*730*Time!AY25*AY28/100*Inputs!$F$37/100*AY32</f>
        <v>1746601.25677407</v>
      </c>
      <c r="AZ33" s="13" t="n">
        <f aca="false">$F$30*730*Time!AZ25*AZ28/100*Inputs!$F$37/100*AZ32</f>
        <v>1748074.29758331</v>
      </c>
      <c r="BA33" s="13" t="n">
        <f aca="false">$F$30*730*Time!BA25*BA28/100*Inputs!$F$37/100*BA32</f>
        <v>1760806.14760477</v>
      </c>
      <c r="BB33" s="13" t="n">
        <f aca="false">$F$30*730*Time!BB25*BB28/100*Inputs!$F$37/100*BB32</f>
        <v>1749444.2295573</v>
      </c>
      <c r="BC33" s="13" t="n">
        <f aca="false">$F$30*730*Time!BC25*BC28/100*Inputs!$F$37/100*BC32</f>
        <v>1698112.75865376</v>
      </c>
      <c r="BD33" s="13" t="n">
        <f aca="false">$F$30*730*Time!BD25*BD28/100*Inputs!$F$37/100*BD32</f>
        <v>1706789.66472332</v>
      </c>
      <c r="BE33" s="13" t="n">
        <f aca="false">$F$30*730*Time!BE25*BE28/100*Inputs!$F$37/100*BE32</f>
        <v>1755374.35486152</v>
      </c>
      <c r="BF33" s="13" t="n">
        <f aca="false">$F$30*730*Time!BF25*BF28/100*Inputs!$F$37/100*BF32</f>
        <v>1751211.47638785</v>
      </c>
      <c r="BG33" s="13" t="n">
        <f aca="false">$F$30*730*Time!BG25*BG28/100*Inputs!$F$37/100*BG32</f>
        <v>1735841.90611632</v>
      </c>
      <c r="BH33" s="13" t="n">
        <f aca="false">$F$30*730*Time!BH25*BH28/100*Inputs!$F$37/100*BH32</f>
        <v>1737297.5744541</v>
      </c>
      <c r="BI33" s="13" t="n">
        <f aca="false">$F$30*730*Time!BI25*BI28/100*Inputs!$F$37/100*BI32</f>
        <v>1749942.56211827</v>
      </c>
      <c r="BJ33" s="13" t="n">
        <f aca="false">$F$30*730*Time!BJ25*BJ28/100*Inputs!$F$37/100*BJ32</f>
        <v>1732739.23097038</v>
      </c>
      <c r="BK33" s="13" t="n">
        <f aca="false">$F$30*730*Time!BK25*BK28/100*Inputs!$F$37/100*BK32</f>
        <v>1652228.2009779</v>
      </c>
      <c r="BL33" s="13" t="n">
        <f aca="false">$F$30*730*Time!BL25*BL28/100*Inputs!$F$37/100*BL32</f>
        <v>1666764.85775663</v>
      </c>
      <c r="BM33" s="13" t="n">
        <f aca="false">$F$30*730*Time!BM25*BM28/100*Inputs!$F$37/100*BM32</f>
        <v>1744510.76937501</v>
      </c>
      <c r="BN33" s="13" t="n">
        <f aca="false">$F$30*730*Time!BN25*BN28/100*Inputs!$F$37/100*BN32</f>
        <v>1452721.65294835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6482.022624</v>
      </c>
      <c r="K34" s="11" t="n">
        <f aca="false">$F$31*(1+Inputs!$F$125/100*K29)*(1+Inputs!$F$126/100)*(1+Inputs!$F$120/100)*Inputs!$F$38</f>
        <v>6482.022624</v>
      </c>
      <c r="L34" s="11" t="n">
        <f aca="false">$F$31*(1+Inputs!$F$125/100*L29)*(1+Inputs!$F$126/100)*(1+Inputs!$F$120/100)*Inputs!$F$38</f>
        <v>6482.022624</v>
      </c>
      <c r="M34" s="11" t="n">
        <f aca="false">$F$31*(1+Inputs!$F$125/100*M29)*(1+Inputs!$F$126/100)*(1+Inputs!$F$120/100)*Inputs!$F$38</f>
        <v>6482.022624</v>
      </c>
      <c r="N34" s="11" t="n">
        <f aca="false">$F$31*(1+Inputs!$F$125/100*N29)*(1+Inputs!$F$126/100)*(1+Inputs!$F$120/100)*Inputs!$F$38</f>
        <v>6482.022624</v>
      </c>
      <c r="O34" s="11" t="n">
        <f aca="false">$F$31*(1+Inputs!$F$125/100*O29)*(1+Inputs!$F$126/100)*(1+Inputs!$F$120/100)*Inputs!$F$38</f>
        <v>6482.022624</v>
      </c>
      <c r="P34" s="11" t="n">
        <f aca="false">$F$31*(1+Inputs!$F$125/100*P29)*(1+Inputs!$F$126/100)*(1+Inputs!$F$120/100)*Inputs!$F$38</f>
        <v>6482.3467251312</v>
      </c>
      <c r="Q34" s="11" t="n">
        <f aca="false">$F$31*(1+Inputs!$F$125/100*Q29)*(1+Inputs!$F$126/100)*(1+Inputs!$F$120/100)*Inputs!$F$38</f>
        <v>6484.6154330496</v>
      </c>
      <c r="R34" s="11" t="n">
        <f aca="false">$F$31*(1+Inputs!$F$125/100*R29)*(1+Inputs!$F$126/100)*(1+Inputs!$F$120/100)*Inputs!$F$38</f>
        <v>6488.504646624</v>
      </c>
      <c r="S34" s="11" t="n">
        <f aca="false">$F$31*(1+Inputs!$F$125/100*S29)*(1+Inputs!$F$126/100)*(1+Inputs!$F$120/100)*Inputs!$F$38</f>
        <v>6492.3938601984</v>
      </c>
      <c r="T34" s="11" t="n">
        <f aca="false">$F$31*(1+Inputs!$F$125/100*T29)*(1+Inputs!$F$126/100)*(1+Inputs!$F$120/100)*Inputs!$F$38</f>
        <v>6496.2830737728</v>
      </c>
      <c r="U34" s="11" t="n">
        <f aca="false">$F$31*(1+Inputs!$F$125/100*U29)*(1+Inputs!$F$126/100)*(1+Inputs!$F$120/100)*Inputs!$F$38</f>
        <v>6500.1722873472</v>
      </c>
      <c r="V34" s="11" t="n">
        <f aca="false">$F$31*(1+Inputs!$F$125/100*V29)*(1+Inputs!$F$126/100)*(1+Inputs!$F$120/100)*Inputs!$F$38</f>
        <v>6504.0615009216</v>
      </c>
      <c r="W34" s="11" t="n">
        <f aca="false">$F$31*(1+Inputs!$F$125/100*W29)*(1+Inputs!$F$126/100)*(1+Inputs!$F$120/100)*Inputs!$F$38</f>
        <v>6507.950714496</v>
      </c>
      <c r="X34" s="11" t="n">
        <f aca="false">$F$31*(1+Inputs!$F$125/100*X29)*(1+Inputs!$F$126/100)*(1+Inputs!$F$120/100)*Inputs!$F$38</f>
        <v>6511.8399280704</v>
      </c>
      <c r="Y34" s="11" t="n">
        <f aca="false">$F$31*(1+Inputs!$F$125/100*Y29)*(1+Inputs!$F$126/100)*(1+Inputs!$F$120/100)*Inputs!$F$38</f>
        <v>6515.7291416448</v>
      </c>
      <c r="Z34" s="11" t="n">
        <f aca="false">$F$31*(1+Inputs!$F$125/100*Z29)*(1+Inputs!$F$126/100)*(1+Inputs!$F$120/100)*Inputs!$F$38</f>
        <v>6519.6183552192</v>
      </c>
      <c r="AA34" s="11" t="n">
        <f aca="false">$F$31*(1+Inputs!$F$125/100*AA29)*(1+Inputs!$F$126/100)*(1+Inputs!$F$120/100)*Inputs!$F$38</f>
        <v>6523.5075687936</v>
      </c>
      <c r="AB34" s="11" t="n">
        <f aca="false">$F$31*(1+Inputs!$F$125/100*AB29)*(1+Inputs!$F$126/100)*(1+Inputs!$F$120/100)*Inputs!$F$38</f>
        <v>6527.396782368</v>
      </c>
      <c r="AC34" s="11" t="n">
        <f aca="false">$F$31*(1+Inputs!$F$125/100*AC29)*(1+Inputs!$F$126/100)*(1+Inputs!$F$120/100)*Inputs!$F$38</f>
        <v>6531.2859959424</v>
      </c>
      <c r="AD34" s="11" t="n">
        <f aca="false">$F$31*(1+Inputs!$F$125/100*AD29)*(1+Inputs!$F$126/100)*(1+Inputs!$F$120/100)*Inputs!$F$38</f>
        <v>6535.1752095168</v>
      </c>
      <c r="AE34" s="11" t="n">
        <f aca="false">$F$31*(1+Inputs!$F$125/100*AE29)*(1+Inputs!$F$126/100)*(1+Inputs!$F$120/100)*Inputs!$F$38</f>
        <v>6539.0644230912</v>
      </c>
      <c r="AF34" s="11" t="n">
        <f aca="false">$F$31*(1+Inputs!$F$125/100*AF29)*(1+Inputs!$F$126/100)*(1+Inputs!$F$120/100)*Inputs!$F$38</f>
        <v>6542.9536366656</v>
      </c>
      <c r="AG34" s="11" t="n">
        <f aca="false">$F$31*(1+Inputs!$F$125/100*AG29)*(1+Inputs!$F$126/100)*(1+Inputs!$F$120/100)*Inputs!$F$38</f>
        <v>6546.84285024</v>
      </c>
      <c r="AH34" s="11" t="n">
        <f aca="false">$F$31*(1+Inputs!$F$125/100*AH29)*(1+Inputs!$F$126/100)*(1+Inputs!$F$120/100)*Inputs!$F$38</f>
        <v>6550.7320638144</v>
      </c>
      <c r="AI34" s="11" t="n">
        <f aca="false">$F$31*(1+Inputs!$F$125/100*AI29)*(1+Inputs!$F$126/100)*(1+Inputs!$F$120/100)*Inputs!$F$38</f>
        <v>6554.6212773888</v>
      </c>
      <c r="AJ34" s="11" t="n">
        <f aca="false">$F$31*(1+Inputs!$F$125/100*AJ29)*(1+Inputs!$F$126/100)*(1+Inputs!$F$120/100)*Inputs!$F$38</f>
        <v>6558.5104909632</v>
      </c>
      <c r="AK34" s="11" t="n">
        <f aca="false">$F$31*(1+Inputs!$F$125/100*AK29)*(1+Inputs!$F$126/100)*(1+Inputs!$F$120/100)*Inputs!$F$38</f>
        <v>6562.3997045376</v>
      </c>
      <c r="AL34" s="11" t="n">
        <f aca="false">$F$31*(1+Inputs!$F$125/100*AL29)*(1+Inputs!$F$126/100)*(1+Inputs!$F$120/100)*Inputs!$F$38</f>
        <v>6566.288918112</v>
      </c>
      <c r="AM34" s="11" t="n">
        <f aca="false">$F$31*(1+Inputs!$F$125/100*AM29)*(1+Inputs!$F$126/100)*(1+Inputs!$F$120/100)*Inputs!$F$38</f>
        <v>6570.1781316864</v>
      </c>
      <c r="AN34" s="11" t="n">
        <f aca="false">$F$31*(1+Inputs!$F$125/100*AN29)*(1+Inputs!$F$126/100)*(1+Inputs!$F$120/100)*Inputs!$F$38</f>
        <v>6574.0673452608</v>
      </c>
      <c r="AO34" s="11" t="n">
        <f aca="false">$F$31*(1+Inputs!$F$125/100*AO29)*(1+Inputs!$F$126/100)*(1+Inputs!$F$120/100)*Inputs!$F$38</f>
        <v>6577.9565588352</v>
      </c>
      <c r="AP34" s="11" t="n">
        <f aca="false">$F$31*(1+Inputs!$F$125/100*AP29)*(1+Inputs!$F$126/100)*(1+Inputs!$F$120/100)*Inputs!$F$38</f>
        <v>6581.8457724096</v>
      </c>
      <c r="AQ34" s="11" t="n">
        <f aca="false">$F$31*(1+Inputs!$F$125/100*AQ29)*(1+Inputs!$F$126/100)*(1+Inputs!$F$120/100)*Inputs!$F$38</f>
        <v>6585.734985984</v>
      </c>
      <c r="AR34" s="11" t="n">
        <f aca="false">$F$31*(1+Inputs!$F$125/100*AR29)*(1+Inputs!$F$126/100)*(1+Inputs!$F$120/100)*Inputs!$F$38</f>
        <v>6589.6241995584</v>
      </c>
      <c r="AS34" s="11" t="n">
        <f aca="false">$F$31*(1+Inputs!$F$125/100*AS29)*(1+Inputs!$F$126/100)*(1+Inputs!$F$120/100)*Inputs!$F$38</f>
        <v>6593.5134131328</v>
      </c>
      <c r="AT34" s="11" t="n">
        <f aca="false">$F$31*(1+Inputs!$F$125/100*AT29)*(1+Inputs!$F$126/100)*(1+Inputs!$F$120/100)*Inputs!$F$38</f>
        <v>6597.4026267072</v>
      </c>
      <c r="AU34" s="11" t="n">
        <f aca="false">$F$31*(1+Inputs!$F$125/100*AU29)*(1+Inputs!$F$126/100)*(1+Inputs!$F$120/100)*Inputs!$F$38</f>
        <v>6601.2918402816</v>
      </c>
      <c r="AV34" s="11" t="n">
        <f aca="false">$F$31*(1+Inputs!$F$125/100*AV29)*(1+Inputs!$F$126/100)*(1+Inputs!$F$120/100)*Inputs!$F$38</f>
        <v>6605.181053856</v>
      </c>
      <c r="AW34" s="11" t="n">
        <f aca="false">$F$31*(1+Inputs!$F$125/100*AW29)*(1+Inputs!$F$126/100)*(1+Inputs!$F$120/100)*Inputs!$F$38</f>
        <v>6609.0702674304</v>
      </c>
      <c r="AX34" s="11" t="n">
        <f aca="false">$F$31*(1+Inputs!$F$125/100*AX29)*(1+Inputs!$F$126/100)*(1+Inputs!$F$120/100)*Inputs!$F$38</f>
        <v>6612.9594810048</v>
      </c>
      <c r="AY34" s="11" t="n">
        <f aca="false">$F$31*(1+Inputs!$F$125/100*AY29)*(1+Inputs!$F$126/100)*(1+Inputs!$F$120/100)*Inputs!$F$38</f>
        <v>6616.8486945792</v>
      </c>
      <c r="AZ34" s="11" t="n">
        <f aca="false">$F$31*(1+Inputs!$F$125/100*AZ29)*(1+Inputs!$F$126/100)*(1+Inputs!$F$120/100)*Inputs!$F$38</f>
        <v>6620.7379081536</v>
      </c>
      <c r="BA34" s="11" t="n">
        <f aca="false">$F$31*(1+Inputs!$F$125/100*BA29)*(1+Inputs!$F$126/100)*(1+Inputs!$F$120/100)*Inputs!$F$38</f>
        <v>6624.627121728</v>
      </c>
      <c r="BB34" s="11" t="n">
        <f aca="false">$F$31*(1+Inputs!$F$125/100*BB29)*(1+Inputs!$F$126/100)*(1+Inputs!$F$120/100)*Inputs!$F$38</f>
        <v>6628.5163353024</v>
      </c>
      <c r="BC34" s="11" t="n">
        <f aca="false">$F$31*(1+Inputs!$F$125/100*BC29)*(1+Inputs!$F$126/100)*(1+Inputs!$F$120/100)*Inputs!$F$38</f>
        <v>6632.4055488768</v>
      </c>
      <c r="BD34" s="11" t="n">
        <f aca="false">$F$31*(1+Inputs!$F$125/100*BD29)*(1+Inputs!$F$126/100)*(1+Inputs!$F$120/100)*Inputs!$F$38</f>
        <v>6636.2947624512</v>
      </c>
      <c r="BE34" s="11" t="n">
        <f aca="false">$F$31*(1+Inputs!$F$125/100*BE29)*(1+Inputs!$F$126/100)*(1+Inputs!$F$120/100)*Inputs!$F$38</f>
        <v>6640.1839760256</v>
      </c>
      <c r="BF34" s="11" t="n">
        <f aca="false">$F$31*(1+Inputs!$F$125/100*BF29)*(1+Inputs!$F$126/100)*(1+Inputs!$F$120/100)*Inputs!$F$38</f>
        <v>6644.0731896</v>
      </c>
      <c r="BG34" s="11" t="n">
        <f aca="false">$F$31*(1+Inputs!$F$125/100*BG29)*(1+Inputs!$F$126/100)*(1+Inputs!$F$120/100)*Inputs!$F$38</f>
        <v>6647.9624031744</v>
      </c>
      <c r="BH34" s="11" t="n">
        <f aca="false">$F$31*(1+Inputs!$F$125/100*BH29)*(1+Inputs!$F$126/100)*(1+Inputs!$F$120/100)*Inputs!$F$38</f>
        <v>6651.8516167488</v>
      </c>
      <c r="BI34" s="11" t="n">
        <f aca="false">$F$31*(1+Inputs!$F$125/100*BI29)*(1+Inputs!$F$126/100)*(1+Inputs!$F$120/100)*Inputs!$F$38</f>
        <v>6655.7408303232</v>
      </c>
      <c r="BJ34" s="11" t="n">
        <f aca="false">$F$31*(1+Inputs!$F$125/100*BJ29)*(1+Inputs!$F$126/100)*(1+Inputs!$F$120/100)*Inputs!$F$38</f>
        <v>6659.6300438976</v>
      </c>
      <c r="BK34" s="11" t="n">
        <f aca="false">$F$31*(1+Inputs!$F$125/100*BK29)*(1+Inputs!$F$126/100)*(1+Inputs!$F$120/100)*Inputs!$F$38</f>
        <v>6663.519257472</v>
      </c>
      <c r="BL34" s="11" t="n">
        <f aca="false">$F$31*(1+Inputs!$F$125/100*BL29)*(1+Inputs!$F$126/100)*(1+Inputs!$F$120/100)*Inputs!$F$38</f>
        <v>6667.4084710464</v>
      </c>
      <c r="BM34" s="11" t="n">
        <f aca="false">$F$31*(1+Inputs!$F$125/100*BM29)*(1+Inputs!$F$126/100)*(1+Inputs!$F$120/100)*Inputs!$F$38</f>
        <v>6671.2976846208</v>
      </c>
      <c r="BN34" s="11" t="n">
        <f aca="false">$F$31*(1+Inputs!$F$125/100*BN29)*(1+Inputs!$F$126/100)*(1+Inputs!$F$120/100)*Inputs!$F$38</f>
        <v>6674.862797064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6468.429</v>
      </c>
      <c r="P35" s="11" t="n">
        <f aca="false">Inputs!$F$118*(1+Inputs!$F$119/100*P29)*(1+Inputs!$F$120/100)</f>
        <v>6468.698517875</v>
      </c>
      <c r="Q35" s="11" t="n">
        <f aca="false">Inputs!$F$118*(1+Inputs!$F$119/100*Q29)*(1+Inputs!$F$120/100)</f>
        <v>6470.585143</v>
      </c>
      <c r="R35" s="11" t="n">
        <f aca="false">Inputs!$F$118*(1+Inputs!$F$119/100*R29)*(1+Inputs!$F$120/100)</f>
        <v>6473.8193575</v>
      </c>
      <c r="S35" s="11" t="n">
        <f aca="false">Inputs!$F$118*(1+Inputs!$F$119/100*S29)*(1+Inputs!$F$120/100)</f>
        <v>6477.053572</v>
      </c>
      <c r="T35" s="11" t="n">
        <f aca="false">Inputs!$F$118*(1+Inputs!$F$119/100*T29)*(1+Inputs!$F$120/100)</f>
        <v>6480.2877865</v>
      </c>
      <c r="U35" s="11" t="n">
        <f aca="false">Inputs!$F$118*(1+Inputs!$F$119/100*U29)*(1+Inputs!$F$120/100)</f>
        <v>6483.522001</v>
      </c>
      <c r="V35" s="11" t="n">
        <f aca="false">Inputs!$F$118*(1+Inputs!$F$119/100*V29)*(1+Inputs!$F$120/100)</f>
        <v>6486.7562155</v>
      </c>
      <c r="W35" s="11" t="n">
        <f aca="false">Inputs!$F$118*(1+Inputs!$F$119/100*W29)*(1+Inputs!$F$120/100)</f>
        <v>6489.99043</v>
      </c>
      <c r="X35" s="11" t="n">
        <f aca="false">Inputs!$F$118*(1+Inputs!$F$119/100*X29)*(1+Inputs!$F$120/100)</f>
        <v>6493.2246445</v>
      </c>
      <c r="Y35" s="11" t="n">
        <f aca="false">Inputs!$F$118*(1+Inputs!$F$119/100*Y29)*(1+Inputs!$F$120/100)</f>
        <v>6496.458859</v>
      </c>
      <c r="Z35" s="11" t="n">
        <f aca="false">Inputs!$F$118*(1+Inputs!$F$119/100*Z29)*(1+Inputs!$F$120/100)</f>
        <v>6499.6930735</v>
      </c>
      <c r="AA35" s="11" t="n">
        <f aca="false">Inputs!$F$118*(1+Inputs!$F$119/100*AA29)*(1+Inputs!$F$120/100)</f>
        <v>6502.927288</v>
      </c>
      <c r="AB35" s="11" t="n">
        <f aca="false">Inputs!$F$118*(1+Inputs!$F$119/100*AB29)*(1+Inputs!$F$120/100)</f>
        <v>6506.1615025</v>
      </c>
      <c r="AC35" s="11" t="n">
        <f aca="false">Inputs!$F$118*(1+Inputs!$F$119/100*AC29)*(1+Inputs!$F$120/100)</f>
        <v>6509.395717</v>
      </c>
      <c r="AD35" s="11" t="n">
        <f aca="false">Inputs!$F$118*(1+Inputs!$F$119/100*AD29)*(1+Inputs!$F$120/100)</f>
        <v>6512.6299315</v>
      </c>
      <c r="AE35" s="11" t="n">
        <f aca="false">Inputs!$F$118*(1+Inputs!$F$119/100*AE29)*(1+Inputs!$F$120/100)</f>
        <v>6515.864146</v>
      </c>
      <c r="AF35" s="11" t="n">
        <f aca="false">Inputs!$F$118*(1+Inputs!$F$119/100*AF29)*(1+Inputs!$F$120/100)</f>
        <v>6519.0983605</v>
      </c>
      <c r="AG35" s="11" t="n">
        <f aca="false">Inputs!$F$118*(1+Inputs!$F$119/100*AG29)*(1+Inputs!$F$120/100)</f>
        <v>6522.332575</v>
      </c>
      <c r="AH35" s="11" t="n">
        <f aca="false">Inputs!$F$118*(1+Inputs!$F$119/100*AH29)*(1+Inputs!$F$120/100)</f>
        <v>6525.5667895</v>
      </c>
      <c r="AI35" s="11" t="n">
        <f aca="false">Inputs!$F$118*(1+Inputs!$F$119/100*AI29)*(1+Inputs!$F$120/100)</f>
        <v>6528.801004</v>
      </c>
      <c r="AJ35" s="11" t="n">
        <f aca="false">Inputs!$F$118*(1+Inputs!$F$119/100*AJ29)*(1+Inputs!$F$120/100)</f>
        <v>6532.0352185</v>
      </c>
      <c r="AK35" s="11" t="n">
        <f aca="false">Inputs!$F$118*(1+Inputs!$F$119/100*AK29)*(1+Inputs!$F$120/100)</f>
        <v>6535.269433</v>
      </c>
      <c r="AL35" s="11" t="n">
        <f aca="false">Inputs!$F$118*(1+Inputs!$F$119/100*AL29)*(1+Inputs!$F$120/100)</f>
        <v>6538.5036475</v>
      </c>
      <c r="AM35" s="11" t="n">
        <f aca="false">Inputs!$F$118*(1+Inputs!$F$119/100*AM29)*(1+Inputs!$F$120/100)</f>
        <v>6541.737862</v>
      </c>
      <c r="AN35" s="11" t="n">
        <f aca="false">Inputs!$F$118*(1+Inputs!$F$119/100*AN29)*(1+Inputs!$F$120/100)</f>
        <v>6544.9720765</v>
      </c>
      <c r="AO35" s="11" t="n">
        <f aca="false">Inputs!$F$118*(1+Inputs!$F$119/100*AO29)*(1+Inputs!$F$120/100)</f>
        <v>6548.206291</v>
      </c>
      <c r="AP35" s="11" t="n">
        <f aca="false">Inputs!$F$118*(1+Inputs!$F$119/100*AP29)*(1+Inputs!$F$120/100)</f>
        <v>6551.4405055</v>
      </c>
      <c r="AQ35" s="11" t="n">
        <f aca="false">Inputs!$F$118*(1+Inputs!$F$119/100*AQ29)*(1+Inputs!$F$120/100)</f>
        <v>6554.67472</v>
      </c>
      <c r="AR35" s="11" t="n">
        <f aca="false">Inputs!$F$118*(1+Inputs!$F$119/100*AR29)*(1+Inputs!$F$120/100)</f>
        <v>6557.9089345</v>
      </c>
      <c r="AS35" s="11" t="n">
        <f aca="false">Inputs!$F$118*(1+Inputs!$F$119/100*AS29)*(1+Inputs!$F$120/100)</f>
        <v>6561.143149</v>
      </c>
      <c r="AT35" s="11" t="n">
        <f aca="false">Inputs!$F$118*(1+Inputs!$F$119/100*AT29)*(1+Inputs!$F$120/100)</f>
        <v>6564.3773635</v>
      </c>
      <c r="AU35" s="11" t="n">
        <f aca="false">Inputs!$F$118*(1+Inputs!$F$119/100*AU29)*(1+Inputs!$F$120/100)</f>
        <v>6567.611578</v>
      </c>
      <c r="AV35" s="11" t="n">
        <f aca="false">Inputs!$F$118*(1+Inputs!$F$119/100*AV29)*(1+Inputs!$F$120/100)</f>
        <v>6570.8457925</v>
      </c>
      <c r="AW35" s="11" t="n">
        <f aca="false">Inputs!$F$118*(1+Inputs!$F$119/100*AW29)*(1+Inputs!$F$120/100)</f>
        <v>6574.080007</v>
      </c>
      <c r="AX35" s="11" t="n">
        <f aca="false">Inputs!$F$118*(1+Inputs!$F$119/100*AX29)*(1+Inputs!$F$120/100)</f>
        <v>6577.3142215</v>
      </c>
      <c r="AY35" s="11" t="n">
        <f aca="false">Inputs!$F$118*(1+Inputs!$F$119/100*AY29)*(1+Inputs!$F$120/100)</f>
        <v>6580.548436</v>
      </c>
      <c r="AZ35" s="11" t="n">
        <f aca="false">Inputs!$F$118*(1+Inputs!$F$119/100*AZ29)*(1+Inputs!$F$120/100)</f>
        <v>6583.7826505</v>
      </c>
      <c r="BA35" s="11" t="n">
        <f aca="false">Inputs!$F$118*(1+Inputs!$F$119/100*BA29)*(1+Inputs!$F$120/100)</f>
        <v>6587.016865</v>
      </c>
      <c r="BB35" s="11" t="n">
        <f aca="false">Inputs!$F$118*(1+Inputs!$F$119/100*BB29)*(1+Inputs!$F$120/100)</f>
        <v>6590.2510795</v>
      </c>
      <c r="BC35" s="11" t="n">
        <f aca="false">Inputs!$F$118*(1+Inputs!$F$119/100*BC29)*(1+Inputs!$F$120/100)</f>
        <v>6593.485294</v>
      </c>
      <c r="BD35" s="11" t="n">
        <f aca="false">Inputs!$F$118*(1+Inputs!$F$119/100*BD29)*(1+Inputs!$F$120/100)</f>
        <v>6596.7195085</v>
      </c>
      <c r="BE35" s="11" t="n">
        <f aca="false">Inputs!$F$118*(1+Inputs!$F$119/100*BE29)*(1+Inputs!$F$120/100)</f>
        <v>6599.953723</v>
      </c>
      <c r="BF35" s="11" t="n">
        <f aca="false">Inputs!$F$118*(1+Inputs!$F$119/100*BF29)*(1+Inputs!$F$120/100)</f>
        <v>6603.1879375</v>
      </c>
      <c r="BG35" s="11" t="n">
        <f aca="false">Inputs!$F$118*(1+Inputs!$F$119/100*BG29)*(1+Inputs!$F$120/100)</f>
        <v>6606.422152</v>
      </c>
      <c r="BH35" s="11" t="n">
        <f aca="false">Inputs!$F$118*(1+Inputs!$F$119/100*BH29)*(1+Inputs!$F$120/100)</f>
        <v>6609.6563665</v>
      </c>
      <c r="BI35" s="11" t="n">
        <f aca="false">Inputs!$F$118*(1+Inputs!$F$119/100*BI29)*(1+Inputs!$F$120/100)</f>
        <v>6612.890581</v>
      </c>
      <c r="BJ35" s="11" t="n">
        <f aca="false">Inputs!$F$118*(1+Inputs!$F$119/100*BJ29)*(1+Inputs!$F$120/100)</f>
        <v>6616.1247955</v>
      </c>
      <c r="BK35" s="11" t="n">
        <f aca="false">Inputs!$F$118*(1+Inputs!$F$119/100*BK29)*(1+Inputs!$F$120/100)</f>
        <v>6619.35901</v>
      </c>
      <c r="BL35" s="11" t="n">
        <f aca="false">Inputs!$F$118*(1+Inputs!$F$119/100*BL29)*(1+Inputs!$F$120/100)</f>
        <v>6622.5932245</v>
      </c>
      <c r="BM35" s="11" t="n">
        <f aca="false">Inputs!$F$118*(1+Inputs!$F$119/100*BM29)*(1+Inputs!$F$120/100)</f>
        <v>6625.827439</v>
      </c>
      <c r="BN35" s="11" t="n">
        <f aca="false">Inputs!$F$118*(1+Inputs!$F$119/100*BN29)*(1+Inputs!$F$120/100)</f>
        <v>6628.792135625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0</v>
      </c>
      <c r="P37" s="13" t="n">
        <f aca="false">P33*P34*(1000*Inputs!$F$121/Inputs!$F$122)</f>
        <v>2054187.33206323</v>
      </c>
      <c r="Q37" s="13" t="n">
        <f aca="false">Q33*Q34*(1000*Inputs!$F$121/Inputs!$F$122)</f>
        <v>12324043.1040068</v>
      </c>
      <c r="R37" s="13" t="n">
        <f aca="false">R33*R34*(1000*Inputs!$F$121/Inputs!$F$122)</f>
        <v>12302476.3898802</v>
      </c>
      <c r="S37" s="13" t="n">
        <f aca="false">S33*S34*(1000*Inputs!$F$121/Inputs!$F$122)</f>
        <v>12202096.6290689</v>
      </c>
      <c r="T37" s="13" t="n">
        <f aca="false">T33*T34*(1000*Inputs!$F$121/Inputs!$F$122)</f>
        <v>12219929.7595738</v>
      </c>
      <c r="U37" s="13" t="n">
        <f aca="false">U33*U34*(1000*Inputs!$F$121/Inputs!$F$122)</f>
        <v>12316529.6144789</v>
      </c>
      <c r="V37" s="13" t="n">
        <f aca="false">V33*V34*(1000*Inputs!$F$121/Inputs!$F$122)</f>
        <v>12244604.3289264</v>
      </c>
      <c r="W37" s="13" t="n">
        <f aca="false">W33*W34*(1000*Inputs!$F$121/Inputs!$F$122)</f>
        <v>11892656.6308862</v>
      </c>
      <c r="X37" s="13" t="n">
        <f aca="false">X33*X34*(1000*Inputs!$F$121/Inputs!$F$122)</f>
        <v>11960791.4414094</v>
      </c>
      <c r="Y37" s="13" t="n">
        <f aca="false">Y33*Y34*(1000*Inputs!$F$121/Inputs!$F$122)</f>
        <v>12308838.6409465</v>
      </c>
      <c r="Z37" s="13" t="n">
        <f aca="false">Z33*Z34*(1000*Inputs!$F$121/Inputs!$F$122)</f>
        <v>12287207.6409024</v>
      </c>
      <c r="AA37" s="13" t="n">
        <f aca="false">AA33*AA34*(1000*Inputs!$F$121/Inputs!$F$122)</f>
        <v>12186862.2699822</v>
      </c>
      <c r="AB37" s="13" t="n">
        <f aca="false">AB33*AB34*(1000*Inputs!$F$121/Inputs!$F$122)</f>
        <v>12204582.7700461</v>
      </c>
      <c r="AC37" s="13" t="n">
        <f aca="false">AC33*AC34*(1000*Inputs!$F$121/Inputs!$F$122)</f>
        <v>12300970.1834094</v>
      </c>
      <c r="AD37" s="13" t="n">
        <f aca="false">AD33*AD34*(1000*Inputs!$F$121/Inputs!$F$122)</f>
        <v>12187524.0681028</v>
      </c>
      <c r="AE37" s="13" t="n">
        <f aca="false">AE33*AE34*(1000*Inputs!$F$121/Inputs!$F$122)</f>
        <v>11628370.8487734</v>
      </c>
      <c r="AF37" s="13" t="n">
        <f aca="false">AF33*AF34*(1000*Inputs!$F$121/Inputs!$F$122)</f>
        <v>11737878.2986056</v>
      </c>
      <c r="AG37" s="13" t="n">
        <f aca="false">AG33*AG34*(1000*Inputs!$F$121/Inputs!$F$122)</f>
        <v>12292924.2418678</v>
      </c>
      <c r="AH37" s="13" t="n">
        <f aca="false">AH33*AH34*(1000*Inputs!$F$121/Inputs!$F$122)</f>
        <v>12271230.0911984</v>
      </c>
      <c r="AI37" s="13" t="n">
        <f aca="false">AI33*AI34*(1000*Inputs!$F$121/Inputs!$F$122)</f>
        <v>12170924.78663</v>
      </c>
      <c r="AJ37" s="13" t="n">
        <f aca="false">AJ33*AJ34*(1000*Inputs!$F$121/Inputs!$F$122)</f>
        <v>12188531.5209607</v>
      </c>
      <c r="AK37" s="13" t="n">
        <f aca="false">AK33*AK34*(1000*Inputs!$F$121/Inputs!$F$122)</f>
        <v>12284700.8163215</v>
      </c>
      <c r="AL37" s="13" t="n">
        <f aca="false">AL33*AL34*(1000*Inputs!$F$121/Inputs!$F$122)</f>
        <v>12212780.0298898</v>
      </c>
      <c r="AM37" s="13" t="n">
        <f aca="false">AM33*AM34*(1000*Inputs!$F$121/Inputs!$F$122)</f>
        <v>11861570.8183628</v>
      </c>
      <c r="AN37" s="13" t="n">
        <f aca="false">AN33*AN34*(1000*Inputs!$F$121/Inputs!$F$122)</f>
        <v>11929350.1983504</v>
      </c>
      <c r="AO37" s="13" t="n">
        <f aca="false">AO33*AO34*(1000*Inputs!$F$121/Inputs!$F$122)</f>
        <v>12276299.9067707</v>
      </c>
      <c r="AP37" s="13" t="n">
        <f aca="false">AP33*AP34*(1000*Inputs!$F$121/Inputs!$F$122)</f>
        <v>12254543.7407682</v>
      </c>
      <c r="AQ37" s="13" t="n">
        <f aca="false">AQ33*AQ34*(1000*Inputs!$F$121/Inputs!$F$122)</f>
        <v>12154284.1790123</v>
      </c>
      <c r="AR37" s="13" t="n">
        <f aca="false">AR33*AR34*(1000*Inputs!$F$121/Inputs!$F$122)</f>
        <v>12171776.0123176</v>
      </c>
      <c r="AS37" s="13" t="n">
        <f aca="false">AS33*AS34*(1000*Inputs!$F$121/Inputs!$F$122)</f>
        <v>12267721.5132153</v>
      </c>
      <c r="AT37" s="13" t="n">
        <f aca="false">AT33*AT34*(1000*Inputs!$F$121/Inputs!$F$122)</f>
        <v>12154400.8161543</v>
      </c>
      <c r="AU37" s="13" t="n">
        <f aca="false">AU33*AU34*(1000*Inputs!$F$121/Inputs!$F$122)</f>
        <v>11596594.2740545</v>
      </c>
      <c r="AV37" s="13" t="n">
        <f aca="false">AV33*AV34*(1000*Inputs!$F$121/Inputs!$F$122)</f>
        <v>11705627.770954</v>
      </c>
      <c r="AW37" s="13" t="n">
        <f aca="false">AW33*AW34*(1000*Inputs!$F$121/Inputs!$F$122)</f>
        <v>12258965.6356553</v>
      </c>
      <c r="AX37" s="13" t="n">
        <f aca="false">AX33*AX34*(1000*Inputs!$F$121/Inputs!$F$122)</f>
        <v>12237148.5896117</v>
      </c>
      <c r="AY37" s="13" t="n">
        <f aca="false">AY33*AY34*(1000*Inputs!$F$121/Inputs!$F$122)</f>
        <v>12136940.447129</v>
      </c>
      <c r="AZ37" s="13" t="n">
        <f aca="false">AZ33*AZ34*(1000*Inputs!$F$121/Inputs!$F$122)</f>
        <v>12154316.2441168</v>
      </c>
      <c r="BA37" s="13" t="n">
        <f aca="false">BA33*BA34*(1000*Inputs!$F$121/Inputs!$F$122)</f>
        <v>12250032.2740907</v>
      </c>
      <c r="BB37" s="13" t="n">
        <f aca="false">BB33*BB34*(1000*Inputs!$F$121/Inputs!$F$122)</f>
        <v>12178132.1331567</v>
      </c>
      <c r="BC37" s="13" t="n">
        <f aca="false">BC33*BC34*(1000*Inputs!$F$121/Inputs!$F$122)</f>
        <v>11827742.1400286</v>
      </c>
      <c r="BD37" s="13" t="n">
        <f aca="false">BD33*BD34*(1000*Inputs!$F$121/Inputs!$F$122)</f>
        <v>11895149.9431035</v>
      </c>
      <c r="BE37" s="13" t="n">
        <f aca="false">BE33*BE34*(1000*Inputs!$F$121/Inputs!$F$122)</f>
        <v>12240921.4285215</v>
      </c>
      <c r="BF37" s="13" t="n">
        <f aca="false">BF33*BF34*(1000*Inputs!$F$121/Inputs!$F$122)</f>
        <v>12219044.637729</v>
      </c>
      <c r="BG37" s="13" t="n">
        <f aca="false">BG33*BG34*(1000*Inputs!$F$121/Inputs!$F$122)</f>
        <v>12118893.5909802</v>
      </c>
      <c r="BH37" s="13" t="n">
        <f aca="false">BH33*BH34*(1000*Inputs!$F$121/Inputs!$F$122)</f>
        <v>12136152.2163583</v>
      </c>
      <c r="BI37" s="13" t="n">
        <f aca="false">BI33*BI34*(1000*Inputs!$F$121/Inputs!$F$122)</f>
        <v>12231633.0989477</v>
      </c>
      <c r="BJ37" s="13" t="n">
        <f aca="false">BJ33*BJ34*(1000*Inputs!$F$121/Inputs!$F$122)</f>
        <v>12118463.5534207</v>
      </c>
      <c r="BK37" s="13" t="n">
        <f aca="false">BK33*BK34*(1000*Inputs!$F$121/Inputs!$F$122)</f>
        <v>11562132.3549931</v>
      </c>
      <c r="BL37" s="13" t="n">
        <f aca="false">BL33*BL34*(1000*Inputs!$F$121/Inputs!$F$122)</f>
        <v>11670666.1656715</v>
      </c>
      <c r="BM37" s="13" t="n">
        <f aca="false">BM33*BM34*(1000*Inputs!$F$121/Inputs!$F$122)</f>
        <v>12222167.2853693</v>
      </c>
      <c r="BN37" s="13" t="n">
        <f aca="false">BN33*BN34*(1000*Inputs!$F$121/Inputs!$F$122)</f>
        <v>10183310.8660163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0</v>
      </c>
      <c r="P38" s="13" t="n">
        <f aca="false">Inputs!$F$142*Inputs!$F$141*Time!P26</f>
        <v>1795520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10483520</v>
      </c>
      <c r="BN38" s="13" t="n">
        <f aca="false">Inputs!$F$142*Inputs!$F$141*Time!BN26</f>
        <v>8861760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14.4409263866631</v>
      </c>
      <c r="K40" s="11" t="n">
        <f aca="false">Inputs!$F$131*Inputs!$F$53*(1-Inputs!$F$132+Inputs!$F$132*K18/100)</f>
        <v>14.4761514062933</v>
      </c>
      <c r="L40" s="11" t="n">
        <f aca="false">Inputs!$F$131*Inputs!$F$53*(1-Inputs!$F$132+Inputs!$F$132*L18/100)</f>
        <v>14.5073574644174</v>
      </c>
      <c r="M40" s="11" t="n">
        <f aca="false">Inputs!$F$131*Inputs!$F$53*(1-Inputs!$F$132+Inputs!$F$132*M18/100)</f>
        <v>14.5344104859483</v>
      </c>
      <c r="N40" s="11" t="n">
        <f aca="false">Inputs!$F$131*Inputs!$F$53*(1-Inputs!$F$132+Inputs!$F$132*N18/100)</f>
        <v>14.5571668178754</v>
      </c>
      <c r="O40" s="11" t="n">
        <f aca="false">Inputs!$F$131*Inputs!$F$53*(1-Inputs!$F$132+Inputs!$F$132*O18/100)</f>
        <v>14.5755269027847</v>
      </c>
      <c r="P40" s="11" t="n">
        <f aca="false">Inputs!$F$131*Inputs!$F$53*(1-Inputs!$F$132+Inputs!$F$132*P18/100)</f>
        <v>14.620510598108</v>
      </c>
      <c r="Q40" s="11" t="n">
        <f aca="false">Inputs!$F$131*Inputs!$F$53*(1-Inputs!$F$132+Inputs!$F$132*Q18/100)</f>
        <v>14.693279381221</v>
      </c>
      <c r="R40" s="11" t="n">
        <f aca="false">Inputs!$F$131*Inputs!$F$53*(1-Inputs!$F$132+Inputs!$F$132*R18/100)</f>
        <v>14.7479826162272</v>
      </c>
      <c r="S40" s="11" t="n">
        <f aca="false">Inputs!$F$131*Inputs!$F$53*(1-Inputs!$F$132+Inputs!$F$132*S18/100)</f>
        <v>14.7836473361969</v>
      </c>
      <c r="T40" s="11" t="n">
        <f aca="false">Inputs!$F$131*Inputs!$F$53*(1-Inputs!$F$132+Inputs!$F$132*T18/100)</f>
        <v>14.8197022337842</v>
      </c>
      <c r="U40" s="11" t="n">
        <f aca="false">Inputs!$F$131*Inputs!$F$53*(1-Inputs!$F$132+Inputs!$F$132*U18/100)</f>
        <v>14.8561515775932</v>
      </c>
      <c r="V40" s="11" t="n">
        <f aca="false">Inputs!$F$131*Inputs!$F$53*(1-Inputs!$F$132+Inputs!$F$132*V18/100)</f>
        <v>14.8929996829274</v>
      </c>
      <c r="W40" s="11" t="n">
        <f aca="false">Inputs!$F$131*Inputs!$F$53*(1-Inputs!$F$132+Inputs!$F$132*W18/100)</f>
        <v>14.9302509123003</v>
      </c>
      <c r="X40" s="11" t="n">
        <f aca="false">Inputs!$F$131*Inputs!$F$53*(1-Inputs!$F$132+Inputs!$F$132*X18/100)</f>
        <v>14.9679096759518</v>
      </c>
      <c r="Y40" s="11" t="n">
        <f aca="false">Inputs!$F$131*Inputs!$F$53*(1-Inputs!$F$132+Inputs!$F$132*Y18/100)</f>
        <v>15.0059804323709</v>
      </c>
      <c r="Z40" s="11" t="n">
        <f aca="false">Inputs!$F$131*Inputs!$F$53*(1-Inputs!$F$132+Inputs!$F$132*Z18/100)</f>
        <v>15.0444676888228</v>
      </c>
      <c r="AA40" s="11" t="n">
        <f aca="false">Inputs!$F$131*Inputs!$F$53*(1-Inputs!$F$132+Inputs!$F$132*AA18/100)</f>
        <v>15.083376001883</v>
      </c>
      <c r="AB40" s="11" t="n">
        <f aca="false">Inputs!$F$131*Inputs!$F$53*(1-Inputs!$F$132+Inputs!$F$132*AB18/100)</f>
        <v>15.1227099779769</v>
      </c>
      <c r="AC40" s="11" t="n">
        <f aca="false">Inputs!$F$131*Inputs!$F$53*(1-Inputs!$F$132+Inputs!$F$132*AC18/100)</f>
        <v>15.1624742739245</v>
      </c>
      <c r="AD40" s="11" t="n">
        <f aca="false">Inputs!$F$131*Inputs!$F$53*(1-Inputs!$F$132+Inputs!$F$132*AD18/100)</f>
        <v>15.2026735974924</v>
      </c>
      <c r="AE40" s="11" t="n">
        <f aca="false">Inputs!$F$131*Inputs!$F$53*(1-Inputs!$F$132+Inputs!$F$132*AE18/100)</f>
        <v>15.2433127079508</v>
      </c>
      <c r="AF40" s="11" t="n">
        <f aca="false">Inputs!$F$131*Inputs!$F$53*(1-Inputs!$F$132+Inputs!$F$132*AF18/100)</f>
        <v>15.2843964166372</v>
      </c>
      <c r="AG40" s="11" t="n">
        <f aca="false">Inputs!$F$131*Inputs!$F$53*(1-Inputs!$F$132+Inputs!$F$132*AG18/100)</f>
        <v>15.3259295875257</v>
      </c>
      <c r="AH40" s="11" t="n">
        <f aca="false">Inputs!$F$131*Inputs!$F$53*(1-Inputs!$F$132+Inputs!$F$132*AH18/100)</f>
        <v>15.3679171378032</v>
      </c>
      <c r="AI40" s="11" t="n">
        <f aca="false">Inputs!$F$131*Inputs!$F$53*(1-Inputs!$F$132+Inputs!$F$132*AI18/100)</f>
        <v>15.4103640384513</v>
      </c>
      <c r="AJ40" s="11" t="n">
        <f aca="false">Inputs!$F$131*Inputs!$F$53*(1-Inputs!$F$132+Inputs!$F$132*AJ18/100)</f>
        <v>15.4532753148349</v>
      </c>
      <c r="AK40" s="11" t="n">
        <f aca="false">Inputs!$F$131*Inputs!$F$53*(1-Inputs!$F$132+Inputs!$F$132*AK18/100)</f>
        <v>15.4966560472972</v>
      </c>
      <c r="AL40" s="11" t="n">
        <f aca="false">Inputs!$F$131*Inputs!$F$53*(1-Inputs!$F$132+Inputs!$F$132*AL18/100)</f>
        <v>15.5405113717613</v>
      </c>
      <c r="AM40" s="11" t="n">
        <f aca="false">Inputs!$F$131*Inputs!$F$53*(1-Inputs!$F$132+Inputs!$F$132*AM18/100)</f>
        <v>15.5848464803378</v>
      </c>
      <c r="AN40" s="11" t="n">
        <f aca="false">Inputs!$F$131*Inputs!$F$53*(1-Inputs!$F$132+Inputs!$F$132*AN18/100)</f>
        <v>15.62966662194</v>
      </c>
      <c r="AO40" s="11" t="n">
        <f aca="false">Inputs!$F$131*Inputs!$F$53*(1-Inputs!$F$132+Inputs!$F$132*AO18/100)</f>
        <v>15.6749771029052</v>
      </c>
      <c r="AP40" s="11" t="n">
        <f aca="false">Inputs!$F$131*Inputs!$F$53*(1-Inputs!$F$132+Inputs!$F$132*AP18/100)</f>
        <v>15.7207832876227</v>
      </c>
      <c r="AQ40" s="11" t="n">
        <f aca="false">Inputs!$F$131*Inputs!$F$53*(1-Inputs!$F$132+Inputs!$F$132*AQ18/100)</f>
        <v>15.7670905991691</v>
      </c>
      <c r="AR40" s="11" t="n">
        <f aca="false">Inputs!$F$131*Inputs!$F$53*(1-Inputs!$F$132+Inputs!$F$132*AR18/100)</f>
        <v>15.8139045199504</v>
      </c>
      <c r="AS40" s="11" t="n">
        <f aca="false">Inputs!$F$131*Inputs!$F$53*(1-Inputs!$F$132+Inputs!$F$132*AS18/100)</f>
        <v>15.8612305923508</v>
      </c>
      <c r="AT40" s="11" t="n">
        <f aca="false">Inputs!$F$131*Inputs!$F$53*(1-Inputs!$F$132+Inputs!$F$132*AT18/100)</f>
        <v>15.9090744193893</v>
      </c>
      <c r="AU40" s="11" t="n">
        <f aca="false">Inputs!$F$131*Inputs!$F$53*(1-Inputs!$F$132+Inputs!$F$132*AU18/100)</f>
        <v>15.9574416653825</v>
      </c>
      <c r="AV40" s="11" t="n">
        <f aca="false">Inputs!$F$131*Inputs!$F$53*(1-Inputs!$F$132+Inputs!$F$132*AV18/100)</f>
        <v>16.0063380566159</v>
      </c>
      <c r="AW40" s="11" t="n">
        <f aca="false">Inputs!$F$131*Inputs!$F$53*(1-Inputs!$F$132+Inputs!$F$132*AW18/100)</f>
        <v>16.055769382021</v>
      </c>
      <c r="AX40" s="11" t="n">
        <f aca="false">Inputs!$F$131*Inputs!$F$53*(1-Inputs!$F$132+Inputs!$F$132*AX18/100)</f>
        <v>16.1057414938614</v>
      </c>
      <c r="AY40" s="11" t="n">
        <f aca="false">Inputs!$F$131*Inputs!$F$53*(1-Inputs!$F$132+Inputs!$F$132*AY18/100)</f>
        <v>16.1562603084254</v>
      </c>
      <c r="AZ40" s="11" t="n">
        <f aca="false">Inputs!$F$131*Inputs!$F$53*(1-Inputs!$F$132+Inputs!$F$132*AZ18/100)</f>
        <v>16.2073318067263</v>
      </c>
      <c r="BA40" s="11" t="n">
        <f aca="false">Inputs!$F$131*Inputs!$F$53*(1-Inputs!$F$132+Inputs!$F$132*BA18/100)</f>
        <v>16.2589620352108</v>
      </c>
      <c r="BB40" s="11" t="n">
        <f aca="false">Inputs!$F$131*Inputs!$F$53*(1-Inputs!$F$132+Inputs!$F$132*BB18/100)</f>
        <v>16.3111571064743</v>
      </c>
      <c r="BC40" s="11" t="n">
        <f aca="false">Inputs!$F$131*Inputs!$F$53*(1-Inputs!$F$132+Inputs!$F$132*BC18/100)</f>
        <v>16.3639231999854</v>
      </c>
      <c r="BD40" s="11" t="n">
        <f aca="false">Inputs!$F$131*Inputs!$F$53*(1-Inputs!$F$132+Inputs!$F$132*BD18/100)</f>
        <v>16.4172665628168</v>
      </c>
      <c r="BE40" s="11" t="n">
        <f aca="false">Inputs!$F$131*Inputs!$F$53*(1-Inputs!$F$132+Inputs!$F$132*BE18/100)</f>
        <v>16.4711935103851</v>
      </c>
      <c r="BF40" s="11" t="n">
        <f aca="false">Inputs!$F$131*Inputs!$F$53*(1-Inputs!$F$132+Inputs!$F$132*BF18/100)</f>
        <v>16.5257104271987</v>
      </c>
      <c r="BG40" s="11" t="n">
        <f aca="false">Inputs!$F$131*Inputs!$F$53*(1-Inputs!$F$132+Inputs!$F$132*BG18/100)</f>
        <v>16.5808237676136</v>
      </c>
      <c r="BH40" s="11" t="n">
        <f aca="false">Inputs!$F$131*Inputs!$F$53*(1-Inputs!$F$132+Inputs!$F$132*BH18/100)</f>
        <v>16.6365400565971</v>
      </c>
      <c r="BI40" s="11" t="n">
        <f aca="false">Inputs!$F$131*Inputs!$F$53*(1-Inputs!$F$132+Inputs!$F$132*BI18/100)</f>
        <v>16.6928658905011</v>
      </c>
      <c r="BJ40" s="11" t="n">
        <f aca="false">Inputs!$F$131*Inputs!$F$53*(1-Inputs!$F$132+Inputs!$F$132*BJ18/100)</f>
        <v>16.7498079378422</v>
      </c>
      <c r="BK40" s="11" t="n">
        <f aca="false">Inputs!$F$131*Inputs!$F$53*(1-Inputs!$F$132+Inputs!$F$132*BK18/100)</f>
        <v>16.8073729400921</v>
      </c>
      <c r="BL40" s="11" t="n">
        <f aca="false">Inputs!$F$131*Inputs!$F$53*(1-Inputs!$F$132+Inputs!$F$132*BL18/100)</f>
        <v>16.8655677124748</v>
      </c>
      <c r="BM40" s="11" t="n">
        <f aca="false">Inputs!$F$131*Inputs!$F$53*(1-Inputs!$F$132+Inputs!$F$132*BM18/100)</f>
        <v>16.9243991447741</v>
      </c>
      <c r="BN40" s="11" t="n">
        <f aca="false">Inputs!$F$131*Inputs!$F$53*(1-Inputs!$F$132+Inputs!$F$132*BN18/100)</f>
        <v>16.9838742021492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2.3307162956518</v>
      </c>
      <c r="K41" s="11" t="n">
        <f aca="false">Inputs!$F$133*(Inputs!$F$134*K18/100+(1-Inputs!$F$134)*K22/100*Inputs!$F$135/K11)</f>
        <v>2.35635247387625</v>
      </c>
      <c r="L41" s="11" t="n">
        <f aca="false">Inputs!$F$133*(Inputs!$F$134*L18/100+(1-Inputs!$F$134)*L22/100*Inputs!$F$135/L11)</f>
        <v>2.38495570490063</v>
      </c>
      <c r="M41" s="11" t="n">
        <f aca="false">Inputs!$F$133*(Inputs!$F$134*M18/100+(1-Inputs!$F$134)*M22/100*Inputs!$F$135/M11)</f>
        <v>2.40879644685733</v>
      </c>
      <c r="N41" s="11" t="n">
        <f aca="false">Inputs!$F$133*(Inputs!$F$134*N18/100+(1-Inputs!$F$134)*N22/100*Inputs!$F$135/N11)</f>
        <v>2.43656732059625</v>
      </c>
      <c r="O41" s="11" t="n">
        <f aca="false">Inputs!$F$133*(Inputs!$F$134*O18/100+(1-Inputs!$F$134)*O22/100*Inputs!$F$135/O11)</f>
        <v>2.46111142528661</v>
      </c>
      <c r="P41" s="11" t="n">
        <f aca="false">Inputs!$F$133*(Inputs!$F$134*P18/100+(1-Inputs!$F$134)*P22/100*Inputs!$F$135/P11)</f>
        <v>2.51003447346692</v>
      </c>
      <c r="Q41" s="11" t="n">
        <f aca="false">Inputs!$F$133*(Inputs!$F$134*Q18/100+(1-Inputs!$F$134)*Q22/100*Inputs!$F$135/Q11)</f>
        <v>2.57041208323898</v>
      </c>
      <c r="R41" s="11" t="n">
        <f aca="false">Inputs!$F$133*(Inputs!$F$134*R18/100+(1-Inputs!$F$134)*R22/100*Inputs!$F$135/R11)</f>
        <v>2.61533415728333</v>
      </c>
      <c r="S41" s="11" t="n">
        <f aca="false">Inputs!$F$133*(Inputs!$F$134*S18/100+(1-Inputs!$F$134)*S22/100*Inputs!$F$135/S11)</f>
        <v>2.64394632223245</v>
      </c>
      <c r="T41" s="11" t="n">
        <f aca="false">Inputs!$F$133*(Inputs!$F$134*T18/100+(1-Inputs!$F$134)*T22/100*Inputs!$F$135/T11)</f>
        <v>2.67287150874357</v>
      </c>
      <c r="U41" s="11" t="n">
        <f aca="false">Inputs!$F$133*(Inputs!$F$134*U18/100+(1-Inputs!$F$134)*U22/100*Inputs!$F$135/U11)</f>
        <v>2.70211314132156</v>
      </c>
      <c r="V41" s="11" t="n">
        <f aca="false">Inputs!$F$133*(Inputs!$F$134*V18/100+(1-Inputs!$F$134)*V22/100*Inputs!$F$135/V11)</f>
        <v>2.73167468193593</v>
      </c>
      <c r="W41" s="11" t="n">
        <f aca="false">Inputs!$F$133*(Inputs!$F$134*W18/100+(1-Inputs!$F$134)*W22/100*Inputs!$F$135/W11)</f>
        <v>2.76155963043064</v>
      </c>
      <c r="X41" s="11" t="n">
        <f aca="false">Inputs!$F$133*(Inputs!$F$134*X18/100+(1-Inputs!$F$134)*X22/100*Inputs!$F$135/X11)</f>
        <v>2.79177152493852</v>
      </c>
      <c r="Y41" s="11" t="n">
        <f aca="false">Inputs!$F$133*(Inputs!$F$134*Y18/100+(1-Inputs!$F$134)*Y22/100*Inputs!$F$135/Y11)</f>
        <v>2.82231394230011</v>
      </c>
      <c r="Z41" s="11" t="n">
        <f aca="false">Inputs!$F$133*(Inputs!$F$134*Z18/100+(1-Inputs!$F$134)*Z22/100*Inputs!$F$135/Z11)</f>
        <v>2.85319049848716</v>
      </c>
      <c r="AA41" s="11" t="n">
        <f aca="false">Inputs!$F$133*(Inputs!$F$134*AA18/100+(1-Inputs!$F$134)*AA22/100*Inputs!$F$135/AA11)</f>
        <v>2.88440484903071</v>
      </c>
      <c r="AB41" s="11" t="n">
        <f aca="false">Inputs!$F$133*(Inputs!$F$134*AB18/100+(1-Inputs!$F$134)*AB22/100*Inputs!$F$135/AB11)</f>
        <v>2.91596068945388</v>
      </c>
      <c r="AC41" s="11" t="n">
        <f aca="false">Inputs!$F$133*(Inputs!$F$134*AC18/100+(1-Inputs!$F$134)*AC22/100*Inputs!$F$135/AC11)</f>
        <v>2.94786175570939</v>
      </c>
      <c r="AD41" s="11" t="n">
        <f aca="false">Inputs!$F$133*(Inputs!$F$134*AD18/100+(1-Inputs!$F$134)*AD22/100*Inputs!$F$135/AD11)</f>
        <v>2.98011182462187</v>
      </c>
      <c r="AE41" s="11" t="n">
        <f aca="false">Inputs!$F$133*(Inputs!$F$134*AE18/100+(1-Inputs!$F$134)*AE22/100*Inputs!$F$135/AE11)</f>
        <v>3.01271471433499</v>
      </c>
      <c r="AF41" s="11" t="n">
        <f aca="false">Inputs!$F$133*(Inputs!$F$134*AF18/100+(1-Inputs!$F$134)*AF22/100*Inputs!$F$135/AF11)</f>
        <v>3.04567428476355</v>
      </c>
      <c r="AG41" s="11" t="n">
        <f aca="false">Inputs!$F$133*(Inputs!$F$134*AG18/100+(1-Inputs!$F$134)*AG22/100*Inputs!$F$135/AG11)</f>
        <v>3.07899443805036</v>
      </c>
      <c r="AH41" s="11" t="n">
        <f aca="false">Inputs!$F$133*(Inputs!$F$134*AH18/100+(1-Inputs!$F$134)*AH22/100*Inputs!$F$135/AH11)</f>
        <v>3.11267911902834</v>
      </c>
      <c r="AI41" s="11" t="n">
        <f aca="false">Inputs!$F$133*(Inputs!$F$134*AI18/100+(1-Inputs!$F$134)*AI22/100*Inputs!$F$135/AI11)</f>
        <v>3.14673231568747</v>
      </c>
      <c r="AJ41" s="11" t="n">
        <f aca="false">Inputs!$F$133*(Inputs!$F$134*AJ18/100+(1-Inputs!$F$134)*AJ22/100*Inputs!$F$135/AJ11)</f>
        <v>3.18115805964697</v>
      </c>
      <c r="AK41" s="11" t="n">
        <f aca="false">Inputs!$F$133*(Inputs!$F$134*AK18/100+(1-Inputs!$F$134)*AK22/100*Inputs!$F$135/AK11)</f>
        <v>3.2159604266326</v>
      </c>
      <c r="AL41" s="11" t="n">
        <f aca="false">Inputs!$F$133*(Inputs!$F$134*AL18/100+(1-Inputs!$F$134)*AL22/100*Inputs!$F$135/AL11)</f>
        <v>3.2511435369592</v>
      </c>
      <c r="AM41" s="11" t="n">
        <f aca="false">Inputs!$F$133*(Inputs!$F$134*AM18/100+(1-Inputs!$F$134)*AM22/100*Inputs!$F$135/AM11)</f>
        <v>3.28671155601851</v>
      </c>
      <c r="AN41" s="11" t="n">
        <f aca="false">Inputs!$F$133*(Inputs!$F$134*AN18/100+(1-Inputs!$F$134)*AN22/100*Inputs!$F$135/AN11)</f>
        <v>3.3226686947723</v>
      </c>
      <c r="AO41" s="11" t="n">
        <f aca="false">Inputs!$F$133*(Inputs!$F$134*AO18/100+(1-Inputs!$F$134)*AO22/100*Inputs!$F$135/AO11)</f>
        <v>3.35901921025092</v>
      </c>
      <c r="AP41" s="11" t="n">
        <f aca="false">Inputs!$F$133*(Inputs!$F$134*AP18/100+(1-Inputs!$F$134)*AP22/100*Inputs!$F$135/AP11)</f>
        <v>3.39576740605729</v>
      </c>
      <c r="AQ41" s="11" t="n">
        <f aca="false">Inputs!$F$133*(Inputs!$F$134*AQ18/100+(1-Inputs!$F$134)*AQ22/100*Inputs!$F$135/AQ11)</f>
        <v>3.43291763287644</v>
      </c>
      <c r="AR41" s="11" t="n">
        <f aca="false">Inputs!$F$133*(Inputs!$F$134*AR18/100+(1-Inputs!$F$134)*AR22/100*Inputs!$F$135/AR11)</f>
        <v>3.47047428899055</v>
      </c>
      <c r="AS41" s="11" t="n">
        <f aca="false">Inputs!$F$133*(Inputs!$F$134*AS18/100+(1-Inputs!$F$134)*AS22/100*Inputs!$F$135/AS11)</f>
        <v>3.50844182079972</v>
      </c>
      <c r="AT41" s="11" t="n">
        <f aca="false">Inputs!$F$133*(Inputs!$F$134*AT18/100+(1-Inputs!$F$134)*AT22/100*Inputs!$F$135/AT11)</f>
        <v>3.54682472334834</v>
      </c>
      <c r="AU41" s="11" t="n">
        <f aca="false">Inputs!$F$133*(Inputs!$F$134*AU18/100+(1-Inputs!$F$134)*AU22/100*Inputs!$F$135/AU11)</f>
        <v>3.58562754085731</v>
      </c>
      <c r="AV41" s="11" t="n">
        <f aca="false">Inputs!$F$133*(Inputs!$F$134*AV18/100+(1-Inputs!$F$134)*AV22/100*Inputs!$F$135/AV11)</f>
        <v>3.62485486726201</v>
      </c>
      <c r="AW41" s="11" t="n">
        <f aca="false">Inputs!$F$133*(Inputs!$F$134*AW18/100+(1-Inputs!$F$134)*AW22/100*Inputs!$F$135/AW11)</f>
        <v>3.66451134675618</v>
      </c>
      <c r="AX41" s="11" t="n">
        <f aca="false">Inputs!$F$133*(Inputs!$F$134*AX18/100+(1-Inputs!$F$134)*AX22/100*Inputs!$F$135/AX11)</f>
        <v>3.70460167434177</v>
      </c>
      <c r="AY41" s="11" t="n">
        <f aca="false">Inputs!$F$133*(Inputs!$F$134*AY18/100+(1-Inputs!$F$134)*AY22/100*Inputs!$F$135/AY11)</f>
        <v>3.74513059638481</v>
      </c>
      <c r="AZ41" s="11" t="n">
        <f aca="false">Inputs!$F$133*(Inputs!$F$134*AZ18/100+(1-Inputs!$F$134)*AZ22/100*Inputs!$F$135/AZ11)</f>
        <v>3.78610291117729</v>
      </c>
      <c r="BA41" s="11" t="n">
        <f aca="false">Inputs!$F$133*(Inputs!$F$134*BA18/100+(1-Inputs!$F$134)*BA22/100*Inputs!$F$135/BA11)</f>
        <v>3.82752346950528</v>
      </c>
      <c r="BB41" s="11" t="n">
        <f aca="false">Inputs!$F$133*(Inputs!$F$134*BB18/100+(1-Inputs!$F$134)*BB22/100*Inputs!$F$135/BB11)</f>
        <v>3.86939717522319</v>
      </c>
      <c r="BC41" s="11" t="n">
        <f aca="false">Inputs!$F$133*(Inputs!$F$134*BC18/100+(1-Inputs!$F$134)*BC22/100*Inputs!$F$135/BC11)</f>
        <v>3.91172898583439</v>
      </c>
      <c r="BD41" s="11" t="n">
        <f aca="false">Inputs!$F$133*(Inputs!$F$134*BD18/100+(1-Inputs!$F$134)*BD22/100*Inputs!$F$135/BD11)</f>
        <v>3.9545239130781</v>
      </c>
      <c r="BE41" s="11" t="n">
        <f aca="false">Inputs!$F$133*(Inputs!$F$134*BE18/100+(1-Inputs!$F$134)*BE22/100*Inputs!$F$135/BE11)</f>
        <v>3.99778702352275</v>
      </c>
      <c r="BF41" s="11" t="n">
        <f aca="false">Inputs!$F$133*(Inputs!$F$134*BF18/100+(1-Inputs!$F$134)*BF22/100*Inputs!$F$135/BF11)</f>
        <v>4.04152343916582</v>
      </c>
      <c r="BG41" s="11" t="n">
        <f aca="false">Inputs!$F$133*(Inputs!$F$134*BG18/100+(1-Inputs!$F$134)*BG22/100*Inputs!$F$135/BG11)</f>
        <v>4.08573833804025</v>
      </c>
      <c r="BH41" s="11" t="n">
        <f aca="false">Inputs!$F$133*(Inputs!$F$134*BH18/100+(1-Inputs!$F$134)*BH22/100*Inputs!$F$135/BH11)</f>
        <v>4.13043695482747</v>
      </c>
      <c r="BI41" s="11" t="n">
        <f aca="false">Inputs!$F$133*(Inputs!$F$134*BI18/100+(1-Inputs!$F$134)*BI22/100*Inputs!$F$135/BI11)</f>
        <v>4.17562458147713</v>
      </c>
      <c r="BJ41" s="11" t="n">
        <f aca="false">Inputs!$F$133*(Inputs!$F$134*BJ18/100+(1-Inputs!$F$134)*BJ22/100*Inputs!$F$135/BJ11)</f>
        <v>4.22130656783367</v>
      </c>
      <c r="BK41" s="11" t="n">
        <f aca="false">Inputs!$F$133*(Inputs!$F$134*BK18/100+(1-Inputs!$F$134)*BK22/100*Inputs!$F$135/BK11)</f>
        <v>4.26748832226963</v>
      </c>
      <c r="BL41" s="11" t="n">
        <f aca="false">Inputs!$F$133*(Inputs!$F$134*BL18/100+(1-Inputs!$F$134)*BL22/100*Inputs!$F$135/BL11)</f>
        <v>4.31417531232601</v>
      </c>
      <c r="BM41" s="11" t="n">
        <f aca="false">Inputs!$F$133*(Inputs!$F$134*BM18/100+(1-Inputs!$F$134)*BM22/100*Inputs!$F$135/BM11)</f>
        <v>4.36137306535956</v>
      </c>
      <c r="BN41" s="11" t="n">
        <f aca="false">Inputs!$F$133*(Inputs!$F$134*BN18/100+(1-Inputs!$F$134)*BN22/100*Inputs!$F$135/BN11)</f>
        <v>4.40908716919718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0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1</v>
      </c>
      <c r="AE42" s="11" t="n">
        <f aca="false">MIN(1,AE28/Inputs!$F$130)</f>
        <v>0.985555555555556</v>
      </c>
      <c r="AF42" s="11" t="n">
        <f aca="false">MIN(1,AF28/Inputs!$F$130)</f>
        <v>0.995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1</v>
      </c>
      <c r="AU42" s="11" t="n">
        <f aca="false">MIN(1,AU28/Inputs!$F$130)</f>
        <v>0.985555555555556</v>
      </c>
      <c r="AV42" s="11" t="n">
        <f aca="false">MIN(1,AV28/Inputs!$F$130)</f>
        <v>0.995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1</v>
      </c>
      <c r="BK42" s="11" t="n">
        <f aca="false">MIN(1,BK28/Inputs!$F$130)</f>
        <v>0.985555555555556</v>
      </c>
      <c r="BL42" s="11" t="n">
        <f aca="false">MIN(1,BL28/Inputs!$F$130)</f>
        <v>0.995</v>
      </c>
      <c r="BM42" s="11" t="n">
        <f aca="false">MIN(1,BM28/Inputs!$F$130)</f>
        <v>1</v>
      </c>
      <c r="BN42" s="11" t="n">
        <f aca="false">MIN(1,BN28/Inputs!$F$130)</f>
        <v>1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3339.73125024445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0</v>
      </c>
      <c r="P43" s="11" t="n">
        <f aca="false">$F$30*1000*Time!P25*(P40+P41)*P42/1000000</f>
        <v>9.96826417714946</v>
      </c>
      <c r="Q43" s="11" t="n">
        <f aca="false">$F$30*1000*Time!Q25*(Q40+Q41)*Q42/1000000</f>
        <v>60.2744523790155</v>
      </c>
      <c r="R43" s="11" t="n">
        <f aca="false">$F$30*1000*Time!R25*(R40+R41)*R42/1000000</f>
        <v>60.6222841830346</v>
      </c>
      <c r="S43" s="11" t="n">
        <f aca="false">$F$30*1000*Time!S25*(S40+S41)*S42/1000000</f>
        <v>60.8467004990402</v>
      </c>
      <c r="T43" s="11" t="n">
        <f aca="false">$F$30*1000*Time!T25*(T40+T41)*T42/1000000</f>
        <v>61.0735719646614</v>
      </c>
      <c r="U43" s="11" t="n">
        <f aca="false">$F$30*1000*Time!U25*(U40+U41)*U42/1000000</f>
        <v>61.3029254396191</v>
      </c>
      <c r="V43" s="11" t="n">
        <f aca="false">$F$30*1000*Time!V25*(V40+V41)*V42/1000000</f>
        <v>61.5347880774839</v>
      </c>
      <c r="W43" s="11" t="n">
        <f aca="false">$F$30*1000*Time!W25*(W40+W41)*W42/1000000</f>
        <v>61.7691873288907</v>
      </c>
      <c r="X43" s="11" t="n">
        <f aca="false">$F$30*1000*Time!X25*(X40+X41)*X42/1000000</f>
        <v>62.0061509447886</v>
      </c>
      <c r="Y43" s="11" t="n">
        <f aca="false">$F$30*1000*Time!Y25*(Y40+Y41)*Y42/1000000</f>
        <v>62.2457069797263</v>
      </c>
      <c r="Z43" s="11" t="n">
        <f aca="false">$F$30*1000*Time!Z25*(Z40+Z41)*Z42/1000000</f>
        <v>62.4878837951739</v>
      </c>
      <c r="AA43" s="11" t="n">
        <f aca="false">$F$30*1000*Time!AA25*(AA40+AA41)*AA42/1000000</f>
        <v>62.7327100628803</v>
      </c>
      <c r="AB43" s="11" t="n">
        <f aca="false">$F$30*1000*Time!AB25*(AB40+AB41)*AB42/1000000</f>
        <v>62.9802147682677</v>
      </c>
      <c r="AC43" s="11" t="n">
        <f aca="false">$F$30*1000*Time!AC25*(AC40+AC41)*AC42/1000000</f>
        <v>63.2304272138637</v>
      </c>
      <c r="AD43" s="11" t="n">
        <f aca="false">$F$30*1000*Time!AD25*(AD40+AD41)*AD42/1000000</f>
        <v>63.4833770227696</v>
      </c>
      <c r="AE43" s="11" t="n">
        <f aca="false">$F$30*1000*Time!AE25*(AE40+AE41)*AE42/1000000</f>
        <v>62.8184183378929</v>
      </c>
      <c r="AF43" s="11" t="n">
        <f aca="false">$F$30*1000*Time!AF25*(AF40+AF41)*AF42/1000000</f>
        <v>63.6776208026362</v>
      </c>
      <c r="AG43" s="11" t="n">
        <f aca="false">$F$30*1000*Time!AG25*(AG40+AG41)*AG42/1000000</f>
        <v>64.2589517428964</v>
      </c>
      <c r="AH43" s="11" t="n">
        <f aca="false">$F$30*1000*Time!AH25*(AH40+AH41)*AH42/1000000</f>
        <v>64.5231537711017</v>
      </c>
      <c r="AI43" s="11" t="n">
        <f aca="false">$F$30*1000*Time!AI25*(AI40+AI41)*AI42/1000000</f>
        <v>64.7902462108401</v>
      </c>
      <c r="AJ43" s="11" t="n">
        <f aca="false">$F$30*1000*Time!AJ25*(AJ40+AJ41)*AJ42/1000000</f>
        <v>65.0602606836659</v>
      </c>
      <c r="AK43" s="11" t="n">
        <f aca="false">$F$30*1000*Time!AK25*(AK40+AK41)*AK42/1000000</f>
        <v>65.3332291570786</v>
      </c>
      <c r="AL43" s="11" t="n">
        <f aca="false">$F$30*1000*Time!AL25*(AL40+AL41)*AL42/1000000</f>
        <v>65.6091839483066</v>
      </c>
      <c r="AM43" s="11" t="n">
        <f aca="false">$F$30*1000*Time!AM25*(AM40+AM41)*AM42/1000000</f>
        <v>65.8881577281343</v>
      </c>
      <c r="AN43" s="11" t="n">
        <f aca="false">$F$30*1000*Time!AN25*(AN40+AN41)*AN42/1000000</f>
        <v>66.1701835247693</v>
      </c>
      <c r="AO43" s="11" t="n">
        <f aca="false">$F$30*1000*Time!AO25*(AO40+AO41)*AO42/1000000</f>
        <v>66.4552947277532</v>
      </c>
      <c r="AP43" s="11" t="n">
        <f aca="false">$F$30*1000*Time!AP25*(AP40+AP41)*AP42/1000000</f>
        <v>66.7435250919143</v>
      </c>
      <c r="AQ43" s="11" t="n">
        <f aca="false">$F$30*1000*Time!AQ25*(AQ40+AQ41)*AQ42/1000000</f>
        <v>67.0349087413638</v>
      </c>
      <c r="AR43" s="11" t="n">
        <f aca="false">$F$30*1000*Time!AR25*(AR40+AR41)*AR42/1000000</f>
        <v>67.3294801735364</v>
      </c>
      <c r="AS43" s="11" t="n">
        <f aca="false">$F$30*1000*Time!AS25*(AS40+AS41)*AS42/1000000</f>
        <v>67.6272742632738</v>
      </c>
      <c r="AT43" s="11" t="n">
        <f aca="false">$F$30*1000*Time!AT25*(AT40+AT41)*AT42/1000000</f>
        <v>67.9283262669542</v>
      </c>
      <c r="AU43" s="11" t="n">
        <f aca="false">$F$30*1000*Time!AU25*(AU40+AU41)*AU42/1000000</f>
        <v>67.2470887891696</v>
      </c>
      <c r="AV43" s="11" t="n">
        <f aca="false">$F$30*1000*Time!AV25*(AV40+AV41)*AV42/1000000</f>
        <v>68.197645239555</v>
      </c>
      <c r="AW43" s="11" t="n">
        <f aca="false">$F$30*1000*Time!AW25*(AW40+AW41)*AW42/1000000</f>
        <v>68.8513881364525</v>
      </c>
      <c r="AX43" s="11" t="n">
        <f aca="false">$F$30*1000*Time!AX25*(AX40+AX41)*AX42/1000000</f>
        <v>69.1658321374646</v>
      </c>
      <c r="AY43" s="11" t="n">
        <f aca="false">$F$30*1000*Time!AY25*(AY40+AY41)*AY42/1000000</f>
        <v>69.4837162050544</v>
      </c>
      <c r="AZ43" s="11" t="n">
        <f aca="false">$F$30*1000*Time!AZ25*(AZ40+AZ41)*AZ42/1000000</f>
        <v>69.8050779740888</v>
      </c>
      <c r="BA43" s="11" t="n">
        <f aca="false">$F$30*1000*Time!BA25*(BA40+BA41)*BA42/1000000</f>
        <v>70.1299554911656</v>
      </c>
      <c r="BB43" s="11" t="n">
        <f aca="false">$F$30*1000*Time!BB25*(BB40+BB41)*BB42/1000000</f>
        <v>70.4583872191187</v>
      </c>
      <c r="BC43" s="11" t="n">
        <f aca="false">$F$30*1000*Time!BC25*(BC40+BC41)*BC42/1000000</f>
        <v>70.7904120415713</v>
      </c>
      <c r="BD43" s="11" t="n">
        <f aca="false">$F$30*1000*Time!BD25*(BD40+BD41)*BD42/1000000</f>
        <v>71.1260692675393</v>
      </c>
      <c r="BE43" s="11" t="n">
        <f aca="false">$F$30*1000*Time!BE25*(BE40+BE41)*BE42/1000000</f>
        <v>71.4653986360858</v>
      </c>
      <c r="BF43" s="11" t="n">
        <f aca="false">$F$30*1000*Time!BF25*(BF40+BF41)*BF42/1000000</f>
        <v>71.8084403210252</v>
      </c>
      <c r="BG43" s="11" t="n">
        <f aca="false">$F$30*1000*Time!BG25*(BG40+BG41)*BG42/1000000</f>
        <v>72.1552349356797</v>
      </c>
      <c r="BH43" s="11" t="n">
        <f aca="false">$F$30*1000*Time!BH25*(BH40+BH41)*BH42/1000000</f>
        <v>72.5058235376877</v>
      </c>
      <c r="BI43" s="11" t="n">
        <f aca="false">$F$30*1000*Time!BI25*(BI40+BI41)*BI42/1000000</f>
        <v>72.8602476338647</v>
      </c>
      <c r="BJ43" s="11" t="n">
        <f aca="false">$F$30*1000*Time!BJ25*(BJ40+BJ41)*BJ42/1000000</f>
        <v>73.2185491851169</v>
      </c>
      <c r="BK43" s="11" t="n">
        <f aca="false">$F$30*1000*Time!BK25*(BK40+BK41)*BK42/1000000</f>
        <v>72.5179372581338</v>
      </c>
      <c r="BL43" s="11" t="n">
        <f aca="false">$F$30*1000*Time!BL25*(BL40+BL41)*BL42/1000000</f>
        <v>73.5772200228055</v>
      </c>
      <c r="BM43" s="11" t="n">
        <f aca="false">$F$30*1000*Time!BM25*(BM40+BM41)*BM42/1000000</f>
        <v>74.3171450944607</v>
      </c>
      <c r="BN43" s="11" t="n">
        <f aca="false">$F$30*1000*Time!BN25*(BN40+BN41)*BN42/1000000</f>
        <v>62.2428211099323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3.91022718246032</v>
      </c>
      <c r="K44" s="11" t="n">
        <f aca="false">Inputs!$F$136*(Inputs!$F$137*K18/100+(1-Inputs!$F$137)*K22/100*Inputs!$F$135/K11)</f>
        <v>3.9540135202476</v>
      </c>
      <c r="L44" s="11" t="n">
        <f aca="false">Inputs!$F$136*(Inputs!$F$137*L18/100+(1-Inputs!$F$137)*L22/100*Inputs!$F$135/L11)</f>
        <v>4.00057685117118</v>
      </c>
      <c r="M44" s="11" t="n">
        <f aca="false">Inputs!$F$136*(Inputs!$F$137*M18/100+(1-Inputs!$F$137)*M22/100*Inputs!$F$135/M11)</f>
        <v>4.03968237214488</v>
      </c>
      <c r="N44" s="11" t="n">
        <f aca="false">Inputs!$F$136*(Inputs!$F$137*N18/100+(1-Inputs!$F$137)*N22/100*Inputs!$F$135/N11)</f>
        <v>4.0827568038087</v>
      </c>
      <c r="O44" s="11" t="n">
        <f aca="false">Inputs!$F$136*(Inputs!$F$137*O18/100+(1-Inputs!$F$137)*O22/100*Inputs!$F$135/O11)</f>
        <v>4.12033054196868</v>
      </c>
      <c r="P44" s="11" t="n">
        <f aca="false">Inputs!$F$136*(Inputs!$F$137*P18/100+(1-Inputs!$F$137)*P22/100*Inputs!$F$135/P11)</f>
        <v>4.1975982986382</v>
      </c>
      <c r="Q44" s="11" t="n">
        <f aca="false">Inputs!$F$136*(Inputs!$F$137*Q18/100+(1-Inputs!$F$137)*Q22/100*Inputs!$F$135/Q11)</f>
        <v>4.29783877703319</v>
      </c>
      <c r="R44" s="11" t="n">
        <f aca="false">Inputs!$F$136*(Inputs!$F$137*R18/100+(1-Inputs!$F$137)*R22/100*Inputs!$F$135/R11)</f>
        <v>4.37257856115553</v>
      </c>
      <c r="S44" s="11" t="n">
        <f aca="false">Inputs!$F$136*(Inputs!$F$137*S18/100+(1-Inputs!$F$137)*S22/100*Inputs!$F$135/S11)</f>
        <v>4.42041525487069</v>
      </c>
      <c r="T44" s="11" t="n">
        <f aca="false">Inputs!$F$136*(Inputs!$F$137*T18/100+(1-Inputs!$F$137)*T22/100*Inputs!$F$135/T11)</f>
        <v>4.46877528950095</v>
      </c>
      <c r="U44" s="11" t="n">
        <f aca="false">Inputs!$F$136*(Inputs!$F$137*U18/100+(1-Inputs!$F$137)*U22/100*Inputs!$F$135/U11)</f>
        <v>4.51766439047784</v>
      </c>
      <c r="V44" s="11" t="n">
        <f aca="false">Inputs!$F$136*(Inputs!$F$137*V18/100+(1-Inputs!$F$137)*V22/100*Inputs!$F$135/V11)</f>
        <v>4.56708834586997</v>
      </c>
      <c r="W44" s="11" t="n">
        <f aca="false">Inputs!$F$136*(Inputs!$F$137*W18/100+(1-Inputs!$F$137)*W22/100*Inputs!$F$135/W11)</f>
        <v>4.61705300706835</v>
      </c>
      <c r="X44" s="11" t="n">
        <f aca="false">Inputs!$F$136*(Inputs!$F$137*X18/100+(1-Inputs!$F$137)*X22/100*Inputs!$F$135/X11)</f>
        <v>4.66756428947911</v>
      </c>
      <c r="Y44" s="11" t="n">
        <f aca="false">Inputs!$F$136*(Inputs!$F$137*Y18/100+(1-Inputs!$F$137)*Y22/100*Inputs!$F$135/Y11)</f>
        <v>4.71862817322386</v>
      </c>
      <c r="Z44" s="11" t="n">
        <f aca="false">Inputs!$F$136*(Inputs!$F$137*Z18/100+(1-Inputs!$F$137)*Z22/100*Inputs!$F$135/Z11)</f>
        <v>4.77025070384765</v>
      </c>
      <c r="AA44" s="11" t="n">
        <f aca="false">Inputs!$F$136*(Inputs!$F$137*AA18/100+(1-Inputs!$F$137)*AA22/100*Inputs!$F$135/AA11)</f>
        <v>4.82243799303478</v>
      </c>
      <c r="AB44" s="11" t="n">
        <f aca="false">Inputs!$F$136*(Inputs!$F$137*AB18/100+(1-Inputs!$F$137)*AB22/100*Inputs!$F$135/AB11)</f>
        <v>4.8751962193323</v>
      </c>
      <c r="AC44" s="11" t="n">
        <f aca="false">Inputs!$F$136*(Inputs!$F$137*AC18/100+(1-Inputs!$F$137)*AC22/100*Inputs!$F$135/AC11)</f>
        <v>4.92853162888155</v>
      </c>
      <c r="AD44" s="11" t="n">
        <f aca="false">Inputs!$F$136*(Inputs!$F$137*AD18/100+(1-Inputs!$F$137)*AD22/100*Inputs!$F$135/AD11)</f>
        <v>4.98245053615761</v>
      </c>
      <c r="AE44" s="11" t="n">
        <f aca="false">Inputs!$F$136*(Inputs!$F$137*AE18/100+(1-Inputs!$F$137)*AE22/100*Inputs!$F$135/AE11)</f>
        <v>5.03695932471694</v>
      </c>
      <c r="AF44" s="11" t="n">
        <f aca="false">Inputs!$F$136*(Inputs!$F$137*AF18/100+(1-Inputs!$F$137)*AF22/100*Inputs!$F$135/AF11)</f>
        <v>5.09206444795308</v>
      </c>
      <c r="AG44" s="11" t="n">
        <f aca="false">Inputs!$F$136*(Inputs!$F$137*AG18/100+(1-Inputs!$F$137)*AG22/100*Inputs!$F$135/AG11)</f>
        <v>5.14777242986071</v>
      </c>
      <c r="AH44" s="11" t="n">
        <f aca="false">Inputs!$F$136*(Inputs!$F$137*AH18/100+(1-Inputs!$F$137)*AH22/100*Inputs!$F$135/AH11)</f>
        <v>5.20408986580805</v>
      </c>
      <c r="AI44" s="11" t="n">
        <f aca="false">Inputs!$F$136*(Inputs!$F$137*AI18/100+(1-Inputs!$F$137)*AI22/100*Inputs!$F$135/AI11)</f>
        <v>5.26102342331765</v>
      </c>
      <c r="AJ44" s="11" t="n">
        <f aca="false">Inputs!$F$136*(Inputs!$F$137*AJ18/100+(1-Inputs!$F$137)*AJ22/100*Inputs!$F$135/AJ11)</f>
        <v>5.31857984285582</v>
      </c>
      <c r="AK44" s="11" t="n">
        <f aca="false">Inputs!$F$136*(Inputs!$F$137*AK18/100+(1-Inputs!$F$137)*AK22/100*Inputs!$F$135/AK11)</f>
        <v>5.37676593863064</v>
      </c>
      <c r="AL44" s="11" t="n">
        <f aca="false">Inputs!$F$136*(Inputs!$F$137*AL18/100+(1-Inputs!$F$137)*AL22/100*Inputs!$F$135/AL11)</f>
        <v>5.43558859939865</v>
      </c>
      <c r="AM44" s="11" t="n">
        <f aca="false">Inputs!$F$136*(Inputs!$F$137*AM18/100+(1-Inputs!$F$137)*AM22/100*Inputs!$F$135/AM11)</f>
        <v>5.49505478928051</v>
      </c>
      <c r="AN44" s="11" t="n">
        <f aca="false">Inputs!$F$136*(Inputs!$F$137*AN18/100+(1-Inputs!$F$137)*AN22/100*Inputs!$F$135/AN11)</f>
        <v>5.55517154858542</v>
      </c>
      <c r="AO44" s="11" t="n">
        <f aca="false">Inputs!$F$136*(Inputs!$F$137*AO18/100+(1-Inputs!$F$137)*AO22/100*Inputs!$F$135/AO11)</f>
        <v>5.61594599464468</v>
      </c>
      <c r="AP44" s="11" t="n">
        <f aca="false">Inputs!$F$136*(Inputs!$F$137*AP18/100+(1-Inputs!$F$137)*AP22/100*Inputs!$F$135/AP11)</f>
        <v>5.6773853226543</v>
      </c>
      <c r="AQ44" s="11" t="n">
        <f aca="false">Inputs!$F$136*(Inputs!$F$137*AQ18/100+(1-Inputs!$F$137)*AQ22/100*Inputs!$F$135/AQ11)</f>
        <v>5.73949680652686</v>
      </c>
      <c r="AR44" s="11" t="n">
        <f aca="false">Inputs!$F$136*(Inputs!$F$137*AR18/100+(1-Inputs!$F$137)*AR22/100*Inputs!$F$135/AR11)</f>
        <v>5.80228779975269</v>
      </c>
      <c r="AS44" s="11" t="n">
        <f aca="false">Inputs!$F$136*(Inputs!$F$137*AS18/100+(1-Inputs!$F$137)*AS22/100*Inputs!$F$135/AS11)</f>
        <v>5.86576573627045</v>
      </c>
      <c r="AT44" s="11" t="n">
        <f aca="false">Inputs!$F$136*(Inputs!$F$137*AT18/100+(1-Inputs!$F$137)*AT22/100*Inputs!$F$135/AT11)</f>
        <v>5.92993813134725</v>
      </c>
      <c r="AU44" s="11" t="n">
        <f aca="false">Inputs!$F$136*(Inputs!$F$137*AU18/100+(1-Inputs!$F$137)*AU22/100*Inputs!$F$135/AU11)</f>
        <v>5.9948125824684</v>
      </c>
      <c r="AV44" s="11" t="n">
        <f aca="false">Inputs!$F$136*(Inputs!$F$137*AV18/100+(1-Inputs!$F$137)*AV22/100*Inputs!$F$135/AV11)</f>
        <v>6.06039677023689</v>
      </c>
      <c r="AW44" s="11" t="n">
        <f aca="false">Inputs!$F$136*(Inputs!$F$137*AW18/100+(1-Inputs!$F$137)*AW22/100*Inputs!$F$135/AW11)</f>
        <v>6.12669845928271</v>
      </c>
      <c r="AX44" s="11" t="n">
        <f aca="false">Inputs!$F$136*(Inputs!$F$137*AX18/100+(1-Inputs!$F$137)*AX22/100*Inputs!$F$135/AX11)</f>
        <v>6.1937254991821</v>
      </c>
      <c r="AY44" s="11" t="n">
        <f aca="false">Inputs!$F$136*(Inputs!$F$137*AY18/100+(1-Inputs!$F$137)*AY22/100*Inputs!$F$135/AY11)</f>
        <v>6.26148582538692</v>
      </c>
      <c r="AZ44" s="11" t="n">
        <f aca="false">Inputs!$F$136*(Inputs!$F$137*AZ18/100+(1-Inputs!$F$137)*AZ22/100*Inputs!$F$135/AZ11)</f>
        <v>6.32998746016411</v>
      </c>
      <c r="BA44" s="11" t="n">
        <f aca="false">Inputs!$F$136*(Inputs!$F$137*BA18/100+(1-Inputs!$F$137)*BA22/100*Inputs!$F$135/BA11)</f>
        <v>6.39923851354544</v>
      </c>
      <c r="BB44" s="11" t="n">
        <f aca="false">Inputs!$F$136*(Inputs!$F$137*BB18/100+(1-Inputs!$F$137)*BB22/100*Inputs!$F$135/BB11)</f>
        <v>6.46924718428772</v>
      </c>
      <c r="BC44" s="11" t="n">
        <f aca="false">Inputs!$F$136*(Inputs!$F$137*BC18/100+(1-Inputs!$F$137)*BC22/100*Inputs!$F$135/BC11)</f>
        <v>6.54002176084344</v>
      </c>
      <c r="BD44" s="11" t="n">
        <f aca="false">Inputs!$F$136*(Inputs!$F$137*BD18/100+(1-Inputs!$F$137)*BD22/100*Inputs!$F$135/BD11)</f>
        <v>6.61157062234205</v>
      </c>
      <c r="BE44" s="11" t="n">
        <f aca="false">Inputs!$F$136*(Inputs!$F$137*BE18/100+(1-Inputs!$F$137)*BE22/100*Inputs!$F$135/BE11)</f>
        <v>6.68390223958199</v>
      </c>
      <c r="BF44" s="11" t="n">
        <f aca="false">Inputs!$F$136*(Inputs!$F$137*BF18/100+(1-Inputs!$F$137)*BF22/100*Inputs!$F$135/BF11)</f>
        <v>6.75702517603357</v>
      </c>
      <c r="BG44" s="11" t="n">
        <f aca="false">Inputs!$F$136*(Inputs!$F$137*BG18/100+(1-Inputs!$F$137)*BG22/100*Inputs!$F$135/BG11)</f>
        <v>6.83094808885279</v>
      </c>
      <c r="BH44" s="11" t="n">
        <f aca="false">Inputs!$F$136*(Inputs!$F$137*BH18/100+(1-Inputs!$F$137)*BH22/100*Inputs!$F$135/BH11)</f>
        <v>6.90567972990631</v>
      </c>
      <c r="BI44" s="11" t="n">
        <f aca="false">Inputs!$F$136*(Inputs!$F$137*BI18/100+(1-Inputs!$F$137)*BI22/100*Inputs!$F$135/BI11)</f>
        <v>6.98122894680755</v>
      </c>
      <c r="BJ44" s="11" t="n">
        <f aca="false">Inputs!$F$136*(Inputs!$F$137*BJ18/100+(1-Inputs!$F$137)*BJ22/100*Inputs!$F$135/BJ11)</f>
        <v>7.05760468396425</v>
      </c>
      <c r="BK44" s="11" t="n">
        <f aca="false">Inputs!$F$136*(Inputs!$F$137*BK18/100+(1-Inputs!$F$137)*BK22/100*Inputs!$F$135/BK11)</f>
        <v>7.13481598363732</v>
      </c>
      <c r="BL44" s="11" t="n">
        <f aca="false">Inputs!$F$136*(Inputs!$F$137*BL18/100+(1-Inputs!$F$137)*BL22/100*Inputs!$F$135/BL11)</f>
        <v>7.21287198701146</v>
      </c>
      <c r="BM44" s="11" t="n">
        <f aca="false">Inputs!$F$136*(Inputs!$F$137*BM18/100+(1-Inputs!$F$137)*BM22/100*Inputs!$F$135/BM11)</f>
        <v>7.29178193527734</v>
      </c>
      <c r="BN44" s="11" t="n">
        <f aca="false">Inputs!$F$136*(Inputs!$F$137*BN18/100+(1-Inputs!$F$137)*BN22/100*Inputs!$F$135/BN11)</f>
        <v>7.37155517072571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499.273942551349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0</v>
      </c>
      <c r="P45" s="11" t="n">
        <f aca="false">P33*P44/1000000</f>
        <v>1.26661438596605</v>
      </c>
      <c r="Q45" s="11" t="n">
        <f aca="false">Q33*Q44/1000000</f>
        <v>7.77776566534109</v>
      </c>
      <c r="R45" s="11" t="n">
        <f aca="false">R33*R44/1000000</f>
        <v>7.89443935019963</v>
      </c>
      <c r="S45" s="11" t="n">
        <f aca="false">S33*S44/1000000</f>
        <v>7.91094603074042</v>
      </c>
      <c r="T45" s="11" t="n">
        <f aca="false">T33*T44/1000000</f>
        <v>8.00438624133837</v>
      </c>
      <c r="U45" s="11" t="n">
        <f aca="false">U33*U44/1000000</f>
        <v>8.15104336478979</v>
      </c>
      <c r="V45" s="11" t="n">
        <f aca="false">V33*V44/1000000</f>
        <v>8.18719775720324</v>
      </c>
      <c r="W45" s="11" t="n">
        <f aca="false">W33*W44/1000000</f>
        <v>8.03406306445941</v>
      </c>
      <c r="X45" s="11" t="n">
        <f aca="false">X33*X44/1000000</f>
        <v>8.16361022767788</v>
      </c>
      <c r="Y45" s="11" t="n">
        <f aca="false">Y33*Y44/1000000</f>
        <v>8.48800376755966</v>
      </c>
      <c r="Z45" s="11" t="n">
        <f aca="false">Z33*Z44/1000000</f>
        <v>8.56067439890165</v>
      </c>
      <c r="AA45" s="11" t="n">
        <f aca="false">AA33*AA44/1000000</f>
        <v>8.57853516352646</v>
      </c>
      <c r="AB45" s="11" t="n">
        <f aca="false">AB33*AB44/1000000</f>
        <v>8.67982112625899</v>
      </c>
      <c r="AC45" s="11" t="n">
        <f aca="false">AC33*AC44/1000000</f>
        <v>8.83881336481913</v>
      </c>
      <c r="AD45" s="11" t="n">
        <f aca="false">AD33*AD44/1000000</f>
        <v>8.84783465015625</v>
      </c>
      <c r="AE45" s="11" t="n">
        <f aca="false">AE33*AE44/1000000</f>
        <v>8.52918339357273</v>
      </c>
      <c r="AF45" s="11" t="n">
        <f aca="false">AF33*AF44/1000000</f>
        <v>8.69852072065913</v>
      </c>
      <c r="AG45" s="11" t="n">
        <f aca="false">AG33*AG44/1000000</f>
        <v>9.2040375056113</v>
      </c>
      <c r="AH45" s="11" t="n">
        <f aca="false">AH33*AH44/1000000</f>
        <v>9.28279589885874</v>
      </c>
      <c r="AI45" s="11" t="n">
        <f aca="false">AI33*AI44/1000000</f>
        <v>9.30212051474459</v>
      </c>
      <c r="AJ45" s="11" t="n">
        <f aca="false">AJ33*AJ44/1000000</f>
        <v>9.41190644775499</v>
      </c>
      <c r="AK45" s="11" t="n">
        <f aca="false">AK33*AK44/1000000</f>
        <v>9.58426443180329</v>
      </c>
      <c r="AL45" s="11" t="n">
        <f aca="false">AL33*AL44/1000000</f>
        <v>9.6266875728702</v>
      </c>
      <c r="AM45" s="11" t="n">
        <f aca="false">AM33*AM44/1000000</f>
        <v>9.44654156763818</v>
      </c>
      <c r="AN45" s="11" t="n">
        <f aca="false">AN33*AN44/1000000</f>
        <v>9.5987761848068</v>
      </c>
      <c r="AO45" s="11" t="n">
        <f aca="false">AO33*AO44/1000000</f>
        <v>9.98010619608741</v>
      </c>
      <c r="AP45" s="11" t="n">
        <f aca="false">AP33*AP44/1000000</f>
        <v>10.0654585940641</v>
      </c>
      <c r="AQ45" s="11" t="n">
        <f aca="false">AQ33*AQ44/1000000</f>
        <v>10.086365594271</v>
      </c>
      <c r="AR45" s="11" t="n">
        <f aca="false">AR33*AR44/1000000</f>
        <v>10.2053598190628</v>
      </c>
      <c r="AS45" s="11" t="n">
        <f aca="false">AS33*AS44/1000000</f>
        <v>10.3921996163543</v>
      </c>
      <c r="AT45" s="11" t="n">
        <f aca="false">AT33*AT44/1000000</f>
        <v>10.4027096833343</v>
      </c>
      <c r="AU45" s="11" t="n">
        <f aca="false">AU33*AU44/1000000</f>
        <v>10.027966885948</v>
      </c>
      <c r="AV45" s="11" t="n">
        <f aca="false">AV33*AV44/1000000</f>
        <v>10.2269655401879</v>
      </c>
      <c r="AW45" s="11" t="n">
        <f aca="false">AW33*AW44/1000000</f>
        <v>10.8212072678569</v>
      </c>
      <c r="AX45" s="11" t="n">
        <f aca="false">AX33*AX44/1000000</f>
        <v>10.9137016418846</v>
      </c>
      <c r="AY45" s="11" t="n">
        <f aca="false">AY33*AY44/1000000</f>
        <v>10.9363190118938</v>
      </c>
      <c r="AZ45" s="11" t="n">
        <f aca="false">AZ33*AZ44/1000000</f>
        <v>11.0652883831375</v>
      </c>
      <c r="BA45" s="11" t="n">
        <f aca="false">BA33*BA44/1000000</f>
        <v>11.26781851464</v>
      </c>
      <c r="BB45" s="11" t="n">
        <f aca="false">BB33*BB44/1000000</f>
        <v>11.317587156132</v>
      </c>
      <c r="BC45" s="11" t="n">
        <f aca="false">BC33*BC44/1000000</f>
        <v>11.1056943939615</v>
      </c>
      <c r="BD45" s="11" t="n">
        <f aca="false">BD33*BD44/1000000</f>
        <v>11.2845604058017</v>
      </c>
      <c r="BE45" s="11" t="n">
        <f aca="false">BE33*BE44/1000000</f>
        <v>11.7327505817637</v>
      </c>
      <c r="BF45" s="11" t="n">
        <f aca="false">BF33*BF44/1000000</f>
        <v>11.8329800345116</v>
      </c>
      <c r="BG45" s="11" t="n">
        <f aca="false">BG33*BG44/1000000</f>
        <v>11.8574459511359</v>
      </c>
      <c r="BH45" s="11" t="n">
        <f aca="false">BH33*BH44/1000000</f>
        <v>11.9972206447231</v>
      </c>
      <c r="BI45" s="11" t="n">
        <f aca="false">BI33*BI44/1000000</f>
        <v>12.2167496699106</v>
      </c>
      <c r="BJ45" s="11" t="n">
        <f aca="false">BJ33*BJ44/1000000</f>
        <v>12.2289885125851</v>
      </c>
      <c r="BK45" s="11" t="n">
        <f aca="false">BK33*BK44/1000000</f>
        <v>11.7883441769534</v>
      </c>
      <c r="BL45" s="11" t="n">
        <f aca="false">BL33*BL44/1000000</f>
        <v>12.0221615514479</v>
      </c>
      <c r="BM45" s="11" t="n">
        <f aca="false">BM33*BM44/1000000</f>
        <v>12.7205921140255</v>
      </c>
      <c r="BN45" s="11" t="n">
        <f aca="false">BN33*BN44/1000000</f>
        <v>10.7088178124166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4888.85545461932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0</v>
      </c>
      <c r="P46" s="11" t="n">
        <f aca="false">P33*P35*(1000*Inputs!$F$121/Inputs!$F$122)*P36/1000000</f>
        <v>12.7474357593207</v>
      </c>
      <c r="Q46" s="11" t="n">
        <f aca="false">Q33*Q35*(1000*Inputs!$F$121/Inputs!$F$122)*Q36/1000000</f>
        <v>78.0029167240814</v>
      </c>
      <c r="R46" s="11" t="n">
        <f aca="false">R33*R35*(1000*Inputs!$F$121/Inputs!$F$122)*R36/1000000</f>
        <v>77.8586376361968</v>
      </c>
      <c r="S46" s="11" t="n">
        <f aca="false">S33*S35*(1000*Inputs!$F$121/Inputs!$F$122)*S36/1000000</f>
        <v>78.7599742483568</v>
      </c>
      <c r="T46" s="11" t="n">
        <f aca="false">T33*T35*(1000*Inputs!$F$121/Inputs!$F$122)*T36/1000000</f>
        <v>78.8672207281559</v>
      </c>
      <c r="U46" s="11" t="n">
        <f aca="false">U33*U35*(1000*Inputs!$F$121/Inputs!$F$122)*U36/1000000</f>
        <v>81.0724174414755</v>
      </c>
      <c r="V46" s="11" t="n">
        <f aca="false">V33*V35*(1000*Inputs!$F$121/Inputs!$F$122)*V36/1000000</f>
        <v>80.5909620115782</v>
      </c>
      <c r="W46" s="11" t="n">
        <f aca="false">W33*W35*(1000*Inputs!$F$121/Inputs!$F$122)*W36/1000000</f>
        <v>79.8320900308212</v>
      </c>
      <c r="X46" s="11" t="n">
        <f aca="false">X33*X35*(1000*Inputs!$F$121/Inputs!$F$122)*X36/1000000</f>
        <v>80.2814943979829</v>
      </c>
      <c r="Y46" s="11" t="n">
        <f aca="false">Y33*Y35*(1000*Inputs!$F$121/Inputs!$F$122)*Y36/1000000</f>
        <v>84.2616072128242</v>
      </c>
      <c r="Z46" s="11" t="n">
        <f aca="false">Z33*Z35*(1000*Inputs!$F$121/Inputs!$F$122)*Z36/1000000</f>
        <v>84.1052028840303</v>
      </c>
      <c r="AA46" s="11" t="n">
        <f aca="false">AA33*AA35*(1000*Inputs!$F$121/Inputs!$F$122)*AA36/1000000</f>
        <v>85.0782978110295</v>
      </c>
      <c r="AB46" s="11" t="n">
        <f aca="false">AB33*AB35*(1000*Inputs!$F$121/Inputs!$F$122)*AB36/1000000</f>
        <v>85.1935911690799</v>
      </c>
      <c r="AC46" s="11" t="n">
        <f aca="false">AC33*AC35*(1000*Inputs!$F$121/Inputs!$F$122)*AC36/1000000</f>
        <v>87.5751060575128</v>
      </c>
      <c r="AD46" s="11" t="n">
        <f aca="false">AD33*AD35*(1000*Inputs!$F$121/Inputs!$F$122)*AD36/1000000</f>
        <v>86.758889656688</v>
      </c>
      <c r="AE46" s="11" t="n">
        <f aca="false">AE33*AE35*(1000*Inputs!$F$121/Inputs!$F$122)*AE36/1000000</f>
        <v>84.4257220958956</v>
      </c>
      <c r="AF46" s="11" t="n">
        <f aca="false">AF33*AF35*(1000*Inputs!$F$121/Inputs!$F$122)*AF36/1000000</f>
        <v>85.212400239831</v>
      </c>
      <c r="AG46" s="11" t="n">
        <f aca="false">AG33*AG35*(1000*Inputs!$F$121/Inputs!$F$122)*AG36/1000000</f>
        <v>91.0177102868353</v>
      </c>
      <c r="AH46" s="11" t="n">
        <f aca="false">AH33*AH35*(1000*Inputs!$F$121/Inputs!$F$122)*AH36/1000000</f>
        <v>90.8481690991381</v>
      </c>
      <c r="AI46" s="11" t="n">
        <f aca="false">AI33*AI35*(1000*Inputs!$F$121/Inputs!$F$122)*AI36/1000000</f>
        <v>91.8986762616863</v>
      </c>
      <c r="AJ46" s="11" t="n">
        <f aca="false">AJ33*AJ35*(1000*Inputs!$F$121/Inputs!$F$122)*AJ36/1000000</f>
        <v>92.0226072379984</v>
      </c>
      <c r="AK46" s="11" t="n">
        <f aca="false">AK33*AK35*(1000*Inputs!$F$121/Inputs!$F$122)*AK36/1000000</f>
        <v>94.5943991409492</v>
      </c>
      <c r="AL46" s="11" t="n">
        <f aca="false">AL33*AL35*(1000*Inputs!$F$121/Inputs!$F$122)*AL36/1000000</f>
        <v>94.031407760169</v>
      </c>
      <c r="AM46" s="11" t="n">
        <f aca="false">AM33*AM35*(1000*Inputs!$F$121/Inputs!$F$122)*AM36/1000000</f>
        <v>93.1447521523658</v>
      </c>
      <c r="AN46" s="11" t="n">
        <f aca="false">AN33*AN35*(1000*Inputs!$F$121/Inputs!$F$122)*AN36/1000000</f>
        <v>93.6678667990417</v>
      </c>
      <c r="AO46" s="11" t="n">
        <f aca="false">AO33*AO35*(1000*Inputs!$F$121/Inputs!$F$122)*AO36/1000000</f>
        <v>98.3103416716607</v>
      </c>
      <c r="AP46" s="11" t="n">
        <f aca="false">AP33*AP35*(1000*Inputs!$F$121/Inputs!$F$122)*AP36/1000000</f>
        <v>98.1265681974824</v>
      </c>
      <c r="AQ46" s="11" t="n">
        <f aca="false">AQ33*AQ35*(1000*Inputs!$F$121/Inputs!$F$122)*AQ36/1000000</f>
        <v>99.2605817716774</v>
      </c>
      <c r="AR46" s="11" t="n">
        <f aca="false">AR33*AR35*(1000*Inputs!$F$121/Inputs!$F$122)*AR36/1000000</f>
        <v>99.3937832292389</v>
      </c>
      <c r="AS46" s="11" t="n">
        <f aca="false">AS33*AS35*(1000*Inputs!$F$121/Inputs!$F$122)*AS36/1000000</f>
        <v>102.17090387996</v>
      </c>
      <c r="AT46" s="11" t="n">
        <f aca="false">AT33*AT35*(1000*Inputs!$F$121/Inputs!$F$122)*AT36/1000000</f>
        <v>101.217314841923</v>
      </c>
      <c r="AU46" s="11" t="n">
        <f aca="false">AU33*AU35*(1000*Inputs!$F$121/Inputs!$F$122)*AU36/1000000</f>
        <v>98.4940212879942</v>
      </c>
      <c r="AV46" s="11" t="n">
        <f aca="false">AV33*AV35*(1000*Inputs!$F$121/Inputs!$F$122)*AV36/1000000</f>
        <v>99.4104724700738</v>
      </c>
      <c r="AW46" s="11" t="n">
        <f aca="false">AW33*AW35*(1000*Inputs!$F$121/Inputs!$F$122)*AW36/1000000</f>
        <v>106.181656117547</v>
      </c>
      <c r="AX46" s="11" t="n">
        <f aca="false">AX33*AX35*(1000*Inputs!$F$121/Inputs!$F$122)*AX36/1000000</f>
        <v>105.982464224198</v>
      </c>
      <c r="AY46" s="11" t="n">
        <f aca="false">AY33*AY35*(1000*Inputs!$F$121/Inputs!$F$122)*AY36/1000000</f>
        <v>107.206552453022</v>
      </c>
      <c r="AZ46" s="11" t="n">
        <f aca="false">AZ33*AZ35*(1000*Inputs!$F$121/Inputs!$F$122)*AZ36/1000000</f>
        <v>107.349702259629</v>
      </c>
      <c r="BA46" s="11" t="n">
        <f aca="false">BA33*BA35*(1000*Inputs!$F$121/Inputs!$F$122)*BA36/1000000</f>
        <v>110.348380761902</v>
      </c>
      <c r="BB46" s="11" t="n">
        <f aca="false">BB33*BB35*(1000*Inputs!$F$121/Inputs!$F$122)*BB36/1000000</f>
        <v>109.690169270263</v>
      </c>
      <c r="BC46" s="11" t="n">
        <f aca="false">BC33*BC35*(1000*Inputs!$F$121/Inputs!$F$122)*BC36/1000000</f>
        <v>108.654416087526</v>
      </c>
      <c r="BD46" s="11" t="n">
        <f aca="false">BD33*BD35*(1000*Inputs!$F$121/Inputs!$F$122)*BD36/1000000</f>
        <v>109.263180487887</v>
      </c>
      <c r="BE46" s="11" t="n">
        <f aca="false">BE33*BE35*(1000*Inputs!$F$121/Inputs!$F$122)*BE36/1000000</f>
        <v>114.677080174812</v>
      </c>
      <c r="BF46" s="11" t="n">
        <f aca="false">BF33*BF35*(1000*Inputs!$F$121/Inputs!$F$122)*BF36/1000000</f>
        <v>114.461185565561</v>
      </c>
      <c r="BG46" s="11" t="n">
        <f aca="false">BG33*BG35*(1000*Inputs!$F$121/Inputs!$F$122)*BG36/1000000</f>
        <v>115.782427124093</v>
      </c>
      <c r="BH46" s="11" t="n">
        <f aca="false">BH33*BH35*(1000*Inputs!$F$121/Inputs!$F$122)*BH36/1000000</f>
        <v>115.936251219054</v>
      </c>
      <c r="BI46" s="11" t="n">
        <f aca="false">BI33*BI35*(1000*Inputs!$F$121/Inputs!$F$122)*BI36/1000000</f>
        <v>119.173984954597</v>
      </c>
      <c r="BJ46" s="11" t="n">
        <f aca="false">BJ33*BJ35*(1000*Inputs!$F$121/Inputs!$F$122)*BJ36/1000000</f>
        <v>118.060121925624</v>
      </c>
      <c r="BK46" s="11" t="n">
        <f aca="false">BK33*BK35*(1000*Inputs!$F$121/Inputs!$F$122)*BK36/1000000</f>
        <v>114.882127395559</v>
      </c>
      <c r="BL46" s="11" t="n">
        <f aca="false">BL33*BL35*(1000*Inputs!$F$121/Inputs!$F$122)*BL36/1000000</f>
        <v>115.949510089741</v>
      </c>
      <c r="BM46" s="11" t="n">
        <f aca="false">BM33*BM35*(1000*Inputs!$F$121/Inputs!$F$122)*BM36/1000000</f>
        <v>123.845562492629</v>
      </c>
      <c r="BN46" s="11" t="n">
        <f aca="false">BN33*BN35*(1000*Inputs!$F$121/Inputs!$F$122)*BN36/1000000</f>
        <v>103.177139822621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696.384199649914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0</v>
      </c>
      <c r="P47" s="11" t="n">
        <f aca="false">Inputs!$F$143*Time!P26*Inputs!$F$144*(1+Inputs!$F$146/100)^(Time!P21-2018)/1000000</f>
        <v>1.93945105246375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16.4303479493762</v>
      </c>
      <c r="BN47" s="11" t="n">
        <f aca="false">Inputs!$F$143*Time!BN26*Inputs!$F$144*(1+Inputs!$F$146/100)^(Time!BN21-2018)/1000000</f>
        <v>13.8886366643899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146.656070080484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</v>
      </c>
      <c r="P48" s="11" t="n">
        <f aca="false">P37*Inputs!$F$145*(1+Inputs!$F$146/100)^(Time!P21-2018)/1000000</f>
        <v>0.408123661554118</v>
      </c>
      <c r="Q48" s="11" t="n">
        <f aca="false">Q37*Inputs!$F$145*(1+Inputs!$F$146/100)^(Time!Q21-2018)/1000000</f>
        <v>2.48525512791559</v>
      </c>
      <c r="R48" s="11" t="n">
        <f aca="false">R37*Inputs!$F$145*(1+Inputs!$F$146/100)^(Time!R21-2018)/1000000</f>
        <v>2.48090600430225</v>
      </c>
      <c r="S48" s="11" t="n">
        <f aca="false">S37*Inputs!$F$145*(1+Inputs!$F$146/100)^(Time!S21-2018)/1000000</f>
        <v>2.497573467346</v>
      </c>
      <c r="T48" s="11" t="n">
        <f aca="false">T37*Inputs!$F$145*(1+Inputs!$F$146/100)^(Time!T21-2018)/1000000</f>
        <v>2.50122362313011</v>
      </c>
      <c r="U48" s="11" t="n">
        <f aca="false">U37*Inputs!$F$145*(1+Inputs!$F$146/100)^(Time!U21-2018)/1000000</f>
        <v>2.55881100499938</v>
      </c>
      <c r="V48" s="11" t="n">
        <f aca="false">V37*Inputs!$F$145*(1+Inputs!$F$146/100)^(Time!V21-2018)/1000000</f>
        <v>2.54386822339043</v>
      </c>
      <c r="W48" s="11" t="n">
        <f aca="false">W37*Inputs!$F$145*(1+Inputs!$F$146/100)^(Time!W21-2018)/1000000</f>
        <v>2.50781084790856</v>
      </c>
      <c r="X48" s="11" t="n">
        <f aca="false">X37*Inputs!$F$145*(1+Inputs!$F$146/100)^(Time!X21-2018)/1000000</f>
        <v>2.52217847175019</v>
      </c>
      <c r="Y48" s="11" t="n">
        <f aca="false">Y37*Inputs!$F$145*(1+Inputs!$F$146/100)^(Time!Y21-2018)/1000000</f>
        <v>2.63450494093857</v>
      </c>
      <c r="Z48" s="11" t="n">
        <f aca="false">Z37*Inputs!$F$145*(1+Inputs!$F$146/100)^(Time!Z21-2018)/1000000</f>
        <v>2.62987518031242</v>
      </c>
      <c r="AA48" s="11" t="n">
        <f aca="false">AA37*Inputs!$F$145*(1+Inputs!$F$146/100)^(Time!AA21-2018)/1000000</f>
        <v>2.64752386869151</v>
      </c>
      <c r="AB48" s="11" t="n">
        <f aca="false">AB37*Inputs!$F$145*(1+Inputs!$F$146/100)^(Time!AB21-2018)/1000000</f>
        <v>2.65137354269658</v>
      </c>
      <c r="AC48" s="11" t="n">
        <f aca="false">AC37*Inputs!$F$145*(1+Inputs!$F$146/100)^(Time!AC21-2018)/1000000</f>
        <v>2.71239783620011</v>
      </c>
      <c r="AD48" s="11" t="n">
        <f aca="false">AD37*Inputs!$F$145*(1+Inputs!$F$146/100)^(Time!AD21-2018)/1000000</f>
        <v>2.68738265503187</v>
      </c>
      <c r="AE48" s="11" t="n">
        <f aca="false">AE37*Inputs!$F$145*(1+Inputs!$F$146/100)^(Time!AE21-2018)/1000000</f>
        <v>2.60254914615226</v>
      </c>
      <c r="AF48" s="11" t="n">
        <f aca="false">AF37*Inputs!$F$145*(1+Inputs!$F$146/100)^(Time!AF21-2018)/1000000</f>
        <v>2.62705804114404</v>
      </c>
      <c r="AG48" s="11" t="n">
        <f aca="false">AG37*Inputs!$F$145*(1+Inputs!$F$146/100)^(Time!AG21-2018)/1000000</f>
        <v>2.79255228475565</v>
      </c>
      <c r="AH48" s="11" t="n">
        <f aca="false">AH37*Inputs!$F$145*(1+Inputs!$F$146/100)^(Time!AH21-2018)/1000000</f>
        <v>2.78762407981226</v>
      </c>
      <c r="AI48" s="11" t="n">
        <f aca="false">AI37*Inputs!$F$145*(1+Inputs!$F$146/100)^(Time!AI21-2018)/1000000</f>
        <v>2.80631054898283</v>
      </c>
      <c r="AJ48" s="11" t="n">
        <f aca="false">AJ37*Inputs!$F$145*(1+Inputs!$F$146/100)^(Time!AJ21-2018)/1000000</f>
        <v>2.81037022112372</v>
      </c>
      <c r="AK48" s="11" t="n">
        <f aca="false">AK37*Inputs!$F$145*(1+Inputs!$F$146/100)^(Time!AK21-2018)/1000000</f>
        <v>2.87503261976931</v>
      </c>
      <c r="AL48" s="11" t="n">
        <f aca="false">AL37*Inputs!$F$145*(1+Inputs!$F$146/100)^(Time!AL21-2018)/1000000</f>
        <v>2.85820074000908</v>
      </c>
      <c r="AM48" s="11" t="n">
        <f aca="false">AM37*Inputs!$F$145*(1+Inputs!$F$146/100)^(Time!AM21-2018)/1000000</f>
        <v>2.81764607762169</v>
      </c>
      <c r="AN48" s="11" t="n">
        <f aca="false">AN37*Inputs!$F$145*(1+Inputs!$F$146/100)^(Time!AN21-2018)/1000000</f>
        <v>2.83374666894219</v>
      </c>
      <c r="AO48" s="11" t="n">
        <f aca="false">AO37*Inputs!$F$145*(1+Inputs!$F$146/100)^(Time!AO21-2018)/1000000</f>
        <v>2.95990496046848</v>
      </c>
      <c r="AP48" s="11" t="n">
        <f aca="false">AP37*Inputs!$F$145*(1+Inputs!$F$146/100)^(Time!AP21-2018)/1000000</f>
        <v>2.95465939102487</v>
      </c>
      <c r="AQ48" s="11" t="n">
        <f aca="false">AQ37*Inputs!$F$145*(1+Inputs!$F$146/100)^(Time!AQ21-2018)/1000000</f>
        <v>2.97444337464817</v>
      </c>
      <c r="AR48" s="11" t="n">
        <f aca="false">AR37*Inputs!$F$145*(1+Inputs!$F$146/100)^(Time!AR21-2018)/1000000</f>
        <v>2.97872404366323</v>
      </c>
      <c r="AS48" s="11" t="n">
        <f aca="false">AS37*Inputs!$F$145*(1+Inputs!$F$146/100)^(Time!AS21-2018)/1000000</f>
        <v>3.04723726022646</v>
      </c>
      <c r="AT48" s="11" t="n">
        <f aca="false">AT37*Inputs!$F$145*(1+Inputs!$F$146/100)^(Time!AT21-2018)/1000000</f>
        <v>3.01908899731821</v>
      </c>
      <c r="AU48" s="11" t="n">
        <f aca="false">AU37*Inputs!$F$145*(1+Inputs!$F$146/100)^(Time!AU21-2018)/1000000</f>
        <v>2.92374078898384</v>
      </c>
      <c r="AV48" s="11" t="n">
        <f aca="false">AV37*Inputs!$F$145*(1+Inputs!$F$146/100)^(Time!AV21-2018)/1000000</f>
        <v>2.95123038418024</v>
      </c>
      <c r="AW48" s="11" t="n">
        <f aca="false">AW37*Inputs!$F$145*(1+Inputs!$F$146/100)^(Time!AW21-2018)/1000000</f>
        <v>3.1370993558864</v>
      </c>
      <c r="AX48" s="11" t="n">
        <f aca="false">AX37*Inputs!$F$145*(1+Inputs!$F$146/100)^(Time!AX21-2018)/1000000</f>
        <v>3.13151632032495</v>
      </c>
      <c r="AY48" s="11" t="n">
        <f aca="false">AY37*Inputs!$F$145*(1+Inputs!$F$146/100)^(Time!AY21-2018)/1000000</f>
        <v>3.15246090319439</v>
      </c>
      <c r="AZ48" s="11" t="n">
        <f aca="false">AZ37*Inputs!$F$145*(1+Inputs!$F$146/100)^(Time!AZ21-2018)/1000000</f>
        <v>3.15697410987151</v>
      </c>
      <c r="BA48" s="11" t="n">
        <f aca="false">BA37*Inputs!$F$145*(1+Inputs!$F$146/100)^(Time!BA21-2018)/1000000</f>
        <v>3.22956301835661</v>
      </c>
      <c r="BB48" s="11" t="n">
        <f aca="false">BB37*Inputs!$F$145*(1+Inputs!$F$146/100)^(Time!BB21-2018)/1000000</f>
        <v>3.21060747350747</v>
      </c>
      <c r="BC48" s="11" t="n">
        <f aca="false">BC37*Inputs!$F$145*(1+Inputs!$F$146/100)^(Time!BC21-2018)/1000000</f>
        <v>3.16500514592022</v>
      </c>
      <c r="BD48" s="11" t="n">
        <f aca="false">BD37*Inputs!$F$145*(1+Inputs!$F$146/100)^(Time!BD21-2018)/1000000</f>
        <v>3.18304291179991</v>
      </c>
      <c r="BE48" s="11" t="n">
        <f aca="false">BE37*Inputs!$F$145*(1+Inputs!$F$146/100)^(Time!BE21-2018)/1000000</f>
        <v>3.32470200450799</v>
      </c>
      <c r="BF48" s="11" t="n">
        <f aca="false">BF37*Inputs!$F$145*(1+Inputs!$F$146/100)^(Time!BF21-2018)/1000000</f>
        <v>3.31876014705678</v>
      </c>
      <c r="BG48" s="11" t="n">
        <f aca="false">BG37*Inputs!$F$145*(1+Inputs!$F$146/100)^(Time!BG21-2018)/1000000</f>
        <v>3.34093194702467</v>
      </c>
      <c r="BH48" s="11" t="n">
        <f aca="false">BH37*Inputs!$F$145*(1+Inputs!$F$146/100)^(Time!BH21-2018)/1000000</f>
        <v>3.3456897982637</v>
      </c>
      <c r="BI48" s="11" t="n">
        <f aca="false">BI37*Inputs!$F$145*(1+Inputs!$F$146/100)^(Time!BI21-2018)/1000000</f>
        <v>3.42259211040503</v>
      </c>
      <c r="BJ48" s="11" t="n">
        <f aca="false">BJ37*Inputs!$F$145*(1+Inputs!$F$146/100)^(Time!BJ21-2018)/1000000</f>
        <v>3.39092559535138</v>
      </c>
      <c r="BK48" s="11" t="n">
        <f aca="false">BK37*Inputs!$F$145*(1+Inputs!$F$146/100)^(Time!BK21-2018)/1000000</f>
        <v>3.28378472419834</v>
      </c>
      <c r="BL48" s="11" t="n">
        <f aca="false">BL37*Inputs!$F$145*(1+Inputs!$F$146/100)^(Time!BL21-2018)/1000000</f>
        <v>3.3146096324957</v>
      </c>
      <c r="BM48" s="11" t="n">
        <f aca="false">BM37*Inputs!$F$145*(1+Inputs!$F$146/100)^(Time!BM21-2018)/1000000</f>
        <v>3.5233112259024</v>
      </c>
      <c r="BN48" s="11" t="n">
        <f aca="false">BN37*Inputs!$F$145*(1+Inputs!$F$146/100)^(Time!BN21-2018)/1000000</f>
        <v>2.93556557142191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3839.0051927958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0</v>
      </c>
      <c r="P50" s="11" t="n">
        <f aca="false">P43+P45</f>
        <v>11.2348785631155</v>
      </c>
      <c r="Q50" s="11" t="n">
        <f aca="false">Q43+Q45</f>
        <v>68.0522180443566</v>
      </c>
      <c r="R50" s="11" t="n">
        <f aca="false">R43+R45</f>
        <v>68.5167235332343</v>
      </c>
      <c r="S50" s="11" t="n">
        <f aca="false">S43+S45</f>
        <v>68.7576465297807</v>
      </c>
      <c r="T50" s="11" t="n">
        <f aca="false">T43+T45</f>
        <v>69.0779582059998</v>
      </c>
      <c r="U50" s="11" t="n">
        <f aca="false">U43+U45</f>
        <v>69.4539688044089</v>
      </c>
      <c r="V50" s="11" t="n">
        <f aca="false">V43+V45</f>
        <v>69.7219858346872</v>
      </c>
      <c r="W50" s="11" t="n">
        <f aca="false">W43+W45</f>
        <v>69.8032503933501</v>
      </c>
      <c r="X50" s="11" t="n">
        <f aca="false">X43+X45</f>
        <v>70.1697611724665</v>
      </c>
      <c r="Y50" s="11" t="n">
        <f aca="false">Y43+Y45</f>
        <v>70.733710747286</v>
      </c>
      <c r="Z50" s="11" t="n">
        <f aca="false">Z43+Z45</f>
        <v>71.0485581940756</v>
      </c>
      <c r="AA50" s="11" t="n">
        <f aca="false">AA43+AA45</f>
        <v>71.3112452264068</v>
      </c>
      <c r="AB50" s="11" t="n">
        <f aca="false">AB43+AB45</f>
        <v>71.6600358945267</v>
      </c>
      <c r="AC50" s="11" t="n">
        <f aca="false">AC43+AC45</f>
        <v>72.0692405786828</v>
      </c>
      <c r="AD50" s="11" t="n">
        <f aca="false">AD43+AD45</f>
        <v>72.3312116729259</v>
      </c>
      <c r="AE50" s="11" t="n">
        <f aca="false">AE43+AE45</f>
        <v>71.3476017314656</v>
      </c>
      <c r="AF50" s="11" t="n">
        <f aca="false">AF43+AF45</f>
        <v>72.3761415232954</v>
      </c>
      <c r="AG50" s="11" t="n">
        <f aca="false">AG43+AG45</f>
        <v>73.4629892485077</v>
      </c>
      <c r="AH50" s="11" t="n">
        <f aca="false">AH43+AH45</f>
        <v>73.8059496699605</v>
      </c>
      <c r="AI50" s="11" t="n">
        <f aca="false">AI43+AI45</f>
        <v>74.0923667255847</v>
      </c>
      <c r="AJ50" s="11" t="n">
        <f aca="false">AJ43+AJ45</f>
        <v>74.4721671314209</v>
      </c>
      <c r="AK50" s="11" t="n">
        <f aca="false">AK43+AK45</f>
        <v>74.9174935888819</v>
      </c>
      <c r="AL50" s="11" t="n">
        <f aca="false">AL43+AL45</f>
        <v>75.2358715211768</v>
      </c>
      <c r="AM50" s="11" t="n">
        <f aca="false">AM43+AM45</f>
        <v>75.3346992957725</v>
      </c>
      <c r="AN50" s="11" t="n">
        <f aca="false">AN43+AN45</f>
        <v>75.7689597095761</v>
      </c>
      <c r="AO50" s="11" t="n">
        <f aca="false">AO43+AO45</f>
        <v>76.4354009238407</v>
      </c>
      <c r="AP50" s="11" t="n">
        <f aca="false">AP43+AP45</f>
        <v>76.8089836859784</v>
      </c>
      <c r="AQ50" s="11" t="n">
        <f aca="false">AQ43+AQ45</f>
        <v>77.1212743356348</v>
      </c>
      <c r="AR50" s="11" t="n">
        <f aca="false">AR43+AR45</f>
        <v>77.5348399925992</v>
      </c>
      <c r="AS50" s="11" t="n">
        <f aca="false">AS43+AS45</f>
        <v>78.0194738796281</v>
      </c>
      <c r="AT50" s="11" t="n">
        <f aca="false">AT43+AT45</f>
        <v>78.3310359502885</v>
      </c>
      <c r="AU50" s="11" t="n">
        <f aca="false">AU43+AU45</f>
        <v>77.2750556751175</v>
      </c>
      <c r="AV50" s="11" t="n">
        <f aca="false">AV43+AV45</f>
        <v>78.4246107797429</v>
      </c>
      <c r="AW50" s="11" t="n">
        <f aca="false">AW43+AW45</f>
        <v>79.6725954043094</v>
      </c>
      <c r="AX50" s="11" t="n">
        <f aca="false">AX43+AX45</f>
        <v>80.0795337793491</v>
      </c>
      <c r="AY50" s="11" t="n">
        <f aca="false">AY43+AY45</f>
        <v>80.4200352169482</v>
      </c>
      <c r="AZ50" s="11" t="n">
        <f aca="false">AZ43+AZ45</f>
        <v>80.8703663572263</v>
      </c>
      <c r="BA50" s="11" t="n">
        <f aca="false">BA43+BA45</f>
        <v>81.3977740058056</v>
      </c>
      <c r="BB50" s="11" t="n">
        <f aca="false">BB43+BB45</f>
        <v>81.7759743752507</v>
      </c>
      <c r="BC50" s="11" t="n">
        <f aca="false">BC43+BC45</f>
        <v>81.8961064355327</v>
      </c>
      <c r="BD50" s="11" t="n">
        <f aca="false">BD43+BD45</f>
        <v>82.410629673341</v>
      </c>
      <c r="BE50" s="11" t="n">
        <f aca="false">BE43+BE45</f>
        <v>83.1981492178495</v>
      </c>
      <c r="BF50" s="11" t="n">
        <f aca="false">BF43+BF45</f>
        <v>83.6414203555368</v>
      </c>
      <c r="BG50" s="11" t="n">
        <f aca="false">BG43+BG45</f>
        <v>84.0126808868156</v>
      </c>
      <c r="BH50" s="11" t="n">
        <f aca="false">BH43+BH45</f>
        <v>84.5030441824108</v>
      </c>
      <c r="BI50" s="11" t="n">
        <f aca="false">BI43+BI45</f>
        <v>85.0769973037753</v>
      </c>
      <c r="BJ50" s="11" t="n">
        <f aca="false">BJ43+BJ45</f>
        <v>85.447537697702</v>
      </c>
      <c r="BK50" s="11" t="n">
        <f aca="false">BK43+BK45</f>
        <v>84.3062814350872</v>
      </c>
      <c r="BL50" s="11" t="n">
        <f aca="false">BL43+BL45</f>
        <v>85.5993815742534</v>
      </c>
      <c r="BM50" s="11" t="n">
        <f aca="false">BM43+BM45</f>
        <v>87.0377372084862</v>
      </c>
      <c r="BN50" s="11" t="n">
        <f aca="false">BN43+BN45</f>
        <v>72.9516389223489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9570.90091714552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0</v>
      </c>
      <c r="P51" s="11" t="n">
        <f aca="false">P50+P46+P47+P48+P49</f>
        <v>26.3298890364541</v>
      </c>
      <c r="Q51" s="11" t="n">
        <f aca="false">Q50+Q46+Q47+Q48+Q49</f>
        <v>160.034139899688</v>
      </c>
      <c r="R51" s="11" t="n">
        <f aca="false">R50+R46+R47+R48+R49</f>
        <v>160.54052132077</v>
      </c>
      <c r="S51" s="11" t="n">
        <f aca="false">S50+S46+S47+S48+S49</f>
        <v>161.681350498868</v>
      </c>
      <c r="T51" s="11" t="n">
        <f aca="false">T50+T46+T47+T48+T49</f>
        <v>162.305920516528</v>
      </c>
      <c r="U51" s="11" t="n">
        <f aca="false">U50+U46+U47+U48+U49</f>
        <v>164.991766558551</v>
      </c>
      <c r="V51" s="11" t="n">
        <f aca="false">V50+V46+V47+V48+V49</f>
        <v>164.894226798286</v>
      </c>
      <c r="W51" s="11" t="n">
        <f aca="false">W50+W46+W47+W48+W49</f>
        <v>164.161917098223</v>
      </c>
      <c r="X51" s="11" t="n">
        <f aca="false">X50+X46+X47+X48+X49</f>
        <v>165.19140593176</v>
      </c>
      <c r="Y51" s="11" t="n">
        <f aca="false">Y50+Y46+Y47+Y48+Y49</f>
        <v>169.828870214584</v>
      </c>
      <c r="Z51" s="11" t="n">
        <f aca="false">Z50+Z46+Z47+Z48+Z49</f>
        <v>170.184877726322</v>
      </c>
      <c r="AA51" s="11" t="n">
        <f aca="false">AA50+AA46+AA47+AA48+AA49</f>
        <v>171.419099929366</v>
      </c>
      <c r="AB51" s="11" t="n">
        <f aca="false">AB50+AB46+AB47+AB48+AB49</f>
        <v>172.092260696225</v>
      </c>
      <c r="AC51" s="11" t="n">
        <f aca="false">AC50+AC46+AC47+AC48+AC49</f>
        <v>174.993943148544</v>
      </c>
      <c r="AD51" s="11" t="n">
        <f aca="false">AD50+AD46+AD47+AD48+AD49</f>
        <v>174.553552975917</v>
      </c>
      <c r="AE51" s="11" t="n">
        <f aca="false">AE50+AE46+AE47+AE48+AE49</f>
        <v>171.132152944879</v>
      </c>
      <c r="AF51" s="11" t="n">
        <f aca="false">AF50+AF46+AF47+AF48+AF49</f>
        <v>173.18330983041</v>
      </c>
      <c r="AG51" s="11" t="n">
        <f aca="false">AG50+AG46+AG47+AG48+AG49</f>
        <v>180.220875991035</v>
      </c>
      <c r="AH51" s="11" t="n">
        <f aca="false">AH50+AH46+AH47+AH48+AH49</f>
        <v>180.603968525443</v>
      </c>
      <c r="AI51" s="11" t="n">
        <f aca="false">AI50+AI46+AI47+AI48+AI49</f>
        <v>181.939192069754</v>
      </c>
      <c r="AJ51" s="11" t="n">
        <f aca="false">AJ50+AJ46+AJ47+AJ48+AJ49</f>
        <v>182.664803652223</v>
      </c>
      <c r="AK51" s="11" t="n">
        <f aca="false">AK50+AK46+AK47+AK48+AK49</f>
        <v>185.799587406471</v>
      </c>
      <c r="AL51" s="11" t="n">
        <f aca="false">AL50+AL46+AL47+AL48+AL49</f>
        <v>185.68553396896</v>
      </c>
      <c r="AM51" s="11" t="n">
        <f aca="false">AM50+AM46+AM47+AM48+AM49</f>
        <v>184.836148128935</v>
      </c>
      <c r="AN51" s="11" t="n">
        <f aca="false">AN50+AN46+AN47+AN48+AN49</f>
        <v>186.034027934379</v>
      </c>
      <c r="AO51" s="11" t="n">
        <f aca="false">AO50+AO46+AO47+AO48+AO49</f>
        <v>191.447783918193</v>
      </c>
      <c r="AP51" s="11" t="n">
        <f aca="false">AP50+AP46+AP47+AP48+AP49</f>
        <v>191.860117852657</v>
      </c>
      <c r="AQ51" s="11" t="n">
        <f aca="false">AQ50+AQ46+AQ47+AQ48+AQ49</f>
        <v>193.304567889617</v>
      </c>
      <c r="AR51" s="11" t="n">
        <f aca="false">AR50+AR46+AR47+AR48+AR49</f>
        <v>194.086802442345</v>
      </c>
      <c r="AS51" s="11" t="n">
        <f aca="false">AS50+AS46+AS47+AS48+AS49</f>
        <v>197.473325643828</v>
      </c>
      <c r="AT51" s="11" t="n">
        <f aca="false">AT50+AT46+AT47+AT48+AT49</f>
        <v>196.959586794027</v>
      </c>
      <c r="AU51" s="11" t="n">
        <f aca="false">AU50+AU46+AU47+AU48+AU49</f>
        <v>193.062672572373</v>
      </c>
      <c r="AV51" s="11" t="n">
        <f aca="false">AV50+AV46+AV47+AV48+AV49</f>
        <v>195.394342843561</v>
      </c>
      <c r="AW51" s="11" t="n">
        <f aca="false">AW50+AW46+AW47+AW48+AW49</f>
        <v>203.576753520325</v>
      </c>
      <c r="AX51" s="11" t="n">
        <f aca="false">AX50+AX46+AX47+AX48+AX49</f>
        <v>204.02066397158</v>
      </c>
      <c r="AY51" s="11" t="n">
        <f aca="false">AY50+AY46+AY47+AY48+AY49</f>
        <v>205.583232255386</v>
      </c>
      <c r="AZ51" s="11" t="n">
        <f aca="false">AZ50+AZ46+AZ47+AZ48+AZ49</f>
        <v>206.42659961915</v>
      </c>
      <c r="BA51" s="11" t="n">
        <f aca="false">BA50+BA46+BA47+BA48+BA49</f>
        <v>210.084982159636</v>
      </c>
      <c r="BB51" s="11" t="n">
        <f aca="false">BB50+BB46+BB47+BB48+BB49</f>
        <v>209.95205136483</v>
      </c>
      <c r="BC51" s="11" t="n">
        <f aca="false">BC50+BC46+BC47+BC48+BC49</f>
        <v>208.967167802994</v>
      </c>
      <c r="BD51" s="11" t="n">
        <f aca="false">BD50+BD46+BD47+BD48+BD49</f>
        <v>210.361282822524</v>
      </c>
      <c r="BE51" s="11" t="n">
        <f aca="false">BE50+BE46+BE47+BE48+BE49</f>
        <v>216.680346133196</v>
      </c>
      <c r="BF51" s="11" t="n">
        <f aca="false">BF50+BF46+BF47+BF48+BF49</f>
        <v>217.158362263893</v>
      </c>
      <c r="BG51" s="11" t="n">
        <f aca="false">BG50+BG46+BG47+BG48+BG49</f>
        <v>218.848660914999</v>
      </c>
      <c r="BH51" s="11" t="n">
        <f aca="false">BH50+BH46+BH47+BH48+BH49</f>
        <v>219.758036338403</v>
      </c>
      <c r="BI51" s="11" t="n">
        <f aca="false">BI50+BI46+BI47+BI48+BI49</f>
        <v>223.709996851644</v>
      </c>
      <c r="BJ51" s="11" t="n">
        <f aca="false">BJ50+BJ46+BJ47+BJ48+BJ49</f>
        <v>223.111232124433</v>
      </c>
      <c r="BK51" s="11" t="n">
        <f aca="false">BK50+BK46+BK47+BK48+BK49</f>
        <v>218.659728480338</v>
      </c>
      <c r="BL51" s="11" t="n">
        <f aca="false">BL50+BL46+BL47+BL48+BL49</f>
        <v>221.319337905832</v>
      </c>
      <c r="BM51" s="11" t="n">
        <f aca="false">BM50+BM46+BM47+BM48+BM49</f>
        <v>230.836958876394</v>
      </c>
      <c r="BN51" s="11" t="n">
        <f aca="false">BN50+BN46+BN47+BN48+BN49</f>
        <v>192.952980980782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290.923305577754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0</v>
      </c>
      <c r="P55" s="11" t="n">
        <f aca="false">Inputs!$F$148*(Inputs!$F$149*P19+(1-Inputs!$F$149)*P23*Inputs!$F$150/P11)*Time!P25/12*Inputs!$F$39</f>
        <v>0.72246776496267</v>
      </c>
      <c r="Q55" s="11" t="n">
        <f aca="false">Inputs!$F$148*(Inputs!$F$149*Q19+(1-Inputs!$F$149)*Q23*Inputs!$F$150/Q11)*Time!Q25/12*Inputs!$F$39</f>
        <v>4.4104755186278</v>
      </c>
      <c r="R55" s="11" t="n">
        <f aca="false">Inputs!$F$148*(Inputs!$F$149*R19+(1-Inputs!$F$149)*R23*Inputs!$F$150/R11)*Time!R25/12*Inputs!$F$39</f>
        <v>4.45872681098812</v>
      </c>
      <c r="S55" s="11" t="n">
        <f aca="false">Inputs!$F$148*(Inputs!$F$149*S19+(1-Inputs!$F$149)*S23*Inputs!$F$150/S11)*Time!S25/12*Inputs!$F$39</f>
        <v>4.50750598003761</v>
      </c>
      <c r="T55" s="11" t="n">
        <f aca="false">Inputs!$F$148*(Inputs!$F$149*T19+(1-Inputs!$F$149)*T23*Inputs!$F$150/T11)*Time!T25/12*Inputs!$F$39</f>
        <v>4.55681880082986</v>
      </c>
      <c r="U55" s="11" t="n">
        <f aca="false">Inputs!$F$148*(Inputs!$F$149*U19+(1-Inputs!$F$149)*U23*Inputs!$F$150/U11)*Time!U25/12*Inputs!$F$39</f>
        <v>4.60667111159844</v>
      </c>
      <c r="V55" s="11" t="n">
        <f aca="false">Inputs!$F$148*(Inputs!$F$149*V19+(1-Inputs!$F$149)*V23*Inputs!$F$150/V11)*Time!V25/12*Inputs!$F$39</f>
        <v>4.65706881444811</v>
      </c>
      <c r="W55" s="11" t="n">
        <f aca="false">Inputs!$F$148*(Inputs!$F$149*W19+(1-Inputs!$F$149)*W23*Inputs!$F$150/W11)*Time!W25/12*Inputs!$F$39</f>
        <v>4.7080178760536</v>
      </c>
      <c r="X55" s="11" t="n">
        <f aca="false">Inputs!$F$148*(Inputs!$F$149*X19+(1-Inputs!$F$149)*X23*Inputs!$F$150/X11)*Time!X25/12*Inputs!$F$39</f>
        <v>4.75952432836597</v>
      </c>
      <c r="Y55" s="11" t="n">
        <f aca="false">Inputs!$F$148*(Inputs!$F$149*Y19+(1-Inputs!$F$149)*Y23*Inputs!$F$150/Y11)*Time!Y25/12*Inputs!$F$39</f>
        <v>4.81159426932678</v>
      </c>
      <c r="Z55" s="11" t="n">
        <f aca="false">Inputs!$F$148*(Inputs!$F$149*Z19+(1-Inputs!$F$149)*Z23*Inputs!$F$150/Z11)*Time!Z25/12*Inputs!$F$39</f>
        <v>4.86423386359002</v>
      </c>
      <c r="AA55" s="11" t="n">
        <f aca="false">Inputs!$F$148*(Inputs!$F$149*AA19+(1-Inputs!$F$149)*AA23*Inputs!$F$150/AA11)*Time!AA25/12*Inputs!$F$39</f>
        <v>4.91744934325197</v>
      </c>
      <c r="AB55" s="11" t="n">
        <f aca="false">Inputs!$F$148*(Inputs!$F$149*AB19+(1-Inputs!$F$149)*AB23*Inputs!$F$150/AB11)*Time!AB25/12*Inputs!$F$39</f>
        <v>4.971247008589</v>
      </c>
      <c r="AC55" s="11" t="n">
        <f aca="false">Inputs!$F$148*(Inputs!$F$149*AC19+(1-Inputs!$F$149)*AC23*Inputs!$F$150/AC11)*Time!AC25/12*Inputs!$F$39</f>
        <v>5.02563322880351</v>
      </c>
      <c r="AD55" s="11" t="n">
        <f aca="false">Inputs!$F$148*(Inputs!$F$149*AD19+(1-Inputs!$F$149)*AD23*Inputs!$F$150/AD11)*Time!AD25/12*Inputs!$F$39</f>
        <v>5.08061444277796</v>
      </c>
      <c r="AE55" s="11" t="n">
        <f aca="false">Inputs!$F$148*(Inputs!$F$149*AE19+(1-Inputs!$F$149)*AE23*Inputs!$F$150/AE11)*Time!AE25/12*Inputs!$F$39</f>
        <v>5.13619715983719</v>
      </c>
      <c r="AF55" s="11" t="n">
        <f aca="false">Inputs!$F$148*(Inputs!$F$149*AF19+(1-Inputs!$F$149)*AF23*Inputs!$F$150/AF11)*Time!AF25/12*Inputs!$F$39</f>
        <v>5.19238796051908</v>
      </c>
      <c r="AG55" s="11" t="n">
        <f aca="false">Inputs!$F$148*(Inputs!$F$149*AG19+(1-Inputs!$F$149)*AG23*Inputs!$F$150/AG11)*Time!AG25/12*Inputs!$F$39</f>
        <v>5.24919349735361</v>
      </c>
      <c r="AH55" s="11" t="n">
        <f aca="false">Inputs!$F$148*(Inputs!$F$149*AH19+(1-Inputs!$F$149)*AH23*Inputs!$F$150/AH11)*Time!AH25/12*Inputs!$F$39</f>
        <v>5.30662049565049</v>
      </c>
      <c r="AI55" s="11" t="n">
        <f aca="false">Inputs!$F$148*(Inputs!$F$149*AI19+(1-Inputs!$F$149)*AI23*Inputs!$F$150/AI11)*Time!AI25/12*Inputs!$F$39</f>
        <v>5.36467575429539</v>
      </c>
      <c r="AJ55" s="11" t="n">
        <f aca="false">Inputs!$F$148*(Inputs!$F$149*AJ19+(1-Inputs!$F$149)*AJ23*Inputs!$F$150/AJ11)*Time!AJ25/12*Inputs!$F$39</f>
        <v>5.42336614655481</v>
      </c>
      <c r="AK55" s="11" t="n">
        <f aca="false">Inputs!$F$148*(Inputs!$F$149*AK19+(1-Inputs!$F$149)*AK23*Inputs!$F$150/AK11)*Time!AK25/12*Inputs!$F$39</f>
        <v>5.48269862088988</v>
      </c>
      <c r="AL55" s="11" t="n">
        <f aca="false">Inputs!$F$148*(Inputs!$F$149*AL19+(1-Inputs!$F$149)*AL23*Inputs!$F$150/AL11)*Time!AL25/12*Inputs!$F$39</f>
        <v>5.54268020177901</v>
      </c>
      <c r="AM55" s="11" t="n">
        <f aca="false">Inputs!$F$148*(Inputs!$F$149*AM19+(1-Inputs!$F$149)*AM23*Inputs!$F$150/AM11)*Time!AM25/12*Inputs!$F$39</f>
        <v>5.60331799054946</v>
      </c>
      <c r="AN55" s="11" t="n">
        <f aca="false">Inputs!$F$148*(Inputs!$F$149*AN19+(1-Inputs!$F$149)*AN23*Inputs!$F$150/AN11)*Time!AN25/12*Inputs!$F$39</f>
        <v>5.66461916621815</v>
      </c>
      <c r="AO55" s="11" t="n">
        <f aca="false">Inputs!$F$148*(Inputs!$F$149*AO19+(1-Inputs!$F$149)*AO23*Inputs!$F$150/AO11)*Time!AO25/12*Inputs!$F$39</f>
        <v>5.72659098634155</v>
      </c>
      <c r="AP55" s="11" t="n">
        <f aca="false">Inputs!$F$148*(Inputs!$F$149*AP19+(1-Inputs!$F$149)*AP23*Inputs!$F$150/AP11)*Time!AP25/12*Inputs!$F$39</f>
        <v>5.78924078787495</v>
      </c>
      <c r="AQ55" s="11" t="n">
        <f aca="false">Inputs!$F$148*(Inputs!$F$149*AQ19+(1-Inputs!$F$149)*AQ23*Inputs!$F$150/AQ11)*Time!AQ25/12*Inputs!$F$39</f>
        <v>5.85257598804106</v>
      </c>
      <c r="AR55" s="11" t="n">
        <f aca="false">Inputs!$F$148*(Inputs!$F$149*AR19+(1-Inputs!$F$149)*AR23*Inputs!$F$150/AR11)*Time!AR25/12*Inputs!$F$39</f>
        <v>5.9166040852082</v>
      </c>
      <c r="AS55" s="11" t="n">
        <f aca="false">Inputs!$F$148*(Inputs!$F$149*AS19+(1-Inputs!$F$149)*AS23*Inputs!$F$150/AS11)*Time!AS25/12*Inputs!$F$39</f>
        <v>5.98133265977797</v>
      </c>
      <c r="AT55" s="11" t="n">
        <f aca="false">Inputs!$F$148*(Inputs!$F$149*AT19+(1-Inputs!$F$149)*AT23*Inputs!$F$150/AT11)*Time!AT25/12*Inputs!$F$39</f>
        <v>6.04676937508278</v>
      </c>
      <c r="AU55" s="11" t="n">
        <f aca="false">Inputs!$F$148*(Inputs!$F$149*AU19+(1-Inputs!$F$149)*AU23*Inputs!$F$150/AU11)*Time!AU25/12*Inputs!$F$39</f>
        <v>6.11292197829308</v>
      </c>
      <c r="AV55" s="11" t="n">
        <f aca="false">Inputs!$F$148*(Inputs!$F$149*AV19+(1-Inputs!$F$149)*AV23*Inputs!$F$150/AV11)*Time!AV25/12*Inputs!$F$39</f>
        <v>6.1797983013346</v>
      </c>
      <c r="AW55" s="11" t="n">
        <f aca="false">Inputs!$F$148*(Inputs!$F$149*AW19+(1-Inputs!$F$149)*AW23*Inputs!$F$150/AW11)*Time!AW25/12*Inputs!$F$39</f>
        <v>6.24740626181553</v>
      </c>
      <c r="AX55" s="11" t="n">
        <f aca="false">Inputs!$F$148*(Inputs!$F$149*AX19+(1-Inputs!$F$149)*AX23*Inputs!$F$150/AX11)*Time!AX25/12*Inputs!$F$39</f>
        <v>6.31575386396396</v>
      </c>
      <c r="AY55" s="11" t="n">
        <f aca="false">Inputs!$F$148*(Inputs!$F$149*AY19+(1-Inputs!$F$149)*AY23*Inputs!$F$150/AY11)*Time!AY25/12*Inputs!$F$39</f>
        <v>6.38484919957547</v>
      </c>
      <c r="AZ55" s="11" t="n">
        <f aca="false">Inputs!$F$148*(Inputs!$F$149*AZ19+(1-Inputs!$F$149)*AZ23*Inputs!$F$150/AZ11)*Time!AZ25/12*Inputs!$F$39</f>
        <v>6.45470044897116</v>
      </c>
      <c r="BA55" s="11" t="n">
        <f aca="false">Inputs!$F$148*(Inputs!$F$149*BA19+(1-Inputs!$F$149)*BA23*Inputs!$F$150/BA11)*Time!BA25/12*Inputs!$F$39</f>
        <v>6.52531588196613</v>
      </c>
      <c r="BB55" s="11" t="n">
        <f aca="false">Inputs!$F$148*(Inputs!$F$149*BB19+(1-Inputs!$F$149)*BB23*Inputs!$F$150/BB11)*Time!BB25/12*Inputs!$F$39</f>
        <v>6.59670385884853</v>
      </c>
      <c r="BC55" s="11" t="n">
        <f aca="false">Inputs!$F$148*(Inputs!$F$149*BC19+(1-Inputs!$F$149)*BC23*Inputs!$F$150/BC11)*Time!BC25/12*Inputs!$F$39</f>
        <v>6.66887283136938</v>
      </c>
      <c r="BD55" s="11" t="n">
        <f aca="false">Inputs!$F$148*(Inputs!$F$149*BD19+(1-Inputs!$F$149)*BD23*Inputs!$F$150/BD11)*Time!BD25/12*Inputs!$F$39</f>
        <v>6.74183134374319</v>
      </c>
      <c r="BE55" s="11" t="n">
        <f aca="false">Inputs!$F$148*(Inputs!$F$149*BE19+(1-Inputs!$F$149)*BE23*Inputs!$F$150/BE11)*Time!BE25/12*Inputs!$F$39</f>
        <v>6.81558803365951</v>
      </c>
      <c r="BF55" s="11" t="n">
        <f aca="false">Inputs!$F$148*(Inputs!$F$149*BF19+(1-Inputs!$F$149)*BF23*Inputs!$F$150/BF11)*Time!BF25/12*Inputs!$F$39</f>
        <v>6.89015163330554</v>
      </c>
      <c r="BG55" s="11" t="n">
        <f aca="false">Inputs!$F$148*(Inputs!$F$149*BG19+(1-Inputs!$F$149)*BG23*Inputs!$F$150/BG11)*Time!BG25/12*Inputs!$F$39</f>
        <v>6.96553097040002</v>
      </c>
      <c r="BH55" s="11" t="n">
        <f aca="false">Inputs!$F$148*(Inputs!$F$149*BH19+(1-Inputs!$F$149)*BH23*Inputs!$F$150/BH11)*Time!BH25/12*Inputs!$F$39</f>
        <v>7.04173496923827</v>
      </c>
      <c r="BI55" s="11" t="n">
        <f aca="false">Inputs!$F$148*(Inputs!$F$149*BI19+(1-Inputs!$F$149)*BI23*Inputs!$F$150/BI11)*Time!BI25/12*Inputs!$F$39</f>
        <v>7.11877265174882</v>
      </c>
      <c r="BJ55" s="11" t="n">
        <f aca="false">Inputs!$F$148*(Inputs!$F$149*BJ19+(1-Inputs!$F$149)*BJ23*Inputs!$F$150/BJ11)*Time!BJ25/12*Inputs!$F$39</f>
        <v>7.19665313856151</v>
      </c>
      <c r="BK55" s="11" t="n">
        <f aca="false">Inputs!$F$148*(Inputs!$F$149*BK19+(1-Inputs!$F$149)*BK23*Inputs!$F$150/BK11)*Time!BK25/12*Inputs!$F$39</f>
        <v>7.27538565008729</v>
      </c>
      <c r="BL55" s="11" t="n">
        <f aca="false">Inputs!$F$148*(Inputs!$F$149*BL19+(1-Inputs!$F$149)*BL23*Inputs!$F$150/BL11)*Time!BL25/12*Inputs!$F$39</f>
        <v>7.35497950760986</v>
      </c>
      <c r="BM55" s="11" t="n">
        <f aca="false">Inputs!$F$148*(Inputs!$F$149*BM19+(1-Inputs!$F$149)*BM23*Inputs!$F$150/BM11)*Time!BM25/12*Inputs!$F$39</f>
        <v>7.43544413438921</v>
      </c>
      <c r="BN55" s="11" t="n">
        <f aca="false">Inputs!$F$148*(Inputs!$F$149*BN19+(1-Inputs!$F$149)*BN23*Inputs!$F$150/BN11)*Time!BN25/12*Inputs!$F$39</f>
        <v>6.26399088064773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4.20765686919956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</v>
      </c>
      <c r="P56" s="11" t="n">
        <f aca="false">IF(Time!P25&gt;0,Inputs!$F$151*MAX(-1,MIN(1,(P28-92)/3))*P19*Time!P25/12,0)</f>
        <v>0.0323712548455126</v>
      </c>
      <c r="Q56" s="11" t="n">
        <f aca="false">IF(Time!Q25&gt;0,Inputs!$F$151*MAX(-1,MIN(1,(Q28-92)/3))*Q19*Time!Q25/12,0)</f>
        <v>0.197542333464172</v>
      </c>
      <c r="R56" s="11" t="n">
        <f aca="false">IF(Time!R25&gt;0,Inputs!$F$151*MAX(-1,MIN(1,(R28-92)/3))*R19*Time!R25/12,0)</f>
        <v>0.183061521046503</v>
      </c>
      <c r="S56" s="11" t="n">
        <f aca="false">IF(Time!S25&gt;0,Inputs!$F$151*MAX(-1,MIN(1,(S28-92)/3))*S19*Time!S25/12,0)</f>
        <v>0.100944132400194</v>
      </c>
      <c r="T56" s="11" t="n">
        <f aca="false">IF(Time!T25&gt;0,Inputs!$F$151*MAX(-1,MIN(1,(T28-92)/3))*T19*Time!T25/12,0)</f>
        <v>0.119056556506062</v>
      </c>
      <c r="U56" s="11" t="n">
        <f aca="false">IF(Time!U25&gt;0,Inputs!$F$151*MAX(-1,MIN(1,(U28-92)/3))*U19*Time!U25/12,0)</f>
        <v>0.206329806625992</v>
      </c>
      <c r="V56" s="11" t="n">
        <f aca="false">IF(Time!V25&gt;0,Inputs!$F$151*MAX(-1,MIN(1,(V28-92)/3))*V19*Time!V25/12,0)</f>
        <v>0.146783505665696</v>
      </c>
      <c r="W56" s="11" t="n">
        <f aca="false">IF(Time!W25&gt;0,Inputs!$F$151*MAX(-1,MIN(1,(W28-92)/3))*W19*Time!W25/12,0)</f>
        <v>-0.164009270733597</v>
      </c>
      <c r="X56" s="11" t="n">
        <f aca="false">IF(Time!X25&gt;0,Inputs!$F$151*MAX(-1,MIN(1,(X28-92)/3))*X19*Time!X25/12,0)</f>
        <v>-0.102640297698656</v>
      </c>
      <c r="Y56" s="11" t="n">
        <f aca="false">IF(Time!Y25&gt;0,Inputs!$F$151*MAX(-1,MIN(1,(Y28-92)/3))*Y19*Time!Y25/12,0)</f>
        <v>0.215508181743943</v>
      </c>
      <c r="Z56" s="11" t="n">
        <f aca="false">IF(Time!Z25&gt;0,Inputs!$F$151*MAX(-1,MIN(1,(Z28-92)/3))*Z19*Time!Z25/12,0)</f>
        <v>0.199710385395278</v>
      </c>
      <c r="AA56" s="11" t="n">
        <f aca="false">IF(Time!AA25&gt;0,Inputs!$F$151*MAX(-1,MIN(1,(AA28-92)/3))*AA19*Time!AA25/12,0)</f>
        <v>0.110124680871157</v>
      </c>
      <c r="AB56" s="11" t="n">
        <f aca="false">IF(Time!AB25&gt;0,Inputs!$F$151*MAX(-1,MIN(1,(AB28-92)/3))*AB19*Time!AB25/12,0)</f>
        <v>0.129884372465256</v>
      </c>
      <c r="AC56" s="11" t="n">
        <f aca="false">IF(Time!AC25&gt;0,Inputs!$F$151*MAX(-1,MIN(1,(AC28-92)/3))*AC19*Time!AC25/12,0)</f>
        <v>0.22509484770064</v>
      </c>
      <c r="AD56" s="11" t="n">
        <f aca="false">IF(Time!AD25&gt;0,Inputs!$F$151*MAX(-1,MIN(1,(AD28-92)/3))*AD19*Time!AD25/12,0)</f>
        <v>0.120099749739541</v>
      </c>
      <c r="AE56" s="11" t="n">
        <f aca="false">IF(Time!AE25&gt;0,Inputs!$F$151*MAX(-1,MIN(1,(AE28-92)/3))*AE19*Time!AE25/12,0)</f>
        <v>-0.383411557250091</v>
      </c>
      <c r="AF56" s="11" t="n">
        <f aca="false">IF(Time!AF25&gt;0,Inputs!$F$151*MAX(-1,MIN(1,(AF28-92)/3))*AF19*Time!AF25/12,0)</f>
        <v>-0.31654501407667</v>
      </c>
      <c r="AG56" s="11" t="n">
        <f aca="false">IF(Time!AG25&gt;0,Inputs!$F$151*MAX(-1,MIN(1,(AG28-92)/3))*AG19*Time!AG25/12,0)</f>
        <v>0.235107966905755</v>
      </c>
      <c r="AH56" s="11" t="n">
        <f aca="false">IF(Time!AH25&gt;0,Inputs!$F$151*MAX(-1,MIN(1,(AH28-92)/3))*AH19*Time!AH25/12,0)</f>
        <v>0.217873411117341</v>
      </c>
      <c r="AI56" s="11" t="n">
        <f aca="false">IF(Time!AI25&gt;0,Inputs!$F$151*MAX(-1,MIN(1,(AI28-92)/3))*AI19*Time!AI25/12,0)</f>
        <v>0.120140171088844</v>
      </c>
      <c r="AJ56" s="11" t="n">
        <f aca="false">IF(Time!AJ25&gt;0,Inputs!$F$151*MAX(-1,MIN(1,(AJ28-92)/3))*AJ19*Time!AJ25/12,0)</f>
        <v>0.141696943921224</v>
      </c>
      <c r="AK56" s="11" t="n">
        <f aca="false">IF(Time!AK25&gt;0,Inputs!$F$151*MAX(-1,MIN(1,(AK28-92)/3))*AK19*Time!AK25/12,0)</f>
        <v>0.245566509705591</v>
      </c>
      <c r="AL56" s="11" t="n">
        <f aca="false">IF(Time!AL25&gt;0,Inputs!$F$151*MAX(-1,MIN(1,(AL28-92)/3))*AL19*Time!AL25/12,0)</f>
        <v>0.174696587749989</v>
      </c>
      <c r="AM56" s="11" t="n">
        <f aca="false">IF(Time!AM25&gt;0,Inputs!$F$151*MAX(-1,MIN(1,(AM28-92)/3))*AM19*Time!AM25/12,0)</f>
        <v>-0.195198090048203</v>
      </c>
      <c r="AN56" s="11" t="n">
        <f aca="false">IF(Time!AN25&gt;0,Inputs!$F$151*MAX(-1,MIN(1,(AN28-92)/3))*AN19*Time!AN25/12,0)</f>
        <v>-0.122158887623493</v>
      </c>
      <c r="AO56" s="11" t="n">
        <f aca="false">IF(Time!AO25&gt;0,Inputs!$F$151*MAX(-1,MIN(1,(AO28-92)/3))*AO19*Time!AO25/12,0)</f>
        <v>0.256490290323334</v>
      </c>
      <c r="AP56" s="11" t="n">
        <f aca="false">IF(Time!AP25&gt;0,Inputs!$F$151*MAX(-1,MIN(1,(AP28-92)/3))*AP19*Time!AP25/12,0)</f>
        <v>0.237688306384032</v>
      </c>
      <c r="AQ56" s="11" t="n">
        <f aca="false">IF(Time!AQ25&gt;0,Inputs!$F$151*MAX(-1,MIN(1,(AQ28-92)/3))*AQ19*Time!AQ25/12,0)</f>
        <v>0.131066538355227</v>
      </c>
      <c r="AR56" s="11" t="n">
        <f aca="false">IF(Time!AR25&gt;0,Inputs!$F$151*MAX(-1,MIN(1,(AR28-92)/3))*AR19*Time!AR25/12,0)</f>
        <v>0.154583831261033</v>
      </c>
      <c r="AS56" s="11" t="n">
        <f aca="false">IF(Time!AS25&gt;0,Inputs!$F$151*MAX(-1,MIN(1,(AS28-92)/3))*AS19*Time!AS25/12,0)</f>
        <v>0.267900004398077</v>
      </c>
      <c r="AT56" s="11" t="n">
        <f aca="false">IF(Time!AT25&gt;0,Inputs!$F$151*MAX(-1,MIN(1,(AT28-92)/3))*AT19*Time!AT25/12,0)</f>
        <v>0.142938515972703</v>
      </c>
      <c r="AU56" s="11" t="n">
        <f aca="false">IF(Time!AU25&gt;0,Inputs!$F$151*MAX(-1,MIN(1,(AU28-92)/3))*AU19*Time!AU25/12,0)</f>
        <v>-0.456323007491392</v>
      </c>
      <c r="AV56" s="11" t="n">
        <f aca="false">IF(Time!AV25&gt;0,Inputs!$F$151*MAX(-1,MIN(1,(AV28-92)/3))*AV19*Time!AV25/12,0)</f>
        <v>-0.376740789625316</v>
      </c>
      <c r="AW56" s="11" t="n">
        <f aca="false">IF(Time!AW25&gt;0,Inputs!$F$151*MAX(-1,MIN(1,(AW28-92)/3))*AW19*Time!AW25/12,0)</f>
        <v>0.279817268193721</v>
      </c>
      <c r="AX56" s="11" t="n">
        <f aca="false">IF(Time!AX25&gt;0,Inputs!$F$151*MAX(-1,MIN(1,(AX28-92)/3))*AX19*Time!AX25/12,0)</f>
        <v>0.259305303487823</v>
      </c>
      <c r="AY56" s="11" t="n">
        <f aca="false">IF(Time!AY25&gt;0,Inputs!$F$151*MAX(-1,MIN(1,(AY28-92)/3))*AY19*Time!AY25/12,0)</f>
        <v>0.142986624046995</v>
      </c>
      <c r="AZ56" s="11" t="n">
        <f aca="false">IF(Time!AZ25&gt;0,Inputs!$F$151*MAX(-1,MIN(1,(AZ28-92)/3))*AZ19*Time!AZ25/12,0)</f>
        <v>0.168642740104717</v>
      </c>
      <c r="BA56" s="11" t="n">
        <f aca="false">IF(Time!BA25&gt;0,Inputs!$F$151*MAX(-1,MIN(1,(BA28-92)/3))*BA19*Time!BA25/12,0)</f>
        <v>0.292264659552051</v>
      </c>
      <c r="BB56" s="11" t="n">
        <f aca="false">IF(Time!BB25&gt;0,Inputs!$F$151*MAX(-1,MIN(1,(BB28-92)/3))*BB19*Time!BB25/12,0)</f>
        <v>0.207917760466883</v>
      </c>
      <c r="BC56" s="11" t="n">
        <f aca="false">IF(Time!BC25&gt;0,Inputs!$F$151*MAX(-1,MIN(1,(BC28-92)/3))*BC19*Time!BC25/12,0)</f>
        <v>-0.232317930492823</v>
      </c>
      <c r="BD56" s="11" t="n">
        <f aca="false">IF(Time!BD25&gt;0,Inputs!$F$151*MAX(-1,MIN(1,(BD28-92)/3))*BD19*Time!BD25/12,0)</f>
        <v>-0.145389229766475</v>
      </c>
      <c r="BE56" s="11" t="n">
        <f aca="false">IF(Time!BE25&gt;0,Inputs!$F$151*MAX(-1,MIN(1,(BE28-92)/3))*BE19*Time!BE25/12,0)</f>
        <v>0.305265760667564</v>
      </c>
      <c r="BF56" s="11" t="n">
        <f aca="false">IF(Time!BF25&gt;0,Inputs!$F$151*MAX(-1,MIN(1,(BF28-92)/3))*BF19*Time!BF25/12,0)</f>
        <v>0.282888297871389</v>
      </c>
      <c r="BG56" s="11" t="n">
        <f aca="false">IF(Time!BG25&gt;0,Inputs!$F$151*MAX(-1,MIN(1,(BG28-92)/3))*BG19*Time!BG25/12,0)</f>
        <v>0.155990803701129</v>
      </c>
      <c r="BH56" s="11" t="n">
        <f aca="false">IF(Time!BH25&gt;0,Inputs!$F$151*MAX(-1,MIN(1,(BH28-92)/3))*BH19*Time!BH25/12,0)</f>
        <v>0.183980262088356</v>
      </c>
      <c r="BI56" s="11" t="n">
        <f aca="false">IF(Time!BI25&gt;0,Inputs!$F$151*MAX(-1,MIN(1,(BI28-92)/3))*BI19*Time!BI25/12,0)</f>
        <v>0.3188452027651</v>
      </c>
      <c r="BJ56" s="11" t="n">
        <f aca="false">IF(Time!BJ25&gt;0,Inputs!$F$151*MAX(-1,MIN(1,(BJ28-92)/3))*BJ19*Time!BJ25/12,0)</f>
        <v>0.170120415677701</v>
      </c>
      <c r="BK56" s="11" t="n">
        <f aca="false">IF(Time!BK25&gt;0,Inputs!$F$151*MAX(-1,MIN(1,(BK28-92)/3))*BK19*Time!BK25/12,0)</f>
        <v>-0.543099662043221</v>
      </c>
      <c r="BL56" s="11" t="n">
        <f aca="false">IF(Time!BL25&gt;0,Inputs!$F$151*MAX(-1,MIN(1,(BL28-92)/3))*BL19*Time!BL25/12,0)</f>
        <v>-0.44838369348989</v>
      </c>
      <c r="BM56" s="11" t="n">
        <f aca="false">IF(Time!BM25&gt;0,Inputs!$F$151*MAX(-1,MIN(1,(BM28-92)/3))*BM19*Time!BM25/12,0)</f>
        <v>0.333028712764902</v>
      </c>
      <c r="BN56" s="11" t="n">
        <f aca="false">IF(Time!BN25&gt;0,Inputs!$F$151*MAX(-1,MIN(1,(BN28-92)/3))*BN19*Time!BN25/12,0)</f>
        <v>0.280560082497959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95.5553739651305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</v>
      </c>
      <c r="P57" s="11" t="n">
        <f aca="false">Inputs!$F$152*P19*Time!P25/12*Inputs!$F$39</f>
        <v>0.237389202200426</v>
      </c>
      <c r="Q57" s="11" t="n">
        <f aca="false">Inputs!$F$152*Q19*Time!Q25/12*Inputs!$F$39</f>
        <v>1.44864377873726</v>
      </c>
      <c r="R57" s="11" t="n">
        <f aca="false">Inputs!$F$152*R19*Time!R25/12*Inputs!$F$39</f>
        <v>1.46449216837203</v>
      </c>
      <c r="S57" s="11" t="n">
        <f aca="false">Inputs!$F$152*S19*Time!S25/12*Inputs!$F$39</f>
        <v>1.48051394186948</v>
      </c>
      <c r="T57" s="11" t="n">
        <f aca="false">Inputs!$F$152*T19*Time!T25/12*Inputs!$F$39</f>
        <v>1.49671099607621</v>
      </c>
      <c r="U57" s="11" t="n">
        <f aca="false">Inputs!$F$152*U19*Time!U25/12*Inputs!$F$39</f>
        <v>1.51308524859061</v>
      </c>
      <c r="V57" s="11" t="n">
        <f aca="false">Inputs!$F$152*V19*Time!V25/12*Inputs!$F$39</f>
        <v>1.52963863798989</v>
      </c>
      <c r="W57" s="11" t="n">
        <f aca="false">Inputs!$F$152*W19*Time!W25/12*Inputs!$F$39</f>
        <v>1.5463731240596</v>
      </c>
      <c r="X57" s="11" t="n">
        <f aca="false">Inputs!$F$152*X19*Time!X25/12*Inputs!$F$39</f>
        <v>1.56329068802567</v>
      </c>
      <c r="Y57" s="11" t="n">
        <f aca="false">Inputs!$F$152*Y19*Time!Y25/12*Inputs!$F$39</f>
        <v>1.58039333278891</v>
      </c>
      <c r="Z57" s="11" t="n">
        <f aca="false">Inputs!$F$152*Z19*Time!Z25/12*Inputs!$F$39</f>
        <v>1.59768308316223</v>
      </c>
      <c r="AA57" s="11" t="n">
        <f aca="false">Inputs!$F$152*AA19*Time!AA25/12*Inputs!$F$39</f>
        <v>1.61516198611027</v>
      </c>
      <c r="AB57" s="11" t="n">
        <f aca="false">Inputs!$F$152*AB19*Time!AB25/12*Inputs!$F$39</f>
        <v>1.6328321109918</v>
      </c>
      <c r="AC57" s="11" t="n">
        <f aca="false">Inputs!$F$152*AC19*Time!AC25/12*Inputs!$F$39</f>
        <v>1.6506955498047</v>
      </c>
      <c r="AD57" s="11" t="n">
        <f aca="false">Inputs!$F$152*AD19*Time!AD25/12*Inputs!$F$39</f>
        <v>1.66875441743362</v>
      </c>
      <c r="AE57" s="11" t="n">
        <f aca="false">Inputs!$F$152*AE19*Time!AE25/12*Inputs!$F$39</f>
        <v>1.6870108519004</v>
      </c>
      <c r="AF57" s="11" t="n">
        <f aca="false">Inputs!$F$152*AF19*Time!AF25/12*Inputs!$F$39</f>
        <v>1.70546701461716</v>
      </c>
      <c r="AG57" s="11" t="n">
        <f aca="false">Inputs!$F$152*AG19*Time!AG25/12*Inputs!$F$39</f>
        <v>1.72412509064221</v>
      </c>
      <c r="AH57" s="11" t="n">
        <f aca="false">Inputs!$F$152*AH19*Time!AH25/12*Inputs!$F$39</f>
        <v>1.74298728893874</v>
      </c>
      <c r="AI57" s="11" t="n">
        <f aca="false">Inputs!$F$152*AI19*Time!AI25/12*Inputs!$F$39</f>
        <v>1.76205584263634</v>
      </c>
      <c r="AJ57" s="11" t="n">
        <f aca="false">Inputs!$F$152*AJ19*Time!AJ25/12*Inputs!$F$39</f>
        <v>1.78133300929539</v>
      </c>
      <c r="AK57" s="11" t="n">
        <f aca="false">Inputs!$F$152*AK19*Time!AK25/12*Inputs!$F$39</f>
        <v>1.80082107117434</v>
      </c>
      <c r="AL57" s="11" t="n">
        <f aca="false">Inputs!$F$152*AL19*Time!AL25/12*Inputs!$F$39</f>
        <v>1.82052233549989</v>
      </c>
      <c r="AM57" s="11" t="n">
        <f aca="false">Inputs!$F$152*AM19*Time!AM25/12*Inputs!$F$39</f>
        <v>1.84043913474017</v>
      </c>
      <c r="AN57" s="11" t="n">
        <f aca="false">Inputs!$F$152*AN19*Time!AN25/12*Inputs!$F$39</f>
        <v>1.86057382688088</v>
      </c>
      <c r="AO57" s="11" t="n">
        <f aca="false">Inputs!$F$152*AO19*Time!AO25/12*Inputs!$F$39</f>
        <v>1.88092879570445</v>
      </c>
      <c r="AP57" s="11" t="n">
        <f aca="false">Inputs!$F$152*AP19*Time!AP25/12*Inputs!$F$39</f>
        <v>1.90150645107226</v>
      </c>
      <c r="AQ57" s="11" t="n">
        <f aca="false">Inputs!$F$152*AQ19*Time!AQ25/12*Inputs!$F$39</f>
        <v>1.92230922920995</v>
      </c>
      <c r="AR57" s="11" t="n">
        <f aca="false">Inputs!$F$152*AR19*Time!AR25/12*Inputs!$F$39</f>
        <v>1.94333959299585</v>
      </c>
      <c r="AS57" s="11" t="n">
        <f aca="false">Inputs!$F$152*AS19*Time!AS25/12*Inputs!$F$39</f>
        <v>1.96460003225257</v>
      </c>
      <c r="AT57" s="11" t="n">
        <f aca="false">Inputs!$F$152*AT19*Time!AT25/12*Inputs!$F$39</f>
        <v>1.98609306404176</v>
      </c>
      <c r="AU57" s="11" t="n">
        <f aca="false">Inputs!$F$152*AU19*Time!AU25/12*Inputs!$F$39</f>
        <v>2.00782123296213</v>
      </c>
      <c r="AV57" s="11" t="n">
        <f aca="false">Inputs!$F$152*AV19*Time!AV25/12*Inputs!$F$39</f>
        <v>2.02978711145068</v>
      </c>
      <c r="AW57" s="11" t="n">
        <f aca="false">Inputs!$F$152*AW19*Time!AW25/12*Inputs!$F$39</f>
        <v>2.05199330008729</v>
      </c>
      <c r="AX57" s="11" t="n">
        <f aca="false">Inputs!$F$152*AX19*Time!AX25/12*Inputs!$F$39</f>
        <v>2.07444242790259</v>
      </c>
      <c r="AY57" s="11" t="n">
        <f aca="false">Inputs!$F$152*AY19*Time!AY25/12*Inputs!$F$39</f>
        <v>2.09713715268921</v>
      </c>
      <c r="AZ57" s="11" t="n">
        <f aca="false">Inputs!$F$152*AZ19*Time!AZ25/12*Inputs!$F$39</f>
        <v>2.12008016131645</v>
      </c>
      <c r="BA57" s="11" t="n">
        <f aca="false">Inputs!$F$152*BA19*Time!BA25/12*Inputs!$F$39</f>
        <v>2.14327417004837</v>
      </c>
      <c r="BB57" s="11" t="n">
        <f aca="false">Inputs!$F$152*BB19*Time!BB25/12*Inputs!$F$39</f>
        <v>2.16672192486541</v>
      </c>
      <c r="BC57" s="11" t="n">
        <f aca="false">Inputs!$F$152*BC19*Time!BC25/12*Inputs!$F$39</f>
        <v>2.19042620178944</v>
      </c>
      <c r="BD57" s="11" t="n">
        <f aca="false">Inputs!$F$152*BD19*Time!BD25/12*Inputs!$F$39</f>
        <v>2.21438980721245</v>
      </c>
      <c r="BE57" s="11" t="n">
        <f aca="false">Inputs!$F$152*BE19*Time!BE25/12*Inputs!$F$39</f>
        <v>2.23861557822881</v>
      </c>
      <c r="BF57" s="11" t="n">
        <f aca="false">Inputs!$F$152*BF19*Time!BF25/12*Inputs!$F$39</f>
        <v>2.26310638297112</v>
      </c>
      <c r="BG57" s="11" t="n">
        <f aca="false">Inputs!$F$152*BG19*Time!BG25/12*Inputs!$F$39</f>
        <v>2.28786512094984</v>
      </c>
      <c r="BH57" s="11" t="n">
        <f aca="false">Inputs!$F$152*BH19*Time!BH25/12*Inputs!$F$39</f>
        <v>2.31289472339649</v>
      </c>
      <c r="BI57" s="11" t="n">
        <f aca="false">Inputs!$F$152*BI19*Time!BI25/12*Inputs!$F$39</f>
        <v>2.33819815361073</v>
      </c>
      <c r="BJ57" s="11" t="n">
        <f aca="false">Inputs!$F$152*BJ19*Time!BJ25/12*Inputs!$F$39</f>
        <v>2.36377840731121</v>
      </c>
      <c r="BK57" s="11" t="n">
        <f aca="false">Inputs!$F$152*BK19*Time!BK25/12*Inputs!$F$39</f>
        <v>2.38963851299017</v>
      </c>
      <c r="BL57" s="11" t="n">
        <f aca="false">Inputs!$F$152*BL19*Time!BL25/12*Inputs!$F$39</f>
        <v>2.41578153227206</v>
      </c>
      <c r="BM57" s="11" t="n">
        <f aca="false">Inputs!$F$152*BM19*Time!BM25/12*Inputs!$F$39</f>
        <v>2.44221056027595</v>
      </c>
      <c r="BN57" s="11" t="n">
        <f aca="false">Inputs!$F$152*BN19*Time!BN25/12*Inputs!$F$39</f>
        <v>2.05744060498503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0</v>
      </c>
      <c r="P58" s="13" t="n">
        <f aca="false">IF(P27&gt;0,2*(Inputs!$F$127*P28/P27+Inputs!$F$128*Inputs!$F$129)*Time!P25/12,0)</f>
        <v>1406.5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8439</v>
      </c>
      <c r="BN58" s="13" t="n">
        <f aca="false">IF(BN27&gt;0,2*(Inputs!$F$127*BN28/BN27+Inputs!$F$128*Inputs!$F$129)*Time!BN25/12,0)</f>
        <v>7032.5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296.89879941923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0</v>
      </c>
      <c r="P59" s="11" t="n">
        <f aca="false">P58*Inputs!$F$153*P19/1000000</f>
        <v>0.73758875303146</v>
      </c>
      <c r="Q59" s="11" t="n">
        <f aca="false">Q58*Inputs!$F$153*Q19/1000000</f>
        <v>4.5010613306812</v>
      </c>
      <c r="R59" s="11" t="n">
        <f aca="false">R58*Inputs!$F$153*R19/1000000</f>
        <v>4.55030364600098</v>
      </c>
      <c r="S59" s="11" t="n">
        <f aca="false">S58*Inputs!$F$153*S19/1000000</f>
        <v>4.60008467995619</v>
      </c>
      <c r="T59" s="11" t="n">
        <f aca="false">T58*Inputs!$F$153*T19/1000000</f>
        <v>4.650410326213</v>
      </c>
      <c r="U59" s="11" t="n">
        <f aca="false">U58*Inputs!$F$153*U19/1000000</f>
        <v>4.70128654291522</v>
      </c>
      <c r="V59" s="11" t="n">
        <f aca="false">V58*Inputs!$F$153*V19/1000000</f>
        <v>4.75271935338969</v>
      </c>
      <c r="W59" s="11" t="n">
        <f aca="false">W58*Inputs!$F$153*W19/1000000</f>
        <v>4.80471484685936</v>
      </c>
      <c r="X59" s="11" t="n">
        <f aca="false">X58*Inputs!$F$153*X19/1000000</f>
        <v>4.85727917916426</v>
      </c>
      <c r="Y59" s="11" t="n">
        <f aca="false">Y58*Inputs!$F$153*Y19/1000000</f>
        <v>4.91041857349026</v>
      </c>
      <c r="Z59" s="11" t="n">
        <f aca="false">Z58*Inputs!$F$153*Z19/1000000</f>
        <v>4.96413932110587</v>
      </c>
      <c r="AA59" s="11" t="n">
        <f aca="false">AA58*Inputs!$F$153*AA19/1000000</f>
        <v>5.01844778210705</v>
      </c>
      <c r="AB59" s="11" t="n">
        <f aca="false">AB58*Inputs!$F$153*AB19/1000000</f>
        <v>5.0733503861702</v>
      </c>
      <c r="AC59" s="11" t="n">
        <f aca="false">AC58*Inputs!$F$153*AC19/1000000</f>
        <v>5.1288536333134</v>
      </c>
      <c r="AD59" s="11" t="n">
        <f aca="false">AD58*Inputs!$F$153*AD19/1000000</f>
        <v>5.18496409466594</v>
      </c>
      <c r="AE59" s="11" t="n">
        <f aca="false">AE58*Inputs!$F$153*AE19/1000000</f>
        <v>5.2416884132463</v>
      </c>
      <c r="AF59" s="11" t="n">
        <f aca="false">AF58*Inputs!$F$153*AF19/1000000</f>
        <v>5.29903330474859</v>
      </c>
      <c r="AG59" s="11" t="n">
        <f aca="false">AG58*Inputs!$F$153*AG19/1000000</f>
        <v>5.35700555833771</v>
      </c>
      <c r="AH59" s="11" t="n">
        <f aca="false">AH58*Inputs!$F$153*AH19/1000000</f>
        <v>5.41561203745306</v>
      </c>
      <c r="AI59" s="11" t="n">
        <f aca="false">AI58*Inputs!$F$153*AI19/1000000</f>
        <v>5.47485968062114</v>
      </c>
      <c r="AJ59" s="11" t="n">
        <f aca="false">AJ58*Inputs!$F$153*AJ19/1000000</f>
        <v>5.53475550227703</v>
      </c>
      <c r="AK59" s="11" t="n">
        <f aca="false">AK58*Inputs!$F$153*AK19/1000000</f>
        <v>5.59530659359481</v>
      </c>
      <c r="AL59" s="11" t="n">
        <f aca="false">AL58*Inputs!$F$153*AL19/1000000</f>
        <v>5.65652012332712</v>
      </c>
      <c r="AM59" s="11" t="n">
        <f aca="false">AM58*Inputs!$F$153*AM19/1000000</f>
        <v>5.71840333865389</v>
      </c>
      <c r="AN59" s="11" t="n">
        <f aca="false">AN58*Inputs!$F$153*AN19/1000000</f>
        <v>5.78096356604032</v>
      </c>
      <c r="AO59" s="11" t="n">
        <f aca="false">AO58*Inputs!$F$153*AO19/1000000</f>
        <v>5.84420821210428</v>
      </c>
      <c r="AP59" s="11" t="n">
        <f aca="false">AP58*Inputs!$F$153*AP19/1000000</f>
        <v>5.9081447644932</v>
      </c>
      <c r="AQ59" s="11" t="n">
        <f aca="false">AQ58*Inputs!$F$153*AQ19/1000000</f>
        <v>5.97278079277057</v>
      </c>
      <c r="AR59" s="11" t="n">
        <f aca="false">AR58*Inputs!$F$153*AR19/1000000</f>
        <v>6.03812394931205</v>
      </c>
      <c r="AS59" s="11" t="n">
        <f aca="false">AS58*Inputs!$F$153*AS19/1000000</f>
        <v>6.10418197021152</v>
      </c>
      <c r="AT59" s="11" t="n">
        <f aca="false">AT58*Inputs!$F$153*AT19/1000000</f>
        <v>6.17096267619692</v>
      </c>
      <c r="AU59" s="11" t="n">
        <f aca="false">AU58*Inputs!$F$153*AU19/1000000</f>
        <v>6.23847397355617</v>
      </c>
      <c r="AV59" s="11" t="n">
        <f aca="false">AV58*Inputs!$F$153*AV19/1000000</f>
        <v>6.30672385507325</v>
      </c>
      <c r="AW59" s="11" t="n">
        <f aca="false">AW58*Inputs!$F$153*AW19/1000000</f>
        <v>6.37572040097441</v>
      </c>
      <c r="AX59" s="11" t="n">
        <f aca="false">AX58*Inputs!$F$153*AX19/1000000</f>
        <v>6.44547177988486</v>
      </c>
      <c r="AY59" s="11" t="n">
        <f aca="false">AY58*Inputs!$F$153*AY19/1000000</f>
        <v>6.51598624979584</v>
      </c>
      <c r="AZ59" s="11" t="n">
        <f aca="false">AZ58*Inputs!$F$153*AZ19/1000000</f>
        <v>6.58727215904232</v>
      </c>
      <c r="BA59" s="11" t="n">
        <f aca="false">BA58*Inputs!$F$153*BA19/1000000</f>
        <v>6.65933794729135</v>
      </c>
      <c r="BB59" s="11" t="n">
        <f aca="false">BB58*Inputs!$F$153*BB19/1000000</f>
        <v>6.73219214654125</v>
      </c>
      <c r="BC59" s="11" t="n">
        <f aca="false">BC58*Inputs!$F$153*BC19/1000000</f>
        <v>6.80584338213176</v>
      </c>
      <c r="BD59" s="11" t="n">
        <f aca="false">BD58*Inputs!$F$153*BD19/1000000</f>
        <v>6.88030037376516</v>
      </c>
      <c r="BE59" s="11" t="n">
        <f aca="false">BE58*Inputs!$F$153*BE19/1000000</f>
        <v>6.95557193653866</v>
      </c>
      <c r="BF59" s="11" t="n">
        <f aca="false">BF58*Inputs!$F$153*BF19/1000000</f>
        <v>7.03166698198799</v>
      </c>
      <c r="BG59" s="11" t="n">
        <f aca="false">BG58*Inputs!$F$153*BG19/1000000</f>
        <v>7.1085945191425</v>
      </c>
      <c r="BH59" s="11" t="n">
        <f aca="false">BH58*Inputs!$F$153*BH19/1000000</f>
        <v>7.18636365559173</v>
      </c>
      <c r="BI59" s="11" t="n">
        <f aca="false">BI58*Inputs!$F$153*BI19/1000000</f>
        <v>7.26498359856364</v>
      </c>
      <c r="BJ59" s="11" t="n">
        <f aca="false">BJ58*Inputs!$F$153*BJ19/1000000</f>
        <v>7.34446365601474</v>
      </c>
      <c r="BK59" s="11" t="n">
        <f aca="false">BK58*Inputs!$F$153*BK19/1000000</f>
        <v>7.42481323773204</v>
      </c>
      <c r="BL59" s="11" t="n">
        <f aca="false">BL58*Inputs!$F$153*BL19/1000000</f>
        <v>7.50604185644706</v>
      </c>
      <c r="BM59" s="11" t="n">
        <f aca="false">BM58*Inputs!$F$153*BM19/1000000</f>
        <v>7.58815912896214</v>
      </c>
      <c r="BN59" s="11" t="n">
        <f aca="false">BN58*Inputs!$F$153*BN19/1000000</f>
        <v>6.39264564774075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158.17310008622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</v>
      </c>
      <c r="P60" s="11" t="n">
        <f aca="false">Inputs!$F$154*P19*Time!P25/12*(1+Inputs!$F$155*Inputs!$F$45*IF(Time!P17&gt;=9,1,0))*Inputs!$F$39</f>
        <v>0.392951065763585</v>
      </c>
      <c r="Q60" s="11" t="n">
        <f aca="false">Inputs!$F$154*Q19*Time!Q25/12*(1+Inputs!$F$155*Inputs!$F$45*IF(Time!Q17&gt;=9,1,0))*Inputs!$F$39</f>
        <v>2.39794443677342</v>
      </c>
      <c r="R60" s="11" t="n">
        <f aca="false">Inputs!$F$154*R19*Time!R25/12*(1+Inputs!$F$155*Inputs!$F$45*IF(Time!R17&gt;=9,1,0))*Inputs!$F$39</f>
        <v>2.42417832416128</v>
      </c>
      <c r="S60" s="11" t="n">
        <f aca="false">Inputs!$F$154*S19*Time!S25/12*(1+Inputs!$F$155*Inputs!$F$45*IF(Time!S17&gt;=9,1,0))*Inputs!$F$39</f>
        <v>2.45069921438244</v>
      </c>
      <c r="T60" s="11" t="n">
        <f aca="false">Inputs!$F$154*T19*Time!T25/12*(1+Inputs!$F$155*Inputs!$F$45*IF(Time!T17&gt;=9,1,0))*Inputs!$F$39</f>
        <v>2.47751024729282</v>
      </c>
      <c r="U60" s="11" t="n">
        <f aca="false">Inputs!$F$154*U19*Time!U25/12*(1+Inputs!$F$155*Inputs!$F$45*IF(Time!U17&gt;=9,1,0))*Inputs!$F$39</f>
        <v>2.50461459709885</v>
      </c>
      <c r="V60" s="11" t="n">
        <f aca="false">Inputs!$F$154*V19*Time!V25/12*(1+Inputs!$F$155*Inputs!$F$45*IF(Time!V17&gt;=9,1,0))*Inputs!$F$39</f>
        <v>2.53201547273326</v>
      </c>
      <c r="W60" s="11" t="n">
        <f aca="false">Inputs!$F$154*W19*Time!W25/12*(1+Inputs!$F$155*Inputs!$F$45*IF(Time!W17&gt;=9,1,0))*Inputs!$F$39</f>
        <v>2.55971611823503</v>
      </c>
      <c r="X60" s="11" t="n">
        <f aca="false">Inputs!$F$154*X19*Time!X25/12*(1+Inputs!$F$155*Inputs!$F$45*IF(Time!X17&gt;=9,1,0))*Inputs!$F$39</f>
        <v>2.5877198131334</v>
      </c>
      <c r="Y60" s="11" t="n">
        <f aca="false">Inputs!$F$154*Y19*Time!Y25/12*(1+Inputs!$F$155*Inputs!$F$45*IF(Time!Y17&gt;=9,1,0))*Inputs!$F$39</f>
        <v>2.6160298728362</v>
      </c>
      <c r="Z60" s="11" t="n">
        <f aca="false">Inputs!$F$154*Z19*Time!Z25/12*(1+Inputs!$F$155*Inputs!$F$45*IF(Time!Z17&gt;=9,1,0))*Inputs!$F$39</f>
        <v>2.64464964902233</v>
      </c>
      <c r="AA60" s="11" t="n">
        <f aca="false">Inputs!$F$154*AA19*Time!AA25/12*(1+Inputs!$F$155*Inputs!$F$45*IF(Time!AA17&gt;=9,1,0))*Inputs!$F$39</f>
        <v>2.67358253003859</v>
      </c>
      <c r="AB60" s="11" t="n">
        <f aca="false">Inputs!$F$154*AB19*Time!AB25/12*(1+Inputs!$F$155*Inputs!$F$45*IF(Time!AB17&gt;=9,1,0))*Inputs!$F$39</f>
        <v>2.70283194130082</v>
      </c>
      <c r="AC60" s="11" t="n">
        <f aca="false">Inputs!$F$154*AC19*Time!AC25/12*(1+Inputs!$F$155*Inputs!$F$45*IF(Time!AC17&gt;=9,1,0))*Inputs!$F$39</f>
        <v>2.73240134569944</v>
      </c>
      <c r="AD60" s="11" t="n">
        <f aca="false">Inputs!$F$154*AD19*Time!AD25/12*(1+Inputs!$F$155*Inputs!$F$45*IF(Time!AD17&gt;=9,1,0))*Inputs!$F$39</f>
        <v>2.76229424400944</v>
      </c>
      <c r="AE60" s="11" t="n">
        <f aca="false">Inputs!$F$154*AE19*Time!AE25/12*(1+Inputs!$F$155*Inputs!$F$45*IF(Time!AE17&gt;=9,1,0))*Inputs!$F$39</f>
        <v>2.79251417530483</v>
      </c>
      <c r="AF60" s="11" t="n">
        <f aca="false">Inputs!$F$154*AF19*Time!AF25/12*(1+Inputs!$F$155*Inputs!$F$45*IF(Time!AF17&gt;=9,1,0))*Inputs!$F$39</f>
        <v>2.82306471737765</v>
      </c>
      <c r="AG60" s="11" t="n">
        <f aca="false">Inputs!$F$154*AG19*Time!AG25/12*(1+Inputs!$F$155*Inputs!$F$45*IF(Time!AG17&gt;=9,1,0))*Inputs!$F$39</f>
        <v>2.85394948716153</v>
      </c>
      <c r="AH60" s="11" t="n">
        <f aca="false">Inputs!$F$154*AH19*Time!AH25/12*(1+Inputs!$F$155*Inputs!$F$45*IF(Time!AH17&gt;=9,1,0))*Inputs!$F$39</f>
        <v>2.88517214115995</v>
      </c>
      <c r="AI60" s="11" t="n">
        <f aca="false">Inputs!$F$154*AI19*Time!AI25/12*(1+Inputs!$F$155*Inputs!$F$45*IF(Time!AI17&gt;=9,1,0))*Inputs!$F$39</f>
        <v>2.91673637587909</v>
      </c>
      <c r="AJ60" s="11" t="n">
        <f aca="false">Inputs!$F$154*AJ19*Time!AJ25/12*(1+Inputs!$F$155*Inputs!$F$45*IF(Time!AJ17&gt;=9,1,0))*Inputs!$F$39</f>
        <v>2.94864592826547</v>
      </c>
      <c r="AK60" s="11" t="n">
        <f aca="false">Inputs!$F$154*AK19*Time!AK25/12*(1+Inputs!$F$155*Inputs!$F$45*IF(Time!AK17&gt;=9,1,0))*Inputs!$F$39</f>
        <v>2.98090457614843</v>
      </c>
      <c r="AL60" s="11" t="n">
        <f aca="false">Inputs!$F$154*AL19*Time!AL25/12*(1+Inputs!$F$155*Inputs!$F$45*IF(Time!AL17&gt;=9,1,0))*Inputs!$F$39</f>
        <v>3.01351613868731</v>
      </c>
      <c r="AM60" s="11" t="n">
        <f aca="false">Inputs!$F$154*AM19*Time!AM25/12*(1+Inputs!$F$155*Inputs!$F$45*IF(Time!AM17&gt;=9,1,0))*Inputs!$F$39</f>
        <v>3.04648447682369</v>
      </c>
      <c r="AN60" s="11" t="n">
        <f aca="false">Inputs!$F$154*AN19*Time!AN25/12*(1+Inputs!$F$155*Inputs!$F$45*IF(Time!AN17&gt;=9,1,0))*Inputs!$F$39</f>
        <v>3.07981349373843</v>
      </c>
      <c r="AO60" s="11" t="n">
        <f aca="false">Inputs!$F$154*AO19*Time!AO25/12*(1+Inputs!$F$155*Inputs!$F$45*IF(Time!AO17&gt;=9,1,0))*Inputs!$F$39</f>
        <v>3.11350713531381</v>
      </c>
      <c r="AP60" s="11" t="n">
        <f aca="false">Inputs!$F$154*AP19*Time!AP25/12*(1+Inputs!$F$155*Inputs!$F$45*IF(Time!AP17&gt;=9,1,0))*Inputs!$F$39</f>
        <v>3.14756939060068</v>
      </c>
      <c r="AQ60" s="11" t="n">
        <f aca="false">Inputs!$F$154*AQ19*Time!AQ25/12*(1+Inputs!$F$155*Inputs!$F$45*IF(Time!AQ17&gt;=9,1,0))*Inputs!$F$39</f>
        <v>3.18200429229072</v>
      </c>
      <c r="AR60" s="11" t="n">
        <f aca="false">Inputs!$F$154*AR19*Time!AR25/12*(1+Inputs!$F$155*Inputs!$F$45*IF(Time!AR17&gt;=9,1,0))*Inputs!$F$39</f>
        <v>3.21681591719389</v>
      </c>
      <c r="AS60" s="11" t="n">
        <f aca="false">Inputs!$F$154*AS19*Time!AS25/12*(1+Inputs!$F$155*Inputs!$F$45*IF(Time!AS17&gt;=9,1,0))*Inputs!$F$39</f>
        <v>3.25200838672111</v>
      </c>
      <c r="AT60" s="11" t="n">
        <f aca="false">Inputs!$F$154*AT19*Time!AT25/12*(1+Inputs!$F$155*Inputs!$F$45*IF(Time!AT17&gt;=9,1,0))*Inputs!$F$39</f>
        <v>3.28758586737216</v>
      </c>
      <c r="AU60" s="11" t="n">
        <f aca="false">Inputs!$F$154*AU19*Time!AU25/12*(1+Inputs!$F$155*Inputs!$F$45*IF(Time!AU17&gt;=9,1,0))*Inputs!$F$39</f>
        <v>3.32355257122897</v>
      </c>
      <c r="AV60" s="11" t="n">
        <f aca="false">Inputs!$F$154*AV19*Time!AV25/12*(1+Inputs!$F$155*Inputs!$F$45*IF(Time!AV17&gt;=9,1,0))*Inputs!$F$39</f>
        <v>3.35991275645434</v>
      </c>
      <c r="AW60" s="11" t="n">
        <f aca="false">Inputs!$F$154*AW19*Time!AW25/12*(1+Inputs!$F$155*Inputs!$F$45*IF(Time!AW17&gt;=9,1,0))*Inputs!$F$39</f>
        <v>3.39667072779601</v>
      </c>
      <c r="AX60" s="11" t="n">
        <f aca="false">Inputs!$F$154*AX19*Time!AX25/12*(1+Inputs!$F$155*Inputs!$F$45*IF(Time!AX17&gt;=9,1,0))*Inputs!$F$39</f>
        <v>3.43383083709634</v>
      </c>
      <c r="AY60" s="11" t="n">
        <f aca="false">Inputs!$F$154*AY19*Time!AY25/12*(1+Inputs!$F$155*Inputs!$F$45*IF(Time!AY17&gt;=9,1,0))*Inputs!$F$39</f>
        <v>3.47139748380752</v>
      </c>
      <c r="AZ60" s="11" t="n">
        <f aca="false">Inputs!$F$154*AZ19*Time!AZ25/12*(1+Inputs!$F$155*Inputs!$F$45*IF(Time!AZ17&gt;=9,1,0))*Inputs!$F$39</f>
        <v>3.50937511551246</v>
      </c>
      <c r="BA60" s="11" t="n">
        <f aca="false">Inputs!$F$154*BA19*Time!BA25/12*(1+Inputs!$F$155*Inputs!$F$45*IF(Time!BA17&gt;=9,1,0))*Inputs!$F$39</f>
        <v>3.54776822845129</v>
      </c>
      <c r="BB60" s="11" t="n">
        <f aca="false">Inputs!$F$154*BB19*Time!BB25/12*(1+Inputs!$F$155*Inputs!$F$45*IF(Time!BB17&gt;=9,1,0))*Inputs!$F$39</f>
        <v>3.58658136805373</v>
      </c>
      <c r="BC60" s="11" t="n">
        <f aca="false">Inputs!$F$154*BC19*Time!BC25/12*(1+Inputs!$F$155*Inputs!$F$45*IF(Time!BC17&gt;=9,1,0))*Inputs!$F$39</f>
        <v>3.62581912947721</v>
      </c>
      <c r="BD60" s="11" t="n">
        <f aca="false">Inputs!$F$154*BD19*Time!BD25/12*(1+Inputs!$F$155*Inputs!$F$45*IF(Time!BD17&gt;=9,1,0))*Inputs!$F$39</f>
        <v>3.66548615815091</v>
      </c>
      <c r="BE60" s="11" t="n">
        <f aca="false">Inputs!$F$154*BE19*Time!BE25/12*(1+Inputs!$F$155*Inputs!$F$45*IF(Time!BE17&gt;=9,1,0))*Inputs!$F$39</f>
        <v>3.70558715032571</v>
      </c>
      <c r="BF60" s="11" t="n">
        <f aca="false">Inputs!$F$154*BF19*Time!BF25/12*(1+Inputs!$F$155*Inputs!$F$45*IF(Time!BF17&gt;=9,1,0))*Inputs!$F$39</f>
        <v>3.74612685363023</v>
      </c>
      <c r="BG60" s="11" t="n">
        <f aca="false">Inputs!$F$154*BG19*Time!BG25/12*(1+Inputs!$F$155*Inputs!$F$45*IF(Time!BG17&gt;=9,1,0))*Inputs!$F$39</f>
        <v>3.78711006763288</v>
      </c>
      <c r="BH60" s="11" t="n">
        <f aca="false">Inputs!$F$154*BH19*Time!BH25/12*(1+Inputs!$F$155*Inputs!$F$45*IF(Time!BH17&gt;=9,1,0))*Inputs!$F$39</f>
        <v>3.82854164441009</v>
      </c>
      <c r="BI60" s="11" t="n">
        <f aca="false">Inputs!$F$154*BI19*Time!BI25/12*(1+Inputs!$F$155*Inputs!$F$45*IF(Time!BI17&gt;=9,1,0))*Inputs!$F$39</f>
        <v>3.8704264891208</v>
      </c>
      <c r="BJ60" s="11" t="n">
        <f aca="false">Inputs!$F$154*BJ19*Time!BJ25/12*(1+Inputs!$F$155*Inputs!$F$45*IF(Time!BJ17&gt;=9,1,0))*Inputs!$F$39</f>
        <v>3.91276956058712</v>
      </c>
      <c r="BK60" s="11" t="n">
        <f aca="false">Inputs!$F$154*BK19*Time!BK25/12*(1+Inputs!$F$155*Inputs!$F$45*IF(Time!BK17&gt;=9,1,0))*Inputs!$F$39</f>
        <v>3.95557587188146</v>
      </c>
      <c r="BL60" s="11" t="n">
        <f aca="false">Inputs!$F$154*BL19*Time!BL25/12*(1+Inputs!$F$155*Inputs!$F$45*IF(Time!BL17&gt;=9,1,0))*Inputs!$F$39</f>
        <v>3.99885049092003</v>
      </c>
      <c r="BM60" s="11" t="n">
        <f aca="false">Inputs!$F$154*BM19*Time!BM25/12*(1+Inputs!$F$155*Inputs!$F$45*IF(Time!BM17&gt;=9,1,0))*Inputs!$F$39</f>
        <v>4.04259854106285</v>
      </c>
      <c r="BN60" s="11" t="n">
        <f aca="false">Inputs!$F$154*BN19*Time!BN25/12*(1+Inputs!$F$155*Inputs!$F$45*IF(Time!BN17&gt;=9,1,0))*Inputs!$F$39</f>
        <v>3.40568766810023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117.542682440305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</v>
      </c>
      <c r="P61" s="11" t="n">
        <f aca="false">Inputs!$F$156*(0.5*P19+0.5*P23*Inputs!$F$150/P11)*Time!P25/12*Inputs!$F$39</f>
        <v>0.291854183961701</v>
      </c>
      <c r="Q61" s="11" t="n">
        <f aca="false">Inputs!$F$156*(0.5*Q19+0.5*Q23*Inputs!$F$150/Q11)*Time!Q25/12*Inputs!$F$39</f>
        <v>1.78197937490807</v>
      </c>
      <c r="R61" s="11" t="n">
        <f aca="false">Inputs!$F$156*(0.5*R19+0.5*R23*Inputs!$F$150/R11)*Time!R25/12*Inputs!$F$39</f>
        <v>1.80147450812797</v>
      </c>
      <c r="S61" s="11" t="n">
        <f aca="false">Inputs!$F$156*(0.5*S19+0.5*S23*Inputs!$F$150/S11)*Time!S25/12*Inputs!$F$39</f>
        <v>1.82118292115605</v>
      </c>
      <c r="T61" s="11" t="n">
        <f aca="false">Inputs!$F$156*(0.5*T19+0.5*T23*Inputs!$F$150/T11)*Time!T25/12*Inputs!$F$39</f>
        <v>1.84110694730679</v>
      </c>
      <c r="U61" s="11" t="n">
        <f aca="false">Inputs!$F$156*(0.5*U19+0.5*U23*Inputs!$F$150/U11)*Time!U25/12*Inputs!$F$39</f>
        <v>1.86124894542148</v>
      </c>
      <c r="V61" s="11" t="n">
        <f aca="false">Inputs!$F$156*(0.5*V19+0.5*V23*Inputs!$F$150/V11)*Time!V25/12*Inputs!$F$39</f>
        <v>1.88161130014754</v>
      </c>
      <c r="W61" s="11" t="n">
        <f aca="false">Inputs!$F$156*(0.5*W19+0.5*W23*Inputs!$F$150/W11)*Time!W25/12*Inputs!$F$39</f>
        <v>1.90219642222076</v>
      </c>
      <c r="X61" s="11" t="n">
        <f aca="false">Inputs!$F$156*(0.5*X19+0.5*X23*Inputs!$F$150/X11)*Time!X25/12*Inputs!$F$39</f>
        <v>1.92300674875078</v>
      </c>
      <c r="Y61" s="11" t="n">
        <f aca="false">Inputs!$F$156*(0.5*Y19+0.5*Y23*Inputs!$F$150/Y11)*Time!Y25/12*Inputs!$F$39</f>
        <v>1.94404474350961</v>
      </c>
      <c r="Z61" s="11" t="n">
        <f aca="false">Inputs!$F$156*(0.5*Z19+0.5*Z23*Inputs!$F$150/Z11)*Time!Z25/12*Inputs!$F$39</f>
        <v>1.9653128972233</v>
      </c>
      <c r="AA61" s="11" t="n">
        <f aca="false">Inputs!$F$156*(0.5*AA19+0.5*AA23*Inputs!$F$150/AA11)*Time!AA25/12*Inputs!$F$39</f>
        <v>1.98681372786682</v>
      </c>
      <c r="AB61" s="11" t="n">
        <f aca="false">Inputs!$F$156*(0.5*AB19+0.5*AB23*Inputs!$F$150/AB11)*Time!AB25/12*Inputs!$F$39</f>
        <v>2.00854978096221</v>
      </c>
      <c r="AC61" s="11" t="n">
        <f aca="false">Inputs!$F$156*(0.5*AC19+0.5*AC23*Inputs!$F$150/AC11)*Time!AC25/12*Inputs!$F$39</f>
        <v>2.03052362987989</v>
      </c>
      <c r="AD61" s="11" t="n">
        <f aca="false">Inputs!$F$156*(0.5*AD19+0.5*AD23*Inputs!$F$150/AD11)*Time!AD25/12*Inputs!$F$39</f>
        <v>2.05273787614338</v>
      </c>
      <c r="AE61" s="11" t="n">
        <f aca="false">Inputs!$F$156*(0.5*AE19+0.5*AE23*Inputs!$F$150/AE11)*Time!AE25/12*Inputs!$F$39</f>
        <v>2.07519514973725</v>
      </c>
      <c r="AF61" s="11" t="n">
        <f aca="false">Inputs!$F$156*(0.5*AF19+0.5*AF23*Inputs!$F$150/AF11)*Time!AF25/12*Inputs!$F$39</f>
        <v>2.09789810941853</v>
      </c>
      <c r="AG61" s="11" t="n">
        <f aca="false">Inputs!$F$156*(0.5*AG19+0.5*AG23*Inputs!$F$150/AG11)*Time!AG25/12*Inputs!$F$39</f>
        <v>2.12084944303147</v>
      </c>
      <c r="AH61" s="11" t="n">
        <f aca="false">Inputs!$F$156*(0.5*AH19+0.5*AH23*Inputs!$F$150/AH11)*Time!AH25/12*Inputs!$F$39</f>
        <v>2.14405186782574</v>
      </c>
      <c r="AI61" s="11" t="n">
        <f aca="false">Inputs!$F$156*(0.5*AI19+0.5*AI23*Inputs!$F$150/AI11)*Time!AI25/12*Inputs!$F$39</f>
        <v>2.16750813077816</v>
      </c>
      <c r="AJ61" s="11" t="n">
        <f aca="false">Inputs!$F$156*(0.5*AJ19+0.5*AJ23*Inputs!$F$150/AJ11)*Time!AJ25/12*Inputs!$F$39</f>
        <v>2.19122100891791</v>
      </c>
      <c r="AK61" s="11" t="n">
        <f aca="false">Inputs!$F$156*(0.5*AK19+0.5*AK23*Inputs!$F$150/AK11)*Time!AK25/12*Inputs!$F$39</f>
        <v>2.21519330965528</v>
      </c>
      <c r="AL61" s="11" t="n">
        <f aca="false">Inputs!$F$156*(0.5*AL19+0.5*AL23*Inputs!$F$150/AL11)*Time!AL25/12*Inputs!$F$39</f>
        <v>2.2394278711141</v>
      </c>
      <c r="AM61" s="11" t="n">
        <f aca="false">Inputs!$F$156*(0.5*AM19+0.5*AM23*Inputs!$F$150/AM11)*Time!AM25/12*Inputs!$F$39</f>
        <v>2.2639275624677</v>
      </c>
      <c r="AN61" s="11" t="n">
        <f aca="false">Inputs!$F$156*(0.5*AN19+0.5*AN23*Inputs!$F$150/AN11)*Time!AN25/12*Inputs!$F$39</f>
        <v>2.28869528427861</v>
      </c>
      <c r="AO61" s="11" t="n">
        <f aca="false">Inputs!$F$156*(0.5*AO19+0.5*AO23*Inputs!$F$150/AO11)*Time!AO25/12*Inputs!$F$39</f>
        <v>2.31373396884199</v>
      </c>
      <c r="AP61" s="11" t="n">
        <f aca="false">Inputs!$F$156*(0.5*AP19+0.5*AP23*Inputs!$F$150/AP11)*Time!AP25/12*Inputs!$F$39</f>
        <v>2.33904658053274</v>
      </c>
      <c r="AQ61" s="11" t="n">
        <f aca="false">Inputs!$F$156*(0.5*AQ19+0.5*AQ23*Inputs!$F$150/AQ11)*Time!AQ25/12*Inputs!$F$39</f>
        <v>2.36463611615651</v>
      </c>
      <c r="AR61" s="11" t="n">
        <f aca="false">Inputs!$F$156*(0.5*AR19+0.5*AR23*Inputs!$F$150/AR11)*Time!AR25/12*Inputs!$F$39</f>
        <v>2.39050560530446</v>
      </c>
      <c r="AS61" s="11" t="n">
        <f aca="false">Inputs!$F$156*(0.5*AS19+0.5*AS23*Inputs!$F$150/AS11)*Time!AS25/12*Inputs!$F$39</f>
        <v>2.41665811071195</v>
      </c>
      <c r="AT61" s="11" t="n">
        <f aca="false">Inputs!$F$156*(0.5*AT19+0.5*AT23*Inputs!$F$150/AT11)*Time!AT25/12*Inputs!$F$39</f>
        <v>2.44309672862116</v>
      </c>
      <c r="AU61" s="11" t="n">
        <f aca="false">Inputs!$F$156*(0.5*AU19+0.5*AU23*Inputs!$F$150/AU11)*Time!AU25/12*Inputs!$F$39</f>
        <v>2.46982458914762</v>
      </c>
      <c r="AV61" s="11" t="n">
        <f aca="false">Inputs!$F$156*(0.5*AV19+0.5*AV23*Inputs!$F$150/AV11)*Time!AV25/12*Inputs!$F$39</f>
        <v>2.49684485665083</v>
      </c>
      <c r="AW61" s="11" t="n">
        <f aca="false">Inputs!$F$156*(0.5*AW19+0.5*AW23*Inputs!$F$150/AW11)*Time!AW25/12*Inputs!$F$39</f>
        <v>2.52416073010887</v>
      </c>
      <c r="AX61" s="11" t="n">
        <f aca="false">Inputs!$F$156*(0.5*AX19+0.5*AX23*Inputs!$F$150/AX11)*Time!AX25/12*Inputs!$F$39</f>
        <v>2.55177544349714</v>
      </c>
      <c r="AY61" s="11" t="n">
        <f aca="false">Inputs!$F$156*(0.5*AY19+0.5*AY23*Inputs!$F$150/AY11)*Time!AY25/12*Inputs!$F$39</f>
        <v>2.57969226617126</v>
      </c>
      <c r="AZ61" s="11" t="n">
        <f aca="false">Inputs!$F$156*(0.5*AZ19+0.5*AZ23*Inputs!$F$150/AZ11)*Time!AZ25/12*Inputs!$F$39</f>
        <v>2.60791450325408</v>
      </c>
      <c r="BA61" s="11" t="n">
        <f aca="false">Inputs!$F$156*(0.5*BA19+0.5*BA23*Inputs!$F$150/BA11)*Time!BA25/12*Inputs!$F$39</f>
        <v>2.63644549602703</v>
      </c>
      <c r="BB61" s="11" t="n">
        <f aca="false">Inputs!$F$156*(0.5*BB19+0.5*BB23*Inputs!$F$150/BB11)*Time!BB25/12*Inputs!$F$39</f>
        <v>2.66528862232567</v>
      </c>
      <c r="BC61" s="11" t="n">
        <f aca="false">Inputs!$F$156*(0.5*BC19+0.5*BC23*Inputs!$F$150/BC11)*Time!BC25/12*Inputs!$F$39</f>
        <v>2.69444729693962</v>
      </c>
      <c r="BD61" s="11" t="n">
        <f aca="false">Inputs!$F$156*(0.5*BD19+0.5*BD23*Inputs!$F$150/BD11)*Time!BD25/12*Inputs!$F$39</f>
        <v>2.72392497201683</v>
      </c>
      <c r="BE61" s="11" t="n">
        <f aca="false">Inputs!$F$156*(0.5*BE19+0.5*BE23*Inputs!$F$150/BE11)*Time!BE25/12*Inputs!$F$39</f>
        <v>2.75372513747229</v>
      </c>
      <c r="BF61" s="11" t="n">
        <f aca="false">Inputs!$F$156*(0.5*BF19+0.5*BF23*Inputs!$F$150/BF11)*Time!BF25/12*Inputs!$F$39</f>
        <v>2.7838513214012</v>
      </c>
      <c r="BG61" s="11" t="n">
        <f aca="false">Inputs!$F$156*(0.5*BG19+0.5*BG23*Inputs!$F$150/BG11)*Time!BG25/12*Inputs!$F$39</f>
        <v>2.81430709049668</v>
      </c>
      <c r="BH61" s="11" t="n">
        <f aca="false">Inputs!$F$156*(0.5*BH19+0.5*BH23*Inputs!$F$150/BH11)*Time!BH25/12*Inputs!$F$39</f>
        <v>2.84509605047203</v>
      </c>
      <c r="BI61" s="11" t="n">
        <f aca="false">Inputs!$F$156*(0.5*BI19+0.5*BI23*Inputs!$F$150/BI11)*Time!BI25/12*Inputs!$F$39</f>
        <v>2.87622184648761</v>
      </c>
      <c r="BJ61" s="11" t="n">
        <f aca="false">Inputs!$F$156*(0.5*BJ19+0.5*BJ23*Inputs!$F$150/BJ11)*Time!BJ25/12*Inputs!$F$39</f>
        <v>2.90768816358242</v>
      </c>
      <c r="BK61" s="11" t="n">
        <f aca="false">Inputs!$F$156*(0.5*BK19+0.5*BK23*Inputs!$F$150/BK11)*Time!BK25/12*Inputs!$F$39</f>
        <v>2.93949872711034</v>
      </c>
      <c r="BL61" s="11" t="n">
        <f aca="false">Inputs!$F$156*(0.5*BL19+0.5*BL23*Inputs!$F$150/BL11)*Time!BL25/12*Inputs!$F$39</f>
        <v>2.97165730318123</v>
      </c>
      <c r="BM61" s="11" t="n">
        <f aca="false">Inputs!$F$156*(0.5*BM19+0.5*BM23*Inputs!$F$150/BM11)*Time!BM25/12*Inputs!$F$39</f>
        <v>3.00416769910677</v>
      </c>
      <c r="BN61" s="11" t="n">
        <f aca="false">Inputs!$F$156*(0.5*BN19+0.5*BN23*Inputs!$F$150/BN11)*Time!BN25/12*Inputs!$F$39</f>
        <v>2.53086146987601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26.8672740893257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</v>
      </c>
      <c r="P62" s="11" t="n">
        <f aca="false">Inputs!$F$157*P23/P11*Time!P25/12*Inputs!$F$39</f>
        <v>0.0666757454627242</v>
      </c>
      <c r="Q62" s="11" t="n">
        <f aca="false">Inputs!$F$157*Q23/Q11*Time!Q25/12*Inputs!$F$39</f>
        <v>0.407315787821527</v>
      </c>
      <c r="R62" s="11" t="n">
        <f aca="false">Inputs!$F$157*R23/R11*Time!R25/12*Inputs!$F$39</f>
        <v>0.411771886280331</v>
      </c>
      <c r="S62" s="11" t="n">
        <f aca="false">Inputs!$F$157*S23/S11*Time!S25/12*Inputs!$F$39</f>
        <v>0.416276735153601</v>
      </c>
      <c r="T62" s="11" t="n">
        <f aca="false">Inputs!$F$157*T23/T11*Time!T25/12*Inputs!$F$39</f>
        <v>0.420830867778499</v>
      </c>
      <c r="U62" s="11" t="n">
        <f aca="false">Inputs!$F$157*U23/U11*Time!U25/12*Inputs!$F$39</f>
        <v>0.42543482332698</v>
      </c>
      <c r="V62" s="11" t="n">
        <f aca="false">Inputs!$F$157*V23/V11*Time!V25/12*Inputs!$F$39</f>
        <v>0.430089146869626</v>
      </c>
      <c r="W62" s="11" t="n">
        <f aca="false">Inputs!$F$157*W23/W11*Time!W25/12*Inputs!$F$39</f>
        <v>0.434794389440174</v>
      </c>
      <c r="X62" s="11" t="n">
        <f aca="false">Inputs!$F$157*X23/X11*Time!X25/12*Inputs!$F$39</f>
        <v>0.439551108100758</v>
      </c>
      <c r="Y62" s="11" t="n">
        <f aca="false">Inputs!$F$157*Y23/Y11*Time!Y25/12*Inputs!$F$39</f>
        <v>0.444359866007858</v>
      </c>
      <c r="Z62" s="11" t="n">
        <f aca="false">Inputs!$F$157*Z23/Z11*Time!Z25/12*Inputs!$F$39</f>
        <v>0.449221232478974</v>
      </c>
      <c r="AA62" s="11" t="n">
        <f aca="false">Inputs!$F$157*AA23/AA11*Time!AA25/12*Inputs!$F$39</f>
        <v>0.45413578306003</v>
      </c>
      <c r="AB62" s="11" t="n">
        <f aca="false">Inputs!$F$157*AB23/AB11*Time!AB25/12*Inputs!$F$39</f>
        <v>0.459104099593512</v>
      </c>
      <c r="AC62" s="11" t="n">
        <f aca="false">Inputs!$F$157*AC23/AC11*Time!AC25/12*Inputs!$F$39</f>
        <v>0.464126770287351</v>
      </c>
      <c r="AD62" s="11" t="n">
        <f aca="false">Inputs!$F$157*AD23/AD11*Time!AD25/12*Inputs!$F$39</f>
        <v>0.469204389784569</v>
      </c>
      <c r="AE62" s="11" t="n">
        <f aca="false">Inputs!$F$157*AE23/AE11*Time!AE25/12*Inputs!$F$39</f>
        <v>0.474337559233673</v>
      </c>
      <c r="AF62" s="11" t="n">
        <f aca="false">Inputs!$F$157*AF23/AF11*Time!AF25/12*Inputs!$F$39</f>
        <v>0.47952688635983</v>
      </c>
      <c r="AG62" s="11" t="n">
        <f aca="false">Inputs!$F$157*AG23/AG11*Time!AG25/12*Inputs!$F$39</f>
        <v>0.484772985536814</v>
      </c>
      <c r="AH62" s="11" t="n">
        <f aca="false">Inputs!$F$157*AH23/AH11*Time!AH25/12*Inputs!$F$39</f>
        <v>0.490076477859746</v>
      </c>
      <c r="AI62" s="11" t="n">
        <f aca="false">Inputs!$F$157*AI23/AI11*Time!AI25/12*Inputs!$F$39</f>
        <v>0.495437991218624</v>
      </c>
      <c r="AJ62" s="11" t="n">
        <f aca="false">Inputs!$F$157*AJ23/AJ11*Time!AJ25/12*Inputs!$F$39</f>
        <v>0.500858160372661</v>
      </c>
      <c r="AK62" s="11" t="n">
        <f aca="false">Inputs!$F$157*AK23/AK11*Time!AK25/12*Inputs!$F$39</f>
        <v>0.506337627025434</v>
      </c>
      <c r="AL62" s="11" t="n">
        <f aca="false">Inputs!$F$157*AL23/AL11*Time!AL25/12*Inputs!$F$39</f>
        <v>0.511877039900859</v>
      </c>
      <c r="AM62" s="11" t="n">
        <f aca="false">Inputs!$F$157*AM23/AM11*Time!AM25/12*Inputs!$F$39</f>
        <v>0.517477054819993</v>
      </c>
      <c r="AN62" s="11" t="n">
        <f aca="false">Inputs!$F$157*AN23/AN11*Time!AN25/12*Inputs!$F$39</f>
        <v>0.523138334778678</v>
      </c>
      <c r="AO62" s="11" t="n">
        <f aca="false">Inputs!$F$157*AO23/AO11*Time!AO25/12*Inputs!$F$39</f>
        <v>0.528861550026033</v>
      </c>
      <c r="AP62" s="11" t="n">
        <f aca="false">Inputs!$F$157*AP23/AP11*Time!AP25/12*Inputs!$F$39</f>
        <v>0.534647378143809</v>
      </c>
      <c r="AQ62" s="11" t="n">
        <f aca="false">Inputs!$F$157*AQ23/AQ11*Time!AQ25/12*Inputs!$F$39</f>
        <v>0.540496504126606</v>
      </c>
      <c r="AR62" s="11" t="n">
        <f aca="false">Inputs!$F$157*AR23/AR11*Time!AR25/12*Inputs!$F$39</f>
        <v>0.546409620462973</v>
      </c>
      <c r="AS62" s="11" t="n">
        <f aca="false">Inputs!$F$157*AS23/AS11*Time!AS25/12*Inputs!$F$39</f>
        <v>0.552387427217391</v>
      </c>
      <c r="AT62" s="11" t="n">
        <f aca="false">Inputs!$F$157*AT23/AT11*Time!AT25/12*Inputs!$F$39</f>
        <v>0.558430632113158</v>
      </c>
      <c r="AU62" s="11" t="n">
        <f aca="false">Inputs!$F$157*AU23/AU11*Time!AU25/12*Inputs!$F$39</f>
        <v>0.564539950616174</v>
      </c>
      <c r="AV62" s="11" t="n">
        <f aca="false">Inputs!$F$157*AV23/AV11*Time!AV25/12*Inputs!$F$39</f>
        <v>0.570716106019648</v>
      </c>
      <c r="AW62" s="11" t="n">
        <f aca="false">Inputs!$F$157*AW23/AW11*Time!AW25/12*Inputs!$F$39</f>
        <v>0.57695982952973</v>
      </c>
      <c r="AX62" s="11" t="n">
        <f aca="false">Inputs!$F$157*AX23/AX11*Time!AX25/12*Inputs!$F$39</f>
        <v>0.58327186035208</v>
      </c>
      <c r="AY62" s="11" t="n">
        <f aca="false">Inputs!$F$157*AY23/AY11*Time!AY25/12*Inputs!$F$39</f>
        <v>0.589652945779384</v>
      </c>
      <c r="AZ62" s="11" t="n">
        <f aca="false">Inputs!$F$157*AZ23/AZ11*Time!AZ25/12*Inputs!$F$39</f>
        <v>0.596103841279826</v>
      </c>
      <c r="BA62" s="11" t="n">
        <f aca="false">Inputs!$F$157*BA23/BA11*Time!BA25/12*Inputs!$F$39</f>
        <v>0.602625310586531</v>
      </c>
      <c r="BB62" s="11" t="n">
        <f aca="false">Inputs!$F$157*BB23/BB11*Time!BB25/12*Inputs!$F$39</f>
        <v>0.609218125787982</v>
      </c>
      <c r="BC62" s="11" t="n">
        <f aca="false">Inputs!$F$157*BC23/BC11*Time!BC25/12*Inputs!$F$39</f>
        <v>0.615883067419434</v>
      </c>
      <c r="BD62" s="11" t="n">
        <f aca="false">Inputs!$F$157*BD23/BD11*Time!BD25/12*Inputs!$F$39</f>
        <v>0.622620924555318</v>
      </c>
      <c r="BE62" s="11" t="n">
        <f aca="false">Inputs!$F$157*BE23/BE11*Time!BE25/12*Inputs!$F$39</f>
        <v>0.629432494902662</v>
      </c>
      <c r="BF62" s="11" t="n">
        <f aca="false">Inputs!$F$157*BF23/BF11*Time!BF25/12*Inputs!$F$39</f>
        <v>0.636318584895535</v>
      </c>
      <c r="BG62" s="11" t="n">
        <f aca="false">Inputs!$F$157*BG23/BG11*Time!BG25/12*Inputs!$F$39</f>
        <v>0.64328000979052</v>
      </c>
      <c r="BH62" s="11" t="n">
        <f aca="false">Inputs!$F$157*BH23/BH11*Time!BH25/12*Inputs!$F$39</f>
        <v>0.650317593763237</v>
      </c>
      <c r="BI62" s="11" t="n">
        <f aca="false">Inputs!$F$157*BI23/BI11*Time!BI25/12*Inputs!$F$39</f>
        <v>0.657432170005912</v>
      </c>
      <c r="BJ62" s="11" t="n">
        <f aca="false">Inputs!$F$157*BJ23/BJ11*Time!BJ25/12*Inputs!$F$39</f>
        <v>0.664624580826028</v>
      </c>
      <c r="BK62" s="11" t="n">
        <f aca="false">Inputs!$F$157*BK23/BK11*Time!BK25/12*Inputs!$F$39</f>
        <v>0.671895677746042</v>
      </c>
      <c r="BL62" s="11" t="n">
        <f aca="false">Inputs!$F$157*BL23/BL11*Time!BL25/12*Inputs!$F$39</f>
        <v>0.679246321604201</v>
      </c>
      <c r="BM62" s="11" t="n">
        <f aca="false">Inputs!$F$157*BM23/BM11*Time!BM25/12*Inputs!$F$39</f>
        <v>0.686677382656455</v>
      </c>
      <c r="BN62" s="11" t="n">
        <f aca="false">Inputs!$F$157*BN23/BN11*Time!BN25/12*Inputs!$F$39</f>
        <v>0.578491450566244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21.1145285603769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</v>
      </c>
      <c r="P63" s="11" t="n">
        <f aca="false">Inputs!$F$158/100*P50</f>
        <v>0.0617918320971353</v>
      </c>
      <c r="Q63" s="11" t="n">
        <f aca="false">Inputs!$F$158/100*Q50</f>
        <v>0.374287199243961</v>
      </c>
      <c r="R63" s="11" t="n">
        <f aca="false">Inputs!$F$158/100*R50</f>
        <v>0.376841979432788</v>
      </c>
      <c r="S63" s="11" t="n">
        <f aca="false">Inputs!$F$158/100*S50</f>
        <v>0.378167055913794</v>
      </c>
      <c r="T63" s="11" t="n">
        <f aca="false">Inputs!$F$158/100*T50</f>
        <v>0.379928770132999</v>
      </c>
      <c r="U63" s="11" t="n">
        <f aca="false">Inputs!$F$158/100*U50</f>
        <v>0.381996828424249</v>
      </c>
      <c r="V63" s="11" t="n">
        <f aca="false">Inputs!$F$158/100*V50</f>
        <v>0.38347092209078</v>
      </c>
      <c r="W63" s="11" t="n">
        <f aca="false">Inputs!$F$158/100*W50</f>
        <v>0.383917877163426</v>
      </c>
      <c r="X63" s="11" t="n">
        <f aca="false">Inputs!$F$158/100*X50</f>
        <v>0.385933686448566</v>
      </c>
      <c r="Y63" s="11" t="n">
        <f aca="false">Inputs!$F$158/100*Y50</f>
        <v>0.389035409110073</v>
      </c>
      <c r="Z63" s="11" t="n">
        <f aca="false">Inputs!$F$158/100*Z50</f>
        <v>0.390767070067416</v>
      </c>
      <c r="AA63" s="11" t="n">
        <f aca="false">Inputs!$F$158/100*AA50</f>
        <v>0.392211848745237</v>
      </c>
      <c r="AB63" s="11" t="n">
        <f aca="false">Inputs!$F$158/100*AB50</f>
        <v>0.394130197419897</v>
      </c>
      <c r="AC63" s="11" t="n">
        <f aca="false">Inputs!$F$158/100*AC50</f>
        <v>0.396380823182755</v>
      </c>
      <c r="AD63" s="11" t="n">
        <f aca="false">Inputs!$F$158/100*AD50</f>
        <v>0.397821664201092</v>
      </c>
      <c r="AE63" s="11" t="n">
        <f aca="false">Inputs!$F$158/100*AE50</f>
        <v>0.392411809523061</v>
      </c>
      <c r="AF63" s="11" t="n">
        <f aca="false">Inputs!$F$158/100*AF50</f>
        <v>0.398068778378124</v>
      </c>
      <c r="AG63" s="11" t="n">
        <f aca="false">Inputs!$F$158/100*AG50</f>
        <v>0.404046440866792</v>
      </c>
      <c r="AH63" s="11" t="n">
        <f aca="false">Inputs!$F$158/100*AH50</f>
        <v>0.405932723184783</v>
      </c>
      <c r="AI63" s="11" t="n">
        <f aca="false">Inputs!$F$158/100*AI50</f>
        <v>0.407508016990716</v>
      </c>
      <c r="AJ63" s="11" t="n">
        <f aca="false">Inputs!$F$158/100*AJ50</f>
        <v>0.409596919222815</v>
      </c>
      <c r="AK63" s="11" t="n">
        <f aca="false">Inputs!$F$158/100*AK50</f>
        <v>0.41204621473885</v>
      </c>
      <c r="AL63" s="11" t="n">
        <f aca="false">Inputs!$F$158/100*AL50</f>
        <v>0.413797293366473</v>
      </c>
      <c r="AM63" s="11" t="n">
        <f aca="false">Inputs!$F$158/100*AM50</f>
        <v>0.414340846126749</v>
      </c>
      <c r="AN63" s="11" t="n">
        <f aca="false">Inputs!$F$158/100*AN50</f>
        <v>0.416729278402669</v>
      </c>
      <c r="AO63" s="11" t="n">
        <f aca="false">Inputs!$F$158/100*AO50</f>
        <v>0.420394705081124</v>
      </c>
      <c r="AP63" s="11" t="n">
        <f aca="false">Inputs!$F$158/100*AP50</f>
        <v>0.422449410272881</v>
      </c>
      <c r="AQ63" s="11" t="n">
        <f aca="false">Inputs!$F$158/100*AQ50</f>
        <v>0.424167008845992</v>
      </c>
      <c r="AR63" s="11" t="n">
        <f aca="false">Inputs!$F$158/100*AR50</f>
        <v>0.426441619959295</v>
      </c>
      <c r="AS63" s="11" t="n">
        <f aca="false">Inputs!$F$158/100*AS50</f>
        <v>0.429107106337954</v>
      </c>
      <c r="AT63" s="11" t="n">
        <f aca="false">Inputs!$F$158/100*AT50</f>
        <v>0.430820697726587</v>
      </c>
      <c r="AU63" s="11" t="n">
        <f aca="false">Inputs!$F$158/100*AU50</f>
        <v>0.425012806213147</v>
      </c>
      <c r="AV63" s="11" t="n">
        <f aca="false">Inputs!$F$158/100*AV50</f>
        <v>0.431335359288586</v>
      </c>
      <c r="AW63" s="11" t="n">
        <f aca="false">Inputs!$F$158/100*AW50</f>
        <v>0.438199274723702</v>
      </c>
      <c r="AX63" s="11" t="n">
        <f aca="false">Inputs!$F$158/100*AX50</f>
        <v>0.44043743578642</v>
      </c>
      <c r="AY63" s="11" t="n">
        <f aca="false">Inputs!$F$158/100*AY50</f>
        <v>0.442310193693215</v>
      </c>
      <c r="AZ63" s="11" t="n">
        <f aca="false">Inputs!$F$158/100*AZ50</f>
        <v>0.444787014964745</v>
      </c>
      <c r="BA63" s="11" t="n">
        <f aca="false">Inputs!$F$158/100*BA50</f>
        <v>0.447687757031931</v>
      </c>
      <c r="BB63" s="11" t="n">
        <f aca="false">Inputs!$F$158/100*BB50</f>
        <v>0.449767859063879</v>
      </c>
      <c r="BC63" s="11" t="n">
        <f aca="false">Inputs!$F$158/100*BC50</f>
        <v>0.45042858539543</v>
      </c>
      <c r="BD63" s="11" t="n">
        <f aca="false">Inputs!$F$158/100*BD50</f>
        <v>0.453258463203376</v>
      </c>
      <c r="BE63" s="11" t="n">
        <f aca="false">Inputs!$F$158/100*BE50</f>
        <v>0.457589820698173</v>
      </c>
      <c r="BF63" s="11" t="n">
        <f aca="false">Inputs!$F$158/100*BF50</f>
        <v>0.460027811955452</v>
      </c>
      <c r="BG63" s="11" t="n">
        <f aca="false">Inputs!$F$158/100*BG50</f>
        <v>0.462069744877486</v>
      </c>
      <c r="BH63" s="11" t="n">
        <f aca="false">Inputs!$F$158/100*BH50</f>
        <v>0.46476674300326</v>
      </c>
      <c r="BI63" s="11" t="n">
        <f aca="false">Inputs!$F$158/100*BI50</f>
        <v>0.467923485170764</v>
      </c>
      <c r="BJ63" s="11" t="n">
        <f aca="false">Inputs!$F$158/100*BJ50</f>
        <v>0.469961457337361</v>
      </c>
      <c r="BK63" s="11" t="n">
        <f aca="false">Inputs!$F$158/100*BK50</f>
        <v>0.46368454789298</v>
      </c>
      <c r="BL63" s="11" t="n">
        <f aca="false">Inputs!$F$158/100*BL50</f>
        <v>0.470796598658394</v>
      </c>
      <c r="BM63" s="11" t="n">
        <f aca="false">Inputs!$F$158/100*BM50</f>
        <v>0.478707554646674</v>
      </c>
      <c r="BN63" s="11" t="n">
        <f aca="false">Inputs!$F$158/100*BN50</f>
        <v>0.401234014072919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138.57633537967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</v>
      </c>
      <c r="P64" s="11" t="n">
        <f aca="false">Inputs!$F$159*(0.7*P19+0.3*P23*Inputs!$F$150/P11)*P33/1000000</f>
        <v>0.356005252375428</v>
      </c>
      <c r="Q64" s="11" t="n">
        <f aca="false">Inputs!$F$159*(0.7*Q19+0.3*Q23*Inputs!$F$150/Q11)*Q33/1000000</f>
        <v>2.17225010814421</v>
      </c>
      <c r="R64" s="11" t="n">
        <f aca="false">Inputs!$F$159*(0.7*R19+0.3*R23*Inputs!$F$150/R11)*R33/1000000</f>
        <v>2.19085791347435</v>
      </c>
      <c r="S64" s="11" t="n">
        <f aca="false">Inputs!$F$159*(0.7*S19+0.3*S23*Inputs!$F$150/S11)*S33/1000000</f>
        <v>2.19543883304111</v>
      </c>
      <c r="T64" s="11" t="n">
        <f aca="false">Inputs!$F$159*(0.7*T19+0.3*T23*Inputs!$F$150/T11)*T33/1000000</f>
        <v>2.2213702786757</v>
      </c>
      <c r="U64" s="11" t="n">
        <f aca="false">Inputs!$F$159*(0.7*U19+0.3*U23*Inputs!$F$150/U11)*U33/1000000</f>
        <v>2.2620704354858</v>
      </c>
      <c r="V64" s="11" t="n">
        <f aca="false">Inputs!$F$159*(0.7*V19+0.3*V23*Inputs!$F$150/V11)*V33/1000000</f>
        <v>2.27210397089118</v>
      </c>
      <c r="W64" s="11" t="n">
        <f aca="false">Inputs!$F$159*(0.7*W19+0.3*W23*Inputs!$F$150/W11)*W33/1000000</f>
        <v>2.22960616470855</v>
      </c>
      <c r="X64" s="11" t="n">
        <f aca="false">Inputs!$F$159*(0.7*X19+0.3*X23*Inputs!$F$150/X11)*X33/1000000</f>
        <v>2.26555798029862</v>
      </c>
      <c r="Y64" s="11" t="n">
        <f aca="false">Inputs!$F$159*(0.7*Y19+0.3*Y23*Inputs!$F$150/Y11)*Y33/1000000</f>
        <v>2.35558339216172</v>
      </c>
      <c r="Z64" s="11" t="n">
        <f aca="false">Inputs!$F$159*(0.7*Z19+0.3*Z23*Inputs!$F$150/Z11)*Z33/1000000</f>
        <v>2.37575088230131</v>
      </c>
      <c r="AA64" s="11" t="n">
        <f aca="false">Inputs!$F$159*(0.7*AA19+0.3*AA23*Inputs!$F$150/AA11)*AA33/1000000</f>
        <v>2.38070758610042</v>
      </c>
      <c r="AB64" s="11" t="n">
        <f aca="false">Inputs!$F$159*(0.7*AB19+0.3*AB23*Inputs!$F$150/AB11)*AB33/1000000</f>
        <v>2.40881637801492</v>
      </c>
      <c r="AC64" s="11" t="n">
        <f aca="false">Inputs!$F$159*(0.7*AC19+0.3*AC23*Inputs!$F$150/AC11)*AC33/1000000</f>
        <v>2.45293976519652</v>
      </c>
      <c r="AD64" s="11" t="n">
        <f aca="false">Inputs!$F$159*(0.7*AD19+0.3*AD23*Inputs!$F$150/AD11)*AD33/1000000</f>
        <v>2.4554433444241</v>
      </c>
      <c r="AE64" s="11" t="n">
        <f aca="false">Inputs!$F$159*(0.7*AE19+0.3*AE23*Inputs!$F$150/AE11)*AE33/1000000</f>
        <v>2.36701152600663</v>
      </c>
      <c r="AF64" s="11" t="n">
        <f aca="false">Inputs!$F$159*(0.7*AF19+0.3*AF23*Inputs!$F$150/AF11)*AF33/1000000</f>
        <v>2.41400587312065</v>
      </c>
      <c r="AG64" s="11" t="n">
        <f aca="false">Inputs!$F$159*(0.7*AG19+0.3*AG23*Inputs!$F$150/AG11)*AG33/1000000</f>
        <v>2.55429644976287</v>
      </c>
      <c r="AH64" s="11" t="n">
        <f aca="false">Inputs!$F$159*(0.7*AH19+0.3*AH23*Inputs!$F$150/AH11)*AH33/1000000</f>
        <v>2.57615341026942</v>
      </c>
      <c r="AI64" s="11" t="n">
        <f aca="false">Inputs!$F$159*(0.7*AI19+0.3*AI23*Inputs!$F$150/AI11)*AI33/1000000</f>
        <v>2.58151636079197</v>
      </c>
      <c r="AJ64" s="11" t="n">
        <f aca="false">Inputs!$F$159*(0.7*AJ19+0.3*AJ23*Inputs!$F$150/AJ11)*AJ33/1000000</f>
        <v>2.61198405703413</v>
      </c>
      <c r="AK64" s="11" t="n">
        <f aca="false">Inputs!$F$159*(0.7*AK19+0.3*AK23*Inputs!$F$150/AK11)*AK33/1000000</f>
        <v>2.65981669422997</v>
      </c>
      <c r="AL64" s="11" t="n">
        <f aca="false">Inputs!$F$159*(0.7*AL19+0.3*AL23*Inputs!$F$150/AL11)*AL33/1000000</f>
        <v>2.67158992728654</v>
      </c>
      <c r="AM64" s="11" t="n">
        <f aca="false">Inputs!$F$159*(0.7*AM19+0.3*AM23*Inputs!$F$150/AM11)*AM33/1000000</f>
        <v>2.62159596525384</v>
      </c>
      <c r="AN64" s="11" t="n">
        <f aca="false">Inputs!$F$159*(0.7*AN19+0.3*AN23*Inputs!$F$150/AN11)*AN33/1000000</f>
        <v>2.66384398324896</v>
      </c>
      <c r="AO64" s="11" t="n">
        <f aca="false">Inputs!$F$159*(0.7*AO19+0.3*AO23*Inputs!$F$150/AO11)*AO33/1000000</f>
        <v>2.76967035492642</v>
      </c>
      <c r="AP64" s="11" t="n">
        <f aca="false">Inputs!$F$159*(0.7*AP19+0.3*AP23*Inputs!$F$150/AP11)*AP33/1000000</f>
        <v>2.79335727786625</v>
      </c>
      <c r="AQ64" s="11" t="n">
        <f aca="false">Inputs!$F$159*(0.7*AQ19+0.3*AQ23*Inputs!$F$150/AQ11)*AQ33/1000000</f>
        <v>2.79915937030351</v>
      </c>
      <c r="AR64" s="11" t="n">
        <f aca="false">Inputs!$F$159*(0.7*AR19+0.3*AR23*Inputs!$F$150/AR11)*AR33/1000000</f>
        <v>2.83218254363832</v>
      </c>
      <c r="AS64" s="11" t="n">
        <f aca="false">Inputs!$F$159*(0.7*AS19+0.3*AS23*Inputs!$F$150/AS11)*AS33/1000000</f>
        <v>2.88403416099701</v>
      </c>
      <c r="AT64" s="11" t="n">
        <f aca="false">Inputs!$F$159*(0.7*AT19+0.3*AT23*Inputs!$F$150/AT11)*AT33/1000000</f>
        <v>2.88695090560585</v>
      </c>
      <c r="AU64" s="11" t="n">
        <f aca="false">Inputs!$F$159*(0.7*AU19+0.3*AU23*Inputs!$F$150/AU11)*AU33/1000000</f>
        <v>2.78295261177506</v>
      </c>
      <c r="AV64" s="11" t="n">
        <f aca="false">Inputs!$F$159*(0.7*AV19+0.3*AV23*Inputs!$F$150/AV11)*AV33/1000000</f>
        <v>2.83817854449456</v>
      </c>
      <c r="AW64" s="11" t="n">
        <f aca="false">Inputs!$F$159*(0.7*AW19+0.3*AW23*Inputs!$F$150/AW11)*AW33/1000000</f>
        <v>3.00309198974731</v>
      </c>
      <c r="AX64" s="11" t="n">
        <f aca="false">Inputs!$F$159*(0.7*AX19+0.3*AX23*Inputs!$F$150/AX11)*AX33/1000000</f>
        <v>3.028760947643</v>
      </c>
      <c r="AY64" s="11" t="n">
        <f aca="false">Inputs!$F$159*(0.7*AY19+0.3*AY23*Inputs!$F$150/AY11)*AY33/1000000</f>
        <v>3.03503770041398</v>
      </c>
      <c r="AZ64" s="11" t="n">
        <f aca="false">Inputs!$F$159*(0.7*AZ19+0.3*AZ23*Inputs!$F$150/AZ11)*AZ33/1000000</f>
        <v>3.07082916767985</v>
      </c>
      <c r="BA64" s="11" t="n">
        <f aca="false">Inputs!$F$159*(0.7*BA19+0.3*BA23*Inputs!$F$150/BA11)*BA33/1000000</f>
        <v>3.12703515288488</v>
      </c>
      <c r="BB64" s="11" t="n">
        <f aca="false">Inputs!$F$159*(0.7*BB19+0.3*BB23*Inputs!$F$150/BB11)*BB33/1000000</f>
        <v>3.14084690280386</v>
      </c>
      <c r="BC64" s="11" t="n">
        <f aca="false">Inputs!$F$159*(0.7*BC19+0.3*BC23*Inputs!$F$150/BC11)*BC33/1000000</f>
        <v>3.08204260851317</v>
      </c>
      <c r="BD64" s="11" t="n">
        <f aca="false">Inputs!$F$159*(0.7*BD19+0.3*BD23*Inputs!$F$150/BD11)*BD33/1000000</f>
        <v>3.13168134789772</v>
      </c>
      <c r="BE64" s="11" t="n">
        <f aca="false">Inputs!$F$159*(0.7*BE19+0.3*BE23*Inputs!$F$150/BE11)*BE33/1000000</f>
        <v>3.25606269408198</v>
      </c>
      <c r="BF64" s="11" t="n">
        <f aca="false">Inputs!$F$159*(0.7*BF19+0.3*BF23*Inputs!$F$150/BF11)*BF33/1000000</f>
        <v>3.2838782842683</v>
      </c>
      <c r="BG64" s="11" t="n">
        <f aca="false">Inputs!$F$159*(0.7*BG19+0.3*BG23*Inputs!$F$150/BG11)*BG33/1000000</f>
        <v>3.29066804408137</v>
      </c>
      <c r="BH64" s="11" t="n">
        <f aca="false">Inputs!$F$159*(0.7*BH19+0.3*BH23*Inputs!$F$150/BH11)*BH33/1000000</f>
        <v>3.32945819496665</v>
      </c>
      <c r="BI64" s="11" t="n">
        <f aca="false">Inputs!$F$159*(0.7*BI19+0.3*BI23*Inputs!$F$150/BI11)*BI33/1000000</f>
        <v>3.39038169830033</v>
      </c>
      <c r="BJ64" s="11" t="n">
        <f aca="false">Inputs!$F$159*(0.7*BJ19+0.3*BJ23*Inputs!$F$150/BJ11)*BJ33/1000000</f>
        <v>3.39377821122998</v>
      </c>
      <c r="BK64" s="11" t="n">
        <f aca="false">Inputs!$F$159*(0.7*BK19+0.3*BK23*Inputs!$F$150/BK11)*BK33/1000000</f>
        <v>3.27149098006366</v>
      </c>
      <c r="BL64" s="11" t="n">
        <f aca="false">Inputs!$F$159*(0.7*BL19+0.3*BL23*Inputs!$F$150/BL11)*BL33/1000000</f>
        <v>3.33637977361758</v>
      </c>
      <c r="BM64" s="11" t="n">
        <f aca="false">Inputs!$F$159*(0.7*BM19+0.3*BM23*Inputs!$F$150/BM11)*BM33/1000000</f>
        <v>3.53020761333576</v>
      </c>
      <c r="BN64" s="11" t="n">
        <f aca="false">Inputs!$F$159*(0.7*BN19+0.3*BN23*Inputs!$F$150/BN11)*BN33/1000000</f>
        <v>2.97190176623431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</v>
      </c>
      <c r="P65" s="11" t="n">
        <f aca="false">Inputs!$F$105*Time!P25/12</f>
        <v>0.02125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0.1275</v>
      </c>
      <c r="BN65" s="11" t="n">
        <f aca="false">Inputs!$F$105*Time!BN25/12</f>
        <v>0.10625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</v>
      </c>
      <c r="P66" s="11" t="n">
        <f aca="false">Inputs!$F$160*Time!P25/12</f>
        <v>0.0259375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0.155625</v>
      </c>
      <c r="BN66" s="11" t="n">
        <f aca="false">Inputs!$F$160*Time!BN25/12</f>
        <v>0.1296875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1164.01530638721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0</v>
      </c>
      <c r="P67" s="11" t="n">
        <f aca="false">P55+P56+P57+P59+P60+P61+P62+P63+P64+P65+P66</f>
        <v>2.94628255470064</v>
      </c>
      <c r="Q67" s="11" t="n">
        <f aca="false">Q55+Q56+Q57+Q59+Q60+Q61+Q62+Q63+Q64+Q65+Q66</f>
        <v>17.9746248684016</v>
      </c>
      <c r="R67" s="11" t="n">
        <f aca="false">R55+R56+R57+R59+R60+R61+R62+R63+R64+R65+R66</f>
        <v>18.1448337578843</v>
      </c>
      <c r="S67" s="11" t="n">
        <f aca="false">S55+S56+S57+S59+S60+S61+S62+S63+S64+S65+S66</f>
        <v>18.2339384939105</v>
      </c>
      <c r="T67" s="11" t="n">
        <f aca="false">T55+T56+T57+T59+T60+T61+T62+T63+T64+T65+T66</f>
        <v>18.4468687908119</v>
      </c>
      <c r="U67" s="11" t="n">
        <f aca="false">U55+U56+U57+U59+U60+U61+U62+U63+U64+U65+U66</f>
        <v>18.7458633394876</v>
      </c>
      <c r="V67" s="11" t="n">
        <f aca="false">V55+V56+V57+V59+V60+V61+V62+V63+V64+V65+V66</f>
        <v>18.8686261242258</v>
      </c>
      <c r="W67" s="11" t="n">
        <f aca="false">W55+W56+W57+W59+W60+W61+W62+W63+W64+W65+W66</f>
        <v>18.6884525480069</v>
      </c>
      <c r="X67" s="11" t="n">
        <f aca="false">X55+X56+X57+X59+X60+X61+X62+X63+X64+X65+X66</f>
        <v>18.9623482345894</v>
      </c>
      <c r="Y67" s="11" t="n">
        <f aca="false">Y55+Y56+Y57+Y59+Y60+Y61+Y62+Y63+Y64+Y65+Y66</f>
        <v>19.5500926409754</v>
      </c>
      <c r="Z67" s="11" t="n">
        <f aca="false">Z55+Z56+Z57+Z59+Z60+Z61+Z62+Z63+Z64+Z65+Z66</f>
        <v>19.7345933843467</v>
      </c>
      <c r="AA67" s="11" t="n">
        <f aca="false">AA55+AA56+AA57+AA59+AA60+AA61+AA62+AA63+AA64+AA65+AA66</f>
        <v>19.8317602681515</v>
      </c>
      <c r="AB67" s="11" t="n">
        <f aca="false">AB55+AB56+AB57+AB59+AB60+AB61+AB62+AB63+AB64+AB65+AB66</f>
        <v>20.0638712755076</v>
      </c>
      <c r="AC67" s="11" t="n">
        <f aca="false">AC55+AC56+AC57+AC59+AC60+AC61+AC62+AC63+AC64+AC65+AC66</f>
        <v>20.3897745938682</v>
      </c>
      <c r="AD67" s="11" t="n">
        <f aca="false">AD55+AD56+AD57+AD59+AD60+AD61+AD62+AD63+AD64+AD65+AD66</f>
        <v>20.4750592231796</v>
      </c>
      <c r="AE67" s="11" t="n">
        <f aca="false">AE55+AE56+AE57+AE59+AE60+AE61+AE62+AE63+AE64+AE65+AE66</f>
        <v>20.0660800875392</v>
      </c>
      <c r="AF67" s="11" t="n">
        <f aca="false">AF55+AF56+AF57+AF59+AF60+AF61+AF62+AF63+AF64+AF65+AF66</f>
        <v>20.3760326304629</v>
      </c>
      <c r="AG67" s="11" t="n">
        <f aca="false">AG55+AG56+AG57+AG59+AG60+AG61+AG62+AG63+AG64+AG65+AG66</f>
        <v>21.2664719195988</v>
      </c>
      <c r="AH67" s="11" t="n">
        <f aca="false">AH55+AH56+AH57+AH59+AH60+AH61+AH62+AH63+AH64+AH65+AH66</f>
        <v>21.4676048534593</v>
      </c>
      <c r="AI67" s="11" t="n">
        <f aca="false">AI55+AI56+AI57+AI59+AI60+AI61+AI62+AI63+AI64+AI65+AI66</f>
        <v>21.5735633243003</v>
      </c>
      <c r="AJ67" s="11" t="n">
        <f aca="false">AJ55+AJ56+AJ57+AJ59+AJ60+AJ61+AJ62+AJ63+AJ64+AJ65+AJ66</f>
        <v>21.8265826758614</v>
      </c>
      <c r="AK67" s="11" t="n">
        <f aca="false">AK55+AK56+AK57+AK59+AK60+AK61+AK62+AK63+AK64+AK65+AK66</f>
        <v>22.1818162171626</v>
      </c>
      <c r="AL67" s="11" t="n">
        <f aca="false">AL55+AL56+AL57+AL59+AL60+AL61+AL62+AL63+AL64+AL65+AL66</f>
        <v>22.3277525187113</v>
      </c>
      <c r="AM67" s="11" t="n">
        <f aca="false">AM55+AM56+AM57+AM59+AM60+AM61+AM62+AM63+AM64+AM65+AM66</f>
        <v>22.1139132793873</v>
      </c>
      <c r="AN67" s="11" t="n">
        <f aca="false">AN55+AN56+AN57+AN59+AN60+AN61+AN62+AN63+AN64+AN65+AN66</f>
        <v>22.4393430459632</v>
      </c>
      <c r="AO67" s="11" t="n">
        <f aca="false">AO55+AO56+AO57+AO59+AO60+AO61+AO62+AO63+AO64+AO65+AO66</f>
        <v>23.137510998663</v>
      </c>
      <c r="AP67" s="11" t="n">
        <f aca="false">AP55+AP56+AP57+AP59+AP60+AP61+AP62+AP63+AP64+AP65+AP66</f>
        <v>23.3567753472408</v>
      </c>
      <c r="AQ67" s="11" t="n">
        <f aca="false">AQ55+AQ56+AQ57+AQ59+AQ60+AQ61+AQ62+AQ63+AQ64+AQ65+AQ66</f>
        <v>23.4723208401001</v>
      </c>
      <c r="AR67" s="11" t="n">
        <f aca="false">AR55+AR56+AR57+AR59+AR60+AR61+AR62+AR63+AR64+AR65+AR66</f>
        <v>23.7481317653361</v>
      </c>
      <c r="AS67" s="11" t="n">
        <f aca="false">AS55+AS56+AS57+AS59+AS60+AS61+AS62+AS63+AS64+AS65+AS66</f>
        <v>24.1353348586256</v>
      </c>
      <c r="AT67" s="11" t="n">
        <f aca="false">AT55+AT56+AT57+AT59+AT60+AT61+AT62+AT63+AT64+AT65+AT66</f>
        <v>24.2367734627331</v>
      </c>
      <c r="AU67" s="11" t="n">
        <f aca="false">AU55+AU56+AU57+AU59+AU60+AU61+AU62+AU63+AU64+AU65+AU66</f>
        <v>23.751901706301</v>
      </c>
      <c r="AV67" s="11" t="n">
        <f aca="false">AV55+AV56+AV57+AV59+AV60+AV61+AV62+AV63+AV64+AV65+AV66</f>
        <v>24.1196811011412</v>
      </c>
      <c r="AW67" s="11" t="n">
        <f aca="false">AW55+AW56+AW57+AW59+AW60+AW61+AW62+AW63+AW64+AW65+AW66</f>
        <v>25.1771447829766</v>
      </c>
      <c r="AX67" s="11" t="n">
        <f aca="false">AX55+AX56+AX57+AX59+AX60+AX61+AX62+AX63+AX64+AX65+AX66</f>
        <v>25.4161748996142</v>
      </c>
      <c r="AY67" s="11" t="n">
        <f aca="false">AY55+AY56+AY57+AY59+AY60+AY61+AY62+AY63+AY64+AY65+AY66</f>
        <v>25.5421748159729</v>
      </c>
      <c r="AZ67" s="11" t="n">
        <f aca="false">AZ55+AZ56+AZ57+AZ59+AZ60+AZ61+AZ62+AZ63+AZ64+AZ65+AZ66</f>
        <v>25.8428301521256</v>
      </c>
      <c r="BA67" s="11" t="n">
        <f aca="false">BA55+BA56+BA57+BA59+BA60+BA61+BA62+BA63+BA64+BA65+BA66</f>
        <v>26.2648796038396</v>
      </c>
      <c r="BB67" s="11" t="n">
        <f aca="false">BB55+BB56+BB57+BB59+BB60+BB61+BB62+BB63+BB64+BB65+BB66</f>
        <v>26.4383635687572</v>
      </c>
      <c r="BC67" s="11" t="n">
        <f aca="false">BC55+BC56+BC57+BC59+BC60+BC61+BC62+BC63+BC64+BC65+BC66</f>
        <v>26.1845701725426</v>
      </c>
      <c r="BD67" s="11" t="n">
        <f aca="false">BD55+BD56+BD57+BD59+BD60+BD61+BD62+BD63+BD64+BD65+BD66</f>
        <v>26.5712291607785</v>
      </c>
      <c r="BE67" s="11" t="n">
        <f aca="false">BE55+BE56+BE57+BE59+BE60+BE61+BE62+BE63+BE64+BE65+BE66</f>
        <v>27.4005636065754</v>
      </c>
      <c r="BF67" s="11" t="n">
        <f aca="false">BF55+BF56+BF57+BF59+BF60+BF61+BF62+BF63+BF64+BF65+BF66</f>
        <v>27.6611411522868</v>
      </c>
      <c r="BG67" s="11" t="n">
        <f aca="false">BG55+BG56+BG57+BG59+BG60+BG61+BG62+BG63+BG64+BG65+BG66</f>
        <v>27.7985413710724</v>
      </c>
      <c r="BH67" s="11" t="n">
        <f aca="false">BH55+BH56+BH57+BH59+BH60+BH61+BH62+BH63+BH64+BH65+BH66</f>
        <v>28.1262788369301</v>
      </c>
      <c r="BI67" s="11" t="n">
        <f aca="false">BI55+BI56+BI57+BI59+BI60+BI61+BI62+BI63+BI64+BI65+BI66</f>
        <v>28.5863102957737</v>
      </c>
      <c r="BJ67" s="11" t="n">
        <f aca="false">BJ55+BJ56+BJ57+BJ59+BJ60+BJ61+BJ62+BJ63+BJ64+BJ65+BJ66</f>
        <v>28.7069625911281</v>
      </c>
      <c r="BK67" s="11" t="n">
        <f aca="false">BK55+BK56+BK57+BK59+BK60+BK61+BK62+BK63+BK64+BK65+BK66</f>
        <v>28.1320085434608</v>
      </c>
      <c r="BL67" s="11" t="n">
        <f aca="false">BL55+BL56+BL57+BL59+BL60+BL61+BL62+BL63+BL64+BL65+BL66</f>
        <v>28.5684746908205</v>
      </c>
      <c r="BM67" s="11" t="n">
        <f aca="false">BM55+BM56+BM57+BM59+BM60+BM61+BM62+BM63+BM64+BM65+BM66</f>
        <v>29.8243263272007</v>
      </c>
      <c r="BN67" s="11" t="n">
        <f aca="false">BN55+BN56+BN57+BN59+BN60+BN61+BN62+BN63+BN64+BN65+BN66</f>
        <v>25.1187510847212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4912.11908275359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0</v>
      </c>
      <c r="P68" s="11" t="n">
        <f aca="false">P37*P36/1000000</f>
        <v>12.7743313774651</v>
      </c>
      <c r="Q68" s="11" t="n">
        <f aca="false">Q37*Q36/1000000</f>
        <v>78.1720518984384</v>
      </c>
      <c r="R68" s="11" t="n">
        <f aca="false">R37*R36/1000000</f>
        <v>78.0352530993953</v>
      </c>
      <c r="S68" s="11" t="n">
        <f aca="false">S37*S36/1000000</f>
        <v>78.9465097911059</v>
      </c>
      <c r="T68" s="11" t="n">
        <f aca="false">T37*T36/1000000</f>
        <v>79.0618886030274</v>
      </c>
      <c r="U68" s="11" t="n">
        <f aca="false">U37*U36/1000000</f>
        <v>81.2806189352087</v>
      </c>
      <c r="V68" s="11" t="n">
        <f aca="false">V37*V36/1000000</f>
        <v>80.8059615512063</v>
      </c>
      <c r="W68" s="11" t="n">
        <f aca="false">W37*W36/1000000</f>
        <v>80.0530159419344</v>
      </c>
      <c r="X68" s="11" t="n">
        <f aca="false">X37*X36/1000000</f>
        <v>80.5116516565862</v>
      </c>
      <c r="Y68" s="11" t="n">
        <f aca="false">Y37*Y36/1000000</f>
        <v>84.5115503006415</v>
      </c>
      <c r="Z68" s="11" t="n">
        <f aca="false">Z37*Z36/1000000</f>
        <v>84.3630334988862</v>
      </c>
      <c r="AA68" s="11" t="n">
        <f aca="false">AA37*AA36/1000000</f>
        <v>85.3475512073613</v>
      </c>
      <c r="AB68" s="11" t="n">
        <f aca="false">AB37*AB36/1000000</f>
        <v>85.4716521656814</v>
      </c>
      <c r="AC68" s="11" t="n">
        <f aca="false">AC37*AC36/1000000</f>
        <v>87.8696101226141</v>
      </c>
      <c r="AD68" s="11" t="n">
        <f aca="false">AD37*AD36/1000000</f>
        <v>87.0592296588549</v>
      </c>
      <c r="AE68" s="11" t="n">
        <f aca="false">AE37*AE36/1000000</f>
        <v>84.726326912442</v>
      </c>
      <c r="AF68" s="11" t="n">
        <f aca="false">AF37*AF36/1000000</f>
        <v>85.5242171856791</v>
      </c>
      <c r="AG68" s="11" t="n">
        <f aca="false">AG37*AG36/1000000</f>
        <v>91.359745763437</v>
      </c>
      <c r="AH68" s="11" t="n">
        <f aca="false">AH37*AH36/1000000</f>
        <v>91.1985170719793</v>
      </c>
      <c r="AI68" s="11" t="n">
        <f aca="false">AI37*AI36/1000000</f>
        <v>92.262119556051</v>
      </c>
      <c r="AJ68" s="11" t="n">
        <f aca="false">AJ37*AJ36/1000000</f>
        <v>92.3955880193175</v>
      </c>
      <c r="AK68" s="11" t="n">
        <f aca="false">AK37*AK36/1000000</f>
        <v>94.987094769024</v>
      </c>
      <c r="AL68" s="11" t="n">
        <f aca="false">AL37*AL36/1000000</f>
        <v>94.4309927801518</v>
      </c>
      <c r="AM68" s="11" t="n">
        <f aca="false">AM37*AM36/1000000</f>
        <v>93.5496998783324</v>
      </c>
      <c r="AN68" s="11" t="n">
        <f aca="false">AN37*AN36/1000000</f>
        <v>94.0842615104193</v>
      </c>
      <c r="AO68" s="11" t="n">
        <f aca="false">AO37*AO36/1000000</f>
        <v>98.7569920772416</v>
      </c>
      <c r="AP68" s="11" t="n">
        <f aca="false">AP37*AP36/1000000</f>
        <v>98.5819740726427</v>
      </c>
      <c r="AQ68" s="11" t="n">
        <f aca="false">AQ37*AQ36/1000000</f>
        <v>99.730942270597</v>
      </c>
      <c r="AR68" s="11" t="n">
        <f aca="false">AR37*AR36/1000000</f>
        <v>99.874470017018</v>
      </c>
      <c r="AS68" s="11" t="n">
        <f aca="false">AS37*AS36/1000000</f>
        <v>102.674977494904</v>
      </c>
      <c r="AT68" s="11" t="n">
        <f aca="false">AT37*AT36/1000000</f>
        <v>101.726537313252</v>
      </c>
      <c r="AU68" s="11" t="n">
        <f aca="false">AU37*AU36/1000000</f>
        <v>98.9991218760468</v>
      </c>
      <c r="AV68" s="11" t="n">
        <f aca="false">AV37*AV36/1000000</f>
        <v>99.9299314045201</v>
      </c>
      <c r="AW68" s="11" t="n">
        <f aca="false">AW37*AW36/1000000</f>
        <v>106.746803453224</v>
      </c>
      <c r="AX68" s="11" t="n">
        <f aca="false">AX37*AX36/1000000</f>
        <v>106.556828214272</v>
      </c>
      <c r="AY68" s="11" t="n">
        <f aca="false">AY37*AY36/1000000</f>
        <v>107.797935620136</v>
      </c>
      <c r="AZ68" s="11" t="n">
        <f aca="false">AZ37*AZ36/1000000</f>
        <v>107.952264056796</v>
      </c>
      <c r="BA68" s="11" t="n">
        <f aca="false">BA37*BA36/1000000</f>
        <v>110.978443051863</v>
      </c>
      <c r="BB68" s="11" t="n">
        <f aca="false">BB37*BB36/1000000</f>
        <v>110.327067976473</v>
      </c>
      <c r="BC68" s="11" t="n">
        <f aca="false">BC37*BC36/1000000</f>
        <v>109.295785163068</v>
      </c>
      <c r="BD68" s="11" t="n">
        <f aca="false">BD37*BD36/1000000</f>
        <v>109.918675709376</v>
      </c>
      <c r="BE68" s="11" t="n">
        <f aca="false">BE37*BE36/1000000</f>
        <v>115.376098402106</v>
      </c>
      <c r="BF68" s="11" t="n">
        <f aca="false">BF37*BF36/1000000</f>
        <v>115.169899973178</v>
      </c>
      <c r="BG68" s="11" t="n">
        <f aca="false">BG37*BG36/1000000</f>
        <v>116.510450703824</v>
      </c>
      <c r="BH68" s="11" t="n">
        <f aca="false">BH37*BH36/1000000</f>
        <v>116.676374284738</v>
      </c>
      <c r="BI68" s="11" t="n">
        <f aca="false">BI37*BI36/1000000</f>
        <v>119.94620928004</v>
      </c>
      <c r="BJ68" s="11" t="n">
        <f aca="false">BJ37*BJ36/1000000</f>
        <v>118.836442670619</v>
      </c>
      <c r="BK68" s="11" t="n">
        <f aca="false">BK37*BK36/1000000</f>
        <v>115.648549517132</v>
      </c>
      <c r="BL68" s="11" t="n">
        <f aca="false">BL37*BL36/1000000</f>
        <v>116.734143194245</v>
      </c>
      <c r="BM68" s="11" t="n">
        <f aca="false">BM37*BM36/1000000</f>
        <v>124.695462101007</v>
      </c>
      <c r="BN68" s="11" t="n">
        <f aca="false">BN37*BN36/1000000</f>
        <v>103.894229600028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5755.15935248399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0</v>
      </c>
      <c r="P69" s="11" t="n">
        <f aca="false">P68+P47+P48+P49</f>
        <v>15.121906091483</v>
      </c>
      <c r="Q69" s="11" t="n">
        <f aca="false">Q68+Q47+Q48+Q49</f>
        <v>92.1510570296888</v>
      </c>
      <c r="R69" s="11" t="n">
        <f aca="false">R68+R47+R48+R49</f>
        <v>92.200413250734</v>
      </c>
      <c r="S69" s="11" t="n">
        <f aca="false">S68+S47+S48+S49</f>
        <v>93.1102395118367</v>
      </c>
      <c r="T69" s="11" t="n">
        <f aca="false">T68+T47+T48+T49</f>
        <v>93.4226301853995</v>
      </c>
      <c r="U69" s="11" t="n">
        <f aca="false">U68+U47+U48+U49</f>
        <v>95.7459992478753</v>
      </c>
      <c r="V69" s="11" t="n">
        <f aca="false">V68+V47+V48+V49</f>
        <v>95.3872405032273</v>
      </c>
      <c r="W69" s="11" t="n">
        <f aca="false">W68+W47+W48+W49</f>
        <v>94.5795926159863</v>
      </c>
      <c r="X69" s="11" t="n">
        <f aca="false">X68+X47+X48+X49</f>
        <v>95.2518020178965</v>
      </c>
      <c r="Y69" s="11" t="n">
        <f aca="false">Y68+Y47+Y48+Y49</f>
        <v>99.3451025551155</v>
      </c>
      <c r="Z69" s="11" t="n">
        <f aca="false">Z68+Z47+Z48+Z49</f>
        <v>99.3941501471021</v>
      </c>
      <c r="AA69" s="11" t="n">
        <f aca="false">AA68+AA47+AA48+AA49</f>
        <v>100.377108099291</v>
      </c>
      <c r="AB69" s="11" t="n">
        <f aca="false">AB68+AB47+AB48+AB49</f>
        <v>100.7102857983</v>
      </c>
      <c r="AC69" s="11" t="n">
        <f aca="false">AC68+AC47+AC48+AC49</f>
        <v>103.219206634963</v>
      </c>
      <c r="AD69" s="11" t="n">
        <f aca="false">AD68+AD47+AD48+AD49</f>
        <v>102.522681305158</v>
      </c>
      <c r="AE69" s="11" t="n">
        <f aca="false">AE68+AE47+AE48+AE49</f>
        <v>100.08515602996</v>
      </c>
      <c r="AF69" s="11" t="n">
        <f aca="false">AF68+AF47+AF48+AF49</f>
        <v>101.118985252963</v>
      </c>
      <c r="AG69" s="11" t="n">
        <f aca="false">AG68+AG47+AG48+AG49</f>
        <v>107.099922219129</v>
      </c>
      <c r="AH69" s="11" t="n">
        <f aca="false">AH68+AH47+AH48+AH49</f>
        <v>107.148366828324</v>
      </c>
      <c r="AI69" s="11" t="n">
        <f aca="false">AI68+AI47+AI48+AI49</f>
        <v>108.210268638534</v>
      </c>
      <c r="AJ69" s="11" t="n">
        <f aca="false">AJ68+AJ47+AJ48+AJ49</f>
        <v>108.565617302121</v>
      </c>
      <c r="AK69" s="11" t="n">
        <f aca="false">AK68+AK47+AK48+AK49</f>
        <v>111.274789445664</v>
      </c>
      <c r="AL69" s="11" t="n">
        <f aca="false">AL68+AL47+AL48+AL49</f>
        <v>110.849247467766</v>
      </c>
      <c r="AM69" s="11" t="n">
        <f aca="false">AM68+AM47+AM48+AM49</f>
        <v>109.90639655913</v>
      </c>
      <c r="AN69" s="11" t="n">
        <f aca="false">AN68+AN47+AN48+AN49</f>
        <v>110.681462936181</v>
      </c>
      <c r="AO69" s="11" t="n">
        <f aca="false">AO68+AO47+AO48+AO49</f>
        <v>115.459033399933</v>
      </c>
      <c r="AP69" s="11" t="n">
        <f aca="false">AP68+AP47+AP48+AP49</f>
        <v>115.506540041839</v>
      </c>
      <c r="AQ69" s="11" t="n">
        <f aca="false">AQ68+AQ47+AQ48+AQ49</f>
        <v>116.653654052902</v>
      </c>
      <c r="AR69" s="11" t="n">
        <f aca="false">AR68+AR47+AR48+AR49</f>
        <v>117.032649237525</v>
      </c>
      <c r="AS69" s="11" t="n">
        <f aca="false">AS68+AS47+AS48+AS49</f>
        <v>119.957925379144</v>
      </c>
      <c r="AT69" s="11" t="n">
        <f aca="false">AT68+AT47+AT48+AT49</f>
        <v>119.137773315067</v>
      </c>
      <c r="AU69" s="11" t="n">
        <f aca="false">AU68+AU47+AU48+AU49</f>
        <v>116.292717485309</v>
      </c>
      <c r="AV69" s="11" t="n">
        <f aca="false">AV68+AV47+AV48+AV49</f>
        <v>117.489190998265</v>
      </c>
      <c r="AW69" s="11" t="n">
        <f aca="false">AW68+AW47+AW48+AW49</f>
        <v>124.469305451692</v>
      </c>
      <c r="AX69" s="11" t="n">
        <f aca="false">AX68+AX47+AX48+AX49</f>
        <v>124.515494182305</v>
      </c>
      <c r="AY69" s="11" t="n">
        <f aca="false">AY68+AY47+AY48+AY49</f>
        <v>125.754580205551</v>
      </c>
      <c r="AZ69" s="11" t="n">
        <f aca="false">AZ68+AZ47+AZ48+AZ49</f>
        <v>126.158795059091</v>
      </c>
      <c r="BA69" s="11" t="n">
        <f aca="false">BA68+BA47+BA48+BA49</f>
        <v>129.317270443792</v>
      </c>
      <c r="BB69" s="11" t="n">
        <f aca="false">BB68+BB47+BB48+BB49</f>
        <v>128.81297569579</v>
      </c>
      <c r="BC69" s="11" t="n">
        <f aca="false">BC68+BC47+BC48+BC49</f>
        <v>127.712430443004</v>
      </c>
      <c r="BD69" s="11" t="n">
        <f aca="false">BD68+BD47+BD48+BD49</f>
        <v>128.606148370672</v>
      </c>
      <c r="BE69" s="11" t="n">
        <f aca="false">BE68+BE47+BE48+BE49</f>
        <v>134.18121514264</v>
      </c>
      <c r="BF69" s="11" t="n">
        <f aca="false">BF68+BF47+BF48+BF49</f>
        <v>134.225656315974</v>
      </c>
      <c r="BG69" s="11" t="n">
        <f aca="false">BG68+BG47+BG48+BG49</f>
        <v>135.564003607915</v>
      </c>
      <c r="BH69" s="11" t="n">
        <f aca="false">BH68+BH47+BH48+BH49</f>
        <v>135.995115221677</v>
      </c>
      <c r="BI69" s="11" t="n">
        <f aca="false">BI68+BI47+BI48+BI49</f>
        <v>139.405223873312</v>
      </c>
      <c r="BJ69" s="11" t="n">
        <f aca="false">BJ68+BJ47+BJ48+BJ49</f>
        <v>138.440015171726</v>
      </c>
      <c r="BK69" s="11" t="n">
        <f aca="false">BK68+BK47+BK48+BK49</f>
        <v>135.119869166824</v>
      </c>
      <c r="BL69" s="11" t="n">
        <f aca="false">BL68+BL47+BL48+BL49</f>
        <v>136.504589436082</v>
      </c>
      <c r="BM69" s="11" t="n">
        <f aca="false">BM68+BM47+BM48+BM49</f>
        <v>144.649121276285</v>
      </c>
      <c r="BN69" s="11" t="n">
        <f aca="false">BN68+BN47+BN48+BN49</f>
        <v>120.71843183584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0.161645725973357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</v>
      </c>
      <c r="Q70" s="11" t="n">
        <f aca="false">SUMIFS(Construction!$J$36:$BJ$36,Construction!$J$12:$BJ$12,Time!Q17,Construction!$J$8:$BJ$8,"&gt;"&amp;Time!$F$13)</f>
        <v>0.128394234559673</v>
      </c>
      <c r="R70" s="11" t="n">
        <f aca="false">SUMIFS(Construction!$J$36:$BJ$36,Construction!$J$12:$BJ$12,Time!R17,Construction!$J$8:$BJ$8,"&gt;"&amp;Time!$F$13)</f>
        <v>0.0332514914136839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0</v>
      </c>
      <c r="Q72" s="9" t="n">
        <f aca="false">INT((Time!Q28-7)/12)+1</f>
        <v>1</v>
      </c>
      <c r="R72" s="9" t="n">
        <f aca="false">INT((Time!R28-7)/12)+1</f>
        <v>1</v>
      </c>
      <c r="S72" s="9" t="n">
        <f aca="false">INT((Time!S28-7)/12)+1</f>
        <v>2</v>
      </c>
      <c r="T72" s="9" t="n">
        <f aca="false">INT((Time!T28-7)/12)+1</f>
        <v>2</v>
      </c>
      <c r="U72" s="9" t="n">
        <f aca="false">INT((Time!U28-7)/12)+1</f>
        <v>3</v>
      </c>
      <c r="V72" s="9" t="n">
        <f aca="false">INT((Time!V28-7)/12)+1</f>
        <v>3</v>
      </c>
      <c r="W72" s="9" t="n">
        <f aca="false">INT((Time!W28-7)/12)+1</f>
        <v>4</v>
      </c>
      <c r="X72" s="9" t="n">
        <f aca="false">INT((Time!X28-7)/12)+1</f>
        <v>4</v>
      </c>
      <c r="Y72" s="9" t="n">
        <f aca="false">INT((Time!Y28-7)/12)+1</f>
        <v>5</v>
      </c>
      <c r="Z72" s="9" t="n">
        <f aca="false">INT((Time!Z28-7)/12)+1</f>
        <v>5</v>
      </c>
      <c r="AA72" s="9" t="n">
        <f aca="false">INT((Time!AA28-7)/12)+1</f>
        <v>6</v>
      </c>
      <c r="AB72" s="9" t="n">
        <f aca="false">INT((Time!AB28-7)/12)+1</f>
        <v>6</v>
      </c>
      <c r="AC72" s="9" t="n">
        <f aca="false">INT((Time!AC28-7)/12)+1</f>
        <v>7</v>
      </c>
      <c r="AD72" s="9" t="n">
        <f aca="false">INT((Time!AD28-7)/12)+1</f>
        <v>7</v>
      </c>
      <c r="AE72" s="9" t="n">
        <f aca="false">INT((Time!AE28-7)/12)+1</f>
        <v>8</v>
      </c>
      <c r="AF72" s="9" t="n">
        <f aca="false">INT((Time!AF28-7)/12)+1</f>
        <v>8</v>
      </c>
      <c r="AG72" s="9" t="n">
        <f aca="false">INT((Time!AG28-7)/12)+1</f>
        <v>9</v>
      </c>
      <c r="AH72" s="9" t="n">
        <f aca="false">INT((Time!AH28-7)/12)+1</f>
        <v>9</v>
      </c>
      <c r="AI72" s="9" t="n">
        <f aca="false">INT((Time!AI28-7)/12)+1</f>
        <v>10</v>
      </c>
      <c r="AJ72" s="9" t="n">
        <f aca="false">INT((Time!AJ28-7)/12)+1</f>
        <v>10</v>
      </c>
      <c r="AK72" s="9" t="n">
        <f aca="false">INT((Time!AK28-7)/12)+1</f>
        <v>11</v>
      </c>
      <c r="AL72" s="9" t="n">
        <f aca="false">INT((Time!AL28-7)/12)+1</f>
        <v>11</v>
      </c>
      <c r="AM72" s="9" t="n">
        <f aca="false">INT((Time!AM28-7)/12)+1</f>
        <v>12</v>
      </c>
      <c r="AN72" s="9" t="n">
        <f aca="false">INT((Time!AN28-7)/12)+1</f>
        <v>12</v>
      </c>
      <c r="AO72" s="9" t="n">
        <f aca="false">INT((Time!AO28-7)/12)+1</f>
        <v>13</v>
      </c>
      <c r="AP72" s="9" t="n">
        <f aca="false">INT((Time!AP28-7)/12)+1</f>
        <v>13</v>
      </c>
      <c r="AQ72" s="9" t="n">
        <f aca="false">INT((Time!AQ28-7)/12)+1</f>
        <v>14</v>
      </c>
      <c r="AR72" s="9" t="n">
        <f aca="false">INT((Time!AR28-7)/12)+1</f>
        <v>14</v>
      </c>
      <c r="AS72" s="9" t="n">
        <f aca="false">INT((Time!AS28-7)/12)+1</f>
        <v>15</v>
      </c>
      <c r="AT72" s="9" t="n">
        <f aca="false">INT((Time!AT28-7)/12)+1</f>
        <v>15</v>
      </c>
      <c r="AU72" s="9" t="n">
        <f aca="false">INT((Time!AU28-7)/12)+1</f>
        <v>16</v>
      </c>
      <c r="AV72" s="9" t="n">
        <f aca="false">INT((Time!AV28-7)/12)+1</f>
        <v>16</v>
      </c>
      <c r="AW72" s="9" t="n">
        <f aca="false">INT((Time!AW28-7)/12)+1</f>
        <v>17</v>
      </c>
      <c r="AX72" s="9" t="n">
        <f aca="false">INT((Time!AX28-7)/12)+1</f>
        <v>17</v>
      </c>
      <c r="AY72" s="9" t="n">
        <f aca="false">INT((Time!AY28-7)/12)+1</f>
        <v>18</v>
      </c>
      <c r="AZ72" s="9" t="n">
        <f aca="false">INT((Time!AZ28-7)/12)+1</f>
        <v>18</v>
      </c>
      <c r="BA72" s="9" t="n">
        <f aca="false">INT((Time!BA28-7)/12)+1</f>
        <v>19</v>
      </c>
      <c r="BB72" s="9" t="n">
        <f aca="false">INT((Time!BB28-7)/12)+1</f>
        <v>19</v>
      </c>
      <c r="BC72" s="9" t="n">
        <f aca="false">INT((Time!BC28-7)/12)+1</f>
        <v>20</v>
      </c>
      <c r="BD72" s="9" t="n">
        <f aca="false">INT((Time!BD28-7)/12)+1</f>
        <v>20</v>
      </c>
      <c r="BE72" s="9" t="n">
        <f aca="false">INT((Time!BE28-7)/12)+1</f>
        <v>21</v>
      </c>
      <c r="BF72" s="9" t="n">
        <f aca="false">INT((Time!BF28-7)/12)+1</f>
        <v>21</v>
      </c>
      <c r="BG72" s="9" t="n">
        <f aca="false">INT((Time!BG28-7)/12)+1</f>
        <v>22</v>
      </c>
      <c r="BH72" s="9" t="n">
        <f aca="false">INT((Time!BH28-7)/12)+1</f>
        <v>22</v>
      </c>
      <c r="BI72" s="9" t="n">
        <f aca="false">INT((Time!BI28-7)/12)+1</f>
        <v>23</v>
      </c>
      <c r="BJ72" s="9" t="n">
        <f aca="false">INT((Time!BJ28-7)/12)+1</f>
        <v>23</v>
      </c>
      <c r="BK72" s="9" t="n">
        <f aca="false">INT((Time!BK28-7)/12)+1</f>
        <v>24</v>
      </c>
      <c r="BL72" s="9" t="n">
        <f aca="false">INT((Time!BL28-7)/12)+1</f>
        <v>24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0</v>
      </c>
      <c r="W73" s="11" t="n">
        <f aca="false">IF(AND(Time!W25&gt;0,W72&gt;=1,W72&lt;=24,Time!W27&lt;(W72-1)*12+7,(W72-1)*12+7&lt;=Time!W28),IF(MOD(W72,8)=0,Inputs!$F$161,IF(MOD(W72,4)=0,Inputs!$F$162,0)),0)</f>
        <v>2.18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0</v>
      </c>
      <c r="AE73" s="11" t="n">
        <f aca="false">IF(AND(Time!AE25&gt;0,AE72&gt;=1,AE72&lt;=24,Time!AE27&lt;(AE72-1)*12+7,(AE72-1)*12+7&lt;=Time!AE28),IF(MOD(AE72,8)=0,Inputs!$F$161,IF(MOD(AE72,4)=0,Inputs!$F$162,0)),0)</f>
        <v>9.47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0</v>
      </c>
      <c r="AM73" s="11" t="n">
        <f aca="false">IF(AND(Time!AM25&gt;0,AM72&gt;=1,AM72&lt;=24,Time!AM27&lt;(AM72-1)*12+7,(AM72-1)*12+7&lt;=Time!AM28),IF(MOD(AM72,8)=0,Inputs!$F$161,IF(MOD(AM72,4)=0,Inputs!$F$162,0)),0)</f>
        <v>2.18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0</v>
      </c>
      <c r="AU73" s="11" t="n">
        <f aca="false">IF(AND(Time!AU25&gt;0,AU72&gt;=1,AU72&lt;=24,Time!AU27&lt;(AU72-1)*12+7,(AU72-1)*12+7&lt;=Time!AU28),IF(MOD(AU72,8)=0,Inputs!$F$161,IF(MOD(AU72,4)=0,Inputs!$F$162,0)),0)</f>
        <v>9.47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0</v>
      </c>
      <c r="BC73" s="11" t="n">
        <f aca="false">IF(AND(Time!BC25&gt;0,BC72&gt;=1,BC72&lt;=24,Time!BC27&lt;(BC72-1)*12+7,(BC72-1)*12+7&lt;=Time!BC28),IF(MOD(BC72,8)=0,Inputs!$F$161,IF(MOD(BC72,4)=0,Inputs!$F$162,0)),0)</f>
        <v>2.18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0</v>
      </c>
      <c r="BK73" s="11" t="n">
        <f aca="false">IF(AND(Time!BK25&gt;0,BK72&gt;=1,BK72&lt;=24,Time!BK27&lt;(BK72-1)*12+7,(BK72-1)*12+7&lt;=Time!BK28),IF(MOD(BK72,8)=0,Inputs!$F$161,IF(MOD(BK72,4)=0,Inputs!$F$162,0)),0)</f>
        <v>9.47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52.8623609134466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0</v>
      </c>
      <c r="W74" s="11" t="n">
        <f aca="false">W73*W19</f>
        <v>2.55385864428026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0</v>
      </c>
      <c r="AE74" s="11" t="n">
        <f aca="false">AE73*AE19</f>
        <v>12.1030248238612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0</v>
      </c>
      <c r="AM74" s="11" t="n">
        <f aca="false">AM73*AM19</f>
        <v>3.03951311646483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0</v>
      </c>
      <c r="AU74" s="11" t="n">
        <f aca="false">AU73*AU19</f>
        <v>14.4045962698116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0</v>
      </c>
      <c r="BC74" s="11" t="n">
        <f aca="false">BC73*BC19</f>
        <v>3.61752206053104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0</v>
      </c>
      <c r="BK74" s="11" t="n">
        <f aca="false">BK73*BK19</f>
        <v>17.1438459984977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0</v>
      </c>
      <c r="BB75" s="9" t="n">
        <f aca="false">MAX(0,MIN(Time!BB28,300)-MAX(Time!BB27,228))</f>
        <v>1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6</v>
      </c>
      <c r="BN75" s="9" t="n">
        <f aca="false">MAX(0,MIN(Time!BN28,300)-MAX(Time!BN27,228))</f>
        <v>5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19.5339439119651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</v>
      </c>
      <c r="BB76" s="11" t="n">
        <f aca="false">Inputs!$F$163*BB19*BB75/12</f>
        <v>0.253057800568246</v>
      </c>
      <c r="BC76" s="11" t="n">
        <f aca="false">Inputs!$F$163*BC19*BC75/12</f>
        <v>1.53495775504184</v>
      </c>
      <c r="BD76" s="11" t="n">
        <f aca="false">Inputs!$F$163*BD19*BD75/12</f>
        <v>1.55175043308448</v>
      </c>
      <c r="BE76" s="11" t="n">
        <f aca="false">Inputs!$F$163*BE19*BE75/12</f>
        <v>1.56872682565276</v>
      </c>
      <c r="BF76" s="11" t="n">
        <f aca="false">Inputs!$F$163*BF19*BF75/12</f>
        <v>1.58588894261234</v>
      </c>
      <c r="BG76" s="11" t="n">
        <f aca="false">Inputs!$F$163*BG19*BG75/12</f>
        <v>1.60323881581712</v>
      </c>
      <c r="BH76" s="11" t="n">
        <f aca="false">Inputs!$F$163*BH19*BH75/12</f>
        <v>1.62077849934981</v>
      </c>
      <c r="BI76" s="11" t="n">
        <f aca="false">Inputs!$F$163*BI19*BI75/12</f>
        <v>1.6385100697651</v>
      </c>
      <c r="BJ76" s="11" t="n">
        <f aca="false">Inputs!$F$163*BJ19*BJ75/12</f>
        <v>1.65643562633551</v>
      </c>
      <c r="BK76" s="11" t="n">
        <f aca="false">Inputs!$F$163*BK19*BK75/12</f>
        <v>1.67455729129993</v>
      </c>
      <c r="BL76" s="11" t="n">
        <f aca="false">Inputs!$F$163*BL19*BL75/12</f>
        <v>1.69287721011489</v>
      </c>
      <c r="BM76" s="11" t="n">
        <f aca="false">Inputs!$F$163*BM19*BM75/12</f>
        <v>1.71139755170853</v>
      </c>
      <c r="BN76" s="11" t="n">
        <f aca="false">Inputs!$F$163*BN19*BN75/12</f>
        <v>1.44176709061451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19.5339439119651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0</v>
      </c>
      <c r="BN77" s="11" t="n">
        <f aca="false">Time!BN32*SUM($J$76:$BN$76)</f>
        <v>19.5339439119651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6991.73260942258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0</v>
      </c>
      <c r="P78" s="11" t="n">
        <f aca="false">P67+P69+P70+P71+P74+P77</f>
        <v>18.0681886461837</v>
      </c>
      <c r="Q78" s="11" t="n">
        <f aca="false">Q67+Q69+Q70+Q71+Q74+Q77</f>
        <v>110.25407613265</v>
      </c>
      <c r="R78" s="11" t="n">
        <f aca="false">R67+R69+R70+R71+R74+R77</f>
        <v>110.378498500032</v>
      </c>
      <c r="S78" s="11" t="n">
        <f aca="false">S67+S69+S70+S71+S74+S77</f>
        <v>111.344178005747</v>
      </c>
      <c r="T78" s="11" t="n">
        <f aca="false">T67+T69+T70+T71+T74+T77</f>
        <v>111.869498976211</v>
      </c>
      <c r="U78" s="11" t="n">
        <f aca="false">U67+U69+U70+U71+U74+U77</f>
        <v>114.491862587363</v>
      </c>
      <c r="V78" s="11" t="n">
        <f aca="false">V67+V69+V70+V71+V74+V77</f>
        <v>114.255866627453</v>
      </c>
      <c r="W78" s="11" t="n">
        <f aca="false">W67+W69+W70+W71+W74+W77</f>
        <v>115.821903808273</v>
      </c>
      <c r="X78" s="11" t="n">
        <f aca="false">X67+X69+X70+X71+X74+X77</f>
        <v>114.214150252486</v>
      </c>
      <c r="Y78" s="11" t="n">
        <f aca="false">Y67+Y69+Y70+Y71+Y74+Y77</f>
        <v>118.895195196091</v>
      </c>
      <c r="Z78" s="11" t="n">
        <f aca="false">Z67+Z69+Z70+Z71+Z74+Z77</f>
        <v>119.128743531449</v>
      </c>
      <c r="AA78" s="11" t="n">
        <f aca="false">AA67+AA69+AA70+AA71+AA74+AA77</f>
        <v>120.208868367443</v>
      </c>
      <c r="AB78" s="11" t="n">
        <f aca="false">AB67+AB69+AB70+AB71+AB74+AB77</f>
        <v>120.774157073808</v>
      </c>
      <c r="AC78" s="11" t="n">
        <f aca="false">AC67+AC69+AC70+AC71+AC74+AC77</f>
        <v>123.608981228831</v>
      </c>
      <c r="AD78" s="11" t="n">
        <f aca="false">AD67+AD69+AD70+AD71+AD74+AD77</f>
        <v>122.997740528337</v>
      </c>
      <c r="AE78" s="11" t="n">
        <f aca="false">AE67+AE69+AE70+AE71+AE74+AE77</f>
        <v>132.254260941361</v>
      </c>
      <c r="AF78" s="11" t="n">
        <f aca="false">AF67+AF69+AF70+AF71+AF74+AF77</f>
        <v>121.495017883426</v>
      </c>
      <c r="AG78" s="11" t="n">
        <f aca="false">AG67+AG69+AG70+AG71+AG74+AG77</f>
        <v>128.366394138728</v>
      </c>
      <c r="AH78" s="11" t="n">
        <f aca="false">AH67+AH69+AH70+AH71+AH74+AH77</f>
        <v>128.615971681783</v>
      </c>
      <c r="AI78" s="11" t="n">
        <f aca="false">AI67+AI69+AI70+AI71+AI74+AI77</f>
        <v>129.783831962835</v>
      </c>
      <c r="AJ78" s="11" t="n">
        <f aca="false">AJ67+AJ69+AJ70+AJ71+AJ74+AJ77</f>
        <v>130.392199977983</v>
      </c>
      <c r="AK78" s="11" t="n">
        <f aca="false">AK67+AK69+AK70+AK71+AK74+AK77</f>
        <v>133.456605662826</v>
      </c>
      <c r="AL78" s="11" t="n">
        <f aca="false">AL67+AL69+AL70+AL71+AL74+AL77</f>
        <v>133.176999986477</v>
      </c>
      <c r="AM78" s="11" t="n">
        <f aca="false">AM67+AM69+AM70+AM71+AM74+AM77</f>
        <v>135.059822954982</v>
      </c>
      <c r="AN78" s="11" t="n">
        <f aca="false">AN67+AN69+AN70+AN71+AN74+AN77</f>
        <v>133.120805982144</v>
      </c>
      <c r="AO78" s="11" t="n">
        <f aca="false">AO67+AO69+AO70+AO71+AO74+AO77</f>
        <v>138.596544398596</v>
      </c>
      <c r="AP78" s="11" t="n">
        <f aca="false">AP67+AP69+AP70+AP71+AP74+AP77</f>
        <v>138.86331538908</v>
      </c>
      <c r="AQ78" s="11" t="n">
        <f aca="false">AQ67+AQ69+AQ70+AQ71+AQ74+AQ77</f>
        <v>140.125974893002</v>
      </c>
      <c r="AR78" s="11" t="n">
        <f aca="false">AR67+AR69+AR70+AR71+AR74+AR77</f>
        <v>140.780781002861</v>
      </c>
      <c r="AS78" s="11" t="n">
        <f aca="false">AS67+AS69+AS70+AS71+AS74+AS77</f>
        <v>144.09326023777</v>
      </c>
      <c r="AT78" s="11" t="n">
        <f aca="false">AT67+AT69+AT70+AT71+AT74+AT77</f>
        <v>143.374546777801</v>
      </c>
      <c r="AU78" s="11" t="n">
        <f aca="false">AU67+AU69+AU70+AU71+AU74+AU77</f>
        <v>154.449215461421</v>
      </c>
      <c r="AV78" s="11" t="n">
        <f aca="false">AV67+AV69+AV70+AV71+AV74+AV77</f>
        <v>141.608872099406</v>
      </c>
      <c r="AW78" s="11" t="n">
        <f aca="false">AW67+AW69+AW70+AW71+AW74+AW77</f>
        <v>149.646450234669</v>
      </c>
      <c r="AX78" s="11" t="n">
        <f aca="false">AX67+AX69+AX70+AX71+AX74+AX77</f>
        <v>149.931669081919</v>
      </c>
      <c r="AY78" s="11" t="n">
        <f aca="false">AY67+AY69+AY70+AY71+AY74+AY77</f>
        <v>151.296755021524</v>
      </c>
      <c r="AZ78" s="11" t="n">
        <f aca="false">AZ67+AZ69+AZ70+AZ71+AZ74+AZ77</f>
        <v>152.001625211216</v>
      </c>
      <c r="BA78" s="11" t="n">
        <f aca="false">BA67+BA69+BA70+BA71+BA74+BA77</f>
        <v>155.582150047631</v>
      </c>
      <c r="BB78" s="11" t="n">
        <f aca="false">BB67+BB69+BB70+BB71+BB74+BB77</f>
        <v>155.251339264547</v>
      </c>
      <c r="BC78" s="11" t="n">
        <f aca="false">BC67+BC69+BC70+BC71+BC74+BC77</f>
        <v>157.514522676078</v>
      </c>
      <c r="BD78" s="11" t="n">
        <f aca="false">BD67+BD69+BD70+BD71+BD74+BD77</f>
        <v>155.177377531451</v>
      </c>
      <c r="BE78" s="11" t="n">
        <f aca="false">BE67+BE69+BE70+BE71+BE74+BE77</f>
        <v>161.581778749215</v>
      </c>
      <c r="BF78" s="11" t="n">
        <f aca="false">BF67+BF69+BF70+BF71+BF74+BF77</f>
        <v>161.886797468261</v>
      </c>
      <c r="BG78" s="11" t="n">
        <f aca="false">BG67+BG69+BG70+BG71+BG74+BG77</f>
        <v>163.362544978988</v>
      </c>
      <c r="BH78" s="11" t="n">
        <f aca="false">BH67+BH69+BH70+BH71+BH74+BH77</f>
        <v>164.121394058607</v>
      </c>
      <c r="BI78" s="11" t="n">
        <f aca="false">BI67+BI69+BI70+BI71+BI74+BI77</f>
        <v>167.991534169086</v>
      </c>
      <c r="BJ78" s="11" t="n">
        <f aca="false">BJ67+BJ69+BJ70+BJ71+BJ74+BJ77</f>
        <v>167.146977762854</v>
      </c>
      <c r="BK78" s="11" t="n">
        <f aca="false">BK67+BK69+BK70+BK71+BK74+BK77</f>
        <v>180.395723708783</v>
      </c>
      <c r="BL78" s="11" t="n">
        <f aca="false">BL67+BL69+BL70+BL71+BL74+BL77</f>
        <v>165.073064126903</v>
      </c>
      <c r="BM78" s="11" t="n">
        <f aca="false">BM67+BM69+BM70+BM71+BM74+BM77</f>
        <v>174.473447603486</v>
      </c>
      <c r="BN78" s="11" t="n">
        <f aca="false">BN67+BN69+BN70+BN71+BN74+BN77</f>
        <v>165.371126832526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2579.16830772294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0</v>
      </c>
      <c r="P79" s="11" t="n">
        <f aca="false">P51-P78+P53</f>
        <v>8.26170039027042</v>
      </c>
      <c r="Q79" s="11" t="n">
        <f aca="false">Q51-Q78+Q53</f>
        <v>49.7800637670382</v>
      </c>
      <c r="R79" s="11" t="n">
        <f aca="false">R51-R78+R53</f>
        <v>50.1620228207378</v>
      </c>
      <c r="S79" s="11" t="n">
        <f aca="false">S51-S78+S53</f>
        <v>50.337172493121</v>
      </c>
      <c r="T79" s="11" t="n">
        <f aca="false">T51-T78+T53</f>
        <v>50.4364215403163</v>
      </c>
      <c r="U79" s="11" t="n">
        <f aca="false">U51-U78+U53</f>
        <v>50.4999039711881</v>
      </c>
      <c r="V79" s="11" t="n">
        <f aca="false">V51-V78+V53</f>
        <v>50.6383601708334</v>
      </c>
      <c r="W79" s="11" t="n">
        <f aca="false">W51-W78+W53</f>
        <v>48.3400132899498</v>
      </c>
      <c r="X79" s="11" t="n">
        <f aca="false">X51-X78+X53</f>
        <v>50.9772556792738</v>
      </c>
      <c r="Y79" s="11" t="n">
        <f aca="false">Y51-Y78+Y53</f>
        <v>50.9336750184934</v>
      </c>
      <c r="Z79" s="11" t="n">
        <f aca="false">Z51-Z78+Z53</f>
        <v>51.056134194873</v>
      </c>
      <c r="AA79" s="11" t="n">
        <f aca="false">AA51-AA78+AA53</f>
        <v>51.2102315619235</v>
      </c>
      <c r="AB79" s="11" t="n">
        <f aca="false">AB51-AB78+AB53</f>
        <v>51.3181036224176</v>
      </c>
      <c r="AC79" s="11" t="n">
        <f aca="false">AC51-AC78+AC53</f>
        <v>51.3849619197133</v>
      </c>
      <c r="AD79" s="11" t="n">
        <f aca="false">AD51-AD78+AD53</f>
        <v>51.5558124475793</v>
      </c>
      <c r="AE79" s="11" t="n">
        <f aca="false">AE51-AE78+AE53</f>
        <v>38.8778920035188</v>
      </c>
      <c r="AF79" s="11" t="n">
        <f aca="false">AF51-AF78+AF53</f>
        <v>51.6882919469842</v>
      </c>
      <c r="AG79" s="11" t="n">
        <f aca="false">AG51-AG78+AG53</f>
        <v>51.8544818523072</v>
      </c>
      <c r="AH79" s="11" t="n">
        <f aca="false">AH51-AH78+AH53</f>
        <v>51.98799684366</v>
      </c>
      <c r="AI79" s="11" t="n">
        <f aca="false">AI51-AI78+AI53</f>
        <v>52.1553601069196</v>
      </c>
      <c r="AJ79" s="11" t="n">
        <f aca="false">AJ51-AJ78+AJ53</f>
        <v>52.2726036742404</v>
      </c>
      <c r="AK79" s="11" t="n">
        <f aca="false">AK51-AK78+AK53</f>
        <v>52.3429817436445</v>
      </c>
      <c r="AL79" s="11" t="n">
        <f aca="false">AL51-AL78+AL53</f>
        <v>52.5085339824827</v>
      </c>
      <c r="AM79" s="11" t="n">
        <f aca="false">AM51-AM78+AM53</f>
        <v>49.7763251739538</v>
      </c>
      <c r="AN79" s="11" t="n">
        <f aca="false">AN51-AN78+AN53</f>
        <v>52.9132219522353</v>
      </c>
      <c r="AO79" s="11" t="n">
        <f aca="false">AO51-AO78+AO53</f>
        <v>52.8512395195968</v>
      </c>
      <c r="AP79" s="11" t="n">
        <f aca="false">AP51-AP78+AP53</f>
        <v>52.9968024635773</v>
      </c>
      <c r="AQ79" s="11" t="n">
        <f aca="false">AQ51-AQ78+AQ53</f>
        <v>53.1785929966151</v>
      </c>
      <c r="AR79" s="11" t="n">
        <f aca="false">AR51-AR78+AR53</f>
        <v>53.306021439484</v>
      </c>
      <c r="AS79" s="11" t="n">
        <f aca="false">AS51-AS78+AS53</f>
        <v>53.3800654060586</v>
      </c>
      <c r="AT79" s="11" t="n">
        <f aca="false">AT51-AT78+AT53</f>
        <v>53.585040016226</v>
      </c>
      <c r="AU79" s="11" t="n">
        <f aca="false">AU51-AU78+AU53</f>
        <v>38.6134571109524</v>
      </c>
      <c r="AV79" s="11" t="n">
        <f aca="false">AV51-AV78+AV53</f>
        <v>53.7854707441555</v>
      </c>
      <c r="AW79" s="11" t="n">
        <f aca="false">AW51-AW78+AW53</f>
        <v>53.9303032856558</v>
      </c>
      <c r="AX79" s="11" t="n">
        <f aca="false">AX51-AX78+AX53</f>
        <v>54.0889948896611</v>
      </c>
      <c r="AY79" s="11" t="n">
        <f aca="false">AY51-AY78+AY53</f>
        <v>54.2864772338613</v>
      </c>
      <c r="AZ79" s="11" t="n">
        <f aca="false">AZ51-AZ78+AZ53</f>
        <v>54.4249744079337</v>
      </c>
      <c r="BA79" s="11" t="n">
        <f aca="false">BA51-BA78+BA53</f>
        <v>54.502832112005</v>
      </c>
      <c r="BB79" s="11" t="n">
        <f aca="false">BB51-BB78+BB53</f>
        <v>54.7007121002831</v>
      </c>
      <c r="BC79" s="11" t="n">
        <f aca="false">BC51-BC78+BC53</f>
        <v>51.4526451269165</v>
      </c>
      <c r="BD79" s="11" t="n">
        <f aca="false">BD51-BD78+BD53</f>
        <v>55.1839052910737</v>
      </c>
      <c r="BE79" s="11" t="n">
        <f aca="false">BE51-BE78+BE53</f>
        <v>55.0985673839808</v>
      </c>
      <c r="BF79" s="11" t="n">
        <f aca="false">BF51-BF78+BF53</f>
        <v>55.2715647956324</v>
      </c>
      <c r="BG79" s="11" t="n">
        <f aca="false">BG51-BG78+BG53</f>
        <v>55.4861159360117</v>
      </c>
      <c r="BH79" s="11" t="n">
        <f aca="false">BH51-BH78+BH53</f>
        <v>55.6366422797961</v>
      </c>
      <c r="BI79" s="11" t="n">
        <f aca="false">BI51-BI78+BI53</f>
        <v>55.7184626825582</v>
      </c>
      <c r="BJ79" s="11" t="n">
        <f aca="false">BJ51-BJ78+BJ53</f>
        <v>55.9642543615785</v>
      </c>
      <c r="BK79" s="11" t="n">
        <f aca="false">BK51-BK78+BK53</f>
        <v>38.2640047715558</v>
      </c>
      <c r="BL79" s="11" t="n">
        <f aca="false">BL51-BL78+BL53</f>
        <v>56.246273778929</v>
      </c>
      <c r="BM79" s="11" t="n">
        <f aca="false">BM51-BM78+BM53</f>
        <v>56.3635112729076</v>
      </c>
      <c r="BN79" s="11" t="n">
        <f aca="false">BN51-BN78+BN53</f>
        <v>27.5818541482557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0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0</v>
      </c>
      <c r="P83" s="11" t="n">
        <f aca="false">(1-P81)*(P51/MAX(Time!P26,1)*Inputs!$F$165+P50/MAX(Time!P26,1)*P82)</f>
        <v>38.2208066658204</v>
      </c>
      <c r="Q83" s="11" t="n">
        <f aca="false">(1-Q81)*(Q51/MAX(Time!Q26,1)*Inputs!$F$165+Q50/MAX(Time!Q26,1)*Q82)</f>
        <v>39.7874933452264</v>
      </c>
      <c r="R83" s="11" t="n">
        <f aca="false">(1-R81)*(R51/MAX(Time!R26,1)*Inputs!$F$165+R50/MAX(Time!R26,1)*R82)</f>
        <v>39.2626274969274</v>
      </c>
      <c r="S83" s="11" t="n">
        <f aca="false">(1-S81)*(S51/MAX(Time!S26,1)*Inputs!$F$165+S50/MAX(Time!S26,1)*S82)</f>
        <v>40.1970208422601</v>
      </c>
      <c r="T83" s="11" t="n">
        <f aca="false">(1-T81)*(T51/MAX(Time!T26,1)*Inputs!$F$165+T50/MAX(Time!T26,1)*T82)</f>
        <v>39.6943827350204</v>
      </c>
      <c r="U83" s="11" t="n">
        <f aca="false">(1-U81)*(U51/MAX(Time!U26,1)*Inputs!$F$165+U50/MAX(Time!U26,1)*U82)</f>
        <v>40.7946675556857</v>
      </c>
      <c r="V83" s="11" t="n">
        <f aca="false">(1-V81)*(V51/MAX(Time!V26,1)*Inputs!$F$165+V50/MAX(Time!V26,1)*V82)</f>
        <v>40.327392423494</v>
      </c>
      <c r="W83" s="11" t="n">
        <f aca="false">(1-W81)*(W51/MAX(Time!W26,1)*Inputs!$F$165+W50/MAX(Time!W26,1)*W82)</f>
        <v>40.8137362951384</v>
      </c>
      <c r="X83" s="11" t="n">
        <f aca="false">(1-X81)*(X51/MAX(Time!X26,1)*Inputs!$F$165+X50/MAX(Time!X26,1)*X82)</f>
        <v>40.400072102876</v>
      </c>
      <c r="Y83" s="11" t="n">
        <f aca="false">(1-Y81)*(Y51/MAX(Time!Y26,1)*Inputs!$F$165+Y50/MAX(Time!Y26,1)*Y82)</f>
        <v>42.2226472909187</v>
      </c>
      <c r="Z83" s="11" t="n">
        <f aca="false">(1-Z81)*(Z51/MAX(Time!Z26,1)*Inputs!$F$165+Z50/MAX(Time!Z26,1)*Z82)</f>
        <v>41.6213016178504</v>
      </c>
      <c r="AA83" s="11" t="n">
        <f aca="false">(1-AA81)*(AA51/MAX(Time!AA26,1)*Inputs!$F$165+AA50/MAX(Time!AA26,1)*AA82)</f>
        <v>42.618008269732</v>
      </c>
      <c r="AB83" s="11" t="n">
        <f aca="false">(1-AB81)*(AB51/MAX(Time!AB26,1)*Inputs!$F$165+AB50/MAX(Time!AB26,1)*AB82)</f>
        <v>42.0877811485333</v>
      </c>
      <c r="AC83" s="11" t="n">
        <f aca="false">(1-AC81)*(AC51/MAX(Time!AC26,1)*Inputs!$F$165+AC50/MAX(Time!AC26,1)*AC82)</f>
        <v>43.2677331960686</v>
      </c>
      <c r="AD83" s="11" t="n">
        <f aca="false">(1-AD81)*(AD51/MAX(Time!AD26,1)*Inputs!$F$165+AD50/MAX(Time!AD26,1)*AD82)</f>
        <v>42.6897276299796</v>
      </c>
      <c r="AE83" s="11" t="n">
        <f aca="false">(1-AE81)*(AE51/MAX(Time!AE26,1)*Inputs!$F$165+AE50/MAX(Time!AE26,1)*AE82)</f>
        <v>42.5466678592242</v>
      </c>
      <c r="AF83" s="11" t="n">
        <f aca="false">(1-AF81)*(AF51/MAX(Time!AF26,1)*Inputs!$F$165+AF50/MAX(Time!AF26,1)*AF82)</f>
        <v>42.3546138172199</v>
      </c>
      <c r="AG83" s="11" t="n">
        <f aca="false">(1-AG81)*(AG51/MAX(Time!AG26,1)*Inputs!$F$165+AG50/MAX(Time!AG26,1)*AG82)</f>
        <v>44.8062951358927</v>
      </c>
      <c r="AH83" s="11" t="n">
        <f aca="false">(1-AH81)*(AH51/MAX(Time!AH26,1)*Inputs!$F$165+AH50/MAX(Time!AH26,1)*AH82)</f>
        <v>44.1694488241572</v>
      </c>
      <c r="AI83" s="11" t="n">
        <f aca="false">(1-AI81)*(AI51/MAX(Time!AI26,1)*Inputs!$F$165+AI50/MAX(Time!AI26,1)*AI82)</f>
        <v>45.2335007908229</v>
      </c>
      <c r="AJ83" s="11" t="n">
        <f aca="false">(1-AJ81)*(AJ51/MAX(Time!AJ26,1)*Inputs!$F$165+AJ50/MAX(Time!AJ26,1)*AJ82)</f>
        <v>44.6734574149459</v>
      </c>
      <c r="AK83" s="11" t="n">
        <f aca="false">(1-AK81)*(AK51/MAX(Time!AK26,1)*Inputs!$F$165+AK50/MAX(Time!AK26,1)*AK82)</f>
        <v>45.9394584246768</v>
      </c>
      <c r="AL83" s="11" t="n">
        <f aca="false">(1-AL81)*(AL51/MAX(Time!AL26,1)*Inputs!$F$165+AL50/MAX(Time!AL26,1)*AL82)</f>
        <v>45.4122229815391</v>
      </c>
      <c r="AM83" s="11" t="n">
        <f aca="false">(1-AM81)*(AM51/MAX(Time!AM26,1)*Inputs!$F$165+AM50/MAX(Time!AM26,1)*AM82)</f>
        <v>45.9537384850944</v>
      </c>
      <c r="AN83" s="11" t="n">
        <f aca="false">(1-AN81)*(AN51/MAX(Time!AN26,1)*Inputs!$F$165+AN50/MAX(Time!AN26,1)*AN82)</f>
        <v>45.4974524839515</v>
      </c>
      <c r="AO83" s="11" t="n">
        <f aca="false">(1-AO81)*(AO51/MAX(Time!AO26,1)*Inputs!$F$165+AO50/MAX(Time!AO26,1)*AO82)</f>
        <v>47.5975153387773</v>
      </c>
      <c r="AP83" s="11" t="n">
        <f aca="false">(1-AP81)*(AP51/MAX(Time!AP26,1)*Inputs!$F$165+AP50/MAX(Time!AP26,1)*AP82)</f>
        <v>46.9223114313564</v>
      </c>
      <c r="AQ83" s="11" t="n">
        <f aca="false">(1-AQ81)*(AQ51/MAX(Time!AQ26,1)*Inputs!$F$165+AQ50/MAX(Time!AQ26,1)*AQ82)</f>
        <v>48.0591467128882</v>
      </c>
      <c r="AR83" s="11" t="n">
        <f aca="false">(1-AR81)*(AR51/MAX(Time!AR26,1)*Inputs!$F$165+AR50/MAX(Time!AR26,1)*AR82)</f>
        <v>47.4668810320953</v>
      </c>
      <c r="AS83" s="11" t="n">
        <f aca="false">(1-AS81)*(AS51/MAX(Time!AS26,1)*Inputs!$F$165+AS50/MAX(Time!AS26,1)*AS82)</f>
        <v>48.8258222745729</v>
      </c>
      <c r="AT83" s="11" t="n">
        <f aca="false">(1-AT81)*(AT51/MAX(Time!AT26,1)*Inputs!$F$165+AT50/MAX(Time!AT26,1)*AT82)</f>
        <v>48.1694641615826</v>
      </c>
      <c r="AU83" s="11" t="n">
        <f aca="false">(1-AU81)*(AU51/MAX(Time!AU26,1)*Inputs!$F$165+AU50/MAX(Time!AU26,1)*AU82)</f>
        <v>47.9990069931315</v>
      </c>
      <c r="AV83" s="11" t="n">
        <f aca="false">(1-AV81)*(AV51/MAX(Time!AV26,1)*Inputs!$F$165+AV50/MAX(Time!AV26,1)*AV82)</f>
        <v>47.7866599345666</v>
      </c>
      <c r="AW83" s="11" t="n">
        <f aca="false">(1-AW81)*(AW51/MAX(Time!AW26,1)*Inputs!$F$165+AW50/MAX(Time!AW26,1)*AW82)</f>
        <v>50.6130050188653</v>
      </c>
      <c r="AX83" s="11" t="n">
        <f aca="false">(1-AX81)*(AX51/MAX(Time!AX26,1)*Inputs!$F$165+AX50/MAX(Time!AX26,1)*AX82)</f>
        <v>49.8963580365277</v>
      </c>
      <c r="AY83" s="11" t="n">
        <f aca="false">(1-AY81)*(AY51/MAX(Time!AY26,1)*Inputs!$F$165+AY50/MAX(Time!AY26,1)*AY82)</f>
        <v>51.1118533231621</v>
      </c>
      <c r="AZ83" s="11" t="n">
        <f aca="false">(1-AZ81)*(AZ51/MAX(Time!AZ26,1)*Inputs!$F$165+AZ50/MAX(Time!AZ26,1)*AZ82)</f>
        <v>50.4847662112051</v>
      </c>
      <c r="BA83" s="11" t="n">
        <f aca="false">(1-BA81)*(BA51/MAX(Time!BA26,1)*Inputs!$F$165+BA50/MAX(Time!BA26,1)*BA82)</f>
        <v>51.9440889955145</v>
      </c>
      <c r="BB83" s="11" t="n">
        <f aca="false">(1-BB81)*(BB51/MAX(Time!BB26,1)*Inputs!$F$165+BB50/MAX(Time!BB26,1)*BB82)</f>
        <v>51.3469690837901</v>
      </c>
      <c r="BC83" s="11" t="n">
        <f aca="false">(1-BC81)*(BC51/MAX(Time!BC26,1)*Inputs!$F$165+BC50/MAX(Time!BC26,1)*BC82)</f>
        <v>51.9531632659378</v>
      </c>
      <c r="BD83" s="11" t="n">
        <f aca="false">(1-BD81)*(BD51/MAX(Time!BD26,1)*Inputs!$F$165+BD50/MAX(Time!BD26,1)*BD82)</f>
        <v>51.4470528642043</v>
      </c>
      <c r="BE83" s="11" t="n">
        <f aca="false">(1-BE81)*(BE51/MAX(Time!BE26,1)*Inputs!$F$165+BE50/MAX(Time!BE26,1)*BE82)</f>
        <v>53.8708042872587</v>
      </c>
      <c r="BF83" s="11" t="n">
        <f aca="false">(1-BF81)*(BF51/MAX(Time!BF26,1)*Inputs!$F$165+BF50/MAX(Time!BF26,1)*BF82)</f>
        <v>53.1093820754087</v>
      </c>
      <c r="BG83" s="11" t="n">
        <f aca="false">(1-BG81)*(BG51/MAX(Time!BG26,1)*Inputs!$F$165+BG50/MAX(Time!BG26,1)*BG82)</f>
        <v>54.4098880727899</v>
      </c>
      <c r="BH83" s="11" t="n">
        <f aca="false">(1-BH81)*(BH51/MAX(Time!BH26,1)*Inputs!$F$165+BH50/MAX(Time!BH26,1)*BH82)</f>
        <v>53.7451719305878</v>
      </c>
      <c r="BI83" s="11" t="n">
        <f aca="false">(1-BI81)*(BI51/MAX(Time!BI26,1)*Inputs!$F$165+BI50/MAX(Time!BI26,1)*BI82)</f>
        <v>55.3129113094724</v>
      </c>
      <c r="BJ83" s="11" t="n">
        <f aca="false">(1-BJ81)*(BJ51/MAX(Time!BJ26,1)*Inputs!$F$165+BJ50/MAX(Time!BJ26,1)*BJ82)</f>
        <v>54.5652469869536</v>
      </c>
      <c r="BK83" s="11" t="n">
        <f aca="false">(1-BK81)*(BK51/MAX(Time!BK26,1)*Inputs!$F$165+BK50/MAX(Time!BK26,1)*BK82)</f>
        <v>54.3629159205261</v>
      </c>
      <c r="BL83" s="11" t="n">
        <f aca="false">(1-BL81)*(BL51/MAX(Time!BL26,1)*Inputs!$F$165+BL50/MAX(Time!BL26,1)*BL82)</f>
        <v>54.1270119878393</v>
      </c>
      <c r="BM83" s="11" t="n">
        <f aca="false">(1-BM81)*(BM51/MAX(Time!BM26,1)*Inputs!$F$165+BM50/MAX(Time!BM26,1)*BM82)</f>
        <v>57.3904041405399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0</v>
      </c>
      <c r="P85" s="11" t="n">
        <f aca="false">(1-P81)*(P68+P49)/MAX(Time!P26,1)*Inputs!$F$166</f>
        <v>18.5433842576107</v>
      </c>
      <c r="Q85" s="11" t="n">
        <f aca="false">(1-Q81)*(Q68+Q49)/MAX(Time!Q26,1)*Inputs!$F$166</f>
        <v>19.4350405272361</v>
      </c>
      <c r="R85" s="11" t="n">
        <f aca="false">(1-R81)*(R68+R49)/MAX(Time!R26,1)*Inputs!$F$166</f>
        <v>19.0847086384391</v>
      </c>
      <c r="S85" s="11" t="n">
        <f aca="false">(1-S81)*(S68+S49)/MAX(Time!S26,1)*Inputs!$F$166</f>
        <v>19.627585307181</v>
      </c>
      <c r="T85" s="11" t="n">
        <f aca="false">(1-T81)*(T68+T49)/MAX(Time!T26,1)*Inputs!$F$166</f>
        <v>19.3357879735665</v>
      </c>
      <c r="U85" s="11" t="n">
        <f aca="false">(1-U81)*(U68+U49)/MAX(Time!U26,1)*Inputs!$F$166</f>
        <v>20.096856330134</v>
      </c>
      <c r="V85" s="11" t="n">
        <f aca="false">(1-V81)*(V68+V49)/MAX(Time!V26,1)*Inputs!$F$166</f>
        <v>19.7623275532841</v>
      </c>
      <c r="W85" s="11" t="n">
        <f aca="false">(1-W81)*(W68+W49)/MAX(Time!W26,1)*Inputs!$F$166</f>
        <v>19.9026835214754</v>
      </c>
      <c r="X85" s="11" t="n">
        <f aca="false">(1-X81)*(X68+X49)/MAX(Time!X26,1)*Inputs!$F$166</f>
        <v>19.690349589926</v>
      </c>
      <c r="Y85" s="11" t="n">
        <f aca="false">(1-Y81)*(Y68+Y49)/MAX(Time!Y26,1)*Inputs!$F$166</f>
        <v>21.0111589145241</v>
      </c>
      <c r="Z85" s="11" t="n">
        <f aca="false">(1-Z81)*(Z68+Z49)/MAX(Time!Z26,1)*Inputs!$F$166</f>
        <v>20.632263627445</v>
      </c>
      <c r="AA85" s="11" t="n">
        <f aca="false">(1-AA81)*(AA68+AA49)/MAX(Time!AA26,1)*Inputs!$F$166</f>
        <v>21.2190044438191</v>
      </c>
      <c r="AB85" s="11" t="n">
        <f aca="false">(1-AB81)*(AB68+AB49)/MAX(Time!AB26,1)*Inputs!$F$166</f>
        <v>20.9033931926938</v>
      </c>
      <c r="AC85" s="11" t="n">
        <f aca="false">(1-AC81)*(AC68+AC49)/MAX(Time!AC26,1)*Inputs!$F$166</f>
        <v>21.7260025028441</v>
      </c>
      <c r="AD85" s="11" t="n">
        <f aca="false">(1-AD81)*(AD68+AD49)/MAX(Time!AD26,1)*Inputs!$F$166</f>
        <v>21.2916594274373</v>
      </c>
      <c r="AE85" s="11" t="n">
        <f aca="false">(1-AE81)*(AE68+AE49)/MAX(Time!AE26,1)*Inputs!$F$166</f>
        <v>21.0645564146955</v>
      </c>
      <c r="AF85" s="11" t="n">
        <f aca="false">(1-AF81)*(AF68+AF49)/MAX(Time!AF26,1)*Inputs!$F$166</f>
        <v>20.9162487682367</v>
      </c>
      <c r="AG85" s="11" t="n">
        <f aca="false">(1-AG81)*(AG68+AG49)/MAX(Time!AG26,1)*Inputs!$F$166</f>
        <v>22.7137489467109</v>
      </c>
      <c r="AH85" s="11" t="n">
        <f aca="false">(1-AH81)*(AH68+AH49)/MAX(Time!AH26,1)*Inputs!$F$166</f>
        <v>22.3039851534732</v>
      </c>
      <c r="AI85" s="11" t="n">
        <f aca="false">(1-AI81)*(AI68+AI49)/MAX(Time!AI26,1)*Inputs!$F$166</f>
        <v>22.9380960222226</v>
      </c>
      <c r="AJ85" s="11" t="n">
        <f aca="false">(1-AJ81)*(AJ68+AJ49)/MAX(Time!AJ26,1)*Inputs!$F$166</f>
        <v>22.5967470699418</v>
      </c>
      <c r="AK85" s="11" t="n">
        <f aca="false">(1-AK81)*(AK68+AK49)/MAX(Time!AK26,1)*Inputs!$F$166</f>
        <v>23.4858201351983</v>
      </c>
      <c r="AL85" s="11" t="n">
        <f aca="false">(1-AL81)*(AL68+AL49)/MAX(Time!AL26,1)*Inputs!$F$166</f>
        <v>23.0945362777545</v>
      </c>
      <c r="AM85" s="11" t="n">
        <f aca="false">(1-AM81)*(AM68+AM49)/MAX(Time!AM26,1)*Inputs!$F$166</f>
        <v>23.2582126769335</v>
      </c>
      <c r="AN85" s="11" t="n">
        <f aca="false">(1-AN81)*(AN68+AN49)/MAX(Time!AN26,1)*Inputs!$F$166</f>
        <v>23.009737869396</v>
      </c>
      <c r="AO85" s="11" t="n">
        <f aca="false">(1-AO81)*(AO68+AO49)/MAX(Time!AO26,1)*Inputs!$F$166</f>
        <v>24.5528433341208</v>
      </c>
      <c r="AP85" s="11" t="n">
        <f aca="false">(1-AP81)*(AP68+AP49)/MAX(Time!AP26,1)*Inputs!$F$166</f>
        <v>24.1097219199398</v>
      </c>
      <c r="AQ85" s="11" t="n">
        <f aca="false">(1-AQ81)*(AQ68+AQ49)/MAX(Time!AQ26,1)*Inputs!$F$166</f>
        <v>24.794985647386</v>
      </c>
      <c r="AR85" s="11" t="n">
        <f aca="false">(1-AR81)*(AR68+AR49)/MAX(Time!AR26,1)*Inputs!$F$166</f>
        <v>24.4258214715533</v>
      </c>
      <c r="AS85" s="11" t="n">
        <f aca="false">(1-AS81)*(AS68+AS49)/MAX(Time!AS26,1)*Inputs!$F$166</f>
        <v>25.3866702597291</v>
      </c>
      <c r="AT85" s="11" t="n">
        <f aca="false">(1-AT81)*(AT68+AT49)/MAX(Time!AT26,1)*Inputs!$F$166</f>
        <v>24.8787727124802</v>
      </c>
      <c r="AU85" s="11" t="n">
        <f aca="false">(1-AU81)*(AU68+AU49)/MAX(Time!AU26,1)*Inputs!$F$166</f>
        <v>24.6130413503984</v>
      </c>
      <c r="AV85" s="11" t="n">
        <f aca="false">(1-AV81)*(AV68+AV49)/MAX(Time!AV26,1)*Inputs!$F$166</f>
        <v>24.4393853978446</v>
      </c>
      <c r="AW85" s="11" t="n">
        <f aca="false">(1-AW81)*(AW68+AW49)/MAX(Time!AW26,1)*Inputs!$F$166</f>
        <v>26.5392605270446</v>
      </c>
      <c r="AX85" s="11" t="n">
        <f aca="false">(1-AX81)*(AX68+AX49)/MAX(Time!AX26,1)*Inputs!$F$166</f>
        <v>26.0600938567513</v>
      </c>
      <c r="AY85" s="11" t="n">
        <f aca="false">(1-AY81)*(AY68+AY49)/MAX(Time!AY26,1)*Inputs!$F$166</f>
        <v>26.8005917287631</v>
      </c>
      <c r="AZ85" s="11" t="n">
        <f aca="false">(1-AZ81)*(AZ68+AZ49)/MAX(Time!AZ26,1)*Inputs!$F$166</f>
        <v>26.4013689269337</v>
      </c>
      <c r="BA85" s="11" t="n">
        <f aca="false">(1-BA81)*(BA68+BA49)/MAX(Time!BA26,1)*Inputs!$F$166</f>
        <v>27.4397249304056</v>
      </c>
      <c r="BB85" s="11" t="n">
        <f aca="false">(1-BB81)*(BB68+BB49)/MAX(Time!BB26,1)*Inputs!$F$166</f>
        <v>26.9821633638113</v>
      </c>
      <c r="BC85" s="11" t="n">
        <f aca="false">(1-BC81)*(BC68+BC49)/MAX(Time!BC26,1)*Inputs!$F$166</f>
        <v>27.1729852615363</v>
      </c>
      <c r="BD85" s="11" t="n">
        <f aca="false">(1-BD81)*(BD68+BD49)/MAX(Time!BD26,1)*Inputs!$F$166</f>
        <v>26.8822848202277</v>
      </c>
      <c r="BE85" s="11" t="n">
        <f aca="false">(1-BE81)*(BE68+BE49)/MAX(Time!BE26,1)*Inputs!$F$166</f>
        <v>28.6846653485898</v>
      </c>
      <c r="BF85" s="11" t="n">
        <f aca="false">(1-BF81)*(BF68+BF49)/MAX(Time!BF26,1)*Inputs!$F$166</f>
        <v>28.1665516238751</v>
      </c>
      <c r="BG85" s="11" t="n">
        <f aca="false">(1-BG81)*(BG68+BG49)/MAX(Time!BG26,1)*Inputs!$F$166</f>
        <v>28.9666866390723</v>
      </c>
      <c r="BH85" s="11" t="n">
        <f aca="false">(1-BH81)*(BH68+BH49)/MAX(Time!BH26,1)*Inputs!$F$166</f>
        <v>28.5349828413762</v>
      </c>
      <c r="BI85" s="11" t="n">
        <f aca="false">(1-BI81)*(BI68+BI49)/MAX(Time!BI26,1)*Inputs!$F$166</f>
        <v>29.6570297670429</v>
      </c>
      <c r="BJ85" s="11" t="n">
        <f aca="false">(1-BJ81)*(BJ68+BJ49)/MAX(Time!BJ26,1)*Inputs!$F$166</f>
        <v>29.0632604357493</v>
      </c>
      <c r="BK85" s="11" t="n">
        <f aca="false">(1-BK81)*(BK68+BK49)/MAX(Time!BK26,1)*Inputs!$F$166</f>
        <v>28.7524018136516</v>
      </c>
      <c r="BL85" s="11" t="n">
        <f aca="false">(1-BL81)*(BL68+BL49)/MAX(Time!BL26,1)*Inputs!$F$166</f>
        <v>28.5491111072881</v>
      </c>
      <c r="BM85" s="11" t="n">
        <f aca="false">(1-BM81)*(BM68+BM49)/MAX(Time!BM26,1)*Inputs!$F$166</f>
        <v>31.0016342240072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0</v>
      </c>
      <c r="P86" s="11" t="n">
        <f aca="false">(1-P81)*(P47+P48)/MAX(Time!P26,1)*Inputs!$F$167</f>
        <v>2.27184649743665</v>
      </c>
      <c r="Q86" s="11" t="n">
        <f aca="false">(1-Q81)*(Q47+Q48)/MAX(Time!Q26,1)*Inputs!$F$167</f>
        <v>2.31696217645034</v>
      </c>
      <c r="R86" s="11" t="n">
        <f aca="false">(1-R81)*(R47+R48)/MAX(Time!R26,1)*Inputs!$F$167</f>
        <v>2.30953698119653</v>
      </c>
      <c r="S86" s="11" t="n">
        <f aca="false">(1-S81)*(S47+S48)/MAX(Time!S26,1)*Inputs!$F$167</f>
        <v>2.34757951172334</v>
      </c>
      <c r="T86" s="11" t="n">
        <f aca="false">(1-T81)*(T47+T48)/MAX(Time!T26,1)*Inputs!$F$167</f>
        <v>2.34142525799545</v>
      </c>
      <c r="U86" s="11" t="n">
        <f aca="false">(1-U81)*(U47+U48)/MAX(Time!U26,1)*Inputs!$F$167</f>
        <v>2.38440334824175</v>
      </c>
      <c r="V86" s="11" t="n">
        <f aca="false">(1-V81)*(V47+V48)/MAX(Time!V26,1)*Inputs!$F$167</f>
        <v>2.37738243782952</v>
      </c>
      <c r="W86" s="11" t="n">
        <f aca="false">(1-W81)*(W47+W48)/MAX(Time!W26,1)*Inputs!$F$167</f>
        <v>2.40771989072683</v>
      </c>
      <c r="X86" s="11" t="n">
        <f aca="false">(1-X81)*(X47+X48)/MAX(Time!X26,1)*Inputs!$F$167</f>
        <v>2.40328538499624</v>
      </c>
      <c r="Y86" s="11" t="n">
        <f aca="false">(1-Y81)*(Y47+Y48)/MAX(Time!Y26,1)*Inputs!$F$167</f>
        <v>2.45859982118354</v>
      </c>
      <c r="Z86" s="11" t="n">
        <f aca="false">(1-Z81)*(Z47+Z48)/MAX(Time!Z26,1)*Inputs!$F$167</f>
        <v>2.45072554046998</v>
      </c>
      <c r="AA86" s="11" t="n">
        <f aca="false">(1-AA81)*(AA47+AA48)/MAX(Time!AA26,1)*Inputs!$F$167</f>
        <v>2.49108677766796</v>
      </c>
      <c r="AB86" s="11" t="n">
        <f aca="false">(1-AB81)*(AB47+AB48)/MAX(Time!AB26,1)*Inputs!$F$167</f>
        <v>2.48455983140521</v>
      </c>
      <c r="AC86" s="11" t="n">
        <f aca="false">(1-AC81)*(AC47+AC48)/MAX(Time!AC26,1)*Inputs!$F$167</f>
        <v>2.53015327126623</v>
      </c>
      <c r="AD86" s="11" t="n">
        <f aca="false">(1-AD81)*(AD47+AD48)/MAX(Time!AD26,1)*Inputs!$F$167</f>
        <v>2.52121494233197</v>
      </c>
      <c r="AE86" s="11" t="n">
        <f aca="false">(1-AE81)*(AE47+AE48)/MAX(Time!AE26,1)*Inputs!$F$167</f>
        <v>2.54566228467152</v>
      </c>
      <c r="AF86" s="11" t="n">
        <f aca="false">(1-AF81)*(AF47+AF48)/MAX(Time!AF26,1)*Inputs!$F$167</f>
        <v>2.54262522836152</v>
      </c>
      <c r="AG86" s="11" t="n">
        <f aca="false">(1-AG81)*(AG47+AG48)/MAX(Time!AG26,1)*Inputs!$F$167</f>
        <v>2.60886902580531</v>
      </c>
      <c r="AH86" s="11" t="n">
        <f aca="false">(1-AH81)*(AH47+AH48)/MAX(Time!AH26,1)*Inputs!$F$167</f>
        <v>2.60051898201265</v>
      </c>
      <c r="AI86" s="11" t="n">
        <f aca="false">(1-AI81)*(AI47+AI48)/MAX(Time!AI26,1)*Inputs!$F$167</f>
        <v>2.64333962693093</v>
      </c>
      <c r="AJ86" s="11" t="n">
        <f aca="false">(1-AJ81)*(AJ47+AJ48)/MAX(Time!AJ26,1)*Inputs!$F$167</f>
        <v>2.63641781784843</v>
      </c>
      <c r="AK86" s="11" t="n">
        <f aca="false">(1-AK81)*(AK47+AK48)/MAX(Time!AK26,1)*Inputs!$F$167</f>
        <v>2.68478483680874</v>
      </c>
      <c r="AL86" s="11" t="n">
        <f aca="false">(1-AL81)*(AL47+AL48)/MAX(Time!AL26,1)*Inputs!$F$167</f>
        <v>2.67688935124146</v>
      </c>
      <c r="AM86" s="11" t="n">
        <f aca="false">(1-AM81)*(AM47+AM48)/MAX(Time!AM26,1)*Inputs!$F$167</f>
        <v>2.71105469847467</v>
      </c>
      <c r="AN86" s="11" t="n">
        <f aca="false">(1-AN81)*(AN47+AN48)/MAX(Time!AN26,1)*Inputs!$F$167</f>
        <v>2.70606544985241</v>
      </c>
      <c r="AO86" s="11" t="n">
        <f aca="false">(1-AO81)*(AO47+AO48)/MAX(Time!AO26,1)*Inputs!$F$167</f>
        <v>2.76829414188258</v>
      </c>
      <c r="AP86" s="11" t="n">
        <f aca="false">(1-AP81)*(AP47+AP48)/MAX(Time!AP26,1)*Inputs!$F$167</f>
        <v>2.75944010367333</v>
      </c>
      <c r="AQ86" s="11" t="n">
        <f aca="false">(1-AQ81)*(AQ47+AQ48)/MAX(Time!AQ26,1)*Inputs!$F$167</f>
        <v>2.80486935618309</v>
      </c>
      <c r="AR86" s="11" t="n">
        <f aca="false">(1-AR81)*(AR47+AR48)/MAX(Time!AR26,1)*Inputs!$F$167</f>
        <v>2.7975292207349</v>
      </c>
      <c r="AS86" s="11" t="n">
        <f aca="false">(1-AS81)*(AS47+AS48)/MAX(Time!AS26,1)*Inputs!$F$167</f>
        <v>2.8488375633362</v>
      </c>
      <c r="AT86" s="11" t="n">
        <f aca="false">(1-AT81)*(AT47+AT48)/MAX(Time!AT26,1)*Inputs!$F$167</f>
        <v>2.83878847855679</v>
      </c>
      <c r="AU86" s="11" t="n">
        <f aca="false">(1-AU81)*(AU47+AU48)/MAX(Time!AU26,1)*Inputs!$F$167</f>
        <v>2.86634181368979</v>
      </c>
      <c r="AV86" s="11" t="n">
        <f aca="false">(1-AV81)*(AV47+AV48)/MAX(Time!AV26,1)*Inputs!$F$167</f>
        <v>2.86292275984964</v>
      </c>
      <c r="AW86" s="11" t="n">
        <f aca="false">(1-AW81)*(AW47+AW48)/MAX(Time!AW26,1)*Inputs!$F$167</f>
        <v>2.93743127046438</v>
      </c>
      <c r="AX86" s="11" t="n">
        <f aca="false">(1-AX81)*(AX47+AX48)/MAX(Time!AX26,1)*Inputs!$F$167</f>
        <v>2.92804336435315</v>
      </c>
      <c r="AY86" s="11" t="n">
        <f aca="false">(1-AY81)*(AY47+AY48)/MAX(Time!AY26,1)*Inputs!$F$167</f>
        <v>2.97623943404671</v>
      </c>
      <c r="AZ86" s="11" t="n">
        <f aca="false">(1-AZ81)*(AZ47+AZ48)/MAX(Time!AZ26,1)*Inputs!$F$167</f>
        <v>2.9684561416785</v>
      </c>
      <c r="BA86" s="11" t="n">
        <f aca="false">(1-BA81)*(BA47+BA48)/MAX(Time!BA26,1)*Inputs!$F$167</f>
        <v>3.02288363603229</v>
      </c>
      <c r="BB86" s="11" t="n">
        <f aca="false">(1-BB81)*(BB47+BB48)/MAX(Time!BB26,1)*Inputs!$F$167</f>
        <v>3.01400669336692</v>
      </c>
      <c r="BC86" s="11" t="n">
        <f aca="false">(1-BC81)*(BC47+BC48)/MAX(Time!BC26,1)*Inputs!$F$167</f>
        <v>3.05248264308333</v>
      </c>
      <c r="BD86" s="11" t="n">
        <f aca="false">(1-BD81)*(BD47+BD48)/MAX(Time!BD26,1)*Inputs!$F$167</f>
        <v>3.04687054260273</v>
      </c>
      <c r="BE86" s="11" t="n">
        <f aca="false">(1-BE81)*(BE47+BE48)/MAX(Time!BE26,1)*Inputs!$F$167</f>
        <v>3.11687017798908</v>
      </c>
      <c r="BF86" s="11" t="n">
        <f aca="false">(1-BF81)*(BF47+BF48)/MAX(Time!BF26,1)*Inputs!$F$167</f>
        <v>3.10691679502109</v>
      </c>
      <c r="BG86" s="11" t="n">
        <f aca="false">(1-BG81)*(BG47+BG48)/MAX(Time!BG26,1)*Inputs!$F$167</f>
        <v>3.15804744266705</v>
      </c>
      <c r="BH86" s="11" t="n">
        <f aca="false">(1-BH81)*(BH47+BH48)/MAX(Time!BH26,1)*Inputs!$F$167</f>
        <v>3.14979471797919</v>
      </c>
      <c r="BI86" s="11" t="n">
        <f aca="false">(1-BI81)*(BI47+BI48)/MAX(Time!BI26,1)*Inputs!$F$167</f>
        <v>3.20752987801185</v>
      </c>
      <c r="BJ86" s="11" t="n">
        <f aca="false">(1-BJ81)*(BJ47+BJ48)/MAX(Time!BJ26,1)*Inputs!$F$167</f>
        <v>3.1962346469196</v>
      </c>
      <c r="BK86" s="11" t="n">
        <f aca="false">(1-BK81)*(BK47+BK48)/MAX(Time!BK26,1)*Inputs!$F$167</f>
        <v>3.22729054967274</v>
      </c>
      <c r="BL86" s="11" t="n">
        <f aca="false">(1-BL81)*(BL47+BL48)/MAX(Time!BL26,1)*Inputs!$F$167</f>
        <v>3.22344232203872</v>
      </c>
      <c r="BM86" s="11" t="n">
        <f aca="false">(1-BM81)*(BM47+BM48)/MAX(Time!BM26,1)*Inputs!$F$167</f>
        <v>3.30723632739425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0</v>
      </c>
      <c r="P87" s="11" t="n">
        <f aca="false">(1-P81)*(P55+P56+P57+P59)/MAX(Time!P26,1)*Inputs!$F$168</f>
        <v>1.67401642745813</v>
      </c>
      <c r="Q87" s="11" t="n">
        <f aca="false">(1-Q81)*(Q55+Q56+Q57+Q59)/MAX(Time!Q26,1)*Inputs!$F$168</f>
        <v>1.74989883339952</v>
      </c>
      <c r="R87" s="11" t="n">
        <f aca="false">(1-R81)*(R55+R56+R57+R59)/MAX(Time!R26,1)*Inputs!$F$168</f>
        <v>1.73748654560994</v>
      </c>
      <c r="S87" s="11" t="n">
        <f aca="false">(1-S81)*(S55+S56+S57+S59)/MAX(Time!S26,1)*Inputs!$F$168</f>
        <v>1.77166553606577</v>
      </c>
      <c r="T87" s="11" t="n">
        <f aca="false">(1-T81)*(T55+T56+T57+T59)/MAX(Time!T26,1)*Inputs!$F$168</f>
        <v>1.76461902385192</v>
      </c>
      <c r="U87" s="11" t="n">
        <f aca="false">(1-U81)*(U55+U56+U57+U59)/MAX(Time!U26,1)*Inputs!$F$168</f>
        <v>1.81769879830719</v>
      </c>
      <c r="V87" s="11" t="n">
        <f aca="false">(1-V81)*(V55+V56+V57+V59)/MAX(Time!V26,1)*Inputs!$F$168</f>
        <v>1.8075342899174</v>
      </c>
      <c r="W87" s="11" t="n">
        <f aca="false">(1-W81)*(W55+W56+W57+W59)/MAX(Time!W26,1)*Inputs!$F$168</f>
        <v>1.80581711208381</v>
      </c>
      <c r="X87" s="11" t="n">
        <f aca="false">(1-X81)*(X55+X56+X57+X59)/MAX(Time!X26,1)*Inputs!$F$168</f>
        <v>1.80610661378107</v>
      </c>
      <c r="Y87" s="11" t="n">
        <f aca="false">(1-Y81)*(Y55+Y56+Y57+Y59)/MAX(Time!Y26,1)*Inputs!$F$168</f>
        <v>1.90904657856628</v>
      </c>
      <c r="Z87" s="11" t="n">
        <f aca="false">(1-Z81)*(Z55+Z56+Z57+Z59)/MAX(Time!Z26,1)*Inputs!$F$168</f>
        <v>1.89550543259566</v>
      </c>
      <c r="AA87" s="11" t="n">
        <f aca="false">(1-AA81)*(AA55+AA56+AA57+AA59)/MAX(Time!AA26,1)*Inputs!$F$168</f>
        <v>1.93279289375809</v>
      </c>
      <c r="AB87" s="11" t="n">
        <f aca="false">(1-AB81)*(AB55+AB56+AB57+AB59)/MAX(Time!AB26,1)*Inputs!$F$168</f>
        <v>1.92510552362222</v>
      </c>
      <c r="AC87" s="11" t="n">
        <f aca="false">(1-AC81)*(AC55+AC56+AC57+AC59)/MAX(Time!AC26,1)*Inputs!$F$168</f>
        <v>1.98301273510257</v>
      </c>
      <c r="AD87" s="11" t="n">
        <f aca="false">(1-AD81)*(AD55+AD56+AD57+AD59)/MAX(Time!AD26,1)*Inputs!$F$168</f>
        <v>1.96539663662235</v>
      </c>
      <c r="AE87" s="11" t="n">
        <f aca="false">(1-AE81)*(AE55+AE56+AE57+AE59)/MAX(Time!AE26,1)*Inputs!$F$168</f>
        <v>1.93615771288405</v>
      </c>
      <c r="AF87" s="11" t="n">
        <f aca="false">(1-AF81)*(AF55+AF56+AF57+AF59)/MAX(Time!AF26,1)*Inputs!$F$168</f>
        <v>1.93701248899046</v>
      </c>
      <c r="AG87" s="11" t="n">
        <f aca="false">(1-AG81)*(AG55+AG56+AG57+AG59)/MAX(Time!AG26,1)*Inputs!$F$168</f>
        <v>2.08266830606176</v>
      </c>
      <c r="AH87" s="11" t="n">
        <f aca="false">(1-AH81)*(AH55+AH56+AH57+AH59)/MAX(Time!AH26,1)*Inputs!$F$168</f>
        <v>2.06789563584125</v>
      </c>
      <c r="AI87" s="11" t="n">
        <f aca="false">(1-AI81)*(AI55+AI56+AI57+AI59)/MAX(Time!AI26,1)*Inputs!$F$168</f>
        <v>2.10857427325553</v>
      </c>
      <c r="AJ87" s="11" t="n">
        <f aca="false">(1-AJ81)*(AJ55+AJ56+AJ57+AJ59)/MAX(Time!AJ26,1)*Inputs!$F$168</f>
        <v>2.10018776120355</v>
      </c>
      <c r="AK87" s="11" t="n">
        <f aca="false">(1-AK81)*(AK55+AK56+AK57+AK59)/MAX(Time!AK26,1)*Inputs!$F$168</f>
        <v>2.16336144978538</v>
      </c>
      <c r="AL87" s="11" t="n">
        <f aca="false">(1-AL81)*(AL55+AL56+AL57+AL59)/MAX(Time!AL26,1)*Inputs!$F$168</f>
        <v>2.15126400788413</v>
      </c>
      <c r="AM87" s="11" t="n">
        <f aca="false">(1-AM81)*(AM55+AM56+AM57+AM59)/MAX(Time!AM26,1)*Inputs!$F$168</f>
        <v>2.14922028296608</v>
      </c>
      <c r="AN87" s="11" t="n">
        <f aca="false">(1-AN81)*(AN55+AN56+AN57+AN59)/MAX(Time!AN26,1)*Inputs!$F$168</f>
        <v>2.14956483774715</v>
      </c>
      <c r="AO87" s="11" t="n">
        <f aca="false">(1-AO81)*(AO55+AO56+AO57+AO59)/MAX(Time!AO26,1)*Inputs!$F$168</f>
        <v>2.27208037864204</v>
      </c>
      <c r="AP87" s="11" t="n">
        <f aca="false">(1-AP81)*(AP55+AP56+AP57+AP59)/MAX(Time!AP26,1)*Inputs!$F$168</f>
        <v>2.25596418094964</v>
      </c>
      <c r="AQ87" s="11" t="n">
        <f aca="false">(1-AQ81)*(AQ55+AQ56+AQ57+AQ59)/MAX(Time!AQ26,1)*Inputs!$F$168</f>
        <v>2.30034241133317</v>
      </c>
      <c r="AR87" s="11" t="n">
        <f aca="false">(1-AR81)*(AR55+AR56+AR57+AR59)/MAX(Time!AR26,1)*Inputs!$F$168</f>
        <v>2.29119317262671</v>
      </c>
      <c r="AS87" s="11" t="n">
        <f aca="false">(1-AS81)*(AS55+AS56+AS57+AS59)/MAX(Time!AS26,1)*Inputs!$F$168</f>
        <v>2.36011230768793</v>
      </c>
      <c r="AT87" s="11" t="n">
        <f aca="false">(1-AT81)*(AT55+AT56+AT57+AT59)/MAX(Time!AT26,1)*Inputs!$F$168</f>
        <v>2.33914624423274</v>
      </c>
      <c r="AU87" s="11" t="n">
        <f aca="false">(1-AU81)*(AU55+AU56+AU57+AU59)/MAX(Time!AU26,1)*Inputs!$F$168</f>
        <v>2.30434710121326</v>
      </c>
      <c r="AV87" s="11" t="n">
        <f aca="false">(1-AV81)*(AV55+AV56+AV57+AV59)/MAX(Time!AV26,1)*Inputs!$F$168</f>
        <v>2.30536442579889</v>
      </c>
      <c r="AW87" s="11" t="n">
        <f aca="false">(1-AW81)*(AW55+AW56+AW57+AW59)/MAX(Time!AW26,1)*Inputs!$F$168</f>
        <v>2.47871887807806</v>
      </c>
      <c r="AX87" s="11" t="n">
        <f aca="false">(1-AX81)*(AX55+AX56+AX57+AX59)/MAX(Time!AX26,1)*Inputs!$F$168</f>
        <v>2.46113696335422</v>
      </c>
      <c r="AY87" s="11" t="n">
        <f aca="false">(1-AY81)*(AY55+AY56+AY57+AY59)/MAX(Time!AY26,1)*Inputs!$F$168</f>
        <v>2.509551252946</v>
      </c>
      <c r="AZ87" s="11" t="n">
        <f aca="false">(1-AZ81)*(AZ55+AZ56+AZ57+AZ59)/MAX(Time!AZ26,1)*Inputs!$F$168</f>
        <v>2.49956992001652</v>
      </c>
      <c r="BA87" s="11" t="n">
        <f aca="false">(1-BA81)*(BA55+BA56+BA57+BA59)/MAX(Time!BA26,1)*Inputs!$F$168</f>
        <v>2.57475703167987</v>
      </c>
      <c r="BB87" s="11" t="n">
        <f aca="false">(1-BB81)*(BB55+BB56+BB57+BB59)/MAX(Time!BB26,1)*Inputs!$F$168</f>
        <v>2.56035908000903</v>
      </c>
      <c r="BC87" s="11" t="n">
        <f aca="false">(1-BC81)*(BC55+BC56+BC57+BC59)/MAX(Time!BC26,1)*Inputs!$F$168</f>
        <v>2.55792671018747</v>
      </c>
      <c r="BD87" s="11" t="n">
        <f aca="false">(1-BD81)*(BD55+BD56+BD57+BD59)/MAX(Time!BD26,1)*Inputs!$F$168</f>
        <v>2.55833678722081</v>
      </c>
      <c r="BE87" s="11" t="n">
        <f aca="false">(1-BE81)*(BE55+BE56+BE57+BE59)/MAX(Time!BE26,1)*Inputs!$F$168</f>
        <v>2.70415049322009</v>
      </c>
      <c r="BF87" s="11" t="n">
        <f aca="false">(1-BF81)*(BF55+BF56+BF57+BF59)/MAX(Time!BF26,1)*Inputs!$F$168</f>
        <v>2.68496955915262</v>
      </c>
      <c r="BG87" s="11" t="n">
        <f aca="false">(1-BG81)*(BG55+BG56+BG57+BG59)/MAX(Time!BG26,1)*Inputs!$F$168</f>
        <v>2.7377869747282</v>
      </c>
      <c r="BH87" s="11" t="n">
        <f aca="false">(1-BH81)*(BH55+BH56+BH57+BH59)/MAX(Time!BH26,1)*Inputs!$F$168</f>
        <v>2.72689787124698</v>
      </c>
      <c r="BI87" s="11" t="n">
        <f aca="false">(1-BI81)*(BI55+BI56+BI57+BI59)/MAX(Time!BI26,1)*Inputs!$F$168</f>
        <v>2.80892301209148</v>
      </c>
      <c r="BJ87" s="11" t="n">
        <f aca="false">(1-BJ81)*(BJ55+BJ56+BJ57+BJ59)/MAX(Time!BJ26,1)*Inputs!$F$168</f>
        <v>2.78396993764649</v>
      </c>
      <c r="BK87" s="11" t="n">
        <f aca="false">(1-BK81)*(BK55+BK56+BK57+BK59)/MAX(Time!BK26,1)*Inputs!$F$168</f>
        <v>2.7425532163701</v>
      </c>
      <c r="BL87" s="11" t="n">
        <f aca="false">(1-BL81)*(BL55+BL56+BL57+BL59)/MAX(Time!BL26,1)*Inputs!$F$168</f>
        <v>2.7437640004629</v>
      </c>
      <c r="BM87" s="11" t="n">
        <f aca="false">(1-BM81)*(BM55+BM56+BM57+BM59)/MAX(Time!BM26,1)*Inputs!$F$168</f>
        <v>2.95008439829705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0</v>
      </c>
      <c r="P88" s="11" t="n">
        <f aca="false">(1-P81)*(P60+P61+P62+P63+P64+P65+P66)/MAX(Time!P26,1)*Inputs!$F$169</f>
        <v>1.17722475451023</v>
      </c>
      <c r="Q88" s="11" t="n">
        <f aca="false">(1-Q81)*(Q60+Q61+Q62+Q63+Q64+Q65+Q66)/MAX(Time!Q26,1)*Inputs!$F$169</f>
        <v>1.22932075804826</v>
      </c>
      <c r="R88" s="11" t="n">
        <f aca="false">(1-R81)*(R60+R61+R62+R63+R64+R65+R66)/MAX(Time!R26,1)*Inputs!$F$169</f>
        <v>1.22091026274077</v>
      </c>
      <c r="S88" s="11" t="n">
        <f aca="false">(1-S81)*(S60+S61+S62+S63+S64+S65+S66)/MAX(Time!S26,1)*Inputs!$F$169</f>
        <v>1.25053421430613</v>
      </c>
      <c r="T88" s="11" t="n">
        <f aca="false">(1-T81)*(T60+T61+T62+T63+T64+T65+T66)/MAX(Time!T26,1)*Inputs!$F$169</f>
        <v>1.24302262682394</v>
      </c>
      <c r="U88" s="11" t="n">
        <f aca="false">(1-U81)*(U60+U61+U62+U63+U64+U65+U66)/MAX(Time!U26,1)*Inputs!$F$169</f>
        <v>1.27227867523473</v>
      </c>
      <c r="V88" s="11" t="n">
        <f aca="false">(1-V81)*(V60+V61+V62+V63+V64+V65+V66)/MAX(Time!V26,1)*Inputs!$F$169</f>
        <v>1.26887214338028</v>
      </c>
      <c r="W88" s="11" t="n">
        <f aca="false">(1-W81)*(W60+W61+W62+W63+W64+W65+W66)/MAX(Time!W26,1)*Inputs!$F$169</f>
        <v>1.29171645940905</v>
      </c>
      <c r="X88" s="11" t="n">
        <f aca="false">(1-X81)*(X60+X61+X62+X63+X64+X65+X66)/MAX(Time!X26,1)*Inputs!$F$169</f>
        <v>1.28558059838024</v>
      </c>
      <c r="Y88" s="11" t="n">
        <f aca="false">(1-Y81)*(Y60+Y61+Y62+Y63+Y64+Y65+Y66)/MAX(Time!Y26,1)*Inputs!$F$169</f>
        <v>1.33130026800422</v>
      </c>
      <c r="Z88" s="11" t="n">
        <f aca="false">(1-Z81)*(Z60+Z61+Z62+Z63+Z64+Z65+Z66)/MAX(Time!Z26,1)*Inputs!$F$169</f>
        <v>1.32209131485217</v>
      </c>
      <c r="AA88" s="11" t="n">
        <f aca="false">(1-AA81)*(AA60+AA61+AA62+AA63+AA64+AA65+AA66)/MAX(Time!AA26,1)*Inputs!$F$169</f>
        <v>1.35423919488582</v>
      </c>
      <c r="AB88" s="11" t="n">
        <f aca="false">(1-AB81)*(AB60+AB61+AB62+AB63+AB64+AB65+AB66)/MAX(Time!AB26,1)*Inputs!$F$169</f>
        <v>1.3461778365149</v>
      </c>
      <c r="AC88" s="11" t="n">
        <f aca="false">(1-AC81)*(AC60+AC61+AC62+AC63+AC64+AC65+AC66)/MAX(Time!AC26,1)*Inputs!$F$169</f>
        <v>1.37793912102955</v>
      </c>
      <c r="AD88" s="11" t="n">
        <f aca="false">(1-AD81)*(AD60+AD61+AD62+AD63+AD64+AD65+AD66)/MAX(Time!AD26,1)*Inputs!$F$169</f>
        <v>1.37292823672216</v>
      </c>
      <c r="AE88" s="11" t="n">
        <f aca="false">(1-AE81)*(AE60+AE61+AE62+AE63+AE64+AE65+AE66)/MAX(Time!AE26,1)*Inputs!$F$169</f>
        <v>1.38971191488488</v>
      </c>
      <c r="AF88" s="11" t="n">
        <f aca="false">(1-AF81)*(AF60+AF61+AF62+AF63+AF64+AF65+AF66)/MAX(Time!AF26,1)*Inputs!$F$169</f>
        <v>1.38516674423719</v>
      </c>
      <c r="AG88" s="11" t="n">
        <f aca="false">(1-AG81)*(AG60+AG61+AG62+AG63+AG64+AG65+AG66)/MAX(Time!AG26,1)*Inputs!$F$169</f>
        <v>1.44216129387174</v>
      </c>
      <c r="AH88" s="11" t="n">
        <f aca="false">(1-AH81)*(AH60+AH61+AH62+AH63+AH64+AH65+AH66)/MAX(Time!AH26,1)*Inputs!$F$169</f>
        <v>1.43225732939668</v>
      </c>
      <c r="AI88" s="11" t="n">
        <f aca="false">(1-AI81)*(AI60+AI61+AI62+AI63+AI64+AI65+AI66)/MAX(Time!AI26,1)*Inputs!$F$169</f>
        <v>1.46715445452904</v>
      </c>
      <c r="AJ88" s="11" t="n">
        <f aca="false">(1-AJ81)*(AJ60+AJ61+AJ62+AJ63+AJ64+AJ65+AJ66)/MAX(Time!AJ26,1)*Inputs!$F$169</f>
        <v>1.45849419681733</v>
      </c>
      <c r="AK88" s="11" t="n">
        <f aca="false">(1-AK81)*(AK60+AK61+AK62+AK63+AK64+AK65+AK66)/MAX(Time!AK26,1)*Inputs!$F$169</f>
        <v>1.49298188271395</v>
      </c>
      <c r="AL88" s="11" t="n">
        <f aca="false">(1-AL81)*(AL60+AL61+AL62+AL63+AL64+AL65+AL66)/MAX(Time!AL26,1)*Inputs!$F$169</f>
        <v>1.48913042451445</v>
      </c>
      <c r="AM88" s="11" t="n">
        <f aca="false">(1-AM81)*(AM60+AM61+AM62+AM63+AM64+AM65+AM66)/MAX(Time!AM26,1)*Inputs!$F$169</f>
        <v>1.51606921085502</v>
      </c>
      <c r="AN88" s="11" t="n">
        <f aca="false">(1-AN81)*(AN60+AN61+AN62+AN63+AN64+AN65+AN66)/MAX(Time!AN26,1)*Inputs!$F$169</f>
        <v>1.50902370235555</v>
      </c>
      <c r="AO88" s="11" t="n">
        <f aca="false">(1-AO81)*(AO60+AO61+AO62+AO63+AO64+AO65+AO66)/MAX(Time!AO26,1)*Inputs!$F$169</f>
        <v>1.562866195722</v>
      </c>
      <c r="AP88" s="11" t="n">
        <f aca="false">(1-AP81)*(AP60+AP61+AP62+AP63+AP64+AP65+AP66)/MAX(Time!AP26,1)*Inputs!$F$169</f>
        <v>1.55220571262223</v>
      </c>
      <c r="AQ88" s="11" t="n">
        <f aca="false">(1-AQ81)*(AQ60+AQ61+AQ62+AQ63+AQ64+AQ65+AQ66)/MAX(Time!AQ26,1)*Inputs!$F$169</f>
        <v>1.59009750691547</v>
      </c>
      <c r="AR88" s="11" t="n">
        <f aca="false">(1-AR81)*(AR60+AR61+AR62+AR63+AR64+AR65+AR66)/MAX(Time!AR26,1)*Inputs!$F$169</f>
        <v>1.58078483259113</v>
      </c>
      <c r="AS88" s="11" t="n">
        <f aca="false">(1-AS81)*(AS60+AS61+AS62+AS63+AS64+AS65+AS66)/MAX(Time!AS26,1)*Inputs!$F$169</f>
        <v>1.61823959208551</v>
      </c>
      <c r="AT88" s="11" t="n">
        <f aca="false">(1-AT81)*(AT60+AT61+AT62+AT63+AT64+AT65+AT66)/MAX(Time!AT26,1)*Inputs!$F$169</f>
        <v>1.612501602952</v>
      </c>
      <c r="AU88" s="11" t="n">
        <f aca="false">(1-AU81)*(AU60+AU61+AU62+AU63+AU64+AU65+AU66)/MAX(Time!AU26,1)*Inputs!$F$169</f>
        <v>1.63243218712392</v>
      </c>
      <c r="AV88" s="11" t="n">
        <f aca="false">(1-AV81)*(AV60+AV61+AV62+AV63+AV64+AV65+AV66)/MAX(Time!AV26,1)*Inputs!$F$169</f>
        <v>1.62719227547412</v>
      </c>
      <c r="AW88" s="11" t="n">
        <f aca="false">(1-AW81)*(AW60+AW61+AW62+AW63+AW64+AW65+AW66)/MAX(Time!AW26,1)*Inputs!$F$169</f>
        <v>1.69428854451474</v>
      </c>
      <c r="AX88" s="11" t="n">
        <f aca="false">(1-AX81)*(AX60+AX61+AX62+AX63+AX64+AX65+AX66)/MAX(Time!AX26,1)*Inputs!$F$169</f>
        <v>1.68280459636549</v>
      </c>
      <c r="AY88" s="11" t="n">
        <f aca="false">(1-AY81)*(AY60+AY61+AY62+AY63+AY64+AY65+AY66)/MAX(Time!AY26,1)*Inputs!$F$169</f>
        <v>1.72395838506056</v>
      </c>
      <c r="AZ88" s="11" t="n">
        <f aca="false">(1-AZ81)*(AZ60+AZ61+AZ62+AZ63+AZ64+AZ65+AZ66)/MAX(Time!AZ26,1)*Inputs!$F$169</f>
        <v>1.71393499609092</v>
      </c>
      <c r="BA88" s="11" t="n">
        <f aca="false">(1-BA81)*(BA60+BA61+BA62+BA63+BA64+BA65+BA66)/MAX(Time!BA26,1)*Inputs!$F$169</f>
        <v>1.75461872719478</v>
      </c>
      <c r="BB88" s="11" t="n">
        <f aca="false">(1-BB81)*(BB60+BB61+BB62+BB63+BB64+BB65+BB66)/MAX(Time!BB26,1)*Inputs!$F$169</f>
        <v>1.7502436757666</v>
      </c>
      <c r="BC88" s="11" t="n">
        <f aca="false">(1-BC81)*(BC60+BC61+BC62+BC63+BC64+BC65+BC66)/MAX(Time!BC26,1)*Inputs!$F$169</f>
        <v>1.7820572963113</v>
      </c>
      <c r="BD88" s="11" t="n">
        <f aca="false">(1-BD81)*(BD60+BD61+BD62+BD63+BD64+BD65+BD66)/MAX(Time!BD26,1)*Inputs!$F$169</f>
        <v>1.77392883681916</v>
      </c>
      <c r="BE88" s="11" t="n">
        <f aca="false">(1-BE81)*(BE60+BE61+BE62+BE63+BE64+BE65+BE66)/MAX(Time!BE26,1)*Inputs!$F$169</f>
        <v>1.83737938632279</v>
      </c>
      <c r="BF88" s="11" t="n">
        <f aca="false">(1-BF81)*(BF60+BF61+BF62+BF63+BF64+BF65+BF66)/MAX(Time!BF26,1)*Inputs!$F$169</f>
        <v>1.8249991069811</v>
      </c>
      <c r="BG88" s="11" t="n">
        <f aca="false">(1-BG81)*(BG60+BG61+BG62+BG63+BG64+BG65+BG66)/MAX(Time!BG26,1)*Inputs!$F$169</f>
        <v>1.86970607020093</v>
      </c>
      <c r="BH88" s="11" t="n">
        <f aca="false">(1-BH81)*(BH60+BH61+BH62+BH63+BH64+BH65+BH66)/MAX(Time!BH26,1)*Inputs!$F$169</f>
        <v>1.85890846086119</v>
      </c>
      <c r="BI88" s="11" t="n">
        <f aca="false">(1-BI81)*(BI60+BI61+BI62+BI63+BI64+BI65+BI66)/MAX(Time!BI26,1)*Inputs!$F$169</f>
        <v>1.90310615754155</v>
      </c>
      <c r="BJ88" s="11" t="n">
        <f aca="false">(1-BJ81)*(BJ60+BJ61+BJ62+BJ63+BJ64+BJ65+BJ66)/MAX(Time!BJ26,1)*Inputs!$F$169</f>
        <v>1.89651309351569</v>
      </c>
      <c r="BK88" s="11" t="n">
        <f aca="false">(1-BK81)*(BK60+BK61+BK62+BK63+BK64+BK65+BK66)/MAX(Time!BK26,1)*Inputs!$F$169</f>
        <v>1.92021063061234</v>
      </c>
      <c r="BL88" s="11" t="n">
        <f aca="false">(1-BL81)*(BL60+BL61+BL62+BL63+BL64+BL65+BL66)/MAX(Time!BL26,1)*Inputs!$F$169</f>
        <v>1.9141394817361</v>
      </c>
      <c r="BM88" s="11" t="n">
        <f aca="false">(1-BM81)*(BM60+BM61+BM62+BM63+BM64+BM65+BM66)/MAX(Time!BM26,1)*Inputs!$F$169</f>
        <v>1.99317410897378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0</v>
      </c>
      <c r="P90" s="11" t="n">
        <f aca="false">P83+P84-P85-P86-P87-P88-P89</f>
        <v>14.5543347288047</v>
      </c>
      <c r="Q90" s="11" t="n">
        <f aca="false">Q83+Q84-Q85-Q86-Q87-Q88-Q89</f>
        <v>15.0562710500922</v>
      </c>
      <c r="R90" s="11" t="n">
        <f aca="false">R83+R84-R85-R86-R87-R88-R89</f>
        <v>14.9099850689411</v>
      </c>
      <c r="S90" s="11" t="n">
        <f aca="false">S83+S84-S85-S86-S87-S88-S89</f>
        <v>15.1996562729838</v>
      </c>
      <c r="T90" s="11" t="n">
        <f aca="false">T83+T84-T85-T86-T87-T88-T89</f>
        <v>15.0095278527826</v>
      </c>
      <c r="U90" s="11" t="n">
        <f aca="false">U83+U84-U85-U86-U87-U88-U89</f>
        <v>15.223430403768</v>
      </c>
      <c r="V90" s="11" t="n">
        <f aca="false">V83+V84-V85-V86-V87-V88-V89</f>
        <v>15.1112759990826</v>
      </c>
      <c r="W90" s="11" t="n">
        <f aca="false">W83+W84-W85-W86-W87-W88-W89</f>
        <v>15.4057993114433</v>
      </c>
      <c r="X90" s="11" t="n">
        <f aca="false">X83+X84-X85-X86-X87-X88-X89</f>
        <v>15.2147499157925</v>
      </c>
      <c r="Y90" s="11" t="n">
        <f aca="false">Y83+Y84-Y85-Y86-Y87-Y88-Y89</f>
        <v>15.5125417086406</v>
      </c>
      <c r="Z90" s="11" t="n">
        <f aca="false">Z83+Z84-Z85-Z86-Z87-Z88-Z89</f>
        <v>15.3207157024876</v>
      </c>
      <c r="AA90" s="11" t="n">
        <f aca="false">AA83+AA84-AA85-AA86-AA87-AA88-AA89</f>
        <v>15.620884959601</v>
      </c>
      <c r="AB90" s="11" t="n">
        <f aca="false">AB83+AB84-AB85-AB86-AB87-AB88-AB89</f>
        <v>15.4285447642972</v>
      </c>
      <c r="AC90" s="11" t="n">
        <f aca="false">AC83+AC84-AC85-AC86-AC87-AC88-AC89</f>
        <v>15.6506255658261</v>
      </c>
      <c r="AD90" s="11" t="n">
        <f aca="false">AD83+AD84-AD85-AD86-AD87-AD88-AD89</f>
        <v>15.5385283868658</v>
      </c>
      <c r="AE90" s="11" t="n">
        <f aca="false">AE83+AE84-AE85-AE86-AE87-AE88-AE89</f>
        <v>15.6105795320882</v>
      </c>
      <c r="AF90" s="11" t="n">
        <f aca="false">AF83+AF84-AF85-AF86-AF87-AF88-AF89</f>
        <v>15.573560587394</v>
      </c>
      <c r="AG90" s="11" t="n">
        <f aca="false">AG83+AG84-AG85-AG86-AG87-AG88-AG89</f>
        <v>15.958847563443</v>
      </c>
      <c r="AH90" s="11" t="n">
        <f aca="false">AH83+AH84-AH85-AH86-AH87-AH88-AH89</f>
        <v>15.7647917234334</v>
      </c>
      <c r="AI90" s="11" t="n">
        <f aca="false">AI83+AI84-AI85-AI86-AI87-AI88-AI89</f>
        <v>16.0763364138847</v>
      </c>
      <c r="AJ90" s="11" t="n">
        <f aca="false">AJ83+AJ84-AJ85-AJ86-AJ87-AJ88-AJ89</f>
        <v>15.8816105691348</v>
      </c>
      <c r="AK90" s="11" t="n">
        <f aca="false">AK83+AK84-AK85-AK86-AK87-AK88-AK89</f>
        <v>16.1125101201705</v>
      </c>
      <c r="AL90" s="11" t="n">
        <f aca="false">AL83+AL84-AL85-AL86-AL87-AL88-AL89</f>
        <v>16.0004029201446</v>
      </c>
      <c r="AM90" s="11" t="n">
        <f aca="false">AM83+AM84-AM85-AM86-AM87-AM88-AM89</f>
        <v>16.3191816158652</v>
      </c>
      <c r="AN90" s="11" t="n">
        <f aca="false">AN83+AN84-AN85-AN86-AN87-AN88-AN89</f>
        <v>16.1230606246003</v>
      </c>
      <c r="AO90" s="11" t="n">
        <f aca="false">AO83+AO84-AO85-AO86-AO87-AO88-AO89</f>
        <v>16.4414312884098</v>
      </c>
      <c r="AP90" s="11" t="n">
        <f aca="false">AP83+AP84-AP85-AP86-AP87-AP88-AP89</f>
        <v>16.2449795141714</v>
      </c>
      <c r="AQ90" s="11" t="n">
        <f aca="false">AQ83+AQ84-AQ85-AQ86-AQ87-AQ88-AQ89</f>
        <v>16.5688517910704</v>
      </c>
      <c r="AR90" s="11" t="n">
        <f aca="false">AR83+AR84-AR85-AR86-AR87-AR88-AR89</f>
        <v>16.3715523345893</v>
      </c>
      <c r="AS90" s="11" t="n">
        <f aca="false">AS83+AS84-AS85-AS86-AS87-AS88-AS89</f>
        <v>16.6119625517341</v>
      </c>
      <c r="AT90" s="11" t="n">
        <f aca="false">AT83+AT84-AT85-AT86-AT87-AT88-AT89</f>
        <v>16.5002551233608</v>
      </c>
      <c r="AU90" s="11" t="n">
        <f aca="false">AU83+AU84-AU85-AU86-AU87-AU88-AU89</f>
        <v>16.5828445407062</v>
      </c>
      <c r="AV90" s="11" t="n">
        <f aca="false">AV83+AV84-AV85-AV86-AV87-AV88-AV89</f>
        <v>16.5517950755994</v>
      </c>
      <c r="AW90" s="11" t="n">
        <f aca="false">AW83+AW84-AW85-AW86-AW87-AW88-AW89</f>
        <v>16.9633057987635</v>
      </c>
      <c r="AX90" s="11" t="n">
        <f aca="false">AX83+AX84-AX85-AX86-AX87-AX88-AX89</f>
        <v>16.7642792557036</v>
      </c>
      <c r="AY90" s="11" t="n">
        <f aca="false">AY83+AY84-AY85-AY86-AY87-AY88-AY89</f>
        <v>17.1015125223457</v>
      </c>
      <c r="AZ90" s="11" t="n">
        <f aca="false">AZ83+AZ84-AZ85-AZ86-AZ87-AZ88-AZ89</f>
        <v>16.9014362264854</v>
      </c>
      <c r="BA90" s="11" t="n">
        <f aca="false">BA83+BA84-BA85-BA86-BA87-BA88-BA89</f>
        <v>17.1521046702019</v>
      </c>
      <c r="BB90" s="11" t="n">
        <f aca="false">BB83+BB84-BB85-BB86-BB87-BB88-BB89</f>
        <v>17.0401962708362</v>
      </c>
      <c r="BC90" s="11" t="n">
        <f aca="false">BC83+BC84-BC85-BC86-BC87-BC88-BC89</f>
        <v>17.3877113548194</v>
      </c>
      <c r="BD90" s="11" t="n">
        <f aca="false">BD83+BD84-BD85-BD86-BD87-BD88-BD89</f>
        <v>17.1856318773339</v>
      </c>
      <c r="BE90" s="11" t="n">
        <f aca="false">BE83+BE84-BE85-BE86-BE87-BE88-BE89</f>
        <v>17.5277388811369</v>
      </c>
      <c r="BF90" s="11" t="n">
        <f aca="false">BF83+BF84-BF85-BF86-BF87-BF88-BF89</f>
        <v>17.3259449903788</v>
      </c>
      <c r="BG90" s="11" t="n">
        <f aca="false">BG83+BG84-BG85-BG86-BG87-BG88-BG89</f>
        <v>17.6776609461214</v>
      </c>
      <c r="BH90" s="11" t="n">
        <f aca="false">BH83+BH84-BH85-BH86-BH87-BH88-BH89</f>
        <v>17.4745880391243</v>
      </c>
      <c r="BI90" s="11" t="n">
        <f aca="false">BI83+BI84-BI85-BI86-BI87-BI88-BI89</f>
        <v>17.7363224947846</v>
      </c>
      <c r="BJ90" s="11" t="n">
        <f aca="false">BJ83+BJ84-BJ85-BJ86-BJ87-BJ88-BJ89</f>
        <v>17.6252688731226</v>
      </c>
      <c r="BK90" s="11" t="n">
        <f aca="false">BK83+BK84-BK85-BK86-BK87-BK88-BK89</f>
        <v>17.7204597102193</v>
      </c>
      <c r="BL90" s="11" t="n">
        <f aca="false">BL83+BL84-BL85-BL86-BL87-BL88-BL89</f>
        <v>17.6965550763135</v>
      </c>
      <c r="BM90" s="11" t="n">
        <f aca="false">BM83+BM84-BM85-BM86-BM87-BM88-BM89</f>
        <v>18.1382750818676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0</v>
      </c>
      <c r="P91" s="11" t="n">
        <f aca="false">P90-O90</f>
        <v>14.5543347288047</v>
      </c>
      <c r="Q91" s="11" t="n">
        <f aca="false">Q90-P90</f>
        <v>0.501936321287438</v>
      </c>
      <c r="R91" s="11" t="n">
        <f aca="false">R90-Q90</f>
        <v>-0.146285981151081</v>
      </c>
      <c r="S91" s="11" t="n">
        <f aca="false">S90-R90</f>
        <v>0.289671204042701</v>
      </c>
      <c r="T91" s="11" t="n">
        <f aca="false">T90-S90</f>
        <v>-0.190128420201219</v>
      </c>
      <c r="U91" s="11" t="n">
        <f aca="false">U90-T90</f>
        <v>0.213902550985431</v>
      </c>
      <c r="V91" s="11" t="n">
        <f aca="false">V90-U90</f>
        <v>-0.112154404685375</v>
      </c>
      <c r="W91" s="11" t="n">
        <f aca="false">W90-V90</f>
        <v>0.294523312360644</v>
      </c>
      <c r="X91" s="11" t="n">
        <f aca="false">X90-W90</f>
        <v>-0.191049395650802</v>
      </c>
      <c r="Y91" s="11" t="n">
        <f aca="false">Y90-X90</f>
        <v>0.297791792848098</v>
      </c>
      <c r="Z91" s="11" t="n">
        <f aca="false">Z90-Y90</f>
        <v>-0.191826006152938</v>
      </c>
      <c r="AA91" s="11" t="n">
        <f aca="false">AA90-Z90</f>
        <v>0.30016925711336</v>
      </c>
      <c r="AB91" s="11" t="n">
        <f aca="false">AB90-AA90</f>
        <v>-0.19234019530378</v>
      </c>
      <c r="AC91" s="11" t="n">
        <f aca="false">AC90-AB90</f>
        <v>0.222080801528886</v>
      </c>
      <c r="AD91" s="11" t="n">
        <f aca="false">AD90-AC90</f>
        <v>-0.112097178960303</v>
      </c>
      <c r="AE91" s="11" t="n">
        <f aca="false">AE90-AD90</f>
        <v>0.072051145222396</v>
      </c>
      <c r="AF91" s="11" t="n">
        <f aca="false">AF90-AE90</f>
        <v>-0.0370189446942</v>
      </c>
      <c r="AG91" s="11" t="n">
        <f aca="false">AG90-AF90</f>
        <v>0.385286976049027</v>
      </c>
      <c r="AH91" s="11" t="n">
        <f aca="false">AH90-AG90</f>
        <v>-0.194055840009575</v>
      </c>
      <c r="AI91" s="11" t="n">
        <f aca="false">AI90-AH90</f>
        <v>0.311544690451285</v>
      </c>
      <c r="AJ91" s="11" t="n">
        <f aca="false">AJ90-AI90</f>
        <v>-0.194725844749968</v>
      </c>
      <c r="AK91" s="11" t="n">
        <f aca="false">AK90-AJ90</f>
        <v>0.230899551035762</v>
      </c>
      <c r="AL91" s="11" t="n">
        <f aca="false">AL90-AK90</f>
        <v>-0.112107200025918</v>
      </c>
      <c r="AM91" s="11" t="n">
        <f aca="false">AM90-AL90</f>
        <v>0.318778695720603</v>
      </c>
      <c r="AN91" s="11" t="n">
        <f aca="false">AN90-AM90</f>
        <v>-0.196120991264891</v>
      </c>
      <c r="AO91" s="11" t="n">
        <f aca="false">AO90-AN90</f>
        <v>0.3183706638095</v>
      </c>
      <c r="AP91" s="11" t="n">
        <f aca="false">AP90-AO90</f>
        <v>-0.196451774238405</v>
      </c>
      <c r="AQ91" s="11" t="n">
        <f aca="false">AQ90-AP90</f>
        <v>0.323872276899035</v>
      </c>
      <c r="AR91" s="11" t="n">
        <f aca="false">AR90-AQ90</f>
        <v>-0.197299456481137</v>
      </c>
      <c r="AS91" s="11" t="n">
        <f aca="false">AS90-AR90</f>
        <v>0.240410217144831</v>
      </c>
      <c r="AT91" s="11" t="n">
        <f aca="false">AT90-AS90</f>
        <v>-0.111707428373322</v>
      </c>
      <c r="AU91" s="11" t="n">
        <f aca="false">AU90-AT90</f>
        <v>0.0825894173453641</v>
      </c>
      <c r="AV91" s="11" t="n">
        <f aca="false">AV90-AU90</f>
        <v>-0.0310494651068218</v>
      </c>
      <c r="AW91" s="11" t="n">
        <f aca="false">AW90-AV90</f>
        <v>0.411510723164096</v>
      </c>
      <c r="AX91" s="11" t="n">
        <f aca="false">AX90-AW90</f>
        <v>-0.199026543059901</v>
      </c>
      <c r="AY91" s="11" t="n">
        <f aca="false">AY90-AX90</f>
        <v>0.337233266642187</v>
      </c>
      <c r="AZ91" s="11" t="n">
        <f aca="false">AZ90-AY90</f>
        <v>-0.200076295860292</v>
      </c>
      <c r="BA91" s="11" t="n">
        <f aca="false">BA90-AZ90</f>
        <v>0.250668443716499</v>
      </c>
      <c r="BB91" s="11" t="n">
        <f aca="false">BB90-BA90</f>
        <v>-0.111908399365781</v>
      </c>
      <c r="BC91" s="11" t="n">
        <f aca="false">BC90-BB90</f>
        <v>0.347515083983275</v>
      </c>
      <c r="BD91" s="11" t="n">
        <f aca="false">BD90-BC90</f>
        <v>-0.202079477485508</v>
      </c>
      <c r="BE91" s="11" t="n">
        <f aca="false">BE90-BD90</f>
        <v>0.342107003802965</v>
      </c>
      <c r="BF91" s="11" t="n">
        <f aca="false">BF90-BE90</f>
        <v>-0.201793890758086</v>
      </c>
      <c r="BG91" s="11" t="n">
        <f aca="false">BG90-BF90</f>
        <v>0.351715955742623</v>
      </c>
      <c r="BH91" s="11" t="n">
        <f aca="false">BH90-BG90</f>
        <v>-0.203072906997186</v>
      </c>
      <c r="BI91" s="11" t="n">
        <f aca="false">BI90-BH90</f>
        <v>0.261734455660381</v>
      </c>
      <c r="BJ91" s="11" t="n">
        <f aca="false">BJ90-BI90</f>
        <v>-0.111053621662045</v>
      </c>
      <c r="BK91" s="11" t="n">
        <f aca="false">BK90-BJ90</f>
        <v>0.0951908370967445</v>
      </c>
      <c r="BL91" s="11" t="n">
        <f aca="false">BL90-BK90</f>
        <v>-0.0239046339058753</v>
      </c>
      <c r="BM91" s="11" t="n">
        <f aca="false">BM90-BL90</f>
        <v>0.441720005554121</v>
      </c>
      <c r="BN91" s="11" t="n">
        <f aca="false">BN90-BM90</f>
        <v>-18.1382750818676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0</v>
      </c>
      <c r="BN92" s="11" t="n">
        <f aca="false">Time!BN32*Inputs!$F$65*Inputs!$F$35</f>
        <v>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0</v>
      </c>
      <c r="P7" s="9" t="n">
        <f aca="false">MAX(0,MIN(Time!P28,60)-MIN(Time!P27,60))</f>
        <v>1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6</v>
      </c>
      <c r="Z7" s="9" t="n">
        <f aca="false">MAX(0,MIN(Time!Z28,60)-MIN(Time!Z27,60))</f>
        <v>5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0</v>
      </c>
      <c r="Z8" s="9" t="n">
        <f aca="false">MAX(0,MIN(Time!Z28,96)-MIN(MAX(Time!Z27,60),96))</f>
        <v>1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6</v>
      </c>
      <c r="AF8" s="9" t="n">
        <f aca="false">MAX(0,MIN(Time!AF28,96)-MIN(MAX(Time!AF27,60),96))</f>
        <v>5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0</v>
      </c>
      <c r="AF9" s="9" t="n">
        <f aca="false">Time!AF25-AF7-AF8</f>
        <v>1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6</v>
      </c>
      <c r="BN9" s="9" t="n">
        <f aca="false">Time!BN25-BN7-BN8</f>
        <v>5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801.443063506063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0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3.60649378577728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21.6389627146637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21.6389627146637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21.6389627146637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21.6389627146637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21.6389627146637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21.6389627146637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21.6389627146637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21.6389627146637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21.6389627146637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21.2382411829107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19.2346335241455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19.2346335241455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19.2346335241455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19.2346335241455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19.2346335241455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19.2346335241455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19.2346335241455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19.2346335241455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19.2346335241455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19.2346335241455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19.2346335241455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19.2346335241455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19.2346335241455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19.2346335241455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19.2346335241455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19.2346335241455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19.2346335241455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19.2346335241455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19.2346335241455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19.2346335241455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19.2346335241455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19.2346335241455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19.2346335241455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19.2346335241455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19.2346335241455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19.2346335241455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19.2346335241455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19.2346335241455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19.2346335241455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16.1624351140389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0.801443063506063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0.801443063506063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0.801443063506063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0.801443063506063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0.801443063506063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0.801443063506063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0.801443063506063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0.801443063506063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0.801443063506063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0.667869219588386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216.389627146637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0</v>
      </c>
      <c r="P11" s="11" t="n">
        <f aca="false">(Inputs!$F$174*Funding!$F$76/Inputs!$F$175+Inputs!$F$176*Funding!$F$76/Inputs!$F$177+Inputs!$F$178*Funding!$F$76/Inputs!$F$179)*P7</f>
        <v>3.60649378577728</v>
      </c>
      <c r="Q11" s="11" t="n">
        <f aca="false">(Inputs!$F$174*Funding!$F$76/Inputs!$F$175+Inputs!$F$176*Funding!$F$76/Inputs!$F$177+Inputs!$F$178*Funding!$F$76/Inputs!$F$179)*Q7</f>
        <v>21.6389627146637</v>
      </c>
      <c r="R11" s="11" t="n">
        <f aca="false">(Inputs!$F$174*Funding!$F$76/Inputs!$F$175+Inputs!$F$176*Funding!$F$76/Inputs!$F$177+Inputs!$F$178*Funding!$F$76/Inputs!$F$179)*R7</f>
        <v>21.6389627146637</v>
      </c>
      <c r="S11" s="11" t="n">
        <f aca="false">(Inputs!$F$174*Funding!$F$76/Inputs!$F$175+Inputs!$F$176*Funding!$F$76/Inputs!$F$177+Inputs!$F$178*Funding!$F$76/Inputs!$F$179)*S7</f>
        <v>21.6389627146637</v>
      </c>
      <c r="T11" s="11" t="n">
        <f aca="false">(Inputs!$F$174*Funding!$F$76/Inputs!$F$175+Inputs!$F$176*Funding!$F$76/Inputs!$F$177+Inputs!$F$178*Funding!$F$76/Inputs!$F$179)*T7</f>
        <v>21.6389627146637</v>
      </c>
      <c r="U11" s="11" t="n">
        <f aca="false">(Inputs!$F$174*Funding!$F$76/Inputs!$F$175+Inputs!$F$176*Funding!$F$76/Inputs!$F$177+Inputs!$F$178*Funding!$F$76/Inputs!$F$179)*U7</f>
        <v>21.6389627146637</v>
      </c>
      <c r="V11" s="11" t="n">
        <f aca="false">(Inputs!$F$174*Funding!$F$76/Inputs!$F$175+Inputs!$F$176*Funding!$F$76/Inputs!$F$177+Inputs!$F$178*Funding!$F$76/Inputs!$F$179)*V7</f>
        <v>21.6389627146637</v>
      </c>
      <c r="W11" s="11" t="n">
        <f aca="false">(Inputs!$F$174*Funding!$F$76/Inputs!$F$175+Inputs!$F$176*Funding!$F$76/Inputs!$F$177+Inputs!$F$178*Funding!$F$76/Inputs!$F$179)*W7</f>
        <v>21.6389627146637</v>
      </c>
      <c r="X11" s="11" t="n">
        <f aca="false">(Inputs!$F$174*Funding!$F$76/Inputs!$F$175+Inputs!$F$176*Funding!$F$76/Inputs!$F$177+Inputs!$F$178*Funding!$F$76/Inputs!$F$179)*X7</f>
        <v>21.6389627146637</v>
      </c>
      <c r="Y11" s="11" t="n">
        <f aca="false">(Inputs!$F$174*Funding!$F$76/Inputs!$F$175+Inputs!$F$176*Funding!$F$76/Inputs!$F$177+Inputs!$F$178*Funding!$F$76/Inputs!$F$179)*Y7</f>
        <v>21.6389627146637</v>
      </c>
      <c r="Z11" s="11" t="n">
        <f aca="false">(Inputs!$F$174*Funding!$F$76/Inputs!$F$175+Inputs!$F$176*Funding!$F$76/Inputs!$F$177+Inputs!$F$178*Funding!$F$76/Inputs!$F$179)*Z7</f>
        <v>18.0324689288864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585.053436359426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0</v>
      </c>
      <c r="Z12" s="11" t="n">
        <f aca="false">Z10-Z11</f>
        <v>3.20577225402425</v>
      </c>
      <c r="AA12" s="11" t="n">
        <f aca="false">AA10-AA11</f>
        <v>19.2346335241455</v>
      </c>
      <c r="AB12" s="11" t="n">
        <f aca="false">AB10-AB11</f>
        <v>19.2346335241455</v>
      </c>
      <c r="AC12" s="11" t="n">
        <f aca="false">AC10-AC11</f>
        <v>19.2346335241455</v>
      </c>
      <c r="AD12" s="11" t="n">
        <f aca="false">AD10-AD11</f>
        <v>19.2346335241455</v>
      </c>
      <c r="AE12" s="11" t="n">
        <f aca="false">AE10-AE11</f>
        <v>19.2346335241455</v>
      </c>
      <c r="AF12" s="11" t="n">
        <f aca="false">AF10-AF11</f>
        <v>19.2346335241455</v>
      </c>
      <c r="AG12" s="11" t="n">
        <f aca="false">AG10-AG11</f>
        <v>19.2346335241455</v>
      </c>
      <c r="AH12" s="11" t="n">
        <f aca="false">AH10-AH11</f>
        <v>19.2346335241455</v>
      </c>
      <c r="AI12" s="11" t="n">
        <f aca="false">AI10-AI11</f>
        <v>19.2346335241455</v>
      </c>
      <c r="AJ12" s="11" t="n">
        <f aca="false">AJ10-AJ11</f>
        <v>19.2346335241455</v>
      </c>
      <c r="AK12" s="11" t="n">
        <f aca="false">AK10-AK11</f>
        <v>19.2346335241455</v>
      </c>
      <c r="AL12" s="11" t="n">
        <f aca="false">AL10-AL11</f>
        <v>19.2346335241455</v>
      </c>
      <c r="AM12" s="11" t="n">
        <f aca="false">AM10-AM11</f>
        <v>19.2346335241455</v>
      </c>
      <c r="AN12" s="11" t="n">
        <f aca="false">AN10-AN11</f>
        <v>19.2346335241455</v>
      </c>
      <c r="AO12" s="11" t="n">
        <f aca="false">AO10-AO11</f>
        <v>19.2346335241455</v>
      </c>
      <c r="AP12" s="11" t="n">
        <f aca="false">AP10-AP11</f>
        <v>19.2346335241455</v>
      </c>
      <c r="AQ12" s="11" t="n">
        <f aca="false">AQ10-AQ11</f>
        <v>19.2346335241455</v>
      </c>
      <c r="AR12" s="11" t="n">
        <f aca="false">AR10-AR11</f>
        <v>19.2346335241455</v>
      </c>
      <c r="AS12" s="11" t="n">
        <f aca="false">AS10-AS11</f>
        <v>19.2346335241455</v>
      </c>
      <c r="AT12" s="11" t="n">
        <f aca="false">AT10-AT11</f>
        <v>19.2346335241455</v>
      </c>
      <c r="AU12" s="11" t="n">
        <f aca="false">AU10-AU11</f>
        <v>19.2346335241455</v>
      </c>
      <c r="AV12" s="11" t="n">
        <f aca="false">AV10-AV11</f>
        <v>19.2346335241455</v>
      </c>
      <c r="AW12" s="11" t="n">
        <f aca="false">AW10-AW11</f>
        <v>19.2346335241455</v>
      </c>
      <c r="AX12" s="11" t="n">
        <f aca="false">AX10-AX11</f>
        <v>19.2346335241455</v>
      </c>
      <c r="AY12" s="11" t="n">
        <f aca="false">AY10-AY11</f>
        <v>19.2346335241455</v>
      </c>
      <c r="AZ12" s="11" t="n">
        <f aca="false">AZ10-AZ11</f>
        <v>19.2346335241455</v>
      </c>
      <c r="BA12" s="11" t="n">
        <f aca="false">BA10-BA11</f>
        <v>19.2346335241455</v>
      </c>
      <c r="BB12" s="11" t="n">
        <f aca="false">BB10-BB11</f>
        <v>19.2346335241455</v>
      </c>
      <c r="BC12" s="11" t="n">
        <f aca="false">BC10-BC11</f>
        <v>19.2346335241455</v>
      </c>
      <c r="BD12" s="11" t="n">
        <f aca="false">BD10-BD11</f>
        <v>16.1624351140389</v>
      </c>
      <c r="BE12" s="11" t="n">
        <f aca="false">BE10-BE11</f>
        <v>0.801443063506063</v>
      </c>
      <c r="BF12" s="11" t="n">
        <f aca="false">BF10-BF11</f>
        <v>0.801443063506063</v>
      </c>
      <c r="BG12" s="11" t="n">
        <f aca="false">BG10-BG11</f>
        <v>0.801443063506063</v>
      </c>
      <c r="BH12" s="11" t="n">
        <f aca="false">BH10-BH11</f>
        <v>0.801443063506063</v>
      </c>
      <c r="BI12" s="11" t="n">
        <f aca="false">BI10-BI11</f>
        <v>0.801443063506063</v>
      </c>
      <c r="BJ12" s="11" t="n">
        <f aca="false">BJ10-BJ11</f>
        <v>0.801443063506063</v>
      </c>
      <c r="BK12" s="11" t="n">
        <f aca="false">BK10-BK11</f>
        <v>0.801443063506063</v>
      </c>
      <c r="BL12" s="11" t="n">
        <f aca="false">BL10-BL11</f>
        <v>0.801443063506063</v>
      </c>
      <c r="BM12" s="11" t="n">
        <f aca="false">BM10-BM11</f>
        <v>0.801443063506063</v>
      </c>
      <c r="BN12" s="11" t="n">
        <f aca="false">BN10-BN11</f>
        <v>0.667869219588386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183.182894150241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0</v>
      </c>
      <c r="P13" s="11" t="n">
        <f aca="false">IF(Time!P17&gt;=Time!$F$11,Waterfall!P33*Inputs!$F$102/100*Time!P26/365,0)</f>
        <v>1.66084600331333</v>
      </c>
      <c r="Q13" s="11" t="n">
        <f aca="false">IF(Time!Q17&gt;=Time!$F$11,Waterfall!Q33*Inputs!$F$102/100*Time!Q26/365,0)</f>
        <v>9.77543940492545</v>
      </c>
      <c r="R13" s="11" t="n">
        <f aca="false">IF(Time!R17&gt;=Time!$F$11,Waterfall!R33*Inputs!$F$102/100*Time!R26/365,0)</f>
        <v>9.39759926744945</v>
      </c>
      <c r="S13" s="11" t="n">
        <f aca="false">IF(Time!S17&gt;=Time!$F$11,Waterfall!S33*Inputs!$F$102/100*Time!S26/365,0)</f>
        <v>9.07155022406377</v>
      </c>
      <c r="T13" s="11" t="n">
        <f aca="false">IF(Time!T17&gt;=Time!$F$11,Waterfall!T33*Inputs!$F$102/100*Time!T26/365,0)</f>
        <v>9.06352187949399</v>
      </c>
      <c r="U13" s="11" t="n">
        <f aca="false">IF(Time!U17&gt;=Time!$F$11,Waterfall!U33*Inputs!$F$102/100*Time!U26/365,0)</f>
        <v>8.7686926378448</v>
      </c>
      <c r="V13" s="11" t="n">
        <f aca="false">IF(Time!V17&gt;=Time!$F$11,Waterfall!V33*Inputs!$F$102/100*Time!V26/365,0)</f>
        <v>8.68519876556749</v>
      </c>
      <c r="W13" s="11" t="n">
        <f aca="false">IF(Time!W17&gt;=Time!$F$11,Waterfall!W33*Inputs!$F$102/100*Time!W26/365,0)</f>
        <v>8.35063084951804</v>
      </c>
      <c r="X13" s="11" t="n">
        <f aca="false">IF(Time!X17&gt;=Time!$F$11,Waterfall!X33*Inputs!$F$102/100*Time!X26/365,0)</f>
        <v>8.28381099608403</v>
      </c>
      <c r="Y13" s="11" t="n">
        <f aca="false">IF(Time!Y17&gt;=Time!$F$11,Waterfall!Y33*Inputs!$F$102/100*Time!Y26/365,0)</f>
        <v>7.8279351191173</v>
      </c>
      <c r="Z13" s="11" t="n">
        <f aca="false">IF(Time!Z17&gt;=Time!$F$11,Waterfall!Z33*Inputs!$F$102/100*Time!Z26/365,0)</f>
        <v>7.75135642179111</v>
      </c>
      <c r="AA13" s="11" t="n">
        <f aca="false">IF(Time!AA17&gt;=Time!$F$11,Waterfall!AA33*Inputs!$F$102/100*Time!AA26/365,0)</f>
        <v>7.37030704210999</v>
      </c>
      <c r="AB13" s="11" t="n">
        <f aca="false">IF(Time!AB17&gt;=Time!$F$11,Waterfall!AB33*Inputs!$F$102/100*Time!AB26/365,0)</f>
        <v>7.55618227515991</v>
      </c>
      <c r="AC13" s="11" t="n">
        <f aca="false">IF(Time!AC17&gt;=Time!$F$11,Waterfall!AC33*Inputs!$F$102/100*Time!AC26/365,0)</f>
        <v>7.49591704554806</v>
      </c>
      <c r="AD13" s="11" t="n">
        <f aca="false">IF(Time!AD17&gt;=Time!$F$11,Waterfall!AD33*Inputs!$F$102/100*Time!AD26/365,0)</f>
        <v>7.59277328884531</v>
      </c>
      <c r="AE13" s="11" t="n">
        <f aca="false">IF(Time!AE17&gt;=Time!$F$11,Waterfall!AE33*Inputs!$F$102/100*Time!AE26/365,0)</f>
        <v>7.47620813938048</v>
      </c>
      <c r="AF13" s="11" t="n">
        <f aca="false">IF(Time!AF17&gt;=Time!$F$11,Waterfall!AF33*Inputs!$F$102/100*Time!AF26/365,0)</f>
        <v>7.56038040470957</v>
      </c>
      <c r="AG13" s="11" t="n">
        <f aca="false">IF(Time!AG17&gt;=Time!$F$11,Waterfall!AG33*Inputs!$F$102/100*Time!AG26/365,0)</f>
        <v>7.33892499514232</v>
      </c>
      <c r="AH13" s="11" t="n">
        <f aca="false">IF(Time!AH17&gt;=Time!$F$11,Waterfall!AH33*Inputs!$F$102/100*Time!AH26/365,0)</f>
        <v>7.33871543903232</v>
      </c>
      <c r="AI13" s="11" t="n">
        <f aca="false">IF(Time!AI17&gt;=Time!$F$11,Waterfall!AI33*Inputs!$F$102/100*Time!AI26/365,0)</f>
        <v>7.03609440001265</v>
      </c>
      <c r="AJ13" s="11" t="n">
        <f aca="false">IF(Time!AJ17&gt;=Time!$F$11,Waterfall!AJ33*Inputs!$F$102/100*Time!AJ26/365,0)</f>
        <v>6.91079073744557</v>
      </c>
      <c r="AK13" s="11" t="n">
        <f aca="false">IF(Time!AK17&gt;=Time!$F$11,Waterfall!AK33*Inputs!$F$102/100*Time!AK26/365,0)</f>
        <v>6.50132877202572</v>
      </c>
      <c r="AL13" s="11" t="n">
        <f aca="false">IF(Time!AL17&gt;=Time!$F$11,Waterfall!AL33*Inputs!$F$102/100*Time!AL26/365,0)</f>
        <v>5.38296229227513</v>
      </c>
      <c r="AM13" s="11" t="n">
        <f aca="false">IF(Time!AM17&gt;=Time!$F$11,Waterfall!AM33*Inputs!$F$102/100*Time!AM26/365,0)</f>
        <v>4.21207469326972</v>
      </c>
      <c r="AN13" s="11" t="n">
        <f aca="false">IF(Time!AN17&gt;=Time!$F$11,Waterfall!AN33*Inputs!$F$102/100*Time!AN26/365,0)</f>
        <v>2.94467982474433</v>
      </c>
      <c r="AO13" s="11" t="n">
        <f aca="false">IF(Time!AO17&gt;=Time!$F$11,Waterfall!AO33*Inputs!$F$102/100*Time!AO26/365,0)</f>
        <v>1.82897323137068</v>
      </c>
      <c r="AP13" s="11" t="n">
        <f aca="false">IF(Time!AP17&gt;=Time!$F$11,Waterfall!AP33*Inputs!$F$102/100*Time!AP26/365,0)</f>
        <v>0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1</v>
      </c>
      <c r="P14" s="6" t="n">
        <f aca="false">IF(Waterfall!P33&gt;0,MIN(1,Inputs!$F$180*(Waterfall!$F$32+MAX(0,Waterfall!O43))/Waterfall!P33),1)</f>
        <v>0.641546763863861</v>
      </c>
      <c r="Q14" s="6" t="n">
        <f aca="false">IF(Waterfall!Q33&gt;0,MIN(1,Inputs!$F$180*(Waterfall!$F$32+MAX(0,Waterfall!P43))/Waterfall!Q33),1)</f>
        <v>0.704807887713341</v>
      </c>
      <c r="R14" s="6" t="n">
        <f aca="false">IF(Waterfall!R33&gt;0,MIN(1,Inputs!$F$180*(Waterfall!$F$32+MAX(0,Waterfall!Q43))/Waterfall!R33),1)</f>
        <v>0.858533776396142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178.37248303985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0</v>
      </c>
      <c r="P15" s="11" t="n">
        <f aca="false">P13*P14</f>
        <v>1.0655103787019</v>
      </c>
      <c r="Q15" s="11" t="n">
        <f aca="false">Q13*Q14</f>
        <v>6.88980679845526</v>
      </c>
      <c r="R15" s="11" t="n">
        <f aca="false">R13*R14</f>
        <v>8.06815638814099</v>
      </c>
      <c r="S15" s="11" t="n">
        <f aca="false">S13*S14</f>
        <v>9.07155022406377</v>
      </c>
      <c r="T15" s="11" t="n">
        <f aca="false">T13*T14</f>
        <v>9.06352187949399</v>
      </c>
      <c r="U15" s="11" t="n">
        <f aca="false">U13*U14</f>
        <v>8.7686926378448</v>
      </c>
      <c r="V15" s="11" t="n">
        <f aca="false">V13*V14</f>
        <v>8.68519876556749</v>
      </c>
      <c r="W15" s="11" t="n">
        <f aca="false">W13*W14</f>
        <v>8.35063084951804</v>
      </c>
      <c r="X15" s="11" t="n">
        <f aca="false">X13*X14</f>
        <v>8.28381099608403</v>
      </c>
      <c r="Y15" s="11" t="n">
        <f aca="false">Y13*Y14</f>
        <v>7.8279351191173</v>
      </c>
      <c r="Z15" s="11" t="n">
        <f aca="false">Z13*Z14</f>
        <v>7.75135642179111</v>
      </c>
      <c r="AA15" s="11" t="n">
        <f aca="false">AA13*AA14</f>
        <v>7.37030704210999</v>
      </c>
      <c r="AB15" s="11" t="n">
        <f aca="false">AB13*AB14</f>
        <v>7.55618227515991</v>
      </c>
      <c r="AC15" s="11" t="n">
        <f aca="false">AC13*AC14</f>
        <v>7.49591704554806</v>
      </c>
      <c r="AD15" s="11" t="n">
        <f aca="false">AD13*AD14</f>
        <v>7.59277328884531</v>
      </c>
      <c r="AE15" s="11" t="n">
        <f aca="false">AE13*AE14</f>
        <v>7.47620813938048</v>
      </c>
      <c r="AF15" s="11" t="n">
        <f aca="false">AF13*AF14</f>
        <v>7.56038040470957</v>
      </c>
      <c r="AG15" s="11" t="n">
        <f aca="false">AG13*AG14</f>
        <v>7.33892499514232</v>
      </c>
      <c r="AH15" s="11" t="n">
        <f aca="false">AH13*AH14</f>
        <v>7.33871543903232</v>
      </c>
      <c r="AI15" s="11" t="n">
        <f aca="false">AI13*AI14</f>
        <v>7.03609440001265</v>
      </c>
      <c r="AJ15" s="11" t="n">
        <f aca="false">AJ13*AJ14</f>
        <v>6.91079073744557</v>
      </c>
      <c r="AK15" s="11" t="n">
        <f aca="false">AK13*AK14</f>
        <v>6.50132877202572</v>
      </c>
      <c r="AL15" s="11" t="n">
        <f aca="false">AL13*AL14</f>
        <v>5.38296229227513</v>
      </c>
      <c r="AM15" s="11" t="n">
        <f aca="false">AM13*AM14</f>
        <v>4.21207469326972</v>
      </c>
      <c r="AN15" s="11" t="n">
        <f aca="false">AN13*AN14</f>
        <v>2.94467982474433</v>
      </c>
      <c r="AO15" s="11" t="n">
        <f aca="false">AO13*AO14</f>
        <v>1.82897323137068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288.103344451268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0</v>
      </c>
      <c r="Q16" s="11" t="n">
        <f aca="false">Debt!Q119+Debt!Q117+Debt!Q111-Debt!Q110</f>
        <v>21.3775531975475</v>
      </c>
      <c r="R16" s="11" t="n">
        <f aca="false">Debt!R119+Debt!R117+Debt!R111-Debt!R110</f>
        <v>20.408173381146</v>
      </c>
      <c r="S16" s="11" t="n">
        <f aca="false">Debt!S119+Debt!S117+Debt!S111-Debt!S110</f>
        <v>19.6334827270216</v>
      </c>
      <c r="T16" s="11" t="n">
        <f aca="false">Debt!T119+Debt!T117+Debt!T111-Debt!T110</f>
        <v>19.2539358999305</v>
      </c>
      <c r="U16" s="11" t="n">
        <f aca="false">Debt!U119+Debt!U117+Debt!U111-Debt!U110</f>
        <v>18.5032613994104</v>
      </c>
      <c r="V16" s="11" t="n">
        <f aca="false">Debt!V119+Debt!V117+Debt!V111-Debt!V110</f>
        <v>17.9998753162539</v>
      </c>
      <c r="W16" s="11" t="n">
        <f aca="false">Debt!W119+Debt!W117+Debt!W111-Debt!W110</f>
        <v>17.1509326606203</v>
      </c>
      <c r="X16" s="11" t="n">
        <f aca="false">Debt!X119+Debt!X117+Debt!X111-Debt!X110</f>
        <v>16.6344283110652</v>
      </c>
      <c r="Y16" s="11" t="n">
        <f aca="false">Debt!Y119+Debt!Y117+Debt!Y111-Debt!Y110</f>
        <v>16.221526385885</v>
      </c>
      <c r="Z16" s="11" t="n">
        <f aca="false">Debt!Z119+Debt!Z117+Debt!Z111-Debt!Z110</f>
        <v>15.6946979727911</v>
      </c>
      <c r="AA16" s="11" t="n">
        <f aca="false">Debt!AA119+Debt!AA117+Debt!AA111-Debt!AA110</f>
        <v>14.7959007811931</v>
      </c>
      <c r="AB16" s="11" t="n">
        <f aca="false">Debt!AB119+Debt!AB117+Debt!AB111-Debt!AB110</f>
        <v>13.9087895492203</v>
      </c>
      <c r="AC16" s="11" t="n">
        <f aca="false">Debt!AC119+Debt!AC117+Debt!AC111-Debt!AC110</f>
        <v>12.6984217498985</v>
      </c>
      <c r="AD16" s="11" t="n">
        <f aca="false">Debt!AD119+Debt!AD117+Debt!AD111-Debt!AD110</f>
        <v>11.6620856206133</v>
      </c>
      <c r="AE16" s="11" t="n">
        <f aca="false">Debt!AE119+Debt!AE117+Debt!AE111-Debt!AE110</f>
        <v>10.4050356520188</v>
      </c>
      <c r="AF16" s="11" t="n">
        <f aca="false">Debt!AF119+Debt!AF117+Debt!AF111-Debt!AF110</f>
        <v>9.28412115999534</v>
      </c>
      <c r="AG16" s="11" t="n">
        <f aca="false">Debt!AG119+Debt!AG117+Debt!AG111-Debt!AG110</f>
        <v>8.09424618338894</v>
      </c>
      <c r="AH16" s="11" t="n">
        <f aca="false">Debt!AH119+Debt!AH117+Debt!AH111-Debt!AH110</f>
        <v>6.85368167709317</v>
      </c>
      <c r="AI16" s="11" t="n">
        <f aca="false">Debt!AI119+Debt!AI117+Debt!AI111-Debt!AI110</f>
        <v>5.43547965273134</v>
      </c>
      <c r="AJ16" s="11" t="n">
        <f aca="false">Debt!AJ119+Debt!AJ117+Debt!AJ111-Debt!AJ110</f>
        <v>4.11874743602385</v>
      </c>
      <c r="AK16" s="11" t="n">
        <f aca="false">Debt!AK119+Debt!AK117+Debt!AK111-Debt!AK110</f>
        <v>2.71515174212342</v>
      </c>
      <c r="AL16" s="11" t="n">
        <f aca="false">Debt!AL119+Debt!AL117+Debt!AL111-Debt!AL110</f>
        <v>2.16611705824305</v>
      </c>
      <c r="AM16" s="11" t="n">
        <f aca="false">Debt!AM119+Debt!AM117+Debt!AM111-Debt!AM110</f>
        <v>1.59217511315024</v>
      </c>
      <c r="AN16" s="11" t="n">
        <f aca="false">Debt!AN119+Debt!AN117+Debt!AN111-Debt!AN110</f>
        <v>1.00715108262161</v>
      </c>
      <c r="AO16" s="11" t="n">
        <f aca="false">Debt!AO119+Debt!AO117+Debt!AO111-Debt!AO110</f>
        <v>0.488372741281517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</v>
      </c>
      <c r="Z17" s="11" t="n">
        <f aca="false">IF(Time!Z25&gt;0,(Time!Z25-Z7)/Time!Z25,0)</f>
        <v>0.166666666666667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1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1287.52203821346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0</v>
      </c>
      <c r="Z18" s="11" t="n">
        <f aca="false">(Operations!Z79-Z16-Z15)*Z17-Z12</f>
        <v>1.39590771269087</v>
      </c>
      <c r="AA18" s="11" t="n">
        <f aca="false">(Operations!AA79-AA16-AA15)*AA17-AA12</f>
        <v>9.80939021447487</v>
      </c>
      <c r="AB18" s="11" t="n">
        <f aca="false">(Operations!AB79-AB16-AB15)*AB17-AB12</f>
        <v>10.6184982738919</v>
      </c>
      <c r="AC18" s="11" t="n">
        <f aca="false">(Operations!AC79-AC16-AC15)*AC17-AC12</f>
        <v>11.9559896001213</v>
      </c>
      <c r="AD18" s="11" t="n">
        <f aca="false">(Operations!AD79-AD16-AD15)*AD17-AD12</f>
        <v>13.0663200139752</v>
      </c>
      <c r="AE18" s="11" t="n">
        <f aca="false">(Operations!AE79-AE16-AE15)*AE17-AE12</f>
        <v>1.76201468797404</v>
      </c>
      <c r="AF18" s="11" t="n">
        <f aca="false">(Operations!AF79-AF16-AF15)*AF17-AF12</f>
        <v>15.6091568581338</v>
      </c>
      <c r="AG18" s="11" t="n">
        <f aca="false">(Operations!AG79-AG16-AG15)*AG17-AG12</f>
        <v>17.1866771496304</v>
      </c>
      <c r="AH18" s="11" t="n">
        <f aca="false">(Operations!AH79-AH16-AH15)*AH17-AH12</f>
        <v>18.560966203389</v>
      </c>
      <c r="AI18" s="11" t="n">
        <f aca="false">(Operations!AI79-AI16-AI15)*AI17-AI12</f>
        <v>20.4491525300301</v>
      </c>
      <c r="AJ18" s="11" t="n">
        <f aca="false">(Operations!AJ79-AJ16-AJ15)*AJ17-AJ12</f>
        <v>22.0084319766255</v>
      </c>
      <c r="AK18" s="11" t="n">
        <f aca="false">(Operations!AK79-AK16-AK15)*AK17-AK12</f>
        <v>23.8918677053498</v>
      </c>
      <c r="AL18" s="11" t="n">
        <f aca="false">(Operations!AL79-AL16-AL15)*AL17-AL12</f>
        <v>25.724821107819</v>
      </c>
      <c r="AM18" s="11" t="n">
        <f aca="false">(Operations!AM79-AM16-AM15)*AM17-AM12</f>
        <v>24.7374418433883</v>
      </c>
      <c r="AN18" s="11" t="n">
        <f aca="false">(Operations!AN79-AN16-AN15)*AN17-AN12</f>
        <v>29.7267575207238</v>
      </c>
      <c r="AO18" s="11" t="n">
        <f aca="false">(Operations!AO79-AO16-AO15)*AO17-AO12</f>
        <v>31.2992600227991</v>
      </c>
      <c r="AP18" s="11" t="n">
        <f aca="false">(Operations!AP79-AP16-AP15)*AP17-AP12</f>
        <v>33.7621689394318</v>
      </c>
      <c r="AQ18" s="11" t="n">
        <f aca="false">(Operations!AQ79-AQ16-AQ15)*AQ17-AQ12</f>
        <v>33.9439594724696</v>
      </c>
      <c r="AR18" s="11" t="n">
        <f aca="false">(Operations!AR79-AR16-AR15)*AR17-AR12</f>
        <v>34.0713879153385</v>
      </c>
      <c r="AS18" s="11" t="n">
        <f aca="false">(Operations!AS79-AS16-AS15)*AS17-AS12</f>
        <v>34.145431881913</v>
      </c>
      <c r="AT18" s="11" t="n">
        <f aca="false">(Operations!AT79-AT16-AT15)*AT17-AT12</f>
        <v>34.3504064920805</v>
      </c>
      <c r="AU18" s="11" t="n">
        <f aca="false">(Operations!AU79-AU16-AU15)*AU17-AU12</f>
        <v>19.3788235868069</v>
      </c>
      <c r="AV18" s="11" t="n">
        <f aca="false">(Operations!AV79-AV16-AV15)*AV17-AV12</f>
        <v>34.55083722001</v>
      </c>
      <c r="AW18" s="11" t="n">
        <f aca="false">(Operations!AW79-AW16-AW15)*AW17-AW12</f>
        <v>34.6956697615102</v>
      </c>
      <c r="AX18" s="11" t="n">
        <f aca="false">(Operations!AX79-AX16-AX15)*AX17-AX12</f>
        <v>34.8543613655156</v>
      </c>
      <c r="AY18" s="11" t="n">
        <f aca="false">(Operations!AY79-AY16-AY15)*AY17-AY12</f>
        <v>35.0518437097158</v>
      </c>
      <c r="AZ18" s="11" t="n">
        <f aca="false">(Operations!AZ79-AZ16-AZ15)*AZ17-AZ12</f>
        <v>35.1903408837882</v>
      </c>
      <c r="BA18" s="11" t="n">
        <f aca="false">(Operations!BA79-BA16-BA15)*BA17-BA12</f>
        <v>35.2681985878595</v>
      </c>
      <c r="BB18" s="11" t="n">
        <f aca="false">(Operations!BB79-BB16-BB15)*BB17-BB12</f>
        <v>35.4660785761376</v>
      </c>
      <c r="BC18" s="11" t="n">
        <f aca="false">(Operations!BC79-BC16-BC15)*BC17-BC12</f>
        <v>32.218011602771</v>
      </c>
      <c r="BD18" s="11" t="n">
        <f aca="false">(Operations!BD79-BD16-BD15)*BD17-BD12</f>
        <v>39.0214701770347</v>
      </c>
      <c r="BE18" s="11" t="n">
        <f aca="false">(Operations!BE79-BE16-BE15)*BE17-BE12</f>
        <v>54.2971243204747</v>
      </c>
      <c r="BF18" s="11" t="n">
        <f aca="false">(Operations!BF79-BF16-BF15)*BF17-BF12</f>
        <v>54.4701217321264</v>
      </c>
      <c r="BG18" s="11" t="n">
        <f aca="false">(Operations!BG79-BG16-BG15)*BG17-BG12</f>
        <v>54.6846728725056</v>
      </c>
      <c r="BH18" s="11" t="n">
        <f aca="false">(Operations!BH79-BH16-BH15)*BH17-BH12</f>
        <v>54.83519921629</v>
      </c>
      <c r="BI18" s="11" t="n">
        <f aca="false">(Operations!BI79-BI16-BI15)*BI17-BI12</f>
        <v>54.9170196190521</v>
      </c>
      <c r="BJ18" s="11" t="n">
        <f aca="false">(Operations!BJ79-BJ16-BJ15)*BJ17-BJ12</f>
        <v>55.1628112980725</v>
      </c>
      <c r="BK18" s="11" t="n">
        <f aca="false">(Operations!BK79-BK16-BK15)*BK17-BK12</f>
        <v>37.4625617080497</v>
      </c>
      <c r="BL18" s="11" t="n">
        <f aca="false">(Operations!BL79-BL16-BL15)*BL17-BL12</f>
        <v>55.4448307154229</v>
      </c>
      <c r="BM18" s="11" t="n">
        <f aca="false">(Operations!BM79-BM16-BM15)*BM17-BM12</f>
        <v>55.5620682094015</v>
      </c>
      <c r="BN18" s="11" t="n">
        <f aca="false">(Operations!BN79-BN16-BN15)*BN17-BN12</f>
        <v>26.9139849286673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216.389627146637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0</v>
      </c>
      <c r="Z20" s="11" t="n">
        <f aca="false">MIN(Y21,MAX(0,Z18-Z19))</f>
        <v>1.39590771269087</v>
      </c>
      <c r="AA20" s="11" t="n">
        <f aca="false">MIN(Z21,MAX(0,AA18-AA19))</f>
        <v>9.80939021447487</v>
      </c>
      <c r="AB20" s="11" t="n">
        <f aca="false">MIN(AA21,MAX(0,AB18-AB19))</f>
        <v>10.6184982738919</v>
      </c>
      <c r="AC20" s="11" t="n">
        <f aca="false">MIN(AB21,MAX(0,AC18-AC19))</f>
        <v>11.9559896001213</v>
      </c>
      <c r="AD20" s="11" t="n">
        <f aca="false">MIN(AC21,MAX(0,AD18-AD19))</f>
        <v>13.0663200139752</v>
      </c>
      <c r="AE20" s="11" t="n">
        <f aca="false">MIN(AD21,MAX(0,AE18-AE19))</f>
        <v>1.76201468797404</v>
      </c>
      <c r="AF20" s="11" t="n">
        <f aca="false">MIN(AE21,MAX(0,AF18-AF19))</f>
        <v>15.6091568581338</v>
      </c>
      <c r="AG20" s="11" t="n">
        <f aca="false">MIN(AF21,MAX(0,AG18-AG19))</f>
        <v>17.1866771496304</v>
      </c>
      <c r="AH20" s="11" t="n">
        <f aca="false">MIN(AG21,MAX(0,AH18-AH19))</f>
        <v>18.560966203389</v>
      </c>
      <c r="AI20" s="11" t="n">
        <f aca="false">MIN(AH21,MAX(0,AI18-AI19))</f>
        <v>20.4491525300301</v>
      </c>
      <c r="AJ20" s="11" t="n">
        <f aca="false">MIN(AI21,MAX(0,AJ18-AJ19))</f>
        <v>22.0084319766255</v>
      </c>
      <c r="AK20" s="11" t="n">
        <f aca="false">MIN(AJ21,MAX(0,AK18-AK19))</f>
        <v>23.8918677053498</v>
      </c>
      <c r="AL20" s="11" t="n">
        <f aca="false">MIN(AK21,MAX(0,AL18-AL19))</f>
        <v>25.724821107819</v>
      </c>
      <c r="AM20" s="11" t="n">
        <f aca="false">MIN(AL21,MAX(0,AM18-AM19))</f>
        <v>24.3504331125312</v>
      </c>
      <c r="AN20" s="11" t="n">
        <f aca="false">MIN(AM21,MAX(0,AN18-AN19))</f>
        <v>0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0</v>
      </c>
      <c r="P21" s="11" t="n">
        <f aca="false">O21+P11-P20</f>
        <v>3.60649378577728</v>
      </c>
      <c r="Q21" s="11" t="n">
        <f aca="false">P21+Q11-Q20</f>
        <v>25.245456500441</v>
      </c>
      <c r="R21" s="11" t="n">
        <f aca="false">Q21+R11-R20</f>
        <v>46.8844192151047</v>
      </c>
      <c r="S21" s="11" t="n">
        <f aca="false">R21+S11-S20</f>
        <v>68.5233819297684</v>
      </c>
      <c r="T21" s="11" t="n">
        <f aca="false">S21+T11-T20</f>
        <v>90.1623446444321</v>
      </c>
      <c r="U21" s="11" t="n">
        <f aca="false">T21+U11-U20</f>
        <v>111.801307359096</v>
      </c>
      <c r="V21" s="11" t="n">
        <f aca="false">U21+V11-V20</f>
        <v>133.44027007376</v>
      </c>
      <c r="W21" s="11" t="n">
        <f aca="false">V21+W11-W20</f>
        <v>155.079232788423</v>
      </c>
      <c r="X21" s="11" t="n">
        <f aca="false">W21+X11-X20</f>
        <v>176.718195503087</v>
      </c>
      <c r="Y21" s="11" t="n">
        <f aca="false">X21+Y11-Y20</f>
        <v>198.357158217751</v>
      </c>
      <c r="Z21" s="11" t="n">
        <f aca="false">Y21+Z11-Z20</f>
        <v>214.993719433946</v>
      </c>
      <c r="AA21" s="11" t="n">
        <f aca="false">Z21+AA11-AA20</f>
        <v>205.184329219471</v>
      </c>
      <c r="AB21" s="11" t="n">
        <f aca="false">AA21+AB11-AB20</f>
        <v>194.565830945579</v>
      </c>
      <c r="AC21" s="11" t="n">
        <f aca="false">AB21+AC11-AC20</f>
        <v>182.609841345458</v>
      </c>
      <c r="AD21" s="11" t="n">
        <f aca="false">AC21+AD11-AD20</f>
        <v>169.543521331483</v>
      </c>
      <c r="AE21" s="11" t="n">
        <f aca="false">AD21+AE11-AE20</f>
        <v>167.781506643509</v>
      </c>
      <c r="AF21" s="11" t="n">
        <f aca="false">AE21+AF11-AF20</f>
        <v>152.172349785375</v>
      </c>
      <c r="AG21" s="11" t="n">
        <f aca="false">AF21+AG11-AG20</f>
        <v>134.985672635745</v>
      </c>
      <c r="AH21" s="11" t="n">
        <f aca="false">AG21+AH11-AH20</f>
        <v>116.424706432356</v>
      </c>
      <c r="AI21" s="11" t="n">
        <f aca="false">AH21+AI11-AI20</f>
        <v>95.9755539023255</v>
      </c>
      <c r="AJ21" s="11" t="n">
        <f aca="false">AI21+AJ11-AJ20</f>
        <v>73.9671219257</v>
      </c>
      <c r="AK21" s="11" t="n">
        <f aca="false">AJ21+AK11-AK20</f>
        <v>50.0752542203502</v>
      </c>
      <c r="AL21" s="11" t="n">
        <f aca="false">AK21+AL11-AL20</f>
        <v>24.3504331125312</v>
      </c>
      <c r="AM21" s="11" t="n">
        <f aca="false">AL21+AM11-AM20</f>
        <v>0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1071.13241106683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0.387008730857076</v>
      </c>
      <c r="AN23" s="11" t="n">
        <f aca="false">MAX(0,AN18-AN19-AN20)</f>
        <v>29.7267575207238</v>
      </c>
      <c r="AO23" s="11" t="n">
        <f aca="false">MAX(0,AO18-AO19-AO20)</f>
        <v>31.2992600227991</v>
      </c>
      <c r="AP23" s="11" t="n">
        <f aca="false">MAX(0,AP18-AP19-AP20)</f>
        <v>33.7621689394318</v>
      </c>
      <c r="AQ23" s="11" t="n">
        <f aca="false">MAX(0,AQ18-AQ19-AQ20)</f>
        <v>33.9439594724696</v>
      </c>
      <c r="AR23" s="11" t="n">
        <f aca="false">MAX(0,AR18-AR19-AR20)</f>
        <v>34.0713879153385</v>
      </c>
      <c r="AS23" s="11" t="n">
        <f aca="false">MAX(0,AS18-AS19-AS20)</f>
        <v>34.145431881913</v>
      </c>
      <c r="AT23" s="11" t="n">
        <f aca="false">MAX(0,AT18-AT19-AT20)</f>
        <v>34.3504064920805</v>
      </c>
      <c r="AU23" s="11" t="n">
        <f aca="false">MAX(0,AU18-AU19-AU20)</f>
        <v>19.3788235868069</v>
      </c>
      <c r="AV23" s="11" t="n">
        <f aca="false">MAX(0,AV18-AV19-AV20)</f>
        <v>34.55083722001</v>
      </c>
      <c r="AW23" s="11" t="n">
        <f aca="false">MAX(0,AW18-AW19-AW20)</f>
        <v>34.6956697615102</v>
      </c>
      <c r="AX23" s="11" t="n">
        <f aca="false">MAX(0,AX18-AX19-AX20)</f>
        <v>34.8543613655156</v>
      </c>
      <c r="AY23" s="11" t="n">
        <f aca="false">MAX(0,AY18-AY19-AY20)</f>
        <v>35.0518437097158</v>
      </c>
      <c r="AZ23" s="11" t="n">
        <f aca="false">MAX(0,AZ18-AZ19-AZ20)</f>
        <v>35.1903408837882</v>
      </c>
      <c r="BA23" s="11" t="n">
        <f aca="false">MAX(0,BA18-BA19-BA20)</f>
        <v>35.2681985878595</v>
      </c>
      <c r="BB23" s="11" t="n">
        <f aca="false">MAX(0,BB18-BB19-BB20)</f>
        <v>35.4660785761376</v>
      </c>
      <c r="BC23" s="11" t="n">
        <f aca="false">MAX(0,BC18-BC19-BC20)</f>
        <v>32.218011602771</v>
      </c>
      <c r="BD23" s="11" t="n">
        <f aca="false">MAX(0,BD18-BD19-BD20)</f>
        <v>39.0214701770347</v>
      </c>
      <c r="BE23" s="11" t="n">
        <f aca="false">MAX(0,BE18-BE19-BE20)</f>
        <v>54.2971243204747</v>
      </c>
      <c r="BF23" s="11" t="n">
        <f aca="false">MAX(0,BF18-BF19-BF20)</f>
        <v>54.4701217321264</v>
      </c>
      <c r="BG23" s="11" t="n">
        <f aca="false">MAX(0,BG18-BG19-BG20)</f>
        <v>54.6846728725056</v>
      </c>
      <c r="BH23" s="11" t="n">
        <f aca="false">MAX(0,BH18-BH19-BH20)</f>
        <v>54.83519921629</v>
      </c>
      <c r="BI23" s="11" t="n">
        <f aca="false">MAX(0,BI18-BI19-BI20)</f>
        <v>54.9170196190521</v>
      </c>
      <c r="BJ23" s="11" t="n">
        <f aca="false">MAX(0,BJ18-BJ19-BJ20)</f>
        <v>55.1628112980725</v>
      </c>
      <c r="BK23" s="11" t="n">
        <f aca="false">MAX(0,BK18-BK19-BK20)</f>
        <v>37.4625617080497</v>
      </c>
      <c r="BL23" s="11" t="n">
        <f aca="false">MAX(0,BL18-BL19-BL20)</f>
        <v>55.4448307154229</v>
      </c>
      <c r="BM23" s="11" t="n">
        <f aca="false">MAX(0,BM18-BM19-BM20)</f>
        <v>55.5620682094015</v>
      </c>
      <c r="BN23" s="11" t="n">
        <f aca="false">MAX(0,BN18-BN19-BN20)</f>
        <v>26.9139849286673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0.15</v>
      </c>
      <c r="AF24" s="6" t="n">
        <f aca="false">IF(AF8+AF9&gt;0,(AF8*Inputs!$F$172+AF9*Inputs!$F$171)/(AF8+AF9)/100,0)</f>
        <v>0.175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0.3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321.339723320048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0.116102619257123</v>
      </c>
      <c r="AN25" s="11" t="n">
        <f aca="false">AN23*AN24</f>
        <v>8.91802725621714</v>
      </c>
      <c r="AO25" s="11" t="n">
        <f aca="false">AO23*AO24</f>
        <v>9.38977800683974</v>
      </c>
      <c r="AP25" s="11" t="n">
        <f aca="false">AP23*AP24</f>
        <v>10.1286506818295</v>
      </c>
      <c r="AQ25" s="11" t="n">
        <f aca="false">AQ23*AQ24</f>
        <v>10.1831878417409</v>
      </c>
      <c r="AR25" s="11" t="n">
        <f aca="false">AR23*AR24</f>
        <v>10.2214163746015</v>
      </c>
      <c r="AS25" s="11" t="n">
        <f aca="false">AS23*AS24</f>
        <v>10.2436295645739</v>
      </c>
      <c r="AT25" s="11" t="n">
        <f aca="false">AT23*AT24</f>
        <v>10.3051219476241</v>
      </c>
      <c r="AU25" s="11" t="n">
        <f aca="false">AU23*AU24</f>
        <v>5.81364707604206</v>
      </c>
      <c r="AV25" s="11" t="n">
        <f aca="false">AV23*AV24</f>
        <v>10.365251166003</v>
      </c>
      <c r="AW25" s="11" t="n">
        <f aca="false">AW23*AW24</f>
        <v>10.4087009284531</v>
      </c>
      <c r="AX25" s="11" t="n">
        <f aca="false">AX23*AX24</f>
        <v>10.4563084096547</v>
      </c>
      <c r="AY25" s="11" t="n">
        <f aca="false">AY23*AY24</f>
        <v>10.5155531129147</v>
      </c>
      <c r="AZ25" s="11" t="n">
        <f aca="false">AZ23*AZ24</f>
        <v>10.5571022651365</v>
      </c>
      <c r="BA25" s="11" t="n">
        <f aca="false">BA23*BA24</f>
        <v>10.5804595763578</v>
      </c>
      <c r="BB25" s="11" t="n">
        <f aca="false">BB23*BB24</f>
        <v>10.6398235728413</v>
      </c>
      <c r="BC25" s="11" t="n">
        <f aca="false">BC23*BC24</f>
        <v>9.6654034808313</v>
      </c>
      <c r="BD25" s="11" t="n">
        <f aca="false">BD23*BD24</f>
        <v>11.7064410531104</v>
      </c>
      <c r="BE25" s="11" t="n">
        <f aca="false">BE23*BE24</f>
        <v>16.2891372961424</v>
      </c>
      <c r="BF25" s="11" t="n">
        <f aca="false">BF23*BF24</f>
        <v>16.3410365196379</v>
      </c>
      <c r="BG25" s="11" t="n">
        <f aca="false">BG23*BG24</f>
        <v>16.4054018617517</v>
      </c>
      <c r="BH25" s="11" t="n">
        <f aca="false">BH23*BH24</f>
        <v>16.450559764887</v>
      </c>
      <c r="BI25" s="11" t="n">
        <f aca="false">BI23*BI24</f>
        <v>16.4751058857156</v>
      </c>
      <c r="BJ25" s="11" t="n">
        <f aca="false">BJ23*BJ24</f>
        <v>16.5488433894217</v>
      </c>
      <c r="BK25" s="11" t="n">
        <f aca="false">BK23*BK24</f>
        <v>11.2387685124149</v>
      </c>
      <c r="BL25" s="11" t="n">
        <f aca="false">BL23*BL24</f>
        <v>16.6334492146269</v>
      </c>
      <c r="BM25" s="11" t="n">
        <f aca="false">BM23*BM24</f>
        <v>16.6686204628205</v>
      </c>
      <c r="BN25" s="11" t="n">
        <f aca="false">BN23*BN24</f>
        <v>8.07419547860019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15.7213797956936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</v>
      </c>
      <c r="Z26" s="11" t="n">
        <f aca="false">IF(Time!Z25&gt;0,Inputs!$F$173/100*Operations!Z50*(Z8+Z9)/Time!Z25,0)</f>
        <v>0.0592071318283963</v>
      </c>
      <c r="AA26" s="11" t="n">
        <f aca="false">IF(Time!AA25&gt;0,Inputs!$F$173/100*Operations!AA50*(AA8+AA9)/Time!AA25,0)</f>
        <v>0.356556226132034</v>
      </c>
      <c r="AB26" s="11" t="n">
        <f aca="false">IF(Time!AB25&gt;0,Inputs!$F$173/100*Operations!AB50*(AB8+AB9)/Time!AB25,0)</f>
        <v>0.358300179472634</v>
      </c>
      <c r="AC26" s="11" t="n">
        <f aca="false">IF(Time!AC25&gt;0,Inputs!$F$173/100*Operations!AC50*(AC8+AC9)/Time!AC25,0)</f>
        <v>0.360346202893414</v>
      </c>
      <c r="AD26" s="11" t="n">
        <f aca="false">IF(Time!AD25&gt;0,Inputs!$F$173/100*Operations!AD50*(AD8+AD9)/Time!AD25,0)</f>
        <v>0.361656058364629</v>
      </c>
      <c r="AE26" s="11" t="n">
        <f aca="false">IF(Time!AE25&gt;0,Inputs!$F$173/100*Operations!AE50*(AE8+AE9)/Time!AE25,0)</f>
        <v>0.356738008657328</v>
      </c>
      <c r="AF26" s="11" t="n">
        <f aca="false">IF(Time!AF25&gt;0,Inputs!$F$173/100*Operations!AF50*(AF8+AF9)/Time!AF25,0)</f>
        <v>0.361880707616477</v>
      </c>
      <c r="AG26" s="11" t="n">
        <f aca="false">IF(Time!AG25&gt;0,Inputs!$F$173/100*Operations!AG50*(AG8+AG9)/Time!AG25,0)</f>
        <v>0.367314946242538</v>
      </c>
      <c r="AH26" s="11" t="n">
        <f aca="false">IF(Time!AH25&gt;0,Inputs!$F$173/100*Operations!AH50*(AH8+AH9)/Time!AH25,0)</f>
        <v>0.369029748349802</v>
      </c>
      <c r="AI26" s="11" t="n">
        <f aca="false">IF(Time!AI25&gt;0,Inputs!$F$173/100*Operations!AI50*(AI8+AI9)/Time!AI25,0)</f>
        <v>0.370461833627923</v>
      </c>
      <c r="AJ26" s="11" t="n">
        <f aca="false">IF(Time!AJ25&gt;0,Inputs!$F$173/100*Operations!AJ50*(AJ8+AJ9)/Time!AJ25,0)</f>
        <v>0.372360835657105</v>
      </c>
      <c r="AK26" s="11" t="n">
        <f aca="false">IF(Time!AK25&gt;0,Inputs!$F$173/100*Operations!AK50*(AK8+AK9)/Time!AK25,0)</f>
        <v>0.374587467944409</v>
      </c>
      <c r="AL26" s="11" t="n">
        <f aca="false">IF(Time!AL25&gt;0,Inputs!$F$173/100*Operations!AL50*(AL8+AL9)/Time!AL25,0)</f>
        <v>0.376179357605884</v>
      </c>
      <c r="AM26" s="11" t="n">
        <f aca="false">IF(Time!AM25&gt;0,Inputs!$F$173/100*Operations!AM50*(AM8+AM9)/Time!AM25,0)</f>
        <v>0.376673496478862</v>
      </c>
      <c r="AN26" s="11" t="n">
        <f aca="false">IF(Time!AN25&gt;0,Inputs!$F$173/100*Operations!AN50*(AN8+AN9)/Time!AN25,0)</f>
        <v>0.378844798547881</v>
      </c>
      <c r="AO26" s="11" t="n">
        <f aca="false">IF(Time!AO25&gt;0,Inputs!$F$173/100*Operations!AO50*(AO8+AO9)/Time!AO25,0)</f>
        <v>0.382177004619203</v>
      </c>
      <c r="AP26" s="11" t="n">
        <f aca="false">IF(Time!AP25&gt;0,Inputs!$F$173/100*Operations!AP50*(AP8+AP9)/Time!AP25,0)</f>
        <v>0.384044918429892</v>
      </c>
      <c r="AQ26" s="11" t="n">
        <f aca="false">IF(Time!AQ25&gt;0,Inputs!$F$173/100*Operations!AQ50*(AQ8+AQ9)/Time!AQ25,0)</f>
        <v>0.385606371678174</v>
      </c>
      <c r="AR26" s="11" t="n">
        <f aca="false">IF(Time!AR25&gt;0,Inputs!$F$173/100*Operations!AR50*(AR8+AR9)/Time!AR25,0)</f>
        <v>0.387674199962996</v>
      </c>
      <c r="AS26" s="11" t="n">
        <f aca="false">IF(Time!AS25&gt;0,Inputs!$F$173/100*Operations!AS50*(AS8+AS9)/Time!AS25,0)</f>
        <v>0.39009736939814</v>
      </c>
      <c r="AT26" s="11" t="n">
        <f aca="false">IF(Time!AT25&gt;0,Inputs!$F$173/100*Operations!AT50*(AT8+AT9)/Time!AT25,0)</f>
        <v>0.391655179751443</v>
      </c>
      <c r="AU26" s="11" t="n">
        <f aca="false">IF(Time!AU25&gt;0,Inputs!$F$173/100*Operations!AU50*(AU8+AU9)/Time!AU25,0)</f>
        <v>0.386375278375588</v>
      </c>
      <c r="AV26" s="11" t="n">
        <f aca="false">IF(Time!AV25&gt;0,Inputs!$F$173/100*Operations!AV50*(AV8+AV9)/Time!AV25,0)</f>
        <v>0.392123053898715</v>
      </c>
      <c r="AW26" s="11" t="n">
        <f aca="false">IF(Time!AW25&gt;0,Inputs!$F$173/100*Operations!AW50*(AW8+AW9)/Time!AW25,0)</f>
        <v>0.398362977021547</v>
      </c>
      <c r="AX26" s="11" t="n">
        <f aca="false">IF(Time!AX25&gt;0,Inputs!$F$173/100*Operations!AX50*(AX8+AX9)/Time!AX25,0)</f>
        <v>0.400397668896746</v>
      </c>
      <c r="AY26" s="11" t="n">
        <f aca="false">IF(Time!AY25&gt;0,Inputs!$F$173/100*Operations!AY50*(AY8+AY9)/Time!AY25,0)</f>
        <v>0.402100176084741</v>
      </c>
      <c r="AZ26" s="11" t="n">
        <f aca="false">IF(Time!AZ25&gt;0,Inputs!$F$173/100*Operations!AZ50*(AZ8+AZ9)/Time!AZ25,0)</f>
        <v>0.404351831786131</v>
      </c>
      <c r="BA26" s="11" t="n">
        <f aca="false">IF(Time!BA25&gt;0,Inputs!$F$173/100*Operations!BA50*(BA8+BA9)/Time!BA25,0)</f>
        <v>0.406988870029028</v>
      </c>
      <c r="BB26" s="11" t="n">
        <f aca="false">IF(Time!BB25&gt;0,Inputs!$F$173/100*Operations!BB50*(BB8+BB9)/Time!BB25,0)</f>
        <v>0.408879871876253</v>
      </c>
      <c r="BC26" s="11" t="n">
        <f aca="false">IF(Time!BC25&gt;0,Inputs!$F$173/100*Operations!BC50*(BC8+BC9)/Time!BC25,0)</f>
        <v>0.409480532177664</v>
      </c>
      <c r="BD26" s="11" t="n">
        <f aca="false">IF(Time!BD25&gt;0,Inputs!$F$173/100*Operations!BD50*(BD8+BD9)/Time!BD25,0)</f>
        <v>0.412053148366705</v>
      </c>
      <c r="BE26" s="11" t="n">
        <f aca="false">IF(Time!BE25&gt;0,Inputs!$F$173/100*Operations!BE50*(BE8+BE9)/Time!BE25,0)</f>
        <v>0.415990746089248</v>
      </c>
      <c r="BF26" s="11" t="n">
        <f aca="false">IF(Time!BF25&gt;0,Inputs!$F$173/100*Operations!BF50*(BF8+BF9)/Time!BF25,0)</f>
        <v>0.418207101777684</v>
      </c>
      <c r="BG26" s="11" t="n">
        <f aca="false">IF(Time!BG25&gt;0,Inputs!$F$173/100*Operations!BG50*(BG8+BG9)/Time!BG25,0)</f>
        <v>0.420063404434078</v>
      </c>
      <c r="BH26" s="11" t="n">
        <f aca="false">IF(Time!BH25&gt;0,Inputs!$F$173/100*Operations!BH50*(BH8+BH9)/Time!BH25,0)</f>
        <v>0.422515220912054</v>
      </c>
      <c r="BI26" s="11" t="n">
        <f aca="false">IF(Time!BI25&gt;0,Inputs!$F$173/100*Operations!BI50*(BI8+BI9)/Time!BI25,0)</f>
        <v>0.425384986518876</v>
      </c>
      <c r="BJ26" s="11" t="n">
        <f aca="false">IF(Time!BJ25&gt;0,Inputs!$F$173/100*Operations!BJ50*(BJ8+BJ9)/Time!BJ25,0)</f>
        <v>0.42723768848851</v>
      </c>
      <c r="BK26" s="11" t="n">
        <f aca="false">IF(Time!BK25&gt;0,Inputs!$F$173/100*Operations!BK50*(BK8+BK9)/Time!BK25,0)</f>
        <v>0.421531407175436</v>
      </c>
      <c r="BL26" s="11" t="n">
        <f aca="false">IF(Time!BL25&gt;0,Inputs!$F$173/100*Operations!BL50*(BL8+BL9)/Time!BL25,0)</f>
        <v>0.427996907871267</v>
      </c>
      <c r="BM26" s="11" t="n">
        <f aca="false">IF(Time!BM25&gt;0,Inputs!$F$173/100*Operations!BM50*(BM8+BM9)/Time!BM25,0)</f>
        <v>0.435188686042431</v>
      </c>
      <c r="BN26" s="11" t="n">
        <f aca="false">IF(Time!BN25&gt;0,Inputs!$F$173/100*Operations!BN50*(BN8+BN9)/Time!BN25,0)</f>
        <v>0.364758194611745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326.044912901662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</v>
      </c>
      <c r="Z27" s="11" t="n">
        <f aca="false">MAX(Z25,Z26)</f>
        <v>0.0592071318283963</v>
      </c>
      <c r="AA27" s="11" t="n">
        <f aca="false">MAX(AA25,AA26)</f>
        <v>0.356556226132034</v>
      </c>
      <c r="AB27" s="11" t="n">
        <f aca="false">MAX(AB25,AB26)</f>
        <v>0.358300179472634</v>
      </c>
      <c r="AC27" s="11" t="n">
        <f aca="false">MAX(AC25,AC26)</f>
        <v>0.360346202893414</v>
      </c>
      <c r="AD27" s="11" t="n">
        <f aca="false">MAX(AD25,AD26)</f>
        <v>0.361656058364629</v>
      </c>
      <c r="AE27" s="11" t="n">
        <f aca="false">MAX(AE25,AE26)</f>
        <v>0.356738008657328</v>
      </c>
      <c r="AF27" s="11" t="n">
        <f aca="false">MAX(AF25,AF26)</f>
        <v>0.361880707616477</v>
      </c>
      <c r="AG27" s="11" t="n">
        <f aca="false">MAX(AG25,AG26)</f>
        <v>0.367314946242538</v>
      </c>
      <c r="AH27" s="11" t="n">
        <f aca="false">MAX(AH25,AH26)</f>
        <v>0.369029748349802</v>
      </c>
      <c r="AI27" s="11" t="n">
        <f aca="false">MAX(AI25,AI26)</f>
        <v>0.370461833627923</v>
      </c>
      <c r="AJ27" s="11" t="n">
        <f aca="false">MAX(AJ25,AJ26)</f>
        <v>0.372360835657105</v>
      </c>
      <c r="AK27" s="11" t="n">
        <f aca="false">MAX(AK25,AK26)</f>
        <v>0.374587467944409</v>
      </c>
      <c r="AL27" s="11" t="n">
        <f aca="false">MAX(AL25,AL26)</f>
        <v>0.376179357605884</v>
      </c>
      <c r="AM27" s="11" t="n">
        <f aca="false">MAX(AM25,AM26)</f>
        <v>0.376673496478862</v>
      </c>
      <c r="AN27" s="11" t="n">
        <f aca="false">MAX(AN25,AN26)</f>
        <v>8.91802725621714</v>
      </c>
      <c r="AO27" s="11" t="n">
        <f aca="false">MAX(AO25,AO26)</f>
        <v>9.38977800683974</v>
      </c>
      <c r="AP27" s="11" t="n">
        <f aca="false">MAX(AP25,AP26)</f>
        <v>10.1286506818295</v>
      </c>
      <c r="AQ27" s="11" t="n">
        <f aca="false">MAX(AQ25,AQ26)</f>
        <v>10.1831878417409</v>
      </c>
      <c r="AR27" s="11" t="n">
        <f aca="false">MAX(AR25,AR26)</f>
        <v>10.2214163746015</v>
      </c>
      <c r="AS27" s="11" t="n">
        <f aca="false">MAX(AS25,AS26)</f>
        <v>10.2436295645739</v>
      </c>
      <c r="AT27" s="11" t="n">
        <f aca="false">MAX(AT25,AT26)</f>
        <v>10.3051219476241</v>
      </c>
      <c r="AU27" s="11" t="n">
        <f aca="false">MAX(AU25,AU26)</f>
        <v>5.81364707604206</v>
      </c>
      <c r="AV27" s="11" t="n">
        <f aca="false">MAX(AV25,AV26)</f>
        <v>10.365251166003</v>
      </c>
      <c r="AW27" s="11" t="n">
        <f aca="false">MAX(AW25,AW26)</f>
        <v>10.4087009284531</v>
      </c>
      <c r="AX27" s="11" t="n">
        <f aca="false">MAX(AX25,AX26)</f>
        <v>10.4563084096547</v>
      </c>
      <c r="AY27" s="11" t="n">
        <f aca="false">MAX(AY25,AY26)</f>
        <v>10.5155531129147</v>
      </c>
      <c r="AZ27" s="11" t="n">
        <f aca="false">MAX(AZ25,AZ26)</f>
        <v>10.5571022651365</v>
      </c>
      <c r="BA27" s="11" t="n">
        <f aca="false">MAX(BA25,BA26)</f>
        <v>10.5804595763578</v>
      </c>
      <c r="BB27" s="11" t="n">
        <f aca="false">MAX(BB25,BB26)</f>
        <v>10.6398235728413</v>
      </c>
      <c r="BC27" s="11" t="n">
        <f aca="false">MAX(BC25,BC26)</f>
        <v>9.6654034808313</v>
      </c>
      <c r="BD27" s="11" t="n">
        <f aca="false">MAX(BD25,BD26)</f>
        <v>11.7064410531104</v>
      </c>
      <c r="BE27" s="11" t="n">
        <f aca="false">MAX(BE25,BE26)</f>
        <v>16.2891372961424</v>
      </c>
      <c r="BF27" s="11" t="n">
        <f aca="false">MAX(BF25,BF26)</f>
        <v>16.3410365196379</v>
      </c>
      <c r="BG27" s="11" t="n">
        <f aca="false">MAX(BG25,BG26)</f>
        <v>16.4054018617517</v>
      </c>
      <c r="BH27" s="11" t="n">
        <f aca="false">MAX(BH25,BH26)</f>
        <v>16.450559764887</v>
      </c>
      <c r="BI27" s="11" t="n">
        <f aca="false">MAX(BI25,BI26)</f>
        <v>16.4751058857156</v>
      </c>
      <c r="BJ27" s="11" t="n">
        <f aca="false">MAX(BJ25,BJ26)</f>
        <v>16.5488433894217</v>
      </c>
      <c r="BK27" s="11" t="n">
        <f aca="false">MAX(BK25,BK26)</f>
        <v>11.2387685124149</v>
      </c>
      <c r="BL27" s="11" t="n">
        <f aca="false">MAX(BL25,BL26)</f>
        <v>16.6334492146269</v>
      </c>
      <c r="BM27" s="11" t="n">
        <f aca="false">MAX(BM25,BM26)</f>
        <v>16.6686204628205</v>
      </c>
      <c r="BN27" s="11" t="n">
        <f aca="false">MAX(BN25,BN26)</f>
        <v>8.07419547860019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4.81041111039008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0</v>
      </c>
      <c r="P28" s="11" t="n">
        <f aca="false">P13-P15</f>
        <v>0.595335624611436</v>
      </c>
      <c r="Q28" s="11" t="n">
        <f aca="false">Q13-Q15</f>
        <v>2.88563260647019</v>
      </c>
      <c r="R28" s="11" t="n">
        <f aca="false">R13-R15</f>
        <v>1.32944287930845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0.0254815794663755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0.0479054683552644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0.0594693572441533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0.0582124127997088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0.0708921316395532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0.0645842831700792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-0.445478114360217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0.00573345104853712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0.00517860094706579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0.00573345104853712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0.00554850101471334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0.00573345104853712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0.00554850101471334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0.00513214672754947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0.00513214672754947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0.00496659360730594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0.00513214672754947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0.00496659360730594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0.00513214672754947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0.00487188067816675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0.00455756579570438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0.00487188067816675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0.00471472323693557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0.00487188067816675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0.00471472323693557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0.00348977820903095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0.00348977820903095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0.00337720471841705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0.00348977820903095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0.00337720471841705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0.00348977820903095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0.00338208191273465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0.00305478366311517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0.00338208191273465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0.00327298249619483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0.00338208191273465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0.00327298249619483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0.00330130969051243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0.00330130969051243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0.00319481582952816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0.00330130969051243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0.00319481582952816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0.00330130969051243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108.074671565637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1.48645275660601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1.92066793747148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2.73380593658109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3.84522725227674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5.16466532554532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6.71865785421441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8.37002931355091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10.1245664137012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11.8989296900757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13.6595772295739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15.4097694198734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17.0512670413916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18.5854873943574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19.9579587689872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21.1814718809706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22.1943862731544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24.1399619575693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23.6223117556595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23.9697754401588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24.4619276884968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24.3503214531301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24.0318182035487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23.872541263997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23.1107919581282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22.140520987334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22.5421956197825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21.2073026615069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19.7211810288613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18.6507593592169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16.9671160141811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15.2272986936661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11.5689095550631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11.1771829594832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8.16664945176858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5.95998642998972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3.62533716283406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5.16754320050533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2.41734832523058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57.5739090220111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-0.375581729029568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83.0842991266575</v>
      </c>
      <c r="K22" s="11" t="n">
        <f aca="false">J22+Construction!K14*$F$9/$F$10*(K21+(K19-K20)*J22)</f>
        <v>84.5083528334991</v>
      </c>
      <c r="L22" s="11" t="n">
        <f aca="false">K22+Construction!L14*$F$9/$F$10*(L21+(L19-L20)*K22)</f>
        <v>86.2805767732206</v>
      </c>
      <c r="M22" s="11" t="n">
        <f aca="false">L22+Construction!M14*$F$9/$F$10*(M21+(M19-M20)*L22)</f>
        <v>88.6743774642563</v>
      </c>
      <c r="N22" s="11" t="n">
        <f aca="false">M22+Construction!N14*$F$9/$F$10*(N21+(N19-N20)*M22)</f>
        <v>91.9407161646329</v>
      </c>
      <c r="O22" s="11" t="n">
        <f aca="false">N22+Construction!O14*$F$9/$F$10*(O21+(O19-O20)*N22)</f>
        <v>96.2550261664349</v>
      </c>
      <c r="P22" s="11" t="n">
        <f aca="false">O22+Construction!P14*$F$9/$F$10*(P21+(P19-P20)*O22)</f>
        <v>101.745291245447</v>
      </c>
      <c r="Q22" s="11" t="n">
        <f aca="false">P22+Construction!Q14*$F$9/$F$10*(Q21+(Q19-Q20)*P22)</f>
        <v>108.560452769702</v>
      </c>
      <c r="R22" s="11" t="n">
        <f aca="false">Q22+Construction!R14*$F$9/$F$10*(R21+(R19-R20)*Q22)</f>
        <v>116.736837760015</v>
      </c>
      <c r="S22" s="11" t="n">
        <f aca="false">R22+Construction!S14*$F$9/$F$10*(S21+(S19-S20)*R22)</f>
        <v>126.320975744881</v>
      </c>
      <c r="T22" s="11" t="n">
        <f aca="false">S22+Construction!T14*$F$9/$F$10*(T21+(T19-T20)*S22)</f>
        <v>137.279248543491</v>
      </c>
      <c r="U22" s="11" t="n">
        <f aca="false">T22+Construction!U14*$F$9/$F$10*(U21+(U19-U20)*T22)</f>
        <v>149.575781121891</v>
      </c>
      <c r="V22" s="11" t="n">
        <f aca="false">U22+Construction!V14*$F$9/$F$10*(V21+(V19-V20)*U22)</f>
        <v>163.174551882107</v>
      </c>
      <c r="W22" s="11" t="n">
        <f aca="false">V22+Construction!W14*$F$9/$F$10*(W21+(W19-W20)*V22)</f>
        <v>177.980103865863</v>
      </c>
      <c r="X22" s="11" t="n">
        <f aca="false">W22+Construction!X14*$F$9/$F$10*(X21+(X19-X20)*W22)</f>
        <v>193.906554384905</v>
      </c>
      <c r="Y22" s="11" t="n">
        <f aca="false">X22+Construction!Y14*$F$9/$F$10*(Y21+(Y19-Y20)*X22)</f>
        <v>210.805304966696</v>
      </c>
      <c r="Z22" s="11" t="n">
        <f aca="false">Y22+Construction!Z14*$F$9/$F$10*(Z21+(Z19-Z20)*Y22)</f>
        <v>228.558649530192</v>
      </c>
      <c r="AA22" s="11" t="n">
        <f aca="false">Z22+Construction!AA14*$F$9/$F$10*(AA21+(AA19-AA20)*Z22)</f>
        <v>247.820154127709</v>
      </c>
      <c r="AB22" s="11" t="n">
        <f aca="false">AA22+Construction!AB14*$F$9/$F$10*(AB21+(AB19-AB20)*AA22)</f>
        <v>266.693780420993</v>
      </c>
      <c r="AC22" s="11" t="n">
        <f aca="false">AB22+Construction!AC14*$F$9/$F$10*(AC21+(AC19-AC20)*AB22)</f>
        <v>285.941828072263</v>
      </c>
      <c r="AD22" s="11" t="n">
        <f aca="false">AC22+Construction!AD14*$F$9/$F$10*(AD21+(AD19-AD20)*AC22)</f>
        <v>305.599079838893</v>
      </c>
      <c r="AE22" s="11" t="n">
        <f aca="false">AD22+Construction!AE14*$F$9/$F$10*(AE21+(AE19-AE20)*AD22)</f>
        <v>325.259426353078</v>
      </c>
      <c r="AF22" s="11" t="n">
        <f aca="false">AE22+Construction!AF14*$F$9/$F$10*(AF21+(AF19-AF20)*AE22)</f>
        <v>344.703136618149</v>
      </c>
      <c r="AG22" s="11" t="n">
        <f aca="false">AF22+Construction!AG14*$F$9/$F$10*(AG21+(AG19-AG20)*AF22)</f>
        <v>363.750288004334</v>
      </c>
      <c r="AH22" s="11" t="n">
        <f aca="false">AG22+Construction!AH14*$F$9/$F$10*(AH21+(AH19-AH20)*AG22)</f>
        <v>382.250218987611</v>
      </c>
      <c r="AI22" s="11" t="n">
        <f aca="false">AH22+Construction!AI14*$F$9/$F$10*(AI21+(AI19-AI20)*AH22)</f>
        <v>400.01667074478</v>
      </c>
      <c r="AJ22" s="11" t="n">
        <f aca="false">AI22+Construction!AJ14*$F$9/$F$10*(AJ21+(AJ19-AJ20)*AI22)</f>
        <v>418.152574791288</v>
      </c>
      <c r="AK22" s="11" t="n">
        <f aca="false">AJ22+Construction!AK14*$F$9/$F$10*(AK21+(AK19-AK20)*AJ22)</f>
        <v>435.271622279486</v>
      </c>
      <c r="AL22" s="11" t="n">
        <f aca="false">AK22+Construction!AL14*$F$9/$F$10*(AL21+(AL19-AL20)*AK22)</f>
        <v>451.309874911657</v>
      </c>
      <c r="AM22" s="11" t="n">
        <f aca="false">AL22+Construction!AM14*$F$9/$F$10*(AM21+(AM19-AM20)*AL22)</f>
        <v>466.520180210142</v>
      </c>
      <c r="AN22" s="11" t="n">
        <f aca="false">AM22+Construction!AN14*$F$9/$F$10*(AN21+(AN19-AN20)*AM22)</f>
        <v>480.37829891921</v>
      </c>
      <c r="AO22" s="11" t="n">
        <f aca="false">AN22+Construction!AO14*$F$9/$F$10*(AO21+(AO19-AO20)*AN22)</f>
        <v>493.012936781855</v>
      </c>
      <c r="AP22" s="11" t="n">
        <f aca="false">AO22+Construction!AP14*$F$9/$F$10*(AP21+(AP19-AP20)*AO22)</f>
        <v>502.828806115842</v>
      </c>
      <c r="AQ22" s="11" t="n">
        <f aca="false">AP22+Construction!AQ14*$F$9/$F$10*(AQ21+(AQ19-AQ20)*AP22)</f>
        <v>512.393234602149</v>
      </c>
      <c r="AR22" s="11" t="n">
        <f aca="false">AQ22+Construction!AR14*$F$9/$F$10*(AR21+(AR19-AR20)*AQ22)</f>
        <v>519.629803200956</v>
      </c>
      <c r="AS22" s="11" t="n">
        <f aca="false">AR22+Construction!AS14*$F$9/$F$10*(AS21+(AS19-AS20)*AR22)</f>
        <v>525.183623724844</v>
      </c>
      <c r="AT22" s="11" t="n">
        <f aca="false">AS22+Construction!AT14*$F$9/$F$10*(AT21+(AT19-AT20)*AS22)</f>
        <v>528.953030196932</v>
      </c>
      <c r="AU22" s="11" t="n">
        <f aca="false">AT22+Construction!AU14*$F$9/$F$10*(AU21+(AU19-AU20)*AT22)</f>
        <v>533.883168711098</v>
      </c>
      <c r="AV22" s="11" t="n">
        <f aca="false">AU22+Construction!AV14*$F$9/$F$10*(AV21+(AV19-AV20)*AU22)</f>
        <v>536.740185226821</v>
      </c>
      <c r="AW22" s="11" t="n">
        <f aca="false">AV22+Construction!AW14*$F$9/$F$10*(AW21+(AW19-AW20)*AV22)</f>
        <v>581.972732678867</v>
      </c>
      <c r="AX22" s="11" t="n">
        <f aca="false">AW22+Construction!AX14*$F$9/$F$10*(AX21+(AX19-AX20)*AW22)</f>
        <v>582.77258758607</v>
      </c>
      <c r="AY22" s="11" t="n">
        <f aca="false">AX22+Construction!AY14*$F$9/$F$10*(AY21+(AY19-AY20)*AX22)</f>
        <v>582.77258758607</v>
      </c>
      <c r="AZ22" s="11" t="n">
        <f aca="false">AY22+Construction!AZ14*$F$9/$F$10*(AZ21+(AZ19-AZ20)*AY22)</f>
        <v>582.77258758607</v>
      </c>
      <c r="BA22" s="11" t="n">
        <f aca="false">AZ22+Construction!BA14*$F$9/$F$10*(BA21+(BA19-BA20)*AZ22)</f>
        <v>582.77258758607</v>
      </c>
      <c r="BB22" s="11" t="n">
        <f aca="false">BA22+Construction!BB14*$F$9/$F$10*(BB21+(BB19-BB20)*BA22)</f>
        <v>582.77258758607</v>
      </c>
      <c r="BC22" s="11" t="n">
        <f aca="false">BB22+Construction!BC14*$F$9/$F$10*(BC21+(BC19-BC20)*BB22)</f>
        <v>582.77258758607</v>
      </c>
      <c r="BD22" s="11" t="n">
        <f aca="false">BC22+Construction!BD14*$F$9/$F$10*(BD21+(BD19-BD20)*BC22)</f>
        <v>582.77258758607</v>
      </c>
      <c r="BE22" s="11" t="n">
        <f aca="false">BD22+Construction!BE14*$F$9/$F$10*(BE21+(BE19-BE20)*BD22)</f>
        <v>582.77258758607</v>
      </c>
      <c r="BF22" s="11" t="n">
        <f aca="false">BE22+Construction!BF14*$F$9/$F$10*(BF21+(BF19-BF20)*BE22)</f>
        <v>582.77258758607</v>
      </c>
      <c r="BG22" s="11" t="n">
        <f aca="false">BF22+Construction!BG14*$F$9/$F$10*(BG21+(BG19-BG20)*BF22)</f>
        <v>582.77258758607</v>
      </c>
      <c r="BH22" s="11" t="n">
        <f aca="false">BG22+Construction!BH14*$F$9/$F$10*(BH21+(BH19-BH20)*BG22)</f>
        <v>582.77258758607</v>
      </c>
      <c r="BI22" s="11" t="n">
        <f aca="false">BH22+Construction!BI14*$F$9/$F$10*(BI21+(BI19-BI20)*BH22)</f>
        <v>582.77258758607</v>
      </c>
      <c r="BJ22" s="11" t="n">
        <f aca="false">BI22+Construction!BJ14*$F$9/$F$10*(BJ21+(BJ19-BJ20)*BI22)</f>
        <v>582.77258758607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0.0122211224563974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0.0127145341610811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0.0132626568977709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0.0137950822489194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0.0143472465255011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0.0148835976731039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0.0154329531494392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0.0159841094158718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0.0165192348605775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0.0170739519640867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0.0176125346760688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0.018170835622037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0.0187273309862905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0.019249525766261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0.0198093412536596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0.0203527656620087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0.0209159768347504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0.0214626975047072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0.0220065205110532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0.02255143954132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0.0230798433443398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0.0236269255554327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0.0241574269783035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0.024706680957464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0.0252549963556312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0.0257512061045631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0.0263015401647335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0.0268351507864771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0.027387579691323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0.0279232215000323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0.0284760193293918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0.029029851176544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0.0295668200143757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0.0301226922228618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0.0306616392973366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0.065938149056239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0.065938149056239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0.065938149056239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0.065938149056239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0.065938149056239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0.065938149056239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0.065938149056239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0.065938149056239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0.065938149056239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0.065938149056239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0.065938149056239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0.065938149056239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0.065938149056239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851.929670953075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26.9957049563564</v>
      </c>
      <c r="L28" s="11" t="n">
        <f aca="false">K61</f>
        <v>27.5454624676326</v>
      </c>
      <c r="M28" s="11" t="n">
        <f aca="false">L61</f>
        <v>28.203017033734</v>
      </c>
      <c r="N28" s="11" t="n">
        <f aca="false">M61</f>
        <v>29.0407817334152</v>
      </c>
      <c r="O28" s="11" t="n">
        <f aca="false">N61</f>
        <v>30.141645196386</v>
      </c>
      <c r="P28" s="11" t="n">
        <f aca="false">O61</f>
        <v>31.5538784083389</v>
      </c>
      <c r="Q28" s="11" t="n">
        <f aca="false">P61</f>
        <v>33.3017205017821</v>
      </c>
      <c r="R28" s="11" t="n">
        <f aca="false">Q61</f>
        <v>35.455353013591</v>
      </c>
      <c r="S28" s="11" t="n">
        <f aca="false">R61</f>
        <v>38.0081140235491</v>
      </c>
      <c r="T28" s="11" t="n">
        <f aca="false">S61</f>
        <v>40.9825111621215</v>
      </c>
      <c r="U28" s="11" t="n">
        <f aca="false">T61</f>
        <v>44.3597999547205</v>
      </c>
      <c r="V28" s="11" t="n">
        <f aca="false">U61</f>
        <v>48.1366828311377</v>
      </c>
      <c r="W28" s="11" t="n">
        <f aca="false">V61</f>
        <v>52.2994896381545</v>
      </c>
      <c r="X28" s="11" t="n">
        <f aca="false">W61</f>
        <v>56.8155499396714</v>
      </c>
      <c r="Y28" s="11" t="n">
        <f aca="false">X61</f>
        <v>61.668176068958</v>
      </c>
      <c r="Z28" s="11" t="n">
        <f aca="false">Y61</f>
        <v>66.8045743954285</v>
      </c>
      <c r="AA28" s="11" t="n">
        <f aca="false">Z61</f>
        <v>72.1986671201998</v>
      </c>
      <c r="AB28" s="11" t="n">
        <f aca="false">AA61</f>
        <v>78.0388832818242</v>
      </c>
      <c r="AC28" s="11" t="n">
        <f aca="false">AB61</f>
        <v>83.7556236187207</v>
      </c>
      <c r="AD28" s="11" t="n">
        <f aca="false">AC61</f>
        <v>89.5922084036165</v>
      </c>
      <c r="AE28" s="11" t="n">
        <f aca="false">AD61</f>
        <v>95.5457512416245</v>
      </c>
      <c r="AF28" s="11" t="n">
        <f aca="false">AE61</f>
        <v>101.504792657518</v>
      </c>
      <c r="AG28" s="11" t="n">
        <f aca="false">AF61</f>
        <v>107.395443105594</v>
      </c>
      <c r="AH28" s="11" t="n">
        <f aca="false">AG61</f>
        <v>113.169076346337</v>
      </c>
      <c r="AI28" s="11" t="n">
        <f aca="false">AH61</f>
        <v>118.780776347503</v>
      </c>
      <c r="AJ28" s="11" t="n">
        <f aca="false">AI61</f>
        <v>124.171088674665</v>
      </c>
      <c r="AK28" s="11" t="n">
        <f aca="false">AJ61</f>
        <v>129.675230150423</v>
      </c>
      <c r="AL28" s="11" t="n">
        <f aca="false">AK61</f>
        <v>134.874061100909</v>
      </c>
      <c r="AM28" s="11" t="n">
        <f aca="false">AL61</f>
        <v>139.757264399456</v>
      </c>
      <c r="AN28" s="11" t="n">
        <f aca="false">AM61</f>
        <v>144.395068814817</v>
      </c>
      <c r="AO28" s="11" t="n">
        <f aca="false">AN61</f>
        <v>148.619652877601</v>
      </c>
      <c r="AP28" s="11" t="n">
        <f aca="false">AO61</f>
        <v>152.494980420166</v>
      </c>
      <c r="AQ28" s="11" t="n">
        <f aca="false">AP61</f>
        <v>155.531411535144</v>
      </c>
      <c r="AR28" s="11" t="n">
        <f aca="false">AQ61</f>
        <v>158.497876883673</v>
      </c>
      <c r="AS28" s="11" t="n">
        <f aca="false">AR61</f>
        <v>160.770833116034</v>
      </c>
      <c r="AT28" s="11" t="n">
        <f aca="false">AS61</f>
        <v>162.549694239038</v>
      </c>
      <c r="AU28" s="11" t="n">
        <f aca="false">AT61</f>
        <v>163.800334482762</v>
      </c>
      <c r="AV28" s="11" t="n">
        <f aca="false">AU61</f>
        <v>165.390588251459</v>
      </c>
      <c r="AW28" s="11" t="n">
        <f aca="false">AV61</f>
        <v>166.371463686451</v>
      </c>
      <c r="AX28" s="11" t="n">
        <f aca="false">AW61</f>
        <v>179.897126072587</v>
      </c>
      <c r="AY28" s="11" t="n">
        <f aca="false">AX61</f>
        <v>188.489384102271</v>
      </c>
      <c r="AZ28" s="11" t="n">
        <f aca="false">AY61</f>
        <v>188.489384102271</v>
      </c>
      <c r="BA28" s="11" t="n">
        <f aca="false">AZ61</f>
        <v>188.489384102271</v>
      </c>
      <c r="BB28" s="11" t="n">
        <f aca="false">BA61</f>
        <v>188.489384102271</v>
      </c>
      <c r="BC28" s="11" t="n">
        <f aca="false">BB61</f>
        <v>188.489384102271</v>
      </c>
      <c r="BD28" s="11" t="n">
        <f aca="false">BC61</f>
        <v>188.489384102271</v>
      </c>
      <c r="BE28" s="11" t="n">
        <f aca="false">BD61</f>
        <v>188.489384102271</v>
      </c>
      <c r="BF28" s="11" t="n">
        <f aca="false">BE61</f>
        <v>188.489384102271</v>
      </c>
      <c r="BG28" s="11" t="n">
        <f aca="false">BF61</f>
        <v>188.489384102271</v>
      </c>
      <c r="BH28" s="11" t="n">
        <f aca="false">BG61</f>
        <v>188.489384102271</v>
      </c>
      <c r="BI28" s="11" t="n">
        <f aca="false">BH61</f>
        <v>188.489384102271</v>
      </c>
      <c r="BJ28" s="11" t="n">
        <f aca="false">BI61</f>
        <v>188.489384102271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19.7968503013281</v>
      </c>
      <c r="L29" s="11" t="n">
        <f aca="false">K62</f>
        <v>20.2000058095973</v>
      </c>
      <c r="M29" s="11" t="n">
        <f aca="false">L62</f>
        <v>20.682212491405</v>
      </c>
      <c r="N29" s="11" t="n">
        <f aca="false">M62</f>
        <v>21.2965732711711</v>
      </c>
      <c r="O29" s="11" t="n">
        <f aca="false">N62</f>
        <v>22.1038731440164</v>
      </c>
      <c r="P29" s="11" t="n">
        <f aca="false">O62</f>
        <v>23.1395108327819</v>
      </c>
      <c r="Q29" s="11" t="n">
        <f aca="false">P62</f>
        <v>24.4212617013068</v>
      </c>
      <c r="R29" s="11" t="n">
        <f aca="false">Q62</f>
        <v>26.0005922099667</v>
      </c>
      <c r="S29" s="11" t="n">
        <f aca="false">R62</f>
        <v>27.8726169506027</v>
      </c>
      <c r="T29" s="11" t="n">
        <f aca="false">S62</f>
        <v>30.0538415188891</v>
      </c>
      <c r="U29" s="11" t="n">
        <f aca="false">T62</f>
        <v>32.530519966795</v>
      </c>
      <c r="V29" s="11" t="n">
        <f aca="false">U62</f>
        <v>35.3002340761677</v>
      </c>
      <c r="W29" s="11" t="n">
        <f aca="false">V62</f>
        <v>38.35295906798</v>
      </c>
      <c r="X29" s="11" t="n">
        <f aca="false">W62</f>
        <v>41.6647366224257</v>
      </c>
      <c r="Y29" s="11" t="n">
        <f aca="false">X62</f>
        <v>45.2233291172359</v>
      </c>
      <c r="Z29" s="11" t="n">
        <f aca="false">Y62</f>
        <v>48.9900212233142</v>
      </c>
      <c r="AA29" s="11" t="n">
        <f aca="false">Z62</f>
        <v>52.9456892214799</v>
      </c>
      <c r="AB29" s="11" t="n">
        <f aca="false">AA62</f>
        <v>57.2285144066711</v>
      </c>
      <c r="AC29" s="11" t="n">
        <f aca="false">AB62</f>
        <v>61.4207906537286</v>
      </c>
      <c r="AD29" s="11" t="n">
        <f aca="false">AC62</f>
        <v>65.7009528293188</v>
      </c>
      <c r="AE29" s="11" t="n">
        <f aca="false">AD62</f>
        <v>70.066884243858</v>
      </c>
      <c r="AF29" s="11" t="n">
        <f aca="false">AE62</f>
        <v>74.4368479488465</v>
      </c>
      <c r="AG29" s="11" t="n">
        <f aca="false">AF62</f>
        <v>78.756658277436</v>
      </c>
      <c r="AH29" s="11" t="n">
        <f aca="false">AG62</f>
        <v>82.9906559873141</v>
      </c>
      <c r="AI29" s="11" t="n">
        <f aca="false">AH62</f>
        <v>87.1059026548357</v>
      </c>
      <c r="AJ29" s="11" t="n">
        <f aca="false">AI62</f>
        <v>91.0587983614214</v>
      </c>
      <c r="AK29" s="11" t="n">
        <f aca="false">AJ62</f>
        <v>95.0951687769767</v>
      </c>
      <c r="AL29" s="11" t="n">
        <f aca="false">AK62</f>
        <v>98.9076448073337</v>
      </c>
      <c r="AM29" s="11" t="n">
        <f aca="false">AL62</f>
        <v>102.488660559601</v>
      </c>
      <c r="AN29" s="11" t="n">
        <f aca="false">AM62</f>
        <v>105.889717130866</v>
      </c>
      <c r="AO29" s="11" t="n">
        <f aca="false">AN62</f>
        <v>108.987745443574</v>
      </c>
      <c r="AP29" s="11" t="n">
        <f aca="false">AO62</f>
        <v>111.829652308122</v>
      </c>
      <c r="AQ29" s="11" t="n">
        <f aca="false">AP62</f>
        <v>114.056368459105</v>
      </c>
      <c r="AR29" s="11" t="n">
        <f aca="false">AQ62</f>
        <v>116.23177638136</v>
      </c>
      <c r="AS29" s="11" t="n">
        <f aca="false">AR62</f>
        <v>117.898610951758</v>
      </c>
      <c r="AT29" s="11" t="n">
        <f aca="false">AS62</f>
        <v>119.203109108628</v>
      </c>
      <c r="AU29" s="11" t="n">
        <f aca="false">AT62</f>
        <v>120.120245287359</v>
      </c>
      <c r="AV29" s="11" t="n">
        <f aca="false">AU62</f>
        <v>121.286431384404</v>
      </c>
      <c r="AW29" s="11" t="n">
        <f aca="false">AV62</f>
        <v>122.005740036731</v>
      </c>
      <c r="AX29" s="11" t="n">
        <f aca="false">AW62</f>
        <v>131.924559119897</v>
      </c>
      <c r="AY29" s="11" t="n">
        <f aca="false">AX62</f>
        <v>138.225548341665</v>
      </c>
      <c r="AZ29" s="11" t="n">
        <f aca="false">AY62</f>
        <v>138.225548341665</v>
      </c>
      <c r="BA29" s="11" t="n">
        <f aca="false">AZ62</f>
        <v>138.225548341665</v>
      </c>
      <c r="BB29" s="11" t="n">
        <f aca="false">BA62</f>
        <v>138.225548341665</v>
      </c>
      <c r="BC29" s="11" t="n">
        <f aca="false">BB62</f>
        <v>138.225548341665</v>
      </c>
      <c r="BD29" s="11" t="n">
        <f aca="false">BC62</f>
        <v>138.225548341665</v>
      </c>
      <c r="BE29" s="11" t="n">
        <f aca="false">BD62</f>
        <v>138.225548341665</v>
      </c>
      <c r="BF29" s="11" t="n">
        <f aca="false">BE62</f>
        <v>138.225548341665</v>
      </c>
      <c r="BG29" s="11" t="n">
        <f aca="false">BF62</f>
        <v>138.225548341665</v>
      </c>
      <c r="BH29" s="11" t="n">
        <f aca="false">BG62</f>
        <v>138.225548341665</v>
      </c>
      <c r="BI29" s="11" t="n">
        <f aca="false">BH62</f>
        <v>138.225548341665</v>
      </c>
      <c r="BJ29" s="11" t="n">
        <f aca="false">BI62</f>
        <v>138.225548341665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8.99856831878548</v>
      </c>
      <c r="L30" s="11" t="n">
        <f aca="false">K63</f>
        <v>9.18182082254421</v>
      </c>
      <c r="M30" s="11" t="n">
        <f aca="false">L63</f>
        <v>9.40100567791135</v>
      </c>
      <c r="N30" s="11" t="n">
        <f aca="false">M63</f>
        <v>9.68026057780506</v>
      </c>
      <c r="O30" s="11" t="n">
        <f aca="false">N63</f>
        <v>10.047215065462</v>
      </c>
      <c r="P30" s="11" t="n">
        <f aca="false">O63</f>
        <v>10.5179594694463</v>
      </c>
      <c r="Q30" s="11" t="n">
        <f aca="false">P63</f>
        <v>11.100573500594</v>
      </c>
      <c r="R30" s="11" t="n">
        <f aca="false">Q63</f>
        <v>11.8184510045303</v>
      </c>
      <c r="S30" s="11" t="n">
        <f aca="false">R63</f>
        <v>12.669371341183</v>
      </c>
      <c r="T30" s="11" t="n">
        <f aca="false">S63</f>
        <v>13.6608370540405</v>
      </c>
      <c r="U30" s="11" t="n">
        <f aca="false">T63</f>
        <v>14.7865999849068</v>
      </c>
      <c r="V30" s="11" t="n">
        <f aca="false">U63</f>
        <v>16.0455609437126</v>
      </c>
      <c r="W30" s="11" t="n">
        <f aca="false">V63</f>
        <v>17.4331632127182</v>
      </c>
      <c r="X30" s="11" t="n">
        <f aca="false">W63</f>
        <v>18.9385166465571</v>
      </c>
      <c r="Y30" s="11" t="n">
        <f aca="false">X63</f>
        <v>20.5560586896527</v>
      </c>
      <c r="Z30" s="11" t="n">
        <f aca="false">Y63</f>
        <v>22.2681914651428</v>
      </c>
      <c r="AA30" s="11" t="n">
        <f aca="false">Z63</f>
        <v>24.0662223734</v>
      </c>
      <c r="AB30" s="11" t="n">
        <f aca="false">AA63</f>
        <v>26.0129610939414</v>
      </c>
      <c r="AC30" s="11" t="n">
        <f aca="false">AB63</f>
        <v>27.9185412062403</v>
      </c>
      <c r="AD30" s="11" t="n">
        <f aca="false">AC63</f>
        <v>29.8640694678722</v>
      </c>
      <c r="AE30" s="11" t="n">
        <f aca="false">AD63</f>
        <v>31.8485837472082</v>
      </c>
      <c r="AF30" s="11" t="n">
        <f aca="false">AE63</f>
        <v>33.8349308858393</v>
      </c>
      <c r="AG30" s="11" t="n">
        <f aca="false">AF63</f>
        <v>35.7984810351982</v>
      </c>
      <c r="AH30" s="11" t="n">
        <f aca="false">AG63</f>
        <v>37.7230254487791</v>
      </c>
      <c r="AI30" s="11" t="n">
        <f aca="false">AH63</f>
        <v>39.5935921158344</v>
      </c>
      <c r="AJ30" s="11" t="n">
        <f aca="false">AI63</f>
        <v>41.3903628915552</v>
      </c>
      <c r="AK30" s="11" t="n">
        <f aca="false">AJ63</f>
        <v>43.2250767168076</v>
      </c>
      <c r="AL30" s="11" t="n">
        <f aca="false">AK63</f>
        <v>44.9580203669699</v>
      </c>
      <c r="AM30" s="11" t="n">
        <f aca="false">AL63</f>
        <v>46.5857547998187</v>
      </c>
      <c r="AN30" s="11" t="n">
        <f aca="false">AM63</f>
        <v>48.1316896049391</v>
      </c>
      <c r="AO30" s="11" t="n">
        <f aca="false">AN63</f>
        <v>49.5398842925336</v>
      </c>
      <c r="AP30" s="11" t="n">
        <f aca="false">AO63</f>
        <v>50.8316601400554</v>
      </c>
      <c r="AQ30" s="11" t="n">
        <f aca="false">AP63</f>
        <v>51.8438038450479</v>
      </c>
      <c r="AR30" s="11" t="n">
        <f aca="false">AQ63</f>
        <v>52.8326256278911</v>
      </c>
      <c r="AS30" s="11" t="n">
        <f aca="false">AR63</f>
        <v>53.5902777053446</v>
      </c>
      <c r="AT30" s="11" t="n">
        <f aca="false">AS63</f>
        <v>54.1832314130129</v>
      </c>
      <c r="AU30" s="11" t="n">
        <f aca="false">AT63</f>
        <v>54.6001114942542</v>
      </c>
      <c r="AV30" s="11" t="n">
        <f aca="false">AU63</f>
        <v>55.1301960838199</v>
      </c>
      <c r="AW30" s="11" t="n">
        <f aca="false">AV63</f>
        <v>55.4571545621504</v>
      </c>
      <c r="AX30" s="11" t="n">
        <f aca="false">AW63</f>
        <v>59.9657086908622</v>
      </c>
      <c r="AY30" s="11" t="n">
        <f aca="false">AX63</f>
        <v>62.8297947007569</v>
      </c>
      <c r="AZ30" s="11" t="n">
        <f aca="false">AY63</f>
        <v>62.8297947007569</v>
      </c>
      <c r="BA30" s="11" t="n">
        <f aca="false">AZ63</f>
        <v>62.8297947007569</v>
      </c>
      <c r="BB30" s="11" t="n">
        <f aca="false">BA63</f>
        <v>62.8297947007569</v>
      </c>
      <c r="BC30" s="11" t="n">
        <f aca="false">BB63</f>
        <v>62.8297947007569</v>
      </c>
      <c r="BD30" s="11" t="n">
        <f aca="false">BC63</f>
        <v>62.8297947007569</v>
      </c>
      <c r="BE30" s="11" t="n">
        <f aca="false">BD63</f>
        <v>62.8297947007569</v>
      </c>
      <c r="BF30" s="11" t="n">
        <f aca="false">BE63</f>
        <v>62.8297947007569</v>
      </c>
      <c r="BG30" s="11" t="n">
        <f aca="false">BF63</f>
        <v>62.8297947007569</v>
      </c>
      <c r="BH30" s="11" t="n">
        <f aca="false">BG63</f>
        <v>62.8297947007569</v>
      </c>
      <c r="BI30" s="11" t="n">
        <f aca="false">BH63</f>
        <v>62.8297947007569</v>
      </c>
      <c r="BJ30" s="11" t="n">
        <f aca="false">BI63</f>
        <v>62.8297947007569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34.1945596113848</v>
      </c>
      <c r="L31" s="11" t="n">
        <f aca="false">K64</f>
        <v>34.890919125668</v>
      </c>
      <c r="M31" s="11" t="n">
        <f aca="false">L64</f>
        <v>35.7238215760631</v>
      </c>
      <c r="N31" s="11" t="n">
        <f aca="false">M64</f>
        <v>36.7849901956592</v>
      </c>
      <c r="O31" s="11" t="n">
        <f aca="false">N64</f>
        <v>38.1794172487556</v>
      </c>
      <c r="P31" s="11" t="n">
        <f aca="false">O64</f>
        <v>39.968245983896</v>
      </c>
      <c r="Q31" s="11" t="n">
        <f aca="false">P64</f>
        <v>42.1821793022573</v>
      </c>
      <c r="R31" s="11" t="n">
        <f aca="false">Q64</f>
        <v>44.9101138172153</v>
      </c>
      <c r="S31" s="11" t="n">
        <f aca="false">R64</f>
        <v>48.1436110964956</v>
      </c>
      <c r="T31" s="11" t="n">
        <f aca="false">S64</f>
        <v>51.9111808053539</v>
      </c>
      <c r="U31" s="11" t="n">
        <f aca="false">T64</f>
        <v>56.189079942646</v>
      </c>
      <c r="V31" s="11" t="n">
        <f aca="false">U64</f>
        <v>60.9731315861077</v>
      </c>
      <c r="W31" s="11" t="n">
        <f aca="false">V64</f>
        <v>66.2460202083291</v>
      </c>
      <c r="X31" s="11" t="n">
        <f aca="false">W64</f>
        <v>71.9663632569171</v>
      </c>
      <c r="Y31" s="11" t="n">
        <f aca="false">X64</f>
        <v>78.1130230206802</v>
      </c>
      <c r="Z31" s="11" t="n">
        <f aca="false">Y64</f>
        <v>84.6191275675427</v>
      </c>
      <c r="AA31" s="11" t="n">
        <f aca="false">Z64</f>
        <v>91.4516450189198</v>
      </c>
      <c r="AB31" s="11" t="n">
        <f aca="false">AA64</f>
        <v>98.8492521569773</v>
      </c>
      <c r="AC31" s="11" t="n">
        <f aca="false">AB64</f>
        <v>106.090456583713</v>
      </c>
      <c r="AD31" s="11" t="n">
        <f aca="false">AC64</f>
        <v>113.483463977914</v>
      </c>
      <c r="AE31" s="11" t="n">
        <f aca="false">AD64</f>
        <v>121.024618239391</v>
      </c>
      <c r="AF31" s="11" t="n">
        <f aca="false">AE64</f>
        <v>128.572737366189</v>
      </c>
      <c r="AG31" s="11" t="n">
        <f aca="false">AF64</f>
        <v>136.034227933753</v>
      </c>
      <c r="AH31" s="11" t="n">
        <f aca="false">AG64</f>
        <v>143.347496705361</v>
      </c>
      <c r="AI31" s="11" t="n">
        <f aca="false">AH64</f>
        <v>150.455650040171</v>
      </c>
      <c r="AJ31" s="11" t="n">
        <f aca="false">AI64</f>
        <v>157.28337898791</v>
      </c>
      <c r="AK31" s="11" t="n">
        <f aca="false">AJ64</f>
        <v>164.255291523869</v>
      </c>
      <c r="AL31" s="11" t="n">
        <f aca="false">AK64</f>
        <v>170.840477394485</v>
      </c>
      <c r="AM31" s="11" t="n">
        <f aca="false">AL64</f>
        <v>177.025868239311</v>
      </c>
      <c r="AN31" s="11" t="n">
        <f aca="false">AM64</f>
        <v>182.900420498768</v>
      </c>
      <c r="AO31" s="11" t="n">
        <f aca="false">AN64</f>
        <v>188.251560311628</v>
      </c>
      <c r="AP31" s="11" t="n">
        <f aca="false">AO64</f>
        <v>193.16030853221</v>
      </c>
      <c r="AQ31" s="11" t="n">
        <f aca="false">AP64</f>
        <v>197.006454611182</v>
      </c>
      <c r="AR31" s="11" t="n">
        <f aca="false">AQ64</f>
        <v>200.763977385986</v>
      </c>
      <c r="AS31" s="11" t="n">
        <f aca="false">AR64</f>
        <v>203.64305528031</v>
      </c>
      <c r="AT31" s="11" t="n">
        <f aca="false">AS64</f>
        <v>205.896279369449</v>
      </c>
      <c r="AU31" s="11" t="n">
        <f aca="false">AT64</f>
        <v>207.480423678166</v>
      </c>
      <c r="AV31" s="11" t="n">
        <f aca="false">AU64</f>
        <v>209.494745118515</v>
      </c>
      <c r="AW31" s="11" t="n">
        <f aca="false">AV64</f>
        <v>210.737187336171</v>
      </c>
      <c r="AX31" s="11" t="n">
        <f aca="false">AW64</f>
        <v>227.869693025277</v>
      </c>
      <c r="AY31" s="11" t="n">
        <f aca="false">AX64</f>
        <v>238.753219862876</v>
      </c>
      <c r="AZ31" s="11" t="n">
        <f aca="false">AY64</f>
        <v>238.753219862876</v>
      </c>
      <c r="BA31" s="11" t="n">
        <f aca="false">AZ64</f>
        <v>238.753219862876</v>
      </c>
      <c r="BB31" s="11" t="n">
        <f aca="false">BA64</f>
        <v>238.753219862876</v>
      </c>
      <c r="BC31" s="11" t="n">
        <f aca="false">BB64</f>
        <v>238.753219862876</v>
      </c>
      <c r="BD31" s="11" t="n">
        <f aca="false">BC64</f>
        <v>238.753219862876</v>
      </c>
      <c r="BE31" s="11" t="n">
        <f aca="false">BD64</f>
        <v>238.753219862876</v>
      </c>
      <c r="BF31" s="11" t="n">
        <f aca="false">BE64</f>
        <v>238.753219862876</v>
      </c>
      <c r="BG31" s="11" t="n">
        <f aca="false">BF64</f>
        <v>238.753219862876</v>
      </c>
      <c r="BH31" s="11" t="n">
        <f aca="false">BG64</f>
        <v>238.753219862876</v>
      </c>
      <c r="BI31" s="11" t="n">
        <f aca="false">BH64</f>
        <v>238.753219862876</v>
      </c>
      <c r="BJ31" s="11" t="n">
        <f aca="false">BI64</f>
        <v>238.753219862876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0</v>
      </c>
      <c r="AT32" s="11" t="n">
        <f aca="false">AS65</f>
        <v>0</v>
      </c>
      <c r="AU32" s="11" t="n">
        <f aca="false">AT65</f>
        <v>0</v>
      </c>
      <c r="AV32" s="11" t="n">
        <f aca="false">AU65</f>
        <v>0</v>
      </c>
      <c r="AW32" s="11" t="n">
        <f aca="false">AV65</f>
        <v>0</v>
      </c>
      <c r="AX32" s="11" t="n">
        <f aca="false">AW65</f>
        <v>0</v>
      </c>
      <c r="AY32" s="11" t="n">
        <f aca="false">AX65</f>
        <v>0</v>
      </c>
      <c r="AZ32" s="11" t="n">
        <f aca="false">AY65</f>
        <v>0</v>
      </c>
      <c r="BA32" s="11" t="n">
        <f aca="false">AZ65</f>
        <v>0</v>
      </c>
      <c r="BB32" s="11" t="n">
        <f aca="false">BA65</f>
        <v>0</v>
      </c>
      <c r="BC32" s="11" t="n">
        <f aca="false">BB65</f>
        <v>0</v>
      </c>
      <c r="BD32" s="11" t="n">
        <f aca="false">BC65</f>
        <v>0</v>
      </c>
      <c r="BE32" s="11" t="n">
        <f aca="false">BD65</f>
        <v>0</v>
      </c>
      <c r="BF32" s="11" t="n">
        <f aca="false">BE65</f>
        <v>0</v>
      </c>
      <c r="BG32" s="11" t="n">
        <f aca="false">BF65</f>
        <v>0</v>
      </c>
      <c r="BH32" s="11" t="n">
        <f aca="false">BG65</f>
        <v>0</v>
      </c>
      <c r="BI32" s="11" t="n">
        <f aca="false">BH65</f>
        <v>0</v>
      </c>
      <c r="BJ32" s="11" t="n">
        <f aca="false">BI65</f>
        <v>0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7.09281313524516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0.0870611484842495</v>
      </c>
      <c r="L33" s="11" t="n">
        <f aca="false">Construction!L14*L28*(Construction!L17+Inputs!$F$77)/100*Construction!L11/360*1</f>
        <v>0.0917952536733857</v>
      </c>
      <c r="M33" s="11" t="n">
        <f aca="false">Construction!M14*M28*(Construction!M17+Inputs!$F$77)/100*Construction!M11/360*1</f>
        <v>0.0909547299337923</v>
      </c>
      <c r="N33" s="11" t="n">
        <f aca="false">Construction!N14*N28*(Construction!N17+Inputs!$F$77)/100*Construction!N11/360*1</f>
        <v>0.0967784051266061</v>
      </c>
      <c r="O33" s="11" t="n">
        <f aca="false">Construction!O14*O28*(Construction!O17+Inputs!$F$77)/100*Construction!O11/360*1</f>
        <v>0.109531389571978</v>
      </c>
      <c r="P33" s="11" t="n">
        <f aca="false">Construction!P14*P28*(Construction!P17+Inputs!$F$77)/100*Construction!P11/360*1</f>
        <v>0.103566840909148</v>
      </c>
      <c r="Q33" s="11" t="n">
        <f aca="false">Construction!Q14*Q28*(Construction!Q17+Inputs!$F$77)/100*Construction!Q11/360*1</f>
        <v>0.121014752112309</v>
      </c>
      <c r="R33" s="11" t="n">
        <f aca="false">Construction!R14*R28*(Construction!R17+Inputs!$F$77)/100*Construction!R11/360*1</f>
        <v>0.124684658097795</v>
      </c>
      <c r="S33" s="11" t="n">
        <f aca="false">Construction!S14*S28*(Construction!S17+Inputs!$F$77)/100*Construction!S11/360*1</f>
        <v>0.138117263237797</v>
      </c>
      <c r="T33" s="11" t="n">
        <f aca="false">Construction!T14*T28*(Construction!T17+Inputs!$F$77)/100*Construction!T11/360*1</f>
        <v>0.144121830920127</v>
      </c>
      <c r="U33" s="11" t="n">
        <f aca="false">Construction!U14*U28*(Construction!U17+Inputs!$F$77)/100*Construction!U11/360*1</f>
        <v>0.13560544402825</v>
      </c>
      <c r="V33" s="11" t="n">
        <f aca="false">Construction!V14*V28*(Construction!V17+Inputs!$F$77)/100*Construction!V11/360*1</f>
        <v>0.147151165154631</v>
      </c>
      <c r="W33" s="11" t="n">
        <f aca="false">Construction!W14*W28*(Construction!W17+Inputs!$F$77)/100*Construction!W11/360*1</f>
        <v>0.154719323512874</v>
      </c>
      <c r="X33" s="11" t="n">
        <f aca="false">Construction!X14*X28*(Construction!X17+Inputs!$F$77)/100*Construction!X11/360*1</f>
        <v>0.173681979746134</v>
      </c>
      <c r="Y33" s="11" t="n">
        <f aca="false">Construction!Y14*Y28*(Construction!Y17+Inputs!$F$77)/100*Construction!Y11/360*1</f>
        <v>0.182435020870667</v>
      </c>
      <c r="Z33" s="11" t="n">
        <f aca="false">Construction!Z14*Z28*(Construction!Z17+Inputs!$F$77)/100*Construction!Z11/360*1</f>
        <v>0.204217872561581</v>
      </c>
      <c r="AA33" s="11" t="n">
        <f aca="false">Construction!AA14*AA28*(Construction!AA17+Inputs!$F$77)/100*Construction!AA11/360*1</f>
        <v>0.20267770275465</v>
      </c>
      <c r="AB33" s="11" t="n">
        <f aca="false">Construction!AB14*AB28*(Construction!AB17+Inputs!$F$77)/100*Construction!AB11/360*1</f>
        <v>0.204938778485102</v>
      </c>
      <c r="AC33" s="11" t="n">
        <f aca="false">Construction!AC14*AC28*(Construction!AC17+Inputs!$F$77)/100*Construction!AC11/360*1</f>
        <v>0.235120647858553</v>
      </c>
      <c r="AD33" s="11" t="n">
        <f aca="false">Construction!AD14*AD28*(Construction!AD17+Inputs!$F$77)/100*Construction!AD11/360*1</f>
        <v>0.243392166163158</v>
      </c>
      <c r="AE33" s="11" t="n">
        <f aca="false">Construction!AE14*AE28*(Construction!AE17+Inputs!$F$77)/100*Construction!AE11/360*1</f>
        <v>0.268218156124405</v>
      </c>
      <c r="AF33" s="11" t="n">
        <f aca="false">Construction!AF14*AF28*(Construction!AF17+Inputs!$F$77)/100*Construction!AF11/360*1</f>
        <v>0.27575468671959</v>
      </c>
      <c r="AG33" s="11" t="n">
        <f aca="false">Construction!AG14*AG28*(Construction!AG17+Inputs!$F$77)/100*Construction!AG11/360*1</f>
        <v>0.159064584066397</v>
      </c>
      <c r="AH33" s="11" t="n">
        <f aca="false">Construction!AH14*AH28*(Construction!AH17+Inputs!$F$77)/100*Construction!AH11/360*1</f>
        <v>0.167615976410742</v>
      </c>
      <c r="AI33" s="11" t="n">
        <f aca="false">Construction!AI14*AI28*(Construction!AI17+Inputs!$F$77)/100*Construction!AI11/360*1</f>
        <v>0.170252446098088</v>
      </c>
      <c r="AJ33" s="11" t="n">
        <f aca="false">Construction!AJ14*AJ28*(Construction!AJ17+Inputs!$F$77)/100*Construction!AJ11/360*1</f>
        <v>0.18391117911481</v>
      </c>
      <c r="AK33" s="11" t="n">
        <f aca="false">Construction!AK14*AK28*(Construction!AK17+Inputs!$F$77)/100*Construction!AK11/360*1</f>
        <v>0.185867829882273</v>
      </c>
      <c r="AL33" s="11" t="n">
        <f aca="false">Construction!AL14*AL28*(Construction!AL17+Inputs!$F$77)/100*Construction!AL11/360*1</f>
        <v>0.199763470497236</v>
      </c>
      <c r="AM33" s="11" t="n">
        <f aca="false">Construction!AM14*AM28*(Construction!AM17+Inputs!$F$77)/100*Construction!AM11/360*1</f>
        <v>0.192554453172584</v>
      </c>
      <c r="AN33" s="11" t="n">
        <f aca="false">Construction!AN14*AN28*(Construction!AN17+Inputs!$F$77)/100*Construction!AN11/360*1</f>
        <v>0.179691641191772</v>
      </c>
      <c r="AO33" s="11" t="n">
        <f aca="false">Construction!AO14*AO28*(Construction!AO17+Inputs!$F$77)/100*Construction!AO11/360*1</f>
        <v>0.204764855075805</v>
      </c>
      <c r="AP33" s="11" t="n">
        <f aca="false">Construction!AP14*AP28*(Construction!AP17+Inputs!$F$77)/100*Construction!AP11/360*1</f>
        <v>0.203326640560221</v>
      </c>
      <c r="AQ33" s="11" t="n">
        <f aca="false">Construction!AQ14*AQ28*(Construction!AQ17+Inputs!$F$77)/100*Construction!AQ11/360*1</f>
        <v>0.214287722559531</v>
      </c>
      <c r="AR33" s="11" t="n">
        <f aca="false">Construction!AR14*AR28*(Construction!AR17+Inputs!$F$77)/100*Construction!AR11/360*1</f>
        <v>0.211330502511564</v>
      </c>
      <c r="AS33" s="11" t="n">
        <f aca="false">Construction!AS14*AS28*(Construction!AS17+Inputs!$F$77)/100*Construction!AS11/360*1</f>
        <v>0.209046741615598</v>
      </c>
      <c r="AT33" s="11" t="n">
        <f aca="false">Construction!AT14*AT28*(Construction!AT17+Inputs!$F$77)/100*Construction!AT11/360*1</f>
        <v>0.211359755203594</v>
      </c>
      <c r="AU33" s="11" t="n">
        <f aca="false">Construction!AU14*AU28*(Construction!AU17+Inputs!$F$77)/100*Construction!AU11/360*1</f>
        <v>0.206115420890809</v>
      </c>
      <c r="AV33" s="11" t="n">
        <f aca="false">Construction!AV14*AV28*(Construction!AV17+Inputs!$F$77)/100*Construction!AV11/360*1</f>
        <v>0.215053706556967</v>
      </c>
      <c r="AW33" s="11" t="n">
        <f aca="false">Construction!AW14*AW28*(Construction!AW17+Inputs!$F$77)/100*Construction!AW11/360*1</f>
        <v>0.209350758472118</v>
      </c>
      <c r="AX33" s="11" t="n">
        <f aca="false">Construction!AX14*AX28*(Construction!AX17+Inputs!$F$77)/100*Construction!AX11/360*1</f>
        <v>0.233916235318272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10.6235870970762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0.101788805299328</v>
      </c>
      <c r="L34" s="11" t="n">
        <f aca="false">Construction!L14*L29*(Construction!L17+Inputs!$F$78)/100*Construction!L11/360*1</f>
        <v>0.107323753088935</v>
      </c>
      <c r="M34" s="11" t="n">
        <f aca="false">Construction!M14*M29*(Construction!M17+Inputs!$F$78)/100*Construction!M11/360*1</f>
        <v>0.106341042559974</v>
      </c>
      <c r="N34" s="11" t="n">
        <f aca="false">Construction!N14*N29*(Construction!N17+Inputs!$F$78)/100*Construction!N11/360*1</f>
        <v>0.113149876932692</v>
      </c>
      <c r="O34" s="11" t="n">
        <f aca="false">Construction!O14*O29*(Construction!O17+Inputs!$F$78)/100*Construction!O11/360*1</f>
        <v>0.124100967774128</v>
      </c>
      <c r="P34" s="11" t="n">
        <f aca="false">Construction!P14*P29*(Construction!P17+Inputs!$F$78)/100*Construction!P11/360*1</f>
        <v>0.117343030489796</v>
      </c>
      <c r="Q34" s="11" t="n">
        <f aca="false">Construction!Q14*Q29*(Construction!Q17+Inputs!$F$78)/100*Construction!Q11/360*1</f>
        <v>0.137111817085226</v>
      </c>
      <c r="R34" s="11" t="n">
        <f aca="false">Construction!R14*R29*(Construction!R17+Inputs!$F$78)/100*Construction!R11/360*1</f>
        <v>0.141269884340819</v>
      </c>
      <c r="S34" s="11" t="n">
        <f aca="false">Construction!S14*S29*(Construction!S17+Inputs!$F$78)/100*Construction!S11/360*1</f>
        <v>0.156489259390439</v>
      </c>
      <c r="T34" s="11" t="n">
        <f aca="false">Construction!T14*T29*(Construction!T17+Inputs!$F$78)/100*Construction!T11/360*1</f>
        <v>0.163292538919297</v>
      </c>
      <c r="U34" s="11" t="n">
        <f aca="false">Construction!U14*U29*(Construction!U17+Inputs!$F$78)/100*Construction!U11/360*1</f>
        <v>0.16387249433273</v>
      </c>
      <c r="V34" s="11" t="n">
        <f aca="false">Construction!V14*V29*(Construction!V17+Inputs!$F$78)/100*Construction!V11/360*1</f>
        <v>0.177824929158695</v>
      </c>
      <c r="W34" s="11" t="n">
        <f aca="false">Construction!W14*W29*(Construction!W17+Inputs!$F$78)/100*Construction!W11/360*1</f>
        <v>0.186970675456403</v>
      </c>
      <c r="X34" s="11" t="n">
        <f aca="false">Construction!X14*X29*(Construction!X17+Inputs!$F$78)/100*Construction!X11/360*1</f>
        <v>0.209886110735469</v>
      </c>
      <c r="Y34" s="11" t="n">
        <f aca="false">Construction!Y14*Y29*(Construction!Y17+Inputs!$F$78)/100*Construction!Y11/360*1</f>
        <v>0.220463729446525</v>
      </c>
      <c r="Z34" s="11" t="n">
        <f aca="false">Construction!Z14*Z29*(Construction!Z17+Inputs!$F$78)/100*Construction!Z11/360*1</f>
        <v>0.246787231912445</v>
      </c>
      <c r="AA34" s="11" t="n">
        <f aca="false">Construction!AA14*AA29*(Construction!AA17+Inputs!$F$78)/100*Construction!AA11/360*1</f>
        <v>0.25349219428373</v>
      </c>
      <c r="AB34" s="11" t="n">
        <f aca="false">Construction!AB14*AB29*(Construction!AB17+Inputs!$F$78)/100*Construction!AB11/360*1</f>
        <v>0.256320157303657</v>
      </c>
      <c r="AC34" s="11" t="n">
        <f aca="false">Construction!AC14*AC29*(Construction!AC17+Inputs!$F$78)/100*Construction!AC11/360*1</f>
        <v>0.294069096585463</v>
      </c>
      <c r="AD34" s="11" t="n">
        <f aca="false">Construction!AD14*AD29*(Construction!AD17+Inputs!$F$78)/100*Construction!AD11/360*1</f>
        <v>0.304414414775844</v>
      </c>
      <c r="AE34" s="11" t="n">
        <f aca="false">Construction!AE14*AE29*(Construction!AE17+Inputs!$F$78)/100*Construction!AE11/360*1</f>
        <v>0.335464671340871</v>
      </c>
      <c r="AF34" s="11" t="n">
        <f aca="false">Construction!AF14*AF29*(Construction!AF17+Inputs!$F$78)/100*Construction!AF11/360*1</f>
        <v>0.344890728829656</v>
      </c>
      <c r="AG34" s="11" t="n">
        <f aca="false">Construction!AG14*AG29*(Construction!AG17+Inputs!$F$78)/100*Construction!AG11/360*1</f>
        <v>0.272629298737058</v>
      </c>
      <c r="AH34" s="11" t="n">
        <f aca="false">Construction!AH14*AH29*(Construction!AH17+Inputs!$F$78)/100*Construction!AH11/360*1</f>
        <v>0.287285987476086</v>
      </c>
      <c r="AI34" s="11" t="n">
        <f aca="false">Construction!AI14*AI29*(Construction!AI17+Inputs!$F$78)/100*Construction!AI11/360*1</f>
        <v>0.291804773893699</v>
      </c>
      <c r="AJ34" s="11" t="n">
        <f aca="false">Construction!AJ14*AJ29*(Construction!AJ17+Inputs!$F$78)/100*Construction!AJ11/360*1</f>
        <v>0.315215206994454</v>
      </c>
      <c r="AK34" s="11" t="n">
        <f aca="false">Construction!AK14*AK29*(Construction!AK17+Inputs!$F$78)/100*Construction!AK11/360*1</f>
        <v>0.318568815402872</v>
      </c>
      <c r="AL34" s="11" t="n">
        <f aca="false">Construction!AL14*AL29*(Construction!AL17+Inputs!$F$78)/100*Construction!AL11/360*1</f>
        <v>0.342385297108053</v>
      </c>
      <c r="AM34" s="11" t="n">
        <f aca="false">Construction!AM14*AM29*(Construction!AM17+Inputs!$F$78)/100*Construction!AM11/360*1</f>
        <v>0.344191085045994</v>
      </c>
      <c r="AN34" s="11" t="n">
        <f aca="false">Construction!AN14*AN29*(Construction!AN17+Inputs!$F$78)/100*Construction!AN11/360*1</f>
        <v>0.321198808630293</v>
      </c>
      <c r="AO34" s="11" t="n">
        <f aca="false">Construction!AO14*AO29*(Construction!AO17+Inputs!$F$78)/100*Construction!AO11/360*1</f>
        <v>0.366017178448002</v>
      </c>
      <c r="AP34" s="11" t="n">
        <f aca="false">Construction!AP14*AP29*(Construction!AP17+Inputs!$F$78)/100*Construction!AP11/360*1</f>
        <v>0.363446370001396</v>
      </c>
      <c r="AQ34" s="11" t="n">
        <f aca="false">Construction!AQ14*AQ29*(Construction!AQ17+Inputs!$F$78)/100*Construction!AQ11/360*1</f>
        <v>0.383039304075162</v>
      </c>
      <c r="AR34" s="11" t="n">
        <f aca="false">Construction!AR14*AR29*(Construction!AR17+Inputs!$F$78)/100*Construction!AR11/360*1</f>
        <v>0.377753273239421</v>
      </c>
      <c r="AS34" s="11" t="n">
        <f aca="false">Construction!AS14*AS29*(Construction!AS17+Inputs!$F$78)/100*Construction!AS11/360*1</f>
        <v>0.386805692764227</v>
      </c>
      <c r="AT34" s="11" t="n">
        <f aca="false">Construction!AT14*AT29*(Construction!AT17+Inputs!$F$78)/100*Construction!AT11/360*1</f>
        <v>0.391085533800558</v>
      </c>
      <c r="AU34" s="11" t="n">
        <f aca="false">Construction!AU14*AU29*(Construction!AU17+Inputs!$F$78)/100*Construction!AU11/360*1</f>
        <v>0.381381778787365</v>
      </c>
      <c r="AV34" s="11" t="n">
        <f aca="false">Construction!AV14*AV29*(Construction!AV17+Inputs!$F$78)/100*Construction!AV11/360*1</f>
        <v>0.397920566966998</v>
      </c>
      <c r="AW34" s="11" t="n">
        <f aca="false">Construction!AW14*AW29*(Construction!AW17+Inputs!$F$78)/100*Construction!AW11/360*1</f>
        <v>0.387368224616621</v>
      </c>
      <c r="AX34" s="11" t="n">
        <f aca="false">Construction!AX14*AX29*(Construction!AX17+Inputs!$F$78)/100*Construction!AX11/360*1</f>
        <v>0.432822491045862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4.56100842367613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0.0443929370393417</v>
      </c>
      <c r="L35" s="11" t="n">
        <f aca="false">Construction!L14*L30*(Construction!L17+Inputs!$F$79)/100*Construction!L11/360*1</f>
        <v>0.0468068821487032</v>
      </c>
      <c r="M35" s="11" t="n">
        <f aca="false">Construction!M14*M30*(Construction!M17+Inputs!$F$79)/100*Construction!M11/360*1</f>
        <v>0.046378294677696</v>
      </c>
      <c r="N35" s="11" t="n">
        <f aca="false">Construction!N14*N30*(Construction!N17+Inputs!$F$79)/100*Construction!N11/360*1</f>
        <v>0.0493478172566329</v>
      </c>
      <c r="O35" s="11" t="n">
        <f aca="false">Construction!O14*O30*(Construction!O17+Inputs!$F$79)/100*Construction!O11/360*1</f>
        <v>0.0542465886742736</v>
      </c>
      <c r="P35" s="11" t="n">
        <f aca="false">Construction!P14*P30*(Construction!P17+Inputs!$F$79)/100*Construction!P11/360*1</f>
        <v>0.0512925823459998</v>
      </c>
      <c r="Q35" s="11" t="n">
        <f aca="false">Construction!Q14*Q30*(Construction!Q17+Inputs!$F$79)/100*Construction!Q11/360*1</f>
        <v>0.0599338464252905</v>
      </c>
      <c r="R35" s="11" t="n">
        <f aca="false">Construction!R14*R30*(Construction!R17+Inputs!$F$79)/100*Construction!R11/360*1</f>
        <v>0.061751406498671</v>
      </c>
      <c r="S35" s="11" t="n">
        <f aca="false">Construction!S14*S30*(Construction!S17+Inputs!$F$79)/100*Construction!S11/360*1</f>
        <v>0.0684040474329374</v>
      </c>
      <c r="T35" s="11" t="n">
        <f aca="false">Construction!T14*T30*(Construction!T17+Inputs!$F$79)/100*Construction!T11/360*1</f>
        <v>0.0713778736073616</v>
      </c>
      <c r="U35" s="11" t="n">
        <f aca="false">Construction!U14*U30*(Construction!U17+Inputs!$F$79)/100*Construction!U11/360*1</f>
        <v>0.0713042710383285</v>
      </c>
      <c r="V35" s="11" t="n">
        <f aca="false">Construction!V14*V30*(Construction!V17+Inputs!$F$79)/100*Construction!V11/360*1</f>
        <v>0.0773752605507917</v>
      </c>
      <c r="W35" s="11" t="n">
        <f aca="false">Construction!W14*W30*(Construction!W17+Inputs!$F$79)/100*Construction!W11/360*1</f>
        <v>0.0813547616593515</v>
      </c>
      <c r="X35" s="11" t="n">
        <f aca="false">Construction!X14*X30*(Construction!X17+Inputs!$F$79)/100*Construction!X11/360*1</f>
        <v>0.0913257358289533</v>
      </c>
      <c r="Y35" s="11" t="n">
        <f aca="false">Construction!Y14*Y30*(Construction!Y17+Inputs!$F$79)/100*Construction!Y11/360*1</f>
        <v>0.0959282738850458</v>
      </c>
      <c r="Z35" s="11" t="n">
        <f aca="false">Construction!Z14*Z30*(Construction!Z17+Inputs!$F$79)/100*Construction!Z11/360*1</f>
        <v>0.107382167731911</v>
      </c>
      <c r="AA35" s="11" t="n">
        <f aca="false">Construction!AA14*AA30*(Construction!AA17+Inputs!$F$79)/100*Construction!AA11/360*1</f>
        <v>0.110042801802371</v>
      </c>
      <c r="AB35" s="11" t="n">
        <f aca="false">Construction!AB14*AB30*(Construction!AB17+Inputs!$F$79)/100*Construction!AB11/360*1</f>
        <v>0.111270441079334</v>
      </c>
      <c r="AC35" s="11" t="n">
        <f aca="false">Construction!AC14*AC30*(Construction!AC17+Inputs!$F$79)/100*Construction!AC11/360*1</f>
        <v>0.127657529665534</v>
      </c>
      <c r="AD35" s="11" t="n">
        <f aca="false">Construction!AD14*AD30*(Construction!AD17+Inputs!$F$79)/100*Construction!AD11/360*1</f>
        <v>0.132148507395334</v>
      </c>
      <c r="AE35" s="11" t="n">
        <f aca="false">Construction!AE14*AE30*(Construction!AE17+Inputs!$F$79)/100*Construction!AE11/360*1</f>
        <v>0.145627649184109</v>
      </c>
      <c r="AF35" s="11" t="n">
        <f aca="false">Construction!AF14*AF30*(Construction!AF17+Inputs!$F$79)/100*Construction!AF11/360*1</f>
        <v>0.149719569169839</v>
      </c>
      <c r="AG35" s="11" t="n">
        <f aca="false">Construction!AG14*AG30*(Construction!AG17+Inputs!$F$79)/100*Construction!AG11/360*1</f>
        <v>0.116215791071767</v>
      </c>
      <c r="AH35" s="11" t="n">
        <f aca="false">Construction!AH14*AH30*(Construction!AH17+Inputs!$F$79)/100*Construction!AH11/360*1</f>
        <v>0.122463610672189</v>
      </c>
      <c r="AI35" s="11" t="n">
        <f aca="false">Construction!AI14*AI30*(Construction!AI17+Inputs!$F$79)/100*Construction!AI11/360*1</f>
        <v>0.124389868563913</v>
      </c>
      <c r="AJ35" s="11" t="n">
        <f aca="false">Construction!AJ14*AJ30*(Construction!AJ17+Inputs!$F$79)/100*Construction!AJ11/360*1</f>
        <v>0.134369214198224</v>
      </c>
      <c r="AK35" s="11" t="n">
        <f aca="false">Construction!AK14*AK30*(Construction!AK17+Inputs!$F$79)/100*Construction!AK11/360*1</f>
        <v>0.135798782685304</v>
      </c>
      <c r="AL35" s="11" t="n">
        <f aca="false">Construction!AL14*AL30*(Construction!AL17+Inputs!$F$79)/100*Construction!AL11/360*1</f>
        <v>0.145951217785771</v>
      </c>
      <c r="AM35" s="11" t="n">
        <f aca="false">Construction!AM14*AM30*(Construction!AM17+Inputs!$F$79)/100*Construction!AM11/360*1</f>
        <v>0.146421615433319</v>
      </c>
      <c r="AN35" s="11" t="n">
        <f aca="false">Construction!AN14*AN30*(Construction!AN17+Inputs!$F$79)/100*Construction!AN11/360*1</f>
        <v>0.13664051882291</v>
      </c>
      <c r="AO35" s="11" t="n">
        <f aca="false">Construction!AO14*AO30*(Construction!AO17+Inputs!$F$79)/100*Construction!AO11/360*1</f>
        <v>0.155706608547227</v>
      </c>
      <c r="AP35" s="11" t="n">
        <f aca="false">Construction!AP14*AP30*(Construction!AP17+Inputs!$F$79)/100*Construction!AP11/360*1</f>
        <v>0.154612966259335</v>
      </c>
      <c r="AQ35" s="11" t="n">
        <f aca="false">Construction!AQ14*AQ30*(Construction!AQ17+Inputs!$F$79)/100*Construction!AQ11/360*1</f>
        <v>0.16294795569631</v>
      </c>
      <c r="AR35" s="11" t="n">
        <f aca="false">Construction!AR14*AR30*(Construction!AR17+Inputs!$F$79)/100*Construction!AR11/360*1</f>
        <v>0.160699236284835</v>
      </c>
      <c r="AS35" s="11" t="n">
        <f aca="false">Construction!AS14*AS30*(Construction!AS17+Inputs!$F$79)/100*Construction!AS11/360*1</f>
        <v>0.164283973543384</v>
      </c>
      <c r="AT35" s="11" t="n">
        <f aca="false">Construction!AT14*AT30*(Construction!AT17+Inputs!$F$79)/100*Construction!AT11/360*1</f>
        <v>0.166101706076114</v>
      </c>
      <c r="AU35" s="11" t="n">
        <f aca="false">Construction!AU14*AU30*(Construction!AU17+Inputs!$F$79)/100*Construction!AU11/360*1</f>
        <v>0.161980330766287</v>
      </c>
      <c r="AV35" s="11" t="n">
        <f aca="false">Construction!AV14*AV30*(Construction!AV17+Inputs!$F$79)/100*Construction!AV11/360*1</f>
        <v>0.169004678883621</v>
      </c>
      <c r="AW35" s="11" t="n">
        <f aca="false">Construction!AW14*AW30*(Construction!AW17+Inputs!$F$79)/100*Construction!AW11/360*1</f>
        <v>0.164522891867713</v>
      </c>
      <c r="AX35" s="11" t="n">
        <f aca="false">Construction!AX14*AX30*(Construction!AX17+Inputs!$F$79)/100*Construction!AX11/360*1</f>
        <v>0.183828211420099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22.4247030067741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0.209599985766081</v>
      </c>
      <c r="L36" s="11" t="n">
        <f aca="false">Construction!L14*L31*(Construction!L17+Inputs!$F$80)/100*Construction!L11/360*(1/(1-Inputs!$F$91/100))</f>
        <v>0.220997358733629</v>
      </c>
      <c r="M36" s="11" t="n">
        <f aca="false">Construction!M14*M31*(Construction!M17+Inputs!$F$80)/100*Construction!M11/360*(1/(1-Inputs!$F$91/100))</f>
        <v>0.218973795216239</v>
      </c>
      <c r="N36" s="11" t="n">
        <f aca="false">Construction!N14*N31*(Construction!N17+Inputs!$F$80)/100*Construction!N11/360*(1/(1-Inputs!$F$91/100))</f>
        <v>0.23299431135658</v>
      </c>
      <c r="O36" s="11" t="n">
        <f aca="false">Construction!O14*O31*(Construction!O17+Inputs!$F$80)/100*Construction!O11/360*(1/(1-Inputs!$F$91/100))</f>
        <v>0.254611934720328</v>
      </c>
      <c r="P36" s="11" t="n">
        <f aca="false">Construction!P14*P31*(Construction!P17+Inputs!$F$80)/100*Construction!P11/360*(1/(1-Inputs!$F$91/100))</f>
        <v>0.240747002661023</v>
      </c>
      <c r="Q36" s="11" t="n">
        <f aca="false">Construction!Q14*Q31*(Construction!Q17+Inputs!$F$80)/100*Construction!Q11/360*(1/(1-Inputs!$F$91/100))</f>
        <v>0.281305663019714</v>
      </c>
      <c r="R36" s="11" t="n">
        <f aca="false">Construction!R14*R31*(Construction!R17+Inputs!$F$80)/100*Construction!R11/360*(1/(1-Inputs!$F$91/100))</f>
        <v>0.289836567875917</v>
      </c>
      <c r="S36" s="11" t="n">
        <f aca="false">Construction!S14*S31*(Construction!S17+Inputs!$F$80)/100*Construction!S11/360*(1/(1-Inputs!$F$91/100))</f>
        <v>0.321061421284562</v>
      </c>
      <c r="T36" s="11" t="n">
        <f aca="false">Construction!T14*T31*(Construction!T17+Inputs!$F$80)/100*Construction!T11/360*(1/(1-Inputs!$F$91/100))</f>
        <v>0.335019379827145</v>
      </c>
      <c r="U36" s="11" t="n">
        <f aca="false">Construction!U14*U31*(Construction!U17+Inputs!$F$80)/100*Construction!U11/360*(1/(1-Inputs!$F$91/100))</f>
        <v>0.33869528743206</v>
      </c>
      <c r="V36" s="11" t="n">
        <f aca="false">Construction!V14*V31*(Construction!V17+Inputs!$F$80)/100*Construction!V11/360*(1/(1-Inputs!$F$91/100))</f>
        <v>0.367532487616261</v>
      </c>
      <c r="W36" s="11" t="n">
        <f aca="false">Construction!W14*W31*(Construction!W17+Inputs!$F$80)/100*Construction!W11/360*(1/(1-Inputs!$F$91/100))</f>
        <v>0.38643511788192</v>
      </c>
      <c r="X36" s="11" t="n">
        <f aca="false">Construction!X14*X31*(Construction!X17+Inputs!$F$80)/100*Construction!X11/360*(1/(1-Inputs!$F$91/100))</f>
        <v>0.433797245187528</v>
      </c>
      <c r="Y36" s="11" t="n">
        <f aca="false">Construction!Y14*Y31*(Construction!Y17+Inputs!$F$80)/100*Construction!Y11/360*(1/(1-Inputs!$F$91/100))</f>
        <v>0.455659300953967</v>
      </c>
      <c r="Z36" s="11" t="n">
        <f aca="false">Construction!Z14*Z31*(Construction!Z17+Inputs!$F$80)/100*Construction!Z11/360*(1/(1-Inputs!$F$91/100))</f>
        <v>0.510065296726577</v>
      </c>
      <c r="AA36" s="11" t="n">
        <f aca="false">Construction!AA14*AA31*(Construction!AA17+Inputs!$F$80)/100*Construction!AA11/360*(1/(1-Inputs!$F$91/100))</f>
        <v>0.525875184675153</v>
      </c>
      <c r="AB36" s="11" t="n">
        <f aca="false">Construction!AB14*AB31*(Construction!AB17+Inputs!$F$80)/100*Construction!AB11/360*(1/(1-Inputs!$F$91/100))</f>
        <v>0.531741856741962</v>
      </c>
      <c r="AC36" s="11" t="n">
        <f aca="false">Construction!AC14*AC31*(Construction!AC17+Inputs!$F$80)/100*Construction!AC11/360*(1/(1-Inputs!$F$91/100))</f>
        <v>0.610052869324431</v>
      </c>
      <c r="AD36" s="11" t="n">
        <f aca="false">Construction!AD14*AD31*(Construction!AD17+Inputs!$F$80)/100*Construction!AD11/360*(1/(1-Inputs!$F$91/100))</f>
        <v>0.631514461580801</v>
      </c>
      <c r="AE36" s="11" t="n">
        <f aca="false">Construction!AE14*AE31*(Construction!AE17+Inputs!$F$80)/100*Construction!AE11/360*(1/(1-Inputs!$F$91/100))</f>
        <v>0.695928908153733</v>
      </c>
      <c r="AF36" s="11" t="n">
        <f aca="false">Construction!AF14*AF31*(Construction!AF17+Inputs!$F$80)/100*Construction!AF11/360*(1/(1-Inputs!$F$91/100))</f>
        <v>0.715483473676666</v>
      </c>
      <c r="AG36" s="11" t="n">
        <f aca="false">Construction!AG14*AG31*(Construction!AG17+Inputs!$F$80)/100*Construction!AG11/360*(1/(1-Inputs!$F$91/100))</f>
        <v>0.581798239653709</v>
      </c>
      <c r="AH36" s="11" t="n">
        <f aca="false">Construction!AH14*AH31*(Construction!AH17+Inputs!$F$80)/100*Construction!AH11/360*(1/(1-Inputs!$F$91/100))</f>
        <v>0.613076006742649</v>
      </c>
      <c r="AI36" s="11" t="n">
        <f aca="false">Construction!AI14*AI31*(Construction!AI17+Inputs!$F$80)/100*Construction!AI11/360*(1/(1-Inputs!$F$91/100))</f>
        <v>0.622719218221817</v>
      </c>
      <c r="AJ36" s="11" t="n">
        <f aca="false">Construction!AJ14*AJ31*(Construction!AJ17+Inputs!$F$80)/100*Construction!AJ11/360*(1/(1-Inputs!$F$91/100))</f>
        <v>0.672677710689958</v>
      </c>
      <c r="AK36" s="11" t="n">
        <f aca="false">Construction!AK14*AK31*(Construction!AK17+Inputs!$F$80)/100*Construction!AK11/360*(1/(1-Inputs!$F$91/100))</f>
        <v>0.679834401029346</v>
      </c>
      <c r="AL36" s="11" t="n">
        <f aca="false">Construction!AL14*AL31*(Construction!AL17+Inputs!$F$80)/100*Construction!AL11/360*(1/(1-Inputs!$F$91/100))</f>
        <v>0.730659412115859</v>
      </c>
      <c r="AM36" s="11" t="n">
        <f aca="false">Construction!AM14*AM31*(Construction!AM17+Inputs!$F$80)/100*Construction!AM11/360*(1/(1-Inputs!$F$91/100))</f>
        <v>0.736788220125651</v>
      </c>
      <c r="AN36" s="11" t="n">
        <f aca="false">Construction!AN14*AN31*(Construction!AN17+Inputs!$F$80)/100*Construction!AN11/360*(1/(1-Inputs!$F$91/100))</f>
        <v>0.687570099282407</v>
      </c>
      <c r="AO36" s="11" t="n">
        <f aca="false">Construction!AO14*AO31*(Construction!AO17+Inputs!$F$80)/100*Construction!AO11/360*(1/(1-Inputs!$F$91/100))</f>
        <v>0.783509966297006</v>
      </c>
      <c r="AP36" s="11" t="n">
        <f aca="false">Construction!AP14*AP31*(Construction!AP17+Inputs!$F$80)/100*Construction!AP11/360*(1/(1-Inputs!$F$91/100))</f>
        <v>0.778006798254736</v>
      </c>
      <c r="AQ36" s="11" t="n">
        <f aca="false">Construction!AQ14*AQ31*(Construction!AQ17+Inputs!$F$80)/100*Construction!AQ11/360*(1/(1-Inputs!$F$91/100))</f>
        <v>0.819948160627095</v>
      </c>
      <c r="AR36" s="11" t="n">
        <f aca="false">Construction!AR14*AR31*(Construction!AR17+Inputs!$F$80)/100*Construction!AR11/360*(1/(1-Inputs!$F$91/100))</f>
        <v>0.808632686693555</v>
      </c>
      <c r="AS36" s="11" t="n">
        <f aca="false">Construction!AS14*AS31*(Construction!AS17+Inputs!$F$80)/100*Construction!AS11/360*(1/(1-Inputs!$F$91/100))</f>
        <v>0.83003400865178</v>
      </c>
      <c r="AT36" s="11" t="n">
        <f aca="false">Construction!AT14*AT31*(Construction!AT17+Inputs!$F$80)/100*Construction!AT11/360*(1/(1-Inputs!$F$91/100))</f>
        <v>0.839217983133624</v>
      </c>
      <c r="AU36" s="11" t="n">
        <f aca="false">Construction!AU14*AU31*(Construction!AU17+Inputs!$F$80)/100*Construction!AU11/360*(1/(1-Inputs!$F$91/100))</f>
        <v>0.818395004508321</v>
      </c>
      <c r="AV36" s="11" t="n">
        <f aca="false">Construction!AV14*AV31*(Construction!AV17+Inputs!$F$80)/100*Construction!AV11/360*(1/(1-Inputs!$F$91/100))</f>
        <v>0.853885062973801</v>
      </c>
      <c r="AW36" s="11" t="n">
        <f aca="false">Construction!AW14*AW31*(Construction!AW17+Inputs!$F$80)/100*Construction!AW11/360*(1/(1-Inputs!$F$91/100))</f>
        <v>0.83124112782601</v>
      </c>
      <c r="AX36" s="11" t="n">
        <f aca="false">Construction!AX14*AX31*(Construction!AX17+Inputs!$F$80)/100*Construction!AX11/360*(1/(1-Inputs!$F$91/100))</f>
        <v>0.928779989534507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4.15678786448948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0.0290887966009178</v>
      </c>
      <c r="L38" s="11" t="n">
        <f aca="false">Construction!L14*(Inputs!$F$93/100*Inputs!$F$94/100)*L31*Construction!L11/365</f>
        <v>0.0306705517848509</v>
      </c>
      <c r="M38" s="11" t="n">
        <f aca="false">Construction!M14*(Inputs!$F$93/100*Inputs!$F$94/100)*M31*Construction!M11/365</f>
        <v>0.0303897167105962</v>
      </c>
      <c r="N38" s="11" t="n">
        <f aca="false">Construction!N14*(Inputs!$F$93/100*Inputs!$F$94/100)*N31*Construction!N11/365</f>
        <v>0.0323355180939103</v>
      </c>
      <c r="O38" s="11" t="n">
        <f aca="false">Construction!O14*(Inputs!$F$93/100*Inputs!$F$94/100)*O31*Construction!O11/365</f>
        <v>0.0335612767788034</v>
      </c>
      <c r="P38" s="11" t="n">
        <f aca="false">Construction!P14*(Inputs!$F$93/100*Inputs!$F$94/100)*P31*Construction!P11/365</f>
        <v>0.0317336922907755</v>
      </c>
      <c r="Q38" s="11" t="n">
        <f aca="false">Construction!Q14*(Inputs!$F$93/100*Inputs!$F$94/100)*Q31*Construction!Q11/365</f>
        <v>0.0370798691209021</v>
      </c>
      <c r="R38" s="11" t="n">
        <f aca="false">Construction!R14*(Inputs!$F$93/100*Inputs!$F$94/100)*R31*Construction!R11/365</f>
        <v>0.0382043570965626</v>
      </c>
      <c r="S38" s="11" t="n">
        <f aca="false">Construction!S14*(Inputs!$F$93/100*Inputs!$F$94/100)*S31*Construction!S11/365</f>
        <v>0.0423202126583852</v>
      </c>
      <c r="T38" s="11" t="n">
        <f aca="false">Construction!T14*(Inputs!$F$93/100*Inputs!$F$94/100)*T31*Construction!T11/365</f>
        <v>0.0441600592878421</v>
      </c>
      <c r="U38" s="11" t="n">
        <f aca="false">Construction!U14*(Inputs!$F$93/100*Inputs!$F$94/100)*U31*Construction!U11/365</f>
        <v>0.0493925104098574</v>
      </c>
      <c r="V38" s="11" t="n">
        <f aca="false">Construction!V14*(Inputs!$F$93/100*Inputs!$F$94/100)*V31*Construction!V11/365</f>
        <v>0.0535978884093224</v>
      </c>
      <c r="W38" s="11" t="n">
        <f aca="false">Construction!W14*(Inputs!$F$93/100*Inputs!$F$94/100)*W31*Construction!W11/365</f>
        <v>0.0563544911635238</v>
      </c>
      <c r="X38" s="11" t="n">
        <f aca="false">Construction!X14*(Inputs!$F$93/100*Inputs!$F$94/100)*X31*Construction!X11/365</f>
        <v>0.0632613908246078</v>
      </c>
      <c r="Y38" s="11" t="n">
        <f aca="false">Construction!Y14*(Inputs!$F$93/100*Inputs!$F$94/100)*Y31*Construction!Y11/365</f>
        <v>0.0664495716381402</v>
      </c>
      <c r="Z38" s="11" t="n">
        <f aca="false">Construction!Z14*(Inputs!$F$93/100*Inputs!$F$94/100)*Z31*Construction!Z11/365</f>
        <v>0.0743836906302633</v>
      </c>
      <c r="AA38" s="11" t="n">
        <f aca="false">Construction!AA14*(Inputs!$F$93/100*Inputs!$F$94/100)*AA31*Construction!AA11/365</f>
        <v>0.0803897542584121</v>
      </c>
      <c r="AB38" s="11" t="n">
        <f aca="false">Construction!AB14*(Inputs!$F$93/100*Inputs!$F$94/100)*AB31*Construction!AB11/365</f>
        <v>0.0812865836573061</v>
      </c>
      <c r="AC38" s="11" t="n">
        <f aca="false">Construction!AC14*(Inputs!$F$93/100*Inputs!$F$94/100)*AC31*Construction!AC11/365</f>
        <v>0.0932578712188611</v>
      </c>
      <c r="AD38" s="11" t="n">
        <f aca="false">Construction!AD14*(Inputs!$F$93/100*Inputs!$F$94/100)*AD31*Construction!AD11/365</f>
        <v>0.096538672781212</v>
      </c>
      <c r="AE38" s="11" t="n">
        <f aca="false">Construction!AE14*(Inputs!$F$93/100*Inputs!$F$94/100)*AE31*Construction!AE11/365</f>
        <v>0.106385613046873</v>
      </c>
      <c r="AF38" s="11" t="n">
        <f aca="false">Construction!AF14*(Inputs!$F$93/100*Inputs!$F$94/100)*AF31*Construction!AF11/365</f>
        <v>0.109374890280005</v>
      </c>
      <c r="AG38" s="11" t="n">
        <f aca="false">Construction!AG14*(Inputs!$F$93/100*Inputs!$F$94/100)*AG31*Construction!AG11/365</f>
        <v>0.119579676801492</v>
      </c>
      <c r="AH38" s="11" t="n">
        <f aca="false">Construction!AH14*(Inputs!$F$93/100*Inputs!$F$94/100)*AH31*Construction!AH11/365</f>
        <v>0.126008340597027</v>
      </c>
      <c r="AI38" s="11" t="n">
        <f aca="false">Construction!AI14*(Inputs!$F$93/100*Inputs!$F$94/100)*AI31*Construction!AI11/365</f>
        <v>0.127990354349241</v>
      </c>
      <c r="AJ38" s="11" t="n">
        <f aca="false">Construction!AJ14*(Inputs!$F$93/100*Inputs!$F$94/100)*AJ31*Construction!AJ11/365</f>
        <v>0.138258553830879</v>
      </c>
      <c r="AK38" s="11" t="n">
        <f aca="false">Construction!AK14*(Inputs!$F$93/100*Inputs!$F$94/100)*AK31*Construction!AK11/365</f>
        <v>0.13972950141962</v>
      </c>
      <c r="AL38" s="11" t="n">
        <f aca="false">Construction!AL14*(Inputs!$F$93/100*Inputs!$F$94/100)*AL31*Construction!AL11/365</f>
        <v>0.150175800471289</v>
      </c>
      <c r="AM38" s="11" t="n">
        <f aca="false">Construction!AM14*(Inputs!$F$93/100*Inputs!$F$94/100)*AM31*Construction!AM11/365</f>
        <v>0.155613013218036</v>
      </c>
      <c r="AN38" s="11" t="n">
        <f aca="false">Construction!AN14*(Inputs!$F$93/100*Inputs!$F$94/100)*AN31*Construction!AN11/365</f>
        <v>0.145217922905597</v>
      </c>
      <c r="AO38" s="11" t="n">
        <f aca="false">Construction!AO14*(Inputs!$F$93/100*Inputs!$F$94/100)*AO31*Construction!AO11/365</f>
        <v>0.165480857879413</v>
      </c>
      <c r="AP38" s="11" t="n">
        <f aca="false">Construction!AP14*(Inputs!$F$93/100*Inputs!$F$94/100)*AP31*Construction!AP11/365</f>
        <v>0.164318563833565</v>
      </c>
      <c r="AQ38" s="11" t="n">
        <f aca="false">Construction!AQ14*(Inputs!$F$93/100*Inputs!$F$94/100)*AQ31*Construction!AQ11/365</f>
        <v>0.173176769758898</v>
      </c>
      <c r="AR38" s="11" t="n">
        <f aca="false">Construction!AR14*(Inputs!$F$93/100*Inputs!$F$94/100)*AR31*Construction!AR11/365</f>
        <v>0.17078689035164</v>
      </c>
      <c r="AS38" s="11" t="n">
        <f aca="false">Construction!AS14*(Inputs!$F$93/100*Inputs!$F$94/100)*AS31*Construction!AS11/365</f>
        <v>0.179010614484075</v>
      </c>
      <c r="AT38" s="11" t="n">
        <f aca="false">Construction!AT14*(Inputs!$F$93/100*Inputs!$F$94/100)*AT31*Construction!AT11/365</f>
        <v>0.180991291056679</v>
      </c>
      <c r="AU38" s="11" t="n">
        <f aca="false">Construction!AU14*(Inputs!$F$93/100*Inputs!$F$94/100)*AU31*Construction!AU11/365</f>
        <v>0.176500470005673</v>
      </c>
      <c r="AV38" s="11" t="n">
        <f aca="false">Construction!AV14*(Inputs!$F$93/100*Inputs!$F$94/100)*AV31*Construction!AV11/365</f>
        <v>0.184154490332262</v>
      </c>
      <c r="AW38" s="11" t="n">
        <f aca="false">Construction!AW14*(Inputs!$F$93/100*Inputs!$F$94/100)*AW31*Construction!AW11/365</f>
        <v>0.179270949775017</v>
      </c>
      <c r="AX38" s="11" t="n">
        <f aca="false">Construction!AX14*(Inputs!$F$93/100*Inputs!$F$94/100)*AX31*Construction!AX11/365</f>
        <v>0.200306824677151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13.6621394586511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-0.00127424878125192</v>
      </c>
      <c r="P39" s="11" t="n">
        <f aca="false">Construction!P14*Inputs!P229*(Inputs!$F$95/100/12-Construction!P17/100*Construction!P11/360)</f>
        <v>0.0195011255994295</v>
      </c>
      <c r="Q39" s="11" t="n">
        <f aca="false">Construction!Q14*Inputs!Q229*(Inputs!$F$95/100/12-Construction!Q17/100*Construction!Q11/360)</f>
        <v>-0.00146402957605366</v>
      </c>
      <c r="R39" s="11" t="n">
        <f aca="false">Construction!R14*Inputs!R229*(Inputs!$F$95/100/12-Construction!R17/100*Construction!R11/360)</f>
        <v>0.00660161691874227</v>
      </c>
      <c r="S39" s="11" t="n">
        <f aca="false">Construction!S14*Inputs!S229*(Inputs!$F$95/100/12-Construction!S17/100*Construction!S11/360)</f>
        <v>-0.00176559042074211</v>
      </c>
      <c r="T39" s="11" t="n">
        <f aca="false">Construction!T14*Inputs!T229*(Inputs!$F$95/100/12-Construction!T17/100*Construction!T11/360)</f>
        <v>0.00808562367175125</v>
      </c>
      <c r="U39" s="11" t="n">
        <f aca="false">Construction!U14*Inputs!U229*(Inputs!$F$95/100/12-Construction!U17/100*Construction!U11/360)</f>
        <v>0.0787536645623332</v>
      </c>
      <c r="V39" s="11" t="n">
        <f aca="false">Construction!V14*Inputs!V229*(Inputs!$F$95/100/12-Construction!V17/100*Construction!V11/360)</f>
        <v>0.0877176560257361</v>
      </c>
      <c r="W39" s="11" t="n">
        <f aca="false">Construction!W14*Inputs!W229*(Inputs!$F$95/100/12-Construction!W17/100*Construction!W11/360)</f>
        <v>0.108133044779402</v>
      </c>
      <c r="X39" s="11" t="n">
        <f aca="false">Construction!X14*Inputs!X229*(Inputs!$F$95/100/12-Construction!X17/100*Construction!X11/360)</f>
        <v>0.10801265991364</v>
      </c>
      <c r="Y39" s="11" t="n">
        <f aca="false">Construction!Y14*Inputs!Y229*(Inputs!$F$95/100/12-Construction!Y17/100*Construction!Y11/360)</f>
        <v>0.1320462538797</v>
      </c>
      <c r="Z39" s="11" t="n">
        <f aca="false">Construction!Z14*Inputs!Z229*(Inputs!$F$95/100/12-Construction!Z17/100*Construction!Z11/360)</f>
        <v>0.13053695071482</v>
      </c>
      <c r="AA39" s="11" t="n">
        <f aca="false">Construction!AA14*Inputs!AA229*(Inputs!$F$95/100/12-Construction!AA17/100*Construction!AA11/360)</f>
        <v>0.205499100233985</v>
      </c>
      <c r="AB39" s="11" t="n">
        <f aca="false">Construction!AB14*Inputs!AB229*(Inputs!$F$95/100/12-Construction!AB17/100*Construction!AB11/360)</f>
        <v>0.252201725563194</v>
      </c>
      <c r="AC39" s="11" t="n">
        <f aca="false">Construction!AC14*Inputs!AC229*(Inputs!$F$95/100/12-Construction!AC17/100*Construction!AC11/360)</f>
        <v>0.239742826686514</v>
      </c>
      <c r="AD39" s="11" t="n">
        <f aca="false">Construction!AD14*Inputs!AD229*(Inputs!$F$95/100/12-Construction!AD17/100*Construction!AD11/360)</f>
        <v>0.272812481101214</v>
      </c>
      <c r="AE39" s="11" t="n">
        <f aca="false">Construction!AE14*Inputs!AE229*(Inputs!$F$95/100/12-Construction!AE17/100*Construction!AE11/360)</f>
        <v>0.271664285124737</v>
      </c>
      <c r="AF39" s="11" t="n">
        <f aca="false">Construction!AF14*Inputs!AF229*(Inputs!$F$95/100/12-Construction!AF17/100*Construction!AF11/360)</f>
        <v>0.305116692599217</v>
      </c>
      <c r="AG39" s="11" t="n">
        <f aca="false">Construction!AG14*Inputs!AG229*(Inputs!$F$95/100/12-Construction!AG17/100*Construction!AG11/360)</f>
        <v>0.79040266567777</v>
      </c>
      <c r="AH39" s="11" t="n">
        <f aca="false">Construction!AH14*Inputs!AH229*(Inputs!$F$95/100/12-Construction!AH17/100*Construction!AH11/360)</f>
        <v>0.822971319748561</v>
      </c>
      <c r="AI39" s="11" t="n">
        <f aca="false">Construction!AI14*Inputs!AI229*(Inputs!$F$95/100/12-Construction!AI17/100*Construction!AI11/360)</f>
        <v>0.856015097948777</v>
      </c>
      <c r="AJ39" s="11" t="n">
        <f aca="false">Construction!AJ14*Inputs!AJ229*(Inputs!$F$95/100/12-Construction!AJ17/100*Construction!AJ11/360)</f>
        <v>0.876975346933529</v>
      </c>
      <c r="AK39" s="11" t="n">
        <f aca="false">Construction!AK14*Inputs!AK229*(Inputs!$F$95/100/12-Construction!AK17/100*Construction!AK11/360)</f>
        <v>0.902597653687788</v>
      </c>
      <c r="AL39" s="11" t="n">
        <f aca="false">Construction!AL14*Inputs!AL229*(Inputs!$F$95/100/12-Construction!AL17/100*Construction!AL11/360)</f>
        <v>0.915757999516353</v>
      </c>
      <c r="AM39" s="11" t="n">
        <f aca="false">Construction!AM14*Inputs!AM229*(Inputs!$F$95/100/12-Construction!AM17/100*Construction!AM11/360)</f>
        <v>0.974828197447532</v>
      </c>
      <c r="AN39" s="11" t="n">
        <f aca="false">Construction!AN14*Inputs!AN229*(Inputs!$F$95/100/12-Construction!AN17/100*Construction!AN11/360)</f>
        <v>0.995631491875265</v>
      </c>
      <c r="AO39" s="11" t="n">
        <f aca="false">Construction!AO14*Inputs!AO229*(Inputs!$F$95/100/12-Construction!AO17/100*Construction!AO11/360)</f>
        <v>0.995260836606642</v>
      </c>
      <c r="AP39" s="11" t="n">
        <f aca="false">Construction!AP14*Inputs!AP229*(Inputs!$F$95/100/12-Construction!AP17/100*Construction!AP11/360)</f>
        <v>1.00571497479109</v>
      </c>
      <c r="AQ39" s="11" t="n">
        <f aca="false">Construction!AQ14*Inputs!AQ229*(Inputs!$F$95/100/12-Construction!AQ17/100*Construction!AQ11/360)</f>
        <v>1.07462644034028</v>
      </c>
      <c r="AR39" s="11" t="n">
        <f aca="false">Construction!AR14*Inputs!AR229*(Inputs!$F$95/100/12-Construction!AR17/100*Construction!AR11/360)</f>
        <v>1.13363958062779</v>
      </c>
      <c r="AS39" s="11" t="n">
        <f aca="false">Construction!AS14*Inputs!AS229*(Inputs!$F$95/100/12-Construction!AS17/100*Construction!AS11/360)</f>
        <v>0</v>
      </c>
      <c r="AT39" s="11" t="n">
        <f aca="false">Construction!AT14*Inputs!AT229*(Inputs!$F$95/100/12-Construction!AT17/100*Construction!AT11/360)</f>
        <v>0</v>
      </c>
      <c r="AU39" s="11" t="n">
        <f aca="false">Construction!AU14*Inputs!AU229*(Inputs!$F$95/100/12-Construction!AU17/100*Construction!AU11/360)</f>
        <v>0</v>
      </c>
      <c r="AV39" s="11" t="n">
        <f aca="false">Construction!AV14*Inputs!AV229*(Inputs!$F$95/100/12-Construction!AV17/100*Construction!AV11/360)</f>
        <v>0</v>
      </c>
      <c r="AW39" s="11" t="n">
        <f aca="false">Construction!AW14*Inputs!AW229*(Inputs!$F$95/100/12-Construction!AW17/100*Construction!AW11/360)</f>
        <v>0</v>
      </c>
      <c r="AX39" s="11" t="n">
        <f aca="false">Construction!AX14*Inputs!AX229*(Inputs!$F$95/100/12-Construction!AX17/100*Construction!AX11/360)</f>
        <v>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11.3469604836862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0.456437590626858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0.470061229646927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0.453056446081269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0.46573391414724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0.462548117217204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0.414094027799875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0.453403151882953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0.432745876262125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0.439783284808137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0.417266762802824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0.421402093842395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0.410472144509421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0.385572935859667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0.385356306696131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0.359335409027622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0.356448994830842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0.340838989938383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0.303038722861115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0.307394227920229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0.281132605139281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0.273274690258029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0.247770751125994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0.238982779197391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0.222274419194351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0.199388399025319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0.190435614221015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0.168877875902809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0.15946220303543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0.14533066483789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0.119143873290734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0.119683733173665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0.104969897508489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0.0996817435963897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0.0881584524681893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0.0845193426729209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0.0793714832923087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0.0733086253809619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0.0711501990661042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0.0661080352055206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0.0291696218097086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0.957566666666667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0.0237666666666667</v>
      </c>
      <c r="AT41" s="11" t="n">
        <f aca="false">Construction!AT14*(Inputs!$F$97-AT32)*Inputs!$F$98/100*Construction!AT11/360</f>
        <v>0.0237666666666667</v>
      </c>
      <c r="AU41" s="11" t="n">
        <f aca="false">Construction!AU14*(Inputs!$F$97-AU32)*Inputs!$F$98/100*Construction!AU11/360</f>
        <v>0.023</v>
      </c>
      <c r="AV41" s="11" t="n">
        <f aca="false">Construction!AV14*(Inputs!$F$97-AV32)*Inputs!$F$98/100*Construction!AV11/360</f>
        <v>0.0237666666666667</v>
      </c>
      <c r="AW41" s="11" t="n">
        <f aca="false">Construction!AW14*(Inputs!$F$97-AW32)*Inputs!$F$98/100*Construction!AW11/360</f>
        <v>0.023</v>
      </c>
      <c r="AX41" s="11" t="n">
        <f aca="false">Construction!AX14*(Inputs!$F$97-AX32)*Inputs!$F$98/100*Construction!AX11/360</f>
        <v>0.0237666666666667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0.87125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0.02125</v>
      </c>
      <c r="AT43" s="11" t="n">
        <f aca="false">Construction!AT14*Inputs!$F$105/12</f>
        <v>0.02125</v>
      </c>
      <c r="AU43" s="11" t="n">
        <f aca="false">Construction!AU14*Inputs!$F$105/12</f>
        <v>0.02125</v>
      </c>
      <c r="AV43" s="11" t="n">
        <f aca="false">Construction!AV14*Inputs!$F$105/12</f>
        <v>0.02125</v>
      </c>
      <c r="AW43" s="11" t="n">
        <f aca="false">Construction!AW14*Inputs!$F$105/12</f>
        <v>0.02125</v>
      </c>
      <c r="AX43" s="11" t="n">
        <f aca="false">Construction!AX14*Inputs!$F$105/12</f>
        <v>0.02125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35.6629635642437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-0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0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35.6629635642437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118.579230748692</v>
      </c>
      <c r="K45" s="11" t="n">
        <f aca="false">Construction!K14*(Construction!K30+Construction!K36)+K33+K34+K35+K36+K37+K38+K39+K40+K41+K42+K43+K44</f>
        <v>2.41482202042279</v>
      </c>
      <c r="L45" s="11" t="n">
        <f aca="false">Construction!L14*(Construction!L30+Construction!L36)+L33+L34+L35+L36+L37+L38+L39+L40+L41+L42+L43+L44</f>
        <v>2.88832296654791</v>
      </c>
      <c r="M45" s="11" t="n">
        <f aca="false">Construction!M14*(Construction!M30+Construction!M36)+M33+M34+M35+M36+M37+M38+M39+M40+M41+M42+M43+M44</f>
        <v>3.67989996176065</v>
      </c>
      <c r="N45" s="11" t="n">
        <f aca="false">Construction!N14*(Construction!N30+Construction!N36)+N33+N34+N35+N36+N37+N38+N39+N40+N41+N42+N43+N44</f>
        <v>4.8355670951904</v>
      </c>
      <c r="O45" s="11" t="n">
        <f aca="false">Construction!O14*(Construction!O30+Construction!O36)+O33+O34+O35+O36+O37+O38+O39+O40+O41+O42+O43+O44</f>
        <v>6.20326560028203</v>
      </c>
      <c r="P45" s="11" t="n">
        <f aca="false">Construction!P14*(Construction!P30+Construction!P36)+P33+P34+P35+P36+P37+P38+P39+P40+P41+P42+P43+P44</f>
        <v>7.67743503071103</v>
      </c>
      <c r="Q45" s="11" t="n">
        <f aca="false">Construction!Q14*(Construction!Q30+Construction!Q36)+Q33+Q34+Q35+Q36+Q37+Q38+Q39+Q40+Q41+Q42+Q43+Q44</f>
        <v>9.4598784131973</v>
      </c>
      <c r="R45" s="11" t="n">
        <f aca="false">Construction!R14*(Construction!R30+Construction!R36)+R33+R34+R35+R36+R37+R38+R39+R40+R41+R42+R43+R44</f>
        <v>11.2130591638731</v>
      </c>
      <c r="S45" s="11" t="n">
        <f aca="false">Construction!S14*(Construction!S30+Construction!S36)+S33+S34+S35+S36+S37+S38+S39+S40+S41+S42+S43+S44</f>
        <v>13.0651051788879</v>
      </c>
      <c r="T45" s="11" t="n">
        <f aca="false">Construction!T14*(Construction!T30+Construction!T36)+T33+T34+T35+T36+T37+T38+T39+T40+T41+T42+T43+T44</f>
        <v>14.8348156749385</v>
      </c>
      <c r="U45" s="11" t="n">
        <f aca="false">Construction!U14*(Construction!U30+Construction!U36)+U33+U34+U35+U36+U37+U38+U39+U40+U41+U42+U43+U44</f>
        <v>16.590041520957</v>
      </c>
      <c r="V45" s="11" t="n">
        <f aca="false">Construction!V14*(Construction!V30+Construction!V36)+V33+V34+V35+V36+V37+V38+V39+V40+V41+V42+V43+V44</f>
        <v>18.2852209167907</v>
      </c>
      <c r="W45" s="11" t="n">
        <f aca="false">Construction!W14*(Construction!W30+Construction!W36)+W33+W34+W35+W36+W37+W38+W39+W40+W41+W42+W43+W44</f>
        <v>19.8368946998911</v>
      </c>
      <c r="X45" s="11" t="n">
        <f aca="false">Construction!X14*(Construction!X30+Construction!X36)+X33+X34+X35+X36+X37+X38+X39+X40+X41+X42+X43+X44</f>
        <v>21.315267538006</v>
      </c>
      <c r="Y45" s="11" t="n">
        <f aca="false">Construction!Y14*(Construction!Y30+Construction!Y36)+Y33+Y34+Y35+Y36+Y37+Y38+Y39+Y40+Y41+Y42+Y43+Y44</f>
        <v>22.5617431867926</v>
      </c>
      <c r="Z45" s="11" t="n">
        <f aca="false">Construction!Z14*(Construction!Z30+Construction!Z36)+Z33+Z34+Z35+Z36+Z37+Z38+Z39+Z40+Z41+Z42+Z43+Z44</f>
        <v>23.693671527548</v>
      </c>
      <c r="AA45" s="11" t="n">
        <f aca="false">Construction!AA14*(Construction!AA30+Construction!AA36)+AA33+AA34+AA35+AA36+AA37+AA38+AA39+AA40+AA41+AA42+AA43+AA44</f>
        <v>25.653278585282</v>
      </c>
      <c r="AB45" s="11" t="n">
        <f aca="false">Construction!AB14*(Construction!AB30+Construction!AB36)+AB33+AB34+AB35+AB36+AB37+AB38+AB39+AB40+AB41+AB42+AB43+AB44</f>
        <v>25.110908295788</v>
      </c>
      <c r="AC45" s="11" t="n">
        <f aca="false">Construction!AC14*(Construction!AC30+Construction!AC36)+AC33+AC34+AC35+AC36+AC37+AC38+AC39+AC40+AC41+AC42+AC43+AC44</f>
        <v>25.6373276827319</v>
      </c>
      <c r="AD45" s="11" t="n">
        <f aca="false">Construction!AD14*(Construction!AD30+Construction!AD36)+AD33+AD34+AD35+AD36+AD37+AD38+AD39+AD40+AD41+AD42+AD43+AD44</f>
        <v>26.1510685163324</v>
      </c>
      <c r="AE45" s="11" t="n">
        <f aca="false">Construction!AE14*(Construction!AE30+Construction!AE36)+AE33+AE34+AE35+AE36+AE37+AE38+AE39+AE40+AE41+AE42+AE43+AE44</f>
        <v>26.1752211412381</v>
      </c>
      <c r="AF45" s="11" t="n">
        <f aca="false">Construction!AF14*(Construction!AF30+Construction!AF36)+AF33+AF34+AF35+AF36+AF37+AF38+AF39+AF40+AF41+AF42+AF43+AF44</f>
        <v>25.8748123033505</v>
      </c>
      <c r="AG45" s="11" t="n">
        <f aca="false">Construction!AG14*(Construction!AG30+Construction!AG36)+AG33+AG34+AG35+AG36+AG37+AG38+AG39+AG40+AG41+AG42+AG43+AG44</f>
        <v>25.3608116335248</v>
      </c>
      <c r="AH45" s="11" t="n">
        <f aca="false">Construction!AH14*(Construction!AH30+Construction!AH36)+AH33+AH34+AH35+AH36+AH37+AH38+AH39+AH40+AH41+AH42+AH43+AH44</f>
        <v>24.6495162992212</v>
      </c>
      <c r="AI45" s="11" t="n">
        <f aca="false">Construction!AI14*(Construction!AI30+Construction!AI36)+AI33+AI34+AI35+AI36+AI37+AI38+AI39+AI40+AI41+AI42+AI43+AI44</f>
        <v>23.6770660474861</v>
      </c>
      <c r="AJ45" s="11" t="n">
        <f aca="false">Construction!AJ14*(Construction!AJ30+Construction!AJ36)+AJ33+AJ34+AJ35+AJ36+AJ37+AJ38+AJ39+AJ40+AJ41+AJ42+AJ43+AJ44</f>
        <v>24.1770630988318</v>
      </c>
      <c r="AK45" s="11" t="n">
        <f aca="false">Construction!AK14*(Construction!AK30+Construction!AK36)+AK33+AK34+AK35+AK36+AK37+AK38+AK39+AK40+AK41+AK42+AK43+AK44</f>
        <v>22.8359798678291</v>
      </c>
      <c r="AL45" s="11" t="n">
        <f aca="false">Construction!AL14*(Construction!AL30+Construction!AL36)+AL33+AL34+AL35+AL36+AL37+AL38+AL39+AL40+AL41+AL42+AL43+AL44</f>
        <v>21.4495784298749</v>
      </c>
      <c r="AM45" s="11" t="n">
        <f aca="false">Construction!AM14*(Construction!AM30+Construction!AM36)+AM33+AM34+AM35+AM36+AM37+AM38+AM39+AM40+AM41+AM42+AM43+AM44</f>
        <v>20.3716584110504</v>
      </c>
      <c r="AN45" s="11" t="n">
        <f aca="false">Construction!AN14*(Construction!AN30+Construction!AN36)+AN33+AN34+AN35+AN36+AN37+AN38+AN39+AN40+AN41+AN42+AN43+AN44</f>
        <v>18.5565788783048</v>
      </c>
      <c r="AO45" s="11" t="n">
        <f aca="false">Construction!AO14*(Construction!AO30+Construction!AO36)+AO33+AO34+AO35+AO36+AO37+AO38+AO39+AO40+AO41+AO42+AO43+AO44</f>
        <v>17.0224618930872</v>
      </c>
      <c r="AP45" s="11" t="n">
        <f aca="false">Construction!AP14*(Construction!AP30+Construction!AP36)+AP33+AP34+AP35+AP36+AP37+AP38+AP39+AP40+AP41+AP42+AP43+AP44</f>
        <v>13.3375907914808</v>
      </c>
      <c r="AQ45" s="11" t="n">
        <f aca="false">Construction!AQ14*(Construction!AQ30+Construction!AQ36)+AQ33+AQ34+AQ35+AQ36+AQ37+AQ38+AQ39+AQ40+AQ41+AQ42+AQ43+AQ44</f>
        <v>13.0302646157966</v>
      </c>
      <c r="AR45" s="11" t="n">
        <f aca="false">Construction!AR14*(Construction!AR30+Construction!AR36)+AR33+AR34+AR35+AR36+AR37+AR38+AR39+AR40+AR41+AR42+AR43+AR44</f>
        <v>9.98401049331778</v>
      </c>
      <c r="AS45" s="11" t="n">
        <f aca="false">Construction!AS14*(Construction!AS30+Construction!AS36)+AS33+AS34+AS35+AS36+AS37+AS38+AS39+AS40+AS41+AS42+AS43+AS44</f>
        <v>7.8136868037217</v>
      </c>
      <c r="AT45" s="11" t="n">
        <f aca="false">Construction!AT14*(Construction!AT30+Construction!AT36)+AT33+AT34+AT35+AT36+AT37+AT38+AT39+AT40+AT41+AT42+AT43+AT44</f>
        <v>5.49346491539694</v>
      </c>
      <c r="AU45" s="11" t="n">
        <f aca="false">Construction!AU14*(Construction!AU30+Construction!AU36)+AU33+AU34+AU35+AU36+AU37+AU38+AU39+AU40+AU41+AU42+AU43+AU44</f>
        <v>6.98522483084475</v>
      </c>
      <c r="AV45" s="11" t="n">
        <f aca="false">Construction!AV14*(Construction!AV30+Construction!AV36)+AV33+AV34+AV35+AV36+AV37+AV38+AV39+AV40+AV41+AV42+AV43+AV44</f>
        <v>4.30851703001033</v>
      </c>
      <c r="AW45" s="11" t="n">
        <f aca="false">Construction!AW14*(Construction!AW30+Construction!AW36)+AW33+AW34+AW35+AW36+AW37+AW38+AW39+AW40+AW41+AW42+AW43+AW44</f>
        <v>59.4117710097741</v>
      </c>
      <c r="AX45" s="11" t="n">
        <f aca="false">Construction!AX14*(Construction!AX30+Construction!AX36)+AX33+AX34+AX35+AX36+AX37+AX38+AX39+AX40+AX41+AX42+AX43+AX44</f>
        <v>37.74168332338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543.270292354919</v>
      </c>
      <c r="L46" s="11" t="n">
        <f aca="false">$F$25-L28-L29-L30-L31</f>
        <v>541.437767317332</v>
      </c>
      <c r="M46" s="11" t="n">
        <f aca="false">$F$25-M28-M29-M30-M31</f>
        <v>539.245918763661</v>
      </c>
      <c r="N46" s="11" t="n">
        <f aca="false">$F$25-N28-N29-N30-N31</f>
        <v>536.453369764724</v>
      </c>
      <c r="O46" s="11" t="n">
        <f aca="false">$F$25-O28-O29-O30-O31</f>
        <v>532.783824888154</v>
      </c>
      <c r="P46" s="11" t="n">
        <f aca="false">$F$25-P28-P29-P30-P31</f>
        <v>528.076380848311</v>
      </c>
      <c r="Q46" s="11" t="n">
        <f aca="false">$F$25-Q28-Q29-Q30-Q31</f>
        <v>522.250240536834</v>
      </c>
      <c r="R46" s="11" t="n">
        <f aca="false">$F$25-R28-R29-R30-R31</f>
        <v>515.071465497471</v>
      </c>
      <c r="S46" s="11" t="n">
        <f aca="false">$F$25-S28-S29-S30-S31</f>
        <v>506.562262130944</v>
      </c>
      <c r="T46" s="11" t="n">
        <f aca="false">$F$25-T28-T29-T30-T31</f>
        <v>496.647605002369</v>
      </c>
      <c r="U46" s="11" t="n">
        <f aca="false">$F$25-U28-U29-U30-U31</f>
        <v>485.389975693706</v>
      </c>
      <c r="V46" s="11" t="n">
        <f aca="false">$F$25-V28-V29-V30-V31</f>
        <v>472.800366105649</v>
      </c>
      <c r="W46" s="11" t="n">
        <f aca="false">$F$25-W28-W29-W30-W31</f>
        <v>458.924343415592</v>
      </c>
      <c r="X46" s="11" t="n">
        <f aca="false">$F$25-X28-X29-X30-X31</f>
        <v>443.870809077203</v>
      </c>
      <c r="Y46" s="11" t="n">
        <f aca="false">$F$25-Y28-Y29-Y30-Y31</f>
        <v>427.695388646248</v>
      </c>
      <c r="Z46" s="11" t="n">
        <f aca="false">$F$25-Z28-Z29-Z30-Z31</f>
        <v>410.574060891346</v>
      </c>
      <c r="AA46" s="11" t="n">
        <f aca="false">$F$25-AA28-AA29-AA30-AA31</f>
        <v>392.593751808775</v>
      </c>
      <c r="AB46" s="11" t="n">
        <f aca="false">$F$25-AB28-AB29-AB30-AB31</f>
        <v>373.12636460336</v>
      </c>
      <c r="AC46" s="11" t="n">
        <f aca="false">$F$25-AC28-AC29-AC30-AC31</f>
        <v>354.070563480372</v>
      </c>
      <c r="AD46" s="11" t="n">
        <f aca="false">$F$25-AD28-AD29-AD30-AD31</f>
        <v>334.615280864052</v>
      </c>
      <c r="AE46" s="11" t="n">
        <f aca="false">$F$25-AE28-AE29-AE30-AE31</f>
        <v>314.770138070693</v>
      </c>
      <c r="AF46" s="11" t="n">
        <f aca="false">$F$25-AF28-AF29-AF30-AF31</f>
        <v>294.906666684381</v>
      </c>
      <c r="AG46" s="11" t="n">
        <f aca="false">$F$25-AG28-AG29-AG30-AG31</f>
        <v>275.271165190793</v>
      </c>
      <c r="AH46" s="11" t="n">
        <f aca="false">$F$25-AH28-AH29-AH30-AH31</f>
        <v>256.025721054983</v>
      </c>
      <c r="AI46" s="11" t="n">
        <f aca="false">$F$25-AI28-AI29-AI30-AI31</f>
        <v>237.32005438443</v>
      </c>
      <c r="AJ46" s="11" t="n">
        <f aca="false">$F$25-AJ28-AJ29-AJ30-AJ31</f>
        <v>219.352346627223</v>
      </c>
      <c r="AK46" s="11" t="n">
        <f aca="false">$F$25-AK28-AK29-AK30-AK31</f>
        <v>201.005208374698</v>
      </c>
      <c r="AL46" s="11" t="n">
        <f aca="false">$F$25-AL28-AL29-AL30-AL31</f>
        <v>183.675771873076</v>
      </c>
      <c r="AM46" s="11" t="n">
        <f aca="false">$F$25-AM28-AM29-AM30-AM31</f>
        <v>167.398427544587</v>
      </c>
      <c r="AN46" s="11" t="n">
        <f aca="false">$F$25-AN28-AN29-AN30-AN31</f>
        <v>151.939079493384</v>
      </c>
      <c r="AO46" s="11" t="n">
        <f aca="false">$F$25-AO28-AO29-AO30-AO31</f>
        <v>137.857132617438</v>
      </c>
      <c r="AP46" s="11" t="n">
        <f aca="false">$F$25-AP28-AP29-AP30-AP31</f>
        <v>124.939374142221</v>
      </c>
      <c r="AQ46" s="11" t="n">
        <f aca="false">$F$25-AQ28-AQ29-AQ30-AQ31</f>
        <v>114.817937092296</v>
      </c>
      <c r="AR46" s="11" t="n">
        <f aca="false">$F$25-AR28-AR29-AR30-AR31</f>
        <v>104.929719263864</v>
      </c>
      <c r="AS46" s="11" t="n">
        <f aca="false">$F$25-AS28-AS29-AS30-AS31</f>
        <v>97.353198489328</v>
      </c>
      <c r="AT46" s="11" t="n">
        <f aca="false">$F$25-AT28-AT29-AT30-AT31</f>
        <v>91.4236614126459</v>
      </c>
      <c r="AU46" s="11" t="n">
        <f aca="false">$F$25-AU28-AU29-AU30-AU31</f>
        <v>87.2548606002325</v>
      </c>
      <c r="AV46" s="11" t="n">
        <f aca="false">$F$25-AV28-AV29-AV30-AV31</f>
        <v>81.9540147045758</v>
      </c>
      <c r="AW46" s="11" t="n">
        <f aca="false">$F$25-AW28-AW29-AW30-AW31</f>
        <v>78.6844299212704</v>
      </c>
      <c r="AX46" s="11" t="n">
        <f aca="false">$F$25-AX28-AX29-AX30-AX31</f>
        <v>33.5988886341519</v>
      </c>
      <c r="AY46" s="11" t="n">
        <f aca="false">$F$25-AY28-AY29-AY30-AY31</f>
        <v>4.95802853520524</v>
      </c>
      <c r="AZ46" s="11" t="n">
        <f aca="false">$F$25-AZ28-AZ29-AZ30-AZ31</f>
        <v>4.95802853520524</v>
      </c>
      <c r="BA46" s="11" t="n">
        <f aca="false">$F$25-BA28-BA29-BA30-BA31</f>
        <v>4.95802853520524</v>
      </c>
      <c r="BB46" s="11" t="n">
        <f aca="false">$F$25-BB28-BB29-BB30-BB31</f>
        <v>4.95802853520524</v>
      </c>
      <c r="BC46" s="11" t="n">
        <f aca="false">$F$25-BC28-BC29-BC30-BC31</f>
        <v>4.95802853520524</v>
      </c>
      <c r="BD46" s="11" t="n">
        <f aca="false">$F$25-BD28-BD29-BD30-BD31</f>
        <v>4.95802853520524</v>
      </c>
      <c r="BE46" s="11" t="n">
        <f aca="false">$F$25-BE28-BE29-BE30-BE31</f>
        <v>4.95802853520524</v>
      </c>
      <c r="BF46" s="11" t="n">
        <f aca="false">$F$25-BF28-BF29-BF30-BF31</f>
        <v>4.95802853520524</v>
      </c>
      <c r="BG46" s="11" t="n">
        <f aca="false">$F$25-BG28-BG29-BG30-BG31</f>
        <v>4.95802853520524</v>
      </c>
      <c r="BH46" s="11" t="n">
        <f aca="false">$F$25-BH28-BH29-BH30-BH31</f>
        <v>4.95802853520524</v>
      </c>
      <c r="BI46" s="11" t="n">
        <f aca="false">$F$25-BI28-BI29-BI30-BI31</f>
        <v>4.95802853520524</v>
      </c>
      <c r="BJ46" s="11" t="n">
        <f aca="false">$F$25-BJ28-BJ29-BJ30-BJ31</f>
        <v>4.95802853520524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628.297947007569</v>
      </c>
      <c r="J47" s="11" t="n">
        <f aca="false">MIN($F$26*J45/(1-Inputs!$F$92/100*Inputs!$F$73*$F$26),J46)</f>
        <v>89.9856831878548</v>
      </c>
      <c r="K47" s="11" t="n">
        <f aca="false">MIN($F$26*K45/(1-Inputs!$F$92/100*Inputs!$F$73*$F$26),K46)</f>
        <v>1.8325250375873</v>
      </c>
      <c r="L47" s="11" t="n">
        <f aca="false">MIN($F$26*L45/(1-Inputs!$F$92/100*Inputs!$F$73*$F$26),L46)</f>
        <v>2.19184855367137</v>
      </c>
      <c r="M47" s="11" t="n">
        <f aca="false">MIN($F$26*M45/(1-Inputs!$F$92/100*Inputs!$F$73*$F$26),M46)</f>
        <v>2.79254899893711</v>
      </c>
      <c r="N47" s="11" t="n">
        <f aca="false">MIN($F$26*N45/(1-Inputs!$F$92/100*Inputs!$F$73*$F$26),N46)</f>
        <v>3.66954487656952</v>
      </c>
      <c r="O47" s="11" t="n">
        <f aca="false">MIN($F$26*O45/(1-Inputs!$F$92/100*Inputs!$F$73*$F$26),O46)</f>
        <v>4.70744403984299</v>
      </c>
      <c r="P47" s="11" t="n">
        <f aca="false">MIN($F$26*P45/(1-Inputs!$F$92/100*Inputs!$F$73*$F$26),P46)</f>
        <v>5.82614031147711</v>
      </c>
      <c r="Q47" s="11" t="n">
        <f aca="false">MIN($F$26*Q45/(1-Inputs!$F$92/100*Inputs!$F$73*$F$26),Q46)</f>
        <v>7.17877503936319</v>
      </c>
      <c r="R47" s="11" t="n">
        <f aca="false">MIN($F$26*R45/(1-Inputs!$F$92/100*Inputs!$F$73*$F$26),R46)</f>
        <v>8.50920336652702</v>
      </c>
      <c r="S47" s="11" t="n">
        <f aca="false">MIN($F$26*S45/(1-Inputs!$F$92/100*Inputs!$F$73*$F$26),S46)</f>
        <v>9.91465712857456</v>
      </c>
      <c r="T47" s="11" t="n">
        <f aca="false">MIN($F$26*T45/(1-Inputs!$F$92/100*Inputs!$F$73*$F$26),T46)</f>
        <v>11.2576293086634</v>
      </c>
      <c r="U47" s="11" t="n">
        <f aca="false">MIN($F$26*U45/(1-Inputs!$F$92/100*Inputs!$F$73*$F$26),U46)</f>
        <v>12.5896095880573</v>
      </c>
      <c r="V47" s="11" t="n">
        <f aca="false">MIN($F$26*V45/(1-Inputs!$F$92/100*Inputs!$F$73*$F$26),V46)</f>
        <v>13.8760226900562</v>
      </c>
      <c r="W47" s="11" t="n">
        <f aca="false">MIN($F$26*W45/(1-Inputs!$F$92/100*Inputs!$F$73*$F$26),W46)</f>
        <v>15.0535343383894</v>
      </c>
      <c r="X47" s="11" t="n">
        <f aca="false">MIN($F$26*X45/(1-Inputs!$F$92/100*Inputs!$F$73*$F$26),X46)</f>
        <v>16.1754204309555</v>
      </c>
      <c r="Y47" s="11" t="n">
        <f aca="false">MIN($F$26*Y45/(1-Inputs!$F$92/100*Inputs!$F$73*$F$26),Y46)</f>
        <v>17.1213277549015</v>
      </c>
      <c r="Z47" s="11" t="n">
        <f aca="false">MIN($F$26*Z45/(1-Inputs!$F$92/100*Inputs!$F$73*$F$26),Z46)</f>
        <v>17.9803090825713</v>
      </c>
      <c r="AA47" s="11" t="n">
        <f aca="false">MIN($F$26*AA45/(1-Inputs!$F$92/100*Inputs!$F$73*$F$26),AA46)</f>
        <v>19.4673872054144</v>
      </c>
      <c r="AB47" s="11" t="n">
        <f aca="false">MIN($F$26*AB45/(1-Inputs!$F$92/100*Inputs!$F$73*$F$26),AB46)</f>
        <v>19.0558011229886</v>
      </c>
      <c r="AC47" s="11" t="n">
        <f aca="false">MIN($F$26*AC45/(1-Inputs!$F$92/100*Inputs!$F$73*$F$26),AC46)</f>
        <v>19.4552826163192</v>
      </c>
      <c r="AD47" s="11" t="n">
        <f aca="false">MIN($F$26*AD45/(1-Inputs!$F$92/100*Inputs!$F$73*$F$26),AD46)</f>
        <v>19.8451427933599</v>
      </c>
      <c r="AE47" s="11" t="n">
        <f aca="false">MIN($F$26*AE45/(1-Inputs!$F$92/100*Inputs!$F$73*$F$26),AE46)</f>
        <v>19.8634713863116</v>
      </c>
      <c r="AF47" s="11" t="n">
        <f aca="false">MIN($F$26*AF45/(1-Inputs!$F$92/100*Inputs!$F$73*$F$26),AF46)</f>
        <v>19.6355014935883</v>
      </c>
      <c r="AG47" s="11" t="n">
        <f aca="false">MIN($F$26*AG45/(1-Inputs!$F$92/100*Inputs!$F$73*$F$26),AG46)</f>
        <v>19.2454441358096</v>
      </c>
      <c r="AH47" s="11" t="n">
        <f aca="false">MIN($F$26*AH45/(1-Inputs!$F$92/100*Inputs!$F$73*$F$26),AH46)</f>
        <v>18.7056666705526</v>
      </c>
      <c r="AI47" s="11" t="n">
        <f aca="false">MIN($F$26*AI45/(1-Inputs!$F$92/100*Inputs!$F$73*$F$26),AI46)</f>
        <v>17.9677077572077</v>
      </c>
      <c r="AJ47" s="11" t="n">
        <f aca="false">MIN($F$26*AJ45/(1-Inputs!$F$92/100*Inputs!$F$73*$F$26),AJ46)</f>
        <v>18.3471382525245</v>
      </c>
      <c r="AK47" s="11" t="n">
        <f aca="false">MIN($F$26*AK45/(1-Inputs!$F$92/100*Inputs!$F$73*$F$26),AK46)</f>
        <v>17.3294365016225</v>
      </c>
      <c r="AL47" s="11" t="n">
        <f aca="false">MIN($F$26*AL45/(1-Inputs!$F$92/100*Inputs!$F$73*$F$26),AL46)</f>
        <v>16.2773443284886</v>
      </c>
      <c r="AM47" s="11" t="n">
        <f aca="false">MIN($F$26*AM45/(1-Inputs!$F$92/100*Inputs!$F$73*$F$26),AM46)</f>
        <v>15.4593480512033</v>
      </c>
      <c r="AN47" s="11" t="n">
        <f aca="false">MIN($F$26*AN45/(1-Inputs!$F$92/100*Inputs!$F$73*$F$26),AN46)</f>
        <v>14.0819468759456</v>
      </c>
      <c r="AO47" s="11" t="n">
        <f aca="false">MIN($F$26*AO45/(1-Inputs!$F$92/100*Inputs!$F$73*$F$26),AO46)</f>
        <v>12.9177584752174</v>
      </c>
      <c r="AP47" s="11" t="n">
        <f aca="false">MIN($F$26*AP45/(1-Inputs!$F$92/100*Inputs!$F$73*$F$26),AP46)</f>
        <v>10.1214370499252</v>
      </c>
      <c r="AQ47" s="11" t="n">
        <f aca="false">MIN($F$26*AQ45/(1-Inputs!$F$92/100*Inputs!$F$73*$F$26),AQ46)</f>
        <v>9.88821782843216</v>
      </c>
      <c r="AR47" s="11" t="n">
        <f aca="false">MIN($F$26*AR45/(1-Inputs!$F$92/100*Inputs!$F$73*$F$26),AR46)</f>
        <v>7.57652077453556</v>
      </c>
      <c r="AS47" s="11" t="n">
        <f aca="false">MIN($F$26*AS45/(1-Inputs!$F$92/100*Inputs!$F$73*$F$26),AS46)</f>
        <v>5.92953707668219</v>
      </c>
      <c r="AT47" s="11" t="n">
        <f aca="false">MIN($F$26*AT45/(1-Inputs!$F$92/100*Inputs!$F$73*$F$26),AT46)</f>
        <v>4.1688008124134</v>
      </c>
      <c r="AU47" s="11" t="n">
        <f aca="false">MIN($F$26*AU45/(1-Inputs!$F$92/100*Inputs!$F$73*$F$26),AU46)</f>
        <v>5.30084589565669</v>
      </c>
      <c r="AV47" s="11" t="n">
        <f aca="false">MIN($F$26*AV45/(1-Inputs!$F$92/100*Inputs!$F$73*$F$26),AV46)</f>
        <v>3.26958478330542</v>
      </c>
      <c r="AW47" s="11" t="n">
        <f aca="false">MIN($F$26*AW45/(1-Inputs!$F$92/100*Inputs!$F$73*$F$26),AW46)</f>
        <v>45.0855412871184</v>
      </c>
      <c r="AX47" s="11" t="n">
        <f aca="false">MIN($F$26*AX45/(1-Inputs!$F$92/100*Inputs!$F$73*$F$26),AX46)</f>
        <v>28.6408600989467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20.4510981750964</v>
      </c>
      <c r="J48" s="11" t="n">
        <f aca="false">Inputs!$F$92/100*Inputs!$F$73*J47</f>
        <v>2.92903398776467</v>
      </c>
      <c r="K48" s="11" t="n">
        <f aca="false">Inputs!$F$92/100*Inputs!$F$73*K47</f>
        <v>0.0596486899734667</v>
      </c>
      <c r="L48" s="11" t="n">
        <f aca="false">Inputs!$F$92/100*Inputs!$F$73*L47</f>
        <v>0.0713446704220031</v>
      </c>
      <c r="M48" s="11" t="n">
        <f aca="false">Inputs!$F$92/100*Inputs!$F$73*M47</f>
        <v>0.0908974699154029</v>
      </c>
      <c r="N48" s="11" t="n">
        <f aca="false">Inputs!$F$92/100*Inputs!$F$73*N47</f>
        <v>0.119443685732338</v>
      </c>
      <c r="O48" s="11" t="n">
        <f aca="false">Inputs!$F$92/100*Inputs!$F$73*O47</f>
        <v>0.153227303496889</v>
      </c>
      <c r="P48" s="11" t="n">
        <f aca="false">Inputs!$F$92/100*Inputs!$F$73*P47</f>
        <v>0.18964086713858</v>
      </c>
      <c r="Q48" s="11" t="n">
        <f aca="false">Inputs!$F$92/100*Inputs!$F$73*Q47</f>
        <v>0.233669127531272</v>
      </c>
      <c r="R48" s="11" t="n">
        <f aca="false">Inputs!$F$92/100*Inputs!$F$73*R47</f>
        <v>0.276974569580455</v>
      </c>
      <c r="S48" s="11" t="n">
        <f aca="false">Inputs!$F$92/100*Inputs!$F$73*S47</f>
        <v>0.322722089535102</v>
      </c>
      <c r="T48" s="11" t="n">
        <f aca="false">Inputs!$F$92/100*Inputs!$F$73*T47</f>
        <v>0.366435833996993</v>
      </c>
      <c r="U48" s="11" t="n">
        <f aca="false">Inputs!$F$92/100*Inputs!$F$73*U47</f>
        <v>0.409791792091265</v>
      </c>
      <c r="V48" s="11" t="n">
        <f aca="false">Inputs!$F$92/100*Inputs!$F$73*V47</f>
        <v>0.451664538561329</v>
      </c>
      <c r="W48" s="11" t="n">
        <f aca="false">Inputs!$F$92/100*Inputs!$F$73*W47</f>
        <v>0.489992542714575</v>
      </c>
      <c r="X48" s="11" t="n">
        <f aca="false">Inputs!$F$92/100*Inputs!$F$73*X47</f>
        <v>0.5265099350276</v>
      </c>
      <c r="Y48" s="11" t="n">
        <f aca="false">Inputs!$F$92/100*Inputs!$F$73*Y47</f>
        <v>0.557299218422045</v>
      </c>
      <c r="Z48" s="11" t="n">
        <f aca="false">Inputs!$F$92/100*Inputs!$F$73*Z47</f>
        <v>0.585259060637697</v>
      </c>
      <c r="AA48" s="11" t="n">
        <f aca="false">Inputs!$F$92/100*Inputs!$F$73*AA47</f>
        <v>0.633663453536238</v>
      </c>
      <c r="AB48" s="11" t="n">
        <f aca="false">Inputs!$F$92/100*Inputs!$F$73*AB47</f>
        <v>0.620266326553279</v>
      </c>
      <c r="AC48" s="11" t="n">
        <f aca="false">Inputs!$F$92/100*Inputs!$F$73*AC47</f>
        <v>0.633269449161189</v>
      </c>
      <c r="AD48" s="11" t="n">
        <f aca="false">Inputs!$F$92/100*Inputs!$F$73*AD47</f>
        <v>0.645959397923866</v>
      </c>
      <c r="AE48" s="11" t="n">
        <f aca="false">Inputs!$F$92/100*Inputs!$F$73*AE47</f>
        <v>0.646555993624444</v>
      </c>
      <c r="AF48" s="11" t="n">
        <f aca="false">Inputs!$F$92/100*Inputs!$F$73*AF47</f>
        <v>0.6391355736163</v>
      </c>
      <c r="AG48" s="11" t="n">
        <f aca="false">Inputs!$F$92/100*Inputs!$F$73*AG47</f>
        <v>0.626439206620602</v>
      </c>
      <c r="AH48" s="11" t="n">
        <f aca="false">Inputs!$F$92/100*Inputs!$F$73*AH47</f>
        <v>0.608869450126488</v>
      </c>
      <c r="AI48" s="11" t="n">
        <f aca="false">Inputs!$F$92/100*Inputs!$F$73*AI47</f>
        <v>0.584848887497111</v>
      </c>
      <c r="AJ48" s="11" t="n">
        <f aca="false">Inputs!$F$92/100*Inputs!$F$73*AJ47</f>
        <v>0.597199350119671</v>
      </c>
      <c r="AK48" s="11" t="n">
        <f aca="false">Inputs!$F$92/100*Inputs!$F$73*AK47</f>
        <v>0.564073158127811</v>
      </c>
      <c r="AL48" s="11" t="n">
        <f aca="false">Inputs!$F$92/100*Inputs!$F$73*AL47</f>
        <v>0.529827557892305</v>
      </c>
      <c r="AM48" s="11" t="n">
        <f aca="false">Inputs!$F$92/100*Inputs!$F$73*AM47</f>
        <v>0.503201779066667</v>
      </c>
      <c r="AN48" s="11" t="n">
        <f aca="false">Inputs!$F$92/100*Inputs!$F$73*AN47</f>
        <v>0.458367370812028</v>
      </c>
      <c r="AO48" s="11" t="n">
        <f aca="false">Inputs!$F$92/100*Inputs!$F$73*AO47</f>
        <v>0.420473038368326</v>
      </c>
      <c r="AP48" s="11" t="n">
        <f aca="false">Inputs!$F$92/100*Inputs!$F$73*AP47</f>
        <v>0.329452775975065</v>
      </c>
      <c r="AQ48" s="11" t="n">
        <f aca="false">Inputs!$F$92/100*Inputs!$F$73*AQ47</f>
        <v>0.321861490315467</v>
      </c>
      <c r="AR48" s="11" t="n">
        <f aca="false">Inputs!$F$92/100*Inputs!$F$73*AR47</f>
        <v>0.246615751211132</v>
      </c>
      <c r="AS48" s="11" t="n">
        <f aca="false">Inputs!$F$92/100*Inputs!$F$73*AS47</f>
        <v>0.193006431846005</v>
      </c>
      <c r="AT48" s="11" t="n">
        <f aca="false">Inputs!$F$92/100*Inputs!$F$73*AT47</f>
        <v>0.135694466444056</v>
      </c>
      <c r="AU48" s="11" t="n">
        <f aca="false">Inputs!$F$92/100*Inputs!$F$73*AU47</f>
        <v>0.172542533903625</v>
      </c>
      <c r="AV48" s="11" t="n">
        <f aca="false">Inputs!$F$92/100*Inputs!$F$73*AV47</f>
        <v>0.106424984696592</v>
      </c>
      <c r="AW48" s="11" t="n">
        <f aca="false">Inputs!$F$92/100*Inputs!$F$73*AW47</f>
        <v>1.46753436889571</v>
      </c>
      <c r="AX48" s="11" t="n">
        <f aca="false">Inputs!$F$92/100*Inputs!$F$73*AX47</f>
        <v>0.932259996220715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848.394884317242</v>
      </c>
      <c r="J49" s="11" t="n">
        <f aca="false">J45+J48</f>
        <v>121.508264736457</v>
      </c>
      <c r="K49" s="11" t="n">
        <f aca="false">K45+K48</f>
        <v>2.47447071039626</v>
      </c>
      <c r="L49" s="11" t="n">
        <f aca="false">L45+L48</f>
        <v>2.95966763696991</v>
      </c>
      <c r="M49" s="11" t="n">
        <f aca="false">M45+M48</f>
        <v>3.77079743167605</v>
      </c>
      <c r="N49" s="11" t="n">
        <f aca="false">N45+N48</f>
        <v>4.95501078092274</v>
      </c>
      <c r="O49" s="11" t="n">
        <f aca="false">O45+O48</f>
        <v>6.35649290377892</v>
      </c>
      <c r="P49" s="11" t="n">
        <f aca="false">P45+P48</f>
        <v>7.86707589784961</v>
      </c>
      <c r="Q49" s="11" t="n">
        <f aca="false">Q45+Q48</f>
        <v>9.69354754072857</v>
      </c>
      <c r="R49" s="11" t="n">
        <f aca="false">R45+R48</f>
        <v>11.4900337334536</v>
      </c>
      <c r="S49" s="11" t="n">
        <f aca="false">S45+S48</f>
        <v>13.387827268423</v>
      </c>
      <c r="T49" s="11" t="n">
        <f aca="false">T45+T48</f>
        <v>15.2012515089355</v>
      </c>
      <c r="U49" s="11" t="n">
        <f aca="false">U45+U48</f>
        <v>16.9998333130483</v>
      </c>
      <c r="V49" s="11" t="n">
        <f aca="false">V45+V48</f>
        <v>18.736885455352</v>
      </c>
      <c r="W49" s="11" t="n">
        <f aca="false">W45+W48</f>
        <v>20.3268872426057</v>
      </c>
      <c r="X49" s="11" t="n">
        <f aca="false">X45+X48</f>
        <v>21.8417774730336</v>
      </c>
      <c r="Y49" s="11" t="n">
        <f aca="false">Y45+Y48</f>
        <v>23.1190424052146</v>
      </c>
      <c r="Z49" s="11" t="n">
        <f aca="false">Z45+Z48</f>
        <v>24.2789305881857</v>
      </c>
      <c r="AA49" s="11" t="n">
        <f aca="false">AA45+AA48</f>
        <v>26.2869420388183</v>
      </c>
      <c r="AB49" s="11" t="n">
        <f aca="false">AB45+AB48</f>
        <v>25.7311746223413</v>
      </c>
      <c r="AC49" s="11" t="n">
        <f aca="false">AC45+AC48</f>
        <v>26.2705971318931</v>
      </c>
      <c r="AD49" s="11" t="n">
        <f aca="false">AD45+AD48</f>
        <v>26.7970279142563</v>
      </c>
      <c r="AE49" s="11" t="n">
        <f aca="false">AE45+AE48</f>
        <v>26.8217771348626</v>
      </c>
      <c r="AF49" s="11" t="n">
        <f aca="false">AF45+AF48</f>
        <v>26.5139478769668</v>
      </c>
      <c r="AG49" s="11" t="n">
        <f aca="false">AG45+AG48</f>
        <v>25.9872508401454</v>
      </c>
      <c r="AH49" s="11" t="n">
        <f aca="false">AH45+AH48</f>
        <v>25.2583857493477</v>
      </c>
      <c r="AI49" s="11" t="n">
        <f aca="false">AI45+AI48</f>
        <v>24.2619149349832</v>
      </c>
      <c r="AJ49" s="11" t="n">
        <f aca="false">AJ45+AJ48</f>
        <v>24.7742624489515</v>
      </c>
      <c r="AK49" s="11" t="n">
        <f aca="false">AK45+AK48</f>
        <v>23.4000530259569</v>
      </c>
      <c r="AL49" s="11" t="n">
        <f aca="false">AL45+AL48</f>
        <v>21.9794059877672</v>
      </c>
      <c r="AM49" s="11" t="n">
        <f aca="false">AM45+AM48</f>
        <v>20.8748601901171</v>
      </c>
      <c r="AN49" s="11" t="n">
        <f aca="false">AN45+AN48</f>
        <v>19.0149462491168</v>
      </c>
      <c r="AO49" s="11" t="n">
        <f aca="false">AO45+AO48</f>
        <v>17.4429349314555</v>
      </c>
      <c r="AP49" s="11" t="n">
        <f aca="false">AP45+AP48</f>
        <v>13.6670435674559</v>
      </c>
      <c r="AQ49" s="11" t="n">
        <f aca="false">AQ45+AQ48</f>
        <v>13.3521261061121</v>
      </c>
      <c r="AR49" s="11" t="n">
        <f aca="false">AR45+AR48</f>
        <v>10.2306262445289</v>
      </c>
      <c r="AS49" s="11" t="n">
        <f aca="false">AS45+AS48</f>
        <v>8.0066932355677</v>
      </c>
      <c r="AT49" s="11" t="n">
        <f aca="false">AT45+AT48</f>
        <v>5.62915938184099</v>
      </c>
      <c r="AU49" s="11" t="n">
        <f aca="false">AU45+AU48</f>
        <v>7.15776736474837</v>
      </c>
      <c r="AV49" s="11" t="n">
        <f aca="false">AV45+AV48</f>
        <v>4.41494201470692</v>
      </c>
      <c r="AW49" s="11" t="n">
        <f aca="false">AW45+AW48</f>
        <v>60.8793053786698</v>
      </c>
      <c r="AX49" s="11" t="n">
        <f aca="false">AX45+AX48</f>
        <v>38.6739433196007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848.394884317242</v>
      </c>
      <c r="J50" s="11" t="n">
        <f aca="false">J47/$F$26</f>
        <v>121.508264736457</v>
      </c>
      <c r="K50" s="11" t="n">
        <f aca="false">K47/$F$26</f>
        <v>2.47447071039626</v>
      </c>
      <c r="L50" s="11" t="n">
        <f aca="false">L47/$F$26</f>
        <v>2.95966763696991</v>
      </c>
      <c r="M50" s="11" t="n">
        <f aca="false">M47/$F$26</f>
        <v>3.77079743167605</v>
      </c>
      <c r="N50" s="11" t="n">
        <f aca="false">N47/$F$26</f>
        <v>4.95501078092274</v>
      </c>
      <c r="O50" s="11" t="n">
        <f aca="false">O47/$F$26</f>
        <v>6.35649290377892</v>
      </c>
      <c r="P50" s="11" t="n">
        <f aca="false">P47/$F$26</f>
        <v>7.86707589784961</v>
      </c>
      <c r="Q50" s="11" t="n">
        <f aca="false">Q47/$F$26</f>
        <v>9.69354754072857</v>
      </c>
      <c r="R50" s="11" t="n">
        <f aca="false">R47/$F$26</f>
        <v>11.4900337334536</v>
      </c>
      <c r="S50" s="11" t="n">
        <f aca="false">S47/$F$26</f>
        <v>13.387827268423</v>
      </c>
      <c r="T50" s="11" t="n">
        <f aca="false">T47/$F$26</f>
        <v>15.2012515089355</v>
      </c>
      <c r="U50" s="11" t="n">
        <f aca="false">U47/$F$26</f>
        <v>16.9998333130483</v>
      </c>
      <c r="V50" s="11" t="n">
        <f aca="false">V47/$F$26</f>
        <v>18.736885455352</v>
      </c>
      <c r="W50" s="11" t="n">
        <f aca="false">W47/$F$26</f>
        <v>20.3268872426057</v>
      </c>
      <c r="X50" s="11" t="n">
        <f aca="false">X47/$F$26</f>
        <v>21.8417774730336</v>
      </c>
      <c r="Y50" s="11" t="n">
        <f aca="false">Y47/$F$26</f>
        <v>23.1190424052146</v>
      </c>
      <c r="Z50" s="11" t="n">
        <f aca="false">Z47/$F$26</f>
        <v>24.2789305881857</v>
      </c>
      <c r="AA50" s="11" t="n">
        <f aca="false">AA47/$F$26</f>
        <v>26.2869420388183</v>
      </c>
      <c r="AB50" s="11" t="n">
        <f aca="false">AB47/$F$26</f>
        <v>25.7311746223413</v>
      </c>
      <c r="AC50" s="11" t="n">
        <f aca="false">AC47/$F$26</f>
        <v>26.2705971318931</v>
      </c>
      <c r="AD50" s="11" t="n">
        <f aca="false">AD47/$F$26</f>
        <v>26.7970279142563</v>
      </c>
      <c r="AE50" s="11" t="n">
        <f aca="false">AE47/$F$26</f>
        <v>26.8217771348626</v>
      </c>
      <c r="AF50" s="11" t="n">
        <f aca="false">AF47/$F$26</f>
        <v>26.5139478769668</v>
      </c>
      <c r="AG50" s="11" t="n">
        <f aca="false">AG47/$F$26</f>
        <v>25.9872508401454</v>
      </c>
      <c r="AH50" s="11" t="n">
        <f aca="false">AH47/$F$26</f>
        <v>25.2583857493477</v>
      </c>
      <c r="AI50" s="11" t="n">
        <f aca="false">AI47/$F$26</f>
        <v>24.2619149349832</v>
      </c>
      <c r="AJ50" s="11" t="n">
        <f aca="false">AJ47/$F$26</f>
        <v>24.7742624489515</v>
      </c>
      <c r="AK50" s="11" t="n">
        <f aca="false">AK47/$F$26</f>
        <v>23.4000530259569</v>
      </c>
      <c r="AL50" s="11" t="n">
        <f aca="false">AL47/$F$26</f>
        <v>21.9794059877672</v>
      </c>
      <c r="AM50" s="11" t="n">
        <f aca="false">AM47/$F$26</f>
        <v>20.8748601901171</v>
      </c>
      <c r="AN50" s="11" t="n">
        <f aca="false">AN47/$F$26</f>
        <v>19.0149462491169</v>
      </c>
      <c r="AO50" s="11" t="n">
        <f aca="false">AO47/$F$26</f>
        <v>17.4429349314556</v>
      </c>
      <c r="AP50" s="11" t="n">
        <f aca="false">AP47/$F$26</f>
        <v>13.6670435674559</v>
      </c>
      <c r="AQ50" s="11" t="n">
        <f aca="false">AQ47/$F$26</f>
        <v>13.3521261061121</v>
      </c>
      <c r="AR50" s="11" t="n">
        <f aca="false">AR47/$F$26</f>
        <v>10.2306262445289</v>
      </c>
      <c r="AS50" s="11" t="n">
        <f aca="false">AS47/$F$26</f>
        <v>8.0066932355677</v>
      </c>
      <c r="AT50" s="11" t="n">
        <f aca="false">AT47/$F$26</f>
        <v>5.62915938184099</v>
      </c>
      <c r="AU50" s="11" t="n">
        <f aca="false">AU47/$F$26</f>
        <v>7.15776736474837</v>
      </c>
      <c r="AV50" s="11" t="n">
        <f aca="false">AV47/$F$26</f>
        <v>4.41494201470692</v>
      </c>
      <c r="AW50" s="11" t="n">
        <f aca="false">AW47/$F$26</f>
        <v>60.8793053786698</v>
      </c>
      <c r="AX50" s="11" t="n">
        <f aca="false">AX47/$F$26</f>
        <v>38.6739433196007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0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17.2197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17.2197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17.2197</v>
      </c>
      <c r="AX54" s="11" t="n">
        <f aca="false">AW54+AX52-AX53</f>
        <v>17.2197</v>
      </c>
      <c r="AY54" s="11" t="n">
        <f aca="false">AX54+AY52-AY53</f>
        <v>17.2197</v>
      </c>
      <c r="AZ54" s="11" t="n">
        <f aca="false">AY54+AZ52-AZ53</f>
        <v>17.2197</v>
      </c>
      <c r="BA54" s="11" t="n">
        <f aca="false">AZ54+BA52-BA53</f>
        <v>17.2197</v>
      </c>
      <c r="BB54" s="11" t="n">
        <f aca="false">BA54+BB52-BB53</f>
        <v>17.2197</v>
      </c>
      <c r="BC54" s="11" t="n">
        <f aca="false">BB54+BC52-BC53</f>
        <v>17.2197</v>
      </c>
      <c r="BD54" s="11" t="n">
        <f aca="false">BC54+BD52-BD53</f>
        <v>17.2197</v>
      </c>
      <c r="BE54" s="11" t="n">
        <f aca="false">BD54+BE52-BE53</f>
        <v>17.2197</v>
      </c>
      <c r="BF54" s="11" t="n">
        <f aca="false">BE54+BF52-BF53</f>
        <v>17.2197</v>
      </c>
      <c r="BG54" s="11" t="n">
        <f aca="false">BF54+BG52-BG53</f>
        <v>17.2197</v>
      </c>
      <c r="BH54" s="11" t="n">
        <f aca="false">BG54+BH52-BH53</f>
        <v>17.2197</v>
      </c>
      <c r="BI54" s="11" t="n">
        <f aca="false">BH54+BI52-BI53</f>
        <v>17.2197</v>
      </c>
      <c r="BJ54" s="11" t="n">
        <f aca="false">BI54+BJ52-BJ53</f>
        <v>17.2197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0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0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0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0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188.489384102271</v>
      </c>
      <c r="J57" s="11" t="n">
        <f aca="false">Inputs!$F$73*J47</f>
        <v>26.9957049563564</v>
      </c>
      <c r="K57" s="11" t="n">
        <f aca="false">Inputs!$F$73*K47</f>
        <v>0.54975751127619</v>
      </c>
      <c r="L57" s="11" t="n">
        <f aca="false">Inputs!$F$73*L47</f>
        <v>0.657554566101412</v>
      </c>
      <c r="M57" s="11" t="n">
        <f aca="false">Inputs!$F$73*M47</f>
        <v>0.837764699681133</v>
      </c>
      <c r="N57" s="11" t="n">
        <f aca="false">Inputs!$F$73*N47</f>
        <v>1.10086346297086</v>
      </c>
      <c r="O57" s="11" t="n">
        <f aca="false">Inputs!$F$73*O47</f>
        <v>1.4122332119529</v>
      </c>
      <c r="P57" s="11" t="n">
        <f aca="false">Inputs!$F$73*P47</f>
        <v>1.74784209344313</v>
      </c>
      <c r="Q57" s="11" t="n">
        <f aca="false">Inputs!$F$73*Q47</f>
        <v>2.15363251180896</v>
      </c>
      <c r="R57" s="11" t="n">
        <f aca="false">Inputs!$F$73*R47</f>
        <v>2.55276100995811</v>
      </c>
      <c r="S57" s="11" t="n">
        <f aca="false">Inputs!$F$73*S47</f>
        <v>2.97439713857237</v>
      </c>
      <c r="T57" s="11" t="n">
        <f aca="false">Inputs!$F$73*T47</f>
        <v>3.37728879259901</v>
      </c>
      <c r="U57" s="11" t="n">
        <f aca="false">Inputs!$F$73*U47</f>
        <v>3.77688287641719</v>
      </c>
      <c r="V57" s="11" t="n">
        <f aca="false">Inputs!$F$73*V47</f>
        <v>4.16280680701686</v>
      </c>
      <c r="W57" s="11" t="n">
        <f aca="false">Inputs!$F$73*W47</f>
        <v>4.51606030151682</v>
      </c>
      <c r="X57" s="11" t="n">
        <f aca="false">Inputs!$F$73*X47</f>
        <v>4.85262612928664</v>
      </c>
      <c r="Y57" s="11" t="n">
        <f aca="false">Inputs!$F$73*Y47</f>
        <v>5.13639832647046</v>
      </c>
      <c r="Z57" s="11" t="n">
        <f aca="false">Inputs!$F$73*Z47</f>
        <v>5.3940927247714</v>
      </c>
      <c r="AA57" s="11" t="n">
        <f aca="false">Inputs!$F$73*AA47</f>
        <v>5.84021616162431</v>
      </c>
      <c r="AB57" s="11" t="n">
        <f aca="false">Inputs!$F$73*AB47</f>
        <v>5.71674033689658</v>
      </c>
      <c r="AC57" s="11" t="n">
        <f aca="false">Inputs!$F$73*AC47</f>
        <v>5.83658478489575</v>
      </c>
      <c r="AD57" s="11" t="n">
        <f aca="false">Inputs!$F$73*AD47</f>
        <v>5.95354283800798</v>
      </c>
      <c r="AE57" s="11" t="n">
        <f aca="false">Inputs!$F$73*AE47</f>
        <v>5.95904141589349</v>
      </c>
      <c r="AF57" s="11" t="n">
        <f aca="false">Inputs!$F$73*AF47</f>
        <v>5.8906504480765</v>
      </c>
      <c r="AG57" s="11" t="n">
        <f aca="false">Inputs!$F$73*AG47</f>
        <v>5.77363324074287</v>
      </c>
      <c r="AH57" s="11" t="n">
        <f aca="false">Inputs!$F$73*AH47</f>
        <v>5.61170000116579</v>
      </c>
      <c r="AI57" s="11" t="n">
        <f aca="false">Inputs!$F$73*AI47</f>
        <v>5.39031232716231</v>
      </c>
      <c r="AJ57" s="11" t="n">
        <f aca="false">Inputs!$F$73*AJ47</f>
        <v>5.50414147575734</v>
      </c>
      <c r="AK57" s="11" t="n">
        <f aca="false">Inputs!$F$73*AK47</f>
        <v>5.19883095048674</v>
      </c>
      <c r="AL57" s="11" t="n">
        <f aca="false">Inputs!$F$73*AL47</f>
        <v>4.88320329854659</v>
      </c>
      <c r="AM57" s="11" t="n">
        <f aca="false">Inputs!$F$73*AM47</f>
        <v>4.63780441536099</v>
      </c>
      <c r="AN57" s="11" t="n">
        <f aca="false">Inputs!$F$73*AN47</f>
        <v>4.22458406278367</v>
      </c>
      <c r="AO57" s="11" t="n">
        <f aca="false">Inputs!$F$73*AO47</f>
        <v>3.87532754256522</v>
      </c>
      <c r="AP57" s="11" t="n">
        <f aca="false">Inputs!$F$73*AP47</f>
        <v>3.03643111497756</v>
      </c>
      <c r="AQ57" s="11" t="n">
        <f aca="false">Inputs!$F$73*AQ47</f>
        <v>2.96646534852965</v>
      </c>
      <c r="AR57" s="11" t="n">
        <f aca="false">Inputs!$F$73*AR47</f>
        <v>2.27295623236067</v>
      </c>
      <c r="AS57" s="11" t="n">
        <f aca="false">Inputs!$F$73*AS47</f>
        <v>1.77886112300466</v>
      </c>
      <c r="AT57" s="11" t="n">
        <f aca="false">Inputs!$F$73*AT47</f>
        <v>1.25064024372402</v>
      </c>
      <c r="AU57" s="11" t="n">
        <f aca="false">Inputs!$F$73*AU47</f>
        <v>1.59025376869701</v>
      </c>
      <c r="AV57" s="11" t="n">
        <f aca="false">Inputs!$F$73*AV47</f>
        <v>0.980875434991627</v>
      </c>
      <c r="AW57" s="11" t="n">
        <f aca="false">Inputs!$F$73*AW47</f>
        <v>13.5256623861355</v>
      </c>
      <c r="AX57" s="11" t="n">
        <f aca="false">Inputs!$F$73*AX47</f>
        <v>8.59225802968401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138.225548341665</v>
      </c>
      <c r="J58" s="11" t="n">
        <f aca="false">Inputs!$F$74*J47</f>
        <v>19.7968503013281</v>
      </c>
      <c r="K58" s="11" t="n">
        <f aca="false">Inputs!$F$74*K47</f>
        <v>0.403155508269206</v>
      </c>
      <c r="L58" s="11" t="n">
        <f aca="false">Inputs!$F$74*L47</f>
        <v>0.482206681807702</v>
      </c>
      <c r="M58" s="11" t="n">
        <f aca="false">Inputs!$F$74*M47</f>
        <v>0.614360779766164</v>
      </c>
      <c r="N58" s="11" t="n">
        <f aca="false">Inputs!$F$74*N47</f>
        <v>0.807299872845295</v>
      </c>
      <c r="O58" s="11" t="n">
        <f aca="false">Inputs!$F$74*O47</f>
        <v>1.03563768876546</v>
      </c>
      <c r="P58" s="11" t="n">
        <f aca="false">Inputs!$F$74*P47</f>
        <v>1.28175086852496</v>
      </c>
      <c r="Q58" s="11" t="n">
        <f aca="false">Inputs!$F$74*Q47</f>
        <v>1.5793305086599</v>
      </c>
      <c r="R58" s="11" t="n">
        <f aca="false">Inputs!$F$74*R47</f>
        <v>1.87202474063595</v>
      </c>
      <c r="S58" s="11" t="n">
        <f aca="false">Inputs!$F$74*S47</f>
        <v>2.1812245682864</v>
      </c>
      <c r="T58" s="11" t="n">
        <f aca="false">Inputs!$F$74*T47</f>
        <v>2.47667844790594</v>
      </c>
      <c r="U58" s="11" t="n">
        <f aca="false">Inputs!$F$74*U47</f>
        <v>2.7697141093726</v>
      </c>
      <c r="V58" s="11" t="n">
        <f aca="false">Inputs!$F$74*V47</f>
        <v>3.05272499181236</v>
      </c>
      <c r="W58" s="11" t="n">
        <f aca="false">Inputs!$F$74*W47</f>
        <v>3.31177755444567</v>
      </c>
      <c r="X58" s="11" t="n">
        <f aca="false">Inputs!$F$74*X47</f>
        <v>3.5585924948102</v>
      </c>
      <c r="Y58" s="11" t="n">
        <f aca="false">Inputs!$F$74*Y47</f>
        <v>3.76669210607834</v>
      </c>
      <c r="Z58" s="11" t="n">
        <f aca="false">Inputs!$F$74*Z47</f>
        <v>3.95566799816569</v>
      </c>
      <c r="AA58" s="11" t="n">
        <f aca="false">Inputs!$F$74*AA47</f>
        <v>4.28282518519116</v>
      </c>
      <c r="AB58" s="11" t="n">
        <f aca="false">Inputs!$F$74*AB47</f>
        <v>4.1922762470575</v>
      </c>
      <c r="AC58" s="11" t="n">
        <f aca="false">Inputs!$F$74*AC47</f>
        <v>4.28016217559022</v>
      </c>
      <c r="AD58" s="11" t="n">
        <f aca="false">Inputs!$F$74*AD47</f>
        <v>4.36593141453919</v>
      </c>
      <c r="AE58" s="11" t="n">
        <f aca="false">Inputs!$F$74*AE47</f>
        <v>4.36996370498856</v>
      </c>
      <c r="AF58" s="11" t="n">
        <f aca="false">Inputs!$F$74*AF47</f>
        <v>4.31981032858943</v>
      </c>
      <c r="AG58" s="11" t="n">
        <f aca="false">Inputs!$F$74*AG47</f>
        <v>4.23399770987811</v>
      </c>
      <c r="AH58" s="11" t="n">
        <f aca="false">Inputs!$F$74*AH47</f>
        <v>4.11524666752158</v>
      </c>
      <c r="AI58" s="11" t="n">
        <f aca="false">Inputs!$F$74*AI47</f>
        <v>3.95289570658569</v>
      </c>
      <c r="AJ58" s="11" t="n">
        <f aca="false">Inputs!$F$74*AJ47</f>
        <v>4.03637041555538</v>
      </c>
      <c r="AK58" s="11" t="n">
        <f aca="false">Inputs!$F$74*AK47</f>
        <v>3.81247603035694</v>
      </c>
      <c r="AL58" s="11" t="n">
        <f aca="false">Inputs!$F$74*AL47</f>
        <v>3.5810157522675</v>
      </c>
      <c r="AM58" s="11" t="n">
        <f aca="false">Inputs!$F$74*AM47</f>
        <v>3.40105657126472</v>
      </c>
      <c r="AN58" s="11" t="n">
        <f aca="false">Inputs!$F$74*AN47</f>
        <v>3.09802831270803</v>
      </c>
      <c r="AO58" s="11" t="n">
        <f aca="false">Inputs!$F$74*AO47</f>
        <v>2.84190686454783</v>
      </c>
      <c r="AP58" s="11" t="n">
        <f aca="false">Inputs!$F$74*AP47</f>
        <v>2.22671615098354</v>
      </c>
      <c r="AQ58" s="11" t="n">
        <f aca="false">Inputs!$F$74*AQ47</f>
        <v>2.17540792225508</v>
      </c>
      <c r="AR58" s="11" t="n">
        <f aca="false">Inputs!$F$74*AR47</f>
        <v>1.66683457039782</v>
      </c>
      <c r="AS58" s="11" t="n">
        <f aca="false">Inputs!$F$74*AS47</f>
        <v>1.30449815687008</v>
      </c>
      <c r="AT58" s="11" t="n">
        <f aca="false">Inputs!$F$74*AT47</f>
        <v>0.917136178730948</v>
      </c>
      <c r="AU58" s="11" t="n">
        <f aca="false">Inputs!$F$74*AU47</f>
        <v>1.16618609704447</v>
      </c>
      <c r="AV58" s="11" t="n">
        <f aca="false">Inputs!$F$74*AV47</f>
        <v>0.719308652327193</v>
      </c>
      <c r="AW58" s="11" t="n">
        <f aca="false">Inputs!$F$74*AW47</f>
        <v>9.91881908316606</v>
      </c>
      <c r="AX58" s="11" t="n">
        <f aca="false">Inputs!$F$74*AX47</f>
        <v>6.30098922176827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62.8297947007569</v>
      </c>
      <c r="J59" s="11" t="n">
        <f aca="false">Inputs!$F$75*J47</f>
        <v>8.99856831878548</v>
      </c>
      <c r="K59" s="11" t="n">
        <f aca="false">Inputs!$F$75*K47</f>
        <v>0.18325250375873</v>
      </c>
      <c r="L59" s="11" t="n">
        <f aca="false">Inputs!$F$75*L47</f>
        <v>0.219184855367137</v>
      </c>
      <c r="M59" s="11" t="n">
        <f aca="false">Inputs!$F$75*M47</f>
        <v>0.279254899893711</v>
      </c>
      <c r="N59" s="11" t="n">
        <f aca="false">Inputs!$F$75*N47</f>
        <v>0.366954487656952</v>
      </c>
      <c r="O59" s="11" t="n">
        <f aca="false">Inputs!$F$75*O47</f>
        <v>0.470744403984299</v>
      </c>
      <c r="P59" s="11" t="n">
        <f aca="false">Inputs!$F$75*P47</f>
        <v>0.582614031147711</v>
      </c>
      <c r="Q59" s="11" t="n">
        <f aca="false">Inputs!$F$75*Q47</f>
        <v>0.717877503936319</v>
      </c>
      <c r="R59" s="11" t="n">
        <f aca="false">Inputs!$F$75*R47</f>
        <v>0.850920336652702</v>
      </c>
      <c r="S59" s="11" t="n">
        <f aca="false">Inputs!$F$75*S47</f>
        <v>0.991465712857456</v>
      </c>
      <c r="T59" s="11" t="n">
        <f aca="false">Inputs!$F$75*T47</f>
        <v>1.12576293086634</v>
      </c>
      <c r="U59" s="11" t="n">
        <f aca="false">Inputs!$F$75*U47</f>
        <v>1.25896095880573</v>
      </c>
      <c r="V59" s="11" t="n">
        <f aca="false">Inputs!$F$75*V47</f>
        <v>1.38760226900562</v>
      </c>
      <c r="W59" s="11" t="n">
        <f aca="false">Inputs!$F$75*W47</f>
        <v>1.50535343383894</v>
      </c>
      <c r="X59" s="11" t="n">
        <f aca="false">Inputs!$F$75*X47</f>
        <v>1.61754204309555</v>
      </c>
      <c r="Y59" s="11" t="n">
        <f aca="false">Inputs!$F$75*Y47</f>
        <v>1.71213277549015</v>
      </c>
      <c r="Z59" s="11" t="n">
        <f aca="false">Inputs!$F$75*Z47</f>
        <v>1.79803090825713</v>
      </c>
      <c r="AA59" s="11" t="n">
        <f aca="false">Inputs!$F$75*AA47</f>
        <v>1.94673872054144</v>
      </c>
      <c r="AB59" s="11" t="n">
        <f aca="false">Inputs!$F$75*AB47</f>
        <v>1.90558011229886</v>
      </c>
      <c r="AC59" s="11" t="n">
        <f aca="false">Inputs!$F$75*AC47</f>
        <v>1.94552826163192</v>
      </c>
      <c r="AD59" s="11" t="n">
        <f aca="false">Inputs!$F$75*AD47</f>
        <v>1.98451427933599</v>
      </c>
      <c r="AE59" s="11" t="n">
        <f aca="false">Inputs!$F$75*AE47</f>
        <v>1.98634713863116</v>
      </c>
      <c r="AF59" s="11" t="n">
        <f aca="false">Inputs!$F$75*AF47</f>
        <v>1.96355014935883</v>
      </c>
      <c r="AG59" s="11" t="n">
        <f aca="false">Inputs!$F$75*AG47</f>
        <v>1.92454441358096</v>
      </c>
      <c r="AH59" s="11" t="n">
        <f aca="false">Inputs!$F$75*AH47</f>
        <v>1.87056666705526</v>
      </c>
      <c r="AI59" s="11" t="n">
        <f aca="false">Inputs!$F$75*AI47</f>
        <v>1.79677077572077</v>
      </c>
      <c r="AJ59" s="11" t="n">
        <f aca="false">Inputs!$F$75*AJ47</f>
        <v>1.83471382525245</v>
      </c>
      <c r="AK59" s="11" t="n">
        <f aca="false">Inputs!$F$75*AK47</f>
        <v>1.73294365016225</v>
      </c>
      <c r="AL59" s="11" t="n">
        <f aca="false">Inputs!$F$75*AL47</f>
        <v>1.62773443284886</v>
      </c>
      <c r="AM59" s="11" t="n">
        <f aca="false">Inputs!$F$75*AM47</f>
        <v>1.54593480512033</v>
      </c>
      <c r="AN59" s="11" t="n">
        <f aca="false">Inputs!$F$75*AN47</f>
        <v>1.40819468759456</v>
      </c>
      <c r="AO59" s="11" t="n">
        <f aca="false">Inputs!$F$75*AO47</f>
        <v>1.29177584752174</v>
      </c>
      <c r="AP59" s="11" t="n">
        <f aca="false">Inputs!$F$75*AP47</f>
        <v>1.01214370499252</v>
      </c>
      <c r="AQ59" s="11" t="n">
        <f aca="false">Inputs!$F$75*AQ47</f>
        <v>0.988821782843216</v>
      </c>
      <c r="AR59" s="11" t="n">
        <f aca="false">Inputs!$F$75*AR47</f>
        <v>0.757652077453556</v>
      </c>
      <c r="AS59" s="11" t="n">
        <f aca="false">Inputs!$F$75*AS47</f>
        <v>0.592953707668219</v>
      </c>
      <c r="AT59" s="11" t="n">
        <f aca="false">Inputs!$F$75*AT47</f>
        <v>0.41688008124134</v>
      </c>
      <c r="AU59" s="11" t="n">
        <f aca="false">Inputs!$F$75*AU47</f>
        <v>0.530084589565669</v>
      </c>
      <c r="AV59" s="11" t="n">
        <f aca="false">Inputs!$F$75*AV47</f>
        <v>0.326958478330542</v>
      </c>
      <c r="AW59" s="11" t="n">
        <f aca="false">Inputs!$F$75*AW47</f>
        <v>4.50855412871185</v>
      </c>
      <c r="AX59" s="11" t="n">
        <f aca="false">Inputs!$F$75*AX47</f>
        <v>2.86408600989467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238.753219862876</v>
      </c>
      <c r="J60" s="11" t="n">
        <f aca="false">Inputs!$F$76*J47</f>
        <v>34.1945596113848</v>
      </c>
      <c r="K60" s="11" t="n">
        <f aca="false">Inputs!$F$76*K47</f>
        <v>0.696359514283175</v>
      </c>
      <c r="L60" s="11" t="n">
        <f aca="false">Inputs!$F$76*L47</f>
        <v>0.832902450395121</v>
      </c>
      <c r="M60" s="11" t="n">
        <f aca="false">Inputs!$F$76*M47</f>
        <v>1.0611686195961</v>
      </c>
      <c r="N60" s="11" t="n">
        <f aca="false">Inputs!$F$76*N47</f>
        <v>1.39442705309642</v>
      </c>
      <c r="O60" s="11" t="n">
        <f aca="false">Inputs!$F$76*O47</f>
        <v>1.78882873514033</v>
      </c>
      <c r="P60" s="11" t="n">
        <f aca="false">Inputs!$F$76*P47</f>
        <v>2.2139333183613</v>
      </c>
      <c r="Q60" s="11" t="n">
        <f aca="false">Inputs!$F$76*Q47</f>
        <v>2.72793451495801</v>
      </c>
      <c r="R60" s="11" t="n">
        <f aca="false">Inputs!$F$76*R47</f>
        <v>3.23349727928027</v>
      </c>
      <c r="S60" s="11" t="n">
        <f aca="false">Inputs!$F$76*S47</f>
        <v>3.76756970885833</v>
      </c>
      <c r="T60" s="11" t="n">
        <f aca="false">Inputs!$F$76*T47</f>
        <v>4.27789913729208</v>
      </c>
      <c r="U60" s="11" t="n">
        <f aca="false">Inputs!$F$76*U47</f>
        <v>4.78405164346177</v>
      </c>
      <c r="V60" s="11" t="n">
        <f aca="false">Inputs!$F$76*V47</f>
        <v>5.27288862222135</v>
      </c>
      <c r="W60" s="11" t="n">
        <f aca="false">Inputs!$F$76*W47</f>
        <v>5.72034304858797</v>
      </c>
      <c r="X60" s="11" t="n">
        <f aca="false">Inputs!$F$76*X47</f>
        <v>6.14665976376307</v>
      </c>
      <c r="Y60" s="11" t="n">
        <f aca="false">Inputs!$F$76*Y47</f>
        <v>6.50610454686258</v>
      </c>
      <c r="Z60" s="11" t="n">
        <f aca="false">Inputs!$F$76*Z47</f>
        <v>6.83251745137711</v>
      </c>
      <c r="AA60" s="11" t="n">
        <f aca="false">Inputs!$F$76*AA47</f>
        <v>7.39760713805746</v>
      </c>
      <c r="AB60" s="11" t="n">
        <f aca="false">Inputs!$F$76*AB47</f>
        <v>7.24120442673567</v>
      </c>
      <c r="AC60" s="11" t="n">
        <f aca="false">Inputs!$F$76*AC47</f>
        <v>7.39300739420129</v>
      </c>
      <c r="AD60" s="11" t="n">
        <f aca="false">Inputs!$F$76*AD47</f>
        <v>7.54115426147678</v>
      </c>
      <c r="AE60" s="11" t="n">
        <f aca="false">Inputs!$F$76*AE47</f>
        <v>7.54811912679843</v>
      </c>
      <c r="AF60" s="11" t="n">
        <f aca="false">Inputs!$F$76*AF47</f>
        <v>7.46149056756357</v>
      </c>
      <c r="AG60" s="11" t="n">
        <f aca="false">Inputs!$F$76*AG47</f>
        <v>7.31326877160764</v>
      </c>
      <c r="AH60" s="11" t="n">
        <f aca="false">Inputs!$F$76*AH47</f>
        <v>7.10815333481</v>
      </c>
      <c r="AI60" s="11" t="n">
        <f aca="false">Inputs!$F$76*AI47</f>
        <v>6.82772894773893</v>
      </c>
      <c r="AJ60" s="11" t="n">
        <f aca="false">Inputs!$F$76*AJ47</f>
        <v>6.97191253595929</v>
      </c>
      <c r="AK60" s="11" t="n">
        <f aca="false">Inputs!$F$76*AK47</f>
        <v>6.58518587061653</v>
      </c>
      <c r="AL60" s="11" t="n">
        <f aca="false">Inputs!$F$76*AL47</f>
        <v>6.18539084482568</v>
      </c>
      <c r="AM60" s="11" t="n">
        <f aca="false">Inputs!$F$76*AM47</f>
        <v>5.87455225945725</v>
      </c>
      <c r="AN60" s="11" t="n">
        <f aca="false">Inputs!$F$76*AN47</f>
        <v>5.35113981285932</v>
      </c>
      <c r="AO60" s="11" t="n">
        <f aca="false">Inputs!$F$76*AO47</f>
        <v>4.90874822058261</v>
      </c>
      <c r="AP60" s="11" t="n">
        <f aca="false">Inputs!$F$76*AP47</f>
        <v>3.84614607897158</v>
      </c>
      <c r="AQ60" s="11" t="n">
        <f aca="false">Inputs!$F$76*AQ47</f>
        <v>3.75752277480422</v>
      </c>
      <c r="AR60" s="11" t="n">
        <f aca="false">Inputs!$F$76*AR47</f>
        <v>2.87907789432351</v>
      </c>
      <c r="AS60" s="11" t="n">
        <f aca="false">Inputs!$F$76*AS47</f>
        <v>2.25322408913923</v>
      </c>
      <c r="AT60" s="11" t="n">
        <f aca="false">Inputs!$F$76*AT47</f>
        <v>1.58414430871709</v>
      </c>
      <c r="AU60" s="11" t="n">
        <f aca="false">Inputs!$F$76*AU47</f>
        <v>2.01432144034954</v>
      </c>
      <c r="AV60" s="11" t="n">
        <f aca="false">Inputs!$F$76*AV47</f>
        <v>1.24244221765606</v>
      </c>
      <c r="AW60" s="11" t="n">
        <f aca="false">Inputs!$F$76*AW47</f>
        <v>17.132505689105</v>
      </c>
      <c r="AX60" s="11" t="n">
        <f aca="false">Inputs!$F$76*AX47</f>
        <v>10.8835268375997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26.9957049563564</v>
      </c>
      <c r="K61" s="11" t="n">
        <f aca="false">K28+K57</f>
        <v>27.5454624676326</v>
      </c>
      <c r="L61" s="11" t="n">
        <f aca="false">L28+L57</f>
        <v>28.203017033734</v>
      </c>
      <c r="M61" s="11" t="n">
        <f aca="false">M28+M57</f>
        <v>29.0407817334152</v>
      </c>
      <c r="N61" s="11" t="n">
        <f aca="false">N28+N57</f>
        <v>30.141645196386</v>
      </c>
      <c r="O61" s="11" t="n">
        <f aca="false">O28+O57</f>
        <v>31.5538784083389</v>
      </c>
      <c r="P61" s="11" t="n">
        <f aca="false">P28+P57</f>
        <v>33.3017205017821</v>
      </c>
      <c r="Q61" s="11" t="n">
        <f aca="false">Q28+Q57</f>
        <v>35.455353013591</v>
      </c>
      <c r="R61" s="11" t="n">
        <f aca="false">R28+R57</f>
        <v>38.0081140235491</v>
      </c>
      <c r="S61" s="11" t="n">
        <f aca="false">S28+S57</f>
        <v>40.9825111621215</v>
      </c>
      <c r="T61" s="11" t="n">
        <f aca="false">T28+T57</f>
        <v>44.3597999547205</v>
      </c>
      <c r="U61" s="11" t="n">
        <f aca="false">U28+U57</f>
        <v>48.1366828311377</v>
      </c>
      <c r="V61" s="11" t="n">
        <f aca="false">V28+V57</f>
        <v>52.2994896381545</v>
      </c>
      <c r="W61" s="11" t="n">
        <f aca="false">W28+W57</f>
        <v>56.8155499396714</v>
      </c>
      <c r="X61" s="11" t="n">
        <f aca="false">X28+X57</f>
        <v>61.668176068958</v>
      </c>
      <c r="Y61" s="11" t="n">
        <f aca="false">Y28+Y57</f>
        <v>66.8045743954285</v>
      </c>
      <c r="Z61" s="11" t="n">
        <f aca="false">Z28+Z57</f>
        <v>72.1986671201998</v>
      </c>
      <c r="AA61" s="11" t="n">
        <f aca="false">AA28+AA57</f>
        <v>78.0388832818242</v>
      </c>
      <c r="AB61" s="11" t="n">
        <f aca="false">AB28+AB57</f>
        <v>83.7556236187207</v>
      </c>
      <c r="AC61" s="11" t="n">
        <f aca="false">AC28+AC57</f>
        <v>89.5922084036165</v>
      </c>
      <c r="AD61" s="11" t="n">
        <f aca="false">AD28+AD57</f>
        <v>95.5457512416245</v>
      </c>
      <c r="AE61" s="11" t="n">
        <f aca="false">AE28+AE57</f>
        <v>101.504792657518</v>
      </c>
      <c r="AF61" s="11" t="n">
        <f aca="false">AF28+AF57</f>
        <v>107.395443105594</v>
      </c>
      <c r="AG61" s="11" t="n">
        <f aca="false">AG28+AG57</f>
        <v>113.169076346337</v>
      </c>
      <c r="AH61" s="11" t="n">
        <f aca="false">AH28+AH57</f>
        <v>118.780776347503</v>
      </c>
      <c r="AI61" s="11" t="n">
        <f aca="false">AI28+AI57</f>
        <v>124.171088674665</v>
      </c>
      <c r="AJ61" s="11" t="n">
        <f aca="false">AJ28+AJ57</f>
        <v>129.675230150423</v>
      </c>
      <c r="AK61" s="11" t="n">
        <f aca="false">AK28+AK57</f>
        <v>134.874061100909</v>
      </c>
      <c r="AL61" s="11" t="n">
        <f aca="false">AL28+AL57</f>
        <v>139.757264399456</v>
      </c>
      <c r="AM61" s="11" t="n">
        <f aca="false">AM28+AM57</f>
        <v>144.395068814817</v>
      </c>
      <c r="AN61" s="11" t="n">
        <f aca="false">AN28+AN57</f>
        <v>148.619652877601</v>
      </c>
      <c r="AO61" s="11" t="n">
        <f aca="false">AO28+AO57</f>
        <v>152.494980420166</v>
      </c>
      <c r="AP61" s="11" t="n">
        <f aca="false">AP28+AP57</f>
        <v>155.531411535144</v>
      </c>
      <c r="AQ61" s="11" t="n">
        <f aca="false">AQ28+AQ57</f>
        <v>158.497876883673</v>
      </c>
      <c r="AR61" s="11" t="n">
        <f aca="false">AR28+AR57</f>
        <v>160.770833116034</v>
      </c>
      <c r="AS61" s="11" t="n">
        <f aca="false">AS28+AS57</f>
        <v>162.549694239038</v>
      </c>
      <c r="AT61" s="11" t="n">
        <f aca="false">AT28+AT57</f>
        <v>163.800334482762</v>
      </c>
      <c r="AU61" s="11" t="n">
        <f aca="false">AU28+AU57</f>
        <v>165.390588251459</v>
      </c>
      <c r="AV61" s="11" t="n">
        <f aca="false">AV28+AV57</f>
        <v>166.371463686451</v>
      </c>
      <c r="AW61" s="11" t="n">
        <f aca="false">AW28+AW57</f>
        <v>179.897126072587</v>
      </c>
      <c r="AX61" s="11" t="n">
        <f aca="false">AX28+AX57</f>
        <v>188.489384102271</v>
      </c>
      <c r="AY61" s="11" t="n">
        <f aca="false">AY28+AY57</f>
        <v>188.489384102271</v>
      </c>
      <c r="AZ61" s="11" t="n">
        <f aca="false">AZ28+AZ57</f>
        <v>188.489384102271</v>
      </c>
      <c r="BA61" s="11" t="n">
        <f aca="false">BA28+BA57</f>
        <v>188.489384102271</v>
      </c>
      <c r="BB61" s="11" t="n">
        <f aca="false">BB28+BB57</f>
        <v>188.489384102271</v>
      </c>
      <c r="BC61" s="11" t="n">
        <f aca="false">BC28+BC57</f>
        <v>188.489384102271</v>
      </c>
      <c r="BD61" s="11" t="n">
        <f aca="false">BD28+BD57</f>
        <v>188.489384102271</v>
      </c>
      <c r="BE61" s="11" t="n">
        <f aca="false">BE28+BE57</f>
        <v>188.489384102271</v>
      </c>
      <c r="BF61" s="11" t="n">
        <f aca="false">BF28+BF57</f>
        <v>188.489384102271</v>
      </c>
      <c r="BG61" s="11" t="n">
        <f aca="false">BG28+BG57</f>
        <v>188.489384102271</v>
      </c>
      <c r="BH61" s="11" t="n">
        <f aca="false">BH28+BH57</f>
        <v>188.489384102271</v>
      </c>
      <c r="BI61" s="11" t="n">
        <f aca="false">BI28+BI57</f>
        <v>188.489384102271</v>
      </c>
      <c r="BJ61" s="11" t="n">
        <f aca="false">BJ28+BJ57</f>
        <v>188.489384102271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19.7968503013281</v>
      </c>
      <c r="K62" s="11" t="n">
        <f aca="false">K29+K58</f>
        <v>20.2000058095973</v>
      </c>
      <c r="L62" s="11" t="n">
        <f aca="false">L29+L58</f>
        <v>20.682212491405</v>
      </c>
      <c r="M62" s="11" t="n">
        <f aca="false">M29+M58</f>
        <v>21.2965732711711</v>
      </c>
      <c r="N62" s="11" t="n">
        <f aca="false">N29+N58</f>
        <v>22.1038731440164</v>
      </c>
      <c r="O62" s="11" t="n">
        <f aca="false">O29+O58</f>
        <v>23.1395108327819</v>
      </c>
      <c r="P62" s="11" t="n">
        <f aca="false">P29+P58</f>
        <v>24.4212617013068</v>
      </c>
      <c r="Q62" s="11" t="n">
        <f aca="false">Q29+Q58</f>
        <v>26.0005922099667</v>
      </c>
      <c r="R62" s="11" t="n">
        <f aca="false">R29+R58</f>
        <v>27.8726169506027</v>
      </c>
      <c r="S62" s="11" t="n">
        <f aca="false">S29+S58</f>
        <v>30.0538415188891</v>
      </c>
      <c r="T62" s="11" t="n">
        <f aca="false">T29+T58</f>
        <v>32.530519966795</v>
      </c>
      <c r="U62" s="11" t="n">
        <f aca="false">U29+U58</f>
        <v>35.3002340761677</v>
      </c>
      <c r="V62" s="11" t="n">
        <f aca="false">V29+V58</f>
        <v>38.35295906798</v>
      </c>
      <c r="W62" s="11" t="n">
        <f aca="false">W29+W58</f>
        <v>41.6647366224257</v>
      </c>
      <c r="X62" s="11" t="n">
        <f aca="false">X29+X58</f>
        <v>45.2233291172359</v>
      </c>
      <c r="Y62" s="11" t="n">
        <f aca="false">Y29+Y58</f>
        <v>48.9900212233142</v>
      </c>
      <c r="Z62" s="11" t="n">
        <f aca="false">Z29+Z58</f>
        <v>52.9456892214799</v>
      </c>
      <c r="AA62" s="11" t="n">
        <f aca="false">AA29+AA58</f>
        <v>57.2285144066711</v>
      </c>
      <c r="AB62" s="11" t="n">
        <f aca="false">AB29+AB58</f>
        <v>61.4207906537286</v>
      </c>
      <c r="AC62" s="11" t="n">
        <f aca="false">AC29+AC58</f>
        <v>65.7009528293188</v>
      </c>
      <c r="AD62" s="11" t="n">
        <f aca="false">AD29+AD58</f>
        <v>70.066884243858</v>
      </c>
      <c r="AE62" s="11" t="n">
        <f aca="false">AE29+AE58</f>
        <v>74.4368479488465</v>
      </c>
      <c r="AF62" s="11" t="n">
        <f aca="false">AF29+AF58</f>
        <v>78.756658277436</v>
      </c>
      <c r="AG62" s="11" t="n">
        <f aca="false">AG29+AG58</f>
        <v>82.9906559873141</v>
      </c>
      <c r="AH62" s="11" t="n">
        <f aca="false">AH29+AH58</f>
        <v>87.1059026548357</v>
      </c>
      <c r="AI62" s="11" t="n">
        <f aca="false">AI29+AI58</f>
        <v>91.0587983614214</v>
      </c>
      <c r="AJ62" s="11" t="n">
        <f aca="false">AJ29+AJ58</f>
        <v>95.0951687769767</v>
      </c>
      <c r="AK62" s="11" t="n">
        <f aca="false">AK29+AK58</f>
        <v>98.9076448073337</v>
      </c>
      <c r="AL62" s="11" t="n">
        <f aca="false">AL29+AL58</f>
        <v>102.488660559601</v>
      </c>
      <c r="AM62" s="11" t="n">
        <f aca="false">AM29+AM58</f>
        <v>105.889717130866</v>
      </c>
      <c r="AN62" s="11" t="n">
        <f aca="false">AN29+AN58</f>
        <v>108.987745443574</v>
      </c>
      <c r="AO62" s="11" t="n">
        <f aca="false">AO29+AO58</f>
        <v>111.829652308122</v>
      </c>
      <c r="AP62" s="11" t="n">
        <f aca="false">AP29+AP58</f>
        <v>114.056368459105</v>
      </c>
      <c r="AQ62" s="11" t="n">
        <f aca="false">AQ29+AQ58</f>
        <v>116.23177638136</v>
      </c>
      <c r="AR62" s="11" t="n">
        <f aca="false">AR29+AR58</f>
        <v>117.898610951758</v>
      </c>
      <c r="AS62" s="11" t="n">
        <f aca="false">AS29+AS58</f>
        <v>119.203109108628</v>
      </c>
      <c r="AT62" s="11" t="n">
        <f aca="false">AT29+AT58</f>
        <v>120.120245287359</v>
      </c>
      <c r="AU62" s="11" t="n">
        <f aca="false">AU29+AU58</f>
        <v>121.286431384404</v>
      </c>
      <c r="AV62" s="11" t="n">
        <f aca="false">AV29+AV58</f>
        <v>122.005740036731</v>
      </c>
      <c r="AW62" s="11" t="n">
        <f aca="false">AW29+AW58</f>
        <v>131.924559119897</v>
      </c>
      <c r="AX62" s="11" t="n">
        <f aca="false">AX29+AX58</f>
        <v>138.225548341665</v>
      </c>
      <c r="AY62" s="11" t="n">
        <f aca="false">AY29+AY58</f>
        <v>138.225548341665</v>
      </c>
      <c r="AZ62" s="11" t="n">
        <f aca="false">AZ29+AZ58</f>
        <v>138.225548341665</v>
      </c>
      <c r="BA62" s="11" t="n">
        <f aca="false">BA29+BA58</f>
        <v>138.225548341665</v>
      </c>
      <c r="BB62" s="11" t="n">
        <f aca="false">BB29+BB58</f>
        <v>138.225548341665</v>
      </c>
      <c r="BC62" s="11" t="n">
        <f aca="false">BC29+BC58</f>
        <v>138.225548341665</v>
      </c>
      <c r="BD62" s="11" t="n">
        <f aca="false">BD29+BD58</f>
        <v>138.225548341665</v>
      </c>
      <c r="BE62" s="11" t="n">
        <f aca="false">BE29+BE58</f>
        <v>138.225548341665</v>
      </c>
      <c r="BF62" s="11" t="n">
        <f aca="false">BF29+BF58</f>
        <v>138.225548341665</v>
      </c>
      <c r="BG62" s="11" t="n">
        <f aca="false">BG29+BG58</f>
        <v>138.225548341665</v>
      </c>
      <c r="BH62" s="11" t="n">
        <f aca="false">BH29+BH58</f>
        <v>138.225548341665</v>
      </c>
      <c r="BI62" s="11" t="n">
        <f aca="false">BI29+BI58</f>
        <v>138.225548341665</v>
      </c>
      <c r="BJ62" s="11" t="n">
        <f aca="false">BJ29+BJ58</f>
        <v>138.225548341665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8.99856831878548</v>
      </c>
      <c r="K63" s="11" t="n">
        <f aca="false">K30+K59</f>
        <v>9.18182082254421</v>
      </c>
      <c r="L63" s="11" t="n">
        <f aca="false">L30+L59</f>
        <v>9.40100567791135</v>
      </c>
      <c r="M63" s="11" t="n">
        <f aca="false">M30+M59</f>
        <v>9.68026057780506</v>
      </c>
      <c r="N63" s="11" t="n">
        <f aca="false">N30+N59</f>
        <v>10.047215065462</v>
      </c>
      <c r="O63" s="11" t="n">
        <f aca="false">O30+O59</f>
        <v>10.5179594694463</v>
      </c>
      <c r="P63" s="11" t="n">
        <f aca="false">P30+P59</f>
        <v>11.100573500594</v>
      </c>
      <c r="Q63" s="11" t="n">
        <f aca="false">Q30+Q59</f>
        <v>11.8184510045303</v>
      </c>
      <c r="R63" s="11" t="n">
        <f aca="false">R30+R59</f>
        <v>12.669371341183</v>
      </c>
      <c r="S63" s="11" t="n">
        <f aca="false">S30+S59</f>
        <v>13.6608370540405</v>
      </c>
      <c r="T63" s="11" t="n">
        <f aca="false">T30+T59</f>
        <v>14.7865999849068</v>
      </c>
      <c r="U63" s="11" t="n">
        <f aca="false">U30+U59</f>
        <v>16.0455609437126</v>
      </c>
      <c r="V63" s="11" t="n">
        <f aca="false">V30+V59</f>
        <v>17.4331632127182</v>
      </c>
      <c r="W63" s="11" t="n">
        <f aca="false">W30+W59</f>
        <v>18.9385166465571</v>
      </c>
      <c r="X63" s="11" t="n">
        <f aca="false">X30+X59</f>
        <v>20.5560586896527</v>
      </c>
      <c r="Y63" s="11" t="n">
        <f aca="false">Y30+Y59</f>
        <v>22.2681914651428</v>
      </c>
      <c r="Z63" s="11" t="n">
        <f aca="false">Z30+Z59</f>
        <v>24.0662223734</v>
      </c>
      <c r="AA63" s="11" t="n">
        <f aca="false">AA30+AA59</f>
        <v>26.0129610939414</v>
      </c>
      <c r="AB63" s="11" t="n">
        <f aca="false">AB30+AB59</f>
        <v>27.9185412062403</v>
      </c>
      <c r="AC63" s="11" t="n">
        <f aca="false">AC30+AC59</f>
        <v>29.8640694678722</v>
      </c>
      <c r="AD63" s="11" t="n">
        <f aca="false">AD30+AD59</f>
        <v>31.8485837472082</v>
      </c>
      <c r="AE63" s="11" t="n">
        <f aca="false">AE30+AE59</f>
        <v>33.8349308858393</v>
      </c>
      <c r="AF63" s="11" t="n">
        <f aca="false">AF30+AF59</f>
        <v>35.7984810351982</v>
      </c>
      <c r="AG63" s="11" t="n">
        <f aca="false">AG30+AG59</f>
        <v>37.7230254487791</v>
      </c>
      <c r="AH63" s="11" t="n">
        <f aca="false">AH30+AH59</f>
        <v>39.5935921158344</v>
      </c>
      <c r="AI63" s="11" t="n">
        <f aca="false">AI30+AI59</f>
        <v>41.3903628915552</v>
      </c>
      <c r="AJ63" s="11" t="n">
        <f aca="false">AJ30+AJ59</f>
        <v>43.2250767168076</v>
      </c>
      <c r="AK63" s="11" t="n">
        <f aca="false">AK30+AK59</f>
        <v>44.9580203669699</v>
      </c>
      <c r="AL63" s="11" t="n">
        <f aca="false">AL30+AL59</f>
        <v>46.5857547998187</v>
      </c>
      <c r="AM63" s="11" t="n">
        <f aca="false">AM30+AM59</f>
        <v>48.1316896049391</v>
      </c>
      <c r="AN63" s="11" t="n">
        <f aca="false">AN30+AN59</f>
        <v>49.5398842925336</v>
      </c>
      <c r="AO63" s="11" t="n">
        <f aca="false">AO30+AO59</f>
        <v>50.8316601400554</v>
      </c>
      <c r="AP63" s="11" t="n">
        <f aca="false">AP30+AP59</f>
        <v>51.8438038450479</v>
      </c>
      <c r="AQ63" s="11" t="n">
        <f aca="false">AQ30+AQ59</f>
        <v>52.8326256278911</v>
      </c>
      <c r="AR63" s="11" t="n">
        <f aca="false">AR30+AR59</f>
        <v>53.5902777053446</v>
      </c>
      <c r="AS63" s="11" t="n">
        <f aca="false">AS30+AS59</f>
        <v>54.1832314130129</v>
      </c>
      <c r="AT63" s="11" t="n">
        <f aca="false">AT30+AT59</f>
        <v>54.6001114942542</v>
      </c>
      <c r="AU63" s="11" t="n">
        <f aca="false">AU30+AU59</f>
        <v>55.1301960838199</v>
      </c>
      <c r="AV63" s="11" t="n">
        <f aca="false">AV30+AV59</f>
        <v>55.4571545621504</v>
      </c>
      <c r="AW63" s="11" t="n">
        <f aca="false">AW30+AW59</f>
        <v>59.9657086908622</v>
      </c>
      <c r="AX63" s="11" t="n">
        <f aca="false">AX30+AX59</f>
        <v>62.8297947007569</v>
      </c>
      <c r="AY63" s="11" t="n">
        <f aca="false">AY30+AY59</f>
        <v>62.8297947007569</v>
      </c>
      <c r="AZ63" s="11" t="n">
        <f aca="false">AZ30+AZ59</f>
        <v>62.8297947007569</v>
      </c>
      <c r="BA63" s="11" t="n">
        <f aca="false">BA30+BA59</f>
        <v>62.8297947007569</v>
      </c>
      <c r="BB63" s="11" t="n">
        <f aca="false">BB30+BB59</f>
        <v>62.8297947007569</v>
      </c>
      <c r="BC63" s="11" t="n">
        <f aca="false">BC30+BC59</f>
        <v>62.8297947007569</v>
      </c>
      <c r="BD63" s="11" t="n">
        <f aca="false">BD30+BD59</f>
        <v>62.8297947007569</v>
      </c>
      <c r="BE63" s="11" t="n">
        <f aca="false">BE30+BE59</f>
        <v>62.8297947007569</v>
      </c>
      <c r="BF63" s="11" t="n">
        <f aca="false">BF30+BF59</f>
        <v>62.8297947007569</v>
      </c>
      <c r="BG63" s="11" t="n">
        <f aca="false">BG30+BG59</f>
        <v>62.8297947007569</v>
      </c>
      <c r="BH63" s="11" t="n">
        <f aca="false">BH30+BH59</f>
        <v>62.8297947007569</v>
      </c>
      <c r="BI63" s="11" t="n">
        <f aca="false">BI30+BI59</f>
        <v>62.8297947007569</v>
      </c>
      <c r="BJ63" s="11" t="n">
        <f aca="false">BJ30+BJ59</f>
        <v>62.8297947007569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34.1945596113848</v>
      </c>
      <c r="K64" s="11" t="n">
        <f aca="false">K31+K60</f>
        <v>34.890919125668</v>
      </c>
      <c r="L64" s="11" t="n">
        <f aca="false">L31+L60</f>
        <v>35.7238215760631</v>
      </c>
      <c r="M64" s="11" t="n">
        <f aca="false">M31+M60</f>
        <v>36.7849901956592</v>
      </c>
      <c r="N64" s="11" t="n">
        <f aca="false">N31+N60</f>
        <v>38.1794172487556</v>
      </c>
      <c r="O64" s="11" t="n">
        <f aca="false">O31+O60</f>
        <v>39.968245983896</v>
      </c>
      <c r="P64" s="11" t="n">
        <f aca="false">P31+P60</f>
        <v>42.1821793022573</v>
      </c>
      <c r="Q64" s="11" t="n">
        <f aca="false">Q31+Q60</f>
        <v>44.9101138172153</v>
      </c>
      <c r="R64" s="11" t="n">
        <f aca="false">R31+R60</f>
        <v>48.1436110964956</v>
      </c>
      <c r="S64" s="11" t="n">
        <f aca="false">S31+S60</f>
        <v>51.9111808053539</v>
      </c>
      <c r="T64" s="11" t="n">
        <f aca="false">T31+T60</f>
        <v>56.189079942646</v>
      </c>
      <c r="U64" s="11" t="n">
        <f aca="false">U31+U60</f>
        <v>60.9731315861077</v>
      </c>
      <c r="V64" s="11" t="n">
        <f aca="false">V31+V60</f>
        <v>66.2460202083291</v>
      </c>
      <c r="W64" s="11" t="n">
        <f aca="false">W31+W60</f>
        <v>71.9663632569171</v>
      </c>
      <c r="X64" s="11" t="n">
        <f aca="false">X31+X60</f>
        <v>78.1130230206802</v>
      </c>
      <c r="Y64" s="11" t="n">
        <f aca="false">Y31+Y60</f>
        <v>84.6191275675427</v>
      </c>
      <c r="Z64" s="11" t="n">
        <f aca="false">Z31+Z60</f>
        <v>91.4516450189198</v>
      </c>
      <c r="AA64" s="11" t="n">
        <f aca="false">AA31+AA60</f>
        <v>98.8492521569773</v>
      </c>
      <c r="AB64" s="11" t="n">
        <f aca="false">AB31+AB60</f>
        <v>106.090456583713</v>
      </c>
      <c r="AC64" s="11" t="n">
        <f aca="false">AC31+AC60</f>
        <v>113.483463977914</v>
      </c>
      <c r="AD64" s="11" t="n">
        <f aca="false">AD31+AD60</f>
        <v>121.024618239391</v>
      </c>
      <c r="AE64" s="11" t="n">
        <f aca="false">AE31+AE60</f>
        <v>128.572737366189</v>
      </c>
      <c r="AF64" s="11" t="n">
        <f aca="false">AF31+AF60</f>
        <v>136.034227933753</v>
      </c>
      <c r="AG64" s="11" t="n">
        <f aca="false">AG31+AG60</f>
        <v>143.347496705361</v>
      </c>
      <c r="AH64" s="11" t="n">
        <f aca="false">AH31+AH60</f>
        <v>150.455650040171</v>
      </c>
      <c r="AI64" s="11" t="n">
        <f aca="false">AI31+AI60</f>
        <v>157.28337898791</v>
      </c>
      <c r="AJ64" s="11" t="n">
        <f aca="false">AJ31+AJ60</f>
        <v>164.255291523869</v>
      </c>
      <c r="AK64" s="11" t="n">
        <f aca="false">AK31+AK60</f>
        <v>170.840477394485</v>
      </c>
      <c r="AL64" s="11" t="n">
        <f aca="false">AL31+AL60</f>
        <v>177.025868239311</v>
      </c>
      <c r="AM64" s="11" t="n">
        <f aca="false">AM31+AM60</f>
        <v>182.900420498768</v>
      </c>
      <c r="AN64" s="11" t="n">
        <f aca="false">AN31+AN60</f>
        <v>188.251560311628</v>
      </c>
      <c r="AO64" s="11" t="n">
        <f aca="false">AO31+AO60</f>
        <v>193.16030853221</v>
      </c>
      <c r="AP64" s="11" t="n">
        <f aca="false">AP31+AP60</f>
        <v>197.006454611182</v>
      </c>
      <c r="AQ64" s="11" t="n">
        <f aca="false">AQ31+AQ60</f>
        <v>200.763977385986</v>
      </c>
      <c r="AR64" s="11" t="n">
        <f aca="false">AR31+AR60</f>
        <v>203.64305528031</v>
      </c>
      <c r="AS64" s="11" t="n">
        <f aca="false">AS31+AS60</f>
        <v>205.896279369449</v>
      </c>
      <c r="AT64" s="11" t="n">
        <f aca="false">AT31+AT60</f>
        <v>207.480423678166</v>
      </c>
      <c r="AU64" s="11" t="n">
        <f aca="false">AU31+AU60</f>
        <v>209.494745118515</v>
      </c>
      <c r="AV64" s="11" t="n">
        <f aca="false">AV31+AV60</f>
        <v>210.737187336171</v>
      </c>
      <c r="AW64" s="11" t="n">
        <f aca="false">AW31+AW60</f>
        <v>227.869693025277</v>
      </c>
      <c r="AX64" s="11" t="n">
        <f aca="false">AX31+AX60</f>
        <v>238.753219862876</v>
      </c>
      <c r="AY64" s="11" t="n">
        <f aca="false">AY31+AY60</f>
        <v>238.753219862876</v>
      </c>
      <c r="AZ64" s="11" t="n">
        <f aca="false">AZ31+AZ60</f>
        <v>238.753219862876</v>
      </c>
      <c r="BA64" s="11" t="n">
        <f aca="false">BA31+BA60</f>
        <v>238.753219862876</v>
      </c>
      <c r="BB64" s="11" t="n">
        <f aca="false">BB31+BB60</f>
        <v>238.753219862876</v>
      </c>
      <c r="BC64" s="11" t="n">
        <f aca="false">BC31+BC60</f>
        <v>238.753219862876</v>
      </c>
      <c r="BD64" s="11" t="n">
        <f aca="false">BD31+BD60</f>
        <v>238.753219862876</v>
      </c>
      <c r="BE64" s="11" t="n">
        <f aca="false">BE31+BE60</f>
        <v>238.753219862876</v>
      </c>
      <c r="BF64" s="11" t="n">
        <f aca="false">BF31+BF60</f>
        <v>238.753219862876</v>
      </c>
      <c r="BG64" s="11" t="n">
        <f aca="false">BG31+BG60</f>
        <v>238.753219862876</v>
      </c>
      <c r="BH64" s="11" t="n">
        <f aca="false">BH31+BH60</f>
        <v>238.753219862876</v>
      </c>
      <c r="BI64" s="11" t="n">
        <f aca="false">BI31+BI60</f>
        <v>238.753219862876</v>
      </c>
      <c r="BJ64" s="11" t="n">
        <f aca="false">BJ31+BJ60</f>
        <v>238.753219862876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0</v>
      </c>
      <c r="AS65" s="11" t="n">
        <f aca="false">AS32+AS55</f>
        <v>0</v>
      </c>
      <c r="AT65" s="11" t="n">
        <f aca="false">AT32+AT55</f>
        <v>0</v>
      </c>
      <c r="AU65" s="11" t="n">
        <f aca="false">AU32+AU55</f>
        <v>0</v>
      </c>
      <c r="AV65" s="11" t="n">
        <f aca="false">AV32+AV55</f>
        <v>0</v>
      </c>
      <c r="AW65" s="11" t="n">
        <f aca="false">AW32+AW55</f>
        <v>0</v>
      </c>
      <c r="AX65" s="11" t="n">
        <f aca="false">AX32+AX55</f>
        <v>0</v>
      </c>
      <c r="AY65" s="11" t="n">
        <f aca="false">AY32+AY55</f>
        <v>0</v>
      </c>
      <c r="AZ65" s="11" t="n">
        <f aca="false">AZ32+AZ55</f>
        <v>0</v>
      </c>
      <c r="BA65" s="11" t="n">
        <f aca="false">BA32+BA55</f>
        <v>0</v>
      </c>
      <c r="BB65" s="11" t="n">
        <f aca="false">BB32+BB55</f>
        <v>0</v>
      </c>
      <c r="BC65" s="11" t="n">
        <f aca="false">BC32+BC55</f>
        <v>0</v>
      </c>
      <c r="BD65" s="11" t="n">
        <f aca="false">BD32+BD55</f>
        <v>0</v>
      </c>
      <c r="BE65" s="11" t="n">
        <f aca="false">BE32+BE55</f>
        <v>0</v>
      </c>
      <c r="BF65" s="11" t="n">
        <f aca="false">BF32+BF55</f>
        <v>0</v>
      </c>
      <c r="BG65" s="11" t="n">
        <f aca="false">BG32+BG55</f>
        <v>0</v>
      </c>
      <c r="BH65" s="11" t="n">
        <f aca="false">BH32+BH55</f>
        <v>0</v>
      </c>
      <c r="BI65" s="11" t="n">
        <f aca="false">BI32+BI55</f>
        <v>0</v>
      </c>
      <c r="BJ65" s="11" t="n">
        <f aca="false">BJ32+BJ55</f>
        <v>0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220.096937309673</v>
      </c>
      <c r="J67" s="11" t="n">
        <f aca="false">J50-J47+J56</f>
        <v>31.5225815486021</v>
      </c>
      <c r="K67" s="11" t="n">
        <f aca="false">K50-K47+K56</f>
        <v>0.641945672808953</v>
      </c>
      <c r="L67" s="11" t="n">
        <f aca="false">L50-L47+L56</f>
        <v>0.767819083298538</v>
      </c>
      <c r="M67" s="11" t="n">
        <f aca="false">M50-M47+M56</f>
        <v>0.978248432738945</v>
      </c>
      <c r="N67" s="11" t="n">
        <f aca="false">N50-N47+N56</f>
        <v>1.28546590435322</v>
      </c>
      <c r="O67" s="11" t="n">
        <f aca="false">O50-O47+O56</f>
        <v>1.64904886393594</v>
      </c>
      <c r="P67" s="11" t="n">
        <f aca="false">P50-P47+P56</f>
        <v>2.04093558637251</v>
      </c>
      <c r="Q67" s="11" t="n">
        <f aca="false">Q50-Q47+Q56</f>
        <v>2.51477250136539</v>
      </c>
      <c r="R67" s="11" t="n">
        <f aca="false">R50-R47+R56</f>
        <v>2.98083036692653</v>
      </c>
      <c r="S67" s="11" t="n">
        <f aca="false">S50-S47+S56</f>
        <v>3.47317013984845</v>
      </c>
      <c r="T67" s="11" t="n">
        <f aca="false">T50-T47+T56</f>
        <v>3.94362220027208</v>
      </c>
      <c r="U67" s="11" t="n">
        <f aca="false">U50-U47+U56</f>
        <v>4.41022372499097</v>
      </c>
      <c r="V67" s="11" t="n">
        <f aca="false">V50-V47+V56</f>
        <v>4.86086276529582</v>
      </c>
      <c r="W67" s="11" t="n">
        <f aca="false">W50-W47+W56</f>
        <v>5.27335290421629</v>
      </c>
      <c r="X67" s="11" t="n">
        <f aca="false">X50-X47+X56</f>
        <v>5.66635704207818</v>
      </c>
      <c r="Y67" s="11" t="n">
        <f aca="false">Y50-Y47+Y56</f>
        <v>5.99771465031308</v>
      </c>
      <c r="Z67" s="11" t="n">
        <f aca="false">Z50-Z47+Z56</f>
        <v>6.29862150561439</v>
      </c>
      <c r="AA67" s="11" t="n">
        <f aca="false">AA50-AA47+AA56</f>
        <v>6.8195548334039</v>
      </c>
      <c r="AB67" s="11" t="n">
        <f aca="false">AB50-AB47+AB56</f>
        <v>6.67537349935268</v>
      </c>
      <c r="AC67" s="11" t="n">
        <f aca="false">AC50-AC47+AC56</f>
        <v>6.8153145155739</v>
      </c>
      <c r="AD67" s="11" t="n">
        <f aca="false">AD50-AD47+AD56</f>
        <v>6.95188512089636</v>
      </c>
      <c r="AE67" s="11" t="n">
        <f aca="false">AE50-AE47+AE56</f>
        <v>6.95830574855093</v>
      </c>
      <c r="AF67" s="11" t="n">
        <f aca="false">AF50-AF47+AF56</f>
        <v>6.87844638337842</v>
      </c>
      <c r="AG67" s="11" t="n">
        <f aca="false">AG50-AG47+AG56</f>
        <v>6.74180670433587</v>
      </c>
      <c r="AH67" s="11" t="n">
        <f aca="false">AH50-AH47+AH56</f>
        <v>6.55271907879505</v>
      </c>
      <c r="AI67" s="11" t="n">
        <f aca="false">AI50-AI47+AI56</f>
        <v>6.29420717777552</v>
      </c>
      <c r="AJ67" s="11" t="n">
        <f aca="false">AJ50-AJ47+AJ56</f>
        <v>6.42712419642703</v>
      </c>
      <c r="AK67" s="11" t="n">
        <f aca="false">AK50-AK47+AK56</f>
        <v>6.07061652433444</v>
      </c>
      <c r="AL67" s="11" t="n">
        <f aca="false">AL50-AL47+AL56</f>
        <v>5.7020616592786</v>
      </c>
      <c r="AM67" s="11" t="n">
        <f aca="false">AM50-AM47+AM56</f>
        <v>5.41551213891379</v>
      </c>
      <c r="AN67" s="11" t="n">
        <f aca="false">AN50-AN47+AN56</f>
        <v>4.93299937317128</v>
      </c>
      <c r="AO67" s="11" t="n">
        <f aca="false">AO50-AO47+AO56</f>
        <v>4.52517645623816</v>
      </c>
      <c r="AP67" s="11" t="n">
        <f aca="false">AP50-AP47+AP56</f>
        <v>3.54560651753069</v>
      </c>
      <c r="AQ67" s="11" t="n">
        <f aca="false">AQ50-AQ47+AQ56</f>
        <v>3.46390827767993</v>
      </c>
      <c r="AR67" s="11" t="n">
        <f aca="false">AR50-AR47+AR56</f>
        <v>2.65410546999336</v>
      </c>
      <c r="AS67" s="11" t="n">
        <f aca="false">AS50-AS47+AS56</f>
        <v>2.07715615888552</v>
      </c>
      <c r="AT67" s="11" t="n">
        <f aca="false">AT50-AT47+AT56</f>
        <v>1.46035856942759</v>
      </c>
      <c r="AU67" s="11" t="n">
        <f aca="false">AU50-AU47+AU56</f>
        <v>1.85692146909169</v>
      </c>
      <c r="AV67" s="11" t="n">
        <f aca="false">AV50-AV47+AV56</f>
        <v>1.1453572314015</v>
      </c>
      <c r="AW67" s="11" t="n">
        <f aca="false">AW50-AW47+AW56</f>
        <v>15.7937640915513</v>
      </c>
      <c r="AX67" s="11" t="n">
        <f aca="false">AX50-AX47+AX56</f>
        <v>10.033083220654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205.896937309673</v>
      </c>
      <c r="J68" s="11" t="n">
        <f aca="false">J67-IF(Construction!J8=1,Inputs!$F$66,0)</f>
        <v>17.3225815486021</v>
      </c>
      <c r="K68" s="11" t="n">
        <f aca="false">K67-IF(Construction!K8=1,Inputs!$F$66,0)</f>
        <v>0.641945672808953</v>
      </c>
      <c r="L68" s="11" t="n">
        <f aca="false">L67-IF(Construction!L8=1,Inputs!$F$66,0)</f>
        <v>0.767819083298538</v>
      </c>
      <c r="M68" s="11" t="n">
        <f aca="false">M67-IF(Construction!M8=1,Inputs!$F$66,0)</f>
        <v>0.978248432738945</v>
      </c>
      <c r="N68" s="11" t="n">
        <f aca="false">N67-IF(Construction!N8=1,Inputs!$F$66,0)</f>
        <v>1.28546590435322</v>
      </c>
      <c r="O68" s="11" t="n">
        <f aca="false">O67-IF(Construction!O8=1,Inputs!$F$66,0)</f>
        <v>1.64904886393594</v>
      </c>
      <c r="P68" s="11" t="n">
        <f aca="false">P67-IF(Construction!P8=1,Inputs!$F$66,0)</f>
        <v>2.04093558637251</v>
      </c>
      <c r="Q68" s="11" t="n">
        <f aca="false">Q67-IF(Construction!Q8=1,Inputs!$F$66,0)</f>
        <v>2.51477250136539</v>
      </c>
      <c r="R68" s="11" t="n">
        <f aca="false">R67-IF(Construction!R8=1,Inputs!$F$66,0)</f>
        <v>2.98083036692653</v>
      </c>
      <c r="S68" s="11" t="n">
        <f aca="false">S67-IF(Construction!S8=1,Inputs!$F$66,0)</f>
        <v>3.47317013984845</v>
      </c>
      <c r="T68" s="11" t="n">
        <f aca="false">T67-IF(Construction!T8=1,Inputs!$F$66,0)</f>
        <v>3.94362220027208</v>
      </c>
      <c r="U68" s="11" t="n">
        <f aca="false">U67-IF(Construction!U8=1,Inputs!$F$66,0)</f>
        <v>4.41022372499097</v>
      </c>
      <c r="V68" s="11" t="n">
        <f aca="false">V67-IF(Construction!V8=1,Inputs!$F$66,0)</f>
        <v>4.86086276529582</v>
      </c>
      <c r="W68" s="11" t="n">
        <f aca="false">W67-IF(Construction!W8=1,Inputs!$F$66,0)</f>
        <v>5.27335290421629</v>
      </c>
      <c r="X68" s="11" t="n">
        <f aca="false">X67-IF(Construction!X8=1,Inputs!$F$66,0)</f>
        <v>5.66635704207818</v>
      </c>
      <c r="Y68" s="11" t="n">
        <f aca="false">Y67-IF(Construction!Y8=1,Inputs!$F$66,0)</f>
        <v>5.99771465031308</v>
      </c>
      <c r="Z68" s="11" t="n">
        <f aca="false">Z67-IF(Construction!Z8=1,Inputs!$F$66,0)</f>
        <v>6.29862150561439</v>
      </c>
      <c r="AA68" s="11" t="n">
        <f aca="false">AA67-IF(Construction!AA8=1,Inputs!$F$66,0)</f>
        <v>6.8195548334039</v>
      </c>
      <c r="AB68" s="11" t="n">
        <f aca="false">AB67-IF(Construction!AB8=1,Inputs!$F$66,0)</f>
        <v>6.67537349935268</v>
      </c>
      <c r="AC68" s="11" t="n">
        <f aca="false">AC67-IF(Construction!AC8=1,Inputs!$F$66,0)</f>
        <v>6.8153145155739</v>
      </c>
      <c r="AD68" s="11" t="n">
        <f aca="false">AD67-IF(Construction!AD8=1,Inputs!$F$66,0)</f>
        <v>6.95188512089636</v>
      </c>
      <c r="AE68" s="11" t="n">
        <f aca="false">AE67-IF(Construction!AE8=1,Inputs!$F$66,0)</f>
        <v>6.95830574855093</v>
      </c>
      <c r="AF68" s="11" t="n">
        <f aca="false">AF67-IF(Construction!AF8=1,Inputs!$F$66,0)</f>
        <v>6.87844638337842</v>
      </c>
      <c r="AG68" s="11" t="n">
        <f aca="false">AG67-IF(Construction!AG8=1,Inputs!$F$66,0)</f>
        <v>6.74180670433587</v>
      </c>
      <c r="AH68" s="11" t="n">
        <f aca="false">AH67-IF(Construction!AH8=1,Inputs!$F$66,0)</f>
        <v>6.55271907879505</v>
      </c>
      <c r="AI68" s="11" t="n">
        <f aca="false">AI67-IF(Construction!AI8=1,Inputs!$F$66,0)</f>
        <v>6.29420717777552</v>
      </c>
      <c r="AJ68" s="11" t="n">
        <f aca="false">AJ67-IF(Construction!AJ8=1,Inputs!$F$66,0)</f>
        <v>6.42712419642703</v>
      </c>
      <c r="AK68" s="11" t="n">
        <f aca="false">AK67-IF(Construction!AK8=1,Inputs!$F$66,0)</f>
        <v>6.07061652433444</v>
      </c>
      <c r="AL68" s="11" t="n">
        <f aca="false">AL67-IF(Construction!AL8=1,Inputs!$F$66,0)</f>
        <v>5.7020616592786</v>
      </c>
      <c r="AM68" s="11" t="n">
        <f aca="false">AM67-IF(Construction!AM8=1,Inputs!$F$66,0)</f>
        <v>5.41551213891379</v>
      </c>
      <c r="AN68" s="11" t="n">
        <f aca="false">AN67-IF(Construction!AN8=1,Inputs!$F$66,0)</f>
        <v>4.93299937317128</v>
      </c>
      <c r="AO68" s="11" t="n">
        <f aca="false">AO67-IF(Construction!AO8=1,Inputs!$F$66,0)</f>
        <v>4.52517645623816</v>
      </c>
      <c r="AP68" s="11" t="n">
        <f aca="false">AP67-IF(Construction!AP8=1,Inputs!$F$66,0)</f>
        <v>3.54560651753069</v>
      </c>
      <c r="AQ68" s="11" t="n">
        <f aca="false">AQ67-IF(Construction!AQ8=1,Inputs!$F$66,0)</f>
        <v>3.46390827767993</v>
      </c>
      <c r="AR68" s="11" t="n">
        <f aca="false">AR67-IF(Construction!AR8=1,Inputs!$F$66,0)</f>
        <v>2.65410546999336</v>
      </c>
      <c r="AS68" s="11" t="n">
        <f aca="false">AS67-IF(Construction!AS8=1,Inputs!$F$66,0)</f>
        <v>2.07715615888552</v>
      </c>
      <c r="AT68" s="11" t="n">
        <f aca="false">AT67-IF(Construction!AT8=1,Inputs!$F$66,0)</f>
        <v>1.46035856942759</v>
      </c>
      <c r="AU68" s="11" t="n">
        <f aca="false">AU67-IF(Construction!AU8=1,Inputs!$F$66,0)</f>
        <v>1.85692146909169</v>
      </c>
      <c r="AV68" s="11" t="n">
        <f aca="false">AV67-IF(Construction!AV8=1,Inputs!$F$66,0)</f>
        <v>1.1453572314015</v>
      </c>
      <c r="AW68" s="11" t="n">
        <f aca="false">AW67-IF(Construction!AW8=1,Inputs!$F$66,0)</f>
        <v>15.7937640915513</v>
      </c>
      <c r="AX68" s="11" t="n">
        <f aca="false">AX67-IF(Construction!AX8=1,Inputs!$F$66,0)</f>
        <v>10.033083220654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44.0193874619346</v>
      </c>
      <c r="J69" s="11" t="n">
        <f aca="false">(1-Inputs!$F$52)*J67</f>
        <v>6.30451630972041</v>
      </c>
      <c r="K69" s="11" t="n">
        <f aca="false">(1-Inputs!$F$52)*K67</f>
        <v>0.128389134561791</v>
      </c>
      <c r="L69" s="11" t="n">
        <f aca="false">(1-Inputs!$F$52)*L67</f>
        <v>0.153563816659708</v>
      </c>
      <c r="M69" s="11" t="n">
        <f aca="false">(1-Inputs!$F$52)*M67</f>
        <v>0.195649686547789</v>
      </c>
      <c r="N69" s="11" t="n">
        <f aca="false">(1-Inputs!$F$52)*N67</f>
        <v>0.257093180870643</v>
      </c>
      <c r="O69" s="11" t="n">
        <f aca="false">(1-Inputs!$F$52)*O67</f>
        <v>0.329809772787188</v>
      </c>
      <c r="P69" s="11" t="n">
        <f aca="false">(1-Inputs!$F$52)*P67</f>
        <v>0.408187117274501</v>
      </c>
      <c r="Q69" s="11" t="n">
        <f aca="false">(1-Inputs!$F$52)*Q67</f>
        <v>0.502954500273078</v>
      </c>
      <c r="R69" s="11" t="n">
        <f aca="false">(1-Inputs!$F$52)*R67</f>
        <v>0.596166073385305</v>
      </c>
      <c r="S69" s="11" t="n">
        <f aca="false">(1-Inputs!$F$52)*S67</f>
        <v>0.694634027969691</v>
      </c>
      <c r="T69" s="11" t="n">
        <f aca="false">(1-Inputs!$F$52)*T67</f>
        <v>0.788724440054416</v>
      </c>
      <c r="U69" s="11" t="n">
        <f aca="false">(1-Inputs!$F$52)*U67</f>
        <v>0.882044744998195</v>
      </c>
      <c r="V69" s="11" t="n">
        <f aca="false">(1-Inputs!$F$52)*V67</f>
        <v>0.972172553059163</v>
      </c>
      <c r="W69" s="11" t="n">
        <f aca="false">(1-Inputs!$F$52)*W67</f>
        <v>1.05467058084326</v>
      </c>
      <c r="X69" s="11" t="n">
        <f aca="false">(1-Inputs!$F$52)*X67</f>
        <v>1.13327140841564</v>
      </c>
      <c r="Y69" s="11" t="n">
        <f aca="false">(1-Inputs!$F$52)*Y67</f>
        <v>1.19954293006261</v>
      </c>
      <c r="Z69" s="11" t="n">
        <f aca="false">(1-Inputs!$F$52)*Z67</f>
        <v>1.25972430112288</v>
      </c>
      <c r="AA69" s="11" t="n">
        <f aca="false">(1-Inputs!$F$52)*AA67</f>
        <v>1.36391096668078</v>
      </c>
      <c r="AB69" s="11" t="n">
        <f aca="false">(1-Inputs!$F$52)*AB67</f>
        <v>1.33507469987054</v>
      </c>
      <c r="AC69" s="11" t="n">
        <f aca="false">(1-Inputs!$F$52)*AC67</f>
        <v>1.36306290311478</v>
      </c>
      <c r="AD69" s="11" t="n">
        <f aca="false">(1-Inputs!$F$52)*AD67</f>
        <v>1.39037702417927</v>
      </c>
      <c r="AE69" s="11" t="n">
        <f aca="false">(1-Inputs!$F$52)*AE67</f>
        <v>1.39166114971019</v>
      </c>
      <c r="AF69" s="11" t="n">
        <f aca="false">(1-Inputs!$F$52)*AF67</f>
        <v>1.37568927667568</v>
      </c>
      <c r="AG69" s="11" t="n">
        <f aca="false">(1-Inputs!$F$52)*AG67</f>
        <v>1.34836134086717</v>
      </c>
      <c r="AH69" s="11" t="n">
        <f aca="false">(1-Inputs!$F$52)*AH67</f>
        <v>1.31054381575901</v>
      </c>
      <c r="AI69" s="11" t="n">
        <f aca="false">(1-Inputs!$F$52)*AI67</f>
        <v>1.2588414355551</v>
      </c>
      <c r="AJ69" s="11" t="n">
        <f aca="false">(1-Inputs!$F$52)*AJ67</f>
        <v>1.28542483928541</v>
      </c>
      <c r="AK69" s="11" t="n">
        <f aca="false">(1-Inputs!$F$52)*AK67</f>
        <v>1.21412330486689</v>
      </c>
      <c r="AL69" s="11" t="n">
        <f aca="false">(1-Inputs!$F$52)*AL67</f>
        <v>1.14041233185572</v>
      </c>
      <c r="AM69" s="11" t="n">
        <f aca="false">(1-Inputs!$F$52)*AM67</f>
        <v>1.08310242778276</v>
      </c>
      <c r="AN69" s="11" t="n">
        <f aca="false">(1-Inputs!$F$52)*AN67</f>
        <v>0.986599874634255</v>
      </c>
      <c r="AO69" s="11" t="n">
        <f aca="false">(1-Inputs!$F$52)*AO67</f>
        <v>0.905035291247631</v>
      </c>
      <c r="AP69" s="11" t="n">
        <f aca="false">(1-Inputs!$F$52)*AP67</f>
        <v>0.709121303506137</v>
      </c>
      <c r="AQ69" s="11" t="n">
        <f aca="false">(1-Inputs!$F$52)*AQ67</f>
        <v>0.692781655535985</v>
      </c>
      <c r="AR69" s="11" t="n">
        <f aca="false">(1-Inputs!$F$52)*AR67</f>
        <v>0.530821093998672</v>
      </c>
      <c r="AS69" s="11" t="n">
        <f aca="false">(1-Inputs!$F$52)*AS67</f>
        <v>0.415431231777104</v>
      </c>
      <c r="AT69" s="11" t="n">
        <f aca="false">(1-Inputs!$F$52)*AT67</f>
        <v>0.292071713885518</v>
      </c>
      <c r="AU69" s="11" t="n">
        <f aca="false">(1-Inputs!$F$52)*AU67</f>
        <v>0.371384293818337</v>
      </c>
      <c r="AV69" s="11" t="n">
        <f aca="false">(1-Inputs!$F$52)*AV67</f>
        <v>0.2290714462803</v>
      </c>
      <c r="AW69" s="11" t="n">
        <f aca="false">(1-Inputs!$F$52)*AW67</f>
        <v>3.15875281831027</v>
      </c>
      <c r="AX69" s="11" t="n">
        <f aca="false">(1-Inputs!$F$52)*AX67</f>
        <v>2.00661664413079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176.077549847738</v>
      </c>
      <c r="J70" s="11" t="n">
        <f aca="false">Inputs!$F$52*J67</f>
        <v>25.2180652388817</v>
      </c>
      <c r="K70" s="11" t="n">
        <f aca="false">Inputs!$F$52*K67</f>
        <v>0.513556538247163</v>
      </c>
      <c r="L70" s="11" t="n">
        <f aca="false">Inputs!$F$52*L67</f>
        <v>0.614255266638831</v>
      </c>
      <c r="M70" s="11" t="n">
        <f aca="false">Inputs!$F$52*M67</f>
        <v>0.782598746191156</v>
      </c>
      <c r="N70" s="11" t="n">
        <f aca="false">Inputs!$F$52*N67</f>
        <v>1.02837272348257</v>
      </c>
      <c r="O70" s="11" t="n">
        <f aca="false">Inputs!$F$52*O67</f>
        <v>1.31923909114875</v>
      </c>
      <c r="P70" s="11" t="n">
        <f aca="false">Inputs!$F$52*P67</f>
        <v>1.632748469098</v>
      </c>
      <c r="Q70" s="11" t="n">
        <f aca="false">Inputs!$F$52*Q67</f>
        <v>2.01181800109231</v>
      </c>
      <c r="R70" s="11" t="n">
        <f aca="false">Inputs!$F$52*R67</f>
        <v>2.38466429354122</v>
      </c>
      <c r="S70" s="11" t="n">
        <f aca="false">Inputs!$F$52*S67</f>
        <v>2.77853611187876</v>
      </c>
      <c r="T70" s="11" t="n">
        <f aca="false">Inputs!$F$52*T67</f>
        <v>3.15489776021766</v>
      </c>
      <c r="U70" s="11" t="n">
        <f aca="false">Inputs!$F$52*U67</f>
        <v>3.52817897999278</v>
      </c>
      <c r="V70" s="11" t="n">
        <f aca="false">Inputs!$F$52*V67</f>
        <v>3.88869021223665</v>
      </c>
      <c r="W70" s="11" t="n">
        <f aca="false">Inputs!$F$52*W67</f>
        <v>4.21868232337304</v>
      </c>
      <c r="X70" s="11" t="n">
        <f aca="false">Inputs!$F$52*X67</f>
        <v>4.53308563366255</v>
      </c>
      <c r="Y70" s="11" t="n">
        <f aca="false">Inputs!$F$52*Y67</f>
        <v>4.79817172025046</v>
      </c>
      <c r="Z70" s="11" t="n">
        <f aca="false">Inputs!$F$52*Z67</f>
        <v>5.03889720449151</v>
      </c>
      <c r="AA70" s="11" t="n">
        <f aca="false">Inputs!$F$52*AA67</f>
        <v>5.45564386672312</v>
      </c>
      <c r="AB70" s="11" t="n">
        <f aca="false">Inputs!$F$52*AB67</f>
        <v>5.34029879948214</v>
      </c>
      <c r="AC70" s="11" t="n">
        <f aca="false">Inputs!$F$52*AC67</f>
        <v>5.45225161245912</v>
      </c>
      <c r="AD70" s="11" t="n">
        <f aca="false">Inputs!$F$52*AD67</f>
        <v>5.56150809671709</v>
      </c>
      <c r="AE70" s="11" t="n">
        <f aca="false">Inputs!$F$52*AE67</f>
        <v>5.56664459884075</v>
      </c>
      <c r="AF70" s="11" t="n">
        <f aca="false">Inputs!$F$52*AF67</f>
        <v>5.50275710670274</v>
      </c>
      <c r="AG70" s="11" t="n">
        <f aca="false">Inputs!$F$52*AG67</f>
        <v>5.3934453634687</v>
      </c>
      <c r="AH70" s="11" t="n">
        <f aca="false">Inputs!$F$52*AH67</f>
        <v>5.24217526303604</v>
      </c>
      <c r="AI70" s="11" t="n">
        <f aca="false">Inputs!$F$52*AI67</f>
        <v>5.03536574222042</v>
      </c>
      <c r="AJ70" s="11" t="n">
        <f aca="false">Inputs!$F$52*AJ67</f>
        <v>5.14169935714163</v>
      </c>
      <c r="AK70" s="11" t="n">
        <f aca="false">Inputs!$F$52*AK67</f>
        <v>4.85649321946755</v>
      </c>
      <c r="AL70" s="11" t="n">
        <f aca="false">Inputs!$F$52*AL67</f>
        <v>4.56164932742288</v>
      </c>
      <c r="AM70" s="11" t="n">
        <f aca="false">Inputs!$F$52*AM67</f>
        <v>4.33240971113103</v>
      </c>
      <c r="AN70" s="11" t="n">
        <f aca="false">Inputs!$F$52*AN67</f>
        <v>3.94639949853702</v>
      </c>
      <c r="AO70" s="11" t="n">
        <f aca="false">Inputs!$F$52*AO67</f>
        <v>3.62014116499052</v>
      </c>
      <c r="AP70" s="11" t="n">
        <f aca="false">Inputs!$F$52*AP67</f>
        <v>2.83648521402455</v>
      </c>
      <c r="AQ70" s="11" t="n">
        <f aca="false">Inputs!$F$52*AQ67</f>
        <v>2.77112662214394</v>
      </c>
      <c r="AR70" s="11" t="n">
        <f aca="false">Inputs!$F$52*AR67</f>
        <v>2.12328437599469</v>
      </c>
      <c r="AS70" s="11" t="n">
        <f aca="false">Inputs!$F$52*AS67</f>
        <v>1.66172492710842</v>
      </c>
      <c r="AT70" s="11" t="n">
        <f aca="false">Inputs!$F$52*AT67</f>
        <v>1.16828685554207</v>
      </c>
      <c r="AU70" s="11" t="n">
        <f aca="false">Inputs!$F$52*AU67</f>
        <v>1.48553717527335</v>
      </c>
      <c r="AV70" s="11" t="n">
        <f aca="false">Inputs!$F$52*AV67</f>
        <v>0.916285785121198</v>
      </c>
      <c r="AW70" s="11" t="n">
        <f aca="false">Inputs!$F$52*AW67</f>
        <v>12.6350112732411</v>
      </c>
      <c r="AX70" s="11" t="n">
        <f aca="false">Inputs!$F$52*AX67</f>
        <v>8.02646657652318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29.7658427530651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0.196908180632364</v>
      </c>
      <c r="L71" s="11" t="n">
        <f aca="false">IF(Construction!L8&lt;=Time!$F$10,K72*Inputs!$F$102/100*Construction!L11/365,0)</f>
        <v>0.209204166371525</v>
      </c>
      <c r="M71" s="11" t="n">
        <f aca="false">IF(Construction!M8&lt;=Time!$F$10,L72*Inputs!$F$102/100*Construction!M11/365,0)</f>
        <v>0.208885396612874</v>
      </c>
      <c r="N71" s="11" t="n">
        <f aca="false">IF(Construction!N8&lt;=Time!$F$10,M72*Inputs!$F$102/100*Construction!N11/365,0)</f>
        <v>0.223848026181863</v>
      </c>
      <c r="O71" s="11" t="n">
        <f aca="false">IF(Construction!O8&lt;=Time!$F$10,N72*Inputs!$F$102/100*Construction!O11/365,0)</f>
        <v>0.233951560723676</v>
      </c>
      <c r="P71" s="11" t="n">
        <f aca="false">IF(Construction!P8&lt;=Time!$F$10,O72*Inputs!$F$102/100*Construction!P11/365,0)</f>
        <v>0.22263022993808</v>
      </c>
      <c r="Q71" s="11" t="n">
        <f aca="false">IF(Construction!Q8&lt;=Time!$F$10,P72*Inputs!$F$102/100*Construction!Q11/365,0)</f>
        <v>0.261453579185116</v>
      </c>
      <c r="R71" s="11" t="n">
        <f aca="false">IF(Construction!R8&lt;=Time!$F$10,Q72*Inputs!$F$102/100*Construction!R11/365,0)</f>
        <v>0.270769795509901</v>
      </c>
      <c r="S71" s="11" t="n">
        <f aca="false">IF(Construction!S8&lt;=Time!$F$10,R72*Inputs!$F$102/100*Construction!S11/365,0)</f>
        <v>0.301220807119836</v>
      </c>
      <c r="T71" s="11" t="n">
        <f aca="false">IF(Construction!T8&lt;=Time!$F$10,S72*Inputs!$F$102/100*Construction!T11/365,0)</f>
        <v>0.31555142392892</v>
      </c>
      <c r="U71" s="11" t="n">
        <f aca="false">IF(Construction!U8&lt;=Time!$F$10,T72*Inputs!$F$102/100*Construction!U11/365,0)</f>
        <v>0.354071100198637</v>
      </c>
      <c r="V71" s="11" t="n">
        <f aca="false">IF(Construction!V8&lt;=Time!$F$10,U72*Inputs!$F$102/100*Construction!V11/365,0)</f>
        <v>0.385395008379908</v>
      </c>
      <c r="W71" s="11" t="n">
        <f aca="false">IF(Construction!W8&lt;=Time!$F$10,V72*Inputs!$F$102/100*Construction!W11/365,0)</f>
        <v>0.40633590552377</v>
      </c>
      <c r="X71" s="11" t="n">
        <f aca="false">IF(Construction!X8&lt;=Time!$F$10,W72*Inputs!$F$102/100*Construction!X11/365,0)</f>
        <v>0.457197363609543</v>
      </c>
      <c r="Y71" s="11" t="n">
        <f aca="false">IF(Construction!Y8&lt;=Time!$F$10,X72*Inputs!$F$102/100*Construction!Y11/365,0)</f>
        <v>0.48141428496098</v>
      </c>
      <c r="Z71" s="11" t="n">
        <f aca="false">IF(Construction!Z8&lt;=Time!$F$10,Y72*Inputs!$F$102/100*Construction!Z11/365,0)</f>
        <v>0.540059731314513</v>
      </c>
      <c r="AA71" s="11" t="n">
        <f aca="false">IF(Construction!AA8&lt;=Time!$F$10,Z72*Inputs!$F$102/100*Construction!AA11/365,0)</f>
        <v>0.58507350713903</v>
      </c>
      <c r="AB71" s="11" t="n">
        <f aca="false">IF(Construction!AB8&lt;=Time!$F$10,AA72*Inputs!$F$102/100*Construction!AB11/365,0)</f>
        <v>0.592921832998792</v>
      </c>
      <c r="AC71" s="11" t="n">
        <f aca="false">IF(Construction!AC8&lt;=Time!$F$10,AB72*Inputs!$F$102/100*Construction!AC11/365,0)</f>
        <v>0.681685143929935</v>
      </c>
      <c r="AD71" s="11" t="n">
        <f aca="false">IF(Construction!AD8&lt;=Time!$F$10,AC72*Inputs!$F$102/100*Construction!AD11/365,0)</f>
        <v>0.707590423195737</v>
      </c>
      <c r="AE71" s="11" t="n">
        <f aca="false">IF(Construction!AE8&lt;=Time!$F$10,AD72*Inputs!$F$102/100*Construction!AE11/365,0)</f>
        <v>0.78175894910448</v>
      </c>
      <c r="AF71" s="11" t="n">
        <f aca="false">IF(Construction!AF8&lt;=Time!$F$10,AE72*Inputs!$F$102/100*Construction!AF11/365,0)</f>
        <v>0.806110644821478</v>
      </c>
      <c r="AG71" s="11" t="n">
        <f aca="false">IF(Construction!AG8&lt;=Time!$F$10,AF72*Inputs!$F$102/100*Construction!AG11/365,0)</f>
        <v>0.88388405589061</v>
      </c>
      <c r="AH71" s="11" t="n">
        <f aca="false">IF(Construction!AH8&lt;=Time!$F$10,AG72*Inputs!$F$102/100*Construction!AH11/365,0)</f>
        <v>0.934532645315304</v>
      </c>
      <c r="AI71" s="11" t="n">
        <f aca="false">IF(Construction!AI8&lt;=Time!$F$10,AH72*Inputs!$F$102/100*Construction!AI11/365,0)</f>
        <v>0.952615520097695</v>
      </c>
      <c r="AJ71" s="11" t="n">
        <f aca="false">IF(Construction!AJ8&lt;=Time!$F$10,AI72*Inputs!$F$102/100*Construction!AJ11/365,0)</f>
        <v>1.03268335656906</v>
      </c>
      <c r="AK71" s="11" t="n">
        <f aca="false">IF(Construction!AK8&lt;=Time!$F$10,AJ72*Inputs!$F$102/100*Construction!AK11/365,0)</f>
        <v>1.04758192374614</v>
      </c>
      <c r="AL71" s="11" t="n">
        <f aca="false">IF(Construction!AL8&lt;=Time!$F$10,AK72*Inputs!$F$102/100*Construction!AL11/365,0)</f>
        <v>1.13013831105849</v>
      </c>
      <c r="AM71" s="11" t="n">
        <f aca="false">IF(Construction!AM8&lt;=Time!$F$10,AL72*Inputs!$F$102/100*Construction!AM11/365,0)</f>
        <v>1.17606246063473</v>
      </c>
      <c r="AN71" s="11" t="n">
        <f aca="false">IF(Construction!AN8&lt;=Time!$F$10,AM72*Inputs!$F$102/100*Construction!AN11/365,0)</f>
        <v>1.10239389862755</v>
      </c>
      <c r="AO71" s="11" t="n">
        <f aca="false">IF(Construction!AO8&lt;=Time!$F$10,AN72*Inputs!$F$102/100*Construction!AO11/365,0)</f>
        <v>1.26124368556761</v>
      </c>
      <c r="AP71" s="11" t="n">
        <f aca="false">IF(Construction!AP8&lt;=Time!$F$10,AO72*Inputs!$F$102/100*Construction!AP11/365,0)</f>
        <v>1.25867332819374</v>
      </c>
      <c r="AQ71" s="11" t="n">
        <f aca="false">IF(Construction!AQ8&lt;=Time!$F$10,AP72*Inputs!$F$102/100*Construction!AQ11/365,0)</f>
        <v>1.33367086444905</v>
      </c>
      <c r="AR71" s="11" t="n">
        <f aca="false">IF(Construction!AR8&lt;=Time!$F$10,AQ72*Inputs!$F$102/100*Construction!AR11/365,0)</f>
        <v>1.32270038211733</v>
      </c>
      <c r="AS71" s="11" t="n">
        <f aca="false">IF(Construction!AS8&lt;=Time!$F$10,AR72*Inputs!$F$102/100*Construction!AS11/365,0)</f>
        <v>1.39459429927277</v>
      </c>
      <c r="AT71" s="11" t="n">
        <f aca="false">IF(Construction!AT8&lt;=Time!$F$10,AS72*Inputs!$F$102/100*Construction!AT11/365,0)</f>
        <v>1.41925419001713</v>
      </c>
      <c r="AU71" s="11" t="n">
        <f aca="false">IF(Construction!AU8&lt;=Time!$F$10,AT72*Inputs!$F$102/100*Construction!AU11/365,0)</f>
        <v>1.39367588440678</v>
      </c>
      <c r="AV71" s="11" t="n">
        <f aca="false">IF(Construction!AV8&lt;=Time!$F$10,AU72*Inputs!$F$102/100*Construction!AV11/365,0)</f>
        <v>1.46336265807173</v>
      </c>
      <c r="AW71" s="11" t="n">
        <f aca="false">IF(Construction!AW8&lt;=Time!$F$10,AV72*Inputs!$F$102/100*Construction!AW11/365,0)</f>
        <v>1.43473822764839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25.2180652388817</v>
      </c>
      <c r="K72" s="11" t="n">
        <f aca="false">J72+K71+K70</f>
        <v>25.9285299577612</v>
      </c>
      <c r="L72" s="11" t="n">
        <f aca="false">K72+L71+L70</f>
        <v>26.7519893907715</v>
      </c>
      <c r="M72" s="11" t="n">
        <f aca="false">L72+M71+M70</f>
        <v>27.7434735335756</v>
      </c>
      <c r="N72" s="11" t="n">
        <f aca="false">M72+N71+N70</f>
        <v>28.99569428324</v>
      </c>
      <c r="O72" s="11" t="n">
        <f aca="false">N72+O71+O70</f>
        <v>30.5488849351124</v>
      </c>
      <c r="P72" s="11" t="n">
        <f aca="false">O72+P71+P70</f>
        <v>32.4042636341485</v>
      </c>
      <c r="Q72" s="11" t="n">
        <f aca="false">P72+Q71+Q70</f>
        <v>34.6775352144259</v>
      </c>
      <c r="R72" s="11" t="n">
        <f aca="false">Q72+R71+R70</f>
        <v>37.3329693034771</v>
      </c>
      <c r="S72" s="11" t="n">
        <f aca="false">R72+S71+S70</f>
        <v>40.4127262224757</v>
      </c>
      <c r="T72" s="11" t="n">
        <f aca="false">S72+T71+T70</f>
        <v>43.8831754066222</v>
      </c>
      <c r="U72" s="11" t="n">
        <f aca="false">T72+U71+U70</f>
        <v>47.7654254868137</v>
      </c>
      <c r="V72" s="11" t="n">
        <f aca="false">U72+V71+V70</f>
        <v>52.0395107074302</v>
      </c>
      <c r="W72" s="11" t="n">
        <f aca="false">V72+W71+W70</f>
        <v>56.664528936327</v>
      </c>
      <c r="X72" s="11" t="n">
        <f aca="false">W72+X71+X70</f>
        <v>61.6548119335991</v>
      </c>
      <c r="Y72" s="11" t="n">
        <f aca="false">X72+Y71+Y70</f>
        <v>66.9343979388106</v>
      </c>
      <c r="Z72" s="11" t="n">
        <f aca="false">Y72+Z71+Z70</f>
        <v>72.5133548746166</v>
      </c>
      <c r="AA72" s="11" t="n">
        <f aca="false">Z72+AA71+AA70</f>
        <v>78.5540722484787</v>
      </c>
      <c r="AB72" s="11" t="n">
        <f aca="false">AA72+AB71+AB70</f>
        <v>84.4872928809597</v>
      </c>
      <c r="AC72" s="11" t="n">
        <f aca="false">AB72+AC71+AC70</f>
        <v>90.6212296373487</v>
      </c>
      <c r="AD72" s="11" t="n">
        <f aca="false">AC72+AD71+AD70</f>
        <v>96.8903281572616</v>
      </c>
      <c r="AE72" s="11" t="n">
        <f aca="false">AD72+AE71+AE70</f>
        <v>103.238731705207</v>
      </c>
      <c r="AF72" s="11" t="n">
        <f aca="false">AE72+AF71+AF70</f>
        <v>109.547599456731</v>
      </c>
      <c r="AG72" s="11" t="n">
        <f aca="false">AF72+AG71+AG70</f>
        <v>115.82492887609</v>
      </c>
      <c r="AH72" s="11" t="n">
        <f aca="false">AG72+AH71+AH70</f>
        <v>122.001636784442</v>
      </c>
      <c r="AI72" s="11" t="n">
        <f aca="false">AH72+AI71+AI70</f>
        <v>127.98961804676</v>
      </c>
      <c r="AJ72" s="11" t="n">
        <f aca="false">AI72+AJ71+AJ70</f>
        <v>134.16400076047</v>
      </c>
      <c r="AK72" s="11" t="n">
        <f aca="false">AJ72+AK71+AK70</f>
        <v>140.068075903684</v>
      </c>
      <c r="AL72" s="11" t="n">
        <f aca="false">AK72+AL71+AL70</f>
        <v>145.759863542166</v>
      </c>
      <c r="AM72" s="11" t="n">
        <f aca="false">AL72+AM71+AM70</f>
        <v>151.268335713931</v>
      </c>
      <c r="AN72" s="11" t="n">
        <f aca="false">AM72+AN71+AN70</f>
        <v>156.317129111096</v>
      </c>
      <c r="AO72" s="11" t="n">
        <f aca="false">AN72+AO71+AO70</f>
        <v>161.198513961654</v>
      </c>
      <c r="AP72" s="11" t="n">
        <f aca="false">AO72+AP71+AP70</f>
        <v>165.293672503872</v>
      </c>
      <c r="AQ72" s="11" t="n">
        <f aca="false">AP72+AQ71+AQ70</f>
        <v>169.398469990465</v>
      </c>
      <c r="AR72" s="11" t="n">
        <f aca="false">AQ72+AR71+AR70</f>
        <v>172.844454748577</v>
      </c>
      <c r="AS72" s="11" t="n">
        <f aca="false">AR72+AS71+AS70</f>
        <v>175.900773974959</v>
      </c>
      <c r="AT72" s="11" t="n">
        <f aca="false">AS72+AT71+AT70</f>
        <v>178.488315020518</v>
      </c>
      <c r="AU72" s="11" t="n">
        <f aca="false">AT72+AU71+AU70</f>
        <v>181.367528080198</v>
      </c>
      <c r="AV72" s="11" t="n">
        <f aca="false">AU72+AV71+AV70</f>
        <v>183.747176523391</v>
      </c>
      <c r="AW72" s="11" t="n">
        <f aca="false">AV72+AW71+AW70</f>
        <v>197.81692602428</v>
      </c>
      <c r="AX72" s="11" t="n">
        <f aca="false">AW72+AX71+AX70</f>
        <v>205.843392600803</v>
      </c>
      <c r="AY72" s="11" t="n">
        <f aca="false">AX72+AY71+AY70</f>
        <v>205.843392600803</v>
      </c>
      <c r="AZ72" s="11" t="n">
        <f aca="false">AY72+AZ71+AZ70</f>
        <v>205.843392600803</v>
      </c>
      <c r="BA72" s="11" t="n">
        <f aca="false">AZ72+BA71+BA70</f>
        <v>205.843392600803</v>
      </c>
      <c r="BB72" s="11" t="n">
        <f aca="false">BA72+BB71+BB70</f>
        <v>205.843392600803</v>
      </c>
      <c r="BC72" s="11" t="n">
        <f aca="false">BB72+BC71+BC70</f>
        <v>205.843392600803</v>
      </c>
      <c r="BD72" s="11" t="n">
        <f aca="false">BC72+BD71+BD70</f>
        <v>205.843392600803</v>
      </c>
      <c r="BE72" s="11" t="n">
        <f aca="false">BD72+BE71+BE70</f>
        <v>205.843392600803</v>
      </c>
      <c r="BF72" s="11" t="n">
        <f aca="false">BE72+BF71+BF70</f>
        <v>205.843392600803</v>
      </c>
      <c r="BG72" s="11" t="n">
        <f aca="false">BF72+BG71+BG70</f>
        <v>205.843392600803</v>
      </c>
      <c r="BH72" s="11" t="n">
        <f aca="false">BG72+BH71+BH70</f>
        <v>205.843392600803</v>
      </c>
      <c r="BI72" s="11" t="n">
        <f aca="false">BH72+BI71+BI70</f>
        <v>205.843392600803</v>
      </c>
      <c r="BJ72" s="11" t="n">
        <f aca="false">BI72+BJ71+BJ70</f>
        <v>205.843392600803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628.297947007569</v>
      </c>
      <c r="J73" s="11" t="n">
        <f aca="false">J47+J55</f>
        <v>89.9856831878548</v>
      </c>
      <c r="K73" s="11" t="n">
        <f aca="false">K47+K55</f>
        <v>1.8325250375873</v>
      </c>
      <c r="L73" s="11" t="n">
        <f aca="false">L47+L55</f>
        <v>2.19184855367137</v>
      </c>
      <c r="M73" s="11" t="n">
        <f aca="false">M47+M55</f>
        <v>2.79254899893711</v>
      </c>
      <c r="N73" s="11" t="n">
        <f aca="false">N47+N55</f>
        <v>3.66954487656952</v>
      </c>
      <c r="O73" s="11" t="n">
        <f aca="false">O47+O55</f>
        <v>4.70744403984299</v>
      </c>
      <c r="P73" s="11" t="n">
        <f aca="false">P47+P55</f>
        <v>5.82614031147711</v>
      </c>
      <c r="Q73" s="11" t="n">
        <f aca="false">Q47+Q55</f>
        <v>7.17877503936319</v>
      </c>
      <c r="R73" s="11" t="n">
        <f aca="false">R47+R55</f>
        <v>8.50920336652702</v>
      </c>
      <c r="S73" s="11" t="n">
        <f aca="false">S47+S55</f>
        <v>9.91465712857456</v>
      </c>
      <c r="T73" s="11" t="n">
        <f aca="false">T47+T55</f>
        <v>11.2576293086634</v>
      </c>
      <c r="U73" s="11" t="n">
        <f aca="false">U47+U55</f>
        <v>12.5896095880573</v>
      </c>
      <c r="V73" s="11" t="n">
        <f aca="false">V47+V55</f>
        <v>13.8760226900562</v>
      </c>
      <c r="W73" s="11" t="n">
        <f aca="false">W47+W55</f>
        <v>15.0535343383894</v>
      </c>
      <c r="X73" s="11" t="n">
        <f aca="false">X47+X55</f>
        <v>16.1754204309555</v>
      </c>
      <c r="Y73" s="11" t="n">
        <f aca="false">Y47+Y55</f>
        <v>17.1213277549015</v>
      </c>
      <c r="Z73" s="11" t="n">
        <f aca="false">Z47+Z55</f>
        <v>17.9803090825713</v>
      </c>
      <c r="AA73" s="11" t="n">
        <f aca="false">AA47+AA55</f>
        <v>19.4673872054144</v>
      </c>
      <c r="AB73" s="11" t="n">
        <f aca="false">AB47+AB55</f>
        <v>19.0558011229886</v>
      </c>
      <c r="AC73" s="11" t="n">
        <f aca="false">AC47+AC55</f>
        <v>19.4552826163192</v>
      </c>
      <c r="AD73" s="11" t="n">
        <f aca="false">AD47+AD55</f>
        <v>19.8451427933599</v>
      </c>
      <c r="AE73" s="11" t="n">
        <f aca="false">AE47+AE55</f>
        <v>19.8634713863116</v>
      </c>
      <c r="AF73" s="11" t="n">
        <f aca="false">AF47+AF55</f>
        <v>19.6355014935883</v>
      </c>
      <c r="AG73" s="11" t="n">
        <f aca="false">AG47+AG55</f>
        <v>19.2454441358096</v>
      </c>
      <c r="AH73" s="11" t="n">
        <f aca="false">AH47+AH55</f>
        <v>18.7056666705526</v>
      </c>
      <c r="AI73" s="11" t="n">
        <f aca="false">AI47+AI55</f>
        <v>17.9677077572077</v>
      </c>
      <c r="AJ73" s="11" t="n">
        <f aca="false">AJ47+AJ55</f>
        <v>18.3471382525245</v>
      </c>
      <c r="AK73" s="11" t="n">
        <f aca="false">AK47+AK55</f>
        <v>17.3294365016225</v>
      </c>
      <c r="AL73" s="11" t="n">
        <f aca="false">AL47+AL55</f>
        <v>16.2773443284886</v>
      </c>
      <c r="AM73" s="11" t="n">
        <f aca="false">AM47+AM55</f>
        <v>15.4593480512033</v>
      </c>
      <c r="AN73" s="11" t="n">
        <f aca="false">AN47+AN55</f>
        <v>14.0819468759456</v>
      </c>
      <c r="AO73" s="11" t="n">
        <f aca="false">AO47+AO55</f>
        <v>12.9177584752174</v>
      </c>
      <c r="AP73" s="11" t="n">
        <f aca="false">AP47+AP55</f>
        <v>10.1214370499252</v>
      </c>
      <c r="AQ73" s="11" t="n">
        <f aca="false">AQ47+AQ55</f>
        <v>9.88821782843216</v>
      </c>
      <c r="AR73" s="11" t="n">
        <f aca="false">AR47+AR55</f>
        <v>7.57652077453556</v>
      </c>
      <c r="AS73" s="11" t="n">
        <f aca="false">AS47+AS55</f>
        <v>5.92953707668219</v>
      </c>
      <c r="AT73" s="11" t="n">
        <f aca="false">AT47+AT55</f>
        <v>4.1688008124134</v>
      </c>
      <c r="AU73" s="11" t="n">
        <f aca="false">AU47+AU55</f>
        <v>5.30084589565669</v>
      </c>
      <c r="AV73" s="11" t="n">
        <f aca="false">AV47+AV55</f>
        <v>3.26958478330542</v>
      </c>
      <c r="AW73" s="11" t="n">
        <f aca="false">AW47+AW55</f>
        <v>45.0855412871184</v>
      </c>
      <c r="AX73" s="11" t="n">
        <f aca="false">AX47+AX55</f>
        <v>28.6408600989467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107.59029037079</v>
      </c>
      <c r="J74" s="11" t="n">
        <f aca="false">J33+J34+J35+J36+J37+J38+J39+J40+J41+J42+J43+J48+Construction!J14*Construction!J36</f>
        <v>13.4786098374862</v>
      </c>
      <c r="K74" s="11" t="n">
        <f aca="false">K33+K34+K35+K36+K37+K38+K39+K40+K41+K42+K43+K48+Construction!K14*Construction!K36</f>
        <v>1.0772766143993</v>
      </c>
      <c r="L74" s="11" t="n">
        <f aca="false">L33+L34+L35+L36+L37+L38+L39+L40+L41+L42+L43+L48+Construction!L14*Construction!L36</f>
        <v>1.12507180044684</v>
      </c>
      <c r="M74" s="11" t="n">
        <f aca="false">M33+M34+M35+M36+M37+M38+M39+M40+M41+M42+M43+M48+Construction!M14*Construction!M36</f>
        <v>1.12763649778356</v>
      </c>
      <c r="N74" s="11" t="n">
        <f aca="false">N33+N34+N35+N36+N37+N38+N39+N40+N41+N42+N43+N48+Construction!N14*Construction!N36</f>
        <v>1.19778875595133</v>
      </c>
      <c r="O74" s="11" t="n">
        <f aca="false">O33+O34+O35+O36+O37+O38+O39+O40+O41+O42+O43+O48+Construction!O14*Construction!O36</f>
        <v>1.25651140472494</v>
      </c>
      <c r="P74" s="11" t="n">
        <f aca="false">P33+P34+P35+P36+P37+P38+P39+P40+P41+P42+P43+P48+Construction!P14*Construction!P36</f>
        <v>1.23071416907016</v>
      </c>
      <c r="Q74" s="11" t="n">
        <f aca="false">Q33+Q34+Q35+Q36+Q37+Q38+Q39+Q40+Q41+Q42+Q43+Q48+Construction!Q14*Construction!Q36</f>
        <v>1.39111484087697</v>
      </c>
      <c r="R74" s="11" t="n">
        <f aca="false">R33+R34+R35+R36+R37+R38+R39+R40+R41+R42+R43+R48+Construction!R14*Construction!R36</f>
        <v>1.44189539679059</v>
      </c>
      <c r="S74" s="11" t="n">
        <f aca="false">S33+S34+S35+S36+S37+S38+S39+S40+S41+S42+S43+S48+Construction!S14*Construction!S36</f>
        <v>1.56156060961204</v>
      </c>
      <c r="T74" s="11" t="n">
        <f aca="false">T33+T34+T35+T36+T37+T38+T39+T40+T41+T42+T43+T48+Construction!T14*Construction!T36</f>
        <v>1.60709527071435</v>
      </c>
      <c r="U74" s="11" t="n">
        <f aca="false">U33+U34+U35+U36+U37+U38+U39+U40+U41+U42+U43+U48+Construction!U14*Construction!U36</f>
        <v>1.73114170279069</v>
      </c>
      <c r="V74" s="11" t="n">
        <f aca="false">V33+V34+V35+V36+V37+V38+V39+V40+V41+V42+V43+V48+Construction!V14*Construction!V36</f>
        <v>1.84017478696093</v>
      </c>
      <c r="W74" s="11" t="n">
        <f aca="false">W33+W34+W35+W36+W37+W38+W39+W40+W41+W42+W43+W48+Construction!W14*Construction!W36</f>
        <v>1.91953820052334</v>
      </c>
      <c r="X74" s="11" t="n">
        <f aca="false">X33+X34+X35+X36+X37+X38+X39+X40+X41+X42+X43+X48+Construction!X14*Construction!X36</f>
        <v>2.06838945113812</v>
      </c>
      <c r="Y74" s="11" t="n">
        <f aca="false">Y33+Y34+Y35+Y36+Y37+Y38+Y39+Y40+Y41+Y42+Y43+Y48+Construction!Y14*Construction!Y36</f>
        <v>2.14916528103358</v>
      </c>
      <c r="Z74" s="11" t="n">
        <f aca="false">Z33+Z34+Z35+Z36+Z37+Z38+Z39+Z40+Z41+Z42+Z43+Z48+Construction!Z14*Construction!Z36</f>
        <v>2.30139415843059</v>
      </c>
      <c r="AA74" s="11" t="n">
        <f aca="false">AA33+AA34+AA35+AA36+AA37+AA38+AA39+AA40+AA41+AA42+AA43+AA48+Construction!AA14*Construction!AA36</f>
        <v>2.44220166329884</v>
      </c>
      <c r="AB74" s="11" t="n">
        <f aca="false">AB33+AB34+AB35+AB36+AB37+AB38+AB39+AB40+AB41+AB42+AB43+AB48+Construction!AB14*Construction!AB36</f>
        <v>2.45027480609748</v>
      </c>
      <c r="AC74" s="11" t="n">
        <f aca="false">AC33+AC34+AC35+AC36+AC37+AC38+AC39+AC40+AC41+AC42+AC43+AC48+Construction!AC14*Construction!AC36</f>
        <v>2.63824641600968</v>
      </c>
      <c r="AD74" s="11" t="n">
        <f aca="false">AD33+AD34+AD35+AD36+AD37+AD38+AD39+AD40+AD41+AD42+AD43+AD48+Construction!AD14*Construction!AD36</f>
        <v>2.70634531022802</v>
      </c>
      <c r="AE74" s="11" t="n">
        <f aca="false">AE33+AE34+AE35+AE36+AE37+AE38+AE39+AE40+AE41+AE42+AE43+AE48+Construction!AE14*Construction!AE36</f>
        <v>2.84692641897919</v>
      </c>
      <c r="AF74" s="11" t="n">
        <f aca="false">AF33+AF34+AF35+AF36+AF37+AF38+AF39+AF40+AF41+AF42+AF43+AF48+Construction!AF14*Construction!AF36</f>
        <v>2.89054806072294</v>
      </c>
      <c r="AG74" s="11" t="n">
        <f aca="false">AG33+AG34+AG35+AG36+AG37+AG38+AG39+AG40+AG41+AG42+AG43+AG48+Construction!AG14*Construction!AG36</f>
        <v>3.0112785984897</v>
      </c>
      <c r="AH74" s="11" t="n">
        <f aca="false">AH33+AH34+AH35+AH36+AH37+AH38+AH39+AH40+AH41+AH42+AH43+AH48+Construction!AH14*Construction!AH36</f>
        <v>3.07769136965814</v>
      </c>
      <c r="AI74" s="11" t="n">
        <f aca="false">AI33+AI34+AI35+AI36+AI37+AI38+AI39+AI40+AI41+AI42+AI43+AI48+Construction!AI14*Construction!AI36</f>
        <v>3.08207661812225</v>
      </c>
      <c r="AJ74" s="11" t="n">
        <f aca="false">AJ33+AJ34+AJ35+AJ36+AJ37+AJ38+AJ39+AJ40+AJ41+AJ42+AJ43+AJ48+Construction!AJ14*Construction!AJ36</f>
        <v>3.21616843479258</v>
      </c>
      <c r="AK74" s="11" t="n">
        <f aca="false">AK33+AK34+AK35+AK36+AK37+AK38+AK39+AK40+AK41+AK42+AK43+AK48+Construction!AK14*Construction!AK36</f>
        <v>3.19877513748961</v>
      </c>
      <c r="AL74" s="11" t="n">
        <f aca="false">AL33+AL34+AL35+AL36+AL37+AL38+AL39+AL40+AL41+AL42+AL43+AL48+Construction!AL14*Construction!AL36</f>
        <v>3.27856735162143</v>
      </c>
      <c r="AM74" s="11" t="n">
        <f aca="false">AM33+AM34+AM35+AM36+AM37+AM38+AM39+AM40+AM41+AM42+AM43+AM48+Construction!AM14*Construction!AM36</f>
        <v>3.29964542478956</v>
      </c>
      <c r="AN74" s="11" t="n">
        <f aca="false">AN33+AN34+AN35+AN36+AN37+AN38+AN39+AN40+AN41+AN42+AN43+AN48+Construction!AN14*Construction!AN36</f>
        <v>3.13409078596541</v>
      </c>
      <c r="AO74" s="11" t="n">
        <f aca="false">AO33+AO34+AO35+AO36+AO37+AO38+AO39+AO40+AO41+AO42+AO43+AO48+Construction!AO14*Construction!AO36</f>
        <v>3.30581082961647</v>
      </c>
      <c r="AP74" s="11" t="n">
        <f aca="false">AP33+AP34+AP35+AP36+AP37+AP38+AP39+AP40+AP41+AP42+AP43+AP48+Construction!AP14*Construction!AP36</f>
        <v>3.1929163238737</v>
      </c>
      <c r="AQ74" s="11" t="n">
        <f aca="false">AQ33+AQ34+AQ35+AQ36+AQ37+AQ38+AQ39+AQ40+AQ41+AQ42+AQ43+AQ48+Construction!AQ14*Construction!AQ36</f>
        <v>3.33694228204972</v>
      </c>
      <c r="AR74" s="11" t="n">
        <f aca="false">AR33+AR34+AR35+AR36+AR37+AR38+AR39+AR40+AR41+AR42+AR43+AR48+Construction!AR14*Construction!AR36</f>
        <v>3.27874652512674</v>
      </c>
      <c r="AS74" s="11" t="n">
        <f aca="false">AS33+AS34+AS35+AS36+AS37+AS38+AS39+AS40+AS41+AS42+AS43+AS48+Construction!AS14*Construction!AS36</f>
        <v>2.12471023975781</v>
      </c>
      <c r="AT74" s="11" t="n">
        <f aca="false">AT33+AT34+AT35+AT36+AT37+AT38+AT39+AT40+AT41+AT42+AT43+AT48+Construction!AT14*Construction!AT36</f>
        <v>2.07736379566036</v>
      </c>
      <c r="AU74" s="11" t="n">
        <f aca="false">AU33+AU34+AU35+AU36+AU37+AU38+AU39+AU40+AU41+AU42+AU43+AU48+Construction!AU14*Construction!AU36</f>
        <v>2.05776632471275</v>
      </c>
      <c r="AV74" s="11" t="n">
        <f aca="false">AV33+AV34+AV35+AV36+AV37+AV38+AV39+AV40+AV41+AV42+AV43+AV48+Construction!AV14*Construction!AV36</f>
        <v>2.0623454223091</v>
      </c>
      <c r="AW74" s="11" t="n">
        <f aca="false">AW33+AW34+AW35+AW36+AW37+AW38+AW39+AW40+AW41+AW42+AW43+AW48+Construction!AW14*Construction!AW36</f>
        <v>3.36479369732839</v>
      </c>
      <c r="AX74" s="11" t="n">
        <f aca="false">AX33+AX34+AX35+AX36+AX37+AX38+AX39+AX40+AX41+AX42+AX43+AX48+Construction!AX14*Construction!AX36</f>
        <v>3.01097975535696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848.394884317242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801.443063506063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0.0212172222222222</v>
      </c>
      <c r="L10" s="14" t="n">
        <f aca="false">(Operations!L9+Inputs!$F$77+L9)/100*Time!L20/360</f>
        <v>0.0181444444444444</v>
      </c>
      <c r="M10" s="14" t="n">
        <f aca="false">(Operations!M9+Inputs!$F$77+M9)/100*Time!M20/360</f>
        <v>0.0164811111111111</v>
      </c>
      <c r="N10" s="14" t="n">
        <f aca="false">(Operations!N9+Inputs!$F$77+N9)/100*Time!N20/360</f>
        <v>0.00879111111111111</v>
      </c>
      <c r="O10" s="14" t="n">
        <f aca="false">(Operations!O9+Inputs!$F$77+O9)/100*Time!O20/360</f>
        <v>0.00804444444444444</v>
      </c>
      <c r="P10" s="14" t="n">
        <f aca="false">(Operations!P9+Inputs!$F$77+P9)/100*Time!P20/360</f>
        <v>0.00771777777777778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0.0327811111111111</v>
      </c>
      <c r="L11" s="14" t="n">
        <f aca="false">(Operations!L9+Inputs!$F$78+L9)/100*Time!L20/360</f>
        <v>0.0299</v>
      </c>
      <c r="M11" s="14" t="n">
        <f aca="false">(Operations!M9+Inputs!$F$78+M9)/100*Time!M20/360</f>
        <v>0.0281088888888889</v>
      </c>
      <c r="N11" s="14" t="n">
        <f aca="false">(Operations!N9+Inputs!$F$78+N9)/100*Time!N20/360</f>
        <v>0.0205466666666667</v>
      </c>
      <c r="O11" s="14" t="n">
        <f aca="false">(Operations!O9+Inputs!$F$78+O9)/100*Time!O20/360</f>
        <v>0.0196083333333333</v>
      </c>
      <c r="P11" s="14" t="n">
        <f aca="false">(Operations!P9+Inputs!$F$78+P9)/100*Time!P20/360</f>
        <v>0.0194733333333333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0.0315241666666667</v>
      </c>
      <c r="L12" s="14" t="n">
        <f aca="false">(Operations!L9+Inputs!$F$79+L9)/100*Time!L20/360</f>
        <v>0.0286222222222222</v>
      </c>
      <c r="M12" s="14" t="n">
        <f aca="false">(Operations!M9+Inputs!$F$79+M9)/100*Time!M20/360</f>
        <v>0.026845</v>
      </c>
      <c r="N12" s="14" t="n">
        <f aca="false">(Operations!N9+Inputs!$F$79+N9)/100*Time!N20/360</f>
        <v>0.0192688888888889</v>
      </c>
      <c r="O12" s="14" t="n">
        <f aca="false">(Operations!O9+Inputs!$F$79+O9)/100*Time!O20/360</f>
        <v>0.0183513888888889</v>
      </c>
      <c r="P12" s="14" t="n">
        <f aca="false">(Operations!P9+Inputs!$F$79+P9)/100*Time!P20/360</f>
        <v>0.0181955555555556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0.0389373456790123</v>
      </c>
      <c r="L13" s="14" t="n">
        <f aca="false">(Operations!L9+L8+L9)/100*Time!L20/360/(1-Inputs!$F$91/100)</f>
        <v>0.0357777777777778</v>
      </c>
      <c r="M13" s="14" t="n">
        <f aca="false">(Operations!M9+M8+M9)/100*Time!M20/360/(1-Inputs!$F$91/100)</f>
        <v>0.0337598765432099</v>
      </c>
      <c r="N13" s="14" t="n">
        <f aca="false">(Operations!N9+N8+N9)/100*Time!N20/360/(1-Inputs!$F$91/100)</f>
        <v>0.0253851851851852</v>
      </c>
      <c r="O13" s="14" t="n">
        <f aca="false">(Operations!O9+O8+O9)/100*Time!O20/360/(1-Inputs!$F$91/100)</f>
        <v>0.0243009259259259</v>
      </c>
      <c r="P13" s="14" t="n">
        <f aca="false">(Operations!P9+P8+P9)/100*Time!P20/360/(1-Inputs!$F$91/100)</f>
        <v>0.0241925925925926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0.0378155925925926</v>
      </c>
      <c r="L14" s="14" t="n">
        <f aca="false">(Inputs!$F$100*(Operations!L9+L8+Inputs!$F$99+L9)/(1-Inputs!$F$91/100)+(1-Inputs!$F$100)*(Operations!L9+Inputs!$F$78+Inputs!$F$99+L9))/100*Time!L20/360</f>
        <v>0.0347896296296296</v>
      </c>
      <c r="M14" s="14" t="n">
        <f aca="false">(Inputs!$F$100*(Operations!M9+M8+Inputs!$F$99+M9)/(1-Inputs!$F$91/100)+(1-Inputs!$F$100)*(Operations!M9+Inputs!$F$78+Inputs!$F$99+M9))/100*Time!M20/360</f>
        <v>0.0328476296296296</v>
      </c>
      <c r="N14" s="14" t="n">
        <f aca="false">(Inputs!$F$100*(Operations!N9+N8+Inputs!$F$99+N9)/(1-Inputs!$F$91/100)+(1-Inputs!$F$100)*(Operations!N9+Inputs!$F$78+Inputs!$F$99+N9))/100*Time!N20/360</f>
        <v>0.0248127407407407</v>
      </c>
      <c r="O14" s="14" t="n">
        <f aca="false">(Inputs!$F$100*(Operations!O9+O8+Inputs!$F$99+O9)/(1-Inputs!$F$91/100)+(1-Inputs!$F$100)*(Operations!O9+Inputs!$F$78+Inputs!$F$99+O9))/100*Time!O20/360</f>
        <v>0.0237646296296296</v>
      </c>
      <c r="P14" s="14" t="n">
        <f aca="false">(Inputs!$F$100*(Operations!P9+P8+Inputs!$F$99+P9)/(1-Inputs!$F$91/100)+(1-Inputs!$F$100)*(Operations!P9+Inputs!$F$78+Inputs!$F$99+P9))/100*Time!P20/360</f>
        <v>0.0236678518518519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</v>
      </c>
      <c r="Q17" s="10" t="n">
        <f aca="false">IF(Inputs!$F$46=1,Inputs!Q219,Inputs!Q220)</f>
        <v>0.0254815794663755</v>
      </c>
      <c r="R17" s="10" t="n">
        <f aca="false">IF(Inputs!$F$46=1,Inputs!R219,Inputs!R220)</f>
        <v>0.0272404616966825</v>
      </c>
      <c r="S17" s="10" t="n">
        <f aca="false">IF(Inputs!$F$46=1,Inputs!S219,Inputs!S220)</f>
        <v>0.0281997800818635</v>
      </c>
      <c r="T17" s="10" t="n">
        <f aca="false">IF(Inputs!$F$46=1,Inputs!T219,Inputs!T220)</f>
        <v>0.0295228109676876</v>
      </c>
      <c r="U17" s="10" t="n">
        <f aca="false">IF(Inputs!$F$46=1,Inputs!U219,Inputs!U220)</f>
        <v>0.0303446121914986</v>
      </c>
      <c r="V17" s="10" t="n">
        <f aca="false">IF(Inputs!$F$46=1,Inputs!V219,Inputs!V220)</f>
        <v>0.0317336885618467</v>
      </c>
      <c r="W17" s="10" t="n">
        <f aca="false">IF(Inputs!$F$46=1,Inputs!W219,Inputs!W220)</f>
        <v>0.033467483780784</v>
      </c>
      <c r="X17" s="10" t="n">
        <f aca="false">IF(Inputs!$F$46=1,Inputs!X219,Inputs!X220)</f>
        <v>0.0350039124595733</v>
      </c>
      <c r="Y17" s="10" t="n">
        <f aca="false">IF(Inputs!$F$46=1,Inputs!Y219,Inputs!Y220)</f>
        <v>0.0325817454453932</v>
      </c>
      <c r="Z17" s="10" t="n">
        <f aca="false">IF(Inputs!$F$46=1,Inputs!Z219,Inputs!Z220)</f>
        <v>0.0341159156522278</v>
      </c>
      <c r="AA17" s="10" t="n">
        <f aca="false">IF(Inputs!$F$46=1,Inputs!AA219,Inputs!AA220)</f>
        <v>0.0348226141250488</v>
      </c>
      <c r="AB17" s="10" t="n">
        <f aca="false">IF(Inputs!$F$46=1,Inputs!AB219,Inputs!AB220)</f>
        <v>0.0365180095175597</v>
      </c>
      <c r="AC17" s="10" t="n">
        <f aca="false">IF(Inputs!$F$46=1,Inputs!AC219,Inputs!AC220)</f>
        <v>0.0375492755811024</v>
      </c>
      <c r="AD17" s="10" t="n">
        <f aca="false">IF(Inputs!$F$46=1,Inputs!AD219,Inputs!AD220)</f>
        <v>0.0393340416498319</v>
      </c>
      <c r="AE17" s="10" t="n">
        <f aca="false">IF(Inputs!$F$46=1,Inputs!AE219,Inputs!AE220)</f>
        <v>0.0424788624188137</v>
      </c>
      <c r="AF17" s="10" t="n">
        <f aca="false">IF(Inputs!$F$46=1,Inputs!AF219,Inputs!AF220)</f>
        <v>0.0447618765783362</v>
      </c>
      <c r="AG17" s="10" t="n">
        <f aca="false">IF(Inputs!$F$46=1,Inputs!AG219,Inputs!AG220)</f>
        <v>0.0451083917771355</v>
      </c>
      <c r="AH17" s="10" t="n">
        <f aca="false">IF(Inputs!$F$46=1,Inputs!AH219,Inputs!AH220)</f>
        <v>0.0474375734175925</v>
      </c>
      <c r="AI17" s="10" t="n">
        <f aca="false">IF(Inputs!$F$46=1,Inputs!AI219,Inputs!AI220)</f>
        <v>0.0489070592882663</v>
      </c>
      <c r="AJ17" s="10" t="n">
        <f aca="false">IF(Inputs!$F$46=1,Inputs!AJ219,Inputs!AJ220)</f>
        <v>0.0513038213658132</v>
      </c>
      <c r="AK17" s="10" t="n">
        <f aca="false">IF(Inputs!$F$46=1,Inputs!AK219,Inputs!AK220)</f>
        <v>0.0528163392817864</v>
      </c>
      <c r="AL17" s="10" t="n">
        <f aca="false">IF(Inputs!$F$46=1,Inputs!AL219,Inputs!AL220)</f>
        <v>0.0552930464138874</v>
      </c>
      <c r="AM17" s="10" t="n">
        <f aca="false">IF(Inputs!$F$46=1,Inputs!AM219,Inputs!AM220)</f>
        <v>0.0578441612372633</v>
      </c>
      <c r="AN17" s="10" t="n">
        <f aca="false">IF(Inputs!$F$46=1,Inputs!AN219,Inputs!AN220)</f>
        <v>0.050237404554169</v>
      </c>
      <c r="AO17" s="10" t="n">
        <f aca="false">IF(Inputs!$F$46=1,Inputs!AO219,Inputs!AO220)</f>
        <v>0.0478955324894626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1</v>
      </c>
      <c r="R18" s="10" t="n">
        <f aca="false">SUM(R17:BN17)</f>
        <v>0.974518420533626</v>
      </c>
      <c r="S18" s="10" t="n">
        <f aca="false">SUM(S17:BN17)</f>
        <v>0.947277958836943</v>
      </c>
      <c r="T18" s="10" t="n">
        <f aca="false">SUM(T17:BN17)</f>
        <v>0.91907817875508</v>
      </c>
      <c r="U18" s="10" t="n">
        <f aca="false">SUM(U17:BN17)</f>
        <v>0.889555367787392</v>
      </c>
      <c r="V18" s="10" t="n">
        <f aca="false">SUM(V17:BN17)</f>
        <v>0.859210755595894</v>
      </c>
      <c r="W18" s="10" t="n">
        <f aca="false">SUM(W17:BN17)</f>
        <v>0.827477067034047</v>
      </c>
      <c r="X18" s="10" t="n">
        <f aca="false">SUM(X17:BN17)</f>
        <v>0.794009583253263</v>
      </c>
      <c r="Y18" s="10" t="n">
        <f aca="false">SUM(Y17:BN17)</f>
        <v>0.75900567079369</v>
      </c>
      <c r="Z18" s="10" t="n">
        <f aca="false">SUM(Z17:BN17)</f>
        <v>0.726423925348296</v>
      </c>
      <c r="AA18" s="10" t="n">
        <f aca="false">SUM(AA17:BN17)</f>
        <v>0.692308009696069</v>
      </c>
      <c r="AB18" s="10" t="n">
        <f aca="false">SUM(AB17:BN17)</f>
        <v>0.65748539557102</v>
      </c>
      <c r="AC18" s="10" t="n">
        <f aca="false">SUM(AC17:BN17)</f>
        <v>0.62096738605346</v>
      </c>
      <c r="AD18" s="10" t="n">
        <f aca="false">SUM(AD17:BN17)</f>
        <v>0.583418110472358</v>
      </c>
      <c r="AE18" s="10" t="n">
        <f aca="false">SUM(AE17:BN17)</f>
        <v>0.544084068822526</v>
      </c>
      <c r="AF18" s="10" t="n">
        <f aca="false">SUM(AF17:BN17)</f>
        <v>0.501605206403712</v>
      </c>
      <c r="AG18" s="10" t="n">
        <f aca="false">SUM(AG17:BN17)</f>
        <v>0.456843329825376</v>
      </c>
      <c r="AH18" s="10" t="n">
        <f aca="false">SUM(AH17:BN17)</f>
        <v>0.411734938048241</v>
      </c>
      <c r="AI18" s="10" t="n">
        <f aca="false">SUM(AI17:BN17)</f>
        <v>0.364297364630648</v>
      </c>
      <c r="AJ18" s="10" t="n">
        <f aca="false">SUM(AJ17:BN17)</f>
        <v>0.315390305342382</v>
      </c>
      <c r="AK18" s="10" t="n">
        <f aca="false">SUM(AK17:BN17)</f>
        <v>0.264086483976569</v>
      </c>
      <c r="AL18" s="10" t="n">
        <f aca="false">SUM(AL17:BN17)</f>
        <v>0.211270144694782</v>
      </c>
      <c r="AM18" s="10" t="n">
        <f aca="false">SUM(AM17:BN17)</f>
        <v>0.155977098280895</v>
      </c>
      <c r="AN18" s="10" t="n">
        <f aca="false">SUM(AN17:BN17)</f>
        <v>0.0981329370436315</v>
      </c>
      <c r="AO18" s="10" t="n">
        <f aca="false">SUM(AO17:BN17)</f>
        <v>0.0478955324894626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</v>
      </c>
      <c r="Q19" s="10" t="n">
        <f aca="false">IF(Q18&gt;0.000000000001,Q17/Q18,0)</f>
        <v>0.0254815794663755</v>
      </c>
      <c r="R19" s="10" t="n">
        <f aca="false">IF(R18&gt;0.000000000001,R17/R18,0)</f>
        <v>0.0279527417057608</v>
      </c>
      <c r="S19" s="10" t="n">
        <f aca="false">IF(S18&gt;0.000000000001,S17/S18,0)</f>
        <v>0.0297692771364456</v>
      </c>
      <c r="T19" s="10" t="n">
        <f aca="false">IF(T18&gt;0.000000000001,T17/T18,0)</f>
        <v>0.0321221977086619</v>
      </c>
      <c r="U19" s="10" t="n">
        <f aca="false">IF(U18&gt;0.000000000001,U17/U18,0)</f>
        <v>0.0341121118373726</v>
      </c>
      <c r="V19" s="10" t="n">
        <f aca="false">IF(V18&gt;0.000000000001,V17/V18,0)</f>
        <v>0.0369335327277627</v>
      </c>
      <c r="W19" s="10" t="n">
        <f aca="false">IF(W18&gt;0.000000000001,W17/W18,0)</f>
        <v>0.0404452100415817</v>
      </c>
      <c r="X19" s="10" t="n">
        <f aca="false">IF(X18&gt;0.000000000001,X17/X18,0)</f>
        <v>0.0440849999771454</v>
      </c>
      <c r="Y19" s="10" t="n">
        <f aca="false">IF(Y18&gt;0.000000000001,Y17/Y18,0)</f>
        <v>0.0429268801263666</v>
      </c>
      <c r="Z19" s="10" t="n">
        <f aca="false">IF(Z18&gt;0.000000000001,Z17/Z18,0)</f>
        <v>0.0469641960593056</v>
      </c>
      <c r="AA19" s="10" t="n">
        <f aca="false">IF(AA18&gt;0.000000000001,AA17/AA18,0)</f>
        <v>0.0502993084542476</v>
      </c>
      <c r="AB19" s="10" t="n">
        <f aca="false">IF(AB18&gt;0.000000000001,AB17/AB18,0)</f>
        <v>0.0555419325867218</v>
      </c>
      <c r="AC19" s="10" t="n">
        <f aca="false">IF(AC18&gt;0.000000000001,AC17/AC18,0)</f>
        <v>0.0604689979287732</v>
      </c>
      <c r="AD19" s="10" t="n">
        <f aca="false">IF(AD18&gt;0.000000000001,AD17/AD18,0)</f>
        <v>0.067419987387751</v>
      </c>
      <c r="AE19" s="10" t="n">
        <f aca="false">IF(AE18&gt;0.000000000001,AE17/AE18,0)</f>
        <v>0.0780740787186507</v>
      </c>
      <c r="AF19" s="10" t="n">
        <f aca="false">IF(AF18&gt;0.000000000001,AF17/AF18,0)</f>
        <v>0.0892372646991826</v>
      </c>
      <c r="AG19" s="10" t="n">
        <f aca="false">IF(AG18&gt;0.000000000001,AG17/AG18,0)</f>
        <v>0.098739302584056</v>
      </c>
      <c r="AH19" s="10" t="n">
        <f aca="false">IF(AH18&gt;0.000000000001,AH17/AH18,0)</f>
        <v>0.11521386463452</v>
      </c>
      <c r="AI19" s="10" t="n">
        <f aca="false">IF(AI18&gt;0.000000000001,AI17/AI18,0)</f>
        <v>0.134250379049137</v>
      </c>
      <c r="AJ19" s="10" t="n">
        <f aca="false">IF(AJ18&gt;0.000000000001,AJ17/AJ18,0)</f>
        <v>0.162667718369208</v>
      </c>
      <c r="AK19" s="10" t="n">
        <f aca="false">IF(AK18&gt;0.000000000001,AK17/AK18,0)</f>
        <v>0.199996374242586</v>
      </c>
      <c r="AL19" s="10" t="n">
        <f aca="false">IF(AL18&gt;0.000000000001,AL17/AL18,0)</f>
        <v>0.261717274316104</v>
      </c>
      <c r="AM19" s="10" t="n">
        <f aca="false">IF(AM18&gt;0.000000000001,AM17/AM18,0)</f>
        <v>0.370850348383154</v>
      </c>
      <c r="AN19" s="10" t="n">
        <f aca="false">IF(AN18&gt;0.000000000001,AN17/AN18,0)</f>
        <v>0.511932140906295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Inputs!$F$49*IF(Time!J17=15,1,0)</f>
        <v>0</v>
      </c>
      <c r="K20" s="9" t="n">
        <f aca="false">Inputs!$F$49*IF(Time!K17=15,1,0)</f>
        <v>0</v>
      </c>
      <c r="L20" s="9" t="n">
        <f aca="false">Inputs!$F$49*IF(Time!L17=15,1,0)</f>
        <v>0</v>
      </c>
      <c r="M20" s="9" t="n">
        <f aca="false">Inputs!$F$49*IF(Time!M17=15,1,0)</f>
        <v>0</v>
      </c>
      <c r="N20" s="9" t="n">
        <f aca="false">Inputs!$F$49*IF(Time!N17=15,1,0)</f>
        <v>0</v>
      </c>
      <c r="O20" s="9" t="n">
        <f aca="false">Inputs!$F$49*IF(Time!O17=15,1,0)</f>
        <v>0</v>
      </c>
      <c r="P20" s="9" t="n">
        <f aca="false">Inputs!$F$49*IF(Time!P17=15,1,0)</f>
        <v>0</v>
      </c>
      <c r="Q20" s="9" t="n">
        <f aca="false">Inputs!$F$49*IF(Time!Q17=15,1,0)</f>
        <v>0</v>
      </c>
      <c r="R20" s="9" t="n">
        <f aca="false">Inputs!$F$49*IF(Time!R17=15,1,0)</f>
        <v>0</v>
      </c>
      <c r="S20" s="9" t="n">
        <f aca="false">Inputs!$F$49*IF(Time!S17=15,1,0)</f>
        <v>0</v>
      </c>
      <c r="T20" s="9" t="n">
        <f aca="false">Inputs!$F$49*IF(Time!T17=15,1,0)</f>
        <v>0</v>
      </c>
      <c r="U20" s="9" t="n">
        <f aca="false">Inputs!$F$49*IF(Time!U17=15,1,0)</f>
        <v>0</v>
      </c>
      <c r="V20" s="9" t="n">
        <f aca="false">Inputs!$F$49*IF(Time!V17=15,1,0)</f>
        <v>0</v>
      </c>
      <c r="W20" s="9" t="n">
        <f aca="false">Inputs!$F$49*IF(Time!W17=15,1,0)</f>
        <v>0</v>
      </c>
      <c r="X20" s="9" t="n">
        <f aca="false">Inputs!$F$49*IF(Time!X17=15,1,0)</f>
        <v>0</v>
      </c>
      <c r="Y20" s="9" t="n">
        <f aca="false">Inputs!$F$49*IF(Time!Y17=15,1,0)</f>
        <v>0</v>
      </c>
      <c r="Z20" s="9" t="n">
        <f aca="false">Inputs!$F$49*IF(Time!Z17=15,1,0)</f>
        <v>0</v>
      </c>
      <c r="AA20" s="9" t="n">
        <f aca="false">Inputs!$F$49*IF(Time!AA17=15,1,0)</f>
        <v>0</v>
      </c>
      <c r="AB20" s="9" t="n">
        <f aca="false">Inputs!$F$49*IF(Time!AB17=15,1,0)</f>
        <v>0</v>
      </c>
      <c r="AC20" s="9" t="n">
        <f aca="false">Inputs!$F$49*IF(Time!AC17=15,1,0)</f>
        <v>0</v>
      </c>
      <c r="AD20" s="9" t="n">
        <f aca="false">Inputs!$F$49*IF(Time!AD17=15,1,0)</f>
        <v>0</v>
      </c>
      <c r="AE20" s="9" t="n">
        <f aca="false">Inputs!$F$49*IF(Time!AE17=15,1,0)</f>
        <v>0</v>
      </c>
      <c r="AF20" s="9" t="n">
        <f aca="false">Inputs!$F$49*IF(Time!AF17=15,1,0)</f>
        <v>0</v>
      </c>
      <c r="AG20" s="9" t="n">
        <f aca="false">Inputs!$F$49*IF(Time!AG17=15,1,0)</f>
        <v>0</v>
      </c>
      <c r="AH20" s="9" t="n">
        <f aca="false">Inputs!$F$49*IF(Time!AH17=15,1,0)</f>
        <v>0</v>
      </c>
      <c r="AI20" s="9" t="n">
        <f aca="false">Inputs!$F$49*IF(Time!AI17=15,1,0)</f>
        <v>0</v>
      </c>
      <c r="AJ20" s="9" t="n">
        <f aca="false">Inputs!$F$49*IF(Time!AJ17=15,1,0)</f>
        <v>0</v>
      </c>
      <c r="AK20" s="9" t="n">
        <f aca="false">Inputs!$F$49*IF(Time!AK17=15,1,0)</f>
        <v>0</v>
      </c>
      <c r="AL20" s="9" t="n">
        <f aca="false">Inputs!$F$49*IF(Time!AL17=15,1,0)</f>
        <v>0</v>
      </c>
      <c r="AM20" s="9" t="n">
        <f aca="false">Inputs!$F$49*IF(Time!AM17=15,1,0)</f>
        <v>0</v>
      </c>
      <c r="AN20" s="9" t="n">
        <f aca="false">Inputs!$F$49*IF(Time!AN17=15,1,0)</f>
        <v>0</v>
      </c>
      <c r="AO20" s="9" t="n">
        <f aca="false">Inputs!$F$49*IF(Time!AO17=15,1,0)</f>
        <v>0</v>
      </c>
      <c r="AP20" s="9" t="n">
        <f aca="false">Inputs!$F$49*IF(Time!AP17=15,1,0)</f>
        <v>0</v>
      </c>
      <c r="AQ20" s="9" t="n">
        <f aca="false">Inputs!$F$49*IF(Time!AQ17=15,1,0)</f>
        <v>0</v>
      </c>
      <c r="AR20" s="9" t="n">
        <f aca="false">Inputs!$F$49*IF(Time!AR17=15,1,0)</f>
        <v>0</v>
      </c>
      <c r="AS20" s="9" t="n">
        <f aca="false">Inputs!$F$49*IF(Time!AS17=15,1,0)</f>
        <v>0</v>
      </c>
      <c r="AT20" s="9" t="n">
        <f aca="false">Inputs!$F$49*IF(Time!AT17=15,1,0)</f>
        <v>0</v>
      </c>
      <c r="AU20" s="9" t="n">
        <f aca="false">Inputs!$F$49*IF(Time!AU17=15,1,0)</f>
        <v>0</v>
      </c>
      <c r="AV20" s="9" t="n">
        <f aca="false">Inputs!$F$49*IF(Time!AV17=15,1,0)</f>
        <v>0</v>
      </c>
      <c r="AW20" s="9" t="n">
        <f aca="false">Inputs!$F$49*IF(Time!AW17=15,1,0)</f>
        <v>0</v>
      </c>
      <c r="AX20" s="9" t="n">
        <f aca="false">Inputs!$F$49*IF(Time!AX17=15,1,0)</f>
        <v>0</v>
      </c>
      <c r="AY20" s="9" t="n">
        <f aca="false">Inputs!$F$49*IF(Time!AY17=15,1,0)</f>
        <v>0</v>
      </c>
      <c r="AZ20" s="9" t="n">
        <f aca="false">Inputs!$F$49*IF(Time!AZ17=15,1,0)</f>
        <v>0</v>
      </c>
      <c r="BA20" s="9" t="n">
        <f aca="false">Inputs!$F$49*IF(Time!BA17=15,1,0)</f>
        <v>0</v>
      </c>
      <c r="BB20" s="9" t="n">
        <f aca="false">Inputs!$F$49*IF(Time!BB17=15,1,0)</f>
        <v>0</v>
      </c>
      <c r="BC20" s="9" t="n">
        <f aca="false">Inputs!$F$49*IF(Time!BC17=15,1,0)</f>
        <v>0</v>
      </c>
      <c r="BD20" s="9" t="n">
        <f aca="false">Inputs!$F$49*IF(Time!BD17=15,1,0)</f>
        <v>0</v>
      </c>
      <c r="BE20" s="9" t="n">
        <f aca="false">Inputs!$F$49*IF(Time!BE17=15,1,0)</f>
        <v>0</v>
      </c>
      <c r="BF20" s="9" t="n">
        <f aca="false">Inputs!$F$49*IF(Time!BF17=15,1,0)</f>
        <v>0</v>
      </c>
      <c r="BG20" s="9" t="n">
        <f aca="false">Inputs!$F$49*IF(Time!BG17=15,1,0)</f>
        <v>0</v>
      </c>
      <c r="BH20" s="9" t="n">
        <f aca="false">Inputs!$F$49*IF(Time!BH17=15,1,0)</f>
        <v>0</v>
      </c>
      <c r="BI20" s="9" t="n">
        <f aca="false">Inputs!$F$49*IF(Time!BI17=15,1,0)</f>
        <v>0</v>
      </c>
      <c r="BJ20" s="9" t="n">
        <f aca="false">Inputs!$F$49*IF(Time!BJ17=15,1,0)</f>
        <v>0</v>
      </c>
      <c r="BK20" s="9" t="n">
        <f aca="false">Inputs!$F$49*IF(Time!BK17=15,1,0)</f>
        <v>0</v>
      </c>
      <c r="BL20" s="9" t="n">
        <f aca="false">Inputs!$F$49*IF(Time!BL17=15,1,0)</f>
        <v>0</v>
      </c>
      <c r="BM20" s="9" t="n">
        <f aca="false">Inputs!$F$49*IF(Time!BM17=15,1,0)</f>
        <v>0</v>
      </c>
      <c r="BN20" s="9" t="n">
        <f aca="false">Inputs!$F$49*IF(Time!BN17=15,1,0)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1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0</v>
      </c>
      <c r="Q25" s="11" t="n">
        <f aca="false">Time!Q30*P38</f>
        <v>188.489384102271</v>
      </c>
      <c r="R25" s="11" t="n">
        <f aca="false">Time!R30*Q38</f>
        <v>178.14087688271</v>
      </c>
      <c r="S25" s="11" t="n">
        <f aca="false">Time!S30*R38</f>
        <v>173.161350963969</v>
      </c>
      <c r="T25" s="11" t="n">
        <f aca="false">Time!T30*S38</f>
        <v>168.006462717802</v>
      </c>
      <c r="U25" s="11" t="n">
        <f aca="false">Time!U30*T38</f>
        <v>162.609725906048</v>
      </c>
      <c r="V25" s="11" t="n">
        <f aca="false">Time!V30*U38</f>
        <v>157.062764750096</v>
      </c>
      <c r="W25" s="11" t="n">
        <f aca="false">Time!W30*V38</f>
        <v>151.261881987885</v>
      </c>
      <c r="X25" s="11" t="n">
        <f aca="false">Time!X30*W38</f>
        <v>145.1440633996</v>
      </c>
      <c r="Y25" s="11" t="n">
        <f aca="false">Time!Y30*X38</f>
        <v>138.745387367946</v>
      </c>
      <c r="Z25" s="11" t="n">
        <f aca="false">Time!Z30*Y38</f>
        <v>132.789480756316</v>
      </c>
      <c r="AA25" s="11" t="n">
        <f aca="false">Time!AA30*Z38</f>
        <v>126.553129547463</v>
      </c>
      <c r="AB25" s="11" t="n">
        <f aca="false">Time!AB30*AA38</f>
        <v>120.187594648505</v>
      </c>
      <c r="AC25" s="11" t="n">
        <f aca="false">Time!AC30*AB38</f>
        <v>113.512143368777</v>
      </c>
      <c r="AD25" s="11" t="n">
        <f aca="false">Time!AD30*AC38</f>
        <v>106.64817780652</v>
      </c>
      <c r="AE25" s="11" t="n">
        <f aca="false">Time!AE30*AD38</f>
        <v>99.4579590038779</v>
      </c>
      <c r="AF25" s="11" t="n">
        <f aca="false">Time!AF30*AE38</f>
        <v>91.6928704834128</v>
      </c>
      <c r="AG25" s="11" t="n">
        <f aca="false">Time!AG30*AF38</f>
        <v>83.5104495290567</v>
      </c>
      <c r="AH25" s="11" t="n">
        <f aca="false">Time!AH30*AG38</f>
        <v>75.2646859840766</v>
      </c>
      <c r="AI25" s="11" t="n">
        <f aca="false">Time!AI30*AH38</f>
        <v>66.5931506413475</v>
      </c>
      <c r="AJ25" s="11" t="n">
        <f aca="false">Time!AJ30*AI38</f>
        <v>57.6529949256703</v>
      </c>
      <c r="AK25" s="11" t="n">
        <f aca="false">Time!AK30*AJ38</f>
        <v>48.27471378396</v>
      </c>
      <c r="AL25" s="11" t="n">
        <f aca="false">Time!AL30*AK38</f>
        <v>38.6199460595694</v>
      </c>
      <c r="AM25" s="11" t="n">
        <f aca="false">Time!AM30*AL38</f>
        <v>28.5124390426239</v>
      </c>
      <c r="AN25" s="11" t="n">
        <f aca="false">Time!AN30*AM38</f>
        <v>17.9385910904134</v>
      </c>
      <c r="AO25" s="11" t="n">
        <f aca="false">Time!AO30*AN38</f>
        <v>8.75524974865548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60.7008816414611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0</v>
      </c>
      <c r="Q27" s="11" t="n">
        <f aca="false">Q25*Q10</f>
        <v>4.22666500584442</v>
      </c>
      <c r="R27" s="11" t="n">
        <f aca="false">R25*R10</f>
        <v>4.06082025569519</v>
      </c>
      <c r="S27" s="11" t="n">
        <f aca="false">S25*S10</f>
        <v>3.89165706178941</v>
      </c>
      <c r="T27" s="11" t="n">
        <f aca="false">T25*T10</f>
        <v>3.83838765155938</v>
      </c>
      <c r="U27" s="11" t="n">
        <f aca="false">U25*U10</f>
        <v>3.67470878926683</v>
      </c>
      <c r="V27" s="11" t="n">
        <f aca="false">V25*V10</f>
        <v>3.58836063199052</v>
      </c>
      <c r="W27" s="11" t="n">
        <f aca="false">W25*W10</f>
        <v>3.3994847461094</v>
      </c>
      <c r="X27" s="11" t="n">
        <f aca="false">X25*X10</f>
        <v>3.3160580351362</v>
      </c>
      <c r="Y27" s="11" t="n">
        <f aca="false">Y25*Y10</f>
        <v>3.11818695993845</v>
      </c>
      <c r="Z27" s="11" t="n">
        <f aca="false">Z25*Z10</f>
        <v>3.0337970036793</v>
      </c>
      <c r="AA27" s="11" t="n">
        <f aca="false">AA25*AA10</f>
        <v>2.84417612563794</v>
      </c>
      <c r="AB27" s="11" t="n">
        <f aca="false">AB25*AB10</f>
        <v>2.74588591240284</v>
      </c>
      <c r="AC27" s="11" t="n">
        <f aca="false">AC25*AC10</f>
        <v>2.56518525322875</v>
      </c>
      <c r="AD27" s="11" t="n">
        <f aca="false">AD25*AD10</f>
        <v>2.43655536895296</v>
      </c>
      <c r="AE27" s="11" t="n">
        <f aca="false">AE25*AE10</f>
        <v>2.23523474697965</v>
      </c>
      <c r="AF27" s="11" t="n">
        <f aca="false">AF25*AF10</f>
        <v>2.09487644764437</v>
      </c>
      <c r="AG27" s="11" t="n">
        <f aca="false">AG25*AG10</f>
        <v>1.87682776112427</v>
      </c>
      <c r="AH27" s="11" t="n">
        <f aca="false">AH25*AH10</f>
        <v>1.71954719244954</v>
      </c>
      <c r="AI27" s="11" t="n">
        <f aca="false">AI25*AI10</f>
        <v>1.49662556637208</v>
      </c>
      <c r="AJ27" s="11" t="n">
        <f aca="false">AJ25*AJ10</f>
        <v>1.31717875740182</v>
      </c>
      <c r="AK27" s="11" t="n">
        <f aca="false">AK25*AK10</f>
        <v>1.09092807366119</v>
      </c>
      <c r="AL27" s="11" t="n">
        <f aca="false">AL25*AL10</f>
        <v>0.88233703430763</v>
      </c>
      <c r="AM27" s="11" t="n">
        <f aca="false">AM25*AM10</f>
        <v>0.640793307117104</v>
      </c>
      <c r="AN27" s="11" t="n">
        <f aca="false">AN25*AN10</f>
        <v>0.409837011112312</v>
      </c>
      <c r="AO27" s="11" t="n">
        <f aca="false">AO25*AO10</f>
        <v>0.196766942059575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182.94388410228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0</v>
      </c>
      <c r="Q28" s="11" t="n">
        <f aca="false">Time!Q30*(Q25-Q26)*Q19</f>
        <v>4.80300721957019</v>
      </c>
      <c r="R28" s="11" t="n">
        <f aca="false">Time!R30*(R25-R26)*R19</f>
        <v>4.97952591874012</v>
      </c>
      <c r="S28" s="11" t="n">
        <f aca="false">Time!S30*(S25-S26)*S19</f>
        <v>5.15488824616773</v>
      </c>
      <c r="T28" s="11" t="n">
        <f aca="false">Time!T30*(T25-T26)*T19</f>
        <v>5.39673681175416</v>
      </c>
      <c r="U28" s="11" t="n">
        <f aca="false">Time!U30*(U25-U26)*U19</f>
        <v>5.5469611559516</v>
      </c>
      <c r="V28" s="11" t="n">
        <f aca="false">Time!V30*(V25-V26)*V19</f>
        <v>5.80088276221057</v>
      </c>
      <c r="W28" s="11" t="n">
        <f aca="false">Time!W30*(W25-W26)*W19</f>
        <v>6.11781858828497</v>
      </c>
      <c r="X28" s="11" t="n">
        <f aca="false">Time!X30*(X25-X26)*X19</f>
        <v>6.39867603165418</v>
      </c>
      <c r="Y28" s="11" t="n">
        <f aca="false">Time!Y30*(Y25-Y26)*Y19</f>
        <v>5.95590661163013</v>
      </c>
      <c r="Z28" s="11" t="n">
        <f aca="false">Time!Z30*(Z25-Z26)*Z19</f>
        <v>6.23635120885302</v>
      </c>
      <c r="AA28" s="11" t="n">
        <f aca="false">Time!AA30*(AA25-AA26)*AA19</f>
        <v>6.36553489895819</v>
      </c>
      <c r="AB28" s="11" t="n">
        <f aca="false">Time!AB30*(AB25-AB26)*AB19</f>
        <v>6.6754512797275</v>
      </c>
      <c r="AC28" s="11" t="n">
        <f aca="false">Time!AC30*(AC25-AC26)*AC19</f>
        <v>6.8639655622572</v>
      </c>
      <c r="AD28" s="11" t="n">
        <f aca="false">Time!AD30*(AD25-AD26)*AD19</f>
        <v>7.19021880264221</v>
      </c>
      <c r="AE28" s="11" t="n">
        <f aca="false">Time!AE30*(AE25-AE26)*AE19</f>
        <v>7.7650885204651</v>
      </c>
      <c r="AF28" s="11" t="n">
        <f aca="false">Time!AF30*(AF25-AF26)*AF19</f>
        <v>8.18242095435618</v>
      </c>
      <c r="AG28" s="11" t="n">
        <f aca="false">Time!AG30*(AG25-AG26)*AG19</f>
        <v>8.24576354498006</v>
      </c>
      <c r="AH28" s="11" t="n">
        <f aca="false">Time!AH30*(AH25-AH26)*AH19</f>
        <v>8.67153534272907</v>
      </c>
      <c r="AI28" s="11" t="n">
        <f aca="false">Time!AI30*(AI25-AI26)*AI19</f>
        <v>8.9401557156772</v>
      </c>
      <c r="AJ28" s="11" t="n">
        <f aca="false">Time!AJ30*(AJ25-AJ26)*AJ19</f>
        <v>9.37828114171034</v>
      </c>
      <c r="AK28" s="11" t="n">
        <f aca="false">Time!AK30*(AK25-AK26)*AK19</f>
        <v>9.65476772439057</v>
      </c>
      <c r="AL28" s="11" t="n">
        <f aca="false">Time!AL30*(AL25-AL26)*AL19</f>
        <v>10.1075070169455</v>
      </c>
      <c r="AM28" s="11" t="n">
        <f aca="false">Time!AM30*(AM25-AM26)*AM19</f>
        <v>10.5738479522105</v>
      </c>
      <c r="AN28" s="11" t="n">
        <f aca="false">Time!AN30*(AN25-AN26)*AN19</f>
        <v>9.18334134175793</v>
      </c>
      <c r="AO28" s="11" t="n">
        <f aca="false">Time!AO30*(AO25-AO26)*AO19</f>
        <v>8.75524974865548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182.94388410228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0</v>
      </c>
      <c r="Q32" s="11" t="n">
        <f aca="false">Q28-Q29+Q31</f>
        <v>4.80300721957019</v>
      </c>
      <c r="R32" s="11" t="n">
        <f aca="false">R28-R29+R31</f>
        <v>4.97952591874012</v>
      </c>
      <c r="S32" s="11" t="n">
        <f aca="false">S28-S29+S31</f>
        <v>5.15488824616773</v>
      </c>
      <c r="T32" s="11" t="n">
        <f aca="false">T28-T29+T31</f>
        <v>5.39673681175416</v>
      </c>
      <c r="U32" s="11" t="n">
        <f aca="false">U28-U29+U31</f>
        <v>5.5469611559516</v>
      </c>
      <c r="V32" s="11" t="n">
        <f aca="false">V28-V29+V31</f>
        <v>5.80088276221057</v>
      </c>
      <c r="W32" s="11" t="n">
        <f aca="false">W28-W29+W31</f>
        <v>6.11781858828497</v>
      </c>
      <c r="X32" s="11" t="n">
        <f aca="false">X28-X29+X31</f>
        <v>6.39867603165418</v>
      </c>
      <c r="Y32" s="11" t="n">
        <f aca="false">Y28-Y29+Y31</f>
        <v>5.95590661163013</v>
      </c>
      <c r="Z32" s="11" t="n">
        <f aca="false">Z28-Z29+Z31</f>
        <v>6.23635120885302</v>
      </c>
      <c r="AA32" s="11" t="n">
        <f aca="false">AA28-AA29+AA31</f>
        <v>6.36553489895819</v>
      </c>
      <c r="AB32" s="11" t="n">
        <f aca="false">AB28-AB29+AB31</f>
        <v>6.6754512797275</v>
      </c>
      <c r="AC32" s="11" t="n">
        <f aca="false">AC28-AC29+AC31</f>
        <v>6.8639655622572</v>
      </c>
      <c r="AD32" s="11" t="n">
        <f aca="false">AD28-AD29+AD31</f>
        <v>7.19021880264221</v>
      </c>
      <c r="AE32" s="11" t="n">
        <f aca="false">AE28-AE29+AE31</f>
        <v>7.7650885204651</v>
      </c>
      <c r="AF32" s="11" t="n">
        <f aca="false">AF28-AF29+AF31</f>
        <v>8.18242095435618</v>
      </c>
      <c r="AG32" s="11" t="n">
        <f aca="false">AG28-AG29+AG31</f>
        <v>8.24576354498006</v>
      </c>
      <c r="AH32" s="11" t="n">
        <f aca="false">AH28-AH29+AH31</f>
        <v>8.67153534272907</v>
      </c>
      <c r="AI32" s="11" t="n">
        <f aca="false">AI28-AI29+AI31</f>
        <v>8.9401557156772</v>
      </c>
      <c r="AJ32" s="11" t="n">
        <f aca="false">AJ28-AJ29+AJ31</f>
        <v>9.37828114171034</v>
      </c>
      <c r="AK32" s="11" t="n">
        <f aca="false">AK28-AK29+AK31</f>
        <v>9.65476772439057</v>
      </c>
      <c r="AL32" s="11" t="n">
        <f aca="false">AL28-AL29+AL31</f>
        <v>10.1075070169455</v>
      </c>
      <c r="AM32" s="11" t="n">
        <f aca="false">AM28-AM29+AM31</f>
        <v>10.5738479522105</v>
      </c>
      <c r="AN32" s="11" t="n">
        <f aca="false">AN28-AN29+AN31</f>
        <v>9.18334134175793</v>
      </c>
      <c r="AO32" s="11" t="n">
        <f aca="false">AO28-AO29+AO31</f>
        <v>8.75524974865548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5.54549999999094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5.54549999999094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0</v>
      </c>
      <c r="Q36" s="11" t="n">
        <f aca="false">Q25-Q32-Q33-Q34</f>
        <v>178.14087688271</v>
      </c>
      <c r="R36" s="11" t="n">
        <f aca="false">R25-R32-R33-R34</f>
        <v>173.161350963969</v>
      </c>
      <c r="S36" s="11" t="n">
        <f aca="false">S25-S32-S33-S34</f>
        <v>168.006462717802</v>
      </c>
      <c r="T36" s="11" t="n">
        <f aca="false">T25-T32-T33-T34</f>
        <v>162.609725906048</v>
      </c>
      <c r="U36" s="11" t="n">
        <f aca="false">U25-U32-U33-U34</f>
        <v>157.062764750096</v>
      </c>
      <c r="V36" s="11" t="n">
        <f aca="false">V25-V32-V33-V34</f>
        <v>151.261881987885</v>
      </c>
      <c r="W36" s="11" t="n">
        <f aca="false">W25-W32-W33-W34</f>
        <v>145.1440633996</v>
      </c>
      <c r="X36" s="11" t="n">
        <f aca="false">X25-X32-X33-X34</f>
        <v>138.745387367946</v>
      </c>
      <c r="Y36" s="11" t="n">
        <f aca="false">Y25-Y32-Y33-Y34</f>
        <v>132.789480756316</v>
      </c>
      <c r="Z36" s="11" t="n">
        <f aca="false">Z25-Z32-Z33-Z34</f>
        <v>126.553129547463</v>
      </c>
      <c r="AA36" s="11" t="n">
        <f aca="false">AA25-AA32-AA33-AA34</f>
        <v>120.187594648505</v>
      </c>
      <c r="AB36" s="11" t="n">
        <f aca="false">AB25-AB32-AB33-AB34</f>
        <v>113.512143368777</v>
      </c>
      <c r="AC36" s="11" t="n">
        <f aca="false">AC25-AC32-AC33-AC34</f>
        <v>106.64817780652</v>
      </c>
      <c r="AD36" s="11" t="n">
        <f aca="false">AD25-AD32-AD33-AD34</f>
        <v>99.4579590038779</v>
      </c>
      <c r="AE36" s="11" t="n">
        <f aca="false">AE25-AE32-AE33-AE34</f>
        <v>91.6928704834128</v>
      </c>
      <c r="AF36" s="11" t="n">
        <f aca="false">AF25-AF32-AF33-AF34</f>
        <v>83.5104495290567</v>
      </c>
      <c r="AG36" s="11" t="n">
        <f aca="false">AG25-AG32-AG33-AG34</f>
        <v>75.2646859840766</v>
      </c>
      <c r="AH36" s="11" t="n">
        <f aca="false">AH25-AH32-AH33-AH34</f>
        <v>66.5931506413475</v>
      </c>
      <c r="AI36" s="11" t="n">
        <f aca="false">AI25-AI32-AI33-AI34</f>
        <v>57.6529949256703</v>
      </c>
      <c r="AJ36" s="11" t="n">
        <f aca="false">AJ25-AJ32-AJ33-AJ34</f>
        <v>48.27471378396</v>
      </c>
      <c r="AK36" s="11" t="n">
        <f aca="false">AK25-AK32-AK33-AK34</f>
        <v>38.6199460595694</v>
      </c>
      <c r="AL36" s="11" t="n">
        <f aca="false">AL25-AL32-AL33-AL34</f>
        <v>28.5124390426239</v>
      </c>
      <c r="AM36" s="11" t="n">
        <f aca="false">AM25-AM32-AM33-AM34</f>
        <v>17.9385910904134</v>
      </c>
      <c r="AN36" s="11" t="n">
        <f aca="false">AN25-AN32-AN33-AN34</f>
        <v>8.75524974865548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0</v>
      </c>
      <c r="P38" s="11" t="n">
        <f aca="false">IF(Time!P29=1,INDEX(Funding!$J$61:$BJ$61,1,Time!$F$13),Time!P30*(P36-P37))</f>
        <v>188.489384102271</v>
      </c>
      <c r="Q38" s="11" t="n">
        <f aca="false">IF(Time!Q29=1,INDEX(Funding!$J$61:$BJ$61,1,Time!$F$13),Time!Q30*(Q36-Q37))</f>
        <v>178.14087688271</v>
      </c>
      <c r="R38" s="11" t="n">
        <f aca="false">IF(Time!R29=1,INDEX(Funding!$J$61:$BJ$61,1,Time!$F$13),Time!R30*(R36-R37))</f>
        <v>173.161350963969</v>
      </c>
      <c r="S38" s="11" t="n">
        <f aca="false">IF(Time!S29=1,INDEX(Funding!$J$61:$BJ$61,1,Time!$F$13),Time!S30*(S36-S37))</f>
        <v>168.006462717802</v>
      </c>
      <c r="T38" s="11" t="n">
        <f aca="false">IF(Time!T29=1,INDEX(Funding!$J$61:$BJ$61,1,Time!$F$13),Time!T30*(T36-T37))</f>
        <v>162.609725906048</v>
      </c>
      <c r="U38" s="11" t="n">
        <f aca="false">IF(Time!U29=1,INDEX(Funding!$J$61:$BJ$61,1,Time!$F$13),Time!U30*(U36-U37))</f>
        <v>157.062764750096</v>
      </c>
      <c r="V38" s="11" t="n">
        <f aca="false">IF(Time!V29=1,INDEX(Funding!$J$61:$BJ$61,1,Time!$F$13),Time!V30*(V36-V37))</f>
        <v>151.261881987885</v>
      </c>
      <c r="W38" s="11" t="n">
        <f aca="false">IF(Time!W29=1,INDEX(Funding!$J$61:$BJ$61,1,Time!$F$13),Time!W30*(W36-W37))</f>
        <v>145.1440633996</v>
      </c>
      <c r="X38" s="11" t="n">
        <f aca="false">IF(Time!X29=1,INDEX(Funding!$J$61:$BJ$61,1,Time!$F$13),Time!X30*(X36-X37))</f>
        <v>138.745387367946</v>
      </c>
      <c r="Y38" s="11" t="n">
        <f aca="false">IF(Time!Y29=1,INDEX(Funding!$J$61:$BJ$61,1,Time!$F$13),Time!Y30*(Y36-Y37))</f>
        <v>132.789480756316</v>
      </c>
      <c r="Z38" s="11" t="n">
        <f aca="false">IF(Time!Z29=1,INDEX(Funding!$J$61:$BJ$61,1,Time!$F$13),Time!Z30*(Z36-Z37))</f>
        <v>126.553129547463</v>
      </c>
      <c r="AA38" s="11" t="n">
        <f aca="false">IF(Time!AA29=1,INDEX(Funding!$J$61:$BJ$61,1,Time!$F$13),Time!AA30*(AA36-AA37))</f>
        <v>120.187594648505</v>
      </c>
      <c r="AB38" s="11" t="n">
        <f aca="false">IF(Time!AB29=1,INDEX(Funding!$J$61:$BJ$61,1,Time!$F$13),Time!AB30*(AB36-AB37))</f>
        <v>113.512143368777</v>
      </c>
      <c r="AC38" s="11" t="n">
        <f aca="false">IF(Time!AC29=1,INDEX(Funding!$J$61:$BJ$61,1,Time!$F$13),Time!AC30*(AC36-AC37))</f>
        <v>106.64817780652</v>
      </c>
      <c r="AD38" s="11" t="n">
        <f aca="false">IF(Time!AD29=1,INDEX(Funding!$J$61:$BJ$61,1,Time!$F$13),Time!AD30*(AD36-AD37))</f>
        <v>99.4579590038779</v>
      </c>
      <c r="AE38" s="11" t="n">
        <f aca="false">IF(Time!AE29=1,INDEX(Funding!$J$61:$BJ$61,1,Time!$F$13),Time!AE30*(AE36-AE37))</f>
        <v>91.6928704834128</v>
      </c>
      <c r="AF38" s="11" t="n">
        <f aca="false">IF(Time!AF29=1,INDEX(Funding!$J$61:$BJ$61,1,Time!$F$13),Time!AF30*(AF36-AF37))</f>
        <v>83.5104495290567</v>
      </c>
      <c r="AG38" s="11" t="n">
        <f aca="false">IF(Time!AG29=1,INDEX(Funding!$J$61:$BJ$61,1,Time!$F$13),Time!AG30*(AG36-AG37))</f>
        <v>75.2646859840766</v>
      </c>
      <c r="AH38" s="11" t="n">
        <f aca="false">IF(Time!AH29=1,INDEX(Funding!$J$61:$BJ$61,1,Time!$F$13),Time!AH30*(AH36-AH37))</f>
        <v>66.5931506413475</v>
      </c>
      <c r="AI38" s="11" t="n">
        <f aca="false">IF(Time!AI29=1,INDEX(Funding!$J$61:$BJ$61,1,Time!$F$13),Time!AI30*(AI36-AI37))</f>
        <v>57.6529949256703</v>
      </c>
      <c r="AJ38" s="11" t="n">
        <f aca="false">IF(Time!AJ29=1,INDEX(Funding!$J$61:$BJ$61,1,Time!$F$13),Time!AJ30*(AJ36-AJ37))</f>
        <v>48.27471378396</v>
      </c>
      <c r="AK38" s="11" t="n">
        <f aca="false">IF(Time!AK29=1,INDEX(Funding!$J$61:$BJ$61,1,Time!$F$13),Time!AK30*(AK36-AK37))</f>
        <v>38.6199460595694</v>
      </c>
      <c r="AL38" s="11" t="n">
        <f aca="false">IF(Time!AL29=1,INDEX(Funding!$J$61:$BJ$61,1,Time!$F$13),Time!AL30*(AL36-AL37))</f>
        <v>28.5124390426239</v>
      </c>
      <c r="AM38" s="11" t="n">
        <f aca="false">IF(Time!AM29=1,INDEX(Funding!$J$61:$BJ$61,1,Time!$F$13),Time!AM30*(AM36-AM37))</f>
        <v>17.9385910904134</v>
      </c>
      <c r="AN38" s="11" t="n">
        <f aca="false">IF(Time!AN29=1,INDEX(Funding!$J$61:$BJ$61,1,Time!$F$13),Time!AN30*(AN36-AN37))</f>
        <v>8.75524974865548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0</v>
      </c>
      <c r="Q40" s="11" t="n">
        <f aca="false">Time!Q30*P53</f>
        <v>138.225548341665</v>
      </c>
      <c r="R40" s="11" t="n">
        <f aca="false">Time!R30*Q53</f>
        <v>130.63664304732</v>
      </c>
      <c r="S40" s="11" t="n">
        <f aca="false">Time!S30*R53</f>
        <v>126.984990706911</v>
      </c>
      <c r="T40" s="11" t="n">
        <f aca="false">Time!T30*S53</f>
        <v>123.204739326388</v>
      </c>
      <c r="U40" s="11" t="n">
        <f aca="false">Time!U30*T53</f>
        <v>119.247132331102</v>
      </c>
      <c r="V40" s="11" t="n">
        <f aca="false">Time!V30*U53</f>
        <v>115.179360816737</v>
      </c>
      <c r="W40" s="11" t="n">
        <f aca="false">Time!W30*V53</f>
        <v>110.925380124449</v>
      </c>
      <c r="X40" s="11" t="n">
        <f aca="false">Time!X30*W53</f>
        <v>106.438979826374</v>
      </c>
      <c r="Y40" s="11" t="n">
        <f aca="false">Time!Y30*X53</f>
        <v>101.746617403161</v>
      </c>
      <c r="Z40" s="11" t="n">
        <f aca="false">Time!Z30*Y53</f>
        <v>97.3789525546319</v>
      </c>
      <c r="AA40" s="11" t="n">
        <f aca="false">Time!AA30*Z53</f>
        <v>92.8056283348063</v>
      </c>
      <c r="AB40" s="11" t="n">
        <f aca="false">Time!AB30*AA53</f>
        <v>88.1375694089036</v>
      </c>
      <c r="AC40" s="11" t="n">
        <f aca="false">Time!AC30*AB53</f>
        <v>83.2422384704368</v>
      </c>
      <c r="AD40" s="11" t="n">
        <f aca="false">Time!AD30*AC53</f>
        <v>78.2086637247815</v>
      </c>
      <c r="AE40" s="11" t="n">
        <f aca="false">Time!AE30*AD53</f>
        <v>72.9358366028439</v>
      </c>
      <c r="AF40" s="11" t="n">
        <f aca="false">Time!AF30*AE53</f>
        <v>67.2414383545028</v>
      </c>
      <c r="AG40" s="11" t="n">
        <f aca="false">Time!AG30*AF53</f>
        <v>61.2409963213083</v>
      </c>
      <c r="AH40" s="11" t="n">
        <f aca="false">Time!AH30*AG53</f>
        <v>55.1941030549895</v>
      </c>
      <c r="AI40" s="11" t="n">
        <f aca="false">Time!AI30*AH53</f>
        <v>48.8349771369882</v>
      </c>
      <c r="AJ40" s="11" t="n">
        <f aca="false">Time!AJ30*AI53</f>
        <v>42.2788629454916</v>
      </c>
      <c r="AK40" s="11" t="n">
        <f aca="false">Time!AK30*AJ53</f>
        <v>35.401456774904</v>
      </c>
      <c r="AL40" s="11" t="n">
        <f aca="false">Time!AL30*AK53</f>
        <v>28.3212937770176</v>
      </c>
      <c r="AM40" s="11" t="n">
        <f aca="false">Time!AM30*AL53</f>
        <v>20.9091219645909</v>
      </c>
      <c r="AN40" s="11" t="n">
        <f aca="false">Time!AN30*AM53</f>
        <v>13.1549667996365</v>
      </c>
      <c r="AO40" s="11" t="n">
        <f aca="false">Time!AO30*AN53</f>
        <v>6.42051648234736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67.4252762940977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0</v>
      </c>
      <c r="Q42" s="11" t="n">
        <f aca="false">Q40*Q11</f>
        <v>4.697979220248</v>
      </c>
      <c r="R42" s="11" t="n">
        <f aca="false">R40*R11</f>
        <v>4.51364116911053</v>
      </c>
      <c r="S42" s="11" t="n">
        <f aca="false">S40*S11</f>
        <v>4.32232216840354</v>
      </c>
      <c r="T42" s="11" t="n">
        <f aca="false">T40*T11</f>
        <v>4.26315776900264</v>
      </c>
      <c r="U42" s="11" t="n">
        <f aca="false">U40*U11</f>
        <v>4.08136560084565</v>
      </c>
      <c r="V42" s="11" t="n">
        <f aca="false">V40*V11</f>
        <v>3.98546183839425</v>
      </c>
      <c r="W42" s="11" t="n">
        <f aca="false">W40*W11</f>
        <v>3.77568425119712</v>
      </c>
      <c r="X42" s="11" t="n">
        <f aca="false">X40*X11</f>
        <v>3.68302523305881</v>
      </c>
      <c r="Y42" s="11" t="n">
        <f aca="false">Y40*Y11</f>
        <v>3.46325701575864</v>
      </c>
      <c r="Z42" s="11" t="n">
        <f aca="false">Z40*Z11</f>
        <v>3.36952815606261</v>
      </c>
      <c r="AA42" s="11" t="n">
        <f aca="false">AA40*AA11</f>
        <v>3.15892313312838</v>
      </c>
      <c r="AB42" s="11" t="n">
        <f aca="false">AB40*AB11</f>
        <v>3.04975576281342</v>
      </c>
      <c r="AC42" s="11" t="n">
        <f aca="false">AC40*AC11</f>
        <v>2.84905810302678</v>
      </c>
      <c r="AD42" s="11" t="n">
        <f aca="false">AD40*AD11</f>
        <v>2.70619356190794</v>
      </c>
      <c r="AE42" s="11" t="n">
        <f aca="false">AE40*AE11</f>
        <v>2.48259405827852</v>
      </c>
      <c r="AF42" s="11" t="n">
        <f aca="false">AF40*AF11</f>
        <v>2.32670319248436</v>
      </c>
      <c r="AG42" s="11" t="n">
        <f aca="false">AG40*AG11</f>
        <v>2.08452443506226</v>
      </c>
      <c r="AH42" s="11" t="n">
        <f aca="false">AH40*AH11</f>
        <v>1.90983861926498</v>
      </c>
      <c r="AI42" s="11" t="n">
        <f aca="false">AI40*AI11</f>
        <v>1.66224766484309</v>
      </c>
      <c r="AJ42" s="11" t="n">
        <f aca="false">AJ40*AJ11</f>
        <v>1.46294261094278</v>
      </c>
      <c r="AK42" s="11" t="n">
        <f aca="false">AK40*AK11</f>
        <v>1.21165419307306</v>
      </c>
      <c r="AL42" s="11" t="n">
        <f aca="false">AL40*AL11</f>
        <v>0.979979700893202</v>
      </c>
      <c r="AM42" s="11" t="n">
        <f aca="false">AM40*AM11</f>
        <v>0.711705855048632</v>
      </c>
      <c r="AN42" s="11" t="n">
        <f aca="false">AN40*AN11</f>
        <v>0.455191084526978</v>
      </c>
      <c r="AO42" s="11" t="n">
        <f aca="false">AO40*AO11</f>
        <v>0.2185418967215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134.158848341672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0</v>
      </c>
      <c r="Q43" s="11" t="n">
        <f aca="false">Time!Q30*(Q40-Q41)*Q19</f>
        <v>3.52220529435147</v>
      </c>
      <c r="R43" s="11" t="n">
        <f aca="false">Time!R30*(R40-R41)*R19</f>
        <v>3.65165234040942</v>
      </c>
      <c r="S43" s="11" t="n">
        <f aca="false">Time!S30*(S40-S41)*S19</f>
        <v>3.780251380523</v>
      </c>
      <c r="T43" s="11" t="n">
        <f aca="false">Time!T30*(T40-T41)*T19</f>
        <v>3.95760699528639</v>
      </c>
      <c r="U43" s="11" t="n">
        <f aca="false">Time!U30*(U40-U41)*U19</f>
        <v>4.06777151436451</v>
      </c>
      <c r="V43" s="11" t="n">
        <f aca="false">Time!V30*(V40-V41)*V19</f>
        <v>4.25398069228775</v>
      </c>
      <c r="W43" s="11" t="n">
        <f aca="false">Time!W30*(W40-W41)*W19</f>
        <v>4.48640029807565</v>
      </c>
      <c r="X43" s="11" t="n">
        <f aca="false">Time!X30*(X40-X41)*X19</f>
        <v>4.69236242321307</v>
      </c>
      <c r="Y43" s="11" t="n">
        <f aca="false">Time!Y30*(Y40-Y41)*Y19</f>
        <v>4.36766484852876</v>
      </c>
      <c r="Z43" s="11" t="n">
        <f aca="false">Time!Z30*(Z40-Z41)*Z19</f>
        <v>4.57332421982555</v>
      </c>
      <c r="AA43" s="11" t="n">
        <f aca="false">Time!AA30*(AA40-AA41)*AA19</f>
        <v>4.66805892590268</v>
      </c>
      <c r="AB43" s="11" t="n">
        <f aca="false">Time!AB30*(AB40-AB41)*AB19</f>
        <v>4.89533093846684</v>
      </c>
      <c r="AC43" s="11" t="n">
        <f aca="false">Time!AC30*(AC40-AC41)*AC19</f>
        <v>5.03357474565528</v>
      </c>
      <c r="AD43" s="11" t="n">
        <f aca="false">Time!AD30*(AD40-AD41)*AD19</f>
        <v>5.27282712193763</v>
      </c>
      <c r="AE43" s="11" t="n">
        <f aca="false">Time!AE30*(AE40-AE41)*AE19</f>
        <v>5.69439824834108</v>
      </c>
      <c r="AF43" s="11" t="n">
        <f aca="false">Time!AF30*(AF40-AF41)*AF19</f>
        <v>6.00044203319454</v>
      </c>
      <c r="AG43" s="11" t="n">
        <f aca="false">Time!AG30*(AG40-AG41)*AG19</f>
        <v>6.04689326631872</v>
      </c>
      <c r="AH43" s="11" t="n">
        <f aca="false">Time!AH30*(AH40-AH41)*AH19</f>
        <v>6.35912591800132</v>
      </c>
      <c r="AI43" s="11" t="n">
        <f aca="false">Time!AI30*(AI40-AI41)*AI19</f>
        <v>6.55611419149662</v>
      </c>
      <c r="AJ43" s="11" t="n">
        <f aca="false">Time!AJ30*(AJ40-AJ41)*AJ19</f>
        <v>6.87740617058759</v>
      </c>
      <c r="AK43" s="11" t="n">
        <f aca="false">Time!AK30*(AK40-AK41)*AK19</f>
        <v>7.08016299788642</v>
      </c>
      <c r="AL43" s="11" t="n">
        <f aca="false">Time!AL30*(AL40-AL41)*AL19</f>
        <v>7.4121718124267</v>
      </c>
      <c r="AM43" s="11" t="n">
        <f aca="false">Time!AM30*(AM40-AM41)*AM19</f>
        <v>7.75415516495439</v>
      </c>
      <c r="AN43" s="11" t="n">
        <f aca="false">Time!AN30*(AN40-AN41)*AN19</f>
        <v>6.73445031728915</v>
      </c>
      <c r="AO43" s="11" t="n">
        <f aca="false">Time!AO30*(AO40-AO41)*AO19</f>
        <v>6.42051648234736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134.158848341672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0</v>
      </c>
      <c r="Q47" s="11" t="n">
        <f aca="false">Q43-Q44+Q46</f>
        <v>3.52220529435147</v>
      </c>
      <c r="R47" s="11" t="n">
        <f aca="false">R43-R44+R46</f>
        <v>3.65165234040942</v>
      </c>
      <c r="S47" s="11" t="n">
        <f aca="false">S43-S44+S46</f>
        <v>3.780251380523</v>
      </c>
      <c r="T47" s="11" t="n">
        <f aca="false">T43-T44+T46</f>
        <v>3.95760699528639</v>
      </c>
      <c r="U47" s="11" t="n">
        <f aca="false">U43-U44+U46</f>
        <v>4.06777151436451</v>
      </c>
      <c r="V47" s="11" t="n">
        <f aca="false">V43-V44+V46</f>
        <v>4.25398069228775</v>
      </c>
      <c r="W47" s="11" t="n">
        <f aca="false">W43-W44+W46</f>
        <v>4.48640029807565</v>
      </c>
      <c r="X47" s="11" t="n">
        <f aca="false">X43-X44+X46</f>
        <v>4.69236242321307</v>
      </c>
      <c r="Y47" s="11" t="n">
        <f aca="false">Y43-Y44+Y46</f>
        <v>4.36766484852876</v>
      </c>
      <c r="Z47" s="11" t="n">
        <f aca="false">Z43-Z44+Z46</f>
        <v>4.57332421982555</v>
      </c>
      <c r="AA47" s="11" t="n">
        <f aca="false">AA43-AA44+AA46</f>
        <v>4.66805892590268</v>
      </c>
      <c r="AB47" s="11" t="n">
        <f aca="false">AB43-AB44+AB46</f>
        <v>4.89533093846684</v>
      </c>
      <c r="AC47" s="11" t="n">
        <f aca="false">AC43-AC44+AC46</f>
        <v>5.03357474565528</v>
      </c>
      <c r="AD47" s="11" t="n">
        <f aca="false">AD43-AD44+AD46</f>
        <v>5.27282712193763</v>
      </c>
      <c r="AE47" s="11" t="n">
        <f aca="false">AE43-AE44+AE46</f>
        <v>5.69439824834108</v>
      </c>
      <c r="AF47" s="11" t="n">
        <f aca="false">AF43-AF44+AF46</f>
        <v>6.00044203319454</v>
      </c>
      <c r="AG47" s="11" t="n">
        <f aca="false">AG43-AG44+AG46</f>
        <v>6.04689326631872</v>
      </c>
      <c r="AH47" s="11" t="n">
        <f aca="false">AH43-AH44+AH46</f>
        <v>6.35912591800132</v>
      </c>
      <c r="AI47" s="11" t="n">
        <f aca="false">AI43-AI44+AI46</f>
        <v>6.55611419149662</v>
      </c>
      <c r="AJ47" s="11" t="n">
        <f aca="false">AJ43-AJ44+AJ46</f>
        <v>6.87740617058759</v>
      </c>
      <c r="AK47" s="11" t="n">
        <f aca="false">AK43-AK44+AK46</f>
        <v>7.08016299788642</v>
      </c>
      <c r="AL47" s="11" t="n">
        <f aca="false">AL43-AL44+AL46</f>
        <v>7.4121718124267</v>
      </c>
      <c r="AM47" s="11" t="n">
        <f aca="false">AM43-AM44+AM46</f>
        <v>7.75415516495439</v>
      </c>
      <c r="AN47" s="11" t="n">
        <f aca="false">AN43-AN44+AN46</f>
        <v>6.73445031728915</v>
      </c>
      <c r="AO47" s="11" t="n">
        <f aca="false">AO43-AO44+AO46</f>
        <v>6.42051648234736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4.06669999999336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4.06669999999336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0</v>
      </c>
      <c r="Q51" s="11" t="n">
        <f aca="false">Q40-Q47-Q48-Q49</f>
        <v>130.63664304732</v>
      </c>
      <c r="R51" s="11" t="n">
        <f aca="false">R40-R47-R48-R49</f>
        <v>126.984990706911</v>
      </c>
      <c r="S51" s="11" t="n">
        <f aca="false">S40-S47-S48-S49</f>
        <v>123.204739326388</v>
      </c>
      <c r="T51" s="11" t="n">
        <f aca="false">T40-T47-T48-T49</f>
        <v>119.247132331102</v>
      </c>
      <c r="U51" s="11" t="n">
        <f aca="false">U40-U47-U48-U49</f>
        <v>115.179360816737</v>
      </c>
      <c r="V51" s="11" t="n">
        <f aca="false">V40-V47-V48-V49</f>
        <v>110.925380124449</v>
      </c>
      <c r="W51" s="11" t="n">
        <f aca="false">W40-W47-W48-W49</f>
        <v>106.438979826374</v>
      </c>
      <c r="X51" s="11" t="n">
        <f aca="false">X40-X47-X48-X49</f>
        <v>101.746617403161</v>
      </c>
      <c r="Y51" s="11" t="n">
        <f aca="false">Y40-Y47-Y48-Y49</f>
        <v>97.3789525546319</v>
      </c>
      <c r="Z51" s="11" t="n">
        <f aca="false">Z40-Z47-Z48-Z49</f>
        <v>92.8056283348063</v>
      </c>
      <c r="AA51" s="11" t="n">
        <f aca="false">AA40-AA47-AA48-AA49</f>
        <v>88.1375694089036</v>
      </c>
      <c r="AB51" s="11" t="n">
        <f aca="false">AB40-AB47-AB48-AB49</f>
        <v>83.2422384704368</v>
      </c>
      <c r="AC51" s="11" t="n">
        <f aca="false">AC40-AC47-AC48-AC49</f>
        <v>78.2086637247815</v>
      </c>
      <c r="AD51" s="11" t="n">
        <f aca="false">AD40-AD47-AD48-AD49</f>
        <v>72.9358366028439</v>
      </c>
      <c r="AE51" s="11" t="n">
        <f aca="false">AE40-AE47-AE48-AE49</f>
        <v>67.2414383545028</v>
      </c>
      <c r="AF51" s="11" t="n">
        <f aca="false">AF40-AF47-AF48-AF49</f>
        <v>61.2409963213083</v>
      </c>
      <c r="AG51" s="11" t="n">
        <f aca="false">AG40-AG47-AG48-AG49</f>
        <v>55.1941030549895</v>
      </c>
      <c r="AH51" s="11" t="n">
        <f aca="false">AH40-AH47-AH48-AH49</f>
        <v>48.8349771369882</v>
      </c>
      <c r="AI51" s="11" t="n">
        <f aca="false">AI40-AI47-AI48-AI49</f>
        <v>42.2788629454916</v>
      </c>
      <c r="AJ51" s="11" t="n">
        <f aca="false">AJ40-AJ47-AJ48-AJ49</f>
        <v>35.401456774904</v>
      </c>
      <c r="AK51" s="11" t="n">
        <f aca="false">AK40-AK47-AK48-AK49</f>
        <v>28.3212937770176</v>
      </c>
      <c r="AL51" s="11" t="n">
        <f aca="false">AL40-AL47-AL48-AL49</f>
        <v>20.9091219645909</v>
      </c>
      <c r="AM51" s="11" t="n">
        <f aca="false">AM40-AM47-AM48-AM49</f>
        <v>13.1549667996365</v>
      </c>
      <c r="AN51" s="11" t="n">
        <f aca="false">AN40-AN47-AN48-AN49</f>
        <v>6.42051648234736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0</v>
      </c>
      <c r="P53" s="11" t="n">
        <f aca="false">IF(Time!P29=1,INDEX(Funding!$J$62:$BJ$62,1,Time!$F$13),Time!P30*(P51-P52))</f>
        <v>138.225548341665</v>
      </c>
      <c r="Q53" s="11" t="n">
        <f aca="false">IF(Time!Q29=1,INDEX(Funding!$J$62:$BJ$62,1,Time!$F$13),Time!Q30*(Q51-Q52))</f>
        <v>130.63664304732</v>
      </c>
      <c r="R53" s="11" t="n">
        <f aca="false">IF(Time!R29=1,INDEX(Funding!$J$62:$BJ$62,1,Time!$F$13),Time!R30*(R51-R52))</f>
        <v>126.984990706911</v>
      </c>
      <c r="S53" s="11" t="n">
        <f aca="false">IF(Time!S29=1,INDEX(Funding!$J$62:$BJ$62,1,Time!$F$13),Time!S30*(S51-S52))</f>
        <v>123.204739326388</v>
      </c>
      <c r="T53" s="11" t="n">
        <f aca="false">IF(Time!T29=1,INDEX(Funding!$J$62:$BJ$62,1,Time!$F$13),Time!T30*(T51-T52))</f>
        <v>119.247132331102</v>
      </c>
      <c r="U53" s="11" t="n">
        <f aca="false">IF(Time!U29=1,INDEX(Funding!$J$62:$BJ$62,1,Time!$F$13),Time!U30*(U51-U52))</f>
        <v>115.179360816737</v>
      </c>
      <c r="V53" s="11" t="n">
        <f aca="false">IF(Time!V29=1,INDEX(Funding!$J$62:$BJ$62,1,Time!$F$13),Time!V30*(V51-V52))</f>
        <v>110.925380124449</v>
      </c>
      <c r="W53" s="11" t="n">
        <f aca="false">IF(Time!W29=1,INDEX(Funding!$J$62:$BJ$62,1,Time!$F$13),Time!W30*(W51-W52))</f>
        <v>106.438979826374</v>
      </c>
      <c r="X53" s="11" t="n">
        <f aca="false">IF(Time!X29=1,INDEX(Funding!$J$62:$BJ$62,1,Time!$F$13),Time!X30*(X51-X52))</f>
        <v>101.746617403161</v>
      </c>
      <c r="Y53" s="11" t="n">
        <f aca="false">IF(Time!Y29=1,INDEX(Funding!$J$62:$BJ$62,1,Time!$F$13),Time!Y30*(Y51-Y52))</f>
        <v>97.3789525546319</v>
      </c>
      <c r="Z53" s="11" t="n">
        <f aca="false">IF(Time!Z29=1,INDEX(Funding!$J$62:$BJ$62,1,Time!$F$13),Time!Z30*(Z51-Z52))</f>
        <v>92.8056283348063</v>
      </c>
      <c r="AA53" s="11" t="n">
        <f aca="false">IF(Time!AA29=1,INDEX(Funding!$J$62:$BJ$62,1,Time!$F$13),Time!AA30*(AA51-AA52))</f>
        <v>88.1375694089036</v>
      </c>
      <c r="AB53" s="11" t="n">
        <f aca="false">IF(Time!AB29=1,INDEX(Funding!$J$62:$BJ$62,1,Time!$F$13),Time!AB30*(AB51-AB52))</f>
        <v>83.2422384704368</v>
      </c>
      <c r="AC53" s="11" t="n">
        <f aca="false">IF(Time!AC29=1,INDEX(Funding!$J$62:$BJ$62,1,Time!$F$13),Time!AC30*(AC51-AC52))</f>
        <v>78.2086637247815</v>
      </c>
      <c r="AD53" s="11" t="n">
        <f aca="false">IF(Time!AD29=1,INDEX(Funding!$J$62:$BJ$62,1,Time!$F$13),Time!AD30*(AD51-AD52))</f>
        <v>72.9358366028439</v>
      </c>
      <c r="AE53" s="11" t="n">
        <f aca="false">IF(Time!AE29=1,INDEX(Funding!$J$62:$BJ$62,1,Time!$F$13),Time!AE30*(AE51-AE52))</f>
        <v>67.2414383545028</v>
      </c>
      <c r="AF53" s="11" t="n">
        <f aca="false">IF(Time!AF29=1,INDEX(Funding!$J$62:$BJ$62,1,Time!$F$13),Time!AF30*(AF51-AF52))</f>
        <v>61.2409963213083</v>
      </c>
      <c r="AG53" s="11" t="n">
        <f aca="false">IF(Time!AG29=1,INDEX(Funding!$J$62:$BJ$62,1,Time!$F$13),Time!AG30*(AG51-AG52))</f>
        <v>55.1941030549895</v>
      </c>
      <c r="AH53" s="11" t="n">
        <f aca="false">IF(Time!AH29=1,INDEX(Funding!$J$62:$BJ$62,1,Time!$F$13),Time!AH30*(AH51-AH52))</f>
        <v>48.8349771369882</v>
      </c>
      <c r="AI53" s="11" t="n">
        <f aca="false">IF(Time!AI29=1,INDEX(Funding!$J$62:$BJ$62,1,Time!$F$13),Time!AI30*(AI51-AI52))</f>
        <v>42.2788629454916</v>
      </c>
      <c r="AJ53" s="11" t="n">
        <f aca="false">IF(Time!AJ29=1,INDEX(Funding!$J$62:$BJ$62,1,Time!$F$13),Time!AJ30*(AJ51-AJ52))</f>
        <v>35.401456774904</v>
      </c>
      <c r="AK53" s="11" t="n">
        <f aca="false">IF(Time!AK29=1,INDEX(Funding!$J$62:$BJ$62,1,Time!$F$13),Time!AK30*(AK51-AK52))</f>
        <v>28.3212937770176</v>
      </c>
      <c r="AL53" s="11" t="n">
        <f aca="false">IF(Time!AL29=1,INDEX(Funding!$J$62:$BJ$62,1,Time!$F$13),Time!AL30*(AL51-AL52))</f>
        <v>20.9091219645909</v>
      </c>
      <c r="AM53" s="11" t="n">
        <f aca="false">IF(Time!AM29=1,INDEX(Funding!$J$62:$BJ$62,1,Time!$F$13),Time!AM30*(AM51-AM52))</f>
        <v>13.1549667996365</v>
      </c>
      <c r="AN53" s="11" t="n">
        <f aca="false">IF(Time!AN29=1,INDEX(Funding!$J$62:$BJ$62,1,Time!$F$13),Time!AN30*(AN51-AN52))</f>
        <v>6.42051648234736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0</v>
      </c>
      <c r="Q55" s="11" t="n">
        <f aca="false">Time!Q30*P68</f>
        <v>62.8297947007569</v>
      </c>
      <c r="R55" s="11" t="n">
        <f aca="false">Time!R30*Q68</f>
        <v>59.3802922942365</v>
      </c>
      <c r="S55" s="11" t="n">
        <f aca="false">Time!S30*R68</f>
        <v>57.7204503213232</v>
      </c>
      <c r="T55" s="11" t="n">
        <f aca="false">Time!T30*S68</f>
        <v>56.0021542392673</v>
      </c>
      <c r="U55" s="11" t="n">
        <f aca="false">Time!U30*T68</f>
        <v>54.2032419686825</v>
      </c>
      <c r="V55" s="11" t="n">
        <f aca="false">Time!V30*U68</f>
        <v>52.3542549166987</v>
      </c>
      <c r="W55" s="11" t="n">
        <f aca="false">Time!W30*V68</f>
        <v>50.4206273292951</v>
      </c>
      <c r="X55" s="11" t="n">
        <f aca="false">Time!X30*W68</f>
        <v>48.3813544665335</v>
      </c>
      <c r="Y55" s="11" t="n">
        <f aca="false">Time!Y30*X68</f>
        <v>46.2484624559821</v>
      </c>
      <c r="Z55" s="11" t="n">
        <f aca="false">Time!Z30*Y68</f>
        <v>44.2631602521054</v>
      </c>
      <c r="AA55" s="11" t="n">
        <f aca="false">Time!AA30*Z68</f>
        <v>42.184376515821</v>
      </c>
      <c r="AB55" s="11" t="n">
        <f aca="false">Time!AB30*AA68</f>
        <v>40.0625315495016</v>
      </c>
      <c r="AC55" s="11" t="n">
        <f aca="false">Time!AC30*AB68</f>
        <v>37.8373811229258</v>
      </c>
      <c r="AD55" s="11" t="n">
        <f aca="false">Time!AD30*AC68</f>
        <v>35.5493926021734</v>
      </c>
      <c r="AE55" s="11" t="n">
        <f aca="false">Time!AE30*AD68</f>
        <v>33.1526530012927</v>
      </c>
      <c r="AF55" s="11" t="n">
        <f aca="false">Time!AF30*AE68</f>
        <v>30.5642901611376</v>
      </c>
      <c r="AG55" s="11" t="n">
        <f aca="false">Time!AG30*AF68</f>
        <v>27.8368165096856</v>
      </c>
      <c r="AH55" s="11" t="n">
        <f aca="false">Time!AH30*AG68</f>
        <v>25.0882286613589</v>
      </c>
      <c r="AI55" s="11" t="n">
        <f aca="false">Time!AI30*AH68</f>
        <v>22.1977168804492</v>
      </c>
      <c r="AJ55" s="11" t="n">
        <f aca="false">Time!AJ30*AI68</f>
        <v>19.2176649752235</v>
      </c>
      <c r="AK55" s="11" t="n">
        <f aca="false">Time!AK30*AJ68</f>
        <v>16.09157126132</v>
      </c>
      <c r="AL55" s="11" t="n">
        <f aca="false">Time!AL30*AK68</f>
        <v>12.8733153531898</v>
      </c>
      <c r="AM55" s="11" t="n">
        <f aca="false">Time!AM30*AL68</f>
        <v>9.50414634754132</v>
      </c>
      <c r="AN55" s="11" t="n">
        <f aca="false">Time!AN30*AM68</f>
        <v>5.97953036347114</v>
      </c>
      <c r="AO55" s="11" t="n">
        <f aca="false">Time!AO30*AN68</f>
        <v>2.91841658288516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29.5158718123521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0</v>
      </c>
      <c r="Q57" s="11" t="n">
        <f aca="false">Q55*Q12</f>
        <v>2.05647153871802</v>
      </c>
      <c r="R57" s="11" t="n">
        <f aca="false">R55*R12</f>
        <v>1.9757802589369</v>
      </c>
      <c r="S57" s="11" t="n">
        <f aca="false">S55*S12</f>
        <v>1.89214049536666</v>
      </c>
      <c r="T57" s="11" t="n">
        <f aca="false">T55*T12</f>
        <v>1.86624067771567</v>
      </c>
      <c r="U57" s="11" t="n">
        <f aca="false">U55*U12</f>
        <v>1.7866593069366</v>
      </c>
      <c r="V57" s="11" t="n">
        <f aca="false">V55*V12</f>
        <v>1.74467645940181</v>
      </c>
      <c r="W57" s="11" t="n">
        <f aca="false">W55*W12</f>
        <v>1.65284418677355</v>
      </c>
      <c r="X57" s="11" t="n">
        <f aca="false">X55*X12</f>
        <v>1.61228175906697</v>
      </c>
      <c r="Y57" s="11" t="n">
        <f aca="false">Y55*Y12</f>
        <v>1.5160759864876</v>
      </c>
      <c r="Z57" s="11" t="n">
        <f aca="false">Z55*Z12</f>
        <v>1.47504522475683</v>
      </c>
      <c r="AA57" s="11" t="n">
        <f aca="false">AA55*AA12</f>
        <v>1.38285073371808</v>
      </c>
      <c r="AB57" s="11" t="n">
        <f aca="false">AB55*AB12</f>
        <v>1.33506160692517</v>
      </c>
      <c r="AC57" s="11" t="n">
        <f aca="false">AC55*AC12</f>
        <v>1.2472041648808</v>
      </c>
      <c r="AD57" s="11" t="n">
        <f aca="false">AD55*AD12</f>
        <v>1.18466375880487</v>
      </c>
      <c r="AE57" s="11" t="n">
        <f aca="false">AE55*AE12</f>
        <v>1.08678080166349</v>
      </c>
      <c r="AF57" s="11" t="n">
        <f aca="false">AF55*AF12</f>
        <v>1.01853798945871</v>
      </c>
      <c r="AG57" s="11" t="n">
        <f aca="false">AG55*AG12</f>
        <v>0.912521774983615</v>
      </c>
      <c r="AH57" s="11" t="n">
        <f aca="false">AH55*AH12</f>
        <v>0.836051282234973</v>
      </c>
      <c r="AI57" s="11" t="n">
        <f aca="false">AI55*AI12</f>
        <v>0.727665823470991</v>
      </c>
      <c r="AJ57" s="11" t="n">
        <f aca="false">AJ55*AJ12</f>
        <v>0.64041800881878</v>
      </c>
      <c r="AK57" s="11" t="n">
        <f aca="false">AK55*AK12</f>
        <v>0.530413947820355</v>
      </c>
      <c r="AL57" s="11" t="n">
        <f aca="false">AL55*AL12</f>
        <v>0.428996082303188</v>
      </c>
      <c r="AM57" s="11" t="n">
        <f aca="false">AM55*AM12</f>
        <v>0.311556477435013</v>
      </c>
      <c r="AN57" s="11" t="n">
        <f aca="false">AN55*AN12</f>
        <v>0.199264527401363</v>
      </c>
      <c r="AO57" s="11" t="n">
        <f aca="false">AO55*AO12</f>
        <v>0.0956689382720677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60.9812947007599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0</v>
      </c>
      <c r="Q58" s="11" t="n">
        <f aca="false">Time!Q30*(Q55-Q56)*Q19</f>
        <v>1.6010024065234</v>
      </c>
      <c r="R58" s="11" t="n">
        <f aca="false">Time!R30*(R55-R56)*R19</f>
        <v>1.65984197291337</v>
      </c>
      <c r="S58" s="11" t="n">
        <f aca="false">Time!S30*(S55-S56)*S19</f>
        <v>1.71829608205591</v>
      </c>
      <c r="T58" s="11" t="n">
        <f aca="false">Time!T30*(T55-T56)*T19</f>
        <v>1.79891227058472</v>
      </c>
      <c r="U58" s="11" t="n">
        <f aca="false">Time!U30*(U55-U56)*U19</f>
        <v>1.84898705198387</v>
      </c>
      <c r="V58" s="11" t="n">
        <f aca="false">Time!V30*(V55-V56)*V19</f>
        <v>1.93362758740352</v>
      </c>
      <c r="W58" s="11" t="n">
        <f aca="false">Time!W30*(W55-W56)*W19</f>
        <v>2.03927286276166</v>
      </c>
      <c r="X58" s="11" t="n">
        <f aca="false">Time!X30*(X55-X56)*X19</f>
        <v>2.13289201055139</v>
      </c>
      <c r="Y58" s="11" t="n">
        <f aca="false">Time!Y30*(Y55-Y56)*Y19</f>
        <v>1.98530220387671</v>
      </c>
      <c r="Z58" s="11" t="n">
        <f aca="false">Time!Z30*(Z55-Z56)*Z19</f>
        <v>2.07878373628434</v>
      </c>
      <c r="AA58" s="11" t="n">
        <f aca="false">Time!AA30*(AA55-AA56)*AA19</f>
        <v>2.1218449663194</v>
      </c>
      <c r="AB58" s="11" t="n">
        <f aca="false">Time!AB30*(AB55-AB56)*AB19</f>
        <v>2.22515042657584</v>
      </c>
      <c r="AC58" s="11" t="n">
        <f aca="false">Time!AC30*(AC55-AC56)*AC19</f>
        <v>2.2879885207524</v>
      </c>
      <c r="AD58" s="11" t="n">
        <f aca="false">Time!AD30*(AD55-AD56)*AD19</f>
        <v>2.39673960088074</v>
      </c>
      <c r="AE58" s="11" t="n">
        <f aca="false">Time!AE30*(AE55-AE56)*AE19</f>
        <v>2.58836284015504</v>
      </c>
      <c r="AF58" s="11" t="n">
        <f aca="false">Time!AF30*(AF55-AF56)*AF19</f>
        <v>2.72747365145206</v>
      </c>
      <c r="AG58" s="11" t="n">
        <f aca="false">Time!AG30*(AG55-AG56)*AG19</f>
        <v>2.74858784832669</v>
      </c>
      <c r="AH58" s="11" t="n">
        <f aca="false">Time!AH30*(AH55-AH56)*AH19</f>
        <v>2.89051178090969</v>
      </c>
      <c r="AI58" s="11" t="n">
        <f aca="false">Time!AI30*(AI55-AI56)*AI19</f>
        <v>2.98005190522573</v>
      </c>
      <c r="AJ58" s="11" t="n">
        <f aca="false">Time!AJ30*(AJ55-AJ56)*AJ19</f>
        <v>3.12609371390345</v>
      </c>
      <c r="AK58" s="11" t="n">
        <f aca="false">Time!AK30*(AK55-AK56)*AK19</f>
        <v>3.21825590813019</v>
      </c>
      <c r="AL58" s="11" t="n">
        <f aca="false">Time!AL30*(AL55-AL56)*AL19</f>
        <v>3.3691690056485</v>
      </c>
      <c r="AM58" s="11" t="n">
        <f aca="false">Time!AM30*(AM55-AM56)*AM19</f>
        <v>3.52461598407018</v>
      </c>
      <c r="AN58" s="11" t="n">
        <f aca="false">Time!AN30*(AN55-AN56)*AN19</f>
        <v>3.06111378058598</v>
      </c>
      <c r="AO58" s="11" t="n">
        <f aca="false">Time!AO30*(AO55-AO56)*AO19</f>
        <v>2.91841658288516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60.9812947007599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0</v>
      </c>
      <c r="Q62" s="11" t="n">
        <f aca="false">Q58-Q59+Q61</f>
        <v>1.6010024065234</v>
      </c>
      <c r="R62" s="11" t="n">
        <f aca="false">R58-R59+R61</f>
        <v>1.65984197291337</v>
      </c>
      <c r="S62" s="11" t="n">
        <f aca="false">S58-S59+S61</f>
        <v>1.71829608205591</v>
      </c>
      <c r="T62" s="11" t="n">
        <f aca="false">T58-T59+T61</f>
        <v>1.79891227058472</v>
      </c>
      <c r="U62" s="11" t="n">
        <f aca="false">U58-U59+U61</f>
        <v>1.84898705198387</v>
      </c>
      <c r="V62" s="11" t="n">
        <f aca="false">V58-V59+V61</f>
        <v>1.93362758740352</v>
      </c>
      <c r="W62" s="11" t="n">
        <f aca="false">W58-W59+W61</f>
        <v>2.03927286276166</v>
      </c>
      <c r="X62" s="11" t="n">
        <f aca="false">X58-X59+X61</f>
        <v>2.13289201055139</v>
      </c>
      <c r="Y62" s="11" t="n">
        <f aca="false">Y58-Y59+Y61</f>
        <v>1.98530220387671</v>
      </c>
      <c r="Z62" s="11" t="n">
        <f aca="false">Z58-Z59+Z61</f>
        <v>2.07878373628434</v>
      </c>
      <c r="AA62" s="11" t="n">
        <f aca="false">AA58-AA59+AA61</f>
        <v>2.1218449663194</v>
      </c>
      <c r="AB62" s="11" t="n">
        <f aca="false">AB58-AB59+AB61</f>
        <v>2.22515042657584</v>
      </c>
      <c r="AC62" s="11" t="n">
        <f aca="false">AC58-AC59+AC61</f>
        <v>2.2879885207524</v>
      </c>
      <c r="AD62" s="11" t="n">
        <f aca="false">AD58-AD59+AD61</f>
        <v>2.39673960088074</v>
      </c>
      <c r="AE62" s="11" t="n">
        <f aca="false">AE58-AE59+AE61</f>
        <v>2.58836284015504</v>
      </c>
      <c r="AF62" s="11" t="n">
        <f aca="false">AF58-AF59+AF61</f>
        <v>2.72747365145206</v>
      </c>
      <c r="AG62" s="11" t="n">
        <f aca="false">AG58-AG59+AG61</f>
        <v>2.74858784832669</v>
      </c>
      <c r="AH62" s="11" t="n">
        <f aca="false">AH58-AH59+AH61</f>
        <v>2.89051178090969</v>
      </c>
      <c r="AI62" s="11" t="n">
        <f aca="false">AI58-AI59+AI61</f>
        <v>2.98005190522573</v>
      </c>
      <c r="AJ62" s="11" t="n">
        <f aca="false">AJ58-AJ59+AJ61</f>
        <v>3.12609371390345</v>
      </c>
      <c r="AK62" s="11" t="n">
        <f aca="false">AK58-AK59+AK61</f>
        <v>3.21825590813019</v>
      </c>
      <c r="AL62" s="11" t="n">
        <f aca="false">AL58-AL59+AL61</f>
        <v>3.3691690056485</v>
      </c>
      <c r="AM62" s="11" t="n">
        <f aca="false">AM58-AM59+AM61</f>
        <v>3.52461598407018</v>
      </c>
      <c r="AN62" s="11" t="n">
        <f aca="false">AN58-AN59+AN61</f>
        <v>3.06111378058598</v>
      </c>
      <c r="AO62" s="11" t="n">
        <f aca="false">AO58-AO59+AO61</f>
        <v>2.91841658288516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1.84849999999698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1.84849999999698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0</v>
      </c>
      <c r="Q66" s="11" t="n">
        <f aca="false">Q55-Q62-Q63-Q64</f>
        <v>59.3802922942365</v>
      </c>
      <c r="R66" s="11" t="n">
        <f aca="false">R55-R62-R63-R64</f>
        <v>57.7204503213232</v>
      </c>
      <c r="S66" s="11" t="n">
        <f aca="false">S55-S62-S63-S64</f>
        <v>56.0021542392673</v>
      </c>
      <c r="T66" s="11" t="n">
        <f aca="false">T55-T62-T63-T64</f>
        <v>54.2032419686825</v>
      </c>
      <c r="U66" s="11" t="n">
        <f aca="false">U55-U62-U63-U64</f>
        <v>52.3542549166987</v>
      </c>
      <c r="V66" s="11" t="n">
        <f aca="false">V55-V62-V63-V64</f>
        <v>50.4206273292951</v>
      </c>
      <c r="W66" s="11" t="n">
        <f aca="false">W55-W62-W63-W64</f>
        <v>48.3813544665335</v>
      </c>
      <c r="X66" s="11" t="n">
        <f aca="false">X55-X62-X63-X64</f>
        <v>46.2484624559821</v>
      </c>
      <c r="Y66" s="11" t="n">
        <f aca="false">Y55-Y62-Y63-Y64</f>
        <v>44.2631602521054</v>
      </c>
      <c r="Z66" s="11" t="n">
        <f aca="false">Z55-Z62-Z63-Z64</f>
        <v>42.184376515821</v>
      </c>
      <c r="AA66" s="11" t="n">
        <f aca="false">AA55-AA62-AA63-AA64</f>
        <v>40.0625315495016</v>
      </c>
      <c r="AB66" s="11" t="n">
        <f aca="false">AB55-AB62-AB63-AB64</f>
        <v>37.8373811229258</v>
      </c>
      <c r="AC66" s="11" t="n">
        <f aca="false">AC55-AC62-AC63-AC64</f>
        <v>35.5493926021734</v>
      </c>
      <c r="AD66" s="11" t="n">
        <f aca="false">AD55-AD62-AD63-AD64</f>
        <v>33.1526530012927</v>
      </c>
      <c r="AE66" s="11" t="n">
        <f aca="false">AE55-AE62-AE63-AE64</f>
        <v>30.5642901611376</v>
      </c>
      <c r="AF66" s="11" t="n">
        <f aca="false">AF55-AF62-AF63-AF64</f>
        <v>27.8368165096856</v>
      </c>
      <c r="AG66" s="11" t="n">
        <f aca="false">AG55-AG62-AG63-AG64</f>
        <v>25.0882286613589</v>
      </c>
      <c r="AH66" s="11" t="n">
        <f aca="false">AH55-AH62-AH63-AH64</f>
        <v>22.1977168804492</v>
      </c>
      <c r="AI66" s="11" t="n">
        <f aca="false">AI55-AI62-AI63-AI64</f>
        <v>19.2176649752235</v>
      </c>
      <c r="AJ66" s="11" t="n">
        <f aca="false">AJ55-AJ62-AJ63-AJ64</f>
        <v>16.09157126132</v>
      </c>
      <c r="AK66" s="11" t="n">
        <f aca="false">AK55-AK62-AK63-AK64</f>
        <v>12.8733153531898</v>
      </c>
      <c r="AL66" s="11" t="n">
        <f aca="false">AL55-AL62-AL63-AL64</f>
        <v>9.50414634754132</v>
      </c>
      <c r="AM66" s="11" t="n">
        <f aca="false">AM55-AM62-AM63-AM64</f>
        <v>5.97953036347114</v>
      </c>
      <c r="AN66" s="11" t="n">
        <f aca="false">AN55-AN62-AN63-AN64</f>
        <v>2.91841658288516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0</v>
      </c>
      <c r="P68" s="11" t="n">
        <f aca="false">IF(Time!P29=1,INDEX(Funding!$J$63:$BJ$63,1,Time!$F$13),Time!P30*(P66-P67))</f>
        <v>62.8297947007569</v>
      </c>
      <c r="Q68" s="11" t="n">
        <f aca="false">IF(Time!Q29=1,INDEX(Funding!$J$63:$BJ$63,1,Time!$F$13),Time!Q30*(Q66-Q67))</f>
        <v>59.3802922942365</v>
      </c>
      <c r="R68" s="11" t="n">
        <f aca="false">IF(Time!R29=1,INDEX(Funding!$J$63:$BJ$63,1,Time!$F$13),Time!R30*(R66-R67))</f>
        <v>57.7204503213232</v>
      </c>
      <c r="S68" s="11" t="n">
        <f aca="false">IF(Time!S29=1,INDEX(Funding!$J$63:$BJ$63,1,Time!$F$13),Time!S30*(S66-S67))</f>
        <v>56.0021542392673</v>
      </c>
      <c r="T68" s="11" t="n">
        <f aca="false">IF(Time!T29=1,INDEX(Funding!$J$63:$BJ$63,1,Time!$F$13),Time!T30*(T66-T67))</f>
        <v>54.2032419686825</v>
      </c>
      <c r="U68" s="11" t="n">
        <f aca="false">IF(Time!U29=1,INDEX(Funding!$J$63:$BJ$63,1,Time!$F$13),Time!U30*(U66-U67))</f>
        <v>52.3542549166987</v>
      </c>
      <c r="V68" s="11" t="n">
        <f aca="false">IF(Time!V29=1,INDEX(Funding!$J$63:$BJ$63,1,Time!$F$13),Time!V30*(V66-V67))</f>
        <v>50.4206273292951</v>
      </c>
      <c r="W68" s="11" t="n">
        <f aca="false">IF(Time!W29=1,INDEX(Funding!$J$63:$BJ$63,1,Time!$F$13),Time!W30*(W66-W67))</f>
        <v>48.3813544665335</v>
      </c>
      <c r="X68" s="11" t="n">
        <f aca="false">IF(Time!X29=1,INDEX(Funding!$J$63:$BJ$63,1,Time!$F$13),Time!X30*(X66-X67))</f>
        <v>46.2484624559821</v>
      </c>
      <c r="Y68" s="11" t="n">
        <f aca="false">IF(Time!Y29=1,INDEX(Funding!$J$63:$BJ$63,1,Time!$F$13),Time!Y30*(Y66-Y67))</f>
        <v>44.2631602521054</v>
      </c>
      <c r="Z68" s="11" t="n">
        <f aca="false">IF(Time!Z29=1,INDEX(Funding!$J$63:$BJ$63,1,Time!$F$13),Time!Z30*(Z66-Z67))</f>
        <v>42.184376515821</v>
      </c>
      <c r="AA68" s="11" t="n">
        <f aca="false">IF(Time!AA29=1,INDEX(Funding!$J$63:$BJ$63,1,Time!$F$13),Time!AA30*(AA66-AA67))</f>
        <v>40.0625315495016</v>
      </c>
      <c r="AB68" s="11" t="n">
        <f aca="false">IF(Time!AB29=1,INDEX(Funding!$J$63:$BJ$63,1,Time!$F$13),Time!AB30*(AB66-AB67))</f>
        <v>37.8373811229258</v>
      </c>
      <c r="AC68" s="11" t="n">
        <f aca="false">IF(Time!AC29=1,INDEX(Funding!$J$63:$BJ$63,1,Time!$F$13),Time!AC30*(AC66-AC67))</f>
        <v>35.5493926021734</v>
      </c>
      <c r="AD68" s="11" t="n">
        <f aca="false">IF(Time!AD29=1,INDEX(Funding!$J$63:$BJ$63,1,Time!$F$13),Time!AD30*(AD66-AD67))</f>
        <v>33.1526530012927</v>
      </c>
      <c r="AE68" s="11" t="n">
        <f aca="false">IF(Time!AE29=1,INDEX(Funding!$J$63:$BJ$63,1,Time!$F$13),Time!AE30*(AE66-AE67))</f>
        <v>30.5642901611376</v>
      </c>
      <c r="AF68" s="11" t="n">
        <f aca="false">IF(Time!AF29=1,INDEX(Funding!$J$63:$BJ$63,1,Time!$F$13),Time!AF30*(AF66-AF67))</f>
        <v>27.8368165096856</v>
      </c>
      <c r="AG68" s="11" t="n">
        <f aca="false">IF(Time!AG29=1,INDEX(Funding!$J$63:$BJ$63,1,Time!$F$13),Time!AG30*(AG66-AG67))</f>
        <v>25.0882286613589</v>
      </c>
      <c r="AH68" s="11" t="n">
        <f aca="false">IF(Time!AH29=1,INDEX(Funding!$J$63:$BJ$63,1,Time!$F$13),Time!AH30*(AH66-AH67))</f>
        <v>22.1977168804492</v>
      </c>
      <c r="AI68" s="11" t="n">
        <f aca="false">IF(Time!AI29=1,INDEX(Funding!$J$63:$BJ$63,1,Time!$F$13),Time!AI30*(AI66-AI67))</f>
        <v>19.2176649752235</v>
      </c>
      <c r="AJ68" s="11" t="n">
        <f aca="false">IF(Time!AJ29=1,INDEX(Funding!$J$63:$BJ$63,1,Time!$F$13),Time!AJ30*(AJ66-AJ67))</f>
        <v>16.09157126132</v>
      </c>
      <c r="AK68" s="11" t="n">
        <f aca="false">IF(Time!AK29=1,INDEX(Funding!$J$63:$BJ$63,1,Time!$F$13),Time!AK30*(AK66-AK67))</f>
        <v>12.8733153531898</v>
      </c>
      <c r="AL68" s="11" t="n">
        <f aca="false">IF(Time!AL29=1,INDEX(Funding!$J$63:$BJ$63,1,Time!$F$13),Time!AL30*(AL66-AL67))</f>
        <v>9.50414634754132</v>
      </c>
      <c r="AM68" s="11" t="n">
        <f aca="false">IF(Time!AM29=1,INDEX(Funding!$J$63:$BJ$63,1,Time!$F$13),Time!AM30*(AM66-AM67))</f>
        <v>5.97953036347114</v>
      </c>
      <c r="AN68" s="11" t="n">
        <f aca="false">IF(Time!AN29=1,INDEX(Funding!$J$63:$BJ$63,1,Time!$F$13),Time!AN30*(AN66-AN67))</f>
        <v>2.91841658288516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0</v>
      </c>
      <c r="Q70" s="11" t="n">
        <f aca="false">Time!Q30*P83</f>
        <v>238.753219862876</v>
      </c>
      <c r="R70" s="11" t="n">
        <f aca="false">Time!R30*Q83</f>
        <v>225.645110718099</v>
      </c>
      <c r="S70" s="11" t="n">
        <f aca="false">Time!S30*R83</f>
        <v>219.337711221028</v>
      </c>
      <c r="T70" s="11" t="n">
        <f aca="false">Time!T30*S83</f>
        <v>212.808186109215</v>
      </c>
      <c r="U70" s="11" t="n">
        <f aca="false">Time!U30*T83</f>
        <v>205.972319480994</v>
      </c>
      <c r="V70" s="11" t="n">
        <f aca="false">Time!V30*U83</f>
        <v>198.946168683455</v>
      </c>
      <c r="W70" s="11" t="n">
        <f aca="false">Time!W30*V83</f>
        <v>191.598383851321</v>
      </c>
      <c r="X70" s="11" t="n">
        <f aca="false">Time!X30*W83</f>
        <v>183.849146972827</v>
      </c>
      <c r="Y70" s="11" t="n">
        <f aca="false">Time!Y30*X83</f>
        <v>175.744157332732</v>
      </c>
      <c r="Z70" s="11" t="n">
        <f aca="false">Time!Z30*Y83</f>
        <v>168.200008958</v>
      </c>
      <c r="AA70" s="11" t="n">
        <f aca="false">Time!AA30*Z83</f>
        <v>160.30063076012</v>
      </c>
      <c r="AB70" s="11" t="n">
        <f aca="false">Time!AB30*AA83</f>
        <v>146.197755549364</v>
      </c>
      <c r="AC70" s="11" t="n">
        <f aca="false">Time!AC30*AB83</f>
        <v>130.983093940846</v>
      </c>
      <c r="AD70" s="11" t="n">
        <f aca="false">Time!AD30*AC83</f>
        <v>115.869191117352</v>
      </c>
      <c r="AE70" s="11" t="n">
        <f aca="false">Time!AE30*AD83</f>
        <v>100.617991790748</v>
      </c>
      <c r="AF70" s="11" t="n">
        <f aca="false">Time!AF30*AE83</f>
        <v>84.4562572377667</v>
      </c>
      <c r="AG70" s="11" t="n">
        <f aca="false">Time!AG30*AF83</f>
        <v>67.2749776976377</v>
      </c>
      <c r="AH70" s="11" t="n">
        <f aca="false">Time!AH30*AG83</f>
        <v>50.7490344060292</v>
      </c>
      <c r="AI70" s="11" t="n">
        <f aca="false">Time!AI30*AH83</f>
        <v>33.6794449049954</v>
      </c>
      <c r="AJ70" s="11" t="n">
        <f aca="false">Time!AJ30*AI83</f>
        <v>17.0702553104043</v>
      </c>
      <c r="AK70" s="11" t="n">
        <f aca="false">Time!AK30*AJ83</f>
        <v>0.324512371281518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123.10058168995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0</v>
      </c>
      <c r="Q72" s="11" t="n">
        <f aca="false">Q70*Q13</f>
        <v>9.61652282263124</v>
      </c>
      <c r="R72" s="11" t="n">
        <f aca="false">R70*R13</f>
        <v>9.23919227416847</v>
      </c>
      <c r="S72" s="11" t="n">
        <f aca="false">S70*S13</f>
        <v>8.84675641289703</v>
      </c>
      <c r="T72" s="11" t="n">
        <f aca="false">T70*T13</f>
        <v>8.72566108278922</v>
      </c>
      <c r="U72" s="11" t="n">
        <f aca="false">U70*U13</f>
        <v>8.35357613243225</v>
      </c>
      <c r="V72" s="11" t="n">
        <f aca="false">V70*V13</f>
        <v>8.15728414112951</v>
      </c>
      <c r="W72" s="11" t="n">
        <f aca="false">W70*W13</f>
        <v>7.72791975261062</v>
      </c>
      <c r="X72" s="11" t="n">
        <f aca="false">X70*X13</f>
        <v>7.53826897439696</v>
      </c>
      <c r="Y72" s="11" t="n">
        <f aca="false">Y70*Y13</f>
        <v>7.57934647914114</v>
      </c>
      <c r="Z72" s="11" t="n">
        <f aca="false">Z70*Z13</f>
        <v>7.37422063965001</v>
      </c>
      <c r="AA72" s="11" t="n">
        <f aca="false">AA70*AA13</f>
        <v>6.91331103005342</v>
      </c>
      <c r="AB72" s="11" t="n">
        <f aca="false">AB70*AB13</f>
        <v>6.40959838897411</v>
      </c>
      <c r="AC72" s="11" t="n">
        <f aca="false">AC70*AC13</f>
        <v>5.68013846637795</v>
      </c>
      <c r="AD72" s="11" t="n">
        <f aca="false">AD70*AD13</f>
        <v>5.07993421599927</v>
      </c>
      <c r="AE72" s="11" t="n">
        <f aca="false">AE70*AE13</f>
        <v>4.33936828052619</v>
      </c>
      <c r="AF72" s="11" t="n">
        <f aca="false">AF70*AF13</f>
        <v>3.70272914447848</v>
      </c>
      <c r="AG72" s="11" t="n">
        <f aca="false">AG70*AG13</f>
        <v>3.08929189253393</v>
      </c>
      <c r="AH72" s="11" t="n">
        <f aca="false">AH70*AH13</f>
        <v>2.36904010982812</v>
      </c>
      <c r="AI72" s="11" t="n">
        <f aca="false">AI70*AI13</f>
        <v>1.54657258390587</v>
      </c>
      <c r="AJ72" s="11" t="n">
        <f aca="false">AJ70*AJ13</f>
        <v>0.796864807156799</v>
      </c>
      <c r="AK72" s="11" t="n">
        <f aca="false">AK70*AK13</f>
        <v>0.0149840582695062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138.588859877269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0</v>
      </c>
      <c r="Q73" s="11" t="n">
        <f aca="false">Time!Q30*(Q70-Q71)*Q19</f>
        <v>6.0838091447889</v>
      </c>
      <c r="R73" s="11" t="n">
        <f aca="false">Time!R30*(R70-R71)*R19</f>
        <v>6.30739949707082</v>
      </c>
      <c r="S73" s="11" t="n">
        <f aca="false">Time!S30*(S70-S71)*S19</f>
        <v>6.52952511181246</v>
      </c>
      <c r="T73" s="11" t="n">
        <f aca="false">Time!T30*(T70-T71)*T19</f>
        <v>6.83586662822194</v>
      </c>
      <c r="U73" s="11" t="n">
        <f aca="false">Time!U30*(U70-U71)*U19</f>
        <v>7.02615079753869</v>
      </c>
      <c r="V73" s="11" t="n">
        <f aca="false">Time!V30*(V70-V71)*V19</f>
        <v>7.34778483213339</v>
      </c>
      <c r="W73" s="11" t="n">
        <f aca="false">Time!W30*(W70-W71)*W19</f>
        <v>7.74923687849429</v>
      </c>
      <c r="X73" s="11" t="n">
        <f aca="false">Time!X30*(X70-X71)*X19</f>
        <v>8.10498964009529</v>
      </c>
      <c r="Y73" s="11" t="n">
        <f aca="false">Time!Y30*(Y70-Y71)*Y19</f>
        <v>7.5441483747315</v>
      </c>
      <c r="Z73" s="11" t="n">
        <f aca="false">Time!Z30*(Z70-Z71)*Z19</f>
        <v>7.89937819788049</v>
      </c>
      <c r="AA73" s="11" t="n">
        <f aca="false">Time!AA30*(AA70-AA71)*AA19</f>
        <v>8.06301087201372</v>
      </c>
      <c r="AB73" s="11" t="n">
        <f aca="false">Time!AB30*(AB70-AB71)*AB19</f>
        <v>8.12010588305283</v>
      </c>
      <c r="AC73" s="11" t="n">
        <f aca="false">Time!AC30*(AC70-AC71)*AC19</f>
        <v>7.9204164362133</v>
      </c>
      <c r="AD73" s="11" t="n">
        <f aca="false">Time!AD30*(AD70-AD71)*AD19</f>
        <v>7.81189940376078</v>
      </c>
      <c r="AE73" s="11" t="n">
        <f aca="false">Time!AE30*(AE70-AE71)*AE19</f>
        <v>7.85565701158344</v>
      </c>
      <c r="AF73" s="11" t="n">
        <f aca="false">Time!AF30*(AF70-AF71)*AF19</f>
        <v>7.53664538262885</v>
      </c>
      <c r="AG73" s="11" t="n">
        <f aca="false">Time!AG30*(AG70-AG71)*AG19</f>
        <v>6.64268437922266</v>
      </c>
      <c r="AH73" s="11" t="n">
        <f aca="false">Time!AH30*(AH70-AH71)*AH19</f>
        <v>5.84699238038885</v>
      </c>
      <c r="AI73" s="11" t="n">
        <f aca="false">Time!AI30*(AI70-AI71)*AI19</f>
        <v>4.52147824466017</v>
      </c>
      <c r="AJ73" s="11" t="n">
        <f aca="false">Time!AJ30*(AJ70-AJ71)*AJ19</f>
        <v>2.77677948332333</v>
      </c>
      <c r="AK73" s="11" t="n">
        <f aca="false">Time!AK30*(AK70-AK71)*AK19</f>
        <v>0.0649012976531673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138.588859877269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0</v>
      </c>
      <c r="Q77" s="11" t="n">
        <f aca="false">Q73-Q74+Q76</f>
        <v>6.0838091447889</v>
      </c>
      <c r="R77" s="11" t="n">
        <f aca="false">R73-R74+R76</f>
        <v>6.30739949707082</v>
      </c>
      <c r="S77" s="11" t="n">
        <f aca="false">S73-S74+S76</f>
        <v>6.52952511181246</v>
      </c>
      <c r="T77" s="11" t="n">
        <f aca="false">T73-T74+T76</f>
        <v>6.83586662822194</v>
      </c>
      <c r="U77" s="11" t="n">
        <f aca="false">U73-U74+U76</f>
        <v>7.02615079753869</v>
      </c>
      <c r="V77" s="11" t="n">
        <f aca="false">V73-V74+V76</f>
        <v>7.34778483213339</v>
      </c>
      <c r="W77" s="11" t="n">
        <f aca="false">W73-W74+W76</f>
        <v>7.74923687849429</v>
      </c>
      <c r="X77" s="11" t="n">
        <f aca="false">X73-X74+X76</f>
        <v>8.10498964009529</v>
      </c>
      <c r="Y77" s="11" t="n">
        <f aca="false">Y73-Y74+Y76</f>
        <v>7.5441483747315</v>
      </c>
      <c r="Z77" s="11" t="n">
        <f aca="false">Z73-Z74+Z76</f>
        <v>7.89937819788049</v>
      </c>
      <c r="AA77" s="11" t="n">
        <f aca="false">AA73-AA74+AA76</f>
        <v>8.06301087201372</v>
      </c>
      <c r="AB77" s="11" t="n">
        <f aca="false">AB73-AB74+AB76</f>
        <v>8.12010588305283</v>
      </c>
      <c r="AC77" s="11" t="n">
        <f aca="false">AC73-AC74+AC76</f>
        <v>7.9204164362133</v>
      </c>
      <c r="AD77" s="11" t="n">
        <f aca="false">AD73-AD74+AD76</f>
        <v>7.81189940376078</v>
      </c>
      <c r="AE77" s="11" t="n">
        <f aca="false">AE73-AE74+AE76</f>
        <v>7.85565701158344</v>
      </c>
      <c r="AF77" s="11" t="n">
        <f aca="false">AF73-AF74+AF76</f>
        <v>7.53664538262885</v>
      </c>
      <c r="AG77" s="11" t="n">
        <f aca="false">AG73-AG74+AG76</f>
        <v>6.64268437922266</v>
      </c>
      <c r="AH77" s="11" t="n">
        <f aca="false">AH73-AH74+AH76</f>
        <v>5.84699238038885</v>
      </c>
      <c r="AI77" s="11" t="n">
        <f aca="false">AI73-AI74+AI76</f>
        <v>4.52147824466017</v>
      </c>
      <c r="AJ77" s="11" t="n">
        <f aca="false">AJ73-AJ74+AJ76</f>
        <v>2.77677948332333</v>
      </c>
      <c r="AK77" s="11" t="n">
        <f aca="false">AK73-AK74+AK76</f>
        <v>0.0649012976531673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7.02429999998853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7.02429999998853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0</v>
      </c>
      <c r="Q81" s="11" t="n">
        <f aca="false">Q70-Q77-Q78-Q79</f>
        <v>225.645110718099</v>
      </c>
      <c r="R81" s="11" t="n">
        <f aca="false">R70-R77-R78-R79</f>
        <v>219.337711221028</v>
      </c>
      <c r="S81" s="11" t="n">
        <f aca="false">S70-S77-S78-S79</f>
        <v>212.808186109215</v>
      </c>
      <c r="T81" s="11" t="n">
        <f aca="false">T70-T77-T78-T79</f>
        <v>205.972319480994</v>
      </c>
      <c r="U81" s="11" t="n">
        <f aca="false">U70-U77-U78-U79</f>
        <v>198.946168683455</v>
      </c>
      <c r="V81" s="11" t="n">
        <f aca="false">V70-V77-V78-V79</f>
        <v>191.598383851321</v>
      </c>
      <c r="W81" s="11" t="n">
        <f aca="false">W70-W77-W78-W79</f>
        <v>183.849146972827</v>
      </c>
      <c r="X81" s="11" t="n">
        <f aca="false">X70-X77-X78-X79</f>
        <v>175.744157332732</v>
      </c>
      <c r="Y81" s="11" t="n">
        <f aca="false">Y70-Y77-Y78-Y79</f>
        <v>168.200008958</v>
      </c>
      <c r="Z81" s="11" t="n">
        <f aca="false">Z70-Z77-Z78-Z79</f>
        <v>160.30063076012</v>
      </c>
      <c r="AA81" s="11" t="n">
        <f aca="false">AA70-AA77-AA78-AA79</f>
        <v>152.237619888106</v>
      </c>
      <c r="AB81" s="11" t="n">
        <f aca="false">AB70-AB77-AB78-AB79</f>
        <v>138.077649666312</v>
      </c>
      <c r="AC81" s="11" t="n">
        <f aca="false">AC70-AC77-AC78-AC79</f>
        <v>123.062677504632</v>
      </c>
      <c r="AD81" s="11" t="n">
        <f aca="false">AD70-AD77-AD78-AD79</f>
        <v>108.057291713591</v>
      </c>
      <c r="AE81" s="11" t="n">
        <f aca="false">AE70-AE77-AE78-AE79</f>
        <v>92.7623347791649</v>
      </c>
      <c r="AF81" s="11" t="n">
        <f aca="false">AF70-AF77-AF78-AF79</f>
        <v>76.9196118551379</v>
      </c>
      <c r="AG81" s="11" t="n">
        <f aca="false">AG70-AG77-AG78-AG79</f>
        <v>60.632293318415</v>
      </c>
      <c r="AH81" s="11" t="n">
        <f aca="false">AH70-AH77-AH78-AH79</f>
        <v>44.9020420256403</v>
      </c>
      <c r="AI81" s="11" t="n">
        <f aca="false">AI70-AI77-AI78-AI79</f>
        <v>29.1579666603353</v>
      </c>
      <c r="AJ81" s="11" t="n">
        <f aca="false">AJ70-AJ77-AJ78-AJ79</f>
        <v>14.293475827081</v>
      </c>
      <c r="AK81" s="11" t="n">
        <f aca="false">AK70-AK77-AK78-AK79</f>
        <v>0.259611073628351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93.1400599856189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6.0398643387419</v>
      </c>
      <c r="AB82" s="11" t="n">
        <f aca="false">Waterfall!AB28*AB81/(AB36+AB51+AB66+AB81+AB96+0.000000001)+Waterfall!AB29</f>
        <v>7.0945557254659</v>
      </c>
      <c r="AC82" s="11" t="n">
        <f aca="false">Waterfall!AC28*AC81/(AC36+AC51+AC66+AC81+AC96+0.000000001)+Waterfall!AC29</f>
        <v>7.19348638728025</v>
      </c>
      <c r="AD82" s="11" t="n">
        <f aca="false">Waterfall!AD28*AD81/(AD36+AD51+AD66+AD81+AD96+0.000000001)+Waterfall!AD29</f>
        <v>7.43929992284295</v>
      </c>
      <c r="AE82" s="11" t="n">
        <f aca="false">Waterfall!AE28*AE81/(AE36+AE51+AE66+AE81+AE96+0.000000001)+Waterfall!AE29</f>
        <v>8.30607754139817</v>
      </c>
      <c r="AF82" s="11" t="n">
        <f aca="false">Waterfall!AF28*AF81/(AF36+AF51+AF66+AF81+AF96+0.000000001)+Waterfall!AF29</f>
        <v>9.6446341575002</v>
      </c>
      <c r="AG82" s="11" t="n">
        <f aca="false">Waterfall!AG28*AG81/(AG36+AG51+AG66+AG81+AG96+0.000000001)+Waterfall!AG29</f>
        <v>9.88325891238581</v>
      </c>
      <c r="AH82" s="11" t="n">
        <f aca="false">Waterfall!AH28*AH81/(AH36+AH51+AH66+AH81+AH96+0.000000001)+Waterfall!AH29</f>
        <v>11.2225971206449</v>
      </c>
      <c r="AI82" s="11" t="n">
        <f aca="false">Waterfall!AI28*AI81/(AI36+AI51+AI66+AI81+AI96+0.000000001)+Waterfall!AI29</f>
        <v>12.087711349931</v>
      </c>
      <c r="AJ82" s="11" t="n">
        <f aca="false">Waterfall!AJ28*AJ81/(AJ36+AJ51+AJ66+AJ81+AJ96+0.000000001)+Waterfall!AJ29</f>
        <v>13.9689634557995</v>
      </c>
      <c r="AK82" s="11" t="n">
        <f aca="false">Waterfall!AK28*AK81/(AK36+AK51+AK66+AK81+AK96+0.000000001)+Waterfall!AK29</f>
        <v>0.259611073628351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0</v>
      </c>
      <c r="P83" s="11" t="n">
        <f aca="false">IF(Time!P29=1,INDEX(Funding!$J$64:$BJ$64,1,Time!$F$13),Time!P30*(P81-P82))</f>
        <v>238.753219862876</v>
      </c>
      <c r="Q83" s="11" t="n">
        <f aca="false">IF(Time!Q29=1,INDEX(Funding!$J$64:$BJ$64,1,Time!$F$13),Time!Q30*(Q81-Q82))</f>
        <v>225.645110718099</v>
      </c>
      <c r="R83" s="11" t="n">
        <f aca="false">IF(Time!R29=1,INDEX(Funding!$J$64:$BJ$64,1,Time!$F$13),Time!R30*(R81-R82))</f>
        <v>219.337711221028</v>
      </c>
      <c r="S83" s="11" t="n">
        <f aca="false">IF(Time!S29=1,INDEX(Funding!$J$64:$BJ$64,1,Time!$F$13),Time!S30*(S81-S82))</f>
        <v>212.808186109215</v>
      </c>
      <c r="T83" s="11" t="n">
        <f aca="false">IF(Time!T29=1,INDEX(Funding!$J$64:$BJ$64,1,Time!$F$13),Time!T30*(T81-T82))</f>
        <v>205.972319480994</v>
      </c>
      <c r="U83" s="11" t="n">
        <f aca="false">IF(Time!U29=1,INDEX(Funding!$J$64:$BJ$64,1,Time!$F$13),Time!U30*(U81-U82))</f>
        <v>198.946168683455</v>
      </c>
      <c r="V83" s="11" t="n">
        <f aca="false">IF(Time!V29=1,INDEX(Funding!$J$64:$BJ$64,1,Time!$F$13),Time!V30*(V81-V82))</f>
        <v>191.598383851321</v>
      </c>
      <c r="W83" s="11" t="n">
        <f aca="false">IF(Time!W29=1,INDEX(Funding!$J$64:$BJ$64,1,Time!$F$13),Time!W30*(W81-W82))</f>
        <v>183.849146972827</v>
      </c>
      <c r="X83" s="11" t="n">
        <f aca="false">IF(Time!X29=1,INDEX(Funding!$J$64:$BJ$64,1,Time!$F$13),Time!X30*(X81-X82))</f>
        <v>175.744157332732</v>
      </c>
      <c r="Y83" s="11" t="n">
        <f aca="false">IF(Time!Y29=1,INDEX(Funding!$J$64:$BJ$64,1,Time!$F$13),Time!Y30*(Y81-Y82))</f>
        <v>168.200008958</v>
      </c>
      <c r="Z83" s="11" t="n">
        <f aca="false">IF(Time!Z29=1,INDEX(Funding!$J$64:$BJ$64,1,Time!$F$13),Time!Z30*(Z81-Z82))</f>
        <v>160.30063076012</v>
      </c>
      <c r="AA83" s="11" t="n">
        <f aca="false">IF(Time!AA29=1,INDEX(Funding!$J$64:$BJ$64,1,Time!$F$13),Time!AA30*(AA81-AA82))</f>
        <v>146.197755549364</v>
      </c>
      <c r="AB83" s="11" t="n">
        <f aca="false">IF(Time!AB29=1,INDEX(Funding!$J$64:$BJ$64,1,Time!$F$13),Time!AB30*(AB81-AB82))</f>
        <v>130.983093940846</v>
      </c>
      <c r="AC83" s="11" t="n">
        <f aca="false">IF(Time!AC29=1,INDEX(Funding!$J$64:$BJ$64,1,Time!$F$13),Time!AC30*(AC81-AC82))</f>
        <v>115.869191117352</v>
      </c>
      <c r="AD83" s="11" t="n">
        <f aca="false">IF(Time!AD29=1,INDEX(Funding!$J$64:$BJ$64,1,Time!$F$13),Time!AD30*(AD81-AD82))</f>
        <v>100.617991790748</v>
      </c>
      <c r="AE83" s="11" t="n">
        <f aca="false">IF(Time!AE29=1,INDEX(Funding!$J$64:$BJ$64,1,Time!$F$13),Time!AE30*(AE81-AE82))</f>
        <v>84.4562572377667</v>
      </c>
      <c r="AF83" s="11" t="n">
        <f aca="false">IF(Time!AF29=1,INDEX(Funding!$J$64:$BJ$64,1,Time!$F$13),Time!AF30*(AF81-AF82))</f>
        <v>67.2749776976377</v>
      </c>
      <c r="AG83" s="11" t="n">
        <f aca="false">IF(Time!AG29=1,INDEX(Funding!$J$64:$BJ$64,1,Time!$F$13),Time!AG30*(AG81-AG82))</f>
        <v>50.7490344060292</v>
      </c>
      <c r="AH83" s="11" t="n">
        <f aca="false">IF(Time!AH29=1,INDEX(Funding!$J$64:$BJ$64,1,Time!$F$13),Time!AH30*(AH81-AH82))</f>
        <v>33.6794449049954</v>
      </c>
      <c r="AI83" s="11" t="n">
        <f aca="false">IF(Time!AI29=1,INDEX(Funding!$J$64:$BJ$64,1,Time!$F$13),Time!AI30*(AI81-AI82))</f>
        <v>17.0702553104043</v>
      </c>
      <c r="AJ83" s="11" t="n">
        <f aca="false">IF(Time!AJ29=1,INDEX(Funding!$J$64:$BJ$64,1,Time!$F$13),Time!AJ30*(AJ81-AJ82))</f>
        <v>0.324512371281518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0</v>
      </c>
      <c r="Q85" s="11" t="n">
        <f aca="false">Time!Q30*P98</f>
        <v>0</v>
      </c>
      <c r="R85" s="11" t="n">
        <f aca="false">Time!R30*Q98</f>
        <v>0</v>
      </c>
      <c r="S85" s="11" t="n">
        <f aca="false">Time!S30*R98</f>
        <v>0</v>
      </c>
      <c r="T85" s="11" t="n">
        <f aca="false">Time!T30*S98</f>
        <v>0</v>
      </c>
      <c r="U85" s="11" t="n">
        <f aca="false">Time!U30*T98</f>
        <v>0</v>
      </c>
      <c r="V85" s="11" t="n">
        <f aca="false">Time!V30*U98</f>
        <v>0</v>
      </c>
      <c r="W85" s="11" t="n">
        <f aca="false">Time!W30*V98</f>
        <v>0</v>
      </c>
      <c r="X85" s="11" t="n">
        <f aca="false">Time!X30*W98</f>
        <v>0</v>
      </c>
      <c r="Y85" s="11" t="n">
        <f aca="false">Time!Y30*X98</f>
        <v>0</v>
      </c>
      <c r="Z85" s="11" t="n">
        <f aca="false">Time!Z30*Y98</f>
        <v>0</v>
      </c>
      <c r="AA85" s="11" t="n">
        <f aca="false">Time!AA30*Z98</f>
        <v>0</v>
      </c>
      <c r="AB85" s="11" t="n">
        <f aca="false">Time!AB30*AA98</f>
        <v>0</v>
      </c>
      <c r="AC85" s="11" t="n">
        <f aca="false">Time!AC30*AB98</f>
        <v>0</v>
      </c>
      <c r="AD85" s="11" t="n">
        <f aca="false">Time!AD30*AC98</f>
        <v>0</v>
      </c>
      <c r="AE85" s="11" t="n">
        <f aca="false">Time!AE30*AD98</f>
        <v>0</v>
      </c>
      <c r="AF85" s="11" t="n">
        <f aca="false">Time!AF30*AE98</f>
        <v>0</v>
      </c>
      <c r="AG85" s="11" t="n">
        <f aca="false">Time!AG30*AF98</f>
        <v>0</v>
      </c>
      <c r="AH85" s="11" t="n">
        <f aca="false">Time!AH30*AG98</f>
        <v>0</v>
      </c>
      <c r="AI85" s="11" t="n">
        <f aca="false">Time!AI30*AH98</f>
        <v>0</v>
      </c>
      <c r="AJ85" s="11" t="n">
        <f aca="false">Time!AJ30*AI98</f>
        <v>0</v>
      </c>
      <c r="AK85" s="11" t="n">
        <f aca="false">Time!AK30*AJ98</f>
        <v>0</v>
      </c>
      <c r="AL85" s="11" t="n">
        <f aca="false">Time!AL30*AK98</f>
        <v>0</v>
      </c>
      <c r="AM85" s="11" t="n">
        <f aca="false">Time!AM30*AL98</f>
        <v>0</v>
      </c>
      <c r="AN85" s="11" t="n">
        <f aca="false">Time!AN30*AM98</f>
        <v>0</v>
      </c>
      <c r="AO85" s="11" t="n">
        <f aca="false">Time!AO30*AN98</f>
        <v>0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0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0</v>
      </c>
      <c r="Q87" s="11" t="n">
        <f aca="false">Q85*Q14</f>
        <v>0</v>
      </c>
      <c r="R87" s="11" t="n">
        <f aca="false">R85*R14</f>
        <v>0</v>
      </c>
      <c r="S87" s="11" t="n">
        <f aca="false">S85*S14</f>
        <v>0</v>
      </c>
      <c r="T87" s="11" t="n">
        <f aca="false">T85*T14</f>
        <v>0</v>
      </c>
      <c r="U87" s="11" t="n">
        <f aca="false">U85*U14</f>
        <v>0</v>
      </c>
      <c r="V87" s="11" t="n">
        <f aca="false">V85*V14</f>
        <v>0</v>
      </c>
      <c r="W87" s="11" t="n">
        <f aca="false">W85*W14</f>
        <v>0</v>
      </c>
      <c r="X87" s="11" t="n">
        <f aca="false">X85*X14</f>
        <v>0</v>
      </c>
      <c r="Y87" s="11" t="n">
        <f aca="false">Y85*Y14</f>
        <v>0</v>
      </c>
      <c r="Z87" s="11" t="n">
        <f aca="false">Z85*Z14</f>
        <v>0</v>
      </c>
      <c r="AA87" s="11" t="n">
        <f aca="false">AA85*AA14</f>
        <v>0</v>
      </c>
      <c r="AB87" s="11" t="n">
        <f aca="false">AB85*AB14</f>
        <v>0</v>
      </c>
      <c r="AC87" s="11" t="n">
        <f aca="false">AC85*AC14</f>
        <v>0</v>
      </c>
      <c r="AD87" s="11" t="n">
        <f aca="false">AD85*AD14</f>
        <v>0</v>
      </c>
      <c r="AE87" s="11" t="n">
        <f aca="false">AE85*AE14</f>
        <v>0</v>
      </c>
      <c r="AF87" s="11" t="n">
        <f aca="false">AF85*AF14</f>
        <v>0</v>
      </c>
      <c r="AG87" s="11" t="n">
        <f aca="false">AG85*AG14</f>
        <v>0</v>
      </c>
      <c r="AH87" s="11" t="n">
        <f aca="false">AH85*AH14</f>
        <v>0</v>
      </c>
      <c r="AI87" s="11" t="n">
        <f aca="false">AI85*AI14</f>
        <v>0</v>
      </c>
      <c r="AJ87" s="11" t="n">
        <f aca="false">AJ85*AJ14</f>
        <v>0</v>
      </c>
      <c r="AK87" s="11" t="n">
        <f aca="false">AK85*AK14</f>
        <v>0</v>
      </c>
      <c r="AL87" s="11" t="n">
        <f aca="false">AL85*AL14</f>
        <v>0</v>
      </c>
      <c r="AM87" s="11" t="n">
        <f aca="false">AM85*AM14</f>
        <v>0</v>
      </c>
      <c r="AN87" s="11" t="n">
        <f aca="false">AN85*AN14</f>
        <v>0</v>
      </c>
      <c r="AO87" s="11" t="n">
        <f aca="false">AO85*AO14</f>
        <v>0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0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0</v>
      </c>
      <c r="Q88" s="11" t="n">
        <f aca="false">Time!Q30*(Q85-Q86)*Q19</f>
        <v>0</v>
      </c>
      <c r="R88" s="11" t="n">
        <f aca="false">Time!R30*(R85-R86)*R19</f>
        <v>0</v>
      </c>
      <c r="S88" s="11" t="n">
        <f aca="false">Time!S30*(S85-S86)*S19</f>
        <v>0</v>
      </c>
      <c r="T88" s="11" t="n">
        <f aca="false">Time!T30*(T85-T86)*T19</f>
        <v>0</v>
      </c>
      <c r="U88" s="11" t="n">
        <f aca="false">Time!U30*(U85-U86)*U19</f>
        <v>0</v>
      </c>
      <c r="V88" s="11" t="n">
        <f aca="false">Time!V30*(V85-V86)*V19</f>
        <v>0</v>
      </c>
      <c r="W88" s="11" t="n">
        <f aca="false">Time!W30*(W85-W86)*W19</f>
        <v>0</v>
      </c>
      <c r="X88" s="11" t="n">
        <f aca="false">Time!X30*(X85-X86)*X19</f>
        <v>0</v>
      </c>
      <c r="Y88" s="11" t="n">
        <f aca="false">Time!Y30*(Y85-Y86)*Y19</f>
        <v>0</v>
      </c>
      <c r="Z88" s="11" t="n">
        <f aca="false">Time!Z30*(Z85-Z86)*Z19</f>
        <v>0</v>
      </c>
      <c r="AA88" s="11" t="n">
        <f aca="false">Time!AA30*(AA85-AA86)*AA19</f>
        <v>0</v>
      </c>
      <c r="AB88" s="11" t="n">
        <f aca="false">Time!AB30*(AB85-AB86)*AB19</f>
        <v>0</v>
      </c>
      <c r="AC88" s="11" t="n">
        <f aca="false">Time!AC30*(AC85-AC86)*AC19</f>
        <v>0</v>
      </c>
      <c r="AD88" s="11" t="n">
        <f aca="false">Time!AD30*(AD85-AD86)*AD19</f>
        <v>0</v>
      </c>
      <c r="AE88" s="11" t="n">
        <f aca="false">Time!AE30*(AE85-AE86)*AE19</f>
        <v>0</v>
      </c>
      <c r="AF88" s="11" t="n">
        <f aca="false">Time!AF30*(AF85-AF86)*AF19</f>
        <v>0</v>
      </c>
      <c r="AG88" s="11" t="n">
        <f aca="false">Time!AG30*(AG85-AG86)*AG19</f>
        <v>0</v>
      </c>
      <c r="AH88" s="11" t="n">
        <f aca="false">Time!AH30*(AH85-AH86)*AH19</f>
        <v>0</v>
      </c>
      <c r="AI88" s="11" t="n">
        <f aca="false">Time!AI30*(AI85-AI86)*AI19</f>
        <v>0</v>
      </c>
      <c r="AJ88" s="11" t="n">
        <f aca="false">Time!AJ30*(AJ85-AJ86)*AJ19</f>
        <v>0</v>
      </c>
      <c r="AK88" s="11" t="n">
        <f aca="false">Time!AK30*(AK85-AK86)*AK19</f>
        <v>0</v>
      </c>
      <c r="AL88" s="11" t="n">
        <f aca="false">Time!AL30*(AL85-AL86)*AL19</f>
        <v>0</v>
      </c>
      <c r="AM88" s="11" t="n">
        <f aca="false">Time!AM30*(AM85-AM86)*AM19</f>
        <v>0</v>
      </c>
      <c r="AN88" s="11" t="n">
        <f aca="false">Time!AN30*(AN85-AN86)*AN19</f>
        <v>0</v>
      </c>
      <c r="AO88" s="11" t="n">
        <f aca="false">Time!AO30*(AO85-AO86)*AO19</f>
        <v>0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0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0</v>
      </c>
      <c r="Q92" s="11" t="n">
        <f aca="false">Q88-Q89+Q91</f>
        <v>0</v>
      </c>
      <c r="R92" s="11" t="n">
        <f aca="false">R88-R89+R91</f>
        <v>0</v>
      </c>
      <c r="S92" s="11" t="n">
        <f aca="false">S88-S89+S91</f>
        <v>0</v>
      </c>
      <c r="T92" s="11" t="n">
        <f aca="false">T88-T89+T91</f>
        <v>0</v>
      </c>
      <c r="U92" s="11" t="n">
        <f aca="false">U88-U89+U91</f>
        <v>0</v>
      </c>
      <c r="V92" s="11" t="n">
        <f aca="false">V88-V89+V91</f>
        <v>0</v>
      </c>
      <c r="W92" s="11" t="n">
        <f aca="false">W88-W89+W91</f>
        <v>0</v>
      </c>
      <c r="X92" s="11" t="n">
        <f aca="false">X88-X89+X91</f>
        <v>0</v>
      </c>
      <c r="Y92" s="11" t="n">
        <f aca="false">Y88-Y89+Y91</f>
        <v>0</v>
      </c>
      <c r="Z92" s="11" t="n">
        <f aca="false">Z88-Z89+Z91</f>
        <v>0</v>
      </c>
      <c r="AA92" s="11" t="n">
        <f aca="false">AA88-AA89+AA91</f>
        <v>0</v>
      </c>
      <c r="AB92" s="11" t="n">
        <f aca="false">AB88-AB89+AB91</f>
        <v>0</v>
      </c>
      <c r="AC92" s="11" t="n">
        <f aca="false">AC88-AC89+AC91</f>
        <v>0</v>
      </c>
      <c r="AD92" s="11" t="n">
        <f aca="false">AD88-AD89+AD91</f>
        <v>0</v>
      </c>
      <c r="AE92" s="11" t="n">
        <f aca="false">AE88-AE89+AE91</f>
        <v>0</v>
      </c>
      <c r="AF92" s="11" t="n">
        <f aca="false">AF88-AF89+AF91</f>
        <v>0</v>
      </c>
      <c r="AG92" s="11" t="n">
        <f aca="false">AG88-AG89+AG91</f>
        <v>0</v>
      </c>
      <c r="AH92" s="11" t="n">
        <f aca="false">AH88-AH89+AH91</f>
        <v>0</v>
      </c>
      <c r="AI92" s="11" t="n">
        <f aca="false">AI88-AI89+AI91</f>
        <v>0</v>
      </c>
      <c r="AJ92" s="11" t="n">
        <f aca="false">AJ88-AJ89+AJ91</f>
        <v>0</v>
      </c>
      <c r="AK92" s="11" t="n">
        <f aca="false">AK88-AK89+AK91</f>
        <v>0</v>
      </c>
      <c r="AL92" s="11" t="n">
        <f aca="false">AL88-AL89+AL91</f>
        <v>0</v>
      </c>
      <c r="AM92" s="11" t="n">
        <f aca="false">AM88-AM89+AM91</f>
        <v>0</v>
      </c>
      <c r="AN92" s="11" t="n">
        <f aca="false">AN88-AN89+AN91</f>
        <v>0</v>
      </c>
      <c r="AO92" s="11" t="n">
        <f aca="false">AO88-AO89+AO91</f>
        <v>0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0</v>
      </c>
      <c r="Q96" s="11" t="n">
        <f aca="false">Q85-Q92-Q93-Q94</f>
        <v>0</v>
      </c>
      <c r="R96" s="11" t="n">
        <f aca="false">R85-R92-R93-R94</f>
        <v>0</v>
      </c>
      <c r="S96" s="11" t="n">
        <f aca="false">S85-S92-S93-S94</f>
        <v>0</v>
      </c>
      <c r="T96" s="11" t="n">
        <f aca="false">T85-T92-T93-T94</f>
        <v>0</v>
      </c>
      <c r="U96" s="11" t="n">
        <f aca="false">U85-U92-U93-U94</f>
        <v>0</v>
      </c>
      <c r="V96" s="11" t="n">
        <f aca="false">V85-V92-V93-V94</f>
        <v>0</v>
      </c>
      <c r="W96" s="11" t="n">
        <f aca="false">W85-W92-W93-W94</f>
        <v>0</v>
      </c>
      <c r="X96" s="11" t="n">
        <f aca="false">X85-X92-X93-X94</f>
        <v>0</v>
      </c>
      <c r="Y96" s="11" t="n">
        <f aca="false">Y85-Y92-Y93-Y94</f>
        <v>0</v>
      </c>
      <c r="Z96" s="11" t="n">
        <f aca="false">Z85-Z92-Z93-Z94</f>
        <v>0</v>
      </c>
      <c r="AA96" s="11" t="n">
        <f aca="false">AA85-AA92-AA93-AA94</f>
        <v>0</v>
      </c>
      <c r="AB96" s="11" t="n">
        <f aca="false">AB85-AB92-AB93-AB94</f>
        <v>0</v>
      </c>
      <c r="AC96" s="11" t="n">
        <f aca="false">AC85-AC92-AC93-AC94</f>
        <v>0</v>
      </c>
      <c r="AD96" s="11" t="n">
        <f aca="false">AD85-AD92-AD93-AD94</f>
        <v>0</v>
      </c>
      <c r="AE96" s="11" t="n">
        <f aca="false">AE85-AE92-AE93-AE94</f>
        <v>0</v>
      </c>
      <c r="AF96" s="11" t="n">
        <f aca="false">AF85-AF92-AF93-AF94</f>
        <v>0</v>
      </c>
      <c r="AG96" s="11" t="n">
        <f aca="false">AG85-AG92-AG93-AG94</f>
        <v>0</v>
      </c>
      <c r="AH96" s="11" t="n">
        <f aca="false">AH85-AH92-AH93-AH94</f>
        <v>0</v>
      </c>
      <c r="AI96" s="11" t="n">
        <f aca="false">AI85-AI92-AI93-AI94</f>
        <v>0</v>
      </c>
      <c r="AJ96" s="11" t="n">
        <f aca="false">AJ85-AJ92-AJ93-AJ94</f>
        <v>0</v>
      </c>
      <c r="AK96" s="11" t="n">
        <f aca="false">AK85-AK92-AK93-AK94</f>
        <v>0</v>
      </c>
      <c r="AL96" s="11" t="n">
        <f aca="false">AL85-AL92-AL93-AL94</f>
        <v>0</v>
      </c>
      <c r="AM96" s="11" t="n">
        <f aca="false">AM85-AM92-AM93-AM94</f>
        <v>0</v>
      </c>
      <c r="AN96" s="11" t="n">
        <f aca="false">AN85-AN92-AN93-AN94</f>
        <v>0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0</v>
      </c>
      <c r="P98" s="11" t="n">
        <f aca="false">IF(Time!P29=1,INDEX(Funding!$J$65:$BJ$65,1,Time!$F$13),Time!P30*(P96-P97))</f>
        <v>0</v>
      </c>
      <c r="Q98" s="11" t="n">
        <f aca="false">IF(Time!Q29=1,INDEX(Funding!$J$65:$BJ$65,1,Time!$F$13),Time!Q30*(Q96-Q97))</f>
        <v>0</v>
      </c>
      <c r="R98" s="11" t="n">
        <f aca="false">IF(Time!R29=1,INDEX(Funding!$J$65:$BJ$65,1,Time!$F$13),Time!R30*(R96-R97))</f>
        <v>0</v>
      </c>
      <c r="S98" s="11" t="n">
        <f aca="false">IF(Time!S29=1,INDEX(Funding!$J$65:$BJ$65,1,Time!$F$13),Time!S30*(S96-S97))</f>
        <v>0</v>
      </c>
      <c r="T98" s="11" t="n">
        <f aca="false">IF(Time!T29=1,INDEX(Funding!$J$65:$BJ$65,1,Time!$F$13),Time!T30*(T96-T97))</f>
        <v>0</v>
      </c>
      <c r="U98" s="11" t="n">
        <f aca="false">IF(Time!U29=1,INDEX(Funding!$J$65:$BJ$65,1,Time!$F$13),Time!U30*(U96-U97))</f>
        <v>0</v>
      </c>
      <c r="V98" s="11" t="n">
        <f aca="false">IF(Time!V29=1,INDEX(Funding!$J$65:$BJ$65,1,Time!$F$13),Time!V30*(V96-V97))</f>
        <v>0</v>
      </c>
      <c r="W98" s="11" t="n">
        <f aca="false">IF(Time!W29=1,INDEX(Funding!$J$65:$BJ$65,1,Time!$F$13),Time!W30*(W96-W97))</f>
        <v>0</v>
      </c>
      <c r="X98" s="11" t="n">
        <f aca="false">IF(Time!X29=1,INDEX(Funding!$J$65:$BJ$65,1,Time!$F$13),Time!X30*(X96-X97))</f>
        <v>0</v>
      </c>
      <c r="Y98" s="11" t="n">
        <f aca="false">IF(Time!Y29=1,INDEX(Funding!$J$65:$BJ$65,1,Time!$F$13),Time!Y30*(Y96-Y97))</f>
        <v>0</v>
      </c>
      <c r="Z98" s="11" t="n">
        <f aca="false">IF(Time!Z29=1,INDEX(Funding!$J$65:$BJ$65,1,Time!$F$13),Time!Z30*(Z96-Z97))</f>
        <v>0</v>
      </c>
      <c r="AA98" s="11" t="n">
        <f aca="false">IF(Time!AA29=1,INDEX(Funding!$J$65:$BJ$65,1,Time!$F$13),Time!AA30*(AA96-AA97))</f>
        <v>0</v>
      </c>
      <c r="AB98" s="11" t="n">
        <f aca="false">IF(Time!AB29=1,INDEX(Funding!$J$65:$BJ$65,1,Time!$F$13),Time!AB30*(AB96-AB97))</f>
        <v>0</v>
      </c>
      <c r="AC98" s="11" t="n">
        <f aca="false">IF(Time!AC29=1,INDEX(Funding!$J$65:$BJ$65,1,Time!$F$13),Time!AC30*(AC96-AC97))</f>
        <v>0</v>
      </c>
      <c r="AD98" s="11" t="n">
        <f aca="false">IF(Time!AD29=1,INDEX(Funding!$J$65:$BJ$65,1,Time!$F$13),Time!AD30*(AD96-AD97))</f>
        <v>0</v>
      </c>
      <c r="AE98" s="11" t="n">
        <f aca="false">IF(Time!AE29=1,INDEX(Funding!$J$65:$BJ$65,1,Time!$F$13),Time!AE30*(AE96-AE97))</f>
        <v>0</v>
      </c>
      <c r="AF98" s="11" t="n">
        <f aca="false">IF(Time!AF29=1,INDEX(Funding!$J$65:$BJ$65,1,Time!$F$13),Time!AF30*(AF96-AF97))</f>
        <v>0</v>
      </c>
      <c r="AG98" s="11" t="n">
        <f aca="false">IF(Time!AG29=1,INDEX(Funding!$J$65:$BJ$65,1,Time!$F$13),Time!AG30*(AG96-AG97))</f>
        <v>0</v>
      </c>
      <c r="AH98" s="11" t="n">
        <f aca="false">IF(Time!AH29=1,INDEX(Funding!$J$65:$BJ$65,1,Time!$F$13),Time!AH30*(AH96-AH97))</f>
        <v>0</v>
      </c>
      <c r="AI98" s="11" t="n">
        <f aca="false">IF(Time!AI29=1,INDEX(Funding!$J$65:$BJ$65,1,Time!$F$13),Time!AI30*(AI96-AI97))</f>
        <v>0</v>
      </c>
      <c r="AJ98" s="11" t="n">
        <f aca="false">IF(Time!AJ29=1,INDEX(Funding!$J$65:$BJ$65,1,Time!$F$13),Time!AJ30*(AJ96-AJ97))</f>
        <v>0</v>
      </c>
      <c r="AK98" s="11" t="n">
        <f aca="false">IF(Time!AK29=1,INDEX(Funding!$J$65:$BJ$65,1,Time!$F$13),Time!AK30*(AK96-AK97))</f>
        <v>0</v>
      </c>
      <c r="AL98" s="11" t="n">
        <f aca="false">IF(Time!AL29=1,INDEX(Funding!$J$65:$BJ$65,1,Time!$F$13),Time!AL30*(AL96-AL97))</f>
        <v>0</v>
      </c>
      <c r="AM98" s="11" t="n">
        <f aca="false">IF(Time!AM29=1,INDEX(Funding!$J$65:$BJ$65,1,Time!$F$13),Time!AM30*(AM96-AM97))</f>
        <v>0</v>
      </c>
      <c r="AN98" s="11" t="n">
        <f aca="false">IF(Time!AN29=1,INDEX(Funding!$J$65:$BJ$65,1,Time!$F$13),Time!AN30*(AN96-AN97))</f>
        <v>0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IF(Time!J17&gt;15,(1+Inputs!$F$199/200)^-(Time!J17-15),0)</f>
        <v>0</v>
      </c>
      <c r="K106" s="10" t="n">
        <f aca="false">IF(Time!K17&gt;15,(1+Inputs!$F$199/200)^-(Time!K17-15),0)</f>
        <v>0</v>
      </c>
      <c r="L106" s="10" t="n">
        <f aca="false">IF(Time!L17&gt;15,(1+Inputs!$F$199/200)^-(Time!L17-15),0)</f>
        <v>0</v>
      </c>
      <c r="M106" s="10" t="n">
        <f aca="false">IF(Time!M17&gt;15,(1+Inputs!$F$199/200)^-(Time!M17-15),0)</f>
        <v>0</v>
      </c>
      <c r="N106" s="10" t="n">
        <f aca="false">IF(Time!N17&gt;15,(1+Inputs!$F$199/200)^-(Time!N17-15),0)</f>
        <v>0</v>
      </c>
      <c r="O106" s="10" t="n">
        <f aca="false">IF(Time!O17&gt;15,(1+Inputs!$F$199/200)^-(Time!O17-15),0)</f>
        <v>0</v>
      </c>
      <c r="P106" s="10" t="n">
        <f aca="false">IF(Time!P17&gt;15,(1+Inputs!$F$199/200)^-(Time!P17-15),0)</f>
        <v>0</v>
      </c>
      <c r="Q106" s="10" t="n">
        <f aca="false">IF(Time!Q17&gt;15,(1+Inputs!$F$199/200)^-(Time!Q17-15),0)</f>
        <v>0</v>
      </c>
      <c r="R106" s="10" t="n">
        <f aca="false">IF(Time!R17&gt;15,(1+Inputs!$F$199/200)^-(Time!R17-15),0)</f>
        <v>0</v>
      </c>
      <c r="S106" s="10" t="n">
        <f aca="false">IF(Time!S17&gt;15,(1+Inputs!$F$199/200)^-(Time!S17-15),0)</f>
        <v>0</v>
      </c>
      <c r="T106" s="10" t="n">
        <f aca="false">IF(Time!T17&gt;15,(1+Inputs!$F$199/200)^-(Time!T17-15),0)</f>
        <v>0</v>
      </c>
      <c r="U106" s="10" t="n">
        <f aca="false">IF(Time!U17&gt;15,(1+Inputs!$F$199/200)^-(Time!U17-15),0)</f>
        <v>0</v>
      </c>
      <c r="V106" s="10" t="n">
        <f aca="false">IF(Time!V17&gt;15,(1+Inputs!$F$199/200)^-(Time!V17-15),0)</f>
        <v>0</v>
      </c>
      <c r="W106" s="10" t="n">
        <f aca="false">IF(Time!W17&gt;15,(1+Inputs!$F$199/200)^-(Time!W17-15),0)</f>
        <v>0</v>
      </c>
      <c r="X106" s="10" t="n">
        <f aca="false">IF(Time!X17&gt;15,(1+Inputs!$F$199/200)^-(Time!X17-15),0)</f>
        <v>0</v>
      </c>
      <c r="Y106" s="10" t="n">
        <f aca="false">IF(Time!Y17&gt;15,(1+Inputs!$F$199/200)^-(Time!Y17-15),0)</f>
        <v>0.981932443047918</v>
      </c>
      <c r="Z106" s="10" t="n">
        <f aca="false">IF(Time!Z17&gt;15,(1+Inputs!$F$199/200)^-(Time!Z17-15),0)</f>
        <v>0.964191322710053</v>
      </c>
      <c r="AA106" s="10" t="n">
        <f aca="false">IF(Time!AA17&gt;15,(1+Inputs!$F$199/200)^-(Time!AA17-15),0)</f>
        <v>0.946770741074287</v>
      </c>
      <c r="AB106" s="10" t="n">
        <f aca="false">IF(Time!AB17&gt;15,(1+Inputs!$F$199/200)^-(Time!AB17-15),0)</f>
        <v>0.929664906789362</v>
      </c>
      <c r="AC106" s="10" t="n">
        <f aca="false">IF(Time!AC17&gt;15,(1+Inputs!$F$199/200)^-(Time!AC17-15),0)</f>
        <v>0.912868133139594</v>
      </c>
      <c r="AD106" s="10" t="n">
        <f aca="false">IF(Time!AD17&gt;15,(1+Inputs!$F$199/200)^-(Time!AD17-15),0)</f>
        <v>0.896374836154354</v>
      </c>
      <c r="AE106" s="10" t="n">
        <f aca="false">IF(Time!AE17&gt;15,(1+Inputs!$F$199/200)^-(Time!AE17-15),0)</f>
        <v>0.880179532751722</v>
      </c>
      <c r="AF106" s="10" t="n">
        <f aca="false">IF(Time!AF17&gt;15,(1+Inputs!$F$199/200)^-(Time!AF17-15),0)</f>
        <v>0.864276838915674</v>
      </c>
      <c r="AG106" s="10" t="n">
        <f aca="false">IF(Time!AG17&gt;15,(1+Inputs!$F$199/200)^-(Time!AG17-15),0)</f>
        <v>0.8486614679062</v>
      </c>
      <c r="AH106" s="10" t="n">
        <f aca="false">IF(Time!AH17&gt;15,(1+Inputs!$F$199/200)^-(Time!AH17-15),0)</f>
        <v>0.833328228501767</v>
      </c>
      <c r="AI106" s="10" t="n">
        <f aca="false">IF(Time!AI17&gt;15,(1+Inputs!$F$199/200)^-(Time!AI17-15),0)</f>
        <v>0.818272023273534</v>
      </c>
      <c r="AJ106" s="10" t="n">
        <f aca="false">IF(Time!AJ17&gt;15,(1+Inputs!$F$199/200)^-(Time!AJ17-15),0)</f>
        <v>0.803487846890745</v>
      </c>
      <c r="AK106" s="10" t="n">
        <f aca="false">IF(Time!AK17&gt;15,(1+Inputs!$F$199/200)^-(Time!AK17-15),0)</f>
        <v>0.78897078445674</v>
      </c>
      <c r="AL106" s="10" t="n">
        <f aca="false">IF(Time!AL17&gt;15,(1+Inputs!$F$199/200)^-(Time!AL17-15),0)</f>
        <v>0.77471600987504</v>
      </c>
      <c r="AM106" s="10" t="n">
        <f aca="false">IF(Time!AM17&gt;15,(1+Inputs!$F$199/200)^-(Time!AM17-15),0)</f>
        <v>0.760718784244933</v>
      </c>
      <c r="AN106" s="10" t="n">
        <f aca="false">IF(Time!AN17&gt;15,(1+Inputs!$F$199/200)^-(Time!AN17-15),0)</f>
        <v>0.746974454286069</v>
      </c>
      <c r="AO106" s="10" t="n">
        <f aca="false">IF(Time!AO17&gt;15,(1+Inputs!$F$199/200)^-(Time!AO17-15),0)</f>
        <v>0.733478450791506</v>
      </c>
      <c r="AP106" s="10" t="n">
        <f aca="false">IF(Time!AP17&gt;15,(1+Inputs!$F$199/200)^-(Time!AP17-15),0)</f>
        <v>0.720226287108706</v>
      </c>
      <c r="AQ106" s="10" t="n">
        <f aca="false">IF(Time!AQ17&gt;15,(1+Inputs!$F$199/200)^-(Time!AQ17-15),0)</f>
        <v>0.707213557647983</v>
      </c>
      <c r="AR106" s="10" t="n">
        <f aca="false">IF(Time!AR17&gt;15,(1+Inputs!$F$199/200)^-(Time!AR17-15),0)</f>
        <v>0.694435936417893</v>
      </c>
      <c r="AS106" s="10" t="n">
        <f aca="false">IF(Time!AS17&gt;15,(1+Inputs!$F$199/200)^-(Time!AS17-15),0)</f>
        <v>0.681889175587091</v>
      </c>
      <c r="AT106" s="10" t="n">
        <f aca="false">IF(Time!AT17&gt;15,(1+Inputs!$F$199/200)^-(Time!AT17-15),0)</f>
        <v>0.669569104072163</v>
      </c>
      <c r="AU106" s="10" t="n">
        <f aca="false">IF(Time!AU17&gt;15,(1+Inputs!$F$199/200)^-(Time!AU17-15),0)</f>
        <v>0.657471626150985</v>
      </c>
      <c r="AV106" s="10" t="n">
        <f aca="false">IF(Time!AV17&gt;15,(1+Inputs!$F$199/200)^-(Time!AV17-15),0)</f>
        <v>0.645592720101125</v>
      </c>
      <c r="AW106" s="10" t="n">
        <f aca="false">IF(Time!AW17&gt;15,(1+Inputs!$F$199/200)^-(Time!AW17-15),0)</f>
        <v>0.633928436862848</v>
      </c>
      <c r="AX106" s="10" t="n">
        <f aca="false">IF(Time!AX17&gt;15,(1+Inputs!$F$199/200)^-(Time!AX17-15),0)</f>
        <v>0.622474898726284</v>
      </c>
      <c r="AY106" s="10" t="n">
        <f aca="false">IF(Time!AY17&gt;15,(1+Inputs!$F$199/200)^-(Time!AY17-15),0)</f>
        <v>0.611228298042306</v>
      </c>
      <c r="AZ106" s="10" t="n">
        <f aca="false">IF(Time!AZ17&gt;15,(1+Inputs!$F$199/200)^-(Time!AZ17-15),0)</f>
        <v>0.600184895956703</v>
      </c>
      <c r="BA106" s="10" t="n">
        <f aca="false">IF(Time!BA17&gt;15,(1+Inputs!$F$199/200)^-(Time!BA17-15),0)</f>
        <v>0.589341021167226</v>
      </c>
      <c r="BB106" s="10" t="n">
        <f aca="false">IF(Time!BB17&gt;15,(1+Inputs!$F$199/200)^-(Time!BB17-15),0)</f>
        <v>0.578693068703089</v>
      </c>
      <c r="BC106" s="10" t="n">
        <f aca="false">IF(Time!BC17&gt;15,(1+Inputs!$F$199/200)^-(Time!BC17-15),0)</f>
        <v>0.568237498726521</v>
      </c>
      <c r="BD106" s="10" t="n">
        <f aca="false">IF(Time!BD17&gt;15,(1+Inputs!$F$199/200)^-(Time!BD17-15),0)</f>
        <v>0.557970835355971</v>
      </c>
      <c r="BE106" s="10" t="n">
        <f aca="false">IF(Time!BE17&gt;15,(1+Inputs!$F$199/200)^-(Time!BE17-15),0)</f>
        <v>0.547889665510577</v>
      </c>
      <c r="BF106" s="10" t="n">
        <f aca="false">IF(Time!BF17&gt;15,(1+Inputs!$F$199/200)^-(Time!BF17-15),0)</f>
        <v>0.537990637775507</v>
      </c>
      <c r="BG106" s="10" t="n">
        <f aca="false">IF(Time!BG17&gt;15,(1+Inputs!$F$199/200)^-(Time!BG17-15),0)</f>
        <v>0.528270461287812</v>
      </c>
      <c r="BH106" s="10" t="n">
        <f aca="false">IF(Time!BH17&gt;15,(1+Inputs!$F$199/200)^-(Time!BH17-15),0)</f>
        <v>0.518725904642391</v>
      </c>
      <c r="BI106" s="10" t="n">
        <f aca="false">IF(Time!BI17&gt;15,(1+Inputs!$F$199/200)^-(Time!BI17-15),0)</f>
        <v>0.509353794817745</v>
      </c>
      <c r="BJ106" s="10" t="n">
        <f aca="false">IF(Time!BJ17&gt;15,(1+Inputs!$F$199/200)^-(Time!BJ17-15),0)</f>
        <v>0.500151016121117</v>
      </c>
      <c r="BK106" s="10" t="n">
        <f aca="false">IF(Time!BK17&gt;15,(1+Inputs!$F$199/200)^-(Time!BK17-15),0)</f>
        <v>0.491114509152707</v>
      </c>
      <c r="BL106" s="10" t="n">
        <f aca="false">IF(Time!BL17&gt;15,(1+Inputs!$F$199/200)^-(Time!BL17-15),0)</f>
        <v>0.482241269788597</v>
      </c>
      <c r="BM106" s="10" t="n">
        <f aca="false">IF(Time!BM17&gt;15,(1+Inputs!$F$199/200)^-(Time!BM17-15),0)</f>
        <v>0.473528348182047</v>
      </c>
      <c r="BN106" s="10" t="n">
        <f aca="false">IF(Time!BN17&gt;15,(1+Inputs!$F$199/200)^-(Time!BN17-15),0)</f>
        <v>0.464972847782843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IF(AND(Inputs!$F$49=1,Time!J17&gt;15),Inputs!$F$201,1)</f>
        <v>1</v>
      </c>
      <c r="K113" s="11" t="n">
        <f aca="false">IF(AND(Inputs!$F$49=1,Time!K17&gt;15),Inputs!$F$201,1)</f>
        <v>1</v>
      </c>
      <c r="L113" s="11" t="n">
        <f aca="false">IF(AND(Inputs!$F$49=1,Time!L17&gt;15),Inputs!$F$201,1)</f>
        <v>1</v>
      </c>
      <c r="M113" s="11" t="n">
        <f aca="false">IF(AND(Inputs!$F$49=1,Time!M17&gt;15),Inputs!$F$201,1)</f>
        <v>1</v>
      </c>
      <c r="N113" s="11" t="n">
        <f aca="false">IF(AND(Inputs!$F$49=1,Time!N17&gt;15),Inputs!$F$201,1)</f>
        <v>1</v>
      </c>
      <c r="O113" s="11" t="n">
        <f aca="false">IF(AND(Inputs!$F$49=1,Time!O17&gt;15),Inputs!$F$201,1)</f>
        <v>1</v>
      </c>
      <c r="P113" s="11" t="n">
        <f aca="false">IF(AND(Inputs!$F$49=1,Time!P17&gt;15),Inputs!$F$201,1)</f>
        <v>1</v>
      </c>
      <c r="Q113" s="11" t="n">
        <f aca="false">IF(AND(Inputs!$F$49=1,Time!Q17&gt;15),Inputs!$F$201,1)</f>
        <v>1</v>
      </c>
      <c r="R113" s="11" t="n">
        <f aca="false">IF(AND(Inputs!$F$49=1,Time!R17&gt;15),Inputs!$F$201,1)</f>
        <v>1</v>
      </c>
      <c r="S113" s="11" t="n">
        <f aca="false">IF(AND(Inputs!$F$49=1,Time!S17&gt;15),Inputs!$F$201,1)</f>
        <v>1</v>
      </c>
      <c r="T113" s="11" t="n">
        <f aca="false">IF(AND(Inputs!$F$49=1,Time!T17&gt;15),Inputs!$F$201,1)</f>
        <v>1</v>
      </c>
      <c r="U113" s="11" t="n">
        <f aca="false">IF(AND(Inputs!$F$49=1,Time!U17&gt;15),Inputs!$F$201,1)</f>
        <v>1</v>
      </c>
      <c r="V113" s="11" t="n">
        <f aca="false">IF(AND(Inputs!$F$49=1,Time!V17&gt;15),Inputs!$F$201,1)</f>
        <v>1</v>
      </c>
      <c r="W113" s="11" t="n">
        <f aca="false">IF(AND(Inputs!$F$49=1,Time!W17&gt;15),Inputs!$F$201,1)</f>
        <v>1</v>
      </c>
      <c r="X113" s="11" t="n">
        <f aca="false">IF(AND(Inputs!$F$49=1,Time!X17&gt;15),Inputs!$F$201,1)</f>
        <v>1</v>
      </c>
      <c r="Y113" s="11" t="n">
        <f aca="false">IF(AND(Inputs!$F$49=1,Time!Y17&gt;15),Inputs!$F$201,1)</f>
        <v>1</v>
      </c>
      <c r="Z113" s="11" t="n">
        <f aca="false">IF(AND(Inputs!$F$49=1,Time!Z17&gt;15),Inputs!$F$201,1)</f>
        <v>1</v>
      </c>
      <c r="AA113" s="11" t="n">
        <f aca="false">IF(AND(Inputs!$F$49=1,Time!AA17&gt;15),Inputs!$F$201,1)</f>
        <v>1</v>
      </c>
      <c r="AB113" s="11" t="n">
        <f aca="false">IF(AND(Inputs!$F$49=1,Time!AB17&gt;15),Inputs!$F$201,1)</f>
        <v>1</v>
      </c>
      <c r="AC113" s="11" t="n">
        <f aca="false">IF(AND(Inputs!$F$49=1,Time!AC17&gt;15),Inputs!$F$201,1)</f>
        <v>1</v>
      </c>
      <c r="AD113" s="11" t="n">
        <f aca="false">IF(AND(Inputs!$F$49=1,Time!AD17&gt;15),Inputs!$F$201,1)</f>
        <v>1</v>
      </c>
      <c r="AE113" s="11" t="n">
        <f aca="false">IF(AND(Inputs!$F$49=1,Time!AE17&gt;15),Inputs!$F$201,1)</f>
        <v>1</v>
      </c>
      <c r="AF113" s="11" t="n">
        <f aca="false">IF(AND(Inputs!$F$49=1,Time!AF17&gt;15),Inputs!$F$201,1)</f>
        <v>1</v>
      </c>
      <c r="AG113" s="11" t="n">
        <f aca="false">IF(AND(Inputs!$F$49=1,Time!AG17&gt;15),Inputs!$F$201,1)</f>
        <v>1</v>
      </c>
      <c r="AH113" s="11" t="n">
        <f aca="false">IF(AND(Inputs!$F$49=1,Time!AH17&gt;15),Inputs!$F$201,1)</f>
        <v>1</v>
      </c>
      <c r="AI113" s="11" t="n">
        <f aca="false">IF(AND(Inputs!$F$49=1,Time!AI17&gt;15),Inputs!$F$201,1)</f>
        <v>1</v>
      </c>
      <c r="AJ113" s="11" t="n">
        <f aca="false">IF(AND(Inputs!$F$49=1,Time!AJ17&gt;15),Inputs!$F$201,1)</f>
        <v>1</v>
      </c>
      <c r="AK113" s="11" t="n">
        <f aca="false">IF(AND(Inputs!$F$49=1,Time!AK17&gt;15),Inputs!$F$201,1)</f>
        <v>1</v>
      </c>
      <c r="AL113" s="11" t="n">
        <f aca="false">IF(AND(Inputs!$F$49=1,Time!AL17&gt;15),Inputs!$F$201,1)</f>
        <v>1</v>
      </c>
      <c r="AM113" s="11" t="n">
        <f aca="false">IF(AND(Inputs!$F$49=1,Time!AM17&gt;15),Inputs!$F$201,1)</f>
        <v>1</v>
      </c>
      <c r="AN113" s="11" t="n">
        <f aca="false">IF(AND(Inputs!$F$49=1,Time!AN17&gt;15),Inputs!$F$201,1)</f>
        <v>1</v>
      </c>
      <c r="AO113" s="11" t="n">
        <f aca="false">IF(AND(Inputs!$F$49=1,Time!AO17&gt;15),Inputs!$F$201,1)</f>
        <v>1</v>
      </c>
      <c r="AP113" s="11" t="n">
        <f aca="false">IF(AND(Inputs!$F$49=1,Time!AP17&gt;15),Inputs!$F$201,1)</f>
        <v>1</v>
      </c>
      <c r="AQ113" s="11" t="n">
        <f aca="false">IF(AND(Inputs!$F$49=1,Time!AQ17&gt;15),Inputs!$F$201,1)</f>
        <v>1</v>
      </c>
      <c r="AR113" s="11" t="n">
        <f aca="false">IF(AND(Inputs!$F$49=1,Time!AR17&gt;15),Inputs!$F$201,1)</f>
        <v>1</v>
      </c>
      <c r="AS113" s="11" t="n">
        <f aca="false">IF(AND(Inputs!$F$49=1,Time!AS17&gt;15),Inputs!$F$201,1)</f>
        <v>1</v>
      </c>
      <c r="AT113" s="11" t="n">
        <f aca="false">IF(AND(Inputs!$F$49=1,Time!AT17&gt;15),Inputs!$F$201,1)</f>
        <v>1</v>
      </c>
      <c r="AU113" s="11" t="n">
        <f aca="false">IF(AND(Inputs!$F$49=1,Time!AU17&gt;15),Inputs!$F$201,1)</f>
        <v>1</v>
      </c>
      <c r="AV113" s="11" t="n">
        <f aca="false">IF(AND(Inputs!$F$49=1,Time!AV17&gt;15),Inputs!$F$201,1)</f>
        <v>1</v>
      </c>
      <c r="AW113" s="11" t="n">
        <f aca="false">IF(AND(Inputs!$F$49=1,Time!AW17&gt;15),Inputs!$F$201,1)</f>
        <v>1</v>
      </c>
      <c r="AX113" s="11" t="n">
        <f aca="false">IF(AND(Inputs!$F$49=1,Time!AX17&gt;15),Inputs!$F$201,1)</f>
        <v>1</v>
      </c>
      <c r="AY113" s="11" t="n">
        <f aca="false">IF(AND(Inputs!$F$49=1,Time!AY17&gt;15),Inputs!$F$201,1)</f>
        <v>1</v>
      </c>
      <c r="AZ113" s="11" t="n">
        <f aca="false">IF(AND(Inputs!$F$49=1,Time!AZ17&gt;15),Inputs!$F$201,1)</f>
        <v>1</v>
      </c>
      <c r="BA113" s="11" t="n">
        <f aca="false">IF(AND(Inputs!$F$49=1,Time!BA17&gt;15),Inputs!$F$201,1)</f>
        <v>1</v>
      </c>
      <c r="BB113" s="11" t="n">
        <f aca="false">IF(AND(Inputs!$F$49=1,Time!BB17&gt;15),Inputs!$F$201,1)</f>
        <v>1</v>
      </c>
      <c r="BC113" s="11" t="n">
        <f aca="false">IF(AND(Inputs!$F$49=1,Time!BC17&gt;15),Inputs!$F$201,1)</f>
        <v>1</v>
      </c>
      <c r="BD113" s="11" t="n">
        <f aca="false">IF(AND(Inputs!$F$49=1,Time!BD17&gt;15),Inputs!$F$201,1)</f>
        <v>1</v>
      </c>
      <c r="BE113" s="11" t="n">
        <f aca="false">IF(AND(Inputs!$F$49=1,Time!BE17&gt;15),Inputs!$F$201,1)</f>
        <v>1</v>
      </c>
      <c r="BF113" s="11" t="n">
        <f aca="false">IF(AND(Inputs!$F$49=1,Time!BF17&gt;15),Inputs!$F$201,1)</f>
        <v>1</v>
      </c>
      <c r="BG113" s="11" t="n">
        <f aca="false">IF(AND(Inputs!$F$49=1,Time!BG17&gt;15),Inputs!$F$201,1)</f>
        <v>1</v>
      </c>
      <c r="BH113" s="11" t="n">
        <f aca="false">IF(AND(Inputs!$F$49=1,Time!BH17&gt;15),Inputs!$F$201,1)</f>
        <v>1</v>
      </c>
      <c r="BI113" s="11" t="n">
        <f aca="false">IF(AND(Inputs!$F$49=1,Time!BI17&gt;15),Inputs!$F$201,1)</f>
        <v>1</v>
      </c>
      <c r="BJ113" s="11" t="n">
        <f aca="false">IF(AND(Inputs!$F$49=1,Time!BJ17&gt;15),Inputs!$F$201,1)</f>
        <v>1</v>
      </c>
      <c r="BK113" s="11" t="n">
        <f aca="false">IF(AND(Inputs!$F$49=1,Time!BK17&gt;15),Inputs!$F$201,1)</f>
        <v>1</v>
      </c>
      <c r="BL113" s="11" t="n">
        <f aca="false">IF(AND(Inputs!$F$49=1,Time!BL17&gt;15),Inputs!$F$201,1)</f>
        <v>1</v>
      </c>
      <c r="BM113" s="11" t="n">
        <f aca="false">IF(AND(Inputs!$F$49=1,Time!BM17&gt;15),Inputs!$F$201,1)</f>
        <v>1</v>
      </c>
      <c r="BN113" s="11" t="n">
        <f aca="false">IF(AND(Inputs!$F$49=1,Time!BN17&gt;15),Inputs!$F$201,1)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-7.79804687742323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0</v>
      </c>
      <c r="M114" s="11" t="n">
        <f aca="false">Time!M30*Inputs!M222*M113*(Inputs!$F$95/100*0.5-Operations!M9/100*Time!M20/360)</f>
        <v>0</v>
      </c>
      <c r="N114" s="11" t="n">
        <f aca="false">Time!N30*Inputs!N222*N113*(Inputs!$F$95/100*0.5-Operations!N9/100*Time!N20/360)</f>
        <v>0</v>
      </c>
      <c r="O114" s="11" t="n">
        <f aca="false">Time!O30*Inputs!O222*O113*(Inputs!$F$95/100*0.5-Operations!O9/100*Time!O20/360)</f>
        <v>0</v>
      </c>
      <c r="P114" s="11" t="n">
        <f aca="false">Time!P30*Inputs!P222*P113*(Inputs!$F$95/100*0.5-Operations!P9/100*Time!P20/360)</f>
        <v>0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15.1587798908303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0</v>
      </c>
      <c r="Q115" s="11" t="n">
        <f aca="false">(Inputs!$F$93/100*Inputs!$F$94/100)*Q70*Time!Q20/365</f>
        <v>1.22539272446608</v>
      </c>
      <c r="R115" s="11" t="n">
        <f aca="false">(Inputs!$F$93/100*Inputs!$F$94/100)*R70*Time!R20/365</f>
        <v>1.17731109274397</v>
      </c>
      <c r="S115" s="11" t="n">
        <f aca="false">(Inputs!$F$93/100*Inputs!$F$94/100)*S70*Time!S20/365</f>
        <v>1.12574329127647</v>
      </c>
      <c r="T115" s="11" t="n">
        <f aca="false">(Inputs!$F$93/100*Inputs!$F$94/100)*T70*Time!T20/365</f>
        <v>1.11033399897641</v>
      </c>
      <c r="U115" s="11" t="n">
        <f aca="false">(Inputs!$F$93/100*Inputs!$F$94/100)*U70*Time!U20/365</f>
        <v>1.06298646083931</v>
      </c>
      <c r="V115" s="11" t="n">
        <f aca="false">(Inputs!$F$93/100*Inputs!$F$94/100)*V70*Time!V20/365</f>
        <v>1.03800844833088</v>
      </c>
      <c r="W115" s="11" t="n">
        <f aca="false">(Inputs!$F$93/100*Inputs!$F$94/100)*W70*Time!W20/365</f>
        <v>0.983372143528419</v>
      </c>
      <c r="X115" s="11" t="n">
        <f aca="false">(Inputs!$F$93/100*Inputs!$F$94/100)*X70*Time!X20/365</f>
        <v>0.959239220534389</v>
      </c>
      <c r="Y115" s="11" t="n">
        <f aca="false">(Inputs!$F$93/100*Inputs!$F$94/100)*Y70*Time!Y20/365</f>
        <v>0.902000868874721</v>
      </c>
      <c r="Z115" s="11" t="n">
        <f aca="false">(Inputs!$F$93/100*Inputs!$F$94/100)*Z70*Time!Z20/365</f>
        <v>0.877589307012647</v>
      </c>
      <c r="AA115" s="11" t="n">
        <f aca="false">(Inputs!$F$93/100*Inputs!$F$94/100)*AA70*Time!AA20/365</f>
        <v>0.822737497628687</v>
      </c>
      <c r="AB115" s="11" t="n">
        <f aca="false">(Inputs!$F$93/100*Inputs!$F$94/100)*AB70*Time!AB20/365</f>
        <v>0.762791796351259</v>
      </c>
      <c r="AC115" s="11" t="n">
        <f aca="false">(Inputs!$F$93/100*Inputs!$F$94/100)*AC70*Time!AC20/365</f>
        <v>0.675980422072249</v>
      </c>
      <c r="AD115" s="11" t="n">
        <f aca="false">(Inputs!$F$93/100*Inputs!$F$94/100)*AD70*Time!AD20/365</f>
        <v>0.604551472777768</v>
      </c>
      <c r="AE115" s="11" t="n">
        <f aca="false">(Inputs!$F$93/100*Inputs!$F$94/100)*AE70*Time!AE20/365</f>
        <v>0.516418397044379</v>
      </c>
      <c r="AF115" s="11" t="n">
        <f aca="false">(Inputs!$F$93/100*Inputs!$F$94/100)*AF70*Time!AF20/365</f>
        <v>0.440653414475625</v>
      </c>
      <c r="AG115" s="11" t="n">
        <f aca="false">(Inputs!$F$93/100*Inputs!$F$94/100)*AG70*Time!AG20/365</f>
        <v>0.345286519095533</v>
      </c>
      <c r="AH115" s="11" t="n">
        <f aca="false">(Inputs!$F$93/100*Inputs!$F$94/100)*AH70*Time!AH20/365</f>
        <v>0.264784824994088</v>
      </c>
      <c r="AI115" s="11" t="n">
        <f aca="false">(Inputs!$F$93/100*Inputs!$F$94/100)*AI70*Time!AI20/365</f>
        <v>0.172858597569242</v>
      </c>
      <c r="AJ115" s="11" t="n">
        <f aca="false">(Inputs!$F$93/100*Inputs!$F$94/100)*AJ70*Time!AJ20/365</f>
        <v>0.0890646416798191</v>
      </c>
      <c r="AK115" s="11" t="n">
        <f aca="false">(Inputs!$F$93/100*Inputs!$F$94/100)*AK70*Time!AK20/365</f>
        <v>0.00167475055830958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280.742611437861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0</v>
      </c>
      <c r="Q118" s="11" t="n">
        <f aca="false">Q27+Q42+Q57+Q72+Q87+Q101</f>
        <v>20.5976385874417</v>
      </c>
      <c r="R118" s="11" t="n">
        <f aca="false">R27+R42+R57+R72+R87+R101</f>
        <v>19.7894339579111</v>
      </c>
      <c r="S118" s="11" t="n">
        <f aca="false">S27+S42+S57+S72+S87+S101</f>
        <v>18.9528761384566</v>
      </c>
      <c r="T118" s="11" t="n">
        <f aca="false">T27+T42+T57+T72+T87+T101</f>
        <v>18.6934471810669</v>
      </c>
      <c r="U118" s="11" t="n">
        <f aca="false">U27+U42+U57+U72+U87+U101</f>
        <v>17.8963098294813</v>
      </c>
      <c r="V118" s="11" t="n">
        <f aca="false">V27+V42+V57+V72+V87+V101</f>
        <v>17.4757830709161</v>
      </c>
      <c r="W118" s="11" t="n">
        <f aca="false">W27+W42+W57+W72+W87+W101</f>
        <v>16.5559329366907</v>
      </c>
      <c r="X118" s="11" t="n">
        <f aca="false">X27+X42+X57+X72+X87+X101</f>
        <v>16.1496340016589</v>
      </c>
      <c r="Y118" s="11" t="n">
        <f aca="false">Y27+Y42+Y57+Y72+Y87+Y101</f>
        <v>15.6768664413258</v>
      </c>
      <c r="Z118" s="11" t="n">
        <f aca="false">Z27+Z42+Z57+Z72+Z87+Z101</f>
        <v>15.2525910241487</v>
      </c>
      <c r="AA118" s="11" t="n">
        <f aca="false">AA27+AA42+AA57+AA72+AA87+AA101</f>
        <v>14.2992610225378</v>
      </c>
      <c r="AB118" s="11" t="n">
        <f aca="false">AB27+AB42+AB57+AB72+AB87+AB101</f>
        <v>13.5403016711155</v>
      </c>
      <c r="AC118" s="11" t="n">
        <f aca="false">AC27+AC42+AC57+AC72+AC87+AC101</f>
        <v>12.3415859875143</v>
      </c>
      <c r="AD118" s="11" t="n">
        <f aca="false">AD27+AD42+AD57+AD72+AD87+AD101</f>
        <v>11.407346905665</v>
      </c>
      <c r="AE118" s="11" t="n">
        <f aca="false">AE27+AE42+AE57+AE72+AE87+AE101</f>
        <v>10.1439778874478</v>
      </c>
      <c r="AF118" s="11" t="n">
        <f aca="false">AF27+AF42+AF57+AF72+AF87+AF101</f>
        <v>9.14284677406593</v>
      </c>
      <c r="AG118" s="11" t="n">
        <f aca="false">AG27+AG42+AG57+AG72+AG87+AG101</f>
        <v>7.96316586370408</v>
      </c>
      <c r="AH118" s="11" t="n">
        <f aca="false">AH27+AH42+AH57+AH72+AH87+AH101</f>
        <v>6.83447720377761</v>
      </c>
      <c r="AI118" s="11" t="n">
        <f aca="false">AI27+AI42+AI57+AI72+AI87+AI101</f>
        <v>5.43311163859204</v>
      </c>
      <c r="AJ118" s="11" t="n">
        <f aca="false">AJ27+AJ42+AJ57+AJ72+AJ87+AJ101</f>
        <v>4.21740418432017</v>
      </c>
      <c r="AK118" s="11" t="n">
        <f aca="false">AK27+AK42+AK57+AK72+AK87+AK101</f>
        <v>2.84798027282411</v>
      </c>
      <c r="AL118" s="11" t="n">
        <f aca="false">AL27+AL42+AL57+AL72+AL87+AL101</f>
        <v>2.29131281750402</v>
      </c>
      <c r="AM118" s="11" t="n">
        <f aca="false">AM27+AM42+AM57+AM72+AM87+AM101</f>
        <v>1.66405563960075</v>
      </c>
      <c r="AN118" s="11" t="n">
        <f aca="false">AN27+AN42+AN57+AN72+AN87+AN101</f>
        <v>1.06429262304065</v>
      </c>
      <c r="AO118" s="11" t="n">
        <f aca="false">AO27+AO42+AO57+AO72+AO87+AO101</f>
        <v>0.510977777053142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288.103344451268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0</v>
      </c>
      <c r="Q119" s="11" t="n">
        <f aca="false">Q118+Q114+Q115+Q116</f>
        <v>21.3775531975475</v>
      </c>
      <c r="R119" s="11" t="n">
        <f aca="false">R118+R114+R115+R116</f>
        <v>20.408173381146</v>
      </c>
      <c r="S119" s="11" t="n">
        <f aca="false">S118+S114+S115+S116</f>
        <v>19.6334827270216</v>
      </c>
      <c r="T119" s="11" t="n">
        <f aca="false">T118+T114+T115+T116</f>
        <v>19.2539358999305</v>
      </c>
      <c r="U119" s="11" t="n">
        <f aca="false">U118+U114+U115+U116</f>
        <v>18.5032613994104</v>
      </c>
      <c r="V119" s="11" t="n">
        <f aca="false">V118+V114+V115+V116</f>
        <v>17.9998753162539</v>
      </c>
      <c r="W119" s="11" t="n">
        <f aca="false">W118+W114+W115+W116</f>
        <v>17.1509326606203</v>
      </c>
      <c r="X119" s="11" t="n">
        <f aca="false">X118+X114+X115+X116</f>
        <v>16.6344283110652</v>
      </c>
      <c r="Y119" s="11" t="n">
        <f aca="false">Y118+Y114+Y115+Y116</f>
        <v>16.221526385885</v>
      </c>
      <c r="Z119" s="11" t="n">
        <f aca="false">Z118+Z114+Z115+Z116</f>
        <v>15.6946979727911</v>
      </c>
      <c r="AA119" s="11" t="n">
        <f aca="false">AA118+AA114+AA115+AA116</f>
        <v>14.7959007811931</v>
      </c>
      <c r="AB119" s="11" t="n">
        <f aca="false">AB118+AB114+AB115+AB116</f>
        <v>13.9087895492203</v>
      </c>
      <c r="AC119" s="11" t="n">
        <f aca="false">AC118+AC114+AC115+AC116</f>
        <v>12.6984217498985</v>
      </c>
      <c r="AD119" s="11" t="n">
        <f aca="false">AD118+AD114+AD115+AD116</f>
        <v>11.6620856206133</v>
      </c>
      <c r="AE119" s="11" t="n">
        <f aca="false">AE118+AE114+AE115+AE116</f>
        <v>10.4050356520188</v>
      </c>
      <c r="AF119" s="11" t="n">
        <f aca="false">AF118+AF114+AF115+AF116</f>
        <v>9.28412115999534</v>
      </c>
      <c r="AG119" s="11" t="n">
        <f aca="false">AG118+AG114+AG115+AG116</f>
        <v>8.09424618338894</v>
      </c>
      <c r="AH119" s="11" t="n">
        <f aca="false">AH118+AH114+AH115+AH116</f>
        <v>6.85368167709317</v>
      </c>
      <c r="AI119" s="11" t="n">
        <f aca="false">AI118+AI114+AI115+AI116</f>
        <v>5.43547965273134</v>
      </c>
      <c r="AJ119" s="11" t="n">
        <f aca="false">AJ118+AJ114+AJ115+AJ116</f>
        <v>4.11874743602385</v>
      </c>
      <c r="AK119" s="11" t="n">
        <f aca="false">AK118+AK114+AK115+AK116</f>
        <v>2.71515174212342</v>
      </c>
      <c r="AL119" s="11" t="n">
        <f aca="false">AL118+AL114+AL115+AL116</f>
        <v>2.16611705824305</v>
      </c>
      <c r="AM119" s="11" t="n">
        <f aca="false">AM118+AM114+AM115+AM116</f>
        <v>1.59217511315024</v>
      </c>
      <c r="AN119" s="11" t="n">
        <f aca="false">AN118+AN114+AN115+AN116</f>
        <v>1.00715108262161</v>
      </c>
      <c r="AO119" s="11" t="n">
        <f aca="false">AO118+AO114+AO115+AO116</f>
        <v>0.488372741281517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516.67288702198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0</v>
      </c>
      <c r="Q120" s="11" t="n">
        <f aca="false">Q32+Q47+Q62+Q77+Q92+Q102</f>
        <v>16.010024065234</v>
      </c>
      <c r="R120" s="11" t="n">
        <f aca="false">R32+R47+R62+R77+R92+R102</f>
        <v>16.5984197291337</v>
      </c>
      <c r="S120" s="11" t="n">
        <f aca="false">S32+S47+S62+S77+S92+S102</f>
        <v>17.1829608205591</v>
      </c>
      <c r="T120" s="11" t="n">
        <f aca="false">T32+T47+T62+T77+T92+T102</f>
        <v>17.9891227058472</v>
      </c>
      <c r="U120" s="11" t="n">
        <f aca="false">U32+U47+U62+U77+U92+U102</f>
        <v>18.4898705198387</v>
      </c>
      <c r="V120" s="11" t="n">
        <f aca="false">V32+V47+V62+V77+V92+V102</f>
        <v>19.3362758740352</v>
      </c>
      <c r="W120" s="11" t="n">
        <f aca="false">W32+W47+W62+W77+W92+W102</f>
        <v>20.3927286276166</v>
      </c>
      <c r="X120" s="11" t="n">
        <f aca="false">X32+X47+X62+X77+X92+X102</f>
        <v>21.3289201055139</v>
      </c>
      <c r="Y120" s="11" t="n">
        <f aca="false">Y32+Y47+Y62+Y77+Y92+Y102</f>
        <v>19.8530220387671</v>
      </c>
      <c r="Z120" s="11" t="n">
        <f aca="false">Z32+Z47+Z62+Z77+Z92+Z102</f>
        <v>20.7878373628434</v>
      </c>
      <c r="AA120" s="11" t="n">
        <f aca="false">AA32+AA47+AA62+AA77+AA92+AA102</f>
        <v>21.218449663194</v>
      </c>
      <c r="AB120" s="11" t="n">
        <f aca="false">AB32+AB47+AB62+AB77+AB92+AB102</f>
        <v>21.916038527823</v>
      </c>
      <c r="AC120" s="11" t="n">
        <f aca="false">AC32+AC47+AC62+AC77+AC92+AC102</f>
        <v>22.1059452648782</v>
      </c>
      <c r="AD120" s="11" t="n">
        <f aca="false">AD32+AD47+AD62+AD77+AD92+AD102</f>
        <v>22.6716849292214</v>
      </c>
      <c r="AE120" s="11" t="n">
        <f aca="false">AE32+AE47+AE62+AE77+AE92+AE102</f>
        <v>23.9035066205447</v>
      </c>
      <c r="AF120" s="11" t="n">
        <f aca="false">AF32+AF47+AF62+AF77+AF92+AF102</f>
        <v>24.4469820216316</v>
      </c>
      <c r="AG120" s="11" t="n">
        <f aca="false">AG32+AG47+AG62+AG77+AG92+AG102</f>
        <v>23.6839290388481</v>
      </c>
      <c r="AH120" s="11" t="n">
        <f aca="false">AH32+AH47+AH62+AH77+AH92+AH102</f>
        <v>23.7681654220289</v>
      </c>
      <c r="AI120" s="11" t="n">
        <f aca="false">AI32+AI47+AI62+AI77+AI92+AI102</f>
        <v>22.9978000570597</v>
      </c>
      <c r="AJ120" s="11" t="n">
        <f aca="false">AJ32+AJ47+AJ62+AJ77+AJ92+AJ102</f>
        <v>22.1585605095247</v>
      </c>
      <c r="AK120" s="11" t="n">
        <f aca="false">AK32+AK47+AK62+AK77+AK92+AK102</f>
        <v>20.0180879280603</v>
      </c>
      <c r="AL120" s="11" t="n">
        <f aca="false">AL32+AL47+AL62+AL77+AL92+AL102</f>
        <v>20.8888478350207</v>
      </c>
      <c r="AM120" s="11" t="n">
        <f aca="false">AM32+AM47+AM62+AM77+AM92+AM102</f>
        <v>21.8526191012351</v>
      </c>
      <c r="AN120" s="11" t="n">
        <f aca="false">AN32+AN47+AN62+AN77+AN92+AN102</f>
        <v>18.9789054396331</v>
      </c>
      <c r="AO120" s="11" t="n">
        <f aca="false">AO32+AO47+AO62+AO77+AO92+AO102</f>
        <v>18.094182813888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804.776231473248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0</v>
      </c>
      <c r="Q121" s="11" t="n">
        <f aca="false">Q119+Q120</f>
        <v>37.3875772627815</v>
      </c>
      <c r="R121" s="11" t="n">
        <f aca="false">R119+R120</f>
        <v>37.0065931102797</v>
      </c>
      <c r="S121" s="11" t="n">
        <f aca="false">S119+S120</f>
        <v>36.8164435475807</v>
      </c>
      <c r="T121" s="11" t="n">
        <f aca="false">T119+T120</f>
        <v>37.2430586057777</v>
      </c>
      <c r="U121" s="11" t="n">
        <f aca="false">U119+U120</f>
        <v>36.993131919249</v>
      </c>
      <c r="V121" s="11" t="n">
        <f aca="false">V119+V120</f>
        <v>37.3361511902891</v>
      </c>
      <c r="W121" s="11" t="n">
        <f aca="false">W119+W120</f>
        <v>37.5436612882369</v>
      </c>
      <c r="X121" s="11" t="n">
        <f aca="false">X119+X120</f>
        <v>37.9633484165791</v>
      </c>
      <c r="Y121" s="11" t="n">
        <f aca="false">Y119+Y120</f>
        <v>36.0745484246521</v>
      </c>
      <c r="Z121" s="11" t="n">
        <f aca="false">Z119+Z120</f>
        <v>36.4825353356345</v>
      </c>
      <c r="AA121" s="11" t="n">
        <f aca="false">AA119+AA120</f>
        <v>36.0143504443871</v>
      </c>
      <c r="AB121" s="11" t="n">
        <f aca="false">AB119+AB120</f>
        <v>35.8248280770433</v>
      </c>
      <c r="AC121" s="11" t="n">
        <f aca="false">AC119+AC120</f>
        <v>34.8043670147767</v>
      </c>
      <c r="AD121" s="11" t="n">
        <f aca="false">AD119+AD120</f>
        <v>34.3337705498346</v>
      </c>
      <c r="AE121" s="11" t="n">
        <f aca="false">AE119+AE120</f>
        <v>34.3085422725634</v>
      </c>
      <c r="AF121" s="11" t="n">
        <f aca="false">AF119+AF120</f>
        <v>33.731103181627</v>
      </c>
      <c r="AG121" s="11" t="n">
        <f aca="false">AG119+AG120</f>
        <v>31.7781752222371</v>
      </c>
      <c r="AH121" s="11" t="n">
        <f aca="false">AH119+AH120</f>
        <v>30.6218470991221</v>
      </c>
      <c r="AI121" s="11" t="n">
        <f aca="false">AI119+AI120</f>
        <v>28.4332797097911</v>
      </c>
      <c r="AJ121" s="11" t="n">
        <f aca="false">AJ119+AJ120</f>
        <v>26.2773079455486</v>
      </c>
      <c r="AK121" s="11" t="n">
        <f aca="false">AK119+AK120</f>
        <v>22.7332396701838</v>
      </c>
      <c r="AL121" s="11" t="n">
        <f aca="false">AL119+AL120</f>
        <v>23.0549648932637</v>
      </c>
      <c r="AM121" s="11" t="n">
        <f aca="false">AM119+AM120</f>
        <v>23.4447942143853</v>
      </c>
      <c r="AN121" s="11" t="n">
        <f aca="false">AN119+AN120</f>
        <v>19.9860565222547</v>
      </c>
      <c r="AO121" s="11" t="n">
        <f aca="false">AO119+AO120</f>
        <v>18.5825555551695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0</v>
      </c>
      <c r="Q122" s="11" t="n">
        <f aca="false">Q25+Q40+Q55+Q70+Q85+Q100</f>
        <v>628.297947007569</v>
      </c>
      <c r="R122" s="11" t="n">
        <f aca="false">R25+R40+R55+R70+R85+R100</f>
        <v>593.802922942365</v>
      </c>
      <c r="S122" s="11" t="n">
        <f aca="false">S25+S40+S55+S70+S85+S100</f>
        <v>577.204503213231</v>
      </c>
      <c r="T122" s="11" t="n">
        <f aca="false">T25+T40+T55+T70+T85+T100</f>
        <v>560.021542392672</v>
      </c>
      <c r="U122" s="11" t="n">
        <f aca="false">U25+U40+U55+U70+U85+U100</f>
        <v>542.032419686825</v>
      </c>
      <c r="V122" s="11" t="n">
        <f aca="false">V25+V40+V55+V70+V85+V100</f>
        <v>523.542549166987</v>
      </c>
      <c r="W122" s="11" t="n">
        <f aca="false">W25+W40+W55+W70+W85+W100</f>
        <v>504.206273292951</v>
      </c>
      <c r="X122" s="11" t="n">
        <f aca="false">X25+X40+X55+X70+X85+X100</f>
        <v>483.813544665335</v>
      </c>
      <c r="Y122" s="11" t="n">
        <f aca="false">Y25+Y40+Y55+Y70+Y85+Y100</f>
        <v>462.484624559821</v>
      </c>
      <c r="Z122" s="11" t="n">
        <f aca="false">Z25+Z40+Z55+Z70+Z85+Z100</f>
        <v>442.631602521054</v>
      </c>
      <c r="AA122" s="11" t="n">
        <f aca="false">AA25+AA40+AA55+AA70+AA85+AA100</f>
        <v>421.84376515821</v>
      </c>
      <c r="AB122" s="11" t="n">
        <f aca="false">AB25+AB40+AB55+AB70+AB85+AB100</f>
        <v>394.585451156274</v>
      </c>
      <c r="AC122" s="11" t="n">
        <f aca="false">AC25+AC40+AC55+AC70+AC85+AC100</f>
        <v>365.574856902986</v>
      </c>
      <c r="AD122" s="11" t="n">
        <f aca="false">AD25+AD40+AD55+AD70+AD85+AD100</f>
        <v>336.275425250827</v>
      </c>
      <c r="AE122" s="11" t="n">
        <f aca="false">AE25+AE40+AE55+AE70+AE85+AE100</f>
        <v>306.164440398763</v>
      </c>
      <c r="AF122" s="11" t="n">
        <f aca="false">AF25+AF40+AF55+AF70+AF85+AF100</f>
        <v>273.95485623682</v>
      </c>
      <c r="AG122" s="11" t="n">
        <f aca="false">AG25+AG40+AG55+AG70+AG85+AG100</f>
        <v>239.863240057688</v>
      </c>
      <c r="AH122" s="11" t="n">
        <f aca="false">AH25+AH40+AH55+AH70+AH85+AH100</f>
        <v>206.296052106454</v>
      </c>
      <c r="AI122" s="11" t="n">
        <f aca="false">AI25+AI40+AI55+AI70+AI85+AI100</f>
        <v>171.30528956378</v>
      </c>
      <c r="AJ122" s="11" t="n">
        <f aca="false">AJ25+AJ40+AJ55+AJ70+AJ85+AJ100</f>
        <v>136.21977815679</v>
      </c>
      <c r="AK122" s="11" t="n">
        <f aca="false">AK25+AK40+AK55+AK70+AK85+AK100</f>
        <v>100.092254191466</v>
      </c>
      <c r="AL122" s="11" t="n">
        <f aca="false">AL25+AL40+AL55+AL70+AL85+AL100</f>
        <v>79.8145551897768</v>
      </c>
      <c r="AM122" s="11" t="n">
        <f aca="false">AM25+AM40+AM55+AM70+AM85+AM100</f>
        <v>58.9257073547562</v>
      </c>
      <c r="AN122" s="11" t="n">
        <f aca="false">AN25+AN40+AN55+AN70+AN85+AN100</f>
        <v>37.0730882535211</v>
      </c>
      <c r="AO122" s="11" t="n">
        <f aca="false">AO25+AO40+AO55+AO70+AO85+AO100</f>
        <v>18.094182813888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0</v>
      </c>
      <c r="P123" s="11" t="n">
        <f aca="false">P38+P53+P68+P83+P98+P104</f>
        <v>628.297947007569</v>
      </c>
      <c r="Q123" s="11" t="n">
        <f aca="false">Q38+Q53+Q68+Q83+Q98+Q104</f>
        <v>593.802922942365</v>
      </c>
      <c r="R123" s="11" t="n">
        <f aca="false">R38+R53+R68+R83+R98+R104</f>
        <v>577.204503213231</v>
      </c>
      <c r="S123" s="11" t="n">
        <f aca="false">S38+S53+S68+S83+S98+S104</f>
        <v>560.021542392672</v>
      </c>
      <c r="T123" s="11" t="n">
        <f aca="false">T38+T53+T68+T83+T98+T104</f>
        <v>542.032419686825</v>
      </c>
      <c r="U123" s="11" t="n">
        <f aca="false">U38+U53+U68+U83+U98+U104</f>
        <v>523.542549166987</v>
      </c>
      <c r="V123" s="11" t="n">
        <f aca="false">V38+V53+V68+V83+V98+V104</f>
        <v>504.206273292951</v>
      </c>
      <c r="W123" s="11" t="n">
        <f aca="false">W38+W53+W68+W83+W98+W104</f>
        <v>483.813544665335</v>
      </c>
      <c r="X123" s="11" t="n">
        <f aca="false">X38+X53+X68+X83+X98+X104</f>
        <v>462.484624559821</v>
      </c>
      <c r="Y123" s="11" t="n">
        <f aca="false">Y38+Y53+Y68+Y83+Y98+Y104</f>
        <v>442.631602521054</v>
      </c>
      <c r="Z123" s="11" t="n">
        <f aca="false">Z38+Z53+Z68+Z83+Z98+Z104</f>
        <v>421.84376515821</v>
      </c>
      <c r="AA123" s="11" t="n">
        <f aca="false">AA38+AA53+AA68+AA83+AA98+AA104</f>
        <v>394.585451156274</v>
      </c>
      <c r="AB123" s="11" t="n">
        <f aca="false">AB38+AB53+AB68+AB83+AB98+AB104</f>
        <v>365.574856902986</v>
      </c>
      <c r="AC123" s="11" t="n">
        <f aca="false">AC38+AC53+AC68+AC83+AC98+AC104</f>
        <v>336.275425250827</v>
      </c>
      <c r="AD123" s="11" t="n">
        <f aca="false">AD38+AD53+AD68+AD83+AD98+AD104</f>
        <v>306.164440398763</v>
      </c>
      <c r="AE123" s="11" t="n">
        <f aca="false">AE38+AE53+AE68+AE83+AE98+AE104</f>
        <v>273.95485623682</v>
      </c>
      <c r="AF123" s="11" t="n">
        <f aca="false">AF38+AF53+AF68+AF83+AF98+AF104</f>
        <v>239.863240057688</v>
      </c>
      <c r="AG123" s="11" t="n">
        <f aca="false">AG38+AG53+AG68+AG83+AG98+AG104</f>
        <v>206.296052106454</v>
      </c>
      <c r="AH123" s="11" t="n">
        <f aca="false">AH38+AH53+AH68+AH83+AH98+AH104</f>
        <v>171.30528956378</v>
      </c>
      <c r="AI123" s="11" t="n">
        <f aca="false">AI38+AI53+AI68+AI83+AI98+AI104</f>
        <v>136.21977815679</v>
      </c>
      <c r="AJ123" s="11" t="n">
        <f aca="false">AJ38+AJ53+AJ68+AJ83+AJ98+AJ104</f>
        <v>100.092254191466</v>
      </c>
      <c r="AK123" s="11" t="n">
        <f aca="false">AK38+AK53+AK68+AK83+AK98+AK104</f>
        <v>79.8145551897768</v>
      </c>
      <c r="AL123" s="11" t="n">
        <f aca="false">AL38+AL53+AL68+AL83+AL98+AL104</f>
        <v>58.9257073547562</v>
      </c>
      <c r="AM123" s="11" t="n">
        <f aca="false">AM38+AM53+AM68+AM83+AM98+AM104</f>
        <v>37.0730882535211</v>
      </c>
      <c r="AN123" s="11" t="n">
        <f aca="false">AN38+AN53+AN68+AN83+AN98+AN104</f>
        <v>18.094182813888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0</v>
      </c>
      <c r="P125" s="11" t="n">
        <f aca="false">IF(Time!P29=1,P83,P81)</f>
        <v>238.753219862876</v>
      </c>
      <c r="Q125" s="11" t="n">
        <f aca="false">IF(Time!Q29=1,Q83,Q81)</f>
        <v>225.645110718099</v>
      </c>
      <c r="R125" s="11" t="n">
        <f aca="false">IF(Time!R29=1,R83,R81)</f>
        <v>219.337711221028</v>
      </c>
      <c r="S125" s="11" t="n">
        <f aca="false">IF(Time!S29=1,S83,S81)</f>
        <v>212.808186109215</v>
      </c>
      <c r="T125" s="11" t="n">
        <f aca="false">IF(Time!T29=1,T83,T81)</f>
        <v>205.972319480994</v>
      </c>
      <c r="U125" s="11" t="n">
        <f aca="false">IF(Time!U29=1,U83,U81)</f>
        <v>198.946168683455</v>
      </c>
      <c r="V125" s="11" t="n">
        <f aca="false">IF(Time!V29=1,V83,V81)</f>
        <v>191.598383851321</v>
      </c>
      <c r="W125" s="11" t="n">
        <f aca="false">IF(Time!W29=1,W83,W81)</f>
        <v>183.849146972827</v>
      </c>
      <c r="X125" s="11" t="n">
        <f aca="false">IF(Time!X29=1,X83,X81)</f>
        <v>175.744157332732</v>
      </c>
      <c r="Y125" s="11" t="n">
        <f aca="false">IF(Time!Y29=1,Y83,Y81)</f>
        <v>168.200008958</v>
      </c>
      <c r="Z125" s="11" t="n">
        <f aca="false">IF(Time!Z29=1,Z83,Z81)</f>
        <v>160.30063076012</v>
      </c>
      <c r="AA125" s="11" t="n">
        <f aca="false">IF(Time!AA29=1,AA83,AA81)</f>
        <v>152.237619888106</v>
      </c>
      <c r="AB125" s="11" t="n">
        <f aca="false">IF(Time!AB29=1,AB83,AB81)</f>
        <v>138.077649666312</v>
      </c>
      <c r="AC125" s="11" t="n">
        <f aca="false">IF(Time!AC29=1,AC83,AC81)</f>
        <v>123.062677504632</v>
      </c>
      <c r="AD125" s="11" t="n">
        <f aca="false">IF(Time!AD29=1,AD83,AD81)</f>
        <v>108.057291713591</v>
      </c>
      <c r="AE125" s="11" t="n">
        <f aca="false">IF(Time!AE29=1,AE83,AE81)</f>
        <v>92.7623347791649</v>
      </c>
      <c r="AF125" s="11" t="n">
        <f aca="false">IF(Time!AF29=1,AF83,AF81)</f>
        <v>76.9196118551379</v>
      </c>
      <c r="AG125" s="11" t="n">
        <f aca="false">IF(Time!AG29=1,AG83,AG81)</f>
        <v>60.632293318415</v>
      </c>
      <c r="AH125" s="11" t="n">
        <f aca="false">IF(Time!AH29=1,AH83,AH81)</f>
        <v>44.9020420256403</v>
      </c>
      <c r="AI125" s="11" t="n">
        <f aca="false">IF(Time!AI29=1,AI83,AI81)</f>
        <v>29.1579666603353</v>
      </c>
      <c r="AJ125" s="11" t="n">
        <f aca="false">IF(Time!AJ29=1,AJ83,AJ81)</f>
        <v>14.293475827081</v>
      </c>
      <c r="AK125" s="11" t="n">
        <f aca="false">IF(Time!AK29=1,AK83,AK81)</f>
        <v>0.259611073628351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0</v>
      </c>
      <c r="P126" s="11" t="n">
        <f aca="false">IF(AND(Time!P17&gt;=Time!$F$11,Time!P17&lt;57),(IF(Time!P29=1,P38,P36)-P35)*Q19+IF(Time!P29=1,P38,P36)*Q10,0)</f>
        <v>9.0296722254146</v>
      </c>
      <c r="Q126" s="11" t="n">
        <f aca="false">IF(AND(Time!Q17&gt;=Time!$F$11,Time!Q17&lt;57),(IF(Time!Q29=1,Q38,Q36)-Q35)*R19+IF(Time!Q29=1,Q38,Q36)*R10,0)</f>
        <v>9.04034617443531</v>
      </c>
      <c r="R126" s="11" t="n">
        <f aca="false">IF(AND(Time!R17&gt;=Time!$F$11,Time!R17&lt;57),(IF(Time!R29=1,R38,R36)-R35)*S19+IF(Time!R29=1,R38,R36)*S10,0)</f>
        <v>9.04654530795714</v>
      </c>
      <c r="S126" s="11" t="n">
        <f aca="false">IF(AND(Time!S17&gt;=Time!$F$11,Time!S17&lt;57),(IF(Time!S29=1,S38,S36)-S35)*T19+IF(Time!S29=1,S38,S36)*T10,0)</f>
        <v>9.23512446331354</v>
      </c>
      <c r="T126" s="11" t="n">
        <f aca="false">IF(AND(Time!T17&gt;=Time!$F$11,Time!T17&lt;57),(IF(Time!T29=1,T38,T36)-T35)*U19+U22*MIN($F$30/4,T35)+IF(Time!T29=1,T38,T36)*U10,0)</f>
        <v>9.22166994521843</v>
      </c>
      <c r="U126" s="11" t="n">
        <f aca="false">IF(AND(Time!U17&gt;=Time!$F$11,Time!U17&lt;57),(IF(Time!U29=1,U38,U36)-U35)*V19+V22*MIN($F$30/4,U35)+IF(Time!U29=1,U38,U36)*V10,0)</f>
        <v>9.38924339420109</v>
      </c>
      <c r="V126" s="11" t="n">
        <f aca="false">IF(AND(Time!V17&gt;=Time!$F$11,Time!V17&lt;57),(IF(Time!V29=1,V38,V36)-V35)*W19+W22*MIN($F$30/4,V35)+IF(Time!V29=1,V38,V36)*W10,0)</f>
        <v>9.51730333439437</v>
      </c>
      <c r="W126" s="11" t="n">
        <f aca="false">IF(AND(Time!W17&gt;=Time!$F$11,Time!W17&lt;57),(IF(Time!W29=1,W38,W36)-W35)*X19+X22*MIN($F$30/4,W35)+IF(Time!W29=1,W38,W36)*X10,0)</f>
        <v>9.71473406679038</v>
      </c>
      <c r="X126" s="11" t="n">
        <f aca="false">IF(AND(Time!X17&gt;=Time!$F$11,Time!X17&lt;57),(IF(Time!X29=1,X38,X36)-X35)*Y19+IF(Time!X29=1,X38,X36)*Y10,0)</f>
        <v>9.07409357156858</v>
      </c>
      <c r="Y126" s="11" t="n">
        <f aca="false">IF(AND(Time!Y17&gt;=Time!$F$11,Time!Y17&lt;57),(IF(Time!Y29=1,Y38,Y36)-Y35)*Z19+IF(Time!Y29=1,Y38,Y36)*Z10,0)</f>
        <v>9.27014821253232</v>
      </c>
      <c r="Z126" s="11" t="n">
        <f aca="false">IF(AND(Time!Z17&gt;=Time!$F$11,Time!Z17&lt;57),(IF(Time!Z29=1,Z38,Z36)-Z35)*AA19+IF(Time!Z29=1,Z38,Z36)*AA10,0)</f>
        <v>9.20971102459614</v>
      </c>
      <c r="AA126" s="11" t="n">
        <f aca="false">IF(AND(Time!AA17&gt;=Time!$F$11,Time!AA17&lt;57),(IF(Time!AA29=1,AA38,AA36)-AA35)*AB19+IF(Time!AA29=1,AA38,AA36)*AB10,0)</f>
        <v>9.42133719213035</v>
      </c>
      <c r="AB126" s="11" t="n">
        <f aca="false">IF(AND(Time!AB17&gt;=Time!$F$11,Time!AB17&lt;57),(IF(Time!AB29=1,AB38,AB36)-AB35)*AC19+IF(Time!AB29=1,AB38,AB36)*AC10,0)</f>
        <v>9.42915081548595</v>
      </c>
      <c r="AC126" s="11" t="n">
        <f aca="false">IF(AND(Time!AC17&gt;=Time!$F$11,Time!AC17&lt;57),(IF(Time!AC29=1,AC38,AC36)-AC35)*AD19+IF(Time!AC29=1,AC38,AC36)*AD10,0)</f>
        <v>9.62677417159518</v>
      </c>
      <c r="AD126" s="11" t="n">
        <f aca="false">IF(AND(Time!AD17&gt;=Time!$F$11,Time!AD17&lt;57),(IF(Time!AD29=1,AD38,AD36)-AD35)*AE19+IF(Time!AD29=1,AD38,AD36)*AE10,0)</f>
        <v>10.0003232674448</v>
      </c>
      <c r="AE126" s="11" t="n">
        <f aca="false">IF(AND(Time!AE17&gt;=Time!$F$11,Time!AE17&lt;57),(IF(Time!AE29=1,AE38,AE36)-AE35)*AF19+IF(Time!AE29=1,AE38,AE36)*AF10,0)</f>
        <v>10.2772974020006</v>
      </c>
      <c r="AF126" s="11" t="n">
        <f aca="false">IF(AND(Time!AF17&gt;=Time!$F$11,Time!AF17&lt;57),(IF(Time!AF29=1,AF38,AF36)-AF35)*AG19+IF(Time!AF29=1,AF38,AF36)*AG10,0)</f>
        <v>10.1225913061043</v>
      </c>
      <c r="AG126" s="11" t="n">
        <f aca="false">IF(AND(Time!AG17&gt;=Time!$F$11,Time!AG17&lt;57),(IF(Time!AG29=1,AG38,AG36)-AG35)*AH19+IF(Time!AG29=1,AG38,AG36)*AH10,0)</f>
        <v>10.3910825351786</v>
      </c>
      <c r="AH126" s="11" t="n">
        <f aca="false">IF(AND(Time!AH17&gt;=Time!$F$11,Time!AH17&lt;57),(IF(Time!AH29=1,AH38,AH36)-AH35)*AI19+IF(Time!AH29=1,AH38,AH36)*AI10,0)</f>
        <v>10.4367812820493</v>
      </c>
      <c r="AI126" s="11" t="n">
        <f aca="false">IF(AND(Time!AI17&gt;=Time!$F$11,Time!AI17&lt;57),(IF(Time!AI29=1,AI38,AI36)-AI35)*AJ19+IF(Time!AI29=1,AI38,AI36)*AJ10,0)</f>
        <v>10.6954598991122</v>
      </c>
      <c r="AJ126" s="11" t="n">
        <f aca="false">IF(AND(Time!AJ17&gt;=Time!$F$11,Time!AJ17&lt;57),(IF(Time!AJ29=1,AJ38,AJ36)-AJ35)*AK19+IF(Time!AJ29=1,AJ38,AJ36)*AK10,0)</f>
        <v>10.7456957980518</v>
      </c>
      <c r="AK126" s="11" t="n">
        <f aca="false">IF(AND(Time!AK17&gt;=Time!$F$11,Time!AK17&lt;57),(IF(Time!AK29=1,AK38,AK36)-AK35)*AL19+IF(Time!AK29=1,AK38,AK36)*AL10,0)</f>
        <v>10.9898440512531</v>
      </c>
      <c r="AL126" s="11" t="n">
        <f aca="false">IF(AND(Time!AL17&gt;=Time!$F$11,Time!AL17&lt;57),(IF(Time!AL29=1,AL38,AL36)-AL35)*AM19+IF(Time!AL29=1,AL38,AL36)*AM10,0)</f>
        <v>11.2146412593276</v>
      </c>
      <c r="AM126" s="11" t="n">
        <f aca="false">IF(AND(Time!AM17&gt;=Time!$F$11,Time!AM17&lt;57),(IF(Time!AM29=1,AM38,AM36)-AM35)*AN19+IF(Time!AM29=1,AM38,AM36)*AN10,0)</f>
        <v>9.59317835287024</v>
      </c>
      <c r="AN126" s="11" t="n">
        <f aca="false">IF(AND(Time!AN17&gt;=Time!$F$11,Time!AN17&lt;57),(IF(Time!AN29=1,AN38,AN36)-AN35)*AO19+IF(Time!AN29=1,AN38,AN36)*AO10,0)</f>
        <v>8.95201669071506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0</v>
      </c>
      <c r="P127" s="11" t="n">
        <f aca="false">IF(AND(Time!P17&gt;=Time!$F$11,Time!P17&lt;57),(IF(Time!P29=1,P53,P51)-P50)*Q19+IF(Time!P29=1,P53,P51)*Q11,0)</f>
        <v>8.22018451459947</v>
      </c>
      <c r="Q127" s="11" t="n">
        <f aca="false">IF(AND(Time!Q17&gt;=Time!$F$11,Time!Q17&lt;57),(IF(Time!Q29=1,Q53,Q51)-Q50)*R19+IF(Time!Q29=1,Q53,Q51)*R11,0)</f>
        <v>8.16529350951995</v>
      </c>
      <c r="R127" s="11" t="n">
        <f aca="false">IF(AND(Time!R17&gt;=Time!$F$11,Time!R17&lt;57),(IF(Time!R29=1,R53,R51)-R50)*S19+IF(Time!R29=1,R53,R51)*S11,0)</f>
        <v>8.10257354892655</v>
      </c>
      <c r="S127" s="11" t="n">
        <f aca="false">IF(AND(Time!S17&gt;=Time!$F$11,Time!S17&lt;57),(IF(Time!S29=1,S53,S51)-S50)*T19+IF(Time!S29=1,S53,S51)*T11,0)</f>
        <v>8.22076476428903</v>
      </c>
      <c r="T127" s="11" t="n">
        <f aca="false">IF(AND(Time!T17&gt;=Time!$F$11,Time!T17&lt;57),(IF(Time!T29=1,T53,T51)-T50)*U19+U22*MIN($F$45/4,T50)+IF(Time!T29=1,T53,T51)*U11,0)</f>
        <v>8.14913711521016</v>
      </c>
      <c r="U127" s="11" t="n">
        <f aca="false">IF(AND(Time!U17&gt;=Time!$F$11,Time!U17&lt;57),(IF(Time!U29=1,U53,U51)-U50)*V19+V22*MIN($F$45/4,U50)+IF(Time!U29=1,U53,U51)*V11,0)</f>
        <v>8.239442530682</v>
      </c>
      <c r="V127" s="11" t="n">
        <f aca="false">IF(AND(Time!V17&gt;=Time!$F$11,Time!V17&lt;57),(IF(Time!V29=1,V53,V51)-V50)*W19+W22*MIN($F$45/4,V50)+IF(Time!V29=1,V53,V51)*W11,0)</f>
        <v>8.26208454927277</v>
      </c>
      <c r="W127" s="11" t="n">
        <f aca="false">IF(AND(Time!W17&gt;=Time!$F$11,Time!W17&lt;57),(IF(Time!W29=1,W53,W51)-W50)*X19+X22*MIN($F$45/4,W50)+IF(Time!W29=1,W53,W51)*X11,0)</f>
        <v>8.37538765627188</v>
      </c>
      <c r="X127" s="11" t="n">
        <f aca="false">IF(AND(Time!X17&gt;=Time!$F$11,Time!X17&lt;57),(IF(Time!X29=1,X53,X51)-X50)*Y19+IF(Time!X29=1,X53,X51)*Y11,0)</f>
        <v>7.8309218642874</v>
      </c>
      <c r="Y127" s="11" t="n">
        <f aca="false">IF(AND(Time!Y17&gt;=Time!$F$11,Time!Y17&lt;57),(IF(Time!Y29=1,Y53,Y51)-Y50)*Z19+IF(Time!Y29=1,Y53,Y51)*Z11,0)</f>
        <v>7.94285237588816</v>
      </c>
      <c r="Z127" s="11" t="n">
        <f aca="false">IF(AND(Time!Z17&gt;=Time!$F$11,Time!Z17&lt;57),(IF(Time!Z29=1,Z53,Z51)-Z50)*AA19+IF(Time!Z29=1,Z53,Z51)*AA11,0)</f>
        <v>7.82698205903106</v>
      </c>
      <c r="AA127" s="11" t="n">
        <f aca="false">IF(AND(Time!AA17&gt;=Time!$F$11,Time!AA17&lt;57),(IF(Time!AA29=1,AA53,AA51)-AA50)*AB19+IF(Time!AA29=1,AA53,AA51)*AB11,0)</f>
        <v>7.94508670128026</v>
      </c>
      <c r="AB127" s="11" t="n">
        <f aca="false">IF(AND(Time!AB17&gt;=Time!$F$11,Time!AB17&lt;57),(IF(Time!AB29=1,AB53,AB51)-AB50)*AC19+IF(Time!AB29=1,AB53,AB51)*AC11,0)</f>
        <v>7.88263284868206</v>
      </c>
      <c r="AC127" s="11" t="n">
        <f aca="false">IF(AND(Time!AC17&gt;=Time!$F$11,Time!AC17&lt;57),(IF(Time!AC29=1,AC53,AC51)-AC50)*AD19+IF(Time!AC29=1,AC53,AC51)*AD11,0)</f>
        <v>7.97902068384557</v>
      </c>
      <c r="AD127" s="11" t="n">
        <f aca="false">IF(AND(Time!AD17&gt;=Time!$F$11,Time!AD17&lt;57),(IF(Time!AD29=1,AD53,AD51)-AD50)*AE19+IF(Time!AD29=1,AD53,AD51)*AE11,0)</f>
        <v>8.1769923066196</v>
      </c>
      <c r="AE127" s="11" t="n">
        <f aca="false">IF(AND(Time!AE17&gt;=Time!$F$11,Time!AE17&lt;57),(IF(Time!AE29=1,AE53,AE51)-AE50)*AF19+IF(Time!AE29=1,AE53,AE51)*AF11,0)</f>
        <v>8.3271452256789</v>
      </c>
      <c r="AF127" s="11" t="n">
        <f aca="false">IF(AND(Time!AF17&gt;=Time!$F$11,Time!AF17&lt;57),(IF(Time!AF29=1,AF53,AF51)-AF50)*AG19+IF(Time!AF29=1,AF53,AF51)*AG11,0)</f>
        <v>8.13141770138098</v>
      </c>
      <c r="AG127" s="11" t="n">
        <f aca="false">IF(AND(Time!AG17&gt;=Time!$F$11,Time!AG17&lt;57),(IF(Time!AG29=1,AG53,AG51)-AG50)*AH19+IF(Time!AG29=1,AG53,AG51)*AH11,0)</f>
        <v>8.2689645372663</v>
      </c>
      <c r="AH127" s="11" t="n">
        <f aca="false">IF(AND(Time!AH17&gt;=Time!$F$11,Time!AH17&lt;57),(IF(Time!AH29=1,AH53,AH51)-AH50)*AI19+IF(Time!AH29=1,AH53,AH51)*AI11,0)</f>
        <v>8.21836185633971</v>
      </c>
      <c r="AI127" s="11" t="n">
        <f aca="false">IF(AND(Time!AI17&gt;=Time!$F$11,Time!AI17&lt;57),(IF(Time!AI29=1,AI53,AI51)-AI50)*AJ19+IF(Time!AI29=1,AI53,AI51)*AJ11,0)</f>
        <v>8.34034878153036</v>
      </c>
      <c r="AJ127" s="11" t="n">
        <f aca="false">IF(AND(Time!AJ17&gt;=Time!$F$11,Time!AJ17&lt;57),(IF(Time!AJ29=1,AJ53,AJ51)-AJ50)*AK19+IF(Time!AJ29=1,AJ53,AJ51)*AK11,0)</f>
        <v>8.29181719095948</v>
      </c>
      <c r="AK127" s="11" t="n">
        <f aca="false">IF(AND(Time!AK17&gt;=Time!$F$11,Time!AK17&lt;57),(IF(Time!AK29=1,AK53,AK51)-AK50)*AL19+IF(Time!AK29=1,AK53,AK51)*AL11,0)</f>
        <v>8.3921515133199</v>
      </c>
      <c r="AL127" s="11" t="n">
        <f aca="false">IF(AND(Time!AL17&gt;=Time!$F$11,Time!AL17&lt;57),(IF(Time!AL29=1,AL53,AL51)-AL50)*AM19+IF(Time!AL29=1,AL53,AL51)*AM11,0)</f>
        <v>8.46586102000302</v>
      </c>
      <c r="AM127" s="11" t="n">
        <f aca="false">IF(AND(Time!AM17&gt;=Time!$F$11,Time!AM17&lt;57),(IF(Time!AM29=1,AM53,AM51)-AM50)*AN19+IF(Time!AM29=1,AM53,AM51)*AN11,0)</f>
        <v>7.18964140181613</v>
      </c>
      <c r="AN127" s="11" t="n">
        <f aca="false">IF(AND(Time!AN17&gt;=Time!$F$11,Time!AN17&lt;57),(IF(Time!AN29=1,AN53,AN51)-AN50)*AO19+IF(Time!AN29=1,AN53,AN51)*AO11,0)</f>
        <v>6.63905837906886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0</v>
      </c>
      <c r="P128" s="11" t="n">
        <f aca="false">IF(AND(Time!P17&gt;=Time!$F$11,Time!P17&lt;57),(IF(Time!P29=1,P68,P66)-P65)*Q19+IF(Time!P29=1,P68,P66)*Q12,0)</f>
        <v>3.65747394524142</v>
      </c>
      <c r="Q128" s="11" t="n">
        <f aca="false">IF(AND(Time!Q17&gt;=Time!$F$11,Time!Q17&lt;57),(IF(Time!Q29=1,Q68,Q66)-Q65)*R19+IF(Time!Q29=1,Q68,Q66)*R12,0)</f>
        <v>3.63562223185027</v>
      </c>
      <c r="R128" s="11" t="n">
        <f aca="false">IF(AND(Time!R17&gt;=Time!$F$11,Time!R17&lt;57),(IF(Time!R29=1,R68,R66)-R65)*S19+IF(Time!R29=1,R68,R66)*S12,0)</f>
        <v>3.61043657742257</v>
      </c>
      <c r="S128" s="11" t="n">
        <f aca="false">IF(AND(Time!S17&gt;=Time!$F$11,Time!S17&lt;57),(IF(Time!S29=1,S68,S66)-S65)*T19+IF(Time!S29=1,S68,S66)*T12,0)</f>
        <v>3.66515294830039</v>
      </c>
      <c r="T128" s="11" t="n">
        <f aca="false">IF(AND(Time!T17&gt;=Time!$F$11,Time!T17&lt;57),(IF(Time!T29=1,T68,T66)-T65)*U19+U22*MIN($F$60/4,T65)+IF(Time!T29=1,T68,T66)*U12,0)</f>
        <v>3.63564635892046</v>
      </c>
      <c r="U128" s="11" t="n">
        <f aca="false">IF(AND(Time!U17&gt;=Time!$F$11,Time!U17&lt;57),(IF(Time!U29=1,U68,U66)-U65)*V19+V22*MIN($F$60/4,U65)+IF(Time!U29=1,U68,U66)*V12,0)</f>
        <v>3.67830404680533</v>
      </c>
      <c r="V128" s="11" t="n">
        <f aca="false">IF(AND(Time!V17&gt;=Time!$F$11,Time!V17&lt;57),(IF(Time!V29=1,V68,V66)-V65)*W19+W22*MIN($F$60/4,V65)+IF(Time!V29=1,V68,V66)*W12,0)</f>
        <v>3.69211704953521</v>
      </c>
      <c r="W128" s="11" t="n">
        <f aca="false">IF(AND(Time!W17&gt;=Time!$F$11,Time!W17&lt;57),(IF(Time!W29=1,W68,W66)-W65)*X19+X22*MIN($F$60/4,W65)+IF(Time!W29=1,W68,W66)*X12,0)</f>
        <v>3.74517376961836</v>
      </c>
      <c r="X128" s="11" t="n">
        <f aca="false">IF(AND(Time!X17&gt;=Time!$F$11,Time!X17&lt;57),(IF(Time!X29=1,X68,X66)-X65)*Y19+IF(Time!X29=1,X68,X66)*Y12,0)</f>
        <v>3.50137819036431</v>
      </c>
      <c r="Y128" s="11" t="n">
        <f aca="false">IF(AND(Time!Y17&gt;=Time!$F$11,Time!Y17&lt;57),(IF(Time!Y29=1,Y68,Y66)-Y65)*Z19+IF(Time!Y29=1,Y68,Y66)*Z12,0)</f>
        <v>3.55382896104117</v>
      </c>
      <c r="Z128" s="11" t="n">
        <f aca="false">IF(AND(Time!Z17&gt;=Time!$F$11,Time!Z17&lt;57),(IF(Time!Z29=1,Z68,Z66)-Z65)*AA19+IF(Time!Z29=1,Z68,Z66)*AA12,0)</f>
        <v>3.50469570003747</v>
      </c>
      <c r="AA128" s="11" t="n">
        <f aca="false">IF(AND(Time!AA17&gt;=Time!$F$11,Time!AA17&lt;57),(IF(Time!AA29=1,AA68,AA66)-AA65)*AB19+IF(Time!AA29=1,AA68,AA66)*AB12,0)</f>
        <v>3.56021203350101</v>
      </c>
      <c r="AB128" s="11" t="n">
        <f aca="false">IF(AND(Time!AB17&gt;=Time!$F$11,Time!AB17&lt;57),(IF(Time!AB29=1,AB68,AB66)-AB65)*AC19+IF(Time!AB29=1,AB68,AB66)*AC12,0)</f>
        <v>3.5351926856332</v>
      </c>
      <c r="AC128" s="11" t="n">
        <f aca="false">IF(AND(Time!AC17&gt;=Time!$F$11,Time!AC17&lt;57),(IF(Time!AC29=1,AC68,AC66)-AC65)*AD19+IF(Time!AC29=1,AC68,AC66)*AD12,0)</f>
        <v>3.58140335968561</v>
      </c>
      <c r="AD128" s="11" t="n">
        <f aca="false">IF(AND(Time!AD17&gt;=Time!$F$11,Time!AD17&lt;57),(IF(Time!AD29=1,AD68,AD66)-AD65)*AE19+IF(Time!AD29=1,AD68,AD66)*AE12,0)</f>
        <v>3.67514364181852</v>
      </c>
      <c r="AE128" s="11" t="n">
        <f aca="false">IF(AND(Time!AE17&gt;=Time!$F$11,Time!AE17&lt;57),(IF(Time!AE29=1,AE68,AE66)-AE65)*AF19+IF(Time!AE29=1,AE68,AE66)*AF12,0)</f>
        <v>3.74601164091077</v>
      </c>
      <c r="AF128" s="11" t="n">
        <f aca="false">IF(AND(Time!AF17&gt;=Time!$F$11,Time!AF17&lt;57),(IF(Time!AF29=1,AF68,AF66)-AF65)*AG19+IF(Time!AF29=1,AF68,AF66)*AG12,0)</f>
        <v>3.6611096233103</v>
      </c>
      <c r="AG128" s="11" t="n">
        <f aca="false">IF(AND(Time!AG17&gt;=Time!$F$11,Time!AG17&lt;57),(IF(Time!AG29=1,AG68,AG66)-AG65)*AH19+IF(Time!AG29=1,AG68,AG66)*AH12,0)</f>
        <v>3.72656306314466</v>
      </c>
      <c r="AH128" s="11" t="n">
        <f aca="false">IF(AND(Time!AH17&gt;=Time!$F$11,Time!AH17&lt;57),(IF(Time!AH29=1,AH68,AH66)-AH65)*AI19+IF(Time!AH29=1,AH68,AH66)*AI12,0)</f>
        <v>3.70771772869673</v>
      </c>
      <c r="AI128" s="11" t="n">
        <f aca="false">IF(AND(Time!AI17&gt;=Time!$F$11,Time!AI17&lt;57),(IF(Time!AI29=1,AI68,AI66)-AI65)*AJ19+IF(Time!AI29=1,AI68,AI66)*AJ12,0)</f>
        <v>3.76651172272223</v>
      </c>
      <c r="AJ128" s="11" t="n">
        <f aca="false">IF(AND(Time!AJ17&gt;=Time!$F$11,Time!AJ17&lt;57),(IF(Time!AJ29=1,AJ68,AJ66)-AJ65)*AK19+IF(Time!AJ29=1,AJ68,AJ66)*AK12,0)</f>
        <v>3.74866985595054</v>
      </c>
      <c r="AK128" s="11" t="n">
        <f aca="false">IF(AND(Time!AK17&gt;=Time!$F$11,Time!AK17&lt;57),(IF(Time!AK29=1,AK68,AK66)-AK65)*AL19+IF(Time!AK29=1,AK68,AK66)*AL12,0)</f>
        <v>3.79816508795168</v>
      </c>
      <c r="AL128" s="11" t="n">
        <f aca="false">IF(AND(Time!AL17&gt;=Time!$F$11,Time!AL17&lt;57),(IF(Time!AL29=1,AL68,AL66)-AL65)*AM19+IF(Time!AL29=1,AL68,AL66)*AM12,0)</f>
        <v>3.83617246150519</v>
      </c>
      <c r="AM128" s="11" t="n">
        <f aca="false">IF(AND(Time!AM17&gt;=Time!$F$11,Time!AM17&lt;57),(IF(Time!AM29=1,AM68,AM66)-AM65)*AN19+IF(Time!AM29=1,AM68,AM66)*AN12,0)</f>
        <v>3.26037830798734</v>
      </c>
      <c r="AN128" s="11" t="n">
        <f aca="false">IF(AND(Time!AN17&gt;=Time!$F$11,Time!AN17&lt;57),(IF(Time!AN29=1,AN68,AN66)-AN65)*AO19+IF(Time!AN29=1,AN68,AN66)*AO12,0)</f>
        <v>3.01408552115723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0</v>
      </c>
      <c r="P129" s="11" t="n">
        <f aca="false">IF(AND(Time!P17&gt;=Time!$F$11,Time!P17&lt;57),(IF(Time!P29=1,P83,P81)-P80)*Q19+IF(Time!P29=1,P83,P81)*Q13,0)</f>
        <v>15.7003319674201</v>
      </c>
      <c r="Q129" s="11" t="n">
        <f aca="false">IF(AND(Time!Q17&gt;=Time!$F$11,Time!Q17&lt;57),(IF(Time!Q29=1,Q83,Q81)-Q80)*R19+IF(Time!Q29=1,Q83,Q81)*R13,0)</f>
        <v>15.5465917712393</v>
      </c>
      <c r="R129" s="11" t="n">
        <f aca="false">IF(AND(Time!R17&gt;=Time!$F$11,Time!R17&lt;57),(IF(Time!R29=1,R83,R81)-R80)*S19+IF(Time!R29=1,R83,R81)*S13,0)</f>
        <v>15.3762815247095</v>
      </c>
      <c r="S129" s="11" t="n">
        <f aca="false">IF(AND(Time!S17&gt;=Time!$F$11,Time!S17&lt;57),(IF(Time!S29=1,S83,S81)-S80)*T19+IF(Time!S29=1,S83,S81)*T13,0)</f>
        <v>15.5615277110112</v>
      </c>
      <c r="T129" s="11" t="n">
        <f aca="false">IF(AND(Time!T17&gt;=Time!$F$11,Time!T17&lt;57),(IF(Time!T29=1,T83,T81)-T80)*U19+U22*MIN($F$75/4,T80)+IF(Time!T29=1,T83,T81)*U13,0)</f>
        <v>15.3797269299709</v>
      </c>
      <c r="U129" s="11" t="n">
        <f aca="false">IF(AND(Time!U17&gt;=Time!$F$11,Time!U17&lt;57),(IF(Time!U29=1,U83,U81)-U80)*V19+V22*MIN($F$75/4,U80)+IF(Time!U29=1,U83,U81)*V13,0)</f>
        <v>15.5050689732629</v>
      </c>
      <c r="V129" s="11" t="n">
        <f aca="false">IF(AND(Time!V17&gt;=Time!$F$11,Time!V17&lt;57),(IF(Time!V29=1,V83,V81)-V80)*W19+W22*MIN($F$75/4,V80)+IF(Time!V29=1,V83,V81)*W13,0)</f>
        <v>15.4771566311049</v>
      </c>
      <c r="W129" s="11" t="n">
        <f aca="false">IF(AND(Time!W17&gt;=Time!$F$11,Time!W17&lt;57),(IF(Time!W29=1,W83,W81)-W80)*X19+X22*MIN($F$75/4,W80)+IF(Time!W29=1,W83,W81)*X13,0)</f>
        <v>15.6432586144923</v>
      </c>
      <c r="X129" s="11" t="n">
        <f aca="false">IF(AND(Time!X17&gt;=Time!$F$11,Time!X17&lt;57),(IF(Time!X29=1,X83,X81)-X80)*Y19+IF(Time!X29=1,X83,X81)*Y13,0)</f>
        <v>15.1234948538726</v>
      </c>
      <c r="Y129" s="11" t="n">
        <f aca="false">IF(AND(Time!Y17&gt;=Time!$F$11,Time!Y17&lt;57),(IF(Time!Y29=1,Y83,Y81)-Y80)*Z19+IF(Time!Y29=1,Y83,Y81)*Z13,0)</f>
        <v>15.2735988375305</v>
      </c>
      <c r="Z129" s="11" t="n">
        <f aca="false">IF(AND(Time!Z17&gt;=Time!$F$11,Time!Z17&lt;57),(IF(Time!Z29=1,Z83,Z81)-Z80)*AA19+IF(Time!Z29=1,Z83,Z81)*AA13,0)</f>
        <v>14.9763219020671</v>
      </c>
      <c r="AA129" s="11" t="n">
        <f aca="false">IF(AND(Time!AA17&gt;=Time!$F$11,Time!AA17&lt;57),(IF(Time!AA29=1,AA83,AA81)-AA80)*AB19+IF(Time!AA29=1,AA83,AA81)*AB13,0)</f>
        <v>15.129969593169</v>
      </c>
      <c r="AB129" s="11" t="n">
        <f aca="false">IF(AND(Time!AB17&gt;=Time!$F$11,Time!AB17&lt;57),(IF(Time!AB29=1,AB83,AB81)-AB80)*AC19+IF(Time!AB29=1,AB83,AB81)*AC13,0)</f>
        <v>14.3372140526436</v>
      </c>
      <c r="AC129" s="11" t="n">
        <f aca="false">IF(AND(Time!AC17&gt;=Time!$F$11,Time!AC17&lt;57),(IF(Time!AC29=1,AC83,AC81)-AC80)*AD19+IF(Time!AC29=1,AC83,AC81)*AD13,0)</f>
        <v>13.6921950338386</v>
      </c>
      <c r="AD129" s="11" t="n">
        <f aca="false">IF(AND(Time!AD17&gt;=Time!$F$11,Time!AD17&lt;57),(IF(Time!AD29=1,AD83,AD81)-AD80)*AE19+IF(Time!AD29=1,AD83,AD81)*AE13,0)</f>
        <v>13.0966776616315</v>
      </c>
      <c r="AE129" s="11" t="n">
        <f aca="false">IF(AND(Time!AE17&gt;=Time!$F$11,Time!AE17&lt;57),(IF(Time!AE29=1,AE83,AE81)-AE80)*AF19+IF(Time!AE29=1,AE83,AE81)*AF13,0)</f>
        <v>12.3447410137627</v>
      </c>
      <c r="AF129" s="11" t="n">
        <f aca="false">IF(AND(Time!AF17&gt;=Time!$F$11,Time!AF17&lt;57),(IF(Time!AF29=1,AF83,AF81)-AF80)*AG19+IF(Time!AF29=1,AF83,AF81)*AG13,0)</f>
        <v>11.1271658947457</v>
      </c>
      <c r="AG129" s="11" t="n">
        <f aca="false">IF(AND(Time!AG17&gt;=Time!$F$11,Time!AG17&lt;57),(IF(Time!AG29=1,AG83,AG81)-AG80)*AH19+IF(Time!AG29=1,AG83,AG81)*AH13,0)</f>
        <v>9.81608611259173</v>
      </c>
      <c r="AH129" s="11" t="n">
        <f aca="false">IF(AND(Time!AH17&gt;=Time!$F$11,Time!AH17&lt;57),(IF(Time!AH29=1,AH83,AH81)-AH80)*AI19+IF(Time!AH29=1,AH83,AH81)*AI13,0)</f>
        <v>8.09003456222584</v>
      </c>
      <c r="AI129" s="11" t="n">
        <f aca="false">IF(AND(Time!AI17&gt;=Time!$F$11,Time!AI17&lt;57),(IF(Time!AI29=1,AI83,AI81)-AI80)*AJ19+IF(Time!AI29=1,AI83,AI81)*AJ13,0)</f>
        <v>6.10419698961428</v>
      </c>
      <c r="AJ129" s="11" t="n">
        <f aca="false">IF(AND(Time!AJ17&gt;=Time!$F$11,Time!AJ17&lt;57),(IF(Time!AJ29=1,AJ83,AJ81)-AJ80)*AK19+IF(Time!AJ29=1,AJ83,AJ81)*AK13,0)</f>
        <v>3.51863135235586</v>
      </c>
      <c r="AK129" s="11" t="n">
        <f aca="false">IF(AND(Time!AK17&gt;=Time!$F$11,Time!AK17&lt;57),(IF(Time!AK29=1,AK83,AK81)-AK80)*AL19+IF(Time!AK29=1,AK83,AK81)*AL13,0)</f>
        <v>0.0800637320982588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0</v>
      </c>
      <c r="P130" s="11" t="n">
        <f aca="false">IF(AND(Time!P17&gt;=Time!$F$11,Time!P17&lt;57),(IF(Time!P29=1,P98,P96)-P95)*Q19+IF(Time!P29=1,P98,P96)*Q14,0)</f>
        <v>0</v>
      </c>
      <c r="Q130" s="11" t="n">
        <f aca="false">IF(AND(Time!Q17&gt;=Time!$F$11,Time!Q17&lt;57),(IF(Time!Q29=1,Q98,Q96)-Q95)*R19+IF(Time!Q29=1,Q98,Q96)*R14,0)</f>
        <v>0</v>
      </c>
      <c r="R130" s="11" t="n">
        <f aca="false">IF(AND(Time!R17&gt;=Time!$F$11,Time!R17&lt;57),(IF(Time!R29=1,R98,R96)-R95)*S19+IF(Time!R29=1,R98,R96)*S14,0)</f>
        <v>0</v>
      </c>
      <c r="S130" s="11" t="n">
        <f aca="false">IF(AND(Time!S17&gt;=Time!$F$11,Time!S17&lt;57),(IF(Time!S29=1,S98,S96)-S95)*T19+IF(Time!S29=1,S98,S96)*T14,0)</f>
        <v>0</v>
      </c>
      <c r="T130" s="11" t="n">
        <f aca="false">IF(AND(Time!T17&gt;=Time!$F$11,Time!T17&lt;57),(IF(Time!T29=1,T98,T96)-T95)*U19+U22*MIN($F$90/4,T95)+IF(Time!T29=1,T98,T96)*U14,0)</f>
        <v>0</v>
      </c>
      <c r="U130" s="11" t="n">
        <f aca="false">IF(AND(Time!U17&gt;=Time!$F$11,Time!U17&lt;57),(IF(Time!U29=1,U98,U96)-U95)*V19+V22*MIN($F$90/4,U95)+IF(Time!U29=1,U98,U96)*V14,0)</f>
        <v>0</v>
      </c>
      <c r="V130" s="11" t="n">
        <f aca="false">IF(AND(Time!V17&gt;=Time!$F$11,Time!V17&lt;57),(IF(Time!V29=1,V98,V96)-V95)*W19+W22*MIN($F$90/4,V95)+IF(Time!V29=1,V98,V96)*W14,0)</f>
        <v>0</v>
      </c>
      <c r="W130" s="11" t="n">
        <f aca="false">IF(AND(Time!W17&gt;=Time!$F$11,Time!W17&lt;57),(IF(Time!W29=1,W98,W96)-W95)*X19+X22*MIN($F$90/4,W95)+IF(Time!W29=1,W98,W96)*X14,0)</f>
        <v>0</v>
      </c>
      <c r="X130" s="11" t="n">
        <f aca="false">IF(AND(Time!X17&gt;=Time!$F$11,Time!X17&lt;57),(IF(Time!X29=1,X98,X96)-X95)*Y19+IF(Time!X29=1,X98,X96)*Y14,0)</f>
        <v>0</v>
      </c>
      <c r="Y130" s="11" t="n">
        <f aca="false">IF(AND(Time!Y17&gt;=Time!$F$11,Time!Y17&lt;57),(IF(Time!Y29=1,Y98,Y96)-Y95)*Z19+IF(Time!Y29=1,Y98,Y96)*Z14,0)</f>
        <v>0</v>
      </c>
      <c r="Z130" s="11" t="n">
        <f aca="false">IF(AND(Time!Z17&gt;=Time!$F$11,Time!Z17&lt;57),(IF(Time!Z29=1,Z98,Z96)-Z95)*AA19+IF(Time!Z29=1,Z98,Z96)*AA14,0)</f>
        <v>0</v>
      </c>
      <c r="AA130" s="11" t="n">
        <f aca="false">IF(AND(Time!AA17&gt;=Time!$F$11,Time!AA17&lt;57),(IF(Time!AA29=1,AA98,AA96)-AA95)*AB19+IF(Time!AA29=1,AA98,AA96)*AB14,0)</f>
        <v>0</v>
      </c>
      <c r="AB130" s="11" t="n">
        <f aca="false">IF(AND(Time!AB17&gt;=Time!$F$11,Time!AB17&lt;57),(IF(Time!AB29=1,AB98,AB96)-AB95)*AC19+IF(Time!AB29=1,AB98,AB96)*AC14,0)</f>
        <v>0</v>
      </c>
      <c r="AC130" s="11" t="n">
        <f aca="false">IF(AND(Time!AC17&gt;=Time!$F$11,Time!AC17&lt;57),(IF(Time!AC29=1,AC98,AC96)-AC95)*AD19+IF(Time!AC29=1,AC98,AC96)*AD14,0)</f>
        <v>0</v>
      </c>
      <c r="AD130" s="11" t="n">
        <f aca="false">IF(AND(Time!AD17&gt;=Time!$F$11,Time!AD17&lt;57),(IF(Time!AD29=1,AD98,AD96)-AD95)*AE19+IF(Time!AD29=1,AD98,AD96)*AE14,0)</f>
        <v>0</v>
      </c>
      <c r="AE130" s="11" t="n">
        <f aca="false">IF(AND(Time!AE17&gt;=Time!$F$11,Time!AE17&lt;57),(IF(Time!AE29=1,AE98,AE96)-AE95)*AF19+IF(Time!AE29=1,AE98,AE96)*AF14,0)</f>
        <v>0</v>
      </c>
      <c r="AF130" s="11" t="n">
        <f aca="false">IF(AND(Time!AF17&gt;=Time!$F$11,Time!AF17&lt;57),(IF(Time!AF29=1,AF98,AF96)-AF95)*AG19+IF(Time!AF29=1,AF98,AF96)*AG14,0)</f>
        <v>0</v>
      </c>
      <c r="AG130" s="11" t="n">
        <f aca="false">IF(AND(Time!AG17&gt;=Time!$F$11,Time!AG17&lt;57),(IF(Time!AG29=1,AG98,AG96)-AG95)*AH19+IF(Time!AG29=1,AG98,AG96)*AH14,0)</f>
        <v>0</v>
      </c>
      <c r="AH130" s="11" t="n">
        <f aca="false">IF(AND(Time!AH17&gt;=Time!$F$11,Time!AH17&lt;57),(IF(Time!AH29=1,AH98,AH96)-AH95)*AI19+IF(Time!AH29=1,AH98,AH96)*AI14,0)</f>
        <v>0</v>
      </c>
      <c r="AI130" s="11" t="n">
        <f aca="false">IF(AND(Time!AI17&gt;=Time!$F$11,Time!AI17&lt;57),(IF(Time!AI29=1,AI98,AI96)-AI95)*AJ19+IF(Time!AI29=1,AI98,AI96)*AJ14,0)</f>
        <v>0</v>
      </c>
      <c r="AJ130" s="11" t="n">
        <f aca="false">IF(AND(Time!AJ17&gt;=Time!$F$11,Time!AJ17&lt;57),(IF(Time!AJ29=1,AJ98,AJ96)-AJ95)*AK19+IF(Time!AJ29=1,AJ98,AJ96)*AK14,0)</f>
        <v>0</v>
      </c>
      <c r="AK130" s="11" t="n">
        <f aca="false">IF(AND(Time!AK17&gt;=Time!$F$11,Time!AK17&lt;57),(IF(Time!AK29=1,AK98,AK96)-AK95)*AL19+IF(Time!AK29=1,AK98,AK96)*AL14,0)</f>
        <v>0</v>
      </c>
      <c r="AL130" s="11" t="n">
        <f aca="false">IF(AND(Time!AL17&gt;=Time!$F$11,Time!AL17&lt;57),(IF(Time!AL29=1,AL98,AL96)-AL95)*AM19+IF(Time!AL29=1,AL98,AL96)*AM14,0)</f>
        <v>0</v>
      </c>
      <c r="AM130" s="11" t="n">
        <f aca="false">IF(AND(Time!AM17&gt;=Time!$F$11,Time!AM17&lt;57),(IF(Time!AM29=1,AM98,AM96)-AM95)*AN19+IF(Time!AM29=1,AM98,AM96)*AN14,0)</f>
        <v>0</v>
      </c>
      <c r="AN130" s="11" t="n">
        <f aca="false">IF(AND(Time!AN17&gt;=Time!$F$11,Time!AN17&lt;57),(IF(Time!AN29=1,AN98,AN96)-AN95)*AO19+IF(Time!AN29=1,AN98,AN96)*AO14,0)</f>
        <v>0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0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37.3875772627815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37.0065931102797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36.8164435475807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37.2430586057777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36.993131919249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37.3361511902891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37.5436612882369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37.9633484165791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36.0745484246521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36.4825353356345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36.0143504443871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36.4566065972174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35.5776399035142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35.1716642254911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35.2483765941687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34.8798069123092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33.2228655997438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32.27346696334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30.5128630388371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28.8709286926137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26.2440769993887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23.1363831550294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23.4447942143853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19.9860565222547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18.5825555551695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0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0.0340300985157095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0.0344041384091351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0.0340439155633764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0.0344178023493096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0.0341686053033176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0.0344180099413474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0.034044809599995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0.0344189502189996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0.0351039298833019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0.0354948714810448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0.0351035691095454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0.0354945127145499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0.035233847947803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0.0354947073030255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0.0351062369962182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0.035499049820808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0.0361683785983839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0.0365786770884757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0.0361697759511344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0.0365806496240773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0.0363084468862429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0.0365847826863914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0.0361810796574112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0.0366010463596716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0.0361635114468008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0</v>
      </c>
      <c r="Q136" s="11" t="n">
        <f aca="false">IF(Q134=1,(Waterfall!Q7+R136)/(1+Q135),0)</f>
        <v>820.906851541615</v>
      </c>
      <c r="R136" s="11" t="n">
        <f aca="false">IF(R134=1,(Waterfall!R7+S136)/(1+R135),0)</f>
        <v>799.989908233427</v>
      </c>
      <c r="S136" s="11" t="n">
        <f aca="false">IF(S134=1,(Waterfall!S7+T136)/(1+S135),0)</f>
        <v>777.630206067692</v>
      </c>
      <c r="T136" s="11" t="n">
        <f aca="false">IF(T134=1,(Waterfall!T7+U136)/(1+T135),0)</f>
        <v>754.481924960894</v>
      </c>
      <c r="U136" s="11" t="n">
        <f aca="false">IF(U134=1,(Waterfall!U7+V136)/(1+U135),0)</f>
        <v>730.248627877187</v>
      </c>
      <c r="V136" s="11" t="n">
        <f aca="false">IF(V134=1,(Waterfall!V7+W136)/(1+V135),0)</f>
        <v>705.339846703589</v>
      </c>
      <c r="W136" s="11" t="n">
        <f aca="false">IF(W134=1,(Waterfall!W7+X136)/(1+W135),0)</f>
        <v>679.291369091323</v>
      </c>
      <c r="X136" s="11" t="n">
        <f aca="false">IF(X134=1,(Waterfall!X7+Y136)/(1+X135),0)</f>
        <v>651.818365793088</v>
      </c>
      <c r="Y136" s="11" t="n">
        <f aca="false">IF(Y134=1,(Waterfall!Y7+Z136)/(1+Y135),0)</f>
        <v>623.084964602225</v>
      </c>
      <c r="Z136" s="11" t="n">
        <f aca="false">IF(Z134=1,(Waterfall!Z7+AA136)/(1+Z135),0)</f>
        <v>596.338983089293</v>
      </c>
      <c r="AA136" s="11" t="n">
        <f aca="false">IF(AA134=1,(Waterfall!AA7+AB136)/(1+AA135),0)</f>
        <v>568.334376387964</v>
      </c>
      <c r="AB136" s="11" t="n">
        <f aca="false">IF(AB134=1,(Waterfall!AB7+AC136)/(1+AB135),0)</f>
        <v>539.748606172128</v>
      </c>
      <c r="AC136" s="11" t="n">
        <f aca="false">IF(AC134=1,(Waterfall!AC7+AD136)/(1+AC135),0)</f>
        <v>509.771747102293</v>
      </c>
      <c r="AD136" s="11" t="n">
        <f aca="false">IF(AD134=1,(Waterfall!AD7+AE136)/(1+AD135),0)</f>
        <v>478.947603216467</v>
      </c>
      <c r="AE136" s="11" t="n">
        <f aca="false">IF(AE134=1,(Waterfall!AE7+AF136)/(1+AE135),0)</f>
        <v>446.658625441923</v>
      </c>
      <c r="AF136" s="11" t="n">
        <f aca="false">IF(AF134=1,(Waterfall!AF7+AG136)/(1+AF135),0)</f>
        <v>411.787001329592</v>
      </c>
      <c r="AG136" s="11" t="n">
        <f aca="false">IF(AG134=1,(Waterfall!AG7+AH136)/(1+AG135),0)</f>
        <v>375.04161842129</v>
      </c>
      <c r="AH136" s="11" t="n">
        <f aca="false">IF(AH134=1,(Waterfall!AH7+AI136)/(1+AH135),0)</f>
        <v>338.010971255897</v>
      </c>
      <c r="AI136" s="11" t="n">
        <f aca="false">IF(AI134=1,(Waterfall!AI7+AJ136)/(1+AI135),0)</f>
        <v>299.06852800992</v>
      </c>
      <c r="AJ136" s="11" t="n">
        <f aca="false">IF(AJ134=1,(Waterfall!AJ7+AK136)/(1+AJ135),0)</f>
        <v>258.919001598644</v>
      </c>
      <c r="AK136" s="11" t="n">
        <f aca="false">IF(AK134=1,(Waterfall!AK7+AL136)/(1+AK135),0)</f>
        <v>216.802043713218</v>
      </c>
      <c r="AL136" s="11" t="n">
        <f aca="false">IF(AL134=1,(Waterfall!AL7+AM136)/(1+AL135),0)</f>
        <v>173.442879996954</v>
      </c>
      <c r="AM136" s="11" t="n">
        <f aca="false">IF(AM134=1,(Waterfall!AM7+AN136)/(1+AM135),0)</f>
        <v>128.050373764653</v>
      </c>
      <c r="AN136" s="11" t="n">
        <f aca="false">IF(AN134=1,(Waterfall!AN7+AO136)/(1+AN135),0)</f>
        <v>80.562988439774</v>
      </c>
      <c r="AO136" s="11" t="n">
        <f aca="false">IF(AO134=1,(Waterfall!AO7+AP136)/(1+AO135),0)</f>
        <v>39.3203624272488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1.29632705137603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608.079149290085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638.947253214806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0</v>
      </c>
      <c r="Q140" s="11" t="n">
        <f aca="false">IF(Q134=1,Waterfall!Q7/$F$137,0)</f>
        <v>37.6853081068659</v>
      </c>
      <c r="R140" s="11" t="n">
        <f aca="false">IF(R134=1,Waterfall!R7/$F$137,0)</f>
        <v>38.4800005843889</v>
      </c>
      <c r="S140" s="11" t="n">
        <f aca="false">IF(S134=1,Waterfall!S7/$F$137,0)</f>
        <v>38.2788109906567</v>
      </c>
      <c r="T140" s="11" t="n">
        <f aca="false">IF(T134=1,Waterfall!T7/$F$137,0)</f>
        <v>38.7254950823174</v>
      </c>
      <c r="U140" s="11" t="n">
        <f aca="false">IF(U134=1,Waterfall!U7/$F$137,0)</f>
        <v>38.4627924410716</v>
      </c>
      <c r="V140" s="11" t="n">
        <f aca="false">IF(V134=1,Waterfall!V7/$F$137,0)</f>
        <v>38.821122659378</v>
      </c>
      <c r="W140" s="11" t="n">
        <f aca="false">IF(W134=1,Waterfall!W7/$F$137,0)</f>
        <v>39.0328571544959</v>
      </c>
      <c r="X140" s="11" t="n">
        <f aca="false">IF(X134=1,Waterfall!X7/$F$137,0)</f>
        <v>39.4717560052537</v>
      </c>
      <c r="Y140" s="11" t="n">
        <f aca="false">IF(Y134=1,Waterfall!Y7/$F$137,0)</f>
        <v>37.5049740496123</v>
      </c>
      <c r="Z140" s="11" t="n">
        <f aca="false">IF(Z134=1,Waterfall!Z7/$F$137,0)</f>
        <v>37.9314635245989</v>
      </c>
      <c r="AA140" s="11" t="n">
        <f aca="false">IF(AA134=1,Waterfall!AA7/$F$137,0)</f>
        <v>37.4414274724736</v>
      </c>
      <c r="AB140" s="11" t="n">
        <f aca="false">IF(AB134=1,Waterfall!AB7/$F$137,0)</f>
        <v>37.9032226336062</v>
      </c>
      <c r="AC140" s="11" t="n">
        <f aca="false">IF(AC134=1,Waterfall!AC7/$F$137,0)</f>
        <v>37.6335308744266</v>
      </c>
      <c r="AD140" s="11" t="n">
        <f aca="false">IF(AD134=1,Waterfall!AD7/$F$137,0)</f>
        <v>38.0221046161758</v>
      </c>
      <c r="AE140" s="11" t="n">
        <f aca="false">IF(AE134=1,Waterfall!AE7/$F$137,0)</f>
        <v>38.9964304299907</v>
      </c>
      <c r="AF140" s="11" t="n">
        <f aca="false">IF(AF134=1,Waterfall!AF7/$F$137,0)</f>
        <v>39.6222775182702</v>
      </c>
      <c r="AG140" s="11" t="n">
        <f aca="false">IF(AG134=1,Waterfall!AG7/$F$137,0)</f>
        <v>39.0297296942919</v>
      </c>
      <c r="AH140" s="11" t="n">
        <f aca="false">IF(AH134=1,Waterfall!AH7/$F$137,0)</f>
        <v>39.5783127116325</v>
      </c>
      <c r="AI140" s="11" t="n">
        <f aca="false">IF(AI134=1,Waterfall!AI7/$F$137,0)</f>
        <v>39.3162882849118</v>
      </c>
      <c r="AJ140" s="11" t="n">
        <f aca="false">IF(AJ134=1,Waterfall!AJ7/$F$137,0)</f>
        <v>39.7958085570785</v>
      </c>
      <c r="AK140" s="11" t="n">
        <f aca="false">IF(AK134=1,Waterfall!AK7/$F$137,0)</f>
        <v>39.5200494742995</v>
      </c>
      <c r="AL140" s="11" t="n">
        <f aca="false">IF(AL134=1,Waterfall!AL7/$F$137,0)</f>
        <v>39.9111291016978</v>
      </c>
      <c r="AM140" s="11" t="n">
        <f aca="false">IF(AM134=1,Waterfall!AM7/$F$137,0)</f>
        <v>40.2062010839735</v>
      </c>
      <c r="AN140" s="11" t="n">
        <f aca="false">IF(AN134=1,Waterfall!AN7/$F$137,0)</f>
        <v>34.0896347417688</v>
      </c>
      <c r="AO140" s="11" t="n">
        <f aca="false">IF(AO134=1,Waterfall!AO7/$F$137,0)</f>
        <v>31.4290477551415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0</v>
      </c>
      <c r="Q141" s="11" t="n">
        <f aca="false">IF(Q134=1,IF(Time!Q17=Time!$F$12,Funding!$F$25,P141-P142),0)</f>
        <v>633.255975542774</v>
      </c>
      <c r="R141" s="11" t="n">
        <f aca="false">IF(R134=1,IF(Time!R17=Time!$F$12,Funding!$F$25,Q141-Q142),0)</f>
        <v>617.120430669291</v>
      </c>
      <c r="S141" s="11" t="n">
        <f aca="false">IF(S134=1,IF(Time!S17=Time!$F$12,Funding!$F$25,R141-R142),0)</f>
        <v>599.871926796753</v>
      </c>
      <c r="T141" s="11" t="n">
        <f aca="false">IF(T134=1,IF(Time!T17=Time!$F$12,Funding!$F$25,S141-S142),0)</f>
        <v>582.015105030805</v>
      </c>
      <c r="U141" s="11" t="n">
        <f aca="false">IF(U134=1,IF(Time!U17=Time!$F$12,Funding!$F$25,T141-T142),0)</f>
        <v>563.32129079775</v>
      </c>
      <c r="V141" s="11" t="n">
        <f aca="false">IF(V134=1,IF(Time!V17=Time!$F$12,Funding!$F$25,U141-U142),0)</f>
        <v>544.106401200903</v>
      </c>
      <c r="W141" s="11" t="n">
        <f aca="false">IF(W134=1,IF(Time!W17=Time!$F$12,Funding!$F$25,V141-V142),0)</f>
        <v>524.012338067208</v>
      </c>
      <c r="X141" s="11" t="n">
        <f aca="false">IF(X134=1,IF(Time!X17=Time!$F$12,Funding!$F$25,W141-W142),0)</f>
        <v>502.819381190258</v>
      </c>
      <c r="Y141" s="11" t="n">
        <f aca="false">IF(Y134=1,IF(Time!Y17=Time!$F$12,Funding!$F$25,X141-X142),0)</f>
        <v>480.65414043534</v>
      </c>
      <c r="Z141" s="11" t="n">
        <f aca="false">IF(Z134=1,IF(Time!Z17=Time!$F$12,Funding!$F$25,Y141-Y142),0)</f>
        <v>460.022015629689</v>
      </c>
      <c r="AA141" s="11" t="n">
        <f aca="false">IF(AA134=1,IF(Time!AA17=Time!$F$12,Funding!$F$25,Z141-Z142),0)</f>
        <v>438.418974428317</v>
      </c>
      <c r="AB141" s="11" t="n">
        <f aca="false">IF(AB134=1,IF(Time!AB17=Time!$F$12,Funding!$F$25,AA141-AA142),0)</f>
        <v>416.367617723624</v>
      </c>
      <c r="AC141" s="11" t="n">
        <f aca="false">IF(AC134=1,IF(Time!AC17=Time!$F$12,Funding!$F$25,AB141-AB142),0)</f>
        <v>393.243160791236</v>
      </c>
      <c r="AD141" s="11" t="n">
        <f aca="false">IF(AD134=1,IF(Time!AD17=Time!$F$12,Funding!$F$25,AC141-AC142),0)</f>
        <v>369.465099650641</v>
      </c>
      <c r="AE141" s="11" t="n">
        <f aca="false">IF(AE134=1,IF(Time!AE17=Time!$F$12,Funding!$F$25,AD141-AD142),0)</f>
        <v>344.557050605248</v>
      </c>
      <c r="AF141" s="11" t="n">
        <f aca="false">IF(AF134=1,IF(Time!AF17=Time!$F$12,Funding!$F$25,AE141-AE142),0)</f>
        <v>317.656721652523</v>
      </c>
      <c r="AG141" s="11" t="n">
        <f aca="false">IF(AG134=1,IF(Time!AG17=Time!$F$12,Funding!$F$25,AF141-AF142),0)</f>
        <v>289.31095592211</v>
      </c>
      <c r="AH141" s="11" t="n">
        <f aca="false">IF(AH134=1,IF(Time!AH17=Time!$F$12,Funding!$F$25,AG141-AG142),0)</f>
        <v>260.74513441427</v>
      </c>
      <c r="AI141" s="11" t="n">
        <f aca="false">IF(AI134=1,IF(Time!AI17=Time!$F$12,Funding!$F$25,AH141-AH142),0)</f>
        <v>230.704533776768</v>
      </c>
      <c r="AJ141" s="11" t="n">
        <f aca="false">IF(AJ134=1,IF(Time!AJ17=Time!$F$12,Funding!$F$25,AI141-AI142),0)</f>
        <v>199.732776789473</v>
      </c>
      <c r="AK141" s="11" t="n">
        <f aca="false">IF(AK134=1,IF(Time!AK17=Time!$F$12,Funding!$F$25,AJ141-AJ142),0)</f>
        <v>167.243322958574</v>
      </c>
      <c r="AL141" s="11" t="n">
        <f aca="false">IF(AL134=1,IF(Time!AL17=Time!$F$12,Funding!$F$25,AK141-AK142),0)</f>
        <v>133.795618792995</v>
      </c>
      <c r="AM141" s="11" t="n">
        <f aca="false">IF(AM134=1,IF(Time!AM17=Time!$F$12,Funding!$F$25,AL141-AL142),0)</f>
        <v>98.7793733292299</v>
      </c>
      <c r="AN141" s="11" t="n">
        <f aca="false">IF(AN134=1,IF(Time!AN17=Time!$F$12,Funding!$F$25,AM141-AM142),0)</f>
        <v>62.1471166201905</v>
      </c>
      <c r="AO141" s="11" t="n">
        <f aca="false">IF(AO134=1,IF(Time!AO17=Time!$F$12,Funding!$F$25,AN141-AN142),0)</f>
        <v>30.3321313749572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0</v>
      </c>
      <c r="Q142" s="11" t="n">
        <f aca="false">Q140-Q141*Q135</f>
        <v>16.1355448734836</v>
      </c>
      <c r="R142" s="11" t="n">
        <f aca="false">R140-R141*R135</f>
        <v>17.2485038725376</v>
      </c>
      <c r="S142" s="11" t="n">
        <f aca="false">S140-S141*S135</f>
        <v>17.8568217659481</v>
      </c>
      <c r="T142" s="11" t="n">
        <f aca="false">T140-T141*T135</f>
        <v>18.6938142330545</v>
      </c>
      <c r="U142" s="11" t="n">
        <f aca="false">U140-U141*U135</f>
        <v>19.2148895968479</v>
      </c>
      <c r="V142" s="11" t="n">
        <f aca="false">V140-V141*V135</f>
        <v>20.0940631336946</v>
      </c>
      <c r="W142" s="11" t="n">
        <f aca="false">W140-W141*W135</f>
        <v>21.1929568769496</v>
      </c>
      <c r="X142" s="11" t="n">
        <f aca="false">X140-X141*X135</f>
        <v>22.165240754918</v>
      </c>
      <c r="Y142" s="11" t="n">
        <f aca="false">Y140-Y141*Y135</f>
        <v>20.6321248056514</v>
      </c>
      <c r="Z142" s="11" t="n">
        <f aca="false">Z140-Z141*Z135</f>
        <v>21.6030412013719</v>
      </c>
      <c r="AA142" s="11" t="n">
        <f aca="false">AA140-AA141*AA135</f>
        <v>22.0513567046932</v>
      </c>
      <c r="AB142" s="11" t="n">
        <f aca="false">AB140-AB141*AB135</f>
        <v>23.1244569323882</v>
      </c>
      <c r="AC142" s="11" t="n">
        <f aca="false">AC140-AC141*AC135</f>
        <v>23.7780611405947</v>
      </c>
      <c r="AD142" s="11" t="n">
        <f aca="false">AD140-AD141*AD135</f>
        <v>24.9080490453932</v>
      </c>
      <c r="AE142" s="11" t="n">
        <f aca="false">AE140-AE141*AE135</f>
        <v>26.9003289527249</v>
      </c>
      <c r="AF142" s="11" t="n">
        <f aca="false">AF140-AF141*AF135</f>
        <v>28.3457657304127</v>
      </c>
      <c r="AG142" s="11" t="n">
        <f aca="false">AG140-AG141*AG135</f>
        <v>28.5658215078406</v>
      </c>
      <c r="AH142" s="11" t="n">
        <f aca="false">AH140-AH141*AH135</f>
        <v>30.0406006375017</v>
      </c>
      <c r="AI142" s="11" t="n">
        <f aca="false">AI140-AI141*AI135</f>
        <v>30.9717569872952</v>
      </c>
      <c r="AJ142" s="11" t="n">
        <f aca="false">AJ140-AJ141*AJ135</f>
        <v>32.4894538308987</v>
      </c>
      <c r="AK142" s="11" t="n">
        <f aca="false">AK140-AK141*AK135</f>
        <v>33.4477041655793</v>
      </c>
      <c r="AL142" s="11" t="n">
        <f aca="false">AL140-AL141*AL135</f>
        <v>35.0162454637648</v>
      </c>
      <c r="AM142" s="11" t="n">
        <f aca="false">AM140-AM141*AM135</f>
        <v>36.6322567090395</v>
      </c>
      <c r="AN142" s="11" t="n">
        <f aca="false">AN140-AN141*AN135</f>
        <v>31.8149852452333</v>
      </c>
      <c r="AO142" s="11" t="n">
        <f aca="false">AO140-AO141*AO135</f>
        <v>30.3321313749574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52.8623609134466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</v>
      </c>
      <c r="Q7" s="11" t="n">
        <f aca="false">SUM(Operations!R74:W74)/6</f>
        <v>0.425643107380042</v>
      </c>
      <c r="R7" s="11" t="n">
        <f aca="false">SUM(Operations!S74:X74)/6</f>
        <v>0.425643107380042</v>
      </c>
      <c r="S7" s="11" t="n">
        <f aca="false">SUM(Operations!T74:Y74)/6</f>
        <v>0.425643107380042</v>
      </c>
      <c r="T7" s="11" t="n">
        <f aca="false">SUM(Operations!U74:Z74)/6</f>
        <v>0.425643107380042</v>
      </c>
      <c r="U7" s="11" t="n">
        <f aca="false">SUM(Operations!V74:AA74)/6</f>
        <v>0.425643107380042</v>
      </c>
      <c r="V7" s="11" t="n">
        <f aca="false">SUM(Operations!W74:AB74)/6</f>
        <v>0.425643107380042</v>
      </c>
      <c r="W7" s="11" t="n">
        <f aca="false">SUM(Operations!X74:AC74)/6</f>
        <v>0</v>
      </c>
      <c r="X7" s="11" t="n">
        <f aca="false">SUM(Operations!Y74:AD74)/6</f>
        <v>0</v>
      </c>
      <c r="Y7" s="11" t="n">
        <f aca="false">SUM(Operations!Z74:AE74)/6</f>
        <v>2.01717080397687</v>
      </c>
      <c r="Z7" s="11" t="n">
        <f aca="false">SUM(Operations!AA74:AF74)/6</f>
        <v>2.01717080397687</v>
      </c>
      <c r="AA7" s="11" t="n">
        <f aca="false">SUM(Operations!AB74:AG74)/6</f>
        <v>2.01717080397687</v>
      </c>
      <c r="AB7" s="11" t="n">
        <f aca="false">SUM(Operations!AC74:AH74)/6</f>
        <v>2.01717080397687</v>
      </c>
      <c r="AC7" s="11" t="n">
        <f aca="false">SUM(Operations!AD74:AI74)/6</f>
        <v>2.01717080397687</v>
      </c>
      <c r="AD7" s="11" t="n">
        <f aca="false">SUM(Operations!AE74:AJ74)/6</f>
        <v>2.01717080397687</v>
      </c>
      <c r="AE7" s="11" t="n">
        <f aca="false">SUM(Operations!AF74:AK74)/6</f>
        <v>0</v>
      </c>
      <c r="AF7" s="11" t="n">
        <f aca="false">SUM(Operations!AG74:AL74)/6</f>
        <v>0</v>
      </c>
      <c r="AG7" s="11" t="n">
        <f aca="false">SUM(Operations!AH74:AM74)/6</f>
        <v>0.506585519410805</v>
      </c>
      <c r="AH7" s="11" t="n">
        <f aca="false">SUM(Operations!AI74:AN74)/6</f>
        <v>0.506585519410805</v>
      </c>
      <c r="AI7" s="11" t="n">
        <f aca="false">SUM(Operations!AJ74:AO74)/6</f>
        <v>0.506585519410805</v>
      </c>
      <c r="AJ7" s="11" t="n">
        <f aca="false">SUM(Operations!AK74:AP74)/6</f>
        <v>0.506585519410805</v>
      </c>
      <c r="AK7" s="11" t="n">
        <f aca="false">SUM(Operations!AL74:AQ74)/6</f>
        <v>0.506585519410805</v>
      </c>
      <c r="AL7" s="11" t="n">
        <f aca="false">SUM(Operations!AM74:AR74)/6</f>
        <v>0.506585519410805</v>
      </c>
      <c r="AM7" s="11" t="n">
        <f aca="false">SUM(Operations!AN74:AS74)/6</f>
        <v>0</v>
      </c>
      <c r="AN7" s="11" t="n">
        <f aca="false">SUM(Operations!AO74:AT74)/6</f>
        <v>0</v>
      </c>
      <c r="AO7" s="11" t="n">
        <f aca="false">SUM(Operations!AP74:AU74)/6</f>
        <v>2.4007660449686</v>
      </c>
      <c r="AP7" s="11" t="n">
        <f aca="false">SUM(Operations!AQ74:AV74)/6</f>
        <v>2.4007660449686</v>
      </c>
      <c r="AQ7" s="11" t="n">
        <f aca="false">SUM(Operations!AR74:AW74)/6</f>
        <v>2.4007660449686</v>
      </c>
      <c r="AR7" s="11" t="n">
        <f aca="false">SUM(Operations!AS74:AX74)/6</f>
        <v>2.4007660449686</v>
      </c>
      <c r="AS7" s="11" t="n">
        <f aca="false">SUM(Operations!AT74:AY74)/6</f>
        <v>2.4007660449686</v>
      </c>
      <c r="AT7" s="11" t="n">
        <f aca="false">SUM(Operations!AU74:AZ74)/6</f>
        <v>2.4007660449686</v>
      </c>
      <c r="AU7" s="11" t="n">
        <f aca="false">SUM(Operations!AV74:BA74)/6</f>
        <v>0</v>
      </c>
      <c r="AV7" s="11" t="n">
        <f aca="false">SUM(Operations!AW74:BB74)/6</f>
        <v>0</v>
      </c>
      <c r="AW7" s="11" t="n">
        <f aca="false">SUM(Operations!AX74:BC74)/6</f>
        <v>0.60292034342184</v>
      </c>
      <c r="AX7" s="11" t="n">
        <f aca="false">SUM(Operations!AY74:BD74)/6</f>
        <v>0.60292034342184</v>
      </c>
      <c r="AY7" s="11" t="n">
        <f aca="false">SUM(Operations!AZ74:BE74)/6</f>
        <v>0.60292034342184</v>
      </c>
      <c r="AZ7" s="11" t="n">
        <f aca="false">SUM(Operations!BA74:BF74)/6</f>
        <v>0.60292034342184</v>
      </c>
      <c r="BA7" s="11" t="n">
        <f aca="false">SUM(Operations!BB74:BG74)/6</f>
        <v>0.60292034342184</v>
      </c>
      <c r="BB7" s="11" t="n">
        <f aca="false">SUM(Operations!BC74:BH74)/6</f>
        <v>0.60292034342184</v>
      </c>
      <c r="BC7" s="11" t="n">
        <f aca="false">SUM(Operations!BD74:BI74)/6</f>
        <v>0</v>
      </c>
      <c r="BD7" s="11" t="n">
        <f aca="false">SUM(Operations!BE74:BJ74)/6</f>
        <v>0</v>
      </c>
      <c r="BE7" s="11" t="n">
        <f aca="false">SUM(Operations!BF74:BK74)/6</f>
        <v>2.85730766641628</v>
      </c>
      <c r="BF7" s="11" t="n">
        <f aca="false">SUM(Operations!BG74:BL74)/6</f>
        <v>2.85730766641628</v>
      </c>
      <c r="BG7" s="11" t="n">
        <f aca="false">SUM(Operations!BH74:BM74)/6</f>
        <v>2.85730766641628</v>
      </c>
      <c r="BH7" s="11" t="n">
        <f aca="false">SUM(Operations!BI74:BN74)/6</f>
        <v>2.85730766641628</v>
      </c>
      <c r="BI7" s="11" t="n">
        <f aca="false">SUM(Operations!BJ74:BN74)/6</f>
        <v>2.85730766641628</v>
      </c>
      <c r="BJ7" s="11" t="n">
        <f aca="false">SUM(Operations!BK74:BN74)/6</f>
        <v>2.85730766641628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</v>
      </c>
      <c r="Q8" s="11" t="n">
        <f aca="false">P8+Q7-Operations!Q74</f>
        <v>0.425643107380042</v>
      </c>
      <c r="R8" s="11" t="n">
        <f aca="false">Q8+R7-Operations!R74</f>
        <v>0.851286214760085</v>
      </c>
      <c r="S8" s="11" t="n">
        <f aca="false">R8+S7-Operations!S74</f>
        <v>1.27692932214013</v>
      </c>
      <c r="T8" s="11" t="n">
        <f aca="false">S8+T7-Operations!T74</f>
        <v>1.70257242952017</v>
      </c>
      <c r="U8" s="11" t="n">
        <f aca="false">T8+U7-Operations!U74</f>
        <v>2.12821553690021</v>
      </c>
      <c r="V8" s="11" t="n">
        <f aca="false">U8+V7-Operations!V74</f>
        <v>2.55385864428026</v>
      </c>
      <c r="W8" s="11" t="n">
        <f aca="false">V8+W7-Operations!W74</f>
        <v>0</v>
      </c>
      <c r="X8" s="11" t="n">
        <f aca="false">W8+X7-Operations!X74</f>
        <v>0</v>
      </c>
      <c r="Y8" s="11" t="n">
        <f aca="false">X8+Y7-Operations!Y74</f>
        <v>2.01717080397687</v>
      </c>
      <c r="Z8" s="11" t="n">
        <f aca="false">Y8+Z7-Operations!Z74</f>
        <v>4.03434160795373</v>
      </c>
      <c r="AA8" s="11" t="n">
        <f aca="false">Z8+AA7-Operations!AA74</f>
        <v>6.0515124119306</v>
      </c>
      <c r="AB8" s="11" t="n">
        <f aca="false">AA8+AB7-Operations!AB74</f>
        <v>8.06868321590747</v>
      </c>
      <c r="AC8" s="11" t="n">
        <f aca="false">AB8+AC7-Operations!AC74</f>
        <v>10.0858540198843</v>
      </c>
      <c r="AD8" s="11" t="n">
        <f aca="false">AC8+AD7-Operations!AD74</f>
        <v>12.1030248238612</v>
      </c>
      <c r="AE8" s="11" t="n">
        <f aca="false">AD8+AE7-Operations!AE74</f>
        <v>0</v>
      </c>
      <c r="AF8" s="11" t="n">
        <f aca="false">AE8+AF7-Operations!AF74</f>
        <v>0</v>
      </c>
      <c r="AG8" s="11" t="n">
        <f aca="false">AF8+AG7-Operations!AG74</f>
        <v>0.506585519410805</v>
      </c>
      <c r="AH8" s="11" t="n">
        <f aca="false">AG8+AH7-Operations!AH74</f>
        <v>1.01317103882161</v>
      </c>
      <c r="AI8" s="11" t="n">
        <f aca="false">AH8+AI7-Operations!AI74</f>
        <v>1.51975655823241</v>
      </c>
      <c r="AJ8" s="11" t="n">
        <f aca="false">AI8+AJ7-Operations!AJ74</f>
        <v>2.02634207764322</v>
      </c>
      <c r="AK8" s="11" t="n">
        <f aca="false">AJ8+AK7-Operations!AK74</f>
        <v>2.53292759705402</v>
      </c>
      <c r="AL8" s="11" t="n">
        <f aca="false">AK8+AL7-Operations!AL74</f>
        <v>3.03951311646483</v>
      </c>
      <c r="AM8" s="11" t="n">
        <f aca="false">AL8+AM7-Operations!AM74</f>
        <v>0</v>
      </c>
      <c r="AN8" s="11" t="n">
        <f aca="false">AM8+AN7-Operations!AN74</f>
        <v>0</v>
      </c>
      <c r="AO8" s="11" t="n">
        <f aca="false">AN8+AO7-Operations!AO74</f>
        <v>2.4007660449686</v>
      </c>
      <c r="AP8" s="11" t="n">
        <f aca="false">AO8+AP7-Operations!AP74</f>
        <v>4.80153208993721</v>
      </c>
      <c r="AQ8" s="11" t="n">
        <f aca="false">AP8+AQ7-Operations!AQ74</f>
        <v>7.20229813490581</v>
      </c>
      <c r="AR8" s="11" t="n">
        <f aca="false">AQ8+AR7-Operations!AR74</f>
        <v>9.60306417987441</v>
      </c>
      <c r="AS8" s="11" t="n">
        <f aca="false">AR8+AS7-Operations!AS74</f>
        <v>12.003830224843</v>
      </c>
      <c r="AT8" s="11" t="n">
        <f aca="false">AS8+AT7-Operations!AT74</f>
        <v>14.4045962698116</v>
      </c>
      <c r="AU8" s="11" t="n">
        <f aca="false">AT8+AU7-Operations!AU74</f>
        <v>0</v>
      </c>
      <c r="AV8" s="11" t="n">
        <f aca="false">AU8+AV7-Operations!AV74</f>
        <v>0</v>
      </c>
      <c r="AW8" s="11" t="n">
        <f aca="false">AV8+AW7-Operations!AW74</f>
        <v>0.60292034342184</v>
      </c>
      <c r="AX8" s="11" t="n">
        <f aca="false">AW8+AX7-Operations!AX74</f>
        <v>1.20584068684368</v>
      </c>
      <c r="AY8" s="11" t="n">
        <f aca="false">AX8+AY7-Operations!AY74</f>
        <v>1.80876103026552</v>
      </c>
      <c r="AZ8" s="11" t="n">
        <f aca="false">AY8+AZ7-Operations!AZ74</f>
        <v>2.41168137368736</v>
      </c>
      <c r="BA8" s="11" t="n">
        <f aca="false">AZ8+BA7-Operations!BA74</f>
        <v>3.0146017171092</v>
      </c>
      <c r="BB8" s="11" t="n">
        <f aca="false">BA8+BB7-Operations!BB74</f>
        <v>3.61752206053104</v>
      </c>
      <c r="BC8" s="11" t="n">
        <f aca="false">BB8+BC7-Operations!BC74</f>
        <v>0</v>
      </c>
      <c r="BD8" s="11" t="n">
        <f aca="false">BC8+BD7-Operations!BD74</f>
        <v>0</v>
      </c>
      <c r="BE8" s="11" t="n">
        <f aca="false">BD8+BE7-Operations!BE74</f>
        <v>2.85730766641628</v>
      </c>
      <c r="BF8" s="11" t="n">
        <f aca="false">BE8+BF7-Operations!BF74</f>
        <v>5.71461533283255</v>
      </c>
      <c r="BG8" s="11" t="n">
        <f aca="false">BF8+BG7-Operations!BG74</f>
        <v>8.57192299924883</v>
      </c>
      <c r="BH8" s="11" t="n">
        <f aca="false">BG8+BH7-Operations!BH74</f>
        <v>11.4292306656651</v>
      </c>
      <c r="BI8" s="11" t="n">
        <f aca="false">BH8+BI7-Operations!BI74</f>
        <v>14.2865383320814</v>
      </c>
      <c r="BJ8" s="11" t="n">
        <f aca="false">BI8+BJ7-Operations!BJ74</f>
        <v>17.1438459984977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0</v>
      </c>
      <c r="P9" s="11" t="n">
        <f aca="false">IF(Time!P29=1,SUM(Funding!$J$44:$BJ$44),O13)</f>
        <v>35.6629635642437</v>
      </c>
      <c r="Q9" s="11" t="n">
        <f aca="false">IF(Time!Q29=1,SUM(Funding!$J$44:$BJ$44),P13)</f>
        <v>37.3875772627815</v>
      </c>
      <c r="R9" s="11" t="n">
        <f aca="false">IF(Time!R29=1,SUM(Funding!$J$44:$BJ$44),Q13)</f>
        <v>37.0065931102797</v>
      </c>
      <c r="S9" s="11" t="n">
        <f aca="false">IF(Time!S29=1,SUM(Funding!$J$44:$BJ$44),R13)</f>
        <v>36.8164435475807</v>
      </c>
      <c r="T9" s="11" t="n">
        <f aca="false">IF(Time!T29=1,SUM(Funding!$J$44:$BJ$44),S13)</f>
        <v>37.2430586057777</v>
      </c>
      <c r="U9" s="11" t="n">
        <f aca="false">IF(Time!U29=1,SUM(Funding!$J$44:$BJ$44),T13)</f>
        <v>36.993131919249</v>
      </c>
      <c r="V9" s="11" t="n">
        <f aca="false">IF(Time!V29=1,SUM(Funding!$J$44:$BJ$44),U13)</f>
        <v>37.3361511902891</v>
      </c>
      <c r="W9" s="11" t="n">
        <f aca="false">IF(Time!W29=1,SUM(Funding!$J$44:$BJ$44),V13)</f>
        <v>37.5436612882369</v>
      </c>
      <c r="X9" s="11" t="n">
        <f aca="false">IF(Time!X29=1,SUM(Funding!$J$44:$BJ$44),W13)</f>
        <v>37.9633484165791</v>
      </c>
      <c r="Y9" s="11" t="n">
        <f aca="false">IF(Time!Y29=1,SUM(Funding!$J$44:$BJ$44),X13)</f>
        <v>36.0745484246521</v>
      </c>
      <c r="Z9" s="11" t="n">
        <f aca="false">IF(Time!Z29=1,SUM(Funding!$J$44:$BJ$44),Y13)</f>
        <v>36.4825353356345</v>
      </c>
      <c r="AA9" s="11" t="n">
        <f aca="false">IF(Time!AA29=1,SUM(Funding!$J$44:$BJ$44),Z13)</f>
        <v>36.0143504443871</v>
      </c>
      <c r="AB9" s="11" t="n">
        <f aca="false">IF(Time!AB29=1,SUM(Funding!$J$44:$BJ$44),AA13)</f>
        <v>36.4566065972174</v>
      </c>
      <c r="AC9" s="11" t="n">
        <f aca="false">IF(Time!AC29=1,SUM(Funding!$J$44:$BJ$44),AB13)</f>
        <v>35.5776399035142</v>
      </c>
      <c r="AD9" s="11" t="n">
        <f aca="false">IF(Time!AD29=1,SUM(Funding!$J$44:$BJ$44),AC13)</f>
        <v>35.1716642254911</v>
      </c>
      <c r="AE9" s="11" t="n">
        <f aca="false">IF(Time!AE29=1,SUM(Funding!$J$44:$BJ$44),AD13)</f>
        <v>35.2483765941687</v>
      </c>
      <c r="AF9" s="11" t="n">
        <f aca="false">IF(Time!AF29=1,SUM(Funding!$J$44:$BJ$44),AE13)</f>
        <v>34.8798069123092</v>
      </c>
      <c r="AG9" s="11" t="n">
        <f aca="false">IF(Time!AG29=1,SUM(Funding!$J$44:$BJ$44),AF13)</f>
        <v>33.2228655997438</v>
      </c>
      <c r="AH9" s="11" t="n">
        <f aca="false">IF(Time!AH29=1,SUM(Funding!$J$44:$BJ$44),AG13)</f>
        <v>32.27346696334</v>
      </c>
      <c r="AI9" s="11" t="n">
        <f aca="false">IF(Time!AI29=1,SUM(Funding!$J$44:$BJ$44),AH13)</f>
        <v>30.5128630388371</v>
      </c>
      <c r="AJ9" s="11" t="n">
        <f aca="false">IF(Time!AJ29=1,SUM(Funding!$J$44:$BJ$44),AI13)</f>
        <v>28.8709286926137</v>
      </c>
      <c r="AK9" s="11" t="n">
        <f aca="false">IF(Time!AK29=1,SUM(Funding!$J$44:$BJ$44),AJ13)</f>
        <v>26.2440769993887</v>
      </c>
      <c r="AL9" s="11" t="n">
        <f aca="false">IF(Time!AL29=1,SUM(Funding!$J$44:$BJ$44),AK13)</f>
        <v>23.1363831550294</v>
      </c>
      <c r="AM9" s="11" t="n">
        <f aca="false">IF(Time!AM29=1,SUM(Funding!$J$44:$BJ$44),AL13)</f>
        <v>23.4447942143853</v>
      </c>
      <c r="AN9" s="11" t="n">
        <f aca="false">IF(Time!AN29=1,SUM(Funding!$J$44:$BJ$44),AM13)</f>
        <v>19.9860565222547</v>
      </c>
      <c r="AO9" s="11" t="n">
        <f aca="false">IF(Time!AO29=1,SUM(Funding!$J$44:$BJ$44),AN13)</f>
        <v>18.5825555551695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4.35681174591119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0</v>
      </c>
      <c r="P11" s="11" t="n">
        <f aca="false">MIN(Waterfall!P13,MAX(0,Debt!P132-(P9-P10)))</f>
        <v>1.72461369853779</v>
      </c>
      <c r="Q11" s="11" t="n">
        <f aca="false">MIN(Waterfall!Q13,MAX(0,Debt!Q132-(Q9-Q10)))</f>
        <v>0</v>
      </c>
      <c r="R11" s="11" t="n">
        <f aca="false">MIN(Waterfall!R13,MAX(0,Debt!R132-(R9-R10)))</f>
        <v>0</v>
      </c>
      <c r="S11" s="11" t="n">
        <f aca="false">MIN(Waterfall!S13,MAX(0,Debt!S132-(S9-S10)))</f>
        <v>0.426615058197022</v>
      </c>
      <c r="T11" s="11" t="n">
        <f aca="false">MIN(Waterfall!T13,MAX(0,Debt!T132-(T9-T10)))</f>
        <v>0</v>
      </c>
      <c r="U11" s="11" t="n">
        <f aca="false">MIN(Waterfall!U13,MAX(0,Debt!U132-(U9-U10)))</f>
        <v>0.343019271040092</v>
      </c>
      <c r="V11" s="11" t="n">
        <f aca="false">MIN(Waterfall!V13,MAX(0,Debt!V132-(V9-V10)))</f>
        <v>0.207510097947775</v>
      </c>
      <c r="W11" s="11" t="n">
        <f aca="false">MIN(Waterfall!W13,MAX(0,Debt!W132-(W9-W10)))</f>
        <v>0.419687128342247</v>
      </c>
      <c r="X11" s="11" t="n">
        <f aca="false">MIN(Waterfall!X13,MAX(0,Debt!X132-(X9-X10)))</f>
        <v>0</v>
      </c>
      <c r="Y11" s="11" t="n">
        <f aca="false">MIN(Waterfall!Y13,MAX(0,Debt!Y132-(Y9-Y10)))</f>
        <v>0.407986910982416</v>
      </c>
      <c r="Z11" s="11" t="n">
        <f aca="false">MIN(Waterfall!Z13,MAX(0,Debt!Z132-(Z9-Z10)))</f>
        <v>0</v>
      </c>
      <c r="AA11" s="11" t="n">
        <f aca="false">MIN(Waterfall!AA13,MAX(0,Debt!AA132-(AA9-AA10)))</f>
        <v>0.442256152830346</v>
      </c>
      <c r="AB11" s="11" t="n">
        <f aca="false">MIN(Waterfall!AB13,MAX(0,Debt!AB132-(AB9-AB10)))</f>
        <v>0</v>
      </c>
      <c r="AC11" s="11" t="n">
        <f aca="false">MIN(Waterfall!AC13,MAX(0,Debt!AC132-(AC9-AC10)))</f>
        <v>0</v>
      </c>
      <c r="AD11" s="11" t="n">
        <f aca="false">MIN(Waterfall!AD13,MAX(0,Debt!AD132-(AD9-AD10)))</f>
        <v>0.0767123686776188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0.308411059355887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40.0197753101549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</v>
      </c>
      <c r="Q12" s="11" t="n">
        <f aca="false">MAX(0,Q9-Q10-Debt!Q132)</f>
        <v>0.380984152501775</v>
      </c>
      <c r="R12" s="11" t="n">
        <f aca="false">MAX(0,R9-R10-Debt!R132)</f>
        <v>0.19014956269902</v>
      </c>
      <c r="S12" s="11" t="n">
        <f aca="false">MAX(0,S9-S10-Debt!S132)</f>
        <v>0</v>
      </c>
      <c r="T12" s="11" t="n">
        <f aca="false">MAX(0,T9-T10-Debt!T132)</f>
        <v>0.249926686528696</v>
      </c>
      <c r="U12" s="11" t="n">
        <f aca="false">MAX(0,U9-U10-Debt!U132)</f>
        <v>0</v>
      </c>
      <c r="V12" s="11" t="n">
        <f aca="false">MAX(0,V9-V10-Debt!V132)</f>
        <v>0</v>
      </c>
      <c r="W12" s="11" t="n">
        <f aca="false">MAX(0,W9-W10-Debt!W132)</f>
        <v>0</v>
      </c>
      <c r="X12" s="11" t="n">
        <f aca="false">MAX(0,X9-X10-Debt!X132)</f>
        <v>1.88879999192702</v>
      </c>
      <c r="Y12" s="11" t="n">
        <f aca="false">MAX(0,Y9-Y10-Debt!Y132)</f>
        <v>0</v>
      </c>
      <c r="Z12" s="11" t="n">
        <f aca="false">MAX(0,Z9-Z10-Debt!Z132)</f>
        <v>0.468184891247482</v>
      </c>
      <c r="AA12" s="11" t="n">
        <f aca="false">MAX(0,AA9-AA10-Debt!AA132)</f>
        <v>0</v>
      </c>
      <c r="AB12" s="11" t="n">
        <f aca="false">MAX(0,AB9-AB10-Debt!AB132)</f>
        <v>0.878966693703255</v>
      </c>
      <c r="AC12" s="11" t="n">
        <f aca="false">MAX(0,AC9-AC10-Debt!AC132)</f>
        <v>0.405975678023033</v>
      </c>
      <c r="AD12" s="11" t="n">
        <f aca="false">MAX(0,AD9-AD10-Debt!AD132)</f>
        <v>0</v>
      </c>
      <c r="AE12" s="11" t="n">
        <f aca="false">MAX(0,AE9-AE10-Debt!AE132)</f>
        <v>0.368569681859491</v>
      </c>
      <c r="AF12" s="11" t="n">
        <f aca="false">MAX(0,AF9-AF10-Debt!AF132)</f>
        <v>1.65694131256542</v>
      </c>
      <c r="AG12" s="11" t="n">
        <f aca="false">MAX(0,AG9-AG10-Debt!AG132)</f>
        <v>0.949398636403828</v>
      </c>
      <c r="AH12" s="11" t="n">
        <f aca="false">MAX(0,AH9-AH10-Debt!AH132)</f>
        <v>1.76060392450294</v>
      </c>
      <c r="AI12" s="11" t="n">
        <f aca="false">MAX(0,AI9-AI10-Debt!AI132)</f>
        <v>1.64193434622337</v>
      </c>
      <c r="AJ12" s="11" t="n">
        <f aca="false">MAX(0,AJ9-AJ10-Debt!AJ132)</f>
        <v>2.62685169322497</v>
      </c>
      <c r="AK12" s="11" t="n">
        <f aca="false">MAX(0,AK9-AK10-Debt!AK132)</f>
        <v>3.10769384435926</v>
      </c>
      <c r="AL12" s="11" t="n">
        <f aca="false">MAX(0,AL9-AL10-Debt!AL132)</f>
        <v>0</v>
      </c>
      <c r="AM12" s="11" t="n">
        <f aca="false">MAX(0,AM9-AM10-Debt!AM132)</f>
        <v>3.45873769213066</v>
      </c>
      <c r="AN12" s="11" t="n">
        <f aca="false">MAX(0,AN9-AN10-Debt!AN132)</f>
        <v>1.40350096708514</v>
      </c>
      <c r="AO12" s="11" t="n">
        <f aca="false">MAX(0,AO9-AO10-Debt!AO132)</f>
        <v>18.5825555551695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0</v>
      </c>
      <c r="P13" s="11" t="n">
        <f aca="false">(1-Time!P32)*(P9-P10+P11-P12)</f>
        <v>37.3875772627815</v>
      </c>
      <c r="Q13" s="11" t="n">
        <f aca="false">(1-Time!Q32)*(Q9-Q10+Q11-Q12)</f>
        <v>37.0065931102797</v>
      </c>
      <c r="R13" s="11" t="n">
        <f aca="false">(1-Time!R32)*(R9-R10+R11-R12)</f>
        <v>36.8164435475807</v>
      </c>
      <c r="S13" s="11" t="n">
        <f aca="false">(1-Time!S32)*(S9-S10+S11-S12)</f>
        <v>37.2430586057777</v>
      </c>
      <c r="T13" s="11" t="n">
        <f aca="false">(1-Time!T32)*(T9-T10+T11-T12)</f>
        <v>36.993131919249</v>
      </c>
      <c r="U13" s="11" t="n">
        <f aca="false">(1-Time!U32)*(U9-U10+U11-U12)</f>
        <v>37.3361511902891</v>
      </c>
      <c r="V13" s="11" t="n">
        <f aca="false">(1-Time!V32)*(V9-V10+V11-V12)</f>
        <v>37.5436612882369</v>
      </c>
      <c r="W13" s="11" t="n">
        <f aca="false">(1-Time!W32)*(W9-W10+W11-W12)</f>
        <v>37.9633484165791</v>
      </c>
      <c r="X13" s="11" t="n">
        <f aca="false">(1-Time!X32)*(X9-X10+X11-X12)</f>
        <v>36.0745484246521</v>
      </c>
      <c r="Y13" s="11" t="n">
        <f aca="false">(1-Time!Y32)*(Y9-Y10+Y11-Y12)</f>
        <v>36.4825353356345</v>
      </c>
      <c r="Z13" s="11" t="n">
        <f aca="false">(1-Time!Z32)*(Z9-Z10+Z11-Z12)</f>
        <v>36.0143504443871</v>
      </c>
      <c r="AA13" s="11" t="n">
        <f aca="false">(1-Time!AA32)*(AA9-AA10+AA11-AA12)</f>
        <v>36.4566065972174</v>
      </c>
      <c r="AB13" s="11" t="n">
        <f aca="false">(1-Time!AB32)*(AB9-AB10+AB11-AB12)</f>
        <v>35.5776399035142</v>
      </c>
      <c r="AC13" s="11" t="n">
        <f aca="false">(1-Time!AC32)*(AC9-AC10+AC11-AC12)</f>
        <v>35.1716642254911</v>
      </c>
      <c r="AD13" s="11" t="n">
        <f aca="false">(1-Time!AD32)*(AD9-AD10+AD11-AD12)</f>
        <v>35.2483765941687</v>
      </c>
      <c r="AE13" s="11" t="n">
        <f aca="false">(1-Time!AE32)*(AE9-AE10+AE11-AE12)</f>
        <v>34.8798069123092</v>
      </c>
      <c r="AF13" s="11" t="n">
        <f aca="false">(1-Time!AF32)*(AF9-AF10+AF11-AF12)</f>
        <v>33.2228655997438</v>
      </c>
      <c r="AG13" s="11" t="n">
        <f aca="false">(1-Time!AG32)*(AG9-AG10+AG11-AG12)</f>
        <v>32.27346696334</v>
      </c>
      <c r="AH13" s="11" t="n">
        <f aca="false">(1-Time!AH32)*(AH9-AH10+AH11-AH12)</f>
        <v>30.5128630388371</v>
      </c>
      <c r="AI13" s="11" t="n">
        <f aca="false">(1-Time!AI32)*(AI9-AI10+AI11-AI12)</f>
        <v>28.8709286926137</v>
      </c>
      <c r="AJ13" s="11" t="n">
        <f aca="false">(1-Time!AJ32)*(AJ9-AJ10+AJ11-AJ12)</f>
        <v>26.2440769993887</v>
      </c>
      <c r="AK13" s="11" t="n">
        <f aca="false">(1-Time!AK32)*(AK9-AK10+AK11-AK12)</f>
        <v>23.1363831550294</v>
      </c>
      <c r="AL13" s="11" t="n">
        <f aca="false">(1-Time!AL32)*(AL9-AL10+AL11-AL12)</f>
        <v>23.4447942143853</v>
      </c>
      <c r="AM13" s="11" t="n">
        <f aca="false">(1-Time!AM32)*(AM9-AM10+AM11-AM12)</f>
        <v>19.9860565222547</v>
      </c>
      <c r="AN13" s="11" t="n">
        <f aca="false">(1-Time!AN32)*(AN9-AN10+AN11-AN12)</f>
        <v>18.5825555551695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19.5339439119651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</v>
      </c>
      <c r="BB14" s="11" t="n">
        <f aca="false">MIN(Waterfall!BB14,Operations!BB76)</f>
        <v>0.253057800568246</v>
      </c>
      <c r="BC14" s="11" t="n">
        <f aca="false">MIN(Waterfall!BC14,Operations!BC76)</f>
        <v>1.53495775504184</v>
      </c>
      <c r="BD14" s="11" t="n">
        <f aca="false">MIN(Waterfall!BD14,Operations!BD76)</f>
        <v>1.55175043308448</v>
      </c>
      <c r="BE14" s="11" t="n">
        <f aca="false">MIN(Waterfall!BE14,Operations!BE76)</f>
        <v>1.56872682565276</v>
      </c>
      <c r="BF14" s="11" t="n">
        <f aca="false">MIN(Waterfall!BF14,Operations!BF76)</f>
        <v>1.58588894261234</v>
      </c>
      <c r="BG14" s="11" t="n">
        <f aca="false">MIN(Waterfall!BG14,Operations!BG76)</f>
        <v>1.60323881581712</v>
      </c>
      <c r="BH14" s="11" t="n">
        <f aca="false">MIN(Waterfall!BH14,Operations!BH76)</f>
        <v>1.62077849934981</v>
      </c>
      <c r="BI14" s="11" t="n">
        <f aca="false">MIN(Waterfall!BI14,Operations!BI76)</f>
        <v>1.6385100697651</v>
      </c>
      <c r="BJ14" s="11" t="n">
        <f aca="false">MIN(Waterfall!BJ14,Operations!BJ76)</f>
        <v>1.65643562633551</v>
      </c>
      <c r="BK14" s="11" t="n">
        <f aca="false">MIN(Waterfall!BK14,Operations!BK76)</f>
        <v>1.67455729129993</v>
      </c>
      <c r="BL14" s="11" t="n">
        <f aca="false">MIN(Waterfall!BL14,Operations!BL76)</f>
        <v>1.69287721011489</v>
      </c>
      <c r="BM14" s="11" t="n">
        <f aca="false">MIN(Waterfall!BM14,Operations!BM76)</f>
        <v>1.71139755170853</v>
      </c>
      <c r="BN14" s="11" t="n">
        <f aca="false">MIN(Waterfall!BN14,Operations!BN76)</f>
        <v>1.44176709061451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19.5339439119651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0</v>
      </c>
      <c r="BN15" s="11" t="n">
        <f aca="false">Time!BN32*(BM16+BN14)</f>
        <v>19.5339439119651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</v>
      </c>
      <c r="BB16" s="11" t="n">
        <f aca="false">BA16+BB14-BB15</f>
        <v>0.253057800568246</v>
      </c>
      <c r="BC16" s="11" t="n">
        <f aca="false">BB16+BC14-BC15</f>
        <v>1.78801555561009</v>
      </c>
      <c r="BD16" s="11" t="n">
        <f aca="false">BC16+BD14-BD15</f>
        <v>3.33976598869457</v>
      </c>
      <c r="BE16" s="11" t="n">
        <f aca="false">BD16+BE14-BE15</f>
        <v>4.90849281434733</v>
      </c>
      <c r="BF16" s="11" t="n">
        <f aca="false">BE16+BF14-BF15</f>
        <v>6.49438175695967</v>
      </c>
      <c r="BG16" s="11" t="n">
        <f aca="false">BF16+BG14-BG15</f>
        <v>8.09762057277679</v>
      </c>
      <c r="BH16" s="11" t="n">
        <f aca="false">BG16+BH14-BH15</f>
        <v>9.7183990721266</v>
      </c>
      <c r="BI16" s="11" t="n">
        <f aca="false">BH16+BI14-BI15</f>
        <v>11.3569091418917</v>
      </c>
      <c r="BJ16" s="11" t="n">
        <f aca="false">BI16+BJ14-BJ15</f>
        <v>13.0133447682272</v>
      </c>
      <c r="BK16" s="11" t="n">
        <f aca="false">BJ16+BK14-BK15</f>
        <v>14.6879020595271</v>
      </c>
      <c r="BL16" s="11" t="n">
        <f aca="false">BK16+BL14-BL15</f>
        <v>16.380779269642</v>
      </c>
      <c r="BM16" s="11" t="n">
        <f aca="false">BL16+BM14-BM15</f>
        <v>18.0921768213506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18.485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2258.47339482127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0</v>
      </c>
      <c r="P7" s="11" t="n">
        <f aca="false">Operations!P79-Tax!P27-Operations!P91-Reserves!P7+Operations!P74+Operations!P92</f>
        <v>-6.29263433853431</v>
      </c>
      <c r="Q7" s="11" t="n">
        <f aca="false">Operations!Q79-Tax!Q27-Operations!Q91-Reserves!Q7+Operations!Q74+Operations!Q92</f>
        <v>48.8524843383707</v>
      </c>
      <c r="R7" s="11" t="n">
        <f aca="false">Operations!R79-Tax!R27-Operations!R91-Reserves!R7+Operations!R74+Operations!R92</f>
        <v>49.8826656945088</v>
      </c>
      <c r="S7" s="11" t="n">
        <f aca="false">Operations!S79-Tax!S27-Operations!S91-Reserves!S7+Operations!S74+Operations!S92</f>
        <v>49.6218581816983</v>
      </c>
      <c r="T7" s="11" t="n">
        <f aca="false">Operations!T79-Tax!T27-Operations!T91-Reserves!T7+Operations!T74+Operations!T92</f>
        <v>50.2009068531375</v>
      </c>
      <c r="U7" s="11" t="n">
        <f aca="false">Operations!U79-Tax!U27-Operations!U91-Reserves!U7+Operations!U74+Operations!U92</f>
        <v>49.8603583128226</v>
      </c>
      <c r="V7" s="11" t="n">
        <f aca="false">Operations!V79-Tax!V27-Operations!V91-Reserves!V7+Operations!V74+Operations!V92</f>
        <v>50.3248714681387</v>
      </c>
      <c r="W7" s="11" t="n">
        <f aca="false">Operations!W79-Tax!W27-Operations!W91-Reserves!W7+Operations!W74+Operations!W92</f>
        <v>50.5993486218694</v>
      </c>
      <c r="X7" s="11" t="n">
        <f aca="false">Operations!X79-Tax!X27-Operations!X91-Reserves!X7+Operations!X74+Operations!X92</f>
        <v>51.1683050749246</v>
      </c>
      <c r="Y7" s="11" t="n">
        <f aca="false">Operations!Y79-Tax!Y27-Operations!Y91-Reserves!Y7+Operations!Y74+Operations!Y92</f>
        <v>48.6187124216684</v>
      </c>
      <c r="Z7" s="11" t="n">
        <f aca="false">Operations!Z79-Tax!Z27-Operations!Z91-Reserves!Z7+Operations!Z74+Operations!Z92</f>
        <v>49.1715822652207</v>
      </c>
      <c r="AA7" s="11" t="n">
        <f aca="false">Operations!AA79-Tax!AA27-Operations!AA91-Reserves!AA7+Operations!AA74+Operations!AA92</f>
        <v>48.5363352747012</v>
      </c>
      <c r="AB7" s="11" t="n">
        <f aca="false">Operations!AB79-Tax!AB27-Operations!AB91-Reserves!AB7+Operations!AB74+Operations!AB92</f>
        <v>49.1349728342719</v>
      </c>
      <c r="AC7" s="11" t="n">
        <f aca="false">Operations!AC79-Tax!AC27-Operations!AC91-Reserves!AC7+Operations!AC74+Operations!AC92</f>
        <v>48.7853641113142</v>
      </c>
      <c r="AD7" s="11" t="n">
        <f aca="false">Operations!AD79-Tax!AD27-Operations!AD91-Reserves!AD7+Operations!AD74+Operations!AD92</f>
        <v>49.2890827641981</v>
      </c>
      <c r="AE7" s="11" t="n">
        <f aca="false">Operations!AE79-Tax!AE27-Operations!AE91-Reserves!AE7+Operations!AE74+Operations!AE92</f>
        <v>50.5521276735003</v>
      </c>
      <c r="AF7" s="11" t="n">
        <f aca="false">Operations!AF79-Tax!AF27-Operations!AF91-Reserves!AF7+Operations!AF74+Operations!AF92</f>
        <v>51.3634301840619</v>
      </c>
      <c r="AG7" s="11" t="n">
        <f aca="false">Operations!AG79-Tax!AG27-Operations!AG91-Reserves!AG7+Operations!AG74+Operations!AG92</f>
        <v>50.5952944106049</v>
      </c>
      <c r="AH7" s="11" t="n">
        <f aca="false">Operations!AH79-Tax!AH27-Operations!AH91-Reserves!AH7+Operations!AH74+Operations!AH92</f>
        <v>51.306437415909</v>
      </c>
      <c r="AI7" s="11" t="n">
        <f aca="false">Operations!AI79-Tax!AI27-Operations!AI91-Reserves!AI7+Operations!AI74+Operations!AI92</f>
        <v>50.9667680634296</v>
      </c>
      <c r="AJ7" s="11" t="n">
        <f aca="false">Operations!AJ79-Tax!AJ27-Operations!AJ91-Reserves!AJ7+Operations!AJ74+Operations!AJ92</f>
        <v>51.5883831639225</v>
      </c>
      <c r="AK7" s="11" t="n">
        <f aca="false">Operations!AK79-Tax!AK27-Operations!AK91-Reserves!AK7+Operations!AK74+Operations!AK92</f>
        <v>51.2309092052535</v>
      </c>
      <c r="AL7" s="11" t="n">
        <f aca="false">Operations!AL79-Tax!AL27-Operations!AL91-Reserves!AL7+Operations!AL74+Operations!AL92</f>
        <v>51.737876305492</v>
      </c>
      <c r="AM7" s="11" t="n">
        <f aca="false">Operations!AM79-Tax!AM27-Operations!AM91-Reserves!AM7+Operations!AM74+Operations!AM92</f>
        <v>52.1203860982191</v>
      </c>
      <c r="AN7" s="11" t="n">
        <f aca="false">Operations!AN79-Tax!AN27-Operations!AN91-Reserves!AN7+Operations!AN74+Operations!AN92</f>
        <v>44.191315687283</v>
      </c>
      <c r="AO7" s="11" t="n">
        <f aca="false">Operations!AO79-Tax!AO27-Operations!AO91-Reserves!AO7+Operations!AO74+Operations!AO92</f>
        <v>40.742324803979</v>
      </c>
      <c r="AP7" s="11" t="n">
        <f aca="false">Operations!AP79-Tax!AP27-Operations!AP91-Reserves!AP7+Operations!AP74+Operations!AP92</f>
        <v>40.6638375110176</v>
      </c>
      <c r="AQ7" s="11" t="n">
        <f aca="false">Operations!AQ79-Tax!AQ27-Operations!AQ91-Reserves!AQ7+Operations!AQ74+Operations!AQ92</f>
        <v>40.2707668330066</v>
      </c>
      <c r="AR7" s="11" t="n">
        <f aca="false">Operations!AR79-Tax!AR27-Operations!AR91-Reserves!AR7+Operations!AR74+Operations!AR92</f>
        <v>40.881138476395</v>
      </c>
      <c r="AS7" s="11" t="n">
        <f aca="false">Operations!AS79-Tax!AS27-Operations!AS91-Reserves!AS7+Operations!AS74+Operations!AS92</f>
        <v>40.4952595793712</v>
      </c>
      <c r="AT7" s="11" t="n">
        <f aca="false">Operations!AT79-Tax!AT27-Operations!AT91-Reserves!AT7+Operations!AT74+Operations!AT92</f>
        <v>40.9908594520066</v>
      </c>
      <c r="AU7" s="11" t="n">
        <f aca="false">Operations!AU79-Tax!AU27-Operations!AU91-Reserves!AU7+Operations!AU74+Operations!AU92</f>
        <v>47.1218168873766</v>
      </c>
      <c r="AV7" s="11" t="n">
        <f aca="false">Operations!AV79-Tax!AV27-Operations!AV91-Reserves!AV7+Operations!AV74+Operations!AV92</f>
        <v>43.4512690432593</v>
      </c>
      <c r="AW7" s="11" t="n">
        <f aca="false">Operations!AW79-Tax!AW27-Operations!AW91-Reserves!AW7+Operations!AW74+Operations!AW92</f>
        <v>42.5071712906167</v>
      </c>
      <c r="AX7" s="11" t="n">
        <f aca="false">Operations!AX79-Tax!AX27-Operations!AX91-Reserves!AX7+Operations!AX74+Operations!AX92</f>
        <v>43.2287926796445</v>
      </c>
      <c r="AY7" s="11" t="n">
        <f aca="false">Operations!AY79-Tax!AY27-Operations!AY91-Reserves!AY7+Operations!AY74+Operations!AY92</f>
        <v>42.8307705108825</v>
      </c>
      <c r="AZ7" s="11" t="n">
        <f aca="false">Operations!AZ79-Tax!AZ27-Operations!AZ91-Reserves!AZ7+Operations!AZ74+Operations!AZ92</f>
        <v>43.4650280952357</v>
      </c>
      <c r="BA7" s="11" t="n">
        <f aca="false">Operations!BA79-Tax!BA27-Operations!BA91-Reserves!BA7+Operations!BA74+Operations!BA92</f>
        <v>43.0687837485088</v>
      </c>
      <c r="BB7" s="11" t="n">
        <f aca="false">Operations!BB79-Tax!BB27-Operations!BB91-Reserves!BB7+Operations!BB74+Operations!BB92</f>
        <v>43.5698765833858</v>
      </c>
      <c r="BC7" s="11" t="n">
        <f aca="false">Operations!BC79-Tax!BC27-Operations!BC91-Reserves!BC7+Operations!BC74+Operations!BC92</f>
        <v>45.057248622633</v>
      </c>
      <c r="BD7" s="11" t="n">
        <f aca="false">Operations!BD79-Tax!BD27-Operations!BD91-Reserves!BD7+Operations!BD74+Operations!BD92</f>
        <v>43.6795437154488</v>
      </c>
      <c r="BE7" s="11" t="n">
        <f aca="false">Operations!BE79-Tax!BE27-Operations!BE91-Reserves!BE7+Operations!BE74+Operations!BE92</f>
        <v>35.6100154176191</v>
      </c>
      <c r="BF7" s="11" t="n">
        <f aca="false">Operations!BF79-Tax!BF27-Operations!BF91-Reserves!BF7+Operations!BF74+Operations!BF92</f>
        <v>36.2750145003363</v>
      </c>
      <c r="BG7" s="11" t="n">
        <f aca="false">Operations!BG79-Tax!BG27-Operations!BG91-Reserves!BG7+Operations!BG74+Operations!BG92</f>
        <v>35.8716904521011</v>
      </c>
      <c r="BH7" s="11" t="n">
        <f aca="false">Operations!BH79-Tax!BH27-Operations!BH91-Reserves!BH7+Operations!BH74+Operations!BH92</f>
        <v>36.53184775549</v>
      </c>
      <c r="BI7" s="11" t="n">
        <f aca="false">Operations!BI79-Tax!BI27-Operations!BI91-Reserves!BI7+Operations!BI74+Operations!BI92</f>
        <v>36.1243146747659</v>
      </c>
      <c r="BJ7" s="11" t="n">
        <f aca="false">Operations!BJ79-Tax!BJ27-Operations!BJ91-Reserves!BJ7+Operations!BJ74+Operations!BJ92</f>
        <v>36.6691569274026</v>
      </c>
      <c r="BK7" s="11" t="n">
        <f aca="false">Operations!BK79-Tax!BK27-Operations!BK91-Reserves!BK7+Operations!BK74+Operations!BK92</f>
        <v>44.0738914205418</v>
      </c>
      <c r="BL7" s="11" t="n">
        <f aca="false">Operations!BL79-Tax!BL27-Operations!BL91-Reserves!BL7+Operations!BL74+Operations!BL92</f>
        <v>39.636729198208</v>
      </c>
      <c r="BM7" s="11" t="n">
        <f aca="false">Operations!BM79-Tax!BM27-Operations!BM91-Reserves!BM7+Operations!BM74+Operations!BM92</f>
        <v>39.253170804533</v>
      </c>
      <c r="BN7" s="11" t="n">
        <f aca="false">Operations!BN79-Tax!BN27-Operations!BN91-Reserves!BN7+Operations!BN74+Operations!BN92</f>
        <v>42.9959337515231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17.2197</v>
      </c>
      <c r="Q8" s="11" t="n">
        <f aca="false">IF(Time!Q29=1,INDEX(Funding!$J$54:$BJ$54,1,Time!$F$13),0)+P30+P42</f>
        <v>9.2024519629279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0</v>
      </c>
      <c r="P9" s="11" t="n">
        <f aca="false">P7+P8</f>
        <v>10.9270656614657</v>
      </c>
      <c r="Q9" s="11" t="n">
        <f aca="false">Q7+Q8</f>
        <v>58.0549363012986</v>
      </c>
      <c r="R9" s="11" t="n">
        <f aca="false">R7+R8</f>
        <v>49.8826656945088</v>
      </c>
      <c r="S9" s="11" t="n">
        <f aca="false">S7+S8</f>
        <v>49.6218581816983</v>
      </c>
      <c r="T9" s="11" t="n">
        <f aca="false">T7+T8</f>
        <v>50.2009068531375</v>
      </c>
      <c r="U9" s="11" t="n">
        <f aca="false">U7+U8</f>
        <v>49.8603583128226</v>
      </c>
      <c r="V9" s="11" t="n">
        <f aca="false">V7+V8</f>
        <v>50.3248714681387</v>
      </c>
      <c r="W9" s="11" t="n">
        <f aca="false">W7+W8</f>
        <v>50.5993486218694</v>
      </c>
      <c r="X9" s="11" t="n">
        <f aca="false">X7+X8</f>
        <v>51.1683050749246</v>
      </c>
      <c r="Y9" s="11" t="n">
        <f aca="false">Y7+Y8</f>
        <v>48.6187124216684</v>
      </c>
      <c r="Z9" s="11" t="n">
        <f aca="false">Z7+Z8</f>
        <v>49.1715822652207</v>
      </c>
      <c r="AA9" s="11" t="n">
        <f aca="false">AA7+AA8</f>
        <v>48.5363352747012</v>
      </c>
      <c r="AB9" s="11" t="n">
        <f aca="false">AB7+AB8</f>
        <v>49.1349728342719</v>
      </c>
      <c r="AC9" s="11" t="n">
        <f aca="false">AC7+AC8</f>
        <v>48.7853641113142</v>
      </c>
      <c r="AD9" s="11" t="n">
        <f aca="false">AD7+AD8</f>
        <v>49.2890827641981</v>
      </c>
      <c r="AE9" s="11" t="n">
        <f aca="false">AE7+AE8</f>
        <v>50.5521276735003</v>
      </c>
      <c r="AF9" s="11" t="n">
        <f aca="false">AF7+AF8</f>
        <v>51.3634301840619</v>
      </c>
      <c r="AG9" s="11" t="n">
        <f aca="false">AG7+AG8</f>
        <v>50.5952944106049</v>
      </c>
      <c r="AH9" s="11" t="n">
        <f aca="false">AH7+AH8</f>
        <v>51.306437415909</v>
      </c>
      <c r="AI9" s="11" t="n">
        <f aca="false">AI7+AI8</f>
        <v>50.9667680634296</v>
      </c>
      <c r="AJ9" s="11" t="n">
        <f aca="false">AJ7+AJ8</f>
        <v>51.5883831639225</v>
      </c>
      <c r="AK9" s="11" t="n">
        <f aca="false">AK7+AK8</f>
        <v>51.2309092052535</v>
      </c>
      <c r="AL9" s="11" t="n">
        <f aca="false">AL7+AL8</f>
        <v>51.737876305492</v>
      </c>
      <c r="AM9" s="11" t="n">
        <f aca="false">AM7+AM8</f>
        <v>52.1203860982191</v>
      </c>
      <c r="AN9" s="11" t="n">
        <f aca="false">AN7+AN8</f>
        <v>44.191315687283</v>
      </c>
      <c r="AO9" s="11" t="n">
        <f aca="false">AO7+AO8</f>
        <v>40.742324803979</v>
      </c>
      <c r="AP9" s="11" t="n">
        <f aca="false">AP7+AP8</f>
        <v>40.6638375110176</v>
      </c>
      <c r="AQ9" s="11" t="n">
        <f aca="false">AQ7+AQ8</f>
        <v>40.2707668330066</v>
      </c>
      <c r="AR9" s="11" t="n">
        <f aca="false">AR7+AR8</f>
        <v>40.881138476395</v>
      </c>
      <c r="AS9" s="11" t="n">
        <f aca="false">AS7+AS8</f>
        <v>40.4952595793712</v>
      </c>
      <c r="AT9" s="11" t="n">
        <f aca="false">AT7+AT8</f>
        <v>40.9908594520066</v>
      </c>
      <c r="AU9" s="11" t="n">
        <f aca="false">AU7+AU8</f>
        <v>47.1218168873766</v>
      </c>
      <c r="AV9" s="11" t="n">
        <f aca="false">AV7+AV8</f>
        <v>43.4512690432593</v>
      </c>
      <c r="AW9" s="11" t="n">
        <f aca="false">AW7+AW8</f>
        <v>42.5071712906167</v>
      </c>
      <c r="AX9" s="11" t="n">
        <f aca="false">AX7+AX8</f>
        <v>43.2287926796445</v>
      </c>
      <c r="AY9" s="11" t="n">
        <f aca="false">AY7+AY8</f>
        <v>42.8307705108825</v>
      </c>
      <c r="AZ9" s="11" t="n">
        <f aca="false">AZ7+AZ8</f>
        <v>43.4650280952357</v>
      </c>
      <c r="BA9" s="11" t="n">
        <f aca="false">BA7+BA8</f>
        <v>43.0687837485088</v>
      </c>
      <c r="BB9" s="11" t="n">
        <f aca="false">BB7+BB8</f>
        <v>43.5698765833858</v>
      </c>
      <c r="BC9" s="11" t="n">
        <f aca="false">BC7+BC8</f>
        <v>45.057248622633</v>
      </c>
      <c r="BD9" s="11" t="n">
        <f aca="false">BD7+BD8</f>
        <v>43.6795437154488</v>
      </c>
      <c r="BE9" s="11" t="n">
        <f aca="false">BE7+BE8</f>
        <v>35.6100154176191</v>
      </c>
      <c r="BF9" s="11" t="n">
        <f aca="false">BF7+BF8</f>
        <v>36.2750145003363</v>
      </c>
      <c r="BG9" s="11" t="n">
        <f aca="false">BG7+BG8</f>
        <v>35.8716904521011</v>
      </c>
      <c r="BH9" s="11" t="n">
        <f aca="false">BH7+BH8</f>
        <v>36.53184775549</v>
      </c>
      <c r="BI9" s="11" t="n">
        <f aca="false">BI7+BI8</f>
        <v>36.1243146747659</v>
      </c>
      <c r="BJ9" s="11" t="n">
        <f aca="false">BJ7+BJ8</f>
        <v>36.6691569274026</v>
      </c>
      <c r="BK9" s="11" t="n">
        <f aca="false">BK7+BK8</f>
        <v>44.0738914205418</v>
      </c>
      <c r="BL9" s="11" t="n">
        <f aca="false">BL7+BL8</f>
        <v>39.636729198208</v>
      </c>
      <c r="BM9" s="11" t="n">
        <f aca="false">BM7+BM8</f>
        <v>39.253170804533</v>
      </c>
      <c r="BN9" s="11" t="n">
        <f aca="false">BN7+BN8</f>
        <v>42.9959337515231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804.776231473248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0</v>
      </c>
      <c r="Q10" s="11" t="n">
        <f aca="false">Debt!Q121+Debt!Q117</f>
        <v>37.3875772627815</v>
      </c>
      <c r="R10" s="11" t="n">
        <f aca="false">Debt!R121+Debt!R117</f>
        <v>37.0065931102797</v>
      </c>
      <c r="S10" s="11" t="n">
        <f aca="false">Debt!S121+Debt!S117</f>
        <v>36.8164435475807</v>
      </c>
      <c r="T10" s="11" t="n">
        <f aca="false">Debt!T121+Debt!T117</f>
        <v>37.2430586057777</v>
      </c>
      <c r="U10" s="11" t="n">
        <f aca="false">Debt!U121+Debt!U117</f>
        <v>36.993131919249</v>
      </c>
      <c r="V10" s="11" t="n">
        <f aca="false">Debt!V121+Debt!V117</f>
        <v>37.3361511902891</v>
      </c>
      <c r="W10" s="11" t="n">
        <f aca="false">Debt!W121+Debt!W117</f>
        <v>37.5436612882369</v>
      </c>
      <c r="X10" s="11" t="n">
        <f aca="false">Debt!X121+Debt!X117</f>
        <v>37.9633484165791</v>
      </c>
      <c r="Y10" s="11" t="n">
        <f aca="false">Debt!Y121+Debt!Y117</f>
        <v>36.0745484246521</v>
      </c>
      <c r="Z10" s="11" t="n">
        <f aca="false">Debt!Z121+Debt!Z117</f>
        <v>36.4825353356345</v>
      </c>
      <c r="AA10" s="11" t="n">
        <f aca="false">Debt!AA121+Debt!AA117</f>
        <v>36.0143504443871</v>
      </c>
      <c r="AB10" s="11" t="n">
        <f aca="false">Debt!AB121+Debt!AB117</f>
        <v>35.8248280770433</v>
      </c>
      <c r="AC10" s="11" t="n">
        <f aca="false">Debt!AC121+Debt!AC117</f>
        <v>34.8043670147767</v>
      </c>
      <c r="AD10" s="11" t="n">
        <f aca="false">Debt!AD121+Debt!AD117</f>
        <v>34.3337705498346</v>
      </c>
      <c r="AE10" s="11" t="n">
        <f aca="false">Debt!AE121+Debt!AE117</f>
        <v>34.3085422725634</v>
      </c>
      <c r="AF10" s="11" t="n">
        <f aca="false">Debt!AF121+Debt!AF117</f>
        <v>33.731103181627</v>
      </c>
      <c r="AG10" s="11" t="n">
        <f aca="false">Debt!AG121+Debt!AG117</f>
        <v>31.7781752222371</v>
      </c>
      <c r="AH10" s="11" t="n">
        <f aca="false">Debt!AH121+Debt!AH117</f>
        <v>30.6218470991221</v>
      </c>
      <c r="AI10" s="11" t="n">
        <f aca="false">Debt!AI121+Debt!AI117</f>
        <v>28.4332797097911</v>
      </c>
      <c r="AJ10" s="11" t="n">
        <f aca="false">Debt!AJ121+Debt!AJ117</f>
        <v>26.2773079455486</v>
      </c>
      <c r="AK10" s="11" t="n">
        <f aca="false">Debt!AK121+Debt!AK117</f>
        <v>22.7332396701838</v>
      </c>
      <c r="AL10" s="11" t="n">
        <f aca="false">Debt!AL121+Debt!AL117</f>
        <v>23.0549648932637</v>
      </c>
      <c r="AM10" s="11" t="n">
        <f aca="false">Debt!AM121+Debt!AM117</f>
        <v>23.4447942143853</v>
      </c>
      <c r="AN10" s="11" t="n">
        <f aca="false">Debt!AN121+Debt!AN117</f>
        <v>19.9860565222547</v>
      </c>
      <c r="AO10" s="11" t="n">
        <f aca="false">Debt!AO121+Debt!AO117</f>
        <v>18.5825555551695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0</v>
      </c>
      <c r="P13" s="11" t="n">
        <f aca="false">MAX(0,P9-P10)</f>
        <v>10.9270656614657</v>
      </c>
      <c r="Q13" s="11" t="n">
        <f aca="false">MAX(0,Q9-Q10)</f>
        <v>20.6673590385171</v>
      </c>
      <c r="R13" s="11" t="n">
        <f aca="false">MAX(0,R9-R10)</f>
        <v>12.8760725842291</v>
      </c>
      <c r="S13" s="11" t="n">
        <f aca="false">MAX(0,S9-S10)</f>
        <v>12.8054146341176</v>
      </c>
      <c r="T13" s="11" t="n">
        <f aca="false">MAX(0,T9-T10)</f>
        <v>12.9578482473597</v>
      </c>
      <c r="U13" s="11" t="n">
        <f aca="false">MAX(0,U9-U10)</f>
        <v>12.8672263935735</v>
      </c>
      <c r="V13" s="11" t="n">
        <f aca="false">MAX(0,V9-V10)</f>
        <v>12.9887202778496</v>
      </c>
      <c r="W13" s="11" t="n">
        <f aca="false">MAX(0,W9-W10)</f>
        <v>13.0556873336325</v>
      </c>
      <c r="X13" s="11" t="n">
        <f aca="false">MAX(0,X9-X10)</f>
        <v>13.2049566583454</v>
      </c>
      <c r="Y13" s="11" t="n">
        <f aca="false">MAX(0,Y9-Y10)</f>
        <v>12.5441639970163</v>
      </c>
      <c r="Z13" s="11" t="n">
        <f aca="false">MAX(0,Z9-Z10)</f>
        <v>12.6890469295861</v>
      </c>
      <c r="AA13" s="11" t="n">
        <f aca="false">MAX(0,AA9-AA10)</f>
        <v>12.5219848303141</v>
      </c>
      <c r="AB13" s="11" t="n">
        <f aca="false">MAX(0,AB9-AB10)</f>
        <v>13.3101447572286</v>
      </c>
      <c r="AC13" s="11" t="n">
        <f aca="false">MAX(0,AC9-AC10)</f>
        <v>13.9809970965375</v>
      </c>
      <c r="AD13" s="11" t="n">
        <f aca="false">MAX(0,AD9-AD10)</f>
        <v>14.9553122143635</v>
      </c>
      <c r="AE13" s="11" t="n">
        <f aca="false">MAX(0,AE9-AE10)</f>
        <v>16.2435854009369</v>
      </c>
      <c r="AF13" s="11" t="n">
        <f aca="false">MAX(0,AF9-AF10)</f>
        <v>17.632327002435</v>
      </c>
      <c r="AG13" s="11" t="n">
        <f aca="false">MAX(0,AG9-AG10)</f>
        <v>18.8171191883678</v>
      </c>
      <c r="AH13" s="11" t="n">
        <f aca="false">MAX(0,AH9-AH10)</f>
        <v>20.6845903167869</v>
      </c>
      <c r="AI13" s="11" t="n">
        <f aca="false">MAX(0,AI9-AI10)</f>
        <v>22.5334883536386</v>
      </c>
      <c r="AJ13" s="11" t="n">
        <f aca="false">MAX(0,AJ9-AJ10)</f>
        <v>25.3110752183739</v>
      </c>
      <c r="AK13" s="11" t="n">
        <f aca="false">MAX(0,AK9-AK10)</f>
        <v>28.4976695350697</v>
      </c>
      <c r="AL13" s="11" t="n">
        <f aca="false">MAX(0,AL9-AL10)</f>
        <v>28.6829114122282</v>
      </c>
      <c r="AM13" s="11" t="n">
        <f aca="false">MAX(0,AM9-AM10)</f>
        <v>28.6755918838338</v>
      </c>
      <c r="AN13" s="11" t="n">
        <f aca="false">MAX(0,AN9-AN10)</f>
        <v>24.2052591650283</v>
      </c>
      <c r="AO13" s="11" t="n">
        <f aca="false">MAX(0,AO9-AO10)</f>
        <v>22.1597692488095</v>
      </c>
      <c r="AP13" s="11" t="n">
        <f aca="false">MAX(0,AP9-AP10)</f>
        <v>40.6638375110176</v>
      </c>
      <c r="AQ13" s="11" t="n">
        <f aca="false">MAX(0,AQ9-AQ10)</f>
        <v>40.2707668330066</v>
      </c>
      <c r="AR13" s="11" t="n">
        <f aca="false">MAX(0,AR9-AR10)</f>
        <v>40.881138476395</v>
      </c>
      <c r="AS13" s="11" t="n">
        <f aca="false">MAX(0,AS9-AS10)</f>
        <v>40.4952595793712</v>
      </c>
      <c r="AT13" s="11" t="n">
        <f aca="false">MAX(0,AT9-AT10)</f>
        <v>40.9908594520066</v>
      </c>
      <c r="AU13" s="11" t="n">
        <f aca="false">MAX(0,AU9-AU10)</f>
        <v>47.1218168873766</v>
      </c>
      <c r="AV13" s="11" t="n">
        <f aca="false">MAX(0,AV9-AV10)</f>
        <v>43.4512690432593</v>
      </c>
      <c r="AW13" s="11" t="n">
        <f aca="false">MAX(0,AW9-AW10)</f>
        <v>42.5071712906167</v>
      </c>
      <c r="AX13" s="11" t="n">
        <f aca="false">MAX(0,AX9-AX10)</f>
        <v>43.2287926796445</v>
      </c>
      <c r="AY13" s="11" t="n">
        <f aca="false">MAX(0,AY9-AY10)</f>
        <v>42.8307705108825</v>
      </c>
      <c r="AZ13" s="11" t="n">
        <f aca="false">MAX(0,AZ9-AZ10)</f>
        <v>43.4650280952357</v>
      </c>
      <c r="BA13" s="11" t="n">
        <f aca="false">MAX(0,BA9-BA10)</f>
        <v>43.0687837485088</v>
      </c>
      <c r="BB13" s="11" t="n">
        <f aca="false">MAX(0,BB9-BB10)</f>
        <v>43.5698765833858</v>
      </c>
      <c r="BC13" s="11" t="n">
        <f aca="false">MAX(0,BC9-BC10)</f>
        <v>45.057248622633</v>
      </c>
      <c r="BD13" s="11" t="n">
        <f aca="false">MAX(0,BD9-BD10)</f>
        <v>43.6795437154488</v>
      </c>
      <c r="BE13" s="11" t="n">
        <f aca="false">MAX(0,BE9-BE10)</f>
        <v>35.6100154176191</v>
      </c>
      <c r="BF13" s="11" t="n">
        <f aca="false">MAX(0,BF9-BF10)</f>
        <v>36.2750145003363</v>
      </c>
      <c r="BG13" s="11" t="n">
        <f aca="false">MAX(0,BG9-BG10)</f>
        <v>35.8716904521011</v>
      </c>
      <c r="BH13" s="11" t="n">
        <f aca="false">MAX(0,BH9-BH10)</f>
        <v>36.53184775549</v>
      </c>
      <c r="BI13" s="11" t="n">
        <f aca="false">MAX(0,BI9-BI10)</f>
        <v>36.1243146747659</v>
      </c>
      <c r="BJ13" s="11" t="n">
        <f aca="false">MAX(0,BJ9-BJ10)</f>
        <v>36.6691569274026</v>
      </c>
      <c r="BK13" s="11" t="n">
        <f aca="false">MAX(0,BK9-BK10)</f>
        <v>44.0738914205418</v>
      </c>
      <c r="BL13" s="11" t="n">
        <f aca="false">MAX(0,BL9-BL10)</f>
        <v>39.636729198208</v>
      </c>
      <c r="BM13" s="11" t="n">
        <f aca="false">MAX(0,BM9-BM10)</f>
        <v>39.253170804533</v>
      </c>
      <c r="BN13" s="11" t="n">
        <f aca="false">MAX(0,BN9-BN10)</f>
        <v>42.9959337515231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0</v>
      </c>
      <c r="P14" s="11" t="n">
        <f aca="false">P13-Reserves!P11+Reserves!P12</f>
        <v>9.2024519629279</v>
      </c>
      <c r="Q14" s="11" t="n">
        <f aca="false">Q13-Reserves!Q11+Reserves!Q12</f>
        <v>21.0483431910189</v>
      </c>
      <c r="R14" s="11" t="n">
        <f aca="false">R13-Reserves!R11+Reserves!R12</f>
        <v>13.0662221469281</v>
      </c>
      <c r="S14" s="11" t="n">
        <f aca="false">S13-Reserves!S11+Reserves!S12</f>
        <v>12.3787995759206</v>
      </c>
      <c r="T14" s="11" t="n">
        <f aca="false">T13-Reserves!T11+Reserves!T12</f>
        <v>13.2077749338884</v>
      </c>
      <c r="U14" s="11" t="n">
        <f aca="false">U13-Reserves!U11+Reserves!U12</f>
        <v>12.5242071225335</v>
      </c>
      <c r="V14" s="11" t="n">
        <f aca="false">V13-Reserves!V11+Reserves!V12</f>
        <v>12.7812101799018</v>
      </c>
      <c r="W14" s="11" t="n">
        <f aca="false">W13-Reserves!W11+Reserves!W12</f>
        <v>12.6360002052902</v>
      </c>
      <c r="X14" s="11" t="n">
        <f aca="false">X13-Reserves!X11+Reserves!X12</f>
        <v>15.0937566502724</v>
      </c>
      <c r="Y14" s="11" t="n">
        <f aca="false">Y13-Reserves!Y11+Reserves!Y12</f>
        <v>12.1361770860339</v>
      </c>
      <c r="Z14" s="11" t="n">
        <f aca="false">Z13-Reserves!Z11+Reserves!Z12</f>
        <v>13.1572318208336</v>
      </c>
      <c r="AA14" s="11" t="n">
        <f aca="false">AA13-Reserves!AA11+Reserves!AA12</f>
        <v>12.0797286774838</v>
      </c>
      <c r="AB14" s="11" t="n">
        <f aca="false">AB13-Reserves!AB11+Reserves!AB12</f>
        <v>14.1891114509318</v>
      </c>
      <c r="AC14" s="11" t="n">
        <f aca="false">AC13-Reserves!AC11+Reserves!AC12</f>
        <v>14.3869727745605</v>
      </c>
      <c r="AD14" s="11" t="n">
        <f aca="false">AD13-Reserves!AD11+Reserves!AD12</f>
        <v>14.8785998456859</v>
      </c>
      <c r="AE14" s="11" t="n">
        <f aca="false">AE13-Reserves!AE11+Reserves!AE12</f>
        <v>16.6121550827963</v>
      </c>
      <c r="AF14" s="11" t="n">
        <f aca="false">AF13-Reserves!AF11+Reserves!AF12</f>
        <v>19.2892683150004</v>
      </c>
      <c r="AG14" s="11" t="n">
        <f aca="false">AG13-Reserves!AG11+Reserves!AG12</f>
        <v>19.7665178247716</v>
      </c>
      <c r="AH14" s="11" t="n">
        <f aca="false">AH13-Reserves!AH11+Reserves!AH12</f>
        <v>22.4451942412898</v>
      </c>
      <c r="AI14" s="11" t="n">
        <f aca="false">AI13-Reserves!AI11+Reserves!AI12</f>
        <v>24.1754226998619</v>
      </c>
      <c r="AJ14" s="11" t="n">
        <f aca="false">AJ13-Reserves!AJ11+Reserves!AJ12</f>
        <v>27.9379269115989</v>
      </c>
      <c r="AK14" s="11" t="n">
        <f aca="false">AK13-Reserves!AK11+Reserves!AK12</f>
        <v>31.605363379429</v>
      </c>
      <c r="AL14" s="11" t="n">
        <f aca="false">AL13-Reserves!AL11+Reserves!AL12</f>
        <v>28.3745003528723</v>
      </c>
      <c r="AM14" s="11" t="n">
        <f aca="false">AM13-Reserves!AM11+Reserves!AM12</f>
        <v>32.1343295759644</v>
      </c>
      <c r="AN14" s="11" t="n">
        <f aca="false">AN13-Reserves!AN11+Reserves!AN12</f>
        <v>25.6087601321135</v>
      </c>
      <c r="AO14" s="11" t="n">
        <f aca="false">AO13-Reserves!AO11+Reserves!AO12</f>
        <v>40.742324803979</v>
      </c>
      <c r="AP14" s="11" t="n">
        <f aca="false">AP13-Reserves!AP11+Reserves!AP12</f>
        <v>40.6638375110176</v>
      </c>
      <c r="AQ14" s="11" t="n">
        <f aca="false">AQ13-Reserves!AQ11+Reserves!AQ12</f>
        <v>40.2707668330066</v>
      </c>
      <c r="AR14" s="11" t="n">
        <f aca="false">AR13-Reserves!AR11+Reserves!AR12</f>
        <v>40.881138476395</v>
      </c>
      <c r="AS14" s="11" t="n">
        <f aca="false">AS13-Reserves!AS11+Reserves!AS12</f>
        <v>40.4952595793712</v>
      </c>
      <c r="AT14" s="11" t="n">
        <f aca="false">AT13-Reserves!AT11+Reserves!AT12</f>
        <v>40.9908594520066</v>
      </c>
      <c r="AU14" s="11" t="n">
        <f aca="false">AU13-Reserves!AU11+Reserves!AU12</f>
        <v>47.1218168873766</v>
      </c>
      <c r="AV14" s="11" t="n">
        <f aca="false">AV13-Reserves!AV11+Reserves!AV12</f>
        <v>43.4512690432593</v>
      </c>
      <c r="AW14" s="11" t="n">
        <f aca="false">AW13-Reserves!AW11+Reserves!AW12</f>
        <v>42.5071712906167</v>
      </c>
      <c r="AX14" s="11" t="n">
        <f aca="false">AX13-Reserves!AX11+Reserves!AX12</f>
        <v>43.2287926796445</v>
      </c>
      <c r="AY14" s="11" t="n">
        <f aca="false">AY13-Reserves!AY11+Reserves!AY12</f>
        <v>42.8307705108825</v>
      </c>
      <c r="AZ14" s="11" t="n">
        <f aca="false">AZ13-Reserves!AZ11+Reserves!AZ12</f>
        <v>43.4650280952357</v>
      </c>
      <c r="BA14" s="11" t="n">
        <f aca="false">BA13-Reserves!BA11+Reserves!BA12</f>
        <v>43.0687837485088</v>
      </c>
      <c r="BB14" s="11" t="n">
        <f aca="false">BB13-Reserves!BB11+Reserves!BB12</f>
        <v>43.5698765833858</v>
      </c>
      <c r="BC14" s="11" t="n">
        <f aca="false">BC13-Reserves!BC11+Reserves!BC12</f>
        <v>45.057248622633</v>
      </c>
      <c r="BD14" s="11" t="n">
        <f aca="false">BD13-Reserves!BD11+Reserves!BD12</f>
        <v>43.6795437154488</v>
      </c>
      <c r="BE14" s="11" t="n">
        <f aca="false">BE13-Reserves!BE11+Reserves!BE12</f>
        <v>35.6100154176191</v>
      </c>
      <c r="BF14" s="11" t="n">
        <f aca="false">BF13-Reserves!BF11+Reserves!BF12</f>
        <v>36.2750145003363</v>
      </c>
      <c r="BG14" s="11" t="n">
        <f aca="false">BG13-Reserves!BG11+Reserves!BG12</f>
        <v>35.8716904521011</v>
      </c>
      <c r="BH14" s="11" t="n">
        <f aca="false">BH13-Reserves!BH11+Reserves!BH12</f>
        <v>36.53184775549</v>
      </c>
      <c r="BI14" s="11" t="n">
        <f aca="false">BI13-Reserves!BI11+Reserves!BI12</f>
        <v>36.1243146747659</v>
      </c>
      <c r="BJ14" s="11" t="n">
        <f aca="false">BJ13-Reserves!BJ11+Reserves!BJ12</f>
        <v>36.6691569274026</v>
      </c>
      <c r="BK14" s="11" t="n">
        <f aca="false">BK13-Reserves!BK11+Reserves!BK12</f>
        <v>44.0738914205418</v>
      </c>
      <c r="BL14" s="11" t="n">
        <f aca="false">BL13-Reserves!BL11+Reserves!BL12</f>
        <v>39.636729198208</v>
      </c>
      <c r="BM14" s="11" t="n">
        <f aca="false">BM13-Reserves!BM11+Reserves!BM12</f>
        <v>39.253170804533</v>
      </c>
      <c r="BN14" s="11" t="n">
        <f aca="false">BN13-Reserves!BN11+Reserves!BN12</f>
        <v>42.9959337515231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0</v>
      </c>
      <c r="P15" s="11" t="n">
        <f aca="false">P14-Reserves!P14+Reserves!P15</f>
        <v>9.2024519629279</v>
      </c>
      <c r="Q15" s="11" t="n">
        <f aca="false">Q14-Reserves!Q14+Reserves!Q15</f>
        <v>21.0483431910189</v>
      </c>
      <c r="R15" s="11" t="n">
        <f aca="false">R14-Reserves!R14+Reserves!R15</f>
        <v>13.0662221469281</v>
      </c>
      <c r="S15" s="11" t="n">
        <f aca="false">S14-Reserves!S14+Reserves!S15</f>
        <v>12.3787995759206</v>
      </c>
      <c r="T15" s="11" t="n">
        <f aca="false">T14-Reserves!T14+Reserves!T15</f>
        <v>13.2077749338884</v>
      </c>
      <c r="U15" s="11" t="n">
        <f aca="false">U14-Reserves!U14+Reserves!U15</f>
        <v>12.5242071225335</v>
      </c>
      <c r="V15" s="11" t="n">
        <f aca="false">V14-Reserves!V14+Reserves!V15</f>
        <v>12.7812101799018</v>
      </c>
      <c r="W15" s="11" t="n">
        <f aca="false">W14-Reserves!W14+Reserves!W15</f>
        <v>12.6360002052902</v>
      </c>
      <c r="X15" s="11" t="n">
        <f aca="false">X14-Reserves!X14+Reserves!X15</f>
        <v>15.0937566502724</v>
      </c>
      <c r="Y15" s="11" t="n">
        <f aca="false">Y14-Reserves!Y14+Reserves!Y15</f>
        <v>12.1361770860339</v>
      </c>
      <c r="Z15" s="11" t="n">
        <f aca="false">Z14-Reserves!Z14+Reserves!Z15</f>
        <v>13.1572318208336</v>
      </c>
      <c r="AA15" s="11" t="n">
        <f aca="false">AA14-Reserves!AA14+Reserves!AA15</f>
        <v>12.0797286774838</v>
      </c>
      <c r="AB15" s="11" t="n">
        <f aca="false">AB14-Reserves!AB14+Reserves!AB15</f>
        <v>14.1891114509318</v>
      </c>
      <c r="AC15" s="11" t="n">
        <f aca="false">AC14-Reserves!AC14+Reserves!AC15</f>
        <v>14.3869727745605</v>
      </c>
      <c r="AD15" s="11" t="n">
        <f aca="false">AD14-Reserves!AD14+Reserves!AD15</f>
        <v>14.8785998456859</v>
      </c>
      <c r="AE15" s="11" t="n">
        <f aca="false">AE14-Reserves!AE14+Reserves!AE15</f>
        <v>16.6121550827963</v>
      </c>
      <c r="AF15" s="11" t="n">
        <f aca="false">AF14-Reserves!AF14+Reserves!AF15</f>
        <v>19.2892683150004</v>
      </c>
      <c r="AG15" s="11" t="n">
        <f aca="false">AG14-Reserves!AG14+Reserves!AG15</f>
        <v>19.7665178247716</v>
      </c>
      <c r="AH15" s="11" t="n">
        <f aca="false">AH14-Reserves!AH14+Reserves!AH15</f>
        <v>22.4451942412898</v>
      </c>
      <c r="AI15" s="11" t="n">
        <f aca="false">AI14-Reserves!AI14+Reserves!AI15</f>
        <v>24.1754226998619</v>
      </c>
      <c r="AJ15" s="11" t="n">
        <f aca="false">AJ14-Reserves!AJ14+Reserves!AJ15</f>
        <v>27.9379269115989</v>
      </c>
      <c r="AK15" s="11" t="n">
        <f aca="false">AK14-Reserves!AK14+Reserves!AK15</f>
        <v>31.605363379429</v>
      </c>
      <c r="AL15" s="11" t="n">
        <f aca="false">AL14-Reserves!AL14+Reserves!AL15</f>
        <v>28.3745003528723</v>
      </c>
      <c r="AM15" s="11" t="n">
        <f aca="false">AM14-Reserves!AM14+Reserves!AM15</f>
        <v>32.1343295759644</v>
      </c>
      <c r="AN15" s="11" t="n">
        <f aca="false">AN14-Reserves!AN14+Reserves!AN15</f>
        <v>25.6087601321135</v>
      </c>
      <c r="AO15" s="11" t="n">
        <f aca="false">AO14-Reserves!AO14+Reserves!AO15</f>
        <v>40.742324803979</v>
      </c>
      <c r="AP15" s="11" t="n">
        <f aca="false">AP14-Reserves!AP14+Reserves!AP15</f>
        <v>40.6638375110176</v>
      </c>
      <c r="AQ15" s="11" t="n">
        <f aca="false">AQ14-Reserves!AQ14+Reserves!AQ15</f>
        <v>40.2707668330066</v>
      </c>
      <c r="AR15" s="11" t="n">
        <f aca="false">AR14-Reserves!AR14+Reserves!AR15</f>
        <v>40.881138476395</v>
      </c>
      <c r="AS15" s="11" t="n">
        <f aca="false">AS14-Reserves!AS14+Reserves!AS15</f>
        <v>40.4952595793712</v>
      </c>
      <c r="AT15" s="11" t="n">
        <f aca="false">AT14-Reserves!AT14+Reserves!AT15</f>
        <v>40.9908594520066</v>
      </c>
      <c r="AU15" s="11" t="n">
        <f aca="false">AU14-Reserves!AU14+Reserves!AU15</f>
        <v>47.1218168873766</v>
      </c>
      <c r="AV15" s="11" t="n">
        <f aca="false">AV14-Reserves!AV14+Reserves!AV15</f>
        <v>43.4512690432593</v>
      </c>
      <c r="AW15" s="11" t="n">
        <f aca="false">AW14-Reserves!AW14+Reserves!AW15</f>
        <v>42.5071712906167</v>
      </c>
      <c r="AX15" s="11" t="n">
        <f aca="false">AX14-Reserves!AX14+Reserves!AX15</f>
        <v>43.2287926796445</v>
      </c>
      <c r="AY15" s="11" t="n">
        <f aca="false">AY14-Reserves!AY14+Reserves!AY15</f>
        <v>42.8307705108825</v>
      </c>
      <c r="AZ15" s="11" t="n">
        <f aca="false">AZ14-Reserves!AZ14+Reserves!AZ15</f>
        <v>43.4650280952357</v>
      </c>
      <c r="BA15" s="11" t="n">
        <f aca="false">BA14-Reserves!BA14+Reserves!BA15</f>
        <v>43.0687837485088</v>
      </c>
      <c r="BB15" s="11" t="n">
        <f aca="false">BB14-Reserves!BB14+Reserves!BB15</f>
        <v>43.3168187828175</v>
      </c>
      <c r="BC15" s="11" t="n">
        <f aca="false">BC14-Reserves!BC14+Reserves!BC15</f>
        <v>43.5222908675911</v>
      </c>
      <c r="BD15" s="11" t="n">
        <f aca="false">BD14-Reserves!BD14+Reserves!BD15</f>
        <v>42.1277932823643</v>
      </c>
      <c r="BE15" s="11" t="n">
        <f aca="false">BE14-Reserves!BE14+Reserves!BE15</f>
        <v>34.0412885919664</v>
      </c>
      <c r="BF15" s="11" t="n">
        <f aca="false">BF14-Reserves!BF14+Reserves!BF15</f>
        <v>34.689125557724</v>
      </c>
      <c r="BG15" s="11" t="n">
        <f aca="false">BG14-Reserves!BG14+Reserves!BG15</f>
        <v>34.268451636284</v>
      </c>
      <c r="BH15" s="11" t="n">
        <f aca="false">BH14-Reserves!BH14+Reserves!BH15</f>
        <v>34.9110692561402</v>
      </c>
      <c r="BI15" s="11" t="n">
        <f aca="false">BI14-Reserves!BI14+Reserves!BI15</f>
        <v>34.4858046050008</v>
      </c>
      <c r="BJ15" s="11" t="n">
        <f aca="false">BJ14-Reserves!BJ14+Reserves!BJ15</f>
        <v>35.0127213010671</v>
      </c>
      <c r="BK15" s="11" t="n">
        <f aca="false">BK14-Reserves!BK14+Reserves!BK15</f>
        <v>42.3993341292418</v>
      </c>
      <c r="BL15" s="11" t="n">
        <f aca="false">BL14-Reserves!BL14+Reserves!BL15</f>
        <v>37.9438519880931</v>
      </c>
      <c r="BM15" s="11" t="n">
        <f aca="false">BM14-Reserves!BM14+Reserves!BM15</f>
        <v>37.5417732528245</v>
      </c>
      <c r="BN15" s="11" t="n">
        <f aca="false">BN14-Reserves!BN14+Reserves!BN15</f>
        <v>61.0881105728736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0</v>
      </c>
      <c r="Q17" s="6" t="n">
        <f aca="false">IF(Debt!Q121&gt;0.000000001,Q7/Debt!Q121,0)</f>
        <v>1.30665017406737</v>
      </c>
      <c r="R17" s="6" t="n">
        <f aca="false">IF(Debt!R121&gt;0.000000001,R7/Debt!R121,0)</f>
        <v>1.34793996155924</v>
      </c>
      <c r="S17" s="6" t="n">
        <f aca="false">IF(Debt!S121&gt;0.000000001,S7/Debt!S121,0)</f>
        <v>1.3478178063986</v>
      </c>
      <c r="T17" s="6" t="n">
        <f aca="false">IF(Debt!T121&gt;0.000000001,T7/Debt!T121,0)</f>
        <v>1.34792653268681</v>
      </c>
      <c r="U17" s="6" t="n">
        <f aca="false">IF(Debt!U121&gt;0.000000001,U7/Debt!U121,0)</f>
        <v>1.34782744055467</v>
      </c>
      <c r="V17" s="6" t="n">
        <f aca="false">IF(Debt!V121&gt;0.000000001,V7/Debt!V121,0)</f>
        <v>1.34788589245985</v>
      </c>
      <c r="W17" s="6" t="n">
        <f aca="false">IF(Debt!W121&gt;0.000000001,W7/Debt!W121,0)</f>
        <v>1.34774678029932</v>
      </c>
      <c r="X17" s="6" t="n">
        <f aca="false">IF(Debt!X121&gt;0.000000001,X7/Debt!X121,0)</f>
        <v>1.34783435100205</v>
      </c>
      <c r="Y17" s="6" t="n">
        <f aca="false">IF(Debt!Y121&gt;0.000000001,Y7/Debt!Y121,0)</f>
        <v>1.3477289264817</v>
      </c>
      <c r="Z17" s="6" t="n">
        <f aca="false">IF(Debt!Z121&gt;0.000000001,Z7/Debt!Z121,0)</f>
        <v>1.34781154360158</v>
      </c>
      <c r="AA17" s="6" t="n">
        <f aca="false">IF(Debt!AA121&gt;0.000000001,AA7/Debt!AA121,0)</f>
        <v>1.34769431284483</v>
      </c>
      <c r="AB17" s="6" t="n">
        <f aca="false">IF(Debt!AB121&gt;0.000000001,AB7/Debt!AB121,0)</f>
        <v>1.37153408604235</v>
      </c>
      <c r="AC17" s="6" t="n">
        <f aca="false">IF(Debt!AC121&gt;0.000000001,AC7/Debt!AC121,0)</f>
        <v>1.40170238092828</v>
      </c>
      <c r="AD17" s="6" t="n">
        <f aca="false">IF(Debt!AD121&gt;0.000000001,AD7/Debt!AD121,0)</f>
        <v>1.43558607094016</v>
      </c>
      <c r="AE17" s="6" t="n">
        <f aca="false">IF(Debt!AE121&gt;0.000000001,AE7/Debt!AE121,0)</f>
        <v>1.47345600614244</v>
      </c>
      <c r="AF17" s="6" t="n">
        <f aca="false">IF(Debt!AF121&gt;0.000000001,AF7/Debt!AF121,0)</f>
        <v>1.52273199923207</v>
      </c>
      <c r="AG17" s="6" t="n">
        <f aca="false">IF(Debt!AG121&gt;0.000000001,AG7/Debt!AG121,0)</f>
        <v>1.59213970143888</v>
      </c>
      <c r="AH17" s="6" t="n">
        <f aca="false">IF(Debt!AH121&gt;0.000000001,AH7/Debt!AH121,0)</f>
        <v>1.6754847364312</v>
      </c>
      <c r="AI17" s="6" t="n">
        <f aca="false">IF(Debt!AI121&gt;0.000000001,AI7/Debt!AI121,0)</f>
        <v>1.79250401584447</v>
      </c>
      <c r="AJ17" s="6" t="n">
        <f aca="false">IF(Debt!AJ121&gt;0.000000001,AJ7/Debt!AJ121,0)</f>
        <v>1.96322938677064</v>
      </c>
      <c r="AK17" s="6" t="n">
        <f aca="false">IF(Debt!AK121&gt;0.000000001,AK7/Debt!AK121,0)</f>
        <v>2.25356834083118</v>
      </c>
      <c r="AL17" s="6" t="n">
        <f aca="false">IF(Debt!AL121&gt;0.000000001,AL7/Debt!AL121,0)</f>
        <v>2.24410995831136</v>
      </c>
      <c r="AM17" s="6" t="n">
        <f aca="false">IF(Debt!AM121&gt;0.000000001,AM7/Debt!AM121,0)</f>
        <v>2.22311126391713</v>
      </c>
      <c r="AN17" s="6" t="n">
        <f aca="false">IF(Debt!AN121&gt;0.000000001,AN7/Debt!AN121,0)</f>
        <v>2.21110731064308</v>
      </c>
      <c r="AO17" s="6" t="n">
        <f aca="false">IF(Debt!AO121&gt;0.000000001,AO7/Debt!AO121,0)</f>
        <v>2.19250386110886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0</v>
      </c>
      <c r="Q18" s="6" t="n">
        <f aca="false">IF(Debt!Q121&gt;0.000000001,IF(Debt!P121&gt;0.000000001,(Q7+P7)/(Debt!Q121+Debt!P121),Q17),0)</f>
        <v>1.30665017406737</v>
      </c>
      <c r="R18" s="6" t="n">
        <f aca="false">IF(Debt!R121&gt;0.000000001,IF(Debt!Q121&gt;0.000000001,(R7+Q7)/(Debt!R121+Debt!Q121),R17),0)</f>
        <v>1.32718934209168</v>
      </c>
      <c r="S18" s="6" t="n">
        <f aca="false">IF(Debt!S121&gt;0.000000001,IF(Debt!R121&gt;0.000000001,(S7+R7)/(Debt!S121+Debt!R121),S17),0)</f>
        <v>1.3478790412994</v>
      </c>
      <c r="T18" s="6" t="n">
        <f aca="false">IF(Debt!T121&gt;0.000000001,IF(Debt!S121&gt;0.000000001,(T7+S7)/(Debt!T121+Debt!S121),T17),0)</f>
        <v>1.34787248269814</v>
      </c>
      <c r="U18" s="6" t="n">
        <f aca="false">IF(Debt!U121&gt;0.000000001,IF(Debt!T121&gt;0.000000001,(U7+T7)/(Debt!U121+Debt!T121),U17),0)</f>
        <v>1.34787715342461</v>
      </c>
      <c r="V18" s="6" t="n">
        <f aca="false">IF(Debt!V121&gt;0.000000001,IF(Debt!U121&gt;0.000000001,(V7+U7)/(Debt!V121+Debt!U121),V17),0)</f>
        <v>1.34785680138095</v>
      </c>
      <c r="W18" s="6" t="n">
        <f aca="false">IF(Debt!W121&gt;0.000000001,IF(Debt!V121&gt;0.000000001,(W7+V7)/(Debt!W121+Debt!V121),W17),0)</f>
        <v>1.34781614362284</v>
      </c>
      <c r="X18" s="6" t="n">
        <f aca="false">IF(Debt!X121&gt;0.000000001,IF(Debt!W121&gt;0.000000001,(X7+W7)/(Debt!X121+Debt!W121),X17),0)</f>
        <v>1.34779080902078</v>
      </c>
      <c r="Y18" s="6" t="n">
        <f aca="false">IF(Debt!Y121&gt;0.000000001,IF(Debt!X121&gt;0.000000001,(Y7+X7)/(Debt!Y121+Debt!X121),Y17),0)</f>
        <v>1.34778298349802</v>
      </c>
      <c r="Z18" s="6" t="n">
        <f aca="false">IF(Debt!Z121&gt;0.000000001,IF(Debt!Y121&gt;0.000000001,(Z7+Y7)/(Debt!Z121+Debt!Y121),Z17),0)</f>
        <v>1.34777046731878</v>
      </c>
      <c r="AA18" s="6" t="n">
        <f aca="false">IF(Debt!AA121&gt;0.000000001,IF(Debt!Z121&gt;0.000000001,(AA7+Z7)/(Debt!AA121+Debt!Z121),AA17),0)</f>
        <v>1.34775330676132</v>
      </c>
      <c r="AB18" s="6" t="n">
        <f aca="false">IF(Debt!AB121&gt;0.000000001,IF(Debt!AA121&gt;0.000000001,(AB7+AA7)/(Debt!AB121+Debt!AA121),AB17),0)</f>
        <v>1.35958275302155</v>
      </c>
      <c r="AC18" s="6" t="n">
        <f aca="false">IF(Debt!AC121&gt;0.000000001,IF(Debt!AB121&gt;0.000000001,(AC7+AB7)/(Debt!AC121+Debt!AB121),AC17),0)</f>
        <v>1.38640029549093</v>
      </c>
      <c r="AD18" s="6" t="n">
        <f aca="false">IF(Debt!AD121&gt;0.000000001,IF(Debt!AC121&gt;0.000000001,(AD7+AC7)/(Debt!AD121+Debt!AC121),AD17),0)</f>
        <v>1.41852890937161</v>
      </c>
      <c r="AE18" s="6" t="n">
        <f aca="false">IF(Debt!AE121&gt;0.000000001,IF(Debt!AD121&gt;0.000000001,(AE7+AD7)/(Debt!AE121+Debt!AD121),AE17),0)</f>
        <v>1.4545140793263</v>
      </c>
      <c r="AF18" s="6" t="n">
        <f aca="false">IF(Debt!AF121&gt;0.000000001,IF(Debt!AE121&gt;0.000000001,(AF7+AE7)/(Debt!AF121+Debt!AE121),AF17),0)</f>
        <v>1.49788490485565</v>
      </c>
      <c r="AG18" s="6" t="n">
        <f aca="false">IF(Debt!AG121&gt;0.000000001,IF(Debt!AF121&gt;0.000000001,(AG7+AF7)/(Debt!AG121+Debt!AF121),AG17),0)</f>
        <v>1.55640127748152</v>
      </c>
      <c r="AH18" s="6" t="n">
        <f aca="false">IF(Debt!AH121&gt;0.000000001,IF(Debt!AG121&gt;0.000000001,(AH7+AG7)/(Debt!AH121+Debt!AG121),AH17),0)</f>
        <v>1.63303998998144</v>
      </c>
      <c r="AI18" s="6" t="n">
        <f aca="false">IF(Debt!AI121&gt;0.000000001,IF(Debt!AH121&gt;0.000000001,(AI7+AH7)/(Debt!AI121+Debt!AH121),AI17),0)</f>
        <v>1.73182602435632</v>
      </c>
      <c r="AJ18" s="6" t="n">
        <f aca="false">IF(Debt!AJ121&gt;0.000000001,IF(Debt!AI121&gt;0.000000001,(AJ7+AI7)/(Debt!AJ121+Debt!AI121),AJ17),0)</f>
        <v>1.87450282701072</v>
      </c>
      <c r="AK18" s="6" t="n">
        <f aca="false">IF(Debt!AK121&gt;0.000000001,IF(Debt!AJ121&gt;0.000000001,(AK7+AJ7)/(Debt!AK121+Debt!AJ121),AK17),0)</f>
        <v>2.09790131657642</v>
      </c>
      <c r="AL18" s="6" t="n">
        <f aca="false">IF(Debt!AL121&gt;0.000000001,IF(Debt!AK121&gt;0.000000001,(AL7+AK7)/(Debt!AL121+Debt!AK121),AL17),0)</f>
        <v>2.24880592048689</v>
      </c>
      <c r="AM18" s="6" t="n">
        <f aca="false">IF(Debt!AM121&gt;0.000000001,IF(Debt!AL121&gt;0.000000001,(AM7+AL7)/(Debt!AM121+Debt!AL121),AM17),0)</f>
        <v>2.23352259015524</v>
      </c>
      <c r="AN18" s="6" t="n">
        <f aca="false">IF(Debt!AN121&gt;0.000000001,IF(Debt!AM121&gt;0.000000001,(AN7+AM7)/(Debt!AN121+Debt!AM121),AN17),0)</f>
        <v>2.21758727153483</v>
      </c>
      <c r="AO18" s="6" t="n">
        <f aca="false">IF(Debt!AO121&gt;0.000000001,IF(Debt!AN121&gt;0.000000001,(AO7+AN7)/(Debt!AO121+Debt!AN121),AO17),0)</f>
        <v>2.2021440730292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0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0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93.1400599856189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6.0398643387419</v>
      </c>
      <c r="AB29" s="11" t="n">
        <f aca="false">IF(AND(AB24=1,Time!AB21&gt;=2027,Inputs!$F$51=1),MIN(Inputs!$F$109*AB15,Debt!AB81),0)</f>
        <v>7.0945557254659</v>
      </c>
      <c r="AC29" s="11" t="n">
        <f aca="false">IF(AND(AC24=1,Time!AC21&gt;=2027,Inputs!$F$51=1),MIN(Inputs!$F$109*AC15,Debt!AC81),0)</f>
        <v>7.19348638728025</v>
      </c>
      <c r="AD29" s="11" t="n">
        <f aca="false">IF(AND(AD24=1,Time!AD21&gt;=2027,Inputs!$F$51=1),MIN(Inputs!$F$109*AD15,Debt!AD81),0)</f>
        <v>7.43929992284295</v>
      </c>
      <c r="AE29" s="11" t="n">
        <f aca="false">IF(AND(AE24=1,Time!AE21&gt;=2027,Inputs!$F$51=1),MIN(Inputs!$F$109*AE15,Debt!AE81),0)</f>
        <v>8.30607754139817</v>
      </c>
      <c r="AF29" s="11" t="n">
        <f aca="false">IF(AND(AF24=1,Time!AF21&gt;=2027,Inputs!$F$51=1),MIN(Inputs!$F$109*AF15,Debt!AF81),0)</f>
        <v>9.6446341575002</v>
      </c>
      <c r="AG29" s="11" t="n">
        <f aca="false">IF(AND(AG24=1,Time!AG21&gt;=2027,Inputs!$F$51=1),MIN(Inputs!$F$109*AG15,Debt!AG81),0)</f>
        <v>9.88325891238581</v>
      </c>
      <c r="AH29" s="11" t="n">
        <f aca="false">IF(AND(AH24=1,Time!AH21&gt;=2027,Inputs!$F$51=1),MIN(Inputs!$F$109*AH15,Debt!AH81),0)</f>
        <v>11.2225971206449</v>
      </c>
      <c r="AI29" s="11" t="n">
        <f aca="false">IF(AND(AI24=1,Time!AI21&gt;=2027,Inputs!$F$51=1),MIN(Inputs!$F$109*AI15,Debt!AI81),0)</f>
        <v>12.087711349931</v>
      </c>
      <c r="AJ29" s="11" t="n">
        <f aca="false">IF(AND(AJ24=1,Time!AJ21&gt;=2027,Inputs!$F$51=1),MIN(Inputs!$F$109*AJ15,Debt!AJ81),0)</f>
        <v>13.9689634557995</v>
      </c>
      <c r="AK29" s="11" t="n">
        <f aca="false">IF(AND(AK24=1,Time!AK21&gt;=2027,Inputs!$F$51=1),MIN(Inputs!$F$109*AK15,Debt!AK81),0)</f>
        <v>0.259611073628351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0</v>
      </c>
      <c r="P30" s="11" t="n">
        <f aca="false">IF(P24=0,P15-P28,0)</f>
        <v>9.2024519629279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1413.43976692665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0</v>
      </c>
      <c r="Q31" s="11" t="n">
        <f aca="false">IF(Q24=1,Q15-Q29,0)</f>
        <v>21.0483431910189</v>
      </c>
      <c r="R31" s="11" t="n">
        <f aca="false">IF(R24=1,R15-R29,0)</f>
        <v>13.0662221469281</v>
      </c>
      <c r="S31" s="11" t="n">
        <f aca="false">IF(S24=1,S15-S29,0)</f>
        <v>12.3787995759206</v>
      </c>
      <c r="T31" s="11" t="n">
        <f aca="false">IF(T24=1,T15-T29,0)</f>
        <v>13.2077749338884</v>
      </c>
      <c r="U31" s="11" t="n">
        <f aca="false">IF(U24=1,U15-U29,0)</f>
        <v>12.5242071225335</v>
      </c>
      <c r="V31" s="11" t="n">
        <f aca="false">IF(V24=1,V15-V29,0)</f>
        <v>12.7812101799018</v>
      </c>
      <c r="W31" s="11" t="n">
        <f aca="false">IF(W24=1,W15-W29,0)</f>
        <v>12.6360002052902</v>
      </c>
      <c r="X31" s="11" t="n">
        <f aca="false">IF(X24=1,X15-X29,0)</f>
        <v>15.0937566502724</v>
      </c>
      <c r="Y31" s="11" t="n">
        <f aca="false">IF(Y24=1,Y15-Y29,0)</f>
        <v>12.1361770860339</v>
      </c>
      <c r="Z31" s="11" t="n">
        <f aca="false">IF(Z24=1,Z15-Z29,0)</f>
        <v>13.1572318208336</v>
      </c>
      <c r="AA31" s="11" t="n">
        <f aca="false">IF(AA24=1,AA15-AA29,0)</f>
        <v>6.0398643387419</v>
      </c>
      <c r="AB31" s="11" t="n">
        <f aca="false">IF(AB24=1,AB15-AB29,0)</f>
        <v>7.0945557254659</v>
      </c>
      <c r="AC31" s="11" t="n">
        <f aca="false">IF(AC24=1,AC15-AC29,0)</f>
        <v>7.19348638728025</v>
      </c>
      <c r="AD31" s="11" t="n">
        <f aca="false">IF(AD24=1,AD15-AD29,0)</f>
        <v>7.43929992284295</v>
      </c>
      <c r="AE31" s="11" t="n">
        <f aca="false">IF(AE24=1,AE15-AE29,0)</f>
        <v>8.30607754139817</v>
      </c>
      <c r="AF31" s="11" t="n">
        <f aca="false">IF(AF24=1,AF15-AF29,0)</f>
        <v>9.6446341575002</v>
      </c>
      <c r="AG31" s="11" t="n">
        <f aca="false">IF(AG24=1,AG15-AG29,0)</f>
        <v>9.88325891238581</v>
      </c>
      <c r="AH31" s="11" t="n">
        <f aca="false">IF(AH24=1,AH15-AH29,0)</f>
        <v>11.2225971206449</v>
      </c>
      <c r="AI31" s="11" t="n">
        <f aca="false">IF(AI24=1,AI15-AI29,0)</f>
        <v>12.087711349931</v>
      </c>
      <c r="AJ31" s="11" t="n">
        <f aca="false">IF(AJ24=1,AJ15-AJ29,0)</f>
        <v>13.9689634557995</v>
      </c>
      <c r="AK31" s="11" t="n">
        <f aca="false">IF(AK24=1,AK15-AK29,0)</f>
        <v>31.3457523058006</v>
      </c>
      <c r="AL31" s="11" t="n">
        <f aca="false">IF(AL24=1,AL15-AL29,0)</f>
        <v>28.3745003528723</v>
      </c>
      <c r="AM31" s="11" t="n">
        <f aca="false">IF(AM24=1,AM15-AM29,0)</f>
        <v>32.1343295759644</v>
      </c>
      <c r="AN31" s="11" t="n">
        <f aca="false">IF(AN24=1,AN15-AN29,0)</f>
        <v>25.6087601321135</v>
      </c>
      <c r="AO31" s="11" t="n">
        <f aca="false">IF(AO24=1,AO15-AO29,0)</f>
        <v>40.742324803979</v>
      </c>
      <c r="AP31" s="11" t="n">
        <f aca="false">IF(AP24=1,AP15-AP29,0)</f>
        <v>40.6638375110176</v>
      </c>
      <c r="AQ31" s="11" t="n">
        <f aca="false">IF(AQ24=1,AQ15-AQ29,0)</f>
        <v>40.2707668330066</v>
      </c>
      <c r="AR31" s="11" t="n">
        <f aca="false">IF(AR24=1,AR15-AR29,0)</f>
        <v>40.881138476395</v>
      </c>
      <c r="AS31" s="11" t="n">
        <f aca="false">IF(AS24=1,AS15-AS29,0)</f>
        <v>40.4952595793712</v>
      </c>
      <c r="AT31" s="11" t="n">
        <f aca="false">IF(AT24=1,AT15-AT29,0)</f>
        <v>40.9908594520066</v>
      </c>
      <c r="AU31" s="11" t="n">
        <f aca="false">IF(AU24=1,AU15-AU29,0)</f>
        <v>47.1218168873766</v>
      </c>
      <c r="AV31" s="11" t="n">
        <f aca="false">IF(AV24=1,AV15-AV29,0)</f>
        <v>43.4512690432593</v>
      </c>
      <c r="AW31" s="11" t="n">
        <f aca="false">IF(AW24=1,AW15-AW29,0)</f>
        <v>42.5071712906167</v>
      </c>
      <c r="AX31" s="11" t="n">
        <f aca="false">IF(AX24=1,AX15-AX29,0)</f>
        <v>43.2287926796445</v>
      </c>
      <c r="AY31" s="11" t="n">
        <f aca="false">IF(AY24=1,AY15-AY29,0)</f>
        <v>42.8307705108825</v>
      </c>
      <c r="AZ31" s="11" t="n">
        <f aca="false">IF(AZ24=1,AZ15-AZ29,0)</f>
        <v>43.4650280952357</v>
      </c>
      <c r="BA31" s="11" t="n">
        <f aca="false">IF(BA24=1,BA15-BA29,0)</f>
        <v>43.0687837485088</v>
      </c>
      <c r="BB31" s="11" t="n">
        <f aca="false">IF(BB24=1,BB15-BB29,0)</f>
        <v>43.3168187828175</v>
      </c>
      <c r="BC31" s="11" t="n">
        <f aca="false">IF(BC24=1,BC15-BC29,0)</f>
        <v>43.5222908675911</v>
      </c>
      <c r="BD31" s="11" t="n">
        <f aca="false">IF(BD24=1,BD15-BD29,0)</f>
        <v>42.1277932823643</v>
      </c>
      <c r="BE31" s="11" t="n">
        <f aca="false">IF(BE24=1,BE15-BE29,0)</f>
        <v>34.0412885919664</v>
      </c>
      <c r="BF31" s="11" t="n">
        <f aca="false">IF(BF24=1,BF15-BF29,0)</f>
        <v>34.689125557724</v>
      </c>
      <c r="BG31" s="11" t="n">
        <f aca="false">IF(BG24=1,BG15-BG29,0)</f>
        <v>34.268451636284</v>
      </c>
      <c r="BH31" s="11" t="n">
        <f aca="false">IF(BH24=1,BH15-BH29,0)</f>
        <v>34.9110692561402</v>
      </c>
      <c r="BI31" s="11" t="n">
        <f aca="false">IF(BI24=1,BI15-BI29,0)</f>
        <v>34.4858046050008</v>
      </c>
      <c r="BJ31" s="11" t="n">
        <f aca="false">IF(BJ24=1,BJ15-BJ29,0)</f>
        <v>35.0127213010671</v>
      </c>
      <c r="BK31" s="11" t="n">
        <f aca="false">IF(BK24=1,BK15-BK29,0)</f>
        <v>42.3993341292418</v>
      </c>
      <c r="BL31" s="11" t="n">
        <f aca="false">IF(BL24=1,BL15-BL29,0)</f>
        <v>37.9438519880931</v>
      </c>
      <c r="BM31" s="11" t="n">
        <f aca="false">IF(BM24=1,BM15-BM29,0)</f>
        <v>37.5417732528245</v>
      </c>
      <c r="BN31" s="11" t="n">
        <f aca="false">IF(BN24=1,BN15-BN29,0)</f>
        <v>61.0881105728736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44.0193874619346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0</v>
      </c>
      <c r="P33" s="11" t="n">
        <f aca="false">IF(Time!P17&lt;Time!$F$11,0,IF(Time!P29=1,INDEX(Funding!$J$72:$BJ$72,1,Time!$F$13),O36))</f>
        <v>205.843392600803</v>
      </c>
      <c r="Q33" s="11" t="n">
        <f aca="false">IF(Time!Q17&lt;Time!$F$11,0,IF(Time!Q29=1,INDEX(Funding!$J$72:$BJ$72,1,Time!$F$13),P36))</f>
        <v>207.504238604117</v>
      </c>
      <c r="R33" s="11" t="n">
        <f aca="false">IF(Time!R17&lt;Time!$F$11,0,IF(Time!R29=1,INDEX(Funding!$J$72:$BJ$72,1,Time!$F$13),Q36))</f>
        <v>196.231334818023</v>
      </c>
      <c r="S33" s="11" t="n">
        <f aca="false">IF(Time!S17&lt;Time!$F$11,0,IF(Time!S29=1,INDEX(Funding!$J$72:$BJ$72,1,Time!$F$13),R36))</f>
        <v>192.562711938545</v>
      </c>
      <c r="T33" s="11" t="n">
        <f aca="false">IF(Time!T17&lt;Time!$F$11,0,IF(Time!T29=1,INDEX(Funding!$J$72:$BJ$72,1,Time!$F$13),S36))</f>
        <v>189.255462586688</v>
      </c>
      <c r="U33" s="11" t="n">
        <f aca="false">IF(Time!U17&lt;Time!$F$11,0,IF(Time!U29=1,INDEX(Funding!$J$72:$BJ$72,1,Time!$F$13),T36))</f>
        <v>185.111209532293</v>
      </c>
      <c r="V33" s="11" t="n">
        <f aca="false">IF(Time!V17&lt;Time!$F$11,0,IF(Time!V29=1,INDEX(Funding!$J$72:$BJ$72,1,Time!$F$13),U36))</f>
        <v>181.355695047605</v>
      </c>
      <c r="W33" s="11" t="n">
        <f aca="false">IF(Time!W17&lt;Time!$F$11,0,IF(Time!W29=1,INDEX(Funding!$J$72:$BJ$72,1,Time!$F$13),V36))</f>
        <v>177.25968363327</v>
      </c>
      <c r="X33" s="11" t="n">
        <f aca="false">IF(Time!X17&lt;Time!$F$11,0,IF(Time!X29=1,INDEX(Funding!$J$72:$BJ$72,1,Time!$F$13),W36))</f>
        <v>172.974314277498</v>
      </c>
      <c r="Y33" s="11" t="n">
        <f aca="false">IF(Time!Y17&lt;Time!$F$11,0,IF(Time!Y29=1,INDEX(Funding!$J$72:$BJ$72,1,Time!$F$13),X36))</f>
        <v>166.16436862331</v>
      </c>
      <c r="Z33" s="11" t="n">
        <f aca="false">IF(Time!Z17&lt;Time!$F$11,0,IF(Time!Z29=1,INDEX(Funding!$J$72:$BJ$72,1,Time!$F$13),Y36))</f>
        <v>161.856126656393</v>
      </c>
      <c r="AA33" s="11" t="n">
        <f aca="false">IF(Time!AA17&lt;Time!$F$11,0,IF(Time!AA29=1,INDEX(Funding!$J$72:$BJ$72,1,Time!$F$13),Z36))</f>
        <v>156.450251257351</v>
      </c>
      <c r="AB33" s="11" t="n">
        <f aca="false">IF(Time!AB17&lt;Time!$F$11,0,IF(Time!AB29=1,INDEX(Funding!$J$72:$BJ$72,1,Time!$F$13),AA36))</f>
        <v>157.780693960719</v>
      </c>
      <c r="AC33" s="11" t="n">
        <f aca="false">IF(Time!AC17&lt;Time!$F$11,0,IF(Time!AC29=1,INDEX(Funding!$J$72:$BJ$72,1,Time!$F$13),AB36))</f>
        <v>158.242320510413</v>
      </c>
      <c r="AD33" s="11" t="n">
        <f aca="false">IF(Time!AD17&lt;Time!$F$11,0,IF(Time!AD29=1,INDEX(Funding!$J$72:$BJ$72,1,Time!$F$13),AC36))</f>
        <v>158.544751168681</v>
      </c>
      <c r="AE33" s="11" t="n">
        <f aca="false">IF(Time!AE17&lt;Time!$F$11,0,IF(Time!AE29=1,INDEX(Funding!$J$72:$BJ$72,1,Time!$F$13),AD36))</f>
        <v>158.698224534683</v>
      </c>
      <c r="AF33" s="11" t="n">
        <f aca="false">IF(Time!AF17&lt;Time!$F$11,0,IF(Time!AF29=1,INDEX(Funding!$J$72:$BJ$72,1,Time!$F$13),AE36))</f>
        <v>157.868355132665</v>
      </c>
      <c r="AG33" s="11" t="n">
        <f aca="false">IF(Time!AG17&lt;Time!$F$11,0,IF(Time!AG29=1,INDEX(Funding!$J$72:$BJ$72,1,Time!$F$13),AF36))</f>
        <v>155.784101379875</v>
      </c>
      <c r="AH33" s="11" t="n">
        <f aca="false">IF(Time!AH17&lt;Time!$F$11,0,IF(Time!AH29=1,INDEX(Funding!$J$72:$BJ$72,1,Time!$F$13),AG36))</f>
        <v>153.239767462631</v>
      </c>
      <c r="AI33" s="11" t="n">
        <f aca="false">IF(Time!AI17&lt;Time!$F$11,0,IF(Time!AI29=1,INDEX(Funding!$J$72:$BJ$72,1,Time!$F$13),AH36))</f>
        <v>149.355885781019</v>
      </c>
      <c r="AJ33" s="11" t="n">
        <f aca="false">IF(Time!AJ17&lt;Time!$F$11,0,IF(Time!AJ29=1,INDEX(Funding!$J$72:$BJ$72,1,Time!$F$13),AI36))</f>
        <v>144.3042688311</v>
      </c>
      <c r="AK33" s="11" t="n">
        <f aca="false">IF(Time!AK17&lt;Time!$F$11,0,IF(Time!AK29=1,INDEX(Funding!$J$72:$BJ$72,1,Time!$F$13),AJ36))</f>
        <v>137.246096112747</v>
      </c>
      <c r="AL33" s="11" t="n">
        <f aca="false">IF(Time!AL17&lt;Time!$F$11,0,IF(Time!AL29=1,INDEX(Funding!$J$72:$BJ$72,1,Time!$F$13),AK36))</f>
        <v>112.401672578972</v>
      </c>
      <c r="AM33" s="11" t="n">
        <f aca="false">IF(Time!AM17&lt;Time!$F$11,0,IF(Time!AM29=1,INDEX(Funding!$J$72:$BJ$72,1,Time!$F$13),AL36))</f>
        <v>89.4101345183744</v>
      </c>
      <c r="AN33" s="11" t="n">
        <f aca="false">IF(Time!AN17&lt;Time!$F$11,0,IF(Time!AN29=1,INDEX(Funding!$J$72:$BJ$72,1,Time!$F$13),AM36))</f>
        <v>61.4878796356797</v>
      </c>
      <c r="AO33" s="11" t="n">
        <f aca="false">IF(Time!AO17&lt;Time!$F$11,0,IF(Time!AO29=1,INDEX(Funding!$J$72:$BJ$72,1,Time!$F$13),AN36))</f>
        <v>38.8237993283105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179.274074869595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0</v>
      </c>
      <c r="Q34" s="11" t="n">
        <f aca="false">Q24*MIN(Q31,Tax!Q13)</f>
        <v>9.77543940492545</v>
      </c>
      <c r="R34" s="11" t="n">
        <f aca="false">R24*MIN(R31,Tax!R13)</f>
        <v>9.39759926744945</v>
      </c>
      <c r="S34" s="11" t="n">
        <f aca="false">S24*MIN(S31,Tax!S13)</f>
        <v>9.07155022406377</v>
      </c>
      <c r="T34" s="11" t="n">
        <f aca="false">T24*MIN(T31,Tax!T13)</f>
        <v>9.06352187949399</v>
      </c>
      <c r="U34" s="11" t="n">
        <f aca="false">U24*MIN(U31,Tax!U13)</f>
        <v>8.7686926378448</v>
      </c>
      <c r="V34" s="11" t="n">
        <f aca="false">V24*MIN(V31,Tax!V13)</f>
        <v>8.68519876556749</v>
      </c>
      <c r="W34" s="11" t="n">
        <f aca="false">W24*MIN(W31,Tax!W13)</f>
        <v>8.35063084951804</v>
      </c>
      <c r="X34" s="11" t="n">
        <f aca="false">X24*MIN(X31,Tax!X13)</f>
        <v>8.28381099608403</v>
      </c>
      <c r="Y34" s="11" t="n">
        <f aca="false">Y24*MIN(Y31,Tax!Y13)</f>
        <v>7.8279351191173</v>
      </c>
      <c r="Z34" s="11" t="n">
        <f aca="false">Z24*MIN(Z31,Tax!Z13)</f>
        <v>7.75135642179111</v>
      </c>
      <c r="AA34" s="11" t="n">
        <f aca="false">AA24*MIN(AA31,Tax!AA13)</f>
        <v>6.0398643387419</v>
      </c>
      <c r="AB34" s="11" t="n">
        <f aca="false">AB24*MIN(AB31,Tax!AB13)</f>
        <v>7.0945557254659</v>
      </c>
      <c r="AC34" s="11" t="n">
        <f aca="false">AC24*MIN(AC31,Tax!AC13)</f>
        <v>7.19348638728025</v>
      </c>
      <c r="AD34" s="11" t="n">
        <f aca="false">AD24*MIN(AD31,Tax!AD13)</f>
        <v>7.43929992284295</v>
      </c>
      <c r="AE34" s="11" t="n">
        <f aca="false">AE24*MIN(AE31,Tax!AE13)</f>
        <v>7.47620813938048</v>
      </c>
      <c r="AF34" s="11" t="n">
        <f aca="false">AF24*MIN(AF31,Tax!AF13)</f>
        <v>7.56038040470957</v>
      </c>
      <c r="AG34" s="11" t="n">
        <f aca="false">AG24*MIN(AG31,Tax!AG13)</f>
        <v>7.33892499514232</v>
      </c>
      <c r="AH34" s="11" t="n">
        <f aca="false">AH24*MIN(AH31,Tax!AH13)</f>
        <v>7.33871543903232</v>
      </c>
      <c r="AI34" s="11" t="n">
        <f aca="false">AI24*MIN(AI31,Tax!AI13)</f>
        <v>7.03609440001265</v>
      </c>
      <c r="AJ34" s="11" t="n">
        <f aca="false">AJ24*MIN(AJ31,Tax!AJ13)</f>
        <v>6.91079073744557</v>
      </c>
      <c r="AK34" s="11" t="n">
        <f aca="false">AK24*MIN(AK31,Tax!AK13)</f>
        <v>6.50132877202572</v>
      </c>
      <c r="AL34" s="11" t="n">
        <f aca="false">AL24*MIN(AL31,Tax!AL13)</f>
        <v>5.38296229227513</v>
      </c>
      <c r="AM34" s="11" t="n">
        <f aca="false">AM24*MIN(AM31,Tax!AM13)</f>
        <v>4.21207469326972</v>
      </c>
      <c r="AN34" s="11" t="n">
        <f aca="false">AN24*MIN(AN31,Tax!AN13)</f>
        <v>2.94467982474433</v>
      </c>
      <c r="AO34" s="11" t="n">
        <f aca="false">AO24*MIN(AO31,Tax!AO13)</f>
        <v>1.82897323137068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209.752211881449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0</v>
      </c>
      <c r="Q35" s="11" t="n">
        <f aca="false">Q24*MIN(Q31-Q34,Q33+Tax!Q13-Q34)</f>
        <v>11.2729037860934</v>
      </c>
      <c r="R35" s="11" t="n">
        <f aca="false">R24*MIN(R31-R34,R33+Tax!R13-R34)</f>
        <v>3.66862287947865</v>
      </c>
      <c r="S35" s="11" t="n">
        <f aca="false">S24*MIN(S31-S34,S33+Tax!S13-S34)</f>
        <v>3.3072493518568</v>
      </c>
      <c r="T35" s="11" t="n">
        <f aca="false">T24*MIN(T31-T34,T33+Tax!T13-T34)</f>
        <v>4.14425305439445</v>
      </c>
      <c r="U35" s="11" t="n">
        <f aca="false">U24*MIN(U31-U34,U33+Tax!U13-U34)</f>
        <v>3.75551448468865</v>
      </c>
      <c r="V35" s="11" t="n">
        <f aca="false">V24*MIN(V31-V34,V33+Tax!V13-V34)</f>
        <v>4.09601141433431</v>
      </c>
      <c r="W35" s="11" t="n">
        <f aca="false">W24*MIN(W31-W34,W33+Tax!W13-W34)</f>
        <v>4.28536935577217</v>
      </c>
      <c r="X35" s="11" t="n">
        <f aca="false">X24*MIN(X31-X34,X33+Tax!X13-X34)</f>
        <v>6.8099456541884</v>
      </c>
      <c r="Y35" s="11" t="n">
        <f aca="false">Y24*MIN(Y31-Y34,Y33+Tax!Y13-Y34)</f>
        <v>4.30824196691656</v>
      </c>
      <c r="Z35" s="11" t="n">
        <f aca="false">Z24*MIN(Z31-Z34,Z33+Tax!Z13-Z34)</f>
        <v>5.4058753990425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0.829869402017689</v>
      </c>
      <c r="AF35" s="11" t="n">
        <f aca="false">AF24*MIN(AF31-AF34,AF33+Tax!AF13-AF34)</f>
        <v>2.08425375279063</v>
      </c>
      <c r="AG35" s="11" t="n">
        <f aca="false">AG24*MIN(AG31-AG34,AG33+Tax!AG13-AG34)</f>
        <v>2.54433391724349</v>
      </c>
      <c r="AH35" s="11" t="n">
        <f aca="false">AH24*MIN(AH31-AH34,AH33+Tax!AH13-AH34)</f>
        <v>3.88388168161259</v>
      </c>
      <c r="AI35" s="11" t="n">
        <f aca="false">AI24*MIN(AI31-AI34,AI33+Tax!AI13-AI34)</f>
        <v>5.05161694991831</v>
      </c>
      <c r="AJ35" s="11" t="n">
        <f aca="false">AJ24*MIN(AJ31-AJ34,AJ33+Tax!AJ13-AJ34)</f>
        <v>7.05817271835388</v>
      </c>
      <c r="AK35" s="11" t="n">
        <f aca="false">AK24*MIN(AK31-AK34,AK33+Tax!AK13-AK34)</f>
        <v>24.8444235337749</v>
      </c>
      <c r="AL35" s="11" t="n">
        <f aca="false">AL24*MIN(AL31-AL34,AL33+Tax!AL13-AL34)</f>
        <v>22.9915380605972</v>
      </c>
      <c r="AM35" s="11" t="n">
        <f aca="false">AM24*MIN(AM31-AM34,AM33+Tax!AM13-AM34)</f>
        <v>27.9222548826947</v>
      </c>
      <c r="AN35" s="11" t="n">
        <f aca="false">AN24*MIN(AN31-AN34,AN33+Tax!AN13-AN34)</f>
        <v>22.6640803073692</v>
      </c>
      <c r="AO35" s="11" t="n">
        <f aca="false">AO24*MIN(AO31-AO34,AO33+Tax!AO13-AO34)</f>
        <v>38.8237993283105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0</v>
      </c>
      <c r="P36" s="11" t="n">
        <f aca="false">P33+Tax!P13-P34-P35</f>
        <v>207.504238604117</v>
      </c>
      <c r="Q36" s="11" t="n">
        <f aca="false">Q33+Tax!Q13-Q34-Q35</f>
        <v>196.231334818023</v>
      </c>
      <c r="R36" s="11" t="n">
        <f aca="false">R33+Tax!R13-R34-R35</f>
        <v>192.562711938545</v>
      </c>
      <c r="S36" s="11" t="n">
        <f aca="false">S33+Tax!S13-S34-S35</f>
        <v>189.255462586688</v>
      </c>
      <c r="T36" s="11" t="n">
        <f aca="false">T33+Tax!T13-T34-T35</f>
        <v>185.111209532293</v>
      </c>
      <c r="U36" s="11" t="n">
        <f aca="false">U33+Tax!U13-U34-U35</f>
        <v>181.355695047605</v>
      </c>
      <c r="V36" s="11" t="n">
        <f aca="false">V33+Tax!V13-V34-V35</f>
        <v>177.25968363327</v>
      </c>
      <c r="W36" s="11" t="n">
        <f aca="false">W33+Tax!W13-W34-W35</f>
        <v>172.974314277498</v>
      </c>
      <c r="X36" s="11" t="n">
        <f aca="false">X33+Tax!X13-X34-X35</f>
        <v>166.16436862331</v>
      </c>
      <c r="Y36" s="11" t="n">
        <f aca="false">Y33+Tax!Y13-Y34-Y35</f>
        <v>161.856126656393</v>
      </c>
      <c r="Z36" s="11" t="n">
        <f aca="false">Z33+Tax!Z13-Z34-Z35</f>
        <v>156.450251257351</v>
      </c>
      <c r="AA36" s="11" t="n">
        <f aca="false">AA33+Tax!AA13-AA34-AA35</f>
        <v>157.780693960719</v>
      </c>
      <c r="AB36" s="11" t="n">
        <f aca="false">AB33+Tax!AB13-AB34-AB35</f>
        <v>158.242320510413</v>
      </c>
      <c r="AC36" s="11" t="n">
        <f aca="false">AC33+Tax!AC13-AC34-AC35</f>
        <v>158.544751168681</v>
      </c>
      <c r="AD36" s="11" t="n">
        <f aca="false">AD33+Tax!AD13-AD34-AD35</f>
        <v>158.698224534683</v>
      </c>
      <c r="AE36" s="11" t="n">
        <f aca="false">AE33+Tax!AE13-AE34-AE35</f>
        <v>157.868355132665</v>
      </c>
      <c r="AF36" s="11" t="n">
        <f aca="false">AF33+Tax!AF13-AF34-AF35</f>
        <v>155.784101379875</v>
      </c>
      <c r="AG36" s="11" t="n">
        <f aca="false">AG33+Tax!AG13-AG34-AG35</f>
        <v>153.239767462631</v>
      </c>
      <c r="AH36" s="11" t="n">
        <f aca="false">AH33+Tax!AH13-AH34-AH35</f>
        <v>149.355885781019</v>
      </c>
      <c r="AI36" s="11" t="n">
        <f aca="false">AI33+Tax!AI13-AI34-AI35</f>
        <v>144.3042688311</v>
      </c>
      <c r="AJ36" s="11" t="n">
        <f aca="false">AJ33+Tax!AJ13-AJ34-AJ35</f>
        <v>137.246096112747</v>
      </c>
      <c r="AK36" s="11" t="n">
        <f aca="false">AK33+Tax!AK13-AK34-AK35</f>
        <v>112.401672578972</v>
      </c>
      <c r="AL36" s="11" t="n">
        <f aca="false">AL33+Tax!AL13-AL34-AL35</f>
        <v>89.4101345183744</v>
      </c>
      <c r="AM36" s="11" t="n">
        <f aca="false">AM33+Tax!AM13-AM34-AM35</f>
        <v>61.4878796356797</v>
      </c>
      <c r="AN36" s="11" t="n">
        <f aca="false">AN33+Tax!AN13-AN34-AN35</f>
        <v>38.8237993283105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0</v>
      </c>
      <c r="P37" s="11" t="n">
        <f aca="false">MAX(0,O43+Financials!P14)</f>
        <v>4.73082057210963</v>
      </c>
      <c r="Q37" s="11" t="n">
        <f aca="false">MAX(0,P43+Financials!Q14)</f>
        <v>12.1376888475899</v>
      </c>
      <c r="R37" s="11" t="n">
        <f aca="false">MAX(0,Q43+Financials!R14)</f>
        <v>21.2737361306474</v>
      </c>
      <c r="S37" s="11" t="n">
        <f aca="false">MAX(0,R43+Financials!S14)</f>
        <v>31.6856727835981</v>
      </c>
      <c r="T37" s="11" t="n">
        <f aca="false">MAX(0,S43+Financials!T14)</f>
        <v>42.584433655405</v>
      </c>
      <c r="U37" s="11" t="n">
        <f aca="false">MAX(0,T43+Financials!U14)</f>
        <v>54.592180700253</v>
      </c>
      <c r="V37" s="11" t="n">
        <f aca="false">MAX(0,U43+Financials!V14)</f>
        <v>67.3252639001801</v>
      </c>
      <c r="W37" s="11" t="n">
        <f aca="false">MAX(0,V43+Financials!W14)</f>
        <v>78.9435107909066</v>
      </c>
      <c r="X37" s="11" t="n">
        <f aca="false">MAX(0,W43+Financials!X14)</f>
        <v>93.7823242739462</v>
      </c>
      <c r="Y37" s="11" t="n">
        <f aca="false">MAX(0,X43+Financials!Y14)</f>
        <v>109.446334898352</v>
      </c>
      <c r="Z37" s="11" t="n">
        <f aca="false">MAX(0,Y43+Financials!Z14)</f>
        <v>124.396500687715</v>
      </c>
      <c r="AA37" s="11" t="n">
        <f aca="false">MAX(0,Z43+Financials!AA14)</f>
        <v>133.150558189533</v>
      </c>
      <c r="AB37" s="11" t="n">
        <f aca="false">MAX(0,AA43+Financials!AB14)</f>
        <v>142.469247379601</v>
      </c>
      <c r="AC37" s="11" t="n">
        <f aca="false">MAX(0,AB43+Financials!AC14)</f>
        <v>152.72213447461</v>
      </c>
      <c r="AD37" s="11" t="n">
        <f aca="false">MAX(0,AC43+Financials!AD14)</f>
        <v>163.750943003845</v>
      </c>
      <c r="AE37" s="11" t="n">
        <f aca="false">MAX(0,AD43+Financials!AE14)</f>
        <v>166.871655854586</v>
      </c>
      <c r="AF37" s="11" t="n">
        <f aca="false">MAX(0,AE43+Financials!AF14)</f>
        <v>179.68022552548</v>
      </c>
      <c r="AG37" s="11" t="n">
        <f aca="false">MAX(0,AF43+Financials!AG14)</f>
        <v>193.587625161796</v>
      </c>
      <c r="AH37" s="11" t="n">
        <f aca="false">MAX(0,AG43+Financials!AH14)</f>
        <v>208.455312333636</v>
      </c>
      <c r="AI37" s="11" t="n">
        <f aca="false">MAX(0,AH43+Financials!AI14)</f>
        <v>224.643297848846</v>
      </c>
      <c r="AJ37" s="11" t="n">
        <f aca="false">MAX(0,AI43+Financials!AJ14)</f>
        <v>241.920879974643</v>
      </c>
      <c r="AK37" s="11" t="n">
        <f aca="false">MAX(0,AJ43+Financials!AK14)</f>
        <v>260.514640478261</v>
      </c>
      <c r="AL37" s="11" t="n">
        <f aca="false">MAX(0,AK43+Financials!AL14)</f>
        <v>280.389876473945</v>
      </c>
      <c r="AM37" s="11" t="n">
        <f aca="false">MAX(0,AL43+Financials!AM14)</f>
        <v>299.689555464912</v>
      </c>
      <c r="AN37" s="11" t="n">
        <f aca="false">MAX(0,AM43+Financials!AN14)</f>
        <v>322.742326307236</v>
      </c>
      <c r="AO37" s="11" t="n">
        <f aca="false">MAX(0,AN43+Financials!AO14)</f>
        <v>346.895848901012</v>
      </c>
      <c r="AP37" s="11" t="n">
        <f aca="false">MAX(0,AO43+Financials!AP14)</f>
        <v>372.683855492134</v>
      </c>
      <c r="AQ37" s="11" t="n">
        <f aca="false">MAX(0,AP43+Financials!AQ14)</f>
        <v>358.024830189662</v>
      </c>
      <c r="AR37" s="11" t="n">
        <f aca="false">MAX(0,AQ43+Financials!AR14)</f>
        <v>343.848075475209</v>
      </c>
      <c r="AS37" s="11" t="n">
        <f aca="false">MAX(0,AR43+Financials!AS14)</f>
        <v>329.11277989397</v>
      </c>
      <c r="AT37" s="11" t="n">
        <f aca="false">MAX(0,AS43+Financials!AT14)</f>
        <v>314.906845436872</v>
      </c>
      <c r="AU37" s="11" t="n">
        <f aca="false">MAX(0,AT43+Financials!AU14)</f>
        <v>289.725203073448</v>
      </c>
      <c r="AV37" s="11" t="n">
        <f aca="false">MAX(0,AU43+Financials!AV14)</f>
        <v>269.033012817895</v>
      </c>
      <c r="AW37" s="11" t="n">
        <f aca="false">MAX(0,AV43+Financials!AW14)</f>
        <v>252.11275318551</v>
      </c>
      <c r="AX37" s="11" t="n">
        <f aca="false">MAX(0,AW43+Financials!AX14)</f>
        <v>236.247675428571</v>
      </c>
      <c r="AY37" s="11" t="n">
        <f aca="false">MAX(0,AX43+Financials!AY14)</f>
        <v>219.799213923544</v>
      </c>
      <c r="AZ37" s="11" t="n">
        <f aca="false">MAX(0,AY43+Financials!AZ14)</f>
        <v>203.845722609131</v>
      </c>
      <c r="BA37" s="11" t="n">
        <f aca="false">MAX(0,AZ43+Financials!BA14)</f>
        <v>187.312474103214</v>
      </c>
      <c r="BB37" s="11" t="n">
        <f aca="false">MAX(0,BA43+Financials!BB14)</f>
        <v>171.313985935818</v>
      </c>
      <c r="BC37" s="11" t="n">
        <f aca="false">MAX(0,BB43+Financials!BC14)</f>
        <v>152.793815852757</v>
      </c>
      <c r="BD37" s="11" t="n">
        <f aca="false">MAX(0,BC43+Financials!BD14)</f>
        <v>136.680055799833</v>
      </c>
      <c r="BE37" s="11" t="n">
        <f aca="false">MAX(0,BD43+Financials!BE14)</f>
        <v>121.90105679717</v>
      </c>
      <c r="BF37" s="11" t="n">
        <f aca="false">MAX(0,BE43+Financials!BF14)</f>
        <v>115.329660673062</v>
      </c>
      <c r="BG37" s="11" t="n">
        <f aca="false">MAX(0,BF43+Financials!BG14)</f>
        <v>108.260613381461</v>
      </c>
      <c r="BH37" s="11" t="n">
        <f aca="false">MAX(0,BG43+Financials!BH14)</f>
        <v>101.717608451949</v>
      </c>
      <c r="BI37" s="11" t="n">
        <f aca="false">MAX(0,BH43+Financials!BI14)</f>
        <v>94.5892601845149</v>
      </c>
      <c r="BJ37" s="11" t="n">
        <f aca="false">MAX(0,BI43+Financials!BJ14)</f>
        <v>88.0582307435342</v>
      </c>
      <c r="BK37" s="11" t="n">
        <f aca="false">MAX(0,BJ43+Financials!BK14)</f>
        <v>68.6101098934713</v>
      </c>
      <c r="BL37" s="11" t="n">
        <f aca="false">MAX(0,BK43+Financials!BL14)</f>
        <v>54.3629645203948</v>
      </c>
      <c r="BM37" s="11" t="n">
        <f aca="false">MAX(0,BL43+Financials!BM14)</f>
        <v>44.6533675342522</v>
      </c>
      <c r="BN37" s="11" t="n">
        <f aca="false">MAX(0,BM43+Financials!BN14)</f>
        <v>17.0687231109692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0.0895522442978134</v>
      </c>
      <c r="AP38" s="11" t="n">
        <f aca="false">AP24*MIN(AP31-AP34-AP35,AP37)</f>
        <v>40.6638375110176</v>
      </c>
      <c r="AQ38" s="11" t="n">
        <f aca="false">AQ24*MIN(AQ31-AQ34-AQ35,AQ37)</f>
        <v>40.2707668330066</v>
      </c>
      <c r="AR38" s="11" t="n">
        <f aca="false">AR24*MIN(AR31-AR34-AR35,AR37)</f>
        <v>40.881138476395</v>
      </c>
      <c r="AS38" s="11" t="n">
        <f aca="false">AS24*MIN(AS31-AS34-AS35,AS37)</f>
        <v>40.4952595793712</v>
      </c>
      <c r="AT38" s="11" t="n">
        <f aca="false">AT24*MIN(AT31-AT34-AT35,AT37)</f>
        <v>40.9908594520066</v>
      </c>
      <c r="AU38" s="11" t="n">
        <f aca="false">AU24*MIN(AU31-AU34-AU35,AU37)</f>
        <v>47.1218168873766</v>
      </c>
      <c r="AV38" s="11" t="n">
        <f aca="false">AV24*MIN(AV31-AV34-AV35,AV37)</f>
        <v>43.4512690432593</v>
      </c>
      <c r="AW38" s="11" t="n">
        <f aca="false">AW24*MIN(AW31-AW34-AW35,AW37)</f>
        <v>42.5071712906167</v>
      </c>
      <c r="AX38" s="11" t="n">
        <f aca="false">AX24*MIN(AX31-AX34-AX35,AX37)</f>
        <v>43.2287926796445</v>
      </c>
      <c r="AY38" s="11" t="n">
        <f aca="false">AY24*MIN(AY31-AY34-AY35,AY37)</f>
        <v>42.8307705108825</v>
      </c>
      <c r="AZ38" s="11" t="n">
        <f aca="false">AZ24*MIN(AZ31-AZ34-AZ35,AZ37)</f>
        <v>43.4650280952357</v>
      </c>
      <c r="BA38" s="11" t="n">
        <f aca="false">BA24*MIN(BA31-BA34-BA35,BA37)</f>
        <v>43.0687837485088</v>
      </c>
      <c r="BB38" s="11" t="n">
        <f aca="false">BB24*MIN(BB31-BB34-BB35,BB37)</f>
        <v>43.3168187828175</v>
      </c>
      <c r="BC38" s="11" t="n">
        <f aca="false">BC24*MIN(BC31-BC34-BC35,BC37)</f>
        <v>43.5222908675911</v>
      </c>
      <c r="BD38" s="11" t="n">
        <f aca="false">BD24*MIN(BD31-BD34-BD35,BD37)</f>
        <v>42.1277932823643</v>
      </c>
      <c r="BE38" s="11" t="n">
        <f aca="false">BE24*MIN(BE31-BE34-BE35,BE37)</f>
        <v>34.0412885919664</v>
      </c>
      <c r="BF38" s="11" t="n">
        <f aca="false">BF24*MIN(BF31-BF34-BF35,BF37)</f>
        <v>34.689125557724</v>
      </c>
      <c r="BG38" s="11" t="n">
        <f aca="false">BG24*MIN(BG31-BG34-BG35,BG37)</f>
        <v>34.268451636284</v>
      </c>
      <c r="BH38" s="11" t="n">
        <f aca="false">BH24*MIN(BH31-BH34-BH35,BH37)</f>
        <v>34.9110692561402</v>
      </c>
      <c r="BI38" s="11" t="n">
        <f aca="false">BI24*MIN(BI31-BI34-BI35,BI37)</f>
        <v>34.4858046050008</v>
      </c>
      <c r="BJ38" s="11" t="n">
        <f aca="false">BJ24*MIN(BJ31-BJ34-BJ35,BJ37)</f>
        <v>35.0127213010671</v>
      </c>
      <c r="BK38" s="11" t="n">
        <f aca="false">BK24*MIN(BK31-BK34-BK35,BK37)</f>
        <v>42.3993341292418</v>
      </c>
      <c r="BL38" s="11" t="n">
        <f aca="false">BL24*MIN(BL31-BL34-BL35,BL37)</f>
        <v>37.9438519880931</v>
      </c>
      <c r="BM38" s="11" t="n">
        <f aca="false">BM24*MIN(BM31-BM34-BM35,BM37)</f>
        <v>37.5417732528245</v>
      </c>
      <c r="BN38" s="11" t="n">
        <f aca="false">BN24*MIN(BN31-BN34-BN35,BN37)</f>
        <v>17.0687231109692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0</v>
      </c>
      <c r="BN39" s="11" t="n">
        <f aca="false">BN24*(BN31-BN34-BN35-BN38)</f>
        <v>44.0193874619044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44.0193874619044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0</v>
      </c>
      <c r="BN40" s="11" t="n">
        <f aca="false">Time!BN32*(BN39+BN30+Reserves!BN9-Reserves!BN10+Reserves!BN11-Reserves!BN12)</f>
        <v>44.0193874619044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1024.41348017561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0.0895522442978134</v>
      </c>
      <c r="AP41" s="11" t="n">
        <f aca="false">AP38+AP40</f>
        <v>40.6638375110176</v>
      </c>
      <c r="AQ41" s="11" t="n">
        <f aca="false">AQ38+AQ40</f>
        <v>40.2707668330066</v>
      </c>
      <c r="AR41" s="11" t="n">
        <f aca="false">AR38+AR40</f>
        <v>40.881138476395</v>
      </c>
      <c r="AS41" s="11" t="n">
        <f aca="false">AS38+AS40</f>
        <v>40.4952595793712</v>
      </c>
      <c r="AT41" s="11" t="n">
        <f aca="false">AT38+AT40</f>
        <v>40.9908594520066</v>
      </c>
      <c r="AU41" s="11" t="n">
        <f aca="false">AU38+AU40</f>
        <v>47.1218168873766</v>
      </c>
      <c r="AV41" s="11" t="n">
        <f aca="false">AV38+AV40</f>
        <v>43.4512690432593</v>
      </c>
      <c r="AW41" s="11" t="n">
        <f aca="false">AW38+AW40</f>
        <v>42.5071712906167</v>
      </c>
      <c r="AX41" s="11" t="n">
        <f aca="false">AX38+AX40</f>
        <v>43.2287926796445</v>
      </c>
      <c r="AY41" s="11" t="n">
        <f aca="false">AY38+AY40</f>
        <v>42.8307705108825</v>
      </c>
      <c r="AZ41" s="11" t="n">
        <f aca="false">AZ38+AZ40</f>
        <v>43.4650280952357</v>
      </c>
      <c r="BA41" s="11" t="n">
        <f aca="false">BA38+BA40</f>
        <v>43.0687837485088</v>
      </c>
      <c r="BB41" s="11" t="n">
        <f aca="false">BB38+BB40</f>
        <v>43.3168187828175</v>
      </c>
      <c r="BC41" s="11" t="n">
        <f aca="false">BC38+BC40</f>
        <v>43.5222908675911</v>
      </c>
      <c r="BD41" s="11" t="n">
        <f aca="false">BD38+BD40</f>
        <v>42.1277932823643</v>
      </c>
      <c r="BE41" s="11" t="n">
        <f aca="false">BE38+BE40</f>
        <v>34.0412885919664</v>
      </c>
      <c r="BF41" s="11" t="n">
        <f aca="false">BF38+BF40</f>
        <v>34.689125557724</v>
      </c>
      <c r="BG41" s="11" t="n">
        <f aca="false">BG38+BG40</f>
        <v>34.268451636284</v>
      </c>
      <c r="BH41" s="11" t="n">
        <f aca="false">BH38+BH40</f>
        <v>34.9110692561402</v>
      </c>
      <c r="BI41" s="11" t="n">
        <f aca="false">BI38+BI40</f>
        <v>34.4858046050008</v>
      </c>
      <c r="BJ41" s="11" t="n">
        <f aca="false">BJ38+BJ40</f>
        <v>35.0127213010671</v>
      </c>
      <c r="BK41" s="11" t="n">
        <f aca="false">BK38+BK40</f>
        <v>42.3993341292418</v>
      </c>
      <c r="BL41" s="11" t="n">
        <f aca="false">BL38+BL40</f>
        <v>37.9438519880931</v>
      </c>
      <c r="BM41" s="11" t="n">
        <f aca="false">BM38+BM40</f>
        <v>37.5417732528245</v>
      </c>
      <c r="BN41" s="11" t="n">
        <f aca="false">BN38+BN40</f>
        <v>61.0881105728736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0</v>
      </c>
      <c r="P43" s="11" t="n">
        <f aca="false">IF(Time!P17&lt;Time!$F$11,0,O43+Financials!P14-P41)</f>
        <v>4.73082057210963</v>
      </c>
      <c r="Q43" s="11" t="n">
        <f aca="false">IF(Time!Q17&lt;Time!$F$11,0,P43+Financials!Q14-Q41)</f>
        <v>12.1376888475899</v>
      </c>
      <c r="R43" s="11" t="n">
        <f aca="false">IF(Time!R17&lt;Time!$F$11,0,Q43+Financials!R14-R41)</f>
        <v>21.2737361306474</v>
      </c>
      <c r="S43" s="11" t="n">
        <f aca="false">IF(Time!S17&lt;Time!$F$11,0,R43+Financials!S14-S41)</f>
        <v>31.6856727835981</v>
      </c>
      <c r="T43" s="11" t="n">
        <f aca="false">IF(Time!T17&lt;Time!$F$11,0,S43+Financials!T14-T41)</f>
        <v>42.584433655405</v>
      </c>
      <c r="U43" s="11" t="n">
        <f aca="false">IF(Time!U17&lt;Time!$F$11,0,T43+Financials!U14-U41)</f>
        <v>54.592180700253</v>
      </c>
      <c r="V43" s="11" t="n">
        <f aca="false">IF(Time!V17&lt;Time!$F$11,0,U43+Financials!V14-V41)</f>
        <v>67.3252639001801</v>
      </c>
      <c r="W43" s="11" t="n">
        <f aca="false">IF(Time!W17&lt;Time!$F$11,0,V43+Financials!W14-W41)</f>
        <v>78.9435107909066</v>
      </c>
      <c r="X43" s="11" t="n">
        <f aca="false">IF(Time!X17&lt;Time!$F$11,0,W43+Financials!X14-X41)</f>
        <v>93.7823242739462</v>
      </c>
      <c r="Y43" s="11" t="n">
        <f aca="false">IF(Time!Y17&lt;Time!$F$11,0,X43+Financials!Y14-Y41)</f>
        <v>109.446334898352</v>
      </c>
      <c r="Z43" s="11" t="n">
        <f aca="false">IF(Time!Z17&lt;Time!$F$11,0,Y43+Financials!Z14-Z41)</f>
        <v>124.396500687715</v>
      </c>
      <c r="AA43" s="11" t="n">
        <f aca="false">IF(Time!AA17&lt;Time!$F$11,0,Z43+Financials!AA14-AA41)</f>
        <v>133.150558189533</v>
      </c>
      <c r="AB43" s="11" t="n">
        <f aca="false">IF(Time!AB17&lt;Time!$F$11,0,AA43+Financials!AB14-AB41)</f>
        <v>142.469247379601</v>
      </c>
      <c r="AC43" s="11" t="n">
        <f aca="false">IF(Time!AC17&lt;Time!$F$11,0,AB43+Financials!AC14-AC41)</f>
        <v>152.72213447461</v>
      </c>
      <c r="AD43" s="11" t="n">
        <f aca="false">IF(Time!AD17&lt;Time!$F$11,0,AC43+Financials!AD14-AD41)</f>
        <v>163.750943003845</v>
      </c>
      <c r="AE43" s="11" t="n">
        <f aca="false">IF(Time!AE17&lt;Time!$F$11,0,AD43+Financials!AE14-AE41)</f>
        <v>166.871655854586</v>
      </c>
      <c r="AF43" s="11" t="n">
        <f aca="false">IF(Time!AF17&lt;Time!$F$11,0,AE43+Financials!AF14-AF41)</f>
        <v>179.68022552548</v>
      </c>
      <c r="AG43" s="11" t="n">
        <f aca="false">IF(Time!AG17&lt;Time!$F$11,0,AF43+Financials!AG14-AG41)</f>
        <v>193.587625161796</v>
      </c>
      <c r="AH43" s="11" t="n">
        <f aca="false">IF(Time!AH17&lt;Time!$F$11,0,AG43+Financials!AH14-AH41)</f>
        <v>208.455312333636</v>
      </c>
      <c r="AI43" s="11" t="n">
        <f aca="false">IF(Time!AI17&lt;Time!$F$11,0,AH43+Financials!AI14-AI41)</f>
        <v>224.643297848846</v>
      </c>
      <c r="AJ43" s="11" t="n">
        <f aca="false">IF(Time!AJ17&lt;Time!$F$11,0,AI43+Financials!AJ14-AJ41)</f>
        <v>241.920879974643</v>
      </c>
      <c r="AK43" s="11" t="n">
        <f aca="false">IF(Time!AK17&lt;Time!$F$11,0,AJ43+Financials!AK14-AK41)</f>
        <v>260.514640478261</v>
      </c>
      <c r="AL43" s="11" t="n">
        <f aca="false">IF(Time!AL17&lt;Time!$F$11,0,AK43+Financials!AL14-AL41)</f>
        <v>280.389876473945</v>
      </c>
      <c r="AM43" s="11" t="n">
        <f aca="false">IF(Time!AM17&lt;Time!$F$11,0,AL43+Financials!AM14-AM41)</f>
        <v>299.689555464912</v>
      </c>
      <c r="AN43" s="11" t="n">
        <f aca="false">IF(Time!AN17&lt;Time!$F$11,0,AM43+Financials!AN14-AN41)</f>
        <v>322.742326307236</v>
      </c>
      <c r="AO43" s="11" t="n">
        <f aca="false">IF(Time!AO17&lt;Time!$F$11,0,AN43+Financials!AO14-AO41)</f>
        <v>346.806296656715</v>
      </c>
      <c r="AP43" s="11" t="n">
        <f aca="false">IF(Time!AP17&lt;Time!$F$11,0,AO43+Financials!AP14-AP41)</f>
        <v>332.020017981116</v>
      </c>
      <c r="AQ43" s="11" t="n">
        <f aca="false">IF(Time!AQ17&lt;Time!$F$11,0,AP43+Financials!AQ14-AQ41)</f>
        <v>317.754063356655</v>
      </c>
      <c r="AR43" s="11" t="n">
        <f aca="false">IF(Time!AR17&lt;Time!$F$11,0,AQ43+Financials!AR14-AR41)</f>
        <v>302.966936998814</v>
      </c>
      <c r="AS43" s="11" t="n">
        <f aca="false">IF(Time!AS17&lt;Time!$F$11,0,AR43+Financials!AS14-AS41)</f>
        <v>288.617520314599</v>
      </c>
      <c r="AT43" s="11" t="n">
        <f aca="false">IF(Time!AT17&lt;Time!$F$11,0,AS43+Financials!AT14-AT41)</f>
        <v>273.915985984866</v>
      </c>
      <c r="AU43" s="11" t="n">
        <f aca="false">IF(Time!AU17&lt;Time!$F$11,0,AT43+Financials!AU14-AU41)</f>
        <v>242.603386186071</v>
      </c>
      <c r="AV43" s="11" t="n">
        <f aca="false">IF(Time!AV17&lt;Time!$F$11,0,AU43+Financials!AV14-AV41)</f>
        <v>225.581743774636</v>
      </c>
      <c r="AW43" s="11" t="n">
        <f aca="false">IF(Time!AW17&lt;Time!$F$11,0,AV43+Financials!AW14-AW41)</f>
        <v>209.605581894893</v>
      </c>
      <c r="AX43" s="11" t="n">
        <f aca="false">IF(Time!AX17&lt;Time!$F$11,0,AW43+Financials!AX14-AX41)</f>
        <v>193.018882748926</v>
      </c>
      <c r="AY43" s="11" t="n">
        <f aca="false">IF(Time!AY17&lt;Time!$F$11,0,AX43+Financials!AY14-AY41)</f>
        <v>176.968443412662</v>
      </c>
      <c r="AZ43" s="11" t="n">
        <f aca="false">IF(Time!AZ17&lt;Time!$F$11,0,AY43+Financials!AZ14-AZ41)</f>
        <v>160.380694513895</v>
      </c>
      <c r="BA43" s="11" t="n">
        <f aca="false">IF(Time!BA17&lt;Time!$F$11,0,AZ43+Financials!BA14-BA41)</f>
        <v>144.243690354705</v>
      </c>
      <c r="BB43" s="11" t="n">
        <f aca="false">IF(Time!BB17&lt;Time!$F$11,0,BA43+Financials!BB14-BB41)</f>
        <v>127.997167153</v>
      </c>
      <c r="BC43" s="11" t="n">
        <f aca="false">IF(Time!BC17&lt;Time!$F$11,0,BB43+Financials!BC14-BC41)</f>
        <v>109.271524985166</v>
      </c>
      <c r="BD43" s="11" t="n">
        <f aca="false">IF(Time!BD17&lt;Time!$F$11,0,BC43+Financials!BD14-BD41)</f>
        <v>94.5522625174685</v>
      </c>
      <c r="BE43" s="11" t="n">
        <f aca="false">IF(Time!BE17&lt;Time!$F$11,0,BD43+Financials!BE14-BE41)</f>
        <v>87.8597682052037</v>
      </c>
      <c r="BF43" s="11" t="n">
        <f aca="false">IF(Time!BF17&lt;Time!$F$11,0,BE43+Financials!BF14-BF41)</f>
        <v>80.6405351153375</v>
      </c>
      <c r="BG43" s="11" t="n">
        <f aca="false">IF(Time!BG17&lt;Time!$F$11,0,BF43+Financials!BG14-BG41)</f>
        <v>73.9921617451769</v>
      </c>
      <c r="BH43" s="11" t="n">
        <f aca="false">IF(Time!BH17&lt;Time!$F$11,0,BG43+Financials!BH14-BH41)</f>
        <v>66.8065391958091</v>
      </c>
      <c r="BI43" s="11" t="n">
        <f aca="false">IF(Time!BI17&lt;Time!$F$11,0,BH43+Financials!BI14-BI41)</f>
        <v>60.1034555795141</v>
      </c>
      <c r="BJ43" s="11" t="n">
        <f aca="false">IF(Time!BJ17&lt;Time!$F$11,0,BI43+Financials!BJ14-BJ41)</f>
        <v>53.0455094424671</v>
      </c>
      <c r="BK43" s="11" t="n">
        <f aca="false">IF(Time!BK17&lt;Time!$F$11,0,BJ43+Financials!BK14-BK41)</f>
        <v>26.2107757642294</v>
      </c>
      <c r="BL43" s="11" t="n">
        <f aca="false">IF(Time!BL17&lt;Time!$F$11,0,BK43+Financials!BL14-BL41)</f>
        <v>16.4191125323017</v>
      </c>
      <c r="BM43" s="11" t="n">
        <f aca="false">IF(Time!BM17&lt;Time!$F$11,0,BL43+Financials!BM14-BM41)</f>
        <v>7.11159428142769</v>
      </c>
      <c r="BN43" s="11" t="n">
        <f aca="false">IF(Time!BN17&lt;Time!$F$11,0,BM43+Financials!BN14-BN41)</f>
        <v>-44.0193874619044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1413.43976692665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0</v>
      </c>
      <c r="Q44" s="11" t="n">
        <f aca="false">Q34+Q35+Q41</f>
        <v>21.0483431910189</v>
      </c>
      <c r="R44" s="11" t="n">
        <f aca="false">R34+R35+R41</f>
        <v>13.0662221469281</v>
      </c>
      <c r="S44" s="11" t="n">
        <f aca="false">S34+S35+S41</f>
        <v>12.3787995759206</v>
      </c>
      <c r="T44" s="11" t="n">
        <f aca="false">T34+T35+T41</f>
        <v>13.2077749338884</v>
      </c>
      <c r="U44" s="11" t="n">
        <f aca="false">U34+U35+U41</f>
        <v>12.5242071225335</v>
      </c>
      <c r="V44" s="11" t="n">
        <f aca="false">V34+V35+V41</f>
        <v>12.7812101799018</v>
      </c>
      <c r="W44" s="11" t="n">
        <f aca="false">W34+W35+W41</f>
        <v>12.6360002052902</v>
      </c>
      <c r="X44" s="11" t="n">
        <f aca="false">X34+X35+X41</f>
        <v>15.0937566502724</v>
      </c>
      <c r="Y44" s="11" t="n">
        <f aca="false">Y34+Y35+Y41</f>
        <v>12.1361770860339</v>
      </c>
      <c r="Z44" s="11" t="n">
        <f aca="false">Z34+Z35+Z41</f>
        <v>13.1572318208336</v>
      </c>
      <c r="AA44" s="11" t="n">
        <f aca="false">AA34+AA35+AA41</f>
        <v>6.0398643387419</v>
      </c>
      <c r="AB44" s="11" t="n">
        <f aca="false">AB34+AB35+AB41</f>
        <v>7.0945557254659</v>
      </c>
      <c r="AC44" s="11" t="n">
        <f aca="false">AC34+AC35+AC41</f>
        <v>7.19348638728025</v>
      </c>
      <c r="AD44" s="11" t="n">
        <f aca="false">AD34+AD35+AD41</f>
        <v>7.43929992284295</v>
      </c>
      <c r="AE44" s="11" t="n">
        <f aca="false">AE34+AE35+AE41</f>
        <v>8.30607754139817</v>
      </c>
      <c r="AF44" s="11" t="n">
        <f aca="false">AF34+AF35+AF41</f>
        <v>9.6446341575002</v>
      </c>
      <c r="AG44" s="11" t="n">
        <f aca="false">AG34+AG35+AG41</f>
        <v>9.88325891238581</v>
      </c>
      <c r="AH44" s="11" t="n">
        <f aca="false">AH34+AH35+AH41</f>
        <v>11.2225971206449</v>
      </c>
      <c r="AI44" s="11" t="n">
        <f aca="false">AI34+AI35+AI41</f>
        <v>12.087711349931</v>
      </c>
      <c r="AJ44" s="11" t="n">
        <f aca="false">AJ34+AJ35+AJ41</f>
        <v>13.9689634557995</v>
      </c>
      <c r="AK44" s="11" t="n">
        <f aca="false">AK34+AK35+AK41</f>
        <v>31.3457523058006</v>
      </c>
      <c r="AL44" s="11" t="n">
        <f aca="false">AL34+AL35+AL41</f>
        <v>28.3745003528723</v>
      </c>
      <c r="AM44" s="11" t="n">
        <f aca="false">AM34+AM35+AM41</f>
        <v>32.1343295759644</v>
      </c>
      <c r="AN44" s="11" t="n">
        <f aca="false">AN34+AN35+AN41</f>
        <v>25.6087601321135</v>
      </c>
      <c r="AO44" s="11" t="n">
        <f aca="false">AO34+AO35+AO41</f>
        <v>40.742324803979</v>
      </c>
      <c r="AP44" s="11" t="n">
        <f aca="false">AP34+AP35+AP41</f>
        <v>40.6638375110176</v>
      </c>
      <c r="AQ44" s="11" t="n">
        <f aca="false">AQ34+AQ35+AQ41</f>
        <v>40.2707668330066</v>
      </c>
      <c r="AR44" s="11" t="n">
        <f aca="false">AR34+AR35+AR41</f>
        <v>40.881138476395</v>
      </c>
      <c r="AS44" s="11" t="n">
        <f aca="false">AS34+AS35+AS41</f>
        <v>40.4952595793712</v>
      </c>
      <c r="AT44" s="11" t="n">
        <f aca="false">AT34+AT35+AT41</f>
        <v>40.9908594520066</v>
      </c>
      <c r="AU44" s="11" t="n">
        <f aca="false">AU34+AU35+AU41</f>
        <v>47.1218168873766</v>
      </c>
      <c r="AV44" s="11" t="n">
        <f aca="false">AV34+AV35+AV41</f>
        <v>43.4512690432593</v>
      </c>
      <c r="AW44" s="11" t="n">
        <f aca="false">AW34+AW35+AW41</f>
        <v>42.5071712906167</v>
      </c>
      <c r="AX44" s="11" t="n">
        <f aca="false">AX34+AX35+AX41</f>
        <v>43.2287926796445</v>
      </c>
      <c r="AY44" s="11" t="n">
        <f aca="false">AY34+AY35+AY41</f>
        <v>42.8307705108825</v>
      </c>
      <c r="AZ44" s="11" t="n">
        <f aca="false">AZ34+AZ35+AZ41</f>
        <v>43.4650280952357</v>
      </c>
      <c r="BA44" s="11" t="n">
        <f aca="false">BA34+BA35+BA41</f>
        <v>43.0687837485088</v>
      </c>
      <c r="BB44" s="11" t="n">
        <f aca="false">BB34+BB35+BB41</f>
        <v>43.3168187828175</v>
      </c>
      <c r="BC44" s="11" t="n">
        <f aca="false">BC34+BC35+BC41</f>
        <v>43.5222908675911</v>
      </c>
      <c r="BD44" s="11" t="n">
        <f aca="false">BD34+BD35+BD41</f>
        <v>42.1277932823643</v>
      </c>
      <c r="BE44" s="11" t="n">
        <f aca="false">BE34+BE35+BE41</f>
        <v>34.0412885919664</v>
      </c>
      <c r="BF44" s="11" t="n">
        <f aca="false">BF34+BF35+BF41</f>
        <v>34.689125557724</v>
      </c>
      <c r="BG44" s="11" t="n">
        <f aca="false">BG34+BG35+BG41</f>
        <v>34.268451636284</v>
      </c>
      <c r="BH44" s="11" t="n">
        <f aca="false">BH34+BH35+BH41</f>
        <v>34.9110692561402</v>
      </c>
      <c r="BI44" s="11" t="n">
        <f aca="false">BI34+BI35+BI41</f>
        <v>34.4858046050008</v>
      </c>
      <c r="BJ44" s="11" t="n">
        <f aca="false">BJ34+BJ35+BJ41</f>
        <v>35.0127213010671</v>
      </c>
      <c r="BK44" s="11" t="n">
        <f aca="false">BK34+BK35+BK41</f>
        <v>42.3993341292418</v>
      </c>
      <c r="BL44" s="11" t="n">
        <f aca="false">BL34+BL35+BL41</f>
        <v>37.9438519880931</v>
      </c>
      <c r="BM44" s="11" t="n">
        <f aca="false">BM34+BM35+BM41</f>
        <v>37.5417732528245</v>
      </c>
      <c r="BN44" s="11" t="n">
        <f aca="false">BN34+BN35+BN41</f>
        <v>61.0881105728736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801.443063506063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0</v>
      </c>
      <c r="P8" s="11" t="n">
        <f aca="false">Funding!$F$76/300*Time!P25</f>
        <v>2.67147687835354</v>
      </c>
      <c r="Q8" s="11" t="n">
        <f aca="false">Funding!$F$76/300*Time!Q25</f>
        <v>16.0288612701213</v>
      </c>
      <c r="R8" s="11" t="n">
        <f aca="false">Funding!$F$76/300*Time!R25</f>
        <v>16.0288612701213</v>
      </c>
      <c r="S8" s="11" t="n">
        <f aca="false">Funding!$F$76/300*Time!S25</f>
        <v>16.0288612701213</v>
      </c>
      <c r="T8" s="11" t="n">
        <f aca="false">Funding!$F$76/300*Time!T25</f>
        <v>16.0288612701213</v>
      </c>
      <c r="U8" s="11" t="n">
        <f aca="false">Funding!$F$76/300*Time!U25</f>
        <v>16.0288612701213</v>
      </c>
      <c r="V8" s="11" t="n">
        <f aca="false">Funding!$F$76/300*Time!V25</f>
        <v>16.0288612701213</v>
      </c>
      <c r="W8" s="11" t="n">
        <f aca="false">Funding!$F$76/300*Time!W25</f>
        <v>16.0288612701213</v>
      </c>
      <c r="X8" s="11" t="n">
        <f aca="false">Funding!$F$76/300*Time!X25</f>
        <v>16.0288612701213</v>
      </c>
      <c r="Y8" s="11" t="n">
        <f aca="false">Funding!$F$76/300*Time!Y25</f>
        <v>16.0288612701213</v>
      </c>
      <c r="Z8" s="11" t="n">
        <f aca="false">Funding!$F$76/300*Time!Z25</f>
        <v>16.0288612701213</v>
      </c>
      <c r="AA8" s="11" t="n">
        <f aca="false">Funding!$F$76/300*Time!AA25</f>
        <v>16.0288612701213</v>
      </c>
      <c r="AB8" s="11" t="n">
        <f aca="false">Funding!$F$76/300*Time!AB25</f>
        <v>16.0288612701213</v>
      </c>
      <c r="AC8" s="11" t="n">
        <f aca="false">Funding!$F$76/300*Time!AC25</f>
        <v>16.0288612701213</v>
      </c>
      <c r="AD8" s="11" t="n">
        <f aca="false">Funding!$F$76/300*Time!AD25</f>
        <v>16.0288612701213</v>
      </c>
      <c r="AE8" s="11" t="n">
        <f aca="false">Funding!$F$76/300*Time!AE25</f>
        <v>16.0288612701213</v>
      </c>
      <c r="AF8" s="11" t="n">
        <f aca="false">Funding!$F$76/300*Time!AF25</f>
        <v>16.0288612701213</v>
      </c>
      <c r="AG8" s="11" t="n">
        <f aca="false">Funding!$F$76/300*Time!AG25</f>
        <v>16.0288612701213</v>
      </c>
      <c r="AH8" s="11" t="n">
        <f aca="false">Funding!$F$76/300*Time!AH25</f>
        <v>16.0288612701213</v>
      </c>
      <c r="AI8" s="11" t="n">
        <f aca="false">Funding!$F$76/300*Time!AI25</f>
        <v>16.0288612701213</v>
      </c>
      <c r="AJ8" s="11" t="n">
        <f aca="false">Funding!$F$76/300*Time!AJ25</f>
        <v>16.0288612701213</v>
      </c>
      <c r="AK8" s="11" t="n">
        <f aca="false">Funding!$F$76/300*Time!AK25</f>
        <v>16.0288612701213</v>
      </c>
      <c r="AL8" s="11" t="n">
        <f aca="false">Funding!$F$76/300*Time!AL25</f>
        <v>16.0288612701213</v>
      </c>
      <c r="AM8" s="11" t="n">
        <f aca="false">Funding!$F$76/300*Time!AM25</f>
        <v>16.0288612701213</v>
      </c>
      <c r="AN8" s="11" t="n">
        <f aca="false">Funding!$F$76/300*Time!AN25</f>
        <v>16.0288612701213</v>
      </c>
      <c r="AO8" s="11" t="n">
        <f aca="false">Funding!$F$76/300*Time!AO25</f>
        <v>16.0288612701213</v>
      </c>
      <c r="AP8" s="11" t="n">
        <f aca="false">Funding!$F$76/300*Time!AP25</f>
        <v>16.0288612701213</v>
      </c>
      <c r="AQ8" s="11" t="n">
        <f aca="false">Funding!$F$76/300*Time!AQ25</f>
        <v>16.0288612701213</v>
      </c>
      <c r="AR8" s="11" t="n">
        <f aca="false">Funding!$F$76/300*Time!AR25</f>
        <v>16.0288612701213</v>
      </c>
      <c r="AS8" s="11" t="n">
        <f aca="false">Funding!$F$76/300*Time!AS25</f>
        <v>16.0288612701213</v>
      </c>
      <c r="AT8" s="11" t="n">
        <f aca="false">Funding!$F$76/300*Time!AT25</f>
        <v>16.0288612701213</v>
      </c>
      <c r="AU8" s="11" t="n">
        <f aca="false">Funding!$F$76/300*Time!AU25</f>
        <v>16.0288612701213</v>
      </c>
      <c r="AV8" s="11" t="n">
        <f aca="false">Funding!$F$76/300*Time!AV25</f>
        <v>16.0288612701213</v>
      </c>
      <c r="AW8" s="11" t="n">
        <f aca="false">Funding!$F$76/300*Time!AW25</f>
        <v>16.0288612701213</v>
      </c>
      <c r="AX8" s="11" t="n">
        <f aca="false">Funding!$F$76/300*Time!AX25</f>
        <v>16.0288612701213</v>
      </c>
      <c r="AY8" s="11" t="n">
        <f aca="false">Funding!$F$76/300*Time!AY25</f>
        <v>16.0288612701213</v>
      </c>
      <c r="AZ8" s="11" t="n">
        <f aca="false">Funding!$F$76/300*Time!AZ25</f>
        <v>16.0288612701213</v>
      </c>
      <c r="BA8" s="11" t="n">
        <f aca="false">Funding!$F$76/300*Time!BA25</f>
        <v>16.0288612701213</v>
      </c>
      <c r="BB8" s="11" t="n">
        <f aca="false">Funding!$F$76/300*Time!BB25</f>
        <v>16.0288612701213</v>
      </c>
      <c r="BC8" s="11" t="n">
        <f aca="false">Funding!$F$76/300*Time!BC25</f>
        <v>16.0288612701213</v>
      </c>
      <c r="BD8" s="11" t="n">
        <f aca="false">Funding!$F$76/300*Time!BD25</f>
        <v>16.0288612701213</v>
      </c>
      <c r="BE8" s="11" t="n">
        <f aca="false">Funding!$F$76/300*Time!BE25</f>
        <v>16.0288612701213</v>
      </c>
      <c r="BF8" s="11" t="n">
        <f aca="false">Funding!$F$76/300*Time!BF25</f>
        <v>16.0288612701213</v>
      </c>
      <c r="BG8" s="11" t="n">
        <f aca="false">Funding!$F$76/300*Time!BG25</f>
        <v>16.0288612701213</v>
      </c>
      <c r="BH8" s="11" t="n">
        <f aca="false">Funding!$F$76/300*Time!BH25</f>
        <v>16.0288612701213</v>
      </c>
      <c r="BI8" s="11" t="n">
        <f aca="false">Funding!$F$76/300*Time!BI25</f>
        <v>16.0288612701213</v>
      </c>
      <c r="BJ8" s="11" t="n">
        <f aca="false">Funding!$F$76/300*Time!BJ25</f>
        <v>16.0288612701213</v>
      </c>
      <c r="BK8" s="11" t="n">
        <f aca="false">Funding!$F$76/300*Time!BK25</f>
        <v>16.0288612701213</v>
      </c>
      <c r="BL8" s="11" t="n">
        <f aca="false">Funding!$F$76/300*Time!BL25</f>
        <v>16.0288612701213</v>
      </c>
      <c r="BM8" s="11" t="n">
        <f aca="false">Funding!$F$76/300*Time!BM25</f>
        <v>16.0288612701213</v>
      </c>
      <c r="BN8" s="11" t="n">
        <f aca="false">Funding!$F$76/300*Time!BN25</f>
        <v>13.3573843917677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471.286238601509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0</v>
      </c>
      <c r="P9" s="11" t="n">
        <f aca="false">Debt!P119+Debt!P117+Debt!P111-Debt!P110+Tax!P13</f>
        <v>1.66084600331333</v>
      </c>
      <c r="Q9" s="11" t="n">
        <f aca="false">Debt!Q119+Debt!Q117+Debt!Q111-Debt!Q110+Tax!Q13</f>
        <v>31.152992602473</v>
      </c>
      <c r="R9" s="11" t="n">
        <f aca="false">Debt!R119+Debt!R117+Debt!R111-Debt!R110+Tax!R13</f>
        <v>29.8057726485954</v>
      </c>
      <c r="S9" s="11" t="n">
        <f aca="false">Debt!S119+Debt!S117+Debt!S111-Debt!S110+Tax!S13</f>
        <v>28.7050329510854</v>
      </c>
      <c r="T9" s="11" t="n">
        <f aca="false">Debt!T119+Debt!T117+Debt!T111-Debt!T110+Tax!T13</f>
        <v>28.3174577794245</v>
      </c>
      <c r="U9" s="11" t="n">
        <f aca="false">Debt!U119+Debt!U117+Debt!U111-Debt!U110+Tax!U13</f>
        <v>27.2719540372552</v>
      </c>
      <c r="V9" s="11" t="n">
        <f aca="false">Debt!V119+Debt!V117+Debt!V111-Debt!V110+Tax!V13</f>
        <v>26.6850740818214</v>
      </c>
      <c r="W9" s="11" t="n">
        <f aca="false">Debt!W119+Debt!W117+Debt!W111-Debt!W110+Tax!W13</f>
        <v>25.5015635101384</v>
      </c>
      <c r="X9" s="11" t="n">
        <f aca="false">Debt!X119+Debt!X117+Debt!X111-Debt!X110+Tax!X13</f>
        <v>24.9182393071492</v>
      </c>
      <c r="Y9" s="11" t="n">
        <f aca="false">Debt!Y119+Debt!Y117+Debt!Y111-Debt!Y110+Tax!Y13</f>
        <v>24.0494615050023</v>
      </c>
      <c r="Z9" s="11" t="n">
        <f aca="false">Debt!Z119+Debt!Z117+Debt!Z111-Debt!Z110+Tax!Z13</f>
        <v>23.4460543945822</v>
      </c>
      <c r="AA9" s="11" t="n">
        <f aca="false">Debt!AA119+Debt!AA117+Debt!AA111-Debt!AA110+Tax!AA13</f>
        <v>22.1662078233031</v>
      </c>
      <c r="AB9" s="11" t="n">
        <f aca="false">Debt!AB119+Debt!AB117+Debt!AB111-Debt!AB110+Tax!AB13</f>
        <v>21.4649718243802</v>
      </c>
      <c r="AC9" s="11" t="n">
        <f aca="false">Debt!AC119+Debt!AC117+Debt!AC111-Debt!AC110+Tax!AC13</f>
        <v>20.1943387954466</v>
      </c>
      <c r="AD9" s="11" t="n">
        <f aca="false">Debt!AD119+Debt!AD117+Debt!AD111-Debt!AD110+Tax!AD13</f>
        <v>19.2548589094586</v>
      </c>
      <c r="AE9" s="11" t="n">
        <f aca="false">Debt!AE119+Debt!AE117+Debt!AE111-Debt!AE110+Tax!AE13</f>
        <v>17.8812437913993</v>
      </c>
      <c r="AF9" s="11" t="n">
        <f aca="false">Debt!AF119+Debt!AF117+Debt!AF111-Debt!AF110+Tax!AF13</f>
        <v>16.8445015647049</v>
      </c>
      <c r="AG9" s="11" t="n">
        <f aca="false">Debt!AG119+Debt!AG117+Debt!AG111-Debt!AG110+Tax!AG13</f>
        <v>15.4331711785313</v>
      </c>
      <c r="AH9" s="11" t="n">
        <f aca="false">Debt!AH119+Debt!AH117+Debt!AH111-Debt!AH110+Tax!AH13</f>
        <v>14.1923971161255</v>
      </c>
      <c r="AI9" s="11" t="n">
        <f aca="false">Debt!AI119+Debt!AI117+Debt!AI111-Debt!AI110+Tax!AI13</f>
        <v>12.471574052744</v>
      </c>
      <c r="AJ9" s="11" t="n">
        <f aca="false">Debt!AJ119+Debt!AJ117+Debt!AJ111-Debt!AJ110+Tax!AJ13</f>
        <v>11.0295381734694</v>
      </c>
      <c r="AK9" s="11" t="n">
        <f aca="false">Debt!AK119+Debt!AK117+Debt!AK111-Debt!AK110+Tax!AK13</f>
        <v>9.21648051414914</v>
      </c>
      <c r="AL9" s="11" t="n">
        <f aca="false">Debt!AL119+Debt!AL117+Debt!AL111-Debt!AL110+Tax!AL13</f>
        <v>7.54907935051819</v>
      </c>
      <c r="AM9" s="11" t="n">
        <f aca="false">Debt!AM119+Debt!AM117+Debt!AM111-Debt!AM110+Tax!AM13</f>
        <v>5.80424980641995</v>
      </c>
      <c r="AN9" s="11" t="n">
        <f aca="false">Debt!AN119+Debt!AN117+Debt!AN111-Debt!AN110+Tax!AN13</f>
        <v>3.95183090736594</v>
      </c>
      <c r="AO9" s="11" t="n">
        <f aca="false">Debt!AO119+Debt!AO117+Debt!AO111-Debt!AO110+Tax!AO13</f>
        <v>2.3173459726522</v>
      </c>
      <c r="AP9" s="11" t="n">
        <f aca="false">Debt!AP119+Debt!AP117+Debt!AP111-Debt!AP110+Tax!AP13</f>
        <v>0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801.443063506063</v>
      </c>
      <c r="K10" s="11" t="n">
        <f aca="false">Funding!$F$76-SUM(Tax!$J$10:K$10)</f>
        <v>801.443063506063</v>
      </c>
      <c r="L10" s="11" t="n">
        <f aca="false">Funding!$F$76-SUM(Tax!$J$10:L$10)</f>
        <v>801.443063506063</v>
      </c>
      <c r="M10" s="11" t="n">
        <f aca="false">Funding!$F$76-SUM(Tax!$J$10:M$10)</f>
        <v>801.443063506063</v>
      </c>
      <c r="N10" s="11" t="n">
        <f aca="false">Funding!$F$76-SUM(Tax!$J$10:N$10)</f>
        <v>801.443063506063</v>
      </c>
      <c r="O10" s="11" t="n">
        <f aca="false">Funding!$F$76-SUM(Tax!$J$10:O$10)</f>
        <v>801.443063506063</v>
      </c>
      <c r="P10" s="11" t="n">
        <f aca="false">Funding!$F$76-SUM(Tax!$J$10:P$10)</f>
        <v>797.836569720286</v>
      </c>
      <c r="Q10" s="11" t="n">
        <f aca="false">Funding!$F$76-SUM(Tax!$J$10:Q$10)</f>
        <v>776.197607005622</v>
      </c>
      <c r="R10" s="11" t="n">
        <f aca="false">Funding!$F$76-SUM(Tax!$J$10:R$10)</f>
        <v>754.558644290959</v>
      </c>
      <c r="S10" s="11" t="n">
        <f aca="false">Funding!$F$76-SUM(Tax!$J$10:S$10)</f>
        <v>732.919681576295</v>
      </c>
      <c r="T10" s="11" t="n">
        <f aca="false">Funding!$F$76-SUM(Tax!$J$10:T$10)</f>
        <v>711.280718861631</v>
      </c>
      <c r="U10" s="11" t="n">
        <f aca="false">Funding!$F$76-SUM(Tax!$J$10:U$10)</f>
        <v>689.641756146967</v>
      </c>
      <c r="V10" s="11" t="n">
        <f aca="false">Funding!$F$76-SUM(Tax!$J$10:V$10)</f>
        <v>668.002793432304</v>
      </c>
      <c r="W10" s="11" t="n">
        <f aca="false">Funding!$F$76-SUM(Tax!$J$10:W$10)</f>
        <v>646.36383071764</v>
      </c>
      <c r="X10" s="11" t="n">
        <f aca="false">Funding!$F$76-SUM(Tax!$J$10:X$10)</f>
        <v>624.724868002976</v>
      </c>
      <c r="Y10" s="11" t="n">
        <f aca="false">Funding!$F$76-SUM(Tax!$J$10:Y$10)</f>
        <v>603.085905288313</v>
      </c>
      <c r="Z10" s="11" t="n">
        <f aca="false">Funding!$F$76-SUM(Tax!$J$10:Z$10)</f>
        <v>581.847664105402</v>
      </c>
      <c r="AA10" s="11" t="n">
        <f aca="false">Funding!$F$76-SUM(Tax!$J$10:AA$10)</f>
        <v>562.613030581257</v>
      </c>
      <c r="AB10" s="11" t="n">
        <f aca="false">Funding!$F$76-SUM(Tax!$J$10:AB$10)</f>
        <v>543.378397057111</v>
      </c>
      <c r="AC10" s="11" t="n">
        <f aca="false">Funding!$F$76-SUM(Tax!$J$10:AC$10)</f>
        <v>524.143763532965</v>
      </c>
      <c r="AD10" s="11" t="n">
        <f aca="false">Funding!$F$76-SUM(Tax!$J$10:AD$10)</f>
        <v>504.90913000882</v>
      </c>
      <c r="AE10" s="11" t="n">
        <f aca="false">Funding!$F$76-SUM(Tax!$J$10:AE$10)</f>
        <v>485.674496484674</v>
      </c>
      <c r="AF10" s="11" t="n">
        <f aca="false">Funding!$F$76-SUM(Tax!$J$10:AF$10)</f>
        <v>466.439862960529</v>
      </c>
      <c r="AG10" s="11" t="n">
        <f aca="false">Funding!$F$76-SUM(Tax!$J$10:AG$10)</f>
        <v>447.205229436383</v>
      </c>
      <c r="AH10" s="11" t="n">
        <f aca="false">Funding!$F$76-SUM(Tax!$J$10:AH$10)</f>
        <v>427.970595912238</v>
      </c>
      <c r="AI10" s="11" t="n">
        <f aca="false">Funding!$F$76-SUM(Tax!$J$10:AI$10)</f>
        <v>408.735962388092</v>
      </c>
      <c r="AJ10" s="11" t="n">
        <f aca="false">Funding!$F$76-SUM(Tax!$J$10:AJ$10)</f>
        <v>389.501328863947</v>
      </c>
      <c r="AK10" s="11" t="n">
        <f aca="false">Funding!$F$76-SUM(Tax!$J$10:AK$10)</f>
        <v>370.266695339801</v>
      </c>
      <c r="AL10" s="11" t="n">
        <f aca="false">Funding!$F$76-SUM(Tax!$J$10:AL$10)</f>
        <v>351.032061815656</v>
      </c>
      <c r="AM10" s="11" t="n">
        <f aca="false">Funding!$F$76-SUM(Tax!$J$10:AM$10)</f>
        <v>331.79742829151</v>
      </c>
      <c r="AN10" s="11" t="n">
        <f aca="false">Funding!$F$76-SUM(Tax!$J$10:AN$10)</f>
        <v>312.562794767365</v>
      </c>
      <c r="AO10" s="11" t="n">
        <f aca="false">Funding!$F$76-SUM(Tax!$J$10:AO$10)</f>
        <v>293.328161243219</v>
      </c>
      <c r="AP10" s="11" t="n">
        <f aca="false">Funding!$F$76-SUM(Tax!$J$10:AP$10)</f>
        <v>274.093527719074</v>
      </c>
      <c r="AQ10" s="11" t="n">
        <f aca="false">Funding!$F$76-SUM(Tax!$J$10:AQ$10)</f>
        <v>254.858894194928</v>
      </c>
      <c r="AR10" s="11" t="n">
        <f aca="false">Funding!$F$76-SUM(Tax!$J$10:AR$10)</f>
        <v>235.624260670783</v>
      </c>
      <c r="AS10" s="11" t="n">
        <f aca="false">Funding!$F$76-SUM(Tax!$J$10:AS$10)</f>
        <v>216.389627146637</v>
      </c>
      <c r="AT10" s="11" t="n">
        <f aca="false">Funding!$F$76-SUM(Tax!$J$10:AT$10)</f>
        <v>197.154993622492</v>
      </c>
      <c r="AU10" s="11" t="n">
        <f aca="false">Funding!$F$76-SUM(Tax!$J$10:AU$10)</f>
        <v>177.920360098346</v>
      </c>
      <c r="AV10" s="11" t="n">
        <f aca="false">Funding!$F$76-SUM(Tax!$J$10:AV$10)</f>
        <v>158.685726574201</v>
      </c>
      <c r="AW10" s="11" t="n">
        <f aca="false">Funding!$F$76-SUM(Tax!$J$10:AW$10)</f>
        <v>139.451093050055</v>
      </c>
      <c r="AX10" s="11" t="n">
        <f aca="false">Funding!$F$76-SUM(Tax!$J$10:AX$10)</f>
        <v>120.21645952591</v>
      </c>
      <c r="AY10" s="11" t="n">
        <f aca="false">Funding!$F$76-SUM(Tax!$J$10:AY$10)</f>
        <v>100.981826001764</v>
      </c>
      <c r="AZ10" s="11" t="n">
        <f aca="false">Funding!$F$76-SUM(Tax!$J$10:AZ$10)</f>
        <v>81.7471924776186</v>
      </c>
      <c r="BA10" s="11" t="n">
        <f aca="false">Funding!$F$76-SUM(Tax!$J$10:BA$10)</f>
        <v>62.5125589534731</v>
      </c>
      <c r="BB10" s="11" t="n">
        <f aca="false">Funding!$F$76-SUM(Tax!$J$10:BB$10)</f>
        <v>43.2779254293275</v>
      </c>
      <c r="BC10" s="11" t="n">
        <f aca="false">Funding!$F$76-SUM(Tax!$J$10:BC$10)</f>
        <v>24.0432919051821</v>
      </c>
      <c r="BD10" s="11" t="n">
        <f aca="false">Funding!$F$76-SUM(Tax!$J$10:BD$10)</f>
        <v>7.88085679114306</v>
      </c>
      <c r="BE10" s="11" t="n">
        <f aca="false">Funding!$F$76-SUM(Tax!$J$10:BE$10)</f>
        <v>7.07941372763696</v>
      </c>
      <c r="BF10" s="11" t="n">
        <f aca="false">Funding!$F$76-SUM(Tax!$J$10:BF$10)</f>
        <v>6.27797066413086</v>
      </c>
      <c r="BG10" s="11" t="n">
        <f aca="false">Funding!$F$76-SUM(Tax!$J$10:BG$10)</f>
        <v>5.47652760062488</v>
      </c>
      <c r="BH10" s="11" t="n">
        <f aca="false">Funding!$F$76-SUM(Tax!$J$10:BH$10)</f>
        <v>4.67508453711878</v>
      </c>
      <c r="BI10" s="11" t="n">
        <f aca="false">Funding!$F$76-SUM(Tax!$J$10:BI$10)</f>
        <v>3.87364147361268</v>
      </c>
      <c r="BJ10" s="11" t="n">
        <f aca="false">Funding!$F$76-SUM(Tax!$J$10:BJ$10)</f>
        <v>3.07219841010669</v>
      </c>
      <c r="BK10" s="11" t="n">
        <f aca="false">Funding!$F$76-SUM(Tax!$J$10:BK$10)</f>
        <v>2.27075534660059</v>
      </c>
      <c r="BL10" s="11" t="n">
        <f aca="false">Funding!$F$76-SUM(Tax!$J$10:BL$10)</f>
        <v>1.4693122830945</v>
      </c>
      <c r="BM10" s="11" t="n">
        <f aca="false">Funding!$F$76-SUM(Tax!$J$10:BM$10)</f>
        <v>0.667869219588511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801.443063506063</v>
      </c>
      <c r="K11" s="11" t="n">
        <f aca="false">Funding!$F$76-SUM($J$8:K$8)</f>
        <v>801.443063506063</v>
      </c>
      <c r="L11" s="11" t="n">
        <f aca="false">Funding!$F$76-SUM($J$8:L$8)</f>
        <v>801.443063506063</v>
      </c>
      <c r="M11" s="11" t="n">
        <f aca="false">Funding!$F$76-SUM($J$8:M$8)</f>
        <v>801.443063506063</v>
      </c>
      <c r="N11" s="11" t="n">
        <f aca="false">Funding!$F$76-SUM($J$8:N$8)</f>
        <v>801.443063506063</v>
      </c>
      <c r="O11" s="11" t="n">
        <f aca="false">Funding!$F$76-SUM($J$8:O$8)</f>
        <v>801.443063506063</v>
      </c>
      <c r="P11" s="11" t="n">
        <f aca="false">Funding!$F$76-SUM($J$8:P$8)</f>
        <v>798.77158662771</v>
      </c>
      <c r="Q11" s="11" t="n">
        <f aca="false">Funding!$F$76-SUM($J$8:Q$8)</f>
        <v>782.742725357589</v>
      </c>
      <c r="R11" s="11" t="n">
        <f aca="false">Funding!$F$76-SUM($J$8:R$8)</f>
        <v>766.713864087467</v>
      </c>
      <c r="S11" s="11" t="n">
        <f aca="false">Funding!$F$76-SUM($J$8:S$8)</f>
        <v>750.685002817346</v>
      </c>
      <c r="T11" s="11" t="n">
        <f aca="false">Funding!$F$76-SUM($J$8:T$8)</f>
        <v>734.656141547225</v>
      </c>
      <c r="U11" s="11" t="n">
        <f aca="false">Funding!$F$76-SUM($J$8:U$8)</f>
        <v>718.627280277103</v>
      </c>
      <c r="V11" s="11" t="n">
        <f aca="false">Funding!$F$76-SUM($J$8:V$8)</f>
        <v>702.598419006982</v>
      </c>
      <c r="W11" s="11" t="n">
        <f aca="false">Funding!$F$76-SUM($J$8:W$8)</f>
        <v>686.569557736861</v>
      </c>
      <c r="X11" s="11" t="n">
        <f aca="false">Funding!$F$76-SUM($J$8:X$8)</f>
        <v>670.54069646674</v>
      </c>
      <c r="Y11" s="11" t="n">
        <f aca="false">Funding!$F$76-SUM($J$8:Y$8)</f>
        <v>654.511835196618</v>
      </c>
      <c r="Z11" s="11" t="n">
        <f aca="false">Funding!$F$76-SUM($J$8:Z$8)</f>
        <v>638.482973926497</v>
      </c>
      <c r="AA11" s="11" t="n">
        <f aca="false">Funding!$F$76-SUM($J$8:AA$8)</f>
        <v>622.454112656376</v>
      </c>
      <c r="AB11" s="11" t="n">
        <f aca="false">Funding!$F$76-SUM($J$8:AB$8)</f>
        <v>606.425251386255</v>
      </c>
      <c r="AC11" s="11" t="n">
        <f aca="false">Funding!$F$76-SUM($J$8:AC$8)</f>
        <v>590.396390116133</v>
      </c>
      <c r="AD11" s="11" t="n">
        <f aca="false">Funding!$F$76-SUM($J$8:AD$8)</f>
        <v>574.367528846012</v>
      </c>
      <c r="AE11" s="11" t="n">
        <f aca="false">Funding!$F$76-SUM($J$8:AE$8)</f>
        <v>558.338667575891</v>
      </c>
      <c r="AF11" s="11" t="n">
        <f aca="false">Funding!$F$76-SUM($J$8:AF$8)</f>
        <v>542.30980630577</v>
      </c>
      <c r="AG11" s="11" t="n">
        <f aca="false">Funding!$F$76-SUM($J$8:AG$8)</f>
        <v>526.280945035648</v>
      </c>
      <c r="AH11" s="11" t="n">
        <f aca="false">Funding!$F$76-SUM($J$8:AH$8)</f>
        <v>510.252083765527</v>
      </c>
      <c r="AI11" s="11" t="n">
        <f aca="false">Funding!$F$76-SUM($J$8:AI$8)</f>
        <v>494.223222495406</v>
      </c>
      <c r="AJ11" s="11" t="n">
        <f aca="false">Funding!$F$76-SUM($J$8:AJ$8)</f>
        <v>478.194361225284</v>
      </c>
      <c r="AK11" s="11" t="n">
        <f aca="false">Funding!$F$76-SUM($J$8:AK$8)</f>
        <v>462.165499955163</v>
      </c>
      <c r="AL11" s="11" t="n">
        <f aca="false">Funding!$F$76-SUM($J$8:AL$8)</f>
        <v>446.136638685042</v>
      </c>
      <c r="AM11" s="11" t="n">
        <f aca="false">Funding!$F$76-SUM($J$8:AM$8)</f>
        <v>430.107777414921</v>
      </c>
      <c r="AN11" s="11" t="n">
        <f aca="false">Funding!$F$76-SUM($J$8:AN$8)</f>
        <v>414.078916144799</v>
      </c>
      <c r="AO11" s="11" t="n">
        <f aca="false">Funding!$F$76-SUM($J$8:AO$8)</f>
        <v>398.050054874678</v>
      </c>
      <c r="AP11" s="11" t="n">
        <f aca="false">Funding!$F$76-SUM($J$8:AP$8)</f>
        <v>382.021193604557</v>
      </c>
      <c r="AQ11" s="11" t="n">
        <f aca="false">Funding!$F$76-SUM($J$8:AQ$8)</f>
        <v>365.992332334436</v>
      </c>
      <c r="AR11" s="11" t="n">
        <f aca="false">Funding!$F$76-SUM($J$8:AR$8)</f>
        <v>349.963471064314</v>
      </c>
      <c r="AS11" s="11" t="n">
        <f aca="false">Funding!$F$76-SUM($J$8:AS$8)</f>
        <v>333.934609794193</v>
      </c>
      <c r="AT11" s="11" t="n">
        <f aca="false">Funding!$F$76-SUM($J$8:AT$8)</f>
        <v>317.905748524072</v>
      </c>
      <c r="AU11" s="11" t="n">
        <f aca="false">Funding!$F$76-SUM($J$8:AU$8)</f>
        <v>301.876887253951</v>
      </c>
      <c r="AV11" s="11" t="n">
        <f aca="false">Funding!$F$76-SUM($J$8:AV$8)</f>
        <v>285.848025983829</v>
      </c>
      <c r="AW11" s="11" t="n">
        <f aca="false">Funding!$F$76-SUM($J$8:AW$8)</f>
        <v>269.819164713708</v>
      </c>
      <c r="AX11" s="11" t="n">
        <f aca="false">Funding!$F$76-SUM($J$8:AX$8)</f>
        <v>253.790303443587</v>
      </c>
      <c r="AY11" s="11" t="n">
        <f aca="false">Funding!$F$76-SUM($J$8:AY$8)</f>
        <v>237.761442173465</v>
      </c>
      <c r="AZ11" s="11" t="n">
        <f aca="false">Funding!$F$76-SUM($J$8:AZ$8)</f>
        <v>221.732580903344</v>
      </c>
      <c r="BA11" s="11" t="n">
        <f aca="false">Funding!$F$76-SUM($J$8:BA$8)</f>
        <v>205.703719633223</v>
      </c>
      <c r="BB11" s="11" t="n">
        <f aca="false">Funding!$F$76-SUM($J$8:BB$8)</f>
        <v>189.674858363102</v>
      </c>
      <c r="BC11" s="11" t="n">
        <f aca="false">Funding!$F$76-SUM($J$8:BC$8)</f>
        <v>173.64599709298</v>
      </c>
      <c r="BD11" s="11" t="n">
        <f aca="false">Funding!$F$76-SUM($J$8:BD$8)</f>
        <v>157.617135822859</v>
      </c>
      <c r="BE11" s="11" t="n">
        <f aca="false">Funding!$F$76-SUM($J$8:BE$8)</f>
        <v>141.588274552738</v>
      </c>
      <c r="BF11" s="11" t="n">
        <f aca="false">Funding!$F$76-SUM($J$8:BF$8)</f>
        <v>125.559413282617</v>
      </c>
      <c r="BG11" s="11" t="n">
        <f aca="false">Funding!$F$76-SUM($J$8:BG$8)</f>
        <v>109.530552012495</v>
      </c>
      <c r="BH11" s="11" t="n">
        <f aca="false">Funding!$F$76-SUM($J$8:BH$8)</f>
        <v>93.501690742374</v>
      </c>
      <c r="BI11" s="11" t="n">
        <f aca="false">Funding!$F$76-SUM($J$8:BI$8)</f>
        <v>77.4728294722528</v>
      </c>
      <c r="BJ11" s="11" t="n">
        <f aca="false">Funding!$F$76-SUM($J$8:BJ$8)</f>
        <v>61.4439682021315</v>
      </c>
      <c r="BK11" s="11" t="n">
        <f aca="false">Funding!$F$76-SUM($J$8:BK$8)</f>
        <v>45.4151069320102</v>
      </c>
      <c r="BL11" s="11" t="n">
        <f aca="false">Funding!$F$76-SUM($J$8:BL$8)</f>
        <v>29.386245661889</v>
      </c>
      <c r="BM11" s="11" t="n">
        <f aca="false">Funding!$F$76-SUM($J$8:BM$8)</f>
        <v>13.3573843917677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0</v>
      </c>
      <c r="P12" s="11" t="n">
        <f aca="false">IF(Time!P17&gt;=Time!$F$11,Inputs!$F$181/100*(P11-P10-Tax!P21),0)</f>
        <v>-0.801443063506079</v>
      </c>
      <c r="Q12" s="11" t="n">
        <f aca="false">IF(Time!Q17&gt;=Time!$F$11,Inputs!$F$181/100*(Q11-Q10-Tax!Q21),0)</f>
        <v>-5.61010144454242</v>
      </c>
      <c r="R12" s="11" t="n">
        <f aca="false">IF(Time!R17&gt;=Time!$F$11,Inputs!$F$181/100*(R11-R10-Tax!R21),0)</f>
        <v>-10.4187598255788</v>
      </c>
      <c r="S12" s="11" t="n">
        <f aca="false">IF(Time!S17&gt;=Time!$F$11,Inputs!$F$181/100*(S11-S10-Tax!S21),0)</f>
        <v>-15.2274182066152</v>
      </c>
      <c r="T12" s="11" t="n">
        <f aca="false">IF(Time!T17&gt;=Time!$F$11,Inputs!$F$181/100*(T11-T10-Tax!T21),0)</f>
        <v>-20.0360765876516</v>
      </c>
      <c r="U12" s="11" t="n">
        <f aca="false">IF(Time!U17&gt;=Time!$F$11,Inputs!$F$181/100*(U11-U10-Tax!U21),0)</f>
        <v>-24.8447349686879</v>
      </c>
      <c r="V12" s="11" t="n">
        <f aca="false">IF(Time!V17&gt;=Time!$F$11,Inputs!$F$181/100*(V11-V10-Tax!V21),0)</f>
        <v>-29.6533933497243</v>
      </c>
      <c r="W12" s="11" t="n">
        <f aca="false">IF(Time!W17&gt;=Time!$F$11,Inputs!$F$181/100*(W11-W10-Tax!W21),0)</f>
        <v>-34.4620517307607</v>
      </c>
      <c r="X12" s="11" t="n">
        <f aca="false">IF(Time!X17&gt;=Time!$F$11,Inputs!$F$181/100*(X11-X10-Tax!X21),0)</f>
        <v>-39.2707101117971</v>
      </c>
      <c r="Y12" s="11" t="n">
        <f aca="false">IF(Time!Y17&gt;=Time!$F$11,Inputs!$F$181/100*(Y11-Y10-Tax!Y21),0)</f>
        <v>-44.0793684928335</v>
      </c>
      <c r="Z12" s="11" t="n">
        <f aca="false">IF(Time!Z17&gt;=Time!$F$11,Inputs!$F$181/100*(Z11-Z10-Tax!Z21),0)</f>
        <v>-47.5075228838553</v>
      </c>
      <c r="AA12" s="11" t="n">
        <f aca="false">IF(Time!AA17&gt;=Time!$F$11,Inputs!$F$181/100*(AA11-AA10-Tax!AA21),0)</f>
        <v>-43.6029741433056</v>
      </c>
      <c r="AB12" s="11" t="n">
        <f aca="false">IF(Time!AB17&gt;=Time!$F$11,Inputs!$F$181/100*(AB11-AB10-Tax!AB21),0)</f>
        <v>-39.4556929849308</v>
      </c>
      <c r="AC12" s="11" t="n">
        <f aca="false">IF(Time!AC17&gt;=Time!$F$11,Inputs!$F$181/100*(AC11-AC10-Tax!AC21),0)</f>
        <v>-34.9071644286871</v>
      </c>
      <c r="AD12" s="11" t="n">
        <f aca="false">IF(Time!AD17&gt;=Time!$F$11,Inputs!$F$181/100*(AD11-AD10-Tax!AD21),0)</f>
        <v>-30.0255367482873</v>
      </c>
      <c r="AE12" s="11" t="n">
        <f aca="false">IF(Time!AE17&gt;=Time!$F$11,Inputs!$F$181/100*(AE11-AE10-Tax!AE21),0)</f>
        <v>-28.5352006656878</v>
      </c>
      <c r="AF12" s="11" t="n">
        <f aca="false">IF(Time!AF17&gt;=Time!$F$11,Inputs!$F$181/100*(AF11-AF10-Tax!AF21),0)</f>
        <v>-22.8907219320403</v>
      </c>
      <c r="AG12" s="11" t="n">
        <f aca="false">IF(Time!AG17&gt;=Time!$F$11,Inputs!$F$181/100*(AG11-AG10-Tax!AG21),0)</f>
        <v>-16.7729871109439</v>
      </c>
      <c r="AH12" s="11" t="n">
        <f aca="false">IF(Time!AH17&gt;=Time!$F$11,Inputs!$F$181/100*(AH11-AH10-Tax!AH21),0)</f>
        <v>-10.24296557372</v>
      </c>
      <c r="AI12" s="11" t="n">
        <f aca="false">IF(Time!AI17&gt;=Time!$F$11,Inputs!$F$181/100*(AI11-AI10-Tax!AI21),0)</f>
        <v>-3.14648813850365</v>
      </c>
      <c r="AJ12" s="11" t="n">
        <f aca="false">IF(Time!AJ17&gt;=Time!$F$11,Inputs!$F$181/100*(AJ11-AJ10-Tax!AJ21),0)</f>
        <v>4.41777313069127</v>
      </c>
      <c r="AK12" s="11" t="n">
        <f aca="false">IF(Time!AK17&gt;=Time!$F$11,Inputs!$F$181/100*(AK11-AK10-Tax!AK21),0)</f>
        <v>12.5470651185035</v>
      </c>
      <c r="AL12" s="11" t="n">
        <f aca="false">IF(Time!AL17&gt;=Time!$F$11,Inputs!$F$181/100*(AL11-AL10-Tax!AL21),0)</f>
        <v>21.2262431270565</v>
      </c>
      <c r="AM12" s="11" t="n">
        <f aca="false">IF(Time!AM17&gt;=Time!$F$11,Inputs!$F$181/100*(AM11-AM10-Tax!AM21),0)</f>
        <v>29.4931047370231</v>
      </c>
      <c r="AN12" s="11" t="n">
        <f aca="false">IF(Time!AN17&gt;=Time!$F$11,Inputs!$F$181/100*(AN11-AN10-Tax!AN21),0)</f>
        <v>30.4548364132304</v>
      </c>
      <c r="AO12" s="11" t="n">
        <f aca="false">IF(Time!AO17&gt;=Time!$F$11,Inputs!$F$181/100*(AO11-AO10-Tax!AO21),0)</f>
        <v>31.4165680894377</v>
      </c>
      <c r="AP12" s="11" t="n">
        <f aca="false">IF(Time!AP17&gt;=Time!$F$11,Inputs!$F$181/100*(AP11-AP10-Tax!AP21),0)</f>
        <v>32.378299765645</v>
      </c>
      <c r="AQ12" s="11" t="n">
        <f aca="false">IF(Time!AQ17&gt;=Time!$F$11,Inputs!$F$181/100*(AQ11-AQ10-Tax!AQ21),0)</f>
        <v>33.3400314418522</v>
      </c>
      <c r="AR12" s="11" t="n">
        <f aca="false">IF(Time!AR17&gt;=Time!$F$11,Inputs!$F$181/100*(AR11-AR10-Tax!AR21),0)</f>
        <v>34.3017631180595</v>
      </c>
      <c r="AS12" s="11" t="n">
        <f aca="false">IF(Time!AS17&gt;=Time!$F$11,Inputs!$F$181/100*(AS11-AS10-Tax!AS21),0)</f>
        <v>35.2634947942668</v>
      </c>
      <c r="AT12" s="11" t="n">
        <f aca="false">IF(Time!AT17&gt;=Time!$F$11,Inputs!$F$181/100*(AT11-AT10-Tax!AT21),0)</f>
        <v>36.225226470474</v>
      </c>
      <c r="AU12" s="11" t="n">
        <f aca="false">IF(Time!AU17&gt;=Time!$F$11,Inputs!$F$181/100*(AU11-AU10-Tax!AU21),0)</f>
        <v>37.1869581466813</v>
      </c>
      <c r="AV12" s="11" t="n">
        <f aca="false">IF(Time!AV17&gt;=Time!$F$11,Inputs!$F$181/100*(AV11-AV10-Tax!AV21),0)</f>
        <v>38.1486898228886</v>
      </c>
      <c r="AW12" s="11" t="n">
        <f aca="false">IF(Time!AW17&gt;=Time!$F$11,Inputs!$F$181/100*(AW11-AW10-Tax!AW21),0)</f>
        <v>39.1104214990958</v>
      </c>
      <c r="AX12" s="11" t="n">
        <f aca="false">IF(Time!AX17&gt;=Time!$F$11,Inputs!$F$181/100*(AX11-AX10-Tax!AX21),0)</f>
        <v>40.0721531753031</v>
      </c>
      <c r="AY12" s="11" t="n">
        <f aca="false">IF(Time!AY17&gt;=Time!$F$11,Inputs!$F$181/100*(AY11-AY10-Tax!AY21),0)</f>
        <v>41.0338848515104</v>
      </c>
      <c r="AZ12" s="11" t="n">
        <f aca="false">IF(Time!AZ17&gt;=Time!$F$11,Inputs!$F$181/100*(AZ11-AZ10-Tax!AZ21),0)</f>
        <v>41.9956165277177</v>
      </c>
      <c r="BA12" s="11" t="n">
        <f aca="false">IF(Time!BA17&gt;=Time!$F$11,Inputs!$F$181/100*(BA11-BA10-Tax!BA21),0)</f>
        <v>42.9573482039249</v>
      </c>
      <c r="BB12" s="11" t="n">
        <f aca="false">IF(Time!BB17&gt;=Time!$F$11,Inputs!$F$181/100*(BB11-BB10-Tax!BB21),0)</f>
        <v>43.9190798801322</v>
      </c>
      <c r="BC12" s="11" t="n">
        <f aca="false">IF(Time!BC17&gt;=Time!$F$11,Inputs!$F$181/100*(BC11-BC10-Tax!BC21),0)</f>
        <v>44.8808115563395</v>
      </c>
      <c r="BD12" s="11" t="n">
        <f aca="false">IF(Time!BD17&gt;=Time!$F$11,Inputs!$F$181/100*(BD11-BD10-Tax!BD21),0)</f>
        <v>44.9208837095148</v>
      </c>
      <c r="BE12" s="11" t="n">
        <f aca="false">IF(Time!BE17&gt;=Time!$F$11,Inputs!$F$181/100*(BE11-BE10-Tax!BE21),0)</f>
        <v>40.3526582475303</v>
      </c>
      <c r="BF12" s="11" t="n">
        <f aca="false">IF(Time!BF17&gt;=Time!$F$11,Inputs!$F$181/100*(BF11-BF10-Tax!BF21),0)</f>
        <v>35.7844327855457</v>
      </c>
      <c r="BG12" s="11" t="n">
        <f aca="false">IF(Time!BG17&gt;=Time!$F$11,Inputs!$F$181/100*(BG11-BG10-Tax!BG21),0)</f>
        <v>31.2162073235611</v>
      </c>
      <c r="BH12" s="11" t="n">
        <f aca="false">IF(Time!BH17&gt;=Time!$F$11,Inputs!$F$181/100*(BH11-BH10-Tax!BH21),0)</f>
        <v>26.6479818615766</v>
      </c>
      <c r="BI12" s="11" t="n">
        <f aca="false">IF(Time!BI17&gt;=Time!$F$11,Inputs!$F$181/100*(BI11-BI10-Tax!BI21),0)</f>
        <v>22.079756399592</v>
      </c>
      <c r="BJ12" s="11" t="n">
        <f aca="false">IF(Time!BJ17&gt;=Time!$F$11,Inputs!$F$181/100*(BJ11-BJ10-Tax!BJ21),0)</f>
        <v>17.5115309376074</v>
      </c>
      <c r="BK12" s="11" t="n">
        <f aca="false">IF(Time!BK17&gt;=Time!$F$11,Inputs!$F$181/100*(BK11-BK10-Tax!BK21),0)</f>
        <v>12.9433054756229</v>
      </c>
      <c r="BL12" s="11" t="n">
        <f aca="false">IF(Time!BL17&gt;=Time!$F$11,Inputs!$F$181/100*(BL11-BL10-Tax!BL21),0)</f>
        <v>8.37508001363835</v>
      </c>
      <c r="BM12" s="11" t="n">
        <f aca="false">IF(Time!BM17&gt;=Time!$F$11,Inputs!$F$181/100*(BM11-BM10-Tax!BM21),0)</f>
        <v>3.80685455165376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0</v>
      </c>
      <c r="P13" s="11" t="n">
        <f aca="false">P12-O12</f>
        <v>-0.801443063506079</v>
      </c>
      <c r="Q13" s="11" t="n">
        <f aca="false">Q12-P12</f>
        <v>-4.80865838103634</v>
      </c>
      <c r="R13" s="11" t="n">
        <f aca="false">R12-Q12</f>
        <v>-4.80865838103641</v>
      </c>
      <c r="S13" s="11" t="n">
        <f aca="false">S12-R12</f>
        <v>-4.80865838103637</v>
      </c>
      <c r="T13" s="11" t="n">
        <f aca="false">T12-S12</f>
        <v>-4.80865838103637</v>
      </c>
      <c r="U13" s="11" t="n">
        <f aca="false">U12-T12</f>
        <v>-4.80865838103637</v>
      </c>
      <c r="V13" s="11" t="n">
        <f aca="false">V12-U12</f>
        <v>-4.8086583810364</v>
      </c>
      <c r="W13" s="11" t="n">
        <f aca="false">W12-V12</f>
        <v>-4.80865838103637</v>
      </c>
      <c r="X13" s="11" t="n">
        <f aca="false">X12-W12</f>
        <v>-4.80865838103637</v>
      </c>
      <c r="Y13" s="11" t="n">
        <f aca="false">Y12-X12</f>
        <v>-4.8086583810364</v>
      </c>
      <c r="Z13" s="11" t="n">
        <f aca="false">Z12-Y12</f>
        <v>-3.42815439102183</v>
      </c>
      <c r="AA13" s="11" t="n">
        <f aca="false">AA12-Z12</f>
        <v>3.90454874054975</v>
      </c>
      <c r="AB13" s="11" t="n">
        <f aca="false">AB12-AA12</f>
        <v>4.1472811583748</v>
      </c>
      <c r="AC13" s="11" t="n">
        <f aca="false">AC12-AB12</f>
        <v>4.54852855624366</v>
      </c>
      <c r="AD13" s="11" t="n">
        <f aca="false">AD12-AC12</f>
        <v>4.88162768039984</v>
      </c>
      <c r="AE13" s="11" t="n">
        <f aca="false">AE12-AD12</f>
        <v>1.49033608259948</v>
      </c>
      <c r="AF13" s="11" t="n">
        <f aca="false">AF12-AE12</f>
        <v>5.64447873364745</v>
      </c>
      <c r="AG13" s="11" t="n">
        <f aca="false">AG12-AF12</f>
        <v>6.11773482109643</v>
      </c>
      <c r="AH13" s="11" t="n">
        <f aca="false">AH12-AG12</f>
        <v>6.53002153722395</v>
      </c>
      <c r="AI13" s="11" t="n">
        <f aca="false">AI12-AH12</f>
        <v>7.0964774352163</v>
      </c>
      <c r="AJ13" s="11" t="n">
        <f aca="false">AJ12-AI12</f>
        <v>7.56426126919492</v>
      </c>
      <c r="AK13" s="11" t="n">
        <f aca="false">AK12-AJ12</f>
        <v>8.12929198781223</v>
      </c>
      <c r="AL13" s="11" t="n">
        <f aca="false">AL12-AK12</f>
        <v>8.679178008553</v>
      </c>
      <c r="AM13" s="11" t="n">
        <f aca="false">AM12-AL12</f>
        <v>8.26686160996663</v>
      </c>
      <c r="AN13" s="11" t="n">
        <f aca="false">AN12-AM12</f>
        <v>0.961731676207283</v>
      </c>
      <c r="AO13" s="11" t="n">
        <f aca="false">AO12-AN12</f>
        <v>0.961731676207268</v>
      </c>
      <c r="AP13" s="11" t="n">
        <f aca="false">AP12-AO12</f>
        <v>0.961731676207286</v>
      </c>
      <c r="AQ13" s="11" t="n">
        <f aca="false">AQ12-AP12</f>
        <v>0.961731676207251</v>
      </c>
      <c r="AR13" s="11" t="n">
        <f aca="false">AR12-AQ12</f>
        <v>0.961731676207265</v>
      </c>
      <c r="AS13" s="11" t="n">
        <f aca="false">AS12-AR12</f>
        <v>0.9617316762073</v>
      </c>
      <c r="AT13" s="11" t="n">
        <f aca="false">AT12-AS12</f>
        <v>0.961731676207251</v>
      </c>
      <c r="AU13" s="11" t="n">
        <f aca="false">AU12-AT12</f>
        <v>0.961731676207272</v>
      </c>
      <c r="AV13" s="11" t="n">
        <f aca="false">AV12-AU12</f>
        <v>0.961731676207265</v>
      </c>
      <c r="AW13" s="11" t="n">
        <f aca="false">AW12-AV12</f>
        <v>0.961731676207251</v>
      </c>
      <c r="AX13" s="11" t="n">
        <f aca="false">AX12-AW12</f>
        <v>0.961731676207322</v>
      </c>
      <c r="AY13" s="11" t="n">
        <f aca="false">AY12-AX12</f>
        <v>0.961731676207251</v>
      </c>
      <c r="AZ13" s="11" t="n">
        <f aca="false">AZ12-AY12</f>
        <v>0.961731676207286</v>
      </c>
      <c r="BA13" s="11" t="n">
        <f aca="false">BA12-AZ12</f>
        <v>0.961731676207279</v>
      </c>
      <c r="BB13" s="11" t="n">
        <f aca="false">BB12-BA12</f>
        <v>0.961731676207286</v>
      </c>
      <c r="BC13" s="11" t="n">
        <f aca="false">BC12-BB12</f>
        <v>0.961731676207251</v>
      </c>
      <c r="BD13" s="11" t="n">
        <f aca="false">BD12-BC12</f>
        <v>0.0400721531753092</v>
      </c>
      <c r="BE13" s="11" t="n">
        <f aca="false">BE12-BD12</f>
        <v>-4.56822546198453</v>
      </c>
      <c r="BF13" s="11" t="n">
        <f aca="false">BF12-BE12</f>
        <v>-4.56822546198455</v>
      </c>
      <c r="BG13" s="11" t="n">
        <f aca="false">BG12-BF12</f>
        <v>-4.5682254619846</v>
      </c>
      <c r="BH13" s="11" t="n">
        <f aca="false">BH12-BG12</f>
        <v>-4.56822546198456</v>
      </c>
      <c r="BI13" s="11" t="n">
        <f aca="false">BI12-BH12</f>
        <v>-4.56822546198453</v>
      </c>
      <c r="BJ13" s="11" t="n">
        <f aca="false">BJ12-BI12</f>
        <v>-4.5682254619846</v>
      </c>
      <c r="BK13" s="11" t="n">
        <f aca="false">BK12-BJ12</f>
        <v>-4.56822546198456</v>
      </c>
      <c r="BL13" s="11" t="n">
        <f aca="false">BL12-BK12</f>
        <v>-4.56822546198453</v>
      </c>
      <c r="BM13" s="11" t="n">
        <f aca="false">BM12-BL12</f>
        <v>-4.56822546198459</v>
      </c>
      <c r="BN13" s="11" t="n">
        <f aca="false">BN12-BM12</f>
        <v>-3.80685455165376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980.394092713703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0</v>
      </c>
      <c r="P14" s="11" t="n">
        <f aca="false">Operations!P79-P8-P9-Tax!P27-P13</f>
        <v>4.73082057210963</v>
      </c>
      <c r="Q14" s="11" t="n">
        <f aca="false">Operations!Q79-Q8-Q9-Tax!Q27-Q13</f>
        <v>7.40686827548026</v>
      </c>
      <c r="R14" s="11" t="n">
        <f aca="false">Operations!R79-R8-R9-Tax!R27-R13</f>
        <v>9.13604728305747</v>
      </c>
      <c r="S14" s="11" t="n">
        <f aca="false">Operations!S79-S8-S9-Tax!S27-S13</f>
        <v>10.4119366529508</v>
      </c>
      <c r="T14" s="11" t="n">
        <f aca="false">Operations!T79-T8-T9-Tax!T27-T13</f>
        <v>10.8987608718069</v>
      </c>
      <c r="U14" s="11" t="n">
        <f aca="false">Operations!U79-U8-U9-Tax!U27-U13</f>
        <v>12.007747044848</v>
      </c>
      <c r="V14" s="11" t="n">
        <f aca="false">Operations!V79-V8-V9-Tax!V27-V13</f>
        <v>12.7330831999271</v>
      </c>
      <c r="W14" s="11" t="n">
        <f aca="false">Operations!W79-W8-W9-Tax!W27-W13</f>
        <v>11.6182468907265</v>
      </c>
      <c r="X14" s="11" t="n">
        <f aca="false">Operations!X79-X8-X9-Tax!X27-X13</f>
        <v>14.8388134830396</v>
      </c>
      <c r="Y14" s="11" t="n">
        <f aca="false">Operations!Y79-Y8-Y9-Tax!Y27-Y13</f>
        <v>15.6640106244062</v>
      </c>
      <c r="Z14" s="11" t="n">
        <f aca="false">Operations!Z79-Z8-Z9-Tax!Z27-Z13</f>
        <v>14.9501657893629</v>
      </c>
      <c r="AA14" s="11" t="n">
        <f aca="false">Operations!AA79-AA8-AA9-Tax!AA27-AA13</f>
        <v>8.75405750181734</v>
      </c>
      <c r="AB14" s="11" t="n">
        <f aca="false">Operations!AB79-AB8-AB9-Tax!AB27-AB13</f>
        <v>9.31868919006867</v>
      </c>
      <c r="AC14" s="11" t="n">
        <f aca="false">Operations!AC79-AC8-AC9-Tax!AC27-AC13</f>
        <v>10.2528870950084</v>
      </c>
      <c r="AD14" s="11" t="n">
        <f aca="false">Operations!AD79-AD8-AD9-Tax!AD27-AD13</f>
        <v>11.028808529235</v>
      </c>
      <c r="AE14" s="11" t="n">
        <f aca="false">Operations!AE79-AE8-AE9-Tax!AE27-AE13</f>
        <v>3.12071285074148</v>
      </c>
      <c r="AF14" s="11" t="n">
        <f aca="false">Operations!AF79-AF8-AF9-Tax!AF27-AF13</f>
        <v>12.8085696708941</v>
      </c>
      <c r="AG14" s="11" t="n">
        <f aca="false">Operations!AG79-AG8-AG9-Tax!AG27-AG13</f>
        <v>13.9073996363157</v>
      </c>
      <c r="AH14" s="11" t="n">
        <f aca="false">Operations!AH79-AH8-AH9-Tax!AH27-AH13</f>
        <v>14.8676871718395</v>
      </c>
      <c r="AI14" s="11" t="n">
        <f aca="false">Operations!AI79-AI8-AI9-Tax!AI27-AI13</f>
        <v>16.1879855152101</v>
      </c>
      <c r="AJ14" s="11" t="n">
        <f aca="false">Operations!AJ79-AJ8-AJ9-Tax!AJ27-AJ13</f>
        <v>17.2775821257977</v>
      </c>
      <c r="AK14" s="11" t="n">
        <f aca="false">Operations!AK79-AK8-AK9-Tax!AK27-AK13</f>
        <v>18.5937605036174</v>
      </c>
      <c r="AL14" s="11" t="n">
        <f aca="false">Operations!AL79-AL8-AL9-Tax!AL27-AL13</f>
        <v>19.8752359956844</v>
      </c>
      <c r="AM14" s="11" t="n">
        <f aca="false">Operations!AM79-AM8-AM9-Tax!AM27-AM13</f>
        <v>19.299678990967</v>
      </c>
      <c r="AN14" s="11" t="n">
        <f aca="false">Operations!AN79-AN8-AN9-Tax!AN27-AN13</f>
        <v>23.0527708423236</v>
      </c>
      <c r="AO14" s="11" t="n">
        <f aca="false">Operations!AO79-AO8-AO9-Tax!AO27-AO13</f>
        <v>24.1535225937764</v>
      </c>
      <c r="AP14" s="11" t="n">
        <f aca="false">Operations!AP79-AP8-AP9-Tax!AP27-AP13</f>
        <v>25.8775588354192</v>
      </c>
      <c r="AQ14" s="11" t="n">
        <f aca="false">Operations!AQ79-AQ8-AQ9-Tax!AQ27-AQ13</f>
        <v>26.0048122085457</v>
      </c>
      <c r="AR14" s="11" t="n">
        <f aca="false">Operations!AR79-AR8-AR9-Tax!AR27-AR13</f>
        <v>26.0940121185539</v>
      </c>
      <c r="AS14" s="11" t="n">
        <f aca="false">Operations!AS79-AS8-AS9-Tax!AS27-AS13</f>
        <v>26.1458428951561</v>
      </c>
      <c r="AT14" s="11" t="n">
        <f aca="false">Operations!AT79-AT8-AT9-Tax!AT27-AT13</f>
        <v>26.2893251222733</v>
      </c>
      <c r="AU14" s="11" t="n">
        <f aca="false">Operations!AU79-AU8-AU9-Tax!AU27-AU13</f>
        <v>15.8092170885818</v>
      </c>
      <c r="AV14" s="11" t="n">
        <f aca="false">Operations!AV79-AV8-AV9-Tax!AV27-AV13</f>
        <v>26.429626631824</v>
      </c>
      <c r="AW14" s="11" t="n">
        <f aca="false">Operations!AW79-AW8-AW9-Tax!AW27-AW13</f>
        <v>26.5310094108742</v>
      </c>
      <c r="AX14" s="11" t="n">
        <f aca="false">Operations!AX79-AX8-AX9-Tax!AX27-AX13</f>
        <v>26.6420935336779</v>
      </c>
      <c r="AY14" s="11" t="n">
        <f aca="false">Operations!AY79-AY8-AY9-Tax!AY27-AY13</f>
        <v>26.780331174618</v>
      </c>
      <c r="AZ14" s="11" t="n">
        <f aca="false">Operations!AZ79-AZ8-AZ9-Tax!AZ27-AZ13</f>
        <v>26.8772791964687</v>
      </c>
      <c r="BA14" s="11" t="n">
        <f aca="false">Operations!BA79-BA8-BA9-Tax!BA27-BA13</f>
        <v>26.9317795893186</v>
      </c>
      <c r="BB14" s="11" t="n">
        <f aca="false">Operations!BB79-BB8-BB9-Tax!BB27-BB13</f>
        <v>27.0702955811133</v>
      </c>
      <c r="BC14" s="11" t="n">
        <f aca="false">Operations!BC79-BC8-BC9-Tax!BC27-BC13</f>
        <v>24.7966486997567</v>
      </c>
      <c r="BD14" s="11" t="n">
        <f aca="false">Operations!BD79-BD8-BD9-Tax!BD27-BD13</f>
        <v>27.4085308146667</v>
      </c>
      <c r="BE14" s="11" t="n">
        <f aca="false">Operations!BE79-BE8-BE9-Tax!BE27-BE13</f>
        <v>27.3487942797016</v>
      </c>
      <c r="BF14" s="11" t="n">
        <f aca="false">Operations!BF79-BF8-BF9-Tax!BF27-BF13</f>
        <v>27.4698924678578</v>
      </c>
      <c r="BG14" s="11" t="n">
        <f aca="false">Operations!BG79-BG8-BG9-Tax!BG27-BG13</f>
        <v>27.6200782661233</v>
      </c>
      <c r="BH14" s="11" t="n">
        <f aca="false">Operations!BH79-BH8-BH9-Tax!BH27-BH13</f>
        <v>27.7254467067724</v>
      </c>
      <c r="BI14" s="11" t="n">
        <f aca="false">Operations!BI79-BI8-BI9-Tax!BI27-BI13</f>
        <v>27.7827209887058</v>
      </c>
      <c r="BJ14" s="11" t="n">
        <f aca="false">Operations!BJ79-BJ8-BJ9-Tax!BJ27-BJ13</f>
        <v>27.9547751640201</v>
      </c>
      <c r="BK14" s="11" t="n">
        <f aca="false">Operations!BK79-BK8-BK9-Tax!BK27-BK13</f>
        <v>15.5646004510041</v>
      </c>
      <c r="BL14" s="11" t="n">
        <f aca="false">Operations!BL79-BL8-BL9-Tax!BL27-BL13</f>
        <v>28.1521887561654</v>
      </c>
      <c r="BM14" s="11" t="n">
        <f aca="false">Operations!BM79-BM8-BM9-Tax!BM27-BM13</f>
        <v>28.2342550019504</v>
      </c>
      <c r="BN14" s="11" t="n">
        <f aca="false">Operations!BN79-BN8-BN9-Tax!BN27-BN13</f>
        <v>9.95712882954155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136.50705706622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202.108863315795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330.036693187222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492.61330040755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644.256009207379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746.293291115756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798.77158662771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782.742725357589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766.713864087467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750.685002817346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734.656141547225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718.627280277103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702.598419006982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686.569557736861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670.54069646674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654.511835196618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638.482973926497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622.454112656376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606.425251386255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590.396390116133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574.367528846012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558.338667575891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542.30980630577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526.280945035648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510.252083765527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494.223222495406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478.194361225284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462.165499955163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446.136638685042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430.107777414921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414.078916144799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398.050054874678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382.021193604557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365.992332334436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349.963471064314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333.934609794193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317.905748524072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301.876887253951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285.848025983829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269.819164713708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253.790303443587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237.761442173465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221.732580903344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205.703719633223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189.674858363102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173.64599709298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157.617135822859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141.588274552738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125.559413282617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109.530552012495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93.501690742374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77.4728294722528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61.4439682021315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45.4151069320102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29.386245661889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13.3573843917677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0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65.0750292257094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37.4322362176598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37.6677297623408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38.5199879279178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38.6957043487692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39.4643667271893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40.0975199325171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37.9633484165791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36.0745484246521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38.4997061396114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40.0486920523408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42.508119009148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43.6463231194216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45.2575182453755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47.3514014180299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34.8798069123092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33.2228655997438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32.7800524827508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31.5260340776587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30.3906852508461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28.2704190770319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25.6693107520835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26.4843073308502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19.9860565222547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18.5825555551695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2.4007660449686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4.80153208993721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7.20229813490581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9.60306417987441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12.003830224843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14.4045962698116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0.60292034342184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1.20584068684368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1.80876103026552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2.41168137368736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3.0146017171092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3.87057986109929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1.78801555561009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3.33976598869457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7.76580048076361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12.2089970897922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16.6695435720256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21.1476297377917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25.6434474739731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30.1571907667249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14.6879020595271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16.380779269642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18.0921768213506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0</v>
      </c>
      <c r="P18" s="11" t="n">
        <f aca="false">Operations!P83+Operations!P84</f>
        <v>38.2208066658204</v>
      </c>
      <c r="Q18" s="11" t="n">
        <f aca="false">Operations!Q83+Operations!Q84</f>
        <v>39.7874933452264</v>
      </c>
      <c r="R18" s="11" t="n">
        <f aca="false">Operations!R83+Operations!R84</f>
        <v>39.2626274969274</v>
      </c>
      <c r="S18" s="11" t="n">
        <f aca="false">Operations!S83+Operations!S84</f>
        <v>40.1970208422601</v>
      </c>
      <c r="T18" s="11" t="n">
        <f aca="false">Operations!T83+Operations!T84</f>
        <v>39.6943827350204</v>
      </c>
      <c r="U18" s="11" t="n">
        <f aca="false">Operations!U83+Operations!U84</f>
        <v>40.7946675556857</v>
      </c>
      <c r="V18" s="11" t="n">
        <f aca="false">Operations!V83+Operations!V84</f>
        <v>40.327392423494</v>
      </c>
      <c r="W18" s="11" t="n">
        <f aca="false">Operations!W83+Operations!W84</f>
        <v>40.8137362951384</v>
      </c>
      <c r="X18" s="11" t="n">
        <f aca="false">Operations!X83+Operations!X84</f>
        <v>40.400072102876</v>
      </c>
      <c r="Y18" s="11" t="n">
        <f aca="false">Operations!Y83+Operations!Y84</f>
        <v>42.2226472909187</v>
      </c>
      <c r="Z18" s="11" t="n">
        <f aca="false">Operations!Z83+Operations!Z84</f>
        <v>41.6213016178504</v>
      </c>
      <c r="AA18" s="11" t="n">
        <f aca="false">Operations!AA83+Operations!AA84</f>
        <v>42.618008269732</v>
      </c>
      <c r="AB18" s="11" t="n">
        <f aca="false">Operations!AB83+Operations!AB84</f>
        <v>42.0877811485333</v>
      </c>
      <c r="AC18" s="11" t="n">
        <f aca="false">Operations!AC83+Operations!AC84</f>
        <v>43.2677331960686</v>
      </c>
      <c r="AD18" s="11" t="n">
        <f aca="false">Operations!AD83+Operations!AD84</f>
        <v>42.6897276299796</v>
      </c>
      <c r="AE18" s="11" t="n">
        <f aca="false">Operations!AE83+Operations!AE84</f>
        <v>42.5466678592242</v>
      </c>
      <c r="AF18" s="11" t="n">
        <f aca="false">Operations!AF83+Operations!AF84</f>
        <v>42.3546138172199</v>
      </c>
      <c r="AG18" s="11" t="n">
        <f aca="false">Operations!AG83+Operations!AG84</f>
        <v>44.8062951358927</v>
      </c>
      <c r="AH18" s="11" t="n">
        <f aca="false">Operations!AH83+Operations!AH84</f>
        <v>44.1694488241572</v>
      </c>
      <c r="AI18" s="11" t="n">
        <f aca="false">Operations!AI83+Operations!AI84</f>
        <v>45.2335007908229</v>
      </c>
      <c r="AJ18" s="11" t="n">
        <f aca="false">Operations!AJ83+Operations!AJ84</f>
        <v>44.6734574149459</v>
      </c>
      <c r="AK18" s="11" t="n">
        <f aca="false">Operations!AK83+Operations!AK84</f>
        <v>45.9394584246768</v>
      </c>
      <c r="AL18" s="11" t="n">
        <f aca="false">Operations!AL83+Operations!AL84</f>
        <v>45.4122229815391</v>
      </c>
      <c r="AM18" s="11" t="n">
        <f aca="false">Operations!AM83+Operations!AM84</f>
        <v>45.9537384850944</v>
      </c>
      <c r="AN18" s="11" t="n">
        <f aca="false">Operations!AN83+Operations!AN84</f>
        <v>45.4974524839515</v>
      </c>
      <c r="AO18" s="11" t="n">
        <f aca="false">Operations!AO83+Operations!AO84</f>
        <v>47.5975153387773</v>
      </c>
      <c r="AP18" s="11" t="n">
        <f aca="false">Operations!AP83+Operations!AP84</f>
        <v>46.9223114313564</v>
      </c>
      <c r="AQ18" s="11" t="n">
        <f aca="false">Operations!AQ83+Operations!AQ84</f>
        <v>48.0591467128882</v>
      </c>
      <c r="AR18" s="11" t="n">
        <f aca="false">Operations!AR83+Operations!AR84</f>
        <v>47.4668810320953</v>
      </c>
      <c r="AS18" s="11" t="n">
        <f aca="false">Operations!AS83+Operations!AS84</f>
        <v>48.8258222745729</v>
      </c>
      <c r="AT18" s="11" t="n">
        <f aca="false">Operations!AT83+Operations!AT84</f>
        <v>48.1694641615826</v>
      </c>
      <c r="AU18" s="11" t="n">
        <f aca="false">Operations!AU83+Operations!AU84</f>
        <v>47.9990069931315</v>
      </c>
      <c r="AV18" s="11" t="n">
        <f aca="false">Operations!AV83+Operations!AV84</f>
        <v>47.7866599345666</v>
      </c>
      <c r="AW18" s="11" t="n">
        <f aca="false">Operations!AW83+Operations!AW84</f>
        <v>50.6130050188653</v>
      </c>
      <c r="AX18" s="11" t="n">
        <f aca="false">Operations!AX83+Operations!AX84</f>
        <v>49.8963580365277</v>
      </c>
      <c r="AY18" s="11" t="n">
        <f aca="false">Operations!AY83+Operations!AY84</f>
        <v>51.1118533231621</v>
      </c>
      <c r="AZ18" s="11" t="n">
        <f aca="false">Operations!AZ83+Operations!AZ84</f>
        <v>50.4847662112051</v>
      </c>
      <c r="BA18" s="11" t="n">
        <f aca="false">Operations!BA83+Operations!BA84</f>
        <v>51.9440889955145</v>
      </c>
      <c r="BB18" s="11" t="n">
        <f aca="false">Operations!BB83+Operations!BB84</f>
        <v>51.3469690837901</v>
      </c>
      <c r="BC18" s="11" t="n">
        <f aca="false">Operations!BC83+Operations!BC84</f>
        <v>51.9531632659378</v>
      </c>
      <c r="BD18" s="11" t="n">
        <f aca="false">Operations!BD83+Operations!BD84</f>
        <v>51.4470528642043</v>
      </c>
      <c r="BE18" s="11" t="n">
        <f aca="false">Operations!BE83+Operations!BE84</f>
        <v>53.8708042872587</v>
      </c>
      <c r="BF18" s="11" t="n">
        <f aca="false">Operations!BF83+Operations!BF84</f>
        <v>53.1093820754087</v>
      </c>
      <c r="BG18" s="11" t="n">
        <f aca="false">Operations!BG83+Operations!BG84</f>
        <v>54.4098880727899</v>
      </c>
      <c r="BH18" s="11" t="n">
        <f aca="false">Operations!BH83+Operations!BH84</f>
        <v>53.7451719305878</v>
      </c>
      <c r="BI18" s="11" t="n">
        <f aca="false">Operations!BI83+Operations!BI84</f>
        <v>55.3129113094724</v>
      </c>
      <c r="BJ18" s="11" t="n">
        <f aca="false">Operations!BJ83+Operations!BJ84</f>
        <v>54.5652469869536</v>
      </c>
      <c r="BK18" s="11" t="n">
        <f aca="false">Operations!BK83+Operations!BK84</f>
        <v>54.3629159205261</v>
      </c>
      <c r="BL18" s="11" t="n">
        <f aca="false">Operations!BL83+Operations!BL84</f>
        <v>54.1270119878393</v>
      </c>
      <c r="BM18" s="11" t="n">
        <f aca="false">Operations!BM83+Operations!BM84</f>
        <v>57.3904041405399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0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5.35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-0</v>
      </c>
      <c r="P20" s="11" t="n">
        <f aca="false">MAX(0,-P12)</f>
        <v>0.801443063506079</v>
      </c>
      <c r="Q20" s="11" t="n">
        <f aca="false">MAX(0,-Q12)</f>
        <v>5.61010144454242</v>
      </c>
      <c r="R20" s="11" t="n">
        <f aca="false">MAX(0,-R12)</f>
        <v>10.4187598255788</v>
      </c>
      <c r="S20" s="11" t="n">
        <f aca="false">MAX(0,-S12)</f>
        <v>15.2274182066152</v>
      </c>
      <c r="T20" s="11" t="n">
        <f aca="false">MAX(0,-T12)</f>
        <v>20.0360765876516</v>
      </c>
      <c r="U20" s="11" t="n">
        <f aca="false">MAX(0,-U12)</f>
        <v>24.8447349686879</v>
      </c>
      <c r="V20" s="11" t="n">
        <f aca="false">MAX(0,-V12)</f>
        <v>29.6533933497243</v>
      </c>
      <c r="W20" s="11" t="n">
        <f aca="false">MAX(0,-W12)</f>
        <v>34.4620517307607</v>
      </c>
      <c r="X20" s="11" t="n">
        <f aca="false">MAX(0,-X12)</f>
        <v>39.2707101117971</v>
      </c>
      <c r="Y20" s="11" t="n">
        <f aca="false">MAX(0,-Y12)</f>
        <v>44.0793684928335</v>
      </c>
      <c r="Z20" s="11" t="n">
        <f aca="false">MAX(0,-Z12)</f>
        <v>47.5075228838553</v>
      </c>
      <c r="AA20" s="11" t="n">
        <f aca="false">MAX(0,-AA12)</f>
        <v>43.6029741433056</v>
      </c>
      <c r="AB20" s="11" t="n">
        <f aca="false">MAX(0,-AB12)</f>
        <v>39.4556929849308</v>
      </c>
      <c r="AC20" s="11" t="n">
        <f aca="false">MAX(0,-AC12)</f>
        <v>34.9071644286871</v>
      </c>
      <c r="AD20" s="11" t="n">
        <f aca="false">MAX(0,-AD12)</f>
        <v>30.0255367482873</v>
      </c>
      <c r="AE20" s="11" t="n">
        <f aca="false">MAX(0,-AE12)</f>
        <v>28.5352006656878</v>
      </c>
      <c r="AF20" s="11" t="n">
        <f aca="false">MAX(0,-AF12)</f>
        <v>22.8907219320403</v>
      </c>
      <c r="AG20" s="11" t="n">
        <f aca="false">MAX(0,-AG12)</f>
        <v>16.7729871109439</v>
      </c>
      <c r="AH20" s="11" t="n">
        <f aca="false">MAX(0,-AH12)</f>
        <v>10.24296557372</v>
      </c>
      <c r="AI20" s="11" t="n">
        <f aca="false">MAX(0,-AI12)</f>
        <v>3.14648813850365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136.50705706622</v>
      </c>
      <c r="K21" s="11" t="n">
        <f aca="false">K16+K17+K18+K19+K20</f>
        <v>202.108863315795</v>
      </c>
      <c r="L21" s="11" t="n">
        <f aca="false">L16+L17+L18+L19+L20</f>
        <v>330.036693187222</v>
      </c>
      <c r="M21" s="11" t="n">
        <f aca="false">M16+M17+M18+M19+M20</f>
        <v>492.61330040755</v>
      </c>
      <c r="N21" s="11" t="n">
        <f aca="false">N16+N17+N18+N19+N20</f>
        <v>644.256009207379</v>
      </c>
      <c r="O21" s="11" t="n">
        <f aca="false">O16+O17+O18+O19+O20</f>
        <v>746.293291115756</v>
      </c>
      <c r="P21" s="11" t="n">
        <f aca="false">P16+P17+P18+P19+P20</f>
        <v>908.218865582746</v>
      </c>
      <c r="Q21" s="11" t="n">
        <f aca="false">Q16+Q17+Q18+Q19+Q20</f>
        <v>870.922556365017</v>
      </c>
      <c r="R21" s="11" t="n">
        <f aca="false">R16+R17+R18+R19+R20</f>
        <v>859.412981172314</v>
      </c>
      <c r="S21" s="11" t="n">
        <f aca="false">S16+S17+S18+S19+S20</f>
        <v>849.979429794139</v>
      </c>
      <c r="T21" s="11" t="n">
        <f aca="false">T16+T17+T18+T19+T20</f>
        <v>838.432305218666</v>
      </c>
      <c r="U21" s="11" t="n">
        <f aca="false">U16+U17+U18+U19+U20</f>
        <v>829.081049528666</v>
      </c>
      <c r="V21" s="11" t="n">
        <f aca="false">V16+V17+V18+V19+V20</f>
        <v>818.026724712718</v>
      </c>
      <c r="W21" s="11" t="n">
        <f aca="false">W16+W17+W18+W19+W20</f>
        <v>805.158694179339</v>
      </c>
      <c r="X21" s="11" t="n">
        <f aca="false">X16+X17+X18+X19+X20</f>
        <v>791.636027106065</v>
      </c>
      <c r="Y21" s="11" t="n">
        <f aca="false">Y16+Y17+Y18+Y19+Y20</f>
        <v>784.663557119982</v>
      </c>
      <c r="Z21" s="11" t="n">
        <f aca="false">Z16+Z17+Z18+Z19+Z20</f>
        <v>773.010490480544</v>
      </c>
      <c r="AA21" s="11" t="n">
        <f aca="false">AA16+AA17+AA18+AA19+AA20</f>
        <v>756.533214078561</v>
      </c>
      <c r="AB21" s="11" t="n">
        <f aca="false">AB16+AB17+AB18+AB19+AB20</f>
        <v>736.96504863914</v>
      </c>
      <c r="AC21" s="11" t="n">
        <f aca="false">AC16+AC17+AC18+AC19+AC20</f>
        <v>719.178805986264</v>
      </c>
      <c r="AD21" s="11" t="n">
        <f aca="false">AD16+AD17+AD18+AD19+AD20</f>
        <v>699.784194642309</v>
      </c>
      <c r="AE21" s="11" t="n">
        <f aca="false">AE16+AE17+AE18+AE19+AE20</f>
        <v>669.650343013112</v>
      </c>
      <c r="AF21" s="11" t="n">
        <f aca="false">AF16+AF17+AF18+AF19+AF20</f>
        <v>646.128007654774</v>
      </c>
      <c r="AG21" s="11" t="n">
        <f aca="false">AG16+AG17+AG18+AG19+AG20</f>
        <v>625.990279765236</v>
      </c>
      <c r="AH21" s="11" t="n">
        <f aca="false">AH16+AH17+AH18+AH19+AH20</f>
        <v>601.540532241063</v>
      </c>
      <c r="AI21" s="11" t="n">
        <f aca="false">AI16+AI17+AI18+AI19+AI20</f>
        <v>578.343896675578</v>
      </c>
      <c r="AJ21" s="11" t="n">
        <f aca="false">AJ16+AJ17+AJ18+AJ19+AJ20</f>
        <v>556.488237717262</v>
      </c>
      <c r="AK21" s="11" t="n">
        <f aca="false">AK16+AK17+AK18+AK19+AK20</f>
        <v>539.124269131924</v>
      </c>
      <c r="AL21" s="11" t="n">
        <f aca="false">AL16+AL17+AL18+AL19+AL20</f>
        <v>523.383168997431</v>
      </c>
      <c r="AM21" s="11" t="n">
        <f aca="false">AM16+AM17+AM18+AM19+AM20</f>
        <v>501.39757242227</v>
      </c>
      <c r="AN21" s="11" t="n">
        <f aca="false">AN16+AN17+AN18+AN19+AN20</f>
        <v>483.50892418392</v>
      </c>
      <c r="AO21" s="11" t="n">
        <f aca="false">AO16+AO17+AO18+AO19+AO20</f>
        <v>453.398336258424</v>
      </c>
      <c r="AP21" s="11" t="n">
        <f aca="false">AP16+AP17+AP18+AP19+AP20</f>
        <v>439.09503712585</v>
      </c>
      <c r="AQ21" s="11" t="n">
        <f aca="false">AQ16+AQ17+AQ18+AQ19+AQ20</f>
        <v>426.60377718223</v>
      </c>
      <c r="AR21" s="11" t="n">
        <f aca="false">AR16+AR17+AR18+AR19+AR20</f>
        <v>412.383416276284</v>
      </c>
      <c r="AS21" s="11" t="n">
        <f aca="false">AS16+AS17+AS18+AS19+AS20</f>
        <v>400.114262293609</v>
      </c>
      <c r="AT21" s="11" t="n">
        <f aca="false">AT16+AT17+AT18+AT19+AT20</f>
        <v>385.829808955466</v>
      </c>
      <c r="AU21" s="11" t="n">
        <f aca="false">AU16+AU17+AU18+AU19+AU20</f>
        <v>355.225894247082</v>
      </c>
      <c r="AV21" s="11" t="n">
        <f aca="false">AV16+AV17+AV18+AV19+AV20</f>
        <v>338.984685918396</v>
      </c>
      <c r="AW21" s="11" t="n">
        <f aca="false">AW16+AW17+AW18+AW19+AW20</f>
        <v>326.385090075995</v>
      </c>
      <c r="AX21" s="11" t="n">
        <f aca="false">AX16+AX17+AX18+AX19+AX20</f>
        <v>310.242502166958</v>
      </c>
      <c r="AY21" s="11" t="n">
        <f aca="false">AY16+AY17+AY18+AY19+AY20</f>
        <v>296.032056526893</v>
      </c>
      <c r="AZ21" s="11" t="n">
        <f aca="false">AZ16+AZ17+AZ18+AZ19+AZ20</f>
        <v>279.979028488237</v>
      </c>
      <c r="BA21" s="11" t="n">
        <f aca="false">BA16+BA17+BA18+BA19+BA20</f>
        <v>266.012410345847</v>
      </c>
      <c r="BB21" s="11" t="n">
        <f aca="false">BB16+BB17+BB18+BB19+BB20</f>
        <v>250.242407307991</v>
      </c>
      <c r="BC21" s="11" t="n">
        <f aca="false">BC16+BC17+BC18+BC19+BC20</f>
        <v>232.737175914528</v>
      </c>
      <c r="BD21" s="11" t="n">
        <f aca="false">BD16+BD17+BD18+BD19+BD20</f>
        <v>217.753954675758</v>
      </c>
      <c r="BE21" s="11" t="n">
        <f aca="false">BE16+BE17+BE18+BE19+BE20</f>
        <v>208.57487932076</v>
      </c>
      <c r="BF21" s="11" t="n">
        <f aca="false">BF16+BF17+BF18+BF19+BF20</f>
        <v>196.227792447818</v>
      </c>
      <c r="BG21" s="11" t="n">
        <f aca="false">BG16+BG17+BG18+BG19+BG20</f>
        <v>185.959983657311</v>
      </c>
      <c r="BH21" s="11" t="n">
        <f aca="false">BH16+BH17+BH18+BH19+BH20</f>
        <v>173.744492410753</v>
      </c>
      <c r="BI21" s="11" t="n">
        <f aca="false">BI16+BI17+BI18+BI19+BI20</f>
        <v>163.779188255698</v>
      </c>
      <c r="BJ21" s="11" t="n">
        <f aca="false">BJ16+BJ17+BJ18+BJ19+BJ20</f>
        <v>151.51640595581</v>
      </c>
      <c r="BK21" s="11" t="n">
        <f aca="false">BK16+BK17+BK18+BK19+BK20</f>
        <v>119.815924912063</v>
      </c>
      <c r="BL21" s="11" t="n">
        <f aca="false">BL16+BL17+BL18+BL19+BL20</f>
        <v>105.24403691937</v>
      </c>
      <c r="BM21" s="11" t="n">
        <f aca="false">BM16+BM17+BM18+BM19+BM20</f>
        <v>94.1899653536582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100.47215065462</v>
      </c>
      <c r="K22" s="11" t="n">
        <f aca="false">IF(Time!K17&lt;Time!$F$11,SUMIFS(Funding!$J$73:$BJ$73,Construction!$J$12:$BJ$12,"&lt;="&amp;Time!K17),Debt!K123)</f>
        <v>147.865999849068</v>
      </c>
      <c r="L22" s="11" t="n">
        <f aca="false">IF(Time!L17&lt;Time!$F$11,SUMIFS(Funding!$J$73:$BJ$73,Construction!$J$12:$BJ$12,"&lt;="&amp;Time!L17),Debt!L123)</f>
        <v>240.662223734</v>
      </c>
      <c r="M22" s="11" t="n">
        <f aca="false">IF(Time!M17&lt;Time!$F$11,SUMIFS(Funding!$J$73:$BJ$73,Construction!$J$12:$BJ$12,"&lt;="&amp;Time!M17),Debt!M123)</f>
        <v>357.984810351982</v>
      </c>
      <c r="N22" s="11" t="n">
        <f aca="false">IF(Time!N17&lt;Time!$F$11,SUMIFS(Funding!$J$73:$BJ$73,Construction!$J$12:$BJ$12,"&lt;="&amp;Time!N17),Debt!N123)</f>
        <v>465.857547998187</v>
      </c>
      <c r="O22" s="11" t="n">
        <f aca="false">IF(Time!O17&lt;Time!$F$11,SUMIFS(Funding!$J$73:$BJ$73,Construction!$J$12:$BJ$12,"&lt;="&amp;Time!O17),Debt!O123)</f>
        <v>535.902777053446</v>
      </c>
      <c r="P22" s="11" t="n">
        <f aca="false">IF(Time!P17&lt;Time!$F$11,SUMIFS(Funding!$J$73:$BJ$73,Construction!$J$12:$BJ$12,"&lt;="&amp;Time!P17),Debt!P123)</f>
        <v>628.297947007569</v>
      </c>
      <c r="Q22" s="11" t="n">
        <f aca="false">IF(Time!Q17&lt;Time!$F$11,SUMIFS(Funding!$J$73:$BJ$73,Construction!$J$12:$BJ$12,"&lt;="&amp;Time!Q17),Debt!Q123)</f>
        <v>593.802922942365</v>
      </c>
      <c r="R22" s="11" t="n">
        <f aca="false">IF(Time!R17&lt;Time!$F$11,SUMIFS(Funding!$J$73:$BJ$73,Construction!$J$12:$BJ$12,"&lt;="&amp;Time!R17),Debt!R123)</f>
        <v>577.204503213231</v>
      </c>
      <c r="S22" s="11" t="n">
        <f aca="false">IF(Time!S17&lt;Time!$F$11,SUMIFS(Funding!$J$73:$BJ$73,Construction!$J$12:$BJ$12,"&lt;="&amp;Time!S17),Debt!S123)</f>
        <v>560.021542392672</v>
      </c>
      <c r="T22" s="11" t="n">
        <f aca="false">IF(Time!T17&lt;Time!$F$11,SUMIFS(Funding!$J$73:$BJ$73,Construction!$J$12:$BJ$12,"&lt;="&amp;Time!T17),Debt!T123)</f>
        <v>542.032419686825</v>
      </c>
      <c r="U22" s="11" t="n">
        <f aca="false">IF(Time!U17&lt;Time!$F$11,SUMIFS(Funding!$J$73:$BJ$73,Construction!$J$12:$BJ$12,"&lt;="&amp;Time!U17),Debt!U123)</f>
        <v>523.542549166987</v>
      </c>
      <c r="V22" s="11" t="n">
        <f aca="false">IF(Time!V17&lt;Time!$F$11,SUMIFS(Funding!$J$73:$BJ$73,Construction!$J$12:$BJ$12,"&lt;="&amp;Time!V17),Debt!V123)</f>
        <v>504.206273292951</v>
      </c>
      <c r="W22" s="11" t="n">
        <f aca="false">IF(Time!W17&lt;Time!$F$11,SUMIFS(Funding!$J$73:$BJ$73,Construction!$J$12:$BJ$12,"&lt;="&amp;Time!W17),Debt!W123)</f>
        <v>483.813544665335</v>
      </c>
      <c r="X22" s="11" t="n">
        <f aca="false">IF(Time!X17&lt;Time!$F$11,SUMIFS(Funding!$J$73:$BJ$73,Construction!$J$12:$BJ$12,"&lt;="&amp;Time!X17),Debt!X123)</f>
        <v>462.484624559821</v>
      </c>
      <c r="Y22" s="11" t="n">
        <f aca="false">IF(Time!Y17&lt;Time!$F$11,SUMIFS(Funding!$J$73:$BJ$73,Construction!$J$12:$BJ$12,"&lt;="&amp;Time!Y17),Debt!Y123)</f>
        <v>442.631602521054</v>
      </c>
      <c r="Z22" s="11" t="n">
        <f aca="false">IF(Time!Z17&lt;Time!$F$11,SUMIFS(Funding!$J$73:$BJ$73,Construction!$J$12:$BJ$12,"&lt;="&amp;Time!Z17),Debt!Z123)</f>
        <v>421.84376515821</v>
      </c>
      <c r="AA22" s="11" t="n">
        <f aca="false">IF(Time!AA17&lt;Time!$F$11,SUMIFS(Funding!$J$73:$BJ$73,Construction!$J$12:$BJ$12,"&lt;="&amp;Time!AA17),Debt!AA123)</f>
        <v>394.585451156274</v>
      </c>
      <c r="AB22" s="11" t="n">
        <f aca="false">IF(Time!AB17&lt;Time!$F$11,SUMIFS(Funding!$J$73:$BJ$73,Construction!$J$12:$BJ$12,"&lt;="&amp;Time!AB17),Debt!AB123)</f>
        <v>365.574856902986</v>
      </c>
      <c r="AC22" s="11" t="n">
        <f aca="false">IF(Time!AC17&lt;Time!$F$11,SUMIFS(Funding!$J$73:$BJ$73,Construction!$J$12:$BJ$12,"&lt;="&amp;Time!AC17),Debt!AC123)</f>
        <v>336.275425250827</v>
      </c>
      <c r="AD22" s="11" t="n">
        <f aca="false">IF(Time!AD17&lt;Time!$F$11,SUMIFS(Funding!$J$73:$BJ$73,Construction!$J$12:$BJ$12,"&lt;="&amp;Time!AD17),Debt!AD123)</f>
        <v>306.164440398763</v>
      </c>
      <c r="AE22" s="11" t="n">
        <f aca="false">IF(Time!AE17&lt;Time!$F$11,SUMIFS(Funding!$J$73:$BJ$73,Construction!$J$12:$BJ$12,"&lt;="&amp;Time!AE17),Debt!AE123)</f>
        <v>273.95485623682</v>
      </c>
      <c r="AF22" s="11" t="n">
        <f aca="false">IF(Time!AF17&lt;Time!$F$11,SUMIFS(Funding!$J$73:$BJ$73,Construction!$J$12:$BJ$12,"&lt;="&amp;Time!AF17),Debt!AF123)</f>
        <v>239.863240057688</v>
      </c>
      <c r="AG22" s="11" t="n">
        <f aca="false">IF(Time!AG17&lt;Time!$F$11,SUMIFS(Funding!$J$73:$BJ$73,Construction!$J$12:$BJ$12,"&lt;="&amp;Time!AG17),Debt!AG123)</f>
        <v>206.296052106454</v>
      </c>
      <c r="AH22" s="11" t="n">
        <f aca="false">IF(Time!AH17&lt;Time!$F$11,SUMIFS(Funding!$J$73:$BJ$73,Construction!$J$12:$BJ$12,"&lt;="&amp;Time!AH17),Debt!AH123)</f>
        <v>171.30528956378</v>
      </c>
      <c r="AI22" s="11" t="n">
        <f aca="false">IF(Time!AI17&lt;Time!$F$11,SUMIFS(Funding!$J$73:$BJ$73,Construction!$J$12:$BJ$12,"&lt;="&amp;Time!AI17),Debt!AI123)</f>
        <v>136.21977815679</v>
      </c>
      <c r="AJ22" s="11" t="n">
        <f aca="false">IF(Time!AJ17&lt;Time!$F$11,SUMIFS(Funding!$J$73:$BJ$73,Construction!$J$12:$BJ$12,"&lt;="&amp;Time!AJ17),Debt!AJ123)</f>
        <v>100.092254191466</v>
      </c>
      <c r="AK22" s="11" t="n">
        <f aca="false">IF(Time!AK17&lt;Time!$F$11,SUMIFS(Funding!$J$73:$BJ$73,Construction!$J$12:$BJ$12,"&lt;="&amp;Time!AK17),Debt!AK123)</f>
        <v>79.8145551897768</v>
      </c>
      <c r="AL22" s="11" t="n">
        <f aca="false">IF(Time!AL17&lt;Time!$F$11,SUMIFS(Funding!$J$73:$BJ$73,Construction!$J$12:$BJ$12,"&lt;="&amp;Time!AL17),Debt!AL123)</f>
        <v>58.9257073547562</v>
      </c>
      <c r="AM22" s="11" t="n">
        <f aca="false">IF(Time!AM17&lt;Time!$F$11,SUMIFS(Funding!$J$73:$BJ$73,Construction!$J$12:$BJ$12,"&lt;="&amp;Time!AM17),Debt!AM123)</f>
        <v>37.0730882535211</v>
      </c>
      <c r="AN22" s="11" t="n">
        <f aca="false">IF(Time!AN17&lt;Time!$F$11,SUMIFS(Funding!$J$73:$BJ$73,Construction!$J$12:$BJ$12,"&lt;="&amp;Time!AN17),Debt!AN123)</f>
        <v>18.094182813888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28.99569428324</v>
      </c>
      <c r="K23" s="11" t="n">
        <f aca="false">IF(Time!K17&lt;Time!$F$11,SUMIFS(Funding!$J$70:$BJ$70,Construction!$J$12:$BJ$12,"&lt;="&amp;Time!K17)+SUMIFS(Funding!$J$71:$BJ$71,Construction!$J$12:$BJ$12,"&lt;="&amp;Time!K17),Waterfall!K36)</f>
        <v>43.8831754066223</v>
      </c>
      <c r="L23" s="11" t="n">
        <f aca="false">IF(Time!L17&lt;Time!$F$11,SUMIFS(Funding!$J$70:$BJ$70,Construction!$J$12:$BJ$12,"&lt;="&amp;Time!L17)+SUMIFS(Funding!$J$71:$BJ$71,Construction!$J$12:$BJ$12,"&lt;="&amp;Time!L17),Waterfall!L36)</f>
        <v>72.5133548746166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109.547599456731</v>
      </c>
      <c r="N23" s="11" t="n">
        <f aca="false">IF(Time!N17&lt;Time!$F$11,SUMIFS(Funding!$J$70:$BJ$70,Construction!$J$12:$BJ$12,"&lt;="&amp;Time!N17)+SUMIFS(Funding!$J$71:$BJ$71,Construction!$J$12:$BJ$12,"&lt;="&amp;Time!N17),Waterfall!N36)</f>
        <v>145.759863542166</v>
      </c>
      <c r="O23" s="11" t="n">
        <f aca="false">IF(Time!O17&lt;Time!$F$11,SUMIFS(Funding!$J$70:$BJ$70,Construction!$J$12:$BJ$12,"&lt;="&amp;Time!O17)+SUMIFS(Funding!$J$71:$BJ$71,Construction!$J$12:$BJ$12,"&lt;="&amp;Time!O17),Waterfall!O36)</f>
        <v>172.844454748577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207.504238604117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196.231334818023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192.562711938545</v>
      </c>
      <c r="S23" s="11" t="n">
        <f aca="false">IF(Time!S17&lt;Time!$F$11,SUMIFS(Funding!$J$70:$BJ$70,Construction!$J$12:$BJ$12,"&lt;="&amp;Time!S17)+SUMIFS(Funding!$J$71:$BJ$71,Construction!$J$12:$BJ$12,"&lt;="&amp;Time!S17),Waterfall!S36)</f>
        <v>189.255462586688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185.111209532293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181.355695047605</v>
      </c>
      <c r="V23" s="11" t="n">
        <f aca="false">IF(Time!V17&lt;Time!$F$11,SUMIFS(Funding!$J$70:$BJ$70,Construction!$J$12:$BJ$12,"&lt;="&amp;Time!V17)+SUMIFS(Funding!$J$71:$BJ$71,Construction!$J$12:$BJ$12,"&lt;="&amp;Time!V17),Waterfall!V36)</f>
        <v>177.25968363327</v>
      </c>
      <c r="W23" s="11" t="n">
        <f aca="false">IF(Time!W17&lt;Time!$F$11,SUMIFS(Funding!$J$70:$BJ$70,Construction!$J$12:$BJ$12,"&lt;="&amp;Time!W17)+SUMIFS(Funding!$J$71:$BJ$71,Construction!$J$12:$BJ$12,"&lt;="&amp;Time!W17),Waterfall!W36)</f>
        <v>172.974314277498</v>
      </c>
      <c r="X23" s="11" t="n">
        <f aca="false">IF(Time!X17&lt;Time!$F$11,SUMIFS(Funding!$J$70:$BJ$70,Construction!$J$12:$BJ$12,"&lt;="&amp;Time!X17)+SUMIFS(Funding!$J$71:$BJ$71,Construction!$J$12:$BJ$12,"&lt;="&amp;Time!X17),Waterfall!X36)</f>
        <v>166.16436862331</v>
      </c>
      <c r="Y23" s="11" t="n">
        <f aca="false">IF(Time!Y17&lt;Time!$F$11,SUMIFS(Funding!$J$70:$BJ$70,Construction!$J$12:$BJ$12,"&lt;="&amp;Time!Y17)+SUMIFS(Funding!$J$71:$BJ$71,Construction!$J$12:$BJ$12,"&lt;="&amp;Time!Y17),Waterfall!Y36)</f>
        <v>161.856126656393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156.450251257351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157.780693960719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158.242320510413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158.544751168681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158.698224534683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157.868355132665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155.784101379875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153.239767462631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149.355885781019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144.3042688311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137.246096112747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112.401672578972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89.4101345183744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61.4878796356797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38.8237993283105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0</v>
      </c>
      <c r="P24" s="11" t="n">
        <f aca="false">Operations!P85+Operations!P86+Operations!P87+Operations!P88+Operations!P89</f>
        <v>23.6664719370157</v>
      </c>
      <c r="Q24" s="11" t="n">
        <f aca="false">Operations!Q85+Operations!Q86+Operations!Q87+Operations!Q88+Operations!Q89</f>
        <v>24.7312222951342</v>
      </c>
      <c r="R24" s="11" t="n">
        <f aca="false">Operations!R85+Operations!R86+Operations!R87+Operations!R88+Operations!R89</f>
        <v>24.3526424279863</v>
      </c>
      <c r="S24" s="11" t="n">
        <f aca="false">Operations!S85+Operations!S86+Operations!S87+Operations!S88+Operations!S89</f>
        <v>24.9973645692763</v>
      </c>
      <c r="T24" s="11" t="n">
        <f aca="false">Operations!T85+Operations!T86+Operations!T87+Operations!T88+Operations!T89</f>
        <v>24.6848548822378</v>
      </c>
      <c r="U24" s="11" t="n">
        <f aca="false">Operations!U85+Operations!U86+Operations!U87+Operations!U88+Operations!U89</f>
        <v>25.5712371519177</v>
      </c>
      <c r="V24" s="11" t="n">
        <f aca="false">Operations!V85+Operations!V86+Operations!V87+Operations!V88+Operations!V89</f>
        <v>25.2161164244113</v>
      </c>
      <c r="W24" s="11" t="n">
        <f aca="false">Operations!W85+Operations!W86+Operations!W87+Operations!W88+Operations!W89</f>
        <v>25.4079369836951</v>
      </c>
      <c r="X24" s="11" t="n">
        <f aca="false">Operations!X85+Operations!X86+Operations!X87+Operations!X88+Operations!X89</f>
        <v>25.1853221870835</v>
      </c>
      <c r="Y24" s="11" t="n">
        <f aca="false">Operations!Y85+Operations!Y86+Operations!Y87+Operations!Y88+Operations!Y89</f>
        <v>26.7101055822782</v>
      </c>
      <c r="Z24" s="11" t="n">
        <f aca="false">Operations!Z85+Operations!Z86+Operations!Z87+Operations!Z88+Operations!Z89</f>
        <v>26.3005859153628</v>
      </c>
      <c r="AA24" s="11" t="n">
        <f aca="false">Operations!AA85+Operations!AA86+Operations!AA87+Operations!AA88+Operations!AA89</f>
        <v>26.997123310131</v>
      </c>
      <c r="AB24" s="11" t="n">
        <f aca="false">Operations!AB85+Operations!AB86+Operations!AB87+Operations!AB88+Operations!AB89</f>
        <v>26.6592363842361</v>
      </c>
      <c r="AC24" s="11" t="n">
        <f aca="false">Operations!AC85+Operations!AC86+Operations!AC87+Operations!AC88+Operations!AC89</f>
        <v>27.6171076302425</v>
      </c>
      <c r="AD24" s="11" t="n">
        <f aca="false">Operations!AD85+Operations!AD86+Operations!AD87+Operations!AD88+Operations!AD89</f>
        <v>27.1511992431138</v>
      </c>
      <c r="AE24" s="11" t="n">
        <f aca="false">Operations!AE85+Operations!AE86+Operations!AE87+Operations!AE88+Operations!AE89</f>
        <v>26.936088327136</v>
      </c>
      <c r="AF24" s="11" t="n">
        <f aca="false">Operations!AF85+Operations!AF86+Operations!AF87+Operations!AF88+Operations!AF89</f>
        <v>26.7810532298259</v>
      </c>
      <c r="AG24" s="11" t="n">
        <f aca="false">Operations!AG85+Operations!AG86+Operations!AG87+Operations!AG88+Operations!AG89</f>
        <v>28.8474475724497</v>
      </c>
      <c r="AH24" s="11" t="n">
        <f aca="false">Operations!AH85+Operations!AH86+Operations!AH87+Operations!AH88+Operations!AH89</f>
        <v>28.4046571007238</v>
      </c>
      <c r="AI24" s="11" t="n">
        <f aca="false">Operations!AI85+Operations!AI86+Operations!AI87+Operations!AI88+Operations!AI89</f>
        <v>29.1571643769381</v>
      </c>
      <c r="AJ24" s="11" t="n">
        <f aca="false">Operations!AJ85+Operations!AJ86+Operations!AJ87+Operations!AJ88+Operations!AJ89</f>
        <v>28.7918468458111</v>
      </c>
      <c r="AK24" s="11" t="n">
        <f aca="false">Operations!AK85+Operations!AK86+Operations!AK87+Operations!AK88+Operations!AK89</f>
        <v>29.8269483045063</v>
      </c>
      <c r="AL24" s="11" t="n">
        <f aca="false">Operations!AL85+Operations!AL86+Operations!AL87+Operations!AL88+Operations!AL89</f>
        <v>29.4118200613945</v>
      </c>
      <c r="AM24" s="11" t="n">
        <f aca="false">Operations!AM85+Operations!AM86+Operations!AM87+Operations!AM88+Operations!AM89</f>
        <v>29.6345568692292</v>
      </c>
      <c r="AN24" s="11" t="n">
        <f aca="false">Operations!AN85+Operations!AN86+Operations!AN87+Operations!AN88+Operations!AN89</f>
        <v>29.3743918593511</v>
      </c>
      <c r="AO24" s="11" t="n">
        <f aca="false">Operations!AO85+Operations!AO86+Operations!AO87+Operations!AO88+Operations!AO89</f>
        <v>31.1560840503674</v>
      </c>
      <c r="AP24" s="11" t="n">
        <f aca="false">Operations!AP85+Operations!AP86+Operations!AP87+Operations!AP88+Operations!AP89</f>
        <v>30.677331917185</v>
      </c>
      <c r="AQ24" s="11" t="n">
        <f aca="false">Operations!AQ85+Operations!AQ86+Operations!AQ87+Operations!AQ88+Operations!AQ89</f>
        <v>31.4902949218177</v>
      </c>
      <c r="AR24" s="11" t="n">
        <f aca="false">Operations!AR85+Operations!AR86+Operations!AR87+Operations!AR88+Operations!AR89</f>
        <v>31.095328697506</v>
      </c>
      <c r="AS24" s="11" t="n">
        <f aca="false">Operations!AS85+Operations!AS86+Operations!AS87+Operations!AS88+Operations!AS89</f>
        <v>32.2138597228387</v>
      </c>
      <c r="AT24" s="11" t="n">
        <f aca="false">Operations!AT85+Operations!AT86+Operations!AT87+Operations!AT88+Operations!AT89</f>
        <v>31.6692090382218</v>
      </c>
      <c r="AU24" s="11" t="n">
        <f aca="false">Operations!AU85+Operations!AU86+Operations!AU87+Operations!AU88+Operations!AU89</f>
        <v>31.4161624524253</v>
      </c>
      <c r="AV24" s="11" t="n">
        <f aca="false">Operations!AV85+Operations!AV86+Operations!AV87+Operations!AV88+Operations!AV89</f>
        <v>31.2348648589672</v>
      </c>
      <c r="AW24" s="11" t="n">
        <f aca="false">Operations!AW85+Operations!AW86+Operations!AW87+Operations!AW88+Operations!AW89</f>
        <v>33.6496992201018</v>
      </c>
      <c r="AX24" s="11" t="n">
        <f aca="false">Operations!AX85+Operations!AX86+Operations!AX87+Operations!AX88+Operations!AX89</f>
        <v>33.1320787808241</v>
      </c>
      <c r="AY24" s="11" t="n">
        <f aca="false">Operations!AY85+Operations!AY86+Operations!AY87+Operations!AY88+Operations!AY89</f>
        <v>34.0103408008164</v>
      </c>
      <c r="AZ24" s="11" t="n">
        <f aca="false">Operations!AZ85+Operations!AZ86+Operations!AZ87+Operations!AZ88+Operations!AZ89</f>
        <v>33.5833299847197</v>
      </c>
      <c r="BA24" s="11" t="n">
        <f aca="false">Operations!BA85+Operations!BA86+Operations!BA87+Operations!BA88+Operations!BA89</f>
        <v>34.7919843253125</v>
      </c>
      <c r="BB24" s="11" t="n">
        <f aca="false">Operations!BB85+Operations!BB86+Operations!BB87+Operations!BB88+Operations!BB89</f>
        <v>34.3067728129539</v>
      </c>
      <c r="BC24" s="11" t="n">
        <f aca="false">Operations!BC85+Operations!BC86+Operations!BC87+Operations!BC88+Operations!BC89</f>
        <v>34.5654519111184</v>
      </c>
      <c r="BD24" s="11" t="n">
        <f aca="false">Operations!BD85+Operations!BD86+Operations!BD87+Operations!BD88+Operations!BD89</f>
        <v>34.2614209868704</v>
      </c>
      <c r="BE24" s="11" t="n">
        <f aca="false">Operations!BE85+Operations!BE86+Operations!BE87+Operations!BE88+Operations!BE89</f>
        <v>36.3430654061218</v>
      </c>
      <c r="BF24" s="11" t="n">
        <f aca="false">Operations!BF85+Operations!BF86+Operations!BF87+Operations!BF88+Operations!BF89</f>
        <v>35.7834370850299</v>
      </c>
      <c r="BG24" s="11" t="n">
        <f aca="false">Operations!BG85+Operations!BG86+Operations!BG87+Operations!BG88+Operations!BG89</f>
        <v>36.7322271266685</v>
      </c>
      <c r="BH24" s="11" t="n">
        <f aca="false">Operations!BH85+Operations!BH86+Operations!BH87+Operations!BH88+Operations!BH89</f>
        <v>36.2705838914636</v>
      </c>
      <c r="BI24" s="11" t="n">
        <f aca="false">Operations!BI85+Operations!BI86+Operations!BI87+Operations!BI88+Operations!BI89</f>
        <v>37.5765888146877</v>
      </c>
      <c r="BJ24" s="11" t="n">
        <f aca="false">Operations!BJ85+Operations!BJ86+Operations!BJ87+Operations!BJ88+Operations!BJ89</f>
        <v>36.939978113831</v>
      </c>
      <c r="BK24" s="11" t="n">
        <f aca="false">Operations!BK85+Operations!BK86+Operations!BK87+Operations!BK88+Operations!BK89</f>
        <v>36.6424562103068</v>
      </c>
      <c r="BL24" s="11" t="n">
        <f aca="false">Operations!BL85+Operations!BL86+Operations!BL87+Operations!BL88+Operations!BL89</f>
        <v>36.4304569115258</v>
      </c>
      <c r="BM24" s="11" t="n">
        <f aca="false">Operations!BM85+Operations!BM86+Operations!BM87+Operations!BM88+Operations!BM89</f>
        <v>39.2521290586723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4.41777313069127</v>
      </c>
      <c r="AK25" s="11" t="n">
        <f aca="false">MAX(0,AK12)</f>
        <v>12.5470651185035</v>
      </c>
      <c r="AL25" s="11" t="n">
        <f aca="false">MAX(0,AL12)</f>
        <v>21.2262431270565</v>
      </c>
      <c r="AM25" s="11" t="n">
        <f aca="false">MAX(0,AM12)</f>
        <v>29.4931047370231</v>
      </c>
      <c r="AN25" s="11" t="n">
        <f aca="false">MAX(0,AN12)</f>
        <v>30.4548364132304</v>
      </c>
      <c r="AO25" s="11" t="n">
        <f aca="false">MAX(0,AO12)</f>
        <v>31.4165680894377</v>
      </c>
      <c r="AP25" s="11" t="n">
        <f aca="false">MAX(0,AP12)</f>
        <v>32.378299765645</v>
      </c>
      <c r="AQ25" s="11" t="n">
        <f aca="false">MAX(0,AQ12)</f>
        <v>33.3400314418522</v>
      </c>
      <c r="AR25" s="11" t="n">
        <f aca="false">MAX(0,AR12)</f>
        <v>34.3017631180595</v>
      </c>
      <c r="AS25" s="11" t="n">
        <f aca="false">MAX(0,AS12)</f>
        <v>35.2634947942668</v>
      </c>
      <c r="AT25" s="11" t="n">
        <f aca="false">MAX(0,AT12)</f>
        <v>36.225226470474</v>
      </c>
      <c r="AU25" s="11" t="n">
        <f aca="false">MAX(0,AU12)</f>
        <v>37.1869581466813</v>
      </c>
      <c r="AV25" s="11" t="n">
        <f aca="false">MAX(0,AV12)</f>
        <v>38.1486898228886</v>
      </c>
      <c r="AW25" s="11" t="n">
        <f aca="false">MAX(0,AW12)</f>
        <v>39.1104214990958</v>
      </c>
      <c r="AX25" s="11" t="n">
        <f aca="false">MAX(0,AX12)</f>
        <v>40.0721531753031</v>
      </c>
      <c r="AY25" s="11" t="n">
        <f aca="false">MAX(0,AY12)</f>
        <v>41.0338848515104</v>
      </c>
      <c r="AZ25" s="11" t="n">
        <f aca="false">MAX(0,AZ12)</f>
        <v>41.9956165277177</v>
      </c>
      <c r="BA25" s="11" t="n">
        <f aca="false">MAX(0,BA12)</f>
        <v>42.9573482039249</v>
      </c>
      <c r="BB25" s="11" t="n">
        <f aca="false">MAX(0,BB12)</f>
        <v>43.9190798801322</v>
      </c>
      <c r="BC25" s="11" t="n">
        <f aca="false">MAX(0,BC12)</f>
        <v>44.8808115563395</v>
      </c>
      <c r="BD25" s="11" t="n">
        <f aca="false">MAX(0,BD12)</f>
        <v>44.9208837095148</v>
      </c>
      <c r="BE25" s="11" t="n">
        <f aca="false">MAX(0,BE12)</f>
        <v>40.3526582475303</v>
      </c>
      <c r="BF25" s="11" t="n">
        <f aca="false">MAX(0,BF12)</f>
        <v>35.7844327855457</v>
      </c>
      <c r="BG25" s="11" t="n">
        <f aca="false">MAX(0,BG12)</f>
        <v>31.2162073235611</v>
      </c>
      <c r="BH25" s="11" t="n">
        <f aca="false">MAX(0,BH12)</f>
        <v>26.6479818615766</v>
      </c>
      <c r="BI25" s="11" t="n">
        <f aca="false">MAX(0,BI12)</f>
        <v>22.079756399592</v>
      </c>
      <c r="BJ25" s="11" t="n">
        <f aca="false">MAX(0,BJ12)</f>
        <v>17.5115309376074</v>
      </c>
      <c r="BK25" s="11" t="n">
        <f aca="false">MAX(0,BK12)</f>
        <v>12.9433054756229</v>
      </c>
      <c r="BL25" s="11" t="n">
        <f aca="false">MAX(0,BL12)</f>
        <v>8.37508001363835</v>
      </c>
      <c r="BM25" s="11" t="n">
        <f aca="false">MAX(0,BM12)</f>
        <v>3.80685455165376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7.03921212836035</v>
      </c>
      <c r="K26" s="11" t="n">
        <f aca="false">SUMIFS(Funding!$J$69:$BJ$69,Construction!$J$12:$BJ$12,"&lt;="&amp;Time!K17)</f>
        <v>10.3596880601045</v>
      </c>
      <c r="L26" s="11" t="n">
        <f aca="false">SUMIFS(Funding!$J$69:$BJ$69,Construction!$J$12:$BJ$12,"&lt;="&amp;Time!L17)</f>
        <v>16.8611145786063</v>
      </c>
      <c r="M26" s="11" t="n">
        <f aca="false">SUMIFS(Funding!$J$69:$BJ$69,Construction!$J$12:$BJ$12,"&lt;="&amp;Time!M17)</f>
        <v>25.0808905988375</v>
      </c>
      <c r="N26" s="11" t="n">
        <f aca="false">SUMIFS(Funding!$J$69:$BJ$69,Construction!$J$12:$BJ$12,"&lt;="&amp;Time!N17)</f>
        <v>32.6385976670268</v>
      </c>
      <c r="O26" s="11" t="n">
        <f aca="false">SUMIFS(Funding!$J$69:$BJ$69,Construction!$J$12:$BJ$12,"&lt;="&amp;Time!O17)</f>
        <v>37.5460593137322</v>
      </c>
      <c r="P26" s="11" t="n">
        <f aca="false">SUMIFS(Funding!$J$69:$BJ$69,Construction!$J$12:$BJ$12,"&lt;="&amp;Time!P17)</f>
        <v>44.0193874619346</v>
      </c>
      <c r="Q26" s="11" t="n">
        <f aca="false">SUMIFS(Funding!$J$69:$BJ$69,Construction!$J$12:$BJ$12,"&lt;="&amp;Time!Q17)</f>
        <v>44.0193874619346</v>
      </c>
      <c r="R26" s="11" t="n">
        <f aca="false">SUMIFS(Funding!$J$69:$BJ$69,Construction!$J$12:$BJ$12,"&lt;="&amp;Time!R17)</f>
        <v>44.0193874619346</v>
      </c>
      <c r="S26" s="11" t="n">
        <f aca="false">SUMIFS(Funding!$J$69:$BJ$69,Construction!$J$12:$BJ$12,"&lt;="&amp;Time!S17)</f>
        <v>44.0193874619346</v>
      </c>
      <c r="T26" s="11" t="n">
        <f aca="false">SUMIFS(Funding!$J$69:$BJ$69,Construction!$J$12:$BJ$12,"&lt;="&amp;Time!T17)</f>
        <v>44.0193874619346</v>
      </c>
      <c r="U26" s="11" t="n">
        <f aca="false">SUMIFS(Funding!$J$69:$BJ$69,Construction!$J$12:$BJ$12,"&lt;="&amp;Time!U17)</f>
        <v>44.0193874619346</v>
      </c>
      <c r="V26" s="11" t="n">
        <f aca="false">SUMIFS(Funding!$J$69:$BJ$69,Construction!$J$12:$BJ$12,"&lt;="&amp;Time!V17)</f>
        <v>44.0193874619346</v>
      </c>
      <c r="W26" s="11" t="n">
        <f aca="false">SUMIFS(Funding!$J$69:$BJ$69,Construction!$J$12:$BJ$12,"&lt;="&amp;Time!W17)</f>
        <v>44.0193874619346</v>
      </c>
      <c r="X26" s="11" t="n">
        <f aca="false">SUMIFS(Funding!$J$69:$BJ$69,Construction!$J$12:$BJ$12,"&lt;="&amp;Time!X17)</f>
        <v>44.0193874619346</v>
      </c>
      <c r="Y26" s="11" t="n">
        <f aca="false">SUMIFS(Funding!$J$69:$BJ$69,Construction!$J$12:$BJ$12,"&lt;="&amp;Time!Y17)</f>
        <v>44.0193874619346</v>
      </c>
      <c r="Z26" s="11" t="n">
        <f aca="false">SUMIFS(Funding!$J$69:$BJ$69,Construction!$J$12:$BJ$12,"&lt;="&amp;Time!Z17)</f>
        <v>44.0193874619346</v>
      </c>
      <c r="AA26" s="11" t="n">
        <f aca="false">SUMIFS(Funding!$J$69:$BJ$69,Construction!$J$12:$BJ$12,"&lt;="&amp;Time!AA17)</f>
        <v>44.0193874619346</v>
      </c>
      <c r="AB26" s="11" t="n">
        <f aca="false">SUMIFS(Funding!$J$69:$BJ$69,Construction!$J$12:$BJ$12,"&lt;="&amp;Time!AB17)</f>
        <v>44.0193874619346</v>
      </c>
      <c r="AC26" s="11" t="n">
        <f aca="false">SUMIFS(Funding!$J$69:$BJ$69,Construction!$J$12:$BJ$12,"&lt;="&amp;Time!AC17)</f>
        <v>44.0193874619346</v>
      </c>
      <c r="AD26" s="11" t="n">
        <f aca="false">SUMIFS(Funding!$J$69:$BJ$69,Construction!$J$12:$BJ$12,"&lt;="&amp;Time!AD17)</f>
        <v>44.0193874619346</v>
      </c>
      <c r="AE26" s="11" t="n">
        <f aca="false">SUMIFS(Funding!$J$69:$BJ$69,Construction!$J$12:$BJ$12,"&lt;="&amp;Time!AE17)</f>
        <v>44.0193874619346</v>
      </c>
      <c r="AF26" s="11" t="n">
        <f aca="false">SUMIFS(Funding!$J$69:$BJ$69,Construction!$J$12:$BJ$12,"&lt;="&amp;Time!AF17)</f>
        <v>44.0193874619346</v>
      </c>
      <c r="AG26" s="11" t="n">
        <f aca="false">SUMIFS(Funding!$J$69:$BJ$69,Construction!$J$12:$BJ$12,"&lt;="&amp;Time!AG17)</f>
        <v>44.0193874619346</v>
      </c>
      <c r="AH26" s="11" t="n">
        <f aca="false">SUMIFS(Funding!$J$69:$BJ$69,Construction!$J$12:$BJ$12,"&lt;="&amp;Time!AH17)</f>
        <v>44.0193874619346</v>
      </c>
      <c r="AI26" s="11" t="n">
        <f aca="false">SUMIFS(Funding!$J$69:$BJ$69,Construction!$J$12:$BJ$12,"&lt;="&amp;Time!AI17)</f>
        <v>44.0193874619346</v>
      </c>
      <c r="AJ26" s="11" t="n">
        <f aca="false">SUMIFS(Funding!$J$69:$BJ$69,Construction!$J$12:$BJ$12,"&lt;="&amp;Time!AJ17)</f>
        <v>44.0193874619346</v>
      </c>
      <c r="AK26" s="11" t="n">
        <f aca="false">SUMIFS(Funding!$J$69:$BJ$69,Construction!$J$12:$BJ$12,"&lt;="&amp;Time!AK17)</f>
        <v>44.0193874619346</v>
      </c>
      <c r="AL26" s="11" t="n">
        <f aca="false">SUMIFS(Funding!$J$69:$BJ$69,Construction!$J$12:$BJ$12,"&lt;="&amp;Time!AL17)</f>
        <v>44.0193874619346</v>
      </c>
      <c r="AM26" s="11" t="n">
        <f aca="false">SUMIFS(Funding!$J$69:$BJ$69,Construction!$J$12:$BJ$12,"&lt;="&amp;Time!AM17)</f>
        <v>44.0193874619346</v>
      </c>
      <c r="AN26" s="11" t="n">
        <f aca="false">SUMIFS(Funding!$J$69:$BJ$69,Construction!$J$12:$BJ$12,"&lt;="&amp;Time!AN17)</f>
        <v>44.0193874619346</v>
      </c>
      <c r="AO26" s="11" t="n">
        <f aca="false">SUMIFS(Funding!$J$69:$BJ$69,Construction!$J$12:$BJ$12,"&lt;="&amp;Time!AO17)</f>
        <v>44.0193874619346</v>
      </c>
      <c r="AP26" s="11" t="n">
        <f aca="false">SUMIFS(Funding!$J$69:$BJ$69,Construction!$J$12:$BJ$12,"&lt;="&amp;Time!AP17)</f>
        <v>44.0193874619346</v>
      </c>
      <c r="AQ26" s="11" t="n">
        <f aca="false">SUMIFS(Funding!$J$69:$BJ$69,Construction!$J$12:$BJ$12,"&lt;="&amp;Time!AQ17)</f>
        <v>44.0193874619346</v>
      </c>
      <c r="AR26" s="11" t="n">
        <f aca="false">SUMIFS(Funding!$J$69:$BJ$69,Construction!$J$12:$BJ$12,"&lt;="&amp;Time!AR17)</f>
        <v>44.0193874619346</v>
      </c>
      <c r="AS26" s="11" t="n">
        <f aca="false">SUMIFS(Funding!$J$69:$BJ$69,Construction!$J$12:$BJ$12,"&lt;="&amp;Time!AS17)</f>
        <v>44.0193874619346</v>
      </c>
      <c r="AT26" s="11" t="n">
        <f aca="false">SUMIFS(Funding!$J$69:$BJ$69,Construction!$J$12:$BJ$12,"&lt;="&amp;Time!AT17)</f>
        <v>44.0193874619346</v>
      </c>
      <c r="AU26" s="11" t="n">
        <f aca="false">SUMIFS(Funding!$J$69:$BJ$69,Construction!$J$12:$BJ$12,"&lt;="&amp;Time!AU17)</f>
        <v>44.0193874619346</v>
      </c>
      <c r="AV26" s="11" t="n">
        <f aca="false">SUMIFS(Funding!$J$69:$BJ$69,Construction!$J$12:$BJ$12,"&lt;="&amp;Time!AV17)</f>
        <v>44.0193874619346</v>
      </c>
      <c r="AW26" s="11" t="n">
        <f aca="false">SUMIFS(Funding!$J$69:$BJ$69,Construction!$J$12:$BJ$12,"&lt;="&amp;Time!AW17)</f>
        <v>44.0193874619346</v>
      </c>
      <c r="AX26" s="11" t="n">
        <f aca="false">SUMIFS(Funding!$J$69:$BJ$69,Construction!$J$12:$BJ$12,"&lt;="&amp;Time!AX17)</f>
        <v>44.0193874619346</v>
      </c>
      <c r="AY26" s="11" t="n">
        <f aca="false">SUMIFS(Funding!$J$69:$BJ$69,Construction!$J$12:$BJ$12,"&lt;="&amp;Time!AY17)</f>
        <v>44.0193874619346</v>
      </c>
      <c r="AZ26" s="11" t="n">
        <f aca="false">SUMIFS(Funding!$J$69:$BJ$69,Construction!$J$12:$BJ$12,"&lt;="&amp;Time!AZ17)</f>
        <v>44.0193874619346</v>
      </c>
      <c r="BA26" s="11" t="n">
        <f aca="false">SUMIFS(Funding!$J$69:$BJ$69,Construction!$J$12:$BJ$12,"&lt;="&amp;Time!BA17)</f>
        <v>44.0193874619346</v>
      </c>
      <c r="BB26" s="11" t="n">
        <f aca="false">SUMIFS(Funding!$J$69:$BJ$69,Construction!$J$12:$BJ$12,"&lt;="&amp;Time!BB17)</f>
        <v>44.0193874619346</v>
      </c>
      <c r="BC26" s="11" t="n">
        <f aca="false">SUMIFS(Funding!$J$69:$BJ$69,Construction!$J$12:$BJ$12,"&lt;="&amp;Time!BC17)</f>
        <v>44.0193874619346</v>
      </c>
      <c r="BD26" s="11" t="n">
        <f aca="false">SUMIFS(Funding!$J$69:$BJ$69,Construction!$J$12:$BJ$12,"&lt;="&amp;Time!BD17)</f>
        <v>44.0193874619346</v>
      </c>
      <c r="BE26" s="11" t="n">
        <f aca="false">SUMIFS(Funding!$J$69:$BJ$69,Construction!$J$12:$BJ$12,"&lt;="&amp;Time!BE17)</f>
        <v>44.0193874619346</v>
      </c>
      <c r="BF26" s="11" t="n">
        <f aca="false">SUMIFS(Funding!$J$69:$BJ$69,Construction!$J$12:$BJ$12,"&lt;="&amp;Time!BF17)</f>
        <v>44.0193874619346</v>
      </c>
      <c r="BG26" s="11" t="n">
        <f aca="false">SUMIFS(Funding!$J$69:$BJ$69,Construction!$J$12:$BJ$12,"&lt;="&amp;Time!BG17)</f>
        <v>44.0193874619346</v>
      </c>
      <c r="BH26" s="11" t="n">
        <f aca="false">SUMIFS(Funding!$J$69:$BJ$69,Construction!$J$12:$BJ$12,"&lt;="&amp;Time!BH17)</f>
        <v>44.0193874619346</v>
      </c>
      <c r="BI26" s="11" t="n">
        <f aca="false">SUMIFS(Funding!$J$69:$BJ$69,Construction!$J$12:$BJ$12,"&lt;="&amp;Time!BI17)</f>
        <v>44.0193874619346</v>
      </c>
      <c r="BJ26" s="11" t="n">
        <f aca="false">SUMIFS(Funding!$J$69:$BJ$69,Construction!$J$12:$BJ$12,"&lt;="&amp;Time!BJ17)</f>
        <v>44.0193874619346</v>
      </c>
      <c r="BK26" s="11" t="n">
        <f aca="false">SUMIFS(Funding!$J$69:$BJ$69,Construction!$J$12:$BJ$12,"&lt;="&amp;Time!BK17)</f>
        <v>44.0193874619346</v>
      </c>
      <c r="BL26" s="11" t="n">
        <f aca="false">SUMIFS(Funding!$J$69:$BJ$69,Construction!$J$12:$BJ$12,"&lt;="&amp;Time!BL17)</f>
        <v>44.0193874619346</v>
      </c>
      <c r="BM26" s="11" t="n">
        <f aca="false">SUMIFS(Funding!$J$69:$BJ$69,Construction!$J$12:$BJ$12,"&lt;="&amp;Time!BM17)</f>
        <v>44.0193874619346</v>
      </c>
      <c r="BN26" s="11" t="n">
        <f aca="false">SUMIFS(Funding!$J$69:$BJ$69,Construction!$J$12:$BJ$12,"&lt;="&amp;Time!BN17)</f>
        <v>44.0193874619346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0</v>
      </c>
      <c r="P27" s="16" t="n">
        <f aca="false">Waterfall!P43</f>
        <v>4.73082057210963</v>
      </c>
      <c r="Q27" s="16" t="n">
        <f aca="false">Waterfall!Q43</f>
        <v>12.1376888475899</v>
      </c>
      <c r="R27" s="16" t="n">
        <f aca="false">Waterfall!R43</f>
        <v>21.2737361306474</v>
      </c>
      <c r="S27" s="16" t="n">
        <f aca="false">Waterfall!S43</f>
        <v>31.6856727835981</v>
      </c>
      <c r="T27" s="16" t="n">
        <f aca="false">Waterfall!T43</f>
        <v>42.584433655405</v>
      </c>
      <c r="U27" s="16" t="n">
        <f aca="false">Waterfall!U43</f>
        <v>54.592180700253</v>
      </c>
      <c r="V27" s="16" t="n">
        <f aca="false">Waterfall!V43</f>
        <v>67.3252639001801</v>
      </c>
      <c r="W27" s="16" t="n">
        <f aca="false">Waterfall!W43</f>
        <v>78.9435107909066</v>
      </c>
      <c r="X27" s="16" t="n">
        <f aca="false">Waterfall!X43</f>
        <v>93.7823242739462</v>
      </c>
      <c r="Y27" s="16" t="n">
        <f aca="false">Waterfall!Y43</f>
        <v>109.446334898352</v>
      </c>
      <c r="Z27" s="16" t="n">
        <f aca="false">Waterfall!Z43</f>
        <v>124.396500687715</v>
      </c>
      <c r="AA27" s="16" t="n">
        <f aca="false">Waterfall!AA43</f>
        <v>133.150558189533</v>
      </c>
      <c r="AB27" s="16" t="n">
        <f aca="false">Waterfall!AB43</f>
        <v>142.469247379601</v>
      </c>
      <c r="AC27" s="16" t="n">
        <f aca="false">Waterfall!AC43</f>
        <v>152.72213447461</v>
      </c>
      <c r="AD27" s="16" t="n">
        <f aca="false">Waterfall!AD43</f>
        <v>163.750943003845</v>
      </c>
      <c r="AE27" s="16" t="n">
        <f aca="false">Waterfall!AE43</f>
        <v>166.871655854586</v>
      </c>
      <c r="AF27" s="16" t="n">
        <f aca="false">Waterfall!AF43</f>
        <v>179.68022552548</v>
      </c>
      <c r="AG27" s="16" t="n">
        <f aca="false">Waterfall!AG43</f>
        <v>193.587625161796</v>
      </c>
      <c r="AH27" s="16" t="n">
        <f aca="false">Waterfall!AH43</f>
        <v>208.455312333636</v>
      </c>
      <c r="AI27" s="16" t="n">
        <f aca="false">Waterfall!AI43</f>
        <v>224.643297848846</v>
      </c>
      <c r="AJ27" s="16" t="n">
        <f aca="false">Waterfall!AJ43</f>
        <v>241.920879974643</v>
      </c>
      <c r="AK27" s="16" t="n">
        <f aca="false">Waterfall!AK43</f>
        <v>260.514640478261</v>
      </c>
      <c r="AL27" s="16" t="n">
        <f aca="false">Waterfall!AL43</f>
        <v>280.389876473945</v>
      </c>
      <c r="AM27" s="16" t="n">
        <f aca="false">Waterfall!AM43</f>
        <v>299.689555464912</v>
      </c>
      <c r="AN27" s="16" t="n">
        <f aca="false">Waterfall!AN43</f>
        <v>322.742326307236</v>
      </c>
      <c r="AO27" s="16" t="n">
        <f aca="false">Waterfall!AO43</f>
        <v>346.806296656715</v>
      </c>
      <c r="AP27" s="16" t="n">
        <f aca="false">Waterfall!AP43</f>
        <v>332.020017981116</v>
      </c>
      <c r="AQ27" s="16" t="n">
        <f aca="false">Waterfall!AQ43</f>
        <v>317.754063356655</v>
      </c>
      <c r="AR27" s="16" t="n">
        <f aca="false">Waterfall!AR43</f>
        <v>302.966936998814</v>
      </c>
      <c r="AS27" s="16" t="n">
        <f aca="false">Waterfall!AS43</f>
        <v>288.617520314599</v>
      </c>
      <c r="AT27" s="16" t="n">
        <f aca="false">Waterfall!AT43</f>
        <v>273.915985984866</v>
      </c>
      <c r="AU27" s="16" t="n">
        <f aca="false">Waterfall!AU43</f>
        <v>242.603386186071</v>
      </c>
      <c r="AV27" s="16" t="n">
        <f aca="false">Waterfall!AV43</f>
        <v>225.581743774636</v>
      </c>
      <c r="AW27" s="16" t="n">
        <f aca="false">Waterfall!AW43</f>
        <v>209.605581894893</v>
      </c>
      <c r="AX27" s="16" t="n">
        <f aca="false">Waterfall!AX43</f>
        <v>193.018882748926</v>
      </c>
      <c r="AY27" s="16" t="n">
        <f aca="false">Waterfall!AY43</f>
        <v>176.968443412662</v>
      </c>
      <c r="AZ27" s="16" t="n">
        <f aca="false">Waterfall!AZ43</f>
        <v>160.380694513895</v>
      </c>
      <c r="BA27" s="16" t="n">
        <f aca="false">Waterfall!BA43</f>
        <v>144.243690354705</v>
      </c>
      <c r="BB27" s="16" t="n">
        <f aca="false">Waterfall!BB43</f>
        <v>127.997167153</v>
      </c>
      <c r="BC27" s="16" t="n">
        <f aca="false">Waterfall!BC43</f>
        <v>109.271524985166</v>
      </c>
      <c r="BD27" s="16" t="n">
        <f aca="false">Waterfall!BD43</f>
        <v>94.5522625174685</v>
      </c>
      <c r="BE27" s="16" t="n">
        <f aca="false">Waterfall!BE43</f>
        <v>87.8597682052037</v>
      </c>
      <c r="BF27" s="16" t="n">
        <f aca="false">Waterfall!BF43</f>
        <v>80.6405351153375</v>
      </c>
      <c r="BG27" s="16" t="n">
        <f aca="false">Waterfall!BG43</f>
        <v>73.9921617451769</v>
      </c>
      <c r="BH27" s="16" t="n">
        <f aca="false">Waterfall!BH43</f>
        <v>66.8065391958091</v>
      </c>
      <c r="BI27" s="16" t="n">
        <f aca="false">Waterfall!BI43</f>
        <v>60.1034555795141</v>
      </c>
      <c r="BJ27" s="16" t="n">
        <f aca="false">Waterfall!BJ43</f>
        <v>53.0455094424671</v>
      </c>
      <c r="BK27" s="16" t="n">
        <f aca="false">Waterfall!BK43</f>
        <v>26.2107757642294</v>
      </c>
      <c r="BL27" s="16" t="n">
        <f aca="false">Waterfall!BL43</f>
        <v>16.4191125323017</v>
      </c>
      <c r="BM27" s="16" t="n">
        <f aca="false">Waterfall!BM43</f>
        <v>7.11159428142769</v>
      </c>
      <c r="BN27" s="16" t="n">
        <f aca="false">Waterfall!BN43</f>
        <v>-44.0193874619044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136.50705706622</v>
      </c>
      <c r="K28" s="11" t="n">
        <f aca="false">K22+K23+K24+K25+K26+K27</f>
        <v>202.108863315795</v>
      </c>
      <c r="L28" s="11" t="n">
        <f aca="false">L22+L23+L24+L25+L26+L27</f>
        <v>330.036693187222</v>
      </c>
      <c r="M28" s="11" t="n">
        <f aca="false">M22+M23+M24+M25+M26+M27</f>
        <v>492.61330040755</v>
      </c>
      <c r="N28" s="11" t="n">
        <f aca="false">N22+N23+N24+N25+N26+N27</f>
        <v>644.256009207379</v>
      </c>
      <c r="O28" s="11" t="n">
        <f aca="false">O22+O23+O24+O25+O26+O27</f>
        <v>746.293291115756</v>
      </c>
      <c r="P28" s="11" t="n">
        <f aca="false">P22+P23+P24+P25+P26+P27</f>
        <v>908.218865582746</v>
      </c>
      <c r="Q28" s="11" t="n">
        <f aca="false">Q22+Q23+Q24+Q25+Q26+Q27</f>
        <v>870.922556365047</v>
      </c>
      <c r="R28" s="11" t="n">
        <f aca="false">R22+R23+R24+R25+R26+R27</f>
        <v>859.412981172344</v>
      </c>
      <c r="S28" s="11" t="n">
        <f aca="false">S22+S23+S24+S25+S26+S27</f>
        <v>849.979429794169</v>
      </c>
      <c r="T28" s="11" t="n">
        <f aca="false">T22+T23+T24+T25+T26+T27</f>
        <v>838.432305218696</v>
      </c>
      <c r="U28" s="11" t="n">
        <f aca="false">U22+U23+U24+U25+U26+U27</f>
        <v>829.081049528697</v>
      </c>
      <c r="V28" s="11" t="n">
        <f aca="false">V22+V23+V24+V25+V26+V27</f>
        <v>818.026724712748</v>
      </c>
      <c r="W28" s="11" t="n">
        <f aca="false">W22+W23+W24+W25+W26+W27</f>
        <v>805.158694179369</v>
      </c>
      <c r="X28" s="11" t="n">
        <f aca="false">X22+X23+X24+X25+X26+X27</f>
        <v>791.636027106095</v>
      </c>
      <c r="Y28" s="11" t="n">
        <f aca="false">Y22+Y23+Y24+Y25+Y26+Y27</f>
        <v>784.663557120012</v>
      </c>
      <c r="Z28" s="11" t="n">
        <f aca="false">Z22+Z23+Z24+Z25+Z26+Z27</f>
        <v>773.010490480574</v>
      </c>
      <c r="AA28" s="11" t="n">
        <f aca="false">AA22+AA23+AA24+AA25+AA26+AA27</f>
        <v>756.533214078592</v>
      </c>
      <c r="AB28" s="11" t="n">
        <f aca="false">AB22+AB23+AB24+AB25+AB26+AB27</f>
        <v>736.96504863917</v>
      </c>
      <c r="AC28" s="11" t="n">
        <f aca="false">AC22+AC23+AC24+AC25+AC26+AC27</f>
        <v>719.178805986295</v>
      </c>
      <c r="AD28" s="11" t="n">
        <f aca="false">AD22+AD23+AD24+AD25+AD26+AD27</f>
        <v>699.784194642339</v>
      </c>
      <c r="AE28" s="11" t="n">
        <f aca="false">AE22+AE23+AE24+AE25+AE26+AE27</f>
        <v>669.650343013142</v>
      </c>
      <c r="AF28" s="11" t="n">
        <f aca="false">AF22+AF23+AF24+AF25+AF26+AF27</f>
        <v>646.128007654804</v>
      </c>
      <c r="AG28" s="11" t="n">
        <f aca="false">AG22+AG23+AG24+AG25+AG26+AG27</f>
        <v>625.990279765266</v>
      </c>
      <c r="AH28" s="11" t="n">
        <f aca="false">AH22+AH23+AH24+AH25+AH26+AH27</f>
        <v>601.540532241093</v>
      </c>
      <c r="AI28" s="11" t="n">
        <f aca="false">AI22+AI23+AI24+AI25+AI26+AI27</f>
        <v>578.343896675608</v>
      </c>
      <c r="AJ28" s="11" t="n">
        <f aca="false">AJ22+AJ23+AJ24+AJ25+AJ26+AJ27</f>
        <v>556.488237717292</v>
      </c>
      <c r="AK28" s="11" t="n">
        <f aca="false">AK22+AK23+AK24+AK25+AK26+AK27</f>
        <v>539.124269131954</v>
      </c>
      <c r="AL28" s="11" t="n">
        <f aca="false">AL22+AL23+AL24+AL25+AL26+AL27</f>
        <v>523.383168997461</v>
      </c>
      <c r="AM28" s="11" t="n">
        <f aca="false">AM22+AM23+AM24+AM25+AM26+AM27</f>
        <v>501.3975724223</v>
      </c>
      <c r="AN28" s="11" t="n">
        <f aca="false">AN22+AN23+AN24+AN25+AN26+AN27</f>
        <v>483.508924183951</v>
      </c>
      <c r="AO28" s="11" t="n">
        <f aca="false">AO22+AO23+AO24+AO25+AO26+AO27</f>
        <v>453.398336258454</v>
      </c>
      <c r="AP28" s="11" t="n">
        <f aca="false">AP22+AP23+AP24+AP25+AP26+AP27</f>
        <v>439.095037125881</v>
      </c>
      <c r="AQ28" s="11" t="n">
        <f aca="false">AQ22+AQ23+AQ24+AQ25+AQ26+AQ27</f>
        <v>426.60377718226</v>
      </c>
      <c r="AR28" s="11" t="n">
        <f aca="false">AR22+AR23+AR24+AR25+AR26+AR27</f>
        <v>412.383416276314</v>
      </c>
      <c r="AS28" s="11" t="n">
        <f aca="false">AS22+AS23+AS24+AS25+AS26+AS27</f>
        <v>400.114262293639</v>
      </c>
      <c r="AT28" s="11" t="n">
        <f aca="false">AT22+AT23+AT24+AT25+AT26+AT27</f>
        <v>385.829808955496</v>
      </c>
      <c r="AU28" s="11" t="n">
        <f aca="false">AU22+AU23+AU24+AU25+AU26+AU27</f>
        <v>355.225894247112</v>
      </c>
      <c r="AV28" s="11" t="n">
        <f aca="false">AV22+AV23+AV24+AV25+AV26+AV27</f>
        <v>338.984685918426</v>
      </c>
      <c r="AW28" s="11" t="n">
        <f aca="false">AW22+AW23+AW24+AW25+AW26+AW27</f>
        <v>326.385090076025</v>
      </c>
      <c r="AX28" s="11" t="n">
        <f aca="false">AX22+AX23+AX24+AX25+AX26+AX27</f>
        <v>310.242502166988</v>
      </c>
      <c r="AY28" s="11" t="n">
        <f aca="false">AY22+AY23+AY24+AY25+AY26+AY27</f>
        <v>296.032056526923</v>
      </c>
      <c r="AZ28" s="11" t="n">
        <f aca="false">AZ22+AZ23+AZ24+AZ25+AZ26+AZ27</f>
        <v>279.979028488267</v>
      </c>
      <c r="BA28" s="11" t="n">
        <f aca="false">BA22+BA23+BA24+BA25+BA26+BA27</f>
        <v>266.012410345877</v>
      </c>
      <c r="BB28" s="11" t="n">
        <f aca="false">BB22+BB23+BB24+BB25+BB26+BB27</f>
        <v>250.242407308021</v>
      </c>
      <c r="BC28" s="11" t="n">
        <f aca="false">BC22+BC23+BC24+BC25+BC26+BC27</f>
        <v>232.737175914558</v>
      </c>
      <c r="BD28" s="11" t="n">
        <f aca="false">BD22+BD23+BD24+BD25+BD26+BD27</f>
        <v>217.753954675788</v>
      </c>
      <c r="BE28" s="11" t="n">
        <f aca="false">BE22+BE23+BE24+BE25+BE26+BE27</f>
        <v>208.57487932079</v>
      </c>
      <c r="BF28" s="11" t="n">
        <f aca="false">BF22+BF23+BF24+BF25+BF26+BF27</f>
        <v>196.227792447848</v>
      </c>
      <c r="BG28" s="11" t="n">
        <f aca="false">BG22+BG23+BG24+BG25+BG26+BG27</f>
        <v>185.959983657341</v>
      </c>
      <c r="BH28" s="11" t="n">
        <f aca="false">BH22+BH23+BH24+BH25+BH26+BH27</f>
        <v>173.744492410784</v>
      </c>
      <c r="BI28" s="11" t="n">
        <f aca="false">BI22+BI23+BI24+BI25+BI26+BI27</f>
        <v>163.779188255728</v>
      </c>
      <c r="BJ28" s="11" t="n">
        <f aca="false">BJ22+BJ23+BJ24+BJ25+BJ26+BJ27</f>
        <v>151.51640595584</v>
      </c>
      <c r="BK28" s="11" t="n">
        <f aca="false">BK22+BK23+BK24+BK25+BK26+BK27</f>
        <v>119.815924912094</v>
      </c>
      <c r="BL28" s="11" t="n">
        <f aca="false">BL22+BL23+BL24+BL25+BL26+BL27</f>
        <v>105.2440369194</v>
      </c>
      <c r="BM28" s="11" t="n">
        <f aca="false">BM22+BM23+BM24+BM25+BM26+BM27</f>
        <v>94.1899653536883</v>
      </c>
      <c r="BN28" s="11" t="n">
        <f aca="false">BN22+BN23+BN24+BN25+BN26+BN27</f>
        <v>3.01554337056587E-011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-0</v>
      </c>
      <c r="R29" s="11" t="n">
        <f aca="false">ROUND(R21-R28,6)</f>
        <v>-0</v>
      </c>
      <c r="S29" s="11" t="n">
        <f aca="false">ROUND(S21-S28,6)</f>
        <v>-0</v>
      </c>
      <c r="T29" s="11" t="n">
        <f aca="false">ROUND(T21-T28,6)</f>
        <v>-0</v>
      </c>
      <c r="U29" s="11" t="n">
        <f aca="false">ROUND(U21-U28,6)</f>
        <v>-0</v>
      </c>
      <c r="V29" s="11" t="n">
        <f aca="false">ROUND(V21-V28,6)</f>
        <v>-0</v>
      </c>
      <c r="W29" s="11" t="n">
        <f aca="false">ROUND(W21-W28,6)</f>
        <v>-0</v>
      </c>
      <c r="X29" s="11" t="n">
        <f aca="false">ROUND(X21-X28,6)</f>
        <v>-0</v>
      </c>
      <c r="Y29" s="11" t="n">
        <f aca="false">ROUND(Y21-Y28,6)</f>
        <v>-0</v>
      </c>
      <c r="Z29" s="11" t="n">
        <f aca="false">ROUND(Z21-Z28,6)</f>
        <v>-0</v>
      </c>
      <c r="AA29" s="11" t="n">
        <f aca="false">ROUND(AA21-AA28,6)</f>
        <v>-0</v>
      </c>
      <c r="AB29" s="11" t="n">
        <f aca="false">ROUND(AB21-AB28,6)</f>
        <v>-0</v>
      </c>
      <c r="AC29" s="11" t="n">
        <f aca="false">ROUND(AC21-AC28,6)</f>
        <v>-0</v>
      </c>
      <c r="AD29" s="11" t="n">
        <f aca="false">ROUND(AD21-AD28,6)</f>
        <v>-0</v>
      </c>
      <c r="AE29" s="11" t="n">
        <f aca="false">ROUND(AE21-AE28,6)</f>
        <v>-0</v>
      </c>
      <c r="AF29" s="11" t="n">
        <f aca="false">ROUND(AF21-AF28,6)</f>
        <v>-0</v>
      </c>
      <c r="AG29" s="11" t="n">
        <f aca="false">ROUND(AG21-AG28,6)</f>
        <v>-0</v>
      </c>
      <c r="AH29" s="11" t="n">
        <f aca="false">ROUND(AH21-AH28,6)</f>
        <v>-0</v>
      </c>
      <c r="AI29" s="11" t="n">
        <f aca="false">ROUND(AI21-AI28,6)</f>
        <v>-0</v>
      </c>
      <c r="AJ29" s="11" t="n">
        <f aca="false">ROUND(AJ21-AJ28,6)</f>
        <v>-0</v>
      </c>
      <c r="AK29" s="11" t="n">
        <f aca="false">ROUND(AK21-AK28,6)</f>
        <v>-0</v>
      </c>
      <c r="AL29" s="11" t="n">
        <f aca="false">ROUND(AL21-AL28,6)</f>
        <v>-0</v>
      </c>
      <c r="AM29" s="11" t="n">
        <f aca="false">ROUND(AM21-AM28,6)</f>
        <v>-0</v>
      </c>
      <c r="AN29" s="11" t="n">
        <f aca="false">ROUND(AN21-AN28,6)</f>
        <v>-0</v>
      </c>
      <c r="AO29" s="11" t="n">
        <f aca="false">ROUND(AO21-AO28,6)</f>
        <v>-0</v>
      </c>
      <c r="AP29" s="11" t="n">
        <f aca="false">ROUND(AP21-AP28,6)</f>
        <v>-0</v>
      </c>
      <c r="AQ29" s="11" t="n">
        <f aca="false">ROUND(AQ21-AQ28,6)</f>
        <v>-0</v>
      </c>
      <c r="AR29" s="11" t="n">
        <f aca="false">ROUND(AR21-AR28,6)</f>
        <v>-0</v>
      </c>
      <c r="AS29" s="11" t="n">
        <f aca="false">ROUND(AS21-AS28,6)</f>
        <v>-0</v>
      </c>
      <c r="AT29" s="11" t="n">
        <f aca="false">ROUND(AT21-AT28,6)</f>
        <v>-0</v>
      </c>
      <c r="AU29" s="11" t="n">
        <f aca="false">ROUND(AU21-AU28,6)</f>
        <v>-0</v>
      </c>
      <c r="AV29" s="11" t="n">
        <f aca="false">ROUND(AV21-AV28,6)</f>
        <v>-0</v>
      </c>
      <c r="AW29" s="11" t="n">
        <f aca="false">ROUND(AW21-AW28,6)</f>
        <v>-0</v>
      </c>
      <c r="AX29" s="11" t="n">
        <f aca="false">ROUND(AX21-AX28,6)</f>
        <v>-0</v>
      </c>
      <c r="AY29" s="11" t="n">
        <f aca="false">ROUND(AY21-AY28,6)</f>
        <v>-0</v>
      </c>
      <c r="AZ29" s="11" t="n">
        <f aca="false">ROUND(AZ21-AZ28,6)</f>
        <v>-0</v>
      </c>
      <c r="BA29" s="11" t="n">
        <f aca="false">ROUND(BA21-BA28,6)</f>
        <v>-0</v>
      </c>
      <c r="BB29" s="11" t="n">
        <f aca="false">ROUND(BB21-BB28,6)</f>
        <v>-0</v>
      </c>
      <c r="BC29" s="11" t="n">
        <f aca="false">ROUND(BC21-BC28,6)</f>
        <v>-0</v>
      </c>
      <c r="BD29" s="11" t="n">
        <f aca="false">ROUND(BD21-BD28,6)</f>
        <v>-0</v>
      </c>
      <c r="BE29" s="11" t="n">
        <f aca="false">ROUND(BE21-BE28,6)</f>
        <v>-0</v>
      </c>
      <c r="BF29" s="11" t="n">
        <f aca="false">ROUND(BF21-BF28,6)</f>
        <v>-0</v>
      </c>
      <c r="BG29" s="11" t="n">
        <f aca="false">ROUND(BG21-BG28,6)</f>
        <v>-0</v>
      </c>
      <c r="BH29" s="11" t="n">
        <f aca="false">ROUND(BH21-BH28,6)</f>
        <v>-0</v>
      </c>
      <c r="BI29" s="11" t="n">
        <f aca="false">ROUND(BI21-BI28,6)</f>
        <v>-0</v>
      </c>
      <c r="BJ29" s="11" t="n">
        <f aca="false">ROUND(BJ21-BJ28,6)</f>
        <v>-0</v>
      </c>
      <c r="BK29" s="11" t="n">
        <f aca="false">ROUND(BK21-BK28,6)</f>
        <v>-0</v>
      </c>
      <c r="BL29" s="11" t="n">
        <f aca="false">ROUND(BL21-BL28,6)</f>
        <v>-0</v>
      </c>
      <c r="BM29" s="11" t="n">
        <f aca="false">ROUND(BM21-BM28,6)</f>
        <v>-0</v>
      </c>
      <c r="BN29" s="11" t="n">
        <f aca="false">ROUND(BN21-BN28,6)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</v>
      </c>
      <c r="Q7" s="14" t="n">
        <f aca="false">IF(Debt!Q122&gt;0.000000001,Debt!Q119/Debt!Q122,0)</f>
        <v>0.0340245472699118</v>
      </c>
      <c r="R7" s="14" t="n">
        <f aca="false">IF(Debt!R122&gt;0.000000001,Debt!R119/Debt!R122,0)</f>
        <v>0.0343685970422999</v>
      </c>
      <c r="S7" s="14" t="n">
        <f aca="false">IF(Debt!S122&gt;0.000000001,Debt!S119/Debt!S122,0)</f>
        <v>0.0340147774622759</v>
      </c>
      <c r="T7" s="14" t="n">
        <f aca="false">IF(Debt!T122&gt;0.000000001,Debt!T119/Debt!T122,0)</f>
        <v>0.0343807058165454</v>
      </c>
      <c r="U7" s="14" t="n">
        <f aca="false">IF(Debt!U122&gt;0.000000001,Debt!U119/Debt!U122,0)</f>
        <v>0.0341368167795225</v>
      </c>
      <c r="V7" s="14" t="n">
        <f aca="false">IF(Debt!V122&gt;0.000000001,Debt!V119/Debt!V122,0)</f>
        <v>0.0343809215600407</v>
      </c>
      <c r="W7" s="14" t="n">
        <f aca="false">IF(Debt!W122&gt;0.000000001,Debt!W119/Debt!W122,0)</f>
        <v>0.0340157066047756</v>
      </c>
      <c r="X7" s="14" t="n">
        <f aca="false">IF(Debt!X122&gt;0.000000001,Debt!X119/Debt!X122,0)</f>
        <v>0.0343818987593074</v>
      </c>
      <c r="Y7" s="14" t="n">
        <f aca="false">IF(Debt!Y122&gt;0.000000001,Debt!Y119/Debt!Y122,0)</f>
        <v>0.0350747365954581</v>
      </c>
      <c r="Z7" s="14" t="n">
        <f aca="false">IF(Debt!Z122&gt;0.000000001,Debt!Z119/Debt!Z122,0)</f>
        <v>0.0354576986446525</v>
      </c>
      <c r="AA7" s="14" t="n">
        <f aca="false">IF(Debt!AA122&gt;0.000000001,Debt!AA119/Debt!AA122,0)</f>
        <v>0.0350743616553013</v>
      </c>
      <c r="AB7" s="14" t="n">
        <f aca="false">IF(Debt!AB122&gt;0.000000001,Debt!AB119/Debt!AB122,0)</f>
        <v>0.0352491190652435</v>
      </c>
      <c r="AC7" s="14" t="n">
        <f aca="false">IF(Debt!AC122&gt;0.000000001,Debt!AC119/Debt!AC122,0)</f>
        <v>0.0347354899006863</v>
      </c>
      <c r="AD7" s="14" t="n">
        <f aca="false">IF(Debt!AD122&gt;0.000000001,Debt!AD119/Debt!AD122,0)</f>
        <v>0.0346801602047326</v>
      </c>
      <c r="AE7" s="14" t="n">
        <f aca="false">IF(Debt!AE122&gt;0.000000001,Debt!AE119/Debt!AE122,0)</f>
        <v>0.0339851213239094</v>
      </c>
      <c r="AF7" s="14" t="n">
        <f aca="false">IF(Debt!AF122&gt;0.000000001,Debt!AF119/Debt!AF122,0)</f>
        <v>0.0338892374003755</v>
      </c>
      <c r="AG7" s="14" t="n">
        <f aca="false">IF(Debt!AG122&gt;0.000000001,Debt!AG119/Debt!AG122,0)</f>
        <v>0.0337452549271086</v>
      </c>
      <c r="AH7" s="14" t="n">
        <f aca="false">IF(Debt!AH122&gt;0.000000001,Debt!AH119/Debt!AH122,0)</f>
        <v>0.0332225537382387</v>
      </c>
      <c r="AI7" s="14" t="n">
        <f aca="false">IF(Debt!AI122&gt;0.000000001,Debt!AI119/Debt!AI122,0)</f>
        <v>0.0317297829306526</v>
      </c>
      <c r="AJ7" s="14" t="n">
        <f aca="false">IF(Debt!AJ122&gt;0.000000001,Debt!AJ119/Debt!AJ122,0)</f>
        <v>0.030236045688484</v>
      </c>
      <c r="AK7" s="14" t="n">
        <f aca="false">IF(Debt!AK122&gt;0.000000001,Debt!AK119/Debt!AK122,0)</f>
        <v>0.0271264920952788</v>
      </c>
      <c r="AL7" s="14" t="n">
        <f aca="false">IF(Debt!AL122&gt;0.000000001,Debt!AL119/Debt!AL122,0)</f>
        <v>0.0271393739286353</v>
      </c>
      <c r="AM7" s="14" t="n">
        <f aca="false">IF(Debt!AM122&gt;0.000000001,Debt!AM119/Debt!AM122,0)</f>
        <v>0.0270200424335122</v>
      </c>
      <c r="AN7" s="14" t="n">
        <f aca="false">IF(Debt!AN122&gt;0.000000001,Debt!AN119/Debt!AN122,0)</f>
        <v>0.0271666356936411</v>
      </c>
      <c r="AO7" s="14" t="n">
        <f aca="false">IF(Debt!AO122&gt;0.000000001,Debt!AO119/Debt!AO122,0)</f>
        <v>0.0269905939552391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0.0269905939552391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0.0269905939552391</v>
      </c>
      <c r="K10" s="14" t="n">
        <f aca="false">IF(K7&gt;0,K7,$F$9)</f>
        <v>0.0269905939552391</v>
      </c>
      <c r="L10" s="14" t="n">
        <f aca="false">IF(L7&gt;0,L7,$F$9)</f>
        <v>0.0269905939552391</v>
      </c>
      <c r="M10" s="14" t="n">
        <f aca="false">IF(M7&gt;0,M7,$F$9)</f>
        <v>0.0269905939552391</v>
      </c>
      <c r="N10" s="14" t="n">
        <f aca="false">IF(N7&gt;0,N7,$F$9)</f>
        <v>0.0269905939552391</v>
      </c>
      <c r="O10" s="14" t="n">
        <f aca="false">IF(O7&gt;0,O7,$F$9)</f>
        <v>0.0269905939552391</v>
      </c>
      <c r="P10" s="14" t="n">
        <f aca="false">IF(P7&gt;0,P7,$F$9)</f>
        <v>0.0269905939552391</v>
      </c>
      <c r="Q10" s="14" t="n">
        <f aca="false">IF(Q7&gt;0,Q7,$F$9)</f>
        <v>0.0340245472699118</v>
      </c>
      <c r="R10" s="14" t="n">
        <f aca="false">IF(R7&gt;0,R7,$F$9)</f>
        <v>0.0343685970422999</v>
      </c>
      <c r="S10" s="14" t="n">
        <f aca="false">IF(S7&gt;0,S7,$F$9)</f>
        <v>0.0340147774622759</v>
      </c>
      <c r="T10" s="14" t="n">
        <f aca="false">IF(T7&gt;0,T7,$F$9)</f>
        <v>0.0343807058165454</v>
      </c>
      <c r="U10" s="14" t="n">
        <f aca="false">IF(U7&gt;0,U7,$F$9)</f>
        <v>0.0341368167795225</v>
      </c>
      <c r="V10" s="14" t="n">
        <f aca="false">IF(V7&gt;0,V7,$F$9)</f>
        <v>0.0343809215600407</v>
      </c>
      <c r="W10" s="14" t="n">
        <f aca="false">IF(W7&gt;0,W7,$F$9)</f>
        <v>0.0340157066047756</v>
      </c>
      <c r="X10" s="14" t="n">
        <f aca="false">IF(X7&gt;0,X7,$F$9)</f>
        <v>0.0343818987593074</v>
      </c>
      <c r="Y10" s="14" t="n">
        <f aca="false">IF(Y7&gt;0,Y7,$F$9)</f>
        <v>0.0350747365954581</v>
      </c>
      <c r="Z10" s="14" t="n">
        <f aca="false">IF(Z7&gt;0,Z7,$F$9)</f>
        <v>0.0354576986446525</v>
      </c>
      <c r="AA10" s="14" t="n">
        <f aca="false">IF(AA7&gt;0,AA7,$F$9)</f>
        <v>0.0350743616553013</v>
      </c>
      <c r="AB10" s="14" t="n">
        <f aca="false">IF(AB7&gt;0,AB7,$F$9)</f>
        <v>0.0352491190652435</v>
      </c>
      <c r="AC10" s="14" t="n">
        <f aca="false">IF(AC7&gt;0,AC7,$F$9)</f>
        <v>0.0347354899006863</v>
      </c>
      <c r="AD10" s="14" t="n">
        <f aca="false">IF(AD7&gt;0,AD7,$F$9)</f>
        <v>0.0346801602047326</v>
      </c>
      <c r="AE10" s="14" t="n">
        <f aca="false">IF(AE7&gt;0,AE7,$F$9)</f>
        <v>0.0339851213239094</v>
      </c>
      <c r="AF10" s="14" t="n">
        <f aca="false">IF(AF7&gt;0,AF7,$F$9)</f>
        <v>0.0338892374003755</v>
      </c>
      <c r="AG10" s="14" t="n">
        <f aca="false">IF(AG7&gt;0,AG7,$F$9)</f>
        <v>0.0337452549271086</v>
      </c>
      <c r="AH10" s="14" t="n">
        <f aca="false">IF(AH7&gt;0,AH7,$F$9)</f>
        <v>0.0332225537382387</v>
      </c>
      <c r="AI10" s="14" t="n">
        <f aca="false">IF(AI7&gt;0,AI7,$F$9)</f>
        <v>0.0317297829306526</v>
      </c>
      <c r="AJ10" s="14" t="n">
        <f aca="false">IF(AJ7&gt;0,AJ7,$F$9)</f>
        <v>0.030236045688484</v>
      </c>
      <c r="AK10" s="14" t="n">
        <f aca="false">IF(AK7&gt;0,AK7,$F$9)</f>
        <v>0.0271264920952788</v>
      </c>
      <c r="AL10" s="14" t="n">
        <f aca="false">IF(AL7&gt;0,AL7,$F$9)</f>
        <v>0.0271393739286353</v>
      </c>
      <c r="AM10" s="14" t="n">
        <f aca="false">IF(AM7&gt;0,AM7,$F$9)</f>
        <v>0.0270200424335122</v>
      </c>
      <c r="AN10" s="14" t="n">
        <f aca="false">IF(AN7&gt;0,AN7,$F$9)</f>
        <v>0.0271666356936411</v>
      </c>
      <c r="AO10" s="14" t="n">
        <f aca="false">IF(AO7&gt;0,AO7,$F$9)</f>
        <v>0.0269905939552391</v>
      </c>
      <c r="AP10" s="14" t="n">
        <f aca="false">IF(AP7&gt;0,AP7,$F$9)</f>
        <v>0.0269905939552391</v>
      </c>
      <c r="AQ10" s="14" t="n">
        <f aca="false">IF(AQ7&gt;0,AQ7,$F$9)</f>
        <v>0.0269905939552391</v>
      </c>
      <c r="AR10" s="14" t="n">
        <f aca="false">IF(AR7&gt;0,AR7,$F$9)</f>
        <v>0.0269905939552391</v>
      </c>
      <c r="AS10" s="14" t="n">
        <f aca="false">IF(AS7&gt;0,AS7,$F$9)</f>
        <v>0.0269905939552391</v>
      </c>
      <c r="AT10" s="14" t="n">
        <f aca="false">IF(AT7&gt;0,AT7,$F$9)</f>
        <v>0.0269905939552391</v>
      </c>
      <c r="AU10" s="14" t="n">
        <f aca="false">IF(AU7&gt;0,AU7,$F$9)</f>
        <v>0.0269905939552391</v>
      </c>
      <c r="AV10" s="14" t="n">
        <f aca="false">IF(AV7&gt;0,AV7,$F$9)</f>
        <v>0.0269905939552391</v>
      </c>
      <c r="AW10" s="14" t="n">
        <f aca="false">IF(AW7&gt;0,AW7,$F$9)</f>
        <v>0.0269905939552391</v>
      </c>
      <c r="AX10" s="14" t="n">
        <f aca="false">IF(AX7&gt;0,AX7,$F$9)</f>
        <v>0.0269905939552391</v>
      </c>
      <c r="AY10" s="14" t="n">
        <f aca="false">IF(AY7&gt;0,AY7,$F$9)</f>
        <v>0.0269905939552391</v>
      </c>
      <c r="AZ10" s="14" t="n">
        <f aca="false">IF(AZ7&gt;0,AZ7,$F$9)</f>
        <v>0.0269905939552391</v>
      </c>
      <c r="BA10" s="14" t="n">
        <f aca="false">IF(BA7&gt;0,BA7,$F$9)</f>
        <v>0.0269905939552391</v>
      </c>
      <c r="BB10" s="14" t="n">
        <f aca="false">IF(BB7&gt;0,BB7,$F$9)</f>
        <v>0.0269905939552391</v>
      </c>
      <c r="BC10" s="14" t="n">
        <f aca="false">IF(BC7&gt;0,BC7,$F$9)</f>
        <v>0.0269905939552391</v>
      </c>
      <c r="BD10" s="14" t="n">
        <f aca="false">IF(BD7&gt;0,BD7,$F$9)</f>
        <v>0.0269905939552391</v>
      </c>
      <c r="BE10" s="14" t="n">
        <f aca="false">IF(BE7&gt;0,BE7,$F$9)</f>
        <v>0.0269905939552391</v>
      </c>
      <c r="BF10" s="14" t="n">
        <f aca="false">IF(BF7&gt;0,BF7,$F$9)</f>
        <v>0.0269905939552391</v>
      </c>
      <c r="BG10" s="14" t="n">
        <f aca="false">IF(BG7&gt;0,BG7,$F$9)</f>
        <v>0.0269905939552391</v>
      </c>
      <c r="BH10" s="14" t="n">
        <f aca="false">IF(BH7&gt;0,BH7,$F$9)</f>
        <v>0.0269905939552391</v>
      </c>
      <c r="BI10" s="14" t="n">
        <f aca="false">IF(BI7&gt;0,BI7,$F$9)</f>
        <v>0.0269905939552391</v>
      </c>
      <c r="BJ10" s="14" t="n">
        <f aca="false">IF(BJ7&gt;0,BJ7,$F$9)</f>
        <v>0.0269905939552391</v>
      </c>
      <c r="BK10" s="14" t="n">
        <f aca="false">IF(BK7&gt;0,BK7,$F$9)</f>
        <v>0.0269905939552391</v>
      </c>
      <c r="BL10" s="14" t="n">
        <f aca="false">IF(BL7&gt;0,BL7,$F$9)</f>
        <v>0.0269905939552391</v>
      </c>
      <c r="BM10" s="14" t="n">
        <f aca="false">IF(BM7&gt;0,BM7,$F$9)</f>
        <v>0.0269905939552391</v>
      </c>
      <c r="BN10" s="14" t="n">
        <f aca="false">IF(BN7&gt;0,BN7,$F$9)</f>
        <v>0.0269905939552391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681.784202652931</v>
      </c>
      <c r="K11" s="11" t="n">
        <f aca="false">IF(Time!K17&lt;=$F$8,(Waterfall!K7+L11)/(1+K10),0)</f>
        <v>700.185963231833</v>
      </c>
      <c r="L11" s="11" t="n">
        <f aca="false">IF(Time!L17&lt;=$F$8,(Waterfall!L7+M11)/(1+L10),0)</f>
        <v>719.084398258581</v>
      </c>
      <c r="M11" s="11" t="n">
        <f aca="false">IF(Time!M17&lt;=$F$8,(Waterfall!M7+N11)/(1+M10),0)</f>
        <v>738.492913271526</v>
      </c>
      <c r="N11" s="11" t="n">
        <f aca="false">IF(Time!N17&lt;=$F$8,(Waterfall!N7+O11)/(1+N10),0)</f>
        <v>758.425275632459</v>
      </c>
      <c r="O11" s="11" t="n">
        <f aca="false">IF(Time!O17&lt;=$F$8,(Waterfall!O7+P11)/(1+O10),0)</f>
        <v>778.895624292445</v>
      </c>
      <c r="P11" s="11" t="n">
        <f aca="false">IF(Time!P17&lt;=$F$8,(Waterfall!P7+Q11)/(1+P10),0)</f>
        <v>799.918479821235</v>
      </c>
      <c r="Q11" s="11" t="n">
        <f aca="false">IF(Time!Q17&lt;=$F$8,(Waterfall!Q7+R11)/(1+Q10),0)</f>
        <v>827.801389045916</v>
      </c>
      <c r="R11" s="11" t="n">
        <f aca="false">IF(Time!R17&lt;=$F$8,(Waterfall!R7+S11)/(1+R10),0)</f>
        <v>807.114472199237</v>
      </c>
      <c r="S11" s="11" t="n">
        <f aca="false">IF(Time!S17&lt;=$F$8,(Waterfall!S7+T11)/(1+S10),0)</f>
        <v>784.971198566752</v>
      </c>
      <c r="T11" s="11" t="n">
        <f aca="false">IF(Time!T17&lt;=$F$8,(Waterfall!T7+U11)/(1+T10),0)</f>
        <v>762.049961018598</v>
      </c>
      <c r="U11" s="11" t="n">
        <f aca="false">IF(Time!U17&lt;=$F$8,(Waterfall!U7+V11)/(1+U10),0)</f>
        <v>738.048869692751</v>
      </c>
      <c r="V11" s="11" t="n">
        <f aca="false">IF(Time!V17&lt;=$F$8,(Waterfall!V7+W11)/(1+V10),0)</f>
        <v>713.383150418963</v>
      </c>
      <c r="W11" s="11" t="n">
        <f aca="false">IF(Time!W17&lt;=$F$8,(Waterfall!W7+X11)/(1+W10),0)</f>
        <v>687.585049087634</v>
      </c>
      <c r="X11" s="11" t="n">
        <f aca="false">IF(Time!X17&lt;=$F$8,(Waterfall!X7+Y11)/(1+X10),0)</f>
        <v>660.374391761359</v>
      </c>
      <c r="Y11" s="11" t="n">
        <f aca="false">IF(Time!Y17&lt;=$F$8,(Waterfall!Y7+Z11)/(1+Y10),0)</f>
        <v>631.911012167213</v>
      </c>
      <c r="Z11" s="11" t="n">
        <f aca="false">IF(Time!Z17&lt;=$F$8,(Waterfall!Z7+AA11)/(1+Z10),0)</f>
        <v>605.456412049079</v>
      </c>
      <c r="AA11" s="11" t="n">
        <f aca="false">IF(Time!AA17&lt;=$F$8,(Waterfall!AA7+AB11)/(1+AA10),0)</f>
        <v>577.752920784767</v>
      </c>
      <c r="AB11" s="11" t="n">
        <f aca="false">IF(Time!AB17&lt;=$F$8,(Waterfall!AB7+AC11)/(1+AB10),0)</f>
        <v>549.480900401078</v>
      </c>
      <c r="AC11" s="11" t="n">
        <f aca="false">IF(Time!AC17&lt;=$F$8,(Waterfall!AC7+AD11)/(1+AC10),0)</f>
        <v>519.71464524912</v>
      </c>
      <c r="AD11" s="11" t="n">
        <f aca="false">IF(Time!AD17&lt;=$F$8,(Waterfall!AD7+AE11)/(1+AD10),0)</f>
        <v>488.981823949096</v>
      </c>
      <c r="AE11" s="11" t="n">
        <f aca="false">IF(Time!AE17&lt;=$F$8,(Waterfall!AE7+AF11)/(1+AE10),0)</f>
        <v>456.650709176655</v>
      </c>
      <c r="AF11" s="11" t="n">
        <f aca="false">IF(Time!AF17&lt;=$F$8,(Waterfall!AF7+AG11)/(1+AF10),0)</f>
        <v>421.617911257172</v>
      </c>
      <c r="AG11" s="11" t="n">
        <f aca="false">IF(Time!AG17&lt;=$F$8,(Waterfall!AG7+AH11)/(1+AG10),0)</f>
        <v>384.542790559955</v>
      </c>
      <c r="AH11" s="11" t="n">
        <f aca="false">IF(Time!AH17&lt;=$F$8,(Waterfall!AH7+AI11)/(1+AH10),0)</f>
        <v>346.923990647178</v>
      </c>
      <c r="AI11" s="11" t="n">
        <f aca="false">IF(Time!AI17&lt;=$F$8,(Waterfall!AI7+AJ11)/(1+AI10),0)</f>
        <v>307.143254153629</v>
      </c>
      <c r="AJ11" s="11" t="n">
        <f aca="false">IF(Time!AJ17&lt;=$F$8,(Waterfall!AJ7+AK11)/(1+AJ10),0)</f>
        <v>265.922074873108</v>
      </c>
      <c r="AK11" s="11" t="n">
        <f aca="false">IF(Time!AK17&lt;=$F$8,(Waterfall!AK7+AL11)/(1+AK10),0)</f>
        <v>222.374123714625</v>
      </c>
      <c r="AL11" s="11" t="n">
        <f aca="false">IF(Time!AL17&lt;=$F$8,(Waterfall!AL7+AM11)/(1+AL10),0)</f>
        <v>177.175444418511</v>
      </c>
      <c r="AM11" s="11" t="n">
        <f aca="false">IF(Time!AM17&lt;=$F$8,(Waterfall!AM7+AN11)/(1+AM10),0)</f>
        <v>130.245998750065</v>
      </c>
      <c r="AN11" s="11" t="n">
        <f aca="false">IF(Time!AN17&lt;=$F$8,(Waterfall!AN7+AO11)/(1+AN10),0)</f>
        <v>81.6448650648682</v>
      </c>
      <c r="AO11" s="11" t="n">
        <f aca="false">IF(Time!AO17&lt;=$F$8,(Waterfall!AO7+AP11)/(1+AO10),0)</f>
        <v>39.671565683059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957.485367974827</v>
      </c>
      <c r="K12" s="11" t="n">
        <f aca="false">IF(Time!K17&lt;=Time!$F$14,(Waterfall!K7+L12)/(1+K10),0)</f>
        <v>983.328466759918</v>
      </c>
      <c r="L12" s="11" t="n">
        <f aca="false">IF(Time!L17&lt;=Time!$F$14,(Waterfall!L7+M12)/(1+L10),0)</f>
        <v>1009.86908613086</v>
      </c>
      <c r="M12" s="11" t="n">
        <f aca="false">IF(Time!M17&lt;=Time!$F$14,(Waterfall!M7+N12)/(1+M10),0)</f>
        <v>1037.12605258257</v>
      </c>
      <c r="N12" s="11" t="n">
        <f aca="false">IF(Time!N17&lt;=Time!$F$14,(Waterfall!N7+O12)/(1+N10),0)</f>
        <v>1065.11870074823</v>
      </c>
      <c r="O12" s="11" t="n">
        <f aca="false">IF(Time!O17&lt;=Time!$F$14,(Waterfall!O7+P12)/(1+O10),0)</f>
        <v>1093.86688711425</v>
      </c>
      <c r="P12" s="11" t="n">
        <f aca="false">IF(Time!P17&lt;=Time!$F$14,(Waterfall!P7+Q12)/(1+P10),0)</f>
        <v>1123.39100410543</v>
      </c>
      <c r="Q12" s="11" t="n">
        <f aca="false">IF(Time!Q17&lt;=Time!$F$14,(Waterfall!Q7+R12)/(1+Q10),0)</f>
        <v>1160.00462888875</v>
      </c>
      <c r="R12" s="11" t="n">
        <f aca="false">IF(Time!R17&lt;=Time!$F$14,(Waterfall!R7+S12)/(1+R10),0)</f>
        <v>1150.62077687932</v>
      </c>
      <c r="S12" s="11" t="n">
        <f aca="false">IF(Time!S17&lt;=Time!$F$14,(Waterfall!S7+T12)/(1+S10),0)</f>
        <v>1140.28333301387</v>
      </c>
      <c r="T12" s="11" t="n">
        <f aca="false">IF(Time!T17&lt;=Time!$F$14,(Waterfall!T7+U12)/(1+T10),0)</f>
        <v>1129.44795864858</v>
      </c>
      <c r="U12" s="11" t="n">
        <f aca="false">IF(Time!U17&lt;=Time!$F$14,(Waterfall!U7+V12)/(1+U10),0)</f>
        <v>1118.07826979684</v>
      </c>
      <c r="V12" s="11" t="n">
        <f aca="false">IF(Time!V17&lt;=Time!$F$14,(Waterfall!V7+W12)/(1+V10),0)</f>
        <v>1106.38554452524</v>
      </c>
      <c r="W12" s="11" t="n">
        <f aca="false">IF(Time!W17&lt;=Time!$F$14,(Waterfall!W7+X12)/(1+W10),0)</f>
        <v>1094.09922767858</v>
      </c>
      <c r="X12" s="11" t="n">
        <f aca="false">IF(Time!X17&lt;=Time!$F$14,(Waterfall!X7+Y12)/(1+X10),0)</f>
        <v>1080.71643738194</v>
      </c>
      <c r="Y12" s="11" t="n">
        <f aca="false">IF(Time!Y17&lt;=Time!$F$14,(Waterfall!Y7+Z12)/(1+Y10),0)</f>
        <v>1066.7052154446</v>
      </c>
      <c r="Z12" s="11" t="n">
        <f aca="false">IF(Time!Z17&lt;=Time!$F$14,(Waterfall!Z7+AA12)/(1+Z10),0)</f>
        <v>1055.50090747965</v>
      </c>
      <c r="AA12" s="11" t="n">
        <f aca="false">IF(Time!AA17&lt;=Time!$F$14,(Waterfall!AA7+AB12)/(1+AA10),0)</f>
        <v>1043.754958311</v>
      </c>
      <c r="AB12" s="11" t="n">
        <f aca="false">IF(Time!AB17&lt;=Time!$F$14,(Waterfall!AB7+AC12)/(1+AB10),0)</f>
        <v>1031.82766192362</v>
      </c>
      <c r="AC12" s="11" t="n">
        <f aca="false">IF(Time!AC17&lt;=Time!$F$14,(Waterfall!AC7+AD12)/(1+AC10),0)</f>
        <v>1019.0637051993</v>
      </c>
      <c r="AD12" s="11" t="n">
        <f aca="false">IF(Time!AD17&lt;=Time!$F$14,(Waterfall!AD7+AE12)/(1+AD10),0)</f>
        <v>1005.67601812809</v>
      </c>
      <c r="AE12" s="11" t="n">
        <f aca="false">IF(Time!AE17&lt;=Time!$F$14,(Waterfall!AE7+AF12)/(1+AE10),0)</f>
        <v>991.263940786636</v>
      </c>
      <c r="AF12" s="11" t="n">
        <f aca="false">IF(Time!AF17&lt;=Time!$F$14,(Waterfall!AF7+AG12)/(1+AF10),0)</f>
        <v>974.400038404786</v>
      </c>
      <c r="AG12" s="11" t="n">
        <f aca="false">IF(Time!AG17&lt;=Time!$F$14,(Waterfall!AG7+AH12)/(1+AG10),0)</f>
        <v>956.058282445159</v>
      </c>
      <c r="AH12" s="11" t="n">
        <f aca="false">IF(Time!AH17&lt;=Time!$F$14,(Waterfall!AH7+AI12)/(1+AH10),0)</f>
        <v>937.725418500839</v>
      </c>
      <c r="AI12" s="11" t="n">
        <f aca="false">IF(Time!AI17&lt;=Time!$F$14,(Waterfall!AI7+AJ12)/(1+AI10),0)</f>
        <v>917.572614192787</v>
      </c>
      <c r="AJ12" s="11" t="n">
        <f aca="false">IF(Time!AJ17&lt;=Time!$F$14,(Waterfall!AJ7+AK12)/(1+AJ10),0)</f>
        <v>895.720226000806</v>
      </c>
      <c r="AK12" s="11" t="n">
        <f aca="false">IF(Time!AK17&lt;=Time!$F$14,(Waterfall!AK7+AL12)/(1+AK10),0)</f>
        <v>871.214880514343</v>
      </c>
      <c r="AL12" s="11" t="n">
        <f aca="false">IF(Time!AL17&lt;=Time!$F$14,(Waterfall!AL7+AM12)/(1+AL10),0)</f>
        <v>843.616974878651</v>
      </c>
      <c r="AM12" s="11" t="n">
        <f aca="false">IF(Time!AM17&lt;=Time!$F$14,(Waterfall!AM7+AN12)/(1+AM10),0)</f>
        <v>814.774335106935</v>
      </c>
      <c r="AN12" s="11" t="n">
        <f aca="false">IF(Time!AN17&lt;=Time!$F$14,(Waterfall!AN7+AO12)/(1+AN10),0)</f>
        <v>784.669186117042</v>
      </c>
      <c r="AO12" s="11" t="n">
        <f aca="false">IF(Time!AO17&lt;=Time!$F$14,(Waterfall!AO7+AP12)/(1+AO10),0)</f>
        <v>761.794692349027</v>
      </c>
      <c r="AP12" s="11" t="n">
        <f aca="false">IF(Time!AP17&lt;=Time!$F$14,(Waterfall!AP7+AQ12)/(1+AP10),0)</f>
        <v>741.613658763496</v>
      </c>
      <c r="AQ12" s="11" t="n">
        <f aca="false">IF(Time!AQ17&lt;=Time!$F$14,(Waterfall!AQ7+AR12)/(1+AQ10),0)</f>
        <v>720.966414387824</v>
      </c>
      <c r="AR12" s="11" t="n">
        <f aca="false">IF(Time!AR17&lt;=Time!$F$14,(Waterfall!AR7+AS12)/(1+AR10),0)</f>
        <v>700.154959300923</v>
      </c>
      <c r="AS12" s="11" t="n">
        <f aca="false">IF(Time!AS17&lt;=Time!$F$14,(Waterfall!AS7+AT12)/(1+AS10),0)</f>
        <v>678.171419036767</v>
      </c>
      <c r="AT12" s="11" t="n">
        <f aca="false">IF(Time!AT17&lt;=Time!$F$14,(Waterfall!AT7+AU12)/(1+AT10),0)</f>
        <v>655.980408860665</v>
      </c>
      <c r="AU12" s="11" t="n">
        <f aca="false">IF(Time!AU17&lt;=Time!$F$14,(Waterfall!AU7+AV12)/(1+AU10),0)</f>
        <v>632.694850266808</v>
      </c>
      <c r="AV12" s="11" t="n">
        <f aca="false">IF(Time!AV17&lt;=Time!$F$14,(Waterfall!AV7+AW12)/(1+AV10),0)</f>
        <v>602.649843180554</v>
      </c>
      <c r="AW12" s="11" t="n">
        <f aca="false">IF(Time!AW17&lt;=Time!$F$14,(Waterfall!AW7+AX12)/(1+AW10),0)</f>
        <v>575.464451351769</v>
      </c>
      <c r="AX12" s="11" t="n">
        <f aca="false">IF(Time!AX17&lt;=Time!$F$14,(Waterfall!AX7+AY12)/(1+AX10),0)</f>
        <v>548.489407403263</v>
      </c>
      <c r="AY12" s="11" t="n">
        <f aca="false">IF(Time!AY17&lt;=Time!$F$14,(Waterfall!AY7+AZ12)/(1+AY10),0)</f>
        <v>520.064669607589</v>
      </c>
      <c r="AZ12" s="11" t="n">
        <f aca="false">IF(Time!AZ17&lt;=Time!$F$14,(Waterfall!AZ7+BA12)/(1+AZ10),0)</f>
        <v>491.270753424551</v>
      </c>
      <c r="BA12" s="11" t="n">
        <f aca="false">IF(Time!BA17&lt;=Time!$F$14,(Waterfall!BA7+BB12)/(1+BA10),0)</f>
        <v>461.065414757081</v>
      </c>
      <c r="BB12" s="11" t="n">
        <f aca="false">IF(Time!BB17&lt;=Time!$F$14,(Waterfall!BB7+BC12)/(1+BB10),0)</f>
        <v>430.441060405085</v>
      </c>
      <c r="BC12" s="11" t="n">
        <f aca="false">IF(Time!BC17&lt;=Time!$F$14,(Waterfall!BC7+BD12)/(1+BC10),0)</f>
        <v>398.489043704755</v>
      </c>
      <c r="BD12" s="11" t="n">
        <f aca="false">IF(Time!BD17&lt;=Time!$F$14,(Waterfall!BD7+BE12)/(1+BD10),0)</f>
        <v>364.187251056369</v>
      </c>
      <c r="BE12" s="11" t="n">
        <f aca="false">IF(Time!BE17&lt;=Time!$F$14,(Waterfall!BE7+BF12)/(1+BE10),0)</f>
        <v>330.337337557857</v>
      </c>
      <c r="BF12" s="11" t="n">
        <f aca="false">IF(Time!BF17&lt;=Time!$F$14,(Waterfall!BF7+BG12)/(1+BF10),0)</f>
        <v>303.643323086517</v>
      </c>
      <c r="BG12" s="11" t="n">
        <f aca="false">IF(Time!BG17&lt;=Time!$F$14,(Waterfall!BG7+BH12)/(1+BG10),0)</f>
        <v>275.563822226828</v>
      </c>
      <c r="BH12" s="11" t="n">
        <f aca="false">IF(Time!BH17&lt;=Time!$F$14,(Waterfall!BH7+BI12)/(1+BH10),0)</f>
        <v>247.129763009205</v>
      </c>
      <c r="BI12" s="11" t="n">
        <f aca="false">IF(Time!BI17&lt;=Time!$F$14,(Waterfall!BI7+BJ12)/(1+BI10),0)</f>
        <v>217.268094341351</v>
      </c>
      <c r="BJ12" s="11" t="n">
        <f aca="false">IF(Time!BJ17&lt;=Time!$F$14,(Waterfall!BJ7+BK12)/(1+BJ10),0)</f>
        <v>187.007974580381</v>
      </c>
      <c r="BK12" s="11" t="n">
        <f aca="false">IF(Time!BK17&lt;=Time!$F$14,(Waterfall!BK7+BL12)/(1+BK10),0)</f>
        <v>155.386273961269</v>
      </c>
      <c r="BL12" s="11" t="n">
        <f aca="false">IF(Time!BL17&lt;=Time!$F$14,(Waterfall!BL7+BM12)/(1+BL10),0)</f>
        <v>115.506350367434</v>
      </c>
      <c r="BM12" s="11" t="n">
        <f aca="false">IF(Time!BM17&lt;=Time!$F$14,(Waterfall!BM7+BN12)/(1+BM10),0)</f>
        <v>78.9872061712447</v>
      </c>
      <c r="BN12" s="11" t="n">
        <f aca="false">IF(Time!BN17&lt;=Time!$F$14,(Waterfall!BN7+0)/(1+BN10),0)</f>
        <v>41.8659469761386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0</v>
      </c>
      <c r="Q13" s="6" t="n">
        <f aca="false">IF(Debt!Q122&gt;0.000000001,(Q11+Reserves!Q9)/Debt!Q122,0)</f>
        <v>1.37703611865896</v>
      </c>
      <c r="R13" s="6" t="n">
        <f aca="false">IF(Debt!R122&gt;0.000000001,(R11+Reserves!R9)/Debt!R122,0)</f>
        <v>1.42155087604957</v>
      </c>
      <c r="S13" s="6" t="n">
        <f aca="false">IF(Debt!S122&gt;0.000000001,(S11+Reserves!S9)/Debt!S122,0)</f>
        <v>1.4237374059619</v>
      </c>
      <c r="T13" s="6" t="n">
        <f aca="false">IF(Debt!T122&gt;0.000000001,(T11+Reserves!T9)/Debt!T122,0)</f>
        <v>1.42725405920891</v>
      </c>
      <c r="U13" s="6" t="n">
        <f aca="false">IF(Debt!U122&gt;0.000000001,(U11+Reserves!U9)/Debt!U122,0)</f>
        <v>1.42988126440814</v>
      </c>
      <c r="V13" s="6" t="n">
        <f aca="false">IF(Debt!V122&gt;0.000000001,(V11+Reserves!V9)/Debt!V122,0)</f>
        <v>1.43392223383511</v>
      </c>
      <c r="W13" s="6" t="n">
        <f aca="false">IF(Debt!W122&gt;0.000000001,(W11+Reserves!W9)/Debt!W122,0)</f>
        <v>1.43815884249135</v>
      </c>
      <c r="X13" s="6" t="n">
        <f aca="false">IF(Debt!X122&gt;0.000000001,(X11+Reserves!X9)/Debt!X122,0)</f>
        <v>1.44340262458133</v>
      </c>
      <c r="Y13" s="6" t="n">
        <f aca="false">IF(Debt!Y122&gt;0.000000001,(Y11+Reserves!Y9)/Debt!Y122,0)</f>
        <v>1.44434111994022</v>
      </c>
      <c r="Z13" s="6" t="n">
        <f aca="false">IF(Debt!Z122&gt;0.000000001,(Z11+Reserves!Z9)/Debt!Z122,0)</f>
        <v>1.4502781629881</v>
      </c>
      <c r="AA13" s="6" t="n">
        <f aca="false">IF(Debt!AA122&gt;0.000000001,(AA11+Reserves!AA9)/Debt!AA122,0)</f>
        <v>1.45496347681935</v>
      </c>
      <c r="AB13" s="6" t="n">
        <f aca="false">IF(Debt!AB122&gt;0.000000001,(AB11+Reserves!AB9)/Debt!AB122,0)</f>
        <v>1.48494452920474</v>
      </c>
      <c r="AC13" s="6" t="n">
        <f aca="false">IF(Debt!AC122&gt;0.000000001,(AC11+Reserves!AC9)/Debt!AC122,0)</f>
        <v>1.51895644535531</v>
      </c>
      <c r="AD13" s="6" t="n">
        <f aca="false">IF(Debt!AD122&gt;0.000000001,(AD11+Reserves!AD9)/Debt!AD122,0)</f>
        <v>1.55870292271171</v>
      </c>
      <c r="AE13" s="6" t="n">
        <f aca="false">IF(Debt!AE122&gt;0.000000001,(AE11+Reserves!AE9)/Debt!AE122,0)</f>
        <v>1.60664995951245</v>
      </c>
      <c r="AF13" s="6" t="n">
        <f aca="false">IF(Debt!AF122&gt;0.000000001,(AF11+Reserves!AF9)/Debt!AF122,0)</f>
        <v>1.66632460705447</v>
      </c>
      <c r="AG13" s="6" t="n">
        <f aca="false">IF(Debt!AG122&gt;0.000000001,(AG11+Reserves!AG9)/Debt!AG122,0)</f>
        <v>1.74168270244004</v>
      </c>
      <c r="AH13" s="6" t="n">
        <f aca="false">IF(Debt!AH122&gt;0.000000001,(AH11+Reserves!AH9)/Debt!AH122,0)</f>
        <v>1.83812270636591</v>
      </c>
      <c r="AI13" s="6" t="n">
        <f aca="false">IF(Debt!AI122&gt;0.000000001,(AI11+Reserves!AI9)/Debt!AI122,0)</f>
        <v>1.97107817308087</v>
      </c>
      <c r="AJ13" s="6" t="n">
        <f aca="false">IF(Debt!AJ122&gt;0.000000001,(AJ11+Reserves!AJ9)/Debt!AJ122,0)</f>
        <v>2.16409839712419</v>
      </c>
      <c r="AK13" s="6" t="n">
        <f aca="false">IF(Debt!AK122&gt;0.000000001,(AK11+Reserves!AK9)/Debt!AK122,0)</f>
        <v>2.48389051402953</v>
      </c>
      <c r="AL13" s="6" t="n">
        <f aca="false">IF(Debt!AL122&gt;0.000000001,(AL11+Reserves!AL9)/Debt!AL122,0)</f>
        <v>2.50971551613932</v>
      </c>
      <c r="AM13" s="6" t="n">
        <f aca="false">IF(Debt!AM122&gt;0.000000001,(AM11+Reserves!AM9)/Debt!AM122,0)</f>
        <v>2.60821294921707</v>
      </c>
      <c r="AN13" s="6" t="n">
        <f aca="false">IF(Debt!AN122&gt;0.000000001,(AN11+Reserves!AN9)/Debt!AN122,0)</f>
        <v>2.74136648374499</v>
      </c>
      <c r="AO13" s="6" t="n">
        <f aca="false">IF(Debt!AO122&gt;0.000000001,(AO11+Reserves!AO9)/Debt!AO122,0)</f>
        <v>3.2194944550641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0</v>
      </c>
      <c r="Q14" s="6" t="n">
        <f aca="false">IF(Debt!Q122&gt;0.000000001,Q11/Debt!Q122,0)</f>
        <v>1.31752999192268</v>
      </c>
      <c r="R14" s="6" t="n">
        <f aca="false">IF(Debt!R122&gt;0.000000001,R11/Debt!R122,0)</f>
        <v>1.35922953730151</v>
      </c>
      <c r="S14" s="6" t="n">
        <f aca="false">IF(Debt!S122&gt;0.000000001,S11/Debt!S122,0)</f>
        <v>1.35995335136318</v>
      </c>
      <c r="T14" s="6" t="n">
        <f aca="false">IF(Debt!T122&gt;0.000000001,T11/Debt!T122,0)</f>
        <v>1.3607511556837</v>
      </c>
      <c r="U14" s="6" t="n">
        <f aca="false">IF(Debt!U122&gt;0.000000001,U11/Debt!U122,0)</f>
        <v>1.36163233579124</v>
      </c>
      <c r="V14" s="6" t="n">
        <f aca="false">IF(Debt!V122&gt;0.000000001,V11/Debt!V122,0)</f>
        <v>1.36260777954731</v>
      </c>
      <c r="W14" s="6" t="n">
        <f aca="false">IF(Debt!W122&gt;0.000000001,W11/Debt!W122,0)</f>
        <v>1.363697925845</v>
      </c>
      <c r="X14" s="6" t="n">
        <f aca="false">IF(Debt!X122&gt;0.000000001,X11/Debt!X122,0)</f>
        <v>1.36493572584487</v>
      </c>
      <c r="Y14" s="6" t="n">
        <f aca="false">IF(Debt!Y122&gt;0.000000001,Y11/Debt!Y122,0)</f>
        <v>1.3663395032184</v>
      </c>
      <c r="Z14" s="6" t="n">
        <f aca="false">IF(Debt!Z122&gt;0.000000001,Z11/Debt!Z122,0)</f>
        <v>1.36785626828414</v>
      </c>
      <c r="AA14" s="6" t="n">
        <f aca="false">IF(Debt!AA122&gt;0.000000001,AA11/Debt!AA122,0)</f>
        <v>1.3695898067098</v>
      </c>
      <c r="AB14" s="6" t="n">
        <f aca="false">IF(Debt!AB122&gt;0.000000001,AB11/Debt!AB122,0)</f>
        <v>1.39255235790094</v>
      </c>
      <c r="AC14" s="6" t="n">
        <f aca="false">IF(Debt!AC122&gt;0.000000001,AC11/Debt!AC122,0)</f>
        <v>1.42163673303999</v>
      </c>
      <c r="AD14" s="6" t="n">
        <f aca="false">IF(Debt!AD122&gt;0.000000001,AD11/Debt!AD122,0)</f>
        <v>1.45411108642377</v>
      </c>
      <c r="AE14" s="6" t="n">
        <f aca="false">IF(Debt!AE122&gt;0.000000001,AE11/Debt!AE122,0)</f>
        <v>1.4915210550967</v>
      </c>
      <c r="AF14" s="6" t="n">
        <f aca="false">IF(Debt!AF122&gt;0.000000001,AF11/Debt!AF122,0)</f>
        <v>1.53900506473485</v>
      </c>
      <c r="AG14" s="6" t="n">
        <f aca="false">IF(Debt!AG122&gt;0.000000001,AG11/Debt!AG122,0)</f>
        <v>1.60317516959861</v>
      </c>
      <c r="AH14" s="6" t="n">
        <f aca="false">IF(Debt!AH122&gt;0.000000001,AH11/Debt!AH122,0)</f>
        <v>1.68168022172405</v>
      </c>
      <c r="AI14" s="6" t="n">
        <f aca="false">IF(Debt!AI122&gt;0.000000001,AI11/Debt!AI122,0)</f>
        <v>1.79295837820159</v>
      </c>
      <c r="AJ14" s="6" t="n">
        <f aca="false">IF(Debt!AJ122&gt;0.000000001,AJ11/Debt!AJ122,0)</f>
        <v>1.95215466117578</v>
      </c>
      <c r="AK14" s="6" t="n">
        <f aca="false">IF(Debt!AK122&gt;0.000000001,AK11/Debt!AK122,0)</f>
        <v>2.22169163349292</v>
      </c>
      <c r="AL14" s="6" t="n">
        <f aca="false">IF(Debt!AL122&gt;0.000000001,AL11/Debt!AL122,0)</f>
        <v>2.21983877498581</v>
      </c>
      <c r="AM14" s="6" t="n">
        <f aca="false">IF(Debt!AM122&gt;0.000000001,AM11/Debt!AM122,0)</f>
        <v>2.21034255840041</v>
      </c>
      <c r="AN14" s="6" t="n">
        <f aca="false">IF(Debt!AN122&gt;0.000000001,AN11/Debt!AN122,0)</f>
        <v>2.20226770714506</v>
      </c>
      <c r="AO14" s="6" t="n">
        <f aca="false">IF(Debt!AO122&gt;0.000000001,AO11/Debt!AO122,0)</f>
        <v>2.19250386110886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0</v>
      </c>
      <c r="Q15" s="6" t="n">
        <f aca="false">IF(Debt!Q122&gt;0.000000001,Q12/Debt!Q122,0)</f>
        <v>1.84626519060514</v>
      </c>
      <c r="R15" s="6" t="n">
        <f aca="false">IF(Debt!R122&gt;0.000000001,R12/Debt!R122,0)</f>
        <v>1.93771490914503</v>
      </c>
      <c r="S15" s="6" t="n">
        <f aca="false">IF(Debt!S122&gt;0.000000001,S12/Debt!S122,0)</f>
        <v>1.97552743727058</v>
      </c>
      <c r="T15" s="6" t="n">
        <f aca="false">IF(Debt!T122&gt;0.000000001,T12/Debt!T122,0)</f>
        <v>2.01679377158074</v>
      </c>
      <c r="U15" s="6" t="n">
        <f aca="false">IF(Debt!U122&gt;0.000000001,U12/Debt!U122,0)</f>
        <v>2.06275165319971</v>
      </c>
      <c r="V15" s="6" t="n">
        <f aca="false">IF(Debt!V122&gt;0.000000001,V12/Debt!V122,0)</f>
        <v>2.1132676728675</v>
      </c>
      <c r="W15" s="6" t="n">
        <f aca="false">IF(Debt!W122&gt;0.000000001,W12/Debt!W122,0)</f>
        <v>2.169943702868</v>
      </c>
      <c r="X15" s="6" t="n">
        <f aca="false">IF(Debt!X122&gt;0.000000001,X12/Debt!X122,0)</f>
        <v>2.23374572559662</v>
      </c>
      <c r="Y15" s="6" t="n">
        <f aca="false">IF(Debt!Y122&gt;0.000000001,Y12/Debt!Y122,0)</f>
        <v>2.3064663316318</v>
      </c>
      <c r="Z15" s="6" t="n">
        <f aca="false">IF(Debt!Z122&gt;0.000000001,Z12/Debt!Z122,0)</f>
        <v>2.38460358787746</v>
      </c>
      <c r="AA15" s="6" t="n">
        <f aca="false">IF(Debt!AA122&gt;0.000000001,AA12/Debt!AA122,0)</f>
        <v>2.47426901739214</v>
      </c>
      <c r="AB15" s="6" t="n">
        <f aca="false">IF(Debt!AB122&gt;0.000000001,AB12/Debt!AB122,0)</f>
        <v>2.61496631185969</v>
      </c>
      <c r="AC15" s="6" t="n">
        <f aca="false">IF(Debt!AC122&gt;0.000000001,AC12/Debt!AC122,0)</f>
        <v>2.78756507991942</v>
      </c>
      <c r="AD15" s="6" t="n">
        <f aca="false">IF(Debt!AD122&gt;0.000000001,AD12/Debt!AD122,0)</f>
        <v>2.99063191245082</v>
      </c>
      <c r="AE15" s="6" t="n">
        <f aca="false">IF(Debt!AE122&gt;0.000000001,AE12/Debt!AE122,0)</f>
        <v>3.23768475364274</v>
      </c>
      <c r="AF15" s="6" t="n">
        <f aca="false">IF(Debt!AF122&gt;0.000000001,AF12/Debt!AF122,0)</f>
        <v>3.55679053034368</v>
      </c>
      <c r="AG15" s="6" t="n">
        <f aca="false">IF(Debt!AG122&gt;0.000000001,AG12/Debt!AG122,0)</f>
        <v>3.98584744463229</v>
      </c>
      <c r="AH15" s="6" t="n">
        <f aca="false">IF(Debt!AH122&gt;0.000000001,AH12/Debt!AH122,0)</f>
        <v>4.54553254376845</v>
      </c>
      <c r="AI15" s="6" t="n">
        <f aca="false">IF(Debt!AI122&gt;0.000000001,AI12/Debt!AI122,0)</f>
        <v>5.35635891062871</v>
      </c>
      <c r="AJ15" s="6" t="n">
        <f aca="false">IF(Debt!AJ122&gt;0.000000001,AJ12/Debt!AJ122,0)</f>
        <v>6.57555193615003</v>
      </c>
      <c r="AK15" s="6" t="n">
        <f aca="false">IF(Debt!AK122&gt;0.000000001,AK12/Debt!AK122,0)</f>
        <v>8.70411889063668</v>
      </c>
      <c r="AL15" s="6" t="n">
        <f aca="false">IF(Debt!AL122&gt;0.000000001,AL12/Debt!AL122,0)</f>
        <v>10.5697134172178</v>
      </c>
      <c r="AM15" s="6" t="n">
        <f aca="false">IF(Debt!AM122&gt;0.000000001,AM12/Debt!AM122,0)</f>
        <v>13.8271455988075</v>
      </c>
      <c r="AN15" s="6" t="n">
        <f aca="false">IF(Debt!AN122&gt;0.000000001,AN12/Debt!AN122,0)</f>
        <v>21.1654659237221</v>
      </c>
      <c r="AO15" s="6" t="n">
        <f aca="false">IF(Debt!AO122&gt;0.000000001,AO12/Debt!AO122,0)</f>
        <v>42.101635657418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1.37703611865896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1.84626519060514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1193.34282961698</v>
      </c>
      <c r="J8" s="11" t="n">
        <f aca="false">-Inputs!$F$66</f>
        <v>-14.2</v>
      </c>
      <c r="K8" s="11" t="n">
        <f aca="false">-Funding!J68</f>
        <v>-17.3225815486021</v>
      </c>
      <c r="L8" s="11" t="n">
        <f aca="false">-Funding!K68</f>
        <v>-0.641945672808953</v>
      </c>
      <c r="M8" s="11" t="n">
        <f aca="false">-Funding!L68</f>
        <v>-0.767819083298538</v>
      </c>
      <c r="N8" s="11" t="n">
        <f aca="false">-Funding!M68</f>
        <v>-0.978248432738945</v>
      </c>
      <c r="O8" s="11" t="n">
        <f aca="false">-Funding!N68</f>
        <v>-1.28546590435322</v>
      </c>
      <c r="P8" s="11" t="n">
        <f aca="false">-Funding!O68</f>
        <v>-1.64904886393594</v>
      </c>
      <c r="Q8" s="11" t="n">
        <f aca="false">-Funding!P68</f>
        <v>-2.04093558637251</v>
      </c>
      <c r="R8" s="11" t="n">
        <f aca="false">-Funding!Q68</f>
        <v>-2.51477250136539</v>
      </c>
      <c r="S8" s="11" t="n">
        <f aca="false">-Funding!R68</f>
        <v>-2.98083036692653</v>
      </c>
      <c r="T8" s="11" t="n">
        <f aca="false">-Funding!S68</f>
        <v>-3.47317013984845</v>
      </c>
      <c r="U8" s="11" t="n">
        <f aca="false">-Funding!T68</f>
        <v>-3.94362220027208</v>
      </c>
      <c r="V8" s="11" t="n">
        <f aca="false">-Funding!U68</f>
        <v>-4.41022372499097</v>
      </c>
      <c r="W8" s="11" t="n">
        <f aca="false">-Funding!V68</f>
        <v>-4.86086276529582</v>
      </c>
      <c r="X8" s="11" t="n">
        <f aca="false">-Funding!W68</f>
        <v>-5.27335290421629</v>
      </c>
      <c r="Y8" s="11" t="n">
        <f aca="false">-Funding!X68</f>
        <v>-5.66635704207818</v>
      </c>
      <c r="Z8" s="11" t="n">
        <f aca="false">-Funding!Y68</f>
        <v>-5.99771465031308</v>
      </c>
      <c r="AA8" s="11" t="n">
        <f aca="false">-Funding!Z68</f>
        <v>-6.29862150561439</v>
      </c>
      <c r="AB8" s="11" t="n">
        <f aca="false">-Funding!AA68</f>
        <v>-6.8195548334039</v>
      </c>
      <c r="AC8" s="11" t="n">
        <f aca="false">-Funding!AB68</f>
        <v>-6.67537349935268</v>
      </c>
      <c r="AD8" s="11" t="n">
        <f aca="false">-Funding!AC68</f>
        <v>-6.8153145155739</v>
      </c>
      <c r="AE8" s="11" t="n">
        <f aca="false">-Funding!AD68</f>
        <v>-6.95188512089636</v>
      </c>
      <c r="AF8" s="11" t="n">
        <f aca="false">-Funding!AE68</f>
        <v>-6.95830574855093</v>
      </c>
      <c r="AG8" s="11" t="n">
        <f aca="false">-Funding!AF68</f>
        <v>-6.87844638337842</v>
      </c>
      <c r="AH8" s="11" t="n">
        <f aca="false">-Funding!AG68</f>
        <v>-6.74180670433587</v>
      </c>
      <c r="AI8" s="11" t="n">
        <f aca="false">-Funding!AH68</f>
        <v>-6.55271907879505</v>
      </c>
      <c r="AJ8" s="11" t="n">
        <f aca="false">-Funding!AI68</f>
        <v>-6.29420717777552</v>
      </c>
      <c r="AK8" s="11" t="n">
        <f aca="false">-Funding!AJ68</f>
        <v>-6.42712419642703</v>
      </c>
      <c r="AL8" s="11" t="n">
        <f aca="false">-Funding!AK68</f>
        <v>-6.07061652433444</v>
      </c>
      <c r="AM8" s="11" t="n">
        <f aca="false">-Funding!AL68</f>
        <v>-5.7020616592786</v>
      </c>
      <c r="AN8" s="11" t="n">
        <f aca="false">-Funding!AM68</f>
        <v>-5.41551213891379</v>
      </c>
      <c r="AO8" s="11" t="n">
        <f aca="false">-Funding!AN68</f>
        <v>-4.93299937317128</v>
      </c>
      <c r="AP8" s="11" t="n">
        <f aca="false">-Funding!AO68</f>
        <v>-4.52517645623816</v>
      </c>
      <c r="AQ8" s="11" t="n">
        <f aca="false">-Funding!AP68</f>
        <v>-3.54560651753069</v>
      </c>
      <c r="AR8" s="11" t="n">
        <f aca="false">-Funding!AQ68</f>
        <v>-3.46390827767993</v>
      </c>
      <c r="AS8" s="11" t="n">
        <f aca="false">-Funding!AR68</f>
        <v>-2.65410546999336</v>
      </c>
      <c r="AT8" s="11" t="n">
        <f aca="false">-Funding!AS68</f>
        <v>-2.07715615888552</v>
      </c>
      <c r="AU8" s="11" t="n">
        <f aca="false">-Funding!AT68</f>
        <v>-1.46035856942759</v>
      </c>
      <c r="AV8" s="11" t="n">
        <f aca="false">-Funding!AU68</f>
        <v>-1.85692146909169</v>
      </c>
      <c r="AW8" s="11" t="n">
        <f aca="false">-Funding!AV68</f>
        <v>-1.1453572314015</v>
      </c>
      <c r="AX8" s="11" t="n">
        <f aca="false">-Funding!AW68</f>
        <v>-15.7937640915513</v>
      </c>
      <c r="AY8" s="11" t="n">
        <f aca="false">-Funding!AX68</f>
        <v>-10.033083220654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0</v>
      </c>
      <c r="BS8" s="16" t="n">
        <f aca="false">Waterfall!Q44</f>
        <v>21.0483431910189</v>
      </c>
      <c r="BT8" s="16" t="n">
        <f aca="false">Waterfall!R44</f>
        <v>13.0662221469281</v>
      </c>
      <c r="BU8" s="16" t="n">
        <f aca="false">Waterfall!S44</f>
        <v>12.3787995759206</v>
      </c>
      <c r="BV8" s="16" t="n">
        <f aca="false">Waterfall!T44</f>
        <v>13.2077749338884</v>
      </c>
      <c r="BW8" s="16" t="n">
        <f aca="false">Waterfall!U44</f>
        <v>12.5242071225335</v>
      </c>
      <c r="BX8" s="16" t="n">
        <f aca="false">Waterfall!V44</f>
        <v>12.7812101799018</v>
      </c>
      <c r="BY8" s="16" t="n">
        <f aca="false">Waterfall!W44</f>
        <v>12.6360002052902</v>
      </c>
      <c r="BZ8" s="16" t="n">
        <f aca="false">Waterfall!X44</f>
        <v>15.0937566502724</v>
      </c>
      <c r="CA8" s="16" t="n">
        <f aca="false">Waterfall!Y44</f>
        <v>12.1361770860339</v>
      </c>
      <c r="CB8" s="16" t="n">
        <f aca="false">Waterfall!Z44</f>
        <v>13.1572318208336</v>
      </c>
      <c r="CC8" s="16" t="n">
        <f aca="false">Waterfall!AA44</f>
        <v>6.0398643387419</v>
      </c>
      <c r="CD8" s="16" t="n">
        <f aca="false">Waterfall!AB44</f>
        <v>7.0945557254659</v>
      </c>
      <c r="CE8" s="16" t="n">
        <f aca="false">Waterfall!AC44</f>
        <v>7.19348638728025</v>
      </c>
      <c r="CF8" s="16" t="n">
        <f aca="false">Waterfall!AD44</f>
        <v>7.43929992284295</v>
      </c>
      <c r="CG8" s="16" t="n">
        <f aca="false">Waterfall!AE44</f>
        <v>8.30607754139817</v>
      </c>
      <c r="CH8" s="16" t="n">
        <f aca="false">Waterfall!AF44</f>
        <v>9.6446341575002</v>
      </c>
      <c r="CI8" s="16" t="n">
        <f aca="false">Waterfall!AG44</f>
        <v>9.88325891238581</v>
      </c>
      <c r="CJ8" s="16" t="n">
        <f aca="false">Waterfall!AH44</f>
        <v>11.2225971206449</v>
      </c>
      <c r="CK8" s="16" t="n">
        <f aca="false">Waterfall!AI44</f>
        <v>12.087711349931</v>
      </c>
      <c r="CL8" s="16" t="n">
        <f aca="false">Waterfall!AJ44</f>
        <v>13.9689634557995</v>
      </c>
      <c r="CM8" s="16" t="n">
        <f aca="false">Waterfall!AK44</f>
        <v>31.3457523058006</v>
      </c>
      <c r="CN8" s="16" t="n">
        <f aca="false">Waterfall!AL44</f>
        <v>28.3745003528723</v>
      </c>
      <c r="CO8" s="16" t="n">
        <f aca="false">Waterfall!AM44</f>
        <v>32.1343295759644</v>
      </c>
      <c r="CP8" s="16" t="n">
        <f aca="false">Waterfall!AN44</f>
        <v>25.6087601321135</v>
      </c>
      <c r="CQ8" s="16" t="n">
        <f aca="false">Waterfall!AO44</f>
        <v>40.742324803979</v>
      </c>
      <c r="CR8" s="16" t="n">
        <f aca="false">Waterfall!AP44</f>
        <v>40.6638375110176</v>
      </c>
      <c r="CS8" s="16" t="n">
        <f aca="false">Waterfall!AQ44</f>
        <v>40.2707668330066</v>
      </c>
      <c r="CT8" s="16" t="n">
        <f aca="false">Waterfall!AR44</f>
        <v>40.881138476395</v>
      </c>
      <c r="CU8" s="16" t="n">
        <f aca="false">Waterfall!AS44</f>
        <v>40.4952595793712</v>
      </c>
      <c r="CV8" s="16" t="n">
        <f aca="false">Waterfall!AT44</f>
        <v>40.9908594520066</v>
      </c>
      <c r="CW8" s="16" t="n">
        <f aca="false">Waterfall!AU44</f>
        <v>47.1218168873766</v>
      </c>
      <c r="CX8" s="16" t="n">
        <f aca="false">Waterfall!AV44</f>
        <v>43.4512690432593</v>
      </c>
      <c r="CY8" s="16" t="n">
        <f aca="false">Waterfall!AW44</f>
        <v>42.5071712906167</v>
      </c>
      <c r="CZ8" s="16" t="n">
        <f aca="false">Waterfall!AX44</f>
        <v>43.2287926796445</v>
      </c>
      <c r="DA8" s="16" t="n">
        <f aca="false">Waterfall!AY44</f>
        <v>42.8307705108825</v>
      </c>
      <c r="DB8" s="16" t="n">
        <f aca="false">Waterfall!AZ44</f>
        <v>43.4650280952357</v>
      </c>
      <c r="DC8" s="16" t="n">
        <f aca="false">Waterfall!BA44</f>
        <v>43.0687837485088</v>
      </c>
      <c r="DD8" s="16" t="n">
        <f aca="false">Waterfall!BB44</f>
        <v>43.3168187828175</v>
      </c>
      <c r="DE8" s="16" t="n">
        <f aca="false">Waterfall!BC44</f>
        <v>43.5222908675911</v>
      </c>
      <c r="DF8" s="16" t="n">
        <f aca="false">Waterfall!BD44</f>
        <v>42.1277932823643</v>
      </c>
      <c r="DG8" s="16" t="n">
        <f aca="false">Waterfall!BE44</f>
        <v>34.0412885919664</v>
      </c>
      <c r="DH8" s="16" t="n">
        <f aca="false">Waterfall!BF44</f>
        <v>34.689125557724</v>
      </c>
      <c r="DI8" s="16" t="n">
        <f aca="false">Waterfall!BG44</f>
        <v>34.268451636284</v>
      </c>
      <c r="DJ8" s="16" t="n">
        <f aca="false">Waterfall!BH44</f>
        <v>34.9110692561402</v>
      </c>
      <c r="DK8" s="16" t="n">
        <f aca="false">Waterfall!BI44</f>
        <v>34.4858046050008</v>
      </c>
      <c r="DL8" s="16" t="n">
        <f aca="false">Waterfall!BJ44</f>
        <v>35.0127213010671</v>
      </c>
      <c r="DM8" s="16" t="n">
        <f aca="false">Waterfall!BK44</f>
        <v>42.3993341292418</v>
      </c>
      <c r="DN8" s="16" t="n">
        <f aca="false">Waterfall!BL44</f>
        <v>37.9438519880931</v>
      </c>
      <c r="DO8" s="16" t="n">
        <f aca="false">Waterfall!BM44</f>
        <v>37.5417732528245</v>
      </c>
      <c r="DP8" s="16" t="n">
        <f aca="false">Waterfall!BN44</f>
        <v>61.0881105728736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1553.33176443907</v>
      </c>
      <c r="J9" s="11" t="n">
        <f aca="false">0</f>
        <v>0</v>
      </c>
      <c r="K9" s="11" t="n">
        <f aca="false">-Construction!J30</f>
        <v>-108.029654898971</v>
      </c>
      <c r="L9" s="11" t="n">
        <f aca="false">-Construction!K30</f>
        <v>-1.39719409599695</v>
      </c>
      <c r="M9" s="11" t="n">
        <f aca="false">-Construction!L30</f>
        <v>-1.83459583652307</v>
      </c>
      <c r="N9" s="11" t="n">
        <f aca="false">-Construction!M30</f>
        <v>-2.64316093389249</v>
      </c>
      <c r="O9" s="11" t="n">
        <f aca="false">-Construction!N30</f>
        <v>-3.75722202497141</v>
      </c>
      <c r="P9" s="11" t="n">
        <f aca="false">-Construction!O30</f>
        <v>-5.09998149905398</v>
      </c>
      <c r="Q9" s="11" t="n">
        <f aca="false">-Construction!P30</f>
        <v>-6.63636172877945</v>
      </c>
      <c r="R9" s="11" t="n">
        <f aca="false">-Construction!Q30</f>
        <v>-8.30243269985161</v>
      </c>
      <c r="S9" s="11" t="n">
        <f aca="false">-Construction!R30</f>
        <v>-10.048138336663</v>
      </c>
      <c r="T9" s="11" t="n">
        <f aca="false">-Construction!S30</f>
        <v>-11.826266658811</v>
      </c>
      <c r="U9" s="11" t="n">
        <f aca="false">-Construction!T30</f>
        <v>-13.5941562382211</v>
      </c>
      <c r="V9" s="11" t="n">
        <f aca="false">-Construction!U30</f>
        <v>-15.2686916102576</v>
      </c>
      <c r="W9" s="11" t="n">
        <f aca="false">-Construction!V30</f>
        <v>-16.8967106683911</v>
      </c>
      <c r="X9" s="11" t="n">
        <f aca="false">-Construction!W30</f>
        <v>-18.4073490420824</v>
      </c>
      <c r="Y9" s="11" t="n">
        <f aca="false">-Construction!X30</f>
        <v>-19.7733880218955</v>
      </c>
      <c r="Z9" s="11" t="n">
        <f aca="false">-Construction!Y30</f>
        <v>-20.969877124181</v>
      </c>
      <c r="AA9" s="11" t="n">
        <f aca="false">-Construction!Z30</f>
        <v>-21.9775364297551</v>
      </c>
      <c r="AB9" s="11" t="n">
        <f aca="false">-Construction!AA30</f>
        <v>-23.8447403755194</v>
      </c>
      <c r="AC9" s="11" t="n">
        <f aca="false">-Construction!AB30</f>
        <v>-23.2808998162438</v>
      </c>
      <c r="AD9" s="11" t="n">
        <f aca="false">-Construction!AC30</f>
        <v>-23.6323507158834</v>
      </c>
      <c r="AE9" s="11" t="n">
        <f aca="false">-Construction!AD30</f>
        <v>-24.0906826040283</v>
      </c>
      <c r="AF9" s="11" t="n">
        <f aca="false">-Construction!AE30</f>
        <v>-23.9748507158834</v>
      </c>
      <c r="AG9" s="11" t="n">
        <f aca="false">-Construction!AF30</f>
        <v>-23.6233998162438</v>
      </c>
      <c r="AH9" s="11" t="n">
        <f aca="false">-Construction!AG30</f>
        <v>-22.9759722416557</v>
      </c>
      <c r="AI9" s="11" t="n">
        <f aca="false">-Construction!AH30</f>
        <v>-22.1806943796896</v>
      </c>
      <c r="AJ9" s="11" t="n">
        <f aca="false">-Construction!AI30</f>
        <v>-21.179838316861</v>
      </c>
      <c r="AK9" s="11" t="n">
        <f aca="false">-Construction!AJ30</f>
        <v>-21.5580940141589</v>
      </c>
      <c r="AL9" s="11" t="n">
        <f aca="false">-Construction!AK30</f>
        <v>-20.2012778884673</v>
      </c>
      <c r="AM9" s="11" t="n">
        <f aca="false">-Construction!AL30</f>
        <v>-18.7008386361458</v>
      </c>
      <c r="AN9" s="11" t="n">
        <f aca="false">-Construction!AM30</f>
        <v>-17.5752147653275</v>
      </c>
      <c r="AO9" s="11" t="n">
        <f aca="false">-Construction!AN30</f>
        <v>-15.8808554631514</v>
      </c>
      <c r="AP9" s="11" t="n">
        <f aca="false">-Construction!AO30</f>
        <v>-14.1371241018391</v>
      </c>
      <c r="AQ9" s="11" t="n">
        <f aca="false">-Construction!AP30</f>
        <v>-10.4741272435822</v>
      </c>
      <c r="AR9" s="11" t="n">
        <f aca="false">-Construction!AQ30</f>
        <v>-10.0151838240624</v>
      </c>
      <c r="AS9" s="11" t="n">
        <f aca="false">-Construction!AR30</f>
        <v>-6.95187971940217</v>
      </c>
      <c r="AT9" s="11" t="n">
        <f aca="false">-Construction!AS30</f>
        <v>-5.8819829958099</v>
      </c>
      <c r="AU9" s="11" t="n">
        <f aca="false">-Construction!AT30</f>
        <v>-3.55179558618063</v>
      </c>
      <c r="AV9" s="11" t="n">
        <f aca="false">-Construction!AU30</f>
        <v>-5.10000104003562</v>
      </c>
      <c r="AW9" s="11" t="n">
        <f aca="false">-Construction!AV30</f>
        <v>-2.35259659239783</v>
      </c>
      <c r="AX9" s="11" t="n">
        <f aca="false">-Construction!AW30</f>
        <v>-57.5145116813414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0</v>
      </c>
      <c r="BR9" s="16" t="n">
        <f aca="false">Waterfall!P7</f>
        <v>-6.29263433853431</v>
      </c>
      <c r="BS9" s="16" t="n">
        <f aca="false">Waterfall!Q7</f>
        <v>48.8524843383707</v>
      </c>
      <c r="BT9" s="16" t="n">
        <f aca="false">Waterfall!R7</f>
        <v>49.8826656945088</v>
      </c>
      <c r="BU9" s="16" t="n">
        <f aca="false">Waterfall!S7</f>
        <v>49.6218581816983</v>
      </c>
      <c r="BV9" s="16" t="n">
        <f aca="false">Waterfall!T7</f>
        <v>50.2009068531375</v>
      </c>
      <c r="BW9" s="16" t="n">
        <f aca="false">Waterfall!U7</f>
        <v>49.8603583128226</v>
      </c>
      <c r="BX9" s="16" t="n">
        <f aca="false">Waterfall!V7</f>
        <v>50.3248714681387</v>
      </c>
      <c r="BY9" s="16" t="n">
        <f aca="false">Waterfall!W7</f>
        <v>50.5993486218694</v>
      </c>
      <c r="BZ9" s="16" t="n">
        <f aca="false">Waterfall!X7</f>
        <v>51.1683050749246</v>
      </c>
      <c r="CA9" s="16" t="n">
        <f aca="false">Waterfall!Y7</f>
        <v>48.6187124216684</v>
      </c>
      <c r="CB9" s="16" t="n">
        <f aca="false">Waterfall!Z7</f>
        <v>49.1715822652207</v>
      </c>
      <c r="CC9" s="16" t="n">
        <f aca="false">Waterfall!AA7</f>
        <v>48.5363352747012</v>
      </c>
      <c r="CD9" s="16" t="n">
        <f aca="false">Waterfall!AB7</f>
        <v>49.1349728342719</v>
      </c>
      <c r="CE9" s="16" t="n">
        <f aca="false">Waterfall!AC7</f>
        <v>48.7853641113142</v>
      </c>
      <c r="CF9" s="16" t="n">
        <f aca="false">Waterfall!AD7</f>
        <v>49.2890827641981</v>
      </c>
      <c r="CG9" s="16" t="n">
        <f aca="false">Waterfall!AE7</f>
        <v>50.5521276735003</v>
      </c>
      <c r="CH9" s="16" t="n">
        <f aca="false">Waterfall!AF7</f>
        <v>51.3634301840619</v>
      </c>
      <c r="CI9" s="16" t="n">
        <f aca="false">Waterfall!AG7</f>
        <v>50.5952944106049</v>
      </c>
      <c r="CJ9" s="16" t="n">
        <f aca="false">Waterfall!AH7</f>
        <v>51.306437415909</v>
      </c>
      <c r="CK9" s="16" t="n">
        <f aca="false">Waterfall!AI7</f>
        <v>50.9667680634296</v>
      </c>
      <c r="CL9" s="16" t="n">
        <f aca="false">Waterfall!AJ7</f>
        <v>51.5883831639225</v>
      </c>
      <c r="CM9" s="16" t="n">
        <f aca="false">Waterfall!AK7</f>
        <v>51.2309092052535</v>
      </c>
      <c r="CN9" s="16" t="n">
        <f aca="false">Waterfall!AL7</f>
        <v>51.737876305492</v>
      </c>
      <c r="CO9" s="16" t="n">
        <f aca="false">Waterfall!AM7</f>
        <v>52.1203860982191</v>
      </c>
      <c r="CP9" s="16" t="n">
        <f aca="false">Waterfall!AN7</f>
        <v>44.191315687283</v>
      </c>
      <c r="CQ9" s="16" t="n">
        <f aca="false">Waterfall!AO7</f>
        <v>40.742324803979</v>
      </c>
      <c r="CR9" s="16" t="n">
        <f aca="false">Waterfall!AP7</f>
        <v>40.6638375110176</v>
      </c>
      <c r="CS9" s="16" t="n">
        <f aca="false">Waterfall!AQ7</f>
        <v>40.2707668330066</v>
      </c>
      <c r="CT9" s="16" t="n">
        <f aca="false">Waterfall!AR7</f>
        <v>40.881138476395</v>
      </c>
      <c r="CU9" s="16" t="n">
        <f aca="false">Waterfall!AS7</f>
        <v>40.4952595793712</v>
      </c>
      <c r="CV9" s="16" t="n">
        <f aca="false">Waterfall!AT7</f>
        <v>40.9908594520066</v>
      </c>
      <c r="CW9" s="16" t="n">
        <f aca="false">Waterfall!AU7</f>
        <v>47.1218168873766</v>
      </c>
      <c r="CX9" s="16" t="n">
        <f aca="false">Waterfall!AV7</f>
        <v>43.4512690432593</v>
      </c>
      <c r="CY9" s="16" t="n">
        <f aca="false">Waterfall!AW7</f>
        <v>42.5071712906167</v>
      </c>
      <c r="CZ9" s="16" t="n">
        <f aca="false">Waterfall!AX7</f>
        <v>43.2287926796445</v>
      </c>
      <c r="DA9" s="16" t="n">
        <f aca="false">Waterfall!AY7</f>
        <v>42.8307705108825</v>
      </c>
      <c r="DB9" s="16" t="n">
        <f aca="false">Waterfall!AZ7</f>
        <v>43.4650280952357</v>
      </c>
      <c r="DC9" s="16" t="n">
        <f aca="false">Waterfall!BA7</f>
        <v>43.0687837485088</v>
      </c>
      <c r="DD9" s="16" t="n">
        <f aca="false">Waterfall!BB7</f>
        <v>43.5698765833858</v>
      </c>
      <c r="DE9" s="16" t="n">
        <f aca="false">Waterfall!BC7</f>
        <v>45.057248622633</v>
      </c>
      <c r="DF9" s="16" t="n">
        <f aca="false">Waterfall!BD7</f>
        <v>43.6795437154488</v>
      </c>
      <c r="DG9" s="16" t="n">
        <f aca="false">Waterfall!BE7</f>
        <v>35.6100154176191</v>
      </c>
      <c r="DH9" s="16" t="n">
        <f aca="false">Waterfall!BF7</f>
        <v>36.2750145003363</v>
      </c>
      <c r="DI9" s="16" t="n">
        <f aca="false">Waterfall!BG7</f>
        <v>35.8716904521011</v>
      </c>
      <c r="DJ9" s="16" t="n">
        <f aca="false">Waterfall!BH7</f>
        <v>36.53184775549</v>
      </c>
      <c r="DK9" s="16" t="n">
        <f aca="false">Waterfall!BI7</f>
        <v>36.1243146747659</v>
      </c>
      <c r="DL9" s="16" t="n">
        <f aca="false">Waterfall!BJ7</f>
        <v>36.6691569274026</v>
      </c>
      <c r="DM9" s="16" t="n">
        <f aca="false">Waterfall!BK7</f>
        <v>44.0738914205418</v>
      </c>
      <c r="DN9" s="16" t="n">
        <f aca="false">Waterfall!BL7</f>
        <v>39.636729198208</v>
      </c>
      <c r="DO9" s="16" t="n">
        <f aca="false">Waterfall!BM7</f>
        <v>39.253170804533</v>
      </c>
      <c r="DP9" s="16" t="n">
        <f aca="false">Waterfall!BN7</f>
        <v>42.9959337515231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1879.37667734073</v>
      </c>
      <c r="J10" s="11" t="n">
        <f aca="false">0</f>
        <v>0</v>
      </c>
      <c r="K10" s="11" t="n">
        <f aca="false">-Construction!J30</f>
        <v>-108.029654898971</v>
      </c>
      <c r="L10" s="11" t="n">
        <f aca="false">-Construction!K30</f>
        <v>-1.39719409599695</v>
      </c>
      <c r="M10" s="11" t="n">
        <f aca="false">-Construction!L30</f>
        <v>-1.83459583652307</v>
      </c>
      <c r="N10" s="11" t="n">
        <f aca="false">-Construction!M30</f>
        <v>-2.64316093389249</v>
      </c>
      <c r="O10" s="11" t="n">
        <f aca="false">-Construction!N30</f>
        <v>-3.75722202497141</v>
      </c>
      <c r="P10" s="11" t="n">
        <f aca="false">-Construction!O30</f>
        <v>-5.09998149905398</v>
      </c>
      <c r="Q10" s="11" t="n">
        <f aca="false">-Construction!P30</f>
        <v>-6.63636172877945</v>
      </c>
      <c r="R10" s="11" t="n">
        <f aca="false">-Construction!Q30</f>
        <v>-8.30243269985161</v>
      </c>
      <c r="S10" s="11" t="n">
        <f aca="false">-Construction!R30</f>
        <v>-10.048138336663</v>
      </c>
      <c r="T10" s="11" t="n">
        <f aca="false">-Construction!S30</f>
        <v>-11.826266658811</v>
      </c>
      <c r="U10" s="11" t="n">
        <f aca="false">-Construction!T30</f>
        <v>-13.5941562382211</v>
      </c>
      <c r="V10" s="11" t="n">
        <f aca="false">-Construction!U30</f>
        <v>-15.2686916102576</v>
      </c>
      <c r="W10" s="11" t="n">
        <f aca="false">-Construction!V30</f>
        <v>-16.8967106683911</v>
      </c>
      <c r="X10" s="11" t="n">
        <f aca="false">-Construction!W30</f>
        <v>-18.4073490420824</v>
      </c>
      <c r="Y10" s="11" t="n">
        <f aca="false">-Construction!X30</f>
        <v>-19.7733880218955</v>
      </c>
      <c r="Z10" s="11" t="n">
        <f aca="false">-Construction!Y30</f>
        <v>-20.969877124181</v>
      </c>
      <c r="AA10" s="11" t="n">
        <f aca="false">-Construction!Z30</f>
        <v>-21.9775364297551</v>
      </c>
      <c r="AB10" s="11" t="n">
        <f aca="false">-Construction!AA30</f>
        <v>-23.8447403755194</v>
      </c>
      <c r="AC10" s="11" t="n">
        <f aca="false">-Construction!AB30</f>
        <v>-23.2808998162438</v>
      </c>
      <c r="AD10" s="11" t="n">
        <f aca="false">-Construction!AC30</f>
        <v>-23.6323507158834</v>
      </c>
      <c r="AE10" s="11" t="n">
        <f aca="false">-Construction!AD30</f>
        <v>-24.0906826040283</v>
      </c>
      <c r="AF10" s="11" t="n">
        <f aca="false">-Construction!AE30</f>
        <v>-23.9748507158834</v>
      </c>
      <c r="AG10" s="11" t="n">
        <f aca="false">-Construction!AF30</f>
        <v>-23.6233998162438</v>
      </c>
      <c r="AH10" s="11" t="n">
        <f aca="false">-Construction!AG30</f>
        <v>-22.9759722416557</v>
      </c>
      <c r="AI10" s="11" t="n">
        <f aca="false">-Construction!AH30</f>
        <v>-22.1806943796896</v>
      </c>
      <c r="AJ10" s="11" t="n">
        <f aca="false">-Construction!AI30</f>
        <v>-21.179838316861</v>
      </c>
      <c r="AK10" s="11" t="n">
        <f aca="false">-Construction!AJ30</f>
        <v>-21.5580940141589</v>
      </c>
      <c r="AL10" s="11" t="n">
        <f aca="false">-Construction!AK30</f>
        <v>-20.2012778884673</v>
      </c>
      <c r="AM10" s="11" t="n">
        <f aca="false">-Construction!AL30</f>
        <v>-18.7008386361458</v>
      </c>
      <c r="AN10" s="11" t="n">
        <f aca="false">-Construction!AM30</f>
        <v>-17.5752147653275</v>
      </c>
      <c r="AO10" s="11" t="n">
        <f aca="false">-Construction!AN30</f>
        <v>-15.8808554631514</v>
      </c>
      <c r="AP10" s="11" t="n">
        <f aca="false">-Construction!AO30</f>
        <v>-14.1371241018391</v>
      </c>
      <c r="AQ10" s="11" t="n">
        <f aca="false">-Construction!AP30</f>
        <v>-10.4741272435822</v>
      </c>
      <c r="AR10" s="11" t="n">
        <f aca="false">-Construction!AQ30</f>
        <v>-10.0151838240624</v>
      </c>
      <c r="AS10" s="11" t="n">
        <f aca="false">-Construction!AR30</f>
        <v>-6.95187971940217</v>
      </c>
      <c r="AT10" s="11" t="n">
        <f aca="false">-Construction!AS30</f>
        <v>-5.8819829958099</v>
      </c>
      <c r="AU10" s="11" t="n">
        <f aca="false">-Construction!AT30</f>
        <v>-3.55179558618063</v>
      </c>
      <c r="AV10" s="11" t="n">
        <f aca="false">-Construction!AU30</f>
        <v>-5.10000104003562</v>
      </c>
      <c r="AW10" s="11" t="n">
        <f aca="false">-Construction!AV30</f>
        <v>-2.35259659239783</v>
      </c>
      <c r="AX10" s="11" t="n">
        <f aca="false">-Construction!AW30</f>
        <v>-57.5145116813414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0</v>
      </c>
      <c r="BR10" s="11" t="n">
        <f aca="false">Waterfall!P7+Tax!P27</f>
        <v>-6.29263433853431</v>
      </c>
      <c r="BS10" s="11" t="n">
        <f aca="false">Waterfall!Q7+Tax!Q27</f>
        <v>48.8524843383707</v>
      </c>
      <c r="BT10" s="11" t="n">
        <f aca="false">Waterfall!R7+Tax!R27</f>
        <v>49.8826656945088</v>
      </c>
      <c r="BU10" s="11" t="n">
        <f aca="false">Waterfall!S7+Tax!S27</f>
        <v>49.6218581816983</v>
      </c>
      <c r="BV10" s="11" t="n">
        <f aca="false">Waterfall!T7+Tax!T27</f>
        <v>50.2009068531375</v>
      </c>
      <c r="BW10" s="11" t="n">
        <f aca="false">Waterfall!U7+Tax!U27</f>
        <v>49.8603583128226</v>
      </c>
      <c r="BX10" s="11" t="n">
        <f aca="false">Waterfall!V7+Tax!V27</f>
        <v>50.3248714681387</v>
      </c>
      <c r="BY10" s="11" t="n">
        <f aca="false">Waterfall!W7+Tax!W27</f>
        <v>50.5993486218694</v>
      </c>
      <c r="BZ10" s="11" t="n">
        <f aca="false">Waterfall!X7+Tax!X27</f>
        <v>51.1683050749246</v>
      </c>
      <c r="CA10" s="11" t="n">
        <f aca="false">Waterfall!Y7+Tax!Y27</f>
        <v>48.6187124216684</v>
      </c>
      <c r="CB10" s="11" t="n">
        <f aca="false">Waterfall!Z7+Tax!Z27</f>
        <v>49.2307893970491</v>
      </c>
      <c r="CC10" s="11" t="n">
        <f aca="false">Waterfall!AA7+Tax!AA27</f>
        <v>48.8928915008332</v>
      </c>
      <c r="CD10" s="11" t="n">
        <f aca="false">Waterfall!AB7+Tax!AB27</f>
        <v>49.4932730137445</v>
      </c>
      <c r="CE10" s="11" t="n">
        <f aca="false">Waterfall!AC7+Tax!AC27</f>
        <v>49.1457103142076</v>
      </c>
      <c r="CF10" s="11" t="n">
        <f aca="false">Waterfall!AD7+Tax!AD27</f>
        <v>49.6507388225628</v>
      </c>
      <c r="CG10" s="11" t="n">
        <f aca="false">Waterfall!AE7+Tax!AE27</f>
        <v>50.9088656821576</v>
      </c>
      <c r="CH10" s="11" t="n">
        <f aca="false">Waterfall!AF7+Tax!AF27</f>
        <v>51.7253108916784</v>
      </c>
      <c r="CI10" s="11" t="n">
        <f aca="false">Waterfall!AG7+Tax!AG27</f>
        <v>50.9626093568474</v>
      </c>
      <c r="CJ10" s="11" t="n">
        <f aca="false">Waterfall!AH7+Tax!AH27</f>
        <v>51.6754671642588</v>
      </c>
      <c r="CK10" s="11" t="n">
        <f aca="false">Waterfall!AI7+Tax!AI27</f>
        <v>51.3372298970575</v>
      </c>
      <c r="CL10" s="11" t="n">
        <f aca="false">Waterfall!AJ7+Tax!AJ27</f>
        <v>51.9607439995796</v>
      </c>
      <c r="CM10" s="11" t="n">
        <f aca="false">Waterfall!AK7+Tax!AK27</f>
        <v>51.6054966731979</v>
      </c>
      <c r="CN10" s="11" t="n">
        <f aca="false">Waterfall!AL7+Tax!AL27</f>
        <v>52.1140556630978</v>
      </c>
      <c r="CO10" s="11" t="n">
        <f aca="false">Waterfall!AM7+Tax!AM27</f>
        <v>52.497059594698</v>
      </c>
      <c r="CP10" s="11" t="n">
        <f aca="false">Waterfall!AN7+Tax!AN27</f>
        <v>53.1093429435002</v>
      </c>
      <c r="CQ10" s="11" t="n">
        <f aca="false">Waterfall!AO7+Tax!AO27</f>
        <v>50.1321028108187</v>
      </c>
      <c r="CR10" s="11" t="n">
        <f aca="false">Waterfall!AP7+Tax!AP27</f>
        <v>50.7924881928471</v>
      </c>
      <c r="CS10" s="11" t="n">
        <f aca="false">Waterfall!AQ7+Tax!AQ27</f>
        <v>50.4539546747474</v>
      </c>
      <c r="CT10" s="11" t="n">
        <f aca="false">Waterfall!AR7+Tax!AR27</f>
        <v>51.1025548509965</v>
      </c>
      <c r="CU10" s="11" t="n">
        <f aca="false">Waterfall!AS7+Tax!AS27</f>
        <v>50.7388891439451</v>
      </c>
      <c r="CV10" s="11" t="n">
        <f aca="false">Waterfall!AT7+Tax!AT27</f>
        <v>51.2959813996307</v>
      </c>
      <c r="CW10" s="11" t="n">
        <f aca="false">Waterfall!AU7+Tax!AU27</f>
        <v>52.9354639634186</v>
      </c>
      <c r="CX10" s="11" t="n">
        <f aca="false">Waterfall!AV7+Tax!AV27</f>
        <v>53.8165202092623</v>
      </c>
      <c r="CY10" s="11" t="n">
        <f aca="false">Waterfall!AW7+Tax!AW27</f>
        <v>52.9158722190698</v>
      </c>
      <c r="CZ10" s="11" t="n">
        <f aca="false">Waterfall!AX7+Tax!AX27</f>
        <v>53.6851010892992</v>
      </c>
      <c r="DA10" s="11" t="n">
        <f aca="false">Waterfall!AY7+Tax!AY27</f>
        <v>53.3463236237973</v>
      </c>
      <c r="DB10" s="11" t="n">
        <f aca="false">Waterfall!AZ7+Tax!AZ27</f>
        <v>54.0221303603721</v>
      </c>
      <c r="DC10" s="11" t="n">
        <f aca="false">Waterfall!BA7+Tax!BA27</f>
        <v>53.6492433248666</v>
      </c>
      <c r="DD10" s="11" t="n">
        <f aca="false">Waterfall!BB7+Tax!BB27</f>
        <v>54.2097001562271</v>
      </c>
      <c r="DE10" s="11" t="n">
        <f aca="false">Waterfall!BC7+Tax!BC27</f>
        <v>54.7226521034643</v>
      </c>
      <c r="DF10" s="11" t="n">
        <f aca="false">Waterfall!BD7+Tax!BD27</f>
        <v>55.3859847685592</v>
      </c>
      <c r="DG10" s="11" t="n">
        <f aca="false">Waterfall!BE7+Tax!BE27</f>
        <v>51.8991527137616</v>
      </c>
      <c r="DH10" s="11" t="n">
        <f aca="false">Waterfall!BF7+Tax!BF27</f>
        <v>52.6160510199742</v>
      </c>
      <c r="DI10" s="11" t="n">
        <f aca="false">Waterfall!BG7+Tax!BG27</f>
        <v>52.2770923138528</v>
      </c>
      <c r="DJ10" s="11" t="n">
        <f aca="false">Waterfall!BH7+Tax!BH27</f>
        <v>52.982407520377</v>
      </c>
      <c r="DK10" s="11" t="n">
        <f aca="false">Waterfall!BI7+Tax!BI27</f>
        <v>52.5994205604816</v>
      </c>
      <c r="DL10" s="11" t="n">
        <f aca="false">Waterfall!BJ7+Tax!BJ27</f>
        <v>53.2180003168243</v>
      </c>
      <c r="DM10" s="11" t="n">
        <f aca="false">Waterfall!BK7+Tax!BK27</f>
        <v>55.3126599329567</v>
      </c>
      <c r="DN10" s="11" t="n">
        <f aca="false">Waterfall!BL7+Tax!BL27</f>
        <v>56.2701784128349</v>
      </c>
      <c r="DO10" s="11" t="n">
        <f aca="false">Waterfall!BM7+Tax!BM27</f>
        <v>55.9217912673535</v>
      </c>
      <c r="DP10" s="11" t="n">
        <f aca="false">Waterfall!BN7+Tax!BN27</f>
        <v>51.0701292301233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-31.5225815486021</v>
      </c>
      <c r="L11" s="11" t="n">
        <f aca="false">K11+L8</f>
        <v>-32.164527221411</v>
      </c>
      <c r="M11" s="11" t="n">
        <f aca="false">L11+M8</f>
        <v>-32.9323463047096</v>
      </c>
      <c r="N11" s="11" t="n">
        <f aca="false">M11+N8</f>
        <v>-33.9105947374485</v>
      </c>
      <c r="O11" s="11" t="n">
        <f aca="false">N11+O8</f>
        <v>-35.1960606418017</v>
      </c>
      <c r="P11" s="11" t="n">
        <f aca="false">O11+P8</f>
        <v>-36.8451095057377</v>
      </c>
      <c r="Q11" s="11" t="n">
        <f aca="false">P11+Q8</f>
        <v>-38.8860450921102</v>
      </c>
      <c r="R11" s="11" t="n">
        <f aca="false">Q11+R8</f>
        <v>-41.4008175934756</v>
      </c>
      <c r="S11" s="11" t="n">
        <f aca="false">R11+S8</f>
        <v>-44.3816479604021</v>
      </c>
      <c r="T11" s="11" t="n">
        <f aca="false">S11+T8</f>
        <v>-47.8548181002506</v>
      </c>
      <c r="U11" s="11" t="n">
        <f aca="false">T11+U8</f>
        <v>-51.7984403005226</v>
      </c>
      <c r="V11" s="11" t="n">
        <f aca="false">U11+V8</f>
        <v>-56.2086640255136</v>
      </c>
      <c r="W11" s="11" t="n">
        <f aca="false">V11+W8</f>
        <v>-61.0695267908094</v>
      </c>
      <c r="X11" s="11" t="n">
        <f aca="false">W11+X8</f>
        <v>-66.3428796950257</v>
      </c>
      <c r="Y11" s="11" t="n">
        <f aca="false">X11+Y8</f>
        <v>-72.0092367371039</v>
      </c>
      <c r="Z11" s="11" t="n">
        <f aca="false">Y11+Z8</f>
        <v>-78.006951387417</v>
      </c>
      <c r="AA11" s="11" t="n">
        <f aca="false">Z11+AA8</f>
        <v>-84.3055728930314</v>
      </c>
      <c r="AB11" s="11" t="n">
        <f aca="false">AA11+AB8</f>
        <v>-91.1251277264353</v>
      </c>
      <c r="AC11" s="11" t="n">
        <f aca="false">AB11+AC8</f>
        <v>-97.8005012257879</v>
      </c>
      <c r="AD11" s="11" t="n">
        <f aca="false">AC11+AD8</f>
        <v>-104.615815741362</v>
      </c>
      <c r="AE11" s="11" t="n">
        <f aca="false">AD11+AE8</f>
        <v>-111.567700862258</v>
      </c>
      <c r="AF11" s="11" t="n">
        <f aca="false">AE11+AF8</f>
        <v>-118.526006610809</v>
      </c>
      <c r="AG11" s="11" t="n">
        <f aca="false">AF11+AG8</f>
        <v>-125.404452994188</v>
      </c>
      <c r="AH11" s="11" t="n">
        <f aca="false">AG11+AH8</f>
        <v>-132.146259698523</v>
      </c>
      <c r="AI11" s="11" t="n">
        <f aca="false">AH11+AI8</f>
        <v>-138.698978777318</v>
      </c>
      <c r="AJ11" s="11" t="n">
        <f aca="false">AI11+AJ8</f>
        <v>-144.993185955094</v>
      </c>
      <c r="AK11" s="11" t="n">
        <f aca="false">AJ11+AK8</f>
        <v>-151.420310151521</v>
      </c>
      <c r="AL11" s="11" t="n">
        <f aca="false">AK11+AL8</f>
        <v>-157.490926675855</v>
      </c>
      <c r="AM11" s="11" t="n">
        <f aca="false">AL11+AM8</f>
        <v>-163.192988335134</v>
      </c>
      <c r="AN11" s="11" t="n">
        <f aca="false">AM11+AN8</f>
        <v>-168.608500474048</v>
      </c>
      <c r="AO11" s="11" t="n">
        <f aca="false">AN11+AO8</f>
        <v>-173.541499847219</v>
      </c>
      <c r="AP11" s="11" t="n">
        <f aca="false">AO11+AP8</f>
        <v>-178.066676303457</v>
      </c>
      <c r="AQ11" s="11" t="n">
        <f aca="false">AP11+AQ8</f>
        <v>-181.612282820988</v>
      </c>
      <c r="AR11" s="11" t="n">
        <f aca="false">AQ11+AR8</f>
        <v>-185.076191098668</v>
      </c>
      <c r="AS11" s="11" t="n">
        <f aca="false">AR11+AS8</f>
        <v>-187.730296568661</v>
      </c>
      <c r="AT11" s="11" t="n">
        <f aca="false">AS11+AT8</f>
        <v>-189.807452727547</v>
      </c>
      <c r="AU11" s="11" t="n">
        <f aca="false">AT11+AU8</f>
        <v>-191.267811296974</v>
      </c>
      <c r="AV11" s="11" t="n">
        <f aca="false">AU11+AV8</f>
        <v>-193.124732766066</v>
      </c>
      <c r="AW11" s="11" t="n">
        <f aca="false">AV11+AW8</f>
        <v>-194.270089997468</v>
      </c>
      <c r="AX11" s="11" t="n">
        <f aca="false">AW11+AX8</f>
        <v>-210.063854089019</v>
      </c>
      <c r="AY11" s="11" t="n">
        <f aca="false">AX11+AY8</f>
        <v>-220.096937309673</v>
      </c>
      <c r="AZ11" s="11" t="n">
        <f aca="false">AY11+AZ8</f>
        <v>-220.096937309673</v>
      </c>
      <c r="BA11" s="11" t="n">
        <f aca="false">AZ11+BA8</f>
        <v>-220.096937309673</v>
      </c>
      <c r="BB11" s="11" t="n">
        <f aca="false">BA11+BB8</f>
        <v>-220.096937309673</v>
      </c>
      <c r="BC11" s="11" t="n">
        <f aca="false">BB11+BC8</f>
        <v>-220.096937309673</v>
      </c>
      <c r="BD11" s="11" t="n">
        <f aca="false">BC11+BD8</f>
        <v>-220.096937309673</v>
      </c>
      <c r="BE11" s="11" t="n">
        <f aca="false">BD11+BE8</f>
        <v>-220.096937309673</v>
      </c>
      <c r="BF11" s="11" t="n">
        <f aca="false">BE11+BF8</f>
        <v>-220.096937309673</v>
      </c>
      <c r="BG11" s="11" t="n">
        <f aca="false">BF11+BG8</f>
        <v>-220.096937309673</v>
      </c>
      <c r="BH11" s="11" t="n">
        <f aca="false">BG11+BH8</f>
        <v>-220.096937309673</v>
      </c>
      <c r="BI11" s="11" t="n">
        <f aca="false">BH11+BI8</f>
        <v>-220.096937309673</v>
      </c>
      <c r="BJ11" s="11" t="n">
        <f aca="false">BI11+BJ8</f>
        <v>-220.096937309673</v>
      </c>
      <c r="BK11" s="11" t="n">
        <f aca="false">BJ11+BK8</f>
        <v>-220.096937309673</v>
      </c>
      <c r="BL11" s="11" t="n">
        <f aca="false">BK11+BL8</f>
        <v>-220.096937309673</v>
      </c>
      <c r="BM11" s="11" t="n">
        <f aca="false">BL11+BM8</f>
        <v>-220.096937309673</v>
      </c>
      <c r="BN11" s="11" t="n">
        <f aca="false">BM11+BN8</f>
        <v>-220.096937309673</v>
      </c>
      <c r="BO11" s="11" t="n">
        <f aca="false">BN11+BO8</f>
        <v>-220.096937309673</v>
      </c>
      <c r="BP11" s="11" t="n">
        <f aca="false">BO11+BP8</f>
        <v>-220.096937309673</v>
      </c>
      <c r="BQ11" s="11" t="n">
        <f aca="false">BP11+BQ8</f>
        <v>-220.096937309673</v>
      </c>
      <c r="BR11" s="11" t="n">
        <f aca="false">BQ11+BR8</f>
        <v>-220.096937309673</v>
      </c>
      <c r="BS11" s="11" t="n">
        <f aca="false">BR11+BS8</f>
        <v>-199.048594118654</v>
      </c>
      <c r="BT11" s="11" t="n">
        <f aca="false">BS11+BT8</f>
        <v>-185.982371971726</v>
      </c>
      <c r="BU11" s="11" t="n">
        <f aca="false">BT11+BU8</f>
        <v>-173.603572395805</v>
      </c>
      <c r="BV11" s="11" t="n">
        <f aca="false">BU11+BV8</f>
        <v>-160.395797461917</v>
      </c>
      <c r="BW11" s="11" t="n">
        <f aca="false">BV11+BW8</f>
        <v>-147.871590339383</v>
      </c>
      <c r="BX11" s="11" t="n">
        <f aca="false">BW11+BX8</f>
        <v>-135.090380159482</v>
      </c>
      <c r="BY11" s="11" t="n">
        <f aca="false">BX11+BY8</f>
        <v>-122.454379954191</v>
      </c>
      <c r="BZ11" s="11" t="n">
        <f aca="false">BY11+BZ8</f>
        <v>-107.360623303919</v>
      </c>
      <c r="CA11" s="11" t="n">
        <f aca="false">BZ11+CA8</f>
        <v>-95.2244462178851</v>
      </c>
      <c r="CB11" s="11" t="n">
        <f aca="false">CA11+CB8</f>
        <v>-82.0672143970515</v>
      </c>
      <c r="CC11" s="11" t="n">
        <f aca="false">CB11+CC8</f>
        <v>-76.0273500583096</v>
      </c>
      <c r="CD11" s="11" t="n">
        <f aca="false">CC11+CD8</f>
        <v>-68.9327943328437</v>
      </c>
      <c r="CE11" s="11" t="n">
        <f aca="false">CD11+CE8</f>
        <v>-61.7393079455635</v>
      </c>
      <c r="CF11" s="11" t="n">
        <f aca="false">CE11+CF8</f>
        <v>-54.3000080227205</v>
      </c>
      <c r="CG11" s="11" t="n">
        <f aca="false">CF11+CG8</f>
        <v>-45.9939304813223</v>
      </c>
      <c r="CH11" s="11" t="n">
        <f aca="false">CG11+CH8</f>
        <v>-36.3492963238221</v>
      </c>
      <c r="CI11" s="11" t="n">
        <f aca="false">CH11+CI8</f>
        <v>-26.4660374114363</v>
      </c>
      <c r="CJ11" s="11" t="n">
        <f aca="false">CI11+CJ8</f>
        <v>-15.2434402907914</v>
      </c>
      <c r="CK11" s="11" t="n">
        <f aca="false">CJ11+CK8</f>
        <v>-3.15572894086046</v>
      </c>
      <c r="CL11" s="11" t="n">
        <f aca="false">CK11+CL8</f>
        <v>10.813234514939</v>
      </c>
      <c r="CM11" s="11" t="n">
        <f aca="false">CL11+CM8</f>
        <v>42.1589868207396</v>
      </c>
      <c r="CN11" s="11" t="n">
        <f aca="false">CM11+CN8</f>
        <v>70.533487173612</v>
      </c>
      <c r="CO11" s="11" t="n">
        <f aca="false">CN11+CO8</f>
        <v>102.667816749576</v>
      </c>
      <c r="CP11" s="11" t="n">
        <f aca="false">CO11+CP8</f>
        <v>128.27657688169</v>
      </c>
      <c r="CQ11" s="11" t="n">
        <f aca="false">CP11+CQ8</f>
        <v>169.018901685669</v>
      </c>
      <c r="CR11" s="11" t="n">
        <f aca="false">CQ11+CR8</f>
        <v>209.682739196686</v>
      </c>
      <c r="CS11" s="11" t="n">
        <f aca="false">CR11+CS8</f>
        <v>249.953506029693</v>
      </c>
      <c r="CT11" s="11" t="n">
        <f aca="false">CS11+CT8</f>
        <v>290.834644506088</v>
      </c>
      <c r="CU11" s="11" t="n">
        <f aca="false">CT11+CU8</f>
        <v>331.329904085459</v>
      </c>
      <c r="CV11" s="11" t="n">
        <f aca="false">CU11+CV8</f>
        <v>372.320763537466</v>
      </c>
      <c r="CW11" s="11" t="n">
        <f aca="false">CV11+CW8</f>
        <v>419.442580424842</v>
      </c>
      <c r="CX11" s="11" t="n">
        <f aca="false">CW11+CX8</f>
        <v>462.893849468102</v>
      </c>
      <c r="CY11" s="11" t="n">
        <f aca="false">CX11+CY8</f>
        <v>505.401020758718</v>
      </c>
      <c r="CZ11" s="11" t="n">
        <f aca="false">CY11+CZ8</f>
        <v>548.629813438363</v>
      </c>
      <c r="DA11" s="11" t="n">
        <f aca="false">CZ11+DA8</f>
        <v>591.460583949246</v>
      </c>
      <c r="DB11" s="11" t="n">
        <f aca="false">DA11+DB8</f>
        <v>634.925612044481</v>
      </c>
      <c r="DC11" s="11" t="n">
        <f aca="false">DB11+DC8</f>
        <v>677.99439579299</v>
      </c>
      <c r="DD11" s="11" t="n">
        <f aca="false">DC11+DD8</f>
        <v>721.311214575807</v>
      </c>
      <c r="DE11" s="11" t="n">
        <f aca="false">DD11+DE8</f>
        <v>764.833505443399</v>
      </c>
      <c r="DF11" s="11" t="n">
        <f aca="false">DE11+DF8</f>
        <v>806.961298725763</v>
      </c>
      <c r="DG11" s="11" t="n">
        <f aca="false">DF11+DG8</f>
        <v>841.002587317729</v>
      </c>
      <c r="DH11" s="11" t="n">
        <f aca="false">DG11+DH8</f>
        <v>875.691712875453</v>
      </c>
      <c r="DI11" s="11" t="n">
        <f aca="false">DH11+DI8</f>
        <v>909.960164511737</v>
      </c>
      <c r="DJ11" s="11" t="n">
        <f aca="false">DI11+DJ8</f>
        <v>944.871233767877</v>
      </c>
      <c r="DK11" s="11" t="n">
        <f aca="false">DJ11+DK8</f>
        <v>979.357038372878</v>
      </c>
      <c r="DL11" s="11" t="n">
        <f aca="false">DK11+DL8</f>
        <v>1014.36975967395</v>
      </c>
      <c r="DM11" s="11" t="n">
        <f aca="false">DL11+DM8</f>
        <v>1056.76909380319</v>
      </c>
      <c r="DN11" s="11" t="n">
        <f aca="false">DM11+DN8</f>
        <v>1094.71294579128</v>
      </c>
      <c r="DO11" s="11" t="n">
        <f aca="false">DN11+DO8</f>
        <v>1132.2547190441</v>
      </c>
      <c r="DP11" s="11" t="n">
        <f aca="false">DO11+DP8</f>
        <v>1193.34282961698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0.133352175003035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0.104787715908093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0.111451951856155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-40.4343056077504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848.394884317242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220.096937309673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62.5210389859123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23.1305610858853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20.4510981750964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35.6629635642437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0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0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1.37703611865896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1.84626519060514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0.133352175003035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0.104787715908093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-40.4343056077504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2026-10-03T20:48:22Z</dcterms:created>
  <dc:creator>openpyxl</dc:creator>
  <dc:description/>
  <dc:language>en-US</dc:language>
  <cp:lastModifiedBy/>
  <dcterms:modified xsi:type="dcterms:W3CDTF">2026-10-03T20:48:22Z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